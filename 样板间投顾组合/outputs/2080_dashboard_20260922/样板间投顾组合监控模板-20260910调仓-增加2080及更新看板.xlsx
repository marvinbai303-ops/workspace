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charts/chart7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20" yWindow="-120" windowWidth="22920" windowHeight="14370" tabRatio="779" firstSheet="2" activeTab="10"/>
  </bookViews>
  <sheets>
    <sheet name="实盘持仓初始配置" sheetId="1" r:id="rId1"/>
    <sheet name="偏离度监控" sheetId="13" r:id="rId2"/>
    <sheet name="vs固收+对比（模拟数据）" sheetId="14" r:id="rId3"/>
    <sheet name="vs固收+对比（恒生实盘数据） " sheetId="17" r:id="rId4"/>
    <sheet name="恒生净值" sheetId="16" r:id="rId5"/>
    <sheet name="实盘净值数据(iFinD）" sheetId="2" r:id="rId6"/>
    <sheet name="实盘组合预估净值" sheetId="3" r:id="rId7"/>
    <sheet name="分期持仓明细" sheetId="4" r:id="rId8"/>
    <sheet name="看板-产业趋势" sheetId="5" r:id="rId9"/>
    <sheet name="看板-产业趋势基石" sheetId="6" r:id="rId10"/>
    <sheet name="看板-产业趋势2号" sheetId="7" r:id="rId11"/>
    <sheet name="看板-10-90" sheetId="8" r:id="rId12"/>
    <sheet name="看板-10-90基石" sheetId="9" r:id="rId13"/>
    <sheet name="看板-30-70" sheetId="10" r:id="rId14"/>
    <sheet name="看板-20-80" sheetId="18" r:id="rId22"/>
    <sheet name="说明" sheetId="11" r:id="rId15"/>
  </sheets>
  <externalReferences>
    <externalReference r:id="rId16"/>
    <externalReference r:id="rId17"/>
  </externalReferences>
  <definedNames>
    <definedName name="_ChartDates" localSheetId="11">实盘组合预估净值!$A$8:INDEX(实盘组合预估净值!$A$8:$A$1000,MATCH(9.99999999999999E+307,实盘组合预估净值!$A$8:$A$1000))</definedName>
    <definedName name="_ChartDates" localSheetId="12">实盘组合预估净值!$A$5:INDEX(实盘组合预估净值!$A$5:$A$1000,MATCH(9.99999999999999E+307,实盘组合预估净值!$A$5:$A$1000))</definedName>
    <definedName name="_ChartDates" localSheetId="13">实盘组合预估净值!$A$8:INDEX(实盘组合预估净值!$A$8:$A$1000,MATCH(9.99999999999999E+307,实盘组合预估净值!$A$8:$A$1000))</definedName>
    <definedName name="_ChartDates" localSheetId="8">实盘组合预估净值!$A$6:INDEX(实盘组合预估净值!$A$6:$A$1000,MATCH(9.99999999999999E+307,实盘组合预估净值!$A$6:$A$1000))</definedName>
    <definedName name="_ChartDates" localSheetId="10">实盘组合预估净值!$A$7:INDEX(实盘组合预估净值!$A$7:$A$1000,MATCH(9.99999999999999E+307,实盘组合预估净值!$A$7:$A$1000))</definedName>
    <definedName name="_ChartDates" localSheetId="9">实盘组合预估净值!$A$5:INDEX(实盘组合预估净值!$A$5:$A$1000,MATCH(9.99999999999999E+307,实盘组合预估净值!$A$5:$A$1000))</definedName>
    <definedName name="_ChartValues" localSheetId="11">实盘组合预估净值!$K$8:INDEX(实盘组合预估净值!$K$8:$K$1000,MATCH(9.99999999999999E+307,实盘组合预估净值!$A$8:$A$1000))</definedName>
    <definedName name="_ChartValues" localSheetId="12">实盘组合预估净值!$N$5:INDEX(实盘组合预估净值!$N$5:$N$1000,MATCH(9.99999999999999E+307,实盘组合预估净值!$A$5:$A$1000))</definedName>
    <definedName name="_ChartValues" localSheetId="13">实盘组合预估净值!$Q$8:INDEX(实盘组合预估净值!$Q$8:$Q$1000,MATCH(9.99999999999999E+307,实盘组合预估净值!$A$8:$A$1000))</definedName>
    <definedName name="_ChartValues" localSheetId="8">实盘组合预估净值!$B$6:INDEX(实盘组合预估净值!$B$6:$B$1000,MATCH(9.99999999999999E+307,实盘组合预估净值!$A$6:$A$1000))</definedName>
    <definedName name="_ChartValues" localSheetId="10">实盘组合预估净值!$H$7:INDEX(实盘组合预估净值!$H$7:$H$1000,MATCH(9.99999999999999E+307,实盘组合预估净值!$A$7:$A$1000))</definedName>
    <definedName name="_ChartValues" localSheetId="9">实盘组合预估净值!$E$5:INDEX(实盘组合预估净值!$E$5:$E$1000,MATCH(9.99999999999999E+307,实盘组合预估净值!$A$5:$A$1000))</definedName>
    <definedName name="_xlnm._FilterDatabase" localSheetId="3" hidden="1">'vs固收+对比（恒生实盘数据） '!$B$21:$L$21</definedName>
    <definedName name="_ChartDates" localSheetId="14">实盘组合预估净值!$A$69:INDEX(实盘组合预估净值!$A$69:$A$1000,MATCH(9.99999999999999E+307,实盘组合预估净值!$A$69:$A$1000))</definedName>
    <definedName name="_ChartValues" localSheetId="14">实盘组合预估净值!$T$69:INDEX(实盘组合预估净值!$T$69:$T$1000,MATCH(9.99999999999999E+307,实盘组合预估净值!$A$69:$A$1000))</definedName>
  </definedNames>
  <calcPr calcId="152511" forceFullCalc="1" calcMode="auto" fullCalcOnLoad="1" calcOnSav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<sst xmlns="http://schemas.openxmlformats.org/spreadsheetml/2006/main" count="1350" uniqueCount="582">
  <si>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</si>
  <si>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</si>
  <si>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</si>
  <si>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</si>
  <si>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</si>
  <si>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</si>
  <si>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</si>
  <si>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</si>
  <si>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</si>
  <si>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</si>
  <si>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</si>
  <si>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</si>
  <si>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</si>
  <si>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</si>
  <si>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</si>
  <si>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</si>
  <si>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</si>
  <si>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</si>
  <si>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</si>
  <si>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</si>
  <si>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</si>
  <si>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</si>
  <si>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</si>
  <si>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</si>
  <si>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</si>
  <si>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</si>
  <si>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</si>
  <si>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</si>
  <si>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</si>
  <si>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</si>
  <si>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</si>
  <si>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</si>
  <si>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</si>
  <si>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</si>
  <si>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</si>
  <si>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</si>
  <si>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</si>
  <si>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</si>
  <si>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</si>
  <si>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</si>
  <si>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</si>
  <si>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</si>
  <si>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</si>
  <si>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</si>
  <si>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</si>
  <si>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</si>
  <si>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</si>
  <si>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</si>
  <si>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</si>
  <si>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</si>
  <si>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</si>
  <si>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</si>
  <si>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</si>
  <si>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</si>
  <si>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</si>
  <si>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</si>
  <si>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</si>
  <si>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</si>
  <si>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</si>
  <si>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</si>
  <si>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</si>
  <si>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</si>
  <si>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</si>
  <si>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宋体"/>
        <family val="3"/>
      </rPr>
      <t>组合净值</t>
    </r>
    <r>
      <rPr>
        <b/>
        <sz val="15"/>
        <color rgb="FFFFFFFF"/>
        <rFont val="Arial"/>
        <family val="2"/>
      </rPr>
      <t/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</si>
  <si>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</si>
  <si>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</si>
  <si>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</si>
  <si>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</si>
  <si>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</si>
  <si>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30-70</t>
    </r>
  </si>
  <si>
    <t>日期</t>
  </si>
  <si>
    <t>净值</t>
  </si>
  <si>
    <t>日收益</t>
  </si>
  <si>
    <t>回撤</t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</si>
  <si>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</si>
  <si>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</si>
  <si>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</si>
  <si>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</si>
  <si>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</si>
  <si>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</si>
  <si>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</si>
  <si>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</si>
  <si>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</si>
  <si>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</si>
  <si>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</si>
  <si>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</si>
  <si>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</si>
  <si>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</si>
  <si>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</si>
  <si>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</si>
  <si>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</si>
  <si>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</si>
  <si>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</si>
  <si>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</si>
  <si>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</si>
  <si>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</si>
  <si>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</si>
  <si>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</si>
  <si>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</si>
  <si>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</si>
  <si>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</si>
  <si>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</si>
  <si>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</si>
  <si>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</si>
  <si>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</si>
  <si>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</si>
  <si>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</si>
  <si>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</si>
  <si>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</si>
  <si>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</si>
  <si>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</si>
  <si>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</si>
  <si>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</si>
  <si>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</si>
  <si>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</si>
  <si>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</si>
  <si>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</si>
  <si>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</si>
  <si>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</si>
  <si>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</si>
  <si>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</si>
  <si>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</si>
  <si>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</si>
  <si>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</si>
  <si>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</si>
  <si>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</si>
  <si>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</si>
  <si>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</si>
  <si>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</si>
  <si>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</si>
  <si>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</si>
  <si>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</si>
  <si>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</si>
  <si>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</si>
  <si>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</si>
  <si>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</si>
  <si>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</si>
  <si>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</si>
  <si>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</si>
  <si>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</si>
  <si>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</si>
  <si>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</si>
  <si>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</si>
  <si>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</si>
  <si>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</si>
  <si>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</si>
  <si>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</si>
  <si>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</si>
  <si>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</si>
  <si>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</si>
  <si>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</si>
  <si>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</si>
  <si>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</si>
  <si>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</si>
  <si>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</si>
  <si>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</si>
  <si>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r>
      <rPr>
        <b/>
        <sz val="16"/>
        <color rgb="FF000000"/>
        <rFont val="Linux Libertine G"/>
        <family val="2"/>
      </rPr>
      <t>回撤修复天数</t>
    </r>
    <r>
      <rPr>
        <b/>
        <sz val="16"/>
        <color rgb="FF000000"/>
        <rFont val="微软雅黑"/>
        <family val="2"/>
      </rPr>
      <t>(</t>
    </r>
    <r>
      <rPr>
        <b/>
        <sz val="16"/>
        <color rgb="FF000000"/>
        <rFont val="Linux Libertine G"/>
        <family val="2"/>
      </rPr>
      <t>未创新高</t>
    </r>
    <r>
      <rPr>
        <b/>
        <sz val="16"/>
        <color rgb="FF000000"/>
        <rFont val="微软雅黑"/>
        <family val="2"/>
      </rPr>
      <t>)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</si>
  <si>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3</t>
    </r>
    <r>
      <rPr>
        <b/>
        <sz val="16"/>
        <color rgb="FF000000"/>
        <rFont val="Linux Libertine G"/>
        <family val="2"/>
      </rPr>
      <t>个月</t>
    </r>
  </si>
  <si>
    <t>正收益占比</t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</si>
  <si>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6</t>
    </r>
    <r>
      <rPr>
        <b/>
        <sz val="16"/>
        <color rgb="FF000000"/>
        <rFont val="Linux Libertine G"/>
        <family val="2"/>
      </rPr>
      <t>个月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</si>
  <si>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1</t>
    </r>
    <r>
      <rPr>
        <b/>
        <sz val="16"/>
        <color rgb="FF000000"/>
        <rFont val="Linux Libertine G"/>
        <family val="2"/>
      </rPr>
      <t>年</t>
    </r>
  </si>
  <si>
    <t>卡玛比率</t>
  </si>
  <si>
    <r>
      <rPr>
        <b/>
        <sz val="11"/>
        <color rgb="FFFFFFFF"/>
        <rFont val="Linux Libertine G"/>
        <family val="2"/>
      </rPr>
      <t xml:space="preserve">产品运作情况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Linux Libertine G"/>
        <family val="2"/>
      </rPr>
      <t>组合净值曲线</t>
    </r>
  </si>
  <si>
    <r>
      <rPr>
        <i/>
        <sz val="9"/>
        <color rgb="FF595959"/>
        <rFont val="Linux Libertine G"/>
        <family val="2"/>
      </rPr>
      <t>统计区间自</t>
    </r>
    <r>
      <rPr>
        <i/>
        <sz val="9"/>
        <color rgb="FF595959"/>
        <rFont val="Arial"/>
        <family val="2"/>
      </rPr>
      <t>2026/6/1</t>
    </r>
    <r>
      <rPr>
        <i/>
        <sz val="9"/>
        <color rgb="FF595959"/>
        <rFont val="Linux Libertine G"/>
        <family val="2"/>
      </rPr>
      <t>起；运作初期样本少，年化类指标仅供参考。新增交易日后请同步扩展本图数据区。</t>
    </r>
  </si>
  <si>
    <t>样板间组合走势看板（产业趋势基石组合）</t>
  </si>
  <si>
    <r>
      <rPr>
        <b/>
        <sz val="17"/>
        <color rgb="FFFFFFFF"/>
        <rFont val="Linux Libertine G"/>
        <family val="2"/>
      </rPr>
      <t>样板间组合走势看板（产业趋势</t>
    </r>
    <r>
      <rPr>
        <b/>
        <sz val="17"/>
        <color rgb="FFFFFFFF"/>
        <rFont val="Arial"/>
        <family val="2"/>
      </rPr>
      <t>2</t>
    </r>
    <r>
      <rPr>
        <b/>
        <sz val="17"/>
        <color rgb="FFFFFFFF"/>
        <rFont val="Linux Libertine G"/>
        <family val="2"/>
      </rPr>
      <t>号组合）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</si>
  <si>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</si>
  <si>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基石组合）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</si>
  <si>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30-70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</si>
  <si>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</si>
  <si>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</si>
  <si>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</si>
  <si>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</si>
  <si>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</si>
  <si>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</si>
  <si>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</si>
  <si>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</si>
  <si>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</si>
  <si>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</si>
  <si>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</si>
  <si>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</si>
  <si>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</si>
  <si>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</si>
  <si>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</si>
  <si>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</si>
  <si>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</si>
  <si>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</si>
  <si>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</si>
  <si>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</si>
  <si>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</si>
  <si>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</si>
  <si>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</si>
  <si>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</si>
  <si>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</rPr>
      <t>)</t>
    </r>
  </si>
  <si>
    <t>样板间投顾组合 · 偏离度监控</t>
  </si>
  <si>
    <t>净值截止日</t>
  </si>
  <si>
    <t>权重口径</t>
  </si>
  <si>
    <t>上一完整交易日（避免当日净值更新不同步）</t>
  </si>
  <si>
    <t>配比预警阈值</t>
  </si>
  <si>
    <t>主动基金上限</t>
  </si>
  <si>
    <t>三个产业趋势组合展示全部最新持仓；10-90（含基石）及30-70的结构偏离按目标配比监控。红色表示超过约束或预警阈值。</t>
  </si>
  <si>
    <t>数据截止日</t>
  </si>
  <si>
    <t>组合</t>
  </si>
  <si>
    <t>基金类型</t>
  </si>
  <si>
    <t>当前权重</t>
  </si>
  <si>
    <t>是否超限</t>
  </si>
  <si>
    <t>调仓生效日</t>
  </si>
  <si>
    <t>约束口径：仅“主动”基金适用单只20%上限；主题指数、指增、货币、债券及保障基金不纳入该上限。超限基金整行标红。</t>
  </si>
  <si>
    <t>增值目标</t>
  </si>
  <si>
    <t>增值当前</t>
  </si>
  <si>
    <t>偏离度</t>
  </si>
  <si>
    <t>生息目标</t>
  </si>
  <si>
    <t>生息当前</t>
  </si>
  <si>
    <t>10-90</t>
  </si>
  <si>
    <t>10-90基石</t>
  </si>
  <si>
    <t>30-70</t>
  </si>
  <si>
    <t>生息含债券、货币及保障类基金；默认预警阈值为±2个百分点，可在J2直接修改。偏离度=当前配比−目标配比。</t>
  </si>
  <si>
    <t>3. 增值部分内部产业趋势 / 指增当前配比</t>
  </si>
  <si>
    <t>产业趋势当前权重</t>
  </si>
  <si>
    <t>指增部分当前权重</t>
  </si>
  <si>
    <t>增值部分总权重</t>
  </si>
  <si>
    <t>产业趋势与指增的当前权重均以“增值部分总权重”为分母。</t>
  </si>
  <si>
    <t>核验：原模板8月10日当日行仅货币基金先更新，最大混频差为0.00044个百分点；改用2026-08-07完整净值后，与系统导出最大残差降至0.00010个百分点（约0.01bp，仅为6位小数舍入）。</t>
  </si>
  <si>
    <t>分类映射与自动计算明细（维护区）</t>
  </si>
  <si>
    <t>分类参考《增值_生息+产业趋势_指增.xlsx》；A/C份额继承同一基金分类。000917、009993及部分C份额为现持仓补充映射。</t>
  </si>
  <si>
    <t>大类</t>
  </si>
  <si>
    <t>增值细分</t>
  </si>
  <si>
    <t>管理方式</t>
  </si>
  <si>
    <t>分类依据</t>
  </si>
  <si>
    <t>产业趋势</t>
  </si>
  <si>
    <t>产业趋势基石</t>
  </si>
  <si>
    <t>产业趋势2号</t>
  </si>
  <si>
    <t>华安黄金ETF联接A</t>
  </si>
  <si>
    <t>生息</t>
  </si>
  <si>
    <t>-</t>
  </si>
  <si>
    <t>保障</t>
  </si>
  <si>
    <t>债券&amp;保障池子（保障）</t>
  </si>
  <si>
    <t>嘉实快线货币A</t>
  </si>
  <si>
    <t>货币</t>
  </si>
  <si>
    <t>现持仓补充</t>
  </si>
  <si>
    <t>宏利复兴混合A</t>
  </si>
  <si>
    <t>增值</t>
  </si>
  <si>
    <t>主动</t>
  </si>
  <si>
    <t>产业趋势产品池</t>
  </si>
  <si>
    <t>博道沪深300增强A</t>
  </si>
  <si>
    <t>指增</t>
  </si>
  <si>
    <t>宽基&amp;指增池</t>
  </si>
  <si>
    <t>博道沪深300指增C</t>
  </si>
  <si>
    <t>同基金A/C</t>
  </si>
  <si>
    <t>国泰通信设备ETF联接A</t>
  </si>
  <si>
    <t>指数</t>
  </si>
  <si>
    <t>国泰通信设备C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</si>
  <si>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</si>
  <si>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</si>
  <si>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</si>
  <si>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</si>
  <si>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</si>
  <si>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</si>
  <si>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</si>
  <si>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</si>
  <si>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</si>
  <si>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</si>
  <si>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</si>
  <si>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</si>
  <si>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</si>
  <si>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</si>
  <si>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</si>
  <si>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债券</t>
  </si>
  <si>
    <t>债券&amp;保障池子（生息）</t>
  </si>
  <si>
    <t>自动计算参数（公式区）</t>
  </si>
  <si>
    <t>最新完整净值行(相对A5)</t>
  </si>
  <si>
    <t>最新完整净值日期</t>
  </si>
  <si>
    <t>最新阶段行</t>
  </si>
  <si>
    <t>阶段标签</t>
  </si>
  <si>
    <t>归一化因子</t>
  </si>
  <si>
    <t>最近完整快照（2026-08-07，由模板净值和分期持仓重算；非系统导入）</t>
  </si>
  <si>
    <t>1. 产业趋势组合详细持仓及集中度风险</t>
    <phoneticPr fontId="35" type="noConversion"/>
  </si>
  <si>
    <t>2. 组合内部增值 / 生息配比偏离（10-90/30-70）</t>
    <phoneticPr fontId="35" type="noConversion"/>
  </si>
  <si>
    <t>序号</t>
  </si>
  <si>
    <t>产品/基金名称</t>
  </si>
  <si>
    <t>003504.OF</t>
  </si>
  <si>
    <t>000143.OF</t>
  </si>
  <si>
    <t>000385.OF</t>
  </si>
  <si>
    <t>002065.OF</t>
  </si>
  <si>
    <t>002969.OF</t>
  </si>
  <si>
    <t>014088.OF</t>
  </si>
  <si>
    <t>001751.OF</t>
  </si>
  <si>
    <t>014846.OF</t>
  </si>
  <si>
    <t>000171.OF</t>
  </si>
  <si>
    <t>202101.OF</t>
  </si>
  <si>
    <t>470010.OF</t>
  </si>
  <si>
    <t>000406.OF</t>
  </si>
  <si>
    <t>018595.OF</t>
  </si>
  <si>
    <t>020218.OF</t>
  </si>
  <si>
    <t>009355.OF</t>
  </si>
  <si>
    <t>024057.OF</t>
  </si>
  <si>
    <t>011168.OF</t>
  </si>
  <si>
    <t>嘉实睿享安久双利18个月持有期债券</t>
  </si>
  <si>
    <t>014738.OF</t>
  </si>
  <si>
    <t>006307.OF</t>
  </si>
  <si>
    <t>003458.OF</t>
  </si>
  <si>
    <t>110027.OF</t>
  </si>
  <si>
    <t>005221.OF</t>
  </si>
  <si>
    <t>160718.OF</t>
  </si>
  <si>
    <t>数据源：同花顺 iFinD；基金净值明细覆盖 2026-06-18 至 2026-08-10。</t>
  </si>
  <si>
    <t>景顺长城景颐丰利债券</t>
  </si>
  <si>
    <t>鹏华双债加利债券</t>
  </si>
  <si>
    <t>景顺长城景颐双利债券</t>
  </si>
  <si>
    <t>景顺长城景盛双息收益债券</t>
  </si>
  <si>
    <t>易方达丰和债券</t>
  </si>
  <si>
    <t>永赢稳健增强债券</t>
  </si>
  <si>
    <t>华商信用增强债券</t>
  </si>
  <si>
    <t>博时恒乐债券</t>
  </si>
  <si>
    <t>易方达裕丰回报债券</t>
  </si>
  <si>
    <t>南方宝元债券</t>
  </si>
  <si>
    <t>上线以来</t>
    <phoneticPr fontId="35" type="noConversion"/>
  </si>
  <si>
    <t>汇添富多元收益债券</t>
  </si>
  <si>
    <t>汇添富双利增强债券</t>
  </si>
  <si>
    <t>华商利欣回报债券</t>
  </si>
  <si>
    <t>万家锦利债券发起式</t>
  </si>
  <si>
    <t>宏利泰和稳健养老目标一年持有期混合(FOF)</t>
  </si>
  <si>
    <t>宏利鼎森稳健3个月持有期混合(FOF)</t>
  </si>
  <si>
    <t>广发恒祥债券</t>
  </si>
  <si>
    <t>嘉实养老目标日期2040五年持有期混合(FOF)</t>
  </si>
  <si>
    <t>嘉实稳宏债券</t>
  </si>
  <si>
    <t>易方达安心回报债券</t>
  </si>
  <si>
    <t>宏利全能优选混合(FOF)</t>
  </si>
  <si>
    <t>嘉实多利收益债券</t>
  </si>
  <si>
    <t>最大回撤按页首“上线以来”起止日计算；日期参数需选择净值明细中存在的日期，否则相应收益率留空。</t>
    <phoneticPr fontId="35" type="noConversion"/>
  </si>
  <si>
    <t>说明：基金收益率按复权单位净值计算；1090净值通过公式直接链接实盘净值数据</t>
    <phoneticPr fontId="35" type="noConversion"/>
  </si>
  <si>
    <t>26Q2规模（亿元）</t>
    <phoneticPr fontId="35" type="noConversion"/>
  </si>
  <si>
    <t>最大回撤（上线以来）</t>
    <phoneticPr fontId="35" type="noConversion"/>
  </si>
  <si>
    <t>公募固收+Q2规模增长前十基金表现</t>
    <phoneticPr fontId="35" type="noConversion"/>
  </si>
  <si>
    <t>公司公募固收+保有前十基金表现（2026Q2）</t>
    <phoneticPr fontId="35" type="noConversion"/>
  </si>
  <si>
    <t>公募固收+规模前十（2026Q2）基金表现</t>
    <phoneticPr fontId="35" type="noConversion"/>
  </si>
  <si>
    <t>6/22-7/30</t>
    <phoneticPr fontId="35" type="noConversion"/>
  </si>
  <si>
    <t>7.31至今</t>
    <phoneticPr fontId="35" type="noConversion"/>
  </si>
  <si>
    <t>10/90基石投顾组合</t>
    <phoneticPr fontId="35" type="noConversion"/>
  </si>
  <si>
    <t>公司固收加保有前十（万元）</t>
    <phoneticPr fontId="35" type="noConversion"/>
  </si>
  <si>
    <t>上周</t>
    <phoneticPr fontId="35" type="noConversion"/>
  </si>
  <si>
    <t>1090基石</t>
    <phoneticPr fontId="35" type="noConversion"/>
  </si>
  <si>
    <t>指标名称</t>
  </si>
  <si>
    <t>本周</t>
  </si>
  <si>
    <t>本月</t>
  </si>
  <si>
    <t>本季度</t>
  </si>
  <si>
    <t>本年</t>
  </si>
  <si>
    <t>近1周</t>
  </si>
  <si>
    <t>近1月</t>
  </si>
  <si>
    <t>近3月</t>
  </si>
  <si>
    <t>近6月</t>
  </si>
  <si>
    <t>近1年</t>
  </si>
  <si>
    <t>近3年</t>
  </si>
  <si>
    <t>近5年</t>
  </si>
  <si>
    <t>成立至今</t>
  </si>
  <si>
    <t>选择区间</t>
  </si>
  <si>
    <t>累计收益率</t>
  </si>
  <si>
    <t>-0.030252%</t>
  </si>
  <si>
    <t>1.799740%</t>
  </si>
  <si>
    <t>-0.804632%</t>
  </si>
  <si>
    <t>-0.535747%</t>
  </si>
  <si>
    <t>-0.387552%</t>
  </si>
  <si>
    <t>1.335983%</t>
  </si>
  <si>
    <t>基准收益率</t>
  </si>
  <si>
    <t>-0.028625%</t>
  </si>
  <si>
    <t>0.963579%</t>
  </si>
  <si>
    <t>-0.045171%</t>
  </si>
  <si>
    <t>0.236847%</t>
  </si>
  <si>
    <t>-0.218682%</t>
  </si>
  <si>
    <t>0.933315%</t>
  </si>
  <si>
    <t>年化收益率</t>
  </si>
  <si>
    <t>-10.455690%</t>
  </si>
  <si>
    <t>31.163777%</t>
  </si>
  <si>
    <t>-5.220241%</t>
  </si>
  <si>
    <t>-2.842259%</t>
  </si>
  <si>
    <t>-18.329155%</t>
  </si>
  <si>
    <t>16.912980%</t>
  </si>
  <si>
    <t>基准年化收益率</t>
  </si>
  <si>
    <t>-9.922182%</t>
  </si>
  <si>
    <t>15.701421%</t>
  </si>
  <si>
    <t>-0.299392%</t>
  </si>
  <si>
    <t>1.277906%</t>
  </si>
  <si>
    <t>-10.787738%</t>
  </si>
  <si>
    <t>11.558700%</t>
  </si>
  <si>
    <t>回撤率</t>
  </si>
  <si>
    <t>-0.472383%</t>
  </si>
  <si>
    <t>-0.771982%</t>
  </si>
  <si>
    <t>-2.886915%</t>
  </si>
  <si>
    <t>-1.157256%</t>
  </si>
  <si>
    <t>区间最大涨幅</t>
  </si>
  <si>
    <t>0.000000%</t>
  </si>
  <si>
    <t>2.282907%</t>
  </si>
  <si>
    <t>0.271066%</t>
  </si>
  <si>
    <t>1.816949%</t>
  </si>
  <si>
    <t>回撤最长修复时间</t>
  </si>
  <si>
    <t>3*</t>
  </si>
  <si>
    <t>4</t>
  </si>
  <si>
    <t>55*</t>
  </si>
  <si>
    <t>5</t>
  </si>
  <si>
    <t>6*</t>
  </si>
  <si>
    <t>10</t>
  </si>
  <si>
    <t>最大回撤修复时间</t>
  </si>
  <si>
    <t>未修复</t>
  </si>
  <si>
    <t>7</t>
  </si>
  <si>
    <t>基准回撤率</t>
  </si>
  <si>
    <t>-0.252567%</t>
  </si>
  <si>
    <t>基准最大回撤</t>
  </si>
  <si>
    <t>-0.444646%</t>
  </si>
  <si>
    <t>-1.357488%</t>
  </si>
  <si>
    <t>-0.470584%</t>
  </si>
  <si>
    <t>波动率</t>
  </si>
  <si>
    <t>--</t>
  </si>
  <si>
    <t>0.321241%</t>
  </si>
  <si>
    <t>0.383270%</t>
  </si>
  <si>
    <t>0.357635%</t>
  </si>
  <si>
    <t>0.397820%</t>
  </si>
  <si>
    <t>0.357248%</t>
  </si>
  <si>
    <t>基准波动率</t>
  </si>
  <si>
    <t>0.184951%</t>
  </si>
  <si>
    <t>0.220195%</t>
  </si>
  <si>
    <t>0.217573%</t>
  </si>
  <si>
    <t>0.233125%</t>
  </si>
  <si>
    <t>0.198592%</t>
  </si>
  <si>
    <t>5.099549%</t>
  </si>
  <si>
    <t>6.084215%</t>
  </si>
  <si>
    <t>5.677277%</t>
  </si>
  <si>
    <t>6.315191%</t>
  </si>
  <si>
    <t>5.671142%</t>
  </si>
  <si>
    <t>基准年化波动率</t>
  </si>
  <si>
    <t>2.935999%</t>
  </si>
  <si>
    <t>3.495492%</t>
  </si>
  <si>
    <t>3.453859%</t>
  </si>
  <si>
    <t>3.700744%</t>
  </si>
  <si>
    <t>3.152554%</t>
  </si>
  <si>
    <t>5.91628799</t>
  </si>
  <si>
    <t>-1.10453702</t>
  </si>
  <si>
    <t>-0.76484890</t>
  </si>
  <si>
    <t>-3.13991383</t>
  </si>
  <si>
    <t>2.76570661</t>
  </si>
  <si>
    <t>基准夏普比率</t>
  </si>
  <si>
    <t>4.90073388</t>
  </si>
  <si>
    <t>-0.51477497</t>
  </si>
  <si>
    <t>-0.06430301</t>
  </si>
  <si>
    <t>-3.32034300</t>
  </si>
  <si>
    <t>3.13216255</t>
  </si>
  <si>
    <t>-34561.950050%</t>
  </si>
  <si>
    <t>4036.851361%</t>
  </si>
  <si>
    <t>-180.824209%</t>
  </si>
  <si>
    <t>-98.453165%</t>
  </si>
  <si>
    <t>-2374.297336%</t>
  </si>
  <si>
    <t>1461.472250%</t>
  </si>
  <si>
    <t>赫斯特指数</t>
  </si>
  <si>
    <t>索提诺比率</t>
  </si>
  <si>
    <t>1819.659538%</t>
  </si>
  <si>
    <t>-307.872701%</t>
  </si>
  <si>
    <t>-272.716134%</t>
  </si>
  <si>
    <t>-1620.500417%</t>
  </si>
  <si>
    <t>963.037161%</t>
  </si>
  <si>
    <t>信息比率</t>
  </si>
  <si>
    <t>835.383163%</t>
  </si>
  <si>
    <t>-163.663076%</t>
  </si>
  <si>
    <t>-149.296442%</t>
  </si>
  <si>
    <t>-286.027835%</t>
  </si>
  <si>
    <t>249.670288%</t>
  </si>
  <si>
    <t>周转换手率</t>
  </si>
  <si>
    <t>6.601800%</t>
  </si>
  <si>
    <t>季度正收益</t>
  </si>
  <si>
    <t>50.000000%</t>
  </si>
  <si>
    <t>粘系统最新净值序列与绩效表</t>
    <phoneticPr fontId="35" type="noConversion"/>
  </si>
  <si>
    <t>003376.OF</t>
  </si>
  <si>
    <t>广发中债7-10年国开债A</t>
  </si>
  <si>
    <t>008015.OF</t>
  </si>
  <si>
    <t>嘉实中债3-5年国开债A</t>
  </si>
  <si>
    <t>各组合自其净值起始日起=1.0000；调仓日净值连续衔接；净值已按各自年化费率折每日扣费。净值源刷新后，本表与看板自动更新至最新净值日。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</si>
  <si>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</si>
  <si>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</si>
  <si>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</si>
  <si>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</si>
  <si>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</si>
  <si>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162210.OF</t>
    <phoneticPr fontId="35" type="noConversion"/>
  </si>
  <si>
    <t>最大回撤按页首“上线以来”起止日计算；日期参数需选择净值明细中存在的日期，否则相应收益率留空。</t>
    <phoneticPr fontId="35" type="noConversion"/>
  </si>
  <si>
    <t>公司固收加保有前十（万元）</t>
    <phoneticPr fontId="35" type="noConversion"/>
  </si>
  <si>
    <t>公司公募固收+保有前十基金表现（2026Q2）</t>
    <phoneticPr fontId="35" type="noConversion"/>
  </si>
  <si>
    <t>数据源：同花顺 iFinD</t>
    <phoneticPr fontId="35" type="noConversion"/>
  </si>
  <si>
    <t>博时恒乐债券</t>
    <phoneticPr fontId="35" type="noConversion"/>
  </si>
  <si>
    <t>华商信用增强债券</t>
    <phoneticPr fontId="35" type="noConversion"/>
  </si>
  <si>
    <t>易方达裕丰回报债券</t>
    <phoneticPr fontId="35" type="noConversion"/>
  </si>
  <si>
    <t>鹏华双债加利债券</t>
    <phoneticPr fontId="35" type="noConversion"/>
  </si>
  <si>
    <t>易方达丰和债券</t>
    <phoneticPr fontId="35" type="noConversion"/>
  </si>
  <si>
    <t>近一年最大回撤</t>
    <phoneticPr fontId="35" type="noConversion"/>
  </si>
  <si>
    <t>近一年</t>
    <phoneticPr fontId="35" type="noConversion"/>
  </si>
  <si>
    <t>近六月</t>
    <phoneticPr fontId="35" type="noConversion"/>
  </si>
  <si>
    <t>26Q2增长（亿元）</t>
    <phoneticPr fontId="35" type="noConversion"/>
  </si>
  <si>
    <t>公募固收+Q2规模增长前十基金表现</t>
    <phoneticPr fontId="35" type="noConversion"/>
  </si>
  <si>
    <t>10/90基石投顾组合</t>
    <phoneticPr fontId="35" type="noConversion"/>
  </si>
  <si>
    <t>最大回撤（6/22以来）</t>
    <phoneticPr fontId="35" type="noConversion"/>
  </si>
  <si>
    <t>近一年</t>
    <phoneticPr fontId="35" type="noConversion"/>
  </si>
  <si>
    <t>7/31以来</t>
    <phoneticPr fontId="35" type="noConversion"/>
  </si>
  <si>
    <t>6/22-7/30</t>
    <phoneticPr fontId="35" type="noConversion"/>
  </si>
  <si>
    <t>6/22以来</t>
    <phoneticPr fontId="35" type="noConversion"/>
  </si>
  <si>
    <t>上周</t>
    <phoneticPr fontId="35" type="noConversion"/>
  </si>
  <si>
    <t>26Q2规模（亿元）</t>
    <phoneticPr fontId="35" type="noConversion"/>
  </si>
  <si>
    <t>8/24-8/28</t>
    <phoneticPr fontId="35" type="noConversion"/>
  </si>
  <si>
    <t>序号</t>
    <phoneticPr fontId="35" type="noConversion"/>
  </si>
  <si>
    <t>公募固收+规模前十（2026Q2）基金表现</t>
    <phoneticPr fontId="35" type="noConversion"/>
  </si>
  <si>
    <t>0.99418940</t>
  </si>
  <si>
    <t>0.99480681</t>
  </si>
  <si>
    <t>0.99667116</t>
  </si>
  <si>
    <t>0.99535692</t>
  </si>
  <si>
    <t>0.99458440</t>
  </si>
  <si>
    <t>0.99283612</t>
  </si>
  <si>
    <t>0.98988810</t>
  </si>
  <si>
    <t>0.99127837</t>
  </si>
  <si>
    <t>0.98987515</t>
  </si>
  <si>
    <t>0.99250019</t>
  </si>
  <si>
    <t>0.99210689</t>
  </si>
  <si>
    <t>0.99205849</t>
  </si>
  <si>
    <t>0.99143685</t>
  </si>
  <si>
    <t>0.98923312</t>
  </si>
  <si>
    <t>0.98814586</t>
  </si>
  <si>
    <t>0.98836418</t>
  </si>
  <si>
    <t>0.99193955</t>
  </si>
  <si>
    <t>1.00000000</t>
  </si>
  <si>
    <t>1.00141431</t>
  </si>
  <si>
    <t>0.99948240</t>
  </si>
  <si>
    <t>1.00138192</t>
  </si>
  <si>
    <t>1.00327268</t>
  </si>
  <si>
    <t>1.00086493</t>
  </si>
  <si>
    <t>0.99528176</t>
  </si>
  <si>
    <t>0.99645158</t>
  </si>
  <si>
    <t>0.99563225</t>
  </si>
  <si>
    <t>0.99480363</t>
  </si>
  <si>
    <t>0.99491291</t>
  </si>
  <si>
    <t>0.99993265</t>
  </si>
  <si>
    <t>0.99608736</t>
  </si>
  <si>
    <t>0.99082824</t>
  </si>
  <si>
    <t>0.99325571</t>
  </si>
  <si>
    <t>0.99062576</t>
  </si>
  <si>
    <t>0.98667073</t>
  </si>
  <si>
    <t>0.98008903</t>
  </si>
  <si>
    <t>0.97683759</t>
  </si>
  <si>
    <t>0.98586080</t>
  </si>
  <si>
    <t>0.98570780</t>
  </si>
  <si>
    <t>0.98438731</t>
  </si>
  <si>
    <t>0.98336003</t>
  </si>
  <si>
    <t>0.98687417</t>
  </si>
  <si>
    <t>0.98060895</t>
  </si>
  <si>
    <t>0.98017950</t>
  </si>
  <si>
    <t>0.97603230</t>
  </si>
  <si>
    <t>0.97918283</t>
  </si>
  <si>
    <t>0.97636941</t>
  </si>
  <si>
    <t>0.98084157</t>
  </si>
  <si>
    <t>0.98566565</t>
  </si>
  <si>
    <t>0.98799038</t>
  </si>
  <si>
    <t>0.99109277</t>
  </si>
  <si>
    <t>0.99331943</t>
  </si>
  <si>
    <t>0.99195087</t>
  </si>
  <si>
    <t>0.99435477</t>
  </si>
  <si>
    <t>0.99365888</t>
  </si>
  <si>
    <t>0.99402653</t>
  </si>
  <si>
    <t>0.99886999</t>
  </si>
  <si>
    <t>0.99969241</t>
  </si>
  <si>
    <t>0.99205678</t>
  </si>
  <si>
    <t>0.99394669</t>
  </si>
  <si>
    <t>0.99530294</t>
  </si>
  <si>
    <t>0.99503994</t>
  </si>
  <si>
    <t>0.99388641</t>
  </si>
  <si>
    <t>0.99442932</t>
  </si>
  <si>
    <t>0.99653170</t>
  </si>
  <si>
    <t>0.99520286</t>
  </si>
  <si>
    <t>0.99440435</t>
  </si>
  <si>
    <t>0.99258334</t>
  </si>
  <si>
    <t>0.98972344</t>
  </si>
  <si>
    <t>0.99114790</t>
  </si>
  <si>
    <t>0.98978372</t>
  </si>
  <si>
    <t>0.99274662</t>
  </si>
  <si>
    <t>0.99237577</t>
  </si>
  <si>
    <t>0.99244161</t>
  </si>
  <si>
    <t>0.99194646</t>
  </si>
  <si>
    <t>0.98973237</t>
  </si>
  <si>
    <t>0.98869677</t>
  </si>
  <si>
    <t>0.98896197</t>
  </si>
  <si>
    <t>0.99271053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</si>
</sst>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0.00000000%"/>
    <numFmt numFmtId="185" formatCode="yyyy\-mm\-dd\ h:mm:ss"/>
    <numFmt numFmtId="186" formatCode="0.00%;[Red]\(0.00%\);\-"/>
    <numFmt numFmtId="187" formatCode="0.00%;\(0.00%\);\-"/>
    <numFmt numFmtId="188" formatCode="0.000000"/>
    <numFmt numFmtId="189" formatCode="0.00_);[Red]\(0.00\)"/>
    <numFmt numFmtId="190" formatCode="_ * #,##0_ ;_ * \-#,##0_ ;_ * &quot;-&quot;??_ ;_ @_ "/>
    <numFmt numFmtId="191" formatCode="yyyy/mm/dd"/>
    <numFmt numFmtId="192" formatCode="#,##0.0000"/>
    <numFmt numFmtId="193" formatCode="0.00000%"/>
    <numFmt numFmtId="194" formatCode="_ * #,##0.0000_ ;_ * \-#,##0.0000_ ;_ * &quot;-&quot;??_ ;_ @_ "/>
  </numFmts>
  <fonts count="70">
    <font>
      <sz val="10"/>
      <name val="Linux Libertine G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</font>
    <font>
      <b/>
      <sz val="15"/>
      <color rgb="FFFFFFFF"/>
      <name val="Linux Libertine G"/>
    </font>
    <font>
      <b/>
      <sz val="15"/>
      <color rgb="FFFFFFFF"/>
      <name val="Arial"/>
      <family val="2"/>
    </font>
    <font>
      <b/>
      <sz val="10"/>
      <color rgb="FFFFFFFF"/>
      <name val="Linux Libertine G"/>
    </font>
    <font>
      <b/>
      <sz val="10"/>
      <color rgb="FF000000"/>
      <name val="Linux Libertine G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</font>
    <font>
      <i/>
      <sz val="9"/>
      <color rgb="FF595959"/>
      <name val="Arial"/>
      <family val="2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</font>
    <font>
      <b/>
      <sz val="11"/>
      <color rgb="FFFFFFFF"/>
      <name val="Arial"/>
      <family val="2"/>
    </font>
    <font>
      <sz val="10"/>
      <color rgb="FF000000"/>
      <name val="Linux Libertine G"/>
    </font>
    <font>
      <sz val="11"/>
      <color theme="1"/>
      <name val="Linux Libertine G"/>
    </font>
    <font>
      <sz val="10"/>
      <name val="Arial"/>
      <family val="2"/>
    </font>
    <font>
      <sz val="11"/>
      <color theme="1"/>
      <name val="宋体"/>
      <family val="3"/>
      <charset val="134"/>
    </font>
    <font>
      <b/>
      <sz val="17"/>
      <color rgb="FFFFFFFF"/>
      <name val="Linux Libertine G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6"/>
      <color rgb="FF000000"/>
      <name val="Linux Libertine G"/>
    </font>
    <font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theme="1"/>
      <name val="Linux Libertine G"/>
    </font>
    <font>
      <b/>
      <sz val="17"/>
      <color rgb="FFFFFFFF"/>
      <name val="Arial"/>
      <family val="2"/>
    </font>
    <font>
      <b/>
      <sz val="18"/>
      <color rgb="FF1F3864"/>
      <name val="Linux Libertine G"/>
    </font>
    <font>
      <b/>
      <sz val="18"/>
      <color rgb="FF1F3864"/>
      <name val="Arial"/>
      <family val="2"/>
    </font>
    <font>
      <b/>
      <sz val="12"/>
      <color rgb="FF1F3864"/>
      <name val="Linux Libertine G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b/>
      <sz val="9"/>
      <color rgb="FF0000FF"/>
      <name val="Arial"/>
      <family val="2"/>
    </font>
    <font>
      <i/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rgb="FF000000"/>
      <name val="微软雅黑"/>
      <family val="2"/>
      <charset val="134"/>
    </font>
    <font>
      <i/>
      <sz val="8"/>
      <color rgb="FF595959"/>
      <name val="微软雅黑"/>
      <family val="2"/>
      <charset val="134"/>
    </font>
    <font>
      <sz val="8"/>
      <color rgb="FF595959"/>
      <name val="微软雅黑"/>
      <family val="2"/>
      <charset val="134"/>
    </font>
    <font>
      <b/>
      <sz val="8"/>
      <color rgb="FF1F3864"/>
      <name val="微软雅黑"/>
      <family val="2"/>
      <charset val="134"/>
    </font>
    <font>
      <sz val="7"/>
      <color rgb="FF000000"/>
      <name val="微软雅黑"/>
      <family val="2"/>
      <charset val="134"/>
    </font>
    <font>
      <b/>
      <sz val="15"/>
      <color rgb="FFFFFFFF"/>
      <name val="Linux Libertine G"/>
      <family val="2"/>
    </font>
    <font>
      <b/>
      <sz val="10"/>
      <color rgb="FF000000"/>
      <name val="Linux Libertine G"/>
      <family val="2"/>
    </font>
    <font>
      <i/>
      <sz val="9"/>
      <color rgb="FF595959"/>
      <name val="Linux Libertine G"/>
      <family val="2"/>
    </font>
    <font>
      <b/>
      <sz val="15"/>
      <color rgb="FFFFFFFF"/>
      <name val="宋体"/>
      <family val="3"/>
    </font>
    <font>
      <b/>
      <sz val="11"/>
      <color rgb="FFFFFFFF"/>
      <name val="Linux Libertine G"/>
      <family val="2"/>
    </font>
    <font>
      <sz val="10"/>
      <name val="Linux Libertine G"/>
      <family val="2"/>
    </font>
    <font>
      <sz val="11"/>
      <color theme="1"/>
      <name val="Linux Libertine G"/>
      <family val="2"/>
    </font>
    <font>
      <sz val="11"/>
      <color theme="1"/>
      <name val="宋体"/>
      <family val="2"/>
    </font>
    <font>
      <b/>
      <sz val="16"/>
      <color rgb="FF000000"/>
      <name val="Linux Libertine G"/>
      <family val="2"/>
    </font>
    <font>
      <b/>
      <sz val="16"/>
      <color rgb="FF000000"/>
      <name val="微软雅黑"/>
      <family val="2"/>
    </font>
    <font>
      <b/>
      <sz val="17"/>
      <color rgb="FFFFFFFF"/>
      <name val="Linux Libertine G"/>
      <family val="2"/>
    </font>
    <font>
      <b/>
      <sz val="18"/>
      <color rgb="FF1F3864"/>
      <name val="Linux Libertine G"/>
      <family val="2"/>
    </font>
    <font>
      <sz val="10"/>
      <color rgb="FF000000"/>
      <name val="Linux Libertine G"/>
      <family val="2"/>
    </font>
    <font>
      <sz val="10"/>
      <color rgb="FF000000"/>
      <name val="微软雅黑"/>
      <family val="2"/>
    </font>
    <font>
      <sz val="10"/>
      <name val="Linux Libertine G"/>
    </font>
    <font>
      <b/>
      <sz val="11"/>
      <color rgb="FFFFFFFF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AF0F8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 style="thin">
        <color rgb="FF355E84"/>
      </bottom>
      <diagonal/>
    </border>
    <border>
      <left style="thin">
        <color rgb="FFA6A6A6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/>
      <diagonal/>
    </border>
    <border>
      <left style="thin">
        <color rgb="FFD9E2F3"/>
      </left>
      <right style="thin">
        <color rgb="FFD9E2F3"/>
      </right>
      <top style="thin">
        <color rgb="FFB4C6E7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 style="thin">
        <color rgb="FF355E84"/>
      </bottom>
      <diagonal/>
    </border>
    <border>
      <left/>
      <right/>
      <top style="thin">
        <color theme="4"/>
      </top>
      <bottom style="thin">
        <color rgb="FFA6A6A6"/>
      </bottom>
      <diagonal/>
    </border>
    <border>
      <left style="thin">
        <color rgb="FFD9E2F3"/>
      </left>
      <right/>
      <top style="thin">
        <color rgb="FFA6A6A6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B4C6E7"/>
      </bottom>
      <diagonal/>
    </border>
    <border>
      <left style="thin">
        <color rgb="FF355E84"/>
      </left>
      <right style="thin">
        <color rgb="FF355E8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rgb="FFA6A6A6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/>
      <diagonal/>
    </border>
    <border>
      <left style="thin">
        <color rgb="FFD9E2F3"/>
      </left>
      <right/>
      <top style="thin">
        <color rgb="FFB4C6E7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/>
    <xf numFmtId="9" fontId="2" fillId="0" borderId="0" applyBorder="0" applyAlignment="0" applyProtection="0"/>
    <xf numFmtId="9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</cellStyleXfs>
  <cellXfs count="175">
    <xf numFmtId="0" fontId="0" fillId="0" borderId="0" xfId="0"/>
    <xf numFmtId="0" fontId="6" fillId="3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center" vertical="center" wrapText="1"/>
    </xf>
    <xf numFmtId="0" fontId="9" fillId="5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left" vertical="center"/>
    </xf>
    <xf numFmtId="10" fontId="10" fillId="0" borderId="2" xfId="5" applyNumberFormat="1" applyFont="1" applyBorder="1" applyAlignment="1">
      <alignment horizontal="center" vertical="center" wrapText="1"/>
    </xf>
    <xf numFmtId="180" fontId="11" fillId="5" borderId="2" xfId="5" applyNumberFormat="1" applyFont="1" applyFill="1" applyBorder="1" applyAlignment="1">
      <alignment horizontal="center" vertical="center" wrapText="1"/>
    </xf>
    <xf numFmtId="180" fontId="12" fillId="6" borderId="2" xfId="5" applyNumberFormat="1" applyFont="1" applyFill="1" applyBorder="1" applyAlignment="1">
      <alignment horizontal="center" vertical="center"/>
    </xf>
    <xf numFmtId="181" fontId="10" fillId="5" borderId="2" xfId="5" applyNumberFormat="1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0" fontId="13" fillId="0" borderId="0" xfId="5" applyFont="1"/>
    <xf numFmtId="182" fontId="15" fillId="0" borderId="0" xfId="5" applyNumberFormat="1" applyFont="1"/>
    <xf numFmtId="0" fontId="16" fillId="5" borderId="2" xfId="5" applyFont="1" applyFill="1" applyBorder="1" applyAlignment="1">
      <alignment horizontal="center" vertical="center" wrapText="1"/>
    </xf>
    <xf numFmtId="183" fontId="9" fillId="0" borderId="2" xfId="5" applyNumberFormat="1" applyFont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 wrapText="1"/>
    </xf>
    <xf numFmtId="181" fontId="16" fillId="5" borderId="2" xfId="5" applyNumberFormat="1" applyFont="1" applyFill="1" applyBorder="1" applyAlignment="1">
      <alignment horizontal="center" vertical="center" wrapText="1"/>
    </xf>
    <xf numFmtId="10" fontId="19" fillId="0" borderId="2" xfId="5" applyNumberFormat="1" applyFont="1" applyBorder="1" applyAlignment="1">
      <alignment horizontal="center" vertical="center" wrapText="1"/>
    </xf>
    <xf numFmtId="10" fontId="20" fillId="0" borderId="0" xfId="5" applyNumberFormat="1" applyFont="1"/>
    <xf numFmtId="184" fontId="20" fillId="0" borderId="0" xfId="5" applyNumberFormat="1" applyFont="1"/>
    <xf numFmtId="0" fontId="20" fillId="0" borderId="0" xfId="0" applyFont="1"/>
    <xf numFmtId="0" fontId="15" fillId="0" borderId="0" xfId="5" applyFont="1"/>
    <xf numFmtId="10" fontId="21" fillId="0" borderId="0" xfId="0" applyNumberFormat="1" applyFont="1"/>
    <xf numFmtId="185" fontId="15" fillId="0" borderId="0" xfId="5" applyNumberFormat="1" applyFont="1"/>
    <xf numFmtId="0" fontId="22" fillId="0" borderId="0" xfId="5" applyFont="1"/>
    <xf numFmtId="0" fontId="21" fillId="0" borderId="0" xfId="0" applyFont="1"/>
    <xf numFmtId="181" fontId="3" fillId="0" borderId="0" xfId="5" applyNumberFormat="1"/>
    <xf numFmtId="0" fontId="7" fillId="5" borderId="2" xfId="5" applyFont="1" applyFill="1" applyBorder="1" applyAlignment="1">
      <alignment horizontal="center" vertical="center" wrapText="1"/>
    </xf>
    <xf numFmtId="183" fontId="24" fillId="0" borderId="2" xfId="5" applyNumberFormat="1" applyFont="1" applyBorder="1" applyAlignment="1">
      <alignment horizontal="center" vertical="center" wrapText="1"/>
    </xf>
    <xf numFmtId="10" fontId="25" fillId="0" borderId="2" xfId="5" applyNumberFormat="1" applyFont="1" applyBorder="1" applyAlignment="1">
      <alignment horizontal="center" vertical="center" wrapText="1"/>
    </xf>
    <xf numFmtId="10" fontId="24" fillId="0" borderId="2" xfId="5" applyNumberFormat="1" applyFont="1" applyBorder="1" applyAlignment="1">
      <alignment horizontal="center" vertical="center" wrapText="1"/>
    </xf>
    <xf numFmtId="2" fontId="24" fillId="0" borderId="2" xfId="5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left" vertical="center"/>
    </xf>
    <xf numFmtId="10" fontId="27" fillId="0" borderId="2" xfId="5" applyNumberFormat="1" applyFont="1" applyBorder="1" applyAlignment="1">
      <alignment horizontal="center" vertical="center" wrapText="1"/>
    </xf>
    <xf numFmtId="0" fontId="28" fillId="0" borderId="2" xfId="5" applyFont="1" applyBorder="1" applyAlignment="1">
      <alignment horizontal="left" vertical="center"/>
    </xf>
    <xf numFmtId="1" fontId="27" fillId="0" borderId="2" xfId="5" applyNumberFormat="1" applyFont="1" applyBorder="1" applyAlignment="1">
      <alignment horizontal="center" vertical="center" wrapText="1"/>
    </xf>
    <xf numFmtId="180" fontId="27" fillId="0" borderId="2" xfId="5" applyNumberFormat="1" applyFont="1" applyBorder="1" applyAlignment="1">
      <alignment horizontal="center" vertical="center" wrapText="1"/>
    </xf>
    <xf numFmtId="2" fontId="27" fillId="0" borderId="2" xfId="5" applyNumberFormat="1" applyFont="1" applyBorder="1" applyAlignment="1">
      <alignment horizontal="center" vertical="center" wrapText="1"/>
    </xf>
    <xf numFmtId="0" fontId="29" fillId="0" borderId="0" xfId="5" applyFont="1"/>
    <xf numFmtId="0" fontId="31" fillId="0" borderId="0" xfId="5" applyFont="1"/>
    <xf numFmtId="0" fontId="3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180" fontId="10" fillId="6" borderId="2" xfId="5" applyNumberFormat="1" applyFont="1" applyFill="1" applyBorder="1"/>
    <xf numFmtId="0" fontId="10" fillId="6" borderId="2" xfId="5" applyFont="1" applyFill="1" applyBorder="1"/>
    <xf numFmtId="0" fontId="37" fillId="8" borderId="2" xfId="0" applyFont="1" applyFill="1" applyBorder="1" applyAlignment="1">
      <alignment horizontal="center" vertical="center"/>
    </xf>
    <xf numFmtId="181" fontId="37" fillId="8" borderId="2" xfId="0" applyNumberFormat="1" applyFont="1" applyFill="1" applyBorder="1" applyAlignment="1">
      <alignment horizontal="center" vertical="center"/>
    </xf>
    <xf numFmtId="186" fontId="38" fillId="9" borderId="2" xfId="0" applyNumberFormat="1" applyFont="1" applyFill="1" applyBorder="1" applyAlignment="1">
      <alignment horizontal="center" vertical="center"/>
    </xf>
    <xf numFmtId="0" fontId="40" fillId="10" borderId="0" xfId="0" applyFont="1" applyFill="1" applyAlignment="1">
      <alignment horizontal="left" vertical="center"/>
    </xf>
    <xf numFmtId="181" fontId="37" fillId="11" borderId="2" xfId="0" applyNumberFormat="1" applyFont="1" applyFill="1" applyBorder="1" applyAlignment="1">
      <alignment horizontal="center" vertical="center"/>
    </xf>
    <xf numFmtId="0" fontId="41" fillId="12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vertical="center"/>
    </xf>
    <xf numFmtId="181" fontId="42" fillId="0" borderId="2" xfId="0" applyNumberFormat="1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186" fontId="42" fillId="0" borderId="2" xfId="0" applyNumberFormat="1" applyFont="1" applyBorder="1" applyAlignment="1">
      <alignment horizontal="right" vertical="center"/>
    </xf>
    <xf numFmtId="181" fontId="42" fillId="0" borderId="2" xfId="0" applyNumberFormat="1" applyFont="1" applyBorder="1" applyAlignment="1">
      <alignment horizontal="center" vertical="center"/>
    </xf>
    <xf numFmtId="187" fontId="42" fillId="0" borderId="2" xfId="0" applyNumberFormat="1" applyFont="1" applyBorder="1" applyAlignment="1">
      <alignment horizontal="right" vertical="center"/>
    </xf>
    <xf numFmtId="0" fontId="37" fillId="11" borderId="2" xfId="0" applyFont="1" applyFill="1" applyBorder="1" applyAlignment="1">
      <alignment vertical="center"/>
    </xf>
    <xf numFmtId="186" fontId="37" fillId="11" borderId="2" xfId="0" applyNumberFormat="1" applyFont="1" applyFill="1" applyBorder="1" applyAlignment="1">
      <alignment horizontal="right" vertical="center"/>
    </xf>
    <xf numFmtId="1" fontId="42" fillId="0" borderId="2" xfId="0" applyNumberFormat="1" applyFont="1" applyBorder="1" applyAlignment="1">
      <alignment vertical="center"/>
    </xf>
    <xf numFmtId="188" fontId="42" fillId="0" borderId="2" xfId="0" applyNumberFormat="1" applyFont="1" applyBorder="1" applyAlignment="1">
      <alignment vertical="center"/>
    </xf>
    <xf numFmtId="0" fontId="45" fillId="8" borderId="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62" fillId="14" borderId="4" xfId="0" applyFont="1" applyFill="1" applyBorder="1" applyAlignment="1">
      <alignment horizontal="center" vertical="center" wrapText="1"/>
    </xf>
    <xf numFmtId="0" fontId="63" fillId="15" borderId="5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left" vertical="center"/>
    </xf>
    <xf numFmtId="0" fontId="64" fillId="0" borderId="7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8" xfId="0" applyFont="1" applyBorder="1" applyAlignment="1">
      <alignment horizontal="left" vertical="center"/>
    </xf>
    <xf numFmtId="0" fontId="64" fillId="16" borderId="7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left" vertical="center"/>
    </xf>
    <xf numFmtId="0" fontId="64" fillId="16" borderId="9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left" vertical="center"/>
    </xf>
    <xf numFmtId="0" fontId="64" fillId="16" borderId="11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left" vertical="center"/>
    </xf>
    <xf numFmtId="0" fontId="62" fillId="14" borderId="16" xfId="0" applyFont="1" applyFill="1" applyBorder="1" applyAlignment="1">
      <alignment horizontal="center" vertical="center" wrapText="1"/>
    </xf>
    <xf numFmtId="14" fontId="0" fillId="0" borderId="0" xfId="0" applyNumberFormat="1"/>
    <xf numFmtId="0" fontId="62" fillId="14" borderId="22" xfId="0" applyFont="1" applyFill="1" applyBorder="1" applyAlignment="1">
      <alignment horizontal="center" vertical="center" wrapText="1"/>
    </xf>
    <xf numFmtId="189" fontId="0" fillId="0" borderId="0" xfId="0" applyNumberFormat="1"/>
    <xf numFmtId="0" fontId="63" fillId="15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3" fillId="15" borderId="18" xfId="0" applyFont="1" applyFill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16" borderId="19" xfId="0" applyFont="1" applyFill="1" applyBorder="1" applyAlignment="1">
      <alignment horizontal="center" vertical="center"/>
    </xf>
    <xf numFmtId="0" fontId="64" fillId="16" borderId="20" xfId="0" applyFont="1" applyFill="1" applyBorder="1" applyAlignment="1">
      <alignment horizontal="center" vertical="center"/>
    </xf>
    <xf numFmtId="0" fontId="62" fillId="14" borderId="4" xfId="0" applyFont="1" applyFill="1" applyBorder="1" applyAlignment="1">
      <alignment horizontal="left" vertical="center"/>
    </xf>
    <xf numFmtId="0" fontId="62" fillId="13" borderId="15" xfId="0" applyFont="1" applyFill="1" applyBorder="1" applyAlignment="1">
      <alignment vertical="center"/>
    </xf>
    <xf numFmtId="0" fontId="62" fillId="13" borderId="0" xfId="0" applyFont="1" applyFill="1" applyAlignment="1">
      <alignment vertical="center"/>
    </xf>
    <xf numFmtId="0" fontId="62" fillId="14" borderId="22" xfId="0" applyFont="1" applyFill="1" applyBorder="1" applyAlignment="1">
      <alignment horizontal="left" vertical="center"/>
    </xf>
    <xf numFmtId="190" fontId="64" fillId="0" borderId="8" xfId="8" applyNumberFormat="1" applyFont="1" applyBorder="1" applyAlignment="1">
      <alignment vertical="center"/>
    </xf>
    <xf numFmtId="190" fontId="64" fillId="16" borderId="8" xfId="8" applyNumberFormat="1" applyFont="1" applyFill="1" applyBorder="1" applyAlignment="1">
      <alignment vertical="center"/>
    </xf>
    <xf numFmtId="190" fontId="64" fillId="16" borderId="10" xfId="8" applyNumberFormat="1" applyFont="1" applyFill="1" applyBorder="1" applyAlignment="1">
      <alignment vertical="center"/>
    </xf>
    <xf numFmtId="10" fontId="66" fillId="15" borderId="0" xfId="0" applyNumberFormat="1" applyFont="1" applyFill="1" applyAlignment="1">
      <alignment horizontal="center" vertical="center"/>
    </xf>
    <xf numFmtId="10" fontId="67" fillId="0" borderId="0" xfId="7" applyNumberFormat="1" applyFont="1" applyBorder="1" applyAlignment="1">
      <alignment horizontal="center" vertical="center"/>
    </xf>
    <xf numFmtId="10" fontId="68" fillId="16" borderId="0" xfId="0" applyNumberFormat="1" applyFont="1" applyFill="1" applyAlignment="1">
      <alignment horizontal="center" vertical="center"/>
    </xf>
    <xf numFmtId="10" fontId="68" fillId="0" borderId="13" xfId="7" applyNumberFormat="1" applyFont="1" applyBorder="1" applyAlignment="1">
      <alignment horizontal="right" vertical="center"/>
    </xf>
    <xf numFmtId="10" fontId="68" fillId="16" borderId="17" xfId="0" applyNumberFormat="1" applyFont="1" applyFill="1" applyBorder="1" applyAlignment="1">
      <alignment horizontal="right" vertical="center"/>
    </xf>
    <xf numFmtId="10" fontId="66" fillId="15" borderId="13" xfId="0" applyNumberFormat="1" applyFont="1" applyFill="1" applyBorder="1" applyAlignment="1">
      <alignment horizontal="center" vertical="center"/>
    </xf>
    <xf numFmtId="10" fontId="66" fillId="15" borderId="21" xfId="0" applyNumberFormat="1" applyFont="1" applyFill="1" applyBorder="1" applyAlignment="1">
      <alignment horizontal="center" vertical="center"/>
    </xf>
    <xf numFmtId="10" fontId="68" fillId="0" borderId="13" xfId="7" applyNumberFormat="1" applyFont="1" applyBorder="1" applyAlignment="1">
      <alignment horizontal="center" vertical="center"/>
    </xf>
    <xf numFmtId="10" fontId="68" fillId="0" borderId="14" xfId="7" applyNumberFormat="1" applyFont="1" applyBorder="1" applyAlignment="1">
      <alignment horizontal="center" vertical="center"/>
    </xf>
    <xf numFmtId="10" fontId="68" fillId="16" borderId="13" xfId="0" applyNumberFormat="1" applyFont="1" applyFill="1" applyBorder="1" applyAlignment="1">
      <alignment horizontal="center" vertical="center"/>
    </xf>
    <xf numFmtId="10" fontId="68" fillId="16" borderId="14" xfId="0" applyNumberFormat="1" applyFont="1" applyFill="1" applyBorder="1" applyAlignment="1">
      <alignment horizontal="center" vertical="center"/>
    </xf>
    <xf numFmtId="10" fontId="68" fillId="16" borderId="17" xfId="0" applyNumberFormat="1" applyFont="1" applyFill="1" applyBorder="1" applyAlignment="1">
      <alignment horizontal="center" vertical="center"/>
    </xf>
    <xf numFmtId="10" fontId="68" fillId="16" borderId="23" xfId="0" applyNumberFormat="1" applyFont="1" applyFill="1" applyBorder="1" applyAlignment="1">
      <alignment horizontal="center" vertical="center"/>
    </xf>
    <xf numFmtId="10" fontId="66" fillId="15" borderId="13" xfId="0" applyNumberFormat="1" applyFont="1" applyFill="1" applyBorder="1" applyAlignment="1">
      <alignment vertical="center"/>
    </xf>
    <xf numFmtId="10" fontId="68" fillId="0" borderId="13" xfId="7" applyNumberFormat="1" applyFont="1" applyBorder="1" applyAlignment="1">
      <alignment vertical="center"/>
    </xf>
    <xf numFmtId="10" fontId="68" fillId="16" borderId="13" xfId="0" applyNumberFormat="1" applyFont="1" applyFill="1" applyBorder="1" applyAlignment="1">
      <alignment vertical="center"/>
    </xf>
    <xf numFmtId="14" fontId="0" fillId="18" borderId="0" xfId="0" applyNumberFormat="1" applyFill="1"/>
    <xf numFmtId="14" fontId="0" fillId="0" borderId="0" xfId="0" applyNumberFormat="1" applyAlignment="1">
      <alignment horizontal="center"/>
    </xf>
    <xf numFmtId="14" fontId="0" fillId="18" borderId="0" xfId="0" applyNumberFormat="1" applyFill="1" applyAlignment="1">
      <alignment horizontal="center"/>
    </xf>
    <xf numFmtId="0" fontId="67" fillId="0" borderId="0" xfId="0" applyFont="1"/>
    <xf numFmtId="0" fontId="0" fillId="0" borderId="0" xfId="0" applyNumberFormat="1"/>
    <xf numFmtId="191" fontId="0" fillId="0" borderId="0" xfId="0" applyNumberFormat="1"/>
    <xf numFmtId="0" fontId="69" fillId="18" borderId="0" xfId="0" applyFont="1" applyFill="1"/>
    <xf numFmtId="10" fontId="0" fillId="18" borderId="0" xfId="0" applyNumberFormat="1" applyFill="1" applyAlignment="1">
      <alignment horizontal="left" indent="3"/>
    </xf>
    <xf numFmtId="0" fontId="65" fillId="17" borderId="0" xfId="0" applyFont="1" applyFill="1" applyAlignment="1">
      <alignment vertical="center" wrapText="1"/>
    </xf>
    <xf numFmtId="10" fontId="66" fillId="15" borderId="0" xfId="0" applyNumberFormat="1" applyFont="1" applyFill="1" applyBorder="1" applyAlignment="1">
      <alignment horizontal="center" vertical="center"/>
    </xf>
    <xf numFmtId="0" fontId="65" fillId="17" borderId="26" xfId="0" applyFont="1" applyFill="1" applyBorder="1" applyAlignment="1">
      <alignment vertical="center"/>
    </xf>
    <xf numFmtId="1" fontId="68" fillId="16" borderId="25" xfId="0" applyNumberFormat="1" applyFont="1" applyFill="1" applyBorder="1" applyAlignment="1">
      <alignment horizontal="center" vertical="center"/>
    </xf>
    <xf numFmtId="0" fontId="68" fillId="16" borderId="10" xfId="0" applyFont="1" applyFill="1" applyBorder="1" applyAlignment="1">
      <alignment horizontal="left" vertical="center"/>
    </xf>
    <xf numFmtId="0" fontId="68" fillId="16" borderId="10" xfId="0" applyFont="1" applyFill="1" applyBorder="1" applyAlignment="1">
      <alignment horizontal="center" vertical="center"/>
    </xf>
    <xf numFmtId="1" fontId="68" fillId="0" borderId="19" xfId="0" applyNumberFormat="1" applyFont="1" applyBorder="1" applyAlignment="1">
      <alignment horizontal="center" vertical="center"/>
    </xf>
    <xf numFmtId="0" fontId="68" fillId="0" borderId="8" xfId="0" applyFont="1" applyBorder="1" applyAlignment="1">
      <alignment horizontal="left" vertical="center"/>
    </xf>
    <xf numFmtId="0" fontId="68" fillId="0" borderId="8" xfId="0" applyFont="1" applyBorder="1" applyAlignment="1">
      <alignment horizontal="center" vertical="center"/>
    </xf>
    <xf numFmtId="1" fontId="68" fillId="16" borderId="19" xfId="0" applyNumberFormat="1" applyFont="1" applyFill="1" applyBorder="1" applyAlignment="1">
      <alignment horizontal="center" vertical="center"/>
    </xf>
    <xf numFmtId="0" fontId="68" fillId="16" borderId="8" xfId="0" applyFont="1" applyFill="1" applyBorder="1" applyAlignment="1">
      <alignment horizontal="left" vertical="center"/>
    </xf>
    <xf numFmtId="0" fontId="68" fillId="16" borderId="8" xfId="0" applyFont="1" applyFill="1" applyBorder="1" applyAlignment="1">
      <alignment horizontal="center" vertical="center"/>
    </xf>
    <xf numFmtId="192" fontId="0" fillId="0" borderId="0" xfId="0" applyNumberFormat="1" applyAlignment="1">
      <alignment horizontal="right"/>
    </xf>
    <xf numFmtId="0" fontId="40" fillId="14" borderId="24" xfId="0" applyFont="1" applyFill="1" applyBorder="1" applyAlignment="1">
      <alignment horizontal="center" vertical="center" wrapText="1"/>
    </xf>
    <xf numFmtId="0" fontId="40" fillId="14" borderId="4" xfId="0" applyFont="1" applyFill="1" applyBorder="1" applyAlignment="1">
      <alignment horizontal="center" vertical="center" wrapText="1"/>
    </xf>
    <xf numFmtId="0" fontId="62" fillId="13" borderId="0" xfId="0" applyFont="1" applyFill="1" applyBorder="1" applyAlignment="1">
      <alignment vertical="center"/>
    </xf>
    <xf numFmtId="0" fontId="68" fillId="16" borderId="12" xfId="0" applyFont="1" applyFill="1" applyBorder="1" applyAlignment="1">
      <alignment horizontal="left" vertical="center"/>
    </xf>
    <xf numFmtId="0" fontId="68" fillId="16" borderId="12" xfId="0" applyFont="1" applyFill="1" applyBorder="1" applyAlignment="1">
      <alignment horizontal="center" vertical="center"/>
    </xf>
    <xf numFmtId="0" fontId="68" fillId="16" borderId="11" xfId="0" applyFont="1" applyFill="1" applyBorder="1" applyAlignment="1">
      <alignment horizontal="center" vertical="center"/>
    </xf>
    <xf numFmtId="0" fontId="68" fillId="0" borderId="7" xfId="0" applyFont="1" applyBorder="1" applyAlignment="1">
      <alignment horizontal="center" vertical="center"/>
    </xf>
    <xf numFmtId="0" fontId="68" fillId="16" borderId="7" xfId="0" applyFont="1" applyFill="1" applyBorder="1" applyAlignment="1">
      <alignment horizontal="center" vertical="center"/>
    </xf>
    <xf numFmtId="0" fontId="66" fillId="15" borderId="18" xfId="0" applyFont="1" applyFill="1" applyBorder="1" applyAlignment="1">
      <alignment horizontal="center" vertical="center"/>
    </xf>
    <xf numFmtId="0" fontId="6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center" vertical="center"/>
    </xf>
    <xf numFmtId="0" fontId="66" fillId="15" borderId="5" xfId="0" applyFont="1" applyFill="1" applyBorder="1" applyAlignment="1">
      <alignment horizontal="center" vertical="center"/>
    </xf>
    <xf numFmtId="0" fontId="0" fillId="0" borderId="0" xfId="0" applyFont="1"/>
    <xf numFmtId="0" fontId="40" fillId="14" borderId="22" xfId="0" applyFont="1" applyFill="1" applyBorder="1" applyAlignment="1">
      <alignment horizontal="left" vertical="center"/>
    </xf>
    <xf numFmtId="0" fontId="40" fillId="14" borderId="22" xfId="0" applyFont="1" applyFill="1" applyBorder="1" applyAlignment="1">
      <alignment horizontal="center" vertical="center" wrapText="1"/>
    </xf>
    <xf numFmtId="0" fontId="40" fillId="14" borderId="16" xfId="0" applyFont="1" applyFill="1" applyBorder="1" applyAlignment="1">
      <alignment horizontal="center" vertical="center" wrapText="1"/>
    </xf>
    <xf numFmtId="193" fontId="0" fillId="0" borderId="0" xfId="7" applyNumberFormat="1" applyFont="1" applyAlignment="1"/>
    <xf numFmtId="194" fontId="0" fillId="0" borderId="0" xfId="8" applyNumberFormat="1" applyFont="1" applyAlignment="1"/>
    <xf numFmtId="10" fontId="0" fillId="0" borderId="0" xfId="7" applyNumberFormat="1" applyFont="1" applyAlignment="1"/>
    <xf numFmtId="0" fontId="4" fillId="2" borderId="1" xfId="5" applyFont="1" applyFill="1" applyBorder="1" applyAlignment="1">
      <alignment horizontal="center"/>
    </xf>
    <xf numFmtId="0" fontId="36" fillId="7" borderId="0" xfId="0" applyFont="1" applyFill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40" fillId="10" borderId="0" xfId="0" applyFont="1" applyFill="1" applyAlignment="1">
      <alignment horizontal="left" vertical="center"/>
    </xf>
    <xf numFmtId="0" fontId="43" fillId="8" borderId="0" xfId="0" applyFont="1" applyFill="1" applyAlignment="1">
      <alignment wrapText="1"/>
    </xf>
    <xf numFmtId="0" fontId="43" fillId="8" borderId="0" xfId="0" applyFont="1" applyFill="1"/>
    <xf numFmtId="0" fontId="40" fillId="10" borderId="1" xfId="0" applyFont="1" applyFill="1" applyBorder="1" applyAlignment="1">
      <alignment horizontal="left" vertical="center"/>
    </xf>
    <xf numFmtId="0" fontId="40" fillId="10" borderId="3" xfId="0" applyFont="1" applyFill="1" applyBorder="1" applyAlignment="1">
      <alignment horizontal="left" vertical="center"/>
    </xf>
    <xf numFmtId="0" fontId="44" fillId="9" borderId="0" xfId="0" applyFont="1" applyFill="1" applyAlignment="1">
      <alignment vertical="center" wrapText="1"/>
    </xf>
    <xf numFmtId="0" fontId="65" fillId="17" borderId="0" xfId="0" applyFont="1" applyFill="1" applyAlignment="1">
      <alignment horizontal="left" vertical="center" wrapText="1"/>
    </xf>
    <xf numFmtId="0" fontId="62" fillId="13" borderId="15" xfId="0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/>
    </xf>
    <xf numFmtId="0" fontId="4" fillId="2" borderId="0" xfId="5" applyFont="1" applyFill="1" applyAlignment="1">
      <alignment horizontal="center" vertical="center"/>
    </xf>
    <xf numFmtId="0" fontId="26" fillId="0" borderId="2" xfId="5" applyFont="1" applyBorder="1" applyAlignment="1">
      <alignment horizontal="left" vertical="center"/>
    </xf>
    <xf numFmtId="0" fontId="17" fillId="3" borderId="0" xfId="5" applyFont="1" applyFill="1" applyAlignment="1">
      <alignment horizontal="left" vertical="center"/>
    </xf>
    <xf numFmtId="0" fontId="6" fillId="3" borderId="2" xfId="5" applyFont="1" applyFill="1" applyBorder="1" applyAlignment="1">
      <alignment horizontal="center" vertical="center" wrapText="1"/>
    </xf>
    <xf numFmtId="0" fontId="23" fillId="2" borderId="0" xfId="5" applyFont="1" applyFill="1" applyAlignment="1">
      <alignment horizontal="center" vertical="center" wrapText="1"/>
    </xf>
    <xf numFmtId="0" fontId="13" fillId="0" borderId="0" xfId="5" applyFont="1"/>
    <xf numFmtId="0" fontId="7" fillId="0" borderId="0" xfId="5" applyFont="1" applyAlignment="1">
      <alignment horizontal="right"/>
    </xf>
    <xf numFmtId="0" fontId="19" fillId="0" borderId="0" xfId="5" applyFont="1" applyAlignment="1">
      <alignment vertical="center" wrapText="1"/>
    </xf>
    <xf numFmtId="0" fontId="34" fillId="0" borderId="0" xfId="5" applyFont="1" applyAlignment="1">
      <alignment vertical="center" wrapText="1"/>
    </xf>
  </cellXfs>
  <cellStyles count="9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千位分隔" xfId="8" builtinId="3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solid">
          <fgColor rgb="FF000000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yyyy\-mm\-dd</c:formatCode>
                <c:ptCount val="67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  <c:pt idx="39">
                  <c:v>46248</c:v>
                </c:pt>
                <c:pt idx="40">
                  <c:v>46251</c:v>
                </c:pt>
                <c:pt idx="41">
                  <c:v>46252</c:v>
                </c:pt>
                <c:pt idx="42">
                  <c:v>46253</c:v>
                </c:pt>
                <c:pt idx="43">
                  <c:v>46254</c:v>
                </c:pt>
                <c:pt idx="44">
                  <c:v>46255</c:v>
                </c:pt>
                <c:pt idx="45">
                  <c:v>46258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46265</c:v>
                </c:pt>
                <c:pt idx="51">
                  <c:v>46266</c:v>
                </c:pt>
                <c:pt idx="52">
                  <c:v>46267</c:v>
                </c:pt>
                <c:pt idx="53">
                  <c:v>46268</c:v>
                </c:pt>
                <c:pt idx="54">
                  <c:v>46269</c:v>
                </c:pt>
                <c:pt idx="55">
                  <c:v>46272</c:v>
                </c:pt>
                <c:pt idx="56">
                  <c:v>46273</c:v>
                </c:pt>
                <c:pt idx="57">
                  <c:v>46274</c:v>
                </c:pt>
                <c:pt idx="58">
                  <c:v>46275</c:v>
                </c:pt>
                <c:pt idx="59">
                  <c:v>46276</c:v>
                </c:pt>
                <c:pt idx="60">
                  <c:v>46279</c:v>
                </c:pt>
                <c:pt idx="61">
                  <c:v>46280</c:v>
                </c:pt>
                <c:pt idx="62">
                  <c:v>46281</c:v>
                </c:pt>
                <c:pt idx="63">
                  <c:v>46282</c:v>
                </c:pt>
                <c:pt idx="64">
                  <c:v>46283</c:v>
                </c:pt>
                <c:pt idx="65">
                  <c:v>46286</c:v>
                </c:pt>
                <c:pt idx="66">
                  <c:v>46287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67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0.91697362913212932</c:v>
                </c:pt>
                <c:pt idx="16">
                  <c:v>0.94637062365446645</c:v>
                </c:pt>
                <c:pt idx="17">
                  <c:v>0.91699688948477942</c:v>
                </c:pt>
                <c:pt idx="18">
                  <c:v>0.87559563769905591</c:v>
                </c:pt>
                <c:pt idx="19">
                  <c:v>0.80395186275888708</c:v>
                </c:pt>
                <c:pt idx="20">
                  <c:v>0.7725846198142714</c:v>
                </c:pt>
                <c:pt idx="21">
                  <c:v>0.85977786369144249</c:v>
                </c:pt>
                <c:pt idx="22">
                  <c:v>0.83406264853237666</c:v>
                </c:pt>
                <c:pt idx="23">
                  <c:v>0.81192392134913194</c:v>
                </c:pt>
                <c:pt idx="24">
                  <c:v>0.81167965590769986</c:v>
                </c:pt>
                <c:pt idx="25">
                  <c:v>0.83469124014895102</c:v>
                </c:pt>
                <c:pt idx="26">
                  <c:v>0.76869284885503608</c:v>
                </c:pt>
                <c:pt idx="27">
                  <c:v>0.75909621549224715</c:v>
                </c:pt>
                <c:pt idx="28">
                  <c:v>0.70197151091105148</c:v>
                </c:pt>
                <c:pt idx="29">
                  <c:v>0.72624632001160483</c:v>
                </c:pt>
                <c:pt idx="30">
                  <c:v>0.6962683081309522</c:v>
                </c:pt>
                <c:pt idx="31">
                  <c:v>0.74614458366388403</c:v>
                </c:pt>
                <c:pt idx="32">
                  <c:v>0.77896150349312188</c:v>
                </c:pt>
                <c:pt idx="33">
                  <c:v>0.79001227829138299</c:v>
                </c:pt>
                <c:pt idx="34">
                  <c:v>0.81131379383137059</c:v>
                </c:pt>
                <c:pt idx="35">
                  <c:v>0.81333484775718323</c:v>
                </c:pt>
                <c:pt idx="36">
                  <c:v>0.80390380258733718</c:v>
                </c:pt>
                <c:pt idx="37">
                  <c:v>0.82830533304129883</c:v>
                </c:pt>
                <c:pt idx="38">
                  <c:v>0.82438313522875573</c:v>
                </c:pt>
                <c:pt idx="39">
                  <c:v>0.83551715435720697</c:v>
                </c:pt>
                <c:pt idx="40">
                  <c:v>0.87689411795961425</c:v>
                </c:pt>
                <c:pt idx="41">
                  <c:v>0.87902436130755246</c:v>
                </c:pt>
                <c:pt idx="42">
                  <c:v>0.81673011277623475</c:v>
                </c:pt>
                <c:pt idx="43">
                  <c:v>0.82583566974225264</c:v>
                </c:pt>
                <c:pt idx="44">
                  <c:v>0.83068821536380733</c:v>
                </c:pt>
                <c:pt idx="45">
                  <c:v>0.81091217806369975</c:v>
                </c:pt>
                <c:pt idx="46">
                  <c:v>0.80387297499360533</c:v>
                </c:pt>
                <c:pt idx="47">
                  <c:v>0.81172592191144455</c:v>
                </c:pt>
                <c:pt idx="48">
                  <c:v>0.84253183479133931</c:v>
                </c:pt>
                <c:pt idx="49">
                  <c:v>0.82529512213198775</c:v>
                </c:pt>
                <c:pt idx="50">
                  <c:v>0.82921309797789811</c:v>
                </c:pt>
                <c:pt idx="51">
                  <c:v>0.80431702740255684</c:v>
                </c:pt>
                <c:pt idx="52">
                  <c:v>0.79223521178555889</c:v>
                </c:pt>
                <c:pt idx="53">
                  <c:v>0.78846776908562322</c:v>
                </c:pt>
                <c:pt idx="54">
                  <c:v>0.76892611058517346</c:v>
                </c:pt>
                <c:pt idx="55">
                  <c:v>0.81281403528418172</c:v>
                </c:pt>
                <c:pt idx="56">
                  <c:v>0.80503419454881331</c:v>
                </c:pt>
                <c:pt idx="57">
                  <c:v>0.80617970266413785</c:v>
                </c:pt>
                <c:pt idx="58">
                  <c:v>0.80517626903228889</c:v>
                </c:pt>
                <c:pt idx="59">
                  <c:v>0.80038083972554597</c:v>
                </c:pt>
                <c:pt idx="60">
                  <c:v>0.78748331494314971</c:v>
                </c:pt>
                <c:pt idx="61">
                  <c:v>0.79629168130557926</c:v>
                </c:pt>
                <c:pt idx="62">
                  <c:v>0.83169100485561154</c:v>
                </c:pt>
                <c:pt idx="63">
                  <c:v>0.83371509917059772</c:v>
                </c:pt>
                <c:pt idx="64">
                  <c:v>0.8580285234359244</c:v>
                </c:pt>
                <c:pt idx="65">
                  <c:v>0.85764383509009423</c:v>
                </c:pt>
                <c:pt idx="66">
                  <c:v>0.85760832317246516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48-406B-857D-FFC7DCCF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296352"/>
        <c:axId val="595297440"/>
      </c:lineChart>
      <c:dateAx>
        <c:axId val="595296352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595297440"/>
        <c:crosses val="autoZero"/>
        <c:auto val="1"/>
        <c:lblOffset val="100"/>
        <c:baseTimeUnit val="days"/>
        <c:majorTimeUnit val="days"/>
      </c:dateAx>
      <c:valAx>
        <c:axId val="595297440"/>
        <c:scaling>
          <c:orientation val="minMax"/>
          <c:min val="0.60000000000000009"/>
        </c:scaling>
        <c:delete val="0"/>
        <c:axPos val="l"/>
        <c:numFmt formatCode="0.0000" sourceLinked="0"/>
        <c:majorTickMark val="none"/>
        <c:minorTickMark val="none"/>
        <c:tickLblPos val="nextTo"/>
        <c:crossAx val="5952963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yyyy\-mm\-dd</c:formatCode>
                <c:ptCount val="68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  <c:pt idx="56">
                  <c:v>46272</c:v>
                </c:pt>
                <c:pt idx="57">
                  <c:v>46273</c:v>
                </c:pt>
                <c:pt idx="58">
                  <c:v>46274</c:v>
                </c:pt>
                <c:pt idx="59">
                  <c:v>46275</c:v>
                </c:pt>
                <c:pt idx="60">
                  <c:v>46276</c:v>
                </c:pt>
                <c:pt idx="61">
                  <c:v>46279</c:v>
                </c:pt>
                <c:pt idx="62">
                  <c:v>46280</c:v>
                </c:pt>
                <c:pt idx="63">
                  <c:v>46281</c:v>
                </c:pt>
                <c:pt idx="64">
                  <c:v>46282</c:v>
                </c:pt>
                <c:pt idx="65">
                  <c:v>46283</c:v>
                </c:pt>
                <c:pt idx="66">
                  <c:v>46286</c:v>
                </c:pt>
                <c:pt idx="67">
                  <c:v>46287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68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0.93808139669337876</c:v>
                </c:pt>
                <c:pt idx="17">
                  <c:v>0.96830009922126759</c:v>
                </c:pt>
                <c:pt idx="18">
                  <c:v>0.93822864166205733</c:v>
                </c:pt>
                <c:pt idx="19">
                  <c:v>0.89587465029610514</c:v>
                </c:pt>
                <c:pt idx="20">
                  <c:v>0.82248092101937031</c:v>
                </c:pt>
                <c:pt idx="21">
                  <c:v>0.79035973856508246</c:v>
                </c:pt>
                <c:pt idx="22">
                  <c:v>0.87956638034701318</c:v>
                </c:pt>
                <c:pt idx="23">
                  <c:v>0.85321196799992882</c:v>
                </c:pt>
                <c:pt idx="24">
                  <c:v>0.83060416834710382</c:v>
                </c:pt>
                <c:pt idx="25">
                  <c:v>0.83029356330213822</c:v>
                </c:pt>
                <c:pt idx="26">
                  <c:v>0.85390475841332225</c:v>
                </c:pt>
                <c:pt idx="27">
                  <c:v>0.7862607541617691</c:v>
                </c:pt>
                <c:pt idx="28">
                  <c:v>0.77644814898918524</c:v>
                </c:pt>
                <c:pt idx="29">
                  <c:v>0.71793541970282437</c:v>
                </c:pt>
                <c:pt idx="30">
                  <c:v>0.74282726366224527</c:v>
                </c:pt>
                <c:pt idx="31">
                  <c:v>0.71222410579163131</c:v>
                </c:pt>
                <c:pt idx="32">
                  <c:v>0.76336947663905597</c:v>
                </c:pt>
                <c:pt idx="33">
                  <c:v>0.79692340056760913</c:v>
                </c:pt>
                <c:pt idx="34">
                  <c:v>0.80826511012075786</c:v>
                </c:pt>
                <c:pt idx="35">
                  <c:v>0.83008467669236141</c:v>
                </c:pt>
                <c:pt idx="36">
                  <c:v>0.83211163195446736</c:v>
                </c:pt>
                <c:pt idx="37">
                  <c:v>0.82249407267954855</c:v>
                </c:pt>
                <c:pt idx="38">
                  <c:v>0.84749604001398571</c:v>
                </c:pt>
                <c:pt idx="39">
                  <c:v>0.84350945139145028</c:v>
                </c:pt>
                <c:pt idx="40">
                  <c:v>0.85496078801066921</c:v>
                </c:pt>
                <c:pt idx="41">
                  <c:v>0.89736673193518768</c:v>
                </c:pt>
                <c:pt idx="42">
                  <c:v>0.89952242814841865</c:v>
                </c:pt>
                <c:pt idx="43">
                  <c:v>0.83570045037146312</c:v>
                </c:pt>
                <c:pt idx="44">
                  <c:v>0.8450321202494574</c:v>
                </c:pt>
                <c:pt idx="45">
                  <c:v>0.85004474222692461</c:v>
                </c:pt>
                <c:pt idx="46">
                  <c:v>0.82976181971860674</c:v>
                </c:pt>
                <c:pt idx="47">
                  <c:v>0.822580041822354</c:v>
                </c:pt>
                <c:pt idx="48">
                  <c:v>0.83058903659412076</c:v>
                </c:pt>
                <c:pt idx="49">
                  <c:v>0.86217768714604248</c:v>
                </c:pt>
                <c:pt idx="50">
                  <c:v>0.84453319404594596</c:v>
                </c:pt>
                <c:pt idx="51">
                  <c:v>0.84858335858677658</c:v>
                </c:pt>
                <c:pt idx="52">
                  <c:v>0.82310644044768921</c:v>
                </c:pt>
                <c:pt idx="53">
                  <c:v>0.81072712133576563</c:v>
                </c:pt>
                <c:pt idx="54">
                  <c:v>0.80688850106442223</c:v>
                </c:pt>
                <c:pt idx="55">
                  <c:v>0.78689307916126394</c:v>
                </c:pt>
                <c:pt idx="56">
                  <c:v>0.83193295898880537</c:v>
                </c:pt>
                <c:pt idx="57">
                  <c:v>0.82398386294683612</c:v>
                </c:pt>
                <c:pt idx="58">
                  <c:v>0.82518255775218696</c:v>
                </c:pt>
                <c:pt idx="59">
                  <c:v>0.82415304352344354</c:v>
                </c:pt>
                <c:pt idx="60">
                  <c:v>0.81927586744682934</c:v>
                </c:pt>
                <c:pt idx="61">
                  <c:v>0.80607282528132818</c:v>
                </c:pt>
                <c:pt idx="62">
                  <c:v>0.81506942507388946</c:v>
                </c:pt>
                <c:pt idx="63">
                  <c:v>0.85134100942334767</c:v>
                </c:pt>
                <c:pt idx="64">
                  <c:v>0.85341019296825349</c:v>
                </c:pt>
                <c:pt idx="65">
                  <c:v>0.87831302693431956</c:v>
                </c:pt>
                <c:pt idx="66">
                  <c:v>0.87795480907096701</c:v>
                </c:pt>
                <c:pt idx="67">
                  <c:v>0.87792577069982314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AF-4641-B79E-01CB1C34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298528"/>
        <c:axId val="595299072"/>
      </c:lineChart>
      <c:dateAx>
        <c:axId val="595298528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595299072"/>
        <c:crosses val="autoZero"/>
        <c:auto val="1"/>
        <c:lblOffset val="100"/>
        <c:baseTimeUnit val="days"/>
        <c:majorTimeUnit val="days"/>
      </c:dateAx>
      <c:valAx>
        <c:axId val="595299072"/>
        <c:scaling>
          <c:orientation val="minMax"/>
          <c:min val="0.70000000000000007"/>
        </c:scaling>
        <c:delete val="0"/>
        <c:axPos val="l"/>
        <c:numFmt formatCode="0.0000" sourceLinked="0"/>
        <c:majorTickMark val="none"/>
        <c:minorTickMark val="none"/>
        <c:tickLblPos val="nextTo"/>
        <c:crossAx val="59529852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yyyy\-mm\-dd</c:formatCode>
                <c:ptCount val="66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46251</c:v>
                </c:pt>
                <c:pt idx="40">
                  <c:v>46252</c:v>
                </c:pt>
                <c:pt idx="41">
                  <c:v>46253</c:v>
                </c:pt>
                <c:pt idx="42">
                  <c:v>46254</c:v>
                </c:pt>
                <c:pt idx="43">
                  <c:v>46255</c:v>
                </c:pt>
                <c:pt idx="44">
                  <c:v>46258</c:v>
                </c:pt>
                <c:pt idx="45">
                  <c:v>46259</c:v>
                </c:pt>
                <c:pt idx="46">
                  <c:v>46260</c:v>
                </c:pt>
                <c:pt idx="47">
                  <c:v>46261</c:v>
                </c:pt>
                <c:pt idx="48">
                  <c:v>46262</c:v>
                </c:pt>
                <c:pt idx="49">
                  <c:v>46265</c:v>
                </c:pt>
                <c:pt idx="50">
                  <c:v>46266</c:v>
                </c:pt>
                <c:pt idx="51">
                  <c:v>46267</c:v>
                </c:pt>
                <c:pt idx="52">
                  <c:v>46268</c:v>
                </c:pt>
                <c:pt idx="53">
                  <c:v>46269</c:v>
                </c:pt>
                <c:pt idx="54">
                  <c:v>46272</c:v>
                </c:pt>
                <c:pt idx="55">
                  <c:v>46273</c:v>
                </c:pt>
                <c:pt idx="56">
                  <c:v>46274</c:v>
                </c:pt>
                <c:pt idx="57">
                  <c:v>46275</c:v>
                </c:pt>
                <c:pt idx="58">
                  <c:v>46276</c:v>
                </c:pt>
                <c:pt idx="59">
                  <c:v>46279</c:v>
                </c:pt>
                <c:pt idx="60">
                  <c:v>46280</c:v>
                </c:pt>
                <c:pt idx="61">
                  <c:v>46281</c:v>
                </c:pt>
                <c:pt idx="62">
                  <c:v>46282</c:v>
                </c:pt>
                <c:pt idx="63">
                  <c:v>46283</c:v>
                </c:pt>
                <c:pt idx="64">
                  <c:v>46286</c:v>
                </c:pt>
                <c:pt idx="65">
                  <c:v>46287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66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0.95546551536216096</c:v>
                </c:pt>
                <c:pt idx="15">
                  <c:v>0.98122069665460177</c:v>
                </c:pt>
                <c:pt idx="16">
                  <c:v>0.9454808705016986</c:v>
                </c:pt>
                <c:pt idx="17">
                  <c:v>0.90360617948177735</c:v>
                </c:pt>
                <c:pt idx="18">
                  <c:v>0.83721468119835341</c:v>
                </c:pt>
                <c:pt idx="19">
                  <c:v>0.80811386650276029</c:v>
                </c:pt>
                <c:pt idx="20">
                  <c:v>0.90141211983560632</c:v>
                </c:pt>
                <c:pt idx="21">
                  <c:v>0.87692454413373422</c:v>
                </c:pt>
                <c:pt idx="22">
                  <c:v>0.85192377866811053</c:v>
                </c:pt>
                <c:pt idx="23">
                  <c:v>0.85634618908665328</c:v>
                </c:pt>
                <c:pt idx="24">
                  <c:v>0.87898017619041946</c:v>
                </c:pt>
                <c:pt idx="25">
                  <c:v>0.81331518475104281</c:v>
                </c:pt>
                <c:pt idx="26">
                  <c:v>0.80514197361881068</c:v>
                </c:pt>
                <c:pt idx="27">
                  <c:v>0.74787436802830576</c:v>
                </c:pt>
                <c:pt idx="28">
                  <c:v>0.77133249538722459</c:v>
                </c:pt>
                <c:pt idx="29">
                  <c:v>0.73222495499610107</c:v>
                </c:pt>
                <c:pt idx="30">
                  <c:v>0.77918745072942763</c:v>
                </c:pt>
                <c:pt idx="31">
                  <c:v>0.81627637308703827</c:v>
                </c:pt>
                <c:pt idx="32">
                  <c:v>0.82647704725758364</c:v>
                </c:pt>
                <c:pt idx="33">
                  <c:v>0.84783459383647197</c:v>
                </c:pt>
                <c:pt idx="34">
                  <c:v>0.85249753265663131</c:v>
                </c:pt>
                <c:pt idx="35">
                  <c:v>0.84046441743138178</c:v>
                </c:pt>
                <c:pt idx="36">
                  <c:v>0.86079932414595484</c:v>
                </c:pt>
                <c:pt idx="37">
                  <c:v>0.85324518033636265</c:v>
                </c:pt>
                <c:pt idx="38">
                  <c:v>0.85968862851962957</c:v>
                </c:pt>
                <c:pt idx="39">
                  <c:v>0.90237415611570237</c:v>
                </c:pt>
                <c:pt idx="40">
                  <c:v>0.9042710753133324</c:v>
                </c:pt>
                <c:pt idx="41">
                  <c:v>0.83953438942791037</c:v>
                </c:pt>
                <c:pt idx="42">
                  <c:v>0.845698974359399</c:v>
                </c:pt>
                <c:pt idx="43">
                  <c:v>0.85225365760008931</c:v>
                </c:pt>
                <c:pt idx="44">
                  <c:v>0.83142419341260654</c:v>
                </c:pt>
                <c:pt idx="45">
                  <c:v>0.82257588327730524</c:v>
                </c:pt>
                <c:pt idx="46">
                  <c:v>0.83243030315140709</c:v>
                </c:pt>
                <c:pt idx="47">
                  <c:v>0.86188107725695751</c:v>
                </c:pt>
                <c:pt idx="48">
                  <c:v>0.84381856004176514</c:v>
                </c:pt>
                <c:pt idx="49">
                  <c:v>0.85026427200012245</c:v>
                </c:pt>
                <c:pt idx="50">
                  <c:v>0.8251553271521076</c:v>
                </c:pt>
                <c:pt idx="51">
                  <c:v>0.81178658007148585</c:v>
                </c:pt>
                <c:pt idx="52">
                  <c:v>0.8064983248125529</c:v>
                </c:pt>
                <c:pt idx="53">
                  <c:v>0.78467341959258174</c:v>
                </c:pt>
                <c:pt idx="54">
                  <c:v>0.82687940469607291</c:v>
                </c:pt>
                <c:pt idx="55">
                  <c:v>0.81827818348174886</c:v>
                </c:pt>
                <c:pt idx="56">
                  <c:v>0.81774477209477714</c:v>
                </c:pt>
                <c:pt idx="57">
                  <c:v>0.81463138321165651</c:v>
                </c:pt>
                <c:pt idx="58">
                  <c:v>0.81020461492280371</c:v>
                </c:pt>
                <c:pt idx="59">
                  <c:v>0.797318385314013</c:v>
                </c:pt>
                <c:pt idx="60">
                  <c:v>0.80809182063580631</c:v>
                </c:pt>
                <c:pt idx="61">
                  <c:v>0.84193341491630336</c:v>
                </c:pt>
                <c:pt idx="62">
                  <c:v>0.84306322011820267</c:v>
                </c:pt>
                <c:pt idx="63">
                  <c:v>0.86909518292519927</c:v>
                </c:pt>
                <c:pt idx="64">
                  <c:v>0.86863658068922478</c:v>
                </c:pt>
                <c:pt idx="65">
                  <c:v>0.86860061360190854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5-4C3E-AA25-3AD48E78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40400"/>
        <c:axId val="911439312"/>
      </c:lineChart>
      <c:dateAx>
        <c:axId val="911440400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911439312"/>
        <c:crosses val="autoZero"/>
        <c:auto val="1"/>
        <c:lblOffset val="100"/>
        <c:baseTimeUnit val="days"/>
        <c:majorTimeUnit val="days"/>
      </c:dateAx>
      <c:valAx>
        <c:axId val="911439312"/>
        <c:scaling>
          <c:orientation val="minMax"/>
          <c:min val="0.60000000000000009"/>
        </c:scaling>
        <c:delete val="0"/>
        <c:axPos val="l"/>
        <c:numFmt formatCode="0.0000" sourceLinked="0"/>
        <c:majorTickMark val="none"/>
        <c:minorTickMark val="none"/>
        <c:tickLblPos val="nextTo"/>
        <c:crossAx val="91144040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yyyy\-mm\-dd</c:formatCode>
                <c:ptCount val="65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  <c:pt idx="52">
                  <c:v>46269</c:v>
                </c:pt>
                <c:pt idx="53">
                  <c:v>46272</c:v>
                </c:pt>
                <c:pt idx="54">
                  <c:v>46273</c:v>
                </c:pt>
                <c:pt idx="55">
                  <c:v>46274</c:v>
                </c:pt>
                <c:pt idx="56">
                  <c:v>46275</c:v>
                </c:pt>
                <c:pt idx="57">
                  <c:v>46276</c:v>
                </c:pt>
                <c:pt idx="58">
                  <c:v>46279</c:v>
                </c:pt>
                <c:pt idx="59">
                  <c:v>46280</c:v>
                </c:pt>
                <c:pt idx="60">
                  <c:v>46281</c:v>
                </c:pt>
                <c:pt idx="61">
                  <c:v>46282</c:v>
                </c:pt>
                <c:pt idx="62">
                  <c:v>46283</c:v>
                </c:pt>
                <c:pt idx="63">
                  <c:v>46286</c:v>
                </c:pt>
                <c:pt idx="64">
                  <c:v>46287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65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0.99091999764701377</c:v>
                </c:pt>
                <c:pt idx="14">
                  <c:v>0.99334753088252004</c:v>
                </c:pt>
                <c:pt idx="15">
                  <c:v>0.99071728198972964</c:v>
                </c:pt>
                <c:pt idx="16">
                  <c:v>0.98676187132227156</c:v>
                </c:pt>
                <c:pt idx="17">
                  <c:v>0.9801796358017143</c:v>
                </c:pt>
                <c:pt idx="18">
                  <c:v>0.97692785405628013</c:v>
                </c:pt>
                <c:pt idx="19">
                  <c:v>0.98595161384431096</c:v>
                </c:pt>
                <c:pt idx="20">
                  <c:v>0.98579850868578778</c:v>
                </c:pt>
                <c:pt idx="21">
                  <c:v>0.98447784718233267</c:v>
                </c:pt>
                <c:pt idx="22">
                  <c:v>0.98345040579106224</c:v>
                </c:pt>
                <c:pt idx="23">
                  <c:v>0.98696437228355804</c:v>
                </c:pt>
                <c:pt idx="24">
                  <c:v>0.9806986308480341</c:v>
                </c:pt>
                <c:pt idx="25">
                  <c:v>0.98026906419805526</c:v>
                </c:pt>
                <c:pt idx="26">
                  <c:v>0.9761214913199201</c:v>
                </c:pt>
                <c:pt idx="27">
                  <c:v>0.97927214944896834</c:v>
                </c:pt>
                <c:pt idx="28">
                  <c:v>0.97645840479381407</c:v>
                </c:pt>
                <c:pt idx="29">
                  <c:v>0.9809307866654694</c:v>
                </c:pt>
                <c:pt idx="30">
                  <c:v>0.98575511215025358</c:v>
                </c:pt>
                <c:pt idx="31">
                  <c:v>0.98807991531029082</c:v>
                </c:pt>
                <c:pt idx="32">
                  <c:v>0.99118243223928182</c:v>
                </c:pt>
                <c:pt idx="33">
                  <c:v>0.99340887946259904</c:v>
                </c:pt>
                <c:pt idx="34">
                  <c:v>0.99204013612030795</c:v>
                </c:pt>
                <c:pt idx="35">
                  <c:v>0.99444411358789253</c:v>
                </c:pt>
                <c:pt idx="36">
                  <c:v>0.99374808320021091</c:v>
                </c:pt>
                <c:pt idx="37">
                  <c:v>0.994115670668685</c:v>
                </c:pt>
                <c:pt idx="38">
                  <c:v>0.99895898030685437</c:v>
                </c:pt>
                <c:pt idx="39">
                  <c:v>0.99978136728927813</c:v>
                </c:pt>
                <c:pt idx="40">
                  <c:v>0.99214513915581581</c:v>
                </c:pt>
                <c:pt idx="41">
                  <c:v>0.99403509454319372</c:v>
                </c:pt>
                <c:pt idx="42">
                  <c:v>0.99539134647786609</c:v>
                </c:pt>
                <c:pt idx="43">
                  <c:v>0.99512807000945391</c:v>
                </c:pt>
                <c:pt idx="44">
                  <c:v>0.99427738526118392</c:v>
                </c:pt>
                <c:pt idx="45">
                  <c:v>0.99489475437294561</c:v>
                </c:pt>
                <c:pt idx="46">
                  <c:v>0.99675913946805039</c:v>
                </c:pt>
                <c:pt idx="47">
                  <c:v>0.99544472257449301</c:v>
                </c:pt>
                <c:pt idx="48">
                  <c:v>0.99467191549696121</c:v>
                </c:pt>
                <c:pt idx="49">
                  <c:v>0.9929234386719451</c:v>
                </c:pt>
                <c:pt idx="50">
                  <c:v>0.98997513143231231</c:v>
                </c:pt>
                <c:pt idx="51">
                  <c:v>0.99136541199745853</c:v>
                </c:pt>
                <c:pt idx="52">
                  <c:v>0.98996201248663152</c:v>
                </c:pt>
                <c:pt idx="53">
                  <c:v>0.99258684475046999</c:v>
                </c:pt>
                <c:pt idx="54">
                  <c:v>0.99219342573655611</c:v>
                </c:pt>
                <c:pt idx="55">
                  <c:v>0.99214494133809417</c:v>
                </c:pt>
                <c:pt idx="56">
                  <c:v>0.99152316494789294</c:v>
                </c:pt>
                <c:pt idx="57">
                  <c:v>0.98931920629143588</c:v>
                </c:pt>
                <c:pt idx="58">
                  <c:v>0.98823166354882208</c:v>
                </c:pt>
                <c:pt idx="59">
                  <c:v>0.98844991210941446</c:v>
                </c:pt>
                <c:pt idx="60">
                  <c:v>0.99202541693513502</c:v>
                </c:pt>
                <c:pt idx="61">
                  <c:v>0.9920690677556997</c:v>
                </c:pt>
                <c:pt idx="62">
                  <c:v>0.99564029457706782</c:v>
                </c:pt>
                <c:pt idx="63">
                  <c:v>0.99605292923285249</c:v>
                </c:pt>
                <c:pt idx="64">
                  <c:v>0.99603101038321196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D0-406D-A14D-76E7D9A7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6592"/>
        <c:axId val="911434416"/>
      </c:lineChart>
      <c:dateAx>
        <c:axId val="91143659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911434416"/>
        <c:crosses val="autoZero"/>
        <c:auto val="1"/>
        <c:lblOffset val="100"/>
        <c:baseTimeUnit val="days"/>
        <c:majorTimeUnit val="days"/>
      </c:dateAx>
      <c:valAx>
        <c:axId val="91143441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65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yyyy\-mm\-dd</c:formatCode>
                <c:ptCount val="68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  <c:pt idx="56">
                  <c:v>46272</c:v>
                </c:pt>
                <c:pt idx="57">
                  <c:v>46273</c:v>
                </c:pt>
                <c:pt idx="58">
                  <c:v>46274</c:v>
                </c:pt>
                <c:pt idx="59">
                  <c:v>46275</c:v>
                </c:pt>
                <c:pt idx="60">
                  <c:v>46276</c:v>
                </c:pt>
                <c:pt idx="61">
                  <c:v>46279</c:v>
                </c:pt>
                <c:pt idx="62">
                  <c:v>46280</c:v>
                </c:pt>
                <c:pt idx="63">
                  <c:v>46281</c:v>
                </c:pt>
                <c:pt idx="64">
                  <c:v>46282</c:v>
                </c:pt>
                <c:pt idx="65">
                  <c:v>46283</c:v>
                </c:pt>
                <c:pt idx="66">
                  <c:v>46286</c:v>
                </c:pt>
                <c:pt idx="67">
                  <c:v>46287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68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0.99875367924501923</c:v>
                </c:pt>
                <c:pt idx="15">
                  <c:v>0.99502796314950503</c:v>
                </c:pt>
                <c:pt idx="16">
                  <c:v>0.98984401811572498</c:v>
                </c:pt>
                <c:pt idx="17">
                  <c:v>0.99259572537929164</c:v>
                </c:pt>
                <c:pt idx="18">
                  <c:v>0.99020099872472989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0.97551609956302554</c:v>
                </c:pt>
                <c:pt idx="22">
                  <c:v>0.98451181946051036</c:v>
                </c:pt>
                <c:pt idx="23">
                  <c:v>0.98416489616962055</c:v>
                </c:pt>
                <c:pt idx="24">
                  <c:v>0.98294067506944183</c:v>
                </c:pt>
                <c:pt idx="25">
                  <c:v>0.98167072753263529</c:v>
                </c:pt>
                <c:pt idx="26">
                  <c:v>0.98530566690705634</c:v>
                </c:pt>
                <c:pt idx="27">
                  <c:v>0.97879642351182894</c:v>
                </c:pt>
                <c:pt idx="28">
                  <c:v>0.9782589797667538</c:v>
                </c:pt>
                <c:pt idx="29">
                  <c:v>0.97390321005734459</c:v>
                </c:pt>
                <c:pt idx="30">
                  <c:v>0.97719837247619623</c:v>
                </c:pt>
                <c:pt idx="31">
                  <c:v>0.97483599855662972</c:v>
                </c:pt>
                <c:pt idx="32">
                  <c:v>0.97968557339554074</c:v>
                </c:pt>
                <c:pt idx="33">
                  <c:v>0.98435681211622128</c:v>
                </c:pt>
                <c:pt idx="34">
                  <c:v>0.98673128064354332</c:v>
                </c:pt>
                <c:pt idx="35">
                  <c:v>0.98991772635449637</c:v>
                </c:pt>
                <c:pt idx="36">
                  <c:v>0.9919944749306091</c:v>
                </c:pt>
                <c:pt idx="37">
                  <c:v>0.99073929663758642</c:v>
                </c:pt>
                <c:pt idx="38">
                  <c:v>0.99347449449349057</c:v>
                </c:pt>
                <c:pt idx="39">
                  <c:v>0.99299759081711703</c:v>
                </c:pt>
                <c:pt idx="40">
                  <c:v>0.99372212189107401</c:v>
                </c:pt>
                <c:pt idx="41">
                  <c:v>0.99865469890573955</c:v>
                </c:pt>
                <c:pt idx="42">
                  <c:v>0.99950584672572562</c:v>
                </c:pt>
                <c:pt idx="43">
                  <c:v>0.99178991023315655</c:v>
                </c:pt>
                <c:pt idx="44">
                  <c:v>0.99384685157613673</c:v>
                </c:pt>
                <c:pt idx="45">
                  <c:v>0.99508534181085639</c:v>
                </c:pt>
                <c:pt idx="46">
                  <c:v>0.9947842173581124</c:v>
                </c:pt>
                <c:pt idx="47">
                  <c:v>0.99402797023660394</c:v>
                </c:pt>
                <c:pt idx="48">
                  <c:v>0.99457091931146535</c:v>
                </c:pt>
                <c:pt idx="49">
                  <c:v>0.99667352594592551</c:v>
                </c:pt>
                <c:pt idx="50">
                  <c:v>0.99534449010760007</c:v>
                </c:pt>
                <c:pt idx="51">
                  <c:v>0.99454579473662941</c:v>
                </c:pt>
                <c:pt idx="52">
                  <c:v>0.99272451228945513</c:v>
                </c:pt>
                <c:pt idx="53">
                  <c:v>0.98986420962271293</c:v>
                </c:pt>
                <c:pt idx="54">
                  <c:v>0.99128882275518337</c:v>
                </c:pt>
                <c:pt idx="55">
                  <c:v>0.98992443341714009</c:v>
                </c:pt>
                <c:pt idx="56">
                  <c:v>0.99288752592822493</c:v>
                </c:pt>
                <c:pt idx="57">
                  <c:v>0.99251659085007748</c:v>
                </c:pt>
                <c:pt idx="58">
                  <c:v>0.99258240976083978</c:v>
                </c:pt>
                <c:pt idx="59">
                  <c:v>0.99208715983738782</c:v>
                </c:pt>
                <c:pt idx="60">
                  <c:v>0.98987275511258466</c:v>
                </c:pt>
                <c:pt idx="61">
                  <c:v>0.98883694954010737</c:v>
                </c:pt>
                <c:pt idx="62">
                  <c:v>0.9891021485330691</c:v>
                </c:pt>
                <c:pt idx="63">
                  <c:v>0.99285115141066649</c:v>
                </c:pt>
                <c:pt idx="64">
                  <c:v>0.99300440953847791</c:v>
                </c:pt>
                <c:pt idx="65">
                  <c:v>0.99657917386980865</c:v>
                </c:pt>
                <c:pt idx="66">
                  <c:v>0.99696346679824355</c:v>
                </c:pt>
                <c:pt idx="67">
                  <c:v>0.99694977560164078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4-4548-A5EC-9D1B8FCE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9856"/>
        <c:axId val="911440944"/>
      </c:lineChart>
      <c:dateAx>
        <c:axId val="91143985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911440944"/>
        <c:crosses val="autoZero"/>
        <c:auto val="1"/>
        <c:lblOffset val="100"/>
        <c:baseTimeUnit val="days"/>
        <c:majorTimeUnit val="days"/>
      </c:dateAx>
      <c:valAx>
        <c:axId val="91144094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98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yyyy\-mm\-dd</c:formatCode>
                <c:ptCount val="65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  <c:pt idx="52">
                  <c:v>46269</c:v>
                </c:pt>
                <c:pt idx="53">
                  <c:v>46272</c:v>
                </c:pt>
                <c:pt idx="54">
                  <c:v>46273</c:v>
                </c:pt>
                <c:pt idx="55">
                  <c:v>46274</c:v>
                </c:pt>
                <c:pt idx="56">
                  <c:v>46275</c:v>
                </c:pt>
                <c:pt idx="57">
                  <c:v>46276</c:v>
                </c:pt>
                <c:pt idx="58">
                  <c:v>46279</c:v>
                </c:pt>
                <c:pt idx="59">
                  <c:v>46280</c:v>
                </c:pt>
                <c:pt idx="60">
                  <c:v>46281</c:v>
                </c:pt>
                <c:pt idx="61">
                  <c:v>46282</c:v>
                </c:pt>
                <c:pt idx="62">
                  <c:v>46283</c:v>
                </c:pt>
                <c:pt idx="63">
                  <c:v>46286</c:v>
                </c:pt>
                <c:pt idx="64">
                  <c:v>46287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65"/>
                <c:pt idx="0">
                  <c:v>1</c:v>
                </c:pt>
                <c:pt idx="1">
                  <c:v>1.0039732082294279</c:v>
                </c:pt>
                <c:pt idx="2">
                  <c:v>0.99720804304745392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0.98752211337914908</c:v>
                </c:pt>
                <c:pt idx="7">
                  <c:v>0.99030293727219687</c:v>
                </c:pt>
                <c:pt idx="8">
                  <c:v>0.98670140137911</c:v>
                </c:pt>
                <c:pt idx="9">
                  <c:v>0.98405318400777231</c:v>
                </c:pt>
                <c:pt idx="10">
                  <c:v>0.98291598797716351</c:v>
                </c:pt>
                <c:pt idx="11">
                  <c:v>0.99677409001455453</c:v>
                </c:pt>
                <c:pt idx="12">
                  <c:v>0.9860201572522912</c:v>
                </c:pt>
                <c:pt idx="13">
                  <c:v>0.97202141801703834</c:v>
                </c:pt>
                <c:pt idx="14">
                  <c:v>0.97923592239467783</c:v>
                </c:pt>
                <c:pt idx="15">
                  <c:v>0.97194176165457125</c:v>
                </c:pt>
                <c:pt idx="16">
                  <c:v>0.96152631831469659</c:v>
                </c:pt>
                <c:pt idx="17">
                  <c:v>0.94210028710651716</c:v>
                </c:pt>
                <c:pt idx="18">
                  <c:v>0.93309057637493542</c:v>
                </c:pt>
                <c:pt idx="19">
                  <c:v>0.95862869099830639</c:v>
                </c:pt>
                <c:pt idx="20">
                  <c:v>0.95473536714260399</c:v>
                </c:pt>
                <c:pt idx="21">
                  <c:v>0.95057923744523387</c:v>
                </c:pt>
                <c:pt idx="22">
                  <c:v>0.94741055273696939</c:v>
                </c:pt>
                <c:pt idx="23">
                  <c:v>0.95708142162899978</c:v>
                </c:pt>
                <c:pt idx="24">
                  <c:v>0.93946694791941554</c:v>
                </c:pt>
                <c:pt idx="25">
                  <c:v>0.93860410362572089</c:v>
                </c:pt>
                <c:pt idx="26">
                  <c:v>0.92445284206535505</c:v>
                </c:pt>
                <c:pt idx="27">
                  <c:v>0.93264826644668219</c:v>
                </c:pt>
                <c:pt idx="28">
                  <c:v>0.92408565948164412</c:v>
                </c:pt>
                <c:pt idx="29">
                  <c:v>0.93652463834702993</c:v>
                </c:pt>
                <c:pt idx="30">
                  <c:v>0.94971573113282171</c:v>
                </c:pt>
                <c:pt idx="31">
                  <c:v>0.95513401394071007</c:v>
                </c:pt>
                <c:pt idx="32">
                  <c:v>0.96277386059938297</c:v>
                </c:pt>
                <c:pt idx="33">
                  <c:v>0.96690387122170962</c:v>
                </c:pt>
                <c:pt idx="34">
                  <c:v>0.9636551856543506</c:v>
                </c:pt>
                <c:pt idx="35">
                  <c:v>0.97013061127071021</c:v>
                </c:pt>
                <c:pt idx="36">
                  <c:v>0.96690757815179629</c:v>
                </c:pt>
                <c:pt idx="37">
                  <c:v>0.9682286227764374</c:v>
                </c:pt>
                <c:pt idx="38">
                  <c:v>0.98134194706126798</c:v>
                </c:pt>
                <c:pt idx="39">
                  <c:v>0.98234070097590909</c:v>
                </c:pt>
                <c:pt idx="40">
                  <c:v>0.96178627410995754</c:v>
                </c:pt>
                <c:pt idx="41">
                  <c:v>0.96654590706912602</c:v>
                </c:pt>
                <c:pt idx="42">
                  <c:v>0.96996762115645929</c:v>
                </c:pt>
                <c:pt idx="43">
                  <c:v>0.96680658683041598</c:v>
                </c:pt>
                <c:pt idx="44">
                  <c:v>0.96469905375962695</c:v>
                </c:pt>
                <c:pt idx="45">
                  <c:v>0.96704981847960669</c:v>
                </c:pt>
                <c:pt idx="46">
                  <c:v>0.97444448491427305</c:v>
                </c:pt>
                <c:pt idx="47">
                  <c:v>0.9706880520372988</c:v>
                </c:pt>
                <c:pt idx="48">
                  <c:v>0.96984713116383037</c:v>
                </c:pt>
                <c:pt idx="49">
                  <c:v>0.96365593560167917</c:v>
                </c:pt>
                <c:pt idx="50">
                  <c:v>0.95663921437228283</c:v>
                </c:pt>
                <c:pt idx="51">
                  <c:v>0.95835822684860839</c:v>
                </c:pt>
                <c:pt idx="52">
                  <c:v>0.95353177722050331</c:v>
                </c:pt>
                <c:pt idx="53">
                  <c:v>0.96164033211582012</c:v>
                </c:pt>
                <c:pt idx="54">
                  <c:v>0.96048641830304904</c:v>
                </c:pt>
                <c:pt idx="55">
                  <c:v>0.96037426203200194</c:v>
                </c:pt>
                <c:pt idx="56">
                  <c:v>0.95881996225332244</c:v>
                </c:pt>
                <c:pt idx="57">
                  <c:v>0.95367520054577093</c:v>
                </c:pt>
                <c:pt idx="58">
                  <c:v>0.95086502536399697</c:v>
                </c:pt>
                <c:pt idx="59">
                  <c:v>0.95140352169494435</c:v>
                </c:pt>
                <c:pt idx="60">
                  <c:v>0.9608856821856866</c:v>
                </c:pt>
                <c:pt idx="61">
                  <c:v>0.96089764676308576</c:v>
                </c:pt>
                <c:pt idx="62">
                  <c:v>0.96971928915972971</c:v>
                </c:pt>
                <c:pt idx="63">
                  <c:v>0.97058693117180483</c:v>
                </c:pt>
                <c:pt idx="64">
                  <c:v>0.97055482899155188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3872"/>
        <c:axId val="911434960"/>
      </c:lineChart>
      <c:dateAx>
        <c:axId val="91143387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911434960"/>
        <c:crosses val="autoZero"/>
        <c:auto val="1"/>
        <c:lblOffset val="100"/>
        <c:baseTimeUnit val="days"/>
        <c:majorTimeUnit val="days"/>
      </c:dateAx>
      <c:valAx>
        <c:axId val="91143496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3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20-80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'看板-20-80'!_ChartDates</c:f>
              <c:numCache>
                <c:formatCode>yyyy\-mm\-dd</c:formatCode>
                <c:ptCount val="4"/>
                <c:pt idx="0">
                  <c:v>46282</c:v>
                </c:pt>
                <c:pt idx="1">
                  <c:v>46283</c:v>
                </c:pt>
                <c:pt idx="2">
                  <c:v>46286</c:v>
                </c:pt>
                <c:pt idx="3">
                  <c:v>46287</c:v>
                </c:pt>
              </c:numCache>
            </c:numRef>
          </c:cat>
          <c:val>
            <c:numRef>
              <c:f>'看板-20-80'!_ChartValues</c:f>
              <c:numCache>
                <c:formatCode>0.0000</c:formatCode>
                <c:ptCount val="4"/>
                <c:pt idx="0">
                  <c:v>1</c:v>
                </c:pt>
                <c:pt idx="1">
                  <c:v>1.00281971910982</c:v>
                </c:pt>
                <c:pt idx="2">
                  <c:v>1.00396154841636</c:v>
                </c:pt>
                <c:pt idx="3">
                  <c:v>1.00393945553196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33872"/>
        <c:axId val="911434960"/>
      </c:lineChart>
      <c:dateAx>
        <c:axId val="91143387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911434960"/>
        <c:crosses val="autoZero"/>
        <c:auto val="1"/>
        <c:lblOffset val="100"/>
        <c:baseTimeUnit val="days"/>
        <c:majorTimeUnit val="days"/>
      </c:dateAx>
      <c:valAx>
        <c:axId val="91143496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91143387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478842</xdr:colOff>
      <xdr:row>9</xdr:row>
      <xdr:rowOff>149943</xdr:rowOff>
    </xdr:from>
    <xdr:ext cx="5058234" cy="972510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20843636">
          <a:off x="1088442" y="1578693"/>
          <a:ext cx="5058234" cy="97251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zh-CN" altLang="en-US" sz="40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  <xdr:oneCellAnchor>
    <xdr:from>
      <xdr:col>1</xdr:col>
      <xdr:colOff>406752</xdr:colOff>
      <xdr:row>23</xdr:row>
      <xdr:rowOff>38742</xdr:rowOff>
    </xdr:from>
    <xdr:ext cx="4801315" cy="972510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/>
      </xdr:nvSpPr>
      <xdr:spPr>
        <a:xfrm rot="20843636">
          <a:off x="1016352" y="3689992"/>
          <a:ext cx="4801315" cy="9725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40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74160</xdr:colOff>
      <xdr:row>33</xdr:row>
      <xdr:rowOff>146050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1069700</xdr:colOff>
      <xdr:row>33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822240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91800</xdr:colOff>
      <xdr:row>33</xdr:row>
      <xdr:rowOff>107950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144720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6679;&#26495;&#38388;&#25237;&#39038;&#32452;&#21512;&#30417;&#25511;&#27169;&#26495;-20260716&#35843;&#20179;_&#20559;&#31163;&#30417;&#25511;_vs&#22266;&#25910;&#65288;1)(1)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实盘持仓初始配置"/>
      <sheetName val="偏离度监控"/>
      <sheetName val="vs固收+对比（模拟数据）"/>
      <sheetName val="vs固收+对比（实盘数据）"/>
      <sheetName val="恒生净值"/>
      <sheetName val="实盘净值数据(iFinD公式)"/>
      <sheetName val="实盘组合净值"/>
      <sheetName val="分期持仓明细"/>
      <sheetName val="看板-产业趋势"/>
      <sheetName val="看板-产业趋势基石"/>
      <sheetName val="看板-产业趋势2号"/>
      <sheetName val="看板-10-90"/>
      <sheetName val="看板-10-90基石"/>
      <sheetName val="看板-30-70"/>
      <sheetName val="说明"/>
    </sheetNames>
    <sheetDataSet>
      <sheetData sheetId="0"/>
      <sheetData sheetId="1"/>
      <sheetData sheetId="2"/>
      <sheetData sheetId="3"/>
      <sheetData sheetId="4">
        <row r="1">
          <cell r="A1" t="str">
            <v>日期</v>
          </cell>
          <cell r="B1" t="str">
            <v>1090基石</v>
          </cell>
          <cell r="C1">
            <v>1090</v>
          </cell>
        </row>
        <row r="2">
          <cell r="A2">
            <v>46191</v>
          </cell>
          <cell r="B2">
            <v>1</v>
          </cell>
        </row>
        <row r="3">
          <cell r="A3">
            <v>46195</v>
          </cell>
          <cell r="B3">
            <v>1.00089571</v>
          </cell>
        </row>
        <row r="4">
          <cell r="A4">
            <v>46196</v>
          </cell>
          <cell r="B4">
            <v>0.99782280999999995</v>
          </cell>
        </row>
        <row r="5">
          <cell r="A5">
            <v>46197</v>
          </cell>
          <cell r="B5">
            <v>0.99977079999999996</v>
          </cell>
          <cell r="C5" t="str">
            <v>1.00000000</v>
          </cell>
        </row>
        <row r="6">
          <cell r="A6">
            <v>46198</v>
          </cell>
          <cell r="B6">
            <v>1.00127827</v>
          </cell>
          <cell r="C6" t="str">
            <v>1.00141431</v>
          </cell>
        </row>
        <row r="7">
          <cell r="A7">
            <v>46199</v>
          </cell>
          <cell r="B7">
            <v>0.99893008999999999</v>
          </cell>
          <cell r="C7" t="str">
            <v>0.99948240</v>
          </cell>
        </row>
        <row r="8">
          <cell r="A8">
            <v>46202</v>
          </cell>
          <cell r="B8">
            <v>1.00052151</v>
          </cell>
          <cell r="C8" t="str">
            <v>1.00138192</v>
          </cell>
        </row>
        <row r="9">
          <cell r="A9">
            <v>46203</v>
          </cell>
          <cell r="B9">
            <v>1.00271066</v>
          </cell>
          <cell r="C9" t="str">
            <v>1.00327268</v>
          </cell>
        </row>
        <row r="10">
          <cell r="A10">
            <v>46204</v>
          </cell>
          <cell r="B10">
            <v>0.99998487999999996</v>
          </cell>
          <cell r="C10" t="str">
            <v>1.00086493</v>
          </cell>
        </row>
        <row r="11">
          <cell r="A11">
            <v>46205</v>
          </cell>
          <cell r="B11">
            <v>0.99402933000000004</v>
          </cell>
          <cell r="C11" t="str">
            <v>0.99528176</v>
          </cell>
        </row>
        <row r="12">
          <cell r="A12">
            <v>46206</v>
          </cell>
          <cell r="B12">
            <v>0.99491236999999999</v>
          </cell>
          <cell r="C12" t="str">
            <v>0.99645158</v>
          </cell>
        </row>
        <row r="13">
          <cell r="A13">
            <v>46209</v>
          </cell>
          <cell r="B13">
            <v>0.99396983999999999</v>
          </cell>
          <cell r="C13" t="str">
            <v>0.99563225</v>
          </cell>
        </row>
        <row r="14">
          <cell r="A14">
            <v>46210</v>
          </cell>
          <cell r="B14">
            <v>0.99336489000000006</v>
          </cell>
          <cell r="C14" t="str">
            <v>0.99480363</v>
          </cell>
        </row>
        <row r="15">
          <cell r="A15">
            <v>46211</v>
          </cell>
          <cell r="B15">
            <v>0.99351509000000005</v>
          </cell>
          <cell r="C15" t="str">
            <v>0.99491291</v>
          </cell>
        </row>
        <row r="16">
          <cell r="A16">
            <v>46212</v>
          </cell>
          <cell r="B16">
            <v>0.99860981999999998</v>
          </cell>
          <cell r="C16" t="str">
            <v>0.99993265</v>
          </cell>
        </row>
        <row r="17">
          <cell r="A17">
            <v>46213</v>
          </cell>
          <cell r="B17">
            <v>0.99488465999999998</v>
          </cell>
          <cell r="C17" t="str">
            <v>0.99608736</v>
          </cell>
        </row>
        <row r="18">
          <cell r="A18">
            <v>46216</v>
          </cell>
          <cell r="B18">
            <v>0.98970133999999998</v>
          </cell>
          <cell r="C18" t="str">
            <v>0.99082824</v>
          </cell>
        </row>
        <row r="19">
          <cell r="A19">
            <v>46217</v>
          </cell>
          <cell r="B19">
            <v>0.99245271000000002</v>
          </cell>
          <cell r="C19" t="str">
            <v>0.99325571</v>
          </cell>
        </row>
        <row r="20">
          <cell r="A20">
            <v>46218</v>
          </cell>
          <cell r="B20">
            <v>0.99005834000000004</v>
          </cell>
          <cell r="C20" t="str">
            <v>0.99062576</v>
          </cell>
        </row>
        <row r="21">
          <cell r="A21">
            <v>46219</v>
          </cell>
          <cell r="B21">
            <v>0.98597555999999997</v>
          </cell>
          <cell r="C21" t="str">
            <v>0.98667073</v>
          </cell>
        </row>
        <row r="22">
          <cell r="A22">
            <v>46220</v>
          </cell>
          <cell r="B22">
            <v>0.97886371999999999</v>
          </cell>
          <cell r="C22" t="str">
            <v>0.98008903</v>
          </cell>
        </row>
        <row r="23">
          <cell r="A23">
            <v>46223</v>
          </cell>
          <cell r="B23">
            <v>0.97537549999999995</v>
          </cell>
          <cell r="C23" t="str">
            <v>0.97683759</v>
          </cell>
        </row>
        <row r="24">
          <cell r="A24">
            <v>46224</v>
          </cell>
          <cell r="B24">
            <v>0.98437008000000004</v>
          </cell>
          <cell r="C24" t="str">
            <v>0.98586080</v>
          </cell>
        </row>
        <row r="25">
          <cell r="A25">
            <v>46225</v>
          </cell>
          <cell r="B25">
            <v>0.98402323999999997</v>
          </cell>
          <cell r="C25" t="str">
            <v>0.98570780</v>
          </cell>
          <cell r="S25">
            <v>-2.8899999999999999E-2</v>
          </cell>
        </row>
        <row r="26">
          <cell r="A26">
            <v>46226</v>
          </cell>
          <cell r="B26">
            <v>0.98279921000000003</v>
          </cell>
          <cell r="C26" t="str">
            <v>0.98438731</v>
          </cell>
        </row>
        <row r="27">
          <cell r="A27">
            <v>46227</v>
          </cell>
          <cell r="B27">
            <v>0.98152945999999996</v>
          </cell>
          <cell r="C27" t="str">
            <v>0.98336003</v>
          </cell>
        </row>
        <row r="28">
          <cell r="A28">
            <v>46230</v>
          </cell>
          <cell r="B28">
            <v>0.98516413000000003</v>
          </cell>
          <cell r="C28" t="str">
            <v>0.98687417</v>
          </cell>
        </row>
        <row r="29">
          <cell r="A29">
            <v>46231</v>
          </cell>
          <cell r="B29">
            <v>0.97865577000000004</v>
          </cell>
          <cell r="C29" t="str">
            <v>0.98060895</v>
          </cell>
        </row>
        <row r="30">
          <cell r="A30">
            <v>46232</v>
          </cell>
          <cell r="B30">
            <v>0.97811842999999998</v>
          </cell>
          <cell r="C30" t="str">
            <v>0.98017950</v>
          </cell>
        </row>
        <row r="31">
          <cell r="A31">
            <v>46233</v>
          </cell>
          <cell r="B31">
            <v>0.97376326000000002</v>
          </cell>
          <cell r="C31" t="str">
            <v>0.97603230</v>
          </cell>
        </row>
        <row r="32">
          <cell r="A32">
            <v>46234</v>
          </cell>
          <cell r="B32">
            <v>0.97705801999999997</v>
          </cell>
          <cell r="C32" t="str">
            <v>0.97918283</v>
          </cell>
        </row>
        <row r="33">
          <cell r="A33">
            <v>46237</v>
          </cell>
          <cell r="B33">
            <v>0.97469598999999996</v>
          </cell>
          <cell r="C33" t="str">
            <v>0.97636941</v>
          </cell>
        </row>
        <row r="34">
          <cell r="A34">
            <v>46238</v>
          </cell>
          <cell r="B34">
            <v>0.97954496999999996</v>
          </cell>
          <cell r="C34" t="str">
            <v>0.98084157</v>
          </cell>
        </row>
        <row r="35">
          <cell r="A35">
            <v>46239</v>
          </cell>
          <cell r="B35">
            <v>0.98421563999999995</v>
          </cell>
          <cell r="C35" t="str">
            <v>0.98566565</v>
          </cell>
        </row>
        <row r="36">
          <cell r="A36">
            <v>46240</v>
          </cell>
          <cell r="B36">
            <v>0.98658983</v>
          </cell>
          <cell r="C36" t="str">
            <v>0.98799038</v>
          </cell>
        </row>
        <row r="37">
          <cell r="A37">
            <v>46241</v>
          </cell>
          <cell r="B37">
            <v>0.98977590000000004</v>
          </cell>
          <cell r="C37" t="str">
            <v>0.99109277</v>
          </cell>
        </row>
        <row r="38">
          <cell r="A38">
            <v>46244</v>
          </cell>
          <cell r="B38">
            <v>0.99185254</v>
          </cell>
          <cell r="C38" t="str">
            <v>0.99331943</v>
          </cell>
        </row>
        <row r="39">
          <cell r="A39">
            <v>46245</v>
          </cell>
          <cell r="B39">
            <v>0.99059755999999999</v>
          </cell>
          <cell r="C39" t="str">
            <v>0.99195087</v>
          </cell>
        </row>
        <row r="40">
          <cell r="A40">
            <v>46246</v>
          </cell>
          <cell r="B40">
            <v>0.99333243999999998</v>
          </cell>
          <cell r="C40" t="str">
            <v>0.99435477</v>
          </cell>
        </row>
        <row r="41">
          <cell r="A41">
            <v>46247</v>
          </cell>
          <cell r="B41">
            <v>0.99285562999999999</v>
          </cell>
          <cell r="C41" t="str">
            <v>0.99365888</v>
          </cell>
        </row>
        <row r="42">
          <cell r="A42">
            <v>46248</v>
          </cell>
          <cell r="B42">
            <v>0.99358009999999997</v>
          </cell>
          <cell r="C42" t="str">
            <v>0.99402653</v>
          </cell>
        </row>
        <row r="43">
          <cell r="A43">
            <v>46251</v>
          </cell>
          <cell r="B43">
            <v>0.99851228000000003</v>
          </cell>
          <cell r="C43" t="str">
            <v>0.99886999</v>
          </cell>
        </row>
        <row r="44">
          <cell r="A44">
            <v>46252</v>
          </cell>
          <cell r="B44">
            <v>0.99936334999999998</v>
          </cell>
          <cell r="C44" t="str">
            <v>0.99969241</v>
          </cell>
        </row>
        <row r="45">
          <cell r="A45">
            <v>46253</v>
          </cell>
          <cell r="B45">
            <v>0.99164843999999996</v>
          </cell>
          <cell r="C45" t="str">
            <v>0.99205678</v>
          </cell>
        </row>
        <row r="46">
          <cell r="A46">
            <v>46254</v>
          </cell>
          <cell r="B46">
            <v>0.99370515000000004</v>
          </cell>
          <cell r="C46" t="str">
            <v>0.99394669</v>
          </cell>
        </row>
        <row r="47">
          <cell r="A47">
            <v>46255</v>
          </cell>
          <cell r="B47">
            <v>0.99494351999999997</v>
          </cell>
          <cell r="C47" t="str">
            <v>0.99530294</v>
          </cell>
        </row>
        <row r="48">
          <cell r="A48">
            <v>46258</v>
          </cell>
          <cell r="B48">
            <v>0.99464253000000002</v>
          </cell>
          <cell r="C48" t="str">
            <v>0.99503994</v>
          </cell>
        </row>
        <row r="49">
          <cell r="A49">
            <v>46259</v>
          </cell>
          <cell r="B49">
            <v>0.99388641</v>
          </cell>
        </row>
        <row r="50">
          <cell r="A50">
            <v>46260</v>
          </cell>
          <cell r="B50">
            <v>0.99442931999999995</v>
          </cell>
        </row>
        <row r="51">
          <cell r="A51">
            <v>46261</v>
          </cell>
          <cell r="B51">
            <v>0.99653170000000002</v>
          </cell>
        </row>
        <row r="52">
          <cell r="A52">
            <v>46262</v>
          </cell>
          <cell r="B52">
            <v>0.99520286000000002</v>
          </cell>
        </row>
        <row r="53">
          <cell r="A53">
            <v>46265</v>
          </cell>
        </row>
        <row r="54">
          <cell r="A54">
            <v>46266</v>
          </cell>
        </row>
        <row r="55">
          <cell r="A55">
            <v>46267</v>
          </cell>
        </row>
        <row r="56">
          <cell r="A56">
            <v>46268</v>
          </cell>
        </row>
        <row r="57">
          <cell r="A57">
            <v>46269</v>
          </cell>
        </row>
        <row r="58">
          <cell r="A58">
            <v>46272</v>
          </cell>
        </row>
        <row r="59">
          <cell r="A59">
            <v>46273</v>
          </cell>
        </row>
        <row r="60">
          <cell r="A60">
            <v>46274</v>
          </cell>
        </row>
        <row r="61">
          <cell r="A61">
            <v>46275</v>
          </cell>
        </row>
        <row r="62">
          <cell r="A62">
            <v>46276</v>
          </cell>
        </row>
        <row r="63">
          <cell r="A63">
            <v>46279</v>
          </cell>
        </row>
        <row r="64">
          <cell r="A64">
            <v>46280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3" name="表3" displayName="表3" ref="A7:I18" totalsRowShown="0" headerRowDxfId="41" dataDxfId="39" headerRowBorderDxfId="40" tableBorderDxfId="38">
  <autoFilter ref="A7:I18"/>
  <tableColumns count="9">
    <tableColumn id="1" name="序号" dataDxfId="37"/>
    <tableColumn id="2" name="基金代码" dataDxfId="36"/>
    <tableColumn id="3" name="产品/基金名称" dataDxfId="35"/>
    <tableColumn id="4" name="26Q2规模（亿元）" dataDxfId="34"/>
    <tableColumn id="9" name="上周" dataDxfId="33"/>
    <tableColumn id="5" name="上线以来" dataDxfId="32"/>
    <tableColumn id="6" name="6/22-7/30" dataDxfId="31"/>
    <tableColumn id="7" name="7.31至今" dataDxfId="30"/>
    <tableColumn id="8" name="最大回撤（上线以来）" dataDxfId="2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表3_23" displayName="表3_23" ref="A7:L18" totalsRowShown="0" headerRowDxfId="15" dataDxfId="13" headerRowBorderDxfId="14" tableBorderDxfId="12">
  <tableColumns count="12">
    <tableColumn id="1" name="序号" dataDxfId="11"/>
    <tableColumn id="2" name="基金代码" dataDxfId="10"/>
    <tableColumn id="3" name="8/24-8/28" dataDxfId="9"/>
    <tableColumn id="4" name="26Q2规模（亿元）" dataDxfId="8"/>
    <tableColumn id="9" name="上周" dataDxfId="7"/>
    <tableColumn id="5" name="6/22以来" dataDxfId="6"/>
    <tableColumn id="6" name="6/22-7/30" dataDxfId="5"/>
    <tableColumn id="7" name="7/31以来" dataDxfId="4"/>
    <tableColumn id="12" name="近六月" dataDxfId="3"/>
    <tableColumn id="11" name="近一年" dataDxfId="2"/>
    <tableColumn id="10" name="近一年最大回撤" dataDxfId="1"/>
    <tableColumn id="8" name="最大回撤（6/22以来）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showGridLines="0" workbookViewId="0">
      <selection activeCell="G24" sqref="G24"/>
    </sheetView>
  </sheetViews>
  <sheetFormatPr defaultColWidth="9.453125" defaultRowHeight="12.5"/>
  <cols>
    <col min="1" max="1" width="17.453125" customWidth="1"/>
    <col min="2" max="24" width="12.1796875" customWidth="1"/>
    <col min="25" max="26" width="9.81640625" customWidth="1"/>
    <col min="27" max="27" width="13.1796875" customWidth="1"/>
    <col min="28" max="40" width="13.0" customWidth="1"/>
  </cols>
  <sheetData>
    <row r="1" spans="1:27" ht="18.75" customHeight="1">
      <c r="A1" s="153" t="s">
        <v>0</v>
      </c>
      <c r="B1" s="153"/>
      <c r="C1" s="153"/>
    </row>
    <row r="2" spans="1:27" ht="39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1" t="s">
        <v>26</v>
      </c>
      <c r="AA2" s="1" t="s">
        <v>27</v>
      </c>
      <c r="AB2" s="2" t="inlineStr">
        <is>
          <t>嘉实中证500指数增强C</t>
        </is>
      </c>
      <c r="AC2" s="2" t="inlineStr">
        <is>
          <t>博道中证500指数增强C</t>
        </is>
      </c>
      <c r="AD2" s="2" t="inlineStr">
        <is>
          <t>汇添富中证1000指数增强C</t>
        </is>
      </c>
      <c r="AE2" s="2" t="inlineStr">
        <is>
          <t>招商中证2000指数增强C</t>
        </is>
      </c>
      <c r="AF2" s="2" t="inlineStr">
        <is>
          <t>嘉实价值优势混合A</t>
        </is>
      </c>
      <c r="AG2" s="2" t="inlineStr">
        <is>
          <t>民生加银优选</t>
        </is>
      </c>
      <c r="AH2" s="2" t="inlineStr">
        <is>
          <t>大成竞争优势混合A</t>
        </is>
      </c>
      <c r="AI2" s="2" t="inlineStr">
        <is>
          <t>国投瑞银瑞源混合A</t>
        </is>
      </c>
      <c r="AJ2" s="2" t="inlineStr">
        <is>
          <t>华泰柏瑞红利低波ETF链接A</t>
        </is>
      </c>
      <c r="AK2" s="2" t="inlineStr">
        <is>
          <t>天弘中证红利低波动100ETF联接A</t>
        </is>
      </c>
      <c r="AL2" s="2" t="inlineStr">
        <is>
          <t>嘉实中债3-5年国开行A</t>
        </is>
      </c>
      <c r="AM2" s="2" t="inlineStr">
        <is>
          <t>广发7-10年国开行A</t>
        </is>
      </c>
      <c r="AN2" s="2" t="inlineStr">
        <is>
          <t>嘉实上海金ETF联接A</t>
        </is>
      </c>
    </row>
    <row r="3" spans="1:27" ht="13">
      <c r="A3" s="1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  <c r="AB3" s="3" t="inlineStr">
        <is>
          <t>008779.OF</t>
        </is>
      </c>
      <c r="AC3" s="3" t="inlineStr">
        <is>
          <t>006594.OF</t>
        </is>
      </c>
      <c r="AD3" s="3" t="inlineStr">
        <is>
          <t>017954.OF</t>
        </is>
      </c>
      <c r="AE3" s="3" t="inlineStr">
        <is>
          <t>019919.OF</t>
        </is>
      </c>
      <c r="AF3" s="3" t="inlineStr">
        <is>
          <t>070019.OF</t>
        </is>
      </c>
      <c r="AG3" s="3" t="inlineStr">
        <is>
          <t>000884.OF</t>
        </is>
      </c>
      <c r="AH3" s="3" t="inlineStr">
        <is>
          <t>090013.OF</t>
        </is>
      </c>
      <c r="AI3" s="3" t="inlineStr">
        <is>
          <t>121010.OF</t>
        </is>
      </c>
      <c r="AJ3" s="3" t="inlineStr">
        <is>
          <t>007466.OF</t>
        </is>
      </c>
      <c r="AK3" s="3" t="inlineStr">
        <is>
          <t>008114.OF</t>
        </is>
      </c>
      <c r="AL3" s="3" t="inlineStr">
        <is>
          <t>008015.OF</t>
        </is>
      </c>
      <c r="AM3" s="3" t="inlineStr">
        <is>
          <t>003376.OF</t>
        </is>
      </c>
      <c r="AN3" s="3" t="inlineStr">
        <is>
          <t>016581.OF</t>
        </is>
      </c>
    </row>
    <row r="4" spans="1:27" ht="13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6">
        <f t="shared" ref="Y4:Y9" si="0">SUM(B4:X4)</f>
        <v>0.99999999999999989</v>
      </c>
      <c r="Z4" s="7">
        <v>1.4999999999999999E-2</v>
      </c>
      <c r="AA4" s="8">
        <v>46195</v>
      </c>
    </row>
    <row r="5" spans="1:27" ht="13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6">
        <f t="shared" si="0"/>
        <v>0.99999999999999989</v>
      </c>
      <c r="Z5" s="7">
        <v>1.2E-2</v>
      </c>
      <c r="AA5" s="8">
        <v>46191</v>
      </c>
    </row>
    <row r="6" spans="1:27" ht="13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6">
        <f t="shared" si="0"/>
        <v>0.99999999999999989</v>
      </c>
      <c r="Z6" s="7">
        <v>1.4999999999999999E-2</v>
      </c>
      <c r="AA6" s="8">
        <v>46196</v>
      </c>
    </row>
    <row r="7" spans="1:27" ht="13">
      <c r="A7" s="9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6">
        <f t="shared" si="0"/>
        <v>1</v>
      </c>
      <c r="Z7" s="7">
        <v>8.0000000000000002E-3</v>
      </c>
      <c r="AA7" s="8">
        <v>46197</v>
      </c>
    </row>
    <row r="8" spans="1:27" ht="13">
      <c r="A8" s="9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6">
        <f t="shared" si="0"/>
        <v>1</v>
      </c>
      <c r="Z8" s="7">
        <v>5.0000000000000001E-3</v>
      </c>
      <c r="AA8" s="8">
        <v>46191</v>
      </c>
    </row>
    <row r="9" spans="1:27" ht="13">
      <c r="A9" s="9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3.7499999999999999E-2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3.7499999999999999E-2</v>
      </c>
      <c r="N9" s="5">
        <v>0</v>
      </c>
      <c r="O9" s="5">
        <v>3.7499999999999999E-2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3.7499999999999999E-2</v>
      </c>
      <c r="X9" s="5">
        <v>0.57999999999999996</v>
      </c>
      <c r="Y9" s="6">
        <f t="shared" si="0"/>
        <v>0.99999999999999989</v>
      </c>
      <c r="Z9" s="7">
        <v>1.2E-2</v>
      </c>
      <c r="AA9" s="8">
        <v>46197</v>
      </c>
    </row>
    <row r="10">
      <c r="A10" s="9" t="inlineStr">
        <is>
          <t>20-80 权重</t>
        </is>
      </c>
      <c r="B10" s="5">
        <v>0</v>
      </c>
      <c r="C10" s="5">
        <v>0.05</v>
      </c>
      <c r="D10" s="5">
        <v>0</v>
      </c>
      <c r="E10" s="5">
        <v>0</v>
      </c>
      <c r="F10" s="5">
        <v>0.025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0.0125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0.0125</v>
      </c>
      <c r="X10" s="5">
        <v>0.3</v>
      </c>
      <c r="Y10" s="6">
        <f>SUM(B10:X10)+SUM(AB10:AN10)</f>
        <v>1</v>
      </c>
      <c r="Z10" s="7">
        <v>0.008</v>
      </c>
      <c r="AA10" s="8">
        <v>46282</v>
      </c>
      <c r="AB10" s="5">
        <v>0.0125</v>
      </c>
      <c r="AC10" s="5">
        <v>0.0125</v>
      </c>
      <c r="AD10" s="5">
        <v>0.0125</v>
      </c>
      <c r="AE10" s="5">
        <v>0.0125</v>
      </c>
      <c r="AF10" s="5">
        <v>0.005</v>
      </c>
      <c r="AG10" s="5">
        <v>0.005</v>
      </c>
      <c r="AH10" s="5">
        <v>0.005</v>
      </c>
      <c r="AI10" s="5">
        <v>0.005</v>
      </c>
      <c r="AJ10" s="5">
        <v>0.06</v>
      </c>
      <c r="AK10" s="5">
        <v>0.02</v>
      </c>
      <c r="AL10" s="5">
        <v>0.2</v>
      </c>
      <c r="AM10" s="5">
        <v>0.2</v>
      </c>
      <c r="AN10" s="5">
        <v>0.05</v>
      </c>
    </row>
    <row r="11" spans="1:27" ht="14.25" customHeight="1">
      <c r="A11" s="10" t="s">
        <v>58</v>
      </c>
    </row>
  </sheetData>
  <mergeCells count="1">
    <mergeCell ref="A1:C1"/>
  </mergeCells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R281"/>
  <sheetViews>
    <sheetView showGridLines="0" workbookViewId="0">
      <selection activeCell="I16" sqref="I16"/>
    </sheetView>
  </sheetViews>
  <sheetFormatPr defaultRowHeight="12.5"/>
  <cols>
    <col min="1" max="1" width="18" customWidth="1"/>
    <col min="2" max="2" width="17" customWidth="1"/>
    <col min="3" max="3" width="29" customWidth="1"/>
    <col min="4" max="5" width="14" customWidth="1"/>
    <col min="6" max="6" width="15" customWidth="1"/>
    <col min="7" max="7" width="13" customWidth="1"/>
    <col min="8" max="10" width="15" customWidth="1"/>
    <col min="11" max="12" width="14" customWidth="1"/>
    <col min="13" max="18" width="0.1796875" customWidth="1"/>
  </cols>
  <sheetData>
    <row r="1" spans="1:12" ht="28" customHeight="1">
      <c r="A1" s="154" t="s">
        <v>194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24" customHeight="1">
      <c r="A2" s="46" t="s">
        <v>195</v>
      </c>
      <c r="B2" s="47">
        <f ca="1">$B$82</f>
        <v>46286</v>
      </c>
      <c r="C2" s="46" t="s">
        <v>196</v>
      </c>
      <c r="D2" s="155" t="s">
        <v>197</v>
      </c>
      <c r="E2" s="155"/>
      <c r="F2" s="155"/>
      <c r="G2" s="155"/>
      <c r="H2" s="155"/>
      <c r="I2" s="46" t="s">
        <v>198</v>
      </c>
      <c r="J2" s="48">
        <v>0.02</v>
      </c>
      <c r="K2" s="46" t="s">
        <v>199</v>
      </c>
      <c r="L2" s="48">
        <v>0.2</v>
      </c>
    </row>
    <row r="3" spans="1:12" ht="28" customHeight="1">
      <c r="A3" s="156" t="s">
        <v>200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5" spans="1:12" ht="21" customHeight="1">
      <c r="A5" s="157" t="s">
        <v>276</v>
      </c>
      <c r="B5" s="157"/>
      <c r="C5" s="157"/>
      <c r="D5" s="157"/>
      <c r="E5" s="157"/>
      <c r="F5" s="49" t="s">
        <v>201</v>
      </c>
      <c r="G5" s="50">
        <f ca="1">$B$82</f>
        <v>46286</v>
      </c>
    </row>
    <row r="6" spans="1:12" ht="28" customHeight="1">
      <c r="A6" s="51" t="s">
        <v>202</v>
      </c>
      <c r="B6" s="51" t="s">
        <v>28</v>
      </c>
      <c r="C6" s="51" t="s">
        <v>1</v>
      </c>
      <c r="D6" s="51" t="s">
        <v>203</v>
      </c>
      <c r="E6" s="51" t="s">
        <v>204</v>
      </c>
      <c r="F6" s="51" t="s">
        <v>205</v>
      </c>
      <c r="G6" s="51" t="s">
        <v>206</v>
      </c>
    </row>
    <row r="7" spans="1:12" ht="13.5">
      <c r="A7" s="46" t="str">
        <f t="shared" ref="A7:A14" ca="1" si="0">IF(B7&lt;&gt;"","产业趋势","")</f>
        <v>产业趋势</v>
      </c>
      <c r="B7" s="54" t="str">
        <f ca="1">IFERROR(INDEX($A$53:$A$78,MATCH(1,M$53:M$78,0)),"")</f>
        <v>000917.OF</v>
      </c>
      <c r="C7" s="54" t="str">
        <f ca="1">IFERROR(INDEX($B$53:$B$78,MATCH(1,M$53:M$78,0)),"")</f>
        <v>嘉实快线货币A</v>
      </c>
      <c r="D7" s="54" t="str">
        <f ca="1">IFERROR(INDEX($E$53:$E$78,MATCH(1,M$53:M$78,0)),"")</f>
        <v>货币</v>
      </c>
      <c r="E7" s="55">
        <f ca="1">IFERROR(INDEX(G$53:G$78,MATCH(1,M$53:M$78,0)),"")</f>
        <v>5.1384207176931762E-2</v>
      </c>
      <c r="F7" s="54" t="str">
        <f t="shared" ref="F7:F30" ca="1" si="1">IF(B7="","",IF(D7&lt;&gt;"主动","不适用",IF(E7&gt;$L$2,"超限","正常")))</f>
        <v>不适用</v>
      </c>
      <c r="G7" s="56">
        <f t="shared" ref="G7:G14" ca="1" si="2">IF(B7&lt;&gt;"",G$84,"")</f>
        <v>46213</v>
      </c>
    </row>
    <row r="8" spans="1:12" ht="13.5">
      <c r="A8" s="46" t="str">
        <f t="shared" ca="1" si="0"/>
        <v>产业趋势</v>
      </c>
      <c r="B8" s="54" t="str">
        <f ca="1">IFERROR(INDEX($A$53:$A$78,MATCH(2,M$53:M$78,0)),"")</f>
        <v>001170.OF</v>
      </c>
      <c r="C8" s="54" t="str">
        <f ca="1">IFERROR(INDEX($B$53:$B$78,MATCH(2,M$53:M$78,0)),"")</f>
        <v>宏利复兴混合A</v>
      </c>
      <c r="D8" s="54" t="str">
        <f ca="1">IFERROR(INDEX($E$53:$E$78,MATCH(2,M$53:M$78,0)),"")</f>
        <v>主动</v>
      </c>
      <c r="E8" s="55">
        <f ca="1">IFERROR(INDEX(G$53:G$78,MATCH(2,M$53:M$78,0)),"")</f>
        <v>0.16785910052307829</v>
      </c>
      <c r="F8" s="54" t="str">
        <f t="shared" ca="1" si="1"/>
        <v>正常</v>
      </c>
      <c r="G8" s="56">
        <f t="shared" ca="1" si="2"/>
        <v>46213</v>
      </c>
    </row>
    <row r="9" spans="1:12" ht="13.5">
      <c r="A9" s="46" t="str">
        <f t="shared" ca="1" si="0"/>
        <v>产业趋势</v>
      </c>
      <c r="B9" s="54" t="str">
        <f ca="1">IFERROR(INDEX($A$53:$A$78,MATCH(3,M$53:M$78,0)),"")</f>
        <v>013840.OF</v>
      </c>
      <c r="C9" s="54" t="str">
        <f ca="1">IFERROR(INDEX($B$53:$B$78,MATCH(3,M$53:M$78,0)),"")</f>
        <v>银华集成电路混合A</v>
      </c>
      <c r="D9" s="54" t="str">
        <f ca="1">IFERROR(INDEX($E$53:$E$78,MATCH(3,M$53:M$78,0)),"")</f>
        <v>主动</v>
      </c>
      <c r="E9" s="55">
        <f ca="1">IFERROR(INDEX(G$53:G$78,MATCH(3,M$53:M$78,0)),"")</f>
        <v>0.2300511251431677</v>
      </c>
      <c r="F9" s="54" t="str">
        <f t="shared" ca="1" si="1"/>
        <v>超限</v>
      </c>
      <c r="G9" s="56">
        <f t="shared" ca="1" si="2"/>
        <v>46213</v>
      </c>
    </row>
    <row r="10" spans="1:12" ht="13.5">
      <c r="A10" s="46" t="str">
        <f t="shared" ca="1" si="0"/>
        <v>产业趋势</v>
      </c>
      <c r="B10" s="54" t="str">
        <f ca="1">IFERROR(INDEX($A$53:$A$78,MATCH(4,M$53:M$78,0)),"")</f>
        <v>016370.OF</v>
      </c>
      <c r="C10" s="54" t="str">
        <f ca="1">IFERROR(INDEX($B$53:$B$78,MATCH(4,M$53:M$78,0)),"")</f>
        <v>信澳业绩驱动A</v>
      </c>
      <c r="D10" s="54" t="str">
        <f ca="1">IFERROR(INDEX($E$53:$E$78,MATCH(4,M$53:M$78,0)),"")</f>
        <v>主动</v>
      </c>
      <c r="E10" s="55">
        <f ca="1">IFERROR(INDEX(G$53:G$78,MATCH(4,M$53:M$78,0)),"")</f>
        <v>0.18244612655868953</v>
      </c>
      <c r="F10" s="54" t="str">
        <f t="shared" ca="1" si="1"/>
        <v>正常</v>
      </c>
      <c r="G10" s="56">
        <f t="shared" ca="1" si="2"/>
        <v>46213</v>
      </c>
    </row>
    <row r="11" spans="1:12" ht="13.5">
      <c r="A11" s="46" t="str">
        <f t="shared" ca="1" si="0"/>
        <v>产业趋势</v>
      </c>
      <c r="B11" s="54" t="str">
        <f ca="1">IFERROR(INDEX($A$53:$A$78,MATCH(5,M$53:M$78,0)),"")</f>
        <v>017488.OF</v>
      </c>
      <c r="C11" s="54" t="str">
        <f ca="1">IFERROR(INDEX($B$53:$B$78,MATCH(5,M$53:M$78,0)),"")</f>
        <v>嘉实信息产业A</v>
      </c>
      <c r="D11" s="54" t="str">
        <f ca="1">IFERROR(INDEX($E$53:$E$78,MATCH(5,M$53:M$78,0)),"")</f>
        <v>主动</v>
      </c>
      <c r="E11" s="55">
        <f ca="1">IFERROR(INDEX(G$53:G$78,MATCH(5,M$53:M$78,0)),"")</f>
        <v>0.18091631642337197</v>
      </c>
      <c r="F11" s="54" t="str">
        <f t="shared" ca="1" si="1"/>
        <v>正常</v>
      </c>
      <c r="G11" s="56">
        <f t="shared" ca="1" si="2"/>
        <v>46213</v>
      </c>
    </row>
    <row r="12" spans="1:12" ht="13.5">
      <c r="A12" s="46" t="str">
        <f t="shared" ca="1" si="0"/>
        <v>产业趋势</v>
      </c>
      <c r="B12" s="54" t="str">
        <f ca="1">IFERROR(INDEX($A$53:$A$78,MATCH(6,M$53:M$78,0)),"")</f>
        <v>019632.OF</v>
      </c>
      <c r="C12" s="54" t="str">
        <f ca="1">IFERROR(INDEX($B$53:$B$78,MATCH(6,M$53:M$78,0)),"")</f>
        <v>国泰半导体材料设备ETF联接A</v>
      </c>
      <c r="D12" s="54" t="str">
        <f ca="1">IFERROR(INDEX($E$53:$E$78,MATCH(6,M$53:M$78,0)),"")</f>
        <v>指数</v>
      </c>
      <c r="E12" s="55">
        <f ca="1">IFERROR(INDEX(G$53:G$78,MATCH(6,M$53:M$78,0)),"")</f>
        <v>0.12199434569936339</v>
      </c>
      <c r="F12" s="54" t="str">
        <f t="shared" ca="1" si="1"/>
        <v>不适用</v>
      </c>
      <c r="G12" s="56">
        <f t="shared" ca="1" si="2"/>
        <v>46213</v>
      </c>
    </row>
    <row r="13" spans="1:12" ht="13.5">
      <c r="A13" s="46" t="str">
        <f t="shared" ca="1" si="0"/>
        <v>产业趋势</v>
      </c>
      <c r="B13" s="54" t="str">
        <f ca="1">IFERROR(INDEX($A$53:$A$78,MATCH(7,M$53:M$78,0)),"")</f>
        <v>162214.OF</v>
      </c>
      <c r="C13" s="54" t="str">
        <f ca="1">IFERROR(INDEX($B$53:$B$78,MATCH(7,M$53:M$78,0)),"")</f>
        <v>宏利领先中小盘混合</v>
      </c>
      <c r="D13" s="54" t="str">
        <f ca="1">IFERROR(INDEX($E$53:$E$78,MATCH(7,M$53:M$78,0)),"")</f>
        <v>主动</v>
      </c>
      <c r="E13" s="55">
        <f ca="1">IFERROR(INDEX(G$53:G$78,MATCH(7,M$53:M$78,0)),"")</f>
        <v>6.5348778475397287E-2</v>
      </c>
      <c r="F13" s="54" t="str">
        <f t="shared" ca="1" si="1"/>
        <v>正常</v>
      </c>
      <c r="G13" s="56">
        <f t="shared" ca="1" si="2"/>
        <v>46213</v>
      </c>
    </row>
    <row r="14" spans="1:12" ht="13.5">
      <c r="A14" s="46" t="str">
        <f t="shared" ca="1" si="0"/>
        <v/>
      </c>
      <c r="B14" s="54" t="str">
        <f ca="1">IFERROR(INDEX($A$53:$A$78,MATCH(8,M$53:M$78,0)),"")</f>
        <v/>
      </c>
      <c r="C14" s="54" t="str">
        <f ca="1">IFERROR(INDEX($B$53:$B$78,MATCH(8,M$53:M$78,0)),"")</f>
        <v/>
      </c>
      <c r="D14" s="54" t="str">
        <f ca="1">IFERROR(INDEX($E$53:$E$78,MATCH(8,M$53:M$78,0)),"")</f>
        <v/>
      </c>
      <c r="E14" s="55" t="str">
        <f ca="1">IFERROR(INDEX(G$53:G$78,MATCH(8,M$53:M$78,0)),"")</f>
        <v/>
      </c>
      <c r="F14" s="54" t="str">
        <f t="shared" ca="1" si="1"/>
        <v/>
      </c>
      <c r="G14" s="56" t="str">
        <f t="shared" ca="1" si="2"/>
        <v/>
      </c>
    </row>
    <row r="15" spans="1:12" ht="13.5">
      <c r="A15" s="46" t="str">
        <f t="shared" ref="A15:A22" ca="1" si="3">IF(B15&lt;&gt;"","产业趋势基石","")</f>
        <v>产业趋势基石</v>
      </c>
      <c r="B15" s="54" t="str">
        <f ca="1">IFERROR(INDEX($A$53:$A$78,MATCH(1,N$53:N$78,0)),"")</f>
        <v>000917.OF</v>
      </c>
      <c r="C15" s="54" t="str">
        <f ca="1">IFERROR(INDEX($B$53:$B$78,MATCH(1,N$53:N$78,0)),"")</f>
        <v>嘉实快线货币A</v>
      </c>
      <c r="D15" s="54" t="str">
        <f ca="1">IFERROR(INDEX($E$53:$E$78,MATCH(1,N$53:N$78,0)),"")</f>
        <v>货币</v>
      </c>
      <c r="E15" s="55">
        <f ca="1">IFERROR(INDEX(H$53:H$78,MATCH(1,N$53:N$78,0)),"")</f>
        <v>5.0236460007000182E-2</v>
      </c>
      <c r="F15" s="54" t="str">
        <f t="shared" ca="1" si="1"/>
        <v>不适用</v>
      </c>
      <c r="G15" s="56">
        <f t="shared" ref="G15:G22" ca="1" si="4">IF(B15&lt;&gt;"",H$84,"")</f>
        <v>46213</v>
      </c>
    </row>
    <row r="16" spans="1:12" ht="13.5">
      <c r="A16" s="46" t="str">
        <f t="shared" ca="1" si="3"/>
        <v>产业趋势基石</v>
      </c>
      <c r="B16" s="54" t="str">
        <f ca="1">IFERROR(INDEX($A$53:$A$78,MATCH(2,N$53:N$78,0)),"")</f>
        <v>001170.OF</v>
      </c>
      <c r="C16" s="54" t="str">
        <f ca="1">IFERROR(INDEX($B$53:$B$78,MATCH(2,N$53:N$78,0)),"")</f>
        <v>宏利复兴混合A</v>
      </c>
      <c r="D16" s="54" t="str">
        <f ca="1">IFERROR(INDEX($E$53:$E$78,MATCH(2,N$53:N$78,0)),"")</f>
        <v>主动</v>
      </c>
      <c r="E16" s="55">
        <f ca="1">IFERROR(INDEX(H$53:H$78,MATCH(2,N$53:N$78,0)),"")</f>
        <v>0.16940589920750698</v>
      </c>
      <c r="F16" s="54" t="str">
        <f t="shared" ca="1" si="1"/>
        <v>正常</v>
      </c>
      <c r="G16" s="56">
        <f t="shared" ca="1" si="4"/>
        <v>46213</v>
      </c>
    </row>
    <row r="17" spans="1:7" ht="13.5">
      <c r="A17" s="46" t="str">
        <f t="shared" ca="1" si="3"/>
        <v>产业趋势基石</v>
      </c>
      <c r="B17" s="54" t="str">
        <f ca="1">IFERROR(INDEX($A$53:$A$78,MATCH(3,N$53:N$78,0)),"")</f>
        <v>013840.OF</v>
      </c>
      <c r="C17" s="54" t="str">
        <f ca="1">IFERROR(INDEX($B$53:$B$78,MATCH(3,N$53:N$78,0)),"")</f>
        <v>银华集成电路混合A</v>
      </c>
      <c r="D17" s="54" t="str">
        <f ca="1">IFERROR(INDEX($E$53:$E$78,MATCH(3,N$53:N$78,0)),"")</f>
        <v>主动</v>
      </c>
      <c r="E17" s="55">
        <f ca="1">IFERROR(INDEX(H$53:H$78,MATCH(3,N$53:N$78,0)),"")</f>
        <v>0.22839766163696396</v>
      </c>
      <c r="F17" s="54" t="str">
        <f t="shared" ca="1" si="1"/>
        <v>超限</v>
      </c>
      <c r="G17" s="56">
        <f t="shared" ca="1" si="4"/>
        <v>46213</v>
      </c>
    </row>
    <row r="18" spans="1:7" ht="13.5">
      <c r="A18" s="46" t="str">
        <f t="shared" ca="1" si="3"/>
        <v>产业趋势基石</v>
      </c>
      <c r="B18" s="54" t="str">
        <f ca="1">IFERROR(INDEX($A$53:$A$78,MATCH(4,N$53:N$78,0)),"")</f>
        <v>016370.OF</v>
      </c>
      <c r="C18" s="54" t="str">
        <f ca="1">IFERROR(INDEX($B$53:$B$78,MATCH(4,N$53:N$78,0)),"")</f>
        <v>信澳业绩驱动A</v>
      </c>
      <c r="D18" s="54" t="str">
        <f ca="1">IFERROR(INDEX($E$53:$E$78,MATCH(4,N$53:N$78,0)),"")</f>
        <v>主动</v>
      </c>
      <c r="E18" s="55">
        <f ca="1">IFERROR(INDEX(H$53:H$78,MATCH(4,N$53:N$78,0)),"")</f>
        <v>0.18230280508242691</v>
      </c>
      <c r="F18" s="54" t="str">
        <f t="shared" ca="1" si="1"/>
        <v>正常</v>
      </c>
      <c r="G18" s="56">
        <f t="shared" ca="1" si="4"/>
        <v>46213</v>
      </c>
    </row>
    <row r="19" spans="1:7" ht="13.5">
      <c r="A19" s="46" t="str">
        <f t="shared" ca="1" si="3"/>
        <v>产业趋势基石</v>
      </c>
      <c r="B19" s="54" t="str">
        <f ca="1">IFERROR(INDEX($A$53:$A$78,MATCH(5,N$53:N$78,0)),"")</f>
        <v>017488.OF</v>
      </c>
      <c r="C19" s="54" t="str">
        <f ca="1">IFERROR(INDEX($B$53:$B$78,MATCH(5,N$53:N$78,0)),"")</f>
        <v>嘉实信息产业A</v>
      </c>
      <c r="D19" s="54" t="str">
        <f ca="1">IFERROR(INDEX($E$53:$E$78,MATCH(5,N$53:N$78,0)),"")</f>
        <v>主动</v>
      </c>
      <c r="E19" s="55">
        <f ca="1">IFERROR(INDEX(H$53:H$78,MATCH(5,N$53:N$78,0)),"")</f>
        <v>0.18173267167814874</v>
      </c>
      <c r="F19" s="54" t="str">
        <f t="shared" ca="1" si="1"/>
        <v>正常</v>
      </c>
      <c r="G19" s="56">
        <f t="shared" ca="1" si="4"/>
        <v>46213</v>
      </c>
    </row>
    <row r="20" spans="1:7" ht="13.5">
      <c r="A20" s="46" t="str">
        <f t="shared" ca="1" si="3"/>
        <v>产业趋势基石</v>
      </c>
      <c r="B20" s="54" t="str">
        <f ca="1">IFERROR(INDEX($A$53:$A$78,MATCH(6,N$53:N$78,0)),"")</f>
        <v>019632.OF</v>
      </c>
      <c r="C20" s="54" t="str">
        <f ca="1">IFERROR(INDEX($B$53:$B$78,MATCH(6,N$53:N$78,0)),"")</f>
        <v>国泰半导体材料设备ETF联接A</v>
      </c>
      <c r="D20" s="54" t="str">
        <f ca="1">IFERROR(INDEX($E$53:$E$78,MATCH(6,N$53:N$78,0)),"")</f>
        <v>指数</v>
      </c>
      <c r="E20" s="55">
        <f ca="1">IFERROR(INDEX(H$53:H$78,MATCH(6,N$53:N$78,0)),"")</f>
        <v>0.12257624499881614</v>
      </c>
      <c r="F20" s="54" t="str">
        <f t="shared" ca="1" si="1"/>
        <v>不适用</v>
      </c>
      <c r="G20" s="56">
        <f t="shared" ca="1" si="4"/>
        <v>46213</v>
      </c>
    </row>
    <row r="21" spans="1:7" ht="13.5">
      <c r="A21" s="46" t="str">
        <f t="shared" ca="1" si="3"/>
        <v>产业趋势基石</v>
      </c>
      <c r="B21" s="54" t="str">
        <f ca="1">IFERROR(INDEX($A$53:$A$78,MATCH(7,N$53:N$78,0)),"")</f>
        <v>162214.OF</v>
      </c>
      <c r="C21" s="54" t="str">
        <f ca="1">IFERROR(INDEX($B$53:$B$78,MATCH(7,N$53:N$78,0)),"")</f>
        <v>宏利领先中小盘混合</v>
      </c>
      <c r="D21" s="54" t="str">
        <f ca="1">IFERROR(INDEX($E$53:$E$78,MATCH(7,N$53:N$78,0)),"")</f>
        <v>主动</v>
      </c>
      <c r="E21" s="55">
        <f ca="1">IFERROR(INDEX(H$53:H$78,MATCH(7,N$53:N$78,0)),"")</f>
        <v>6.5348257389137021E-2</v>
      </c>
      <c r="F21" s="54" t="str">
        <f t="shared" ca="1" si="1"/>
        <v>正常</v>
      </c>
      <c r="G21" s="56">
        <f t="shared" ca="1" si="4"/>
        <v>46213</v>
      </c>
    </row>
    <row r="22" spans="1:7" ht="13.5">
      <c r="A22" s="46" t="str">
        <f t="shared" ca="1" si="3"/>
        <v/>
      </c>
      <c r="B22" s="54" t="str">
        <f ca="1">IFERROR(INDEX($A$53:$A$78,MATCH(8,N$53:N$78,0)),"")</f>
        <v/>
      </c>
      <c r="C22" s="54" t="str">
        <f ca="1">IFERROR(INDEX($B$53:$B$78,MATCH(8,N$53:N$78,0)),"")</f>
        <v/>
      </c>
      <c r="D22" s="54" t="str">
        <f ca="1">IFERROR(INDEX($E$53:$E$78,MATCH(8,N$53:N$78,0)),"")</f>
        <v/>
      </c>
      <c r="E22" s="55" t="str">
        <f ca="1">IFERROR(INDEX(H$53:H$78,MATCH(8,N$53:N$78,0)),"")</f>
        <v/>
      </c>
      <c r="F22" s="54" t="str">
        <f t="shared" ca="1" si="1"/>
        <v/>
      </c>
      <c r="G22" s="56" t="str">
        <f t="shared" ca="1" si="4"/>
        <v/>
      </c>
    </row>
    <row r="23" spans="1:7" ht="13.5">
      <c r="A23" s="46" t="str">
        <f t="shared" ref="A23:A30" ca="1" si="5">IF(B23&lt;&gt;"","产业趋势2号","")</f>
        <v>产业趋势2号</v>
      </c>
      <c r="B23" s="54" t="str">
        <f ca="1">IFERROR(INDEX($A$53:$A$78,MATCH(1,O$53:O$78,0)),"")</f>
        <v>000917.OF</v>
      </c>
      <c r="C23" s="54" t="str">
        <f ca="1">IFERROR(INDEX($B$53:$B$78,MATCH(1,O$53:O$78,0)),"")</f>
        <v>嘉实快线货币A</v>
      </c>
      <c r="D23" s="54" t="str">
        <f ca="1">IFERROR(INDEX($E$53:$E$78,MATCH(1,O$53:O$78,0)),"")</f>
        <v>货币</v>
      </c>
      <c r="E23" s="55">
        <f ca="1">IFERROR(INDEX(I$53:I$78,MATCH(1,O$53:O$78,0)),"")</f>
        <v>5.0033798497684176E-2</v>
      </c>
      <c r="F23" s="54" t="str">
        <f t="shared" ca="1" si="1"/>
        <v>不适用</v>
      </c>
      <c r="G23" s="56">
        <f t="shared" ref="G23:G30" ca="1" si="6">IF(B23&lt;&gt;"",I$84,"")</f>
        <v>46213</v>
      </c>
    </row>
    <row r="24" spans="1:7" ht="13.5">
      <c r="A24" s="46" t="str">
        <f t="shared" ca="1" si="5"/>
        <v>产业趋势2号</v>
      </c>
      <c r="B24" s="54" t="str">
        <f ca="1">IFERROR(INDEX($A$53:$A$78,MATCH(2,O$53:O$78,0)),"")</f>
        <v>009993.OF</v>
      </c>
      <c r="C24" s="54" t="str">
        <f ca="1">IFERROR(INDEX($B$53:$B$78,MATCH(2,O$53:O$78,0)),"")</f>
        <v>嘉实前沿科技创新</v>
      </c>
      <c r="D24" s="54" t="str">
        <f ca="1">IFERROR(INDEX($E$53:$E$78,MATCH(2,O$53:O$78,0)),"")</f>
        <v>主动</v>
      </c>
      <c r="E24" s="55">
        <f ca="1">IFERROR(INDEX(I$53:I$78,MATCH(2,O$53:O$78,0)),"")</f>
        <v>0.18359663253534741</v>
      </c>
      <c r="F24" s="54" t="str">
        <f t="shared" ca="1" si="1"/>
        <v>正常</v>
      </c>
      <c r="G24" s="56">
        <f t="shared" ca="1" si="6"/>
        <v>46213</v>
      </c>
    </row>
    <row r="25" spans="1:7" ht="13.5">
      <c r="A25" s="46" t="str">
        <f t="shared" ca="1" si="5"/>
        <v>产业趋势2号</v>
      </c>
      <c r="B25" s="54" t="str">
        <f ca="1">IFERROR(INDEX($A$53:$A$78,MATCH(3,O$53:O$78,0)),"")</f>
        <v>013841.OF</v>
      </c>
      <c r="C25" s="54" t="str">
        <f ca="1">IFERROR(INDEX($B$53:$B$78,MATCH(3,O$53:O$78,0)),"")</f>
        <v>银华集成电路混合C</v>
      </c>
      <c r="D25" s="54" t="str">
        <f ca="1">IFERROR(INDEX($E$53:$E$78,MATCH(3,O$53:O$78,0)),"")</f>
        <v>主动</v>
      </c>
      <c r="E25" s="55">
        <f ca="1">IFERROR(INDEX(I$53:I$78,MATCH(3,O$53:O$78,0)),"")</f>
        <v>0.22464241257665332</v>
      </c>
      <c r="F25" s="54" t="str">
        <f t="shared" ca="1" si="1"/>
        <v>超限</v>
      </c>
      <c r="G25" s="56">
        <f t="shared" ca="1" si="6"/>
        <v>46213</v>
      </c>
    </row>
    <row r="26" spans="1:7" ht="13.5">
      <c r="A26" s="46" t="str">
        <f t="shared" ca="1" si="5"/>
        <v>产业趋势2号</v>
      </c>
      <c r="B26" s="54" t="str">
        <f ca="1">IFERROR(INDEX($A$53:$A$78,MATCH(4,O$53:O$78,0)),"")</f>
        <v>017489.OF</v>
      </c>
      <c r="C26" s="54" t="str">
        <f ca="1">IFERROR(INDEX($B$53:$B$78,MATCH(4,O$53:O$78,0)),"")</f>
        <v>嘉实信息产业C</v>
      </c>
      <c r="D26" s="54" t="str">
        <f ca="1">IFERROR(INDEX($E$53:$E$78,MATCH(4,O$53:O$78,0)),"")</f>
        <v>主动</v>
      </c>
      <c r="E26" s="55">
        <f ca="1">IFERROR(INDEX(I$53:I$78,MATCH(4,O$53:O$78,0)),"")</f>
        <v>0.18202237800350826</v>
      </c>
      <c r="F26" s="54" t="str">
        <f t="shared" ca="1" si="1"/>
        <v>正常</v>
      </c>
      <c r="G26" s="56">
        <f t="shared" ca="1" si="6"/>
        <v>46213</v>
      </c>
    </row>
    <row r="27" spans="1:7" ht="13.5">
      <c r="A27" s="46" t="str">
        <f t="shared" ca="1" si="5"/>
        <v>产业趋势2号</v>
      </c>
      <c r="B27" s="54" t="str">
        <f ca="1">IFERROR(INDEX($A$53:$A$78,MATCH(5,O$53:O$78,0)),"")</f>
        <v>017612.OF</v>
      </c>
      <c r="C27" s="54" t="str">
        <f ca="1">IFERROR(INDEX($B$53:$B$78,MATCH(5,O$53:O$78,0)),"")</f>
        <v>宏利复兴伟业C</v>
      </c>
      <c r="D27" s="54" t="str">
        <f ca="1">IFERROR(INDEX($E$53:$E$78,MATCH(5,O$53:O$78,0)),"")</f>
        <v>主动</v>
      </c>
      <c r="E27" s="55">
        <f ca="1">IFERROR(INDEX(I$53:I$78,MATCH(5,O$53:O$78,0)),"")</f>
        <v>0.17233309392892973</v>
      </c>
      <c r="F27" s="54" t="str">
        <f t="shared" ca="1" si="1"/>
        <v>正常</v>
      </c>
      <c r="G27" s="56">
        <f t="shared" ca="1" si="6"/>
        <v>46213</v>
      </c>
    </row>
    <row r="28" spans="1:7" ht="13.5">
      <c r="A28" s="46" t="str">
        <f t="shared" ca="1" si="5"/>
        <v>产业趋势2号</v>
      </c>
      <c r="B28" s="54" t="str">
        <f ca="1">IFERROR(INDEX($A$53:$A$78,MATCH(6,O$53:O$78,0)),"")</f>
        <v>019633.OF</v>
      </c>
      <c r="C28" s="54" t="str">
        <f ca="1">IFERROR(INDEX($B$53:$B$78,MATCH(6,O$53:O$78,0)),"")</f>
        <v>国泰半导体材料设备C</v>
      </c>
      <c r="D28" s="54" t="str">
        <f ca="1">IFERROR(INDEX($E$53:$E$78,MATCH(6,O$53:O$78,0)),"")</f>
        <v>指数</v>
      </c>
      <c r="E28" s="55">
        <f ca="1">IFERROR(INDEX(I$53:I$78,MATCH(6,O$53:O$78,0)),"")</f>
        <v>0.12002747289748923</v>
      </c>
      <c r="F28" s="54" t="str">
        <f t="shared" ca="1" si="1"/>
        <v>不适用</v>
      </c>
      <c r="G28" s="56">
        <f t="shared" ca="1" si="6"/>
        <v>46213</v>
      </c>
    </row>
    <row r="29" spans="1:7" ht="13.5">
      <c r="A29" s="46" t="str">
        <f t="shared" ca="1" si="5"/>
        <v>产业趋势2号</v>
      </c>
      <c r="B29" s="54" t="str">
        <f ca="1">IFERROR(INDEX($A$53:$A$78,MATCH(7,O$53:O$78,0)),"")</f>
        <v>162214.OF</v>
      </c>
      <c r="C29" s="54" t="str">
        <f ca="1">IFERROR(INDEX($B$53:$B$78,MATCH(7,O$53:O$78,0)),"")</f>
        <v>宏利领先中小盘混合</v>
      </c>
      <c r="D29" s="54" t="str">
        <f ca="1">IFERROR(INDEX($E$53:$E$78,MATCH(7,O$53:O$78,0)),"")</f>
        <v>主动</v>
      </c>
      <c r="E29" s="55">
        <f ca="1">IFERROR(INDEX(I$53:I$78,MATCH(7,O$53:O$78,0)),"")</f>
        <v>6.7344211560388001E-2</v>
      </c>
      <c r="F29" s="54" t="str">
        <f t="shared" ca="1" si="1"/>
        <v>正常</v>
      </c>
      <c r="G29" s="56">
        <f t="shared" ca="1" si="6"/>
        <v>46213</v>
      </c>
    </row>
    <row r="30" spans="1:7" ht="13.5">
      <c r="A30" s="46" t="str">
        <f t="shared" ca="1" si="5"/>
        <v/>
      </c>
      <c r="B30" s="54" t="str">
        <f ca="1">IFERROR(INDEX($A$53:$A$78,MATCH(8,O$53:O$78,0)),"")</f>
        <v/>
      </c>
      <c r="C30" s="54" t="str">
        <f ca="1">IFERROR(INDEX($B$53:$B$78,MATCH(8,O$53:O$78,0)),"")</f>
        <v/>
      </c>
      <c r="D30" s="54" t="str">
        <f ca="1">IFERROR(INDEX($E$53:$E$78,MATCH(8,O$53:O$78,0)),"")</f>
        <v/>
      </c>
      <c r="E30" s="55" t="str">
        <f ca="1">IFERROR(INDEX(I$53:I$78,MATCH(8,O$53:O$78,0)),"")</f>
        <v/>
      </c>
      <c r="F30" s="54" t="str">
        <f t="shared" ca="1" si="1"/>
        <v/>
      </c>
      <c r="G30" s="56" t="str">
        <f t="shared" ca="1" si="6"/>
        <v/>
      </c>
    </row>
    <row r="31" spans="1:7" ht="13">
      <c r="A31" s="158" t="s">
        <v>207</v>
      </c>
      <c r="B31" s="158"/>
      <c r="C31" s="158"/>
      <c r="D31" s="158"/>
      <c r="E31" s="158"/>
      <c r="F31" s="158"/>
      <c r="G31" s="158"/>
    </row>
    <row r="33" spans="1:8" ht="21" customHeight="1">
      <c r="A33" s="157" t="s">
        <v>277</v>
      </c>
      <c r="B33" s="157"/>
      <c r="C33" s="157"/>
      <c r="D33" s="157"/>
      <c r="E33" s="157"/>
      <c r="F33" s="157"/>
      <c r="G33" s="49" t="s">
        <v>201</v>
      </c>
      <c r="H33" s="50">
        <f ca="1">$B$82</f>
        <v>46286</v>
      </c>
    </row>
    <row r="34" spans="1:8" ht="28" customHeight="1">
      <c r="A34" s="51" t="s">
        <v>202</v>
      </c>
      <c r="B34" s="51" t="s">
        <v>208</v>
      </c>
      <c r="C34" s="51" t="s">
        <v>209</v>
      </c>
      <c r="D34" s="51" t="s">
        <v>210</v>
      </c>
      <c r="E34" s="51" t="s">
        <v>211</v>
      </c>
      <c r="F34" s="51" t="s">
        <v>212</v>
      </c>
      <c r="G34" s="51" t="s">
        <v>210</v>
      </c>
      <c r="H34" s="51" t="s">
        <v>206</v>
      </c>
    </row>
    <row r="35" spans="1:8" ht="13">
      <c r="A35" s="54" t="s">
        <v>213</v>
      </c>
      <c r="B35" s="55">
        <v>0.1</v>
      </c>
      <c r="C35" s="55">
        <f ca="1">SUMIF($C$53:$C$78,"增值",J$53:J$78)</f>
        <v>0.10492083239080201</v>
      </c>
      <c r="D35" s="57">
        <f ca="1">C35-B35</f>
        <v>4.9208323908020019E-3</v>
      </c>
      <c r="E35" s="55">
        <f>1-B35</f>
        <v>0.9</v>
      </c>
      <c r="F35" s="55">
        <f ca="1">SUMIF($C$53:$C$78,"生息",J$53:J$78)</f>
        <v>0.89507916760919815</v>
      </c>
      <c r="G35" s="57">
        <f ca="1">F35-E35</f>
        <v>-4.920832390801877E-3</v>
      </c>
      <c r="H35" s="56">
        <f>J$84</f>
        <v>46276</v>
      </c>
    </row>
    <row r="36" spans="1:8" ht="13">
      <c r="A36" s="54" t="s">
        <v>214</v>
      </c>
      <c r="B36" s="55">
        <v>0.1</v>
      </c>
      <c r="C36" s="55">
        <f ca="1">SUMIF($C$53:$C$78,"增值",K$53:K$78)</f>
        <v>0.10516392980307344</v>
      </c>
      <c r="D36" s="57">
        <f ca="1">C36-B36</f>
        <v>5.1639298030734387E-3</v>
      </c>
      <c r="E36" s="55">
        <f>1-B36</f>
        <v>0.9</v>
      </c>
      <c r="F36" s="55">
        <f ca="1">SUMIF($C$53:$C$78,"生息",K$53:K$78)</f>
        <v>0.89483607019692679</v>
      </c>
      <c r="G36" s="57">
        <f ca="1">F36-E36</f>
        <v>-5.1639298030732306E-3</v>
      </c>
      <c r="H36" s="56">
        <f>K$84</f>
        <v>46276</v>
      </c>
    </row>
    <row r="37" spans="1:8" ht="13">
      <c r="A37" s="54" t="s">
        <v>215</v>
      </c>
      <c r="B37" s="55">
        <v>0.3</v>
      </c>
      <c r="C37" s="55">
        <f ca="1">SUMIF($C$53:$C$78,"增值",L$53:L$78)</f>
        <v>0.31165403730072055</v>
      </c>
      <c r="D37" s="57">
        <f ca="1">C37-B37</f>
        <v>1.1654037300720566E-2</v>
      </c>
      <c r="E37" s="55">
        <f>1-B37</f>
        <v>0.7</v>
      </c>
      <c r="F37" s="55">
        <f ca="1">SUMIF($C$53:$C$78,"生息",L$53:L$78)</f>
        <v>0.68834596269927961</v>
      </c>
      <c r="G37" s="57">
        <f ca="1">F37-E37</f>
        <v>-1.1654037300720343E-2</v>
      </c>
      <c r="H37" s="56">
        <f>L$84</f>
        <v>46276</v>
      </c>
    </row>
    <row r="38" spans="1:8" ht="13">
      <c r="A38" s="159" t="s">
        <v>216</v>
      </c>
      <c r="B38" s="159"/>
      <c r="C38" s="159"/>
      <c r="D38" s="159"/>
      <c r="E38" s="159"/>
      <c r="F38" s="159"/>
      <c r="G38" s="159"/>
      <c r="H38" s="159"/>
    </row>
    <row r="40" spans="1:8" ht="21" customHeight="1">
      <c r="A40" s="157" t="s">
        <v>217</v>
      </c>
      <c r="B40" s="157"/>
      <c r="C40" s="157"/>
      <c r="D40" s="49" t="s">
        <v>201</v>
      </c>
      <c r="E40" s="50">
        <f ca="1">$B$82</f>
        <v>46286</v>
      </c>
    </row>
    <row r="41" spans="1:8" ht="28" customHeight="1">
      <c r="A41" s="51" t="s">
        <v>202</v>
      </c>
      <c r="B41" s="51" t="s">
        <v>218</v>
      </c>
      <c r="C41" s="51" t="s">
        <v>219</v>
      </c>
      <c r="D41" s="51" t="s">
        <v>220</v>
      </c>
      <c r="E41" s="51" t="s">
        <v>206</v>
      </c>
    </row>
    <row r="42" spans="1:8" ht="13">
      <c r="A42" s="54" t="s">
        <v>213</v>
      </c>
      <c r="B42" s="55">
        <f ca="1">IFERROR(SUMIF($D$53:$D$78,"产业趋势",J$53:J$78)/SUMIF($C$53:$C$78,"增值",J$53:J$78),0)</f>
        <v>0.506822067392526</v>
      </c>
      <c r="C42" s="55">
        <f ca="1">IFERROR(SUMIF($D$53:$D$78,"指增",J$53:J$78)/SUMIF($C$53:$C$78,"增值",J$53:J$78),0)</f>
        <v>0.49317793260747395</v>
      </c>
      <c r="D42" s="55">
        <f ca="1">SUMIF($C$53:$C$78,"增值",J$53:J$78)</f>
        <v>0.10492083239080201</v>
      </c>
      <c r="E42" s="56">
        <f>J$84</f>
        <v>46276</v>
      </c>
    </row>
    <row r="43" spans="1:8" ht="13">
      <c r="A43" s="54" t="s">
        <v>214</v>
      </c>
      <c r="B43" s="55">
        <f ca="1">IFERROR(SUMIF($D$53:$D$78,"产业趋势",K$53:K$78)/SUMIF($C$53:$C$78,"增值",K$53:K$78),0)</f>
        <v>0.50804358574849673</v>
      </c>
      <c r="C43" s="55">
        <f ca="1">IFERROR(SUMIF($D$53:$D$78,"指增",K$53:K$78)/SUMIF($C$53:$C$78,"增值",K$53:K$78),0)</f>
        <v>0.49195641425150322</v>
      </c>
      <c r="D43" s="55">
        <f ca="1">SUMIF($C$53:$C$78,"增值",K$53:K$78)</f>
        <v>0.10516392980307344</v>
      </c>
      <c r="E43" s="56">
        <f>K$84</f>
        <v>46276</v>
      </c>
    </row>
    <row r="44" spans="1:8" ht="13">
      <c r="A44" s="54" t="s">
        <v>215</v>
      </c>
      <c r="B44" s="55">
        <f ca="1">IFERROR(SUMIF($D$53:$D$78,"产业趋势",L$53:L$78)/SUMIF($C$53:$C$78,"增值",L$53:L$78),0)</f>
        <v>0.50730538853682194</v>
      </c>
      <c r="C44" s="55">
        <f ca="1">IFERROR(SUMIF($D$53:$D$78,"指增",L$53:L$78)/SUMIF($C$53:$C$78,"增值",L$53:L$78),0)</f>
        <v>0.492694611463178</v>
      </c>
      <c r="D44" s="55">
        <f ca="1">SUMIF($C$53:$C$78,"增值",L$53:L$78)</f>
        <v>0.31165403730072055</v>
      </c>
      <c r="E44" s="56">
        <f>L$84</f>
        <v>46276</v>
      </c>
    </row>
    <row r="45" spans="1:8" ht="13">
      <c r="A45" s="159" t="s">
        <v>221</v>
      </c>
      <c r="B45" s="159"/>
      <c r="C45" s="159"/>
      <c r="D45" s="159"/>
      <c r="E45" s="159"/>
    </row>
    <row r="47" spans="1:8" ht="34" customHeight="1">
      <c r="A47" s="162" t="s">
        <v>222</v>
      </c>
      <c r="B47" s="162"/>
      <c r="C47" s="162"/>
      <c r="D47" s="162"/>
      <c r="E47" s="162"/>
      <c r="F47" s="162"/>
      <c r="G47" s="162"/>
      <c r="H47" s="162"/>
    </row>
    <row r="50" spans="1:18" ht="21" customHeight="1">
      <c r="A50" s="157" t="s">
        <v>223</v>
      </c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</row>
    <row r="51" spans="1:18" ht="24" customHeight="1">
      <c r="A51" s="159" t="s">
        <v>224</v>
      </c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</row>
    <row r="52" spans="1:18" ht="28" customHeight="1">
      <c r="A52" s="51" t="s">
        <v>28</v>
      </c>
      <c r="B52" s="51" t="s">
        <v>1</v>
      </c>
      <c r="C52" s="51" t="s">
        <v>225</v>
      </c>
      <c r="D52" s="51" t="s">
        <v>226</v>
      </c>
      <c r="E52" s="51" t="s">
        <v>227</v>
      </c>
      <c r="F52" s="51" t="s">
        <v>228</v>
      </c>
      <c r="G52" s="51" t="s">
        <v>229</v>
      </c>
      <c r="H52" s="51" t="s">
        <v>230</v>
      </c>
      <c r="I52" s="51" t="s">
        <v>231</v>
      </c>
      <c r="J52" s="51" t="s">
        <v>213</v>
      </c>
      <c r="K52" s="51" t="s">
        <v>214</v>
      </c>
      <c r="L52" s="51" t="s">
        <v>215</v>
      </c>
    </row>
    <row r="53" spans="1:18" ht="13">
      <c r="A53" s="54" t="s">
        <v>29</v>
      </c>
      <c r="B53" s="52" t="s">
        <v>232</v>
      </c>
      <c r="C53" s="54" t="s">
        <v>233</v>
      </c>
      <c r="D53" s="54" t="s">
        <v>234</v>
      </c>
      <c r="E53" s="54" t="s">
        <v>235</v>
      </c>
      <c r="F53" s="54" t="s">
        <v>236</v>
      </c>
      <c r="G53" s="55">
        <f ca="1">IFERROR(INDEX(分期持仓明细!$B$5:$Y$200,G$82-4,MATCH(LEFT($A53,6),分期持仓明细!$B$3:$Y$3,0))*INDEX('实盘净值数据(iFinD）'!$B$5:$Y$1000,$B$81,MATCH($A53,'实盘净值数据(iFinD）'!$B$3:$Y$3,0))/INDEX('实盘净值数据(iFinD）'!$B$5:$Y$1000,MATCH(G$84,'实盘净值数据(iFinD）'!$A$5:$A$1000,0),MATCH($A53,'实盘净值数据(iFinD）'!$B$3:$Y$3,0))/G$85,G89)</f>
        <v>0</v>
      </c>
      <c r="H53" s="55">
        <f ca="1">IFERROR(INDEX(分期持仓明细!$B$5:$Y$200,H$82-4,MATCH(LEFT($A53,6),分期持仓明细!$B$3:$Y$3,0))*INDEX('实盘净值数据(iFinD）'!$B$5:$Y$1000,$B$81,MATCH($A53,'实盘净值数据(iFinD）'!$B$3:$Y$3,0))/INDEX('实盘净值数据(iFinD）'!$B$5:$Y$1000,MATCH(H$84,'实盘净值数据(iFinD）'!$A$5:$A$1000,0),MATCH($A53,'实盘净值数据(iFinD）'!$B$3:$Y$3,0))/H$85,H89)</f>
        <v>0</v>
      </c>
      <c r="I53" s="55">
        <f ca="1">IFERROR(INDEX(分期持仓明细!$B$5:$Y$200,I$82-4,MATCH(LEFT($A53,6),分期持仓明细!$B$3:$Y$3,0))*INDEX('实盘净值数据(iFinD）'!$B$5:$Y$1000,$B$81,MATCH($A53,'实盘净值数据(iFinD）'!$B$3:$Y$3,0))/INDEX('实盘净值数据(iFinD）'!$B$5:$Y$1000,MATCH(I$84,'实盘净值数据(iFinD）'!$A$5:$A$1000,0),MATCH($A53,'实盘净值数据(iFinD）'!$B$3:$Y$3,0))/I$85,I89)</f>
        <v>0</v>
      </c>
      <c r="J53" s="55">
        <f ca="1">IFERROR(INDEX(分期持仓明细!$B$5:$Y$200,J$82-4,MATCH(LEFT($A53,6),分期持仓明细!$B$3:$Y$3,0))*INDEX('实盘净值数据(iFinD）'!$B$5:$Y$1000,$B$81,MATCH($A53,'实盘净值数据(iFinD）'!$B$3:$Y$3,0))/INDEX('实盘净值数据(iFinD）'!$B$5:$Y$1000,MATCH(J$84,'实盘净值数据(iFinD）'!$A$5:$A$1000,0),MATCH($A53,'实盘净值数据(iFinD）'!$B$3:$Y$3,0))/J$85,J89)</f>
        <v>4.9585350005264567E-2</v>
      </c>
      <c r="K53" s="55">
        <f ca="1">IFERROR(INDEX(分期持仓明细!$B$5:$Y$200,K$82-4,MATCH(LEFT($A53,6),分期持仓明细!$B$3:$Y$3,0))*INDEX('实盘净值数据(iFinD）'!$B$5:$Y$1000,$B$81,MATCH($A53,'实盘净值数据(iFinD）'!$B$3:$Y$3,0))/INDEX('实盘净值数据(iFinD）'!$B$5:$Y$1000,MATCH(K$84,'实盘净值数据(iFinD）'!$A$5:$A$1000,0),MATCH($A53,'实盘净值数据(iFinD）'!$B$3:$Y$3,0))/K$85,K89)</f>
        <v>4.9571882961555964E-2</v>
      </c>
      <c r="L53" s="55">
        <f ca="1">IFERROR(INDEX(分期持仓明细!$B$5:$Y$200,L$82-4,MATCH(LEFT($A53,6),分期持仓明细!$B$3:$Y$3,0))*INDEX('实盘净值数据(iFinD）'!$B$5:$Y$1000,$B$81,MATCH($A53,'实盘净值数据(iFinD）'!$B$3:$Y$3,0))/INDEX('实盘净值数据(iFinD）'!$B$5:$Y$1000,MATCH(L$84,'实盘净值数据(iFinD）'!$A$5:$A$1000,0),MATCH($A53,'实盘净值数据(iFinD）'!$B$3:$Y$3,0))/L$85,L89)</f>
        <v>9.8095103715479165E-2</v>
      </c>
      <c r="M53" t="str">
        <f ca="1">IF(G53&gt;0,COUNTIF(G$53:G53,"&gt;0"),"")</f>
        <v/>
      </c>
      <c r="N53" t="str">
        <f ca="1">IF(H53&gt;0,COUNTIF(H$53:H53,"&gt;0"),"")</f>
        <v/>
      </c>
      <c r="O53" t="str">
        <f ca="1">IF(I53&gt;0,COUNTIF(I$53:I53,"&gt;0"),"")</f>
        <v/>
      </c>
      <c r="P53">
        <f ca="1">IF(J53&gt;0,COUNTIF(J$53:J53,"&gt;0"),"")</f>
        <v>1</v>
      </c>
      <c r="Q53">
        <f ca="1">IF(K53&gt;0,COUNTIF(K$53:K53,"&gt;0"),"")</f>
        <v>1</v>
      </c>
      <c r="R53">
        <f ca="1">IF(L53&gt;0,COUNTIF(L$53:L53,"&gt;0"),"")</f>
        <v>1</v>
      </c>
    </row>
    <row r="54" spans="1:18" ht="13">
      <c r="A54" s="54" t="s">
        <v>30</v>
      </c>
      <c r="B54" s="52" t="s">
        <v>237</v>
      </c>
      <c r="C54" s="54" t="s">
        <v>233</v>
      </c>
      <c r="D54" s="54" t="s">
        <v>234</v>
      </c>
      <c r="E54" s="54" t="s">
        <v>238</v>
      </c>
      <c r="F54" s="54" t="s">
        <v>239</v>
      </c>
      <c r="G54" s="55">
        <f ca="1">IFERROR(INDEX(分期持仓明细!$B$5:$Y$200,G$82-4,MATCH(LEFT($A54,6),分期持仓明细!$B$3:$Y$3,0))*INDEX('实盘净值数据(iFinD）'!$B$5:$Y$1000,$B$81,MATCH($A54,'实盘净值数据(iFinD）'!$B$3:$Y$3,0))/INDEX('实盘净值数据(iFinD）'!$B$5:$Y$1000,MATCH(G$84,'实盘净值数据(iFinD）'!$A$5:$A$1000,0),MATCH($A54,'实盘净值数据(iFinD）'!$B$3:$Y$3,0))/G$85,G90)</f>
        <v>5.1384207176931762E-2</v>
      </c>
      <c r="H54" s="55">
        <f ca="1">IFERROR(INDEX(分期持仓明细!$B$5:$Y$200,H$82-4,MATCH(LEFT($A54,6),分期持仓明细!$B$3:$Y$3,0))*INDEX('实盘净值数据(iFinD）'!$B$5:$Y$1000,$B$81,MATCH($A54,'实盘净值数据(iFinD）'!$B$3:$Y$3,0))/INDEX('实盘净值数据(iFinD）'!$B$5:$Y$1000,MATCH(H$84,'实盘净值数据(iFinD）'!$A$5:$A$1000,0),MATCH($A54,'实盘净值数据(iFinD）'!$B$3:$Y$3,0))/H$85,H90)</f>
        <v>5.0236460007000182E-2</v>
      </c>
      <c r="I54" s="55">
        <f ca="1">IFERROR(INDEX(分期持仓明细!$B$5:$Y$200,I$82-4,MATCH(LEFT($A54,6),分期持仓明细!$B$3:$Y$3,0))*INDEX('实盘净值数据(iFinD）'!$B$5:$Y$1000,$B$81,MATCH($A54,'实盘净值数据(iFinD）'!$B$3:$Y$3,0))/INDEX('实盘净值数据(iFinD）'!$B$5:$Y$1000,MATCH(I$84,'实盘净值数据(iFinD）'!$A$5:$A$1000,0),MATCH($A54,'实盘净值数据(iFinD）'!$B$3:$Y$3,0))/I$85,I90)</f>
        <v>5.0033798497684176E-2</v>
      </c>
      <c r="J54" s="55">
        <f ca="1">IFERROR(INDEX(分期持仓明细!$B$5:$Y$200,J$82-4,MATCH(LEFT($A54,6),分期持仓明细!$B$3:$Y$3,0))*INDEX('实盘净值数据(iFinD）'!$B$5:$Y$1000,$B$81,MATCH($A54,'实盘净值数据(iFinD）'!$B$3:$Y$3,0))/INDEX('实盘净值数据(iFinD）'!$B$5:$Y$1000,MATCH(J$84,'实盘净值数据(iFinD）'!$A$5:$A$1000,0),MATCH($A54,'实盘净值数据(iFinD）'!$B$3:$Y$3,0))/J$85,J90)</f>
        <v>4.9667587559631673E-2</v>
      </c>
      <c r="K54" s="55">
        <f ca="1">IFERROR(INDEX(分期持仓明细!$B$5:$Y$200,K$82-4,MATCH(LEFT($A54,6),分期持仓明细!$B$3:$Y$3,0))*INDEX('实盘净值数据(iFinD）'!$B$5:$Y$1000,$B$81,MATCH($A54,'实盘净值数据(iFinD）'!$B$3:$Y$3,0))/INDEX('实盘净值数据(iFinD）'!$B$5:$Y$1000,MATCH(K$84,'实盘净值数据(iFinD）'!$A$5:$A$1000,0),MATCH($A54,'实盘净值数据(iFinD）'!$B$3:$Y$3,0))/K$85,K90)</f>
        <v>4.9654098180762801E-2</v>
      </c>
      <c r="L54" s="55">
        <f ca="1">IFERROR(INDEX(分期持仓明细!$B$5:$Y$200,L$82-4,MATCH(LEFT($A54,6),分期持仓明细!$B$3:$Y$3,0))*INDEX('实盘净值数据(iFinD）'!$B$5:$Y$1000,$B$81,MATCH($A54,'实盘净值数据(iFinD）'!$B$3:$Y$3,0))/INDEX('实盘净值数据(iFinD）'!$B$5:$Y$1000,MATCH(L$84,'实盘净值数据(iFinD）'!$A$5:$A$1000,0),MATCH($A54,'实盘净值数据(iFinD）'!$B$3:$Y$3,0))/L$85,L90)</f>
        <v>9.8257794942305063E-2</v>
      </c>
      <c r="M54">
        <f ca="1">IF(G54&gt;0,COUNTIF(G$53:G54,"&gt;0"),"")</f>
        <v>1</v>
      </c>
      <c r="N54">
        <f ca="1">IF(H54&gt;0,COUNTIF(H$53:H54,"&gt;0"),"")</f>
        <v>1</v>
      </c>
      <c r="O54">
        <f ca="1">IF(I54&gt;0,COUNTIF(I$53:I54,"&gt;0"),"")</f>
        <v>1</v>
      </c>
      <c r="P54">
        <f ca="1">IF(J54&gt;0,COUNTIF(J$53:J54,"&gt;0"),"")</f>
        <v>2</v>
      </c>
      <c r="Q54">
        <f ca="1">IF(K54&gt;0,COUNTIF(K$53:K54,"&gt;0"),"")</f>
        <v>2</v>
      </c>
      <c r="R54">
        <f ca="1">IF(L54&gt;0,COUNTIF(L$53:L54,"&gt;0"),"")</f>
        <v>2</v>
      </c>
    </row>
    <row r="55" spans="1:18" ht="13">
      <c r="A55" s="54" t="s">
        <v>31</v>
      </c>
      <c r="B55" s="52" t="s">
        <v>240</v>
      </c>
      <c r="C55" s="54" t="s">
        <v>241</v>
      </c>
      <c r="D55" s="54" t="s">
        <v>229</v>
      </c>
      <c r="E55" s="54" t="s">
        <v>242</v>
      </c>
      <c r="F55" s="54" t="s">
        <v>243</v>
      </c>
      <c r="G55" s="55">
        <f ca="1">IFERROR(INDEX(分期持仓明细!$B$5:$Y$200,G$82-4,MATCH(LEFT($A55,6),分期持仓明细!$B$3:$Y$3,0))*INDEX('实盘净值数据(iFinD）'!$B$5:$Y$1000,$B$81,MATCH($A55,'实盘净值数据(iFinD）'!$B$3:$Y$3,0))/INDEX('实盘净值数据(iFinD）'!$B$5:$Y$1000,MATCH(G$84,'实盘净值数据(iFinD）'!$A$5:$A$1000,0),MATCH($A55,'实盘净值数据(iFinD）'!$B$3:$Y$3,0))/G$85,G91)</f>
        <v>0.16785910052307829</v>
      </c>
      <c r="H55" s="55">
        <f ca="1">IFERROR(INDEX(分期持仓明细!$B$5:$Y$200,H$82-4,MATCH(LEFT($A55,6),分期持仓明细!$B$3:$Y$3,0))*INDEX('实盘净值数据(iFinD）'!$B$5:$Y$1000,$B$81,MATCH($A55,'实盘净值数据(iFinD）'!$B$3:$Y$3,0))/INDEX('实盘净值数据(iFinD）'!$B$5:$Y$1000,MATCH(H$84,'实盘净值数据(iFinD）'!$A$5:$A$1000,0),MATCH($A55,'实盘净值数据(iFinD）'!$B$3:$Y$3,0))/H$85,H91)</f>
        <v>0.16940589920750698</v>
      </c>
      <c r="I55" s="55">
        <f ca="1">IFERROR(INDEX(分期持仓明细!$B$5:$Y$200,I$82-4,MATCH(LEFT($A55,6),分期持仓明细!$B$3:$Y$3,0))*INDEX('实盘净值数据(iFinD）'!$B$5:$Y$1000,$B$81,MATCH($A55,'实盘净值数据(iFinD）'!$B$3:$Y$3,0))/INDEX('实盘净值数据(iFinD）'!$B$5:$Y$1000,MATCH(I$84,'实盘净值数据(iFinD）'!$A$5:$A$1000,0),MATCH($A55,'实盘净值数据(iFinD）'!$B$3:$Y$3,0))/I$85,I91)</f>
        <v>0</v>
      </c>
      <c r="J55" s="55">
        <f ca="1">IFERROR(INDEX(分期持仓明细!$B$5:$Y$200,J$82-4,MATCH(LEFT($A55,6),分期持仓明细!$B$3:$Y$3,0))*INDEX('实盘净值数据(iFinD）'!$B$5:$Y$1000,$B$81,MATCH($A55,'实盘净值数据(iFinD）'!$B$3:$Y$3,0))/INDEX('实盘净值数据(iFinD）'!$B$5:$Y$1000,MATCH(J$84,'实盘净值数据(iFinD）'!$A$5:$A$1000,0),MATCH($A55,'实盘净值数据(iFinD）'!$B$3:$Y$3,0))/J$85,J91)</f>
        <v>0</v>
      </c>
      <c r="K55" s="55">
        <f ca="1">IFERROR(INDEX(分期持仓明细!$B$5:$Y$200,K$82-4,MATCH(LEFT($A55,6),分期持仓明细!$B$3:$Y$3,0))*INDEX('实盘净值数据(iFinD）'!$B$5:$Y$1000,$B$81,MATCH($A55,'实盘净值数据(iFinD）'!$B$3:$Y$3,0))/INDEX('实盘净值数据(iFinD）'!$B$5:$Y$1000,MATCH(K$84,'实盘净值数据(iFinD）'!$A$5:$A$1000,0),MATCH($A55,'实盘净值数据(iFinD）'!$B$3:$Y$3,0))/K$85,K91)</f>
        <v>1.0369365096716354E-2</v>
      </c>
      <c r="L55" s="55">
        <f ca="1">IFERROR(INDEX(分期持仓明细!$B$5:$Y$200,L$82-4,MATCH(LEFT($A55,6),分期持仓明细!$B$3:$Y$3,0))*INDEX('实盘净值数据(iFinD）'!$B$5:$Y$1000,$B$81,MATCH($A55,'实盘净值数据(iFinD）'!$B$3:$Y$3,0))/INDEX('实盘净值数据(iFinD）'!$B$5:$Y$1000,MATCH(L$84,'实盘净值数据(iFinD）'!$A$5:$A$1000,0),MATCH($A55,'实盘净值数据(iFinD）'!$B$3:$Y$3,0))/L$85,L91)</f>
        <v>0</v>
      </c>
      <c r="M55">
        <f ca="1">IF(G55&gt;0,COUNTIF(G$53:G55,"&gt;0"),"")</f>
        <v>2</v>
      </c>
      <c r="N55">
        <f ca="1">IF(H55&gt;0,COUNTIF(H$53:H55,"&gt;0"),"")</f>
        <v>2</v>
      </c>
      <c r="O55" t="str">
        <f ca="1">IF(I55&gt;0,COUNTIF(I$53:I55,"&gt;0"),"")</f>
        <v/>
      </c>
      <c r="P55" t="str">
        <f ca="1">IF(J55&gt;0,COUNTIF(J$53:J55,"&gt;0"),"")</f>
        <v/>
      </c>
      <c r="Q55">
        <f ca="1">IF(K55&gt;0,COUNTIF(K$53:K55,"&gt;0"),"")</f>
        <v>3</v>
      </c>
      <c r="R55" t="str">
        <f ca="1">IF(L55&gt;0,COUNTIF(L$53:L55,"&gt;0"),"")</f>
        <v/>
      </c>
    </row>
    <row r="56" spans="1:18" ht="13">
      <c r="A56" s="54" t="s">
        <v>32</v>
      </c>
      <c r="B56" s="52" t="s">
        <v>244</v>
      </c>
      <c r="C56" s="54" t="s">
        <v>241</v>
      </c>
      <c r="D56" s="54" t="s">
        <v>245</v>
      </c>
      <c r="E56" s="54" t="s">
        <v>245</v>
      </c>
      <c r="F56" s="54" t="s">
        <v>246</v>
      </c>
      <c r="G56" s="55">
        <f ca="1">IFERROR(INDEX(分期持仓明细!$B$5:$Y$200,G$82-4,MATCH(LEFT($A56,6),分期持仓明细!$B$3:$Y$3,0))*INDEX('实盘净值数据(iFinD）'!$B$5:$Y$1000,$B$81,MATCH($A56,'实盘净值数据(iFinD）'!$B$3:$Y$3,0))/INDEX('实盘净值数据(iFinD）'!$B$5:$Y$1000,MATCH(G$84,'实盘净值数据(iFinD）'!$A$5:$A$1000,0),MATCH($A56,'实盘净值数据(iFinD）'!$B$3:$Y$3,0))/G$85,G92)</f>
        <v>0</v>
      </c>
      <c r="H56" s="55">
        <f ca="1">IFERROR(INDEX(分期持仓明细!$B$5:$Y$200,H$82-4,MATCH(LEFT($A56,6),分期持仓明细!$B$3:$Y$3,0))*INDEX('实盘净值数据(iFinD）'!$B$5:$Y$1000,$B$81,MATCH($A56,'实盘净值数据(iFinD）'!$B$3:$Y$3,0))/INDEX('实盘净值数据(iFinD）'!$B$5:$Y$1000,MATCH(H$84,'实盘净值数据(iFinD）'!$A$5:$A$1000,0),MATCH($A56,'实盘净值数据(iFinD）'!$B$3:$Y$3,0))/H$85,H92)</f>
        <v>0</v>
      </c>
      <c r="I56" s="55">
        <f ca="1">IFERROR(INDEX(分期持仓明细!$B$5:$Y$200,I$82-4,MATCH(LEFT($A56,6),分期持仓明细!$B$3:$Y$3,0))*INDEX('实盘净值数据(iFinD）'!$B$5:$Y$1000,$B$81,MATCH($A56,'实盘净值数据(iFinD）'!$B$3:$Y$3,0))/INDEX('实盘净值数据(iFinD）'!$B$5:$Y$1000,MATCH(I$84,'实盘净值数据(iFinD）'!$A$5:$A$1000,0),MATCH($A56,'实盘净值数据(iFinD）'!$B$3:$Y$3,0))/I$85,I92)</f>
        <v>0</v>
      </c>
      <c r="J56" s="55">
        <f ca="1">IFERROR(INDEX(分期持仓明细!$B$5:$Y$200,J$82-4,MATCH(LEFT($A56,6),分期持仓明细!$B$3:$Y$3,0))*INDEX('实盘净值数据(iFinD）'!$B$5:$Y$1000,$B$81,MATCH($A56,'实盘净值数据(iFinD）'!$B$3:$Y$3,0))/INDEX('实盘净值数据(iFinD）'!$B$5:$Y$1000,MATCH(J$84,'实盘净值数据(iFinD）'!$A$5:$A$1000,0),MATCH($A56,'实盘净值数据(iFinD）'!$B$3:$Y$3,0))/J$85,J92)</f>
        <v>0</v>
      </c>
      <c r="K56" s="55">
        <f ca="1">IFERROR(INDEX(分期持仓明细!$B$5:$Y$200,K$82-4,MATCH(LEFT($A56,6),分期持仓明细!$B$3:$Y$3,0))*INDEX('实盘净值数据(iFinD）'!$B$5:$Y$1000,$B$81,MATCH($A56,'实盘净值数据(iFinD）'!$B$3:$Y$3,0))/INDEX('实盘净值数据(iFinD）'!$B$5:$Y$1000,MATCH(K$84,'实盘净值数据(iFinD）'!$A$5:$A$1000,0),MATCH($A56,'实盘净值数据(iFinD）'!$B$3:$Y$3,0))/K$85,K92)</f>
        <v>1.2597833698586764E-2</v>
      </c>
      <c r="L56" s="55">
        <f ca="1">IFERROR(INDEX(分期持仓明细!$B$5:$Y$200,L$82-4,MATCH(LEFT($A56,6),分期持仓明细!$B$3:$Y$3,0))*INDEX('实盘净值数据(iFinD）'!$B$5:$Y$1000,$B$81,MATCH($A56,'实盘净值数据(iFinD）'!$B$3:$Y$3,0))/INDEX('实盘净值数据(iFinD）'!$B$5:$Y$1000,MATCH(L$84,'实盘净值数据(iFinD）'!$A$5:$A$1000,0),MATCH($A56,'实盘净值数据(iFinD）'!$B$3:$Y$3,0))/L$85,L92)</f>
        <v>0</v>
      </c>
      <c r="M56" t="str">
        <f ca="1">IF(G56&gt;0,COUNTIF(G$53:G56,"&gt;0"),"")</f>
        <v/>
      </c>
      <c r="N56" t="str">
        <f ca="1">IF(H56&gt;0,COUNTIF(H$53:H56,"&gt;0"),"")</f>
        <v/>
      </c>
      <c r="O56" t="str">
        <f ca="1">IF(I56&gt;0,COUNTIF(I$53:I56,"&gt;0"),"")</f>
        <v/>
      </c>
      <c r="P56" t="str">
        <f ca="1">IF(J56&gt;0,COUNTIF(J$53:J56,"&gt;0"),"")</f>
        <v/>
      </c>
      <c r="Q56">
        <f ca="1">IF(K56&gt;0,COUNTIF(K$53:K56,"&gt;0"),"")</f>
        <v>4</v>
      </c>
      <c r="R56" t="str">
        <f ca="1">IF(L56&gt;0,COUNTIF(L$53:L56,"&gt;0"),"")</f>
        <v/>
      </c>
    </row>
    <row r="57" spans="1:18" ht="13">
      <c r="A57" s="54" t="s">
        <v>33</v>
      </c>
      <c r="B57" s="52" t="s">
        <v>247</v>
      </c>
      <c r="C57" s="54" t="s">
        <v>241</v>
      </c>
      <c r="D57" s="54" t="s">
        <v>245</v>
      </c>
      <c r="E57" s="54" t="s">
        <v>245</v>
      </c>
      <c r="F57" s="54" t="s">
        <v>248</v>
      </c>
      <c r="G57" s="55">
        <f ca="1">IFERROR(INDEX(分期持仓明细!$B$5:$Y$200,G$82-4,MATCH(LEFT($A57,6),分期持仓明细!$B$3:$Y$3,0))*INDEX('实盘净值数据(iFinD）'!$B$5:$Y$1000,$B$81,MATCH($A57,'实盘净值数据(iFinD）'!$B$3:$Y$3,0))/INDEX('实盘净值数据(iFinD）'!$B$5:$Y$1000,MATCH(G$84,'实盘净值数据(iFinD）'!$A$5:$A$1000,0),MATCH($A57,'实盘净值数据(iFinD）'!$B$3:$Y$3,0))/G$85,G93)</f>
        <v>0</v>
      </c>
      <c r="H57" s="55">
        <f ca="1">IFERROR(INDEX(分期持仓明细!$B$5:$Y$200,H$82-4,MATCH(LEFT($A57,6),分期持仓明细!$B$3:$Y$3,0))*INDEX('实盘净值数据(iFinD）'!$B$5:$Y$1000,$B$81,MATCH($A57,'实盘净值数据(iFinD）'!$B$3:$Y$3,0))/INDEX('实盘净值数据(iFinD）'!$B$5:$Y$1000,MATCH(H$84,'实盘净值数据(iFinD）'!$A$5:$A$1000,0),MATCH($A57,'实盘净值数据(iFinD）'!$B$3:$Y$3,0))/H$85,H93)</f>
        <v>0</v>
      </c>
      <c r="I57" s="55">
        <f ca="1">IFERROR(INDEX(分期持仓明细!$B$5:$Y$200,I$82-4,MATCH(LEFT($A57,6),分期持仓明细!$B$3:$Y$3,0))*INDEX('实盘净值数据(iFinD）'!$B$5:$Y$1000,$B$81,MATCH($A57,'实盘净值数据(iFinD）'!$B$3:$Y$3,0))/INDEX('实盘净值数据(iFinD）'!$B$5:$Y$1000,MATCH(I$84,'实盘净值数据(iFinD）'!$A$5:$A$1000,0),MATCH($A57,'实盘净值数据(iFinD）'!$B$3:$Y$3,0))/I$85,I93)</f>
        <v>0</v>
      </c>
      <c r="J57" s="55">
        <f ca="1">IFERROR(INDEX(分期持仓明细!$B$5:$Y$200,J$82-4,MATCH(LEFT($A57,6),分期持仓明细!$B$3:$Y$3,0))*INDEX('实盘净值数据(iFinD）'!$B$5:$Y$1000,$B$81,MATCH($A57,'实盘净值数据(iFinD）'!$B$3:$Y$3,0))/INDEX('实盘净值数据(iFinD）'!$B$5:$Y$1000,MATCH(J$84,'实盘净值数据(iFinD）'!$A$5:$A$1000,0),MATCH($A57,'实盘净值数据(iFinD）'!$B$3:$Y$3,0))/J$85,J93)</f>
        <v>1.2600081833106926E-2</v>
      </c>
      <c r="K57" s="55">
        <f ca="1">IFERROR(INDEX(分期持仓明细!$B$5:$Y$200,K$82-4,MATCH(LEFT($A57,6),分期持仓明细!$B$3:$Y$3,0))*INDEX('实盘净值数据(iFinD）'!$B$5:$Y$1000,$B$81,MATCH($A57,'实盘净值数据(iFinD）'!$B$3:$Y$3,0))/INDEX('实盘净值数据(iFinD）'!$B$5:$Y$1000,MATCH(K$84,'实盘净值数据(iFinD）'!$A$5:$A$1000,0),MATCH($A57,'实盘净值数据(iFinD）'!$B$3:$Y$3,0))/K$85,K93)</f>
        <v>0</v>
      </c>
      <c r="L57" s="55">
        <f ca="1">IFERROR(INDEX(分期持仓明细!$B$5:$Y$200,L$82-4,MATCH(LEFT($A57,6),分期持仓明细!$B$3:$Y$3,0))*INDEX('实盘净值数据(iFinD）'!$B$5:$Y$1000,$B$81,MATCH($A57,'实盘净值数据(iFinD）'!$B$3:$Y$3,0))/INDEX('实盘净值数据(iFinD）'!$B$5:$Y$1000,MATCH(L$84,'实盘净值数据(iFinD）'!$A$5:$A$1000,0),MATCH($A57,'实盘净值数据(iFinD）'!$B$3:$Y$3,0))/L$85,L93)</f>
        <v>3.7390267511802959E-2</v>
      </c>
      <c r="M57" t="str">
        <f ca="1">IF(G57&gt;0,COUNTIF(G$53:G57,"&gt;0"),"")</f>
        <v/>
      </c>
      <c r="N57" t="str">
        <f ca="1">IF(H57&gt;0,COUNTIF(H$53:H57,"&gt;0"),"")</f>
        <v/>
      </c>
      <c r="O57" t="str">
        <f ca="1">IF(I57&gt;0,COUNTIF(I$53:I57,"&gt;0"),"")</f>
        <v/>
      </c>
      <c r="P57">
        <f ca="1">IF(J57&gt;0,COUNTIF(J$53:J57,"&gt;0"),"")</f>
        <v>3</v>
      </c>
      <c r="Q57" t="str">
        <f ca="1">IF(K57&gt;0,COUNTIF(K$53:K57,"&gt;0"),"")</f>
        <v/>
      </c>
      <c r="R57">
        <f ca="1">IF(L57&gt;0,COUNTIF(L$53:L57,"&gt;0"),"")</f>
        <v>3</v>
      </c>
    </row>
    <row r="58" spans="1:18" ht="13">
      <c r="A58" s="54" t="s">
        <v>34</v>
      </c>
      <c r="B58" s="52" t="s">
        <v>249</v>
      </c>
      <c r="C58" s="54" t="s">
        <v>241</v>
      </c>
      <c r="D58" s="54" t="s">
        <v>229</v>
      </c>
      <c r="E58" s="54" t="s">
        <v>250</v>
      </c>
      <c r="F58" s="54" t="s">
        <v>243</v>
      </c>
      <c r="G58" s="55">
        <f ca="1">IFERROR(INDEX(分期持仓明细!$B$5:$Y$200,G$82-4,MATCH(LEFT($A58,6),分期持仓明细!$B$3:$Y$3,0))*INDEX('实盘净值数据(iFinD）'!$B$5:$Y$1000,$B$81,MATCH($A58,'实盘净值数据(iFinD）'!$B$3:$Y$3,0))/INDEX('实盘净值数据(iFinD）'!$B$5:$Y$1000,MATCH(G$84,'实盘净值数据(iFinD）'!$A$5:$A$1000,0),MATCH($A58,'实盘净值数据(iFinD）'!$B$3:$Y$3,0))/G$85,G94)</f>
        <v>0</v>
      </c>
      <c r="H58" s="55">
        <f ca="1">IFERROR(INDEX(分期持仓明细!$B$5:$Y$200,H$82-4,MATCH(LEFT($A58,6),分期持仓明细!$B$3:$Y$3,0))*INDEX('实盘净值数据(iFinD）'!$B$5:$Y$1000,$B$81,MATCH($A58,'实盘净值数据(iFinD）'!$B$3:$Y$3,0))/INDEX('实盘净值数据(iFinD）'!$B$5:$Y$1000,MATCH(H$84,'实盘净值数据(iFinD）'!$A$5:$A$1000,0),MATCH($A58,'实盘净值数据(iFinD）'!$B$3:$Y$3,0))/H$85,H94)</f>
        <v>0</v>
      </c>
      <c r="I58" s="55">
        <f ca="1">IFERROR(INDEX(分期持仓明细!$B$5:$Y$200,I$82-4,MATCH(LEFT($A58,6),分期持仓明细!$B$3:$Y$3,0))*INDEX('实盘净值数据(iFinD）'!$B$5:$Y$1000,$B$81,MATCH($A58,'实盘净值数据(iFinD）'!$B$3:$Y$3,0))/INDEX('实盘净值数据(iFinD）'!$B$5:$Y$1000,MATCH(I$84,'实盘净值数据(iFinD）'!$A$5:$A$1000,0),MATCH($A58,'实盘净值数据(iFinD）'!$B$3:$Y$3,0))/I$85,I94)</f>
        <v>0</v>
      </c>
      <c r="J58" s="55">
        <f ca="1">IFERROR(INDEX(分期持仓明细!$B$5:$Y$200,J$82-4,MATCH(LEFT($A58,6),分期持仓明细!$B$3:$Y$3,0))*INDEX('实盘净值数据(iFinD）'!$B$5:$Y$1000,$B$81,MATCH($A58,'实盘净值数据(iFinD）'!$B$3:$Y$3,0))/INDEX('实盘净值数据(iFinD）'!$B$5:$Y$1000,MATCH(J$84,'实盘净值数据(iFinD）'!$A$5:$A$1000,0),MATCH($A58,'实盘净值数据(iFinD）'!$B$3:$Y$3,0))/J$85,J94)</f>
        <v>0</v>
      </c>
      <c r="K58" s="55">
        <f ca="1">IFERROR(INDEX(分期持仓明细!$B$5:$Y$200,K$82-4,MATCH(LEFT($A58,6),分期持仓明细!$B$3:$Y$3,0))*INDEX('实盘净值数据(iFinD）'!$B$5:$Y$1000,$B$81,MATCH($A58,'实盘净值数据(iFinD）'!$B$3:$Y$3,0))/INDEX('实盘净值数据(iFinD）'!$B$5:$Y$1000,MATCH(K$84,'实盘净值数据(iFinD）'!$A$5:$A$1000,0),MATCH($A58,'实盘净值数据(iFinD）'!$B$3:$Y$3,0))/K$85,K94)</f>
        <v>0</v>
      </c>
      <c r="L58" s="55">
        <f ca="1">IFERROR(INDEX(分期持仓明细!$B$5:$Y$200,L$82-4,MATCH(LEFT($A58,6),分期持仓明细!$B$3:$Y$3,0))*INDEX('实盘净值数据(iFinD）'!$B$5:$Y$1000,$B$81,MATCH($A58,'实盘净值数据(iFinD）'!$B$3:$Y$3,0))/INDEX('实盘净值数据(iFinD）'!$B$5:$Y$1000,MATCH(L$84,'实盘净值数据(iFinD）'!$A$5:$A$1000,0),MATCH($A58,'实盘净值数据(iFinD）'!$B$3:$Y$3,0))/L$85,L94)</f>
        <v>0</v>
      </c>
      <c r="M58" t="str">
        <f ca="1">IF(G58&gt;0,COUNTIF(G$53:G58,"&gt;0"),"")</f>
        <v/>
      </c>
      <c r="N58" t="str">
        <f ca="1">IF(H58&gt;0,COUNTIF(H$53:H58,"&gt;0"),"")</f>
        <v/>
      </c>
      <c r="O58" t="str">
        <f ca="1">IF(I58&gt;0,COUNTIF(I$53:I58,"&gt;0"),"")</f>
        <v/>
      </c>
      <c r="P58" t="str">
        <f ca="1">IF(J58&gt;0,COUNTIF(J$53:J58,"&gt;0"),"")</f>
        <v/>
      </c>
      <c r="Q58" t="str">
        <f ca="1">IF(K58&gt;0,COUNTIF(K$53:K58,"&gt;0"),"")</f>
        <v/>
      </c>
      <c r="R58" t="str">
        <f ca="1">IF(L58&gt;0,COUNTIF(L$53:L58,"&gt;0"),"")</f>
        <v/>
      </c>
    </row>
    <row r="59" spans="1:18" ht="13">
      <c r="A59" s="54" t="s">
        <v>35</v>
      </c>
      <c r="B59" s="52" t="s">
        <v>251</v>
      </c>
      <c r="C59" s="54" t="s">
        <v>241</v>
      </c>
      <c r="D59" s="54" t="s">
        <v>229</v>
      </c>
      <c r="E59" s="54" t="s">
        <v>250</v>
      </c>
      <c r="F59" s="54" t="s">
        <v>248</v>
      </c>
      <c r="G59" s="55">
        <f ca="1">IFERROR(INDEX(分期持仓明细!$B$5:$Y$200,G$82-4,MATCH(LEFT($A59,6),分期持仓明细!$B$3:$Y$3,0))*INDEX('实盘净值数据(iFinD）'!$B$5:$Y$1000,$B$81,MATCH($A59,'实盘净值数据(iFinD）'!$B$3:$Y$3,0))/INDEX('实盘净值数据(iFinD）'!$B$5:$Y$1000,MATCH(G$84,'实盘净值数据(iFinD）'!$A$5:$A$1000,0),MATCH($A59,'实盘净值数据(iFinD）'!$B$3:$Y$3,0))/G$85,G95)</f>
        <v>0</v>
      </c>
      <c r="H59" s="55">
        <f ca="1">IFERROR(INDEX(分期持仓明细!$B$5:$Y$200,H$82-4,MATCH(LEFT($A59,6),分期持仓明细!$B$3:$Y$3,0))*INDEX('实盘净值数据(iFinD）'!$B$5:$Y$1000,$B$81,MATCH($A59,'实盘净值数据(iFinD）'!$B$3:$Y$3,0))/INDEX('实盘净值数据(iFinD）'!$B$5:$Y$1000,MATCH(H$84,'实盘净值数据(iFinD）'!$A$5:$A$1000,0),MATCH($A59,'实盘净值数据(iFinD）'!$B$3:$Y$3,0))/H$85,H95)</f>
        <v>0</v>
      </c>
      <c r="I59" s="55">
        <f ca="1">IFERROR(INDEX(分期持仓明细!$B$5:$Y$200,I$82-4,MATCH(LEFT($A59,6),分期持仓明细!$B$3:$Y$3,0))*INDEX('实盘净值数据(iFinD）'!$B$5:$Y$1000,$B$81,MATCH($A59,'实盘净值数据(iFinD）'!$B$3:$Y$3,0))/INDEX('实盘净值数据(iFinD）'!$B$5:$Y$1000,MATCH(I$84,'实盘净值数据(iFinD）'!$A$5:$A$1000,0),MATCH($A59,'实盘净值数据(iFinD）'!$B$3:$Y$3,0))/I$85,I95)</f>
        <v>0</v>
      </c>
      <c r="J59" s="55">
        <f ca="1">IFERROR(INDEX(分期持仓明细!$B$5:$Y$200,J$82-4,MATCH(LEFT($A59,6),分期持仓明细!$B$3:$Y$3,0))*INDEX('实盘净值数据(iFinD）'!$B$5:$Y$1000,$B$81,MATCH($A59,'实盘净值数据(iFinD）'!$B$3:$Y$3,0))/INDEX('实盘净值数据(iFinD）'!$B$5:$Y$1000,MATCH(J$84,'实盘净值数据(iFinD）'!$A$5:$A$1000,0),MATCH($A59,'实盘净值数据(iFinD）'!$B$3:$Y$3,0))/J$85,J95)</f>
        <v>0</v>
      </c>
      <c r="K59" s="55">
        <f ca="1">IFERROR(INDEX(分期持仓明细!$B$5:$Y$200,K$82-4,MATCH(LEFT($A59,6),分期持仓明细!$B$3:$Y$3,0))*INDEX('实盘净值数据(iFinD）'!$B$5:$Y$1000,$B$81,MATCH($A59,'实盘净值数据(iFinD）'!$B$3:$Y$3,0))/INDEX('实盘净值数据(iFinD）'!$B$5:$Y$1000,MATCH(K$84,'实盘净值数据(iFinD）'!$A$5:$A$1000,0),MATCH($A59,'实盘净值数据(iFinD）'!$B$3:$Y$3,0))/K$85,K95)</f>
        <v>0</v>
      </c>
      <c r="L59" s="55">
        <f ca="1">IFERROR(INDEX(分期持仓明细!$B$5:$Y$200,L$82-4,MATCH(LEFT($A59,6),分期持仓明细!$B$3:$Y$3,0))*INDEX('实盘净值数据(iFinD）'!$B$5:$Y$1000,$B$81,MATCH($A59,'实盘净值数据(iFinD）'!$B$3:$Y$3,0))/INDEX('实盘净值数据(iFinD）'!$B$5:$Y$1000,MATCH(L$84,'实盘净值数据(iFinD）'!$A$5:$A$1000,0),MATCH($A59,'实盘净值数据(iFinD）'!$B$3:$Y$3,0))/L$85,L95)</f>
        <v>0</v>
      </c>
      <c r="M59" t="str">
        <f ca="1">IF(G59&gt;0,COUNTIF(G$53:G59,"&gt;0"),"")</f>
        <v/>
      </c>
      <c r="N59" t="str">
        <f ca="1">IF(H59&gt;0,COUNTIF(H$53:H59,"&gt;0"),"")</f>
        <v/>
      </c>
      <c r="O59" t="str">
        <f ca="1">IF(I59&gt;0,COUNTIF(I$53:I59,"&gt;0"),"")</f>
        <v/>
      </c>
      <c r="P59" t="str">
        <f ca="1">IF(J59&gt;0,COUNTIF(J$53:J59,"&gt;0"),"")</f>
        <v/>
      </c>
      <c r="Q59" t="str">
        <f ca="1">IF(K59&gt;0,COUNTIF(K$53:K59,"&gt;0"),"")</f>
        <v/>
      </c>
      <c r="R59" t="str">
        <f ca="1">IF(L59&gt;0,COUNTIF(L$53:L59,"&gt;0"),"")</f>
        <v/>
      </c>
    </row>
    <row r="60" spans="1:18" ht="13">
      <c r="A60" s="54" t="s">
        <v>36</v>
      </c>
      <c r="B60" s="52" t="s">
        <v>9</v>
      </c>
      <c r="C60" s="54" t="s">
        <v>241</v>
      </c>
      <c r="D60" s="54" t="s">
        <v>229</v>
      </c>
      <c r="E60" s="54" t="s">
        <v>242</v>
      </c>
      <c r="F60" s="54" t="s">
        <v>239</v>
      </c>
      <c r="G60" s="55">
        <f ca="1">IFERROR(INDEX(分期持仓明细!$B$5:$Y$200,G$82-4,MATCH(LEFT($A60,6),分期持仓明细!$B$3:$Y$3,0))*INDEX('实盘净值数据(iFinD）'!$B$5:$Y$1000,$B$81,MATCH($A60,'实盘净值数据(iFinD）'!$B$3:$Y$3,0))/INDEX('实盘净值数据(iFinD）'!$B$5:$Y$1000,MATCH(G$84,'实盘净值数据(iFinD）'!$A$5:$A$1000,0),MATCH($A60,'实盘净值数据(iFinD）'!$B$3:$Y$3,0))/G$85,G96)</f>
        <v>0</v>
      </c>
      <c r="H60" s="55">
        <f ca="1">IFERROR(INDEX(分期持仓明细!$B$5:$Y$200,H$82-4,MATCH(LEFT($A60,6),分期持仓明细!$B$3:$Y$3,0))*INDEX('实盘净值数据(iFinD）'!$B$5:$Y$1000,$B$81,MATCH($A60,'实盘净值数据(iFinD）'!$B$3:$Y$3,0))/INDEX('实盘净值数据(iFinD）'!$B$5:$Y$1000,MATCH(H$84,'实盘净值数据(iFinD）'!$A$5:$A$1000,0),MATCH($A60,'实盘净值数据(iFinD）'!$B$3:$Y$3,0))/H$85,H96)</f>
        <v>0</v>
      </c>
      <c r="I60" s="55">
        <f ca="1">IFERROR(INDEX(分期持仓明细!$B$5:$Y$200,I$82-4,MATCH(LEFT($A60,6),分期持仓明细!$B$3:$Y$3,0))*INDEX('实盘净值数据(iFinD）'!$B$5:$Y$1000,$B$81,MATCH($A60,'实盘净值数据(iFinD）'!$B$3:$Y$3,0))/INDEX('实盘净值数据(iFinD）'!$B$5:$Y$1000,MATCH(I$84,'实盘净值数据(iFinD）'!$A$5:$A$1000,0),MATCH($A60,'实盘净值数据(iFinD）'!$B$3:$Y$3,0))/I$85,I96)</f>
        <v>0.18359663253534741</v>
      </c>
      <c r="J60" s="55">
        <f ca="1">IFERROR(INDEX(分期持仓明细!$B$5:$Y$200,J$82-4,MATCH(LEFT($A60,6),分期持仓明细!$B$3:$Y$3,0))*INDEX('实盘净值数据(iFinD）'!$B$5:$Y$1000,$B$81,MATCH($A60,'实盘净值数据(iFinD）'!$B$3:$Y$3,0))/INDEX('实盘净值数据(iFinD）'!$B$5:$Y$1000,MATCH(J$84,'实盘净值数据(iFinD）'!$A$5:$A$1000,0),MATCH($A60,'实盘净值数据(iFinD）'!$B$3:$Y$3,0))/J$85,J96)</f>
        <v>1.055815660234688E-2</v>
      </c>
      <c r="K60" s="55">
        <f ca="1">IFERROR(INDEX(分期持仓明细!$B$5:$Y$200,K$82-4,MATCH(LEFT($A60,6),分期持仓明细!$B$3:$Y$3,0))*INDEX('实盘净值数据(iFinD）'!$B$5:$Y$1000,$B$81,MATCH($A60,'实盘净值数据(iFinD）'!$B$3:$Y$3,0))/INDEX('实盘净值数据(iFinD）'!$B$5:$Y$1000,MATCH(K$84,'实盘净值数据(iFinD）'!$A$5:$A$1000,0),MATCH($A60,'实盘净值数据(iFinD）'!$B$3:$Y$3,0))/K$85,K96)</f>
        <v>0</v>
      </c>
      <c r="L60" s="55">
        <f ca="1">IFERROR(INDEX(分期持仓明细!$B$5:$Y$200,L$82-4,MATCH(LEFT($A60,6),分期持仓明细!$B$3:$Y$3,0))*INDEX('实盘净值数据(iFinD）'!$B$5:$Y$1000,$B$81,MATCH($A60,'实盘净值数据(iFinD）'!$B$3:$Y$3,0))/INDEX('实盘净值数据(iFinD）'!$B$5:$Y$1000,MATCH(L$84,'实盘净值数据(iFinD）'!$A$5:$A$1000,0),MATCH($A60,'实盘净值数据(iFinD）'!$B$3:$Y$3,0))/L$85,L96)</f>
        <v>3.1330931419507747E-2</v>
      </c>
      <c r="M60" t="str">
        <f ca="1">IF(G60&gt;0,COUNTIF(G$53:G60,"&gt;0"),"")</f>
        <v/>
      </c>
      <c r="N60" t="str">
        <f ca="1">IF(H60&gt;0,COUNTIF(H$53:H60,"&gt;0"),"")</f>
        <v/>
      </c>
      <c r="O60">
        <f ca="1">IF(I60&gt;0,COUNTIF(I$53:I60,"&gt;0"),"")</f>
        <v>2</v>
      </c>
      <c r="P60">
        <f ca="1">IF(J60&gt;0,COUNTIF(J$53:J60,"&gt;0"),"")</f>
        <v>4</v>
      </c>
      <c r="Q60" t="str">
        <f ca="1">IF(K60&gt;0,COUNTIF(K$53:K60,"&gt;0"),"")</f>
        <v/>
      </c>
      <c r="R60">
        <f ca="1">IF(L60&gt;0,COUNTIF(L$53:L60,"&gt;0"),"")</f>
        <v>4</v>
      </c>
    </row>
    <row r="61" spans="1:18" ht="13">
      <c r="A61" s="54" t="s">
        <v>37</v>
      </c>
      <c r="B61" s="52" t="s">
        <v>252</v>
      </c>
      <c r="C61" s="54" t="s">
        <v>241</v>
      </c>
      <c r="D61" s="54" t="s">
        <v>229</v>
      </c>
      <c r="E61" s="54" t="s">
        <v>242</v>
      </c>
      <c r="F61" s="54" t="s">
        <v>243</v>
      </c>
      <c r="G61" s="55">
        <f ca="1">IFERROR(INDEX(分期持仓明细!$B$5:$Y$200,G$82-4,MATCH(LEFT($A61,6),分期持仓明细!$B$3:$Y$3,0))*INDEX('实盘净值数据(iFinD）'!$B$5:$Y$1000,$B$81,MATCH($A61,'实盘净值数据(iFinD）'!$B$3:$Y$3,0))/INDEX('实盘净值数据(iFinD）'!$B$5:$Y$1000,MATCH(G$84,'实盘净值数据(iFinD）'!$A$5:$A$1000,0),MATCH($A61,'实盘净值数据(iFinD）'!$B$3:$Y$3,0))/G$85,G97)</f>
        <v>0.2300511251431677</v>
      </c>
      <c r="H61" s="55">
        <f ca="1">IFERROR(INDEX(分期持仓明细!$B$5:$Y$200,H$82-4,MATCH(LEFT($A61,6),分期持仓明细!$B$3:$Y$3,0))*INDEX('实盘净值数据(iFinD）'!$B$5:$Y$1000,$B$81,MATCH($A61,'实盘净值数据(iFinD）'!$B$3:$Y$3,0))/INDEX('实盘净值数据(iFinD）'!$B$5:$Y$1000,MATCH(H$84,'实盘净值数据(iFinD）'!$A$5:$A$1000,0),MATCH($A61,'实盘净值数据(iFinD）'!$B$3:$Y$3,0))/H$85,H97)</f>
        <v>0.22839766163696396</v>
      </c>
      <c r="I61" s="55">
        <f ca="1">IFERROR(INDEX(分期持仓明细!$B$5:$Y$200,I$82-4,MATCH(LEFT($A61,6),分期持仓明细!$B$3:$Y$3,0))*INDEX('实盘净值数据(iFinD）'!$B$5:$Y$1000,$B$81,MATCH($A61,'实盘净值数据(iFinD）'!$B$3:$Y$3,0))/INDEX('实盘净值数据(iFinD）'!$B$5:$Y$1000,MATCH(I$84,'实盘净值数据(iFinD）'!$A$5:$A$1000,0),MATCH($A61,'实盘净值数据(iFinD）'!$B$3:$Y$3,0))/I$85,I97)</f>
        <v>0</v>
      </c>
      <c r="J61" s="55">
        <f ca="1">IFERROR(INDEX(分期持仓明细!$B$5:$Y$200,J$82-4,MATCH(LEFT($A61,6),分期持仓明细!$B$3:$Y$3,0))*INDEX('实盘净值数据(iFinD）'!$B$5:$Y$1000,$B$81,MATCH($A61,'实盘净值数据(iFinD）'!$B$3:$Y$3,0))/INDEX('实盘净值数据(iFinD）'!$B$5:$Y$1000,MATCH(J$84,'实盘净值数据(iFinD）'!$A$5:$A$1000,0),MATCH($A61,'实盘净值数据(iFinD）'!$B$3:$Y$3,0))/J$85,J97)</f>
        <v>0</v>
      </c>
      <c r="K61" s="55">
        <f ca="1">IFERROR(INDEX(分期持仓明细!$B$5:$Y$200,K$82-4,MATCH(LEFT($A61,6),分期持仓明细!$B$3:$Y$3,0))*INDEX('实盘净值数据(iFinD）'!$B$5:$Y$1000,$B$81,MATCH($A61,'实盘净值数据(iFinD）'!$B$3:$Y$3,0))/INDEX('实盘净值数据(iFinD）'!$B$5:$Y$1000,MATCH(K$84,'实盘净值数据(iFinD）'!$A$5:$A$1000,0),MATCH($A61,'实盘净值数据(iFinD）'!$B$3:$Y$3,0))/K$85,K97)</f>
        <v>1.1011063772319064E-2</v>
      </c>
      <c r="L61" s="55">
        <f ca="1">IFERROR(INDEX(分期持仓明细!$B$5:$Y$200,L$82-4,MATCH(LEFT($A61,6),分期持仓明细!$B$3:$Y$3,0))*INDEX('实盘净值数据(iFinD）'!$B$5:$Y$1000,$B$81,MATCH($A61,'实盘净值数据(iFinD）'!$B$3:$Y$3,0))/INDEX('实盘净值数据(iFinD）'!$B$5:$Y$1000,MATCH(L$84,'实盘净值数据(iFinD）'!$A$5:$A$1000,0),MATCH($A61,'实盘净值数据(iFinD）'!$B$3:$Y$3,0))/L$85,L97)</f>
        <v>0</v>
      </c>
      <c r="M61">
        <f ca="1">IF(G61&gt;0,COUNTIF(G$53:G61,"&gt;0"),"")</f>
        <v>3</v>
      </c>
      <c r="N61">
        <f ca="1">IF(H61&gt;0,COUNTIF(H$53:H61,"&gt;0"),"")</f>
        <v>3</v>
      </c>
      <c r="O61" t="str">
        <f ca="1">IF(I61&gt;0,COUNTIF(I$53:I61,"&gt;0"),"")</f>
        <v/>
      </c>
      <c r="P61" t="str">
        <f ca="1">IF(J61&gt;0,COUNTIF(J$53:J61,"&gt;0"),"")</f>
        <v/>
      </c>
      <c r="Q61">
        <f ca="1">IF(K61&gt;0,COUNTIF(K$53:K61,"&gt;0"),"")</f>
        <v>5</v>
      </c>
      <c r="R61" t="str">
        <f ca="1">IF(L61&gt;0,COUNTIF(L$53:L61,"&gt;0"),"")</f>
        <v/>
      </c>
    </row>
    <row r="62" spans="1:18" ht="13">
      <c r="A62" s="54" t="s">
        <v>38</v>
      </c>
      <c r="B62" s="52" t="s">
        <v>253</v>
      </c>
      <c r="C62" s="54" t="s">
        <v>241</v>
      </c>
      <c r="D62" s="54" t="s">
        <v>229</v>
      </c>
      <c r="E62" s="54" t="s">
        <v>242</v>
      </c>
      <c r="F62" s="54" t="s">
        <v>248</v>
      </c>
      <c r="G62" s="55">
        <f ca="1">IFERROR(INDEX(分期持仓明细!$B$5:$Y$200,G$82-4,MATCH(LEFT($A62,6),分期持仓明细!$B$3:$Y$3,0))*INDEX('实盘净值数据(iFinD）'!$B$5:$Y$1000,$B$81,MATCH($A62,'实盘净值数据(iFinD）'!$B$3:$Y$3,0))/INDEX('实盘净值数据(iFinD）'!$B$5:$Y$1000,MATCH(G$84,'实盘净值数据(iFinD）'!$A$5:$A$1000,0),MATCH($A62,'实盘净值数据(iFinD）'!$B$3:$Y$3,0))/G$85,G98)</f>
        <v>0</v>
      </c>
      <c r="H62" s="55">
        <f ca="1">IFERROR(INDEX(分期持仓明细!$B$5:$Y$200,H$82-4,MATCH(LEFT($A62,6),分期持仓明细!$B$3:$Y$3,0))*INDEX('实盘净值数据(iFinD）'!$B$5:$Y$1000,$B$81,MATCH($A62,'实盘净值数据(iFinD）'!$B$3:$Y$3,0))/INDEX('实盘净值数据(iFinD）'!$B$5:$Y$1000,MATCH(H$84,'实盘净值数据(iFinD）'!$A$5:$A$1000,0),MATCH($A62,'实盘净值数据(iFinD）'!$B$3:$Y$3,0))/H$85,H98)</f>
        <v>0</v>
      </c>
      <c r="I62" s="55">
        <f ca="1">IFERROR(INDEX(分期持仓明细!$B$5:$Y$200,I$82-4,MATCH(LEFT($A62,6),分期持仓明细!$B$3:$Y$3,0))*INDEX('实盘净值数据(iFinD）'!$B$5:$Y$1000,$B$81,MATCH($A62,'实盘净值数据(iFinD）'!$B$3:$Y$3,0))/INDEX('实盘净值数据(iFinD）'!$B$5:$Y$1000,MATCH(I$84,'实盘净值数据(iFinD）'!$A$5:$A$1000,0),MATCH($A62,'实盘净值数据(iFinD）'!$B$3:$Y$3,0))/I$85,I98)</f>
        <v>0.22464241257665332</v>
      </c>
      <c r="J62" s="55">
        <f ca="1">IFERROR(INDEX(分期持仓明细!$B$5:$Y$200,J$82-4,MATCH(LEFT($A62,6),分期持仓明细!$B$3:$Y$3,0))*INDEX('实盘净值数据(iFinD）'!$B$5:$Y$1000,$B$81,MATCH($A62,'实盘净值数据(iFinD）'!$B$3:$Y$3,0))/INDEX('实盘净值数据(iFinD）'!$B$5:$Y$1000,MATCH(J$84,'实盘净值数据(iFinD）'!$A$5:$A$1000,0),MATCH($A62,'实盘净值数据(iFinD）'!$B$3:$Y$3,0))/J$85,J98)</f>
        <v>8.2601964970523654E-3</v>
      </c>
      <c r="K62" s="55">
        <f ca="1">IFERROR(INDEX(分期持仓明细!$B$5:$Y$200,K$82-4,MATCH(LEFT($A62,6),分期持仓明细!$B$3:$Y$3,0))*INDEX('实盘净值数据(iFinD）'!$B$5:$Y$1000,$B$81,MATCH($A62,'实盘净值数据(iFinD）'!$B$3:$Y$3,0))/INDEX('实盘净值数据(iFinD）'!$B$5:$Y$1000,MATCH(K$84,'实盘净值数据(iFinD）'!$A$5:$A$1000,0),MATCH($A62,'实盘净值数据(iFinD）'!$B$3:$Y$3,0))/K$85,K98)</f>
        <v>0</v>
      </c>
      <c r="L62" s="55">
        <f ca="1">IFERROR(INDEX(分期持仓明细!$B$5:$Y$200,L$82-4,MATCH(LEFT($A62,6),分期持仓明细!$B$3:$Y$3,0))*INDEX('实盘净值数据(iFinD）'!$B$5:$Y$1000,$B$81,MATCH($A62,'实盘净值数据(iFinD）'!$B$3:$Y$3,0))/INDEX('实盘净值数据(iFinD）'!$B$5:$Y$1000,MATCH(L$84,'实盘净值数据(iFinD）'!$A$5:$A$1000,0),MATCH($A62,'实盘净值数据(iFinD）'!$B$3:$Y$3,0))/L$85,L98)</f>
        <v>2.7235357217489979E-2</v>
      </c>
      <c r="M62" t="str">
        <f ca="1">IF(G62&gt;0,COUNTIF(G$53:G62,"&gt;0"),"")</f>
        <v/>
      </c>
      <c r="N62" t="str">
        <f ca="1">IF(H62&gt;0,COUNTIF(H$53:H62,"&gt;0"),"")</f>
        <v/>
      </c>
      <c r="O62">
        <f ca="1">IF(I62&gt;0,COUNTIF(I$53:I62,"&gt;0"),"")</f>
        <v>3</v>
      </c>
      <c r="P62">
        <f ca="1">IF(J62&gt;0,COUNTIF(J$53:J62,"&gt;0"),"")</f>
        <v>5</v>
      </c>
      <c r="Q62" t="str">
        <f ca="1">IF(K62&gt;0,COUNTIF(K$53:K62,"&gt;0"),"")</f>
        <v/>
      </c>
      <c r="R62">
        <f ca="1">IF(L62&gt;0,COUNTIF(L$53:L62,"&gt;0"),"")</f>
        <v>5</v>
      </c>
    </row>
    <row r="63" spans="1:18" ht="13">
      <c r="A63" s="54" t="s">
        <v>39</v>
      </c>
      <c r="B63" s="52" t="s">
        <v>254</v>
      </c>
      <c r="C63" s="54" t="s">
        <v>241</v>
      </c>
      <c r="D63" s="54" t="s">
        <v>245</v>
      </c>
      <c r="E63" s="54" t="s">
        <v>245</v>
      </c>
      <c r="F63" s="54" t="s">
        <v>246</v>
      </c>
      <c r="G63" s="55">
        <f ca="1">IFERROR(INDEX(分期持仓明细!$B$5:$Y$200,G$82-4,MATCH(LEFT($A63,6),分期持仓明细!$B$3:$Y$3,0))*INDEX('实盘净值数据(iFinD）'!$B$5:$Y$1000,$B$81,MATCH($A63,'实盘净值数据(iFinD）'!$B$3:$Y$3,0))/INDEX('实盘净值数据(iFinD）'!$B$5:$Y$1000,MATCH(G$84,'实盘净值数据(iFinD）'!$A$5:$A$1000,0),MATCH($A63,'实盘净值数据(iFinD）'!$B$3:$Y$3,0))/G$85,G99)</f>
        <v>0</v>
      </c>
      <c r="H63" s="55">
        <f ca="1">IFERROR(INDEX(分期持仓明细!$B$5:$Y$200,H$82-4,MATCH(LEFT($A63,6),分期持仓明细!$B$3:$Y$3,0))*INDEX('实盘净值数据(iFinD）'!$B$5:$Y$1000,$B$81,MATCH($A63,'实盘净值数据(iFinD）'!$B$3:$Y$3,0))/INDEX('实盘净值数据(iFinD）'!$B$5:$Y$1000,MATCH(H$84,'实盘净值数据(iFinD）'!$A$5:$A$1000,0),MATCH($A63,'实盘净值数据(iFinD）'!$B$3:$Y$3,0))/H$85,H99)</f>
        <v>0</v>
      </c>
      <c r="I63" s="55">
        <f ca="1">IFERROR(INDEX(分期持仓明细!$B$5:$Y$200,I$82-4,MATCH(LEFT($A63,6),分期持仓明细!$B$3:$Y$3,0))*INDEX('实盘净值数据(iFinD）'!$B$5:$Y$1000,$B$81,MATCH($A63,'实盘净值数据(iFinD）'!$B$3:$Y$3,0))/INDEX('实盘净值数据(iFinD）'!$B$5:$Y$1000,MATCH(I$84,'实盘净值数据(iFinD）'!$A$5:$A$1000,0),MATCH($A63,'实盘净值数据(iFinD）'!$B$3:$Y$3,0))/I$85,I99)</f>
        <v>0</v>
      </c>
      <c r="J63" s="55">
        <f ca="1">IFERROR(INDEX(分期持仓明细!$B$5:$Y$200,J$82-4,MATCH(LEFT($A63,6),分期持仓明细!$B$3:$Y$3,0))*INDEX('实盘净值数据(iFinD）'!$B$5:$Y$1000,$B$81,MATCH($A63,'实盘净值数据(iFinD）'!$B$3:$Y$3,0))/INDEX('实盘净值数据(iFinD）'!$B$5:$Y$1000,MATCH(J$84,'实盘净值数据(iFinD）'!$A$5:$A$1000,0),MATCH($A63,'实盘净值数据(iFinD）'!$B$3:$Y$3,0))/J$85,J99)</f>
        <v>0</v>
      </c>
      <c r="K63" s="55">
        <f ca="1">IFERROR(INDEX(分期持仓明细!$B$5:$Y$200,K$82-4,MATCH(LEFT($A63,6),分期持仓明细!$B$3:$Y$3,0))*INDEX('实盘净值数据(iFinD）'!$B$5:$Y$1000,$B$81,MATCH($A63,'实盘净值数据(iFinD）'!$B$3:$Y$3,0))/INDEX('实盘净值数据(iFinD）'!$B$5:$Y$1000,MATCH(K$84,'实盘净值数据(iFinD）'!$A$5:$A$1000,0),MATCH($A63,'实盘净值数据(iFinD）'!$B$3:$Y$3,0))/K$85,K99)</f>
        <v>1.3073677807250769E-2</v>
      </c>
      <c r="L63" s="55">
        <f ca="1">IFERROR(INDEX(分期持仓明细!$B$5:$Y$200,L$82-4,MATCH(LEFT($A63,6),分期持仓明细!$B$3:$Y$3,0))*INDEX('实盘净值数据(iFinD）'!$B$5:$Y$1000,$B$81,MATCH($A63,'实盘净值数据(iFinD）'!$B$3:$Y$3,0))/INDEX('实盘净值数据(iFinD）'!$B$5:$Y$1000,MATCH(L$84,'实盘净值数据(iFinD）'!$A$5:$A$1000,0),MATCH($A63,'实盘净值数据(iFinD）'!$B$3:$Y$3,0))/L$85,L99)</f>
        <v>0</v>
      </c>
      <c r="M63" t="str">
        <f ca="1">IF(G63&gt;0,COUNTIF(G$53:G63,"&gt;0"),"")</f>
        <v/>
      </c>
      <c r="N63" t="str">
        <f ca="1">IF(H63&gt;0,COUNTIF(H$53:H63,"&gt;0"),"")</f>
        <v/>
      </c>
      <c r="O63" t="str">
        <f ca="1">IF(I63&gt;0,COUNTIF(I$53:I63,"&gt;0"),"")</f>
        <v/>
      </c>
      <c r="P63" t="str">
        <f ca="1">IF(J63&gt;0,COUNTIF(J$53:J63,"&gt;0"),"")</f>
        <v/>
      </c>
      <c r="Q63">
        <f ca="1">IF(K63&gt;0,COUNTIF(K$53:K63,"&gt;0"),"")</f>
        <v>6</v>
      </c>
      <c r="R63" t="str">
        <f ca="1">IF(L63&gt;0,COUNTIF(L$53:L63,"&gt;0"),"")</f>
        <v/>
      </c>
    </row>
    <row r="64" spans="1:18" ht="13">
      <c r="A64" s="54" t="s">
        <v>40</v>
      </c>
      <c r="B64" s="52" t="s">
        <v>255</v>
      </c>
      <c r="C64" s="54" t="s">
        <v>241</v>
      </c>
      <c r="D64" s="54" t="s">
        <v>245</v>
      </c>
      <c r="E64" s="54" t="s">
        <v>245</v>
      </c>
      <c r="F64" s="54" t="s">
        <v>248</v>
      </c>
      <c r="G64" s="55">
        <f ca="1">IFERROR(INDEX(分期持仓明细!$B$5:$Y$200,G$82-4,MATCH(LEFT($A64,6),分期持仓明细!$B$3:$Y$3,0))*INDEX('实盘净值数据(iFinD）'!$B$5:$Y$1000,$B$81,MATCH($A64,'实盘净值数据(iFinD）'!$B$3:$Y$3,0))/INDEX('实盘净值数据(iFinD）'!$B$5:$Y$1000,MATCH(G$84,'实盘净值数据(iFinD）'!$A$5:$A$1000,0),MATCH($A64,'实盘净值数据(iFinD）'!$B$3:$Y$3,0))/G$85,G100)</f>
        <v>0</v>
      </c>
      <c r="H64" s="55">
        <f ca="1">IFERROR(INDEX(分期持仓明细!$B$5:$Y$200,H$82-4,MATCH(LEFT($A64,6),分期持仓明细!$B$3:$Y$3,0))*INDEX('实盘净值数据(iFinD）'!$B$5:$Y$1000,$B$81,MATCH($A64,'实盘净值数据(iFinD）'!$B$3:$Y$3,0))/INDEX('实盘净值数据(iFinD）'!$B$5:$Y$1000,MATCH(H$84,'实盘净值数据(iFinD）'!$A$5:$A$1000,0),MATCH($A64,'实盘净值数据(iFinD）'!$B$3:$Y$3,0))/H$85,H100)</f>
        <v>0</v>
      </c>
      <c r="I64" s="55">
        <f ca="1">IFERROR(INDEX(分期持仓明细!$B$5:$Y$200,I$82-4,MATCH(LEFT($A64,6),分期持仓明细!$B$3:$Y$3,0))*INDEX('实盘净值数据(iFinD）'!$B$5:$Y$1000,$B$81,MATCH($A64,'实盘净值数据(iFinD）'!$B$3:$Y$3,0))/INDEX('实盘净值数据(iFinD）'!$B$5:$Y$1000,MATCH(I$84,'实盘净值数据(iFinD）'!$A$5:$A$1000,0),MATCH($A64,'实盘净值数据(iFinD）'!$B$3:$Y$3,0))/I$85,I100)</f>
        <v>0</v>
      </c>
      <c r="J64" s="55">
        <f ca="1">IFERROR(INDEX(分期持仓明细!$B$5:$Y$200,J$82-4,MATCH(LEFT($A64,6),分期持仓明细!$B$3:$Y$3,0))*INDEX('实盘净值数据(iFinD）'!$B$5:$Y$1000,$B$81,MATCH($A64,'实盘净值数据(iFinD）'!$B$3:$Y$3,0))/INDEX('实盘净值数据(iFinD）'!$B$5:$Y$1000,MATCH(J$84,'实盘净值数据(iFinD）'!$A$5:$A$1000,0),MATCH($A64,'实盘净值数据(iFinD）'!$B$3:$Y$3,0))/J$85,J100)</f>
        <v>1.307650226080671E-2</v>
      </c>
      <c r="K64" s="55">
        <f ca="1">IFERROR(INDEX(分期持仓明细!$B$5:$Y$200,K$82-4,MATCH(LEFT($A64,6),分期持仓明细!$B$3:$Y$3,0))*INDEX('实盘净值数据(iFinD）'!$B$5:$Y$1000,$B$81,MATCH($A64,'实盘净值数据(iFinD）'!$B$3:$Y$3,0))/INDEX('实盘净值数据(iFinD）'!$B$5:$Y$1000,MATCH(K$84,'实盘净值数据(iFinD）'!$A$5:$A$1000,0),MATCH($A64,'实盘净值数据(iFinD）'!$B$3:$Y$3,0))/K$85,K100)</f>
        <v>0</v>
      </c>
      <c r="L64" s="55">
        <f ca="1">IFERROR(INDEX(分期持仓明细!$B$5:$Y$200,L$82-4,MATCH(LEFT($A64,6),分期持仓明细!$B$3:$Y$3,0))*INDEX('实盘净值数据(iFinD）'!$B$5:$Y$1000,$B$81,MATCH($A64,'实盘净值数据(iFinD）'!$B$3:$Y$3,0))/INDEX('实盘净值数据(iFinD）'!$B$5:$Y$1000,MATCH(L$84,'实盘净值数据(iFinD）'!$A$5:$A$1000,0),MATCH($A64,'实盘净值数据(iFinD）'!$B$3:$Y$3,0))/L$85,L100)</f>
        <v>3.8804027158425056E-2</v>
      </c>
      <c r="M64" t="str">
        <f ca="1">IF(G64&gt;0,COUNTIF(G$53:G64,"&gt;0"),"")</f>
        <v/>
      </c>
      <c r="N64" t="str">
        <f ca="1">IF(H64&gt;0,COUNTIF(H$53:H64,"&gt;0"),"")</f>
        <v/>
      </c>
      <c r="O64" t="str">
        <f ca="1">IF(I64&gt;0,COUNTIF(I$53:I64,"&gt;0"),"")</f>
        <v/>
      </c>
      <c r="P64">
        <f ca="1">IF(J64&gt;0,COUNTIF(J$53:J64,"&gt;0"),"")</f>
        <v>6</v>
      </c>
      <c r="Q64" t="str">
        <f ca="1">IF(K64&gt;0,COUNTIF(K$53:K64,"&gt;0"),"")</f>
        <v/>
      </c>
      <c r="R64">
        <f ca="1">IF(L64&gt;0,COUNTIF(L$53:L64,"&gt;0"),"")</f>
        <v>6</v>
      </c>
    </row>
    <row r="65" spans="1:18" ht="13">
      <c r="A65" s="54" t="s">
        <v>41</v>
      </c>
      <c r="B65" s="52" t="s">
        <v>256</v>
      </c>
      <c r="C65" s="54" t="s">
        <v>241</v>
      </c>
      <c r="D65" s="54" t="s">
        <v>245</v>
      </c>
      <c r="E65" s="54" t="s">
        <v>245</v>
      </c>
      <c r="F65" s="54" t="s">
        <v>246</v>
      </c>
      <c r="G65" s="55">
        <f ca="1">IFERROR(INDEX(分期持仓明细!$B$5:$Y$200,G$82-4,MATCH(LEFT($A65,6),分期持仓明细!$B$3:$Y$3,0))*INDEX('实盘净值数据(iFinD）'!$B$5:$Y$1000,$B$81,MATCH($A65,'实盘净值数据(iFinD）'!$B$3:$Y$3,0))/INDEX('实盘净值数据(iFinD）'!$B$5:$Y$1000,MATCH(G$84,'实盘净值数据(iFinD）'!$A$5:$A$1000,0),MATCH($A65,'实盘净值数据(iFinD）'!$B$3:$Y$3,0))/G$85,G101)</f>
        <v>0</v>
      </c>
      <c r="H65" s="55">
        <f ca="1">IFERROR(INDEX(分期持仓明细!$B$5:$Y$200,H$82-4,MATCH(LEFT($A65,6),分期持仓明细!$B$3:$Y$3,0))*INDEX('实盘净值数据(iFinD）'!$B$5:$Y$1000,$B$81,MATCH($A65,'实盘净值数据(iFinD）'!$B$3:$Y$3,0))/INDEX('实盘净值数据(iFinD）'!$B$5:$Y$1000,MATCH(H$84,'实盘净值数据(iFinD）'!$A$5:$A$1000,0),MATCH($A65,'实盘净值数据(iFinD）'!$B$3:$Y$3,0))/H$85,H101)</f>
        <v>0</v>
      </c>
      <c r="I65" s="55">
        <f ca="1">IFERROR(INDEX(分期持仓明细!$B$5:$Y$200,I$82-4,MATCH(LEFT($A65,6),分期持仓明细!$B$3:$Y$3,0))*INDEX('实盘净值数据(iFinD）'!$B$5:$Y$1000,$B$81,MATCH($A65,'实盘净值数据(iFinD）'!$B$3:$Y$3,0))/INDEX('实盘净值数据(iFinD）'!$B$5:$Y$1000,MATCH(I$84,'实盘净值数据(iFinD）'!$A$5:$A$1000,0),MATCH($A65,'实盘净值数据(iFinD）'!$B$3:$Y$3,0))/I$85,I101)</f>
        <v>0</v>
      </c>
      <c r="J65" s="55">
        <f ca="1">IFERROR(INDEX(分期持仓明细!$B$5:$Y$200,J$82-4,MATCH(LEFT($A65,6),分期持仓明细!$B$3:$Y$3,0))*INDEX('实盘净值数据(iFinD）'!$B$5:$Y$1000,$B$81,MATCH($A65,'实盘净值数据(iFinD）'!$B$3:$Y$3,0))/INDEX('实盘净值数据(iFinD）'!$B$5:$Y$1000,MATCH(J$84,'实盘净值数据(iFinD）'!$A$5:$A$1000,0),MATCH($A65,'实盘净值数据(iFinD）'!$B$3:$Y$3,0))/J$85,J101)</f>
        <v>0</v>
      </c>
      <c r="K65" s="55">
        <f ca="1">IFERROR(INDEX(分期持仓明细!$B$5:$Y$200,K$82-4,MATCH(LEFT($A65,6),分期持仓明细!$B$3:$Y$3,0))*INDEX('实盘净值数据(iFinD）'!$B$5:$Y$1000,$B$81,MATCH($A65,'实盘净值数据(iFinD）'!$B$3:$Y$3,0))/INDEX('实盘净值数据(iFinD）'!$B$5:$Y$1000,MATCH(K$84,'实盘净值数据(iFinD）'!$A$5:$A$1000,0),MATCH($A65,'实盘净值数据(iFinD）'!$B$3:$Y$3,0))/K$85,K101)</f>
        <v>1.2915590787129462E-2</v>
      </c>
      <c r="L65" s="55">
        <f ca="1">IFERROR(INDEX(分期持仓明细!$B$5:$Y$200,L$82-4,MATCH(LEFT($A65,6),分期持仓明细!$B$3:$Y$3,0))*INDEX('实盘净值数据(iFinD）'!$B$5:$Y$1000,$B$81,MATCH($A65,'实盘净值数据(iFinD）'!$B$3:$Y$3,0))/INDEX('实盘净值数据(iFinD）'!$B$5:$Y$1000,MATCH(L$84,'实盘净值数据(iFinD）'!$A$5:$A$1000,0),MATCH($A65,'实盘净值数据(iFinD）'!$B$3:$Y$3,0))/L$85,L101)</f>
        <v>0</v>
      </c>
      <c r="M65" t="str">
        <f ca="1">IF(G65&gt;0,COUNTIF(G$53:G65,"&gt;0"),"")</f>
        <v/>
      </c>
      <c r="N65" t="str">
        <f ca="1">IF(H65&gt;0,COUNTIF(H$53:H65,"&gt;0"),"")</f>
        <v/>
      </c>
      <c r="O65" t="str">
        <f ca="1">IF(I65&gt;0,COUNTIF(I$53:I65,"&gt;0"),"")</f>
        <v/>
      </c>
      <c r="P65" t="str">
        <f ca="1">IF(J65&gt;0,COUNTIF(J$53:J65,"&gt;0"),"")</f>
        <v/>
      </c>
      <c r="Q65">
        <f ca="1">IF(K65&gt;0,COUNTIF(K$53:K65,"&gt;0"),"")</f>
        <v>7</v>
      </c>
      <c r="R65" t="str">
        <f ca="1">IF(L65&gt;0,COUNTIF(L$53:L65,"&gt;0"),"")</f>
        <v/>
      </c>
    </row>
    <row r="66" spans="1:18" ht="13">
      <c r="A66" s="54" t="s">
        <v>42</v>
      </c>
      <c r="B66" s="52" t="s">
        <v>257</v>
      </c>
      <c r="C66" s="54" t="s">
        <v>241</v>
      </c>
      <c r="D66" s="54" t="s">
        <v>245</v>
      </c>
      <c r="E66" s="54" t="s">
        <v>245</v>
      </c>
      <c r="F66" s="54" t="s">
        <v>248</v>
      </c>
      <c r="G66" s="55">
        <f ca="1">IFERROR(INDEX(分期持仓明细!$B$5:$Y$200,G$82-4,MATCH(LEFT($A66,6),分期持仓明细!$B$3:$Y$3,0))*INDEX('实盘净值数据(iFinD）'!$B$5:$Y$1000,$B$81,MATCH($A66,'实盘净值数据(iFinD）'!$B$3:$Y$3,0))/INDEX('实盘净值数据(iFinD）'!$B$5:$Y$1000,MATCH(G$84,'实盘净值数据(iFinD）'!$A$5:$A$1000,0),MATCH($A66,'实盘净值数据(iFinD）'!$B$3:$Y$3,0))/G$85,G102)</f>
        <v>0</v>
      </c>
      <c r="H66" s="55">
        <f ca="1">IFERROR(INDEX(分期持仓明细!$B$5:$Y$200,H$82-4,MATCH(LEFT($A66,6),分期持仓明细!$B$3:$Y$3,0))*INDEX('实盘净值数据(iFinD）'!$B$5:$Y$1000,$B$81,MATCH($A66,'实盘净值数据(iFinD）'!$B$3:$Y$3,0))/INDEX('实盘净值数据(iFinD）'!$B$5:$Y$1000,MATCH(H$84,'实盘净值数据(iFinD）'!$A$5:$A$1000,0),MATCH($A66,'实盘净值数据(iFinD）'!$B$3:$Y$3,0))/H$85,H102)</f>
        <v>0</v>
      </c>
      <c r="I66" s="55">
        <f ca="1">IFERROR(INDEX(分期持仓明细!$B$5:$Y$200,I$82-4,MATCH(LEFT($A66,6),分期持仓明细!$B$3:$Y$3,0))*INDEX('实盘净值数据(iFinD）'!$B$5:$Y$1000,$B$81,MATCH($A66,'实盘净值数据(iFinD）'!$B$3:$Y$3,0))/INDEX('实盘净值数据(iFinD）'!$B$5:$Y$1000,MATCH(I$84,'实盘净值数据(iFinD）'!$A$5:$A$1000,0),MATCH($A66,'实盘净值数据(iFinD）'!$B$3:$Y$3,0))/I$85,I102)</f>
        <v>0</v>
      </c>
      <c r="J66" s="55">
        <f ca="1">IFERROR(INDEX(分期持仓明细!$B$5:$Y$200,J$82-4,MATCH(LEFT($A66,6),分期持仓明细!$B$3:$Y$3,0))*INDEX('实盘净值数据(iFinD）'!$B$5:$Y$1000,$B$81,MATCH($A66,'实盘净值数据(iFinD）'!$B$3:$Y$3,0))/INDEX('实盘净值数据(iFinD）'!$B$5:$Y$1000,MATCH(J$84,'实盘净值数据(iFinD）'!$A$5:$A$1000,0),MATCH($A66,'实盘净值数据(iFinD）'!$B$3:$Y$3,0))/J$85,J102)</f>
        <v>1.2917026208420189E-2</v>
      </c>
      <c r="K66" s="55">
        <f ca="1">IFERROR(INDEX(分期持仓明细!$B$5:$Y$200,K$82-4,MATCH(LEFT($A66,6),分期持仓明细!$B$3:$Y$3,0))*INDEX('实盘净值数据(iFinD）'!$B$5:$Y$1000,$B$81,MATCH($A66,'实盘净值数据(iFinD）'!$B$3:$Y$3,0))/INDEX('实盘净值数据(iFinD）'!$B$5:$Y$1000,MATCH(K$84,'实盘净值数据(iFinD）'!$A$5:$A$1000,0),MATCH($A66,'实盘净值数据(iFinD）'!$B$3:$Y$3,0))/K$85,K102)</f>
        <v>0</v>
      </c>
      <c r="L66" s="55">
        <f ca="1">IFERROR(INDEX(分期持仓明细!$B$5:$Y$200,L$82-4,MATCH(LEFT($A66,6),分期持仓明细!$B$3:$Y$3,0))*INDEX('实盘净值数据(iFinD）'!$B$5:$Y$1000,$B$81,MATCH($A66,'实盘净值数据(iFinD）'!$B$3:$Y$3,0))/INDEX('实盘净值数据(iFinD）'!$B$5:$Y$1000,MATCH(L$84,'实盘净值数据(iFinD）'!$A$5:$A$1000,0),MATCH($A66,'实盘净值数据(iFinD）'!$B$3:$Y$3,0))/L$85,L102)</f>
        <v>3.8330787989073717E-2</v>
      </c>
      <c r="M66" t="str">
        <f ca="1">IF(G66&gt;0,COUNTIF(G$53:G66,"&gt;0"),"")</f>
        <v/>
      </c>
      <c r="N66" t="str">
        <f ca="1">IF(H66&gt;0,COUNTIF(H$53:H66,"&gt;0"),"")</f>
        <v/>
      </c>
      <c r="O66" t="str">
        <f ca="1">IF(I66&gt;0,COUNTIF(I$53:I66,"&gt;0"),"")</f>
        <v/>
      </c>
      <c r="P66">
        <f ca="1">IF(J66&gt;0,COUNTIF(J$53:J66,"&gt;0"),"")</f>
        <v>7</v>
      </c>
      <c r="Q66" t="str">
        <f ca="1">IF(K66&gt;0,COUNTIF(K$53:K66,"&gt;0"),"")</f>
        <v/>
      </c>
      <c r="R66">
        <f ca="1">IF(L66&gt;0,COUNTIF(L$53:L66,"&gt;0"),"")</f>
        <v>7</v>
      </c>
    </row>
    <row r="67" spans="1:18" ht="13">
      <c r="A67" s="54" t="s">
        <v>43</v>
      </c>
      <c r="B67" s="52" t="s">
        <v>258</v>
      </c>
      <c r="C67" s="54" t="s">
        <v>241</v>
      </c>
      <c r="D67" s="54" t="s">
        <v>229</v>
      </c>
      <c r="E67" s="54" t="s">
        <v>242</v>
      </c>
      <c r="F67" s="54" t="s">
        <v>243</v>
      </c>
      <c r="G67" s="55">
        <f ca="1">IFERROR(INDEX(分期持仓明细!$B$5:$Y$200,G$82-4,MATCH(LEFT($A67,6),分期持仓明细!$B$3:$Y$3,0))*INDEX('实盘净值数据(iFinD）'!$B$5:$Y$1000,$B$81,MATCH($A67,'实盘净值数据(iFinD）'!$B$3:$Y$3,0))/INDEX('实盘净值数据(iFinD）'!$B$5:$Y$1000,MATCH(G$84,'实盘净值数据(iFinD）'!$A$5:$A$1000,0),MATCH($A67,'实盘净值数据(iFinD）'!$B$3:$Y$3,0))/G$85,G103)</f>
        <v>0.18244612655868953</v>
      </c>
      <c r="H67" s="55">
        <f ca="1">IFERROR(INDEX(分期持仓明细!$B$5:$Y$200,H$82-4,MATCH(LEFT($A67,6),分期持仓明细!$B$3:$Y$3,0))*INDEX('实盘净值数据(iFinD）'!$B$5:$Y$1000,$B$81,MATCH($A67,'实盘净值数据(iFinD）'!$B$3:$Y$3,0))/INDEX('实盘净值数据(iFinD）'!$B$5:$Y$1000,MATCH(H$84,'实盘净值数据(iFinD）'!$A$5:$A$1000,0),MATCH($A67,'实盘净值数据(iFinD）'!$B$3:$Y$3,0))/H$85,H103)</f>
        <v>0.18230280508242691</v>
      </c>
      <c r="I67" s="55">
        <f ca="1">IFERROR(INDEX(分期持仓明细!$B$5:$Y$200,I$82-4,MATCH(LEFT($A67,6),分期持仓明细!$B$3:$Y$3,0))*INDEX('实盘净值数据(iFinD）'!$B$5:$Y$1000,$B$81,MATCH($A67,'实盘净值数据(iFinD）'!$B$3:$Y$3,0))/INDEX('实盘净值数据(iFinD）'!$B$5:$Y$1000,MATCH(I$84,'实盘净值数据(iFinD）'!$A$5:$A$1000,0),MATCH($A67,'实盘净值数据(iFinD）'!$B$3:$Y$3,0))/I$85,I103)</f>
        <v>0</v>
      </c>
      <c r="J67" s="55">
        <f ca="1">IFERROR(INDEX(分期持仓明细!$B$5:$Y$200,J$82-4,MATCH(LEFT($A67,6),分期持仓明细!$B$3:$Y$3,0))*INDEX('实盘净值数据(iFinD）'!$B$5:$Y$1000,$B$81,MATCH($A67,'实盘净值数据(iFinD）'!$B$3:$Y$3,0))/INDEX('实盘净值数据(iFinD）'!$B$5:$Y$1000,MATCH(J$84,'实盘净值数据(iFinD）'!$A$5:$A$1000,0),MATCH($A67,'实盘净值数据(iFinD）'!$B$3:$Y$3,0))/J$85,J103)</f>
        <v>0</v>
      </c>
      <c r="K67" s="55">
        <f ca="1">IFERROR(INDEX(分期持仓明细!$B$5:$Y$200,K$82-4,MATCH(LEFT($A67,6),分期持仓明细!$B$3:$Y$3,0))*INDEX('实盘净值数据(iFinD）'!$B$5:$Y$1000,$B$81,MATCH($A67,'实盘净值数据(iFinD）'!$B$3:$Y$3,0))/INDEX('实盘净值数据(iFinD）'!$B$5:$Y$1000,MATCH(K$84,'实盘净值数据(iFinD）'!$A$5:$A$1000,0),MATCH($A67,'实盘净值数据(iFinD）'!$B$3:$Y$3,0))/K$85,K103)</f>
        <v>1.0508581420911142E-2</v>
      </c>
      <c r="L67" s="55">
        <f ca="1">IFERROR(INDEX(分期持仓明细!$B$5:$Y$200,L$82-4,MATCH(LEFT($A67,6),分期持仓明细!$B$3:$Y$3,0))*INDEX('实盘净值数据(iFinD）'!$B$5:$Y$1000,$B$81,MATCH($A67,'实盘净值数据(iFinD）'!$B$3:$Y$3,0))/INDEX('实盘净值数据(iFinD）'!$B$5:$Y$1000,MATCH(L$84,'实盘净值数据(iFinD）'!$A$5:$A$1000,0),MATCH($A67,'实盘净值数据(iFinD）'!$B$3:$Y$3,0))/L$85,L103)</f>
        <v>0</v>
      </c>
      <c r="M67">
        <f ca="1">IF(G67&gt;0,COUNTIF(G$53:G67,"&gt;0"),"")</f>
        <v>4</v>
      </c>
      <c r="N67">
        <f ca="1">IF(H67&gt;0,COUNTIF(H$53:H67,"&gt;0"),"")</f>
        <v>4</v>
      </c>
      <c r="O67" t="str">
        <f ca="1">IF(I67&gt;0,COUNTIF(I$53:I67,"&gt;0"),"")</f>
        <v/>
      </c>
      <c r="P67" t="str">
        <f ca="1">IF(J67&gt;0,COUNTIF(J$53:J67,"&gt;0"),"")</f>
        <v/>
      </c>
      <c r="Q67">
        <f ca="1">IF(K67&gt;0,COUNTIF(K$53:K67,"&gt;0"),"")</f>
        <v>8</v>
      </c>
      <c r="R67" t="str">
        <f ca="1">IF(L67&gt;0,COUNTIF(L$53:L67,"&gt;0"),"")</f>
        <v/>
      </c>
    </row>
    <row r="68" spans="1:18" ht="13">
      <c r="A68" s="54" t="s">
        <v>44</v>
      </c>
      <c r="B68" s="52" t="s">
        <v>259</v>
      </c>
      <c r="C68" s="54" t="s">
        <v>241</v>
      </c>
      <c r="D68" s="54" t="s">
        <v>229</v>
      </c>
      <c r="E68" s="54" t="s">
        <v>242</v>
      </c>
      <c r="F68" s="54" t="s">
        <v>243</v>
      </c>
      <c r="G68" s="55">
        <f ca="1">IFERROR(INDEX(分期持仓明细!$B$5:$Y$200,G$82-4,MATCH(LEFT($A68,6),分期持仓明细!$B$3:$Y$3,0))*INDEX('实盘净值数据(iFinD）'!$B$5:$Y$1000,$B$81,MATCH($A68,'实盘净值数据(iFinD）'!$B$3:$Y$3,0))/INDEX('实盘净值数据(iFinD）'!$B$5:$Y$1000,MATCH(G$84,'实盘净值数据(iFinD）'!$A$5:$A$1000,0),MATCH($A68,'实盘净值数据(iFinD）'!$B$3:$Y$3,0))/G$85,G104)</f>
        <v>0.18091631642337197</v>
      </c>
      <c r="H68" s="55">
        <f ca="1">IFERROR(INDEX(分期持仓明细!$B$5:$Y$200,H$82-4,MATCH(LEFT($A68,6),分期持仓明细!$B$3:$Y$3,0))*INDEX('实盘净值数据(iFinD）'!$B$5:$Y$1000,$B$81,MATCH($A68,'实盘净值数据(iFinD）'!$B$3:$Y$3,0))/INDEX('实盘净值数据(iFinD）'!$B$5:$Y$1000,MATCH(H$84,'实盘净值数据(iFinD）'!$A$5:$A$1000,0),MATCH($A68,'实盘净值数据(iFinD）'!$B$3:$Y$3,0))/H$85,H104)</f>
        <v>0.18173267167814874</v>
      </c>
      <c r="I68" s="55">
        <f ca="1">IFERROR(INDEX(分期持仓明细!$B$5:$Y$200,I$82-4,MATCH(LEFT($A68,6),分期持仓明细!$B$3:$Y$3,0))*INDEX('实盘净值数据(iFinD）'!$B$5:$Y$1000,$B$81,MATCH($A68,'实盘净值数据(iFinD）'!$B$3:$Y$3,0))/INDEX('实盘净值数据(iFinD）'!$B$5:$Y$1000,MATCH(I$84,'实盘净值数据(iFinD）'!$A$5:$A$1000,0),MATCH($A68,'实盘净值数据(iFinD）'!$B$3:$Y$3,0))/I$85,I104)</f>
        <v>0</v>
      </c>
      <c r="J68" s="55">
        <f ca="1">IFERROR(INDEX(分期持仓明细!$B$5:$Y$200,J$82-4,MATCH(LEFT($A68,6),分期持仓明细!$B$3:$Y$3,0))*INDEX('实盘净值数据(iFinD）'!$B$5:$Y$1000,$B$81,MATCH($A68,'实盘净值数据(iFinD）'!$B$3:$Y$3,0))/INDEX('实盘净值数据(iFinD）'!$B$5:$Y$1000,MATCH(J$84,'实盘净值数据(iFinD）'!$A$5:$A$1000,0),MATCH($A68,'实盘净值数据(iFinD）'!$B$3:$Y$3,0))/J$85,J104)</f>
        <v>0</v>
      </c>
      <c r="K68" s="55">
        <f ca="1">IFERROR(INDEX(分期持仓明细!$B$5:$Y$200,K$82-4,MATCH(LEFT($A68,6),分期持仓明细!$B$3:$Y$3,0))*INDEX('实盘净值数据(iFinD）'!$B$5:$Y$1000,$B$81,MATCH($A68,'实盘净值数据(iFinD）'!$B$3:$Y$3,0))/INDEX('实盘净值数据(iFinD）'!$B$5:$Y$1000,MATCH(K$84,'实盘净值数据(iFinD）'!$A$5:$A$1000,0),MATCH($A68,'实盘净值数据(iFinD）'!$B$3:$Y$3,0))/K$85,K104)</f>
        <v>1.0474497127975112E-2</v>
      </c>
      <c r="L68" s="55">
        <f ca="1">IFERROR(INDEX(分期持仓明细!$B$5:$Y$200,L$82-4,MATCH(LEFT($A68,6),分期持仓明细!$B$3:$Y$3,0))*INDEX('实盘净值数据(iFinD）'!$B$5:$Y$1000,$B$81,MATCH($A68,'实盘净值数据(iFinD）'!$B$3:$Y$3,0))/INDEX('实盘净值数据(iFinD）'!$B$5:$Y$1000,MATCH(L$84,'实盘净值数据(iFinD）'!$A$5:$A$1000,0),MATCH($A68,'实盘净值数据(iFinD）'!$B$3:$Y$3,0))/L$85,L104)</f>
        <v>0</v>
      </c>
      <c r="M68">
        <f ca="1">IF(G68&gt;0,COUNTIF(G$53:G68,"&gt;0"),"")</f>
        <v>5</v>
      </c>
      <c r="N68">
        <f ca="1">IF(H68&gt;0,COUNTIF(H$53:H68,"&gt;0"),"")</f>
        <v>5</v>
      </c>
      <c r="O68" t="str">
        <f ca="1">IF(I68&gt;0,COUNTIF(I$53:I68,"&gt;0"),"")</f>
        <v/>
      </c>
      <c r="P68" t="str">
        <f ca="1">IF(J68&gt;0,COUNTIF(J$53:J68,"&gt;0"),"")</f>
        <v/>
      </c>
      <c r="Q68">
        <f ca="1">IF(K68&gt;0,COUNTIF(K$53:K68,"&gt;0"),"")</f>
        <v>9</v>
      </c>
      <c r="R68" t="str">
        <f ca="1">IF(L68&gt;0,COUNTIF(L$53:L68,"&gt;0"),"")</f>
        <v/>
      </c>
    </row>
    <row r="69" spans="1:18" ht="13">
      <c r="A69" s="54" t="s">
        <v>45</v>
      </c>
      <c r="B69" s="52" t="s">
        <v>260</v>
      </c>
      <c r="C69" s="54" t="s">
        <v>241</v>
      </c>
      <c r="D69" s="54" t="s">
        <v>229</v>
      </c>
      <c r="E69" s="54" t="s">
        <v>242</v>
      </c>
      <c r="F69" s="54" t="s">
        <v>248</v>
      </c>
      <c r="G69" s="55">
        <f ca="1">IFERROR(INDEX(分期持仓明细!$B$5:$Y$200,G$82-4,MATCH(LEFT($A69,6),分期持仓明细!$B$3:$Y$3,0))*INDEX('实盘净值数据(iFinD）'!$B$5:$Y$1000,$B$81,MATCH($A69,'实盘净值数据(iFinD）'!$B$3:$Y$3,0))/INDEX('实盘净值数据(iFinD）'!$B$5:$Y$1000,MATCH(G$84,'实盘净值数据(iFinD）'!$A$5:$A$1000,0),MATCH($A69,'实盘净值数据(iFinD）'!$B$3:$Y$3,0))/G$85,G105)</f>
        <v>0</v>
      </c>
      <c r="H69" s="55">
        <f ca="1">IFERROR(INDEX(分期持仓明细!$B$5:$Y$200,H$82-4,MATCH(LEFT($A69,6),分期持仓明细!$B$3:$Y$3,0))*INDEX('实盘净值数据(iFinD）'!$B$5:$Y$1000,$B$81,MATCH($A69,'实盘净值数据(iFinD）'!$B$3:$Y$3,0))/INDEX('实盘净值数据(iFinD）'!$B$5:$Y$1000,MATCH(H$84,'实盘净值数据(iFinD）'!$A$5:$A$1000,0),MATCH($A69,'实盘净值数据(iFinD）'!$B$3:$Y$3,0))/H$85,H105)</f>
        <v>0</v>
      </c>
      <c r="I69" s="55">
        <f ca="1">IFERROR(INDEX(分期持仓明细!$B$5:$Y$200,I$82-4,MATCH(LEFT($A69,6),分期持仓明细!$B$3:$Y$3,0))*INDEX('实盘净值数据(iFinD）'!$B$5:$Y$1000,$B$81,MATCH($A69,'实盘净值数据(iFinD）'!$B$3:$Y$3,0))/INDEX('实盘净值数据(iFinD）'!$B$5:$Y$1000,MATCH(I$84,'实盘净值数据(iFinD）'!$A$5:$A$1000,0),MATCH($A69,'实盘净值数据(iFinD）'!$B$3:$Y$3,0))/I$85,I105)</f>
        <v>0.18202237800350826</v>
      </c>
      <c r="J69" s="55">
        <f ca="1">IFERROR(INDEX(分期持仓明细!$B$5:$Y$200,J$82-4,MATCH(LEFT($A69,6),分期持仓明细!$B$3:$Y$3,0))*INDEX('实盘净值数据(iFinD）'!$B$5:$Y$1000,$B$81,MATCH($A69,'实盘净值数据(iFinD）'!$B$3:$Y$3,0))/INDEX('实盘净值数据(iFinD）'!$B$5:$Y$1000,MATCH(J$84,'实盘净值数据(iFinD）'!$A$5:$A$1000,0),MATCH($A69,'实盘净值数据(iFinD）'!$B$3:$Y$3,0))/J$85,J105)</f>
        <v>1.3094347095418089E-2</v>
      </c>
      <c r="K69" s="55">
        <f ca="1">IFERROR(INDEX(分期持仓明细!$B$5:$Y$200,K$82-4,MATCH(LEFT($A69,6),分期持仓明细!$B$3:$Y$3,0))*INDEX('实盘净值数据(iFinD）'!$B$5:$Y$1000,$B$81,MATCH($A69,'实盘净值数据(iFinD）'!$B$3:$Y$3,0))/INDEX('实盘净值数据(iFinD）'!$B$5:$Y$1000,MATCH(K$84,'实盘净值数据(iFinD）'!$A$5:$A$1000,0),MATCH($A69,'实盘净值数据(iFinD）'!$B$3:$Y$3,0))/K$85,K105)</f>
        <v>0</v>
      </c>
      <c r="L69" s="55">
        <f ca="1">IFERROR(INDEX(分期持仓明细!$B$5:$Y$200,L$82-4,MATCH(LEFT($A69,6),分期持仓明细!$B$3:$Y$3,0))*INDEX('实盘净值数据(iFinD）'!$B$5:$Y$1000,$B$81,MATCH($A69,'实盘净值数据(iFinD）'!$B$3:$Y$3,0))/INDEX('实盘净值数据(iFinD）'!$B$5:$Y$1000,MATCH(L$84,'实盘净值数据(iFinD）'!$A$5:$A$1000,0),MATCH($A69,'实盘净值数据(iFinD）'!$B$3:$Y$3,0))/L$85,L105)</f>
        <v>3.6266515629822145E-2</v>
      </c>
      <c r="M69" t="str">
        <f ca="1">IF(G69&gt;0,COUNTIF(G$53:G69,"&gt;0"),"")</f>
        <v/>
      </c>
      <c r="N69" t="str">
        <f ca="1">IF(H69&gt;0,COUNTIF(H$53:H69,"&gt;0"),"")</f>
        <v/>
      </c>
      <c r="O69">
        <f ca="1">IF(I69&gt;0,COUNTIF(I$53:I69,"&gt;0"),"")</f>
        <v>4</v>
      </c>
      <c r="P69">
        <f ca="1">IF(J69&gt;0,COUNTIF(J$53:J69,"&gt;0"),"")</f>
        <v>8</v>
      </c>
      <c r="Q69" t="str">
        <f ca="1">IF(K69&gt;0,COUNTIF(K$53:K69,"&gt;0"),"")</f>
        <v/>
      </c>
      <c r="R69">
        <f ca="1">IF(L69&gt;0,COUNTIF(L$53:L69,"&gt;0"),"")</f>
        <v>8</v>
      </c>
    </row>
    <row r="70" spans="1:18" ht="13">
      <c r="A70" s="54" t="s">
        <v>46</v>
      </c>
      <c r="B70" s="52" t="s">
        <v>261</v>
      </c>
      <c r="C70" s="54" t="s">
        <v>241</v>
      </c>
      <c r="D70" s="54" t="s">
        <v>229</v>
      </c>
      <c r="E70" s="54" t="s">
        <v>242</v>
      </c>
      <c r="F70" s="54" t="s">
        <v>248</v>
      </c>
      <c r="G70" s="55">
        <f ca="1">IFERROR(INDEX(分期持仓明细!$B$5:$Y$200,G$82-4,MATCH(LEFT($A70,6),分期持仓明细!$B$3:$Y$3,0))*INDEX('实盘净值数据(iFinD）'!$B$5:$Y$1000,$B$81,MATCH($A70,'实盘净值数据(iFinD）'!$B$3:$Y$3,0))/INDEX('实盘净值数据(iFinD）'!$B$5:$Y$1000,MATCH(G$84,'实盘净值数据(iFinD）'!$A$5:$A$1000,0),MATCH($A70,'实盘净值数据(iFinD）'!$B$3:$Y$3,0))/G$85,G106)</f>
        <v>0</v>
      </c>
      <c r="H70" s="55">
        <f ca="1">IFERROR(INDEX(分期持仓明细!$B$5:$Y$200,H$82-4,MATCH(LEFT($A70,6),分期持仓明细!$B$3:$Y$3,0))*INDEX('实盘净值数据(iFinD）'!$B$5:$Y$1000,$B$81,MATCH($A70,'实盘净值数据(iFinD）'!$B$3:$Y$3,0))/INDEX('实盘净值数据(iFinD）'!$B$5:$Y$1000,MATCH(H$84,'实盘净值数据(iFinD）'!$A$5:$A$1000,0),MATCH($A70,'实盘净值数据(iFinD）'!$B$3:$Y$3,0))/H$85,H106)</f>
        <v>0</v>
      </c>
      <c r="I70" s="55">
        <f ca="1">IFERROR(INDEX(分期持仓明细!$B$5:$Y$200,I$82-4,MATCH(LEFT($A70,6),分期持仓明细!$B$3:$Y$3,0))*INDEX('实盘净值数据(iFinD）'!$B$5:$Y$1000,$B$81,MATCH($A70,'实盘净值数据(iFinD）'!$B$3:$Y$3,0))/INDEX('实盘净值数据(iFinD）'!$B$5:$Y$1000,MATCH(I$84,'实盘净值数据(iFinD）'!$A$5:$A$1000,0),MATCH($A70,'实盘净值数据(iFinD）'!$B$3:$Y$3,0))/I$85,I106)</f>
        <v>0.17233309392892973</v>
      </c>
      <c r="J70" s="55">
        <f ca="1">IFERROR(INDEX(分期持仓明细!$B$5:$Y$200,J$82-4,MATCH(LEFT($A70,6),分期持仓明细!$B$3:$Y$3,0))*INDEX('实盘净值数据(iFinD）'!$B$5:$Y$1000,$B$81,MATCH($A70,'实盘净值数据(iFinD）'!$B$3:$Y$3,0))/INDEX('实盘净值数据(iFinD）'!$B$5:$Y$1000,MATCH(J$84,'实盘净值数据(iFinD）'!$A$5:$A$1000,0),MATCH($A70,'实盘净值数据(iFinD）'!$B$3:$Y$3,0))/J$85,J106)</f>
        <v>1.2962974197625805E-2</v>
      </c>
      <c r="K70" s="55">
        <f ca="1">IFERROR(INDEX(分期持仓明细!$B$5:$Y$200,K$82-4,MATCH(LEFT($A70,6),分期持仓明细!$B$3:$Y$3,0))*INDEX('实盘净值数据(iFinD）'!$B$5:$Y$1000,$B$81,MATCH($A70,'实盘净值数据(iFinD）'!$B$3:$Y$3,0))/INDEX('实盘净值数据(iFinD）'!$B$5:$Y$1000,MATCH(K$84,'实盘净值数据(iFinD）'!$A$5:$A$1000,0),MATCH($A70,'实盘净值数据(iFinD）'!$B$3:$Y$3,0))/K$85,K106)</f>
        <v>0</v>
      </c>
      <c r="L70" s="55">
        <f ca="1">IFERROR(INDEX(分期持仓明细!$B$5:$Y$200,L$82-4,MATCH(LEFT($A70,6),分期持仓明细!$B$3:$Y$3,0))*INDEX('实盘净值数据(iFinD）'!$B$5:$Y$1000,$B$81,MATCH($A70,'实盘净值数据(iFinD）'!$B$3:$Y$3,0))/INDEX('实盘净值数据(iFinD）'!$B$5:$Y$1000,MATCH(L$84,'实盘净值数据(iFinD）'!$A$5:$A$1000,0),MATCH($A70,'实盘净值数据(iFinD）'!$B$3:$Y$3,0))/L$85,L106)</f>
        <v>3.5902661119444457E-2</v>
      </c>
      <c r="M70" t="str">
        <f ca="1">IF(G70&gt;0,COUNTIF(G$53:G70,"&gt;0"),"")</f>
        <v/>
      </c>
      <c r="N70" t="str">
        <f ca="1">IF(H70&gt;0,COUNTIF(H$53:H70,"&gt;0"),"")</f>
        <v/>
      </c>
      <c r="O70">
        <f ca="1">IF(I70&gt;0,COUNTIF(I$53:I70,"&gt;0"),"")</f>
        <v>5</v>
      </c>
      <c r="P70">
        <f ca="1">IF(J70&gt;0,COUNTIF(J$53:J70,"&gt;0"),"")</f>
        <v>9</v>
      </c>
      <c r="Q70" t="str">
        <f ca="1">IF(K70&gt;0,COUNTIF(K$53:K70,"&gt;0"),"")</f>
        <v/>
      </c>
      <c r="R70">
        <f ca="1">IF(L70&gt;0,COUNTIF(L$53:L70,"&gt;0"),"")</f>
        <v>9</v>
      </c>
    </row>
    <row r="71" spans="1:18" ht="13">
      <c r="A71" s="54" t="s">
        <v>47</v>
      </c>
      <c r="B71" s="52" t="s">
        <v>262</v>
      </c>
      <c r="C71" s="54" t="s">
        <v>241</v>
      </c>
      <c r="D71" s="54" t="s">
        <v>229</v>
      </c>
      <c r="E71" s="54" t="s">
        <v>250</v>
      </c>
      <c r="F71" s="54" t="s">
        <v>243</v>
      </c>
      <c r="G71" s="55">
        <f ca="1">IFERROR(INDEX(分期持仓明细!$B$5:$Y$200,G$82-4,MATCH(LEFT($A71,6),分期持仓明细!$B$3:$Y$3,0))*INDEX('实盘净值数据(iFinD）'!$B$5:$Y$1000,$B$81,MATCH($A71,'实盘净值数据(iFinD）'!$B$3:$Y$3,0))/INDEX('实盘净值数据(iFinD）'!$B$5:$Y$1000,MATCH(G$84,'实盘净值数据(iFinD）'!$A$5:$A$1000,0),MATCH($A71,'实盘净值数据(iFinD）'!$B$3:$Y$3,0))/G$85,G107)</f>
        <v>0.12199434569936339</v>
      </c>
      <c r="H71" s="55">
        <f ca="1">IFERROR(INDEX(分期持仓明细!$B$5:$Y$200,H$82-4,MATCH(LEFT($A71,6),分期持仓明细!$B$3:$Y$3,0))*INDEX('实盘净值数据(iFinD）'!$B$5:$Y$1000,$B$81,MATCH($A71,'实盘净值数据(iFinD）'!$B$3:$Y$3,0))/INDEX('实盘净值数据(iFinD）'!$B$5:$Y$1000,MATCH(H$84,'实盘净值数据(iFinD）'!$A$5:$A$1000,0),MATCH($A71,'实盘净值数据(iFinD）'!$B$3:$Y$3,0))/H$85,H107)</f>
        <v>0.12257624499881614</v>
      </c>
      <c r="I71" s="55">
        <f ca="1">IFERROR(INDEX(分期持仓明细!$B$5:$Y$200,I$82-4,MATCH(LEFT($A71,6),分期持仓明细!$B$3:$Y$3,0))*INDEX('实盘净值数据(iFinD）'!$B$5:$Y$1000,$B$81,MATCH($A71,'实盘净值数据(iFinD）'!$B$3:$Y$3,0))/INDEX('实盘净值数据(iFinD）'!$B$5:$Y$1000,MATCH(I$84,'实盘净值数据(iFinD）'!$A$5:$A$1000,0),MATCH($A71,'实盘净值数据(iFinD）'!$B$3:$Y$3,0))/I$85,I107)</f>
        <v>0</v>
      </c>
      <c r="J71" s="55">
        <f ca="1">IFERROR(INDEX(分期持仓明细!$B$5:$Y$200,J$82-4,MATCH(LEFT($A71,6),分期持仓明细!$B$3:$Y$3,0))*INDEX('实盘净值数据(iFinD）'!$B$5:$Y$1000,$B$81,MATCH($A71,'实盘净值数据(iFinD）'!$B$3:$Y$3,0))/INDEX('实盘净值数据(iFinD）'!$B$5:$Y$1000,MATCH(J$84,'实盘净值数据(iFinD）'!$A$5:$A$1000,0),MATCH($A71,'实盘净值数据(iFinD）'!$B$3:$Y$3,0))/J$85,J107)</f>
        <v>0</v>
      </c>
      <c r="K71" s="55">
        <f ca="1">IFERROR(INDEX(分期持仓明细!$B$5:$Y$200,K$82-4,MATCH(LEFT($A71,6),分期持仓明细!$B$3:$Y$3,0))*INDEX('实盘净值数据(iFinD）'!$B$5:$Y$1000,$B$81,MATCH($A71,'实盘净值数据(iFinD）'!$B$3:$Y$3,0))/INDEX('实盘净值数据(iFinD）'!$B$5:$Y$1000,MATCH(K$84,'实盘净值数据(iFinD）'!$A$5:$A$1000,0),MATCH($A71,'实盘净值数据(iFinD）'!$B$3:$Y$3,0))/K$85,K107)</f>
        <v>0</v>
      </c>
      <c r="L71" s="55">
        <f ca="1">IFERROR(INDEX(分期持仓明细!$B$5:$Y$200,L$82-4,MATCH(LEFT($A71,6),分期持仓明细!$B$3:$Y$3,0))*INDEX('实盘净值数据(iFinD）'!$B$5:$Y$1000,$B$81,MATCH($A71,'实盘净值数据(iFinD）'!$B$3:$Y$3,0))/INDEX('实盘净值数据(iFinD）'!$B$5:$Y$1000,MATCH(L$84,'实盘净值数据(iFinD）'!$A$5:$A$1000,0),MATCH($A71,'实盘净值数据(iFinD）'!$B$3:$Y$3,0))/L$85,L107)</f>
        <v>0</v>
      </c>
      <c r="M71">
        <f ca="1">IF(G71&gt;0,COUNTIF(G$53:G71,"&gt;0"),"")</f>
        <v>6</v>
      </c>
      <c r="N71">
        <f ca="1">IF(H71&gt;0,COUNTIF(H$53:H71,"&gt;0"),"")</f>
        <v>6</v>
      </c>
      <c r="O71" t="str">
        <f ca="1">IF(I71&gt;0,COUNTIF(I$53:I71,"&gt;0"),"")</f>
        <v/>
      </c>
      <c r="P71" t="str">
        <f ca="1">IF(J71&gt;0,COUNTIF(J$53:J71,"&gt;0"),"")</f>
        <v/>
      </c>
      <c r="Q71" t="str">
        <f ca="1">IF(K71&gt;0,COUNTIF(K$53:K71,"&gt;0"),"")</f>
        <v/>
      </c>
      <c r="R71" t="str">
        <f ca="1">IF(L71&gt;0,COUNTIF(L$53:L71,"&gt;0"),"")</f>
        <v/>
      </c>
    </row>
    <row r="72" spans="1:18" ht="13">
      <c r="A72" s="54" t="s">
        <v>48</v>
      </c>
      <c r="B72" s="52" t="s">
        <v>263</v>
      </c>
      <c r="C72" s="54" t="s">
        <v>241</v>
      </c>
      <c r="D72" s="54" t="s">
        <v>229</v>
      </c>
      <c r="E72" s="54" t="s">
        <v>250</v>
      </c>
      <c r="F72" s="54" t="s">
        <v>248</v>
      </c>
      <c r="G72" s="55">
        <f ca="1">IFERROR(INDEX(分期持仓明细!$B$5:$Y$200,G$82-4,MATCH(LEFT($A72,6),分期持仓明细!$B$3:$Y$3,0))*INDEX('实盘净值数据(iFinD）'!$B$5:$Y$1000,$B$81,MATCH($A72,'实盘净值数据(iFinD）'!$B$3:$Y$3,0))/INDEX('实盘净值数据(iFinD）'!$B$5:$Y$1000,MATCH(G$84,'实盘净值数据(iFinD）'!$A$5:$A$1000,0),MATCH($A72,'实盘净值数据(iFinD）'!$B$3:$Y$3,0))/G$85,G108)</f>
        <v>0</v>
      </c>
      <c r="H72" s="55">
        <f ca="1">IFERROR(INDEX(分期持仓明细!$B$5:$Y$200,H$82-4,MATCH(LEFT($A72,6),分期持仓明细!$B$3:$Y$3,0))*INDEX('实盘净值数据(iFinD）'!$B$5:$Y$1000,$B$81,MATCH($A72,'实盘净值数据(iFinD）'!$B$3:$Y$3,0))/INDEX('实盘净值数据(iFinD）'!$B$5:$Y$1000,MATCH(H$84,'实盘净值数据(iFinD）'!$A$5:$A$1000,0),MATCH($A72,'实盘净值数据(iFinD）'!$B$3:$Y$3,0))/H$85,H108)</f>
        <v>0</v>
      </c>
      <c r="I72" s="55">
        <f ca="1">IFERROR(INDEX(分期持仓明细!$B$5:$Y$200,I$82-4,MATCH(LEFT($A72,6),分期持仓明细!$B$3:$Y$3,0))*INDEX('实盘净值数据(iFinD）'!$B$5:$Y$1000,$B$81,MATCH($A72,'实盘净值数据(iFinD）'!$B$3:$Y$3,0))/INDEX('实盘净值数据(iFinD）'!$B$5:$Y$1000,MATCH(I$84,'实盘净值数据(iFinD）'!$A$5:$A$1000,0),MATCH($A72,'实盘净值数据(iFinD）'!$B$3:$Y$3,0))/I$85,I108)</f>
        <v>0.12002747289748923</v>
      </c>
      <c r="J72" s="55">
        <f ca="1">IFERROR(INDEX(分期持仓明细!$B$5:$Y$200,J$82-4,MATCH(LEFT($A72,6),分期持仓明细!$B$3:$Y$3,0))*INDEX('实盘净值数据(iFinD）'!$B$5:$Y$1000,$B$81,MATCH($A72,'实盘净值数据(iFinD）'!$B$3:$Y$3,0))/INDEX('实盘净值数据(iFinD）'!$B$5:$Y$1000,MATCH(J$84,'实盘净值数据(iFinD）'!$A$5:$A$1000,0),MATCH($A72,'实盘净值数据(iFinD）'!$B$3:$Y$3,0))/J$85,J108)</f>
        <v>0</v>
      </c>
      <c r="K72" s="55">
        <f ca="1">IFERROR(INDEX(分期持仓明细!$B$5:$Y$200,K$82-4,MATCH(LEFT($A72,6),分期持仓明细!$B$3:$Y$3,0))*INDEX('实盘净值数据(iFinD）'!$B$5:$Y$1000,$B$81,MATCH($A72,'实盘净值数据(iFinD）'!$B$3:$Y$3,0))/INDEX('实盘净值数据(iFinD）'!$B$5:$Y$1000,MATCH(K$84,'实盘净值数据(iFinD）'!$A$5:$A$1000,0),MATCH($A72,'实盘净值数据(iFinD）'!$B$3:$Y$3,0))/K$85,K108)</f>
        <v>0</v>
      </c>
      <c r="L72" s="55">
        <f ca="1">IFERROR(INDEX(分期持仓明细!$B$5:$Y$200,L$82-4,MATCH(LEFT($A72,6),分期持仓明细!$B$3:$Y$3,0))*INDEX('实盘净值数据(iFinD）'!$B$5:$Y$1000,$B$81,MATCH($A72,'实盘净值数据(iFinD）'!$B$3:$Y$3,0))/INDEX('实盘净值数据(iFinD）'!$B$5:$Y$1000,MATCH(L$84,'实盘净值数据(iFinD）'!$A$5:$A$1000,0),MATCH($A72,'实盘净值数据(iFinD）'!$B$3:$Y$3,0))/L$85,L108)</f>
        <v>0</v>
      </c>
      <c r="M72" t="str">
        <f ca="1">IF(G72&gt;0,COUNTIF(G$53:G72,"&gt;0"),"")</f>
        <v/>
      </c>
      <c r="N72" t="str">
        <f ca="1">IF(H72&gt;0,COUNTIF(H$53:H72,"&gt;0"),"")</f>
        <v/>
      </c>
      <c r="O72">
        <f ca="1">IF(I72&gt;0,COUNTIF(I$53:I72,"&gt;0"),"")</f>
        <v>6</v>
      </c>
      <c r="P72" t="str">
        <f ca="1">IF(J72&gt;0,COUNTIF(J$53:J72,"&gt;0"),"")</f>
        <v/>
      </c>
      <c r="Q72" t="str">
        <f ca="1">IF(K72&gt;0,COUNTIF(K$53:K72,"&gt;0"),"")</f>
        <v/>
      </c>
      <c r="R72" t="str">
        <f ca="1">IF(L72&gt;0,COUNTIF(L$53:L72,"&gt;0"),"")</f>
        <v/>
      </c>
    </row>
    <row r="73" spans="1:18" ht="13">
      <c r="A73" s="54" t="s">
        <v>49</v>
      </c>
      <c r="B73" s="52" t="s">
        <v>264</v>
      </c>
      <c r="C73" s="54" t="s">
        <v>241</v>
      </c>
      <c r="D73" s="54" t="s">
        <v>245</v>
      </c>
      <c r="E73" s="54" t="s">
        <v>245</v>
      </c>
      <c r="F73" s="54" t="s">
        <v>246</v>
      </c>
      <c r="G73" s="55">
        <f ca="1">IFERROR(INDEX(分期持仓明细!$B$5:$Y$200,G$82-4,MATCH(LEFT($A73,6),分期持仓明细!$B$3:$Y$3,0))*INDEX('实盘净值数据(iFinD）'!$B$5:$Y$1000,$B$81,MATCH($A73,'实盘净值数据(iFinD）'!$B$3:$Y$3,0))/INDEX('实盘净值数据(iFinD）'!$B$5:$Y$1000,MATCH(G$84,'实盘净值数据(iFinD）'!$A$5:$A$1000,0),MATCH($A73,'实盘净值数据(iFinD）'!$B$3:$Y$3,0))/G$85,G109)</f>
        <v>0</v>
      </c>
      <c r="H73" s="55">
        <f ca="1">IFERROR(INDEX(分期持仓明细!$B$5:$Y$200,H$82-4,MATCH(LEFT($A73,6),分期持仓明细!$B$3:$Y$3,0))*INDEX('实盘净值数据(iFinD）'!$B$5:$Y$1000,$B$81,MATCH($A73,'实盘净值数据(iFinD）'!$B$3:$Y$3,0))/INDEX('实盘净值数据(iFinD）'!$B$5:$Y$1000,MATCH(H$84,'实盘净值数据(iFinD）'!$A$5:$A$1000,0),MATCH($A73,'实盘净值数据(iFinD）'!$B$3:$Y$3,0))/H$85,H109)</f>
        <v>0</v>
      </c>
      <c r="I73" s="55">
        <f ca="1">IFERROR(INDEX(分期持仓明细!$B$5:$Y$200,I$82-4,MATCH(LEFT($A73,6),分期持仓明细!$B$3:$Y$3,0))*INDEX('实盘净值数据(iFinD）'!$B$5:$Y$1000,$B$81,MATCH($A73,'实盘净值数据(iFinD）'!$B$3:$Y$3,0))/INDEX('实盘净值数据(iFinD）'!$B$5:$Y$1000,MATCH(I$84,'实盘净值数据(iFinD）'!$A$5:$A$1000,0),MATCH($A73,'实盘净值数据(iFinD）'!$B$3:$Y$3,0))/I$85,I109)</f>
        <v>0</v>
      </c>
      <c r="J73" s="55">
        <f ca="1">IFERROR(INDEX(分期持仓明细!$B$5:$Y$200,J$82-4,MATCH(LEFT($A73,6),分期持仓明细!$B$3:$Y$3,0))*INDEX('实盘净值数据(iFinD）'!$B$5:$Y$1000,$B$81,MATCH($A73,'实盘净值数据(iFinD）'!$B$3:$Y$3,0))/INDEX('实盘净值数据(iFinD）'!$B$5:$Y$1000,MATCH(J$84,'实盘净值数据(iFinD）'!$A$5:$A$1000,0),MATCH($A73,'实盘净值数据(iFinD）'!$B$3:$Y$3,0))/J$85,J109)</f>
        <v>0</v>
      </c>
      <c r="K73" s="55">
        <f ca="1">IFERROR(INDEX(分期持仓明细!$B$5:$Y$200,K$82-4,MATCH(LEFT($A73,6),分期持仓明细!$B$3:$Y$3,0))*INDEX('实盘净值数据(iFinD）'!$B$5:$Y$1000,$B$81,MATCH($A73,'实盘净值数据(iFinD）'!$B$3:$Y$3,0))/INDEX('实盘净值数据(iFinD）'!$B$5:$Y$1000,MATCH(K$84,'实盘净值数据(iFinD）'!$A$5:$A$1000,0),MATCH($A73,'实盘净值数据(iFinD）'!$B$3:$Y$3,0))/K$85,K109)</f>
        <v>1.314896752154981E-2</v>
      </c>
      <c r="L73" s="55">
        <f ca="1">IFERROR(INDEX(分期持仓明细!$B$5:$Y$200,L$82-4,MATCH(LEFT($A73,6),分期持仓明细!$B$3:$Y$3,0))*INDEX('实盘净值数据(iFinD）'!$B$5:$Y$1000,$B$81,MATCH($A73,'实盘净值数据(iFinD）'!$B$3:$Y$3,0))/INDEX('实盘净值数据(iFinD）'!$B$5:$Y$1000,MATCH(L$84,'实盘净值数据(iFinD）'!$A$5:$A$1000,0),MATCH($A73,'实盘净值数据(iFinD）'!$B$3:$Y$3,0))/L$85,L109)</f>
        <v>0</v>
      </c>
      <c r="M73" t="str">
        <f ca="1">IF(G73&gt;0,COUNTIF(G$53:G73,"&gt;0"),"")</f>
        <v/>
      </c>
      <c r="N73" t="str">
        <f ca="1">IF(H73&gt;0,COUNTIF(H$53:H73,"&gt;0"),"")</f>
        <v/>
      </c>
      <c r="O73" t="str">
        <f ca="1">IF(I73&gt;0,COUNTIF(I$53:I73,"&gt;0"),"")</f>
        <v/>
      </c>
      <c r="P73" t="str">
        <f ca="1">IF(J73&gt;0,COUNTIF(J$53:J73,"&gt;0"),"")</f>
        <v/>
      </c>
      <c r="Q73">
        <f ca="1">IF(K73&gt;0,COUNTIF(K$53:K73,"&gt;0"),"")</f>
        <v>10</v>
      </c>
      <c r="R73" t="str">
        <f ca="1">IF(L73&gt;0,COUNTIF(L$53:L73,"&gt;0"),"")</f>
        <v/>
      </c>
    </row>
    <row r="74" spans="1:18" ht="13">
      <c r="A74" s="54" t="s">
        <v>50</v>
      </c>
      <c r="B74" s="52" t="s">
        <v>265</v>
      </c>
      <c r="C74" s="54" t="s">
        <v>241</v>
      </c>
      <c r="D74" s="54" t="s">
        <v>245</v>
      </c>
      <c r="E74" s="54" t="s">
        <v>245</v>
      </c>
      <c r="F74" s="54" t="s">
        <v>248</v>
      </c>
      <c r="G74" s="55">
        <f ca="1">IFERROR(INDEX(分期持仓明细!$B$5:$Y$200,G$82-4,MATCH(LEFT($A74,6),分期持仓明细!$B$3:$Y$3,0))*INDEX('实盘净值数据(iFinD）'!$B$5:$Y$1000,$B$81,MATCH($A74,'实盘净值数据(iFinD）'!$B$3:$Y$3,0))/INDEX('实盘净值数据(iFinD）'!$B$5:$Y$1000,MATCH(G$84,'实盘净值数据(iFinD）'!$A$5:$A$1000,0),MATCH($A74,'实盘净值数据(iFinD）'!$B$3:$Y$3,0))/G$85,G110)</f>
        <v>0</v>
      </c>
      <c r="H74" s="55">
        <f ca="1">IFERROR(INDEX(分期持仓明细!$B$5:$Y$200,H$82-4,MATCH(LEFT($A74,6),分期持仓明细!$B$3:$Y$3,0))*INDEX('实盘净值数据(iFinD）'!$B$5:$Y$1000,$B$81,MATCH($A74,'实盘净值数据(iFinD）'!$B$3:$Y$3,0))/INDEX('实盘净值数据(iFinD）'!$B$5:$Y$1000,MATCH(H$84,'实盘净值数据(iFinD）'!$A$5:$A$1000,0),MATCH($A74,'实盘净值数据(iFinD）'!$B$3:$Y$3,0))/H$85,H110)</f>
        <v>0</v>
      </c>
      <c r="I74" s="55">
        <f ca="1">IFERROR(INDEX(分期持仓明细!$B$5:$Y$200,I$82-4,MATCH(LEFT($A74,6),分期持仓明细!$B$3:$Y$3,0))*INDEX('实盘净值数据(iFinD）'!$B$5:$Y$1000,$B$81,MATCH($A74,'实盘净值数据(iFinD）'!$B$3:$Y$3,0))/INDEX('实盘净值数据(iFinD）'!$B$5:$Y$1000,MATCH(I$84,'实盘净值数据(iFinD）'!$A$5:$A$1000,0),MATCH($A74,'实盘净值数据(iFinD）'!$B$3:$Y$3,0))/I$85,I110)</f>
        <v>0</v>
      </c>
      <c r="J74" s="55">
        <f ca="1">IFERROR(INDEX(分期持仓明细!$B$5:$Y$200,J$82-4,MATCH(LEFT($A74,6),分期持仓明细!$B$3:$Y$3,0))*INDEX('实盘净值数据(iFinD）'!$B$5:$Y$1000,$B$81,MATCH($A74,'实盘净值数据(iFinD）'!$B$3:$Y$3,0))/INDEX('实盘净值数据(iFinD）'!$B$5:$Y$1000,MATCH(J$84,'实盘净值数据(iFinD）'!$A$5:$A$1000,0),MATCH($A74,'实盘净值数据(iFinD）'!$B$3:$Y$3,0))/J$85,J110)</f>
        <v>1.3151028903617199E-2</v>
      </c>
      <c r="K74" s="55">
        <f ca="1">IFERROR(INDEX(分期持仓明细!$B$5:$Y$200,K$82-4,MATCH(LEFT($A74,6),分期持仓明细!$B$3:$Y$3,0))*INDEX('实盘净值数据(iFinD）'!$B$5:$Y$1000,$B$81,MATCH($A74,'实盘净值数据(iFinD）'!$B$3:$Y$3,0))/INDEX('实盘净值数据(iFinD）'!$B$5:$Y$1000,MATCH(K$84,'实盘净值数据(iFinD）'!$A$5:$A$1000,0),MATCH($A74,'实盘净值数据(iFinD）'!$B$3:$Y$3,0))/K$85,K110)</f>
        <v>0</v>
      </c>
      <c r="L74" s="55">
        <f ca="1">IFERROR(INDEX(分期持仓明细!$B$5:$Y$200,L$82-4,MATCH(LEFT($A74,6),分期持仓明细!$B$3:$Y$3,0))*INDEX('实盘净值数据(iFinD）'!$B$5:$Y$1000,$B$81,MATCH($A74,'实盘净值数据(iFinD）'!$B$3:$Y$3,0))/INDEX('实盘净值数据(iFinD）'!$B$5:$Y$1000,MATCH(L$84,'实盘净值数据(iFinD）'!$A$5:$A$1000,0),MATCH($A74,'实盘净值数据(iFinD）'!$B$3:$Y$3,0))/L$85,L110)</f>
        <v>3.9025182159507572E-2</v>
      </c>
      <c r="M74" t="str">
        <f ca="1">IF(G74&gt;0,COUNTIF(G$53:G74,"&gt;0"),"")</f>
        <v/>
      </c>
      <c r="N74" t="str">
        <f ca="1">IF(H74&gt;0,COUNTIF(H$53:H74,"&gt;0"),"")</f>
        <v/>
      </c>
      <c r="O74" t="str">
        <f ca="1">IF(I74&gt;0,COUNTIF(I$53:I74,"&gt;0"),"")</f>
        <v/>
      </c>
      <c r="P74">
        <f ca="1">IF(J74&gt;0,COUNTIF(J$53:J74,"&gt;0"),"")</f>
        <v>10</v>
      </c>
      <c r="Q74" t="str">
        <f ca="1">IF(K74&gt;0,COUNTIF(K$53:K74,"&gt;0"),"")</f>
        <v/>
      </c>
      <c r="R74">
        <f ca="1">IF(L74&gt;0,COUNTIF(L$53:L74,"&gt;0"),"")</f>
        <v>10</v>
      </c>
    </row>
    <row r="75" spans="1:18" ht="13">
      <c r="A75" s="54" t="s">
        <v>51</v>
      </c>
      <c r="B75" s="52" t="s">
        <v>266</v>
      </c>
      <c r="C75" s="54" t="s">
        <v>233</v>
      </c>
      <c r="D75" s="54" t="s">
        <v>234</v>
      </c>
      <c r="E75" s="54" t="s">
        <v>267</v>
      </c>
      <c r="F75" s="54" t="s">
        <v>268</v>
      </c>
      <c r="G75" s="55">
        <f ca="1">IFERROR(INDEX(分期持仓明细!$B$5:$Y$200,G$82-4,MATCH(LEFT($A75,6),分期持仓明细!$B$3:$Y$3,0))*INDEX('实盘净值数据(iFinD）'!$B$5:$Y$1000,$B$81,MATCH($A75,'实盘净值数据(iFinD）'!$B$3:$Y$3,0))/INDEX('实盘净值数据(iFinD）'!$B$5:$Y$1000,MATCH(G$84,'实盘净值数据(iFinD）'!$A$5:$A$1000,0),MATCH($A75,'实盘净值数据(iFinD）'!$B$3:$Y$3,0))/G$85,G111)</f>
        <v>0</v>
      </c>
      <c r="H75" s="55">
        <f ca="1">IFERROR(INDEX(分期持仓明细!$B$5:$Y$200,H$82-4,MATCH(LEFT($A75,6),分期持仓明细!$B$3:$Y$3,0))*INDEX('实盘净值数据(iFinD）'!$B$5:$Y$1000,$B$81,MATCH($A75,'实盘净值数据(iFinD）'!$B$3:$Y$3,0))/INDEX('实盘净值数据(iFinD）'!$B$5:$Y$1000,MATCH(H$84,'实盘净值数据(iFinD）'!$A$5:$A$1000,0),MATCH($A75,'实盘净值数据(iFinD）'!$B$3:$Y$3,0))/H$85,H111)</f>
        <v>0</v>
      </c>
      <c r="I75" s="55">
        <f ca="1">IFERROR(INDEX(分期持仓明细!$B$5:$Y$200,I$82-4,MATCH(LEFT($A75,6),分期持仓明细!$B$3:$Y$3,0))*INDEX('实盘净值数据(iFinD）'!$B$5:$Y$1000,$B$81,MATCH($A75,'实盘净值数据(iFinD）'!$B$3:$Y$3,0))/INDEX('实盘净值数据(iFinD）'!$B$5:$Y$1000,MATCH(I$84,'实盘净值数据(iFinD）'!$A$5:$A$1000,0),MATCH($A75,'实盘净值数据(iFinD）'!$B$3:$Y$3,0))/I$85,I111)</f>
        <v>0</v>
      </c>
      <c r="J75" s="55">
        <f ca="1">IFERROR(INDEX(分期持仓明细!$B$5:$Y$200,J$82-4,MATCH(LEFT($A75,6),分期持仓明细!$B$3:$Y$3,0))*INDEX('实盘净值数据(iFinD）'!$B$5:$Y$1000,$B$81,MATCH($A75,'实盘净值数据(iFinD）'!$B$3:$Y$3,0))/INDEX('实盘净值数据(iFinD）'!$B$5:$Y$1000,MATCH(J$84,'实盘净值数据(iFinD）'!$A$5:$A$1000,0),MATCH($A75,'实盘净值数据(iFinD）'!$B$3:$Y$3,0))/J$85,J111)</f>
        <v>0.49744702323448214</v>
      </c>
      <c r="K75" s="55">
        <f ca="1">IFERROR(INDEX(分期持仓明细!$B$5:$Y$200,K$82-4,MATCH(LEFT($A75,6),分期持仓明细!$B$3:$Y$3,0))*INDEX('实盘净值数据(iFinD）'!$B$5:$Y$1000,$B$81,MATCH($A75,'实盘净值数据(iFinD）'!$B$3:$Y$3,0))/INDEX('实盘净值数据(iFinD）'!$B$5:$Y$1000,MATCH(K$84,'实盘净值数据(iFinD）'!$A$5:$A$1000,0),MATCH($A75,'实盘净值数据(iFinD）'!$B$3:$Y$3,0))/K$85,K111)</f>
        <v>0.49731192000734142</v>
      </c>
      <c r="L75" s="55">
        <f ca="1">IFERROR(INDEX(分期持仓明细!$B$5:$Y$200,L$82-4,MATCH(LEFT($A75,6),分期持仓明细!$B$3:$Y$3,0))*INDEX('实盘净值数据(iFinD）'!$B$5:$Y$1000,$B$81,MATCH($A75,'实盘净值数据(iFinD）'!$B$3:$Y$3,0))/INDEX('实盘净值数据(iFinD）'!$B$5:$Y$1000,MATCH(L$84,'实盘净值数据(iFinD）'!$A$5:$A$1000,0),MATCH($A75,'实盘净值数据(iFinD）'!$B$3:$Y$3,0))/L$85,L111)</f>
        <v>0.29523105513198161</v>
      </c>
      <c r="M75" t="str">
        <f ca="1">IF(G75&gt;0,COUNTIF(G$53:G75,"&gt;0"),"")</f>
        <v/>
      </c>
      <c r="N75" t="str">
        <f ca="1">IF(H75&gt;0,COUNTIF(H$53:H75,"&gt;0"),"")</f>
        <v/>
      </c>
      <c r="O75" t="str">
        <f ca="1">IF(I75&gt;0,COUNTIF(I$53:I75,"&gt;0"),"")</f>
        <v/>
      </c>
      <c r="P75">
        <f ca="1">IF(J75&gt;0,COUNTIF(J$53:J75,"&gt;0"),"")</f>
        <v>11</v>
      </c>
      <c r="Q75">
        <f ca="1">IF(K75&gt;0,COUNTIF(K$53:K75,"&gt;0"),"")</f>
        <v>11</v>
      </c>
      <c r="R75">
        <f ca="1">IF(L75&gt;0,COUNTIF(L$53:L75,"&gt;0"),"")</f>
        <v>11</v>
      </c>
    </row>
    <row r="76" spans="1:18" ht="13">
      <c r="A76" s="54" t="s">
        <v>61</v>
      </c>
      <c r="B76" s="52" t="s">
        <v>62</v>
      </c>
      <c r="C76" s="54" t="s">
        <v>241</v>
      </c>
      <c r="D76" s="54" t="s">
        <v>229</v>
      </c>
      <c r="E76" s="54" t="s">
        <v>242</v>
      </c>
      <c r="F76" s="54" t="s">
        <v>243</v>
      </c>
      <c r="G76" s="55">
        <f ca="1">IFERROR(INDEX(分期持仓明细!$B$5:$Y$200,G$82-4,MATCH(LEFT($A76,6),分期持仓明细!$B$3:$Y$3,0))*INDEX('实盘净值数据(iFinD）'!$B$5:$Y$1000,$B$81,MATCH($A76,'实盘净值数据(iFinD）'!$B$3:$Y$3,0))/INDEX('实盘净值数据(iFinD）'!$B$5:$Y$1000,MATCH(G$84,'实盘净值数据(iFinD）'!$A$5:$A$1000,0),MATCH($A76,'实盘净值数据(iFinD）'!$B$3:$Y$3,0))/G$85,G112)</f>
        <v>6.5348778475397287E-2</v>
      </c>
      <c r="H76" s="55">
        <f ca="1">IFERROR(INDEX(分期持仓明细!$B$5:$Y$200,H$82-4,MATCH(LEFT($A76,6),分期持仓明细!$B$3:$Y$3,0))*INDEX('实盘净值数据(iFinD）'!$B$5:$Y$1000,$B$81,MATCH($A76,'实盘净值数据(iFinD）'!$B$3:$Y$3,0))/INDEX('实盘净值数据(iFinD）'!$B$5:$Y$1000,MATCH(H$84,'实盘净值数据(iFinD）'!$A$5:$A$1000,0),MATCH($A76,'实盘净值数据(iFinD）'!$B$3:$Y$3,0))/H$85,H112)</f>
        <v>6.5348257389137021E-2</v>
      </c>
      <c r="I76" s="55">
        <f ca="1">IFERROR(INDEX(分期持仓明细!$B$5:$Y$200,I$82-4,MATCH(LEFT($A76,6),分期持仓明细!$B$3:$Y$3,0))*INDEX('实盘净值数据(iFinD）'!$B$5:$Y$1000,$B$81,MATCH($A76,'实盘净值数据(iFinD）'!$B$3:$Y$3,0))/INDEX('实盘净值数据(iFinD）'!$B$5:$Y$1000,MATCH(I$84,'实盘净值数据(iFinD）'!$A$5:$A$1000,0),MATCH($A76,'实盘净值数据(iFinD）'!$B$3:$Y$3,0))/I$85,I112)</f>
        <v>6.7344211560388001E-2</v>
      </c>
      <c r="J76" s="55">
        <f ca="1">IFERROR(INDEX(分期持仓明细!$B$5:$Y$200,J$82-4,MATCH(LEFT($A76,6),分期持仓明细!$B$3:$Y$3,0))*INDEX('实盘净值数据(iFinD）'!$B$5:$Y$1000,$B$81,MATCH($A76,'实盘净值数据(iFinD）'!$B$3:$Y$3,0))/INDEX('实盘净值数据(iFinD）'!$B$5:$Y$1000,MATCH(J$84,'实盘净值数据(iFinD）'!$A$5:$A$1000,0),MATCH($A76,'实盘净值数据(iFinD）'!$B$3:$Y$3,0))/J$85,J112)</f>
        <v>8.300518792407837E-3</v>
      </c>
      <c r="K76" s="55">
        <f ca="1">IFERROR(INDEX(分期持仓明细!$B$5:$Y$200,K$82-4,MATCH(LEFT($A76,6),分期持仓明细!$B$3:$Y$3,0))*INDEX('实盘净值数据(iFinD）'!$B$5:$Y$1000,$B$81,MATCH($A76,'实盘净值数据(iFinD）'!$B$3:$Y$3,0))/INDEX('实盘净值数据(iFinD）'!$B$5:$Y$1000,MATCH(K$84,'实盘净值数据(iFinD）'!$A$5:$A$1000,0),MATCH($A76,'实盘净值数据(iFinD）'!$B$3:$Y$3,0))/K$85,K112)</f>
        <v>1.1064352570634954E-2</v>
      </c>
      <c r="L76" s="55">
        <f ca="1">IFERROR(INDEX(分期持仓明细!$B$5:$Y$200,L$82-4,MATCH(LEFT($A76,6),分期持仓明细!$B$3:$Y$3,0))*INDEX('实盘净值数据(iFinD）'!$B$5:$Y$1000,$B$81,MATCH($A76,'实盘净值数据(iFinD）'!$B$3:$Y$3,0))/INDEX('实盘净值数据(iFinD）'!$B$5:$Y$1000,MATCH(L$84,'实盘净值数据(iFinD）'!$A$5:$A$1000,0),MATCH($A76,'实盘净值数据(iFinD）'!$B$3:$Y$3,0))/L$85,L112)</f>
        <v>2.7368307095646912E-2</v>
      </c>
      <c r="M76">
        <f ca="1">IF(G76&gt;0,COUNTIF(G$53:G76,"&gt;0"),"")</f>
        <v>7</v>
      </c>
      <c r="N76">
        <f ca="1">IF(H76&gt;0,COUNTIF(H$53:H76,"&gt;0"),"")</f>
        <v>7</v>
      </c>
      <c r="O76">
        <f ca="1">IF(I76&gt;0,COUNTIF(I$53:I76,"&gt;0"),"")</f>
        <v>7</v>
      </c>
      <c r="P76">
        <f ca="1">IF(J76&gt;0,COUNTIF(J$53:J76,"&gt;0"),"")</f>
        <v>12</v>
      </c>
      <c r="Q76">
        <f ca="1">IF(K76&gt;0,COUNTIF(K$53:K76,"&gt;0"),"")</f>
        <v>12</v>
      </c>
      <c r="R76">
        <f ca="1">IF(L76&gt;0,COUNTIF(L$53:L76,"&gt;0"),"")</f>
        <v>12</v>
      </c>
    </row>
    <row r="77" spans="1:18" ht="13">
      <c r="A77" s="54" t="s">
        <v>468</v>
      </c>
      <c r="B77" s="52" t="s">
        <v>469</v>
      </c>
      <c r="C77" s="54" t="s">
        <v>233</v>
      </c>
      <c r="D77" s="54" t="s">
        <v>234</v>
      </c>
      <c r="E77" s="54" t="s">
        <v>267</v>
      </c>
      <c r="F77" s="54" t="s">
        <v>268</v>
      </c>
      <c r="G77" s="55">
        <f ca="1">IFERROR(INDEX(分期持仓明细!$AC$5:$AC$200,G$82-4)*INDEX('实盘净值数据(iFinD）'!$Z$5:$Z$1000,$B$81)/INDEX('实盘净值数据(iFinD）'!$Z$5:$Z$1000,MATCH(G$84,'实盘净值数据(iFinD）'!$A$5:$A$1000,0))/G$85,0)</f>
        <v>0</v>
      </c>
      <c r="H77" s="55">
        <f ca="1">IFERROR(INDEX(分期持仓明细!$AC$5:$AC$200,H$82-4)*INDEX('实盘净值数据(iFinD）'!$Z$5:$Z$1000,$B$81)/INDEX('实盘净值数据(iFinD）'!$Z$5:$Z$1000,MATCH(H$84,'实盘净值数据(iFinD）'!$A$5:$A$1000,0))/H$85,0)</f>
        <v>0</v>
      </c>
      <c r="I77" s="55">
        <f ca="1">IFERROR(INDEX(分期持仓明细!$AC$5:$AC$200,I$82-4)*INDEX('实盘净值数据(iFinD）'!$Z$5:$Z$1000,$B$81)/INDEX('实盘净值数据(iFinD）'!$Z$5:$Z$1000,MATCH(I$84,'实盘净值数据(iFinD）'!$A$5:$A$1000,0))/I$85,0)</f>
        <v>0</v>
      </c>
      <c r="J77" s="55">
        <f ca="1">IFERROR(INDEX(分期持仓明细!$AC$5:$AC$200,J$82-4)*INDEX('实盘净值数据(iFinD）'!$Z$5:$Z$1000,$B$81)/INDEX('实盘净值数据(iFinD）'!$Z$5:$Z$1000,MATCH(J$84,'实盘净值数据(iFinD）'!$A$5:$A$1000,0))/J$85,0)</f>
        <v>0.14925498693339079</v>
      </c>
      <c r="K77" s="55">
        <f ca="1">IFERROR(INDEX(分期持仓明细!$AC$5:$AC$200,K$82-4)*INDEX('实盘净值数据(iFinD）'!$Z$5:$Z$1000,$B$81)/INDEX('实盘净值数据(iFinD）'!$Z$5:$Z$1000,MATCH(K$84,'实盘净值数据(iFinD）'!$A$5:$A$1000,0))/K$85,0)</f>
        <v>0.14921445029439268</v>
      </c>
      <c r="L77" s="55">
        <f ca="1">IFERROR(INDEX(分期持仓明细!$AC$5:$AC$200,L$82-4)*INDEX('实盘净值数据(iFinD）'!$Z$5:$Z$1000,$B$81)/INDEX('实盘净值数据(iFinD）'!$Z$5:$Z$1000,MATCH(L$84,'实盘净值数据(iFinD）'!$A$5:$A$1000,0))/L$85,0)</f>
        <v>9.8424120711251575E-2</v>
      </c>
      <c r="M77" t="str">
        <f ca="1">IF(G77&gt;0,COUNTIF(G$53:G77,"&gt;0"),"")</f>
        <v/>
      </c>
      <c r="N77" t="str">
        <f ca="1">IF(H77&gt;0,COUNTIF(H$53:H77,"&gt;0"),"")</f>
        <v/>
      </c>
      <c r="O77" t="str">
        <f ca="1">IF(I77&gt;0,COUNTIF(I$53:I77,"&gt;0"),"")</f>
        <v/>
      </c>
      <c r="P77">
        <f ca="1">IF(J77&gt;0,COUNTIF(J$53:J77,"&gt;0"),"")</f>
        <v>13</v>
      </c>
      <c r="Q77">
        <f ca="1">IF(K77&gt;0,COUNTIF(K$53:K77,"&gt;0"),"")</f>
        <v>13</v>
      </c>
      <c r="R77">
        <f ca="1">IF(L77&gt;0,COUNTIF(L$53:L77,"&gt;0"),"")</f>
        <v>13</v>
      </c>
    </row>
    <row r="78" spans="1:18" ht="13">
      <c r="A78" s="54" t="s">
        <v>470</v>
      </c>
      <c r="B78" s="52" t="s">
        <v>471</v>
      </c>
      <c r="C78" s="54" t="s">
        <v>233</v>
      </c>
      <c r="D78" s="54" t="s">
        <v>234</v>
      </c>
      <c r="E78" s="54" t="s">
        <v>267</v>
      </c>
      <c r="F78" s="54" t="s">
        <v>268</v>
      </c>
      <c r="G78" s="55">
        <f ca="1">IFERROR(INDEX(分期持仓明细!$AD$5:$AD$200,G$82-4)*INDEX('实盘净值数据(iFinD）'!$AA$5:$AA$1000,$B$81)/INDEX('实盘净值数据(iFinD）'!$AA$5:$AA$1000,MATCH(G$84,'实盘净值数据(iFinD）'!$A$5:$A$1000,0))/G$85,0)</f>
        <v>0</v>
      </c>
      <c r="H78" s="55">
        <f ca="1">IFERROR(INDEX(分期持仓明细!$AD$5:$AD$200,H$82-4)*INDEX('实盘净值数据(iFinD）'!$AA$5:$AA$1000,$B$81)/INDEX('实盘净值数据(iFinD）'!$AA$5:$AA$1000,MATCH(H$84,'实盘净值数据(iFinD）'!$A$5:$A$1000,0))/H$85,0)</f>
        <v>0</v>
      </c>
      <c r="I78" s="55">
        <f ca="1">IFERROR(INDEX(分期持仓明细!$AD$5:$AD$200,I$82-4)*INDEX('实盘净值数据(iFinD）'!$AA$5:$AA$1000,$B$81)/INDEX('实盘净值数据(iFinD）'!$AA$5:$AA$1000,MATCH(I$84,'实盘净值数据(iFinD）'!$A$5:$A$1000,0))/I$85,0)</f>
        <v>0</v>
      </c>
      <c r="J78" s="55">
        <f ca="1">IFERROR(INDEX(分期持仓明细!$AD$5:$AD$200,J$82-4)*INDEX('实盘净值数据(iFinD）'!$AA$5:$AA$1000,$B$81)/INDEX('实盘净值数据(iFinD）'!$AA$5:$AA$1000,MATCH(J$84,'实盘净值数据(iFinD）'!$A$5:$A$1000,0))/J$85,0)</f>
        <v>0.14912421987642896</v>
      </c>
      <c r="K78" s="55">
        <f ca="1">IFERROR(INDEX(分期持仓明细!$AD$5:$AD$200,K$82-4)*INDEX('实盘净值数据(iFinD）'!$AA$5:$AA$1000,$B$81)/INDEX('实盘净值数据(iFinD）'!$AA$5:$AA$1000,MATCH(K$84,'实盘净值数据(iFinD）'!$A$5:$A$1000,0))/K$85,0)</f>
        <v>0.14908371875287382</v>
      </c>
      <c r="L78" s="55">
        <f ca="1">IFERROR(INDEX(分期持仓明细!$AD$5:$AD$200,L$82-4)*INDEX('实盘净值数据(iFinD）'!$AA$5:$AA$1000,$B$81)/INDEX('实盘净值数据(iFinD）'!$AA$5:$AA$1000,MATCH(L$84,'实盘净值数据(iFinD）'!$A$5:$A$1000,0))/L$85,0)</f>
        <v>9.8337888198262169E-2</v>
      </c>
      <c r="M78" t="str">
        <f ca="1">IF(G78&gt;0,COUNTIF(G$53:G78,"&gt;0"),"")</f>
        <v/>
      </c>
      <c r="N78" t="str">
        <f ca="1">IF(H78&gt;0,COUNTIF(H$53:H78,"&gt;0"),"")</f>
        <v/>
      </c>
      <c r="O78" t="str">
        <f ca="1">IF(I78&gt;0,COUNTIF(I$53:I78,"&gt;0"),"")</f>
        <v/>
      </c>
      <c r="P78">
        <f ca="1">IF(J78&gt;0,COUNTIF(J$53:J78,"&gt;0"),"")</f>
        <v>14</v>
      </c>
      <c r="Q78">
        <f ca="1">IF(K78&gt;0,COUNTIF(K$53:K78,"&gt;0"),"")</f>
        <v>14</v>
      </c>
      <c r="R78">
        <f ca="1">IF(L78&gt;0,COUNTIF(L$53:L78,"&gt;0"),"")</f>
        <v>14</v>
      </c>
    </row>
    <row r="79" spans="1:18" ht="13.5">
      <c r="A79" s="58" t="s">
        <v>25</v>
      </c>
      <c r="G79" s="59">
        <f t="shared" ref="G79:L79" ca="1" si="7">SUM(G53:G78)</f>
        <v>1</v>
      </c>
      <c r="H79" s="59">
        <f t="shared" ca="1" si="7"/>
        <v>1</v>
      </c>
      <c r="I79" s="59">
        <f t="shared" ca="1" si="7"/>
        <v>1.0000000000000002</v>
      </c>
      <c r="J79" s="59">
        <f t="shared" ca="1" si="7"/>
        <v>1</v>
      </c>
      <c r="K79" s="59">
        <f t="shared" ca="1" si="7"/>
        <v>1</v>
      </c>
      <c r="L79" s="59">
        <f t="shared" ca="1" si="7"/>
        <v>1.0000000000000002</v>
      </c>
    </row>
    <row r="80" spans="1:18" ht="21" customHeight="1">
      <c r="A80" s="157" t="s">
        <v>269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</row>
    <row r="81" spans="1:18" ht="28" customHeight="1">
      <c r="A81" s="52" t="s">
        <v>270</v>
      </c>
      <c r="B81" s="60">
        <f ca="1">IFERROR(MATCH(TODAY()-1,'实盘净值数据(iFinD）'!$A$5:$A$1000,1),0)</f>
        <v>67</v>
      </c>
      <c r="G81" s="51" t="s">
        <v>229</v>
      </c>
      <c r="H81" s="51" t="s">
        <v>230</v>
      </c>
      <c r="I81" s="51" t="s">
        <v>231</v>
      </c>
      <c r="J81" s="51" t="s">
        <v>213</v>
      </c>
      <c r="K81" s="51" t="s">
        <v>214</v>
      </c>
      <c r="L81" s="51" t="s">
        <v>215</v>
      </c>
    </row>
    <row r="82" spans="1:18" ht="13">
      <c r="A82" s="52" t="s">
        <v>271</v>
      </c>
      <c r="B82" s="53">
        <f ca="1">IF($B$81=0,"",INDEX('实盘净值数据(iFinD）'!$A$5:$A$1000,$B$81))</f>
        <v>46286</v>
      </c>
      <c r="F82" s="62" t="s">
        <v>272</v>
      </c>
      <c r="G82" s="52">
        <f t="shared" ref="G82:L82" si="8">IFERROR(MAX(M$86:M$281),0)</f>
        <v>17</v>
      </c>
      <c r="H82" s="52">
        <f t="shared" si="8"/>
        <v>18</v>
      </c>
      <c r="I82" s="52">
        <f t="shared" si="8"/>
        <v>19</v>
      </c>
      <c r="J82" s="52">
        <f t="shared" si="8"/>
        <v>23</v>
      </c>
      <c r="K82" s="52">
        <f t="shared" si="8"/>
        <v>24</v>
      </c>
      <c r="L82" s="52">
        <f t="shared" si="8"/>
        <v>25</v>
      </c>
    </row>
    <row r="83" spans="1:18" ht="32.15" customHeight="1">
      <c r="A83" s="52"/>
      <c r="B83" s="52"/>
      <c r="F83" s="62" t="s">
        <v>273</v>
      </c>
      <c r="G83" s="63" t="str">
        <f>IF(G$82=0,"",INDEX(分期持仓明细!$A$5:$A$200,G$82-4))</f>
        <v>产业趋势 · P1(7/10调仓后)</v>
      </c>
      <c r="H83" s="63" t="str">
        <f>IF(H$82=0,"",INDEX(分期持仓明细!$A$5:$A$200,H$82-4))</f>
        <v>产业趋势基石 · P1(7/10调仓后)</v>
      </c>
      <c r="I83" s="63" t="str">
        <f>IF(I$82=0,"",INDEX(分期持仓明细!$A$5:$A$200,I$82-4))</f>
        <v>产业趋势2号 · P1(7/10调仓后)</v>
      </c>
      <c r="J83" s="63" t="str">
        <f>IF(J$82=0,"",INDEX(分期持仓明细!$A$5:$A$200,J$82-4))</f>
        <v>10-90 · P4(9/11调仓及动平衡后)</v>
      </c>
      <c r="K83" s="63" t="str">
        <f>IF(K$82=0,"",INDEX(分期持仓明细!$A$5:$A$200,K$82-4))</f>
        <v>10-90基石 · P4(9/11调仓及动平衡后)</v>
      </c>
      <c r="L83" s="63" t="str">
        <f>IF(L$82=0,"",INDEX(分期持仓明细!$A$5:$A$200,L$82-4))</f>
        <v>30-70 · P4(9/11调仓及动平衡后)</v>
      </c>
    </row>
    <row r="84" spans="1:18" ht="13">
      <c r="A84" s="52"/>
      <c r="B84" s="52"/>
      <c r="F84" s="62" t="s">
        <v>97</v>
      </c>
      <c r="G84" s="53">
        <f>IF(G$82=0,"",INDEX(分期持仓明细!$AA$5:$AA$200,G$82-4))</f>
        <v>46213</v>
      </c>
      <c r="H84" s="53">
        <f>IF(H$82=0,"",INDEX(分期持仓明细!$AA$5:$AA$200,H$82-4))</f>
        <v>46213</v>
      </c>
      <c r="I84" s="53">
        <f>IF(I$82=0,"",INDEX(分期持仓明细!$AA$5:$AA$200,I$82-4))</f>
        <v>46213</v>
      </c>
      <c r="J84" s="53">
        <f>IF(J$82=0,"",INDEX(分期持仓明细!$AA$5:$AA$200,J$82-4))</f>
        <v>46276</v>
      </c>
      <c r="K84" s="53">
        <f>IF(K$82=0,"",INDEX(分期持仓明细!$AA$5:$AA$200,K$82-4))</f>
        <v>46276</v>
      </c>
      <c r="L84" s="53">
        <f>IF(L$82=0,"",INDEX(分期持仓明细!$AA$5:$AA$200,L$82-4))</f>
        <v>46276</v>
      </c>
    </row>
    <row r="85" spans="1:18" ht="13">
      <c r="A85" s="52"/>
      <c r="B85" s="52"/>
      <c r="F85" s="62" t="s">
        <v>274</v>
      </c>
      <c r="G85" s="61">
        <f ca="1">IFERROR(SUMPRODUCT(INDEX(分期持仓明细!$B$5:$Y$200,G$82-4,0),INDEX('实盘净值数据(iFinD）'!$B$5:$Y$1000,$B$81,0)/INDEX('实盘净值数据(iFinD）'!$B$5:$Y$1000,MATCH(G$84,'实盘净值数据(iFinD）'!$A$5:$A$1000,0),0))+SUMPRODUCT(INDEX(分期持仓明细!$AC$5:$AD$200,G$82-4,0),INDEX('实盘净值数据(iFinD）'!$Z$5:$AA$1000,$B$81,0)/INDEX('实盘净值数据(iFinD）'!$Z$5:$AA$1000,MATCH(G$84,'实盘净值数据(iFinD）'!$A$5:$A$1000,0),0)),0)</f>
        <v>0.90380903933390633</v>
      </c>
      <c r="H85" s="61">
        <f ca="1">IFERROR(SUMPRODUCT(INDEX(分期持仓明细!$B$5:$Y$200,H$82-4,0),INDEX('实盘净值数据(iFinD）'!$B$5:$Y$1000,$B$81,0)/INDEX('实盘净值数据(iFinD）'!$B$5:$Y$1000,MATCH(H$84,'实盘净值数据(iFinD）'!$A$5:$A$1000,0),0))+SUMPRODUCT(INDEX(分期持仓明细!$AC$5:$AD$200,H$82-4,0),INDEX('实盘净值数据(iFinD）'!$Z$5:$AA$1000,$B$81,0)/INDEX('实盘净值数据(iFinD）'!$Z$5:$AA$1000,MATCH(H$84,'实盘净值数据(iFinD）'!$A$5:$A$1000,0),0)),0)</f>
        <v>0.90380917265355931</v>
      </c>
      <c r="I85" s="61">
        <f ca="1">IFERROR(SUMPRODUCT(INDEX(分期持仓明细!$B$5:$Y$200,I$82-4,0),INDEX('实盘净值数据(iFinD）'!$B$5:$Y$1000,$B$81,0)/INDEX('实盘净值数据(iFinD）'!$B$5:$Y$1000,MATCH(I$84,'实盘净值数据(iFinD）'!$A$5:$A$1000,0),0))+SUMPRODUCT(INDEX(分期持仓明细!$AC$5:$AD$200,I$82-4,0),INDEX('实盘净值数据(iFinD）'!$Z$5:$AA$1000,$B$81,0)/INDEX('实盘净值数据(iFinD）'!$Z$5:$AA$1000,MATCH(I$84,'实盘净值数据(iFinD）'!$A$5:$A$1000,0),0)),0)</f>
        <v>0.87701922076879568</v>
      </c>
      <c r="J85" s="61">
        <f ca="1">IFERROR(SUMPRODUCT(INDEX(分期持仓明细!$B$5:$Y$200,J$82-4,0),INDEX('实盘净值数据(iFinD）'!$B$5:$Y$1000,$B$81,0)/INDEX('实盘净值数据(iFinD）'!$B$5:$Y$1000,MATCH(J$84,'实盘净值数据(iFinD）'!$A$5:$A$1000,0),0))+SUMPRODUCT(INDEX(分期持仓明细!$AC$5:$AD$200,J$82-4,0),INDEX('实盘净值数据(iFinD）'!$Z$5:$AA$1000,$B$81,0)/INDEX('实盘净值数据(iFinD）'!$Z$5:$AA$1000,MATCH(J$84,'实盘净值数据(iFinD）'!$A$5:$A$1000,0),0)),0)</f>
        <v>1.0070280026149616</v>
      </c>
      <c r="K85" s="61">
        <f ca="1">IFERROR(SUMPRODUCT(INDEX(分期持仓明细!$B$5:$Y$200,K$82-4,0),INDEX('实盘净值数据(iFinD）'!$B$5:$Y$1000,$B$81,0)/INDEX('实盘净值数据(iFinD）'!$B$5:$Y$1000,MATCH(K$84,'实盘净值数据(iFinD）'!$A$5:$A$1000,0),0))+SUMPRODUCT(INDEX(分期持仓明细!$AC$5:$AD$200,K$82-4,0),INDEX('实盘净值数据(iFinD）'!$Z$5:$AA$1000,$B$81,0)/INDEX('实盘净值数据(iFinD）'!$Z$5:$AA$1000,MATCH(K$84,'实盘净值数据(iFinD）'!$A$5:$A$1000,0),0)),0)</f>
        <v>1.007301578870629</v>
      </c>
      <c r="L85" s="61">
        <f ca="1">IFERROR(SUMPRODUCT(INDEX(分期持仓明细!$B$5:$Y$200,L$82-4,0),INDEX('实盘净值数据(iFinD）'!$B$5:$Y$1000,$B$81,0)/INDEX('实盘净值数据(iFinD）'!$B$5:$Y$1000,MATCH(L$84,'实盘净值数据(iFinD）'!$A$5:$A$1000,0),0))+SUMPRODUCT(INDEX(分期持仓明细!$AC$5:$AD$200,L$82-4,0),INDEX('实盘净值数据(iFinD）'!$Z$5:$AA$1000,$B$81,0)/INDEX('实盘净值数据(iFinD）'!$Z$5:$AA$1000,MATCH(L$84,'实盘净值数据(iFinD）'!$A$5:$A$1000,0),0)),0)</f>
        <v>1.0180698951009095</v>
      </c>
    </row>
    <row r="86" spans="1:18">
      <c r="M86">
        <f>IF(LEFT(分期持仓明细!$A$5,LEN(G$81)+2)=G$81&amp;" ·",ROW(分期持仓明细!$A$5),0)</f>
        <v>5</v>
      </c>
      <c r="N86">
        <f>IF(LEFT(分期持仓明细!$A$5,LEN(H$81)+2)=H$81&amp;" ·",ROW(分期持仓明细!$A$5),0)</f>
        <v>0</v>
      </c>
      <c r="O86">
        <f>IF(LEFT(分期持仓明细!$A$5,LEN(I$81)+2)=I$81&amp;" ·",ROW(分期持仓明细!$A$5),0)</f>
        <v>0</v>
      </c>
      <c r="P86">
        <f>IF(LEFT(分期持仓明细!$A$5,LEN(J$81)+2)=J$81&amp;" ·",ROW(分期持仓明细!$A$5),0)</f>
        <v>0</v>
      </c>
      <c r="Q86">
        <f>IF(LEFT(分期持仓明细!$A$5,LEN(K$81)+2)=K$81&amp;" ·",ROW(分期持仓明细!$A$5),0)</f>
        <v>0</v>
      </c>
      <c r="R86">
        <f>IF(LEFT(分期持仓明细!$A$5,LEN(L$81)+2)=L$81&amp;" ·",ROW(分期持仓明细!$A$5),0)</f>
        <v>0</v>
      </c>
    </row>
    <row r="87" spans="1:18">
      <c r="M87">
        <f>IF(LEFT(分期持仓明细!$A$6,LEN(G$81)+2)=G$81&amp;" ·",ROW(分期持仓明细!$A$6),0)</f>
        <v>0</v>
      </c>
      <c r="N87">
        <f>IF(LEFT(分期持仓明细!$A$6,LEN(H$81)+2)=H$81&amp;" ·",ROW(分期持仓明细!$A$6),0)</f>
        <v>6</v>
      </c>
      <c r="O87">
        <f>IF(LEFT(分期持仓明细!$A$6,LEN(I$81)+2)=I$81&amp;" ·",ROW(分期持仓明细!$A$6),0)</f>
        <v>0</v>
      </c>
      <c r="P87">
        <f>IF(LEFT(分期持仓明细!$A$6,LEN(J$81)+2)=J$81&amp;" ·",ROW(分期持仓明细!$A$6),0)</f>
        <v>0</v>
      </c>
      <c r="Q87">
        <f>IF(LEFT(分期持仓明细!$A$6,LEN(K$81)+2)=K$81&amp;" ·",ROW(分期持仓明细!$A$6),0)</f>
        <v>0</v>
      </c>
      <c r="R87">
        <f>IF(LEFT(分期持仓明细!$A$6,LEN(L$81)+2)=L$81&amp;" ·",ROW(分期持仓明细!$A$6),0)</f>
        <v>0</v>
      </c>
    </row>
    <row r="88" spans="1:18" ht="14.5">
      <c r="A88" s="160" t="s">
        <v>275</v>
      </c>
      <c r="B88" s="160"/>
      <c r="C88" s="160"/>
      <c r="D88" s="160"/>
      <c r="E88" s="160"/>
      <c r="F88" s="161"/>
      <c r="G88" s="51" t="s">
        <v>229</v>
      </c>
      <c r="H88" s="51" t="s">
        <v>230</v>
      </c>
      <c r="I88" s="51" t="s">
        <v>231</v>
      </c>
      <c r="J88" s="51" t="s">
        <v>213</v>
      </c>
      <c r="K88" s="51" t="s">
        <v>214</v>
      </c>
      <c r="L88" s="51" t="s">
        <v>215</v>
      </c>
      <c r="M88">
        <f>IF(LEFT(分期持仓明细!$A$7,LEN(G$81)+2)=G$81&amp;" ·",ROW(分期持仓明细!$A$7),0)</f>
        <v>0</v>
      </c>
      <c r="N88">
        <f>IF(LEFT(分期持仓明细!$A$7,LEN(H$81)+2)=H$81&amp;" ·",ROW(分期持仓明细!$A$7),0)</f>
        <v>0</v>
      </c>
      <c r="O88">
        <f>IF(LEFT(分期持仓明细!$A$7,LEN(I$81)+2)=I$81&amp;" ·",ROW(分期持仓明细!$A$7),0)</f>
        <v>7</v>
      </c>
      <c r="P88">
        <f>IF(LEFT(分期持仓明细!$A$7,LEN(J$81)+2)=J$81&amp;" ·",ROW(分期持仓明细!$A$7),0)</f>
        <v>0</v>
      </c>
      <c r="Q88">
        <f>IF(LEFT(分期持仓明细!$A$7,LEN(K$81)+2)=K$81&amp;" ·",ROW(分期持仓明细!$A$7),0)</f>
        <v>0</v>
      </c>
      <c r="R88">
        <f>IF(LEFT(分期持仓明细!$A$7,LEN(L$81)+2)=L$81&amp;" ·",ROW(分期持仓明细!$A$7),0)</f>
        <v>0</v>
      </c>
    </row>
    <row r="89" spans="1:18" ht="13">
      <c r="A89" s="54" t="s">
        <v>29</v>
      </c>
      <c r="B89" s="52" t="s">
        <v>232</v>
      </c>
      <c r="C89" s="54" t="s">
        <v>233</v>
      </c>
      <c r="D89" s="54" t="s">
        <v>234</v>
      </c>
      <c r="E89" s="54" t="s">
        <v>235</v>
      </c>
      <c r="F89" s="54" t="s">
        <v>236</v>
      </c>
      <c r="G89" s="55">
        <v>0</v>
      </c>
      <c r="H89" s="55">
        <v>0</v>
      </c>
      <c r="I89" s="55">
        <v>0</v>
      </c>
      <c r="J89" s="55">
        <v>5.4143474472245108E-2</v>
      </c>
      <c r="K89" s="55">
        <v>5.1794493820263125E-2</v>
      </c>
      <c r="L89" s="55">
        <v>0.10785060309605504</v>
      </c>
      <c r="M89">
        <f>IF(LEFT(分期持仓明细!$A$8,LEN(G$81)+2)=G$81&amp;" ·",ROW(分期持仓明细!$A$8),0)</f>
        <v>0</v>
      </c>
      <c r="N89">
        <f>IF(LEFT(分期持仓明细!$A$8,LEN(H$81)+2)=H$81&amp;" ·",ROW(分期持仓明细!$A$8),0)</f>
        <v>0</v>
      </c>
      <c r="O89">
        <f>IF(LEFT(分期持仓明细!$A$8,LEN(I$81)+2)=I$81&amp;" ·",ROW(分期持仓明细!$A$8),0)</f>
        <v>0</v>
      </c>
      <c r="P89">
        <f>IF(LEFT(分期持仓明细!$A$8,LEN(J$81)+2)=J$81&amp;" ·",ROW(分期持仓明细!$A$8),0)</f>
        <v>8</v>
      </c>
      <c r="Q89">
        <f>IF(LEFT(分期持仓明细!$A$8,LEN(K$81)+2)=K$81&amp;" ·",ROW(分期持仓明细!$A$8),0)</f>
        <v>0</v>
      </c>
      <c r="R89">
        <f>IF(LEFT(分期持仓明细!$A$8,LEN(L$81)+2)=L$81&amp;" ·",ROW(分期持仓明细!$A$8),0)</f>
        <v>0</v>
      </c>
    </row>
    <row r="90" spans="1:18" ht="13">
      <c r="A90" s="54" t="s">
        <v>30</v>
      </c>
      <c r="B90" s="52" t="s">
        <v>237</v>
      </c>
      <c r="C90" s="54" t="s">
        <v>233</v>
      </c>
      <c r="D90" s="54" t="s">
        <v>234</v>
      </c>
      <c r="E90" s="54" t="s">
        <v>238</v>
      </c>
      <c r="F90" s="54" t="s">
        <v>239</v>
      </c>
      <c r="G90" s="55">
        <v>5.4338345878986755E-2</v>
      </c>
      <c r="H90" s="55">
        <v>5.3133033237809359E-2</v>
      </c>
      <c r="I90" s="55">
        <v>5.1280127993777687E-2</v>
      </c>
      <c r="J90" s="55">
        <v>4.3923928891400975E-2</v>
      </c>
      <c r="K90" s="55">
        <v>4.395376124085798E-2</v>
      </c>
      <c r="L90" s="55">
        <v>8.5304372068088219E-2</v>
      </c>
      <c r="M90">
        <f>IF(LEFT(分期持仓明细!$A$9,LEN(G$81)+2)=G$81&amp;" ·",ROW(分期持仓明细!$A$9),0)</f>
        <v>0</v>
      </c>
      <c r="N90">
        <f>IF(LEFT(分期持仓明细!$A$9,LEN(H$81)+2)=H$81&amp;" ·",ROW(分期持仓明细!$A$9),0)</f>
        <v>0</v>
      </c>
      <c r="O90">
        <f>IF(LEFT(分期持仓明细!$A$9,LEN(I$81)+2)=I$81&amp;" ·",ROW(分期持仓明细!$A$9),0)</f>
        <v>0</v>
      </c>
      <c r="P90">
        <f>IF(LEFT(分期持仓明细!$A$9,LEN(J$81)+2)=J$81&amp;" ·",ROW(分期持仓明细!$A$9),0)</f>
        <v>9</v>
      </c>
      <c r="Q90">
        <f>IF(LEFT(分期持仓明细!$A$9,LEN(K$81)+2)=K$81&amp;" ·",ROW(分期持仓明细!$A$9),0)</f>
        <v>0</v>
      </c>
      <c r="R90">
        <f>IF(LEFT(分期持仓明细!$A$9,LEN(L$81)+2)=L$81&amp;" ·",ROW(分期持仓明细!$A$9),0)</f>
        <v>0</v>
      </c>
    </row>
    <row r="91" spans="1:18" ht="13">
      <c r="A91" s="54" t="s">
        <v>31</v>
      </c>
      <c r="B91" s="52" t="s">
        <v>240</v>
      </c>
      <c r="C91" s="54" t="s">
        <v>241</v>
      </c>
      <c r="D91" s="54" t="s">
        <v>229</v>
      </c>
      <c r="E91" s="54" t="s">
        <v>242</v>
      </c>
      <c r="F91" s="54" t="s">
        <v>243</v>
      </c>
      <c r="G91" s="55">
        <v>0.1681479854041161</v>
      </c>
      <c r="H91" s="55">
        <v>0.16972434194387825</v>
      </c>
      <c r="I91" s="55">
        <v>0</v>
      </c>
      <c r="J91" s="55">
        <v>0</v>
      </c>
      <c r="K91" s="55">
        <v>8.7369099448945005E-3</v>
      </c>
      <c r="L91" s="55">
        <v>0</v>
      </c>
      <c r="M91">
        <f>IF(LEFT(分期持仓明细!$A$10,LEN(G$81)+2)=G$81&amp;" ·",ROW(分期持仓明细!$A$10),0)</f>
        <v>0</v>
      </c>
      <c r="N91">
        <f>IF(LEFT(分期持仓明细!$A$10,LEN(H$81)+2)=H$81&amp;" ·",ROW(分期持仓明细!$A$10),0)</f>
        <v>0</v>
      </c>
      <c r="O91">
        <f>IF(LEFT(分期持仓明细!$A$10,LEN(I$81)+2)=I$81&amp;" ·",ROW(分期持仓明细!$A$10),0)</f>
        <v>0</v>
      </c>
      <c r="P91">
        <f>IF(LEFT(分期持仓明细!$A$10,LEN(J$81)+2)=J$81&amp;" ·",ROW(分期持仓明细!$A$10),0)</f>
        <v>0</v>
      </c>
      <c r="Q91">
        <f>IF(LEFT(分期持仓明细!$A$10,LEN(K$81)+2)=K$81&amp;" ·",ROW(分期持仓明细!$A$10),0)</f>
        <v>10</v>
      </c>
      <c r="R91">
        <f>IF(LEFT(分期持仓明细!$A$10,LEN(L$81)+2)=L$81&amp;" ·",ROW(分期持仓明细!$A$10),0)</f>
        <v>0</v>
      </c>
    </row>
    <row r="92" spans="1:18" ht="13">
      <c r="A92" s="54" t="s">
        <v>32</v>
      </c>
      <c r="B92" s="52" t="s">
        <v>244</v>
      </c>
      <c r="C92" s="54" t="s">
        <v>241</v>
      </c>
      <c r="D92" s="54" t="s">
        <v>245</v>
      </c>
      <c r="E92" s="54" t="s">
        <v>245</v>
      </c>
      <c r="F92" s="54" t="s">
        <v>246</v>
      </c>
      <c r="G92" s="55">
        <v>0</v>
      </c>
      <c r="H92" s="55">
        <v>0</v>
      </c>
      <c r="I92" s="55">
        <v>0</v>
      </c>
      <c r="J92" s="55">
        <v>0</v>
      </c>
      <c r="K92" s="55">
        <v>1.28975499557758E-2</v>
      </c>
      <c r="L92" s="55">
        <v>0</v>
      </c>
      <c r="M92">
        <f>IF(LEFT(分期持仓明细!$A$11,LEN(G$81)+2)=G$81&amp;" ·",ROW(分期持仓明细!$A$11),0)</f>
        <v>0</v>
      </c>
      <c r="N92">
        <f>IF(LEFT(分期持仓明细!$A$11,LEN(H$81)+2)=H$81&amp;" ·",ROW(分期持仓明细!$A$11),0)</f>
        <v>0</v>
      </c>
      <c r="O92">
        <f>IF(LEFT(分期持仓明细!$A$11,LEN(I$81)+2)=I$81&amp;" ·",ROW(分期持仓明细!$A$11),0)</f>
        <v>0</v>
      </c>
      <c r="P92">
        <f>IF(LEFT(分期持仓明细!$A$11,LEN(J$81)+2)=J$81&amp;" ·",ROW(分期持仓明细!$A$11),0)</f>
        <v>0</v>
      </c>
      <c r="Q92">
        <f>IF(LEFT(分期持仓明细!$A$11,LEN(K$81)+2)=K$81&amp;" ·",ROW(分期持仓明细!$A$11),0)</f>
        <v>11</v>
      </c>
      <c r="R92">
        <f>IF(LEFT(分期持仓明细!$A$11,LEN(L$81)+2)=L$81&amp;" ·",ROW(分期持仓明细!$A$11),0)</f>
        <v>0</v>
      </c>
    </row>
    <row r="93" spans="1:18" ht="13">
      <c r="A93" s="54" t="s">
        <v>33</v>
      </c>
      <c r="B93" s="52" t="s">
        <v>247</v>
      </c>
      <c r="C93" s="54" t="s">
        <v>241</v>
      </c>
      <c r="D93" s="54" t="s">
        <v>245</v>
      </c>
      <c r="E93" s="54" t="s">
        <v>245</v>
      </c>
      <c r="F93" s="54" t="s">
        <v>248</v>
      </c>
      <c r="G93" s="55">
        <v>0</v>
      </c>
      <c r="H93" s="55">
        <v>0</v>
      </c>
      <c r="I93" s="55">
        <v>0</v>
      </c>
      <c r="J93" s="55">
        <v>1.2855558252454736E-2</v>
      </c>
      <c r="K93" s="55">
        <v>0</v>
      </c>
      <c r="L93" s="55">
        <v>3.8410341115140779E-2</v>
      </c>
      <c r="M93">
        <f>IF(LEFT(分期持仓明细!$A$12,LEN(G$81)+2)=G$81&amp;" ·",ROW(分期持仓明细!$A$12),0)</f>
        <v>0</v>
      </c>
      <c r="N93">
        <f>IF(LEFT(分期持仓明细!$A$12,LEN(H$81)+2)=H$81&amp;" ·",ROW(分期持仓明细!$A$12),0)</f>
        <v>0</v>
      </c>
      <c r="O93">
        <f>IF(LEFT(分期持仓明细!$A$12,LEN(I$81)+2)=I$81&amp;" ·",ROW(分期持仓明细!$A$12),0)</f>
        <v>0</v>
      </c>
      <c r="P93">
        <f>IF(LEFT(分期持仓明细!$A$12,LEN(J$81)+2)=J$81&amp;" ·",ROW(分期持仓明细!$A$12),0)</f>
        <v>0</v>
      </c>
      <c r="Q93">
        <f>IF(LEFT(分期持仓明细!$A$12,LEN(K$81)+2)=K$81&amp;" ·",ROW(分期持仓明细!$A$12),0)</f>
        <v>0</v>
      </c>
      <c r="R93">
        <f>IF(LEFT(分期持仓明细!$A$12,LEN(L$81)+2)=L$81&amp;" ·",ROW(分期持仓明细!$A$12),0)</f>
        <v>12</v>
      </c>
    </row>
    <row r="94" spans="1:18" ht="13">
      <c r="A94" s="54" t="s">
        <v>34</v>
      </c>
      <c r="B94" s="52" t="s">
        <v>249</v>
      </c>
      <c r="C94" s="54" t="s">
        <v>241</v>
      </c>
      <c r="D94" s="54" t="s">
        <v>229</v>
      </c>
      <c r="E94" s="54" t="s">
        <v>250</v>
      </c>
      <c r="F94" s="54" t="s">
        <v>243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>
        <f>IF(LEFT(分期持仓明细!$A$13,LEN(G$81)+2)=G$81&amp;" ·",ROW(分期持仓明细!$A$13),0)</f>
        <v>0</v>
      </c>
      <c r="N94">
        <f>IF(LEFT(分期持仓明细!$A$13,LEN(H$81)+2)=H$81&amp;" ·",ROW(分期持仓明细!$A$13),0)</f>
        <v>0</v>
      </c>
      <c r="O94">
        <f>IF(LEFT(分期持仓明细!$A$13,LEN(I$81)+2)=I$81&amp;" ·",ROW(分期持仓明细!$A$13),0)</f>
        <v>0</v>
      </c>
      <c r="P94">
        <f>IF(LEFT(分期持仓明细!$A$13,LEN(J$81)+2)=J$81&amp;" ·",ROW(分期持仓明细!$A$13),0)</f>
        <v>0</v>
      </c>
      <c r="Q94">
        <f>IF(LEFT(分期持仓明细!$A$13,LEN(K$81)+2)=K$81&amp;" ·",ROW(分期持仓明细!$A$13),0)</f>
        <v>0</v>
      </c>
      <c r="R94">
        <f>IF(LEFT(分期持仓明细!$A$13,LEN(L$81)+2)=L$81&amp;" ·",ROW(分期持仓明细!$A$13),0)</f>
        <v>13</v>
      </c>
    </row>
    <row r="95" spans="1:18" ht="13">
      <c r="A95" s="54" t="s">
        <v>35</v>
      </c>
      <c r="B95" s="52" t="s">
        <v>251</v>
      </c>
      <c r="C95" s="54" t="s">
        <v>241</v>
      </c>
      <c r="D95" s="54" t="s">
        <v>229</v>
      </c>
      <c r="E95" s="54" t="s">
        <v>250</v>
      </c>
      <c r="F95" s="54" t="s">
        <v>248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>
        <f>IF(LEFT(分期持仓明细!$A$14,LEN(G$81)+2)=G$81&amp;" ·",ROW(分期持仓明细!$A$14),0)</f>
        <v>0</v>
      </c>
      <c r="N95">
        <f>IF(LEFT(分期持仓明细!$A$14,LEN(H$81)+2)=H$81&amp;" ·",ROW(分期持仓明细!$A$14),0)</f>
        <v>0</v>
      </c>
      <c r="O95">
        <f>IF(LEFT(分期持仓明细!$A$14,LEN(I$81)+2)=I$81&amp;" ·",ROW(分期持仓明细!$A$14),0)</f>
        <v>0</v>
      </c>
      <c r="P95">
        <f>IF(LEFT(分期持仓明细!$A$14,LEN(J$81)+2)=J$81&amp;" ·",ROW(分期持仓明细!$A$14),0)</f>
        <v>14</v>
      </c>
      <c r="Q95">
        <f>IF(LEFT(分期持仓明细!$A$14,LEN(K$81)+2)=K$81&amp;" ·",ROW(分期持仓明细!$A$14),0)</f>
        <v>0</v>
      </c>
      <c r="R95">
        <f>IF(LEFT(分期持仓明细!$A$14,LEN(L$81)+2)=L$81&amp;" ·",ROW(分期持仓明细!$A$14),0)</f>
        <v>0</v>
      </c>
    </row>
    <row r="96" spans="1:18" ht="13">
      <c r="A96" s="54" t="s">
        <v>36</v>
      </c>
      <c r="B96" s="52" t="s">
        <v>9</v>
      </c>
      <c r="C96" s="54" t="s">
        <v>241</v>
      </c>
      <c r="D96" s="54" t="s">
        <v>229</v>
      </c>
      <c r="E96" s="54" t="s">
        <v>242</v>
      </c>
      <c r="F96" s="54" t="s">
        <v>239</v>
      </c>
      <c r="G96" s="55">
        <v>0</v>
      </c>
      <c r="H96" s="55">
        <v>0</v>
      </c>
      <c r="I96" s="55">
        <v>0.18643460253095584</v>
      </c>
      <c r="J96" s="55">
        <v>9.6300294724422451E-3</v>
      </c>
      <c r="K96" s="55">
        <v>0</v>
      </c>
      <c r="L96" s="55">
        <v>2.8773694107794432E-2</v>
      </c>
      <c r="M96">
        <f>IF(LEFT(分期持仓明细!$A$15,LEN(G$81)+2)=G$81&amp;" ·",ROW(分期持仓明细!$A$15),0)</f>
        <v>0</v>
      </c>
      <c r="N96">
        <f>IF(LEFT(分期持仓明细!$A$15,LEN(H$81)+2)=H$81&amp;" ·",ROW(分期持仓明细!$A$15),0)</f>
        <v>0</v>
      </c>
      <c r="O96">
        <f>IF(LEFT(分期持仓明细!$A$15,LEN(I$81)+2)=I$81&amp;" ·",ROW(分期持仓明细!$A$15),0)</f>
        <v>0</v>
      </c>
      <c r="P96">
        <f>IF(LEFT(分期持仓明细!$A$15,LEN(J$81)+2)=J$81&amp;" ·",ROW(分期持仓明细!$A$15),0)</f>
        <v>0</v>
      </c>
      <c r="Q96">
        <f>IF(LEFT(分期持仓明细!$A$15,LEN(K$81)+2)=K$81&amp;" ·",ROW(分期持仓明细!$A$15),0)</f>
        <v>15</v>
      </c>
      <c r="R96">
        <f>IF(LEFT(分期持仓明细!$A$15,LEN(L$81)+2)=L$81&amp;" ·",ROW(分期持仓明细!$A$15),0)</f>
        <v>0</v>
      </c>
    </row>
    <row r="97" spans="1:18" ht="13">
      <c r="A97" s="54" t="s">
        <v>37</v>
      </c>
      <c r="B97" s="52" t="s">
        <v>252</v>
      </c>
      <c r="C97" s="54" t="s">
        <v>241</v>
      </c>
      <c r="D97" s="54" t="s">
        <v>229</v>
      </c>
      <c r="E97" s="54" t="s">
        <v>242</v>
      </c>
      <c r="F97" s="54" t="s">
        <v>243</v>
      </c>
      <c r="G97" s="55">
        <v>0.24648996572257403</v>
      </c>
      <c r="H97" s="55">
        <v>0.24475713621132436</v>
      </c>
      <c r="I97" s="55">
        <v>0</v>
      </c>
      <c r="J97" s="55">
        <v>0</v>
      </c>
      <c r="K97" s="55">
        <v>1.2259140073502661E-2</v>
      </c>
      <c r="L97" s="55">
        <v>0</v>
      </c>
      <c r="M97">
        <f>IF(LEFT(分期持仓明细!$A$16,LEN(G$81)+2)=G$81&amp;" ·",ROW(分期持仓明细!$A$16),0)</f>
        <v>0</v>
      </c>
      <c r="N97">
        <f>IF(LEFT(分期持仓明细!$A$16,LEN(H$81)+2)=H$81&amp;" ·",ROW(分期持仓明细!$A$16),0)</f>
        <v>0</v>
      </c>
      <c r="O97">
        <f>IF(LEFT(分期持仓明细!$A$16,LEN(I$81)+2)=I$81&amp;" ·",ROW(分期持仓明细!$A$16),0)</f>
        <v>0</v>
      </c>
      <c r="P97">
        <f>IF(LEFT(分期持仓明细!$A$16,LEN(J$81)+2)=J$81&amp;" ·",ROW(分期持仓明细!$A$16),0)</f>
        <v>0</v>
      </c>
      <c r="Q97">
        <f>IF(LEFT(分期持仓明细!$A$16,LEN(K$81)+2)=K$81&amp;" ·",ROW(分期持仓明细!$A$16),0)</f>
        <v>0</v>
      </c>
      <c r="R97">
        <f>IF(LEFT(分期持仓明细!$A$16,LEN(L$81)+2)=L$81&amp;" ·",ROW(分期持仓明细!$A$16),0)</f>
        <v>16</v>
      </c>
    </row>
    <row r="98" spans="1:18" ht="13">
      <c r="A98" s="54" t="s">
        <v>38</v>
      </c>
      <c r="B98" s="52" t="s">
        <v>253</v>
      </c>
      <c r="C98" s="54" t="s">
        <v>241</v>
      </c>
      <c r="D98" s="54" t="s">
        <v>229</v>
      </c>
      <c r="E98" s="54" t="s">
        <v>242</v>
      </c>
      <c r="F98" s="54" t="s">
        <v>248</v>
      </c>
      <c r="G98" s="55">
        <v>0</v>
      </c>
      <c r="H98" s="55">
        <v>0</v>
      </c>
      <c r="I98" s="55">
        <v>0.23333425378822176</v>
      </c>
      <c r="J98" s="55">
        <v>1.1060670436649926E-2</v>
      </c>
      <c r="K98" s="55">
        <v>0</v>
      </c>
      <c r="L98" s="55">
        <v>3.3047210898090498E-2</v>
      </c>
      <c r="M98">
        <f>IF(LEFT(分期持仓明细!$A$17,LEN(G$81)+2)=G$81&amp;" ·",ROW(分期持仓明细!$A$17),0)</f>
        <v>17</v>
      </c>
      <c r="N98">
        <f>IF(LEFT(分期持仓明细!$A$17,LEN(H$81)+2)=H$81&amp;" ·",ROW(分期持仓明细!$A$17),0)</f>
        <v>0</v>
      </c>
      <c r="O98">
        <f>IF(LEFT(分期持仓明细!$A$17,LEN(I$81)+2)=I$81&amp;" ·",ROW(分期持仓明细!$A$17),0)</f>
        <v>0</v>
      </c>
      <c r="P98">
        <f>IF(LEFT(分期持仓明细!$A$17,LEN(J$81)+2)=J$81&amp;" ·",ROW(分期持仓明细!$A$17),0)</f>
        <v>0</v>
      </c>
      <c r="Q98">
        <f>IF(LEFT(分期持仓明细!$A$17,LEN(K$81)+2)=K$81&amp;" ·",ROW(分期持仓明细!$A$17),0)</f>
        <v>0</v>
      </c>
      <c r="R98">
        <f>IF(LEFT(分期持仓明细!$A$17,LEN(L$81)+2)=L$81&amp;" ·",ROW(分期持仓明细!$A$17),0)</f>
        <v>0</v>
      </c>
    </row>
    <row r="99" spans="1:18" ht="13">
      <c r="A99" s="54" t="s">
        <v>39</v>
      </c>
      <c r="B99" s="52" t="s">
        <v>254</v>
      </c>
      <c r="C99" s="54" t="s">
        <v>241</v>
      </c>
      <c r="D99" s="54" t="s">
        <v>245</v>
      </c>
      <c r="E99" s="54" t="s">
        <v>245</v>
      </c>
      <c r="F99" s="54" t="s">
        <v>246</v>
      </c>
      <c r="G99" s="55">
        <v>0</v>
      </c>
      <c r="H99" s="55">
        <v>0</v>
      </c>
      <c r="I99" s="55">
        <v>0</v>
      </c>
      <c r="J99" s="55">
        <v>0</v>
      </c>
      <c r="K99" s="55">
        <v>1.305811206863005E-2</v>
      </c>
      <c r="L99" s="55">
        <v>0</v>
      </c>
      <c r="M99">
        <f>IF(LEFT(分期持仓明细!$A$18,LEN(G$81)+2)=G$81&amp;" ·",ROW(分期持仓明细!$A$18),0)</f>
        <v>0</v>
      </c>
      <c r="N99">
        <f>IF(LEFT(分期持仓明细!$A$18,LEN(H$81)+2)=H$81&amp;" ·",ROW(分期持仓明细!$A$18),0)</f>
        <v>18</v>
      </c>
      <c r="O99">
        <f>IF(LEFT(分期持仓明细!$A$18,LEN(I$81)+2)=I$81&amp;" ·",ROW(分期持仓明细!$A$18),0)</f>
        <v>0</v>
      </c>
      <c r="P99">
        <f>IF(LEFT(分期持仓明细!$A$18,LEN(J$81)+2)=J$81&amp;" ·",ROW(分期持仓明细!$A$18),0)</f>
        <v>0</v>
      </c>
      <c r="Q99">
        <f>IF(LEFT(分期持仓明细!$A$18,LEN(K$81)+2)=K$81&amp;" ·",ROW(分期持仓明细!$A$18),0)</f>
        <v>0</v>
      </c>
      <c r="R99">
        <f>IF(LEFT(分期持仓明细!$A$18,LEN(L$81)+2)=L$81&amp;" ·",ROW(分期持仓明细!$A$18),0)</f>
        <v>0</v>
      </c>
    </row>
    <row r="100" spans="1:18" ht="13">
      <c r="A100" s="54" t="s">
        <v>40</v>
      </c>
      <c r="B100" s="52" t="s">
        <v>255</v>
      </c>
      <c r="C100" s="54" t="s">
        <v>241</v>
      </c>
      <c r="D100" s="54" t="s">
        <v>245</v>
      </c>
      <c r="E100" s="54" t="s">
        <v>245</v>
      </c>
      <c r="F100" s="54" t="s">
        <v>248</v>
      </c>
      <c r="G100" s="55">
        <v>0</v>
      </c>
      <c r="H100" s="55">
        <v>0</v>
      </c>
      <c r="I100" s="55">
        <v>0</v>
      </c>
      <c r="J100" s="55">
        <v>1.2881708223882951E-2</v>
      </c>
      <c r="K100" s="55">
        <v>0</v>
      </c>
      <c r="L100" s="55">
        <v>3.8491146166847352E-2</v>
      </c>
      <c r="M100">
        <f>IF(LEFT(分期持仓明细!$A$19,LEN(G$81)+2)=G$81&amp;" ·",ROW(分期持仓明细!$A$19),0)</f>
        <v>0</v>
      </c>
      <c r="N100">
        <f>IF(LEFT(分期持仓明细!$A$19,LEN(H$81)+2)=H$81&amp;" ·",ROW(分期持仓明细!$A$19),0)</f>
        <v>0</v>
      </c>
      <c r="O100">
        <f>IF(LEFT(分期持仓明细!$A$19,LEN(I$81)+2)=I$81&amp;" ·",ROW(分期持仓明细!$A$19),0)</f>
        <v>19</v>
      </c>
      <c r="P100">
        <f>IF(LEFT(分期持仓明细!$A$19,LEN(J$81)+2)=J$81&amp;" ·",ROW(分期持仓明细!$A$19),0)</f>
        <v>0</v>
      </c>
      <c r="Q100">
        <f>IF(LEFT(分期持仓明细!$A$19,LEN(K$81)+2)=K$81&amp;" ·",ROW(分期持仓明细!$A$19),0)</f>
        <v>0</v>
      </c>
      <c r="R100">
        <f>IF(LEFT(分期持仓明细!$A$19,LEN(L$81)+2)=L$81&amp;" ·",ROW(分期持仓明细!$A$19),0)</f>
        <v>0</v>
      </c>
    </row>
    <row r="101" spans="1:18" ht="13">
      <c r="A101" s="54" t="s">
        <v>41</v>
      </c>
      <c r="B101" s="52" t="s">
        <v>256</v>
      </c>
      <c r="C101" s="54" t="s">
        <v>241</v>
      </c>
      <c r="D101" s="54" t="s">
        <v>245</v>
      </c>
      <c r="E101" s="54" t="s">
        <v>245</v>
      </c>
      <c r="F101" s="54" t="s">
        <v>246</v>
      </c>
      <c r="G101" s="55">
        <v>0</v>
      </c>
      <c r="H101" s="55">
        <v>0</v>
      </c>
      <c r="I101" s="55">
        <v>0</v>
      </c>
      <c r="J101" s="55">
        <v>0</v>
      </c>
      <c r="K101" s="55">
        <v>1.3311355660962931E-2</v>
      </c>
      <c r="L101" s="55">
        <v>0</v>
      </c>
      <c r="M101">
        <f>IF(LEFT(分期持仓明细!$A$20,LEN(G$81)+2)=G$81&amp;" ·",ROW(分期持仓明细!$A$20),0)</f>
        <v>0</v>
      </c>
      <c r="N101">
        <f>IF(LEFT(分期持仓明细!$A$20,LEN(H$81)+2)=H$81&amp;" ·",ROW(分期持仓明细!$A$20),0)</f>
        <v>0</v>
      </c>
      <c r="O101">
        <f>IF(LEFT(分期持仓明细!$A$20,LEN(I$81)+2)=I$81&amp;" ·",ROW(分期持仓明细!$A$20),0)</f>
        <v>0</v>
      </c>
      <c r="P101">
        <f>IF(LEFT(分期持仓明细!$A$20,LEN(J$81)+2)=J$81&amp;" ·",ROW(分期持仓明细!$A$20),0)</f>
        <v>20</v>
      </c>
      <c r="Q101">
        <f>IF(LEFT(分期持仓明细!$A$20,LEN(K$81)+2)=K$81&amp;" ·",ROW(分期持仓明细!$A$20),0)</f>
        <v>0</v>
      </c>
      <c r="R101">
        <f>IF(LEFT(分期持仓明细!$A$20,LEN(L$81)+2)=L$81&amp;" ·",ROW(分期持仓明细!$A$20),0)</f>
        <v>0</v>
      </c>
    </row>
    <row r="102" spans="1:18" ht="13">
      <c r="A102" s="54" t="s">
        <v>42</v>
      </c>
      <c r="B102" s="52" t="s">
        <v>257</v>
      </c>
      <c r="C102" s="54" t="s">
        <v>241</v>
      </c>
      <c r="D102" s="54" t="s">
        <v>245</v>
      </c>
      <c r="E102" s="54" t="s">
        <v>245</v>
      </c>
      <c r="F102" s="54" t="s">
        <v>248</v>
      </c>
      <c r="G102" s="55">
        <v>0</v>
      </c>
      <c r="H102" s="55">
        <v>0</v>
      </c>
      <c r="I102" s="55">
        <v>0</v>
      </c>
      <c r="J102" s="55">
        <v>1.300899943471813E-2</v>
      </c>
      <c r="K102" s="55">
        <v>0</v>
      </c>
      <c r="L102" s="55">
        <v>3.886861841160838E-2</v>
      </c>
      <c r="M102">
        <f>IF(LEFT(分期持仓明细!$A$21,LEN(G$81)+2)=G$81&amp;" ·",ROW(分期持仓明细!$A$21),0)</f>
        <v>0</v>
      </c>
      <c r="N102">
        <f>IF(LEFT(分期持仓明细!$A$21,LEN(H$81)+2)=H$81&amp;" ·",ROW(分期持仓明细!$A$21),0)</f>
        <v>0</v>
      </c>
      <c r="O102">
        <f>IF(LEFT(分期持仓明细!$A$21,LEN(I$81)+2)=I$81&amp;" ·",ROW(分期持仓明细!$A$21),0)</f>
        <v>0</v>
      </c>
      <c r="P102">
        <f>IF(LEFT(分期持仓明细!$A$21,LEN(J$81)+2)=J$81&amp;" ·",ROW(分期持仓明细!$A$21),0)</f>
        <v>0</v>
      </c>
      <c r="Q102">
        <f>IF(LEFT(分期持仓明细!$A$21,LEN(K$81)+2)=K$81&amp;" ·",ROW(分期持仓明细!$A$21),0)</f>
        <v>21</v>
      </c>
      <c r="R102">
        <f>IF(LEFT(分期持仓明细!$A$21,LEN(L$81)+2)=L$81&amp;" ·",ROW(分期持仓明细!$A$21),0)</f>
        <v>0</v>
      </c>
    </row>
    <row r="103" spans="1:18" ht="13">
      <c r="A103" s="54" t="s">
        <v>43</v>
      </c>
      <c r="B103" s="52" t="s">
        <v>258</v>
      </c>
      <c r="C103" s="54" t="s">
        <v>241</v>
      </c>
      <c r="D103" s="54" t="s">
        <v>229</v>
      </c>
      <c r="E103" s="54" t="s">
        <v>242</v>
      </c>
      <c r="F103" s="54" t="s">
        <v>243</v>
      </c>
      <c r="G103" s="55">
        <v>0.15912488007417924</v>
      </c>
      <c r="H103" s="55">
        <v>0.15902507905426536</v>
      </c>
      <c r="I103" s="55">
        <v>0</v>
      </c>
      <c r="J103" s="55">
        <v>0</v>
      </c>
      <c r="K103" s="55">
        <v>8.4098558006694794E-3</v>
      </c>
      <c r="L103" s="55">
        <v>0</v>
      </c>
      <c r="M103">
        <f>IF(LEFT(分期持仓明细!$A$22,LEN(G$81)+2)=G$81&amp;" ·",ROW(分期持仓明细!$A$22),0)</f>
        <v>0</v>
      </c>
      <c r="N103">
        <f>IF(LEFT(分期持仓明细!$A$22,LEN(H$81)+2)=H$81&amp;" ·",ROW(分期持仓明细!$A$22),0)</f>
        <v>0</v>
      </c>
      <c r="O103">
        <f>IF(LEFT(分期持仓明细!$A$22,LEN(I$81)+2)=I$81&amp;" ·",ROW(分期持仓明细!$A$22),0)</f>
        <v>0</v>
      </c>
      <c r="P103">
        <f>IF(LEFT(分期持仓明细!$A$22,LEN(J$81)+2)=J$81&amp;" ·",ROW(分期持仓明细!$A$22),0)</f>
        <v>0</v>
      </c>
      <c r="Q103">
        <f>IF(LEFT(分期持仓明细!$A$22,LEN(K$81)+2)=K$81&amp;" ·",ROW(分期持仓明细!$A$22),0)</f>
        <v>0</v>
      </c>
      <c r="R103">
        <f>IF(LEFT(分期持仓明细!$A$22,LEN(L$81)+2)=L$81&amp;" ·",ROW(分期持仓明细!$A$22),0)</f>
        <v>22</v>
      </c>
    </row>
    <row r="104" spans="1:18" ht="13">
      <c r="A104" s="54" t="s">
        <v>44</v>
      </c>
      <c r="B104" s="52" t="s">
        <v>259</v>
      </c>
      <c r="C104" s="54" t="s">
        <v>241</v>
      </c>
      <c r="D104" s="54" t="s">
        <v>229</v>
      </c>
      <c r="E104" s="54" t="s">
        <v>242</v>
      </c>
      <c r="F104" s="54" t="s">
        <v>243</v>
      </c>
      <c r="G104" s="55">
        <v>0.17230499151577977</v>
      </c>
      <c r="H104" s="55">
        <v>0.17310992190249347</v>
      </c>
      <c r="I104" s="55">
        <v>0</v>
      </c>
      <c r="J104" s="55">
        <v>0</v>
      </c>
      <c r="K104" s="55">
        <v>8.980180698834838E-3</v>
      </c>
      <c r="L104" s="55">
        <v>0</v>
      </c>
      <c r="M104">
        <f>IF(LEFT(分期持仓明细!$A$23,LEN(G$81)+2)=G$81&amp;" ·",ROW(分期持仓明细!$A$23),0)</f>
        <v>0</v>
      </c>
      <c r="N104">
        <f>IF(LEFT(分期持仓明细!$A$23,LEN(H$81)+2)=H$81&amp;" ·",ROW(分期持仓明细!$A$23),0)</f>
        <v>0</v>
      </c>
      <c r="O104">
        <f>IF(LEFT(分期持仓明细!$A$23,LEN(I$81)+2)=I$81&amp;" ·",ROW(分期持仓明细!$A$23),0)</f>
        <v>0</v>
      </c>
      <c r="P104">
        <f>IF(LEFT(分期持仓明细!$A$23,LEN(J$81)+2)=J$81&amp;" ·",ROW(分期持仓明细!$A$23),0)</f>
        <v>23</v>
      </c>
      <c r="Q104">
        <f>IF(LEFT(分期持仓明细!$A$23,LEN(K$81)+2)=K$81&amp;" ·",ROW(分期持仓明细!$A$23),0)</f>
        <v>0</v>
      </c>
      <c r="R104">
        <f>IF(LEFT(分期持仓明细!$A$23,LEN(L$81)+2)=L$81&amp;" ·",ROW(分期持仓明细!$A$23),0)</f>
        <v>0</v>
      </c>
    </row>
    <row r="105" spans="1:18" ht="13">
      <c r="A105" s="54" t="s">
        <v>45</v>
      </c>
      <c r="B105" s="52" t="s">
        <v>260</v>
      </c>
      <c r="C105" s="54" t="s">
        <v>241</v>
      </c>
      <c r="D105" s="54" t="s">
        <v>229</v>
      </c>
      <c r="E105" s="54" t="s">
        <v>242</v>
      </c>
      <c r="F105" s="54" t="s">
        <v>248</v>
      </c>
      <c r="G105" s="55">
        <v>0</v>
      </c>
      <c r="H105" s="55">
        <v>0</v>
      </c>
      <c r="I105" s="55">
        <v>0.16814227790813516</v>
      </c>
      <c r="J105" s="55">
        <v>8.7136919526273112E-3</v>
      </c>
      <c r="K105" s="55">
        <v>0</v>
      </c>
      <c r="L105" s="55">
        <v>2.6036449968919718E-2</v>
      </c>
      <c r="M105">
        <f>IF(LEFT(分期持仓明细!$A$24,LEN(G$81)+2)=G$81&amp;" ·",ROW(分期持仓明细!$A$24),0)</f>
        <v>0</v>
      </c>
      <c r="N105">
        <f>IF(LEFT(分期持仓明细!$A$24,LEN(H$81)+2)=H$81&amp;" ·",ROW(分期持仓明细!$A$24),0)</f>
        <v>0</v>
      </c>
      <c r="O105">
        <f>IF(LEFT(分期持仓明细!$A$24,LEN(I$81)+2)=I$81&amp;" ·",ROW(分期持仓明细!$A$24),0)</f>
        <v>0</v>
      </c>
      <c r="P105">
        <f>IF(LEFT(分期持仓明细!$A$24,LEN(J$81)+2)=J$81&amp;" ·",ROW(分期持仓明细!$A$24),0)</f>
        <v>0</v>
      </c>
      <c r="Q105">
        <f>IF(LEFT(分期持仓明细!$A$24,LEN(K$81)+2)=K$81&amp;" ·",ROW(分期持仓明细!$A$24),0)</f>
        <v>24</v>
      </c>
      <c r="R105">
        <f>IF(LEFT(分期持仓明细!$A$24,LEN(L$81)+2)=L$81&amp;" ·",ROW(分期持仓明细!$A$24),0)</f>
        <v>0</v>
      </c>
    </row>
    <row r="106" spans="1:18" ht="13">
      <c r="A106" s="54" t="s">
        <v>46</v>
      </c>
      <c r="B106" s="52" t="s">
        <v>261</v>
      </c>
      <c r="C106" s="54" t="s">
        <v>241</v>
      </c>
      <c r="D106" s="54" t="s">
        <v>229</v>
      </c>
      <c r="E106" s="54" t="s">
        <v>242</v>
      </c>
      <c r="F106" s="54" t="s">
        <v>248</v>
      </c>
      <c r="G106" s="55">
        <v>0</v>
      </c>
      <c r="H106" s="55">
        <v>0</v>
      </c>
      <c r="I106" s="55">
        <v>0.16735538109816184</v>
      </c>
      <c r="J106" s="55">
        <v>8.6456671485469483E-3</v>
      </c>
      <c r="K106" s="55">
        <v>0</v>
      </c>
      <c r="L106" s="55">
        <v>2.5834049605666629E-2</v>
      </c>
      <c r="M106">
        <f>IF(LEFT(分期持仓明细!$A$25,LEN(G$81)+2)=G$81&amp;" ·",ROW(分期持仓明细!$A$25),0)</f>
        <v>0</v>
      </c>
      <c r="N106">
        <f>IF(LEFT(分期持仓明细!$A$25,LEN(H$81)+2)=H$81&amp;" ·",ROW(分期持仓明细!$A$25),0)</f>
        <v>0</v>
      </c>
      <c r="O106">
        <f>IF(LEFT(分期持仓明细!$A$25,LEN(I$81)+2)=I$81&amp;" ·",ROW(分期持仓明细!$A$25),0)</f>
        <v>0</v>
      </c>
      <c r="P106">
        <f>IF(LEFT(分期持仓明细!$A$25,LEN(J$81)+2)=J$81&amp;" ·",ROW(分期持仓明细!$A$25),0)</f>
        <v>0</v>
      </c>
      <c r="Q106">
        <f>IF(LEFT(分期持仓明细!$A$25,LEN(K$81)+2)=K$81&amp;" ·",ROW(分期持仓明细!$A$25),0)</f>
        <v>0</v>
      </c>
      <c r="R106">
        <f>IF(LEFT(分期持仓明细!$A$25,LEN(L$81)+2)=L$81&amp;" ·",ROW(分期持仓明细!$A$25),0)</f>
        <v>25</v>
      </c>
    </row>
    <row r="107" spans="1:18" ht="13">
      <c r="A107" s="54" t="s">
        <v>47</v>
      </c>
      <c r="B107" s="52" t="s">
        <v>262</v>
      </c>
      <c r="C107" s="54" t="s">
        <v>241</v>
      </c>
      <c r="D107" s="54" t="s">
        <v>229</v>
      </c>
      <c r="E107" s="54" t="s">
        <v>250</v>
      </c>
      <c r="F107" s="54" t="s">
        <v>243</v>
      </c>
      <c r="G107" s="55">
        <v>0.13112866075668961</v>
      </c>
      <c r="H107" s="55">
        <v>0.1317750117897416</v>
      </c>
      <c r="I107" s="55">
        <v>0</v>
      </c>
      <c r="J107" s="55">
        <v>0</v>
      </c>
      <c r="K107" s="55">
        <v>5.8560968181895854E-3</v>
      </c>
      <c r="L107" s="55">
        <v>0</v>
      </c>
      <c r="M107">
        <f>IF(LEFT(分期持仓明细!$A$26,LEN(G$81)+2)=G$81&amp;" ·",ROW(分期持仓明细!$A$26),0)</f>
        <v>0</v>
      </c>
      <c r="N107">
        <f>IF(LEFT(分期持仓明细!$A$26,LEN(H$81)+2)=H$81&amp;" ·",ROW(分期持仓明细!$A$26),0)</f>
        <v>0</v>
      </c>
      <c r="O107">
        <f>IF(LEFT(分期持仓明细!$A$26,LEN(I$81)+2)=I$81&amp;" ·",ROW(分期持仓明细!$A$26),0)</f>
        <v>0</v>
      </c>
      <c r="P107">
        <f>IF(LEFT(分期持仓明细!$A$26,LEN(J$81)+2)=J$81&amp;" ·",ROW(分期持仓明细!$A$26),0)</f>
        <v>0</v>
      </c>
      <c r="Q107">
        <f>IF(LEFT(分期持仓明细!$A$26,LEN(K$81)+2)=K$81&amp;" ·",ROW(分期持仓明细!$A$26),0)</f>
        <v>0</v>
      </c>
      <c r="R107">
        <f>IF(LEFT(分期持仓明细!$A$26,LEN(L$81)+2)=L$81&amp;" ·",ROW(分期持仓明细!$A$26),0)</f>
        <v>0</v>
      </c>
    </row>
    <row r="108" spans="1:18" ht="13">
      <c r="A108" s="54" t="s">
        <v>48</v>
      </c>
      <c r="B108" s="52" t="s">
        <v>263</v>
      </c>
      <c r="C108" s="54" t="s">
        <v>241</v>
      </c>
      <c r="D108" s="54" t="s">
        <v>229</v>
      </c>
      <c r="E108" s="54" t="s">
        <v>250</v>
      </c>
      <c r="F108" s="54" t="s">
        <v>248</v>
      </c>
      <c r="G108" s="55">
        <v>0</v>
      </c>
      <c r="H108" s="55">
        <v>0</v>
      </c>
      <c r="I108" s="55">
        <v>0.12507142493000778</v>
      </c>
      <c r="J108" s="55">
        <v>5.4133908101450853E-3</v>
      </c>
      <c r="K108" s="55">
        <v>0</v>
      </c>
      <c r="L108" s="55">
        <v>1.6174800858502231E-2</v>
      </c>
      <c r="M108">
        <f>IF(LEFT(分期持仓明细!$A$27,LEN(G$81)+2)=G$81&amp;" ·",ROW(分期持仓明细!$A$27),0)</f>
        <v>0</v>
      </c>
      <c r="N108">
        <f>IF(LEFT(分期持仓明细!$A$27,LEN(H$81)+2)=H$81&amp;" ·",ROW(分期持仓明细!$A$27),0)</f>
        <v>0</v>
      </c>
      <c r="O108">
        <f>IF(LEFT(分期持仓明细!$A$27,LEN(I$81)+2)=I$81&amp;" ·",ROW(分期持仓明细!$A$27),0)</f>
        <v>0</v>
      </c>
      <c r="P108">
        <f>IF(LEFT(分期持仓明细!$A$27,LEN(J$81)+2)=J$81&amp;" ·",ROW(分期持仓明细!$A$27),0)</f>
        <v>0</v>
      </c>
      <c r="Q108">
        <f>IF(LEFT(分期持仓明细!$A$27,LEN(K$81)+2)=K$81&amp;" ·",ROW(分期持仓明细!$A$27),0)</f>
        <v>0</v>
      </c>
      <c r="R108">
        <f>IF(LEFT(分期持仓明细!$A$27,LEN(L$81)+2)=L$81&amp;" ·",ROW(分期持仓明细!$A$27),0)</f>
        <v>0</v>
      </c>
    </row>
    <row r="109" spans="1:18" ht="13">
      <c r="A109" s="54" t="s">
        <v>49</v>
      </c>
      <c r="B109" s="52" t="s">
        <v>264</v>
      </c>
      <c r="C109" s="54" t="s">
        <v>241</v>
      </c>
      <c r="D109" s="54" t="s">
        <v>245</v>
      </c>
      <c r="E109" s="54" t="s">
        <v>245</v>
      </c>
      <c r="F109" s="54" t="s">
        <v>246</v>
      </c>
      <c r="G109" s="55">
        <v>0</v>
      </c>
      <c r="H109" s="55">
        <v>0</v>
      </c>
      <c r="I109" s="55">
        <v>0</v>
      </c>
      <c r="J109" s="55">
        <v>0</v>
      </c>
      <c r="K109" s="55">
        <v>1.2743977694171382E-2</v>
      </c>
      <c r="L109" s="55">
        <v>0</v>
      </c>
      <c r="M109">
        <f>IF(LEFT(分期持仓明细!$A$28,LEN(G$81)+2)=G$81&amp;" ·",ROW(分期持仓明细!$A$28),0)</f>
        <v>0</v>
      </c>
      <c r="N109">
        <f>IF(LEFT(分期持仓明细!$A$28,LEN(H$81)+2)=H$81&amp;" ·",ROW(分期持仓明细!$A$28),0)</f>
        <v>0</v>
      </c>
      <c r="O109">
        <f>IF(LEFT(分期持仓明细!$A$28,LEN(I$81)+2)=I$81&amp;" ·",ROW(分期持仓明细!$A$28),0)</f>
        <v>0</v>
      </c>
      <c r="P109">
        <f>IF(LEFT(分期持仓明细!$A$28,LEN(J$81)+2)=J$81&amp;" ·",ROW(分期持仓明细!$A$28),0)</f>
        <v>0</v>
      </c>
      <c r="Q109">
        <f>IF(LEFT(分期持仓明细!$A$28,LEN(K$81)+2)=K$81&amp;" ·",ROW(分期持仓明细!$A$28),0)</f>
        <v>0</v>
      </c>
      <c r="R109">
        <f>IF(LEFT(分期持仓明细!$A$28,LEN(L$81)+2)=L$81&amp;" ·",ROW(分期持仓明细!$A$28),0)</f>
        <v>0</v>
      </c>
    </row>
    <row r="110" spans="1:18" ht="13">
      <c r="A110" s="54" t="s">
        <v>50</v>
      </c>
      <c r="B110" s="52" t="s">
        <v>265</v>
      </c>
      <c r="C110" s="54" t="s">
        <v>241</v>
      </c>
      <c r="D110" s="54" t="s">
        <v>245</v>
      </c>
      <c r="E110" s="54" t="s">
        <v>245</v>
      </c>
      <c r="F110" s="54" t="s">
        <v>248</v>
      </c>
      <c r="G110" s="55">
        <v>0</v>
      </c>
      <c r="H110" s="55">
        <v>0</v>
      </c>
      <c r="I110" s="55">
        <v>0</v>
      </c>
      <c r="J110" s="55">
        <v>1.2762048562637551E-2</v>
      </c>
      <c r="K110" s="55">
        <v>0</v>
      </c>
      <c r="L110" s="55">
        <v>3.8132571431769798E-2</v>
      </c>
      <c r="M110">
        <f>IF(LEFT(分期持仓明细!$A$29,LEN(G$81)+2)=G$81&amp;" ·",ROW(分期持仓明细!$A$29),0)</f>
        <v>0</v>
      </c>
      <c r="N110">
        <f>IF(LEFT(分期持仓明细!$A$29,LEN(H$81)+2)=H$81&amp;" ·",ROW(分期持仓明细!$A$29),0)</f>
        <v>0</v>
      </c>
      <c r="O110">
        <f>IF(LEFT(分期持仓明细!$A$29,LEN(I$81)+2)=I$81&amp;" ·",ROW(分期持仓明细!$A$29),0)</f>
        <v>0</v>
      </c>
      <c r="P110">
        <f>IF(LEFT(分期持仓明细!$A$29,LEN(J$81)+2)=J$81&amp;" ·",ROW(分期持仓明细!$A$29),0)</f>
        <v>0</v>
      </c>
      <c r="Q110">
        <f>IF(LEFT(分期持仓明细!$A$29,LEN(K$81)+2)=K$81&amp;" ·",ROW(分期持仓明细!$A$29),0)</f>
        <v>0</v>
      </c>
      <c r="R110">
        <f>IF(LEFT(分期持仓明细!$A$29,LEN(L$81)+2)=L$81&amp;" ·",ROW(分期持仓明细!$A$29),0)</f>
        <v>0</v>
      </c>
    </row>
    <row r="111" spans="1:18" ht="13">
      <c r="A111" s="54" t="s">
        <v>51</v>
      </c>
      <c r="B111" s="52" t="s">
        <v>266</v>
      </c>
      <c r="C111" s="54" t="s">
        <v>233</v>
      </c>
      <c r="D111" s="54" t="s">
        <v>234</v>
      </c>
      <c r="E111" s="54" t="s">
        <v>267</v>
      </c>
      <c r="F111" s="54" t="s">
        <v>268</v>
      </c>
      <c r="G111" s="55">
        <v>0</v>
      </c>
      <c r="H111" s="55">
        <v>0</v>
      </c>
      <c r="I111" s="55">
        <v>0</v>
      </c>
      <c r="J111" s="55">
        <v>0.79745009544564527</v>
      </c>
      <c r="K111" s="55">
        <v>0.79847502055174235</v>
      </c>
      <c r="L111" s="55">
        <v>0.49216006002582735</v>
      </c>
      <c r="M111">
        <f>IF(LEFT(分期持仓明细!$A$30,LEN(G$81)+2)=G$81&amp;" ·",ROW(分期持仓明细!$A$30),0)</f>
        <v>0</v>
      </c>
      <c r="N111">
        <f>IF(LEFT(分期持仓明细!$A$30,LEN(H$81)+2)=H$81&amp;" ·",ROW(分期持仓明细!$A$30),0)</f>
        <v>0</v>
      </c>
      <c r="O111">
        <f>IF(LEFT(分期持仓明细!$A$30,LEN(I$81)+2)=I$81&amp;" ·",ROW(分期持仓明细!$A$30),0)</f>
        <v>0</v>
      </c>
      <c r="P111">
        <f>IF(LEFT(分期持仓明细!$A$30,LEN(J$81)+2)=J$81&amp;" ·",ROW(分期持仓明细!$A$30),0)</f>
        <v>0</v>
      </c>
      <c r="Q111">
        <f>IF(LEFT(分期持仓明细!$A$30,LEN(K$81)+2)=K$81&amp;" ·",ROW(分期持仓明细!$A$30),0)</f>
        <v>0</v>
      </c>
      <c r="R111">
        <f>IF(LEFT(分期持仓明细!$A$30,LEN(L$81)+2)=L$81&amp;" ·",ROW(分期持仓明细!$A$30),0)</f>
        <v>0</v>
      </c>
    </row>
    <row r="112" spans="1:18" ht="13">
      <c r="A112" s="54" t="s">
        <v>61</v>
      </c>
      <c r="B112" s="52" t="s">
        <v>62</v>
      </c>
      <c r="C112" s="54" t="s">
        <v>241</v>
      </c>
      <c r="D112" s="54" t="s">
        <v>229</v>
      </c>
      <c r="E112" s="54" t="s">
        <v>242</v>
      </c>
      <c r="F112" s="54" t="s">
        <v>243</v>
      </c>
      <c r="G112" s="55">
        <v>6.8465170647674434E-2</v>
      </c>
      <c r="H112" s="55">
        <v>6.8475475860487661E-2</v>
      </c>
      <c r="I112" s="55">
        <v>6.8381931750740005E-2</v>
      </c>
      <c r="J112" s="55">
        <v>9.5107368966037675E-3</v>
      </c>
      <c r="K112" s="55">
        <v>9.5235456715052746E-3</v>
      </c>
      <c r="L112" s="55">
        <v>3.0916082245689688E-2</v>
      </c>
      <c r="M112">
        <f>IF(LEFT(分期持仓明细!$A$31,LEN(G$81)+2)=G$81&amp;" ·",ROW(分期持仓明细!$A$31),0)</f>
        <v>0</v>
      </c>
      <c r="N112">
        <f>IF(LEFT(分期持仓明细!$A$31,LEN(H$81)+2)=H$81&amp;" ·",ROW(分期持仓明细!$A$31),0)</f>
        <v>0</v>
      </c>
      <c r="O112">
        <f>IF(LEFT(分期持仓明细!$A$31,LEN(I$81)+2)=I$81&amp;" ·",ROW(分期持仓明细!$A$31),0)</f>
        <v>0</v>
      </c>
      <c r="P112">
        <f>IF(LEFT(分期持仓明细!$A$31,LEN(J$81)+2)=J$81&amp;" ·",ROW(分期持仓明细!$A$31),0)</f>
        <v>0</v>
      </c>
      <c r="Q112">
        <f>IF(LEFT(分期持仓明细!$A$31,LEN(K$81)+2)=K$81&amp;" ·",ROW(分期持仓明细!$A$31),0)</f>
        <v>0</v>
      </c>
      <c r="R112">
        <f>IF(LEFT(分期持仓明细!$A$31,LEN(L$81)+2)=L$81&amp;" ·",ROW(分期持仓明细!$A$31),0)</f>
        <v>0</v>
      </c>
    </row>
    <row r="113" spans="13:18">
      <c r="M113">
        <f>IF(LEFT(分期持仓明细!$A$32,LEN(G$81)+2)=G$81&amp;" ·",ROW(分期持仓明细!$A$32),0)</f>
        <v>0</v>
      </c>
      <c r="N113">
        <f>IF(LEFT(分期持仓明细!$A$32,LEN(H$81)+2)=H$81&amp;" ·",ROW(分期持仓明细!$A$32),0)</f>
        <v>0</v>
      </c>
      <c r="O113">
        <f>IF(LEFT(分期持仓明细!$A$32,LEN(I$81)+2)=I$81&amp;" ·",ROW(分期持仓明细!$A$32),0)</f>
        <v>0</v>
      </c>
      <c r="P113">
        <f>IF(LEFT(分期持仓明细!$A$32,LEN(J$81)+2)=J$81&amp;" ·",ROW(分期持仓明细!$A$32),0)</f>
        <v>0</v>
      </c>
      <c r="Q113">
        <f>IF(LEFT(分期持仓明细!$A$32,LEN(K$81)+2)=K$81&amp;" ·",ROW(分期持仓明细!$A$32),0)</f>
        <v>0</v>
      </c>
      <c r="R113">
        <f>IF(LEFT(分期持仓明细!$A$32,LEN(L$81)+2)=L$81&amp;" ·",ROW(分期持仓明细!$A$32),0)</f>
        <v>0</v>
      </c>
    </row>
    <row r="114" spans="13:18">
      <c r="M114">
        <f>IF(LEFT(分期持仓明细!$A$33,LEN(G$81)+2)=G$81&amp;" ·",ROW(分期持仓明细!$A$33),0)</f>
        <v>0</v>
      </c>
      <c r="N114">
        <f>IF(LEFT(分期持仓明细!$A$33,LEN(H$81)+2)=H$81&amp;" ·",ROW(分期持仓明细!$A$33),0)</f>
        <v>0</v>
      </c>
      <c r="O114">
        <f>IF(LEFT(分期持仓明细!$A$33,LEN(I$81)+2)=I$81&amp;" ·",ROW(分期持仓明细!$A$33),0)</f>
        <v>0</v>
      </c>
      <c r="P114">
        <f>IF(LEFT(分期持仓明细!$A$33,LEN(J$81)+2)=J$81&amp;" ·",ROW(分期持仓明细!$A$33),0)</f>
        <v>0</v>
      </c>
      <c r="Q114">
        <f>IF(LEFT(分期持仓明细!$A$33,LEN(K$81)+2)=K$81&amp;" ·",ROW(分期持仓明细!$A$33),0)</f>
        <v>0</v>
      </c>
      <c r="R114">
        <f>IF(LEFT(分期持仓明细!$A$33,LEN(L$81)+2)=L$81&amp;" ·",ROW(分期持仓明细!$A$33),0)</f>
        <v>0</v>
      </c>
    </row>
    <row r="115" spans="13:18">
      <c r="M115">
        <f>IF(LEFT(分期持仓明细!$A$34,LEN(G$81)+2)=G$81&amp;" ·",ROW(分期持仓明细!$A$34),0)</f>
        <v>0</v>
      </c>
      <c r="N115">
        <f>IF(LEFT(分期持仓明细!$A$34,LEN(H$81)+2)=H$81&amp;" ·",ROW(分期持仓明细!$A$34),0)</f>
        <v>0</v>
      </c>
      <c r="O115">
        <f>IF(LEFT(分期持仓明细!$A$34,LEN(I$81)+2)=I$81&amp;" ·",ROW(分期持仓明细!$A$34),0)</f>
        <v>0</v>
      </c>
      <c r="P115">
        <f>IF(LEFT(分期持仓明细!$A$34,LEN(J$81)+2)=J$81&amp;" ·",ROW(分期持仓明细!$A$34),0)</f>
        <v>0</v>
      </c>
      <c r="Q115">
        <f>IF(LEFT(分期持仓明细!$A$34,LEN(K$81)+2)=K$81&amp;" ·",ROW(分期持仓明细!$A$34),0)</f>
        <v>0</v>
      </c>
      <c r="R115">
        <f>IF(LEFT(分期持仓明细!$A$34,LEN(L$81)+2)=L$81&amp;" ·",ROW(分期持仓明细!$A$34),0)</f>
        <v>0</v>
      </c>
    </row>
    <row r="116" spans="13:18">
      <c r="M116">
        <f>IF(LEFT(分期持仓明细!$A$35,LEN(G$81)+2)=G$81&amp;" ·",ROW(分期持仓明细!$A$35),0)</f>
        <v>0</v>
      </c>
      <c r="N116">
        <f>IF(LEFT(分期持仓明细!$A$35,LEN(H$81)+2)=H$81&amp;" ·",ROW(分期持仓明细!$A$35),0)</f>
        <v>0</v>
      </c>
      <c r="O116">
        <f>IF(LEFT(分期持仓明细!$A$35,LEN(I$81)+2)=I$81&amp;" ·",ROW(分期持仓明细!$A$35),0)</f>
        <v>0</v>
      </c>
      <c r="P116">
        <f>IF(LEFT(分期持仓明细!$A$35,LEN(J$81)+2)=J$81&amp;" ·",ROW(分期持仓明细!$A$35),0)</f>
        <v>0</v>
      </c>
      <c r="Q116">
        <f>IF(LEFT(分期持仓明细!$A$35,LEN(K$81)+2)=K$81&amp;" ·",ROW(分期持仓明细!$A$35),0)</f>
        <v>0</v>
      </c>
      <c r="R116">
        <f>IF(LEFT(分期持仓明细!$A$35,LEN(L$81)+2)=L$81&amp;" ·",ROW(分期持仓明细!$A$35),0)</f>
        <v>0</v>
      </c>
    </row>
    <row r="117" spans="13:18">
      <c r="M117">
        <f>IF(LEFT(分期持仓明细!$A$36,LEN(G$81)+2)=G$81&amp;" ·",ROW(分期持仓明细!$A$36),0)</f>
        <v>0</v>
      </c>
      <c r="N117">
        <f>IF(LEFT(分期持仓明细!$A$36,LEN(H$81)+2)=H$81&amp;" ·",ROW(分期持仓明细!$A$36),0)</f>
        <v>0</v>
      </c>
      <c r="O117">
        <f>IF(LEFT(分期持仓明细!$A$36,LEN(I$81)+2)=I$81&amp;" ·",ROW(分期持仓明细!$A$36),0)</f>
        <v>0</v>
      </c>
      <c r="P117">
        <f>IF(LEFT(分期持仓明细!$A$36,LEN(J$81)+2)=J$81&amp;" ·",ROW(分期持仓明细!$A$36),0)</f>
        <v>0</v>
      </c>
      <c r="Q117">
        <f>IF(LEFT(分期持仓明细!$A$36,LEN(K$81)+2)=K$81&amp;" ·",ROW(分期持仓明细!$A$36),0)</f>
        <v>0</v>
      </c>
      <c r="R117">
        <f>IF(LEFT(分期持仓明细!$A$36,LEN(L$81)+2)=L$81&amp;" ·",ROW(分期持仓明细!$A$36),0)</f>
        <v>0</v>
      </c>
    </row>
    <row r="118" spans="13:18">
      <c r="M118">
        <f>IF(LEFT(分期持仓明细!$A$37,LEN(G$81)+2)=G$81&amp;" ·",ROW(分期持仓明细!$A$37),0)</f>
        <v>0</v>
      </c>
      <c r="N118">
        <f>IF(LEFT(分期持仓明细!$A$37,LEN(H$81)+2)=H$81&amp;" ·",ROW(分期持仓明细!$A$37),0)</f>
        <v>0</v>
      </c>
      <c r="O118">
        <f>IF(LEFT(分期持仓明细!$A$37,LEN(I$81)+2)=I$81&amp;" ·",ROW(分期持仓明细!$A$37),0)</f>
        <v>0</v>
      </c>
      <c r="P118">
        <f>IF(LEFT(分期持仓明细!$A$37,LEN(J$81)+2)=J$81&amp;" ·",ROW(分期持仓明细!$A$37),0)</f>
        <v>0</v>
      </c>
      <c r="Q118">
        <f>IF(LEFT(分期持仓明细!$A$37,LEN(K$81)+2)=K$81&amp;" ·",ROW(分期持仓明细!$A$37),0)</f>
        <v>0</v>
      </c>
      <c r="R118">
        <f>IF(LEFT(分期持仓明细!$A$37,LEN(L$81)+2)=L$81&amp;" ·",ROW(分期持仓明细!$A$37),0)</f>
        <v>0</v>
      </c>
    </row>
    <row r="119" spans="13:18">
      <c r="M119">
        <f>IF(LEFT(分期持仓明细!$A$38,LEN(G$81)+2)=G$81&amp;" ·",ROW(分期持仓明细!$A$38),0)</f>
        <v>0</v>
      </c>
      <c r="N119">
        <f>IF(LEFT(分期持仓明细!$A$38,LEN(H$81)+2)=H$81&amp;" ·",ROW(分期持仓明细!$A$38),0)</f>
        <v>0</v>
      </c>
      <c r="O119">
        <f>IF(LEFT(分期持仓明细!$A$38,LEN(I$81)+2)=I$81&amp;" ·",ROW(分期持仓明细!$A$38),0)</f>
        <v>0</v>
      </c>
      <c r="P119">
        <f>IF(LEFT(分期持仓明细!$A$38,LEN(J$81)+2)=J$81&amp;" ·",ROW(分期持仓明细!$A$38),0)</f>
        <v>0</v>
      </c>
      <c r="Q119">
        <f>IF(LEFT(分期持仓明细!$A$38,LEN(K$81)+2)=K$81&amp;" ·",ROW(分期持仓明细!$A$38),0)</f>
        <v>0</v>
      </c>
      <c r="R119">
        <f>IF(LEFT(分期持仓明细!$A$38,LEN(L$81)+2)=L$81&amp;" ·",ROW(分期持仓明细!$A$38),0)</f>
        <v>0</v>
      </c>
    </row>
    <row r="120" spans="13:18">
      <c r="M120">
        <f>IF(LEFT(分期持仓明细!$A$39,LEN(G$81)+2)=G$81&amp;" ·",ROW(分期持仓明细!$A$39),0)</f>
        <v>0</v>
      </c>
      <c r="N120">
        <f>IF(LEFT(分期持仓明细!$A$39,LEN(H$81)+2)=H$81&amp;" ·",ROW(分期持仓明细!$A$39),0)</f>
        <v>0</v>
      </c>
      <c r="O120">
        <f>IF(LEFT(分期持仓明细!$A$39,LEN(I$81)+2)=I$81&amp;" ·",ROW(分期持仓明细!$A$39),0)</f>
        <v>0</v>
      </c>
      <c r="P120">
        <f>IF(LEFT(分期持仓明细!$A$39,LEN(J$81)+2)=J$81&amp;" ·",ROW(分期持仓明细!$A$39),0)</f>
        <v>0</v>
      </c>
      <c r="Q120">
        <f>IF(LEFT(分期持仓明细!$A$39,LEN(K$81)+2)=K$81&amp;" ·",ROW(分期持仓明细!$A$39),0)</f>
        <v>0</v>
      </c>
      <c r="R120">
        <f>IF(LEFT(分期持仓明细!$A$39,LEN(L$81)+2)=L$81&amp;" ·",ROW(分期持仓明细!$A$39),0)</f>
        <v>0</v>
      </c>
    </row>
    <row r="121" spans="13:18">
      <c r="M121">
        <f>IF(LEFT(分期持仓明细!$A$40,LEN(G$81)+2)=G$81&amp;" ·",ROW(分期持仓明细!$A$40),0)</f>
        <v>0</v>
      </c>
      <c r="N121">
        <f>IF(LEFT(分期持仓明细!$A$40,LEN(H$81)+2)=H$81&amp;" ·",ROW(分期持仓明细!$A$40),0)</f>
        <v>0</v>
      </c>
      <c r="O121">
        <f>IF(LEFT(分期持仓明细!$A$40,LEN(I$81)+2)=I$81&amp;" ·",ROW(分期持仓明细!$A$40),0)</f>
        <v>0</v>
      </c>
      <c r="P121">
        <f>IF(LEFT(分期持仓明细!$A$40,LEN(J$81)+2)=J$81&amp;" ·",ROW(分期持仓明细!$A$40),0)</f>
        <v>0</v>
      </c>
      <c r="Q121">
        <f>IF(LEFT(分期持仓明细!$A$40,LEN(K$81)+2)=K$81&amp;" ·",ROW(分期持仓明细!$A$40),0)</f>
        <v>0</v>
      </c>
      <c r="R121">
        <f>IF(LEFT(分期持仓明细!$A$40,LEN(L$81)+2)=L$81&amp;" ·",ROW(分期持仓明细!$A$40),0)</f>
        <v>0</v>
      </c>
    </row>
    <row r="122" spans="13:18">
      <c r="M122">
        <f>IF(LEFT(分期持仓明细!$A$41,LEN(G$81)+2)=G$81&amp;" ·",ROW(分期持仓明细!$A$41),0)</f>
        <v>0</v>
      </c>
      <c r="N122">
        <f>IF(LEFT(分期持仓明细!$A$41,LEN(H$81)+2)=H$81&amp;" ·",ROW(分期持仓明细!$A$41),0)</f>
        <v>0</v>
      </c>
      <c r="O122">
        <f>IF(LEFT(分期持仓明细!$A$41,LEN(I$81)+2)=I$81&amp;" ·",ROW(分期持仓明细!$A$41),0)</f>
        <v>0</v>
      </c>
      <c r="P122">
        <f>IF(LEFT(分期持仓明细!$A$41,LEN(J$81)+2)=J$81&amp;" ·",ROW(分期持仓明细!$A$41),0)</f>
        <v>0</v>
      </c>
      <c r="Q122">
        <f>IF(LEFT(分期持仓明细!$A$41,LEN(K$81)+2)=K$81&amp;" ·",ROW(分期持仓明细!$A$41),0)</f>
        <v>0</v>
      </c>
      <c r="R122">
        <f>IF(LEFT(分期持仓明细!$A$41,LEN(L$81)+2)=L$81&amp;" ·",ROW(分期持仓明细!$A$41),0)</f>
        <v>0</v>
      </c>
    </row>
    <row r="123" spans="13:18">
      <c r="M123">
        <f>IF(LEFT(分期持仓明细!$A$42,LEN(G$81)+2)=G$81&amp;" ·",ROW(分期持仓明细!$A$42),0)</f>
        <v>0</v>
      </c>
      <c r="N123">
        <f>IF(LEFT(分期持仓明细!$A$42,LEN(H$81)+2)=H$81&amp;" ·",ROW(分期持仓明细!$A$42),0)</f>
        <v>0</v>
      </c>
      <c r="O123">
        <f>IF(LEFT(分期持仓明细!$A$42,LEN(I$81)+2)=I$81&amp;" ·",ROW(分期持仓明细!$A$42),0)</f>
        <v>0</v>
      </c>
      <c r="P123">
        <f>IF(LEFT(分期持仓明细!$A$42,LEN(J$81)+2)=J$81&amp;" ·",ROW(分期持仓明细!$A$42),0)</f>
        <v>0</v>
      </c>
      <c r="Q123">
        <f>IF(LEFT(分期持仓明细!$A$42,LEN(K$81)+2)=K$81&amp;" ·",ROW(分期持仓明细!$A$42),0)</f>
        <v>0</v>
      </c>
      <c r="R123">
        <f>IF(LEFT(分期持仓明细!$A$42,LEN(L$81)+2)=L$81&amp;" ·",ROW(分期持仓明细!$A$42),0)</f>
        <v>0</v>
      </c>
    </row>
    <row r="124" spans="13:18">
      <c r="M124">
        <f>IF(LEFT(分期持仓明细!$A$43,LEN(G$81)+2)=G$81&amp;" ·",ROW(分期持仓明细!$A$43),0)</f>
        <v>0</v>
      </c>
      <c r="N124">
        <f>IF(LEFT(分期持仓明细!$A$43,LEN(H$81)+2)=H$81&amp;" ·",ROW(分期持仓明细!$A$43),0)</f>
        <v>0</v>
      </c>
      <c r="O124">
        <f>IF(LEFT(分期持仓明细!$A$43,LEN(I$81)+2)=I$81&amp;" ·",ROW(分期持仓明细!$A$43),0)</f>
        <v>0</v>
      </c>
      <c r="P124">
        <f>IF(LEFT(分期持仓明细!$A$43,LEN(J$81)+2)=J$81&amp;" ·",ROW(分期持仓明细!$A$43),0)</f>
        <v>0</v>
      </c>
      <c r="Q124">
        <f>IF(LEFT(分期持仓明细!$A$43,LEN(K$81)+2)=K$81&amp;" ·",ROW(分期持仓明细!$A$43),0)</f>
        <v>0</v>
      </c>
      <c r="R124">
        <f>IF(LEFT(分期持仓明细!$A$43,LEN(L$81)+2)=L$81&amp;" ·",ROW(分期持仓明细!$A$43),0)</f>
        <v>0</v>
      </c>
    </row>
    <row r="125" spans="13:18">
      <c r="M125">
        <f>IF(LEFT(分期持仓明细!$A$44,LEN(G$81)+2)=G$81&amp;" ·",ROW(分期持仓明细!$A$44),0)</f>
        <v>0</v>
      </c>
      <c r="N125">
        <f>IF(LEFT(分期持仓明细!$A$44,LEN(H$81)+2)=H$81&amp;" ·",ROW(分期持仓明细!$A$44),0)</f>
        <v>0</v>
      </c>
      <c r="O125">
        <f>IF(LEFT(分期持仓明细!$A$44,LEN(I$81)+2)=I$81&amp;" ·",ROW(分期持仓明细!$A$44),0)</f>
        <v>0</v>
      </c>
      <c r="P125">
        <f>IF(LEFT(分期持仓明细!$A$44,LEN(J$81)+2)=J$81&amp;" ·",ROW(分期持仓明细!$A$44),0)</f>
        <v>0</v>
      </c>
      <c r="Q125">
        <f>IF(LEFT(分期持仓明细!$A$44,LEN(K$81)+2)=K$81&amp;" ·",ROW(分期持仓明细!$A$44),0)</f>
        <v>0</v>
      </c>
      <c r="R125">
        <f>IF(LEFT(分期持仓明细!$A$44,LEN(L$81)+2)=L$81&amp;" ·",ROW(分期持仓明细!$A$44),0)</f>
        <v>0</v>
      </c>
    </row>
    <row r="126" spans="13:18">
      <c r="M126">
        <f>IF(LEFT(分期持仓明细!$A$45,LEN(G$81)+2)=G$81&amp;" ·",ROW(分期持仓明细!$A$45),0)</f>
        <v>0</v>
      </c>
      <c r="N126">
        <f>IF(LEFT(分期持仓明细!$A$45,LEN(H$81)+2)=H$81&amp;" ·",ROW(分期持仓明细!$A$45),0)</f>
        <v>0</v>
      </c>
      <c r="O126">
        <f>IF(LEFT(分期持仓明细!$A$45,LEN(I$81)+2)=I$81&amp;" ·",ROW(分期持仓明细!$A$45),0)</f>
        <v>0</v>
      </c>
      <c r="P126">
        <f>IF(LEFT(分期持仓明细!$A$45,LEN(J$81)+2)=J$81&amp;" ·",ROW(分期持仓明细!$A$45),0)</f>
        <v>0</v>
      </c>
      <c r="Q126">
        <f>IF(LEFT(分期持仓明细!$A$45,LEN(K$81)+2)=K$81&amp;" ·",ROW(分期持仓明细!$A$45),0)</f>
        <v>0</v>
      </c>
      <c r="R126">
        <f>IF(LEFT(分期持仓明细!$A$45,LEN(L$81)+2)=L$81&amp;" ·",ROW(分期持仓明细!$A$45),0)</f>
        <v>0</v>
      </c>
    </row>
    <row r="127" spans="13:18">
      <c r="M127">
        <f>IF(LEFT(分期持仓明细!$A$46,LEN(G$81)+2)=G$81&amp;" ·",ROW(分期持仓明细!$A$46),0)</f>
        <v>0</v>
      </c>
      <c r="N127">
        <f>IF(LEFT(分期持仓明细!$A$46,LEN(H$81)+2)=H$81&amp;" ·",ROW(分期持仓明细!$A$46),0)</f>
        <v>0</v>
      </c>
      <c r="O127">
        <f>IF(LEFT(分期持仓明细!$A$46,LEN(I$81)+2)=I$81&amp;" ·",ROW(分期持仓明细!$A$46),0)</f>
        <v>0</v>
      </c>
      <c r="P127">
        <f>IF(LEFT(分期持仓明细!$A$46,LEN(J$81)+2)=J$81&amp;" ·",ROW(分期持仓明细!$A$46),0)</f>
        <v>0</v>
      </c>
      <c r="Q127">
        <f>IF(LEFT(分期持仓明细!$A$46,LEN(K$81)+2)=K$81&amp;" ·",ROW(分期持仓明细!$A$46),0)</f>
        <v>0</v>
      </c>
      <c r="R127">
        <f>IF(LEFT(分期持仓明细!$A$46,LEN(L$81)+2)=L$81&amp;" ·",ROW(分期持仓明细!$A$46),0)</f>
        <v>0</v>
      </c>
    </row>
    <row r="128" spans="13:18">
      <c r="M128">
        <f>IF(LEFT(分期持仓明细!$A$47,LEN(G$81)+2)=G$81&amp;" ·",ROW(分期持仓明细!$A$47),0)</f>
        <v>0</v>
      </c>
      <c r="N128">
        <f>IF(LEFT(分期持仓明细!$A$47,LEN(H$81)+2)=H$81&amp;" ·",ROW(分期持仓明细!$A$47),0)</f>
        <v>0</v>
      </c>
      <c r="O128">
        <f>IF(LEFT(分期持仓明细!$A$47,LEN(I$81)+2)=I$81&amp;" ·",ROW(分期持仓明细!$A$47),0)</f>
        <v>0</v>
      </c>
      <c r="P128">
        <f>IF(LEFT(分期持仓明细!$A$47,LEN(J$81)+2)=J$81&amp;" ·",ROW(分期持仓明细!$A$47),0)</f>
        <v>0</v>
      </c>
      <c r="Q128">
        <f>IF(LEFT(分期持仓明细!$A$47,LEN(K$81)+2)=K$81&amp;" ·",ROW(分期持仓明细!$A$47),0)</f>
        <v>0</v>
      </c>
      <c r="R128">
        <f>IF(LEFT(分期持仓明细!$A$47,LEN(L$81)+2)=L$81&amp;" ·",ROW(分期持仓明细!$A$47),0)</f>
        <v>0</v>
      </c>
    </row>
    <row r="129" spans="13:18">
      <c r="M129">
        <f>IF(LEFT(分期持仓明细!$A$48,LEN(G$81)+2)=G$81&amp;" ·",ROW(分期持仓明细!$A$48),0)</f>
        <v>0</v>
      </c>
      <c r="N129">
        <f>IF(LEFT(分期持仓明细!$A$48,LEN(H$81)+2)=H$81&amp;" ·",ROW(分期持仓明细!$A$48),0)</f>
        <v>0</v>
      </c>
      <c r="O129">
        <f>IF(LEFT(分期持仓明细!$A$48,LEN(I$81)+2)=I$81&amp;" ·",ROW(分期持仓明细!$A$48),0)</f>
        <v>0</v>
      </c>
      <c r="P129">
        <f>IF(LEFT(分期持仓明细!$A$48,LEN(J$81)+2)=J$81&amp;" ·",ROW(分期持仓明细!$A$48),0)</f>
        <v>0</v>
      </c>
      <c r="Q129">
        <f>IF(LEFT(分期持仓明细!$A$48,LEN(K$81)+2)=K$81&amp;" ·",ROW(分期持仓明细!$A$48),0)</f>
        <v>0</v>
      </c>
      <c r="R129">
        <f>IF(LEFT(分期持仓明细!$A$48,LEN(L$81)+2)=L$81&amp;" ·",ROW(分期持仓明细!$A$48),0)</f>
        <v>0</v>
      </c>
    </row>
    <row r="130" spans="13:18">
      <c r="M130">
        <f>IF(LEFT(分期持仓明细!$A$49,LEN(G$81)+2)=G$81&amp;" ·",ROW(分期持仓明细!$A$49),0)</f>
        <v>0</v>
      </c>
      <c r="N130">
        <f>IF(LEFT(分期持仓明细!$A$49,LEN(H$81)+2)=H$81&amp;" ·",ROW(分期持仓明细!$A$49),0)</f>
        <v>0</v>
      </c>
      <c r="O130">
        <f>IF(LEFT(分期持仓明细!$A$49,LEN(I$81)+2)=I$81&amp;" ·",ROW(分期持仓明细!$A$49),0)</f>
        <v>0</v>
      </c>
      <c r="P130">
        <f>IF(LEFT(分期持仓明细!$A$49,LEN(J$81)+2)=J$81&amp;" ·",ROW(分期持仓明细!$A$49),0)</f>
        <v>0</v>
      </c>
      <c r="Q130">
        <f>IF(LEFT(分期持仓明细!$A$49,LEN(K$81)+2)=K$81&amp;" ·",ROW(分期持仓明细!$A$49),0)</f>
        <v>0</v>
      </c>
      <c r="R130">
        <f>IF(LEFT(分期持仓明细!$A$49,LEN(L$81)+2)=L$81&amp;" ·",ROW(分期持仓明细!$A$49),0)</f>
        <v>0</v>
      </c>
    </row>
    <row r="131" spans="13:18">
      <c r="M131">
        <f>IF(LEFT(分期持仓明细!$A$50,LEN(G$81)+2)=G$81&amp;" ·",ROW(分期持仓明细!$A$50),0)</f>
        <v>0</v>
      </c>
      <c r="N131">
        <f>IF(LEFT(分期持仓明细!$A$50,LEN(H$81)+2)=H$81&amp;" ·",ROW(分期持仓明细!$A$50),0)</f>
        <v>0</v>
      </c>
      <c r="O131">
        <f>IF(LEFT(分期持仓明细!$A$50,LEN(I$81)+2)=I$81&amp;" ·",ROW(分期持仓明细!$A$50),0)</f>
        <v>0</v>
      </c>
      <c r="P131">
        <f>IF(LEFT(分期持仓明细!$A$50,LEN(J$81)+2)=J$81&amp;" ·",ROW(分期持仓明细!$A$50),0)</f>
        <v>0</v>
      </c>
      <c r="Q131">
        <f>IF(LEFT(分期持仓明细!$A$50,LEN(K$81)+2)=K$81&amp;" ·",ROW(分期持仓明细!$A$50),0)</f>
        <v>0</v>
      </c>
      <c r="R131">
        <f>IF(LEFT(分期持仓明细!$A$50,LEN(L$81)+2)=L$81&amp;" ·",ROW(分期持仓明细!$A$50),0)</f>
        <v>0</v>
      </c>
    </row>
    <row r="132" spans="13:18">
      <c r="M132">
        <f>IF(LEFT(分期持仓明细!$A$51,LEN(G$81)+2)=G$81&amp;" ·",ROW(分期持仓明细!$A$51),0)</f>
        <v>0</v>
      </c>
      <c r="N132">
        <f>IF(LEFT(分期持仓明细!$A$51,LEN(H$81)+2)=H$81&amp;" ·",ROW(分期持仓明细!$A$51),0)</f>
        <v>0</v>
      </c>
      <c r="O132">
        <f>IF(LEFT(分期持仓明细!$A$51,LEN(I$81)+2)=I$81&amp;" ·",ROW(分期持仓明细!$A$51),0)</f>
        <v>0</v>
      </c>
      <c r="P132">
        <f>IF(LEFT(分期持仓明细!$A$51,LEN(J$81)+2)=J$81&amp;" ·",ROW(分期持仓明细!$A$51),0)</f>
        <v>0</v>
      </c>
      <c r="Q132">
        <f>IF(LEFT(分期持仓明细!$A$51,LEN(K$81)+2)=K$81&amp;" ·",ROW(分期持仓明细!$A$51),0)</f>
        <v>0</v>
      </c>
      <c r="R132">
        <f>IF(LEFT(分期持仓明细!$A$51,LEN(L$81)+2)=L$81&amp;" ·",ROW(分期持仓明细!$A$51),0)</f>
        <v>0</v>
      </c>
    </row>
    <row r="133" spans="13:18">
      <c r="M133">
        <f>IF(LEFT(分期持仓明细!$A$52,LEN(G$81)+2)=G$81&amp;" ·",ROW(分期持仓明细!$A$52),0)</f>
        <v>0</v>
      </c>
      <c r="N133">
        <f>IF(LEFT(分期持仓明细!$A$52,LEN(H$81)+2)=H$81&amp;" ·",ROW(分期持仓明细!$A$52),0)</f>
        <v>0</v>
      </c>
      <c r="O133">
        <f>IF(LEFT(分期持仓明细!$A$52,LEN(I$81)+2)=I$81&amp;" ·",ROW(分期持仓明细!$A$52),0)</f>
        <v>0</v>
      </c>
      <c r="P133">
        <f>IF(LEFT(分期持仓明细!$A$52,LEN(J$81)+2)=J$81&amp;" ·",ROW(分期持仓明细!$A$52),0)</f>
        <v>0</v>
      </c>
      <c r="Q133">
        <f>IF(LEFT(分期持仓明细!$A$52,LEN(K$81)+2)=K$81&amp;" ·",ROW(分期持仓明细!$A$52),0)</f>
        <v>0</v>
      </c>
      <c r="R133">
        <f>IF(LEFT(分期持仓明细!$A$52,LEN(L$81)+2)=L$81&amp;" ·",ROW(分期持仓明细!$A$52),0)</f>
        <v>0</v>
      </c>
    </row>
    <row r="134" spans="13:18">
      <c r="M134">
        <f>IF(LEFT(分期持仓明细!$A$53,LEN(G$81)+2)=G$81&amp;" ·",ROW(分期持仓明细!$A$53),0)</f>
        <v>0</v>
      </c>
      <c r="N134">
        <f>IF(LEFT(分期持仓明细!$A$53,LEN(H$81)+2)=H$81&amp;" ·",ROW(分期持仓明细!$A$53),0)</f>
        <v>0</v>
      </c>
      <c r="O134">
        <f>IF(LEFT(分期持仓明细!$A$53,LEN(I$81)+2)=I$81&amp;" ·",ROW(分期持仓明细!$A$53),0)</f>
        <v>0</v>
      </c>
      <c r="P134">
        <f>IF(LEFT(分期持仓明细!$A$53,LEN(J$81)+2)=J$81&amp;" ·",ROW(分期持仓明细!$A$53),0)</f>
        <v>0</v>
      </c>
      <c r="Q134">
        <f>IF(LEFT(分期持仓明细!$A$53,LEN(K$81)+2)=K$81&amp;" ·",ROW(分期持仓明细!$A$53),0)</f>
        <v>0</v>
      </c>
      <c r="R134">
        <f>IF(LEFT(分期持仓明细!$A$53,LEN(L$81)+2)=L$81&amp;" ·",ROW(分期持仓明细!$A$53),0)</f>
        <v>0</v>
      </c>
    </row>
    <row r="135" spans="13:18">
      <c r="M135">
        <f>IF(LEFT(分期持仓明细!$A$54,LEN(G$81)+2)=G$81&amp;" ·",ROW(分期持仓明细!$A$54),0)</f>
        <v>0</v>
      </c>
      <c r="N135">
        <f>IF(LEFT(分期持仓明细!$A$54,LEN(H$81)+2)=H$81&amp;" ·",ROW(分期持仓明细!$A$54),0)</f>
        <v>0</v>
      </c>
      <c r="O135">
        <f>IF(LEFT(分期持仓明细!$A$54,LEN(I$81)+2)=I$81&amp;" ·",ROW(分期持仓明细!$A$54),0)</f>
        <v>0</v>
      </c>
      <c r="P135">
        <f>IF(LEFT(分期持仓明细!$A$54,LEN(J$81)+2)=J$81&amp;" ·",ROW(分期持仓明细!$A$54),0)</f>
        <v>0</v>
      </c>
      <c r="Q135">
        <f>IF(LEFT(分期持仓明细!$A$54,LEN(K$81)+2)=K$81&amp;" ·",ROW(分期持仓明细!$A$54),0)</f>
        <v>0</v>
      </c>
      <c r="R135">
        <f>IF(LEFT(分期持仓明细!$A$54,LEN(L$81)+2)=L$81&amp;" ·",ROW(分期持仓明细!$A$54),0)</f>
        <v>0</v>
      </c>
    </row>
    <row r="136" spans="13:18">
      <c r="M136">
        <f>IF(LEFT(分期持仓明细!$A$55,LEN(G$81)+2)=G$81&amp;" ·",ROW(分期持仓明细!$A$55),0)</f>
        <v>0</v>
      </c>
      <c r="N136">
        <f>IF(LEFT(分期持仓明细!$A$55,LEN(H$81)+2)=H$81&amp;" ·",ROW(分期持仓明细!$A$55),0)</f>
        <v>0</v>
      </c>
      <c r="O136">
        <f>IF(LEFT(分期持仓明细!$A$55,LEN(I$81)+2)=I$81&amp;" ·",ROW(分期持仓明细!$A$55),0)</f>
        <v>0</v>
      </c>
      <c r="P136">
        <f>IF(LEFT(分期持仓明细!$A$55,LEN(J$81)+2)=J$81&amp;" ·",ROW(分期持仓明细!$A$55),0)</f>
        <v>0</v>
      </c>
      <c r="Q136">
        <f>IF(LEFT(分期持仓明细!$A$55,LEN(K$81)+2)=K$81&amp;" ·",ROW(分期持仓明细!$A$55),0)</f>
        <v>0</v>
      </c>
      <c r="R136">
        <f>IF(LEFT(分期持仓明细!$A$55,LEN(L$81)+2)=L$81&amp;" ·",ROW(分期持仓明细!$A$55),0)</f>
        <v>0</v>
      </c>
    </row>
    <row r="137" spans="13:18">
      <c r="M137">
        <f>IF(LEFT(分期持仓明细!$A$56,LEN(G$81)+2)=G$81&amp;" ·",ROW(分期持仓明细!$A$56),0)</f>
        <v>0</v>
      </c>
      <c r="N137">
        <f>IF(LEFT(分期持仓明细!$A$56,LEN(H$81)+2)=H$81&amp;" ·",ROW(分期持仓明细!$A$56),0)</f>
        <v>0</v>
      </c>
      <c r="O137">
        <f>IF(LEFT(分期持仓明细!$A$56,LEN(I$81)+2)=I$81&amp;" ·",ROW(分期持仓明细!$A$56),0)</f>
        <v>0</v>
      </c>
      <c r="P137">
        <f>IF(LEFT(分期持仓明细!$A$56,LEN(J$81)+2)=J$81&amp;" ·",ROW(分期持仓明细!$A$56),0)</f>
        <v>0</v>
      </c>
      <c r="Q137">
        <f>IF(LEFT(分期持仓明细!$A$56,LEN(K$81)+2)=K$81&amp;" ·",ROW(分期持仓明细!$A$56),0)</f>
        <v>0</v>
      </c>
      <c r="R137">
        <f>IF(LEFT(分期持仓明细!$A$56,LEN(L$81)+2)=L$81&amp;" ·",ROW(分期持仓明细!$A$56),0)</f>
        <v>0</v>
      </c>
    </row>
    <row r="138" spans="13:18">
      <c r="M138">
        <f>IF(LEFT(分期持仓明细!$A$57,LEN(G$81)+2)=G$81&amp;" ·",ROW(分期持仓明细!$A$57),0)</f>
        <v>0</v>
      </c>
      <c r="N138">
        <f>IF(LEFT(分期持仓明细!$A$57,LEN(H$81)+2)=H$81&amp;" ·",ROW(分期持仓明细!$A$57),0)</f>
        <v>0</v>
      </c>
      <c r="O138">
        <f>IF(LEFT(分期持仓明细!$A$57,LEN(I$81)+2)=I$81&amp;" ·",ROW(分期持仓明细!$A$57),0)</f>
        <v>0</v>
      </c>
      <c r="P138">
        <f>IF(LEFT(分期持仓明细!$A$57,LEN(J$81)+2)=J$81&amp;" ·",ROW(分期持仓明细!$A$57),0)</f>
        <v>0</v>
      </c>
      <c r="Q138">
        <f>IF(LEFT(分期持仓明细!$A$57,LEN(K$81)+2)=K$81&amp;" ·",ROW(分期持仓明细!$A$57),0)</f>
        <v>0</v>
      </c>
      <c r="R138">
        <f>IF(LEFT(分期持仓明细!$A$57,LEN(L$81)+2)=L$81&amp;" ·",ROW(分期持仓明细!$A$57),0)</f>
        <v>0</v>
      </c>
    </row>
    <row r="139" spans="13:18">
      <c r="M139">
        <f>IF(LEFT(分期持仓明细!$A$58,LEN(G$81)+2)=G$81&amp;" ·",ROW(分期持仓明细!$A$58),0)</f>
        <v>0</v>
      </c>
      <c r="N139">
        <f>IF(LEFT(分期持仓明细!$A$58,LEN(H$81)+2)=H$81&amp;" ·",ROW(分期持仓明细!$A$58),0)</f>
        <v>0</v>
      </c>
      <c r="O139">
        <f>IF(LEFT(分期持仓明细!$A$58,LEN(I$81)+2)=I$81&amp;" ·",ROW(分期持仓明细!$A$58),0)</f>
        <v>0</v>
      </c>
      <c r="P139">
        <f>IF(LEFT(分期持仓明细!$A$58,LEN(J$81)+2)=J$81&amp;" ·",ROW(分期持仓明细!$A$58),0)</f>
        <v>0</v>
      </c>
      <c r="Q139">
        <f>IF(LEFT(分期持仓明细!$A$58,LEN(K$81)+2)=K$81&amp;" ·",ROW(分期持仓明细!$A$58),0)</f>
        <v>0</v>
      </c>
      <c r="R139">
        <f>IF(LEFT(分期持仓明细!$A$58,LEN(L$81)+2)=L$81&amp;" ·",ROW(分期持仓明细!$A$58),0)</f>
        <v>0</v>
      </c>
    </row>
    <row r="140" spans="13:18">
      <c r="M140">
        <f>IF(LEFT(分期持仓明细!$A$59,LEN(G$81)+2)=G$81&amp;" ·",ROW(分期持仓明细!$A$59),0)</f>
        <v>0</v>
      </c>
      <c r="N140">
        <f>IF(LEFT(分期持仓明细!$A$59,LEN(H$81)+2)=H$81&amp;" ·",ROW(分期持仓明细!$A$59),0)</f>
        <v>0</v>
      </c>
      <c r="O140">
        <f>IF(LEFT(分期持仓明细!$A$59,LEN(I$81)+2)=I$81&amp;" ·",ROW(分期持仓明细!$A$59),0)</f>
        <v>0</v>
      </c>
      <c r="P140">
        <f>IF(LEFT(分期持仓明细!$A$59,LEN(J$81)+2)=J$81&amp;" ·",ROW(分期持仓明细!$A$59),0)</f>
        <v>0</v>
      </c>
      <c r="Q140">
        <f>IF(LEFT(分期持仓明细!$A$59,LEN(K$81)+2)=K$81&amp;" ·",ROW(分期持仓明细!$A$59),0)</f>
        <v>0</v>
      </c>
      <c r="R140">
        <f>IF(LEFT(分期持仓明细!$A$59,LEN(L$81)+2)=L$81&amp;" ·",ROW(分期持仓明细!$A$59),0)</f>
        <v>0</v>
      </c>
    </row>
    <row r="141" spans="13:18">
      <c r="M141">
        <f>IF(LEFT(分期持仓明细!$A$60,LEN(G$81)+2)=G$81&amp;" ·",ROW(分期持仓明细!$A$60),0)</f>
        <v>0</v>
      </c>
      <c r="N141">
        <f>IF(LEFT(分期持仓明细!$A$60,LEN(H$81)+2)=H$81&amp;" ·",ROW(分期持仓明细!$A$60),0)</f>
        <v>0</v>
      </c>
      <c r="O141">
        <f>IF(LEFT(分期持仓明细!$A$60,LEN(I$81)+2)=I$81&amp;" ·",ROW(分期持仓明细!$A$60),0)</f>
        <v>0</v>
      </c>
      <c r="P141">
        <f>IF(LEFT(分期持仓明细!$A$60,LEN(J$81)+2)=J$81&amp;" ·",ROW(分期持仓明细!$A$60),0)</f>
        <v>0</v>
      </c>
      <c r="Q141">
        <f>IF(LEFT(分期持仓明细!$A$60,LEN(K$81)+2)=K$81&amp;" ·",ROW(分期持仓明细!$A$60),0)</f>
        <v>0</v>
      </c>
      <c r="R141">
        <f>IF(LEFT(分期持仓明细!$A$60,LEN(L$81)+2)=L$81&amp;" ·",ROW(分期持仓明细!$A$60),0)</f>
        <v>0</v>
      </c>
    </row>
    <row r="142" spans="13:18">
      <c r="M142">
        <f>IF(LEFT(分期持仓明细!$A$61,LEN(G$81)+2)=G$81&amp;" ·",ROW(分期持仓明细!$A$61),0)</f>
        <v>0</v>
      </c>
      <c r="N142">
        <f>IF(LEFT(分期持仓明细!$A$61,LEN(H$81)+2)=H$81&amp;" ·",ROW(分期持仓明细!$A$61),0)</f>
        <v>0</v>
      </c>
      <c r="O142">
        <f>IF(LEFT(分期持仓明细!$A$61,LEN(I$81)+2)=I$81&amp;" ·",ROW(分期持仓明细!$A$61),0)</f>
        <v>0</v>
      </c>
      <c r="P142">
        <f>IF(LEFT(分期持仓明细!$A$61,LEN(J$81)+2)=J$81&amp;" ·",ROW(分期持仓明细!$A$61),0)</f>
        <v>0</v>
      </c>
      <c r="Q142">
        <f>IF(LEFT(分期持仓明细!$A$61,LEN(K$81)+2)=K$81&amp;" ·",ROW(分期持仓明细!$A$61),0)</f>
        <v>0</v>
      </c>
      <c r="R142">
        <f>IF(LEFT(分期持仓明细!$A$61,LEN(L$81)+2)=L$81&amp;" ·",ROW(分期持仓明细!$A$61),0)</f>
        <v>0</v>
      </c>
    </row>
    <row r="143" spans="13:18">
      <c r="M143">
        <f>IF(LEFT(分期持仓明细!$A$62,LEN(G$81)+2)=G$81&amp;" ·",ROW(分期持仓明细!$A$62),0)</f>
        <v>0</v>
      </c>
      <c r="N143">
        <f>IF(LEFT(分期持仓明细!$A$62,LEN(H$81)+2)=H$81&amp;" ·",ROW(分期持仓明细!$A$62),0)</f>
        <v>0</v>
      </c>
      <c r="O143">
        <f>IF(LEFT(分期持仓明细!$A$62,LEN(I$81)+2)=I$81&amp;" ·",ROW(分期持仓明细!$A$62),0)</f>
        <v>0</v>
      </c>
      <c r="P143">
        <f>IF(LEFT(分期持仓明细!$A$62,LEN(J$81)+2)=J$81&amp;" ·",ROW(分期持仓明细!$A$62),0)</f>
        <v>0</v>
      </c>
      <c r="Q143">
        <f>IF(LEFT(分期持仓明细!$A$62,LEN(K$81)+2)=K$81&amp;" ·",ROW(分期持仓明细!$A$62),0)</f>
        <v>0</v>
      </c>
      <c r="R143">
        <f>IF(LEFT(分期持仓明细!$A$62,LEN(L$81)+2)=L$81&amp;" ·",ROW(分期持仓明细!$A$62),0)</f>
        <v>0</v>
      </c>
    </row>
    <row r="144" spans="13:18">
      <c r="M144">
        <f>IF(LEFT(分期持仓明细!$A$63,LEN(G$81)+2)=G$81&amp;" ·",ROW(分期持仓明细!$A$63),0)</f>
        <v>0</v>
      </c>
      <c r="N144">
        <f>IF(LEFT(分期持仓明细!$A$63,LEN(H$81)+2)=H$81&amp;" ·",ROW(分期持仓明细!$A$63),0)</f>
        <v>0</v>
      </c>
      <c r="O144">
        <f>IF(LEFT(分期持仓明细!$A$63,LEN(I$81)+2)=I$81&amp;" ·",ROW(分期持仓明细!$A$63),0)</f>
        <v>0</v>
      </c>
      <c r="P144">
        <f>IF(LEFT(分期持仓明细!$A$63,LEN(J$81)+2)=J$81&amp;" ·",ROW(分期持仓明细!$A$63),0)</f>
        <v>0</v>
      </c>
      <c r="Q144">
        <f>IF(LEFT(分期持仓明细!$A$63,LEN(K$81)+2)=K$81&amp;" ·",ROW(分期持仓明细!$A$63),0)</f>
        <v>0</v>
      </c>
      <c r="R144">
        <f>IF(LEFT(分期持仓明细!$A$63,LEN(L$81)+2)=L$81&amp;" ·",ROW(分期持仓明细!$A$63),0)</f>
        <v>0</v>
      </c>
    </row>
    <row r="145" spans="13:18">
      <c r="M145">
        <f>IF(LEFT(分期持仓明细!$A$64,LEN(G$81)+2)=G$81&amp;" ·",ROW(分期持仓明细!$A$64),0)</f>
        <v>0</v>
      </c>
      <c r="N145">
        <f>IF(LEFT(分期持仓明细!$A$64,LEN(H$81)+2)=H$81&amp;" ·",ROW(分期持仓明细!$A$64),0)</f>
        <v>0</v>
      </c>
      <c r="O145">
        <f>IF(LEFT(分期持仓明细!$A$64,LEN(I$81)+2)=I$81&amp;" ·",ROW(分期持仓明细!$A$64),0)</f>
        <v>0</v>
      </c>
      <c r="P145">
        <f>IF(LEFT(分期持仓明细!$A$64,LEN(J$81)+2)=J$81&amp;" ·",ROW(分期持仓明细!$A$64),0)</f>
        <v>0</v>
      </c>
      <c r="Q145">
        <f>IF(LEFT(分期持仓明细!$A$64,LEN(K$81)+2)=K$81&amp;" ·",ROW(分期持仓明细!$A$64),0)</f>
        <v>0</v>
      </c>
      <c r="R145">
        <f>IF(LEFT(分期持仓明细!$A$64,LEN(L$81)+2)=L$81&amp;" ·",ROW(分期持仓明细!$A$64),0)</f>
        <v>0</v>
      </c>
    </row>
    <row r="146" spans="13:18">
      <c r="M146">
        <f>IF(LEFT(分期持仓明细!$A$65,LEN(G$81)+2)=G$81&amp;" ·",ROW(分期持仓明细!$A$65),0)</f>
        <v>0</v>
      </c>
      <c r="N146">
        <f>IF(LEFT(分期持仓明细!$A$65,LEN(H$81)+2)=H$81&amp;" ·",ROW(分期持仓明细!$A$65),0)</f>
        <v>0</v>
      </c>
      <c r="O146">
        <f>IF(LEFT(分期持仓明细!$A$65,LEN(I$81)+2)=I$81&amp;" ·",ROW(分期持仓明细!$A$65),0)</f>
        <v>0</v>
      </c>
      <c r="P146">
        <f>IF(LEFT(分期持仓明细!$A$65,LEN(J$81)+2)=J$81&amp;" ·",ROW(分期持仓明细!$A$65),0)</f>
        <v>0</v>
      </c>
      <c r="Q146">
        <f>IF(LEFT(分期持仓明细!$A$65,LEN(K$81)+2)=K$81&amp;" ·",ROW(分期持仓明细!$A$65),0)</f>
        <v>0</v>
      </c>
      <c r="R146">
        <f>IF(LEFT(分期持仓明细!$A$65,LEN(L$81)+2)=L$81&amp;" ·",ROW(分期持仓明细!$A$65),0)</f>
        <v>0</v>
      </c>
    </row>
    <row r="147" spans="13:18">
      <c r="M147">
        <f>IF(LEFT(分期持仓明细!$A$66,LEN(G$81)+2)=G$81&amp;" ·",ROW(分期持仓明细!$A$66),0)</f>
        <v>0</v>
      </c>
      <c r="N147">
        <f>IF(LEFT(分期持仓明细!$A$66,LEN(H$81)+2)=H$81&amp;" ·",ROW(分期持仓明细!$A$66),0)</f>
        <v>0</v>
      </c>
      <c r="O147">
        <f>IF(LEFT(分期持仓明细!$A$66,LEN(I$81)+2)=I$81&amp;" ·",ROW(分期持仓明细!$A$66),0)</f>
        <v>0</v>
      </c>
      <c r="P147">
        <f>IF(LEFT(分期持仓明细!$A$66,LEN(J$81)+2)=J$81&amp;" ·",ROW(分期持仓明细!$A$66),0)</f>
        <v>0</v>
      </c>
      <c r="Q147">
        <f>IF(LEFT(分期持仓明细!$A$66,LEN(K$81)+2)=K$81&amp;" ·",ROW(分期持仓明细!$A$66),0)</f>
        <v>0</v>
      </c>
      <c r="R147">
        <f>IF(LEFT(分期持仓明细!$A$66,LEN(L$81)+2)=L$81&amp;" ·",ROW(分期持仓明细!$A$66),0)</f>
        <v>0</v>
      </c>
    </row>
    <row r="148" spans="13:18">
      <c r="M148">
        <f>IF(LEFT(分期持仓明细!$A$67,LEN(G$81)+2)=G$81&amp;" ·",ROW(分期持仓明细!$A$67),0)</f>
        <v>0</v>
      </c>
      <c r="N148">
        <f>IF(LEFT(分期持仓明细!$A$67,LEN(H$81)+2)=H$81&amp;" ·",ROW(分期持仓明细!$A$67),0)</f>
        <v>0</v>
      </c>
      <c r="O148">
        <f>IF(LEFT(分期持仓明细!$A$67,LEN(I$81)+2)=I$81&amp;" ·",ROW(分期持仓明细!$A$67),0)</f>
        <v>0</v>
      </c>
      <c r="P148">
        <f>IF(LEFT(分期持仓明细!$A$67,LEN(J$81)+2)=J$81&amp;" ·",ROW(分期持仓明细!$A$67),0)</f>
        <v>0</v>
      </c>
      <c r="Q148">
        <f>IF(LEFT(分期持仓明细!$A$67,LEN(K$81)+2)=K$81&amp;" ·",ROW(分期持仓明细!$A$67),0)</f>
        <v>0</v>
      </c>
      <c r="R148">
        <f>IF(LEFT(分期持仓明细!$A$67,LEN(L$81)+2)=L$81&amp;" ·",ROW(分期持仓明细!$A$67),0)</f>
        <v>0</v>
      </c>
    </row>
    <row r="149" spans="13:18">
      <c r="M149">
        <f>IF(LEFT(分期持仓明细!$A$68,LEN(G$81)+2)=G$81&amp;" ·",ROW(分期持仓明细!$A$68),0)</f>
        <v>0</v>
      </c>
      <c r="N149">
        <f>IF(LEFT(分期持仓明细!$A$68,LEN(H$81)+2)=H$81&amp;" ·",ROW(分期持仓明细!$A$68),0)</f>
        <v>0</v>
      </c>
      <c r="O149">
        <f>IF(LEFT(分期持仓明细!$A$68,LEN(I$81)+2)=I$81&amp;" ·",ROW(分期持仓明细!$A$68),0)</f>
        <v>0</v>
      </c>
      <c r="P149">
        <f>IF(LEFT(分期持仓明细!$A$68,LEN(J$81)+2)=J$81&amp;" ·",ROW(分期持仓明细!$A$68),0)</f>
        <v>0</v>
      </c>
      <c r="Q149">
        <f>IF(LEFT(分期持仓明细!$A$68,LEN(K$81)+2)=K$81&amp;" ·",ROW(分期持仓明细!$A$68),0)</f>
        <v>0</v>
      </c>
      <c r="R149">
        <f>IF(LEFT(分期持仓明细!$A$68,LEN(L$81)+2)=L$81&amp;" ·",ROW(分期持仓明细!$A$68),0)</f>
        <v>0</v>
      </c>
    </row>
    <row r="150" spans="13:18">
      <c r="M150">
        <f>IF(LEFT(分期持仓明细!$A$69,LEN(G$81)+2)=G$81&amp;" ·",ROW(分期持仓明细!$A$69),0)</f>
        <v>0</v>
      </c>
      <c r="N150">
        <f>IF(LEFT(分期持仓明细!$A$69,LEN(H$81)+2)=H$81&amp;" ·",ROW(分期持仓明细!$A$69),0)</f>
        <v>0</v>
      </c>
      <c r="O150">
        <f>IF(LEFT(分期持仓明细!$A$69,LEN(I$81)+2)=I$81&amp;" ·",ROW(分期持仓明细!$A$69),0)</f>
        <v>0</v>
      </c>
      <c r="P150">
        <f>IF(LEFT(分期持仓明细!$A$69,LEN(J$81)+2)=J$81&amp;" ·",ROW(分期持仓明细!$A$69),0)</f>
        <v>0</v>
      </c>
      <c r="Q150">
        <f>IF(LEFT(分期持仓明细!$A$69,LEN(K$81)+2)=K$81&amp;" ·",ROW(分期持仓明细!$A$69),0)</f>
        <v>0</v>
      </c>
      <c r="R150">
        <f>IF(LEFT(分期持仓明细!$A$69,LEN(L$81)+2)=L$81&amp;" ·",ROW(分期持仓明细!$A$69),0)</f>
        <v>0</v>
      </c>
    </row>
    <row r="151" spans="13:18">
      <c r="M151">
        <f>IF(LEFT(分期持仓明细!$A$70,LEN(G$81)+2)=G$81&amp;" ·",ROW(分期持仓明细!$A$70),0)</f>
        <v>0</v>
      </c>
      <c r="N151">
        <f>IF(LEFT(分期持仓明细!$A$70,LEN(H$81)+2)=H$81&amp;" ·",ROW(分期持仓明细!$A$70),0)</f>
        <v>0</v>
      </c>
      <c r="O151">
        <f>IF(LEFT(分期持仓明细!$A$70,LEN(I$81)+2)=I$81&amp;" ·",ROW(分期持仓明细!$A$70),0)</f>
        <v>0</v>
      </c>
      <c r="P151">
        <f>IF(LEFT(分期持仓明细!$A$70,LEN(J$81)+2)=J$81&amp;" ·",ROW(分期持仓明细!$A$70),0)</f>
        <v>0</v>
      </c>
      <c r="Q151">
        <f>IF(LEFT(分期持仓明细!$A$70,LEN(K$81)+2)=K$81&amp;" ·",ROW(分期持仓明细!$A$70),0)</f>
        <v>0</v>
      </c>
      <c r="R151">
        <f>IF(LEFT(分期持仓明细!$A$70,LEN(L$81)+2)=L$81&amp;" ·",ROW(分期持仓明细!$A$70),0)</f>
        <v>0</v>
      </c>
    </row>
    <row r="152" spans="13:18">
      <c r="M152">
        <f>IF(LEFT(分期持仓明细!$A$71,LEN(G$81)+2)=G$81&amp;" ·",ROW(分期持仓明细!$A$71),0)</f>
        <v>0</v>
      </c>
      <c r="N152">
        <f>IF(LEFT(分期持仓明细!$A$71,LEN(H$81)+2)=H$81&amp;" ·",ROW(分期持仓明细!$A$71),0)</f>
        <v>0</v>
      </c>
      <c r="O152">
        <f>IF(LEFT(分期持仓明细!$A$71,LEN(I$81)+2)=I$81&amp;" ·",ROW(分期持仓明细!$A$71),0)</f>
        <v>0</v>
      </c>
      <c r="P152">
        <f>IF(LEFT(分期持仓明细!$A$71,LEN(J$81)+2)=J$81&amp;" ·",ROW(分期持仓明细!$A$71),0)</f>
        <v>0</v>
      </c>
      <c r="Q152">
        <f>IF(LEFT(分期持仓明细!$A$71,LEN(K$81)+2)=K$81&amp;" ·",ROW(分期持仓明细!$A$71),0)</f>
        <v>0</v>
      </c>
      <c r="R152">
        <f>IF(LEFT(分期持仓明细!$A$71,LEN(L$81)+2)=L$81&amp;" ·",ROW(分期持仓明细!$A$71),0)</f>
        <v>0</v>
      </c>
    </row>
    <row r="153" spans="13:18">
      <c r="M153">
        <f>IF(LEFT(分期持仓明细!$A$72,LEN(G$81)+2)=G$81&amp;" ·",ROW(分期持仓明细!$A$72),0)</f>
        <v>0</v>
      </c>
      <c r="N153">
        <f>IF(LEFT(分期持仓明细!$A$72,LEN(H$81)+2)=H$81&amp;" ·",ROW(分期持仓明细!$A$72),0)</f>
        <v>0</v>
      </c>
      <c r="O153">
        <f>IF(LEFT(分期持仓明细!$A$72,LEN(I$81)+2)=I$81&amp;" ·",ROW(分期持仓明细!$A$72),0)</f>
        <v>0</v>
      </c>
      <c r="P153">
        <f>IF(LEFT(分期持仓明细!$A$72,LEN(J$81)+2)=J$81&amp;" ·",ROW(分期持仓明细!$A$72),0)</f>
        <v>0</v>
      </c>
      <c r="Q153">
        <f>IF(LEFT(分期持仓明细!$A$72,LEN(K$81)+2)=K$81&amp;" ·",ROW(分期持仓明细!$A$72),0)</f>
        <v>0</v>
      </c>
      <c r="R153">
        <f>IF(LEFT(分期持仓明细!$A$72,LEN(L$81)+2)=L$81&amp;" ·",ROW(分期持仓明细!$A$72),0)</f>
        <v>0</v>
      </c>
    </row>
    <row r="154" spans="13:18">
      <c r="M154">
        <f>IF(LEFT(分期持仓明细!$A$73,LEN(G$81)+2)=G$81&amp;" ·",ROW(分期持仓明细!$A$73),0)</f>
        <v>0</v>
      </c>
      <c r="N154">
        <f>IF(LEFT(分期持仓明细!$A$73,LEN(H$81)+2)=H$81&amp;" ·",ROW(分期持仓明细!$A$73),0)</f>
        <v>0</v>
      </c>
      <c r="O154">
        <f>IF(LEFT(分期持仓明细!$A$73,LEN(I$81)+2)=I$81&amp;" ·",ROW(分期持仓明细!$A$73),0)</f>
        <v>0</v>
      </c>
      <c r="P154">
        <f>IF(LEFT(分期持仓明细!$A$73,LEN(J$81)+2)=J$81&amp;" ·",ROW(分期持仓明细!$A$73),0)</f>
        <v>0</v>
      </c>
      <c r="Q154">
        <f>IF(LEFT(分期持仓明细!$A$73,LEN(K$81)+2)=K$81&amp;" ·",ROW(分期持仓明细!$A$73),0)</f>
        <v>0</v>
      </c>
      <c r="R154">
        <f>IF(LEFT(分期持仓明细!$A$73,LEN(L$81)+2)=L$81&amp;" ·",ROW(分期持仓明细!$A$73),0)</f>
        <v>0</v>
      </c>
    </row>
    <row r="155" spans="13:18">
      <c r="M155">
        <f>IF(LEFT(分期持仓明细!$A$74,LEN(G$81)+2)=G$81&amp;" ·",ROW(分期持仓明细!$A$74),0)</f>
        <v>0</v>
      </c>
      <c r="N155">
        <f>IF(LEFT(分期持仓明细!$A$74,LEN(H$81)+2)=H$81&amp;" ·",ROW(分期持仓明细!$A$74),0)</f>
        <v>0</v>
      </c>
      <c r="O155">
        <f>IF(LEFT(分期持仓明细!$A$74,LEN(I$81)+2)=I$81&amp;" ·",ROW(分期持仓明细!$A$74),0)</f>
        <v>0</v>
      </c>
      <c r="P155">
        <f>IF(LEFT(分期持仓明细!$A$74,LEN(J$81)+2)=J$81&amp;" ·",ROW(分期持仓明细!$A$74),0)</f>
        <v>0</v>
      </c>
      <c r="Q155">
        <f>IF(LEFT(分期持仓明细!$A$74,LEN(K$81)+2)=K$81&amp;" ·",ROW(分期持仓明细!$A$74),0)</f>
        <v>0</v>
      </c>
      <c r="R155">
        <f>IF(LEFT(分期持仓明细!$A$74,LEN(L$81)+2)=L$81&amp;" ·",ROW(分期持仓明细!$A$74),0)</f>
        <v>0</v>
      </c>
    </row>
    <row r="156" spans="13:18">
      <c r="M156">
        <f>IF(LEFT(分期持仓明细!$A$75,LEN(G$81)+2)=G$81&amp;" ·",ROW(分期持仓明细!$A$75),0)</f>
        <v>0</v>
      </c>
      <c r="N156">
        <f>IF(LEFT(分期持仓明细!$A$75,LEN(H$81)+2)=H$81&amp;" ·",ROW(分期持仓明细!$A$75),0)</f>
        <v>0</v>
      </c>
      <c r="O156">
        <f>IF(LEFT(分期持仓明细!$A$75,LEN(I$81)+2)=I$81&amp;" ·",ROW(分期持仓明细!$A$75),0)</f>
        <v>0</v>
      </c>
      <c r="P156">
        <f>IF(LEFT(分期持仓明细!$A$75,LEN(J$81)+2)=J$81&amp;" ·",ROW(分期持仓明细!$A$75),0)</f>
        <v>0</v>
      </c>
      <c r="Q156">
        <f>IF(LEFT(分期持仓明细!$A$75,LEN(K$81)+2)=K$81&amp;" ·",ROW(分期持仓明细!$A$75),0)</f>
        <v>0</v>
      </c>
      <c r="R156">
        <f>IF(LEFT(分期持仓明细!$A$75,LEN(L$81)+2)=L$81&amp;" ·",ROW(分期持仓明细!$A$75),0)</f>
        <v>0</v>
      </c>
    </row>
    <row r="157" spans="13:18">
      <c r="M157">
        <f>IF(LEFT(分期持仓明细!$A$76,LEN(G$81)+2)=G$81&amp;" ·",ROW(分期持仓明细!$A$76),0)</f>
        <v>0</v>
      </c>
      <c r="N157">
        <f>IF(LEFT(分期持仓明细!$A$76,LEN(H$81)+2)=H$81&amp;" ·",ROW(分期持仓明细!$A$76),0)</f>
        <v>0</v>
      </c>
      <c r="O157">
        <f>IF(LEFT(分期持仓明细!$A$76,LEN(I$81)+2)=I$81&amp;" ·",ROW(分期持仓明细!$A$76),0)</f>
        <v>0</v>
      </c>
      <c r="P157">
        <f>IF(LEFT(分期持仓明细!$A$76,LEN(J$81)+2)=J$81&amp;" ·",ROW(分期持仓明细!$A$76),0)</f>
        <v>0</v>
      </c>
      <c r="Q157">
        <f>IF(LEFT(分期持仓明细!$A$76,LEN(K$81)+2)=K$81&amp;" ·",ROW(分期持仓明细!$A$76),0)</f>
        <v>0</v>
      </c>
      <c r="R157">
        <f>IF(LEFT(分期持仓明细!$A$76,LEN(L$81)+2)=L$81&amp;" ·",ROW(分期持仓明细!$A$76),0)</f>
        <v>0</v>
      </c>
    </row>
    <row r="158" spans="13:18">
      <c r="M158">
        <f>IF(LEFT(分期持仓明细!$A$77,LEN(G$81)+2)=G$81&amp;" ·",ROW(分期持仓明细!$A$77),0)</f>
        <v>0</v>
      </c>
      <c r="N158">
        <f>IF(LEFT(分期持仓明细!$A$77,LEN(H$81)+2)=H$81&amp;" ·",ROW(分期持仓明细!$A$77),0)</f>
        <v>0</v>
      </c>
      <c r="O158">
        <f>IF(LEFT(分期持仓明细!$A$77,LEN(I$81)+2)=I$81&amp;" ·",ROW(分期持仓明细!$A$77),0)</f>
        <v>0</v>
      </c>
      <c r="P158">
        <f>IF(LEFT(分期持仓明细!$A$77,LEN(J$81)+2)=J$81&amp;" ·",ROW(分期持仓明细!$A$77),0)</f>
        <v>0</v>
      </c>
      <c r="Q158">
        <f>IF(LEFT(分期持仓明细!$A$77,LEN(K$81)+2)=K$81&amp;" ·",ROW(分期持仓明细!$A$77),0)</f>
        <v>0</v>
      </c>
      <c r="R158">
        <f>IF(LEFT(分期持仓明细!$A$77,LEN(L$81)+2)=L$81&amp;" ·",ROW(分期持仓明细!$A$77),0)</f>
        <v>0</v>
      </c>
    </row>
    <row r="159" spans="13:18">
      <c r="M159">
        <f>IF(LEFT(分期持仓明细!$A$78,LEN(G$81)+2)=G$81&amp;" ·",ROW(分期持仓明细!$A$78),0)</f>
        <v>0</v>
      </c>
      <c r="N159">
        <f>IF(LEFT(分期持仓明细!$A$78,LEN(H$81)+2)=H$81&amp;" ·",ROW(分期持仓明细!$A$78),0)</f>
        <v>0</v>
      </c>
      <c r="O159">
        <f>IF(LEFT(分期持仓明细!$A$78,LEN(I$81)+2)=I$81&amp;" ·",ROW(分期持仓明细!$A$78),0)</f>
        <v>0</v>
      </c>
      <c r="P159">
        <f>IF(LEFT(分期持仓明细!$A$78,LEN(J$81)+2)=J$81&amp;" ·",ROW(分期持仓明细!$A$78),0)</f>
        <v>0</v>
      </c>
      <c r="Q159">
        <f>IF(LEFT(分期持仓明细!$A$78,LEN(K$81)+2)=K$81&amp;" ·",ROW(分期持仓明细!$A$78),0)</f>
        <v>0</v>
      </c>
      <c r="R159">
        <f>IF(LEFT(分期持仓明细!$A$78,LEN(L$81)+2)=L$81&amp;" ·",ROW(分期持仓明细!$A$78),0)</f>
        <v>0</v>
      </c>
    </row>
    <row r="160" spans="13:18">
      <c r="M160">
        <f>IF(LEFT(分期持仓明细!$A$79,LEN(G$81)+2)=G$81&amp;" ·",ROW(分期持仓明细!$A$79),0)</f>
        <v>0</v>
      </c>
      <c r="N160">
        <f>IF(LEFT(分期持仓明细!$A$79,LEN(H$81)+2)=H$81&amp;" ·",ROW(分期持仓明细!$A$79),0)</f>
        <v>0</v>
      </c>
      <c r="O160">
        <f>IF(LEFT(分期持仓明细!$A$79,LEN(I$81)+2)=I$81&amp;" ·",ROW(分期持仓明细!$A$79),0)</f>
        <v>0</v>
      </c>
      <c r="P160">
        <f>IF(LEFT(分期持仓明细!$A$79,LEN(J$81)+2)=J$81&amp;" ·",ROW(分期持仓明细!$A$79),0)</f>
        <v>0</v>
      </c>
      <c r="Q160">
        <f>IF(LEFT(分期持仓明细!$A$79,LEN(K$81)+2)=K$81&amp;" ·",ROW(分期持仓明细!$A$79),0)</f>
        <v>0</v>
      </c>
      <c r="R160">
        <f>IF(LEFT(分期持仓明细!$A$79,LEN(L$81)+2)=L$81&amp;" ·",ROW(分期持仓明细!$A$79),0)</f>
        <v>0</v>
      </c>
    </row>
    <row r="161" spans="13:18">
      <c r="M161">
        <f>IF(LEFT(分期持仓明细!$A$80,LEN(G$81)+2)=G$81&amp;" ·",ROW(分期持仓明细!$A$80),0)</f>
        <v>0</v>
      </c>
      <c r="N161">
        <f>IF(LEFT(分期持仓明细!$A$80,LEN(H$81)+2)=H$81&amp;" ·",ROW(分期持仓明细!$A$80),0)</f>
        <v>0</v>
      </c>
      <c r="O161">
        <f>IF(LEFT(分期持仓明细!$A$80,LEN(I$81)+2)=I$81&amp;" ·",ROW(分期持仓明细!$A$80),0)</f>
        <v>0</v>
      </c>
      <c r="P161">
        <f>IF(LEFT(分期持仓明细!$A$80,LEN(J$81)+2)=J$81&amp;" ·",ROW(分期持仓明细!$A$80),0)</f>
        <v>0</v>
      </c>
      <c r="Q161">
        <f>IF(LEFT(分期持仓明细!$A$80,LEN(K$81)+2)=K$81&amp;" ·",ROW(分期持仓明细!$A$80),0)</f>
        <v>0</v>
      </c>
      <c r="R161">
        <f>IF(LEFT(分期持仓明细!$A$80,LEN(L$81)+2)=L$81&amp;" ·",ROW(分期持仓明细!$A$80),0)</f>
        <v>0</v>
      </c>
    </row>
    <row r="162" spans="13:18">
      <c r="M162">
        <f>IF(LEFT(分期持仓明细!$A$81,LEN(G$81)+2)=G$81&amp;" ·",ROW(分期持仓明细!$A$81),0)</f>
        <v>0</v>
      </c>
      <c r="N162">
        <f>IF(LEFT(分期持仓明细!$A$81,LEN(H$81)+2)=H$81&amp;" ·",ROW(分期持仓明细!$A$81),0)</f>
        <v>0</v>
      </c>
      <c r="O162">
        <f>IF(LEFT(分期持仓明细!$A$81,LEN(I$81)+2)=I$81&amp;" ·",ROW(分期持仓明细!$A$81),0)</f>
        <v>0</v>
      </c>
      <c r="P162">
        <f>IF(LEFT(分期持仓明细!$A$81,LEN(J$81)+2)=J$81&amp;" ·",ROW(分期持仓明细!$A$81),0)</f>
        <v>0</v>
      </c>
      <c r="Q162">
        <f>IF(LEFT(分期持仓明细!$A$81,LEN(K$81)+2)=K$81&amp;" ·",ROW(分期持仓明细!$A$81),0)</f>
        <v>0</v>
      </c>
      <c r="R162">
        <f>IF(LEFT(分期持仓明细!$A$81,LEN(L$81)+2)=L$81&amp;" ·",ROW(分期持仓明细!$A$81),0)</f>
        <v>0</v>
      </c>
    </row>
    <row r="163" spans="13:18">
      <c r="M163">
        <f>IF(LEFT(分期持仓明细!$A$82,LEN(G$81)+2)=G$81&amp;" ·",ROW(分期持仓明细!$A$82),0)</f>
        <v>0</v>
      </c>
      <c r="N163">
        <f>IF(LEFT(分期持仓明细!$A$82,LEN(H$81)+2)=H$81&amp;" ·",ROW(分期持仓明细!$A$82),0)</f>
        <v>0</v>
      </c>
      <c r="O163">
        <f>IF(LEFT(分期持仓明细!$A$82,LEN(I$81)+2)=I$81&amp;" ·",ROW(分期持仓明细!$A$82),0)</f>
        <v>0</v>
      </c>
      <c r="P163">
        <f>IF(LEFT(分期持仓明细!$A$82,LEN(J$81)+2)=J$81&amp;" ·",ROW(分期持仓明细!$A$82),0)</f>
        <v>0</v>
      </c>
      <c r="Q163">
        <f>IF(LEFT(分期持仓明细!$A$82,LEN(K$81)+2)=K$81&amp;" ·",ROW(分期持仓明细!$A$82),0)</f>
        <v>0</v>
      </c>
      <c r="R163">
        <f>IF(LEFT(分期持仓明细!$A$82,LEN(L$81)+2)=L$81&amp;" ·",ROW(分期持仓明细!$A$82),0)</f>
        <v>0</v>
      </c>
    </row>
    <row r="164" spans="13:18">
      <c r="M164">
        <f>IF(LEFT(分期持仓明细!$A$83,LEN(G$81)+2)=G$81&amp;" ·",ROW(分期持仓明细!$A$83),0)</f>
        <v>0</v>
      </c>
      <c r="N164">
        <f>IF(LEFT(分期持仓明细!$A$83,LEN(H$81)+2)=H$81&amp;" ·",ROW(分期持仓明细!$A$83),0)</f>
        <v>0</v>
      </c>
      <c r="O164">
        <f>IF(LEFT(分期持仓明细!$A$83,LEN(I$81)+2)=I$81&amp;" ·",ROW(分期持仓明细!$A$83),0)</f>
        <v>0</v>
      </c>
      <c r="P164">
        <f>IF(LEFT(分期持仓明细!$A$83,LEN(J$81)+2)=J$81&amp;" ·",ROW(分期持仓明细!$A$83),0)</f>
        <v>0</v>
      </c>
      <c r="Q164">
        <f>IF(LEFT(分期持仓明细!$A$83,LEN(K$81)+2)=K$81&amp;" ·",ROW(分期持仓明细!$A$83),0)</f>
        <v>0</v>
      </c>
      <c r="R164">
        <f>IF(LEFT(分期持仓明细!$A$83,LEN(L$81)+2)=L$81&amp;" ·",ROW(分期持仓明细!$A$83),0)</f>
        <v>0</v>
      </c>
    </row>
    <row r="165" spans="13:18">
      <c r="M165">
        <f>IF(LEFT(分期持仓明细!$A$84,LEN(G$81)+2)=G$81&amp;" ·",ROW(分期持仓明细!$A$84),0)</f>
        <v>0</v>
      </c>
      <c r="N165">
        <f>IF(LEFT(分期持仓明细!$A$84,LEN(H$81)+2)=H$81&amp;" ·",ROW(分期持仓明细!$A$84),0)</f>
        <v>0</v>
      </c>
      <c r="O165">
        <f>IF(LEFT(分期持仓明细!$A$84,LEN(I$81)+2)=I$81&amp;" ·",ROW(分期持仓明细!$A$84),0)</f>
        <v>0</v>
      </c>
      <c r="P165">
        <f>IF(LEFT(分期持仓明细!$A$84,LEN(J$81)+2)=J$81&amp;" ·",ROW(分期持仓明细!$A$84),0)</f>
        <v>0</v>
      </c>
      <c r="Q165">
        <f>IF(LEFT(分期持仓明细!$A$84,LEN(K$81)+2)=K$81&amp;" ·",ROW(分期持仓明细!$A$84),0)</f>
        <v>0</v>
      </c>
      <c r="R165">
        <f>IF(LEFT(分期持仓明细!$A$84,LEN(L$81)+2)=L$81&amp;" ·",ROW(分期持仓明细!$A$84),0)</f>
        <v>0</v>
      </c>
    </row>
    <row r="166" spans="13:18">
      <c r="M166">
        <f>IF(LEFT(分期持仓明细!$A$85,LEN(G$81)+2)=G$81&amp;" ·",ROW(分期持仓明细!$A$85),0)</f>
        <v>0</v>
      </c>
      <c r="N166">
        <f>IF(LEFT(分期持仓明细!$A$85,LEN(H$81)+2)=H$81&amp;" ·",ROW(分期持仓明细!$A$85),0)</f>
        <v>0</v>
      </c>
      <c r="O166">
        <f>IF(LEFT(分期持仓明细!$A$85,LEN(I$81)+2)=I$81&amp;" ·",ROW(分期持仓明细!$A$85),0)</f>
        <v>0</v>
      </c>
      <c r="P166">
        <f>IF(LEFT(分期持仓明细!$A$85,LEN(J$81)+2)=J$81&amp;" ·",ROW(分期持仓明细!$A$85),0)</f>
        <v>0</v>
      </c>
      <c r="Q166">
        <f>IF(LEFT(分期持仓明细!$A$85,LEN(K$81)+2)=K$81&amp;" ·",ROW(分期持仓明细!$A$85),0)</f>
        <v>0</v>
      </c>
      <c r="R166">
        <f>IF(LEFT(分期持仓明细!$A$85,LEN(L$81)+2)=L$81&amp;" ·",ROW(分期持仓明细!$A$85),0)</f>
        <v>0</v>
      </c>
    </row>
    <row r="167" spans="13:18">
      <c r="M167">
        <f>IF(LEFT(分期持仓明细!$A$86,LEN(G$81)+2)=G$81&amp;" ·",ROW(分期持仓明细!$A$86),0)</f>
        <v>0</v>
      </c>
      <c r="N167">
        <f>IF(LEFT(分期持仓明细!$A$86,LEN(H$81)+2)=H$81&amp;" ·",ROW(分期持仓明细!$A$86),0)</f>
        <v>0</v>
      </c>
      <c r="O167">
        <f>IF(LEFT(分期持仓明细!$A$86,LEN(I$81)+2)=I$81&amp;" ·",ROW(分期持仓明细!$A$86),0)</f>
        <v>0</v>
      </c>
      <c r="P167">
        <f>IF(LEFT(分期持仓明细!$A$86,LEN(J$81)+2)=J$81&amp;" ·",ROW(分期持仓明细!$A$86),0)</f>
        <v>0</v>
      </c>
      <c r="Q167">
        <f>IF(LEFT(分期持仓明细!$A$86,LEN(K$81)+2)=K$81&amp;" ·",ROW(分期持仓明细!$A$86),0)</f>
        <v>0</v>
      </c>
      <c r="R167">
        <f>IF(LEFT(分期持仓明细!$A$86,LEN(L$81)+2)=L$81&amp;" ·",ROW(分期持仓明细!$A$86),0)</f>
        <v>0</v>
      </c>
    </row>
    <row r="168" spans="13:18">
      <c r="M168">
        <f>IF(LEFT(分期持仓明细!$A$87,LEN(G$81)+2)=G$81&amp;" ·",ROW(分期持仓明细!$A$87),0)</f>
        <v>0</v>
      </c>
      <c r="N168">
        <f>IF(LEFT(分期持仓明细!$A$87,LEN(H$81)+2)=H$81&amp;" ·",ROW(分期持仓明细!$A$87),0)</f>
        <v>0</v>
      </c>
      <c r="O168">
        <f>IF(LEFT(分期持仓明细!$A$87,LEN(I$81)+2)=I$81&amp;" ·",ROW(分期持仓明细!$A$87),0)</f>
        <v>0</v>
      </c>
      <c r="P168">
        <f>IF(LEFT(分期持仓明细!$A$87,LEN(J$81)+2)=J$81&amp;" ·",ROW(分期持仓明细!$A$87),0)</f>
        <v>0</v>
      </c>
      <c r="Q168">
        <f>IF(LEFT(分期持仓明细!$A$87,LEN(K$81)+2)=K$81&amp;" ·",ROW(分期持仓明细!$A$87),0)</f>
        <v>0</v>
      </c>
      <c r="R168">
        <f>IF(LEFT(分期持仓明细!$A$87,LEN(L$81)+2)=L$81&amp;" ·",ROW(分期持仓明细!$A$87),0)</f>
        <v>0</v>
      </c>
    </row>
    <row r="169" spans="13:18">
      <c r="M169">
        <f>IF(LEFT(分期持仓明细!$A$88,LEN(G$81)+2)=G$81&amp;" ·",ROW(分期持仓明细!$A$88),0)</f>
        <v>0</v>
      </c>
      <c r="N169">
        <f>IF(LEFT(分期持仓明细!$A$88,LEN(H$81)+2)=H$81&amp;" ·",ROW(分期持仓明细!$A$88),0)</f>
        <v>0</v>
      </c>
      <c r="O169">
        <f>IF(LEFT(分期持仓明细!$A$88,LEN(I$81)+2)=I$81&amp;" ·",ROW(分期持仓明细!$A$88),0)</f>
        <v>0</v>
      </c>
      <c r="P169">
        <f>IF(LEFT(分期持仓明细!$A$88,LEN(J$81)+2)=J$81&amp;" ·",ROW(分期持仓明细!$A$88),0)</f>
        <v>0</v>
      </c>
      <c r="Q169">
        <f>IF(LEFT(分期持仓明细!$A$88,LEN(K$81)+2)=K$81&amp;" ·",ROW(分期持仓明细!$A$88),0)</f>
        <v>0</v>
      </c>
      <c r="R169">
        <f>IF(LEFT(分期持仓明细!$A$88,LEN(L$81)+2)=L$81&amp;" ·",ROW(分期持仓明细!$A$88),0)</f>
        <v>0</v>
      </c>
    </row>
    <row r="170" spans="13:18">
      <c r="M170">
        <f>IF(LEFT(分期持仓明细!$A$89,LEN(G$81)+2)=G$81&amp;" ·",ROW(分期持仓明细!$A$89),0)</f>
        <v>0</v>
      </c>
      <c r="N170">
        <f>IF(LEFT(分期持仓明细!$A$89,LEN(H$81)+2)=H$81&amp;" ·",ROW(分期持仓明细!$A$89),0)</f>
        <v>0</v>
      </c>
      <c r="O170">
        <f>IF(LEFT(分期持仓明细!$A$89,LEN(I$81)+2)=I$81&amp;" ·",ROW(分期持仓明细!$A$89),0)</f>
        <v>0</v>
      </c>
      <c r="P170">
        <f>IF(LEFT(分期持仓明细!$A$89,LEN(J$81)+2)=J$81&amp;" ·",ROW(分期持仓明细!$A$89),0)</f>
        <v>0</v>
      </c>
      <c r="Q170">
        <f>IF(LEFT(分期持仓明细!$A$89,LEN(K$81)+2)=K$81&amp;" ·",ROW(分期持仓明细!$A$89),0)</f>
        <v>0</v>
      </c>
      <c r="R170">
        <f>IF(LEFT(分期持仓明细!$A$89,LEN(L$81)+2)=L$81&amp;" ·",ROW(分期持仓明细!$A$89),0)</f>
        <v>0</v>
      </c>
    </row>
    <row r="171" spans="13:18">
      <c r="M171">
        <f>IF(LEFT(分期持仓明细!$A$90,LEN(G$81)+2)=G$81&amp;" ·",ROW(分期持仓明细!$A$90),0)</f>
        <v>0</v>
      </c>
      <c r="N171">
        <f>IF(LEFT(分期持仓明细!$A$90,LEN(H$81)+2)=H$81&amp;" ·",ROW(分期持仓明细!$A$90),0)</f>
        <v>0</v>
      </c>
      <c r="O171">
        <f>IF(LEFT(分期持仓明细!$A$90,LEN(I$81)+2)=I$81&amp;" ·",ROW(分期持仓明细!$A$90),0)</f>
        <v>0</v>
      </c>
      <c r="P171">
        <f>IF(LEFT(分期持仓明细!$A$90,LEN(J$81)+2)=J$81&amp;" ·",ROW(分期持仓明细!$A$90),0)</f>
        <v>0</v>
      </c>
      <c r="Q171">
        <f>IF(LEFT(分期持仓明细!$A$90,LEN(K$81)+2)=K$81&amp;" ·",ROW(分期持仓明细!$A$90),0)</f>
        <v>0</v>
      </c>
      <c r="R171">
        <f>IF(LEFT(分期持仓明细!$A$90,LEN(L$81)+2)=L$81&amp;" ·",ROW(分期持仓明细!$A$90),0)</f>
        <v>0</v>
      </c>
    </row>
    <row r="172" spans="13:18">
      <c r="M172">
        <f>IF(LEFT(分期持仓明细!$A$91,LEN(G$81)+2)=G$81&amp;" ·",ROW(分期持仓明细!$A$91),0)</f>
        <v>0</v>
      </c>
      <c r="N172">
        <f>IF(LEFT(分期持仓明细!$A$91,LEN(H$81)+2)=H$81&amp;" ·",ROW(分期持仓明细!$A$91),0)</f>
        <v>0</v>
      </c>
      <c r="O172">
        <f>IF(LEFT(分期持仓明细!$A$91,LEN(I$81)+2)=I$81&amp;" ·",ROW(分期持仓明细!$A$91),0)</f>
        <v>0</v>
      </c>
      <c r="P172">
        <f>IF(LEFT(分期持仓明细!$A$91,LEN(J$81)+2)=J$81&amp;" ·",ROW(分期持仓明细!$A$91),0)</f>
        <v>0</v>
      </c>
      <c r="Q172">
        <f>IF(LEFT(分期持仓明细!$A$91,LEN(K$81)+2)=K$81&amp;" ·",ROW(分期持仓明细!$A$91),0)</f>
        <v>0</v>
      </c>
      <c r="R172">
        <f>IF(LEFT(分期持仓明细!$A$91,LEN(L$81)+2)=L$81&amp;" ·",ROW(分期持仓明细!$A$91),0)</f>
        <v>0</v>
      </c>
    </row>
    <row r="173" spans="13:18">
      <c r="M173">
        <f>IF(LEFT(分期持仓明细!$A$92,LEN(G$81)+2)=G$81&amp;" ·",ROW(分期持仓明细!$A$92),0)</f>
        <v>0</v>
      </c>
      <c r="N173">
        <f>IF(LEFT(分期持仓明细!$A$92,LEN(H$81)+2)=H$81&amp;" ·",ROW(分期持仓明细!$A$92),0)</f>
        <v>0</v>
      </c>
      <c r="O173">
        <f>IF(LEFT(分期持仓明细!$A$92,LEN(I$81)+2)=I$81&amp;" ·",ROW(分期持仓明细!$A$92),0)</f>
        <v>0</v>
      </c>
      <c r="P173">
        <f>IF(LEFT(分期持仓明细!$A$92,LEN(J$81)+2)=J$81&amp;" ·",ROW(分期持仓明细!$A$92),0)</f>
        <v>0</v>
      </c>
      <c r="Q173">
        <f>IF(LEFT(分期持仓明细!$A$92,LEN(K$81)+2)=K$81&amp;" ·",ROW(分期持仓明细!$A$92),0)</f>
        <v>0</v>
      </c>
      <c r="R173">
        <f>IF(LEFT(分期持仓明细!$A$92,LEN(L$81)+2)=L$81&amp;" ·",ROW(分期持仓明细!$A$92),0)</f>
        <v>0</v>
      </c>
    </row>
    <row r="174" spans="13:18">
      <c r="M174">
        <f>IF(LEFT(分期持仓明细!$A$93,LEN(G$81)+2)=G$81&amp;" ·",ROW(分期持仓明细!$A$93),0)</f>
        <v>0</v>
      </c>
      <c r="N174">
        <f>IF(LEFT(分期持仓明细!$A$93,LEN(H$81)+2)=H$81&amp;" ·",ROW(分期持仓明细!$A$93),0)</f>
        <v>0</v>
      </c>
      <c r="O174">
        <f>IF(LEFT(分期持仓明细!$A$93,LEN(I$81)+2)=I$81&amp;" ·",ROW(分期持仓明细!$A$93),0)</f>
        <v>0</v>
      </c>
      <c r="P174">
        <f>IF(LEFT(分期持仓明细!$A$93,LEN(J$81)+2)=J$81&amp;" ·",ROW(分期持仓明细!$A$93),0)</f>
        <v>0</v>
      </c>
      <c r="Q174">
        <f>IF(LEFT(分期持仓明细!$A$93,LEN(K$81)+2)=K$81&amp;" ·",ROW(分期持仓明细!$A$93),0)</f>
        <v>0</v>
      </c>
      <c r="R174">
        <f>IF(LEFT(分期持仓明细!$A$93,LEN(L$81)+2)=L$81&amp;" ·",ROW(分期持仓明细!$A$93),0)</f>
        <v>0</v>
      </c>
    </row>
    <row r="175" spans="13:18">
      <c r="M175">
        <f>IF(LEFT(分期持仓明细!$A$94,LEN(G$81)+2)=G$81&amp;" ·",ROW(分期持仓明细!$A$94),0)</f>
        <v>0</v>
      </c>
      <c r="N175">
        <f>IF(LEFT(分期持仓明细!$A$94,LEN(H$81)+2)=H$81&amp;" ·",ROW(分期持仓明细!$A$94),0)</f>
        <v>0</v>
      </c>
      <c r="O175">
        <f>IF(LEFT(分期持仓明细!$A$94,LEN(I$81)+2)=I$81&amp;" ·",ROW(分期持仓明细!$A$94),0)</f>
        <v>0</v>
      </c>
      <c r="P175">
        <f>IF(LEFT(分期持仓明细!$A$94,LEN(J$81)+2)=J$81&amp;" ·",ROW(分期持仓明细!$A$94),0)</f>
        <v>0</v>
      </c>
      <c r="Q175">
        <f>IF(LEFT(分期持仓明细!$A$94,LEN(K$81)+2)=K$81&amp;" ·",ROW(分期持仓明细!$A$94),0)</f>
        <v>0</v>
      </c>
      <c r="R175">
        <f>IF(LEFT(分期持仓明细!$A$94,LEN(L$81)+2)=L$81&amp;" ·",ROW(分期持仓明细!$A$94),0)</f>
        <v>0</v>
      </c>
    </row>
    <row r="176" spans="13:18">
      <c r="M176">
        <f>IF(LEFT(分期持仓明细!$A$95,LEN(G$81)+2)=G$81&amp;" ·",ROW(分期持仓明细!$A$95),0)</f>
        <v>0</v>
      </c>
      <c r="N176">
        <f>IF(LEFT(分期持仓明细!$A$95,LEN(H$81)+2)=H$81&amp;" ·",ROW(分期持仓明细!$A$95),0)</f>
        <v>0</v>
      </c>
      <c r="O176">
        <f>IF(LEFT(分期持仓明细!$A$95,LEN(I$81)+2)=I$81&amp;" ·",ROW(分期持仓明细!$A$95),0)</f>
        <v>0</v>
      </c>
      <c r="P176">
        <f>IF(LEFT(分期持仓明细!$A$95,LEN(J$81)+2)=J$81&amp;" ·",ROW(分期持仓明细!$A$95),0)</f>
        <v>0</v>
      </c>
      <c r="Q176">
        <f>IF(LEFT(分期持仓明细!$A$95,LEN(K$81)+2)=K$81&amp;" ·",ROW(分期持仓明细!$A$95),0)</f>
        <v>0</v>
      </c>
      <c r="R176">
        <f>IF(LEFT(分期持仓明细!$A$95,LEN(L$81)+2)=L$81&amp;" ·",ROW(分期持仓明细!$A$95),0)</f>
        <v>0</v>
      </c>
    </row>
    <row r="177" spans="13:18">
      <c r="M177">
        <f>IF(LEFT(分期持仓明细!$A$96,LEN(G$81)+2)=G$81&amp;" ·",ROW(分期持仓明细!$A$96),0)</f>
        <v>0</v>
      </c>
      <c r="N177">
        <f>IF(LEFT(分期持仓明细!$A$96,LEN(H$81)+2)=H$81&amp;" ·",ROW(分期持仓明细!$A$96),0)</f>
        <v>0</v>
      </c>
      <c r="O177">
        <f>IF(LEFT(分期持仓明细!$A$96,LEN(I$81)+2)=I$81&amp;" ·",ROW(分期持仓明细!$A$96),0)</f>
        <v>0</v>
      </c>
      <c r="P177">
        <f>IF(LEFT(分期持仓明细!$A$96,LEN(J$81)+2)=J$81&amp;" ·",ROW(分期持仓明细!$A$96),0)</f>
        <v>0</v>
      </c>
      <c r="Q177">
        <f>IF(LEFT(分期持仓明细!$A$96,LEN(K$81)+2)=K$81&amp;" ·",ROW(分期持仓明细!$A$96),0)</f>
        <v>0</v>
      </c>
      <c r="R177">
        <f>IF(LEFT(分期持仓明细!$A$96,LEN(L$81)+2)=L$81&amp;" ·",ROW(分期持仓明细!$A$96),0)</f>
        <v>0</v>
      </c>
    </row>
    <row r="178" spans="13:18">
      <c r="M178">
        <f>IF(LEFT(分期持仓明细!$A$97,LEN(G$81)+2)=G$81&amp;" ·",ROW(分期持仓明细!$A$97),0)</f>
        <v>0</v>
      </c>
      <c r="N178">
        <f>IF(LEFT(分期持仓明细!$A$97,LEN(H$81)+2)=H$81&amp;" ·",ROW(分期持仓明细!$A$97),0)</f>
        <v>0</v>
      </c>
      <c r="O178">
        <f>IF(LEFT(分期持仓明细!$A$97,LEN(I$81)+2)=I$81&amp;" ·",ROW(分期持仓明细!$A$97),0)</f>
        <v>0</v>
      </c>
      <c r="P178">
        <f>IF(LEFT(分期持仓明细!$A$97,LEN(J$81)+2)=J$81&amp;" ·",ROW(分期持仓明细!$A$97),0)</f>
        <v>0</v>
      </c>
      <c r="Q178">
        <f>IF(LEFT(分期持仓明细!$A$97,LEN(K$81)+2)=K$81&amp;" ·",ROW(分期持仓明细!$A$97),0)</f>
        <v>0</v>
      </c>
      <c r="R178">
        <f>IF(LEFT(分期持仓明细!$A$97,LEN(L$81)+2)=L$81&amp;" ·",ROW(分期持仓明细!$A$97),0)</f>
        <v>0</v>
      </c>
    </row>
    <row r="179" spans="13:18">
      <c r="M179">
        <f>IF(LEFT(分期持仓明细!$A$98,LEN(G$81)+2)=G$81&amp;" ·",ROW(分期持仓明细!$A$98),0)</f>
        <v>0</v>
      </c>
      <c r="N179">
        <f>IF(LEFT(分期持仓明细!$A$98,LEN(H$81)+2)=H$81&amp;" ·",ROW(分期持仓明细!$A$98),0)</f>
        <v>0</v>
      </c>
      <c r="O179">
        <f>IF(LEFT(分期持仓明细!$A$98,LEN(I$81)+2)=I$81&amp;" ·",ROW(分期持仓明细!$A$98),0)</f>
        <v>0</v>
      </c>
      <c r="P179">
        <f>IF(LEFT(分期持仓明细!$A$98,LEN(J$81)+2)=J$81&amp;" ·",ROW(分期持仓明细!$A$98),0)</f>
        <v>0</v>
      </c>
      <c r="Q179">
        <f>IF(LEFT(分期持仓明细!$A$98,LEN(K$81)+2)=K$81&amp;" ·",ROW(分期持仓明细!$A$98),0)</f>
        <v>0</v>
      </c>
      <c r="R179">
        <f>IF(LEFT(分期持仓明细!$A$98,LEN(L$81)+2)=L$81&amp;" ·",ROW(分期持仓明细!$A$98),0)</f>
        <v>0</v>
      </c>
    </row>
    <row r="180" spans="13:18">
      <c r="M180">
        <f>IF(LEFT(分期持仓明细!$A$99,LEN(G$81)+2)=G$81&amp;" ·",ROW(分期持仓明细!$A$99),0)</f>
        <v>0</v>
      </c>
      <c r="N180">
        <f>IF(LEFT(分期持仓明细!$A$99,LEN(H$81)+2)=H$81&amp;" ·",ROW(分期持仓明细!$A$99),0)</f>
        <v>0</v>
      </c>
      <c r="O180">
        <f>IF(LEFT(分期持仓明细!$A$99,LEN(I$81)+2)=I$81&amp;" ·",ROW(分期持仓明细!$A$99),0)</f>
        <v>0</v>
      </c>
      <c r="P180">
        <f>IF(LEFT(分期持仓明细!$A$99,LEN(J$81)+2)=J$81&amp;" ·",ROW(分期持仓明细!$A$99),0)</f>
        <v>0</v>
      </c>
      <c r="Q180">
        <f>IF(LEFT(分期持仓明细!$A$99,LEN(K$81)+2)=K$81&amp;" ·",ROW(分期持仓明细!$A$99),0)</f>
        <v>0</v>
      </c>
      <c r="R180">
        <f>IF(LEFT(分期持仓明细!$A$99,LEN(L$81)+2)=L$81&amp;" ·",ROW(分期持仓明细!$A$99),0)</f>
        <v>0</v>
      </c>
    </row>
    <row r="181" spans="13:18">
      <c r="M181">
        <f>IF(LEFT(分期持仓明细!$A$100,LEN(G$81)+2)=G$81&amp;" ·",ROW(分期持仓明细!$A$100),0)</f>
        <v>0</v>
      </c>
      <c r="N181">
        <f>IF(LEFT(分期持仓明细!$A$100,LEN(H$81)+2)=H$81&amp;" ·",ROW(分期持仓明细!$A$100),0)</f>
        <v>0</v>
      </c>
      <c r="O181">
        <f>IF(LEFT(分期持仓明细!$A$100,LEN(I$81)+2)=I$81&amp;" ·",ROW(分期持仓明细!$A$100),0)</f>
        <v>0</v>
      </c>
      <c r="P181">
        <f>IF(LEFT(分期持仓明细!$A$100,LEN(J$81)+2)=J$81&amp;" ·",ROW(分期持仓明细!$A$100),0)</f>
        <v>0</v>
      </c>
      <c r="Q181">
        <f>IF(LEFT(分期持仓明细!$A$100,LEN(K$81)+2)=K$81&amp;" ·",ROW(分期持仓明细!$A$100),0)</f>
        <v>0</v>
      </c>
      <c r="R181">
        <f>IF(LEFT(分期持仓明细!$A$100,LEN(L$81)+2)=L$81&amp;" ·",ROW(分期持仓明细!$A$100),0)</f>
        <v>0</v>
      </c>
    </row>
    <row r="182" spans="13:18">
      <c r="M182">
        <f>IF(LEFT(分期持仓明细!$A$101,LEN(G$81)+2)=G$81&amp;" ·",ROW(分期持仓明细!$A$101),0)</f>
        <v>0</v>
      </c>
      <c r="N182">
        <f>IF(LEFT(分期持仓明细!$A$101,LEN(H$81)+2)=H$81&amp;" ·",ROW(分期持仓明细!$A$101),0)</f>
        <v>0</v>
      </c>
      <c r="O182">
        <f>IF(LEFT(分期持仓明细!$A$101,LEN(I$81)+2)=I$81&amp;" ·",ROW(分期持仓明细!$A$101),0)</f>
        <v>0</v>
      </c>
      <c r="P182">
        <f>IF(LEFT(分期持仓明细!$A$101,LEN(J$81)+2)=J$81&amp;" ·",ROW(分期持仓明细!$A$101),0)</f>
        <v>0</v>
      </c>
      <c r="Q182">
        <f>IF(LEFT(分期持仓明细!$A$101,LEN(K$81)+2)=K$81&amp;" ·",ROW(分期持仓明细!$A$101),0)</f>
        <v>0</v>
      </c>
      <c r="R182">
        <f>IF(LEFT(分期持仓明细!$A$101,LEN(L$81)+2)=L$81&amp;" ·",ROW(分期持仓明细!$A$101),0)</f>
        <v>0</v>
      </c>
    </row>
    <row r="183" spans="13:18">
      <c r="M183">
        <f>IF(LEFT(分期持仓明细!$A$102,LEN(G$81)+2)=G$81&amp;" ·",ROW(分期持仓明细!$A$102),0)</f>
        <v>0</v>
      </c>
      <c r="N183">
        <f>IF(LEFT(分期持仓明细!$A$102,LEN(H$81)+2)=H$81&amp;" ·",ROW(分期持仓明细!$A$102),0)</f>
        <v>0</v>
      </c>
      <c r="O183">
        <f>IF(LEFT(分期持仓明细!$A$102,LEN(I$81)+2)=I$81&amp;" ·",ROW(分期持仓明细!$A$102),0)</f>
        <v>0</v>
      </c>
      <c r="P183">
        <f>IF(LEFT(分期持仓明细!$A$102,LEN(J$81)+2)=J$81&amp;" ·",ROW(分期持仓明细!$A$102),0)</f>
        <v>0</v>
      </c>
      <c r="Q183">
        <f>IF(LEFT(分期持仓明细!$A$102,LEN(K$81)+2)=K$81&amp;" ·",ROW(分期持仓明细!$A$102),0)</f>
        <v>0</v>
      </c>
      <c r="R183">
        <f>IF(LEFT(分期持仓明细!$A$102,LEN(L$81)+2)=L$81&amp;" ·",ROW(分期持仓明细!$A$102),0)</f>
        <v>0</v>
      </c>
    </row>
    <row r="184" spans="13:18">
      <c r="M184">
        <f>IF(LEFT(分期持仓明细!$A$103,LEN(G$81)+2)=G$81&amp;" ·",ROW(分期持仓明细!$A$103),0)</f>
        <v>0</v>
      </c>
      <c r="N184">
        <f>IF(LEFT(分期持仓明细!$A$103,LEN(H$81)+2)=H$81&amp;" ·",ROW(分期持仓明细!$A$103),0)</f>
        <v>0</v>
      </c>
      <c r="O184">
        <f>IF(LEFT(分期持仓明细!$A$103,LEN(I$81)+2)=I$81&amp;" ·",ROW(分期持仓明细!$A$103),0)</f>
        <v>0</v>
      </c>
      <c r="P184">
        <f>IF(LEFT(分期持仓明细!$A$103,LEN(J$81)+2)=J$81&amp;" ·",ROW(分期持仓明细!$A$103),0)</f>
        <v>0</v>
      </c>
      <c r="Q184">
        <f>IF(LEFT(分期持仓明细!$A$103,LEN(K$81)+2)=K$81&amp;" ·",ROW(分期持仓明细!$A$103),0)</f>
        <v>0</v>
      </c>
      <c r="R184">
        <f>IF(LEFT(分期持仓明细!$A$103,LEN(L$81)+2)=L$81&amp;" ·",ROW(分期持仓明细!$A$103),0)</f>
        <v>0</v>
      </c>
    </row>
    <row r="185" spans="13:18">
      <c r="M185">
        <f>IF(LEFT(分期持仓明细!$A$104,LEN(G$81)+2)=G$81&amp;" ·",ROW(分期持仓明细!$A$104),0)</f>
        <v>0</v>
      </c>
      <c r="N185">
        <f>IF(LEFT(分期持仓明细!$A$104,LEN(H$81)+2)=H$81&amp;" ·",ROW(分期持仓明细!$A$104),0)</f>
        <v>0</v>
      </c>
      <c r="O185">
        <f>IF(LEFT(分期持仓明细!$A$104,LEN(I$81)+2)=I$81&amp;" ·",ROW(分期持仓明细!$A$104),0)</f>
        <v>0</v>
      </c>
      <c r="P185">
        <f>IF(LEFT(分期持仓明细!$A$104,LEN(J$81)+2)=J$81&amp;" ·",ROW(分期持仓明细!$A$104),0)</f>
        <v>0</v>
      </c>
      <c r="Q185">
        <f>IF(LEFT(分期持仓明细!$A$104,LEN(K$81)+2)=K$81&amp;" ·",ROW(分期持仓明细!$A$104),0)</f>
        <v>0</v>
      </c>
      <c r="R185">
        <f>IF(LEFT(分期持仓明细!$A$104,LEN(L$81)+2)=L$81&amp;" ·",ROW(分期持仓明细!$A$104),0)</f>
        <v>0</v>
      </c>
    </row>
    <row r="186" spans="13:18">
      <c r="M186">
        <f>IF(LEFT(分期持仓明细!$A$105,LEN(G$81)+2)=G$81&amp;" ·",ROW(分期持仓明细!$A$105),0)</f>
        <v>0</v>
      </c>
      <c r="N186">
        <f>IF(LEFT(分期持仓明细!$A$105,LEN(H$81)+2)=H$81&amp;" ·",ROW(分期持仓明细!$A$105),0)</f>
        <v>0</v>
      </c>
      <c r="O186">
        <f>IF(LEFT(分期持仓明细!$A$105,LEN(I$81)+2)=I$81&amp;" ·",ROW(分期持仓明细!$A$105),0)</f>
        <v>0</v>
      </c>
      <c r="P186">
        <f>IF(LEFT(分期持仓明细!$A$105,LEN(J$81)+2)=J$81&amp;" ·",ROW(分期持仓明细!$A$105),0)</f>
        <v>0</v>
      </c>
      <c r="Q186">
        <f>IF(LEFT(分期持仓明细!$A$105,LEN(K$81)+2)=K$81&amp;" ·",ROW(分期持仓明细!$A$105),0)</f>
        <v>0</v>
      </c>
      <c r="R186">
        <f>IF(LEFT(分期持仓明细!$A$105,LEN(L$81)+2)=L$81&amp;" ·",ROW(分期持仓明细!$A$105),0)</f>
        <v>0</v>
      </c>
    </row>
    <row r="187" spans="13:18">
      <c r="M187">
        <f>IF(LEFT(分期持仓明细!$A$106,LEN(G$81)+2)=G$81&amp;" ·",ROW(分期持仓明细!$A$106),0)</f>
        <v>0</v>
      </c>
      <c r="N187">
        <f>IF(LEFT(分期持仓明细!$A$106,LEN(H$81)+2)=H$81&amp;" ·",ROW(分期持仓明细!$A$106),0)</f>
        <v>0</v>
      </c>
      <c r="O187">
        <f>IF(LEFT(分期持仓明细!$A$106,LEN(I$81)+2)=I$81&amp;" ·",ROW(分期持仓明细!$A$106),0)</f>
        <v>0</v>
      </c>
      <c r="P187">
        <f>IF(LEFT(分期持仓明细!$A$106,LEN(J$81)+2)=J$81&amp;" ·",ROW(分期持仓明细!$A$106),0)</f>
        <v>0</v>
      </c>
      <c r="Q187">
        <f>IF(LEFT(分期持仓明细!$A$106,LEN(K$81)+2)=K$81&amp;" ·",ROW(分期持仓明细!$A$106),0)</f>
        <v>0</v>
      </c>
      <c r="R187">
        <f>IF(LEFT(分期持仓明细!$A$106,LEN(L$81)+2)=L$81&amp;" ·",ROW(分期持仓明细!$A$106),0)</f>
        <v>0</v>
      </c>
    </row>
    <row r="188" spans="13:18">
      <c r="M188">
        <f>IF(LEFT(分期持仓明细!$A$107,LEN(G$81)+2)=G$81&amp;" ·",ROW(分期持仓明细!$A$107),0)</f>
        <v>0</v>
      </c>
      <c r="N188">
        <f>IF(LEFT(分期持仓明细!$A$107,LEN(H$81)+2)=H$81&amp;" ·",ROW(分期持仓明细!$A$107),0)</f>
        <v>0</v>
      </c>
      <c r="O188">
        <f>IF(LEFT(分期持仓明细!$A$107,LEN(I$81)+2)=I$81&amp;" ·",ROW(分期持仓明细!$A$107),0)</f>
        <v>0</v>
      </c>
      <c r="P188">
        <f>IF(LEFT(分期持仓明细!$A$107,LEN(J$81)+2)=J$81&amp;" ·",ROW(分期持仓明细!$A$107),0)</f>
        <v>0</v>
      </c>
      <c r="Q188">
        <f>IF(LEFT(分期持仓明细!$A$107,LEN(K$81)+2)=K$81&amp;" ·",ROW(分期持仓明细!$A$107),0)</f>
        <v>0</v>
      </c>
      <c r="R188">
        <f>IF(LEFT(分期持仓明细!$A$107,LEN(L$81)+2)=L$81&amp;" ·",ROW(分期持仓明细!$A$107),0)</f>
        <v>0</v>
      </c>
    </row>
    <row r="189" spans="13:18">
      <c r="M189">
        <f>IF(LEFT(分期持仓明细!$A$108,LEN(G$81)+2)=G$81&amp;" ·",ROW(分期持仓明细!$A$108),0)</f>
        <v>0</v>
      </c>
      <c r="N189">
        <f>IF(LEFT(分期持仓明细!$A$108,LEN(H$81)+2)=H$81&amp;" ·",ROW(分期持仓明细!$A$108),0)</f>
        <v>0</v>
      </c>
      <c r="O189">
        <f>IF(LEFT(分期持仓明细!$A$108,LEN(I$81)+2)=I$81&amp;" ·",ROW(分期持仓明细!$A$108),0)</f>
        <v>0</v>
      </c>
      <c r="P189">
        <f>IF(LEFT(分期持仓明细!$A$108,LEN(J$81)+2)=J$81&amp;" ·",ROW(分期持仓明细!$A$108),0)</f>
        <v>0</v>
      </c>
      <c r="Q189">
        <f>IF(LEFT(分期持仓明细!$A$108,LEN(K$81)+2)=K$81&amp;" ·",ROW(分期持仓明细!$A$108),0)</f>
        <v>0</v>
      </c>
      <c r="R189">
        <f>IF(LEFT(分期持仓明细!$A$108,LEN(L$81)+2)=L$81&amp;" ·",ROW(分期持仓明细!$A$108),0)</f>
        <v>0</v>
      </c>
    </row>
    <row r="190" spans="13:18">
      <c r="M190">
        <f>IF(LEFT(分期持仓明细!$A$109,LEN(G$81)+2)=G$81&amp;" ·",ROW(分期持仓明细!$A$109),0)</f>
        <v>0</v>
      </c>
      <c r="N190">
        <f>IF(LEFT(分期持仓明细!$A$109,LEN(H$81)+2)=H$81&amp;" ·",ROW(分期持仓明细!$A$109),0)</f>
        <v>0</v>
      </c>
      <c r="O190">
        <f>IF(LEFT(分期持仓明细!$A$109,LEN(I$81)+2)=I$81&amp;" ·",ROW(分期持仓明细!$A$109),0)</f>
        <v>0</v>
      </c>
      <c r="P190">
        <f>IF(LEFT(分期持仓明细!$A$109,LEN(J$81)+2)=J$81&amp;" ·",ROW(分期持仓明细!$A$109),0)</f>
        <v>0</v>
      </c>
      <c r="Q190">
        <f>IF(LEFT(分期持仓明细!$A$109,LEN(K$81)+2)=K$81&amp;" ·",ROW(分期持仓明细!$A$109),0)</f>
        <v>0</v>
      </c>
      <c r="R190">
        <f>IF(LEFT(分期持仓明细!$A$109,LEN(L$81)+2)=L$81&amp;" ·",ROW(分期持仓明细!$A$109),0)</f>
        <v>0</v>
      </c>
    </row>
    <row r="191" spans="13:18">
      <c r="M191">
        <f>IF(LEFT(分期持仓明细!$A$110,LEN(G$81)+2)=G$81&amp;" ·",ROW(分期持仓明细!$A$110),0)</f>
        <v>0</v>
      </c>
      <c r="N191">
        <f>IF(LEFT(分期持仓明细!$A$110,LEN(H$81)+2)=H$81&amp;" ·",ROW(分期持仓明细!$A$110),0)</f>
        <v>0</v>
      </c>
      <c r="O191">
        <f>IF(LEFT(分期持仓明细!$A$110,LEN(I$81)+2)=I$81&amp;" ·",ROW(分期持仓明细!$A$110),0)</f>
        <v>0</v>
      </c>
      <c r="P191">
        <f>IF(LEFT(分期持仓明细!$A$110,LEN(J$81)+2)=J$81&amp;" ·",ROW(分期持仓明细!$A$110),0)</f>
        <v>0</v>
      </c>
      <c r="Q191">
        <f>IF(LEFT(分期持仓明细!$A$110,LEN(K$81)+2)=K$81&amp;" ·",ROW(分期持仓明细!$A$110),0)</f>
        <v>0</v>
      </c>
      <c r="R191">
        <f>IF(LEFT(分期持仓明细!$A$110,LEN(L$81)+2)=L$81&amp;" ·",ROW(分期持仓明细!$A$110),0)</f>
        <v>0</v>
      </c>
    </row>
    <row r="192" spans="13:18">
      <c r="M192">
        <f>IF(LEFT(分期持仓明细!$A$111,LEN(G$81)+2)=G$81&amp;" ·",ROW(分期持仓明细!$A$111),0)</f>
        <v>0</v>
      </c>
      <c r="N192">
        <f>IF(LEFT(分期持仓明细!$A$111,LEN(H$81)+2)=H$81&amp;" ·",ROW(分期持仓明细!$A$111),0)</f>
        <v>0</v>
      </c>
      <c r="O192">
        <f>IF(LEFT(分期持仓明细!$A$111,LEN(I$81)+2)=I$81&amp;" ·",ROW(分期持仓明细!$A$111),0)</f>
        <v>0</v>
      </c>
      <c r="P192">
        <f>IF(LEFT(分期持仓明细!$A$111,LEN(J$81)+2)=J$81&amp;" ·",ROW(分期持仓明细!$A$111),0)</f>
        <v>0</v>
      </c>
      <c r="Q192">
        <f>IF(LEFT(分期持仓明细!$A$111,LEN(K$81)+2)=K$81&amp;" ·",ROW(分期持仓明细!$A$111),0)</f>
        <v>0</v>
      </c>
      <c r="R192">
        <f>IF(LEFT(分期持仓明细!$A$111,LEN(L$81)+2)=L$81&amp;" ·",ROW(分期持仓明细!$A$111),0)</f>
        <v>0</v>
      </c>
    </row>
    <row r="193" spans="13:18">
      <c r="M193">
        <f>IF(LEFT(分期持仓明细!$A$112,LEN(G$81)+2)=G$81&amp;" ·",ROW(分期持仓明细!$A$112),0)</f>
        <v>0</v>
      </c>
      <c r="N193">
        <f>IF(LEFT(分期持仓明细!$A$112,LEN(H$81)+2)=H$81&amp;" ·",ROW(分期持仓明细!$A$112),0)</f>
        <v>0</v>
      </c>
      <c r="O193">
        <f>IF(LEFT(分期持仓明细!$A$112,LEN(I$81)+2)=I$81&amp;" ·",ROW(分期持仓明细!$A$112),0)</f>
        <v>0</v>
      </c>
      <c r="P193">
        <f>IF(LEFT(分期持仓明细!$A$112,LEN(J$81)+2)=J$81&amp;" ·",ROW(分期持仓明细!$A$112),0)</f>
        <v>0</v>
      </c>
      <c r="Q193">
        <f>IF(LEFT(分期持仓明细!$A$112,LEN(K$81)+2)=K$81&amp;" ·",ROW(分期持仓明细!$A$112),0)</f>
        <v>0</v>
      </c>
      <c r="R193">
        <f>IF(LEFT(分期持仓明细!$A$112,LEN(L$81)+2)=L$81&amp;" ·",ROW(分期持仓明细!$A$112),0)</f>
        <v>0</v>
      </c>
    </row>
    <row r="194" spans="13:18">
      <c r="M194">
        <f>IF(LEFT(分期持仓明细!$A$113,LEN(G$81)+2)=G$81&amp;" ·",ROW(分期持仓明细!$A$113),0)</f>
        <v>0</v>
      </c>
      <c r="N194">
        <f>IF(LEFT(分期持仓明细!$A$113,LEN(H$81)+2)=H$81&amp;" ·",ROW(分期持仓明细!$A$113),0)</f>
        <v>0</v>
      </c>
      <c r="O194">
        <f>IF(LEFT(分期持仓明细!$A$113,LEN(I$81)+2)=I$81&amp;" ·",ROW(分期持仓明细!$A$113),0)</f>
        <v>0</v>
      </c>
      <c r="P194">
        <f>IF(LEFT(分期持仓明细!$A$113,LEN(J$81)+2)=J$81&amp;" ·",ROW(分期持仓明细!$A$113),0)</f>
        <v>0</v>
      </c>
      <c r="Q194">
        <f>IF(LEFT(分期持仓明细!$A$113,LEN(K$81)+2)=K$81&amp;" ·",ROW(分期持仓明细!$A$113),0)</f>
        <v>0</v>
      </c>
      <c r="R194">
        <f>IF(LEFT(分期持仓明细!$A$113,LEN(L$81)+2)=L$81&amp;" ·",ROW(分期持仓明细!$A$113),0)</f>
        <v>0</v>
      </c>
    </row>
    <row r="195" spans="13:18">
      <c r="M195">
        <f>IF(LEFT(分期持仓明细!$A$114,LEN(G$81)+2)=G$81&amp;" ·",ROW(分期持仓明细!$A$114),0)</f>
        <v>0</v>
      </c>
      <c r="N195">
        <f>IF(LEFT(分期持仓明细!$A$114,LEN(H$81)+2)=H$81&amp;" ·",ROW(分期持仓明细!$A$114),0)</f>
        <v>0</v>
      </c>
      <c r="O195">
        <f>IF(LEFT(分期持仓明细!$A$114,LEN(I$81)+2)=I$81&amp;" ·",ROW(分期持仓明细!$A$114),0)</f>
        <v>0</v>
      </c>
      <c r="P195">
        <f>IF(LEFT(分期持仓明细!$A$114,LEN(J$81)+2)=J$81&amp;" ·",ROW(分期持仓明细!$A$114),0)</f>
        <v>0</v>
      </c>
      <c r="Q195">
        <f>IF(LEFT(分期持仓明细!$A$114,LEN(K$81)+2)=K$81&amp;" ·",ROW(分期持仓明细!$A$114),0)</f>
        <v>0</v>
      </c>
      <c r="R195">
        <f>IF(LEFT(分期持仓明细!$A$114,LEN(L$81)+2)=L$81&amp;" ·",ROW(分期持仓明细!$A$114),0)</f>
        <v>0</v>
      </c>
    </row>
    <row r="196" spans="13:18">
      <c r="M196">
        <f>IF(LEFT(分期持仓明细!$A$115,LEN(G$81)+2)=G$81&amp;" ·",ROW(分期持仓明细!$A$115),0)</f>
        <v>0</v>
      </c>
      <c r="N196">
        <f>IF(LEFT(分期持仓明细!$A$115,LEN(H$81)+2)=H$81&amp;" ·",ROW(分期持仓明细!$A$115),0)</f>
        <v>0</v>
      </c>
      <c r="O196">
        <f>IF(LEFT(分期持仓明细!$A$115,LEN(I$81)+2)=I$81&amp;" ·",ROW(分期持仓明细!$A$115),0)</f>
        <v>0</v>
      </c>
      <c r="P196">
        <f>IF(LEFT(分期持仓明细!$A$115,LEN(J$81)+2)=J$81&amp;" ·",ROW(分期持仓明细!$A$115),0)</f>
        <v>0</v>
      </c>
      <c r="Q196">
        <f>IF(LEFT(分期持仓明细!$A$115,LEN(K$81)+2)=K$81&amp;" ·",ROW(分期持仓明细!$A$115),0)</f>
        <v>0</v>
      </c>
      <c r="R196">
        <f>IF(LEFT(分期持仓明细!$A$115,LEN(L$81)+2)=L$81&amp;" ·",ROW(分期持仓明细!$A$115),0)</f>
        <v>0</v>
      </c>
    </row>
    <row r="197" spans="13:18">
      <c r="M197">
        <f>IF(LEFT(分期持仓明细!$A$116,LEN(G$81)+2)=G$81&amp;" ·",ROW(分期持仓明细!$A$116),0)</f>
        <v>0</v>
      </c>
      <c r="N197">
        <f>IF(LEFT(分期持仓明细!$A$116,LEN(H$81)+2)=H$81&amp;" ·",ROW(分期持仓明细!$A$116),0)</f>
        <v>0</v>
      </c>
      <c r="O197">
        <f>IF(LEFT(分期持仓明细!$A$116,LEN(I$81)+2)=I$81&amp;" ·",ROW(分期持仓明细!$A$116),0)</f>
        <v>0</v>
      </c>
      <c r="P197">
        <f>IF(LEFT(分期持仓明细!$A$116,LEN(J$81)+2)=J$81&amp;" ·",ROW(分期持仓明细!$A$116),0)</f>
        <v>0</v>
      </c>
      <c r="Q197">
        <f>IF(LEFT(分期持仓明细!$A$116,LEN(K$81)+2)=K$81&amp;" ·",ROW(分期持仓明细!$A$116),0)</f>
        <v>0</v>
      </c>
      <c r="R197">
        <f>IF(LEFT(分期持仓明细!$A$116,LEN(L$81)+2)=L$81&amp;" ·",ROW(分期持仓明细!$A$116),0)</f>
        <v>0</v>
      </c>
    </row>
    <row r="198" spans="13:18">
      <c r="M198">
        <f>IF(LEFT(分期持仓明细!$A$117,LEN(G$81)+2)=G$81&amp;" ·",ROW(分期持仓明细!$A$117),0)</f>
        <v>0</v>
      </c>
      <c r="N198">
        <f>IF(LEFT(分期持仓明细!$A$117,LEN(H$81)+2)=H$81&amp;" ·",ROW(分期持仓明细!$A$117),0)</f>
        <v>0</v>
      </c>
      <c r="O198">
        <f>IF(LEFT(分期持仓明细!$A$117,LEN(I$81)+2)=I$81&amp;" ·",ROW(分期持仓明细!$A$117),0)</f>
        <v>0</v>
      </c>
      <c r="P198">
        <f>IF(LEFT(分期持仓明细!$A$117,LEN(J$81)+2)=J$81&amp;" ·",ROW(分期持仓明细!$A$117),0)</f>
        <v>0</v>
      </c>
      <c r="Q198">
        <f>IF(LEFT(分期持仓明细!$A$117,LEN(K$81)+2)=K$81&amp;" ·",ROW(分期持仓明细!$A$117),0)</f>
        <v>0</v>
      </c>
      <c r="R198">
        <f>IF(LEFT(分期持仓明细!$A$117,LEN(L$81)+2)=L$81&amp;" ·",ROW(分期持仓明细!$A$117),0)</f>
        <v>0</v>
      </c>
    </row>
    <row r="199" spans="13:18">
      <c r="M199">
        <f>IF(LEFT(分期持仓明细!$A$118,LEN(G$81)+2)=G$81&amp;" ·",ROW(分期持仓明细!$A$118),0)</f>
        <v>0</v>
      </c>
      <c r="N199">
        <f>IF(LEFT(分期持仓明细!$A$118,LEN(H$81)+2)=H$81&amp;" ·",ROW(分期持仓明细!$A$118),0)</f>
        <v>0</v>
      </c>
      <c r="O199">
        <f>IF(LEFT(分期持仓明细!$A$118,LEN(I$81)+2)=I$81&amp;" ·",ROW(分期持仓明细!$A$118),0)</f>
        <v>0</v>
      </c>
      <c r="P199">
        <f>IF(LEFT(分期持仓明细!$A$118,LEN(J$81)+2)=J$81&amp;" ·",ROW(分期持仓明细!$A$118),0)</f>
        <v>0</v>
      </c>
      <c r="Q199">
        <f>IF(LEFT(分期持仓明细!$A$118,LEN(K$81)+2)=K$81&amp;" ·",ROW(分期持仓明细!$A$118),0)</f>
        <v>0</v>
      </c>
      <c r="R199">
        <f>IF(LEFT(分期持仓明细!$A$118,LEN(L$81)+2)=L$81&amp;" ·",ROW(分期持仓明细!$A$118),0)</f>
        <v>0</v>
      </c>
    </row>
    <row r="200" spans="13:18">
      <c r="M200">
        <f>IF(LEFT(分期持仓明细!$A$119,LEN(G$81)+2)=G$81&amp;" ·",ROW(分期持仓明细!$A$119),0)</f>
        <v>0</v>
      </c>
      <c r="N200">
        <f>IF(LEFT(分期持仓明细!$A$119,LEN(H$81)+2)=H$81&amp;" ·",ROW(分期持仓明细!$A$119),0)</f>
        <v>0</v>
      </c>
      <c r="O200">
        <f>IF(LEFT(分期持仓明细!$A$119,LEN(I$81)+2)=I$81&amp;" ·",ROW(分期持仓明细!$A$119),0)</f>
        <v>0</v>
      </c>
      <c r="P200">
        <f>IF(LEFT(分期持仓明细!$A$119,LEN(J$81)+2)=J$81&amp;" ·",ROW(分期持仓明细!$A$119),0)</f>
        <v>0</v>
      </c>
      <c r="Q200">
        <f>IF(LEFT(分期持仓明细!$A$119,LEN(K$81)+2)=K$81&amp;" ·",ROW(分期持仓明细!$A$119),0)</f>
        <v>0</v>
      </c>
      <c r="R200">
        <f>IF(LEFT(分期持仓明细!$A$119,LEN(L$81)+2)=L$81&amp;" ·",ROW(分期持仓明细!$A$119),0)</f>
        <v>0</v>
      </c>
    </row>
    <row r="201" spans="13:18">
      <c r="M201">
        <f>IF(LEFT(分期持仓明细!$A$120,LEN(G$81)+2)=G$81&amp;" ·",ROW(分期持仓明细!$A$120),0)</f>
        <v>0</v>
      </c>
      <c r="N201">
        <f>IF(LEFT(分期持仓明细!$A$120,LEN(H$81)+2)=H$81&amp;" ·",ROW(分期持仓明细!$A$120),0)</f>
        <v>0</v>
      </c>
      <c r="O201">
        <f>IF(LEFT(分期持仓明细!$A$120,LEN(I$81)+2)=I$81&amp;" ·",ROW(分期持仓明细!$A$120),0)</f>
        <v>0</v>
      </c>
      <c r="P201">
        <f>IF(LEFT(分期持仓明细!$A$120,LEN(J$81)+2)=J$81&amp;" ·",ROW(分期持仓明细!$A$120),0)</f>
        <v>0</v>
      </c>
      <c r="Q201">
        <f>IF(LEFT(分期持仓明细!$A$120,LEN(K$81)+2)=K$81&amp;" ·",ROW(分期持仓明细!$A$120),0)</f>
        <v>0</v>
      </c>
      <c r="R201">
        <f>IF(LEFT(分期持仓明细!$A$120,LEN(L$81)+2)=L$81&amp;" ·",ROW(分期持仓明细!$A$120),0)</f>
        <v>0</v>
      </c>
    </row>
    <row r="202" spans="13:18">
      <c r="M202">
        <f>IF(LEFT(分期持仓明细!$A$121,LEN(G$81)+2)=G$81&amp;" ·",ROW(分期持仓明细!$A$121),0)</f>
        <v>0</v>
      </c>
      <c r="N202">
        <f>IF(LEFT(分期持仓明细!$A$121,LEN(H$81)+2)=H$81&amp;" ·",ROW(分期持仓明细!$A$121),0)</f>
        <v>0</v>
      </c>
      <c r="O202">
        <f>IF(LEFT(分期持仓明细!$A$121,LEN(I$81)+2)=I$81&amp;" ·",ROW(分期持仓明细!$A$121),0)</f>
        <v>0</v>
      </c>
      <c r="P202">
        <f>IF(LEFT(分期持仓明细!$A$121,LEN(J$81)+2)=J$81&amp;" ·",ROW(分期持仓明细!$A$121),0)</f>
        <v>0</v>
      </c>
      <c r="Q202">
        <f>IF(LEFT(分期持仓明细!$A$121,LEN(K$81)+2)=K$81&amp;" ·",ROW(分期持仓明细!$A$121),0)</f>
        <v>0</v>
      </c>
      <c r="R202">
        <f>IF(LEFT(分期持仓明细!$A$121,LEN(L$81)+2)=L$81&amp;" ·",ROW(分期持仓明细!$A$121),0)</f>
        <v>0</v>
      </c>
    </row>
    <row r="203" spans="13:18">
      <c r="M203">
        <f>IF(LEFT(分期持仓明细!$A$122,LEN(G$81)+2)=G$81&amp;" ·",ROW(分期持仓明细!$A$122),0)</f>
        <v>0</v>
      </c>
      <c r="N203">
        <f>IF(LEFT(分期持仓明细!$A$122,LEN(H$81)+2)=H$81&amp;" ·",ROW(分期持仓明细!$A$122),0)</f>
        <v>0</v>
      </c>
      <c r="O203">
        <f>IF(LEFT(分期持仓明细!$A$122,LEN(I$81)+2)=I$81&amp;" ·",ROW(分期持仓明细!$A$122),0)</f>
        <v>0</v>
      </c>
      <c r="P203">
        <f>IF(LEFT(分期持仓明细!$A$122,LEN(J$81)+2)=J$81&amp;" ·",ROW(分期持仓明细!$A$122),0)</f>
        <v>0</v>
      </c>
      <c r="Q203">
        <f>IF(LEFT(分期持仓明细!$A$122,LEN(K$81)+2)=K$81&amp;" ·",ROW(分期持仓明细!$A$122),0)</f>
        <v>0</v>
      </c>
      <c r="R203">
        <f>IF(LEFT(分期持仓明细!$A$122,LEN(L$81)+2)=L$81&amp;" ·",ROW(分期持仓明细!$A$122),0)</f>
        <v>0</v>
      </c>
    </row>
    <row r="204" spans="13:18">
      <c r="M204">
        <f>IF(LEFT(分期持仓明细!$A$123,LEN(G$81)+2)=G$81&amp;" ·",ROW(分期持仓明细!$A$123),0)</f>
        <v>0</v>
      </c>
      <c r="N204">
        <f>IF(LEFT(分期持仓明细!$A$123,LEN(H$81)+2)=H$81&amp;" ·",ROW(分期持仓明细!$A$123),0)</f>
        <v>0</v>
      </c>
      <c r="O204">
        <f>IF(LEFT(分期持仓明细!$A$123,LEN(I$81)+2)=I$81&amp;" ·",ROW(分期持仓明细!$A$123),0)</f>
        <v>0</v>
      </c>
      <c r="P204">
        <f>IF(LEFT(分期持仓明细!$A$123,LEN(J$81)+2)=J$81&amp;" ·",ROW(分期持仓明细!$A$123),0)</f>
        <v>0</v>
      </c>
      <c r="Q204">
        <f>IF(LEFT(分期持仓明细!$A$123,LEN(K$81)+2)=K$81&amp;" ·",ROW(分期持仓明细!$A$123),0)</f>
        <v>0</v>
      </c>
      <c r="R204">
        <f>IF(LEFT(分期持仓明细!$A$123,LEN(L$81)+2)=L$81&amp;" ·",ROW(分期持仓明细!$A$123),0)</f>
        <v>0</v>
      </c>
    </row>
    <row r="205" spans="13:18">
      <c r="M205">
        <f>IF(LEFT(分期持仓明细!$A$124,LEN(G$81)+2)=G$81&amp;" ·",ROW(分期持仓明细!$A$124),0)</f>
        <v>0</v>
      </c>
      <c r="N205">
        <f>IF(LEFT(分期持仓明细!$A$124,LEN(H$81)+2)=H$81&amp;" ·",ROW(分期持仓明细!$A$124),0)</f>
        <v>0</v>
      </c>
      <c r="O205">
        <f>IF(LEFT(分期持仓明细!$A$124,LEN(I$81)+2)=I$81&amp;" ·",ROW(分期持仓明细!$A$124),0)</f>
        <v>0</v>
      </c>
      <c r="P205">
        <f>IF(LEFT(分期持仓明细!$A$124,LEN(J$81)+2)=J$81&amp;" ·",ROW(分期持仓明细!$A$124),0)</f>
        <v>0</v>
      </c>
      <c r="Q205">
        <f>IF(LEFT(分期持仓明细!$A$124,LEN(K$81)+2)=K$81&amp;" ·",ROW(分期持仓明细!$A$124),0)</f>
        <v>0</v>
      </c>
      <c r="R205">
        <f>IF(LEFT(分期持仓明细!$A$124,LEN(L$81)+2)=L$81&amp;" ·",ROW(分期持仓明细!$A$124),0)</f>
        <v>0</v>
      </c>
    </row>
    <row r="206" spans="13:18">
      <c r="M206">
        <f>IF(LEFT(分期持仓明细!$A$125,LEN(G$81)+2)=G$81&amp;" ·",ROW(分期持仓明细!$A$125),0)</f>
        <v>0</v>
      </c>
      <c r="N206">
        <f>IF(LEFT(分期持仓明细!$A$125,LEN(H$81)+2)=H$81&amp;" ·",ROW(分期持仓明细!$A$125),0)</f>
        <v>0</v>
      </c>
      <c r="O206">
        <f>IF(LEFT(分期持仓明细!$A$125,LEN(I$81)+2)=I$81&amp;" ·",ROW(分期持仓明细!$A$125),0)</f>
        <v>0</v>
      </c>
      <c r="P206">
        <f>IF(LEFT(分期持仓明细!$A$125,LEN(J$81)+2)=J$81&amp;" ·",ROW(分期持仓明细!$A$125),0)</f>
        <v>0</v>
      </c>
      <c r="Q206">
        <f>IF(LEFT(分期持仓明细!$A$125,LEN(K$81)+2)=K$81&amp;" ·",ROW(分期持仓明细!$A$125),0)</f>
        <v>0</v>
      </c>
      <c r="R206">
        <f>IF(LEFT(分期持仓明细!$A$125,LEN(L$81)+2)=L$81&amp;" ·",ROW(分期持仓明细!$A$125),0)</f>
        <v>0</v>
      </c>
    </row>
    <row r="207" spans="13:18">
      <c r="M207">
        <f>IF(LEFT(分期持仓明细!$A$126,LEN(G$81)+2)=G$81&amp;" ·",ROW(分期持仓明细!$A$126),0)</f>
        <v>0</v>
      </c>
      <c r="N207">
        <f>IF(LEFT(分期持仓明细!$A$126,LEN(H$81)+2)=H$81&amp;" ·",ROW(分期持仓明细!$A$126),0)</f>
        <v>0</v>
      </c>
      <c r="O207">
        <f>IF(LEFT(分期持仓明细!$A$126,LEN(I$81)+2)=I$81&amp;" ·",ROW(分期持仓明细!$A$126),0)</f>
        <v>0</v>
      </c>
      <c r="P207">
        <f>IF(LEFT(分期持仓明细!$A$126,LEN(J$81)+2)=J$81&amp;" ·",ROW(分期持仓明细!$A$126),0)</f>
        <v>0</v>
      </c>
      <c r="Q207">
        <f>IF(LEFT(分期持仓明细!$A$126,LEN(K$81)+2)=K$81&amp;" ·",ROW(分期持仓明细!$A$126),0)</f>
        <v>0</v>
      </c>
      <c r="R207">
        <f>IF(LEFT(分期持仓明细!$A$126,LEN(L$81)+2)=L$81&amp;" ·",ROW(分期持仓明细!$A$126),0)</f>
        <v>0</v>
      </c>
    </row>
    <row r="208" spans="13:18">
      <c r="M208">
        <f>IF(LEFT(分期持仓明细!$A$127,LEN(G$81)+2)=G$81&amp;" ·",ROW(分期持仓明细!$A$127),0)</f>
        <v>0</v>
      </c>
      <c r="N208">
        <f>IF(LEFT(分期持仓明细!$A$127,LEN(H$81)+2)=H$81&amp;" ·",ROW(分期持仓明细!$A$127),0)</f>
        <v>0</v>
      </c>
      <c r="O208">
        <f>IF(LEFT(分期持仓明细!$A$127,LEN(I$81)+2)=I$81&amp;" ·",ROW(分期持仓明细!$A$127),0)</f>
        <v>0</v>
      </c>
      <c r="P208">
        <f>IF(LEFT(分期持仓明细!$A$127,LEN(J$81)+2)=J$81&amp;" ·",ROW(分期持仓明细!$A$127),0)</f>
        <v>0</v>
      </c>
      <c r="Q208">
        <f>IF(LEFT(分期持仓明细!$A$127,LEN(K$81)+2)=K$81&amp;" ·",ROW(分期持仓明细!$A$127),0)</f>
        <v>0</v>
      </c>
      <c r="R208">
        <f>IF(LEFT(分期持仓明细!$A$127,LEN(L$81)+2)=L$81&amp;" ·",ROW(分期持仓明细!$A$127),0)</f>
        <v>0</v>
      </c>
    </row>
    <row r="209" spans="13:18">
      <c r="M209">
        <f>IF(LEFT(分期持仓明细!$A$128,LEN(G$81)+2)=G$81&amp;" ·",ROW(分期持仓明细!$A$128),0)</f>
        <v>0</v>
      </c>
      <c r="N209">
        <f>IF(LEFT(分期持仓明细!$A$128,LEN(H$81)+2)=H$81&amp;" ·",ROW(分期持仓明细!$A$128),0)</f>
        <v>0</v>
      </c>
      <c r="O209">
        <f>IF(LEFT(分期持仓明细!$A$128,LEN(I$81)+2)=I$81&amp;" ·",ROW(分期持仓明细!$A$128),0)</f>
        <v>0</v>
      </c>
      <c r="P209">
        <f>IF(LEFT(分期持仓明细!$A$128,LEN(J$81)+2)=J$81&amp;" ·",ROW(分期持仓明细!$A$128),0)</f>
        <v>0</v>
      </c>
      <c r="Q209">
        <f>IF(LEFT(分期持仓明细!$A$128,LEN(K$81)+2)=K$81&amp;" ·",ROW(分期持仓明细!$A$128),0)</f>
        <v>0</v>
      </c>
      <c r="R209">
        <f>IF(LEFT(分期持仓明细!$A$128,LEN(L$81)+2)=L$81&amp;" ·",ROW(分期持仓明细!$A$128),0)</f>
        <v>0</v>
      </c>
    </row>
    <row r="210" spans="13:18">
      <c r="M210">
        <f>IF(LEFT(分期持仓明细!$A$129,LEN(G$81)+2)=G$81&amp;" ·",ROW(分期持仓明细!$A$129),0)</f>
        <v>0</v>
      </c>
      <c r="N210">
        <f>IF(LEFT(分期持仓明细!$A$129,LEN(H$81)+2)=H$81&amp;" ·",ROW(分期持仓明细!$A$129),0)</f>
        <v>0</v>
      </c>
      <c r="O210">
        <f>IF(LEFT(分期持仓明细!$A$129,LEN(I$81)+2)=I$81&amp;" ·",ROW(分期持仓明细!$A$129),0)</f>
        <v>0</v>
      </c>
      <c r="P210">
        <f>IF(LEFT(分期持仓明细!$A$129,LEN(J$81)+2)=J$81&amp;" ·",ROW(分期持仓明细!$A$129),0)</f>
        <v>0</v>
      </c>
      <c r="Q210">
        <f>IF(LEFT(分期持仓明细!$A$129,LEN(K$81)+2)=K$81&amp;" ·",ROW(分期持仓明细!$A$129),0)</f>
        <v>0</v>
      </c>
      <c r="R210">
        <f>IF(LEFT(分期持仓明细!$A$129,LEN(L$81)+2)=L$81&amp;" ·",ROW(分期持仓明细!$A$129),0)</f>
        <v>0</v>
      </c>
    </row>
    <row r="211" spans="13:18">
      <c r="M211">
        <f>IF(LEFT(分期持仓明细!$A$130,LEN(G$81)+2)=G$81&amp;" ·",ROW(分期持仓明细!$A$130),0)</f>
        <v>0</v>
      </c>
      <c r="N211">
        <f>IF(LEFT(分期持仓明细!$A$130,LEN(H$81)+2)=H$81&amp;" ·",ROW(分期持仓明细!$A$130),0)</f>
        <v>0</v>
      </c>
      <c r="O211">
        <f>IF(LEFT(分期持仓明细!$A$130,LEN(I$81)+2)=I$81&amp;" ·",ROW(分期持仓明细!$A$130),0)</f>
        <v>0</v>
      </c>
      <c r="P211">
        <f>IF(LEFT(分期持仓明细!$A$130,LEN(J$81)+2)=J$81&amp;" ·",ROW(分期持仓明细!$A$130),0)</f>
        <v>0</v>
      </c>
      <c r="Q211">
        <f>IF(LEFT(分期持仓明细!$A$130,LEN(K$81)+2)=K$81&amp;" ·",ROW(分期持仓明细!$A$130),0)</f>
        <v>0</v>
      </c>
      <c r="R211">
        <f>IF(LEFT(分期持仓明细!$A$130,LEN(L$81)+2)=L$81&amp;" ·",ROW(分期持仓明细!$A$130),0)</f>
        <v>0</v>
      </c>
    </row>
    <row r="212" spans="13:18">
      <c r="M212">
        <f>IF(LEFT(分期持仓明细!$A$131,LEN(G$81)+2)=G$81&amp;" ·",ROW(分期持仓明细!$A$131),0)</f>
        <v>0</v>
      </c>
      <c r="N212">
        <f>IF(LEFT(分期持仓明细!$A$131,LEN(H$81)+2)=H$81&amp;" ·",ROW(分期持仓明细!$A$131),0)</f>
        <v>0</v>
      </c>
      <c r="O212">
        <f>IF(LEFT(分期持仓明细!$A$131,LEN(I$81)+2)=I$81&amp;" ·",ROW(分期持仓明细!$A$131),0)</f>
        <v>0</v>
      </c>
      <c r="P212">
        <f>IF(LEFT(分期持仓明细!$A$131,LEN(J$81)+2)=J$81&amp;" ·",ROW(分期持仓明细!$A$131),0)</f>
        <v>0</v>
      </c>
      <c r="Q212">
        <f>IF(LEFT(分期持仓明细!$A$131,LEN(K$81)+2)=K$81&amp;" ·",ROW(分期持仓明细!$A$131),0)</f>
        <v>0</v>
      </c>
      <c r="R212">
        <f>IF(LEFT(分期持仓明细!$A$131,LEN(L$81)+2)=L$81&amp;" ·",ROW(分期持仓明细!$A$131),0)</f>
        <v>0</v>
      </c>
    </row>
    <row r="213" spans="13:18">
      <c r="M213">
        <f>IF(LEFT(分期持仓明细!$A$132,LEN(G$81)+2)=G$81&amp;" ·",ROW(分期持仓明细!$A$132),0)</f>
        <v>0</v>
      </c>
      <c r="N213">
        <f>IF(LEFT(分期持仓明细!$A$132,LEN(H$81)+2)=H$81&amp;" ·",ROW(分期持仓明细!$A$132),0)</f>
        <v>0</v>
      </c>
      <c r="O213">
        <f>IF(LEFT(分期持仓明细!$A$132,LEN(I$81)+2)=I$81&amp;" ·",ROW(分期持仓明细!$A$132),0)</f>
        <v>0</v>
      </c>
      <c r="P213">
        <f>IF(LEFT(分期持仓明细!$A$132,LEN(J$81)+2)=J$81&amp;" ·",ROW(分期持仓明细!$A$132),0)</f>
        <v>0</v>
      </c>
      <c r="Q213">
        <f>IF(LEFT(分期持仓明细!$A$132,LEN(K$81)+2)=K$81&amp;" ·",ROW(分期持仓明细!$A$132),0)</f>
        <v>0</v>
      </c>
      <c r="R213">
        <f>IF(LEFT(分期持仓明细!$A$132,LEN(L$81)+2)=L$81&amp;" ·",ROW(分期持仓明细!$A$132),0)</f>
        <v>0</v>
      </c>
    </row>
    <row r="214" spans="13:18">
      <c r="M214">
        <f>IF(LEFT(分期持仓明细!$A$133,LEN(G$81)+2)=G$81&amp;" ·",ROW(分期持仓明细!$A$133),0)</f>
        <v>0</v>
      </c>
      <c r="N214">
        <f>IF(LEFT(分期持仓明细!$A$133,LEN(H$81)+2)=H$81&amp;" ·",ROW(分期持仓明细!$A$133),0)</f>
        <v>0</v>
      </c>
      <c r="O214">
        <f>IF(LEFT(分期持仓明细!$A$133,LEN(I$81)+2)=I$81&amp;" ·",ROW(分期持仓明细!$A$133),0)</f>
        <v>0</v>
      </c>
      <c r="P214">
        <f>IF(LEFT(分期持仓明细!$A$133,LEN(J$81)+2)=J$81&amp;" ·",ROW(分期持仓明细!$A$133),0)</f>
        <v>0</v>
      </c>
      <c r="Q214">
        <f>IF(LEFT(分期持仓明细!$A$133,LEN(K$81)+2)=K$81&amp;" ·",ROW(分期持仓明细!$A$133),0)</f>
        <v>0</v>
      </c>
      <c r="R214">
        <f>IF(LEFT(分期持仓明细!$A$133,LEN(L$81)+2)=L$81&amp;" ·",ROW(分期持仓明细!$A$133),0)</f>
        <v>0</v>
      </c>
    </row>
    <row r="215" spans="13:18">
      <c r="M215">
        <f>IF(LEFT(分期持仓明细!$A$134,LEN(G$81)+2)=G$81&amp;" ·",ROW(分期持仓明细!$A$134),0)</f>
        <v>0</v>
      </c>
      <c r="N215">
        <f>IF(LEFT(分期持仓明细!$A$134,LEN(H$81)+2)=H$81&amp;" ·",ROW(分期持仓明细!$A$134),0)</f>
        <v>0</v>
      </c>
      <c r="O215">
        <f>IF(LEFT(分期持仓明细!$A$134,LEN(I$81)+2)=I$81&amp;" ·",ROW(分期持仓明细!$A$134),0)</f>
        <v>0</v>
      </c>
      <c r="P215">
        <f>IF(LEFT(分期持仓明细!$A$134,LEN(J$81)+2)=J$81&amp;" ·",ROW(分期持仓明细!$A$134),0)</f>
        <v>0</v>
      </c>
      <c r="Q215">
        <f>IF(LEFT(分期持仓明细!$A$134,LEN(K$81)+2)=K$81&amp;" ·",ROW(分期持仓明细!$A$134),0)</f>
        <v>0</v>
      </c>
      <c r="R215">
        <f>IF(LEFT(分期持仓明细!$A$134,LEN(L$81)+2)=L$81&amp;" ·",ROW(分期持仓明细!$A$134),0)</f>
        <v>0</v>
      </c>
    </row>
    <row r="216" spans="13:18">
      <c r="M216">
        <f>IF(LEFT(分期持仓明细!$A$135,LEN(G$81)+2)=G$81&amp;" ·",ROW(分期持仓明细!$A$135),0)</f>
        <v>0</v>
      </c>
      <c r="N216">
        <f>IF(LEFT(分期持仓明细!$A$135,LEN(H$81)+2)=H$81&amp;" ·",ROW(分期持仓明细!$A$135),0)</f>
        <v>0</v>
      </c>
      <c r="O216">
        <f>IF(LEFT(分期持仓明细!$A$135,LEN(I$81)+2)=I$81&amp;" ·",ROW(分期持仓明细!$A$135),0)</f>
        <v>0</v>
      </c>
      <c r="P216">
        <f>IF(LEFT(分期持仓明细!$A$135,LEN(J$81)+2)=J$81&amp;" ·",ROW(分期持仓明细!$A$135),0)</f>
        <v>0</v>
      </c>
      <c r="Q216">
        <f>IF(LEFT(分期持仓明细!$A$135,LEN(K$81)+2)=K$81&amp;" ·",ROW(分期持仓明细!$A$135),0)</f>
        <v>0</v>
      </c>
      <c r="R216">
        <f>IF(LEFT(分期持仓明细!$A$135,LEN(L$81)+2)=L$81&amp;" ·",ROW(分期持仓明细!$A$135),0)</f>
        <v>0</v>
      </c>
    </row>
    <row r="217" spans="13:18">
      <c r="M217">
        <f>IF(LEFT(分期持仓明细!$A$136,LEN(G$81)+2)=G$81&amp;" ·",ROW(分期持仓明细!$A$136),0)</f>
        <v>0</v>
      </c>
      <c r="N217">
        <f>IF(LEFT(分期持仓明细!$A$136,LEN(H$81)+2)=H$81&amp;" ·",ROW(分期持仓明细!$A$136),0)</f>
        <v>0</v>
      </c>
      <c r="O217">
        <f>IF(LEFT(分期持仓明细!$A$136,LEN(I$81)+2)=I$81&amp;" ·",ROW(分期持仓明细!$A$136),0)</f>
        <v>0</v>
      </c>
      <c r="P217">
        <f>IF(LEFT(分期持仓明细!$A$136,LEN(J$81)+2)=J$81&amp;" ·",ROW(分期持仓明细!$A$136),0)</f>
        <v>0</v>
      </c>
      <c r="Q217">
        <f>IF(LEFT(分期持仓明细!$A$136,LEN(K$81)+2)=K$81&amp;" ·",ROW(分期持仓明细!$A$136),0)</f>
        <v>0</v>
      </c>
      <c r="R217">
        <f>IF(LEFT(分期持仓明细!$A$136,LEN(L$81)+2)=L$81&amp;" ·",ROW(分期持仓明细!$A$136),0)</f>
        <v>0</v>
      </c>
    </row>
    <row r="218" spans="13:18">
      <c r="M218">
        <f>IF(LEFT(分期持仓明细!$A$137,LEN(G$81)+2)=G$81&amp;" ·",ROW(分期持仓明细!$A$137),0)</f>
        <v>0</v>
      </c>
      <c r="N218">
        <f>IF(LEFT(分期持仓明细!$A$137,LEN(H$81)+2)=H$81&amp;" ·",ROW(分期持仓明细!$A$137),0)</f>
        <v>0</v>
      </c>
      <c r="O218">
        <f>IF(LEFT(分期持仓明细!$A$137,LEN(I$81)+2)=I$81&amp;" ·",ROW(分期持仓明细!$A$137),0)</f>
        <v>0</v>
      </c>
      <c r="P218">
        <f>IF(LEFT(分期持仓明细!$A$137,LEN(J$81)+2)=J$81&amp;" ·",ROW(分期持仓明细!$A$137),0)</f>
        <v>0</v>
      </c>
      <c r="Q218">
        <f>IF(LEFT(分期持仓明细!$A$137,LEN(K$81)+2)=K$81&amp;" ·",ROW(分期持仓明细!$A$137),0)</f>
        <v>0</v>
      </c>
      <c r="R218">
        <f>IF(LEFT(分期持仓明细!$A$137,LEN(L$81)+2)=L$81&amp;" ·",ROW(分期持仓明细!$A$137),0)</f>
        <v>0</v>
      </c>
    </row>
    <row r="219" spans="13:18">
      <c r="M219">
        <f>IF(LEFT(分期持仓明细!$A$138,LEN(G$81)+2)=G$81&amp;" ·",ROW(分期持仓明细!$A$138),0)</f>
        <v>0</v>
      </c>
      <c r="N219">
        <f>IF(LEFT(分期持仓明细!$A$138,LEN(H$81)+2)=H$81&amp;" ·",ROW(分期持仓明细!$A$138),0)</f>
        <v>0</v>
      </c>
      <c r="O219">
        <f>IF(LEFT(分期持仓明细!$A$138,LEN(I$81)+2)=I$81&amp;" ·",ROW(分期持仓明细!$A$138),0)</f>
        <v>0</v>
      </c>
      <c r="P219">
        <f>IF(LEFT(分期持仓明细!$A$138,LEN(J$81)+2)=J$81&amp;" ·",ROW(分期持仓明细!$A$138),0)</f>
        <v>0</v>
      </c>
      <c r="Q219">
        <f>IF(LEFT(分期持仓明细!$A$138,LEN(K$81)+2)=K$81&amp;" ·",ROW(分期持仓明细!$A$138),0)</f>
        <v>0</v>
      </c>
      <c r="R219">
        <f>IF(LEFT(分期持仓明细!$A$138,LEN(L$81)+2)=L$81&amp;" ·",ROW(分期持仓明细!$A$138),0)</f>
        <v>0</v>
      </c>
    </row>
    <row r="220" spans="13:18">
      <c r="M220">
        <f>IF(LEFT(分期持仓明细!$A$139,LEN(G$81)+2)=G$81&amp;" ·",ROW(分期持仓明细!$A$139),0)</f>
        <v>0</v>
      </c>
      <c r="N220">
        <f>IF(LEFT(分期持仓明细!$A$139,LEN(H$81)+2)=H$81&amp;" ·",ROW(分期持仓明细!$A$139),0)</f>
        <v>0</v>
      </c>
      <c r="O220">
        <f>IF(LEFT(分期持仓明细!$A$139,LEN(I$81)+2)=I$81&amp;" ·",ROW(分期持仓明细!$A$139),0)</f>
        <v>0</v>
      </c>
      <c r="P220">
        <f>IF(LEFT(分期持仓明细!$A$139,LEN(J$81)+2)=J$81&amp;" ·",ROW(分期持仓明细!$A$139),0)</f>
        <v>0</v>
      </c>
      <c r="Q220">
        <f>IF(LEFT(分期持仓明细!$A$139,LEN(K$81)+2)=K$81&amp;" ·",ROW(分期持仓明细!$A$139),0)</f>
        <v>0</v>
      </c>
      <c r="R220">
        <f>IF(LEFT(分期持仓明细!$A$139,LEN(L$81)+2)=L$81&amp;" ·",ROW(分期持仓明细!$A$139),0)</f>
        <v>0</v>
      </c>
    </row>
    <row r="221" spans="13:18">
      <c r="M221">
        <f>IF(LEFT(分期持仓明细!$A$140,LEN(G$81)+2)=G$81&amp;" ·",ROW(分期持仓明细!$A$140),0)</f>
        <v>0</v>
      </c>
      <c r="N221">
        <f>IF(LEFT(分期持仓明细!$A$140,LEN(H$81)+2)=H$81&amp;" ·",ROW(分期持仓明细!$A$140),0)</f>
        <v>0</v>
      </c>
      <c r="O221">
        <f>IF(LEFT(分期持仓明细!$A$140,LEN(I$81)+2)=I$81&amp;" ·",ROW(分期持仓明细!$A$140),0)</f>
        <v>0</v>
      </c>
      <c r="P221">
        <f>IF(LEFT(分期持仓明细!$A$140,LEN(J$81)+2)=J$81&amp;" ·",ROW(分期持仓明细!$A$140),0)</f>
        <v>0</v>
      </c>
      <c r="Q221">
        <f>IF(LEFT(分期持仓明细!$A$140,LEN(K$81)+2)=K$81&amp;" ·",ROW(分期持仓明细!$A$140),0)</f>
        <v>0</v>
      </c>
      <c r="R221">
        <f>IF(LEFT(分期持仓明细!$A$140,LEN(L$81)+2)=L$81&amp;" ·",ROW(分期持仓明细!$A$140),0)</f>
        <v>0</v>
      </c>
    </row>
    <row r="222" spans="13:18">
      <c r="M222">
        <f>IF(LEFT(分期持仓明细!$A$141,LEN(G$81)+2)=G$81&amp;" ·",ROW(分期持仓明细!$A$141),0)</f>
        <v>0</v>
      </c>
      <c r="N222">
        <f>IF(LEFT(分期持仓明细!$A$141,LEN(H$81)+2)=H$81&amp;" ·",ROW(分期持仓明细!$A$141),0)</f>
        <v>0</v>
      </c>
      <c r="O222">
        <f>IF(LEFT(分期持仓明细!$A$141,LEN(I$81)+2)=I$81&amp;" ·",ROW(分期持仓明细!$A$141),0)</f>
        <v>0</v>
      </c>
      <c r="P222">
        <f>IF(LEFT(分期持仓明细!$A$141,LEN(J$81)+2)=J$81&amp;" ·",ROW(分期持仓明细!$A$141),0)</f>
        <v>0</v>
      </c>
      <c r="Q222">
        <f>IF(LEFT(分期持仓明细!$A$141,LEN(K$81)+2)=K$81&amp;" ·",ROW(分期持仓明细!$A$141),0)</f>
        <v>0</v>
      </c>
      <c r="R222">
        <f>IF(LEFT(分期持仓明细!$A$141,LEN(L$81)+2)=L$81&amp;" ·",ROW(分期持仓明细!$A$141),0)</f>
        <v>0</v>
      </c>
    </row>
    <row r="223" spans="13:18">
      <c r="M223">
        <f>IF(LEFT(分期持仓明细!$A$142,LEN(G$81)+2)=G$81&amp;" ·",ROW(分期持仓明细!$A$142),0)</f>
        <v>0</v>
      </c>
      <c r="N223">
        <f>IF(LEFT(分期持仓明细!$A$142,LEN(H$81)+2)=H$81&amp;" ·",ROW(分期持仓明细!$A$142),0)</f>
        <v>0</v>
      </c>
      <c r="O223">
        <f>IF(LEFT(分期持仓明细!$A$142,LEN(I$81)+2)=I$81&amp;" ·",ROW(分期持仓明细!$A$142),0)</f>
        <v>0</v>
      </c>
      <c r="P223">
        <f>IF(LEFT(分期持仓明细!$A$142,LEN(J$81)+2)=J$81&amp;" ·",ROW(分期持仓明细!$A$142),0)</f>
        <v>0</v>
      </c>
      <c r="Q223">
        <f>IF(LEFT(分期持仓明细!$A$142,LEN(K$81)+2)=K$81&amp;" ·",ROW(分期持仓明细!$A$142),0)</f>
        <v>0</v>
      </c>
      <c r="R223">
        <f>IF(LEFT(分期持仓明细!$A$142,LEN(L$81)+2)=L$81&amp;" ·",ROW(分期持仓明细!$A$142),0)</f>
        <v>0</v>
      </c>
    </row>
    <row r="224" spans="13:18">
      <c r="M224">
        <f>IF(LEFT(分期持仓明细!$A$143,LEN(G$81)+2)=G$81&amp;" ·",ROW(分期持仓明细!$A$143),0)</f>
        <v>0</v>
      </c>
      <c r="N224">
        <f>IF(LEFT(分期持仓明细!$A$143,LEN(H$81)+2)=H$81&amp;" ·",ROW(分期持仓明细!$A$143),0)</f>
        <v>0</v>
      </c>
      <c r="O224">
        <f>IF(LEFT(分期持仓明细!$A$143,LEN(I$81)+2)=I$81&amp;" ·",ROW(分期持仓明细!$A$143),0)</f>
        <v>0</v>
      </c>
      <c r="P224">
        <f>IF(LEFT(分期持仓明细!$A$143,LEN(J$81)+2)=J$81&amp;" ·",ROW(分期持仓明细!$A$143),0)</f>
        <v>0</v>
      </c>
      <c r="Q224">
        <f>IF(LEFT(分期持仓明细!$A$143,LEN(K$81)+2)=K$81&amp;" ·",ROW(分期持仓明细!$A$143),0)</f>
        <v>0</v>
      </c>
      <c r="R224">
        <f>IF(LEFT(分期持仓明细!$A$143,LEN(L$81)+2)=L$81&amp;" ·",ROW(分期持仓明细!$A$143),0)</f>
        <v>0</v>
      </c>
    </row>
    <row r="225" spans="13:18">
      <c r="M225">
        <f>IF(LEFT(分期持仓明细!$A$144,LEN(G$81)+2)=G$81&amp;" ·",ROW(分期持仓明细!$A$144),0)</f>
        <v>0</v>
      </c>
      <c r="N225">
        <f>IF(LEFT(分期持仓明细!$A$144,LEN(H$81)+2)=H$81&amp;" ·",ROW(分期持仓明细!$A$144),0)</f>
        <v>0</v>
      </c>
      <c r="O225">
        <f>IF(LEFT(分期持仓明细!$A$144,LEN(I$81)+2)=I$81&amp;" ·",ROW(分期持仓明细!$A$144),0)</f>
        <v>0</v>
      </c>
      <c r="P225">
        <f>IF(LEFT(分期持仓明细!$A$144,LEN(J$81)+2)=J$81&amp;" ·",ROW(分期持仓明细!$A$144),0)</f>
        <v>0</v>
      </c>
      <c r="Q225">
        <f>IF(LEFT(分期持仓明细!$A$144,LEN(K$81)+2)=K$81&amp;" ·",ROW(分期持仓明细!$A$144),0)</f>
        <v>0</v>
      </c>
      <c r="R225">
        <f>IF(LEFT(分期持仓明细!$A$144,LEN(L$81)+2)=L$81&amp;" ·",ROW(分期持仓明细!$A$144),0)</f>
        <v>0</v>
      </c>
    </row>
    <row r="226" spans="13:18">
      <c r="M226">
        <f>IF(LEFT(分期持仓明细!$A$145,LEN(G$81)+2)=G$81&amp;" ·",ROW(分期持仓明细!$A$145),0)</f>
        <v>0</v>
      </c>
      <c r="N226">
        <f>IF(LEFT(分期持仓明细!$A$145,LEN(H$81)+2)=H$81&amp;" ·",ROW(分期持仓明细!$A$145),0)</f>
        <v>0</v>
      </c>
      <c r="O226">
        <f>IF(LEFT(分期持仓明细!$A$145,LEN(I$81)+2)=I$81&amp;" ·",ROW(分期持仓明细!$A$145),0)</f>
        <v>0</v>
      </c>
      <c r="P226">
        <f>IF(LEFT(分期持仓明细!$A$145,LEN(J$81)+2)=J$81&amp;" ·",ROW(分期持仓明细!$A$145),0)</f>
        <v>0</v>
      </c>
      <c r="Q226">
        <f>IF(LEFT(分期持仓明细!$A$145,LEN(K$81)+2)=K$81&amp;" ·",ROW(分期持仓明细!$A$145),0)</f>
        <v>0</v>
      </c>
      <c r="R226">
        <f>IF(LEFT(分期持仓明细!$A$145,LEN(L$81)+2)=L$81&amp;" ·",ROW(分期持仓明细!$A$145),0)</f>
        <v>0</v>
      </c>
    </row>
    <row r="227" spans="13:18">
      <c r="M227">
        <f>IF(LEFT(分期持仓明细!$A$146,LEN(G$81)+2)=G$81&amp;" ·",ROW(分期持仓明细!$A$146),0)</f>
        <v>0</v>
      </c>
      <c r="N227">
        <f>IF(LEFT(分期持仓明细!$A$146,LEN(H$81)+2)=H$81&amp;" ·",ROW(分期持仓明细!$A$146),0)</f>
        <v>0</v>
      </c>
      <c r="O227">
        <f>IF(LEFT(分期持仓明细!$A$146,LEN(I$81)+2)=I$81&amp;" ·",ROW(分期持仓明细!$A$146),0)</f>
        <v>0</v>
      </c>
      <c r="P227">
        <f>IF(LEFT(分期持仓明细!$A$146,LEN(J$81)+2)=J$81&amp;" ·",ROW(分期持仓明细!$A$146),0)</f>
        <v>0</v>
      </c>
      <c r="Q227">
        <f>IF(LEFT(分期持仓明细!$A$146,LEN(K$81)+2)=K$81&amp;" ·",ROW(分期持仓明细!$A$146),0)</f>
        <v>0</v>
      </c>
      <c r="R227">
        <f>IF(LEFT(分期持仓明细!$A$146,LEN(L$81)+2)=L$81&amp;" ·",ROW(分期持仓明细!$A$146),0)</f>
        <v>0</v>
      </c>
    </row>
    <row r="228" spans="13:18">
      <c r="M228">
        <f>IF(LEFT(分期持仓明细!$A$147,LEN(G$81)+2)=G$81&amp;" ·",ROW(分期持仓明细!$A$147),0)</f>
        <v>0</v>
      </c>
      <c r="N228">
        <f>IF(LEFT(分期持仓明细!$A$147,LEN(H$81)+2)=H$81&amp;" ·",ROW(分期持仓明细!$A$147),0)</f>
        <v>0</v>
      </c>
      <c r="O228">
        <f>IF(LEFT(分期持仓明细!$A$147,LEN(I$81)+2)=I$81&amp;" ·",ROW(分期持仓明细!$A$147),0)</f>
        <v>0</v>
      </c>
      <c r="P228">
        <f>IF(LEFT(分期持仓明细!$A$147,LEN(J$81)+2)=J$81&amp;" ·",ROW(分期持仓明细!$A$147),0)</f>
        <v>0</v>
      </c>
      <c r="Q228">
        <f>IF(LEFT(分期持仓明细!$A$147,LEN(K$81)+2)=K$81&amp;" ·",ROW(分期持仓明细!$A$147),0)</f>
        <v>0</v>
      </c>
      <c r="R228">
        <f>IF(LEFT(分期持仓明细!$A$147,LEN(L$81)+2)=L$81&amp;" ·",ROW(分期持仓明细!$A$147),0)</f>
        <v>0</v>
      </c>
    </row>
    <row r="229" spans="13:18">
      <c r="M229">
        <f>IF(LEFT(分期持仓明细!$A$148,LEN(G$81)+2)=G$81&amp;" ·",ROW(分期持仓明细!$A$148),0)</f>
        <v>0</v>
      </c>
      <c r="N229">
        <f>IF(LEFT(分期持仓明细!$A$148,LEN(H$81)+2)=H$81&amp;" ·",ROW(分期持仓明细!$A$148),0)</f>
        <v>0</v>
      </c>
      <c r="O229">
        <f>IF(LEFT(分期持仓明细!$A$148,LEN(I$81)+2)=I$81&amp;" ·",ROW(分期持仓明细!$A$148),0)</f>
        <v>0</v>
      </c>
      <c r="P229">
        <f>IF(LEFT(分期持仓明细!$A$148,LEN(J$81)+2)=J$81&amp;" ·",ROW(分期持仓明细!$A$148),0)</f>
        <v>0</v>
      </c>
      <c r="Q229">
        <f>IF(LEFT(分期持仓明细!$A$148,LEN(K$81)+2)=K$81&amp;" ·",ROW(分期持仓明细!$A$148),0)</f>
        <v>0</v>
      </c>
      <c r="R229">
        <f>IF(LEFT(分期持仓明细!$A$148,LEN(L$81)+2)=L$81&amp;" ·",ROW(分期持仓明细!$A$148),0)</f>
        <v>0</v>
      </c>
    </row>
    <row r="230" spans="13:18">
      <c r="M230">
        <f>IF(LEFT(分期持仓明细!$A$149,LEN(G$81)+2)=G$81&amp;" ·",ROW(分期持仓明细!$A$149),0)</f>
        <v>0</v>
      </c>
      <c r="N230">
        <f>IF(LEFT(分期持仓明细!$A$149,LEN(H$81)+2)=H$81&amp;" ·",ROW(分期持仓明细!$A$149),0)</f>
        <v>0</v>
      </c>
      <c r="O230">
        <f>IF(LEFT(分期持仓明细!$A$149,LEN(I$81)+2)=I$81&amp;" ·",ROW(分期持仓明细!$A$149),0)</f>
        <v>0</v>
      </c>
      <c r="P230">
        <f>IF(LEFT(分期持仓明细!$A$149,LEN(J$81)+2)=J$81&amp;" ·",ROW(分期持仓明细!$A$149),0)</f>
        <v>0</v>
      </c>
      <c r="Q230">
        <f>IF(LEFT(分期持仓明细!$A$149,LEN(K$81)+2)=K$81&amp;" ·",ROW(分期持仓明细!$A$149),0)</f>
        <v>0</v>
      </c>
      <c r="R230">
        <f>IF(LEFT(分期持仓明细!$A$149,LEN(L$81)+2)=L$81&amp;" ·",ROW(分期持仓明细!$A$149),0)</f>
        <v>0</v>
      </c>
    </row>
    <row r="231" spans="13:18">
      <c r="M231">
        <f>IF(LEFT(分期持仓明细!$A$150,LEN(G$81)+2)=G$81&amp;" ·",ROW(分期持仓明细!$A$150),0)</f>
        <v>0</v>
      </c>
      <c r="N231">
        <f>IF(LEFT(分期持仓明细!$A$150,LEN(H$81)+2)=H$81&amp;" ·",ROW(分期持仓明细!$A$150),0)</f>
        <v>0</v>
      </c>
      <c r="O231">
        <f>IF(LEFT(分期持仓明细!$A$150,LEN(I$81)+2)=I$81&amp;" ·",ROW(分期持仓明细!$A$150),0)</f>
        <v>0</v>
      </c>
      <c r="P231">
        <f>IF(LEFT(分期持仓明细!$A$150,LEN(J$81)+2)=J$81&amp;" ·",ROW(分期持仓明细!$A$150),0)</f>
        <v>0</v>
      </c>
      <c r="Q231">
        <f>IF(LEFT(分期持仓明细!$A$150,LEN(K$81)+2)=K$81&amp;" ·",ROW(分期持仓明细!$A$150),0)</f>
        <v>0</v>
      </c>
      <c r="R231">
        <f>IF(LEFT(分期持仓明细!$A$150,LEN(L$81)+2)=L$81&amp;" ·",ROW(分期持仓明细!$A$150),0)</f>
        <v>0</v>
      </c>
    </row>
    <row r="232" spans="13:18">
      <c r="M232">
        <f>IF(LEFT(分期持仓明细!$A$151,LEN(G$81)+2)=G$81&amp;" ·",ROW(分期持仓明细!$A$151),0)</f>
        <v>0</v>
      </c>
      <c r="N232">
        <f>IF(LEFT(分期持仓明细!$A$151,LEN(H$81)+2)=H$81&amp;" ·",ROW(分期持仓明细!$A$151),0)</f>
        <v>0</v>
      </c>
      <c r="O232">
        <f>IF(LEFT(分期持仓明细!$A$151,LEN(I$81)+2)=I$81&amp;" ·",ROW(分期持仓明细!$A$151),0)</f>
        <v>0</v>
      </c>
      <c r="P232">
        <f>IF(LEFT(分期持仓明细!$A$151,LEN(J$81)+2)=J$81&amp;" ·",ROW(分期持仓明细!$A$151),0)</f>
        <v>0</v>
      </c>
      <c r="Q232">
        <f>IF(LEFT(分期持仓明细!$A$151,LEN(K$81)+2)=K$81&amp;" ·",ROW(分期持仓明细!$A$151),0)</f>
        <v>0</v>
      </c>
      <c r="R232">
        <f>IF(LEFT(分期持仓明细!$A$151,LEN(L$81)+2)=L$81&amp;" ·",ROW(分期持仓明细!$A$151),0)</f>
        <v>0</v>
      </c>
    </row>
    <row r="233" spans="13:18">
      <c r="M233">
        <f>IF(LEFT(分期持仓明细!$A$152,LEN(G$81)+2)=G$81&amp;" ·",ROW(分期持仓明细!$A$152),0)</f>
        <v>0</v>
      </c>
      <c r="N233">
        <f>IF(LEFT(分期持仓明细!$A$152,LEN(H$81)+2)=H$81&amp;" ·",ROW(分期持仓明细!$A$152),0)</f>
        <v>0</v>
      </c>
      <c r="O233">
        <f>IF(LEFT(分期持仓明细!$A$152,LEN(I$81)+2)=I$81&amp;" ·",ROW(分期持仓明细!$A$152),0)</f>
        <v>0</v>
      </c>
      <c r="P233">
        <f>IF(LEFT(分期持仓明细!$A$152,LEN(J$81)+2)=J$81&amp;" ·",ROW(分期持仓明细!$A$152),0)</f>
        <v>0</v>
      </c>
      <c r="Q233">
        <f>IF(LEFT(分期持仓明细!$A$152,LEN(K$81)+2)=K$81&amp;" ·",ROW(分期持仓明细!$A$152),0)</f>
        <v>0</v>
      </c>
      <c r="R233">
        <f>IF(LEFT(分期持仓明细!$A$152,LEN(L$81)+2)=L$81&amp;" ·",ROW(分期持仓明细!$A$152),0)</f>
        <v>0</v>
      </c>
    </row>
    <row r="234" spans="13:18">
      <c r="M234">
        <f>IF(LEFT(分期持仓明细!$A$153,LEN(G$81)+2)=G$81&amp;" ·",ROW(分期持仓明细!$A$153),0)</f>
        <v>0</v>
      </c>
      <c r="N234">
        <f>IF(LEFT(分期持仓明细!$A$153,LEN(H$81)+2)=H$81&amp;" ·",ROW(分期持仓明细!$A$153),0)</f>
        <v>0</v>
      </c>
      <c r="O234">
        <f>IF(LEFT(分期持仓明细!$A$153,LEN(I$81)+2)=I$81&amp;" ·",ROW(分期持仓明细!$A$153),0)</f>
        <v>0</v>
      </c>
      <c r="P234">
        <f>IF(LEFT(分期持仓明细!$A$153,LEN(J$81)+2)=J$81&amp;" ·",ROW(分期持仓明细!$A$153),0)</f>
        <v>0</v>
      </c>
      <c r="Q234">
        <f>IF(LEFT(分期持仓明细!$A$153,LEN(K$81)+2)=K$81&amp;" ·",ROW(分期持仓明细!$A$153),0)</f>
        <v>0</v>
      </c>
      <c r="R234">
        <f>IF(LEFT(分期持仓明细!$A$153,LEN(L$81)+2)=L$81&amp;" ·",ROW(分期持仓明细!$A$153),0)</f>
        <v>0</v>
      </c>
    </row>
    <row r="235" spans="13:18">
      <c r="M235">
        <f>IF(LEFT(分期持仓明细!$A$154,LEN(G$81)+2)=G$81&amp;" ·",ROW(分期持仓明细!$A$154),0)</f>
        <v>0</v>
      </c>
      <c r="N235">
        <f>IF(LEFT(分期持仓明细!$A$154,LEN(H$81)+2)=H$81&amp;" ·",ROW(分期持仓明细!$A$154),0)</f>
        <v>0</v>
      </c>
      <c r="O235">
        <f>IF(LEFT(分期持仓明细!$A$154,LEN(I$81)+2)=I$81&amp;" ·",ROW(分期持仓明细!$A$154),0)</f>
        <v>0</v>
      </c>
      <c r="P235">
        <f>IF(LEFT(分期持仓明细!$A$154,LEN(J$81)+2)=J$81&amp;" ·",ROW(分期持仓明细!$A$154),0)</f>
        <v>0</v>
      </c>
      <c r="Q235">
        <f>IF(LEFT(分期持仓明细!$A$154,LEN(K$81)+2)=K$81&amp;" ·",ROW(分期持仓明细!$A$154),0)</f>
        <v>0</v>
      </c>
      <c r="R235">
        <f>IF(LEFT(分期持仓明细!$A$154,LEN(L$81)+2)=L$81&amp;" ·",ROW(分期持仓明细!$A$154),0)</f>
        <v>0</v>
      </c>
    </row>
    <row r="236" spans="13:18">
      <c r="M236">
        <f>IF(LEFT(分期持仓明细!$A$155,LEN(G$81)+2)=G$81&amp;" ·",ROW(分期持仓明细!$A$155),0)</f>
        <v>0</v>
      </c>
      <c r="N236">
        <f>IF(LEFT(分期持仓明细!$A$155,LEN(H$81)+2)=H$81&amp;" ·",ROW(分期持仓明细!$A$155),0)</f>
        <v>0</v>
      </c>
      <c r="O236">
        <f>IF(LEFT(分期持仓明细!$A$155,LEN(I$81)+2)=I$81&amp;" ·",ROW(分期持仓明细!$A$155),0)</f>
        <v>0</v>
      </c>
      <c r="P236">
        <f>IF(LEFT(分期持仓明细!$A$155,LEN(J$81)+2)=J$81&amp;" ·",ROW(分期持仓明细!$A$155),0)</f>
        <v>0</v>
      </c>
      <c r="Q236">
        <f>IF(LEFT(分期持仓明细!$A$155,LEN(K$81)+2)=K$81&amp;" ·",ROW(分期持仓明细!$A$155),0)</f>
        <v>0</v>
      </c>
      <c r="R236">
        <f>IF(LEFT(分期持仓明细!$A$155,LEN(L$81)+2)=L$81&amp;" ·",ROW(分期持仓明细!$A$155),0)</f>
        <v>0</v>
      </c>
    </row>
    <row r="237" spans="13:18">
      <c r="M237">
        <f>IF(LEFT(分期持仓明细!$A$156,LEN(G$81)+2)=G$81&amp;" ·",ROW(分期持仓明细!$A$156),0)</f>
        <v>0</v>
      </c>
      <c r="N237">
        <f>IF(LEFT(分期持仓明细!$A$156,LEN(H$81)+2)=H$81&amp;" ·",ROW(分期持仓明细!$A$156),0)</f>
        <v>0</v>
      </c>
      <c r="O237">
        <f>IF(LEFT(分期持仓明细!$A$156,LEN(I$81)+2)=I$81&amp;" ·",ROW(分期持仓明细!$A$156),0)</f>
        <v>0</v>
      </c>
      <c r="P237">
        <f>IF(LEFT(分期持仓明细!$A$156,LEN(J$81)+2)=J$81&amp;" ·",ROW(分期持仓明细!$A$156),0)</f>
        <v>0</v>
      </c>
      <c r="Q237">
        <f>IF(LEFT(分期持仓明细!$A$156,LEN(K$81)+2)=K$81&amp;" ·",ROW(分期持仓明细!$A$156),0)</f>
        <v>0</v>
      </c>
      <c r="R237">
        <f>IF(LEFT(分期持仓明细!$A$156,LEN(L$81)+2)=L$81&amp;" ·",ROW(分期持仓明细!$A$156),0)</f>
        <v>0</v>
      </c>
    </row>
    <row r="238" spans="13:18">
      <c r="M238">
        <f>IF(LEFT(分期持仓明细!$A$157,LEN(G$81)+2)=G$81&amp;" ·",ROW(分期持仓明细!$A$157),0)</f>
        <v>0</v>
      </c>
      <c r="N238">
        <f>IF(LEFT(分期持仓明细!$A$157,LEN(H$81)+2)=H$81&amp;" ·",ROW(分期持仓明细!$A$157),0)</f>
        <v>0</v>
      </c>
      <c r="O238">
        <f>IF(LEFT(分期持仓明细!$A$157,LEN(I$81)+2)=I$81&amp;" ·",ROW(分期持仓明细!$A$157),0)</f>
        <v>0</v>
      </c>
      <c r="P238">
        <f>IF(LEFT(分期持仓明细!$A$157,LEN(J$81)+2)=J$81&amp;" ·",ROW(分期持仓明细!$A$157),0)</f>
        <v>0</v>
      </c>
      <c r="Q238">
        <f>IF(LEFT(分期持仓明细!$A$157,LEN(K$81)+2)=K$81&amp;" ·",ROW(分期持仓明细!$A$157),0)</f>
        <v>0</v>
      </c>
      <c r="R238">
        <f>IF(LEFT(分期持仓明细!$A$157,LEN(L$81)+2)=L$81&amp;" ·",ROW(分期持仓明细!$A$157),0)</f>
        <v>0</v>
      </c>
    </row>
    <row r="239" spans="13:18">
      <c r="M239">
        <f>IF(LEFT(分期持仓明细!$A$158,LEN(G$81)+2)=G$81&amp;" ·",ROW(分期持仓明细!$A$158),0)</f>
        <v>0</v>
      </c>
      <c r="N239">
        <f>IF(LEFT(分期持仓明细!$A$158,LEN(H$81)+2)=H$81&amp;" ·",ROW(分期持仓明细!$A$158),0)</f>
        <v>0</v>
      </c>
      <c r="O239">
        <f>IF(LEFT(分期持仓明细!$A$158,LEN(I$81)+2)=I$81&amp;" ·",ROW(分期持仓明细!$A$158),0)</f>
        <v>0</v>
      </c>
      <c r="P239">
        <f>IF(LEFT(分期持仓明细!$A$158,LEN(J$81)+2)=J$81&amp;" ·",ROW(分期持仓明细!$A$158),0)</f>
        <v>0</v>
      </c>
      <c r="Q239">
        <f>IF(LEFT(分期持仓明细!$A$158,LEN(K$81)+2)=K$81&amp;" ·",ROW(分期持仓明细!$A$158),0)</f>
        <v>0</v>
      </c>
      <c r="R239">
        <f>IF(LEFT(分期持仓明细!$A$158,LEN(L$81)+2)=L$81&amp;" ·",ROW(分期持仓明细!$A$158),0)</f>
        <v>0</v>
      </c>
    </row>
    <row r="240" spans="13:18">
      <c r="M240">
        <f>IF(LEFT(分期持仓明细!$A$159,LEN(G$81)+2)=G$81&amp;" ·",ROW(分期持仓明细!$A$159),0)</f>
        <v>0</v>
      </c>
      <c r="N240">
        <f>IF(LEFT(分期持仓明细!$A$159,LEN(H$81)+2)=H$81&amp;" ·",ROW(分期持仓明细!$A$159),0)</f>
        <v>0</v>
      </c>
      <c r="O240">
        <f>IF(LEFT(分期持仓明细!$A$159,LEN(I$81)+2)=I$81&amp;" ·",ROW(分期持仓明细!$A$159),0)</f>
        <v>0</v>
      </c>
      <c r="P240">
        <f>IF(LEFT(分期持仓明细!$A$159,LEN(J$81)+2)=J$81&amp;" ·",ROW(分期持仓明细!$A$159),0)</f>
        <v>0</v>
      </c>
      <c r="Q240">
        <f>IF(LEFT(分期持仓明细!$A$159,LEN(K$81)+2)=K$81&amp;" ·",ROW(分期持仓明细!$A$159),0)</f>
        <v>0</v>
      </c>
      <c r="R240">
        <f>IF(LEFT(分期持仓明细!$A$159,LEN(L$81)+2)=L$81&amp;" ·",ROW(分期持仓明细!$A$159),0)</f>
        <v>0</v>
      </c>
    </row>
    <row r="241" spans="13:18">
      <c r="M241">
        <f>IF(LEFT(分期持仓明细!$A$160,LEN(G$81)+2)=G$81&amp;" ·",ROW(分期持仓明细!$A$160),0)</f>
        <v>0</v>
      </c>
      <c r="N241">
        <f>IF(LEFT(分期持仓明细!$A$160,LEN(H$81)+2)=H$81&amp;" ·",ROW(分期持仓明细!$A$160),0)</f>
        <v>0</v>
      </c>
      <c r="O241">
        <f>IF(LEFT(分期持仓明细!$A$160,LEN(I$81)+2)=I$81&amp;" ·",ROW(分期持仓明细!$A$160),0)</f>
        <v>0</v>
      </c>
      <c r="P241">
        <f>IF(LEFT(分期持仓明细!$A$160,LEN(J$81)+2)=J$81&amp;" ·",ROW(分期持仓明细!$A$160),0)</f>
        <v>0</v>
      </c>
      <c r="Q241">
        <f>IF(LEFT(分期持仓明细!$A$160,LEN(K$81)+2)=K$81&amp;" ·",ROW(分期持仓明细!$A$160),0)</f>
        <v>0</v>
      </c>
      <c r="R241">
        <f>IF(LEFT(分期持仓明细!$A$160,LEN(L$81)+2)=L$81&amp;" ·",ROW(分期持仓明细!$A$160),0)</f>
        <v>0</v>
      </c>
    </row>
    <row r="242" spans="13:18">
      <c r="M242">
        <f>IF(LEFT(分期持仓明细!$A$161,LEN(G$81)+2)=G$81&amp;" ·",ROW(分期持仓明细!$A$161),0)</f>
        <v>0</v>
      </c>
      <c r="N242">
        <f>IF(LEFT(分期持仓明细!$A$161,LEN(H$81)+2)=H$81&amp;" ·",ROW(分期持仓明细!$A$161),0)</f>
        <v>0</v>
      </c>
      <c r="O242">
        <f>IF(LEFT(分期持仓明细!$A$161,LEN(I$81)+2)=I$81&amp;" ·",ROW(分期持仓明细!$A$161),0)</f>
        <v>0</v>
      </c>
      <c r="P242">
        <f>IF(LEFT(分期持仓明细!$A$161,LEN(J$81)+2)=J$81&amp;" ·",ROW(分期持仓明细!$A$161),0)</f>
        <v>0</v>
      </c>
      <c r="Q242">
        <f>IF(LEFT(分期持仓明细!$A$161,LEN(K$81)+2)=K$81&amp;" ·",ROW(分期持仓明细!$A$161),0)</f>
        <v>0</v>
      </c>
      <c r="R242">
        <f>IF(LEFT(分期持仓明细!$A$161,LEN(L$81)+2)=L$81&amp;" ·",ROW(分期持仓明细!$A$161),0)</f>
        <v>0</v>
      </c>
    </row>
    <row r="243" spans="13:18">
      <c r="M243">
        <f>IF(LEFT(分期持仓明细!$A$162,LEN(G$81)+2)=G$81&amp;" ·",ROW(分期持仓明细!$A$162),0)</f>
        <v>0</v>
      </c>
      <c r="N243">
        <f>IF(LEFT(分期持仓明细!$A$162,LEN(H$81)+2)=H$81&amp;" ·",ROW(分期持仓明细!$A$162),0)</f>
        <v>0</v>
      </c>
      <c r="O243">
        <f>IF(LEFT(分期持仓明细!$A$162,LEN(I$81)+2)=I$81&amp;" ·",ROW(分期持仓明细!$A$162),0)</f>
        <v>0</v>
      </c>
      <c r="P243">
        <f>IF(LEFT(分期持仓明细!$A$162,LEN(J$81)+2)=J$81&amp;" ·",ROW(分期持仓明细!$A$162),0)</f>
        <v>0</v>
      </c>
      <c r="Q243">
        <f>IF(LEFT(分期持仓明细!$A$162,LEN(K$81)+2)=K$81&amp;" ·",ROW(分期持仓明细!$A$162),0)</f>
        <v>0</v>
      </c>
      <c r="R243">
        <f>IF(LEFT(分期持仓明细!$A$162,LEN(L$81)+2)=L$81&amp;" ·",ROW(分期持仓明细!$A$162),0)</f>
        <v>0</v>
      </c>
    </row>
    <row r="244" spans="13:18">
      <c r="M244">
        <f>IF(LEFT(分期持仓明细!$A$163,LEN(G$81)+2)=G$81&amp;" ·",ROW(分期持仓明细!$A$163),0)</f>
        <v>0</v>
      </c>
      <c r="N244">
        <f>IF(LEFT(分期持仓明细!$A$163,LEN(H$81)+2)=H$81&amp;" ·",ROW(分期持仓明细!$A$163),0)</f>
        <v>0</v>
      </c>
      <c r="O244">
        <f>IF(LEFT(分期持仓明细!$A$163,LEN(I$81)+2)=I$81&amp;" ·",ROW(分期持仓明细!$A$163),0)</f>
        <v>0</v>
      </c>
      <c r="P244">
        <f>IF(LEFT(分期持仓明细!$A$163,LEN(J$81)+2)=J$81&amp;" ·",ROW(分期持仓明细!$A$163),0)</f>
        <v>0</v>
      </c>
      <c r="Q244">
        <f>IF(LEFT(分期持仓明细!$A$163,LEN(K$81)+2)=K$81&amp;" ·",ROW(分期持仓明细!$A$163),0)</f>
        <v>0</v>
      </c>
      <c r="R244">
        <f>IF(LEFT(分期持仓明细!$A$163,LEN(L$81)+2)=L$81&amp;" ·",ROW(分期持仓明细!$A$163),0)</f>
        <v>0</v>
      </c>
    </row>
    <row r="245" spans="13:18">
      <c r="M245">
        <f>IF(LEFT(分期持仓明细!$A$164,LEN(G$81)+2)=G$81&amp;" ·",ROW(分期持仓明细!$A$164),0)</f>
        <v>0</v>
      </c>
      <c r="N245">
        <f>IF(LEFT(分期持仓明细!$A$164,LEN(H$81)+2)=H$81&amp;" ·",ROW(分期持仓明细!$A$164),0)</f>
        <v>0</v>
      </c>
      <c r="O245">
        <f>IF(LEFT(分期持仓明细!$A$164,LEN(I$81)+2)=I$81&amp;" ·",ROW(分期持仓明细!$A$164),0)</f>
        <v>0</v>
      </c>
      <c r="P245">
        <f>IF(LEFT(分期持仓明细!$A$164,LEN(J$81)+2)=J$81&amp;" ·",ROW(分期持仓明细!$A$164),0)</f>
        <v>0</v>
      </c>
      <c r="Q245">
        <f>IF(LEFT(分期持仓明细!$A$164,LEN(K$81)+2)=K$81&amp;" ·",ROW(分期持仓明细!$A$164),0)</f>
        <v>0</v>
      </c>
      <c r="R245">
        <f>IF(LEFT(分期持仓明细!$A$164,LEN(L$81)+2)=L$81&amp;" ·",ROW(分期持仓明细!$A$164),0)</f>
        <v>0</v>
      </c>
    </row>
    <row r="246" spans="13:18">
      <c r="M246">
        <f>IF(LEFT(分期持仓明细!$A$165,LEN(G$81)+2)=G$81&amp;" ·",ROW(分期持仓明细!$A$165),0)</f>
        <v>0</v>
      </c>
      <c r="N246">
        <f>IF(LEFT(分期持仓明细!$A$165,LEN(H$81)+2)=H$81&amp;" ·",ROW(分期持仓明细!$A$165),0)</f>
        <v>0</v>
      </c>
      <c r="O246">
        <f>IF(LEFT(分期持仓明细!$A$165,LEN(I$81)+2)=I$81&amp;" ·",ROW(分期持仓明细!$A$165),0)</f>
        <v>0</v>
      </c>
      <c r="P246">
        <f>IF(LEFT(分期持仓明细!$A$165,LEN(J$81)+2)=J$81&amp;" ·",ROW(分期持仓明细!$A$165),0)</f>
        <v>0</v>
      </c>
      <c r="Q246">
        <f>IF(LEFT(分期持仓明细!$A$165,LEN(K$81)+2)=K$81&amp;" ·",ROW(分期持仓明细!$A$165),0)</f>
        <v>0</v>
      </c>
      <c r="R246">
        <f>IF(LEFT(分期持仓明细!$A$165,LEN(L$81)+2)=L$81&amp;" ·",ROW(分期持仓明细!$A$165),0)</f>
        <v>0</v>
      </c>
    </row>
    <row r="247" spans="13:18">
      <c r="M247">
        <f>IF(LEFT(分期持仓明细!$A$166,LEN(G$81)+2)=G$81&amp;" ·",ROW(分期持仓明细!$A$166),0)</f>
        <v>0</v>
      </c>
      <c r="N247">
        <f>IF(LEFT(分期持仓明细!$A$166,LEN(H$81)+2)=H$81&amp;" ·",ROW(分期持仓明细!$A$166),0)</f>
        <v>0</v>
      </c>
      <c r="O247">
        <f>IF(LEFT(分期持仓明细!$A$166,LEN(I$81)+2)=I$81&amp;" ·",ROW(分期持仓明细!$A$166),0)</f>
        <v>0</v>
      </c>
      <c r="P247">
        <f>IF(LEFT(分期持仓明细!$A$166,LEN(J$81)+2)=J$81&amp;" ·",ROW(分期持仓明细!$A$166),0)</f>
        <v>0</v>
      </c>
      <c r="Q247">
        <f>IF(LEFT(分期持仓明细!$A$166,LEN(K$81)+2)=K$81&amp;" ·",ROW(分期持仓明细!$A$166),0)</f>
        <v>0</v>
      </c>
      <c r="R247">
        <f>IF(LEFT(分期持仓明细!$A$166,LEN(L$81)+2)=L$81&amp;" ·",ROW(分期持仓明细!$A$166),0)</f>
        <v>0</v>
      </c>
    </row>
    <row r="248" spans="13:18">
      <c r="M248">
        <f>IF(LEFT(分期持仓明细!$A$167,LEN(G$81)+2)=G$81&amp;" ·",ROW(分期持仓明细!$A$167),0)</f>
        <v>0</v>
      </c>
      <c r="N248">
        <f>IF(LEFT(分期持仓明细!$A$167,LEN(H$81)+2)=H$81&amp;" ·",ROW(分期持仓明细!$A$167),0)</f>
        <v>0</v>
      </c>
      <c r="O248">
        <f>IF(LEFT(分期持仓明细!$A$167,LEN(I$81)+2)=I$81&amp;" ·",ROW(分期持仓明细!$A$167),0)</f>
        <v>0</v>
      </c>
      <c r="P248">
        <f>IF(LEFT(分期持仓明细!$A$167,LEN(J$81)+2)=J$81&amp;" ·",ROW(分期持仓明细!$A$167),0)</f>
        <v>0</v>
      </c>
      <c r="Q248">
        <f>IF(LEFT(分期持仓明细!$A$167,LEN(K$81)+2)=K$81&amp;" ·",ROW(分期持仓明细!$A$167),0)</f>
        <v>0</v>
      </c>
      <c r="R248">
        <f>IF(LEFT(分期持仓明细!$A$167,LEN(L$81)+2)=L$81&amp;" ·",ROW(分期持仓明细!$A$167),0)</f>
        <v>0</v>
      </c>
    </row>
    <row r="249" spans="13:18">
      <c r="M249">
        <f>IF(LEFT(分期持仓明细!$A$168,LEN(G$81)+2)=G$81&amp;" ·",ROW(分期持仓明细!$A$168),0)</f>
        <v>0</v>
      </c>
      <c r="N249">
        <f>IF(LEFT(分期持仓明细!$A$168,LEN(H$81)+2)=H$81&amp;" ·",ROW(分期持仓明细!$A$168),0)</f>
        <v>0</v>
      </c>
      <c r="O249">
        <f>IF(LEFT(分期持仓明细!$A$168,LEN(I$81)+2)=I$81&amp;" ·",ROW(分期持仓明细!$A$168),0)</f>
        <v>0</v>
      </c>
      <c r="P249">
        <f>IF(LEFT(分期持仓明细!$A$168,LEN(J$81)+2)=J$81&amp;" ·",ROW(分期持仓明细!$A$168),0)</f>
        <v>0</v>
      </c>
      <c r="Q249">
        <f>IF(LEFT(分期持仓明细!$A$168,LEN(K$81)+2)=K$81&amp;" ·",ROW(分期持仓明细!$A$168),0)</f>
        <v>0</v>
      </c>
      <c r="R249">
        <f>IF(LEFT(分期持仓明细!$A$168,LEN(L$81)+2)=L$81&amp;" ·",ROW(分期持仓明细!$A$168),0)</f>
        <v>0</v>
      </c>
    </row>
    <row r="250" spans="13:18">
      <c r="M250">
        <f>IF(LEFT(分期持仓明细!$A$169,LEN(G$81)+2)=G$81&amp;" ·",ROW(分期持仓明细!$A$169),0)</f>
        <v>0</v>
      </c>
      <c r="N250">
        <f>IF(LEFT(分期持仓明细!$A$169,LEN(H$81)+2)=H$81&amp;" ·",ROW(分期持仓明细!$A$169),0)</f>
        <v>0</v>
      </c>
      <c r="O250">
        <f>IF(LEFT(分期持仓明细!$A$169,LEN(I$81)+2)=I$81&amp;" ·",ROW(分期持仓明细!$A$169),0)</f>
        <v>0</v>
      </c>
      <c r="P250">
        <f>IF(LEFT(分期持仓明细!$A$169,LEN(J$81)+2)=J$81&amp;" ·",ROW(分期持仓明细!$A$169),0)</f>
        <v>0</v>
      </c>
      <c r="Q250">
        <f>IF(LEFT(分期持仓明细!$A$169,LEN(K$81)+2)=K$81&amp;" ·",ROW(分期持仓明细!$A$169),0)</f>
        <v>0</v>
      </c>
      <c r="R250">
        <f>IF(LEFT(分期持仓明细!$A$169,LEN(L$81)+2)=L$81&amp;" ·",ROW(分期持仓明细!$A$169),0)</f>
        <v>0</v>
      </c>
    </row>
    <row r="251" spans="13:18">
      <c r="M251">
        <f>IF(LEFT(分期持仓明细!$A$170,LEN(G$81)+2)=G$81&amp;" ·",ROW(分期持仓明细!$A$170),0)</f>
        <v>0</v>
      </c>
      <c r="N251">
        <f>IF(LEFT(分期持仓明细!$A$170,LEN(H$81)+2)=H$81&amp;" ·",ROW(分期持仓明细!$A$170),0)</f>
        <v>0</v>
      </c>
      <c r="O251">
        <f>IF(LEFT(分期持仓明细!$A$170,LEN(I$81)+2)=I$81&amp;" ·",ROW(分期持仓明细!$A$170),0)</f>
        <v>0</v>
      </c>
      <c r="P251">
        <f>IF(LEFT(分期持仓明细!$A$170,LEN(J$81)+2)=J$81&amp;" ·",ROW(分期持仓明细!$A$170),0)</f>
        <v>0</v>
      </c>
      <c r="Q251">
        <f>IF(LEFT(分期持仓明细!$A$170,LEN(K$81)+2)=K$81&amp;" ·",ROW(分期持仓明细!$A$170),0)</f>
        <v>0</v>
      </c>
      <c r="R251">
        <f>IF(LEFT(分期持仓明细!$A$170,LEN(L$81)+2)=L$81&amp;" ·",ROW(分期持仓明细!$A$170),0)</f>
        <v>0</v>
      </c>
    </row>
    <row r="252" spans="13:18">
      <c r="M252">
        <f>IF(LEFT(分期持仓明细!$A$171,LEN(G$81)+2)=G$81&amp;" ·",ROW(分期持仓明细!$A$171),0)</f>
        <v>0</v>
      </c>
      <c r="N252">
        <f>IF(LEFT(分期持仓明细!$A$171,LEN(H$81)+2)=H$81&amp;" ·",ROW(分期持仓明细!$A$171),0)</f>
        <v>0</v>
      </c>
      <c r="O252">
        <f>IF(LEFT(分期持仓明细!$A$171,LEN(I$81)+2)=I$81&amp;" ·",ROW(分期持仓明细!$A$171),0)</f>
        <v>0</v>
      </c>
      <c r="P252">
        <f>IF(LEFT(分期持仓明细!$A$171,LEN(J$81)+2)=J$81&amp;" ·",ROW(分期持仓明细!$A$171),0)</f>
        <v>0</v>
      </c>
      <c r="Q252">
        <f>IF(LEFT(分期持仓明细!$A$171,LEN(K$81)+2)=K$81&amp;" ·",ROW(分期持仓明细!$A$171),0)</f>
        <v>0</v>
      </c>
      <c r="R252">
        <f>IF(LEFT(分期持仓明细!$A$171,LEN(L$81)+2)=L$81&amp;" ·",ROW(分期持仓明细!$A$171),0)</f>
        <v>0</v>
      </c>
    </row>
    <row r="253" spans="13:18">
      <c r="M253">
        <f>IF(LEFT(分期持仓明细!$A$172,LEN(G$81)+2)=G$81&amp;" ·",ROW(分期持仓明细!$A$172),0)</f>
        <v>0</v>
      </c>
      <c r="N253">
        <f>IF(LEFT(分期持仓明细!$A$172,LEN(H$81)+2)=H$81&amp;" ·",ROW(分期持仓明细!$A$172),0)</f>
        <v>0</v>
      </c>
      <c r="O253">
        <f>IF(LEFT(分期持仓明细!$A$172,LEN(I$81)+2)=I$81&amp;" ·",ROW(分期持仓明细!$A$172),0)</f>
        <v>0</v>
      </c>
      <c r="P253">
        <f>IF(LEFT(分期持仓明细!$A$172,LEN(J$81)+2)=J$81&amp;" ·",ROW(分期持仓明细!$A$172),0)</f>
        <v>0</v>
      </c>
      <c r="Q253">
        <f>IF(LEFT(分期持仓明细!$A$172,LEN(K$81)+2)=K$81&amp;" ·",ROW(分期持仓明细!$A$172),0)</f>
        <v>0</v>
      </c>
      <c r="R253">
        <f>IF(LEFT(分期持仓明细!$A$172,LEN(L$81)+2)=L$81&amp;" ·",ROW(分期持仓明细!$A$172),0)</f>
        <v>0</v>
      </c>
    </row>
    <row r="254" spans="13:18">
      <c r="M254">
        <f>IF(LEFT(分期持仓明细!$A$173,LEN(G$81)+2)=G$81&amp;" ·",ROW(分期持仓明细!$A$173),0)</f>
        <v>0</v>
      </c>
      <c r="N254">
        <f>IF(LEFT(分期持仓明细!$A$173,LEN(H$81)+2)=H$81&amp;" ·",ROW(分期持仓明细!$A$173),0)</f>
        <v>0</v>
      </c>
      <c r="O254">
        <f>IF(LEFT(分期持仓明细!$A$173,LEN(I$81)+2)=I$81&amp;" ·",ROW(分期持仓明细!$A$173),0)</f>
        <v>0</v>
      </c>
      <c r="P254">
        <f>IF(LEFT(分期持仓明细!$A$173,LEN(J$81)+2)=J$81&amp;" ·",ROW(分期持仓明细!$A$173),0)</f>
        <v>0</v>
      </c>
      <c r="Q254">
        <f>IF(LEFT(分期持仓明细!$A$173,LEN(K$81)+2)=K$81&amp;" ·",ROW(分期持仓明细!$A$173),0)</f>
        <v>0</v>
      </c>
      <c r="R254">
        <f>IF(LEFT(分期持仓明细!$A$173,LEN(L$81)+2)=L$81&amp;" ·",ROW(分期持仓明细!$A$173),0)</f>
        <v>0</v>
      </c>
    </row>
    <row r="255" spans="13:18">
      <c r="M255">
        <f>IF(LEFT(分期持仓明细!$A$174,LEN(G$81)+2)=G$81&amp;" ·",ROW(分期持仓明细!$A$174),0)</f>
        <v>0</v>
      </c>
      <c r="N255">
        <f>IF(LEFT(分期持仓明细!$A$174,LEN(H$81)+2)=H$81&amp;" ·",ROW(分期持仓明细!$A$174),0)</f>
        <v>0</v>
      </c>
      <c r="O255">
        <f>IF(LEFT(分期持仓明细!$A$174,LEN(I$81)+2)=I$81&amp;" ·",ROW(分期持仓明细!$A$174),0)</f>
        <v>0</v>
      </c>
      <c r="P255">
        <f>IF(LEFT(分期持仓明细!$A$174,LEN(J$81)+2)=J$81&amp;" ·",ROW(分期持仓明细!$A$174),0)</f>
        <v>0</v>
      </c>
      <c r="Q255">
        <f>IF(LEFT(分期持仓明细!$A$174,LEN(K$81)+2)=K$81&amp;" ·",ROW(分期持仓明细!$A$174),0)</f>
        <v>0</v>
      </c>
      <c r="R255">
        <f>IF(LEFT(分期持仓明细!$A$174,LEN(L$81)+2)=L$81&amp;" ·",ROW(分期持仓明细!$A$174),0)</f>
        <v>0</v>
      </c>
    </row>
    <row r="256" spans="13:18">
      <c r="M256">
        <f>IF(LEFT(分期持仓明细!$A$175,LEN(G$81)+2)=G$81&amp;" ·",ROW(分期持仓明细!$A$175),0)</f>
        <v>0</v>
      </c>
      <c r="N256">
        <f>IF(LEFT(分期持仓明细!$A$175,LEN(H$81)+2)=H$81&amp;" ·",ROW(分期持仓明细!$A$175),0)</f>
        <v>0</v>
      </c>
      <c r="O256">
        <f>IF(LEFT(分期持仓明细!$A$175,LEN(I$81)+2)=I$81&amp;" ·",ROW(分期持仓明细!$A$175),0)</f>
        <v>0</v>
      </c>
      <c r="P256">
        <f>IF(LEFT(分期持仓明细!$A$175,LEN(J$81)+2)=J$81&amp;" ·",ROW(分期持仓明细!$A$175),0)</f>
        <v>0</v>
      </c>
      <c r="Q256">
        <f>IF(LEFT(分期持仓明细!$A$175,LEN(K$81)+2)=K$81&amp;" ·",ROW(分期持仓明细!$A$175),0)</f>
        <v>0</v>
      </c>
      <c r="R256">
        <f>IF(LEFT(分期持仓明细!$A$175,LEN(L$81)+2)=L$81&amp;" ·",ROW(分期持仓明细!$A$175),0)</f>
        <v>0</v>
      </c>
    </row>
    <row r="257" spans="13:18">
      <c r="M257">
        <f>IF(LEFT(分期持仓明细!$A$176,LEN(G$81)+2)=G$81&amp;" ·",ROW(分期持仓明细!$A$176),0)</f>
        <v>0</v>
      </c>
      <c r="N257">
        <f>IF(LEFT(分期持仓明细!$A$176,LEN(H$81)+2)=H$81&amp;" ·",ROW(分期持仓明细!$A$176),0)</f>
        <v>0</v>
      </c>
      <c r="O257">
        <f>IF(LEFT(分期持仓明细!$A$176,LEN(I$81)+2)=I$81&amp;" ·",ROW(分期持仓明细!$A$176),0)</f>
        <v>0</v>
      </c>
      <c r="P257">
        <f>IF(LEFT(分期持仓明细!$A$176,LEN(J$81)+2)=J$81&amp;" ·",ROW(分期持仓明细!$A$176),0)</f>
        <v>0</v>
      </c>
      <c r="Q257">
        <f>IF(LEFT(分期持仓明细!$A$176,LEN(K$81)+2)=K$81&amp;" ·",ROW(分期持仓明细!$A$176),0)</f>
        <v>0</v>
      </c>
      <c r="R257">
        <f>IF(LEFT(分期持仓明细!$A$176,LEN(L$81)+2)=L$81&amp;" ·",ROW(分期持仓明细!$A$176),0)</f>
        <v>0</v>
      </c>
    </row>
    <row r="258" spans="13:18">
      <c r="M258">
        <f>IF(LEFT(分期持仓明细!$A$177,LEN(G$81)+2)=G$81&amp;" ·",ROW(分期持仓明细!$A$177),0)</f>
        <v>0</v>
      </c>
      <c r="N258">
        <f>IF(LEFT(分期持仓明细!$A$177,LEN(H$81)+2)=H$81&amp;" ·",ROW(分期持仓明细!$A$177),0)</f>
        <v>0</v>
      </c>
      <c r="O258">
        <f>IF(LEFT(分期持仓明细!$A$177,LEN(I$81)+2)=I$81&amp;" ·",ROW(分期持仓明细!$A$177),0)</f>
        <v>0</v>
      </c>
      <c r="P258">
        <f>IF(LEFT(分期持仓明细!$A$177,LEN(J$81)+2)=J$81&amp;" ·",ROW(分期持仓明细!$A$177),0)</f>
        <v>0</v>
      </c>
      <c r="Q258">
        <f>IF(LEFT(分期持仓明细!$A$177,LEN(K$81)+2)=K$81&amp;" ·",ROW(分期持仓明细!$A$177),0)</f>
        <v>0</v>
      </c>
      <c r="R258">
        <f>IF(LEFT(分期持仓明细!$A$177,LEN(L$81)+2)=L$81&amp;" ·",ROW(分期持仓明细!$A$177),0)</f>
        <v>0</v>
      </c>
    </row>
    <row r="259" spans="13:18">
      <c r="M259">
        <f>IF(LEFT(分期持仓明细!$A$178,LEN(G$81)+2)=G$81&amp;" ·",ROW(分期持仓明细!$A$178),0)</f>
        <v>0</v>
      </c>
      <c r="N259">
        <f>IF(LEFT(分期持仓明细!$A$178,LEN(H$81)+2)=H$81&amp;" ·",ROW(分期持仓明细!$A$178),0)</f>
        <v>0</v>
      </c>
      <c r="O259">
        <f>IF(LEFT(分期持仓明细!$A$178,LEN(I$81)+2)=I$81&amp;" ·",ROW(分期持仓明细!$A$178),0)</f>
        <v>0</v>
      </c>
      <c r="P259">
        <f>IF(LEFT(分期持仓明细!$A$178,LEN(J$81)+2)=J$81&amp;" ·",ROW(分期持仓明细!$A$178),0)</f>
        <v>0</v>
      </c>
      <c r="Q259">
        <f>IF(LEFT(分期持仓明细!$A$178,LEN(K$81)+2)=K$81&amp;" ·",ROW(分期持仓明细!$A$178),0)</f>
        <v>0</v>
      </c>
      <c r="R259">
        <f>IF(LEFT(分期持仓明细!$A$178,LEN(L$81)+2)=L$81&amp;" ·",ROW(分期持仓明细!$A$178),0)</f>
        <v>0</v>
      </c>
    </row>
    <row r="260" spans="13:18">
      <c r="M260">
        <f>IF(LEFT(分期持仓明细!$A$179,LEN(G$81)+2)=G$81&amp;" ·",ROW(分期持仓明细!$A$179),0)</f>
        <v>0</v>
      </c>
      <c r="N260">
        <f>IF(LEFT(分期持仓明细!$A$179,LEN(H$81)+2)=H$81&amp;" ·",ROW(分期持仓明细!$A$179),0)</f>
        <v>0</v>
      </c>
      <c r="O260">
        <f>IF(LEFT(分期持仓明细!$A$179,LEN(I$81)+2)=I$81&amp;" ·",ROW(分期持仓明细!$A$179),0)</f>
        <v>0</v>
      </c>
      <c r="P260">
        <f>IF(LEFT(分期持仓明细!$A$179,LEN(J$81)+2)=J$81&amp;" ·",ROW(分期持仓明细!$A$179),0)</f>
        <v>0</v>
      </c>
      <c r="Q260">
        <f>IF(LEFT(分期持仓明细!$A$179,LEN(K$81)+2)=K$81&amp;" ·",ROW(分期持仓明细!$A$179),0)</f>
        <v>0</v>
      </c>
      <c r="R260">
        <f>IF(LEFT(分期持仓明细!$A$179,LEN(L$81)+2)=L$81&amp;" ·",ROW(分期持仓明细!$A$179),0)</f>
        <v>0</v>
      </c>
    </row>
    <row r="261" spans="13:18">
      <c r="M261">
        <f>IF(LEFT(分期持仓明细!$A$180,LEN(G$81)+2)=G$81&amp;" ·",ROW(分期持仓明细!$A$180),0)</f>
        <v>0</v>
      </c>
      <c r="N261">
        <f>IF(LEFT(分期持仓明细!$A$180,LEN(H$81)+2)=H$81&amp;" ·",ROW(分期持仓明细!$A$180),0)</f>
        <v>0</v>
      </c>
      <c r="O261">
        <f>IF(LEFT(分期持仓明细!$A$180,LEN(I$81)+2)=I$81&amp;" ·",ROW(分期持仓明细!$A$180),0)</f>
        <v>0</v>
      </c>
      <c r="P261">
        <f>IF(LEFT(分期持仓明细!$A$180,LEN(J$81)+2)=J$81&amp;" ·",ROW(分期持仓明细!$A$180),0)</f>
        <v>0</v>
      </c>
      <c r="Q261">
        <f>IF(LEFT(分期持仓明细!$A$180,LEN(K$81)+2)=K$81&amp;" ·",ROW(分期持仓明细!$A$180),0)</f>
        <v>0</v>
      </c>
      <c r="R261">
        <f>IF(LEFT(分期持仓明细!$A$180,LEN(L$81)+2)=L$81&amp;" ·",ROW(分期持仓明细!$A$180),0)</f>
        <v>0</v>
      </c>
    </row>
    <row r="262" spans="13:18">
      <c r="M262">
        <f>IF(LEFT(分期持仓明细!$A$181,LEN(G$81)+2)=G$81&amp;" ·",ROW(分期持仓明细!$A$181),0)</f>
        <v>0</v>
      </c>
      <c r="N262">
        <f>IF(LEFT(分期持仓明细!$A$181,LEN(H$81)+2)=H$81&amp;" ·",ROW(分期持仓明细!$A$181),0)</f>
        <v>0</v>
      </c>
      <c r="O262">
        <f>IF(LEFT(分期持仓明细!$A$181,LEN(I$81)+2)=I$81&amp;" ·",ROW(分期持仓明细!$A$181),0)</f>
        <v>0</v>
      </c>
      <c r="P262">
        <f>IF(LEFT(分期持仓明细!$A$181,LEN(J$81)+2)=J$81&amp;" ·",ROW(分期持仓明细!$A$181),0)</f>
        <v>0</v>
      </c>
      <c r="Q262">
        <f>IF(LEFT(分期持仓明细!$A$181,LEN(K$81)+2)=K$81&amp;" ·",ROW(分期持仓明细!$A$181),0)</f>
        <v>0</v>
      </c>
      <c r="R262">
        <f>IF(LEFT(分期持仓明细!$A$181,LEN(L$81)+2)=L$81&amp;" ·",ROW(分期持仓明细!$A$181),0)</f>
        <v>0</v>
      </c>
    </row>
    <row r="263" spans="13:18">
      <c r="M263">
        <f>IF(LEFT(分期持仓明细!$A$182,LEN(G$81)+2)=G$81&amp;" ·",ROW(分期持仓明细!$A$182),0)</f>
        <v>0</v>
      </c>
      <c r="N263">
        <f>IF(LEFT(分期持仓明细!$A$182,LEN(H$81)+2)=H$81&amp;" ·",ROW(分期持仓明细!$A$182),0)</f>
        <v>0</v>
      </c>
      <c r="O263">
        <f>IF(LEFT(分期持仓明细!$A$182,LEN(I$81)+2)=I$81&amp;" ·",ROW(分期持仓明细!$A$182),0)</f>
        <v>0</v>
      </c>
      <c r="P263">
        <f>IF(LEFT(分期持仓明细!$A$182,LEN(J$81)+2)=J$81&amp;" ·",ROW(分期持仓明细!$A$182),0)</f>
        <v>0</v>
      </c>
      <c r="Q263">
        <f>IF(LEFT(分期持仓明细!$A$182,LEN(K$81)+2)=K$81&amp;" ·",ROW(分期持仓明细!$A$182),0)</f>
        <v>0</v>
      </c>
      <c r="R263">
        <f>IF(LEFT(分期持仓明细!$A$182,LEN(L$81)+2)=L$81&amp;" ·",ROW(分期持仓明细!$A$182),0)</f>
        <v>0</v>
      </c>
    </row>
    <row r="264" spans="13:18">
      <c r="M264">
        <f>IF(LEFT(分期持仓明细!$A$183,LEN(G$81)+2)=G$81&amp;" ·",ROW(分期持仓明细!$A$183),0)</f>
        <v>0</v>
      </c>
      <c r="N264">
        <f>IF(LEFT(分期持仓明细!$A$183,LEN(H$81)+2)=H$81&amp;" ·",ROW(分期持仓明细!$A$183),0)</f>
        <v>0</v>
      </c>
      <c r="O264">
        <f>IF(LEFT(分期持仓明细!$A$183,LEN(I$81)+2)=I$81&amp;" ·",ROW(分期持仓明细!$A$183),0)</f>
        <v>0</v>
      </c>
      <c r="P264">
        <f>IF(LEFT(分期持仓明细!$A$183,LEN(J$81)+2)=J$81&amp;" ·",ROW(分期持仓明细!$A$183),0)</f>
        <v>0</v>
      </c>
      <c r="Q264">
        <f>IF(LEFT(分期持仓明细!$A$183,LEN(K$81)+2)=K$81&amp;" ·",ROW(分期持仓明细!$A$183),0)</f>
        <v>0</v>
      </c>
      <c r="R264">
        <f>IF(LEFT(分期持仓明细!$A$183,LEN(L$81)+2)=L$81&amp;" ·",ROW(分期持仓明细!$A$183),0)</f>
        <v>0</v>
      </c>
    </row>
    <row r="265" spans="13:18">
      <c r="M265">
        <f>IF(LEFT(分期持仓明细!$A$184,LEN(G$81)+2)=G$81&amp;" ·",ROW(分期持仓明细!$A$184),0)</f>
        <v>0</v>
      </c>
      <c r="N265">
        <f>IF(LEFT(分期持仓明细!$A$184,LEN(H$81)+2)=H$81&amp;" ·",ROW(分期持仓明细!$A$184),0)</f>
        <v>0</v>
      </c>
      <c r="O265">
        <f>IF(LEFT(分期持仓明细!$A$184,LEN(I$81)+2)=I$81&amp;" ·",ROW(分期持仓明细!$A$184),0)</f>
        <v>0</v>
      </c>
      <c r="P265">
        <f>IF(LEFT(分期持仓明细!$A$184,LEN(J$81)+2)=J$81&amp;" ·",ROW(分期持仓明细!$A$184),0)</f>
        <v>0</v>
      </c>
      <c r="Q265">
        <f>IF(LEFT(分期持仓明细!$A$184,LEN(K$81)+2)=K$81&amp;" ·",ROW(分期持仓明细!$A$184),0)</f>
        <v>0</v>
      </c>
      <c r="R265">
        <f>IF(LEFT(分期持仓明细!$A$184,LEN(L$81)+2)=L$81&amp;" ·",ROW(分期持仓明细!$A$184),0)</f>
        <v>0</v>
      </c>
    </row>
    <row r="266" spans="13:18">
      <c r="M266">
        <f>IF(LEFT(分期持仓明细!$A$185,LEN(G$81)+2)=G$81&amp;" ·",ROW(分期持仓明细!$A$185),0)</f>
        <v>0</v>
      </c>
      <c r="N266">
        <f>IF(LEFT(分期持仓明细!$A$185,LEN(H$81)+2)=H$81&amp;" ·",ROW(分期持仓明细!$A$185),0)</f>
        <v>0</v>
      </c>
      <c r="O266">
        <f>IF(LEFT(分期持仓明细!$A$185,LEN(I$81)+2)=I$81&amp;" ·",ROW(分期持仓明细!$A$185),0)</f>
        <v>0</v>
      </c>
      <c r="P266">
        <f>IF(LEFT(分期持仓明细!$A$185,LEN(J$81)+2)=J$81&amp;" ·",ROW(分期持仓明细!$A$185),0)</f>
        <v>0</v>
      </c>
      <c r="Q266">
        <f>IF(LEFT(分期持仓明细!$A$185,LEN(K$81)+2)=K$81&amp;" ·",ROW(分期持仓明细!$A$185),0)</f>
        <v>0</v>
      </c>
      <c r="R266">
        <f>IF(LEFT(分期持仓明细!$A$185,LEN(L$81)+2)=L$81&amp;" ·",ROW(分期持仓明细!$A$185),0)</f>
        <v>0</v>
      </c>
    </row>
    <row r="267" spans="13:18">
      <c r="M267">
        <f>IF(LEFT(分期持仓明细!$A$186,LEN(G$81)+2)=G$81&amp;" ·",ROW(分期持仓明细!$A$186),0)</f>
        <v>0</v>
      </c>
      <c r="N267">
        <f>IF(LEFT(分期持仓明细!$A$186,LEN(H$81)+2)=H$81&amp;" ·",ROW(分期持仓明细!$A$186),0)</f>
        <v>0</v>
      </c>
      <c r="O267">
        <f>IF(LEFT(分期持仓明细!$A$186,LEN(I$81)+2)=I$81&amp;" ·",ROW(分期持仓明细!$A$186),0)</f>
        <v>0</v>
      </c>
      <c r="P267">
        <f>IF(LEFT(分期持仓明细!$A$186,LEN(J$81)+2)=J$81&amp;" ·",ROW(分期持仓明细!$A$186),0)</f>
        <v>0</v>
      </c>
      <c r="Q267">
        <f>IF(LEFT(分期持仓明细!$A$186,LEN(K$81)+2)=K$81&amp;" ·",ROW(分期持仓明细!$A$186),0)</f>
        <v>0</v>
      </c>
      <c r="R267">
        <f>IF(LEFT(分期持仓明细!$A$186,LEN(L$81)+2)=L$81&amp;" ·",ROW(分期持仓明细!$A$186),0)</f>
        <v>0</v>
      </c>
    </row>
    <row r="268" spans="13:18">
      <c r="M268">
        <f>IF(LEFT(分期持仓明细!$A$187,LEN(G$81)+2)=G$81&amp;" ·",ROW(分期持仓明细!$A$187),0)</f>
        <v>0</v>
      </c>
      <c r="N268">
        <f>IF(LEFT(分期持仓明细!$A$187,LEN(H$81)+2)=H$81&amp;" ·",ROW(分期持仓明细!$A$187),0)</f>
        <v>0</v>
      </c>
      <c r="O268">
        <f>IF(LEFT(分期持仓明细!$A$187,LEN(I$81)+2)=I$81&amp;" ·",ROW(分期持仓明细!$A$187),0)</f>
        <v>0</v>
      </c>
      <c r="P268">
        <f>IF(LEFT(分期持仓明细!$A$187,LEN(J$81)+2)=J$81&amp;" ·",ROW(分期持仓明细!$A$187),0)</f>
        <v>0</v>
      </c>
      <c r="Q268">
        <f>IF(LEFT(分期持仓明细!$A$187,LEN(K$81)+2)=K$81&amp;" ·",ROW(分期持仓明细!$A$187),0)</f>
        <v>0</v>
      </c>
      <c r="R268">
        <f>IF(LEFT(分期持仓明细!$A$187,LEN(L$81)+2)=L$81&amp;" ·",ROW(分期持仓明细!$A$187),0)</f>
        <v>0</v>
      </c>
    </row>
    <row r="269" spans="13:18">
      <c r="M269">
        <f>IF(LEFT(分期持仓明细!$A$188,LEN(G$81)+2)=G$81&amp;" ·",ROW(分期持仓明细!$A$188),0)</f>
        <v>0</v>
      </c>
      <c r="N269">
        <f>IF(LEFT(分期持仓明细!$A$188,LEN(H$81)+2)=H$81&amp;" ·",ROW(分期持仓明细!$A$188),0)</f>
        <v>0</v>
      </c>
      <c r="O269">
        <f>IF(LEFT(分期持仓明细!$A$188,LEN(I$81)+2)=I$81&amp;" ·",ROW(分期持仓明细!$A$188),0)</f>
        <v>0</v>
      </c>
      <c r="P269">
        <f>IF(LEFT(分期持仓明细!$A$188,LEN(J$81)+2)=J$81&amp;" ·",ROW(分期持仓明细!$A$188),0)</f>
        <v>0</v>
      </c>
      <c r="Q269">
        <f>IF(LEFT(分期持仓明细!$A$188,LEN(K$81)+2)=K$81&amp;" ·",ROW(分期持仓明细!$A$188),0)</f>
        <v>0</v>
      </c>
      <c r="R269">
        <f>IF(LEFT(分期持仓明细!$A$188,LEN(L$81)+2)=L$81&amp;" ·",ROW(分期持仓明细!$A$188),0)</f>
        <v>0</v>
      </c>
    </row>
    <row r="270" spans="13:18">
      <c r="M270">
        <f>IF(LEFT(分期持仓明细!$A$189,LEN(G$81)+2)=G$81&amp;" ·",ROW(分期持仓明细!$A$189),0)</f>
        <v>0</v>
      </c>
      <c r="N270">
        <f>IF(LEFT(分期持仓明细!$A$189,LEN(H$81)+2)=H$81&amp;" ·",ROW(分期持仓明细!$A$189),0)</f>
        <v>0</v>
      </c>
      <c r="O270">
        <f>IF(LEFT(分期持仓明细!$A$189,LEN(I$81)+2)=I$81&amp;" ·",ROW(分期持仓明细!$A$189),0)</f>
        <v>0</v>
      </c>
      <c r="P270">
        <f>IF(LEFT(分期持仓明细!$A$189,LEN(J$81)+2)=J$81&amp;" ·",ROW(分期持仓明细!$A$189),0)</f>
        <v>0</v>
      </c>
      <c r="Q270">
        <f>IF(LEFT(分期持仓明细!$A$189,LEN(K$81)+2)=K$81&amp;" ·",ROW(分期持仓明细!$A$189),0)</f>
        <v>0</v>
      </c>
      <c r="R270">
        <f>IF(LEFT(分期持仓明细!$A$189,LEN(L$81)+2)=L$81&amp;" ·",ROW(分期持仓明细!$A$189),0)</f>
        <v>0</v>
      </c>
    </row>
    <row r="271" spans="13:18">
      <c r="M271">
        <f>IF(LEFT(分期持仓明细!$A$190,LEN(G$81)+2)=G$81&amp;" ·",ROW(分期持仓明细!$A$190),0)</f>
        <v>0</v>
      </c>
      <c r="N271">
        <f>IF(LEFT(分期持仓明细!$A$190,LEN(H$81)+2)=H$81&amp;" ·",ROW(分期持仓明细!$A$190),0)</f>
        <v>0</v>
      </c>
      <c r="O271">
        <f>IF(LEFT(分期持仓明细!$A$190,LEN(I$81)+2)=I$81&amp;" ·",ROW(分期持仓明细!$A$190),0)</f>
        <v>0</v>
      </c>
      <c r="P271">
        <f>IF(LEFT(分期持仓明细!$A$190,LEN(J$81)+2)=J$81&amp;" ·",ROW(分期持仓明细!$A$190),0)</f>
        <v>0</v>
      </c>
      <c r="Q271">
        <f>IF(LEFT(分期持仓明细!$A$190,LEN(K$81)+2)=K$81&amp;" ·",ROW(分期持仓明细!$A$190),0)</f>
        <v>0</v>
      </c>
      <c r="R271">
        <f>IF(LEFT(分期持仓明细!$A$190,LEN(L$81)+2)=L$81&amp;" ·",ROW(分期持仓明细!$A$190),0)</f>
        <v>0</v>
      </c>
    </row>
    <row r="272" spans="13:18">
      <c r="M272">
        <f>IF(LEFT(分期持仓明细!$A$191,LEN(G$81)+2)=G$81&amp;" ·",ROW(分期持仓明细!$A$191),0)</f>
        <v>0</v>
      </c>
      <c r="N272">
        <f>IF(LEFT(分期持仓明细!$A$191,LEN(H$81)+2)=H$81&amp;" ·",ROW(分期持仓明细!$A$191),0)</f>
        <v>0</v>
      </c>
      <c r="O272">
        <f>IF(LEFT(分期持仓明细!$A$191,LEN(I$81)+2)=I$81&amp;" ·",ROW(分期持仓明细!$A$191),0)</f>
        <v>0</v>
      </c>
      <c r="P272">
        <f>IF(LEFT(分期持仓明细!$A$191,LEN(J$81)+2)=J$81&amp;" ·",ROW(分期持仓明细!$A$191),0)</f>
        <v>0</v>
      </c>
      <c r="Q272">
        <f>IF(LEFT(分期持仓明细!$A$191,LEN(K$81)+2)=K$81&amp;" ·",ROW(分期持仓明细!$A$191),0)</f>
        <v>0</v>
      </c>
      <c r="R272">
        <f>IF(LEFT(分期持仓明细!$A$191,LEN(L$81)+2)=L$81&amp;" ·",ROW(分期持仓明细!$A$191),0)</f>
        <v>0</v>
      </c>
    </row>
    <row r="273" spans="13:18">
      <c r="M273">
        <f>IF(LEFT(分期持仓明细!$A$192,LEN(G$81)+2)=G$81&amp;" ·",ROW(分期持仓明细!$A$192),0)</f>
        <v>0</v>
      </c>
      <c r="N273">
        <f>IF(LEFT(分期持仓明细!$A$192,LEN(H$81)+2)=H$81&amp;" ·",ROW(分期持仓明细!$A$192),0)</f>
        <v>0</v>
      </c>
      <c r="O273">
        <f>IF(LEFT(分期持仓明细!$A$192,LEN(I$81)+2)=I$81&amp;" ·",ROW(分期持仓明细!$A$192),0)</f>
        <v>0</v>
      </c>
      <c r="P273">
        <f>IF(LEFT(分期持仓明细!$A$192,LEN(J$81)+2)=J$81&amp;" ·",ROW(分期持仓明细!$A$192),0)</f>
        <v>0</v>
      </c>
      <c r="Q273">
        <f>IF(LEFT(分期持仓明细!$A$192,LEN(K$81)+2)=K$81&amp;" ·",ROW(分期持仓明细!$A$192),0)</f>
        <v>0</v>
      </c>
      <c r="R273">
        <f>IF(LEFT(分期持仓明细!$A$192,LEN(L$81)+2)=L$81&amp;" ·",ROW(分期持仓明细!$A$192),0)</f>
        <v>0</v>
      </c>
    </row>
    <row r="274" spans="13:18">
      <c r="M274">
        <f>IF(LEFT(分期持仓明细!$A$193,LEN(G$81)+2)=G$81&amp;" ·",ROW(分期持仓明细!$A$193),0)</f>
        <v>0</v>
      </c>
      <c r="N274">
        <f>IF(LEFT(分期持仓明细!$A$193,LEN(H$81)+2)=H$81&amp;" ·",ROW(分期持仓明细!$A$193),0)</f>
        <v>0</v>
      </c>
      <c r="O274">
        <f>IF(LEFT(分期持仓明细!$A$193,LEN(I$81)+2)=I$81&amp;" ·",ROW(分期持仓明细!$A$193),0)</f>
        <v>0</v>
      </c>
      <c r="P274">
        <f>IF(LEFT(分期持仓明细!$A$193,LEN(J$81)+2)=J$81&amp;" ·",ROW(分期持仓明细!$A$193),0)</f>
        <v>0</v>
      </c>
      <c r="Q274">
        <f>IF(LEFT(分期持仓明细!$A$193,LEN(K$81)+2)=K$81&amp;" ·",ROW(分期持仓明细!$A$193),0)</f>
        <v>0</v>
      </c>
      <c r="R274">
        <f>IF(LEFT(分期持仓明细!$A$193,LEN(L$81)+2)=L$81&amp;" ·",ROW(分期持仓明细!$A$193),0)</f>
        <v>0</v>
      </c>
    </row>
    <row r="275" spans="13:18">
      <c r="M275">
        <f>IF(LEFT(分期持仓明细!$A$194,LEN(G$81)+2)=G$81&amp;" ·",ROW(分期持仓明细!$A$194),0)</f>
        <v>0</v>
      </c>
      <c r="N275">
        <f>IF(LEFT(分期持仓明细!$A$194,LEN(H$81)+2)=H$81&amp;" ·",ROW(分期持仓明细!$A$194),0)</f>
        <v>0</v>
      </c>
      <c r="O275">
        <f>IF(LEFT(分期持仓明细!$A$194,LEN(I$81)+2)=I$81&amp;" ·",ROW(分期持仓明细!$A$194),0)</f>
        <v>0</v>
      </c>
      <c r="P275">
        <f>IF(LEFT(分期持仓明细!$A$194,LEN(J$81)+2)=J$81&amp;" ·",ROW(分期持仓明细!$A$194),0)</f>
        <v>0</v>
      </c>
      <c r="Q275">
        <f>IF(LEFT(分期持仓明细!$A$194,LEN(K$81)+2)=K$81&amp;" ·",ROW(分期持仓明细!$A$194),0)</f>
        <v>0</v>
      </c>
      <c r="R275">
        <f>IF(LEFT(分期持仓明细!$A$194,LEN(L$81)+2)=L$81&amp;" ·",ROW(分期持仓明细!$A$194),0)</f>
        <v>0</v>
      </c>
    </row>
    <row r="276" spans="13:18">
      <c r="M276">
        <f>IF(LEFT(分期持仓明细!$A$195,LEN(G$81)+2)=G$81&amp;" ·",ROW(分期持仓明细!$A$195),0)</f>
        <v>0</v>
      </c>
      <c r="N276">
        <f>IF(LEFT(分期持仓明细!$A$195,LEN(H$81)+2)=H$81&amp;" ·",ROW(分期持仓明细!$A$195),0)</f>
        <v>0</v>
      </c>
      <c r="O276">
        <f>IF(LEFT(分期持仓明细!$A$195,LEN(I$81)+2)=I$81&amp;" ·",ROW(分期持仓明细!$A$195),0)</f>
        <v>0</v>
      </c>
      <c r="P276">
        <f>IF(LEFT(分期持仓明细!$A$195,LEN(J$81)+2)=J$81&amp;" ·",ROW(分期持仓明细!$A$195),0)</f>
        <v>0</v>
      </c>
      <c r="Q276">
        <f>IF(LEFT(分期持仓明细!$A$195,LEN(K$81)+2)=K$81&amp;" ·",ROW(分期持仓明细!$A$195),0)</f>
        <v>0</v>
      </c>
      <c r="R276">
        <f>IF(LEFT(分期持仓明细!$A$195,LEN(L$81)+2)=L$81&amp;" ·",ROW(分期持仓明细!$A$195),0)</f>
        <v>0</v>
      </c>
    </row>
    <row r="277" spans="13:18">
      <c r="M277">
        <f>IF(LEFT(分期持仓明细!$A$196,LEN(G$81)+2)=G$81&amp;" ·",ROW(分期持仓明细!$A$196),0)</f>
        <v>0</v>
      </c>
      <c r="N277">
        <f>IF(LEFT(分期持仓明细!$A$196,LEN(H$81)+2)=H$81&amp;" ·",ROW(分期持仓明细!$A$196),0)</f>
        <v>0</v>
      </c>
      <c r="O277">
        <f>IF(LEFT(分期持仓明细!$A$196,LEN(I$81)+2)=I$81&amp;" ·",ROW(分期持仓明细!$A$196),0)</f>
        <v>0</v>
      </c>
      <c r="P277">
        <f>IF(LEFT(分期持仓明细!$A$196,LEN(J$81)+2)=J$81&amp;" ·",ROW(分期持仓明细!$A$196),0)</f>
        <v>0</v>
      </c>
      <c r="Q277">
        <f>IF(LEFT(分期持仓明细!$A$196,LEN(K$81)+2)=K$81&amp;" ·",ROW(分期持仓明细!$A$196),0)</f>
        <v>0</v>
      </c>
      <c r="R277">
        <f>IF(LEFT(分期持仓明细!$A$196,LEN(L$81)+2)=L$81&amp;" ·",ROW(分期持仓明细!$A$196),0)</f>
        <v>0</v>
      </c>
    </row>
    <row r="278" spans="13:18">
      <c r="M278">
        <f>IF(LEFT(分期持仓明细!$A$197,LEN(G$81)+2)=G$81&amp;" ·",ROW(分期持仓明细!$A$197),0)</f>
        <v>0</v>
      </c>
      <c r="N278">
        <f>IF(LEFT(分期持仓明细!$A$197,LEN(H$81)+2)=H$81&amp;" ·",ROW(分期持仓明细!$A$197),0)</f>
        <v>0</v>
      </c>
      <c r="O278">
        <f>IF(LEFT(分期持仓明细!$A$197,LEN(I$81)+2)=I$81&amp;" ·",ROW(分期持仓明细!$A$197),0)</f>
        <v>0</v>
      </c>
      <c r="P278">
        <f>IF(LEFT(分期持仓明细!$A$197,LEN(J$81)+2)=J$81&amp;" ·",ROW(分期持仓明细!$A$197),0)</f>
        <v>0</v>
      </c>
      <c r="Q278">
        <f>IF(LEFT(分期持仓明细!$A$197,LEN(K$81)+2)=K$81&amp;" ·",ROW(分期持仓明细!$A$197),0)</f>
        <v>0</v>
      </c>
      <c r="R278">
        <f>IF(LEFT(分期持仓明细!$A$197,LEN(L$81)+2)=L$81&amp;" ·",ROW(分期持仓明细!$A$197),0)</f>
        <v>0</v>
      </c>
    </row>
    <row r="279" spans="13:18">
      <c r="M279">
        <f>IF(LEFT(分期持仓明细!$A$198,LEN(G$81)+2)=G$81&amp;" ·",ROW(分期持仓明细!$A$198),0)</f>
        <v>0</v>
      </c>
      <c r="N279">
        <f>IF(LEFT(分期持仓明细!$A$198,LEN(H$81)+2)=H$81&amp;" ·",ROW(分期持仓明细!$A$198),0)</f>
        <v>0</v>
      </c>
      <c r="O279">
        <f>IF(LEFT(分期持仓明细!$A$198,LEN(I$81)+2)=I$81&amp;" ·",ROW(分期持仓明细!$A$198),0)</f>
        <v>0</v>
      </c>
      <c r="P279">
        <f>IF(LEFT(分期持仓明细!$A$198,LEN(J$81)+2)=J$81&amp;" ·",ROW(分期持仓明细!$A$198),0)</f>
        <v>0</v>
      </c>
      <c r="Q279">
        <f>IF(LEFT(分期持仓明细!$A$198,LEN(K$81)+2)=K$81&amp;" ·",ROW(分期持仓明细!$A$198),0)</f>
        <v>0</v>
      </c>
      <c r="R279">
        <f>IF(LEFT(分期持仓明细!$A$198,LEN(L$81)+2)=L$81&amp;" ·",ROW(分期持仓明细!$A$198),0)</f>
        <v>0</v>
      </c>
    </row>
    <row r="280" spans="13:18">
      <c r="M280">
        <f>IF(LEFT(分期持仓明细!$A$199,LEN(G$81)+2)=G$81&amp;" ·",ROW(分期持仓明细!$A$199),0)</f>
        <v>0</v>
      </c>
      <c r="N280">
        <f>IF(LEFT(分期持仓明细!$A$199,LEN(H$81)+2)=H$81&amp;" ·",ROW(分期持仓明细!$A$199),0)</f>
        <v>0</v>
      </c>
      <c r="O280">
        <f>IF(LEFT(分期持仓明细!$A$199,LEN(I$81)+2)=I$81&amp;" ·",ROW(分期持仓明细!$A$199),0)</f>
        <v>0</v>
      </c>
      <c r="P280">
        <f>IF(LEFT(分期持仓明细!$A$199,LEN(J$81)+2)=J$81&amp;" ·",ROW(分期持仓明细!$A$199),0)</f>
        <v>0</v>
      </c>
      <c r="Q280">
        <f>IF(LEFT(分期持仓明细!$A$199,LEN(K$81)+2)=K$81&amp;" ·",ROW(分期持仓明细!$A$199),0)</f>
        <v>0</v>
      </c>
      <c r="R280">
        <f>IF(LEFT(分期持仓明细!$A$199,LEN(L$81)+2)=L$81&amp;" ·",ROW(分期持仓明细!$A$199),0)</f>
        <v>0</v>
      </c>
    </row>
    <row r="281" spans="13:18">
      <c r="M281">
        <f>IF(LEFT(分期持仓明细!$A$200,LEN(G$81)+2)=G$81&amp;" ·",ROW(分期持仓明细!$A$200),0)</f>
        <v>0</v>
      </c>
      <c r="N281">
        <f>IF(LEFT(分期持仓明细!$A$200,LEN(H$81)+2)=H$81&amp;" ·",ROW(分期持仓明细!$A$200),0)</f>
        <v>0</v>
      </c>
      <c r="O281">
        <f>IF(LEFT(分期持仓明细!$A$200,LEN(I$81)+2)=I$81&amp;" ·",ROW(分期持仓明细!$A$200),0)</f>
        <v>0</v>
      </c>
      <c r="P281">
        <f>IF(LEFT(分期持仓明细!$A$200,LEN(J$81)+2)=J$81&amp;" ·",ROW(分期持仓明细!$A$200),0)</f>
        <v>0</v>
      </c>
      <c r="Q281">
        <f>IF(LEFT(分期持仓明细!$A$200,LEN(K$81)+2)=K$81&amp;" ·",ROW(分期持仓明细!$A$200),0)</f>
        <v>0</v>
      </c>
      <c r="R281">
        <f>IF(LEFT(分期持仓明细!$A$200,LEN(L$81)+2)=L$81&amp;" ·",ROW(分期持仓明细!$A$200),0)</f>
        <v>0</v>
      </c>
    </row>
  </sheetData>
  <mergeCells count="14">
    <mergeCell ref="A50:L50"/>
    <mergeCell ref="A51:L51"/>
    <mergeCell ref="A80:L80"/>
    <mergeCell ref="A88:F88"/>
    <mergeCell ref="A33:F33"/>
    <mergeCell ref="A38:H38"/>
    <mergeCell ref="A40:C40"/>
    <mergeCell ref="A45:E45"/>
    <mergeCell ref="A47:H47"/>
    <mergeCell ref="A1:L1"/>
    <mergeCell ref="D2:H2"/>
    <mergeCell ref="A3:L3"/>
    <mergeCell ref="A5:E5"/>
    <mergeCell ref="A31:G31"/>
  </mergeCells>
  <phoneticPr fontId="35" type="noConversion"/>
  <conditionalFormatting sqref="A7:G30">
    <cfRule type="expression" dxfId="54" priority="1">
      <formula>AND($D7="主动",$E7&gt;$L$2)</formula>
    </cfRule>
  </conditionalFormatting>
  <conditionalFormatting sqref="D35:D37">
    <cfRule type="expression" dxfId="53" priority="3">
      <formula>ABS(D35)&gt;$J$2</formula>
    </cfRule>
  </conditionalFormatting>
  <conditionalFormatting sqref="F7:F30">
    <cfRule type="containsText" dxfId="52" priority="2" operator="containsText" text="正常"/>
  </conditionalFormatting>
  <conditionalFormatting sqref="G35:G37">
    <cfRule type="expression" dxfId="51" priority="4">
      <formula>ABS(G35)&gt;$J$2</formula>
    </cfRule>
  </conditionalFormatting>
  <dataValidations count="3">
    <dataValidation type="list" sqref="C53:C78">
      <formula1>"增值,生息"</formula1>
    </dataValidation>
    <dataValidation type="list" sqref="D53:D78">
      <formula1>"产业趋势,指增,-"</formula1>
    </dataValidation>
    <dataValidation type="list" sqref="E53:E78">
      <formula1>"主动,指数,指增,货币,债券,保障"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52"/>
  <sheetViews>
    <sheetView topLeftCell="A19" workbookViewId="0">
      <selection activeCell="G22" sqref="G22"/>
    </sheetView>
  </sheetViews>
  <sheetFormatPr defaultRowHeight="12.5"/>
  <cols>
    <col min="1" max="1" width="8" customWidth="1"/>
    <col min="2" max="2" width="16" customWidth="1"/>
    <col min="3" max="3" width="25.36328125" customWidth="1"/>
    <col min="4" max="5" width="12.54296875" style="85" customWidth="1"/>
    <col min="6" max="6" width="12" customWidth="1"/>
    <col min="7" max="7" width="15.26953125" customWidth="1"/>
    <col min="8" max="8" width="12.54296875" customWidth="1"/>
    <col min="9" max="9" width="21.1796875" customWidth="1"/>
  </cols>
  <sheetData>
    <row r="1" spans="1:9">
      <c r="E1" s="83">
        <f>VLOOKUP(E3,实盘组合预估净值!$A:$P,14)</f>
        <v>0.99372212189107401</v>
      </c>
      <c r="F1" s="83">
        <f>VLOOKUP(F3,实盘组合预估净值!$A:$P,14)</f>
        <v>1</v>
      </c>
      <c r="G1" s="83">
        <f>VLOOKUP(G3,实盘组合预估净值!$A:$P,14)</f>
        <v>1</v>
      </c>
      <c r="H1" s="83">
        <f>VLOOKUP(H3,实盘组合预估净值!$A:$P,14)</f>
        <v>0.97719837247619623</v>
      </c>
    </row>
    <row r="2" spans="1:9">
      <c r="E2" s="83">
        <f>VLOOKUP(E5,实盘组合预估净值!$A:$P,14)</f>
        <v>0.99508534181085639</v>
      </c>
      <c r="F2" s="83">
        <f ca="1">VLOOKUP(F5,实盘组合预估净值!$A:$P,14)</f>
        <v>0.99696346679824355</v>
      </c>
      <c r="G2" s="83">
        <f>VLOOKUP(G5,实盘组合预估净值!$A:$P,14)</f>
        <v>0.97390321005734459</v>
      </c>
      <c r="H2" s="83">
        <f ca="1">VLOOKUP(H5,实盘组合预估净值!$A:$P,14)</f>
        <v>0.99696346679824355</v>
      </c>
    </row>
    <row r="3" spans="1:9">
      <c r="E3" s="114">
        <f>E5-7</f>
        <v>46248</v>
      </c>
      <c r="F3" s="81">
        <v>46191</v>
      </c>
      <c r="G3" s="81">
        <v>46191</v>
      </c>
      <c r="H3" s="81">
        <v>46234</v>
      </c>
    </row>
    <row r="4" spans="1:9">
      <c r="E4" s="114">
        <f>E5-5</f>
        <v>46250</v>
      </c>
      <c r="F4" s="81">
        <v>46195</v>
      </c>
      <c r="G4" s="81">
        <v>46195</v>
      </c>
      <c r="H4" s="81">
        <v>46237</v>
      </c>
    </row>
    <row r="5" spans="1:9">
      <c r="E5" s="115">
        <v>46255</v>
      </c>
      <c r="F5" s="113">
        <f ca="1">偏离度监控!B2</f>
        <v>46286</v>
      </c>
      <c r="G5" s="81">
        <v>46233</v>
      </c>
      <c r="H5" s="81">
        <f ca="1">F5</f>
        <v>46286</v>
      </c>
    </row>
    <row r="6" spans="1:9" ht="33.65" customHeight="1">
      <c r="A6" s="91"/>
      <c r="B6" s="91"/>
      <c r="C6" s="164" t="s">
        <v>334</v>
      </c>
      <c r="D6" s="164"/>
      <c r="E6" s="164"/>
      <c r="F6" s="164"/>
      <c r="G6" s="164"/>
      <c r="H6" s="164"/>
      <c r="I6" s="164"/>
    </row>
    <row r="7" spans="1:9" ht="33">
      <c r="A7" s="80" t="s">
        <v>278</v>
      </c>
      <c r="B7" s="80" t="s">
        <v>28</v>
      </c>
      <c r="C7" s="80" t="s">
        <v>279</v>
      </c>
      <c r="D7" s="80" t="s">
        <v>330</v>
      </c>
      <c r="E7" s="82" t="s">
        <v>339</v>
      </c>
      <c r="F7" s="82" t="s">
        <v>315</v>
      </c>
      <c r="G7" s="82" t="s">
        <v>335</v>
      </c>
      <c r="H7" s="82" t="s">
        <v>336</v>
      </c>
      <c r="I7" s="93" t="s">
        <v>331</v>
      </c>
    </row>
    <row r="8" spans="1:9" ht="16.5">
      <c r="A8" s="65" t="s">
        <v>202</v>
      </c>
      <c r="B8" s="66"/>
      <c r="C8" s="67" t="s">
        <v>337</v>
      </c>
      <c r="D8" s="86"/>
      <c r="E8" s="97">
        <f>E$2/E$1-1</f>
        <v>1.3718321145836931E-3</v>
      </c>
      <c r="F8" s="97">
        <f ca="1">F$2/F$1-1</f>
        <v>-3.0365332017564528E-3</v>
      </c>
      <c r="G8" s="97">
        <f>G$2/G$1-1</f>
        <v>-2.6096789942655407E-2</v>
      </c>
      <c r="H8" s="97">
        <f ca="1">H$2/H$1-1</f>
        <v>2.0226286574713592E-2</v>
      </c>
      <c r="I8" s="97">
        <f>'看板-10-90基石'!$F$7</f>
        <v>-2.8729069309879618E-2</v>
      </c>
    </row>
    <row r="9" spans="1:9" ht="16.5">
      <c r="A9" s="68">
        <v>1</v>
      </c>
      <c r="B9" s="69" t="s">
        <v>280</v>
      </c>
      <c r="C9" s="70" t="s">
        <v>305</v>
      </c>
      <c r="D9" s="87">
        <v>712</v>
      </c>
      <c r="E9" s="98">
        <f>[1]!thsiFinD("ths_adjustment_nvg_ratio_fund",$B9,E$4,E$5,101)/100</f>
        <v>-3.7683097239203998E-3</v>
      </c>
      <c r="F9" s="98">
        <f ca="1">[1]!thsiFinD("ths_adjustment_nvg_ratio_fund",$B9,F$4,F$5,101)/100</f>
        <v>-4.1459854053539004E-2</v>
      </c>
      <c r="G9" s="98">
        <f>[1]!thsiFinD("ths_adjustment_nvg_ratio_fund",$B9,G$4,G$5,101)/100</f>
        <v>-7.3401459857001999E-2</v>
      </c>
      <c r="H9" s="98">
        <f ca="1">[1]!thsiFinD("ths_adjustment_nvg_ratio_fund",$B9,H$4,H$5,101)/100</f>
        <v>2.4848598365873002E-2</v>
      </c>
      <c r="I9" s="98">
        <f ca="1">-[1]!thsiFinD("ths_max_retrace_rate_all_fund",$B9,F$3,F$5)/100</f>
        <v>-7.8192169154790991E-2</v>
      </c>
    </row>
    <row r="10" spans="1:9" ht="16.5">
      <c r="A10" s="71">
        <v>2</v>
      </c>
      <c r="B10" s="72" t="s">
        <v>281</v>
      </c>
      <c r="C10" s="73" t="s">
        <v>306</v>
      </c>
      <c r="D10" s="88">
        <v>584</v>
      </c>
      <c r="E10" s="99">
        <f>[1]!thsiFinD("ths_adjustment_nvg_ratio_fund",$B10,E$4,E$5,101)/100</f>
        <v>4.9961394061405994E-4</v>
      </c>
      <c r="F10" s="99">
        <f ca="1">[1]!thsiFinD("ths_adjustment_nvg_ratio_fund",$B10,F$4,F$5,101)/100</f>
        <v>-1.8728742443579999E-2</v>
      </c>
      <c r="G10" s="99">
        <f>[1]!thsiFinD("ths_adjustment_nvg_ratio_fund",$B10,G$4,G$5,101)/100</f>
        <v>-5.1945757323097003E-2</v>
      </c>
      <c r="H10" s="99">
        <f ca="1">[1]!thsiFinD("ths_adjustment_nvg_ratio_fund",$B10,H$4,H$5,101)/100</f>
        <v>2.7758501024258E-2</v>
      </c>
      <c r="I10" s="99">
        <f ca="1">-[1]!thsiFinD("ths_max_retrace_rate_all_fund",$B10,F$3,F$5)/100</f>
        <v>-6.0905709922503999E-2</v>
      </c>
    </row>
    <row r="11" spans="1:9" ht="16.5">
      <c r="A11" s="68">
        <v>3</v>
      </c>
      <c r="B11" s="69" t="s">
        <v>282</v>
      </c>
      <c r="C11" s="70" t="s">
        <v>307</v>
      </c>
      <c r="D11" s="87">
        <v>576</v>
      </c>
      <c r="E11" s="98">
        <f>[1]!thsiFinD("ths_adjustment_nvg_ratio_fund",$B11,E$4,E$5,101)/100</f>
        <v>5.2714815037344001E-4</v>
      </c>
      <c r="F11" s="98">
        <f ca="1">[1]!thsiFinD("ths_adjustment_nvg_ratio_fund",$B11,F$4,F$5,101)/100</f>
        <v>-6.2926061851165003E-3</v>
      </c>
      <c r="G11" s="98">
        <f>[1]!thsiFinD("ths_adjustment_nvg_ratio_fund",$B11,G$4,G$5,101)/100</f>
        <v>-1.3633980067752001E-2</v>
      </c>
      <c r="H11" s="98">
        <f ca="1">[1]!thsiFinD("ths_adjustment_nvg_ratio_fund",$B11,H$4,H$5,101)/100</f>
        <v>5.8386411642555999E-3</v>
      </c>
      <c r="I11" s="98">
        <f ca="1">-[1]!thsiFinD("ths_max_retrace_rate_all_fund",$B11,F$3,F$5)/100</f>
        <v>-2.4530271409826998E-2</v>
      </c>
    </row>
    <row r="12" spans="1:9" ht="16.5">
      <c r="A12" s="71">
        <v>4</v>
      </c>
      <c r="B12" s="72" t="s">
        <v>283</v>
      </c>
      <c r="C12" s="73" t="s">
        <v>308</v>
      </c>
      <c r="D12" s="88">
        <v>393</v>
      </c>
      <c r="E12" s="99">
        <f>[1]!thsiFinD("ths_adjustment_nvg_ratio_fund",$B12,E$4,E$5,101)/100</f>
        <v>3.1128404289693999E-3</v>
      </c>
      <c r="F12" s="99">
        <f ca="1">[1]!thsiFinD("ths_adjustment_nvg_ratio_fund",$B12,F$4,F$5,101)/100</f>
        <v>2.2346368720502E-2</v>
      </c>
      <c r="G12" s="99">
        <f>[1]!thsiFinD("ths_adjustment_nvg_ratio_fund",$B12,G$4,G$5,101)/100</f>
        <v>1.5961691953112998E-2</v>
      </c>
      <c r="H12" s="99">
        <f ca="1">[1]!thsiFinD("ths_adjustment_nvg_ratio_fund",$B12,H$4,H$5,101)/100</f>
        <v>3.9184952841034995E-3</v>
      </c>
      <c r="I12" s="99">
        <f ca="1">-[1]!thsiFinD("ths_max_retrace_rate_all_fund",$B12,F$3,F$5)/100</f>
        <v>-1.9857029388075001E-2</v>
      </c>
    </row>
    <row r="13" spans="1:9" ht="16.5">
      <c r="A13" s="68">
        <v>5</v>
      </c>
      <c r="B13" s="69" t="s">
        <v>284</v>
      </c>
      <c r="C13" s="70" t="s">
        <v>309</v>
      </c>
      <c r="D13" s="87">
        <v>391</v>
      </c>
      <c r="E13" s="98">
        <f>[1]!thsiFinD("ths_adjustment_nvg_ratio_fund",$B13,E$4,E$5,101)/100</f>
        <v>-3.4575260493082001E-3</v>
      </c>
      <c r="F13" s="98">
        <f ca="1">[1]!thsiFinD("ths_adjustment_nvg_ratio_fund",$B13,F$4,F$5,101)/100</f>
        <v>-1.7357255589606001E-2</v>
      </c>
      <c r="G13" s="98">
        <f>[1]!thsiFinD("ths_adjustment_nvg_ratio_fund",$B13,G$4,G$5,101)/100</f>
        <v>-5.6454912032351999E-2</v>
      </c>
      <c r="H13" s="98">
        <f ca="1">[1]!thsiFinD("ths_adjustment_nvg_ratio_fund",$B13,H$4,H$5,101)/100</f>
        <v>3.2103615498650998E-2</v>
      </c>
      <c r="I13" s="98">
        <f ca="1">-[1]!thsiFinD("ths_max_retrace_rate_all_fund",$B13,F$3,F$5)/100</f>
        <v>-7.0577399089732998E-2</v>
      </c>
    </row>
    <row r="14" spans="1:9" ht="16.5">
      <c r="A14" s="71">
        <v>6</v>
      </c>
      <c r="B14" s="72" t="s">
        <v>285</v>
      </c>
      <c r="C14" s="73" t="s">
        <v>310</v>
      </c>
      <c r="D14" s="88">
        <v>365</v>
      </c>
      <c r="E14" s="99">
        <f>[1]!thsiFinD("ths_adjustment_nvg_ratio_fund",$B14,E$4,E$5,101)/100</f>
        <v>1.4783180026281002E-3</v>
      </c>
      <c r="F14" s="99">
        <f ca="1">[1]!thsiFinD("ths_adjustment_nvg_ratio_fund",$B14,F$4,F$5,101)/100</f>
        <v>-2.8592023065833999E-2</v>
      </c>
      <c r="G14" s="99">
        <f>[1]!thsiFinD("ths_adjustment_nvg_ratio_fund",$B14,G$4,G$5,101)/100</f>
        <v>-3.9484222329008001E-2</v>
      </c>
      <c r="H14" s="99">
        <f ca="1">[1]!thsiFinD("ths_adjustment_nvg_ratio_fund",$B14,H$4,H$5,101)/100</f>
        <v>5.9716347350087995E-3</v>
      </c>
      <c r="I14" s="99">
        <f ca="1">-[1]!thsiFinD("ths_max_retrace_rate_all_fund",$B14,F$3,F$5)/100</f>
        <v>-4.5758395670858001E-2</v>
      </c>
    </row>
    <row r="15" spans="1:9" ht="16.5">
      <c r="A15" s="68">
        <v>7</v>
      </c>
      <c r="B15" s="69" t="s">
        <v>286</v>
      </c>
      <c r="C15" s="70" t="s">
        <v>311</v>
      </c>
      <c r="D15" s="87">
        <v>361</v>
      </c>
      <c r="E15" s="98">
        <f>[1]!thsiFinD("ths_adjustment_nvg_ratio_fund",$B15,E$4,E$5,101)/100</f>
        <v>-1.0653753026634001E-2</v>
      </c>
      <c r="F15" s="98">
        <f ca="1">[1]!thsiFinD("ths_adjustment_nvg_ratio_fund",$B15,F$4,F$5,101)/100</f>
        <v>0</v>
      </c>
      <c r="G15" s="98">
        <f>[1]!thsiFinD("ths_adjustment_nvg_ratio_fund",$B15,G$4,G$5,101)/100</f>
        <v>-2.8724440116844999E-2</v>
      </c>
      <c r="H15" s="98">
        <f ca="1">[1]!thsiFinD("ths_adjustment_nvg_ratio_fund",$B15,H$4,H$5,101)/100</f>
        <v>2.0874751491054E-2</v>
      </c>
      <c r="I15" s="98">
        <f ca="1">-[1]!thsiFinD("ths_max_retrace_rate_all_fund",$B15,F$3,F$5)/100</f>
        <v>-5.2405907575036006E-2</v>
      </c>
    </row>
    <row r="16" spans="1:9" ht="16.5">
      <c r="A16" s="71">
        <v>8</v>
      </c>
      <c r="B16" s="72" t="s">
        <v>287</v>
      </c>
      <c r="C16" s="73" t="s">
        <v>312</v>
      </c>
      <c r="D16" s="88">
        <v>359</v>
      </c>
      <c r="E16" s="99">
        <f>[1]!thsiFinD("ths_adjustment_nvg_ratio_fund",$B16,E$4,E$5,101)/100</f>
        <v>-9.6688419521130003E-4</v>
      </c>
      <c r="F16" s="99">
        <f ca="1">[1]!thsiFinD("ths_adjustment_nvg_ratio_fund",$B16,F$4,F$5,101)/100</f>
        <v>-1.3521037121738E-2</v>
      </c>
      <c r="G16" s="99">
        <f>[1]!thsiFinD("ths_adjustment_nvg_ratio_fund",$B16,G$4,G$5,101)/100</f>
        <v>-1.6463851118404999E-2</v>
      </c>
      <c r="H16" s="99">
        <f ca="1">[1]!thsiFinD("ths_adjustment_nvg_ratio_fund",$B16,H$4,H$5,101)/100</f>
        <v>2.0197123636846001E-3</v>
      </c>
      <c r="I16" s="99">
        <f ca="1">-[1]!thsiFinD("ths_max_retrace_rate_all_fund",$B16,F$3,F$5)/100</f>
        <v>-3.2053291496394E-2</v>
      </c>
    </row>
    <row r="17" spans="1:9" ht="16.5">
      <c r="A17" s="68">
        <v>9</v>
      </c>
      <c r="B17" s="69" t="s">
        <v>288</v>
      </c>
      <c r="C17" s="70" t="s">
        <v>313</v>
      </c>
      <c r="D17" s="87">
        <v>342</v>
      </c>
      <c r="E17" s="98">
        <f>[1]!thsiFinD("ths_adjustment_nvg_ratio_fund",$B17,E$4,E$5,101)/100</f>
        <v>-4.7732696671885996E-3</v>
      </c>
      <c r="F17" s="98">
        <f ca="1">[1]!thsiFinD("ths_adjustment_nvg_ratio_fund",$B17,F$4,F$5,101)/100</f>
        <v>-2.9419953612885998E-2</v>
      </c>
      <c r="G17" s="98">
        <f>[1]!thsiFinD("ths_adjustment_nvg_ratio_fund",$B17,G$4,G$5,101)/100</f>
        <v>-4.8259860808042995E-2</v>
      </c>
      <c r="H17" s="98">
        <f ca="1">[1]!thsiFinD("ths_adjustment_nvg_ratio_fund",$B17,H$4,H$5,101)/100</f>
        <v>1.4354995132598001E-2</v>
      </c>
      <c r="I17" s="98">
        <f ca="1">-[1]!thsiFinD("ths_max_retrace_rate_all_fund",$B17,F$3,F$5)/100</f>
        <v>-6.3470319649836002E-2</v>
      </c>
    </row>
    <row r="18" spans="1:9" ht="16.5">
      <c r="A18" s="77">
        <v>10</v>
      </c>
      <c r="B18" s="78" t="s">
        <v>289</v>
      </c>
      <c r="C18" s="79" t="s">
        <v>314</v>
      </c>
      <c r="D18" s="89">
        <v>314</v>
      </c>
      <c r="E18" s="99">
        <f>[1]!thsiFinD("ths_adjustment_nvg_ratio_fund",$B18,E$4,E$5,101)/100</f>
        <v>-8.9652080380039001E-4</v>
      </c>
      <c r="F18" s="99">
        <f ca="1">[1]!thsiFinD("ths_adjustment_nvg_ratio_fund",$B18,F$4,F$5,101)/100</f>
        <v>-6.5794006210643996E-3</v>
      </c>
      <c r="G18" s="99">
        <f>[1]!thsiFinD("ths_adjustment_nvg_ratio_fund",$B18,G$4,G$5,101)/100</f>
        <v>-7.2338959456968999E-4</v>
      </c>
      <c r="H18" s="99">
        <f ca="1">[1]!thsiFinD("ths_adjustment_nvg_ratio_fund",$B18,H$4,H$5,101)/100</f>
        <v>-6.2370778732354004E-3</v>
      </c>
      <c r="I18" s="99">
        <f ca="1">-[1]!thsiFinD("ths_max_retrace_rate_all_fund",$B18,F$3,F$5)/100</f>
        <v>-2.6377751246695998E-2</v>
      </c>
    </row>
    <row r="21" spans="1:9" ht="39" customHeight="1">
      <c r="A21" s="92"/>
      <c r="B21" s="92"/>
      <c r="C21" s="164" t="s">
        <v>332</v>
      </c>
      <c r="D21" s="164"/>
      <c r="E21" s="164"/>
      <c r="F21" s="164"/>
      <c r="G21" s="164"/>
      <c r="H21" s="164"/>
      <c r="I21" s="164"/>
    </row>
    <row r="22" spans="1:9" ht="36" customHeight="1">
      <c r="A22" s="64" t="str">
        <f>表3[[#Headers],[序号]]</f>
        <v>序号</v>
      </c>
      <c r="B22" s="64" t="str">
        <f>表3[[#Headers],[基金代码]]</f>
        <v>基金代码</v>
      </c>
      <c r="C22" s="64" t="str">
        <f>表3[[#Headers],[产品/基金名称]]</f>
        <v>产品/基金名称</v>
      </c>
      <c r="D22" s="64" t="str">
        <f>表3[[#Headers],[26Q2规模（亿元）]]</f>
        <v>26Q2规模（亿元）</v>
      </c>
      <c r="E22" s="64" t="str">
        <f>表3[[#Headers],[上周]]</f>
        <v>上周</v>
      </c>
      <c r="F22" s="64" t="str">
        <f>表3[[#Headers],[上线以来]]</f>
        <v>上线以来</v>
      </c>
      <c r="G22" s="64" t="str">
        <f>表3[[#Headers],[6/22-7/30]]</f>
        <v>6/22-7/30</v>
      </c>
      <c r="H22" s="64" t="str">
        <f>表3[[#Headers],[7.31至今]]</f>
        <v>7.31至今</v>
      </c>
      <c r="I22" s="90" t="str">
        <f>表3[[#Headers],[最大回撤（上线以来）]]</f>
        <v>最大回撤（上线以来）</v>
      </c>
    </row>
    <row r="23" spans="1:9" ht="16.5">
      <c r="A23" s="65" t="s">
        <v>202</v>
      </c>
      <c r="B23" s="66"/>
      <c r="C23" s="67" t="str">
        <f>C8</f>
        <v>10/90基石投顾组合</v>
      </c>
      <c r="D23" s="66"/>
      <c r="E23" s="102">
        <f>E$2/E$1-1</f>
        <v>1.3718321145836931E-3</v>
      </c>
      <c r="F23" s="102">
        <f ca="1">F$2/F$1-1</f>
        <v>-3.0365332017564528E-3</v>
      </c>
      <c r="G23" s="102">
        <f t="shared" ref="G23:H23" si="0">G$2/G$1-1</f>
        <v>-2.6096789942655407E-2</v>
      </c>
      <c r="H23" s="102">
        <f t="shared" ca="1" si="0"/>
        <v>2.0226286574713592E-2</v>
      </c>
      <c r="I23" s="103">
        <f>'看板-10-90基石'!$F$7</f>
        <v>-2.8729069309879618E-2</v>
      </c>
    </row>
    <row r="24" spans="1:9" ht="16.5">
      <c r="A24" s="68">
        <v>1</v>
      </c>
      <c r="B24" s="69" t="s">
        <v>280</v>
      </c>
      <c r="C24" s="70" t="s">
        <v>305</v>
      </c>
      <c r="D24" s="69">
        <v>391</v>
      </c>
      <c r="E24" s="104">
        <f>[1]!thsiFinD("ths_adjustment_nvg_ratio_fund",$B24,E$4,E$5,101)/100</f>
        <v>-3.7683097239203998E-3</v>
      </c>
      <c r="F24" s="104">
        <f ca="1">[1]!thsiFinD("ths_adjustment_nvg_ratio_fund",$B24,F$4,F$5,101)/100</f>
        <v>-4.1459854053539004E-2</v>
      </c>
      <c r="G24" s="104">
        <f>[1]!thsiFinD("ths_adjustment_nvg_ratio_fund",$B24,G$4,G$5,101)/100</f>
        <v>-7.3401459857001999E-2</v>
      </c>
      <c r="H24" s="104">
        <f ca="1">[1]!thsiFinD("ths_adjustment_nvg_ratio_fund",$B24,H$4,H$5,101)/100</f>
        <v>2.4848598365873002E-2</v>
      </c>
      <c r="I24" s="105">
        <f ca="1">-[1]!thsiFinD("ths_max_retrace_rate_all_fund",$B24,F$3,F$5)/100</f>
        <v>-7.8192169154790991E-2</v>
      </c>
    </row>
    <row r="25" spans="1:9" ht="16.5">
      <c r="A25" s="71">
        <v>2</v>
      </c>
      <c r="B25" s="72" t="s">
        <v>284</v>
      </c>
      <c r="C25" s="73" t="s">
        <v>309</v>
      </c>
      <c r="D25" s="72">
        <v>347</v>
      </c>
      <c r="E25" s="106">
        <f>[1]!thsiFinD("ths_adjustment_nvg_ratio_fund",$B25,E$4,E$5,101)/100</f>
        <v>-3.4575260493082001E-3</v>
      </c>
      <c r="F25" s="106">
        <f ca="1">[1]!thsiFinD("ths_adjustment_nvg_ratio_fund",$B25,F$4,F$5,101)/100</f>
        <v>-1.7357255589606001E-2</v>
      </c>
      <c r="G25" s="106">
        <f>[1]!thsiFinD("ths_adjustment_nvg_ratio_fund",$B25,G$4,G$5,101)/100</f>
        <v>-5.6454912032351999E-2</v>
      </c>
      <c r="H25" s="106">
        <f ca="1">[1]!thsiFinD("ths_adjustment_nvg_ratio_fund",$B25,H$4,H$5,101)/100</f>
        <v>3.2103615498650998E-2</v>
      </c>
      <c r="I25" s="107">
        <f ca="1">-[1]!thsiFinD("ths_max_retrace_rate_all_fund",$B25,F$3,F$5)/100</f>
        <v>-7.0577399089732998E-2</v>
      </c>
    </row>
    <row r="26" spans="1:9" ht="16.5">
      <c r="A26" s="68">
        <v>3</v>
      </c>
      <c r="B26" s="69" t="s">
        <v>290</v>
      </c>
      <c r="C26" s="70" t="s">
        <v>316</v>
      </c>
      <c r="D26" s="69">
        <v>255</v>
      </c>
      <c r="E26" s="104">
        <f>[1]!thsiFinD("ths_adjustment_nvg_ratio_fund",$B26,E$4,E$5,101)/100</f>
        <v>-4.2573006099081998E-3</v>
      </c>
      <c r="F26" s="104">
        <f ca="1">[1]!thsiFinD("ths_adjustment_nvg_ratio_fund",$B26,F$4,F$5,101)/100</f>
        <v>-4.4208098408862001E-2</v>
      </c>
      <c r="G26" s="104">
        <f>[1]!thsiFinD("ths_adjustment_nvg_ratio_fund",$B26,G$4,G$5,101)/100</f>
        <v>-5.3754484891249996E-2</v>
      </c>
      <c r="H26" s="104">
        <f ca="1">[1]!thsiFinD("ths_adjustment_nvg_ratio_fund",$B26,H$4,H$5,101)/100</f>
        <v>3.4304163717586E-3</v>
      </c>
      <c r="I26" s="105">
        <f ca="1">-[1]!thsiFinD("ths_max_retrace_rate_all_fund",$B26,F$3,F$5)/100</f>
        <v>-6.6641375828729005E-2</v>
      </c>
    </row>
    <row r="27" spans="1:9" ht="16.5">
      <c r="A27" s="71">
        <v>4</v>
      </c>
      <c r="B27" s="72" t="s">
        <v>281</v>
      </c>
      <c r="C27" s="73" t="s">
        <v>306</v>
      </c>
      <c r="D27" s="72">
        <v>228</v>
      </c>
      <c r="E27" s="106">
        <f>[1]!thsiFinD("ths_adjustment_nvg_ratio_fund",$B27,E$4,E$5,101)/100</f>
        <v>4.9961394061405994E-4</v>
      </c>
      <c r="F27" s="106">
        <f ca="1">[1]!thsiFinD("ths_adjustment_nvg_ratio_fund",$B27,F$4,F$5,101)/100</f>
        <v>-1.8728742443579999E-2</v>
      </c>
      <c r="G27" s="106">
        <f>[1]!thsiFinD("ths_adjustment_nvg_ratio_fund",$B27,G$4,G$5,101)/100</f>
        <v>-5.1945757323097003E-2</v>
      </c>
      <c r="H27" s="106">
        <f ca="1">[1]!thsiFinD("ths_adjustment_nvg_ratio_fund",$B27,H$4,H$5,101)/100</f>
        <v>2.7758501024258E-2</v>
      </c>
      <c r="I27" s="107">
        <f ca="1">-[1]!thsiFinD("ths_max_retrace_rate_all_fund",$B27,F$3,F$5)/100</f>
        <v>-6.0905709922503999E-2</v>
      </c>
    </row>
    <row r="28" spans="1:9" ht="16.5">
      <c r="A28" s="68">
        <v>5</v>
      </c>
      <c r="B28" s="69" t="s">
        <v>291</v>
      </c>
      <c r="C28" s="70" t="s">
        <v>317</v>
      </c>
      <c r="D28" s="69">
        <v>172</v>
      </c>
      <c r="E28" s="104">
        <f>[1]!thsiFinD("ths_adjustment_nvg_ratio_fund",$B28,E$4,E$5,101)/100</f>
        <v>-7.3800738133511E-3</v>
      </c>
      <c r="F28" s="104">
        <f ca="1">[1]!thsiFinD("ths_adjustment_nvg_ratio_fund",$B28,F$4,F$5,101)/100</f>
        <v>-1.7622418025963999E-2</v>
      </c>
      <c r="G28" s="104">
        <f>[1]!thsiFinD("ths_adjustment_nvg_ratio_fund",$B28,G$4,G$5,101)/100</f>
        <v>-4.0589339891791996E-2</v>
      </c>
      <c r="H28" s="104">
        <f ca="1">[1]!thsiFinD("ths_adjustment_nvg_ratio_fund",$B28,H$4,H$5,101)/100</f>
        <v>2.2168783362622003E-2</v>
      </c>
      <c r="I28" s="105">
        <f ca="1">-[1]!thsiFinD("ths_max_retrace_rate_all_fund",$B28,F$3,F$5)/100</f>
        <v>-5.0897343862490001E-2</v>
      </c>
    </row>
    <row r="29" spans="1:9" ht="16.5">
      <c r="A29" s="71">
        <v>6</v>
      </c>
      <c r="B29" s="72" t="s">
        <v>288</v>
      </c>
      <c r="C29" s="73" t="s">
        <v>313</v>
      </c>
      <c r="D29" s="72">
        <v>146</v>
      </c>
      <c r="E29" s="106">
        <f>[1]!thsiFinD("ths_adjustment_nvg_ratio_fund",$B29,E$4,E$5,101)/100</f>
        <v>-4.7732696671885996E-3</v>
      </c>
      <c r="F29" s="106">
        <f ca="1">[1]!thsiFinD("ths_adjustment_nvg_ratio_fund",$B29,F$4,F$5,101)/100</f>
        <v>-2.9419953612885998E-2</v>
      </c>
      <c r="G29" s="106">
        <f>[1]!thsiFinD("ths_adjustment_nvg_ratio_fund",$B29,G$4,G$5,101)/100</f>
        <v>-4.8259860808042995E-2</v>
      </c>
      <c r="H29" s="106">
        <f ca="1">[1]!thsiFinD("ths_adjustment_nvg_ratio_fund",$B29,H$4,H$5,101)/100</f>
        <v>1.4354995132598001E-2</v>
      </c>
      <c r="I29" s="107">
        <f ca="1">-[1]!thsiFinD("ths_max_retrace_rate_all_fund",$B29,F$3,F$5)/100</f>
        <v>-6.3470319649836002E-2</v>
      </c>
    </row>
    <row r="30" spans="1:9" ht="16.5">
      <c r="A30" s="68">
        <v>7</v>
      </c>
      <c r="B30" s="69" t="s">
        <v>292</v>
      </c>
      <c r="C30" s="70" t="s">
        <v>318</v>
      </c>
      <c r="D30" s="69">
        <v>130</v>
      </c>
      <c r="E30" s="104">
        <f>[1]!thsiFinD("ths_adjustment_nvg_ratio_fund",$B30,E$4,E$5,101)/100</f>
        <v>-8.6125900407139997E-3</v>
      </c>
      <c r="F30" s="104">
        <f ca="1">[1]!thsiFinD("ths_adjustment_nvg_ratio_fund",$B30,F$4,F$5,101)/100</f>
        <v>9.5879556259904995E-3</v>
      </c>
      <c r="G30" s="104">
        <f>[1]!thsiFinD("ths_adjustment_nvg_ratio_fund",$B30,G$4,G$5,101)/100</f>
        <v>-2.2028526148969999E-2</v>
      </c>
      <c r="H30" s="104">
        <f ca="1">[1]!thsiFinD("ths_adjustment_nvg_ratio_fund",$B30,H$4,H$5,101)/100</f>
        <v>2.5680244727097002E-2</v>
      </c>
      <c r="I30" s="105">
        <f ca="1">-[1]!thsiFinD("ths_max_retrace_rate_all_fund",$B30,F$3,F$5)/100</f>
        <v>-4.6444909668915006E-2</v>
      </c>
    </row>
    <row r="31" spans="1:9" ht="16.5">
      <c r="A31" s="71">
        <v>8</v>
      </c>
      <c r="B31" s="72" t="s">
        <v>286</v>
      </c>
      <c r="C31" s="73" t="s">
        <v>311</v>
      </c>
      <c r="D31" s="72">
        <v>123</v>
      </c>
      <c r="E31" s="106">
        <f>[1]!thsiFinD("ths_adjustment_nvg_ratio_fund",$B31,E$4,E$5,101)/100</f>
        <v>-1.0653753026634001E-2</v>
      </c>
      <c r="F31" s="106">
        <f ca="1">[1]!thsiFinD("ths_adjustment_nvg_ratio_fund",$B31,F$4,F$5,101)/100</f>
        <v>0</v>
      </c>
      <c r="G31" s="106">
        <f>[1]!thsiFinD("ths_adjustment_nvg_ratio_fund",$B31,G$4,G$5,101)/100</f>
        <v>-2.8724440116844999E-2</v>
      </c>
      <c r="H31" s="106">
        <f ca="1">[1]!thsiFinD("ths_adjustment_nvg_ratio_fund",$B31,H$4,H$5,101)/100</f>
        <v>2.0874751491054E-2</v>
      </c>
      <c r="I31" s="107">
        <f ca="1">-[1]!thsiFinD("ths_max_retrace_rate_all_fund",$B31,F$3,F$5)/100</f>
        <v>-5.2405907575036006E-2</v>
      </c>
    </row>
    <row r="32" spans="1:9" ht="16.5">
      <c r="A32" s="68">
        <v>9</v>
      </c>
      <c r="B32" s="69" t="s">
        <v>293</v>
      </c>
      <c r="C32" s="70" t="s">
        <v>319</v>
      </c>
      <c r="D32" s="69">
        <v>120</v>
      </c>
      <c r="E32" s="104">
        <f>[1]!thsiFinD("ths_adjustment_nvg_ratio_fund",$B32,E$4,E$5,101)/100</f>
        <v>-1.5971755211835999E-3</v>
      </c>
      <c r="F32" s="104">
        <f ca="1">[1]!thsiFinD("ths_adjustment_nvg_ratio_fund",$B32,F$4,F$5,101)/100</f>
        <v>-3.7181360610489003E-2</v>
      </c>
      <c r="G32" s="104">
        <f>[1]!thsiFinD("ths_adjustment_nvg_ratio_fund",$B32,G$4,G$5,101)/100</f>
        <v>-4.7978567949341994E-2</v>
      </c>
      <c r="H32" s="104">
        <f ca="1">[1]!thsiFinD("ths_adjustment_nvg_ratio_fund",$B32,H$4,H$5,101)/100</f>
        <v>7.3042296585696994E-3</v>
      </c>
      <c r="I32" s="105">
        <f ca="1">-[1]!thsiFinD("ths_max_retrace_rate_all_fund",$B32,F$3,F$5)/100</f>
        <v>-5.7478666881338999E-2</v>
      </c>
    </row>
    <row r="33" spans="1:9" ht="16.5">
      <c r="A33" s="74">
        <v>10</v>
      </c>
      <c r="B33" s="75" t="s">
        <v>287</v>
      </c>
      <c r="C33" s="76" t="s">
        <v>312</v>
      </c>
      <c r="D33" s="75">
        <v>114</v>
      </c>
      <c r="E33" s="108">
        <f>[1]!thsiFinD("ths_adjustment_nvg_ratio_fund",$B33,E$4,E$5,101)/100</f>
        <v>-9.6688419521130003E-4</v>
      </c>
      <c r="F33" s="108">
        <f ca="1">[1]!thsiFinD("ths_adjustment_nvg_ratio_fund",$B33,F$4,F$5,101)/100</f>
        <v>-1.3521037121738E-2</v>
      </c>
      <c r="G33" s="108">
        <f>[1]!thsiFinD("ths_adjustment_nvg_ratio_fund",$B33,G$4,G$5,101)/100</f>
        <v>-1.6463851118404999E-2</v>
      </c>
      <c r="H33" s="108">
        <f ca="1">[1]!thsiFinD("ths_adjustment_nvg_ratio_fund",$B33,H$4,H$5,101)/100</f>
        <v>2.0197123636846001E-3</v>
      </c>
      <c r="I33" s="109">
        <f ca="1">-[1]!thsiFinD("ths_max_retrace_rate_all_fund",$B33,F$3,F$5)/100</f>
        <v>-3.2053291496394E-2</v>
      </c>
    </row>
    <row r="36" spans="1:9" ht="36" customHeight="1">
      <c r="A36" s="91"/>
      <c r="B36" s="91"/>
      <c r="C36" s="164" t="s">
        <v>333</v>
      </c>
      <c r="D36" s="164"/>
      <c r="E36" s="164"/>
      <c r="F36" s="164"/>
      <c r="G36" s="164"/>
      <c r="H36" s="164"/>
      <c r="I36" s="164"/>
    </row>
    <row r="37" spans="1:9" ht="43" customHeight="1">
      <c r="A37" s="64" t="str">
        <f>A22</f>
        <v>序号</v>
      </c>
      <c r="B37" s="64" t="str">
        <f t="shared" ref="B37:I37" si="1">B22</f>
        <v>基金代码</v>
      </c>
      <c r="C37" s="64" t="str">
        <f t="shared" si="1"/>
        <v>产品/基金名称</v>
      </c>
      <c r="D37" s="64" t="s">
        <v>338</v>
      </c>
      <c r="E37" s="64" t="str">
        <f>E22</f>
        <v>上周</v>
      </c>
      <c r="F37" s="64" t="str">
        <f t="shared" si="1"/>
        <v>上线以来</v>
      </c>
      <c r="G37" s="64" t="str">
        <f t="shared" si="1"/>
        <v>6/22-7/30</v>
      </c>
      <c r="H37" s="64" t="str">
        <f t="shared" si="1"/>
        <v>7.31至今</v>
      </c>
      <c r="I37" s="90" t="str">
        <f t="shared" si="1"/>
        <v>最大回撤（上线以来）</v>
      </c>
    </row>
    <row r="38" spans="1:9" ht="16.5">
      <c r="A38" s="65" t="s">
        <v>202</v>
      </c>
      <c r="B38" s="66"/>
      <c r="C38" s="67" t="str">
        <f>C8</f>
        <v>10/90基石投顾组合</v>
      </c>
      <c r="D38" s="84"/>
      <c r="E38" s="110">
        <f>E$2/E$1-1</f>
        <v>1.3718321145836931E-3</v>
      </c>
      <c r="F38" s="110">
        <f ca="1">F$2/F$1-1</f>
        <v>-3.0365332017564528E-3</v>
      </c>
      <c r="G38" s="102">
        <f t="shared" ref="G38:H38" si="2">G$2/G$1-1</f>
        <v>-2.6096789942655407E-2</v>
      </c>
      <c r="H38" s="102">
        <f t="shared" ca="1" si="2"/>
        <v>2.0226286574713592E-2</v>
      </c>
      <c r="I38" s="103">
        <f>'看板-10-90基石'!$F$7</f>
        <v>-2.8729069309879618E-2</v>
      </c>
    </row>
    <row r="39" spans="1:9" ht="16.5">
      <c r="A39" s="68">
        <v>1</v>
      </c>
      <c r="B39" s="69" t="s">
        <v>294</v>
      </c>
      <c r="C39" s="70" t="s">
        <v>320</v>
      </c>
      <c r="D39" s="94">
        <v>5265</v>
      </c>
      <c r="E39" s="111">
        <f>[1]!thsiFinD("ths_adjustment_nvg_ratio_fund",$B39,E$4,E$5,101)/100</f>
        <v>-4.4835011684140003E-4</v>
      </c>
      <c r="F39" s="111">
        <f ca="1">[1]!thsiFinD("ths_adjustment_nvg_ratio_fund",$B39,F$4,F$5,101)/100</f>
        <v>-1.1155227605444001E-2</v>
      </c>
      <c r="G39" s="104">
        <f>[1]!thsiFinD("ths_adjustment_nvg_ratio_fund",$B39,G$4,G$5,101)/100</f>
        <v>-1.8110759418334E-2</v>
      </c>
      <c r="H39" s="104">
        <f ca="1">[1]!thsiFinD("ths_adjustment_nvg_ratio_fund",$B39,H$4,H$5,101)/100</f>
        <v>3.4386028912603999E-3</v>
      </c>
      <c r="I39" s="105">
        <f ca="1">-[1]!thsiFinD("ths_max_retrace_rate_all_fund",$B39,F$3,F$5)/100</f>
        <v>-1.8873622199938999E-2</v>
      </c>
    </row>
    <row r="40" spans="1:9" ht="16.5">
      <c r="A40" s="71">
        <v>2</v>
      </c>
      <c r="B40" s="72" t="s">
        <v>295</v>
      </c>
      <c r="C40" s="73" t="s">
        <v>321</v>
      </c>
      <c r="D40" s="95">
        <v>896</v>
      </c>
      <c r="E40" s="112">
        <f>[1]!thsiFinD("ths_adjustment_nvg_ratio_fund",$B40,E$4,E$5,101)/100</f>
        <v>-2.9460866149462001E-4</v>
      </c>
      <c r="F40" s="112">
        <f ca="1">[1]!thsiFinD("ths_adjustment_nvg_ratio_fund",$B40,F$4,F$5,101)/100</f>
        <v>-1.7711305716815999E-3</v>
      </c>
      <c r="G40" s="106">
        <f>[1]!thsiFinD("ths_adjustment_nvg_ratio_fund",$B40,G$4,G$5,101)/100</f>
        <v>-1.2397914001770999E-2</v>
      </c>
      <c r="H40" s="106">
        <f ca="1">[1]!thsiFinD("ths_adjustment_nvg_ratio_fund",$B40,H$4,H$5,101)/100</f>
        <v>7.7480878116618999E-3</v>
      </c>
      <c r="I40" s="107">
        <f ca="1">-[1]!thsiFinD("ths_max_retrace_rate_all_fund",$B40,F$3,F$5)/100</f>
        <v>-1.3283479287611999E-2</v>
      </c>
    </row>
    <row r="41" spans="1:9" ht="16.5">
      <c r="A41" s="68">
        <v>3</v>
      </c>
      <c r="B41" s="69" t="s">
        <v>296</v>
      </c>
      <c r="C41" s="70" t="s">
        <v>297</v>
      </c>
      <c r="D41" s="94">
        <v>239</v>
      </c>
      <c r="E41" s="111">
        <f>[1]!thsiFinD("ths_adjustment_nvg_ratio_fund",$B41,E$4,E$5,101)/100</f>
        <v>1.6557662058115999E-4</v>
      </c>
      <c r="F41" s="111">
        <f ca="1">[1]!thsiFinD("ths_adjustment_nvg_ratio_fund",$B41,F$4,F$5,101)/100</f>
        <v>-2.2243870758240001E-2</v>
      </c>
      <c r="G41" s="104">
        <f>[1]!thsiFinD("ths_adjustment_nvg_ratio_fund",$B41,G$4,G$5,101)/100</f>
        <v>-2.6627699301834999E-2</v>
      </c>
      <c r="H41" s="104">
        <f ca="1">[1]!thsiFinD("ths_adjustment_nvg_ratio_fund",$B41,H$4,H$5,101)/100</f>
        <v>2.4970867321456999E-3</v>
      </c>
      <c r="I41" s="105">
        <f ca="1">-[1]!thsiFinD("ths_max_retrace_rate_all_fund",$B41,F$3,F$5)/100</f>
        <v>-4.9419990465597002E-2</v>
      </c>
    </row>
    <row r="42" spans="1:9" ht="16.5">
      <c r="A42" s="71">
        <v>4</v>
      </c>
      <c r="B42" s="72" t="s">
        <v>284</v>
      </c>
      <c r="C42" s="73" t="s">
        <v>309</v>
      </c>
      <c r="D42" s="95">
        <v>225</v>
      </c>
      <c r="E42" s="112">
        <f>[1]!thsiFinD("ths_adjustment_nvg_ratio_fund",$B42,E$4,E$5,101)/100</f>
        <v>-3.4575260493082001E-3</v>
      </c>
      <c r="F42" s="112">
        <f ca="1">[1]!thsiFinD("ths_adjustment_nvg_ratio_fund",$B42,F$4,F$5,101)/100</f>
        <v>-1.7357255589606001E-2</v>
      </c>
      <c r="G42" s="106">
        <f>[1]!thsiFinD("ths_adjustment_nvg_ratio_fund",$B42,G$4,G$5,101)/100</f>
        <v>-5.6454912032351999E-2</v>
      </c>
      <c r="H42" s="106">
        <f ca="1">[1]!thsiFinD("ths_adjustment_nvg_ratio_fund",$B42,H$4,H$5,101)/100</f>
        <v>3.2103615498650998E-2</v>
      </c>
      <c r="I42" s="107">
        <f ca="1">-[1]!thsiFinD("ths_max_retrace_rate_all_fund",$B42,F$3,F$5)/100</f>
        <v>-7.0577399089732998E-2</v>
      </c>
    </row>
    <row r="43" spans="1:9" ht="16.5">
      <c r="A43" s="68">
        <v>5</v>
      </c>
      <c r="B43" s="69" t="s">
        <v>298</v>
      </c>
      <c r="C43" s="70" t="s">
        <v>322</v>
      </c>
      <c r="D43" s="94">
        <v>205</v>
      </c>
      <c r="E43" s="111">
        <f>[1]!thsiFinD("ths_adjustment_nvg_ratio_fund",$B43,E$4,E$5,101)/100</f>
        <v>-3.3681971281688001E-3</v>
      </c>
      <c r="F43" s="111">
        <f ca="1">[1]!thsiFinD("ths_adjustment_nvg_ratio_fund",$B43,F$4,F$5,101)/100</f>
        <v>-3.2751654775208E-2</v>
      </c>
      <c r="G43" s="104">
        <f>[1]!thsiFinD("ths_adjustment_nvg_ratio_fund",$B43,G$4,G$5,101)/100</f>
        <v>-2.9313160835554002E-2</v>
      </c>
      <c r="H43" s="104">
        <f ca="1">[1]!thsiFinD("ths_adjustment_nvg_ratio_fund",$B43,H$4,H$5,101)/100</f>
        <v>-1.4199503017394998E-3</v>
      </c>
      <c r="I43" s="105">
        <f ca="1">-[1]!thsiFinD("ths_max_retrace_rate_all_fund",$B43,F$3,F$5)/100</f>
        <v>-6.5861229968956991E-2</v>
      </c>
    </row>
    <row r="44" spans="1:9" ht="16.5">
      <c r="A44" s="71">
        <v>6</v>
      </c>
      <c r="B44" s="72" t="s">
        <v>299</v>
      </c>
      <c r="C44" s="73" t="s">
        <v>323</v>
      </c>
      <c r="D44" s="95">
        <v>190</v>
      </c>
      <c r="E44" s="112">
        <f>[1]!thsiFinD("ths_adjustment_nvg_ratio_fund",$B44,E$4,E$5,101)/100</f>
        <v>-4.7773417505545005E-3</v>
      </c>
      <c r="F44" s="112">
        <f ca="1">[1]!thsiFinD("ths_adjustment_nvg_ratio_fund",$B44,F$4,F$5,101)/100</f>
        <v>-5.7338820301783E-2</v>
      </c>
      <c r="G44" s="106">
        <f>[1]!thsiFinD("ths_adjustment_nvg_ratio_fund",$B44,G$4,G$5,101)/100</f>
        <v>-9.3443072702332E-2</v>
      </c>
      <c r="H44" s="106">
        <f ca="1">[1]!thsiFinD("ths_adjustment_nvg_ratio_fund",$B44,H$4,H$5,101)/100</f>
        <v>2.7757836803062999E-2</v>
      </c>
      <c r="I44" s="107">
        <f ca="1">-[1]!thsiFinD("ths_max_retrace_rate_all_fund",$B44,F$3,F$5)/100</f>
        <v>-0.11736738073615</v>
      </c>
    </row>
    <row r="45" spans="1:9" ht="16.5">
      <c r="A45" s="68">
        <v>7</v>
      </c>
      <c r="B45" s="69" t="s">
        <v>300</v>
      </c>
      <c r="C45" s="70" t="s">
        <v>324</v>
      </c>
      <c r="D45" s="94">
        <v>189</v>
      </c>
      <c r="E45" s="111">
        <f>[1]!thsiFinD("ths_adjustment_nvg_ratio_fund",$B45,E$4,E$5,101)/100</f>
        <v>0</v>
      </c>
      <c r="F45" s="111">
        <f ca="1">[1]!thsiFinD("ths_adjustment_nvg_ratio_fund",$B45,F$4,F$5,101)/100</f>
        <v>-8.8411588411587999E-2</v>
      </c>
      <c r="G45" s="104">
        <f>[1]!thsiFinD("ths_adjustment_nvg_ratio_fund",$B45,G$4,G$5,101)/100</f>
        <v>-0.12207792207792</v>
      </c>
      <c r="H45" s="104">
        <f ca="1">[1]!thsiFinD("ths_adjustment_nvg_ratio_fund",$B45,H$4,H$5,101)/100</f>
        <v>2.6376469264945999E-2</v>
      </c>
      <c r="I45" s="105">
        <f ca="1">-[1]!thsiFinD("ths_max_retrace_rate_all_fund",$B45,F$3,F$5)/100</f>
        <v>-0.14870700111591001</v>
      </c>
    </row>
    <row r="46" spans="1:9" ht="16.5">
      <c r="A46" s="71">
        <v>8</v>
      </c>
      <c r="B46" s="72" t="s">
        <v>301</v>
      </c>
      <c r="C46" s="73" t="s">
        <v>325</v>
      </c>
      <c r="D46" s="95">
        <v>184</v>
      </c>
      <c r="E46" s="112">
        <f>[1]!thsiFinD("ths_adjustment_nvg_ratio_fund",$B46,E$4,E$5,101)/100</f>
        <v>-5.2772731250187999E-3</v>
      </c>
      <c r="F46" s="112">
        <f ca="1">[1]!thsiFinD("ths_adjustment_nvg_ratio_fund",$B46,F$4,F$5,101)/100</f>
        <v>-3.1290743160941999E-2</v>
      </c>
      <c r="G46" s="106">
        <f>[1]!thsiFinD("ths_adjustment_nvg_ratio_fund",$B46,G$4,G$5,101)/100</f>
        <v>-4.5842621036721001E-2</v>
      </c>
      <c r="H46" s="106">
        <f ca="1">[1]!thsiFinD("ths_adjustment_nvg_ratio_fund",$B46,H$4,H$5,101)/100</f>
        <v>8.0969887911858003E-3</v>
      </c>
      <c r="I46" s="107">
        <f ca="1">-[1]!thsiFinD("ths_max_retrace_rate_all_fund",$B46,F$3,F$5)/100</f>
        <v>-6.5808474655131011E-2</v>
      </c>
    </row>
    <row r="47" spans="1:9" ht="16.5">
      <c r="A47" s="68">
        <v>9</v>
      </c>
      <c r="B47" s="69" t="s">
        <v>302</v>
      </c>
      <c r="C47" s="70" t="s">
        <v>326</v>
      </c>
      <c r="D47" s="94">
        <v>174</v>
      </c>
      <c r="E47" s="100">
        <f>[1]!thsiFinD("ths_adjustment_nvg_ratio_fund",$B47,E$4,E$5,101)/100</f>
        <v>-5.2854122621558998E-4</v>
      </c>
      <c r="F47" s="100">
        <f ca="1">[1]!thsiFinD("ths_adjustment_nvg_ratio_fund",$B47,F$4,F$5,101)/100</f>
        <v>1.6669192301863999E-3</v>
      </c>
      <c r="G47" s="104">
        <f>[1]!thsiFinD("ths_adjustment_nvg_ratio_fund",$B47,G$4,G$5,101)/100</f>
        <v>-2.4246097893620999E-3</v>
      </c>
      <c r="H47" s="104">
        <f ca="1">[1]!thsiFinD("ths_adjustment_nvg_ratio_fund",$B47,H$4,H$5,101)/100</f>
        <v>2.6545316647706E-3</v>
      </c>
      <c r="I47" s="105">
        <f ca="1">-[1]!thsiFinD("ths_max_retrace_rate_all_fund",$B47,F$3,F$5)/100</f>
        <v>-4.3188361873011004E-3</v>
      </c>
    </row>
    <row r="48" spans="1:9" ht="16.5">
      <c r="A48" s="74">
        <v>10</v>
      </c>
      <c r="B48" s="75" t="s">
        <v>303</v>
      </c>
      <c r="C48" s="76" t="s">
        <v>327</v>
      </c>
      <c r="D48" s="96">
        <v>170</v>
      </c>
      <c r="E48" s="101">
        <f>[1]!thsiFinD("ths_adjustment_nvg_ratio_fund",$B48,E$4,E$5,101)/100</f>
        <v>-5.8668228257992999E-4</v>
      </c>
      <c r="F48" s="101">
        <f ca="1">[1]!thsiFinD("ths_adjustment_nvg_ratio_fund",$B48,F$4,F$5,101)/100</f>
        <v>-2.7394672208108001E-2</v>
      </c>
      <c r="G48" s="108">
        <f>[1]!thsiFinD("ths_adjustment_nvg_ratio_fund",$B48,G$4,G$5,101)/100</f>
        <v>-6.8297751744840998E-2</v>
      </c>
      <c r="H48" s="108">
        <f ca="1">[1]!thsiFinD("ths_adjustment_nvg_ratio_fund",$B48,H$4,H$5,101)/100</f>
        <v>3.4773869394787001E-2</v>
      </c>
      <c r="I48" s="109">
        <f ca="1">-[1]!thsiFinD("ths_max_retrace_rate_all_fund",$B48,F$3,F$5)/100</f>
        <v>-7.9686479412252001E-2</v>
      </c>
    </row>
    <row r="50" spans="1:9" ht="16.5">
      <c r="A50" s="163" t="s">
        <v>329</v>
      </c>
      <c r="B50" s="163"/>
      <c r="C50" s="163"/>
      <c r="D50" s="163"/>
      <c r="E50" s="163"/>
      <c r="F50" s="163"/>
      <c r="G50" s="163"/>
      <c r="H50" s="163"/>
      <c r="I50" s="163"/>
    </row>
    <row r="51" spans="1:9" ht="16.5">
      <c r="A51" s="163" t="s">
        <v>328</v>
      </c>
      <c r="B51" s="163"/>
      <c r="C51" s="163"/>
      <c r="D51" s="163"/>
      <c r="E51" s="163"/>
      <c r="F51" s="163"/>
      <c r="G51" s="163"/>
      <c r="H51" s="163"/>
      <c r="I51" s="163"/>
    </row>
    <row r="52" spans="1:9" ht="16.5">
      <c r="A52" s="163" t="s">
        <v>304</v>
      </c>
      <c r="B52" s="163"/>
      <c r="C52" s="163"/>
      <c r="D52" s="163"/>
      <c r="E52" s="163"/>
      <c r="F52" s="163"/>
      <c r="G52" s="163"/>
      <c r="H52" s="163"/>
      <c r="I52" s="163"/>
    </row>
  </sheetData>
  <mergeCells count="6">
    <mergeCell ref="A52:I52"/>
    <mergeCell ref="A50:I50"/>
    <mergeCell ref="A51:I51"/>
    <mergeCell ref="C6:I6"/>
    <mergeCell ref="C21:I21"/>
    <mergeCell ref="C36:I36"/>
  </mergeCells>
  <phoneticPr fontId="35" type="noConversion"/>
  <conditionalFormatting sqref="E8:I8">
    <cfRule type="cellIs" dxfId="50" priority="10" operator="greaterThan">
      <formula>0</formula>
    </cfRule>
    <cfRule type="cellIs" dxfId="49" priority="11" operator="lessThan">
      <formula>0</formula>
    </cfRule>
  </conditionalFormatting>
  <conditionalFormatting sqref="E9:I18">
    <cfRule type="cellIs" dxfId="48" priority="7" operator="greaterThan">
      <formula>0</formula>
    </cfRule>
  </conditionalFormatting>
  <conditionalFormatting sqref="E23:I23">
    <cfRule type="cellIs" dxfId="47" priority="5" operator="greaterThan">
      <formula>0</formula>
    </cfRule>
    <cfRule type="cellIs" dxfId="46" priority="6" operator="lessThan">
      <formula>0</formula>
    </cfRule>
  </conditionalFormatting>
  <conditionalFormatting sqref="E24:I33">
    <cfRule type="cellIs" dxfId="45" priority="4" operator="greaterThan">
      <formula>0</formula>
    </cfRule>
  </conditionalFormatting>
  <conditionalFormatting sqref="E38:I38">
    <cfRule type="cellIs" dxfId="44" priority="2" operator="greaterThan">
      <formula>0</formula>
    </cfRule>
    <cfRule type="cellIs" dxfId="43" priority="3" operator="lessThan">
      <formula>0</formula>
    </cfRule>
  </conditionalFormatting>
  <conditionalFormatting sqref="E39:I48">
    <cfRule type="cellIs" dxfId="42" priority="1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N53"/>
  <sheetViews>
    <sheetView workbookViewId="0">
      <selection activeCell="P35" sqref="P35"/>
    </sheetView>
  </sheetViews>
  <sheetFormatPr defaultRowHeight="12.5"/>
  <cols>
    <col min="1" max="1" width="8" customWidth="1"/>
    <col min="2" max="2" width="16" customWidth="1"/>
    <col min="3" max="3" width="20.36328125" customWidth="1"/>
    <col min="4" max="4" width="16.453125" style="85" customWidth="1"/>
    <col min="5" max="5" width="12.54296875" style="85" hidden="1" customWidth="1"/>
    <col min="6" max="6" width="10.1796875" hidden="1" customWidth="1"/>
    <col min="7" max="7" width="12" hidden="1" customWidth="1"/>
    <col min="8" max="8" width="10.1796875" hidden="1" customWidth="1"/>
    <col min="9" max="10" width="10.1796875" customWidth="1"/>
    <col min="11" max="11" width="14.36328125" bestFit="1" customWidth="1"/>
    <col min="12" max="12" width="14" hidden="1" customWidth="1"/>
  </cols>
  <sheetData>
    <row r="1" spans="1:12">
      <c r="E1" s="151">
        <f>VLOOKUP(E3,[2]恒生净值!$A:$C,2)</f>
        <v>0.99494351999999997</v>
      </c>
      <c r="F1" s="151">
        <f>VLOOKUP(F3,[2]恒生净值!$A:$C,2)</f>
        <v>1</v>
      </c>
      <c r="G1" s="151">
        <f>VLOOKUP(G3,[2]恒生净值!$A:$C,2)</f>
        <v>1</v>
      </c>
      <c r="H1" s="151">
        <f>VLOOKUP(H3,[2]恒生净值!$A:$C,2)</f>
        <v>0.97705801999999997</v>
      </c>
      <c r="I1" s="151"/>
      <c r="J1" s="151"/>
      <c r="K1" s="151">
        <f>VLOOKUP(K3,[2]恒生净值!$A:$C,2)</f>
        <v>0.97705801999999997</v>
      </c>
    </row>
    <row r="2" spans="1:12">
      <c r="E2" s="151">
        <f>VLOOKUP(E5,[2]恒生净值!$A:$C,2)</f>
        <v>0.99520286000000002</v>
      </c>
      <c r="F2" s="151">
        <f>VLOOKUP(F5,[2]恒生净值!$A:$C,2)</f>
        <v>0.99520286000000002</v>
      </c>
      <c r="G2" s="151">
        <f>VLOOKUP(G5,[2]恒生净值!$A:$C,2)</f>
        <v>0.97376326000000002</v>
      </c>
      <c r="H2" s="151">
        <f>VLOOKUP(H5,[2]恒生净值!$A:$C,2)</f>
        <v>0.99520286000000002</v>
      </c>
      <c r="I2" s="151"/>
      <c r="J2" s="151"/>
      <c r="K2" s="151">
        <f>VLOOKUP(K5,[2]恒生净值!$A:$C,2)</f>
        <v>0</v>
      </c>
      <c r="L2" s="150">
        <f>1-F2</f>
        <v>4.7971399999999775E-3</v>
      </c>
    </row>
    <row r="3" spans="1:12">
      <c r="E3" s="114">
        <f>E5-7</f>
        <v>46255</v>
      </c>
      <c r="F3" s="81">
        <v>46191</v>
      </c>
      <c r="G3" s="81">
        <v>46191</v>
      </c>
      <c r="H3" s="81">
        <v>46234</v>
      </c>
      <c r="I3" s="81"/>
      <c r="J3" s="81"/>
      <c r="K3" s="81">
        <v>46234</v>
      </c>
    </row>
    <row r="4" spans="1:12">
      <c r="E4" s="114">
        <f>E5-4</f>
        <v>46258</v>
      </c>
      <c r="F4" s="81">
        <v>46195</v>
      </c>
      <c r="G4" s="81">
        <v>46195</v>
      </c>
      <c r="H4" s="81">
        <v>46237</v>
      </c>
      <c r="I4" s="81">
        <f>DATE(YEAR(I5),MONTH(I5)-6,DAY(I5))</f>
        <v>46096</v>
      </c>
      <c r="J4" s="81">
        <f>DATE(YEAR(J5)-1,MONTH(J5),DAY(J5))</f>
        <v>45915</v>
      </c>
      <c r="K4" s="81">
        <v>46237</v>
      </c>
    </row>
    <row r="5" spans="1:12">
      <c r="E5" s="115">
        <v>46262</v>
      </c>
      <c r="F5" s="113">
        <f>E5</f>
        <v>46262</v>
      </c>
      <c r="G5" s="81">
        <v>46233</v>
      </c>
      <c r="H5" s="81">
        <f>F5</f>
        <v>46262</v>
      </c>
      <c r="I5" s="113">
        <v>46280</v>
      </c>
      <c r="J5" s="81">
        <f>I5</f>
        <v>46280</v>
      </c>
      <c r="K5" s="81">
        <f>I5</f>
        <v>46280</v>
      </c>
    </row>
    <row r="6" spans="1:12" ht="27" customHeight="1">
      <c r="A6" s="164" t="s">
        <v>503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91"/>
    </row>
    <row r="7" spans="1:12" s="146" customFormat="1" ht="14.5">
      <c r="A7" s="149" t="s">
        <v>502</v>
      </c>
      <c r="B7" s="149" t="s">
        <v>28</v>
      </c>
      <c r="C7" s="149" t="s">
        <v>501</v>
      </c>
      <c r="D7" s="149" t="s">
        <v>500</v>
      </c>
      <c r="E7" s="148" t="s">
        <v>499</v>
      </c>
      <c r="F7" s="148" t="s">
        <v>498</v>
      </c>
      <c r="G7" s="148" t="s">
        <v>497</v>
      </c>
      <c r="H7" s="148" t="s">
        <v>496</v>
      </c>
      <c r="I7" s="148" t="s">
        <v>490</v>
      </c>
      <c r="J7" s="148" t="s">
        <v>495</v>
      </c>
      <c r="K7" s="148" t="s">
        <v>488</v>
      </c>
      <c r="L7" s="147" t="s">
        <v>494</v>
      </c>
    </row>
    <row r="8" spans="1:12" ht="14.5">
      <c r="A8" s="145"/>
      <c r="B8" s="144"/>
      <c r="C8" s="143" t="s">
        <v>493</v>
      </c>
      <c r="D8" s="142"/>
      <c r="E8" s="97">
        <f>E$2/E$1-1</f>
        <v>2.6065801202479477E-4</v>
      </c>
      <c r="F8" s="97">
        <f>F$2/F$1-1</f>
        <v>-4.7971399999999775E-3</v>
      </c>
      <c r="G8" s="97">
        <f>G$2/G$1-1</f>
        <v>-2.6236739999999981E-2</v>
      </c>
      <c r="H8" s="97">
        <f>H$2/H$1-1</f>
        <v>1.8570893057098026E-2</v>
      </c>
      <c r="I8" s="97"/>
      <c r="J8" s="97"/>
      <c r="K8" s="97"/>
      <c r="L8" s="97">
        <f>[2]恒生净值!S25</f>
        <v>-2.8899999999999999E-2</v>
      </c>
    </row>
    <row r="9" spans="1:12" ht="14.5">
      <c r="A9" s="140">
        <v>1</v>
      </c>
      <c r="B9" s="129" t="s">
        <v>280</v>
      </c>
      <c r="C9" s="128" t="s">
        <v>305</v>
      </c>
      <c r="D9" s="127">
        <f>[1]!thsiFinD("ths_mergesize_fund",$B9,"2026-06-30")/100000000</f>
        <v>712.08736087429997</v>
      </c>
      <c r="E9" s="98">
        <f>[1]!thsiFinD("ths_adjustment_nvg_ratio_fund",$B9,E$4,E$5,101)/100</f>
        <v>-9.3343908194245991E-3</v>
      </c>
      <c r="F9" s="98">
        <f>[1]!thsiFinD("ths_adjustment_nvg_ratio_fund",$B9,F$4,F$5,101)/100</f>
        <v>-5.1795620440991993E-2</v>
      </c>
      <c r="G9" s="98">
        <f>[1]!thsiFinD("ths_adjustment_nvg_ratio_fund",$B9,G$4,G$5,101)/100</f>
        <v>-7.3401459857001999E-2</v>
      </c>
      <c r="H9" s="98">
        <f>[1]!thsiFinD("ths_adjustment_nvg_ratio_fund",$B9,H$4,H$5,101)/100</f>
        <v>1.3797839834773999E-2</v>
      </c>
      <c r="I9" s="98">
        <f>[1]!thsiFinD("ths_adjustment_nvg_ratio_fund",$B9,I$4,I$5,101)/100</f>
        <v>6.7190284524301008E-2</v>
      </c>
      <c r="J9" s="98">
        <f>[1]!thsiFinD("ths_adjustment_nvg_ratio_fund",$B9,J$4,J$5,101)/100</f>
        <v>0.110889728629</v>
      </c>
      <c r="K9" s="98">
        <f>-[1]!thsiFinD("ths_max_retrace_rate_all_fund",$B9,J$4,J$5)/100</f>
        <v>-7.8192169154790991E-2</v>
      </c>
      <c r="L9" s="98">
        <f>-[1]!thsiFinD("ths_max_retrace_rate_all_fund",$B9,F$3,F$5)/100</f>
        <v>-7.8192169154790991E-2</v>
      </c>
    </row>
    <row r="10" spans="1:12" ht="14.5">
      <c r="A10" s="141">
        <v>2</v>
      </c>
      <c r="B10" s="132" t="s">
        <v>281</v>
      </c>
      <c r="C10" s="131" t="s">
        <v>306</v>
      </c>
      <c r="D10" s="130">
        <f>[1]!thsiFinD("ths_mergesize_fund",$B10,"2026-06-30")/100000000</f>
        <v>584.43201761959995</v>
      </c>
      <c r="E10" s="99">
        <f>[1]!thsiFinD("ths_adjustment_nvg_ratio_fund",$B10,E$4,E$5,101)/100</f>
        <v>-3.0415834319961E-3</v>
      </c>
      <c r="F10" s="99">
        <f>[1]!thsiFinD("ths_adjustment_nvg_ratio_fund",$B10,F$4,F$5,101)/100</f>
        <v>-2.9948319255067003E-2</v>
      </c>
      <c r="G10" s="99">
        <f>[1]!thsiFinD("ths_adjustment_nvg_ratio_fund",$B10,G$4,G$5,101)/100</f>
        <v>-5.1945757323097003E-2</v>
      </c>
      <c r="H10" s="99">
        <f>[1]!thsiFinD("ths_adjustment_nvg_ratio_fund",$B10,H$4,H$5,101)/100</f>
        <v>1.6007402276481997E-2</v>
      </c>
      <c r="I10" s="99">
        <f>[1]!thsiFinD("ths_adjustment_nvg_ratio_fund",$B10,I$4,I$5,101)/100</f>
        <v>2.6313320809483998E-2</v>
      </c>
      <c r="J10" s="99">
        <f>[1]!thsiFinD("ths_adjustment_nvg_ratio_fund",$B10,J$4,J$5,101)/100</f>
        <v>7.6714890241055003E-2</v>
      </c>
      <c r="K10" s="99">
        <f>-[1]!thsiFinD("ths_max_retrace_rate_all_fund",$B10,J$4,J$5)/100</f>
        <v>-6.0905709922503999E-2</v>
      </c>
      <c r="L10" s="99">
        <f>-[1]!thsiFinD("ths_max_retrace_rate_all_fund",$B10,F$3,F$5)/100</f>
        <v>-6.0905709922503999E-2</v>
      </c>
    </row>
    <row r="11" spans="1:12" ht="14.5">
      <c r="A11" s="140">
        <v>3</v>
      </c>
      <c r="B11" s="129" t="s">
        <v>282</v>
      </c>
      <c r="C11" s="128" t="s">
        <v>307</v>
      </c>
      <c r="D11" s="127">
        <f>[1]!thsiFinD("ths_mergesize_fund",$B11,"2026-06-30")/100000000</f>
        <v>575.96586382800001</v>
      </c>
      <c r="E11" s="98">
        <f>[1]!thsiFinD("ths_adjustment_nvg_ratio_fund",$B11,E$4,E$5,101)/100</f>
        <v>0</v>
      </c>
      <c r="F11" s="98">
        <f>[1]!thsiFinD("ths_adjustment_nvg_ratio_fund",$B11,F$4,F$5,101)/100</f>
        <v>-4.7194546169833001E-3</v>
      </c>
      <c r="G11" s="98">
        <f>[1]!thsiFinD("ths_adjustment_nvg_ratio_fund",$B11,G$4,G$5,101)/100</f>
        <v>-1.3633980067752001E-2</v>
      </c>
      <c r="H11" s="98">
        <f>[1]!thsiFinD("ths_adjustment_nvg_ratio_fund",$B11,H$4,H$5,101)/100</f>
        <v>7.4309978735700999E-3</v>
      </c>
      <c r="I11" s="98">
        <f>[1]!thsiFinD("ths_adjustment_nvg_ratio_fund",$B11,I$4,I$5,101)/100</f>
        <v>-2.1197668247595999E-3</v>
      </c>
      <c r="J11" s="98">
        <f>[1]!thsiFinD("ths_adjustment_nvg_ratio_fund",$B11,J$4,J$5,101)/100</f>
        <v>3.6323610330895997E-2</v>
      </c>
      <c r="K11" s="98">
        <f>-[1]!thsiFinD("ths_max_retrace_rate_all_fund",$B11,J$4,J$5)/100</f>
        <v>-2.4530271409826998E-2</v>
      </c>
      <c r="L11" s="98">
        <f>-[1]!thsiFinD("ths_max_retrace_rate_all_fund",$B11,F$3,F$5)/100</f>
        <v>-2.4530271409826998E-2</v>
      </c>
    </row>
    <row r="12" spans="1:12" ht="14.5">
      <c r="A12" s="141">
        <v>4</v>
      </c>
      <c r="B12" s="132" t="s">
        <v>283</v>
      </c>
      <c r="C12" s="131" t="s">
        <v>308</v>
      </c>
      <c r="D12" s="130">
        <f>[1]!thsiFinD("ths_mergesize_fund",$B12,"2026-06-30")/100000000</f>
        <v>393.16064691279996</v>
      </c>
      <c r="E12" s="99">
        <f>[1]!thsiFinD("ths_adjustment_nvg_ratio_fund",$B12,E$4,E$5,101)/100</f>
        <v>3.1031807899026E-3</v>
      </c>
      <c r="F12" s="99">
        <f>[1]!thsiFinD("ths_adjustment_nvg_ratio_fund",$B12,F$4,F$5,101)/100</f>
        <v>3.1923383906225997E-2</v>
      </c>
      <c r="G12" s="99">
        <f>[1]!thsiFinD("ths_adjustment_nvg_ratio_fund",$B12,G$4,G$5,101)/100</f>
        <v>1.5961691953112998E-2</v>
      </c>
      <c r="H12" s="99">
        <f>[1]!thsiFinD("ths_adjustment_nvg_ratio_fund",$B12,H$4,H$5,101)/100</f>
        <v>1.3322884020376999E-2</v>
      </c>
      <c r="I12" s="99">
        <f>[1]!thsiFinD("ths_adjustment_nvg_ratio_fund",$B12,I$4,I$5,101)/100</f>
        <v>3.1372549319178002E-3</v>
      </c>
      <c r="J12" s="99">
        <f>[1]!thsiFinD("ths_adjustment_nvg_ratio_fund",$B12,J$4,J$5,101)/100</f>
        <v>5.5280528060133005E-2</v>
      </c>
      <c r="K12" s="99">
        <f>-[1]!thsiFinD("ths_max_retrace_rate_all_fund",$B12,J$4,J$5)/100</f>
        <v>-3.9688715976018002E-2</v>
      </c>
      <c r="L12" s="99">
        <f>-[1]!thsiFinD("ths_max_retrace_rate_all_fund",$B12,F$3,F$5)/100</f>
        <v>-1.9857029388075001E-2</v>
      </c>
    </row>
    <row r="13" spans="1:12" ht="14.5">
      <c r="A13" s="140">
        <v>5</v>
      </c>
      <c r="B13" s="129" t="s">
        <v>284</v>
      </c>
      <c r="C13" s="128" t="s">
        <v>309</v>
      </c>
      <c r="D13" s="127">
        <f>[1]!thsiFinD("ths_mergesize_fund",$B13,"2026-06-30")/100000000</f>
        <v>390.92893805019997</v>
      </c>
      <c r="E13" s="98">
        <f>[1]!thsiFinD("ths_adjustment_nvg_ratio_fund",$B13,E$4,E$5,101)/100</f>
        <v>-5.6230184791096005E-3</v>
      </c>
      <c r="F13" s="98">
        <f>[1]!thsiFinD("ths_adjustment_nvg_ratio_fund",$B13,F$4,F$5,101)/100</f>
        <v>-2.8519665700411999E-2</v>
      </c>
      <c r="G13" s="98">
        <f>[1]!thsiFinD("ths_adjustment_nvg_ratio_fund",$B13,G$4,G$5,101)/100</f>
        <v>-5.6454912032351999E-2</v>
      </c>
      <c r="H13" s="98">
        <f>[1]!thsiFinD("ths_adjustment_nvg_ratio_fund",$B13,H$4,H$5,101)/100</f>
        <v>2.0379350603219999E-2</v>
      </c>
      <c r="I13" s="98">
        <f>[1]!thsiFinD("ths_adjustment_nvg_ratio_fund",$B13,I$4,I$5,101)/100</f>
        <v>9.3405149814373992E-2</v>
      </c>
      <c r="J13" s="98">
        <f>[1]!thsiFinD("ths_adjustment_nvg_ratio_fund",$B13,J$4,J$5,101)/100</f>
        <v>0.13207290535282001</v>
      </c>
      <c r="K13" s="98">
        <f>-[1]!thsiFinD("ths_max_retrace_rate_all_fund",$B13,J$4,J$5)/100</f>
        <v>-7.0577399089732998E-2</v>
      </c>
      <c r="L13" s="98">
        <f>-[1]!thsiFinD("ths_max_retrace_rate_all_fund",$B13,F$3,F$5)/100</f>
        <v>-7.0577399089732998E-2</v>
      </c>
    </row>
    <row r="14" spans="1:12" ht="14.5">
      <c r="A14" s="141">
        <v>6</v>
      </c>
      <c r="B14" s="132" t="s">
        <v>285</v>
      </c>
      <c r="C14" s="131" t="s">
        <v>310</v>
      </c>
      <c r="D14" s="130">
        <f>[1]!thsiFinD("ths_mergesize_fund",$B14,"2026-06-30")/100000000</f>
        <v>364.61856926730002</v>
      </c>
      <c r="E14" s="99">
        <f>[1]!thsiFinD("ths_adjustment_nvg_ratio_fund",$B14,E$4,E$5,101)/100</f>
        <v>-3.1162866983762997E-3</v>
      </c>
      <c r="F14" s="99">
        <f>[1]!thsiFinD("ths_adjustment_nvg_ratio_fund",$B14,F$4,F$5,101)/100</f>
        <v>-2.6429601153292001E-2</v>
      </c>
      <c r="G14" s="99">
        <f>[1]!thsiFinD("ths_adjustment_nvg_ratio_fund",$B14,G$4,G$5,101)/100</f>
        <v>-3.9484222329008001E-2</v>
      </c>
      <c r="H14" s="99">
        <f>[1]!thsiFinD("ths_adjustment_nvg_ratio_fund",$B14,H$4,H$5,101)/100</f>
        <v>8.2109977606370007E-3</v>
      </c>
      <c r="I14" s="99">
        <f>[1]!thsiFinD("ths_adjustment_nvg_ratio_fund",$B14,I$4,I$5,101)/100</f>
        <v>2.9176392130710999E-3</v>
      </c>
      <c r="J14" s="99">
        <f>[1]!thsiFinD("ths_adjustment_nvg_ratio_fund",$B14,J$4,J$5,101)/100</f>
        <v>3.4124118961664E-2</v>
      </c>
      <c r="K14" s="99">
        <f>-[1]!thsiFinD("ths_max_retrace_rate_all_fund",$B14,J$4,J$5)/100</f>
        <v>-4.5758395670858001E-2</v>
      </c>
      <c r="L14" s="99">
        <f>-[1]!thsiFinD("ths_max_retrace_rate_all_fund",$B14,F$3,F$5)/100</f>
        <v>-4.5758395670858001E-2</v>
      </c>
    </row>
    <row r="15" spans="1:12" ht="14.5">
      <c r="A15" s="140">
        <v>7</v>
      </c>
      <c r="B15" s="129" t="s">
        <v>286</v>
      </c>
      <c r="C15" s="128" t="s">
        <v>311</v>
      </c>
      <c r="D15" s="127">
        <f>[1]!thsiFinD("ths_mergesize_fund",$B15,"2026-06-30")/100000000</f>
        <v>360.54340489449999</v>
      </c>
      <c r="E15" s="98">
        <f>[1]!thsiFinD("ths_adjustment_nvg_ratio_fund",$B15,E$4,E$5,101)/100</f>
        <v>1.9579050416055001E-3</v>
      </c>
      <c r="F15" s="98">
        <f>[1]!thsiFinD("ths_adjustment_nvg_ratio_fund",$B15,F$4,F$5,101)/100</f>
        <v>-3.4079844206424998E-3</v>
      </c>
      <c r="G15" s="98">
        <f>[1]!thsiFinD("ths_adjustment_nvg_ratio_fund",$B15,G$4,G$5,101)/100</f>
        <v>-2.8724440116844999E-2</v>
      </c>
      <c r="H15" s="98">
        <f>[1]!thsiFinD("ths_adjustment_nvg_ratio_fund",$B15,H$4,H$5,101)/100</f>
        <v>1.7395626242544999E-2</v>
      </c>
      <c r="I15" s="98">
        <f>[1]!thsiFinD("ths_adjustment_nvg_ratio_fund",$B15,I$4,I$5,101)/100</f>
        <v>3.7493579866460999E-2</v>
      </c>
      <c r="J15" s="98">
        <f>[1]!thsiFinD("ths_adjustment_nvg_ratio_fund",$B15,J$4,J$5,101)/100</f>
        <v>0.12849162011172999</v>
      </c>
      <c r="K15" s="98">
        <f>-[1]!thsiFinD("ths_max_retrace_rate_all_fund",$B15,J$4,J$5)/100</f>
        <v>-5.2405907575036006E-2</v>
      </c>
      <c r="L15" s="98">
        <f>-[1]!thsiFinD("ths_max_retrace_rate_all_fund",$B15,F$3,F$5)/100</f>
        <v>-5.2405907575036006E-2</v>
      </c>
    </row>
    <row r="16" spans="1:12" ht="14.5">
      <c r="A16" s="141">
        <v>8</v>
      </c>
      <c r="B16" s="132" t="s">
        <v>287</v>
      </c>
      <c r="C16" s="131" t="s">
        <v>312</v>
      </c>
      <c r="D16" s="130">
        <f>[1]!thsiFinD("ths_mergesize_fund",$B16,"2026-06-30")/100000000</f>
        <v>359.1130168821</v>
      </c>
      <c r="E16" s="99">
        <f>[1]!thsiFinD("ths_adjustment_nvg_ratio_fund",$B16,E$4,E$5,101)/100</f>
        <v>-8.8716836808915001E-4</v>
      </c>
      <c r="F16" s="99">
        <f>[1]!thsiFinD("ths_adjustment_nvg_ratio_fund",$B16,F$4,F$5,101)/100</f>
        <v>-1.4714069825226E-2</v>
      </c>
      <c r="G16" s="99">
        <f>[1]!thsiFinD("ths_adjustment_nvg_ratio_fund",$B16,G$4,G$5,101)/100</f>
        <v>-1.6463851118404999E-2</v>
      </c>
      <c r="H16" s="99">
        <f>[1]!thsiFinD("ths_adjustment_nvg_ratio_fund",$B16,H$4,H$5,101)/100</f>
        <v>8.0788491335382999E-4</v>
      </c>
      <c r="I16" s="99">
        <f>[1]!thsiFinD("ths_adjustment_nvg_ratio_fund",$B16,I$4,I$5,101)/100</f>
        <v>1.3123359520353E-2</v>
      </c>
      <c r="J16" s="99">
        <f>[1]!thsiFinD("ths_adjustment_nvg_ratio_fund",$B16,J$4,J$5,101)/100</f>
        <v>3.2241890771658996E-2</v>
      </c>
      <c r="K16" s="99">
        <f>-[1]!thsiFinD("ths_max_retrace_rate_all_fund",$B16,J$4,J$5)/100</f>
        <v>-3.2053291496394E-2</v>
      </c>
      <c r="L16" s="99">
        <f>-[1]!thsiFinD("ths_max_retrace_rate_all_fund",$B16,F$3,F$5)/100</f>
        <v>-3.0877742970785001E-2</v>
      </c>
    </row>
    <row r="17" spans="1:14" ht="14.5">
      <c r="A17" s="140">
        <v>9</v>
      </c>
      <c r="B17" s="129" t="s">
        <v>288</v>
      </c>
      <c r="C17" s="128" t="s">
        <v>313</v>
      </c>
      <c r="D17" s="127">
        <f>[1]!thsiFinD("ths_mergesize_fund",$B17,"2026-06-30")/100000000</f>
        <v>341.58069268150001</v>
      </c>
      <c r="E17" s="98">
        <f>[1]!thsiFinD("ths_adjustment_nvg_ratio_fund",$B17,E$4,E$5,101)/100</f>
        <v>-6.2350119834154007E-3</v>
      </c>
      <c r="F17" s="98">
        <f>[1]!thsiFinD("ths_adjustment_nvg_ratio_fund",$B17,F$4,F$5,101)/100</f>
        <v>-3.8515081191663997E-2</v>
      </c>
      <c r="G17" s="98">
        <f>[1]!thsiFinD("ths_adjustment_nvg_ratio_fund",$B17,G$4,G$5,101)/100</f>
        <v>-4.8259860808042995E-2</v>
      </c>
      <c r="H17" s="98">
        <f>[1]!thsiFinD("ths_adjustment_nvg_ratio_fund",$B17,H$4,H$5,101)/100</f>
        <v>4.8496605388745001E-3</v>
      </c>
      <c r="I17" s="98">
        <f>[1]!thsiFinD("ths_adjustment_nvg_ratio_fund",$B17,I$4,I$5,101)/100</f>
        <v>5.7749360588322002E-2</v>
      </c>
      <c r="J17" s="98">
        <f>[1]!thsiFinD("ths_adjustment_nvg_ratio_fund",$B17,J$4,J$5,101)/100</f>
        <v>8.4942287479927991E-2</v>
      </c>
      <c r="K17" s="98">
        <f>-[1]!thsiFinD("ths_max_retrace_rate_all_fund",$B17,J$4,J$5)/100</f>
        <v>-6.3470319649836002E-2</v>
      </c>
      <c r="L17" s="98">
        <f>-[1]!thsiFinD("ths_max_retrace_rate_all_fund",$B17,F$3,F$5)/100</f>
        <v>-6.3470319649836002E-2</v>
      </c>
    </row>
    <row r="18" spans="1:14" ht="14.5">
      <c r="A18" s="139">
        <v>10</v>
      </c>
      <c r="B18" s="138" t="s">
        <v>289</v>
      </c>
      <c r="C18" s="137" t="s">
        <v>314</v>
      </c>
      <c r="D18" s="124">
        <f>[1]!thsiFinD("ths_mergesize_fund",$B18,"2026-06-30")/100000000</f>
        <v>313.5988336108</v>
      </c>
      <c r="E18" s="99">
        <f>[1]!thsiFinD("ths_adjustment_nvg_ratio_fund",$B18,E$4,E$5,101)/100</f>
        <v>2.8990508963341001E-3</v>
      </c>
      <c r="F18" s="99">
        <f>[1]!thsiFinD("ths_adjustment_nvg_ratio_fund",$B18,F$4,F$5,101)/100</f>
        <v>9.9896657841002994E-4</v>
      </c>
      <c r="G18" s="99">
        <f>[1]!thsiFinD("ths_adjustment_nvg_ratio_fund",$B18,G$4,G$5,101)/100</f>
        <v>-7.2338959456968999E-4</v>
      </c>
      <c r="H18" s="99">
        <f>[1]!thsiFinD("ths_adjustment_nvg_ratio_fund",$B18,H$4,H$5,101)/100</f>
        <v>1.3439007553612001E-3</v>
      </c>
      <c r="I18" s="99">
        <f>[1]!thsiFinD("ths_adjustment_nvg_ratio_fund",$B18,I$4,I$5,101)/100</f>
        <v>-1.3849370949565001E-2</v>
      </c>
      <c r="J18" s="99">
        <f>[1]!thsiFinD("ths_adjustment_nvg_ratio_fund",$B18,J$4,J$5,101)/100</f>
        <v>5.6106202195788005E-2</v>
      </c>
      <c r="K18" s="99">
        <f>-[1]!thsiFinD("ths_max_retrace_rate_all_fund",$B18,J$4,J$5)/100</f>
        <v>-3.3252700081150999E-2</v>
      </c>
      <c r="L18" s="99">
        <f>-[1]!thsiFinD("ths_max_retrace_rate_all_fund",$B18,F$3,F$5)/100</f>
        <v>-2.6377751246695998E-2</v>
      </c>
    </row>
    <row r="19" spans="1:14" ht="30" customHeight="1">
      <c r="A19" s="136"/>
      <c r="B19" s="136"/>
      <c r="C19" s="91" t="s">
        <v>492</v>
      </c>
      <c r="D19" s="91"/>
      <c r="E19" s="91"/>
      <c r="F19" s="91"/>
      <c r="G19" s="91"/>
      <c r="H19" s="91"/>
      <c r="I19" s="91"/>
      <c r="J19" s="91"/>
      <c r="K19" s="91"/>
      <c r="L19" s="91"/>
    </row>
    <row r="20" spans="1:14" ht="14.5" customHeight="1">
      <c r="A20" s="64" t="str">
        <f>表3_23[[#Headers],[序号]]</f>
        <v>序号</v>
      </c>
      <c r="B20" s="64" t="str">
        <f>表3_23[[#Headers],[基金代码]]</f>
        <v>基金代码</v>
      </c>
      <c r="C20" s="64" t="str">
        <f>表3_23[[#Headers],[8/24-8/28]]</f>
        <v>8/24-8/28</v>
      </c>
      <c r="D20" s="135" t="s">
        <v>491</v>
      </c>
      <c r="E20" s="64" t="str">
        <f>表3_23[[#Headers],[上周]]</f>
        <v>上周</v>
      </c>
      <c r="F20" s="64" t="str">
        <f>表3_23[[#Headers],[6/22以来]]</f>
        <v>6/22以来</v>
      </c>
      <c r="G20" s="64" t="str">
        <f>表3_23[[#Headers],[6/22-7/30]]</f>
        <v>6/22-7/30</v>
      </c>
      <c r="H20" s="64" t="str">
        <f>表3_23[[#Headers],[7/31以来]]</f>
        <v>7/31以来</v>
      </c>
      <c r="I20" s="134" t="s">
        <v>490</v>
      </c>
      <c r="J20" s="134" t="s">
        <v>489</v>
      </c>
      <c r="K20" s="134" t="s">
        <v>488</v>
      </c>
      <c r="L20" s="90" t="str">
        <f>表3_23[[#Headers],[最大回撤（6/22以来）]]</f>
        <v>最大回撤（6/22以来）</v>
      </c>
    </row>
    <row r="21" spans="1:14" ht="16.5">
      <c r="A21" s="65" t="s">
        <v>202</v>
      </c>
      <c r="B21" s="66"/>
      <c r="C21" s="67" t="str">
        <f>C8</f>
        <v>10/90基石投顾组合</v>
      </c>
      <c r="D21" s="66"/>
      <c r="E21" s="102">
        <f>E$2/E$1-1</f>
        <v>2.6065801202479477E-4</v>
      </c>
      <c r="F21" s="102">
        <f>F$2/F$1-1</f>
        <v>-4.7971399999999775E-3</v>
      </c>
      <c r="G21" s="102">
        <f>G$2/G$1-1</f>
        <v>-2.6236739999999981E-2</v>
      </c>
      <c r="H21" s="102">
        <f>H$2/H$1-1</f>
        <v>1.8570893057098026E-2</v>
      </c>
      <c r="I21" s="102"/>
      <c r="J21" s="102"/>
      <c r="K21" s="102"/>
      <c r="L21" s="103">
        <f>L8</f>
        <v>-2.8899999999999999E-2</v>
      </c>
    </row>
    <row r="22" spans="1:14" ht="16.5">
      <c r="A22" s="68">
        <v>1</v>
      </c>
      <c r="B22" s="129" t="s">
        <v>280</v>
      </c>
      <c r="C22" s="128" t="s">
        <v>305</v>
      </c>
      <c r="D22" s="127">
        <f>[1]!thsiFinD("ths_mergesize_fund",$B22,"2026-06-30")/100000000-[1]!thsiFinD("ths_mergesize_fund",$B22,"2026-03-31")/100000000</f>
        <v>390.9686369515</v>
      </c>
      <c r="E22" s="104">
        <f>[1]!thsiFinD("ths_adjustment_nvg_ratio_fund",$B22,E$4,E$5,101)/100</f>
        <v>-9.3343908194245991E-3</v>
      </c>
      <c r="F22" s="104">
        <f>[1]!thsiFinD("ths_adjustment_nvg_ratio_fund",$B22,F$4,F$5,101)/100</f>
        <v>-5.1795620440991993E-2</v>
      </c>
      <c r="G22" s="104">
        <f>[1]!thsiFinD("ths_adjustment_nvg_ratio_fund",$B22,G$4,G$5,101)/100</f>
        <v>-7.3401459857001999E-2</v>
      </c>
      <c r="H22" s="104">
        <f>[1]!thsiFinD("ths_adjustment_nvg_ratio_fund",$B22,H$4,H$5,101)/100</f>
        <v>1.3797839834773999E-2</v>
      </c>
      <c r="I22" s="104">
        <f>[1]!thsiFinD("ths_adjustment_nvg_ratio_fund",$B22,I$4,I$5,101)/100</f>
        <v>6.7190284524301008E-2</v>
      </c>
      <c r="J22" s="104">
        <f>[1]!thsiFinD("ths_adjustment_nvg_ratio_fund",$B22,J$4,J$5,101)/100</f>
        <v>0.110889728629</v>
      </c>
      <c r="K22" s="104">
        <f>-[1]!thsiFinD("ths_max_retrace_rate_all_fund",$B22,J$4,J$5)/100</f>
        <v>-7.8192169154790991E-2</v>
      </c>
      <c r="L22" s="105">
        <f>-[1]!thsiFinD("ths_max_retrace_rate_all_fund",$B22,F$3,F$5)/100</f>
        <v>-7.8192169154790991E-2</v>
      </c>
      <c r="N22" s="133"/>
    </row>
    <row r="23" spans="1:14" ht="16.5">
      <c r="A23" s="71">
        <v>2</v>
      </c>
      <c r="B23" s="132" t="s">
        <v>284</v>
      </c>
      <c r="C23" s="131" t="s">
        <v>487</v>
      </c>
      <c r="D23" s="130">
        <f>[1]!thsiFinD("ths_mergesize_fund",$B23,"2026-06-30")/100000000-[1]!thsiFinD("ths_mergesize_fund",$B23,"2026-03-31")/100000000</f>
        <v>347.40493853379996</v>
      </c>
      <c r="E23" s="106">
        <f>[1]!thsiFinD("ths_adjustment_nvg_ratio_fund",$B23,E$4,E$5,101)/100</f>
        <v>-5.6230184791096005E-3</v>
      </c>
      <c r="F23" s="106">
        <f>[1]!thsiFinD("ths_adjustment_nvg_ratio_fund",$B23,F$4,F$5,101)/100</f>
        <v>-2.8519665700411999E-2</v>
      </c>
      <c r="G23" s="106">
        <f>[1]!thsiFinD("ths_adjustment_nvg_ratio_fund",$B23,G$4,G$5,101)/100</f>
        <v>-5.6454912032351999E-2</v>
      </c>
      <c r="H23" s="106">
        <f>[1]!thsiFinD("ths_adjustment_nvg_ratio_fund",$B23,H$4,H$5,101)/100</f>
        <v>2.0379350603219999E-2</v>
      </c>
      <c r="I23" s="106">
        <f>[1]!thsiFinD("ths_adjustment_nvg_ratio_fund",$B23,I$4,I$5,101)/100</f>
        <v>9.3405149814373992E-2</v>
      </c>
      <c r="J23" s="106">
        <f>[1]!thsiFinD("ths_adjustment_nvg_ratio_fund",$B23,J$4,J$5,101)/100</f>
        <v>0.13207290535282001</v>
      </c>
      <c r="K23" s="106">
        <f>-[1]!thsiFinD("ths_max_retrace_rate_all_fund",$B23,J$4,J$5)/100</f>
        <v>-7.0577399089732998E-2</v>
      </c>
      <c r="L23" s="107">
        <f>-[1]!thsiFinD("ths_max_retrace_rate_all_fund",$B23,F$3,F$5)/100</f>
        <v>-7.0577399089732998E-2</v>
      </c>
    </row>
    <row r="24" spans="1:14" ht="16.5">
      <c r="A24" s="68">
        <v>3</v>
      </c>
      <c r="B24" s="129" t="s">
        <v>290</v>
      </c>
      <c r="C24" s="128" t="s">
        <v>316</v>
      </c>
      <c r="D24" s="127">
        <f>[1]!thsiFinD("ths_mergesize_fund",$B24,"2026-06-30")/100000000-[1]!thsiFinD("ths_mergesize_fund",$B24,"2026-03-31")/100000000</f>
        <v>254.64495321139995</v>
      </c>
      <c r="E24" s="104">
        <f>[1]!thsiFinD("ths_adjustment_nvg_ratio_fund",$B24,E$4,E$5,101)/100</f>
        <v>-4.2755027102040002E-3</v>
      </c>
      <c r="F24" s="104">
        <f>[1]!thsiFinD("ths_adjustment_nvg_ratio_fund",$B24,F$4,F$5,101)/100</f>
        <v>-4.5041004637270995E-2</v>
      </c>
      <c r="G24" s="104">
        <f>[1]!thsiFinD("ths_adjustment_nvg_ratio_fund",$B24,G$4,G$5,101)/100</f>
        <v>-5.3754484891249996E-2</v>
      </c>
      <c r="H24" s="104">
        <f>[1]!thsiFinD("ths_adjustment_nvg_ratio_fund",$B24,H$4,H$5,101)/100</f>
        <v>2.5559964879114001E-3</v>
      </c>
      <c r="I24" s="104">
        <f>[1]!thsiFinD("ths_adjustment_nvg_ratio_fund",$B24,I$4,I$5,101)/100</f>
        <v>8.8491010874772E-2</v>
      </c>
      <c r="J24" s="104">
        <f>[1]!thsiFinD("ths_adjustment_nvg_ratio_fund",$B24,J$4,J$5,101)/100</f>
        <v>0.12081575728235</v>
      </c>
      <c r="K24" s="104">
        <f>-[1]!thsiFinD("ths_max_retrace_rate_all_fund",$B24,J$4,J$5)/100</f>
        <v>-6.6641375828729005E-2</v>
      </c>
      <c r="L24" s="105">
        <f>-[1]!thsiFinD("ths_max_retrace_rate_all_fund",$B24,F$3,F$5)/100</f>
        <v>-6.6198786055969003E-2</v>
      </c>
    </row>
    <row r="25" spans="1:14" ht="16.5">
      <c r="A25" s="71">
        <v>4</v>
      </c>
      <c r="B25" s="132" t="s">
        <v>281</v>
      </c>
      <c r="C25" s="131" t="s">
        <v>486</v>
      </c>
      <c r="D25" s="130">
        <f>[1]!thsiFinD("ths_mergesize_fund",$B25,"2026-06-30")/100000000-[1]!thsiFinD("ths_mergesize_fund",$B25,"2026-03-31")/100000000</f>
        <v>227.51174090889992</v>
      </c>
      <c r="E25" s="106">
        <f>[1]!thsiFinD("ths_adjustment_nvg_ratio_fund",$B25,E$4,E$5,101)/100</f>
        <v>-3.0415834319961E-3</v>
      </c>
      <c r="F25" s="106">
        <f>[1]!thsiFinD("ths_adjustment_nvg_ratio_fund",$B25,F$4,F$5,101)/100</f>
        <v>-2.9948319255067003E-2</v>
      </c>
      <c r="G25" s="106">
        <f>[1]!thsiFinD("ths_adjustment_nvg_ratio_fund",$B25,G$4,G$5,101)/100</f>
        <v>-5.1945757323097003E-2</v>
      </c>
      <c r="H25" s="106">
        <f>[1]!thsiFinD("ths_adjustment_nvg_ratio_fund",$B25,H$4,H$5,101)/100</f>
        <v>1.6007402276481997E-2</v>
      </c>
      <c r="I25" s="106">
        <f>[1]!thsiFinD("ths_adjustment_nvg_ratio_fund",$B25,I$4,I$5,101)/100</f>
        <v>2.6313320809483998E-2</v>
      </c>
      <c r="J25" s="106">
        <f>[1]!thsiFinD("ths_adjustment_nvg_ratio_fund",$B25,J$4,J$5,101)/100</f>
        <v>7.6714890241055003E-2</v>
      </c>
      <c r="K25" s="106">
        <f>-[1]!thsiFinD("ths_max_retrace_rate_all_fund",$B25,J$4,J$5)/100</f>
        <v>-6.0905709922503999E-2</v>
      </c>
      <c r="L25" s="107">
        <f>-[1]!thsiFinD("ths_max_retrace_rate_all_fund",$B25,F$3,F$5)/100</f>
        <v>-6.0905709922503999E-2</v>
      </c>
    </row>
    <row r="26" spans="1:14" ht="16.5">
      <c r="A26" s="68">
        <v>5</v>
      </c>
      <c r="B26" s="129" t="s">
        <v>291</v>
      </c>
      <c r="C26" s="128" t="s">
        <v>317</v>
      </c>
      <c r="D26" s="127">
        <f>[1]!thsiFinD("ths_mergesize_fund",$B26,"2026-06-30")/100000000-[1]!thsiFinD("ths_mergesize_fund",$B26,"2026-03-31")/100000000</f>
        <v>171.69679059780003</v>
      </c>
      <c r="E26" s="104">
        <f>[1]!thsiFinD("ths_adjustment_nvg_ratio_fund",$B26,E$4,E$5,101)/100</f>
        <v>1.9330855021928001E-3</v>
      </c>
      <c r="F26" s="104">
        <f>[1]!thsiFinD("ths_adjustment_nvg_ratio_fund",$B26,F$4,F$5,101)/100</f>
        <v>-2.6722519150845E-2</v>
      </c>
      <c r="G26" s="104">
        <f>[1]!thsiFinD("ths_adjustment_nvg_ratio_fund",$B26,G$4,G$5,101)/100</f>
        <v>-4.0589339891791996E-2</v>
      </c>
      <c r="H26" s="104">
        <f>[1]!thsiFinD("ths_adjustment_nvg_ratio_fund",$B26,H$4,H$5,101)/100</f>
        <v>1.2700082665478001E-2</v>
      </c>
      <c r="I26" s="104">
        <f>[1]!thsiFinD("ths_adjustment_nvg_ratio_fund",$B26,I$4,I$5,101)/100</f>
        <v>6.5844597257849996E-2</v>
      </c>
      <c r="J26" s="104">
        <f>[1]!thsiFinD("ths_adjustment_nvg_ratio_fund",$B26,J$4,J$5,101)/100</f>
        <v>0.11557872096815</v>
      </c>
      <c r="K26" s="104">
        <f>-[1]!thsiFinD("ths_max_retrace_rate_all_fund",$B26,J$4,J$5)/100</f>
        <v>-5.0897343862490001E-2</v>
      </c>
      <c r="L26" s="105">
        <f>-[1]!thsiFinD("ths_max_retrace_rate_all_fund",$B26,F$3,F$5)/100</f>
        <v>-5.0897343862490001E-2</v>
      </c>
    </row>
    <row r="27" spans="1:14" ht="16.5">
      <c r="A27" s="71">
        <v>6</v>
      </c>
      <c r="B27" s="132" t="s">
        <v>288</v>
      </c>
      <c r="C27" s="131" t="s">
        <v>485</v>
      </c>
      <c r="D27" s="130">
        <f>[1]!thsiFinD("ths_mergesize_fund",$B27,"2026-06-30")/100000000-[1]!thsiFinD("ths_mergesize_fund",$B27,"2026-03-31")/100000000</f>
        <v>146.24504735390002</v>
      </c>
      <c r="E27" s="106">
        <f>[1]!thsiFinD("ths_adjustment_nvg_ratio_fund",$B27,E$4,E$5,101)/100</f>
        <v>-6.2350119834154007E-3</v>
      </c>
      <c r="F27" s="106">
        <f>[1]!thsiFinD("ths_adjustment_nvg_ratio_fund",$B27,F$4,F$5,101)/100</f>
        <v>-3.8515081191663997E-2</v>
      </c>
      <c r="G27" s="106">
        <f>[1]!thsiFinD("ths_adjustment_nvg_ratio_fund",$B27,G$4,G$5,101)/100</f>
        <v>-4.8259860808042995E-2</v>
      </c>
      <c r="H27" s="106">
        <f>[1]!thsiFinD("ths_adjustment_nvg_ratio_fund",$B27,H$4,H$5,101)/100</f>
        <v>4.8496605388745001E-3</v>
      </c>
      <c r="I27" s="106">
        <f>[1]!thsiFinD("ths_adjustment_nvg_ratio_fund",$B27,I$4,I$5,101)/100</f>
        <v>5.7749360588322002E-2</v>
      </c>
      <c r="J27" s="106">
        <f>[1]!thsiFinD("ths_adjustment_nvg_ratio_fund",$B27,J$4,J$5,101)/100</f>
        <v>8.4942287479927991E-2</v>
      </c>
      <c r="K27" s="106">
        <f>-[1]!thsiFinD("ths_max_retrace_rate_all_fund",$B27,J$4,J$5)/100</f>
        <v>-6.3470319649836002E-2</v>
      </c>
      <c r="L27" s="107">
        <f>-[1]!thsiFinD("ths_max_retrace_rate_all_fund",$B27,F$3,F$5)/100</f>
        <v>-6.3470319649836002E-2</v>
      </c>
    </row>
    <row r="28" spans="1:14" ht="16.5">
      <c r="A28" s="68">
        <v>7</v>
      </c>
      <c r="B28" s="129" t="s">
        <v>292</v>
      </c>
      <c r="C28" s="128" t="s">
        <v>318</v>
      </c>
      <c r="D28" s="127">
        <f>[1]!thsiFinD("ths_mergesize_fund",$B28,"2026-06-30")/100000000-[1]!thsiFinD("ths_mergesize_fund",$B28,"2026-03-31")/100000000</f>
        <v>129.5839891018</v>
      </c>
      <c r="E28" s="104">
        <f>[1]!thsiFinD("ths_adjustment_nvg_ratio_fund",$B28,E$4,E$5,101)/100</f>
        <v>-3.9488232506708999E-4</v>
      </c>
      <c r="F28" s="104">
        <f>[1]!thsiFinD("ths_adjustment_nvg_ratio_fund",$B28,F$4,F$5,101)/100</f>
        <v>2.9318541996830997E-3</v>
      </c>
      <c r="G28" s="104">
        <f>[1]!thsiFinD("ths_adjustment_nvg_ratio_fund",$B28,G$4,G$5,101)/100</f>
        <v>-2.2028526148969999E-2</v>
      </c>
      <c r="H28" s="104">
        <f>[1]!thsiFinD("ths_adjustment_nvg_ratio_fund",$B28,H$4,H$5,101)/100</f>
        <v>1.8918048623410001E-2</v>
      </c>
      <c r="I28" s="104">
        <f>[1]!thsiFinD("ths_adjustment_nvg_ratio_fund",$B28,I$4,I$5,101)/100</f>
        <v>4.6082182665114005E-2</v>
      </c>
      <c r="J28" s="104">
        <f>[1]!thsiFinD("ths_adjustment_nvg_ratio_fund",$B28,J$4,J$5,101)/100</f>
        <v>0.10879915358843001</v>
      </c>
      <c r="K28" s="104">
        <f>-[1]!thsiFinD("ths_max_retrace_rate_all_fund",$B28,J$4,J$5)/100</f>
        <v>-4.6444909668915006E-2</v>
      </c>
      <c r="L28" s="105">
        <f>-[1]!thsiFinD("ths_max_retrace_rate_all_fund",$B28,F$3,F$5)/100</f>
        <v>-4.6444909668915006E-2</v>
      </c>
    </row>
    <row r="29" spans="1:14" ht="16.5">
      <c r="A29" s="71">
        <v>8</v>
      </c>
      <c r="B29" s="132" t="s">
        <v>286</v>
      </c>
      <c r="C29" s="131" t="s">
        <v>484</v>
      </c>
      <c r="D29" s="130">
        <f>[1]!thsiFinD("ths_mergesize_fund",$B29,"2026-06-30")/100000000-[1]!thsiFinD("ths_mergesize_fund",$B29,"2026-03-31")/100000000</f>
        <v>123.13430734049996</v>
      </c>
      <c r="E29" s="106">
        <f>[1]!thsiFinD("ths_adjustment_nvg_ratio_fund",$B29,E$4,E$5,101)/100</f>
        <v>1.9579050416055001E-3</v>
      </c>
      <c r="F29" s="106">
        <f>[1]!thsiFinD("ths_adjustment_nvg_ratio_fund",$B29,F$4,F$5,101)/100</f>
        <v>-3.4079844206424998E-3</v>
      </c>
      <c r="G29" s="106">
        <f>[1]!thsiFinD("ths_adjustment_nvg_ratio_fund",$B29,G$4,G$5,101)/100</f>
        <v>-2.8724440116844999E-2</v>
      </c>
      <c r="H29" s="106">
        <f>[1]!thsiFinD("ths_adjustment_nvg_ratio_fund",$B29,H$4,H$5,101)/100</f>
        <v>1.7395626242544999E-2</v>
      </c>
      <c r="I29" s="106">
        <f>[1]!thsiFinD("ths_adjustment_nvg_ratio_fund",$B29,I$4,I$5,101)/100</f>
        <v>3.7493579866460999E-2</v>
      </c>
      <c r="J29" s="106">
        <f>[1]!thsiFinD("ths_adjustment_nvg_ratio_fund",$B29,J$4,J$5,101)/100</f>
        <v>0.12849162011172999</v>
      </c>
      <c r="K29" s="106">
        <f>-[1]!thsiFinD("ths_max_retrace_rate_all_fund",$B29,J$4,J$5)/100</f>
        <v>-5.2405907575036006E-2</v>
      </c>
      <c r="L29" s="107">
        <f>-[1]!thsiFinD("ths_max_retrace_rate_all_fund",$B29,F$3,F$5)/100</f>
        <v>-5.2405907575036006E-2</v>
      </c>
    </row>
    <row r="30" spans="1:14" ht="16.5">
      <c r="A30" s="68">
        <v>9</v>
      </c>
      <c r="B30" s="129" t="s">
        <v>293</v>
      </c>
      <c r="C30" s="128" t="s">
        <v>319</v>
      </c>
      <c r="D30" s="127">
        <f>[1]!thsiFinD("ths_mergesize_fund",$B30,"2026-06-30")/100000000-[1]!thsiFinD("ths_mergesize_fund",$B30,"2026-03-31")/100000000</f>
        <v>120.11024650360001</v>
      </c>
      <c r="E30" s="104">
        <f>[1]!thsiFinD("ths_adjustment_nvg_ratio_fund",$B30,E$4,E$5,101)/100</f>
        <v>-7.5776711290721993E-4</v>
      </c>
      <c r="F30" s="104">
        <f>[1]!thsiFinD("ths_adjustment_nvg_ratio_fund",$B30,F$4,F$5,101)/100</f>
        <v>-3.6531904529956E-2</v>
      </c>
      <c r="G30" s="104">
        <f>[1]!thsiFinD("ths_adjustment_nvg_ratio_fund",$B30,G$4,G$5,101)/100</f>
        <v>-4.7978567949341994E-2</v>
      </c>
      <c r="H30" s="104">
        <f>[1]!thsiFinD("ths_adjustment_nvg_ratio_fund",$B30,H$4,H$5,101)/100</f>
        <v>7.9836928826228001E-3</v>
      </c>
      <c r="I30" s="104">
        <f>[1]!thsiFinD("ths_adjustment_nvg_ratio_fund",$B30,I$4,I$5,101)/100</f>
        <v>2.1341198924265E-2</v>
      </c>
      <c r="J30" s="104">
        <f>[1]!thsiFinD("ths_adjustment_nvg_ratio_fund",$B30,J$4,J$5,101)/100</f>
        <v>6.1108607480846996E-2</v>
      </c>
      <c r="K30" s="104">
        <f>-[1]!thsiFinD("ths_max_retrace_rate_all_fund",$B30,J$4,J$5)/100</f>
        <v>-5.7478666881338999E-2</v>
      </c>
      <c r="L30" s="105">
        <f>-[1]!thsiFinD("ths_max_retrace_rate_all_fund",$B30,F$3,F$5)/100</f>
        <v>-5.7478666881338999E-2</v>
      </c>
    </row>
    <row r="31" spans="1:14" ht="16.5">
      <c r="A31" s="71">
        <v>10</v>
      </c>
      <c r="B31" s="126" t="s">
        <v>287</v>
      </c>
      <c r="C31" s="125" t="s">
        <v>483</v>
      </c>
      <c r="D31" s="124">
        <f>[1]!thsiFinD("ths_mergesize_fund",$B31,"2026-06-30")/100000000-[1]!thsiFinD("ths_mergesize_fund",$B31,"2026-03-31")/100000000</f>
        <v>113.87927757099999</v>
      </c>
      <c r="E31" s="108">
        <f>[1]!thsiFinD("ths_adjustment_nvg_ratio_fund",$B31,E$4,E$5,101)/100</f>
        <v>-8.8716836808915001E-4</v>
      </c>
      <c r="F31" s="108">
        <f>[1]!thsiFinD("ths_adjustment_nvg_ratio_fund",$B31,F$4,F$5,101)/100</f>
        <v>-1.4714069825226E-2</v>
      </c>
      <c r="G31" s="108">
        <f>[1]!thsiFinD("ths_adjustment_nvg_ratio_fund",$B31,G$4,G$5,101)/100</f>
        <v>-1.6463851118404999E-2</v>
      </c>
      <c r="H31" s="108">
        <f>[1]!thsiFinD("ths_adjustment_nvg_ratio_fund",$B31,H$4,H$5,101)/100</f>
        <v>8.0788491335382999E-4</v>
      </c>
      <c r="I31" s="108">
        <f>[1]!thsiFinD("ths_adjustment_nvg_ratio_fund",$B31,I$4,I$5,101)/100</f>
        <v>1.3123359520353E-2</v>
      </c>
      <c r="J31" s="108">
        <f>[1]!thsiFinD("ths_adjustment_nvg_ratio_fund",$B31,J$4,J$5,101)/100</f>
        <v>3.2241890771658996E-2</v>
      </c>
      <c r="K31" s="108">
        <f>-[1]!thsiFinD("ths_max_retrace_rate_all_fund",$B31,J$4,J$5)/100</f>
        <v>-3.2053291496394E-2</v>
      </c>
      <c r="L31" s="109">
        <f>-[1]!thsiFinD("ths_max_retrace_rate_all_fund",$B31,F$3,F$5)/100</f>
        <v>-3.0877742970785001E-2</v>
      </c>
    </row>
    <row r="32" spans="1:14" ht="16.5" customHeight="1">
      <c r="A32" s="121"/>
      <c r="B32" s="121"/>
      <c r="C32" s="123" t="s">
        <v>482</v>
      </c>
      <c r="D32" s="123"/>
      <c r="E32" s="123"/>
      <c r="F32" s="123"/>
      <c r="G32" s="123"/>
      <c r="H32" s="123"/>
      <c r="I32" s="123"/>
      <c r="J32" s="123"/>
      <c r="K32" s="123"/>
      <c r="L32" s="123"/>
    </row>
    <row r="35" spans="1:12" ht="36" customHeight="1">
      <c r="A35" s="91"/>
      <c r="B35" s="91"/>
      <c r="C35" s="91" t="s">
        <v>481</v>
      </c>
      <c r="D35" s="91"/>
      <c r="E35" s="91"/>
      <c r="F35" s="91"/>
      <c r="G35" s="91"/>
      <c r="H35" s="91"/>
      <c r="I35" s="91"/>
      <c r="J35" s="91"/>
      <c r="K35" s="91"/>
      <c r="L35" s="91"/>
    </row>
    <row r="36" spans="1:12" ht="43" customHeight="1">
      <c r="A36" s="64" t="str">
        <f>A20</f>
        <v>序号</v>
      </c>
      <c r="B36" s="64" t="str">
        <f>B20</f>
        <v>基金代码</v>
      </c>
      <c r="C36" s="64" t="str">
        <f>C20</f>
        <v>8/24-8/28</v>
      </c>
      <c r="D36" s="64" t="s">
        <v>480</v>
      </c>
      <c r="E36" s="64" t="str">
        <f>E20</f>
        <v>上周</v>
      </c>
      <c r="F36" s="64" t="str">
        <f>F20</f>
        <v>6/22以来</v>
      </c>
      <c r="G36" s="64" t="str">
        <f>G20</f>
        <v>6/22-7/30</v>
      </c>
      <c r="H36" s="64" t="str">
        <f>H20</f>
        <v>7/31以来</v>
      </c>
      <c r="I36" s="64"/>
      <c r="J36" s="64"/>
      <c r="K36" s="64"/>
      <c r="L36" s="90" t="str">
        <f>L20</f>
        <v>最大回撤（6/22以来）</v>
      </c>
    </row>
    <row r="37" spans="1:12" ht="16.5">
      <c r="A37" s="65" t="s">
        <v>202</v>
      </c>
      <c r="B37" s="66"/>
      <c r="C37" s="67" t="str">
        <f>C8</f>
        <v>10/90基石投顾组合</v>
      </c>
      <c r="D37" s="84"/>
      <c r="E37" s="110">
        <f>E$2/E$1-1</f>
        <v>2.6065801202479477E-4</v>
      </c>
      <c r="F37" s="110">
        <f>F$2/F$1-1</f>
        <v>-4.7971399999999775E-3</v>
      </c>
      <c r="G37" s="102">
        <f>G$2/G$1-1</f>
        <v>-2.6236739999999981E-2</v>
      </c>
      <c r="H37" s="102">
        <f>H$2/H$1-1</f>
        <v>1.8570893057098026E-2</v>
      </c>
      <c r="I37" s="122"/>
      <c r="J37" s="122"/>
      <c r="K37" s="122"/>
      <c r="L37" s="103">
        <f>L8</f>
        <v>-2.8899999999999999E-2</v>
      </c>
    </row>
    <row r="38" spans="1:12" ht="16.5">
      <c r="A38" s="68">
        <v>1</v>
      </c>
      <c r="B38" s="69" t="s">
        <v>294</v>
      </c>
      <c r="C38" s="70" t="s">
        <v>320</v>
      </c>
      <c r="D38" s="94">
        <v>5265</v>
      </c>
      <c r="E38" s="111">
        <f>[1]!thsiFinD("ths_adjustment_nvg_ratio_fund",$B38,E$4,E$5,101)/100</f>
        <v>2.6913068594001997E-4</v>
      </c>
      <c r="F38" s="111">
        <f>[1]!thsiFinD("ths_adjustment_nvg_ratio_fund",$B38,F$4,F$5,101)/100</f>
        <v>-5.7156450723018001E-3</v>
      </c>
      <c r="G38" s="104">
        <f>[1]!thsiFinD("ths_adjustment_nvg_ratio_fund",$B38,G$4,G$5,101)/100</f>
        <v>-1.8110759418334E-2</v>
      </c>
      <c r="H38" s="104">
        <f>[1]!thsiFinD("ths_adjustment_nvg_ratio_fund",$B38,H$4,H$5,101)/100</f>
        <v>8.9584653102628004E-3</v>
      </c>
      <c r="I38" s="104"/>
      <c r="J38" s="104"/>
      <c r="K38" s="104"/>
      <c r="L38" s="105">
        <f>-[1]!thsiFinD("ths_max_retrace_rate_all_fund",$B38,F$3,F$5)/100</f>
        <v>-1.8873622199938999E-2</v>
      </c>
    </row>
    <row r="39" spans="1:12" ht="16.5">
      <c r="A39" s="71">
        <v>2</v>
      </c>
      <c r="B39" s="72" t="s">
        <v>295</v>
      </c>
      <c r="C39" s="73" t="s">
        <v>321</v>
      </c>
      <c r="D39" s="95">
        <v>896</v>
      </c>
      <c r="E39" s="112">
        <f>[1]!thsiFinD("ths_adjustment_nvg_ratio_fund",$B39,E$4,E$5,101)/100</f>
        <v>5.8939096267184E-4</v>
      </c>
      <c r="F39" s="112">
        <f>[1]!thsiFinD("ths_adjustment_nvg_ratio_fund",$B39,F$4,F$5,101)/100</f>
        <v>2.2631112860375998E-3</v>
      </c>
      <c r="G39" s="106">
        <f>[1]!thsiFinD("ths_adjustment_nvg_ratio_fund",$B39,G$4,G$5,101)/100</f>
        <v>-1.2397914001770999E-2</v>
      </c>
      <c r="H39" s="106">
        <f>[1]!thsiFinD("ths_adjustment_nvg_ratio_fund",$B39,H$4,H$5,101)/100</f>
        <v>1.1820800635741001E-2</v>
      </c>
      <c r="I39" s="106"/>
      <c r="J39" s="106"/>
      <c r="K39" s="106"/>
      <c r="L39" s="107">
        <f>-[1]!thsiFinD("ths_max_retrace_rate_all_fund",$B39,F$3,F$5)/100</f>
        <v>-1.3283479287611999E-2</v>
      </c>
    </row>
    <row r="40" spans="1:12" ht="16.5">
      <c r="A40" s="68">
        <v>3</v>
      </c>
      <c r="B40" s="69" t="s">
        <v>296</v>
      </c>
      <c r="C40" s="70" t="s">
        <v>297</v>
      </c>
      <c r="D40" s="94">
        <v>239</v>
      </c>
      <c r="E40" s="111">
        <f>[1]!thsiFinD("ths_adjustment_nvg_ratio_fund",$B40,E$4,E$5,101)/100</f>
        <v>-9.9329525701504005E-4</v>
      </c>
      <c r="F40" s="111">
        <f>[1]!thsiFinD("ths_adjustment_nvg_ratio_fund",$B40,F$4,F$5,101)/100</f>
        <v>-2.0214320506575997E-2</v>
      </c>
      <c r="G40" s="104">
        <f>[1]!thsiFinD("ths_adjustment_nvg_ratio_fund",$B40,G$4,G$5,101)/100</f>
        <v>-2.6627699301834999E-2</v>
      </c>
      <c r="H40" s="104">
        <f>[1]!thsiFinD("ths_adjustment_nvg_ratio_fund",$B40,H$4,H$5,101)/100</f>
        <v>4.5779923422674005E-3</v>
      </c>
      <c r="I40" s="104"/>
      <c r="J40" s="104"/>
      <c r="K40" s="104"/>
      <c r="L40" s="105">
        <f>-[1]!thsiFinD("ths_max_retrace_rate_all_fund",$B40,F$3,F$5)/100</f>
        <v>-4.9419990465597002E-2</v>
      </c>
    </row>
    <row r="41" spans="1:12" ht="16.5">
      <c r="A41" s="71">
        <v>4</v>
      </c>
      <c r="B41" s="72" t="s">
        <v>284</v>
      </c>
      <c r="C41" s="73" t="s">
        <v>309</v>
      </c>
      <c r="D41" s="95">
        <v>225</v>
      </c>
      <c r="E41" s="112">
        <f>[1]!thsiFinD("ths_adjustment_nvg_ratio_fund",$B41,E$4,E$5,101)/100</f>
        <v>-5.6230184791096005E-3</v>
      </c>
      <c r="F41" s="112">
        <f>[1]!thsiFinD("ths_adjustment_nvg_ratio_fund",$B41,F$4,F$5,101)/100</f>
        <v>-2.8519665700411999E-2</v>
      </c>
      <c r="G41" s="106">
        <f>[1]!thsiFinD("ths_adjustment_nvg_ratio_fund",$B41,G$4,G$5,101)/100</f>
        <v>-5.6454912032351999E-2</v>
      </c>
      <c r="H41" s="106">
        <f>[1]!thsiFinD("ths_adjustment_nvg_ratio_fund",$B41,H$4,H$5,101)/100</f>
        <v>2.0379350603219999E-2</v>
      </c>
      <c r="I41" s="106"/>
      <c r="J41" s="106"/>
      <c r="K41" s="106"/>
      <c r="L41" s="107">
        <f>-[1]!thsiFinD("ths_max_retrace_rate_all_fund",$B41,F$3,F$5)/100</f>
        <v>-7.0577399089732998E-2</v>
      </c>
    </row>
    <row r="42" spans="1:12" ht="16.5">
      <c r="A42" s="68">
        <v>5</v>
      </c>
      <c r="B42" s="69" t="s">
        <v>298</v>
      </c>
      <c r="C42" s="70" t="s">
        <v>322</v>
      </c>
      <c r="D42" s="94">
        <v>205</v>
      </c>
      <c r="E42" s="111">
        <f>[1]!thsiFinD("ths_adjustment_nvg_ratio_fund",$B42,E$4,E$5,101)/100</f>
        <v>-3.735325506937E-3</v>
      </c>
      <c r="F42" s="111">
        <f>[1]!thsiFinD("ths_adjustment_nvg_ratio_fund",$B42,F$4,F$5,101)/100</f>
        <v>-3.7049772199776003E-2</v>
      </c>
      <c r="G42" s="104">
        <f>[1]!thsiFinD("ths_adjustment_nvg_ratio_fund",$B42,G$4,G$5,101)/100</f>
        <v>-2.9313160835554002E-2</v>
      </c>
      <c r="H42" s="104">
        <f>[1]!thsiFinD("ths_adjustment_nvg_ratio_fund",$B42,H$4,H$5,101)/100</f>
        <v>-5.8572949946751E-3</v>
      </c>
      <c r="I42" s="104"/>
      <c r="J42" s="104"/>
      <c r="K42" s="104"/>
      <c r="L42" s="105">
        <f>-[1]!thsiFinD("ths_max_retrace_rate_all_fund",$B42,F$3,F$5)/100</f>
        <v>-6.0827250608272994E-2</v>
      </c>
    </row>
    <row r="43" spans="1:12" ht="16.5">
      <c r="A43" s="71">
        <v>6</v>
      </c>
      <c r="B43" s="72" t="s">
        <v>299</v>
      </c>
      <c r="C43" s="73" t="s">
        <v>323</v>
      </c>
      <c r="D43" s="95">
        <v>190</v>
      </c>
      <c r="E43" s="112">
        <f>[1]!thsiFinD("ths_adjustment_nvg_ratio_fund",$B43,E$4,E$5,101)/100</f>
        <v>6.2860734899129994E-4</v>
      </c>
      <c r="F43" s="112">
        <f>[1]!thsiFinD("ths_adjustment_nvg_ratio_fund",$B43,F$4,F$5,101)/100</f>
        <v>-3.9231824417010001E-2</v>
      </c>
      <c r="G43" s="106">
        <f>[1]!thsiFinD("ths_adjustment_nvg_ratio_fund",$B43,G$4,G$5,101)/100</f>
        <v>-9.3443072702332E-2</v>
      </c>
      <c r="H43" s="106">
        <f>[1]!thsiFinD("ths_adjustment_nvg_ratio_fund",$B43,H$4,H$5,101)/100</f>
        <v>4.7499401770759002E-2</v>
      </c>
      <c r="I43" s="106"/>
      <c r="J43" s="106"/>
      <c r="K43" s="106"/>
      <c r="L43" s="107">
        <f>-[1]!thsiFinD("ths_max_retrace_rate_all_fund",$B43,F$3,F$5)/100</f>
        <v>-0.11736738073615</v>
      </c>
    </row>
    <row r="44" spans="1:12" ht="16.5">
      <c r="A44" s="68">
        <v>7</v>
      </c>
      <c r="B44" s="69" t="s">
        <v>300</v>
      </c>
      <c r="C44" s="70" t="s">
        <v>324</v>
      </c>
      <c r="D44" s="94">
        <v>189</v>
      </c>
      <c r="E44" s="111">
        <f>[1]!thsiFinD("ths_adjustment_nvg_ratio_fund",$B44,E$4,E$5,101)/100</f>
        <v>5.4297659770864001E-3</v>
      </c>
      <c r="F44" s="111">
        <f>[1]!thsiFinD("ths_adjustment_nvg_ratio_fund",$B44,F$4,F$5,101)/100</f>
        <v>-7.5074925074924997E-2</v>
      </c>
      <c r="G44" s="104">
        <f>[1]!thsiFinD("ths_adjustment_nvg_ratio_fund",$B44,G$4,G$5,101)/100</f>
        <v>-0.12207792207792</v>
      </c>
      <c r="H44" s="104">
        <f>[1]!thsiFinD("ths_adjustment_nvg_ratio_fund",$B44,H$4,H$5,101)/100</f>
        <v>4.1392497609807996E-2</v>
      </c>
      <c r="I44" s="104"/>
      <c r="J44" s="104"/>
      <c r="K44" s="104"/>
      <c r="L44" s="105">
        <f>-[1]!thsiFinD("ths_max_retrace_rate_all_fund",$B44,F$3,F$5)/100</f>
        <v>-0.14870700111591001</v>
      </c>
    </row>
    <row r="45" spans="1:12" ht="16.5">
      <c r="A45" s="71">
        <v>8</v>
      </c>
      <c r="B45" s="72" t="s">
        <v>301</v>
      </c>
      <c r="C45" s="73" t="s">
        <v>325</v>
      </c>
      <c r="D45" s="95">
        <v>184</v>
      </c>
      <c r="E45" s="112">
        <f>[1]!thsiFinD("ths_adjustment_nvg_ratio_fund",$B45,E$4,E$5,101)/100</f>
        <v>-3.1744651282128999E-3</v>
      </c>
      <c r="F45" s="112">
        <f>[1]!thsiFinD("ths_adjustment_nvg_ratio_fund",$B45,F$4,F$5,101)/100</f>
        <v>-3.5917062716316998E-2</v>
      </c>
      <c r="G45" s="106">
        <f>[1]!thsiFinD("ths_adjustment_nvg_ratio_fund",$B45,G$4,G$5,101)/100</f>
        <v>-4.5842621036721001E-2</v>
      </c>
      <c r="H45" s="106">
        <f>[1]!thsiFinD("ths_adjustment_nvg_ratio_fund",$B45,H$4,H$5,101)/100</f>
        <v>3.2825630178867997E-3</v>
      </c>
      <c r="I45" s="106"/>
      <c r="J45" s="106"/>
      <c r="K45" s="106"/>
      <c r="L45" s="107">
        <f>-[1]!thsiFinD("ths_max_retrace_rate_all_fund",$B45,F$3,F$5)/100</f>
        <v>-6.3951809226055992E-2</v>
      </c>
    </row>
    <row r="46" spans="1:12" ht="16.5">
      <c r="A46" s="68">
        <v>9</v>
      </c>
      <c r="B46" s="69" t="s">
        <v>302</v>
      </c>
      <c r="C46" s="70" t="s">
        <v>326</v>
      </c>
      <c r="D46" s="94">
        <v>174</v>
      </c>
      <c r="E46" s="100">
        <f>[1]!thsiFinD("ths_adjustment_nvg_ratio_fund",$B46,E$4,E$5,101)/100</f>
        <v>7.5545818538936009E-5</v>
      </c>
      <c r="F46" s="100">
        <f>[1]!thsiFinD("ths_adjustment_nvg_ratio_fund",$B46,F$4,F$5,101)/100</f>
        <v>3.0307622367024998E-3</v>
      </c>
      <c r="G46" s="104">
        <f>[1]!thsiFinD("ths_adjustment_nvg_ratio_fund",$B46,G$4,G$5,101)/100</f>
        <v>-2.4246097893620999E-3</v>
      </c>
      <c r="H46" s="104">
        <f>[1]!thsiFinD("ths_adjustment_nvg_ratio_fund",$B46,H$4,H$5,101)/100</f>
        <v>4.0197193780811998E-3</v>
      </c>
      <c r="I46" s="104"/>
      <c r="J46" s="104"/>
      <c r="K46" s="104"/>
      <c r="L46" s="105">
        <f>-[1]!thsiFinD("ths_max_retrace_rate_all_fund",$B46,F$3,F$5)/100</f>
        <v>-4.3188361873011004E-3</v>
      </c>
    </row>
    <row r="47" spans="1:12" ht="16.5">
      <c r="A47" s="74">
        <v>10</v>
      </c>
      <c r="B47" s="75" t="s">
        <v>303</v>
      </c>
      <c r="C47" s="76" t="s">
        <v>327</v>
      </c>
      <c r="D47" s="96">
        <v>170</v>
      </c>
      <c r="E47" s="101">
        <f>[1]!thsiFinD("ths_adjustment_nvg_ratio_fund",$B47,E$4,E$5,101)/100</f>
        <v>-5.3810781665087001E-3</v>
      </c>
      <c r="F47" s="101">
        <f>[1]!thsiFinD("ths_adjustment_nvg_ratio_fund",$B47,F$4,F$5,101)/100</f>
        <v>-3.9675042512806E-2</v>
      </c>
      <c r="G47" s="108">
        <f>[1]!thsiFinD("ths_adjustment_nvg_ratio_fund",$B47,G$4,G$5,101)/100</f>
        <v>-6.8297751744840998E-2</v>
      </c>
      <c r="H47" s="108">
        <f>[1]!thsiFinD("ths_adjustment_nvg_ratio_fund",$B47,H$4,H$5,101)/100</f>
        <v>2.1708542756444002E-2</v>
      </c>
      <c r="I47" s="108"/>
      <c r="J47" s="108"/>
      <c r="K47" s="108"/>
      <c r="L47" s="109">
        <f>-[1]!thsiFinD("ths_max_retrace_rate_all_fund",$B47,F$3,F$5)/100</f>
        <v>-7.9686479412252001E-2</v>
      </c>
    </row>
    <row r="49" spans="1:12" ht="16.5" customHeight="1">
      <c r="A49" s="121" t="s">
        <v>329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</row>
    <row r="50" spans="1:12" ht="16.5" customHeight="1">
      <c r="A50" s="121" t="s">
        <v>479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</row>
    <row r="51" spans="1:12" ht="16.5" customHeight="1">
      <c r="A51" s="121" t="s">
        <v>304</v>
      </c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</row>
    <row r="53" spans="1:12" ht="14.5">
      <c r="B53" t="s">
        <v>478</v>
      </c>
      <c r="E53" s="111">
        <f>[1]!thsiFinD("ths_adjustment_nvg_ratio_fund",$B53,E$4,E$5,101)/100</f>
        <v>3.3640485404383001E-3</v>
      </c>
      <c r="F53" s="111">
        <f>[1]!thsiFinD("ths_adjustment_nvg_ratio_fund",$B53,F$4,F$5,101)/100</f>
        <v>9.4842051129568001E-4</v>
      </c>
      <c r="G53" s="104">
        <f>[1]!thsiFinD("ths_adjustment_nvg_ratio_fund",$B53,G$4,G$5,101)/100</f>
        <v>-2.2616181515638E-2</v>
      </c>
      <c r="H53" s="104">
        <f>[1]!thsiFinD("ths_adjustment_nvg_ratio_fund",$B53,H$4,H$5,101)/100</f>
        <v>1.6823538105079E-2</v>
      </c>
      <c r="I53" s="104"/>
      <c r="J53" s="104"/>
      <c r="K53" s="104"/>
      <c r="L53" s="105">
        <f>-[1]!thsiFinD("ths_max_retrace_rate_all_fund",$B53,F$3,F$5)/100</f>
        <v>-3.9228341946104001E-2</v>
      </c>
    </row>
  </sheetData>
  <mergeCells count="1">
    <mergeCell ref="A6:K6"/>
  </mergeCells>
  <phoneticPr fontId="35" type="noConversion"/>
  <conditionalFormatting sqref="E8:L8">
    <cfRule type="cellIs" dxfId="28" priority="12" operator="greaterThan">
      <formula>0</formula>
    </cfRule>
    <cfRule type="cellIs" dxfId="27" priority="13" operator="lessThan">
      <formula>0</formula>
    </cfRule>
  </conditionalFormatting>
  <conditionalFormatting sqref="E9:L18">
    <cfRule type="cellIs" dxfId="26" priority="11" operator="greaterThan">
      <formula>0</formula>
    </cfRule>
  </conditionalFormatting>
  <conditionalFormatting sqref="E21:H21 L21">
    <cfRule type="cellIs" dxfId="25" priority="9" operator="greaterThan">
      <formula>0</formula>
    </cfRule>
    <cfRule type="cellIs" dxfId="24" priority="10" operator="lessThan">
      <formula>0</formula>
    </cfRule>
  </conditionalFormatting>
  <conditionalFormatting sqref="E37:L37">
    <cfRule type="cellIs" dxfId="23" priority="7" operator="greaterThan">
      <formula>0</formula>
    </cfRule>
    <cfRule type="cellIs" dxfId="22" priority="8" operator="lessThan">
      <formula>0</formula>
    </cfRule>
  </conditionalFormatting>
  <conditionalFormatting sqref="E38:L47">
    <cfRule type="cellIs" dxfId="21" priority="6" operator="greaterThan">
      <formula>0</formula>
    </cfRule>
  </conditionalFormatting>
  <conditionalFormatting sqref="E53:L53">
    <cfRule type="cellIs" dxfId="20" priority="5" operator="greaterThan">
      <formula>0</formula>
    </cfRule>
  </conditionalFormatting>
  <conditionalFormatting sqref="E22:H31 L22:L31">
    <cfRule type="cellIs" dxfId="19" priority="4" operator="greaterThan">
      <formula>0</formula>
    </cfRule>
  </conditionalFormatting>
  <conditionalFormatting sqref="I22:K31">
    <cfRule type="cellIs" dxfId="18" priority="1" operator="greaterThan">
      <formula>0</formula>
    </cfRule>
  </conditionalFormatting>
  <conditionalFormatting sqref="I21:K21">
    <cfRule type="cellIs" dxfId="17" priority="2" operator="greaterThan">
      <formula>0</formula>
    </cfRule>
    <cfRule type="cellIs" dxfId="16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"/>
  <sheetViews>
    <sheetView topLeftCell="A25" workbookViewId="0">
      <selection activeCell="F60" sqref="F60"/>
    </sheetView>
  </sheetViews>
  <sheetFormatPr defaultRowHeight="12.5"/>
  <cols>
    <col min="1" max="1" width="10.6328125" bestFit="1" customWidth="1"/>
    <col min="19" max="19" width="12.1796875" bestFit="1" customWidth="1"/>
  </cols>
  <sheetData>
    <row r="1" spans="1:7" ht="14.5">
      <c r="A1" t="str">
        <f ca="1">[1]!HX_AutoDate(1,"2026-06-18",偏离度监控!B82,-1,-1,0,1,0,0,0,"SSE",67,0)</f>
        <v>日期</v>
      </c>
      <c r="B1" s="116" t="s">
        <v>340</v>
      </c>
      <c r="C1" s="116">
        <v>1090</v>
      </c>
    </row>
    <row r="2" spans="1:7">
      <c r="A2" s="118">
        <v>46191</v>
      </c>
      <c r="B2">
        <v>1</v>
      </c>
    </row>
    <row r="3" spans="1:7">
      <c r="A3" s="118">
        <v>46195</v>
      </c>
      <c r="B3">
        <v>1.00089571</v>
      </c>
    </row>
    <row r="4" spans="1:7">
      <c r="A4" s="118">
        <v>46196</v>
      </c>
      <c r="B4">
        <v>0.99782280999999995</v>
      </c>
    </row>
    <row r="5" spans="1:7" ht="13">
      <c r="A5" s="118">
        <v>46197</v>
      </c>
      <c r="B5">
        <v>0.99977079999999996</v>
      </c>
      <c r="C5" s="117" t="s">
        <v>521</v>
      </c>
      <c r="G5" s="119" t="s">
        <v>467</v>
      </c>
    </row>
    <row r="6" spans="1:7">
      <c r="A6" s="118">
        <v>46198</v>
      </c>
      <c r="B6">
        <v>1.00127827</v>
      </c>
      <c r="C6" s="117" t="s">
        <v>522</v>
      </c>
    </row>
    <row r="7" spans="1:7">
      <c r="A7" s="118">
        <v>46199</v>
      </c>
      <c r="B7">
        <v>0.99893008999999999</v>
      </c>
      <c r="C7" s="117" t="s">
        <v>523</v>
      </c>
    </row>
    <row r="8" spans="1:7">
      <c r="A8" s="118">
        <v>46202</v>
      </c>
      <c r="B8">
        <v>1.00052151</v>
      </c>
      <c r="C8" s="117" t="s">
        <v>524</v>
      </c>
    </row>
    <row r="9" spans="1:7">
      <c r="A9" s="118">
        <v>46203</v>
      </c>
      <c r="B9">
        <v>1.00271066</v>
      </c>
      <c r="C9" s="117" t="s">
        <v>525</v>
      </c>
    </row>
    <row r="10" spans="1:7">
      <c r="A10" s="118">
        <v>46204</v>
      </c>
      <c r="B10">
        <v>0.99998487999999996</v>
      </c>
      <c r="C10" s="117" t="s">
        <v>526</v>
      </c>
    </row>
    <row r="11" spans="1:7">
      <c r="A11" s="118">
        <v>46205</v>
      </c>
      <c r="B11">
        <v>0.99402933000000004</v>
      </c>
      <c r="C11" s="117" t="s">
        <v>527</v>
      </c>
    </row>
    <row r="12" spans="1:7">
      <c r="A12" s="118">
        <v>46206</v>
      </c>
      <c r="B12">
        <v>0.99491236999999999</v>
      </c>
      <c r="C12" s="117" t="s">
        <v>528</v>
      </c>
    </row>
    <row r="13" spans="1:7">
      <c r="A13" s="118">
        <v>46209</v>
      </c>
      <c r="B13">
        <v>0.99396983999999999</v>
      </c>
      <c r="C13" s="117" t="s">
        <v>529</v>
      </c>
    </row>
    <row r="14" spans="1:7">
      <c r="A14" s="118">
        <v>46210</v>
      </c>
      <c r="B14">
        <v>0.99336488999999994</v>
      </c>
      <c r="C14" s="117" t="s">
        <v>530</v>
      </c>
    </row>
    <row r="15" spans="1:7">
      <c r="A15" s="118">
        <v>46211</v>
      </c>
      <c r="B15">
        <v>0.99351509000000005</v>
      </c>
      <c r="C15" s="117" t="s">
        <v>531</v>
      </c>
    </row>
    <row r="16" spans="1:7">
      <c r="A16" s="118">
        <v>46212</v>
      </c>
      <c r="B16">
        <v>0.99860981999999998</v>
      </c>
      <c r="C16" s="117" t="s">
        <v>532</v>
      </c>
    </row>
    <row r="17" spans="1:20">
      <c r="A17" s="118">
        <v>46213</v>
      </c>
      <c r="B17">
        <v>0.99488465999999998</v>
      </c>
      <c r="C17" s="117" t="s">
        <v>533</v>
      </c>
    </row>
    <row r="18" spans="1:20">
      <c r="A18" s="118">
        <v>46216</v>
      </c>
      <c r="B18">
        <v>0.98970133999999998</v>
      </c>
      <c r="C18" s="117" t="s">
        <v>534</v>
      </c>
    </row>
    <row r="19" spans="1:20">
      <c r="A19" s="118">
        <v>46217</v>
      </c>
      <c r="B19">
        <v>0.99245271000000002</v>
      </c>
      <c r="C19" s="117" t="s">
        <v>535</v>
      </c>
      <c r="G19" s="117" t="s">
        <v>341</v>
      </c>
      <c r="H19" s="117" t="s">
        <v>342</v>
      </c>
      <c r="I19" s="117" t="s">
        <v>343</v>
      </c>
      <c r="J19" s="117" t="s">
        <v>344</v>
      </c>
      <c r="K19" s="117" t="s">
        <v>345</v>
      </c>
      <c r="L19" s="117" t="s">
        <v>346</v>
      </c>
      <c r="M19" s="117" t="s">
        <v>347</v>
      </c>
      <c r="N19" s="117" t="s">
        <v>348</v>
      </c>
      <c r="O19" s="117" t="s">
        <v>349</v>
      </c>
      <c r="P19" s="117" t="s">
        <v>350</v>
      </c>
      <c r="Q19" s="117" t="s">
        <v>351</v>
      </c>
      <c r="R19" s="117" t="s">
        <v>352</v>
      </c>
      <c r="S19" s="117" t="s">
        <v>353</v>
      </c>
      <c r="T19" s="117" t="s">
        <v>354</v>
      </c>
    </row>
    <row r="20" spans="1:20">
      <c r="A20" s="118">
        <v>46218</v>
      </c>
      <c r="B20">
        <v>0.99005834000000004</v>
      </c>
      <c r="C20" s="117" t="s">
        <v>536</v>
      </c>
      <c r="G20" s="117" t="s">
        <v>355</v>
      </c>
      <c r="H20" s="117" t="s">
        <v>356</v>
      </c>
      <c r="I20" s="117" t="s">
        <v>357</v>
      </c>
      <c r="J20" s="117" t="s">
        <v>358</v>
      </c>
      <c r="K20" s="117" t="s">
        <v>359</v>
      </c>
      <c r="L20" s="117" t="s">
        <v>360</v>
      </c>
      <c r="M20" s="117" t="s">
        <v>361</v>
      </c>
      <c r="N20" s="117" t="s">
        <v>359</v>
      </c>
      <c r="O20" s="117" t="s">
        <v>359</v>
      </c>
      <c r="P20" s="117" t="s">
        <v>359</v>
      </c>
      <c r="Q20" s="117" t="s">
        <v>359</v>
      </c>
      <c r="R20" s="117" t="s">
        <v>359</v>
      </c>
      <c r="S20" s="117" t="s">
        <v>359</v>
      </c>
      <c r="T20" s="117" t="s">
        <v>359</v>
      </c>
    </row>
    <row r="21" spans="1:20">
      <c r="A21" s="118">
        <v>46219</v>
      </c>
      <c r="B21">
        <v>0.98597555999999997</v>
      </c>
      <c r="C21" s="117" t="s">
        <v>537</v>
      </c>
      <c r="G21" s="117" t="s">
        <v>362</v>
      </c>
      <c r="H21" s="117" t="s">
        <v>363</v>
      </c>
      <c r="I21" s="117" t="s">
        <v>364</v>
      </c>
      <c r="J21" s="117" t="s">
        <v>365</v>
      </c>
      <c r="K21" s="117" t="s">
        <v>366</v>
      </c>
      <c r="L21" s="117" t="s">
        <v>367</v>
      </c>
      <c r="M21" s="117" t="s">
        <v>368</v>
      </c>
      <c r="N21" s="117" t="s">
        <v>366</v>
      </c>
      <c r="O21" s="117" t="s">
        <v>366</v>
      </c>
      <c r="P21" s="117" t="s">
        <v>366</v>
      </c>
      <c r="Q21" s="117" t="s">
        <v>366</v>
      </c>
      <c r="R21" s="117" t="s">
        <v>366</v>
      </c>
      <c r="S21" s="117" t="s">
        <v>366</v>
      </c>
      <c r="T21" s="117" t="s">
        <v>366</v>
      </c>
    </row>
    <row r="22" spans="1:20">
      <c r="A22" s="118">
        <v>46220</v>
      </c>
      <c r="B22">
        <v>0.97886371999999999</v>
      </c>
      <c r="C22" s="117" t="s">
        <v>538</v>
      </c>
      <c r="G22" s="117" t="s">
        <v>369</v>
      </c>
      <c r="H22" s="117" t="s">
        <v>370</v>
      </c>
      <c r="I22" s="117" t="s">
        <v>371</v>
      </c>
      <c r="J22" s="117" t="s">
        <v>372</v>
      </c>
      <c r="K22" s="117" t="s">
        <v>373</v>
      </c>
      <c r="L22" s="117" t="s">
        <v>374</v>
      </c>
      <c r="M22" s="117" t="s">
        <v>375</v>
      </c>
      <c r="N22" s="117" t="s">
        <v>373</v>
      </c>
      <c r="O22" s="117" t="s">
        <v>373</v>
      </c>
      <c r="P22" s="117" t="s">
        <v>373</v>
      </c>
      <c r="Q22" s="117" t="s">
        <v>373</v>
      </c>
      <c r="R22" s="117" t="s">
        <v>373</v>
      </c>
      <c r="S22" s="117" t="s">
        <v>373</v>
      </c>
      <c r="T22" s="117" t="s">
        <v>373</v>
      </c>
    </row>
    <row r="23" spans="1:20">
      <c r="A23" s="118">
        <v>46223</v>
      </c>
      <c r="B23">
        <v>0.97537549999999995</v>
      </c>
      <c r="C23" s="117" t="s">
        <v>539</v>
      </c>
      <c r="G23" s="117" t="s">
        <v>376</v>
      </c>
      <c r="H23" s="117" t="s">
        <v>377</v>
      </c>
      <c r="I23" s="117" t="s">
        <v>378</v>
      </c>
      <c r="J23" s="117" t="s">
        <v>379</v>
      </c>
      <c r="K23" s="117" t="s">
        <v>380</v>
      </c>
      <c r="L23" s="117" t="s">
        <v>381</v>
      </c>
      <c r="M23" s="117" t="s">
        <v>382</v>
      </c>
      <c r="N23" s="117" t="s">
        <v>380</v>
      </c>
      <c r="O23" s="117" t="s">
        <v>380</v>
      </c>
      <c r="P23" s="117" t="s">
        <v>380</v>
      </c>
      <c r="Q23" s="117" t="s">
        <v>380</v>
      </c>
      <c r="R23" s="117" t="s">
        <v>380</v>
      </c>
      <c r="S23" s="117" t="s">
        <v>380</v>
      </c>
      <c r="T23" s="117" t="s">
        <v>380</v>
      </c>
    </row>
    <row r="24" spans="1:20">
      <c r="A24" s="118">
        <v>46224</v>
      </c>
      <c r="B24">
        <v>0.98437008000000004</v>
      </c>
      <c r="C24" s="117" t="s">
        <v>540</v>
      </c>
      <c r="G24" s="117" t="s">
        <v>383</v>
      </c>
      <c r="H24" s="117" t="s">
        <v>356</v>
      </c>
      <c r="I24" s="117" t="s">
        <v>384</v>
      </c>
      <c r="J24" s="117" t="s">
        <v>358</v>
      </c>
      <c r="K24" s="117" t="s">
        <v>358</v>
      </c>
      <c r="L24" s="117" t="s">
        <v>384</v>
      </c>
      <c r="M24" s="117" t="s">
        <v>384</v>
      </c>
      <c r="N24" s="117" t="s">
        <v>358</v>
      </c>
      <c r="O24" s="117" t="s">
        <v>358</v>
      </c>
      <c r="P24" s="117" t="s">
        <v>358</v>
      </c>
      <c r="Q24" s="117" t="s">
        <v>358</v>
      </c>
      <c r="R24" s="117" t="s">
        <v>358</v>
      </c>
      <c r="S24" s="117" t="s">
        <v>358</v>
      </c>
      <c r="T24" s="117" t="s">
        <v>358</v>
      </c>
    </row>
    <row r="25" spans="1:20">
      <c r="A25" s="118">
        <v>46225</v>
      </c>
      <c r="B25">
        <v>0.98402323999999997</v>
      </c>
      <c r="C25" s="117" t="s">
        <v>541</v>
      </c>
      <c r="G25" s="117" t="s">
        <v>147</v>
      </c>
      <c r="H25" s="117" t="s">
        <v>356</v>
      </c>
      <c r="I25" s="117" t="s">
        <v>385</v>
      </c>
      <c r="J25" s="117" t="s">
        <v>386</v>
      </c>
      <c r="K25" s="117" t="s">
        <v>386</v>
      </c>
      <c r="L25" s="117" t="s">
        <v>385</v>
      </c>
      <c r="M25" s="117" t="s">
        <v>387</v>
      </c>
      <c r="N25" s="117" t="s">
        <v>386</v>
      </c>
      <c r="O25" s="117" t="s">
        <v>386</v>
      </c>
      <c r="P25" s="117" t="s">
        <v>386</v>
      </c>
      <c r="Q25" s="117" t="s">
        <v>386</v>
      </c>
      <c r="R25" s="117" t="s">
        <v>386</v>
      </c>
      <c r="S25" s="120">
        <v>-2.8899999999999999E-2</v>
      </c>
      <c r="T25" s="117" t="s">
        <v>386</v>
      </c>
    </row>
    <row r="26" spans="1:20">
      <c r="A26" s="118">
        <v>46226</v>
      </c>
      <c r="B26">
        <v>0.98279921000000003</v>
      </c>
      <c r="C26" s="117" t="s">
        <v>542</v>
      </c>
      <c r="G26" s="117" t="s">
        <v>388</v>
      </c>
      <c r="H26" s="117" t="s">
        <v>389</v>
      </c>
      <c r="I26" s="117" t="s">
        <v>390</v>
      </c>
      <c r="J26" s="117" t="s">
        <v>389</v>
      </c>
      <c r="K26" s="117" t="s">
        <v>391</v>
      </c>
      <c r="L26" s="117" t="s">
        <v>389</v>
      </c>
      <c r="M26" s="117" t="s">
        <v>392</v>
      </c>
      <c r="N26" s="117" t="s">
        <v>391</v>
      </c>
      <c r="O26" s="117" t="s">
        <v>391</v>
      </c>
      <c r="P26" s="117" t="s">
        <v>391</v>
      </c>
      <c r="Q26" s="117" t="s">
        <v>391</v>
      </c>
      <c r="R26" s="117" t="s">
        <v>391</v>
      </c>
      <c r="S26" s="117" t="s">
        <v>391</v>
      </c>
      <c r="T26" s="117" t="s">
        <v>391</v>
      </c>
    </row>
    <row r="27" spans="1:20">
      <c r="A27" s="118">
        <v>46227</v>
      </c>
      <c r="B27">
        <v>0.98152945999999996</v>
      </c>
      <c r="C27" s="117" t="s">
        <v>543</v>
      </c>
      <c r="G27" s="117" t="s">
        <v>393</v>
      </c>
      <c r="H27" s="117" t="s">
        <v>394</v>
      </c>
      <c r="I27" s="117" t="s">
        <v>395</v>
      </c>
      <c r="J27" s="117" t="s">
        <v>396</v>
      </c>
      <c r="K27" s="117" t="s">
        <v>397</v>
      </c>
      <c r="L27" s="117" t="s">
        <v>398</v>
      </c>
      <c r="M27" s="117" t="s">
        <v>399</v>
      </c>
      <c r="N27" s="117" t="s">
        <v>397</v>
      </c>
      <c r="O27" s="117" t="s">
        <v>397</v>
      </c>
      <c r="P27" s="117" t="s">
        <v>397</v>
      </c>
      <c r="Q27" s="117" t="s">
        <v>397</v>
      </c>
      <c r="R27" s="117" t="s">
        <v>397</v>
      </c>
      <c r="S27" s="117" t="s">
        <v>397</v>
      </c>
      <c r="T27" s="117" t="s">
        <v>397</v>
      </c>
    </row>
    <row r="28" spans="1:20">
      <c r="A28" s="118">
        <v>46230</v>
      </c>
      <c r="B28">
        <v>0.98516413000000003</v>
      </c>
      <c r="C28" s="117" t="s">
        <v>544</v>
      </c>
      <c r="G28" s="117" t="s">
        <v>400</v>
      </c>
      <c r="H28" s="117" t="s">
        <v>401</v>
      </c>
      <c r="I28" s="117" t="s">
        <v>401</v>
      </c>
      <c r="J28" s="117" t="s">
        <v>401</v>
      </c>
      <c r="K28" s="117" t="s">
        <v>401</v>
      </c>
      <c r="L28" s="117" t="s">
        <v>401</v>
      </c>
      <c r="M28" s="117" t="s">
        <v>402</v>
      </c>
      <c r="N28" s="117" t="s">
        <v>401</v>
      </c>
      <c r="O28" s="117" t="s">
        <v>401</v>
      </c>
      <c r="P28" s="117" t="s">
        <v>401</v>
      </c>
      <c r="Q28" s="117" t="s">
        <v>401</v>
      </c>
      <c r="R28" s="117" t="s">
        <v>401</v>
      </c>
      <c r="S28" s="117" t="s">
        <v>401</v>
      </c>
      <c r="T28" s="117" t="s">
        <v>401</v>
      </c>
    </row>
    <row r="29" spans="1:20">
      <c r="A29" s="118">
        <v>46231</v>
      </c>
      <c r="B29">
        <v>0.97865577000000004</v>
      </c>
      <c r="C29" s="117" t="s">
        <v>545</v>
      </c>
      <c r="G29" s="117" t="s">
        <v>403</v>
      </c>
      <c r="H29" s="117" t="s">
        <v>363</v>
      </c>
      <c r="I29" s="117" t="s">
        <v>404</v>
      </c>
      <c r="J29" s="117" t="s">
        <v>404</v>
      </c>
      <c r="K29" s="117" t="s">
        <v>404</v>
      </c>
      <c r="L29" s="117" t="s">
        <v>404</v>
      </c>
      <c r="M29" s="117" t="s">
        <v>404</v>
      </c>
      <c r="N29" s="117" t="s">
        <v>404</v>
      </c>
      <c r="O29" s="117" t="s">
        <v>404</v>
      </c>
      <c r="P29" s="117" t="s">
        <v>404</v>
      </c>
      <c r="Q29" s="117" t="s">
        <v>404</v>
      </c>
      <c r="R29" s="117" t="s">
        <v>404</v>
      </c>
      <c r="S29" s="117" t="s">
        <v>404</v>
      </c>
      <c r="T29" s="117" t="s">
        <v>404</v>
      </c>
    </row>
    <row r="30" spans="1:20">
      <c r="A30" s="118">
        <v>46232</v>
      </c>
      <c r="B30">
        <v>0.97811842999999998</v>
      </c>
      <c r="C30" s="117" t="s">
        <v>546</v>
      </c>
      <c r="G30" s="117" t="s">
        <v>405</v>
      </c>
      <c r="H30" s="117" t="s">
        <v>363</v>
      </c>
      <c r="I30" s="117" t="s">
        <v>406</v>
      </c>
      <c r="J30" s="117" t="s">
        <v>407</v>
      </c>
      <c r="K30" s="117" t="s">
        <v>407</v>
      </c>
      <c r="L30" s="117" t="s">
        <v>406</v>
      </c>
      <c r="M30" s="117" t="s">
        <v>408</v>
      </c>
      <c r="N30" s="117" t="s">
        <v>407</v>
      </c>
      <c r="O30" s="117" t="s">
        <v>407</v>
      </c>
      <c r="P30" s="117" t="s">
        <v>407</v>
      </c>
      <c r="Q30" s="117" t="s">
        <v>407</v>
      </c>
      <c r="R30" s="117" t="s">
        <v>407</v>
      </c>
      <c r="S30" s="117" t="s">
        <v>407</v>
      </c>
      <c r="T30" s="117" t="s">
        <v>407</v>
      </c>
    </row>
    <row r="31" spans="1:20">
      <c r="A31" s="118">
        <v>46233</v>
      </c>
      <c r="B31">
        <v>0.97376326000000002</v>
      </c>
      <c r="C31" s="117" t="s">
        <v>547</v>
      </c>
      <c r="G31" s="117" t="s">
        <v>409</v>
      </c>
      <c r="H31" s="117" t="s">
        <v>410</v>
      </c>
      <c r="I31" s="117" t="s">
        <v>411</v>
      </c>
      <c r="J31" s="117" t="s">
        <v>412</v>
      </c>
      <c r="K31" s="117" t="s">
        <v>413</v>
      </c>
      <c r="L31" s="117" t="s">
        <v>414</v>
      </c>
      <c r="M31" s="117" t="s">
        <v>415</v>
      </c>
      <c r="N31" s="117" t="s">
        <v>413</v>
      </c>
      <c r="O31" s="117" t="s">
        <v>413</v>
      </c>
      <c r="P31" s="117" t="s">
        <v>413</v>
      </c>
      <c r="Q31" s="117" t="s">
        <v>413</v>
      </c>
      <c r="R31" s="117" t="s">
        <v>413</v>
      </c>
      <c r="S31" s="117" t="s">
        <v>413</v>
      </c>
      <c r="T31" s="117" t="s">
        <v>413</v>
      </c>
    </row>
    <row r="32" spans="1:20">
      <c r="A32" s="118">
        <v>46234</v>
      </c>
      <c r="B32">
        <v>0.97705801999999997</v>
      </c>
      <c r="C32" s="117" t="s">
        <v>548</v>
      </c>
      <c r="G32" s="117" t="s">
        <v>416</v>
      </c>
      <c r="H32" s="117" t="s">
        <v>410</v>
      </c>
      <c r="I32" s="117" t="s">
        <v>417</v>
      </c>
      <c r="J32" s="117" t="s">
        <v>418</v>
      </c>
      <c r="K32" s="117" t="s">
        <v>419</v>
      </c>
      <c r="L32" s="117" t="s">
        <v>420</v>
      </c>
      <c r="M32" s="117" t="s">
        <v>421</v>
      </c>
      <c r="N32" s="117" t="s">
        <v>419</v>
      </c>
      <c r="O32" s="117" t="s">
        <v>419</v>
      </c>
      <c r="P32" s="117" t="s">
        <v>419</v>
      </c>
      <c r="Q32" s="117" t="s">
        <v>419</v>
      </c>
      <c r="R32" s="117" t="s">
        <v>419</v>
      </c>
      <c r="S32" s="117" t="s">
        <v>419</v>
      </c>
      <c r="T32" s="117" t="s">
        <v>419</v>
      </c>
    </row>
    <row r="33" spans="1:20">
      <c r="A33" s="118">
        <v>46237</v>
      </c>
      <c r="B33">
        <v>0.97469598999999996</v>
      </c>
      <c r="C33" s="117" t="s">
        <v>549</v>
      </c>
      <c r="G33" s="117" t="s">
        <v>146</v>
      </c>
      <c r="H33" s="117" t="s">
        <v>410</v>
      </c>
      <c r="I33" s="117" t="s">
        <v>422</v>
      </c>
      <c r="J33" s="117" t="s">
        <v>423</v>
      </c>
      <c r="K33" s="117" t="s">
        <v>424</v>
      </c>
      <c r="L33" s="117" t="s">
        <v>425</v>
      </c>
      <c r="M33" s="117" t="s">
        <v>426</v>
      </c>
      <c r="N33" s="117" t="s">
        <v>424</v>
      </c>
      <c r="O33" s="117" t="s">
        <v>424</v>
      </c>
      <c r="P33" s="117" t="s">
        <v>424</v>
      </c>
      <c r="Q33" s="117" t="s">
        <v>424</v>
      </c>
      <c r="R33" s="117" t="s">
        <v>424</v>
      </c>
      <c r="S33" s="117" t="s">
        <v>424</v>
      </c>
      <c r="T33" s="117" t="s">
        <v>424</v>
      </c>
    </row>
    <row r="34" spans="1:20">
      <c r="A34" s="118">
        <v>46238</v>
      </c>
      <c r="B34">
        <v>0.97954496999999996</v>
      </c>
      <c r="C34" s="117" t="s">
        <v>550</v>
      </c>
      <c r="G34" s="117" t="s">
        <v>427</v>
      </c>
      <c r="H34" s="117" t="s">
        <v>410</v>
      </c>
      <c r="I34" s="117" t="s">
        <v>428</v>
      </c>
      <c r="J34" s="117" t="s">
        <v>429</v>
      </c>
      <c r="K34" s="117" t="s">
        <v>430</v>
      </c>
      <c r="L34" s="117" t="s">
        <v>431</v>
      </c>
      <c r="M34" s="117" t="s">
        <v>432</v>
      </c>
      <c r="N34" s="117" t="s">
        <v>430</v>
      </c>
      <c r="O34" s="117" t="s">
        <v>430</v>
      </c>
      <c r="P34" s="117" t="s">
        <v>430</v>
      </c>
      <c r="Q34" s="117" t="s">
        <v>430</v>
      </c>
      <c r="R34" s="117" t="s">
        <v>430</v>
      </c>
      <c r="S34" s="117" t="s">
        <v>430</v>
      </c>
      <c r="T34" s="117" t="s">
        <v>430</v>
      </c>
    </row>
    <row r="35" spans="1:20">
      <c r="A35" s="118">
        <v>46239</v>
      </c>
      <c r="B35">
        <v>0.98421563999999995</v>
      </c>
      <c r="C35" s="117" t="s">
        <v>551</v>
      </c>
      <c r="G35" s="117" t="s">
        <v>148</v>
      </c>
      <c r="H35" s="117" t="s">
        <v>410</v>
      </c>
      <c r="I35" s="117" t="s">
        <v>433</v>
      </c>
      <c r="J35" s="117" t="s">
        <v>434</v>
      </c>
      <c r="K35" s="117" t="s">
        <v>435</v>
      </c>
      <c r="L35" s="117" t="s">
        <v>436</v>
      </c>
      <c r="M35" s="117" t="s">
        <v>437</v>
      </c>
      <c r="N35" s="117" t="s">
        <v>435</v>
      </c>
      <c r="O35" s="117" t="s">
        <v>435</v>
      </c>
      <c r="P35" s="117" t="s">
        <v>435</v>
      </c>
      <c r="Q35" s="117" t="s">
        <v>435</v>
      </c>
      <c r="R35" s="117" t="s">
        <v>435</v>
      </c>
      <c r="S35" s="117" t="s">
        <v>435</v>
      </c>
      <c r="T35" s="117" t="s">
        <v>435</v>
      </c>
    </row>
    <row r="36" spans="1:20">
      <c r="A36" s="118">
        <v>46240</v>
      </c>
      <c r="B36">
        <v>0.98658983</v>
      </c>
      <c r="C36" s="117" t="s">
        <v>552</v>
      </c>
      <c r="G36" s="117" t="s">
        <v>438</v>
      </c>
      <c r="H36" s="117" t="s">
        <v>410</v>
      </c>
      <c r="I36" s="117" t="s">
        <v>439</v>
      </c>
      <c r="J36" s="117" t="s">
        <v>440</v>
      </c>
      <c r="K36" s="117" t="s">
        <v>441</v>
      </c>
      <c r="L36" s="117" t="s">
        <v>442</v>
      </c>
      <c r="M36" s="117" t="s">
        <v>443</v>
      </c>
      <c r="N36" s="117" t="s">
        <v>441</v>
      </c>
      <c r="O36" s="117" t="s">
        <v>441</v>
      </c>
      <c r="P36" s="117" t="s">
        <v>441</v>
      </c>
      <c r="Q36" s="117" t="s">
        <v>441</v>
      </c>
      <c r="R36" s="117" t="s">
        <v>441</v>
      </c>
      <c r="S36" s="117" t="s">
        <v>441</v>
      </c>
      <c r="T36" s="117" t="s">
        <v>441</v>
      </c>
    </row>
    <row r="37" spans="1:20">
      <c r="A37" s="118">
        <v>46241</v>
      </c>
      <c r="B37">
        <v>0.98977590000000004</v>
      </c>
      <c r="C37" s="117" t="s">
        <v>553</v>
      </c>
      <c r="G37" s="117" t="s">
        <v>161</v>
      </c>
      <c r="H37" s="117" t="s">
        <v>444</v>
      </c>
      <c r="I37" s="117" t="s">
        <v>445</v>
      </c>
      <c r="J37" s="117" t="s">
        <v>446</v>
      </c>
      <c r="K37" s="117" t="s">
        <v>447</v>
      </c>
      <c r="L37" s="117" t="s">
        <v>448</v>
      </c>
      <c r="M37" s="117" t="s">
        <v>449</v>
      </c>
      <c r="N37" s="117" t="s">
        <v>447</v>
      </c>
      <c r="O37" s="117" t="s">
        <v>447</v>
      </c>
      <c r="P37" s="117" t="s">
        <v>447</v>
      </c>
      <c r="Q37" s="117" t="s">
        <v>447</v>
      </c>
      <c r="R37" s="117" t="s">
        <v>447</v>
      </c>
      <c r="S37" s="117" t="s">
        <v>447</v>
      </c>
      <c r="T37" s="117" t="s">
        <v>447</v>
      </c>
    </row>
    <row r="38" spans="1:20">
      <c r="A38" s="118">
        <v>46244</v>
      </c>
      <c r="B38">
        <v>0.99185254</v>
      </c>
      <c r="C38" s="117" t="s">
        <v>554</v>
      </c>
      <c r="G38" s="117" t="s">
        <v>450</v>
      </c>
      <c r="H38" s="117" t="s">
        <v>410</v>
      </c>
      <c r="I38" s="117" t="s">
        <v>410</v>
      </c>
      <c r="J38" s="117" t="s">
        <v>410</v>
      </c>
      <c r="K38" s="117" t="s">
        <v>410</v>
      </c>
      <c r="L38" s="117" t="s">
        <v>410</v>
      </c>
      <c r="M38" s="117" t="s">
        <v>410</v>
      </c>
      <c r="N38" s="117" t="s">
        <v>410</v>
      </c>
      <c r="O38" s="117" t="s">
        <v>410</v>
      </c>
      <c r="P38" s="117" t="s">
        <v>410</v>
      </c>
      <c r="Q38" s="117" t="s">
        <v>410</v>
      </c>
      <c r="R38" s="117" t="s">
        <v>410</v>
      </c>
      <c r="S38" s="117" t="s">
        <v>410</v>
      </c>
      <c r="T38" s="117" t="s">
        <v>410</v>
      </c>
    </row>
    <row r="39" spans="1:20">
      <c r="A39" s="118">
        <v>46245</v>
      </c>
      <c r="B39">
        <v>0.99059755999999999</v>
      </c>
      <c r="C39" s="117" t="s">
        <v>555</v>
      </c>
      <c r="G39" s="117" t="s">
        <v>451</v>
      </c>
      <c r="H39" s="117" t="s">
        <v>410</v>
      </c>
      <c r="I39" s="117" t="s">
        <v>452</v>
      </c>
      <c r="J39" s="117" t="s">
        <v>453</v>
      </c>
      <c r="K39" s="117" t="s">
        <v>454</v>
      </c>
      <c r="L39" s="117" t="s">
        <v>455</v>
      </c>
      <c r="M39" s="117" t="s">
        <v>456</v>
      </c>
      <c r="N39" s="117" t="s">
        <v>454</v>
      </c>
      <c r="O39" s="117" t="s">
        <v>454</v>
      </c>
      <c r="P39" s="117" t="s">
        <v>454</v>
      </c>
      <c r="Q39" s="117" t="s">
        <v>454</v>
      </c>
      <c r="R39" s="117" t="s">
        <v>454</v>
      </c>
      <c r="S39" s="117" t="s">
        <v>454</v>
      </c>
      <c r="T39" s="117" t="s">
        <v>454</v>
      </c>
    </row>
    <row r="40" spans="1:20">
      <c r="A40" s="118">
        <v>46246</v>
      </c>
      <c r="B40">
        <v>0.99333243999999998</v>
      </c>
      <c r="C40" s="117" t="s">
        <v>556</v>
      </c>
      <c r="G40" s="117" t="s">
        <v>457</v>
      </c>
      <c r="H40" s="117" t="s">
        <v>410</v>
      </c>
      <c r="I40" s="117" t="s">
        <v>458</v>
      </c>
      <c r="J40" s="117" t="s">
        <v>459</v>
      </c>
      <c r="K40" s="117" t="s">
        <v>460</v>
      </c>
      <c r="L40" s="117" t="s">
        <v>461</v>
      </c>
      <c r="M40" s="117" t="s">
        <v>462</v>
      </c>
      <c r="N40" s="117" t="s">
        <v>460</v>
      </c>
      <c r="O40" s="117" t="s">
        <v>460</v>
      </c>
      <c r="P40" s="117" t="s">
        <v>460</v>
      </c>
      <c r="Q40" s="117" t="s">
        <v>460</v>
      </c>
      <c r="R40" s="117" t="s">
        <v>460</v>
      </c>
      <c r="S40" s="117" t="s">
        <v>460</v>
      </c>
      <c r="T40" s="117" t="s">
        <v>460</v>
      </c>
    </row>
    <row r="41" spans="1:20">
      <c r="A41" s="118">
        <v>46247</v>
      </c>
      <c r="B41">
        <v>0.99285562999999999</v>
      </c>
      <c r="C41" s="117" t="s">
        <v>557</v>
      </c>
      <c r="G41" s="117" t="s">
        <v>463</v>
      </c>
      <c r="H41" s="117" t="s">
        <v>389</v>
      </c>
      <c r="I41" s="117" t="s">
        <v>389</v>
      </c>
      <c r="J41" s="117" t="s">
        <v>464</v>
      </c>
      <c r="K41" s="117" t="s">
        <v>464</v>
      </c>
      <c r="L41" s="117" t="s">
        <v>389</v>
      </c>
      <c r="M41" s="117" t="s">
        <v>389</v>
      </c>
      <c r="N41" s="117" t="s">
        <v>464</v>
      </c>
      <c r="O41" s="117" t="s">
        <v>464</v>
      </c>
      <c r="P41" s="117" t="s">
        <v>464</v>
      </c>
      <c r="Q41" s="117" t="s">
        <v>464</v>
      </c>
      <c r="R41" s="117" t="s">
        <v>464</v>
      </c>
      <c r="S41" s="117" t="s">
        <v>464</v>
      </c>
      <c r="T41" s="117" t="s">
        <v>464</v>
      </c>
    </row>
    <row r="42" spans="1:20">
      <c r="A42" s="118">
        <v>46248</v>
      </c>
      <c r="B42">
        <v>0.99358009999999997</v>
      </c>
      <c r="C42" s="117" t="s">
        <v>558</v>
      </c>
      <c r="G42" s="117" t="s">
        <v>465</v>
      </c>
      <c r="H42" s="117" t="s">
        <v>410</v>
      </c>
      <c r="I42" s="117" t="s">
        <v>410</v>
      </c>
      <c r="J42" s="117" t="s">
        <v>389</v>
      </c>
      <c r="K42" s="117" t="s">
        <v>466</v>
      </c>
      <c r="L42" s="117" t="s">
        <v>410</v>
      </c>
      <c r="M42" s="117" t="s">
        <v>410</v>
      </c>
      <c r="N42" s="117" t="s">
        <v>466</v>
      </c>
      <c r="O42" s="117" t="s">
        <v>466</v>
      </c>
      <c r="P42" s="117" t="s">
        <v>466</v>
      </c>
      <c r="Q42" s="117" t="s">
        <v>466</v>
      </c>
      <c r="R42" s="117" t="s">
        <v>466</v>
      </c>
      <c r="S42" s="117" t="s">
        <v>466</v>
      </c>
      <c r="T42" s="117" t="s">
        <v>466</v>
      </c>
    </row>
    <row r="43" spans="1:20">
      <c r="A43" s="118">
        <v>46251</v>
      </c>
      <c r="B43">
        <v>0.99851228000000003</v>
      </c>
      <c r="C43" s="117" t="s">
        <v>559</v>
      </c>
    </row>
    <row r="44" spans="1:20">
      <c r="A44" s="118">
        <v>46252</v>
      </c>
      <c r="B44">
        <v>0.99936334999999998</v>
      </c>
      <c r="C44" s="117" t="s">
        <v>560</v>
      </c>
    </row>
    <row r="45" spans="1:20">
      <c r="A45" s="118">
        <v>46253</v>
      </c>
      <c r="B45">
        <v>0.99164843999999996</v>
      </c>
      <c r="C45" s="117" t="s">
        <v>561</v>
      </c>
    </row>
    <row r="46" spans="1:20">
      <c r="A46" s="118">
        <v>46254</v>
      </c>
      <c r="B46">
        <v>0.99370515000000004</v>
      </c>
      <c r="C46" s="117" t="s">
        <v>562</v>
      </c>
    </row>
    <row r="47" spans="1:20">
      <c r="A47" s="118">
        <v>46255</v>
      </c>
      <c r="B47">
        <v>0.99494351999999997</v>
      </c>
      <c r="C47" s="117" t="s">
        <v>563</v>
      </c>
    </row>
    <row r="48" spans="1:20">
      <c r="A48" s="118">
        <v>46258</v>
      </c>
      <c r="B48">
        <v>0.99464253000000002</v>
      </c>
      <c r="C48" s="117" t="s">
        <v>564</v>
      </c>
    </row>
    <row r="49" spans="1:3">
      <c r="A49" s="118">
        <v>46259</v>
      </c>
      <c r="B49" s="117" t="s">
        <v>565</v>
      </c>
      <c r="C49" s="117" t="s">
        <v>504</v>
      </c>
    </row>
    <row r="50" spans="1:3">
      <c r="A50" s="118">
        <v>46260</v>
      </c>
      <c r="B50" s="117" t="s">
        <v>566</v>
      </c>
      <c r="C50" s="117" t="s">
        <v>505</v>
      </c>
    </row>
    <row r="51" spans="1:3">
      <c r="A51" s="118">
        <v>46261</v>
      </c>
      <c r="B51" s="117" t="s">
        <v>567</v>
      </c>
      <c r="C51" s="117" t="s">
        <v>506</v>
      </c>
    </row>
    <row r="52" spans="1:3">
      <c r="A52" s="118">
        <v>46262</v>
      </c>
      <c r="B52" s="117" t="s">
        <v>568</v>
      </c>
      <c r="C52" s="117" t="s">
        <v>507</v>
      </c>
    </row>
    <row r="53" spans="1:3">
      <c r="A53" s="118">
        <v>46265</v>
      </c>
      <c r="B53" s="117" t="s">
        <v>569</v>
      </c>
      <c r="C53" s="117" t="s">
        <v>508</v>
      </c>
    </row>
    <row r="54" spans="1:3">
      <c r="A54" s="118">
        <v>46266</v>
      </c>
      <c r="B54" s="117" t="s">
        <v>570</v>
      </c>
      <c r="C54" s="117" t="s">
        <v>509</v>
      </c>
    </row>
    <row r="55" spans="1:3">
      <c r="A55" s="118">
        <v>46267</v>
      </c>
      <c r="B55" s="117" t="s">
        <v>571</v>
      </c>
      <c r="C55" s="117" t="s">
        <v>510</v>
      </c>
    </row>
    <row r="56" spans="1:3">
      <c r="A56" s="118">
        <v>46268</v>
      </c>
      <c r="B56" s="117" t="s">
        <v>572</v>
      </c>
      <c r="C56" s="117" t="s">
        <v>511</v>
      </c>
    </row>
    <row r="57" spans="1:3">
      <c r="A57" s="118">
        <v>46269</v>
      </c>
      <c r="B57" s="117" t="s">
        <v>573</v>
      </c>
      <c r="C57" s="117" t="s">
        <v>512</v>
      </c>
    </row>
    <row r="58" spans="1:3">
      <c r="A58" s="118">
        <v>46272</v>
      </c>
      <c r="B58" s="117" t="s">
        <v>574</v>
      </c>
      <c r="C58" s="117" t="s">
        <v>513</v>
      </c>
    </row>
    <row r="59" spans="1:3">
      <c r="A59" s="118">
        <v>46273</v>
      </c>
      <c r="B59" s="117" t="s">
        <v>575</v>
      </c>
      <c r="C59" s="117" t="s">
        <v>514</v>
      </c>
    </row>
    <row r="60" spans="1:3">
      <c r="A60" s="118">
        <v>46274</v>
      </c>
      <c r="B60" s="117" t="s">
        <v>576</v>
      </c>
      <c r="C60" s="117" t="s">
        <v>515</v>
      </c>
    </row>
    <row r="61" spans="1:3">
      <c r="A61" s="118">
        <v>46275</v>
      </c>
      <c r="B61" s="117" t="s">
        <v>577</v>
      </c>
      <c r="C61" s="117" t="s">
        <v>516</v>
      </c>
    </row>
    <row r="62" spans="1:3">
      <c r="A62" s="118">
        <v>46276</v>
      </c>
      <c r="B62" s="117" t="s">
        <v>578</v>
      </c>
      <c r="C62" s="117" t="s">
        <v>517</v>
      </c>
    </row>
    <row r="63" spans="1:3">
      <c r="A63" s="118">
        <v>46279</v>
      </c>
      <c r="B63" s="117" t="s">
        <v>579</v>
      </c>
      <c r="C63" s="117" t="s">
        <v>518</v>
      </c>
    </row>
    <row r="64" spans="1:3">
      <c r="A64" s="118">
        <v>46280</v>
      </c>
      <c r="B64" s="117" t="s">
        <v>580</v>
      </c>
      <c r="C64" s="117" t="s">
        <v>519</v>
      </c>
    </row>
    <row r="65" spans="1:4">
      <c r="A65" s="118">
        <v>46281</v>
      </c>
      <c r="B65" s="117" t="s">
        <v>581</v>
      </c>
      <c r="C65" s="117" t="s">
        <v>520</v>
      </c>
      <c r="D65" s="152">
        <f>B65/B64-1</f>
        <v>3.7903985327161216E-3</v>
      </c>
    </row>
    <row r="66" spans="1:4">
      <c r="A66" s="118">
        <v>46282</v>
      </c>
    </row>
    <row r="67" spans="1:4">
      <c r="A67" s="118">
        <v>46283</v>
      </c>
    </row>
    <row r="68" spans="1:4">
      <c r="A68" s="118">
        <v>46286</v>
      </c>
    </row>
  </sheetData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showGridLines="0" topLeftCell="A34" workbookViewId="0">
      <selection activeCell="E46" sqref="E46"/>
    </sheetView>
  </sheetViews>
  <sheetFormatPr defaultColWidth="9.453125" defaultRowHeight="12.5"/>
  <cols>
    <col min="1" max="1" width="13.1796875" customWidth="1"/>
    <col min="29" max="38" width="13.0" customWidth="1"/>
  </cols>
  <sheetData>
    <row r="1" spans="1:27" ht="19.5" customHeight="1">
      <c r="A1" s="165" t="s">
        <v>59</v>
      </c>
      <c r="B1" s="165"/>
      <c r="C1" s="165"/>
      <c r="D1" s="165"/>
    </row>
    <row r="2" spans="1:27" ht="14">
      <c r="A2" s="11">
        <f ca="1">TODAY()</f>
        <v>46287</v>
      </c>
    </row>
    <row r="3" spans="1:27" ht="24.75" customHeight="1">
      <c r="A3" s="1" t="s">
        <v>60</v>
      </c>
      <c r="B3" s="12" t="str">
        <f>实盘持仓初始配置!B3</f>
        <v>000216.OF</v>
      </c>
      <c r="C3" s="12" t="str">
        <f>实盘持仓初始配置!C3</f>
        <v>000917.OF</v>
      </c>
      <c r="D3" s="12" t="str">
        <f>实盘持仓初始配置!D3</f>
        <v>001170.OF</v>
      </c>
      <c r="E3" s="12" t="str">
        <f>实盘持仓初始配置!E3</f>
        <v>007044.OF</v>
      </c>
      <c r="F3" s="12" t="str">
        <f>实盘持仓初始配置!F3</f>
        <v>007045.OF</v>
      </c>
      <c r="G3" s="12" t="str">
        <f>实盘持仓初始配置!G3</f>
        <v>007817.OF</v>
      </c>
      <c r="H3" s="12" t="str">
        <f>实盘持仓初始配置!H3</f>
        <v>007818.OF</v>
      </c>
      <c r="I3" s="12" t="str">
        <f>实盘持仓初始配置!I3</f>
        <v>009993.OF</v>
      </c>
      <c r="J3" s="12" t="str">
        <f>实盘持仓初始配置!J3</f>
        <v>013840.OF</v>
      </c>
      <c r="K3" s="12" t="str">
        <f>实盘持仓初始配置!K3</f>
        <v>013841.OF</v>
      </c>
      <c r="L3" s="12" t="str">
        <f>实盘持仓初始配置!L3</f>
        <v>014201.OF</v>
      </c>
      <c r="M3" s="12" t="str">
        <f>实盘持仓初始配置!M3</f>
        <v>014202.OF</v>
      </c>
      <c r="N3" s="12" t="str">
        <f>实盘持仓初始配置!N3</f>
        <v>015453.OF</v>
      </c>
      <c r="O3" s="12" t="str">
        <f>实盘持仓初始配置!O3</f>
        <v>015454.OF</v>
      </c>
      <c r="P3" s="12" t="str">
        <f>实盘持仓初始配置!P3</f>
        <v>016370.OF</v>
      </c>
      <c r="Q3" s="12" t="str">
        <f>实盘持仓初始配置!Q3</f>
        <v>017488.OF</v>
      </c>
      <c r="R3" s="12" t="str">
        <f>实盘持仓初始配置!R3</f>
        <v>017489.OF</v>
      </c>
      <c r="S3" s="12" t="str">
        <f>实盘持仓初始配置!S3</f>
        <v>017612.OF</v>
      </c>
      <c r="T3" s="12" t="str">
        <f>实盘持仓初始配置!T3</f>
        <v>019632.OF</v>
      </c>
      <c r="U3" s="12" t="str">
        <f>实盘持仓初始配置!U3</f>
        <v>019633.OF</v>
      </c>
      <c r="V3" s="12" t="str">
        <f>实盘持仓初始配置!V3</f>
        <v>019923.OF</v>
      </c>
      <c r="W3" s="12" t="str">
        <f>实盘持仓初始配置!W3</f>
        <v>019924.OF</v>
      </c>
      <c r="X3" s="12" t="str">
        <f>实盘持仓初始配置!X3</f>
        <v>161119.OF</v>
      </c>
      <c r="Y3" s="12" t="s">
        <v>61</v>
      </c>
      <c r="Z3" s="12" t="s">
        <v>468</v>
      </c>
      <c r="AA3" s="12" t="s">
        <v>470</v>
      </c>
      <c r="AB3" s="12" t="str">
        <f>实盘持仓初始配置!AB3</f>
        <v>008779.OF</v>
      </c>
      <c r="AC3" s="12" t="str">
        <f>实盘持仓初始配置!AC3</f>
        <v>006594.OF</v>
      </c>
      <c r="AD3" s="12" t="str">
        <f>实盘持仓初始配置!AD3</f>
        <v>017954.OF</v>
      </c>
      <c r="AE3" s="12" t="str">
        <f>实盘持仓初始配置!AE3</f>
        <v>019919.OF</v>
      </c>
      <c r="AF3" s="12" t="str">
        <f>实盘持仓初始配置!AF3</f>
        <v>070019.OF</v>
      </c>
      <c r="AG3" s="12" t="str">
        <f>实盘持仓初始配置!AG3</f>
        <v>000884.OF</v>
      </c>
      <c r="AH3" s="12" t="str">
        <f>实盘持仓初始配置!AH3</f>
        <v>090013.OF</v>
      </c>
      <c r="AI3" s="12" t="str">
        <f>实盘持仓初始配置!AI3</f>
        <v>121010.OF</v>
      </c>
      <c r="AJ3" s="12" t="str">
        <f>实盘持仓初始配置!AJ3</f>
        <v>007466.OF</v>
      </c>
      <c r="AK3" s="12" t="str">
        <f>实盘持仓初始配置!AK3</f>
        <v>008114.OF</v>
      </c>
      <c r="AL3" s="12" t="str">
        <f>实盘持仓初始配置!AN3</f>
        <v>016581.OF</v>
      </c>
    </row>
    <row r="4" spans="1:27" ht="51.75" customHeight="1">
      <c r="A4" s="1" t="str">
        <f ca="1">[1]!HX_AutoDate(1,"2026-06-18",A2,-1,-1,0,0,0,0,0,"SSE",68,0)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  <c r="Z4" s="2" t="s">
        <v>469</v>
      </c>
      <c r="AA4" s="2" t="s">
        <v>471</v>
      </c>
      <c r="AB4" s="2" t="inlineStr">
        <is>
          <t>嘉实中证500指数增强C</t>
        </is>
      </c>
      <c r="AC4" s="2" t="inlineStr">
        <is>
          <t>博道中证500指数增强C</t>
        </is>
      </c>
      <c r="AD4" s="2" t="inlineStr">
        <is>
          <t>汇添富中证1000指数增强C</t>
        </is>
      </c>
      <c r="AE4" s="2" t="inlineStr">
        <is>
          <t>招商中证2000指数增强C</t>
        </is>
      </c>
      <c r="AF4" s="2" t="inlineStr">
        <is>
          <t>嘉实价值优势混合A</t>
        </is>
      </c>
      <c r="AG4" s="2" t="inlineStr">
        <is>
          <t>民生加银优选</t>
        </is>
      </c>
      <c r="AH4" s="2" t="inlineStr">
        <is>
          <t>大成竞争优势混合A</t>
        </is>
      </c>
      <c r="AI4" s="2" t="inlineStr">
        <is>
          <t>国投瑞银瑞源混合A</t>
        </is>
      </c>
      <c r="AJ4" s="2" t="inlineStr">
        <is>
          <t>华泰柏瑞红利低波ETF链接A</t>
        </is>
      </c>
      <c r="AK4" s="2" t="inlineStr">
        <is>
          <t>天弘中证红利低波动100ETF联接A</t>
        </is>
      </c>
      <c r="AL4" s="2" t="inlineStr">
        <is>
          <t>嘉实上海金ETF联接A</t>
        </is>
      </c>
    </row>
    <row r="5" spans="1:27">
      <c r="A5" s="8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  <c r="AB5" s="13">
        <f>IF($A5="","",[1]!thsiFinD("ths_adjustment_nv_fund",AB$3,$A5))</f>
        <v>1.8303</v>
      </c>
      <c r="AC5" s="13">
        <f>IF($A5="","",[1]!thsiFinD("ths_adjustment_nv_fund",AC$3,$A5))</f>
        <v>3.238522366</v>
      </c>
      <c r="AD5" s="13">
        <f>IF($A5="","",[1]!thsiFinD("ths_adjustment_nv_fund",AD$3,$A5))</f>
        <v>1.8745</v>
      </c>
      <c r="AE5" s="13">
        <f>IF($A5="","",[1]!thsiFinD("ths_adjustment_nv_fund",AE$3,$A5))</f>
        <v>2.095</v>
      </c>
      <c r="AF5" s="13">
        <f>IF($A5="","",[1]!thsiFinD("ths_adjustment_nv_fund",AF$3,$A5))</f>
        <v>3.3998816716</v>
      </c>
      <c r="AG5" s="13">
        <f>IF($A5="","",[1]!thsiFinD("ths_adjustment_nv_fund",AG$3,$A5))</f>
        <v>1.6452214346</v>
      </c>
      <c r="AH5" s="13">
        <f>IF($A5="","",[1]!thsiFinD("ths_adjustment_nv_fund",AH$3,$A5))</f>
        <v>4.4109633675</v>
      </c>
      <c r="AI5" s="13">
        <f>IF($A5="","",[1]!thsiFinD("ths_adjustment_nv_fund",AI$3,$A5))</f>
        <v>4.727671931</v>
      </c>
      <c r="AJ5" s="13">
        <f>IF($A5="","",[1]!thsiFinD("ths_adjustment_nv_fund",AJ$3,$A5))</f>
        <v>1.8909889262</v>
      </c>
      <c r="AK5" s="13">
        <f>IF($A5="","",[1]!thsiFinD("ths_adjustment_nv_fund",AK$3,$A5))</f>
        <v>1.68029945</v>
      </c>
      <c r="AL5" s="13">
        <f>IF($A5="","",[1]!thsiFinD("ths_adjustment_nv_fund",AL$3,$A5))</f>
        <v>1.9272</v>
      </c>
    </row>
    <row r="6" spans="1:27">
      <c r="A6" s="8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  <c r="AB6" s="13">
        <f>IF($A6="","",[1]!thsiFinD("ths_adjustment_nv_fund",AB$3,$A6))</f>
        <v>1.8686</v>
      </c>
      <c r="AC6" s="13">
        <f>IF($A6="","",[1]!thsiFinD("ths_adjustment_nv_fund",AC$3,$A6))</f>
        <v>3.3110004118</v>
      </c>
      <c r="AD6" s="13">
        <f>IF($A6="","",[1]!thsiFinD("ths_adjustment_nv_fund",AD$3,$A6))</f>
        <v>1.8953</v>
      </c>
      <c r="AE6" s="13">
        <f>IF($A6="","",[1]!thsiFinD("ths_adjustment_nv_fund",AE$3,$A6))</f>
        <v>2.1133</v>
      </c>
      <c r="AF6" s="13">
        <f>IF($A6="","",[1]!thsiFinD("ths_adjustment_nv_fund",AF$3,$A6))</f>
        <v>3.4792018753</v>
      </c>
      <c r="AG6" s="13">
        <f>IF($A6="","",[1]!thsiFinD("ths_adjustment_nv_fund",AG$3,$A6))</f>
        <v>1.6590997468</v>
      </c>
      <c r="AH6" s="13">
        <f>IF($A6="","",[1]!thsiFinD("ths_adjustment_nv_fund",AH$3,$A6))</f>
        <v>4.4027542409</v>
      </c>
      <c r="AI6" s="13">
        <f>IF($A6="","",[1]!thsiFinD("ths_adjustment_nv_fund",AI$3,$A6))</f>
        <v>4.8532032088</v>
      </c>
      <c r="AJ6" s="13">
        <f>IF($A6="","",[1]!thsiFinD("ths_adjustment_nv_fund",AJ$3,$A6))</f>
        <v>1.8938016239</v>
      </c>
      <c r="AK6" s="13">
        <f>IF($A6="","",[1]!thsiFinD("ths_adjustment_nv_fund",AK$3,$A6))</f>
        <v>1.6847785819</v>
      </c>
      <c r="AL6" s="13">
        <f>IF($A6="","",[1]!thsiFinD("ths_adjustment_nv_fund",AL$3,$A6))</f>
        <v>1.8854</v>
      </c>
    </row>
    <row r="7" spans="1:27">
      <c r="A7" s="8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  <c r="AB7" s="13">
        <f>IF($A7="","",[1]!thsiFinD("ths_adjustment_nv_fund",AB$3,$A7))</f>
        <v>1.8331</v>
      </c>
      <c r="AC7" s="13">
        <f>IF($A7="","",[1]!thsiFinD("ths_adjustment_nv_fund",AC$3,$A7))</f>
        <v>3.2534051701</v>
      </c>
      <c r="AD7" s="13">
        <f>IF($A7="","",[1]!thsiFinD("ths_adjustment_nv_fund",AD$3,$A7))</f>
        <v>1.8654</v>
      </c>
      <c r="AE7" s="13">
        <f>IF($A7="","",[1]!thsiFinD("ths_adjustment_nv_fund",AE$3,$A7))</f>
        <v>2.09</v>
      </c>
      <c r="AF7" s="13">
        <f>IF($A7="","",[1]!thsiFinD("ths_adjustment_nv_fund",AF$3,$A7))</f>
        <v>3.3609992188</v>
      </c>
      <c r="AG7" s="13">
        <f>IF($A7="","",[1]!thsiFinD("ths_adjustment_nv_fund",AG$3,$A7))</f>
        <v>1.6517524051</v>
      </c>
      <c r="AH7" s="13">
        <f>IF($A7="","",[1]!thsiFinD("ths_adjustment_nv_fund",AH$3,$A7))</f>
        <v>4.3836735684</v>
      </c>
      <c r="AI7" s="13">
        <f>IF($A7="","",[1]!thsiFinD("ths_adjustment_nv_fund",AI$3,$A7))</f>
        <v>4.7865896262</v>
      </c>
      <c r="AJ7" s="13">
        <f>IF($A7="","",[1]!thsiFinD("ths_adjustment_nv_fund",AJ$3,$A7))</f>
        <v>1.9028511732</v>
      </c>
      <c r="AK7" s="13">
        <f>IF($A7="","",[1]!thsiFinD("ths_adjustment_nv_fund",AK$3,$A7))</f>
        <v>1.6863410697</v>
      </c>
      <c r="AL7" s="13">
        <f>IF($A7="","",[1]!thsiFinD("ths_adjustment_nv_fund",AL$3,$A7))</f>
        <v>1.8489</v>
      </c>
    </row>
    <row r="8" spans="1:27">
      <c r="A8" s="8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  <c r="AB8" s="13">
        <f>IF($A8="","",[1]!thsiFinD("ths_adjustment_nv_fund",AB$3,$A8))</f>
        <v>1.8719</v>
      </c>
      <c r="AC8" s="13">
        <f>IF($A8="","",[1]!thsiFinD("ths_adjustment_nv_fund",AC$3,$A8))</f>
        <v>3.3099114262</v>
      </c>
      <c r="AD8" s="13">
        <f>IF($A8="","",[1]!thsiFinD("ths_adjustment_nv_fund",AD$3,$A8))</f>
        <v>1.8762</v>
      </c>
      <c r="AE8" s="13">
        <f>IF($A8="","",[1]!thsiFinD("ths_adjustment_nv_fund",AE$3,$A8))</f>
        <v>2.098</v>
      </c>
      <c r="AF8" s="13">
        <f>IF($A8="","",[1]!thsiFinD("ths_adjustment_nv_fund",AF$3,$A8))</f>
        <v>3.3423356415</v>
      </c>
      <c r="AG8" s="13">
        <f>IF($A8="","",[1]!thsiFinD("ths_adjustment_nv_fund",AG$3,$A8))</f>
        <v>1.6298270042</v>
      </c>
      <c r="AH8" s="13">
        <f>IF($A8="","",[1]!thsiFinD("ths_adjustment_nv_fund",AH$3,$A8))</f>
        <v>4.3495058526</v>
      </c>
      <c r="AI8" s="13">
        <f>IF($A8="","",[1]!thsiFinD("ths_adjustment_nv_fund",AI$3,$A8))</f>
        <v>4.827718467</v>
      </c>
      <c r="AJ8" s="13">
        <f>IF($A8="","",[1]!thsiFinD("ths_adjustment_nv_fund",AJ$3,$A8))</f>
        <v>1.8697102563</v>
      </c>
      <c r="AK8" s="13">
        <f>IF($A8="","",[1]!thsiFinD("ths_adjustment_nv_fund",AK$3,$A8))</f>
        <v>1.6552996441</v>
      </c>
      <c r="AL8" s="13">
        <f>IF($A8="","",[1]!thsiFinD("ths_adjustment_nv_fund",AL$3,$A8))</f>
        <v>1.8426</v>
      </c>
    </row>
    <row r="9" spans="1:27">
      <c r="A9" s="8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  <c r="AB9" s="13">
        <f>IF($A9="","",[1]!thsiFinD("ths_adjustment_nv_fund",AB$3,$A9))</f>
        <v>1.8904</v>
      </c>
      <c r="AC9" s="13">
        <f>IF($A9="","",[1]!thsiFinD("ths_adjustment_nv_fund",AC$3,$A9))</f>
        <v>3.340161028</v>
      </c>
      <c r="AD9" s="13">
        <f>IF($A9="","",[1]!thsiFinD("ths_adjustment_nv_fund",AD$3,$A9))</f>
        <v>1.8701</v>
      </c>
      <c r="AE9" s="13">
        <f>IF($A9="","",[1]!thsiFinD("ths_adjustment_nv_fund",AE$3,$A9))</f>
        <v>2.0782</v>
      </c>
      <c r="AF9" s="13">
        <f>IF($A9="","",[1]!thsiFinD("ths_adjustment_nv_fund",AF$3,$A9))</f>
        <v>3.3252273623</v>
      </c>
      <c r="AG9" s="13">
        <f>IF($A9="","",[1]!thsiFinD("ths_adjustment_nv_fund",AG$3,$A9))</f>
        <v>1.609301097</v>
      </c>
      <c r="AH9" s="13">
        <f>IF($A9="","",[1]!thsiFinD("ths_adjustment_nv_fund",AH$3,$A9))</f>
        <v>4.3386343067</v>
      </c>
      <c r="AI9" s="13">
        <f>IF($A9="","",[1]!thsiFinD("ths_adjustment_nv_fund",AI$3,$A9))</f>
        <v>4.847778239</v>
      </c>
      <c r="AJ9" s="13">
        <f>IF($A9="","",[1]!thsiFinD("ths_adjustment_nv_fund",AJ$3,$A9))</f>
        <v>1.8507551193</v>
      </c>
      <c r="AK9" s="13">
        <f>IF($A9="","",[1]!thsiFinD("ths_adjustment_nv_fund",AK$3,$A9))</f>
        <v>1.6420705802</v>
      </c>
      <c r="AL9" s="13">
        <f>IF($A9="","",[1]!thsiFinD("ths_adjustment_nv_fund",AL$3,$A9))</f>
        <v>1.7929</v>
      </c>
    </row>
    <row r="10" spans="1:27">
      <c r="A10" s="8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  <c r="AB10" s="13">
        <f>IF($A10="","",[1]!thsiFinD("ths_adjustment_nv_fund",AB$3,$A10))</f>
        <v>1.848</v>
      </c>
      <c r="AC10" s="13">
        <f>IF($A10="","",[1]!thsiFinD("ths_adjustment_nv_fund",AC$3,$A10))</f>
        <v>3.2473552497</v>
      </c>
      <c r="AD10" s="13">
        <f>IF($A10="","",[1]!thsiFinD("ths_adjustment_nv_fund",AD$3,$A10))</f>
        <v>1.814</v>
      </c>
      <c r="AE10" s="13">
        <f>IF($A10="","",[1]!thsiFinD("ths_adjustment_nv_fund",AE$3,$A10))</f>
        <v>2.0163</v>
      </c>
      <c r="AF10" s="13">
        <f>IF($A10="","",[1]!thsiFinD("ths_adjustment_nv_fund",AF$3,$A10))</f>
        <v>3.2645707359</v>
      </c>
      <c r="AG10" s="13">
        <f>IF($A10="","",[1]!thsiFinD("ths_adjustment_nv_fund",AG$3,$A10))</f>
        <v>1.5946064135</v>
      </c>
      <c r="AH10" s="13">
        <f>IF($A10="","",[1]!thsiFinD("ths_adjustment_nv_fund",AH$3,$A10))</f>
        <v>4.2707426116</v>
      </c>
      <c r="AI10" s="13">
        <f>IF($A10="","",[1]!thsiFinD("ths_adjustment_nv_fund",AI$3,$A10))</f>
        <v>4.8138406373</v>
      </c>
      <c r="AJ10" s="13">
        <f>IF($A10="","",[1]!thsiFinD("ths_adjustment_nv_fund",AJ$3,$A10))</f>
        <v>1.8426838996</v>
      </c>
      <c r="AK10" s="13">
        <f>IF($A10="","",[1]!thsiFinD("ths_adjustment_nv_fund",AK$3,$A10))</f>
        <v>1.6225915648</v>
      </c>
      <c r="AL10" s="13">
        <f>IF($A10="","",[1]!thsiFinD("ths_adjustment_nv_fund",AL$3,$A10))</f>
        <v>1.8133</v>
      </c>
    </row>
    <row r="11" spans="1:27">
      <c r="A11" s="8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  <c r="AB11" s="13">
        <f>IF($A11="","",[1]!thsiFinD("ths_adjustment_nv_fund",AB$3,$A11))</f>
        <v>1.8709</v>
      </c>
      <c r="AC11" s="13">
        <f>IF($A11="","",[1]!thsiFinD("ths_adjustment_nv_fund",AC$3,$A11))</f>
        <v>3.2705869439</v>
      </c>
      <c r="AD11" s="13">
        <f>IF($A11="","",[1]!thsiFinD("ths_adjustment_nv_fund",AD$3,$A11))</f>
        <v>1.8085</v>
      </c>
      <c r="AE11" s="13">
        <f>IF($A11="","",[1]!thsiFinD("ths_adjustment_nv_fund",AE$3,$A11))</f>
        <v>1.9964</v>
      </c>
      <c r="AF11" s="13">
        <f>IF($A11="","",[1]!thsiFinD("ths_adjustment_nv_fund",AF$3,$A11))</f>
        <v>3.2925661019</v>
      </c>
      <c r="AG11" s="13">
        <f>IF($A11="","",[1]!thsiFinD("ths_adjustment_nv_fund",AG$3,$A11))</f>
        <v>1.6119834599</v>
      </c>
      <c r="AH11" s="13">
        <f>IF($A11="","",[1]!thsiFinD("ths_adjustment_nv_fund",AH$3,$A11))</f>
        <v>4.3182224245</v>
      </c>
      <c r="AI11" s="13">
        <f>IF($A11="","",[1]!thsiFinD("ths_adjustment_nv_fund",AI$3,$A11))</f>
        <v>4.840713162</v>
      </c>
      <c r="AJ11" s="13">
        <f>IF($A11="","",[1]!thsiFinD("ths_adjustment_nv_fund",AJ$3,$A11))</f>
        <v>1.8545461467</v>
      </c>
      <c r="AK11" s="13">
        <f>IF($A11="","",[1]!thsiFinD("ths_adjustment_nv_fund",AK$3,$A11))</f>
        <v>1.644466395</v>
      </c>
      <c r="AL11" s="13">
        <f>IF($A11="","",[1]!thsiFinD("ths_adjustment_nv_fund",AL$3,$A11))</f>
        <v>1.8265</v>
      </c>
    </row>
    <row r="12" spans="1:27">
      <c r="A12" s="8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  <c r="AB12" s="13">
        <f>IF($A12="","",[1]!thsiFinD("ths_adjustment_nv_fund",AB$3,$A12))</f>
        <v>1.9165</v>
      </c>
      <c r="AC12" s="13">
        <f>IF($A12="","",[1]!thsiFinD("ths_adjustment_nv_fund",AC$3,$A12))</f>
        <v>3.3419760041</v>
      </c>
      <c r="AD12" s="13">
        <f>IF($A12="","",[1]!thsiFinD("ths_adjustment_nv_fund",AD$3,$A12))</f>
        <v>1.8512</v>
      </c>
      <c r="AE12" s="13">
        <f>IF($A12="","",[1]!thsiFinD("ths_adjustment_nv_fund",AE$3,$A12))</f>
        <v>2.0509</v>
      </c>
      <c r="AF12" s="13">
        <f>IF($A12="","",[1]!thsiFinD("ths_adjustment_nv_fund",AF$3,$A12))</f>
        <v>3.238130668</v>
      </c>
      <c r="AG12" s="13">
        <f>IF($A12="","",[1]!thsiFinD("ths_adjustment_nv_fund",AG$3,$A12))</f>
        <v>1.5935567932</v>
      </c>
      <c r="AH12" s="13">
        <f>IF($A12="","",[1]!thsiFinD("ths_adjustment_nv_fund",AH$3,$A12))</f>
        <v>4.3020260397</v>
      </c>
      <c r="AI12" s="13">
        <f>IF($A12="","",[1]!thsiFinD("ths_adjustment_nv_fund",AI$3,$A12))</f>
        <v>4.8482828873</v>
      </c>
      <c r="AJ12" s="13">
        <f>IF($A12="","",[1]!thsiFinD("ths_adjustment_nv_fund",AJ$3,$A12))</f>
        <v>1.8212829385</v>
      </c>
      <c r="AK12" s="13">
        <f>IF($A12="","",[1]!thsiFinD("ths_adjustment_nv_fund",AK$3,$A12))</f>
        <v>1.6161332817</v>
      </c>
      <c r="AL12" s="13">
        <f>IF($A12="","",[1]!thsiFinD("ths_adjustment_nv_fund",AL$3,$A12))</f>
        <v>1.8092</v>
      </c>
    </row>
    <row r="13" spans="1:27">
      <c r="A13" s="8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  <c r="AB13" s="13">
        <f>IF($A13="","",[1]!thsiFinD("ths_adjustment_nv_fund",AB$3,$A13))</f>
        <v>1.9117</v>
      </c>
      <c r="AC13" s="13">
        <f>IF($A13="","",[1]!thsiFinD("ths_adjustment_nv_fund",AC$3,$A13))</f>
        <v>3.3492359085</v>
      </c>
      <c r="AD13" s="13">
        <f>IF($A13="","",[1]!thsiFinD("ths_adjustment_nv_fund",AD$3,$A13))</f>
        <v>1.8641</v>
      </c>
      <c r="AE13" s="13">
        <f>IF($A13="","",[1]!thsiFinD("ths_adjustment_nv_fund",AE$3,$A13))</f>
        <v>2.0749</v>
      </c>
      <c r="AF13" s="13">
        <f>IF($A13="","",[1]!thsiFinD("ths_adjustment_nv_fund",AF$3,$A13))</f>
        <v>3.3003425925</v>
      </c>
      <c r="AG13" s="13">
        <f>IF($A13="","",[1]!thsiFinD("ths_adjustment_nv_fund",AG$3,$A13))</f>
        <v>1.6166484388</v>
      </c>
      <c r="AH13" s="13">
        <f>IF($A13="","",[1]!thsiFinD("ths_adjustment_nv_fund",AH$3,$A13))</f>
        <v>4.3472871698</v>
      </c>
      <c r="AI13" s="13">
        <f>IF($A13="","",[1]!thsiFinD("ths_adjustment_nv_fund",AI$3,$A13))</f>
        <v>4.9387411046</v>
      </c>
      <c r="AJ13" s="13">
        <f>IF($A13="","",[1]!thsiFinD("ths_adjustment_nv_fund",AJ$3,$A13))</f>
        <v>1.8380368338</v>
      </c>
      <c r="AK13" s="13">
        <f>IF($A13="","",[1]!thsiFinD("ths_adjustment_nv_fund",AK$3,$A13))</f>
        <v>1.6389456045</v>
      </c>
      <c r="AL13" s="13">
        <f>IF($A13="","",[1]!thsiFinD("ths_adjustment_nv_fund",AL$3,$A13))</f>
        <v>1.7864</v>
      </c>
    </row>
    <row r="14" spans="1:27">
      <c r="A14" s="8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  <c r="AB14" s="13">
        <f>IF($A14="","",[1]!thsiFinD("ths_adjustment_nv_fund",AB$3,$A14))</f>
        <v>1.8437</v>
      </c>
      <c r="AC14" s="13">
        <f>IF($A14="","",[1]!thsiFinD("ths_adjustment_nv_fund",AC$3,$A14))</f>
        <v>3.235860401</v>
      </c>
      <c r="AD14" s="13">
        <f>IF($A14="","",[1]!thsiFinD("ths_adjustment_nv_fund",AD$3,$A14))</f>
        <v>1.8319</v>
      </c>
      <c r="AE14" s="13">
        <f>IF($A14="","",[1]!thsiFinD("ths_adjustment_nv_fund",AE$3,$A14))</f>
        <v>2.0409</v>
      </c>
      <c r="AF14" s="13">
        <f>IF($A14="","",[1]!thsiFinD("ths_adjustment_nv_fund",AF$3,$A14))</f>
        <v>3.3407803434</v>
      </c>
      <c r="AG14" s="13">
        <f>IF($A14="","",[1]!thsiFinD("ths_adjustment_nv_fund",AG$3,$A14))</f>
        <v>1.6216632911</v>
      </c>
      <c r="AH14" s="13">
        <f>IF($A14="","",[1]!thsiFinD("ths_adjustment_nv_fund",AH$3,$A14))</f>
        <v>4.35372135</v>
      </c>
      <c r="AI14" s="13">
        <f>IF($A14="","",[1]!thsiFinD("ths_adjustment_nv_fund",AI$3,$A14))</f>
        <v>4.9441660744</v>
      </c>
      <c r="AJ14" s="13">
        <f>IF($A14="","",[1]!thsiFinD("ths_adjustment_nv_fund",AJ$3,$A14))</f>
        <v>1.8511219929</v>
      </c>
      <c r="AK14" s="13">
        <f>IF($A14="","",[1]!thsiFinD("ths_adjustment_nv_fund",AK$3,$A14))</f>
        <v>1.6573829613</v>
      </c>
      <c r="AL14" s="13">
        <f>IF($A14="","",[1]!thsiFinD("ths_adjustment_nv_fund",AL$3,$A14))</f>
        <v>1.8297</v>
      </c>
    </row>
    <row r="15" spans="1:27">
      <c r="A15" s="8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  <c r="AB15" s="13">
        <f>IF($A15="","",[1]!thsiFinD("ths_adjustment_nv_fund",AB$3,$A15))</f>
        <v>1.8459</v>
      </c>
      <c r="AC15" s="13">
        <f>IF($A15="","",[1]!thsiFinD("ths_adjustment_nv_fund",AC$3,$A15))</f>
        <v>3.2680459773</v>
      </c>
      <c r="AD15" s="13">
        <f>IF($A15="","",[1]!thsiFinD("ths_adjustment_nv_fund",AD$3,$A15))</f>
        <v>1.848</v>
      </c>
      <c r="AE15" s="13">
        <f>IF($A15="","",[1]!thsiFinD("ths_adjustment_nv_fund",AE$3,$A15))</f>
        <v>2.0528</v>
      </c>
      <c r="AF15" s="13">
        <f>IF($A15="","",[1]!thsiFinD("ths_adjustment_nv_fund",AF$3,$A15))</f>
        <v>3.3967710754</v>
      </c>
      <c r="AG15" s="13">
        <f>IF($A15="","",[1]!thsiFinD("ths_adjustment_nv_fund",AG$3,$A15))</f>
        <v>1.6445216878</v>
      </c>
      <c r="AH15" s="13">
        <f>IF($A15="","",[1]!thsiFinD("ths_adjustment_nv_fund",AH$3,$A15))</f>
        <v>4.3947669827</v>
      </c>
      <c r="AI15" s="13">
        <f>IF($A15="","",[1]!thsiFinD("ths_adjustment_nv_fund",AI$3,$A15))</f>
        <v>4.8958459946</v>
      </c>
      <c r="AJ15" s="13">
        <f>IF($A15="","",[1]!thsiFinD("ths_adjustment_nv_fund",AJ$3,$A15))</f>
        <v>1.8555244763</v>
      </c>
      <c r="AK15" s="13">
        <f>IF($A15="","",[1]!thsiFinD("ths_adjustment_nv_fund",AK$3,$A15))</f>
        <v>1.6664453909</v>
      </c>
      <c r="AL15" s="13">
        <f>IF($A15="","",[1]!thsiFinD("ths_adjustment_nv_fund",AL$3,$A15))</f>
        <v>1.8733</v>
      </c>
    </row>
    <row r="16" spans="1:27">
      <c r="A16" s="8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  <c r="AB16" s="13">
        <f>IF($A16="","",[1]!thsiFinD("ths_adjustment_nv_fund",AB$3,$A16))</f>
        <v>1.8253</v>
      </c>
      <c r="AC16" s="13">
        <f>IF($A16="","",[1]!thsiFinD("ths_adjustment_nv_fund",AC$3,$A16))</f>
        <v>3.2396113517</v>
      </c>
      <c r="AD16" s="13">
        <f>IF($A16="","",[1]!thsiFinD("ths_adjustment_nv_fund",AD$3,$A16))</f>
        <v>1.8278</v>
      </c>
      <c r="AE16" s="13">
        <f>IF($A16="","",[1]!thsiFinD("ths_adjustment_nv_fund",AE$3,$A16))</f>
        <v>2.0239</v>
      </c>
      <c r="AF16" s="13">
        <f>IF($A16="","",[1]!thsiFinD("ths_adjustment_nv_fund",AF$3,$A16))</f>
        <v>3.4589829999</v>
      </c>
      <c r="AG16" s="13">
        <f>IF($A16="","",[1]!thsiFinD("ths_adjustment_nv_fund",AG$3,$A16))</f>
        <v>1.6685463291</v>
      </c>
      <c r="AH16" s="13">
        <f>IF($A16="","",[1]!thsiFinD("ths_adjustment_nv_fund",AH$3,$A16))</f>
        <v>4.41451326</v>
      </c>
      <c r="AI16" s="13">
        <f>IF($A16="","",[1]!thsiFinD("ths_adjustment_nv_fund",AI$3,$A16))</f>
        <v>4.9138871732</v>
      </c>
      <c r="AJ16" s="13">
        <f>IF($A16="","",[1]!thsiFinD("ths_adjustment_nv_fund",AJ$3,$A16))</f>
        <v>1.8900105965</v>
      </c>
      <c r="AK16" s="13">
        <f>IF($A16="","",[1]!thsiFinD("ths_adjustment_nv_fund",AK$3,$A16))</f>
        <v>1.6899868747</v>
      </c>
      <c r="AL16" s="13">
        <f>IF($A16="","",[1]!thsiFinD("ths_adjustment_nv_fund",AL$3,$A16))</f>
        <v>1.8672</v>
      </c>
    </row>
    <row r="17" spans="1:27">
      <c r="A17" s="8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  <c r="AB17" s="13">
        <f>IF($A17="","",[1]!thsiFinD("ths_adjustment_nv_fund",AB$3,$A17))</f>
        <v>1.7981</v>
      </c>
      <c r="AC17" s="13">
        <f>IF($A17="","",[1]!thsiFinD("ths_adjustment_nv_fund",AC$3,$A17))</f>
        <v>3.1751192007</v>
      </c>
      <c r="AD17" s="13">
        <f>IF($A17="","",[1]!thsiFinD("ths_adjustment_nv_fund",AD$3,$A17))</f>
        <v>1.7876</v>
      </c>
      <c r="AE17" s="13">
        <f>IF($A17="","",[1]!thsiFinD("ths_adjustment_nv_fund",AE$3,$A17))</f>
        <v>1.9789</v>
      </c>
      <c r="AF17" s="13">
        <f>IF($A17="","",[1]!thsiFinD("ths_adjustment_nv_fund",AF$3,$A17))</f>
        <v>3.3812180943</v>
      </c>
      <c r="AG17" s="13">
        <f>IF($A17="","",[1]!thsiFinD("ths_adjustment_nv_fund",AG$3,$A17))</f>
        <v>1.6454546835</v>
      </c>
      <c r="AH17" s="13">
        <f>IF($A17="","",[1]!thsiFinD("ths_adjustment_nv_fund",AH$3,$A17))</f>
        <v>4.3759081785</v>
      </c>
      <c r="AI17" s="13">
        <f>IF($A17="","",[1]!thsiFinD("ths_adjustment_nv_fund",AI$3,$A17))</f>
        <v>4.8479044011</v>
      </c>
      <c r="AJ17" s="13">
        <f>IF($A17="","",[1]!thsiFinD("ths_adjustment_nv_fund",AJ$3,$A17))</f>
        <v>1.8813279209</v>
      </c>
      <c r="AK17" s="13">
        <f>IF($A17="","",[1]!thsiFinD("ths_adjustment_nv_fund",AK$3,$A17))</f>
        <v>1.6700911959</v>
      </c>
      <c r="AL17" s="13">
        <f>IF($A17="","",[1]!thsiFinD("ths_adjustment_nv_fund",AL$3,$A17))</f>
        <v>1.8587</v>
      </c>
    </row>
    <row r="18" spans="1:27">
      <c r="A18" s="8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  <c r="AB18" s="13">
        <f>IF($A18="","",[1]!thsiFinD("ths_adjustment_nv_fund",AB$3,$A18))</f>
        <v>1.7745</v>
      </c>
      <c r="AC18" s="13">
        <f>IF($A18="","",[1]!thsiFinD("ths_adjustment_nv_fund",AC$3,$A18))</f>
        <v>3.1370047024</v>
      </c>
      <c r="AD18" s="13">
        <f>IF($A18="","",[1]!thsiFinD("ths_adjustment_nv_fund",AD$3,$A18))</f>
        <v>1.7473</v>
      </c>
      <c r="AE18" s="13">
        <f>IF($A18="","",[1]!thsiFinD("ths_adjustment_nv_fund",AE$3,$A18))</f>
        <v>1.9263</v>
      </c>
      <c r="AF18" s="13">
        <f>IF($A18="","",[1]!thsiFinD("ths_adjustment_nv_fund",AF$3,$A18))</f>
        <v>3.3749969018</v>
      </c>
      <c r="AG18" s="13">
        <f>IF($A18="","",[1]!thsiFinD("ths_adjustment_nv_fund",AG$3,$A18))</f>
        <v>1.6515191561</v>
      </c>
      <c r="AH18" s="13">
        <f>IF($A18="","",[1]!thsiFinD("ths_adjustment_nv_fund",AH$3,$A18))</f>
        <v>4.3976512704</v>
      </c>
      <c r="AI18" s="13">
        <f>IF($A18="","",[1]!thsiFinD("ths_adjustment_nv_fund",AI$3,$A18))</f>
        <v>4.7886082196</v>
      </c>
      <c r="AJ18" s="13">
        <f>IF($A18="","",[1]!thsiFinD("ths_adjustment_nv_fund",AJ$3,$A18))</f>
        <v>1.8997938931</v>
      </c>
      <c r="AK18" s="13">
        <f>IF($A18="","",[1]!thsiFinD("ths_adjustment_nv_fund",AK$3,$A18))</f>
        <v>1.6842577526</v>
      </c>
      <c r="AL18" s="13">
        <f>IF($A18="","",[1]!thsiFinD("ths_adjustment_nv_fund",AL$3,$A18))</f>
        <v>1.8555</v>
      </c>
    </row>
    <row r="19" spans="1:27">
      <c r="A19" s="8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  <c r="AB19" s="13">
        <f>IF($A19="","",[1]!thsiFinD("ths_adjustment_nv_fund",AB$3,$A19))</f>
        <v>1.8269</v>
      </c>
      <c r="AC19" s="13">
        <f>IF($A19="","",[1]!thsiFinD("ths_adjustment_nv_fund",AC$3,$A19))</f>
        <v>3.2311414632</v>
      </c>
      <c r="AD19" s="13">
        <f>IF($A19="","",[1]!thsiFinD("ths_adjustment_nv_fund",AD$3,$A19))</f>
        <v>1.7722</v>
      </c>
      <c r="AE19" s="13">
        <f>IF($A19="","",[1]!thsiFinD("ths_adjustment_nv_fund",AE$3,$A19))</f>
        <v>1.9474</v>
      </c>
      <c r="AF19" s="13">
        <f>IF($A19="","",[1]!thsiFinD("ths_adjustment_nv_fund",AF$3,$A19))</f>
        <v>3.3361144491</v>
      </c>
      <c r="AG19" s="13">
        <f>IF($A19="","",[1]!thsiFinD("ths_adjustment_nv_fund",AG$3,$A19))</f>
        <v>1.6357748523</v>
      </c>
      <c r="AH19" s="13">
        <f>IF($A19="","",[1]!thsiFinD("ths_adjustment_nv_fund",AH$3,$A19))</f>
        <v>4.4000918215</v>
      </c>
      <c r="AI19" s="13">
        <f>IF($A19="","",[1]!thsiFinD("ths_adjustment_nv_fund",AI$3,$A19))</f>
        <v>4.7932762169</v>
      </c>
      <c r="AJ19" s="13">
        <f>IF($A19="","",[1]!thsiFinD("ths_adjustment_nv_fund",AJ$3,$A19))</f>
        <v>1.8821270981</v>
      </c>
      <c r="AK19" s="13">
        <f>IF($A19="","",[1]!thsiFinD("ths_adjustment_nv_fund",AK$3,$A19))</f>
        <v>1.6684245422</v>
      </c>
      <c r="AL19" s="13">
        <f>IF($A19="","",[1]!thsiFinD("ths_adjustment_nv_fund",AL$3,$A19))</f>
        <v>1.8472</v>
      </c>
    </row>
    <row r="20" spans="1:27">
      <c r="A20" s="8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  <c r="AB20" s="13">
        <f>IF($A20="","",[1]!thsiFinD("ths_adjustment_nv_fund",AB$3,$A20))</f>
        <v>1.7996</v>
      </c>
      <c r="AC20" s="13">
        <f>IF($A20="","",[1]!thsiFinD("ths_adjustment_nv_fund",AC$3,$A20))</f>
        <v>3.1927849681</v>
      </c>
      <c r="AD20" s="13">
        <f>IF($A20="","",[1]!thsiFinD("ths_adjustment_nv_fund",AD$3,$A20))</f>
        <v>1.7605</v>
      </c>
      <c r="AE20" s="13">
        <f>IF($A20="","",[1]!thsiFinD("ths_adjustment_nv_fund",AE$3,$A20))</f>
        <v>1.9379</v>
      </c>
      <c r="AF20" s="13">
        <f>IF($A20="","",[1]!thsiFinD("ths_adjustment_nv_fund",AF$3,$A20))</f>
        <v>3.3641098151</v>
      </c>
      <c r="AG20" s="13">
        <f>IF($A20="","",[1]!thsiFinD("ths_adjustment_nv_fund",AG$3,$A20))</f>
        <v>1.6465043038</v>
      </c>
      <c r="AH20" s="13">
        <f>IF($A20="","",[1]!thsiFinD("ths_adjustment_nv_fund",AH$3,$A20))</f>
        <v>4.4220567817</v>
      </c>
      <c r="AI20" s="13">
        <f>IF($A20="","",[1]!thsiFinD("ths_adjustment_nv_fund",AI$3,$A20))</f>
        <v>4.7647635849</v>
      </c>
      <c r="AJ20" s="13">
        <f>IF($A20="","",[1]!thsiFinD("ths_adjustment_nv_fund",AJ$3,$A20))</f>
        <v>1.8882614019</v>
      </c>
      <c r="AK20" s="13">
        <f>IF($A20="","",[1]!thsiFinD("ths_adjustment_nv_fund",AK$3,$A20))</f>
        <v>1.675924484</v>
      </c>
      <c r="AL20" s="13">
        <f>IF($A20="","",[1]!thsiFinD("ths_adjustment_nv_fund",AL$3,$A20))</f>
        <v>1.8475</v>
      </c>
    </row>
    <row r="21" spans="1:27">
      <c r="A21" s="8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  <c r="AB21" s="13">
        <f>IF($A21="","",[1]!thsiFinD("ths_adjustment_nv_fund",AB$3,$A21))</f>
        <v>1.7278</v>
      </c>
      <c r="AC21" s="13">
        <f>IF($A21="","",[1]!thsiFinD("ths_adjustment_nv_fund",AC$3,$A21))</f>
        <v>3.0369390198</v>
      </c>
      <c r="AD21" s="13">
        <f>IF($A21="","",[1]!thsiFinD("ths_adjustment_nv_fund",AD$3,$A21))</f>
        <v>1.6703</v>
      </c>
      <c r="AE21" s="13">
        <f>IF($A21="","",[1]!thsiFinD("ths_adjustment_nv_fund",AE$3,$A21))</f>
        <v>1.8406</v>
      </c>
      <c r="AF21" s="13">
        <f>IF($A21="","",[1]!thsiFinD("ths_adjustment_nv_fund",AF$3,$A21))</f>
        <v>3.308119083</v>
      </c>
      <c r="AG21" s="13">
        <f>IF($A21="","",[1]!thsiFinD("ths_adjustment_nv_fund",AG$3,$A21))</f>
        <v>1.6588664979</v>
      </c>
      <c r="AH21" s="13">
        <f>IF($A21="","",[1]!thsiFinD("ths_adjustment_nv_fund",AH$3,$A21))</f>
        <v>4.4171756794</v>
      </c>
      <c r="AI21" s="13">
        <f>IF($A21="","",[1]!thsiFinD("ths_adjustment_nv_fund",AI$3,$A21))</f>
        <v>4.7042057826</v>
      </c>
      <c r="AJ21" s="13">
        <f>IF($A21="","",[1]!thsiFinD("ths_adjustment_nv_fund",AJ$3,$A21))</f>
        <v>1.9180741184</v>
      </c>
      <c r="AK21" s="13">
        <f>IF($A21="","",[1]!thsiFinD("ths_adjustment_nv_fund",AK$3,$A21))</f>
        <v>1.6911326992</v>
      </c>
      <c r="AL21" s="13">
        <f>IF($A21="","",[1]!thsiFinD("ths_adjustment_nv_fund",AL$3,$A21))</f>
        <v>1.8221</v>
      </c>
    </row>
    <row r="22" spans="1:27">
      <c r="A22" s="8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  <c r="AB22" s="13">
        <f>IF($A22="","",[1]!thsiFinD("ths_adjustment_nv_fund",AB$3,$A22))</f>
        <v>1.7542</v>
      </c>
      <c r="AC22" s="13">
        <f>IF($A22="","",[1]!thsiFinD("ths_adjustment_nv_fund",AC$3,$A22))</f>
        <v>3.10832808</v>
      </c>
      <c r="AD22" s="13">
        <f>IF($A22="","",[1]!thsiFinD("ths_adjustment_nv_fund",AD$3,$A22))</f>
        <v>1.7089</v>
      </c>
      <c r="AE22" s="13">
        <f>IF($A22="","",[1]!thsiFinD("ths_adjustment_nv_fund",AE$3,$A22))</f>
        <v>1.8804</v>
      </c>
      <c r="AF22" s="13">
        <f>IF($A22="","",[1]!thsiFinD("ths_adjustment_nv_fund",AF$3,$A22))</f>
        <v>3.3812180943</v>
      </c>
      <c r="AG22" s="13">
        <f>IF($A22="","",[1]!thsiFinD("ths_adjustment_nv_fund",AG$3,$A22))</f>
        <v>1.6889556118</v>
      </c>
      <c r="AH22" s="13">
        <f>IF($A22="","",[1]!thsiFinD("ths_adjustment_nv_fund",AH$3,$A22))</f>
        <v>4.4622149412</v>
      </c>
      <c r="AI22" s="13">
        <f>IF($A22="","",[1]!thsiFinD("ths_adjustment_nv_fund",AI$3,$A22))</f>
        <v>4.7717024998</v>
      </c>
      <c r="AJ22" s="13">
        <f>IF($A22="","",[1]!thsiFinD("ths_adjustment_nv_fund",AJ$3,$A22))</f>
        <v>1.9331645058</v>
      </c>
      <c r="AK22" s="13">
        <f>IF($A22="","",[1]!thsiFinD("ths_adjustment_nv_fund",AK$3,$A22))</f>
        <v>1.7061325827</v>
      </c>
      <c r="AL22" s="13">
        <f>IF($A22="","",[1]!thsiFinD("ths_adjustment_nv_fund",AL$3,$A22))</f>
        <v>1.8092</v>
      </c>
    </row>
    <row r="23" spans="1:27">
      <c r="A23" s="8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  <c r="AB23" s="13">
        <f>IF($A23="","",[1]!thsiFinD("ths_adjustment_nv_fund",AB$3,$A23))</f>
        <v>1.7282</v>
      </c>
      <c r="AC23" s="13">
        <f>IF($A23="","",[1]!thsiFinD("ths_adjustment_nv_fund",AC$3,$A23))</f>
        <v>3.0589607299</v>
      </c>
      <c r="AD23" s="13">
        <f>IF($A23="","",[1]!thsiFinD("ths_adjustment_nv_fund",AD$3,$A23))</f>
        <v>1.6856</v>
      </c>
      <c r="AE23" s="13">
        <f>IF($A23="","",[1]!thsiFinD("ths_adjustment_nv_fund",AE$3,$A23))</f>
        <v>1.8608</v>
      </c>
      <c r="AF23" s="13">
        <f>IF($A23="","",[1]!thsiFinD("ths_adjustment_nv_fund",AF$3,$A23))</f>
        <v>3.4278770376</v>
      </c>
      <c r="AG23" s="13">
        <f>IF($A23="","",[1]!thsiFinD("ths_adjustment_nv_fund",AG$3,$A23))</f>
        <v>1.7132135021</v>
      </c>
      <c r="AH23" s="13">
        <f>IF($A23="","",[1]!thsiFinD("ths_adjustment_nv_fund",AH$3,$A23))</f>
        <v>4.5083635444</v>
      </c>
      <c r="AI23" s="13">
        <f>IF($A23="","",[1]!thsiFinD("ths_adjustment_nv_fund",AI$3,$A23))</f>
        <v>4.8029906977</v>
      </c>
      <c r="AJ23" s="13">
        <f>IF($A23="","",[1]!thsiFinD("ths_adjustment_nv_fund",AJ$3,$A23))</f>
        <v>1.9546345692</v>
      </c>
      <c r="AK23" s="13">
        <f>IF($A23="","",[1]!thsiFinD("ths_adjustment_nv_fund",AK$3,$A23))</f>
        <v>1.7314448861</v>
      </c>
      <c r="AL23" s="13">
        <f>IF($A23="","",[1]!thsiFinD("ths_adjustment_nv_fund",AL$3,$A23))</f>
        <v>1.8098</v>
      </c>
    </row>
    <row r="24" spans="1:27">
      <c r="A24" s="8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  <c r="AB24" s="13">
        <f>IF($A24="","",[1]!thsiFinD("ths_adjustment_nv_fund",AB$3,$A24))</f>
        <v>1.6907</v>
      </c>
      <c r="AC24" s="13">
        <f>IF($A24="","",[1]!thsiFinD("ths_adjustment_nv_fund",AC$3,$A24))</f>
        <v>2.9849097047</v>
      </c>
      <c r="AD24" s="13">
        <f>IF($A24="","",[1]!thsiFinD("ths_adjustment_nv_fund",AD$3,$A24))</f>
        <v>1.6386</v>
      </c>
      <c r="AE24" s="13">
        <f>IF($A24="","",[1]!thsiFinD("ths_adjustment_nv_fund",AE$3,$A24))</f>
        <v>1.8157</v>
      </c>
      <c r="AF24" s="13">
        <f>IF($A24="","",[1]!thsiFinD("ths_adjustment_nv_fund",AF$3,$A24))</f>
        <v>3.418545249</v>
      </c>
      <c r="AG24" s="13">
        <f>IF($A24="","",[1]!thsiFinD("ths_adjustment_nv_fund",AG$3,$A24))</f>
        <v>1.707498903</v>
      </c>
      <c r="AH24" s="13">
        <f>IF($A24="","",[1]!thsiFinD("ths_adjustment_nv_fund",AH$3,$A24))</f>
        <v>4.5303285046</v>
      </c>
      <c r="AI24" s="13">
        <f>IF($A24="","",[1]!thsiFinD("ths_adjustment_nv_fund",AI$3,$A24))</f>
        <v>4.7529043487</v>
      </c>
      <c r="AJ24" s="13">
        <f>IF($A24="","",[1]!thsiFinD("ths_adjustment_nv_fund",AJ$3,$A24))</f>
        <v>1.9390534375</v>
      </c>
      <c r="AK24" s="13">
        <f>IF($A24="","",[1]!thsiFinD("ths_adjustment_nv_fund",AK$3,$A24))</f>
        <v>1.7323869127</v>
      </c>
      <c r="AL24" s="13">
        <f>IF($A24="","",[1]!thsiFinD("ths_adjustment_nv_fund",AL$3,$A24))</f>
        <v>1.8078</v>
      </c>
    </row>
    <row r="25" spans="1:27">
      <c r="A25" s="8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  <c r="AB25" s="13">
        <f>IF($A25="","",[1]!thsiFinD("ths_adjustment_nv_fund",AB$3,$A25))</f>
        <v>1.606</v>
      </c>
      <c r="AC25" s="13">
        <f>IF($A25="","",[1]!thsiFinD("ths_adjustment_nv_fund",AC$3,$A25))</f>
        <v>2.8228928376</v>
      </c>
      <c r="AD25" s="13">
        <f>IF($A25="","",[1]!thsiFinD("ths_adjustment_nv_fund",AD$3,$A25))</f>
        <v>1.5402</v>
      </c>
      <c r="AE25" s="13">
        <f>IF($A25="","",[1]!thsiFinD("ths_adjustment_nv_fund",AE$3,$A25))</f>
        <v>1.6988</v>
      </c>
      <c r="AF25" s="13">
        <f>IF($A25="","",[1]!thsiFinD("ths_adjustment_nv_fund",AF$3,$A25))</f>
        <v>3.3641098151</v>
      </c>
      <c r="AG25" s="13">
        <f>IF($A25="","",[1]!thsiFinD("ths_adjustment_nv_fund",AG$3,$A25))</f>
        <v>1.7055162869</v>
      </c>
      <c r="AH25" s="13">
        <f>IF($A25="","",[1]!thsiFinD("ths_adjustment_nv_fund",AH$3,$A25))</f>
        <v>4.4591087852</v>
      </c>
      <c r="AI25" s="13">
        <f>IF($A25="","",[1]!thsiFinD("ths_adjustment_nv_fund",AI$3,$A25))</f>
        <v>4.7252748513</v>
      </c>
      <c r="AJ25" s="13">
        <f>IF($A25="","",[1]!thsiFinD("ths_adjustment_nv_fund",AJ$3,$A25))</f>
        <v>1.9445743109</v>
      </c>
      <c r="AK25" s="13">
        <f>IF($A25="","",[1]!thsiFinD("ths_adjustment_nv_fund",AK$3,$A25))</f>
        <v>1.7283047974</v>
      </c>
      <c r="AL25" s="13">
        <f>IF($A25="","",[1]!thsiFinD("ths_adjustment_nv_fund",AL$3,$A25))</f>
        <v>1.7956</v>
      </c>
    </row>
    <row r="26" spans="1:27">
      <c r="A26" s="8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  <c r="AB26" s="13">
        <f>IF($A26="","",[1]!thsiFinD("ths_adjustment_nv_fund",AB$3,$A26))</f>
        <v>1.5849</v>
      </c>
      <c r="AC26" s="13">
        <f>IF($A26="","",[1]!thsiFinD("ths_adjustment_nv_fund",AC$3,$A26))</f>
        <v>2.7564647121</v>
      </c>
      <c r="AD26" s="13">
        <f>IF($A26="","",[1]!thsiFinD("ths_adjustment_nv_fund",AD$3,$A26))</f>
        <v>1.4849</v>
      </c>
      <c r="AE26" s="13">
        <f>IF($A26="","",[1]!thsiFinD("ths_adjustment_nv_fund",AE$3,$A26))</f>
        <v>1.6306</v>
      </c>
      <c r="AF26" s="13">
        <f>IF($A26="","",[1]!thsiFinD("ths_adjustment_nv_fund",AF$3,$A26))</f>
        <v>3.4792018753</v>
      </c>
      <c r="AG26" s="13">
        <f>IF($A26="","",[1]!thsiFinD("ths_adjustment_nv_fund",AG$3,$A26))</f>
        <v>1.7479675949</v>
      </c>
      <c r="AH26" s="13">
        <f>IF($A26="","",[1]!thsiFinD("ths_adjustment_nv_fund",AH$3,$A26))</f>
        <v>4.505701125</v>
      </c>
      <c r="AI26" s="13">
        <f>IF($A26="","",[1]!thsiFinD("ths_adjustment_nv_fund",AI$3,$A26))</f>
        <v>4.7882297333</v>
      </c>
      <c r="AJ26" s="13">
        <f>IF($A26="","",[1]!thsiFinD("ths_adjustment_nv_fund",AJ$3,$A26))</f>
        <v>1.9924218807</v>
      </c>
      <c r="AK26" s="13">
        <f>IF($A26="","",[1]!thsiFinD("ths_adjustment_nv_fund",AK$3,$A26))</f>
        <v>1.7658811917</v>
      </c>
      <c r="AL26" s="13">
        <f>IF($A26="","",[1]!thsiFinD("ths_adjustment_nv_fund",AL$3,$A26))</f>
        <v>1.7978</v>
      </c>
    </row>
    <row r="27" spans="1:27">
      <c r="A27" s="8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  <c r="AB27" s="13">
        <f>IF($A27="","",[1]!thsiFinD("ths_adjustment_nv_fund",AB$3,$A27))</f>
        <v>1.6657</v>
      </c>
      <c r="AC27" s="13">
        <f>IF($A27="","",[1]!thsiFinD("ths_adjustment_nv_fund",AC$3,$A27))</f>
        <v>2.9094066987</v>
      </c>
      <c r="AD27" s="13">
        <f>IF($A27="","",[1]!thsiFinD("ths_adjustment_nv_fund",AD$3,$A27))</f>
        <v>1.544</v>
      </c>
      <c r="AE27" s="13">
        <f>IF($A27="","",[1]!thsiFinD("ths_adjustment_nv_fund",AE$3,$A27))</f>
        <v>1.6787</v>
      </c>
      <c r="AF27" s="13">
        <f>IF($A27="","",[1]!thsiFinD("ths_adjustment_nv_fund",AF$3,$A27))</f>
        <v>3.5009760489</v>
      </c>
      <c r="AG27" s="13">
        <f>IF($A27="","",[1]!thsiFinD("ths_adjustment_nv_fund",AG$3,$A27))</f>
        <v>1.7314069198</v>
      </c>
      <c r="AH27" s="13">
        <f>IF($A27="","",[1]!thsiFinD("ths_adjustment_nv_fund",AH$3,$A27))</f>
        <v>4.515019593</v>
      </c>
      <c r="AI27" s="13">
        <f>IF($A27="","",[1]!thsiFinD("ths_adjustment_nv_fund",AI$3,$A27))</f>
        <v>4.8374329477</v>
      </c>
      <c r="AJ27" s="13">
        <f>IF($A27="","",[1]!thsiFinD("ths_adjustment_nv_fund",AJ$3,$A27))</f>
        <v>1.9686207819</v>
      </c>
      <c r="AK27" s="13">
        <f>IF($A27="","",[1]!thsiFinD("ths_adjustment_nv_fund",AK$3,$A27))</f>
        <v>1.7499714092</v>
      </c>
      <c r="AL27" s="13">
        <f>IF($A27="","",[1]!thsiFinD("ths_adjustment_nv_fund",AL$3,$A27))</f>
        <v>1.8289</v>
      </c>
    </row>
    <row r="28" spans="1:27">
      <c r="A28" s="8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  <c r="AB28" s="13">
        <f>IF($A28="","",[1]!thsiFinD("ths_adjustment_nv_fund",AB$3,$A28))</f>
        <v>1.6568</v>
      </c>
      <c r="AC28" s="13">
        <f>IF($A28="","",[1]!thsiFinD("ths_adjustment_nv_fund",AC$3,$A28))</f>
        <v>2.8829080475</v>
      </c>
      <c r="AD28" s="13">
        <f>IF($A28="","",[1]!thsiFinD("ths_adjustment_nv_fund",AD$3,$A28))</f>
        <v>1.5265</v>
      </c>
      <c r="AE28" s="13">
        <f>IF($A28="","",[1]!thsiFinD("ths_adjustment_nv_fund",AE$3,$A28))</f>
        <v>1.6591</v>
      </c>
      <c r="AF28" s="13">
        <f>IF($A28="","",[1]!thsiFinD("ths_adjustment_nv_fund",AF$3,$A28))</f>
        <v>3.5911833393</v>
      </c>
      <c r="AG28" s="13">
        <f>IF($A28="","",[1]!thsiFinD("ths_adjustment_nv_fund",AG$3,$A28))</f>
        <v>1.7443522363</v>
      </c>
      <c r="AH28" s="13">
        <f>IF($A28="","",[1]!thsiFinD("ths_adjustment_nv_fund",AH$3,$A28))</f>
        <v>4.5456374163</v>
      </c>
      <c r="AI28" s="13">
        <f>IF($A28="","",[1]!thsiFinD("ths_adjustment_nv_fund",AI$3,$A28))</f>
        <v>4.8675856868</v>
      </c>
      <c r="AJ28" s="13">
        <f>IF($A28="","",[1]!thsiFinD("ths_adjustment_nv_fund",AJ$3,$A28))</f>
        <v>1.9806440174</v>
      </c>
      <c r="AK28" s="13">
        <f>IF($A28="","",[1]!thsiFinD("ths_adjustment_nv_fund",AK$3,$A28))</f>
        <v>1.7543675333</v>
      </c>
      <c r="AL28" s="13">
        <f>IF($A28="","",[1]!thsiFinD("ths_adjustment_nv_fund",AL$3,$A28))</f>
        <v>1.8479</v>
      </c>
    </row>
    <row r="29" spans="1:27">
      <c r="A29" s="8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  <c r="AB29" s="13">
        <f>IF($A29="","",[1]!thsiFinD("ths_adjustment_nv_fund",AB$3,$A29))</f>
        <v>1.6529</v>
      </c>
      <c r="AC29" s="13">
        <f>IF($A29="","",[1]!thsiFinD("ths_adjustment_nv_fund",AC$3,$A29))</f>
        <v>2.8944028962</v>
      </c>
      <c r="AD29" s="13">
        <f>IF($A29="","",[1]!thsiFinD("ths_adjustment_nv_fund",AD$3,$A29))</f>
        <v>1.5439</v>
      </c>
      <c r="AE29" s="13">
        <f>IF($A29="","",[1]!thsiFinD("ths_adjustment_nv_fund",AE$3,$A29))</f>
        <v>1.6917</v>
      </c>
      <c r="AF29" s="13">
        <f>IF($A29="","",[1]!thsiFinD("ths_adjustment_nv_fund",AF$3,$A29))</f>
        <v>3.6409528789</v>
      </c>
      <c r="AG29" s="13">
        <f>IF($A29="","",[1]!thsiFinD("ths_adjustment_nv_fund",AG$3,$A29))</f>
        <v>1.7598632911</v>
      </c>
      <c r="AH29" s="13">
        <f>IF($A29="","",[1]!thsiFinD("ths_adjustment_nv_fund",AH$3,$A29))</f>
        <v>4.5520715965</v>
      </c>
      <c r="AI29" s="13">
        <f>IF($A29="","",[1]!thsiFinD("ths_adjustment_nv_fund",AI$3,$A29))</f>
        <v>4.9094715001</v>
      </c>
      <c r="AJ29" s="13">
        <f>IF($A29="","",[1]!thsiFinD("ths_adjustment_nv_fund",AJ$3,$A29))</f>
        <v>1.988005182</v>
      </c>
      <c r="AK29" s="13">
        <f>IF($A29="","",[1]!thsiFinD("ths_adjustment_nv_fund",AK$3,$A29))</f>
        <v>1.7600196929</v>
      </c>
      <c r="AL29" s="13">
        <f>IF($A29="","",[1]!thsiFinD("ths_adjustment_nv_fund",AL$3,$A29))</f>
        <v>1.8461</v>
      </c>
    </row>
    <row r="30" spans="1:27">
      <c r="A30" s="8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  <c r="AB30" s="13">
        <f>IF($A30="","",[1]!thsiFinD("ths_adjustment_nv_fund",AB$3,$A30))</f>
        <v>1.6124</v>
      </c>
      <c r="AC30" s="13">
        <f>IF($A30="","",[1]!thsiFinD("ths_adjustment_nv_fund",AC$3,$A30))</f>
        <v>2.8204728695</v>
      </c>
      <c r="AD30" s="13">
        <f>IF($A30="","",[1]!thsiFinD("ths_adjustment_nv_fund",AD$3,$A30))</f>
        <v>1.5071</v>
      </c>
      <c r="AE30" s="13">
        <f>IF($A30="","",[1]!thsiFinD("ths_adjustment_nv_fund",AE$3,$A30))</f>
        <v>1.6492</v>
      </c>
      <c r="AF30" s="13">
        <f>IF($A30="","",[1]!thsiFinD("ths_adjustment_nv_fund",AF$3,$A30))</f>
        <v>3.5274161168</v>
      </c>
      <c r="AG30" s="13">
        <f>IF($A30="","",[1]!thsiFinD("ths_adjustment_nv_fund",AG$3,$A30))</f>
        <v>1.7283746835</v>
      </c>
      <c r="AH30" s="13">
        <f>IF($A30="","",[1]!thsiFinD("ths_adjustment_nv_fund",AH$3,$A30))</f>
        <v>4.5012637593</v>
      </c>
      <c r="AI30" s="13">
        <f>IF($A30="","",[1]!thsiFinD("ths_adjustment_nv_fund",AI$3,$A30))</f>
        <v>4.8183824724</v>
      </c>
      <c r="AJ30" s="13">
        <f>IF($A30="","",[1]!thsiFinD("ths_adjustment_nv_fund",AJ$3,$A30))</f>
        <v>1.9729147946</v>
      </c>
      <c r="AK30" s="13">
        <f>IF($A30="","",[1]!thsiFinD("ths_adjustment_nv_fund",AK$3,$A30))</f>
        <v>1.7424351964</v>
      </c>
      <c r="AL30" s="13">
        <f>IF($A30="","",[1]!thsiFinD("ths_adjustment_nv_fund",AL$3,$A30))</f>
        <v>1.8135</v>
      </c>
    </row>
    <row r="31" spans="1:27">
      <c r="A31" s="8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  <c r="AB31" s="13">
        <f>IF($A31="","",[1]!thsiFinD("ths_adjustment_nv_fund",AB$3,$A31))</f>
        <v>1.6609</v>
      </c>
      <c r="AC31" s="13">
        <f>IF($A31="","",[1]!thsiFinD("ths_adjustment_nv_fund",AC$3,$A31))</f>
        <v>2.9195705649</v>
      </c>
      <c r="AD31" s="13">
        <f>IF($A31="","",[1]!thsiFinD("ths_adjustment_nv_fund",AD$3,$A31))</f>
        <v>1.5617</v>
      </c>
      <c r="AE31" s="13">
        <f>IF($A31="","",[1]!thsiFinD("ths_adjustment_nv_fund",AE$3,$A31))</f>
        <v>1.7181</v>
      </c>
      <c r="AF31" s="13">
        <f>IF($A31="","",[1]!thsiFinD("ths_adjustment_nv_fund",AF$3,$A31))</f>
        <v>3.5927386374</v>
      </c>
      <c r="AG31" s="13">
        <f>IF($A31="","",[1]!thsiFinD("ths_adjustment_nv_fund",AG$3,$A31))</f>
        <v>1.7370048945</v>
      </c>
      <c r="AH31" s="13">
        <f>IF($A31="","",[1]!thsiFinD("ths_adjustment_nv_fund",AH$3,$A31))</f>
        <v>4.5482998357</v>
      </c>
      <c r="AI31" s="13">
        <f>IF($A31="","",[1]!thsiFinD("ths_adjustment_nv_fund",AI$3,$A31))</f>
        <v>4.8658194176</v>
      </c>
      <c r="AJ31" s="13">
        <f>IF($A31="","",[1]!thsiFinD("ths_adjustment_nv_fund",AJ$3,$A31))</f>
        <v>1.9792944706</v>
      </c>
      <c r="AK31" s="13">
        <f>IF($A31="","",[1]!thsiFinD("ths_adjustment_nv_fund",AK$3,$A31))</f>
        <v>1.7526928194</v>
      </c>
      <c r="AL31" s="13">
        <f>IF($A31="","",[1]!thsiFinD("ths_adjustment_nv_fund",AL$3,$A31))</f>
        <v>1.8381</v>
      </c>
    </row>
    <row r="32" spans="1:27">
      <c r="A32" s="8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  <c r="AB32" s="13">
        <f>IF($A32="","",[1]!thsiFinD("ths_adjustment_nv_fund",AB$3,$A32))</f>
        <v>1.6037</v>
      </c>
      <c r="AC32" s="13">
        <f>IF($A32="","",[1]!thsiFinD("ths_adjustment_nv_fund",AC$3,$A32))</f>
        <v>2.7951842024</v>
      </c>
      <c r="AD32" s="13">
        <f>IF($A32="","",[1]!thsiFinD("ths_adjustment_nv_fund",AD$3,$A32))</f>
        <v>1.5204</v>
      </c>
      <c r="AE32" s="13">
        <f>IF($A32="","",[1]!thsiFinD("ths_adjustment_nv_fund",AE$3,$A32))</f>
        <v>1.6829</v>
      </c>
      <c r="AF32" s="13">
        <f>IF($A32="","",[1]!thsiFinD("ths_adjustment_nv_fund",AF$3,$A32))</f>
        <v>3.5911833393</v>
      </c>
      <c r="AG32" s="13">
        <f>IF($A32="","",[1]!thsiFinD("ths_adjustment_nv_fund",AG$3,$A32))</f>
        <v>1.7440023629</v>
      </c>
      <c r="AH32" s="13">
        <f>IF($A32="","",[1]!thsiFinD("ths_adjustment_nv_fund",AH$3,$A32))</f>
        <v>4.529884768</v>
      </c>
      <c r="AI32" s="13">
        <f>IF($A32="","",[1]!thsiFinD("ths_adjustment_nv_fund",AI$3,$A32))</f>
        <v>4.8456334835</v>
      </c>
      <c r="AJ32" s="13">
        <f>IF($A32="","",[1]!thsiFinD("ths_adjustment_nv_fund",AJ$3,$A32))</f>
        <v>1.994507544</v>
      </c>
      <c r="AK32" s="13">
        <f>IF($A32="","",[1]!thsiFinD("ths_adjustment_nv_fund",AK$3,$A32))</f>
        <v>1.7638924689</v>
      </c>
      <c r="AL32" s="13">
        <f>IF($A32="","",[1]!thsiFinD("ths_adjustment_nv_fund",AL$3,$A32))</f>
        <v>1.8163</v>
      </c>
    </row>
    <row r="33" spans="1:27">
      <c r="A33" s="8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  <c r="AB33" s="13">
        <f>IF($A33="","",[1]!thsiFinD("ths_adjustment_nv_fund",AB$3,$A33))</f>
        <v>1.6204</v>
      </c>
      <c r="AC33" s="13">
        <f>IF($A33="","",[1]!thsiFinD("ths_adjustment_nv_fund",AC$3,$A33))</f>
        <v>2.8086150256</v>
      </c>
      <c r="AD33" s="13">
        <f>IF($A33="","",[1]!thsiFinD("ths_adjustment_nv_fund",AD$3,$A33))</f>
        <v>1.5281</v>
      </c>
      <c r="AE33" s="13">
        <f>IF($A33="","",[1]!thsiFinD("ths_adjustment_nv_fund",AE$3,$A33))</f>
        <v>1.6956</v>
      </c>
      <c r="AF33" s="13">
        <f>IF($A33="","",[1]!thsiFinD("ths_adjustment_nv_fund",AF$3,$A33))</f>
        <v>3.6829459279</v>
      </c>
      <c r="AG33" s="13">
        <f>IF($A33="","",[1]!thsiFinD("ths_adjustment_nv_fund",AG$3,$A33))</f>
        <v>1.7746745992</v>
      </c>
      <c r="AH33" s="13">
        <f>IF($A33="","",[1]!thsiFinD("ths_adjustment_nv_fund",AH$3,$A33))</f>
        <v>4.6002170143</v>
      </c>
      <c r="AI33" s="13">
        <f>IF($A33="","",[1]!thsiFinD("ths_adjustment_nv_fund",AI$3,$A33))</f>
        <v>4.9082098792</v>
      </c>
      <c r="AJ33" s="13">
        <f>IF($A33="","",[1]!thsiFinD("ths_adjustment_nv_fund",AJ$3,$A33))</f>
        <v>2.0098433036</v>
      </c>
      <c r="AK33" s="13">
        <f>IF($A33="","",[1]!thsiFinD("ths_adjustment_nv_fund",AK$3,$A33))</f>
        <v>1.7877571427</v>
      </c>
      <c r="AL33" s="13">
        <f>IF($A33="","",[1]!thsiFinD("ths_adjustment_nv_fund",AL$3,$A33))</f>
        <v>1.8135</v>
      </c>
    </row>
    <row r="34" spans="1:27">
      <c r="A34" s="8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  <c r="AB34" s="13">
        <f>IF($A34="","",[1]!thsiFinD("ths_adjustment_nv_fund",AB$3,$A34))</f>
        <v>1.5771</v>
      </c>
      <c r="AC34" s="13">
        <f>IF($A34="","",[1]!thsiFinD("ths_adjustment_nv_fund",AC$3,$A34))</f>
        <v>2.7280300864</v>
      </c>
      <c r="AD34" s="13">
        <f>IF($A34="","",[1]!thsiFinD("ths_adjustment_nv_fund",AD$3,$A34))</f>
        <v>1.4784</v>
      </c>
      <c r="AE34" s="13">
        <f>IF($A34="","",[1]!thsiFinD("ths_adjustment_nv_fund",AE$3,$A34))</f>
        <v>1.6414</v>
      </c>
      <c r="AF34" s="13">
        <f>IF($A34="","",[1]!thsiFinD("ths_adjustment_nv_fund",AF$3,$A34))</f>
        <v>3.7218283807</v>
      </c>
      <c r="AG34" s="13">
        <f>IF($A34="","",[1]!thsiFinD("ths_adjustment_nv_fund",AG$3,$A34))</f>
        <v>1.8033642194</v>
      </c>
      <c r="AH34" s="13">
        <f>IF($A34="","",[1]!thsiFinD("ths_adjustment_nv_fund",AH$3,$A34))</f>
        <v>4.5904548098</v>
      </c>
      <c r="AI34" s="13">
        <f>IF($A34="","",[1]!thsiFinD("ths_adjustment_nv_fund",AI$3,$A34))</f>
        <v>4.9083360413</v>
      </c>
      <c r="AJ34" s="13">
        <f>IF($A34="","",[1]!thsiFinD("ths_adjustment_nv_fund",AJ$3,$A34))</f>
        <v>2.0407601948</v>
      </c>
      <c r="AK34" s="13">
        <f>IF($A34="","",[1]!thsiFinD("ths_adjustment_nv_fund",AK$3,$A34))</f>
        <v>1.8145525659</v>
      </c>
      <c r="AL34" s="13">
        <f>IF($A34="","",[1]!thsiFinD("ths_adjustment_nv_fund",AL$3,$A34))</f>
        <v>1.8094</v>
      </c>
    </row>
    <row r="35" spans="1:27">
      <c r="A35" s="8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  <c r="AB35" s="13">
        <f>IF($A35="","",[1]!thsiFinD("ths_adjustment_nv_fund",AB$3,$A35))</f>
        <v>1.6145</v>
      </c>
      <c r="AC35" s="13">
        <f>IF($A35="","",[1]!thsiFinD("ths_adjustment_nv_fund",AC$3,$A35))</f>
        <v>2.8014761196</v>
      </c>
      <c r="AD35" s="13">
        <f>IF($A35="","",[1]!thsiFinD("ths_adjustment_nv_fund",AD$3,$A35))</f>
        <v>1.5179</v>
      </c>
      <c r="AE35" s="13">
        <f>IF($A35="","",[1]!thsiFinD("ths_adjustment_nv_fund",AE$3,$A35))</f>
        <v>1.6888</v>
      </c>
      <c r="AF35" s="13">
        <f>IF($A35="","",[1]!thsiFinD("ths_adjustment_nv_fund",AF$3,$A35))</f>
        <v>3.7218283807</v>
      </c>
      <c r="AG35" s="13">
        <f>IF($A35="","",[1]!thsiFinD("ths_adjustment_nv_fund",AG$3,$A35))</f>
        <v>1.7982327426</v>
      </c>
      <c r="AH35" s="13">
        <f>IF($A35="","",[1]!thsiFinD("ths_adjustment_nv_fund",AH$3,$A35))</f>
        <v>4.5864611806</v>
      </c>
      <c r="AI35" s="13">
        <f>IF($A35="","",[1]!thsiFinD("ths_adjustment_nv_fund",AI$3,$A35))</f>
        <v>4.902154099</v>
      </c>
      <c r="AJ35" s="13">
        <f>IF($A35="","",[1]!thsiFinD("ths_adjustment_nv_fund",AJ$3,$A35))</f>
        <v>2.0333990303</v>
      </c>
      <c r="AK35" s="13">
        <f>IF($A35="","",[1]!thsiFinD("ths_adjustment_nv_fund",AK$3,$A35))</f>
        <v>1.8055509784</v>
      </c>
      <c r="AL35" s="13">
        <f>IF($A35="","",[1]!thsiFinD("ths_adjustment_nv_fund",AL$3,$A35))</f>
        <v>1.8223</v>
      </c>
    </row>
    <row r="36" spans="1:27">
      <c r="A36" s="8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  <c r="AB36" s="13">
        <f>IF($A36="","",[1]!thsiFinD("ths_adjustment_nv_fund",AB$3,$A36))</f>
        <v>1.5984</v>
      </c>
      <c r="AC36" s="13">
        <f>IF($A36="","",[1]!thsiFinD("ths_adjustment_nv_fund",AC$3,$A36))</f>
        <v>2.782600368</v>
      </c>
      <c r="AD36" s="13">
        <f>IF($A36="","",[1]!thsiFinD("ths_adjustment_nv_fund",AD$3,$A36))</f>
        <v>1.5235</v>
      </c>
      <c r="AE36" s="13">
        <f>IF($A36="","",[1]!thsiFinD("ths_adjustment_nv_fund",AE$3,$A36))</f>
        <v>1.6977</v>
      </c>
      <c r="AF36" s="13">
        <f>IF($A36="","",[1]!thsiFinD("ths_adjustment_nv_fund",AF$3,$A36))</f>
        <v>3.7031648034</v>
      </c>
      <c r="AG36" s="13">
        <f>IF($A36="","",[1]!thsiFinD("ths_adjustment_nv_fund",AG$3,$A36))</f>
        <v>1.7910020253</v>
      </c>
      <c r="AH36" s="13">
        <f>IF($A36="","",[1]!thsiFinD("ths_adjustment_nv_fund",AH$3,$A36))</f>
        <v>4.5971108583</v>
      </c>
      <c r="AI36" s="13">
        <f>IF($A36="","",[1]!thsiFinD("ths_adjustment_nv_fund",AI$3,$A36))</f>
        <v>4.8940797253</v>
      </c>
      <c r="AJ36" s="13">
        <f>IF($A36="","",[1]!thsiFinD("ths_adjustment_nv_fund",AJ$3,$A36))</f>
        <v>2.0357300657</v>
      </c>
      <c r="AK36" s="13">
        <f>IF($A36="","",[1]!thsiFinD("ths_adjustment_nv_fund",AK$3,$A36))</f>
        <v>1.8108891292</v>
      </c>
      <c r="AL36" s="13">
        <f>IF($A36="","",[1]!thsiFinD("ths_adjustment_nv_fund",AL$3,$A36))</f>
        <v>1.8193</v>
      </c>
    </row>
    <row r="37" spans="1:27">
      <c r="A37" s="8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  <c r="AB37" s="13">
        <f>IF($A37="","",[1]!thsiFinD("ths_adjustment_nv_fund",AB$3,$A37))</f>
        <v>1.6381</v>
      </c>
      <c r="AC37" s="13">
        <f>IF($A37="","",[1]!thsiFinD("ths_adjustment_nv_fund",AC$3,$A37))</f>
        <v>2.8831500443</v>
      </c>
      <c r="AD37" s="13">
        <f>IF($A37="","",[1]!thsiFinD("ths_adjustment_nv_fund",AD$3,$A37))</f>
        <v>1.5696</v>
      </c>
      <c r="AE37" s="13">
        <f>IF($A37="","",[1]!thsiFinD("ths_adjustment_nv_fund",AE$3,$A37))</f>
        <v>1.7452</v>
      </c>
      <c r="AF37" s="13">
        <f>IF($A37="","",[1]!thsiFinD("ths_adjustment_nv_fund",AF$3,$A37))</f>
        <v>3.6549505619</v>
      </c>
      <c r="AG37" s="13">
        <f>IF($A37="","",[1]!thsiFinD("ths_adjustment_nv_fund",AG$3,$A37))</f>
        <v>1.7743247257</v>
      </c>
      <c r="AH37" s="13">
        <f>IF($A37="","",[1]!thsiFinD("ths_adjustment_nv_fund",AH$3,$A37))</f>
        <v>4.6128635065</v>
      </c>
      <c r="AI37" s="13">
        <f>IF($A37="","",[1]!thsiFinD("ths_adjustment_nv_fund",AI$3,$A37))</f>
        <v>4.8779309781</v>
      </c>
      <c r="AJ37" s="13">
        <f>IF($A37="","",[1]!thsiFinD("ths_adjustment_nv_fund",AJ$3,$A37))</f>
        <v>1.9946302301</v>
      </c>
      <c r="AK37" s="13">
        <f>IF($A37="","",[1]!thsiFinD("ths_adjustment_nv_fund",AK$3,$A37))</f>
        <v>1.7773948501</v>
      </c>
      <c r="AL37" s="13">
        <f>IF($A37="","",[1]!thsiFinD("ths_adjustment_nv_fund",AL$3,$A37))</f>
        <v>1.8186</v>
      </c>
    </row>
    <row r="38" spans="1:27">
      <c r="A38" s="8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  <c r="AB38" s="13">
        <f>IF($A38="","",[1]!thsiFinD("ths_adjustment_nv_fund",AB$3,$A38))</f>
        <v>1.6793</v>
      </c>
      <c r="AC38" s="13">
        <f>IF($A38="","",[1]!thsiFinD("ths_adjustment_nv_fund",AC$3,$A38))</f>
        <v>2.9841837143</v>
      </c>
      <c r="AD38" s="13">
        <f>IF($A38="","",[1]!thsiFinD("ths_adjustment_nv_fund",AD$3,$A38))</f>
        <v>1.6207</v>
      </c>
      <c r="AE38" s="13">
        <f>IF($A38="","",[1]!thsiFinD("ths_adjustment_nv_fund",AE$3,$A38))</f>
        <v>1.7953</v>
      </c>
      <c r="AF38" s="13">
        <f>IF($A38="","",[1]!thsiFinD("ths_adjustment_nv_fund",AF$3,$A38))</f>
        <v>3.7156071882</v>
      </c>
      <c r="AG38" s="13">
        <f>IF($A38="","",[1]!thsiFinD("ths_adjustment_nv_fund",AG$3,$A38))</f>
        <v>1.7719922363</v>
      </c>
      <c r="AH38" s="13">
        <f>IF($A38="","",[1]!thsiFinD("ths_adjustment_nv_fund",AH$3,$A38))</f>
        <v>4.6073167994</v>
      </c>
      <c r="AI38" s="13">
        <f>IF($A38="","",[1]!thsiFinD("ths_adjustment_nv_fund",AI$3,$A38))</f>
        <v>4.9306667309</v>
      </c>
      <c r="AJ38" s="13">
        <f>IF($A38="","",[1]!thsiFinD("ths_adjustment_nv_fund",AJ$3,$A38))</f>
        <v>1.9720559921</v>
      </c>
      <c r="AK38" s="13">
        <f>IF($A38="","",[1]!thsiFinD("ths_adjustment_nv_fund",AK$3,$A38))</f>
        <v>1.757507622</v>
      </c>
      <c r="AL38" s="13">
        <f>IF($A38="","",[1]!thsiFinD("ths_adjustment_nv_fund",AL$3,$A38))</f>
        <v>1.8647</v>
      </c>
    </row>
    <row r="39" spans="1:27">
      <c r="A39" s="8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  <c r="AB39" s="13">
        <f>IF($A39="","",[1]!thsiFinD("ths_adjustment_nv_fund",AB$3,$A39))</f>
        <v>1.684</v>
      </c>
      <c r="AC39" s="13">
        <f>IF($A39="","",[1]!thsiFinD("ths_adjustment_nv_fund",AC$3,$A39))</f>
        <v>3.0147963113</v>
      </c>
      <c r="AD39" s="13">
        <f>IF($A39="","",[1]!thsiFinD("ths_adjustment_nv_fund",AD$3,$A39))</f>
        <v>1.6396</v>
      </c>
      <c r="AE39" s="13">
        <f>IF($A39="","",[1]!thsiFinD("ths_adjustment_nv_fund",AE$3,$A39))</f>
        <v>1.8191</v>
      </c>
      <c r="AF39" s="13">
        <f>IF($A39="","",[1]!thsiFinD("ths_adjustment_nv_fund",AF$3,$A39))</f>
        <v>3.754489641</v>
      </c>
      <c r="AG39" s="13">
        <f>IF($A39="","",[1]!thsiFinD("ths_adjustment_nv_fund",AG$3,$A39))</f>
        <v>1.7821385654</v>
      </c>
      <c r="AH39" s="13">
        <f>IF($A39="","",[1]!thsiFinD("ths_adjustment_nv_fund",AH$3,$A39))</f>
        <v>4.5793613955</v>
      </c>
      <c r="AI39" s="13">
        <f>IF($A39="","",[1]!thsiFinD("ths_adjustment_nv_fund",AI$3,$A39))</f>
        <v>4.957917742</v>
      </c>
      <c r="AJ39" s="13">
        <f>IF($A39="","",[1]!thsiFinD("ths_adjustment_nv_fund",AJ$3,$A39))</f>
        <v>1.9743943011</v>
      </c>
      <c r="AK39" s="13">
        <f>IF($A39="","",[1]!thsiFinD("ths_adjustment_nv_fund",AK$3,$A39))</f>
        <v>1.7516461231</v>
      </c>
      <c r="AL39" s="13">
        <f>IF($A39="","",[1]!thsiFinD("ths_adjustment_nv_fund",AL$3,$A39))</f>
        <v>1.9002</v>
      </c>
    </row>
    <row r="40" spans="1:27">
      <c r="A40" s="8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  <c r="AB40" s="13">
        <f>IF($A40="","",[1]!thsiFinD("ths_adjustment_nv_fund",AB$3,$A40))</f>
        <v>1.7161</v>
      </c>
      <c r="AC40" s="13">
        <f>IF($A40="","",[1]!thsiFinD("ths_adjustment_nv_fund",AC$3,$A40))</f>
        <v>3.0863063699</v>
      </c>
      <c r="AD40" s="13">
        <f>IF($A40="","",[1]!thsiFinD("ths_adjustment_nv_fund",AD$3,$A40))</f>
        <v>1.674</v>
      </c>
      <c r="AE40" s="13">
        <f>IF($A40="","",[1]!thsiFinD("ths_adjustment_nv_fund",AE$3,$A40))</f>
        <v>1.8498</v>
      </c>
      <c r="AF40" s="13">
        <f>IF($A40="","",[1]!thsiFinD("ths_adjustment_nv_fund",AF$3,$A40))</f>
        <v>3.754489641</v>
      </c>
      <c r="AG40" s="13">
        <f>IF($A40="","",[1]!thsiFinD("ths_adjustment_nv_fund",AG$3,$A40))</f>
        <v>1.7693098734</v>
      </c>
      <c r="AH40" s="13">
        <f>IF($A40="","",[1]!thsiFinD("ths_adjustment_nv_fund",AH$3,$A40))</f>
        <v>4.6228475793</v>
      </c>
      <c r="AI40" s="13">
        <f>IF($A40="","",[1]!thsiFinD("ths_adjustment_nv_fund",AI$3,$A40))</f>
        <v>4.9564037969</v>
      </c>
      <c r="AJ40" s="13">
        <f>IF($A40="","",[1]!thsiFinD("ths_adjustment_nv_fund",AJ$3,$A40))</f>
        <v>1.9641795827</v>
      </c>
      <c r="AK40" s="13">
        <f>IF($A40="","",[1]!thsiFinD("ths_adjustment_nv_fund",AK$3,$A40))</f>
        <v>1.7427492053</v>
      </c>
      <c r="AL40" s="13">
        <f>IF($A40="","",[1]!thsiFinD("ths_adjustment_nv_fund",AL$3,$A40))</f>
        <v>1.9184</v>
      </c>
    </row>
    <row r="41" spans="1:27">
      <c r="A41" s="8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  <c r="AB41" s="13">
        <f>IF($A41="","",[1]!thsiFinD("ths_adjustment_nv_fund",AB$3,$A41))</f>
        <v>1.7258</v>
      </c>
      <c r="AC41" s="13">
        <f>IF($A41="","",[1]!thsiFinD("ths_adjustment_nv_fund",AC$3,$A41))</f>
        <v>3.091388303</v>
      </c>
      <c r="AD41" s="13">
        <f>IF($A41="","",[1]!thsiFinD("ths_adjustment_nv_fund",AD$3,$A41))</f>
        <v>1.6777</v>
      </c>
      <c r="AE41" s="13">
        <f>IF($A41="","",[1]!thsiFinD("ths_adjustment_nv_fund",AE$3,$A41))</f>
        <v>1.8647</v>
      </c>
      <c r="AF41" s="13">
        <f>IF($A41="","",[1]!thsiFinD("ths_adjustment_nv_fund",AF$3,$A41))</f>
        <v>3.8275886523</v>
      </c>
      <c r="AG41" s="13">
        <f>IF($A41="","",[1]!thsiFinD("ths_adjustment_nv_fund",AG$3,$A41))</f>
        <v>1.7959002532</v>
      </c>
      <c r="AH41" s="13">
        <f>IF($A41="","",[1]!thsiFinD("ths_adjustment_nv_fund",AH$3,$A41))</f>
        <v>4.6399314372</v>
      </c>
      <c r="AI41" s="13">
        <f>IF($A41="","",[1]!thsiFinD("ths_adjustment_nv_fund",AI$3,$A41))</f>
        <v>4.9948832338</v>
      </c>
      <c r="AJ41" s="13">
        <f>IF($A41="","",[1]!thsiFinD("ths_adjustment_nv_fund",AJ$3,$A41))</f>
        <v>1.972179061</v>
      </c>
      <c r="AK41" s="13">
        <f>IF($A41="","",[1]!thsiFinD("ths_adjustment_nv_fund",AK$3,$A41))</f>
        <v>1.7541581941</v>
      </c>
      <c r="AL41" s="13">
        <f>IF($A41="","",[1]!thsiFinD("ths_adjustment_nv_fund",AL$3,$A41))</f>
        <v>1.9438</v>
      </c>
    </row>
    <row r="42" spans="1:27">
      <c r="A42" s="8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  <c r="AB42" s="13">
        <f>IF($A42="","",[1]!thsiFinD("ths_adjustment_nv_fund",AB$3,$A42))</f>
        <v>1.7135</v>
      </c>
      <c r="AC42" s="13">
        <f>IF($A42="","",[1]!thsiFinD("ths_adjustment_nv_fund",AC$3,$A42))</f>
        <v>3.0775944846</v>
      </c>
      <c r="AD42" s="13">
        <f>IF($A42="","",[1]!thsiFinD("ths_adjustment_nv_fund",AD$3,$A42))</f>
        <v>1.673</v>
      </c>
      <c r="AE42" s="13">
        <f>IF($A42="","",[1]!thsiFinD("ths_adjustment_nv_fund",AE$3,$A42))</f>
        <v>1.8521</v>
      </c>
      <c r="AF42" s="13">
        <f>IF($A42="","",[1]!thsiFinD("ths_adjustment_nv_fund",AF$3,$A42))</f>
        <v>3.7700426221</v>
      </c>
      <c r="AG42" s="13">
        <f>IF($A42="","",[1]!thsiFinD("ths_adjustment_nv_fund",AG$3,$A42))</f>
        <v>1.7922848945</v>
      </c>
      <c r="AH42" s="13">
        <f>IF($A42="","",[1]!thsiFinD("ths_adjustment_nv_fund",AH$3,$A42))</f>
        <v>4.6190758185</v>
      </c>
      <c r="AI42" s="13">
        <f>IF($A42="","",[1]!thsiFinD("ths_adjustment_nv_fund",AI$3,$A42))</f>
        <v>4.9625857392</v>
      </c>
      <c r="AJ42" s="13">
        <f>IF($A42="","",[1]!thsiFinD("ths_adjustment_nv_fund",AJ$3,$A42))</f>
        <v>1.9731636121</v>
      </c>
      <c r="AK42" s="13">
        <f>IF($A42="","",[1]!thsiFinD("ths_adjustment_nv_fund",AK$3,$A42))</f>
        <v>1.7503900877</v>
      </c>
      <c r="AL42" s="13">
        <f>IF($A42="","",[1]!thsiFinD("ths_adjustment_nv_fund",AL$3,$A42))</f>
        <v>1.9487</v>
      </c>
    </row>
    <row r="43" spans="1:27">
      <c r="A43" s="8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  <c r="AB43" s="13">
        <f>IF($A43="","",[1]!thsiFinD("ths_adjustment_nv_fund",AB$3,$A43))</f>
        <v>1.7286</v>
      </c>
      <c r="AC43" s="13">
        <f>IF($A43="","",[1]!thsiFinD("ths_adjustment_nv_fund",AC$3,$A43))</f>
        <v>3.1204279207</v>
      </c>
      <c r="AD43" s="13">
        <f>IF($A43="","",[1]!thsiFinD("ths_adjustment_nv_fund",AD$3,$A43))</f>
        <v>1.6979</v>
      </c>
      <c r="AE43" s="13">
        <f>IF($A43="","",[1]!thsiFinD("ths_adjustment_nv_fund",AE$3,$A43))</f>
        <v>1.8794</v>
      </c>
      <c r="AF43" s="13">
        <f>IF($A43="","",[1]!thsiFinD("ths_adjustment_nv_fund",AF$3,$A43))</f>
        <v>3.7980379881</v>
      </c>
      <c r="AG43" s="13">
        <f>IF($A43="","",[1]!thsiFinD("ths_adjustment_nv_fund",AG$3,$A43))</f>
        <v>1.7856372996</v>
      </c>
      <c r="AH43" s="13">
        <f>IF($A43="","",[1]!thsiFinD("ths_adjustment_nv_fund",AH$3,$A43))</f>
        <v>4.6244006573</v>
      </c>
      <c r="AI43" s="13">
        <f>IF($A43="","",[1]!thsiFinD("ths_adjustment_nv_fund",AI$3,$A43))</f>
        <v>4.9548898519</v>
      </c>
      <c r="AJ43" s="13">
        <f>IF($A43="","",[1]!thsiFinD("ths_adjustment_nv_fund",AJ$3,$A43))</f>
        <v>1.965041065</v>
      </c>
      <c r="AK43" s="13">
        <f>IF($A43="","",[1]!thsiFinD("ths_adjustment_nv_fund",AK$3,$A43))</f>
        <v>1.7485060345</v>
      </c>
      <c r="AL43" s="13">
        <f>IF($A43="","",[1]!thsiFinD("ths_adjustment_nv_fund",AL$3,$A43))</f>
        <v>1.9658</v>
      </c>
    </row>
    <row r="44" spans="1:27">
      <c r="A44" s="8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  <c r="AB44" s="13">
        <f>IF($A44="","",[1]!thsiFinD("ths_adjustment_nv_fund",AB$3,$A44))</f>
        <v>1.7118</v>
      </c>
      <c r="AC44" s="13">
        <f>IF($A44="","",[1]!thsiFinD("ths_adjustment_nv_fund",AC$3,$A44))</f>
        <v>3.0869113619</v>
      </c>
      <c r="AD44" s="13">
        <f>IF($A44="","",[1]!thsiFinD("ths_adjustment_nv_fund",AD$3,$A44))</f>
        <v>1.6858</v>
      </c>
      <c r="AE44" s="13">
        <f>IF($A44="","",[1]!thsiFinD("ths_adjustment_nv_fund",AE$3,$A44))</f>
        <v>1.8558</v>
      </c>
      <c r="AF44" s="13">
        <f>IF($A44="","",[1]!thsiFinD("ths_adjustment_nv_fund",AF$3,$A44))</f>
        <v>3.7482684486</v>
      </c>
      <c r="AG44" s="13">
        <f>IF($A44="","",[1]!thsiFinD("ths_adjustment_nv_fund",AG$3,$A44))</f>
        <v>1.7708259916</v>
      </c>
      <c r="AH44" s="13">
        <f>IF($A44="","",[1]!thsiFinD("ths_adjustment_nv_fund",AH$3,$A44))</f>
        <v>4.6266193402</v>
      </c>
      <c r="AI44" s="13">
        <f>IF($A44="","",[1]!thsiFinD("ths_adjustment_nv_fund",AI$3,$A44))</f>
        <v>4.9242324644</v>
      </c>
      <c r="AJ44" s="13">
        <f>IF($A44="","",[1]!thsiFinD("ths_adjustment_nv_fund",AJ$3,$A44))</f>
        <v>1.9631950315</v>
      </c>
      <c r="AK44" s="13">
        <f>IF($A44="","",[1]!thsiFinD("ths_adjustment_nv_fund",AK$3,$A44))</f>
        <v>1.7462033028</v>
      </c>
      <c r="AL44" s="13">
        <f>IF($A44="","",[1]!thsiFinD("ths_adjustment_nv_fund",AL$3,$A44))</f>
        <v>1.955</v>
      </c>
    </row>
    <row r="45" spans="1:27">
      <c r="A45" s="8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  <c r="AB45" s="13">
        <f>IF($A45="","",[1]!thsiFinD("ths_adjustment_nv_fund",AB$3,$A45))</f>
        <v>1.7182</v>
      </c>
      <c r="AC45" s="13">
        <f>IF($A45="","",[1]!thsiFinD("ths_adjustment_nv_fund",AC$3,$A45))</f>
        <v>3.123210884</v>
      </c>
      <c r="AD45" s="13">
        <f>IF($A45="","",[1]!thsiFinD("ths_adjustment_nv_fund",AD$3,$A45))</f>
        <v>1.7002</v>
      </c>
      <c r="AE45" s="13">
        <f>IF($A45="","",[1]!thsiFinD("ths_adjustment_nv_fund",AE$3,$A45))</f>
        <v>1.8773</v>
      </c>
      <c r="AF45" s="13">
        <f>IF($A45="","",[1]!thsiFinD("ths_adjustment_nv_fund",AF$3,$A45))</f>
        <v>3.7482684486</v>
      </c>
      <c r="AG45" s="13">
        <f>IF($A45="","",[1]!thsiFinD("ths_adjustment_nv_fund",AG$3,$A45))</f>
        <v>1.7694264979</v>
      </c>
      <c r="AH45" s="13">
        <f>IF($A45="","",[1]!thsiFinD("ths_adjustment_nv_fund",AH$3,$A45))</f>
        <v>4.6277286816</v>
      </c>
      <c r="AI45" s="13">
        <f>IF($A45="","",[1]!thsiFinD("ths_adjustment_nv_fund",AI$3,$A45))</f>
        <v>4.912247066</v>
      </c>
      <c r="AJ45" s="13">
        <f>IF($A45="","",[1]!thsiFinD("ths_adjustment_nv_fund",AJ$3,$A45))</f>
        <v>1.95667238</v>
      </c>
      <c r="AK45" s="13">
        <f>IF($A45="","",[1]!thsiFinD("ths_adjustment_nv_fund",AK$3,$A45))</f>
        <v>1.7379344027</v>
      </c>
      <c r="AL45" s="13">
        <f>IF($A45="","",[1]!thsiFinD("ths_adjustment_nv_fund",AL$3,$A45))</f>
        <v>1.9333</v>
      </c>
    </row>
    <row r="46" spans="1:27">
      <c r="A46" s="8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  <c r="AB46" s="13">
        <f>IF($A46="","",[1]!thsiFinD("ths_adjustment_nv_fund",AB$3,$A46))</f>
        <v>1.7599</v>
      </c>
      <c r="AC46" s="13">
        <f>IF($A46="","",[1]!thsiFinD("ths_adjustment_nv_fund",AC$3,$A46))</f>
        <v>3.2146856798</v>
      </c>
      <c r="AD46" s="13">
        <f>IF($A46="","",[1]!thsiFinD("ths_adjustment_nv_fund",AD$3,$A46))</f>
        <v>1.7491</v>
      </c>
      <c r="AE46" s="13">
        <f>IF($A46="","",[1]!thsiFinD("ths_adjustment_nv_fund",AE$3,$A46))</f>
        <v>1.9329</v>
      </c>
      <c r="AF46" s="13">
        <f>IF($A46="","",[1]!thsiFinD("ths_adjustment_nv_fund",AF$3,$A46))</f>
        <v>3.7840403051</v>
      </c>
      <c r="AG46" s="13">
        <f>IF($A46="","",[1]!thsiFinD("ths_adjustment_nv_fund",AG$3,$A46))</f>
        <v>1.7765405907</v>
      </c>
      <c r="AH46" s="13">
        <f>IF($A46="","",[1]!thsiFinD("ths_adjustment_nv_fund",AH$3,$A46))</f>
        <v>4.6368252813</v>
      </c>
      <c r="AI46" s="13">
        <f>IF($A46="","",[1]!thsiFinD("ths_adjustment_nv_fund",AI$3,$A46))</f>
        <v>4.9619549288</v>
      </c>
      <c r="AJ46" s="13">
        <f>IF($A46="","",[1]!thsiFinD("ths_adjustment_nv_fund",AJ$3,$A46))</f>
        <v>1.9601183091</v>
      </c>
      <c r="AK46" s="13">
        <f>IF($A46="","",[1]!thsiFinD("ths_adjustment_nv_fund",AK$3,$A46))</f>
        <v>1.7345849748</v>
      </c>
      <c r="AL46" s="13">
        <f>IF($A46="","",[1]!thsiFinD("ths_adjustment_nv_fund",AL$3,$A46))</f>
        <v>1.9597</v>
      </c>
    </row>
    <row r="47" spans="1:27">
      <c r="A47" s="8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  <c r="AB47" s="13">
        <f>IF($A47="","",[1]!thsiFinD("ths_adjustment_nv_fund",AB$3,$A47))</f>
        <v>1.759</v>
      </c>
      <c r="AC47" s="13">
        <f>IF($A47="","",[1]!thsiFinD("ths_adjustment_nv_fund",AC$3,$A47))</f>
        <v>3.2198886113</v>
      </c>
      <c r="AD47" s="13">
        <f>IF($A47="","",[1]!thsiFinD("ths_adjustment_nv_fund",AD$3,$A47))</f>
        <v>1.7483</v>
      </c>
      <c r="AE47" s="13">
        <f>IF($A47="","",[1]!thsiFinD("ths_adjustment_nv_fund",AE$3,$A47))</f>
        <v>1.9324</v>
      </c>
      <c r="AF47" s="13">
        <f>IF($A47="","",[1]!thsiFinD("ths_adjustment_nv_fund",AF$3,$A47))</f>
        <v>3.7980379881</v>
      </c>
      <c r="AG47" s="13">
        <f>IF($A47="","",[1]!thsiFinD("ths_adjustment_nv_fund",AG$3,$A47))</f>
        <v>1.7914685232</v>
      </c>
      <c r="AH47" s="13">
        <f>IF($A47="","",[1]!thsiFinD("ths_adjustment_nv_fund",AH$3,$A47))</f>
        <v>4.6434813298</v>
      </c>
      <c r="AI47" s="13">
        <f>IF($A47="","",[1]!thsiFinD("ths_adjustment_nv_fund",AI$3,$A47))</f>
        <v>4.9772205415</v>
      </c>
      <c r="AJ47" s="13">
        <f>IF($A47="","",[1]!thsiFinD("ths_adjustment_nv_fund",AJ$3,$A47))</f>
        <v>1.9682408563</v>
      </c>
      <c r="AK47" s="13">
        <f>IF($A47="","",[1]!thsiFinD("ths_adjustment_nv_fund",AK$3,$A47))</f>
        <v>1.735631671</v>
      </c>
      <c r="AL47" s="13">
        <f>IF($A47="","",[1]!thsiFinD("ths_adjustment_nv_fund",AL$3,$A47))</f>
        <v>1.9617</v>
      </c>
    </row>
    <row r="48" spans="1:27">
      <c r="A48" s="8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  <c r="AB48" s="13">
        <f>IF($A48="","",[1]!thsiFinD("ths_adjustment_nv_fund",AB$3,$A48))</f>
        <v>1.6812</v>
      </c>
      <c r="AC48" s="13">
        <f>IF($A48="","",[1]!thsiFinD("ths_adjustment_nv_fund",AC$3,$A48))</f>
        <v>3.0631956741</v>
      </c>
      <c r="AD48" s="13">
        <f>IF($A48="","",[1]!thsiFinD("ths_adjustment_nv_fund",AD$3,$A48))</f>
        <v>1.656</v>
      </c>
      <c r="AE48" s="13">
        <f>IF($A48="","",[1]!thsiFinD("ths_adjustment_nv_fund",AE$3,$A48))</f>
        <v>1.834</v>
      </c>
      <c r="AF48" s="13">
        <f>IF($A48="","",[1]!thsiFinD("ths_adjustment_nv_fund",AF$3,$A48))</f>
        <v>3.79648269</v>
      </c>
      <c r="AG48" s="13">
        <f>IF($A48="","",[1]!thsiFinD("ths_adjustment_nv_fund",AG$3,$A48))</f>
        <v>1.7899524051</v>
      </c>
      <c r="AH48" s="13">
        <f>IF($A48="","",[1]!thsiFinD("ths_adjustment_nv_fund",AH$3,$A48))</f>
        <v>4.6053199848</v>
      </c>
      <c r="AI48" s="13">
        <f>IF($A48="","",[1]!thsiFinD("ths_adjustment_nv_fund",AI$3,$A48))</f>
        <v>4.9232231677</v>
      </c>
      <c r="AJ48" s="13">
        <f>IF($A48="","",[1]!thsiFinD("ths_adjustment_nv_fund",AJ$3,$A48))</f>
        <v>1.9906393954</v>
      </c>
      <c r="AK48" s="13">
        <f>IF($A48="","",[1]!thsiFinD("ths_adjustment_nv_fund",AK$3,$A48))</f>
        <v>1.7434147726</v>
      </c>
      <c r="AL48" s="13">
        <f>IF($A48="","",[1]!thsiFinD("ths_adjustment_nv_fund",AL$3,$A48))</f>
        <v>1.9401</v>
      </c>
    </row>
    <row r="49" spans="1:27">
      <c r="A49" s="8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  <c r="AB49" s="13">
        <f>IF($A49="","",[1]!thsiFinD("ths_adjustment_nv_fund",AB$3,$A49))</f>
        <v>1.6937</v>
      </c>
      <c r="AC49" s="13">
        <f>IF($A49="","",[1]!thsiFinD("ths_adjustment_nv_fund",AC$3,$A49))</f>
        <v>3.0759005069</v>
      </c>
      <c r="AD49" s="13">
        <f>IF($A49="","",[1]!thsiFinD("ths_adjustment_nv_fund",AD$3,$A49))</f>
        <v>1.6726</v>
      </c>
      <c r="AE49" s="13">
        <f>IF($A49="","",[1]!thsiFinD("ths_adjustment_nv_fund",AE$3,$A49))</f>
        <v>1.8613</v>
      </c>
      <c r="AF49" s="13">
        <f>IF($A49="","",[1]!thsiFinD("ths_adjustment_nv_fund",AF$3,$A49))</f>
        <v>3.838475739</v>
      </c>
      <c r="AG49" s="13">
        <f>IF($A49="","",[1]!thsiFinD("ths_adjustment_nv_fund",AG$3,$A49))</f>
        <v>1.7945007595</v>
      </c>
      <c r="AH49" s="13">
        <f>IF($A49="","",[1]!thsiFinD("ths_adjustment_nv_fund",AH$3,$A49))</f>
        <v>4.6175227405</v>
      </c>
      <c r="AI49" s="13">
        <f>IF($A49="","",[1]!thsiFinD("ths_adjustment_nv_fund",AI$3,$A49))</f>
        <v>4.9267557062</v>
      </c>
      <c r="AJ49" s="13">
        <f>IF($A49="","",[1]!thsiFinD("ths_adjustment_nv_fund",AJ$3,$A49))</f>
        <v>2.0019617338</v>
      </c>
      <c r="AK49" s="13">
        <f>IF($A49="","",[1]!thsiFinD("ths_adjustment_nv_fund",AK$3,$A49))</f>
        <v>1.7524599989</v>
      </c>
      <c r="AL49" s="13">
        <f>IF($A49="","",[1]!thsiFinD("ths_adjustment_nv_fund",AL$3,$A49))</f>
        <v>1.994</v>
      </c>
    </row>
    <row r="50" spans="1:27">
      <c r="A50" s="8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  <c r="AB50" s="13">
        <f>IF($A50="","",[1]!thsiFinD("ths_adjustment_nv_fund",AB$3,$A50))</f>
        <v>1.6954</v>
      </c>
      <c r="AC50" s="13">
        <f>IF($A50="","",[1]!thsiFinD("ths_adjustment_nv_fund",AC$3,$A50))</f>
        <v>3.0835234065</v>
      </c>
      <c r="AD50" s="13">
        <f>IF($A50="","",[1]!thsiFinD("ths_adjustment_nv_fund",AD$3,$A50))</f>
        <v>1.6804</v>
      </c>
      <c r="AE50" s="13">
        <f>IF($A50="","",[1]!thsiFinD("ths_adjustment_nv_fund",AE$3,$A50))</f>
        <v>1.8712</v>
      </c>
      <c r="AF50" s="13">
        <f>IF($A50="","",[1]!thsiFinD("ths_adjustment_nv_fund",AF$3,$A50))</f>
        <v>3.8618052107</v>
      </c>
      <c r="AG50" s="13">
        <f>IF($A50="","",[1]!thsiFinD("ths_adjustment_nv_fund",AG$3,$A50))</f>
        <v>1.788203038</v>
      </c>
      <c r="AH50" s="13">
        <f>IF($A50="","",[1]!thsiFinD("ths_adjustment_nv_fund",AH$3,$A50))</f>
        <v>4.5829112881</v>
      </c>
      <c r="AI50" s="13">
        <f>IF($A50="","",[1]!thsiFinD("ths_adjustment_nv_fund",AI$3,$A50))</f>
        <v>4.9273865166</v>
      </c>
      <c r="AJ50" s="13">
        <f>IF($A50="","",[1]!thsiFinD("ths_adjustment_nv_fund",AJ$3,$A50))</f>
        <v>1.9913778088</v>
      </c>
      <c r="AK50" s="13">
        <f>IF($A50="","",[1]!thsiFinD("ths_adjustment_nv_fund",AK$3,$A50))</f>
        <v>1.731529766</v>
      </c>
      <c r="AL50" s="13">
        <f>IF($A50="","",[1]!thsiFinD("ths_adjustment_nv_fund",AL$3,$A50))</f>
        <v>2.0238</v>
      </c>
    </row>
    <row r="51" spans="1:27">
      <c r="A51" s="8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  <c r="AB51" s="13">
        <f>IF($A51="","",[1]!thsiFinD("ths_adjustment_nv_fund",AB$3,$A51))</f>
        <v>1.6645</v>
      </c>
      <c r="AC51" s="13">
        <f>IF($A51="","",[1]!thsiFinD("ths_adjustment_nv_fund",AC$3,$A51))</f>
        <v>3.0374230134</v>
      </c>
      <c r="AD51" s="13">
        <f>IF($A51="","",[1]!thsiFinD("ths_adjustment_nv_fund",AD$3,$A51))</f>
        <v>1.6569</v>
      </c>
      <c r="AE51" s="13">
        <f>IF($A51="","",[1]!thsiFinD("ths_adjustment_nv_fund",AE$3,$A51))</f>
        <v>1.8476</v>
      </c>
      <c r="AF51" s="13">
        <f>IF($A51="","",[1]!thsiFinD("ths_adjustment_nv_fund",AF$3,$A51))</f>
        <v>3.8322545466</v>
      </c>
      <c r="AG51" s="13">
        <f>IF($A51="","",[1]!thsiFinD("ths_adjustment_nv_fund",AG$3,$A51))</f>
        <v>1.7990491139</v>
      </c>
      <c r="AH51" s="13">
        <f>IF($A51="","",[1]!thsiFinD("ths_adjustment_nv_fund",AH$3,$A51))</f>
        <v>4.5500747819</v>
      </c>
      <c r="AI51" s="13">
        <f>IF($A51="","",[1]!thsiFinD("ths_adjustment_nv_fund",AI$3,$A51))</f>
        <v>4.9263772199</v>
      </c>
      <c r="AJ51" s="13">
        <f>IF($A51="","",[1]!thsiFinD("ths_adjustment_nv_fund",AJ$3,$A51))</f>
        <v>2.0115611077</v>
      </c>
      <c r="AK51" s="13">
        <f>IF($A51="","",[1]!thsiFinD("ths_adjustment_nv_fund",AK$3,$A51))</f>
        <v>1.7437303038</v>
      </c>
      <c r="AL51" s="13">
        <f>IF($A51="","",[1]!thsiFinD("ths_adjustment_nv_fund",AL$3,$A51))</f>
        <v>2.0639</v>
      </c>
    </row>
    <row r="52" spans="1:27">
      <c r="A52" s="8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  <c r="AB52" s="13">
        <f>IF($A52="","",[1]!thsiFinD("ths_adjustment_nv_fund",AB$3,$A52))</f>
        <v>1.6625</v>
      </c>
      <c r="AC52" s="13">
        <f>IF($A52="","",[1]!thsiFinD("ths_adjustment_nv_fund",AC$3,$A52))</f>
        <v>3.0305261042</v>
      </c>
      <c r="AD52" s="13">
        <f>IF($A52="","",[1]!thsiFinD("ths_adjustment_nv_fund",AD$3,$A52))</f>
        <v>1.6676</v>
      </c>
      <c r="AE52" s="13">
        <f>IF($A52="","",[1]!thsiFinD("ths_adjustment_nv_fund",AE$3,$A52))</f>
        <v>1.8647</v>
      </c>
      <c r="AF52" s="13">
        <f>IF($A52="","",[1]!thsiFinD("ths_adjustment_nv_fund",AF$3,$A52))</f>
        <v>3.8182568636</v>
      </c>
      <c r="AG52" s="13">
        <f>IF($A52="","",[1]!thsiFinD("ths_adjustment_nv_fund",AG$3,$A52))</f>
        <v>1.8033642194</v>
      </c>
      <c r="AH52" s="13">
        <f>IF($A52="","",[1]!thsiFinD("ths_adjustment_nv_fund",AH$3,$A52))</f>
        <v>4.5753677664</v>
      </c>
      <c r="AI52" s="13">
        <f>IF($A52="","",[1]!thsiFinD("ths_adjustment_nv_fund",AI$3,$A52))</f>
        <v>4.9217092227</v>
      </c>
      <c r="AJ52" s="13">
        <f>IF($A52="","",[1]!thsiFinD("ths_adjustment_nv_fund",AJ$3,$A52))</f>
        <v>2.0089766609</v>
      </c>
      <c r="AK52" s="13">
        <f>IF($A52="","",[1]!thsiFinD("ths_adjustment_nv_fund",AK$3,$A52))</f>
        <v>1.7494098645</v>
      </c>
      <c r="AL52" s="13">
        <f>IF($A52="","",[1]!thsiFinD("ths_adjustment_nv_fund",AL$3,$A52))</f>
        <v>2.0603</v>
      </c>
    </row>
    <row r="53" spans="1:27">
      <c r="A53" s="8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  <c r="AB53" s="13">
        <f>IF($A53="","",[1]!thsiFinD("ths_adjustment_nv_fund",AB$3,$A53))</f>
        <v>1.6742</v>
      </c>
      <c r="AC53" s="13">
        <f>IF($A53="","",[1]!thsiFinD("ths_adjustment_nv_fund",AC$3,$A53))</f>
        <v>3.0431099385</v>
      </c>
      <c r="AD53" s="13">
        <f>IF($A53="","",[1]!thsiFinD("ths_adjustment_nv_fund",AD$3,$A53))</f>
        <v>1.6667</v>
      </c>
      <c r="AE53" s="13">
        <f>IF($A53="","",[1]!thsiFinD("ths_adjustment_nv_fund",AE$3,$A53))</f>
        <v>1.8557</v>
      </c>
      <c r="AF53" s="13">
        <f>IF($A53="","",[1]!thsiFinD("ths_adjustment_nv_fund",AF$3,$A53))</f>
        <v>3.8493628258</v>
      </c>
      <c r="AG53" s="13">
        <f>IF($A53="","",[1]!thsiFinD("ths_adjustment_nv_fund",AG$3,$A53))</f>
        <v>1.8032475949</v>
      </c>
      <c r="AH53" s="13">
        <f>IF($A53="","",[1]!thsiFinD("ths_adjustment_nv_fund",AH$3,$A53))</f>
        <v>4.5786957907</v>
      </c>
      <c r="AI53" s="13">
        <f>IF($A53="","",[1]!thsiFinD("ths_adjustment_nv_fund",AI$3,$A53))</f>
        <v>4.9640996843</v>
      </c>
      <c r="AJ53" s="13">
        <f>IF($A53="","",[1]!thsiFinD("ths_adjustment_nv_fund",AJ$3,$A53))</f>
        <v>2.0154993124</v>
      </c>
      <c r="AK53" s="13">
        <f>IF($A53="","",[1]!thsiFinD("ths_adjustment_nv_fund",AK$3,$A53))</f>
        <v>1.7579292055</v>
      </c>
      <c r="AL53" s="13">
        <f>IF($A53="","",[1]!thsiFinD("ths_adjustment_nv_fund",AL$3,$A53))</f>
        <v>2.0557</v>
      </c>
    </row>
    <row r="54" spans="1:27">
      <c r="A54" s="8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  <c r="AB54" s="13">
        <f>IF($A54="","",[1]!thsiFinD("ths_adjustment_nv_fund",AB$3,$A54))</f>
        <v>1.7115</v>
      </c>
      <c r="AC54" s="13">
        <f>IF($A54="","",[1]!thsiFinD("ths_adjustment_nv_fund",AC$3,$A54))</f>
        <v>3.1204279207</v>
      </c>
      <c r="AD54" s="13">
        <f>IF($A54="","",[1]!thsiFinD("ths_adjustment_nv_fund",AD$3,$A54))</f>
        <v>1.708</v>
      </c>
      <c r="AE54" s="13">
        <f>IF($A54="","",[1]!thsiFinD("ths_adjustment_nv_fund",AE$3,$A54))</f>
        <v>1.8886</v>
      </c>
      <c r="AF54" s="13">
        <f>IF($A54="","",[1]!thsiFinD("ths_adjustment_nv_fund",AF$3,$A54))</f>
        <v>3.9037982597</v>
      </c>
      <c r="AG54" s="13">
        <f>IF($A54="","",[1]!thsiFinD("ths_adjustment_nv_fund",AG$3,$A54))</f>
        <v>1.8023145992</v>
      </c>
      <c r="AH54" s="13">
        <f>IF($A54="","",[1]!thsiFinD("ths_adjustment_nv_fund",AH$3,$A54))</f>
        <v>4.6082042725</v>
      </c>
      <c r="AI54" s="13">
        <f>IF($A54="","",[1]!thsiFinD("ths_adjustment_nv_fund",AI$3,$A54))</f>
        <v>5.0288208355</v>
      </c>
      <c r="AJ54" s="13">
        <f>IF($A54="","",[1]!thsiFinD("ths_adjustment_nv_fund",AJ$3,$A54))</f>
        <v>2.0044231117</v>
      </c>
      <c r="AK54" s="13">
        <f>IF($A54="","",[1]!thsiFinD("ths_adjustment_nv_fund",AK$3,$A54))</f>
        <v>1.7479373858</v>
      </c>
      <c r="AL54" s="13">
        <f>IF($A54="","",[1]!thsiFinD("ths_adjustment_nv_fund",AL$3,$A54))</f>
        <v>2.0421</v>
      </c>
    </row>
    <row r="55" spans="1:27">
      <c r="A55" s="8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  <c r="AB55" s="13">
        <f>IF($A55="","",[1]!thsiFinD("ths_adjustment_nv_fund",AB$3,$A55))</f>
        <v>1.7001</v>
      </c>
      <c r="AC55" s="13">
        <f>IF($A55="","",[1]!thsiFinD("ths_adjustment_nv_fund",AC$3,$A55))</f>
        <v>3.1055451166</v>
      </c>
      <c r="AD55" s="13">
        <f>IF($A55="","",[1]!thsiFinD("ths_adjustment_nv_fund",AD$3,$A55))</f>
        <v>1.7066</v>
      </c>
      <c r="AE55" s="13">
        <f>IF($A55="","",[1]!thsiFinD("ths_adjustment_nv_fund",AE$3,$A55))</f>
        <v>1.8829</v>
      </c>
      <c r="AF55" s="13">
        <f>IF($A55="","",[1]!thsiFinD("ths_adjustment_nv_fund",AF$3,$A55))</f>
        <v>3.9131300484</v>
      </c>
      <c r="AG55" s="13">
        <f>IF($A55="","",[1]!thsiFinD("ths_adjustment_nv_fund",AG$3,$A55))</f>
        <v>1.8082624473</v>
      </c>
      <c r="AH55" s="13">
        <f>IF($A55="","",[1]!thsiFinD("ths_adjustment_nv_fund",AH$3,$A55))</f>
        <v>4.6212945013</v>
      </c>
      <c r="AI55" s="13">
        <f>IF($A55="","",[1]!thsiFinD("ths_adjustment_nv_fund",AI$3,$A55))</f>
        <v>5.0578381158</v>
      </c>
      <c r="AJ55" s="13">
        <f>IF($A55="","",[1]!thsiFinD("ths_adjustment_nv_fund",AJ$3,$A55))</f>
        <v>2.0071306275</v>
      </c>
      <c r="AK55" s="13">
        <f>IF($A55="","",[1]!thsiFinD("ths_adjustment_nv_fund",AK$3,$A55))</f>
        <v>1.7508823432</v>
      </c>
      <c r="AL55" s="13">
        <f>IF($A55="","",[1]!thsiFinD("ths_adjustment_nv_fund",AL$3,$A55))</f>
        <v>2.045</v>
      </c>
    </row>
    <row r="56" spans="1:27">
      <c r="A56" s="8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  <c r="AB56" s="13">
        <f>IF($A56="","",[1]!thsiFinD("ths_adjustment_nv_fund",AB$3,$A56))</f>
        <v>1.7123</v>
      </c>
      <c r="AC56" s="13">
        <f>IF($A56="","",[1]!thsiFinD("ths_adjustment_nv_fund",AC$3,$A56))</f>
        <v>3.1528554938</v>
      </c>
      <c r="AD56" s="13">
        <f>IF($A56="","",[1]!thsiFinD("ths_adjustment_nv_fund",AD$3,$A56))</f>
        <v>1.7324</v>
      </c>
      <c r="AE56" s="13">
        <f>IF($A56="","",[1]!thsiFinD("ths_adjustment_nv_fund",AE$3,$A56))</f>
        <v>1.9002</v>
      </c>
      <c r="AF56" s="13">
        <f>IF($A56="","",[1]!thsiFinD("ths_adjustment_nv_fund",AF$3,$A56))</f>
        <v>3.8758028937</v>
      </c>
      <c r="AG56" s="13">
        <f>IF($A56="","",[1]!thsiFinD("ths_adjustment_nv_fund",AG$3,$A56))</f>
        <v>1.8163095359</v>
      </c>
      <c r="AH56" s="13">
        <f>IF($A56="","",[1]!thsiFinD("ths_adjustment_nv_fund",AH$3,$A56))</f>
        <v>4.6479186955</v>
      </c>
      <c r="AI56" s="13">
        <f>IF($A56="","",[1]!thsiFinD("ths_adjustment_nv_fund",AI$3,$A56))</f>
        <v>5.0767624291</v>
      </c>
      <c r="AJ56" s="13">
        <f>IF($A56="","",[1]!thsiFinD("ths_adjustment_nv_fund",AJ$3,$A56))</f>
        <v>2.0223911706</v>
      </c>
      <c r="AK56" s="13">
        <f>IF($A56="","",[1]!thsiFinD("ths_adjustment_nv_fund",AK$3,$A56))</f>
        <v>1.7528807071</v>
      </c>
      <c r="AL56" s="13">
        <f>IF($A56="","",[1]!thsiFinD("ths_adjustment_nv_fund",AL$3,$A56))</f>
        <v>1.9744</v>
      </c>
    </row>
    <row r="57" spans="1:27">
      <c r="A57" s="8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  <c r="AB57" s="13">
        <f>IF($A57="","",[1]!thsiFinD("ths_adjustment_nv_fund",AB$3,$A57))</f>
        <v>1.6928</v>
      </c>
      <c r="AC57" s="13">
        <f>IF($A57="","",[1]!thsiFinD("ths_adjustment_nv_fund",AC$3,$A57))</f>
        <v>3.1151039908</v>
      </c>
      <c r="AD57" s="13">
        <f>IF($A57="","",[1]!thsiFinD("ths_adjustment_nv_fund",AD$3,$A57))</f>
        <v>1.7145</v>
      </c>
      <c r="AE57" s="13">
        <f>IF($A57="","",[1]!thsiFinD("ths_adjustment_nv_fund",AE$3,$A57))</f>
        <v>1.8868</v>
      </c>
      <c r="AF57" s="13">
        <f>IF($A57="","",[1]!thsiFinD("ths_adjustment_nv_fund",AF$3,$A57))</f>
        <v>3.8478075277</v>
      </c>
      <c r="AG57" s="13">
        <f>IF($A57="","",[1]!thsiFinD("ths_adjustment_nv_fund",AG$3,$A57))</f>
        <v>1.8206246414</v>
      </c>
      <c r="AH57" s="13">
        <f>IF($A57="","",[1]!thsiFinD("ths_adjustment_nv_fund",AH$3,$A57))</f>
        <v>4.6550184806</v>
      </c>
      <c r="AI57" s="13">
        <f>IF($A57="","",[1]!thsiFinD("ths_adjustment_nv_fund",AI$3,$A57))</f>
        <v>5.0642723823</v>
      </c>
      <c r="AJ57" s="13">
        <f>IF($A57="","",[1]!thsiFinD("ths_adjustment_nv_fund",AJ$3,$A57))</f>
        <v>2.0450358475</v>
      </c>
      <c r="AK57" s="13">
        <f>IF($A57="","",[1]!thsiFinD("ths_adjustment_nv_fund",AK$3,$A57))</f>
        <v>1.7709711596</v>
      </c>
      <c r="AL57" s="13">
        <f>IF($A57="","",[1]!thsiFinD("ths_adjustment_nv_fund",AL$3,$A57))</f>
        <v>1.9702</v>
      </c>
    </row>
    <row r="58" spans="1:27">
      <c r="A58" s="8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  <c r="AB58" s="13">
        <f>IF($A58="","",[1]!thsiFinD("ths_adjustment_nv_fund",AB$3,$A58))</f>
        <v>1.6663</v>
      </c>
      <c r="AC58" s="13">
        <f>IF($A58="","",[1]!thsiFinD("ths_adjustment_nv_fund",AC$3,$A58))</f>
        <v>3.067914612</v>
      </c>
      <c r="AD58" s="13">
        <f>IF($A58="","",[1]!thsiFinD("ths_adjustment_nv_fund",AD$3,$A58))</f>
        <v>1.6962</v>
      </c>
      <c r="AE58" s="13">
        <f>IF($A58="","",[1]!thsiFinD("ths_adjustment_nv_fund",AE$3,$A58))</f>
        <v>1.8702</v>
      </c>
      <c r="AF58" s="13">
        <f>IF($A58="","",[1]!thsiFinD("ths_adjustment_nv_fund",AF$3,$A58))</f>
        <v>3.7731532184</v>
      </c>
      <c r="AG58" s="13">
        <f>IF($A58="","",[1]!thsiFinD("ths_adjustment_nv_fund",AG$3,$A58))</f>
        <v>1.7969498734</v>
      </c>
      <c r="AH58" s="13">
        <f>IF($A58="","",[1]!thsiFinD("ths_adjustment_nv_fund",AH$3,$A58))</f>
        <v>4.6173008722</v>
      </c>
      <c r="AI58" s="13">
        <f>IF($A58="","",[1]!thsiFinD("ths_adjustment_nv_fund",AI$3,$A58))</f>
        <v>5.0154476542</v>
      </c>
      <c r="AJ58" s="13">
        <f>IF($A58="","",[1]!thsiFinD("ths_adjustment_nv_fund",AJ$3,$A58))</f>
        <v>2.0340827157</v>
      </c>
      <c r="AK58" s="13">
        <f>IF($A58="","",[1]!thsiFinD("ths_adjustment_nv_fund",AK$3,$A58))</f>
        <v>1.7564567268</v>
      </c>
      <c r="AL58" s="13">
        <f>IF($A58="","",[1]!thsiFinD("ths_adjustment_nv_fund",AL$3,$A58))</f>
        <v>1.9226</v>
      </c>
    </row>
    <row r="59" spans="1:27">
      <c r="A59" s="8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  <c r="AB59" s="13">
        <f>IF($A59="","",[1]!thsiFinD("ths_adjustment_nv_fund",AB$3,$A59))</f>
        <v>1.6719</v>
      </c>
      <c r="AC59" s="13">
        <f>IF($A59="","",[1]!thsiFinD("ths_adjustment_nv_fund",AC$3,$A59))</f>
        <v>3.0791674638</v>
      </c>
      <c r="AD59" s="13">
        <f>IF($A59="","",[1]!thsiFinD("ths_adjustment_nv_fund",AD$3,$A59))</f>
        <v>1.7005</v>
      </c>
      <c r="AE59" s="13">
        <f>IF($A59="","",[1]!thsiFinD("ths_adjustment_nv_fund",AE$3,$A59))</f>
        <v>1.8726</v>
      </c>
      <c r="AF59" s="13">
        <f>IF($A59="","",[1]!thsiFinD("ths_adjustment_nv_fund",AF$3,$A59))</f>
        <v>3.8306992485</v>
      </c>
      <c r="AG59" s="13">
        <f>IF($A59="","",[1]!thsiFinD("ths_adjustment_nv_fund",AG$3,$A59))</f>
        <v>1.8033642194</v>
      </c>
      <c r="AH59" s="13">
        <f>IF($A59="","",[1]!thsiFinD("ths_adjustment_nv_fund",AH$3,$A59))</f>
        <v>4.6070949311</v>
      </c>
      <c r="AI59" s="13">
        <f>IF($A59="","",[1]!thsiFinD("ths_adjustment_nv_fund",AI$3,$A59))</f>
        <v>5.0440864482</v>
      </c>
      <c r="AJ59" s="13">
        <f>IF($A59="","",[1]!thsiFinD("ths_adjustment_nv_fund",AJ$3,$A59))</f>
        <v>2.0318607538</v>
      </c>
      <c r="AK59" s="13">
        <f>IF($A59="","",[1]!thsiFinD("ths_adjustment_nv_fund",AK$3,$A59))</f>
        <v>1.7579292055</v>
      </c>
      <c r="AL59" s="13">
        <f>IF($A59="","",[1]!thsiFinD("ths_adjustment_nv_fund",AL$3,$A59))</f>
        <v>1.9653</v>
      </c>
    </row>
    <row r="60" spans="1:27">
      <c r="A60" s="8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  <c r="AB60" s="13">
        <f>IF($A60="","",[1]!thsiFinD("ths_adjustment_nv_fund",AB$3,$A60))</f>
        <v>1.6506</v>
      </c>
      <c r="AC60" s="13">
        <f>IF($A60="","",[1]!thsiFinD("ths_adjustment_nv_fund",AC$3,$A60))</f>
        <v>3.0354870389</v>
      </c>
      <c r="AD60" s="13">
        <f>IF($A60="","",[1]!thsiFinD("ths_adjustment_nv_fund",AD$3,$A60))</f>
        <v>1.6791</v>
      </c>
      <c r="AE60" s="13">
        <f>IF($A60="","",[1]!thsiFinD("ths_adjustment_nv_fund",AE$3,$A60))</f>
        <v>1.8539</v>
      </c>
      <c r="AF60" s="13">
        <f>IF($A60="","",[1]!thsiFinD("ths_adjustment_nv_fund",AF$3,$A60))</f>
        <v>3.8291439504</v>
      </c>
      <c r="AG60" s="13">
        <f>IF($A60="","",[1]!thsiFinD("ths_adjustment_nv_fund",AG$3,$A60))</f>
        <v>1.8056967089</v>
      </c>
      <c r="AH60" s="13">
        <f>IF($A60="","",[1]!thsiFinD("ths_adjustment_nv_fund",AH$3,$A60))</f>
        <v>4.6321660473</v>
      </c>
      <c r="AI60" s="13">
        <f>IF($A60="","",[1]!thsiFinD("ths_adjustment_nv_fund",AI$3,$A60))</f>
        <v>5.0413108823</v>
      </c>
      <c r="AJ60" s="13">
        <f>IF($A60="","",[1]!thsiFinD("ths_adjustment_nv_fund",AJ$3,$A60))</f>
        <v>2.0407486015</v>
      </c>
      <c r="AK60" s="13">
        <f>IF($A60="","",[1]!thsiFinD("ths_adjustment_nv_fund",AK$3,$A60))</f>
        <v>1.7664485465</v>
      </c>
      <c r="AL60" s="13">
        <f>IF($A60="","",[1]!thsiFinD("ths_adjustment_nv_fund",AL$3,$A60))</f>
        <v>1.9804</v>
      </c>
    </row>
    <row r="61" spans="1:27">
      <c r="A61" s="8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  <c r="AB61" s="13">
        <f>IF($A61="","",[1]!thsiFinD("ths_adjustment_nv_fund",AB$3,$A61))</f>
        <v>1.6725</v>
      </c>
      <c r="AC61" s="13">
        <f>IF($A61="","",[1]!thsiFinD("ths_adjustment_nv_fund",AC$3,$A61))</f>
        <v>3.0769894925</v>
      </c>
      <c r="AD61" s="13">
        <f>IF($A61="","",[1]!thsiFinD("ths_adjustment_nv_fund",AD$3,$A61))</f>
        <v>1.7051</v>
      </c>
      <c r="AE61" s="13">
        <f>IF($A61="","",[1]!thsiFinD("ths_adjustment_nv_fund",AE$3,$A61))</f>
        <v>1.8778</v>
      </c>
      <c r="AF61" s="13">
        <f>IF($A61="","",[1]!thsiFinD("ths_adjustment_nv_fund",AF$3,$A61))</f>
        <v>3.7638214297</v>
      </c>
      <c r="AG61" s="13">
        <f>IF($A61="","",[1]!thsiFinD("ths_adjustment_nv_fund",AG$3,$A61))</f>
        <v>1.7918183966</v>
      </c>
      <c r="AH61" s="13">
        <f>IF($A61="","",[1]!thsiFinD("ths_adjustment_nv_fund",AH$3,$A61))</f>
        <v>4.6412626469</v>
      </c>
      <c r="AI61" s="13">
        <f>IF($A61="","",[1]!thsiFinD("ths_adjustment_nv_fund",AI$3,$A61))</f>
        <v>4.9899629124</v>
      </c>
      <c r="AJ61" s="13">
        <f>IF($A61="","",[1]!thsiFinD("ths_adjustment_nv_fund",AJ$3,$A61))</f>
        <v>2.0223556944</v>
      </c>
      <c r="AK61" s="13">
        <f>IF($A61="","",[1]!thsiFinD("ths_adjustment_nv_fund",AK$3,$A61))</f>
        <v>1.7543531858</v>
      </c>
      <c r="AL61" s="13">
        <f>IF($A61="","",[1]!thsiFinD("ths_adjustment_nv_fund",AL$3,$A61))</f>
        <v>1.9506</v>
      </c>
    </row>
    <row r="62" spans="1:27">
      <c r="A62" s="8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  <c r="AB62" s="13">
        <f>IF($A62="","",[1]!thsiFinD("ths_adjustment_nv_fund",AB$3,$A62))</f>
        <v>1.6754</v>
      </c>
      <c r="AC62" s="13">
        <f>IF($A62="","",[1]!thsiFinD("ths_adjustment_nv_fund",AC$3,$A62))</f>
        <v>3.0813454352</v>
      </c>
      <c r="AD62" s="13">
        <f>IF($A62="","",[1]!thsiFinD("ths_adjustment_nv_fund",AD$3,$A62))</f>
        <v>1.7082</v>
      </c>
      <c r="AE62" s="13">
        <f>IF($A62="","",[1]!thsiFinD("ths_adjustment_nv_fund",AE$3,$A62))</f>
        <v>1.8812</v>
      </c>
      <c r="AF62" s="13">
        <f>IF($A62="","",[1]!thsiFinD("ths_adjustment_nv_fund",AF$3,$A62))</f>
        <v>3.7731532184</v>
      </c>
      <c r="AG62" s="13">
        <f>IF($A62="","",[1]!thsiFinD("ths_adjustment_nv_fund",AG$3,$A62))</f>
        <v>1.7991657384</v>
      </c>
      <c r="AH62" s="13">
        <f>IF($A62="","",[1]!thsiFinD("ths_adjustment_nv_fund",AH$3,$A62))</f>
        <v>4.6474749589</v>
      </c>
      <c r="AI62" s="13">
        <f>IF($A62="","",[1]!thsiFinD("ths_adjustment_nv_fund",AI$3,$A62))</f>
        <v>4.9950093959</v>
      </c>
      <c r="AJ62" s="13">
        <f>IF($A62="","",[1]!thsiFinD("ths_adjustment_nv_fund",AJ$3,$A62))</f>
        <v>2.0403782746</v>
      </c>
      <c r="AK62" s="13">
        <f>IF($A62="","",[1]!thsiFinD("ths_adjustment_nv_fund",AK$3,$A62))</f>
        <v>1.7629777038</v>
      </c>
      <c r="AL62" s="13">
        <f>IF($A62="","",[1]!thsiFinD("ths_adjustment_nv_fund",AL$3,$A62))</f>
        <v>1.9551</v>
      </c>
    </row>
    <row r="63" spans="1:27">
      <c r="A63" s="8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  <c r="AB63" s="13">
        <f>IF($A63="","",[1]!thsiFinD("ths_adjustment_nv_fund",AB$3,$A63))</f>
        <v>1.6755</v>
      </c>
      <c r="AC63" s="13">
        <f>IF($A63="","",[1]!thsiFinD("ths_adjustment_nv_fund",AC$3,$A63))</f>
        <v>3.0843703953</v>
      </c>
      <c r="AD63" s="13">
        <f>IF($A63="","",[1]!thsiFinD("ths_adjustment_nv_fund",AD$3,$A63))</f>
        <v>1.7094</v>
      </c>
      <c r="AE63" s="13">
        <f>IF($A63="","",[1]!thsiFinD("ths_adjustment_nv_fund",AE$3,$A63))</f>
        <v>1.8823</v>
      </c>
      <c r="AF63" s="13">
        <f>IF($A63="","",[1]!thsiFinD("ths_adjustment_nv_fund",AF$3,$A63))</f>
        <v>3.7933720938</v>
      </c>
      <c r="AG63" s="13">
        <f>IF($A63="","",[1]!thsiFinD("ths_adjustment_nv_fund",AG$3,$A63))</f>
        <v>1.8097785654</v>
      </c>
      <c r="AH63" s="13">
        <f>IF($A63="","",[1]!thsiFinD("ths_adjustment_nv_fund",AH$3,$A63))</f>
        <v>4.6328316521</v>
      </c>
      <c r="AI63" s="13">
        <f>IF($A63="","",[1]!thsiFinD("ths_adjustment_nv_fund",AI$3,$A63))</f>
        <v>5.0121674399</v>
      </c>
      <c r="AJ63" s="13">
        <f>IF($A63="","",[1]!thsiFinD("ths_adjustment_nv_fund",AJ$3,$A63))</f>
        <v>2.0465503911</v>
      </c>
      <c r="AK63" s="13">
        <f>IF($A63="","",[1]!thsiFinD("ths_adjustment_nv_fund",AK$3,$A63))</f>
        <v>1.7583499137</v>
      </c>
      <c r="AL63" s="13">
        <f>IF($A63="","",[1]!thsiFinD("ths_adjustment_nv_fund",AL$3,$A63))</f>
        <v>1.9516</v>
      </c>
    </row>
    <row r="64" spans="1:27">
      <c r="A64" s="8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  <c r="AB64" s="13">
        <f>IF($A64="","",[1]!thsiFinD("ths_adjustment_nv_fund",AB$3,$A64))</f>
        <v>1.6662</v>
      </c>
      <c r="AC64" s="13">
        <f>IF($A64="","",[1]!thsiFinD("ths_adjustment_nv_fund",AC$3,$A64))</f>
        <v>3.058718733</v>
      </c>
      <c r="AD64" s="13">
        <f>IF($A64="","",[1]!thsiFinD("ths_adjustment_nv_fund",AD$3,$A64))</f>
        <v>1.6922</v>
      </c>
      <c r="AE64" s="13">
        <f>IF($A64="","",[1]!thsiFinD("ths_adjustment_nv_fund",AE$3,$A64))</f>
        <v>1.8577</v>
      </c>
      <c r="AF64" s="13">
        <f>IF($A64="","",[1]!thsiFinD("ths_adjustment_nv_fund",AF$3,$A64))</f>
        <v>3.7576002373</v>
      </c>
      <c r="AG64" s="13">
        <f>IF($A64="","",[1]!thsiFinD("ths_adjustment_nv_fund",AG$3,$A64))</f>
        <v>1.7997488608</v>
      </c>
      <c r="AH64" s="13">
        <f>IF($A64="","",[1]!thsiFinD("ths_adjustment_nv_fund",AH$3,$A64))</f>
        <v>4.5975545949</v>
      </c>
      <c r="AI64" s="13">
        <f>IF($A64="","",[1]!thsiFinD("ths_adjustment_nv_fund",AI$3,$A64))</f>
        <v>4.9740664893</v>
      </c>
      <c r="AJ64" s="13">
        <f>IF($A64="","",[1]!thsiFinD("ths_adjustment_nv_fund",AJ$3,$A64))</f>
        <v>2.0535866039</v>
      </c>
      <c r="AK64" s="13">
        <f>IF($A64="","",[1]!thsiFinD("ths_adjustment_nv_fund",AK$3,$A64))</f>
        <v>1.7567722579</v>
      </c>
      <c r="AL64" s="13">
        <f>IF($A64="","",[1]!thsiFinD("ths_adjustment_nv_fund",AL$3,$A64))</f>
        <v>1.9598</v>
      </c>
    </row>
    <row r="65" spans="1:27">
      <c r="A65" s="8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  <c r="AB65" s="13">
        <f>IF($A65="","",[1]!thsiFinD("ths_adjustment_nv_fund",AB$3,$A65))</f>
        <v>1.6375</v>
      </c>
      <c r="AC65" s="13">
        <f>IF($A65="","",[1]!thsiFinD("ths_adjustment_nv_fund",AC$3,$A65))</f>
        <v>3.0058424291</v>
      </c>
      <c r="AD65" s="13">
        <f>IF($A65="","",[1]!thsiFinD("ths_adjustment_nv_fund",AD$3,$A65))</f>
        <v>1.6625</v>
      </c>
      <c r="AE65" s="13">
        <f>IF($A65="","",[1]!thsiFinD("ths_adjustment_nv_fund",AE$3,$A65))</f>
        <v>1.8233</v>
      </c>
      <c r="AF65" s="13">
        <f>IF($A65="","",[1]!thsiFinD("ths_adjustment_nv_fund",AF$3,$A65))</f>
        <v>3.6813906298</v>
      </c>
      <c r="AG65" s="13">
        <f>IF($A65="","",[1]!thsiFinD("ths_adjustment_nv_fund",AG$3,$A65))</f>
        <v>1.7831881857</v>
      </c>
      <c r="AH65" s="13">
        <f>IF($A65="","",[1]!thsiFinD("ths_adjustment_nv_fund",AH$3,$A65))</f>
        <v>4.5593932499</v>
      </c>
      <c r="AI65" s="13">
        <f>IF($A65="","",[1]!thsiFinD("ths_adjustment_nv_fund",AI$3,$A65))</f>
        <v>4.9048035028</v>
      </c>
      <c r="AJ65" s="13">
        <f>IF($A65="","",[1]!thsiFinD("ths_adjustment_nv_fund",AJ$3,$A65))</f>
        <v>2.035687466</v>
      </c>
      <c r="AK65" s="13">
        <f>IF($A65="","",[1]!thsiFinD("ths_adjustment_nv_fund",AK$3,$A65))</f>
        <v>1.7423630021</v>
      </c>
      <c r="AL65" s="13">
        <f>IF($A65="","",[1]!thsiFinD("ths_adjustment_nv_fund",AL$3,$A65))</f>
        <v>1.9322</v>
      </c>
    </row>
    <row r="66" spans="1:27">
      <c r="A66" s="8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  <c r="AB66" s="13">
        <f>IF($A66="","",[1]!thsiFinD("ths_adjustment_nv_fund",AB$3,$A66))</f>
        <v>1.6345</v>
      </c>
      <c r="AC66" s="13">
        <f>IF($A66="","",[1]!thsiFinD("ths_adjustment_nv_fund",AC$3,$A66))</f>
        <v>3.0071734116</v>
      </c>
      <c r="AD66" s="13">
        <f>IF($A66="","",[1]!thsiFinD("ths_adjustment_nv_fund",AD$3,$A66))</f>
        <v>1.6734</v>
      </c>
      <c r="AE66" s="13">
        <f>IF($A66="","",[1]!thsiFinD("ths_adjustment_nv_fund",AE$3,$A66))</f>
        <v>1.8372</v>
      </c>
      <c r="AF66" s="13">
        <f>IF($A66="","",[1]!thsiFinD("ths_adjustment_nv_fund",AF$3,$A66))</f>
        <v>3.6813906298</v>
      </c>
      <c r="AG66" s="13">
        <f>IF($A66="","",[1]!thsiFinD("ths_adjustment_nv_fund",AG$3,$A66))</f>
        <v>1.7880864135</v>
      </c>
      <c r="AH66" s="13">
        <f>IF($A66="","",[1]!thsiFinD("ths_adjustment_nv_fund",AH$3,$A66))</f>
        <v>4.569599191</v>
      </c>
      <c r="AI66" s="13">
        <f>IF($A66="","",[1]!thsiFinD("ths_adjustment_nv_fund",AI$3,$A66))</f>
        <v>4.8896640523</v>
      </c>
      <c r="AJ66" s="13">
        <f>IF($A66="","",[1]!thsiFinD("ths_adjustment_nv_fund",AJ$3,$A66))</f>
        <v>2.0428471212</v>
      </c>
      <c r="AK66" s="13">
        <f>IF($A66="","",[1]!thsiFinD("ths_adjustment_nv_fund",AK$3,$A66))</f>
        <v>1.7536169464</v>
      </c>
      <c r="AL66" s="13">
        <f>IF($A66="","",[1]!thsiFinD("ths_adjustment_nv_fund",AL$3,$A66))</f>
        <v>1.9186</v>
      </c>
    </row>
    <row r="67" spans="1:27">
      <c r="A67" s="8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  <c r="AB67" s="13">
        <f>IF($A67="","",[1]!thsiFinD("ths_adjustment_nv_fund",AB$3,$A67))</f>
        <v>1.6334</v>
      </c>
      <c r="AC67" s="13">
        <f>IF($A67="","",[1]!thsiFinD("ths_adjustment_nv_fund",AC$3,$A67))</f>
        <v>3.0036644578</v>
      </c>
      <c r="AD67" s="13">
        <f>IF($A67="","",[1]!thsiFinD("ths_adjustment_nv_fund",AD$3,$A67))</f>
        <v>1.6667</v>
      </c>
      <c r="AE67" s="13">
        <f>IF($A67="","",[1]!thsiFinD("ths_adjustment_nv_fund",AE$3,$A67))</f>
        <v>1.8254</v>
      </c>
      <c r="AF67" s="13">
        <f>IF($A67="","",[1]!thsiFinD("ths_adjustment_nv_fund",AF$3,$A67))</f>
        <v>3.6580611581</v>
      </c>
      <c r="AG67" s="13">
        <f>IF($A67="","",[1]!thsiFinD("ths_adjustment_nv_fund",AG$3,$A67))</f>
        <v>1.7788730802</v>
      </c>
      <c r="AH67" s="13">
        <f>IF($A67="","",[1]!thsiFinD("ths_adjustment_nv_fund",AH$3,$A67))</f>
        <v>4.5474123625</v>
      </c>
      <c r="AI67" s="13">
        <f>IF($A67="","",[1]!thsiFinD("ths_adjustment_nv_fund",AI$3,$A67))</f>
        <v>4.8675856868</v>
      </c>
      <c r="AJ67" s="13">
        <f>IF($A67="","",[1]!thsiFinD("ths_adjustment_nv_fund",AJ$3,$A67))</f>
        <v>2.0270465029</v>
      </c>
      <c r="AK67" s="13">
        <f>IF($A67="","",[1]!thsiFinD("ths_adjustment_nv_fund",AK$3,$A67))</f>
        <v>1.7400491071</v>
      </c>
      <c r="AL67" s="13">
        <f>IF($A67="","",[1]!thsiFinD("ths_adjustment_nv_fund",AL$3,$A67))</f>
        <v>1.9079</v>
      </c>
    </row>
    <row r="68" spans="1:27">
      <c r="A68" s="8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  <c r="AB68" s="13">
        <f>IF($A68="","",[1]!thsiFinD("ths_adjustment_nv_fund",AB$3,$A68))</f>
        <v>1.6617</v>
      </c>
      <c r="AC68" s="13">
        <f>IF($A68="","",[1]!thsiFinD("ths_adjustment_nv_fund",AC$3,$A68))</f>
        <v>3.0531528063</v>
      </c>
      <c r="AD68" s="13">
        <f>IF($A68="","",[1]!thsiFinD("ths_adjustment_nv_fund",AD$3,$A68))</f>
        <v>1.7012</v>
      </c>
      <c r="AE68" s="13">
        <f>IF($A68="","",[1]!thsiFinD("ths_adjustment_nv_fund",AE$3,$A68))</f>
        <v>1.8687</v>
      </c>
      <c r="AF68" s="13">
        <f>IF($A68="","",[1]!thsiFinD("ths_adjustment_nv_fund",AF$3,$A68))</f>
        <v>3.6611717543</v>
      </c>
      <c r="AG68" s="13">
        <f>IF($A68="","",[1]!thsiFinD("ths_adjustment_nv_fund",AG$3,$A68))</f>
        <v>1.7716423629</v>
      </c>
      <c r="AH68" s="13">
        <f>IF($A68="","",[1]!thsiFinD("ths_adjustment_nv_fund",AH$3,$A68))</f>
        <v>4.5573964353</v>
      </c>
      <c r="AI68" s="13">
        <f>IF($A68="","",[1]!thsiFinD("ths_adjustment_nv_fund",AI$3,$A68))</f>
        <v>4.8720013599</v>
      </c>
      <c r="AJ68" s="13">
        <f>IF($A68="","",[1]!thsiFinD("ths_adjustment_nv_fund",AJ$3,$A68))</f>
        <v>2.0128506349</v>
      </c>
      <c r="AK68" s="13">
        <f>IF($A68="","",[1]!thsiFinD("ths_adjustment_nv_fund",AK$3,$A68))</f>
        <v>1.7305371768</v>
      </c>
      <c r="AL68" s="13">
        <f>IF($A68="","",[1]!thsiFinD("ths_adjustment_nv_fund",AL$3,$A68))</f>
        <v>1.9232</v>
      </c>
    </row>
    <row r="69" spans="1:27">
      <c r="A69" s="8">
        <v>46282</v>
      </c>
      <c r="B69" s="13">
        <f>IF($A69="","",[1]!thsiFinD("ths_adjustment_nv_fund",B$3,$A69))</f>
        <v>3.2322000000000002</v>
      </c>
      <c r="C69" s="13">
        <f>IF($A69="","",[1]!thsiFinD("ths_adjustment_nv_fund",C$3,$A69))</f>
        <v>1.3213371816999999</v>
      </c>
      <c r="D69" s="13">
        <f>IF($A69="","",[1]!thsiFinD("ths_adjustment_nv_fund",D$3,$A69))</f>
        <v>4.6349999999999998</v>
      </c>
      <c r="E69" s="13">
        <f>IF($A69="","",[1]!thsiFinD("ths_adjustment_nv_fund",E$3,$A69))</f>
        <v>1.8714</v>
      </c>
      <c r="F69" s="13">
        <f>IF($A69="","",[1]!thsiFinD("ths_adjustment_nv_fund",F$3,$A69))</f>
        <v>1.8169999999999999</v>
      </c>
      <c r="G69" s="13">
        <f>IF($A69="","",[1]!thsiFinD("ths_adjustment_nv_fund",G$3,$A69))</f>
        <v>3.8973</v>
      </c>
      <c r="H69" s="13">
        <f>IF($A69="","",[1]!thsiFinD("ths_adjustment_nv_fund",H$3,$A69))</f>
        <v>3.8123</v>
      </c>
      <c r="I69" s="13">
        <f>IF($A69="","",[1]!thsiFinD("ths_adjustment_nv_fund",I$3,$A69))</f>
        <v>2.3403999999999998</v>
      </c>
      <c r="J69" s="13">
        <f>IF($A69="","",[1]!thsiFinD("ths_adjustment_nv_fund",J$3,$A69))</f>
        <v>3.0727000000000002</v>
      </c>
      <c r="K69" s="13">
        <f>IF($A69="","",[1]!thsiFinD("ths_adjustment_nv_fund",K$3,$A69))</f>
        <v>3.0434000000000001</v>
      </c>
      <c r="L69" s="13">
        <f>IF($A69="","",[1]!thsiFinD("ths_adjustment_nv_fund",L$3,$A69))</f>
        <v>1.5293000000000001</v>
      </c>
      <c r="M69" s="13">
        <f>IF($A69="","",[1]!thsiFinD("ths_adjustment_nv_fund",M$3,$A69))</f>
        <v>1.508</v>
      </c>
      <c r="N69" s="13">
        <f>IF($A69="","",[1]!thsiFinD("ths_adjustment_nv_fund",N$3,$A69))</f>
        <v>1.5041</v>
      </c>
      <c r="O69" s="13">
        <f>IF($A69="","",[1]!thsiFinD("ths_adjustment_nv_fund",O$3,$A69))</f>
        <v>1.4653</v>
      </c>
      <c r="P69" s="13">
        <f>IF($A69="","",[1]!thsiFinD("ths_adjustment_nv_fund",P$3,$A69))</f>
        <v>2.9897</v>
      </c>
      <c r="Q69" s="13">
        <f>IF($A69="","",[1]!thsiFinD("ths_adjustment_nv_fund",Q$3,$A69))</f>
        <v>3.6055000000000001</v>
      </c>
      <c r="R69" s="13">
        <f>IF($A69="","",[1]!thsiFinD("ths_adjustment_nv_fund",R$3,$A69))</f>
        <v>3.5261</v>
      </c>
      <c r="S69" s="13">
        <f>IF($A69="","",[1]!thsiFinD("ths_adjustment_nv_fund",S$3,$A69))</f>
        <v>4.585</v>
      </c>
      <c r="T69" s="13">
        <f>IF($A69="","",[1]!thsiFinD("ths_adjustment_nv_fund",T$3,$A69))</f>
        <v>2.8195999999999999</v>
      </c>
      <c r="U69" s="13">
        <f>IF($A69="","",[1]!thsiFinD("ths_adjustment_nv_fund",U$3,$A69))</f>
        <v>2.8037000000000001</v>
      </c>
      <c r="V69" s="13">
        <f>IF($A69="","",[1]!thsiFinD("ths_adjustment_nv_fund",V$3,$A69))</f>
        <v>1.9186000000000001</v>
      </c>
      <c r="W69" s="13">
        <f>IF($A69="","",[1]!thsiFinD("ths_adjustment_nv_fund",W$3,$A69))</f>
        <v>1.8983000000000001</v>
      </c>
      <c r="X69" s="13">
        <f>IF($A69="","",[1]!thsiFinD("ths_adjustment_nv_fund",X$3,$A69))</f>
        <v>1.804</v>
      </c>
      <c r="Y69" s="13">
        <f>IF($A69="","",[1]!thsiFinD("ths_adjustment_nv_fund",Y$3,$A69))</f>
        <v>2.4350000000000001</v>
      </c>
      <c r="Z69" s="13">
        <f>IF($A69="","",[1]!thsiFinD("ths_adjustment_nv_fund",Z$3,$A69))</f>
        <v>1.5234792912999999</v>
      </c>
      <c r="AA69" s="13">
        <f>IF($A69="","",[1]!thsiFinD("ths_adjustment_nv_fund",AA$3,$A69))</f>
        <v>1.2381680042000001</v>
      </c>
      <c r="AB69" s="13">
        <f>IF($A69="","",[1]!thsiFinD("ths_adjustment_nv_fund",AB$3,$A69))</f>
        <v>1.656</v>
      </c>
      <c r="AC69" s="13">
        <f>IF($A69="","",[1]!thsiFinD("ths_adjustment_nv_fund",AC$3,$A69))</f>
        <v>3.045045913</v>
      </c>
      <c r="AD69" s="13">
        <f>IF($A69="","",[1]!thsiFinD("ths_adjustment_nv_fund",AD$3,$A69))</f>
        <v>1.6972</v>
      </c>
      <c r="AE69" s="13">
        <f>IF($A69="","",[1]!thsiFinD("ths_adjustment_nv_fund",AE$3,$A69))</f>
        <v>1.8667</v>
      </c>
      <c r="AF69" s="13">
        <f>IF($A69="","",[1]!thsiFinD("ths_adjustment_nv_fund",AF$3,$A69))</f>
        <v>3.6207340034</v>
      </c>
      <c r="AG69" s="13">
        <f>IF($A69="","",[1]!thsiFinD("ths_adjustment_nv_fund",AG$3,$A69))</f>
        <v>1.7648781435</v>
      </c>
      <c r="AH69" s="13">
        <f>IF($A69="","",[1]!thsiFinD("ths_adjustment_nv_fund",AH$3,$A69))</f>
        <v>4.5629431425</v>
      </c>
      <c r="AI69" s="13">
        <f>IF($A69="","",[1]!thsiFinD("ths_adjustment_nv_fund",AI$3,$A69))</f>
        <v>4.8800757336</v>
      </c>
      <c r="AJ69" s="13">
        <f>IF($A69="","",[1]!thsiFinD("ths_adjustment_nv_fund",AJ$3,$A69))</f>
        <v>2.0055675375</v>
      </c>
      <c r="AK69" s="13">
        <f>IF($A69="","",[1]!thsiFinD("ths_adjustment_nv_fund",AK$3,$A69))</f>
        <v>1.7271551572</v>
      </c>
      <c r="AL69" s="13">
        <f>IF($A69="","",[1]!thsiFinD("ths_adjustment_nv_fund",AL$3,$A69))</f>
        <v>1.9182</v>
      </c>
    </row>
    <row r="70" spans="1:27">
      <c r="A70" s="8">
        <v>46283</v>
      </c>
      <c r="B70" s="13">
        <f>IF($A70="","",[1]!thsiFinD("ths_adjustment_nv_fund",B$3,$A70))</f>
        <v>3.2742</v>
      </c>
      <c r="C70" s="13">
        <f>IF($A70="","",[1]!thsiFinD("ths_adjustment_nv_fund",C$3,$A70))</f>
        <v>1.3213813407999999</v>
      </c>
      <c r="D70" s="13">
        <f>IF($A70="","",[1]!thsiFinD("ths_adjustment_nv_fund",D$3,$A70))</f>
        <v>4.7469999999999999</v>
      </c>
      <c r="E70" s="13">
        <f>IF($A70="","",[1]!thsiFinD("ths_adjustment_nv_fund",E$3,$A70))</f>
        <v>1.893</v>
      </c>
      <c r="F70" s="13">
        <f>IF($A70="","",[1]!thsiFinD("ths_adjustment_nv_fund",F$3,$A70))</f>
        <v>1.8379000000000001</v>
      </c>
      <c r="G70" s="13">
        <f>IF($A70="","",[1]!thsiFinD("ths_adjustment_nv_fund",G$3,$A70))</f>
        <v>3.9941</v>
      </c>
      <c r="H70" s="13">
        <f>IF($A70="","",[1]!thsiFinD("ths_adjustment_nv_fund",H$3,$A70))</f>
        <v>3.9068999999999998</v>
      </c>
      <c r="I70" s="13">
        <f>IF($A70="","",[1]!thsiFinD("ths_adjustment_nv_fund",I$3,$A70))</f>
        <v>2.42</v>
      </c>
      <c r="J70" s="13">
        <f>IF($A70="","",[1]!thsiFinD("ths_adjustment_nv_fund",J$3,$A70))</f>
        <v>3.1966999999999999</v>
      </c>
      <c r="K70" s="13">
        <f>IF($A70="","",[1]!thsiFinD("ths_adjustment_nv_fund",K$3,$A70))</f>
        <v>3.1661999999999999</v>
      </c>
      <c r="L70" s="13">
        <f>IF($A70="","",[1]!thsiFinD("ths_adjustment_nv_fund",L$3,$A70))</f>
        <v>1.5611999999999999</v>
      </c>
      <c r="M70" s="13">
        <f>IF($A70="","",[1]!thsiFinD("ths_adjustment_nv_fund",M$3,$A70))</f>
        <v>1.5394000000000001</v>
      </c>
      <c r="N70" s="13">
        <f>IF($A70="","",[1]!thsiFinD("ths_adjustment_nv_fund",N$3,$A70))</f>
        <v>1.5344</v>
      </c>
      <c r="O70" s="13">
        <f>IF($A70="","",[1]!thsiFinD("ths_adjustment_nv_fund",O$3,$A70))</f>
        <v>1.4947999999999999</v>
      </c>
      <c r="P70" s="13">
        <f>IF($A70="","",[1]!thsiFinD("ths_adjustment_nv_fund",P$3,$A70))</f>
        <v>3.0626000000000002</v>
      </c>
      <c r="Q70" s="13">
        <f>IF($A70="","",[1]!thsiFinD("ths_adjustment_nv_fund",Q$3,$A70))</f>
        <v>3.6995</v>
      </c>
      <c r="R70" s="13">
        <f>IF($A70="","",[1]!thsiFinD("ths_adjustment_nv_fund",R$3,$A70))</f>
        <v>3.6179000000000001</v>
      </c>
      <c r="S70" s="13">
        <f>IF($A70="","",[1]!thsiFinD("ths_adjustment_nv_fund",S$3,$A70))</f>
        <v>4.6959999999999997</v>
      </c>
      <c r="T70" s="13">
        <f>IF($A70="","",[1]!thsiFinD("ths_adjustment_nv_fund",T$3,$A70))</f>
        <v>2.9148000000000001</v>
      </c>
      <c r="U70" s="13">
        <f>IF($A70="","",[1]!thsiFinD("ths_adjustment_nv_fund",U$3,$A70))</f>
        <v>2.8982999999999999</v>
      </c>
      <c r="V70" s="13">
        <f>IF($A70="","",[1]!thsiFinD("ths_adjustment_nv_fund",V$3,$A70))</f>
        <v>1.9544999999999999</v>
      </c>
      <c r="W70" s="13">
        <f>IF($A70="","",[1]!thsiFinD("ths_adjustment_nv_fund",W$3,$A70))</f>
        <v>1.9338</v>
      </c>
      <c r="X70" s="13">
        <f>IF($A70="","",[1]!thsiFinD("ths_adjustment_nv_fund",X$3,$A70))</f>
        <v>1.8050999999999999</v>
      </c>
      <c r="Y70" s="13">
        <f>IF($A70="","",[1]!thsiFinD("ths_adjustment_nv_fund",Y$3,$A70))</f>
        <v>2.5329999999999999</v>
      </c>
      <c r="Z70" s="13">
        <f>IF($A70="","",[1]!thsiFinD("ths_adjustment_nv_fund",Z$3,$A70))</f>
        <v>1.5245808670000001</v>
      </c>
      <c r="AA70" s="13">
        <f>IF($A70="","",[1]!thsiFinD("ths_adjustment_nv_fund",AA$3,$A70))</f>
        <v>1.2384048155</v>
      </c>
      <c r="AB70" s="13">
        <f>IF($A70="","",[1]!thsiFinD("ths_adjustment_nv_fund",AB$3,$A70))</f>
        <v>1.6847</v>
      </c>
      <c r="AC70" s="13">
        <f>IF($A70="","",[1]!thsiFinD("ths_adjustment_nv_fund",AC$3,$A70))</f>
        <v>3.108933072</v>
      </c>
      <c r="AD70" s="13">
        <f>IF($A70="","",[1]!thsiFinD("ths_adjustment_nv_fund",AD$3,$A70))</f>
        <v>1.7296</v>
      </c>
      <c r="AE70" s="13">
        <f>IF($A70="","",[1]!thsiFinD("ths_adjustment_nv_fund",AE$3,$A70))</f>
        <v>1.9042</v>
      </c>
      <c r="AF70" s="13">
        <f>IF($A70="","",[1]!thsiFinD("ths_adjustment_nv_fund",AF$3,$A70))</f>
        <v>3.6596164562</v>
      </c>
      <c r="AG70" s="13">
        <f>IF($A70="","",[1]!thsiFinD("ths_adjustment_nv_fund",AG$3,$A70))</f>
        <v>1.7635952743</v>
      </c>
      <c r="AH70" s="13">
        <f>IF($A70="","",[1]!thsiFinD("ths_adjustment_nv_fund",AH$3,$A70))</f>
        <v>4.5775864492</v>
      </c>
      <c r="AI70" s="13">
        <f>IF($A70="","",[1]!thsiFinD("ths_adjustment_nv_fund",AI$3,$A70))</f>
        <v>4.9106069589</v>
      </c>
      <c r="AJ70" s="13">
        <f>IF($A70="","",[1]!thsiFinD("ths_adjustment_nv_fund",AJ$3,$A70))</f>
        <v>2.0038393448</v>
      </c>
      <c r="AK70" s="13">
        <f>IF($A70="","",[1]!thsiFinD("ths_adjustment_nv_fund",AK$3,$A70))</f>
        <v>1.7245129543</v>
      </c>
      <c r="AL70" s="13">
        <f>IF($A70="","",[1]!thsiFinD("ths_adjustment_nv_fund",AL$3,$A70))</f>
        <v>1.9454</v>
      </c>
    </row>
    <row r="71" spans="1:27">
      <c r="A71" s="8">
        <v>46286</v>
      </c>
      <c r="B71" s="13">
        <f>IF($A71="","",[1]!thsiFinD("ths_adjustment_nv_fund",B$3,$A71))</f>
        <v>3.2452000000000001</v>
      </c>
      <c r="C71" s="13">
        <f>IF($A71="","",[1]!thsiFinD("ths_adjustment_nv_fund",C$3,$A71))</f>
        <v>1.3215138402</v>
      </c>
      <c r="D71" s="13">
        <f>IF($A71="","",[1]!thsiFinD("ths_adjustment_nv_fund",D$3,$A71))</f>
        <v>4.7640000000000002</v>
      </c>
      <c r="E71" s="13">
        <f>IF($A71="","",[1]!thsiFinD("ths_adjustment_nv_fund",E$3,$A71))</f>
        <v>1.9053</v>
      </c>
      <c r="F71" s="13">
        <f>IF($A71="","",[1]!thsiFinD("ths_adjustment_nv_fund",F$3,$A71))</f>
        <v>1.8498000000000001</v>
      </c>
      <c r="G71" s="13">
        <f>IF($A71="","",[1]!thsiFinD("ths_adjustment_nv_fund",G$3,$A71))</f>
        <v>4.0392000000000001</v>
      </c>
      <c r="H71" s="13">
        <f>IF($A71="","",[1]!thsiFinD("ths_adjustment_nv_fund",H$3,$A71))</f>
        <v>3.9508999999999999</v>
      </c>
      <c r="I71" s="13">
        <f>IF($A71="","",[1]!thsiFinD("ths_adjustment_nv_fund",I$3,$A71))</f>
        <v>2.4380000000000002</v>
      </c>
      <c r="J71" s="13">
        <f>IF($A71="","",[1]!thsiFinD("ths_adjustment_nv_fund",J$3,$A71))</f>
        <v>3.1736</v>
      </c>
      <c r="K71" s="13">
        <f>IF($A71="","",[1]!thsiFinD("ths_adjustment_nv_fund",K$3,$A71))</f>
        <v>3.1433</v>
      </c>
      <c r="L71" s="13">
        <f>IF($A71="","",[1]!thsiFinD("ths_adjustment_nv_fund",L$3,$A71))</f>
        <v>1.5784</v>
      </c>
      <c r="M71" s="13">
        <f>IF($A71="","",[1]!thsiFinD("ths_adjustment_nv_fund",M$3,$A71))</f>
        <v>1.5564</v>
      </c>
      <c r="N71" s="13">
        <f>IF($A71="","",[1]!thsiFinD("ths_adjustment_nv_fund",N$3,$A71))</f>
        <v>1.5462</v>
      </c>
      <c r="O71" s="13">
        <f>IF($A71="","",[1]!thsiFinD("ths_adjustment_nv_fund",O$3,$A71))</f>
        <v>1.5062</v>
      </c>
      <c r="P71" s="13">
        <f>IF($A71="","",[1]!thsiFinD("ths_adjustment_nv_fund",P$3,$A71))</f>
        <v>3.0871</v>
      </c>
      <c r="Q71" s="13">
        <f>IF($A71="","",[1]!thsiFinD("ths_adjustment_nv_fund",Q$3,$A71))</f>
        <v>3.7130999999999998</v>
      </c>
      <c r="R71" s="13">
        <f>IF($A71="","",[1]!thsiFinD("ths_adjustment_nv_fund",R$3,$A71))</f>
        <v>3.6309999999999998</v>
      </c>
      <c r="S71" s="13">
        <f>IF($A71="","",[1]!thsiFinD("ths_adjustment_nv_fund",S$3,$A71))</f>
        <v>4.7119999999999997</v>
      </c>
      <c r="T71" s="13">
        <f>IF($A71="","",[1]!thsiFinD("ths_adjustment_nv_fund",T$3,$A71))</f>
        <v>2.8959999999999999</v>
      </c>
      <c r="U71" s="13">
        <f>IF($A71="","",[1]!thsiFinD("ths_adjustment_nv_fund",U$3,$A71))</f>
        <v>2.8795999999999999</v>
      </c>
      <c r="V71" s="13">
        <f>IF($A71="","",[1]!thsiFinD("ths_adjustment_nv_fund",V$3,$A71))</f>
        <v>1.9877</v>
      </c>
      <c r="W71" s="13">
        <f>IF($A71="","",[1]!thsiFinD("ths_adjustment_nv_fund",W$3,$A71))</f>
        <v>1.9665999999999999</v>
      </c>
      <c r="X71" s="13">
        <f>IF($A71="","",[1]!thsiFinD("ths_adjustment_nv_fund",X$3,$A71))</f>
        <v>1.806</v>
      </c>
      <c r="Y71" s="13">
        <f>IF($A71="","",[1]!thsiFinD("ths_adjustment_nv_fund",Y$3,$A71))</f>
        <v>2.5110000000000001</v>
      </c>
      <c r="Z71" s="13">
        <f>IF($A71="","",[1]!thsiFinD("ths_adjustment_nv_fund",Z$3,$A71))</f>
        <v>1.5252418125</v>
      </c>
      <c r="AA71" s="13">
        <f>IF($A71="","",[1]!thsiFinD("ths_adjustment_nv_fund",AA$3,$A71))</f>
        <v>1.2386416268</v>
      </c>
      <c r="AB71" s="13">
        <f>IF($A71="","",[1]!thsiFinD("ths_adjustment_nv_fund",AB$3,$A71))</f>
        <v>1.696</v>
      </c>
      <c r="AC71" s="13">
        <f>IF($A71="","",[1]!thsiFinD("ths_adjustment_nv_fund",AC$3,$A71))</f>
        <v>3.1313177773</v>
      </c>
      <c r="AD71" s="13">
        <f>IF($A71="","",[1]!thsiFinD("ths_adjustment_nv_fund",AD$3,$A71))</f>
        <v>1.7504</v>
      </c>
      <c r="AE71" s="13">
        <f>IF($A71="","",[1]!thsiFinD("ths_adjustment_nv_fund",AE$3,$A71))</f>
        <v>1.9318</v>
      </c>
      <c r="AF71" s="13">
        <f>IF($A71="","",[1]!thsiFinD("ths_adjustment_nv_fund",AF$3,$A71))</f>
        <v>3.684501226</v>
      </c>
      <c r="AG71" s="13">
        <f>IF($A71="","",[1]!thsiFinD("ths_adjustment_nv_fund",AG$3,$A71))</f>
        <v>1.773158481</v>
      </c>
      <c r="AH71" s="13">
        <f>IF($A71="","",[1]!thsiFinD("ths_adjustment_nv_fund",AH$3,$A71))</f>
        <v>4.6277286816</v>
      </c>
      <c r="AI71" s="13">
        <f>IF($A71="","",[1]!thsiFinD("ths_adjustment_nv_fund",AI$3,$A71))</f>
        <v>4.9470678024</v>
      </c>
      <c r="AJ71" s="13">
        <f>IF($A71="","",[1]!thsiFinD("ths_adjustment_nv_fund",AJ$3,$A71))</f>
        <v>2.0077894994</v>
      </c>
      <c r="AK71" s="13">
        <f>IF($A71="","",[1]!thsiFinD("ths_adjustment_nv_fund",AK$3,$A71))</f>
        <v>1.72979736</v>
      </c>
      <c r="AL71" s="13">
        <f>IF($A71="","",[1]!thsiFinD("ths_adjustment_nv_fund",AL$3,$A71))</f>
        <v>1.9285</v>
      </c>
    </row>
    <row r="72" spans="1:27">
      <c r="A72" s="8">
        <v>46287</v>
      </c>
      <c r="B72" s="13">
        <f>IF($A72="","",[1]!thsiFinD("ths_adjustment_nv_fund",B$3,$A72))</f>
        <v>3.2452000000000001</v>
      </c>
      <c r="C72" s="13">
        <f>IF($A72="","",[1]!thsiFinD("ths_adjustment_nv_fund",C$3,$A72))</f>
        <v>1.3215138402</v>
      </c>
      <c r="D72" s="13">
        <f>IF($A72="","",[1]!thsiFinD("ths_adjustment_nv_fund",D$3,$A72))</f>
        <v>4.7640000000000002</v>
      </c>
      <c r="E72" s="13">
        <f>IF($A72="","",[1]!thsiFinD("ths_adjustment_nv_fund",E$3,$A72))</f>
        <v>1.9053</v>
      </c>
      <c r="F72" s="13">
        <f>IF($A72="","",[1]!thsiFinD("ths_adjustment_nv_fund",F$3,$A72))</f>
        <v>1.8498000000000001</v>
      </c>
      <c r="G72" s="13">
        <f>IF($A72="","",[1]!thsiFinD("ths_adjustment_nv_fund",G$3,$A72))</f>
        <v>4.0392000000000001</v>
      </c>
      <c r="H72" s="13">
        <f>IF($A72="","",[1]!thsiFinD("ths_adjustment_nv_fund",H$3,$A72))</f>
        <v>3.9508999999999999</v>
      </c>
      <c r="I72" s="13">
        <f>IF($A72="","",[1]!thsiFinD("ths_adjustment_nv_fund",I$3,$A72))</f>
        <v>2.4380000000000002</v>
      </c>
      <c r="J72" s="13">
        <f>IF($A72="","",[1]!thsiFinD("ths_adjustment_nv_fund",J$3,$A72))</f>
        <v>3.1736</v>
      </c>
      <c r="K72" s="13">
        <f>IF($A72="","",[1]!thsiFinD("ths_adjustment_nv_fund",K$3,$A72))</f>
        <v>3.1433</v>
      </c>
      <c r="L72" s="13">
        <f>IF($A72="","",[1]!thsiFinD("ths_adjustment_nv_fund",L$3,$A72))</f>
        <v>1.5784</v>
      </c>
      <c r="M72" s="13">
        <f>IF($A72="","",[1]!thsiFinD("ths_adjustment_nv_fund",M$3,$A72))</f>
        <v>1.5564</v>
      </c>
      <c r="N72" s="13">
        <f>IF($A72="","",[1]!thsiFinD("ths_adjustment_nv_fund",N$3,$A72))</f>
        <v>1.5462</v>
      </c>
      <c r="O72" s="13">
        <f>IF($A72="","",[1]!thsiFinD("ths_adjustment_nv_fund",O$3,$A72))</f>
        <v>1.5062</v>
      </c>
      <c r="P72" s="13">
        <f>IF($A72="","",[1]!thsiFinD("ths_adjustment_nv_fund",P$3,$A72))</f>
        <v>3.0871</v>
      </c>
      <c r="Q72" s="13">
        <f>IF($A72="","",[1]!thsiFinD("ths_adjustment_nv_fund",Q$3,$A72))</f>
        <v>3.7130999999999998</v>
      </c>
      <c r="R72" s="13">
        <f>IF($A72="","",[1]!thsiFinD("ths_adjustment_nv_fund",R$3,$A72))</f>
        <v>3.6309999999999998</v>
      </c>
      <c r="S72" s="13">
        <f>IF($A72="","",[1]!thsiFinD("ths_adjustment_nv_fund",S$3,$A72))</f>
        <v>4.7119999999999997</v>
      </c>
      <c r="T72" s="13">
        <f>IF($A72="","",[1]!thsiFinD("ths_adjustment_nv_fund",T$3,$A72))</f>
        <v>2.8959999999999999</v>
      </c>
      <c r="U72" s="13">
        <f>IF($A72="","",[1]!thsiFinD("ths_adjustment_nv_fund",U$3,$A72))</f>
        <v>2.8795999999999999</v>
      </c>
      <c r="V72" s="13">
        <f>IF($A72="","",[1]!thsiFinD("ths_adjustment_nv_fund",V$3,$A72))</f>
        <v>1.9877</v>
      </c>
      <c r="W72" s="13">
        <f>IF($A72="","",[1]!thsiFinD("ths_adjustment_nv_fund",W$3,$A72))</f>
        <v>1.9665999999999999</v>
      </c>
      <c r="X72" s="13">
        <f>IF($A72="","",[1]!thsiFinD("ths_adjustment_nv_fund",X$3,$A72))</f>
        <v>1.806</v>
      </c>
      <c r="Y72" s="13">
        <f>IF($A72="","",[1]!thsiFinD("ths_adjustment_nv_fund",Y$3,$A72))</f>
        <v>2.5110000000000001</v>
      </c>
      <c r="Z72" s="13">
        <f>IF($A72="","",[1]!thsiFinD("ths_adjustment_nv_fund",Z$3,$A72))</f>
        <v>1.5252418125</v>
      </c>
      <c r="AA72" s="13">
        <f>IF($A72="","",[1]!thsiFinD("ths_adjustment_nv_fund",AA$3,$A72))</f>
        <v>1.2386416268</v>
      </c>
      <c r="AB72" s="13">
        <f>IF($A72="","",[1]!thsiFinD("ths_adjustment_nv_fund",AB$3,$A72))</f>
        <v>1.696</v>
      </c>
      <c r="AC72" s="13">
        <f>IF($A72="","",[1]!thsiFinD("ths_adjustment_nv_fund",AC$3,$A72))</f>
        <v>3.1313177773</v>
      </c>
      <c r="AD72" s="13">
        <f>IF($A72="","",[1]!thsiFinD("ths_adjustment_nv_fund",AD$3,$A72))</f>
        <v>1.7504</v>
      </c>
      <c r="AE72" s="13">
        <f>IF($A72="","",[1]!thsiFinD("ths_adjustment_nv_fund",AE$3,$A72))</f>
        <v>1.9318</v>
      </c>
      <c r="AF72" s="13">
        <f>IF($A72="","",[1]!thsiFinD("ths_adjustment_nv_fund",AF$3,$A72))</f>
        <v>3.684501226</v>
      </c>
      <c r="AG72" s="13">
        <f>IF($A72="","",[1]!thsiFinD("ths_adjustment_nv_fund",AG$3,$A72))</f>
        <v>1.773158481</v>
      </c>
      <c r="AH72" s="13">
        <f>IF($A72="","",[1]!thsiFinD("ths_adjustment_nv_fund",AH$3,$A72))</f>
        <v>4.6277286816</v>
      </c>
      <c r="AI72" s="13">
        <f>IF($A72="","",[1]!thsiFinD("ths_adjustment_nv_fund",AI$3,$A72))</f>
        <v>4.9470678024</v>
      </c>
      <c r="AJ72" s="13">
        <f>IF($A72="","",[1]!thsiFinD("ths_adjustment_nv_fund",AJ$3,$A72))</f>
        <v>2.0077894994</v>
      </c>
      <c r="AK72" s="13">
        <f>IF($A72="","",[1]!thsiFinD("ths_adjustment_nv_fund",AK$3,$A72))</f>
        <v>1.72979736</v>
      </c>
      <c r="AL72" s="13">
        <f>IF($A72="","",[1]!thsiFinD("ths_adjustment_nv_fund",AL$3,$A72))</f>
        <v>1.9285</v>
      </c>
    </row>
    <row r="73" spans="1:27">
      <c r="A73" s="8"/>
      <c r="B73" s="13" t="str">
        <f>IF($A73="","",[1]!thsiFinD("ths_adjustment_nv_fund",B$3,$A73))</f>
        <v/>
      </c>
      <c r="C73" s="13" t="str">
        <f>IF($A73="","",[1]!thsiFinD("ths_adjustment_nv_fund",C$3,$A73))</f>
        <v/>
      </c>
      <c r="D73" s="13" t="str">
        <f>IF($A73="","",[1]!thsiFinD("ths_adjustment_nv_fund",D$3,$A73))</f>
        <v/>
      </c>
      <c r="E73" s="13" t="str">
        <f>IF($A73="","",[1]!thsiFinD("ths_adjustment_nv_fund",E$3,$A73))</f>
        <v/>
      </c>
      <c r="F73" s="13" t="str">
        <f>IF($A73="","",[1]!thsiFinD("ths_adjustment_nv_fund",F$3,$A73))</f>
        <v/>
      </c>
      <c r="G73" s="13" t="str">
        <f>IF($A73="","",[1]!thsiFinD("ths_adjustment_nv_fund",G$3,$A73))</f>
        <v/>
      </c>
      <c r="H73" s="13" t="str">
        <f>IF($A73="","",[1]!thsiFinD("ths_adjustment_nv_fund",H$3,$A73))</f>
        <v/>
      </c>
      <c r="I73" s="13" t="str">
        <f>IF($A73="","",[1]!thsiFinD("ths_adjustment_nv_fund",I$3,$A73))</f>
        <v/>
      </c>
      <c r="J73" s="13" t="str">
        <f>IF($A73="","",[1]!thsiFinD("ths_adjustment_nv_fund",J$3,$A73))</f>
        <v/>
      </c>
      <c r="K73" s="13" t="str">
        <f>IF($A73="","",[1]!thsiFinD("ths_adjustment_nv_fund",K$3,$A73))</f>
        <v/>
      </c>
      <c r="L73" s="13" t="str">
        <f>IF($A73="","",[1]!thsiFinD("ths_adjustment_nv_fund",L$3,$A73))</f>
        <v/>
      </c>
      <c r="M73" s="13" t="str">
        <f>IF($A73="","",[1]!thsiFinD("ths_adjustment_nv_fund",M$3,$A73))</f>
        <v/>
      </c>
      <c r="N73" s="13" t="str">
        <f>IF($A73="","",[1]!thsiFinD("ths_adjustment_nv_fund",N$3,$A73))</f>
        <v/>
      </c>
      <c r="O73" s="13" t="str">
        <f>IF($A73="","",[1]!thsiFinD("ths_adjustment_nv_fund",O$3,$A73))</f>
        <v/>
      </c>
      <c r="P73" s="13" t="str">
        <f>IF($A73="","",[1]!thsiFinD("ths_adjustment_nv_fund",P$3,$A73))</f>
        <v/>
      </c>
      <c r="Q73" s="13" t="str">
        <f>IF($A73="","",[1]!thsiFinD("ths_adjustment_nv_fund",Q$3,$A73))</f>
        <v/>
      </c>
      <c r="R73" s="13" t="str">
        <f>IF($A73="","",[1]!thsiFinD("ths_adjustment_nv_fund",R$3,$A73))</f>
        <v/>
      </c>
      <c r="S73" s="13" t="str">
        <f>IF($A73="","",[1]!thsiFinD("ths_adjustment_nv_fund",S$3,$A73))</f>
        <v/>
      </c>
      <c r="T73" s="13" t="str">
        <f>IF($A73="","",[1]!thsiFinD("ths_adjustment_nv_fund",T$3,$A73))</f>
        <v/>
      </c>
      <c r="U73" s="13" t="str">
        <f>IF($A73="","",[1]!thsiFinD("ths_adjustment_nv_fund",U$3,$A73))</f>
        <v/>
      </c>
      <c r="V73" s="13" t="str">
        <f>IF($A73="","",[1]!thsiFinD("ths_adjustment_nv_fund",V$3,$A73))</f>
        <v/>
      </c>
      <c r="W73" s="13" t="str">
        <f>IF($A73="","",[1]!thsiFinD("ths_adjustment_nv_fund",W$3,$A73))</f>
        <v/>
      </c>
      <c r="X73" s="13" t="str">
        <f>IF($A73="","",[1]!thsiFinD("ths_adjustment_nv_fund",X$3,$A73))</f>
        <v/>
      </c>
      <c r="Y73" s="13" t="str">
        <f>IF($A73="","",[1]!thsiFinD("ths_adjustment_nv_fund",Y$3,$A73))</f>
        <v/>
      </c>
      <c r="Z73" s="13" t="str">
        <f>IF($A73="","",[1]!thsiFinD("ths_adjustment_nv_fund",Z$3,$A73))</f>
        <v/>
      </c>
      <c r="AA73" s="13" t="str">
        <f>IF($A73="","",[1]!thsiFinD("ths_adjustment_nv_fund",AA$3,$A73))</f>
        <v/>
      </c>
      <c r="AB73" s="13">
        <f>IF($A73="","",[1]!thsiFinD("ths_adjustment_nv_fund",AB$3,$A73))</f>
        <v/>
      </c>
      <c r="AC73" s="13">
        <f>IF($A73="","",[1]!thsiFinD("ths_adjustment_nv_fund",AC$3,$A73))</f>
        <v/>
      </c>
      <c r="AD73" s="13">
        <f>IF($A73="","",[1]!thsiFinD("ths_adjustment_nv_fund",AD$3,$A73))</f>
        <v/>
      </c>
      <c r="AE73" s="13">
        <f>IF($A73="","",[1]!thsiFinD("ths_adjustment_nv_fund",AE$3,$A73))</f>
        <v/>
      </c>
      <c r="AF73" s="13">
        <f>IF($A73="","",[1]!thsiFinD("ths_adjustment_nv_fund",AF$3,$A73))</f>
        <v/>
      </c>
      <c r="AG73" s="13">
        <f>IF($A73="","",[1]!thsiFinD("ths_adjustment_nv_fund",AG$3,$A73))</f>
        <v/>
      </c>
      <c r="AH73" s="13">
        <f>IF($A73="","",[1]!thsiFinD("ths_adjustment_nv_fund",AH$3,$A73))</f>
        <v/>
      </c>
      <c r="AI73" s="13">
        <f>IF($A73="","",[1]!thsiFinD("ths_adjustment_nv_fund",AI$3,$A73))</f>
        <v/>
      </c>
      <c r="AJ73" s="13">
        <f>IF($A73="","",[1]!thsiFinD("ths_adjustment_nv_fund",AJ$3,$A73))</f>
        <v/>
      </c>
      <c r="AK73" s="13">
        <f>IF($A73="","",[1]!thsiFinD("ths_adjustment_nv_fund",AK$3,$A73))</f>
        <v/>
      </c>
      <c r="AL73" s="13">
        <f>IF($A73="","",[1]!thsiFinD("ths_adjustment_nv_fund",AL$3,$A73))</f>
        <v/>
      </c>
    </row>
    <row r="74" spans="1:27">
      <c r="A74" s="8"/>
      <c r="B74" s="13" t="str">
        <f>IF($A74="","",[1]!thsiFinD("ths_adjustment_nv_fund",B$3,$A74))</f>
        <v/>
      </c>
      <c r="C74" s="13" t="str">
        <f>IF($A74="","",[1]!thsiFinD("ths_adjustment_nv_fund",C$3,$A74))</f>
        <v/>
      </c>
      <c r="D74" s="13" t="str">
        <f>IF($A74="","",[1]!thsiFinD("ths_adjustment_nv_fund",D$3,$A74))</f>
        <v/>
      </c>
      <c r="E74" s="13" t="str">
        <f>IF($A74="","",[1]!thsiFinD("ths_adjustment_nv_fund",E$3,$A74))</f>
        <v/>
      </c>
      <c r="F74" s="13" t="str">
        <f>IF($A74="","",[1]!thsiFinD("ths_adjustment_nv_fund",F$3,$A74))</f>
        <v/>
      </c>
      <c r="G74" s="13" t="str">
        <f>IF($A74="","",[1]!thsiFinD("ths_adjustment_nv_fund",G$3,$A74))</f>
        <v/>
      </c>
      <c r="H74" s="13" t="str">
        <f>IF($A74="","",[1]!thsiFinD("ths_adjustment_nv_fund",H$3,$A74))</f>
        <v/>
      </c>
      <c r="I74" s="13" t="str">
        <f>IF($A74="","",[1]!thsiFinD("ths_adjustment_nv_fund",I$3,$A74))</f>
        <v/>
      </c>
      <c r="J74" s="13" t="str">
        <f>IF($A74="","",[1]!thsiFinD("ths_adjustment_nv_fund",J$3,$A74))</f>
        <v/>
      </c>
      <c r="K74" s="13" t="str">
        <f>IF($A74="","",[1]!thsiFinD("ths_adjustment_nv_fund",K$3,$A74))</f>
        <v/>
      </c>
      <c r="L74" s="13" t="str">
        <f>IF($A74="","",[1]!thsiFinD("ths_adjustment_nv_fund",L$3,$A74))</f>
        <v/>
      </c>
      <c r="M74" s="13" t="str">
        <f>IF($A74="","",[1]!thsiFinD("ths_adjustment_nv_fund",M$3,$A74))</f>
        <v/>
      </c>
      <c r="N74" s="13" t="str">
        <f>IF($A74="","",[1]!thsiFinD("ths_adjustment_nv_fund",N$3,$A74))</f>
        <v/>
      </c>
      <c r="O74" s="13" t="str">
        <f>IF($A74="","",[1]!thsiFinD("ths_adjustment_nv_fund",O$3,$A74))</f>
        <v/>
      </c>
      <c r="P74" s="13" t="str">
        <f>IF($A74="","",[1]!thsiFinD("ths_adjustment_nv_fund",P$3,$A74))</f>
        <v/>
      </c>
      <c r="Q74" s="13" t="str">
        <f>IF($A74="","",[1]!thsiFinD("ths_adjustment_nv_fund",Q$3,$A74))</f>
        <v/>
      </c>
      <c r="R74" s="13" t="str">
        <f>IF($A74="","",[1]!thsiFinD("ths_adjustment_nv_fund",R$3,$A74))</f>
        <v/>
      </c>
      <c r="S74" s="13" t="str">
        <f>IF($A74="","",[1]!thsiFinD("ths_adjustment_nv_fund",S$3,$A74))</f>
        <v/>
      </c>
      <c r="T74" s="13" t="str">
        <f>IF($A74="","",[1]!thsiFinD("ths_adjustment_nv_fund",T$3,$A74))</f>
        <v/>
      </c>
      <c r="U74" s="13" t="str">
        <f>IF($A74="","",[1]!thsiFinD("ths_adjustment_nv_fund",U$3,$A74))</f>
        <v/>
      </c>
      <c r="V74" s="13" t="str">
        <f>IF($A74="","",[1]!thsiFinD("ths_adjustment_nv_fund",V$3,$A74))</f>
        <v/>
      </c>
      <c r="W74" s="13" t="str">
        <f>IF($A74="","",[1]!thsiFinD("ths_adjustment_nv_fund",W$3,$A74))</f>
        <v/>
      </c>
      <c r="X74" s="13" t="str">
        <f>IF($A74="","",[1]!thsiFinD("ths_adjustment_nv_fund",X$3,$A74))</f>
        <v/>
      </c>
      <c r="Y74" s="13" t="str">
        <f>IF($A74="","",[1]!thsiFinD("ths_adjustment_nv_fund",Y$3,$A74))</f>
        <v/>
      </c>
      <c r="Z74" s="13" t="str">
        <f>IF($A74="","",[1]!thsiFinD("ths_adjustment_nv_fund",Z$3,$A74))</f>
        <v/>
      </c>
      <c r="AA74" s="13" t="str">
        <f>IF($A74="","",[1]!thsiFinD("ths_adjustment_nv_fund",AA$3,$A74))</f>
        <v/>
      </c>
      <c r="AB74" s="13">
        <f>IF($A74="","",[1]!thsiFinD("ths_adjustment_nv_fund",AB$3,$A74))</f>
        <v/>
      </c>
      <c r="AC74" s="13">
        <f>IF($A74="","",[1]!thsiFinD("ths_adjustment_nv_fund",AC$3,$A74))</f>
        <v/>
      </c>
      <c r="AD74" s="13">
        <f>IF($A74="","",[1]!thsiFinD("ths_adjustment_nv_fund",AD$3,$A74))</f>
        <v/>
      </c>
      <c r="AE74" s="13">
        <f>IF($A74="","",[1]!thsiFinD("ths_adjustment_nv_fund",AE$3,$A74))</f>
        <v/>
      </c>
      <c r="AF74" s="13">
        <f>IF($A74="","",[1]!thsiFinD("ths_adjustment_nv_fund",AF$3,$A74))</f>
        <v/>
      </c>
      <c r="AG74" s="13">
        <f>IF($A74="","",[1]!thsiFinD("ths_adjustment_nv_fund",AG$3,$A74))</f>
        <v/>
      </c>
      <c r="AH74" s="13">
        <f>IF($A74="","",[1]!thsiFinD("ths_adjustment_nv_fund",AH$3,$A74))</f>
        <v/>
      </c>
      <c r="AI74" s="13">
        <f>IF($A74="","",[1]!thsiFinD("ths_adjustment_nv_fund",AI$3,$A74))</f>
        <v/>
      </c>
      <c r="AJ74" s="13">
        <f>IF($A74="","",[1]!thsiFinD("ths_adjustment_nv_fund",AJ$3,$A74))</f>
        <v/>
      </c>
      <c r="AK74" s="13">
        <f>IF($A74="","",[1]!thsiFinD("ths_adjustment_nv_fund",AK$3,$A74))</f>
        <v/>
      </c>
      <c r="AL74" s="13">
        <f>IF($A74="","",[1]!thsiFinD("ths_adjustment_nv_fund",AL$3,$A74))</f>
        <v/>
      </c>
    </row>
    <row r="75" spans="1:27">
      <c r="A75" s="8"/>
      <c r="B75" s="13" t="str">
        <f>IF($A75="","",[1]!thsiFinD("ths_adjustment_nv_fund",B$3,$A75))</f>
        <v/>
      </c>
      <c r="C75" s="13" t="str">
        <f>IF($A75="","",[1]!thsiFinD("ths_adjustment_nv_fund",C$3,$A75))</f>
        <v/>
      </c>
      <c r="D75" s="13" t="str">
        <f>IF($A75="","",[1]!thsiFinD("ths_adjustment_nv_fund",D$3,$A75))</f>
        <v/>
      </c>
      <c r="E75" s="13" t="str">
        <f>IF($A75="","",[1]!thsiFinD("ths_adjustment_nv_fund",E$3,$A75))</f>
        <v/>
      </c>
      <c r="F75" s="13" t="str">
        <f>IF($A75="","",[1]!thsiFinD("ths_adjustment_nv_fund",F$3,$A75))</f>
        <v/>
      </c>
      <c r="G75" s="13" t="str">
        <f>IF($A75="","",[1]!thsiFinD("ths_adjustment_nv_fund",G$3,$A75))</f>
        <v/>
      </c>
      <c r="H75" s="13" t="str">
        <f>IF($A75="","",[1]!thsiFinD("ths_adjustment_nv_fund",H$3,$A75))</f>
        <v/>
      </c>
      <c r="I75" s="13" t="str">
        <f>IF($A75="","",[1]!thsiFinD("ths_adjustment_nv_fund",I$3,$A75))</f>
        <v/>
      </c>
      <c r="J75" s="13" t="str">
        <f>IF($A75="","",[1]!thsiFinD("ths_adjustment_nv_fund",J$3,$A75))</f>
        <v/>
      </c>
      <c r="K75" s="13" t="str">
        <f>IF($A75="","",[1]!thsiFinD("ths_adjustment_nv_fund",K$3,$A75))</f>
        <v/>
      </c>
      <c r="L75" s="13" t="str">
        <f>IF($A75="","",[1]!thsiFinD("ths_adjustment_nv_fund",L$3,$A75))</f>
        <v/>
      </c>
      <c r="M75" s="13" t="str">
        <f>IF($A75="","",[1]!thsiFinD("ths_adjustment_nv_fund",M$3,$A75))</f>
        <v/>
      </c>
      <c r="N75" s="13" t="str">
        <f>IF($A75="","",[1]!thsiFinD("ths_adjustment_nv_fund",N$3,$A75))</f>
        <v/>
      </c>
      <c r="O75" s="13" t="str">
        <f>IF($A75="","",[1]!thsiFinD("ths_adjustment_nv_fund",O$3,$A75))</f>
        <v/>
      </c>
      <c r="P75" s="13" t="str">
        <f>IF($A75="","",[1]!thsiFinD("ths_adjustment_nv_fund",P$3,$A75))</f>
        <v/>
      </c>
      <c r="Q75" s="13" t="str">
        <f>IF($A75="","",[1]!thsiFinD("ths_adjustment_nv_fund",Q$3,$A75))</f>
        <v/>
      </c>
      <c r="R75" s="13" t="str">
        <f>IF($A75="","",[1]!thsiFinD("ths_adjustment_nv_fund",R$3,$A75))</f>
        <v/>
      </c>
      <c r="S75" s="13" t="str">
        <f>IF($A75="","",[1]!thsiFinD("ths_adjustment_nv_fund",S$3,$A75))</f>
        <v/>
      </c>
      <c r="T75" s="13" t="str">
        <f>IF($A75="","",[1]!thsiFinD("ths_adjustment_nv_fund",T$3,$A75))</f>
        <v/>
      </c>
      <c r="U75" s="13" t="str">
        <f>IF($A75="","",[1]!thsiFinD("ths_adjustment_nv_fund",U$3,$A75))</f>
        <v/>
      </c>
      <c r="V75" s="13" t="str">
        <f>IF($A75="","",[1]!thsiFinD("ths_adjustment_nv_fund",V$3,$A75))</f>
        <v/>
      </c>
      <c r="W75" s="13" t="str">
        <f>IF($A75="","",[1]!thsiFinD("ths_adjustment_nv_fund",W$3,$A75))</f>
        <v/>
      </c>
      <c r="X75" s="13" t="str">
        <f>IF($A75="","",[1]!thsiFinD("ths_adjustment_nv_fund",X$3,$A75))</f>
        <v/>
      </c>
      <c r="Y75" s="13" t="str">
        <f>IF($A75="","",[1]!thsiFinD("ths_adjustment_nv_fund",Y$3,$A75))</f>
        <v/>
      </c>
      <c r="Z75" s="13" t="str">
        <f>IF($A75="","",[1]!thsiFinD("ths_adjustment_nv_fund",Z$3,$A75))</f>
        <v/>
      </c>
      <c r="AA75" s="13" t="str">
        <f>IF($A75="","",[1]!thsiFinD("ths_adjustment_nv_fund",AA$3,$A75))</f>
        <v/>
      </c>
      <c r="AB75" s="13">
        <f>IF($A75="","",[1]!thsiFinD("ths_adjustment_nv_fund",AB$3,$A75))</f>
        <v/>
      </c>
      <c r="AC75" s="13">
        <f>IF($A75="","",[1]!thsiFinD("ths_adjustment_nv_fund",AC$3,$A75))</f>
        <v/>
      </c>
      <c r="AD75" s="13">
        <f>IF($A75="","",[1]!thsiFinD("ths_adjustment_nv_fund",AD$3,$A75))</f>
        <v/>
      </c>
      <c r="AE75" s="13">
        <f>IF($A75="","",[1]!thsiFinD("ths_adjustment_nv_fund",AE$3,$A75))</f>
        <v/>
      </c>
      <c r="AF75" s="13">
        <f>IF($A75="","",[1]!thsiFinD("ths_adjustment_nv_fund",AF$3,$A75))</f>
        <v/>
      </c>
      <c r="AG75" s="13">
        <f>IF($A75="","",[1]!thsiFinD("ths_adjustment_nv_fund",AG$3,$A75))</f>
        <v/>
      </c>
      <c r="AH75" s="13">
        <f>IF($A75="","",[1]!thsiFinD("ths_adjustment_nv_fund",AH$3,$A75))</f>
        <v/>
      </c>
      <c r="AI75" s="13">
        <f>IF($A75="","",[1]!thsiFinD("ths_adjustment_nv_fund",AI$3,$A75))</f>
        <v/>
      </c>
      <c r="AJ75" s="13">
        <f>IF($A75="","",[1]!thsiFinD("ths_adjustment_nv_fund",AJ$3,$A75))</f>
        <v/>
      </c>
      <c r="AK75" s="13">
        <f>IF($A75="","",[1]!thsiFinD("ths_adjustment_nv_fund",AK$3,$A75))</f>
        <v/>
      </c>
      <c r="AL75" s="13">
        <f>IF($A75="","",[1]!thsiFinD("ths_adjustment_nv_fund",AL$3,$A75))</f>
        <v/>
      </c>
    </row>
    <row r="76" spans="1:27">
      <c r="A76" s="8"/>
      <c r="B76" s="13" t="str">
        <f>IF($A76="","",[1]!thsiFinD("ths_adjustment_nv_fund",B$3,$A76))</f>
        <v/>
      </c>
      <c r="C76" s="13" t="str">
        <f>IF($A76="","",[1]!thsiFinD("ths_adjustment_nv_fund",C$3,$A76))</f>
        <v/>
      </c>
      <c r="D76" s="13" t="str">
        <f>IF($A76="","",[1]!thsiFinD("ths_adjustment_nv_fund",D$3,$A76))</f>
        <v/>
      </c>
      <c r="E76" s="13" t="str">
        <f>IF($A76="","",[1]!thsiFinD("ths_adjustment_nv_fund",E$3,$A76))</f>
        <v/>
      </c>
      <c r="F76" s="13" t="str">
        <f>IF($A76="","",[1]!thsiFinD("ths_adjustment_nv_fund",F$3,$A76))</f>
        <v/>
      </c>
      <c r="G76" s="13" t="str">
        <f>IF($A76="","",[1]!thsiFinD("ths_adjustment_nv_fund",G$3,$A76))</f>
        <v/>
      </c>
      <c r="H76" s="13" t="str">
        <f>IF($A76="","",[1]!thsiFinD("ths_adjustment_nv_fund",H$3,$A76))</f>
        <v/>
      </c>
      <c r="I76" s="13" t="str">
        <f>IF($A76="","",[1]!thsiFinD("ths_adjustment_nv_fund",I$3,$A76))</f>
        <v/>
      </c>
      <c r="J76" s="13" t="str">
        <f>IF($A76="","",[1]!thsiFinD("ths_adjustment_nv_fund",J$3,$A76))</f>
        <v/>
      </c>
      <c r="K76" s="13" t="str">
        <f>IF($A76="","",[1]!thsiFinD("ths_adjustment_nv_fund",K$3,$A76))</f>
        <v/>
      </c>
      <c r="L76" s="13" t="str">
        <f>IF($A76="","",[1]!thsiFinD("ths_adjustment_nv_fund",L$3,$A76))</f>
        <v/>
      </c>
      <c r="M76" s="13" t="str">
        <f>IF($A76="","",[1]!thsiFinD("ths_adjustment_nv_fund",M$3,$A76))</f>
        <v/>
      </c>
      <c r="N76" s="13" t="str">
        <f>IF($A76="","",[1]!thsiFinD("ths_adjustment_nv_fund",N$3,$A76))</f>
        <v/>
      </c>
      <c r="O76" s="13" t="str">
        <f>IF($A76="","",[1]!thsiFinD("ths_adjustment_nv_fund",O$3,$A76))</f>
        <v/>
      </c>
      <c r="P76" s="13" t="str">
        <f>IF($A76="","",[1]!thsiFinD("ths_adjustment_nv_fund",P$3,$A76))</f>
        <v/>
      </c>
      <c r="Q76" s="13" t="str">
        <f>IF($A76="","",[1]!thsiFinD("ths_adjustment_nv_fund",Q$3,$A76))</f>
        <v/>
      </c>
      <c r="R76" s="13" t="str">
        <f>IF($A76="","",[1]!thsiFinD("ths_adjustment_nv_fund",R$3,$A76))</f>
        <v/>
      </c>
      <c r="S76" s="13" t="str">
        <f>IF($A76="","",[1]!thsiFinD("ths_adjustment_nv_fund",S$3,$A76))</f>
        <v/>
      </c>
      <c r="T76" s="13" t="str">
        <f>IF($A76="","",[1]!thsiFinD("ths_adjustment_nv_fund",T$3,$A76))</f>
        <v/>
      </c>
      <c r="U76" s="13" t="str">
        <f>IF($A76="","",[1]!thsiFinD("ths_adjustment_nv_fund",U$3,$A76))</f>
        <v/>
      </c>
      <c r="V76" s="13" t="str">
        <f>IF($A76="","",[1]!thsiFinD("ths_adjustment_nv_fund",V$3,$A76))</f>
        <v/>
      </c>
      <c r="W76" s="13" t="str">
        <f>IF($A76="","",[1]!thsiFinD("ths_adjustment_nv_fund",W$3,$A76))</f>
        <v/>
      </c>
      <c r="X76" s="13" t="str">
        <f>IF($A76="","",[1]!thsiFinD("ths_adjustment_nv_fund",X$3,$A76))</f>
        <v/>
      </c>
      <c r="Y76" s="13" t="str">
        <f>IF($A76="","",[1]!thsiFinD("ths_adjustment_nv_fund",Y$3,$A76))</f>
        <v/>
      </c>
      <c r="Z76" s="13" t="str">
        <f>IF($A76="","",[1]!thsiFinD("ths_adjustment_nv_fund",Z$3,$A76))</f>
        <v/>
      </c>
      <c r="AA76" s="13" t="str">
        <f>IF($A76="","",[1]!thsiFinD("ths_adjustment_nv_fund",AA$3,$A76))</f>
        <v/>
      </c>
      <c r="AB76" s="13">
        <f>IF($A76="","",[1]!thsiFinD("ths_adjustment_nv_fund",AB$3,$A76))</f>
        <v/>
      </c>
      <c r="AC76" s="13">
        <f>IF($A76="","",[1]!thsiFinD("ths_adjustment_nv_fund",AC$3,$A76))</f>
        <v/>
      </c>
      <c r="AD76" s="13">
        <f>IF($A76="","",[1]!thsiFinD("ths_adjustment_nv_fund",AD$3,$A76))</f>
        <v/>
      </c>
      <c r="AE76" s="13">
        <f>IF($A76="","",[1]!thsiFinD("ths_adjustment_nv_fund",AE$3,$A76))</f>
        <v/>
      </c>
      <c r="AF76" s="13">
        <f>IF($A76="","",[1]!thsiFinD("ths_adjustment_nv_fund",AF$3,$A76))</f>
        <v/>
      </c>
      <c r="AG76" s="13">
        <f>IF($A76="","",[1]!thsiFinD("ths_adjustment_nv_fund",AG$3,$A76))</f>
        <v/>
      </c>
      <c r="AH76" s="13">
        <f>IF($A76="","",[1]!thsiFinD("ths_adjustment_nv_fund",AH$3,$A76))</f>
        <v/>
      </c>
      <c r="AI76" s="13">
        <f>IF($A76="","",[1]!thsiFinD("ths_adjustment_nv_fund",AI$3,$A76))</f>
        <v/>
      </c>
      <c r="AJ76" s="13">
        <f>IF($A76="","",[1]!thsiFinD("ths_adjustment_nv_fund",AJ$3,$A76))</f>
        <v/>
      </c>
      <c r="AK76" s="13">
        <f>IF($A76="","",[1]!thsiFinD("ths_adjustment_nv_fund",AK$3,$A76))</f>
        <v/>
      </c>
      <c r="AL76" s="13">
        <f>IF($A76="","",[1]!thsiFinD("ths_adjustment_nv_fund",AL$3,$A76))</f>
        <v/>
      </c>
    </row>
    <row r="77" spans="1:27">
      <c r="A77" s="8"/>
      <c r="B77" s="13" t="str">
        <f>IF($A77="","",[1]!thsiFinD("ths_adjustment_nv_fund",B$3,$A77))</f>
        <v/>
      </c>
      <c r="C77" s="13" t="str">
        <f>IF($A77="","",[1]!thsiFinD("ths_adjustment_nv_fund",C$3,$A77))</f>
        <v/>
      </c>
      <c r="D77" s="13" t="str">
        <f>IF($A77="","",[1]!thsiFinD("ths_adjustment_nv_fund",D$3,$A77))</f>
        <v/>
      </c>
      <c r="E77" s="13" t="str">
        <f>IF($A77="","",[1]!thsiFinD("ths_adjustment_nv_fund",E$3,$A77))</f>
        <v/>
      </c>
      <c r="F77" s="13" t="str">
        <f>IF($A77="","",[1]!thsiFinD("ths_adjustment_nv_fund",F$3,$A77))</f>
        <v/>
      </c>
      <c r="G77" s="13" t="str">
        <f>IF($A77="","",[1]!thsiFinD("ths_adjustment_nv_fund",G$3,$A77))</f>
        <v/>
      </c>
      <c r="H77" s="13" t="str">
        <f>IF($A77="","",[1]!thsiFinD("ths_adjustment_nv_fund",H$3,$A77))</f>
        <v/>
      </c>
      <c r="I77" s="13" t="str">
        <f>IF($A77="","",[1]!thsiFinD("ths_adjustment_nv_fund",I$3,$A77))</f>
        <v/>
      </c>
      <c r="J77" s="13" t="str">
        <f>IF($A77="","",[1]!thsiFinD("ths_adjustment_nv_fund",J$3,$A77))</f>
        <v/>
      </c>
      <c r="K77" s="13" t="str">
        <f>IF($A77="","",[1]!thsiFinD("ths_adjustment_nv_fund",K$3,$A77))</f>
        <v/>
      </c>
      <c r="L77" s="13" t="str">
        <f>IF($A77="","",[1]!thsiFinD("ths_adjustment_nv_fund",L$3,$A77))</f>
        <v/>
      </c>
      <c r="M77" s="13" t="str">
        <f>IF($A77="","",[1]!thsiFinD("ths_adjustment_nv_fund",M$3,$A77))</f>
        <v/>
      </c>
      <c r="N77" s="13" t="str">
        <f>IF($A77="","",[1]!thsiFinD("ths_adjustment_nv_fund",N$3,$A77))</f>
        <v/>
      </c>
      <c r="O77" s="13" t="str">
        <f>IF($A77="","",[1]!thsiFinD("ths_adjustment_nv_fund",O$3,$A77))</f>
        <v/>
      </c>
      <c r="P77" s="13" t="str">
        <f>IF($A77="","",[1]!thsiFinD("ths_adjustment_nv_fund",P$3,$A77))</f>
        <v/>
      </c>
      <c r="Q77" s="13" t="str">
        <f>IF($A77="","",[1]!thsiFinD("ths_adjustment_nv_fund",Q$3,$A77))</f>
        <v/>
      </c>
      <c r="R77" s="13" t="str">
        <f>IF($A77="","",[1]!thsiFinD("ths_adjustment_nv_fund",R$3,$A77))</f>
        <v/>
      </c>
      <c r="S77" s="13" t="str">
        <f>IF($A77="","",[1]!thsiFinD("ths_adjustment_nv_fund",S$3,$A77))</f>
        <v/>
      </c>
      <c r="T77" s="13" t="str">
        <f>IF($A77="","",[1]!thsiFinD("ths_adjustment_nv_fund",T$3,$A77))</f>
        <v/>
      </c>
      <c r="U77" s="13" t="str">
        <f>IF($A77="","",[1]!thsiFinD("ths_adjustment_nv_fund",U$3,$A77))</f>
        <v/>
      </c>
      <c r="V77" s="13" t="str">
        <f>IF($A77="","",[1]!thsiFinD("ths_adjustment_nv_fund",V$3,$A77))</f>
        <v/>
      </c>
      <c r="W77" s="13" t="str">
        <f>IF($A77="","",[1]!thsiFinD("ths_adjustment_nv_fund",W$3,$A77))</f>
        <v/>
      </c>
      <c r="X77" s="13" t="str">
        <f>IF($A77="","",[1]!thsiFinD("ths_adjustment_nv_fund",X$3,$A77))</f>
        <v/>
      </c>
      <c r="Y77" s="13" t="str">
        <f>IF($A77="","",[1]!thsiFinD("ths_adjustment_nv_fund",Y$3,$A77))</f>
        <v/>
      </c>
      <c r="Z77" s="13" t="str">
        <f>IF($A77="","",[1]!thsiFinD("ths_adjustment_nv_fund",Z$3,$A77))</f>
        <v/>
      </c>
      <c r="AA77" s="13" t="str">
        <f>IF($A77="","",[1]!thsiFinD("ths_adjustment_nv_fund",AA$3,$A77))</f>
        <v/>
      </c>
      <c r="AB77" s="13">
        <f>IF($A77="","",[1]!thsiFinD("ths_adjustment_nv_fund",AB$3,$A77))</f>
        <v/>
      </c>
      <c r="AC77" s="13">
        <f>IF($A77="","",[1]!thsiFinD("ths_adjustment_nv_fund",AC$3,$A77))</f>
        <v/>
      </c>
      <c r="AD77" s="13">
        <f>IF($A77="","",[1]!thsiFinD("ths_adjustment_nv_fund",AD$3,$A77))</f>
        <v/>
      </c>
      <c r="AE77" s="13">
        <f>IF($A77="","",[1]!thsiFinD("ths_adjustment_nv_fund",AE$3,$A77))</f>
        <v/>
      </c>
      <c r="AF77" s="13">
        <f>IF($A77="","",[1]!thsiFinD("ths_adjustment_nv_fund",AF$3,$A77))</f>
        <v/>
      </c>
      <c r="AG77" s="13">
        <f>IF($A77="","",[1]!thsiFinD("ths_adjustment_nv_fund",AG$3,$A77))</f>
        <v/>
      </c>
      <c r="AH77" s="13">
        <f>IF($A77="","",[1]!thsiFinD("ths_adjustment_nv_fund",AH$3,$A77))</f>
        <v/>
      </c>
      <c r="AI77" s="13">
        <f>IF($A77="","",[1]!thsiFinD("ths_adjustment_nv_fund",AI$3,$A77))</f>
        <v/>
      </c>
      <c r="AJ77" s="13">
        <f>IF($A77="","",[1]!thsiFinD("ths_adjustment_nv_fund",AJ$3,$A77))</f>
        <v/>
      </c>
      <c r="AK77" s="13">
        <f>IF($A77="","",[1]!thsiFinD("ths_adjustment_nv_fund",AK$3,$A77))</f>
        <v/>
      </c>
      <c r="AL77" s="13">
        <f>IF($A77="","",[1]!thsiFinD("ths_adjustment_nv_fund",AL$3,$A77))</f>
        <v/>
      </c>
    </row>
    <row r="78" spans="1:27">
      <c r="A78" s="8"/>
      <c r="B78" s="13" t="str">
        <f>IF($A78="","",[1]!thsiFinD("ths_adjustment_nv_fund",B$3,$A78))</f>
        <v/>
      </c>
      <c r="C78" s="13" t="str">
        <f>IF($A78="","",[1]!thsiFinD("ths_adjustment_nv_fund",C$3,$A78))</f>
        <v/>
      </c>
      <c r="D78" s="13" t="str">
        <f>IF($A78="","",[1]!thsiFinD("ths_adjustment_nv_fund",D$3,$A78))</f>
        <v/>
      </c>
      <c r="E78" s="13" t="str">
        <f>IF($A78="","",[1]!thsiFinD("ths_adjustment_nv_fund",E$3,$A78))</f>
        <v/>
      </c>
      <c r="F78" s="13" t="str">
        <f>IF($A78="","",[1]!thsiFinD("ths_adjustment_nv_fund",F$3,$A78))</f>
        <v/>
      </c>
      <c r="G78" s="13" t="str">
        <f>IF($A78="","",[1]!thsiFinD("ths_adjustment_nv_fund",G$3,$A78))</f>
        <v/>
      </c>
      <c r="H78" s="13" t="str">
        <f>IF($A78="","",[1]!thsiFinD("ths_adjustment_nv_fund",H$3,$A78))</f>
        <v/>
      </c>
      <c r="I78" s="13" t="str">
        <f>IF($A78="","",[1]!thsiFinD("ths_adjustment_nv_fund",I$3,$A78))</f>
        <v/>
      </c>
      <c r="J78" s="13" t="str">
        <f>IF($A78="","",[1]!thsiFinD("ths_adjustment_nv_fund",J$3,$A78))</f>
        <v/>
      </c>
      <c r="K78" s="13" t="str">
        <f>IF($A78="","",[1]!thsiFinD("ths_adjustment_nv_fund",K$3,$A78))</f>
        <v/>
      </c>
      <c r="L78" s="13" t="str">
        <f>IF($A78="","",[1]!thsiFinD("ths_adjustment_nv_fund",L$3,$A78))</f>
        <v/>
      </c>
      <c r="M78" s="13" t="str">
        <f>IF($A78="","",[1]!thsiFinD("ths_adjustment_nv_fund",M$3,$A78))</f>
        <v/>
      </c>
      <c r="N78" s="13" t="str">
        <f>IF($A78="","",[1]!thsiFinD("ths_adjustment_nv_fund",N$3,$A78))</f>
        <v/>
      </c>
      <c r="O78" s="13" t="str">
        <f>IF($A78="","",[1]!thsiFinD("ths_adjustment_nv_fund",O$3,$A78))</f>
        <v/>
      </c>
      <c r="P78" s="13" t="str">
        <f>IF($A78="","",[1]!thsiFinD("ths_adjustment_nv_fund",P$3,$A78))</f>
        <v/>
      </c>
      <c r="Q78" s="13" t="str">
        <f>IF($A78="","",[1]!thsiFinD("ths_adjustment_nv_fund",Q$3,$A78))</f>
        <v/>
      </c>
      <c r="R78" s="13" t="str">
        <f>IF($A78="","",[1]!thsiFinD("ths_adjustment_nv_fund",R$3,$A78))</f>
        <v/>
      </c>
      <c r="S78" s="13" t="str">
        <f>IF($A78="","",[1]!thsiFinD("ths_adjustment_nv_fund",S$3,$A78))</f>
        <v/>
      </c>
      <c r="T78" s="13" t="str">
        <f>IF($A78="","",[1]!thsiFinD("ths_adjustment_nv_fund",T$3,$A78))</f>
        <v/>
      </c>
      <c r="U78" s="13" t="str">
        <f>IF($A78="","",[1]!thsiFinD("ths_adjustment_nv_fund",U$3,$A78))</f>
        <v/>
      </c>
      <c r="V78" s="13" t="str">
        <f>IF($A78="","",[1]!thsiFinD("ths_adjustment_nv_fund",V$3,$A78))</f>
        <v/>
      </c>
      <c r="W78" s="13" t="str">
        <f>IF($A78="","",[1]!thsiFinD("ths_adjustment_nv_fund",W$3,$A78))</f>
        <v/>
      </c>
      <c r="X78" s="13" t="str">
        <f>IF($A78="","",[1]!thsiFinD("ths_adjustment_nv_fund",X$3,$A78))</f>
        <v/>
      </c>
      <c r="Y78" s="13" t="str">
        <f>IF($A78="","",[1]!thsiFinD("ths_adjustment_nv_fund",Y$3,$A78))</f>
        <v/>
      </c>
      <c r="Z78" s="13" t="str">
        <f>IF($A78="","",[1]!thsiFinD("ths_adjustment_nv_fund",Z$3,$A78))</f>
        <v/>
      </c>
      <c r="AA78" s="13" t="str">
        <f>IF($A78="","",[1]!thsiFinD("ths_adjustment_nv_fund",AA$3,$A78))</f>
        <v/>
      </c>
      <c r="AB78" s="13">
        <f>IF($A78="","",[1]!thsiFinD("ths_adjustment_nv_fund",AB$3,$A78))</f>
        <v/>
      </c>
      <c r="AC78" s="13">
        <f>IF($A78="","",[1]!thsiFinD("ths_adjustment_nv_fund",AC$3,$A78))</f>
        <v/>
      </c>
      <c r="AD78" s="13">
        <f>IF($A78="","",[1]!thsiFinD("ths_adjustment_nv_fund",AD$3,$A78))</f>
        <v/>
      </c>
      <c r="AE78" s="13">
        <f>IF($A78="","",[1]!thsiFinD("ths_adjustment_nv_fund",AE$3,$A78))</f>
        <v/>
      </c>
      <c r="AF78" s="13">
        <f>IF($A78="","",[1]!thsiFinD("ths_adjustment_nv_fund",AF$3,$A78))</f>
        <v/>
      </c>
      <c r="AG78" s="13">
        <f>IF($A78="","",[1]!thsiFinD("ths_adjustment_nv_fund",AG$3,$A78))</f>
        <v/>
      </c>
      <c r="AH78" s="13">
        <f>IF($A78="","",[1]!thsiFinD("ths_adjustment_nv_fund",AH$3,$A78))</f>
        <v/>
      </c>
      <c r="AI78" s="13">
        <f>IF($A78="","",[1]!thsiFinD("ths_adjustment_nv_fund",AI$3,$A78))</f>
        <v/>
      </c>
      <c r="AJ78" s="13">
        <f>IF($A78="","",[1]!thsiFinD("ths_adjustment_nv_fund",AJ$3,$A78))</f>
        <v/>
      </c>
      <c r="AK78" s="13">
        <f>IF($A78="","",[1]!thsiFinD("ths_adjustment_nv_fund",AK$3,$A78))</f>
        <v/>
      </c>
      <c r="AL78" s="13">
        <f>IF($A78="","",[1]!thsiFinD("ths_adjustment_nv_fund",AL$3,$A78))</f>
        <v/>
      </c>
    </row>
    <row r="79" spans="1:27">
      <c r="A79" s="8"/>
      <c r="B79" s="13" t="str">
        <f>IF($A79="","",[1]!thsiFinD("ths_adjustment_nv_fund",B$3,$A79))</f>
        <v/>
      </c>
      <c r="C79" s="13" t="str">
        <f>IF($A79="","",[1]!thsiFinD("ths_adjustment_nv_fund",C$3,$A79))</f>
        <v/>
      </c>
      <c r="D79" s="13" t="str">
        <f>IF($A79="","",[1]!thsiFinD("ths_adjustment_nv_fund",D$3,$A79))</f>
        <v/>
      </c>
      <c r="E79" s="13" t="str">
        <f>IF($A79="","",[1]!thsiFinD("ths_adjustment_nv_fund",E$3,$A79))</f>
        <v/>
      </c>
      <c r="F79" s="13" t="str">
        <f>IF($A79="","",[1]!thsiFinD("ths_adjustment_nv_fund",F$3,$A79))</f>
        <v/>
      </c>
      <c r="G79" s="13" t="str">
        <f>IF($A79="","",[1]!thsiFinD("ths_adjustment_nv_fund",G$3,$A79))</f>
        <v/>
      </c>
      <c r="H79" s="13" t="str">
        <f>IF($A79="","",[1]!thsiFinD("ths_adjustment_nv_fund",H$3,$A79))</f>
        <v/>
      </c>
      <c r="I79" s="13" t="str">
        <f>IF($A79="","",[1]!thsiFinD("ths_adjustment_nv_fund",I$3,$A79))</f>
        <v/>
      </c>
      <c r="J79" s="13" t="str">
        <f>IF($A79="","",[1]!thsiFinD("ths_adjustment_nv_fund",J$3,$A79))</f>
        <v/>
      </c>
      <c r="K79" s="13" t="str">
        <f>IF($A79="","",[1]!thsiFinD("ths_adjustment_nv_fund",K$3,$A79))</f>
        <v/>
      </c>
      <c r="L79" s="13" t="str">
        <f>IF($A79="","",[1]!thsiFinD("ths_adjustment_nv_fund",L$3,$A79))</f>
        <v/>
      </c>
      <c r="M79" s="13" t="str">
        <f>IF($A79="","",[1]!thsiFinD("ths_adjustment_nv_fund",M$3,$A79))</f>
        <v/>
      </c>
      <c r="N79" s="13" t="str">
        <f>IF($A79="","",[1]!thsiFinD("ths_adjustment_nv_fund",N$3,$A79))</f>
        <v/>
      </c>
      <c r="O79" s="13" t="str">
        <f>IF($A79="","",[1]!thsiFinD("ths_adjustment_nv_fund",O$3,$A79))</f>
        <v/>
      </c>
      <c r="P79" s="13" t="str">
        <f>IF($A79="","",[1]!thsiFinD("ths_adjustment_nv_fund",P$3,$A79))</f>
        <v/>
      </c>
      <c r="Q79" s="13" t="str">
        <f>IF($A79="","",[1]!thsiFinD("ths_adjustment_nv_fund",Q$3,$A79))</f>
        <v/>
      </c>
      <c r="R79" s="13" t="str">
        <f>IF($A79="","",[1]!thsiFinD("ths_adjustment_nv_fund",R$3,$A79))</f>
        <v/>
      </c>
      <c r="S79" s="13" t="str">
        <f>IF($A79="","",[1]!thsiFinD("ths_adjustment_nv_fund",S$3,$A79))</f>
        <v/>
      </c>
      <c r="T79" s="13" t="str">
        <f>IF($A79="","",[1]!thsiFinD("ths_adjustment_nv_fund",T$3,$A79))</f>
        <v/>
      </c>
      <c r="U79" s="13" t="str">
        <f>IF($A79="","",[1]!thsiFinD("ths_adjustment_nv_fund",U$3,$A79))</f>
        <v/>
      </c>
      <c r="V79" s="13" t="str">
        <f>IF($A79="","",[1]!thsiFinD("ths_adjustment_nv_fund",V$3,$A79))</f>
        <v/>
      </c>
      <c r="W79" s="13" t="str">
        <f>IF($A79="","",[1]!thsiFinD("ths_adjustment_nv_fund",W$3,$A79))</f>
        <v/>
      </c>
      <c r="X79" s="13" t="str">
        <f>IF($A79="","",[1]!thsiFinD("ths_adjustment_nv_fund",X$3,$A79))</f>
        <v/>
      </c>
      <c r="Y79" s="13" t="str">
        <f>IF($A79="","",[1]!thsiFinD("ths_adjustment_nv_fund",Y$3,$A79))</f>
        <v/>
      </c>
      <c r="Z79" s="13" t="str">
        <f>IF($A79="","",[1]!thsiFinD("ths_adjustment_nv_fund",Z$3,$A79))</f>
        <v/>
      </c>
      <c r="AA79" s="13" t="str">
        <f>IF($A79="","",[1]!thsiFinD("ths_adjustment_nv_fund",AA$3,$A79))</f>
        <v/>
      </c>
      <c r="AB79" s="13">
        <f>IF($A79="","",[1]!thsiFinD("ths_adjustment_nv_fund",AB$3,$A79))</f>
        <v/>
      </c>
      <c r="AC79" s="13">
        <f>IF($A79="","",[1]!thsiFinD("ths_adjustment_nv_fund",AC$3,$A79))</f>
        <v/>
      </c>
      <c r="AD79" s="13">
        <f>IF($A79="","",[1]!thsiFinD("ths_adjustment_nv_fund",AD$3,$A79))</f>
        <v/>
      </c>
      <c r="AE79" s="13">
        <f>IF($A79="","",[1]!thsiFinD("ths_adjustment_nv_fund",AE$3,$A79))</f>
        <v/>
      </c>
      <c r="AF79" s="13">
        <f>IF($A79="","",[1]!thsiFinD("ths_adjustment_nv_fund",AF$3,$A79))</f>
        <v/>
      </c>
      <c r="AG79" s="13">
        <f>IF($A79="","",[1]!thsiFinD("ths_adjustment_nv_fund",AG$3,$A79))</f>
        <v/>
      </c>
      <c r="AH79" s="13">
        <f>IF($A79="","",[1]!thsiFinD("ths_adjustment_nv_fund",AH$3,$A79))</f>
        <v/>
      </c>
      <c r="AI79" s="13">
        <f>IF($A79="","",[1]!thsiFinD("ths_adjustment_nv_fund",AI$3,$A79))</f>
        <v/>
      </c>
      <c r="AJ79" s="13">
        <f>IF($A79="","",[1]!thsiFinD("ths_adjustment_nv_fund",AJ$3,$A79))</f>
        <v/>
      </c>
      <c r="AK79" s="13">
        <f>IF($A79="","",[1]!thsiFinD("ths_adjustment_nv_fund",AK$3,$A79))</f>
        <v/>
      </c>
      <c r="AL79" s="13">
        <f>IF($A79="","",[1]!thsiFinD("ths_adjustment_nv_fund",AL$3,$A79))</f>
        <v/>
      </c>
    </row>
    <row r="80" spans="1:27">
      <c r="A80" s="8"/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  <c r="Z80" s="13" t="str">
        <f>IF($A80="","",[1]!thsiFinD("ths_adjustment_nv_fund",Z$3,$A80))</f>
        <v/>
      </c>
      <c r="AA80" s="13" t="str">
        <f>IF($A80="","",[1]!thsiFinD("ths_adjustment_nv_fund",AA$3,$A80))</f>
        <v/>
      </c>
      <c r="AB80" s="13">
        <f>IF($A80="","",[1]!thsiFinD("ths_adjustment_nv_fund",AB$3,$A80))</f>
        <v/>
      </c>
      <c r="AC80" s="13">
        <f>IF($A80="","",[1]!thsiFinD("ths_adjustment_nv_fund",AC$3,$A80))</f>
        <v/>
      </c>
      <c r="AD80" s="13">
        <f>IF($A80="","",[1]!thsiFinD("ths_adjustment_nv_fund",AD$3,$A80))</f>
        <v/>
      </c>
      <c r="AE80" s="13">
        <f>IF($A80="","",[1]!thsiFinD("ths_adjustment_nv_fund",AE$3,$A80))</f>
        <v/>
      </c>
      <c r="AF80" s="13">
        <f>IF($A80="","",[1]!thsiFinD("ths_adjustment_nv_fund",AF$3,$A80))</f>
        <v/>
      </c>
      <c r="AG80" s="13">
        <f>IF($A80="","",[1]!thsiFinD("ths_adjustment_nv_fund",AG$3,$A80))</f>
        <v/>
      </c>
      <c r="AH80" s="13">
        <f>IF($A80="","",[1]!thsiFinD("ths_adjustment_nv_fund",AH$3,$A80))</f>
        <v/>
      </c>
      <c r="AI80" s="13">
        <f>IF($A80="","",[1]!thsiFinD("ths_adjustment_nv_fund",AI$3,$A80))</f>
        <v/>
      </c>
      <c r="AJ80" s="13">
        <f>IF($A80="","",[1]!thsiFinD("ths_adjustment_nv_fund",AJ$3,$A80))</f>
        <v/>
      </c>
      <c r="AK80" s="13">
        <f>IF($A80="","",[1]!thsiFinD("ths_adjustment_nv_fund",AK$3,$A80))</f>
        <v/>
      </c>
      <c r="AL80" s="13">
        <f>IF($A80="","",[1]!thsiFinD("ths_adjustment_nv_fund",AL$3,$A80))</f>
        <v/>
      </c>
    </row>
    <row r="81" spans="1:27">
      <c r="A81" s="8"/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  <c r="Z81" s="13" t="str">
        <f>IF($A81="","",[1]!thsiFinD("ths_adjustment_nv_fund",Z$3,$A81))</f>
        <v/>
      </c>
      <c r="AA81" s="13" t="str">
        <f>IF($A81="","",[1]!thsiFinD("ths_adjustment_nv_fund",AA$3,$A81))</f>
        <v/>
      </c>
      <c r="AB81" s="13">
        <f>IF($A81="","",[1]!thsiFinD("ths_adjustment_nv_fund",AB$3,$A81))</f>
        <v/>
      </c>
      <c r="AC81" s="13">
        <f>IF($A81="","",[1]!thsiFinD("ths_adjustment_nv_fund",AC$3,$A81))</f>
        <v/>
      </c>
      <c r="AD81" s="13">
        <f>IF($A81="","",[1]!thsiFinD("ths_adjustment_nv_fund",AD$3,$A81))</f>
        <v/>
      </c>
      <c r="AE81" s="13">
        <f>IF($A81="","",[1]!thsiFinD("ths_adjustment_nv_fund",AE$3,$A81))</f>
        <v/>
      </c>
      <c r="AF81" s="13">
        <f>IF($A81="","",[1]!thsiFinD("ths_adjustment_nv_fund",AF$3,$A81))</f>
        <v/>
      </c>
      <c r="AG81" s="13">
        <f>IF($A81="","",[1]!thsiFinD("ths_adjustment_nv_fund",AG$3,$A81))</f>
        <v/>
      </c>
      <c r="AH81" s="13">
        <f>IF($A81="","",[1]!thsiFinD("ths_adjustment_nv_fund",AH$3,$A81))</f>
        <v/>
      </c>
      <c r="AI81" s="13">
        <f>IF($A81="","",[1]!thsiFinD("ths_adjustment_nv_fund",AI$3,$A81))</f>
        <v/>
      </c>
      <c r="AJ81" s="13">
        <f>IF($A81="","",[1]!thsiFinD("ths_adjustment_nv_fund",AJ$3,$A81))</f>
        <v/>
      </c>
      <c r="AK81" s="13">
        <f>IF($A81="","",[1]!thsiFinD("ths_adjustment_nv_fund",AK$3,$A81))</f>
        <v/>
      </c>
      <c r="AL81" s="13">
        <f>IF($A81="","",[1]!thsiFinD("ths_adjustment_nv_fund",AL$3,$A81))</f>
        <v/>
      </c>
    </row>
    <row r="82" spans="1:27">
      <c r="A82" s="8"/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  <c r="Z82" s="13" t="str">
        <f>IF($A82="","",[1]!thsiFinD("ths_adjustment_nv_fund",Z$3,$A82))</f>
        <v/>
      </c>
      <c r="AA82" s="13" t="str">
        <f>IF($A82="","",[1]!thsiFinD("ths_adjustment_nv_fund",AA$3,$A82))</f>
        <v/>
      </c>
      <c r="AB82" s="13">
        <f>IF($A82="","",[1]!thsiFinD("ths_adjustment_nv_fund",AB$3,$A82))</f>
        <v/>
      </c>
      <c r="AC82" s="13">
        <f>IF($A82="","",[1]!thsiFinD("ths_adjustment_nv_fund",AC$3,$A82))</f>
        <v/>
      </c>
      <c r="AD82" s="13">
        <f>IF($A82="","",[1]!thsiFinD("ths_adjustment_nv_fund",AD$3,$A82))</f>
        <v/>
      </c>
      <c r="AE82" s="13">
        <f>IF($A82="","",[1]!thsiFinD("ths_adjustment_nv_fund",AE$3,$A82))</f>
        <v/>
      </c>
      <c r="AF82" s="13">
        <f>IF($A82="","",[1]!thsiFinD("ths_adjustment_nv_fund",AF$3,$A82))</f>
        <v/>
      </c>
      <c r="AG82" s="13">
        <f>IF($A82="","",[1]!thsiFinD("ths_adjustment_nv_fund",AG$3,$A82))</f>
        <v/>
      </c>
      <c r="AH82" s="13">
        <f>IF($A82="","",[1]!thsiFinD("ths_adjustment_nv_fund",AH$3,$A82))</f>
        <v/>
      </c>
      <c r="AI82" s="13">
        <f>IF($A82="","",[1]!thsiFinD("ths_adjustment_nv_fund",AI$3,$A82))</f>
        <v/>
      </c>
      <c r="AJ82" s="13">
        <f>IF($A82="","",[1]!thsiFinD("ths_adjustment_nv_fund",AJ$3,$A82))</f>
        <v/>
      </c>
      <c r="AK82" s="13">
        <f>IF($A82="","",[1]!thsiFinD("ths_adjustment_nv_fund",AK$3,$A82))</f>
        <v/>
      </c>
      <c r="AL82" s="13">
        <f>IF($A82="","",[1]!thsiFinD("ths_adjustment_nv_fund",AL$3,$A82))</f>
        <v/>
      </c>
    </row>
    <row r="83" spans="1:27">
      <c r="A83" s="8"/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  <c r="Z83" s="13" t="str">
        <f>IF($A83="","",[1]!thsiFinD("ths_adjustment_nv_fund",Z$3,$A83))</f>
        <v/>
      </c>
      <c r="AA83" s="13" t="str">
        <f>IF($A83="","",[1]!thsiFinD("ths_adjustment_nv_fund",AA$3,$A83))</f>
        <v/>
      </c>
      <c r="AB83" s="13">
        <f>IF($A83="","",[1]!thsiFinD("ths_adjustment_nv_fund",AB$3,$A83))</f>
        <v/>
      </c>
      <c r="AC83" s="13">
        <f>IF($A83="","",[1]!thsiFinD("ths_adjustment_nv_fund",AC$3,$A83))</f>
        <v/>
      </c>
      <c r="AD83" s="13">
        <f>IF($A83="","",[1]!thsiFinD("ths_adjustment_nv_fund",AD$3,$A83))</f>
        <v/>
      </c>
      <c r="AE83" s="13">
        <f>IF($A83="","",[1]!thsiFinD("ths_adjustment_nv_fund",AE$3,$A83))</f>
        <v/>
      </c>
      <c r="AF83" s="13">
        <f>IF($A83="","",[1]!thsiFinD("ths_adjustment_nv_fund",AF$3,$A83))</f>
        <v/>
      </c>
      <c r="AG83" s="13">
        <f>IF($A83="","",[1]!thsiFinD("ths_adjustment_nv_fund",AG$3,$A83))</f>
        <v/>
      </c>
      <c r="AH83" s="13">
        <f>IF($A83="","",[1]!thsiFinD("ths_adjustment_nv_fund",AH$3,$A83))</f>
        <v/>
      </c>
      <c r="AI83" s="13">
        <f>IF($A83="","",[1]!thsiFinD("ths_adjustment_nv_fund",AI$3,$A83))</f>
        <v/>
      </c>
      <c r="AJ83" s="13">
        <f>IF($A83="","",[1]!thsiFinD("ths_adjustment_nv_fund",AJ$3,$A83))</f>
        <v/>
      </c>
      <c r="AK83" s="13">
        <f>IF($A83="","",[1]!thsiFinD("ths_adjustment_nv_fund",AK$3,$A83))</f>
        <v/>
      </c>
      <c r="AL83" s="13">
        <f>IF($A83="","",[1]!thsiFinD("ths_adjustment_nv_fund",AL$3,$A83))</f>
        <v/>
      </c>
    </row>
    <row r="84" spans="1:27">
      <c r="A84" s="8"/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  <c r="Z84" s="13" t="str">
        <f>IF($A84="","",[1]!thsiFinD("ths_adjustment_nv_fund",Z$3,$A84))</f>
        <v/>
      </c>
      <c r="AA84" s="13" t="str">
        <f>IF($A84="","",[1]!thsiFinD("ths_adjustment_nv_fund",AA$3,$A84))</f>
        <v/>
      </c>
      <c r="AB84" s="13">
        <f>IF($A84="","",[1]!thsiFinD("ths_adjustment_nv_fund",AB$3,$A84))</f>
        <v/>
      </c>
      <c r="AC84" s="13">
        <f>IF($A84="","",[1]!thsiFinD("ths_adjustment_nv_fund",AC$3,$A84))</f>
        <v/>
      </c>
      <c r="AD84" s="13">
        <f>IF($A84="","",[1]!thsiFinD("ths_adjustment_nv_fund",AD$3,$A84))</f>
        <v/>
      </c>
      <c r="AE84" s="13">
        <f>IF($A84="","",[1]!thsiFinD("ths_adjustment_nv_fund",AE$3,$A84))</f>
        <v/>
      </c>
      <c r="AF84" s="13">
        <f>IF($A84="","",[1]!thsiFinD("ths_adjustment_nv_fund",AF$3,$A84))</f>
        <v/>
      </c>
      <c r="AG84" s="13">
        <f>IF($A84="","",[1]!thsiFinD("ths_adjustment_nv_fund",AG$3,$A84))</f>
        <v/>
      </c>
      <c r="AH84" s="13">
        <f>IF($A84="","",[1]!thsiFinD("ths_adjustment_nv_fund",AH$3,$A84))</f>
        <v/>
      </c>
      <c r="AI84" s="13">
        <f>IF($A84="","",[1]!thsiFinD("ths_adjustment_nv_fund",AI$3,$A84))</f>
        <v/>
      </c>
      <c r="AJ84" s="13">
        <f>IF($A84="","",[1]!thsiFinD("ths_adjustment_nv_fund",AJ$3,$A84))</f>
        <v/>
      </c>
      <c r="AK84" s="13">
        <f>IF($A84="","",[1]!thsiFinD("ths_adjustment_nv_fund",AK$3,$A84))</f>
        <v/>
      </c>
      <c r="AL84" s="13">
        <f>IF($A84="","",[1]!thsiFinD("ths_adjustment_nv_fund",AL$3,$A84))</f>
        <v/>
      </c>
    </row>
    <row r="85" spans="1:27">
      <c r="A85" s="8"/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  <c r="Z85" s="13" t="str">
        <f>IF($A85="","",[1]!thsiFinD("ths_adjustment_nv_fund",Z$3,$A85))</f>
        <v/>
      </c>
      <c r="AA85" s="13" t="str">
        <f>IF($A85="","",[1]!thsiFinD("ths_adjustment_nv_fund",AA$3,$A85))</f>
        <v/>
      </c>
      <c r="AB85" s="13">
        <f>IF($A85="","",[1]!thsiFinD("ths_adjustment_nv_fund",AB$3,$A85))</f>
        <v/>
      </c>
      <c r="AC85" s="13">
        <f>IF($A85="","",[1]!thsiFinD("ths_adjustment_nv_fund",AC$3,$A85))</f>
        <v/>
      </c>
      <c r="AD85" s="13">
        <f>IF($A85="","",[1]!thsiFinD("ths_adjustment_nv_fund",AD$3,$A85))</f>
        <v/>
      </c>
      <c r="AE85" s="13">
        <f>IF($A85="","",[1]!thsiFinD("ths_adjustment_nv_fund",AE$3,$A85))</f>
        <v/>
      </c>
      <c r="AF85" s="13">
        <f>IF($A85="","",[1]!thsiFinD("ths_adjustment_nv_fund",AF$3,$A85))</f>
        <v/>
      </c>
      <c r="AG85" s="13">
        <f>IF($A85="","",[1]!thsiFinD("ths_adjustment_nv_fund",AG$3,$A85))</f>
        <v/>
      </c>
      <c r="AH85" s="13">
        <f>IF($A85="","",[1]!thsiFinD("ths_adjustment_nv_fund",AH$3,$A85))</f>
        <v/>
      </c>
      <c r="AI85" s="13">
        <f>IF($A85="","",[1]!thsiFinD("ths_adjustment_nv_fund",AI$3,$A85))</f>
        <v/>
      </c>
      <c r="AJ85" s="13">
        <f>IF($A85="","",[1]!thsiFinD("ths_adjustment_nv_fund",AJ$3,$A85))</f>
        <v/>
      </c>
      <c r="AK85" s="13">
        <f>IF($A85="","",[1]!thsiFinD("ths_adjustment_nv_fund",AK$3,$A85))</f>
        <v/>
      </c>
      <c r="AL85" s="13">
        <f>IF($A85="","",[1]!thsiFinD("ths_adjustment_nv_fund",AL$3,$A85))</f>
        <v/>
      </c>
    </row>
    <row r="86" spans="1:27">
      <c r="A86" s="8"/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  <c r="Z86" s="13" t="str">
        <f>IF($A86="","",[1]!thsiFinD("ths_adjustment_nv_fund",Z$3,$A86))</f>
        <v/>
      </c>
      <c r="AA86" s="13" t="str">
        <f>IF($A86="","",[1]!thsiFinD("ths_adjustment_nv_fund",AA$3,$A86))</f>
        <v/>
      </c>
      <c r="AB86" s="13">
        <f>IF($A86="","",[1]!thsiFinD("ths_adjustment_nv_fund",AB$3,$A86))</f>
        <v/>
      </c>
      <c r="AC86" s="13">
        <f>IF($A86="","",[1]!thsiFinD("ths_adjustment_nv_fund",AC$3,$A86))</f>
        <v/>
      </c>
      <c r="AD86" s="13">
        <f>IF($A86="","",[1]!thsiFinD("ths_adjustment_nv_fund",AD$3,$A86))</f>
        <v/>
      </c>
      <c r="AE86" s="13">
        <f>IF($A86="","",[1]!thsiFinD("ths_adjustment_nv_fund",AE$3,$A86))</f>
        <v/>
      </c>
      <c r="AF86" s="13">
        <f>IF($A86="","",[1]!thsiFinD("ths_adjustment_nv_fund",AF$3,$A86))</f>
        <v/>
      </c>
      <c r="AG86" s="13">
        <f>IF($A86="","",[1]!thsiFinD("ths_adjustment_nv_fund",AG$3,$A86))</f>
        <v/>
      </c>
      <c r="AH86" s="13">
        <f>IF($A86="","",[1]!thsiFinD("ths_adjustment_nv_fund",AH$3,$A86))</f>
        <v/>
      </c>
      <c r="AI86" s="13">
        <f>IF($A86="","",[1]!thsiFinD("ths_adjustment_nv_fund",AI$3,$A86))</f>
        <v/>
      </c>
      <c r="AJ86" s="13">
        <f>IF($A86="","",[1]!thsiFinD("ths_adjustment_nv_fund",AJ$3,$A86))</f>
        <v/>
      </c>
      <c r="AK86" s="13">
        <f>IF($A86="","",[1]!thsiFinD("ths_adjustment_nv_fund",AK$3,$A86))</f>
        <v/>
      </c>
      <c r="AL86" s="13">
        <f>IF($A86="","",[1]!thsiFinD("ths_adjustment_nv_fund",AL$3,$A86))</f>
        <v/>
      </c>
    </row>
    <row r="87" spans="1:27">
      <c r="A87" s="8"/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  <c r="Z87" s="13" t="str">
        <f>IF($A87="","",[1]!thsiFinD("ths_adjustment_nv_fund",Z$3,$A87))</f>
        <v/>
      </c>
      <c r="AA87" s="13" t="str">
        <f>IF($A87="","",[1]!thsiFinD("ths_adjustment_nv_fund",AA$3,$A87))</f>
        <v/>
      </c>
      <c r="AB87" s="13">
        <f>IF($A87="","",[1]!thsiFinD("ths_adjustment_nv_fund",AB$3,$A87))</f>
        <v/>
      </c>
      <c r="AC87" s="13">
        <f>IF($A87="","",[1]!thsiFinD("ths_adjustment_nv_fund",AC$3,$A87))</f>
        <v/>
      </c>
      <c r="AD87" s="13">
        <f>IF($A87="","",[1]!thsiFinD("ths_adjustment_nv_fund",AD$3,$A87))</f>
        <v/>
      </c>
      <c r="AE87" s="13">
        <f>IF($A87="","",[1]!thsiFinD("ths_adjustment_nv_fund",AE$3,$A87))</f>
        <v/>
      </c>
      <c r="AF87" s="13">
        <f>IF($A87="","",[1]!thsiFinD("ths_adjustment_nv_fund",AF$3,$A87))</f>
        <v/>
      </c>
      <c r="AG87" s="13">
        <f>IF($A87="","",[1]!thsiFinD("ths_adjustment_nv_fund",AG$3,$A87))</f>
        <v/>
      </c>
      <c r="AH87" s="13">
        <f>IF($A87="","",[1]!thsiFinD("ths_adjustment_nv_fund",AH$3,$A87))</f>
        <v/>
      </c>
      <c r="AI87" s="13">
        <f>IF($A87="","",[1]!thsiFinD("ths_adjustment_nv_fund",AI$3,$A87))</f>
        <v/>
      </c>
      <c r="AJ87" s="13">
        <f>IF($A87="","",[1]!thsiFinD("ths_adjustment_nv_fund",AJ$3,$A87))</f>
        <v/>
      </c>
      <c r="AK87" s="13">
        <f>IF($A87="","",[1]!thsiFinD("ths_adjustment_nv_fund",AK$3,$A87))</f>
        <v/>
      </c>
      <c r="AL87" s="13">
        <f>IF($A87="","",[1]!thsiFinD("ths_adjustment_nv_fund",AL$3,$A87))</f>
        <v/>
      </c>
    </row>
    <row r="88" spans="1:27">
      <c r="A88" s="8"/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  <c r="Z88" s="13" t="str">
        <f>IF($A88="","",[1]!thsiFinD("ths_adjustment_nv_fund",Z$3,$A88))</f>
        <v/>
      </c>
      <c r="AA88" s="13" t="str">
        <f>IF($A88="","",[1]!thsiFinD("ths_adjustment_nv_fund",AA$3,$A88))</f>
        <v/>
      </c>
      <c r="AB88" s="13">
        <f>IF($A88="","",[1]!thsiFinD("ths_adjustment_nv_fund",AB$3,$A88))</f>
        <v/>
      </c>
      <c r="AC88" s="13">
        <f>IF($A88="","",[1]!thsiFinD("ths_adjustment_nv_fund",AC$3,$A88))</f>
        <v/>
      </c>
      <c r="AD88" s="13">
        <f>IF($A88="","",[1]!thsiFinD("ths_adjustment_nv_fund",AD$3,$A88))</f>
        <v/>
      </c>
      <c r="AE88" s="13">
        <f>IF($A88="","",[1]!thsiFinD("ths_adjustment_nv_fund",AE$3,$A88))</f>
        <v/>
      </c>
      <c r="AF88" s="13">
        <f>IF($A88="","",[1]!thsiFinD("ths_adjustment_nv_fund",AF$3,$A88))</f>
        <v/>
      </c>
      <c r="AG88" s="13">
        <f>IF($A88="","",[1]!thsiFinD("ths_adjustment_nv_fund",AG$3,$A88))</f>
        <v/>
      </c>
      <c r="AH88" s="13">
        <f>IF($A88="","",[1]!thsiFinD("ths_adjustment_nv_fund",AH$3,$A88))</f>
        <v/>
      </c>
      <c r="AI88" s="13">
        <f>IF($A88="","",[1]!thsiFinD("ths_adjustment_nv_fund",AI$3,$A88))</f>
        <v/>
      </c>
      <c r="AJ88" s="13">
        <f>IF($A88="","",[1]!thsiFinD("ths_adjustment_nv_fund",AJ$3,$A88))</f>
        <v/>
      </c>
      <c r="AK88" s="13">
        <f>IF($A88="","",[1]!thsiFinD("ths_adjustment_nv_fund",AK$3,$A88))</f>
        <v/>
      </c>
      <c r="AL88" s="13">
        <f>IF($A88="","",[1]!thsiFinD("ths_adjustment_nv_fund",AL$3,$A88))</f>
        <v/>
      </c>
    </row>
    <row r="89" spans="1:27">
      <c r="A89" s="8"/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  <c r="Z89" s="13" t="str">
        <f>IF($A89="","",[1]!thsiFinD("ths_adjustment_nv_fund",Z$3,$A89))</f>
        <v/>
      </c>
      <c r="AA89" s="13" t="str">
        <f>IF($A89="","",[1]!thsiFinD("ths_adjustment_nv_fund",AA$3,$A89))</f>
        <v/>
      </c>
      <c r="AB89" s="13">
        <f>IF($A89="","",[1]!thsiFinD("ths_adjustment_nv_fund",AB$3,$A89))</f>
        <v/>
      </c>
      <c r="AC89" s="13">
        <f>IF($A89="","",[1]!thsiFinD("ths_adjustment_nv_fund",AC$3,$A89))</f>
        <v/>
      </c>
      <c r="AD89" s="13">
        <f>IF($A89="","",[1]!thsiFinD("ths_adjustment_nv_fund",AD$3,$A89))</f>
        <v/>
      </c>
      <c r="AE89" s="13">
        <f>IF($A89="","",[1]!thsiFinD("ths_adjustment_nv_fund",AE$3,$A89))</f>
        <v/>
      </c>
      <c r="AF89" s="13">
        <f>IF($A89="","",[1]!thsiFinD("ths_adjustment_nv_fund",AF$3,$A89))</f>
        <v/>
      </c>
      <c r="AG89" s="13">
        <f>IF($A89="","",[1]!thsiFinD("ths_adjustment_nv_fund",AG$3,$A89))</f>
        <v/>
      </c>
      <c r="AH89" s="13">
        <f>IF($A89="","",[1]!thsiFinD("ths_adjustment_nv_fund",AH$3,$A89))</f>
        <v/>
      </c>
      <c r="AI89" s="13">
        <f>IF($A89="","",[1]!thsiFinD("ths_adjustment_nv_fund",AI$3,$A89))</f>
        <v/>
      </c>
      <c r="AJ89" s="13">
        <f>IF($A89="","",[1]!thsiFinD("ths_adjustment_nv_fund",AJ$3,$A89))</f>
        <v/>
      </c>
      <c r="AK89" s="13">
        <f>IF($A89="","",[1]!thsiFinD("ths_adjustment_nv_fund",AK$3,$A89))</f>
        <v/>
      </c>
      <c r="AL89" s="13">
        <f>IF($A89="","",[1]!thsiFinD("ths_adjustment_nv_fund",AL$3,$A89))</f>
        <v/>
      </c>
    </row>
    <row r="90" spans="1:27">
      <c r="A90" s="8"/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  <c r="Z90" s="13" t="str">
        <f>IF($A90="","",[1]!thsiFinD("ths_adjustment_nv_fund",Z$3,$A90))</f>
        <v/>
      </c>
      <c r="AA90" s="13" t="str">
        <f>IF($A90="","",[1]!thsiFinD("ths_adjustment_nv_fund",AA$3,$A90))</f>
        <v/>
      </c>
      <c r="AB90" s="13">
        <f>IF($A90="","",[1]!thsiFinD("ths_adjustment_nv_fund",AB$3,$A90))</f>
        <v/>
      </c>
      <c r="AC90" s="13">
        <f>IF($A90="","",[1]!thsiFinD("ths_adjustment_nv_fund",AC$3,$A90))</f>
        <v/>
      </c>
      <c r="AD90" s="13">
        <f>IF($A90="","",[1]!thsiFinD("ths_adjustment_nv_fund",AD$3,$A90))</f>
        <v/>
      </c>
      <c r="AE90" s="13">
        <f>IF($A90="","",[1]!thsiFinD("ths_adjustment_nv_fund",AE$3,$A90))</f>
        <v/>
      </c>
      <c r="AF90" s="13">
        <f>IF($A90="","",[1]!thsiFinD("ths_adjustment_nv_fund",AF$3,$A90))</f>
        <v/>
      </c>
      <c r="AG90" s="13">
        <f>IF($A90="","",[1]!thsiFinD("ths_adjustment_nv_fund",AG$3,$A90))</f>
        <v/>
      </c>
      <c r="AH90" s="13">
        <f>IF($A90="","",[1]!thsiFinD("ths_adjustment_nv_fund",AH$3,$A90))</f>
        <v/>
      </c>
      <c r="AI90" s="13">
        <f>IF($A90="","",[1]!thsiFinD("ths_adjustment_nv_fund",AI$3,$A90))</f>
        <v/>
      </c>
      <c r="AJ90" s="13">
        <f>IF($A90="","",[1]!thsiFinD("ths_adjustment_nv_fund",AJ$3,$A90))</f>
        <v/>
      </c>
      <c r="AK90" s="13">
        <f>IF($A90="","",[1]!thsiFinD("ths_adjustment_nv_fund",AK$3,$A90))</f>
        <v/>
      </c>
      <c r="AL90" s="13">
        <f>IF($A90="","",[1]!thsiFinD("ths_adjustment_nv_fund",AL$3,$A90))</f>
        <v/>
      </c>
    </row>
    <row r="91" spans="1:27">
      <c r="A91" s="8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  <c r="AB91" s="13">
        <f>IF($A91="","",[1]!thsiFinD("ths_adjustment_nv_fund",AB$3,$A91))</f>
        <v/>
      </c>
      <c r="AC91" s="13">
        <f>IF($A91="","",[1]!thsiFinD("ths_adjustment_nv_fund",AC$3,$A91))</f>
        <v/>
      </c>
      <c r="AD91" s="13">
        <f>IF($A91="","",[1]!thsiFinD("ths_adjustment_nv_fund",AD$3,$A91))</f>
        <v/>
      </c>
      <c r="AE91" s="13">
        <f>IF($A91="","",[1]!thsiFinD("ths_adjustment_nv_fund",AE$3,$A91))</f>
        <v/>
      </c>
      <c r="AF91" s="13">
        <f>IF($A91="","",[1]!thsiFinD("ths_adjustment_nv_fund",AF$3,$A91))</f>
        <v/>
      </c>
      <c r="AG91" s="13">
        <f>IF($A91="","",[1]!thsiFinD("ths_adjustment_nv_fund",AG$3,$A91))</f>
        <v/>
      </c>
      <c r="AH91" s="13">
        <f>IF($A91="","",[1]!thsiFinD("ths_adjustment_nv_fund",AH$3,$A91))</f>
        <v/>
      </c>
      <c r="AI91" s="13">
        <f>IF($A91="","",[1]!thsiFinD("ths_adjustment_nv_fund",AI$3,$A91))</f>
        <v/>
      </c>
      <c r="AJ91" s="13">
        <f>IF($A91="","",[1]!thsiFinD("ths_adjustment_nv_fund",AJ$3,$A91))</f>
        <v/>
      </c>
      <c r="AK91" s="13">
        <f>IF($A91="","",[1]!thsiFinD("ths_adjustment_nv_fund",AK$3,$A91))</f>
        <v/>
      </c>
      <c r="AL91" s="13">
        <f>IF($A91="","",[1]!thsiFinD("ths_adjustment_nv_fund",AL$3,$A91))</f>
        <v/>
      </c>
    </row>
    <row r="92" spans="1:27">
      <c r="A92" s="8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  <c r="AB92" s="13">
        <f>IF($A92="","",[1]!thsiFinD("ths_adjustment_nv_fund",AB$3,$A92))</f>
        <v/>
      </c>
      <c r="AC92" s="13">
        <f>IF($A92="","",[1]!thsiFinD("ths_adjustment_nv_fund",AC$3,$A92))</f>
        <v/>
      </c>
      <c r="AD92" s="13">
        <f>IF($A92="","",[1]!thsiFinD("ths_adjustment_nv_fund",AD$3,$A92))</f>
        <v/>
      </c>
      <c r="AE92" s="13">
        <f>IF($A92="","",[1]!thsiFinD("ths_adjustment_nv_fund",AE$3,$A92))</f>
        <v/>
      </c>
      <c r="AF92" s="13">
        <f>IF($A92="","",[1]!thsiFinD("ths_adjustment_nv_fund",AF$3,$A92))</f>
        <v/>
      </c>
      <c r="AG92" s="13">
        <f>IF($A92="","",[1]!thsiFinD("ths_adjustment_nv_fund",AG$3,$A92))</f>
        <v/>
      </c>
      <c r="AH92" s="13">
        <f>IF($A92="","",[1]!thsiFinD("ths_adjustment_nv_fund",AH$3,$A92))</f>
        <v/>
      </c>
      <c r="AI92" s="13">
        <f>IF($A92="","",[1]!thsiFinD("ths_adjustment_nv_fund",AI$3,$A92))</f>
        <v/>
      </c>
      <c r="AJ92" s="13">
        <f>IF($A92="","",[1]!thsiFinD("ths_adjustment_nv_fund",AJ$3,$A92))</f>
        <v/>
      </c>
      <c r="AK92" s="13">
        <f>IF($A92="","",[1]!thsiFinD("ths_adjustment_nv_fund",AK$3,$A92))</f>
        <v/>
      </c>
      <c r="AL92" s="13">
        <f>IF($A92="","",[1]!thsiFinD("ths_adjustment_nv_fund",AL$3,$A92))</f>
        <v/>
      </c>
    </row>
    <row r="93" spans="1:27">
      <c r="A93" s="8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  <c r="AB93" s="13">
        <f>IF($A93="","",[1]!thsiFinD("ths_adjustment_nv_fund",AB$3,$A93))</f>
        <v/>
      </c>
      <c r="AC93" s="13">
        <f>IF($A93="","",[1]!thsiFinD("ths_adjustment_nv_fund",AC$3,$A93))</f>
        <v/>
      </c>
      <c r="AD93" s="13">
        <f>IF($A93="","",[1]!thsiFinD("ths_adjustment_nv_fund",AD$3,$A93))</f>
        <v/>
      </c>
      <c r="AE93" s="13">
        <f>IF($A93="","",[1]!thsiFinD("ths_adjustment_nv_fund",AE$3,$A93))</f>
        <v/>
      </c>
      <c r="AF93" s="13">
        <f>IF($A93="","",[1]!thsiFinD("ths_adjustment_nv_fund",AF$3,$A93))</f>
        <v/>
      </c>
      <c r="AG93" s="13">
        <f>IF($A93="","",[1]!thsiFinD("ths_adjustment_nv_fund",AG$3,$A93))</f>
        <v/>
      </c>
      <c r="AH93" s="13">
        <f>IF($A93="","",[1]!thsiFinD("ths_adjustment_nv_fund",AH$3,$A93))</f>
        <v/>
      </c>
      <c r="AI93" s="13">
        <f>IF($A93="","",[1]!thsiFinD("ths_adjustment_nv_fund",AI$3,$A93))</f>
        <v/>
      </c>
      <c r="AJ93" s="13">
        <f>IF($A93="","",[1]!thsiFinD("ths_adjustment_nv_fund",AJ$3,$A93))</f>
        <v/>
      </c>
      <c r="AK93" s="13">
        <f>IF($A93="","",[1]!thsiFinD("ths_adjustment_nv_fund",AK$3,$A93))</f>
        <v/>
      </c>
      <c r="AL93" s="13">
        <f>IF($A93="","",[1]!thsiFinD("ths_adjustment_nv_fund",AL$3,$A93))</f>
        <v/>
      </c>
    </row>
    <row r="94" spans="1:27">
      <c r="A94" s="8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  <c r="AB94" s="13">
        <f>IF($A94="","",[1]!thsiFinD("ths_adjustment_nv_fund",AB$3,$A94))</f>
        <v/>
      </c>
      <c r="AC94" s="13">
        <f>IF($A94="","",[1]!thsiFinD("ths_adjustment_nv_fund",AC$3,$A94))</f>
        <v/>
      </c>
      <c r="AD94" s="13">
        <f>IF($A94="","",[1]!thsiFinD("ths_adjustment_nv_fund",AD$3,$A94))</f>
        <v/>
      </c>
      <c r="AE94" s="13">
        <f>IF($A94="","",[1]!thsiFinD("ths_adjustment_nv_fund",AE$3,$A94))</f>
        <v/>
      </c>
      <c r="AF94" s="13">
        <f>IF($A94="","",[1]!thsiFinD("ths_adjustment_nv_fund",AF$3,$A94))</f>
        <v/>
      </c>
      <c r="AG94" s="13">
        <f>IF($A94="","",[1]!thsiFinD("ths_adjustment_nv_fund",AG$3,$A94))</f>
        <v/>
      </c>
      <c r="AH94" s="13">
        <f>IF($A94="","",[1]!thsiFinD("ths_adjustment_nv_fund",AH$3,$A94))</f>
        <v/>
      </c>
      <c r="AI94" s="13">
        <f>IF($A94="","",[1]!thsiFinD("ths_adjustment_nv_fund",AI$3,$A94))</f>
        <v/>
      </c>
      <c r="AJ94" s="13">
        <f>IF($A94="","",[1]!thsiFinD("ths_adjustment_nv_fund",AJ$3,$A94))</f>
        <v/>
      </c>
      <c r="AK94" s="13">
        <f>IF($A94="","",[1]!thsiFinD("ths_adjustment_nv_fund",AK$3,$A94))</f>
        <v/>
      </c>
      <c r="AL94" s="13">
        <f>IF($A94="","",[1]!thsiFinD("ths_adjustment_nv_fund",AL$3,$A94))</f>
        <v/>
      </c>
    </row>
    <row r="95" spans="1:27">
      <c r="A95" s="8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  <c r="AB95" s="13">
        <f>IF($A95="","",[1]!thsiFinD("ths_adjustment_nv_fund",AB$3,$A95))</f>
        <v/>
      </c>
      <c r="AC95" s="13">
        <f>IF($A95="","",[1]!thsiFinD("ths_adjustment_nv_fund",AC$3,$A95))</f>
        <v/>
      </c>
      <c r="AD95" s="13">
        <f>IF($A95="","",[1]!thsiFinD("ths_adjustment_nv_fund",AD$3,$A95))</f>
        <v/>
      </c>
      <c r="AE95" s="13">
        <f>IF($A95="","",[1]!thsiFinD("ths_adjustment_nv_fund",AE$3,$A95))</f>
        <v/>
      </c>
      <c r="AF95" s="13">
        <f>IF($A95="","",[1]!thsiFinD("ths_adjustment_nv_fund",AF$3,$A95))</f>
        <v/>
      </c>
      <c r="AG95" s="13">
        <f>IF($A95="","",[1]!thsiFinD("ths_adjustment_nv_fund",AG$3,$A95))</f>
        <v/>
      </c>
      <c r="AH95" s="13">
        <f>IF($A95="","",[1]!thsiFinD("ths_adjustment_nv_fund",AH$3,$A95))</f>
        <v/>
      </c>
      <c r="AI95" s="13">
        <f>IF($A95="","",[1]!thsiFinD("ths_adjustment_nv_fund",AI$3,$A95))</f>
        <v/>
      </c>
      <c r="AJ95" s="13">
        <f>IF($A95="","",[1]!thsiFinD("ths_adjustment_nv_fund",AJ$3,$A95))</f>
        <v/>
      </c>
      <c r="AK95" s="13">
        <f>IF($A95="","",[1]!thsiFinD("ths_adjustment_nv_fund",AK$3,$A95))</f>
        <v/>
      </c>
      <c r="AL95" s="13">
        <f>IF($A95="","",[1]!thsiFinD("ths_adjustment_nv_fund",AL$3,$A95))</f>
        <v/>
      </c>
    </row>
    <row r="96" spans="1:27">
      <c r="A96" s="8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  <c r="AB96" s="13">
        <f>IF($A96="","",[1]!thsiFinD("ths_adjustment_nv_fund",AB$3,$A96))</f>
        <v/>
      </c>
      <c r="AC96" s="13">
        <f>IF($A96="","",[1]!thsiFinD("ths_adjustment_nv_fund",AC$3,$A96))</f>
        <v/>
      </c>
      <c r="AD96" s="13">
        <f>IF($A96="","",[1]!thsiFinD("ths_adjustment_nv_fund",AD$3,$A96))</f>
        <v/>
      </c>
      <c r="AE96" s="13">
        <f>IF($A96="","",[1]!thsiFinD("ths_adjustment_nv_fund",AE$3,$A96))</f>
        <v/>
      </c>
      <c r="AF96" s="13">
        <f>IF($A96="","",[1]!thsiFinD("ths_adjustment_nv_fund",AF$3,$A96))</f>
        <v/>
      </c>
      <c r="AG96" s="13">
        <f>IF($A96="","",[1]!thsiFinD("ths_adjustment_nv_fund",AG$3,$A96))</f>
        <v/>
      </c>
      <c r="AH96" s="13">
        <f>IF($A96="","",[1]!thsiFinD("ths_adjustment_nv_fund",AH$3,$A96))</f>
        <v/>
      </c>
      <c r="AI96" s="13">
        <f>IF($A96="","",[1]!thsiFinD("ths_adjustment_nv_fund",AI$3,$A96))</f>
        <v/>
      </c>
      <c r="AJ96" s="13">
        <f>IF($A96="","",[1]!thsiFinD("ths_adjustment_nv_fund",AJ$3,$A96))</f>
        <v/>
      </c>
      <c r="AK96" s="13">
        <f>IF($A96="","",[1]!thsiFinD("ths_adjustment_nv_fund",AK$3,$A96))</f>
        <v/>
      </c>
      <c r="AL96" s="13">
        <f>IF($A96="","",[1]!thsiFinD("ths_adjustment_nv_fund",AL$3,$A96))</f>
        <v/>
      </c>
    </row>
    <row r="97" spans="1:27">
      <c r="A97" s="8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  <c r="AB97" s="13">
        <f>IF($A97="","",[1]!thsiFinD("ths_adjustment_nv_fund",AB$3,$A97))</f>
        <v/>
      </c>
      <c r="AC97" s="13">
        <f>IF($A97="","",[1]!thsiFinD("ths_adjustment_nv_fund",AC$3,$A97))</f>
        <v/>
      </c>
      <c r="AD97" s="13">
        <f>IF($A97="","",[1]!thsiFinD("ths_adjustment_nv_fund",AD$3,$A97))</f>
        <v/>
      </c>
      <c r="AE97" s="13">
        <f>IF($A97="","",[1]!thsiFinD("ths_adjustment_nv_fund",AE$3,$A97))</f>
        <v/>
      </c>
      <c r="AF97" s="13">
        <f>IF($A97="","",[1]!thsiFinD("ths_adjustment_nv_fund",AF$3,$A97))</f>
        <v/>
      </c>
      <c r="AG97" s="13">
        <f>IF($A97="","",[1]!thsiFinD("ths_adjustment_nv_fund",AG$3,$A97))</f>
        <v/>
      </c>
      <c r="AH97" s="13">
        <f>IF($A97="","",[1]!thsiFinD("ths_adjustment_nv_fund",AH$3,$A97))</f>
        <v/>
      </c>
      <c r="AI97" s="13">
        <f>IF($A97="","",[1]!thsiFinD("ths_adjustment_nv_fund",AI$3,$A97))</f>
        <v/>
      </c>
      <c r="AJ97" s="13">
        <f>IF($A97="","",[1]!thsiFinD("ths_adjustment_nv_fund",AJ$3,$A97))</f>
        <v/>
      </c>
      <c r="AK97" s="13">
        <f>IF($A97="","",[1]!thsiFinD("ths_adjustment_nv_fund",AK$3,$A97))</f>
        <v/>
      </c>
      <c r="AL97" s="13">
        <f>IF($A97="","",[1]!thsiFinD("ths_adjustment_nv_fund",AL$3,$A97))</f>
        <v/>
      </c>
    </row>
    <row r="98" spans="1:27">
      <c r="A98" s="8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  <c r="AB98" s="13">
        <f>IF($A98="","",[1]!thsiFinD("ths_adjustment_nv_fund",AB$3,$A98))</f>
        <v/>
      </c>
      <c r="AC98" s="13">
        <f>IF($A98="","",[1]!thsiFinD("ths_adjustment_nv_fund",AC$3,$A98))</f>
        <v/>
      </c>
      <c r="AD98" s="13">
        <f>IF($A98="","",[1]!thsiFinD("ths_adjustment_nv_fund",AD$3,$A98))</f>
        <v/>
      </c>
      <c r="AE98" s="13">
        <f>IF($A98="","",[1]!thsiFinD("ths_adjustment_nv_fund",AE$3,$A98))</f>
        <v/>
      </c>
      <c r="AF98" s="13">
        <f>IF($A98="","",[1]!thsiFinD("ths_adjustment_nv_fund",AF$3,$A98))</f>
        <v/>
      </c>
      <c r="AG98" s="13">
        <f>IF($A98="","",[1]!thsiFinD("ths_adjustment_nv_fund",AG$3,$A98))</f>
        <v/>
      </c>
      <c r="AH98" s="13">
        <f>IF($A98="","",[1]!thsiFinD("ths_adjustment_nv_fund",AH$3,$A98))</f>
        <v/>
      </c>
      <c r="AI98" s="13">
        <f>IF($A98="","",[1]!thsiFinD("ths_adjustment_nv_fund",AI$3,$A98))</f>
        <v/>
      </c>
      <c r="AJ98" s="13">
        <f>IF($A98="","",[1]!thsiFinD("ths_adjustment_nv_fund",AJ$3,$A98))</f>
        <v/>
      </c>
      <c r="AK98" s="13">
        <f>IF($A98="","",[1]!thsiFinD("ths_adjustment_nv_fund",AK$3,$A98))</f>
        <v/>
      </c>
      <c r="AL98" s="13">
        <f>IF($A98="","",[1]!thsiFinD("ths_adjustment_nv_fund",AL$3,$A98))</f>
        <v/>
      </c>
    </row>
    <row r="99" spans="1:27">
      <c r="A99" s="8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  <c r="AB99" s="13">
        <f>IF($A99="","",[1]!thsiFinD("ths_adjustment_nv_fund",AB$3,$A99))</f>
        <v/>
      </c>
      <c r="AC99" s="13">
        <f>IF($A99="","",[1]!thsiFinD("ths_adjustment_nv_fund",AC$3,$A99))</f>
        <v/>
      </c>
      <c r="AD99" s="13">
        <f>IF($A99="","",[1]!thsiFinD("ths_adjustment_nv_fund",AD$3,$A99))</f>
        <v/>
      </c>
      <c r="AE99" s="13">
        <f>IF($A99="","",[1]!thsiFinD("ths_adjustment_nv_fund",AE$3,$A99))</f>
        <v/>
      </c>
      <c r="AF99" s="13">
        <f>IF($A99="","",[1]!thsiFinD("ths_adjustment_nv_fund",AF$3,$A99))</f>
        <v/>
      </c>
      <c r="AG99" s="13">
        <f>IF($A99="","",[1]!thsiFinD("ths_adjustment_nv_fund",AG$3,$A99))</f>
        <v/>
      </c>
      <c r="AH99" s="13">
        <f>IF($A99="","",[1]!thsiFinD("ths_adjustment_nv_fund",AH$3,$A99))</f>
        <v/>
      </c>
      <c r="AI99" s="13">
        <f>IF($A99="","",[1]!thsiFinD("ths_adjustment_nv_fund",AI$3,$A99))</f>
        <v/>
      </c>
      <c r="AJ99" s="13">
        <f>IF($A99="","",[1]!thsiFinD("ths_adjustment_nv_fund",AJ$3,$A99))</f>
        <v/>
      </c>
      <c r="AK99" s="13">
        <f>IF($A99="","",[1]!thsiFinD("ths_adjustment_nv_fund",AK$3,$A99))</f>
        <v/>
      </c>
      <c r="AL99" s="13">
        <f>IF($A99="","",[1]!thsiFinD("ths_adjustment_nv_fund",AL$3,$A99))</f>
        <v/>
      </c>
    </row>
    <row r="100" spans="1:27">
      <c r="A100" s="8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  <c r="AB100" s="13">
        <f>IF($A100="","",[1]!thsiFinD("ths_adjustment_nv_fund",AB$3,$A100))</f>
        <v/>
      </c>
      <c r="AC100" s="13">
        <f>IF($A100="","",[1]!thsiFinD("ths_adjustment_nv_fund",AC$3,$A100))</f>
        <v/>
      </c>
      <c r="AD100" s="13">
        <f>IF($A100="","",[1]!thsiFinD("ths_adjustment_nv_fund",AD$3,$A100))</f>
        <v/>
      </c>
      <c r="AE100" s="13">
        <f>IF($A100="","",[1]!thsiFinD("ths_adjustment_nv_fund",AE$3,$A100))</f>
        <v/>
      </c>
      <c r="AF100" s="13">
        <f>IF($A100="","",[1]!thsiFinD("ths_adjustment_nv_fund",AF$3,$A100))</f>
        <v/>
      </c>
      <c r="AG100" s="13">
        <f>IF($A100="","",[1]!thsiFinD("ths_adjustment_nv_fund",AG$3,$A100))</f>
        <v/>
      </c>
      <c r="AH100" s="13">
        <f>IF($A100="","",[1]!thsiFinD("ths_adjustment_nv_fund",AH$3,$A100))</f>
        <v/>
      </c>
      <c r="AI100" s="13">
        <f>IF($A100="","",[1]!thsiFinD("ths_adjustment_nv_fund",AI$3,$A100))</f>
        <v/>
      </c>
      <c r="AJ100" s="13">
        <f>IF($A100="","",[1]!thsiFinD("ths_adjustment_nv_fund",AJ$3,$A100))</f>
        <v/>
      </c>
      <c r="AK100" s="13">
        <f>IF($A100="","",[1]!thsiFinD("ths_adjustment_nv_fund",AK$3,$A100))</f>
        <v/>
      </c>
      <c r="AL100" s="13">
        <f>IF($A100="","",[1]!thsiFinD("ths_adjustment_nv_fund",AL$3,$A100))</f>
        <v/>
      </c>
    </row>
    <row r="101" spans="1:27">
      <c r="A101" s="8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  <c r="AB101" s="13">
        <f>IF($A101="","",[1]!thsiFinD("ths_adjustment_nv_fund",AB$3,$A101))</f>
        <v/>
      </c>
      <c r="AC101" s="13">
        <f>IF($A101="","",[1]!thsiFinD("ths_adjustment_nv_fund",AC$3,$A101))</f>
        <v/>
      </c>
      <c r="AD101" s="13">
        <f>IF($A101="","",[1]!thsiFinD("ths_adjustment_nv_fund",AD$3,$A101))</f>
        <v/>
      </c>
      <c r="AE101" s="13">
        <f>IF($A101="","",[1]!thsiFinD("ths_adjustment_nv_fund",AE$3,$A101))</f>
        <v/>
      </c>
      <c r="AF101" s="13">
        <f>IF($A101="","",[1]!thsiFinD("ths_adjustment_nv_fund",AF$3,$A101))</f>
        <v/>
      </c>
      <c r="AG101" s="13">
        <f>IF($A101="","",[1]!thsiFinD("ths_adjustment_nv_fund",AG$3,$A101))</f>
        <v/>
      </c>
      <c r="AH101" s="13">
        <f>IF($A101="","",[1]!thsiFinD("ths_adjustment_nv_fund",AH$3,$A101))</f>
        <v/>
      </c>
      <c r="AI101" s="13">
        <f>IF($A101="","",[1]!thsiFinD("ths_adjustment_nv_fund",AI$3,$A101))</f>
        <v/>
      </c>
      <c r="AJ101" s="13">
        <f>IF($A101="","",[1]!thsiFinD("ths_adjustment_nv_fund",AJ$3,$A101))</f>
        <v/>
      </c>
      <c r="AK101" s="13">
        <f>IF($A101="","",[1]!thsiFinD("ths_adjustment_nv_fund",AK$3,$A101))</f>
        <v/>
      </c>
      <c r="AL101" s="13">
        <f>IF($A101="","",[1]!thsiFinD("ths_adjustment_nv_fund",AL$3,$A101))</f>
        <v/>
      </c>
    </row>
    <row r="102" spans="1:27">
      <c r="A102" s="8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  <c r="AB102" s="13">
        <f>IF($A102="","",[1]!thsiFinD("ths_adjustment_nv_fund",AB$3,$A102))</f>
        <v/>
      </c>
      <c r="AC102" s="13">
        <f>IF($A102="","",[1]!thsiFinD("ths_adjustment_nv_fund",AC$3,$A102))</f>
        <v/>
      </c>
      <c r="AD102" s="13">
        <f>IF($A102="","",[1]!thsiFinD("ths_adjustment_nv_fund",AD$3,$A102))</f>
        <v/>
      </c>
      <c r="AE102" s="13">
        <f>IF($A102="","",[1]!thsiFinD("ths_adjustment_nv_fund",AE$3,$A102))</f>
        <v/>
      </c>
      <c r="AF102" s="13">
        <f>IF($A102="","",[1]!thsiFinD("ths_adjustment_nv_fund",AF$3,$A102))</f>
        <v/>
      </c>
      <c r="AG102" s="13">
        <f>IF($A102="","",[1]!thsiFinD("ths_adjustment_nv_fund",AG$3,$A102))</f>
        <v/>
      </c>
      <c r="AH102" s="13">
        <f>IF($A102="","",[1]!thsiFinD("ths_adjustment_nv_fund",AH$3,$A102))</f>
        <v/>
      </c>
      <c r="AI102" s="13">
        <f>IF($A102="","",[1]!thsiFinD("ths_adjustment_nv_fund",AI$3,$A102))</f>
        <v/>
      </c>
      <c r="AJ102" s="13">
        <f>IF($A102="","",[1]!thsiFinD("ths_adjustment_nv_fund",AJ$3,$A102))</f>
        <v/>
      </c>
      <c r="AK102" s="13">
        <f>IF($A102="","",[1]!thsiFinD("ths_adjustment_nv_fund",AK$3,$A102))</f>
        <v/>
      </c>
      <c r="AL102" s="13">
        <f>IF($A102="","",[1]!thsiFinD("ths_adjustment_nv_fund",AL$3,$A102))</f>
        <v/>
      </c>
    </row>
    <row r="103" spans="1:27">
      <c r="A103" s="8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  <c r="AB103" s="13">
        <f>IF($A103="","",[1]!thsiFinD("ths_adjustment_nv_fund",AB$3,$A103))</f>
        <v/>
      </c>
      <c r="AC103" s="13">
        <f>IF($A103="","",[1]!thsiFinD("ths_adjustment_nv_fund",AC$3,$A103))</f>
        <v/>
      </c>
      <c r="AD103" s="13">
        <f>IF($A103="","",[1]!thsiFinD("ths_adjustment_nv_fund",AD$3,$A103))</f>
        <v/>
      </c>
      <c r="AE103" s="13">
        <f>IF($A103="","",[1]!thsiFinD("ths_adjustment_nv_fund",AE$3,$A103))</f>
        <v/>
      </c>
      <c r="AF103" s="13">
        <f>IF($A103="","",[1]!thsiFinD("ths_adjustment_nv_fund",AF$3,$A103))</f>
        <v/>
      </c>
      <c r="AG103" s="13">
        <f>IF($A103="","",[1]!thsiFinD("ths_adjustment_nv_fund",AG$3,$A103))</f>
        <v/>
      </c>
      <c r="AH103" s="13">
        <f>IF($A103="","",[1]!thsiFinD("ths_adjustment_nv_fund",AH$3,$A103))</f>
        <v/>
      </c>
      <c r="AI103" s="13">
        <f>IF($A103="","",[1]!thsiFinD("ths_adjustment_nv_fund",AI$3,$A103))</f>
        <v/>
      </c>
      <c r="AJ103" s="13">
        <f>IF($A103="","",[1]!thsiFinD("ths_adjustment_nv_fund",AJ$3,$A103))</f>
        <v/>
      </c>
      <c r="AK103" s="13">
        <f>IF($A103="","",[1]!thsiFinD("ths_adjustment_nv_fund",AK$3,$A103))</f>
        <v/>
      </c>
      <c r="AL103" s="13">
        <f>IF($A103="","",[1]!thsiFinD("ths_adjustment_nv_fund",AL$3,$A103))</f>
        <v/>
      </c>
    </row>
    <row r="104" spans="1:27">
      <c r="A104" s="8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  <c r="AB104" s="13">
        <f>IF($A104="","",[1]!thsiFinD("ths_adjustment_nv_fund",AB$3,$A104))</f>
        <v/>
      </c>
      <c r="AC104" s="13">
        <f>IF($A104="","",[1]!thsiFinD("ths_adjustment_nv_fund",AC$3,$A104))</f>
        <v/>
      </c>
      <c r="AD104" s="13">
        <f>IF($A104="","",[1]!thsiFinD("ths_adjustment_nv_fund",AD$3,$A104))</f>
        <v/>
      </c>
      <c r="AE104" s="13">
        <f>IF($A104="","",[1]!thsiFinD("ths_adjustment_nv_fund",AE$3,$A104))</f>
        <v/>
      </c>
      <c r="AF104" s="13">
        <f>IF($A104="","",[1]!thsiFinD("ths_adjustment_nv_fund",AF$3,$A104))</f>
        <v/>
      </c>
      <c r="AG104" s="13">
        <f>IF($A104="","",[1]!thsiFinD("ths_adjustment_nv_fund",AG$3,$A104))</f>
        <v/>
      </c>
      <c r="AH104" s="13">
        <f>IF($A104="","",[1]!thsiFinD("ths_adjustment_nv_fund",AH$3,$A104))</f>
        <v/>
      </c>
      <c r="AI104" s="13">
        <f>IF($A104="","",[1]!thsiFinD("ths_adjustment_nv_fund",AI$3,$A104))</f>
        <v/>
      </c>
      <c r="AJ104" s="13">
        <f>IF($A104="","",[1]!thsiFinD("ths_adjustment_nv_fund",AJ$3,$A104))</f>
        <v/>
      </c>
      <c r="AK104" s="13">
        <f>IF($A104="","",[1]!thsiFinD("ths_adjustment_nv_fund",AK$3,$A104))</f>
        <v/>
      </c>
      <c r="AL104" s="13">
        <f>IF($A104="","",[1]!thsiFinD("ths_adjustment_nv_fund",AL$3,$A104))</f>
        <v/>
      </c>
    </row>
    <row r="105" spans="1:27">
      <c r="A105" s="8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  <c r="AB105" s="13">
        <f>IF($A105="","",[1]!thsiFinD("ths_adjustment_nv_fund",AB$3,$A105))</f>
        <v/>
      </c>
      <c r="AC105" s="13">
        <f>IF($A105="","",[1]!thsiFinD("ths_adjustment_nv_fund",AC$3,$A105))</f>
        <v/>
      </c>
      <c r="AD105" s="13">
        <f>IF($A105="","",[1]!thsiFinD("ths_adjustment_nv_fund",AD$3,$A105))</f>
        <v/>
      </c>
      <c r="AE105" s="13">
        <f>IF($A105="","",[1]!thsiFinD("ths_adjustment_nv_fund",AE$3,$A105))</f>
        <v/>
      </c>
      <c r="AF105" s="13">
        <f>IF($A105="","",[1]!thsiFinD("ths_adjustment_nv_fund",AF$3,$A105))</f>
        <v/>
      </c>
      <c r="AG105" s="13">
        <f>IF($A105="","",[1]!thsiFinD("ths_adjustment_nv_fund",AG$3,$A105))</f>
        <v/>
      </c>
      <c r="AH105" s="13">
        <f>IF($A105="","",[1]!thsiFinD("ths_adjustment_nv_fund",AH$3,$A105))</f>
        <v/>
      </c>
      <c r="AI105" s="13">
        <f>IF($A105="","",[1]!thsiFinD("ths_adjustment_nv_fund",AI$3,$A105))</f>
        <v/>
      </c>
      <c r="AJ105" s="13">
        <f>IF($A105="","",[1]!thsiFinD("ths_adjustment_nv_fund",AJ$3,$A105))</f>
        <v/>
      </c>
      <c r="AK105" s="13">
        <f>IF($A105="","",[1]!thsiFinD("ths_adjustment_nv_fund",AK$3,$A105))</f>
        <v/>
      </c>
      <c r="AL105" s="13">
        <f>IF($A105="","",[1]!thsiFinD("ths_adjustment_nv_fund",AL$3,$A105))</f>
        <v/>
      </c>
    </row>
    <row r="106" spans="1:27">
      <c r="A106" s="8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  <c r="AB106" s="13">
        <f>IF($A106="","",[1]!thsiFinD("ths_adjustment_nv_fund",AB$3,$A106))</f>
        <v/>
      </c>
      <c r="AC106" s="13">
        <f>IF($A106="","",[1]!thsiFinD("ths_adjustment_nv_fund",AC$3,$A106))</f>
        <v/>
      </c>
      <c r="AD106" s="13">
        <f>IF($A106="","",[1]!thsiFinD("ths_adjustment_nv_fund",AD$3,$A106))</f>
        <v/>
      </c>
      <c r="AE106" s="13">
        <f>IF($A106="","",[1]!thsiFinD("ths_adjustment_nv_fund",AE$3,$A106))</f>
        <v/>
      </c>
      <c r="AF106" s="13">
        <f>IF($A106="","",[1]!thsiFinD("ths_adjustment_nv_fund",AF$3,$A106))</f>
        <v/>
      </c>
      <c r="AG106" s="13">
        <f>IF($A106="","",[1]!thsiFinD("ths_adjustment_nv_fund",AG$3,$A106))</f>
        <v/>
      </c>
      <c r="AH106" s="13">
        <f>IF($A106="","",[1]!thsiFinD("ths_adjustment_nv_fund",AH$3,$A106))</f>
        <v/>
      </c>
      <c r="AI106" s="13">
        <f>IF($A106="","",[1]!thsiFinD("ths_adjustment_nv_fund",AI$3,$A106))</f>
        <v/>
      </c>
      <c r="AJ106" s="13">
        <f>IF($A106="","",[1]!thsiFinD("ths_adjustment_nv_fund",AJ$3,$A106))</f>
        <v/>
      </c>
      <c r="AK106" s="13">
        <f>IF($A106="","",[1]!thsiFinD("ths_adjustment_nv_fund",AK$3,$A106))</f>
        <v/>
      </c>
      <c r="AL106" s="13">
        <f>IF($A106="","",[1]!thsiFinD("ths_adjustment_nv_fund",AL$3,$A106))</f>
        <v/>
      </c>
    </row>
    <row r="107" spans="1:27">
      <c r="A107" s="8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  <c r="AB107" s="13">
        <f>IF($A107="","",[1]!thsiFinD("ths_adjustment_nv_fund",AB$3,$A107))</f>
        <v/>
      </c>
      <c r="AC107" s="13">
        <f>IF($A107="","",[1]!thsiFinD("ths_adjustment_nv_fund",AC$3,$A107))</f>
        <v/>
      </c>
      <c r="AD107" s="13">
        <f>IF($A107="","",[1]!thsiFinD("ths_adjustment_nv_fund",AD$3,$A107))</f>
        <v/>
      </c>
      <c r="AE107" s="13">
        <f>IF($A107="","",[1]!thsiFinD("ths_adjustment_nv_fund",AE$3,$A107))</f>
        <v/>
      </c>
      <c r="AF107" s="13">
        <f>IF($A107="","",[1]!thsiFinD("ths_adjustment_nv_fund",AF$3,$A107))</f>
        <v/>
      </c>
      <c r="AG107" s="13">
        <f>IF($A107="","",[1]!thsiFinD("ths_adjustment_nv_fund",AG$3,$A107))</f>
        <v/>
      </c>
      <c r="AH107" s="13">
        <f>IF($A107="","",[1]!thsiFinD("ths_adjustment_nv_fund",AH$3,$A107))</f>
        <v/>
      </c>
      <c r="AI107" s="13">
        <f>IF($A107="","",[1]!thsiFinD("ths_adjustment_nv_fund",AI$3,$A107))</f>
        <v/>
      </c>
      <c r="AJ107" s="13">
        <f>IF($A107="","",[1]!thsiFinD("ths_adjustment_nv_fund",AJ$3,$A107))</f>
        <v/>
      </c>
      <c r="AK107" s="13">
        <f>IF($A107="","",[1]!thsiFinD("ths_adjustment_nv_fund",AK$3,$A107))</f>
        <v/>
      </c>
      <c r="AL107" s="13">
        <f>IF($A107="","",[1]!thsiFinD("ths_adjustment_nv_fund",AL$3,$A107))</f>
        <v/>
      </c>
    </row>
    <row r="108" spans="1:27">
      <c r="A108" s="8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  <c r="AB108" s="13">
        <f>IF($A108="","",[1]!thsiFinD("ths_adjustment_nv_fund",AB$3,$A108))</f>
        <v/>
      </c>
      <c r="AC108" s="13">
        <f>IF($A108="","",[1]!thsiFinD("ths_adjustment_nv_fund",AC$3,$A108))</f>
        <v/>
      </c>
      <c r="AD108" s="13">
        <f>IF($A108="","",[1]!thsiFinD("ths_adjustment_nv_fund",AD$3,$A108))</f>
        <v/>
      </c>
      <c r="AE108" s="13">
        <f>IF($A108="","",[1]!thsiFinD("ths_adjustment_nv_fund",AE$3,$A108))</f>
        <v/>
      </c>
      <c r="AF108" s="13">
        <f>IF($A108="","",[1]!thsiFinD("ths_adjustment_nv_fund",AF$3,$A108))</f>
        <v/>
      </c>
      <c r="AG108" s="13">
        <f>IF($A108="","",[1]!thsiFinD("ths_adjustment_nv_fund",AG$3,$A108))</f>
        <v/>
      </c>
      <c r="AH108" s="13">
        <f>IF($A108="","",[1]!thsiFinD("ths_adjustment_nv_fund",AH$3,$A108))</f>
        <v/>
      </c>
      <c r="AI108" s="13">
        <f>IF($A108="","",[1]!thsiFinD("ths_adjustment_nv_fund",AI$3,$A108))</f>
        <v/>
      </c>
      <c r="AJ108" s="13">
        <f>IF($A108="","",[1]!thsiFinD("ths_adjustment_nv_fund",AJ$3,$A108))</f>
        <v/>
      </c>
      <c r="AK108" s="13">
        <f>IF($A108="","",[1]!thsiFinD("ths_adjustment_nv_fund",AK$3,$A108))</f>
        <v/>
      </c>
      <c r="AL108" s="13">
        <f>IF($A108="","",[1]!thsiFinD("ths_adjustment_nv_fund",AL$3,$A108))</f>
        <v/>
      </c>
    </row>
    <row r="109" spans="1:27">
      <c r="A109" s="8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  <c r="AB109" s="13">
        <f>IF($A109="","",[1]!thsiFinD("ths_adjustment_nv_fund",AB$3,$A109))</f>
        <v/>
      </c>
      <c r="AC109" s="13">
        <f>IF($A109="","",[1]!thsiFinD("ths_adjustment_nv_fund",AC$3,$A109))</f>
        <v/>
      </c>
      <c r="AD109" s="13">
        <f>IF($A109="","",[1]!thsiFinD("ths_adjustment_nv_fund",AD$3,$A109))</f>
        <v/>
      </c>
      <c r="AE109" s="13">
        <f>IF($A109="","",[1]!thsiFinD("ths_adjustment_nv_fund",AE$3,$A109))</f>
        <v/>
      </c>
      <c r="AF109" s="13">
        <f>IF($A109="","",[1]!thsiFinD("ths_adjustment_nv_fund",AF$3,$A109))</f>
        <v/>
      </c>
      <c r="AG109" s="13">
        <f>IF($A109="","",[1]!thsiFinD("ths_adjustment_nv_fund",AG$3,$A109))</f>
        <v/>
      </c>
      <c r="AH109" s="13">
        <f>IF($A109="","",[1]!thsiFinD("ths_adjustment_nv_fund",AH$3,$A109))</f>
        <v/>
      </c>
      <c r="AI109" s="13">
        <f>IF($A109="","",[1]!thsiFinD("ths_adjustment_nv_fund",AI$3,$A109))</f>
        <v/>
      </c>
      <c r="AJ109" s="13">
        <f>IF($A109="","",[1]!thsiFinD("ths_adjustment_nv_fund",AJ$3,$A109))</f>
        <v/>
      </c>
      <c r="AK109" s="13">
        <f>IF($A109="","",[1]!thsiFinD("ths_adjustment_nv_fund",AK$3,$A109))</f>
        <v/>
      </c>
      <c r="AL109" s="13">
        <f>IF($A109="","",[1]!thsiFinD("ths_adjustment_nv_fund",AL$3,$A109))</f>
        <v/>
      </c>
    </row>
    <row r="110" spans="1:27">
      <c r="A110" s="8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  <c r="AB110" s="13">
        <f>IF($A110="","",[1]!thsiFinD("ths_adjustment_nv_fund",AB$3,$A110))</f>
        <v/>
      </c>
      <c r="AC110" s="13">
        <f>IF($A110="","",[1]!thsiFinD("ths_adjustment_nv_fund",AC$3,$A110))</f>
        <v/>
      </c>
      <c r="AD110" s="13">
        <f>IF($A110="","",[1]!thsiFinD("ths_adjustment_nv_fund",AD$3,$A110))</f>
        <v/>
      </c>
      <c r="AE110" s="13">
        <f>IF($A110="","",[1]!thsiFinD("ths_adjustment_nv_fund",AE$3,$A110))</f>
        <v/>
      </c>
      <c r="AF110" s="13">
        <f>IF($A110="","",[1]!thsiFinD("ths_adjustment_nv_fund",AF$3,$A110))</f>
        <v/>
      </c>
      <c r="AG110" s="13">
        <f>IF($A110="","",[1]!thsiFinD("ths_adjustment_nv_fund",AG$3,$A110))</f>
        <v/>
      </c>
      <c r="AH110" s="13">
        <f>IF($A110="","",[1]!thsiFinD("ths_adjustment_nv_fund",AH$3,$A110))</f>
        <v/>
      </c>
      <c r="AI110" s="13">
        <f>IF($A110="","",[1]!thsiFinD("ths_adjustment_nv_fund",AI$3,$A110))</f>
        <v/>
      </c>
      <c r="AJ110" s="13">
        <f>IF($A110="","",[1]!thsiFinD("ths_adjustment_nv_fund",AJ$3,$A110))</f>
        <v/>
      </c>
      <c r="AK110" s="13">
        <f>IF($A110="","",[1]!thsiFinD("ths_adjustment_nv_fund",AK$3,$A110))</f>
        <v/>
      </c>
      <c r="AL110" s="13">
        <f>IF($A110="","",[1]!thsiFinD("ths_adjustment_nv_fund",AL$3,$A110))</f>
        <v/>
      </c>
    </row>
    <row r="111" spans="1:27">
      <c r="A111" s="8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  <c r="AB111" s="13">
        <f>IF($A111="","",[1]!thsiFinD("ths_adjustment_nv_fund",AB$3,$A111))</f>
        <v/>
      </c>
      <c r="AC111" s="13">
        <f>IF($A111="","",[1]!thsiFinD("ths_adjustment_nv_fund",AC$3,$A111))</f>
        <v/>
      </c>
      <c r="AD111" s="13">
        <f>IF($A111="","",[1]!thsiFinD("ths_adjustment_nv_fund",AD$3,$A111))</f>
        <v/>
      </c>
      <c r="AE111" s="13">
        <f>IF($A111="","",[1]!thsiFinD("ths_adjustment_nv_fund",AE$3,$A111))</f>
        <v/>
      </c>
      <c r="AF111" s="13">
        <f>IF($A111="","",[1]!thsiFinD("ths_adjustment_nv_fund",AF$3,$A111))</f>
        <v/>
      </c>
      <c r="AG111" s="13">
        <f>IF($A111="","",[1]!thsiFinD("ths_adjustment_nv_fund",AG$3,$A111))</f>
        <v/>
      </c>
      <c r="AH111" s="13">
        <f>IF($A111="","",[1]!thsiFinD("ths_adjustment_nv_fund",AH$3,$A111))</f>
        <v/>
      </c>
      <c r="AI111" s="13">
        <f>IF($A111="","",[1]!thsiFinD("ths_adjustment_nv_fund",AI$3,$A111))</f>
        <v/>
      </c>
      <c r="AJ111" s="13">
        <f>IF($A111="","",[1]!thsiFinD("ths_adjustment_nv_fund",AJ$3,$A111))</f>
        <v/>
      </c>
      <c r="AK111" s="13">
        <f>IF($A111="","",[1]!thsiFinD("ths_adjustment_nv_fund",AK$3,$A111))</f>
        <v/>
      </c>
      <c r="AL111" s="13">
        <f>IF($A111="","",[1]!thsiFinD("ths_adjustment_nv_fund",AL$3,$A111))</f>
        <v/>
      </c>
    </row>
    <row r="112" spans="1:27">
      <c r="A112" s="8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  <c r="AB112" s="13">
        <f>IF($A112="","",[1]!thsiFinD("ths_adjustment_nv_fund",AB$3,$A112))</f>
        <v/>
      </c>
      <c r="AC112" s="13">
        <f>IF($A112="","",[1]!thsiFinD("ths_adjustment_nv_fund",AC$3,$A112))</f>
        <v/>
      </c>
      <c r="AD112" s="13">
        <f>IF($A112="","",[1]!thsiFinD("ths_adjustment_nv_fund",AD$3,$A112))</f>
        <v/>
      </c>
      <c r="AE112" s="13">
        <f>IF($A112="","",[1]!thsiFinD("ths_adjustment_nv_fund",AE$3,$A112))</f>
        <v/>
      </c>
      <c r="AF112" s="13">
        <f>IF($A112="","",[1]!thsiFinD("ths_adjustment_nv_fund",AF$3,$A112))</f>
        <v/>
      </c>
      <c r="AG112" s="13">
        <f>IF($A112="","",[1]!thsiFinD("ths_adjustment_nv_fund",AG$3,$A112))</f>
        <v/>
      </c>
      <c r="AH112" s="13">
        <f>IF($A112="","",[1]!thsiFinD("ths_adjustment_nv_fund",AH$3,$A112))</f>
        <v/>
      </c>
      <c r="AI112" s="13">
        <f>IF($A112="","",[1]!thsiFinD("ths_adjustment_nv_fund",AI$3,$A112))</f>
        <v/>
      </c>
      <c r="AJ112" s="13">
        <f>IF($A112="","",[1]!thsiFinD("ths_adjustment_nv_fund",AJ$3,$A112))</f>
        <v/>
      </c>
      <c r="AK112" s="13">
        <f>IF($A112="","",[1]!thsiFinD("ths_adjustment_nv_fund",AK$3,$A112))</f>
        <v/>
      </c>
      <c r="AL112" s="13">
        <f>IF($A112="","",[1]!thsiFinD("ths_adjustment_nv_fund",AL$3,$A112))</f>
        <v/>
      </c>
    </row>
    <row r="113" spans="1:27">
      <c r="A113" s="8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  <c r="AB113" s="13">
        <f>IF($A113="","",[1]!thsiFinD("ths_adjustment_nv_fund",AB$3,$A113))</f>
        <v/>
      </c>
      <c r="AC113" s="13">
        <f>IF($A113="","",[1]!thsiFinD("ths_adjustment_nv_fund",AC$3,$A113))</f>
        <v/>
      </c>
      <c r="AD113" s="13">
        <f>IF($A113="","",[1]!thsiFinD("ths_adjustment_nv_fund",AD$3,$A113))</f>
        <v/>
      </c>
      <c r="AE113" s="13">
        <f>IF($A113="","",[1]!thsiFinD("ths_adjustment_nv_fund",AE$3,$A113))</f>
        <v/>
      </c>
      <c r="AF113" s="13">
        <f>IF($A113="","",[1]!thsiFinD("ths_adjustment_nv_fund",AF$3,$A113))</f>
        <v/>
      </c>
      <c r="AG113" s="13">
        <f>IF($A113="","",[1]!thsiFinD("ths_adjustment_nv_fund",AG$3,$A113))</f>
        <v/>
      </c>
      <c r="AH113" s="13">
        <f>IF($A113="","",[1]!thsiFinD("ths_adjustment_nv_fund",AH$3,$A113))</f>
        <v/>
      </c>
      <c r="AI113" s="13">
        <f>IF($A113="","",[1]!thsiFinD("ths_adjustment_nv_fund",AI$3,$A113))</f>
        <v/>
      </c>
      <c r="AJ113" s="13">
        <f>IF($A113="","",[1]!thsiFinD("ths_adjustment_nv_fund",AJ$3,$A113))</f>
        <v/>
      </c>
      <c r="AK113" s="13">
        <f>IF($A113="","",[1]!thsiFinD("ths_adjustment_nv_fund",AK$3,$A113))</f>
        <v/>
      </c>
      <c r="AL113" s="13">
        <f>IF($A113="","",[1]!thsiFinD("ths_adjustment_nv_fund",AL$3,$A113))</f>
        <v/>
      </c>
    </row>
    <row r="114" spans="1:27">
      <c r="A114" s="8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  <c r="AB114" s="13">
        <f>IF($A114="","",[1]!thsiFinD("ths_adjustment_nv_fund",AB$3,$A114))</f>
        <v/>
      </c>
      <c r="AC114" s="13">
        <f>IF($A114="","",[1]!thsiFinD("ths_adjustment_nv_fund",AC$3,$A114))</f>
        <v/>
      </c>
      <c r="AD114" s="13">
        <f>IF($A114="","",[1]!thsiFinD("ths_adjustment_nv_fund",AD$3,$A114))</f>
        <v/>
      </c>
      <c r="AE114" s="13">
        <f>IF($A114="","",[1]!thsiFinD("ths_adjustment_nv_fund",AE$3,$A114))</f>
        <v/>
      </c>
      <c r="AF114" s="13">
        <f>IF($A114="","",[1]!thsiFinD("ths_adjustment_nv_fund",AF$3,$A114))</f>
        <v/>
      </c>
      <c r="AG114" s="13">
        <f>IF($A114="","",[1]!thsiFinD("ths_adjustment_nv_fund",AG$3,$A114))</f>
        <v/>
      </c>
      <c r="AH114" s="13">
        <f>IF($A114="","",[1]!thsiFinD("ths_adjustment_nv_fund",AH$3,$A114))</f>
        <v/>
      </c>
      <c r="AI114" s="13">
        <f>IF($A114="","",[1]!thsiFinD("ths_adjustment_nv_fund",AI$3,$A114))</f>
        <v/>
      </c>
      <c r="AJ114" s="13">
        <f>IF($A114="","",[1]!thsiFinD("ths_adjustment_nv_fund",AJ$3,$A114))</f>
        <v/>
      </c>
      <c r="AK114" s="13">
        <f>IF($A114="","",[1]!thsiFinD("ths_adjustment_nv_fund",AK$3,$A114))</f>
        <v/>
      </c>
      <c r="AL114" s="13">
        <f>IF($A114="","",[1]!thsiFinD("ths_adjustment_nv_fund",AL$3,$A114))</f>
        <v/>
      </c>
    </row>
    <row r="115" spans="1:27">
      <c r="A115" s="8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  <c r="AB115" s="13">
        <f>IF($A115="","",[1]!thsiFinD("ths_adjustment_nv_fund",AB$3,$A115))</f>
        <v/>
      </c>
      <c r="AC115" s="13">
        <f>IF($A115="","",[1]!thsiFinD("ths_adjustment_nv_fund",AC$3,$A115))</f>
        <v/>
      </c>
      <c r="AD115" s="13">
        <f>IF($A115="","",[1]!thsiFinD("ths_adjustment_nv_fund",AD$3,$A115))</f>
        <v/>
      </c>
      <c r="AE115" s="13">
        <f>IF($A115="","",[1]!thsiFinD("ths_adjustment_nv_fund",AE$3,$A115))</f>
        <v/>
      </c>
      <c r="AF115" s="13">
        <f>IF($A115="","",[1]!thsiFinD("ths_adjustment_nv_fund",AF$3,$A115))</f>
        <v/>
      </c>
      <c r="AG115" s="13">
        <f>IF($A115="","",[1]!thsiFinD("ths_adjustment_nv_fund",AG$3,$A115))</f>
        <v/>
      </c>
      <c r="AH115" s="13">
        <f>IF($A115="","",[1]!thsiFinD("ths_adjustment_nv_fund",AH$3,$A115))</f>
        <v/>
      </c>
      <c r="AI115" s="13">
        <f>IF($A115="","",[1]!thsiFinD("ths_adjustment_nv_fund",AI$3,$A115))</f>
        <v/>
      </c>
      <c r="AJ115" s="13">
        <f>IF($A115="","",[1]!thsiFinD("ths_adjustment_nv_fund",AJ$3,$A115))</f>
        <v/>
      </c>
      <c r="AK115" s="13">
        <f>IF($A115="","",[1]!thsiFinD("ths_adjustment_nv_fund",AK$3,$A115))</f>
        <v/>
      </c>
      <c r="AL115" s="13">
        <f>IF($A115="","",[1]!thsiFinD("ths_adjustment_nv_fund",AL$3,$A115))</f>
        <v/>
      </c>
    </row>
    <row r="116" spans="1:27">
      <c r="A116" s="8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  <c r="AB116" s="13">
        <f>IF($A116="","",[1]!thsiFinD("ths_adjustment_nv_fund",AB$3,$A116))</f>
        <v/>
      </c>
      <c r="AC116" s="13">
        <f>IF($A116="","",[1]!thsiFinD("ths_adjustment_nv_fund",AC$3,$A116))</f>
        <v/>
      </c>
      <c r="AD116" s="13">
        <f>IF($A116="","",[1]!thsiFinD("ths_adjustment_nv_fund",AD$3,$A116))</f>
        <v/>
      </c>
      <c r="AE116" s="13">
        <f>IF($A116="","",[1]!thsiFinD("ths_adjustment_nv_fund",AE$3,$A116))</f>
        <v/>
      </c>
      <c r="AF116" s="13">
        <f>IF($A116="","",[1]!thsiFinD("ths_adjustment_nv_fund",AF$3,$A116))</f>
        <v/>
      </c>
      <c r="AG116" s="13">
        <f>IF($A116="","",[1]!thsiFinD("ths_adjustment_nv_fund",AG$3,$A116))</f>
        <v/>
      </c>
      <c r="AH116" s="13">
        <f>IF($A116="","",[1]!thsiFinD("ths_adjustment_nv_fund",AH$3,$A116))</f>
        <v/>
      </c>
      <c r="AI116" s="13">
        <f>IF($A116="","",[1]!thsiFinD("ths_adjustment_nv_fund",AI$3,$A116))</f>
        <v/>
      </c>
      <c r="AJ116" s="13">
        <f>IF($A116="","",[1]!thsiFinD("ths_adjustment_nv_fund",AJ$3,$A116))</f>
        <v/>
      </c>
      <c r="AK116" s="13">
        <f>IF($A116="","",[1]!thsiFinD("ths_adjustment_nv_fund",AK$3,$A116))</f>
        <v/>
      </c>
      <c r="AL116" s="13">
        <f>IF($A116="","",[1]!thsiFinD("ths_adjustment_nv_fund",AL$3,$A116))</f>
        <v/>
      </c>
    </row>
    <row r="117" spans="1:27">
      <c r="A117" s="8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  <c r="AB117" s="13">
        <f>IF($A117="","",[1]!thsiFinD("ths_adjustment_nv_fund",AB$3,$A117))</f>
        <v/>
      </c>
      <c r="AC117" s="13">
        <f>IF($A117="","",[1]!thsiFinD("ths_adjustment_nv_fund",AC$3,$A117))</f>
        <v/>
      </c>
      <c r="AD117" s="13">
        <f>IF($A117="","",[1]!thsiFinD("ths_adjustment_nv_fund",AD$3,$A117))</f>
        <v/>
      </c>
      <c r="AE117" s="13">
        <f>IF($A117="","",[1]!thsiFinD("ths_adjustment_nv_fund",AE$3,$A117))</f>
        <v/>
      </c>
      <c r="AF117" s="13">
        <f>IF($A117="","",[1]!thsiFinD("ths_adjustment_nv_fund",AF$3,$A117))</f>
        <v/>
      </c>
      <c r="AG117" s="13">
        <f>IF($A117="","",[1]!thsiFinD("ths_adjustment_nv_fund",AG$3,$A117))</f>
        <v/>
      </c>
      <c r="AH117" s="13">
        <f>IF($A117="","",[1]!thsiFinD("ths_adjustment_nv_fund",AH$3,$A117))</f>
        <v/>
      </c>
      <c r="AI117" s="13">
        <f>IF($A117="","",[1]!thsiFinD("ths_adjustment_nv_fund",AI$3,$A117))</f>
        <v/>
      </c>
      <c r="AJ117" s="13">
        <f>IF($A117="","",[1]!thsiFinD("ths_adjustment_nv_fund",AJ$3,$A117))</f>
        <v/>
      </c>
      <c r="AK117" s="13">
        <f>IF($A117="","",[1]!thsiFinD("ths_adjustment_nv_fund",AK$3,$A117))</f>
        <v/>
      </c>
      <c r="AL117" s="13">
        <f>IF($A117="","",[1]!thsiFinD("ths_adjustment_nv_fund",AL$3,$A117))</f>
        <v/>
      </c>
    </row>
    <row r="118" spans="1:27">
      <c r="A118" s="8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  <c r="AB118" s="13">
        <f>IF($A118="","",[1]!thsiFinD("ths_adjustment_nv_fund",AB$3,$A118))</f>
        <v/>
      </c>
      <c r="AC118" s="13">
        <f>IF($A118="","",[1]!thsiFinD("ths_adjustment_nv_fund",AC$3,$A118))</f>
        <v/>
      </c>
      <c r="AD118" s="13">
        <f>IF($A118="","",[1]!thsiFinD("ths_adjustment_nv_fund",AD$3,$A118))</f>
        <v/>
      </c>
      <c r="AE118" s="13">
        <f>IF($A118="","",[1]!thsiFinD("ths_adjustment_nv_fund",AE$3,$A118))</f>
        <v/>
      </c>
      <c r="AF118" s="13">
        <f>IF($A118="","",[1]!thsiFinD("ths_adjustment_nv_fund",AF$3,$A118))</f>
        <v/>
      </c>
      <c r="AG118" s="13">
        <f>IF($A118="","",[1]!thsiFinD("ths_adjustment_nv_fund",AG$3,$A118))</f>
        <v/>
      </c>
      <c r="AH118" s="13">
        <f>IF($A118="","",[1]!thsiFinD("ths_adjustment_nv_fund",AH$3,$A118))</f>
        <v/>
      </c>
      <c r="AI118" s="13">
        <f>IF($A118="","",[1]!thsiFinD("ths_adjustment_nv_fund",AI$3,$A118))</f>
        <v/>
      </c>
      <c r="AJ118" s="13">
        <f>IF($A118="","",[1]!thsiFinD("ths_adjustment_nv_fund",AJ$3,$A118))</f>
        <v/>
      </c>
      <c r="AK118" s="13">
        <f>IF($A118="","",[1]!thsiFinD("ths_adjustment_nv_fund",AK$3,$A118))</f>
        <v/>
      </c>
      <c r="AL118" s="13">
        <f>IF($A118="","",[1]!thsiFinD("ths_adjustment_nv_fund",AL$3,$A118))</f>
        <v/>
      </c>
    </row>
    <row r="119" spans="1:27">
      <c r="A119" s="8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  <c r="AB119" s="13">
        <f>IF($A119="","",[1]!thsiFinD("ths_adjustment_nv_fund",AB$3,$A119))</f>
        <v/>
      </c>
      <c r="AC119" s="13">
        <f>IF($A119="","",[1]!thsiFinD("ths_adjustment_nv_fund",AC$3,$A119))</f>
        <v/>
      </c>
      <c r="AD119" s="13">
        <f>IF($A119="","",[1]!thsiFinD("ths_adjustment_nv_fund",AD$3,$A119))</f>
        <v/>
      </c>
      <c r="AE119" s="13">
        <f>IF($A119="","",[1]!thsiFinD("ths_adjustment_nv_fund",AE$3,$A119))</f>
        <v/>
      </c>
      <c r="AF119" s="13">
        <f>IF($A119="","",[1]!thsiFinD("ths_adjustment_nv_fund",AF$3,$A119))</f>
        <v/>
      </c>
      <c r="AG119" s="13">
        <f>IF($A119="","",[1]!thsiFinD("ths_adjustment_nv_fund",AG$3,$A119))</f>
        <v/>
      </c>
      <c r="AH119" s="13">
        <f>IF($A119="","",[1]!thsiFinD("ths_adjustment_nv_fund",AH$3,$A119))</f>
        <v/>
      </c>
      <c r="AI119" s="13">
        <f>IF($A119="","",[1]!thsiFinD("ths_adjustment_nv_fund",AI$3,$A119))</f>
        <v/>
      </c>
      <c r="AJ119" s="13">
        <f>IF($A119="","",[1]!thsiFinD("ths_adjustment_nv_fund",AJ$3,$A119))</f>
        <v/>
      </c>
      <c r="AK119" s="13">
        <f>IF($A119="","",[1]!thsiFinD("ths_adjustment_nv_fund",AK$3,$A119))</f>
        <v/>
      </c>
      <c r="AL119" s="13">
        <f>IF($A119="","",[1]!thsiFinD("ths_adjustment_nv_fund",AL$3,$A119))</f>
        <v/>
      </c>
    </row>
    <row r="120" spans="1:27">
      <c r="A120" s="8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  <c r="AB120" s="13">
        <f>IF($A120="","",[1]!thsiFinD("ths_adjustment_nv_fund",AB$3,$A120))</f>
        <v/>
      </c>
      <c r="AC120" s="13">
        <f>IF($A120="","",[1]!thsiFinD("ths_adjustment_nv_fund",AC$3,$A120))</f>
        <v/>
      </c>
      <c r="AD120" s="13">
        <f>IF($A120="","",[1]!thsiFinD("ths_adjustment_nv_fund",AD$3,$A120))</f>
        <v/>
      </c>
      <c r="AE120" s="13">
        <f>IF($A120="","",[1]!thsiFinD("ths_adjustment_nv_fund",AE$3,$A120))</f>
        <v/>
      </c>
      <c r="AF120" s="13">
        <f>IF($A120="","",[1]!thsiFinD("ths_adjustment_nv_fund",AF$3,$A120))</f>
        <v/>
      </c>
      <c r="AG120" s="13">
        <f>IF($A120="","",[1]!thsiFinD("ths_adjustment_nv_fund",AG$3,$A120))</f>
        <v/>
      </c>
      <c r="AH120" s="13">
        <f>IF($A120="","",[1]!thsiFinD("ths_adjustment_nv_fund",AH$3,$A120))</f>
        <v/>
      </c>
      <c r="AI120" s="13">
        <f>IF($A120="","",[1]!thsiFinD("ths_adjustment_nv_fund",AI$3,$A120))</f>
        <v/>
      </c>
      <c r="AJ120" s="13">
        <f>IF($A120="","",[1]!thsiFinD("ths_adjustment_nv_fund",AJ$3,$A120))</f>
        <v/>
      </c>
      <c r="AK120" s="13">
        <f>IF($A120="","",[1]!thsiFinD("ths_adjustment_nv_fund",AK$3,$A120))</f>
        <v/>
      </c>
      <c r="AL120" s="13">
        <f>IF($A120="","",[1]!thsiFinD("ths_adjustment_nv_fund",AL$3,$A120))</f>
        <v/>
      </c>
    </row>
    <row r="121" spans="1:27">
      <c r="A121" s="8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  <c r="AB121" s="13">
        <f>IF($A121="","",[1]!thsiFinD("ths_adjustment_nv_fund",AB$3,$A121))</f>
        <v/>
      </c>
      <c r="AC121" s="13">
        <f>IF($A121="","",[1]!thsiFinD("ths_adjustment_nv_fund",AC$3,$A121))</f>
        <v/>
      </c>
      <c r="AD121" s="13">
        <f>IF($A121="","",[1]!thsiFinD("ths_adjustment_nv_fund",AD$3,$A121))</f>
        <v/>
      </c>
      <c r="AE121" s="13">
        <f>IF($A121="","",[1]!thsiFinD("ths_adjustment_nv_fund",AE$3,$A121))</f>
        <v/>
      </c>
      <c r="AF121" s="13">
        <f>IF($A121="","",[1]!thsiFinD("ths_adjustment_nv_fund",AF$3,$A121))</f>
        <v/>
      </c>
      <c r="AG121" s="13">
        <f>IF($A121="","",[1]!thsiFinD("ths_adjustment_nv_fund",AG$3,$A121))</f>
        <v/>
      </c>
      <c r="AH121" s="13">
        <f>IF($A121="","",[1]!thsiFinD("ths_adjustment_nv_fund",AH$3,$A121))</f>
        <v/>
      </c>
      <c r="AI121" s="13">
        <f>IF($A121="","",[1]!thsiFinD("ths_adjustment_nv_fund",AI$3,$A121))</f>
        <v/>
      </c>
      <c r="AJ121" s="13">
        <f>IF($A121="","",[1]!thsiFinD("ths_adjustment_nv_fund",AJ$3,$A121))</f>
        <v/>
      </c>
      <c r="AK121" s="13">
        <f>IF($A121="","",[1]!thsiFinD("ths_adjustment_nv_fund",AK$3,$A121))</f>
        <v/>
      </c>
      <c r="AL121" s="13">
        <f>IF($A121="","",[1]!thsiFinD("ths_adjustment_nv_fund",AL$3,$A121))</f>
        <v/>
      </c>
    </row>
    <row r="122" spans="1:27">
      <c r="A122" s="8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  <c r="AB122" s="13">
        <f>IF($A122="","",[1]!thsiFinD("ths_adjustment_nv_fund",AB$3,$A122))</f>
        <v/>
      </c>
      <c r="AC122" s="13">
        <f>IF($A122="","",[1]!thsiFinD("ths_adjustment_nv_fund",AC$3,$A122))</f>
        <v/>
      </c>
      <c r="AD122" s="13">
        <f>IF($A122="","",[1]!thsiFinD("ths_adjustment_nv_fund",AD$3,$A122))</f>
        <v/>
      </c>
      <c r="AE122" s="13">
        <f>IF($A122="","",[1]!thsiFinD("ths_adjustment_nv_fund",AE$3,$A122))</f>
        <v/>
      </c>
      <c r="AF122" s="13">
        <f>IF($A122="","",[1]!thsiFinD("ths_adjustment_nv_fund",AF$3,$A122))</f>
        <v/>
      </c>
      <c r="AG122" s="13">
        <f>IF($A122="","",[1]!thsiFinD("ths_adjustment_nv_fund",AG$3,$A122))</f>
        <v/>
      </c>
      <c r="AH122" s="13">
        <f>IF($A122="","",[1]!thsiFinD("ths_adjustment_nv_fund",AH$3,$A122))</f>
        <v/>
      </c>
      <c r="AI122" s="13">
        <f>IF($A122="","",[1]!thsiFinD("ths_adjustment_nv_fund",AI$3,$A122))</f>
        <v/>
      </c>
      <c r="AJ122" s="13">
        <f>IF($A122="","",[1]!thsiFinD("ths_adjustment_nv_fund",AJ$3,$A122))</f>
        <v/>
      </c>
      <c r="AK122" s="13">
        <f>IF($A122="","",[1]!thsiFinD("ths_adjustment_nv_fund",AK$3,$A122))</f>
        <v/>
      </c>
      <c r="AL122" s="13">
        <f>IF($A122="","",[1]!thsiFinD("ths_adjustment_nv_fund",AL$3,$A122))</f>
        <v/>
      </c>
    </row>
    <row r="123" spans="1:27">
      <c r="A123" s="8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  <c r="AB123" s="13">
        <f>IF($A123="","",[1]!thsiFinD("ths_adjustment_nv_fund",AB$3,$A123))</f>
        <v/>
      </c>
      <c r="AC123" s="13">
        <f>IF($A123="","",[1]!thsiFinD("ths_adjustment_nv_fund",AC$3,$A123))</f>
        <v/>
      </c>
      <c r="AD123" s="13">
        <f>IF($A123="","",[1]!thsiFinD("ths_adjustment_nv_fund",AD$3,$A123))</f>
        <v/>
      </c>
      <c r="AE123" s="13">
        <f>IF($A123="","",[1]!thsiFinD("ths_adjustment_nv_fund",AE$3,$A123))</f>
        <v/>
      </c>
      <c r="AF123" s="13">
        <f>IF($A123="","",[1]!thsiFinD("ths_adjustment_nv_fund",AF$3,$A123))</f>
        <v/>
      </c>
      <c r="AG123" s="13">
        <f>IF($A123="","",[1]!thsiFinD("ths_adjustment_nv_fund",AG$3,$A123))</f>
        <v/>
      </c>
      <c r="AH123" s="13">
        <f>IF($A123="","",[1]!thsiFinD("ths_adjustment_nv_fund",AH$3,$A123))</f>
        <v/>
      </c>
      <c r="AI123" s="13">
        <f>IF($A123="","",[1]!thsiFinD("ths_adjustment_nv_fund",AI$3,$A123))</f>
        <v/>
      </c>
      <c r="AJ123" s="13">
        <f>IF($A123="","",[1]!thsiFinD("ths_adjustment_nv_fund",AJ$3,$A123))</f>
        <v/>
      </c>
      <c r="AK123" s="13">
        <f>IF($A123="","",[1]!thsiFinD("ths_adjustment_nv_fund",AK$3,$A123))</f>
        <v/>
      </c>
      <c r="AL123" s="13">
        <f>IF($A123="","",[1]!thsiFinD("ths_adjustment_nv_fund",AL$3,$A123))</f>
        <v/>
      </c>
    </row>
    <row r="124" spans="1:27">
      <c r="A124" s="8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  <c r="AB124" s="13">
        <f>IF($A124="","",[1]!thsiFinD("ths_adjustment_nv_fund",AB$3,$A124))</f>
        <v/>
      </c>
      <c r="AC124" s="13">
        <f>IF($A124="","",[1]!thsiFinD("ths_adjustment_nv_fund",AC$3,$A124))</f>
        <v/>
      </c>
      <c r="AD124" s="13">
        <f>IF($A124="","",[1]!thsiFinD("ths_adjustment_nv_fund",AD$3,$A124))</f>
        <v/>
      </c>
      <c r="AE124" s="13">
        <f>IF($A124="","",[1]!thsiFinD("ths_adjustment_nv_fund",AE$3,$A124))</f>
        <v/>
      </c>
      <c r="AF124" s="13">
        <f>IF($A124="","",[1]!thsiFinD("ths_adjustment_nv_fund",AF$3,$A124))</f>
        <v/>
      </c>
      <c r="AG124" s="13">
        <f>IF($A124="","",[1]!thsiFinD("ths_adjustment_nv_fund",AG$3,$A124))</f>
        <v/>
      </c>
      <c r="AH124" s="13">
        <f>IF($A124="","",[1]!thsiFinD("ths_adjustment_nv_fund",AH$3,$A124))</f>
        <v/>
      </c>
      <c r="AI124" s="13">
        <f>IF($A124="","",[1]!thsiFinD("ths_adjustment_nv_fund",AI$3,$A124))</f>
        <v/>
      </c>
      <c r="AJ124" s="13">
        <f>IF($A124="","",[1]!thsiFinD("ths_adjustment_nv_fund",AJ$3,$A124))</f>
        <v/>
      </c>
      <c r="AK124" s="13">
        <f>IF($A124="","",[1]!thsiFinD("ths_adjustment_nv_fund",AK$3,$A124))</f>
        <v/>
      </c>
      <c r="AL124" s="13">
        <f>IF($A124="","",[1]!thsiFinD("ths_adjustment_nv_fund",AL$3,$A124))</f>
        <v/>
      </c>
    </row>
    <row r="125" spans="1:27">
      <c r="A125" s="8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  <c r="AB125" s="13">
        <f>IF($A125="","",[1]!thsiFinD("ths_adjustment_nv_fund",AB$3,$A125))</f>
        <v/>
      </c>
      <c r="AC125" s="13">
        <f>IF($A125="","",[1]!thsiFinD("ths_adjustment_nv_fund",AC$3,$A125))</f>
        <v/>
      </c>
      <c r="AD125" s="13">
        <f>IF($A125="","",[1]!thsiFinD("ths_adjustment_nv_fund",AD$3,$A125))</f>
        <v/>
      </c>
      <c r="AE125" s="13">
        <f>IF($A125="","",[1]!thsiFinD("ths_adjustment_nv_fund",AE$3,$A125))</f>
        <v/>
      </c>
      <c r="AF125" s="13">
        <f>IF($A125="","",[1]!thsiFinD("ths_adjustment_nv_fund",AF$3,$A125))</f>
        <v/>
      </c>
      <c r="AG125" s="13">
        <f>IF($A125="","",[1]!thsiFinD("ths_adjustment_nv_fund",AG$3,$A125))</f>
        <v/>
      </c>
      <c r="AH125" s="13">
        <f>IF($A125="","",[1]!thsiFinD("ths_adjustment_nv_fund",AH$3,$A125))</f>
        <v/>
      </c>
      <c r="AI125" s="13">
        <f>IF($A125="","",[1]!thsiFinD("ths_adjustment_nv_fund",AI$3,$A125))</f>
        <v/>
      </c>
      <c r="AJ125" s="13">
        <f>IF($A125="","",[1]!thsiFinD("ths_adjustment_nv_fund",AJ$3,$A125))</f>
        <v/>
      </c>
      <c r="AK125" s="13">
        <f>IF($A125="","",[1]!thsiFinD("ths_adjustment_nv_fund",AK$3,$A125))</f>
        <v/>
      </c>
      <c r="AL125" s="13">
        <f>IF($A125="","",[1]!thsiFinD("ths_adjustment_nv_fund",AL$3,$A125))</f>
        <v/>
      </c>
    </row>
    <row r="126" spans="1:27">
      <c r="A126" s="8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  <c r="AB126" s="13">
        <f>IF($A126="","",[1]!thsiFinD("ths_adjustment_nv_fund",AB$3,$A126))</f>
        <v/>
      </c>
      <c r="AC126" s="13">
        <f>IF($A126="","",[1]!thsiFinD("ths_adjustment_nv_fund",AC$3,$A126))</f>
        <v/>
      </c>
      <c r="AD126" s="13">
        <f>IF($A126="","",[1]!thsiFinD("ths_adjustment_nv_fund",AD$3,$A126))</f>
        <v/>
      </c>
      <c r="AE126" s="13">
        <f>IF($A126="","",[1]!thsiFinD("ths_adjustment_nv_fund",AE$3,$A126))</f>
        <v/>
      </c>
      <c r="AF126" s="13">
        <f>IF($A126="","",[1]!thsiFinD("ths_adjustment_nv_fund",AF$3,$A126))</f>
        <v/>
      </c>
      <c r="AG126" s="13">
        <f>IF($A126="","",[1]!thsiFinD("ths_adjustment_nv_fund",AG$3,$A126))</f>
        <v/>
      </c>
      <c r="AH126" s="13">
        <f>IF($A126="","",[1]!thsiFinD("ths_adjustment_nv_fund",AH$3,$A126))</f>
        <v/>
      </c>
      <c r="AI126" s="13">
        <f>IF($A126="","",[1]!thsiFinD("ths_adjustment_nv_fund",AI$3,$A126))</f>
        <v/>
      </c>
      <c r="AJ126" s="13">
        <f>IF($A126="","",[1]!thsiFinD("ths_adjustment_nv_fund",AJ$3,$A126))</f>
        <v/>
      </c>
      <c r="AK126" s="13">
        <f>IF($A126="","",[1]!thsiFinD("ths_adjustment_nv_fund",AK$3,$A126))</f>
        <v/>
      </c>
      <c r="AL126" s="13">
        <f>IF($A126="","",[1]!thsiFinD("ths_adjustment_nv_fund",AL$3,$A126))</f>
        <v/>
      </c>
    </row>
    <row r="127" spans="1:27">
      <c r="A127" s="8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  <c r="AB127" s="13">
        <f>IF($A127="","",[1]!thsiFinD("ths_adjustment_nv_fund",AB$3,$A127))</f>
        <v/>
      </c>
      <c r="AC127" s="13">
        <f>IF($A127="","",[1]!thsiFinD("ths_adjustment_nv_fund",AC$3,$A127))</f>
        <v/>
      </c>
      <c r="AD127" s="13">
        <f>IF($A127="","",[1]!thsiFinD("ths_adjustment_nv_fund",AD$3,$A127))</f>
        <v/>
      </c>
      <c r="AE127" s="13">
        <f>IF($A127="","",[1]!thsiFinD("ths_adjustment_nv_fund",AE$3,$A127))</f>
        <v/>
      </c>
      <c r="AF127" s="13">
        <f>IF($A127="","",[1]!thsiFinD("ths_adjustment_nv_fund",AF$3,$A127))</f>
        <v/>
      </c>
      <c r="AG127" s="13">
        <f>IF($A127="","",[1]!thsiFinD("ths_adjustment_nv_fund",AG$3,$A127))</f>
        <v/>
      </c>
      <c r="AH127" s="13">
        <f>IF($A127="","",[1]!thsiFinD("ths_adjustment_nv_fund",AH$3,$A127))</f>
        <v/>
      </c>
      <c r="AI127" s="13">
        <f>IF($A127="","",[1]!thsiFinD("ths_adjustment_nv_fund",AI$3,$A127))</f>
        <v/>
      </c>
      <c r="AJ127" s="13">
        <f>IF($A127="","",[1]!thsiFinD("ths_adjustment_nv_fund",AJ$3,$A127))</f>
        <v/>
      </c>
      <c r="AK127" s="13">
        <f>IF($A127="","",[1]!thsiFinD("ths_adjustment_nv_fund",AK$3,$A127))</f>
        <v/>
      </c>
      <c r="AL127" s="13">
        <f>IF($A127="","",[1]!thsiFinD("ths_adjustment_nv_fund",AL$3,$A127))</f>
        <v/>
      </c>
    </row>
    <row r="128" spans="1:27">
      <c r="A128" s="8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  <c r="AB128" s="13">
        <f>IF($A128="","",[1]!thsiFinD("ths_adjustment_nv_fund",AB$3,$A128))</f>
        <v/>
      </c>
      <c r="AC128" s="13">
        <f>IF($A128="","",[1]!thsiFinD("ths_adjustment_nv_fund",AC$3,$A128))</f>
        <v/>
      </c>
      <c r="AD128" s="13">
        <f>IF($A128="","",[1]!thsiFinD("ths_adjustment_nv_fund",AD$3,$A128))</f>
        <v/>
      </c>
      <c r="AE128" s="13">
        <f>IF($A128="","",[1]!thsiFinD("ths_adjustment_nv_fund",AE$3,$A128))</f>
        <v/>
      </c>
      <c r="AF128" s="13">
        <f>IF($A128="","",[1]!thsiFinD("ths_adjustment_nv_fund",AF$3,$A128))</f>
        <v/>
      </c>
      <c r="AG128" s="13">
        <f>IF($A128="","",[1]!thsiFinD("ths_adjustment_nv_fund",AG$3,$A128))</f>
        <v/>
      </c>
      <c r="AH128" s="13">
        <f>IF($A128="","",[1]!thsiFinD("ths_adjustment_nv_fund",AH$3,$A128))</f>
        <v/>
      </c>
      <c r="AI128" s="13">
        <f>IF($A128="","",[1]!thsiFinD("ths_adjustment_nv_fund",AI$3,$A128))</f>
        <v/>
      </c>
      <c r="AJ128" s="13">
        <f>IF($A128="","",[1]!thsiFinD("ths_adjustment_nv_fund",AJ$3,$A128))</f>
        <v/>
      </c>
      <c r="AK128" s="13">
        <f>IF($A128="","",[1]!thsiFinD("ths_adjustment_nv_fund",AK$3,$A128))</f>
        <v/>
      </c>
      <c r="AL128" s="13">
        <f>IF($A128="","",[1]!thsiFinD("ths_adjustment_nv_fund",AL$3,$A128))</f>
        <v/>
      </c>
    </row>
    <row r="129" spans="1:28">
      <c r="A129" s="8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  <c r="AB129" s="13">
        <f>IF($A129="","",[1]!thsiFinD("ths_adjustment_nv_fund",AB$3,$A129))</f>
        <v/>
      </c>
      <c r="AC129" s="13">
        <f>IF($A129="","",[1]!thsiFinD("ths_adjustment_nv_fund",AC$3,$A129))</f>
        <v/>
      </c>
      <c r="AD129" s="13">
        <f>IF($A129="","",[1]!thsiFinD("ths_adjustment_nv_fund",AD$3,$A129))</f>
        <v/>
      </c>
      <c r="AE129" s="13">
        <f>IF($A129="","",[1]!thsiFinD("ths_adjustment_nv_fund",AE$3,$A129))</f>
        <v/>
      </c>
      <c r="AF129" s="13">
        <f>IF($A129="","",[1]!thsiFinD("ths_adjustment_nv_fund",AF$3,$A129))</f>
        <v/>
      </c>
      <c r="AG129" s="13">
        <f>IF($A129="","",[1]!thsiFinD("ths_adjustment_nv_fund",AG$3,$A129))</f>
        <v/>
      </c>
      <c r="AH129" s="13">
        <f>IF($A129="","",[1]!thsiFinD("ths_adjustment_nv_fund",AH$3,$A129))</f>
        <v/>
      </c>
      <c r="AI129" s="13">
        <f>IF($A129="","",[1]!thsiFinD("ths_adjustment_nv_fund",AI$3,$A129))</f>
        <v/>
      </c>
      <c r="AJ129" s="13">
        <f>IF($A129="","",[1]!thsiFinD("ths_adjustment_nv_fund",AJ$3,$A129))</f>
        <v/>
      </c>
      <c r="AK129" s="13">
        <f>IF($A129="","",[1]!thsiFinD("ths_adjustment_nv_fund",AK$3,$A129))</f>
        <v/>
      </c>
      <c r="AL129" s="13">
        <f>IF($A129="","",[1]!thsiFinD("ths_adjustment_nv_fund",AL$3,$A129))</f>
        <v/>
      </c>
    </row>
    <row r="130" spans="1:28">
      <c r="A130" s="8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  <c r="AB130" s="13">
        <f>IF($A130="","",[1]!thsiFinD("ths_adjustment_nv_fund",AB$3,$A130))</f>
        <v/>
      </c>
      <c r="AC130" s="13">
        <f>IF($A130="","",[1]!thsiFinD("ths_adjustment_nv_fund",AC$3,$A130))</f>
        <v/>
      </c>
      <c r="AD130" s="13">
        <f>IF($A130="","",[1]!thsiFinD("ths_adjustment_nv_fund",AD$3,$A130))</f>
        <v/>
      </c>
      <c r="AE130" s="13">
        <f>IF($A130="","",[1]!thsiFinD("ths_adjustment_nv_fund",AE$3,$A130))</f>
        <v/>
      </c>
      <c r="AF130" s="13">
        <f>IF($A130="","",[1]!thsiFinD("ths_adjustment_nv_fund",AF$3,$A130))</f>
        <v/>
      </c>
      <c r="AG130" s="13">
        <f>IF($A130="","",[1]!thsiFinD("ths_adjustment_nv_fund",AG$3,$A130))</f>
        <v/>
      </c>
      <c r="AH130" s="13">
        <f>IF($A130="","",[1]!thsiFinD("ths_adjustment_nv_fund",AH$3,$A130))</f>
        <v/>
      </c>
      <c r="AI130" s="13">
        <f>IF($A130="","",[1]!thsiFinD("ths_adjustment_nv_fund",AI$3,$A130))</f>
        <v/>
      </c>
      <c r="AJ130" s="13">
        <f>IF($A130="","",[1]!thsiFinD("ths_adjustment_nv_fund",AJ$3,$A130))</f>
        <v/>
      </c>
      <c r="AK130" s="13">
        <f>IF($A130="","",[1]!thsiFinD("ths_adjustment_nv_fund",AK$3,$A130))</f>
        <v/>
      </c>
      <c r="AL130" s="13">
        <f>IF($A130="","",[1]!thsiFinD("ths_adjustment_nv_fund",AL$3,$A130))</f>
        <v/>
      </c>
    </row>
    <row r="131" spans="1:28">
      <c r="A131" s="8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  <c r="AB131" s="13">
        <f>IF($A131="","",[1]!thsiFinD("ths_adjustment_nv_fund",AB$3,$A131))</f>
        <v/>
      </c>
      <c r="AC131" s="13">
        <f>IF($A131="","",[1]!thsiFinD("ths_adjustment_nv_fund",AC$3,$A131))</f>
        <v/>
      </c>
      <c r="AD131" s="13">
        <f>IF($A131="","",[1]!thsiFinD("ths_adjustment_nv_fund",AD$3,$A131))</f>
        <v/>
      </c>
      <c r="AE131" s="13">
        <f>IF($A131="","",[1]!thsiFinD("ths_adjustment_nv_fund",AE$3,$A131))</f>
        <v/>
      </c>
      <c r="AF131" s="13">
        <f>IF($A131="","",[1]!thsiFinD("ths_adjustment_nv_fund",AF$3,$A131))</f>
        <v/>
      </c>
      <c r="AG131" s="13">
        <f>IF($A131="","",[1]!thsiFinD("ths_adjustment_nv_fund",AG$3,$A131))</f>
        <v/>
      </c>
      <c r="AH131" s="13">
        <f>IF($A131="","",[1]!thsiFinD("ths_adjustment_nv_fund",AH$3,$A131))</f>
        <v/>
      </c>
      <c r="AI131" s="13">
        <f>IF($A131="","",[1]!thsiFinD("ths_adjustment_nv_fund",AI$3,$A131))</f>
        <v/>
      </c>
      <c r="AJ131" s="13">
        <f>IF($A131="","",[1]!thsiFinD("ths_adjustment_nv_fund",AJ$3,$A131))</f>
        <v/>
      </c>
      <c r="AK131" s="13">
        <f>IF($A131="","",[1]!thsiFinD("ths_adjustment_nv_fund",AK$3,$A131))</f>
        <v/>
      </c>
      <c r="AL131" s="13">
        <f>IF($A131="","",[1]!thsiFinD("ths_adjustment_nv_fund",AL$3,$A131))</f>
        <v/>
      </c>
    </row>
    <row r="132" spans="1:28">
      <c r="A132" s="8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  <c r="AB132" s="13">
        <f>IF($A132="","",[1]!thsiFinD("ths_adjustment_nv_fund",AB$3,$A132))</f>
        <v/>
      </c>
      <c r="AC132" s="13">
        <f>IF($A132="","",[1]!thsiFinD("ths_adjustment_nv_fund",AC$3,$A132))</f>
        <v/>
      </c>
      <c r="AD132" s="13">
        <f>IF($A132="","",[1]!thsiFinD("ths_adjustment_nv_fund",AD$3,$A132))</f>
        <v/>
      </c>
      <c r="AE132" s="13">
        <f>IF($A132="","",[1]!thsiFinD("ths_adjustment_nv_fund",AE$3,$A132))</f>
        <v/>
      </c>
      <c r="AF132" s="13">
        <f>IF($A132="","",[1]!thsiFinD("ths_adjustment_nv_fund",AF$3,$A132))</f>
        <v/>
      </c>
      <c r="AG132" s="13">
        <f>IF($A132="","",[1]!thsiFinD("ths_adjustment_nv_fund",AG$3,$A132))</f>
        <v/>
      </c>
      <c r="AH132" s="13">
        <f>IF($A132="","",[1]!thsiFinD("ths_adjustment_nv_fund",AH$3,$A132))</f>
        <v/>
      </c>
      <c r="AI132" s="13">
        <f>IF($A132="","",[1]!thsiFinD("ths_adjustment_nv_fund",AI$3,$A132))</f>
        <v/>
      </c>
      <c r="AJ132" s="13">
        <f>IF($A132="","",[1]!thsiFinD("ths_adjustment_nv_fund",AJ$3,$A132))</f>
        <v/>
      </c>
      <c r="AK132" s="13">
        <f>IF($A132="","",[1]!thsiFinD("ths_adjustment_nv_fund",AK$3,$A132))</f>
        <v/>
      </c>
      <c r="AL132" s="13">
        <f>IF($A132="","",[1]!thsiFinD("ths_adjustment_nv_fund",AL$3,$A132))</f>
        <v/>
      </c>
    </row>
    <row r="133" spans="1:28">
      <c r="A133" s="8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  <c r="AB133" s="13">
        <f>IF($A133="","",[1]!thsiFinD("ths_adjustment_nv_fund",AB$3,$A133))</f>
        <v/>
      </c>
      <c r="AC133" s="13">
        <f>IF($A133="","",[1]!thsiFinD("ths_adjustment_nv_fund",AC$3,$A133))</f>
        <v/>
      </c>
      <c r="AD133" s="13">
        <f>IF($A133="","",[1]!thsiFinD("ths_adjustment_nv_fund",AD$3,$A133))</f>
        <v/>
      </c>
      <c r="AE133" s="13">
        <f>IF($A133="","",[1]!thsiFinD("ths_adjustment_nv_fund",AE$3,$A133))</f>
        <v/>
      </c>
      <c r="AF133" s="13">
        <f>IF($A133="","",[1]!thsiFinD("ths_adjustment_nv_fund",AF$3,$A133))</f>
        <v/>
      </c>
      <c r="AG133" s="13">
        <f>IF($A133="","",[1]!thsiFinD("ths_adjustment_nv_fund",AG$3,$A133))</f>
        <v/>
      </c>
      <c r="AH133" s="13">
        <f>IF($A133="","",[1]!thsiFinD("ths_adjustment_nv_fund",AH$3,$A133))</f>
        <v/>
      </c>
      <c r="AI133" s="13">
        <f>IF($A133="","",[1]!thsiFinD("ths_adjustment_nv_fund",AI$3,$A133))</f>
        <v/>
      </c>
      <c r="AJ133" s="13">
        <f>IF($A133="","",[1]!thsiFinD("ths_adjustment_nv_fund",AJ$3,$A133))</f>
        <v/>
      </c>
      <c r="AK133" s="13">
        <f>IF($A133="","",[1]!thsiFinD("ths_adjustment_nv_fund",AK$3,$A133))</f>
        <v/>
      </c>
      <c r="AL133" s="13">
        <f>IF($A133="","",[1]!thsiFinD("ths_adjustment_nv_fund",AL$3,$A133))</f>
        <v/>
      </c>
    </row>
    <row r="134" spans="1:28"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>
        <f>IF($A134="","",[1]!thsiFinD("ths_adjustment_nv_fund",AB$3,$A134))</f>
        <v/>
      </c>
      <c r="AC134" s="13">
        <f>IF($A134="","",[1]!thsiFinD("ths_adjustment_nv_fund",AC$3,$A134))</f>
        <v/>
      </c>
      <c r="AD134" s="13">
        <f>IF($A134="","",[1]!thsiFinD("ths_adjustment_nv_fund",AD$3,$A134))</f>
        <v/>
      </c>
      <c r="AE134" s="13">
        <f>IF($A134="","",[1]!thsiFinD("ths_adjustment_nv_fund",AE$3,$A134))</f>
        <v/>
      </c>
      <c r="AF134" s="13">
        <f>IF($A134="","",[1]!thsiFinD("ths_adjustment_nv_fund",AF$3,$A134))</f>
        <v/>
      </c>
      <c r="AG134" s="13">
        <f>IF($A134="","",[1]!thsiFinD("ths_adjustment_nv_fund",AG$3,$A134))</f>
        <v/>
      </c>
      <c r="AH134" s="13">
        <f>IF($A134="","",[1]!thsiFinD("ths_adjustment_nv_fund",AH$3,$A134))</f>
        <v/>
      </c>
      <c r="AI134" s="13">
        <f>IF($A134="","",[1]!thsiFinD("ths_adjustment_nv_fund",AI$3,$A134))</f>
        <v/>
      </c>
      <c r="AJ134" s="13">
        <f>IF($A134="","",[1]!thsiFinD("ths_adjustment_nv_fund",AJ$3,$A134))</f>
        <v/>
      </c>
      <c r="AK134" s="13">
        <f>IF($A134="","",[1]!thsiFinD("ths_adjustment_nv_fund",AK$3,$A134))</f>
        <v/>
      </c>
      <c r="AL134" s="13">
        <f>IF($A134="","",[1]!thsiFinD("ths_adjustment_nv_fund",AL$3,$A134))</f>
        <v/>
      </c>
    </row>
    <row r="135" spans="1:28"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>
        <f>IF($A135="","",[1]!thsiFinD("ths_adjustment_nv_fund",AB$3,$A135))</f>
        <v/>
      </c>
      <c r="AC135" s="13">
        <f>IF($A135="","",[1]!thsiFinD("ths_adjustment_nv_fund",AC$3,$A135))</f>
        <v/>
      </c>
      <c r="AD135" s="13">
        <f>IF($A135="","",[1]!thsiFinD("ths_adjustment_nv_fund",AD$3,$A135))</f>
        <v/>
      </c>
      <c r="AE135" s="13">
        <f>IF($A135="","",[1]!thsiFinD("ths_adjustment_nv_fund",AE$3,$A135))</f>
        <v/>
      </c>
      <c r="AF135" s="13">
        <f>IF($A135="","",[1]!thsiFinD("ths_adjustment_nv_fund",AF$3,$A135))</f>
        <v/>
      </c>
      <c r="AG135" s="13">
        <f>IF($A135="","",[1]!thsiFinD("ths_adjustment_nv_fund",AG$3,$A135))</f>
        <v/>
      </c>
      <c r="AH135" s="13">
        <f>IF($A135="","",[1]!thsiFinD("ths_adjustment_nv_fund",AH$3,$A135))</f>
        <v/>
      </c>
      <c r="AI135" s="13">
        <f>IF($A135="","",[1]!thsiFinD("ths_adjustment_nv_fund",AI$3,$A135))</f>
        <v/>
      </c>
      <c r="AJ135" s="13">
        <f>IF($A135="","",[1]!thsiFinD("ths_adjustment_nv_fund",AJ$3,$A135))</f>
        <v/>
      </c>
      <c r="AK135" s="13">
        <f>IF($A135="","",[1]!thsiFinD("ths_adjustment_nv_fund",AK$3,$A135))</f>
        <v/>
      </c>
      <c r="AL135" s="13">
        <f>IF($A135="","",[1]!thsiFinD("ths_adjustment_nv_fund",AL$3,$A135))</f>
        <v/>
      </c>
    </row>
    <row r="136" spans="1:28"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>
        <f>IF($A136="","",[1]!thsiFinD("ths_adjustment_nv_fund",AB$3,$A136))</f>
        <v/>
      </c>
      <c r="AC136" s="13">
        <f>IF($A136="","",[1]!thsiFinD("ths_adjustment_nv_fund",AC$3,$A136))</f>
        <v/>
      </c>
      <c r="AD136" s="13">
        <f>IF($A136="","",[1]!thsiFinD("ths_adjustment_nv_fund",AD$3,$A136))</f>
        <v/>
      </c>
      <c r="AE136" s="13">
        <f>IF($A136="","",[1]!thsiFinD("ths_adjustment_nv_fund",AE$3,$A136))</f>
        <v/>
      </c>
      <c r="AF136" s="13">
        <f>IF($A136="","",[1]!thsiFinD("ths_adjustment_nv_fund",AF$3,$A136))</f>
        <v/>
      </c>
      <c r="AG136" s="13">
        <f>IF($A136="","",[1]!thsiFinD("ths_adjustment_nv_fund",AG$3,$A136))</f>
        <v/>
      </c>
      <c r="AH136" s="13">
        <f>IF($A136="","",[1]!thsiFinD("ths_adjustment_nv_fund",AH$3,$A136))</f>
        <v/>
      </c>
      <c r="AI136" s="13">
        <f>IF($A136="","",[1]!thsiFinD("ths_adjustment_nv_fund",AI$3,$A136))</f>
        <v/>
      </c>
      <c r="AJ136" s="13">
        <f>IF($A136="","",[1]!thsiFinD("ths_adjustment_nv_fund",AJ$3,$A136))</f>
        <v/>
      </c>
      <c r="AK136" s="13">
        <f>IF($A136="","",[1]!thsiFinD("ths_adjustment_nv_fund",AK$3,$A136))</f>
        <v/>
      </c>
      <c r="AL136" s="13">
        <f>IF($A136="","",[1]!thsiFinD("ths_adjustment_nv_fund",AL$3,$A136))</f>
        <v/>
      </c>
    </row>
    <row r="137" spans="1:28"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>
        <f>IF($A137="","",[1]!thsiFinD("ths_adjustment_nv_fund",AB$3,$A137))</f>
        <v/>
      </c>
      <c r="AC137" s="13">
        <f>IF($A137="","",[1]!thsiFinD("ths_adjustment_nv_fund",AC$3,$A137))</f>
        <v/>
      </c>
      <c r="AD137" s="13">
        <f>IF($A137="","",[1]!thsiFinD("ths_adjustment_nv_fund",AD$3,$A137))</f>
        <v/>
      </c>
      <c r="AE137" s="13">
        <f>IF($A137="","",[1]!thsiFinD("ths_adjustment_nv_fund",AE$3,$A137))</f>
        <v/>
      </c>
      <c r="AF137" s="13">
        <f>IF($A137="","",[1]!thsiFinD("ths_adjustment_nv_fund",AF$3,$A137))</f>
        <v/>
      </c>
      <c r="AG137" s="13">
        <f>IF($A137="","",[1]!thsiFinD("ths_adjustment_nv_fund",AG$3,$A137))</f>
        <v/>
      </c>
      <c r="AH137" s="13">
        <f>IF($A137="","",[1]!thsiFinD("ths_adjustment_nv_fund",AH$3,$A137))</f>
        <v/>
      </c>
      <c r="AI137" s="13">
        <f>IF($A137="","",[1]!thsiFinD("ths_adjustment_nv_fund",AI$3,$A137))</f>
        <v/>
      </c>
      <c r="AJ137" s="13">
        <f>IF($A137="","",[1]!thsiFinD("ths_adjustment_nv_fund",AJ$3,$A137))</f>
        <v/>
      </c>
      <c r="AK137" s="13">
        <f>IF($A137="","",[1]!thsiFinD("ths_adjustment_nv_fund",AK$3,$A137))</f>
        <v/>
      </c>
      <c r="AL137" s="13">
        <f>IF($A137="","",[1]!thsiFinD("ths_adjustment_nv_fund",AL$3,$A137))</f>
        <v/>
      </c>
    </row>
    <row r="138" spans="1:28"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>
        <f>IF($A138="","",[1]!thsiFinD("ths_adjustment_nv_fund",AB$3,$A138))</f>
        <v/>
      </c>
      <c r="AC138" s="13">
        <f>IF($A138="","",[1]!thsiFinD("ths_adjustment_nv_fund",AC$3,$A138))</f>
        <v/>
      </c>
      <c r="AD138" s="13">
        <f>IF($A138="","",[1]!thsiFinD("ths_adjustment_nv_fund",AD$3,$A138))</f>
        <v/>
      </c>
      <c r="AE138" s="13">
        <f>IF($A138="","",[1]!thsiFinD("ths_adjustment_nv_fund",AE$3,$A138))</f>
        <v/>
      </c>
      <c r="AF138" s="13">
        <f>IF($A138="","",[1]!thsiFinD("ths_adjustment_nv_fund",AF$3,$A138))</f>
        <v/>
      </c>
      <c r="AG138" s="13">
        <f>IF($A138="","",[1]!thsiFinD("ths_adjustment_nv_fund",AG$3,$A138))</f>
        <v/>
      </c>
      <c r="AH138" s="13">
        <f>IF($A138="","",[1]!thsiFinD("ths_adjustment_nv_fund",AH$3,$A138))</f>
        <v/>
      </c>
      <c r="AI138" s="13">
        <f>IF($A138="","",[1]!thsiFinD("ths_adjustment_nv_fund",AI$3,$A138))</f>
        <v/>
      </c>
      <c r="AJ138" s="13">
        <f>IF($A138="","",[1]!thsiFinD("ths_adjustment_nv_fund",AJ$3,$A138))</f>
        <v/>
      </c>
      <c r="AK138" s="13">
        <f>IF($A138="","",[1]!thsiFinD("ths_adjustment_nv_fund",AK$3,$A138))</f>
        <v/>
      </c>
      <c r="AL138" s="13">
        <f>IF($A138="","",[1]!thsiFinD("ths_adjustment_nv_fund",AL$3,$A138))</f>
        <v/>
      </c>
    </row>
    <row r="139" spans="1:28"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>
        <f>IF($A139="","",[1]!thsiFinD("ths_adjustment_nv_fund",AB$3,$A139))</f>
        <v/>
      </c>
      <c r="AC139" s="13">
        <f>IF($A139="","",[1]!thsiFinD("ths_adjustment_nv_fund",AC$3,$A139))</f>
        <v/>
      </c>
      <c r="AD139" s="13">
        <f>IF($A139="","",[1]!thsiFinD("ths_adjustment_nv_fund",AD$3,$A139))</f>
        <v/>
      </c>
      <c r="AE139" s="13">
        <f>IF($A139="","",[1]!thsiFinD("ths_adjustment_nv_fund",AE$3,$A139))</f>
        <v/>
      </c>
      <c r="AF139" s="13">
        <f>IF($A139="","",[1]!thsiFinD("ths_adjustment_nv_fund",AF$3,$A139))</f>
        <v/>
      </c>
      <c r="AG139" s="13">
        <f>IF($A139="","",[1]!thsiFinD("ths_adjustment_nv_fund",AG$3,$A139))</f>
        <v/>
      </c>
      <c r="AH139" s="13">
        <f>IF($A139="","",[1]!thsiFinD("ths_adjustment_nv_fund",AH$3,$A139))</f>
        <v/>
      </c>
      <c r="AI139" s="13">
        <f>IF($A139="","",[1]!thsiFinD("ths_adjustment_nv_fund",AI$3,$A139))</f>
        <v/>
      </c>
      <c r="AJ139" s="13">
        <f>IF($A139="","",[1]!thsiFinD("ths_adjustment_nv_fund",AJ$3,$A139))</f>
        <v/>
      </c>
      <c r="AK139" s="13">
        <f>IF($A139="","",[1]!thsiFinD("ths_adjustment_nv_fund",AK$3,$A139))</f>
        <v/>
      </c>
      <c r="AL139" s="13">
        <f>IF($A139="","",[1]!thsiFinD("ths_adjustment_nv_fund",AL$3,$A139))</f>
        <v/>
      </c>
    </row>
    <row r="140" spans="1:28"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>
        <f>IF($A140="","",[1]!thsiFinD("ths_adjustment_nv_fund",AB$3,$A140))</f>
        <v/>
      </c>
      <c r="AC140" s="13">
        <f>IF($A140="","",[1]!thsiFinD("ths_adjustment_nv_fund",AC$3,$A140))</f>
        <v/>
      </c>
      <c r="AD140" s="13">
        <f>IF($A140="","",[1]!thsiFinD("ths_adjustment_nv_fund",AD$3,$A140))</f>
        <v/>
      </c>
      <c r="AE140" s="13">
        <f>IF($A140="","",[1]!thsiFinD("ths_adjustment_nv_fund",AE$3,$A140))</f>
        <v/>
      </c>
      <c r="AF140" s="13">
        <f>IF($A140="","",[1]!thsiFinD("ths_adjustment_nv_fund",AF$3,$A140))</f>
        <v/>
      </c>
      <c r="AG140" s="13">
        <f>IF($A140="","",[1]!thsiFinD("ths_adjustment_nv_fund",AG$3,$A140))</f>
        <v/>
      </c>
      <c r="AH140" s="13">
        <f>IF($A140="","",[1]!thsiFinD("ths_adjustment_nv_fund",AH$3,$A140))</f>
        <v/>
      </c>
      <c r="AI140" s="13">
        <f>IF($A140="","",[1]!thsiFinD("ths_adjustment_nv_fund",AI$3,$A140))</f>
        <v/>
      </c>
      <c r="AJ140" s="13">
        <f>IF($A140="","",[1]!thsiFinD("ths_adjustment_nv_fund",AJ$3,$A140))</f>
        <v/>
      </c>
      <c r="AK140" s="13">
        <f>IF($A140="","",[1]!thsiFinD("ths_adjustment_nv_fund",AK$3,$A140))</f>
        <v/>
      </c>
      <c r="AL140" s="13">
        <f>IF($A140="","",[1]!thsiFinD("ths_adjustment_nv_fund",AL$3,$A140))</f>
        <v/>
      </c>
    </row>
    <row r="141" spans="1:28"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>
        <f>IF($A141="","",[1]!thsiFinD("ths_adjustment_nv_fund",AB$3,$A141))</f>
        <v/>
      </c>
      <c r="AC141" s="13">
        <f>IF($A141="","",[1]!thsiFinD("ths_adjustment_nv_fund",AC$3,$A141))</f>
        <v/>
      </c>
      <c r="AD141" s="13">
        <f>IF($A141="","",[1]!thsiFinD("ths_adjustment_nv_fund",AD$3,$A141))</f>
        <v/>
      </c>
      <c r="AE141" s="13">
        <f>IF($A141="","",[1]!thsiFinD("ths_adjustment_nv_fund",AE$3,$A141))</f>
        <v/>
      </c>
      <c r="AF141" s="13">
        <f>IF($A141="","",[1]!thsiFinD("ths_adjustment_nv_fund",AF$3,$A141))</f>
        <v/>
      </c>
      <c r="AG141" s="13">
        <f>IF($A141="","",[1]!thsiFinD("ths_adjustment_nv_fund",AG$3,$A141))</f>
        <v/>
      </c>
      <c r="AH141" s="13">
        <f>IF($A141="","",[1]!thsiFinD("ths_adjustment_nv_fund",AH$3,$A141))</f>
        <v/>
      </c>
      <c r="AI141" s="13">
        <f>IF($A141="","",[1]!thsiFinD("ths_adjustment_nv_fund",AI$3,$A141))</f>
        <v/>
      </c>
      <c r="AJ141" s="13">
        <f>IF($A141="","",[1]!thsiFinD("ths_adjustment_nv_fund",AJ$3,$A141))</f>
        <v/>
      </c>
      <c r="AK141" s="13">
        <f>IF($A141="","",[1]!thsiFinD("ths_adjustment_nv_fund",AK$3,$A141))</f>
        <v/>
      </c>
      <c r="AL141" s="13">
        <f>IF($A141="","",[1]!thsiFinD("ths_adjustment_nv_fund",AL$3,$A141))</f>
        <v/>
      </c>
    </row>
    <row r="142" spans="1:28"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>
        <f>IF($A142="","",[1]!thsiFinD("ths_adjustment_nv_fund",AB$3,$A142))</f>
        <v/>
      </c>
      <c r="AC142" s="13">
        <f>IF($A142="","",[1]!thsiFinD("ths_adjustment_nv_fund",AC$3,$A142))</f>
        <v/>
      </c>
      <c r="AD142" s="13">
        <f>IF($A142="","",[1]!thsiFinD("ths_adjustment_nv_fund",AD$3,$A142))</f>
        <v/>
      </c>
      <c r="AE142" s="13">
        <f>IF($A142="","",[1]!thsiFinD("ths_adjustment_nv_fund",AE$3,$A142))</f>
        <v/>
      </c>
      <c r="AF142" s="13">
        <f>IF($A142="","",[1]!thsiFinD("ths_adjustment_nv_fund",AF$3,$A142))</f>
        <v/>
      </c>
      <c r="AG142" s="13">
        <f>IF($A142="","",[1]!thsiFinD("ths_adjustment_nv_fund",AG$3,$A142))</f>
        <v/>
      </c>
      <c r="AH142" s="13">
        <f>IF($A142="","",[1]!thsiFinD("ths_adjustment_nv_fund",AH$3,$A142))</f>
        <v/>
      </c>
      <c r="AI142" s="13">
        <f>IF($A142="","",[1]!thsiFinD("ths_adjustment_nv_fund",AI$3,$A142))</f>
        <v/>
      </c>
      <c r="AJ142" s="13">
        <f>IF($A142="","",[1]!thsiFinD("ths_adjustment_nv_fund",AJ$3,$A142))</f>
        <v/>
      </c>
      <c r="AK142" s="13">
        <f>IF($A142="","",[1]!thsiFinD("ths_adjustment_nv_fund",AK$3,$A142))</f>
        <v/>
      </c>
      <c r="AL142" s="13">
        <f>IF($A142="","",[1]!thsiFinD("ths_adjustment_nv_fund",AL$3,$A142))</f>
        <v/>
      </c>
    </row>
    <row r="143" spans="1:28"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>
        <f>IF($A143="","",[1]!thsiFinD("ths_adjustment_nv_fund",AB$3,$A143))</f>
        <v/>
      </c>
      <c r="AC143" s="13">
        <f>IF($A143="","",[1]!thsiFinD("ths_adjustment_nv_fund",AC$3,$A143))</f>
        <v/>
      </c>
      <c r="AD143" s="13">
        <f>IF($A143="","",[1]!thsiFinD("ths_adjustment_nv_fund",AD$3,$A143))</f>
        <v/>
      </c>
      <c r="AE143" s="13">
        <f>IF($A143="","",[1]!thsiFinD("ths_adjustment_nv_fund",AE$3,$A143))</f>
        <v/>
      </c>
      <c r="AF143" s="13">
        <f>IF($A143="","",[1]!thsiFinD("ths_adjustment_nv_fund",AF$3,$A143))</f>
        <v/>
      </c>
      <c r="AG143" s="13">
        <f>IF($A143="","",[1]!thsiFinD("ths_adjustment_nv_fund",AG$3,$A143))</f>
        <v/>
      </c>
      <c r="AH143" s="13">
        <f>IF($A143="","",[1]!thsiFinD("ths_adjustment_nv_fund",AH$3,$A143))</f>
        <v/>
      </c>
      <c r="AI143" s="13">
        <f>IF($A143="","",[1]!thsiFinD("ths_adjustment_nv_fund",AI$3,$A143))</f>
        <v/>
      </c>
      <c r="AJ143" s="13">
        <f>IF($A143="","",[1]!thsiFinD("ths_adjustment_nv_fund",AJ$3,$A143))</f>
        <v/>
      </c>
      <c r="AK143" s="13">
        <f>IF($A143="","",[1]!thsiFinD("ths_adjustment_nv_fund",AK$3,$A143))</f>
        <v/>
      </c>
      <c r="AL143" s="13">
        <f>IF($A143="","",[1]!thsiFinD("ths_adjustment_nv_fund",AL$3,$A143))</f>
        <v/>
      </c>
    </row>
    <row r="144" spans="1:28"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>
        <f>IF($A144="","",[1]!thsiFinD("ths_adjustment_nv_fund",AB$3,$A144))</f>
        <v/>
      </c>
      <c r="AC144" s="13">
        <f>IF($A144="","",[1]!thsiFinD("ths_adjustment_nv_fund",AC$3,$A144))</f>
        <v/>
      </c>
      <c r="AD144" s="13">
        <f>IF($A144="","",[1]!thsiFinD("ths_adjustment_nv_fund",AD$3,$A144))</f>
        <v/>
      </c>
      <c r="AE144" s="13">
        <f>IF($A144="","",[1]!thsiFinD("ths_adjustment_nv_fund",AE$3,$A144))</f>
        <v/>
      </c>
      <c r="AF144" s="13">
        <f>IF($A144="","",[1]!thsiFinD("ths_adjustment_nv_fund",AF$3,$A144))</f>
        <v/>
      </c>
      <c r="AG144" s="13">
        <f>IF($A144="","",[1]!thsiFinD("ths_adjustment_nv_fund",AG$3,$A144))</f>
        <v/>
      </c>
      <c r="AH144" s="13">
        <f>IF($A144="","",[1]!thsiFinD("ths_adjustment_nv_fund",AH$3,$A144))</f>
        <v/>
      </c>
      <c r="AI144" s="13">
        <f>IF($A144="","",[1]!thsiFinD("ths_adjustment_nv_fund",AI$3,$A144))</f>
        <v/>
      </c>
      <c r="AJ144" s="13">
        <f>IF($A144="","",[1]!thsiFinD("ths_adjustment_nv_fund",AJ$3,$A144))</f>
        <v/>
      </c>
      <c r="AK144" s="13">
        <f>IF($A144="","",[1]!thsiFinD("ths_adjustment_nv_fund",AK$3,$A144))</f>
        <v/>
      </c>
      <c r="AL144" s="13">
        <f>IF($A144="","",[1]!thsiFinD("ths_adjustment_nv_fund",AL$3,$A144))</f>
        <v/>
      </c>
    </row>
    <row r="145" spans="2:28"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>
        <f>IF($A145="","",[1]!thsiFinD("ths_adjustment_nv_fund",AB$3,$A145))</f>
        <v/>
      </c>
      <c r="AC145" s="13">
        <f>IF($A145="","",[1]!thsiFinD("ths_adjustment_nv_fund",AC$3,$A145))</f>
        <v/>
      </c>
      <c r="AD145" s="13">
        <f>IF($A145="","",[1]!thsiFinD("ths_adjustment_nv_fund",AD$3,$A145))</f>
        <v/>
      </c>
      <c r="AE145" s="13">
        <f>IF($A145="","",[1]!thsiFinD("ths_adjustment_nv_fund",AE$3,$A145))</f>
        <v/>
      </c>
      <c r="AF145" s="13">
        <f>IF($A145="","",[1]!thsiFinD("ths_adjustment_nv_fund",AF$3,$A145))</f>
        <v/>
      </c>
      <c r="AG145" s="13">
        <f>IF($A145="","",[1]!thsiFinD("ths_adjustment_nv_fund",AG$3,$A145))</f>
        <v/>
      </c>
      <c r="AH145" s="13">
        <f>IF($A145="","",[1]!thsiFinD("ths_adjustment_nv_fund",AH$3,$A145))</f>
        <v/>
      </c>
      <c r="AI145" s="13">
        <f>IF($A145="","",[1]!thsiFinD("ths_adjustment_nv_fund",AI$3,$A145))</f>
        <v/>
      </c>
      <c r="AJ145" s="13">
        <f>IF($A145="","",[1]!thsiFinD("ths_adjustment_nv_fund",AJ$3,$A145))</f>
        <v/>
      </c>
      <c r="AK145" s="13">
        <f>IF($A145="","",[1]!thsiFinD("ths_adjustment_nv_fund",AK$3,$A145))</f>
        <v/>
      </c>
      <c r="AL145" s="13">
        <f>IF($A145="","",[1]!thsiFinD("ths_adjustment_nv_fund",AL$3,$A145))</f>
        <v/>
      </c>
    </row>
    <row r="146" spans="2:28"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>
        <f>IF($A146="","",[1]!thsiFinD("ths_adjustment_nv_fund",AB$3,$A146))</f>
        <v/>
      </c>
      <c r="AC146" s="13">
        <f>IF($A146="","",[1]!thsiFinD("ths_adjustment_nv_fund",AC$3,$A146))</f>
        <v/>
      </c>
      <c r="AD146" s="13">
        <f>IF($A146="","",[1]!thsiFinD("ths_adjustment_nv_fund",AD$3,$A146))</f>
        <v/>
      </c>
      <c r="AE146" s="13">
        <f>IF($A146="","",[1]!thsiFinD("ths_adjustment_nv_fund",AE$3,$A146))</f>
        <v/>
      </c>
      <c r="AF146" s="13">
        <f>IF($A146="","",[1]!thsiFinD("ths_adjustment_nv_fund",AF$3,$A146))</f>
        <v/>
      </c>
      <c r="AG146" s="13">
        <f>IF($A146="","",[1]!thsiFinD("ths_adjustment_nv_fund",AG$3,$A146))</f>
        <v/>
      </c>
      <c r="AH146" s="13">
        <f>IF($A146="","",[1]!thsiFinD("ths_adjustment_nv_fund",AH$3,$A146))</f>
        <v/>
      </c>
      <c r="AI146" s="13">
        <f>IF($A146="","",[1]!thsiFinD("ths_adjustment_nv_fund",AI$3,$A146))</f>
        <v/>
      </c>
      <c r="AJ146" s="13">
        <f>IF($A146="","",[1]!thsiFinD("ths_adjustment_nv_fund",AJ$3,$A146))</f>
        <v/>
      </c>
      <c r="AK146" s="13">
        <f>IF($A146="","",[1]!thsiFinD("ths_adjustment_nv_fund",AK$3,$A146))</f>
        <v/>
      </c>
      <c r="AL146" s="13">
        <f>IF($A146="","",[1]!thsiFinD("ths_adjustment_nv_fund",AL$3,$A146))</f>
        <v/>
      </c>
    </row>
    <row r="147" spans="2:28"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>
        <f>IF($A147="","",[1]!thsiFinD("ths_adjustment_nv_fund",AB$3,$A147))</f>
        <v/>
      </c>
      <c r="AC147" s="13">
        <f>IF($A147="","",[1]!thsiFinD("ths_adjustment_nv_fund",AC$3,$A147))</f>
        <v/>
      </c>
      <c r="AD147" s="13">
        <f>IF($A147="","",[1]!thsiFinD("ths_adjustment_nv_fund",AD$3,$A147))</f>
        <v/>
      </c>
      <c r="AE147" s="13">
        <f>IF($A147="","",[1]!thsiFinD("ths_adjustment_nv_fund",AE$3,$A147))</f>
        <v/>
      </c>
      <c r="AF147" s="13">
        <f>IF($A147="","",[1]!thsiFinD("ths_adjustment_nv_fund",AF$3,$A147))</f>
        <v/>
      </c>
      <c r="AG147" s="13">
        <f>IF($A147="","",[1]!thsiFinD("ths_adjustment_nv_fund",AG$3,$A147))</f>
        <v/>
      </c>
      <c r="AH147" s="13">
        <f>IF($A147="","",[1]!thsiFinD("ths_adjustment_nv_fund",AH$3,$A147))</f>
        <v/>
      </c>
      <c r="AI147" s="13">
        <f>IF($A147="","",[1]!thsiFinD("ths_adjustment_nv_fund",AI$3,$A147))</f>
        <v/>
      </c>
      <c r="AJ147" s="13">
        <f>IF($A147="","",[1]!thsiFinD("ths_adjustment_nv_fund",AJ$3,$A147))</f>
        <v/>
      </c>
      <c r="AK147" s="13">
        <f>IF($A147="","",[1]!thsiFinD("ths_adjustment_nv_fund",AK$3,$A147))</f>
        <v/>
      </c>
      <c r="AL147" s="13">
        <f>IF($A147="","",[1]!thsiFinD("ths_adjustment_nv_fund",AL$3,$A147))</f>
        <v/>
      </c>
    </row>
    <row r="148" spans="2:28"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>
        <f>IF($A148="","",[1]!thsiFinD("ths_adjustment_nv_fund",AB$3,$A148))</f>
        <v/>
      </c>
      <c r="AC148" s="13">
        <f>IF($A148="","",[1]!thsiFinD("ths_adjustment_nv_fund",AC$3,$A148))</f>
        <v/>
      </c>
      <c r="AD148" s="13">
        <f>IF($A148="","",[1]!thsiFinD("ths_adjustment_nv_fund",AD$3,$A148))</f>
        <v/>
      </c>
      <c r="AE148" s="13">
        <f>IF($A148="","",[1]!thsiFinD("ths_adjustment_nv_fund",AE$3,$A148))</f>
        <v/>
      </c>
      <c r="AF148" s="13">
        <f>IF($A148="","",[1]!thsiFinD("ths_adjustment_nv_fund",AF$3,$A148))</f>
        <v/>
      </c>
      <c r="AG148" s="13">
        <f>IF($A148="","",[1]!thsiFinD("ths_adjustment_nv_fund",AG$3,$A148))</f>
        <v/>
      </c>
      <c r="AH148" s="13">
        <f>IF($A148="","",[1]!thsiFinD("ths_adjustment_nv_fund",AH$3,$A148))</f>
        <v/>
      </c>
      <c r="AI148" s="13">
        <f>IF($A148="","",[1]!thsiFinD("ths_adjustment_nv_fund",AI$3,$A148))</f>
        <v/>
      </c>
      <c r="AJ148" s="13">
        <f>IF($A148="","",[1]!thsiFinD("ths_adjustment_nv_fund",AJ$3,$A148))</f>
        <v/>
      </c>
      <c r="AK148" s="13">
        <f>IF($A148="","",[1]!thsiFinD("ths_adjustment_nv_fund",AK$3,$A148))</f>
        <v/>
      </c>
      <c r="AL148" s="13">
        <f>IF($A148="","",[1]!thsiFinD("ths_adjustment_nv_fund",AL$3,$A148))</f>
        <v/>
      </c>
    </row>
    <row r="149" spans="2:28"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>
        <f>IF($A149="","",[1]!thsiFinD("ths_adjustment_nv_fund",AB$3,$A149))</f>
        <v/>
      </c>
      <c r="AC149" s="13">
        <f>IF($A149="","",[1]!thsiFinD("ths_adjustment_nv_fund",AC$3,$A149))</f>
        <v/>
      </c>
      <c r="AD149" s="13">
        <f>IF($A149="","",[1]!thsiFinD("ths_adjustment_nv_fund",AD$3,$A149))</f>
        <v/>
      </c>
      <c r="AE149" s="13">
        <f>IF($A149="","",[1]!thsiFinD("ths_adjustment_nv_fund",AE$3,$A149))</f>
        <v/>
      </c>
      <c r="AF149" s="13">
        <f>IF($A149="","",[1]!thsiFinD("ths_adjustment_nv_fund",AF$3,$A149))</f>
        <v/>
      </c>
      <c r="AG149" s="13">
        <f>IF($A149="","",[1]!thsiFinD("ths_adjustment_nv_fund",AG$3,$A149))</f>
        <v/>
      </c>
      <c r="AH149" s="13">
        <f>IF($A149="","",[1]!thsiFinD("ths_adjustment_nv_fund",AH$3,$A149))</f>
        <v/>
      </c>
      <c r="AI149" s="13">
        <f>IF($A149="","",[1]!thsiFinD("ths_adjustment_nv_fund",AI$3,$A149))</f>
        <v/>
      </c>
      <c r="AJ149" s="13">
        <f>IF($A149="","",[1]!thsiFinD("ths_adjustment_nv_fund",AJ$3,$A149))</f>
        <v/>
      </c>
      <c r="AK149" s="13">
        <f>IF($A149="","",[1]!thsiFinD("ths_adjustment_nv_fund",AK$3,$A149))</f>
        <v/>
      </c>
      <c r="AL149" s="13">
        <f>IF($A149="","",[1]!thsiFinD("ths_adjustment_nv_fund",AL$3,$A149))</f>
        <v/>
      </c>
    </row>
    <row r="150" spans="2:28"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>
        <f>IF($A150="","",[1]!thsiFinD("ths_adjustment_nv_fund",AB$3,$A150))</f>
        <v/>
      </c>
      <c r="AC150" s="13">
        <f>IF($A150="","",[1]!thsiFinD("ths_adjustment_nv_fund",AC$3,$A150))</f>
        <v/>
      </c>
      <c r="AD150" s="13">
        <f>IF($A150="","",[1]!thsiFinD("ths_adjustment_nv_fund",AD$3,$A150))</f>
        <v/>
      </c>
      <c r="AE150" s="13">
        <f>IF($A150="","",[1]!thsiFinD("ths_adjustment_nv_fund",AE$3,$A150))</f>
        <v/>
      </c>
      <c r="AF150" s="13">
        <f>IF($A150="","",[1]!thsiFinD("ths_adjustment_nv_fund",AF$3,$A150))</f>
        <v/>
      </c>
      <c r="AG150" s="13">
        <f>IF($A150="","",[1]!thsiFinD("ths_adjustment_nv_fund",AG$3,$A150))</f>
        <v/>
      </c>
      <c r="AH150" s="13">
        <f>IF($A150="","",[1]!thsiFinD("ths_adjustment_nv_fund",AH$3,$A150))</f>
        <v/>
      </c>
      <c r="AI150" s="13">
        <f>IF($A150="","",[1]!thsiFinD("ths_adjustment_nv_fund",AI$3,$A150))</f>
        <v/>
      </c>
      <c r="AJ150" s="13">
        <f>IF($A150="","",[1]!thsiFinD("ths_adjustment_nv_fund",AJ$3,$A150))</f>
        <v/>
      </c>
      <c r="AK150" s="13">
        <f>IF($A150="","",[1]!thsiFinD("ths_adjustment_nv_fund",AK$3,$A150))</f>
        <v/>
      </c>
      <c r="AL150" s="13">
        <f>IF($A150="","",[1]!thsiFinD("ths_adjustment_nv_fund",AL$3,$A150))</f>
        <v/>
      </c>
    </row>
    <row r="151" spans="2:28"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>
        <f>IF($A151="","",[1]!thsiFinD("ths_adjustment_nv_fund",AB$3,$A151))</f>
        <v/>
      </c>
      <c r="AC151" s="13">
        <f>IF($A151="","",[1]!thsiFinD("ths_adjustment_nv_fund",AC$3,$A151))</f>
        <v/>
      </c>
      <c r="AD151" s="13">
        <f>IF($A151="","",[1]!thsiFinD("ths_adjustment_nv_fund",AD$3,$A151))</f>
        <v/>
      </c>
      <c r="AE151" s="13">
        <f>IF($A151="","",[1]!thsiFinD("ths_adjustment_nv_fund",AE$3,$A151))</f>
        <v/>
      </c>
      <c r="AF151" s="13">
        <f>IF($A151="","",[1]!thsiFinD("ths_adjustment_nv_fund",AF$3,$A151))</f>
        <v/>
      </c>
      <c r="AG151" s="13">
        <f>IF($A151="","",[1]!thsiFinD("ths_adjustment_nv_fund",AG$3,$A151))</f>
        <v/>
      </c>
      <c r="AH151" s="13">
        <f>IF($A151="","",[1]!thsiFinD("ths_adjustment_nv_fund",AH$3,$A151))</f>
        <v/>
      </c>
      <c r="AI151" s="13">
        <f>IF($A151="","",[1]!thsiFinD("ths_adjustment_nv_fund",AI$3,$A151))</f>
        <v/>
      </c>
      <c r="AJ151" s="13">
        <f>IF($A151="","",[1]!thsiFinD("ths_adjustment_nv_fund",AJ$3,$A151))</f>
        <v/>
      </c>
      <c r="AK151" s="13">
        <f>IF($A151="","",[1]!thsiFinD("ths_adjustment_nv_fund",AK$3,$A151))</f>
        <v/>
      </c>
      <c r="AL151" s="13">
        <f>IF($A151="","",[1]!thsiFinD("ths_adjustment_nv_fund",AL$3,$A151))</f>
        <v/>
      </c>
    </row>
    <row r="152" spans="2:28"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>
        <f>IF($A152="","",[1]!thsiFinD("ths_adjustment_nv_fund",AB$3,$A152))</f>
        <v/>
      </c>
      <c r="AC152" s="13">
        <f>IF($A152="","",[1]!thsiFinD("ths_adjustment_nv_fund",AC$3,$A152))</f>
        <v/>
      </c>
      <c r="AD152" s="13">
        <f>IF($A152="","",[1]!thsiFinD("ths_adjustment_nv_fund",AD$3,$A152))</f>
        <v/>
      </c>
      <c r="AE152" s="13">
        <f>IF($A152="","",[1]!thsiFinD("ths_adjustment_nv_fund",AE$3,$A152))</f>
        <v/>
      </c>
      <c r="AF152" s="13">
        <f>IF($A152="","",[1]!thsiFinD("ths_adjustment_nv_fund",AF$3,$A152))</f>
        <v/>
      </c>
      <c r="AG152" s="13">
        <f>IF($A152="","",[1]!thsiFinD("ths_adjustment_nv_fund",AG$3,$A152))</f>
        <v/>
      </c>
      <c r="AH152" s="13">
        <f>IF($A152="","",[1]!thsiFinD("ths_adjustment_nv_fund",AH$3,$A152))</f>
        <v/>
      </c>
      <c r="AI152" s="13">
        <f>IF($A152="","",[1]!thsiFinD("ths_adjustment_nv_fund",AI$3,$A152))</f>
        <v/>
      </c>
      <c r="AJ152" s="13">
        <f>IF($A152="","",[1]!thsiFinD("ths_adjustment_nv_fund",AJ$3,$A152))</f>
        <v/>
      </c>
      <c r="AK152" s="13">
        <f>IF($A152="","",[1]!thsiFinD("ths_adjustment_nv_fund",AK$3,$A152))</f>
        <v/>
      </c>
      <c r="AL152" s="13">
        <f>IF($A152="","",[1]!thsiFinD("ths_adjustment_nv_fund",AL$3,$A152))</f>
        <v/>
      </c>
    </row>
    <row r="153" spans="2:28"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>
        <f>IF($A153="","",[1]!thsiFinD("ths_adjustment_nv_fund",AB$3,$A153))</f>
        <v/>
      </c>
      <c r="AC153" s="13">
        <f>IF($A153="","",[1]!thsiFinD("ths_adjustment_nv_fund",AC$3,$A153))</f>
        <v/>
      </c>
      <c r="AD153" s="13">
        <f>IF($A153="","",[1]!thsiFinD("ths_adjustment_nv_fund",AD$3,$A153))</f>
        <v/>
      </c>
      <c r="AE153" s="13">
        <f>IF($A153="","",[1]!thsiFinD("ths_adjustment_nv_fund",AE$3,$A153))</f>
        <v/>
      </c>
      <c r="AF153" s="13">
        <f>IF($A153="","",[1]!thsiFinD("ths_adjustment_nv_fund",AF$3,$A153))</f>
        <v/>
      </c>
      <c r="AG153" s="13">
        <f>IF($A153="","",[1]!thsiFinD("ths_adjustment_nv_fund",AG$3,$A153))</f>
        <v/>
      </c>
      <c r="AH153" s="13">
        <f>IF($A153="","",[1]!thsiFinD("ths_adjustment_nv_fund",AH$3,$A153))</f>
        <v/>
      </c>
      <c r="AI153" s="13">
        <f>IF($A153="","",[1]!thsiFinD("ths_adjustment_nv_fund",AI$3,$A153))</f>
        <v/>
      </c>
      <c r="AJ153" s="13">
        <f>IF($A153="","",[1]!thsiFinD("ths_adjustment_nv_fund",AJ$3,$A153))</f>
        <v/>
      </c>
      <c r="AK153" s="13">
        <f>IF($A153="","",[1]!thsiFinD("ths_adjustment_nv_fund",AK$3,$A153))</f>
        <v/>
      </c>
      <c r="AL153" s="13">
        <f>IF($A153="","",[1]!thsiFinD("ths_adjustment_nv_fund",AL$3,$A153))</f>
        <v/>
      </c>
    </row>
    <row r="154" spans="2:28"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>
        <f>IF($A154="","",[1]!thsiFinD("ths_adjustment_nv_fund",AB$3,$A154))</f>
        <v/>
      </c>
      <c r="AC154" s="13">
        <f>IF($A154="","",[1]!thsiFinD("ths_adjustment_nv_fund",AC$3,$A154))</f>
        <v/>
      </c>
      <c r="AD154" s="13">
        <f>IF($A154="","",[1]!thsiFinD("ths_adjustment_nv_fund",AD$3,$A154))</f>
        <v/>
      </c>
      <c r="AE154" s="13">
        <f>IF($A154="","",[1]!thsiFinD("ths_adjustment_nv_fund",AE$3,$A154))</f>
        <v/>
      </c>
      <c r="AF154" s="13">
        <f>IF($A154="","",[1]!thsiFinD("ths_adjustment_nv_fund",AF$3,$A154))</f>
        <v/>
      </c>
      <c r="AG154" s="13">
        <f>IF($A154="","",[1]!thsiFinD("ths_adjustment_nv_fund",AG$3,$A154))</f>
        <v/>
      </c>
      <c r="AH154" s="13">
        <f>IF($A154="","",[1]!thsiFinD("ths_adjustment_nv_fund",AH$3,$A154))</f>
        <v/>
      </c>
      <c r="AI154" s="13">
        <f>IF($A154="","",[1]!thsiFinD("ths_adjustment_nv_fund",AI$3,$A154))</f>
        <v/>
      </c>
      <c r="AJ154" s="13">
        <f>IF($A154="","",[1]!thsiFinD("ths_adjustment_nv_fund",AJ$3,$A154))</f>
        <v/>
      </c>
      <c r="AK154" s="13">
        <f>IF($A154="","",[1]!thsiFinD("ths_adjustment_nv_fund",AK$3,$A154))</f>
        <v/>
      </c>
      <c r="AL154" s="13">
        <f>IF($A154="","",[1]!thsiFinD("ths_adjustment_nv_fund",AL$3,$A154))</f>
        <v/>
      </c>
    </row>
    <row r="155" spans="2:28"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>
        <f>IF($A155="","",[1]!thsiFinD("ths_adjustment_nv_fund",AB$3,$A155))</f>
        <v/>
      </c>
      <c r="AC155" s="13">
        <f>IF($A155="","",[1]!thsiFinD("ths_adjustment_nv_fund",AC$3,$A155))</f>
        <v/>
      </c>
      <c r="AD155" s="13">
        <f>IF($A155="","",[1]!thsiFinD("ths_adjustment_nv_fund",AD$3,$A155))</f>
        <v/>
      </c>
      <c r="AE155" s="13">
        <f>IF($A155="","",[1]!thsiFinD("ths_adjustment_nv_fund",AE$3,$A155))</f>
        <v/>
      </c>
      <c r="AF155" s="13">
        <f>IF($A155="","",[1]!thsiFinD("ths_adjustment_nv_fund",AF$3,$A155))</f>
        <v/>
      </c>
      <c r="AG155" s="13">
        <f>IF($A155="","",[1]!thsiFinD("ths_adjustment_nv_fund",AG$3,$A155))</f>
        <v/>
      </c>
      <c r="AH155" s="13">
        <f>IF($A155="","",[1]!thsiFinD("ths_adjustment_nv_fund",AH$3,$A155))</f>
        <v/>
      </c>
      <c r="AI155" s="13">
        <f>IF($A155="","",[1]!thsiFinD("ths_adjustment_nv_fund",AI$3,$A155))</f>
        <v/>
      </c>
      <c r="AJ155" s="13">
        <f>IF($A155="","",[1]!thsiFinD("ths_adjustment_nv_fund",AJ$3,$A155))</f>
        <v/>
      </c>
      <c r="AK155" s="13">
        <f>IF($A155="","",[1]!thsiFinD("ths_adjustment_nv_fund",AK$3,$A155))</f>
        <v/>
      </c>
      <c r="AL155" s="13">
        <f>IF($A155="","",[1]!thsiFinD("ths_adjustment_nv_fund",AL$3,$A155))</f>
        <v/>
      </c>
    </row>
    <row r="156" spans="2:28"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>
        <f>IF($A156="","",[1]!thsiFinD("ths_adjustment_nv_fund",AB$3,$A156))</f>
        <v/>
      </c>
      <c r="AC156" s="13">
        <f>IF($A156="","",[1]!thsiFinD("ths_adjustment_nv_fund",AC$3,$A156))</f>
        <v/>
      </c>
      <c r="AD156" s="13">
        <f>IF($A156="","",[1]!thsiFinD("ths_adjustment_nv_fund",AD$3,$A156))</f>
        <v/>
      </c>
      <c r="AE156" s="13">
        <f>IF($A156="","",[1]!thsiFinD("ths_adjustment_nv_fund",AE$3,$A156))</f>
        <v/>
      </c>
      <c r="AF156" s="13">
        <f>IF($A156="","",[1]!thsiFinD("ths_adjustment_nv_fund",AF$3,$A156))</f>
        <v/>
      </c>
      <c r="AG156" s="13">
        <f>IF($A156="","",[1]!thsiFinD("ths_adjustment_nv_fund",AG$3,$A156))</f>
        <v/>
      </c>
      <c r="AH156" s="13">
        <f>IF($A156="","",[1]!thsiFinD("ths_adjustment_nv_fund",AH$3,$A156))</f>
        <v/>
      </c>
      <c r="AI156" s="13">
        <f>IF($A156="","",[1]!thsiFinD("ths_adjustment_nv_fund",AI$3,$A156))</f>
        <v/>
      </c>
      <c r="AJ156" s="13">
        <f>IF($A156="","",[1]!thsiFinD("ths_adjustment_nv_fund",AJ$3,$A156))</f>
        <v/>
      </c>
      <c r="AK156" s="13">
        <f>IF($A156="","",[1]!thsiFinD("ths_adjustment_nv_fund",AK$3,$A156))</f>
        <v/>
      </c>
      <c r="AL156" s="13">
        <f>IF($A156="","",[1]!thsiFinD("ths_adjustment_nv_fund",AL$3,$A156))</f>
        <v/>
      </c>
    </row>
    <row r="157" spans="2:28"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>
        <f>IF($A157="","",[1]!thsiFinD("ths_adjustment_nv_fund",AB$3,$A157))</f>
        <v/>
      </c>
      <c r="AC157" s="13">
        <f>IF($A157="","",[1]!thsiFinD("ths_adjustment_nv_fund",AC$3,$A157))</f>
        <v/>
      </c>
      <c r="AD157" s="13">
        <f>IF($A157="","",[1]!thsiFinD("ths_adjustment_nv_fund",AD$3,$A157))</f>
        <v/>
      </c>
      <c r="AE157" s="13">
        <f>IF($A157="","",[1]!thsiFinD("ths_adjustment_nv_fund",AE$3,$A157))</f>
        <v/>
      </c>
      <c r="AF157" s="13">
        <f>IF($A157="","",[1]!thsiFinD("ths_adjustment_nv_fund",AF$3,$A157))</f>
        <v/>
      </c>
      <c r="AG157" s="13">
        <f>IF($A157="","",[1]!thsiFinD("ths_adjustment_nv_fund",AG$3,$A157))</f>
        <v/>
      </c>
      <c r="AH157" s="13">
        <f>IF($A157="","",[1]!thsiFinD("ths_adjustment_nv_fund",AH$3,$A157))</f>
        <v/>
      </c>
      <c r="AI157" s="13">
        <f>IF($A157="","",[1]!thsiFinD("ths_adjustment_nv_fund",AI$3,$A157))</f>
        <v/>
      </c>
      <c r="AJ157" s="13">
        <f>IF($A157="","",[1]!thsiFinD("ths_adjustment_nv_fund",AJ$3,$A157))</f>
        <v/>
      </c>
      <c r="AK157" s="13">
        <f>IF($A157="","",[1]!thsiFinD("ths_adjustment_nv_fund",AK$3,$A157))</f>
        <v/>
      </c>
      <c r="AL157" s="13">
        <f>IF($A157="","",[1]!thsiFinD("ths_adjustment_nv_fund",AL$3,$A157))</f>
        <v/>
      </c>
    </row>
    <row r="158" spans="2:28"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>
        <f>IF($A158="","",[1]!thsiFinD("ths_adjustment_nv_fund",AB$3,$A158))</f>
        <v/>
      </c>
      <c r="AC158" s="13">
        <f>IF($A158="","",[1]!thsiFinD("ths_adjustment_nv_fund",AC$3,$A158))</f>
        <v/>
      </c>
      <c r="AD158" s="13">
        <f>IF($A158="","",[1]!thsiFinD("ths_adjustment_nv_fund",AD$3,$A158))</f>
        <v/>
      </c>
      <c r="AE158" s="13">
        <f>IF($A158="","",[1]!thsiFinD("ths_adjustment_nv_fund",AE$3,$A158))</f>
        <v/>
      </c>
      <c r="AF158" s="13">
        <f>IF($A158="","",[1]!thsiFinD("ths_adjustment_nv_fund",AF$3,$A158))</f>
        <v/>
      </c>
      <c r="AG158" s="13">
        <f>IF($A158="","",[1]!thsiFinD("ths_adjustment_nv_fund",AG$3,$A158))</f>
        <v/>
      </c>
      <c r="AH158" s="13">
        <f>IF($A158="","",[1]!thsiFinD("ths_adjustment_nv_fund",AH$3,$A158))</f>
        <v/>
      </c>
      <c r="AI158" s="13">
        <f>IF($A158="","",[1]!thsiFinD("ths_adjustment_nv_fund",AI$3,$A158))</f>
        <v/>
      </c>
      <c r="AJ158" s="13">
        <f>IF($A158="","",[1]!thsiFinD("ths_adjustment_nv_fund",AJ$3,$A158))</f>
        <v/>
      </c>
      <c r="AK158" s="13">
        <f>IF($A158="","",[1]!thsiFinD("ths_adjustment_nv_fund",AK$3,$A158))</f>
        <v/>
      </c>
      <c r="AL158" s="13">
        <f>IF($A158="","",[1]!thsiFinD("ths_adjustment_nv_fund",AL$3,$A158))</f>
        <v/>
      </c>
    </row>
    <row r="159" spans="2:28"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>
        <f>IF($A159="","",[1]!thsiFinD("ths_adjustment_nv_fund",AB$3,$A159))</f>
        <v/>
      </c>
      <c r="AC159" s="13">
        <f>IF($A159="","",[1]!thsiFinD("ths_adjustment_nv_fund",AC$3,$A159))</f>
        <v/>
      </c>
      <c r="AD159" s="13">
        <f>IF($A159="","",[1]!thsiFinD("ths_adjustment_nv_fund",AD$3,$A159))</f>
        <v/>
      </c>
      <c r="AE159" s="13">
        <f>IF($A159="","",[1]!thsiFinD("ths_adjustment_nv_fund",AE$3,$A159))</f>
        <v/>
      </c>
      <c r="AF159" s="13">
        <f>IF($A159="","",[1]!thsiFinD("ths_adjustment_nv_fund",AF$3,$A159))</f>
        <v/>
      </c>
      <c r="AG159" s="13">
        <f>IF($A159="","",[1]!thsiFinD("ths_adjustment_nv_fund",AG$3,$A159))</f>
        <v/>
      </c>
      <c r="AH159" s="13">
        <f>IF($A159="","",[1]!thsiFinD("ths_adjustment_nv_fund",AH$3,$A159))</f>
        <v/>
      </c>
      <c r="AI159" s="13">
        <f>IF($A159="","",[1]!thsiFinD("ths_adjustment_nv_fund",AI$3,$A159))</f>
        <v/>
      </c>
      <c r="AJ159" s="13">
        <f>IF($A159="","",[1]!thsiFinD("ths_adjustment_nv_fund",AJ$3,$A159))</f>
        <v/>
      </c>
      <c r="AK159" s="13">
        <f>IF($A159="","",[1]!thsiFinD("ths_adjustment_nv_fund",AK$3,$A159))</f>
        <v/>
      </c>
      <c r="AL159" s="13">
        <f>IF($A159="","",[1]!thsiFinD("ths_adjustment_nv_fund",AL$3,$A159))</f>
        <v/>
      </c>
    </row>
    <row r="160" spans="2:28"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>
        <f>IF($A160="","",[1]!thsiFinD("ths_adjustment_nv_fund",AB$3,$A160))</f>
        <v/>
      </c>
      <c r="AC160" s="13">
        <f>IF($A160="","",[1]!thsiFinD("ths_adjustment_nv_fund",AC$3,$A160))</f>
        <v/>
      </c>
      <c r="AD160" s="13">
        <f>IF($A160="","",[1]!thsiFinD("ths_adjustment_nv_fund",AD$3,$A160))</f>
        <v/>
      </c>
      <c r="AE160" s="13">
        <f>IF($A160="","",[1]!thsiFinD("ths_adjustment_nv_fund",AE$3,$A160))</f>
        <v/>
      </c>
      <c r="AF160" s="13">
        <f>IF($A160="","",[1]!thsiFinD("ths_adjustment_nv_fund",AF$3,$A160))</f>
        <v/>
      </c>
      <c r="AG160" s="13">
        <f>IF($A160="","",[1]!thsiFinD("ths_adjustment_nv_fund",AG$3,$A160))</f>
        <v/>
      </c>
      <c r="AH160" s="13">
        <f>IF($A160="","",[1]!thsiFinD("ths_adjustment_nv_fund",AH$3,$A160))</f>
        <v/>
      </c>
      <c r="AI160" s="13">
        <f>IF($A160="","",[1]!thsiFinD("ths_adjustment_nv_fund",AI$3,$A160))</f>
        <v/>
      </c>
      <c r="AJ160" s="13">
        <f>IF($A160="","",[1]!thsiFinD("ths_adjustment_nv_fund",AJ$3,$A160))</f>
        <v/>
      </c>
      <c r="AK160" s="13">
        <f>IF($A160="","",[1]!thsiFinD("ths_adjustment_nv_fund",AK$3,$A160))</f>
        <v/>
      </c>
      <c r="AL160" s="13">
        <f>IF($A160="","",[1]!thsiFinD("ths_adjustment_nv_fund",AL$3,$A160))</f>
        <v/>
      </c>
    </row>
    <row r="161" spans="2:28"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>
        <f>IF($A161="","",[1]!thsiFinD("ths_adjustment_nv_fund",AB$3,$A161))</f>
        <v/>
      </c>
      <c r="AC161" s="13">
        <f>IF($A161="","",[1]!thsiFinD("ths_adjustment_nv_fund",AC$3,$A161))</f>
        <v/>
      </c>
      <c r="AD161" s="13">
        <f>IF($A161="","",[1]!thsiFinD("ths_adjustment_nv_fund",AD$3,$A161))</f>
        <v/>
      </c>
      <c r="AE161" s="13">
        <f>IF($A161="","",[1]!thsiFinD("ths_adjustment_nv_fund",AE$3,$A161))</f>
        <v/>
      </c>
      <c r="AF161" s="13">
        <f>IF($A161="","",[1]!thsiFinD("ths_adjustment_nv_fund",AF$3,$A161))</f>
        <v/>
      </c>
      <c r="AG161" s="13">
        <f>IF($A161="","",[1]!thsiFinD("ths_adjustment_nv_fund",AG$3,$A161))</f>
        <v/>
      </c>
      <c r="AH161" s="13">
        <f>IF($A161="","",[1]!thsiFinD("ths_adjustment_nv_fund",AH$3,$A161))</f>
        <v/>
      </c>
      <c r="AI161" s="13">
        <f>IF($A161="","",[1]!thsiFinD("ths_adjustment_nv_fund",AI$3,$A161))</f>
        <v/>
      </c>
      <c r="AJ161" s="13">
        <f>IF($A161="","",[1]!thsiFinD("ths_adjustment_nv_fund",AJ$3,$A161))</f>
        <v/>
      </c>
      <c r="AK161" s="13">
        <f>IF($A161="","",[1]!thsiFinD("ths_adjustment_nv_fund",AK$3,$A161))</f>
        <v/>
      </c>
      <c r="AL161" s="13">
        <f>IF($A161="","",[1]!thsiFinD("ths_adjustment_nv_fund",AL$3,$A161))</f>
        <v/>
      </c>
    </row>
    <row r="162" spans="2:28"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>
        <f>IF($A162="","",[1]!thsiFinD("ths_adjustment_nv_fund",AB$3,$A162))</f>
        <v/>
      </c>
      <c r="AC162" s="13">
        <f>IF($A162="","",[1]!thsiFinD("ths_adjustment_nv_fund",AC$3,$A162))</f>
        <v/>
      </c>
      <c r="AD162" s="13">
        <f>IF($A162="","",[1]!thsiFinD("ths_adjustment_nv_fund",AD$3,$A162))</f>
        <v/>
      </c>
      <c r="AE162" s="13">
        <f>IF($A162="","",[1]!thsiFinD("ths_adjustment_nv_fund",AE$3,$A162))</f>
        <v/>
      </c>
      <c r="AF162" s="13">
        <f>IF($A162="","",[1]!thsiFinD("ths_adjustment_nv_fund",AF$3,$A162))</f>
        <v/>
      </c>
      <c r="AG162" s="13">
        <f>IF($A162="","",[1]!thsiFinD("ths_adjustment_nv_fund",AG$3,$A162))</f>
        <v/>
      </c>
      <c r="AH162" s="13">
        <f>IF($A162="","",[1]!thsiFinD("ths_adjustment_nv_fund",AH$3,$A162))</f>
        <v/>
      </c>
      <c r="AI162" s="13">
        <f>IF($A162="","",[1]!thsiFinD("ths_adjustment_nv_fund",AI$3,$A162))</f>
        <v/>
      </c>
      <c r="AJ162" s="13">
        <f>IF($A162="","",[1]!thsiFinD("ths_adjustment_nv_fund",AJ$3,$A162))</f>
        <v/>
      </c>
      <c r="AK162" s="13">
        <f>IF($A162="","",[1]!thsiFinD("ths_adjustment_nv_fund",AK$3,$A162))</f>
        <v/>
      </c>
      <c r="AL162" s="13">
        <f>IF($A162="","",[1]!thsiFinD("ths_adjustment_nv_fund",AL$3,$A162))</f>
        <v/>
      </c>
    </row>
    <row r="163" spans="2:28"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>
        <f>IF($A163="","",[1]!thsiFinD("ths_adjustment_nv_fund",AB$3,$A163))</f>
        <v/>
      </c>
      <c r="AC163" s="13">
        <f>IF($A163="","",[1]!thsiFinD("ths_adjustment_nv_fund",AC$3,$A163))</f>
        <v/>
      </c>
      <c r="AD163" s="13">
        <f>IF($A163="","",[1]!thsiFinD("ths_adjustment_nv_fund",AD$3,$A163))</f>
        <v/>
      </c>
      <c r="AE163" s="13">
        <f>IF($A163="","",[1]!thsiFinD("ths_adjustment_nv_fund",AE$3,$A163))</f>
        <v/>
      </c>
      <c r="AF163" s="13">
        <f>IF($A163="","",[1]!thsiFinD("ths_adjustment_nv_fund",AF$3,$A163))</f>
        <v/>
      </c>
      <c r="AG163" s="13">
        <f>IF($A163="","",[1]!thsiFinD("ths_adjustment_nv_fund",AG$3,$A163))</f>
        <v/>
      </c>
      <c r="AH163" s="13">
        <f>IF($A163="","",[1]!thsiFinD("ths_adjustment_nv_fund",AH$3,$A163))</f>
        <v/>
      </c>
      <c r="AI163" s="13">
        <f>IF($A163="","",[1]!thsiFinD("ths_adjustment_nv_fund",AI$3,$A163))</f>
        <v/>
      </c>
      <c r="AJ163" s="13">
        <f>IF($A163="","",[1]!thsiFinD("ths_adjustment_nv_fund",AJ$3,$A163))</f>
        <v/>
      </c>
      <c r="AK163" s="13">
        <f>IF($A163="","",[1]!thsiFinD("ths_adjustment_nv_fund",AK$3,$A163))</f>
        <v/>
      </c>
      <c r="AL163" s="13">
        <f>IF($A163="","",[1]!thsiFinD("ths_adjustment_nv_fund",AL$3,$A163))</f>
        <v/>
      </c>
    </row>
    <row r="164" spans="2:28"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>
        <f>IF($A164="","",[1]!thsiFinD("ths_adjustment_nv_fund",AB$3,$A164))</f>
        <v/>
      </c>
      <c r="AC164" s="13">
        <f>IF($A164="","",[1]!thsiFinD("ths_adjustment_nv_fund",AC$3,$A164))</f>
        <v/>
      </c>
      <c r="AD164" s="13">
        <f>IF($A164="","",[1]!thsiFinD("ths_adjustment_nv_fund",AD$3,$A164))</f>
        <v/>
      </c>
      <c r="AE164" s="13">
        <f>IF($A164="","",[1]!thsiFinD("ths_adjustment_nv_fund",AE$3,$A164))</f>
        <v/>
      </c>
      <c r="AF164" s="13">
        <f>IF($A164="","",[1]!thsiFinD("ths_adjustment_nv_fund",AF$3,$A164))</f>
        <v/>
      </c>
      <c r="AG164" s="13">
        <f>IF($A164="","",[1]!thsiFinD("ths_adjustment_nv_fund",AG$3,$A164))</f>
        <v/>
      </c>
      <c r="AH164" s="13">
        <f>IF($A164="","",[1]!thsiFinD("ths_adjustment_nv_fund",AH$3,$A164))</f>
        <v/>
      </c>
      <c r="AI164" s="13">
        <f>IF($A164="","",[1]!thsiFinD("ths_adjustment_nv_fund",AI$3,$A164))</f>
        <v/>
      </c>
      <c r="AJ164" s="13">
        <f>IF($A164="","",[1]!thsiFinD("ths_adjustment_nv_fund",AJ$3,$A164))</f>
        <v/>
      </c>
      <c r="AK164" s="13">
        <f>IF($A164="","",[1]!thsiFinD("ths_adjustment_nv_fund",AK$3,$A164))</f>
        <v/>
      </c>
      <c r="AL164" s="13">
        <f>IF($A164="","",[1]!thsiFinD("ths_adjustment_nv_fund",AL$3,$A164))</f>
        <v/>
      </c>
    </row>
    <row r="165" spans="2:28"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>
        <f>IF($A165="","",[1]!thsiFinD("ths_adjustment_nv_fund",AB$3,$A165))</f>
        <v/>
      </c>
      <c r="AC165" s="13">
        <f>IF($A165="","",[1]!thsiFinD("ths_adjustment_nv_fund",AC$3,$A165))</f>
        <v/>
      </c>
      <c r="AD165" s="13">
        <f>IF($A165="","",[1]!thsiFinD("ths_adjustment_nv_fund",AD$3,$A165))</f>
        <v/>
      </c>
      <c r="AE165" s="13">
        <f>IF($A165="","",[1]!thsiFinD("ths_adjustment_nv_fund",AE$3,$A165))</f>
        <v/>
      </c>
      <c r="AF165" s="13">
        <f>IF($A165="","",[1]!thsiFinD("ths_adjustment_nv_fund",AF$3,$A165))</f>
        <v/>
      </c>
      <c r="AG165" s="13">
        <f>IF($A165="","",[1]!thsiFinD("ths_adjustment_nv_fund",AG$3,$A165))</f>
        <v/>
      </c>
      <c r="AH165" s="13">
        <f>IF($A165="","",[1]!thsiFinD("ths_adjustment_nv_fund",AH$3,$A165))</f>
        <v/>
      </c>
      <c r="AI165" s="13">
        <f>IF($A165="","",[1]!thsiFinD("ths_adjustment_nv_fund",AI$3,$A165))</f>
        <v/>
      </c>
      <c r="AJ165" s="13">
        <f>IF($A165="","",[1]!thsiFinD("ths_adjustment_nv_fund",AJ$3,$A165))</f>
        <v/>
      </c>
      <c r="AK165" s="13">
        <f>IF($A165="","",[1]!thsiFinD("ths_adjustment_nv_fund",AK$3,$A165))</f>
        <v/>
      </c>
      <c r="AL165" s="13">
        <f>IF($A165="","",[1]!thsiFinD("ths_adjustment_nv_fund",AL$3,$A165))</f>
        <v/>
      </c>
    </row>
    <row r="166" spans="2:28"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>
        <f>IF($A166="","",[1]!thsiFinD("ths_adjustment_nv_fund",AB$3,$A166))</f>
        <v/>
      </c>
      <c r="AC166" s="13">
        <f>IF($A166="","",[1]!thsiFinD("ths_adjustment_nv_fund",AC$3,$A166))</f>
        <v/>
      </c>
      <c r="AD166" s="13">
        <f>IF($A166="","",[1]!thsiFinD("ths_adjustment_nv_fund",AD$3,$A166))</f>
        <v/>
      </c>
      <c r="AE166" s="13">
        <f>IF($A166="","",[1]!thsiFinD("ths_adjustment_nv_fund",AE$3,$A166))</f>
        <v/>
      </c>
      <c r="AF166" s="13">
        <f>IF($A166="","",[1]!thsiFinD("ths_adjustment_nv_fund",AF$3,$A166))</f>
        <v/>
      </c>
      <c r="AG166" s="13">
        <f>IF($A166="","",[1]!thsiFinD("ths_adjustment_nv_fund",AG$3,$A166))</f>
        <v/>
      </c>
      <c r="AH166" s="13">
        <f>IF($A166="","",[1]!thsiFinD("ths_adjustment_nv_fund",AH$3,$A166))</f>
        <v/>
      </c>
      <c r="AI166" s="13">
        <f>IF($A166="","",[1]!thsiFinD("ths_adjustment_nv_fund",AI$3,$A166))</f>
        <v/>
      </c>
      <c r="AJ166" s="13">
        <f>IF($A166="","",[1]!thsiFinD("ths_adjustment_nv_fund",AJ$3,$A166))</f>
        <v/>
      </c>
      <c r="AK166" s="13">
        <f>IF($A166="","",[1]!thsiFinD("ths_adjustment_nv_fund",AK$3,$A166))</f>
        <v/>
      </c>
      <c r="AL166" s="13">
        <f>IF($A166="","",[1]!thsiFinD("ths_adjustment_nv_fund",AL$3,$A166))</f>
        <v/>
      </c>
    </row>
    <row r="167" spans="2:28"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>
        <f>IF($A167="","",[1]!thsiFinD("ths_adjustment_nv_fund",AB$3,$A167))</f>
        <v/>
      </c>
      <c r="AC167" s="13">
        <f>IF($A167="","",[1]!thsiFinD("ths_adjustment_nv_fund",AC$3,$A167))</f>
        <v/>
      </c>
      <c r="AD167" s="13">
        <f>IF($A167="","",[1]!thsiFinD("ths_adjustment_nv_fund",AD$3,$A167))</f>
        <v/>
      </c>
      <c r="AE167" s="13">
        <f>IF($A167="","",[1]!thsiFinD("ths_adjustment_nv_fund",AE$3,$A167))</f>
        <v/>
      </c>
      <c r="AF167" s="13">
        <f>IF($A167="","",[1]!thsiFinD("ths_adjustment_nv_fund",AF$3,$A167))</f>
        <v/>
      </c>
      <c r="AG167" s="13">
        <f>IF($A167="","",[1]!thsiFinD("ths_adjustment_nv_fund",AG$3,$A167))</f>
        <v/>
      </c>
      <c r="AH167" s="13">
        <f>IF($A167="","",[1]!thsiFinD("ths_adjustment_nv_fund",AH$3,$A167))</f>
        <v/>
      </c>
      <c r="AI167" s="13">
        <f>IF($A167="","",[1]!thsiFinD("ths_adjustment_nv_fund",AI$3,$A167))</f>
        <v/>
      </c>
      <c r="AJ167" s="13">
        <f>IF($A167="","",[1]!thsiFinD("ths_adjustment_nv_fund",AJ$3,$A167))</f>
        <v/>
      </c>
      <c r="AK167" s="13">
        <f>IF($A167="","",[1]!thsiFinD("ths_adjustment_nv_fund",AK$3,$A167))</f>
        <v/>
      </c>
      <c r="AL167" s="13">
        <f>IF($A167="","",[1]!thsiFinD("ths_adjustment_nv_fund",AL$3,$A167))</f>
        <v/>
      </c>
    </row>
    <row r="168" spans="2:28"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>
        <f>IF($A168="","",[1]!thsiFinD("ths_adjustment_nv_fund",AB$3,$A168))</f>
        <v/>
      </c>
      <c r="AC168" s="13">
        <f>IF($A168="","",[1]!thsiFinD("ths_adjustment_nv_fund",AC$3,$A168))</f>
        <v/>
      </c>
      <c r="AD168" s="13">
        <f>IF($A168="","",[1]!thsiFinD("ths_adjustment_nv_fund",AD$3,$A168))</f>
        <v/>
      </c>
      <c r="AE168" s="13">
        <f>IF($A168="","",[1]!thsiFinD("ths_adjustment_nv_fund",AE$3,$A168))</f>
        <v/>
      </c>
      <c r="AF168" s="13">
        <f>IF($A168="","",[1]!thsiFinD("ths_adjustment_nv_fund",AF$3,$A168))</f>
        <v/>
      </c>
      <c r="AG168" s="13">
        <f>IF($A168="","",[1]!thsiFinD("ths_adjustment_nv_fund",AG$3,$A168))</f>
        <v/>
      </c>
      <c r="AH168" s="13">
        <f>IF($A168="","",[1]!thsiFinD("ths_adjustment_nv_fund",AH$3,$A168))</f>
        <v/>
      </c>
      <c r="AI168" s="13">
        <f>IF($A168="","",[1]!thsiFinD("ths_adjustment_nv_fund",AI$3,$A168))</f>
        <v/>
      </c>
      <c r="AJ168" s="13">
        <f>IF($A168="","",[1]!thsiFinD("ths_adjustment_nv_fund",AJ$3,$A168))</f>
        <v/>
      </c>
      <c r="AK168" s="13">
        <f>IF($A168="","",[1]!thsiFinD("ths_adjustment_nv_fund",AK$3,$A168))</f>
        <v/>
      </c>
      <c r="AL168" s="13">
        <f>IF($A168="","",[1]!thsiFinD("ths_adjustment_nv_fund",AL$3,$A168))</f>
        <v/>
      </c>
    </row>
    <row r="169" spans="2:28"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>
        <f>IF($A169="","",[1]!thsiFinD("ths_adjustment_nv_fund",AB$3,$A169))</f>
        <v/>
      </c>
      <c r="AC169" s="13">
        <f>IF($A169="","",[1]!thsiFinD("ths_adjustment_nv_fund",AC$3,$A169))</f>
        <v/>
      </c>
      <c r="AD169" s="13">
        <f>IF($A169="","",[1]!thsiFinD("ths_adjustment_nv_fund",AD$3,$A169))</f>
        <v/>
      </c>
      <c r="AE169" s="13">
        <f>IF($A169="","",[1]!thsiFinD("ths_adjustment_nv_fund",AE$3,$A169))</f>
        <v/>
      </c>
      <c r="AF169" s="13">
        <f>IF($A169="","",[1]!thsiFinD("ths_adjustment_nv_fund",AF$3,$A169))</f>
        <v/>
      </c>
      <c r="AG169" s="13">
        <f>IF($A169="","",[1]!thsiFinD("ths_adjustment_nv_fund",AG$3,$A169))</f>
        <v/>
      </c>
      <c r="AH169" s="13">
        <f>IF($A169="","",[1]!thsiFinD("ths_adjustment_nv_fund",AH$3,$A169))</f>
        <v/>
      </c>
      <c r="AI169" s="13">
        <f>IF($A169="","",[1]!thsiFinD("ths_adjustment_nv_fund",AI$3,$A169))</f>
        <v/>
      </c>
      <c r="AJ169" s="13">
        <f>IF($A169="","",[1]!thsiFinD("ths_adjustment_nv_fund",AJ$3,$A169))</f>
        <v/>
      </c>
      <c r="AK169" s="13">
        <f>IF($A169="","",[1]!thsiFinD("ths_adjustment_nv_fund",AK$3,$A169))</f>
        <v/>
      </c>
      <c r="AL169" s="13">
        <f>IF($A169="","",[1]!thsiFinD("ths_adjustment_nv_fund",AL$3,$A169))</f>
        <v/>
      </c>
    </row>
    <row r="170" spans="2:28"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>
        <f>IF($A170="","",[1]!thsiFinD("ths_adjustment_nv_fund",AB$3,$A170))</f>
        <v/>
      </c>
      <c r="AC170" s="13">
        <f>IF($A170="","",[1]!thsiFinD("ths_adjustment_nv_fund",AC$3,$A170))</f>
        <v/>
      </c>
      <c r="AD170" s="13">
        <f>IF($A170="","",[1]!thsiFinD("ths_adjustment_nv_fund",AD$3,$A170))</f>
        <v/>
      </c>
      <c r="AE170" s="13">
        <f>IF($A170="","",[1]!thsiFinD("ths_adjustment_nv_fund",AE$3,$A170))</f>
        <v/>
      </c>
      <c r="AF170" s="13">
        <f>IF($A170="","",[1]!thsiFinD("ths_adjustment_nv_fund",AF$3,$A170))</f>
        <v/>
      </c>
      <c r="AG170" s="13">
        <f>IF($A170="","",[1]!thsiFinD("ths_adjustment_nv_fund",AG$3,$A170))</f>
        <v/>
      </c>
      <c r="AH170" s="13">
        <f>IF($A170="","",[1]!thsiFinD("ths_adjustment_nv_fund",AH$3,$A170))</f>
        <v/>
      </c>
      <c r="AI170" s="13">
        <f>IF($A170="","",[1]!thsiFinD("ths_adjustment_nv_fund",AI$3,$A170))</f>
        <v/>
      </c>
      <c r="AJ170" s="13">
        <f>IF($A170="","",[1]!thsiFinD("ths_adjustment_nv_fund",AJ$3,$A170))</f>
        <v/>
      </c>
      <c r="AK170" s="13">
        <f>IF($A170="","",[1]!thsiFinD("ths_adjustment_nv_fund",AK$3,$A170))</f>
        <v/>
      </c>
      <c r="AL170" s="13">
        <f>IF($A170="","",[1]!thsiFinD("ths_adjustment_nv_fund",AL$3,$A170))</f>
        <v/>
      </c>
    </row>
    <row r="171" spans="2:28"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>
        <f>IF($A171="","",[1]!thsiFinD("ths_adjustment_nv_fund",AB$3,$A171))</f>
        <v/>
      </c>
      <c r="AC171" s="13">
        <f>IF($A171="","",[1]!thsiFinD("ths_adjustment_nv_fund",AC$3,$A171))</f>
        <v/>
      </c>
      <c r="AD171" s="13">
        <f>IF($A171="","",[1]!thsiFinD("ths_adjustment_nv_fund",AD$3,$A171))</f>
        <v/>
      </c>
      <c r="AE171" s="13">
        <f>IF($A171="","",[1]!thsiFinD("ths_adjustment_nv_fund",AE$3,$A171))</f>
        <v/>
      </c>
      <c r="AF171" s="13">
        <f>IF($A171="","",[1]!thsiFinD("ths_adjustment_nv_fund",AF$3,$A171))</f>
        <v/>
      </c>
      <c r="AG171" s="13">
        <f>IF($A171="","",[1]!thsiFinD("ths_adjustment_nv_fund",AG$3,$A171))</f>
        <v/>
      </c>
      <c r="AH171" s="13">
        <f>IF($A171="","",[1]!thsiFinD("ths_adjustment_nv_fund",AH$3,$A171))</f>
        <v/>
      </c>
      <c r="AI171" s="13">
        <f>IF($A171="","",[1]!thsiFinD("ths_adjustment_nv_fund",AI$3,$A171))</f>
        <v/>
      </c>
      <c r="AJ171" s="13">
        <f>IF($A171="","",[1]!thsiFinD("ths_adjustment_nv_fund",AJ$3,$A171))</f>
        <v/>
      </c>
      <c r="AK171" s="13">
        <f>IF($A171="","",[1]!thsiFinD("ths_adjustment_nv_fund",AK$3,$A171))</f>
        <v/>
      </c>
      <c r="AL171" s="13">
        <f>IF($A171="","",[1]!thsiFinD("ths_adjustment_nv_fund",AL$3,$A171))</f>
        <v/>
      </c>
    </row>
    <row r="172" spans="2:28"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>
        <f>IF($A172="","",[1]!thsiFinD("ths_adjustment_nv_fund",AB$3,$A172))</f>
        <v/>
      </c>
      <c r="AC172" s="13">
        <f>IF($A172="","",[1]!thsiFinD("ths_adjustment_nv_fund",AC$3,$A172))</f>
        <v/>
      </c>
      <c r="AD172" s="13">
        <f>IF($A172="","",[1]!thsiFinD("ths_adjustment_nv_fund",AD$3,$A172))</f>
        <v/>
      </c>
      <c r="AE172" s="13">
        <f>IF($A172="","",[1]!thsiFinD("ths_adjustment_nv_fund",AE$3,$A172))</f>
        <v/>
      </c>
      <c r="AF172" s="13">
        <f>IF($A172="","",[1]!thsiFinD("ths_adjustment_nv_fund",AF$3,$A172))</f>
        <v/>
      </c>
      <c r="AG172" s="13">
        <f>IF($A172="","",[1]!thsiFinD("ths_adjustment_nv_fund",AG$3,$A172))</f>
        <v/>
      </c>
      <c r="AH172" s="13">
        <f>IF($A172="","",[1]!thsiFinD("ths_adjustment_nv_fund",AH$3,$A172))</f>
        <v/>
      </c>
      <c r="AI172" s="13">
        <f>IF($A172="","",[1]!thsiFinD("ths_adjustment_nv_fund",AI$3,$A172))</f>
        <v/>
      </c>
      <c r="AJ172" s="13">
        <f>IF($A172="","",[1]!thsiFinD("ths_adjustment_nv_fund",AJ$3,$A172))</f>
        <v/>
      </c>
      <c r="AK172" s="13">
        <f>IF($A172="","",[1]!thsiFinD("ths_adjustment_nv_fund",AK$3,$A172))</f>
        <v/>
      </c>
      <c r="AL172" s="13">
        <f>IF($A172="","",[1]!thsiFinD("ths_adjustment_nv_fund",AL$3,$A172))</f>
        <v/>
      </c>
    </row>
    <row r="173" spans="2:28"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>
        <f>IF($A173="","",[1]!thsiFinD("ths_adjustment_nv_fund",AB$3,$A173))</f>
        <v/>
      </c>
      <c r="AC173" s="13">
        <f>IF($A173="","",[1]!thsiFinD("ths_adjustment_nv_fund",AC$3,$A173))</f>
        <v/>
      </c>
      <c r="AD173" s="13">
        <f>IF($A173="","",[1]!thsiFinD("ths_adjustment_nv_fund",AD$3,$A173))</f>
        <v/>
      </c>
      <c r="AE173" s="13">
        <f>IF($A173="","",[1]!thsiFinD("ths_adjustment_nv_fund",AE$3,$A173))</f>
        <v/>
      </c>
      <c r="AF173" s="13">
        <f>IF($A173="","",[1]!thsiFinD("ths_adjustment_nv_fund",AF$3,$A173))</f>
        <v/>
      </c>
      <c r="AG173" s="13">
        <f>IF($A173="","",[1]!thsiFinD("ths_adjustment_nv_fund",AG$3,$A173))</f>
        <v/>
      </c>
      <c r="AH173" s="13">
        <f>IF($A173="","",[1]!thsiFinD("ths_adjustment_nv_fund",AH$3,$A173))</f>
        <v/>
      </c>
      <c r="AI173" s="13">
        <f>IF($A173="","",[1]!thsiFinD("ths_adjustment_nv_fund",AI$3,$A173))</f>
        <v/>
      </c>
      <c r="AJ173" s="13">
        <f>IF($A173="","",[1]!thsiFinD("ths_adjustment_nv_fund",AJ$3,$A173))</f>
        <v/>
      </c>
      <c r="AK173" s="13">
        <f>IF($A173="","",[1]!thsiFinD("ths_adjustment_nv_fund",AK$3,$A173))</f>
        <v/>
      </c>
      <c r="AL173" s="13">
        <f>IF($A173="","",[1]!thsiFinD("ths_adjustment_nv_fund",AL$3,$A173))</f>
        <v/>
      </c>
    </row>
    <row r="174" spans="2:28"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>
        <f>IF($A174="","",[1]!thsiFinD("ths_adjustment_nv_fund",AB$3,$A174))</f>
        <v/>
      </c>
      <c r="AC174" s="13">
        <f>IF($A174="","",[1]!thsiFinD("ths_adjustment_nv_fund",AC$3,$A174))</f>
        <v/>
      </c>
      <c r="AD174" s="13">
        <f>IF($A174="","",[1]!thsiFinD("ths_adjustment_nv_fund",AD$3,$A174))</f>
        <v/>
      </c>
      <c r="AE174" s="13">
        <f>IF($A174="","",[1]!thsiFinD("ths_adjustment_nv_fund",AE$3,$A174))</f>
        <v/>
      </c>
      <c r="AF174" s="13">
        <f>IF($A174="","",[1]!thsiFinD("ths_adjustment_nv_fund",AF$3,$A174))</f>
        <v/>
      </c>
      <c r="AG174" s="13">
        <f>IF($A174="","",[1]!thsiFinD("ths_adjustment_nv_fund",AG$3,$A174))</f>
        <v/>
      </c>
      <c r="AH174" s="13">
        <f>IF($A174="","",[1]!thsiFinD("ths_adjustment_nv_fund",AH$3,$A174))</f>
        <v/>
      </c>
      <c r="AI174" s="13">
        <f>IF($A174="","",[1]!thsiFinD("ths_adjustment_nv_fund",AI$3,$A174))</f>
        <v/>
      </c>
      <c r="AJ174" s="13">
        <f>IF($A174="","",[1]!thsiFinD("ths_adjustment_nv_fund",AJ$3,$A174))</f>
        <v/>
      </c>
      <c r="AK174" s="13">
        <f>IF($A174="","",[1]!thsiFinD("ths_adjustment_nv_fund",AK$3,$A174))</f>
        <v/>
      </c>
      <c r="AL174" s="13">
        <f>IF($A174="","",[1]!thsiFinD("ths_adjustment_nv_fund",AL$3,$A174))</f>
        <v/>
      </c>
    </row>
    <row r="175" spans="2:28"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>
        <f>IF($A175="","",[1]!thsiFinD("ths_adjustment_nv_fund",AB$3,$A175))</f>
        <v/>
      </c>
      <c r="AC175" s="13">
        <f>IF($A175="","",[1]!thsiFinD("ths_adjustment_nv_fund",AC$3,$A175))</f>
        <v/>
      </c>
      <c r="AD175" s="13">
        <f>IF($A175="","",[1]!thsiFinD("ths_adjustment_nv_fund",AD$3,$A175))</f>
        <v/>
      </c>
      <c r="AE175" s="13">
        <f>IF($A175="","",[1]!thsiFinD("ths_adjustment_nv_fund",AE$3,$A175))</f>
        <v/>
      </c>
      <c r="AF175" s="13">
        <f>IF($A175="","",[1]!thsiFinD("ths_adjustment_nv_fund",AF$3,$A175))</f>
        <v/>
      </c>
      <c r="AG175" s="13">
        <f>IF($A175="","",[1]!thsiFinD("ths_adjustment_nv_fund",AG$3,$A175))</f>
        <v/>
      </c>
      <c r="AH175" s="13">
        <f>IF($A175="","",[1]!thsiFinD("ths_adjustment_nv_fund",AH$3,$A175))</f>
        <v/>
      </c>
      <c r="AI175" s="13">
        <f>IF($A175="","",[1]!thsiFinD("ths_adjustment_nv_fund",AI$3,$A175))</f>
        <v/>
      </c>
      <c r="AJ175" s="13">
        <f>IF($A175="","",[1]!thsiFinD("ths_adjustment_nv_fund",AJ$3,$A175))</f>
        <v/>
      </c>
      <c r="AK175" s="13">
        <f>IF($A175="","",[1]!thsiFinD("ths_adjustment_nv_fund",AK$3,$A175))</f>
        <v/>
      </c>
      <c r="AL175" s="13">
        <f>IF($A175="","",[1]!thsiFinD("ths_adjustment_nv_fund",AL$3,$A175))</f>
        <v/>
      </c>
    </row>
    <row r="176" spans="2:28"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>
        <f>IF($A176="","",[1]!thsiFinD("ths_adjustment_nv_fund",AB$3,$A176))</f>
        <v/>
      </c>
      <c r="AC176" s="13">
        <f>IF($A176="","",[1]!thsiFinD("ths_adjustment_nv_fund",AC$3,$A176))</f>
        <v/>
      </c>
      <c r="AD176" s="13">
        <f>IF($A176="","",[1]!thsiFinD("ths_adjustment_nv_fund",AD$3,$A176))</f>
        <v/>
      </c>
      <c r="AE176" s="13">
        <f>IF($A176="","",[1]!thsiFinD("ths_adjustment_nv_fund",AE$3,$A176))</f>
        <v/>
      </c>
      <c r="AF176" s="13">
        <f>IF($A176="","",[1]!thsiFinD("ths_adjustment_nv_fund",AF$3,$A176))</f>
        <v/>
      </c>
      <c r="AG176" s="13">
        <f>IF($A176="","",[1]!thsiFinD("ths_adjustment_nv_fund",AG$3,$A176))</f>
        <v/>
      </c>
      <c r="AH176" s="13">
        <f>IF($A176="","",[1]!thsiFinD("ths_adjustment_nv_fund",AH$3,$A176))</f>
        <v/>
      </c>
      <c r="AI176" s="13">
        <f>IF($A176="","",[1]!thsiFinD("ths_adjustment_nv_fund",AI$3,$A176))</f>
        <v/>
      </c>
      <c r="AJ176" s="13">
        <f>IF($A176="","",[1]!thsiFinD("ths_adjustment_nv_fund",AJ$3,$A176))</f>
        <v/>
      </c>
      <c r="AK176" s="13">
        <f>IF($A176="","",[1]!thsiFinD("ths_adjustment_nv_fund",AK$3,$A176))</f>
        <v/>
      </c>
      <c r="AL176" s="13">
        <f>IF($A176="","",[1]!thsiFinD("ths_adjustment_nv_fund",AL$3,$A176))</f>
        <v/>
      </c>
    </row>
    <row r="177" spans="2:28"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>
        <f>IF($A177="","",[1]!thsiFinD("ths_adjustment_nv_fund",AB$3,$A177))</f>
        <v/>
      </c>
      <c r="AC177" s="13">
        <f>IF($A177="","",[1]!thsiFinD("ths_adjustment_nv_fund",AC$3,$A177))</f>
        <v/>
      </c>
      <c r="AD177" s="13">
        <f>IF($A177="","",[1]!thsiFinD("ths_adjustment_nv_fund",AD$3,$A177))</f>
        <v/>
      </c>
      <c r="AE177" s="13">
        <f>IF($A177="","",[1]!thsiFinD("ths_adjustment_nv_fund",AE$3,$A177))</f>
        <v/>
      </c>
      <c r="AF177" s="13">
        <f>IF($A177="","",[1]!thsiFinD("ths_adjustment_nv_fund",AF$3,$A177))</f>
        <v/>
      </c>
      <c r="AG177" s="13">
        <f>IF($A177="","",[1]!thsiFinD("ths_adjustment_nv_fund",AG$3,$A177))</f>
        <v/>
      </c>
      <c r="AH177" s="13">
        <f>IF($A177="","",[1]!thsiFinD("ths_adjustment_nv_fund",AH$3,$A177))</f>
        <v/>
      </c>
      <c r="AI177" s="13">
        <f>IF($A177="","",[1]!thsiFinD("ths_adjustment_nv_fund",AI$3,$A177))</f>
        <v/>
      </c>
      <c r="AJ177" s="13">
        <f>IF($A177="","",[1]!thsiFinD("ths_adjustment_nv_fund",AJ$3,$A177))</f>
        <v/>
      </c>
      <c r="AK177" s="13">
        <f>IF($A177="","",[1]!thsiFinD("ths_adjustment_nv_fund",AK$3,$A177))</f>
        <v/>
      </c>
      <c r="AL177" s="13">
        <f>IF($A177="","",[1]!thsiFinD("ths_adjustment_nv_fund",AL$3,$A177))</f>
        <v/>
      </c>
    </row>
    <row r="178" spans="2:28"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>
        <f>IF($A178="","",[1]!thsiFinD("ths_adjustment_nv_fund",AB$3,$A178))</f>
        <v/>
      </c>
      <c r="AC178" s="13">
        <f>IF($A178="","",[1]!thsiFinD("ths_adjustment_nv_fund",AC$3,$A178))</f>
        <v/>
      </c>
      <c r="AD178" s="13">
        <f>IF($A178="","",[1]!thsiFinD("ths_adjustment_nv_fund",AD$3,$A178))</f>
        <v/>
      </c>
      <c r="AE178" s="13">
        <f>IF($A178="","",[1]!thsiFinD("ths_adjustment_nv_fund",AE$3,$A178))</f>
        <v/>
      </c>
      <c r="AF178" s="13">
        <f>IF($A178="","",[1]!thsiFinD("ths_adjustment_nv_fund",AF$3,$A178))</f>
        <v/>
      </c>
      <c r="AG178" s="13">
        <f>IF($A178="","",[1]!thsiFinD("ths_adjustment_nv_fund",AG$3,$A178))</f>
        <v/>
      </c>
      <c r="AH178" s="13">
        <f>IF($A178="","",[1]!thsiFinD("ths_adjustment_nv_fund",AH$3,$A178))</f>
        <v/>
      </c>
      <c r="AI178" s="13">
        <f>IF($A178="","",[1]!thsiFinD("ths_adjustment_nv_fund",AI$3,$A178))</f>
        <v/>
      </c>
      <c r="AJ178" s="13">
        <f>IF($A178="","",[1]!thsiFinD("ths_adjustment_nv_fund",AJ$3,$A178))</f>
        <v/>
      </c>
      <c r="AK178" s="13">
        <f>IF($A178="","",[1]!thsiFinD("ths_adjustment_nv_fund",AK$3,$A178))</f>
        <v/>
      </c>
      <c r="AL178" s="13">
        <f>IF($A178="","",[1]!thsiFinD("ths_adjustment_nv_fund",AL$3,$A178))</f>
        <v/>
      </c>
    </row>
    <row r="179" spans="2:28"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>
        <f>IF($A179="","",[1]!thsiFinD("ths_adjustment_nv_fund",AB$3,$A179))</f>
        <v/>
      </c>
      <c r="AC179" s="13">
        <f>IF($A179="","",[1]!thsiFinD("ths_adjustment_nv_fund",AC$3,$A179))</f>
        <v/>
      </c>
      <c r="AD179" s="13">
        <f>IF($A179="","",[1]!thsiFinD("ths_adjustment_nv_fund",AD$3,$A179))</f>
        <v/>
      </c>
      <c r="AE179" s="13">
        <f>IF($A179="","",[1]!thsiFinD("ths_adjustment_nv_fund",AE$3,$A179))</f>
        <v/>
      </c>
      <c r="AF179" s="13">
        <f>IF($A179="","",[1]!thsiFinD("ths_adjustment_nv_fund",AF$3,$A179))</f>
        <v/>
      </c>
      <c r="AG179" s="13">
        <f>IF($A179="","",[1]!thsiFinD("ths_adjustment_nv_fund",AG$3,$A179))</f>
        <v/>
      </c>
      <c r="AH179" s="13">
        <f>IF($A179="","",[1]!thsiFinD("ths_adjustment_nv_fund",AH$3,$A179))</f>
        <v/>
      </c>
      <c r="AI179" s="13">
        <f>IF($A179="","",[1]!thsiFinD("ths_adjustment_nv_fund",AI$3,$A179))</f>
        <v/>
      </c>
      <c r="AJ179" s="13">
        <f>IF($A179="","",[1]!thsiFinD("ths_adjustment_nv_fund",AJ$3,$A179))</f>
        <v/>
      </c>
      <c r="AK179" s="13">
        <f>IF($A179="","",[1]!thsiFinD("ths_adjustment_nv_fund",AK$3,$A179))</f>
        <v/>
      </c>
      <c r="AL179" s="13">
        <f>IF($A179="","",[1]!thsiFinD("ths_adjustment_nv_fund",AL$3,$A179))</f>
        <v/>
      </c>
    </row>
    <row r="180" spans="2:28"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>
        <f>IF($A180="","",[1]!thsiFinD("ths_adjustment_nv_fund",AB$3,$A180))</f>
        <v/>
      </c>
      <c r="AC180" s="13">
        <f>IF($A180="","",[1]!thsiFinD("ths_adjustment_nv_fund",AC$3,$A180))</f>
        <v/>
      </c>
      <c r="AD180" s="13">
        <f>IF($A180="","",[1]!thsiFinD("ths_adjustment_nv_fund",AD$3,$A180))</f>
        <v/>
      </c>
      <c r="AE180" s="13">
        <f>IF($A180="","",[1]!thsiFinD("ths_adjustment_nv_fund",AE$3,$A180))</f>
        <v/>
      </c>
      <c r="AF180" s="13">
        <f>IF($A180="","",[1]!thsiFinD("ths_adjustment_nv_fund",AF$3,$A180))</f>
        <v/>
      </c>
      <c r="AG180" s="13">
        <f>IF($A180="","",[1]!thsiFinD("ths_adjustment_nv_fund",AG$3,$A180))</f>
        <v/>
      </c>
      <c r="AH180" s="13">
        <f>IF($A180="","",[1]!thsiFinD("ths_adjustment_nv_fund",AH$3,$A180))</f>
        <v/>
      </c>
      <c r="AI180" s="13">
        <f>IF($A180="","",[1]!thsiFinD("ths_adjustment_nv_fund",AI$3,$A180))</f>
        <v/>
      </c>
      <c r="AJ180" s="13">
        <f>IF($A180="","",[1]!thsiFinD("ths_adjustment_nv_fund",AJ$3,$A180))</f>
        <v/>
      </c>
      <c r="AK180" s="13">
        <f>IF($A180="","",[1]!thsiFinD("ths_adjustment_nv_fund",AK$3,$A180))</f>
        <v/>
      </c>
      <c r="AL180" s="13">
        <f>IF($A180="","",[1]!thsiFinD("ths_adjustment_nv_fund",AL$3,$A180))</f>
        <v/>
      </c>
    </row>
    <row r="181" spans="2:28"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>
        <f>IF($A181="","",[1]!thsiFinD("ths_adjustment_nv_fund",AB$3,$A181))</f>
        <v/>
      </c>
      <c r="AC181" s="13">
        <f>IF($A181="","",[1]!thsiFinD("ths_adjustment_nv_fund",AC$3,$A181))</f>
        <v/>
      </c>
      <c r="AD181" s="13">
        <f>IF($A181="","",[1]!thsiFinD("ths_adjustment_nv_fund",AD$3,$A181))</f>
        <v/>
      </c>
      <c r="AE181" s="13">
        <f>IF($A181="","",[1]!thsiFinD("ths_adjustment_nv_fund",AE$3,$A181))</f>
        <v/>
      </c>
      <c r="AF181" s="13">
        <f>IF($A181="","",[1]!thsiFinD("ths_adjustment_nv_fund",AF$3,$A181))</f>
        <v/>
      </c>
      <c r="AG181" s="13">
        <f>IF($A181="","",[1]!thsiFinD("ths_adjustment_nv_fund",AG$3,$A181))</f>
        <v/>
      </c>
      <c r="AH181" s="13">
        <f>IF($A181="","",[1]!thsiFinD("ths_adjustment_nv_fund",AH$3,$A181))</f>
        <v/>
      </c>
      <c r="AI181" s="13">
        <f>IF($A181="","",[1]!thsiFinD("ths_adjustment_nv_fund",AI$3,$A181))</f>
        <v/>
      </c>
      <c r="AJ181" s="13">
        <f>IF($A181="","",[1]!thsiFinD("ths_adjustment_nv_fund",AJ$3,$A181))</f>
        <v/>
      </c>
      <c r="AK181" s="13">
        <f>IF($A181="","",[1]!thsiFinD("ths_adjustment_nv_fund",AK$3,$A181))</f>
        <v/>
      </c>
      <c r="AL181" s="13">
        <f>IF($A181="","",[1]!thsiFinD("ths_adjustment_nv_fund",AL$3,$A181))</f>
        <v/>
      </c>
    </row>
    <row r="182" spans="2:28"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>
        <f>IF($A182="","",[1]!thsiFinD("ths_adjustment_nv_fund",AB$3,$A182))</f>
        <v/>
      </c>
      <c r="AC182" s="13">
        <f>IF($A182="","",[1]!thsiFinD("ths_adjustment_nv_fund",AC$3,$A182))</f>
        <v/>
      </c>
      <c r="AD182" s="13">
        <f>IF($A182="","",[1]!thsiFinD("ths_adjustment_nv_fund",AD$3,$A182))</f>
        <v/>
      </c>
      <c r="AE182" s="13">
        <f>IF($A182="","",[1]!thsiFinD("ths_adjustment_nv_fund",AE$3,$A182))</f>
        <v/>
      </c>
      <c r="AF182" s="13">
        <f>IF($A182="","",[1]!thsiFinD("ths_adjustment_nv_fund",AF$3,$A182))</f>
        <v/>
      </c>
      <c r="AG182" s="13">
        <f>IF($A182="","",[1]!thsiFinD("ths_adjustment_nv_fund",AG$3,$A182))</f>
        <v/>
      </c>
      <c r="AH182" s="13">
        <f>IF($A182="","",[1]!thsiFinD("ths_adjustment_nv_fund",AH$3,$A182))</f>
        <v/>
      </c>
      <c r="AI182" s="13">
        <f>IF($A182="","",[1]!thsiFinD("ths_adjustment_nv_fund",AI$3,$A182))</f>
        <v/>
      </c>
      <c r="AJ182" s="13">
        <f>IF($A182="","",[1]!thsiFinD("ths_adjustment_nv_fund",AJ$3,$A182))</f>
        <v/>
      </c>
      <c r="AK182" s="13">
        <f>IF($A182="","",[1]!thsiFinD("ths_adjustment_nv_fund",AK$3,$A182))</f>
        <v/>
      </c>
      <c r="AL182" s="13">
        <f>IF($A182="","",[1]!thsiFinD("ths_adjustment_nv_fund",AL$3,$A182))</f>
        <v/>
      </c>
    </row>
    <row r="183" spans="2:28"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>
        <f>IF($A183="","",[1]!thsiFinD("ths_adjustment_nv_fund",AB$3,$A183))</f>
        <v/>
      </c>
      <c r="AC183" s="13">
        <f>IF($A183="","",[1]!thsiFinD("ths_adjustment_nv_fund",AC$3,$A183))</f>
        <v/>
      </c>
      <c r="AD183" s="13">
        <f>IF($A183="","",[1]!thsiFinD("ths_adjustment_nv_fund",AD$3,$A183))</f>
        <v/>
      </c>
      <c r="AE183" s="13">
        <f>IF($A183="","",[1]!thsiFinD("ths_adjustment_nv_fund",AE$3,$A183))</f>
        <v/>
      </c>
      <c r="AF183" s="13">
        <f>IF($A183="","",[1]!thsiFinD("ths_adjustment_nv_fund",AF$3,$A183))</f>
        <v/>
      </c>
      <c r="AG183" s="13">
        <f>IF($A183="","",[1]!thsiFinD("ths_adjustment_nv_fund",AG$3,$A183))</f>
        <v/>
      </c>
      <c r="AH183" s="13">
        <f>IF($A183="","",[1]!thsiFinD("ths_adjustment_nv_fund",AH$3,$A183))</f>
        <v/>
      </c>
      <c r="AI183" s="13">
        <f>IF($A183="","",[1]!thsiFinD("ths_adjustment_nv_fund",AI$3,$A183))</f>
        <v/>
      </c>
      <c r="AJ183" s="13">
        <f>IF($A183="","",[1]!thsiFinD("ths_adjustment_nv_fund",AJ$3,$A183))</f>
        <v/>
      </c>
      <c r="AK183" s="13">
        <f>IF($A183="","",[1]!thsiFinD("ths_adjustment_nv_fund",AK$3,$A183))</f>
        <v/>
      </c>
      <c r="AL183" s="13">
        <f>IF($A183="","",[1]!thsiFinD("ths_adjustment_nv_fund",AL$3,$A183))</f>
        <v/>
      </c>
    </row>
    <row r="184" spans="2:28"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>
        <f>IF($A184="","",[1]!thsiFinD("ths_adjustment_nv_fund",AB$3,$A184))</f>
        <v/>
      </c>
      <c r="AC184" s="13">
        <f>IF($A184="","",[1]!thsiFinD("ths_adjustment_nv_fund",AC$3,$A184))</f>
        <v/>
      </c>
      <c r="AD184" s="13">
        <f>IF($A184="","",[1]!thsiFinD("ths_adjustment_nv_fund",AD$3,$A184))</f>
        <v/>
      </c>
      <c r="AE184" s="13">
        <f>IF($A184="","",[1]!thsiFinD("ths_adjustment_nv_fund",AE$3,$A184))</f>
        <v/>
      </c>
      <c r="AF184" s="13">
        <f>IF($A184="","",[1]!thsiFinD("ths_adjustment_nv_fund",AF$3,$A184))</f>
        <v/>
      </c>
      <c r="AG184" s="13">
        <f>IF($A184="","",[1]!thsiFinD("ths_adjustment_nv_fund",AG$3,$A184))</f>
        <v/>
      </c>
      <c r="AH184" s="13">
        <f>IF($A184="","",[1]!thsiFinD("ths_adjustment_nv_fund",AH$3,$A184))</f>
        <v/>
      </c>
      <c r="AI184" s="13">
        <f>IF($A184="","",[1]!thsiFinD("ths_adjustment_nv_fund",AI$3,$A184))</f>
        <v/>
      </c>
      <c r="AJ184" s="13">
        <f>IF($A184="","",[1]!thsiFinD("ths_adjustment_nv_fund",AJ$3,$A184))</f>
        <v/>
      </c>
      <c r="AK184" s="13">
        <f>IF($A184="","",[1]!thsiFinD("ths_adjustment_nv_fund",AK$3,$A184))</f>
        <v/>
      </c>
      <c r="AL184" s="13">
        <f>IF($A184="","",[1]!thsiFinD("ths_adjustment_nv_fund",AL$3,$A184))</f>
        <v/>
      </c>
    </row>
    <row r="185" spans="2:28"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>
        <f>IF($A185="","",[1]!thsiFinD("ths_adjustment_nv_fund",AB$3,$A185))</f>
        <v/>
      </c>
      <c r="AC185" s="13">
        <f>IF($A185="","",[1]!thsiFinD("ths_adjustment_nv_fund",AC$3,$A185))</f>
        <v/>
      </c>
      <c r="AD185" s="13">
        <f>IF($A185="","",[1]!thsiFinD("ths_adjustment_nv_fund",AD$3,$A185))</f>
        <v/>
      </c>
      <c r="AE185" s="13">
        <f>IF($A185="","",[1]!thsiFinD("ths_adjustment_nv_fund",AE$3,$A185))</f>
        <v/>
      </c>
      <c r="AF185" s="13">
        <f>IF($A185="","",[1]!thsiFinD("ths_adjustment_nv_fund",AF$3,$A185))</f>
        <v/>
      </c>
      <c r="AG185" s="13">
        <f>IF($A185="","",[1]!thsiFinD("ths_adjustment_nv_fund",AG$3,$A185))</f>
        <v/>
      </c>
      <c r="AH185" s="13">
        <f>IF($A185="","",[1]!thsiFinD("ths_adjustment_nv_fund",AH$3,$A185))</f>
        <v/>
      </c>
      <c r="AI185" s="13">
        <f>IF($A185="","",[1]!thsiFinD("ths_adjustment_nv_fund",AI$3,$A185))</f>
        <v/>
      </c>
      <c r="AJ185" s="13">
        <f>IF($A185="","",[1]!thsiFinD("ths_adjustment_nv_fund",AJ$3,$A185))</f>
        <v/>
      </c>
      <c r="AK185" s="13">
        <f>IF($A185="","",[1]!thsiFinD("ths_adjustment_nv_fund",AK$3,$A185))</f>
        <v/>
      </c>
      <c r="AL185" s="13">
        <f>IF($A185="","",[1]!thsiFinD("ths_adjustment_nv_fund",AL$3,$A185))</f>
        <v/>
      </c>
    </row>
    <row r="186" spans="2:28"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>
        <f>IF($A186="","",[1]!thsiFinD("ths_adjustment_nv_fund",AB$3,$A186))</f>
        <v/>
      </c>
      <c r="AC186" s="13">
        <f>IF($A186="","",[1]!thsiFinD("ths_adjustment_nv_fund",AC$3,$A186))</f>
        <v/>
      </c>
      <c r="AD186" s="13">
        <f>IF($A186="","",[1]!thsiFinD("ths_adjustment_nv_fund",AD$3,$A186))</f>
        <v/>
      </c>
      <c r="AE186" s="13">
        <f>IF($A186="","",[1]!thsiFinD("ths_adjustment_nv_fund",AE$3,$A186))</f>
        <v/>
      </c>
      <c r="AF186" s="13">
        <f>IF($A186="","",[1]!thsiFinD("ths_adjustment_nv_fund",AF$3,$A186))</f>
        <v/>
      </c>
      <c r="AG186" s="13">
        <f>IF($A186="","",[1]!thsiFinD("ths_adjustment_nv_fund",AG$3,$A186))</f>
        <v/>
      </c>
      <c r="AH186" s="13">
        <f>IF($A186="","",[1]!thsiFinD("ths_adjustment_nv_fund",AH$3,$A186))</f>
        <v/>
      </c>
      <c r="AI186" s="13">
        <f>IF($A186="","",[1]!thsiFinD("ths_adjustment_nv_fund",AI$3,$A186))</f>
        <v/>
      </c>
      <c r="AJ186" s="13">
        <f>IF($A186="","",[1]!thsiFinD("ths_adjustment_nv_fund",AJ$3,$A186))</f>
        <v/>
      </c>
      <c r="AK186" s="13">
        <f>IF($A186="","",[1]!thsiFinD("ths_adjustment_nv_fund",AK$3,$A186))</f>
        <v/>
      </c>
      <c r="AL186" s="13">
        <f>IF($A186="","",[1]!thsiFinD("ths_adjustment_nv_fund",AL$3,$A186))</f>
        <v/>
      </c>
    </row>
    <row r="187" spans="2:28"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>
        <f>IF($A187="","",[1]!thsiFinD("ths_adjustment_nv_fund",AB$3,$A187))</f>
        <v/>
      </c>
      <c r="AC187" s="13">
        <f>IF($A187="","",[1]!thsiFinD("ths_adjustment_nv_fund",AC$3,$A187))</f>
        <v/>
      </c>
      <c r="AD187" s="13">
        <f>IF($A187="","",[1]!thsiFinD("ths_adjustment_nv_fund",AD$3,$A187))</f>
        <v/>
      </c>
      <c r="AE187" s="13">
        <f>IF($A187="","",[1]!thsiFinD("ths_adjustment_nv_fund",AE$3,$A187))</f>
        <v/>
      </c>
      <c r="AF187" s="13">
        <f>IF($A187="","",[1]!thsiFinD("ths_adjustment_nv_fund",AF$3,$A187))</f>
        <v/>
      </c>
      <c r="AG187" s="13">
        <f>IF($A187="","",[1]!thsiFinD("ths_adjustment_nv_fund",AG$3,$A187))</f>
        <v/>
      </c>
      <c r="AH187" s="13">
        <f>IF($A187="","",[1]!thsiFinD("ths_adjustment_nv_fund",AH$3,$A187))</f>
        <v/>
      </c>
      <c r="AI187" s="13">
        <f>IF($A187="","",[1]!thsiFinD("ths_adjustment_nv_fund",AI$3,$A187))</f>
        <v/>
      </c>
      <c r="AJ187" s="13">
        <f>IF($A187="","",[1]!thsiFinD("ths_adjustment_nv_fund",AJ$3,$A187))</f>
        <v/>
      </c>
      <c r="AK187" s="13">
        <f>IF($A187="","",[1]!thsiFinD("ths_adjustment_nv_fund",AK$3,$A187))</f>
        <v/>
      </c>
      <c r="AL187" s="13">
        <f>IF($A187="","",[1]!thsiFinD("ths_adjustment_nv_fund",AL$3,$A187))</f>
        <v/>
      </c>
    </row>
    <row r="188" spans="2:28"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>
        <f>IF($A188="","",[1]!thsiFinD("ths_adjustment_nv_fund",AB$3,$A188))</f>
        <v/>
      </c>
      <c r="AC188" s="13">
        <f>IF($A188="","",[1]!thsiFinD("ths_adjustment_nv_fund",AC$3,$A188))</f>
        <v/>
      </c>
      <c r="AD188" s="13">
        <f>IF($A188="","",[1]!thsiFinD("ths_adjustment_nv_fund",AD$3,$A188))</f>
        <v/>
      </c>
      <c r="AE188" s="13">
        <f>IF($A188="","",[1]!thsiFinD("ths_adjustment_nv_fund",AE$3,$A188))</f>
        <v/>
      </c>
      <c r="AF188" s="13">
        <f>IF($A188="","",[1]!thsiFinD("ths_adjustment_nv_fund",AF$3,$A188))</f>
        <v/>
      </c>
      <c r="AG188" s="13">
        <f>IF($A188="","",[1]!thsiFinD("ths_adjustment_nv_fund",AG$3,$A188))</f>
        <v/>
      </c>
      <c r="AH188" s="13">
        <f>IF($A188="","",[1]!thsiFinD("ths_adjustment_nv_fund",AH$3,$A188))</f>
        <v/>
      </c>
      <c r="AI188" s="13">
        <f>IF($A188="","",[1]!thsiFinD("ths_adjustment_nv_fund",AI$3,$A188))</f>
        <v/>
      </c>
      <c r="AJ188" s="13">
        <f>IF($A188="","",[1]!thsiFinD("ths_adjustment_nv_fund",AJ$3,$A188))</f>
        <v/>
      </c>
      <c r="AK188" s="13">
        <f>IF($A188="","",[1]!thsiFinD("ths_adjustment_nv_fund",AK$3,$A188))</f>
        <v/>
      </c>
      <c r="AL188" s="13">
        <f>IF($A188="","",[1]!thsiFinD("ths_adjustment_nv_fund",AL$3,$A188))</f>
        <v/>
      </c>
    </row>
    <row r="189" spans="2:28"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>
        <f>IF($A189="","",[1]!thsiFinD("ths_adjustment_nv_fund",AB$3,$A189))</f>
        <v/>
      </c>
      <c r="AC189" s="13">
        <f>IF($A189="","",[1]!thsiFinD("ths_adjustment_nv_fund",AC$3,$A189))</f>
        <v/>
      </c>
      <c r="AD189" s="13">
        <f>IF($A189="","",[1]!thsiFinD("ths_adjustment_nv_fund",AD$3,$A189))</f>
        <v/>
      </c>
      <c r="AE189" s="13">
        <f>IF($A189="","",[1]!thsiFinD("ths_adjustment_nv_fund",AE$3,$A189))</f>
        <v/>
      </c>
      <c r="AF189" s="13">
        <f>IF($A189="","",[1]!thsiFinD("ths_adjustment_nv_fund",AF$3,$A189))</f>
        <v/>
      </c>
      <c r="AG189" s="13">
        <f>IF($A189="","",[1]!thsiFinD("ths_adjustment_nv_fund",AG$3,$A189))</f>
        <v/>
      </c>
      <c r="AH189" s="13">
        <f>IF($A189="","",[1]!thsiFinD("ths_adjustment_nv_fund",AH$3,$A189))</f>
        <v/>
      </c>
      <c r="AI189" s="13">
        <f>IF($A189="","",[1]!thsiFinD("ths_adjustment_nv_fund",AI$3,$A189))</f>
        <v/>
      </c>
      <c r="AJ189" s="13">
        <f>IF($A189="","",[1]!thsiFinD("ths_adjustment_nv_fund",AJ$3,$A189))</f>
        <v/>
      </c>
      <c r="AK189" s="13">
        <f>IF($A189="","",[1]!thsiFinD("ths_adjustment_nv_fund",AK$3,$A189))</f>
        <v/>
      </c>
      <c r="AL189" s="13">
        <f>IF($A189="","",[1]!thsiFinD("ths_adjustment_nv_fund",AL$3,$A189))</f>
        <v/>
      </c>
    </row>
    <row r="190" spans="2:28"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>
        <f>IF($A190="","",[1]!thsiFinD("ths_adjustment_nv_fund",AB$3,$A190))</f>
        <v/>
      </c>
      <c r="AC190" s="13">
        <f>IF($A190="","",[1]!thsiFinD("ths_adjustment_nv_fund",AC$3,$A190))</f>
        <v/>
      </c>
      <c r="AD190" s="13">
        <f>IF($A190="","",[1]!thsiFinD("ths_adjustment_nv_fund",AD$3,$A190))</f>
        <v/>
      </c>
      <c r="AE190" s="13">
        <f>IF($A190="","",[1]!thsiFinD("ths_adjustment_nv_fund",AE$3,$A190))</f>
        <v/>
      </c>
      <c r="AF190" s="13">
        <f>IF($A190="","",[1]!thsiFinD("ths_adjustment_nv_fund",AF$3,$A190))</f>
        <v/>
      </c>
      <c r="AG190" s="13">
        <f>IF($A190="","",[1]!thsiFinD("ths_adjustment_nv_fund",AG$3,$A190))</f>
        <v/>
      </c>
      <c r="AH190" s="13">
        <f>IF($A190="","",[1]!thsiFinD("ths_adjustment_nv_fund",AH$3,$A190))</f>
        <v/>
      </c>
      <c r="AI190" s="13">
        <f>IF($A190="","",[1]!thsiFinD("ths_adjustment_nv_fund",AI$3,$A190))</f>
        <v/>
      </c>
      <c r="AJ190" s="13">
        <f>IF($A190="","",[1]!thsiFinD("ths_adjustment_nv_fund",AJ$3,$A190))</f>
        <v/>
      </c>
      <c r="AK190" s="13">
        <f>IF($A190="","",[1]!thsiFinD("ths_adjustment_nv_fund",AK$3,$A190))</f>
        <v/>
      </c>
      <c r="AL190" s="13">
        <f>IF($A190="","",[1]!thsiFinD("ths_adjustment_nv_fund",AL$3,$A190))</f>
        <v/>
      </c>
    </row>
    <row r="191" spans="2:28"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>
        <f>IF($A191="","",[1]!thsiFinD("ths_adjustment_nv_fund",AB$3,$A191))</f>
        <v/>
      </c>
      <c r="AC191" s="13">
        <f>IF($A191="","",[1]!thsiFinD("ths_adjustment_nv_fund",AC$3,$A191))</f>
        <v/>
      </c>
      <c r="AD191" s="13">
        <f>IF($A191="","",[1]!thsiFinD("ths_adjustment_nv_fund",AD$3,$A191))</f>
        <v/>
      </c>
      <c r="AE191" s="13">
        <f>IF($A191="","",[1]!thsiFinD("ths_adjustment_nv_fund",AE$3,$A191))</f>
        <v/>
      </c>
      <c r="AF191" s="13">
        <f>IF($A191="","",[1]!thsiFinD("ths_adjustment_nv_fund",AF$3,$A191))</f>
        <v/>
      </c>
      <c r="AG191" s="13">
        <f>IF($A191="","",[1]!thsiFinD("ths_adjustment_nv_fund",AG$3,$A191))</f>
        <v/>
      </c>
      <c r="AH191" s="13">
        <f>IF($A191="","",[1]!thsiFinD("ths_adjustment_nv_fund",AH$3,$A191))</f>
        <v/>
      </c>
      <c r="AI191" s="13">
        <f>IF($A191="","",[1]!thsiFinD("ths_adjustment_nv_fund",AI$3,$A191))</f>
        <v/>
      </c>
      <c r="AJ191" s="13">
        <f>IF($A191="","",[1]!thsiFinD("ths_adjustment_nv_fund",AJ$3,$A191))</f>
        <v/>
      </c>
      <c r="AK191" s="13">
        <f>IF($A191="","",[1]!thsiFinD("ths_adjustment_nv_fund",AK$3,$A191))</f>
        <v/>
      </c>
      <c r="AL191" s="13">
        <f>IF($A191="","",[1]!thsiFinD("ths_adjustment_nv_fund",AL$3,$A191))</f>
        <v/>
      </c>
    </row>
    <row r="192" spans="2:28"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>
        <f>IF($A192="","",[1]!thsiFinD("ths_adjustment_nv_fund",AB$3,$A192))</f>
        <v/>
      </c>
      <c r="AC192" s="13">
        <f>IF($A192="","",[1]!thsiFinD("ths_adjustment_nv_fund",AC$3,$A192))</f>
        <v/>
      </c>
      <c r="AD192" s="13">
        <f>IF($A192="","",[1]!thsiFinD("ths_adjustment_nv_fund",AD$3,$A192))</f>
        <v/>
      </c>
      <c r="AE192" s="13">
        <f>IF($A192="","",[1]!thsiFinD("ths_adjustment_nv_fund",AE$3,$A192))</f>
        <v/>
      </c>
      <c r="AF192" s="13">
        <f>IF($A192="","",[1]!thsiFinD("ths_adjustment_nv_fund",AF$3,$A192))</f>
        <v/>
      </c>
      <c r="AG192" s="13">
        <f>IF($A192="","",[1]!thsiFinD("ths_adjustment_nv_fund",AG$3,$A192))</f>
        <v/>
      </c>
      <c r="AH192" s="13">
        <f>IF($A192="","",[1]!thsiFinD("ths_adjustment_nv_fund",AH$3,$A192))</f>
        <v/>
      </c>
      <c r="AI192" s="13">
        <f>IF($A192="","",[1]!thsiFinD("ths_adjustment_nv_fund",AI$3,$A192))</f>
        <v/>
      </c>
      <c r="AJ192" s="13">
        <f>IF($A192="","",[1]!thsiFinD("ths_adjustment_nv_fund",AJ$3,$A192))</f>
        <v/>
      </c>
      <c r="AK192" s="13">
        <f>IF($A192="","",[1]!thsiFinD("ths_adjustment_nv_fund",AK$3,$A192))</f>
        <v/>
      </c>
      <c r="AL192" s="13">
        <f>IF($A192="","",[1]!thsiFinD("ths_adjustment_nv_fund",AL$3,$A192))</f>
        <v/>
      </c>
    </row>
    <row r="193" spans="2:28"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>
        <f>IF($A193="","",[1]!thsiFinD("ths_adjustment_nv_fund",AB$3,$A193))</f>
        <v/>
      </c>
      <c r="AC193" s="13">
        <f>IF($A193="","",[1]!thsiFinD("ths_adjustment_nv_fund",AC$3,$A193))</f>
        <v/>
      </c>
      <c r="AD193" s="13">
        <f>IF($A193="","",[1]!thsiFinD("ths_adjustment_nv_fund",AD$3,$A193))</f>
        <v/>
      </c>
      <c r="AE193" s="13">
        <f>IF($A193="","",[1]!thsiFinD("ths_adjustment_nv_fund",AE$3,$A193))</f>
        <v/>
      </c>
      <c r="AF193" s="13">
        <f>IF($A193="","",[1]!thsiFinD("ths_adjustment_nv_fund",AF$3,$A193))</f>
        <v/>
      </c>
      <c r="AG193" s="13">
        <f>IF($A193="","",[1]!thsiFinD("ths_adjustment_nv_fund",AG$3,$A193))</f>
        <v/>
      </c>
      <c r="AH193" s="13">
        <f>IF($A193="","",[1]!thsiFinD("ths_adjustment_nv_fund",AH$3,$A193))</f>
        <v/>
      </c>
      <c r="AI193" s="13">
        <f>IF($A193="","",[1]!thsiFinD("ths_adjustment_nv_fund",AI$3,$A193))</f>
        <v/>
      </c>
      <c r="AJ193" s="13">
        <f>IF($A193="","",[1]!thsiFinD("ths_adjustment_nv_fund",AJ$3,$A193))</f>
        <v/>
      </c>
      <c r="AK193" s="13">
        <f>IF($A193="","",[1]!thsiFinD("ths_adjustment_nv_fund",AK$3,$A193))</f>
        <v/>
      </c>
      <c r="AL193" s="13">
        <f>IF($A193="","",[1]!thsiFinD("ths_adjustment_nv_fund",AL$3,$A193))</f>
        <v/>
      </c>
    </row>
    <row r="194" spans="2:28"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>
        <f>IF($A194="","",[1]!thsiFinD("ths_adjustment_nv_fund",AB$3,$A194))</f>
        <v/>
      </c>
      <c r="AC194" s="13">
        <f>IF($A194="","",[1]!thsiFinD("ths_adjustment_nv_fund",AC$3,$A194))</f>
        <v/>
      </c>
      <c r="AD194" s="13">
        <f>IF($A194="","",[1]!thsiFinD("ths_adjustment_nv_fund",AD$3,$A194))</f>
        <v/>
      </c>
      <c r="AE194" s="13">
        <f>IF($A194="","",[1]!thsiFinD("ths_adjustment_nv_fund",AE$3,$A194))</f>
        <v/>
      </c>
      <c r="AF194" s="13">
        <f>IF($A194="","",[1]!thsiFinD("ths_adjustment_nv_fund",AF$3,$A194))</f>
        <v/>
      </c>
      <c r="AG194" s="13">
        <f>IF($A194="","",[1]!thsiFinD("ths_adjustment_nv_fund",AG$3,$A194))</f>
        <v/>
      </c>
      <c r="AH194" s="13">
        <f>IF($A194="","",[1]!thsiFinD("ths_adjustment_nv_fund",AH$3,$A194))</f>
        <v/>
      </c>
      <c r="AI194" s="13">
        <f>IF($A194="","",[1]!thsiFinD("ths_adjustment_nv_fund",AI$3,$A194))</f>
        <v/>
      </c>
      <c r="AJ194" s="13">
        <f>IF($A194="","",[1]!thsiFinD("ths_adjustment_nv_fund",AJ$3,$A194))</f>
        <v/>
      </c>
      <c r="AK194" s="13">
        <f>IF($A194="","",[1]!thsiFinD("ths_adjustment_nv_fund",AK$3,$A194))</f>
        <v/>
      </c>
      <c r="AL194" s="13">
        <f>IF($A194="","",[1]!thsiFinD("ths_adjustment_nv_fund",AL$3,$A194))</f>
        <v/>
      </c>
    </row>
    <row r="195" spans="2:28"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>
        <f>IF($A195="","",[1]!thsiFinD("ths_adjustment_nv_fund",AB$3,$A195))</f>
        <v/>
      </c>
      <c r="AC195" s="13">
        <f>IF($A195="","",[1]!thsiFinD("ths_adjustment_nv_fund",AC$3,$A195))</f>
        <v/>
      </c>
      <c r="AD195" s="13">
        <f>IF($A195="","",[1]!thsiFinD("ths_adjustment_nv_fund",AD$3,$A195))</f>
        <v/>
      </c>
      <c r="AE195" s="13">
        <f>IF($A195="","",[1]!thsiFinD("ths_adjustment_nv_fund",AE$3,$A195))</f>
        <v/>
      </c>
      <c r="AF195" s="13">
        <f>IF($A195="","",[1]!thsiFinD("ths_adjustment_nv_fund",AF$3,$A195))</f>
        <v/>
      </c>
      <c r="AG195" s="13">
        <f>IF($A195="","",[1]!thsiFinD("ths_adjustment_nv_fund",AG$3,$A195))</f>
        <v/>
      </c>
      <c r="AH195" s="13">
        <f>IF($A195="","",[1]!thsiFinD("ths_adjustment_nv_fund",AH$3,$A195))</f>
        <v/>
      </c>
      <c r="AI195" s="13">
        <f>IF($A195="","",[1]!thsiFinD("ths_adjustment_nv_fund",AI$3,$A195))</f>
        <v/>
      </c>
      <c r="AJ195" s="13">
        <f>IF($A195="","",[1]!thsiFinD("ths_adjustment_nv_fund",AJ$3,$A195))</f>
        <v/>
      </c>
      <c r="AK195" s="13">
        <f>IF($A195="","",[1]!thsiFinD("ths_adjustment_nv_fund",AK$3,$A195))</f>
        <v/>
      </c>
      <c r="AL195" s="13">
        <f>IF($A195="","",[1]!thsiFinD("ths_adjustment_nv_fund",AL$3,$A195))</f>
        <v/>
      </c>
    </row>
    <row r="196" spans="2:28"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>
        <f>IF($A196="","",[1]!thsiFinD("ths_adjustment_nv_fund",AB$3,$A196))</f>
        <v/>
      </c>
      <c r="AC196" s="13">
        <f>IF($A196="","",[1]!thsiFinD("ths_adjustment_nv_fund",AC$3,$A196))</f>
        <v/>
      </c>
      <c r="AD196" s="13">
        <f>IF($A196="","",[1]!thsiFinD("ths_adjustment_nv_fund",AD$3,$A196))</f>
        <v/>
      </c>
      <c r="AE196" s="13">
        <f>IF($A196="","",[1]!thsiFinD("ths_adjustment_nv_fund",AE$3,$A196))</f>
        <v/>
      </c>
      <c r="AF196" s="13">
        <f>IF($A196="","",[1]!thsiFinD("ths_adjustment_nv_fund",AF$3,$A196))</f>
        <v/>
      </c>
      <c r="AG196" s="13">
        <f>IF($A196="","",[1]!thsiFinD("ths_adjustment_nv_fund",AG$3,$A196))</f>
        <v/>
      </c>
      <c r="AH196" s="13">
        <f>IF($A196="","",[1]!thsiFinD("ths_adjustment_nv_fund",AH$3,$A196))</f>
        <v/>
      </c>
      <c r="AI196" s="13">
        <f>IF($A196="","",[1]!thsiFinD("ths_adjustment_nv_fund",AI$3,$A196))</f>
        <v/>
      </c>
      <c r="AJ196" s="13">
        <f>IF($A196="","",[1]!thsiFinD("ths_adjustment_nv_fund",AJ$3,$A196))</f>
        <v/>
      </c>
      <c r="AK196" s="13">
        <f>IF($A196="","",[1]!thsiFinD("ths_adjustment_nv_fund",AK$3,$A196))</f>
        <v/>
      </c>
      <c r="AL196" s="13">
        <f>IF($A196="","",[1]!thsiFinD("ths_adjustment_nv_fund",AL$3,$A196))</f>
        <v/>
      </c>
    </row>
    <row r="197" spans="2:28"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>
        <f>IF($A197="","",[1]!thsiFinD("ths_adjustment_nv_fund",AB$3,$A197))</f>
        <v/>
      </c>
      <c r="AC197" s="13">
        <f>IF($A197="","",[1]!thsiFinD("ths_adjustment_nv_fund",AC$3,$A197))</f>
        <v/>
      </c>
      <c r="AD197" s="13">
        <f>IF($A197="","",[1]!thsiFinD("ths_adjustment_nv_fund",AD$3,$A197))</f>
        <v/>
      </c>
      <c r="AE197" s="13">
        <f>IF($A197="","",[1]!thsiFinD("ths_adjustment_nv_fund",AE$3,$A197))</f>
        <v/>
      </c>
      <c r="AF197" s="13">
        <f>IF($A197="","",[1]!thsiFinD("ths_adjustment_nv_fund",AF$3,$A197))</f>
        <v/>
      </c>
      <c r="AG197" s="13">
        <f>IF($A197="","",[1]!thsiFinD("ths_adjustment_nv_fund",AG$3,$A197))</f>
        <v/>
      </c>
      <c r="AH197" s="13">
        <f>IF($A197="","",[1]!thsiFinD("ths_adjustment_nv_fund",AH$3,$A197))</f>
        <v/>
      </c>
      <c r="AI197" s="13">
        <f>IF($A197="","",[1]!thsiFinD("ths_adjustment_nv_fund",AI$3,$A197))</f>
        <v/>
      </c>
      <c r="AJ197" s="13">
        <f>IF($A197="","",[1]!thsiFinD("ths_adjustment_nv_fund",AJ$3,$A197))</f>
        <v/>
      </c>
      <c r="AK197" s="13">
        <f>IF($A197="","",[1]!thsiFinD("ths_adjustment_nv_fund",AK$3,$A197))</f>
        <v/>
      </c>
      <c r="AL197" s="13">
        <f>IF($A197="","",[1]!thsiFinD("ths_adjustment_nv_fund",AL$3,$A197))</f>
        <v/>
      </c>
    </row>
    <row r="198" spans="2:28"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>
        <f>IF($A198="","",[1]!thsiFinD("ths_adjustment_nv_fund",AB$3,$A198))</f>
        <v/>
      </c>
      <c r="AC198" s="13">
        <f>IF($A198="","",[1]!thsiFinD("ths_adjustment_nv_fund",AC$3,$A198))</f>
        <v/>
      </c>
      <c r="AD198" s="13">
        <f>IF($A198="","",[1]!thsiFinD("ths_adjustment_nv_fund",AD$3,$A198))</f>
        <v/>
      </c>
      <c r="AE198" s="13">
        <f>IF($A198="","",[1]!thsiFinD("ths_adjustment_nv_fund",AE$3,$A198))</f>
        <v/>
      </c>
      <c r="AF198" s="13">
        <f>IF($A198="","",[1]!thsiFinD("ths_adjustment_nv_fund",AF$3,$A198))</f>
        <v/>
      </c>
      <c r="AG198" s="13">
        <f>IF($A198="","",[1]!thsiFinD("ths_adjustment_nv_fund",AG$3,$A198))</f>
        <v/>
      </c>
      <c r="AH198" s="13">
        <f>IF($A198="","",[1]!thsiFinD("ths_adjustment_nv_fund",AH$3,$A198))</f>
        <v/>
      </c>
      <c r="AI198" s="13">
        <f>IF($A198="","",[1]!thsiFinD("ths_adjustment_nv_fund",AI$3,$A198))</f>
        <v/>
      </c>
      <c r="AJ198" s="13">
        <f>IF($A198="","",[1]!thsiFinD("ths_adjustment_nv_fund",AJ$3,$A198))</f>
        <v/>
      </c>
      <c r="AK198" s="13">
        <f>IF($A198="","",[1]!thsiFinD("ths_adjustment_nv_fund",AK$3,$A198))</f>
        <v/>
      </c>
      <c r="AL198" s="13">
        <f>IF($A198="","",[1]!thsiFinD("ths_adjustment_nv_fund",AL$3,$A198))</f>
        <v/>
      </c>
    </row>
    <row r="199" spans="2:28"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>
        <f>IF($A199="","",[1]!thsiFinD("ths_adjustment_nv_fund",AB$3,$A199))</f>
        <v/>
      </c>
      <c r="AC199" s="13">
        <f>IF($A199="","",[1]!thsiFinD("ths_adjustment_nv_fund",AC$3,$A199))</f>
        <v/>
      </c>
      <c r="AD199" s="13">
        <f>IF($A199="","",[1]!thsiFinD("ths_adjustment_nv_fund",AD$3,$A199))</f>
        <v/>
      </c>
      <c r="AE199" s="13">
        <f>IF($A199="","",[1]!thsiFinD("ths_adjustment_nv_fund",AE$3,$A199))</f>
        <v/>
      </c>
      <c r="AF199" s="13">
        <f>IF($A199="","",[1]!thsiFinD("ths_adjustment_nv_fund",AF$3,$A199))</f>
        <v/>
      </c>
      <c r="AG199" s="13">
        <f>IF($A199="","",[1]!thsiFinD("ths_adjustment_nv_fund",AG$3,$A199))</f>
        <v/>
      </c>
      <c r="AH199" s="13">
        <f>IF($A199="","",[1]!thsiFinD("ths_adjustment_nv_fund",AH$3,$A199))</f>
        <v/>
      </c>
      <c r="AI199" s="13">
        <f>IF($A199="","",[1]!thsiFinD("ths_adjustment_nv_fund",AI$3,$A199))</f>
        <v/>
      </c>
      <c r="AJ199" s="13">
        <f>IF($A199="","",[1]!thsiFinD("ths_adjustment_nv_fund",AJ$3,$A199))</f>
        <v/>
      </c>
      <c r="AK199" s="13">
        <f>IF($A199="","",[1]!thsiFinD("ths_adjustment_nv_fund",AK$3,$A199))</f>
        <v/>
      </c>
      <c r="AL199" s="13">
        <f>IF($A199="","",[1]!thsiFinD("ths_adjustment_nv_fund",AL$3,$A199))</f>
        <v/>
      </c>
    </row>
    <row r="200" spans="2:28"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>
        <f>IF($A200="","",[1]!thsiFinD("ths_adjustment_nv_fund",AB$3,$A200))</f>
        <v/>
      </c>
      <c r="AC200" s="13">
        <f>IF($A200="","",[1]!thsiFinD("ths_adjustment_nv_fund",AC$3,$A200))</f>
        <v/>
      </c>
      <c r="AD200" s="13">
        <f>IF($A200="","",[1]!thsiFinD("ths_adjustment_nv_fund",AD$3,$A200))</f>
        <v/>
      </c>
      <c r="AE200" s="13">
        <f>IF($A200="","",[1]!thsiFinD("ths_adjustment_nv_fund",AE$3,$A200))</f>
        <v/>
      </c>
      <c r="AF200" s="13">
        <f>IF($A200="","",[1]!thsiFinD("ths_adjustment_nv_fund",AF$3,$A200))</f>
        <v/>
      </c>
      <c r="AG200" s="13">
        <f>IF($A200="","",[1]!thsiFinD("ths_adjustment_nv_fund",AG$3,$A200))</f>
        <v/>
      </c>
      <c r="AH200" s="13">
        <f>IF($A200="","",[1]!thsiFinD("ths_adjustment_nv_fund",AH$3,$A200))</f>
        <v/>
      </c>
      <c r="AI200" s="13">
        <f>IF($A200="","",[1]!thsiFinD("ths_adjustment_nv_fund",AI$3,$A200))</f>
        <v/>
      </c>
      <c r="AJ200" s="13">
        <f>IF($A200="","",[1]!thsiFinD("ths_adjustment_nv_fund",AJ$3,$A200))</f>
        <v/>
      </c>
      <c r="AK200" s="13">
        <f>IF($A200="","",[1]!thsiFinD("ths_adjustment_nv_fund",AK$3,$A200))</f>
        <v/>
      </c>
      <c r="AL200" s="13">
        <f>IF($A200="","",[1]!thsiFinD("ths_adjustment_nv_fund",AL$3,$A200))</f>
        <v/>
      </c>
    </row>
    <row r="201" spans="2:28"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>
        <f>IF($A201="","",[1]!thsiFinD("ths_adjustment_nv_fund",AB$3,$A201))</f>
        <v/>
      </c>
      <c r="AC201" s="13">
        <f>IF($A201="","",[1]!thsiFinD("ths_adjustment_nv_fund",AC$3,$A201))</f>
        <v/>
      </c>
      <c r="AD201" s="13">
        <f>IF($A201="","",[1]!thsiFinD("ths_adjustment_nv_fund",AD$3,$A201))</f>
        <v/>
      </c>
      <c r="AE201" s="13">
        <f>IF($A201="","",[1]!thsiFinD("ths_adjustment_nv_fund",AE$3,$A201))</f>
        <v/>
      </c>
      <c r="AF201" s="13">
        <f>IF($A201="","",[1]!thsiFinD("ths_adjustment_nv_fund",AF$3,$A201))</f>
        <v/>
      </c>
      <c r="AG201" s="13">
        <f>IF($A201="","",[1]!thsiFinD("ths_adjustment_nv_fund",AG$3,$A201))</f>
        <v/>
      </c>
      <c r="AH201" s="13">
        <f>IF($A201="","",[1]!thsiFinD("ths_adjustment_nv_fund",AH$3,$A201))</f>
        <v/>
      </c>
      <c r="AI201" s="13">
        <f>IF($A201="","",[1]!thsiFinD("ths_adjustment_nv_fund",AI$3,$A201))</f>
        <v/>
      </c>
      <c r="AJ201" s="13">
        <f>IF($A201="","",[1]!thsiFinD("ths_adjustment_nv_fund",AJ$3,$A201))</f>
        <v/>
      </c>
      <c r="AK201" s="13">
        <f>IF($A201="","",[1]!thsiFinD("ths_adjustment_nv_fund",AK$3,$A201))</f>
        <v/>
      </c>
      <c r="AL201" s="13">
        <f>IF($A201="","",[1]!thsiFinD("ths_adjustment_nv_fund",AL$3,$A201))</f>
        <v/>
      </c>
    </row>
    <row r="202" spans="2:28"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>
        <f>IF($A202="","",[1]!thsiFinD("ths_adjustment_nv_fund",AB$3,$A202))</f>
        <v/>
      </c>
      <c r="AC202" s="13">
        <f>IF($A202="","",[1]!thsiFinD("ths_adjustment_nv_fund",AC$3,$A202))</f>
        <v/>
      </c>
      <c r="AD202" s="13">
        <f>IF($A202="","",[1]!thsiFinD("ths_adjustment_nv_fund",AD$3,$A202))</f>
        <v/>
      </c>
      <c r="AE202" s="13">
        <f>IF($A202="","",[1]!thsiFinD("ths_adjustment_nv_fund",AE$3,$A202))</f>
        <v/>
      </c>
      <c r="AF202" s="13">
        <f>IF($A202="","",[1]!thsiFinD("ths_adjustment_nv_fund",AF$3,$A202))</f>
        <v/>
      </c>
      <c r="AG202" s="13">
        <f>IF($A202="","",[1]!thsiFinD("ths_adjustment_nv_fund",AG$3,$A202))</f>
        <v/>
      </c>
      <c r="AH202" s="13">
        <f>IF($A202="","",[1]!thsiFinD("ths_adjustment_nv_fund",AH$3,$A202))</f>
        <v/>
      </c>
      <c r="AI202" s="13">
        <f>IF($A202="","",[1]!thsiFinD("ths_adjustment_nv_fund",AI$3,$A202))</f>
        <v/>
      </c>
      <c r="AJ202" s="13">
        <f>IF($A202="","",[1]!thsiFinD("ths_adjustment_nv_fund",AJ$3,$A202))</f>
        <v/>
      </c>
      <c r="AK202" s="13">
        <f>IF($A202="","",[1]!thsiFinD("ths_adjustment_nv_fund",AK$3,$A202))</f>
        <v/>
      </c>
      <c r="AL202" s="13">
        <f>IF($A202="","",[1]!thsiFinD("ths_adjustment_nv_fund",AL$3,$A202))</f>
        <v/>
      </c>
    </row>
    <row r="203" spans="2:28"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>
        <f>IF($A203="","",[1]!thsiFinD("ths_adjustment_nv_fund",AB$3,$A203))</f>
        <v/>
      </c>
      <c r="AC203" s="13">
        <f>IF($A203="","",[1]!thsiFinD("ths_adjustment_nv_fund",AC$3,$A203))</f>
        <v/>
      </c>
      <c r="AD203" s="13">
        <f>IF($A203="","",[1]!thsiFinD("ths_adjustment_nv_fund",AD$3,$A203))</f>
        <v/>
      </c>
      <c r="AE203" s="13">
        <f>IF($A203="","",[1]!thsiFinD("ths_adjustment_nv_fund",AE$3,$A203))</f>
        <v/>
      </c>
      <c r="AF203" s="13">
        <f>IF($A203="","",[1]!thsiFinD("ths_adjustment_nv_fund",AF$3,$A203))</f>
        <v/>
      </c>
      <c r="AG203" s="13">
        <f>IF($A203="","",[1]!thsiFinD("ths_adjustment_nv_fund",AG$3,$A203))</f>
        <v/>
      </c>
      <c r="AH203" s="13">
        <f>IF($A203="","",[1]!thsiFinD("ths_adjustment_nv_fund",AH$3,$A203))</f>
        <v/>
      </c>
      <c r="AI203" s="13">
        <f>IF($A203="","",[1]!thsiFinD("ths_adjustment_nv_fund",AI$3,$A203))</f>
        <v/>
      </c>
      <c r="AJ203" s="13">
        <f>IF($A203="","",[1]!thsiFinD("ths_adjustment_nv_fund",AJ$3,$A203))</f>
        <v/>
      </c>
      <c r="AK203" s="13">
        <f>IF($A203="","",[1]!thsiFinD("ths_adjustment_nv_fund",AK$3,$A203))</f>
        <v/>
      </c>
      <c r="AL203" s="13">
        <f>IF($A203="","",[1]!thsiFinD("ths_adjustment_nv_fund",AL$3,$A203))</f>
        <v/>
      </c>
    </row>
    <row r="204" spans="2:28"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>
        <f>IF($A204="","",[1]!thsiFinD("ths_adjustment_nv_fund",AB$3,$A204))</f>
        <v/>
      </c>
      <c r="AC204" s="13">
        <f>IF($A204="","",[1]!thsiFinD("ths_adjustment_nv_fund",AC$3,$A204))</f>
        <v/>
      </c>
      <c r="AD204" s="13">
        <f>IF($A204="","",[1]!thsiFinD("ths_adjustment_nv_fund",AD$3,$A204))</f>
        <v/>
      </c>
      <c r="AE204" s="13">
        <f>IF($A204="","",[1]!thsiFinD("ths_adjustment_nv_fund",AE$3,$A204))</f>
        <v/>
      </c>
      <c r="AF204" s="13">
        <f>IF($A204="","",[1]!thsiFinD("ths_adjustment_nv_fund",AF$3,$A204))</f>
        <v/>
      </c>
      <c r="AG204" s="13">
        <f>IF($A204="","",[1]!thsiFinD("ths_adjustment_nv_fund",AG$3,$A204))</f>
        <v/>
      </c>
      <c r="AH204" s="13">
        <f>IF($A204="","",[1]!thsiFinD("ths_adjustment_nv_fund",AH$3,$A204))</f>
        <v/>
      </c>
      <c r="AI204" s="13">
        <f>IF($A204="","",[1]!thsiFinD("ths_adjustment_nv_fund",AI$3,$A204))</f>
        <v/>
      </c>
      <c r="AJ204" s="13">
        <f>IF($A204="","",[1]!thsiFinD("ths_adjustment_nv_fund",AJ$3,$A204))</f>
        <v/>
      </c>
      <c r="AK204" s="13">
        <f>IF($A204="","",[1]!thsiFinD("ths_adjustment_nv_fund",AK$3,$A204))</f>
        <v/>
      </c>
      <c r="AL204" s="13">
        <f>IF($A204="","",[1]!thsiFinD("ths_adjustment_nv_fund",AL$3,$A204))</f>
        <v/>
      </c>
    </row>
    <row r="205" spans="2:28"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>
        <f>IF($A205="","",[1]!thsiFinD("ths_adjustment_nv_fund",AB$3,$A205))</f>
        <v/>
      </c>
      <c r="AC205" s="13">
        <f>IF($A205="","",[1]!thsiFinD("ths_adjustment_nv_fund",AC$3,$A205))</f>
        <v/>
      </c>
      <c r="AD205" s="13">
        <f>IF($A205="","",[1]!thsiFinD("ths_adjustment_nv_fund",AD$3,$A205))</f>
        <v/>
      </c>
      <c r="AE205" s="13">
        <f>IF($A205="","",[1]!thsiFinD("ths_adjustment_nv_fund",AE$3,$A205))</f>
        <v/>
      </c>
      <c r="AF205" s="13">
        <f>IF($A205="","",[1]!thsiFinD("ths_adjustment_nv_fund",AF$3,$A205))</f>
        <v/>
      </c>
      <c r="AG205" s="13">
        <f>IF($A205="","",[1]!thsiFinD("ths_adjustment_nv_fund",AG$3,$A205))</f>
        <v/>
      </c>
      <c r="AH205" s="13">
        <f>IF($A205="","",[1]!thsiFinD("ths_adjustment_nv_fund",AH$3,$A205))</f>
        <v/>
      </c>
      <c r="AI205" s="13">
        <f>IF($A205="","",[1]!thsiFinD("ths_adjustment_nv_fund",AI$3,$A205))</f>
        <v/>
      </c>
      <c r="AJ205" s="13">
        <f>IF($A205="","",[1]!thsiFinD("ths_adjustment_nv_fund",AJ$3,$A205))</f>
        <v/>
      </c>
      <c r="AK205" s="13">
        <f>IF($A205="","",[1]!thsiFinD("ths_adjustment_nv_fund",AK$3,$A205))</f>
        <v/>
      </c>
      <c r="AL205" s="13">
        <f>IF($A205="","",[1]!thsiFinD("ths_adjustment_nv_fund",AL$3,$A205))</f>
        <v/>
      </c>
    </row>
    <row r="206" spans="2:28"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>
        <f>IF($A206="","",[1]!thsiFinD("ths_adjustment_nv_fund",AB$3,$A206))</f>
        <v/>
      </c>
      <c r="AC206" s="13">
        <f>IF($A206="","",[1]!thsiFinD("ths_adjustment_nv_fund",AC$3,$A206))</f>
        <v/>
      </c>
      <c r="AD206" s="13">
        <f>IF($A206="","",[1]!thsiFinD("ths_adjustment_nv_fund",AD$3,$A206))</f>
        <v/>
      </c>
      <c r="AE206" s="13">
        <f>IF($A206="","",[1]!thsiFinD("ths_adjustment_nv_fund",AE$3,$A206))</f>
        <v/>
      </c>
      <c r="AF206" s="13">
        <f>IF($A206="","",[1]!thsiFinD("ths_adjustment_nv_fund",AF$3,$A206))</f>
        <v/>
      </c>
      <c r="AG206" s="13">
        <f>IF($A206="","",[1]!thsiFinD("ths_adjustment_nv_fund",AG$3,$A206))</f>
        <v/>
      </c>
      <c r="AH206" s="13">
        <f>IF($A206="","",[1]!thsiFinD("ths_adjustment_nv_fund",AH$3,$A206))</f>
        <v/>
      </c>
      <c r="AI206" s="13">
        <f>IF($A206="","",[1]!thsiFinD("ths_adjustment_nv_fund",AI$3,$A206))</f>
        <v/>
      </c>
      <c r="AJ206" s="13">
        <f>IF($A206="","",[1]!thsiFinD("ths_adjustment_nv_fund",AJ$3,$A206))</f>
        <v/>
      </c>
      <c r="AK206" s="13">
        <f>IF($A206="","",[1]!thsiFinD("ths_adjustment_nv_fund",AK$3,$A206))</f>
        <v/>
      </c>
      <c r="AL206" s="13">
        <f>IF($A206="","",[1]!thsiFinD("ths_adjustment_nv_fund",AL$3,$A206))</f>
        <v/>
      </c>
    </row>
    <row r="207" spans="2:28"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>
        <f>IF($A207="","",[1]!thsiFinD("ths_adjustment_nv_fund",AB$3,$A207))</f>
        <v/>
      </c>
      <c r="AC207" s="13">
        <f>IF($A207="","",[1]!thsiFinD("ths_adjustment_nv_fund",AC$3,$A207))</f>
        <v/>
      </c>
      <c r="AD207" s="13">
        <f>IF($A207="","",[1]!thsiFinD("ths_adjustment_nv_fund",AD$3,$A207))</f>
        <v/>
      </c>
      <c r="AE207" s="13">
        <f>IF($A207="","",[1]!thsiFinD("ths_adjustment_nv_fund",AE$3,$A207))</f>
        <v/>
      </c>
      <c r="AF207" s="13">
        <f>IF($A207="","",[1]!thsiFinD("ths_adjustment_nv_fund",AF$3,$A207))</f>
        <v/>
      </c>
      <c r="AG207" s="13">
        <f>IF($A207="","",[1]!thsiFinD("ths_adjustment_nv_fund",AG$3,$A207))</f>
        <v/>
      </c>
      <c r="AH207" s="13">
        <f>IF($A207="","",[1]!thsiFinD("ths_adjustment_nv_fund",AH$3,$A207))</f>
        <v/>
      </c>
      <c r="AI207" s="13">
        <f>IF($A207="","",[1]!thsiFinD("ths_adjustment_nv_fund",AI$3,$A207))</f>
        <v/>
      </c>
      <c r="AJ207" s="13">
        <f>IF($A207="","",[1]!thsiFinD("ths_adjustment_nv_fund",AJ$3,$A207))</f>
        <v/>
      </c>
      <c r="AK207" s="13">
        <f>IF($A207="","",[1]!thsiFinD("ths_adjustment_nv_fund",AK$3,$A207))</f>
        <v/>
      </c>
      <c r="AL207" s="13">
        <f>IF($A207="","",[1]!thsiFinD("ths_adjustment_nv_fund",AL$3,$A207))</f>
        <v/>
      </c>
    </row>
    <row r="208" spans="2:28"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>
        <f>IF($A208="","",[1]!thsiFinD("ths_adjustment_nv_fund",AB$3,$A208))</f>
        <v/>
      </c>
      <c r="AC208" s="13">
        <f>IF($A208="","",[1]!thsiFinD("ths_adjustment_nv_fund",AC$3,$A208))</f>
        <v/>
      </c>
      <c r="AD208" s="13">
        <f>IF($A208="","",[1]!thsiFinD("ths_adjustment_nv_fund",AD$3,$A208))</f>
        <v/>
      </c>
      <c r="AE208" s="13">
        <f>IF($A208="","",[1]!thsiFinD("ths_adjustment_nv_fund",AE$3,$A208))</f>
        <v/>
      </c>
      <c r="AF208" s="13">
        <f>IF($A208="","",[1]!thsiFinD("ths_adjustment_nv_fund",AF$3,$A208))</f>
        <v/>
      </c>
      <c r="AG208" s="13">
        <f>IF($A208="","",[1]!thsiFinD("ths_adjustment_nv_fund",AG$3,$A208))</f>
        <v/>
      </c>
      <c r="AH208" s="13">
        <f>IF($A208="","",[1]!thsiFinD("ths_adjustment_nv_fund",AH$3,$A208))</f>
        <v/>
      </c>
      <c r="AI208" s="13">
        <f>IF($A208="","",[1]!thsiFinD("ths_adjustment_nv_fund",AI$3,$A208))</f>
        <v/>
      </c>
      <c r="AJ208" s="13">
        <f>IF($A208="","",[1]!thsiFinD("ths_adjustment_nv_fund",AJ$3,$A208))</f>
        <v/>
      </c>
      <c r="AK208" s="13">
        <f>IF($A208="","",[1]!thsiFinD("ths_adjustment_nv_fund",AK$3,$A208))</f>
        <v/>
      </c>
      <c r="AL208" s="13">
        <f>IF($A208="","",[1]!thsiFinD("ths_adjustment_nv_fund",AL$3,$A208))</f>
        <v/>
      </c>
    </row>
    <row r="209" spans="2:28"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>
        <f>IF($A209="","",[1]!thsiFinD("ths_adjustment_nv_fund",AB$3,$A209))</f>
        <v/>
      </c>
      <c r="AC209" s="13">
        <f>IF($A209="","",[1]!thsiFinD("ths_adjustment_nv_fund",AC$3,$A209))</f>
        <v/>
      </c>
      <c r="AD209" s="13">
        <f>IF($A209="","",[1]!thsiFinD("ths_adjustment_nv_fund",AD$3,$A209))</f>
        <v/>
      </c>
      <c r="AE209" s="13">
        <f>IF($A209="","",[1]!thsiFinD("ths_adjustment_nv_fund",AE$3,$A209))</f>
        <v/>
      </c>
      <c r="AF209" s="13">
        <f>IF($A209="","",[1]!thsiFinD("ths_adjustment_nv_fund",AF$3,$A209))</f>
        <v/>
      </c>
      <c r="AG209" s="13">
        <f>IF($A209="","",[1]!thsiFinD("ths_adjustment_nv_fund",AG$3,$A209))</f>
        <v/>
      </c>
      <c r="AH209" s="13">
        <f>IF($A209="","",[1]!thsiFinD("ths_adjustment_nv_fund",AH$3,$A209))</f>
        <v/>
      </c>
      <c r="AI209" s="13">
        <f>IF($A209="","",[1]!thsiFinD("ths_adjustment_nv_fund",AI$3,$A209))</f>
        <v/>
      </c>
      <c r="AJ209" s="13">
        <f>IF($A209="","",[1]!thsiFinD("ths_adjustment_nv_fund",AJ$3,$A209))</f>
        <v/>
      </c>
      <c r="AK209" s="13">
        <f>IF($A209="","",[1]!thsiFinD("ths_adjustment_nv_fund",AK$3,$A209))</f>
        <v/>
      </c>
      <c r="AL209" s="13">
        <f>IF($A209="","",[1]!thsiFinD("ths_adjustment_nv_fund",AL$3,$A209))</f>
        <v/>
      </c>
    </row>
    <row r="210" spans="2:28"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>
        <f>IF($A210="","",[1]!thsiFinD("ths_adjustment_nv_fund",AB$3,$A210))</f>
        <v/>
      </c>
      <c r="AC210" s="13">
        <f>IF($A210="","",[1]!thsiFinD("ths_adjustment_nv_fund",AC$3,$A210))</f>
        <v/>
      </c>
      <c r="AD210" s="13">
        <f>IF($A210="","",[1]!thsiFinD("ths_adjustment_nv_fund",AD$3,$A210))</f>
        <v/>
      </c>
      <c r="AE210" s="13">
        <f>IF($A210="","",[1]!thsiFinD("ths_adjustment_nv_fund",AE$3,$A210))</f>
        <v/>
      </c>
      <c r="AF210" s="13">
        <f>IF($A210="","",[1]!thsiFinD("ths_adjustment_nv_fund",AF$3,$A210))</f>
        <v/>
      </c>
      <c r="AG210" s="13">
        <f>IF($A210="","",[1]!thsiFinD("ths_adjustment_nv_fund",AG$3,$A210))</f>
        <v/>
      </c>
      <c r="AH210" s="13">
        <f>IF($A210="","",[1]!thsiFinD("ths_adjustment_nv_fund",AH$3,$A210))</f>
        <v/>
      </c>
      <c r="AI210" s="13">
        <f>IF($A210="","",[1]!thsiFinD("ths_adjustment_nv_fund",AI$3,$A210))</f>
        <v/>
      </c>
      <c r="AJ210" s="13">
        <f>IF($A210="","",[1]!thsiFinD("ths_adjustment_nv_fund",AJ$3,$A210))</f>
        <v/>
      </c>
      <c r="AK210" s="13">
        <f>IF($A210="","",[1]!thsiFinD("ths_adjustment_nv_fund",AK$3,$A210))</f>
        <v/>
      </c>
      <c r="AL210" s="13">
        <f>IF($A210="","",[1]!thsiFinD("ths_adjustment_nv_fund",AL$3,$A210))</f>
        <v/>
      </c>
    </row>
    <row r="211" spans="2:28"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>
        <f>IF($A211="","",[1]!thsiFinD("ths_adjustment_nv_fund",AB$3,$A211))</f>
        <v/>
      </c>
      <c r="AC211" s="13">
        <f>IF($A211="","",[1]!thsiFinD("ths_adjustment_nv_fund",AC$3,$A211))</f>
        <v/>
      </c>
      <c r="AD211" s="13">
        <f>IF($A211="","",[1]!thsiFinD("ths_adjustment_nv_fund",AD$3,$A211))</f>
        <v/>
      </c>
      <c r="AE211" s="13">
        <f>IF($A211="","",[1]!thsiFinD("ths_adjustment_nv_fund",AE$3,$A211))</f>
        <v/>
      </c>
      <c r="AF211" s="13">
        <f>IF($A211="","",[1]!thsiFinD("ths_adjustment_nv_fund",AF$3,$A211))</f>
        <v/>
      </c>
      <c r="AG211" s="13">
        <f>IF($A211="","",[1]!thsiFinD("ths_adjustment_nv_fund",AG$3,$A211))</f>
        <v/>
      </c>
      <c r="AH211" s="13">
        <f>IF($A211="","",[1]!thsiFinD("ths_adjustment_nv_fund",AH$3,$A211))</f>
        <v/>
      </c>
      <c r="AI211" s="13">
        <f>IF($A211="","",[1]!thsiFinD("ths_adjustment_nv_fund",AI$3,$A211))</f>
        <v/>
      </c>
      <c r="AJ211" s="13">
        <f>IF($A211="","",[1]!thsiFinD("ths_adjustment_nv_fund",AJ$3,$A211))</f>
        <v/>
      </c>
      <c r="AK211" s="13">
        <f>IF($A211="","",[1]!thsiFinD("ths_adjustment_nv_fund",AK$3,$A211))</f>
        <v/>
      </c>
      <c r="AL211" s="13">
        <f>IF($A211="","",[1]!thsiFinD("ths_adjustment_nv_fund",AL$3,$A211))</f>
        <v/>
      </c>
    </row>
    <row r="212" spans="2:28"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>
        <f>IF($A212="","",[1]!thsiFinD("ths_adjustment_nv_fund",AB$3,$A212))</f>
        <v/>
      </c>
      <c r="AC212" s="13">
        <f>IF($A212="","",[1]!thsiFinD("ths_adjustment_nv_fund",AC$3,$A212))</f>
        <v/>
      </c>
      <c r="AD212" s="13">
        <f>IF($A212="","",[1]!thsiFinD("ths_adjustment_nv_fund",AD$3,$A212))</f>
        <v/>
      </c>
      <c r="AE212" s="13">
        <f>IF($A212="","",[1]!thsiFinD("ths_adjustment_nv_fund",AE$3,$A212))</f>
        <v/>
      </c>
      <c r="AF212" s="13">
        <f>IF($A212="","",[1]!thsiFinD("ths_adjustment_nv_fund",AF$3,$A212))</f>
        <v/>
      </c>
      <c r="AG212" s="13">
        <f>IF($A212="","",[1]!thsiFinD("ths_adjustment_nv_fund",AG$3,$A212))</f>
        <v/>
      </c>
      <c r="AH212" s="13">
        <f>IF($A212="","",[1]!thsiFinD("ths_adjustment_nv_fund",AH$3,$A212))</f>
        <v/>
      </c>
      <c r="AI212" s="13">
        <f>IF($A212="","",[1]!thsiFinD("ths_adjustment_nv_fund",AI$3,$A212))</f>
        <v/>
      </c>
      <c r="AJ212" s="13">
        <f>IF($A212="","",[1]!thsiFinD("ths_adjustment_nv_fund",AJ$3,$A212))</f>
        <v/>
      </c>
      <c r="AK212" s="13">
        <f>IF($A212="","",[1]!thsiFinD("ths_adjustment_nv_fund",AK$3,$A212))</f>
        <v/>
      </c>
      <c r="AL212" s="13">
        <f>IF($A212="","",[1]!thsiFinD("ths_adjustment_nv_fund",AL$3,$A212))</f>
        <v/>
      </c>
    </row>
    <row r="213" spans="2:28"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>
        <f>IF($A213="","",[1]!thsiFinD("ths_adjustment_nv_fund",AB$3,$A213))</f>
        <v/>
      </c>
      <c r="AC213" s="13">
        <f>IF($A213="","",[1]!thsiFinD("ths_adjustment_nv_fund",AC$3,$A213))</f>
        <v/>
      </c>
      <c r="AD213" s="13">
        <f>IF($A213="","",[1]!thsiFinD("ths_adjustment_nv_fund",AD$3,$A213))</f>
        <v/>
      </c>
      <c r="AE213" s="13">
        <f>IF($A213="","",[1]!thsiFinD("ths_adjustment_nv_fund",AE$3,$A213))</f>
        <v/>
      </c>
      <c r="AF213" s="13">
        <f>IF($A213="","",[1]!thsiFinD("ths_adjustment_nv_fund",AF$3,$A213))</f>
        <v/>
      </c>
      <c r="AG213" s="13">
        <f>IF($A213="","",[1]!thsiFinD("ths_adjustment_nv_fund",AG$3,$A213))</f>
        <v/>
      </c>
      <c r="AH213" s="13">
        <f>IF($A213="","",[1]!thsiFinD("ths_adjustment_nv_fund",AH$3,$A213))</f>
        <v/>
      </c>
      <c r="AI213" s="13">
        <f>IF($A213="","",[1]!thsiFinD("ths_adjustment_nv_fund",AI$3,$A213))</f>
        <v/>
      </c>
      <c r="AJ213" s="13">
        <f>IF($A213="","",[1]!thsiFinD("ths_adjustment_nv_fund",AJ$3,$A213))</f>
        <v/>
      </c>
      <c r="AK213" s="13">
        <f>IF($A213="","",[1]!thsiFinD("ths_adjustment_nv_fund",AK$3,$A213))</f>
        <v/>
      </c>
      <c r="AL213" s="13">
        <f>IF($A213="","",[1]!thsiFinD("ths_adjustment_nv_fund",AL$3,$A213))</f>
        <v/>
      </c>
    </row>
    <row r="214" spans="2:28"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>
        <f>IF($A214="","",[1]!thsiFinD("ths_adjustment_nv_fund",AB$3,$A214))</f>
        <v/>
      </c>
      <c r="AC214" s="13">
        <f>IF($A214="","",[1]!thsiFinD("ths_adjustment_nv_fund",AC$3,$A214))</f>
        <v/>
      </c>
      <c r="AD214" s="13">
        <f>IF($A214="","",[1]!thsiFinD("ths_adjustment_nv_fund",AD$3,$A214))</f>
        <v/>
      </c>
      <c r="AE214" s="13">
        <f>IF($A214="","",[1]!thsiFinD("ths_adjustment_nv_fund",AE$3,$A214))</f>
        <v/>
      </c>
      <c r="AF214" s="13">
        <f>IF($A214="","",[1]!thsiFinD("ths_adjustment_nv_fund",AF$3,$A214))</f>
        <v/>
      </c>
      <c r="AG214" s="13">
        <f>IF($A214="","",[1]!thsiFinD("ths_adjustment_nv_fund",AG$3,$A214))</f>
        <v/>
      </c>
      <c r="AH214" s="13">
        <f>IF($A214="","",[1]!thsiFinD("ths_adjustment_nv_fund",AH$3,$A214))</f>
        <v/>
      </c>
      <c r="AI214" s="13">
        <f>IF($A214="","",[1]!thsiFinD("ths_adjustment_nv_fund",AI$3,$A214))</f>
        <v/>
      </c>
      <c r="AJ214" s="13">
        <f>IF($A214="","",[1]!thsiFinD("ths_adjustment_nv_fund",AJ$3,$A214))</f>
        <v/>
      </c>
      <c r="AK214" s="13">
        <f>IF($A214="","",[1]!thsiFinD("ths_adjustment_nv_fund",AK$3,$A214))</f>
        <v/>
      </c>
      <c r="AL214" s="13">
        <f>IF($A214="","",[1]!thsiFinD("ths_adjustment_nv_fund",AL$3,$A214))</f>
        <v/>
      </c>
    </row>
    <row r="215" spans="2:28">
      <c r="B215" s="13" t="str">
        <f>IF($A215="","",[1]!thsiFinD("ths_adjustment_nv_fund",B$3,$A215))</f>
        <v/>
      </c>
      <c r="C215" s="13" t="str">
        <f>IF($A215="","",[1]!thsiFinD("ths_adjustment_nv_fund",C$3,$A215))</f>
        <v/>
      </c>
      <c r="D215" s="13" t="str">
        <f>IF($A215="","",[1]!thsiFinD("ths_adjustment_nv_fund",D$3,$A215))</f>
        <v/>
      </c>
      <c r="E215" s="13" t="str">
        <f>IF($A215="","",[1]!thsiFinD("ths_adjustment_nv_fund",E$3,$A215))</f>
        <v/>
      </c>
      <c r="F215" s="13" t="str">
        <f>IF($A215="","",[1]!thsiFinD("ths_adjustment_nv_fund",F$3,$A215))</f>
        <v/>
      </c>
      <c r="G215" s="13" t="str">
        <f>IF($A215="","",[1]!thsiFinD("ths_adjustment_nv_fund",G$3,$A215))</f>
        <v/>
      </c>
      <c r="H215" s="13" t="str">
        <f>IF($A215="","",[1]!thsiFinD("ths_adjustment_nv_fund",H$3,$A215))</f>
        <v/>
      </c>
      <c r="I215" s="13" t="str">
        <f>IF($A215="","",[1]!thsiFinD("ths_adjustment_nv_fund",I$3,$A215))</f>
        <v/>
      </c>
      <c r="J215" s="13" t="str">
        <f>IF($A215="","",[1]!thsiFinD("ths_adjustment_nv_fund",J$3,$A215))</f>
        <v/>
      </c>
      <c r="K215" s="13" t="str">
        <f>IF($A215="","",[1]!thsiFinD("ths_adjustment_nv_fund",K$3,$A215))</f>
        <v/>
      </c>
      <c r="L215" s="13" t="str">
        <f>IF($A215="","",[1]!thsiFinD("ths_adjustment_nv_fund",L$3,$A215))</f>
        <v/>
      </c>
      <c r="M215" s="13" t="str">
        <f>IF($A215="","",[1]!thsiFinD("ths_adjustment_nv_fund",M$3,$A215))</f>
        <v/>
      </c>
      <c r="N215" s="13" t="str">
        <f>IF($A215="","",[1]!thsiFinD("ths_adjustment_nv_fund",N$3,$A215))</f>
        <v/>
      </c>
      <c r="O215" s="13" t="str">
        <f>IF($A215="","",[1]!thsiFinD("ths_adjustment_nv_fund",O$3,$A215))</f>
        <v/>
      </c>
      <c r="P215" s="13" t="str">
        <f>IF($A215="","",[1]!thsiFinD("ths_adjustment_nv_fund",P$3,$A215))</f>
        <v/>
      </c>
      <c r="Q215" s="13" t="str">
        <f>IF($A215="","",[1]!thsiFinD("ths_adjustment_nv_fund",Q$3,$A215))</f>
        <v/>
      </c>
      <c r="R215" s="13" t="str">
        <f>IF($A215="","",[1]!thsiFinD("ths_adjustment_nv_fund",R$3,$A215))</f>
        <v/>
      </c>
      <c r="S215" s="13" t="str">
        <f>IF($A215="","",[1]!thsiFinD("ths_adjustment_nv_fund",S$3,$A215))</f>
        <v/>
      </c>
      <c r="T215" s="13" t="str">
        <f>IF($A215="","",[1]!thsiFinD("ths_adjustment_nv_fund",T$3,$A215))</f>
        <v/>
      </c>
      <c r="U215" s="13" t="str">
        <f>IF($A215="","",[1]!thsiFinD("ths_adjustment_nv_fund",U$3,$A215))</f>
        <v/>
      </c>
      <c r="V215" s="13" t="str">
        <f>IF($A215="","",[1]!thsiFinD("ths_adjustment_nv_fund",V$3,$A215))</f>
        <v/>
      </c>
      <c r="W215" s="13" t="str">
        <f>IF($A215="","",[1]!thsiFinD("ths_adjustment_nv_fund",W$3,$A215))</f>
        <v/>
      </c>
      <c r="X215" s="13" t="str">
        <f>IF($A215="","",[1]!thsiFinD("ths_adjustment_nv_fund",X$3,$A215))</f>
        <v/>
      </c>
      <c r="Y215" s="13" t="str">
        <f>IF($A215="","",[1]!thsiFinD("ths_adjustment_nv_fund",Y$3,$A215))</f>
        <v/>
      </c>
      <c r="Z215" s="13" t="str">
        <f>IF($A215="","",[1]!thsiFinD("ths_adjustment_nv_fund",Z$3,$A215))</f>
        <v/>
      </c>
      <c r="AA215" s="13" t="str">
        <f>IF($A215="","",[1]!thsiFinD("ths_adjustment_nv_fund",AA$3,$A215))</f>
        <v/>
      </c>
      <c r="AB215" s="13">
        <f>IF($A215="","",[1]!thsiFinD("ths_adjustment_nv_fund",AB$3,$A215))</f>
        <v/>
      </c>
      <c r="AC215" s="13">
        <f>IF($A215="","",[1]!thsiFinD("ths_adjustment_nv_fund",AC$3,$A215))</f>
        <v/>
      </c>
      <c r="AD215" s="13">
        <f>IF($A215="","",[1]!thsiFinD("ths_adjustment_nv_fund",AD$3,$A215))</f>
        <v/>
      </c>
      <c r="AE215" s="13">
        <f>IF($A215="","",[1]!thsiFinD("ths_adjustment_nv_fund",AE$3,$A215))</f>
        <v/>
      </c>
      <c r="AF215" s="13">
        <f>IF($A215="","",[1]!thsiFinD("ths_adjustment_nv_fund",AF$3,$A215))</f>
        <v/>
      </c>
      <c r="AG215" s="13">
        <f>IF($A215="","",[1]!thsiFinD("ths_adjustment_nv_fund",AG$3,$A215))</f>
        <v/>
      </c>
      <c r="AH215" s="13">
        <f>IF($A215="","",[1]!thsiFinD("ths_adjustment_nv_fund",AH$3,$A215))</f>
        <v/>
      </c>
      <c r="AI215" s="13">
        <f>IF($A215="","",[1]!thsiFinD("ths_adjustment_nv_fund",AI$3,$A215))</f>
        <v/>
      </c>
      <c r="AJ215" s="13">
        <f>IF($A215="","",[1]!thsiFinD("ths_adjustment_nv_fund",AJ$3,$A215))</f>
        <v/>
      </c>
      <c r="AK215" s="13">
        <f>IF($A215="","",[1]!thsiFinD("ths_adjustment_nv_fund",AK$3,$A215))</f>
        <v/>
      </c>
      <c r="AL215" s="13">
        <f>IF($A215="","",[1]!thsiFinD("ths_adjustment_nv_fund",AL$3,$A215))</f>
        <v/>
      </c>
    </row>
    <row r="216" spans="2:28">
      <c r="B216" s="13" t="str">
        <f>IF($A216="","",[1]!thsiFinD("ths_adjustment_nv_fund",B$3,$A216))</f>
        <v/>
      </c>
      <c r="C216" s="13" t="str">
        <f>IF($A216="","",[1]!thsiFinD("ths_adjustment_nv_fund",C$3,$A216))</f>
        <v/>
      </c>
      <c r="D216" s="13" t="str">
        <f>IF($A216="","",[1]!thsiFinD("ths_adjustment_nv_fund",D$3,$A216))</f>
        <v/>
      </c>
      <c r="E216" s="13" t="str">
        <f>IF($A216="","",[1]!thsiFinD("ths_adjustment_nv_fund",E$3,$A216))</f>
        <v/>
      </c>
      <c r="F216" s="13" t="str">
        <f>IF($A216="","",[1]!thsiFinD("ths_adjustment_nv_fund",F$3,$A216))</f>
        <v/>
      </c>
      <c r="G216" s="13" t="str">
        <f>IF($A216="","",[1]!thsiFinD("ths_adjustment_nv_fund",G$3,$A216))</f>
        <v/>
      </c>
      <c r="H216" s="13" t="str">
        <f>IF($A216="","",[1]!thsiFinD("ths_adjustment_nv_fund",H$3,$A216))</f>
        <v/>
      </c>
      <c r="I216" s="13" t="str">
        <f>IF($A216="","",[1]!thsiFinD("ths_adjustment_nv_fund",I$3,$A216))</f>
        <v/>
      </c>
      <c r="J216" s="13" t="str">
        <f>IF($A216="","",[1]!thsiFinD("ths_adjustment_nv_fund",J$3,$A216))</f>
        <v/>
      </c>
      <c r="K216" s="13" t="str">
        <f>IF($A216="","",[1]!thsiFinD("ths_adjustment_nv_fund",K$3,$A216))</f>
        <v/>
      </c>
      <c r="L216" s="13" t="str">
        <f>IF($A216="","",[1]!thsiFinD("ths_adjustment_nv_fund",L$3,$A216))</f>
        <v/>
      </c>
      <c r="M216" s="13" t="str">
        <f>IF($A216="","",[1]!thsiFinD("ths_adjustment_nv_fund",M$3,$A216))</f>
        <v/>
      </c>
      <c r="N216" s="13" t="str">
        <f>IF($A216="","",[1]!thsiFinD("ths_adjustment_nv_fund",N$3,$A216))</f>
        <v/>
      </c>
      <c r="O216" s="13" t="str">
        <f>IF($A216="","",[1]!thsiFinD("ths_adjustment_nv_fund",O$3,$A216))</f>
        <v/>
      </c>
      <c r="P216" s="13" t="str">
        <f>IF($A216="","",[1]!thsiFinD("ths_adjustment_nv_fund",P$3,$A216))</f>
        <v/>
      </c>
      <c r="Q216" s="13" t="str">
        <f>IF($A216="","",[1]!thsiFinD("ths_adjustment_nv_fund",Q$3,$A216))</f>
        <v/>
      </c>
      <c r="R216" s="13" t="str">
        <f>IF($A216="","",[1]!thsiFinD("ths_adjustment_nv_fund",R$3,$A216))</f>
        <v/>
      </c>
      <c r="S216" s="13" t="str">
        <f>IF($A216="","",[1]!thsiFinD("ths_adjustment_nv_fund",S$3,$A216))</f>
        <v/>
      </c>
      <c r="T216" s="13" t="str">
        <f>IF($A216="","",[1]!thsiFinD("ths_adjustment_nv_fund",T$3,$A216))</f>
        <v/>
      </c>
      <c r="U216" s="13" t="str">
        <f>IF($A216="","",[1]!thsiFinD("ths_adjustment_nv_fund",U$3,$A216))</f>
        <v/>
      </c>
      <c r="V216" s="13" t="str">
        <f>IF($A216="","",[1]!thsiFinD("ths_adjustment_nv_fund",V$3,$A216))</f>
        <v/>
      </c>
      <c r="W216" s="13" t="str">
        <f>IF($A216="","",[1]!thsiFinD("ths_adjustment_nv_fund",W$3,$A216))</f>
        <v/>
      </c>
      <c r="X216" s="13" t="str">
        <f>IF($A216="","",[1]!thsiFinD("ths_adjustment_nv_fund",X$3,$A216))</f>
        <v/>
      </c>
      <c r="Y216" s="13" t="str">
        <f>IF($A216="","",[1]!thsiFinD("ths_adjustment_nv_fund",Y$3,$A216))</f>
        <v/>
      </c>
      <c r="Z216" s="13" t="str">
        <f>IF($A216="","",[1]!thsiFinD("ths_adjustment_nv_fund",Z$3,$A216))</f>
        <v/>
      </c>
      <c r="AA216" s="13" t="str">
        <f>IF($A216="","",[1]!thsiFinD("ths_adjustment_nv_fund",AA$3,$A216))</f>
        <v/>
      </c>
      <c r="AB216" s="13">
        <f>IF($A216="","",[1]!thsiFinD("ths_adjustment_nv_fund",AB$3,$A216))</f>
        <v/>
      </c>
      <c r="AC216" s="13">
        <f>IF($A216="","",[1]!thsiFinD("ths_adjustment_nv_fund",AC$3,$A216))</f>
        <v/>
      </c>
      <c r="AD216" s="13">
        <f>IF($A216="","",[1]!thsiFinD("ths_adjustment_nv_fund",AD$3,$A216))</f>
        <v/>
      </c>
      <c r="AE216" s="13">
        <f>IF($A216="","",[1]!thsiFinD("ths_adjustment_nv_fund",AE$3,$A216))</f>
        <v/>
      </c>
      <c r="AF216" s="13">
        <f>IF($A216="","",[1]!thsiFinD("ths_adjustment_nv_fund",AF$3,$A216))</f>
        <v/>
      </c>
      <c r="AG216" s="13">
        <f>IF($A216="","",[1]!thsiFinD("ths_adjustment_nv_fund",AG$3,$A216))</f>
        <v/>
      </c>
      <c r="AH216" s="13">
        <f>IF($A216="","",[1]!thsiFinD("ths_adjustment_nv_fund",AH$3,$A216))</f>
        <v/>
      </c>
      <c r="AI216" s="13">
        <f>IF($A216="","",[1]!thsiFinD("ths_adjustment_nv_fund",AI$3,$A216))</f>
        <v/>
      </c>
      <c r="AJ216" s="13">
        <f>IF($A216="","",[1]!thsiFinD("ths_adjustment_nv_fund",AJ$3,$A216))</f>
        <v/>
      </c>
      <c r="AK216" s="13">
        <f>IF($A216="","",[1]!thsiFinD("ths_adjustment_nv_fund",AK$3,$A216))</f>
        <v/>
      </c>
      <c r="AL216" s="13">
        <f>IF($A216="","",[1]!thsiFinD("ths_adjustment_nv_fund",AL$3,$A216))</f>
        <v/>
      </c>
    </row>
    <row r="217" spans="2:28">
      <c r="B217" s="13" t="str">
        <f>IF($A217="","",[1]!thsiFinD("ths_adjustment_nv_fund",B$3,$A217))</f>
        <v/>
      </c>
      <c r="C217" s="13" t="str">
        <f>IF($A217="","",[1]!thsiFinD("ths_adjustment_nv_fund",C$3,$A217))</f>
        <v/>
      </c>
      <c r="D217" s="13" t="str">
        <f>IF($A217="","",[1]!thsiFinD("ths_adjustment_nv_fund",D$3,$A217))</f>
        <v/>
      </c>
      <c r="E217" s="13" t="str">
        <f>IF($A217="","",[1]!thsiFinD("ths_adjustment_nv_fund",E$3,$A217))</f>
        <v/>
      </c>
      <c r="F217" s="13" t="str">
        <f>IF($A217="","",[1]!thsiFinD("ths_adjustment_nv_fund",F$3,$A217))</f>
        <v/>
      </c>
      <c r="G217" s="13" t="str">
        <f>IF($A217="","",[1]!thsiFinD("ths_adjustment_nv_fund",G$3,$A217))</f>
        <v/>
      </c>
      <c r="H217" s="13" t="str">
        <f>IF($A217="","",[1]!thsiFinD("ths_adjustment_nv_fund",H$3,$A217))</f>
        <v/>
      </c>
      <c r="I217" s="13" t="str">
        <f>IF($A217="","",[1]!thsiFinD("ths_adjustment_nv_fund",I$3,$A217))</f>
        <v/>
      </c>
      <c r="J217" s="13" t="str">
        <f>IF($A217="","",[1]!thsiFinD("ths_adjustment_nv_fund",J$3,$A217))</f>
        <v/>
      </c>
      <c r="K217" s="13" t="str">
        <f>IF($A217="","",[1]!thsiFinD("ths_adjustment_nv_fund",K$3,$A217))</f>
        <v/>
      </c>
      <c r="L217" s="13" t="str">
        <f>IF($A217="","",[1]!thsiFinD("ths_adjustment_nv_fund",L$3,$A217))</f>
        <v/>
      </c>
      <c r="M217" s="13" t="str">
        <f>IF($A217="","",[1]!thsiFinD("ths_adjustment_nv_fund",M$3,$A217))</f>
        <v/>
      </c>
      <c r="N217" s="13" t="str">
        <f>IF($A217="","",[1]!thsiFinD("ths_adjustment_nv_fund",N$3,$A217))</f>
        <v/>
      </c>
      <c r="O217" s="13" t="str">
        <f>IF($A217="","",[1]!thsiFinD("ths_adjustment_nv_fund",O$3,$A217))</f>
        <v/>
      </c>
      <c r="P217" s="13" t="str">
        <f>IF($A217="","",[1]!thsiFinD("ths_adjustment_nv_fund",P$3,$A217))</f>
        <v/>
      </c>
      <c r="Q217" s="13" t="str">
        <f>IF($A217="","",[1]!thsiFinD("ths_adjustment_nv_fund",Q$3,$A217))</f>
        <v/>
      </c>
      <c r="R217" s="13" t="str">
        <f>IF($A217="","",[1]!thsiFinD("ths_adjustment_nv_fund",R$3,$A217))</f>
        <v/>
      </c>
      <c r="S217" s="13" t="str">
        <f>IF($A217="","",[1]!thsiFinD("ths_adjustment_nv_fund",S$3,$A217))</f>
        <v/>
      </c>
      <c r="T217" s="13" t="str">
        <f>IF($A217="","",[1]!thsiFinD("ths_adjustment_nv_fund",T$3,$A217))</f>
        <v/>
      </c>
      <c r="U217" s="13" t="str">
        <f>IF($A217="","",[1]!thsiFinD("ths_adjustment_nv_fund",U$3,$A217))</f>
        <v/>
      </c>
      <c r="V217" s="13" t="str">
        <f>IF($A217="","",[1]!thsiFinD("ths_adjustment_nv_fund",V$3,$A217))</f>
        <v/>
      </c>
      <c r="W217" s="13" t="str">
        <f>IF($A217="","",[1]!thsiFinD("ths_adjustment_nv_fund",W$3,$A217))</f>
        <v/>
      </c>
      <c r="X217" s="13" t="str">
        <f>IF($A217="","",[1]!thsiFinD("ths_adjustment_nv_fund",X$3,$A217))</f>
        <v/>
      </c>
      <c r="Y217" s="13" t="str">
        <f>IF($A217="","",[1]!thsiFinD("ths_adjustment_nv_fund",Y$3,$A217))</f>
        <v/>
      </c>
      <c r="Z217" s="13" t="str">
        <f>IF($A217="","",[1]!thsiFinD("ths_adjustment_nv_fund",Z$3,$A217))</f>
        <v/>
      </c>
      <c r="AA217" s="13" t="str">
        <f>IF($A217="","",[1]!thsiFinD("ths_adjustment_nv_fund",AA$3,$A217))</f>
        <v/>
      </c>
      <c r="AB217" s="13">
        <f>IF($A217="","",[1]!thsiFinD("ths_adjustment_nv_fund",AB$3,$A217))</f>
        <v/>
      </c>
      <c r="AC217" s="13">
        <f>IF($A217="","",[1]!thsiFinD("ths_adjustment_nv_fund",AC$3,$A217))</f>
        <v/>
      </c>
      <c r="AD217" s="13">
        <f>IF($A217="","",[1]!thsiFinD("ths_adjustment_nv_fund",AD$3,$A217))</f>
        <v/>
      </c>
      <c r="AE217" s="13">
        <f>IF($A217="","",[1]!thsiFinD("ths_adjustment_nv_fund",AE$3,$A217))</f>
        <v/>
      </c>
      <c r="AF217" s="13">
        <f>IF($A217="","",[1]!thsiFinD("ths_adjustment_nv_fund",AF$3,$A217))</f>
        <v/>
      </c>
      <c r="AG217" s="13">
        <f>IF($A217="","",[1]!thsiFinD("ths_adjustment_nv_fund",AG$3,$A217))</f>
        <v/>
      </c>
      <c r="AH217" s="13">
        <f>IF($A217="","",[1]!thsiFinD("ths_adjustment_nv_fund",AH$3,$A217))</f>
        <v/>
      </c>
      <c r="AI217" s="13">
        <f>IF($A217="","",[1]!thsiFinD("ths_adjustment_nv_fund",AI$3,$A217))</f>
        <v/>
      </c>
      <c r="AJ217" s="13">
        <f>IF($A217="","",[1]!thsiFinD("ths_adjustment_nv_fund",AJ$3,$A217))</f>
        <v/>
      </c>
      <c r="AK217" s="13">
        <f>IF($A217="","",[1]!thsiFinD("ths_adjustment_nv_fund",AK$3,$A217))</f>
        <v/>
      </c>
      <c r="AL217" s="13">
        <f>IF($A217="","",[1]!thsiFinD("ths_adjustment_nv_fund",AL$3,$A217))</f>
        <v/>
      </c>
    </row>
    <row r="218" spans="2:28">
      <c r="B218" s="13" t="str">
        <f>IF($A218="","",[1]!thsiFinD("ths_adjustment_nv_fund",B$3,$A218))</f>
        <v/>
      </c>
      <c r="C218" s="13" t="str">
        <f>IF($A218="","",[1]!thsiFinD("ths_adjustment_nv_fund",C$3,$A218))</f>
        <v/>
      </c>
      <c r="D218" s="13" t="str">
        <f>IF($A218="","",[1]!thsiFinD("ths_adjustment_nv_fund",D$3,$A218))</f>
        <v/>
      </c>
      <c r="E218" s="13" t="str">
        <f>IF($A218="","",[1]!thsiFinD("ths_adjustment_nv_fund",E$3,$A218))</f>
        <v/>
      </c>
      <c r="F218" s="13" t="str">
        <f>IF($A218="","",[1]!thsiFinD("ths_adjustment_nv_fund",F$3,$A218))</f>
        <v/>
      </c>
      <c r="G218" s="13" t="str">
        <f>IF($A218="","",[1]!thsiFinD("ths_adjustment_nv_fund",G$3,$A218))</f>
        <v/>
      </c>
      <c r="H218" s="13" t="str">
        <f>IF($A218="","",[1]!thsiFinD("ths_adjustment_nv_fund",H$3,$A218))</f>
        <v/>
      </c>
      <c r="I218" s="13" t="str">
        <f>IF($A218="","",[1]!thsiFinD("ths_adjustment_nv_fund",I$3,$A218))</f>
        <v/>
      </c>
      <c r="J218" s="13" t="str">
        <f>IF($A218="","",[1]!thsiFinD("ths_adjustment_nv_fund",J$3,$A218))</f>
        <v/>
      </c>
      <c r="K218" s="13" t="str">
        <f>IF($A218="","",[1]!thsiFinD("ths_adjustment_nv_fund",K$3,$A218))</f>
        <v/>
      </c>
      <c r="L218" s="13" t="str">
        <f>IF($A218="","",[1]!thsiFinD("ths_adjustment_nv_fund",L$3,$A218))</f>
        <v/>
      </c>
      <c r="M218" s="13" t="str">
        <f>IF($A218="","",[1]!thsiFinD("ths_adjustment_nv_fund",M$3,$A218))</f>
        <v/>
      </c>
      <c r="N218" s="13" t="str">
        <f>IF($A218="","",[1]!thsiFinD("ths_adjustment_nv_fund",N$3,$A218))</f>
        <v/>
      </c>
      <c r="O218" s="13" t="str">
        <f>IF($A218="","",[1]!thsiFinD("ths_adjustment_nv_fund",O$3,$A218))</f>
        <v/>
      </c>
      <c r="P218" s="13" t="str">
        <f>IF($A218="","",[1]!thsiFinD("ths_adjustment_nv_fund",P$3,$A218))</f>
        <v/>
      </c>
      <c r="Q218" s="13" t="str">
        <f>IF($A218="","",[1]!thsiFinD("ths_adjustment_nv_fund",Q$3,$A218))</f>
        <v/>
      </c>
      <c r="R218" s="13" t="str">
        <f>IF($A218="","",[1]!thsiFinD("ths_adjustment_nv_fund",R$3,$A218))</f>
        <v/>
      </c>
      <c r="S218" s="13" t="str">
        <f>IF($A218="","",[1]!thsiFinD("ths_adjustment_nv_fund",S$3,$A218))</f>
        <v/>
      </c>
      <c r="T218" s="13" t="str">
        <f>IF($A218="","",[1]!thsiFinD("ths_adjustment_nv_fund",T$3,$A218))</f>
        <v/>
      </c>
      <c r="U218" s="13" t="str">
        <f>IF($A218="","",[1]!thsiFinD("ths_adjustment_nv_fund",U$3,$A218))</f>
        <v/>
      </c>
      <c r="V218" s="13" t="str">
        <f>IF($A218="","",[1]!thsiFinD("ths_adjustment_nv_fund",V$3,$A218))</f>
        <v/>
      </c>
      <c r="W218" s="13" t="str">
        <f>IF($A218="","",[1]!thsiFinD("ths_adjustment_nv_fund",W$3,$A218))</f>
        <v/>
      </c>
      <c r="X218" s="13" t="str">
        <f>IF($A218="","",[1]!thsiFinD("ths_adjustment_nv_fund",X$3,$A218))</f>
        <v/>
      </c>
      <c r="Y218" s="13" t="str">
        <f>IF($A218="","",[1]!thsiFinD("ths_adjustment_nv_fund",Y$3,$A218))</f>
        <v/>
      </c>
      <c r="Z218" s="13" t="str">
        <f>IF($A218="","",[1]!thsiFinD("ths_adjustment_nv_fund",Z$3,$A218))</f>
        <v/>
      </c>
      <c r="AA218" s="13" t="str">
        <f>IF($A218="","",[1]!thsiFinD("ths_adjustment_nv_fund",AA$3,$A218))</f>
        <v/>
      </c>
      <c r="AB218" s="13">
        <f>IF($A218="","",[1]!thsiFinD("ths_adjustment_nv_fund",AB$3,$A218))</f>
        <v/>
      </c>
      <c r="AC218" s="13">
        <f>IF($A218="","",[1]!thsiFinD("ths_adjustment_nv_fund",AC$3,$A218))</f>
        <v/>
      </c>
      <c r="AD218" s="13">
        <f>IF($A218="","",[1]!thsiFinD("ths_adjustment_nv_fund",AD$3,$A218))</f>
        <v/>
      </c>
      <c r="AE218" s="13">
        <f>IF($A218="","",[1]!thsiFinD("ths_adjustment_nv_fund",AE$3,$A218))</f>
        <v/>
      </c>
      <c r="AF218" s="13">
        <f>IF($A218="","",[1]!thsiFinD("ths_adjustment_nv_fund",AF$3,$A218))</f>
        <v/>
      </c>
      <c r="AG218" s="13">
        <f>IF($A218="","",[1]!thsiFinD("ths_adjustment_nv_fund",AG$3,$A218))</f>
        <v/>
      </c>
      <c r="AH218" s="13">
        <f>IF($A218="","",[1]!thsiFinD("ths_adjustment_nv_fund",AH$3,$A218))</f>
        <v/>
      </c>
      <c r="AI218" s="13">
        <f>IF($A218="","",[1]!thsiFinD("ths_adjustment_nv_fund",AI$3,$A218))</f>
        <v/>
      </c>
      <c r="AJ218" s="13">
        <f>IF($A218="","",[1]!thsiFinD("ths_adjustment_nv_fund",AJ$3,$A218))</f>
        <v/>
      </c>
      <c r="AK218" s="13">
        <f>IF($A218="","",[1]!thsiFinD("ths_adjustment_nv_fund",AK$3,$A218))</f>
        <v/>
      </c>
      <c r="AL218" s="13">
        <f>IF($A218="","",[1]!thsiFinD("ths_adjustment_nv_fund",AL$3,$A218))</f>
        <v/>
      </c>
    </row>
    <row r="219" spans="2:28">
      <c r="B219" s="13" t="str">
        <f>IF($A219="","",[1]!thsiFinD("ths_adjustment_nv_fund",B$3,$A219))</f>
        <v/>
      </c>
      <c r="C219" s="13" t="str">
        <f>IF($A219="","",[1]!thsiFinD("ths_adjustment_nv_fund",C$3,$A219))</f>
        <v/>
      </c>
      <c r="D219" s="13" t="str">
        <f>IF($A219="","",[1]!thsiFinD("ths_adjustment_nv_fund",D$3,$A219))</f>
        <v/>
      </c>
      <c r="E219" s="13" t="str">
        <f>IF($A219="","",[1]!thsiFinD("ths_adjustment_nv_fund",E$3,$A219))</f>
        <v/>
      </c>
      <c r="F219" s="13" t="str">
        <f>IF($A219="","",[1]!thsiFinD("ths_adjustment_nv_fund",F$3,$A219))</f>
        <v/>
      </c>
      <c r="G219" s="13" t="str">
        <f>IF($A219="","",[1]!thsiFinD("ths_adjustment_nv_fund",G$3,$A219))</f>
        <v/>
      </c>
      <c r="H219" s="13" t="str">
        <f>IF($A219="","",[1]!thsiFinD("ths_adjustment_nv_fund",H$3,$A219))</f>
        <v/>
      </c>
      <c r="I219" s="13" t="str">
        <f>IF($A219="","",[1]!thsiFinD("ths_adjustment_nv_fund",I$3,$A219))</f>
        <v/>
      </c>
      <c r="J219" s="13" t="str">
        <f>IF($A219="","",[1]!thsiFinD("ths_adjustment_nv_fund",J$3,$A219))</f>
        <v/>
      </c>
      <c r="K219" s="13" t="str">
        <f>IF($A219="","",[1]!thsiFinD("ths_adjustment_nv_fund",K$3,$A219))</f>
        <v/>
      </c>
      <c r="L219" s="13" t="str">
        <f>IF($A219="","",[1]!thsiFinD("ths_adjustment_nv_fund",L$3,$A219))</f>
        <v/>
      </c>
      <c r="M219" s="13" t="str">
        <f>IF($A219="","",[1]!thsiFinD("ths_adjustment_nv_fund",M$3,$A219))</f>
        <v/>
      </c>
      <c r="N219" s="13" t="str">
        <f>IF($A219="","",[1]!thsiFinD("ths_adjustment_nv_fund",N$3,$A219))</f>
        <v/>
      </c>
      <c r="O219" s="13" t="str">
        <f>IF($A219="","",[1]!thsiFinD("ths_adjustment_nv_fund",O$3,$A219))</f>
        <v/>
      </c>
      <c r="P219" s="13" t="str">
        <f>IF($A219="","",[1]!thsiFinD("ths_adjustment_nv_fund",P$3,$A219))</f>
        <v/>
      </c>
      <c r="Q219" s="13" t="str">
        <f>IF($A219="","",[1]!thsiFinD("ths_adjustment_nv_fund",Q$3,$A219))</f>
        <v/>
      </c>
      <c r="R219" s="13" t="str">
        <f>IF($A219="","",[1]!thsiFinD("ths_adjustment_nv_fund",R$3,$A219))</f>
        <v/>
      </c>
      <c r="S219" s="13" t="str">
        <f>IF($A219="","",[1]!thsiFinD("ths_adjustment_nv_fund",S$3,$A219))</f>
        <v/>
      </c>
      <c r="T219" s="13" t="str">
        <f>IF($A219="","",[1]!thsiFinD("ths_adjustment_nv_fund",T$3,$A219))</f>
        <v/>
      </c>
      <c r="U219" s="13" t="str">
        <f>IF($A219="","",[1]!thsiFinD("ths_adjustment_nv_fund",U$3,$A219))</f>
        <v/>
      </c>
      <c r="V219" s="13" t="str">
        <f>IF($A219="","",[1]!thsiFinD("ths_adjustment_nv_fund",V$3,$A219))</f>
        <v/>
      </c>
      <c r="W219" s="13" t="str">
        <f>IF($A219="","",[1]!thsiFinD("ths_adjustment_nv_fund",W$3,$A219))</f>
        <v/>
      </c>
      <c r="X219" s="13" t="str">
        <f>IF($A219="","",[1]!thsiFinD("ths_adjustment_nv_fund",X$3,$A219))</f>
        <v/>
      </c>
      <c r="Y219" s="13" t="str">
        <f>IF($A219="","",[1]!thsiFinD("ths_adjustment_nv_fund",Y$3,$A219))</f>
        <v/>
      </c>
      <c r="Z219" s="13" t="str">
        <f>IF($A219="","",[1]!thsiFinD("ths_adjustment_nv_fund",Z$3,$A219))</f>
        <v/>
      </c>
      <c r="AA219" s="13" t="str">
        <f>IF($A219="","",[1]!thsiFinD("ths_adjustment_nv_fund",AA$3,$A219))</f>
        <v/>
      </c>
      <c r="AB219" s="13">
        <f>IF($A219="","",[1]!thsiFinD("ths_adjustment_nv_fund",AB$3,$A219))</f>
        <v/>
      </c>
      <c r="AC219" s="13">
        <f>IF($A219="","",[1]!thsiFinD("ths_adjustment_nv_fund",AC$3,$A219))</f>
        <v/>
      </c>
      <c r="AD219" s="13">
        <f>IF($A219="","",[1]!thsiFinD("ths_adjustment_nv_fund",AD$3,$A219))</f>
        <v/>
      </c>
      <c r="AE219" s="13">
        <f>IF($A219="","",[1]!thsiFinD("ths_adjustment_nv_fund",AE$3,$A219))</f>
        <v/>
      </c>
      <c r="AF219" s="13">
        <f>IF($A219="","",[1]!thsiFinD("ths_adjustment_nv_fund",AF$3,$A219))</f>
        <v/>
      </c>
      <c r="AG219" s="13">
        <f>IF($A219="","",[1]!thsiFinD("ths_adjustment_nv_fund",AG$3,$A219))</f>
        <v/>
      </c>
      <c r="AH219" s="13">
        <f>IF($A219="","",[1]!thsiFinD("ths_adjustment_nv_fund",AH$3,$A219))</f>
        <v/>
      </c>
      <c r="AI219" s="13">
        <f>IF($A219="","",[1]!thsiFinD("ths_adjustment_nv_fund",AI$3,$A219))</f>
        <v/>
      </c>
      <c r="AJ219" s="13">
        <f>IF($A219="","",[1]!thsiFinD("ths_adjustment_nv_fund",AJ$3,$A219))</f>
        <v/>
      </c>
      <c r="AK219" s="13">
        <f>IF($A219="","",[1]!thsiFinD("ths_adjustment_nv_fund",AK$3,$A219))</f>
        <v/>
      </c>
      <c r="AL219" s="13">
        <f>IF($A219="","",[1]!thsiFinD("ths_adjustment_nv_fund",AL$3,$A219))</f>
        <v/>
      </c>
    </row>
    <row r="220" spans="2:28">
      <c r="B220" s="13" t="str">
        <f>IF($A220="","",[1]!thsiFinD("ths_adjustment_nv_fund",B$3,$A220))</f>
        <v/>
      </c>
      <c r="C220" s="13" t="str">
        <f>IF($A220="","",[1]!thsiFinD("ths_adjustment_nv_fund",C$3,$A220))</f>
        <v/>
      </c>
      <c r="D220" s="13" t="str">
        <f>IF($A220="","",[1]!thsiFinD("ths_adjustment_nv_fund",D$3,$A220))</f>
        <v/>
      </c>
      <c r="E220" s="13" t="str">
        <f>IF($A220="","",[1]!thsiFinD("ths_adjustment_nv_fund",E$3,$A220))</f>
        <v/>
      </c>
      <c r="F220" s="13" t="str">
        <f>IF($A220="","",[1]!thsiFinD("ths_adjustment_nv_fund",F$3,$A220))</f>
        <v/>
      </c>
      <c r="G220" s="13" t="str">
        <f>IF($A220="","",[1]!thsiFinD("ths_adjustment_nv_fund",G$3,$A220))</f>
        <v/>
      </c>
      <c r="H220" s="13" t="str">
        <f>IF($A220="","",[1]!thsiFinD("ths_adjustment_nv_fund",H$3,$A220))</f>
        <v/>
      </c>
      <c r="I220" s="13" t="str">
        <f>IF($A220="","",[1]!thsiFinD("ths_adjustment_nv_fund",I$3,$A220))</f>
        <v/>
      </c>
      <c r="J220" s="13" t="str">
        <f>IF($A220="","",[1]!thsiFinD("ths_adjustment_nv_fund",J$3,$A220))</f>
        <v/>
      </c>
      <c r="K220" s="13" t="str">
        <f>IF($A220="","",[1]!thsiFinD("ths_adjustment_nv_fund",K$3,$A220))</f>
        <v/>
      </c>
      <c r="L220" s="13" t="str">
        <f>IF($A220="","",[1]!thsiFinD("ths_adjustment_nv_fund",L$3,$A220))</f>
        <v/>
      </c>
      <c r="M220" s="13" t="str">
        <f>IF($A220="","",[1]!thsiFinD("ths_adjustment_nv_fund",M$3,$A220))</f>
        <v/>
      </c>
      <c r="N220" s="13" t="str">
        <f>IF($A220="","",[1]!thsiFinD("ths_adjustment_nv_fund",N$3,$A220))</f>
        <v/>
      </c>
      <c r="O220" s="13" t="str">
        <f>IF($A220="","",[1]!thsiFinD("ths_adjustment_nv_fund",O$3,$A220))</f>
        <v/>
      </c>
      <c r="P220" s="13" t="str">
        <f>IF($A220="","",[1]!thsiFinD("ths_adjustment_nv_fund",P$3,$A220))</f>
        <v/>
      </c>
      <c r="Q220" s="13" t="str">
        <f>IF($A220="","",[1]!thsiFinD("ths_adjustment_nv_fund",Q$3,$A220))</f>
        <v/>
      </c>
      <c r="R220" s="13" t="str">
        <f>IF($A220="","",[1]!thsiFinD("ths_adjustment_nv_fund",R$3,$A220))</f>
        <v/>
      </c>
      <c r="S220" s="13" t="str">
        <f>IF($A220="","",[1]!thsiFinD("ths_adjustment_nv_fund",S$3,$A220))</f>
        <v/>
      </c>
      <c r="T220" s="13" t="str">
        <f>IF($A220="","",[1]!thsiFinD("ths_adjustment_nv_fund",T$3,$A220))</f>
        <v/>
      </c>
      <c r="U220" s="13" t="str">
        <f>IF($A220="","",[1]!thsiFinD("ths_adjustment_nv_fund",U$3,$A220))</f>
        <v/>
      </c>
      <c r="V220" s="13" t="str">
        <f>IF($A220="","",[1]!thsiFinD("ths_adjustment_nv_fund",V$3,$A220))</f>
        <v/>
      </c>
      <c r="W220" s="13" t="str">
        <f>IF($A220="","",[1]!thsiFinD("ths_adjustment_nv_fund",W$3,$A220))</f>
        <v/>
      </c>
      <c r="X220" s="13" t="str">
        <f>IF($A220="","",[1]!thsiFinD("ths_adjustment_nv_fund",X$3,$A220))</f>
        <v/>
      </c>
      <c r="Y220" s="13" t="str">
        <f>IF($A220="","",[1]!thsiFinD("ths_adjustment_nv_fund",Y$3,$A220))</f>
        <v/>
      </c>
      <c r="Z220" s="13" t="str">
        <f>IF($A220="","",[1]!thsiFinD("ths_adjustment_nv_fund",Z$3,$A220))</f>
        <v/>
      </c>
      <c r="AA220" s="13" t="str">
        <f>IF($A220="","",[1]!thsiFinD("ths_adjustment_nv_fund",AA$3,$A220))</f>
        <v/>
      </c>
      <c r="AB220" s="13">
        <f>IF($A220="","",[1]!thsiFinD("ths_adjustment_nv_fund",AB$3,$A220))</f>
        <v/>
      </c>
      <c r="AC220" s="13">
        <f>IF($A220="","",[1]!thsiFinD("ths_adjustment_nv_fund",AC$3,$A220))</f>
        <v/>
      </c>
      <c r="AD220" s="13">
        <f>IF($A220="","",[1]!thsiFinD("ths_adjustment_nv_fund",AD$3,$A220))</f>
        <v/>
      </c>
      <c r="AE220" s="13">
        <f>IF($A220="","",[1]!thsiFinD("ths_adjustment_nv_fund",AE$3,$A220))</f>
        <v/>
      </c>
      <c r="AF220" s="13">
        <f>IF($A220="","",[1]!thsiFinD("ths_adjustment_nv_fund",AF$3,$A220))</f>
        <v/>
      </c>
      <c r="AG220" s="13">
        <f>IF($A220="","",[1]!thsiFinD("ths_adjustment_nv_fund",AG$3,$A220))</f>
        <v/>
      </c>
      <c r="AH220" s="13">
        <f>IF($A220="","",[1]!thsiFinD("ths_adjustment_nv_fund",AH$3,$A220))</f>
        <v/>
      </c>
      <c r="AI220" s="13">
        <f>IF($A220="","",[1]!thsiFinD("ths_adjustment_nv_fund",AI$3,$A220))</f>
        <v/>
      </c>
      <c r="AJ220" s="13">
        <f>IF($A220="","",[1]!thsiFinD("ths_adjustment_nv_fund",AJ$3,$A220))</f>
        <v/>
      </c>
      <c r="AK220" s="13">
        <f>IF($A220="","",[1]!thsiFinD("ths_adjustment_nv_fund",AK$3,$A220))</f>
        <v/>
      </c>
      <c r="AL220" s="13">
        <f>IF($A220="","",[1]!thsiFinD("ths_adjustment_nv_fund",AL$3,$A220))</f>
        <v/>
      </c>
    </row>
    <row r="221" spans="2:28">
      <c r="B221" s="13" t="str">
        <f>IF($A221="","",[1]!thsiFinD("ths_adjustment_nv_fund",B$3,$A221))</f>
        <v/>
      </c>
      <c r="C221" s="13" t="str">
        <f>IF($A221="","",[1]!thsiFinD("ths_adjustment_nv_fund",C$3,$A221))</f>
        <v/>
      </c>
      <c r="D221" s="13" t="str">
        <f>IF($A221="","",[1]!thsiFinD("ths_adjustment_nv_fund",D$3,$A221))</f>
        <v/>
      </c>
      <c r="E221" s="13" t="str">
        <f>IF($A221="","",[1]!thsiFinD("ths_adjustment_nv_fund",E$3,$A221))</f>
        <v/>
      </c>
      <c r="F221" s="13" t="str">
        <f>IF($A221="","",[1]!thsiFinD("ths_adjustment_nv_fund",F$3,$A221))</f>
        <v/>
      </c>
      <c r="G221" s="13" t="str">
        <f>IF($A221="","",[1]!thsiFinD("ths_adjustment_nv_fund",G$3,$A221))</f>
        <v/>
      </c>
      <c r="H221" s="13" t="str">
        <f>IF($A221="","",[1]!thsiFinD("ths_adjustment_nv_fund",H$3,$A221))</f>
        <v/>
      </c>
      <c r="I221" s="13" t="str">
        <f>IF($A221="","",[1]!thsiFinD("ths_adjustment_nv_fund",I$3,$A221))</f>
        <v/>
      </c>
      <c r="J221" s="13" t="str">
        <f>IF($A221="","",[1]!thsiFinD("ths_adjustment_nv_fund",J$3,$A221))</f>
        <v/>
      </c>
      <c r="K221" s="13" t="str">
        <f>IF($A221="","",[1]!thsiFinD("ths_adjustment_nv_fund",K$3,$A221))</f>
        <v/>
      </c>
      <c r="L221" s="13" t="str">
        <f>IF($A221="","",[1]!thsiFinD("ths_adjustment_nv_fund",L$3,$A221))</f>
        <v/>
      </c>
      <c r="M221" s="13" t="str">
        <f>IF($A221="","",[1]!thsiFinD("ths_adjustment_nv_fund",M$3,$A221))</f>
        <v/>
      </c>
      <c r="N221" s="13" t="str">
        <f>IF($A221="","",[1]!thsiFinD("ths_adjustment_nv_fund",N$3,$A221))</f>
        <v/>
      </c>
      <c r="O221" s="13" t="str">
        <f>IF($A221="","",[1]!thsiFinD("ths_adjustment_nv_fund",O$3,$A221))</f>
        <v/>
      </c>
      <c r="P221" s="13" t="str">
        <f>IF($A221="","",[1]!thsiFinD("ths_adjustment_nv_fund",P$3,$A221))</f>
        <v/>
      </c>
      <c r="Q221" s="13" t="str">
        <f>IF($A221="","",[1]!thsiFinD("ths_adjustment_nv_fund",Q$3,$A221))</f>
        <v/>
      </c>
      <c r="R221" s="13" t="str">
        <f>IF($A221="","",[1]!thsiFinD("ths_adjustment_nv_fund",R$3,$A221))</f>
        <v/>
      </c>
      <c r="S221" s="13" t="str">
        <f>IF($A221="","",[1]!thsiFinD("ths_adjustment_nv_fund",S$3,$A221))</f>
        <v/>
      </c>
      <c r="T221" s="13" t="str">
        <f>IF($A221="","",[1]!thsiFinD("ths_adjustment_nv_fund",T$3,$A221))</f>
        <v/>
      </c>
      <c r="U221" s="13" t="str">
        <f>IF($A221="","",[1]!thsiFinD("ths_adjustment_nv_fund",U$3,$A221))</f>
        <v/>
      </c>
      <c r="V221" s="13" t="str">
        <f>IF($A221="","",[1]!thsiFinD("ths_adjustment_nv_fund",V$3,$A221))</f>
        <v/>
      </c>
      <c r="W221" s="13" t="str">
        <f>IF($A221="","",[1]!thsiFinD("ths_adjustment_nv_fund",W$3,$A221))</f>
        <v/>
      </c>
      <c r="X221" s="13" t="str">
        <f>IF($A221="","",[1]!thsiFinD("ths_adjustment_nv_fund",X$3,$A221))</f>
        <v/>
      </c>
      <c r="Y221" s="13" t="str">
        <f>IF($A221="","",[1]!thsiFinD("ths_adjustment_nv_fund",Y$3,$A221))</f>
        <v/>
      </c>
      <c r="Z221" s="13" t="str">
        <f>IF($A221="","",[1]!thsiFinD("ths_adjustment_nv_fund",Z$3,$A221))</f>
        <v/>
      </c>
      <c r="AA221" s="13" t="str">
        <f>IF($A221="","",[1]!thsiFinD("ths_adjustment_nv_fund",AA$3,$A221))</f>
        <v/>
      </c>
      <c r="AB221" s="13">
        <f>IF($A221="","",[1]!thsiFinD("ths_adjustment_nv_fund",AB$3,$A221))</f>
        <v/>
      </c>
      <c r="AC221" s="13">
        <f>IF($A221="","",[1]!thsiFinD("ths_adjustment_nv_fund",AC$3,$A221))</f>
        <v/>
      </c>
      <c r="AD221" s="13">
        <f>IF($A221="","",[1]!thsiFinD("ths_adjustment_nv_fund",AD$3,$A221))</f>
        <v/>
      </c>
      <c r="AE221" s="13">
        <f>IF($A221="","",[1]!thsiFinD("ths_adjustment_nv_fund",AE$3,$A221))</f>
        <v/>
      </c>
      <c r="AF221" s="13">
        <f>IF($A221="","",[1]!thsiFinD("ths_adjustment_nv_fund",AF$3,$A221))</f>
        <v/>
      </c>
      <c r="AG221" s="13">
        <f>IF($A221="","",[1]!thsiFinD("ths_adjustment_nv_fund",AG$3,$A221))</f>
        <v/>
      </c>
      <c r="AH221" s="13">
        <f>IF($A221="","",[1]!thsiFinD("ths_adjustment_nv_fund",AH$3,$A221))</f>
        <v/>
      </c>
      <c r="AI221" s="13">
        <f>IF($A221="","",[1]!thsiFinD("ths_adjustment_nv_fund",AI$3,$A221))</f>
        <v/>
      </c>
      <c r="AJ221" s="13">
        <f>IF($A221="","",[1]!thsiFinD("ths_adjustment_nv_fund",AJ$3,$A221))</f>
        <v/>
      </c>
      <c r="AK221" s="13">
        <f>IF($A221="","",[1]!thsiFinD("ths_adjustment_nv_fund",AK$3,$A221))</f>
        <v/>
      </c>
      <c r="AL221" s="13">
        <f>IF($A221="","",[1]!thsiFinD("ths_adjustment_nv_fund",AL$3,$A221))</f>
        <v/>
      </c>
    </row>
    <row r="222" spans="2:28">
      <c r="B222" s="13" t="str">
        <f>IF($A222="","",[1]!thsiFinD("ths_adjustment_nv_fund",B$3,$A222))</f>
        <v/>
      </c>
      <c r="C222" s="13" t="str">
        <f>IF($A222="","",[1]!thsiFinD("ths_adjustment_nv_fund",C$3,$A222))</f>
        <v/>
      </c>
      <c r="D222" s="13" t="str">
        <f>IF($A222="","",[1]!thsiFinD("ths_adjustment_nv_fund",D$3,$A222))</f>
        <v/>
      </c>
      <c r="E222" s="13" t="str">
        <f>IF($A222="","",[1]!thsiFinD("ths_adjustment_nv_fund",E$3,$A222))</f>
        <v/>
      </c>
      <c r="F222" s="13" t="str">
        <f>IF($A222="","",[1]!thsiFinD("ths_adjustment_nv_fund",F$3,$A222))</f>
        <v/>
      </c>
      <c r="G222" s="13" t="str">
        <f>IF($A222="","",[1]!thsiFinD("ths_adjustment_nv_fund",G$3,$A222))</f>
        <v/>
      </c>
      <c r="H222" s="13" t="str">
        <f>IF($A222="","",[1]!thsiFinD("ths_adjustment_nv_fund",H$3,$A222))</f>
        <v/>
      </c>
      <c r="I222" s="13" t="str">
        <f>IF($A222="","",[1]!thsiFinD("ths_adjustment_nv_fund",I$3,$A222))</f>
        <v/>
      </c>
      <c r="J222" s="13" t="str">
        <f>IF($A222="","",[1]!thsiFinD("ths_adjustment_nv_fund",J$3,$A222))</f>
        <v/>
      </c>
      <c r="K222" s="13" t="str">
        <f>IF($A222="","",[1]!thsiFinD("ths_adjustment_nv_fund",K$3,$A222))</f>
        <v/>
      </c>
      <c r="L222" s="13" t="str">
        <f>IF($A222="","",[1]!thsiFinD("ths_adjustment_nv_fund",L$3,$A222))</f>
        <v/>
      </c>
      <c r="M222" s="13" t="str">
        <f>IF($A222="","",[1]!thsiFinD("ths_adjustment_nv_fund",M$3,$A222))</f>
        <v/>
      </c>
      <c r="N222" s="13" t="str">
        <f>IF($A222="","",[1]!thsiFinD("ths_adjustment_nv_fund",N$3,$A222))</f>
        <v/>
      </c>
      <c r="O222" s="13" t="str">
        <f>IF($A222="","",[1]!thsiFinD("ths_adjustment_nv_fund",O$3,$A222))</f>
        <v/>
      </c>
      <c r="P222" s="13" t="str">
        <f>IF($A222="","",[1]!thsiFinD("ths_adjustment_nv_fund",P$3,$A222))</f>
        <v/>
      </c>
      <c r="Q222" s="13" t="str">
        <f>IF($A222="","",[1]!thsiFinD("ths_adjustment_nv_fund",Q$3,$A222))</f>
        <v/>
      </c>
      <c r="R222" s="13" t="str">
        <f>IF($A222="","",[1]!thsiFinD("ths_adjustment_nv_fund",R$3,$A222))</f>
        <v/>
      </c>
      <c r="S222" s="13" t="str">
        <f>IF($A222="","",[1]!thsiFinD("ths_adjustment_nv_fund",S$3,$A222))</f>
        <v/>
      </c>
      <c r="T222" s="13" t="str">
        <f>IF($A222="","",[1]!thsiFinD("ths_adjustment_nv_fund",T$3,$A222))</f>
        <v/>
      </c>
      <c r="U222" s="13" t="str">
        <f>IF($A222="","",[1]!thsiFinD("ths_adjustment_nv_fund",U$3,$A222))</f>
        <v/>
      </c>
      <c r="V222" s="13" t="str">
        <f>IF($A222="","",[1]!thsiFinD("ths_adjustment_nv_fund",V$3,$A222))</f>
        <v/>
      </c>
      <c r="W222" s="13" t="str">
        <f>IF($A222="","",[1]!thsiFinD("ths_adjustment_nv_fund",W$3,$A222))</f>
        <v/>
      </c>
      <c r="X222" s="13" t="str">
        <f>IF($A222="","",[1]!thsiFinD("ths_adjustment_nv_fund",X$3,$A222))</f>
        <v/>
      </c>
      <c r="Y222" s="13" t="str">
        <f>IF($A222="","",[1]!thsiFinD("ths_adjustment_nv_fund",Y$3,$A222))</f>
        <v/>
      </c>
      <c r="Z222" s="13" t="str">
        <f>IF($A222="","",[1]!thsiFinD("ths_adjustment_nv_fund",Z$3,$A222))</f>
        <v/>
      </c>
      <c r="AA222" s="13" t="str">
        <f>IF($A222="","",[1]!thsiFinD("ths_adjustment_nv_fund",AA$3,$A222))</f>
        <v/>
      </c>
      <c r="AB222" s="13">
        <f>IF($A222="","",[1]!thsiFinD("ths_adjustment_nv_fund",AB$3,$A222))</f>
        <v/>
      </c>
      <c r="AC222" s="13">
        <f>IF($A222="","",[1]!thsiFinD("ths_adjustment_nv_fund",AC$3,$A222))</f>
        <v/>
      </c>
      <c r="AD222" s="13">
        <f>IF($A222="","",[1]!thsiFinD("ths_adjustment_nv_fund",AD$3,$A222))</f>
        <v/>
      </c>
      <c r="AE222" s="13">
        <f>IF($A222="","",[1]!thsiFinD("ths_adjustment_nv_fund",AE$3,$A222))</f>
        <v/>
      </c>
      <c r="AF222" s="13">
        <f>IF($A222="","",[1]!thsiFinD("ths_adjustment_nv_fund",AF$3,$A222))</f>
        <v/>
      </c>
      <c r="AG222" s="13">
        <f>IF($A222="","",[1]!thsiFinD("ths_adjustment_nv_fund",AG$3,$A222))</f>
        <v/>
      </c>
      <c r="AH222" s="13">
        <f>IF($A222="","",[1]!thsiFinD("ths_adjustment_nv_fund",AH$3,$A222))</f>
        <v/>
      </c>
      <c r="AI222" s="13">
        <f>IF($A222="","",[1]!thsiFinD("ths_adjustment_nv_fund",AI$3,$A222))</f>
        <v/>
      </c>
      <c r="AJ222" s="13">
        <f>IF($A222="","",[1]!thsiFinD("ths_adjustment_nv_fund",AJ$3,$A222))</f>
        <v/>
      </c>
      <c r="AK222" s="13">
        <f>IF($A222="","",[1]!thsiFinD("ths_adjustment_nv_fund",AK$3,$A222))</f>
        <v/>
      </c>
      <c r="AL222" s="13">
        <f>IF($A222="","",[1]!thsiFinD("ths_adjustment_nv_fund",AL$3,$A222))</f>
        <v/>
      </c>
    </row>
    <row r="223" spans="2:28">
      <c r="B223" s="13" t="str">
        <f>IF($A223="","",[1]!thsiFinD("ths_adjustment_nv_fund",B$3,$A223))</f>
        <v/>
      </c>
      <c r="C223" s="13" t="str">
        <f>IF($A223="","",[1]!thsiFinD("ths_adjustment_nv_fund",C$3,$A223))</f>
        <v/>
      </c>
      <c r="D223" s="13" t="str">
        <f>IF($A223="","",[1]!thsiFinD("ths_adjustment_nv_fund",D$3,$A223))</f>
        <v/>
      </c>
      <c r="E223" s="13" t="str">
        <f>IF($A223="","",[1]!thsiFinD("ths_adjustment_nv_fund",E$3,$A223))</f>
        <v/>
      </c>
      <c r="F223" s="13" t="str">
        <f>IF($A223="","",[1]!thsiFinD("ths_adjustment_nv_fund",F$3,$A223))</f>
        <v/>
      </c>
      <c r="G223" s="13" t="str">
        <f>IF($A223="","",[1]!thsiFinD("ths_adjustment_nv_fund",G$3,$A223))</f>
        <v/>
      </c>
      <c r="H223" s="13" t="str">
        <f>IF($A223="","",[1]!thsiFinD("ths_adjustment_nv_fund",H$3,$A223))</f>
        <v/>
      </c>
      <c r="I223" s="13" t="str">
        <f>IF($A223="","",[1]!thsiFinD("ths_adjustment_nv_fund",I$3,$A223))</f>
        <v/>
      </c>
      <c r="J223" s="13" t="str">
        <f>IF($A223="","",[1]!thsiFinD("ths_adjustment_nv_fund",J$3,$A223))</f>
        <v/>
      </c>
      <c r="K223" s="13" t="str">
        <f>IF($A223="","",[1]!thsiFinD("ths_adjustment_nv_fund",K$3,$A223))</f>
        <v/>
      </c>
      <c r="L223" s="13" t="str">
        <f>IF($A223="","",[1]!thsiFinD("ths_adjustment_nv_fund",L$3,$A223))</f>
        <v/>
      </c>
      <c r="M223" s="13" t="str">
        <f>IF($A223="","",[1]!thsiFinD("ths_adjustment_nv_fund",M$3,$A223))</f>
        <v/>
      </c>
      <c r="N223" s="13" t="str">
        <f>IF($A223="","",[1]!thsiFinD("ths_adjustment_nv_fund",N$3,$A223))</f>
        <v/>
      </c>
      <c r="O223" s="13" t="str">
        <f>IF($A223="","",[1]!thsiFinD("ths_adjustment_nv_fund",O$3,$A223))</f>
        <v/>
      </c>
      <c r="P223" s="13" t="str">
        <f>IF($A223="","",[1]!thsiFinD("ths_adjustment_nv_fund",P$3,$A223))</f>
        <v/>
      </c>
      <c r="Q223" s="13" t="str">
        <f>IF($A223="","",[1]!thsiFinD("ths_adjustment_nv_fund",Q$3,$A223))</f>
        <v/>
      </c>
      <c r="R223" s="13" t="str">
        <f>IF($A223="","",[1]!thsiFinD("ths_adjustment_nv_fund",R$3,$A223))</f>
        <v/>
      </c>
      <c r="S223" s="13" t="str">
        <f>IF($A223="","",[1]!thsiFinD("ths_adjustment_nv_fund",S$3,$A223))</f>
        <v/>
      </c>
      <c r="T223" s="13" t="str">
        <f>IF($A223="","",[1]!thsiFinD("ths_adjustment_nv_fund",T$3,$A223))</f>
        <v/>
      </c>
      <c r="U223" s="13" t="str">
        <f>IF($A223="","",[1]!thsiFinD("ths_adjustment_nv_fund",U$3,$A223))</f>
        <v/>
      </c>
      <c r="V223" s="13" t="str">
        <f>IF($A223="","",[1]!thsiFinD("ths_adjustment_nv_fund",V$3,$A223))</f>
        <v/>
      </c>
      <c r="W223" s="13" t="str">
        <f>IF($A223="","",[1]!thsiFinD("ths_adjustment_nv_fund",W$3,$A223))</f>
        <v/>
      </c>
      <c r="X223" s="13" t="str">
        <f>IF($A223="","",[1]!thsiFinD("ths_adjustment_nv_fund",X$3,$A223))</f>
        <v/>
      </c>
      <c r="Y223" s="13" t="str">
        <f>IF($A223="","",[1]!thsiFinD("ths_adjustment_nv_fund",Y$3,$A223))</f>
        <v/>
      </c>
      <c r="Z223" s="13" t="str">
        <f>IF($A223="","",[1]!thsiFinD("ths_adjustment_nv_fund",Z$3,$A223))</f>
        <v/>
      </c>
      <c r="AA223" s="13" t="str">
        <f>IF($A223="","",[1]!thsiFinD("ths_adjustment_nv_fund",AA$3,$A223))</f>
        <v/>
      </c>
      <c r="AB223" s="13">
        <f>IF($A223="","",[1]!thsiFinD("ths_adjustment_nv_fund",AB$3,$A223))</f>
        <v/>
      </c>
      <c r="AC223" s="13">
        <f>IF($A223="","",[1]!thsiFinD("ths_adjustment_nv_fund",AC$3,$A223))</f>
        <v/>
      </c>
      <c r="AD223" s="13">
        <f>IF($A223="","",[1]!thsiFinD("ths_adjustment_nv_fund",AD$3,$A223))</f>
        <v/>
      </c>
      <c r="AE223" s="13">
        <f>IF($A223="","",[1]!thsiFinD("ths_adjustment_nv_fund",AE$3,$A223))</f>
        <v/>
      </c>
      <c r="AF223" s="13">
        <f>IF($A223="","",[1]!thsiFinD("ths_adjustment_nv_fund",AF$3,$A223))</f>
        <v/>
      </c>
      <c r="AG223" s="13">
        <f>IF($A223="","",[1]!thsiFinD("ths_adjustment_nv_fund",AG$3,$A223))</f>
        <v/>
      </c>
      <c r="AH223" s="13">
        <f>IF($A223="","",[1]!thsiFinD("ths_adjustment_nv_fund",AH$3,$A223))</f>
        <v/>
      </c>
      <c r="AI223" s="13">
        <f>IF($A223="","",[1]!thsiFinD("ths_adjustment_nv_fund",AI$3,$A223))</f>
        <v/>
      </c>
      <c r="AJ223" s="13">
        <f>IF($A223="","",[1]!thsiFinD("ths_adjustment_nv_fund",AJ$3,$A223))</f>
        <v/>
      </c>
      <c r="AK223" s="13">
        <f>IF($A223="","",[1]!thsiFinD("ths_adjustment_nv_fund",AK$3,$A223))</f>
        <v/>
      </c>
      <c r="AL223" s="13">
        <f>IF($A223="","",[1]!thsiFinD("ths_adjustment_nv_fund",AL$3,$A223))</f>
        <v/>
      </c>
    </row>
    <row r="224" spans="2:28">
      <c r="B224" s="13" t="str">
        <f>IF($A224="","",[1]!thsiFinD("ths_adjustment_nv_fund",B$3,$A224))</f>
        <v/>
      </c>
      <c r="C224" s="13" t="str">
        <f>IF($A224="","",[1]!thsiFinD("ths_adjustment_nv_fund",C$3,$A224))</f>
        <v/>
      </c>
      <c r="D224" s="13" t="str">
        <f>IF($A224="","",[1]!thsiFinD("ths_adjustment_nv_fund",D$3,$A224))</f>
        <v/>
      </c>
      <c r="E224" s="13" t="str">
        <f>IF($A224="","",[1]!thsiFinD("ths_adjustment_nv_fund",E$3,$A224))</f>
        <v/>
      </c>
      <c r="F224" s="13" t="str">
        <f>IF($A224="","",[1]!thsiFinD("ths_adjustment_nv_fund",F$3,$A224))</f>
        <v/>
      </c>
      <c r="G224" s="13" t="str">
        <f>IF($A224="","",[1]!thsiFinD("ths_adjustment_nv_fund",G$3,$A224))</f>
        <v/>
      </c>
      <c r="H224" s="13" t="str">
        <f>IF($A224="","",[1]!thsiFinD("ths_adjustment_nv_fund",H$3,$A224))</f>
        <v/>
      </c>
      <c r="I224" s="13" t="str">
        <f>IF($A224="","",[1]!thsiFinD("ths_adjustment_nv_fund",I$3,$A224))</f>
        <v/>
      </c>
      <c r="J224" s="13" t="str">
        <f>IF($A224="","",[1]!thsiFinD("ths_adjustment_nv_fund",J$3,$A224))</f>
        <v/>
      </c>
      <c r="K224" s="13" t="str">
        <f>IF($A224="","",[1]!thsiFinD("ths_adjustment_nv_fund",K$3,$A224))</f>
        <v/>
      </c>
      <c r="L224" s="13" t="str">
        <f>IF($A224="","",[1]!thsiFinD("ths_adjustment_nv_fund",L$3,$A224))</f>
        <v/>
      </c>
      <c r="M224" s="13" t="str">
        <f>IF($A224="","",[1]!thsiFinD("ths_adjustment_nv_fund",M$3,$A224))</f>
        <v/>
      </c>
      <c r="N224" s="13" t="str">
        <f>IF($A224="","",[1]!thsiFinD("ths_adjustment_nv_fund",N$3,$A224))</f>
        <v/>
      </c>
      <c r="O224" s="13" t="str">
        <f>IF($A224="","",[1]!thsiFinD("ths_adjustment_nv_fund",O$3,$A224))</f>
        <v/>
      </c>
      <c r="P224" s="13" t="str">
        <f>IF($A224="","",[1]!thsiFinD("ths_adjustment_nv_fund",P$3,$A224))</f>
        <v/>
      </c>
      <c r="Q224" s="13" t="str">
        <f>IF($A224="","",[1]!thsiFinD("ths_adjustment_nv_fund",Q$3,$A224))</f>
        <v/>
      </c>
      <c r="R224" s="13" t="str">
        <f>IF($A224="","",[1]!thsiFinD("ths_adjustment_nv_fund",R$3,$A224))</f>
        <v/>
      </c>
      <c r="S224" s="13" t="str">
        <f>IF($A224="","",[1]!thsiFinD("ths_adjustment_nv_fund",S$3,$A224))</f>
        <v/>
      </c>
      <c r="T224" s="13" t="str">
        <f>IF($A224="","",[1]!thsiFinD("ths_adjustment_nv_fund",T$3,$A224))</f>
        <v/>
      </c>
      <c r="U224" s="13" t="str">
        <f>IF($A224="","",[1]!thsiFinD("ths_adjustment_nv_fund",U$3,$A224))</f>
        <v/>
      </c>
      <c r="V224" s="13" t="str">
        <f>IF($A224="","",[1]!thsiFinD("ths_adjustment_nv_fund",V$3,$A224))</f>
        <v/>
      </c>
      <c r="W224" s="13" t="str">
        <f>IF($A224="","",[1]!thsiFinD("ths_adjustment_nv_fund",W$3,$A224))</f>
        <v/>
      </c>
      <c r="X224" s="13" t="str">
        <f>IF($A224="","",[1]!thsiFinD("ths_adjustment_nv_fund",X$3,$A224))</f>
        <v/>
      </c>
      <c r="Y224" s="13" t="str">
        <f>IF($A224="","",[1]!thsiFinD("ths_adjustment_nv_fund",Y$3,$A224))</f>
        <v/>
      </c>
      <c r="Z224" s="13" t="str">
        <f>IF($A224="","",[1]!thsiFinD("ths_adjustment_nv_fund",Z$3,$A224))</f>
        <v/>
      </c>
      <c r="AA224" s="13" t="str">
        <f>IF($A224="","",[1]!thsiFinD("ths_adjustment_nv_fund",AA$3,$A224))</f>
        <v/>
      </c>
      <c r="AB224" s="13">
        <f>IF($A224="","",[1]!thsiFinD("ths_adjustment_nv_fund",AB$3,$A224))</f>
        <v/>
      </c>
      <c r="AC224" s="13">
        <f>IF($A224="","",[1]!thsiFinD("ths_adjustment_nv_fund",AC$3,$A224))</f>
        <v/>
      </c>
      <c r="AD224" s="13">
        <f>IF($A224="","",[1]!thsiFinD("ths_adjustment_nv_fund",AD$3,$A224))</f>
        <v/>
      </c>
      <c r="AE224" s="13">
        <f>IF($A224="","",[1]!thsiFinD("ths_adjustment_nv_fund",AE$3,$A224))</f>
        <v/>
      </c>
      <c r="AF224" s="13">
        <f>IF($A224="","",[1]!thsiFinD("ths_adjustment_nv_fund",AF$3,$A224))</f>
        <v/>
      </c>
      <c r="AG224" s="13">
        <f>IF($A224="","",[1]!thsiFinD("ths_adjustment_nv_fund",AG$3,$A224))</f>
        <v/>
      </c>
      <c r="AH224" s="13">
        <f>IF($A224="","",[1]!thsiFinD("ths_adjustment_nv_fund",AH$3,$A224))</f>
        <v/>
      </c>
      <c r="AI224" s="13">
        <f>IF($A224="","",[1]!thsiFinD("ths_adjustment_nv_fund",AI$3,$A224))</f>
        <v/>
      </c>
      <c r="AJ224" s="13">
        <f>IF($A224="","",[1]!thsiFinD("ths_adjustment_nv_fund",AJ$3,$A224))</f>
        <v/>
      </c>
      <c r="AK224" s="13">
        <f>IF($A224="","",[1]!thsiFinD("ths_adjustment_nv_fund",AK$3,$A224))</f>
        <v/>
      </c>
      <c r="AL224" s="13">
        <f>IF($A224="","",[1]!thsiFinD("ths_adjustment_nv_fund",AL$3,$A224))</f>
        <v/>
      </c>
    </row>
    <row r="225" spans="2:28">
      <c r="B225" s="13" t="str">
        <f>IF($A225="","",[1]!thsiFinD("ths_adjustment_nv_fund",B$3,$A225))</f>
        <v/>
      </c>
      <c r="C225" s="13" t="str">
        <f>IF($A225="","",[1]!thsiFinD("ths_adjustment_nv_fund",C$3,$A225))</f>
        <v/>
      </c>
      <c r="D225" s="13" t="str">
        <f>IF($A225="","",[1]!thsiFinD("ths_adjustment_nv_fund",D$3,$A225))</f>
        <v/>
      </c>
      <c r="E225" s="13" t="str">
        <f>IF($A225="","",[1]!thsiFinD("ths_adjustment_nv_fund",E$3,$A225))</f>
        <v/>
      </c>
      <c r="F225" s="13" t="str">
        <f>IF($A225="","",[1]!thsiFinD("ths_adjustment_nv_fund",F$3,$A225))</f>
        <v/>
      </c>
      <c r="G225" s="13" t="str">
        <f>IF($A225="","",[1]!thsiFinD("ths_adjustment_nv_fund",G$3,$A225))</f>
        <v/>
      </c>
      <c r="H225" s="13" t="str">
        <f>IF($A225="","",[1]!thsiFinD("ths_adjustment_nv_fund",H$3,$A225))</f>
        <v/>
      </c>
      <c r="I225" s="13" t="str">
        <f>IF($A225="","",[1]!thsiFinD("ths_adjustment_nv_fund",I$3,$A225))</f>
        <v/>
      </c>
      <c r="J225" s="13" t="str">
        <f>IF($A225="","",[1]!thsiFinD("ths_adjustment_nv_fund",J$3,$A225))</f>
        <v/>
      </c>
      <c r="K225" s="13" t="str">
        <f>IF($A225="","",[1]!thsiFinD("ths_adjustment_nv_fund",K$3,$A225))</f>
        <v/>
      </c>
      <c r="L225" s="13" t="str">
        <f>IF($A225="","",[1]!thsiFinD("ths_adjustment_nv_fund",L$3,$A225))</f>
        <v/>
      </c>
      <c r="M225" s="13" t="str">
        <f>IF($A225="","",[1]!thsiFinD("ths_adjustment_nv_fund",M$3,$A225))</f>
        <v/>
      </c>
      <c r="N225" s="13" t="str">
        <f>IF($A225="","",[1]!thsiFinD("ths_adjustment_nv_fund",N$3,$A225))</f>
        <v/>
      </c>
      <c r="O225" s="13" t="str">
        <f>IF($A225="","",[1]!thsiFinD("ths_adjustment_nv_fund",O$3,$A225))</f>
        <v/>
      </c>
      <c r="P225" s="13" t="str">
        <f>IF($A225="","",[1]!thsiFinD("ths_adjustment_nv_fund",P$3,$A225))</f>
        <v/>
      </c>
      <c r="Q225" s="13" t="str">
        <f>IF($A225="","",[1]!thsiFinD("ths_adjustment_nv_fund",Q$3,$A225))</f>
        <v/>
      </c>
      <c r="R225" s="13" t="str">
        <f>IF($A225="","",[1]!thsiFinD("ths_adjustment_nv_fund",R$3,$A225))</f>
        <v/>
      </c>
      <c r="S225" s="13" t="str">
        <f>IF($A225="","",[1]!thsiFinD("ths_adjustment_nv_fund",S$3,$A225))</f>
        <v/>
      </c>
      <c r="T225" s="13" t="str">
        <f>IF($A225="","",[1]!thsiFinD("ths_adjustment_nv_fund",T$3,$A225))</f>
        <v/>
      </c>
      <c r="U225" s="13" t="str">
        <f>IF($A225="","",[1]!thsiFinD("ths_adjustment_nv_fund",U$3,$A225))</f>
        <v/>
      </c>
      <c r="V225" s="13" t="str">
        <f>IF($A225="","",[1]!thsiFinD("ths_adjustment_nv_fund",V$3,$A225))</f>
        <v/>
      </c>
      <c r="W225" s="13" t="str">
        <f>IF($A225="","",[1]!thsiFinD("ths_adjustment_nv_fund",W$3,$A225))</f>
        <v/>
      </c>
      <c r="X225" s="13" t="str">
        <f>IF($A225="","",[1]!thsiFinD("ths_adjustment_nv_fund",X$3,$A225))</f>
        <v/>
      </c>
      <c r="Y225" s="13" t="str">
        <f>IF($A225="","",[1]!thsiFinD("ths_adjustment_nv_fund",Y$3,$A225))</f>
        <v/>
      </c>
      <c r="Z225" s="13" t="str">
        <f>IF($A225="","",[1]!thsiFinD("ths_adjustment_nv_fund",Z$3,$A225))</f>
        <v/>
      </c>
      <c r="AA225" s="13" t="str">
        <f>IF($A225="","",[1]!thsiFinD("ths_adjustment_nv_fund",AA$3,$A225))</f>
        <v/>
      </c>
      <c r="AB225" s="13">
        <f>IF($A225="","",[1]!thsiFinD("ths_adjustment_nv_fund",AB$3,$A225))</f>
        <v/>
      </c>
      <c r="AC225" s="13">
        <f>IF($A225="","",[1]!thsiFinD("ths_adjustment_nv_fund",AC$3,$A225))</f>
        <v/>
      </c>
      <c r="AD225" s="13">
        <f>IF($A225="","",[1]!thsiFinD("ths_adjustment_nv_fund",AD$3,$A225))</f>
        <v/>
      </c>
      <c r="AE225" s="13">
        <f>IF($A225="","",[1]!thsiFinD("ths_adjustment_nv_fund",AE$3,$A225))</f>
        <v/>
      </c>
      <c r="AF225" s="13">
        <f>IF($A225="","",[1]!thsiFinD("ths_adjustment_nv_fund",AF$3,$A225))</f>
        <v/>
      </c>
      <c r="AG225" s="13">
        <f>IF($A225="","",[1]!thsiFinD("ths_adjustment_nv_fund",AG$3,$A225))</f>
        <v/>
      </c>
      <c r="AH225" s="13">
        <f>IF($A225="","",[1]!thsiFinD("ths_adjustment_nv_fund",AH$3,$A225))</f>
        <v/>
      </c>
      <c r="AI225" s="13">
        <f>IF($A225="","",[1]!thsiFinD("ths_adjustment_nv_fund",AI$3,$A225))</f>
        <v/>
      </c>
      <c r="AJ225" s="13">
        <f>IF($A225="","",[1]!thsiFinD("ths_adjustment_nv_fund",AJ$3,$A225))</f>
        <v/>
      </c>
      <c r="AK225" s="13">
        <f>IF($A225="","",[1]!thsiFinD("ths_adjustment_nv_fund",AK$3,$A225))</f>
        <v/>
      </c>
      <c r="AL225" s="13">
        <f>IF($A225="","",[1]!thsiFinD("ths_adjustment_nv_fund",AL$3,$A225))</f>
        <v/>
      </c>
    </row>
    <row r="226" spans="2:28">
      <c r="B226" s="13" t="str">
        <f>IF($A226="","",[1]!thsiFinD("ths_adjustment_nv_fund",B$3,$A226))</f>
        <v/>
      </c>
      <c r="C226" s="13" t="str">
        <f>IF($A226="","",[1]!thsiFinD("ths_adjustment_nv_fund",C$3,$A226))</f>
        <v/>
      </c>
      <c r="D226" s="13" t="str">
        <f>IF($A226="","",[1]!thsiFinD("ths_adjustment_nv_fund",D$3,$A226))</f>
        <v/>
      </c>
      <c r="E226" s="13" t="str">
        <f>IF($A226="","",[1]!thsiFinD("ths_adjustment_nv_fund",E$3,$A226))</f>
        <v/>
      </c>
      <c r="F226" s="13" t="str">
        <f>IF($A226="","",[1]!thsiFinD("ths_adjustment_nv_fund",F$3,$A226))</f>
        <v/>
      </c>
      <c r="G226" s="13" t="str">
        <f>IF($A226="","",[1]!thsiFinD("ths_adjustment_nv_fund",G$3,$A226))</f>
        <v/>
      </c>
      <c r="H226" s="13" t="str">
        <f>IF($A226="","",[1]!thsiFinD("ths_adjustment_nv_fund",H$3,$A226))</f>
        <v/>
      </c>
      <c r="I226" s="13" t="str">
        <f>IF($A226="","",[1]!thsiFinD("ths_adjustment_nv_fund",I$3,$A226))</f>
        <v/>
      </c>
      <c r="J226" s="13" t="str">
        <f>IF($A226="","",[1]!thsiFinD("ths_adjustment_nv_fund",J$3,$A226))</f>
        <v/>
      </c>
      <c r="K226" s="13" t="str">
        <f>IF($A226="","",[1]!thsiFinD("ths_adjustment_nv_fund",K$3,$A226))</f>
        <v/>
      </c>
      <c r="L226" s="13" t="str">
        <f>IF($A226="","",[1]!thsiFinD("ths_adjustment_nv_fund",L$3,$A226))</f>
        <v/>
      </c>
      <c r="M226" s="13" t="str">
        <f>IF($A226="","",[1]!thsiFinD("ths_adjustment_nv_fund",M$3,$A226))</f>
        <v/>
      </c>
      <c r="N226" s="13" t="str">
        <f>IF($A226="","",[1]!thsiFinD("ths_adjustment_nv_fund",N$3,$A226))</f>
        <v/>
      </c>
      <c r="O226" s="13" t="str">
        <f>IF($A226="","",[1]!thsiFinD("ths_adjustment_nv_fund",O$3,$A226))</f>
        <v/>
      </c>
      <c r="P226" s="13" t="str">
        <f>IF($A226="","",[1]!thsiFinD("ths_adjustment_nv_fund",P$3,$A226))</f>
        <v/>
      </c>
      <c r="Q226" s="13" t="str">
        <f>IF($A226="","",[1]!thsiFinD("ths_adjustment_nv_fund",Q$3,$A226))</f>
        <v/>
      </c>
      <c r="R226" s="13" t="str">
        <f>IF($A226="","",[1]!thsiFinD("ths_adjustment_nv_fund",R$3,$A226))</f>
        <v/>
      </c>
      <c r="S226" s="13" t="str">
        <f>IF($A226="","",[1]!thsiFinD("ths_adjustment_nv_fund",S$3,$A226))</f>
        <v/>
      </c>
      <c r="T226" s="13" t="str">
        <f>IF($A226="","",[1]!thsiFinD("ths_adjustment_nv_fund",T$3,$A226))</f>
        <v/>
      </c>
      <c r="U226" s="13" t="str">
        <f>IF($A226="","",[1]!thsiFinD("ths_adjustment_nv_fund",U$3,$A226))</f>
        <v/>
      </c>
      <c r="V226" s="13" t="str">
        <f>IF($A226="","",[1]!thsiFinD("ths_adjustment_nv_fund",V$3,$A226))</f>
        <v/>
      </c>
      <c r="W226" s="13" t="str">
        <f>IF($A226="","",[1]!thsiFinD("ths_adjustment_nv_fund",W$3,$A226))</f>
        <v/>
      </c>
      <c r="X226" s="13" t="str">
        <f>IF($A226="","",[1]!thsiFinD("ths_adjustment_nv_fund",X$3,$A226))</f>
        <v/>
      </c>
      <c r="Y226" s="13" t="str">
        <f>IF($A226="","",[1]!thsiFinD("ths_adjustment_nv_fund",Y$3,$A226))</f>
        <v/>
      </c>
      <c r="Z226" s="13" t="str">
        <f>IF($A226="","",[1]!thsiFinD("ths_adjustment_nv_fund",Z$3,$A226))</f>
        <v/>
      </c>
      <c r="AA226" s="13" t="str">
        <f>IF($A226="","",[1]!thsiFinD("ths_adjustment_nv_fund",AA$3,$A226))</f>
        <v/>
      </c>
      <c r="AB226" s="13">
        <f>IF($A226="","",[1]!thsiFinD("ths_adjustment_nv_fund",AB$3,$A226))</f>
        <v/>
      </c>
      <c r="AC226" s="13">
        <f>IF($A226="","",[1]!thsiFinD("ths_adjustment_nv_fund",AC$3,$A226))</f>
        <v/>
      </c>
      <c r="AD226" s="13">
        <f>IF($A226="","",[1]!thsiFinD("ths_adjustment_nv_fund",AD$3,$A226))</f>
        <v/>
      </c>
      <c r="AE226" s="13">
        <f>IF($A226="","",[1]!thsiFinD("ths_adjustment_nv_fund",AE$3,$A226))</f>
        <v/>
      </c>
      <c r="AF226" s="13">
        <f>IF($A226="","",[1]!thsiFinD("ths_adjustment_nv_fund",AF$3,$A226))</f>
        <v/>
      </c>
      <c r="AG226" s="13">
        <f>IF($A226="","",[1]!thsiFinD("ths_adjustment_nv_fund",AG$3,$A226))</f>
        <v/>
      </c>
      <c r="AH226" s="13">
        <f>IF($A226="","",[1]!thsiFinD("ths_adjustment_nv_fund",AH$3,$A226))</f>
        <v/>
      </c>
      <c r="AI226" s="13">
        <f>IF($A226="","",[1]!thsiFinD("ths_adjustment_nv_fund",AI$3,$A226))</f>
        <v/>
      </c>
      <c r="AJ226" s="13">
        <f>IF($A226="","",[1]!thsiFinD("ths_adjustment_nv_fund",AJ$3,$A226))</f>
        <v/>
      </c>
      <c r="AK226" s="13">
        <f>IF($A226="","",[1]!thsiFinD("ths_adjustment_nv_fund",AK$3,$A226))</f>
        <v/>
      </c>
      <c r="AL226" s="13">
        <f>IF($A226="","",[1]!thsiFinD("ths_adjustment_nv_fund",AL$3,$A226))</f>
        <v/>
      </c>
    </row>
    <row r="227" spans="2:28">
      <c r="B227" s="13" t="str">
        <f>IF($A227="","",[1]!thsiFinD("ths_adjustment_nv_fund",B$3,$A227))</f>
        <v/>
      </c>
      <c r="C227" s="13" t="str">
        <f>IF($A227="","",[1]!thsiFinD("ths_adjustment_nv_fund",C$3,$A227))</f>
        <v/>
      </c>
      <c r="D227" s="13" t="str">
        <f>IF($A227="","",[1]!thsiFinD("ths_adjustment_nv_fund",D$3,$A227))</f>
        <v/>
      </c>
      <c r="E227" s="13" t="str">
        <f>IF($A227="","",[1]!thsiFinD("ths_adjustment_nv_fund",E$3,$A227))</f>
        <v/>
      </c>
      <c r="F227" s="13" t="str">
        <f>IF($A227="","",[1]!thsiFinD("ths_adjustment_nv_fund",F$3,$A227))</f>
        <v/>
      </c>
      <c r="G227" s="13" t="str">
        <f>IF($A227="","",[1]!thsiFinD("ths_adjustment_nv_fund",G$3,$A227))</f>
        <v/>
      </c>
      <c r="H227" s="13" t="str">
        <f>IF($A227="","",[1]!thsiFinD("ths_adjustment_nv_fund",H$3,$A227))</f>
        <v/>
      </c>
      <c r="I227" s="13" t="str">
        <f>IF($A227="","",[1]!thsiFinD("ths_adjustment_nv_fund",I$3,$A227))</f>
        <v/>
      </c>
      <c r="J227" s="13" t="str">
        <f>IF($A227="","",[1]!thsiFinD("ths_adjustment_nv_fund",J$3,$A227))</f>
        <v/>
      </c>
      <c r="K227" s="13" t="str">
        <f>IF($A227="","",[1]!thsiFinD("ths_adjustment_nv_fund",K$3,$A227))</f>
        <v/>
      </c>
      <c r="L227" s="13" t="str">
        <f>IF($A227="","",[1]!thsiFinD("ths_adjustment_nv_fund",L$3,$A227))</f>
        <v/>
      </c>
      <c r="M227" s="13" t="str">
        <f>IF($A227="","",[1]!thsiFinD("ths_adjustment_nv_fund",M$3,$A227))</f>
        <v/>
      </c>
      <c r="N227" s="13" t="str">
        <f>IF($A227="","",[1]!thsiFinD("ths_adjustment_nv_fund",N$3,$A227))</f>
        <v/>
      </c>
      <c r="O227" s="13" t="str">
        <f>IF($A227="","",[1]!thsiFinD("ths_adjustment_nv_fund",O$3,$A227))</f>
        <v/>
      </c>
      <c r="P227" s="13" t="str">
        <f>IF($A227="","",[1]!thsiFinD("ths_adjustment_nv_fund",P$3,$A227))</f>
        <v/>
      </c>
      <c r="Q227" s="13" t="str">
        <f>IF($A227="","",[1]!thsiFinD("ths_adjustment_nv_fund",Q$3,$A227))</f>
        <v/>
      </c>
      <c r="R227" s="13" t="str">
        <f>IF($A227="","",[1]!thsiFinD("ths_adjustment_nv_fund",R$3,$A227))</f>
        <v/>
      </c>
      <c r="S227" s="13" t="str">
        <f>IF($A227="","",[1]!thsiFinD("ths_adjustment_nv_fund",S$3,$A227))</f>
        <v/>
      </c>
      <c r="T227" s="13" t="str">
        <f>IF($A227="","",[1]!thsiFinD("ths_adjustment_nv_fund",T$3,$A227))</f>
        <v/>
      </c>
      <c r="U227" s="13" t="str">
        <f>IF($A227="","",[1]!thsiFinD("ths_adjustment_nv_fund",U$3,$A227))</f>
        <v/>
      </c>
      <c r="V227" s="13" t="str">
        <f>IF($A227="","",[1]!thsiFinD("ths_adjustment_nv_fund",V$3,$A227))</f>
        <v/>
      </c>
      <c r="W227" s="13" t="str">
        <f>IF($A227="","",[1]!thsiFinD("ths_adjustment_nv_fund",W$3,$A227))</f>
        <v/>
      </c>
      <c r="X227" s="13" t="str">
        <f>IF($A227="","",[1]!thsiFinD("ths_adjustment_nv_fund",X$3,$A227))</f>
        <v/>
      </c>
      <c r="Y227" s="13" t="str">
        <f>IF($A227="","",[1]!thsiFinD("ths_adjustment_nv_fund",Y$3,$A227))</f>
        <v/>
      </c>
      <c r="Z227" s="13" t="str">
        <f>IF($A227="","",[1]!thsiFinD("ths_adjustment_nv_fund",Z$3,$A227))</f>
        <v/>
      </c>
      <c r="AA227" s="13" t="str">
        <f>IF($A227="","",[1]!thsiFinD("ths_adjustment_nv_fund",AA$3,$A227))</f>
        <v/>
      </c>
      <c r="AB227" s="13">
        <f>IF($A227="","",[1]!thsiFinD("ths_adjustment_nv_fund",AB$3,$A227))</f>
        <v/>
      </c>
      <c r="AC227" s="13">
        <f>IF($A227="","",[1]!thsiFinD("ths_adjustment_nv_fund",AC$3,$A227))</f>
        <v/>
      </c>
      <c r="AD227" s="13">
        <f>IF($A227="","",[1]!thsiFinD("ths_adjustment_nv_fund",AD$3,$A227))</f>
        <v/>
      </c>
      <c r="AE227" s="13">
        <f>IF($A227="","",[1]!thsiFinD("ths_adjustment_nv_fund",AE$3,$A227))</f>
        <v/>
      </c>
      <c r="AF227" s="13">
        <f>IF($A227="","",[1]!thsiFinD("ths_adjustment_nv_fund",AF$3,$A227))</f>
        <v/>
      </c>
      <c r="AG227" s="13">
        <f>IF($A227="","",[1]!thsiFinD("ths_adjustment_nv_fund",AG$3,$A227))</f>
        <v/>
      </c>
      <c r="AH227" s="13">
        <f>IF($A227="","",[1]!thsiFinD("ths_adjustment_nv_fund",AH$3,$A227))</f>
        <v/>
      </c>
      <c r="AI227" s="13">
        <f>IF($A227="","",[1]!thsiFinD("ths_adjustment_nv_fund",AI$3,$A227))</f>
        <v/>
      </c>
      <c r="AJ227" s="13">
        <f>IF($A227="","",[1]!thsiFinD("ths_adjustment_nv_fund",AJ$3,$A227))</f>
        <v/>
      </c>
      <c r="AK227" s="13">
        <f>IF($A227="","",[1]!thsiFinD("ths_adjustment_nv_fund",AK$3,$A227))</f>
        <v/>
      </c>
      <c r="AL227" s="13">
        <f>IF($A227="","",[1]!thsiFinD("ths_adjustment_nv_fund",AL$3,$A227))</f>
        <v/>
      </c>
    </row>
    <row r="228" spans="2:28">
      <c r="B228" s="13" t="str">
        <f>IF($A228="","",[1]!thsiFinD("ths_adjustment_nv_fund",B$3,$A228))</f>
        <v/>
      </c>
      <c r="C228" s="13" t="str">
        <f>IF($A228="","",[1]!thsiFinD("ths_adjustment_nv_fund",C$3,$A228))</f>
        <v/>
      </c>
      <c r="D228" s="13" t="str">
        <f>IF($A228="","",[1]!thsiFinD("ths_adjustment_nv_fund",D$3,$A228))</f>
        <v/>
      </c>
      <c r="E228" s="13" t="str">
        <f>IF($A228="","",[1]!thsiFinD("ths_adjustment_nv_fund",E$3,$A228))</f>
        <v/>
      </c>
      <c r="F228" s="13" t="str">
        <f>IF($A228="","",[1]!thsiFinD("ths_adjustment_nv_fund",F$3,$A228))</f>
        <v/>
      </c>
      <c r="G228" s="13" t="str">
        <f>IF($A228="","",[1]!thsiFinD("ths_adjustment_nv_fund",G$3,$A228))</f>
        <v/>
      </c>
      <c r="H228" s="13" t="str">
        <f>IF($A228="","",[1]!thsiFinD("ths_adjustment_nv_fund",H$3,$A228))</f>
        <v/>
      </c>
      <c r="I228" s="13" t="str">
        <f>IF($A228="","",[1]!thsiFinD("ths_adjustment_nv_fund",I$3,$A228))</f>
        <v/>
      </c>
      <c r="J228" s="13" t="str">
        <f>IF($A228="","",[1]!thsiFinD("ths_adjustment_nv_fund",J$3,$A228))</f>
        <v/>
      </c>
      <c r="K228" s="13" t="str">
        <f>IF($A228="","",[1]!thsiFinD("ths_adjustment_nv_fund",K$3,$A228))</f>
        <v/>
      </c>
      <c r="L228" s="13" t="str">
        <f>IF($A228="","",[1]!thsiFinD("ths_adjustment_nv_fund",L$3,$A228))</f>
        <v/>
      </c>
      <c r="M228" s="13" t="str">
        <f>IF($A228="","",[1]!thsiFinD("ths_adjustment_nv_fund",M$3,$A228))</f>
        <v/>
      </c>
      <c r="N228" s="13" t="str">
        <f>IF($A228="","",[1]!thsiFinD("ths_adjustment_nv_fund",N$3,$A228))</f>
        <v/>
      </c>
      <c r="O228" s="13" t="str">
        <f>IF($A228="","",[1]!thsiFinD("ths_adjustment_nv_fund",O$3,$A228))</f>
        <v/>
      </c>
      <c r="P228" s="13" t="str">
        <f>IF($A228="","",[1]!thsiFinD("ths_adjustment_nv_fund",P$3,$A228))</f>
        <v/>
      </c>
      <c r="Q228" s="13" t="str">
        <f>IF($A228="","",[1]!thsiFinD("ths_adjustment_nv_fund",Q$3,$A228))</f>
        <v/>
      </c>
      <c r="R228" s="13" t="str">
        <f>IF($A228="","",[1]!thsiFinD("ths_adjustment_nv_fund",R$3,$A228))</f>
        <v/>
      </c>
      <c r="S228" s="13" t="str">
        <f>IF($A228="","",[1]!thsiFinD("ths_adjustment_nv_fund",S$3,$A228))</f>
        <v/>
      </c>
      <c r="T228" s="13" t="str">
        <f>IF($A228="","",[1]!thsiFinD("ths_adjustment_nv_fund",T$3,$A228))</f>
        <v/>
      </c>
      <c r="U228" s="13" t="str">
        <f>IF($A228="","",[1]!thsiFinD("ths_adjustment_nv_fund",U$3,$A228))</f>
        <v/>
      </c>
      <c r="V228" s="13" t="str">
        <f>IF($A228="","",[1]!thsiFinD("ths_adjustment_nv_fund",V$3,$A228))</f>
        <v/>
      </c>
      <c r="W228" s="13" t="str">
        <f>IF($A228="","",[1]!thsiFinD("ths_adjustment_nv_fund",W$3,$A228))</f>
        <v/>
      </c>
      <c r="X228" s="13" t="str">
        <f>IF($A228="","",[1]!thsiFinD("ths_adjustment_nv_fund",X$3,$A228))</f>
        <v/>
      </c>
      <c r="Y228" s="13" t="str">
        <f>IF($A228="","",[1]!thsiFinD("ths_adjustment_nv_fund",Y$3,$A228))</f>
        <v/>
      </c>
      <c r="Z228" s="13" t="str">
        <f>IF($A228="","",[1]!thsiFinD("ths_adjustment_nv_fund",Z$3,$A228))</f>
        <v/>
      </c>
      <c r="AA228" s="13" t="str">
        <f>IF($A228="","",[1]!thsiFinD("ths_adjustment_nv_fund",AA$3,$A228))</f>
        <v/>
      </c>
      <c r="AB228" s="13">
        <f>IF($A228="","",[1]!thsiFinD("ths_adjustment_nv_fund",AB$3,$A228))</f>
        <v/>
      </c>
      <c r="AC228" s="13">
        <f>IF($A228="","",[1]!thsiFinD("ths_adjustment_nv_fund",AC$3,$A228))</f>
        <v/>
      </c>
      <c r="AD228" s="13">
        <f>IF($A228="","",[1]!thsiFinD("ths_adjustment_nv_fund",AD$3,$A228))</f>
        <v/>
      </c>
      <c r="AE228" s="13">
        <f>IF($A228="","",[1]!thsiFinD("ths_adjustment_nv_fund",AE$3,$A228))</f>
        <v/>
      </c>
      <c r="AF228" s="13">
        <f>IF($A228="","",[1]!thsiFinD("ths_adjustment_nv_fund",AF$3,$A228))</f>
        <v/>
      </c>
      <c r="AG228" s="13">
        <f>IF($A228="","",[1]!thsiFinD("ths_adjustment_nv_fund",AG$3,$A228))</f>
        <v/>
      </c>
      <c r="AH228" s="13">
        <f>IF($A228="","",[1]!thsiFinD("ths_adjustment_nv_fund",AH$3,$A228))</f>
        <v/>
      </c>
      <c r="AI228" s="13">
        <f>IF($A228="","",[1]!thsiFinD("ths_adjustment_nv_fund",AI$3,$A228))</f>
        <v/>
      </c>
      <c r="AJ228" s="13">
        <f>IF($A228="","",[1]!thsiFinD("ths_adjustment_nv_fund",AJ$3,$A228))</f>
        <v/>
      </c>
      <c r="AK228" s="13">
        <f>IF($A228="","",[1]!thsiFinD("ths_adjustment_nv_fund",AK$3,$A228))</f>
        <v/>
      </c>
      <c r="AL228" s="13">
        <f>IF($A228="","",[1]!thsiFinD("ths_adjustment_nv_fund",AL$3,$A228))</f>
        <v/>
      </c>
    </row>
    <row r="229" spans="2:28">
      <c r="B229" s="13" t="str">
        <f>IF($A229="","",[1]!thsiFinD("ths_adjustment_nv_fund",B$3,$A229))</f>
        <v/>
      </c>
      <c r="C229" s="13" t="str">
        <f>IF($A229="","",[1]!thsiFinD("ths_adjustment_nv_fund",C$3,$A229))</f>
        <v/>
      </c>
      <c r="D229" s="13" t="str">
        <f>IF($A229="","",[1]!thsiFinD("ths_adjustment_nv_fund",D$3,$A229))</f>
        <v/>
      </c>
      <c r="E229" s="13" t="str">
        <f>IF($A229="","",[1]!thsiFinD("ths_adjustment_nv_fund",E$3,$A229))</f>
        <v/>
      </c>
      <c r="F229" s="13" t="str">
        <f>IF($A229="","",[1]!thsiFinD("ths_adjustment_nv_fund",F$3,$A229))</f>
        <v/>
      </c>
      <c r="G229" s="13" t="str">
        <f>IF($A229="","",[1]!thsiFinD("ths_adjustment_nv_fund",G$3,$A229))</f>
        <v/>
      </c>
      <c r="H229" s="13" t="str">
        <f>IF($A229="","",[1]!thsiFinD("ths_adjustment_nv_fund",H$3,$A229))</f>
        <v/>
      </c>
      <c r="I229" s="13" t="str">
        <f>IF($A229="","",[1]!thsiFinD("ths_adjustment_nv_fund",I$3,$A229))</f>
        <v/>
      </c>
      <c r="J229" s="13" t="str">
        <f>IF($A229="","",[1]!thsiFinD("ths_adjustment_nv_fund",J$3,$A229))</f>
        <v/>
      </c>
      <c r="K229" s="13" t="str">
        <f>IF($A229="","",[1]!thsiFinD("ths_adjustment_nv_fund",K$3,$A229))</f>
        <v/>
      </c>
      <c r="L229" s="13" t="str">
        <f>IF($A229="","",[1]!thsiFinD("ths_adjustment_nv_fund",L$3,$A229))</f>
        <v/>
      </c>
      <c r="M229" s="13" t="str">
        <f>IF($A229="","",[1]!thsiFinD("ths_adjustment_nv_fund",M$3,$A229))</f>
        <v/>
      </c>
      <c r="N229" s="13" t="str">
        <f>IF($A229="","",[1]!thsiFinD("ths_adjustment_nv_fund",N$3,$A229))</f>
        <v/>
      </c>
      <c r="O229" s="13" t="str">
        <f>IF($A229="","",[1]!thsiFinD("ths_adjustment_nv_fund",O$3,$A229))</f>
        <v/>
      </c>
      <c r="P229" s="13" t="str">
        <f>IF($A229="","",[1]!thsiFinD("ths_adjustment_nv_fund",P$3,$A229))</f>
        <v/>
      </c>
      <c r="Q229" s="13" t="str">
        <f>IF($A229="","",[1]!thsiFinD("ths_adjustment_nv_fund",Q$3,$A229))</f>
        <v/>
      </c>
      <c r="R229" s="13" t="str">
        <f>IF($A229="","",[1]!thsiFinD("ths_adjustment_nv_fund",R$3,$A229))</f>
        <v/>
      </c>
      <c r="S229" s="13" t="str">
        <f>IF($A229="","",[1]!thsiFinD("ths_adjustment_nv_fund",S$3,$A229))</f>
        <v/>
      </c>
      <c r="T229" s="13" t="str">
        <f>IF($A229="","",[1]!thsiFinD("ths_adjustment_nv_fund",T$3,$A229))</f>
        <v/>
      </c>
      <c r="U229" s="13" t="str">
        <f>IF($A229="","",[1]!thsiFinD("ths_adjustment_nv_fund",U$3,$A229))</f>
        <v/>
      </c>
      <c r="V229" s="13" t="str">
        <f>IF($A229="","",[1]!thsiFinD("ths_adjustment_nv_fund",V$3,$A229))</f>
        <v/>
      </c>
      <c r="W229" s="13" t="str">
        <f>IF($A229="","",[1]!thsiFinD("ths_adjustment_nv_fund",W$3,$A229))</f>
        <v/>
      </c>
      <c r="X229" s="13" t="str">
        <f>IF($A229="","",[1]!thsiFinD("ths_adjustment_nv_fund",X$3,$A229))</f>
        <v/>
      </c>
      <c r="Y229" s="13" t="str">
        <f>IF($A229="","",[1]!thsiFinD("ths_adjustment_nv_fund",Y$3,$A229))</f>
        <v/>
      </c>
      <c r="Z229" s="13" t="str">
        <f>IF($A229="","",[1]!thsiFinD("ths_adjustment_nv_fund",Z$3,$A229))</f>
        <v/>
      </c>
      <c r="AA229" s="13" t="str">
        <f>IF($A229="","",[1]!thsiFinD("ths_adjustment_nv_fund",AA$3,$A229))</f>
        <v/>
      </c>
      <c r="AB229" s="13">
        <f>IF($A229="","",[1]!thsiFinD("ths_adjustment_nv_fund",AB$3,$A229))</f>
        <v/>
      </c>
      <c r="AC229" s="13">
        <f>IF($A229="","",[1]!thsiFinD("ths_adjustment_nv_fund",AC$3,$A229))</f>
        <v/>
      </c>
      <c r="AD229" s="13">
        <f>IF($A229="","",[1]!thsiFinD("ths_adjustment_nv_fund",AD$3,$A229))</f>
        <v/>
      </c>
      <c r="AE229" s="13">
        <f>IF($A229="","",[1]!thsiFinD("ths_adjustment_nv_fund",AE$3,$A229))</f>
        <v/>
      </c>
      <c r="AF229" s="13">
        <f>IF($A229="","",[1]!thsiFinD("ths_adjustment_nv_fund",AF$3,$A229))</f>
        <v/>
      </c>
      <c r="AG229" s="13">
        <f>IF($A229="","",[1]!thsiFinD("ths_adjustment_nv_fund",AG$3,$A229))</f>
        <v/>
      </c>
      <c r="AH229" s="13">
        <f>IF($A229="","",[1]!thsiFinD("ths_adjustment_nv_fund",AH$3,$A229))</f>
        <v/>
      </c>
      <c r="AI229" s="13">
        <f>IF($A229="","",[1]!thsiFinD("ths_adjustment_nv_fund",AI$3,$A229))</f>
        <v/>
      </c>
      <c r="AJ229" s="13">
        <f>IF($A229="","",[1]!thsiFinD("ths_adjustment_nv_fund",AJ$3,$A229))</f>
        <v/>
      </c>
      <c r="AK229" s="13">
        <f>IF($A229="","",[1]!thsiFinD("ths_adjustment_nv_fund",AK$3,$A229))</f>
        <v/>
      </c>
      <c r="AL229" s="13">
        <f>IF($A229="","",[1]!thsiFinD("ths_adjustment_nv_fund",AL$3,$A229))</f>
        <v/>
      </c>
    </row>
    <row r="230" spans="2:28">
      <c r="B230" s="13" t="str">
        <f>IF($A230="","",[1]!thsiFinD("ths_adjustment_nv_fund",B$3,$A230))</f>
        <v/>
      </c>
      <c r="C230" s="13" t="str">
        <f>IF($A230="","",[1]!thsiFinD("ths_adjustment_nv_fund",C$3,$A230))</f>
        <v/>
      </c>
      <c r="D230" s="13" t="str">
        <f>IF($A230="","",[1]!thsiFinD("ths_adjustment_nv_fund",D$3,$A230))</f>
        <v/>
      </c>
      <c r="E230" s="13" t="str">
        <f>IF($A230="","",[1]!thsiFinD("ths_adjustment_nv_fund",E$3,$A230))</f>
        <v/>
      </c>
      <c r="F230" s="13" t="str">
        <f>IF($A230="","",[1]!thsiFinD("ths_adjustment_nv_fund",F$3,$A230))</f>
        <v/>
      </c>
      <c r="G230" s="13" t="str">
        <f>IF($A230="","",[1]!thsiFinD("ths_adjustment_nv_fund",G$3,$A230))</f>
        <v/>
      </c>
      <c r="H230" s="13" t="str">
        <f>IF($A230="","",[1]!thsiFinD("ths_adjustment_nv_fund",H$3,$A230))</f>
        <v/>
      </c>
      <c r="I230" s="13" t="str">
        <f>IF($A230="","",[1]!thsiFinD("ths_adjustment_nv_fund",I$3,$A230))</f>
        <v/>
      </c>
      <c r="J230" s="13" t="str">
        <f>IF($A230="","",[1]!thsiFinD("ths_adjustment_nv_fund",J$3,$A230))</f>
        <v/>
      </c>
      <c r="K230" s="13" t="str">
        <f>IF($A230="","",[1]!thsiFinD("ths_adjustment_nv_fund",K$3,$A230))</f>
        <v/>
      </c>
      <c r="L230" s="13" t="str">
        <f>IF($A230="","",[1]!thsiFinD("ths_adjustment_nv_fund",L$3,$A230))</f>
        <v/>
      </c>
      <c r="M230" s="13" t="str">
        <f>IF($A230="","",[1]!thsiFinD("ths_adjustment_nv_fund",M$3,$A230))</f>
        <v/>
      </c>
      <c r="N230" s="13" t="str">
        <f>IF($A230="","",[1]!thsiFinD("ths_adjustment_nv_fund",N$3,$A230))</f>
        <v/>
      </c>
      <c r="O230" s="13" t="str">
        <f>IF($A230="","",[1]!thsiFinD("ths_adjustment_nv_fund",O$3,$A230))</f>
        <v/>
      </c>
      <c r="P230" s="13" t="str">
        <f>IF($A230="","",[1]!thsiFinD("ths_adjustment_nv_fund",P$3,$A230))</f>
        <v/>
      </c>
      <c r="Q230" s="13" t="str">
        <f>IF($A230="","",[1]!thsiFinD("ths_adjustment_nv_fund",Q$3,$A230))</f>
        <v/>
      </c>
      <c r="R230" s="13" t="str">
        <f>IF($A230="","",[1]!thsiFinD("ths_adjustment_nv_fund",R$3,$A230))</f>
        <v/>
      </c>
      <c r="S230" s="13" t="str">
        <f>IF($A230="","",[1]!thsiFinD("ths_adjustment_nv_fund",S$3,$A230))</f>
        <v/>
      </c>
      <c r="T230" s="13" t="str">
        <f>IF($A230="","",[1]!thsiFinD("ths_adjustment_nv_fund",T$3,$A230))</f>
        <v/>
      </c>
      <c r="U230" s="13" t="str">
        <f>IF($A230="","",[1]!thsiFinD("ths_adjustment_nv_fund",U$3,$A230))</f>
        <v/>
      </c>
      <c r="V230" s="13" t="str">
        <f>IF($A230="","",[1]!thsiFinD("ths_adjustment_nv_fund",V$3,$A230))</f>
        <v/>
      </c>
      <c r="W230" s="13" t="str">
        <f>IF($A230="","",[1]!thsiFinD("ths_adjustment_nv_fund",W$3,$A230))</f>
        <v/>
      </c>
      <c r="X230" s="13" t="str">
        <f>IF($A230="","",[1]!thsiFinD("ths_adjustment_nv_fund",X$3,$A230))</f>
        <v/>
      </c>
      <c r="Y230" s="13" t="str">
        <f>IF($A230="","",[1]!thsiFinD("ths_adjustment_nv_fund",Y$3,$A230))</f>
        <v/>
      </c>
      <c r="Z230" s="13" t="str">
        <f>IF($A230="","",[1]!thsiFinD("ths_adjustment_nv_fund",Z$3,$A230))</f>
        <v/>
      </c>
      <c r="AA230" s="13" t="str">
        <f>IF($A230="","",[1]!thsiFinD("ths_adjustment_nv_fund",AA$3,$A230))</f>
        <v/>
      </c>
      <c r="AB230" s="13">
        <f>IF($A230="","",[1]!thsiFinD("ths_adjustment_nv_fund",AB$3,$A230))</f>
        <v/>
      </c>
      <c r="AC230" s="13">
        <f>IF($A230="","",[1]!thsiFinD("ths_adjustment_nv_fund",AC$3,$A230))</f>
        <v/>
      </c>
      <c r="AD230" s="13">
        <f>IF($A230="","",[1]!thsiFinD("ths_adjustment_nv_fund",AD$3,$A230))</f>
        <v/>
      </c>
      <c r="AE230" s="13">
        <f>IF($A230="","",[1]!thsiFinD("ths_adjustment_nv_fund",AE$3,$A230))</f>
        <v/>
      </c>
      <c r="AF230" s="13">
        <f>IF($A230="","",[1]!thsiFinD("ths_adjustment_nv_fund",AF$3,$A230))</f>
        <v/>
      </c>
      <c r="AG230" s="13">
        <f>IF($A230="","",[1]!thsiFinD("ths_adjustment_nv_fund",AG$3,$A230))</f>
        <v/>
      </c>
      <c r="AH230" s="13">
        <f>IF($A230="","",[1]!thsiFinD("ths_adjustment_nv_fund",AH$3,$A230))</f>
        <v/>
      </c>
      <c r="AI230" s="13">
        <f>IF($A230="","",[1]!thsiFinD("ths_adjustment_nv_fund",AI$3,$A230))</f>
        <v/>
      </c>
      <c r="AJ230" s="13">
        <f>IF($A230="","",[1]!thsiFinD("ths_adjustment_nv_fund",AJ$3,$A230))</f>
        <v/>
      </c>
      <c r="AK230" s="13">
        <f>IF($A230="","",[1]!thsiFinD("ths_adjustment_nv_fund",AK$3,$A230))</f>
        <v/>
      </c>
      <c r="AL230" s="13">
        <f>IF($A230="","",[1]!thsiFinD("ths_adjustment_nv_fund",AL$3,$A230))</f>
        <v/>
      </c>
    </row>
    <row r="231" spans="2:28">
      <c r="B231" s="13" t="str">
        <f>IF($A231="","",[1]!thsiFinD("ths_adjustment_nv_fund",B$3,$A231))</f>
        <v/>
      </c>
      <c r="C231" s="13" t="str">
        <f>IF($A231="","",[1]!thsiFinD("ths_adjustment_nv_fund",C$3,$A231))</f>
        <v/>
      </c>
      <c r="D231" s="13" t="str">
        <f>IF($A231="","",[1]!thsiFinD("ths_adjustment_nv_fund",D$3,$A231))</f>
        <v/>
      </c>
      <c r="E231" s="13" t="str">
        <f>IF($A231="","",[1]!thsiFinD("ths_adjustment_nv_fund",E$3,$A231))</f>
        <v/>
      </c>
      <c r="F231" s="13" t="str">
        <f>IF($A231="","",[1]!thsiFinD("ths_adjustment_nv_fund",F$3,$A231))</f>
        <v/>
      </c>
      <c r="G231" s="13" t="str">
        <f>IF($A231="","",[1]!thsiFinD("ths_adjustment_nv_fund",G$3,$A231))</f>
        <v/>
      </c>
      <c r="H231" s="13" t="str">
        <f>IF($A231="","",[1]!thsiFinD("ths_adjustment_nv_fund",H$3,$A231))</f>
        <v/>
      </c>
      <c r="I231" s="13" t="str">
        <f>IF($A231="","",[1]!thsiFinD("ths_adjustment_nv_fund",I$3,$A231))</f>
        <v/>
      </c>
      <c r="J231" s="13" t="str">
        <f>IF($A231="","",[1]!thsiFinD("ths_adjustment_nv_fund",J$3,$A231))</f>
        <v/>
      </c>
      <c r="K231" s="13" t="str">
        <f>IF($A231="","",[1]!thsiFinD("ths_adjustment_nv_fund",K$3,$A231))</f>
        <v/>
      </c>
      <c r="L231" s="13" t="str">
        <f>IF($A231="","",[1]!thsiFinD("ths_adjustment_nv_fund",L$3,$A231))</f>
        <v/>
      </c>
      <c r="M231" s="13" t="str">
        <f>IF($A231="","",[1]!thsiFinD("ths_adjustment_nv_fund",M$3,$A231))</f>
        <v/>
      </c>
      <c r="N231" s="13" t="str">
        <f>IF($A231="","",[1]!thsiFinD("ths_adjustment_nv_fund",N$3,$A231))</f>
        <v/>
      </c>
      <c r="O231" s="13" t="str">
        <f>IF($A231="","",[1]!thsiFinD("ths_adjustment_nv_fund",O$3,$A231))</f>
        <v/>
      </c>
      <c r="P231" s="13" t="str">
        <f>IF($A231="","",[1]!thsiFinD("ths_adjustment_nv_fund",P$3,$A231))</f>
        <v/>
      </c>
      <c r="Q231" s="13" t="str">
        <f>IF($A231="","",[1]!thsiFinD("ths_adjustment_nv_fund",Q$3,$A231))</f>
        <v/>
      </c>
      <c r="R231" s="13" t="str">
        <f>IF($A231="","",[1]!thsiFinD("ths_adjustment_nv_fund",R$3,$A231))</f>
        <v/>
      </c>
      <c r="S231" s="13" t="str">
        <f>IF($A231="","",[1]!thsiFinD("ths_adjustment_nv_fund",S$3,$A231))</f>
        <v/>
      </c>
      <c r="T231" s="13" t="str">
        <f>IF($A231="","",[1]!thsiFinD("ths_adjustment_nv_fund",T$3,$A231))</f>
        <v/>
      </c>
      <c r="U231" s="13" t="str">
        <f>IF($A231="","",[1]!thsiFinD("ths_adjustment_nv_fund",U$3,$A231))</f>
        <v/>
      </c>
      <c r="V231" s="13" t="str">
        <f>IF($A231="","",[1]!thsiFinD("ths_adjustment_nv_fund",V$3,$A231))</f>
        <v/>
      </c>
      <c r="W231" s="13" t="str">
        <f>IF($A231="","",[1]!thsiFinD("ths_adjustment_nv_fund",W$3,$A231))</f>
        <v/>
      </c>
      <c r="X231" s="13" t="str">
        <f>IF($A231="","",[1]!thsiFinD("ths_adjustment_nv_fund",X$3,$A231))</f>
        <v/>
      </c>
      <c r="Y231" s="13" t="str">
        <f>IF($A231="","",[1]!thsiFinD("ths_adjustment_nv_fund",Y$3,$A231))</f>
        <v/>
      </c>
      <c r="Z231" s="13" t="str">
        <f>IF($A231="","",[1]!thsiFinD("ths_adjustment_nv_fund",Z$3,$A231))</f>
        <v/>
      </c>
      <c r="AA231" s="13" t="str">
        <f>IF($A231="","",[1]!thsiFinD("ths_adjustment_nv_fund",AA$3,$A231))</f>
        <v/>
      </c>
      <c r="AB231" s="13">
        <f>IF($A231="","",[1]!thsiFinD("ths_adjustment_nv_fund",AB$3,$A231))</f>
        <v/>
      </c>
      <c r="AC231" s="13">
        <f>IF($A231="","",[1]!thsiFinD("ths_adjustment_nv_fund",AC$3,$A231))</f>
        <v/>
      </c>
      <c r="AD231" s="13">
        <f>IF($A231="","",[1]!thsiFinD("ths_adjustment_nv_fund",AD$3,$A231))</f>
        <v/>
      </c>
      <c r="AE231" s="13">
        <f>IF($A231="","",[1]!thsiFinD("ths_adjustment_nv_fund",AE$3,$A231))</f>
        <v/>
      </c>
      <c r="AF231" s="13">
        <f>IF($A231="","",[1]!thsiFinD("ths_adjustment_nv_fund",AF$3,$A231))</f>
        <v/>
      </c>
      <c r="AG231" s="13">
        <f>IF($A231="","",[1]!thsiFinD("ths_adjustment_nv_fund",AG$3,$A231))</f>
        <v/>
      </c>
      <c r="AH231" s="13">
        <f>IF($A231="","",[1]!thsiFinD("ths_adjustment_nv_fund",AH$3,$A231))</f>
        <v/>
      </c>
      <c r="AI231" s="13">
        <f>IF($A231="","",[1]!thsiFinD("ths_adjustment_nv_fund",AI$3,$A231))</f>
        <v/>
      </c>
      <c r="AJ231" s="13">
        <f>IF($A231="","",[1]!thsiFinD("ths_adjustment_nv_fund",AJ$3,$A231))</f>
        <v/>
      </c>
      <c r="AK231" s="13">
        <f>IF($A231="","",[1]!thsiFinD("ths_adjustment_nv_fund",AK$3,$A231))</f>
        <v/>
      </c>
      <c r="AL231" s="13">
        <f>IF($A231="","",[1]!thsiFinD("ths_adjustment_nv_fund",AL$3,$A231))</f>
        <v/>
      </c>
    </row>
    <row r="232" spans="2:28">
      <c r="B232" s="13" t="str">
        <f>IF($A232="","",[1]!thsiFinD("ths_adjustment_nv_fund",B$3,$A232))</f>
        <v/>
      </c>
      <c r="C232" s="13" t="str">
        <f>IF($A232="","",[1]!thsiFinD("ths_adjustment_nv_fund",C$3,$A232))</f>
        <v/>
      </c>
      <c r="D232" s="13" t="str">
        <f>IF($A232="","",[1]!thsiFinD("ths_adjustment_nv_fund",D$3,$A232))</f>
        <v/>
      </c>
      <c r="E232" s="13" t="str">
        <f>IF($A232="","",[1]!thsiFinD("ths_adjustment_nv_fund",E$3,$A232))</f>
        <v/>
      </c>
      <c r="F232" s="13" t="str">
        <f>IF($A232="","",[1]!thsiFinD("ths_adjustment_nv_fund",F$3,$A232))</f>
        <v/>
      </c>
      <c r="G232" s="13" t="str">
        <f>IF($A232="","",[1]!thsiFinD("ths_adjustment_nv_fund",G$3,$A232))</f>
        <v/>
      </c>
      <c r="H232" s="13" t="str">
        <f>IF($A232="","",[1]!thsiFinD("ths_adjustment_nv_fund",H$3,$A232))</f>
        <v/>
      </c>
      <c r="I232" s="13" t="str">
        <f>IF($A232="","",[1]!thsiFinD("ths_adjustment_nv_fund",I$3,$A232))</f>
        <v/>
      </c>
      <c r="J232" s="13" t="str">
        <f>IF($A232="","",[1]!thsiFinD("ths_adjustment_nv_fund",J$3,$A232))</f>
        <v/>
      </c>
      <c r="K232" s="13" t="str">
        <f>IF($A232="","",[1]!thsiFinD("ths_adjustment_nv_fund",K$3,$A232))</f>
        <v/>
      </c>
      <c r="L232" s="13" t="str">
        <f>IF($A232="","",[1]!thsiFinD("ths_adjustment_nv_fund",L$3,$A232))</f>
        <v/>
      </c>
      <c r="M232" s="13" t="str">
        <f>IF($A232="","",[1]!thsiFinD("ths_adjustment_nv_fund",M$3,$A232))</f>
        <v/>
      </c>
      <c r="N232" s="13" t="str">
        <f>IF($A232="","",[1]!thsiFinD("ths_adjustment_nv_fund",N$3,$A232))</f>
        <v/>
      </c>
      <c r="O232" s="13" t="str">
        <f>IF($A232="","",[1]!thsiFinD("ths_adjustment_nv_fund",O$3,$A232))</f>
        <v/>
      </c>
      <c r="P232" s="13" t="str">
        <f>IF($A232="","",[1]!thsiFinD("ths_adjustment_nv_fund",P$3,$A232))</f>
        <v/>
      </c>
      <c r="Q232" s="13" t="str">
        <f>IF($A232="","",[1]!thsiFinD("ths_adjustment_nv_fund",Q$3,$A232))</f>
        <v/>
      </c>
      <c r="R232" s="13" t="str">
        <f>IF($A232="","",[1]!thsiFinD("ths_adjustment_nv_fund",R$3,$A232))</f>
        <v/>
      </c>
      <c r="S232" s="13" t="str">
        <f>IF($A232="","",[1]!thsiFinD("ths_adjustment_nv_fund",S$3,$A232))</f>
        <v/>
      </c>
      <c r="T232" s="13" t="str">
        <f>IF($A232="","",[1]!thsiFinD("ths_adjustment_nv_fund",T$3,$A232))</f>
        <v/>
      </c>
      <c r="U232" s="13" t="str">
        <f>IF($A232="","",[1]!thsiFinD("ths_adjustment_nv_fund",U$3,$A232))</f>
        <v/>
      </c>
      <c r="V232" s="13" t="str">
        <f>IF($A232="","",[1]!thsiFinD("ths_adjustment_nv_fund",V$3,$A232))</f>
        <v/>
      </c>
      <c r="W232" s="13" t="str">
        <f>IF($A232="","",[1]!thsiFinD("ths_adjustment_nv_fund",W$3,$A232))</f>
        <v/>
      </c>
      <c r="X232" s="13" t="str">
        <f>IF($A232="","",[1]!thsiFinD("ths_adjustment_nv_fund",X$3,$A232))</f>
        <v/>
      </c>
      <c r="Y232" s="13" t="str">
        <f>IF($A232="","",[1]!thsiFinD("ths_adjustment_nv_fund",Y$3,$A232))</f>
        <v/>
      </c>
      <c r="Z232" s="13" t="str">
        <f>IF($A232="","",[1]!thsiFinD("ths_adjustment_nv_fund",Z$3,$A232))</f>
        <v/>
      </c>
      <c r="AA232" s="13" t="str">
        <f>IF($A232="","",[1]!thsiFinD("ths_adjustment_nv_fund",AA$3,$A232))</f>
        <v/>
      </c>
      <c r="AB232" s="13">
        <f>IF($A232="","",[1]!thsiFinD("ths_adjustment_nv_fund",AB$3,$A232))</f>
        <v/>
      </c>
      <c r="AC232" s="13">
        <f>IF($A232="","",[1]!thsiFinD("ths_adjustment_nv_fund",AC$3,$A232))</f>
        <v/>
      </c>
      <c r="AD232" s="13">
        <f>IF($A232="","",[1]!thsiFinD("ths_adjustment_nv_fund",AD$3,$A232))</f>
        <v/>
      </c>
      <c r="AE232" s="13">
        <f>IF($A232="","",[1]!thsiFinD("ths_adjustment_nv_fund",AE$3,$A232))</f>
        <v/>
      </c>
      <c r="AF232" s="13">
        <f>IF($A232="","",[1]!thsiFinD("ths_adjustment_nv_fund",AF$3,$A232))</f>
        <v/>
      </c>
      <c r="AG232" s="13">
        <f>IF($A232="","",[1]!thsiFinD("ths_adjustment_nv_fund",AG$3,$A232))</f>
        <v/>
      </c>
      <c r="AH232" s="13">
        <f>IF($A232="","",[1]!thsiFinD("ths_adjustment_nv_fund",AH$3,$A232))</f>
        <v/>
      </c>
      <c r="AI232" s="13">
        <f>IF($A232="","",[1]!thsiFinD("ths_adjustment_nv_fund",AI$3,$A232))</f>
        <v/>
      </c>
      <c r="AJ232" s="13">
        <f>IF($A232="","",[1]!thsiFinD("ths_adjustment_nv_fund",AJ$3,$A232))</f>
        <v/>
      </c>
      <c r="AK232" s="13">
        <f>IF($A232="","",[1]!thsiFinD("ths_adjustment_nv_fund",AK$3,$A232))</f>
        <v/>
      </c>
      <c r="AL232" s="13">
        <f>IF($A232="","",[1]!thsiFinD("ths_adjustment_nv_fund",AL$3,$A232))</f>
        <v/>
      </c>
    </row>
    <row r="233" spans="2:28">
      <c r="B233" s="13" t="str">
        <f>IF($A233="","",[1]!thsiFinD("ths_adjustment_nv_fund",B$3,$A233))</f>
        <v/>
      </c>
      <c r="C233" s="13" t="str">
        <f>IF($A233="","",[1]!thsiFinD("ths_adjustment_nv_fund",C$3,$A233))</f>
        <v/>
      </c>
      <c r="D233" s="13" t="str">
        <f>IF($A233="","",[1]!thsiFinD("ths_adjustment_nv_fund",D$3,$A233))</f>
        <v/>
      </c>
      <c r="E233" s="13" t="str">
        <f>IF($A233="","",[1]!thsiFinD("ths_adjustment_nv_fund",E$3,$A233))</f>
        <v/>
      </c>
      <c r="F233" s="13" t="str">
        <f>IF($A233="","",[1]!thsiFinD("ths_adjustment_nv_fund",F$3,$A233))</f>
        <v/>
      </c>
      <c r="G233" s="13" t="str">
        <f>IF($A233="","",[1]!thsiFinD("ths_adjustment_nv_fund",G$3,$A233))</f>
        <v/>
      </c>
      <c r="H233" s="13" t="str">
        <f>IF($A233="","",[1]!thsiFinD("ths_adjustment_nv_fund",H$3,$A233))</f>
        <v/>
      </c>
      <c r="I233" s="13" t="str">
        <f>IF($A233="","",[1]!thsiFinD("ths_adjustment_nv_fund",I$3,$A233))</f>
        <v/>
      </c>
      <c r="J233" s="13" t="str">
        <f>IF($A233="","",[1]!thsiFinD("ths_adjustment_nv_fund",J$3,$A233))</f>
        <v/>
      </c>
      <c r="K233" s="13" t="str">
        <f>IF($A233="","",[1]!thsiFinD("ths_adjustment_nv_fund",K$3,$A233))</f>
        <v/>
      </c>
      <c r="L233" s="13" t="str">
        <f>IF($A233="","",[1]!thsiFinD("ths_adjustment_nv_fund",L$3,$A233))</f>
        <v/>
      </c>
      <c r="M233" s="13" t="str">
        <f>IF($A233="","",[1]!thsiFinD("ths_adjustment_nv_fund",M$3,$A233))</f>
        <v/>
      </c>
      <c r="N233" s="13" t="str">
        <f>IF($A233="","",[1]!thsiFinD("ths_adjustment_nv_fund",N$3,$A233))</f>
        <v/>
      </c>
      <c r="O233" s="13" t="str">
        <f>IF($A233="","",[1]!thsiFinD("ths_adjustment_nv_fund",O$3,$A233))</f>
        <v/>
      </c>
      <c r="P233" s="13" t="str">
        <f>IF($A233="","",[1]!thsiFinD("ths_adjustment_nv_fund",P$3,$A233))</f>
        <v/>
      </c>
      <c r="Q233" s="13" t="str">
        <f>IF($A233="","",[1]!thsiFinD("ths_adjustment_nv_fund",Q$3,$A233))</f>
        <v/>
      </c>
      <c r="R233" s="13" t="str">
        <f>IF($A233="","",[1]!thsiFinD("ths_adjustment_nv_fund",R$3,$A233))</f>
        <v/>
      </c>
      <c r="S233" s="13" t="str">
        <f>IF($A233="","",[1]!thsiFinD("ths_adjustment_nv_fund",S$3,$A233))</f>
        <v/>
      </c>
      <c r="T233" s="13" t="str">
        <f>IF($A233="","",[1]!thsiFinD("ths_adjustment_nv_fund",T$3,$A233))</f>
        <v/>
      </c>
      <c r="U233" s="13" t="str">
        <f>IF($A233="","",[1]!thsiFinD("ths_adjustment_nv_fund",U$3,$A233))</f>
        <v/>
      </c>
      <c r="V233" s="13" t="str">
        <f>IF($A233="","",[1]!thsiFinD("ths_adjustment_nv_fund",V$3,$A233))</f>
        <v/>
      </c>
      <c r="W233" s="13" t="str">
        <f>IF($A233="","",[1]!thsiFinD("ths_adjustment_nv_fund",W$3,$A233))</f>
        <v/>
      </c>
      <c r="X233" s="13" t="str">
        <f>IF($A233="","",[1]!thsiFinD("ths_adjustment_nv_fund",X$3,$A233))</f>
        <v/>
      </c>
      <c r="Y233" s="13" t="str">
        <f>IF($A233="","",[1]!thsiFinD("ths_adjustment_nv_fund",Y$3,$A233))</f>
        <v/>
      </c>
      <c r="Z233" s="13" t="str">
        <f>IF($A233="","",[1]!thsiFinD("ths_adjustment_nv_fund",Z$3,$A233))</f>
        <v/>
      </c>
      <c r="AA233" s="13" t="str">
        <f>IF($A233="","",[1]!thsiFinD("ths_adjustment_nv_fund",AA$3,$A233))</f>
        <v/>
      </c>
      <c r="AB233" s="13">
        <f>IF($A233="","",[1]!thsiFinD("ths_adjustment_nv_fund",AB$3,$A233))</f>
        <v/>
      </c>
      <c r="AC233" s="13">
        <f>IF($A233="","",[1]!thsiFinD("ths_adjustment_nv_fund",AC$3,$A233))</f>
        <v/>
      </c>
      <c r="AD233" s="13">
        <f>IF($A233="","",[1]!thsiFinD("ths_adjustment_nv_fund",AD$3,$A233))</f>
        <v/>
      </c>
      <c r="AE233" s="13">
        <f>IF($A233="","",[1]!thsiFinD("ths_adjustment_nv_fund",AE$3,$A233))</f>
        <v/>
      </c>
      <c r="AF233" s="13">
        <f>IF($A233="","",[1]!thsiFinD("ths_adjustment_nv_fund",AF$3,$A233))</f>
        <v/>
      </c>
      <c r="AG233" s="13">
        <f>IF($A233="","",[1]!thsiFinD("ths_adjustment_nv_fund",AG$3,$A233))</f>
        <v/>
      </c>
      <c r="AH233" s="13">
        <f>IF($A233="","",[1]!thsiFinD("ths_adjustment_nv_fund",AH$3,$A233))</f>
        <v/>
      </c>
      <c r="AI233" s="13">
        <f>IF($A233="","",[1]!thsiFinD("ths_adjustment_nv_fund",AI$3,$A233))</f>
        <v/>
      </c>
      <c r="AJ233" s="13">
        <f>IF($A233="","",[1]!thsiFinD("ths_adjustment_nv_fund",AJ$3,$A233))</f>
        <v/>
      </c>
      <c r="AK233" s="13">
        <f>IF($A233="","",[1]!thsiFinD("ths_adjustment_nv_fund",AK$3,$A233))</f>
        <v/>
      </c>
      <c r="AL233" s="13">
        <f>IF($A233="","",[1]!thsiFinD("ths_adjustment_nv_fund",AL$3,$A233))</f>
        <v/>
      </c>
    </row>
    <row r="234" spans="2:28">
      <c r="B234" s="13" t="str">
        <f>IF($A234="","",[1]!thsiFinD("ths_adjustment_nv_fund",B$3,$A234))</f>
        <v/>
      </c>
      <c r="C234" s="13" t="str">
        <f>IF($A234="","",[1]!thsiFinD("ths_adjustment_nv_fund",C$3,$A234))</f>
        <v/>
      </c>
      <c r="D234" s="13" t="str">
        <f>IF($A234="","",[1]!thsiFinD("ths_adjustment_nv_fund",D$3,$A234))</f>
        <v/>
      </c>
      <c r="E234" s="13" t="str">
        <f>IF($A234="","",[1]!thsiFinD("ths_adjustment_nv_fund",E$3,$A234))</f>
        <v/>
      </c>
      <c r="F234" s="13" t="str">
        <f>IF($A234="","",[1]!thsiFinD("ths_adjustment_nv_fund",F$3,$A234))</f>
        <v/>
      </c>
      <c r="G234" s="13" t="str">
        <f>IF($A234="","",[1]!thsiFinD("ths_adjustment_nv_fund",G$3,$A234))</f>
        <v/>
      </c>
      <c r="H234" s="13" t="str">
        <f>IF($A234="","",[1]!thsiFinD("ths_adjustment_nv_fund",H$3,$A234))</f>
        <v/>
      </c>
      <c r="I234" s="13" t="str">
        <f>IF($A234="","",[1]!thsiFinD("ths_adjustment_nv_fund",I$3,$A234))</f>
        <v/>
      </c>
      <c r="J234" s="13" t="str">
        <f>IF($A234="","",[1]!thsiFinD("ths_adjustment_nv_fund",J$3,$A234))</f>
        <v/>
      </c>
      <c r="K234" s="13" t="str">
        <f>IF($A234="","",[1]!thsiFinD("ths_adjustment_nv_fund",K$3,$A234))</f>
        <v/>
      </c>
      <c r="L234" s="13" t="str">
        <f>IF($A234="","",[1]!thsiFinD("ths_adjustment_nv_fund",L$3,$A234))</f>
        <v/>
      </c>
      <c r="M234" s="13" t="str">
        <f>IF($A234="","",[1]!thsiFinD("ths_adjustment_nv_fund",M$3,$A234))</f>
        <v/>
      </c>
      <c r="N234" s="13" t="str">
        <f>IF($A234="","",[1]!thsiFinD("ths_adjustment_nv_fund",N$3,$A234))</f>
        <v/>
      </c>
      <c r="O234" s="13" t="str">
        <f>IF($A234="","",[1]!thsiFinD("ths_adjustment_nv_fund",O$3,$A234))</f>
        <v/>
      </c>
      <c r="P234" s="13" t="str">
        <f>IF($A234="","",[1]!thsiFinD("ths_adjustment_nv_fund",P$3,$A234))</f>
        <v/>
      </c>
      <c r="Q234" s="13" t="str">
        <f>IF($A234="","",[1]!thsiFinD("ths_adjustment_nv_fund",Q$3,$A234))</f>
        <v/>
      </c>
      <c r="R234" s="13" t="str">
        <f>IF($A234="","",[1]!thsiFinD("ths_adjustment_nv_fund",R$3,$A234))</f>
        <v/>
      </c>
      <c r="S234" s="13" t="str">
        <f>IF($A234="","",[1]!thsiFinD("ths_adjustment_nv_fund",S$3,$A234))</f>
        <v/>
      </c>
      <c r="T234" s="13" t="str">
        <f>IF($A234="","",[1]!thsiFinD("ths_adjustment_nv_fund",T$3,$A234))</f>
        <v/>
      </c>
      <c r="U234" s="13" t="str">
        <f>IF($A234="","",[1]!thsiFinD("ths_adjustment_nv_fund",U$3,$A234))</f>
        <v/>
      </c>
      <c r="V234" s="13" t="str">
        <f>IF($A234="","",[1]!thsiFinD("ths_adjustment_nv_fund",V$3,$A234))</f>
        <v/>
      </c>
      <c r="W234" s="13" t="str">
        <f>IF($A234="","",[1]!thsiFinD("ths_adjustment_nv_fund",W$3,$A234))</f>
        <v/>
      </c>
      <c r="X234" s="13" t="str">
        <f>IF($A234="","",[1]!thsiFinD("ths_adjustment_nv_fund",X$3,$A234))</f>
        <v/>
      </c>
      <c r="Y234" s="13" t="str">
        <f>IF($A234="","",[1]!thsiFinD("ths_adjustment_nv_fund",Y$3,$A234))</f>
        <v/>
      </c>
      <c r="Z234" s="13" t="str">
        <f>IF($A234="","",[1]!thsiFinD("ths_adjustment_nv_fund",Z$3,$A234))</f>
        <v/>
      </c>
      <c r="AA234" s="13" t="str">
        <f>IF($A234="","",[1]!thsiFinD("ths_adjustment_nv_fund",AA$3,$A234))</f>
        <v/>
      </c>
      <c r="AB234" s="13">
        <f>IF($A234="","",[1]!thsiFinD("ths_adjustment_nv_fund",AB$3,$A234))</f>
        <v/>
      </c>
      <c r="AC234" s="13">
        <f>IF($A234="","",[1]!thsiFinD("ths_adjustment_nv_fund",AC$3,$A234))</f>
        <v/>
      </c>
      <c r="AD234" s="13">
        <f>IF($A234="","",[1]!thsiFinD("ths_adjustment_nv_fund",AD$3,$A234))</f>
        <v/>
      </c>
      <c r="AE234" s="13">
        <f>IF($A234="","",[1]!thsiFinD("ths_adjustment_nv_fund",AE$3,$A234))</f>
        <v/>
      </c>
      <c r="AF234" s="13">
        <f>IF($A234="","",[1]!thsiFinD("ths_adjustment_nv_fund",AF$3,$A234))</f>
        <v/>
      </c>
      <c r="AG234" s="13">
        <f>IF($A234="","",[1]!thsiFinD("ths_adjustment_nv_fund",AG$3,$A234))</f>
        <v/>
      </c>
      <c r="AH234" s="13">
        <f>IF($A234="","",[1]!thsiFinD("ths_adjustment_nv_fund",AH$3,$A234))</f>
        <v/>
      </c>
      <c r="AI234" s="13">
        <f>IF($A234="","",[1]!thsiFinD("ths_adjustment_nv_fund",AI$3,$A234))</f>
        <v/>
      </c>
      <c r="AJ234" s="13">
        <f>IF($A234="","",[1]!thsiFinD("ths_adjustment_nv_fund",AJ$3,$A234))</f>
        <v/>
      </c>
      <c r="AK234" s="13">
        <f>IF($A234="","",[1]!thsiFinD("ths_adjustment_nv_fund",AK$3,$A234))</f>
        <v/>
      </c>
      <c r="AL234" s="13">
        <f>IF($A234="","",[1]!thsiFinD("ths_adjustment_nv_fund",AL$3,$A234))</f>
        <v/>
      </c>
    </row>
    <row r="235" spans="2:28">
      <c r="B235" s="13" t="str">
        <f>IF($A235="","",[1]!thsiFinD("ths_adjustment_nv_fund",B$3,$A235))</f>
        <v/>
      </c>
      <c r="C235" s="13" t="str">
        <f>IF($A235="","",[1]!thsiFinD("ths_adjustment_nv_fund",C$3,$A235))</f>
        <v/>
      </c>
      <c r="D235" s="13" t="str">
        <f>IF($A235="","",[1]!thsiFinD("ths_adjustment_nv_fund",D$3,$A235))</f>
        <v/>
      </c>
      <c r="E235" s="13" t="str">
        <f>IF($A235="","",[1]!thsiFinD("ths_adjustment_nv_fund",E$3,$A235))</f>
        <v/>
      </c>
      <c r="F235" s="13" t="str">
        <f>IF($A235="","",[1]!thsiFinD("ths_adjustment_nv_fund",F$3,$A235))</f>
        <v/>
      </c>
      <c r="G235" s="13" t="str">
        <f>IF($A235="","",[1]!thsiFinD("ths_adjustment_nv_fund",G$3,$A235))</f>
        <v/>
      </c>
      <c r="H235" s="13" t="str">
        <f>IF($A235="","",[1]!thsiFinD("ths_adjustment_nv_fund",H$3,$A235))</f>
        <v/>
      </c>
      <c r="I235" s="13" t="str">
        <f>IF($A235="","",[1]!thsiFinD("ths_adjustment_nv_fund",I$3,$A235))</f>
        <v/>
      </c>
      <c r="J235" s="13" t="str">
        <f>IF($A235="","",[1]!thsiFinD("ths_adjustment_nv_fund",J$3,$A235))</f>
        <v/>
      </c>
      <c r="K235" s="13" t="str">
        <f>IF($A235="","",[1]!thsiFinD("ths_adjustment_nv_fund",K$3,$A235))</f>
        <v/>
      </c>
      <c r="L235" s="13" t="str">
        <f>IF($A235="","",[1]!thsiFinD("ths_adjustment_nv_fund",L$3,$A235))</f>
        <v/>
      </c>
      <c r="M235" s="13" t="str">
        <f>IF($A235="","",[1]!thsiFinD("ths_adjustment_nv_fund",M$3,$A235))</f>
        <v/>
      </c>
      <c r="N235" s="13" t="str">
        <f>IF($A235="","",[1]!thsiFinD("ths_adjustment_nv_fund",N$3,$A235))</f>
        <v/>
      </c>
      <c r="O235" s="13" t="str">
        <f>IF($A235="","",[1]!thsiFinD("ths_adjustment_nv_fund",O$3,$A235))</f>
        <v/>
      </c>
      <c r="P235" s="13" t="str">
        <f>IF($A235="","",[1]!thsiFinD("ths_adjustment_nv_fund",P$3,$A235))</f>
        <v/>
      </c>
      <c r="Q235" s="13" t="str">
        <f>IF($A235="","",[1]!thsiFinD("ths_adjustment_nv_fund",Q$3,$A235))</f>
        <v/>
      </c>
      <c r="R235" s="13" t="str">
        <f>IF($A235="","",[1]!thsiFinD("ths_adjustment_nv_fund",R$3,$A235))</f>
        <v/>
      </c>
      <c r="S235" s="13" t="str">
        <f>IF($A235="","",[1]!thsiFinD("ths_adjustment_nv_fund",S$3,$A235))</f>
        <v/>
      </c>
      <c r="T235" s="13" t="str">
        <f>IF($A235="","",[1]!thsiFinD("ths_adjustment_nv_fund",T$3,$A235))</f>
        <v/>
      </c>
      <c r="U235" s="13" t="str">
        <f>IF($A235="","",[1]!thsiFinD("ths_adjustment_nv_fund",U$3,$A235))</f>
        <v/>
      </c>
      <c r="V235" s="13" t="str">
        <f>IF($A235="","",[1]!thsiFinD("ths_adjustment_nv_fund",V$3,$A235))</f>
        <v/>
      </c>
      <c r="W235" s="13" t="str">
        <f>IF($A235="","",[1]!thsiFinD("ths_adjustment_nv_fund",W$3,$A235))</f>
        <v/>
      </c>
      <c r="X235" s="13" t="str">
        <f>IF($A235="","",[1]!thsiFinD("ths_adjustment_nv_fund",X$3,$A235))</f>
        <v/>
      </c>
      <c r="Y235" s="13" t="str">
        <f>IF($A235="","",[1]!thsiFinD("ths_adjustment_nv_fund",Y$3,$A235))</f>
        <v/>
      </c>
      <c r="Z235" s="13" t="str">
        <f>IF($A235="","",[1]!thsiFinD("ths_adjustment_nv_fund",Z$3,$A235))</f>
        <v/>
      </c>
      <c r="AA235" s="13" t="str">
        <f>IF($A235="","",[1]!thsiFinD("ths_adjustment_nv_fund",AA$3,$A235))</f>
        <v/>
      </c>
      <c r="AB235" s="13">
        <f>IF($A235="","",[1]!thsiFinD("ths_adjustment_nv_fund",AB$3,$A235))</f>
        <v/>
      </c>
      <c r="AC235" s="13">
        <f>IF($A235="","",[1]!thsiFinD("ths_adjustment_nv_fund",AC$3,$A235))</f>
        <v/>
      </c>
      <c r="AD235" s="13">
        <f>IF($A235="","",[1]!thsiFinD("ths_adjustment_nv_fund",AD$3,$A235))</f>
        <v/>
      </c>
      <c r="AE235" s="13">
        <f>IF($A235="","",[1]!thsiFinD("ths_adjustment_nv_fund",AE$3,$A235))</f>
        <v/>
      </c>
      <c r="AF235" s="13">
        <f>IF($A235="","",[1]!thsiFinD("ths_adjustment_nv_fund",AF$3,$A235))</f>
        <v/>
      </c>
      <c r="AG235" s="13">
        <f>IF($A235="","",[1]!thsiFinD("ths_adjustment_nv_fund",AG$3,$A235))</f>
        <v/>
      </c>
      <c r="AH235" s="13">
        <f>IF($A235="","",[1]!thsiFinD("ths_adjustment_nv_fund",AH$3,$A235))</f>
        <v/>
      </c>
      <c r="AI235" s="13">
        <f>IF($A235="","",[1]!thsiFinD("ths_adjustment_nv_fund",AI$3,$A235))</f>
        <v/>
      </c>
      <c r="AJ235" s="13">
        <f>IF($A235="","",[1]!thsiFinD("ths_adjustment_nv_fund",AJ$3,$A235))</f>
        <v/>
      </c>
      <c r="AK235" s="13">
        <f>IF($A235="","",[1]!thsiFinD("ths_adjustment_nv_fund",AK$3,$A235))</f>
        <v/>
      </c>
      <c r="AL235" s="13">
        <f>IF($A235="","",[1]!thsiFinD("ths_adjustment_nv_fund",AL$3,$A235))</f>
        <v/>
      </c>
    </row>
    <row r="236" spans="2:28">
      <c r="B236" s="13" t="str">
        <f>IF($A236="","",[1]!thsiFinD("ths_adjustment_nv_fund",B$3,$A236))</f>
        <v/>
      </c>
      <c r="C236" s="13" t="str">
        <f>IF($A236="","",[1]!thsiFinD("ths_adjustment_nv_fund",C$3,$A236))</f>
        <v/>
      </c>
      <c r="D236" s="13" t="str">
        <f>IF($A236="","",[1]!thsiFinD("ths_adjustment_nv_fund",D$3,$A236))</f>
        <v/>
      </c>
      <c r="E236" s="13" t="str">
        <f>IF($A236="","",[1]!thsiFinD("ths_adjustment_nv_fund",E$3,$A236))</f>
        <v/>
      </c>
      <c r="F236" s="13" t="str">
        <f>IF($A236="","",[1]!thsiFinD("ths_adjustment_nv_fund",F$3,$A236))</f>
        <v/>
      </c>
      <c r="G236" s="13" t="str">
        <f>IF($A236="","",[1]!thsiFinD("ths_adjustment_nv_fund",G$3,$A236))</f>
        <v/>
      </c>
      <c r="H236" s="13" t="str">
        <f>IF($A236="","",[1]!thsiFinD("ths_adjustment_nv_fund",H$3,$A236))</f>
        <v/>
      </c>
      <c r="I236" s="13" t="str">
        <f>IF($A236="","",[1]!thsiFinD("ths_adjustment_nv_fund",I$3,$A236))</f>
        <v/>
      </c>
      <c r="J236" s="13" t="str">
        <f>IF($A236="","",[1]!thsiFinD("ths_adjustment_nv_fund",J$3,$A236))</f>
        <v/>
      </c>
      <c r="K236" s="13" t="str">
        <f>IF($A236="","",[1]!thsiFinD("ths_adjustment_nv_fund",K$3,$A236))</f>
        <v/>
      </c>
      <c r="L236" s="13" t="str">
        <f>IF($A236="","",[1]!thsiFinD("ths_adjustment_nv_fund",L$3,$A236))</f>
        <v/>
      </c>
      <c r="M236" s="13" t="str">
        <f>IF($A236="","",[1]!thsiFinD("ths_adjustment_nv_fund",M$3,$A236))</f>
        <v/>
      </c>
      <c r="N236" s="13" t="str">
        <f>IF($A236="","",[1]!thsiFinD("ths_adjustment_nv_fund",N$3,$A236))</f>
        <v/>
      </c>
      <c r="O236" s="13" t="str">
        <f>IF($A236="","",[1]!thsiFinD("ths_adjustment_nv_fund",O$3,$A236))</f>
        <v/>
      </c>
      <c r="P236" s="13" t="str">
        <f>IF($A236="","",[1]!thsiFinD("ths_adjustment_nv_fund",P$3,$A236))</f>
        <v/>
      </c>
      <c r="Q236" s="13" t="str">
        <f>IF($A236="","",[1]!thsiFinD("ths_adjustment_nv_fund",Q$3,$A236))</f>
        <v/>
      </c>
      <c r="R236" s="13" t="str">
        <f>IF($A236="","",[1]!thsiFinD("ths_adjustment_nv_fund",R$3,$A236))</f>
        <v/>
      </c>
      <c r="S236" s="13" t="str">
        <f>IF($A236="","",[1]!thsiFinD("ths_adjustment_nv_fund",S$3,$A236))</f>
        <v/>
      </c>
      <c r="T236" s="13" t="str">
        <f>IF($A236="","",[1]!thsiFinD("ths_adjustment_nv_fund",T$3,$A236))</f>
        <v/>
      </c>
      <c r="U236" s="13" t="str">
        <f>IF($A236="","",[1]!thsiFinD("ths_adjustment_nv_fund",U$3,$A236))</f>
        <v/>
      </c>
      <c r="V236" s="13" t="str">
        <f>IF($A236="","",[1]!thsiFinD("ths_adjustment_nv_fund",V$3,$A236))</f>
        <v/>
      </c>
      <c r="W236" s="13" t="str">
        <f>IF($A236="","",[1]!thsiFinD("ths_adjustment_nv_fund",W$3,$A236))</f>
        <v/>
      </c>
      <c r="X236" s="13" t="str">
        <f>IF($A236="","",[1]!thsiFinD("ths_adjustment_nv_fund",X$3,$A236))</f>
        <v/>
      </c>
      <c r="Y236" s="13" t="str">
        <f>IF($A236="","",[1]!thsiFinD("ths_adjustment_nv_fund",Y$3,$A236))</f>
        <v/>
      </c>
      <c r="Z236" s="13" t="str">
        <f>IF($A236="","",[1]!thsiFinD("ths_adjustment_nv_fund",Z$3,$A236))</f>
        <v/>
      </c>
      <c r="AA236" s="13" t="str">
        <f>IF($A236="","",[1]!thsiFinD("ths_adjustment_nv_fund",AA$3,$A236))</f>
        <v/>
      </c>
      <c r="AB236" s="13">
        <f>IF($A236="","",[1]!thsiFinD("ths_adjustment_nv_fund",AB$3,$A236))</f>
        <v/>
      </c>
      <c r="AC236" s="13">
        <f>IF($A236="","",[1]!thsiFinD("ths_adjustment_nv_fund",AC$3,$A236))</f>
        <v/>
      </c>
      <c r="AD236" s="13">
        <f>IF($A236="","",[1]!thsiFinD("ths_adjustment_nv_fund",AD$3,$A236))</f>
        <v/>
      </c>
      <c r="AE236" s="13">
        <f>IF($A236="","",[1]!thsiFinD("ths_adjustment_nv_fund",AE$3,$A236))</f>
        <v/>
      </c>
      <c r="AF236" s="13">
        <f>IF($A236="","",[1]!thsiFinD("ths_adjustment_nv_fund",AF$3,$A236))</f>
        <v/>
      </c>
      <c r="AG236" s="13">
        <f>IF($A236="","",[1]!thsiFinD("ths_adjustment_nv_fund",AG$3,$A236))</f>
        <v/>
      </c>
      <c r="AH236" s="13">
        <f>IF($A236="","",[1]!thsiFinD("ths_adjustment_nv_fund",AH$3,$A236))</f>
        <v/>
      </c>
      <c r="AI236" s="13">
        <f>IF($A236="","",[1]!thsiFinD("ths_adjustment_nv_fund",AI$3,$A236))</f>
        <v/>
      </c>
      <c r="AJ236" s="13">
        <f>IF($A236="","",[1]!thsiFinD("ths_adjustment_nv_fund",AJ$3,$A236))</f>
        <v/>
      </c>
      <c r="AK236" s="13">
        <f>IF($A236="","",[1]!thsiFinD("ths_adjustment_nv_fund",AK$3,$A236))</f>
        <v/>
      </c>
      <c r="AL236" s="13">
        <f>IF($A236="","",[1]!thsiFinD("ths_adjustment_nv_fund",AL$3,$A236))</f>
        <v/>
      </c>
    </row>
    <row r="237" spans="2:28">
      <c r="B237" s="13" t="str">
        <f>IF($A237="","",[1]!thsiFinD("ths_adjustment_nv_fund",B$3,$A237))</f>
        <v/>
      </c>
      <c r="C237" s="13" t="str">
        <f>IF($A237="","",[1]!thsiFinD("ths_adjustment_nv_fund",C$3,$A237))</f>
        <v/>
      </c>
      <c r="D237" s="13" t="str">
        <f>IF($A237="","",[1]!thsiFinD("ths_adjustment_nv_fund",D$3,$A237))</f>
        <v/>
      </c>
      <c r="E237" s="13" t="str">
        <f>IF($A237="","",[1]!thsiFinD("ths_adjustment_nv_fund",E$3,$A237))</f>
        <v/>
      </c>
      <c r="F237" s="13" t="str">
        <f>IF($A237="","",[1]!thsiFinD("ths_adjustment_nv_fund",F$3,$A237))</f>
        <v/>
      </c>
      <c r="G237" s="13" t="str">
        <f>IF($A237="","",[1]!thsiFinD("ths_adjustment_nv_fund",G$3,$A237))</f>
        <v/>
      </c>
      <c r="H237" s="13" t="str">
        <f>IF($A237="","",[1]!thsiFinD("ths_adjustment_nv_fund",H$3,$A237))</f>
        <v/>
      </c>
      <c r="I237" s="13" t="str">
        <f>IF($A237="","",[1]!thsiFinD("ths_adjustment_nv_fund",I$3,$A237))</f>
        <v/>
      </c>
      <c r="J237" s="13" t="str">
        <f>IF($A237="","",[1]!thsiFinD("ths_adjustment_nv_fund",J$3,$A237))</f>
        <v/>
      </c>
      <c r="K237" s="13" t="str">
        <f>IF($A237="","",[1]!thsiFinD("ths_adjustment_nv_fund",K$3,$A237))</f>
        <v/>
      </c>
      <c r="L237" s="13" t="str">
        <f>IF($A237="","",[1]!thsiFinD("ths_adjustment_nv_fund",L$3,$A237))</f>
        <v/>
      </c>
      <c r="M237" s="13" t="str">
        <f>IF($A237="","",[1]!thsiFinD("ths_adjustment_nv_fund",M$3,$A237))</f>
        <v/>
      </c>
      <c r="N237" s="13" t="str">
        <f>IF($A237="","",[1]!thsiFinD("ths_adjustment_nv_fund",N$3,$A237))</f>
        <v/>
      </c>
      <c r="O237" s="13" t="str">
        <f>IF($A237="","",[1]!thsiFinD("ths_adjustment_nv_fund",O$3,$A237))</f>
        <v/>
      </c>
      <c r="P237" s="13" t="str">
        <f>IF($A237="","",[1]!thsiFinD("ths_adjustment_nv_fund",P$3,$A237))</f>
        <v/>
      </c>
      <c r="Q237" s="13" t="str">
        <f>IF($A237="","",[1]!thsiFinD("ths_adjustment_nv_fund",Q$3,$A237))</f>
        <v/>
      </c>
      <c r="R237" s="13" t="str">
        <f>IF($A237="","",[1]!thsiFinD("ths_adjustment_nv_fund",R$3,$A237))</f>
        <v/>
      </c>
      <c r="S237" s="13" t="str">
        <f>IF($A237="","",[1]!thsiFinD("ths_adjustment_nv_fund",S$3,$A237))</f>
        <v/>
      </c>
      <c r="T237" s="13" t="str">
        <f>IF($A237="","",[1]!thsiFinD("ths_adjustment_nv_fund",T$3,$A237))</f>
        <v/>
      </c>
      <c r="U237" s="13" t="str">
        <f>IF($A237="","",[1]!thsiFinD("ths_adjustment_nv_fund",U$3,$A237))</f>
        <v/>
      </c>
      <c r="V237" s="13" t="str">
        <f>IF($A237="","",[1]!thsiFinD("ths_adjustment_nv_fund",V$3,$A237))</f>
        <v/>
      </c>
      <c r="W237" s="13" t="str">
        <f>IF($A237="","",[1]!thsiFinD("ths_adjustment_nv_fund",W$3,$A237))</f>
        <v/>
      </c>
      <c r="X237" s="13" t="str">
        <f>IF($A237="","",[1]!thsiFinD("ths_adjustment_nv_fund",X$3,$A237))</f>
        <v/>
      </c>
      <c r="Y237" s="13" t="str">
        <f>IF($A237="","",[1]!thsiFinD("ths_adjustment_nv_fund",Y$3,$A237))</f>
        <v/>
      </c>
      <c r="Z237" s="13" t="str">
        <f>IF($A237="","",[1]!thsiFinD("ths_adjustment_nv_fund",Z$3,$A237))</f>
        <v/>
      </c>
      <c r="AA237" s="13" t="str">
        <f>IF($A237="","",[1]!thsiFinD("ths_adjustment_nv_fund",AA$3,$A237))</f>
        <v/>
      </c>
      <c r="AB237" s="13">
        <f>IF($A237="","",[1]!thsiFinD("ths_adjustment_nv_fund",AB$3,$A237))</f>
        <v/>
      </c>
      <c r="AC237" s="13">
        <f>IF($A237="","",[1]!thsiFinD("ths_adjustment_nv_fund",AC$3,$A237))</f>
        <v/>
      </c>
      <c r="AD237" s="13">
        <f>IF($A237="","",[1]!thsiFinD("ths_adjustment_nv_fund",AD$3,$A237))</f>
        <v/>
      </c>
      <c r="AE237" s="13">
        <f>IF($A237="","",[1]!thsiFinD("ths_adjustment_nv_fund",AE$3,$A237))</f>
        <v/>
      </c>
      <c r="AF237" s="13">
        <f>IF($A237="","",[1]!thsiFinD("ths_adjustment_nv_fund",AF$3,$A237))</f>
        <v/>
      </c>
      <c r="AG237" s="13">
        <f>IF($A237="","",[1]!thsiFinD("ths_adjustment_nv_fund",AG$3,$A237))</f>
        <v/>
      </c>
      <c r="AH237" s="13">
        <f>IF($A237="","",[1]!thsiFinD("ths_adjustment_nv_fund",AH$3,$A237))</f>
        <v/>
      </c>
      <c r="AI237" s="13">
        <f>IF($A237="","",[1]!thsiFinD("ths_adjustment_nv_fund",AI$3,$A237))</f>
        <v/>
      </c>
      <c r="AJ237" s="13">
        <f>IF($A237="","",[1]!thsiFinD("ths_adjustment_nv_fund",AJ$3,$A237))</f>
        <v/>
      </c>
      <c r="AK237" s="13">
        <f>IF($A237="","",[1]!thsiFinD("ths_adjustment_nv_fund",AK$3,$A237))</f>
        <v/>
      </c>
      <c r="AL237" s="13">
        <f>IF($A237="","",[1]!thsiFinD("ths_adjustment_nv_fund",AL$3,$A237))</f>
        <v/>
      </c>
    </row>
    <row r="238" spans="2:28">
      <c r="B238" s="13" t="str">
        <f>IF($A238="","",[1]!thsiFinD("ths_adjustment_nv_fund",B$3,$A238))</f>
        <v/>
      </c>
      <c r="C238" s="13" t="str">
        <f>IF($A238="","",[1]!thsiFinD("ths_adjustment_nv_fund",C$3,$A238))</f>
        <v/>
      </c>
      <c r="D238" s="13" t="str">
        <f>IF($A238="","",[1]!thsiFinD("ths_adjustment_nv_fund",D$3,$A238))</f>
        <v/>
      </c>
      <c r="E238" s="13" t="str">
        <f>IF($A238="","",[1]!thsiFinD("ths_adjustment_nv_fund",E$3,$A238))</f>
        <v/>
      </c>
      <c r="F238" s="13" t="str">
        <f>IF($A238="","",[1]!thsiFinD("ths_adjustment_nv_fund",F$3,$A238))</f>
        <v/>
      </c>
      <c r="G238" s="13" t="str">
        <f>IF($A238="","",[1]!thsiFinD("ths_adjustment_nv_fund",G$3,$A238))</f>
        <v/>
      </c>
      <c r="H238" s="13" t="str">
        <f>IF($A238="","",[1]!thsiFinD("ths_adjustment_nv_fund",H$3,$A238))</f>
        <v/>
      </c>
      <c r="I238" s="13" t="str">
        <f>IF($A238="","",[1]!thsiFinD("ths_adjustment_nv_fund",I$3,$A238))</f>
        <v/>
      </c>
      <c r="J238" s="13" t="str">
        <f>IF($A238="","",[1]!thsiFinD("ths_adjustment_nv_fund",J$3,$A238))</f>
        <v/>
      </c>
      <c r="K238" s="13" t="str">
        <f>IF($A238="","",[1]!thsiFinD("ths_adjustment_nv_fund",K$3,$A238))</f>
        <v/>
      </c>
      <c r="L238" s="13" t="str">
        <f>IF($A238="","",[1]!thsiFinD("ths_adjustment_nv_fund",L$3,$A238))</f>
        <v/>
      </c>
      <c r="M238" s="13" t="str">
        <f>IF($A238="","",[1]!thsiFinD("ths_adjustment_nv_fund",M$3,$A238))</f>
        <v/>
      </c>
      <c r="N238" s="13" t="str">
        <f>IF($A238="","",[1]!thsiFinD("ths_adjustment_nv_fund",N$3,$A238))</f>
        <v/>
      </c>
      <c r="O238" s="13" t="str">
        <f>IF($A238="","",[1]!thsiFinD("ths_adjustment_nv_fund",O$3,$A238))</f>
        <v/>
      </c>
      <c r="P238" s="13" t="str">
        <f>IF($A238="","",[1]!thsiFinD("ths_adjustment_nv_fund",P$3,$A238))</f>
        <v/>
      </c>
      <c r="Q238" s="13" t="str">
        <f>IF($A238="","",[1]!thsiFinD("ths_adjustment_nv_fund",Q$3,$A238))</f>
        <v/>
      </c>
      <c r="R238" s="13" t="str">
        <f>IF($A238="","",[1]!thsiFinD("ths_adjustment_nv_fund",R$3,$A238))</f>
        <v/>
      </c>
      <c r="S238" s="13" t="str">
        <f>IF($A238="","",[1]!thsiFinD("ths_adjustment_nv_fund",S$3,$A238))</f>
        <v/>
      </c>
      <c r="T238" s="13" t="str">
        <f>IF($A238="","",[1]!thsiFinD("ths_adjustment_nv_fund",T$3,$A238))</f>
        <v/>
      </c>
      <c r="U238" s="13" t="str">
        <f>IF($A238="","",[1]!thsiFinD("ths_adjustment_nv_fund",U$3,$A238))</f>
        <v/>
      </c>
      <c r="V238" s="13" t="str">
        <f>IF($A238="","",[1]!thsiFinD("ths_adjustment_nv_fund",V$3,$A238))</f>
        <v/>
      </c>
      <c r="W238" s="13" t="str">
        <f>IF($A238="","",[1]!thsiFinD("ths_adjustment_nv_fund",W$3,$A238))</f>
        <v/>
      </c>
      <c r="X238" s="13" t="str">
        <f>IF($A238="","",[1]!thsiFinD("ths_adjustment_nv_fund",X$3,$A238))</f>
        <v/>
      </c>
      <c r="Y238" s="13" t="str">
        <f>IF($A238="","",[1]!thsiFinD("ths_adjustment_nv_fund",Y$3,$A238))</f>
        <v/>
      </c>
      <c r="Z238" s="13" t="str">
        <f>IF($A238="","",[1]!thsiFinD("ths_adjustment_nv_fund",Z$3,$A238))</f>
        <v/>
      </c>
      <c r="AA238" s="13" t="str">
        <f>IF($A238="","",[1]!thsiFinD("ths_adjustment_nv_fund",AA$3,$A238))</f>
        <v/>
      </c>
      <c r="AB238" s="13">
        <f>IF($A238="","",[1]!thsiFinD("ths_adjustment_nv_fund",AB$3,$A238))</f>
        <v/>
      </c>
      <c r="AC238" s="13">
        <f>IF($A238="","",[1]!thsiFinD("ths_adjustment_nv_fund",AC$3,$A238))</f>
        <v/>
      </c>
      <c r="AD238" s="13">
        <f>IF($A238="","",[1]!thsiFinD("ths_adjustment_nv_fund",AD$3,$A238))</f>
        <v/>
      </c>
      <c r="AE238" s="13">
        <f>IF($A238="","",[1]!thsiFinD("ths_adjustment_nv_fund",AE$3,$A238))</f>
        <v/>
      </c>
      <c r="AF238" s="13">
        <f>IF($A238="","",[1]!thsiFinD("ths_adjustment_nv_fund",AF$3,$A238))</f>
        <v/>
      </c>
      <c r="AG238" s="13">
        <f>IF($A238="","",[1]!thsiFinD("ths_adjustment_nv_fund",AG$3,$A238))</f>
        <v/>
      </c>
      <c r="AH238" s="13">
        <f>IF($A238="","",[1]!thsiFinD("ths_adjustment_nv_fund",AH$3,$A238))</f>
        <v/>
      </c>
      <c r="AI238" s="13">
        <f>IF($A238="","",[1]!thsiFinD("ths_adjustment_nv_fund",AI$3,$A238))</f>
        <v/>
      </c>
      <c r="AJ238" s="13">
        <f>IF($A238="","",[1]!thsiFinD("ths_adjustment_nv_fund",AJ$3,$A238))</f>
        <v/>
      </c>
      <c r="AK238" s="13">
        <f>IF($A238="","",[1]!thsiFinD("ths_adjustment_nv_fund",AK$3,$A238))</f>
        <v/>
      </c>
      <c r="AL238" s="13">
        <f>IF($A238="","",[1]!thsiFinD("ths_adjustment_nv_fund",AL$3,$A238))</f>
        <v/>
      </c>
    </row>
    <row r="239" spans="2:28">
      <c r="B239" s="13" t="str">
        <f>IF($A239="","",[1]!thsiFinD("ths_adjustment_nv_fund",B$3,$A239))</f>
        <v/>
      </c>
      <c r="C239" s="13" t="str">
        <f>IF($A239="","",[1]!thsiFinD("ths_adjustment_nv_fund",C$3,$A239))</f>
        <v/>
      </c>
      <c r="D239" s="13" t="str">
        <f>IF($A239="","",[1]!thsiFinD("ths_adjustment_nv_fund",D$3,$A239))</f>
        <v/>
      </c>
      <c r="E239" s="13" t="str">
        <f>IF($A239="","",[1]!thsiFinD("ths_adjustment_nv_fund",E$3,$A239))</f>
        <v/>
      </c>
      <c r="F239" s="13" t="str">
        <f>IF($A239="","",[1]!thsiFinD("ths_adjustment_nv_fund",F$3,$A239))</f>
        <v/>
      </c>
      <c r="G239" s="13" t="str">
        <f>IF($A239="","",[1]!thsiFinD("ths_adjustment_nv_fund",G$3,$A239))</f>
        <v/>
      </c>
      <c r="H239" s="13" t="str">
        <f>IF($A239="","",[1]!thsiFinD("ths_adjustment_nv_fund",H$3,$A239))</f>
        <v/>
      </c>
      <c r="I239" s="13" t="str">
        <f>IF($A239="","",[1]!thsiFinD("ths_adjustment_nv_fund",I$3,$A239))</f>
        <v/>
      </c>
      <c r="J239" s="13" t="str">
        <f>IF($A239="","",[1]!thsiFinD("ths_adjustment_nv_fund",J$3,$A239))</f>
        <v/>
      </c>
      <c r="K239" s="13" t="str">
        <f>IF($A239="","",[1]!thsiFinD("ths_adjustment_nv_fund",K$3,$A239))</f>
        <v/>
      </c>
      <c r="L239" s="13" t="str">
        <f>IF($A239="","",[1]!thsiFinD("ths_adjustment_nv_fund",L$3,$A239))</f>
        <v/>
      </c>
      <c r="M239" s="13" t="str">
        <f>IF($A239="","",[1]!thsiFinD("ths_adjustment_nv_fund",M$3,$A239))</f>
        <v/>
      </c>
      <c r="N239" s="13" t="str">
        <f>IF($A239="","",[1]!thsiFinD("ths_adjustment_nv_fund",N$3,$A239))</f>
        <v/>
      </c>
      <c r="O239" s="13" t="str">
        <f>IF($A239="","",[1]!thsiFinD("ths_adjustment_nv_fund",O$3,$A239))</f>
        <v/>
      </c>
      <c r="P239" s="13" t="str">
        <f>IF($A239="","",[1]!thsiFinD("ths_adjustment_nv_fund",P$3,$A239))</f>
        <v/>
      </c>
      <c r="Q239" s="13" t="str">
        <f>IF($A239="","",[1]!thsiFinD("ths_adjustment_nv_fund",Q$3,$A239))</f>
        <v/>
      </c>
      <c r="R239" s="13" t="str">
        <f>IF($A239="","",[1]!thsiFinD("ths_adjustment_nv_fund",R$3,$A239))</f>
        <v/>
      </c>
      <c r="S239" s="13" t="str">
        <f>IF($A239="","",[1]!thsiFinD("ths_adjustment_nv_fund",S$3,$A239))</f>
        <v/>
      </c>
      <c r="T239" s="13" t="str">
        <f>IF($A239="","",[1]!thsiFinD("ths_adjustment_nv_fund",T$3,$A239))</f>
        <v/>
      </c>
      <c r="U239" s="13" t="str">
        <f>IF($A239="","",[1]!thsiFinD("ths_adjustment_nv_fund",U$3,$A239))</f>
        <v/>
      </c>
      <c r="V239" s="13" t="str">
        <f>IF($A239="","",[1]!thsiFinD("ths_adjustment_nv_fund",V$3,$A239))</f>
        <v/>
      </c>
      <c r="W239" s="13" t="str">
        <f>IF($A239="","",[1]!thsiFinD("ths_adjustment_nv_fund",W$3,$A239))</f>
        <v/>
      </c>
      <c r="X239" s="13" t="str">
        <f>IF($A239="","",[1]!thsiFinD("ths_adjustment_nv_fund",X$3,$A239))</f>
        <v/>
      </c>
      <c r="Y239" s="13" t="str">
        <f>IF($A239="","",[1]!thsiFinD("ths_adjustment_nv_fund",Y$3,$A239))</f>
        <v/>
      </c>
      <c r="Z239" s="13" t="str">
        <f>IF($A239="","",[1]!thsiFinD("ths_adjustment_nv_fund",Z$3,$A239))</f>
        <v/>
      </c>
      <c r="AA239" s="13" t="str">
        <f>IF($A239="","",[1]!thsiFinD("ths_adjustment_nv_fund",AA$3,$A239))</f>
        <v/>
      </c>
      <c r="AB239" s="13">
        <f>IF($A239="","",[1]!thsiFinD("ths_adjustment_nv_fund",AB$3,$A239))</f>
        <v/>
      </c>
      <c r="AC239" s="13">
        <f>IF($A239="","",[1]!thsiFinD("ths_adjustment_nv_fund",AC$3,$A239))</f>
        <v/>
      </c>
      <c r="AD239" s="13">
        <f>IF($A239="","",[1]!thsiFinD("ths_adjustment_nv_fund",AD$3,$A239))</f>
        <v/>
      </c>
      <c r="AE239" s="13">
        <f>IF($A239="","",[1]!thsiFinD("ths_adjustment_nv_fund",AE$3,$A239))</f>
        <v/>
      </c>
      <c r="AF239" s="13">
        <f>IF($A239="","",[1]!thsiFinD("ths_adjustment_nv_fund",AF$3,$A239))</f>
        <v/>
      </c>
      <c r="AG239" s="13">
        <f>IF($A239="","",[1]!thsiFinD("ths_adjustment_nv_fund",AG$3,$A239))</f>
        <v/>
      </c>
      <c r="AH239" s="13">
        <f>IF($A239="","",[1]!thsiFinD("ths_adjustment_nv_fund",AH$3,$A239))</f>
        <v/>
      </c>
      <c r="AI239" s="13">
        <f>IF($A239="","",[1]!thsiFinD("ths_adjustment_nv_fund",AI$3,$A239))</f>
        <v/>
      </c>
      <c r="AJ239" s="13">
        <f>IF($A239="","",[1]!thsiFinD("ths_adjustment_nv_fund",AJ$3,$A239))</f>
        <v/>
      </c>
      <c r="AK239" s="13">
        <f>IF($A239="","",[1]!thsiFinD("ths_adjustment_nv_fund",AK$3,$A239))</f>
        <v/>
      </c>
      <c r="AL239" s="13">
        <f>IF($A239="","",[1]!thsiFinD("ths_adjustment_nv_fund",AL$3,$A239))</f>
        <v/>
      </c>
    </row>
    <row r="240" spans="2:28">
      <c r="B240" s="13" t="str">
        <f>IF($A240="","",[1]!thsiFinD("ths_adjustment_nv_fund",B$3,$A240))</f>
        <v/>
      </c>
      <c r="C240" s="13" t="str">
        <f>IF($A240="","",[1]!thsiFinD("ths_adjustment_nv_fund",C$3,$A240))</f>
        <v/>
      </c>
      <c r="D240" s="13" t="str">
        <f>IF($A240="","",[1]!thsiFinD("ths_adjustment_nv_fund",D$3,$A240))</f>
        <v/>
      </c>
      <c r="E240" s="13" t="str">
        <f>IF($A240="","",[1]!thsiFinD("ths_adjustment_nv_fund",E$3,$A240))</f>
        <v/>
      </c>
      <c r="F240" s="13" t="str">
        <f>IF($A240="","",[1]!thsiFinD("ths_adjustment_nv_fund",F$3,$A240))</f>
        <v/>
      </c>
      <c r="G240" s="13" t="str">
        <f>IF($A240="","",[1]!thsiFinD("ths_adjustment_nv_fund",G$3,$A240))</f>
        <v/>
      </c>
      <c r="H240" s="13" t="str">
        <f>IF($A240="","",[1]!thsiFinD("ths_adjustment_nv_fund",H$3,$A240))</f>
        <v/>
      </c>
      <c r="I240" s="13" t="str">
        <f>IF($A240="","",[1]!thsiFinD("ths_adjustment_nv_fund",I$3,$A240))</f>
        <v/>
      </c>
      <c r="J240" s="13" t="str">
        <f>IF($A240="","",[1]!thsiFinD("ths_adjustment_nv_fund",J$3,$A240))</f>
        <v/>
      </c>
      <c r="K240" s="13" t="str">
        <f>IF($A240="","",[1]!thsiFinD("ths_adjustment_nv_fund",K$3,$A240))</f>
        <v/>
      </c>
      <c r="L240" s="13" t="str">
        <f>IF($A240="","",[1]!thsiFinD("ths_adjustment_nv_fund",L$3,$A240))</f>
        <v/>
      </c>
      <c r="M240" s="13" t="str">
        <f>IF($A240="","",[1]!thsiFinD("ths_adjustment_nv_fund",M$3,$A240))</f>
        <v/>
      </c>
      <c r="N240" s="13" t="str">
        <f>IF($A240="","",[1]!thsiFinD("ths_adjustment_nv_fund",N$3,$A240))</f>
        <v/>
      </c>
      <c r="O240" s="13" t="str">
        <f>IF($A240="","",[1]!thsiFinD("ths_adjustment_nv_fund",O$3,$A240))</f>
        <v/>
      </c>
      <c r="P240" s="13" t="str">
        <f>IF($A240="","",[1]!thsiFinD("ths_adjustment_nv_fund",P$3,$A240))</f>
        <v/>
      </c>
      <c r="Q240" s="13" t="str">
        <f>IF($A240="","",[1]!thsiFinD("ths_adjustment_nv_fund",Q$3,$A240))</f>
        <v/>
      </c>
      <c r="R240" s="13" t="str">
        <f>IF($A240="","",[1]!thsiFinD("ths_adjustment_nv_fund",R$3,$A240))</f>
        <v/>
      </c>
      <c r="S240" s="13" t="str">
        <f>IF($A240="","",[1]!thsiFinD("ths_adjustment_nv_fund",S$3,$A240))</f>
        <v/>
      </c>
      <c r="T240" s="13" t="str">
        <f>IF($A240="","",[1]!thsiFinD("ths_adjustment_nv_fund",T$3,$A240))</f>
        <v/>
      </c>
      <c r="U240" s="13" t="str">
        <f>IF($A240="","",[1]!thsiFinD("ths_adjustment_nv_fund",U$3,$A240))</f>
        <v/>
      </c>
      <c r="V240" s="13" t="str">
        <f>IF($A240="","",[1]!thsiFinD("ths_adjustment_nv_fund",V$3,$A240))</f>
        <v/>
      </c>
      <c r="W240" s="13" t="str">
        <f>IF($A240="","",[1]!thsiFinD("ths_adjustment_nv_fund",W$3,$A240))</f>
        <v/>
      </c>
      <c r="X240" s="13" t="str">
        <f>IF($A240="","",[1]!thsiFinD("ths_adjustment_nv_fund",X$3,$A240))</f>
        <v/>
      </c>
      <c r="Y240" s="13" t="str">
        <f>IF($A240="","",[1]!thsiFinD("ths_adjustment_nv_fund",Y$3,$A240))</f>
        <v/>
      </c>
      <c r="Z240" s="13" t="str">
        <f>IF($A240="","",[1]!thsiFinD("ths_adjustment_nv_fund",Z$3,$A240))</f>
        <v/>
      </c>
      <c r="AA240" s="13" t="str">
        <f>IF($A240="","",[1]!thsiFinD("ths_adjustment_nv_fund",AA$3,$A240))</f>
        <v/>
      </c>
      <c r="AB240" s="13">
        <f>IF($A240="","",[1]!thsiFinD("ths_adjustment_nv_fund",AB$3,$A240))</f>
        <v/>
      </c>
      <c r="AC240" s="13">
        <f>IF($A240="","",[1]!thsiFinD("ths_adjustment_nv_fund",AC$3,$A240))</f>
        <v/>
      </c>
      <c r="AD240" s="13">
        <f>IF($A240="","",[1]!thsiFinD("ths_adjustment_nv_fund",AD$3,$A240))</f>
        <v/>
      </c>
      <c r="AE240" s="13">
        <f>IF($A240="","",[1]!thsiFinD("ths_adjustment_nv_fund",AE$3,$A240))</f>
        <v/>
      </c>
      <c r="AF240" s="13">
        <f>IF($A240="","",[1]!thsiFinD("ths_adjustment_nv_fund",AF$3,$A240))</f>
        <v/>
      </c>
      <c r="AG240" s="13">
        <f>IF($A240="","",[1]!thsiFinD("ths_adjustment_nv_fund",AG$3,$A240))</f>
        <v/>
      </c>
      <c r="AH240" s="13">
        <f>IF($A240="","",[1]!thsiFinD("ths_adjustment_nv_fund",AH$3,$A240))</f>
        <v/>
      </c>
      <c r="AI240" s="13">
        <f>IF($A240="","",[1]!thsiFinD("ths_adjustment_nv_fund",AI$3,$A240))</f>
        <v/>
      </c>
      <c r="AJ240" s="13">
        <f>IF($A240="","",[1]!thsiFinD("ths_adjustment_nv_fund",AJ$3,$A240))</f>
        <v/>
      </c>
      <c r="AK240" s="13">
        <f>IF($A240="","",[1]!thsiFinD("ths_adjustment_nv_fund",AK$3,$A240))</f>
        <v/>
      </c>
      <c r="AL240" s="13">
        <f>IF($A240="","",[1]!thsiFinD("ths_adjustment_nv_fund",AL$3,$A240))</f>
        <v/>
      </c>
    </row>
    <row r="241" spans="2:28">
      <c r="B241" s="13" t="str">
        <f>IF($A241="","",[1]!thsiFinD("ths_adjustment_nv_fund",B$3,$A241))</f>
        <v/>
      </c>
      <c r="C241" s="13" t="str">
        <f>IF($A241="","",[1]!thsiFinD("ths_adjustment_nv_fund",C$3,$A241))</f>
        <v/>
      </c>
      <c r="D241" s="13" t="str">
        <f>IF($A241="","",[1]!thsiFinD("ths_adjustment_nv_fund",D$3,$A241))</f>
        <v/>
      </c>
      <c r="E241" s="13" t="str">
        <f>IF($A241="","",[1]!thsiFinD("ths_adjustment_nv_fund",E$3,$A241))</f>
        <v/>
      </c>
      <c r="F241" s="13" t="str">
        <f>IF($A241="","",[1]!thsiFinD("ths_adjustment_nv_fund",F$3,$A241))</f>
        <v/>
      </c>
      <c r="G241" s="13" t="str">
        <f>IF($A241="","",[1]!thsiFinD("ths_adjustment_nv_fund",G$3,$A241))</f>
        <v/>
      </c>
      <c r="H241" s="13" t="str">
        <f>IF($A241="","",[1]!thsiFinD("ths_adjustment_nv_fund",H$3,$A241))</f>
        <v/>
      </c>
      <c r="I241" s="13" t="str">
        <f>IF($A241="","",[1]!thsiFinD("ths_adjustment_nv_fund",I$3,$A241))</f>
        <v/>
      </c>
      <c r="J241" s="13" t="str">
        <f>IF($A241="","",[1]!thsiFinD("ths_adjustment_nv_fund",J$3,$A241))</f>
        <v/>
      </c>
      <c r="K241" s="13" t="str">
        <f>IF($A241="","",[1]!thsiFinD("ths_adjustment_nv_fund",K$3,$A241))</f>
        <v/>
      </c>
      <c r="L241" s="13" t="str">
        <f>IF($A241="","",[1]!thsiFinD("ths_adjustment_nv_fund",L$3,$A241))</f>
        <v/>
      </c>
      <c r="M241" s="13" t="str">
        <f>IF($A241="","",[1]!thsiFinD("ths_adjustment_nv_fund",M$3,$A241))</f>
        <v/>
      </c>
      <c r="N241" s="13" t="str">
        <f>IF($A241="","",[1]!thsiFinD("ths_adjustment_nv_fund",N$3,$A241))</f>
        <v/>
      </c>
      <c r="O241" s="13" t="str">
        <f>IF($A241="","",[1]!thsiFinD("ths_adjustment_nv_fund",O$3,$A241))</f>
        <v/>
      </c>
      <c r="P241" s="13" t="str">
        <f>IF($A241="","",[1]!thsiFinD("ths_adjustment_nv_fund",P$3,$A241))</f>
        <v/>
      </c>
      <c r="Q241" s="13" t="str">
        <f>IF($A241="","",[1]!thsiFinD("ths_adjustment_nv_fund",Q$3,$A241))</f>
        <v/>
      </c>
      <c r="R241" s="13" t="str">
        <f>IF($A241="","",[1]!thsiFinD("ths_adjustment_nv_fund",R$3,$A241))</f>
        <v/>
      </c>
      <c r="S241" s="13" t="str">
        <f>IF($A241="","",[1]!thsiFinD("ths_adjustment_nv_fund",S$3,$A241))</f>
        <v/>
      </c>
      <c r="T241" s="13" t="str">
        <f>IF($A241="","",[1]!thsiFinD("ths_adjustment_nv_fund",T$3,$A241))</f>
        <v/>
      </c>
      <c r="U241" s="13" t="str">
        <f>IF($A241="","",[1]!thsiFinD("ths_adjustment_nv_fund",U$3,$A241))</f>
        <v/>
      </c>
      <c r="V241" s="13" t="str">
        <f>IF($A241="","",[1]!thsiFinD("ths_adjustment_nv_fund",V$3,$A241))</f>
        <v/>
      </c>
      <c r="W241" s="13" t="str">
        <f>IF($A241="","",[1]!thsiFinD("ths_adjustment_nv_fund",W$3,$A241))</f>
        <v/>
      </c>
      <c r="X241" s="13" t="str">
        <f>IF($A241="","",[1]!thsiFinD("ths_adjustment_nv_fund",X$3,$A241))</f>
        <v/>
      </c>
      <c r="Y241" s="13" t="str">
        <f>IF($A241="","",[1]!thsiFinD("ths_adjustment_nv_fund",Y$3,$A241))</f>
        <v/>
      </c>
      <c r="Z241" s="13" t="str">
        <f>IF($A241="","",[1]!thsiFinD("ths_adjustment_nv_fund",Z$3,$A241))</f>
        <v/>
      </c>
      <c r="AA241" s="13" t="str">
        <f>IF($A241="","",[1]!thsiFinD("ths_adjustment_nv_fund",AA$3,$A241))</f>
        <v/>
      </c>
      <c r="AB241" s="13">
        <f>IF($A241="","",[1]!thsiFinD("ths_adjustment_nv_fund",AB$3,$A241))</f>
        <v/>
      </c>
      <c r="AC241" s="13">
        <f>IF($A241="","",[1]!thsiFinD("ths_adjustment_nv_fund",AC$3,$A241))</f>
        <v/>
      </c>
      <c r="AD241" s="13">
        <f>IF($A241="","",[1]!thsiFinD("ths_adjustment_nv_fund",AD$3,$A241))</f>
        <v/>
      </c>
      <c r="AE241" s="13">
        <f>IF($A241="","",[1]!thsiFinD("ths_adjustment_nv_fund",AE$3,$A241))</f>
        <v/>
      </c>
      <c r="AF241" s="13">
        <f>IF($A241="","",[1]!thsiFinD("ths_adjustment_nv_fund",AF$3,$A241))</f>
        <v/>
      </c>
      <c r="AG241" s="13">
        <f>IF($A241="","",[1]!thsiFinD("ths_adjustment_nv_fund",AG$3,$A241))</f>
        <v/>
      </c>
      <c r="AH241" s="13">
        <f>IF($A241="","",[1]!thsiFinD("ths_adjustment_nv_fund",AH$3,$A241))</f>
        <v/>
      </c>
      <c r="AI241" s="13">
        <f>IF($A241="","",[1]!thsiFinD("ths_adjustment_nv_fund",AI$3,$A241))</f>
        <v/>
      </c>
      <c r="AJ241" s="13">
        <f>IF($A241="","",[1]!thsiFinD("ths_adjustment_nv_fund",AJ$3,$A241))</f>
        <v/>
      </c>
      <c r="AK241" s="13">
        <f>IF($A241="","",[1]!thsiFinD("ths_adjustment_nv_fund",AK$3,$A241))</f>
        <v/>
      </c>
      <c r="AL241" s="13">
        <f>IF($A241="","",[1]!thsiFinD("ths_adjustment_nv_fund",AL$3,$A241))</f>
        <v/>
      </c>
    </row>
    <row r="242" spans="2:28">
      <c r="B242" s="13" t="str">
        <f>IF($A242="","",[1]!thsiFinD("ths_adjustment_nv_fund",B$3,$A242))</f>
        <v/>
      </c>
      <c r="C242" s="13" t="str">
        <f>IF($A242="","",[1]!thsiFinD("ths_adjustment_nv_fund",C$3,$A242))</f>
        <v/>
      </c>
      <c r="D242" s="13" t="str">
        <f>IF($A242="","",[1]!thsiFinD("ths_adjustment_nv_fund",D$3,$A242))</f>
        <v/>
      </c>
      <c r="E242" s="13" t="str">
        <f>IF($A242="","",[1]!thsiFinD("ths_adjustment_nv_fund",E$3,$A242))</f>
        <v/>
      </c>
      <c r="F242" s="13" t="str">
        <f>IF($A242="","",[1]!thsiFinD("ths_adjustment_nv_fund",F$3,$A242))</f>
        <v/>
      </c>
      <c r="G242" s="13" t="str">
        <f>IF($A242="","",[1]!thsiFinD("ths_adjustment_nv_fund",G$3,$A242))</f>
        <v/>
      </c>
      <c r="H242" s="13" t="str">
        <f>IF($A242="","",[1]!thsiFinD("ths_adjustment_nv_fund",H$3,$A242))</f>
        <v/>
      </c>
      <c r="I242" s="13" t="str">
        <f>IF($A242="","",[1]!thsiFinD("ths_adjustment_nv_fund",I$3,$A242))</f>
        <v/>
      </c>
      <c r="J242" s="13" t="str">
        <f>IF($A242="","",[1]!thsiFinD("ths_adjustment_nv_fund",J$3,$A242))</f>
        <v/>
      </c>
      <c r="K242" s="13" t="str">
        <f>IF($A242="","",[1]!thsiFinD("ths_adjustment_nv_fund",K$3,$A242))</f>
        <v/>
      </c>
      <c r="L242" s="13" t="str">
        <f>IF($A242="","",[1]!thsiFinD("ths_adjustment_nv_fund",L$3,$A242))</f>
        <v/>
      </c>
      <c r="M242" s="13" t="str">
        <f>IF($A242="","",[1]!thsiFinD("ths_adjustment_nv_fund",M$3,$A242))</f>
        <v/>
      </c>
      <c r="N242" s="13" t="str">
        <f>IF($A242="","",[1]!thsiFinD("ths_adjustment_nv_fund",N$3,$A242))</f>
        <v/>
      </c>
      <c r="O242" s="13" t="str">
        <f>IF($A242="","",[1]!thsiFinD("ths_adjustment_nv_fund",O$3,$A242))</f>
        <v/>
      </c>
      <c r="P242" s="13" t="str">
        <f>IF($A242="","",[1]!thsiFinD("ths_adjustment_nv_fund",P$3,$A242))</f>
        <v/>
      </c>
      <c r="Q242" s="13" t="str">
        <f>IF($A242="","",[1]!thsiFinD("ths_adjustment_nv_fund",Q$3,$A242))</f>
        <v/>
      </c>
      <c r="R242" s="13" t="str">
        <f>IF($A242="","",[1]!thsiFinD("ths_adjustment_nv_fund",R$3,$A242))</f>
        <v/>
      </c>
      <c r="S242" s="13" t="str">
        <f>IF($A242="","",[1]!thsiFinD("ths_adjustment_nv_fund",S$3,$A242))</f>
        <v/>
      </c>
      <c r="T242" s="13" t="str">
        <f>IF($A242="","",[1]!thsiFinD("ths_adjustment_nv_fund",T$3,$A242))</f>
        <v/>
      </c>
      <c r="U242" s="13" t="str">
        <f>IF($A242="","",[1]!thsiFinD("ths_adjustment_nv_fund",U$3,$A242))</f>
        <v/>
      </c>
      <c r="V242" s="13" t="str">
        <f>IF($A242="","",[1]!thsiFinD("ths_adjustment_nv_fund",V$3,$A242))</f>
        <v/>
      </c>
      <c r="W242" s="13" t="str">
        <f>IF($A242="","",[1]!thsiFinD("ths_adjustment_nv_fund",W$3,$A242))</f>
        <v/>
      </c>
      <c r="X242" s="13" t="str">
        <f>IF($A242="","",[1]!thsiFinD("ths_adjustment_nv_fund",X$3,$A242))</f>
        <v/>
      </c>
      <c r="Y242" s="13" t="str">
        <f>IF($A242="","",[1]!thsiFinD("ths_adjustment_nv_fund",Y$3,$A242))</f>
        <v/>
      </c>
      <c r="Z242" s="13" t="str">
        <f>IF($A242="","",[1]!thsiFinD("ths_adjustment_nv_fund",Z$3,$A242))</f>
        <v/>
      </c>
      <c r="AA242" s="13" t="str">
        <f>IF($A242="","",[1]!thsiFinD("ths_adjustment_nv_fund",AA$3,$A242))</f>
        <v/>
      </c>
      <c r="AB242" s="13">
        <f>IF($A242="","",[1]!thsiFinD("ths_adjustment_nv_fund",AB$3,$A242))</f>
        <v/>
      </c>
      <c r="AC242" s="13">
        <f>IF($A242="","",[1]!thsiFinD("ths_adjustment_nv_fund",AC$3,$A242))</f>
        <v/>
      </c>
      <c r="AD242" s="13">
        <f>IF($A242="","",[1]!thsiFinD("ths_adjustment_nv_fund",AD$3,$A242))</f>
        <v/>
      </c>
      <c r="AE242" s="13">
        <f>IF($A242="","",[1]!thsiFinD("ths_adjustment_nv_fund",AE$3,$A242))</f>
        <v/>
      </c>
      <c r="AF242" s="13">
        <f>IF($A242="","",[1]!thsiFinD("ths_adjustment_nv_fund",AF$3,$A242))</f>
        <v/>
      </c>
      <c r="AG242" s="13">
        <f>IF($A242="","",[1]!thsiFinD("ths_adjustment_nv_fund",AG$3,$A242))</f>
        <v/>
      </c>
      <c r="AH242" s="13">
        <f>IF($A242="","",[1]!thsiFinD("ths_adjustment_nv_fund",AH$3,$A242))</f>
        <v/>
      </c>
      <c r="AI242" s="13">
        <f>IF($A242="","",[1]!thsiFinD("ths_adjustment_nv_fund",AI$3,$A242))</f>
        <v/>
      </c>
      <c r="AJ242" s="13">
        <f>IF($A242="","",[1]!thsiFinD("ths_adjustment_nv_fund",AJ$3,$A242))</f>
        <v/>
      </c>
      <c r="AK242" s="13">
        <f>IF($A242="","",[1]!thsiFinD("ths_adjustment_nv_fund",AK$3,$A242))</f>
        <v/>
      </c>
      <c r="AL242" s="13">
        <f>IF($A242="","",[1]!thsiFinD("ths_adjustment_nv_fund",AL$3,$A242))</f>
        <v/>
      </c>
    </row>
    <row r="243" spans="2:28">
      <c r="B243" s="13" t="str">
        <f>IF($A243="","",[1]!thsiFinD("ths_adjustment_nv_fund",B$3,$A243))</f>
        <v/>
      </c>
      <c r="C243" s="13" t="str">
        <f>IF($A243="","",[1]!thsiFinD("ths_adjustment_nv_fund",C$3,$A243))</f>
        <v/>
      </c>
      <c r="D243" s="13" t="str">
        <f>IF($A243="","",[1]!thsiFinD("ths_adjustment_nv_fund",D$3,$A243))</f>
        <v/>
      </c>
      <c r="E243" s="13" t="str">
        <f>IF($A243="","",[1]!thsiFinD("ths_adjustment_nv_fund",E$3,$A243))</f>
        <v/>
      </c>
      <c r="F243" s="13" t="str">
        <f>IF($A243="","",[1]!thsiFinD("ths_adjustment_nv_fund",F$3,$A243))</f>
        <v/>
      </c>
      <c r="G243" s="13" t="str">
        <f>IF($A243="","",[1]!thsiFinD("ths_adjustment_nv_fund",G$3,$A243))</f>
        <v/>
      </c>
      <c r="H243" s="13" t="str">
        <f>IF($A243="","",[1]!thsiFinD("ths_adjustment_nv_fund",H$3,$A243))</f>
        <v/>
      </c>
      <c r="I243" s="13" t="str">
        <f>IF($A243="","",[1]!thsiFinD("ths_adjustment_nv_fund",I$3,$A243))</f>
        <v/>
      </c>
      <c r="J243" s="13" t="str">
        <f>IF($A243="","",[1]!thsiFinD("ths_adjustment_nv_fund",J$3,$A243))</f>
        <v/>
      </c>
      <c r="K243" s="13" t="str">
        <f>IF($A243="","",[1]!thsiFinD("ths_adjustment_nv_fund",K$3,$A243))</f>
        <v/>
      </c>
      <c r="L243" s="13" t="str">
        <f>IF($A243="","",[1]!thsiFinD("ths_adjustment_nv_fund",L$3,$A243))</f>
        <v/>
      </c>
      <c r="M243" s="13" t="str">
        <f>IF($A243="","",[1]!thsiFinD("ths_adjustment_nv_fund",M$3,$A243))</f>
        <v/>
      </c>
      <c r="N243" s="13" t="str">
        <f>IF($A243="","",[1]!thsiFinD("ths_adjustment_nv_fund",N$3,$A243))</f>
        <v/>
      </c>
      <c r="O243" s="13" t="str">
        <f>IF($A243="","",[1]!thsiFinD("ths_adjustment_nv_fund",O$3,$A243))</f>
        <v/>
      </c>
      <c r="P243" s="13" t="str">
        <f>IF($A243="","",[1]!thsiFinD("ths_adjustment_nv_fund",P$3,$A243))</f>
        <v/>
      </c>
      <c r="Q243" s="13" t="str">
        <f>IF($A243="","",[1]!thsiFinD("ths_adjustment_nv_fund",Q$3,$A243))</f>
        <v/>
      </c>
      <c r="R243" s="13" t="str">
        <f>IF($A243="","",[1]!thsiFinD("ths_adjustment_nv_fund",R$3,$A243))</f>
        <v/>
      </c>
      <c r="S243" s="13" t="str">
        <f>IF($A243="","",[1]!thsiFinD("ths_adjustment_nv_fund",S$3,$A243))</f>
        <v/>
      </c>
      <c r="T243" s="13" t="str">
        <f>IF($A243="","",[1]!thsiFinD("ths_adjustment_nv_fund",T$3,$A243))</f>
        <v/>
      </c>
      <c r="U243" s="13" t="str">
        <f>IF($A243="","",[1]!thsiFinD("ths_adjustment_nv_fund",U$3,$A243))</f>
        <v/>
      </c>
      <c r="V243" s="13" t="str">
        <f>IF($A243="","",[1]!thsiFinD("ths_adjustment_nv_fund",V$3,$A243))</f>
        <v/>
      </c>
      <c r="W243" s="13" t="str">
        <f>IF($A243="","",[1]!thsiFinD("ths_adjustment_nv_fund",W$3,$A243))</f>
        <v/>
      </c>
      <c r="X243" s="13" t="str">
        <f>IF($A243="","",[1]!thsiFinD("ths_adjustment_nv_fund",X$3,$A243))</f>
        <v/>
      </c>
      <c r="Y243" s="13" t="str">
        <f>IF($A243="","",[1]!thsiFinD("ths_adjustment_nv_fund",Y$3,$A243))</f>
        <v/>
      </c>
      <c r="Z243" s="13" t="str">
        <f>IF($A243="","",[1]!thsiFinD("ths_adjustment_nv_fund",Z$3,$A243))</f>
        <v/>
      </c>
      <c r="AA243" s="13" t="str">
        <f>IF($A243="","",[1]!thsiFinD("ths_adjustment_nv_fund",AA$3,$A243))</f>
        <v/>
      </c>
      <c r="AB243" s="13">
        <f>IF($A243="","",[1]!thsiFinD("ths_adjustment_nv_fund",AB$3,$A243))</f>
        <v/>
      </c>
      <c r="AC243" s="13">
        <f>IF($A243="","",[1]!thsiFinD("ths_adjustment_nv_fund",AC$3,$A243))</f>
        <v/>
      </c>
      <c r="AD243" s="13">
        <f>IF($A243="","",[1]!thsiFinD("ths_adjustment_nv_fund",AD$3,$A243))</f>
        <v/>
      </c>
      <c r="AE243" s="13">
        <f>IF($A243="","",[1]!thsiFinD("ths_adjustment_nv_fund",AE$3,$A243))</f>
        <v/>
      </c>
      <c r="AF243" s="13">
        <f>IF($A243="","",[1]!thsiFinD("ths_adjustment_nv_fund",AF$3,$A243))</f>
        <v/>
      </c>
      <c r="AG243" s="13">
        <f>IF($A243="","",[1]!thsiFinD("ths_adjustment_nv_fund",AG$3,$A243))</f>
        <v/>
      </c>
      <c r="AH243" s="13">
        <f>IF($A243="","",[1]!thsiFinD("ths_adjustment_nv_fund",AH$3,$A243))</f>
        <v/>
      </c>
      <c r="AI243" s="13">
        <f>IF($A243="","",[1]!thsiFinD("ths_adjustment_nv_fund",AI$3,$A243))</f>
        <v/>
      </c>
      <c r="AJ243" s="13">
        <f>IF($A243="","",[1]!thsiFinD("ths_adjustment_nv_fund",AJ$3,$A243))</f>
        <v/>
      </c>
      <c r="AK243" s="13">
        <f>IF($A243="","",[1]!thsiFinD("ths_adjustment_nv_fund",AK$3,$A243))</f>
        <v/>
      </c>
      <c r="AL243" s="13">
        <f>IF($A243="","",[1]!thsiFinD("ths_adjustment_nv_fund",AL$3,$A243))</f>
        <v/>
      </c>
    </row>
    <row r="244" spans="2:28">
      <c r="B244" s="13" t="str">
        <f>IF($A244="","",[1]!thsiFinD("ths_adjustment_nv_fund",B$3,$A244))</f>
        <v/>
      </c>
      <c r="C244" s="13" t="str">
        <f>IF($A244="","",[1]!thsiFinD("ths_adjustment_nv_fund",C$3,$A244))</f>
        <v/>
      </c>
      <c r="D244" s="13" t="str">
        <f>IF($A244="","",[1]!thsiFinD("ths_adjustment_nv_fund",D$3,$A244))</f>
        <v/>
      </c>
      <c r="E244" s="13" t="str">
        <f>IF($A244="","",[1]!thsiFinD("ths_adjustment_nv_fund",E$3,$A244))</f>
        <v/>
      </c>
      <c r="F244" s="13" t="str">
        <f>IF($A244="","",[1]!thsiFinD("ths_adjustment_nv_fund",F$3,$A244))</f>
        <v/>
      </c>
      <c r="G244" s="13" t="str">
        <f>IF($A244="","",[1]!thsiFinD("ths_adjustment_nv_fund",G$3,$A244))</f>
        <v/>
      </c>
      <c r="H244" s="13" t="str">
        <f>IF($A244="","",[1]!thsiFinD("ths_adjustment_nv_fund",H$3,$A244))</f>
        <v/>
      </c>
      <c r="I244" s="13" t="str">
        <f>IF($A244="","",[1]!thsiFinD("ths_adjustment_nv_fund",I$3,$A244))</f>
        <v/>
      </c>
      <c r="J244" s="13" t="str">
        <f>IF($A244="","",[1]!thsiFinD("ths_adjustment_nv_fund",J$3,$A244))</f>
        <v/>
      </c>
      <c r="K244" s="13" t="str">
        <f>IF($A244="","",[1]!thsiFinD("ths_adjustment_nv_fund",K$3,$A244))</f>
        <v/>
      </c>
      <c r="L244" s="13" t="str">
        <f>IF($A244="","",[1]!thsiFinD("ths_adjustment_nv_fund",L$3,$A244))</f>
        <v/>
      </c>
      <c r="M244" s="13" t="str">
        <f>IF($A244="","",[1]!thsiFinD("ths_adjustment_nv_fund",M$3,$A244))</f>
        <v/>
      </c>
      <c r="N244" s="13" t="str">
        <f>IF($A244="","",[1]!thsiFinD("ths_adjustment_nv_fund",N$3,$A244))</f>
        <v/>
      </c>
      <c r="O244" s="13" t="str">
        <f>IF($A244="","",[1]!thsiFinD("ths_adjustment_nv_fund",O$3,$A244))</f>
        <v/>
      </c>
      <c r="P244" s="13" t="str">
        <f>IF($A244="","",[1]!thsiFinD("ths_adjustment_nv_fund",P$3,$A244))</f>
        <v/>
      </c>
      <c r="Q244" s="13" t="str">
        <f>IF($A244="","",[1]!thsiFinD("ths_adjustment_nv_fund",Q$3,$A244))</f>
        <v/>
      </c>
      <c r="R244" s="13" t="str">
        <f>IF($A244="","",[1]!thsiFinD("ths_adjustment_nv_fund",R$3,$A244))</f>
        <v/>
      </c>
      <c r="S244" s="13" t="str">
        <f>IF($A244="","",[1]!thsiFinD("ths_adjustment_nv_fund",S$3,$A244))</f>
        <v/>
      </c>
      <c r="T244" s="13" t="str">
        <f>IF($A244="","",[1]!thsiFinD("ths_adjustment_nv_fund",T$3,$A244))</f>
        <v/>
      </c>
      <c r="U244" s="13" t="str">
        <f>IF($A244="","",[1]!thsiFinD("ths_adjustment_nv_fund",U$3,$A244))</f>
        <v/>
      </c>
      <c r="V244" s="13" t="str">
        <f>IF($A244="","",[1]!thsiFinD("ths_adjustment_nv_fund",V$3,$A244))</f>
        <v/>
      </c>
      <c r="W244" s="13" t="str">
        <f>IF($A244="","",[1]!thsiFinD("ths_adjustment_nv_fund",W$3,$A244))</f>
        <v/>
      </c>
      <c r="X244" s="13" t="str">
        <f>IF($A244="","",[1]!thsiFinD("ths_adjustment_nv_fund",X$3,$A244))</f>
        <v/>
      </c>
      <c r="Y244" s="13" t="str">
        <f>IF($A244="","",[1]!thsiFinD("ths_adjustment_nv_fund",Y$3,$A244))</f>
        <v/>
      </c>
      <c r="Z244" s="13" t="str">
        <f>IF($A244="","",[1]!thsiFinD("ths_adjustment_nv_fund",Z$3,$A244))</f>
        <v/>
      </c>
      <c r="AA244" s="13" t="str">
        <f>IF($A244="","",[1]!thsiFinD("ths_adjustment_nv_fund",AA$3,$A244))</f>
        <v/>
      </c>
      <c r="AB244" s="13">
        <f>IF($A244="","",[1]!thsiFinD("ths_adjustment_nv_fund",AB$3,$A244))</f>
        <v/>
      </c>
      <c r="AC244" s="13">
        <f>IF($A244="","",[1]!thsiFinD("ths_adjustment_nv_fund",AC$3,$A244))</f>
        <v/>
      </c>
      <c r="AD244" s="13">
        <f>IF($A244="","",[1]!thsiFinD("ths_adjustment_nv_fund",AD$3,$A244))</f>
        <v/>
      </c>
      <c r="AE244" s="13">
        <f>IF($A244="","",[1]!thsiFinD("ths_adjustment_nv_fund",AE$3,$A244))</f>
        <v/>
      </c>
      <c r="AF244" s="13">
        <f>IF($A244="","",[1]!thsiFinD("ths_adjustment_nv_fund",AF$3,$A244))</f>
        <v/>
      </c>
      <c r="AG244" s="13">
        <f>IF($A244="","",[1]!thsiFinD("ths_adjustment_nv_fund",AG$3,$A244))</f>
        <v/>
      </c>
      <c r="AH244" s="13">
        <f>IF($A244="","",[1]!thsiFinD("ths_adjustment_nv_fund",AH$3,$A244))</f>
        <v/>
      </c>
      <c r="AI244" s="13">
        <f>IF($A244="","",[1]!thsiFinD("ths_adjustment_nv_fund",AI$3,$A244))</f>
        <v/>
      </c>
      <c r="AJ244" s="13">
        <f>IF($A244="","",[1]!thsiFinD("ths_adjustment_nv_fund",AJ$3,$A244))</f>
        <v/>
      </c>
      <c r="AK244" s="13">
        <f>IF($A244="","",[1]!thsiFinD("ths_adjustment_nv_fund",AK$3,$A244))</f>
        <v/>
      </c>
      <c r="AL244" s="13">
        <f>IF($A244="","",[1]!thsiFinD("ths_adjustment_nv_fund",AL$3,$A244))</f>
        <v/>
      </c>
    </row>
    <row r="245" spans="2:28">
      <c r="B245" s="13" t="str">
        <f>IF($A245="","",[1]!thsiFinD("ths_adjustment_nv_fund",B$3,$A245))</f>
        <v/>
      </c>
      <c r="C245" s="13" t="str">
        <f>IF($A245="","",[1]!thsiFinD("ths_adjustment_nv_fund",C$3,$A245))</f>
        <v/>
      </c>
      <c r="D245" s="13" t="str">
        <f>IF($A245="","",[1]!thsiFinD("ths_adjustment_nv_fund",D$3,$A245))</f>
        <v/>
      </c>
      <c r="E245" s="13" t="str">
        <f>IF($A245="","",[1]!thsiFinD("ths_adjustment_nv_fund",E$3,$A245))</f>
        <v/>
      </c>
      <c r="F245" s="13" t="str">
        <f>IF($A245="","",[1]!thsiFinD("ths_adjustment_nv_fund",F$3,$A245))</f>
        <v/>
      </c>
      <c r="G245" s="13" t="str">
        <f>IF($A245="","",[1]!thsiFinD("ths_adjustment_nv_fund",G$3,$A245))</f>
        <v/>
      </c>
      <c r="H245" s="13" t="str">
        <f>IF($A245="","",[1]!thsiFinD("ths_adjustment_nv_fund",H$3,$A245))</f>
        <v/>
      </c>
      <c r="I245" s="13" t="str">
        <f>IF($A245="","",[1]!thsiFinD("ths_adjustment_nv_fund",I$3,$A245))</f>
        <v/>
      </c>
      <c r="J245" s="13" t="str">
        <f>IF($A245="","",[1]!thsiFinD("ths_adjustment_nv_fund",J$3,$A245))</f>
        <v/>
      </c>
      <c r="K245" s="13" t="str">
        <f>IF($A245="","",[1]!thsiFinD("ths_adjustment_nv_fund",K$3,$A245))</f>
        <v/>
      </c>
      <c r="L245" s="13" t="str">
        <f>IF($A245="","",[1]!thsiFinD("ths_adjustment_nv_fund",L$3,$A245))</f>
        <v/>
      </c>
      <c r="M245" s="13" t="str">
        <f>IF($A245="","",[1]!thsiFinD("ths_adjustment_nv_fund",M$3,$A245))</f>
        <v/>
      </c>
      <c r="N245" s="13" t="str">
        <f>IF($A245="","",[1]!thsiFinD("ths_adjustment_nv_fund",N$3,$A245))</f>
        <v/>
      </c>
      <c r="O245" s="13" t="str">
        <f>IF($A245="","",[1]!thsiFinD("ths_adjustment_nv_fund",O$3,$A245))</f>
        <v/>
      </c>
      <c r="P245" s="13" t="str">
        <f>IF($A245="","",[1]!thsiFinD("ths_adjustment_nv_fund",P$3,$A245))</f>
        <v/>
      </c>
      <c r="Q245" s="13" t="str">
        <f>IF($A245="","",[1]!thsiFinD("ths_adjustment_nv_fund",Q$3,$A245))</f>
        <v/>
      </c>
      <c r="R245" s="13" t="str">
        <f>IF($A245="","",[1]!thsiFinD("ths_adjustment_nv_fund",R$3,$A245))</f>
        <v/>
      </c>
      <c r="S245" s="13" t="str">
        <f>IF($A245="","",[1]!thsiFinD("ths_adjustment_nv_fund",S$3,$A245))</f>
        <v/>
      </c>
      <c r="T245" s="13" t="str">
        <f>IF($A245="","",[1]!thsiFinD("ths_adjustment_nv_fund",T$3,$A245))</f>
        <v/>
      </c>
      <c r="U245" s="13" t="str">
        <f>IF($A245="","",[1]!thsiFinD("ths_adjustment_nv_fund",U$3,$A245))</f>
        <v/>
      </c>
      <c r="V245" s="13" t="str">
        <f>IF($A245="","",[1]!thsiFinD("ths_adjustment_nv_fund",V$3,$A245))</f>
        <v/>
      </c>
      <c r="W245" s="13" t="str">
        <f>IF($A245="","",[1]!thsiFinD("ths_adjustment_nv_fund",W$3,$A245))</f>
        <v/>
      </c>
      <c r="X245" s="13" t="str">
        <f>IF($A245="","",[1]!thsiFinD("ths_adjustment_nv_fund",X$3,$A245))</f>
        <v/>
      </c>
      <c r="Y245" s="13" t="str">
        <f>IF($A245="","",[1]!thsiFinD("ths_adjustment_nv_fund",Y$3,$A245))</f>
        <v/>
      </c>
      <c r="Z245" s="13" t="str">
        <f>IF($A245="","",[1]!thsiFinD("ths_adjustment_nv_fund",Z$3,$A245))</f>
        <v/>
      </c>
      <c r="AA245" s="13" t="str">
        <f>IF($A245="","",[1]!thsiFinD("ths_adjustment_nv_fund",AA$3,$A245))</f>
        <v/>
      </c>
      <c r="AB245" s="13">
        <f>IF($A245="","",[1]!thsiFinD("ths_adjustment_nv_fund",AB$3,$A245))</f>
        <v/>
      </c>
      <c r="AC245" s="13">
        <f>IF($A245="","",[1]!thsiFinD("ths_adjustment_nv_fund",AC$3,$A245))</f>
        <v/>
      </c>
      <c r="AD245" s="13">
        <f>IF($A245="","",[1]!thsiFinD("ths_adjustment_nv_fund",AD$3,$A245))</f>
        <v/>
      </c>
      <c r="AE245" s="13">
        <f>IF($A245="","",[1]!thsiFinD("ths_adjustment_nv_fund",AE$3,$A245))</f>
        <v/>
      </c>
      <c r="AF245" s="13">
        <f>IF($A245="","",[1]!thsiFinD("ths_adjustment_nv_fund",AF$3,$A245))</f>
        <v/>
      </c>
      <c r="AG245" s="13">
        <f>IF($A245="","",[1]!thsiFinD("ths_adjustment_nv_fund",AG$3,$A245))</f>
        <v/>
      </c>
      <c r="AH245" s="13">
        <f>IF($A245="","",[1]!thsiFinD("ths_adjustment_nv_fund",AH$3,$A245))</f>
        <v/>
      </c>
      <c r="AI245" s="13">
        <f>IF($A245="","",[1]!thsiFinD("ths_adjustment_nv_fund",AI$3,$A245))</f>
        <v/>
      </c>
      <c r="AJ245" s="13">
        <f>IF($A245="","",[1]!thsiFinD("ths_adjustment_nv_fund",AJ$3,$A245))</f>
        <v/>
      </c>
      <c r="AK245" s="13">
        <f>IF($A245="","",[1]!thsiFinD("ths_adjustment_nv_fund",AK$3,$A245))</f>
        <v/>
      </c>
      <c r="AL245" s="13">
        <f>IF($A245="","",[1]!thsiFinD("ths_adjustment_nv_fund",AL$3,$A245))</f>
        <v/>
      </c>
    </row>
    <row r="246" spans="2:28">
      <c r="B246" s="13" t="str">
        <f>IF($A246="","",[1]!thsiFinD("ths_adjustment_nv_fund",B$3,$A246))</f>
        <v/>
      </c>
      <c r="C246" s="13" t="str">
        <f>IF($A246="","",[1]!thsiFinD("ths_adjustment_nv_fund",C$3,$A246))</f>
        <v/>
      </c>
      <c r="D246" s="13" t="str">
        <f>IF($A246="","",[1]!thsiFinD("ths_adjustment_nv_fund",D$3,$A246))</f>
        <v/>
      </c>
      <c r="E246" s="13" t="str">
        <f>IF($A246="","",[1]!thsiFinD("ths_adjustment_nv_fund",E$3,$A246))</f>
        <v/>
      </c>
      <c r="F246" s="13" t="str">
        <f>IF($A246="","",[1]!thsiFinD("ths_adjustment_nv_fund",F$3,$A246))</f>
        <v/>
      </c>
      <c r="G246" s="13" t="str">
        <f>IF($A246="","",[1]!thsiFinD("ths_adjustment_nv_fund",G$3,$A246))</f>
        <v/>
      </c>
      <c r="H246" s="13" t="str">
        <f>IF($A246="","",[1]!thsiFinD("ths_adjustment_nv_fund",H$3,$A246))</f>
        <v/>
      </c>
      <c r="I246" s="13" t="str">
        <f>IF($A246="","",[1]!thsiFinD("ths_adjustment_nv_fund",I$3,$A246))</f>
        <v/>
      </c>
      <c r="J246" s="13" t="str">
        <f>IF($A246="","",[1]!thsiFinD("ths_adjustment_nv_fund",J$3,$A246))</f>
        <v/>
      </c>
      <c r="K246" s="13" t="str">
        <f>IF($A246="","",[1]!thsiFinD("ths_adjustment_nv_fund",K$3,$A246))</f>
        <v/>
      </c>
      <c r="L246" s="13" t="str">
        <f>IF($A246="","",[1]!thsiFinD("ths_adjustment_nv_fund",L$3,$A246))</f>
        <v/>
      </c>
      <c r="M246" s="13" t="str">
        <f>IF($A246="","",[1]!thsiFinD("ths_adjustment_nv_fund",M$3,$A246))</f>
        <v/>
      </c>
      <c r="N246" s="13" t="str">
        <f>IF($A246="","",[1]!thsiFinD("ths_adjustment_nv_fund",N$3,$A246))</f>
        <v/>
      </c>
      <c r="O246" s="13" t="str">
        <f>IF($A246="","",[1]!thsiFinD("ths_adjustment_nv_fund",O$3,$A246))</f>
        <v/>
      </c>
      <c r="P246" s="13" t="str">
        <f>IF($A246="","",[1]!thsiFinD("ths_adjustment_nv_fund",P$3,$A246))</f>
        <v/>
      </c>
      <c r="Q246" s="13" t="str">
        <f>IF($A246="","",[1]!thsiFinD("ths_adjustment_nv_fund",Q$3,$A246))</f>
        <v/>
      </c>
      <c r="R246" s="13" t="str">
        <f>IF($A246="","",[1]!thsiFinD("ths_adjustment_nv_fund",R$3,$A246))</f>
        <v/>
      </c>
      <c r="S246" s="13" t="str">
        <f>IF($A246="","",[1]!thsiFinD("ths_adjustment_nv_fund",S$3,$A246))</f>
        <v/>
      </c>
      <c r="T246" s="13" t="str">
        <f>IF($A246="","",[1]!thsiFinD("ths_adjustment_nv_fund",T$3,$A246))</f>
        <v/>
      </c>
      <c r="U246" s="13" t="str">
        <f>IF($A246="","",[1]!thsiFinD("ths_adjustment_nv_fund",U$3,$A246))</f>
        <v/>
      </c>
      <c r="V246" s="13" t="str">
        <f>IF($A246="","",[1]!thsiFinD("ths_adjustment_nv_fund",V$3,$A246))</f>
        <v/>
      </c>
      <c r="W246" s="13" t="str">
        <f>IF($A246="","",[1]!thsiFinD("ths_adjustment_nv_fund",W$3,$A246))</f>
        <v/>
      </c>
      <c r="X246" s="13" t="str">
        <f>IF($A246="","",[1]!thsiFinD("ths_adjustment_nv_fund",X$3,$A246))</f>
        <v/>
      </c>
      <c r="Y246" s="13" t="str">
        <f>IF($A246="","",[1]!thsiFinD("ths_adjustment_nv_fund",Y$3,$A246))</f>
        <v/>
      </c>
      <c r="Z246" s="13" t="str">
        <f>IF($A246="","",[1]!thsiFinD("ths_adjustment_nv_fund",Z$3,$A246))</f>
        <v/>
      </c>
      <c r="AA246" s="13" t="str">
        <f>IF($A246="","",[1]!thsiFinD("ths_adjustment_nv_fund",AA$3,$A246))</f>
        <v/>
      </c>
      <c r="AB246" s="13">
        <f>IF($A246="","",[1]!thsiFinD("ths_adjustment_nv_fund",AB$3,$A246))</f>
        <v/>
      </c>
      <c r="AC246" s="13">
        <f>IF($A246="","",[1]!thsiFinD("ths_adjustment_nv_fund",AC$3,$A246))</f>
        <v/>
      </c>
      <c r="AD246" s="13">
        <f>IF($A246="","",[1]!thsiFinD("ths_adjustment_nv_fund",AD$3,$A246))</f>
        <v/>
      </c>
      <c r="AE246" s="13">
        <f>IF($A246="","",[1]!thsiFinD("ths_adjustment_nv_fund",AE$3,$A246))</f>
        <v/>
      </c>
      <c r="AF246" s="13">
        <f>IF($A246="","",[1]!thsiFinD("ths_adjustment_nv_fund",AF$3,$A246))</f>
        <v/>
      </c>
      <c r="AG246" s="13">
        <f>IF($A246="","",[1]!thsiFinD("ths_adjustment_nv_fund",AG$3,$A246))</f>
        <v/>
      </c>
      <c r="AH246" s="13">
        <f>IF($A246="","",[1]!thsiFinD("ths_adjustment_nv_fund",AH$3,$A246))</f>
        <v/>
      </c>
      <c r="AI246" s="13">
        <f>IF($A246="","",[1]!thsiFinD("ths_adjustment_nv_fund",AI$3,$A246))</f>
        <v/>
      </c>
      <c r="AJ246" s="13">
        <f>IF($A246="","",[1]!thsiFinD("ths_adjustment_nv_fund",AJ$3,$A246))</f>
        <v/>
      </c>
      <c r="AK246" s="13">
        <f>IF($A246="","",[1]!thsiFinD("ths_adjustment_nv_fund",AK$3,$A246))</f>
        <v/>
      </c>
      <c r="AL246" s="13">
        <f>IF($A246="","",[1]!thsiFinD("ths_adjustment_nv_fund",AL$3,$A246))</f>
        <v/>
      </c>
    </row>
    <row r="247" spans="2:28">
      <c r="B247" s="13" t="str">
        <f>IF($A247="","",[1]!thsiFinD("ths_adjustment_nv_fund",B$3,$A247))</f>
        <v/>
      </c>
      <c r="C247" s="13" t="str">
        <f>IF($A247="","",[1]!thsiFinD("ths_adjustment_nv_fund",C$3,$A247))</f>
        <v/>
      </c>
      <c r="D247" s="13" t="str">
        <f>IF($A247="","",[1]!thsiFinD("ths_adjustment_nv_fund",D$3,$A247))</f>
        <v/>
      </c>
      <c r="E247" s="13" t="str">
        <f>IF($A247="","",[1]!thsiFinD("ths_adjustment_nv_fund",E$3,$A247))</f>
        <v/>
      </c>
      <c r="F247" s="13" t="str">
        <f>IF($A247="","",[1]!thsiFinD("ths_adjustment_nv_fund",F$3,$A247))</f>
        <v/>
      </c>
      <c r="G247" s="13" t="str">
        <f>IF($A247="","",[1]!thsiFinD("ths_adjustment_nv_fund",G$3,$A247))</f>
        <v/>
      </c>
      <c r="H247" s="13" t="str">
        <f>IF($A247="","",[1]!thsiFinD("ths_adjustment_nv_fund",H$3,$A247))</f>
        <v/>
      </c>
      <c r="I247" s="13" t="str">
        <f>IF($A247="","",[1]!thsiFinD("ths_adjustment_nv_fund",I$3,$A247))</f>
        <v/>
      </c>
      <c r="J247" s="13" t="str">
        <f>IF($A247="","",[1]!thsiFinD("ths_adjustment_nv_fund",J$3,$A247))</f>
        <v/>
      </c>
      <c r="K247" s="13" t="str">
        <f>IF($A247="","",[1]!thsiFinD("ths_adjustment_nv_fund",K$3,$A247))</f>
        <v/>
      </c>
      <c r="L247" s="13" t="str">
        <f>IF($A247="","",[1]!thsiFinD("ths_adjustment_nv_fund",L$3,$A247))</f>
        <v/>
      </c>
      <c r="M247" s="13" t="str">
        <f>IF($A247="","",[1]!thsiFinD("ths_adjustment_nv_fund",M$3,$A247))</f>
        <v/>
      </c>
      <c r="N247" s="13" t="str">
        <f>IF($A247="","",[1]!thsiFinD("ths_adjustment_nv_fund",N$3,$A247))</f>
        <v/>
      </c>
      <c r="O247" s="13" t="str">
        <f>IF($A247="","",[1]!thsiFinD("ths_adjustment_nv_fund",O$3,$A247))</f>
        <v/>
      </c>
      <c r="P247" s="13" t="str">
        <f>IF($A247="","",[1]!thsiFinD("ths_adjustment_nv_fund",P$3,$A247))</f>
        <v/>
      </c>
      <c r="Q247" s="13" t="str">
        <f>IF($A247="","",[1]!thsiFinD("ths_adjustment_nv_fund",Q$3,$A247))</f>
        <v/>
      </c>
      <c r="R247" s="13" t="str">
        <f>IF($A247="","",[1]!thsiFinD("ths_adjustment_nv_fund",R$3,$A247))</f>
        <v/>
      </c>
      <c r="S247" s="13" t="str">
        <f>IF($A247="","",[1]!thsiFinD("ths_adjustment_nv_fund",S$3,$A247))</f>
        <v/>
      </c>
      <c r="T247" s="13" t="str">
        <f>IF($A247="","",[1]!thsiFinD("ths_adjustment_nv_fund",T$3,$A247))</f>
        <v/>
      </c>
      <c r="U247" s="13" t="str">
        <f>IF($A247="","",[1]!thsiFinD("ths_adjustment_nv_fund",U$3,$A247))</f>
        <v/>
      </c>
      <c r="V247" s="13" t="str">
        <f>IF($A247="","",[1]!thsiFinD("ths_adjustment_nv_fund",V$3,$A247))</f>
        <v/>
      </c>
      <c r="W247" s="13" t="str">
        <f>IF($A247="","",[1]!thsiFinD("ths_adjustment_nv_fund",W$3,$A247))</f>
        <v/>
      </c>
      <c r="X247" s="13" t="str">
        <f>IF($A247="","",[1]!thsiFinD("ths_adjustment_nv_fund",X$3,$A247))</f>
        <v/>
      </c>
      <c r="Y247" s="13" t="str">
        <f>IF($A247="","",[1]!thsiFinD("ths_adjustment_nv_fund",Y$3,$A247))</f>
        <v/>
      </c>
      <c r="Z247" s="13" t="str">
        <f>IF($A247="","",[1]!thsiFinD("ths_adjustment_nv_fund",Z$3,$A247))</f>
        <v/>
      </c>
      <c r="AA247" s="13" t="str">
        <f>IF($A247="","",[1]!thsiFinD("ths_adjustment_nv_fund",AA$3,$A247))</f>
        <v/>
      </c>
      <c r="AB247" s="13">
        <f>IF($A247="","",[1]!thsiFinD("ths_adjustment_nv_fund",AB$3,$A247))</f>
        <v/>
      </c>
      <c r="AC247" s="13">
        <f>IF($A247="","",[1]!thsiFinD("ths_adjustment_nv_fund",AC$3,$A247))</f>
        <v/>
      </c>
      <c r="AD247" s="13">
        <f>IF($A247="","",[1]!thsiFinD("ths_adjustment_nv_fund",AD$3,$A247))</f>
        <v/>
      </c>
      <c r="AE247" s="13">
        <f>IF($A247="","",[1]!thsiFinD("ths_adjustment_nv_fund",AE$3,$A247))</f>
        <v/>
      </c>
      <c r="AF247" s="13">
        <f>IF($A247="","",[1]!thsiFinD("ths_adjustment_nv_fund",AF$3,$A247))</f>
        <v/>
      </c>
      <c r="AG247" s="13">
        <f>IF($A247="","",[1]!thsiFinD("ths_adjustment_nv_fund",AG$3,$A247))</f>
        <v/>
      </c>
      <c r="AH247" s="13">
        <f>IF($A247="","",[1]!thsiFinD("ths_adjustment_nv_fund",AH$3,$A247))</f>
        <v/>
      </c>
      <c r="AI247" s="13">
        <f>IF($A247="","",[1]!thsiFinD("ths_adjustment_nv_fund",AI$3,$A247))</f>
        <v/>
      </c>
      <c r="AJ247" s="13">
        <f>IF($A247="","",[1]!thsiFinD("ths_adjustment_nv_fund",AJ$3,$A247))</f>
        <v/>
      </c>
      <c r="AK247" s="13">
        <f>IF($A247="","",[1]!thsiFinD("ths_adjustment_nv_fund",AK$3,$A247))</f>
        <v/>
      </c>
      <c r="AL247" s="13">
        <f>IF($A247="","",[1]!thsiFinD("ths_adjustment_nv_fund",AL$3,$A247))</f>
        <v/>
      </c>
    </row>
    <row r="248" spans="2:28">
      <c r="B248" s="13" t="str">
        <f>IF($A248="","",[1]!thsiFinD("ths_adjustment_nv_fund",B$3,$A248))</f>
        <v/>
      </c>
      <c r="C248" s="13" t="str">
        <f>IF($A248="","",[1]!thsiFinD("ths_adjustment_nv_fund",C$3,$A248))</f>
        <v/>
      </c>
      <c r="D248" s="13" t="str">
        <f>IF($A248="","",[1]!thsiFinD("ths_adjustment_nv_fund",D$3,$A248))</f>
        <v/>
      </c>
      <c r="E248" s="13" t="str">
        <f>IF($A248="","",[1]!thsiFinD("ths_adjustment_nv_fund",E$3,$A248))</f>
        <v/>
      </c>
      <c r="F248" s="13" t="str">
        <f>IF($A248="","",[1]!thsiFinD("ths_adjustment_nv_fund",F$3,$A248))</f>
        <v/>
      </c>
      <c r="G248" s="13" t="str">
        <f>IF($A248="","",[1]!thsiFinD("ths_adjustment_nv_fund",G$3,$A248))</f>
        <v/>
      </c>
      <c r="H248" s="13" t="str">
        <f>IF($A248="","",[1]!thsiFinD("ths_adjustment_nv_fund",H$3,$A248))</f>
        <v/>
      </c>
      <c r="I248" s="13" t="str">
        <f>IF($A248="","",[1]!thsiFinD("ths_adjustment_nv_fund",I$3,$A248))</f>
        <v/>
      </c>
      <c r="J248" s="13" t="str">
        <f>IF($A248="","",[1]!thsiFinD("ths_adjustment_nv_fund",J$3,$A248))</f>
        <v/>
      </c>
      <c r="K248" s="13" t="str">
        <f>IF($A248="","",[1]!thsiFinD("ths_adjustment_nv_fund",K$3,$A248))</f>
        <v/>
      </c>
      <c r="L248" s="13" t="str">
        <f>IF($A248="","",[1]!thsiFinD("ths_adjustment_nv_fund",L$3,$A248))</f>
        <v/>
      </c>
      <c r="M248" s="13" t="str">
        <f>IF($A248="","",[1]!thsiFinD("ths_adjustment_nv_fund",M$3,$A248))</f>
        <v/>
      </c>
      <c r="N248" s="13" t="str">
        <f>IF($A248="","",[1]!thsiFinD("ths_adjustment_nv_fund",N$3,$A248))</f>
        <v/>
      </c>
      <c r="O248" s="13" t="str">
        <f>IF($A248="","",[1]!thsiFinD("ths_adjustment_nv_fund",O$3,$A248))</f>
        <v/>
      </c>
      <c r="P248" s="13" t="str">
        <f>IF($A248="","",[1]!thsiFinD("ths_adjustment_nv_fund",P$3,$A248))</f>
        <v/>
      </c>
      <c r="Q248" s="13" t="str">
        <f>IF($A248="","",[1]!thsiFinD("ths_adjustment_nv_fund",Q$3,$A248))</f>
        <v/>
      </c>
      <c r="R248" s="13" t="str">
        <f>IF($A248="","",[1]!thsiFinD("ths_adjustment_nv_fund",R$3,$A248))</f>
        <v/>
      </c>
      <c r="S248" s="13" t="str">
        <f>IF($A248="","",[1]!thsiFinD("ths_adjustment_nv_fund",S$3,$A248))</f>
        <v/>
      </c>
      <c r="T248" s="13" t="str">
        <f>IF($A248="","",[1]!thsiFinD("ths_adjustment_nv_fund",T$3,$A248))</f>
        <v/>
      </c>
      <c r="U248" s="13" t="str">
        <f>IF($A248="","",[1]!thsiFinD("ths_adjustment_nv_fund",U$3,$A248))</f>
        <v/>
      </c>
      <c r="V248" s="13" t="str">
        <f>IF($A248="","",[1]!thsiFinD("ths_adjustment_nv_fund",V$3,$A248))</f>
        <v/>
      </c>
      <c r="W248" s="13" t="str">
        <f>IF($A248="","",[1]!thsiFinD("ths_adjustment_nv_fund",W$3,$A248))</f>
        <v/>
      </c>
      <c r="X248" s="13" t="str">
        <f>IF($A248="","",[1]!thsiFinD("ths_adjustment_nv_fund",X$3,$A248))</f>
        <v/>
      </c>
      <c r="Y248" s="13" t="str">
        <f>IF($A248="","",[1]!thsiFinD("ths_adjustment_nv_fund",Y$3,$A248))</f>
        <v/>
      </c>
      <c r="Z248" s="13" t="str">
        <f>IF($A248="","",[1]!thsiFinD("ths_adjustment_nv_fund",Z$3,$A248))</f>
        <v/>
      </c>
      <c r="AA248" s="13" t="str">
        <f>IF($A248="","",[1]!thsiFinD("ths_adjustment_nv_fund",AA$3,$A248))</f>
        <v/>
      </c>
      <c r="AB248" s="13">
        <f>IF($A248="","",[1]!thsiFinD("ths_adjustment_nv_fund",AB$3,$A248))</f>
        <v/>
      </c>
      <c r="AC248" s="13">
        <f>IF($A248="","",[1]!thsiFinD("ths_adjustment_nv_fund",AC$3,$A248))</f>
        <v/>
      </c>
      <c r="AD248" s="13">
        <f>IF($A248="","",[1]!thsiFinD("ths_adjustment_nv_fund",AD$3,$A248))</f>
        <v/>
      </c>
      <c r="AE248" s="13">
        <f>IF($A248="","",[1]!thsiFinD("ths_adjustment_nv_fund",AE$3,$A248))</f>
        <v/>
      </c>
      <c r="AF248" s="13">
        <f>IF($A248="","",[1]!thsiFinD("ths_adjustment_nv_fund",AF$3,$A248))</f>
        <v/>
      </c>
      <c r="AG248" s="13">
        <f>IF($A248="","",[1]!thsiFinD("ths_adjustment_nv_fund",AG$3,$A248))</f>
        <v/>
      </c>
      <c r="AH248" s="13">
        <f>IF($A248="","",[1]!thsiFinD("ths_adjustment_nv_fund",AH$3,$A248))</f>
        <v/>
      </c>
      <c r="AI248" s="13">
        <f>IF($A248="","",[1]!thsiFinD("ths_adjustment_nv_fund",AI$3,$A248))</f>
        <v/>
      </c>
      <c r="AJ248" s="13">
        <f>IF($A248="","",[1]!thsiFinD("ths_adjustment_nv_fund",AJ$3,$A248))</f>
        <v/>
      </c>
      <c r="AK248" s="13">
        <f>IF($A248="","",[1]!thsiFinD("ths_adjustment_nv_fund",AK$3,$A248))</f>
        <v/>
      </c>
      <c r="AL248" s="13">
        <f>IF($A248="","",[1]!thsiFinD("ths_adjustment_nv_fund",AL$3,$A248))</f>
        <v/>
      </c>
    </row>
    <row r="249" spans="2:28">
      <c r="B249" s="13" t="str">
        <f>IF($A249="","",[1]!thsiFinD("ths_adjustment_nv_fund",B$3,$A249))</f>
        <v/>
      </c>
      <c r="C249" s="13" t="str">
        <f>IF($A249="","",[1]!thsiFinD("ths_adjustment_nv_fund",C$3,$A249))</f>
        <v/>
      </c>
      <c r="D249" s="13" t="str">
        <f>IF($A249="","",[1]!thsiFinD("ths_adjustment_nv_fund",D$3,$A249))</f>
        <v/>
      </c>
      <c r="E249" s="13" t="str">
        <f>IF($A249="","",[1]!thsiFinD("ths_adjustment_nv_fund",E$3,$A249))</f>
        <v/>
      </c>
      <c r="F249" s="13" t="str">
        <f>IF($A249="","",[1]!thsiFinD("ths_adjustment_nv_fund",F$3,$A249))</f>
        <v/>
      </c>
      <c r="G249" s="13" t="str">
        <f>IF($A249="","",[1]!thsiFinD("ths_adjustment_nv_fund",G$3,$A249))</f>
        <v/>
      </c>
      <c r="H249" s="13" t="str">
        <f>IF($A249="","",[1]!thsiFinD("ths_adjustment_nv_fund",H$3,$A249))</f>
        <v/>
      </c>
      <c r="I249" s="13" t="str">
        <f>IF($A249="","",[1]!thsiFinD("ths_adjustment_nv_fund",I$3,$A249))</f>
        <v/>
      </c>
      <c r="J249" s="13" t="str">
        <f>IF($A249="","",[1]!thsiFinD("ths_adjustment_nv_fund",J$3,$A249))</f>
        <v/>
      </c>
      <c r="K249" s="13" t="str">
        <f>IF($A249="","",[1]!thsiFinD("ths_adjustment_nv_fund",K$3,$A249))</f>
        <v/>
      </c>
      <c r="L249" s="13" t="str">
        <f>IF($A249="","",[1]!thsiFinD("ths_adjustment_nv_fund",L$3,$A249))</f>
        <v/>
      </c>
      <c r="M249" s="13" t="str">
        <f>IF($A249="","",[1]!thsiFinD("ths_adjustment_nv_fund",M$3,$A249))</f>
        <v/>
      </c>
      <c r="N249" s="13" t="str">
        <f>IF($A249="","",[1]!thsiFinD("ths_adjustment_nv_fund",N$3,$A249))</f>
        <v/>
      </c>
      <c r="O249" s="13" t="str">
        <f>IF($A249="","",[1]!thsiFinD("ths_adjustment_nv_fund",O$3,$A249))</f>
        <v/>
      </c>
      <c r="P249" s="13" t="str">
        <f>IF($A249="","",[1]!thsiFinD("ths_adjustment_nv_fund",P$3,$A249))</f>
        <v/>
      </c>
      <c r="Q249" s="13" t="str">
        <f>IF($A249="","",[1]!thsiFinD("ths_adjustment_nv_fund",Q$3,$A249))</f>
        <v/>
      </c>
      <c r="R249" s="13" t="str">
        <f>IF($A249="","",[1]!thsiFinD("ths_adjustment_nv_fund",R$3,$A249))</f>
        <v/>
      </c>
      <c r="S249" s="13" t="str">
        <f>IF($A249="","",[1]!thsiFinD("ths_adjustment_nv_fund",S$3,$A249))</f>
        <v/>
      </c>
      <c r="T249" s="13" t="str">
        <f>IF($A249="","",[1]!thsiFinD("ths_adjustment_nv_fund",T$3,$A249))</f>
        <v/>
      </c>
      <c r="U249" s="13" t="str">
        <f>IF($A249="","",[1]!thsiFinD("ths_adjustment_nv_fund",U$3,$A249))</f>
        <v/>
      </c>
      <c r="V249" s="13" t="str">
        <f>IF($A249="","",[1]!thsiFinD("ths_adjustment_nv_fund",V$3,$A249))</f>
        <v/>
      </c>
      <c r="W249" s="13" t="str">
        <f>IF($A249="","",[1]!thsiFinD("ths_adjustment_nv_fund",W$3,$A249))</f>
        <v/>
      </c>
      <c r="X249" s="13" t="str">
        <f>IF($A249="","",[1]!thsiFinD("ths_adjustment_nv_fund",X$3,$A249))</f>
        <v/>
      </c>
      <c r="Y249" s="13" t="str">
        <f>IF($A249="","",[1]!thsiFinD("ths_adjustment_nv_fund",Y$3,$A249))</f>
        <v/>
      </c>
      <c r="Z249" s="13" t="str">
        <f>IF($A249="","",[1]!thsiFinD("ths_adjustment_nv_fund",Z$3,$A249))</f>
        <v/>
      </c>
      <c r="AA249" s="13" t="str">
        <f>IF($A249="","",[1]!thsiFinD("ths_adjustment_nv_fund",AA$3,$A249))</f>
        <v/>
      </c>
      <c r="AB249" s="13">
        <f>IF($A249="","",[1]!thsiFinD("ths_adjustment_nv_fund",AB$3,$A249))</f>
        <v/>
      </c>
      <c r="AC249" s="13">
        <f>IF($A249="","",[1]!thsiFinD("ths_adjustment_nv_fund",AC$3,$A249))</f>
        <v/>
      </c>
      <c r="AD249" s="13">
        <f>IF($A249="","",[1]!thsiFinD("ths_adjustment_nv_fund",AD$3,$A249))</f>
        <v/>
      </c>
      <c r="AE249" s="13">
        <f>IF($A249="","",[1]!thsiFinD("ths_adjustment_nv_fund",AE$3,$A249))</f>
        <v/>
      </c>
      <c r="AF249" s="13">
        <f>IF($A249="","",[1]!thsiFinD("ths_adjustment_nv_fund",AF$3,$A249))</f>
        <v/>
      </c>
      <c r="AG249" s="13">
        <f>IF($A249="","",[1]!thsiFinD("ths_adjustment_nv_fund",AG$3,$A249))</f>
        <v/>
      </c>
      <c r="AH249" s="13">
        <f>IF($A249="","",[1]!thsiFinD("ths_adjustment_nv_fund",AH$3,$A249))</f>
        <v/>
      </c>
      <c r="AI249" s="13">
        <f>IF($A249="","",[1]!thsiFinD("ths_adjustment_nv_fund",AI$3,$A249))</f>
        <v/>
      </c>
      <c r="AJ249" s="13">
        <f>IF($A249="","",[1]!thsiFinD("ths_adjustment_nv_fund",AJ$3,$A249))</f>
        <v/>
      </c>
      <c r="AK249" s="13">
        <f>IF($A249="","",[1]!thsiFinD("ths_adjustment_nv_fund",AK$3,$A249))</f>
        <v/>
      </c>
      <c r="AL249" s="13">
        <f>IF($A249="","",[1]!thsiFinD("ths_adjustment_nv_fund",AL$3,$A249))</f>
        <v/>
      </c>
    </row>
    <row r="250" spans="2:28">
      <c r="B250" s="13" t="str">
        <f>IF($A250="","",[1]!thsiFinD("ths_adjustment_nv_fund",B$3,$A250))</f>
        <v/>
      </c>
      <c r="C250" s="13" t="str">
        <f>IF($A250="","",[1]!thsiFinD("ths_adjustment_nv_fund",C$3,$A250))</f>
        <v/>
      </c>
      <c r="D250" s="13" t="str">
        <f>IF($A250="","",[1]!thsiFinD("ths_adjustment_nv_fund",D$3,$A250))</f>
        <v/>
      </c>
      <c r="E250" s="13" t="str">
        <f>IF($A250="","",[1]!thsiFinD("ths_adjustment_nv_fund",E$3,$A250))</f>
        <v/>
      </c>
      <c r="F250" s="13" t="str">
        <f>IF($A250="","",[1]!thsiFinD("ths_adjustment_nv_fund",F$3,$A250))</f>
        <v/>
      </c>
      <c r="G250" s="13" t="str">
        <f>IF($A250="","",[1]!thsiFinD("ths_adjustment_nv_fund",G$3,$A250))</f>
        <v/>
      </c>
      <c r="H250" s="13" t="str">
        <f>IF($A250="","",[1]!thsiFinD("ths_adjustment_nv_fund",H$3,$A250))</f>
        <v/>
      </c>
      <c r="I250" s="13" t="str">
        <f>IF($A250="","",[1]!thsiFinD("ths_adjustment_nv_fund",I$3,$A250))</f>
        <v/>
      </c>
      <c r="J250" s="13" t="str">
        <f>IF($A250="","",[1]!thsiFinD("ths_adjustment_nv_fund",J$3,$A250))</f>
        <v/>
      </c>
      <c r="K250" s="13" t="str">
        <f>IF($A250="","",[1]!thsiFinD("ths_adjustment_nv_fund",K$3,$A250))</f>
        <v/>
      </c>
      <c r="L250" s="13" t="str">
        <f>IF($A250="","",[1]!thsiFinD("ths_adjustment_nv_fund",L$3,$A250))</f>
        <v/>
      </c>
      <c r="M250" s="13" t="str">
        <f>IF($A250="","",[1]!thsiFinD("ths_adjustment_nv_fund",M$3,$A250))</f>
        <v/>
      </c>
      <c r="N250" s="13" t="str">
        <f>IF($A250="","",[1]!thsiFinD("ths_adjustment_nv_fund",N$3,$A250))</f>
        <v/>
      </c>
      <c r="O250" s="13" t="str">
        <f>IF($A250="","",[1]!thsiFinD("ths_adjustment_nv_fund",O$3,$A250))</f>
        <v/>
      </c>
      <c r="P250" s="13" t="str">
        <f>IF($A250="","",[1]!thsiFinD("ths_adjustment_nv_fund",P$3,$A250))</f>
        <v/>
      </c>
      <c r="Q250" s="13" t="str">
        <f>IF($A250="","",[1]!thsiFinD("ths_adjustment_nv_fund",Q$3,$A250))</f>
        <v/>
      </c>
      <c r="R250" s="13" t="str">
        <f>IF($A250="","",[1]!thsiFinD("ths_adjustment_nv_fund",R$3,$A250))</f>
        <v/>
      </c>
      <c r="S250" s="13" t="str">
        <f>IF($A250="","",[1]!thsiFinD("ths_adjustment_nv_fund",S$3,$A250))</f>
        <v/>
      </c>
      <c r="T250" s="13" t="str">
        <f>IF($A250="","",[1]!thsiFinD("ths_adjustment_nv_fund",T$3,$A250))</f>
        <v/>
      </c>
      <c r="U250" s="13" t="str">
        <f>IF($A250="","",[1]!thsiFinD("ths_adjustment_nv_fund",U$3,$A250))</f>
        <v/>
      </c>
      <c r="V250" s="13" t="str">
        <f>IF($A250="","",[1]!thsiFinD("ths_adjustment_nv_fund",V$3,$A250))</f>
        <v/>
      </c>
      <c r="W250" s="13" t="str">
        <f>IF($A250="","",[1]!thsiFinD("ths_adjustment_nv_fund",W$3,$A250))</f>
        <v/>
      </c>
      <c r="X250" s="13" t="str">
        <f>IF($A250="","",[1]!thsiFinD("ths_adjustment_nv_fund",X$3,$A250))</f>
        <v/>
      </c>
      <c r="Y250" s="13" t="str">
        <f>IF($A250="","",[1]!thsiFinD("ths_adjustment_nv_fund",Y$3,$A250))</f>
        <v/>
      </c>
      <c r="Z250" s="13" t="str">
        <f>IF($A250="","",[1]!thsiFinD("ths_adjustment_nv_fund",Z$3,$A250))</f>
        <v/>
      </c>
      <c r="AA250" s="13" t="str">
        <f>IF($A250="","",[1]!thsiFinD("ths_adjustment_nv_fund",AA$3,$A250))</f>
        <v/>
      </c>
      <c r="AB250" s="13">
        <f>IF($A250="","",[1]!thsiFinD("ths_adjustment_nv_fund",AB$3,$A250))</f>
        <v/>
      </c>
      <c r="AC250" s="13">
        <f>IF($A250="","",[1]!thsiFinD("ths_adjustment_nv_fund",AC$3,$A250))</f>
        <v/>
      </c>
      <c r="AD250" s="13">
        <f>IF($A250="","",[1]!thsiFinD("ths_adjustment_nv_fund",AD$3,$A250))</f>
        <v/>
      </c>
      <c r="AE250" s="13">
        <f>IF($A250="","",[1]!thsiFinD("ths_adjustment_nv_fund",AE$3,$A250))</f>
        <v/>
      </c>
      <c r="AF250" s="13">
        <f>IF($A250="","",[1]!thsiFinD("ths_adjustment_nv_fund",AF$3,$A250))</f>
        <v/>
      </c>
      <c r="AG250" s="13">
        <f>IF($A250="","",[1]!thsiFinD("ths_adjustment_nv_fund",AG$3,$A250))</f>
        <v/>
      </c>
      <c r="AH250" s="13">
        <f>IF($A250="","",[1]!thsiFinD("ths_adjustment_nv_fund",AH$3,$A250))</f>
        <v/>
      </c>
      <c r="AI250" s="13">
        <f>IF($A250="","",[1]!thsiFinD("ths_adjustment_nv_fund",AI$3,$A250))</f>
        <v/>
      </c>
      <c r="AJ250" s="13">
        <f>IF($A250="","",[1]!thsiFinD("ths_adjustment_nv_fund",AJ$3,$A250))</f>
        <v/>
      </c>
      <c r="AK250" s="13">
        <f>IF($A250="","",[1]!thsiFinD("ths_adjustment_nv_fund",AK$3,$A250))</f>
        <v/>
      </c>
      <c r="AL250" s="13">
        <f>IF($A250="","",[1]!thsiFinD("ths_adjustment_nv_fund",AL$3,$A250))</f>
        <v/>
      </c>
    </row>
    <row r="251" spans="2:28">
      <c r="B251" s="13" t="str">
        <f>IF($A251="","",[1]!thsiFinD("ths_adjustment_nv_fund",B$3,$A251))</f>
        <v/>
      </c>
      <c r="C251" s="13" t="str">
        <f>IF($A251="","",[1]!thsiFinD("ths_adjustment_nv_fund",C$3,$A251))</f>
        <v/>
      </c>
      <c r="D251" s="13" t="str">
        <f>IF($A251="","",[1]!thsiFinD("ths_adjustment_nv_fund",D$3,$A251))</f>
        <v/>
      </c>
      <c r="E251" s="13" t="str">
        <f>IF($A251="","",[1]!thsiFinD("ths_adjustment_nv_fund",E$3,$A251))</f>
        <v/>
      </c>
      <c r="F251" s="13" t="str">
        <f>IF($A251="","",[1]!thsiFinD("ths_adjustment_nv_fund",F$3,$A251))</f>
        <v/>
      </c>
      <c r="G251" s="13" t="str">
        <f>IF($A251="","",[1]!thsiFinD("ths_adjustment_nv_fund",G$3,$A251))</f>
        <v/>
      </c>
      <c r="H251" s="13" t="str">
        <f>IF($A251="","",[1]!thsiFinD("ths_adjustment_nv_fund",H$3,$A251))</f>
        <v/>
      </c>
      <c r="I251" s="13" t="str">
        <f>IF($A251="","",[1]!thsiFinD("ths_adjustment_nv_fund",I$3,$A251))</f>
        <v/>
      </c>
      <c r="J251" s="13" t="str">
        <f>IF($A251="","",[1]!thsiFinD("ths_adjustment_nv_fund",J$3,$A251))</f>
        <v/>
      </c>
      <c r="K251" s="13" t="str">
        <f>IF($A251="","",[1]!thsiFinD("ths_adjustment_nv_fund",K$3,$A251))</f>
        <v/>
      </c>
      <c r="L251" s="13" t="str">
        <f>IF($A251="","",[1]!thsiFinD("ths_adjustment_nv_fund",L$3,$A251))</f>
        <v/>
      </c>
      <c r="M251" s="13" t="str">
        <f>IF($A251="","",[1]!thsiFinD("ths_adjustment_nv_fund",M$3,$A251))</f>
        <v/>
      </c>
      <c r="N251" s="13" t="str">
        <f>IF($A251="","",[1]!thsiFinD("ths_adjustment_nv_fund",N$3,$A251))</f>
        <v/>
      </c>
      <c r="O251" s="13" t="str">
        <f>IF($A251="","",[1]!thsiFinD("ths_adjustment_nv_fund",O$3,$A251))</f>
        <v/>
      </c>
      <c r="P251" s="13" t="str">
        <f>IF($A251="","",[1]!thsiFinD("ths_adjustment_nv_fund",P$3,$A251))</f>
        <v/>
      </c>
      <c r="Q251" s="13" t="str">
        <f>IF($A251="","",[1]!thsiFinD("ths_adjustment_nv_fund",Q$3,$A251))</f>
        <v/>
      </c>
      <c r="R251" s="13" t="str">
        <f>IF($A251="","",[1]!thsiFinD("ths_adjustment_nv_fund",R$3,$A251))</f>
        <v/>
      </c>
      <c r="S251" s="13" t="str">
        <f>IF($A251="","",[1]!thsiFinD("ths_adjustment_nv_fund",S$3,$A251))</f>
        <v/>
      </c>
      <c r="T251" s="13" t="str">
        <f>IF($A251="","",[1]!thsiFinD("ths_adjustment_nv_fund",T$3,$A251))</f>
        <v/>
      </c>
      <c r="U251" s="13" t="str">
        <f>IF($A251="","",[1]!thsiFinD("ths_adjustment_nv_fund",U$3,$A251))</f>
        <v/>
      </c>
      <c r="V251" s="13" t="str">
        <f>IF($A251="","",[1]!thsiFinD("ths_adjustment_nv_fund",V$3,$A251))</f>
        <v/>
      </c>
      <c r="W251" s="13" t="str">
        <f>IF($A251="","",[1]!thsiFinD("ths_adjustment_nv_fund",W$3,$A251))</f>
        <v/>
      </c>
      <c r="X251" s="13" t="str">
        <f>IF($A251="","",[1]!thsiFinD("ths_adjustment_nv_fund",X$3,$A251))</f>
        <v/>
      </c>
      <c r="Y251" s="13" t="str">
        <f>IF($A251="","",[1]!thsiFinD("ths_adjustment_nv_fund",Y$3,$A251))</f>
        <v/>
      </c>
      <c r="Z251" s="13" t="str">
        <f>IF($A251="","",[1]!thsiFinD("ths_adjustment_nv_fund",Z$3,$A251))</f>
        <v/>
      </c>
      <c r="AA251" s="13" t="str">
        <f>IF($A251="","",[1]!thsiFinD("ths_adjustment_nv_fund",AA$3,$A251))</f>
        <v/>
      </c>
      <c r="AB251" s="13">
        <f>IF($A251="","",[1]!thsiFinD("ths_adjustment_nv_fund",AB$3,$A251))</f>
        <v/>
      </c>
      <c r="AC251" s="13">
        <f>IF($A251="","",[1]!thsiFinD("ths_adjustment_nv_fund",AC$3,$A251))</f>
        <v/>
      </c>
      <c r="AD251" s="13">
        <f>IF($A251="","",[1]!thsiFinD("ths_adjustment_nv_fund",AD$3,$A251))</f>
        <v/>
      </c>
      <c r="AE251" s="13">
        <f>IF($A251="","",[1]!thsiFinD("ths_adjustment_nv_fund",AE$3,$A251))</f>
        <v/>
      </c>
      <c r="AF251" s="13">
        <f>IF($A251="","",[1]!thsiFinD("ths_adjustment_nv_fund",AF$3,$A251))</f>
        <v/>
      </c>
      <c r="AG251" s="13">
        <f>IF($A251="","",[1]!thsiFinD("ths_adjustment_nv_fund",AG$3,$A251))</f>
        <v/>
      </c>
      <c r="AH251" s="13">
        <f>IF($A251="","",[1]!thsiFinD("ths_adjustment_nv_fund",AH$3,$A251))</f>
        <v/>
      </c>
      <c r="AI251" s="13">
        <f>IF($A251="","",[1]!thsiFinD("ths_adjustment_nv_fund",AI$3,$A251))</f>
        <v/>
      </c>
      <c r="AJ251" s="13">
        <f>IF($A251="","",[1]!thsiFinD("ths_adjustment_nv_fund",AJ$3,$A251))</f>
        <v/>
      </c>
      <c r="AK251" s="13">
        <f>IF($A251="","",[1]!thsiFinD("ths_adjustment_nv_fund",AK$3,$A251))</f>
        <v/>
      </c>
      <c r="AL251" s="13">
        <f>IF($A251="","",[1]!thsiFinD("ths_adjustment_nv_fund",AL$3,$A251))</f>
        <v/>
      </c>
    </row>
    <row r="252" spans="2:28">
      <c r="B252" s="13" t="str">
        <f>IF($A252="","",[1]!thsiFinD("ths_adjustment_nv_fund",B$3,$A252))</f>
        <v/>
      </c>
      <c r="C252" s="13" t="str">
        <f>IF($A252="","",[1]!thsiFinD("ths_adjustment_nv_fund",C$3,$A252))</f>
        <v/>
      </c>
      <c r="D252" s="13" t="str">
        <f>IF($A252="","",[1]!thsiFinD("ths_adjustment_nv_fund",D$3,$A252))</f>
        <v/>
      </c>
      <c r="E252" s="13" t="str">
        <f>IF($A252="","",[1]!thsiFinD("ths_adjustment_nv_fund",E$3,$A252))</f>
        <v/>
      </c>
      <c r="F252" s="13" t="str">
        <f>IF($A252="","",[1]!thsiFinD("ths_adjustment_nv_fund",F$3,$A252))</f>
        <v/>
      </c>
      <c r="G252" s="13" t="str">
        <f>IF($A252="","",[1]!thsiFinD("ths_adjustment_nv_fund",G$3,$A252))</f>
        <v/>
      </c>
      <c r="H252" s="13" t="str">
        <f>IF($A252="","",[1]!thsiFinD("ths_adjustment_nv_fund",H$3,$A252))</f>
        <v/>
      </c>
      <c r="I252" s="13" t="str">
        <f>IF($A252="","",[1]!thsiFinD("ths_adjustment_nv_fund",I$3,$A252))</f>
        <v/>
      </c>
      <c r="J252" s="13" t="str">
        <f>IF($A252="","",[1]!thsiFinD("ths_adjustment_nv_fund",J$3,$A252))</f>
        <v/>
      </c>
      <c r="K252" s="13" t="str">
        <f>IF($A252="","",[1]!thsiFinD("ths_adjustment_nv_fund",K$3,$A252))</f>
        <v/>
      </c>
      <c r="L252" s="13" t="str">
        <f>IF($A252="","",[1]!thsiFinD("ths_adjustment_nv_fund",L$3,$A252))</f>
        <v/>
      </c>
      <c r="M252" s="13" t="str">
        <f>IF($A252="","",[1]!thsiFinD("ths_adjustment_nv_fund",M$3,$A252))</f>
        <v/>
      </c>
      <c r="N252" s="13" t="str">
        <f>IF($A252="","",[1]!thsiFinD("ths_adjustment_nv_fund",N$3,$A252))</f>
        <v/>
      </c>
      <c r="O252" s="13" t="str">
        <f>IF($A252="","",[1]!thsiFinD("ths_adjustment_nv_fund",O$3,$A252))</f>
        <v/>
      </c>
      <c r="P252" s="13" t="str">
        <f>IF($A252="","",[1]!thsiFinD("ths_adjustment_nv_fund",P$3,$A252))</f>
        <v/>
      </c>
      <c r="Q252" s="13" t="str">
        <f>IF($A252="","",[1]!thsiFinD("ths_adjustment_nv_fund",Q$3,$A252))</f>
        <v/>
      </c>
      <c r="R252" s="13" t="str">
        <f>IF($A252="","",[1]!thsiFinD("ths_adjustment_nv_fund",R$3,$A252))</f>
        <v/>
      </c>
      <c r="S252" s="13" t="str">
        <f>IF($A252="","",[1]!thsiFinD("ths_adjustment_nv_fund",S$3,$A252))</f>
        <v/>
      </c>
      <c r="T252" s="13" t="str">
        <f>IF($A252="","",[1]!thsiFinD("ths_adjustment_nv_fund",T$3,$A252))</f>
        <v/>
      </c>
      <c r="U252" s="13" t="str">
        <f>IF($A252="","",[1]!thsiFinD("ths_adjustment_nv_fund",U$3,$A252))</f>
        <v/>
      </c>
      <c r="V252" s="13" t="str">
        <f>IF($A252="","",[1]!thsiFinD("ths_adjustment_nv_fund",V$3,$A252))</f>
        <v/>
      </c>
      <c r="W252" s="13" t="str">
        <f>IF($A252="","",[1]!thsiFinD("ths_adjustment_nv_fund",W$3,$A252))</f>
        <v/>
      </c>
      <c r="X252" s="13" t="str">
        <f>IF($A252="","",[1]!thsiFinD("ths_adjustment_nv_fund",X$3,$A252))</f>
        <v/>
      </c>
      <c r="Y252" s="13" t="str">
        <f>IF($A252="","",[1]!thsiFinD("ths_adjustment_nv_fund",Y$3,$A252))</f>
        <v/>
      </c>
      <c r="Z252" s="13" t="str">
        <f>IF($A252="","",[1]!thsiFinD("ths_adjustment_nv_fund",Z$3,$A252))</f>
        <v/>
      </c>
      <c r="AA252" s="13" t="str">
        <f>IF($A252="","",[1]!thsiFinD("ths_adjustment_nv_fund",AA$3,$A252))</f>
        <v/>
      </c>
      <c r="AB252" s="13">
        <f>IF($A252="","",[1]!thsiFinD("ths_adjustment_nv_fund",AB$3,$A252))</f>
        <v/>
      </c>
      <c r="AC252" s="13">
        <f>IF($A252="","",[1]!thsiFinD("ths_adjustment_nv_fund",AC$3,$A252))</f>
        <v/>
      </c>
      <c r="AD252" s="13">
        <f>IF($A252="","",[1]!thsiFinD("ths_adjustment_nv_fund",AD$3,$A252))</f>
        <v/>
      </c>
      <c r="AE252" s="13">
        <f>IF($A252="","",[1]!thsiFinD("ths_adjustment_nv_fund",AE$3,$A252))</f>
        <v/>
      </c>
      <c r="AF252" s="13">
        <f>IF($A252="","",[1]!thsiFinD("ths_adjustment_nv_fund",AF$3,$A252))</f>
        <v/>
      </c>
      <c r="AG252" s="13">
        <f>IF($A252="","",[1]!thsiFinD("ths_adjustment_nv_fund",AG$3,$A252))</f>
        <v/>
      </c>
      <c r="AH252" s="13">
        <f>IF($A252="","",[1]!thsiFinD("ths_adjustment_nv_fund",AH$3,$A252))</f>
        <v/>
      </c>
      <c r="AI252" s="13">
        <f>IF($A252="","",[1]!thsiFinD("ths_adjustment_nv_fund",AI$3,$A252))</f>
        <v/>
      </c>
      <c r="AJ252" s="13">
        <f>IF($A252="","",[1]!thsiFinD("ths_adjustment_nv_fund",AJ$3,$A252))</f>
        <v/>
      </c>
      <c r="AK252" s="13">
        <f>IF($A252="","",[1]!thsiFinD("ths_adjustment_nv_fund",AK$3,$A252))</f>
        <v/>
      </c>
      <c r="AL252" s="13">
        <f>IF($A252="","",[1]!thsiFinD("ths_adjustment_nv_fund",AL$3,$A252))</f>
        <v/>
      </c>
    </row>
    <row r="253" spans="2:28">
      <c r="B253" s="13" t="str">
        <f>IF($A253="","",[1]!thsiFinD("ths_adjustment_nv_fund",B$3,$A253))</f>
        <v/>
      </c>
      <c r="C253" s="13" t="str">
        <f>IF($A253="","",[1]!thsiFinD("ths_adjustment_nv_fund",C$3,$A253))</f>
        <v/>
      </c>
      <c r="D253" s="13" t="str">
        <f>IF($A253="","",[1]!thsiFinD("ths_adjustment_nv_fund",D$3,$A253))</f>
        <v/>
      </c>
      <c r="E253" s="13" t="str">
        <f>IF($A253="","",[1]!thsiFinD("ths_adjustment_nv_fund",E$3,$A253))</f>
        <v/>
      </c>
      <c r="F253" s="13" t="str">
        <f>IF($A253="","",[1]!thsiFinD("ths_adjustment_nv_fund",F$3,$A253))</f>
        <v/>
      </c>
      <c r="G253" s="13" t="str">
        <f>IF($A253="","",[1]!thsiFinD("ths_adjustment_nv_fund",G$3,$A253))</f>
        <v/>
      </c>
      <c r="H253" s="13" t="str">
        <f>IF($A253="","",[1]!thsiFinD("ths_adjustment_nv_fund",H$3,$A253))</f>
        <v/>
      </c>
      <c r="I253" s="13" t="str">
        <f>IF($A253="","",[1]!thsiFinD("ths_adjustment_nv_fund",I$3,$A253))</f>
        <v/>
      </c>
      <c r="J253" s="13" t="str">
        <f>IF($A253="","",[1]!thsiFinD("ths_adjustment_nv_fund",J$3,$A253))</f>
        <v/>
      </c>
      <c r="K253" s="13" t="str">
        <f>IF($A253="","",[1]!thsiFinD("ths_adjustment_nv_fund",K$3,$A253))</f>
        <v/>
      </c>
      <c r="L253" s="13" t="str">
        <f>IF($A253="","",[1]!thsiFinD("ths_adjustment_nv_fund",L$3,$A253))</f>
        <v/>
      </c>
      <c r="M253" s="13" t="str">
        <f>IF($A253="","",[1]!thsiFinD("ths_adjustment_nv_fund",M$3,$A253))</f>
        <v/>
      </c>
      <c r="N253" s="13" t="str">
        <f>IF($A253="","",[1]!thsiFinD("ths_adjustment_nv_fund",N$3,$A253))</f>
        <v/>
      </c>
      <c r="O253" s="13" t="str">
        <f>IF($A253="","",[1]!thsiFinD("ths_adjustment_nv_fund",O$3,$A253))</f>
        <v/>
      </c>
      <c r="P253" s="13" t="str">
        <f>IF($A253="","",[1]!thsiFinD("ths_adjustment_nv_fund",P$3,$A253))</f>
        <v/>
      </c>
      <c r="Q253" s="13" t="str">
        <f>IF($A253="","",[1]!thsiFinD("ths_adjustment_nv_fund",Q$3,$A253))</f>
        <v/>
      </c>
      <c r="R253" s="13" t="str">
        <f>IF($A253="","",[1]!thsiFinD("ths_adjustment_nv_fund",R$3,$A253))</f>
        <v/>
      </c>
      <c r="S253" s="13" t="str">
        <f>IF($A253="","",[1]!thsiFinD("ths_adjustment_nv_fund",S$3,$A253))</f>
        <v/>
      </c>
      <c r="T253" s="13" t="str">
        <f>IF($A253="","",[1]!thsiFinD("ths_adjustment_nv_fund",T$3,$A253))</f>
        <v/>
      </c>
      <c r="U253" s="13" t="str">
        <f>IF($A253="","",[1]!thsiFinD("ths_adjustment_nv_fund",U$3,$A253))</f>
        <v/>
      </c>
      <c r="V253" s="13" t="str">
        <f>IF($A253="","",[1]!thsiFinD("ths_adjustment_nv_fund",V$3,$A253))</f>
        <v/>
      </c>
      <c r="W253" s="13" t="str">
        <f>IF($A253="","",[1]!thsiFinD("ths_adjustment_nv_fund",W$3,$A253))</f>
        <v/>
      </c>
      <c r="X253" s="13" t="str">
        <f>IF($A253="","",[1]!thsiFinD("ths_adjustment_nv_fund",X$3,$A253))</f>
        <v/>
      </c>
      <c r="Y253" s="13" t="str">
        <f>IF($A253="","",[1]!thsiFinD("ths_adjustment_nv_fund",Y$3,$A253))</f>
        <v/>
      </c>
      <c r="Z253" s="13" t="str">
        <f>IF($A253="","",[1]!thsiFinD("ths_adjustment_nv_fund",Z$3,$A253))</f>
        <v/>
      </c>
      <c r="AA253" s="13" t="str">
        <f>IF($A253="","",[1]!thsiFinD("ths_adjustment_nv_fund",AA$3,$A253))</f>
        <v/>
      </c>
      <c r="AB253" s="13">
        <f>IF($A253="","",[1]!thsiFinD("ths_adjustment_nv_fund",AB$3,$A253))</f>
        <v/>
      </c>
      <c r="AC253" s="13">
        <f>IF($A253="","",[1]!thsiFinD("ths_adjustment_nv_fund",AC$3,$A253))</f>
        <v/>
      </c>
      <c r="AD253" s="13">
        <f>IF($A253="","",[1]!thsiFinD("ths_adjustment_nv_fund",AD$3,$A253))</f>
        <v/>
      </c>
      <c r="AE253" s="13">
        <f>IF($A253="","",[1]!thsiFinD("ths_adjustment_nv_fund",AE$3,$A253))</f>
        <v/>
      </c>
      <c r="AF253" s="13">
        <f>IF($A253="","",[1]!thsiFinD("ths_adjustment_nv_fund",AF$3,$A253))</f>
        <v/>
      </c>
      <c r="AG253" s="13">
        <f>IF($A253="","",[1]!thsiFinD("ths_adjustment_nv_fund",AG$3,$A253))</f>
        <v/>
      </c>
      <c r="AH253" s="13">
        <f>IF($A253="","",[1]!thsiFinD("ths_adjustment_nv_fund",AH$3,$A253))</f>
        <v/>
      </c>
      <c r="AI253" s="13">
        <f>IF($A253="","",[1]!thsiFinD("ths_adjustment_nv_fund",AI$3,$A253))</f>
        <v/>
      </c>
      <c r="AJ253" s="13">
        <f>IF($A253="","",[1]!thsiFinD("ths_adjustment_nv_fund",AJ$3,$A253))</f>
        <v/>
      </c>
      <c r="AK253" s="13">
        <f>IF($A253="","",[1]!thsiFinD("ths_adjustment_nv_fund",AK$3,$A253))</f>
        <v/>
      </c>
      <c r="AL253" s="13">
        <f>IF($A253="","",[1]!thsiFinD("ths_adjustment_nv_fund",AL$3,$A253))</f>
        <v/>
      </c>
    </row>
    <row r="254" spans="2:28">
      <c r="B254" s="13" t="str">
        <f>IF($A254="","",[1]!thsiFinD("ths_adjustment_nv_fund",B$3,$A254))</f>
        <v/>
      </c>
      <c r="C254" s="13" t="str">
        <f>IF($A254="","",[1]!thsiFinD("ths_adjustment_nv_fund",C$3,$A254))</f>
        <v/>
      </c>
      <c r="D254" s="13" t="str">
        <f>IF($A254="","",[1]!thsiFinD("ths_adjustment_nv_fund",D$3,$A254))</f>
        <v/>
      </c>
      <c r="E254" s="13" t="str">
        <f>IF($A254="","",[1]!thsiFinD("ths_adjustment_nv_fund",E$3,$A254))</f>
        <v/>
      </c>
      <c r="F254" s="13" t="str">
        <f>IF($A254="","",[1]!thsiFinD("ths_adjustment_nv_fund",F$3,$A254))</f>
        <v/>
      </c>
      <c r="G254" s="13" t="str">
        <f>IF($A254="","",[1]!thsiFinD("ths_adjustment_nv_fund",G$3,$A254))</f>
        <v/>
      </c>
      <c r="H254" s="13" t="str">
        <f>IF($A254="","",[1]!thsiFinD("ths_adjustment_nv_fund",H$3,$A254))</f>
        <v/>
      </c>
      <c r="I254" s="13" t="str">
        <f>IF($A254="","",[1]!thsiFinD("ths_adjustment_nv_fund",I$3,$A254))</f>
        <v/>
      </c>
      <c r="J254" s="13" t="str">
        <f>IF($A254="","",[1]!thsiFinD("ths_adjustment_nv_fund",J$3,$A254))</f>
        <v/>
      </c>
      <c r="K254" s="13" t="str">
        <f>IF($A254="","",[1]!thsiFinD("ths_adjustment_nv_fund",K$3,$A254))</f>
        <v/>
      </c>
      <c r="L254" s="13" t="str">
        <f>IF($A254="","",[1]!thsiFinD("ths_adjustment_nv_fund",L$3,$A254))</f>
        <v/>
      </c>
      <c r="M254" s="13" t="str">
        <f>IF($A254="","",[1]!thsiFinD("ths_adjustment_nv_fund",M$3,$A254))</f>
        <v/>
      </c>
      <c r="N254" s="13" t="str">
        <f>IF($A254="","",[1]!thsiFinD("ths_adjustment_nv_fund",N$3,$A254))</f>
        <v/>
      </c>
      <c r="O254" s="13" t="str">
        <f>IF($A254="","",[1]!thsiFinD("ths_adjustment_nv_fund",O$3,$A254))</f>
        <v/>
      </c>
      <c r="P254" s="13" t="str">
        <f>IF($A254="","",[1]!thsiFinD("ths_adjustment_nv_fund",P$3,$A254))</f>
        <v/>
      </c>
      <c r="Q254" s="13" t="str">
        <f>IF($A254="","",[1]!thsiFinD("ths_adjustment_nv_fund",Q$3,$A254))</f>
        <v/>
      </c>
      <c r="R254" s="13" t="str">
        <f>IF($A254="","",[1]!thsiFinD("ths_adjustment_nv_fund",R$3,$A254))</f>
        <v/>
      </c>
      <c r="S254" s="13" t="str">
        <f>IF($A254="","",[1]!thsiFinD("ths_adjustment_nv_fund",S$3,$A254))</f>
        <v/>
      </c>
      <c r="T254" s="13" t="str">
        <f>IF($A254="","",[1]!thsiFinD("ths_adjustment_nv_fund",T$3,$A254))</f>
        <v/>
      </c>
      <c r="U254" s="13" t="str">
        <f>IF($A254="","",[1]!thsiFinD("ths_adjustment_nv_fund",U$3,$A254))</f>
        <v/>
      </c>
      <c r="V254" s="13" t="str">
        <f>IF($A254="","",[1]!thsiFinD("ths_adjustment_nv_fund",V$3,$A254))</f>
        <v/>
      </c>
      <c r="W254" s="13" t="str">
        <f>IF($A254="","",[1]!thsiFinD("ths_adjustment_nv_fund",W$3,$A254))</f>
        <v/>
      </c>
      <c r="X254" s="13" t="str">
        <f>IF($A254="","",[1]!thsiFinD("ths_adjustment_nv_fund",X$3,$A254))</f>
        <v/>
      </c>
      <c r="Y254" s="13" t="str">
        <f>IF($A254="","",[1]!thsiFinD("ths_adjustment_nv_fund",Y$3,$A254))</f>
        <v/>
      </c>
      <c r="Z254" s="13" t="str">
        <f>IF($A254="","",[1]!thsiFinD("ths_adjustment_nv_fund",Z$3,$A254))</f>
        <v/>
      </c>
      <c r="AA254" s="13" t="str">
        <f>IF($A254="","",[1]!thsiFinD("ths_adjustment_nv_fund",AA$3,$A254))</f>
        <v/>
      </c>
      <c r="AB254" s="13">
        <f>IF($A254="","",[1]!thsiFinD("ths_adjustment_nv_fund",AB$3,$A254))</f>
        <v/>
      </c>
      <c r="AC254" s="13">
        <f>IF($A254="","",[1]!thsiFinD("ths_adjustment_nv_fund",AC$3,$A254))</f>
        <v/>
      </c>
      <c r="AD254" s="13">
        <f>IF($A254="","",[1]!thsiFinD("ths_adjustment_nv_fund",AD$3,$A254))</f>
        <v/>
      </c>
      <c r="AE254" s="13">
        <f>IF($A254="","",[1]!thsiFinD("ths_adjustment_nv_fund",AE$3,$A254))</f>
        <v/>
      </c>
      <c r="AF254" s="13">
        <f>IF($A254="","",[1]!thsiFinD("ths_adjustment_nv_fund",AF$3,$A254))</f>
        <v/>
      </c>
      <c r="AG254" s="13">
        <f>IF($A254="","",[1]!thsiFinD("ths_adjustment_nv_fund",AG$3,$A254))</f>
        <v/>
      </c>
      <c r="AH254" s="13">
        <f>IF($A254="","",[1]!thsiFinD("ths_adjustment_nv_fund",AH$3,$A254))</f>
        <v/>
      </c>
      <c r="AI254" s="13">
        <f>IF($A254="","",[1]!thsiFinD("ths_adjustment_nv_fund",AI$3,$A254))</f>
        <v/>
      </c>
      <c r="AJ254" s="13">
        <f>IF($A254="","",[1]!thsiFinD("ths_adjustment_nv_fund",AJ$3,$A254))</f>
        <v/>
      </c>
      <c r="AK254" s="13">
        <f>IF($A254="","",[1]!thsiFinD("ths_adjustment_nv_fund",AK$3,$A254))</f>
        <v/>
      </c>
      <c r="AL254" s="13">
        <f>IF($A254="","",[1]!thsiFinD("ths_adjustment_nv_fund",AL$3,$A254))</f>
        <v/>
      </c>
    </row>
    <row r="255" spans="2:28">
      <c r="B255" s="13" t="str">
        <f>IF($A255="","",[1]!thsiFinD("ths_adjustment_nv_fund",B$3,$A255))</f>
        <v/>
      </c>
      <c r="C255" s="13" t="str">
        <f>IF($A255="","",[1]!thsiFinD("ths_adjustment_nv_fund",C$3,$A255))</f>
        <v/>
      </c>
      <c r="D255" s="13" t="str">
        <f>IF($A255="","",[1]!thsiFinD("ths_adjustment_nv_fund",D$3,$A255))</f>
        <v/>
      </c>
      <c r="E255" s="13" t="str">
        <f>IF($A255="","",[1]!thsiFinD("ths_adjustment_nv_fund",E$3,$A255))</f>
        <v/>
      </c>
      <c r="F255" s="13" t="str">
        <f>IF($A255="","",[1]!thsiFinD("ths_adjustment_nv_fund",F$3,$A255))</f>
        <v/>
      </c>
      <c r="G255" s="13" t="str">
        <f>IF($A255="","",[1]!thsiFinD("ths_adjustment_nv_fund",G$3,$A255))</f>
        <v/>
      </c>
      <c r="H255" s="13" t="str">
        <f>IF($A255="","",[1]!thsiFinD("ths_adjustment_nv_fund",H$3,$A255))</f>
        <v/>
      </c>
      <c r="I255" s="13" t="str">
        <f>IF($A255="","",[1]!thsiFinD("ths_adjustment_nv_fund",I$3,$A255))</f>
        <v/>
      </c>
      <c r="J255" s="13" t="str">
        <f>IF($A255="","",[1]!thsiFinD("ths_adjustment_nv_fund",J$3,$A255))</f>
        <v/>
      </c>
      <c r="K255" s="13" t="str">
        <f>IF($A255="","",[1]!thsiFinD("ths_adjustment_nv_fund",K$3,$A255))</f>
        <v/>
      </c>
      <c r="L255" s="13" t="str">
        <f>IF($A255="","",[1]!thsiFinD("ths_adjustment_nv_fund",L$3,$A255))</f>
        <v/>
      </c>
      <c r="M255" s="13" t="str">
        <f>IF($A255="","",[1]!thsiFinD("ths_adjustment_nv_fund",M$3,$A255))</f>
        <v/>
      </c>
      <c r="N255" s="13" t="str">
        <f>IF($A255="","",[1]!thsiFinD("ths_adjustment_nv_fund",N$3,$A255))</f>
        <v/>
      </c>
      <c r="O255" s="13" t="str">
        <f>IF($A255="","",[1]!thsiFinD("ths_adjustment_nv_fund",O$3,$A255))</f>
        <v/>
      </c>
      <c r="P255" s="13" t="str">
        <f>IF($A255="","",[1]!thsiFinD("ths_adjustment_nv_fund",P$3,$A255))</f>
        <v/>
      </c>
      <c r="Q255" s="13" t="str">
        <f>IF($A255="","",[1]!thsiFinD("ths_adjustment_nv_fund",Q$3,$A255))</f>
        <v/>
      </c>
      <c r="R255" s="13" t="str">
        <f>IF($A255="","",[1]!thsiFinD("ths_adjustment_nv_fund",R$3,$A255))</f>
        <v/>
      </c>
      <c r="S255" s="13" t="str">
        <f>IF($A255="","",[1]!thsiFinD("ths_adjustment_nv_fund",S$3,$A255))</f>
        <v/>
      </c>
      <c r="T255" s="13" t="str">
        <f>IF($A255="","",[1]!thsiFinD("ths_adjustment_nv_fund",T$3,$A255))</f>
        <v/>
      </c>
      <c r="U255" s="13" t="str">
        <f>IF($A255="","",[1]!thsiFinD("ths_adjustment_nv_fund",U$3,$A255))</f>
        <v/>
      </c>
      <c r="V255" s="13" t="str">
        <f>IF($A255="","",[1]!thsiFinD("ths_adjustment_nv_fund",V$3,$A255))</f>
        <v/>
      </c>
      <c r="W255" s="13" t="str">
        <f>IF($A255="","",[1]!thsiFinD("ths_adjustment_nv_fund",W$3,$A255))</f>
        <v/>
      </c>
      <c r="X255" s="13" t="str">
        <f>IF($A255="","",[1]!thsiFinD("ths_adjustment_nv_fund",X$3,$A255))</f>
        <v/>
      </c>
      <c r="Y255" s="13" t="str">
        <f>IF($A255="","",[1]!thsiFinD("ths_adjustment_nv_fund",Y$3,$A255))</f>
        <v/>
      </c>
      <c r="Z255" s="13" t="str">
        <f>IF($A255="","",[1]!thsiFinD("ths_adjustment_nv_fund",Z$3,$A255))</f>
        <v/>
      </c>
      <c r="AA255" s="13" t="str">
        <f>IF($A255="","",[1]!thsiFinD("ths_adjustment_nv_fund",AA$3,$A255))</f>
        <v/>
      </c>
      <c r="AB255" s="13">
        <f>IF($A255="","",[1]!thsiFinD("ths_adjustment_nv_fund",AB$3,$A255))</f>
        <v/>
      </c>
      <c r="AC255" s="13">
        <f>IF($A255="","",[1]!thsiFinD("ths_adjustment_nv_fund",AC$3,$A255))</f>
        <v/>
      </c>
      <c r="AD255" s="13">
        <f>IF($A255="","",[1]!thsiFinD("ths_adjustment_nv_fund",AD$3,$A255))</f>
        <v/>
      </c>
      <c r="AE255" s="13">
        <f>IF($A255="","",[1]!thsiFinD("ths_adjustment_nv_fund",AE$3,$A255))</f>
        <v/>
      </c>
      <c r="AF255" s="13">
        <f>IF($A255="","",[1]!thsiFinD("ths_adjustment_nv_fund",AF$3,$A255))</f>
        <v/>
      </c>
      <c r="AG255" s="13">
        <f>IF($A255="","",[1]!thsiFinD("ths_adjustment_nv_fund",AG$3,$A255))</f>
        <v/>
      </c>
      <c r="AH255" s="13">
        <f>IF($A255="","",[1]!thsiFinD("ths_adjustment_nv_fund",AH$3,$A255))</f>
        <v/>
      </c>
      <c r="AI255" s="13">
        <f>IF($A255="","",[1]!thsiFinD("ths_adjustment_nv_fund",AI$3,$A255))</f>
        <v/>
      </c>
      <c r="AJ255" s="13">
        <f>IF($A255="","",[1]!thsiFinD("ths_adjustment_nv_fund",AJ$3,$A255))</f>
        <v/>
      </c>
      <c r="AK255" s="13">
        <f>IF($A255="","",[1]!thsiFinD("ths_adjustment_nv_fund",AK$3,$A255))</f>
        <v/>
      </c>
      <c r="AL255" s="13">
        <f>IF($A255="","",[1]!thsiFinD("ths_adjustment_nv_fund",AL$3,$A255))</f>
        <v/>
      </c>
    </row>
    <row r="256" spans="2:28">
      <c r="B256" s="13" t="str">
        <f>IF($A256="","",[1]!thsiFinD("ths_adjustment_nv_fund",B$3,$A256))</f>
        <v/>
      </c>
      <c r="C256" s="13" t="str">
        <f>IF($A256="","",[1]!thsiFinD("ths_adjustment_nv_fund",C$3,$A256))</f>
        <v/>
      </c>
      <c r="D256" s="13" t="str">
        <f>IF($A256="","",[1]!thsiFinD("ths_adjustment_nv_fund",D$3,$A256))</f>
        <v/>
      </c>
      <c r="E256" s="13" t="str">
        <f>IF($A256="","",[1]!thsiFinD("ths_adjustment_nv_fund",E$3,$A256))</f>
        <v/>
      </c>
      <c r="F256" s="13" t="str">
        <f>IF($A256="","",[1]!thsiFinD("ths_adjustment_nv_fund",F$3,$A256))</f>
        <v/>
      </c>
      <c r="G256" s="13" t="str">
        <f>IF($A256="","",[1]!thsiFinD("ths_adjustment_nv_fund",G$3,$A256))</f>
        <v/>
      </c>
      <c r="H256" s="13" t="str">
        <f>IF($A256="","",[1]!thsiFinD("ths_adjustment_nv_fund",H$3,$A256))</f>
        <v/>
      </c>
      <c r="I256" s="13" t="str">
        <f>IF($A256="","",[1]!thsiFinD("ths_adjustment_nv_fund",I$3,$A256))</f>
        <v/>
      </c>
      <c r="J256" s="13" t="str">
        <f>IF($A256="","",[1]!thsiFinD("ths_adjustment_nv_fund",J$3,$A256))</f>
        <v/>
      </c>
      <c r="K256" s="13" t="str">
        <f>IF($A256="","",[1]!thsiFinD("ths_adjustment_nv_fund",K$3,$A256))</f>
        <v/>
      </c>
      <c r="L256" s="13" t="str">
        <f>IF($A256="","",[1]!thsiFinD("ths_adjustment_nv_fund",L$3,$A256))</f>
        <v/>
      </c>
      <c r="M256" s="13" t="str">
        <f>IF($A256="","",[1]!thsiFinD("ths_adjustment_nv_fund",M$3,$A256))</f>
        <v/>
      </c>
      <c r="N256" s="13" t="str">
        <f>IF($A256="","",[1]!thsiFinD("ths_adjustment_nv_fund",N$3,$A256))</f>
        <v/>
      </c>
      <c r="O256" s="13" t="str">
        <f>IF($A256="","",[1]!thsiFinD("ths_adjustment_nv_fund",O$3,$A256))</f>
        <v/>
      </c>
      <c r="P256" s="13" t="str">
        <f>IF($A256="","",[1]!thsiFinD("ths_adjustment_nv_fund",P$3,$A256))</f>
        <v/>
      </c>
      <c r="Q256" s="13" t="str">
        <f>IF($A256="","",[1]!thsiFinD("ths_adjustment_nv_fund",Q$3,$A256))</f>
        <v/>
      </c>
      <c r="R256" s="13" t="str">
        <f>IF($A256="","",[1]!thsiFinD("ths_adjustment_nv_fund",R$3,$A256))</f>
        <v/>
      </c>
      <c r="S256" s="13" t="str">
        <f>IF($A256="","",[1]!thsiFinD("ths_adjustment_nv_fund",S$3,$A256))</f>
        <v/>
      </c>
      <c r="T256" s="13" t="str">
        <f>IF($A256="","",[1]!thsiFinD("ths_adjustment_nv_fund",T$3,$A256))</f>
        <v/>
      </c>
      <c r="U256" s="13" t="str">
        <f>IF($A256="","",[1]!thsiFinD("ths_adjustment_nv_fund",U$3,$A256))</f>
        <v/>
      </c>
      <c r="V256" s="13" t="str">
        <f>IF($A256="","",[1]!thsiFinD("ths_adjustment_nv_fund",V$3,$A256))</f>
        <v/>
      </c>
      <c r="W256" s="13" t="str">
        <f>IF($A256="","",[1]!thsiFinD("ths_adjustment_nv_fund",W$3,$A256))</f>
        <v/>
      </c>
      <c r="X256" s="13" t="str">
        <f>IF($A256="","",[1]!thsiFinD("ths_adjustment_nv_fund",X$3,$A256))</f>
        <v/>
      </c>
      <c r="Y256" s="13" t="str">
        <f>IF($A256="","",[1]!thsiFinD("ths_adjustment_nv_fund",Y$3,$A256))</f>
        <v/>
      </c>
      <c r="Z256" s="13" t="str">
        <f>IF($A256="","",[1]!thsiFinD("ths_adjustment_nv_fund",Z$3,$A256))</f>
        <v/>
      </c>
      <c r="AA256" s="13" t="str">
        <f>IF($A256="","",[1]!thsiFinD("ths_adjustment_nv_fund",AA$3,$A256))</f>
        <v/>
      </c>
      <c r="AB256" s="13">
        <f>IF($A256="","",[1]!thsiFinD("ths_adjustment_nv_fund",AB$3,$A256))</f>
        <v/>
      </c>
      <c r="AC256" s="13">
        <f>IF($A256="","",[1]!thsiFinD("ths_adjustment_nv_fund",AC$3,$A256))</f>
        <v/>
      </c>
      <c r="AD256" s="13">
        <f>IF($A256="","",[1]!thsiFinD("ths_adjustment_nv_fund",AD$3,$A256))</f>
        <v/>
      </c>
      <c r="AE256" s="13">
        <f>IF($A256="","",[1]!thsiFinD("ths_adjustment_nv_fund",AE$3,$A256))</f>
        <v/>
      </c>
      <c r="AF256" s="13">
        <f>IF($A256="","",[1]!thsiFinD("ths_adjustment_nv_fund",AF$3,$A256))</f>
        <v/>
      </c>
      <c r="AG256" s="13">
        <f>IF($A256="","",[1]!thsiFinD("ths_adjustment_nv_fund",AG$3,$A256))</f>
        <v/>
      </c>
      <c r="AH256" s="13">
        <f>IF($A256="","",[1]!thsiFinD("ths_adjustment_nv_fund",AH$3,$A256))</f>
        <v/>
      </c>
      <c r="AI256" s="13">
        <f>IF($A256="","",[1]!thsiFinD("ths_adjustment_nv_fund",AI$3,$A256))</f>
        <v/>
      </c>
      <c r="AJ256" s="13">
        <f>IF($A256="","",[1]!thsiFinD("ths_adjustment_nv_fund",AJ$3,$A256))</f>
        <v/>
      </c>
      <c r="AK256" s="13">
        <f>IF($A256="","",[1]!thsiFinD("ths_adjustment_nv_fund",AK$3,$A256))</f>
        <v/>
      </c>
      <c r="AL256" s="13">
        <f>IF($A256="","",[1]!thsiFinD("ths_adjustment_nv_fund",AL$3,$A256))</f>
        <v/>
      </c>
    </row>
    <row r="257" spans="2:28">
      <c r="B257" s="13" t="str">
        <f>IF($A257="","",[1]!thsiFinD("ths_adjustment_nv_fund",B$3,$A257))</f>
        <v/>
      </c>
      <c r="C257" s="13" t="str">
        <f>IF($A257="","",[1]!thsiFinD("ths_adjustment_nv_fund",C$3,$A257))</f>
        <v/>
      </c>
      <c r="D257" s="13" t="str">
        <f>IF($A257="","",[1]!thsiFinD("ths_adjustment_nv_fund",D$3,$A257))</f>
        <v/>
      </c>
      <c r="E257" s="13" t="str">
        <f>IF($A257="","",[1]!thsiFinD("ths_adjustment_nv_fund",E$3,$A257))</f>
        <v/>
      </c>
      <c r="F257" s="13" t="str">
        <f>IF($A257="","",[1]!thsiFinD("ths_adjustment_nv_fund",F$3,$A257))</f>
        <v/>
      </c>
      <c r="G257" s="13" t="str">
        <f>IF($A257="","",[1]!thsiFinD("ths_adjustment_nv_fund",G$3,$A257))</f>
        <v/>
      </c>
      <c r="H257" s="13" t="str">
        <f>IF($A257="","",[1]!thsiFinD("ths_adjustment_nv_fund",H$3,$A257))</f>
        <v/>
      </c>
      <c r="I257" s="13" t="str">
        <f>IF($A257="","",[1]!thsiFinD("ths_adjustment_nv_fund",I$3,$A257))</f>
        <v/>
      </c>
      <c r="J257" s="13" t="str">
        <f>IF($A257="","",[1]!thsiFinD("ths_adjustment_nv_fund",J$3,$A257))</f>
        <v/>
      </c>
      <c r="K257" s="13" t="str">
        <f>IF($A257="","",[1]!thsiFinD("ths_adjustment_nv_fund",K$3,$A257))</f>
        <v/>
      </c>
      <c r="L257" s="13" t="str">
        <f>IF($A257="","",[1]!thsiFinD("ths_adjustment_nv_fund",L$3,$A257))</f>
        <v/>
      </c>
      <c r="M257" s="13" t="str">
        <f>IF($A257="","",[1]!thsiFinD("ths_adjustment_nv_fund",M$3,$A257))</f>
        <v/>
      </c>
      <c r="N257" s="13" t="str">
        <f>IF($A257="","",[1]!thsiFinD("ths_adjustment_nv_fund",N$3,$A257))</f>
        <v/>
      </c>
      <c r="O257" s="13" t="str">
        <f>IF($A257="","",[1]!thsiFinD("ths_adjustment_nv_fund",O$3,$A257))</f>
        <v/>
      </c>
      <c r="P257" s="13" t="str">
        <f>IF($A257="","",[1]!thsiFinD("ths_adjustment_nv_fund",P$3,$A257))</f>
        <v/>
      </c>
      <c r="Q257" s="13" t="str">
        <f>IF($A257="","",[1]!thsiFinD("ths_adjustment_nv_fund",Q$3,$A257))</f>
        <v/>
      </c>
      <c r="R257" s="13" t="str">
        <f>IF($A257="","",[1]!thsiFinD("ths_adjustment_nv_fund",R$3,$A257))</f>
        <v/>
      </c>
      <c r="S257" s="13" t="str">
        <f>IF($A257="","",[1]!thsiFinD("ths_adjustment_nv_fund",S$3,$A257))</f>
        <v/>
      </c>
      <c r="T257" s="13" t="str">
        <f>IF($A257="","",[1]!thsiFinD("ths_adjustment_nv_fund",T$3,$A257))</f>
        <v/>
      </c>
      <c r="U257" s="13" t="str">
        <f>IF($A257="","",[1]!thsiFinD("ths_adjustment_nv_fund",U$3,$A257))</f>
        <v/>
      </c>
      <c r="V257" s="13" t="str">
        <f>IF($A257="","",[1]!thsiFinD("ths_adjustment_nv_fund",V$3,$A257))</f>
        <v/>
      </c>
      <c r="W257" s="13" t="str">
        <f>IF($A257="","",[1]!thsiFinD("ths_adjustment_nv_fund",W$3,$A257))</f>
        <v/>
      </c>
      <c r="X257" s="13" t="str">
        <f>IF($A257="","",[1]!thsiFinD("ths_adjustment_nv_fund",X$3,$A257))</f>
        <v/>
      </c>
      <c r="Y257" s="13" t="str">
        <f>IF($A257="","",[1]!thsiFinD("ths_adjustment_nv_fund",Y$3,$A257))</f>
        <v/>
      </c>
      <c r="Z257" s="13" t="str">
        <f>IF($A257="","",[1]!thsiFinD("ths_adjustment_nv_fund",Z$3,$A257))</f>
        <v/>
      </c>
      <c r="AA257" s="13" t="str">
        <f>IF($A257="","",[1]!thsiFinD("ths_adjustment_nv_fund",AA$3,$A257))</f>
        <v/>
      </c>
      <c r="AB257" s="13">
        <f>IF($A257="","",[1]!thsiFinD("ths_adjustment_nv_fund",AB$3,$A257))</f>
        <v/>
      </c>
      <c r="AC257" s="13">
        <f>IF($A257="","",[1]!thsiFinD("ths_adjustment_nv_fund",AC$3,$A257))</f>
        <v/>
      </c>
      <c r="AD257" s="13">
        <f>IF($A257="","",[1]!thsiFinD("ths_adjustment_nv_fund",AD$3,$A257))</f>
        <v/>
      </c>
      <c r="AE257" s="13">
        <f>IF($A257="","",[1]!thsiFinD("ths_adjustment_nv_fund",AE$3,$A257))</f>
        <v/>
      </c>
      <c r="AF257" s="13">
        <f>IF($A257="","",[1]!thsiFinD("ths_adjustment_nv_fund",AF$3,$A257))</f>
        <v/>
      </c>
      <c r="AG257" s="13">
        <f>IF($A257="","",[1]!thsiFinD("ths_adjustment_nv_fund",AG$3,$A257))</f>
        <v/>
      </c>
      <c r="AH257" s="13">
        <f>IF($A257="","",[1]!thsiFinD("ths_adjustment_nv_fund",AH$3,$A257))</f>
        <v/>
      </c>
      <c r="AI257" s="13">
        <f>IF($A257="","",[1]!thsiFinD("ths_adjustment_nv_fund",AI$3,$A257))</f>
        <v/>
      </c>
      <c r="AJ257" s="13">
        <f>IF($A257="","",[1]!thsiFinD("ths_adjustment_nv_fund",AJ$3,$A257))</f>
        <v/>
      </c>
      <c r="AK257" s="13">
        <f>IF($A257="","",[1]!thsiFinD("ths_adjustment_nv_fund",AK$3,$A257))</f>
        <v/>
      </c>
      <c r="AL257" s="13">
        <f>IF($A257="","",[1]!thsiFinD("ths_adjustment_nv_fund",AL$3,$A257))</f>
        <v/>
      </c>
    </row>
    <row r="258" spans="2:28">
      <c r="B258" s="13" t="str">
        <f>IF($A258="","",[1]!thsiFinD("ths_adjustment_nv_fund",B$3,$A258))</f>
        <v/>
      </c>
      <c r="C258" s="13" t="str">
        <f>IF($A258="","",[1]!thsiFinD("ths_adjustment_nv_fund",C$3,$A258))</f>
        <v/>
      </c>
      <c r="D258" s="13" t="str">
        <f>IF($A258="","",[1]!thsiFinD("ths_adjustment_nv_fund",D$3,$A258))</f>
        <v/>
      </c>
      <c r="E258" s="13" t="str">
        <f>IF($A258="","",[1]!thsiFinD("ths_adjustment_nv_fund",E$3,$A258))</f>
        <v/>
      </c>
      <c r="F258" s="13" t="str">
        <f>IF($A258="","",[1]!thsiFinD("ths_adjustment_nv_fund",F$3,$A258))</f>
        <v/>
      </c>
      <c r="G258" s="13" t="str">
        <f>IF($A258="","",[1]!thsiFinD("ths_adjustment_nv_fund",G$3,$A258))</f>
        <v/>
      </c>
      <c r="H258" s="13" t="str">
        <f>IF($A258="","",[1]!thsiFinD("ths_adjustment_nv_fund",H$3,$A258))</f>
        <v/>
      </c>
      <c r="I258" s="13" t="str">
        <f>IF($A258="","",[1]!thsiFinD("ths_adjustment_nv_fund",I$3,$A258))</f>
        <v/>
      </c>
      <c r="J258" s="13" t="str">
        <f>IF($A258="","",[1]!thsiFinD("ths_adjustment_nv_fund",J$3,$A258))</f>
        <v/>
      </c>
      <c r="K258" s="13" t="str">
        <f>IF($A258="","",[1]!thsiFinD("ths_adjustment_nv_fund",K$3,$A258))</f>
        <v/>
      </c>
      <c r="L258" s="13" t="str">
        <f>IF($A258="","",[1]!thsiFinD("ths_adjustment_nv_fund",L$3,$A258))</f>
        <v/>
      </c>
      <c r="M258" s="13" t="str">
        <f>IF($A258="","",[1]!thsiFinD("ths_adjustment_nv_fund",M$3,$A258))</f>
        <v/>
      </c>
      <c r="N258" s="13" t="str">
        <f>IF($A258="","",[1]!thsiFinD("ths_adjustment_nv_fund",N$3,$A258))</f>
        <v/>
      </c>
      <c r="O258" s="13" t="str">
        <f>IF($A258="","",[1]!thsiFinD("ths_adjustment_nv_fund",O$3,$A258))</f>
        <v/>
      </c>
      <c r="P258" s="13" t="str">
        <f>IF($A258="","",[1]!thsiFinD("ths_adjustment_nv_fund",P$3,$A258))</f>
        <v/>
      </c>
      <c r="Q258" s="13" t="str">
        <f>IF($A258="","",[1]!thsiFinD("ths_adjustment_nv_fund",Q$3,$A258))</f>
        <v/>
      </c>
      <c r="R258" s="13" t="str">
        <f>IF($A258="","",[1]!thsiFinD("ths_adjustment_nv_fund",R$3,$A258))</f>
        <v/>
      </c>
      <c r="S258" s="13" t="str">
        <f>IF($A258="","",[1]!thsiFinD("ths_adjustment_nv_fund",S$3,$A258))</f>
        <v/>
      </c>
      <c r="T258" s="13" t="str">
        <f>IF($A258="","",[1]!thsiFinD("ths_adjustment_nv_fund",T$3,$A258))</f>
        <v/>
      </c>
      <c r="U258" s="13" t="str">
        <f>IF($A258="","",[1]!thsiFinD("ths_adjustment_nv_fund",U$3,$A258))</f>
        <v/>
      </c>
      <c r="V258" s="13" t="str">
        <f>IF($A258="","",[1]!thsiFinD("ths_adjustment_nv_fund",V$3,$A258))</f>
        <v/>
      </c>
      <c r="W258" s="13" t="str">
        <f>IF($A258="","",[1]!thsiFinD("ths_adjustment_nv_fund",W$3,$A258))</f>
        <v/>
      </c>
      <c r="X258" s="13" t="str">
        <f>IF($A258="","",[1]!thsiFinD("ths_adjustment_nv_fund",X$3,$A258))</f>
        <v/>
      </c>
      <c r="Y258" s="13" t="str">
        <f>IF($A258="","",[1]!thsiFinD("ths_adjustment_nv_fund",Y$3,$A258))</f>
        <v/>
      </c>
      <c r="Z258" s="13" t="str">
        <f>IF($A258="","",[1]!thsiFinD("ths_adjustment_nv_fund",Z$3,$A258))</f>
        <v/>
      </c>
      <c r="AA258" s="13" t="str">
        <f>IF($A258="","",[1]!thsiFinD("ths_adjustment_nv_fund",AA$3,$A258))</f>
        <v/>
      </c>
      <c r="AB258" s="13">
        <f>IF($A258="","",[1]!thsiFinD("ths_adjustment_nv_fund",AB$3,$A258))</f>
        <v/>
      </c>
      <c r="AC258" s="13">
        <f>IF($A258="","",[1]!thsiFinD("ths_adjustment_nv_fund",AC$3,$A258))</f>
        <v/>
      </c>
      <c r="AD258" s="13">
        <f>IF($A258="","",[1]!thsiFinD("ths_adjustment_nv_fund",AD$3,$A258))</f>
        <v/>
      </c>
      <c r="AE258" s="13">
        <f>IF($A258="","",[1]!thsiFinD("ths_adjustment_nv_fund",AE$3,$A258))</f>
        <v/>
      </c>
      <c r="AF258" s="13">
        <f>IF($A258="","",[1]!thsiFinD("ths_adjustment_nv_fund",AF$3,$A258))</f>
        <v/>
      </c>
      <c r="AG258" s="13">
        <f>IF($A258="","",[1]!thsiFinD("ths_adjustment_nv_fund",AG$3,$A258))</f>
        <v/>
      </c>
      <c r="AH258" s="13">
        <f>IF($A258="","",[1]!thsiFinD("ths_adjustment_nv_fund",AH$3,$A258))</f>
        <v/>
      </c>
      <c r="AI258" s="13">
        <f>IF($A258="","",[1]!thsiFinD("ths_adjustment_nv_fund",AI$3,$A258))</f>
        <v/>
      </c>
      <c r="AJ258" s="13">
        <f>IF($A258="","",[1]!thsiFinD("ths_adjustment_nv_fund",AJ$3,$A258))</f>
        <v/>
      </c>
      <c r="AK258" s="13">
        <f>IF($A258="","",[1]!thsiFinD("ths_adjustment_nv_fund",AK$3,$A258))</f>
        <v/>
      </c>
      <c r="AL258" s="13">
        <f>IF($A258="","",[1]!thsiFinD("ths_adjustment_nv_fund",AL$3,$A258))</f>
        <v/>
      </c>
    </row>
    <row r="259" spans="2:28">
      <c r="B259" s="13" t="str">
        <f>IF($A259="","",[1]!thsiFinD("ths_adjustment_nv_fund",B$3,$A259))</f>
        <v/>
      </c>
      <c r="C259" s="13" t="str">
        <f>IF($A259="","",[1]!thsiFinD("ths_adjustment_nv_fund",C$3,$A259))</f>
        <v/>
      </c>
      <c r="D259" s="13" t="str">
        <f>IF($A259="","",[1]!thsiFinD("ths_adjustment_nv_fund",D$3,$A259))</f>
        <v/>
      </c>
      <c r="E259" s="13" t="str">
        <f>IF($A259="","",[1]!thsiFinD("ths_adjustment_nv_fund",E$3,$A259))</f>
        <v/>
      </c>
      <c r="F259" s="13" t="str">
        <f>IF($A259="","",[1]!thsiFinD("ths_adjustment_nv_fund",F$3,$A259))</f>
        <v/>
      </c>
      <c r="G259" s="13" t="str">
        <f>IF($A259="","",[1]!thsiFinD("ths_adjustment_nv_fund",G$3,$A259))</f>
        <v/>
      </c>
      <c r="H259" s="13" t="str">
        <f>IF($A259="","",[1]!thsiFinD("ths_adjustment_nv_fund",H$3,$A259))</f>
        <v/>
      </c>
      <c r="I259" s="13" t="str">
        <f>IF($A259="","",[1]!thsiFinD("ths_adjustment_nv_fund",I$3,$A259))</f>
        <v/>
      </c>
      <c r="J259" s="13" t="str">
        <f>IF($A259="","",[1]!thsiFinD("ths_adjustment_nv_fund",J$3,$A259))</f>
        <v/>
      </c>
      <c r="K259" s="13" t="str">
        <f>IF($A259="","",[1]!thsiFinD("ths_adjustment_nv_fund",K$3,$A259))</f>
        <v/>
      </c>
      <c r="L259" s="13" t="str">
        <f>IF($A259="","",[1]!thsiFinD("ths_adjustment_nv_fund",L$3,$A259))</f>
        <v/>
      </c>
      <c r="M259" s="13" t="str">
        <f>IF($A259="","",[1]!thsiFinD("ths_adjustment_nv_fund",M$3,$A259))</f>
        <v/>
      </c>
      <c r="N259" s="13" t="str">
        <f>IF($A259="","",[1]!thsiFinD("ths_adjustment_nv_fund",N$3,$A259))</f>
        <v/>
      </c>
      <c r="O259" s="13" t="str">
        <f>IF($A259="","",[1]!thsiFinD("ths_adjustment_nv_fund",O$3,$A259))</f>
        <v/>
      </c>
      <c r="P259" s="13" t="str">
        <f>IF($A259="","",[1]!thsiFinD("ths_adjustment_nv_fund",P$3,$A259))</f>
        <v/>
      </c>
      <c r="Q259" s="13" t="str">
        <f>IF($A259="","",[1]!thsiFinD("ths_adjustment_nv_fund",Q$3,$A259))</f>
        <v/>
      </c>
      <c r="R259" s="13" t="str">
        <f>IF($A259="","",[1]!thsiFinD("ths_adjustment_nv_fund",R$3,$A259))</f>
        <v/>
      </c>
      <c r="S259" s="13" t="str">
        <f>IF($A259="","",[1]!thsiFinD("ths_adjustment_nv_fund",S$3,$A259))</f>
        <v/>
      </c>
      <c r="T259" s="13" t="str">
        <f>IF($A259="","",[1]!thsiFinD("ths_adjustment_nv_fund",T$3,$A259))</f>
        <v/>
      </c>
      <c r="U259" s="13" t="str">
        <f>IF($A259="","",[1]!thsiFinD("ths_adjustment_nv_fund",U$3,$A259))</f>
        <v/>
      </c>
      <c r="V259" s="13" t="str">
        <f>IF($A259="","",[1]!thsiFinD("ths_adjustment_nv_fund",V$3,$A259))</f>
        <v/>
      </c>
      <c r="W259" s="13" t="str">
        <f>IF($A259="","",[1]!thsiFinD("ths_adjustment_nv_fund",W$3,$A259))</f>
        <v/>
      </c>
      <c r="X259" s="13" t="str">
        <f>IF($A259="","",[1]!thsiFinD("ths_adjustment_nv_fund",X$3,$A259))</f>
        <v/>
      </c>
      <c r="Y259" s="13" t="str">
        <f>IF($A259="","",[1]!thsiFinD("ths_adjustment_nv_fund",Y$3,$A259))</f>
        <v/>
      </c>
      <c r="Z259" s="13" t="str">
        <f>IF($A259="","",[1]!thsiFinD("ths_adjustment_nv_fund",Z$3,$A259))</f>
        <v/>
      </c>
      <c r="AA259" s="13" t="str">
        <f>IF($A259="","",[1]!thsiFinD("ths_adjustment_nv_fund",AA$3,$A259))</f>
        <v/>
      </c>
      <c r="AB259" s="13">
        <f>IF($A259="","",[1]!thsiFinD("ths_adjustment_nv_fund",AB$3,$A259))</f>
        <v/>
      </c>
      <c r="AC259" s="13">
        <f>IF($A259="","",[1]!thsiFinD("ths_adjustment_nv_fund",AC$3,$A259))</f>
        <v/>
      </c>
      <c r="AD259" s="13">
        <f>IF($A259="","",[1]!thsiFinD("ths_adjustment_nv_fund",AD$3,$A259))</f>
        <v/>
      </c>
      <c r="AE259" s="13">
        <f>IF($A259="","",[1]!thsiFinD("ths_adjustment_nv_fund",AE$3,$A259))</f>
        <v/>
      </c>
      <c r="AF259" s="13">
        <f>IF($A259="","",[1]!thsiFinD("ths_adjustment_nv_fund",AF$3,$A259))</f>
        <v/>
      </c>
      <c r="AG259" s="13">
        <f>IF($A259="","",[1]!thsiFinD("ths_adjustment_nv_fund",AG$3,$A259))</f>
        <v/>
      </c>
      <c r="AH259" s="13">
        <f>IF($A259="","",[1]!thsiFinD("ths_adjustment_nv_fund",AH$3,$A259))</f>
        <v/>
      </c>
      <c r="AI259" s="13">
        <f>IF($A259="","",[1]!thsiFinD("ths_adjustment_nv_fund",AI$3,$A259))</f>
        <v/>
      </c>
      <c r="AJ259" s="13">
        <f>IF($A259="","",[1]!thsiFinD("ths_adjustment_nv_fund",AJ$3,$A259))</f>
        <v/>
      </c>
      <c r="AK259" s="13">
        <f>IF($A259="","",[1]!thsiFinD("ths_adjustment_nv_fund",AK$3,$A259))</f>
        <v/>
      </c>
      <c r="AL259" s="13">
        <f>IF($A259="","",[1]!thsiFinD("ths_adjustment_nv_fund",AL$3,$A259))</f>
        <v/>
      </c>
    </row>
    <row r="260" spans="2:28">
      <c r="B260" s="13" t="str">
        <f>IF($A260="","",[1]!thsiFinD("ths_adjustment_nv_fund",B$3,$A260))</f>
        <v/>
      </c>
      <c r="C260" s="13" t="str">
        <f>IF($A260="","",[1]!thsiFinD("ths_adjustment_nv_fund",C$3,$A260))</f>
        <v/>
      </c>
      <c r="D260" s="13" t="str">
        <f>IF($A260="","",[1]!thsiFinD("ths_adjustment_nv_fund",D$3,$A260))</f>
        <v/>
      </c>
      <c r="E260" s="13" t="str">
        <f>IF($A260="","",[1]!thsiFinD("ths_adjustment_nv_fund",E$3,$A260))</f>
        <v/>
      </c>
      <c r="F260" s="13" t="str">
        <f>IF($A260="","",[1]!thsiFinD("ths_adjustment_nv_fund",F$3,$A260))</f>
        <v/>
      </c>
      <c r="G260" s="13" t="str">
        <f>IF($A260="","",[1]!thsiFinD("ths_adjustment_nv_fund",G$3,$A260))</f>
        <v/>
      </c>
      <c r="H260" s="13" t="str">
        <f>IF($A260="","",[1]!thsiFinD("ths_adjustment_nv_fund",H$3,$A260))</f>
        <v/>
      </c>
      <c r="I260" s="13" t="str">
        <f>IF($A260="","",[1]!thsiFinD("ths_adjustment_nv_fund",I$3,$A260))</f>
        <v/>
      </c>
      <c r="J260" s="13" t="str">
        <f>IF($A260="","",[1]!thsiFinD("ths_adjustment_nv_fund",J$3,$A260))</f>
        <v/>
      </c>
      <c r="K260" s="13" t="str">
        <f>IF($A260="","",[1]!thsiFinD("ths_adjustment_nv_fund",K$3,$A260))</f>
        <v/>
      </c>
      <c r="L260" s="13" t="str">
        <f>IF($A260="","",[1]!thsiFinD("ths_adjustment_nv_fund",L$3,$A260))</f>
        <v/>
      </c>
      <c r="M260" s="13" t="str">
        <f>IF($A260="","",[1]!thsiFinD("ths_adjustment_nv_fund",M$3,$A260))</f>
        <v/>
      </c>
      <c r="N260" s="13" t="str">
        <f>IF($A260="","",[1]!thsiFinD("ths_adjustment_nv_fund",N$3,$A260))</f>
        <v/>
      </c>
      <c r="O260" s="13" t="str">
        <f>IF($A260="","",[1]!thsiFinD("ths_adjustment_nv_fund",O$3,$A260))</f>
        <v/>
      </c>
      <c r="P260" s="13" t="str">
        <f>IF($A260="","",[1]!thsiFinD("ths_adjustment_nv_fund",P$3,$A260))</f>
        <v/>
      </c>
      <c r="Q260" s="13" t="str">
        <f>IF($A260="","",[1]!thsiFinD("ths_adjustment_nv_fund",Q$3,$A260))</f>
        <v/>
      </c>
      <c r="R260" s="13" t="str">
        <f>IF($A260="","",[1]!thsiFinD("ths_adjustment_nv_fund",R$3,$A260))</f>
        <v/>
      </c>
      <c r="S260" s="13" t="str">
        <f>IF($A260="","",[1]!thsiFinD("ths_adjustment_nv_fund",S$3,$A260))</f>
        <v/>
      </c>
      <c r="T260" s="13" t="str">
        <f>IF($A260="","",[1]!thsiFinD("ths_adjustment_nv_fund",T$3,$A260))</f>
        <v/>
      </c>
      <c r="U260" s="13" t="str">
        <f>IF($A260="","",[1]!thsiFinD("ths_adjustment_nv_fund",U$3,$A260))</f>
        <v/>
      </c>
      <c r="V260" s="13" t="str">
        <f>IF($A260="","",[1]!thsiFinD("ths_adjustment_nv_fund",V$3,$A260))</f>
        <v/>
      </c>
      <c r="W260" s="13" t="str">
        <f>IF($A260="","",[1]!thsiFinD("ths_adjustment_nv_fund",W$3,$A260))</f>
        <v/>
      </c>
      <c r="X260" s="13" t="str">
        <f>IF($A260="","",[1]!thsiFinD("ths_adjustment_nv_fund",X$3,$A260))</f>
        <v/>
      </c>
      <c r="Y260" s="13" t="str">
        <f>IF($A260="","",[1]!thsiFinD("ths_adjustment_nv_fund",Y$3,$A260))</f>
        <v/>
      </c>
      <c r="Z260" s="13" t="str">
        <f>IF($A260="","",[1]!thsiFinD("ths_adjustment_nv_fund",Z$3,$A260))</f>
        <v/>
      </c>
      <c r="AA260" s="13" t="str">
        <f>IF($A260="","",[1]!thsiFinD("ths_adjustment_nv_fund",AA$3,$A260))</f>
        <v/>
      </c>
      <c r="AB260" s="13">
        <f>IF($A260="","",[1]!thsiFinD("ths_adjustment_nv_fund",AB$3,$A260))</f>
        <v/>
      </c>
      <c r="AC260" s="13">
        <f>IF($A260="","",[1]!thsiFinD("ths_adjustment_nv_fund",AC$3,$A260))</f>
        <v/>
      </c>
      <c r="AD260" s="13">
        <f>IF($A260="","",[1]!thsiFinD("ths_adjustment_nv_fund",AD$3,$A260))</f>
        <v/>
      </c>
      <c r="AE260" s="13">
        <f>IF($A260="","",[1]!thsiFinD("ths_adjustment_nv_fund",AE$3,$A260))</f>
        <v/>
      </c>
      <c r="AF260" s="13">
        <f>IF($A260="","",[1]!thsiFinD("ths_adjustment_nv_fund",AF$3,$A260))</f>
        <v/>
      </c>
      <c r="AG260" s="13">
        <f>IF($A260="","",[1]!thsiFinD("ths_adjustment_nv_fund",AG$3,$A260))</f>
        <v/>
      </c>
      <c r="AH260" s="13">
        <f>IF($A260="","",[1]!thsiFinD("ths_adjustment_nv_fund",AH$3,$A260))</f>
        <v/>
      </c>
      <c r="AI260" s="13">
        <f>IF($A260="","",[1]!thsiFinD("ths_adjustment_nv_fund",AI$3,$A260))</f>
        <v/>
      </c>
      <c r="AJ260" s="13">
        <f>IF($A260="","",[1]!thsiFinD("ths_adjustment_nv_fund",AJ$3,$A260))</f>
        <v/>
      </c>
      <c r="AK260" s="13">
        <f>IF($A260="","",[1]!thsiFinD("ths_adjustment_nv_fund",AK$3,$A260))</f>
        <v/>
      </c>
      <c r="AL260" s="13">
        <f>IF($A260="","",[1]!thsiFinD("ths_adjustment_nv_fund",AL$3,$A260))</f>
        <v/>
      </c>
    </row>
    <row r="261" spans="2:28">
      <c r="B261" s="13" t="str">
        <f>IF($A261="","",[1]!thsiFinD("ths_adjustment_nv_fund",B$3,$A261))</f>
        <v/>
      </c>
      <c r="C261" s="13" t="str">
        <f>IF($A261="","",[1]!thsiFinD("ths_adjustment_nv_fund",C$3,$A261))</f>
        <v/>
      </c>
      <c r="D261" s="13" t="str">
        <f>IF($A261="","",[1]!thsiFinD("ths_adjustment_nv_fund",D$3,$A261))</f>
        <v/>
      </c>
      <c r="E261" s="13" t="str">
        <f>IF($A261="","",[1]!thsiFinD("ths_adjustment_nv_fund",E$3,$A261))</f>
        <v/>
      </c>
      <c r="F261" s="13" t="str">
        <f>IF($A261="","",[1]!thsiFinD("ths_adjustment_nv_fund",F$3,$A261))</f>
        <v/>
      </c>
      <c r="G261" s="13" t="str">
        <f>IF($A261="","",[1]!thsiFinD("ths_adjustment_nv_fund",G$3,$A261))</f>
        <v/>
      </c>
      <c r="H261" s="13" t="str">
        <f>IF($A261="","",[1]!thsiFinD("ths_adjustment_nv_fund",H$3,$A261))</f>
        <v/>
      </c>
      <c r="I261" s="13" t="str">
        <f>IF($A261="","",[1]!thsiFinD("ths_adjustment_nv_fund",I$3,$A261))</f>
        <v/>
      </c>
      <c r="J261" s="13" t="str">
        <f>IF($A261="","",[1]!thsiFinD("ths_adjustment_nv_fund",J$3,$A261))</f>
        <v/>
      </c>
      <c r="K261" s="13" t="str">
        <f>IF($A261="","",[1]!thsiFinD("ths_adjustment_nv_fund",K$3,$A261))</f>
        <v/>
      </c>
      <c r="L261" s="13" t="str">
        <f>IF($A261="","",[1]!thsiFinD("ths_adjustment_nv_fund",L$3,$A261))</f>
        <v/>
      </c>
      <c r="M261" s="13" t="str">
        <f>IF($A261="","",[1]!thsiFinD("ths_adjustment_nv_fund",M$3,$A261))</f>
        <v/>
      </c>
      <c r="N261" s="13" t="str">
        <f>IF($A261="","",[1]!thsiFinD("ths_adjustment_nv_fund",N$3,$A261))</f>
        <v/>
      </c>
      <c r="O261" s="13" t="str">
        <f>IF($A261="","",[1]!thsiFinD("ths_adjustment_nv_fund",O$3,$A261))</f>
        <v/>
      </c>
      <c r="P261" s="13" t="str">
        <f>IF($A261="","",[1]!thsiFinD("ths_adjustment_nv_fund",P$3,$A261))</f>
        <v/>
      </c>
      <c r="Q261" s="13" t="str">
        <f>IF($A261="","",[1]!thsiFinD("ths_adjustment_nv_fund",Q$3,$A261))</f>
        <v/>
      </c>
      <c r="R261" s="13" t="str">
        <f>IF($A261="","",[1]!thsiFinD("ths_adjustment_nv_fund",R$3,$A261))</f>
        <v/>
      </c>
      <c r="S261" s="13" t="str">
        <f>IF($A261="","",[1]!thsiFinD("ths_adjustment_nv_fund",S$3,$A261))</f>
        <v/>
      </c>
      <c r="T261" s="13" t="str">
        <f>IF($A261="","",[1]!thsiFinD("ths_adjustment_nv_fund",T$3,$A261))</f>
        <v/>
      </c>
      <c r="U261" s="13" t="str">
        <f>IF($A261="","",[1]!thsiFinD("ths_adjustment_nv_fund",U$3,$A261))</f>
        <v/>
      </c>
      <c r="V261" s="13" t="str">
        <f>IF($A261="","",[1]!thsiFinD("ths_adjustment_nv_fund",V$3,$A261))</f>
        <v/>
      </c>
      <c r="W261" s="13" t="str">
        <f>IF($A261="","",[1]!thsiFinD("ths_adjustment_nv_fund",W$3,$A261))</f>
        <v/>
      </c>
      <c r="X261" s="13" t="str">
        <f>IF($A261="","",[1]!thsiFinD("ths_adjustment_nv_fund",X$3,$A261))</f>
        <v/>
      </c>
      <c r="Y261" s="13" t="str">
        <f>IF($A261="","",[1]!thsiFinD("ths_adjustment_nv_fund",Y$3,$A261))</f>
        <v/>
      </c>
      <c r="Z261" s="13" t="str">
        <f>IF($A261="","",[1]!thsiFinD("ths_adjustment_nv_fund",Z$3,$A261))</f>
        <v/>
      </c>
      <c r="AA261" s="13" t="str">
        <f>IF($A261="","",[1]!thsiFinD("ths_adjustment_nv_fund",AA$3,$A261))</f>
        <v/>
      </c>
      <c r="AB261" s="13">
        <f>IF($A261="","",[1]!thsiFinD("ths_adjustment_nv_fund",AB$3,$A261))</f>
        <v/>
      </c>
      <c r="AC261" s="13">
        <f>IF($A261="","",[1]!thsiFinD("ths_adjustment_nv_fund",AC$3,$A261))</f>
        <v/>
      </c>
      <c r="AD261" s="13">
        <f>IF($A261="","",[1]!thsiFinD("ths_adjustment_nv_fund",AD$3,$A261))</f>
        <v/>
      </c>
      <c r="AE261" s="13">
        <f>IF($A261="","",[1]!thsiFinD("ths_adjustment_nv_fund",AE$3,$A261))</f>
        <v/>
      </c>
      <c r="AF261" s="13">
        <f>IF($A261="","",[1]!thsiFinD("ths_adjustment_nv_fund",AF$3,$A261))</f>
        <v/>
      </c>
      <c r="AG261" s="13">
        <f>IF($A261="","",[1]!thsiFinD("ths_adjustment_nv_fund",AG$3,$A261))</f>
        <v/>
      </c>
      <c r="AH261" s="13">
        <f>IF($A261="","",[1]!thsiFinD("ths_adjustment_nv_fund",AH$3,$A261))</f>
        <v/>
      </c>
      <c r="AI261" s="13">
        <f>IF($A261="","",[1]!thsiFinD("ths_adjustment_nv_fund",AI$3,$A261))</f>
        <v/>
      </c>
      <c r="AJ261" s="13">
        <f>IF($A261="","",[1]!thsiFinD("ths_adjustment_nv_fund",AJ$3,$A261))</f>
        <v/>
      </c>
      <c r="AK261" s="13">
        <f>IF($A261="","",[1]!thsiFinD("ths_adjustment_nv_fund",AK$3,$A261))</f>
        <v/>
      </c>
      <c r="AL261" s="13">
        <f>IF($A261="","",[1]!thsiFinD("ths_adjustment_nv_fund",AL$3,$A261))</f>
        <v/>
      </c>
    </row>
    <row r="262" spans="2:28">
      <c r="B262" s="13" t="str">
        <f>IF($A262="","",[1]!thsiFinD("ths_adjustment_nv_fund",B$3,$A262))</f>
        <v/>
      </c>
      <c r="C262" s="13" t="str">
        <f>IF($A262="","",[1]!thsiFinD("ths_adjustment_nv_fund",C$3,$A262))</f>
        <v/>
      </c>
      <c r="D262" s="13" t="str">
        <f>IF($A262="","",[1]!thsiFinD("ths_adjustment_nv_fund",D$3,$A262))</f>
        <v/>
      </c>
      <c r="E262" s="13" t="str">
        <f>IF($A262="","",[1]!thsiFinD("ths_adjustment_nv_fund",E$3,$A262))</f>
        <v/>
      </c>
      <c r="F262" s="13" t="str">
        <f>IF($A262="","",[1]!thsiFinD("ths_adjustment_nv_fund",F$3,$A262))</f>
        <v/>
      </c>
      <c r="G262" s="13" t="str">
        <f>IF($A262="","",[1]!thsiFinD("ths_adjustment_nv_fund",G$3,$A262))</f>
        <v/>
      </c>
      <c r="H262" s="13" t="str">
        <f>IF($A262="","",[1]!thsiFinD("ths_adjustment_nv_fund",H$3,$A262))</f>
        <v/>
      </c>
      <c r="I262" s="13" t="str">
        <f>IF($A262="","",[1]!thsiFinD("ths_adjustment_nv_fund",I$3,$A262))</f>
        <v/>
      </c>
      <c r="J262" s="13" t="str">
        <f>IF($A262="","",[1]!thsiFinD("ths_adjustment_nv_fund",J$3,$A262))</f>
        <v/>
      </c>
      <c r="K262" s="13" t="str">
        <f>IF($A262="","",[1]!thsiFinD("ths_adjustment_nv_fund",K$3,$A262))</f>
        <v/>
      </c>
      <c r="L262" s="13" t="str">
        <f>IF($A262="","",[1]!thsiFinD("ths_adjustment_nv_fund",L$3,$A262))</f>
        <v/>
      </c>
      <c r="M262" s="13" t="str">
        <f>IF($A262="","",[1]!thsiFinD("ths_adjustment_nv_fund",M$3,$A262))</f>
        <v/>
      </c>
      <c r="N262" s="13" t="str">
        <f>IF($A262="","",[1]!thsiFinD("ths_adjustment_nv_fund",N$3,$A262))</f>
        <v/>
      </c>
      <c r="O262" s="13" t="str">
        <f>IF($A262="","",[1]!thsiFinD("ths_adjustment_nv_fund",O$3,$A262))</f>
        <v/>
      </c>
      <c r="P262" s="13" t="str">
        <f>IF($A262="","",[1]!thsiFinD("ths_adjustment_nv_fund",P$3,$A262))</f>
        <v/>
      </c>
      <c r="Q262" s="13" t="str">
        <f>IF($A262="","",[1]!thsiFinD("ths_adjustment_nv_fund",Q$3,$A262))</f>
        <v/>
      </c>
      <c r="R262" s="13" t="str">
        <f>IF($A262="","",[1]!thsiFinD("ths_adjustment_nv_fund",R$3,$A262))</f>
        <v/>
      </c>
      <c r="S262" s="13" t="str">
        <f>IF($A262="","",[1]!thsiFinD("ths_adjustment_nv_fund",S$3,$A262))</f>
        <v/>
      </c>
      <c r="T262" s="13" t="str">
        <f>IF($A262="","",[1]!thsiFinD("ths_adjustment_nv_fund",T$3,$A262))</f>
        <v/>
      </c>
      <c r="U262" s="13" t="str">
        <f>IF($A262="","",[1]!thsiFinD("ths_adjustment_nv_fund",U$3,$A262))</f>
        <v/>
      </c>
      <c r="V262" s="13" t="str">
        <f>IF($A262="","",[1]!thsiFinD("ths_adjustment_nv_fund",V$3,$A262))</f>
        <v/>
      </c>
      <c r="W262" s="13" t="str">
        <f>IF($A262="","",[1]!thsiFinD("ths_adjustment_nv_fund",W$3,$A262))</f>
        <v/>
      </c>
      <c r="X262" s="13" t="str">
        <f>IF($A262="","",[1]!thsiFinD("ths_adjustment_nv_fund",X$3,$A262))</f>
        <v/>
      </c>
      <c r="Y262" s="13" t="str">
        <f>IF($A262="","",[1]!thsiFinD("ths_adjustment_nv_fund",Y$3,$A262))</f>
        <v/>
      </c>
      <c r="Z262" s="13" t="str">
        <f>IF($A262="","",[1]!thsiFinD("ths_adjustment_nv_fund",Z$3,$A262))</f>
        <v/>
      </c>
      <c r="AA262" s="13" t="str">
        <f>IF($A262="","",[1]!thsiFinD("ths_adjustment_nv_fund",AA$3,$A262))</f>
        <v/>
      </c>
      <c r="AB262" s="13">
        <f>IF($A262="","",[1]!thsiFinD("ths_adjustment_nv_fund",AB$3,$A262))</f>
        <v/>
      </c>
      <c r="AC262" s="13">
        <f>IF($A262="","",[1]!thsiFinD("ths_adjustment_nv_fund",AC$3,$A262))</f>
        <v/>
      </c>
      <c r="AD262" s="13">
        <f>IF($A262="","",[1]!thsiFinD("ths_adjustment_nv_fund",AD$3,$A262))</f>
        <v/>
      </c>
      <c r="AE262" s="13">
        <f>IF($A262="","",[1]!thsiFinD("ths_adjustment_nv_fund",AE$3,$A262))</f>
        <v/>
      </c>
      <c r="AF262" s="13">
        <f>IF($A262="","",[1]!thsiFinD("ths_adjustment_nv_fund",AF$3,$A262))</f>
        <v/>
      </c>
      <c r="AG262" s="13">
        <f>IF($A262="","",[1]!thsiFinD("ths_adjustment_nv_fund",AG$3,$A262))</f>
        <v/>
      </c>
      <c r="AH262" s="13">
        <f>IF($A262="","",[1]!thsiFinD("ths_adjustment_nv_fund",AH$3,$A262))</f>
        <v/>
      </c>
      <c r="AI262" s="13">
        <f>IF($A262="","",[1]!thsiFinD("ths_adjustment_nv_fund",AI$3,$A262))</f>
        <v/>
      </c>
      <c r="AJ262" s="13">
        <f>IF($A262="","",[1]!thsiFinD("ths_adjustment_nv_fund",AJ$3,$A262))</f>
        <v/>
      </c>
      <c r="AK262" s="13">
        <f>IF($A262="","",[1]!thsiFinD("ths_adjustment_nv_fund",AK$3,$A262))</f>
        <v/>
      </c>
      <c r="AL262" s="13">
        <f>IF($A262="","",[1]!thsiFinD("ths_adjustment_nv_fund",AL$3,$A262))</f>
        <v/>
      </c>
    </row>
    <row r="263" spans="2:28">
      <c r="B263" s="13" t="str">
        <f>IF($A263="","",[1]!thsiFinD("ths_adjustment_nv_fund",B$3,$A263))</f>
        <v/>
      </c>
      <c r="C263" s="13" t="str">
        <f>IF($A263="","",[1]!thsiFinD("ths_adjustment_nv_fund",C$3,$A263))</f>
        <v/>
      </c>
      <c r="D263" s="13" t="str">
        <f>IF($A263="","",[1]!thsiFinD("ths_adjustment_nv_fund",D$3,$A263))</f>
        <v/>
      </c>
      <c r="E263" s="13" t="str">
        <f>IF($A263="","",[1]!thsiFinD("ths_adjustment_nv_fund",E$3,$A263))</f>
        <v/>
      </c>
      <c r="F263" s="13" t="str">
        <f>IF($A263="","",[1]!thsiFinD("ths_adjustment_nv_fund",F$3,$A263))</f>
        <v/>
      </c>
      <c r="G263" s="13" t="str">
        <f>IF($A263="","",[1]!thsiFinD("ths_adjustment_nv_fund",G$3,$A263))</f>
        <v/>
      </c>
      <c r="H263" s="13" t="str">
        <f>IF($A263="","",[1]!thsiFinD("ths_adjustment_nv_fund",H$3,$A263))</f>
        <v/>
      </c>
      <c r="I263" s="13" t="str">
        <f>IF($A263="","",[1]!thsiFinD("ths_adjustment_nv_fund",I$3,$A263))</f>
        <v/>
      </c>
      <c r="J263" s="13" t="str">
        <f>IF($A263="","",[1]!thsiFinD("ths_adjustment_nv_fund",J$3,$A263))</f>
        <v/>
      </c>
      <c r="K263" s="13" t="str">
        <f>IF($A263="","",[1]!thsiFinD("ths_adjustment_nv_fund",K$3,$A263))</f>
        <v/>
      </c>
      <c r="L263" s="13" t="str">
        <f>IF($A263="","",[1]!thsiFinD("ths_adjustment_nv_fund",L$3,$A263))</f>
        <v/>
      </c>
      <c r="M263" s="13" t="str">
        <f>IF($A263="","",[1]!thsiFinD("ths_adjustment_nv_fund",M$3,$A263))</f>
        <v/>
      </c>
      <c r="N263" s="13" t="str">
        <f>IF($A263="","",[1]!thsiFinD("ths_adjustment_nv_fund",N$3,$A263))</f>
        <v/>
      </c>
      <c r="O263" s="13" t="str">
        <f>IF($A263="","",[1]!thsiFinD("ths_adjustment_nv_fund",O$3,$A263))</f>
        <v/>
      </c>
      <c r="P263" s="13" t="str">
        <f>IF($A263="","",[1]!thsiFinD("ths_adjustment_nv_fund",P$3,$A263))</f>
        <v/>
      </c>
      <c r="Q263" s="13" t="str">
        <f>IF($A263="","",[1]!thsiFinD("ths_adjustment_nv_fund",Q$3,$A263))</f>
        <v/>
      </c>
      <c r="R263" s="13" t="str">
        <f>IF($A263="","",[1]!thsiFinD("ths_adjustment_nv_fund",R$3,$A263))</f>
        <v/>
      </c>
      <c r="S263" s="13" t="str">
        <f>IF($A263="","",[1]!thsiFinD("ths_adjustment_nv_fund",S$3,$A263))</f>
        <v/>
      </c>
      <c r="T263" s="13" t="str">
        <f>IF($A263="","",[1]!thsiFinD("ths_adjustment_nv_fund",T$3,$A263))</f>
        <v/>
      </c>
      <c r="U263" s="13" t="str">
        <f>IF($A263="","",[1]!thsiFinD("ths_adjustment_nv_fund",U$3,$A263))</f>
        <v/>
      </c>
      <c r="V263" s="13" t="str">
        <f>IF($A263="","",[1]!thsiFinD("ths_adjustment_nv_fund",V$3,$A263))</f>
        <v/>
      </c>
      <c r="W263" s="13" t="str">
        <f>IF($A263="","",[1]!thsiFinD("ths_adjustment_nv_fund",W$3,$A263))</f>
        <v/>
      </c>
      <c r="X263" s="13" t="str">
        <f>IF($A263="","",[1]!thsiFinD("ths_adjustment_nv_fund",X$3,$A263))</f>
        <v/>
      </c>
      <c r="Y263" s="13" t="str">
        <f>IF($A263="","",[1]!thsiFinD("ths_adjustment_nv_fund",Y$3,$A263))</f>
        <v/>
      </c>
      <c r="Z263" s="13" t="str">
        <f>IF($A263="","",[1]!thsiFinD("ths_adjustment_nv_fund",Z$3,$A263))</f>
        <v/>
      </c>
      <c r="AA263" s="13" t="str">
        <f>IF($A263="","",[1]!thsiFinD("ths_adjustment_nv_fund",AA$3,$A263))</f>
        <v/>
      </c>
      <c r="AB263" s="13">
        <f>IF($A263="","",[1]!thsiFinD("ths_adjustment_nv_fund",AB$3,$A263))</f>
        <v/>
      </c>
      <c r="AC263" s="13">
        <f>IF($A263="","",[1]!thsiFinD("ths_adjustment_nv_fund",AC$3,$A263))</f>
        <v/>
      </c>
      <c r="AD263" s="13">
        <f>IF($A263="","",[1]!thsiFinD("ths_adjustment_nv_fund",AD$3,$A263))</f>
        <v/>
      </c>
      <c r="AE263" s="13">
        <f>IF($A263="","",[1]!thsiFinD("ths_adjustment_nv_fund",AE$3,$A263))</f>
        <v/>
      </c>
      <c r="AF263" s="13">
        <f>IF($A263="","",[1]!thsiFinD("ths_adjustment_nv_fund",AF$3,$A263))</f>
        <v/>
      </c>
      <c r="AG263" s="13">
        <f>IF($A263="","",[1]!thsiFinD("ths_adjustment_nv_fund",AG$3,$A263))</f>
        <v/>
      </c>
      <c r="AH263" s="13">
        <f>IF($A263="","",[1]!thsiFinD("ths_adjustment_nv_fund",AH$3,$A263))</f>
        <v/>
      </c>
      <c r="AI263" s="13">
        <f>IF($A263="","",[1]!thsiFinD("ths_adjustment_nv_fund",AI$3,$A263))</f>
        <v/>
      </c>
      <c r="AJ263" s="13">
        <f>IF($A263="","",[1]!thsiFinD("ths_adjustment_nv_fund",AJ$3,$A263))</f>
        <v/>
      </c>
      <c r="AK263" s="13">
        <f>IF($A263="","",[1]!thsiFinD("ths_adjustment_nv_fund",AK$3,$A263))</f>
        <v/>
      </c>
      <c r="AL263" s="13">
        <f>IF($A263="","",[1]!thsiFinD("ths_adjustment_nv_fund",AL$3,$A263))</f>
        <v/>
      </c>
    </row>
    <row r="264" spans="2:28">
      <c r="B264" s="13" t="str">
        <f>IF($A264="","",[1]!thsiFinD("ths_adjustment_nv_fund",B$3,$A264))</f>
        <v/>
      </c>
      <c r="C264" s="13" t="str">
        <f>IF($A264="","",[1]!thsiFinD("ths_adjustment_nv_fund",C$3,$A264))</f>
        <v/>
      </c>
      <c r="D264" s="13" t="str">
        <f>IF($A264="","",[1]!thsiFinD("ths_adjustment_nv_fund",D$3,$A264))</f>
        <v/>
      </c>
      <c r="E264" s="13" t="str">
        <f>IF($A264="","",[1]!thsiFinD("ths_adjustment_nv_fund",E$3,$A264))</f>
        <v/>
      </c>
      <c r="F264" s="13" t="str">
        <f>IF($A264="","",[1]!thsiFinD("ths_adjustment_nv_fund",F$3,$A264))</f>
        <v/>
      </c>
      <c r="G264" s="13" t="str">
        <f>IF($A264="","",[1]!thsiFinD("ths_adjustment_nv_fund",G$3,$A264))</f>
        <v/>
      </c>
      <c r="H264" s="13" t="str">
        <f>IF($A264="","",[1]!thsiFinD("ths_adjustment_nv_fund",H$3,$A264))</f>
        <v/>
      </c>
      <c r="I264" s="13" t="str">
        <f>IF($A264="","",[1]!thsiFinD("ths_adjustment_nv_fund",I$3,$A264))</f>
        <v/>
      </c>
      <c r="J264" s="13" t="str">
        <f>IF($A264="","",[1]!thsiFinD("ths_adjustment_nv_fund",J$3,$A264))</f>
        <v/>
      </c>
      <c r="K264" s="13" t="str">
        <f>IF($A264="","",[1]!thsiFinD("ths_adjustment_nv_fund",K$3,$A264))</f>
        <v/>
      </c>
      <c r="L264" s="13" t="str">
        <f>IF($A264="","",[1]!thsiFinD("ths_adjustment_nv_fund",L$3,$A264))</f>
        <v/>
      </c>
      <c r="M264" s="13" t="str">
        <f>IF($A264="","",[1]!thsiFinD("ths_adjustment_nv_fund",M$3,$A264))</f>
        <v/>
      </c>
      <c r="N264" s="13" t="str">
        <f>IF($A264="","",[1]!thsiFinD("ths_adjustment_nv_fund",N$3,$A264))</f>
        <v/>
      </c>
      <c r="O264" s="13" t="str">
        <f>IF($A264="","",[1]!thsiFinD("ths_adjustment_nv_fund",O$3,$A264))</f>
        <v/>
      </c>
      <c r="P264" s="13" t="str">
        <f>IF($A264="","",[1]!thsiFinD("ths_adjustment_nv_fund",P$3,$A264))</f>
        <v/>
      </c>
      <c r="Q264" s="13" t="str">
        <f>IF($A264="","",[1]!thsiFinD("ths_adjustment_nv_fund",Q$3,$A264))</f>
        <v/>
      </c>
      <c r="R264" s="13" t="str">
        <f>IF($A264="","",[1]!thsiFinD("ths_adjustment_nv_fund",R$3,$A264))</f>
        <v/>
      </c>
      <c r="S264" s="13" t="str">
        <f>IF($A264="","",[1]!thsiFinD("ths_adjustment_nv_fund",S$3,$A264))</f>
        <v/>
      </c>
      <c r="T264" s="13" t="str">
        <f>IF($A264="","",[1]!thsiFinD("ths_adjustment_nv_fund",T$3,$A264))</f>
        <v/>
      </c>
      <c r="U264" s="13" t="str">
        <f>IF($A264="","",[1]!thsiFinD("ths_adjustment_nv_fund",U$3,$A264))</f>
        <v/>
      </c>
      <c r="V264" s="13" t="str">
        <f>IF($A264="","",[1]!thsiFinD("ths_adjustment_nv_fund",V$3,$A264))</f>
        <v/>
      </c>
      <c r="W264" s="13" t="str">
        <f>IF($A264="","",[1]!thsiFinD("ths_adjustment_nv_fund",W$3,$A264))</f>
        <v/>
      </c>
      <c r="X264" s="13" t="str">
        <f>IF($A264="","",[1]!thsiFinD("ths_adjustment_nv_fund",X$3,$A264))</f>
        <v/>
      </c>
      <c r="Y264" s="13" t="str">
        <f>IF($A264="","",[1]!thsiFinD("ths_adjustment_nv_fund",Y$3,$A264))</f>
        <v/>
      </c>
      <c r="Z264" s="13" t="str">
        <f>IF($A264="","",[1]!thsiFinD("ths_adjustment_nv_fund",Z$3,$A264))</f>
        <v/>
      </c>
      <c r="AA264" s="13" t="str">
        <f>IF($A264="","",[1]!thsiFinD("ths_adjustment_nv_fund",AA$3,$A264))</f>
        <v/>
      </c>
      <c r="AB264" s="13">
        <f>IF($A264="","",[1]!thsiFinD("ths_adjustment_nv_fund",AB$3,$A264))</f>
        <v/>
      </c>
      <c r="AC264" s="13">
        <f>IF($A264="","",[1]!thsiFinD("ths_adjustment_nv_fund",AC$3,$A264))</f>
        <v/>
      </c>
      <c r="AD264" s="13">
        <f>IF($A264="","",[1]!thsiFinD("ths_adjustment_nv_fund",AD$3,$A264))</f>
        <v/>
      </c>
      <c r="AE264" s="13">
        <f>IF($A264="","",[1]!thsiFinD("ths_adjustment_nv_fund",AE$3,$A264))</f>
        <v/>
      </c>
      <c r="AF264" s="13">
        <f>IF($A264="","",[1]!thsiFinD("ths_adjustment_nv_fund",AF$3,$A264))</f>
        <v/>
      </c>
      <c r="AG264" s="13">
        <f>IF($A264="","",[1]!thsiFinD("ths_adjustment_nv_fund",AG$3,$A264))</f>
        <v/>
      </c>
      <c r="AH264" s="13">
        <f>IF($A264="","",[1]!thsiFinD("ths_adjustment_nv_fund",AH$3,$A264))</f>
        <v/>
      </c>
      <c r="AI264" s="13">
        <f>IF($A264="","",[1]!thsiFinD("ths_adjustment_nv_fund",AI$3,$A264))</f>
        <v/>
      </c>
      <c r="AJ264" s="13">
        <f>IF($A264="","",[1]!thsiFinD("ths_adjustment_nv_fund",AJ$3,$A264))</f>
        <v/>
      </c>
      <c r="AK264" s="13">
        <f>IF($A264="","",[1]!thsiFinD("ths_adjustment_nv_fund",AK$3,$A264))</f>
        <v/>
      </c>
      <c r="AL264" s="13">
        <f>IF($A264="","",[1]!thsiFinD("ths_adjustment_nv_fund",AL$3,$A264))</f>
        <v/>
      </c>
    </row>
    <row r="265" spans="2:28">
      <c r="B265" s="13" t="str">
        <f>IF($A265="","",[1]!thsiFinD("ths_adjustment_nv_fund",B$3,$A265))</f>
        <v/>
      </c>
      <c r="C265" s="13" t="str">
        <f>IF($A265="","",[1]!thsiFinD("ths_adjustment_nv_fund",C$3,$A265))</f>
        <v/>
      </c>
      <c r="D265" s="13" t="str">
        <f>IF($A265="","",[1]!thsiFinD("ths_adjustment_nv_fund",D$3,$A265))</f>
        <v/>
      </c>
      <c r="E265" s="13" t="str">
        <f>IF($A265="","",[1]!thsiFinD("ths_adjustment_nv_fund",E$3,$A265))</f>
        <v/>
      </c>
      <c r="F265" s="13" t="str">
        <f>IF($A265="","",[1]!thsiFinD("ths_adjustment_nv_fund",F$3,$A265))</f>
        <v/>
      </c>
      <c r="G265" s="13" t="str">
        <f>IF($A265="","",[1]!thsiFinD("ths_adjustment_nv_fund",G$3,$A265))</f>
        <v/>
      </c>
      <c r="H265" s="13" t="str">
        <f>IF($A265="","",[1]!thsiFinD("ths_adjustment_nv_fund",H$3,$A265))</f>
        <v/>
      </c>
      <c r="I265" s="13" t="str">
        <f>IF($A265="","",[1]!thsiFinD("ths_adjustment_nv_fund",I$3,$A265))</f>
        <v/>
      </c>
      <c r="J265" s="13" t="str">
        <f>IF($A265="","",[1]!thsiFinD("ths_adjustment_nv_fund",J$3,$A265))</f>
        <v/>
      </c>
      <c r="K265" s="13" t="str">
        <f>IF($A265="","",[1]!thsiFinD("ths_adjustment_nv_fund",K$3,$A265))</f>
        <v/>
      </c>
      <c r="L265" s="13" t="str">
        <f>IF($A265="","",[1]!thsiFinD("ths_adjustment_nv_fund",L$3,$A265))</f>
        <v/>
      </c>
      <c r="M265" s="13" t="str">
        <f>IF($A265="","",[1]!thsiFinD("ths_adjustment_nv_fund",M$3,$A265))</f>
        <v/>
      </c>
      <c r="N265" s="13" t="str">
        <f>IF($A265="","",[1]!thsiFinD("ths_adjustment_nv_fund",N$3,$A265))</f>
        <v/>
      </c>
      <c r="O265" s="13" t="str">
        <f>IF($A265="","",[1]!thsiFinD("ths_adjustment_nv_fund",O$3,$A265))</f>
        <v/>
      </c>
      <c r="P265" s="13" t="str">
        <f>IF($A265="","",[1]!thsiFinD("ths_adjustment_nv_fund",P$3,$A265))</f>
        <v/>
      </c>
      <c r="Q265" s="13" t="str">
        <f>IF($A265="","",[1]!thsiFinD("ths_adjustment_nv_fund",Q$3,$A265))</f>
        <v/>
      </c>
      <c r="R265" s="13" t="str">
        <f>IF($A265="","",[1]!thsiFinD("ths_adjustment_nv_fund",R$3,$A265))</f>
        <v/>
      </c>
      <c r="S265" s="13" t="str">
        <f>IF($A265="","",[1]!thsiFinD("ths_adjustment_nv_fund",S$3,$A265))</f>
        <v/>
      </c>
      <c r="T265" s="13" t="str">
        <f>IF($A265="","",[1]!thsiFinD("ths_adjustment_nv_fund",T$3,$A265))</f>
        <v/>
      </c>
      <c r="U265" s="13" t="str">
        <f>IF($A265="","",[1]!thsiFinD("ths_adjustment_nv_fund",U$3,$A265))</f>
        <v/>
      </c>
      <c r="V265" s="13" t="str">
        <f>IF($A265="","",[1]!thsiFinD("ths_adjustment_nv_fund",V$3,$A265))</f>
        <v/>
      </c>
      <c r="W265" s="13" t="str">
        <f>IF($A265="","",[1]!thsiFinD("ths_adjustment_nv_fund",W$3,$A265))</f>
        <v/>
      </c>
      <c r="X265" s="13" t="str">
        <f>IF($A265="","",[1]!thsiFinD("ths_adjustment_nv_fund",X$3,$A265))</f>
        <v/>
      </c>
      <c r="Y265" s="13" t="str">
        <f>IF($A265="","",[1]!thsiFinD("ths_adjustment_nv_fund",Y$3,$A265))</f>
        <v/>
      </c>
      <c r="Z265" s="13" t="str">
        <f>IF($A265="","",[1]!thsiFinD("ths_adjustment_nv_fund",Z$3,$A265))</f>
        <v/>
      </c>
      <c r="AA265" s="13" t="str">
        <f>IF($A265="","",[1]!thsiFinD("ths_adjustment_nv_fund",AA$3,$A265))</f>
        <v/>
      </c>
      <c r="AB265" s="13">
        <f>IF($A265="","",[1]!thsiFinD("ths_adjustment_nv_fund",AB$3,$A265))</f>
        <v/>
      </c>
      <c r="AC265" s="13">
        <f>IF($A265="","",[1]!thsiFinD("ths_adjustment_nv_fund",AC$3,$A265))</f>
        <v/>
      </c>
      <c r="AD265" s="13">
        <f>IF($A265="","",[1]!thsiFinD("ths_adjustment_nv_fund",AD$3,$A265))</f>
        <v/>
      </c>
      <c r="AE265" s="13">
        <f>IF($A265="","",[1]!thsiFinD("ths_adjustment_nv_fund",AE$3,$A265))</f>
        <v/>
      </c>
      <c r="AF265" s="13">
        <f>IF($A265="","",[1]!thsiFinD("ths_adjustment_nv_fund",AF$3,$A265))</f>
        <v/>
      </c>
      <c r="AG265" s="13">
        <f>IF($A265="","",[1]!thsiFinD("ths_adjustment_nv_fund",AG$3,$A265))</f>
        <v/>
      </c>
      <c r="AH265" s="13">
        <f>IF($A265="","",[1]!thsiFinD("ths_adjustment_nv_fund",AH$3,$A265))</f>
        <v/>
      </c>
      <c r="AI265" s="13">
        <f>IF($A265="","",[1]!thsiFinD("ths_adjustment_nv_fund",AI$3,$A265))</f>
        <v/>
      </c>
      <c r="AJ265" s="13">
        <f>IF($A265="","",[1]!thsiFinD("ths_adjustment_nv_fund",AJ$3,$A265))</f>
        <v/>
      </c>
      <c r="AK265" s="13">
        <f>IF($A265="","",[1]!thsiFinD("ths_adjustment_nv_fund",AK$3,$A265))</f>
        <v/>
      </c>
      <c r="AL265" s="13">
        <f>IF($A265="","",[1]!thsiFinD("ths_adjustment_nv_fund",AL$3,$A265))</f>
        <v/>
      </c>
    </row>
    <row r="266" spans="2:28">
      <c r="B266" s="13" t="str">
        <f>IF($A266="","",[1]!thsiFinD("ths_adjustment_nv_fund",B$3,$A266))</f>
        <v/>
      </c>
      <c r="C266" s="13" t="str">
        <f>IF($A266="","",[1]!thsiFinD("ths_adjustment_nv_fund",C$3,$A266))</f>
        <v/>
      </c>
      <c r="D266" s="13" t="str">
        <f>IF($A266="","",[1]!thsiFinD("ths_adjustment_nv_fund",D$3,$A266))</f>
        <v/>
      </c>
      <c r="E266" s="13" t="str">
        <f>IF($A266="","",[1]!thsiFinD("ths_adjustment_nv_fund",E$3,$A266))</f>
        <v/>
      </c>
      <c r="F266" s="13" t="str">
        <f>IF($A266="","",[1]!thsiFinD("ths_adjustment_nv_fund",F$3,$A266))</f>
        <v/>
      </c>
      <c r="G266" s="13" t="str">
        <f>IF($A266="","",[1]!thsiFinD("ths_adjustment_nv_fund",G$3,$A266))</f>
        <v/>
      </c>
      <c r="H266" s="13" t="str">
        <f>IF($A266="","",[1]!thsiFinD("ths_adjustment_nv_fund",H$3,$A266))</f>
        <v/>
      </c>
      <c r="I266" s="13" t="str">
        <f>IF($A266="","",[1]!thsiFinD("ths_adjustment_nv_fund",I$3,$A266))</f>
        <v/>
      </c>
      <c r="J266" s="13" t="str">
        <f>IF($A266="","",[1]!thsiFinD("ths_adjustment_nv_fund",J$3,$A266))</f>
        <v/>
      </c>
      <c r="K266" s="13" t="str">
        <f>IF($A266="","",[1]!thsiFinD("ths_adjustment_nv_fund",K$3,$A266))</f>
        <v/>
      </c>
      <c r="L266" s="13" t="str">
        <f>IF($A266="","",[1]!thsiFinD("ths_adjustment_nv_fund",L$3,$A266))</f>
        <v/>
      </c>
      <c r="M266" s="13" t="str">
        <f>IF($A266="","",[1]!thsiFinD("ths_adjustment_nv_fund",M$3,$A266))</f>
        <v/>
      </c>
      <c r="N266" s="13" t="str">
        <f>IF($A266="","",[1]!thsiFinD("ths_adjustment_nv_fund",N$3,$A266))</f>
        <v/>
      </c>
      <c r="O266" s="13" t="str">
        <f>IF($A266="","",[1]!thsiFinD("ths_adjustment_nv_fund",O$3,$A266))</f>
        <v/>
      </c>
      <c r="P266" s="13" t="str">
        <f>IF($A266="","",[1]!thsiFinD("ths_adjustment_nv_fund",P$3,$A266))</f>
        <v/>
      </c>
      <c r="Q266" s="13" t="str">
        <f>IF($A266="","",[1]!thsiFinD("ths_adjustment_nv_fund",Q$3,$A266))</f>
        <v/>
      </c>
      <c r="R266" s="13" t="str">
        <f>IF($A266="","",[1]!thsiFinD("ths_adjustment_nv_fund",R$3,$A266))</f>
        <v/>
      </c>
      <c r="S266" s="13" t="str">
        <f>IF($A266="","",[1]!thsiFinD("ths_adjustment_nv_fund",S$3,$A266))</f>
        <v/>
      </c>
      <c r="T266" s="13" t="str">
        <f>IF($A266="","",[1]!thsiFinD("ths_adjustment_nv_fund",T$3,$A266))</f>
        <v/>
      </c>
      <c r="U266" s="13" t="str">
        <f>IF($A266="","",[1]!thsiFinD("ths_adjustment_nv_fund",U$3,$A266))</f>
        <v/>
      </c>
      <c r="V266" s="13" t="str">
        <f>IF($A266="","",[1]!thsiFinD("ths_adjustment_nv_fund",V$3,$A266))</f>
        <v/>
      </c>
      <c r="W266" s="13" t="str">
        <f>IF($A266="","",[1]!thsiFinD("ths_adjustment_nv_fund",W$3,$A266))</f>
        <v/>
      </c>
      <c r="X266" s="13" t="str">
        <f>IF($A266="","",[1]!thsiFinD("ths_adjustment_nv_fund",X$3,$A266))</f>
        <v/>
      </c>
      <c r="Y266" s="13" t="str">
        <f>IF($A266="","",[1]!thsiFinD("ths_adjustment_nv_fund",Y$3,$A266))</f>
        <v/>
      </c>
      <c r="Z266" s="13" t="str">
        <f>IF($A266="","",[1]!thsiFinD("ths_adjustment_nv_fund",Z$3,$A266))</f>
        <v/>
      </c>
      <c r="AA266" s="13" t="str">
        <f>IF($A266="","",[1]!thsiFinD("ths_adjustment_nv_fund",AA$3,$A266))</f>
        <v/>
      </c>
      <c r="AB266" s="13">
        <f>IF($A266="","",[1]!thsiFinD("ths_adjustment_nv_fund",AB$3,$A266))</f>
        <v/>
      </c>
      <c r="AC266" s="13">
        <f>IF($A266="","",[1]!thsiFinD("ths_adjustment_nv_fund",AC$3,$A266))</f>
        <v/>
      </c>
      <c r="AD266" s="13">
        <f>IF($A266="","",[1]!thsiFinD("ths_adjustment_nv_fund",AD$3,$A266))</f>
        <v/>
      </c>
      <c r="AE266" s="13">
        <f>IF($A266="","",[1]!thsiFinD("ths_adjustment_nv_fund",AE$3,$A266))</f>
        <v/>
      </c>
      <c r="AF266" s="13">
        <f>IF($A266="","",[1]!thsiFinD("ths_adjustment_nv_fund",AF$3,$A266))</f>
        <v/>
      </c>
      <c r="AG266" s="13">
        <f>IF($A266="","",[1]!thsiFinD("ths_adjustment_nv_fund",AG$3,$A266))</f>
        <v/>
      </c>
      <c r="AH266" s="13">
        <f>IF($A266="","",[1]!thsiFinD("ths_adjustment_nv_fund",AH$3,$A266))</f>
        <v/>
      </c>
      <c r="AI266" s="13">
        <f>IF($A266="","",[1]!thsiFinD("ths_adjustment_nv_fund",AI$3,$A266))</f>
        <v/>
      </c>
      <c r="AJ266" s="13">
        <f>IF($A266="","",[1]!thsiFinD("ths_adjustment_nv_fund",AJ$3,$A266))</f>
        <v/>
      </c>
      <c r="AK266" s="13">
        <f>IF($A266="","",[1]!thsiFinD("ths_adjustment_nv_fund",AK$3,$A266))</f>
        <v/>
      </c>
      <c r="AL266" s="13">
        <f>IF($A266="","",[1]!thsiFinD("ths_adjustment_nv_fund",AL$3,$A266))</f>
        <v/>
      </c>
    </row>
    <row r="267" spans="2:28">
      <c r="B267" s="13" t="str">
        <f>IF($A267="","",[1]!thsiFinD("ths_adjustment_nv_fund",B$3,$A267))</f>
        <v/>
      </c>
      <c r="C267" s="13" t="str">
        <f>IF($A267="","",[1]!thsiFinD("ths_adjustment_nv_fund",C$3,$A267))</f>
        <v/>
      </c>
      <c r="D267" s="13" t="str">
        <f>IF($A267="","",[1]!thsiFinD("ths_adjustment_nv_fund",D$3,$A267))</f>
        <v/>
      </c>
      <c r="E267" s="13" t="str">
        <f>IF($A267="","",[1]!thsiFinD("ths_adjustment_nv_fund",E$3,$A267))</f>
        <v/>
      </c>
      <c r="F267" s="13" t="str">
        <f>IF($A267="","",[1]!thsiFinD("ths_adjustment_nv_fund",F$3,$A267))</f>
        <v/>
      </c>
      <c r="G267" s="13" t="str">
        <f>IF($A267="","",[1]!thsiFinD("ths_adjustment_nv_fund",G$3,$A267))</f>
        <v/>
      </c>
      <c r="H267" s="13" t="str">
        <f>IF($A267="","",[1]!thsiFinD("ths_adjustment_nv_fund",H$3,$A267))</f>
        <v/>
      </c>
      <c r="I267" s="13" t="str">
        <f>IF($A267="","",[1]!thsiFinD("ths_adjustment_nv_fund",I$3,$A267))</f>
        <v/>
      </c>
      <c r="J267" s="13" t="str">
        <f>IF($A267="","",[1]!thsiFinD("ths_adjustment_nv_fund",J$3,$A267))</f>
        <v/>
      </c>
      <c r="K267" s="13" t="str">
        <f>IF($A267="","",[1]!thsiFinD("ths_adjustment_nv_fund",K$3,$A267))</f>
        <v/>
      </c>
      <c r="L267" s="13" t="str">
        <f>IF($A267="","",[1]!thsiFinD("ths_adjustment_nv_fund",L$3,$A267))</f>
        <v/>
      </c>
      <c r="M267" s="13" t="str">
        <f>IF($A267="","",[1]!thsiFinD("ths_adjustment_nv_fund",M$3,$A267))</f>
        <v/>
      </c>
      <c r="N267" s="13" t="str">
        <f>IF($A267="","",[1]!thsiFinD("ths_adjustment_nv_fund",N$3,$A267))</f>
        <v/>
      </c>
      <c r="O267" s="13" t="str">
        <f>IF($A267="","",[1]!thsiFinD("ths_adjustment_nv_fund",O$3,$A267))</f>
        <v/>
      </c>
      <c r="P267" s="13" t="str">
        <f>IF($A267="","",[1]!thsiFinD("ths_adjustment_nv_fund",P$3,$A267))</f>
        <v/>
      </c>
      <c r="Q267" s="13" t="str">
        <f>IF($A267="","",[1]!thsiFinD("ths_adjustment_nv_fund",Q$3,$A267))</f>
        <v/>
      </c>
      <c r="R267" s="13" t="str">
        <f>IF($A267="","",[1]!thsiFinD("ths_adjustment_nv_fund",R$3,$A267))</f>
        <v/>
      </c>
      <c r="S267" s="13" t="str">
        <f>IF($A267="","",[1]!thsiFinD("ths_adjustment_nv_fund",S$3,$A267))</f>
        <v/>
      </c>
      <c r="T267" s="13" t="str">
        <f>IF($A267="","",[1]!thsiFinD("ths_adjustment_nv_fund",T$3,$A267))</f>
        <v/>
      </c>
      <c r="U267" s="13" t="str">
        <f>IF($A267="","",[1]!thsiFinD("ths_adjustment_nv_fund",U$3,$A267))</f>
        <v/>
      </c>
      <c r="V267" s="13" t="str">
        <f>IF($A267="","",[1]!thsiFinD("ths_adjustment_nv_fund",V$3,$A267))</f>
        <v/>
      </c>
      <c r="W267" s="13" t="str">
        <f>IF($A267="","",[1]!thsiFinD("ths_adjustment_nv_fund",W$3,$A267))</f>
        <v/>
      </c>
      <c r="X267" s="13" t="str">
        <f>IF($A267="","",[1]!thsiFinD("ths_adjustment_nv_fund",X$3,$A267))</f>
        <v/>
      </c>
      <c r="Y267" s="13" t="str">
        <f>IF($A267="","",[1]!thsiFinD("ths_adjustment_nv_fund",Y$3,$A267))</f>
        <v/>
      </c>
      <c r="Z267" s="13" t="str">
        <f>IF($A267="","",[1]!thsiFinD("ths_adjustment_nv_fund",Z$3,$A267))</f>
        <v/>
      </c>
      <c r="AA267" s="13" t="str">
        <f>IF($A267="","",[1]!thsiFinD("ths_adjustment_nv_fund",AA$3,$A267))</f>
        <v/>
      </c>
      <c r="AB267" s="13">
        <f>IF($A267="","",[1]!thsiFinD("ths_adjustment_nv_fund",AB$3,$A267))</f>
        <v/>
      </c>
      <c r="AC267" s="13">
        <f>IF($A267="","",[1]!thsiFinD("ths_adjustment_nv_fund",AC$3,$A267))</f>
        <v/>
      </c>
      <c r="AD267" s="13">
        <f>IF($A267="","",[1]!thsiFinD("ths_adjustment_nv_fund",AD$3,$A267))</f>
        <v/>
      </c>
      <c r="AE267" s="13">
        <f>IF($A267="","",[1]!thsiFinD("ths_adjustment_nv_fund",AE$3,$A267))</f>
        <v/>
      </c>
      <c r="AF267" s="13">
        <f>IF($A267="","",[1]!thsiFinD("ths_adjustment_nv_fund",AF$3,$A267))</f>
        <v/>
      </c>
      <c r="AG267" s="13">
        <f>IF($A267="","",[1]!thsiFinD("ths_adjustment_nv_fund",AG$3,$A267))</f>
        <v/>
      </c>
      <c r="AH267" s="13">
        <f>IF($A267="","",[1]!thsiFinD("ths_adjustment_nv_fund",AH$3,$A267))</f>
        <v/>
      </c>
      <c r="AI267" s="13">
        <f>IF($A267="","",[1]!thsiFinD("ths_adjustment_nv_fund",AI$3,$A267))</f>
        <v/>
      </c>
      <c r="AJ267" s="13">
        <f>IF($A267="","",[1]!thsiFinD("ths_adjustment_nv_fund",AJ$3,$A267))</f>
        <v/>
      </c>
      <c r="AK267" s="13">
        <f>IF($A267="","",[1]!thsiFinD("ths_adjustment_nv_fund",AK$3,$A267))</f>
        <v/>
      </c>
      <c r="AL267" s="13">
        <f>IF($A267="","",[1]!thsiFinD("ths_adjustment_nv_fund",AL$3,$A267))</f>
        <v/>
      </c>
    </row>
    <row r="268" spans="2:28">
      <c r="B268" s="13" t="str">
        <f>IF($A268="","",[1]!thsiFinD("ths_adjustment_nv_fund",B$3,$A268))</f>
        <v/>
      </c>
      <c r="C268" s="13" t="str">
        <f>IF($A268="","",[1]!thsiFinD("ths_adjustment_nv_fund",C$3,$A268))</f>
        <v/>
      </c>
      <c r="D268" s="13" t="str">
        <f>IF($A268="","",[1]!thsiFinD("ths_adjustment_nv_fund",D$3,$A268))</f>
        <v/>
      </c>
      <c r="E268" s="13" t="str">
        <f>IF($A268="","",[1]!thsiFinD("ths_adjustment_nv_fund",E$3,$A268))</f>
        <v/>
      </c>
      <c r="F268" s="13" t="str">
        <f>IF($A268="","",[1]!thsiFinD("ths_adjustment_nv_fund",F$3,$A268))</f>
        <v/>
      </c>
      <c r="G268" s="13" t="str">
        <f>IF($A268="","",[1]!thsiFinD("ths_adjustment_nv_fund",G$3,$A268))</f>
        <v/>
      </c>
      <c r="H268" s="13" t="str">
        <f>IF($A268="","",[1]!thsiFinD("ths_adjustment_nv_fund",H$3,$A268))</f>
        <v/>
      </c>
      <c r="I268" s="13" t="str">
        <f>IF($A268="","",[1]!thsiFinD("ths_adjustment_nv_fund",I$3,$A268))</f>
        <v/>
      </c>
      <c r="J268" s="13" t="str">
        <f>IF($A268="","",[1]!thsiFinD("ths_adjustment_nv_fund",J$3,$A268))</f>
        <v/>
      </c>
      <c r="K268" s="13" t="str">
        <f>IF($A268="","",[1]!thsiFinD("ths_adjustment_nv_fund",K$3,$A268))</f>
        <v/>
      </c>
      <c r="L268" s="13" t="str">
        <f>IF($A268="","",[1]!thsiFinD("ths_adjustment_nv_fund",L$3,$A268))</f>
        <v/>
      </c>
      <c r="M268" s="13" t="str">
        <f>IF($A268="","",[1]!thsiFinD("ths_adjustment_nv_fund",M$3,$A268))</f>
        <v/>
      </c>
      <c r="N268" s="13" t="str">
        <f>IF($A268="","",[1]!thsiFinD("ths_adjustment_nv_fund",N$3,$A268))</f>
        <v/>
      </c>
      <c r="O268" s="13" t="str">
        <f>IF($A268="","",[1]!thsiFinD("ths_adjustment_nv_fund",O$3,$A268))</f>
        <v/>
      </c>
      <c r="P268" s="13" t="str">
        <f>IF($A268="","",[1]!thsiFinD("ths_adjustment_nv_fund",P$3,$A268))</f>
        <v/>
      </c>
      <c r="Q268" s="13" t="str">
        <f>IF($A268="","",[1]!thsiFinD("ths_adjustment_nv_fund",Q$3,$A268))</f>
        <v/>
      </c>
      <c r="R268" s="13" t="str">
        <f>IF($A268="","",[1]!thsiFinD("ths_adjustment_nv_fund",R$3,$A268))</f>
        <v/>
      </c>
      <c r="S268" s="13" t="str">
        <f>IF($A268="","",[1]!thsiFinD("ths_adjustment_nv_fund",S$3,$A268))</f>
        <v/>
      </c>
      <c r="T268" s="13" t="str">
        <f>IF($A268="","",[1]!thsiFinD("ths_adjustment_nv_fund",T$3,$A268))</f>
        <v/>
      </c>
      <c r="U268" s="13" t="str">
        <f>IF($A268="","",[1]!thsiFinD("ths_adjustment_nv_fund",U$3,$A268))</f>
        <v/>
      </c>
      <c r="V268" s="13" t="str">
        <f>IF($A268="","",[1]!thsiFinD("ths_adjustment_nv_fund",V$3,$A268))</f>
        <v/>
      </c>
      <c r="W268" s="13" t="str">
        <f>IF($A268="","",[1]!thsiFinD("ths_adjustment_nv_fund",W$3,$A268))</f>
        <v/>
      </c>
      <c r="X268" s="13" t="str">
        <f>IF($A268="","",[1]!thsiFinD("ths_adjustment_nv_fund",X$3,$A268))</f>
        <v/>
      </c>
      <c r="Y268" s="13" t="str">
        <f>IF($A268="","",[1]!thsiFinD("ths_adjustment_nv_fund",Y$3,$A268))</f>
        <v/>
      </c>
      <c r="Z268" s="13" t="str">
        <f>IF($A268="","",[1]!thsiFinD("ths_adjustment_nv_fund",Z$3,$A268))</f>
        <v/>
      </c>
      <c r="AA268" s="13" t="str">
        <f>IF($A268="","",[1]!thsiFinD("ths_adjustment_nv_fund",AA$3,$A268))</f>
        <v/>
      </c>
      <c r="AB268" s="13">
        <f>IF($A268="","",[1]!thsiFinD("ths_adjustment_nv_fund",AB$3,$A268))</f>
        <v/>
      </c>
      <c r="AC268" s="13">
        <f>IF($A268="","",[1]!thsiFinD("ths_adjustment_nv_fund",AC$3,$A268))</f>
        <v/>
      </c>
      <c r="AD268" s="13">
        <f>IF($A268="","",[1]!thsiFinD("ths_adjustment_nv_fund",AD$3,$A268))</f>
        <v/>
      </c>
      <c r="AE268" s="13">
        <f>IF($A268="","",[1]!thsiFinD("ths_adjustment_nv_fund",AE$3,$A268))</f>
        <v/>
      </c>
      <c r="AF268" s="13">
        <f>IF($A268="","",[1]!thsiFinD("ths_adjustment_nv_fund",AF$3,$A268))</f>
        <v/>
      </c>
      <c r="AG268" s="13">
        <f>IF($A268="","",[1]!thsiFinD("ths_adjustment_nv_fund",AG$3,$A268))</f>
        <v/>
      </c>
      <c r="AH268" s="13">
        <f>IF($A268="","",[1]!thsiFinD("ths_adjustment_nv_fund",AH$3,$A268))</f>
        <v/>
      </c>
      <c r="AI268" s="13">
        <f>IF($A268="","",[1]!thsiFinD("ths_adjustment_nv_fund",AI$3,$A268))</f>
        <v/>
      </c>
      <c r="AJ268" s="13">
        <f>IF($A268="","",[1]!thsiFinD("ths_adjustment_nv_fund",AJ$3,$A268))</f>
        <v/>
      </c>
      <c r="AK268" s="13">
        <f>IF($A268="","",[1]!thsiFinD("ths_adjustment_nv_fund",AK$3,$A268))</f>
        <v/>
      </c>
      <c r="AL268" s="13">
        <f>IF($A268="","",[1]!thsiFinD("ths_adjustment_nv_fund",AL$3,$A268))</f>
        <v/>
      </c>
    </row>
    <row r="269" spans="2:28">
      <c r="B269" s="13" t="str">
        <f>IF($A269="","",[1]!thsiFinD("ths_adjustment_nv_fund",B$3,$A269))</f>
        <v/>
      </c>
      <c r="C269" s="13" t="str">
        <f>IF($A269="","",[1]!thsiFinD("ths_adjustment_nv_fund",C$3,$A269))</f>
        <v/>
      </c>
      <c r="D269" s="13" t="str">
        <f>IF($A269="","",[1]!thsiFinD("ths_adjustment_nv_fund",D$3,$A269))</f>
        <v/>
      </c>
      <c r="E269" s="13" t="str">
        <f>IF($A269="","",[1]!thsiFinD("ths_adjustment_nv_fund",E$3,$A269))</f>
        <v/>
      </c>
      <c r="F269" s="13" t="str">
        <f>IF($A269="","",[1]!thsiFinD("ths_adjustment_nv_fund",F$3,$A269))</f>
        <v/>
      </c>
      <c r="G269" s="13" t="str">
        <f>IF($A269="","",[1]!thsiFinD("ths_adjustment_nv_fund",G$3,$A269))</f>
        <v/>
      </c>
      <c r="H269" s="13" t="str">
        <f>IF($A269="","",[1]!thsiFinD("ths_adjustment_nv_fund",H$3,$A269))</f>
        <v/>
      </c>
      <c r="I269" s="13" t="str">
        <f>IF($A269="","",[1]!thsiFinD("ths_adjustment_nv_fund",I$3,$A269))</f>
        <v/>
      </c>
      <c r="J269" s="13" t="str">
        <f>IF($A269="","",[1]!thsiFinD("ths_adjustment_nv_fund",J$3,$A269))</f>
        <v/>
      </c>
      <c r="K269" s="13" t="str">
        <f>IF($A269="","",[1]!thsiFinD("ths_adjustment_nv_fund",K$3,$A269))</f>
        <v/>
      </c>
      <c r="L269" s="13" t="str">
        <f>IF($A269="","",[1]!thsiFinD("ths_adjustment_nv_fund",L$3,$A269))</f>
        <v/>
      </c>
      <c r="M269" s="13" t="str">
        <f>IF($A269="","",[1]!thsiFinD("ths_adjustment_nv_fund",M$3,$A269))</f>
        <v/>
      </c>
      <c r="N269" s="13" t="str">
        <f>IF($A269="","",[1]!thsiFinD("ths_adjustment_nv_fund",N$3,$A269))</f>
        <v/>
      </c>
      <c r="O269" s="13" t="str">
        <f>IF($A269="","",[1]!thsiFinD("ths_adjustment_nv_fund",O$3,$A269))</f>
        <v/>
      </c>
      <c r="P269" s="13" t="str">
        <f>IF($A269="","",[1]!thsiFinD("ths_adjustment_nv_fund",P$3,$A269))</f>
        <v/>
      </c>
      <c r="Q269" s="13" t="str">
        <f>IF($A269="","",[1]!thsiFinD("ths_adjustment_nv_fund",Q$3,$A269))</f>
        <v/>
      </c>
      <c r="R269" s="13" t="str">
        <f>IF($A269="","",[1]!thsiFinD("ths_adjustment_nv_fund",R$3,$A269))</f>
        <v/>
      </c>
      <c r="S269" s="13" t="str">
        <f>IF($A269="","",[1]!thsiFinD("ths_adjustment_nv_fund",S$3,$A269))</f>
        <v/>
      </c>
      <c r="T269" s="13" t="str">
        <f>IF($A269="","",[1]!thsiFinD("ths_adjustment_nv_fund",T$3,$A269))</f>
        <v/>
      </c>
      <c r="U269" s="13" t="str">
        <f>IF($A269="","",[1]!thsiFinD("ths_adjustment_nv_fund",U$3,$A269))</f>
        <v/>
      </c>
      <c r="V269" s="13" t="str">
        <f>IF($A269="","",[1]!thsiFinD("ths_adjustment_nv_fund",V$3,$A269))</f>
        <v/>
      </c>
      <c r="W269" s="13" t="str">
        <f>IF($A269="","",[1]!thsiFinD("ths_adjustment_nv_fund",W$3,$A269))</f>
        <v/>
      </c>
      <c r="X269" s="13" t="str">
        <f>IF($A269="","",[1]!thsiFinD("ths_adjustment_nv_fund",X$3,$A269))</f>
        <v/>
      </c>
      <c r="Y269" s="13" t="str">
        <f>IF($A269="","",[1]!thsiFinD("ths_adjustment_nv_fund",Y$3,$A269))</f>
        <v/>
      </c>
      <c r="Z269" s="13" t="str">
        <f>IF($A269="","",[1]!thsiFinD("ths_adjustment_nv_fund",Z$3,$A269))</f>
        <v/>
      </c>
      <c r="AA269" s="13" t="str">
        <f>IF($A269="","",[1]!thsiFinD("ths_adjustment_nv_fund",AA$3,$A269))</f>
        <v/>
      </c>
      <c r="AB269" s="13">
        <f>IF($A269="","",[1]!thsiFinD("ths_adjustment_nv_fund",AB$3,$A269))</f>
        <v/>
      </c>
      <c r="AC269" s="13">
        <f>IF($A269="","",[1]!thsiFinD("ths_adjustment_nv_fund",AC$3,$A269))</f>
        <v/>
      </c>
      <c r="AD269" s="13">
        <f>IF($A269="","",[1]!thsiFinD("ths_adjustment_nv_fund",AD$3,$A269))</f>
        <v/>
      </c>
      <c r="AE269" s="13">
        <f>IF($A269="","",[1]!thsiFinD("ths_adjustment_nv_fund",AE$3,$A269))</f>
        <v/>
      </c>
      <c r="AF269" s="13">
        <f>IF($A269="","",[1]!thsiFinD("ths_adjustment_nv_fund",AF$3,$A269))</f>
        <v/>
      </c>
      <c r="AG269" s="13">
        <f>IF($A269="","",[1]!thsiFinD("ths_adjustment_nv_fund",AG$3,$A269))</f>
        <v/>
      </c>
      <c r="AH269" s="13">
        <f>IF($A269="","",[1]!thsiFinD("ths_adjustment_nv_fund",AH$3,$A269))</f>
        <v/>
      </c>
      <c r="AI269" s="13">
        <f>IF($A269="","",[1]!thsiFinD("ths_adjustment_nv_fund",AI$3,$A269))</f>
        <v/>
      </c>
      <c r="AJ269" s="13">
        <f>IF($A269="","",[1]!thsiFinD("ths_adjustment_nv_fund",AJ$3,$A269))</f>
        <v/>
      </c>
      <c r="AK269" s="13">
        <f>IF($A269="","",[1]!thsiFinD("ths_adjustment_nv_fund",AK$3,$A269))</f>
        <v/>
      </c>
      <c r="AL269" s="13">
        <f>IF($A269="","",[1]!thsiFinD("ths_adjustment_nv_fund",AL$3,$A269))</f>
        <v/>
      </c>
    </row>
    <row r="270" spans="2:28">
      <c r="B270" s="13" t="str">
        <f>IF($A270="","",[1]!thsiFinD("ths_adjustment_nv_fund",B$3,$A270))</f>
        <v/>
      </c>
      <c r="C270" s="13" t="str">
        <f>IF($A270="","",[1]!thsiFinD("ths_adjustment_nv_fund",C$3,$A270))</f>
        <v/>
      </c>
      <c r="D270" s="13" t="str">
        <f>IF($A270="","",[1]!thsiFinD("ths_adjustment_nv_fund",D$3,$A270))</f>
        <v/>
      </c>
      <c r="E270" s="13" t="str">
        <f>IF($A270="","",[1]!thsiFinD("ths_adjustment_nv_fund",E$3,$A270))</f>
        <v/>
      </c>
      <c r="F270" s="13" t="str">
        <f>IF($A270="","",[1]!thsiFinD("ths_adjustment_nv_fund",F$3,$A270))</f>
        <v/>
      </c>
      <c r="G270" s="13" t="str">
        <f>IF($A270="","",[1]!thsiFinD("ths_adjustment_nv_fund",G$3,$A270))</f>
        <v/>
      </c>
      <c r="H270" s="13" t="str">
        <f>IF($A270="","",[1]!thsiFinD("ths_adjustment_nv_fund",H$3,$A270))</f>
        <v/>
      </c>
      <c r="I270" s="13" t="str">
        <f>IF($A270="","",[1]!thsiFinD("ths_adjustment_nv_fund",I$3,$A270))</f>
        <v/>
      </c>
      <c r="J270" s="13" t="str">
        <f>IF($A270="","",[1]!thsiFinD("ths_adjustment_nv_fund",J$3,$A270))</f>
        <v/>
      </c>
      <c r="K270" s="13" t="str">
        <f>IF($A270="","",[1]!thsiFinD("ths_adjustment_nv_fund",K$3,$A270))</f>
        <v/>
      </c>
      <c r="L270" s="13" t="str">
        <f>IF($A270="","",[1]!thsiFinD("ths_adjustment_nv_fund",L$3,$A270))</f>
        <v/>
      </c>
      <c r="M270" s="13" t="str">
        <f>IF($A270="","",[1]!thsiFinD("ths_adjustment_nv_fund",M$3,$A270))</f>
        <v/>
      </c>
      <c r="N270" s="13" t="str">
        <f>IF($A270="","",[1]!thsiFinD("ths_adjustment_nv_fund",N$3,$A270))</f>
        <v/>
      </c>
      <c r="O270" s="13" t="str">
        <f>IF($A270="","",[1]!thsiFinD("ths_adjustment_nv_fund",O$3,$A270))</f>
        <v/>
      </c>
      <c r="P270" s="13" t="str">
        <f>IF($A270="","",[1]!thsiFinD("ths_adjustment_nv_fund",P$3,$A270))</f>
        <v/>
      </c>
      <c r="Q270" s="13" t="str">
        <f>IF($A270="","",[1]!thsiFinD("ths_adjustment_nv_fund",Q$3,$A270))</f>
        <v/>
      </c>
      <c r="R270" s="13" t="str">
        <f>IF($A270="","",[1]!thsiFinD("ths_adjustment_nv_fund",R$3,$A270))</f>
        <v/>
      </c>
      <c r="S270" s="13" t="str">
        <f>IF($A270="","",[1]!thsiFinD("ths_adjustment_nv_fund",S$3,$A270))</f>
        <v/>
      </c>
      <c r="T270" s="13" t="str">
        <f>IF($A270="","",[1]!thsiFinD("ths_adjustment_nv_fund",T$3,$A270))</f>
        <v/>
      </c>
      <c r="U270" s="13" t="str">
        <f>IF($A270="","",[1]!thsiFinD("ths_adjustment_nv_fund",U$3,$A270))</f>
        <v/>
      </c>
      <c r="V270" s="13" t="str">
        <f>IF($A270="","",[1]!thsiFinD("ths_adjustment_nv_fund",V$3,$A270))</f>
        <v/>
      </c>
      <c r="W270" s="13" t="str">
        <f>IF($A270="","",[1]!thsiFinD("ths_adjustment_nv_fund",W$3,$A270))</f>
        <v/>
      </c>
      <c r="X270" s="13" t="str">
        <f>IF($A270="","",[1]!thsiFinD("ths_adjustment_nv_fund",X$3,$A270))</f>
        <v/>
      </c>
      <c r="Y270" s="13" t="str">
        <f>IF($A270="","",[1]!thsiFinD("ths_adjustment_nv_fund",Y$3,$A270))</f>
        <v/>
      </c>
      <c r="Z270" s="13" t="str">
        <f>IF($A270="","",[1]!thsiFinD("ths_adjustment_nv_fund",Z$3,$A270))</f>
        <v/>
      </c>
      <c r="AA270" s="13" t="str">
        <f>IF($A270="","",[1]!thsiFinD("ths_adjustment_nv_fund",AA$3,$A270))</f>
        <v/>
      </c>
      <c r="AB270" s="13">
        <f>IF($A270="","",[1]!thsiFinD("ths_adjustment_nv_fund",AB$3,$A270))</f>
        <v/>
      </c>
      <c r="AC270" s="13">
        <f>IF($A270="","",[1]!thsiFinD("ths_adjustment_nv_fund",AC$3,$A270))</f>
        <v/>
      </c>
      <c r="AD270" s="13">
        <f>IF($A270="","",[1]!thsiFinD("ths_adjustment_nv_fund",AD$3,$A270))</f>
        <v/>
      </c>
      <c r="AE270" s="13">
        <f>IF($A270="","",[1]!thsiFinD("ths_adjustment_nv_fund",AE$3,$A270))</f>
        <v/>
      </c>
      <c r="AF270" s="13">
        <f>IF($A270="","",[1]!thsiFinD("ths_adjustment_nv_fund",AF$3,$A270))</f>
        <v/>
      </c>
      <c r="AG270" s="13">
        <f>IF($A270="","",[1]!thsiFinD("ths_adjustment_nv_fund",AG$3,$A270))</f>
        <v/>
      </c>
      <c r="AH270" s="13">
        <f>IF($A270="","",[1]!thsiFinD("ths_adjustment_nv_fund",AH$3,$A270))</f>
        <v/>
      </c>
      <c r="AI270" s="13">
        <f>IF($A270="","",[1]!thsiFinD("ths_adjustment_nv_fund",AI$3,$A270))</f>
        <v/>
      </c>
      <c r="AJ270" s="13">
        <f>IF($A270="","",[1]!thsiFinD("ths_adjustment_nv_fund",AJ$3,$A270))</f>
        <v/>
      </c>
      <c r="AK270" s="13">
        <f>IF($A270="","",[1]!thsiFinD("ths_adjustment_nv_fund",AK$3,$A270))</f>
        <v/>
      </c>
      <c r="AL270" s="13">
        <f>IF($A270="","",[1]!thsiFinD("ths_adjustment_nv_fund",AL$3,$A270))</f>
        <v/>
      </c>
    </row>
    <row r="271" spans="2:28">
      <c r="B271" s="13" t="str">
        <f>IF($A271="","",[1]!thsiFinD("ths_adjustment_nv_fund",B$3,$A271))</f>
        <v/>
      </c>
      <c r="C271" s="13" t="str">
        <f>IF($A271="","",[1]!thsiFinD("ths_adjustment_nv_fund",C$3,$A271))</f>
        <v/>
      </c>
      <c r="D271" s="13" t="str">
        <f>IF($A271="","",[1]!thsiFinD("ths_adjustment_nv_fund",D$3,$A271))</f>
        <v/>
      </c>
      <c r="E271" s="13" t="str">
        <f>IF($A271="","",[1]!thsiFinD("ths_adjustment_nv_fund",E$3,$A271))</f>
        <v/>
      </c>
      <c r="F271" s="13" t="str">
        <f>IF($A271="","",[1]!thsiFinD("ths_adjustment_nv_fund",F$3,$A271))</f>
        <v/>
      </c>
      <c r="G271" s="13" t="str">
        <f>IF($A271="","",[1]!thsiFinD("ths_adjustment_nv_fund",G$3,$A271))</f>
        <v/>
      </c>
      <c r="H271" s="13" t="str">
        <f>IF($A271="","",[1]!thsiFinD("ths_adjustment_nv_fund",H$3,$A271))</f>
        <v/>
      </c>
      <c r="I271" s="13" t="str">
        <f>IF($A271="","",[1]!thsiFinD("ths_adjustment_nv_fund",I$3,$A271))</f>
        <v/>
      </c>
      <c r="J271" s="13" t="str">
        <f>IF($A271="","",[1]!thsiFinD("ths_adjustment_nv_fund",J$3,$A271))</f>
        <v/>
      </c>
      <c r="K271" s="13" t="str">
        <f>IF($A271="","",[1]!thsiFinD("ths_adjustment_nv_fund",K$3,$A271))</f>
        <v/>
      </c>
      <c r="L271" s="13" t="str">
        <f>IF($A271="","",[1]!thsiFinD("ths_adjustment_nv_fund",L$3,$A271))</f>
        <v/>
      </c>
      <c r="M271" s="13" t="str">
        <f>IF($A271="","",[1]!thsiFinD("ths_adjustment_nv_fund",M$3,$A271))</f>
        <v/>
      </c>
      <c r="N271" s="13" t="str">
        <f>IF($A271="","",[1]!thsiFinD("ths_adjustment_nv_fund",N$3,$A271))</f>
        <v/>
      </c>
      <c r="O271" s="13" t="str">
        <f>IF($A271="","",[1]!thsiFinD("ths_adjustment_nv_fund",O$3,$A271))</f>
        <v/>
      </c>
      <c r="P271" s="13" t="str">
        <f>IF($A271="","",[1]!thsiFinD("ths_adjustment_nv_fund",P$3,$A271))</f>
        <v/>
      </c>
      <c r="Q271" s="13" t="str">
        <f>IF($A271="","",[1]!thsiFinD("ths_adjustment_nv_fund",Q$3,$A271))</f>
        <v/>
      </c>
      <c r="R271" s="13" t="str">
        <f>IF($A271="","",[1]!thsiFinD("ths_adjustment_nv_fund",R$3,$A271))</f>
        <v/>
      </c>
      <c r="S271" s="13" t="str">
        <f>IF($A271="","",[1]!thsiFinD("ths_adjustment_nv_fund",S$3,$A271))</f>
        <v/>
      </c>
      <c r="T271" s="13" t="str">
        <f>IF($A271="","",[1]!thsiFinD("ths_adjustment_nv_fund",T$3,$A271))</f>
        <v/>
      </c>
      <c r="U271" s="13" t="str">
        <f>IF($A271="","",[1]!thsiFinD("ths_adjustment_nv_fund",U$3,$A271))</f>
        <v/>
      </c>
      <c r="V271" s="13" t="str">
        <f>IF($A271="","",[1]!thsiFinD("ths_adjustment_nv_fund",V$3,$A271))</f>
        <v/>
      </c>
      <c r="W271" s="13" t="str">
        <f>IF($A271="","",[1]!thsiFinD("ths_adjustment_nv_fund",W$3,$A271))</f>
        <v/>
      </c>
      <c r="X271" s="13" t="str">
        <f>IF($A271="","",[1]!thsiFinD("ths_adjustment_nv_fund",X$3,$A271))</f>
        <v/>
      </c>
      <c r="Y271" s="13" t="str">
        <f>IF($A271="","",[1]!thsiFinD("ths_adjustment_nv_fund",Y$3,$A271))</f>
        <v/>
      </c>
      <c r="Z271" s="13" t="str">
        <f>IF($A271="","",[1]!thsiFinD("ths_adjustment_nv_fund",Z$3,$A271))</f>
        <v/>
      </c>
      <c r="AA271" s="13" t="str">
        <f>IF($A271="","",[1]!thsiFinD("ths_adjustment_nv_fund",AA$3,$A271))</f>
        <v/>
      </c>
      <c r="AB271" s="13">
        <f>IF($A271="","",[1]!thsiFinD("ths_adjustment_nv_fund",AB$3,$A271))</f>
        <v/>
      </c>
      <c r="AC271" s="13">
        <f>IF($A271="","",[1]!thsiFinD("ths_adjustment_nv_fund",AC$3,$A271))</f>
        <v/>
      </c>
      <c r="AD271" s="13">
        <f>IF($A271="","",[1]!thsiFinD("ths_adjustment_nv_fund",AD$3,$A271))</f>
        <v/>
      </c>
      <c r="AE271" s="13">
        <f>IF($A271="","",[1]!thsiFinD("ths_adjustment_nv_fund",AE$3,$A271))</f>
        <v/>
      </c>
      <c r="AF271" s="13">
        <f>IF($A271="","",[1]!thsiFinD("ths_adjustment_nv_fund",AF$3,$A271))</f>
        <v/>
      </c>
      <c r="AG271" s="13">
        <f>IF($A271="","",[1]!thsiFinD("ths_adjustment_nv_fund",AG$3,$A271))</f>
        <v/>
      </c>
      <c r="AH271" s="13">
        <f>IF($A271="","",[1]!thsiFinD("ths_adjustment_nv_fund",AH$3,$A271))</f>
        <v/>
      </c>
      <c r="AI271" s="13">
        <f>IF($A271="","",[1]!thsiFinD("ths_adjustment_nv_fund",AI$3,$A271))</f>
        <v/>
      </c>
      <c r="AJ271" s="13">
        <f>IF($A271="","",[1]!thsiFinD("ths_adjustment_nv_fund",AJ$3,$A271))</f>
        <v/>
      </c>
      <c r="AK271" s="13">
        <f>IF($A271="","",[1]!thsiFinD("ths_adjustment_nv_fund",AK$3,$A271))</f>
        <v/>
      </c>
      <c r="AL271" s="13">
        <f>IF($A271="","",[1]!thsiFinD("ths_adjustment_nv_fund",AL$3,$A271))</f>
        <v/>
      </c>
    </row>
    <row r="272" spans="2:28">
      <c r="B272" s="13" t="str">
        <f>IF($A272="","",[1]!thsiFinD("ths_adjustment_nv_fund",B$3,$A272))</f>
        <v/>
      </c>
      <c r="C272" s="13" t="str">
        <f>IF($A272="","",[1]!thsiFinD("ths_adjustment_nv_fund",C$3,$A272))</f>
        <v/>
      </c>
      <c r="D272" s="13" t="str">
        <f>IF($A272="","",[1]!thsiFinD("ths_adjustment_nv_fund",D$3,$A272))</f>
        <v/>
      </c>
      <c r="E272" s="13" t="str">
        <f>IF($A272="","",[1]!thsiFinD("ths_adjustment_nv_fund",E$3,$A272))</f>
        <v/>
      </c>
      <c r="F272" s="13" t="str">
        <f>IF($A272="","",[1]!thsiFinD("ths_adjustment_nv_fund",F$3,$A272))</f>
        <v/>
      </c>
      <c r="G272" s="13" t="str">
        <f>IF($A272="","",[1]!thsiFinD("ths_adjustment_nv_fund",G$3,$A272))</f>
        <v/>
      </c>
      <c r="H272" s="13" t="str">
        <f>IF($A272="","",[1]!thsiFinD("ths_adjustment_nv_fund",H$3,$A272))</f>
        <v/>
      </c>
      <c r="I272" s="13" t="str">
        <f>IF($A272="","",[1]!thsiFinD("ths_adjustment_nv_fund",I$3,$A272))</f>
        <v/>
      </c>
      <c r="J272" s="13" t="str">
        <f>IF($A272="","",[1]!thsiFinD("ths_adjustment_nv_fund",J$3,$A272))</f>
        <v/>
      </c>
      <c r="K272" s="13" t="str">
        <f>IF($A272="","",[1]!thsiFinD("ths_adjustment_nv_fund",K$3,$A272))</f>
        <v/>
      </c>
      <c r="L272" s="13" t="str">
        <f>IF($A272="","",[1]!thsiFinD("ths_adjustment_nv_fund",L$3,$A272))</f>
        <v/>
      </c>
      <c r="M272" s="13" t="str">
        <f>IF($A272="","",[1]!thsiFinD("ths_adjustment_nv_fund",M$3,$A272))</f>
        <v/>
      </c>
      <c r="N272" s="13" t="str">
        <f>IF($A272="","",[1]!thsiFinD("ths_adjustment_nv_fund",N$3,$A272))</f>
        <v/>
      </c>
      <c r="O272" s="13" t="str">
        <f>IF($A272="","",[1]!thsiFinD("ths_adjustment_nv_fund",O$3,$A272))</f>
        <v/>
      </c>
      <c r="P272" s="13" t="str">
        <f>IF($A272="","",[1]!thsiFinD("ths_adjustment_nv_fund",P$3,$A272))</f>
        <v/>
      </c>
      <c r="Q272" s="13" t="str">
        <f>IF($A272="","",[1]!thsiFinD("ths_adjustment_nv_fund",Q$3,$A272))</f>
        <v/>
      </c>
      <c r="R272" s="13" t="str">
        <f>IF($A272="","",[1]!thsiFinD("ths_adjustment_nv_fund",R$3,$A272))</f>
        <v/>
      </c>
      <c r="S272" s="13" t="str">
        <f>IF($A272="","",[1]!thsiFinD("ths_adjustment_nv_fund",S$3,$A272))</f>
        <v/>
      </c>
      <c r="T272" s="13" t="str">
        <f>IF($A272="","",[1]!thsiFinD("ths_adjustment_nv_fund",T$3,$A272))</f>
        <v/>
      </c>
      <c r="U272" s="13" t="str">
        <f>IF($A272="","",[1]!thsiFinD("ths_adjustment_nv_fund",U$3,$A272))</f>
        <v/>
      </c>
      <c r="V272" s="13" t="str">
        <f>IF($A272="","",[1]!thsiFinD("ths_adjustment_nv_fund",V$3,$A272))</f>
        <v/>
      </c>
      <c r="W272" s="13" t="str">
        <f>IF($A272="","",[1]!thsiFinD("ths_adjustment_nv_fund",W$3,$A272))</f>
        <v/>
      </c>
      <c r="X272" s="13" t="str">
        <f>IF($A272="","",[1]!thsiFinD("ths_adjustment_nv_fund",X$3,$A272))</f>
        <v/>
      </c>
      <c r="Y272" s="13" t="str">
        <f>IF($A272="","",[1]!thsiFinD("ths_adjustment_nv_fund",Y$3,$A272))</f>
        <v/>
      </c>
      <c r="Z272" s="13" t="str">
        <f>IF($A272="","",[1]!thsiFinD("ths_adjustment_nv_fund",Z$3,$A272))</f>
        <v/>
      </c>
      <c r="AA272" s="13" t="str">
        <f>IF($A272="","",[1]!thsiFinD("ths_adjustment_nv_fund",AA$3,$A272))</f>
        <v/>
      </c>
      <c r="AB272" s="13">
        <f>IF($A272="","",[1]!thsiFinD("ths_adjustment_nv_fund",AB$3,$A272))</f>
        <v/>
      </c>
      <c r="AC272" s="13">
        <f>IF($A272="","",[1]!thsiFinD("ths_adjustment_nv_fund",AC$3,$A272))</f>
        <v/>
      </c>
      <c r="AD272" s="13">
        <f>IF($A272="","",[1]!thsiFinD("ths_adjustment_nv_fund",AD$3,$A272))</f>
        <v/>
      </c>
      <c r="AE272" s="13">
        <f>IF($A272="","",[1]!thsiFinD("ths_adjustment_nv_fund",AE$3,$A272))</f>
        <v/>
      </c>
      <c r="AF272" s="13">
        <f>IF($A272="","",[1]!thsiFinD("ths_adjustment_nv_fund",AF$3,$A272))</f>
        <v/>
      </c>
      <c r="AG272" s="13">
        <f>IF($A272="","",[1]!thsiFinD("ths_adjustment_nv_fund",AG$3,$A272))</f>
        <v/>
      </c>
      <c r="AH272" s="13">
        <f>IF($A272="","",[1]!thsiFinD("ths_adjustment_nv_fund",AH$3,$A272))</f>
        <v/>
      </c>
      <c r="AI272" s="13">
        <f>IF($A272="","",[1]!thsiFinD("ths_adjustment_nv_fund",AI$3,$A272))</f>
        <v/>
      </c>
      <c r="AJ272" s="13">
        <f>IF($A272="","",[1]!thsiFinD("ths_adjustment_nv_fund",AJ$3,$A272))</f>
        <v/>
      </c>
      <c r="AK272" s="13">
        <f>IF($A272="","",[1]!thsiFinD("ths_adjustment_nv_fund",AK$3,$A272))</f>
        <v/>
      </c>
      <c r="AL272" s="13">
        <f>IF($A272="","",[1]!thsiFinD("ths_adjustment_nv_fund",AL$3,$A272))</f>
        <v/>
      </c>
    </row>
    <row r="273" spans="2:28">
      <c r="B273" s="13" t="str">
        <f>IF($A273="","",[1]!thsiFinD("ths_adjustment_nv_fund",B$3,$A273))</f>
        <v/>
      </c>
      <c r="C273" s="13" t="str">
        <f>IF($A273="","",[1]!thsiFinD("ths_adjustment_nv_fund",C$3,$A273))</f>
        <v/>
      </c>
      <c r="D273" s="13" t="str">
        <f>IF($A273="","",[1]!thsiFinD("ths_adjustment_nv_fund",D$3,$A273))</f>
        <v/>
      </c>
      <c r="E273" s="13" t="str">
        <f>IF($A273="","",[1]!thsiFinD("ths_adjustment_nv_fund",E$3,$A273))</f>
        <v/>
      </c>
      <c r="F273" s="13" t="str">
        <f>IF($A273="","",[1]!thsiFinD("ths_adjustment_nv_fund",F$3,$A273))</f>
        <v/>
      </c>
      <c r="G273" s="13" t="str">
        <f>IF($A273="","",[1]!thsiFinD("ths_adjustment_nv_fund",G$3,$A273))</f>
        <v/>
      </c>
      <c r="H273" s="13" t="str">
        <f>IF($A273="","",[1]!thsiFinD("ths_adjustment_nv_fund",H$3,$A273))</f>
        <v/>
      </c>
      <c r="I273" s="13" t="str">
        <f>IF($A273="","",[1]!thsiFinD("ths_adjustment_nv_fund",I$3,$A273))</f>
        <v/>
      </c>
      <c r="J273" s="13" t="str">
        <f>IF($A273="","",[1]!thsiFinD("ths_adjustment_nv_fund",J$3,$A273))</f>
        <v/>
      </c>
      <c r="K273" s="13" t="str">
        <f>IF($A273="","",[1]!thsiFinD("ths_adjustment_nv_fund",K$3,$A273))</f>
        <v/>
      </c>
      <c r="L273" s="13" t="str">
        <f>IF($A273="","",[1]!thsiFinD("ths_adjustment_nv_fund",L$3,$A273))</f>
        <v/>
      </c>
      <c r="M273" s="13" t="str">
        <f>IF($A273="","",[1]!thsiFinD("ths_adjustment_nv_fund",M$3,$A273))</f>
        <v/>
      </c>
      <c r="N273" s="13" t="str">
        <f>IF($A273="","",[1]!thsiFinD("ths_adjustment_nv_fund",N$3,$A273))</f>
        <v/>
      </c>
      <c r="O273" s="13" t="str">
        <f>IF($A273="","",[1]!thsiFinD("ths_adjustment_nv_fund",O$3,$A273))</f>
        <v/>
      </c>
      <c r="P273" s="13" t="str">
        <f>IF($A273="","",[1]!thsiFinD("ths_adjustment_nv_fund",P$3,$A273))</f>
        <v/>
      </c>
      <c r="Q273" s="13" t="str">
        <f>IF($A273="","",[1]!thsiFinD("ths_adjustment_nv_fund",Q$3,$A273))</f>
        <v/>
      </c>
      <c r="R273" s="13" t="str">
        <f>IF($A273="","",[1]!thsiFinD("ths_adjustment_nv_fund",R$3,$A273))</f>
        <v/>
      </c>
      <c r="S273" s="13" t="str">
        <f>IF($A273="","",[1]!thsiFinD("ths_adjustment_nv_fund",S$3,$A273))</f>
        <v/>
      </c>
      <c r="T273" s="13" t="str">
        <f>IF($A273="","",[1]!thsiFinD("ths_adjustment_nv_fund",T$3,$A273))</f>
        <v/>
      </c>
      <c r="U273" s="13" t="str">
        <f>IF($A273="","",[1]!thsiFinD("ths_adjustment_nv_fund",U$3,$A273))</f>
        <v/>
      </c>
      <c r="V273" s="13" t="str">
        <f>IF($A273="","",[1]!thsiFinD("ths_adjustment_nv_fund",V$3,$A273))</f>
        <v/>
      </c>
      <c r="W273" s="13" t="str">
        <f>IF($A273="","",[1]!thsiFinD("ths_adjustment_nv_fund",W$3,$A273))</f>
        <v/>
      </c>
      <c r="X273" s="13" t="str">
        <f>IF($A273="","",[1]!thsiFinD("ths_adjustment_nv_fund",X$3,$A273))</f>
        <v/>
      </c>
      <c r="Y273" s="13" t="str">
        <f>IF($A273="","",[1]!thsiFinD("ths_adjustment_nv_fund",Y$3,$A273))</f>
        <v/>
      </c>
      <c r="Z273" s="13" t="str">
        <f>IF($A273="","",[1]!thsiFinD("ths_adjustment_nv_fund",Z$3,$A273))</f>
        <v/>
      </c>
      <c r="AA273" s="13" t="str">
        <f>IF($A273="","",[1]!thsiFinD("ths_adjustment_nv_fund",AA$3,$A273))</f>
        <v/>
      </c>
      <c r="AB273" s="13">
        <f>IF($A273="","",[1]!thsiFinD("ths_adjustment_nv_fund",AB$3,$A273))</f>
        <v/>
      </c>
      <c r="AC273" s="13">
        <f>IF($A273="","",[1]!thsiFinD("ths_adjustment_nv_fund",AC$3,$A273))</f>
        <v/>
      </c>
      <c r="AD273" s="13">
        <f>IF($A273="","",[1]!thsiFinD("ths_adjustment_nv_fund",AD$3,$A273))</f>
        <v/>
      </c>
      <c r="AE273" s="13">
        <f>IF($A273="","",[1]!thsiFinD("ths_adjustment_nv_fund",AE$3,$A273))</f>
        <v/>
      </c>
      <c r="AF273" s="13">
        <f>IF($A273="","",[1]!thsiFinD("ths_adjustment_nv_fund",AF$3,$A273))</f>
        <v/>
      </c>
      <c r="AG273" s="13">
        <f>IF($A273="","",[1]!thsiFinD("ths_adjustment_nv_fund",AG$3,$A273))</f>
        <v/>
      </c>
      <c r="AH273" s="13">
        <f>IF($A273="","",[1]!thsiFinD("ths_adjustment_nv_fund",AH$3,$A273))</f>
        <v/>
      </c>
      <c r="AI273" s="13">
        <f>IF($A273="","",[1]!thsiFinD("ths_adjustment_nv_fund",AI$3,$A273))</f>
        <v/>
      </c>
      <c r="AJ273" s="13">
        <f>IF($A273="","",[1]!thsiFinD("ths_adjustment_nv_fund",AJ$3,$A273))</f>
        <v/>
      </c>
      <c r="AK273" s="13">
        <f>IF($A273="","",[1]!thsiFinD("ths_adjustment_nv_fund",AK$3,$A273))</f>
        <v/>
      </c>
      <c r="AL273" s="13">
        <f>IF($A273="","",[1]!thsiFinD("ths_adjustment_nv_fund",AL$3,$A273))</f>
        <v/>
      </c>
    </row>
    <row r="274" spans="2:28">
      <c r="B274" s="13" t="str">
        <f>IF($A274="","",[1]!thsiFinD("ths_adjustment_nv_fund",B$3,$A274))</f>
        <v/>
      </c>
      <c r="C274" s="13" t="str">
        <f>IF($A274="","",[1]!thsiFinD("ths_adjustment_nv_fund",C$3,$A274))</f>
        <v/>
      </c>
      <c r="D274" s="13" t="str">
        <f>IF($A274="","",[1]!thsiFinD("ths_adjustment_nv_fund",D$3,$A274))</f>
        <v/>
      </c>
      <c r="E274" s="13" t="str">
        <f>IF($A274="","",[1]!thsiFinD("ths_adjustment_nv_fund",E$3,$A274))</f>
        <v/>
      </c>
      <c r="F274" s="13" t="str">
        <f>IF($A274="","",[1]!thsiFinD("ths_adjustment_nv_fund",F$3,$A274))</f>
        <v/>
      </c>
      <c r="G274" s="13" t="str">
        <f>IF($A274="","",[1]!thsiFinD("ths_adjustment_nv_fund",G$3,$A274))</f>
        <v/>
      </c>
      <c r="H274" s="13" t="str">
        <f>IF($A274="","",[1]!thsiFinD("ths_adjustment_nv_fund",H$3,$A274))</f>
        <v/>
      </c>
      <c r="I274" s="13" t="str">
        <f>IF($A274="","",[1]!thsiFinD("ths_adjustment_nv_fund",I$3,$A274))</f>
        <v/>
      </c>
      <c r="J274" s="13" t="str">
        <f>IF($A274="","",[1]!thsiFinD("ths_adjustment_nv_fund",J$3,$A274))</f>
        <v/>
      </c>
      <c r="K274" s="13" t="str">
        <f>IF($A274="","",[1]!thsiFinD("ths_adjustment_nv_fund",K$3,$A274))</f>
        <v/>
      </c>
      <c r="L274" s="13" t="str">
        <f>IF($A274="","",[1]!thsiFinD("ths_adjustment_nv_fund",L$3,$A274))</f>
        <v/>
      </c>
      <c r="M274" s="13" t="str">
        <f>IF($A274="","",[1]!thsiFinD("ths_adjustment_nv_fund",M$3,$A274))</f>
        <v/>
      </c>
      <c r="N274" s="13" t="str">
        <f>IF($A274="","",[1]!thsiFinD("ths_adjustment_nv_fund",N$3,$A274))</f>
        <v/>
      </c>
      <c r="O274" s="13" t="str">
        <f>IF($A274="","",[1]!thsiFinD("ths_adjustment_nv_fund",O$3,$A274))</f>
        <v/>
      </c>
      <c r="P274" s="13" t="str">
        <f>IF($A274="","",[1]!thsiFinD("ths_adjustment_nv_fund",P$3,$A274))</f>
        <v/>
      </c>
      <c r="Q274" s="13" t="str">
        <f>IF($A274="","",[1]!thsiFinD("ths_adjustment_nv_fund",Q$3,$A274))</f>
        <v/>
      </c>
      <c r="R274" s="13" t="str">
        <f>IF($A274="","",[1]!thsiFinD("ths_adjustment_nv_fund",R$3,$A274))</f>
        <v/>
      </c>
      <c r="S274" s="13" t="str">
        <f>IF($A274="","",[1]!thsiFinD("ths_adjustment_nv_fund",S$3,$A274))</f>
        <v/>
      </c>
      <c r="T274" s="13" t="str">
        <f>IF($A274="","",[1]!thsiFinD("ths_adjustment_nv_fund",T$3,$A274))</f>
        <v/>
      </c>
      <c r="U274" s="13" t="str">
        <f>IF($A274="","",[1]!thsiFinD("ths_adjustment_nv_fund",U$3,$A274))</f>
        <v/>
      </c>
      <c r="V274" s="13" t="str">
        <f>IF($A274="","",[1]!thsiFinD("ths_adjustment_nv_fund",V$3,$A274))</f>
        <v/>
      </c>
      <c r="W274" s="13" t="str">
        <f>IF($A274="","",[1]!thsiFinD("ths_adjustment_nv_fund",W$3,$A274))</f>
        <v/>
      </c>
      <c r="X274" s="13" t="str">
        <f>IF($A274="","",[1]!thsiFinD("ths_adjustment_nv_fund",X$3,$A274))</f>
        <v/>
      </c>
      <c r="Y274" s="13" t="str">
        <f>IF($A274="","",[1]!thsiFinD("ths_adjustment_nv_fund",Y$3,$A274))</f>
        <v/>
      </c>
      <c r="Z274" s="13" t="str">
        <f>IF($A274="","",[1]!thsiFinD("ths_adjustment_nv_fund",Z$3,$A274))</f>
        <v/>
      </c>
      <c r="AA274" s="13" t="str">
        <f>IF($A274="","",[1]!thsiFinD("ths_adjustment_nv_fund",AA$3,$A274))</f>
        <v/>
      </c>
      <c r="AB274" s="13">
        <f>IF($A274="","",[1]!thsiFinD("ths_adjustment_nv_fund",AB$3,$A274))</f>
        <v/>
      </c>
      <c r="AC274" s="13">
        <f>IF($A274="","",[1]!thsiFinD("ths_adjustment_nv_fund",AC$3,$A274))</f>
        <v/>
      </c>
      <c r="AD274" s="13">
        <f>IF($A274="","",[1]!thsiFinD("ths_adjustment_nv_fund",AD$3,$A274))</f>
        <v/>
      </c>
      <c r="AE274" s="13">
        <f>IF($A274="","",[1]!thsiFinD("ths_adjustment_nv_fund",AE$3,$A274))</f>
        <v/>
      </c>
      <c r="AF274" s="13">
        <f>IF($A274="","",[1]!thsiFinD("ths_adjustment_nv_fund",AF$3,$A274))</f>
        <v/>
      </c>
      <c r="AG274" s="13">
        <f>IF($A274="","",[1]!thsiFinD("ths_adjustment_nv_fund",AG$3,$A274))</f>
        <v/>
      </c>
      <c r="AH274" s="13">
        <f>IF($A274="","",[1]!thsiFinD("ths_adjustment_nv_fund",AH$3,$A274))</f>
        <v/>
      </c>
      <c r="AI274" s="13">
        <f>IF($A274="","",[1]!thsiFinD("ths_adjustment_nv_fund",AI$3,$A274))</f>
        <v/>
      </c>
      <c r="AJ274" s="13">
        <f>IF($A274="","",[1]!thsiFinD("ths_adjustment_nv_fund",AJ$3,$A274))</f>
        <v/>
      </c>
      <c r="AK274" s="13">
        <f>IF($A274="","",[1]!thsiFinD("ths_adjustment_nv_fund",AK$3,$A274))</f>
        <v/>
      </c>
      <c r="AL274" s="13">
        <f>IF($A274="","",[1]!thsiFinD("ths_adjustment_nv_fund",AL$3,$A274))</f>
        <v/>
      </c>
    </row>
    <row r="275" spans="2:28">
      <c r="B275" s="13" t="str">
        <f>IF($A275="","",[1]!thsiFinD("ths_adjustment_nv_fund",B$3,$A275))</f>
        <v/>
      </c>
      <c r="C275" s="13" t="str">
        <f>IF($A275="","",[1]!thsiFinD("ths_adjustment_nv_fund",C$3,$A275))</f>
        <v/>
      </c>
      <c r="D275" s="13" t="str">
        <f>IF($A275="","",[1]!thsiFinD("ths_adjustment_nv_fund",D$3,$A275))</f>
        <v/>
      </c>
      <c r="E275" s="13" t="str">
        <f>IF($A275="","",[1]!thsiFinD("ths_adjustment_nv_fund",E$3,$A275))</f>
        <v/>
      </c>
      <c r="F275" s="13" t="str">
        <f>IF($A275="","",[1]!thsiFinD("ths_adjustment_nv_fund",F$3,$A275))</f>
        <v/>
      </c>
      <c r="G275" s="13" t="str">
        <f>IF($A275="","",[1]!thsiFinD("ths_adjustment_nv_fund",G$3,$A275))</f>
        <v/>
      </c>
      <c r="H275" s="13" t="str">
        <f>IF($A275="","",[1]!thsiFinD("ths_adjustment_nv_fund",H$3,$A275))</f>
        <v/>
      </c>
      <c r="I275" s="13" t="str">
        <f>IF($A275="","",[1]!thsiFinD("ths_adjustment_nv_fund",I$3,$A275))</f>
        <v/>
      </c>
      <c r="J275" s="13" t="str">
        <f>IF($A275="","",[1]!thsiFinD("ths_adjustment_nv_fund",J$3,$A275))</f>
        <v/>
      </c>
      <c r="K275" s="13" t="str">
        <f>IF($A275="","",[1]!thsiFinD("ths_adjustment_nv_fund",K$3,$A275))</f>
        <v/>
      </c>
      <c r="L275" s="13" t="str">
        <f>IF($A275="","",[1]!thsiFinD("ths_adjustment_nv_fund",L$3,$A275))</f>
        <v/>
      </c>
      <c r="M275" s="13" t="str">
        <f>IF($A275="","",[1]!thsiFinD("ths_adjustment_nv_fund",M$3,$A275))</f>
        <v/>
      </c>
      <c r="N275" s="13" t="str">
        <f>IF($A275="","",[1]!thsiFinD("ths_adjustment_nv_fund",N$3,$A275))</f>
        <v/>
      </c>
      <c r="O275" s="13" t="str">
        <f>IF($A275="","",[1]!thsiFinD("ths_adjustment_nv_fund",O$3,$A275))</f>
        <v/>
      </c>
      <c r="P275" s="13" t="str">
        <f>IF($A275="","",[1]!thsiFinD("ths_adjustment_nv_fund",P$3,$A275))</f>
        <v/>
      </c>
      <c r="Q275" s="13" t="str">
        <f>IF($A275="","",[1]!thsiFinD("ths_adjustment_nv_fund",Q$3,$A275))</f>
        <v/>
      </c>
      <c r="R275" s="13" t="str">
        <f>IF($A275="","",[1]!thsiFinD("ths_adjustment_nv_fund",R$3,$A275))</f>
        <v/>
      </c>
      <c r="S275" s="13" t="str">
        <f>IF($A275="","",[1]!thsiFinD("ths_adjustment_nv_fund",S$3,$A275))</f>
        <v/>
      </c>
      <c r="T275" s="13" t="str">
        <f>IF($A275="","",[1]!thsiFinD("ths_adjustment_nv_fund",T$3,$A275))</f>
        <v/>
      </c>
      <c r="U275" s="13" t="str">
        <f>IF($A275="","",[1]!thsiFinD("ths_adjustment_nv_fund",U$3,$A275))</f>
        <v/>
      </c>
      <c r="V275" s="13" t="str">
        <f>IF($A275="","",[1]!thsiFinD("ths_adjustment_nv_fund",V$3,$A275))</f>
        <v/>
      </c>
      <c r="W275" s="13" t="str">
        <f>IF($A275="","",[1]!thsiFinD("ths_adjustment_nv_fund",W$3,$A275))</f>
        <v/>
      </c>
      <c r="X275" s="13" t="str">
        <f>IF($A275="","",[1]!thsiFinD("ths_adjustment_nv_fund",X$3,$A275))</f>
        <v/>
      </c>
      <c r="Y275" s="13" t="str">
        <f>IF($A275="","",[1]!thsiFinD("ths_adjustment_nv_fund",Y$3,$A275))</f>
        <v/>
      </c>
      <c r="Z275" s="13" t="str">
        <f>IF($A275="","",[1]!thsiFinD("ths_adjustment_nv_fund",Z$3,$A275))</f>
        <v/>
      </c>
      <c r="AA275" s="13" t="str">
        <f>IF($A275="","",[1]!thsiFinD("ths_adjustment_nv_fund",AA$3,$A275))</f>
        <v/>
      </c>
      <c r="AB275" s="13">
        <f>IF($A275="","",[1]!thsiFinD("ths_adjustment_nv_fund",AB$3,$A275))</f>
        <v/>
      </c>
      <c r="AC275" s="13">
        <f>IF($A275="","",[1]!thsiFinD("ths_adjustment_nv_fund",AC$3,$A275))</f>
        <v/>
      </c>
      <c r="AD275" s="13">
        <f>IF($A275="","",[1]!thsiFinD("ths_adjustment_nv_fund",AD$3,$A275))</f>
        <v/>
      </c>
      <c r="AE275" s="13">
        <f>IF($A275="","",[1]!thsiFinD("ths_adjustment_nv_fund",AE$3,$A275))</f>
        <v/>
      </c>
      <c r="AF275" s="13">
        <f>IF($A275="","",[1]!thsiFinD("ths_adjustment_nv_fund",AF$3,$A275))</f>
        <v/>
      </c>
      <c r="AG275" s="13">
        <f>IF($A275="","",[1]!thsiFinD("ths_adjustment_nv_fund",AG$3,$A275))</f>
        <v/>
      </c>
      <c r="AH275" s="13">
        <f>IF($A275="","",[1]!thsiFinD("ths_adjustment_nv_fund",AH$3,$A275))</f>
        <v/>
      </c>
      <c r="AI275" s="13">
        <f>IF($A275="","",[1]!thsiFinD("ths_adjustment_nv_fund",AI$3,$A275))</f>
        <v/>
      </c>
      <c r="AJ275" s="13">
        <f>IF($A275="","",[1]!thsiFinD("ths_adjustment_nv_fund",AJ$3,$A275))</f>
        <v/>
      </c>
      <c r="AK275" s="13">
        <f>IF($A275="","",[1]!thsiFinD("ths_adjustment_nv_fund",AK$3,$A275))</f>
        <v/>
      </c>
      <c r="AL275" s="13">
        <f>IF($A275="","",[1]!thsiFinD("ths_adjustment_nv_fund",AL$3,$A275))</f>
        <v/>
      </c>
    </row>
    <row r="276" spans="2:28">
      <c r="B276" s="13" t="str">
        <f>IF($A276="","",[1]!thsiFinD("ths_adjustment_nv_fund",B$3,$A276))</f>
        <v/>
      </c>
      <c r="C276" s="13" t="str">
        <f>IF($A276="","",[1]!thsiFinD("ths_adjustment_nv_fund",C$3,$A276))</f>
        <v/>
      </c>
      <c r="D276" s="13" t="str">
        <f>IF($A276="","",[1]!thsiFinD("ths_adjustment_nv_fund",D$3,$A276))</f>
        <v/>
      </c>
      <c r="E276" s="13" t="str">
        <f>IF($A276="","",[1]!thsiFinD("ths_adjustment_nv_fund",E$3,$A276))</f>
        <v/>
      </c>
      <c r="F276" s="13" t="str">
        <f>IF($A276="","",[1]!thsiFinD("ths_adjustment_nv_fund",F$3,$A276))</f>
        <v/>
      </c>
      <c r="G276" s="13" t="str">
        <f>IF($A276="","",[1]!thsiFinD("ths_adjustment_nv_fund",G$3,$A276))</f>
        <v/>
      </c>
      <c r="H276" s="13" t="str">
        <f>IF($A276="","",[1]!thsiFinD("ths_adjustment_nv_fund",H$3,$A276))</f>
        <v/>
      </c>
      <c r="I276" s="13" t="str">
        <f>IF($A276="","",[1]!thsiFinD("ths_adjustment_nv_fund",I$3,$A276))</f>
        <v/>
      </c>
      <c r="J276" s="13" t="str">
        <f>IF($A276="","",[1]!thsiFinD("ths_adjustment_nv_fund",J$3,$A276))</f>
        <v/>
      </c>
      <c r="K276" s="13" t="str">
        <f>IF($A276="","",[1]!thsiFinD("ths_adjustment_nv_fund",K$3,$A276))</f>
        <v/>
      </c>
      <c r="L276" s="13" t="str">
        <f>IF($A276="","",[1]!thsiFinD("ths_adjustment_nv_fund",L$3,$A276))</f>
        <v/>
      </c>
      <c r="M276" s="13" t="str">
        <f>IF($A276="","",[1]!thsiFinD("ths_adjustment_nv_fund",M$3,$A276))</f>
        <v/>
      </c>
      <c r="N276" s="13" t="str">
        <f>IF($A276="","",[1]!thsiFinD("ths_adjustment_nv_fund",N$3,$A276))</f>
        <v/>
      </c>
      <c r="O276" s="13" t="str">
        <f>IF($A276="","",[1]!thsiFinD("ths_adjustment_nv_fund",O$3,$A276))</f>
        <v/>
      </c>
      <c r="P276" s="13" t="str">
        <f>IF($A276="","",[1]!thsiFinD("ths_adjustment_nv_fund",P$3,$A276))</f>
        <v/>
      </c>
      <c r="Q276" s="13" t="str">
        <f>IF($A276="","",[1]!thsiFinD("ths_adjustment_nv_fund",Q$3,$A276))</f>
        <v/>
      </c>
      <c r="R276" s="13" t="str">
        <f>IF($A276="","",[1]!thsiFinD("ths_adjustment_nv_fund",R$3,$A276))</f>
        <v/>
      </c>
      <c r="S276" s="13" t="str">
        <f>IF($A276="","",[1]!thsiFinD("ths_adjustment_nv_fund",S$3,$A276))</f>
        <v/>
      </c>
      <c r="T276" s="13" t="str">
        <f>IF($A276="","",[1]!thsiFinD("ths_adjustment_nv_fund",T$3,$A276))</f>
        <v/>
      </c>
      <c r="U276" s="13" t="str">
        <f>IF($A276="","",[1]!thsiFinD("ths_adjustment_nv_fund",U$3,$A276))</f>
        <v/>
      </c>
      <c r="V276" s="13" t="str">
        <f>IF($A276="","",[1]!thsiFinD("ths_adjustment_nv_fund",V$3,$A276))</f>
        <v/>
      </c>
      <c r="W276" s="13" t="str">
        <f>IF($A276="","",[1]!thsiFinD("ths_adjustment_nv_fund",W$3,$A276))</f>
        <v/>
      </c>
      <c r="X276" s="13" t="str">
        <f>IF($A276="","",[1]!thsiFinD("ths_adjustment_nv_fund",X$3,$A276))</f>
        <v/>
      </c>
      <c r="Y276" s="13" t="str">
        <f>IF($A276="","",[1]!thsiFinD("ths_adjustment_nv_fund",Y$3,$A276))</f>
        <v/>
      </c>
      <c r="Z276" s="13" t="str">
        <f>IF($A276="","",[1]!thsiFinD("ths_adjustment_nv_fund",Z$3,$A276))</f>
        <v/>
      </c>
      <c r="AA276" s="13" t="str">
        <f>IF($A276="","",[1]!thsiFinD("ths_adjustment_nv_fund",AA$3,$A276))</f>
        <v/>
      </c>
      <c r="AB276" s="13">
        <f>IF($A276="","",[1]!thsiFinD("ths_adjustment_nv_fund",AB$3,$A276))</f>
        <v/>
      </c>
      <c r="AC276" s="13">
        <f>IF($A276="","",[1]!thsiFinD("ths_adjustment_nv_fund",AC$3,$A276))</f>
        <v/>
      </c>
      <c r="AD276" s="13">
        <f>IF($A276="","",[1]!thsiFinD("ths_adjustment_nv_fund",AD$3,$A276))</f>
        <v/>
      </c>
      <c r="AE276" s="13">
        <f>IF($A276="","",[1]!thsiFinD("ths_adjustment_nv_fund",AE$3,$A276))</f>
        <v/>
      </c>
      <c r="AF276" s="13">
        <f>IF($A276="","",[1]!thsiFinD("ths_adjustment_nv_fund",AF$3,$A276))</f>
        <v/>
      </c>
      <c r="AG276" s="13">
        <f>IF($A276="","",[1]!thsiFinD("ths_adjustment_nv_fund",AG$3,$A276))</f>
        <v/>
      </c>
      <c r="AH276" s="13">
        <f>IF($A276="","",[1]!thsiFinD("ths_adjustment_nv_fund",AH$3,$A276))</f>
        <v/>
      </c>
      <c r="AI276" s="13">
        <f>IF($A276="","",[1]!thsiFinD("ths_adjustment_nv_fund",AI$3,$A276))</f>
        <v/>
      </c>
      <c r="AJ276" s="13">
        <f>IF($A276="","",[1]!thsiFinD("ths_adjustment_nv_fund",AJ$3,$A276))</f>
        <v/>
      </c>
      <c r="AK276" s="13">
        <f>IF($A276="","",[1]!thsiFinD("ths_adjustment_nv_fund",AK$3,$A276))</f>
        <v/>
      </c>
      <c r="AL276" s="13">
        <f>IF($A276="","",[1]!thsiFinD("ths_adjustment_nv_fund",AL$3,$A276))</f>
        <v/>
      </c>
    </row>
    <row r="277" spans="2:28">
      <c r="B277" s="13" t="str">
        <f>IF($A277="","",[1]!thsiFinD("ths_adjustment_nv_fund",B$3,$A277))</f>
        <v/>
      </c>
      <c r="C277" s="13" t="str">
        <f>IF($A277="","",[1]!thsiFinD("ths_adjustment_nv_fund",C$3,$A277))</f>
        <v/>
      </c>
      <c r="D277" s="13" t="str">
        <f>IF($A277="","",[1]!thsiFinD("ths_adjustment_nv_fund",D$3,$A277))</f>
        <v/>
      </c>
      <c r="E277" s="13" t="str">
        <f>IF($A277="","",[1]!thsiFinD("ths_adjustment_nv_fund",E$3,$A277))</f>
        <v/>
      </c>
      <c r="F277" s="13" t="str">
        <f>IF($A277="","",[1]!thsiFinD("ths_adjustment_nv_fund",F$3,$A277))</f>
        <v/>
      </c>
      <c r="G277" s="13" t="str">
        <f>IF($A277="","",[1]!thsiFinD("ths_adjustment_nv_fund",G$3,$A277))</f>
        <v/>
      </c>
      <c r="H277" s="13" t="str">
        <f>IF($A277="","",[1]!thsiFinD("ths_adjustment_nv_fund",H$3,$A277))</f>
        <v/>
      </c>
      <c r="I277" s="13" t="str">
        <f>IF($A277="","",[1]!thsiFinD("ths_adjustment_nv_fund",I$3,$A277))</f>
        <v/>
      </c>
      <c r="J277" s="13" t="str">
        <f>IF($A277="","",[1]!thsiFinD("ths_adjustment_nv_fund",J$3,$A277))</f>
        <v/>
      </c>
      <c r="K277" s="13" t="str">
        <f>IF($A277="","",[1]!thsiFinD("ths_adjustment_nv_fund",K$3,$A277))</f>
        <v/>
      </c>
      <c r="L277" s="13" t="str">
        <f>IF($A277="","",[1]!thsiFinD("ths_adjustment_nv_fund",L$3,$A277))</f>
        <v/>
      </c>
      <c r="M277" s="13" t="str">
        <f>IF($A277="","",[1]!thsiFinD("ths_adjustment_nv_fund",M$3,$A277))</f>
        <v/>
      </c>
      <c r="N277" s="13" t="str">
        <f>IF($A277="","",[1]!thsiFinD("ths_adjustment_nv_fund",N$3,$A277))</f>
        <v/>
      </c>
      <c r="O277" s="13" t="str">
        <f>IF($A277="","",[1]!thsiFinD("ths_adjustment_nv_fund",O$3,$A277))</f>
        <v/>
      </c>
      <c r="P277" s="13" t="str">
        <f>IF($A277="","",[1]!thsiFinD("ths_adjustment_nv_fund",P$3,$A277))</f>
        <v/>
      </c>
      <c r="Q277" s="13" t="str">
        <f>IF($A277="","",[1]!thsiFinD("ths_adjustment_nv_fund",Q$3,$A277))</f>
        <v/>
      </c>
      <c r="R277" s="13" t="str">
        <f>IF($A277="","",[1]!thsiFinD("ths_adjustment_nv_fund",R$3,$A277))</f>
        <v/>
      </c>
      <c r="S277" s="13" t="str">
        <f>IF($A277="","",[1]!thsiFinD("ths_adjustment_nv_fund",S$3,$A277))</f>
        <v/>
      </c>
      <c r="T277" s="13" t="str">
        <f>IF($A277="","",[1]!thsiFinD("ths_adjustment_nv_fund",T$3,$A277))</f>
        <v/>
      </c>
      <c r="U277" s="13" t="str">
        <f>IF($A277="","",[1]!thsiFinD("ths_adjustment_nv_fund",U$3,$A277))</f>
        <v/>
      </c>
      <c r="V277" s="13" t="str">
        <f>IF($A277="","",[1]!thsiFinD("ths_adjustment_nv_fund",V$3,$A277))</f>
        <v/>
      </c>
      <c r="W277" s="13" t="str">
        <f>IF($A277="","",[1]!thsiFinD("ths_adjustment_nv_fund",W$3,$A277))</f>
        <v/>
      </c>
      <c r="X277" s="13" t="str">
        <f>IF($A277="","",[1]!thsiFinD("ths_adjustment_nv_fund",X$3,$A277))</f>
        <v/>
      </c>
      <c r="Y277" s="13" t="str">
        <f>IF($A277="","",[1]!thsiFinD("ths_adjustment_nv_fund",Y$3,$A277))</f>
        <v/>
      </c>
      <c r="Z277" s="13" t="str">
        <f>IF($A277="","",[1]!thsiFinD("ths_adjustment_nv_fund",Z$3,$A277))</f>
        <v/>
      </c>
      <c r="AA277" s="13" t="str">
        <f>IF($A277="","",[1]!thsiFinD("ths_adjustment_nv_fund",AA$3,$A277))</f>
        <v/>
      </c>
      <c r="AB277" s="13">
        <f>IF($A277="","",[1]!thsiFinD("ths_adjustment_nv_fund",AB$3,$A277))</f>
        <v/>
      </c>
      <c r="AC277" s="13">
        <f>IF($A277="","",[1]!thsiFinD("ths_adjustment_nv_fund",AC$3,$A277))</f>
        <v/>
      </c>
      <c r="AD277" s="13">
        <f>IF($A277="","",[1]!thsiFinD("ths_adjustment_nv_fund",AD$3,$A277))</f>
        <v/>
      </c>
      <c r="AE277" s="13">
        <f>IF($A277="","",[1]!thsiFinD("ths_adjustment_nv_fund",AE$3,$A277))</f>
        <v/>
      </c>
      <c r="AF277" s="13">
        <f>IF($A277="","",[1]!thsiFinD("ths_adjustment_nv_fund",AF$3,$A277))</f>
        <v/>
      </c>
      <c r="AG277" s="13">
        <f>IF($A277="","",[1]!thsiFinD("ths_adjustment_nv_fund",AG$3,$A277))</f>
        <v/>
      </c>
      <c r="AH277" s="13">
        <f>IF($A277="","",[1]!thsiFinD("ths_adjustment_nv_fund",AH$3,$A277))</f>
        <v/>
      </c>
      <c r="AI277" s="13">
        <f>IF($A277="","",[1]!thsiFinD("ths_adjustment_nv_fund",AI$3,$A277))</f>
        <v/>
      </c>
      <c r="AJ277" s="13">
        <f>IF($A277="","",[1]!thsiFinD("ths_adjustment_nv_fund",AJ$3,$A277))</f>
        <v/>
      </c>
      <c r="AK277" s="13">
        <f>IF($A277="","",[1]!thsiFinD("ths_adjustment_nv_fund",AK$3,$A277))</f>
        <v/>
      </c>
      <c r="AL277" s="13">
        <f>IF($A277="","",[1]!thsiFinD("ths_adjustment_nv_fund",AL$3,$A277))</f>
        <v/>
      </c>
    </row>
    <row r="278" spans="2:28">
      <c r="B278" s="13" t="str">
        <f>IF($A278="","",[1]!thsiFinD("ths_adjustment_nv_fund",B$3,$A278))</f>
        <v/>
      </c>
      <c r="C278" s="13" t="str">
        <f>IF($A278="","",[1]!thsiFinD("ths_adjustment_nv_fund",C$3,$A278))</f>
        <v/>
      </c>
      <c r="D278" s="13" t="str">
        <f>IF($A278="","",[1]!thsiFinD("ths_adjustment_nv_fund",D$3,$A278))</f>
        <v/>
      </c>
      <c r="E278" s="13" t="str">
        <f>IF($A278="","",[1]!thsiFinD("ths_adjustment_nv_fund",E$3,$A278))</f>
        <v/>
      </c>
      <c r="F278" s="13" t="str">
        <f>IF($A278="","",[1]!thsiFinD("ths_adjustment_nv_fund",F$3,$A278))</f>
        <v/>
      </c>
      <c r="G278" s="13" t="str">
        <f>IF($A278="","",[1]!thsiFinD("ths_adjustment_nv_fund",G$3,$A278))</f>
        <v/>
      </c>
      <c r="H278" s="13" t="str">
        <f>IF($A278="","",[1]!thsiFinD("ths_adjustment_nv_fund",H$3,$A278))</f>
        <v/>
      </c>
      <c r="I278" s="13" t="str">
        <f>IF($A278="","",[1]!thsiFinD("ths_adjustment_nv_fund",I$3,$A278))</f>
        <v/>
      </c>
      <c r="J278" s="13" t="str">
        <f>IF($A278="","",[1]!thsiFinD("ths_adjustment_nv_fund",J$3,$A278))</f>
        <v/>
      </c>
      <c r="K278" s="13" t="str">
        <f>IF($A278="","",[1]!thsiFinD("ths_adjustment_nv_fund",K$3,$A278))</f>
        <v/>
      </c>
      <c r="L278" s="13" t="str">
        <f>IF($A278="","",[1]!thsiFinD("ths_adjustment_nv_fund",L$3,$A278))</f>
        <v/>
      </c>
      <c r="M278" s="13" t="str">
        <f>IF($A278="","",[1]!thsiFinD("ths_adjustment_nv_fund",M$3,$A278))</f>
        <v/>
      </c>
      <c r="N278" s="13" t="str">
        <f>IF($A278="","",[1]!thsiFinD("ths_adjustment_nv_fund",N$3,$A278))</f>
        <v/>
      </c>
      <c r="O278" s="13" t="str">
        <f>IF($A278="","",[1]!thsiFinD("ths_adjustment_nv_fund",O$3,$A278))</f>
        <v/>
      </c>
      <c r="P278" s="13" t="str">
        <f>IF($A278="","",[1]!thsiFinD("ths_adjustment_nv_fund",P$3,$A278))</f>
        <v/>
      </c>
      <c r="Q278" s="13" t="str">
        <f>IF($A278="","",[1]!thsiFinD("ths_adjustment_nv_fund",Q$3,$A278))</f>
        <v/>
      </c>
      <c r="R278" s="13" t="str">
        <f>IF($A278="","",[1]!thsiFinD("ths_adjustment_nv_fund",R$3,$A278))</f>
        <v/>
      </c>
      <c r="S278" s="13" t="str">
        <f>IF($A278="","",[1]!thsiFinD("ths_adjustment_nv_fund",S$3,$A278))</f>
        <v/>
      </c>
      <c r="T278" s="13" t="str">
        <f>IF($A278="","",[1]!thsiFinD("ths_adjustment_nv_fund",T$3,$A278))</f>
        <v/>
      </c>
      <c r="U278" s="13" t="str">
        <f>IF($A278="","",[1]!thsiFinD("ths_adjustment_nv_fund",U$3,$A278))</f>
        <v/>
      </c>
      <c r="V278" s="13" t="str">
        <f>IF($A278="","",[1]!thsiFinD("ths_adjustment_nv_fund",V$3,$A278))</f>
        <v/>
      </c>
      <c r="W278" s="13" t="str">
        <f>IF($A278="","",[1]!thsiFinD("ths_adjustment_nv_fund",W$3,$A278))</f>
        <v/>
      </c>
      <c r="X278" s="13" t="str">
        <f>IF($A278="","",[1]!thsiFinD("ths_adjustment_nv_fund",X$3,$A278))</f>
        <v/>
      </c>
      <c r="Y278" s="13" t="str">
        <f>IF($A278="","",[1]!thsiFinD("ths_adjustment_nv_fund",Y$3,$A278))</f>
        <v/>
      </c>
      <c r="Z278" s="13" t="str">
        <f>IF($A278="","",[1]!thsiFinD("ths_adjustment_nv_fund",Z$3,$A278))</f>
        <v/>
      </c>
      <c r="AA278" s="13" t="str">
        <f>IF($A278="","",[1]!thsiFinD("ths_adjustment_nv_fund",AA$3,$A278))</f>
        <v/>
      </c>
      <c r="AB278" s="13">
        <f>IF($A278="","",[1]!thsiFinD("ths_adjustment_nv_fund",AB$3,$A278))</f>
        <v/>
      </c>
      <c r="AC278" s="13">
        <f>IF($A278="","",[1]!thsiFinD("ths_adjustment_nv_fund",AC$3,$A278))</f>
        <v/>
      </c>
      <c r="AD278" s="13">
        <f>IF($A278="","",[1]!thsiFinD("ths_adjustment_nv_fund",AD$3,$A278))</f>
        <v/>
      </c>
      <c r="AE278" s="13">
        <f>IF($A278="","",[1]!thsiFinD("ths_adjustment_nv_fund",AE$3,$A278))</f>
        <v/>
      </c>
      <c r="AF278" s="13">
        <f>IF($A278="","",[1]!thsiFinD("ths_adjustment_nv_fund",AF$3,$A278))</f>
        <v/>
      </c>
      <c r="AG278" s="13">
        <f>IF($A278="","",[1]!thsiFinD("ths_adjustment_nv_fund",AG$3,$A278))</f>
        <v/>
      </c>
      <c r="AH278" s="13">
        <f>IF($A278="","",[1]!thsiFinD("ths_adjustment_nv_fund",AH$3,$A278))</f>
        <v/>
      </c>
      <c r="AI278" s="13">
        <f>IF($A278="","",[1]!thsiFinD("ths_adjustment_nv_fund",AI$3,$A278))</f>
        <v/>
      </c>
      <c r="AJ278" s="13">
        <f>IF($A278="","",[1]!thsiFinD("ths_adjustment_nv_fund",AJ$3,$A278))</f>
        <v/>
      </c>
      <c r="AK278" s="13">
        <f>IF($A278="","",[1]!thsiFinD("ths_adjustment_nv_fund",AK$3,$A278))</f>
        <v/>
      </c>
      <c r="AL278" s="13">
        <f>IF($A278="","",[1]!thsiFinD("ths_adjustment_nv_fund",AL$3,$A278))</f>
        <v/>
      </c>
    </row>
    <row r="279" spans="2:28">
      <c r="B279" s="13" t="str">
        <f>IF($A279="","",[1]!thsiFinD("ths_adjustment_nv_fund",B$3,$A279))</f>
        <v/>
      </c>
      <c r="C279" s="13" t="str">
        <f>IF($A279="","",[1]!thsiFinD("ths_adjustment_nv_fund",C$3,$A279))</f>
        <v/>
      </c>
      <c r="D279" s="13" t="str">
        <f>IF($A279="","",[1]!thsiFinD("ths_adjustment_nv_fund",D$3,$A279))</f>
        <v/>
      </c>
      <c r="E279" s="13" t="str">
        <f>IF($A279="","",[1]!thsiFinD("ths_adjustment_nv_fund",E$3,$A279))</f>
        <v/>
      </c>
      <c r="F279" s="13" t="str">
        <f>IF($A279="","",[1]!thsiFinD("ths_adjustment_nv_fund",F$3,$A279))</f>
        <v/>
      </c>
      <c r="G279" s="13" t="str">
        <f>IF($A279="","",[1]!thsiFinD("ths_adjustment_nv_fund",G$3,$A279))</f>
        <v/>
      </c>
      <c r="H279" s="13" t="str">
        <f>IF($A279="","",[1]!thsiFinD("ths_adjustment_nv_fund",H$3,$A279))</f>
        <v/>
      </c>
      <c r="I279" s="13" t="str">
        <f>IF($A279="","",[1]!thsiFinD("ths_adjustment_nv_fund",I$3,$A279))</f>
        <v/>
      </c>
      <c r="J279" s="13" t="str">
        <f>IF($A279="","",[1]!thsiFinD("ths_adjustment_nv_fund",J$3,$A279))</f>
        <v/>
      </c>
      <c r="K279" s="13" t="str">
        <f>IF($A279="","",[1]!thsiFinD("ths_adjustment_nv_fund",K$3,$A279))</f>
        <v/>
      </c>
      <c r="L279" s="13" t="str">
        <f>IF($A279="","",[1]!thsiFinD("ths_adjustment_nv_fund",L$3,$A279))</f>
        <v/>
      </c>
      <c r="M279" s="13" t="str">
        <f>IF($A279="","",[1]!thsiFinD("ths_adjustment_nv_fund",M$3,$A279))</f>
        <v/>
      </c>
      <c r="N279" s="13" t="str">
        <f>IF($A279="","",[1]!thsiFinD("ths_adjustment_nv_fund",N$3,$A279))</f>
        <v/>
      </c>
      <c r="O279" s="13" t="str">
        <f>IF($A279="","",[1]!thsiFinD("ths_adjustment_nv_fund",O$3,$A279))</f>
        <v/>
      </c>
      <c r="P279" s="13" t="str">
        <f>IF($A279="","",[1]!thsiFinD("ths_adjustment_nv_fund",P$3,$A279))</f>
        <v/>
      </c>
      <c r="Q279" s="13" t="str">
        <f>IF($A279="","",[1]!thsiFinD("ths_adjustment_nv_fund",Q$3,$A279))</f>
        <v/>
      </c>
      <c r="R279" s="13" t="str">
        <f>IF($A279="","",[1]!thsiFinD("ths_adjustment_nv_fund",R$3,$A279))</f>
        <v/>
      </c>
      <c r="S279" s="13" t="str">
        <f>IF($A279="","",[1]!thsiFinD("ths_adjustment_nv_fund",S$3,$A279))</f>
        <v/>
      </c>
      <c r="T279" s="13" t="str">
        <f>IF($A279="","",[1]!thsiFinD("ths_adjustment_nv_fund",T$3,$A279))</f>
        <v/>
      </c>
      <c r="U279" s="13" t="str">
        <f>IF($A279="","",[1]!thsiFinD("ths_adjustment_nv_fund",U$3,$A279))</f>
        <v/>
      </c>
      <c r="V279" s="13" t="str">
        <f>IF($A279="","",[1]!thsiFinD("ths_adjustment_nv_fund",V$3,$A279))</f>
        <v/>
      </c>
      <c r="W279" s="13" t="str">
        <f>IF($A279="","",[1]!thsiFinD("ths_adjustment_nv_fund",W$3,$A279))</f>
        <v/>
      </c>
      <c r="X279" s="13" t="str">
        <f>IF($A279="","",[1]!thsiFinD("ths_adjustment_nv_fund",X$3,$A279))</f>
        <v/>
      </c>
      <c r="Y279" s="13" t="str">
        <f>IF($A279="","",[1]!thsiFinD("ths_adjustment_nv_fund",Y$3,$A279))</f>
        <v/>
      </c>
      <c r="Z279" s="13" t="str">
        <f>IF($A279="","",[1]!thsiFinD("ths_adjustment_nv_fund",Z$3,$A279))</f>
        <v/>
      </c>
      <c r="AA279" s="13" t="str">
        <f>IF($A279="","",[1]!thsiFinD("ths_adjustment_nv_fund",AA$3,$A279))</f>
        <v/>
      </c>
      <c r="AB279" s="13">
        <f>IF($A279="","",[1]!thsiFinD("ths_adjustment_nv_fund",AB$3,$A279))</f>
        <v/>
      </c>
      <c r="AC279" s="13">
        <f>IF($A279="","",[1]!thsiFinD("ths_adjustment_nv_fund",AC$3,$A279))</f>
        <v/>
      </c>
      <c r="AD279" s="13">
        <f>IF($A279="","",[1]!thsiFinD("ths_adjustment_nv_fund",AD$3,$A279))</f>
        <v/>
      </c>
      <c r="AE279" s="13">
        <f>IF($A279="","",[1]!thsiFinD("ths_adjustment_nv_fund",AE$3,$A279))</f>
        <v/>
      </c>
      <c r="AF279" s="13">
        <f>IF($A279="","",[1]!thsiFinD("ths_adjustment_nv_fund",AF$3,$A279))</f>
        <v/>
      </c>
      <c r="AG279" s="13">
        <f>IF($A279="","",[1]!thsiFinD("ths_adjustment_nv_fund",AG$3,$A279))</f>
        <v/>
      </c>
      <c r="AH279" s="13">
        <f>IF($A279="","",[1]!thsiFinD("ths_adjustment_nv_fund",AH$3,$A279))</f>
        <v/>
      </c>
      <c r="AI279" s="13">
        <f>IF($A279="","",[1]!thsiFinD("ths_adjustment_nv_fund",AI$3,$A279))</f>
        <v/>
      </c>
      <c r="AJ279" s="13">
        <f>IF($A279="","",[1]!thsiFinD("ths_adjustment_nv_fund",AJ$3,$A279))</f>
        <v/>
      </c>
      <c r="AK279" s="13">
        <f>IF($A279="","",[1]!thsiFinD("ths_adjustment_nv_fund",AK$3,$A279))</f>
        <v/>
      </c>
      <c r="AL279" s="13">
        <f>IF($A279="","",[1]!thsiFinD("ths_adjustment_nv_fund",AL$3,$A279))</f>
        <v/>
      </c>
    </row>
    <row r="280" spans="2:28">
      <c r="B280" s="13" t="str">
        <f>IF($A280="","",[1]!thsiFinD("ths_adjustment_nv_fund",B$3,$A280))</f>
        <v/>
      </c>
      <c r="C280" s="13" t="str">
        <f>IF($A280="","",[1]!thsiFinD("ths_adjustment_nv_fund",C$3,$A280))</f>
        <v/>
      </c>
      <c r="D280" s="13" t="str">
        <f>IF($A280="","",[1]!thsiFinD("ths_adjustment_nv_fund",D$3,$A280))</f>
        <v/>
      </c>
      <c r="E280" s="13" t="str">
        <f>IF($A280="","",[1]!thsiFinD("ths_adjustment_nv_fund",E$3,$A280))</f>
        <v/>
      </c>
      <c r="F280" s="13" t="str">
        <f>IF($A280="","",[1]!thsiFinD("ths_adjustment_nv_fund",F$3,$A280))</f>
        <v/>
      </c>
      <c r="G280" s="13" t="str">
        <f>IF($A280="","",[1]!thsiFinD("ths_adjustment_nv_fund",G$3,$A280))</f>
        <v/>
      </c>
      <c r="H280" s="13" t="str">
        <f>IF($A280="","",[1]!thsiFinD("ths_adjustment_nv_fund",H$3,$A280))</f>
        <v/>
      </c>
      <c r="I280" s="13" t="str">
        <f>IF($A280="","",[1]!thsiFinD("ths_adjustment_nv_fund",I$3,$A280))</f>
        <v/>
      </c>
      <c r="J280" s="13" t="str">
        <f>IF($A280="","",[1]!thsiFinD("ths_adjustment_nv_fund",J$3,$A280))</f>
        <v/>
      </c>
      <c r="K280" s="13" t="str">
        <f>IF($A280="","",[1]!thsiFinD("ths_adjustment_nv_fund",K$3,$A280))</f>
        <v/>
      </c>
      <c r="L280" s="13" t="str">
        <f>IF($A280="","",[1]!thsiFinD("ths_adjustment_nv_fund",L$3,$A280))</f>
        <v/>
      </c>
      <c r="M280" s="13" t="str">
        <f>IF($A280="","",[1]!thsiFinD("ths_adjustment_nv_fund",M$3,$A280))</f>
        <v/>
      </c>
      <c r="N280" s="13" t="str">
        <f>IF($A280="","",[1]!thsiFinD("ths_adjustment_nv_fund",N$3,$A280))</f>
        <v/>
      </c>
      <c r="O280" s="13" t="str">
        <f>IF($A280="","",[1]!thsiFinD("ths_adjustment_nv_fund",O$3,$A280))</f>
        <v/>
      </c>
      <c r="P280" s="13" t="str">
        <f>IF($A280="","",[1]!thsiFinD("ths_adjustment_nv_fund",P$3,$A280))</f>
        <v/>
      </c>
      <c r="Q280" s="13" t="str">
        <f>IF($A280="","",[1]!thsiFinD("ths_adjustment_nv_fund",Q$3,$A280))</f>
        <v/>
      </c>
      <c r="R280" s="13" t="str">
        <f>IF($A280="","",[1]!thsiFinD("ths_adjustment_nv_fund",R$3,$A280))</f>
        <v/>
      </c>
      <c r="S280" s="13" t="str">
        <f>IF($A280="","",[1]!thsiFinD("ths_adjustment_nv_fund",S$3,$A280))</f>
        <v/>
      </c>
      <c r="T280" s="13" t="str">
        <f>IF($A280="","",[1]!thsiFinD("ths_adjustment_nv_fund",T$3,$A280))</f>
        <v/>
      </c>
      <c r="U280" s="13" t="str">
        <f>IF($A280="","",[1]!thsiFinD("ths_adjustment_nv_fund",U$3,$A280))</f>
        <v/>
      </c>
      <c r="V280" s="13" t="str">
        <f>IF($A280="","",[1]!thsiFinD("ths_adjustment_nv_fund",V$3,$A280))</f>
        <v/>
      </c>
      <c r="W280" s="13" t="str">
        <f>IF($A280="","",[1]!thsiFinD("ths_adjustment_nv_fund",W$3,$A280))</f>
        <v/>
      </c>
      <c r="X280" s="13" t="str">
        <f>IF($A280="","",[1]!thsiFinD("ths_adjustment_nv_fund",X$3,$A280))</f>
        <v/>
      </c>
      <c r="Y280" s="13" t="str">
        <f>IF($A280="","",[1]!thsiFinD("ths_adjustment_nv_fund",Y$3,$A280))</f>
        <v/>
      </c>
      <c r="Z280" s="13" t="str">
        <f>IF($A280="","",[1]!thsiFinD("ths_adjustment_nv_fund",Z$3,$A280))</f>
        <v/>
      </c>
      <c r="AA280" s="13" t="str">
        <f>IF($A280="","",[1]!thsiFinD("ths_adjustment_nv_fund",AA$3,$A280))</f>
        <v/>
      </c>
      <c r="AB280" s="13">
        <f>IF($A280="","",[1]!thsiFinD("ths_adjustment_nv_fund",AB$3,$A280))</f>
        <v/>
      </c>
      <c r="AC280" s="13">
        <f>IF($A280="","",[1]!thsiFinD("ths_adjustment_nv_fund",AC$3,$A280))</f>
        <v/>
      </c>
      <c r="AD280" s="13">
        <f>IF($A280="","",[1]!thsiFinD("ths_adjustment_nv_fund",AD$3,$A280))</f>
        <v/>
      </c>
      <c r="AE280" s="13">
        <f>IF($A280="","",[1]!thsiFinD("ths_adjustment_nv_fund",AE$3,$A280))</f>
        <v/>
      </c>
      <c r="AF280" s="13">
        <f>IF($A280="","",[1]!thsiFinD("ths_adjustment_nv_fund",AF$3,$A280))</f>
        <v/>
      </c>
      <c r="AG280" s="13">
        <f>IF($A280="","",[1]!thsiFinD("ths_adjustment_nv_fund",AG$3,$A280))</f>
        <v/>
      </c>
      <c r="AH280" s="13">
        <f>IF($A280="","",[1]!thsiFinD("ths_adjustment_nv_fund",AH$3,$A280))</f>
        <v/>
      </c>
      <c r="AI280" s="13">
        <f>IF($A280="","",[1]!thsiFinD("ths_adjustment_nv_fund",AI$3,$A280))</f>
        <v/>
      </c>
      <c r="AJ280" s="13">
        <f>IF($A280="","",[1]!thsiFinD("ths_adjustment_nv_fund",AJ$3,$A280))</f>
        <v/>
      </c>
      <c r="AK280" s="13">
        <f>IF($A280="","",[1]!thsiFinD("ths_adjustment_nv_fund",AK$3,$A280))</f>
        <v/>
      </c>
      <c r="AL280" s="13">
        <f>IF($A280="","",[1]!thsiFinD("ths_adjustment_nv_fund",AL$3,$A280))</f>
        <v/>
      </c>
    </row>
    <row r="281" spans="2:28">
      <c r="B281" s="13" t="str">
        <f>IF($A281="","",[1]!thsiFinD("ths_adjustment_nv_fund",B$3,$A281))</f>
        <v/>
      </c>
      <c r="C281" s="13" t="str">
        <f>IF($A281="","",[1]!thsiFinD("ths_adjustment_nv_fund",C$3,$A281))</f>
        <v/>
      </c>
      <c r="D281" s="13" t="str">
        <f>IF($A281="","",[1]!thsiFinD("ths_adjustment_nv_fund",D$3,$A281))</f>
        <v/>
      </c>
      <c r="E281" s="13" t="str">
        <f>IF($A281="","",[1]!thsiFinD("ths_adjustment_nv_fund",E$3,$A281))</f>
        <v/>
      </c>
      <c r="F281" s="13" t="str">
        <f>IF($A281="","",[1]!thsiFinD("ths_adjustment_nv_fund",F$3,$A281))</f>
        <v/>
      </c>
      <c r="G281" s="13" t="str">
        <f>IF($A281="","",[1]!thsiFinD("ths_adjustment_nv_fund",G$3,$A281))</f>
        <v/>
      </c>
      <c r="H281" s="13" t="str">
        <f>IF($A281="","",[1]!thsiFinD("ths_adjustment_nv_fund",H$3,$A281))</f>
        <v/>
      </c>
      <c r="I281" s="13" t="str">
        <f>IF($A281="","",[1]!thsiFinD("ths_adjustment_nv_fund",I$3,$A281))</f>
        <v/>
      </c>
      <c r="J281" s="13" t="str">
        <f>IF($A281="","",[1]!thsiFinD("ths_adjustment_nv_fund",J$3,$A281))</f>
        <v/>
      </c>
      <c r="K281" s="13" t="str">
        <f>IF($A281="","",[1]!thsiFinD("ths_adjustment_nv_fund",K$3,$A281))</f>
        <v/>
      </c>
      <c r="L281" s="13" t="str">
        <f>IF($A281="","",[1]!thsiFinD("ths_adjustment_nv_fund",L$3,$A281))</f>
        <v/>
      </c>
      <c r="M281" s="13" t="str">
        <f>IF($A281="","",[1]!thsiFinD("ths_adjustment_nv_fund",M$3,$A281))</f>
        <v/>
      </c>
      <c r="N281" s="13" t="str">
        <f>IF($A281="","",[1]!thsiFinD("ths_adjustment_nv_fund",N$3,$A281))</f>
        <v/>
      </c>
      <c r="O281" s="13" t="str">
        <f>IF($A281="","",[1]!thsiFinD("ths_adjustment_nv_fund",O$3,$A281))</f>
        <v/>
      </c>
      <c r="P281" s="13" t="str">
        <f>IF($A281="","",[1]!thsiFinD("ths_adjustment_nv_fund",P$3,$A281))</f>
        <v/>
      </c>
      <c r="Q281" s="13" t="str">
        <f>IF($A281="","",[1]!thsiFinD("ths_adjustment_nv_fund",Q$3,$A281))</f>
        <v/>
      </c>
      <c r="R281" s="13" t="str">
        <f>IF($A281="","",[1]!thsiFinD("ths_adjustment_nv_fund",R$3,$A281))</f>
        <v/>
      </c>
      <c r="S281" s="13" t="str">
        <f>IF($A281="","",[1]!thsiFinD("ths_adjustment_nv_fund",S$3,$A281))</f>
        <v/>
      </c>
      <c r="T281" s="13" t="str">
        <f>IF($A281="","",[1]!thsiFinD("ths_adjustment_nv_fund",T$3,$A281))</f>
        <v/>
      </c>
      <c r="U281" s="13" t="str">
        <f>IF($A281="","",[1]!thsiFinD("ths_adjustment_nv_fund",U$3,$A281))</f>
        <v/>
      </c>
      <c r="V281" s="13" t="str">
        <f>IF($A281="","",[1]!thsiFinD("ths_adjustment_nv_fund",V$3,$A281))</f>
        <v/>
      </c>
      <c r="W281" s="13" t="str">
        <f>IF($A281="","",[1]!thsiFinD("ths_adjustment_nv_fund",W$3,$A281))</f>
        <v/>
      </c>
      <c r="X281" s="13" t="str">
        <f>IF($A281="","",[1]!thsiFinD("ths_adjustment_nv_fund",X$3,$A281))</f>
        <v/>
      </c>
      <c r="Y281" s="13" t="str">
        <f>IF($A281="","",[1]!thsiFinD("ths_adjustment_nv_fund",Y$3,$A281))</f>
        <v/>
      </c>
      <c r="Z281" s="13" t="str">
        <f>IF($A281="","",[1]!thsiFinD("ths_adjustment_nv_fund",Z$3,$A281))</f>
        <v/>
      </c>
      <c r="AA281" s="13" t="str">
        <f>IF($A281="","",[1]!thsiFinD("ths_adjustment_nv_fund",AA$3,$A281))</f>
        <v/>
      </c>
      <c r="AB281" s="13">
        <f>IF($A281="","",[1]!thsiFinD("ths_adjustment_nv_fund",AB$3,$A281))</f>
        <v/>
      </c>
      <c r="AC281" s="13">
        <f>IF($A281="","",[1]!thsiFinD("ths_adjustment_nv_fund",AC$3,$A281))</f>
        <v/>
      </c>
      <c r="AD281" s="13">
        <f>IF($A281="","",[1]!thsiFinD("ths_adjustment_nv_fund",AD$3,$A281))</f>
        <v/>
      </c>
      <c r="AE281" s="13">
        <f>IF($A281="","",[1]!thsiFinD("ths_adjustment_nv_fund",AE$3,$A281))</f>
        <v/>
      </c>
      <c r="AF281" s="13">
        <f>IF($A281="","",[1]!thsiFinD("ths_adjustment_nv_fund",AF$3,$A281))</f>
        <v/>
      </c>
      <c r="AG281" s="13">
        <f>IF($A281="","",[1]!thsiFinD("ths_adjustment_nv_fund",AG$3,$A281))</f>
        <v/>
      </c>
      <c r="AH281" s="13">
        <f>IF($A281="","",[1]!thsiFinD("ths_adjustment_nv_fund",AH$3,$A281))</f>
        <v/>
      </c>
      <c r="AI281" s="13">
        <f>IF($A281="","",[1]!thsiFinD("ths_adjustment_nv_fund",AI$3,$A281))</f>
        <v/>
      </c>
      <c r="AJ281" s="13">
        <f>IF($A281="","",[1]!thsiFinD("ths_adjustment_nv_fund",AJ$3,$A281))</f>
        <v/>
      </c>
      <c r="AK281" s="13">
        <f>IF($A281="","",[1]!thsiFinD("ths_adjustment_nv_fund",AK$3,$A281))</f>
        <v/>
      </c>
      <c r="AL281" s="13">
        <f>IF($A281="","",[1]!thsiFinD("ths_adjustment_nv_fund",AL$3,$A281))</f>
        <v/>
      </c>
    </row>
    <row r="282" spans="2:28">
      <c r="B282" s="13" t="str">
        <f>IF($A282="","",[1]!thsiFinD("ths_adjustment_nv_fund",B$3,$A282))</f>
        <v/>
      </c>
      <c r="C282" s="13" t="str">
        <f>IF($A282="","",[1]!thsiFinD("ths_adjustment_nv_fund",C$3,$A282))</f>
        <v/>
      </c>
      <c r="D282" s="13" t="str">
        <f>IF($A282="","",[1]!thsiFinD("ths_adjustment_nv_fund",D$3,$A282))</f>
        <v/>
      </c>
      <c r="E282" s="13" t="str">
        <f>IF($A282="","",[1]!thsiFinD("ths_adjustment_nv_fund",E$3,$A282))</f>
        <v/>
      </c>
      <c r="F282" s="13" t="str">
        <f>IF($A282="","",[1]!thsiFinD("ths_adjustment_nv_fund",F$3,$A282))</f>
        <v/>
      </c>
      <c r="G282" s="13" t="str">
        <f>IF($A282="","",[1]!thsiFinD("ths_adjustment_nv_fund",G$3,$A282))</f>
        <v/>
      </c>
      <c r="H282" s="13" t="str">
        <f>IF($A282="","",[1]!thsiFinD("ths_adjustment_nv_fund",H$3,$A282))</f>
        <v/>
      </c>
      <c r="I282" s="13" t="str">
        <f>IF($A282="","",[1]!thsiFinD("ths_adjustment_nv_fund",I$3,$A282))</f>
        <v/>
      </c>
      <c r="J282" s="13" t="str">
        <f>IF($A282="","",[1]!thsiFinD("ths_adjustment_nv_fund",J$3,$A282))</f>
        <v/>
      </c>
      <c r="K282" s="13" t="str">
        <f>IF($A282="","",[1]!thsiFinD("ths_adjustment_nv_fund",K$3,$A282))</f>
        <v/>
      </c>
      <c r="L282" s="13" t="str">
        <f>IF($A282="","",[1]!thsiFinD("ths_adjustment_nv_fund",L$3,$A282))</f>
        <v/>
      </c>
      <c r="M282" s="13" t="str">
        <f>IF($A282="","",[1]!thsiFinD("ths_adjustment_nv_fund",M$3,$A282))</f>
        <v/>
      </c>
      <c r="N282" s="13" t="str">
        <f>IF($A282="","",[1]!thsiFinD("ths_adjustment_nv_fund",N$3,$A282))</f>
        <v/>
      </c>
      <c r="O282" s="13" t="str">
        <f>IF($A282="","",[1]!thsiFinD("ths_adjustment_nv_fund",O$3,$A282))</f>
        <v/>
      </c>
      <c r="P282" s="13" t="str">
        <f>IF($A282="","",[1]!thsiFinD("ths_adjustment_nv_fund",P$3,$A282))</f>
        <v/>
      </c>
      <c r="Q282" s="13" t="str">
        <f>IF($A282="","",[1]!thsiFinD("ths_adjustment_nv_fund",Q$3,$A282))</f>
        <v/>
      </c>
      <c r="R282" s="13" t="str">
        <f>IF($A282="","",[1]!thsiFinD("ths_adjustment_nv_fund",R$3,$A282))</f>
        <v/>
      </c>
      <c r="S282" s="13" t="str">
        <f>IF($A282="","",[1]!thsiFinD("ths_adjustment_nv_fund",S$3,$A282))</f>
        <v/>
      </c>
      <c r="T282" s="13" t="str">
        <f>IF($A282="","",[1]!thsiFinD("ths_adjustment_nv_fund",T$3,$A282))</f>
        <v/>
      </c>
      <c r="U282" s="13" t="str">
        <f>IF($A282="","",[1]!thsiFinD("ths_adjustment_nv_fund",U$3,$A282))</f>
        <v/>
      </c>
      <c r="V282" s="13" t="str">
        <f>IF($A282="","",[1]!thsiFinD("ths_adjustment_nv_fund",V$3,$A282))</f>
        <v/>
      </c>
      <c r="W282" s="13" t="str">
        <f>IF($A282="","",[1]!thsiFinD("ths_adjustment_nv_fund",W$3,$A282))</f>
        <v/>
      </c>
      <c r="X282" s="13" t="str">
        <f>IF($A282="","",[1]!thsiFinD("ths_adjustment_nv_fund",X$3,$A282))</f>
        <v/>
      </c>
      <c r="Y282" s="13" t="str">
        <f>IF($A282="","",[1]!thsiFinD("ths_adjustment_nv_fund",Y$3,$A282))</f>
        <v/>
      </c>
      <c r="Z282" s="13" t="str">
        <f>IF($A282="","",[1]!thsiFinD("ths_adjustment_nv_fund",Z$3,$A282))</f>
        <v/>
      </c>
      <c r="AA282" s="13" t="str">
        <f>IF($A282="","",[1]!thsiFinD("ths_adjustment_nv_fund",AA$3,$A282))</f>
        <v/>
      </c>
      <c r="AB282" s="13">
        <f>IF($A282="","",[1]!thsiFinD("ths_adjustment_nv_fund",AB$3,$A282))</f>
        <v/>
      </c>
      <c r="AC282" s="13">
        <f>IF($A282="","",[1]!thsiFinD("ths_adjustment_nv_fund",AC$3,$A282))</f>
        <v/>
      </c>
      <c r="AD282" s="13">
        <f>IF($A282="","",[1]!thsiFinD("ths_adjustment_nv_fund",AD$3,$A282))</f>
        <v/>
      </c>
      <c r="AE282" s="13">
        <f>IF($A282="","",[1]!thsiFinD("ths_adjustment_nv_fund",AE$3,$A282))</f>
        <v/>
      </c>
      <c r="AF282" s="13">
        <f>IF($A282="","",[1]!thsiFinD("ths_adjustment_nv_fund",AF$3,$A282))</f>
        <v/>
      </c>
      <c r="AG282" s="13">
        <f>IF($A282="","",[1]!thsiFinD("ths_adjustment_nv_fund",AG$3,$A282))</f>
        <v/>
      </c>
      <c r="AH282" s="13">
        <f>IF($A282="","",[1]!thsiFinD("ths_adjustment_nv_fund",AH$3,$A282))</f>
        <v/>
      </c>
      <c r="AI282" s="13">
        <f>IF($A282="","",[1]!thsiFinD("ths_adjustment_nv_fund",AI$3,$A282))</f>
        <v/>
      </c>
      <c r="AJ282" s="13">
        <f>IF($A282="","",[1]!thsiFinD("ths_adjustment_nv_fund",AJ$3,$A282))</f>
        <v/>
      </c>
      <c r="AK282" s="13">
        <f>IF($A282="","",[1]!thsiFinD("ths_adjustment_nv_fund",AK$3,$A282))</f>
        <v/>
      </c>
      <c r="AL282" s="13">
        <f>IF($A282="","",[1]!thsiFinD("ths_adjustment_nv_fund",AL$3,$A282))</f>
        <v/>
      </c>
    </row>
    <row r="283" spans="2:28">
      <c r="B283" s="13" t="str">
        <f>IF($A283="","",[1]!thsiFinD("ths_adjustment_nv_fund",B$3,$A283))</f>
        <v/>
      </c>
      <c r="C283" s="13" t="str">
        <f>IF($A283="","",[1]!thsiFinD("ths_adjustment_nv_fund",C$3,$A283))</f>
        <v/>
      </c>
      <c r="D283" s="13" t="str">
        <f>IF($A283="","",[1]!thsiFinD("ths_adjustment_nv_fund",D$3,$A283))</f>
        <v/>
      </c>
      <c r="E283" s="13" t="str">
        <f>IF($A283="","",[1]!thsiFinD("ths_adjustment_nv_fund",E$3,$A283))</f>
        <v/>
      </c>
      <c r="F283" s="13" t="str">
        <f>IF($A283="","",[1]!thsiFinD("ths_adjustment_nv_fund",F$3,$A283))</f>
        <v/>
      </c>
      <c r="G283" s="13" t="str">
        <f>IF($A283="","",[1]!thsiFinD("ths_adjustment_nv_fund",G$3,$A283))</f>
        <v/>
      </c>
      <c r="H283" s="13" t="str">
        <f>IF($A283="","",[1]!thsiFinD("ths_adjustment_nv_fund",H$3,$A283))</f>
        <v/>
      </c>
      <c r="I283" s="13" t="str">
        <f>IF($A283="","",[1]!thsiFinD("ths_adjustment_nv_fund",I$3,$A283))</f>
        <v/>
      </c>
      <c r="J283" s="13" t="str">
        <f>IF($A283="","",[1]!thsiFinD("ths_adjustment_nv_fund",J$3,$A283))</f>
        <v/>
      </c>
      <c r="K283" s="13" t="str">
        <f>IF($A283="","",[1]!thsiFinD("ths_adjustment_nv_fund",K$3,$A283))</f>
        <v/>
      </c>
      <c r="L283" s="13" t="str">
        <f>IF($A283="","",[1]!thsiFinD("ths_adjustment_nv_fund",L$3,$A283))</f>
        <v/>
      </c>
      <c r="M283" s="13" t="str">
        <f>IF($A283="","",[1]!thsiFinD("ths_adjustment_nv_fund",M$3,$A283))</f>
        <v/>
      </c>
      <c r="N283" s="13" t="str">
        <f>IF($A283="","",[1]!thsiFinD("ths_adjustment_nv_fund",N$3,$A283))</f>
        <v/>
      </c>
      <c r="O283" s="13" t="str">
        <f>IF($A283="","",[1]!thsiFinD("ths_adjustment_nv_fund",O$3,$A283))</f>
        <v/>
      </c>
      <c r="P283" s="13" t="str">
        <f>IF($A283="","",[1]!thsiFinD("ths_adjustment_nv_fund",P$3,$A283))</f>
        <v/>
      </c>
      <c r="Q283" s="13" t="str">
        <f>IF($A283="","",[1]!thsiFinD("ths_adjustment_nv_fund",Q$3,$A283))</f>
        <v/>
      </c>
      <c r="R283" s="13" t="str">
        <f>IF($A283="","",[1]!thsiFinD("ths_adjustment_nv_fund",R$3,$A283))</f>
        <v/>
      </c>
      <c r="S283" s="13" t="str">
        <f>IF($A283="","",[1]!thsiFinD("ths_adjustment_nv_fund",S$3,$A283))</f>
        <v/>
      </c>
      <c r="T283" s="13" t="str">
        <f>IF($A283="","",[1]!thsiFinD("ths_adjustment_nv_fund",T$3,$A283))</f>
        <v/>
      </c>
      <c r="U283" s="13" t="str">
        <f>IF($A283="","",[1]!thsiFinD("ths_adjustment_nv_fund",U$3,$A283))</f>
        <v/>
      </c>
      <c r="V283" s="13" t="str">
        <f>IF($A283="","",[1]!thsiFinD("ths_adjustment_nv_fund",V$3,$A283))</f>
        <v/>
      </c>
      <c r="W283" s="13" t="str">
        <f>IF($A283="","",[1]!thsiFinD("ths_adjustment_nv_fund",W$3,$A283))</f>
        <v/>
      </c>
      <c r="X283" s="13" t="str">
        <f>IF($A283="","",[1]!thsiFinD("ths_adjustment_nv_fund",X$3,$A283))</f>
        <v/>
      </c>
      <c r="Y283" s="13" t="str">
        <f>IF($A283="","",[1]!thsiFinD("ths_adjustment_nv_fund",Y$3,$A283))</f>
        <v/>
      </c>
      <c r="Z283" s="13" t="str">
        <f>IF($A283="","",[1]!thsiFinD("ths_adjustment_nv_fund",Z$3,$A283))</f>
        <v/>
      </c>
      <c r="AA283" s="13" t="str">
        <f>IF($A283="","",[1]!thsiFinD("ths_adjustment_nv_fund",AA$3,$A283))</f>
        <v/>
      </c>
      <c r="AB283" s="13">
        <f>IF($A283="","",[1]!thsiFinD("ths_adjustment_nv_fund",AB$3,$A283))</f>
        <v/>
      </c>
      <c r="AC283" s="13">
        <f>IF($A283="","",[1]!thsiFinD("ths_adjustment_nv_fund",AC$3,$A283))</f>
        <v/>
      </c>
      <c r="AD283" s="13">
        <f>IF($A283="","",[1]!thsiFinD("ths_adjustment_nv_fund",AD$3,$A283))</f>
        <v/>
      </c>
      <c r="AE283" s="13">
        <f>IF($A283="","",[1]!thsiFinD("ths_adjustment_nv_fund",AE$3,$A283))</f>
        <v/>
      </c>
      <c r="AF283" s="13">
        <f>IF($A283="","",[1]!thsiFinD("ths_adjustment_nv_fund",AF$3,$A283))</f>
        <v/>
      </c>
      <c r="AG283" s="13">
        <f>IF($A283="","",[1]!thsiFinD("ths_adjustment_nv_fund",AG$3,$A283))</f>
        <v/>
      </c>
      <c r="AH283" s="13">
        <f>IF($A283="","",[1]!thsiFinD("ths_adjustment_nv_fund",AH$3,$A283))</f>
        <v/>
      </c>
      <c r="AI283" s="13">
        <f>IF($A283="","",[1]!thsiFinD("ths_adjustment_nv_fund",AI$3,$A283))</f>
        <v/>
      </c>
      <c r="AJ283" s="13">
        <f>IF($A283="","",[1]!thsiFinD("ths_adjustment_nv_fund",AJ$3,$A283))</f>
        <v/>
      </c>
      <c r="AK283" s="13">
        <f>IF($A283="","",[1]!thsiFinD("ths_adjustment_nv_fund",AK$3,$A283))</f>
        <v/>
      </c>
      <c r="AL283" s="13">
        <f>IF($A283="","",[1]!thsiFinD("ths_adjustment_nv_fund",AL$3,$A283))</f>
        <v/>
      </c>
    </row>
    <row r="284" spans="2:28">
      <c r="B284" s="13" t="str">
        <f>IF($A284="","",[1]!thsiFinD("ths_adjustment_nv_fund",B$3,$A284))</f>
        <v/>
      </c>
      <c r="C284" s="13" t="str">
        <f>IF($A284="","",[1]!thsiFinD("ths_adjustment_nv_fund",C$3,$A284))</f>
        <v/>
      </c>
      <c r="D284" s="13" t="str">
        <f>IF($A284="","",[1]!thsiFinD("ths_adjustment_nv_fund",D$3,$A284))</f>
        <v/>
      </c>
      <c r="E284" s="13" t="str">
        <f>IF($A284="","",[1]!thsiFinD("ths_adjustment_nv_fund",E$3,$A284))</f>
        <v/>
      </c>
      <c r="F284" s="13" t="str">
        <f>IF($A284="","",[1]!thsiFinD("ths_adjustment_nv_fund",F$3,$A284))</f>
        <v/>
      </c>
      <c r="G284" s="13" t="str">
        <f>IF($A284="","",[1]!thsiFinD("ths_adjustment_nv_fund",G$3,$A284))</f>
        <v/>
      </c>
      <c r="H284" s="13" t="str">
        <f>IF($A284="","",[1]!thsiFinD("ths_adjustment_nv_fund",H$3,$A284))</f>
        <v/>
      </c>
      <c r="I284" s="13" t="str">
        <f>IF($A284="","",[1]!thsiFinD("ths_adjustment_nv_fund",I$3,$A284))</f>
        <v/>
      </c>
      <c r="J284" s="13" t="str">
        <f>IF($A284="","",[1]!thsiFinD("ths_adjustment_nv_fund",J$3,$A284))</f>
        <v/>
      </c>
      <c r="K284" s="13" t="str">
        <f>IF($A284="","",[1]!thsiFinD("ths_adjustment_nv_fund",K$3,$A284))</f>
        <v/>
      </c>
      <c r="L284" s="13" t="str">
        <f>IF($A284="","",[1]!thsiFinD("ths_adjustment_nv_fund",L$3,$A284))</f>
        <v/>
      </c>
      <c r="M284" s="13" t="str">
        <f>IF($A284="","",[1]!thsiFinD("ths_adjustment_nv_fund",M$3,$A284))</f>
        <v/>
      </c>
      <c r="N284" s="13" t="str">
        <f>IF($A284="","",[1]!thsiFinD("ths_adjustment_nv_fund",N$3,$A284))</f>
        <v/>
      </c>
      <c r="O284" s="13" t="str">
        <f>IF($A284="","",[1]!thsiFinD("ths_adjustment_nv_fund",O$3,$A284))</f>
        <v/>
      </c>
      <c r="P284" s="13" t="str">
        <f>IF($A284="","",[1]!thsiFinD("ths_adjustment_nv_fund",P$3,$A284))</f>
        <v/>
      </c>
      <c r="Q284" s="13" t="str">
        <f>IF($A284="","",[1]!thsiFinD("ths_adjustment_nv_fund",Q$3,$A284))</f>
        <v/>
      </c>
      <c r="R284" s="13" t="str">
        <f>IF($A284="","",[1]!thsiFinD("ths_adjustment_nv_fund",R$3,$A284))</f>
        <v/>
      </c>
      <c r="S284" s="13" t="str">
        <f>IF($A284="","",[1]!thsiFinD("ths_adjustment_nv_fund",S$3,$A284))</f>
        <v/>
      </c>
      <c r="T284" s="13" t="str">
        <f>IF($A284="","",[1]!thsiFinD("ths_adjustment_nv_fund",T$3,$A284))</f>
        <v/>
      </c>
      <c r="U284" s="13" t="str">
        <f>IF($A284="","",[1]!thsiFinD("ths_adjustment_nv_fund",U$3,$A284))</f>
        <v/>
      </c>
      <c r="V284" s="13" t="str">
        <f>IF($A284="","",[1]!thsiFinD("ths_adjustment_nv_fund",V$3,$A284))</f>
        <v/>
      </c>
      <c r="W284" s="13" t="str">
        <f>IF($A284="","",[1]!thsiFinD("ths_adjustment_nv_fund",W$3,$A284))</f>
        <v/>
      </c>
      <c r="X284" s="13" t="str">
        <f>IF($A284="","",[1]!thsiFinD("ths_adjustment_nv_fund",X$3,$A284))</f>
        <v/>
      </c>
      <c r="Y284" s="13" t="str">
        <f>IF($A284="","",[1]!thsiFinD("ths_adjustment_nv_fund",Y$3,$A284))</f>
        <v/>
      </c>
      <c r="Z284" s="13" t="str">
        <f>IF($A284="","",[1]!thsiFinD("ths_adjustment_nv_fund",Z$3,$A284))</f>
        <v/>
      </c>
      <c r="AA284" s="13" t="str">
        <f>IF($A284="","",[1]!thsiFinD("ths_adjustment_nv_fund",AA$3,$A284))</f>
        <v/>
      </c>
      <c r="AB284" s="13">
        <f>IF($A284="","",[1]!thsiFinD("ths_adjustment_nv_fund",AB$3,$A284))</f>
        <v/>
      </c>
      <c r="AC284" s="13">
        <f>IF($A284="","",[1]!thsiFinD("ths_adjustment_nv_fund",AC$3,$A284))</f>
        <v/>
      </c>
      <c r="AD284" s="13">
        <f>IF($A284="","",[1]!thsiFinD("ths_adjustment_nv_fund",AD$3,$A284))</f>
        <v/>
      </c>
      <c r="AE284" s="13">
        <f>IF($A284="","",[1]!thsiFinD("ths_adjustment_nv_fund",AE$3,$A284))</f>
        <v/>
      </c>
      <c r="AF284" s="13">
        <f>IF($A284="","",[1]!thsiFinD("ths_adjustment_nv_fund",AF$3,$A284))</f>
        <v/>
      </c>
      <c r="AG284" s="13">
        <f>IF($A284="","",[1]!thsiFinD("ths_adjustment_nv_fund",AG$3,$A284))</f>
        <v/>
      </c>
      <c r="AH284" s="13">
        <f>IF($A284="","",[1]!thsiFinD("ths_adjustment_nv_fund",AH$3,$A284))</f>
        <v/>
      </c>
      <c r="AI284" s="13">
        <f>IF($A284="","",[1]!thsiFinD("ths_adjustment_nv_fund",AI$3,$A284))</f>
        <v/>
      </c>
      <c r="AJ284" s="13">
        <f>IF($A284="","",[1]!thsiFinD("ths_adjustment_nv_fund",AJ$3,$A284))</f>
        <v/>
      </c>
      <c r="AK284" s="13">
        <f>IF($A284="","",[1]!thsiFinD("ths_adjustment_nv_fund",AK$3,$A284))</f>
        <v/>
      </c>
      <c r="AL284" s="13">
        <f>IF($A284="","",[1]!thsiFinD("ths_adjustment_nv_fund",AL$3,$A284))</f>
        <v/>
      </c>
    </row>
    <row r="285" spans="2:28">
      <c r="B285" s="13" t="str">
        <f>IF($A285="","",[1]!thsiFinD("ths_adjustment_nv_fund",B$3,$A285))</f>
        <v/>
      </c>
      <c r="C285" s="13" t="str">
        <f>IF($A285="","",[1]!thsiFinD("ths_adjustment_nv_fund",C$3,$A285))</f>
        <v/>
      </c>
      <c r="D285" s="13" t="str">
        <f>IF($A285="","",[1]!thsiFinD("ths_adjustment_nv_fund",D$3,$A285))</f>
        <v/>
      </c>
      <c r="E285" s="13" t="str">
        <f>IF($A285="","",[1]!thsiFinD("ths_adjustment_nv_fund",E$3,$A285))</f>
        <v/>
      </c>
      <c r="F285" s="13" t="str">
        <f>IF($A285="","",[1]!thsiFinD("ths_adjustment_nv_fund",F$3,$A285))</f>
        <v/>
      </c>
      <c r="G285" s="13" t="str">
        <f>IF($A285="","",[1]!thsiFinD("ths_adjustment_nv_fund",G$3,$A285))</f>
        <v/>
      </c>
      <c r="H285" s="13" t="str">
        <f>IF($A285="","",[1]!thsiFinD("ths_adjustment_nv_fund",H$3,$A285))</f>
        <v/>
      </c>
      <c r="I285" s="13" t="str">
        <f>IF($A285="","",[1]!thsiFinD("ths_adjustment_nv_fund",I$3,$A285))</f>
        <v/>
      </c>
      <c r="J285" s="13" t="str">
        <f>IF($A285="","",[1]!thsiFinD("ths_adjustment_nv_fund",J$3,$A285))</f>
        <v/>
      </c>
      <c r="K285" s="13" t="str">
        <f>IF($A285="","",[1]!thsiFinD("ths_adjustment_nv_fund",K$3,$A285))</f>
        <v/>
      </c>
      <c r="L285" s="13" t="str">
        <f>IF($A285="","",[1]!thsiFinD("ths_adjustment_nv_fund",L$3,$A285))</f>
        <v/>
      </c>
      <c r="M285" s="13" t="str">
        <f>IF($A285="","",[1]!thsiFinD("ths_adjustment_nv_fund",M$3,$A285))</f>
        <v/>
      </c>
      <c r="N285" s="13" t="str">
        <f>IF($A285="","",[1]!thsiFinD("ths_adjustment_nv_fund",N$3,$A285))</f>
        <v/>
      </c>
      <c r="O285" s="13" t="str">
        <f>IF($A285="","",[1]!thsiFinD("ths_adjustment_nv_fund",O$3,$A285))</f>
        <v/>
      </c>
      <c r="P285" s="13" t="str">
        <f>IF($A285="","",[1]!thsiFinD("ths_adjustment_nv_fund",P$3,$A285))</f>
        <v/>
      </c>
      <c r="Q285" s="13" t="str">
        <f>IF($A285="","",[1]!thsiFinD("ths_adjustment_nv_fund",Q$3,$A285))</f>
        <v/>
      </c>
      <c r="R285" s="13" t="str">
        <f>IF($A285="","",[1]!thsiFinD("ths_adjustment_nv_fund",R$3,$A285))</f>
        <v/>
      </c>
      <c r="S285" s="13" t="str">
        <f>IF($A285="","",[1]!thsiFinD("ths_adjustment_nv_fund",S$3,$A285))</f>
        <v/>
      </c>
      <c r="T285" s="13" t="str">
        <f>IF($A285="","",[1]!thsiFinD("ths_adjustment_nv_fund",T$3,$A285))</f>
        <v/>
      </c>
      <c r="U285" s="13" t="str">
        <f>IF($A285="","",[1]!thsiFinD("ths_adjustment_nv_fund",U$3,$A285))</f>
        <v/>
      </c>
      <c r="V285" s="13" t="str">
        <f>IF($A285="","",[1]!thsiFinD("ths_adjustment_nv_fund",V$3,$A285))</f>
        <v/>
      </c>
      <c r="W285" s="13" t="str">
        <f>IF($A285="","",[1]!thsiFinD("ths_adjustment_nv_fund",W$3,$A285))</f>
        <v/>
      </c>
      <c r="X285" s="13" t="str">
        <f>IF($A285="","",[1]!thsiFinD("ths_adjustment_nv_fund",X$3,$A285))</f>
        <v/>
      </c>
      <c r="Y285" s="13" t="str">
        <f>IF($A285="","",[1]!thsiFinD("ths_adjustment_nv_fund",Y$3,$A285))</f>
        <v/>
      </c>
      <c r="Z285" s="13" t="str">
        <f>IF($A285="","",[1]!thsiFinD("ths_adjustment_nv_fund",Z$3,$A285))</f>
        <v/>
      </c>
      <c r="AA285" s="13" t="str">
        <f>IF($A285="","",[1]!thsiFinD("ths_adjustment_nv_fund",AA$3,$A285))</f>
        <v/>
      </c>
      <c r="AB285" s="13">
        <f>IF($A285="","",[1]!thsiFinD("ths_adjustment_nv_fund",AB$3,$A285))</f>
        <v/>
      </c>
      <c r="AC285" s="13">
        <f>IF($A285="","",[1]!thsiFinD("ths_adjustment_nv_fund",AC$3,$A285))</f>
        <v/>
      </c>
      <c r="AD285" s="13">
        <f>IF($A285="","",[1]!thsiFinD("ths_adjustment_nv_fund",AD$3,$A285))</f>
        <v/>
      </c>
      <c r="AE285" s="13">
        <f>IF($A285="","",[1]!thsiFinD("ths_adjustment_nv_fund",AE$3,$A285))</f>
        <v/>
      </c>
      <c r="AF285" s="13">
        <f>IF($A285="","",[1]!thsiFinD("ths_adjustment_nv_fund",AF$3,$A285))</f>
        <v/>
      </c>
      <c r="AG285" s="13">
        <f>IF($A285="","",[1]!thsiFinD("ths_adjustment_nv_fund",AG$3,$A285))</f>
        <v/>
      </c>
      <c r="AH285" s="13">
        <f>IF($A285="","",[1]!thsiFinD("ths_adjustment_nv_fund",AH$3,$A285))</f>
        <v/>
      </c>
      <c r="AI285" s="13">
        <f>IF($A285="","",[1]!thsiFinD("ths_adjustment_nv_fund",AI$3,$A285))</f>
        <v/>
      </c>
      <c r="AJ285" s="13">
        <f>IF($A285="","",[1]!thsiFinD("ths_adjustment_nv_fund",AJ$3,$A285))</f>
        <v/>
      </c>
      <c r="AK285" s="13">
        <f>IF($A285="","",[1]!thsiFinD("ths_adjustment_nv_fund",AK$3,$A285))</f>
        <v/>
      </c>
      <c r="AL285" s="13">
        <f>IF($A285="","",[1]!thsiFinD("ths_adjustment_nv_fund",AL$3,$A285))</f>
        <v/>
      </c>
    </row>
    <row r="286" spans="2:28">
      <c r="B286" s="13" t="str">
        <f>IF($A286="","",[1]!thsiFinD("ths_adjustment_nv_fund",B$3,$A286))</f>
        <v/>
      </c>
      <c r="C286" s="13" t="str">
        <f>IF($A286="","",[1]!thsiFinD("ths_adjustment_nv_fund",C$3,$A286))</f>
        <v/>
      </c>
      <c r="D286" s="13" t="str">
        <f>IF($A286="","",[1]!thsiFinD("ths_adjustment_nv_fund",D$3,$A286))</f>
        <v/>
      </c>
      <c r="E286" s="13" t="str">
        <f>IF($A286="","",[1]!thsiFinD("ths_adjustment_nv_fund",E$3,$A286))</f>
        <v/>
      </c>
      <c r="F286" s="13" t="str">
        <f>IF($A286="","",[1]!thsiFinD("ths_adjustment_nv_fund",F$3,$A286))</f>
        <v/>
      </c>
      <c r="G286" s="13" t="str">
        <f>IF($A286="","",[1]!thsiFinD("ths_adjustment_nv_fund",G$3,$A286))</f>
        <v/>
      </c>
      <c r="H286" s="13" t="str">
        <f>IF($A286="","",[1]!thsiFinD("ths_adjustment_nv_fund",H$3,$A286))</f>
        <v/>
      </c>
      <c r="I286" s="13" t="str">
        <f>IF($A286="","",[1]!thsiFinD("ths_adjustment_nv_fund",I$3,$A286))</f>
        <v/>
      </c>
      <c r="J286" s="13" t="str">
        <f>IF($A286="","",[1]!thsiFinD("ths_adjustment_nv_fund",J$3,$A286))</f>
        <v/>
      </c>
      <c r="K286" s="13" t="str">
        <f>IF($A286="","",[1]!thsiFinD("ths_adjustment_nv_fund",K$3,$A286))</f>
        <v/>
      </c>
      <c r="L286" s="13" t="str">
        <f>IF($A286="","",[1]!thsiFinD("ths_adjustment_nv_fund",L$3,$A286))</f>
        <v/>
      </c>
      <c r="M286" s="13" t="str">
        <f>IF($A286="","",[1]!thsiFinD("ths_adjustment_nv_fund",M$3,$A286))</f>
        <v/>
      </c>
      <c r="N286" s="13" t="str">
        <f>IF($A286="","",[1]!thsiFinD("ths_adjustment_nv_fund",N$3,$A286))</f>
        <v/>
      </c>
      <c r="O286" s="13" t="str">
        <f>IF($A286="","",[1]!thsiFinD("ths_adjustment_nv_fund",O$3,$A286))</f>
        <v/>
      </c>
      <c r="P286" s="13" t="str">
        <f>IF($A286="","",[1]!thsiFinD("ths_adjustment_nv_fund",P$3,$A286))</f>
        <v/>
      </c>
      <c r="Q286" s="13" t="str">
        <f>IF($A286="","",[1]!thsiFinD("ths_adjustment_nv_fund",Q$3,$A286))</f>
        <v/>
      </c>
      <c r="R286" s="13" t="str">
        <f>IF($A286="","",[1]!thsiFinD("ths_adjustment_nv_fund",R$3,$A286))</f>
        <v/>
      </c>
      <c r="S286" s="13" t="str">
        <f>IF($A286="","",[1]!thsiFinD("ths_adjustment_nv_fund",S$3,$A286))</f>
        <v/>
      </c>
      <c r="T286" s="13" t="str">
        <f>IF($A286="","",[1]!thsiFinD("ths_adjustment_nv_fund",T$3,$A286))</f>
        <v/>
      </c>
      <c r="U286" s="13" t="str">
        <f>IF($A286="","",[1]!thsiFinD("ths_adjustment_nv_fund",U$3,$A286))</f>
        <v/>
      </c>
      <c r="V286" s="13" t="str">
        <f>IF($A286="","",[1]!thsiFinD("ths_adjustment_nv_fund",V$3,$A286))</f>
        <v/>
      </c>
      <c r="W286" s="13" t="str">
        <f>IF($A286="","",[1]!thsiFinD("ths_adjustment_nv_fund",W$3,$A286))</f>
        <v/>
      </c>
      <c r="X286" s="13" t="str">
        <f>IF($A286="","",[1]!thsiFinD("ths_adjustment_nv_fund",X$3,$A286))</f>
        <v/>
      </c>
      <c r="Y286" s="13" t="str">
        <f>IF($A286="","",[1]!thsiFinD("ths_adjustment_nv_fund",Y$3,$A286))</f>
        <v/>
      </c>
      <c r="Z286" s="13" t="str">
        <f>IF($A286="","",[1]!thsiFinD("ths_adjustment_nv_fund",Z$3,$A286))</f>
        <v/>
      </c>
      <c r="AA286" s="13" t="str">
        <f>IF($A286="","",[1]!thsiFinD("ths_adjustment_nv_fund",AA$3,$A286))</f>
        <v/>
      </c>
      <c r="AB286" s="13">
        <f>IF($A286="","",[1]!thsiFinD("ths_adjustment_nv_fund",AB$3,$A286))</f>
        <v/>
      </c>
      <c r="AC286" s="13">
        <f>IF($A286="","",[1]!thsiFinD("ths_adjustment_nv_fund",AC$3,$A286))</f>
        <v/>
      </c>
      <c r="AD286" s="13">
        <f>IF($A286="","",[1]!thsiFinD("ths_adjustment_nv_fund",AD$3,$A286))</f>
        <v/>
      </c>
      <c r="AE286" s="13">
        <f>IF($A286="","",[1]!thsiFinD("ths_adjustment_nv_fund",AE$3,$A286))</f>
        <v/>
      </c>
      <c r="AF286" s="13">
        <f>IF($A286="","",[1]!thsiFinD("ths_adjustment_nv_fund",AF$3,$A286))</f>
        <v/>
      </c>
      <c r="AG286" s="13">
        <f>IF($A286="","",[1]!thsiFinD("ths_adjustment_nv_fund",AG$3,$A286))</f>
        <v/>
      </c>
      <c r="AH286" s="13">
        <f>IF($A286="","",[1]!thsiFinD("ths_adjustment_nv_fund",AH$3,$A286))</f>
        <v/>
      </c>
      <c r="AI286" s="13">
        <f>IF($A286="","",[1]!thsiFinD("ths_adjustment_nv_fund",AI$3,$A286))</f>
        <v/>
      </c>
      <c r="AJ286" s="13">
        <f>IF($A286="","",[1]!thsiFinD("ths_adjustment_nv_fund",AJ$3,$A286))</f>
        <v/>
      </c>
      <c r="AK286" s="13">
        <f>IF($A286="","",[1]!thsiFinD("ths_adjustment_nv_fund",AK$3,$A286))</f>
        <v/>
      </c>
      <c r="AL286" s="13">
        <f>IF($A286="","",[1]!thsiFinD("ths_adjustment_nv_fund",AL$3,$A286))</f>
        <v/>
      </c>
    </row>
    <row r="287" spans="2:28">
      <c r="B287" s="13" t="str">
        <f>IF($A287="","",[1]!thsiFinD("ths_adjustment_nv_fund",B$3,$A287))</f>
        <v/>
      </c>
      <c r="C287" s="13" t="str">
        <f>IF($A287="","",[1]!thsiFinD("ths_adjustment_nv_fund",C$3,$A287))</f>
        <v/>
      </c>
      <c r="D287" s="13" t="str">
        <f>IF($A287="","",[1]!thsiFinD("ths_adjustment_nv_fund",D$3,$A287))</f>
        <v/>
      </c>
      <c r="E287" s="13" t="str">
        <f>IF($A287="","",[1]!thsiFinD("ths_adjustment_nv_fund",E$3,$A287))</f>
        <v/>
      </c>
      <c r="F287" s="13" t="str">
        <f>IF($A287="","",[1]!thsiFinD("ths_adjustment_nv_fund",F$3,$A287))</f>
        <v/>
      </c>
      <c r="G287" s="13" t="str">
        <f>IF($A287="","",[1]!thsiFinD("ths_adjustment_nv_fund",G$3,$A287))</f>
        <v/>
      </c>
      <c r="H287" s="13" t="str">
        <f>IF($A287="","",[1]!thsiFinD("ths_adjustment_nv_fund",H$3,$A287))</f>
        <v/>
      </c>
      <c r="I287" s="13" t="str">
        <f>IF($A287="","",[1]!thsiFinD("ths_adjustment_nv_fund",I$3,$A287))</f>
        <v/>
      </c>
      <c r="J287" s="13" t="str">
        <f>IF($A287="","",[1]!thsiFinD("ths_adjustment_nv_fund",J$3,$A287))</f>
        <v/>
      </c>
      <c r="K287" s="13" t="str">
        <f>IF($A287="","",[1]!thsiFinD("ths_adjustment_nv_fund",K$3,$A287))</f>
        <v/>
      </c>
      <c r="L287" s="13" t="str">
        <f>IF($A287="","",[1]!thsiFinD("ths_adjustment_nv_fund",L$3,$A287))</f>
        <v/>
      </c>
      <c r="M287" s="13" t="str">
        <f>IF($A287="","",[1]!thsiFinD("ths_adjustment_nv_fund",M$3,$A287))</f>
        <v/>
      </c>
      <c r="N287" s="13" t="str">
        <f>IF($A287="","",[1]!thsiFinD("ths_adjustment_nv_fund",N$3,$A287))</f>
        <v/>
      </c>
      <c r="O287" s="13" t="str">
        <f>IF($A287="","",[1]!thsiFinD("ths_adjustment_nv_fund",O$3,$A287))</f>
        <v/>
      </c>
      <c r="P287" s="13" t="str">
        <f>IF($A287="","",[1]!thsiFinD("ths_adjustment_nv_fund",P$3,$A287))</f>
        <v/>
      </c>
      <c r="Q287" s="13" t="str">
        <f>IF($A287="","",[1]!thsiFinD("ths_adjustment_nv_fund",Q$3,$A287))</f>
        <v/>
      </c>
      <c r="R287" s="13" t="str">
        <f>IF($A287="","",[1]!thsiFinD("ths_adjustment_nv_fund",R$3,$A287))</f>
        <v/>
      </c>
      <c r="S287" s="13" t="str">
        <f>IF($A287="","",[1]!thsiFinD("ths_adjustment_nv_fund",S$3,$A287))</f>
        <v/>
      </c>
      <c r="T287" s="13" t="str">
        <f>IF($A287="","",[1]!thsiFinD("ths_adjustment_nv_fund",T$3,$A287))</f>
        <v/>
      </c>
      <c r="U287" s="13" t="str">
        <f>IF($A287="","",[1]!thsiFinD("ths_adjustment_nv_fund",U$3,$A287))</f>
        <v/>
      </c>
      <c r="V287" s="13" t="str">
        <f>IF($A287="","",[1]!thsiFinD("ths_adjustment_nv_fund",V$3,$A287))</f>
        <v/>
      </c>
      <c r="W287" s="13" t="str">
        <f>IF($A287="","",[1]!thsiFinD("ths_adjustment_nv_fund",W$3,$A287))</f>
        <v/>
      </c>
      <c r="X287" s="13" t="str">
        <f>IF($A287="","",[1]!thsiFinD("ths_adjustment_nv_fund",X$3,$A287))</f>
        <v/>
      </c>
      <c r="Y287" s="13" t="str">
        <f>IF($A287="","",[1]!thsiFinD("ths_adjustment_nv_fund",Y$3,$A287))</f>
        <v/>
      </c>
      <c r="Z287" s="13" t="str">
        <f>IF($A287="","",[1]!thsiFinD("ths_adjustment_nv_fund",Z$3,$A287))</f>
        <v/>
      </c>
      <c r="AA287" s="13" t="str">
        <f>IF($A287="","",[1]!thsiFinD("ths_adjustment_nv_fund",AA$3,$A287))</f>
        <v/>
      </c>
      <c r="AB287" s="13">
        <f>IF($A287="","",[1]!thsiFinD("ths_adjustment_nv_fund",AB$3,$A287))</f>
        <v/>
      </c>
      <c r="AC287" s="13">
        <f>IF($A287="","",[1]!thsiFinD("ths_adjustment_nv_fund",AC$3,$A287))</f>
        <v/>
      </c>
      <c r="AD287" s="13">
        <f>IF($A287="","",[1]!thsiFinD("ths_adjustment_nv_fund",AD$3,$A287))</f>
        <v/>
      </c>
      <c r="AE287" s="13">
        <f>IF($A287="","",[1]!thsiFinD("ths_adjustment_nv_fund",AE$3,$A287))</f>
        <v/>
      </c>
      <c r="AF287" s="13">
        <f>IF($A287="","",[1]!thsiFinD("ths_adjustment_nv_fund",AF$3,$A287))</f>
        <v/>
      </c>
      <c r="AG287" s="13">
        <f>IF($A287="","",[1]!thsiFinD("ths_adjustment_nv_fund",AG$3,$A287))</f>
        <v/>
      </c>
      <c r="AH287" s="13">
        <f>IF($A287="","",[1]!thsiFinD("ths_adjustment_nv_fund",AH$3,$A287))</f>
        <v/>
      </c>
      <c r="AI287" s="13">
        <f>IF($A287="","",[1]!thsiFinD("ths_adjustment_nv_fund",AI$3,$A287))</f>
        <v/>
      </c>
      <c r="AJ287" s="13">
        <f>IF($A287="","",[1]!thsiFinD("ths_adjustment_nv_fund",AJ$3,$A287))</f>
        <v/>
      </c>
      <c r="AK287" s="13">
        <f>IF($A287="","",[1]!thsiFinD("ths_adjustment_nv_fund",AK$3,$A287))</f>
        <v/>
      </c>
      <c r="AL287" s="13">
        <f>IF($A287="","",[1]!thsiFinD("ths_adjustment_nv_fund",AL$3,$A287))</f>
        <v/>
      </c>
    </row>
    <row r="288" spans="2:28">
      <c r="B288" s="13" t="str">
        <f>IF($A288="","",[1]!thsiFinD("ths_adjustment_nv_fund",B$3,$A288))</f>
        <v/>
      </c>
      <c r="C288" s="13" t="str">
        <f>IF($A288="","",[1]!thsiFinD("ths_adjustment_nv_fund",C$3,$A288))</f>
        <v/>
      </c>
      <c r="D288" s="13" t="str">
        <f>IF($A288="","",[1]!thsiFinD("ths_adjustment_nv_fund",D$3,$A288))</f>
        <v/>
      </c>
      <c r="E288" s="13" t="str">
        <f>IF($A288="","",[1]!thsiFinD("ths_adjustment_nv_fund",E$3,$A288))</f>
        <v/>
      </c>
      <c r="F288" s="13" t="str">
        <f>IF($A288="","",[1]!thsiFinD("ths_adjustment_nv_fund",F$3,$A288))</f>
        <v/>
      </c>
      <c r="G288" s="13" t="str">
        <f>IF($A288="","",[1]!thsiFinD("ths_adjustment_nv_fund",G$3,$A288))</f>
        <v/>
      </c>
      <c r="H288" s="13" t="str">
        <f>IF($A288="","",[1]!thsiFinD("ths_adjustment_nv_fund",H$3,$A288))</f>
        <v/>
      </c>
      <c r="I288" s="13" t="str">
        <f>IF($A288="","",[1]!thsiFinD("ths_adjustment_nv_fund",I$3,$A288))</f>
        <v/>
      </c>
      <c r="J288" s="13" t="str">
        <f>IF($A288="","",[1]!thsiFinD("ths_adjustment_nv_fund",J$3,$A288))</f>
        <v/>
      </c>
      <c r="K288" s="13" t="str">
        <f>IF($A288="","",[1]!thsiFinD("ths_adjustment_nv_fund",K$3,$A288))</f>
        <v/>
      </c>
      <c r="L288" s="13" t="str">
        <f>IF($A288="","",[1]!thsiFinD("ths_adjustment_nv_fund",L$3,$A288))</f>
        <v/>
      </c>
      <c r="M288" s="13" t="str">
        <f>IF($A288="","",[1]!thsiFinD("ths_adjustment_nv_fund",M$3,$A288))</f>
        <v/>
      </c>
      <c r="N288" s="13" t="str">
        <f>IF($A288="","",[1]!thsiFinD("ths_adjustment_nv_fund",N$3,$A288))</f>
        <v/>
      </c>
      <c r="O288" s="13" t="str">
        <f>IF($A288="","",[1]!thsiFinD("ths_adjustment_nv_fund",O$3,$A288))</f>
        <v/>
      </c>
      <c r="P288" s="13" t="str">
        <f>IF($A288="","",[1]!thsiFinD("ths_adjustment_nv_fund",P$3,$A288))</f>
        <v/>
      </c>
      <c r="Q288" s="13" t="str">
        <f>IF($A288="","",[1]!thsiFinD("ths_adjustment_nv_fund",Q$3,$A288))</f>
        <v/>
      </c>
      <c r="R288" s="13" t="str">
        <f>IF($A288="","",[1]!thsiFinD("ths_adjustment_nv_fund",R$3,$A288))</f>
        <v/>
      </c>
      <c r="S288" s="13" t="str">
        <f>IF($A288="","",[1]!thsiFinD("ths_adjustment_nv_fund",S$3,$A288))</f>
        <v/>
      </c>
      <c r="T288" s="13" t="str">
        <f>IF($A288="","",[1]!thsiFinD("ths_adjustment_nv_fund",T$3,$A288))</f>
        <v/>
      </c>
      <c r="U288" s="13" t="str">
        <f>IF($A288="","",[1]!thsiFinD("ths_adjustment_nv_fund",U$3,$A288))</f>
        <v/>
      </c>
      <c r="V288" s="13" t="str">
        <f>IF($A288="","",[1]!thsiFinD("ths_adjustment_nv_fund",V$3,$A288))</f>
        <v/>
      </c>
      <c r="W288" s="13" t="str">
        <f>IF($A288="","",[1]!thsiFinD("ths_adjustment_nv_fund",W$3,$A288))</f>
        <v/>
      </c>
      <c r="X288" s="13" t="str">
        <f>IF($A288="","",[1]!thsiFinD("ths_adjustment_nv_fund",X$3,$A288))</f>
        <v/>
      </c>
      <c r="Y288" s="13" t="str">
        <f>IF($A288="","",[1]!thsiFinD("ths_adjustment_nv_fund",Y$3,$A288))</f>
        <v/>
      </c>
      <c r="Z288" s="13" t="str">
        <f>IF($A288="","",[1]!thsiFinD("ths_adjustment_nv_fund",Z$3,$A288))</f>
        <v/>
      </c>
      <c r="AA288" s="13" t="str">
        <f>IF($A288="","",[1]!thsiFinD("ths_adjustment_nv_fund",AA$3,$A288))</f>
        <v/>
      </c>
      <c r="AB288" s="13">
        <f>IF($A288="","",[1]!thsiFinD("ths_adjustment_nv_fund",AB$3,$A288))</f>
        <v/>
      </c>
      <c r="AC288" s="13">
        <f>IF($A288="","",[1]!thsiFinD("ths_adjustment_nv_fund",AC$3,$A288))</f>
        <v/>
      </c>
      <c r="AD288" s="13">
        <f>IF($A288="","",[1]!thsiFinD("ths_adjustment_nv_fund",AD$3,$A288))</f>
        <v/>
      </c>
      <c r="AE288" s="13">
        <f>IF($A288="","",[1]!thsiFinD("ths_adjustment_nv_fund",AE$3,$A288))</f>
        <v/>
      </c>
      <c r="AF288" s="13">
        <f>IF($A288="","",[1]!thsiFinD("ths_adjustment_nv_fund",AF$3,$A288))</f>
        <v/>
      </c>
      <c r="AG288" s="13">
        <f>IF($A288="","",[1]!thsiFinD("ths_adjustment_nv_fund",AG$3,$A288))</f>
        <v/>
      </c>
      <c r="AH288" s="13">
        <f>IF($A288="","",[1]!thsiFinD("ths_adjustment_nv_fund",AH$3,$A288))</f>
        <v/>
      </c>
      <c r="AI288" s="13">
        <f>IF($A288="","",[1]!thsiFinD("ths_adjustment_nv_fund",AI$3,$A288))</f>
        <v/>
      </c>
      <c r="AJ288" s="13">
        <f>IF($A288="","",[1]!thsiFinD("ths_adjustment_nv_fund",AJ$3,$A288))</f>
        <v/>
      </c>
      <c r="AK288" s="13">
        <f>IF($A288="","",[1]!thsiFinD("ths_adjustment_nv_fund",AK$3,$A288))</f>
        <v/>
      </c>
      <c r="AL288" s="13">
        <f>IF($A288="","",[1]!thsiFinD("ths_adjustment_nv_fund",AL$3,$A288))</f>
        <v/>
      </c>
    </row>
    <row r="289" spans="2:28">
      <c r="B289" s="13" t="str">
        <f>IF($A289="","",[1]!thsiFinD("ths_adjustment_nv_fund",B$3,$A289))</f>
        <v/>
      </c>
      <c r="C289" s="13" t="str">
        <f>IF($A289="","",[1]!thsiFinD("ths_adjustment_nv_fund",C$3,$A289))</f>
        <v/>
      </c>
      <c r="D289" s="13" t="str">
        <f>IF($A289="","",[1]!thsiFinD("ths_adjustment_nv_fund",D$3,$A289))</f>
        <v/>
      </c>
      <c r="E289" s="13" t="str">
        <f>IF($A289="","",[1]!thsiFinD("ths_adjustment_nv_fund",E$3,$A289))</f>
        <v/>
      </c>
      <c r="F289" s="13" t="str">
        <f>IF($A289="","",[1]!thsiFinD("ths_adjustment_nv_fund",F$3,$A289))</f>
        <v/>
      </c>
      <c r="G289" s="13" t="str">
        <f>IF($A289="","",[1]!thsiFinD("ths_adjustment_nv_fund",G$3,$A289))</f>
        <v/>
      </c>
      <c r="H289" s="13" t="str">
        <f>IF($A289="","",[1]!thsiFinD("ths_adjustment_nv_fund",H$3,$A289))</f>
        <v/>
      </c>
      <c r="I289" s="13" t="str">
        <f>IF($A289="","",[1]!thsiFinD("ths_adjustment_nv_fund",I$3,$A289))</f>
        <v/>
      </c>
      <c r="J289" s="13" t="str">
        <f>IF($A289="","",[1]!thsiFinD("ths_adjustment_nv_fund",J$3,$A289))</f>
        <v/>
      </c>
      <c r="K289" s="13" t="str">
        <f>IF($A289="","",[1]!thsiFinD("ths_adjustment_nv_fund",K$3,$A289))</f>
        <v/>
      </c>
      <c r="L289" s="13" t="str">
        <f>IF($A289="","",[1]!thsiFinD("ths_adjustment_nv_fund",L$3,$A289))</f>
        <v/>
      </c>
      <c r="M289" s="13" t="str">
        <f>IF($A289="","",[1]!thsiFinD("ths_adjustment_nv_fund",M$3,$A289))</f>
        <v/>
      </c>
      <c r="N289" s="13" t="str">
        <f>IF($A289="","",[1]!thsiFinD("ths_adjustment_nv_fund",N$3,$A289))</f>
        <v/>
      </c>
      <c r="O289" s="13" t="str">
        <f>IF($A289="","",[1]!thsiFinD("ths_adjustment_nv_fund",O$3,$A289))</f>
        <v/>
      </c>
      <c r="P289" s="13" t="str">
        <f>IF($A289="","",[1]!thsiFinD("ths_adjustment_nv_fund",P$3,$A289))</f>
        <v/>
      </c>
      <c r="Q289" s="13" t="str">
        <f>IF($A289="","",[1]!thsiFinD("ths_adjustment_nv_fund",Q$3,$A289))</f>
        <v/>
      </c>
      <c r="R289" s="13" t="str">
        <f>IF($A289="","",[1]!thsiFinD("ths_adjustment_nv_fund",R$3,$A289))</f>
        <v/>
      </c>
      <c r="S289" s="13" t="str">
        <f>IF($A289="","",[1]!thsiFinD("ths_adjustment_nv_fund",S$3,$A289))</f>
        <v/>
      </c>
      <c r="T289" s="13" t="str">
        <f>IF($A289="","",[1]!thsiFinD("ths_adjustment_nv_fund",T$3,$A289))</f>
        <v/>
      </c>
      <c r="U289" s="13" t="str">
        <f>IF($A289="","",[1]!thsiFinD("ths_adjustment_nv_fund",U$3,$A289))</f>
        <v/>
      </c>
      <c r="V289" s="13" t="str">
        <f>IF($A289="","",[1]!thsiFinD("ths_adjustment_nv_fund",V$3,$A289))</f>
        <v/>
      </c>
      <c r="W289" s="13" t="str">
        <f>IF($A289="","",[1]!thsiFinD("ths_adjustment_nv_fund",W$3,$A289))</f>
        <v/>
      </c>
      <c r="X289" s="13" t="str">
        <f>IF($A289="","",[1]!thsiFinD("ths_adjustment_nv_fund",X$3,$A289))</f>
        <v/>
      </c>
      <c r="Y289" s="13" t="str">
        <f>IF($A289="","",[1]!thsiFinD("ths_adjustment_nv_fund",Y$3,$A289))</f>
        <v/>
      </c>
      <c r="Z289" s="13" t="str">
        <f>IF($A289="","",[1]!thsiFinD("ths_adjustment_nv_fund",Z$3,$A289))</f>
        <v/>
      </c>
      <c r="AA289" s="13" t="str">
        <f>IF($A289="","",[1]!thsiFinD("ths_adjustment_nv_fund",AA$3,$A289))</f>
        <v/>
      </c>
      <c r="AB289" s="13">
        <f>IF($A289="","",[1]!thsiFinD("ths_adjustment_nv_fund",AB$3,$A289))</f>
        <v/>
      </c>
      <c r="AC289" s="13">
        <f>IF($A289="","",[1]!thsiFinD("ths_adjustment_nv_fund",AC$3,$A289))</f>
        <v/>
      </c>
      <c r="AD289" s="13">
        <f>IF($A289="","",[1]!thsiFinD("ths_adjustment_nv_fund",AD$3,$A289))</f>
        <v/>
      </c>
      <c r="AE289" s="13">
        <f>IF($A289="","",[1]!thsiFinD("ths_adjustment_nv_fund",AE$3,$A289))</f>
        <v/>
      </c>
      <c r="AF289" s="13">
        <f>IF($A289="","",[1]!thsiFinD("ths_adjustment_nv_fund",AF$3,$A289))</f>
        <v/>
      </c>
      <c r="AG289" s="13">
        <f>IF($A289="","",[1]!thsiFinD("ths_adjustment_nv_fund",AG$3,$A289))</f>
        <v/>
      </c>
      <c r="AH289" s="13">
        <f>IF($A289="","",[1]!thsiFinD("ths_adjustment_nv_fund",AH$3,$A289))</f>
        <v/>
      </c>
      <c r="AI289" s="13">
        <f>IF($A289="","",[1]!thsiFinD("ths_adjustment_nv_fund",AI$3,$A289))</f>
        <v/>
      </c>
      <c r="AJ289" s="13">
        <f>IF($A289="","",[1]!thsiFinD("ths_adjustment_nv_fund",AJ$3,$A289))</f>
        <v/>
      </c>
      <c r="AK289" s="13">
        <f>IF($A289="","",[1]!thsiFinD("ths_adjustment_nv_fund",AK$3,$A289))</f>
        <v/>
      </c>
      <c r="AL289" s="13">
        <f>IF($A289="","",[1]!thsiFinD("ths_adjustment_nv_fund",AL$3,$A289))</f>
        <v/>
      </c>
    </row>
    <row r="290" spans="2:28">
      <c r="B290" s="13" t="str">
        <f>IF($A290="","",[1]!thsiFinD("ths_adjustment_nv_fund",B$3,$A290))</f>
        <v/>
      </c>
      <c r="C290" s="13" t="str">
        <f>IF($A290="","",[1]!thsiFinD("ths_adjustment_nv_fund",C$3,$A290))</f>
        <v/>
      </c>
      <c r="D290" s="13" t="str">
        <f>IF($A290="","",[1]!thsiFinD("ths_adjustment_nv_fund",D$3,$A290))</f>
        <v/>
      </c>
      <c r="E290" s="13" t="str">
        <f>IF($A290="","",[1]!thsiFinD("ths_adjustment_nv_fund",E$3,$A290))</f>
        <v/>
      </c>
      <c r="F290" s="13" t="str">
        <f>IF($A290="","",[1]!thsiFinD("ths_adjustment_nv_fund",F$3,$A290))</f>
        <v/>
      </c>
      <c r="G290" s="13" t="str">
        <f>IF($A290="","",[1]!thsiFinD("ths_adjustment_nv_fund",G$3,$A290))</f>
        <v/>
      </c>
      <c r="H290" s="13" t="str">
        <f>IF($A290="","",[1]!thsiFinD("ths_adjustment_nv_fund",H$3,$A290))</f>
        <v/>
      </c>
      <c r="I290" s="13" t="str">
        <f>IF($A290="","",[1]!thsiFinD("ths_adjustment_nv_fund",I$3,$A290))</f>
        <v/>
      </c>
      <c r="J290" s="13" t="str">
        <f>IF($A290="","",[1]!thsiFinD("ths_adjustment_nv_fund",J$3,$A290))</f>
        <v/>
      </c>
      <c r="K290" s="13" t="str">
        <f>IF($A290="","",[1]!thsiFinD("ths_adjustment_nv_fund",K$3,$A290))</f>
        <v/>
      </c>
      <c r="L290" s="13" t="str">
        <f>IF($A290="","",[1]!thsiFinD("ths_adjustment_nv_fund",L$3,$A290))</f>
        <v/>
      </c>
      <c r="M290" s="13" t="str">
        <f>IF($A290="","",[1]!thsiFinD("ths_adjustment_nv_fund",M$3,$A290))</f>
        <v/>
      </c>
      <c r="N290" s="13" t="str">
        <f>IF($A290="","",[1]!thsiFinD("ths_adjustment_nv_fund",N$3,$A290))</f>
        <v/>
      </c>
      <c r="O290" s="13" t="str">
        <f>IF($A290="","",[1]!thsiFinD("ths_adjustment_nv_fund",O$3,$A290))</f>
        <v/>
      </c>
      <c r="P290" s="13" t="str">
        <f>IF($A290="","",[1]!thsiFinD("ths_adjustment_nv_fund",P$3,$A290))</f>
        <v/>
      </c>
      <c r="Q290" s="13" t="str">
        <f>IF($A290="","",[1]!thsiFinD("ths_adjustment_nv_fund",Q$3,$A290))</f>
        <v/>
      </c>
      <c r="R290" s="13" t="str">
        <f>IF($A290="","",[1]!thsiFinD("ths_adjustment_nv_fund",R$3,$A290))</f>
        <v/>
      </c>
      <c r="S290" s="13" t="str">
        <f>IF($A290="","",[1]!thsiFinD("ths_adjustment_nv_fund",S$3,$A290))</f>
        <v/>
      </c>
      <c r="T290" s="13" t="str">
        <f>IF($A290="","",[1]!thsiFinD("ths_adjustment_nv_fund",T$3,$A290))</f>
        <v/>
      </c>
      <c r="U290" s="13" t="str">
        <f>IF($A290="","",[1]!thsiFinD("ths_adjustment_nv_fund",U$3,$A290))</f>
        <v/>
      </c>
      <c r="V290" s="13" t="str">
        <f>IF($A290="","",[1]!thsiFinD("ths_adjustment_nv_fund",V$3,$A290))</f>
        <v/>
      </c>
      <c r="W290" s="13" t="str">
        <f>IF($A290="","",[1]!thsiFinD("ths_adjustment_nv_fund",W$3,$A290))</f>
        <v/>
      </c>
      <c r="X290" s="13" t="str">
        <f>IF($A290="","",[1]!thsiFinD("ths_adjustment_nv_fund",X$3,$A290))</f>
        <v/>
      </c>
      <c r="Y290" s="13" t="str">
        <f>IF($A290="","",[1]!thsiFinD("ths_adjustment_nv_fund",Y$3,$A290))</f>
        <v/>
      </c>
      <c r="Z290" s="13" t="str">
        <f>IF($A290="","",[1]!thsiFinD("ths_adjustment_nv_fund",Z$3,$A290))</f>
        <v/>
      </c>
      <c r="AA290" s="13" t="str">
        <f>IF($A290="","",[1]!thsiFinD("ths_adjustment_nv_fund",AA$3,$A290))</f>
        <v/>
      </c>
      <c r="AB290" s="13">
        <f>IF($A290="","",[1]!thsiFinD("ths_adjustment_nv_fund",AB$3,$A290))</f>
        <v/>
      </c>
      <c r="AC290" s="13">
        <f>IF($A290="","",[1]!thsiFinD("ths_adjustment_nv_fund",AC$3,$A290))</f>
        <v/>
      </c>
      <c r="AD290" s="13">
        <f>IF($A290="","",[1]!thsiFinD("ths_adjustment_nv_fund",AD$3,$A290))</f>
        <v/>
      </c>
      <c r="AE290" s="13">
        <f>IF($A290="","",[1]!thsiFinD("ths_adjustment_nv_fund",AE$3,$A290))</f>
        <v/>
      </c>
      <c r="AF290" s="13">
        <f>IF($A290="","",[1]!thsiFinD("ths_adjustment_nv_fund",AF$3,$A290))</f>
        <v/>
      </c>
      <c r="AG290" s="13">
        <f>IF($A290="","",[1]!thsiFinD("ths_adjustment_nv_fund",AG$3,$A290))</f>
        <v/>
      </c>
      <c r="AH290" s="13">
        <f>IF($A290="","",[1]!thsiFinD("ths_adjustment_nv_fund",AH$3,$A290))</f>
        <v/>
      </c>
      <c r="AI290" s="13">
        <f>IF($A290="","",[1]!thsiFinD("ths_adjustment_nv_fund",AI$3,$A290))</f>
        <v/>
      </c>
      <c r="AJ290" s="13">
        <f>IF($A290="","",[1]!thsiFinD("ths_adjustment_nv_fund",AJ$3,$A290))</f>
        <v/>
      </c>
      <c r="AK290" s="13">
        <f>IF($A290="","",[1]!thsiFinD("ths_adjustment_nv_fund",AK$3,$A290))</f>
        <v/>
      </c>
      <c r="AL290" s="13">
        <f>IF($A290="","",[1]!thsiFinD("ths_adjustment_nv_fund",AL$3,$A290))</f>
        <v/>
      </c>
    </row>
    <row r="291" spans="2:28">
      <c r="B291" s="13" t="str">
        <f>IF($A291="","",[1]!thsiFinD("ths_adjustment_nv_fund",B$3,$A291))</f>
        <v/>
      </c>
      <c r="C291" s="13" t="str">
        <f>IF($A291="","",[1]!thsiFinD("ths_adjustment_nv_fund",C$3,$A291))</f>
        <v/>
      </c>
      <c r="D291" s="13" t="str">
        <f>IF($A291="","",[1]!thsiFinD("ths_adjustment_nv_fund",D$3,$A291))</f>
        <v/>
      </c>
      <c r="E291" s="13" t="str">
        <f>IF($A291="","",[1]!thsiFinD("ths_adjustment_nv_fund",E$3,$A291))</f>
        <v/>
      </c>
      <c r="F291" s="13" t="str">
        <f>IF($A291="","",[1]!thsiFinD("ths_adjustment_nv_fund",F$3,$A291))</f>
        <v/>
      </c>
      <c r="G291" s="13" t="str">
        <f>IF($A291="","",[1]!thsiFinD("ths_adjustment_nv_fund",G$3,$A291))</f>
        <v/>
      </c>
      <c r="H291" s="13" t="str">
        <f>IF($A291="","",[1]!thsiFinD("ths_adjustment_nv_fund",H$3,$A291))</f>
        <v/>
      </c>
      <c r="I291" s="13" t="str">
        <f>IF($A291="","",[1]!thsiFinD("ths_adjustment_nv_fund",I$3,$A291))</f>
        <v/>
      </c>
      <c r="J291" s="13" t="str">
        <f>IF($A291="","",[1]!thsiFinD("ths_adjustment_nv_fund",J$3,$A291))</f>
        <v/>
      </c>
      <c r="K291" s="13" t="str">
        <f>IF($A291="","",[1]!thsiFinD("ths_adjustment_nv_fund",K$3,$A291))</f>
        <v/>
      </c>
      <c r="L291" s="13" t="str">
        <f>IF($A291="","",[1]!thsiFinD("ths_adjustment_nv_fund",L$3,$A291))</f>
        <v/>
      </c>
      <c r="M291" s="13" t="str">
        <f>IF($A291="","",[1]!thsiFinD("ths_adjustment_nv_fund",M$3,$A291))</f>
        <v/>
      </c>
      <c r="N291" s="13" t="str">
        <f>IF($A291="","",[1]!thsiFinD("ths_adjustment_nv_fund",N$3,$A291))</f>
        <v/>
      </c>
      <c r="O291" s="13" t="str">
        <f>IF($A291="","",[1]!thsiFinD("ths_adjustment_nv_fund",O$3,$A291))</f>
        <v/>
      </c>
      <c r="P291" s="13" t="str">
        <f>IF($A291="","",[1]!thsiFinD("ths_adjustment_nv_fund",P$3,$A291))</f>
        <v/>
      </c>
      <c r="Q291" s="13" t="str">
        <f>IF($A291="","",[1]!thsiFinD("ths_adjustment_nv_fund",Q$3,$A291))</f>
        <v/>
      </c>
      <c r="R291" s="13" t="str">
        <f>IF($A291="","",[1]!thsiFinD("ths_adjustment_nv_fund",R$3,$A291))</f>
        <v/>
      </c>
      <c r="S291" s="13" t="str">
        <f>IF($A291="","",[1]!thsiFinD("ths_adjustment_nv_fund",S$3,$A291))</f>
        <v/>
      </c>
      <c r="T291" s="13" t="str">
        <f>IF($A291="","",[1]!thsiFinD("ths_adjustment_nv_fund",T$3,$A291))</f>
        <v/>
      </c>
      <c r="U291" s="13" t="str">
        <f>IF($A291="","",[1]!thsiFinD("ths_adjustment_nv_fund",U$3,$A291))</f>
        <v/>
      </c>
      <c r="V291" s="13" t="str">
        <f>IF($A291="","",[1]!thsiFinD("ths_adjustment_nv_fund",V$3,$A291))</f>
        <v/>
      </c>
      <c r="W291" s="13" t="str">
        <f>IF($A291="","",[1]!thsiFinD("ths_adjustment_nv_fund",W$3,$A291))</f>
        <v/>
      </c>
      <c r="X291" s="13" t="str">
        <f>IF($A291="","",[1]!thsiFinD("ths_adjustment_nv_fund",X$3,$A291))</f>
        <v/>
      </c>
      <c r="Y291" s="13" t="str">
        <f>IF($A291="","",[1]!thsiFinD("ths_adjustment_nv_fund",Y$3,$A291))</f>
        <v/>
      </c>
      <c r="Z291" s="13" t="str">
        <f>IF($A291="","",[1]!thsiFinD("ths_adjustment_nv_fund",Z$3,$A291))</f>
        <v/>
      </c>
      <c r="AA291" s="13" t="str">
        <f>IF($A291="","",[1]!thsiFinD("ths_adjustment_nv_fund",AA$3,$A291))</f>
        <v/>
      </c>
      <c r="AB291" s="13">
        <f>IF($A291="","",[1]!thsiFinD("ths_adjustment_nv_fund",AB$3,$A291))</f>
        <v/>
      </c>
      <c r="AC291" s="13">
        <f>IF($A291="","",[1]!thsiFinD("ths_adjustment_nv_fund",AC$3,$A291))</f>
        <v/>
      </c>
      <c r="AD291" s="13">
        <f>IF($A291="","",[1]!thsiFinD("ths_adjustment_nv_fund",AD$3,$A291))</f>
        <v/>
      </c>
      <c r="AE291" s="13">
        <f>IF($A291="","",[1]!thsiFinD("ths_adjustment_nv_fund",AE$3,$A291))</f>
        <v/>
      </c>
      <c r="AF291" s="13">
        <f>IF($A291="","",[1]!thsiFinD("ths_adjustment_nv_fund",AF$3,$A291))</f>
        <v/>
      </c>
      <c r="AG291" s="13">
        <f>IF($A291="","",[1]!thsiFinD("ths_adjustment_nv_fund",AG$3,$A291))</f>
        <v/>
      </c>
      <c r="AH291" s="13">
        <f>IF($A291="","",[1]!thsiFinD("ths_adjustment_nv_fund",AH$3,$A291))</f>
        <v/>
      </c>
      <c r="AI291" s="13">
        <f>IF($A291="","",[1]!thsiFinD("ths_adjustment_nv_fund",AI$3,$A291))</f>
        <v/>
      </c>
      <c r="AJ291" s="13">
        <f>IF($A291="","",[1]!thsiFinD("ths_adjustment_nv_fund",AJ$3,$A291))</f>
        <v/>
      </c>
      <c r="AK291" s="13">
        <f>IF($A291="","",[1]!thsiFinD("ths_adjustment_nv_fund",AK$3,$A291))</f>
        <v/>
      </c>
      <c r="AL291" s="13">
        <f>IF($A291="","",[1]!thsiFinD("ths_adjustment_nv_fund",AL$3,$A291))</f>
        <v/>
      </c>
    </row>
    <row r="292" spans="2:28">
      <c r="B292" s="13" t="str">
        <f>IF($A292="","",[1]!thsiFinD("ths_adjustment_nv_fund",B$3,$A292))</f>
        <v/>
      </c>
      <c r="C292" s="13" t="str">
        <f>IF($A292="","",[1]!thsiFinD("ths_adjustment_nv_fund",C$3,$A292))</f>
        <v/>
      </c>
      <c r="D292" s="13" t="str">
        <f>IF($A292="","",[1]!thsiFinD("ths_adjustment_nv_fund",D$3,$A292))</f>
        <v/>
      </c>
      <c r="E292" s="13" t="str">
        <f>IF($A292="","",[1]!thsiFinD("ths_adjustment_nv_fund",E$3,$A292))</f>
        <v/>
      </c>
      <c r="F292" s="13" t="str">
        <f>IF($A292="","",[1]!thsiFinD("ths_adjustment_nv_fund",F$3,$A292))</f>
        <v/>
      </c>
      <c r="G292" s="13" t="str">
        <f>IF($A292="","",[1]!thsiFinD("ths_adjustment_nv_fund",G$3,$A292))</f>
        <v/>
      </c>
      <c r="H292" s="13" t="str">
        <f>IF($A292="","",[1]!thsiFinD("ths_adjustment_nv_fund",H$3,$A292))</f>
        <v/>
      </c>
      <c r="I292" s="13" t="str">
        <f>IF($A292="","",[1]!thsiFinD("ths_adjustment_nv_fund",I$3,$A292))</f>
        <v/>
      </c>
      <c r="J292" s="13" t="str">
        <f>IF($A292="","",[1]!thsiFinD("ths_adjustment_nv_fund",J$3,$A292))</f>
        <v/>
      </c>
      <c r="K292" s="13" t="str">
        <f>IF($A292="","",[1]!thsiFinD("ths_adjustment_nv_fund",K$3,$A292))</f>
        <v/>
      </c>
      <c r="L292" s="13" t="str">
        <f>IF($A292="","",[1]!thsiFinD("ths_adjustment_nv_fund",L$3,$A292))</f>
        <v/>
      </c>
      <c r="M292" s="13" t="str">
        <f>IF($A292="","",[1]!thsiFinD("ths_adjustment_nv_fund",M$3,$A292))</f>
        <v/>
      </c>
      <c r="N292" s="13" t="str">
        <f>IF($A292="","",[1]!thsiFinD("ths_adjustment_nv_fund",N$3,$A292))</f>
        <v/>
      </c>
      <c r="O292" s="13" t="str">
        <f>IF($A292="","",[1]!thsiFinD("ths_adjustment_nv_fund",O$3,$A292))</f>
        <v/>
      </c>
      <c r="P292" s="13" t="str">
        <f>IF($A292="","",[1]!thsiFinD("ths_adjustment_nv_fund",P$3,$A292))</f>
        <v/>
      </c>
      <c r="Q292" s="13" t="str">
        <f>IF($A292="","",[1]!thsiFinD("ths_adjustment_nv_fund",Q$3,$A292))</f>
        <v/>
      </c>
      <c r="R292" s="13" t="str">
        <f>IF($A292="","",[1]!thsiFinD("ths_adjustment_nv_fund",R$3,$A292))</f>
        <v/>
      </c>
      <c r="S292" s="13" t="str">
        <f>IF($A292="","",[1]!thsiFinD("ths_adjustment_nv_fund",S$3,$A292))</f>
        <v/>
      </c>
      <c r="T292" s="13" t="str">
        <f>IF($A292="","",[1]!thsiFinD("ths_adjustment_nv_fund",T$3,$A292))</f>
        <v/>
      </c>
      <c r="U292" s="13" t="str">
        <f>IF($A292="","",[1]!thsiFinD("ths_adjustment_nv_fund",U$3,$A292))</f>
        <v/>
      </c>
      <c r="V292" s="13" t="str">
        <f>IF($A292="","",[1]!thsiFinD("ths_adjustment_nv_fund",V$3,$A292))</f>
        <v/>
      </c>
      <c r="W292" s="13" t="str">
        <f>IF($A292="","",[1]!thsiFinD("ths_adjustment_nv_fund",W$3,$A292))</f>
        <v/>
      </c>
      <c r="X292" s="13" t="str">
        <f>IF($A292="","",[1]!thsiFinD("ths_adjustment_nv_fund",X$3,$A292))</f>
        <v/>
      </c>
      <c r="Y292" s="13" t="str">
        <f>IF($A292="","",[1]!thsiFinD("ths_adjustment_nv_fund",Y$3,$A292))</f>
        <v/>
      </c>
      <c r="Z292" s="13" t="str">
        <f>IF($A292="","",[1]!thsiFinD("ths_adjustment_nv_fund",Z$3,$A292))</f>
        <v/>
      </c>
      <c r="AA292" s="13" t="str">
        <f>IF($A292="","",[1]!thsiFinD("ths_adjustment_nv_fund",AA$3,$A292))</f>
        <v/>
      </c>
      <c r="AB292" s="13">
        <f>IF($A292="","",[1]!thsiFinD("ths_adjustment_nv_fund",AB$3,$A292))</f>
        <v/>
      </c>
      <c r="AC292" s="13">
        <f>IF($A292="","",[1]!thsiFinD("ths_adjustment_nv_fund",AC$3,$A292))</f>
        <v/>
      </c>
      <c r="AD292" s="13">
        <f>IF($A292="","",[1]!thsiFinD("ths_adjustment_nv_fund",AD$3,$A292))</f>
        <v/>
      </c>
      <c r="AE292" s="13">
        <f>IF($A292="","",[1]!thsiFinD("ths_adjustment_nv_fund",AE$3,$A292))</f>
        <v/>
      </c>
      <c r="AF292" s="13">
        <f>IF($A292="","",[1]!thsiFinD("ths_adjustment_nv_fund",AF$3,$A292))</f>
        <v/>
      </c>
      <c r="AG292" s="13">
        <f>IF($A292="","",[1]!thsiFinD("ths_adjustment_nv_fund",AG$3,$A292))</f>
        <v/>
      </c>
      <c r="AH292" s="13">
        <f>IF($A292="","",[1]!thsiFinD("ths_adjustment_nv_fund",AH$3,$A292))</f>
        <v/>
      </c>
      <c r="AI292" s="13">
        <f>IF($A292="","",[1]!thsiFinD("ths_adjustment_nv_fund",AI$3,$A292))</f>
        <v/>
      </c>
      <c r="AJ292" s="13">
        <f>IF($A292="","",[1]!thsiFinD("ths_adjustment_nv_fund",AJ$3,$A292))</f>
        <v/>
      </c>
      <c r="AK292" s="13">
        <f>IF($A292="","",[1]!thsiFinD("ths_adjustment_nv_fund",AK$3,$A292))</f>
        <v/>
      </c>
      <c r="AL292" s="13">
        <f>IF($A292="","",[1]!thsiFinD("ths_adjustment_nv_fund",AL$3,$A292))</f>
        <v/>
      </c>
    </row>
    <row r="293" spans="2:28">
      <c r="B293" s="13" t="str">
        <f>IF($A293="","",[1]!thsiFinD("ths_adjustment_nv_fund",B$3,$A293))</f>
        <v/>
      </c>
      <c r="C293" s="13" t="str">
        <f>IF($A293="","",[1]!thsiFinD("ths_adjustment_nv_fund",C$3,$A293))</f>
        <v/>
      </c>
      <c r="D293" s="13" t="str">
        <f>IF($A293="","",[1]!thsiFinD("ths_adjustment_nv_fund",D$3,$A293))</f>
        <v/>
      </c>
      <c r="E293" s="13" t="str">
        <f>IF($A293="","",[1]!thsiFinD("ths_adjustment_nv_fund",E$3,$A293))</f>
        <v/>
      </c>
      <c r="F293" s="13" t="str">
        <f>IF($A293="","",[1]!thsiFinD("ths_adjustment_nv_fund",F$3,$A293))</f>
        <v/>
      </c>
      <c r="G293" s="13" t="str">
        <f>IF($A293="","",[1]!thsiFinD("ths_adjustment_nv_fund",G$3,$A293))</f>
        <v/>
      </c>
      <c r="H293" s="13" t="str">
        <f>IF($A293="","",[1]!thsiFinD("ths_adjustment_nv_fund",H$3,$A293))</f>
        <v/>
      </c>
      <c r="I293" s="13" t="str">
        <f>IF($A293="","",[1]!thsiFinD("ths_adjustment_nv_fund",I$3,$A293))</f>
        <v/>
      </c>
      <c r="J293" s="13" t="str">
        <f>IF($A293="","",[1]!thsiFinD("ths_adjustment_nv_fund",J$3,$A293))</f>
        <v/>
      </c>
      <c r="K293" s="13" t="str">
        <f>IF($A293="","",[1]!thsiFinD("ths_adjustment_nv_fund",K$3,$A293))</f>
        <v/>
      </c>
      <c r="L293" s="13" t="str">
        <f>IF($A293="","",[1]!thsiFinD("ths_adjustment_nv_fund",L$3,$A293))</f>
        <v/>
      </c>
      <c r="M293" s="13" t="str">
        <f>IF($A293="","",[1]!thsiFinD("ths_adjustment_nv_fund",M$3,$A293))</f>
        <v/>
      </c>
      <c r="N293" s="13" t="str">
        <f>IF($A293="","",[1]!thsiFinD("ths_adjustment_nv_fund",N$3,$A293))</f>
        <v/>
      </c>
      <c r="O293" s="13" t="str">
        <f>IF($A293="","",[1]!thsiFinD("ths_adjustment_nv_fund",O$3,$A293))</f>
        <v/>
      </c>
      <c r="P293" s="13" t="str">
        <f>IF($A293="","",[1]!thsiFinD("ths_adjustment_nv_fund",P$3,$A293))</f>
        <v/>
      </c>
      <c r="Q293" s="13" t="str">
        <f>IF($A293="","",[1]!thsiFinD("ths_adjustment_nv_fund",Q$3,$A293))</f>
        <v/>
      </c>
      <c r="R293" s="13" t="str">
        <f>IF($A293="","",[1]!thsiFinD("ths_adjustment_nv_fund",R$3,$A293))</f>
        <v/>
      </c>
      <c r="S293" s="13" t="str">
        <f>IF($A293="","",[1]!thsiFinD("ths_adjustment_nv_fund",S$3,$A293))</f>
        <v/>
      </c>
      <c r="T293" s="13" t="str">
        <f>IF($A293="","",[1]!thsiFinD("ths_adjustment_nv_fund",T$3,$A293))</f>
        <v/>
      </c>
      <c r="U293" s="13" t="str">
        <f>IF($A293="","",[1]!thsiFinD("ths_adjustment_nv_fund",U$3,$A293))</f>
        <v/>
      </c>
      <c r="V293" s="13" t="str">
        <f>IF($A293="","",[1]!thsiFinD("ths_adjustment_nv_fund",V$3,$A293))</f>
        <v/>
      </c>
      <c r="W293" s="13" t="str">
        <f>IF($A293="","",[1]!thsiFinD("ths_adjustment_nv_fund",W$3,$A293))</f>
        <v/>
      </c>
      <c r="X293" s="13" t="str">
        <f>IF($A293="","",[1]!thsiFinD("ths_adjustment_nv_fund",X$3,$A293))</f>
        <v/>
      </c>
      <c r="Y293" s="13" t="str">
        <f>IF($A293="","",[1]!thsiFinD("ths_adjustment_nv_fund",Y$3,$A293))</f>
        <v/>
      </c>
      <c r="Z293" s="13" t="str">
        <f>IF($A293="","",[1]!thsiFinD("ths_adjustment_nv_fund",Z$3,$A293))</f>
        <v/>
      </c>
      <c r="AA293" s="13" t="str">
        <f>IF($A293="","",[1]!thsiFinD("ths_adjustment_nv_fund",AA$3,$A293))</f>
        <v/>
      </c>
      <c r="AB293" s="13">
        <f>IF($A293="","",[1]!thsiFinD("ths_adjustment_nv_fund",AB$3,$A293))</f>
        <v/>
      </c>
      <c r="AC293" s="13">
        <f>IF($A293="","",[1]!thsiFinD("ths_adjustment_nv_fund",AC$3,$A293))</f>
        <v/>
      </c>
      <c r="AD293" s="13">
        <f>IF($A293="","",[1]!thsiFinD("ths_adjustment_nv_fund",AD$3,$A293))</f>
        <v/>
      </c>
      <c r="AE293" s="13">
        <f>IF($A293="","",[1]!thsiFinD("ths_adjustment_nv_fund",AE$3,$A293))</f>
        <v/>
      </c>
      <c r="AF293" s="13">
        <f>IF($A293="","",[1]!thsiFinD("ths_adjustment_nv_fund",AF$3,$A293))</f>
        <v/>
      </c>
      <c r="AG293" s="13">
        <f>IF($A293="","",[1]!thsiFinD("ths_adjustment_nv_fund",AG$3,$A293))</f>
        <v/>
      </c>
      <c r="AH293" s="13">
        <f>IF($A293="","",[1]!thsiFinD("ths_adjustment_nv_fund",AH$3,$A293))</f>
        <v/>
      </c>
      <c r="AI293" s="13">
        <f>IF($A293="","",[1]!thsiFinD("ths_adjustment_nv_fund",AI$3,$A293))</f>
        <v/>
      </c>
      <c r="AJ293" s="13">
        <f>IF($A293="","",[1]!thsiFinD("ths_adjustment_nv_fund",AJ$3,$A293))</f>
        <v/>
      </c>
      <c r="AK293" s="13">
        <f>IF($A293="","",[1]!thsiFinD("ths_adjustment_nv_fund",AK$3,$A293))</f>
        <v/>
      </c>
      <c r="AL293" s="13">
        <f>IF($A293="","",[1]!thsiFinD("ths_adjustment_nv_fund",AL$3,$A293))</f>
        <v/>
      </c>
    </row>
    <row r="294" spans="2:28">
      <c r="B294" s="13" t="str">
        <f>IF($A294="","",[1]!thsiFinD("ths_adjustment_nv_fund",B$3,$A294))</f>
        <v/>
      </c>
      <c r="C294" s="13" t="str">
        <f>IF($A294="","",[1]!thsiFinD("ths_adjustment_nv_fund",C$3,$A294))</f>
        <v/>
      </c>
      <c r="D294" s="13" t="str">
        <f>IF($A294="","",[1]!thsiFinD("ths_adjustment_nv_fund",D$3,$A294))</f>
        <v/>
      </c>
      <c r="E294" s="13" t="str">
        <f>IF($A294="","",[1]!thsiFinD("ths_adjustment_nv_fund",E$3,$A294))</f>
        <v/>
      </c>
      <c r="F294" s="13" t="str">
        <f>IF($A294="","",[1]!thsiFinD("ths_adjustment_nv_fund",F$3,$A294))</f>
        <v/>
      </c>
      <c r="G294" s="13" t="str">
        <f>IF($A294="","",[1]!thsiFinD("ths_adjustment_nv_fund",G$3,$A294))</f>
        <v/>
      </c>
      <c r="H294" s="13" t="str">
        <f>IF($A294="","",[1]!thsiFinD("ths_adjustment_nv_fund",H$3,$A294))</f>
        <v/>
      </c>
      <c r="I294" s="13" t="str">
        <f>IF($A294="","",[1]!thsiFinD("ths_adjustment_nv_fund",I$3,$A294))</f>
        <v/>
      </c>
      <c r="J294" s="13" t="str">
        <f>IF($A294="","",[1]!thsiFinD("ths_adjustment_nv_fund",J$3,$A294))</f>
        <v/>
      </c>
      <c r="K294" s="13" t="str">
        <f>IF($A294="","",[1]!thsiFinD("ths_adjustment_nv_fund",K$3,$A294))</f>
        <v/>
      </c>
      <c r="L294" s="13" t="str">
        <f>IF($A294="","",[1]!thsiFinD("ths_adjustment_nv_fund",L$3,$A294))</f>
        <v/>
      </c>
      <c r="M294" s="13" t="str">
        <f>IF($A294="","",[1]!thsiFinD("ths_adjustment_nv_fund",M$3,$A294))</f>
        <v/>
      </c>
      <c r="N294" s="13" t="str">
        <f>IF($A294="","",[1]!thsiFinD("ths_adjustment_nv_fund",N$3,$A294))</f>
        <v/>
      </c>
      <c r="O294" s="13" t="str">
        <f>IF($A294="","",[1]!thsiFinD("ths_adjustment_nv_fund",O$3,$A294))</f>
        <v/>
      </c>
      <c r="P294" s="13" t="str">
        <f>IF($A294="","",[1]!thsiFinD("ths_adjustment_nv_fund",P$3,$A294))</f>
        <v/>
      </c>
      <c r="Q294" s="13" t="str">
        <f>IF($A294="","",[1]!thsiFinD("ths_adjustment_nv_fund",Q$3,$A294))</f>
        <v/>
      </c>
      <c r="R294" s="13" t="str">
        <f>IF($A294="","",[1]!thsiFinD("ths_adjustment_nv_fund",R$3,$A294))</f>
        <v/>
      </c>
      <c r="S294" s="13" t="str">
        <f>IF($A294="","",[1]!thsiFinD("ths_adjustment_nv_fund",S$3,$A294))</f>
        <v/>
      </c>
      <c r="T294" s="13" t="str">
        <f>IF($A294="","",[1]!thsiFinD("ths_adjustment_nv_fund",T$3,$A294))</f>
        <v/>
      </c>
      <c r="U294" s="13" t="str">
        <f>IF($A294="","",[1]!thsiFinD("ths_adjustment_nv_fund",U$3,$A294))</f>
        <v/>
      </c>
      <c r="V294" s="13" t="str">
        <f>IF($A294="","",[1]!thsiFinD("ths_adjustment_nv_fund",V$3,$A294))</f>
        <v/>
      </c>
      <c r="W294" s="13" t="str">
        <f>IF($A294="","",[1]!thsiFinD("ths_adjustment_nv_fund",W$3,$A294))</f>
        <v/>
      </c>
      <c r="X294" s="13" t="str">
        <f>IF($A294="","",[1]!thsiFinD("ths_adjustment_nv_fund",X$3,$A294))</f>
        <v/>
      </c>
      <c r="Y294" s="13" t="str">
        <f>IF($A294="","",[1]!thsiFinD("ths_adjustment_nv_fund",Y$3,$A294))</f>
        <v/>
      </c>
      <c r="Z294" s="13" t="str">
        <f>IF($A294="","",[1]!thsiFinD("ths_adjustment_nv_fund",Z$3,$A294))</f>
        <v/>
      </c>
      <c r="AA294" s="13" t="str">
        <f>IF($A294="","",[1]!thsiFinD("ths_adjustment_nv_fund",AA$3,$A294))</f>
        <v/>
      </c>
      <c r="AB294" s="13">
        <f>IF($A294="","",[1]!thsiFinD("ths_adjustment_nv_fund",AB$3,$A294))</f>
        <v/>
      </c>
      <c r="AC294" s="13">
        <f>IF($A294="","",[1]!thsiFinD("ths_adjustment_nv_fund",AC$3,$A294))</f>
        <v/>
      </c>
      <c r="AD294" s="13">
        <f>IF($A294="","",[1]!thsiFinD("ths_adjustment_nv_fund",AD$3,$A294))</f>
        <v/>
      </c>
      <c r="AE294" s="13">
        <f>IF($A294="","",[1]!thsiFinD("ths_adjustment_nv_fund",AE$3,$A294))</f>
        <v/>
      </c>
      <c r="AF294" s="13">
        <f>IF($A294="","",[1]!thsiFinD("ths_adjustment_nv_fund",AF$3,$A294))</f>
        <v/>
      </c>
      <c r="AG294" s="13">
        <f>IF($A294="","",[1]!thsiFinD("ths_adjustment_nv_fund",AG$3,$A294))</f>
        <v/>
      </c>
      <c r="AH294" s="13">
        <f>IF($A294="","",[1]!thsiFinD("ths_adjustment_nv_fund",AH$3,$A294))</f>
        <v/>
      </c>
      <c r="AI294" s="13">
        <f>IF($A294="","",[1]!thsiFinD("ths_adjustment_nv_fund",AI$3,$A294))</f>
        <v/>
      </c>
      <c r="AJ294" s="13">
        <f>IF($A294="","",[1]!thsiFinD("ths_adjustment_nv_fund",AJ$3,$A294))</f>
        <v/>
      </c>
      <c r="AK294" s="13">
        <f>IF($A294="","",[1]!thsiFinD("ths_adjustment_nv_fund",AK$3,$A294))</f>
        <v/>
      </c>
      <c r="AL294" s="13">
        <f>IF($A294="","",[1]!thsiFinD("ths_adjustment_nv_fund",AL$3,$A294))</f>
        <v/>
      </c>
    </row>
    <row r="295" spans="2:28">
      <c r="B295" s="13" t="str">
        <f>IF($A295="","",[1]!thsiFinD("ths_adjustment_nv_fund",B$3,$A295))</f>
        <v/>
      </c>
      <c r="C295" s="13" t="str">
        <f>IF($A295="","",[1]!thsiFinD("ths_adjustment_nv_fund",C$3,$A295))</f>
        <v/>
      </c>
      <c r="D295" s="13" t="str">
        <f>IF($A295="","",[1]!thsiFinD("ths_adjustment_nv_fund",D$3,$A295))</f>
        <v/>
      </c>
      <c r="E295" s="13" t="str">
        <f>IF($A295="","",[1]!thsiFinD("ths_adjustment_nv_fund",E$3,$A295))</f>
        <v/>
      </c>
      <c r="F295" s="13" t="str">
        <f>IF($A295="","",[1]!thsiFinD("ths_adjustment_nv_fund",F$3,$A295))</f>
        <v/>
      </c>
      <c r="G295" s="13" t="str">
        <f>IF($A295="","",[1]!thsiFinD("ths_adjustment_nv_fund",G$3,$A295))</f>
        <v/>
      </c>
      <c r="H295" s="13" t="str">
        <f>IF($A295="","",[1]!thsiFinD("ths_adjustment_nv_fund",H$3,$A295))</f>
        <v/>
      </c>
      <c r="I295" s="13" t="str">
        <f>IF($A295="","",[1]!thsiFinD("ths_adjustment_nv_fund",I$3,$A295))</f>
        <v/>
      </c>
      <c r="J295" s="13" t="str">
        <f>IF($A295="","",[1]!thsiFinD("ths_adjustment_nv_fund",J$3,$A295))</f>
        <v/>
      </c>
      <c r="K295" s="13" t="str">
        <f>IF($A295="","",[1]!thsiFinD("ths_adjustment_nv_fund",K$3,$A295))</f>
        <v/>
      </c>
      <c r="L295" s="13" t="str">
        <f>IF($A295="","",[1]!thsiFinD("ths_adjustment_nv_fund",L$3,$A295))</f>
        <v/>
      </c>
      <c r="M295" s="13" t="str">
        <f>IF($A295="","",[1]!thsiFinD("ths_adjustment_nv_fund",M$3,$A295))</f>
        <v/>
      </c>
      <c r="N295" s="13" t="str">
        <f>IF($A295="","",[1]!thsiFinD("ths_adjustment_nv_fund",N$3,$A295))</f>
        <v/>
      </c>
      <c r="O295" s="13" t="str">
        <f>IF($A295="","",[1]!thsiFinD("ths_adjustment_nv_fund",O$3,$A295))</f>
        <v/>
      </c>
      <c r="P295" s="13" t="str">
        <f>IF($A295="","",[1]!thsiFinD("ths_adjustment_nv_fund",P$3,$A295))</f>
        <v/>
      </c>
      <c r="Q295" s="13" t="str">
        <f>IF($A295="","",[1]!thsiFinD("ths_adjustment_nv_fund",Q$3,$A295))</f>
        <v/>
      </c>
      <c r="R295" s="13" t="str">
        <f>IF($A295="","",[1]!thsiFinD("ths_adjustment_nv_fund",R$3,$A295))</f>
        <v/>
      </c>
      <c r="S295" s="13" t="str">
        <f>IF($A295="","",[1]!thsiFinD("ths_adjustment_nv_fund",S$3,$A295))</f>
        <v/>
      </c>
      <c r="T295" s="13" t="str">
        <f>IF($A295="","",[1]!thsiFinD("ths_adjustment_nv_fund",T$3,$A295))</f>
        <v/>
      </c>
      <c r="U295" s="13" t="str">
        <f>IF($A295="","",[1]!thsiFinD("ths_adjustment_nv_fund",U$3,$A295))</f>
        <v/>
      </c>
      <c r="V295" s="13" t="str">
        <f>IF($A295="","",[1]!thsiFinD("ths_adjustment_nv_fund",V$3,$A295))</f>
        <v/>
      </c>
      <c r="W295" s="13" t="str">
        <f>IF($A295="","",[1]!thsiFinD("ths_adjustment_nv_fund",W$3,$A295))</f>
        <v/>
      </c>
      <c r="X295" s="13" t="str">
        <f>IF($A295="","",[1]!thsiFinD("ths_adjustment_nv_fund",X$3,$A295))</f>
        <v/>
      </c>
      <c r="Y295" s="13" t="str">
        <f>IF($A295="","",[1]!thsiFinD("ths_adjustment_nv_fund",Y$3,$A295))</f>
        <v/>
      </c>
      <c r="Z295" s="13" t="str">
        <f>IF($A295="","",[1]!thsiFinD("ths_adjustment_nv_fund",Z$3,$A295))</f>
        <v/>
      </c>
      <c r="AA295" s="13" t="str">
        <f>IF($A295="","",[1]!thsiFinD("ths_adjustment_nv_fund",AA$3,$A295))</f>
        <v/>
      </c>
      <c r="AB295" s="13">
        <f>IF($A295="","",[1]!thsiFinD("ths_adjustment_nv_fund",AB$3,$A295))</f>
        <v/>
      </c>
      <c r="AC295" s="13">
        <f>IF($A295="","",[1]!thsiFinD("ths_adjustment_nv_fund",AC$3,$A295))</f>
        <v/>
      </c>
      <c r="AD295" s="13">
        <f>IF($A295="","",[1]!thsiFinD("ths_adjustment_nv_fund",AD$3,$A295))</f>
        <v/>
      </c>
      <c r="AE295" s="13">
        <f>IF($A295="","",[1]!thsiFinD("ths_adjustment_nv_fund",AE$3,$A295))</f>
        <v/>
      </c>
      <c r="AF295" s="13">
        <f>IF($A295="","",[1]!thsiFinD("ths_adjustment_nv_fund",AF$3,$A295))</f>
        <v/>
      </c>
      <c r="AG295" s="13">
        <f>IF($A295="","",[1]!thsiFinD("ths_adjustment_nv_fund",AG$3,$A295))</f>
        <v/>
      </c>
      <c r="AH295" s="13">
        <f>IF($A295="","",[1]!thsiFinD("ths_adjustment_nv_fund",AH$3,$A295))</f>
        <v/>
      </c>
      <c r="AI295" s="13">
        <f>IF($A295="","",[1]!thsiFinD("ths_adjustment_nv_fund",AI$3,$A295))</f>
        <v/>
      </c>
      <c r="AJ295" s="13">
        <f>IF($A295="","",[1]!thsiFinD("ths_adjustment_nv_fund",AJ$3,$A295))</f>
        <v/>
      </c>
      <c r="AK295" s="13">
        <f>IF($A295="","",[1]!thsiFinD("ths_adjustment_nv_fund",AK$3,$A295))</f>
        <v/>
      </c>
      <c r="AL295" s="13">
        <f>IF($A295="","",[1]!thsiFinD("ths_adjustment_nv_fund",AL$3,$A295))</f>
        <v/>
      </c>
    </row>
    <row r="296" spans="2:28">
      <c r="B296" s="13" t="str">
        <f>IF($A296="","",[1]!thsiFinD("ths_adjustment_nv_fund",B$3,$A296))</f>
        <v/>
      </c>
      <c r="C296" s="13" t="str">
        <f>IF($A296="","",[1]!thsiFinD("ths_adjustment_nv_fund",C$3,$A296))</f>
        <v/>
      </c>
      <c r="D296" s="13" t="str">
        <f>IF($A296="","",[1]!thsiFinD("ths_adjustment_nv_fund",D$3,$A296))</f>
        <v/>
      </c>
      <c r="E296" s="13" t="str">
        <f>IF($A296="","",[1]!thsiFinD("ths_adjustment_nv_fund",E$3,$A296))</f>
        <v/>
      </c>
      <c r="F296" s="13" t="str">
        <f>IF($A296="","",[1]!thsiFinD("ths_adjustment_nv_fund",F$3,$A296))</f>
        <v/>
      </c>
      <c r="G296" s="13" t="str">
        <f>IF($A296="","",[1]!thsiFinD("ths_adjustment_nv_fund",G$3,$A296))</f>
        <v/>
      </c>
      <c r="H296" s="13" t="str">
        <f>IF($A296="","",[1]!thsiFinD("ths_adjustment_nv_fund",H$3,$A296))</f>
        <v/>
      </c>
      <c r="I296" s="13" t="str">
        <f>IF($A296="","",[1]!thsiFinD("ths_adjustment_nv_fund",I$3,$A296))</f>
        <v/>
      </c>
      <c r="J296" s="13" t="str">
        <f>IF($A296="","",[1]!thsiFinD("ths_adjustment_nv_fund",J$3,$A296))</f>
        <v/>
      </c>
      <c r="K296" s="13" t="str">
        <f>IF($A296="","",[1]!thsiFinD("ths_adjustment_nv_fund",K$3,$A296))</f>
        <v/>
      </c>
      <c r="L296" s="13" t="str">
        <f>IF($A296="","",[1]!thsiFinD("ths_adjustment_nv_fund",L$3,$A296))</f>
        <v/>
      </c>
      <c r="M296" s="13" t="str">
        <f>IF($A296="","",[1]!thsiFinD("ths_adjustment_nv_fund",M$3,$A296))</f>
        <v/>
      </c>
      <c r="N296" s="13" t="str">
        <f>IF($A296="","",[1]!thsiFinD("ths_adjustment_nv_fund",N$3,$A296))</f>
        <v/>
      </c>
      <c r="O296" s="13" t="str">
        <f>IF($A296="","",[1]!thsiFinD("ths_adjustment_nv_fund",O$3,$A296))</f>
        <v/>
      </c>
      <c r="P296" s="13" t="str">
        <f>IF($A296="","",[1]!thsiFinD("ths_adjustment_nv_fund",P$3,$A296))</f>
        <v/>
      </c>
      <c r="Q296" s="13" t="str">
        <f>IF($A296="","",[1]!thsiFinD("ths_adjustment_nv_fund",Q$3,$A296))</f>
        <v/>
      </c>
      <c r="R296" s="13" t="str">
        <f>IF($A296="","",[1]!thsiFinD("ths_adjustment_nv_fund",R$3,$A296))</f>
        <v/>
      </c>
      <c r="S296" s="13" t="str">
        <f>IF($A296="","",[1]!thsiFinD("ths_adjustment_nv_fund",S$3,$A296))</f>
        <v/>
      </c>
      <c r="T296" s="13" t="str">
        <f>IF($A296="","",[1]!thsiFinD("ths_adjustment_nv_fund",T$3,$A296))</f>
        <v/>
      </c>
      <c r="U296" s="13" t="str">
        <f>IF($A296="","",[1]!thsiFinD("ths_adjustment_nv_fund",U$3,$A296))</f>
        <v/>
      </c>
      <c r="V296" s="13" t="str">
        <f>IF($A296="","",[1]!thsiFinD("ths_adjustment_nv_fund",V$3,$A296))</f>
        <v/>
      </c>
      <c r="W296" s="13" t="str">
        <f>IF($A296="","",[1]!thsiFinD("ths_adjustment_nv_fund",W$3,$A296))</f>
        <v/>
      </c>
      <c r="X296" s="13" t="str">
        <f>IF($A296="","",[1]!thsiFinD("ths_adjustment_nv_fund",X$3,$A296))</f>
        <v/>
      </c>
      <c r="Y296" s="13" t="str">
        <f>IF($A296="","",[1]!thsiFinD("ths_adjustment_nv_fund",Y$3,$A296))</f>
        <v/>
      </c>
      <c r="Z296" s="13" t="str">
        <f>IF($A296="","",[1]!thsiFinD("ths_adjustment_nv_fund",Z$3,$A296))</f>
        <v/>
      </c>
      <c r="AA296" s="13" t="str">
        <f>IF($A296="","",[1]!thsiFinD("ths_adjustment_nv_fund",AA$3,$A296))</f>
        <v/>
      </c>
      <c r="AB296" s="13">
        <f>IF($A296="","",[1]!thsiFinD("ths_adjustment_nv_fund",AB$3,$A296))</f>
        <v/>
      </c>
      <c r="AC296" s="13">
        <f>IF($A296="","",[1]!thsiFinD("ths_adjustment_nv_fund",AC$3,$A296))</f>
        <v/>
      </c>
      <c r="AD296" s="13">
        <f>IF($A296="","",[1]!thsiFinD("ths_adjustment_nv_fund",AD$3,$A296))</f>
        <v/>
      </c>
      <c r="AE296" s="13">
        <f>IF($A296="","",[1]!thsiFinD("ths_adjustment_nv_fund",AE$3,$A296))</f>
        <v/>
      </c>
      <c r="AF296" s="13">
        <f>IF($A296="","",[1]!thsiFinD("ths_adjustment_nv_fund",AF$3,$A296))</f>
        <v/>
      </c>
      <c r="AG296" s="13">
        <f>IF($A296="","",[1]!thsiFinD("ths_adjustment_nv_fund",AG$3,$A296))</f>
        <v/>
      </c>
      <c r="AH296" s="13">
        <f>IF($A296="","",[1]!thsiFinD("ths_adjustment_nv_fund",AH$3,$A296))</f>
        <v/>
      </c>
      <c r="AI296" s="13">
        <f>IF($A296="","",[1]!thsiFinD("ths_adjustment_nv_fund",AI$3,$A296))</f>
        <v/>
      </c>
      <c r="AJ296" s="13">
        <f>IF($A296="","",[1]!thsiFinD("ths_adjustment_nv_fund",AJ$3,$A296))</f>
        <v/>
      </c>
      <c r="AK296" s="13">
        <f>IF($A296="","",[1]!thsiFinD("ths_adjustment_nv_fund",AK$3,$A296))</f>
        <v/>
      </c>
      <c r="AL296" s="13">
        <f>IF($A296="","",[1]!thsiFinD("ths_adjustment_nv_fund",AL$3,$A296))</f>
        <v/>
      </c>
    </row>
    <row r="297" spans="2:28">
      <c r="B297" s="13" t="str">
        <f>IF($A297="","",[1]!thsiFinD("ths_adjustment_nv_fund",B$3,$A297))</f>
        <v/>
      </c>
      <c r="C297" s="13" t="str">
        <f>IF($A297="","",[1]!thsiFinD("ths_adjustment_nv_fund",C$3,$A297))</f>
        <v/>
      </c>
      <c r="D297" s="13" t="str">
        <f>IF($A297="","",[1]!thsiFinD("ths_adjustment_nv_fund",D$3,$A297))</f>
        <v/>
      </c>
      <c r="E297" s="13" t="str">
        <f>IF($A297="","",[1]!thsiFinD("ths_adjustment_nv_fund",E$3,$A297))</f>
        <v/>
      </c>
      <c r="F297" s="13" t="str">
        <f>IF($A297="","",[1]!thsiFinD("ths_adjustment_nv_fund",F$3,$A297))</f>
        <v/>
      </c>
      <c r="G297" s="13" t="str">
        <f>IF($A297="","",[1]!thsiFinD("ths_adjustment_nv_fund",G$3,$A297))</f>
        <v/>
      </c>
      <c r="H297" s="13" t="str">
        <f>IF($A297="","",[1]!thsiFinD("ths_adjustment_nv_fund",H$3,$A297))</f>
        <v/>
      </c>
      <c r="I297" s="13" t="str">
        <f>IF($A297="","",[1]!thsiFinD("ths_adjustment_nv_fund",I$3,$A297))</f>
        <v/>
      </c>
      <c r="J297" s="13" t="str">
        <f>IF($A297="","",[1]!thsiFinD("ths_adjustment_nv_fund",J$3,$A297))</f>
        <v/>
      </c>
      <c r="K297" s="13" t="str">
        <f>IF($A297="","",[1]!thsiFinD("ths_adjustment_nv_fund",K$3,$A297))</f>
        <v/>
      </c>
      <c r="L297" s="13" t="str">
        <f>IF($A297="","",[1]!thsiFinD("ths_adjustment_nv_fund",L$3,$A297))</f>
        <v/>
      </c>
      <c r="M297" s="13" t="str">
        <f>IF($A297="","",[1]!thsiFinD("ths_adjustment_nv_fund",M$3,$A297))</f>
        <v/>
      </c>
      <c r="N297" s="13" t="str">
        <f>IF($A297="","",[1]!thsiFinD("ths_adjustment_nv_fund",N$3,$A297))</f>
        <v/>
      </c>
      <c r="O297" s="13" t="str">
        <f>IF($A297="","",[1]!thsiFinD("ths_adjustment_nv_fund",O$3,$A297))</f>
        <v/>
      </c>
      <c r="P297" s="13" t="str">
        <f>IF($A297="","",[1]!thsiFinD("ths_adjustment_nv_fund",P$3,$A297))</f>
        <v/>
      </c>
      <c r="Q297" s="13" t="str">
        <f>IF($A297="","",[1]!thsiFinD("ths_adjustment_nv_fund",Q$3,$A297))</f>
        <v/>
      </c>
      <c r="R297" s="13" t="str">
        <f>IF($A297="","",[1]!thsiFinD("ths_adjustment_nv_fund",R$3,$A297))</f>
        <v/>
      </c>
      <c r="S297" s="13" t="str">
        <f>IF($A297="","",[1]!thsiFinD("ths_adjustment_nv_fund",S$3,$A297))</f>
        <v/>
      </c>
      <c r="T297" s="13" t="str">
        <f>IF($A297="","",[1]!thsiFinD("ths_adjustment_nv_fund",T$3,$A297))</f>
        <v/>
      </c>
      <c r="U297" s="13" t="str">
        <f>IF($A297="","",[1]!thsiFinD("ths_adjustment_nv_fund",U$3,$A297))</f>
        <v/>
      </c>
      <c r="V297" s="13" t="str">
        <f>IF($A297="","",[1]!thsiFinD("ths_adjustment_nv_fund",V$3,$A297))</f>
        <v/>
      </c>
      <c r="W297" s="13" t="str">
        <f>IF($A297="","",[1]!thsiFinD("ths_adjustment_nv_fund",W$3,$A297))</f>
        <v/>
      </c>
      <c r="X297" s="13" t="str">
        <f>IF($A297="","",[1]!thsiFinD("ths_adjustment_nv_fund",X$3,$A297))</f>
        <v/>
      </c>
      <c r="Y297" s="13" t="str">
        <f>IF($A297="","",[1]!thsiFinD("ths_adjustment_nv_fund",Y$3,$A297))</f>
        <v/>
      </c>
      <c r="Z297" s="13" t="str">
        <f>IF($A297="","",[1]!thsiFinD("ths_adjustment_nv_fund",Z$3,$A297))</f>
        <v/>
      </c>
      <c r="AA297" s="13" t="str">
        <f>IF($A297="","",[1]!thsiFinD("ths_adjustment_nv_fund",AA$3,$A297))</f>
        <v/>
      </c>
      <c r="AB297" s="13">
        <f>IF($A297="","",[1]!thsiFinD("ths_adjustment_nv_fund",AB$3,$A297))</f>
        <v/>
      </c>
      <c r="AC297" s="13">
        <f>IF($A297="","",[1]!thsiFinD("ths_adjustment_nv_fund",AC$3,$A297))</f>
        <v/>
      </c>
      <c r="AD297" s="13">
        <f>IF($A297="","",[1]!thsiFinD("ths_adjustment_nv_fund",AD$3,$A297))</f>
        <v/>
      </c>
      <c r="AE297" s="13">
        <f>IF($A297="","",[1]!thsiFinD("ths_adjustment_nv_fund",AE$3,$A297))</f>
        <v/>
      </c>
      <c r="AF297" s="13">
        <f>IF($A297="","",[1]!thsiFinD("ths_adjustment_nv_fund",AF$3,$A297))</f>
        <v/>
      </c>
      <c r="AG297" s="13">
        <f>IF($A297="","",[1]!thsiFinD("ths_adjustment_nv_fund",AG$3,$A297))</f>
        <v/>
      </c>
      <c r="AH297" s="13">
        <f>IF($A297="","",[1]!thsiFinD("ths_adjustment_nv_fund",AH$3,$A297))</f>
        <v/>
      </c>
      <c r="AI297" s="13">
        <f>IF($A297="","",[1]!thsiFinD("ths_adjustment_nv_fund",AI$3,$A297))</f>
        <v/>
      </c>
      <c r="AJ297" s="13">
        <f>IF($A297="","",[1]!thsiFinD("ths_adjustment_nv_fund",AJ$3,$A297))</f>
        <v/>
      </c>
      <c r="AK297" s="13">
        <f>IF($A297="","",[1]!thsiFinD("ths_adjustment_nv_fund",AK$3,$A297))</f>
        <v/>
      </c>
      <c r="AL297" s="13">
        <f>IF($A297="","",[1]!thsiFinD("ths_adjustment_nv_fund",AL$3,$A297))</f>
        <v/>
      </c>
    </row>
    <row r="298" spans="2:28">
      <c r="B298" s="13" t="str">
        <f>IF($A298="","",[1]!thsiFinD("ths_adjustment_nv_fund",B$3,$A298))</f>
        <v/>
      </c>
      <c r="C298" s="13" t="str">
        <f>IF($A298="","",[1]!thsiFinD("ths_adjustment_nv_fund",C$3,$A298))</f>
        <v/>
      </c>
      <c r="D298" s="13" t="str">
        <f>IF($A298="","",[1]!thsiFinD("ths_adjustment_nv_fund",D$3,$A298))</f>
        <v/>
      </c>
      <c r="E298" s="13" t="str">
        <f>IF($A298="","",[1]!thsiFinD("ths_adjustment_nv_fund",E$3,$A298))</f>
        <v/>
      </c>
      <c r="F298" s="13" t="str">
        <f>IF($A298="","",[1]!thsiFinD("ths_adjustment_nv_fund",F$3,$A298))</f>
        <v/>
      </c>
      <c r="G298" s="13" t="str">
        <f>IF($A298="","",[1]!thsiFinD("ths_adjustment_nv_fund",G$3,$A298))</f>
        <v/>
      </c>
      <c r="H298" s="13" t="str">
        <f>IF($A298="","",[1]!thsiFinD("ths_adjustment_nv_fund",H$3,$A298))</f>
        <v/>
      </c>
      <c r="I298" s="13" t="str">
        <f>IF($A298="","",[1]!thsiFinD("ths_adjustment_nv_fund",I$3,$A298))</f>
        <v/>
      </c>
      <c r="J298" s="13" t="str">
        <f>IF($A298="","",[1]!thsiFinD("ths_adjustment_nv_fund",J$3,$A298))</f>
        <v/>
      </c>
      <c r="K298" s="13" t="str">
        <f>IF($A298="","",[1]!thsiFinD("ths_adjustment_nv_fund",K$3,$A298))</f>
        <v/>
      </c>
      <c r="L298" s="13" t="str">
        <f>IF($A298="","",[1]!thsiFinD("ths_adjustment_nv_fund",L$3,$A298))</f>
        <v/>
      </c>
      <c r="M298" s="13" t="str">
        <f>IF($A298="","",[1]!thsiFinD("ths_adjustment_nv_fund",M$3,$A298))</f>
        <v/>
      </c>
      <c r="N298" s="13" t="str">
        <f>IF($A298="","",[1]!thsiFinD("ths_adjustment_nv_fund",N$3,$A298))</f>
        <v/>
      </c>
      <c r="O298" s="13" t="str">
        <f>IF($A298="","",[1]!thsiFinD("ths_adjustment_nv_fund",O$3,$A298))</f>
        <v/>
      </c>
      <c r="P298" s="13" t="str">
        <f>IF($A298="","",[1]!thsiFinD("ths_adjustment_nv_fund",P$3,$A298))</f>
        <v/>
      </c>
      <c r="Q298" s="13" t="str">
        <f>IF($A298="","",[1]!thsiFinD("ths_adjustment_nv_fund",Q$3,$A298))</f>
        <v/>
      </c>
      <c r="R298" s="13" t="str">
        <f>IF($A298="","",[1]!thsiFinD("ths_adjustment_nv_fund",R$3,$A298))</f>
        <v/>
      </c>
      <c r="S298" s="13" t="str">
        <f>IF($A298="","",[1]!thsiFinD("ths_adjustment_nv_fund",S$3,$A298))</f>
        <v/>
      </c>
      <c r="T298" s="13" t="str">
        <f>IF($A298="","",[1]!thsiFinD("ths_adjustment_nv_fund",T$3,$A298))</f>
        <v/>
      </c>
      <c r="U298" s="13" t="str">
        <f>IF($A298="","",[1]!thsiFinD("ths_adjustment_nv_fund",U$3,$A298))</f>
        <v/>
      </c>
      <c r="V298" s="13" t="str">
        <f>IF($A298="","",[1]!thsiFinD("ths_adjustment_nv_fund",V$3,$A298))</f>
        <v/>
      </c>
      <c r="W298" s="13" t="str">
        <f>IF($A298="","",[1]!thsiFinD("ths_adjustment_nv_fund",W$3,$A298))</f>
        <v/>
      </c>
      <c r="X298" s="13" t="str">
        <f>IF($A298="","",[1]!thsiFinD("ths_adjustment_nv_fund",X$3,$A298))</f>
        <v/>
      </c>
      <c r="Y298" s="13" t="str">
        <f>IF($A298="","",[1]!thsiFinD("ths_adjustment_nv_fund",Y$3,$A298))</f>
        <v/>
      </c>
      <c r="Z298" s="13" t="str">
        <f>IF($A298="","",[1]!thsiFinD("ths_adjustment_nv_fund",Z$3,$A298))</f>
        <v/>
      </c>
      <c r="AA298" s="13" t="str">
        <f>IF($A298="","",[1]!thsiFinD("ths_adjustment_nv_fund",AA$3,$A298))</f>
        <v/>
      </c>
      <c r="AB298" s="13">
        <f>IF($A298="","",[1]!thsiFinD("ths_adjustment_nv_fund",AB$3,$A298))</f>
        <v/>
      </c>
      <c r="AC298" s="13">
        <f>IF($A298="","",[1]!thsiFinD("ths_adjustment_nv_fund",AC$3,$A298))</f>
        <v/>
      </c>
      <c r="AD298" s="13">
        <f>IF($A298="","",[1]!thsiFinD("ths_adjustment_nv_fund",AD$3,$A298))</f>
        <v/>
      </c>
      <c r="AE298" s="13">
        <f>IF($A298="","",[1]!thsiFinD("ths_adjustment_nv_fund",AE$3,$A298))</f>
        <v/>
      </c>
      <c r="AF298" s="13">
        <f>IF($A298="","",[1]!thsiFinD("ths_adjustment_nv_fund",AF$3,$A298))</f>
        <v/>
      </c>
      <c r="AG298" s="13">
        <f>IF($A298="","",[1]!thsiFinD("ths_adjustment_nv_fund",AG$3,$A298))</f>
        <v/>
      </c>
      <c r="AH298" s="13">
        <f>IF($A298="","",[1]!thsiFinD("ths_adjustment_nv_fund",AH$3,$A298))</f>
        <v/>
      </c>
      <c r="AI298" s="13">
        <f>IF($A298="","",[1]!thsiFinD("ths_adjustment_nv_fund",AI$3,$A298))</f>
        <v/>
      </c>
      <c r="AJ298" s="13">
        <f>IF($A298="","",[1]!thsiFinD("ths_adjustment_nv_fund",AJ$3,$A298))</f>
        <v/>
      </c>
      <c r="AK298" s="13">
        <f>IF($A298="","",[1]!thsiFinD("ths_adjustment_nv_fund",AK$3,$A298))</f>
        <v/>
      </c>
      <c r="AL298" s="13">
        <f>IF($A298="","",[1]!thsiFinD("ths_adjustment_nv_fund",AL$3,$A298))</f>
        <v/>
      </c>
    </row>
    <row r="299" spans="2:28">
      <c r="B299" s="13" t="str">
        <f>IF($A299="","",[1]!thsiFinD("ths_adjustment_nv_fund",B$3,$A299))</f>
        <v/>
      </c>
      <c r="C299" s="13" t="str">
        <f>IF($A299="","",[1]!thsiFinD("ths_adjustment_nv_fund",C$3,$A299))</f>
        <v/>
      </c>
      <c r="D299" s="13" t="str">
        <f>IF($A299="","",[1]!thsiFinD("ths_adjustment_nv_fund",D$3,$A299))</f>
        <v/>
      </c>
      <c r="E299" s="13" t="str">
        <f>IF($A299="","",[1]!thsiFinD("ths_adjustment_nv_fund",E$3,$A299))</f>
        <v/>
      </c>
      <c r="F299" s="13" t="str">
        <f>IF($A299="","",[1]!thsiFinD("ths_adjustment_nv_fund",F$3,$A299))</f>
        <v/>
      </c>
      <c r="G299" s="13" t="str">
        <f>IF($A299="","",[1]!thsiFinD("ths_adjustment_nv_fund",G$3,$A299))</f>
        <v/>
      </c>
      <c r="H299" s="13" t="str">
        <f>IF($A299="","",[1]!thsiFinD("ths_adjustment_nv_fund",H$3,$A299))</f>
        <v/>
      </c>
      <c r="I299" s="13" t="str">
        <f>IF($A299="","",[1]!thsiFinD("ths_adjustment_nv_fund",I$3,$A299))</f>
        <v/>
      </c>
      <c r="J299" s="13" t="str">
        <f>IF($A299="","",[1]!thsiFinD("ths_adjustment_nv_fund",J$3,$A299))</f>
        <v/>
      </c>
      <c r="K299" s="13" t="str">
        <f>IF($A299="","",[1]!thsiFinD("ths_adjustment_nv_fund",K$3,$A299))</f>
        <v/>
      </c>
      <c r="L299" s="13" t="str">
        <f>IF($A299="","",[1]!thsiFinD("ths_adjustment_nv_fund",L$3,$A299))</f>
        <v/>
      </c>
      <c r="M299" s="13" t="str">
        <f>IF($A299="","",[1]!thsiFinD("ths_adjustment_nv_fund",M$3,$A299))</f>
        <v/>
      </c>
      <c r="N299" s="13" t="str">
        <f>IF($A299="","",[1]!thsiFinD("ths_adjustment_nv_fund",N$3,$A299))</f>
        <v/>
      </c>
      <c r="O299" s="13" t="str">
        <f>IF($A299="","",[1]!thsiFinD("ths_adjustment_nv_fund",O$3,$A299))</f>
        <v/>
      </c>
      <c r="P299" s="13" t="str">
        <f>IF($A299="","",[1]!thsiFinD("ths_adjustment_nv_fund",P$3,$A299))</f>
        <v/>
      </c>
      <c r="Q299" s="13" t="str">
        <f>IF($A299="","",[1]!thsiFinD("ths_adjustment_nv_fund",Q$3,$A299))</f>
        <v/>
      </c>
      <c r="R299" s="13" t="str">
        <f>IF($A299="","",[1]!thsiFinD("ths_adjustment_nv_fund",R$3,$A299))</f>
        <v/>
      </c>
      <c r="S299" s="13" t="str">
        <f>IF($A299="","",[1]!thsiFinD("ths_adjustment_nv_fund",S$3,$A299))</f>
        <v/>
      </c>
      <c r="T299" s="13" t="str">
        <f>IF($A299="","",[1]!thsiFinD("ths_adjustment_nv_fund",T$3,$A299))</f>
        <v/>
      </c>
      <c r="U299" s="13" t="str">
        <f>IF($A299="","",[1]!thsiFinD("ths_adjustment_nv_fund",U$3,$A299))</f>
        <v/>
      </c>
      <c r="V299" s="13" t="str">
        <f>IF($A299="","",[1]!thsiFinD("ths_adjustment_nv_fund",V$3,$A299))</f>
        <v/>
      </c>
      <c r="W299" s="13" t="str">
        <f>IF($A299="","",[1]!thsiFinD("ths_adjustment_nv_fund",W$3,$A299))</f>
        <v/>
      </c>
      <c r="X299" s="13" t="str">
        <f>IF($A299="","",[1]!thsiFinD("ths_adjustment_nv_fund",X$3,$A299))</f>
        <v/>
      </c>
      <c r="Y299" s="13" t="str">
        <f>IF($A299="","",[1]!thsiFinD("ths_adjustment_nv_fund",Y$3,$A299))</f>
        <v/>
      </c>
      <c r="Z299" s="13" t="str">
        <f>IF($A299="","",[1]!thsiFinD("ths_adjustment_nv_fund",Z$3,$A299))</f>
        <v/>
      </c>
      <c r="AA299" s="13" t="str">
        <f>IF($A299="","",[1]!thsiFinD("ths_adjustment_nv_fund",AA$3,$A299))</f>
        <v/>
      </c>
      <c r="AB299" s="13">
        <f>IF($A299="","",[1]!thsiFinD("ths_adjustment_nv_fund",AB$3,$A299))</f>
        <v/>
      </c>
      <c r="AC299" s="13">
        <f>IF($A299="","",[1]!thsiFinD("ths_adjustment_nv_fund",AC$3,$A299))</f>
        <v/>
      </c>
      <c r="AD299" s="13">
        <f>IF($A299="","",[1]!thsiFinD("ths_adjustment_nv_fund",AD$3,$A299))</f>
        <v/>
      </c>
      <c r="AE299" s="13">
        <f>IF($A299="","",[1]!thsiFinD("ths_adjustment_nv_fund",AE$3,$A299))</f>
        <v/>
      </c>
      <c r="AF299" s="13">
        <f>IF($A299="","",[1]!thsiFinD("ths_adjustment_nv_fund",AF$3,$A299))</f>
        <v/>
      </c>
      <c r="AG299" s="13">
        <f>IF($A299="","",[1]!thsiFinD("ths_adjustment_nv_fund",AG$3,$A299))</f>
        <v/>
      </c>
      <c r="AH299" s="13">
        <f>IF($A299="","",[1]!thsiFinD("ths_adjustment_nv_fund",AH$3,$A299))</f>
        <v/>
      </c>
      <c r="AI299" s="13">
        <f>IF($A299="","",[1]!thsiFinD("ths_adjustment_nv_fund",AI$3,$A299))</f>
        <v/>
      </c>
      <c r="AJ299" s="13">
        <f>IF($A299="","",[1]!thsiFinD("ths_adjustment_nv_fund",AJ$3,$A299))</f>
        <v/>
      </c>
      <c r="AK299" s="13">
        <f>IF($A299="","",[1]!thsiFinD("ths_adjustment_nv_fund",AK$3,$A299))</f>
        <v/>
      </c>
      <c r="AL299" s="13">
        <f>IF($A299="","",[1]!thsiFinD("ths_adjustment_nv_fund",AL$3,$A299))</f>
        <v/>
      </c>
    </row>
    <row r="300" spans="2:28">
      <c r="B300" s="13" t="str">
        <f>IF($A300="","",[1]!thsiFinD("ths_adjustment_nv_fund",B$3,$A300))</f>
        <v/>
      </c>
      <c r="C300" s="13" t="str">
        <f>IF($A300="","",[1]!thsiFinD("ths_adjustment_nv_fund",C$3,$A300))</f>
        <v/>
      </c>
      <c r="D300" s="13" t="str">
        <f>IF($A300="","",[1]!thsiFinD("ths_adjustment_nv_fund",D$3,$A300))</f>
        <v/>
      </c>
      <c r="E300" s="13" t="str">
        <f>IF($A300="","",[1]!thsiFinD("ths_adjustment_nv_fund",E$3,$A300))</f>
        <v/>
      </c>
      <c r="F300" s="13" t="str">
        <f>IF($A300="","",[1]!thsiFinD("ths_adjustment_nv_fund",F$3,$A300))</f>
        <v/>
      </c>
      <c r="G300" s="13" t="str">
        <f>IF($A300="","",[1]!thsiFinD("ths_adjustment_nv_fund",G$3,$A300))</f>
        <v/>
      </c>
      <c r="H300" s="13" t="str">
        <f>IF($A300="","",[1]!thsiFinD("ths_adjustment_nv_fund",H$3,$A300))</f>
        <v/>
      </c>
      <c r="I300" s="13" t="str">
        <f>IF($A300="","",[1]!thsiFinD("ths_adjustment_nv_fund",I$3,$A300))</f>
        <v/>
      </c>
      <c r="J300" s="13" t="str">
        <f>IF($A300="","",[1]!thsiFinD("ths_adjustment_nv_fund",J$3,$A300))</f>
        <v/>
      </c>
      <c r="K300" s="13" t="str">
        <f>IF($A300="","",[1]!thsiFinD("ths_adjustment_nv_fund",K$3,$A300))</f>
        <v/>
      </c>
      <c r="L300" s="13" t="str">
        <f>IF($A300="","",[1]!thsiFinD("ths_adjustment_nv_fund",L$3,$A300))</f>
        <v/>
      </c>
      <c r="M300" s="13" t="str">
        <f>IF($A300="","",[1]!thsiFinD("ths_adjustment_nv_fund",M$3,$A300))</f>
        <v/>
      </c>
      <c r="N300" s="13" t="str">
        <f>IF($A300="","",[1]!thsiFinD("ths_adjustment_nv_fund",N$3,$A300))</f>
        <v/>
      </c>
      <c r="O300" s="13" t="str">
        <f>IF($A300="","",[1]!thsiFinD("ths_adjustment_nv_fund",O$3,$A300))</f>
        <v/>
      </c>
      <c r="P300" s="13" t="str">
        <f>IF($A300="","",[1]!thsiFinD("ths_adjustment_nv_fund",P$3,$A300))</f>
        <v/>
      </c>
      <c r="Q300" s="13" t="str">
        <f>IF($A300="","",[1]!thsiFinD("ths_adjustment_nv_fund",Q$3,$A300))</f>
        <v/>
      </c>
      <c r="R300" s="13" t="str">
        <f>IF($A300="","",[1]!thsiFinD("ths_adjustment_nv_fund",R$3,$A300))</f>
        <v/>
      </c>
      <c r="S300" s="13" t="str">
        <f>IF($A300="","",[1]!thsiFinD("ths_adjustment_nv_fund",S$3,$A300))</f>
        <v/>
      </c>
      <c r="T300" s="13" t="str">
        <f>IF($A300="","",[1]!thsiFinD("ths_adjustment_nv_fund",T$3,$A300))</f>
        <v/>
      </c>
      <c r="U300" s="13" t="str">
        <f>IF($A300="","",[1]!thsiFinD("ths_adjustment_nv_fund",U$3,$A300))</f>
        <v/>
      </c>
      <c r="V300" s="13" t="str">
        <f>IF($A300="","",[1]!thsiFinD("ths_adjustment_nv_fund",V$3,$A300))</f>
        <v/>
      </c>
      <c r="W300" s="13" t="str">
        <f>IF($A300="","",[1]!thsiFinD("ths_adjustment_nv_fund",W$3,$A300))</f>
        <v/>
      </c>
      <c r="X300" s="13" t="str">
        <f>IF($A300="","",[1]!thsiFinD("ths_adjustment_nv_fund",X$3,$A300))</f>
        <v/>
      </c>
      <c r="Y300" s="13" t="str">
        <f>IF($A300="","",[1]!thsiFinD("ths_adjustment_nv_fund",Y$3,$A300))</f>
        <v/>
      </c>
      <c r="Z300" s="13" t="str">
        <f>IF($A300="","",[1]!thsiFinD("ths_adjustment_nv_fund",Z$3,$A300))</f>
        <v/>
      </c>
      <c r="AA300" s="13" t="str">
        <f>IF($A300="","",[1]!thsiFinD("ths_adjustment_nv_fund",AA$3,$A300))</f>
        <v/>
      </c>
      <c r="AB300" s="13">
        <f>IF($A300="","",[1]!thsiFinD("ths_adjustment_nv_fund",AB$3,$A300))</f>
        <v/>
      </c>
      <c r="AC300" s="13">
        <f>IF($A300="","",[1]!thsiFinD("ths_adjustment_nv_fund",AC$3,$A300))</f>
        <v/>
      </c>
      <c r="AD300" s="13">
        <f>IF($A300="","",[1]!thsiFinD("ths_adjustment_nv_fund",AD$3,$A300))</f>
        <v/>
      </c>
      <c r="AE300" s="13">
        <f>IF($A300="","",[1]!thsiFinD("ths_adjustment_nv_fund",AE$3,$A300))</f>
        <v/>
      </c>
      <c r="AF300" s="13">
        <f>IF($A300="","",[1]!thsiFinD("ths_adjustment_nv_fund",AF$3,$A300))</f>
        <v/>
      </c>
      <c r="AG300" s="13">
        <f>IF($A300="","",[1]!thsiFinD("ths_adjustment_nv_fund",AG$3,$A300))</f>
        <v/>
      </c>
      <c r="AH300" s="13">
        <f>IF($A300="","",[1]!thsiFinD("ths_adjustment_nv_fund",AH$3,$A300))</f>
        <v/>
      </c>
      <c r="AI300" s="13">
        <f>IF($A300="","",[1]!thsiFinD("ths_adjustment_nv_fund",AI$3,$A300))</f>
        <v/>
      </c>
      <c r="AJ300" s="13">
        <f>IF($A300="","",[1]!thsiFinD("ths_adjustment_nv_fund",AJ$3,$A300))</f>
        <v/>
      </c>
      <c r="AK300" s="13">
        <f>IF($A300="","",[1]!thsiFinD("ths_adjustment_nv_fund",AK$3,$A300))</f>
        <v/>
      </c>
      <c r="AL300" s="13">
        <f>IF($A300="","",[1]!thsiFinD("ths_adjustment_nv_fund",AL$3,$A300))</f>
        <v/>
      </c>
    </row>
    <row r="301" spans="2:28">
      <c r="B301" s="13" t="str">
        <f>IF($A301="","",[1]!thsiFinD("ths_adjustment_nv_fund",B$3,$A301))</f>
        <v/>
      </c>
      <c r="C301" s="13" t="str">
        <f>IF($A301="","",[1]!thsiFinD("ths_adjustment_nv_fund",C$3,$A301))</f>
        <v/>
      </c>
      <c r="D301" s="13" t="str">
        <f>IF($A301="","",[1]!thsiFinD("ths_adjustment_nv_fund",D$3,$A301))</f>
        <v/>
      </c>
      <c r="E301" s="13" t="str">
        <f>IF($A301="","",[1]!thsiFinD("ths_adjustment_nv_fund",E$3,$A301))</f>
        <v/>
      </c>
      <c r="F301" s="13" t="str">
        <f>IF($A301="","",[1]!thsiFinD("ths_adjustment_nv_fund",F$3,$A301))</f>
        <v/>
      </c>
      <c r="G301" s="13" t="str">
        <f>IF($A301="","",[1]!thsiFinD("ths_adjustment_nv_fund",G$3,$A301))</f>
        <v/>
      </c>
      <c r="H301" s="13" t="str">
        <f>IF($A301="","",[1]!thsiFinD("ths_adjustment_nv_fund",H$3,$A301))</f>
        <v/>
      </c>
      <c r="I301" s="13" t="str">
        <f>IF($A301="","",[1]!thsiFinD("ths_adjustment_nv_fund",I$3,$A301))</f>
        <v/>
      </c>
      <c r="J301" s="13" t="str">
        <f>IF($A301="","",[1]!thsiFinD("ths_adjustment_nv_fund",J$3,$A301))</f>
        <v/>
      </c>
      <c r="K301" s="13" t="str">
        <f>IF($A301="","",[1]!thsiFinD("ths_adjustment_nv_fund",K$3,$A301))</f>
        <v/>
      </c>
      <c r="L301" s="13" t="str">
        <f>IF($A301="","",[1]!thsiFinD("ths_adjustment_nv_fund",L$3,$A301))</f>
        <v/>
      </c>
      <c r="M301" s="13" t="str">
        <f>IF($A301="","",[1]!thsiFinD("ths_adjustment_nv_fund",M$3,$A301))</f>
        <v/>
      </c>
      <c r="N301" s="13" t="str">
        <f>IF($A301="","",[1]!thsiFinD("ths_adjustment_nv_fund",N$3,$A301))</f>
        <v/>
      </c>
      <c r="O301" s="13" t="str">
        <f>IF($A301="","",[1]!thsiFinD("ths_adjustment_nv_fund",O$3,$A301))</f>
        <v/>
      </c>
      <c r="P301" s="13" t="str">
        <f>IF($A301="","",[1]!thsiFinD("ths_adjustment_nv_fund",P$3,$A301))</f>
        <v/>
      </c>
      <c r="Q301" s="13" t="str">
        <f>IF($A301="","",[1]!thsiFinD("ths_adjustment_nv_fund",Q$3,$A301))</f>
        <v/>
      </c>
      <c r="R301" s="13" t="str">
        <f>IF($A301="","",[1]!thsiFinD("ths_adjustment_nv_fund",R$3,$A301))</f>
        <v/>
      </c>
      <c r="S301" s="13" t="str">
        <f>IF($A301="","",[1]!thsiFinD("ths_adjustment_nv_fund",S$3,$A301))</f>
        <v/>
      </c>
      <c r="T301" s="13" t="str">
        <f>IF($A301="","",[1]!thsiFinD("ths_adjustment_nv_fund",T$3,$A301))</f>
        <v/>
      </c>
      <c r="U301" s="13" t="str">
        <f>IF($A301="","",[1]!thsiFinD("ths_adjustment_nv_fund",U$3,$A301))</f>
        <v/>
      </c>
      <c r="V301" s="13" t="str">
        <f>IF($A301="","",[1]!thsiFinD("ths_adjustment_nv_fund",V$3,$A301))</f>
        <v/>
      </c>
      <c r="W301" s="13" t="str">
        <f>IF($A301="","",[1]!thsiFinD("ths_adjustment_nv_fund",W$3,$A301))</f>
        <v/>
      </c>
      <c r="X301" s="13" t="str">
        <f>IF($A301="","",[1]!thsiFinD("ths_adjustment_nv_fund",X$3,$A301))</f>
        <v/>
      </c>
      <c r="Y301" s="13" t="str">
        <f>IF($A301="","",[1]!thsiFinD("ths_adjustment_nv_fund",Y$3,$A301))</f>
        <v/>
      </c>
      <c r="Z301" s="13" t="str">
        <f>IF($A301="","",[1]!thsiFinD("ths_adjustment_nv_fund",Z$3,$A301))</f>
        <v/>
      </c>
      <c r="AA301" s="13" t="str">
        <f>IF($A301="","",[1]!thsiFinD("ths_adjustment_nv_fund",AA$3,$A301))</f>
        <v/>
      </c>
      <c r="AB301" s="13">
        <f>IF($A301="","",[1]!thsiFinD("ths_adjustment_nv_fund",AB$3,$A301))</f>
        <v/>
      </c>
      <c r="AC301" s="13">
        <f>IF($A301="","",[1]!thsiFinD("ths_adjustment_nv_fund",AC$3,$A301))</f>
        <v/>
      </c>
      <c r="AD301" s="13">
        <f>IF($A301="","",[1]!thsiFinD("ths_adjustment_nv_fund",AD$3,$A301))</f>
        <v/>
      </c>
      <c r="AE301" s="13">
        <f>IF($A301="","",[1]!thsiFinD("ths_adjustment_nv_fund",AE$3,$A301))</f>
        <v/>
      </c>
      <c r="AF301" s="13">
        <f>IF($A301="","",[1]!thsiFinD("ths_adjustment_nv_fund",AF$3,$A301))</f>
        <v/>
      </c>
      <c r="AG301" s="13">
        <f>IF($A301="","",[1]!thsiFinD("ths_adjustment_nv_fund",AG$3,$A301))</f>
        <v/>
      </c>
      <c r="AH301" s="13">
        <f>IF($A301="","",[1]!thsiFinD("ths_adjustment_nv_fund",AH$3,$A301))</f>
        <v/>
      </c>
      <c r="AI301" s="13">
        <f>IF($A301="","",[1]!thsiFinD("ths_adjustment_nv_fund",AI$3,$A301))</f>
        <v/>
      </c>
      <c r="AJ301" s="13">
        <f>IF($A301="","",[1]!thsiFinD("ths_adjustment_nv_fund",AJ$3,$A301))</f>
        <v/>
      </c>
      <c r="AK301" s="13">
        <f>IF($A301="","",[1]!thsiFinD("ths_adjustment_nv_fund",AK$3,$A301))</f>
        <v/>
      </c>
      <c r="AL301" s="13">
        <f>IF($A301="","",[1]!thsiFinD("ths_adjustment_nv_fund",AL$3,$A301))</f>
        <v/>
      </c>
    </row>
    <row r="302" spans="2:28">
      <c r="B302" s="13" t="str">
        <f>IF($A302="","",[1]!thsiFinD("ths_adjustment_nv_fund",B$3,$A302))</f>
        <v/>
      </c>
      <c r="C302" s="13" t="str">
        <f>IF($A302="","",[1]!thsiFinD("ths_adjustment_nv_fund",C$3,$A302))</f>
        <v/>
      </c>
      <c r="D302" s="13" t="str">
        <f>IF($A302="","",[1]!thsiFinD("ths_adjustment_nv_fund",D$3,$A302))</f>
        <v/>
      </c>
      <c r="E302" s="13" t="str">
        <f>IF($A302="","",[1]!thsiFinD("ths_adjustment_nv_fund",E$3,$A302))</f>
        <v/>
      </c>
      <c r="F302" s="13" t="str">
        <f>IF($A302="","",[1]!thsiFinD("ths_adjustment_nv_fund",F$3,$A302))</f>
        <v/>
      </c>
      <c r="G302" s="13" t="str">
        <f>IF($A302="","",[1]!thsiFinD("ths_adjustment_nv_fund",G$3,$A302))</f>
        <v/>
      </c>
      <c r="H302" s="13" t="str">
        <f>IF($A302="","",[1]!thsiFinD("ths_adjustment_nv_fund",H$3,$A302))</f>
        <v/>
      </c>
      <c r="I302" s="13" t="str">
        <f>IF($A302="","",[1]!thsiFinD("ths_adjustment_nv_fund",I$3,$A302))</f>
        <v/>
      </c>
      <c r="J302" s="13" t="str">
        <f>IF($A302="","",[1]!thsiFinD("ths_adjustment_nv_fund",J$3,$A302))</f>
        <v/>
      </c>
      <c r="K302" s="13" t="str">
        <f>IF($A302="","",[1]!thsiFinD("ths_adjustment_nv_fund",K$3,$A302))</f>
        <v/>
      </c>
      <c r="L302" s="13" t="str">
        <f>IF($A302="","",[1]!thsiFinD("ths_adjustment_nv_fund",L$3,$A302))</f>
        <v/>
      </c>
      <c r="M302" s="13" t="str">
        <f>IF($A302="","",[1]!thsiFinD("ths_adjustment_nv_fund",M$3,$A302))</f>
        <v/>
      </c>
      <c r="N302" s="13" t="str">
        <f>IF($A302="","",[1]!thsiFinD("ths_adjustment_nv_fund",N$3,$A302))</f>
        <v/>
      </c>
      <c r="O302" s="13" t="str">
        <f>IF($A302="","",[1]!thsiFinD("ths_adjustment_nv_fund",O$3,$A302))</f>
        <v/>
      </c>
      <c r="P302" s="13" t="str">
        <f>IF($A302="","",[1]!thsiFinD("ths_adjustment_nv_fund",P$3,$A302))</f>
        <v/>
      </c>
      <c r="Q302" s="13" t="str">
        <f>IF($A302="","",[1]!thsiFinD("ths_adjustment_nv_fund",Q$3,$A302))</f>
        <v/>
      </c>
      <c r="R302" s="13" t="str">
        <f>IF($A302="","",[1]!thsiFinD("ths_adjustment_nv_fund",R$3,$A302))</f>
        <v/>
      </c>
      <c r="S302" s="13" t="str">
        <f>IF($A302="","",[1]!thsiFinD("ths_adjustment_nv_fund",S$3,$A302))</f>
        <v/>
      </c>
      <c r="T302" s="13" t="str">
        <f>IF($A302="","",[1]!thsiFinD("ths_adjustment_nv_fund",T$3,$A302))</f>
        <v/>
      </c>
      <c r="U302" s="13" t="str">
        <f>IF($A302="","",[1]!thsiFinD("ths_adjustment_nv_fund",U$3,$A302))</f>
        <v/>
      </c>
      <c r="V302" s="13" t="str">
        <f>IF($A302="","",[1]!thsiFinD("ths_adjustment_nv_fund",V$3,$A302))</f>
        <v/>
      </c>
      <c r="W302" s="13" t="str">
        <f>IF($A302="","",[1]!thsiFinD("ths_adjustment_nv_fund",W$3,$A302))</f>
        <v/>
      </c>
      <c r="X302" s="13" t="str">
        <f>IF($A302="","",[1]!thsiFinD("ths_adjustment_nv_fund",X$3,$A302))</f>
        <v/>
      </c>
      <c r="Y302" s="13" t="str">
        <f>IF($A302="","",[1]!thsiFinD("ths_adjustment_nv_fund",Y$3,$A302))</f>
        <v/>
      </c>
      <c r="Z302" s="13" t="str">
        <f>IF($A302="","",[1]!thsiFinD("ths_adjustment_nv_fund",Z$3,$A302))</f>
        <v/>
      </c>
      <c r="AA302" s="13" t="str">
        <f>IF($A302="","",[1]!thsiFinD("ths_adjustment_nv_fund",AA$3,$A302))</f>
        <v/>
      </c>
      <c r="AB302" s="13">
        <f>IF($A302="","",[1]!thsiFinD("ths_adjustment_nv_fund",AB$3,$A302))</f>
        <v/>
      </c>
      <c r="AC302" s="13">
        <f>IF($A302="","",[1]!thsiFinD("ths_adjustment_nv_fund",AC$3,$A302))</f>
        <v/>
      </c>
      <c r="AD302" s="13">
        <f>IF($A302="","",[1]!thsiFinD("ths_adjustment_nv_fund",AD$3,$A302))</f>
        <v/>
      </c>
      <c r="AE302" s="13">
        <f>IF($A302="","",[1]!thsiFinD("ths_adjustment_nv_fund",AE$3,$A302))</f>
        <v/>
      </c>
      <c r="AF302" s="13">
        <f>IF($A302="","",[1]!thsiFinD("ths_adjustment_nv_fund",AF$3,$A302))</f>
        <v/>
      </c>
      <c r="AG302" s="13">
        <f>IF($A302="","",[1]!thsiFinD("ths_adjustment_nv_fund",AG$3,$A302))</f>
        <v/>
      </c>
      <c r="AH302" s="13">
        <f>IF($A302="","",[1]!thsiFinD("ths_adjustment_nv_fund",AH$3,$A302))</f>
        <v/>
      </c>
      <c r="AI302" s="13">
        <f>IF($A302="","",[1]!thsiFinD("ths_adjustment_nv_fund",AI$3,$A302))</f>
        <v/>
      </c>
      <c r="AJ302" s="13">
        <f>IF($A302="","",[1]!thsiFinD("ths_adjustment_nv_fund",AJ$3,$A302))</f>
        <v/>
      </c>
      <c r="AK302" s="13">
        <f>IF($A302="","",[1]!thsiFinD("ths_adjustment_nv_fund",AK$3,$A302))</f>
        <v/>
      </c>
      <c r="AL302" s="13">
        <f>IF($A302="","",[1]!thsiFinD("ths_adjustment_nv_fund",AL$3,$A302))</f>
        <v/>
      </c>
    </row>
    <row r="303" spans="2:28">
      <c r="B303" s="13" t="str">
        <f>IF($A303="","",[1]!thsiFinD("ths_adjustment_nv_fund",B$3,$A303))</f>
        <v/>
      </c>
      <c r="C303" s="13" t="str">
        <f>IF($A303="","",[1]!thsiFinD("ths_adjustment_nv_fund",C$3,$A303))</f>
        <v/>
      </c>
      <c r="D303" s="13" t="str">
        <f>IF($A303="","",[1]!thsiFinD("ths_adjustment_nv_fund",D$3,$A303))</f>
        <v/>
      </c>
      <c r="E303" s="13" t="str">
        <f>IF($A303="","",[1]!thsiFinD("ths_adjustment_nv_fund",E$3,$A303))</f>
        <v/>
      </c>
      <c r="F303" s="13" t="str">
        <f>IF($A303="","",[1]!thsiFinD("ths_adjustment_nv_fund",F$3,$A303))</f>
        <v/>
      </c>
      <c r="G303" s="13" t="str">
        <f>IF($A303="","",[1]!thsiFinD("ths_adjustment_nv_fund",G$3,$A303))</f>
        <v/>
      </c>
      <c r="H303" s="13" t="str">
        <f>IF($A303="","",[1]!thsiFinD("ths_adjustment_nv_fund",H$3,$A303))</f>
        <v/>
      </c>
      <c r="I303" s="13" t="str">
        <f>IF($A303="","",[1]!thsiFinD("ths_adjustment_nv_fund",I$3,$A303))</f>
        <v/>
      </c>
      <c r="J303" s="13" t="str">
        <f>IF($A303="","",[1]!thsiFinD("ths_adjustment_nv_fund",J$3,$A303))</f>
        <v/>
      </c>
      <c r="K303" s="13" t="str">
        <f>IF($A303="","",[1]!thsiFinD("ths_adjustment_nv_fund",K$3,$A303))</f>
        <v/>
      </c>
      <c r="L303" s="13" t="str">
        <f>IF($A303="","",[1]!thsiFinD("ths_adjustment_nv_fund",L$3,$A303))</f>
        <v/>
      </c>
      <c r="M303" s="13" t="str">
        <f>IF($A303="","",[1]!thsiFinD("ths_adjustment_nv_fund",M$3,$A303))</f>
        <v/>
      </c>
      <c r="N303" s="13" t="str">
        <f>IF($A303="","",[1]!thsiFinD("ths_adjustment_nv_fund",N$3,$A303))</f>
        <v/>
      </c>
      <c r="O303" s="13" t="str">
        <f>IF($A303="","",[1]!thsiFinD("ths_adjustment_nv_fund",O$3,$A303))</f>
        <v/>
      </c>
      <c r="P303" s="13" t="str">
        <f>IF($A303="","",[1]!thsiFinD("ths_adjustment_nv_fund",P$3,$A303))</f>
        <v/>
      </c>
      <c r="Q303" s="13" t="str">
        <f>IF($A303="","",[1]!thsiFinD("ths_adjustment_nv_fund",Q$3,$A303))</f>
        <v/>
      </c>
      <c r="R303" s="13" t="str">
        <f>IF($A303="","",[1]!thsiFinD("ths_adjustment_nv_fund",R$3,$A303))</f>
        <v/>
      </c>
      <c r="S303" s="13" t="str">
        <f>IF($A303="","",[1]!thsiFinD("ths_adjustment_nv_fund",S$3,$A303))</f>
        <v/>
      </c>
      <c r="T303" s="13" t="str">
        <f>IF($A303="","",[1]!thsiFinD("ths_adjustment_nv_fund",T$3,$A303))</f>
        <v/>
      </c>
      <c r="U303" s="13" t="str">
        <f>IF($A303="","",[1]!thsiFinD("ths_adjustment_nv_fund",U$3,$A303))</f>
        <v/>
      </c>
      <c r="V303" s="13" t="str">
        <f>IF($A303="","",[1]!thsiFinD("ths_adjustment_nv_fund",V$3,$A303))</f>
        <v/>
      </c>
      <c r="W303" s="13" t="str">
        <f>IF($A303="","",[1]!thsiFinD("ths_adjustment_nv_fund",W$3,$A303))</f>
        <v/>
      </c>
      <c r="X303" s="13" t="str">
        <f>IF($A303="","",[1]!thsiFinD("ths_adjustment_nv_fund",X$3,$A303))</f>
        <v/>
      </c>
      <c r="Y303" s="13" t="str">
        <f>IF($A303="","",[1]!thsiFinD("ths_adjustment_nv_fund",Y$3,$A303))</f>
        <v/>
      </c>
      <c r="Z303" s="13" t="str">
        <f>IF($A303="","",[1]!thsiFinD("ths_adjustment_nv_fund",Z$3,$A303))</f>
        <v/>
      </c>
      <c r="AA303" s="13" t="str">
        <f>IF($A303="","",[1]!thsiFinD("ths_adjustment_nv_fund",AA$3,$A303))</f>
        <v/>
      </c>
      <c r="AB303" s="13">
        <f>IF($A303="","",[1]!thsiFinD("ths_adjustment_nv_fund",AB$3,$A303))</f>
        <v/>
      </c>
      <c r="AC303" s="13">
        <f>IF($A303="","",[1]!thsiFinD("ths_adjustment_nv_fund",AC$3,$A303))</f>
        <v/>
      </c>
      <c r="AD303" s="13">
        <f>IF($A303="","",[1]!thsiFinD("ths_adjustment_nv_fund",AD$3,$A303))</f>
        <v/>
      </c>
      <c r="AE303" s="13">
        <f>IF($A303="","",[1]!thsiFinD("ths_adjustment_nv_fund",AE$3,$A303))</f>
        <v/>
      </c>
      <c r="AF303" s="13">
        <f>IF($A303="","",[1]!thsiFinD("ths_adjustment_nv_fund",AF$3,$A303))</f>
        <v/>
      </c>
      <c r="AG303" s="13">
        <f>IF($A303="","",[1]!thsiFinD("ths_adjustment_nv_fund",AG$3,$A303))</f>
        <v/>
      </c>
      <c r="AH303" s="13">
        <f>IF($A303="","",[1]!thsiFinD("ths_adjustment_nv_fund",AH$3,$A303))</f>
        <v/>
      </c>
      <c r="AI303" s="13">
        <f>IF($A303="","",[1]!thsiFinD("ths_adjustment_nv_fund",AI$3,$A303))</f>
        <v/>
      </c>
      <c r="AJ303" s="13">
        <f>IF($A303="","",[1]!thsiFinD("ths_adjustment_nv_fund",AJ$3,$A303))</f>
        <v/>
      </c>
      <c r="AK303" s="13">
        <f>IF($A303="","",[1]!thsiFinD("ths_adjustment_nv_fund",AK$3,$A303))</f>
        <v/>
      </c>
      <c r="AL303" s="13">
        <f>IF($A303="","",[1]!thsiFinD("ths_adjustment_nv_fund",AL$3,$A303))</f>
        <v/>
      </c>
    </row>
    <row r="304" spans="2:28">
      <c r="B304" s="13" t="str">
        <f>IF($A304="","",[1]!thsiFinD("ths_adjustment_nv_fund",B$3,$A304))</f>
        <v/>
      </c>
      <c r="C304" s="13" t="str">
        <f>IF($A304="","",[1]!thsiFinD("ths_adjustment_nv_fund",C$3,$A304))</f>
        <v/>
      </c>
      <c r="D304" s="13" t="str">
        <f>IF($A304="","",[1]!thsiFinD("ths_adjustment_nv_fund",D$3,$A304))</f>
        <v/>
      </c>
      <c r="E304" s="13" t="str">
        <f>IF($A304="","",[1]!thsiFinD("ths_adjustment_nv_fund",E$3,$A304))</f>
        <v/>
      </c>
      <c r="F304" s="13" t="str">
        <f>IF($A304="","",[1]!thsiFinD("ths_adjustment_nv_fund",F$3,$A304))</f>
        <v/>
      </c>
      <c r="G304" s="13" t="str">
        <f>IF($A304="","",[1]!thsiFinD("ths_adjustment_nv_fund",G$3,$A304))</f>
        <v/>
      </c>
      <c r="H304" s="13" t="str">
        <f>IF($A304="","",[1]!thsiFinD("ths_adjustment_nv_fund",H$3,$A304))</f>
        <v/>
      </c>
      <c r="I304" s="13" t="str">
        <f>IF($A304="","",[1]!thsiFinD("ths_adjustment_nv_fund",I$3,$A304))</f>
        <v/>
      </c>
      <c r="J304" s="13" t="str">
        <f>IF($A304="","",[1]!thsiFinD("ths_adjustment_nv_fund",J$3,$A304))</f>
        <v/>
      </c>
      <c r="K304" s="13" t="str">
        <f>IF($A304="","",[1]!thsiFinD("ths_adjustment_nv_fund",K$3,$A304))</f>
        <v/>
      </c>
      <c r="L304" s="13" t="str">
        <f>IF($A304="","",[1]!thsiFinD("ths_adjustment_nv_fund",L$3,$A304))</f>
        <v/>
      </c>
      <c r="M304" s="13" t="str">
        <f>IF($A304="","",[1]!thsiFinD("ths_adjustment_nv_fund",M$3,$A304))</f>
        <v/>
      </c>
      <c r="N304" s="13" t="str">
        <f>IF($A304="","",[1]!thsiFinD("ths_adjustment_nv_fund",N$3,$A304))</f>
        <v/>
      </c>
      <c r="O304" s="13" t="str">
        <f>IF($A304="","",[1]!thsiFinD("ths_adjustment_nv_fund",O$3,$A304))</f>
        <v/>
      </c>
      <c r="P304" s="13" t="str">
        <f>IF($A304="","",[1]!thsiFinD("ths_adjustment_nv_fund",P$3,$A304))</f>
        <v/>
      </c>
      <c r="Q304" s="13" t="str">
        <f>IF($A304="","",[1]!thsiFinD("ths_adjustment_nv_fund",Q$3,$A304))</f>
        <v/>
      </c>
      <c r="R304" s="13" t="str">
        <f>IF($A304="","",[1]!thsiFinD("ths_adjustment_nv_fund",R$3,$A304))</f>
        <v/>
      </c>
      <c r="S304" s="13" t="str">
        <f>IF($A304="","",[1]!thsiFinD("ths_adjustment_nv_fund",S$3,$A304))</f>
        <v/>
      </c>
      <c r="T304" s="13" t="str">
        <f>IF($A304="","",[1]!thsiFinD("ths_adjustment_nv_fund",T$3,$A304))</f>
        <v/>
      </c>
      <c r="U304" s="13" t="str">
        <f>IF($A304="","",[1]!thsiFinD("ths_adjustment_nv_fund",U$3,$A304))</f>
        <v/>
      </c>
      <c r="V304" s="13" t="str">
        <f>IF($A304="","",[1]!thsiFinD("ths_adjustment_nv_fund",V$3,$A304))</f>
        <v/>
      </c>
      <c r="W304" s="13" t="str">
        <f>IF($A304="","",[1]!thsiFinD("ths_adjustment_nv_fund",W$3,$A304))</f>
        <v/>
      </c>
      <c r="X304" s="13" t="str">
        <f>IF($A304="","",[1]!thsiFinD("ths_adjustment_nv_fund",X$3,$A304))</f>
        <v/>
      </c>
      <c r="Y304" s="13" t="str">
        <f>IF($A304="","",[1]!thsiFinD("ths_adjustment_nv_fund",Y$3,$A304))</f>
        <v/>
      </c>
      <c r="Z304" s="13" t="str">
        <f>IF($A304="","",[1]!thsiFinD("ths_adjustment_nv_fund",Z$3,$A304))</f>
        <v/>
      </c>
      <c r="AA304" s="13" t="str">
        <f>IF($A304="","",[1]!thsiFinD("ths_adjustment_nv_fund",AA$3,$A304))</f>
        <v/>
      </c>
      <c r="AB304" s="13">
        <f>IF($A304="","",[1]!thsiFinD("ths_adjustment_nv_fund",AB$3,$A304))</f>
        <v/>
      </c>
      <c r="AC304" s="13">
        <f>IF($A304="","",[1]!thsiFinD("ths_adjustment_nv_fund",AC$3,$A304))</f>
        <v/>
      </c>
      <c r="AD304" s="13">
        <f>IF($A304="","",[1]!thsiFinD("ths_adjustment_nv_fund",AD$3,$A304))</f>
        <v/>
      </c>
      <c r="AE304" s="13">
        <f>IF($A304="","",[1]!thsiFinD("ths_adjustment_nv_fund",AE$3,$A304))</f>
        <v/>
      </c>
      <c r="AF304" s="13">
        <f>IF($A304="","",[1]!thsiFinD("ths_adjustment_nv_fund",AF$3,$A304))</f>
        <v/>
      </c>
      <c r="AG304" s="13">
        <f>IF($A304="","",[1]!thsiFinD("ths_adjustment_nv_fund",AG$3,$A304))</f>
        <v/>
      </c>
      <c r="AH304" s="13">
        <f>IF($A304="","",[1]!thsiFinD("ths_adjustment_nv_fund",AH$3,$A304))</f>
        <v/>
      </c>
      <c r="AI304" s="13">
        <f>IF($A304="","",[1]!thsiFinD("ths_adjustment_nv_fund",AI$3,$A304))</f>
        <v/>
      </c>
      <c r="AJ304" s="13">
        <f>IF($A304="","",[1]!thsiFinD("ths_adjustment_nv_fund",AJ$3,$A304))</f>
        <v/>
      </c>
      <c r="AK304" s="13">
        <f>IF($A304="","",[1]!thsiFinD("ths_adjustment_nv_fund",AK$3,$A304))</f>
        <v/>
      </c>
      <c r="AL304" s="13">
        <f>IF($A304="","",[1]!thsiFinD("ths_adjustment_nv_fund",AL$3,$A304))</f>
        <v/>
      </c>
    </row>
    <row r="305" spans="2:28">
      <c r="B305" s="13" t="str">
        <f>IF($A305="","",[1]!thsiFinD("ths_adjustment_nv_fund",B$3,$A305))</f>
        <v/>
      </c>
      <c r="C305" s="13" t="str">
        <f>IF($A305="","",[1]!thsiFinD("ths_adjustment_nv_fund",C$3,$A305))</f>
        <v/>
      </c>
      <c r="D305" s="13" t="str">
        <f>IF($A305="","",[1]!thsiFinD("ths_adjustment_nv_fund",D$3,$A305))</f>
        <v/>
      </c>
      <c r="E305" s="13" t="str">
        <f>IF($A305="","",[1]!thsiFinD("ths_adjustment_nv_fund",E$3,$A305))</f>
        <v/>
      </c>
      <c r="F305" s="13" t="str">
        <f>IF($A305="","",[1]!thsiFinD("ths_adjustment_nv_fund",F$3,$A305))</f>
        <v/>
      </c>
      <c r="G305" s="13" t="str">
        <f>IF($A305="","",[1]!thsiFinD("ths_adjustment_nv_fund",G$3,$A305))</f>
        <v/>
      </c>
      <c r="H305" s="13" t="str">
        <f>IF($A305="","",[1]!thsiFinD("ths_adjustment_nv_fund",H$3,$A305))</f>
        <v/>
      </c>
      <c r="I305" s="13" t="str">
        <f>IF($A305="","",[1]!thsiFinD("ths_adjustment_nv_fund",I$3,$A305))</f>
        <v/>
      </c>
      <c r="J305" s="13" t="str">
        <f>IF($A305="","",[1]!thsiFinD("ths_adjustment_nv_fund",J$3,$A305))</f>
        <v/>
      </c>
      <c r="K305" s="13" t="str">
        <f>IF($A305="","",[1]!thsiFinD("ths_adjustment_nv_fund",K$3,$A305))</f>
        <v/>
      </c>
      <c r="L305" s="13" t="str">
        <f>IF($A305="","",[1]!thsiFinD("ths_adjustment_nv_fund",L$3,$A305))</f>
        <v/>
      </c>
      <c r="M305" s="13" t="str">
        <f>IF($A305="","",[1]!thsiFinD("ths_adjustment_nv_fund",M$3,$A305))</f>
        <v/>
      </c>
      <c r="N305" s="13" t="str">
        <f>IF($A305="","",[1]!thsiFinD("ths_adjustment_nv_fund",N$3,$A305))</f>
        <v/>
      </c>
      <c r="O305" s="13" t="str">
        <f>IF($A305="","",[1]!thsiFinD("ths_adjustment_nv_fund",O$3,$A305))</f>
        <v/>
      </c>
      <c r="P305" s="13" t="str">
        <f>IF($A305="","",[1]!thsiFinD("ths_adjustment_nv_fund",P$3,$A305))</f>
        <v/>
      </c>
      <c r="Q305" s="13" t="str">
        <f>IF($A305="","",[1]!thsiFinD("ths_adjustment_nv_fund",Q$3,$A305))</f>
        <v/>
      </c>
      <c r="R305" s="13" t="str">
        <f>IF($A305="","",[1]!thsiFinD("ths_adjustment_nv_fund",R$3,$A305))</f>
        <v/>
      </c>
      <c r="S305" s="13" t="str">
        <f>IF($A305="","",[1]!thsiFinD("ths_adjustment_nv_fund",S$3,$A305))</f>
        <v/>
      </c>
      <c r="T305" s="13" t="str">
        <f>IF($A305="","",[1]!thsiFinD("ths_adjustment_nv_fund",T$3,$A305))</f>
        <v/>
      </c>
      <c r="U305" s="13" t="str">
        <f>IF($A305="","",[1]!thsiFinD("ths_adjustment_nv_fund",U$3,$A305))</f>
        <v/>
      </c>
      <c r="V305" s="13" t="str">
        <f>IF($A305="","",[1]!thsiFinD("ths_adjustment_nv_fund",V$3,$A305))</f>
        <v/>
      </c>
      <c r="W305" s="13" t="str">
        <f>IF($A305="","",[1]!thsiFinD("ths_adjustment_nv_fund",W$3,$A305))</f>
        <v/>
      </c>
      <c r="X305" s="13" t="str">
        <f>IF($A305="","",[1]!thsiFinD("ths_adjustment_nv_fund",X$3,$A305))</f>
        <v/>
      </c>
      <c r="Y305" s="13" t="str">
        <f>IF($A305="","",[1]!thsiFinD("ths_adjustment_nv_fund",Y$3,$A305))</f>
        <v/>
      </c>
      <c r="Z305" s="13" t="str">
        <f>IF($A305="","",[1]!thsiFinD("ths_adjustment_nv_fund",Z$3,$A305))</f>
        <v/>
      </c>
      <c r="AA305" s="13" t="str">
        <f>IF($A305="","",[1]!thsiFinD("ths_adjustment_nv_fund",AA$3,$A305))</f>
        <v/>
      </c>
      <c r="AB305" s="13">
        <f>IF($A305="","",[1]!thsiFinD("ths_adjustment_nv_fund",AB$3,$A305))</f>
        <v/>
      </c>
      <c r="AC305" s="13">
        <f>IF($A305="","",[1]!thsiFinD("ths_adjustment_nv_fund",AC$3,$A305))</f>
        <v/>
      </c>
      <c r="AD305" s="13">
        <f>IF($A305="","",[1]!thsiFinD("ths_adjustment_nv_fund",AD$3,$A305))</f>
        <v/>
      </c>
      <c r="AE305" s="13">
        <f>IF($A305="","",[1]!thsiFinD("ths_adjustment_nv_fund",AE$3,$A305))</f>
        <v/>
      </c>
      <c r="AF305" s="13">
        <f>IF($A305="","",[1]!thsiFinD("ths_adjustment_nv_fund",AF$3,$A305))</f>
        <v/>
      </c>
      <c r="AG305" s="13">
        <f>IF($A305="","",[1]!thsiFinD("ths_adjustment_nv_fund",AG$3,$A305))</f>
        <v/>
      </c>
      <c r="AH305" s="13">
        <f>IF($A305="","",[1]!thsiFinD("ths_adjustment_nv_fund",AH$3,$A305))</f>
        <v/>
      </c>
      <c r="AI305" s="13">
        <f>IF($A305="","",[1]!thsiFinD("ths_adjustment_nv_fund",AI$3,$A305))</f>
        <v/>
      </c>
      <c r="AJ305" s="13">
        <f>IF($A305="","",[1]!thsiFinD("ths_adjustment_nv_fund",AJ$3,$A305))</f>
        <v/>
      </c>
      <c r="AK305" s="13">
        <f>IF($A305="","",[1]!thsiFinD("ths_adjustment_nv_fund",AK$3,$A305))</f>
        <v/>
      </c>
      <c r="AL305" s="13">
        <f>IF($A305="","",[1]!thsiFinD("ths_adjustment_nv_fund",AL$3,$A305))</f>
        <v/>
      </c>
    </row>
    <row r="306" spans="2:28">
      <c r="B306" s="13" t="str">
        <f>IF($A306="","",[1]!thsiFinD("ths_adjustment_nv_fund",B$3,$A306))</f>
        <v/>
      </c>
      <c r="C306" s="13" t="str">
        <f>IF($A306="","",[1]!thsiFinD("ths_adjustment_nv_fund",C$3,$A306))</f>
        <v/>
      </c>
      <c r="D306" s="13" t="str">
        <f>IF($A306="","",[1]!thsiFinD("ths_adjustment_nv_fund",D$3,$A306))</f>
        <v/>
      </c>
      <c r="E306" s="13" t="str">
        <f>IF($A306="","",[1]!thsiFinD("ths_adjustment_nv_fund",E$3,$A306))</f>
        <v/>
      </c>
      <c r="F306" s="13" t="str">
        <f>IF($A306="","",[1]!thsiFinD("ths_adjustment_nv_fund",F$3,$A306))</f>
        <v/>
      </c>
      <c r="G306" s="13" t="str">
        <f>IF($A306="","",[1]!thsiFinD("ths_adjustment_nv_fund",G$3,$A306))</f>
        <v/>
      </c>
      <c r="H306" s="13" t="str">
        <f>IF($A306="","",[1]!thsiFinD("ths_adjustment_nv_fund",H$3,$A306))</f>
        <v/>
      </c>
      <c r="I306" s="13" t="str">
        <f>IF($A306="","",[1]!thsiFinD("ths_adjustment_nv_fund",I$3,$A306))</f>
        <v/>
      </c>
      <c r="J306" s="13" t="str">
        <f>IF($A306="","",[1]!thsiFinD("ths_adjustment_nv_fund",J$3,$A306))</f>
        <v/>
      </c>
      <c r="K306" s="13" t="str">
        <f>IF($A306="","",[1]!thsiFinD("ths_adjustment_nv_fund",K$3,$A306))</f>
        <v/>
      </c>
      <c r="L306" s="13" t="str">
        <f>IF($A306="","",[1]!thsiFinD("ths_adjustment_nv_fund",L$3,$A306))</f>
        <v/>
      </c>
      <c r="M306" s="13" t="str">
        <f>IF($A306="","",[1]!thsiFinD("ths_adjustment_nv_fund",M$3,$A306))</f>
        <v/>
      </c>
      <c r="N306" s="13" t="str">
        <f>IF($A306="","",[1]!thsiFinD("ths_adjustment_nv_fund",N$3,$A306))</f>
        <v/>
      </c>
      <c r="O306" s="13" t="str">
        <f>IF($A306="","",[1]!thsiFinD("ths_adjustment_nv_fund",O$3,$A306))</f>
        <v/>
      </c>
      <c r="P306" s="13" t="str">
        <f>IF($A306="","",[1]!thsiFinD("ths_adjustment_nv_fund",P$3,$A306))</f>
        <v/>
      </c>
      <c r="Q306" s="13" t="str">
        <f>IF($A306="","",[1]!thsiFinD("ths_adjustment_nv_fund",Q$3,$A306))</f>
        <v/>
      </c>
      <c r="R306" s="13" t="str">
        <f>IF($A306="","",[1]!thsiFinD("ths_adjustment_nv_fund",R$3,$A306))</f>
        <v/>
      </c>
      <c r="S306" s="13" t="str">
        <f>IF($A306="","",[1]!thsiFinD("ths_adjustment_nv_fund",S$3,$A306))</f>
        <v/>
      </c>
      <c r="T306" s="13" t="str">
        <f>IF($A306="","",[1]!thsiFinD("ths_adjustment_nv_fund",T$3,$A306))</f>
        <v/>
      </c>
      <c r="U306" s="13" t="str">
        <f>IF($A306="","",[1]!thsiFinD("ths_adjustment_nv_fund",U$3,$A306))</f>
        <v/>
      </c>
      <c r="V306" s="13" t="str">
        <f>IF($A306="","",[1]!thsiFinD("ths_adjustment_nv_fund",V$3,$A306))</f>
        <v/>
      </c>
      <c r="W306" s="13" t="str">
        <f>IF($A306="","",[1]!thsiFinD("ths_adjustment_nv_fund",W$3,$A306))</f>
        <v/>
      </c>
      <c r="X306" s="13" t="str">
        <f>IF($A306="","",[1]!thsiFinD("ths_adjustment_nv_fund",X$3,$A306))</f>
        <v/>
      </c>
      <c r="Y306" s="13" t="str">
        <f>IF($A306="","",[1]!thsiFinD("ths_adjustment_nv_fund",Y$3,$A306))</f>
        <v/>
      </c>
      <c r="Z306" s="13" t="str">
        <f>IF($A306="","",[1]!thsiFinD("ths_adjustment_nv_fund",Z$3,$A306))</f>
        <v/>
      </c>
      <c r="AA306" s="13" t="str">
        <f>IF($A306="","",[1]!thsiFinD("ths_adjustment_nv_fund",AA$3,$A306))</f>
        <v/>
      </c>
      <c r="AB306" s="13">
        <f>IF($A306="","",[1]!thsiFinD("ths_adjustment_nv_fund",AB$3,$A306))</f>
        <v/>
      </c>
      <c r="AC306" s="13">
        <f>IF($A306="","",[1]!thsiFinD("ths_adjustment_nv_fund",AC$3,$A306))</f>
        <v/>
      </c>
      <c r="AD306" s="13">
        <f>IF($A306="","",[1]!thsiFinD("ths_adjustment_nv_fund",AD$3,$A306))</f>
        <v/>
      </c>
      <c r="AE306" s="13">
        <f>IF($A306="","",[1]!thsiFinD("ths_adjustment_nv_fund",AE$3,$A306))</f>
        <v/>
      </c>
      <c r="AF306" s="13">
        <f>IF($A306="","",[1]!thsiFinD("ths_adjustment_nv_fund",AF$3,$A306))</f>
        <v/>
      </c>
      <c r="AG306" s="13">
        <f>IF($A306="","",[1]!thsiFinD("ths_adjustment_nv_fund",AG$3,$A306))</f>
        <v/>
      </c>
      <c r="AH306" s="13">
        <f>IF($A306="","",[1]!thsiFinD("ths_adjustment_nv_fund",AH$3,$A306))</f>
        <v/>
      </c>
      <c r="AI306" s="13">
        <f>IF($A306="","",[1]!thsiFinD("ths_adjustment_nv_fund",AI$3,$A306))</f>
        <v/>
      </c>
      <c r="AJ306" s="13">
        <f>IF($A306="","",[1]!thsiFinD("ths_adjustment_nv_fund",AJ$3,$A306))</f>
        <v/>
      </c>
      <c r="AK306" s="13">
        <f>IF($A306="","",[1]!thsiFinD("ths_adjustment_nv_fund",AK$3,$A306))</f>
        <v/>
      </c>
      <c r="AL306" s="13">
        <f>IF($A306="","",[1]!thsiFinD("ths_adjustment_nv_fund",AL$3,$A306))</f>
        <v/>
      </c>
    </row>
    <row r="307" spans="2:28">
      <c r="B307" s="13" t="str">
        <f>IF($A307="","",[1]!thsiFinD("ths_adjustment_nv_fund",B$3,$A307))</f>
        <v/>
      </c>
      <c r="C307" s="13" t="str">
        <f>IF($A307="","",[1]!thsiFinD("ths_adjustment_nv_fund",C$3,$A307))</f>
        <v/>
      </c>
      <c r="D307" s="13" t="str">
        <f>IF($A307="","",[1]!thsiFinD("ths_adjustment_nv_fund",D$3,$A307))</f>
        <v/>
      </c>
      <c r="E307" s="13" t="str">
        <f>IF($A307="","",[1]!thsiFinD("ths_adjustment_nv_fund",E$3,$A307))</f>
        <v/>
      </c>
      <c r="F307" s="13" t="str">
        <f>IF($A307="","",[1]!thsiFinD("ths_adjustment_nv_fund",F$3,$A307))</f>
        <v/>
      </c>
      <c r="G307" s="13" t="str">
        <f>IF($A307="","",[1]!thsiFinD("ths_adjustment_nv_fund",G$3,$A307))</f>
        <v/>
      </c>
      <c r="H307" s="13" t="str">
        <f>IF($A307="","",[1]!thsiFinD("ths_adjustment_nv_fund",H$3,$A307))</f>
        <v/>
      </c>
      <c r="I307" s="13" t="str">
        <f>IF($A307="","",[1]!thsiFinD("ths_adjustment_nv_fund",I$3,$A307))</f>
        <v/>
      </c>
      <c r="J307" s="13" t="str">
        <f>IF($A307="","",[1]!thsiFinD("ths_adjustment_nv_fund",J$3,$A307))</f>
        <v/>
      </c>
      <c r="K307" s="13" t="str">
        <f>IF($A307="","",[1]!thsiFinD("ths_adjustment_nv_fund",K$3,$A307))</f>
        <v/>
      </c>
      <c r="L307" s="13" t="str">
        <f>IF($A307="","",[1]!thsiFinD("ths_adjustment_nv_fund",L$3,$A307))</f>
        <v/>
      </c>
      <c r="M307" s="13" t="str">
        <f>IF($A307="","",[1]!thsiFinD("ths_adjustment_nv_fund",M$3,$A307))</f>
        <v/>
      </c>
      <c r="N307" s="13" t="str">
        <f>IF($A307="","",[1]!thsiFinD("ths_adjustment_nv_fund",N$3,$A307))</f>
        <v/>
      </c>
      <c r="O307" s="13" t="str">
        <f>IF($A307="","",[1]!thsiFinD("ths_adjustment_nv_fund",O$3,$A307))</f>
        <v/>
      </c>
      <c r="P307" s="13" t="str">
        <f>IF($A307="","",[1]!thsiFinD("ths_adjustment_nv_fund",P$3,$A307))</f>
        <v/>
      </c>
      <c r="Q307" s="13" t="str">
        <f>IF($A307="","",[1]!thsiFinD("ths_adjustment_nv_fund",Q$3,$A307))</f>
        <v/>
      </c>
      <c r="R307" s="13" t="str">
        <f>IF($A307="","",[1]!thsiFinD("ths_adjustment_nv_fund",R$3,$A307))</f>
        <v/>
      </c>
      <c r="S307" s="13" t="str">
        <f>IF($A307="","",[1]!thsiFinD("ths_adjustment_nv_fund",S$3,$A307))</f>
        <v/>
      </c>
      <c r="T307" s="13" t="str">
        <f>IF($A307="","",[1]!thsiFinD("ths_adjustment_nv_fund",T$3,$A307))</f>
        <v/>
      </c>
      <c r="U307" s="13" t="str">
        <f>IF($A307="","",[1]!thsiFinD("ths_adjustment_nv_fund",U$3,$A307))</f>
        <v/>
      </c>
      <c r="V307" s="13" t="str">
        <f>IF($A307="","",[1]!thsiFinD("ths_adjustment_nv_fund",V$3,$A307))</f>
        <v/>
      </c>
      <c r="W307" s="13" t="str">
        <f>IF($A307="","",[1]!thsiFinD("ths_adjustment_nv_fund",W$3,$A307))</f>
        <v/>
      </c>
      <c r="X307" s="13" t="str">
        <f>IF($A307="","",[1]!thsiFinD("ths_adjustment_nv_fund",X$3,$A307))</f>
        <v/>
      </c>
      <c r="Y307" s="13" t="str">
        <f>IF($A307="","",[1]!thsiFinD("ths_adjustment_nv_fund",Y$3,$A307))</f>
        <v/>
      </c>
      <c r="Z307" s="13" t="str">
        <f>IF($A307="","",[1]!thsiFinD("ths_adjustment_nv_fund",Z$3,$A307))</f>
        <v/>
      </c>
      <c r="AA307" s="13" t="str">
        <f>IF($A307="","",[1]!thsiFinD("ths_adjustment_nv_fund",AA$3,$A307))</f>
        <v/>
      </c>
      <c r="AB307" s="13">
        <f>IF($A307="","",[1]!thsiFinD("ths_adjustment_nv_fund",AB$3,$A307))</f>
        <v/>
      </c>
      <c r="AC307" s="13">
        <f>IF($A307="","",[1]!thsiFinD("ths_adjustment_nv_fund",AC$3,$A307))</f>
        <v/>
      </c>
      <c r="AD307" s="13">
        <f>IF($A307="","",[1]!thsiFinD("ths_adjustment_nv_fund",AD$3,$A307))</f>
        <v/>
      </c>
      <c r="AE307" s="13">
        <f>IF($A307="","",[1]!thsiFinD("ths_adjustment_nv_fund",AE$3,$A307))</f>
        <v/>
      </c>
      <c r="AF307" s="13">
        <f>IF($A307="","",[1]!thsiFinD("ths_adjustment_nv_fund",AF$3,$A307))</f>
        <v/>
      </c>
      <c r="AG307" s="13">
        <f>IF($A307="","",[1]!thsiFinD("ths_adjustment_nv_fund",AG$3,$A307))</f>
        <v/>
      </c>
      <c r="AH307" s="13">
        <f>IF($A307="","",[1]!thsiFinD("ths_adjustment_nv_fund",AH$3,$A307))</f>
        <v/>
      </c>
      <c r="AI307" s="13">
        <f>IF($A307="","",[1]!thsiFinD("ths_adjustment_nv_fund",AI$3,$A307))</f>
        <v/>
      </c>
      <c r="AJ307" s="13">
        <f>IF($A307="","",[1]!thsiFinD("ths_adjustment_nv_fund",AJ$3,$A307))</f>
        <v/>
      </c>
      <c r="AK307" s="13">
        <f>IF($A307="","",[1]!thsiFinD("ths_adjustment_nv_fund",AK$3,$A307))</f>
        <v/>
      </c>
      <c r="AL307" s="13">
        <f>IF($A307="","",[1]!thsiFinD("ths_adjustment_nv_fund",AL$3,$A307))</f>
        <v/>
      </c>
    </row>
    <row r="308" spans="2:28">
      <c r="B308" s="13" t="str">
        <f>IF($A308="","",[1]!thsiFinD("ths_adjustment_nv_fund",B$3,$A308))</f>
        <v/>
      </c>
      <c r="C308" s="13" t="str">
        <f>IF($A308="","",[1]!thsiFinD("ths_adjustment_nv_fund",C$3,$A308))</f>
        <v/>
      </c>
      <c r="D308" s="13" t="str">
        <f>IF($A308="","",[1]!thsiFinD("ths_adjustment_nv_fund",D$3,$A308))</f>
        <v/>
      </c>
      <c r="E308" s="13" t="str">
        <f>IF($A308="","",[1]!thsiFinD("ths_adjustment_nv_fund",E$3,$A308))</f>
        <v/>
      </c>
      <c r="F308" s="13" t="str">
        <f>IF($A308="","",[1]!thsiFinD("ths_adjustment_nv_fund",F$3,$A308))</f>
        <v/>
      </c>
      <c r="G308" s="13" t="str">
        <f>IF($A308="","",[1]!thsiFinD("ths_adjustment_nv_fund",G$3,$A308))</f>
        <v/>
      </c>
      <c r="H308" s="13" t="str">
        <f>IF($A308="","",[1]!thsiFinD("ths_adjustment_nv_fund",H$3,$A308))</f>
        <v/>
      </c>
      <c r="I308" s="13" t="str">
        <f>IF($A308="","",[1]!thsiFinD("ths_adjustment_nv_fund",I$3,$A308))</f>
        <v/>
      </c>
      <c r="J308" s="13" t="str">
        <f>IF($A308="","",[1]!thsiFinD("ths_adjustment_nv_fund",J$3,$A308))</f>
        <v/>
      </c>
      <c r="K308" s="13" t="str">
        <f>IF($A308="","",[1]!thsiFinD("ths_adjustment_nv_fund",K$3,$A308))</f>
        <v/>
      </c>
      <c r="L308" s="13" t="str">
        <f>IF($A308="","",[1]!thsiFinD("ths_adjustment_nv_fund",L$3,$A308))</f>
        <v/>
      </c>
      <c r="M308" s="13" t="str">
        <f>IF($A308="","",[1]!thsiFinD("ths_adjustment_nv_fund",M$3,$A308))</f>
        <v/>
      </c>
      <c r="N308" s="13" t="str">
        <f>IF($A308="","",[1]!thsiFinD("ths_adjustment_nv_fund",N$3,$A308))</f>
        <v/>
      </c>
      <c r="O308" s="13" t="str">
        <f>IF($A308="","",[1]!thsiFinD("ths_adjustment_nv_fund",O$3,$A308))</f>
        <v/>
      </c>
      <c r="P308" s="13" t="str">
        <f>IF($A308="","",[1]!thsiFinD("ths_adjustment_nv_fund",P$3,$A308))</f>
        <v/>
      </c>
      <c r="Q308" s="13" t="str">
        <f>IF($A308="","",[1]!thsiFinD("ths_adjustment_nv_fund",Q$3,$A308))</f>
        <v/>
      </c>
      <c r="R308" s="13" t="str">
        <f>IF($A308="","",[1]!thsiFinD("ths_adjustment_nv_fund",R$3,$A308))</f>
        <v/>
      </c>
      <c r="S308" s="13" t="str">
        <f>IF($A308="","",[1]!thsiFinD("ths_adjustment_nv_fund",S$3,$A308))</f>
        <v/>
      </c>
      <c r="T308" s="13" t="str">
        <f>IF($A308="","",[1]!thsiFinD("ths_adjustment_nv_fund",T$3,$A308))</f>
        <v/>
      </c>
      <c r="U308" s="13" t="str">
        <f>IF($A308="","",[1]!thsiFinD("ths_adjustment_nv_fund",U$3,$A308))</f>
        <v/>
      </c>
      <c r="V308" s="13" t="str">
        <f>IF($A308="","",[1]!thsiFinD("ths_adjustment_nv_fund",V$3,$A308))</f>
        <v/>
      </c>
      <c r="W308" s="13" t="str">
        <f>IF($A308="","",[1]!thsiFinD("ths_adjustment_nv_fund",W$3,$A308))</f>
        <v/>
      </c>
      <c r="X308" s="13" t="str">
        <f>IF($A308="","",[1]!thsiFinD("ths_adjustment_nv_fund",X$3,$A308))</f>
        <v/>
      </c>
      <c r="Y308" s="13" t="str">
        <f>IF($A308="","",[1]!thsiFinD("ths_adjustment_nv_fund",Y$3,$A308))</f>
        <v/>
      </c>
      <c r="Z308" s="13" t="str">
        <f>IF($A308="","",[1]!thsiFinD("ths_adjustment_nv_fund",Z$3,$A308))</f>
        <v/>
      </c>
      <c r="AA308" s="13" t="str">
        <f>IF($A308="","",[1]!thsiFinD("ths_adjustment_nv_fund",AA$3,$A308))</f>
        <v/>
      </c>
      <c r="AB308" s="13">
        <f>IF($A308="","",[1]!thsiFinD("ths_adjustment_nv_fund",AB$3,$A308))</f>
        <v/>
      </c>
      <c r="AC308" s="13">
        <f>IF($A308="","",[1]!thsiFinD("ths_adjustment_nv_fund",AC$3,$A308))</f>
        <v/>
      </c>
      <c r="AD308" s="13">
        <f>IF($A308="","",[1]!thsiFinD("ths_adjustment_nv_fund",AD$3,$A308))</f>
        <v/>
      </c>
      <c r="AE308" s="13">
        <f>IF($A308="","",[1]!thsiFinD("ths_adjustment_nv_fund",AE$3,$A308))</f>
        <v/>
      </c>
      <c r="AF308" s="13">
        <f>IF($A308="","",[1]!thsiFinD("ths_adjustment_nv_fund",AF$3,$A308))</f>
        <v/>
      </c>
      <c r="AG308" s="13">
        <f>IF($A308="","",[1]!thsiFinD("ths_adjustment_nv_fund",AG$3,$A308))</f>
        <v/>
      </c>
      <c r="AH308" s="13">
        <f>IF($A308="","",[1]!thsiFinD("ths_adjustment_nv_fund",AH$3,$A308))</f>
        <v/>
      </c>
      <c r="AI308" s="13">
        <f>IF($A308="","",[1]!thsiFinD("ths_adjustment_nv_fund",AI$3,$A308))</f>
        <v/>
      </c>
      <c r="AJ308" s="13">
        <f>IF($A308="","",[1]!thsiFinD("ths_adjustment_nv_fund",AJ$3,$A308))</f>
        <v/>
      </c>
      <c r="AK308" s="13">
        <f>IF($A308="","",[1]!thsiFinD("ths_adjustment_nv_fund",AK$3,$A308))</f>
        <v/>
      </c>
      <c r="AL308" s="13">
        <f>IF($A308="","",[1]!thsiFinD("ths_adjustment_nv_fund",AL$3,$A308))</f>
        <v/>
      </c>
    </row>
    <row r="309" spans="2:28">
      <c r="B309" s="13" t="str">
        <f>IF($A309="","",[1]!thsiFinD("ths_adjustment_nv_fund",B$3,$A309))</f>
        <v/>
      </c>
      <c r="C309" s="13" t="str">
        <f>IF($A309="","",[1]!thsiFinD("ths_adjustment_nv_fund",C$3,$A309))</f>
        <v/>
      </c>
      <c r="D309" s="13" t="str">
        <f>IF($A309="","",[1]!thsiFinD("ths_adjustment_nv_fund",D$3,$A309))</f>
        <v/>
      </c>
      <c r="E309" s="13" t="str">
        <f>IF($A309="","",[1]!thsiFinD("ths_adjustment_nv_fund",E$3,$A309))</f>
        <v/>
      </c>
      <c r="F309" s="13" t="str">
        <f>IF($A309="","",[1]!thsiFinD("ths_adjustment_nv_fund",F$3,$A309))</f>
        <v/>
      </c>
      <c r="G309" s="13" t="str">
        <f>IF($A309="","",[1]!thsiFinD("ths_adjustment_nv_fund",G$3,$A309))</f>
        <v/>
      </c>
      <c r="H309" s="13" t="str">
        <f>IF($A309="","",[1]!thsiFinD("ths_adjustment_nv_fund",H$3,$A309))</f>
        <v/>
      </c>
      <c r="I309" s="13" t="str">
        <f>IF($A309="","",[1]!thsiFinD("ths_adjustment_nv_fund",I$3,$A309))</f>
        <v/>
      </c>
      <c r="J309" s="13" t="str">
        <f>IF($A309="","",[1]!thsiFinD("ths_adjustment_nv_fund",J$3,$A309))</f>
        <v/>
      </c>
      <c r="K309" s="13" t="str">
        <f>IF($A309="","",[1]!thsiFinD("ths_adjustment_nv_fund",K$3,$A309))</f>
        <v/>
      </c>
      <c r="L309" s="13" t="str">
        <f>IF($A309="","",[1]!thsiFinD("ths_adjustment_nv_fund",L$3,$A309))</f>
        <v/>
      </c>
      <c r="M309" s="13" t="str">
        <f>IF($A309="","",[1]!thsiFinD("ths_adjustment_nv_fund",M$3,$A309))</f>
        <v/>
      </c>
      <c r="N309" s="13" t="str">
        <f>IF($A309="","",[1]!thsiFinD("ths_adjustment_nv_fund",N$3,$A309))</f>
        <v/>
      </c>
      <c r="O309" s="13" t="str">
        <f>IF($A309="","",[1]!thsiFinD("ths_adjustment_nv_fund",O$3,$A309))</f>
        <v/>
      </c>
      <c r="P309" s="13" t="str">
        <f>IF($A309="","",[1]!thsiFinD("ths_adjustment_nv_fund",P$3,$A309))</f>
        <v/>
      </c>
      <c r="Q309" s="13" t="str">
        <f>IF($A309="","",[1]!thsiFinD("ths_adjustment_nv_fund",Q$3,$A309))</f>
        <v/>
      </c>
      <c r="R309" s="13" t="str">
        <f>IF($A309="","",[1]!thsiFinD("ths_adjustment_nv_fund",R$3,$A309))</f>
        <v/>
      </c>
      <c r="S309" s="13" t="str">
        <f>IF($A309="","",[1]!thsiFinD("ths_adjustment_nv_fund",S$3,$A309))</f>
        <v/>
      </c>
      <c r="T309" s="13" t="str">
        <f>IF($A309="","",[1]!thsiFinD("ths_adjustment_nv_fund",T$3,$A309))</f>
        <v/>
      </c>
      <c r="U309" s="13" t="str">
        <f>IF($A309="","",[1]!thsiFinD("ths_adjustment_nv_fund",U$3,$A309))</f>
        <v/>
      </c>
      <c r="V309" s="13" t="str">
        <f>IF($A309="","",[1]!thsiFinD("ths_adjustment_nv_fund",V$3,$A309))</f>
        <v/>
      </c>
      <c r="W309" s="13" t="str">
        <f>IF($A309="","",[1]!thsiFinD("ths_adjustment_nv_fund",W$3,$A309))</f>
        <v/>
      </c>
      <c r="X309" s="13" t="str">
        <f>IF($A309="","",[1]!thsiFinD("ths_adjustment_nv_fund",X$3,$A309))</f>
        <v/>
      </c>
      <c r="Y309" s="13" t="str">
        <f>IF($A309="","",[1]!thsiFinD("ths_adjustment_nv_fund",Y$3,$A309))</f>
        <v/>
      </c>
      <c r="Z309" s="13" t="str">
        <f>IF($A309="","",[1]!thsiFinD("ths_adjustment_nv_fund",Z$3,$A309))</f>
        <v/>
      </c>
      <c r="AA309" s="13" t="str">
        <f>IF($A309="","",[1]!thsiFinD("ths_adjustment_nv_fund",AA$3,$A309))</f>
        <v/>
      </c>
      <c r="AB309" s="13">
        <f>IF($A309="","",[1]!thsiFinD("ths_adjustment_nv_fund",AB$3,$A309))</f>
        <v/>
      </c>
      <c r="AC309" s="13">
        <f>IF($A309="","",[1]!thsiFinD("ths_adjustment_nv_fund",AC$3,$A309))</f>
        <v/>
      </c>
      <c r="AD309" s="13">
        <f>IF($A309="","",[1]!thsiFinD("ths_adjustment_nv_fund",AD$3,$A309))</f>
        <v/>
      </c>
      <c r="AE309" s="13">
        <f>IF($A309="","",[1]!thsiFinD("ths_adjustment_nv_fund",AE$3,$A309))</f>
        <v/>
      </c>
      <c r="AF309" s="13">
        <f>IF($A309="","",[1]!thsiFinD("ths_adjustment_nv_fund",AF$3,$A309))</f>
        <v/>
      </c>
      <c r="AG309" s="13">
        <f>IF($A309="","",[1]!thsiFinD("ths_adjustment_nv_fund",AG$3,$A309))</f>
        <v/>
      </c>
      <c r="AH309" s="13">
        <f>IF($A309="","",[1]!thsiFinD("ths_adjustment_nv_fund",AH$3,$A309))</f>
        <v/>
      </c>
      <c r="AI309" s="13">
        <f>IF($A309="","",[1]!thsiFinD("ths_adjustment_nv_fund",AI$3,$A309))</f>
        <v/>
      </c>
      <c r="AJ309" s="13">
        <f>IF($A309="","",[1]!thsiFinD("ths_adjustment_nv_fund",AJ$3,$A309))</f>
        <v/>
      </c>
      <c r="AK309" s="13">
        <f>IF($A309="","",[1]!thsiFinD("ths_adjustment_nv_fund",AK$3,$A309))</f>
        <v/>
      </c>
      <c r="AL309" s="13">
        <f>IF($A309="","",[1]!thsiFinD("ths_adjustment_nv_fund",AL$3,$A309))</f>
        <v/>
      </c>
    </row>
    <row r="310" spans="2:28">
      <c r="B310" s="13" t="str">
        <f>IF($A310="","",[1]!thsiFinD("ths_adjustment_nv_fund",B$3,$A310))</f>
        <v/>
      </c>
      <c r="C310" s="13" t="str">
        <f>IF($A310="","",[1]!thsiFinD("ths_adjustment_nv_fund",C$3,$A310))</f>
        <v/>
      </c>
      <c r="D310" s="13" t="str">
        <f>IF($A310="","",[1]!thsiFinD("ths_adjustment_nv_fund",D$3,$A310))</f>
        <v/>
      </c>
      <c r="E310" s="13" t="str">
        <f>IF($A310="","",[1]!thsiFinD("ths_adjustment_nv_fund",E$3,$A310))</f>
        <v/>
      </c>
      <c r="F310" s="13" t="str">
        <f>IF($A310="","",[1]!thsiFinD("ths_adjustment_nv_fund",F$3,$A310))</f>
        <v/>
      </c>
      <c r="G310" s="13" t="str">
        <f>IF($A310="","",[1]!thsiFinD("ths_adjustment_nv_fund",G$3,$A310))</f>
        <v/>
      </c>
      <c r="H310" s="13" t="str">
        <f>IF($A310="","",[1]!thsiFinD("ths_adjustment_nv_fund",H$3,$A310))</f>
        <v/>
      </c>
      <c r="I310" s="13" t="str">
        <f>IF($A310="","",[1]!thsiFinD("ths_adjustment_nv_fund",I$3,$A310))</f>
        <v/>
      </c>
      <c r="J310" s="13" t="str">
        <f>IF($A310="","",[1]!thsiFinD("ths_adjustment_nv_fund",J$3,$A310))</f>
        <v/>
      </c>
      <c r="K310" s="13" t="str">
        <f>IF($A310="","",[1]!thsiFinD("ths_adjustment_nv_fund",K$3,$A310))</f>
        <v/>
      </c>
      <c r="L310" s="13" t="str">
        <f>IF($A310="","",[1]!thsiFinD("ths_adjustment_nv_fund",L$3,$A310))</f>
        <v/>
      </c>
      <c r="M310" s="13" t="str">
        <f>IF($A310="","",[1]!thsiFinD("ths_adjustment_nv_fund",M$3,$A310))</f>
        <v/>
      </c>
      <c r="N310" s="13" t="str">
        <f>IF($A310="","",[1]!thsiFinD("ths_adjustment_nv_fund",N$3,$A310))</f>
        <v/>
      </c>
      <c r="O310" s="13" t="str">
        <f>IF($A310="","",[1]!thsiFinD("ths_adjustment_nv_fund",O$3,$A310))</f>
        <v/>
      </c>
      <c r="P310" s="13" t="str">
        <f>IF($A310="","",[1]!thsiFinD("ths_adjustment_nv_fund",P$3,$A310))</f>
        <v/>
      </c>
      <c r="Q310" s="13" t="str">
        <f>IF($A310="","",[1]!thsiFinD("ths_adjustment_nv_fund",Q$3,$A310))</f>
        <v/>
      </c>
      <c r="R310" s="13" t="str">
        <f>IF($A310="","",[1]!thsiFinD("ths_adjustment_nv_fund",R$3,$A310))</f>
        <v/>
      </c>
      <c r="S310" s="13" t="str">
        <f>IF($A310="","",[1]!thsiFinD("ths_adjustment_nv_fund",S$3,$A310))</f>
        <v/>
      </c>
      <c r="T310" s="13" t="str">
        <f>IF($A310="","",[1]!thsiFinD("ths_adjustment_nv_fund",T$3,$A310))</f>
        <v/>
      </c>
      <c r="U310" s="13" t="str">
        <f>IF($A310="","",[1]!thsiFinD("ths_adjustment_nv_fund",U$3,$A310))</f>
        <v/>
      </c>
      <c r="V310" s="13" t="str">
        <f>IF($A310="","",[1]!thsiFinD("ths_adjustment_nv_fund",V$3,$A310))</f>
        <v/>
      </c>
      <c r="W310" s="13" t="str">
        <f>IF($A310="","",[1]!thsiFinD("ths_adjustment_nv_fund",W$3,$A310))</f>
        <v/>
      </c>
      <c r="X310" s="13" t="str">
        <f>IF($A310="","",[1]!thsiFinD("ths_adjustment_nv_fund",X$3,$A310))</f>
        <v/>
      </c>
      <c r="Y310" s="13" t="str">
        <f>IF($A310="","",[1]!thsiFinD("ths_adjustment_nv_fund",Y$3,$A310))</f>
        <v/>
      </c>
      <c r="Z310" s="13" t="str">
        <f>IF($A310="","",[1]!thsiFinD("ths_adjustment_nv_fund",Z$3,$A310))</f>
        <v/>
      </c>
      <c r="AA310" s="13" t="str">
        <f>IF($A310="","",[1]!thsiFinD("ths_adjustment_nv_fund",AA$3,$A310))</f>
        <v/>
      </c>
      <c r="AB310" s="13">
        <f>IF($A310="","",[1]!thsiFinD("ths_adjustment_nv_fund",AB$3,$A310))</f>
        <v/>
      </c>
      <c r="AC310" s="13">
        <f>IF($A310="","",[1]!thsiFinD("ths_adjustment_nv_fund",AC$3,$A310))</f>
        <v/>
      </c>
      <c r="AD310" s="13">
        <f>IF($A310="","",[1]!thsiFinD("ths_adjustment_nv_fund",AD$3,$A310))</f>
        <v/>
      </c>
      <c r="AE310" s="13">
        <f>IF($A310="","",[1]!thsiFinD("ths_adjustment_nv_fund",AE$3,$A310))</f>
        <v/>
      </c>
      <c r="AF310" s="13">
        <f>IF($A310="","",[1]!thsiFinD("ths_adjustment_nv_fund",AF$3,$A310))</f>
        <v/>
      </c>
      <c r="AG310" s="13">
        <f>IF($A310="","",[1]!thsiFinD("ths_adjustment_nv_fund",AG$3,$A310))</f>
        <v/>
      </c>
      <c r="AH310" s="13">
        <f>IF($A310="","",[1]!thsiFinD("ths_adjustment_nv_fund",AH$3,$A310))</f>
        <v/>
      </c>
      <c r="AI310" s="13">
        <f>IF($A310="","",[1]!thsiFinD("ths_adjustment_nv_fund",AI$3,$A310))</f>
        <v/>
      </c>
      <c r="AJ310" s="13">
        <f>IF($A310="","",[1]!thsiFinD("ths_adjustment_nv_fund",AJ$3,$A310))</f>
        <v/>
      </c>
      <c r="AK310" s="13">
        <f>IF($A310="","",[1]!thsiFinD("ths_adjustment_nv_fund",AK$3,$A310))</f>
        <v/>
      </c>
      <c r="AL310" s="13">
        <f>IF($A310="","",[1]!thsiFinD("ths_adjustment_nv_fund",AL$3,$A310))</f>
        <v/>
      </c>
    </row>
    <row r="311" spans="2:28">
      <c r="B311" s="13" t="str">
        <f>IF($A311="","",[1]!thsiFinD("ths_adjustment_nv_fund",B$3,$A311))</f>
        <v/>
      </c>
      <c r="C311" s="13" t="str">
        <f>IF($A311="","",[1]!thsiFinD("ths_adjustment_nv_fund",C$3,$A311))</f>
        <v/>
      </c>
      <c r="D311" s="13" t="str">
        <f>IF($A311="","",[1]!thsiFinD("ths_adjustment_nv_fund",D$3,$A311))</f>
        <v/>
      </c>
      <c r="E311" s="13" t="str">
        <f>IF($A311="","",[1]!thsiFinD("ths_adjustment_nv_fund",E$3,$A311))</f>
        <v/>
      </c>
      <c r="F311" s="13" t="str">
        <f>IF($A311="","",[1]!thsiFinD("ths_adjustment_nv_fund",F$3,$A311))</f>
        <v/>
      </c>
      <c r="G311" s="13" t="str">
        <f>IF($A311="","",[1]!thsiFinD("ths_adjustment_nv_fund",G$3,$A311))</f>
        <v/>
      </c>
      <c r="H311" s="13" t="str">
        <f>IF($A311="","",[1]!thsiFinD("ths_adjustment_nv_fund",H$3,$A311))</f>
        <v/>
      </c>
      <c r="I311" s="13" t="str">
        <f>IF($A311="","",[1]!thsiFinD("ths_adjustment_nv_fund",I$3,$A311))</f>
        <v/>
      </c>
      <c r="J311" s="13" t="str">
        <f>IF($A311="","",[1]!thsiFinD("ths_adjustment_nv_fund",J$3,$A311))</f>
        <v/>
      </c>
      <c r="K311" s="13" t="str">
        <f>IF($A311="","",[1]!thsiFinD("ths_adjustment_nv_fund",K$3,$A311))</f>
        <v/>
      </c>
      <c r="L311" s="13" t="str">
        <f>IF($A311="","",[1]!thsiFinD("ths_adjustment_nv_fund",L$3,$A311))</f>
        <v/>
      </c>
      <c r="M311" s="13" t="str">
        <f>IF($A311="","",[1]!thsiFinD("ths_adjustment_nv_fund",M$3,$A311))</f>
        <v/>
      </c>
      <c r="N311" s="13" t="str">
        <f>IF($A311="","",[1]!thsiFinD("ths_adjustment_nv_fund",N$3,$A311))</f>
        <v/>
      </c>
      <c r="O311" s="13" t="str">
        <f>IF($A311="","",[1]!thsiFinD("ths_adjustment_nv_fund",O$3,$A311))</f>
        <v/>
      </c>
      <c r="P311" s="13" t="str">
        <f>IF($A311="","",[1]!thsiFinD("ths_adjustment_nv_fund",P$3,$A311))</f>
        <v/>
      </c>
      <c r="Q311" s="13" t="str">
        <f>IF($A311="","",[1]!thsiFinD("ths_adjustment_nv_fund",Q$3,$A311))</f>
        <v/>
      </c>
      <c r="R311" s="13" t="str">
        <f>IF($A311="","",[1]!thsiFinD("ths_adjustment_nv_fund",R$3,$A311))</f>
        <v/>
      </c>
      <c r="S311" s="13" t="str">
        <f>IF($A311="","",[1]!thsiFinD("ths_adjustment_nv_fund",S$3,$A311))</f>
        <v/>
      </c>
      <c r="T311" s="13" t="str">
        <f>IF($A311="","",[1]!thsiFinD("ths_adjustment_nv_fund",T$3,$A311))</f>
        <v/>
      </c>
      <c r="U311" s="13" t="str">
        <f>IF($A311="","",[1]!thsiFinD("ths_adjustment_nv_fund",U$3,$A311))</f>
        <v/>
      </c>
      <c r="V311" s="13" t="str">
        <f>IF($A311="","",[1]!thsiFinD("ths_adjustment_nv_fund",V$3,$A311))</f>
        <v/>
      </c>
      <c r="W311" s="13" t="str">
        <f>IF($A311="","",[1]!thsiFinD("ths_adjustment_nv_fund",W$3,$A311))</f>
        <v/>
      </c>
      <c r="X311" s="13" t="str">
        <f>IF($A311="","",[1]!thsiFinD("ths_adjustment_nv_fund",X$3,$A311))</f>
        <v/>
      </c>
      <c r="Y311" s="13" t="str">
        <f>IF($A311="","",[1]!thsiFinD("ths_adjustment_nv_fund",Y$3,$A311))</f>
        <v/>
      </c>
      <c r="Z311" s="13" t="str">
        <f>IF($A311="","",[1]!thsiFinD("ths_adjustment_nv_fund",Z$3,$A311))</f>
        <v/>
      </c>
      <c r="AA311" s="13" t="str">
        <f>IF($A311="","",[1]!thsiFinD("ths_adjustment_nv_fund",AA$3,$A311))</f>
        <v/>
      </c>
      <c r="AB311" s="13">
        <f>IF($A311="","",[1]!thsiFinD("ths_adjustment_nv_fund",AB$3,$A311))</f>
        <v/>
      </c>
      <c r="AC311" s="13">
        <f>IF($A311="","",[1]!thsiFinD("ths_adjustment_nv_fund",AC$3,$A311))</f>
        <v/>
      </c>
      <c r="AD311" s="13">
        <f>IF($A311="","",[1]!thsiFinD("ths_adjustment_nv_fund",AD$3,$A311))</f>
        <v/>
      </c>
      <c r="AE311" s="13">
        <f>IF($A311="","",[1]!thsiFinD("ths_adjustment_nv_fund",AE$3,$A311))</f>
        <v/>
      </c>
      <c r="AF311" s="13">
        <f>IF($A311="","",[1]!thsiFinD("ths_adjustment_nv_fund",AF$3,$A311))</f>
        <v/>
      </c>
      <c r="AG311" s="13">
        <f>IF($A311="","",[1]!thsiFinD("ths_adjustment_nv_fund",AG$3,$A311))</f>
        <v/>
      </c>
      <c r="AH311" s="13">
        <f>IF($A311="","",[1]!thsiFinD("ths_adjustment_nv_fund",AH$3,$A311))</f>
        <v/>
      </c>
      <c r="AI311" s="13">
        <f>IF($A311="","",[1]!thsiFinD("ths_adjustment_nv_fund",AI$3,$A311))</f>
        <v/>
      </c>
      <c r="AJ311" s="13">
        <f>IF($A311="","",[1]!thsiFinD("ths_adjustment_nv_fund",AJ$3,$A311))</f>
        <v/>
      </c>
      <c r="AK311" s="13">
        <f>IF($A311="","",[1]!thsiFinD("ths_adjustment_nv_fund",AK$3,$A311))</f>
        <v/>
      </c>
      <c r="AL311" s="13">
        <f>IF($A311="","",[1]!thsiFinD("ths_adjustment_nv_fund",AL$3,$A311))</f>
        <v/>
      </c>
    </row>
    <row r="312" spans="2:28">
      <c r="B312" s="13" t="str">
        <f>IF($A312="","",[1]!thsiFinD("ths_adjustment_nv_fund",B$3,$A312))</f>
        <v/>
      </c>
      <c r="C312" s="13" t="str">
        <f>IF($A312="","",[1]!thsiFinD("ths_adjustment_nv_fund",C$3,$A312))</f>
        <v/>
      </c>
      <c r="D312" s="13" t="str">
        <f>IF($A312="","",[1]!thsiFinD("ths_adjustment_nv_fund",D$3,$A312))</f>
        <v/>
      </c>
      <c r="E312" s="13" t="str">
        <f>IF($A312="","",[1]!thsiFinD("ths_adjustment_nv_fund",E$3,$A312))</f>
        <v/>
      </c>
      <c r="F312" s="13" t="str">
        <f>IF($A312="","",[1]!thsiFinD("ths_adjustment_nv_fund",F$3,$A312))</f>
        <v/>
      </c>
      <c r="G312" s="13" t="str">
        <f>IF($A312="","",[1]!thsiFinD("ths_adjustment_nv_fund",G$3,$A312))</f>
        <v/>
      </c>
      <c r="H312" s="13" t="str">
        <f>IF($A312="","",[1]!thsiFinD("ths_adjustment_nv_fund",H$3,$A312))</f>
        <v/>
      </c>
      <c r="I312" s="13" t="str">
        <f>IF($A312="","",[1]!thsiFinD("ths_adjustment_nv_fund",I$3,$A312))</f>
        <v/>
      </c>
      <c r="J312" s="13" t="str">
        <f>IF($A312="","",[1]!thsiFinD("ths_adjustment_nv_fund",J$3,$A312))</f>
        <v/>
      </c>
      <c r="K312" s="13" t="str">
        <f>IF($A312="","",[1]!thsiFinD("ths_adjustment_nv_fund",K$3,$A312))</f>
        <v/>
      </c>
      <c r="L312" s="13" t="str">
        <f>IF($A312="","",[1]!thsiFinD("ths_adjustment_nv_fund",L$3,$A312))</f>
        <v/>
      </c>
      <c r="M312" s="13" t="str">
        <f>IF($A312="","",[1]!thsiFinD("ths_adjustment_nv_fund",M$3,$A312))</f>
        <v/>
      </c>
      <c r="N312" s="13" t="str">
        <f>IF($A312="","",[1]!thsiFinD("ths_adjustment_nv_fund",N$3,$A312))</f>
        <v/>
      </c>
      <c r="O312" s="13" t="str">
        <f>IF($A312="","",[1]!thsiFinD("ths_adjustment_nv_fund",O$3,$A312))</f>
        <v/>
      </c>
      <c r="P312" s="13" t="str">
        <f>IF($A312="","",[1]!thsiFinD("ths_adjustment_nv_fund",P$3,$A312))</f>
        <v/>
      </c>
      <c r="Q312" s="13" t="str">
        <f>IF($A312="","",[1]!thsiFinD("ths_adjustment_nv_fund",Q$3,$A312))</f>
        <v/>
      </c>
      <c r="R312" s="13" t="str">
        <f>IF($A312="","",[1]!thsiFinD("ths_adjustment_nv_fund",R$3,$A312))</f>
        <v/>
      </c>
      <c r="S312" s="13" t="str">
        <f>IF($A312="","",[1]!thsiFinD("ths_adjustment_nv_fund",S$3,$A312))</f>
        <v/>
      </c>
      <c r="T312" s="13" t="str">
        <f>IF($A312="","",[1]!thsiFinD("ths_adjustment_nv_fund",T$3,$A312))</f>
        <v/>
      </c>
      <c r="U312" s="13" t="str">
        <f>IF($A312="","",[1]!thsiFinD("ths_adjustment_nv_fund",U$3,$A312))</f>
        <v/>
      </c>
      <c r="V312" s="13" t="str">
        <f>IF($A312="","",[1]!thsiFinD("ths_adjustment_nv_fund",V$3,$A312))</f>
        <v/>
      </c>
      <c r="W312" s="13" t="str">
        <f>IF($A312="","",[1]!thsiFinD("ths_adjustment_nv_fund",W$3,$A312))</f>
        <v/>
      </c>
      <c r="X312" s="13" t="str">
        <f>IF($A312="","",[1]!thsiFinD("ths_adjustment_nv_fund",X$3,$A312))</f>
        <v/>
      </c>
      <c r="Y312" s="13" t="str">
        <f>IF($A312="","",[1]!thsiFinD("ths_adjustment_nv_fund",Y$3,$A312))</f>
        <v/>
      </c>
      <c r="Z312" s="13" t="str">
        <f>IF($A312="","",[1]!thsiFinD("ths_adjustment_nv_fund",Z$3,$A312))</f>
        <v/>
      </c>
      <c r="AA312" s="13" t="str">
        <f>IF($A312="","",[1]!thsiFinD("ths_adjustment_nv_fund",AA$3,$A312))</f>
        <v/>
      </c>
      <c r="AB312" s="13">
        <f>IF($A312="","",[1]!thsiFinD("ths_adjustment_nv_fund",AB$3,$A312))</f>
        <v/>
      </c>
      <c r="AC312" s="13">
        <f>IF($A312="","",[1]!thsiFinD("ths_adjustment_nv_fund",AC$3,$A312))</f>
        <v/>
      </c>
      <c r="AD312" s="13">
        <f>IF($A312="","",[1]!thsiFinD("ths_adjustment_nv_fund",AD$3,$A312))</f>
        <v/>
      </c>
      <c r="AE312" s="13">
        <f>IF($A312="","",[1]!thsiFinD("ths_adjustment_nv_fund",AE$3,$A312))</f>
        <v/>
      </c>
      <c r="AF312" s="13">
        <f>IF($A312="","",[1]!thsiFinD("ths_adjustment_nv_fund",AF$3,$A312))</f>
        <v/>
      </c>
      <c r="AG312" s="13">
        <f>IF($A312="","",[1]!thsiFinD("ths_adjustment_nv_fund",AG$3,$A312))</f>
        <v/>
      </c>
      <c r="AH312" s="13">
        <f>IF($A312="","",[1]!thsiFinD("ths_adjustment_nv_fund",AH$3,$A312))</f>
        <v/>
      </c>
      <c r="AI312" s="13">
        <f>IF($A312="","",[1]!thsiFinD("ths_adjustment_nv_fund",AI$3,$A312))</f>
        <v/>
      </c>
      <c r="AJ312" s="13">
        <f>IF($A312="","",[1]!thsiFinD("ths_adjustment_nv_fund",AJ$3,$A312))</f>
        <v/>
      </c>
      <c r="AK312" s="13">
        <f>IF($A312="","",[1]!thsiFinD("ths_adjustment_nv_fund",AK$3,$A312))</f>
        <v/>
      </c>
      <c r="AL312" s="13">
        <f>IF($A312="","",[1]!thsiFinD("ths_adjustment_nv_fund",AL$3,$A312))</f>
        <v/>
      </c>
    </row>
    <row r="313" spans="2:28">
      <c r="B313" s="13" t="str">
        <f>IF($A313="","",[1]!thsiFinD("ths_adjustment_nv_fund",B$3,$A313))</f>
        <v/>
      </c>
      <c r="C313" s="13" t="str">
        <f>IF($A313="","",[1]!thsiFinD("ths_adjustment_nv_fund",C$3,$A313))</f>
        <v/>
      </c>
      <c r="D313" s="13" t="str">
        <f>IF($A313="","",[1]!thsiFinD("ths_adjustment_nv_fund",D$3,$A313))</f>
        <v/>
      </c>
      <c r="E313" s="13" t="str">
        <f>IF($A313="","",[1]!thsiFinD("ths_adjustment_nv_fund",E$3,$A313))</f>
        <v/>
      </c>
      <c r="F313" s="13" t="str">
        <f>IF($A313="","",[1]!thsiFinD("ths_adjustment_nv_fund",F$3,$A313))</f>
        <v/>
      </c>
      <c r="G313" s="13" t="str">
        <f>IF($A313="","",[1]!thsiFinD("ths_adjustment_nv_fund",G$3,$A313))</f>
        <v/>
      </c>
      <c r="H313" s="13" t="str">
        <f>IF($A313="","",[1]!thsiFinD("ths_adjustment_nv_fund",H$3,$A313))</f>
        <v/>
      </c>
      <c r="I313" s="13" t="str">
        <f>IF($A313="","",[1]!thsiFinD("ths_adjustment_nv_fund",I$3,$A313))</f>
        <v/>
      </c>
      <c r="J313" s="13" t="str">
        <f>IF($A313="","",[1]!thsiFinD("ths_adjustment_nv_fund",J$3,$A313))</f>
        <v/>
      </c>
      <c r="K313" s="13" t="str">
        <f>IF($A313="","",[1]!thsiFinD("ths_adjustment_nv_fund",K$3,$A313))</f>
        <v/>
      </c>
      <c r="L313" s="13" t="str">
        <f>IF($A313="","",[1]!thsiFinD("ths_adjustment_nv_fund",L$3,$A313))</f>
        <v/>
      </c>
      <c r="M313" s="13" t="str">
        <f>IF($A313="","",[1]!thsiFinD("ths_adjustment_nv_fund",M$3,$A313))</f>
        <v/>
      </c>
      <c r="N313" s="13" t="str">
        <f>IF($A313="","",[1]!thsiFinD("ths_adjustment_nv_fund",N$3,$A313))</f>
        <v/>
      </c>
      <c r="O313" s="13" t="str">
        <f>IF($A313="","",[1]!thsiFinD("ths_adjustment_nv_fund",O$3,$A313))</f>
        <v/>
      </c>
      <c r="P313" s="13" t="str">
        <f>IF($A313="","",[1]!thsiFinD("ths_adjustment_nv_fund",P$3,$A313))</f>
        <v/>
      </c>
      <c r="Q313" s="13" t="str">
        <f>IF($A313="","",[1]!thsiFinD("ths_adjustment_nv_fund",Q$3,$A313))</f>
        <v/>
      </c>
      <c r="R313" s="13" t="str">
        <f>IF($A313="","",[1]!thsiFinD("ths_adjustment_nv_fund",R$3,$A313))</f>
        <v/>
      </c>
      <c r="S313" s="13" t="str">
        <f>IF($A313="","",[1]!thsiFinD("ths_adjustment_nv_fund",S$3,$A313))</f>
        <v/>
      </c>
      <c r="T313" s="13" t="str">
        <f>IF($A313="","",[1]!thsiFinD("ths_adjustment_nv_fund",T$3,$A313))</f>
        <v/>
      </c>
      <c r="U313" s="13" t="str">
        <f>IF($A313="","",[1]!thsiFinD("ths_adjustment_nv_fund",U$3,$A313))</f>
        <v/>
      </c>
      <c r="V313" s="13" t="str">
        <f>IF($A313="","",[1]!thsiFinD("ths_adjustment_nv_fund",V$3,$A313))</f>
        <v/>
      </c>
      <c r="W313" s="13" t="str">
        <f>IF($A313="","",[1]!thsiFinD("ths_adjustment_nv_fund",W$3,$A313))</f>
        <v/>
      </c>
      <c r="X313" s="13" t="str">
        <f>IF($A313="","",[1]!thsiFinD("ths_adjustment_nv_fund",X$3,$A313))</f>
        <v/>
      </c>
      <c r="Y313" s="13" t="str">
        <f>IF($A313="","",[1]!thsiFinD("ths_adjustment_nv_fund",Y$3,$A313))</f>
        <v/>
      </c>
      <c r="Z313" s="13" t="str">
        <f>IF($A313="","",[1]!thsiFinD("ths_adjustment_nv_fund",Z$3,$A313))</f>
        <v/>
      </c>
      <c r="AA313" s="13" t="str">
        <f>IF($A313="","",[1]!thsiFinD("ths_adjustment_nv_fund",AA$3,$A313))</f>
        <v/>
      </c>
      <c r="AB313" s="13">
        <f>IF($A313="","",[1]!thsiFinD("ths_adjustment_nv_fund",AB$3,$A313))</f>
        <v/>
      </c>
      <c r="AC313" s="13">
        <f>IF($A313="","",[1]!thsiFinD("ths_adjustment_nv_fund",AC$3,$A313))</f>
        <v/>
      </c>
      <c r="AD313" s="13">
        <f>IF($A313="","",[1]!thsiFinD("ths_adjustment_nv_fund",AD$3,$A313))</f>
        <v/>
      </c>
      <c r="AE313" s="13">
        <f>IF($A313="","",[1]!thsiFinD("ths_adjustment_nv_fund",AE$3,$A313))</f>
        <v/>
      </c>
      <c r="AF313" s="13">
        <f>IF($A313="","",[1]!thsiFinD("ths_adjustment_nv_fund",AF$3,$A313))</f>
        <v/>
      </c>
      <c r="AG313" s="13">
        <f>IF($A313="","",[1]!thsiFinD("ths_adjustment_nv_fund",AG$3,$A313))</f>
        <v/>
      </c>
      <c r="AH313" s="13">
        <f>IF($A313="","",[1]!thsiFinD("ths_adjustment_nv_fund",AH$3,$A313))</f>
        <v/>
      </c>
      <c r="AI313" s="13">
        <f>IF($A313="","",[1]!thsiFinD("ths_adjustment_nv_fund",AI$3,$A313))</f>
        <v/>
      </c>
      <c r="AJ313" s="13">
        <f>IF($A313="","",[1]!thsiFinD("ths_adjustment_nv_fund",AJ$3,$A313))</f>
        <v/>
      </c>
      <c r="AK313" s="13">
        <f>IF($A313="","",[1]!thsiFinD("ths_adjustment_nv_fund",AK$3,$A313))</f>
        <v/>
      </c>
      <c r="AL313" s="13">
        <f>IF($A313="","",[1]!thsiFinD("ths_adjustment_nv_fund",AL$3,$A313))</f>
        <v/>
      </c>
    </row>
    <row r="314" spans="2:28">
      <c r="B314" s="13" t="str">
        <f>IF($A314="","",[1]!thsiFinD("ths_adjustment_nv_fund",B$3,$A314))</f>
        <v/>
      </c>
      <c r="C314" s="13" t="str">
        <f>IF($A314="","",[1]!thsiFinD("ths_adjustment_nv_fund",C$3,$A314))</f>
        <v/>
      </c>
      <c r="D314" s="13" t="str">
        <f>IF($A314="","",[1]!thsiFinD("ths_adjustment_nv_fund",D$3,$A314))</f>
        <v/>
      </c>
      <c r="E314" s="13" t="str">
        <f>IF($A314="","",[1]!thsiFinD("ths_adjustment_nv_fund",E$3,$A314))</f>
        <v/>
      </c>
      <c r="F314" s="13" t="str">
        <f>IF($A314="","",[1]!thsiFinD("ths_adjustment_nv_fund",F$3,$A314))</f>
        <v/>
      </c>
      <c r="G314" s="13" t="str">
        <f>IF($A314="","",[1]!thsiFinD("ths_adjustment_nv_fund",G$3,$A314))</f>
        <v/>
      </c>
      <c r="H314" s="13" t="str">
        <f>IF($A314="","",[1]!thsiFinD("ths_adjustment_nv_fund",H$3,$A314))</f>
        <v/>
      </c>
      <c r="I314" s="13" t="str">
        <f>IF($A314="","",[1]!thsiFinD("ths_adjustment_nv_fund",I$3,$A314))</f>
        <v/>
      </c>
      <c r="J314" s="13" t="str">
        <f>IF($A314="","",[1]!thsiFinD("ths_adjustment_nv_fund",J$3,$A314))</f>
        <v/>
      </c>
      <c r="K314" s="13" t="str">
        <f>IF($A314="","",[1]!thsiFinD("ths_adjustment_nv_fund",K$3,$A314))</f>
        <v/>
      </c>
      <c r="L314" s="13" t="str">
        <f>IF($A314="","",[1]!thsiFinD("ths_adjustment_nv_fund",L$3,$A314))</f>
        <v/>
      </c>
      <c r="M314" s="13" t="str">
        <f>IF($A314="","",[1]!thsiFinD("ths_adjustment_nv_fund",M$3,$A314))</f>
        <v/>
      </c>
      <c r="N314" s="13" t="str">
        <f>IF($A314="","",[1]!thsiFinD("ths_adjustment_nv_fund",N$3,$A314))</f>
        <v/>
      </c>
      <c r="O314" s="13" t="str">
        <f>IF($A314="","",[1]!thsiFinD("ths_adjustment_nv_fund",O$3,$A314))</f>
        <v/>
      </c>
      <c r="P314" s="13" t="str">
        <f>IF($A314="","",[1]!thsiFinD("ths_adjustment_nv_fund",P$3,$A314))</f>
        <v/>
      </c>
      <c r="Q314" s="13" t="str">
        <f>IF($A314="","",[1]!thsiFinD("ths_adjustment_nv_fund",Q$3,$A314))</f>
        <v/>
      </c>
      <c r="R314" s="13" t="str">
        <f>IF($A314="","",[1]!thsiFinD("ths_adjustment_nv_fund",R$3,$A314))</f>
        <v/>
      </c>
      <c r="S314" s="13" t="str">
        <f>IF($A314="","",[1]!thsiFinD("ths_adjustment_nv_fund",S$3,$A314))</f>
        <v/>
      </c>
      <c r="T314" s="13" t="str">
        <f>IF($A314="","",[1]!thsiFinD("ths_adjustment_nv_fund",T$3,$A314))</f>
        <v/>
      </c>
      <c r="U314" s="13" t="str">
        <f>IF($A314="","",[1]!thsiFinD("ths_adjustment_nv_fund",U$3,$A314))</f>
        <v/>
      </c>
      <c r="V314" s="13" t="str">
        <f>IF($A314="","",[1]!thsiFinD("ths_adjustment_nv_fund",V$3,$A314))</f>
        <v/>
      </c>
      <c r="W314" s="13" t="str">
        <f>IF($A314="","",[1]!thsiFinD("ths_adjustment_nv_fund",W$3,$A314))</f>
        <v/>
      </c>
      <c r="X314" s="13" t="str">
        <f>IF($A314="","",[1]!thsiFinD("ths_adjustment_nv_fund",X$3,$A314))</f>
        <v/>
      </c>
      <c r="Y314" s="13" t="str">
        <f>IF($A314="","",[1]!thsiFinD("ths_adjustment_nv_fund",Y$3,$A314))</f>
        <v/>
      </c>
      <c r="Z314" s="13" t="str">
        <f>IF($A314="","",[1]!thsiFinD("ths_adjustment_nv_fund",Z$3,$A314))</f>
        <v/>
      </c>
      <c r="AA314" s="13" t="str">
        <f>IF($A314="","",[1]!thsiFinD("ths_adjustment_nv_fund",AA$3,$A314))</f>
        <v/>
      </c>
      <c r="AB314" s="13">
        <f>IF($A314="","",[1]!thsiFinD("ths_adjustment_nv_fund",AB$3,$A314))</f>
        <v/>
      </c>
      <c r="AC314" s="13">
        <f>IF($A314="","",[1]!thsiFinD("ths_adjustment_nv_fund",AC$3,$A314))</f>
        <v/>
      </c>
      <c r="AD314" s="13">
        <f>IF($A314="","",[1]!thsiFinD("ths_adjustment_nv_fund",AD$3,$A314))</f>
        <v/>
      </c>
      <c r="AE314" s="13">
        <f>IF($A314="","",[1]!thsiFinD("ths_adjustment_nv_fund",AE$3,$A314))</f>
        <v/>
      </c>
      <c r="AF314" s="13">
        <f>IF($A314="","",[1]!thsiFinD("ths_adjustment_nv_fund",AF$3,$A314))</f>
        <v/>
      </c>
      <c r="AG314" s="13">
        <f>IF($A314="","",[1]!thsiFinD("ths_adjustment_nv_fund",AG$3,$A314))</f>
        <v/>
      </c>
      <c r="AH314" s="13">
        <f>IF($A314="","",[1]!thsiFinD("ths_adjustment_nv_fund",AH$3,$A314))</f>
        <v/>
      </c>
      <c r="AI314" s="13">
        <f>IF($A314="","",[1]!thsiFinD("ths_adjustment_nv_fund",AI$3,$A314))</f>
        <v/>
      </c>
      <c r="AJ314" s="13">
        <f>IF($A314="","",[1]!thsiFinD("ths_adjustment_nv_fund",AJ$3,$A314))</f>
        <v/>
      </c>
      <c r="AK314" s="13">
        <f>IF($A314="","",[1]!thsiFinD("ths_adjustment_nv_fund",AK$3,$A314))</f>
        <v/>
      </c>
      <c r="AL314" s="13">
        <f>IF($A314="","",[1]!thsiFinD("ths_adjustment_nv_fund",AL$3,$A314))</f>
        <v/>
      </c>
    </row>
    <row r="315" spans="2:28">
      <c r="B315" s="13" t="str">
        <f>IF($A315="","",[1]!thsiFinD("ths_adjustment_nv_fund",B$3,$A315))</f>
        <v/>
      </c>
      <c r="C315" s="13" t="str">
        <f>IF($A315="","",[1]!thsiFinD("ths_adjustment_nv_fund",C$3,$A315))</f>
        <v/>
      </c>
      <c r="D315" s="13" t="str">
        <f>IF($A315="","",[1]!thsiFinD("ths_adjustment_nv_fund",D$3,$A315))</f>
        <v/>
      </c>
      <c r="E315" s="13" t="str">
        <f>IF($A315="","",[1]!thsiFinD("ths_adjustment_nv_fund",E$3,$A315))</f>
        <v/>
      </c>
      <c r="F315" s="13" t="str">
        <f>IF($A315="","",[1]!thsiFinD("ths_adjustment_nv_fund",F$3,$A315))</f>
        <v/>
      </c>
      <c r="G315" s="13" t="str">
        <f>IF($A315="","",[1]!thsiFinD("ths_adjustment_nv_fund",G$3,$A315))</f>
        <v/>
      </c>
      <c r="H315" s="13" t="str">
        <f>IF($A315="","",[1]!thsiFinD("ths_adjustment_nv_fund",H$3,$A315))</f>
        <v/>
      </c>
      <c r="I315" s="13" t="str">
        <f>IF($A315="","",[1]!thsiFinD("ths_adjustment_nv_fund",I$3,$A315))</f>
        <v/>
      </c>
      <c r="J315" s="13" t="str">
        <f>IF($A315="","",[1]!thsiFinD("ths_adjustment_nv_fund",J$3,$A315))</f>
        <v/>
      </c>
      <c r="K315" s="13" t="str">
        <f>IF($A315="","",[1]!thsiFinD("ths_adjustment_nv_fund",K$3,$A315))</f>
        <v/>
      </c>
      <c r="L315" s="13" t="str">
        <f>IF($A315="","",[1]!thsiFinD("ths_adjustment_nv_fund",L$3,$A315))</f>
        <v/>
      </c>
      <c r="M315" s="13" t="str">
        <f>IF($A315="","",[1]!thsiFinD("ths_adjustment_nv_fund",M$3,$A315))</f>
        <v/>
      </c>
      <c r="N315" s="13" t="str">
        <f>IF($A315="","",[1]!thsiFinD("ths_adjustment_nv_fund",N$3,$A315))</f>
        <v/>
      </c>
      <c r="O315" s="13" t="str">
        <f>IF($A315="","",[1]!thsiFinD("ths_adjustment_nv_fund",O$3,$A315))</f>
        <v/>
      </c>
      <c r="P315" s="13" t="str">
        <f>IF($A315="","",[1]!thsiFinD("ths_adjustment_nv_fund",P$3,$A315))</f>
        <v/>
      </c>
      <c r="Q315" s="13" t="str">
        <f>IF($A315="","",[1]!thsiFinD("ths_adjustment_nv_fund",Q$3,$A315))</f>
        <v/>
      </c>
      <c r="R315" s="13" t="str">
        <f>IF($A315="","",[1]!thsiFinD("ths_adjustment_nv_fund",R$3,$A315))</f>
        <v/>
      </c>
      <c r="S315" s="13" t="str">
        <f>IF($A315="","",[1]!thsiFinD("ths_adjustment_nv_fund",S$3,$A315))</f>
        <v/>
      </c>
      <c r="T315" s="13" t="str">
        <f>IF($A315="","",[1]!thsiFinD("ths_adjustment_nv_fund",T$3,$A315))</f>
        <v/>
      </c>
      <c r="U315" s="13" t="str">
        <f>IF($A315="","",[1]!thsiFinD("ths_adjustment_nv_fund",U$3,$A315))</f>
        <v/>
      </c>
      <c r="V315" s="13" t="str">
        <f>IF($A315="","",[1]!thsiFinD("ths_adjustment_nv_fund",V$3,$A315))</f>
        <v/>
      </c>
      <c r="W315" s="13" t="str">
        <f>IF($A315="","",[1]!thsiFinD("ths_adjustment_nv_fund",W$3,$A315))</f>
        <v/>
      </c>
      <c r="X315" s="13" t="str">
        <f>IF($A315="","",[1]!thsiFinD("ths_adjustment_nv_fund",X$3,$A315))</f>
        <v/>
      </c>
      <c r="Y315" s="13" t="str">
        <f>IF($A315="","",[1]!thsiFinD("ths_adjustment_nv_fund",Y$3,$A315))</f>
        <v/>
      </c>
      <c r="Z315" s="13" t="str">
        <f>IF($A315="","",[1]!thsiFinD("ths_adjustment_nv_fund",Z$3,$A315))</f>
        <v/>
      </c>
      <c r="AA315" s="13" t="str">
        <f>IF($A315="","",[1]!thsiFinD("ths_adjustment_nv_fund",AA$3,$A315))</f>
        <v/>
      </c>
      <c r="AB315" s="13">
        <f>IF($A315="","",[1]!thsiFinD("ths_adjustment_nv_fund",AB$3,$A315))</f>
        <v/>
      </c>
      <c r="AC315" s="13">
        <f>IF($A315="","",[1]!thsiFinD("ths_adjustment_nv_fund",AC$3,$A315))</f>
        <v/>
      </c>
      <c r="AD315" s="13">
        <f>IF($A315="","",[1]!thsiFinD("ths_adjustment_nv_fund",AD$3,$A315))</f>
        <v/>
      </c>
      <c r="AE315" s="13">
        <f>IF($A315="","",[1]!thsiFinD("ths_adjustment_nv_fund",AE$3,$A315))</f>
        <v/>
      </c>
      <c r="AF315" s="13">
        <f>IF($A315="","",[1]!thsiFinD("ths_adjustment_nv_fund",AF$3,$A315))</f>
        <v/>
      </c>
      <c r="AG315" s="13">
        <f>IF($A315="","",[1]!thsiFinD("ths_adjustment_nv_fund",AG$3,$A315))</f>
        <v/>
      </c>
      <c r="AH315" s="13">
        <f>IF($A315="","",[1]!thsiFinD("ths_adjustment_nv_fund",AH$3,$A315))</f>
        <v/>
      </c>
      <c r="AI315" s="13">
        <f>IF($A315="","",[1]!thsiFinD("ths_adjustment_nv_fund",AI$3,$A315))</f>
        <v/>
      </c>
      <c r="AJ315" s="13">
        <f>IF($A315="","",[1]!thsiFinD("ths_adjustment_nv_fund",AJ$3,$A315))</f>
        <v/>
      </c>
      <c r="AK315" s="13">
        <f>IF($A315="","",[1]!thsiFinD("ths_adjustment_nv_fund",AK$3,$A315))</f>
        <v/>
      </c>
      <c r="AL315" s="13">
        <f>IF($A315="","",[1]!thsiFinD("ths_adjustment_nv_fund",AL$3,$A315))</f>
        <v/>
      </c>
    </row>
    <row r="316" spans="2:28">
      <c r="B316" s="13" t="str">
        <f>IF($A316="","",[1]!thsiFinD("ths_adjustment_nv_fund",B$3,$A316))</f>
        <v/>
      </c>
      <c r="C316" s="13" t="str">
        <f>IF($A316="","",[1]!thsiFinD("ths_adjustment_nv_fund",C$3,$A316))</f>
        <v/>
      </c>
      <c r="D316" s="13" t="str">
        <f>IF($A316="","",[1]!thsiFinD("ths_adjustment_nv_fund",D$3,$A316))</f>
        <v/>
      </c>
      <c r="E316" s="13" t="str">
        <f>IF($A316="","",[1]!thsiFinD("ths_adjustment_nv_fund",E$3,$A316))</f>
        <v/>
      </c>
      <c r="F316" s="13" t="str">
        <f>IF($A316="","",[1]!thsiFinD("ths_adjustment_nv_fund",F$3,$A316))</f>
        <v/>
      </c>
      <c r="G316" s="13" t="str">
        <f>IF($A316="","",[1]!thsiFinD("ths_adjustment_nv_fund",G$3,$A316))</f>
        <v/>
      </c>
      <c r="H316" s="13" t="str">
        <f>IF($A316="","",[1]!thsiFinD("ths_adjustment_nv_fund",H$3,$A316))</f>
        <v/>
      </c>
      <c r="I316" s="13" t="str">
        <f>IF($A316="","",[1]!thsiFinD("ths_adjustment_nv_fund",I$3,$A316))</f>
        <v/>
      </c>
      <c r="J316" s="13" t="str">
        <f>IF($A316="","",[1]!thsiFinD("ths_adjustment_nv_fund",J$3,$A316))</f>
        <v/>
      </c>
      <c r="K316" s="13" t="str">
        <f>IF($A316="","",[1]!thsiFinD("ths_adjustment_nv_fund",K$3,$A316))</f>
        <v/>
      </c>
      <c r="L316" s="13" t="str">
        <f>IF($A316="","",[1]!thsiFinD("ths_adjustment_nv_fund",L$3,$A316))</f>
        <v/>
      </c>
      <c r="M316" s="13" t="str">
        <f>IF($A316="","",[1]!thsiFinD("ths_adjustment_nv_fund",M$3,$A316))</f>
        <v/>
      </c>
      <c r="N316" s="13" t="str">
        <f>IF($A316="","",[1]!thsiFinD("ths_adjustment_nv_fund",N$3,$A316))</f>
        <v/>
      </c>
      <c r="O316" s="13" t="str">
        <f>IF($A316="","",[1]!thsiFinD("ths_adjustment_nv_fund",O$3,$A316))</f>
        <v/>
      </c>
      <c r="P316" s="13" t="str">
        <f>IF($A316="","",[1]!thsiFinD("ths_adjustment_nv_fund",P$3,$A316))</f>
        <v/>
      </c>
      <c r="Q316" s="13" t="str">
        <f>IF($A316="","",[1]!thsiFinD("ths_adjustment_nv_fund",Q$3,$A316))</f>
        <v/>
      </c>
      <c r="R316" s="13" t="str">
        <f>IF($A316="","",[1]!thsiFinD("ths_adjustment_nv_fund",R$3,$A316))</f>
        <v/>
      </c>
      <c r="S316" s="13" t="str">
        <f>IF($A316="","",[1]!thsiFinD("ths_adjustment_nv_fund",S$3,$A316))</f>
        <v/>
      </c>
      <c r="T316" s="13" t="str">
        <f>IF($A316="","",[1]!thsiFinD("ths_adjustment_nv_fund",T$3,$A316))</f>
        <v/>
      </c>
      <c r="U316" s="13" t="str">
        <f>IF($A316="","",[1]!thsiFinD("ths_adjustment_nv_fund",U$3,$A316))</f>
        <v/>
      </c>
      <c r="V316" s="13" t="str">
        <f>IF($A316="","",[1]!thsiFinD("ths_adjustment_nv_fund",V$3,$A316))</f>
        <v/>
      </c>
      <c r="W316" s="13" t="str">
        <f>IF($A316="","",[1]!thsiFinD("ths_adjustment_nv_fund",W$3,$A316))</f>
        <v/>
      </c>
      <c r="X316" s="13" t="str">
        <f>IF($A316="","",[1]!thsiFinD("ths_adjustment_nv_fund",X$3,$A316))</f>
        <v/>
      </c>
      <c r="Y316" s="13" t="str">
        <f>IF($A316="","",[1]!thsiFinD("ths_adjustment_nv_fund",Y$3,$A316))</f>
        <v/>
      </c>
      <c r="Z316" s="13" t="str">
        <f>IF($A316="","",[1]!thsiFinD("ths_adjustment_nv_fund",Z$3,$A316))</f>
        <v/>
      </c>
      <c r="AA316" s="13" t="str">
        <f>IF($A316="","",[1]!thsiFinD("ths_adjustment_nv_fund",AA$3,$A316))</f>
        <v/>
      </c>
      <c r="AB316" s="13">
        <f>IF($A316="","",[1]!thsiFinD("ths_adjustment_nv_fund",AB$3,$A316))</f>
        <v/>
      </c>
      <c r="AC316" s="13">
        <f>IF($A316="","",[1]!thsiFinD("ths_adjustment_nv_fund",AC$3,$A316))</f>
        <v/>
      </c>
      <c r="AD316" s="13">
        <f>IF($A316="","",[1]!thsiFinD("ths_adjustment_nv_fund",AD$3,$A316))</f>
        <v/>
      </c>
      <c r="AE316" s="13">
        <f>IF($A316="","",[1]!thsiFinD("ths_adjustment_nv_fund",AE$3,$A316))</f>
        <v/>
      </c>
      <c r="AF316" s="13">
        <f>IF($A316="","",[1]!thsiFinD("ths_adjustment_nv_fund",AF$3,$A316))</f>
        <v/>
      </c>
      <c r="AG316" s="13">
        <f>IF($A316="","",[1]!thsiFinD("ths_adjustment_nv_fund",AG$3,$A316))</f>
        <v/>
      </c>
      <c r="AH316" s="13">
        <f>IF($A316="","",[1]!thsiFinD("ths_adjustment_nv_fund",AH$3,$A316))</f>
        <v/>
      </c>
      <c r="AI316" s="13">
        <f>IF($A316="","",[1]!thsiFinD("ths_adjustment_nv_fund",AI$3,$A316))</f>
        <v/>
      </c>
      <c r="AJ316" s="13">
        <f>IF($A316="","",[1]!thsiFinD("ths_adjustment_nv_fund",AJ$3,$A316))</f>
        <v/>
      </c>
      <c r="AK316" s="13">
        <f>IF($A316="","",[1]!thsiFinD("ths_adjustment_nv_fund",AK$3,$A316))</f>
        <v/>
      </c>
      <c r="AL316" s="13">
        <f>IF($A316="","",[1]!thsiFinD("ths_adjustment_nv_fund",AL$3,$A316))</f>
        <v/>
      </c>
    </row>
    <row r="317" spans="2:28">
      <c r="B317" s="13" t="str">
        <f>IF($A317="","",[1]!thsiFinD("ths_adjustment_nv_fund",B$3,$A317))</f>
        <v/>
      </c>
      <c r="C317" s="13" t="str">
        <f>IF($A317="","",[1]!thsiFinD("ths_adjustment_nv_fund",C$3,$A317))</f>
        <v/>
      </c>
      <c r="D317" s="13" t="str">
        <f>IF($A317="","",[1]!thsiFinD("ths_adjustment_nv_fund",D$3,$A317))</f>
        <v/>
      </c>
      <c r="E317" s="13" t="str">
        <f>IF($A317="","",[1]!thsiFinD("ths_adjustment_nv_fund",E$3,$A317))</f>
        <v/>
      </c>
      <c r="F317" s="13" t="str">
        <f>IF($A317="","",[1]!thsiFinD("ths_adjustment_nv_fund",F$3,$A317))</f>
        <v/>
      </c>
      <c r="G317" s="13" t="str">
        <f>IF($A317="","",[1]!thsiFinD("ths_adjustment_nv_fund",G$3,$A317))</f>
        <v/>
      </c>
      <c r="H317" s="13" t="str">
        <f>IF($A317="","",[1]!thsiFinD("ths_adjustment_nv_fund",H$3,$A317))</f>
        <v/>
      </c>
      <c r="I317" s="13" t="str">
        <f>IF($A317="","",[1]!thsiFinD("ths_adjustment_nv_fund",I$3,$A317))</f>
        <v/>
      </c>
      <c r="J317" s="13" t="str">
        <f>IF($A317="","",[1]!thsiFinD("ths_adjustment_nv_fund",J$3,$A317))</f>
        <v/>
      </c>
      <c r="K317" s="13" t="str">
        <f>IF($A317="","",[1]!thsiFinD("ths_adjustment_nv_fund",K$3,$A317))</f>
        <v/>
      </c>
      <c r="L317" s="13" t="str">
        <f>IF($A317="","",[1]!thsiFinD("ths_adjustment_nv_fund",L$3,$A317))</f>
        <v/>
      </c>
      <c r="M317" s="13" t="str">
        <f>IF($A317="","",[1]!thsiFinD("ths_adjustment_nv_fund",M$3,$A317))</f>
        <v/>
      </c>
      <c r="N317" s="13" t="str">
        <f>IF($A317="","",[1]!thsiFinD("ths_adjustment_nv_fund",N$3,$A317))</f>
        <v/>
      </c>
      <c r="O317" s="13" t="str">
        <f>IF($A317="","",[1]!thsiFinD("ths_adjustment_nv_fund",O$3,$A317))</f>
        <v/>
      </c>
      <c r="P317" s="13" t="str">
        <f>IF($A317="","",[1]!thsiFinD("ths_adjustment_nv_fund",P$3,$A317))</f>
        <v/>
      </c>
      <c r="Q317" s="13" t="str">
        <f>IF($A317="","",[1]!thsiFinD("ths_adjustment_nv_fund",Q$3,$A317))</f>
        <v/>
      </c>
      <c r="R317" s="13" t="str">
        <f>IF($A317="","",[1]!thsiFinD("ths_adjustment_nv_fund",R$3,$A317))</f>
        <v/>
      </c>
      <c r="S317" s="13" t="str">
        <f>IF($A317="","",[1]!thsiFinD("ths_adjustment_nv_fund",S$3,$A317))</f>
        <v/>
      </c>
      <c r="T317" s="13" t="str">
        <f>IF($A317="","",[1]!thsiFinD("ths_adjustment_nv_fund",T$3,$A317))</f>
        <v/>
      </c>
      <c r="U317" s="13" t="str">
        <f>IF($A317="","",[1]!thsiFinD("ths_adjustment_nv_fund",U$3,$A317))</f>
        <v/>
      </c>
      <c r="V317" s="13" t="str">
        <f>IF($A317="","",[1]!thsiFinD("ths_adjustment_nv_fund",V$3,$A317))</f>
        <v/>
      </c>
      <c r="W317" s="13" t="str">
        <f>IF($A317="","",[1]!thsiFinD("ths_adjustment_nv_fund",W$3,$A317))</f>
        <v/>
      </c>
      <c r="X317" s="13" t="str">
        <f>IF($A317="","",[1]!thsiFinD("ths_adjustment_nv_fund",X$3,$A317))</f>
        <v/>
      </c>
      <c r="Y317" s="13" t="str">
        <f>IF($A317="","",[1]!thsiFinD("ths_adjustment_nv_fund",Y$3,$A317))</f>
        <v/>
      </c>
      <c r="Z317" s="13" t="str">
        <f>IF($A317="","",[1]!thsiFinD("ths_adjustment_nv_fund",Z$3,$A317))</f>
        <v/>
      </c>
      <c r="AA317" s="13" t="str">
        <f>IF($A317="","",[1]!thsiFinD("ths_adjustment_nv_fund",AA$3,$A317))</f>
        <v/>
      </c>
      <c r="AB317" s="13">
        <f>IF($A317="","",[1]!thsiFinD("ths_adjustment_nv_fund",AB$3,$A317))</f>
        <v/>
      </c>
      <c r="AC317" s="13">
        <f>IF($A317="","",[1]!thsiFinD("ths_adjustment_nv_fund",AC$3,$A317))</f>
        <v/>
      </c>
      <c r="AD317" s="13">
        <f>IF($A317="","",[1]!thsiFinD("ths_adjustment_nv_fund",AD$3,$A317))</f>
        <v/>
      </c>
      <c r="AE317" s="13">
        <f>IF($A317="","",[1]!thsiFinD("ths_adjustment_nv_fund",AE$3,$A317))</f>
        <v/>
      </c>
      <c r="AF317" s="13">
        <f>IF($A317="","",[1]!thsiFinD("ths_adjustment_nv_fund",AF$3,$A317))</f>
        <v/>
      </c>
      <c r="AG317" s="13">
        <f>IF($A317="","",[1]!thsiFinD("ths_adjustment_nv_fund",AG$3,$A317))</f>
        <v/>
      </c>
      <c r="AH317" s="13">
        <f>IF($A317="","",[1]!thsiFinD("ths_adjustment_nv_fund",AH$3,$A317))</f>
        <v/>
      </c>
      <c r="AI317" s="13">
        <f>IF($A317="","",[1]!thsiFinD("ths_adjustment_nv_fund",AI$3,$A317))</f>
        <v/>
      </c>
      <c r="AJ317" s="13">
        <f>IF($A317="","",[1]!thsiFinD("ths_adjustment_nv_fund",AJ$3,$A317))</f>
        <v/>
      </c>
      <c r="AK317" s="13">
        <f>IF($A317="","",[1]!thsiFinD("ths_adjustment_nv_fund",AK$3,$A317))</f>
        <v/>
      </c>
      <c r="AL317" s="13">
        <f>IF($A317="","",[1]!thsiFinD("ths_adjustment_nv_fund",AL$3,$A317))</f>
        <v/>
      </c>
    </row>
    <row r="318" spans="2:28">
      <c r="B318" s="13" t="str">
        <f>IF($A318="","",[1]!thsiFinD("ths_adjustment_nv_fund",B$3,$A318))</f>
        <v/>
      </c>
      <c r="C318" s="13" t="str">
        <f>IF($A318="","",[1]!thsiFinD("ths_adjustment_nv_fund",C$3,$A318))</f>
        <v/>
      </c>
      <c r="D318" s="13" t="str">
        <f>IF($A318="","",[1]!thsiFinD("ths_adjustment_nv_fund",D$3,$A318))</f>
        <v/>
      </c>
      <c r="E318" s="13" t="str">
        <f>IF($A318="","",[1]!thsiFinD("ths_adjustment_nv_fund",E$3,$A318))</f>
        <v/>
      </c>
      <c r="F318" s="13" t="str">
        <f>IF($A318="","",[1]!thsiFinD("ths_adjustment_nv_fund",F$3,$A318))</f>
        <v/>
      </c>
      <c r="G318" s="13" t="str">
        <f>IF($A318="","",[1]!thsiFinD("ths_adjustment_nv_fund",G$3,$A318))</f>
        <v/>
      </c>
      <c r="H318" s="13" t="str">
        <f>IF($A318="","",[1]!thsiFinD("ths_adjustment_nv_fund",H$3,$A318))</f>
        <v/>
      </c>
      <c r="I318" s="13" t="str">
        <f>IF($A318="","",[1]!thsiFinD("ths_adjustment_nv_fund",I$3,$A318))</f>
        <v/>
      </c>
      <c r="J318" s="13" t="str">
        <f>IF($A318="","",[1]!thsiFinD("ths_adjustment_nv_fund",J$3,$A318))</f>
        <v/>
      </c>
      <c r="K318" s="13" t="str">
        <f>IF($A318="","",[1]!thsiFinD("ths_adjustment_nv_fund",K$3,$A318))</f>
        <v/>
      </c>
      <c r="L318" s="13" t="str">
        <f>IF($A318="","",[1]!thsiFinD("ths_adjustment_nv_fund",L$3,$A318))</f>
        <v/>
      </c>
      <c r="M318" s="13" t="str">
        <f>IF($A318="","",[1]!thsiFinD("ths_adjustment_nv_fund",M$3,$A318))</f>
        <v/>
      </c>
      <c r="N318" s="13" t="str">
        <f>IF($A318="","",[1]!thsiFinD("ths_adjustment_nv_fund",N$3,$A318))</f>
        <v/>
      </c>
      <c r="O318" s="13" t="str">
        <f>IF($A318="","",[1]!thsiFinD("ths_adjustment_nv_fund",O$3,$A318))</f>
        <v/>
      </c>
      <c r="P318" s="13" t="str">
        <f>IF($A318="","",[1]!thsiFinD("ths_adjustment_nv_fund",P$3,$A318))</f>
        <v/>
      </c>
      <c r="Q318" s="13" t="str">
        <f>IF($A318="","",[1]!thsiFinD("ths_adjustment_nv_fund",Q$3,$A318))</f>
        <v/>
      </c>
      <c r="R318" s="13" t="str">
        <f>IF($A318="","",[1]!thsiFinD("ths_adjustment_nv_fund",R$3,$A318))</f>
        <v/>
      </c>
      <c r="S318" s="13" t="str">
        <f>IF($A318="","",[1]!thsiFinD("ths_adjustment_nv_fund",S$3,$A318))</f>
        <v/>
      </c>
      <c r="T318" s="13" t="str">
        <f>IF($A318="","",[1]!thsiFinD("ths_adjustment_nv_fund",T$3,$A318))</f>
        <v/>
      </c>
      <c r="U318" s="13" t="str">
        <f>IF($A318="","",[1]!thsiFinD("ths_adjustment_nv_fund",U$3,$A318))</f>
        <v/>
      </c>
      <c r="V318" s="13" t="str">
        <f>IF($A318="","",[1]!thsiFinD("ths_adjustment_nv_fund",V$3,$A318))</f>
        <v/>
      </c>
      <c r="W318" s="13" t="str">
        <f>IF($A318="","",[1]!thsiFinD("ths_adjustment_nv_fund",W$3,$A318))</f>
        <v/>
      </c>
      <c r="X318" s="13" t="str">
        <f>IF($A318="","",[1]!thsiFinD("ths_adjustment_nv_fund",X$3,$A318))</f>
        <v/>
      </c>
      <c r="Y318" s="13" t="str">
        <f>IF($A318="","",[1]!thsiFinD("ths_adjustment_nv_fund",Y$3,$A318))</f>
        <v/>
      </c>
      <c r="Z318" s="13" t="str">
        <f>IF($A318="","",[1]!thsiFinD("ths_adjustment_nv_fund",Z$3,$A318))</f>
        <v/>
      </c>
      <c r="AA318" s="13" t="str">
        <f>IF($A318="","",[1]!thsiFinD("ths_adjustment_nv_fund",AA$3,$A318))</f>
        <v/>
      </c>
      <c r="AB318" s="13">
        <f>IF($A318="","",[1]!thsiFinD("ths_adjustment_nv_fund",AB$3,$A318))</f>
        <v/>
      </c>
      <c r="AC318" s="13">
        <f>IF($A318="","",[1]!thsiFinD("ths_adjustment_nv_fund",AC$3,$A318))</f>
        <v/>
      </c>
      <c r="AD318" s="13">
        <f>IF($A318="","",[1]!thsiFinD("ths_adjustment_nv_fund",AD$3,$A318))</f>
        <v/>
      </c>
      <c r="AE318" s="13">
        <f>IF($A318="","",[1]!thsiFinD("ths_adjustment_nv_fund",AE$3,$A318))</f>
        <v/>
      </c>
      <c r="AF318" s="13">
        <f>IF($A318="","",[1]!thsiFinD("ths_adjustment_nv_fund",AF$3,$A318))</f>
        <v/>
      </c>
      <c r="AG318" s="13">
        <f>IF($A318="","",[1]!thsiFinD("ths_adjustment_nv_fund",AG$3,$A318))</f>
        <v/>
      </c>
      <c r="AH318" s="13">
        <f>IF($A318="","",[1]!thsiFinD("ths_adjustment_nv_fund",AH$3,$A318))</f>
        <v/>
      </c>
      <c r="AI318" s="13">
        <f>IF($A318="","",[1]!thsiFinD("ths_adjustment_nv_fund",AI$3,$A318))</f>
        <v/>
      </c>
      <c r="AJ318" s="13">
        <f>IF($A318="","",[1]!thsiFinD("ths_adjustment_nv_fund",AJ$3,$A318))</f>
        <v/>
      </c>
      <c r="AK318" s="13">
        <f>IF($A318="","",[1]!thsiFinD("ths_adjustment_nv_fund",AK$3,$A318))</f>
        <v/>
      </c>
      <c r="AL318" s="13">
        <f>IF($A318="","",[1]!thsiFinD("ths_adjustment_nv_fund",AL$3,$A318))</f>
        <v/>
      </c>
    </row>
    <row r="319" spans="2:28">
      <c r="B319" s="13" t="str">
        <f>IF($A319="","",[1]!thsiFinD("ths_adjustment_nv_fund",B$3,$A319))</f>
        <v/>
      </c>
      <c r="C319" s="13" t="str">
        <f>IF($A319="","",[1]!thsiFinD("ths_adjustment_nv_fund",C$3,$A319))</f>
        <v/>
      </c>
      <c r="D319" s="13" t="str">
        <f>IF($A319="","",[1]!thsiFinD("ths_adjustment_nv_fund",D$3,$A319))</f>
        <v/>
      </c>
      <c r="E319" s="13" t="str">
        <f>IF($A319="","",[1]!thsiFinD("ths_adjustment_nv_fund",E$3,$A319))</f>
        <v/>
      </c>
      <c r="F319" s="13" t="str">
        <f>IF($A319="","",[1]!thsiFinD("ths_adjustment_nv_fund",F$3,$A319))</f>
        <v/>
      </c>
      <c r="G319" s="13" t="str">
        <f>IF($A319="","",[1]!thsiFinD("ths_adjustment_nv_fund",G$3,$A319))</f>
        <v/>
      </c>
      <c r="H319" s="13" t="str">
        <f>IF($A319="","",[1]!thsiFinD("ths_adjustment_nv_fund",H$3,$A319))</f>
        <v/>
      </c>
      <c r="I319" s="13" t="str">
        <f>IF($A319="","",[1]!thsiFinD("ths_adjustment_nv_fund",I$3,$A319))</f>
        <v/>
      </c>
      <c r="J319" s="13" t="str">
        <f>IF($A319="","",[1]!thsiFinD("ths_adjustment_nv_fund",J$3,$A319))</f>
        <v/>
      </c>
      <c r="K319" s="13" t="str">
        <f>IF($A319="","",[1]!thsiFinD("ths_adjustment_nv_fund",K$3,$A319))</f>
        <v/>
      </c>
      <c r="L319" s="13" t="str">
        <f>IF($A319="","",[1]!thsiFinD("ths_adjustment_nv_fund",L$3,$A319))</f>
        <v/>
      </c>
      <c r="M319" s="13" t="str">
        <f>IF($A319="","",[1]!thsiFinD("ths_adjustment_nv_fund",M$3,$A319))</f>
        <v/>
      </c>
      <c r="N319" s="13" t="str">
        <f>IF($A319="","",[1]!thsiFinD("ths_adjustment_nv_fund",N$3,$A319))</f>
        <v/>
      </c>
      <c r="O319" s="13" t="str">
        <f>IF($A319="","",[1]!thsiFinD("ths_adjustment_nv_fund",O$3,$A319))</f>
        <v/>
      </c>
      <c r="P319" s="13" t="str">
        <f>IF($A319="","",[1]!thsiFinD("ths_adjustment_nv_fund",P$3,$A319))</f>
        <v/>
      </c>
      <c r="Q319" s="13" t="str">
        <f>IF($A319="","",[1]!thsiFinD("ths_adjustment_nv_fund",Q$3,$A319))</f>
        <v/>
      </c>
      <c r="R319" s="13" t="str">
        <f>IF($A319="","",[1]!thsiFinD("ths_adjustment_nv_fund",R$3,$A319))</f>
        <v/>
      </c>
      <c r="S319" s="13" t="str">
        <f>IF($A319="","",[1]!thsiFinD("ths_adjustment_nv_fund",S$3,$A319))</f>
        <v/>
      </c>
      <c r="T319" s="13" t="str">
        <f>IF($A319="","",[1]!thsiFinD("ths_adjustment_nv_fund",T$3,$A319))</f>
        <v/>
      </c>
      <c r="U319" s="13" t="str">
        <f>IF($A319="","",[1]!thsiFinD("ths_adjustment_nv_fund",U$3,$A319))</f>
        <v/>
      </c>
      <c r="V319" s="13" t="str">
        <f>IF($A319="","",[1]!thsiFinD("ths_adjustment_nv_fund",V$3,$A319))</f>
        <v/>
      </c>
      <c r="W319" s="13" t="str">
        <f>IF($A319="","",[1]!thsiFinD("ths_adjustment_nv_fund",W$3,$A319))</f>
        <v/>
      </c>
      <c r="X319" s="13" t="str">
        <f>IF($A319="","",[1]!thsiFinD("ths_adjustment_nv_fund",X$3,$A319))</f>
        <v/>
      </c>
      <c r="Y319" s="13" t="str">
        <f>IF($A319="","",[1]!thsiFinD("ths_adjustment_nv_fund",Y$3,$A319))</f>
        <v/>
      </c>
      <c r="Z319" s="13" t="str">
        <f>IF($A319="","",[1]!thsiFinD("ths_adjustment_nv_fund",Z$3,$A319))</f>
        <v/>
      </c>
      <c r="AA319" s="13" t="str">
        <f>IF($A319="","",[1]!thsiFinD("ths_adjustment_nv_fund",AA$3,$A319))</f>
        <v/>
      </c>
      <c r="AB319" s="13">
        <f>IF($A319="","",[1]!thsiFinD("ths_adjustment_nv_fund",AB$3,$A319))</f>
        <v/>
      </c>
      <c r="AC319" s="13">
        <f>IF($A319="","",[1]!thsiFinD("ths_adjustment_nv_fund",AC$3,$A319))</f>
        <v/>
      </c>
      <c r="AD319" s="13">
        <f>IF($A319="","",[1]!thsiFinD("ths_adjustment_nv_fund",AD$3,$A319))</f>
        <v/>
      </c>
      <c r="AE319" s="13">
        <f>IF($A319="","",[1]!thsiFinD("ths_adjustment_nv_fund",AE$3,$A319))</f>
        <v/>
      </c>
      <c r="AF319" s="13">
        <f>IF($A319="","",[1]!thsiFinD("ths_adjustment_nv_fund",AF$3,$A319))</f>
        <v/>
      </c>
      <c r="AG319" s="13">
        <f>IF($A319="","",[1]!thsiFinD("ths_adjustment_nv_fund",AG$3,$A319))</f>
        <v/>
      </c>
      <c r="AH319" s="13">
        <f>IF($A319="","",[1]!thsiFinD("ths_adjustment_nv_fund",AH$3,$A319))</f>
        <v/>
      </c>
      <c r="AI319" s="13">
        <f>IF($A319="","",[1]!thsiFinD("ths_adjustment_nv_fund",AI$3,$A319))</f>
        <v/>
      </c>
      <c r="AJ319" s="13">
        <f>IF($A319="","",[1]!thsiFinD("ths_adjustment_nv_fund",AJ$3,$A319))</f>
        <v/>
      </c>
      <c r="AK319" s="13">
        <f>IF($A319="","",[1]!thsiFinD("ths_adjustment_nv_fund",AK$3,$A319))</f>
        <v/>
      </c>
      <c r="AL319" s="13">
        <f>IF($A319="","",[1]!thsiFinD("ths_adjustment_nv_fund",AL$3,$A319))</f>
        <v/>
      </c>
    </row>
    <row r="320" spans="2:28">
      <c r="B320" s="13" t="str">
        <f>IF($A320="","",[1]!thsiFinD("ths_adjustment_nv_fund",B$3,$A320))</f>
        <v/>
      </c>
      <c r="C320" s="13" t="str">
        <f>IF($A320="","",[1]!thsiFinD("ths_adjustment_nv_fund",C$3,$A320))</f>
        <v/>
      </c>
      <c r="D320" s="13" t="str">
        <f>IF($A320="","",[1]!thsiFinD("ths_adjustment_nv_fund",D$3,$A320))</f>
        <v/>
      </c>
      <c r="E320" s="13" t="str">
        <f>IF($A320="","",[1]!thsiFinD("ths_adjustment_nv_fund",E$3,$A320))</f>
        <v/>
      </c>
      <c r="F320" s="13" t="str">
        <f>IF($A320="","",[1]!thsiFinD("ths_adjustment_nv_fund",F$3,$A320))</f>
        <v/>
      </c>
      <c r="G320" s="13" t="str">
        <f>IF($A320="","",[1]!thsiFinD("ths_adjustment_nv_fund",G$3,$A320))</f>
        <v/>
      </c>
      <c r="H320" s="13" t="str">
        <f>IF($A320="","",[1]!thsiFinD("ths_adjustment_nv_fund",H$3,$A320))</f>
        <v/>
      </c>
      <c r="I320" s="13" t="str">
        <f>IF($A320="","",[1]!thsiFinD("ths_adjustment_nv_fund",I$3,$A320))</f>
        <v/>
      </c>
      <c r="J320" s="13" t="str">
        <f>IF($A320="","",[1]!thsiFinD("ths_adjustment_nv_fund",J$3,$A320))</f>
        <v/>
      </c>
      <c r="K320" s="13" t="str">
        <f>IF($A320="","",[1]!thsiFinD("ths_adjustment_nv_fund",K$3,$A320))</f>
        <v/>
      </c>
      <c r="L320" s="13" t="str">
        <f>IF($A320="","",[1]!thsiFinD("ths_adjustment_nv_fund",L$3,$A320))</f>
        <v/>
      </c>
      <c r="M320" s="13" t="str">
        <f>IF($A320="","",[1]!thsiFinD("ths_adjustment_nv_fund",M$3,$A320))</f>
        <v/>
      </c>
      <c r="N320" s="13" t="str">
        <f>IF($A320="","",[1]!thsiFinD("ths_adjustment_nv_fund",N$3,$A320))</f>
        <v/>
      </c>
      <c r="O320" s="13" t="str">
        <f>IF($A320="","",[1]!thsiFinD("ths_adjustment_nv_fund",O$3,$A320))</f>
        <v/>
      </c>
      <c r="P320" s="13" t="str">
        <f>IF($A320="","",[1]!thsiFinD("ths_adjustment_nv_fund",P$3,$A320))</f>
        <v/>
      </c>
      <c r="Q320" s="13" t="str">
        <f>IF($A320="","",[1]!thsiFinD("ths_adjustment_nv_fund",Q$3,$A320))</f>
        <v/>
      </c>
      <c r="R320" s="13" t="str">
        <f>IF($A320="","",[1]!thsiFinD("ths_adjustment_nv_fund",R$3,$A320))</f>
        <v/>
      </c>
      <c r="S320" s="13" t="str">
        <f>IF($A320="","",[1]!thsiFinD("ths_adjustment_nv_fund",S$3,$A320))</f>
        <v/>
      </c>
      <c r="T320" s="13" t="str">
        <f>IF($A320="","",[1]!thsiFinD("ths_adjustment_nv_fund",T$3,$A320))</f>
        <v/>
      </c>
      <c r="U320" s="13" t="str">
        <f>IF($A320="","",[1]!thsiFinD("ths_adjustment_nv_fund",U$3,$A320))</f>
        <v/>
      </c>
      <c r="V320" s="13" t="str">
        <f>IF($A320="","",[1]!thsiFinD("ths_adjustment_nv_fund",V$3,$A320))</f>
        <v/>
      </c>
      <c r="W320" s="13" t="str">
        <f>IF($A320="","",[1]!thsiFinD("ths_adjustment_nv_fund",W$3,$A320))</f>
        <v/>
      </c>
      <c r="X320" s="13" t="str">
        <f>IF($A320="","",[1]!thsiFinD("ths_adjustment_nv_fund",X$3,$A320))</f>
        <v/>
      </c>
      <c r="Y320" s="13" t="str">
        <f>IF($A320="","",[1]!thsiFinD("ths_adjustment_nv_fund",Y$3,$A320))</f>
        <v/>
      </c>
      <c r="Z320" s="13" t="str">
        <f>IF($A320="","",[1]!thsiFinD("ths_adjustment_nv_fund",Z$3,$A320))</f>
        <v/>
      </c>
      <c r="AA320" s="13" t="str">
        <f>IF($A320="","",[1]!thsiFinD("ths_adjustment_nv_fund",AA$3,$A320))</f>
        <v/>
      </c>
      <c r="AB320" s="13">
        <f>IF($A320="","",[1]!thsiFinD("ths_adjustment_nv_fund",AB$3,$A320))</f>
        <v/>
      </c>
      <c r="AC320" s="13">
        <f>IF($A320="","",[1]!thsiFinD("ths_adjustment_nv_fund",AC$3,$A320))</f>
        <v/>
      </c>
      <c r="AD320" s="13">
        <f>IF($A320="","",[1]!thsiFinD("ths_adjustment_nv_fund",AD$3,$A320))</f>
        <v/>
      </c>
      <c r="AE320" s="13">
        <f>IF($A320="","",[1]!thsiFinD("ths_adjustment_nv_fund",AE$3,$A320))</f>
        <v/>
      </c>
      <c r="AF320" s="13">
        <f>IF($A320="","",[1]!thsiFinD("ths_adjustment_nv_fund",AF$3,$A320))</f>
        <v/>
      </c>
      <c r="AG320" s="13">
        <f>IF($A320="","",[1]!thsiFinD("ths_adjustment_nv_fund",AG$3,$A320))</f>
        <v/>
      </c>
      <c r="AH320" s="13">
        <f>IF($A320="","",[1]!thsiFinD("ths_adjustment_nv_fund",AH$3,$A320))</f>
        <v/>
      </c>
      <c r="AI320" s="13">
        <f>IF($A320="","",[1]!thsiFinD("ths_adjustment_nv_fund",AI$3,$A320))</f>
        <v/>
      </c>
      <c r="AJ320" s="13">
        <f>IF($A320="","",[1]!thsiFinD("ths_adjustment_nv_fund",AJ$3,$A320))</f>
        <v/>
      </c>
      <c r="AK320" s="13">
        <f>IF($A320="","",[1]!thsiFinD("ths_adjustment_nv_fund",AK$3,$A320))</f>
        <v/>
      </c>
      <c r="AL320" s="13">
        <f>IF($A320="","",[1]!thsiFinD("ths_adjustment_nv_fund",AL$3,$A320))</f>
        <v/>
      </c>
    </row>
    <row r="321" spans="2:28">
      <c r="B321" s="13" t="str">
        <f>IF($A321="","",[1]!thsiFinD("ths_adjustment_nv_fund",B$3,$A321))</f>
        <v/>
      </c>
      <c r="C321" s="13" t="str">
        <f>IF($A321="","",[1]!thsiFinD("ths_adjustment_nv_fund",C$3,$A321))</f>
        <v/>
      </c>
      <c r="D321" s="13" t="str">
        <f>IF($A321="","",[1]!thsiFinD("ths_adjustment_nv_fund",D$3,$A321))</f>
        <v/>
      </c>
      <c r="E321" s="13" t="str">
        <f>IF($A321="","",[1]!thsiFinD("ths_adjustment_nv_fund",E$3,$A321))</f>
        <v/>
      </c>
      <c r="F321" s="13" t="str">
        <f>IF($A321="","",[1]!thsiFinD("ths_adjustment_nv_fund",F$3,$A321))</f>
        <v/>
      </c>
      <c r="G321" s="13" t="str">
        <f>IF($A321="","",[1]!thsiFinD("ths_adjustment_nv_fund",G$3,$A321))</f>
        <v/>
      </c>
      <c r="H321" s="13" t="str">
        <f>IF($A321="","",[1]!thsiFinD("ths_adjustment_nv_fund",H$3,$A321))</f>
        <v/>
      </c>
      <c r="I321" s="13" t="str">
        <f>IF($A321="","",[1]!thsiFinD("ths_adjustment_nv_fund",I$3,$A321))</f>
        <v/>
      </c>
      <c r="J321" s="13" t="str">
        <f>IF($A321="","",[1]!thsiFinD("ths_adjustment_nv_fund",J$3,$A321))</f>
        <v/>
      </c>
      <c r="K321" s="13" t="str">
        <f>IF($A321="","",[1]!thsiFinD("ths_adjustment_nv_fund",K$3,$A321))</f>
        <v/>
      </c>
      <c r="L321" s="13" t="str">
        <f>IF($A321="","",[1]!thsiFinD("ths_adjustment_nv_fund",L$3,$A321))</f>
        <v/>
      </c>
      <c r="M321" s="13" t="str">
        <f>IF($A321="","",[1]!thsiFinD("ths_adjustment_nv_fund",M$3,$A321))</f>
        <v/>
      </c>
      <c r="N321" s="13" t="str">
        <f>IF($A321="","",[1]!thsiFinD("ths_adjustment_nv_fund",N$3,$A321))</f>
        <v/>
      </c>
      <c r="O321" s="13" t="str">
        <f>IF($A321="","",[1]!thsiFinD("ths_adjustment_nv_fund",O$3,$A321))</f>
        <v/>
      </c>
      <c r="P321" s="13" t="str">
        <f>IF($A321="","",[1]!thsiFinD("ths_adjustment_nv_fund",P$3,$A321))</f>
        <v/>
      </c>
      <c r="Q321" s="13" t="str">
        <f>IF($A321="","",[1]!thsiFinD("ths_adjustment_nv_fund",Q$3,$A321))</f>
        <v/>
      </c>
      <c r="R321" s="13" t="str">
        <f>IF($A321="","",[1]!thsiFinD("ths_adjustment_nv_fund",R$3,$A321))</f>
        <v/>
      </c>
      <c r="S321" s="13" t="str">
        <f>IF($A321="","",[1]!thsiFinD("ths_adjustment_nv_fund",S$3,$A321))</f>
        <v/>
      </c>
      <c r="T321" s="13" t="str">
        <f>IF($A321="","",[1]!thsiFinD("ths_adjustment_nv_fund",T$3,$A321))</f>
        <v/>
      </c>
      <c r="U321" s="13" t="str">
        <f>IF($A321="","",[1]!thsiFinD("ths_adjustment_nv_fund",U$3,$A321))</f>
        <v/>
      </c>
      <c r="V321" s="13" t="str">
        <f>IF($A321="","",[1]!thsiFinD("ths_adjustment_nv_fund",V$3,$A321))</f>
        <v/>
      </c>
      <c r="W321" s="13" t="str">
        <f>IF($A321="","",[1]!thsiFinD("ths_adjustment_nv_fund",W$3,$A321))</f>
        <v/>
      </c>
      <c r="X321" s="13" t="str">
        <f>IF($A321="","",[1]!thsiFinD("ths_adjustment_nv_fund",X$3,$A321))</f>
        <v/>
      </c>
      <c r="Y321" s="13" t="str">
        <f>IF($A321="","",[1]!thsiFinD("ths_adjustment_nv_fund",Y$3,$A321))</f>
        <v/>
      </c>
      <c r="Z321" s="13" t="str">
        <f>IF($A321="","",[1]!thsiFinD("ths_adjustment_nv_fund",Z$3,$A321))</f>
        <v/>
      </c>
      <c r="AA321" s="13" t="str">
        <f>IF($A321="","",[1]!thsiFinD("ths_adjustment_nv_fund",AA$3,$A321))</f>
        <v/>
      </c>
      <c r="AB321" s="13">
        <f>IF($A321="","",[1]!thsiFinD("ths_adjustment_nv_fund",AB$3,$A321))</f>
        <v/>
      </c>
      <c r="AC321" s="13">
        <f>IF($A321="","",[1]!thsiFinD("ths_adjustment_nv_fund",AC$3,$A321))</f>
        <v/>
      </c>
      <c r="AD321" s="13">
        <f>IF($A321="","",[1]!thsiFinD("ths_adjustment_nv_fund",AD$3,$A321))</f>
        <v/>
      </c>
      <c r="AE321" s="13">
        <f>IF($A321="","",[1]!thsiFinD("ths_adjustment_nv_fund",AE$3,$A321))</f>
        <v/>
      </c>
      <c r="AF321" s="13">
        <f>IF($A321="","",[1]!thsiFinD("ths_adjustment_nv_fund",AF$3,$A321))</f>
        <v/>
      </c>
      <c r="AG321" s="13">
        <f>IF($A321="","",[1]!thsiFinD("ths_adjustment_nv_fund",AG$3,$A321))</f>
        <v/>
      </c>
      <c r="AH321" s="13">
        <f>IF($A321="","",[1]!thsiFinD("ths_adjustment_nv_fund",AH$3,$A321))</f>
        <v/>
      </c>
      <c r="AI321" s="13">
        <f>IF($A321="","",[1]!thsiFinD("ths_adjustment_nv_fund",AI$3,$A321))</f>
        <v/>
      </c>
      <c r="AJ321" s="13">
        <f>IF($A321="","",[1]!thsiFinD("ths_adjustment_nv_fund",AJ$3,$A321))</f>
        <v/>
      </c>
      <c r="AK321" s="13">
        <f>IF($A321="","",[1]!thsiFinD("ths_adjustment_nv_fund",AK$3,$A321))</f>
        <v/>
      </c>
      <c r="AL321" s="13">
        <f>IF($A321="","",[1]!thsiFinD("ths_adjustment_nv_fund",AL$3,$A321))</f>
        <v/>
      </c>
    </row>
    <row r="322" spans="2:28">
      <c r="B322" s="13" t="str">
        <f>IF($A322="","",[1]!thsiFinD("ths_adjustment_nv_fund",B$3,$A322))</f>
        <v/>
      </c>
      <c r="C322" s="13" t="str">
        <f>IF($A322="","",[1]!thsiFinD("ths_adjustment_nv_fund",C$3,$A322))</f>
        <v/>
      </c>
      <c r="D322" s="13" t="str">
        <f>IF($A322="","",[1]!thsiFinD("ths_adjustment_nv_fund",D$3,$A322))</f>
        <v/>
      </c>
      <c r="E322" s="13" t="str">
        <f>IF($A322="","",[1]!thsiFinD("ths_adjustment_nv_fund",E$3,$A322))</f>
        <v/>
      </c>
      <c r="F322" s="13" t="str">
        <f>IF($A322="","",[1]!thsiFinD("ths_adjustment_nv_fund",F$3,$A322))</f>
        <v/>
      </c>
      <c r="G322" s="13" t="str">
        <f>IF($A322="","",[1]!thsiFinD("ths_adjustment_nv_fund",G$3,$A322))</f>
        <v/>
      </c>
      <c r="H322" s="13" t="str">
        <f>IF($A322="","",[1]!thsiFinD("ths_adjustment_nv_fund",H$3,$A322))</f>
        <v/>
      </c>
      <c r="I322" s="13" t="str">
        <f>IF($A322="","",[1]!thsiFinD("ths_adjustment_nv_fund",I$3,$A322))</f>
        <v/>
      </c>
      <c r="J322" s="13" t="str">
        <f>IF($A322="","",[1]!thsiFinD("ths_adjustment_nv_fund",J$3,$A322))</f>
        <v/>
      </c>
      <c r="K322" s="13" t="str">
        <f>IF($A322="","",[1]!thsiFinD("ths_adjustment_nv_fund",K$3,$A322))</f>
        <v/>
      </c>
      <c r="L322" s="13" t="str">
        <f>IF($A322="","",[1]!thsiFinD("ths_adjustment_nv_fund",L$3,$A322))</f>
        <v/>
      </c>
      <c r="M322" s="13" t="str">
        <f>IF($A322="","",[1]!thsiFinD("ths_adjustment_nv_fund",M$3,$A322))</f>
        <v/>
      </c>
      <c r="N322" s="13" t="str">
        <f>IF($A322="","",[1]!thsiFinD("ths_adjustment_nv_fund",N$3,$A322))</f>
        <v/>
      </c>
      <c r="O322" s="13" t="str">
        <f>IF($A322="","",[1]!thsiFinD("ths_adjustment_nv_fund",O$3,$A322))</f>
        <v/>
      </c>
      <c r="P322" s="13" t="str">
        <f>IF($A322="","",[1]!thsiFinD("ths_adjustment_nv_fund",P$3,$A322))</f>
        <v/>
      </c>
      <c r="Q322" s="13" t="str">
        <f>IF($A322="","",[1]!thsiFinD("ths_adjustment_nv_fund",Q$3,$A322))</f>
        <v/>
      </c>
      <c r="R322" s="13" t="str">
        <f>IF($A322="","",[1]!thsiFinD("ths_adjustment_nv_fund",R$3,$A322))</f>
        <v/>
      </c>
      <c r="S322" s="13" t="str">
        <f>IF($A322="","",[1]!thsiFinD("ths_adjustment_nv_fund",S$3,$A322))</f>
        <v/>
      </c>
      <c r="T322" s="13" t="str">
        <f>IF($A322="","",[1]!thsiFinD("ths_adjustment_nv_fund",T$3,$A322))</f>
        <v/>
      </c>
      <c r="U322" s="13" t="str">
        <f>IF($A322="","",[1]!thsiFinD("ths_adjustment_nv_fund",U$3,$A322))</f>
        <v/>
      </c>
      <c r="V322" s="13" t="str">
        <f>IF($A322="","",[1]!thsiFinD("ths_adjustment_nv_fund",V$3,$A322))</f>
        <v/>
      </c>
      <c r="W322" s="13" t="str">
        <f>IF($A322="","",[1]!thsiFinD("ths_adjustment_nv_fund",W$3,$A322))</f>
        <v/>
      </c>
      <c r="X322" s="13" t="str">
        <f>IF($A322="","",[1]!thsiFinD("ths_adjustment_nv_fund",X$3,$A322))</f>
        <v/>
      </c>
      <c r="Y322" s="13" t="str">
        <f>IF($A322="","",[1]!thsiFinD("ths_adjustment_nv_fund",Y$3,$A322))</f>
        <v/>
      </c>
      <c r="Z322" s="13" t="str">
        <f>IF($A322="","",[1]!thsiFinD("ths_adjustment_nv_fund",Z$3,$A322))</f>
        <v/>
      </c>
      <c r="AA322" s="13" t="str">
        <f>IF($A322="","",[1]!thsiFinD("ths_adjustment_nv_fund",AA$3,$A322))</f>
        <v/>
      </c>
      <c r="AB322" s="13">
        <f>IF($A322="","",[1]!thsiFinD("ths_adjustment_nv_fund",AB$3,$A322))</f>
        <v/>
      </c>
      <c r="AC322" s="13">
        <f>IF($A322="","",[1]!thsiFinD("ths_adjustment_nv_fund",AC$3,$A322))</f>
        <v/>
      </c>
      <c r="AD322" s="13">
        <f>IF($A322="","",[1]!thsiFinD("ths_adjustment_nv_fund",AD$3,$A322))</f>
        <v/>
      </c>
      <c r="AE322" s="13">
        <f>IF($A322="","",[1]!thsiFinD("ths_adjustment_nv_fund",AE$3,$A322))</f>
        <v/>
      </c>
      <c r="AF322" s="13">
        <f>IF($A322="","",[1]!thsiFinD("ths_adjustment_nv_fund",AF$3,$A322))</f>
        <v/>
      </c>
      <c r="AG322" s="13">
        <f>IF($A322="","",[1]!thsiFinD("ths_adjustment_nv_fund",AG$3,$A322))</f>
        <v/>
      </c>
      <c r="AH322" s="13">
        <f>IF($A322="","",[1]!thsiFinD("ths_adjustment_nv_fund",AH$3,$A322))</f>
        <v/>
      </c>
      <c r="AI322" s="13">
        <f>IF($A322="","",[1]!thsiFinD("ths_adjustment_nv_fund",AI$3,$A322))</f>
        <v/>
      </c>
      <c r="AJ322" s="13">
        <f>IF($A322="","",[1]!thsiFinD("ths_adjustment_nv_fund",AJ$3,$A322))</f>
        <v/>
      </c>
      <c r="AK322" s="13">
        <f>IF($A322="","",[1]!thsiFinD("ths_adjustment_nv_fund",AK$3,$A322))</f>
        <v/>
      </c>
      <c r="AL322" s="13">
        <f>IF($A322="","",[1]!thsiFinD("ths_adjustment_nv_fund",AL$3,$A322))</f>
        <v/>
      </c>
    </row>
    <row r="323" spans="2:28">
      <c r="B323" s="13" t="str">
        <f>IF($A323="","",[1]!thsiFinD("ths_adjustment_nv_fund",B$3,$A323))</f>
        <v/>
      </c>
      <c r="C323" s="13" t="str">
        <f>IF($A323="","",[1]!thsiFinD("ths_adjustment_nv_fund",C$3,$A323))</f>
        <v/>
      </c>
      <c r="D323" s="13" t="str">
        <f>IF($A323="","",[1]!thsiFinD("ths_adjustment_nv_fund",D$3,$A323))</f>
        <v/>
      </c>
      <c r="E323" s="13" t="str">
        <f>IF($A323="","",[1]!thsiFinD("ths_adjustment_nv_fund",E$3,$A323))</f>
        <v/>
      </c>
      <c r="F323" s="13" t="str">
        <f>IF($A323="","",[1]!thsiFinD("ths_adjustment_nv_fund",F$3,$A323))</f>
        <v/>
      </c>
      <c r="G323" s="13" t="str">
        <f>IF($A323="","",[1]!thsiFinD("ths_adjustment_nv_fund",G$3,$A323))</f>
        <v/>
      </c>
      <c r="H323" s="13" t="str">
        <f>IF($A323="","",[1]!thsiFinD("ths_adjustment_nv_fund",H$3,$A323))</f>
        <v/>
      </c>
      <c r="I323" s="13" t="str">
        <f>IF($A323="","",[1]!thsiFinD("ths_adjustment_nv_fund",I$3,$A323))</f>
        <v/>
      </c>
      <c r="J323" s="13" t="str">
        <f>IF($A323="","",[1]!thsiFinD("ths_adjustment_nv_fund",J$3,$A323))</f>
        <v/>
      </c>
      <c r="K323" s="13" t="str">
        <f>IF($A323="","",[1]!thsiFinD("ths_adjustment_nv_fund",K$3,$A323))</f>
        <v/>
      </c>
      <c r="L323" s="13" t="str">
        <f>IF($A323="","",[1]!thsiFinD("ths_adjustment_nv_fund",L$3,$A323))</f>
        <v/>
      </c>
      <c r="M323" s="13" t="str">
        <f>IF($A323="","",[1]!thsiFinD("ths_adjustment_nv_fund",M$3,$A323))</f>
        <v/>
      </c>
      <c r="N323" s="13" t="str">
        <f>IF($A323="","",[1]!thsiFinD("ths_adjustment_nv_fund",N$3,$A323))</f>
        <v/>
      </c>
      <c r="O323" s="13" t="str">
        <f>IF($A323="","",[1]!thsiFinD("ths_adjustment_nv_fund",O$3,$A323))</f>
        <v/>
      </c>
      <c r="P323" s="13" t="str">
        <f>IF($A323="","",[1]!thsiFinD("ths_adjustment_nv_fund",P$3,$A323))</f>
        <v/>
      </c>
      <c r="Q323" s="13" t="str">
        <f>IF($A323="","",[1]!thsiFinD("ths_adjustment_nv_fund",Q$3,$A323))</f>
        <v/>
      </c>
      <c r="R323" s="13" t="str">
        <f>IF($A323="","",[1]!thsiFinD("ths_adjustment_nv_fund",R$3,$A323))</f>
        <v/>
      </c>
      <c r="S323" s="13" t="str">
        <f>IF($A323="","",[1]!thsiFinD("ths_adjustment_nv_fund",S$3,$A323))</f>
        <v/>
      </c>
      <c r="T323" s="13" t="str">
        <f>IF($A323="","",[1]!thsiFinD("ths_adjustment_nv_fund",T$3,$A323))</f>
        <v/>
      </c>
      <c r="U323" s="13" t="str">
        <f>IF($A323="","",[1]!thsiFinD("ths_adjustment_nv_fund",U$3,$A323))</f>
        <v/>
      </c>
      <c r="V323" s="13" t="str">
        <f>IF($A323="","",[1]!thsiFinD("ths_adjustment_nv_fund",V$3,$A323))</f>
        <v/>
      </c>
      <c r="W323" s="13" t="str">
        <f>IF($A323="","",[1]!thsiFinD("ths_adjustment_nv_fund",W$3,$A323))</f>
        <v/>
      </c>
      <c r="X323" s="13" t="str">
        <f>IF($A323="","",[1]!thsiFinD("ths_adjustment_nv_fund",X$3,$A323))</f>
        <v/>
      </c>
      <c r="Y323" s="13" t="str">
        <f>IF($A323="","",[1]!thsiFinD("ths_adjustment_nv_fund",Y$3,$A323))</f>
        <v/>
      </c>
      <c r="Z323" s="13" t="str">
        <f>IF($A323="","",[1]!thsiFinD("ths_adjustment_nv_fund",Z$3,$A323))</f>
        <v/>
      </c>
      <c r="AA323" s="13" t="str">
        <f>IF($A323="","",[1]!thsiFinD("ths_adjustment_nv_fund",AA$3,$A323))</f>
        <v/>
      </c>
      <c r="AB323" s="13">
        <f>IF($A323="","",[1]!thsiFinD("ths_adjustment_nv_fund",AB$3,$A323))</f>
        <v/>
      </c>
      <c r="AC323" s="13">
        <f>IF($A323="","",[1]!thsiFinD("ths_adjustment_nv_fund",AC$3,$A323))</f>
        <v/>
      </c>
      <c r="AD323" s="13">
        <f>IF($A323="","",[1]!thsiFinD("ths_adjustment_nv_fund",AD$3,$A323))</f>
        <v/>
      </c>
      <c r="AE323" s="13">
        <f>IF($A323="","",[1]!thsiFinD("ths_adjustment_nv_fund",AE$3,$A323))</f>
        <v/>
      </c>
      <c r="AF323" s="13">
        <f>IF($A323="","",[1]!thsiFinD("ths_adjustment_nv_fund",AF$3,$A323))</f>
        <v/>
      </c>
      <c r="AG323" s="13">
        <f>IF($A323="","",[1]!thsiFinD("ths_adjustment_nv_fund",AG$3,$A323))</f>
        <v/>
      </c>
      <c r="AH323" s="13">
        <f>IF($A323="","",[1]!thsiFinD("ths_adjustment_nv_fund",AH$3,$A323))</f>
        <v/>
      </c>
      <c r="AI323" s="13">
        <f>IF($A323="","",[1]!thsiFinD("ths_adjustment_nv_fund",AI$3,$A323))</f>
        <v/>
      </c>
      <c r="AJ323" s="13">
        <f>IF($A323="","",[1]!thsiFinD("ths_adjustment_nv_fund",AJ$3,$A323))</f>
        <v/>
      </c>
      <c r="AK323" s="13">
        <f>IF($A323="","",[1]!thsiFinD("ths_adjustment_nv_fund",AK$3,$A323))</f>
        <v/>
      </c>
      <c r="AL323" s="13">
        <f>IF($A323="","",[1]!thsiFinD("ths_adjustment_nv_fund",AL$3,$A323))</f>
        <v/>
      </c>
    </row>
    <row r="324" spans="2:28">
      <c r="B324" s="13" t="str">
        <f>IF($A324="","",[1]!thsiFinD("ths_adjustment_nv_fund",B$3,$A324))</f>
        <v/>
      </c>
      <c r="C324" s="13" t="str">
        <f>IF($A324="","",[1]!thsiFinD("ths_adjustment_nv_fund",C$3,$A324))</f>
        <v/>
      </c>
      <c r="D324" s="13" t="str">
        <f>IF($A324="","",[1]!thsiFinD("ths_adjustment_nv_fund",D$3,$A324))</f>
        <v/>
      </c>
      <c r="E324" s="13" t="str">
        <f>IF($A324="","",[1]!thsiFinD("ths_adjustment_nv_fund",E$3,$A324))</f>
        <v/>
      </c>
      <c r="F324" s="13" t="str">
        <f>IF($A324="","",[1]!thsiFinD("ths_adjustment_nv_fund",F$3,$A324))</f>
        <v/>
      </c>
      <c r="G324" s="13" t="str">
        <f>IF($A324="","",[1]!thsiFinD("ths_adjustment_nv_fund",G$3,$A324))</f>
        <v/>
      </c>
      <c r="H324" s="13" t="str">
        <f>IF($A324="","",[1]!thsiFinD("ths_adjustment_nv_fund",H$3,$A324))</f>
        <v/>
      </c>
      <c r="I324" s="13" t="str">
        <f>IF($A324="","",[1]!thsiFinD("ths_adjustment_nv_fund",I$3,$A324))</f>
        <v/>
      </c>
      <c r="J324" s="13" t="str">
        <f>IF($A324="","",[1]!thsiFinD("ths_adjustment_nv_fund",J$3,$A324))</f>
        <v/>
      </c>
      <c r="K324" s="13" t="str">
        <f>IF($A324="","",[1]!thsiFinD("ths_adjustment_nv_fund",K$3,$A324))</f>
        <v/>
      </c>
      <c r="L324" s="13" t="str">
        <f>IF($A324="","",[1]!thsiFinD("ths_adjustment_nv_fund",L$3,$A324))</f>
        <v/>
      </c>
      <c r="M324" s="13" t="str">
        <f>IF($A324="","",[1]!thsiFinD("ths_adjustment_nv_fund",M$3,$A324))</f>
        <v/>
      </c>
      <c r="N324" s="13" t="str">
        <f>IF($A324="","",[1]!thsiFinD("ths_adjustment_nv_fund",N$3,$A324))</f>
        <v/>
      </c>
      <c r="O324" s="13" t="str">
        <f>IF($A324="","",[1]!thsiFinD("ths_adjustment_nv_fund",O$3,$A324))</f>
        <v/>
      </c>
      <c r="P324" s="13" t="str">
        <f>IF($A324="","",[1]!thsiFinD("ths_adjustment_nv_fund",P$3,$A324))</f>
        <v/>
      </c>
      <c r="Q324" s="13" t="str">
        <f>IF($A324="","",[1]!thsiFinD("ths_adjustment_nv_fund",Q$3,$A324))</f>
        <v/>
      </c>
      <c r="R324" s="13" t="str">
        <f>IF($A324="","",[1]!thsiFinD("ths_adjustment_nv_fund",R$3,$A324))</f>
        <v/>
      </c>
      <c r="S324" s="13" t="str">
        <f>IF($A324="","",[1]!thsiFinD("ths_adjustment_nv_fund",S$3,$A324))</f>
        <v/>
      </c>
      <c r="T324" s="13" t="str">
        <f>IF($A324="","",[1]!thsiFinD("ths_adjustment_nv_fund",T$3,$A324))</f>
        <v/>
      </c>
      <c r="U324" s="13" t="str">
        <f>IF($A324="","",[1]!thsiFinD("ths_adjustment_nv_fund",U$3,$A324))</f>
        <v/>
      </c>
      <c r="V324" s="13" t="str">
        <f>IF($A324="","",[1]!thsiFinD("ths_adjustment_nv_fund",V$3,$A324))</f>
        <v/>
      </c>
      <c r="W324" s="13" t="str">
        <f>IF($A324="","",[1]!thsiFinD("ths_adjustment_nv_fund",W$3,$A324))</f>
        <v/>
      </c>
      <c r="X324" s="13" t="str">
        <f>IF($A324="","",[1]!thsiFinD("ths_adjustment_nv_fund",X$3,$A324))</f>
        <v/>
      </c>
      <c r="Y324" s="13" t="str">
        <f>IF($A324="","",[1]!thsiFinD("ths_adjustment_nv_fund",Y$3,$A324))</f>
        <v/>
      </c>
      <c r="Z324" s="13" t="str">
        <f>IF($A324="","",[1]!thsiFinD("ths_adjustment_nv_fund",Z$3,$A324))</f>
        <v/>
      </c>
      <c r="AA324" s="13" t="str">
        <f>IF($A324="","",[1]!thsiFinD("ths_adjustment_nv_fund",AA$3,$A324))</f>
        <v/>
      </c>
      <c r="AB324" s="13">
        <f>IF($A324="","",[1]!thsiFinD("ths_adjustment_nv_fund",AB$3,$A324))</f>
        <v/>
      </c>
      <c r="AC324" s="13">
        <f>IF($A324="","",[1]!thsiFinD("ths_adjustment_nv_fund",AC$3,$A324))</f>
        <v/>
      </c>
      <c r="AD324" s="13">
        <f>IF($A324="","",[1]!thsiFinD("ths_adjustment_nv_fund",AD$3,$A324))</f>
        <v/>
      </c>
      <c r="AE324" s="13">
        <f>IF($A324="","",[1]!thsiFinD("ths_adjustment_nv_fund",AE$3,$A324))</f>
        <v/>
      </c>
      <c r="AF324" s="13">
        <f>IF($A324="","",[1]!thsiFinD("ths_adjustment_nv_fund",AF$3,$A324))</f>
        <v/>
      </c>
      <c r="AG324" s="13">
        <f>IF($A324="","",[1]!thsiFinD("ths_adjustment_nv_fund",AG$3,$A324))</f>
        <v/>
      </c>
      <c r="AH324" s="13">
        <f>IF($A324="","",[1]!thsiFinD("ths_adjustment_nv_fund",AH$3,$A324))</f>
        <v/>
      </c>
      <c r="AI324" s="13">
        <f>IF($A324="","",[1]!thsiFinD("ths_adjustment_nv_fund",AI$3,$A324))</f>
        <v/>
      </c>
      <c r="AJ324" s="13">
        <f>IF($A324="","",[1]!thsiFinD("ths_adjustment_nv_fund",AJ$3,$A324))</f>
        <v/>
      </c>
      <c r="AK324" s="13">
        <f>IF($A324="","",[1]!thsiFinD("ths_adjustment_nv_fund",AK$3,$A324))</f>
        <v/>
      </c>
      <c r="AL324" s="13">
        <f>IF($A324="","",[1]!thsiFinD("ths_adjustment_nv_fund",AL$3,$A324))</f>
        <v/>
      </c>
    </row>
    <row r="325" spans="2:28">
      <c r="B325" s="13" t="str">
        <f>IF($A325="","",[1]!thsiFinD("ths_adjustment_nv_fund",B$3,$A325))</f>
        <v/>
      </c>
      <c r="C325" s="13" t="str">
        <f>IF($A325="","",[1]!thsiFinD("ths_adjustment_nv_fund",C$3,$A325))</f>
        <v/>
      </c>
      <c r="D325" s="13" t="str">
        <f>IF($A325="","",[1]!thsiFinD("ths_adjustment_nv_fund",D$3,$A325))</f>
        <v/>
      </c>
      <c r="E325" s="13" t="str">
        <f>IF($A325="","",[1]!thsiFinD("ths_adjustment_nv_fund",E$3,$A325))</f>
        <v/>
      </c>
      <c r="F325" s="13" t="str">
        <f>IF($A325="","",[1]!thsiFinD("ths_adjustment_nv_fund",F$3,$A325))</f>
        <v/>
      </c>
      <c r="G325" s="13" t="str">
        <f>IF($A325="","",[1]!thsiFinD("ths_adjustment_nv_fund",G$3,$A325))</f>
        <v/>
      </c>
      <c r="H325" s="13" t="str">
        <f>IF($A325="","",[1]!thsiFinD("ths_adjustment_nv_fund",H$3,$A325))</f>
        <v/>
      </c>
      <c r="I325" s="13" t="str">
        <f>IF($A325="","",[1]!thsiFinD("ths_adjustment_nv_fund",I$3,$A325))</f>
        <v/>
      </c>
      <c r="J325" s="13" t="str">
        <f>IF($A325="","",[1]!thsiFinD("ths_adjustment_nv_fund",J$3,$A325))</f>
        <v/>
      </c>
      <c r="K325" s="13" t="str">
        <f>IF($A325="","",[1]!thsiFinD("ths_adjustment_nv_fund",K$3,$A325))</f>
        <v/>
      </c>
      <c r="L325" s="13" t="str">
        <f>IF($A325="","",[1]!thsiFinD("ths_adjustment_nv_fund",L$3,$A325))</f>
        <v/>
      </c>
      <c r="M325" s="13" t="str">
        <f>IF($A325="","",[1]!thsiFinD("ths_adjustment_nv_fund",M$3,$A325))</f>
        <v/>
      </c>
      <c r="N325" s="13" t="str">
        <f>IF($A325="","",[1]!thsiFinD("ths_adjustment_nv_fund",N$3,$A325))</f>
        <v/>
      </c>
      <c r="O325" s="13" t="str">
        <f>IF($A325="","",[1]!thsiFinD("ths_adjustment_nv_fund",O$3,$A325))</f>
        <v/>
      </c>
      <c r="P325" s="13" t="str">
        <f>IF($A325="","",[1]!thsiFinD("ths_adjustment_nv_fund",P$3,$A325))</f>
        <v/>
      </c>
      <c r="Q325" s="13" t="str">
        <f>IF($A325="","",[1]!thsiFinD("ths_adjustment_nv_fund",Q$3,$A325))</f>
        <v/>
      </c>
      <c r="R325" s="13" t="str">
        <f>IF($A325="","",[1]!thsiFinD("ths_adjustment_nv_fund",R$3,$A325))</f>
        <v/>
      </c>
      <c r="S325" s="13" t="str">
        <f>IF($A325="","",[1]!thsiFinD("ths_adjustment_nv_fund",S$3,$A325))</f>
        <v/>
      </c>
      <c r="T325" s="13" t="str">
        <f>IF($A325="","",[1]!thsiFinD("ths_adjustment_nv_fund",T$3,$A325))</f>
        <v/>
      </c>
      <c r="U325" s="13" t="str">
        <f>IF($A325="","",[1]!thsiFinD("ths_adjustment_nv_fund",U$3,$A325))</f>
        <v/>
      </c>
      <c r="V325" s="13" t="str">
        <f>IF($A325="","",[1]!thsiFinD("ths_adjustment_nv_fund",V$3,$A325))</f>
        <v/>
      </c>
      <c r="W325" s="13" t="str">
        <f>IF($A325="","",[1]!thsiFinD("ths_adjustment_nv_fund",W$3,$A325))</f>
        <v/>
      </c>
      <c r="X325" s="13" t="str">
        <f>IF($A325="","",[1]!thsiFinD("ths_adjustment_nv_fund",X$3,$A325))</f>
        <v/>
      </c>
      <c r="Y325" s="13" t="str">
        <f>IF($A325="","",[1]!thsiFinD("ths_adjustment_nv_fund",Y$3,$A325))</f>
        <v/>
      </c>
      <c r="Z325" s="13" t="str">
        <f>IF($A325="","",[1]!thsiFinD("ths_adjustment_nv_fund",Z$3,$A325))</f>
        <v/>
      </c>
      <c r="AA325" s="13" t="str">
        <f>IF($A325="","",[1]!thsiFinD("ths_adjustment_nv_fund",AA$3,$A325))</f>
        <v/>
      </c>
      <c r="AB325" s="13">
        <f>IF($A325="","",[1]!thsiFinD("ths_adjustment_nv_fund",AB$3,$A325))</f>
        <v/>
      </c>
      <c r="AC325" s="13">
        <f>IF($A325="","",[1]!thsiFinD("ths_adjustment_nv_fund",AC$3,$A325))</f>
        <v/>
      </c>
      <c r="AD325" s="13">
        <f>IF($A325="","",[1]!thsiFinD("ths_adjustment_nv_fund",AD$3,$A325))</f>
        <v/>
      </c>
      <c r="AE325" s="13">
        <f>IF($A325="","",[1]!thsiFinD("ths_adjustment_nv_fund",AE$3,$A325))</f>
        <v/>
      </c>
      <c r="AF325" s="13">
        <f>IF($A325="","",[1]!thsiFinD("ths_adjustment_nv_fund",AF$3,$A325))</f>
        <v/>
      </c>
      <c r="AG325" s="13">
        <f>IF($A325="","",[1]!thsiFinD("ths_adjustment_nv_fund",AG$3,$A325))</f>
        <v/>
      </c>
      <c r="AH325" s="13">
        <f>IF($A325="","",[1]!thsiFinD("ths_adjustment_nv_fund",AH$3,$A325))</f>
        <v/>
      </c>
      <c r="AI325" s="13">
        <f>IF($A325="","",[1]!thsiFinD("ths_adjustment_nv_fund",AI$3,$A325))</f>
        <v/>
      </c>
      <c r="AJ325" s="13">
        <f>IF($A325="","",[1]!thsiFinD("ths_adjustment_nv_fund",AJ$3,$A325))</f>
        <v/>
      </c>
      <c r="AK325" s="13">
        <f>IF($A325="","",[1]!thsiFinD("ths_adjustment_nv_fund",AK$3,$A325))</f>
        <v/>
      </c>
      <c r="AL325" s="13">
        <f>IF($A325="","",[1]!thsiFinD("ths_adjustment_nv_fund",AL$3,$A325))</f>
        <v/>
      </c>
    </row>
    <row r="326" spans="2:28">
      <c r="B326" s="13" t="str">
        <f>IF($A326="","",[1]!thsiFinD("ths_adjustment_nv_fund",B$3,$A326))</f>
        <v/>
      </c>
      <c r="C326" s="13" t="str">
        <f>IF($A326="","",[1]!thsiFinD("ths_adjustment_nv_fund",C$3,$A326))</f>
        <v/>
      </c>
      <c r="D326" s="13" t="str">
        <f>IF($A326="","",[1]!thsiFinD("ths_adjustment_nv_fund",D$3,$A326))</f>
        <v/>
      </c>
      <c r="E326" s="13" t="str">
        <f>IF($A326="","",[1]!thsiFinD("ths_adjustment_nv_fund",E$3,$A326))</f>
        <v/>
      </c>
      <c r="F326" s="13" t="str">
        <f>IF($A326="","",[1]!thsiFinD("ths_adjustment_nv_fund",F$3,$A326))</f>
        <v/>
      </c>
      <c r="G326" s="13" t="str">
        <f>IF($A326="","",[1]!thsiFinD("ths_adjustment_nv_fund",G$3,$A326))</f>
        <v/>
      </c>
      <c r="H326" s="13" t="str">
        <f>IF($A326="","",[1]!thsiFinD("ths_adjustment_nv_fund",H$3,$A326))</f>
        <v/>
      </c>
      <c r="I326" s="13" t="str">
        <f>IF($A326="","",[1]!thsiFinD("ths_adjustment_nv_fund",I$3,$A326))</f>
        <v/>
      </c>
      <c r="J326" s="13" t="str">
        <f>IF($A326="","",[1]!thsiFinD("ths_adjustment_nv_fund",J$3,$A326))</f>
        <v/>
      </c>
      <c r="K326" s="13" t="str">
        <f>IF($A326="","",[1]!thsiFinD("ths_adjustment_nv_fund",K$3,$A326))</f>
        <v/>
      </c>
      <c r="L326" s="13" t="str">
        <f>IF($A326="","",[1]!thsiFinD("ths_adjustment_nv_fund",L$3,$A326))</f>
        <v/>
      </c>
      <c r="M326" s="13" t="str">
        <f>IF($A326="","",[1]!thsiFinD("ths_adjustment_nv_fund",M$3,$A326))</f>
        <v/>
      </c>
      <c r="N326" s="13" t="str">
        <f>IF($A326="","",[1]!thsiFinD("ths_adjustment_nv_fund",N$3,$A326))</f>
        <v/>
      </c>
      <c r="O326" s="13" t="str">
        <f>IF($A326="","",[1]!thsiFinD("ths_adjustment_nv_fund",O$3,$A326))</f>
        <v/>
      </c>
      <c r="P326" s="13" t="str">
        <f>IF($A326="","",[1]!thsiFinD("ths_adjustment_nv_fund",P$3,$A326))</f>
        <v/>
      </c>
      <c r="Q326" s="13" t="str">
        <f>IF($A326="","",[1]!thsiFinD("ths_adjustment_nv_fund",Q$3,$A326))</f>
        <v/>
      </c>
      <c r="R326" s="13" t="str">
        <f>IF($A326="","",[1]!thsiFinD("ths_adjustment_nv_fund",R$3,$A326))</f>
        <v/>
      </c>
      <c r="S326" s="13" t="str">
        <f>IF($A326="","",[1]!thsiFinD("ths_adjustment_nv_fund",S$3,$A326))</f>
        <v/>
      </c>
      <c r="T326" s="13" t="str">
        <f>IF($A326="","",[1]!thsiFinD("ths_adjustment_nv_fund",T$3,$A326))</f>
        <v/>
      </c>
      <c r="U326" s="13" t="str">
        <f>IF($A326="","",[1]!thsiFinD("ths_adjustment_nv_fund",U$3,$A326))</f>
        <v/>
      </c>
      <c r="V326" s="13" t="str">
        <f>IF($A326="","",[1]!thsiFinD("ths_adjustment_nv_fund",V$3,$A326))</f>
        <v/>
      </c>
      <c r="W326" s="13" t="str">
        <f>IF($A326="","",[1]!thsiFinD("ths_adjustment_nv_fund",W$3,$A326))</f>
        <v/>
      </c>
      <c r="X326" s="13" t="str">
        <f>IF($A326="","",[1]!thsiFinD("ths_adjustment_nv_fund",X$3,$A326))</f>
        <v/>
      </c>
      <c r="Y326" s="13" t="str">
        <f>IF($A326="","",[1]!thsiFinD("ths_adjustment_nv_fund",Y$3,$A326))</f>
        <v/>
      </c>
      <c r="Z326" s="13" t="str">
        <f>IF($A326="","",[1]!thsiFinD("ths_adjustment_nv_fund",Z$3,$A326))</f>
        <v/>
      </c>
      <c r="AA326" s="13" t="str">
        <f>IF($A326="","",[1]!thsiFinD("ths_adjustment_nv_fund",AA$3,$A326))</f>
        <v/>
      </c>
      <c r="AB326" s="13">
        <f>IF($A326="","",[1]!thsiFinD("ths_adjustment_nv_fund",AB$3,$A326))</f>
        <v/>
      </c>
      <c r="AC326" s="13">
        <f>IF($A326="","",[1]!thsiFinD("ths_adjustment_nv_fund",AC$3,$A326))</f>
        <v/>
      </c>
      <c r="AD326" s="13">
        <f>IF($A326="","",[1]!thsiFinD("ths_adjustment_nv_fund",AD$3,$A326))</f>
        <v/>
      </c>
      <c r="AE326" s="13">
        <f>IF($A326="","",[1]!thsiFinD("ths_adjustment_nv_fund",AE$3,$A326))</f>
        <v/>
      </c>
      <c r="AF326" s="13">
        <f>IF($A326="","",[1]!thsiFinD("ths_adjustment_nv_fund",AF$3,$A326))</f>
        <v/>
      </c>
      <c r="AG326" s="13">
        <f>IF($A326="","",[1]!thsiFinD("ths_adjustment_nv_fund",AG$3,$A326))</f>
        <v/>
      </c>
      <c r="AH326" s="13">
        <f>IF($A326="","",[1]!thsiFinD("ths_adjustment_nv_fund",AH$3,$A326))</f>
        <v/>
      </c>
      <c r="AI326" s="13">
        <f>IF($A326="","",[1]!thsiFinD("ths_adjustment_nv_fund",AI$3,$A326))</f>
        <v/>
      </c>
      <c r="AJ326" s="13">
        <f>IF($A326="","",[1]!thsiFinD("ths_adjustment_nv_fund",AJ$3,$A326))</f>
        <v/>
      </c>
      <c r="AK326" s="13">
        <f>IF($A326="","",[1]!thsiFinD("ths_adjustment_nv_fund",AK$3,$A326))</f>
        <v/>
      </c>
      <c r="AL326" s="13">
        <f>IF($A326="","",[1]!thsiFinD("ths_adjustment_nv_fund",AL$3,$A326))</f>
        <v/>
      </c>
    </row>
    <row r="327" spans="2:28">
      <c r="B327" s="13" t="str">
        <f>IF($A327="","",[1]!thsiFinD("ths_adjustment_nv_fund",B$3,$A327))</f>
        <v/>
      </c>
      <c r="C327" s="13" t="str">
        <f>IF($A327="","",[1]!thsiFinD("ths_adjustment_nv_fund",C$3,$A327))</f>
        <v/>
      </c>
      <c r="D327" s="13" t="str">
        <f>IF($A327="","",[1]!thsiFinD("ths_adjustment_nv_fund",D$3,$A327))</f>
        <v/>
      </c>
      <c r="E327" s="13" t="str">
        <f>IF($A327="","",[1]!thsiFinD("ths_adjustment_nv_fund",E$3,$A327))</f>
        <v/>
      </c>
      <c r="F327" s="13" t="str">
        <f>IF($A327="","",[1]!thsiFinD("ths_adjustment_nv_fund",F$3,$A327))</f>
        <v/>
      </c>
      <c r="G327" s="13" t="str">
        <f>IF($A327="","",[1]!thsiFinD("ths_adjustment_nv_fund",G$3,$A327))</f>
        <v/>
      </c>
      <c r="H327" s="13" t="str">
        <f>IF($A327="","",[1]!thsiFinD("ths_adjustment_nv_fund",H$3,$A327))</f>
        <v/>
      </c>
      <c r="I327" s="13" t="str">
        <f>IF($A327="","",[1]!thsiFinD("ths_adjustment_nv_fund",I$3,$A327))</f>
        <v/>
      </c>
      <c r="J327" s="13" t="str">
        <f>IF($A327="","",[1]!thsiFinD("ths_adjustment_nv_fund",J$3,$A327))</f>
        <v/>
      </c>
      <c r="K327" s="13" t="str">
        <f>IF($A327="","",[1]!thsiFinD("ths_adjustment_nv_fund",K$3,$A327))</f>
        <v/>
      </c>
      <c r="L327" s="13" t="str">
        <f>IF($A327="","",[1]!thsiFinD("ths_adjustment_nv_fund",L$3,$A327))</f>
        <v/>
      </c>
      <c r="M327" s="13" t="str">
        <f>IF($A327="","",[1]!thsiFinD("ths_adjustment_nv_fund",M$3,$A327))</f>
        <v/>
      </c>
      <c r="N327" s="13" t="str">
        <f>IF($A327="","",[1]!thsiFinD("ths_adjustment_nv_fund",N$3,$A327))</f>
        <v/>
      </c>
      <c r="O327" s="13" t="str">
        <f>IF($A327="","",[1]!thsiFinD("ths_adjustment_nv_fund",O$3,$A327))</f>
        <v/>
      </c>
      <c r="P327" s="13" t="str">
        <f>IF($A327="","",[1]!thsiFinD("ths_adjustment_nv_fund",P$3,$A327))</f>
        <v/>
      </c>
      <c r="Q327" s="13" t="str">
        <f>IF($A327="","",[1]!thsiFinD("ths_adjustment_nv_fund",Q$3,$A327))</f>
        <v/>
      </c>
      <c r="R327" s="13" t="str">
        <f>IF($A327="","",[1]!thsiFinD("ths_adjustment_nv_fund",R$3,$A327))</f>
        <v/>
      </c>
      <c r="S327" s="13" t="str">
        <f>IF($A327="","",[1]!thsiFinD("ths_adjustment_nv_fund",S$3,$A327))</f>
        <v/>
      </c>
      <c r="T327" s="13" t="str">
        <f>IF($A327="","",[1]!thsiFinD("ths_adjustment_nv_fund",T$3,$A327))</f>
        <v/>
      </c>
      <c r="U327" s="13" t="str">
        <f>IF($A327="","",[1]!thsiFinD("ths_adjustment_nv_fund",U$3,$A327))</f>
        <v/>
      </c>
      <c r="V327" s="13" t="str">
        <f>IF($A327="","",[1]!thsiFinD("ths_adjustment_nv_fund",V$3,$A327))</f>
        <v/>
      </c>
      <c r="W327" s="13" t="str">
        <f>IF($A327="","",[1]!thsiFinD("ths_adjustment_nv_fund",W$3,$A327))</f>
        <v/>
      </c>
      <c r="X327" s="13" t="str">
        <f>IF($A327="","",[1]!thsiFinD("ths_adjustment_nv_fund",X$3,$A327))</f>
        <v/>
      </c>
      <c r="Y327" s="13" t="str">
        <f>IF($A327="","",[1]!thsiFinD("ths_adjustment_nv_fund",Y$3,$A327))</f>
        <v/>
      </c>
      <c r="Z327" s="13" t="str">
        <f>IF($A327="","",[1]!thsiFinD("ths_adjustment_nv_fund",Z$3,$A327))</f>
        <v/>
      </c>
      <c r="AA327" s="13" t="str">
        <f>IF($A327="","",[1]!thsiFinD("ths_adjustment_nv_fund",AA$3,$A327))</f>
        <v/>
      </c>
      <c r="AB327" s="13">
        <f>IF($A327="","",[1]!thsiFinD("ths_adjustment_nv_fund",AB$3,$A327))</f>
        <v/>
      </c>
      <c r="AC327" s="13">
        <f>IF($A327="","",[1]!thsiFinD("ths_adjustment_nv_fund",AC$3,$A327))</f>
        <v/>
      </c>
      <c r="AD327" s="13">
        <f>IF($A327="","",[1]!thsiFinD("ths_adjustment_nv_fund",AD$3,$A327))</f>
        <v/>
      </c>
      <c r="AE327" s="13">
        <f>IF($A327="","",[1]!thsiFinD("ths_adjustment_nv_fund",AE$3,$A327))</f>
        <v/>
      </c>
      <c r="AF327" s="13">
        <f>IF($A327="","",[1]!thsiFinD("ths_adjustment_nv_fund",AF$3,$A327))</f>
        <v/>
      </c>
      <c r="AG327" s="13">
        <f>IF($A327="","",[1]!thsiFinD("ths_adjustment_nv_fund",AG$3,$A327))</f>
        <v/>
      </c>
      <c r="AH327" s="13">
        <f>IF($A327="","",[1]!thsiFinD("ths_adjustment_nv_fund",AH$3,$A327))</f>
        <v/>
      </c>
      <c r="AI327" s="13">
        <f>IF($A327="","",[1]!thsiFinD("ths_adjustment_nv_fund",AI$3,$A327))</f>
        <v/>
      </c>
      <c r="AJ327" s="13">
        <f>IF($A327="","",[1]!thsiFinD("ths_adjustment_nv_fund",AJ$3,$A327))</f>
        <v/>
      </c>
      <c r="AK327" s="13">
        <f>IF($A327="","",[1]!thsiFinD("ths_adjustment_nv_fund",AK$3,$A327))</f>
        <v/>
      </c>
      <c r="AL327" s="13">
        <f>IF($A327="","",[1]!thsiFinD("ths_adjustment_nv_fund",AL$3,$A327))</f>
        <v/>
      </c>
    </row>
    <row r="328" spans="2:28">
      <c r="B328" s="13" t="str">
        <f>IF($A328="","",[1]!thsiFinD("ths_adjustment_nv_fund",B$3,$A328))</f>
        <v/>
      </c>
      <c r="C328" s="13" t="str">
        <f>IF($A328="","",[1]!thsiFinD("ths_adjustment_nv_fund",C$3,$A328))</f>
        <v/>
      </c>
      <c r="D328" s="13" t="str">
        <f>IF($A328="","",[1]!thsiFinD("ths_adjustment_nv_fund",D$3,$A328))</f>
        <v/>
      </c>
      <c r="E328" s="13" t="str">
        <f>IF($A328="","",[1]!thsiFinD("ths_adjustment_nv_fund",E$3,$A328))</f>
        <v/>
      </c>
      <c r="F328" s="13" t="str">
        <f>IF($A328="","",[1]!thsiFinD("ths_adjustment_nv_fund",F$3,$A328))</f>
        <v/>
      </c>
      <c r="G328" s="13" t="str">
        <f>IF($A328="","",[1]!thsiFinD("ths_adjustment_nv_fund",G$3,$A328))</f>
        <v/>
      </c>
      <c r="H328" s="13" t="str">
        <f>IF($A328="","",[1]!thsiFinD("ths_adjustment_nv_fund",H$3,$A328))</f>
        <v/>
      </c>
      <c r="I328" s="13" t="str">
        <f>IF($A328="","",[1]!thsiFinD("ths_adjustment_nv_fund",I$3,$A328))</f>
        <v/>
      </c>
      <c r="J328" s="13" t="str">
        <f>IF($A328="","",[1]!thsiFinD("ths_adjustment_nv_fund",J$3,$A328))</f>
        <v/>
      </c>
      <c r="K328" s="13" t="str">
        <f>IF($A328="","",[1]!thsiFinD("ths_adjustment_nv_fund",K$3,$A328))</f>
        <v/>
      </c>
      <c r="L328" s="13" t="str">
        <f>IF($A328="","",[1]!thsiFinD("ths_adjustment_nv_fund",L$3,$A328))</f>
        <v/>
      </c>
      <c r="M328" s="13" t="str">
        <f>IF($A328="","",[1]!thsiFinD("ths_adjustment_nv_fund",M$3,$A328))</f>
        <v/>
      </c>
      <c r="N328" s="13" t="str">
        <f>IF($A328="","",[1]!thsiFinD("ths_adjustment_nv_fund",N$3,$A328))</f>
        <v/>
      </c>
      <c r="O328" s="13" t="str">
        <f>IF($A328="","",[1]!thsiFinD("ths_adjustment_nv_fund",O$3,$A328))</f>
        <v/>
      </c>
      <c r="P328" s="13" t="str">
        <f>IF($A328="","",[1]!thsiFinD("ths_adjustment_nv_fund",P$3,$A328))</f>
        <v/>
      </c>
      <c r="Q328" s="13" t="str">
        <f>IF($A328="","",[1]!thsiFinD("ths_adjustment_nv_fund",Q$3,$A328))</f>
        <v/>
      </c>
      <c r="R328" s="13" t="str">
        <f>IF($A328="","",[1]!thsiFinD("ths_adjustment_nv_fund",R$3,$A328))</f>
        <v/>
      </c>
      <c r="S328" s="13" t="str">
        <f>IF($A328="","",[1]!thsiFinD("ths_adjustment_nv_fund",S$3,$A328))</f>
        <v/>
      </c>
      <c r="T328" s="13" t="str">
        <f>IF($A328="","",[1]!thsiFinD("ths_adjustment_nv_fund",T$3,$A328))</f>
        <v/>
      </c>
      <c r="U328" s="13" t="str">
        <f>IF($A328="","",[1]!thsiFinD("ths_adjustment_nv_fund",U$3,$A328))</f>
        <v/>
      </c>
      <c r="V328" s="13" t="str">
        <f>IF($A328="","",[1]!thsiFinD("ths_adjustment_nv_fund",V$3,$A328))</f>
        <v/>
      </c>
      <c r="W328" s="13" t="str">
        <f>IF($A328="","",[1]!thsiFinD("ths_adjustment_nv_fund",W$3,$A328))</f>
        <v/>
      </c>
      <c r="X328" s="13" t="str">
        <f>IF($A328="","",[1]!thsiFinD("ths_adjustment_nv_fund",X$3,$A328))</f>
        <v/>
      </c>
      <c r="Y328" s="13" t="str">
        <f>IF($A328="","",[1]!thsiFinD("ths_adjustment_nv_fund",Y$3,$A328))</f>
        <v/>
      </c>
      <c r="Z328" s="13" t="str">
        <f>IF($A328="","",[1]!thsiFinD("ths_adjustment_nv_fund",Z$3,$A328))</f>
        <v/>
      </c>
      <c r="AA328" s="13" t="str">
        <f>IF($A328="","",[1]!thsiFinD("ths_adjustment_nv_fund",AA$3,$A328))</f>
        <v/>
      </c>
      <c r="AB328" s="13">
        <f>IF($A328="","",[1]!thsiFinD("ths_adjustment_nv_fund",AB$3,$A328))</f>
        <v/>
      </c>
      <c r="AC328" s="13">
        <f>IF($A328="","",[1]!thsiFinD("ths_adjustment_nv_fund",AC$3,$A328))</f>
        <v/>
      </c>
      <c r="AD328" s="13">
        <f>IF($A328="","",[1]!thsiFinD("ths_adjustment_nv_fund",AD$3,$A328))</f>
        <v/>
      </c>
      <c r="AE328" s="13">
        <f>IF($A328="","",[1]!thsiFinD("ths_adjustment_nv_fund",AE$3,$A328))</f>
        <v/>
      </c>
      <c r="AF328" s="13">
        <f>IF($A328="","",[1]!thsiFinD("ths_adjustment_nv_fund",AF$3,$A328))</f>
        <v/>
      </c>
      <c r="AG328" s="13">
        <f>IF($A328="","",[1]!thsiFinD("ths_adjustment_nv_fund",AG$3,$A328))</f>
        <v/>
      </c>
      <c r="AH328" s="13">
        <f>IF($A328="","",[1]!thsiFinD("ths_adjustment_nv_fund",AH$3,$A328))</f>
        <v/>
      </c>
      <c r="AI328" s="13">
        <f>IF($A328="","",[1]!thsiFinD("ths_adjustment_nv_fund",AI$3,$A328))</f>
        <v/>
      </c>
      <c r="AJ328" s="13">
        <f>IF($A328="","",[1]!thsiFinD("ths_adjustment_nv_fund",AJ$3,$A328))</f>
        <v/>
      </c>
      <c r="AK328" s="13">
        <f>IF($A328="","",[1]!thsiFinD("ths_adjustment_nv_fund",AK$3,$A328))</f>
        <v/>
      </c>
      <c r="AL328" s="13">
        <f>IF($A328="","",[1]!thsiFinD("ths_adjustment_nv_fund",AL$3,$A328))</f>
        <v/>
      </c>
    </row>
    <row r="329" spans="2:28">
      <c r="B329" s="13" t="str">
        <f>IF($A329="","",[1]!thsiFinD("ths_adjustment_nv_fund",B$3,$A329))</f>
        <v/>
      </c>
      <c r="C329" s="13" t="str">
        <f>IF($A329="","",[1]!thsiFinD("ths_adjustment_nv_fund",C$3,$A329))</f>
        <v/>
      </c>
      <c r="D329" s="13" t="str">
        <f>IF($A329="","",[1]!thsiFinD("ths_adjustment_nv_fund",D$3,$A329))</f>
        <v/>
      </c>
      <c r="E329" s="13" t="str">
        <f>IF($A329="","",[1]!thsiFinD("ths_adjustment_nv_fund",E$3,$A329))</f>
        <v/>
      </c>
      <c r="F329" s="13" t="str">
        <f>IF($A329="","",[1]!thsiFinD("ths_adjustment_nv_fund",F$3,$A329))</f>
        <v/>
      </c>
      <c r="G329" s="13" t="str">
        <f>IF($A329="","",[1]!thsiFinD("ths_adjustment_nv_fund",G$3,$A329))</f>
        <v/>
      </c>
      <c r="H329" s="13" t="str">
        <f>IF($A329="","",[1]!thsiFinD("ths_adjustment_nv_fund",H$3,$A329))</f>
        <v/>
      </c>
      <c r="I329" s="13" t="str">
        <f>IF($A329="","",[1]!thsiFinD("ths_adjustment_nv_fund",I$3,$A329))</f>
        <v/>
      </c>
      <c r="J329" s="13" t="str">
        <f>IF($A329="","",[1]!thsiFinD("ths_adjustment_nv_fund",J$3,$A329))</f>
        <v/>
      </c>
      <c r="K329" s="13" t="str">
        <f>IF($A329="","",[1]!thsiFinD("ths_adjustment_nv_fund",K$3,$A329))</f>
        <v/>
      </c>
      <c r="L329" s="13" t="str">
        <f>IF($A329="","",[1]!thsiFinD("ths_adjustment_nv_fund",L$3,$A329))</f>
        <v/>
      </c>
      <c r="M329" s="13" t="str">
        <f>IF($A329="","",[1]!thsiFinD("ths_adjustment_nv_fund",M$3,$A329))</f>
        <v/>
      </c>
      <c r="N329" s="13" t="str">
        <f>IF($A329="","",[1]!thsiFinD("ths_adjustment_nv_fund",N$3,$A329))</f>
        <v/>
      </c>
      <c r="O329" s="13" t="str">
        <f>IF($A329="","",[1]!thsiFinD("ths_adjustment_nv_fund",O$3,$A329))</f>
        <v/>
      </c>
      <c r="P329" s="13" t="str">
        <f>IF($A329="","",[1]!thsiFinD("ths_adjustment_nv_fund",P$3,$A329))</f>
        <v/>
      </c>
      <c r="Q329" s="13" t="str">
        <f>IF($A329="","",[1]!thsiFinD("ths_adjustment_nv_fund",Q$3,$A329))</f>
        <v/>
      </c>
      <c r="R329" s="13" t="str">
        <f>IF($A329="","",[1]!thsiFinD("ths_adjustment_nv_fund",R$3,$A329))</f>
        <v/>
      </c>
      <c r="S329" s="13" t="str">
        <f>IF($A329="","",[1]!thsiFinD("ths_adjustment_nv_fund",S$3,$A329))</f>
        <v/>
      </c>
      <c r="T329" s="13" t="str">
        <f>IF($A329="","",[1]!thsiFinD("ths_adjustment_nv_fund",T$3,$A329))</f>
        <v/>
      </c>
      <c r="U329" s="13" t="str">
        <f>IF($A329="","",[1]!thsiFinD("ths_adjustment_nv_fund",U$3,$A329))</f>
        <v/>
      </c>
      <c r="V329" s="13" t="str">
        <f>IF($A329="","",[1]!thsiFinD("ths_adjustment_nv_fund",V$3,$A329))</f>
        <v/>
      </c>
      <c r="W329" s="13" t="str">
        <f>IF($A329="","",[1]!thsiFinD("ths_adjustment_nv_fund",W$3,$A329))</f>
        <v/>
      </c>
      <c r="X329" s="13" t="str">
        <f>IF($A329="","",[1]!thsiFinD("ths_adjustment_nv_fund",X$3,$A329))</f>
        <v/>
      </c>
      <c r="Y329" s="13" t="str">
        <f>IF($A329="","",[1]!thsiFinD("ths_adjustment_nv_fund",Y$3,$A329))</f>
        <v/>
      </c>
      <c r="Z329" s="13" t="str">
        <f>IF($A329="","",[1]!thsiFinD("ths_adjustment_nv_fund",Z$3,$A329))</f>
        <v/>
      </c>
      <c r="AA329" s="13" t="str">
        <f>IF($A329="","",[1]!thsiFinD("ths_adjustment_nv_fund",AA$3,$A329))</f>
        <v/>
      </c>
      <c r="AB329" s="13">
        <f>IF($A329="","",[1]!thsiFinD("ths_adjustment_nv_fund",AB$3,$A329))</f>
        <v/>
      </c>
      <c r="AC329" s="13">
        <f>IF($A329="","",[1]!thsiFinD("ths_adjustment_nv_fund",AC$3,$A329))</f>
        <v/>
      </c>
      <c r="AD329" s="13">
        <f>IF($A329="","",[1]!thsiFinD("ths_adjustment_nv_fund",AD$3,$A329))</f>
        <v/>
      </c>
      <c r="AE329" s="13">
        <f>IF($A329="","",[1]!thsiFinD("ths_adjustment_nv_fund",AE$3,$A329))</f>
        <v/>
      </c>
      <c r="AF329" s="13">
        <f>IF($A329="","",[1]!thsiFinD("ths_adjustment_nv_fund",AF$3,$A329))</f>
        <v/>
      </c>
      <c r="AG329" s="13">
        <f>IF($A329="","",[1]!thsiFinD("ths_adjustment_nv_fund",AG$3,$A329))</f>
        <v/>
      </c>
      <c r="AH329" s="13">
        <f>IF($A329="","",[1]!thsiFinD("ths_adjustment_nv_fund",AH$3,$A329))</f>
        <v/>
      </c>
      <c r="AI329" s="13">
        <f>IF($A329="","",[1]!thsiFinD("ths_adjustment_nv_fund",AI$3,$A329))</f>
        <v/>
      </c>
      <c r="AJ329" s="13">
        <f>IF($A329="","",[1]!thsiFinD("ths_adjustment_nv_fund",AJ$3,$A329))</f>
        <v/>
      </c>
      <c r="AK329" s="13">
        <f>IF($A329="","",[1]!thsiFinD("ths_adjustment_nv_fund",AK$3,$A329))</f>
        <v/>
      </c>
      <c r="AL329" s="13">
        <f>IF($A329="","",[1]!thsiFinD("ths_adjustment_nv_fund",AL$3,$A329))</f>
        <v/>
      </c>
    </row>
    <row r="330" spans="2:28">
      <c r="B330" s="13" t="str">
        <f>IF($A330="","",[1]!thsiFinD("ths_adjustment_nv_fund",B$3,$A330))</f>
        <v/>
      </c>
      <c r="C330" s="13" t="str">
        <f>IF($A330="","",[1]!thsiFinD("ths_adjustment_nv_fund",C$3,$A330))</f>
        <v/>
      </c>
      <c r="D330" s="13" t="str">
        <f>IF($A330="","",[1]!thsiFinD("ths_adjustment_nv_fund",D$3,$A330))</f>
        <v/>
      </c>
      <c r="E330" s="13" t="str">
        <f>IF($A330="","",[1]!thsiFinD("ths_adjustment_nv_fund",E$3,$A330))</f>
        <v/>
      </c>
      <c r="F330" s="13" t="str">
        <f>IF($A330="","",[1]!thsiFinD("ths_adjustment_nv_fund",F$3,$A330))</f>
        <v/>
      </c>
      <c r="G330" s="13" t="str">
        <f>IF($A330="","",[1]!thsiFinD("ths_adjustment_nv_fund",G$3,$A330))</f>
        <v/>
      </c>
      <c r="H330" s="13" t="str">
        <f>IF($A330="","",[1]!thsiFinD("ths_adjustment_nv_fund",H$3,$A330))</f>
        <v/>
      </c>
      <c r="I330" s="13" t="str">
        <f>IF($A330="","",[1]!thsiFinD("ths_adjustment_nv_fund",I$3,$A330))</f>
        <v/>
      </c>
      <c r="J330" s="13" t="str">
        <f>IF($A330="","",[1]!thsiFinD("ths_adjustment_nv_fund",J$3,$A330))</f>
        <v/>
      </c>
      <c r="K330" s="13" t="str">
        <f>IF($A330="","",[1]!thsiFinD("ths_adjustment_nv_fund",K$3,$A330))</f>
        <v/>
      </c>
      <c r="L330" s="13" t="str">
        <f>IF($A330="","",[1]!thsiFinD("ths_adjustment_nv_fund",L$3,$A330))</f>
        <v/>
      </c>
      <c r="M330" s="13" t="str">
        <f>IF($A330="","",[1]!thsiFinD("ths_adjustment_nv_fund",M$3,$A330))</f>
        <v/>
      </c>
      <c r="N330" s="13" t="str">
        <f>IF($A330="","",[1]!thsiFinD("ths_adjustment_nv_fund",N$3,$A330))</f>
        <v/>
      </c>
      <c r="O330" s="13" t="str">
        <f>IF($A330="","",[1]!thsiFinD("ths_adjustment_nv_fund",O$3,$A330))</f>
        <v/>
      </c>
      <c r="P330" s="13" t="str">
        <f>IF($A330="","",[1]!thsiFinD("ths_adjustment_nv_fund",P$3,$A330))</f>
        <v/>
      </c>
      <c r="Q330" s="13" t="str">
        <f>IF($A330="","",[1]!thsiFinD("ths_adjustment_nv_fund",Q$3,$A330))</f>
        <v/>
      </c>
      <c r="R330" s="13" t="str">
        <f>IF($A330="","",[1]!thsiFinD("ths_adjustment_nv_fund",R$3,$A330))</f>
        <v/>
      </c>
      <c r="S330" s="13" t="str">
        <f>IF($A330="","",[1]!thsiFinD("ths_adjustment_nv_fund",S$3,$A330))</f>
        <v/>
      </c>
      <c r="T330" s="13" t="str">
        <f>IF($A330="","",[1]!thsiFinD("ths_adjustment_nv_fund",T$3,$A330))</f>
        <v/>
      </c>
      <c r="U330" s="13" t="str">
        <f>IF($A330="","",[1]!thsiFinD("ths_adjustment_nv_fund",U$3,$A330))</f>
        <v/>
      </c>
      <c r="V330" s="13" t="str">
        <f>IF($A330="","",[1]!thsiFinD("ths_adjustment_nv_fund",V$3,$A330))</f>
        <v/>
      </c>
      <c r="W330" s="13" t="str">
        <f>IF($A330="","",[1]!thsiFinD("ths_adjustment_nv_fund",W$3,$A330))</f>
        <v/>
      </c>
      <c r="X330" s="13" t="str">
        <f>IF($A330="","",[1]!thsiFinD("ths_adjustment_nv_fund",X$3,$A330))</f>
        <v/>
      </c>
      <c r="Y330" s="13" t="str">
        <f>IF($A330="","",[1]!thsiFinD("ths_adjustment_nv_fund",Y$3,$A330))</f>
        <v/>
      </c>
      <c r="Z330" s="13" t="str">
        <f>IF($A330="","",[1]!thsiFinD("ths_adjustment_nv_fund",Z$3,$A330))</f>
        <v/>
      </c>
      <c r="AA330" s="13" t="str">
        <f>IF($A330="","",[1]!thsiFinD("ths_adjustment_nv_fund",AA$3,$A330))</f>
        <v/>
      </c>
      <c r="AB330" s="13">
        <f>IF($A330="","",[1]!thsiFinD("ths_adjustment_nv_fund",AB$3,$A330))</f>
        <v/>
      </c>
      <c r="AC330" s="13">
        <f>IF($A330="","",[1]!thsiFinD("ths_adjustment_nv_fund",AC$3,$A330))</f>
        <v/>
      </c>
      <c r="AD330" s="13">
        <f>IF($A330="","",[1]!thsiFinD("ths_adjustment_nv_fund",AD$3,$A330))</f>
        <v/>
      </c>
      <c r="AE330" s="13">
        <f>IF($A330="","",[1]!thsiFinD("ths_adjustment_nv_fund",AE$3,$A330))</f>
        <v/>
      </c>
      <c r="AF330" s="13">
        <f>IF($A330="","",[1]!thsiFinD("ths_adjustment_nv_fund",AF$3,$A330))</f>
        <v/>
      </c>
      <c r="AG330" s="13">
        <f>IF($A330="","",[1]!thsiFinD("ths_adjustment_nv_fund",AG$3,$A330))</f>
        <v/>
      </c>
      <c r="AH330" s="13">
        <f>IF($A330="","",[1]!thsiFinD("ths_adjustment_nv_fund",AH$3,$A330))</f>
        <v/>
      </c>
      <c r="AI330" s="13">
        <f>IF($A330="","",[1]!thsiFinD("ths_adjustment_nv_fund",AI$3,$A330))</f>
        <v/>
      </c>
      <c r="AJ330" s="13">
        <f>IF($A330="","",[1]!thsiFinD("ths_adjustment_nv_fund",AJ$3,$A330))</f>
        <v/>
      </c>
      <c r="AK330" s="13">
        <f>IF($A330="","",[1]!thsiFinD("ths_adjustment_nv_fund",AK$3,$A330))</f>
        <v/>
      </c>
      <c r="AL330" s="13">
        <f>IF($A330="","",[1]!thsiFinD("ths_adjustment_nv_fund",AL$3,$A330))</f>
        <v/>
      </c>
    </row>
    <row r="331" spans="2:28">
      <c r="B331" s="13" t="str">
        <f>IF($A331="","",[1]!thsiFinD("ths_adjustment_nv_fund",B$3,$A331))</f>
        <v/>
      </c>
      <c r="C331" s="13" t="str">
        <f>IF($A331="","",[1]!thsiFinD("ths_adjustment_nv_fund",C$3,$A331))</f>
        <v/>
      </c>
      <c r="D331" s="13" t="str">
        <f>IF($A331="","",[1]!thsiFinD("ths_adjustment_nv_fund",D$3,$A331))</f>
        <v/>
      </c>
      <c r="E331" s="13" t="str">
        <f>IF($A331="","",[1]!thsiFinD("ths_adjustment_nv_fund",E$3,$A331))</f>
        <v/>
      </c>
      <c r="F331" s="13" t="str">
        <f>IF($A331="","",[1]!thsiFinD("ths_adjustment_nv_fund",F$3,$A331))</f>
        <v/>
      </c>
      <c r="G331" s="13" t="str">
        <f>IF($A331="","",[1]!thsiFinD("ths_adjustment_nv_fund",G$3,$A331))</f>
        <v/>
      </c>
      <c r="H331" s="13" t="str">
        <f>IF($A331="","",[1]!thsiFinD("ths_adjustment_nv_fund",H$3,$A331))</f>
        <v/>
      </c>
      <c r="I331" s="13" t="str">
        <f>IF($A331="","",[1]!thsiFinD("ths_adjustment_nv_fund",I$3,$A331))</f>
        <v/>
      </c>
      <c r="J331" s="13" t="str">
        <f>IF($A331="","",[1]!thsiFinD("ths_adjustment_nv_fund",J$3,$A331))</f>
        <v/>
      </c>
      <c r="K331" s="13" t="str">
        <f>IF($A331="","",[1]!thsiFinD("ths_adjustment_nv_fund",K$3,$A331))</f>
        <v/>
      </c>
      <c r="L331" s="13" t="str">
        <f>IF($A331="","",[1]!thsiFinD("ths_adjustment_nv_fund",L$3,$A331))</f>
        <v/>
      </c>
      <c r="M331" s="13" t="str">
        <f>IF($A331="","",[1]!thsiFinD("ths_adjustment_nv_fund",M$3,$A331))</f>
        <v/>
      </c>
      <c r="N331" s="13" t="str">
        <f>IF($A331="","",[1]!thsiFinD("ths_adjustment_nv_fund",N$3,$A331))</f>
        <v/>
      </c>
      <c r="O331" s="13" t="str">
        <f>IF($A331="","",[1]!thsiFinD("ths_adjustment_nv_fund",O$3,$A331))</f>
        <v/>
      </c>
      <c r="P331" s="13" t="str">
        <f>IF($A331="","",[1]!thsiFinD("ths_adjustment_nv_fund",P$3,$A331))</f>
        <v/>
      </c>
      <c r="Q331" s="13" t="str">
        <f>IF($A331="","",[1]!thsiFinD("ths_adjustment_nv_fund",Q$3,$A331))</f>
        <v/>
      </c>
      <c r="R331" s="13" t="str">
        <f>IF($A331="","",[1]!thsiFinD("ths_adjustment_nv_fund",R$3,$A331))</f>
        <v/>
      </c>
      <c r="S331" s="13" t="str">
        <f>IF($A331="","",[1]!thsiFinD("ths_adjustment_nv_fund",S$3,$A331))</f>
        <v/>
      </c>
      <c r="T331" s="13" t="str">
        <f>IF($A331="","",[1]!thsiFinD("ths_adjustment_nv_fund",T$3,$A331))</f>
        <v/>
      </c>
      <c r="U331" s="13" t="str">
        <f>IF($A331="","",[1]!thsiFinD("ths_adjustment_nv_fund",U$3,$A331))</f>
        <v/>
      </c>
      <c r="V331" s="13" t="str">
        <f>IF($A331="","",[1]!thsiFinD("ths_adjustment_nv_fund",V$3,$A331))</f>
        <v/>
      </c>
      <c r="W331" s="13" t="str">
        <f>IF($A331="","",[1]!thsiFinD("ths_adjustment_nv_fund",W$3,$A331))</f>
        <v/>
      </c>
      <c r="X331" s="13" t="str">
        <f>IF($A331="","",[1]!thsiFinD("ths_adjustment_nv_fund",X$3,$A331))</f>
        <v/>
      </c>
      <c r="Y331" s="13" t="str">
        <f>IF($A331="","",[1]!thsiFinD("ths_adjustment_nv_fund",Y$3,$A331))</f>
        <v/>
      </c>
      <c r="Z331" s="13" t="str">
        <f>IF($A331="","",[1]!thsiFinD("ths_adjustment_nv_fund",Z$3,$A331))</f>
        <v/>
      </c>
      <c r="AA331" s="13" t="str">
        <f>IF($A331="","",[1]!thsiFinD("ths_adjustment_nv_fund",AA$3,$A331))</f>
        <v/>
      </c>
      <c r="AB331" s="13">
        <f>IF($A331="","",[1]!thsiFinD("ths_adjustment_nv_fund",AB$3,$A331))</f>
        <v/>
      </c>
      <c r="AC331" s="13">
        <f>IF($A331="","",[1]!thsiFinD("ths_adjustment_nv_fund",AC$3,$A331))</f>
        <v/>
      </c>
      <c r="AD331" s="13">
        <f>IF($A331="","",[1]!thsiFinD("ths_adjustment_nv_fund",AD$3,$A331))</f>
        <v/>
      </c>
      <c r="AE331" s="13">
        <f>IF($A331="","",[1]!thsiFinD("ths_adjustment_nv_fund",AE$3,$A331))</f>
        <v/>
      </c>
      <c r="AF331" s="13">
        <f>IF($A331="","",[1]!thsiFinD("ths_adjustment_nv_fund",AF$3,$A331))</f>
        <v/>
      </c>
      <c r="AG331" s="13">
        <f>IF($A331="","",[1]!thsiFinD("ths_adjustment_nv_fund",AG$3,$A331))</f>
        <v/>
      </c>
      <c r="AH331" s="13">
        <f>IF($A331="","",[1]!thsiFinD("ths_adjustment_nv_fund",AH$3,$A331))</f>
        <v/>
      </c>
      <c r="AI331" s="13">
        <f>IF($A331="","",[1]!thsiFinD("ths_adjustment_nv_fund",AI$3,$A331))</f>
        <v/>
      </c>
      <c r="AJ331" s="13">
        <f>IF($A331="","",[1]!thsiFinD("ths_adjustment_nv_fund",AJ$3,$A331))</f>
        <v/>
      </c>
      <c r="AK331" s="13">
        <f>IF($A331="","",[1]!thsiFinD("ths_adjustment_nv_fund",AK$3,$A331))</f>
        <v/>
      </c>
      <c r="AL331" s="13">
        <f>IF($A331="","",[1]!thsiFinD("ths_adjustment_nv_fund",AL$3,$A331))</f>
        <v/>
      </c>
    </row>
    <row r="332" spans="2:28">
      <c r="B332" s="13" t="str">
        <f>IF($A332="","",[1]!thsiFinD("ths_adjustment_nv_fund",B$3,$A332))</f>
        <v/>
      </c>
      <c r="C332" s="13" t="str">
        <f>IF($A332="","",[1]!thsiFinD("ths_adjustment_nv_fund",C$3,$A332))</f>
        <v/>
      </c>
      <c r="D332" s="13" t="str">
        <f>IF($A332="","",[1]!thsiFinD("ths_adjustment_nv_fund",D$3,$A332))</f>
        <v/>
      </c>
      <c r="E332" s="13" t="str">
        <f>IF($A332="","",[1]!thsiFinD("ths_adjustment_nv_fund",E$3,$A332))</f>
        <v/>
      </c>
      <c r="F332" s="13" t="str">
        <f>IF($A332="","",[1]!thsiFinD("ths_adjustment_nv_fund",F$3,$A332))</f>
        <v/>
      </c>
      <c r="G332" s="13" t="str">
        <f>IF($A332="","",[1]!thsiFinD("ths_adjustment_nv_fund",G$3,$A332))</f>
        <v/>
      </c>
      <c r="H332" s="13" t="str">
        <f>IF($A332="","",[1]!thsiFinD("ths_adjustment_nv_fund",H$3,$A332))</f>
        <v/>
      </c>
      <c r="I332" s="13" t="str">
        <f>IF($A332="","",[1]!thsiFinD("ths_adjustment_nv_fund",I$3,$A332))</f>
        <v/>
      </c>
      <c r="J332" s="13" t="str">
        <f>IF($A332="","",[1]!thsiFinD("ths_adjustment_nv_fund",J$3,$A332))</f>
        <v/>
      </c>
      <c r="K332" s="13" t="str">
        <f>IF($A332="","",[1]!thsiFinD("ths_adjustment_nv_fund",K$3,$A332))</f>
        <v/>
      </c>
      <c r="L332" s="13" t="str">
        <f>IF($A332="","",[1]!thsiFinD("ths_adjustment_nv_fund",L$3,$A332))</f>
        <v/>
      </c>
      <c r="M332" s="13" t="str">
        <f>IF($A332="","",[1]!thsiFinD("ths_adjustment_nv_fund",M$3,$A332))</f>
        <v/>
      </c>
      <c r="N332" s="13" t="str">
        <f>IF($A332="","",[1]!thsiFinD("ths_adjustment_nv_fund",N$3,$A332))</f>
        <v/>
      </c>
      <c r="O332" s="13" t="str">
        <f>IF($A332="","",[1]!thsiFinD("ths_adjustment_nv_fund",O$3,$A332))</f>
        <v/>
      </c>
      <c r="P332" s="13" t="str">
        <f>IF($A332="","",[1]!thsiFinD("ths_adjustment_nv_fund",P$3,$A332))</f>
        <v/>
      </c>
      <c r="Q332" s="13" t="str">
        <f>IF($A332="","",[1]!thsiFinD("ths_adjustment_nv_fund",Q$3,$A332))</f>
        <v/>
      </c>
      <c r="R332" s="13" t="str">
        <f>IF($A332="","",[1]!thsiFinD("ths_adjustment_nv_fund",R$3,$A332))</f>
        <v/>
      </c>
      <c r="S332" s="13" t="str">
        <f>IF($A332="","",[1]!thsiFinD("ths_adjustment_nv_fund",S$3,$A332))</f>
        <v/>
      </c>
      <c r="T332" s="13" t="str">
        <f>IF($A332="","",[1]!thsiFinD("ths_adjustment_nv_fund",T$3,$A332))</f>
        <v/>
      </c>
      <c r="U332" s="13" t="str">
        <f>IF($A332="","",[1]!thsiFinD("ths_adjustment_nv_fund",U$3,$A332))</f>
        <v/>
      </c>
      <c r="V332" s="13" t="str">
        <f>IF($A332="","",[1]!thsiFinD("ths_adjustment_nv_fund",V$3,$A332))</f>
        <v/>
      </c>
      <c r="W332" s="13" t="str">
        <f>IF($A332="","",[1]!thsiFinD("ths_adjustment_nv_fund",W$3,$A332))</f>
        <v/>
      </c>
      <c r="X332" s="13" t="str">
        <f>IF($A332="","",[1]!thsiFinD("ths_adjustment_nv_fund",X$3,$A332))</f>
        <v/>
      </c>
      <c r="Y332" s="13" t="str">
        <f>IF($A332="","",[1]!thsiFinD("ths_adjustment_nv_fund",Y$3,$A332))</f>
        <v/>
      </c>
      <c r="Z332" s="13" t="str">
        <f>IF($A332="","",[1]!thsiFinD("ths_adjustment_nv_fund",Z$3,$A332))</f>
        <v/>
      </c>
      <c r="AA332" s="13" t="str">
        <f>IF($A332="","",[1]!thsiFinD("ths_adjustment_nv_fund",AA$3,$A332))</f>
        <v/>
      </c>
      <c r="AB332" s="13">
        <f>IF($A332="","",[1]!thsiFinD("ths_adjustment_nv_fund",AB$3,$A332))</f>
        <v/>
      </c>
      <c r="AC332" s="13">
        <f>IF($A332="","",[1]!thsiFinD("ths_adjustment_nv_fund",AC$3,$A332))</f>
        <v/>
      </c>
      <c r="AD332" s="13">
        <f>IF($A332="","",[1]!thsiFinD("ths_adjustment_nv_fund",AD$3,$A332))</f>
        <v/>
      </c>
      <c r="AE332" s="13">
        <f>IF($A332="","",[1]!thsiFinD("ths_adjustment_nv_fund",AE$3,$A332))</f>
        <v/>
      </c>
      <c r="AF332" s="13">
        <f>IF($A332="","",[1]!thsiFinD("ths_adjustment_nv_fund",AF$3,$A332))</f>
        <v/>
      </c>
      <c r="AG332" s="13">
        <f>IF($A332="","",[1]!thsiFinD("ths_adjustment_nv_fund",AG$3,$A332))</f>
        <v/>
      </c>
      <c r="AH332" s="13">
        <f>IF($A332="","",[1]!thsiFinD("ths_adjustment_nv_fund",AH$3,$A332))</f>
        <v/>
      </c>
      <c r="AI332" s="13">
        <f>IF($A332="","",[1]!thsiFinD("ths_adjustment_nv_fund",AI$3,$A332))</f>
        <v/>
      </c>
      <c r="AJ332" s="13">
        <f>IF($A332="","",[1]!thsiFinD("ths_adjustment_nv_fund",AJ$3,$A332))</f>
        <v/>
      </c>
      <c r="AK332" s="13">
        <f>IF($A332="","",[1]!thsiFinD("ths_adjustment_nv_fund",AK$3,$A332))</f>
        <v/>
      </c>
      <c r="AL332" s="13">
        <f>IF($A332="","",[1]!thsiFinD("ths_adjustment_nv_fund",AL$3,$A332))</f>
        <v/>
      </c>
    </row>
    <row r="333" spans="2:28">
      <c r="B333" s="13" t="str">
        <f>IF($A333="","",[1]!thsiFinD("ths_adjustment_nv_fund",B$3,$A333))</f>
        <v/>
      </c>
      <c r="C333" s="13" t="str">
        <f>IF($A333="","",[1]!thsiFinD("ths_adjustment_nv_fund",C$3,$A333))</f>
        <v/>
      </c>
      <c r="D333" s="13" t="str">
        <f>IF($A333="","",[1]!thsiFinD("ths_adjustment_nv_fund",D$3,$A333))</f>
        <v/>
      </c>
      <c r="E333" s="13" t="str">
        <f>IF($A333="","",[1]!thsiFinD("ths_adjustment_nv_fund",E$3,$A333))</f>
        <v/>
      </c>
      <c r="F333" s="13" t="str">
        <f>IF($A333="","",[1]!thsiFinD("ths_adjustment_nv_fund",F$3,$A333))</f>
        <v/>
      </c>
      <c r="G333" s="13" t="str">
        <f>IF($A333="","",[1]!thsiFinD("ths_adjustment_nv_fund",G$3,$A333))</f>
        <v/>
      </c>
      <c r="H333" s="13" t="str">
        <f>IF($A333="","",[1]!thsiFinD("ths_adjustment_nv_fund",H$3,$A333))</f>
        <v/>
      </c>
      <c r="I333" s="13" t="str">
        <f>IF($A333="","",[1]!thsiFinD("ths_adjustment_nv_fund",I$3,$A333))</f>
        <v/>
      </c>
      <c r="J333" s="13" t="str">
        <f>IF($A333="","",[1]!thsiFinD("ths_adjustment_nv_fund",J$3,$A333))</f>
        <v/>
      </c>
      <c r="K333" s="13" t="str">
        <f>IF($A333="","",[1]!thsiFinD("ths_adjustment_nv_fund",K$3,$A333))</f>
        <v/>
      </c>
      <c r="L333" s="13" t="str">
        <f>IF($A333="","",[1]!thsiFinD("ths_adjustment_nv_fund",L$3,$A333))</f>
        <v/>
      </c>
      <c r="M333" s="13" t="str">
        <f>IF($A333="","",[1]!thsiFinD("ths_adjustment_nv_fund",M$3,$A333))</f>
        <v/>
      </c>
      <c r="N333" s="13" t="str">
        <f>IF($A333="","",[1]!thsiFinD("ths_adjustment_nv_fund",N$3,$A333))</f>
        <v/>
      </c>
      <c r="O333" s="13" t="str">
        <f>IF($A333="","",[1]!thsiFinD("ths_adjustment_nv_fund",O$3,$A333))</f>
        <v/>
      </c>
      <c r="P333" s="13" t="str">
        <f>IF($A333="","",[1]!thsiFinD("ths_adjustment_nv_fund",P$3,$A333))</f>
        <v/>
      </c>
      <c r="Q333" s="13" t="str">
        <f>IF($A333="","",[1]!thsiFinD("ths_adjustment_nv_fund",Q$3,$A333))</f>
        <v/>
      </c>
      <c r="R333" s="13" t="str">
        <f>IF($A333="","",[1]!thsiFinD("ths_adjustment_nv_fund",R$3,$A333))</f>
        <v/>
      </c>
      <c r="S333" s="13" t="str">
        <f>IF($A333="","",[1]!thsiFinD("ths_adjustment_nv_fund",S$3,$A333))</f>
        <v/>
      </c>
      <c r="T333" s="13" t="str">
        <f>IF($A333="","",[1]!thsiFinD("ths_adjustment_nv_fund",T$3,$A333))</f>
        <v/>
      </c>
      <c r="U333" s="13" t="str">
        <f>IF($A333="","",[1]!thsiFinD("ths_adjustment_nv_fund",U$3,$A333))</f>
        <v/>
      </c>
      <c r="V333" s="13" t="str">
        <f>IF($A333="","",[1]!thsiFinD("ths_adjustment_nv_fund",V$3,$A333))</f>
        <v/>
      </c>
      <c r="W333" s="13" t="str">
        <f>IF($A333="","",[1]!thsiFinD("ths_adjustment_nv_fund",W$3,$A333))</f>
        <v/>
      </c>
      <c r="X333" s="13" t="str">
        <f>IF($A333="","",[1]!thsiFinD("ths_adjustment_nv_fund",X$3,$A333))</f>
        <v/>
      </c>
      <c r="Y333" s="13" t="str">
        <f>IF($A333="","",[1]!thsiFinD("ths_adjustment_nv_fund",Y$3,$A333))</f>
        <v/>
      </c>
      <c r="Z333" s="13" t="str">
        <f>IF($A333="","",[1]!thsiFinD("ths_adjustment_nv_fund",Z$3,$A333))</f>
        <v/>
      </c>
      <c r="AA333" s="13" t="str">
        <f>IF($A333="","",[1]!thsiFinD("ths_adjustment_nv_fund",AA$3,$A333))</f>
        <v/>
      </c>
      <c r="AB333" s="13">
        <f>IF($A333="","",[1]!thsiFinD("ths_adjustment_nv_fund",AB$3,$A333))</f>
        <v/>
      </c>
      <c r="AC333" s="13">
        <f>IF($A333="","",[1]!thsiFinD("ths_adjustment_nv_fund",AC$3,$A333))</f>
        <v/>
      </c>
      <c r="AD333" s="13">
        <f>IF($A333="","",[1]!thsiFinD("ths_adjustment_nv_fund",AD$3,$A333))</f>
        <v/>
      </c>
      <c r="AE333" s="13">
        <f>IF($A333="","",[1]!thsiFinD("ths_adjustment_nv_fund",AE$3,$A333))</f>
        <v/>
      </c>
      <c r="AF333" s="13">
        <f>IF($A333="","",[1]!thsiFinD("ths_adjustment_nv_fund",AF$3,$A333))</f>
        <v/>
      </c>
      <c r="AG333" s="13">
        <f>IF($A333="","",[1]!thsiFinD("ths_adjustment_nv_fund",AG$3,$A333))</f>
        <v/>
      </c>
      <c r="AH333" s="13">
        <f>IF($A333="","",[1]!thsiFinD("ths_adjustment_nv_fund",AH$3,$A333))</f>
        <v/>
      </c>
      <c r="AI333" s="13">
        <f>IF($A333="","",[1]!thsiFinD("ths_adjustment_nv_fund",AI$3,$A333))</f>
        <v/>
      </c>
      <c r="AJ333" s="13">
        <f>IF($A333="","",[1]!thsiFinD("ths_adjustment_nv_fund",AJ$3,$A333))</f>
        <v/>
      </c>
      <c r="AK333" s="13">
        <f>IF($A333="","",[1]!thsiFinD("ths_adjustment_nv_fund",AK$3,$A333))</f>
        <v/>
      </c>
      <c r="AL333" s="13">
        <f>IF($A333="","",[1]!thsiFinD("ths_adjustment_nv_fund",AL$3,$A333))</f>
        <v/>
      </c>
    </row>
    <row r="334" spans="2:28">
      <c r="B334" s="13" t="str">
        <f>IF($A334="","",[1]!thsiFinD("ths_adjustment_nv_fund",B$3,$A334))</f>
        <v/>
      </c>
      <c r="C334" s="13" t="str">
        <f>IF($A334="","",[1]!thsiFinD("ths_adjustment_nv_fund",C$3,$A334))</f>
        <v/>
      </c>
      <c r="D334" s="13" t="str">
        <f>IF($A334="","",[1]!thsiFinD("ths_adjustment_nv_fund",D$3,$A334))</f>
        <v/>
      </c>
      <c r="E334" s="13" t="str">
        <f>IF($A334="","",[1]!thsiFinD("ths_adjustment_nv_fund",E$3,$A334))</f>
        <v/>
      </c>
      <c r="F334" s="13" t="str">
        <f>IF($A334="","",[1]!thsiFinD("ths_adjustment_nv_fund",F$3,$A334))</f>
        <v/>
      </c>
      <c r="G334" s="13" t="str">
        <f>IF($A334="","",[1]!thsiFinD("ths_adjustment_nv_fund",G$3,$A334))</f>
        <v/>
      </c>
      <c r="H334" s="13" t="str">
        <f>IF($A334="","",[1]!thsiFinD("ths_adjustment_nv_fund",H$3,$A334))</f>
        <v/>
      </c>
      <c r="I334" s="13" t="str">
        <f>IF($A334="","",[1]!thsiFinD("ths_adjustment_nv_fund",I$3,$A334))</f>
        <v/>
      </c>
      <c r="J334" s="13" t="str">
        <f>IF($A334="","",[1]!thsiFinD("ths_adjustment_nv_fund",J$3,$A334))</f>
        <v/>
      </c>
      <c r="K334" s="13" t="str">
        <f>IF($A334="","",[1]!thsiFinD("ths_adjustment_nv_fund",K$3,$A334))</f>
        <v/>
      </c>
      <c r="L334" s="13" t="str">
        <f>IF($A334="","",[1]!thsiFinD("ths_adjustment_nv_fund",L$3,$A334))</f>
        <v/>
      </c>
      <c r="M334" s="13" t="str">
        <f>IF($A334="","",[1]!thsiFinD("ths_adjustment_nv_fund",M$3,$A334))</f>
        <v/>
      </c>
      <c r="N334" s="13" t="str">
        <f>IF($A334="","",[1]!thsiFinD("ths_adjustment_nv_fund",N$3,$A334))</f>
        <v/>
      </c>
      <c r="O334" s="13" t="str">
        <f>IF($A334="","",[1]!thsiFinD("ths_adjustment_nv_fund",O$3,$A334))</f>
        <v/>
      </c>
      <c r="P334" s="13" t="str">
        <f>IF($A334="","",[1]!thsiFinD("ths_adjustment_nv_fund",P$3,$A334))</f>
        <v/>
      </c>
      <c r="Q334" s="13" t="str">
        <f>IF($A334="","",[1]!thsiFinD("ths_adjustment_nv_fund",Q$3,$A334))</f>
        <v/>
      </c>
      <c r="R334" s="13" t="str">
        <f>IF($A334="","",[1]!thsiFinD("ths_adjustment_nv_fund",R$3,$A334))</f>
        <v/>
      </c>
      <c r="S334" s="13" t="str">
        <f>IF($A334="","",[1]!thsiFinD("ths_adjustment_nv_fund",S$3,$A334))</f>
        <v/>
      </c>
      <c r="T334" s="13" t="str">
        <f>IF($A334="","",[1]!thsiFinD("ths_adjustment_nv_fund",T$3,$A334))</f>
        <v/>
      </c>
      <c r="U334" s="13" t="str">
        <f>IF($A334="","",[1]!thsiFinD("ths_adjustment_nv_fund",U$3,$A334))</f>
        <v/>
      </c>
      <c r="V334" s="13" t="str">
        <f>IF($A334="","",[1]!thsiFinD("ths_adjustment_nv_fund",V$3,$A334))</f>
        <v/>
      </c>
      <c r="W334" s="13" t="str">
        <f>IF($A334="","",[1]!thsiFinD("ths_adjustment_nv_fund",W$3,$A334))</f>
        <v/>
      </c>
      <c r="X334" s="13" t="str">
        <f>IF($A334="","",[1]!thsiFinD("ths_adjustment_nv_fund",X$3,$A334))</f>
        <v/>
      </c>
      <c r="Y334" s="13" t="str">
        <f>IF($A334="","",[1]!thsiFinD("ths_adjustment_nv_fund",Y$3,$A334))</f>
        <v/>
      </c>
      <c r="Z334" s="13" t="str">
        <f>IF($A334="","",[1]!thsiFinD("ths_adjustment_nv_fund",Z$3,$A334))</f>
        <v/>
      </c>
      <c r="AA334" s="13" t="str">
        <f>IF($A334="","",[1]!thsiFinD("ths_adjustment_nv_fund",AA$3,$A334))</f>
        <v/>
      </c>
      <c r="AB334" s="13">
        <f>IF($A334="","",[1]!thsiFinD("ths_adjustment_nv_fund",AB$3,$A334))</f>
        <v/>
      </c>
      <c r="AC334" s="13">
        <f>IF($A334="","",[1]!thsiFinD("ths_adjustment_nv_fund",AC$3,$A334))</f>
        <v/>
      </c>
      <c r="AD334" s="13">
        <f>IF($A334="","",[1]!thsiFinD("ths_adjustment_nv_fund",AD$3,$A334))</f>
        <v/>
      </c>
      <c r="AE334" s="13">
        <f>IF($A334="","",[1]!thsiFinD("ths_adjustment_nv_fund",AE$3,$A334))</f>
        <v/>
      </c>
      <c r="AF334" s="13">
        <f>IF($A334="","",[1]!thsiFinD("ths_adjustment_nv_fund",AF$3,$A334))</f>
        <v/>
      </c>
      <c r="AG334" s="13">
        <f>IF($A334="","",[1]!thsiFinD("ths_adjustment_nv_fund",AG$3,$A334))</f>
        <v/>
      </c>
      <c r="AH334" s="13">
        <f>IF($A334="","",[1]!thsiFinD("ths_adjustment_nv_fund",AH$3,$A334))</f>
        <v/>
      </c>
      <c r="AI334" s="13">
        <f>IF($A334="","",[1]!thsiFinD("ths_adjustment_nv_fund",AI$3,$A334))</f>
        <v/>
      </c>
      <c r="AJ334" s="13">
        <f>IF($A334="","",[1]!thsiFinD("ths_adjustment_nv_fund",AJ$3,$A334))</f>
        <v/>
      </c>
      <c r="AK334" s="13">
        <f>IF($A334="","",[1]!thsiFinD("ths_adjustment_nv_fund",AK$3,$A334))</f>
        <v/>
      </c>
      <c r="AL334" s="13">
        <f>IF($A334="","",[1]!thsiFinD("ths_adjustment_nv_fund",AL$3,$A334))</f>
        <v/>
      </c>
    </row>
    <row r="335" spans="2:28">
      <c r="B335" s="13" t="str">
        <f>IF($A335="","",[1]!thsiFinD("ths_adjustment_nv_fund",B$3,$A335))</f>
        <v/>
      </c>
      <c r="C335" s="13" t="str">
        <f>IF($A335="","",[1]!thsiFinD("ths_adjustment_nv_fund",C$3,$A335))</f>
        <v/>
      </c>
      <c r="D335" s="13" t="str">
        <f>IF($A335="","",[1]!thsiFinD("ths_adjustment_nv_fund",D$3,$A335))</f>
        <v/>
      </c>
      <c r="E335" s="13" t="str">
        <f>IF($A335="","",[1]!thsiFinD("ths_adjustment_nv_fund",E$3,$A335))</f>
        <v/>
      </c>
      <c r="F335" s="13" t="str">
        <f>IF($A335="","",[1]!thsiFinD("ths_adjustment_nv_fund",F$3,$A335))</f>
        <v/>
      </c>
      <c r="G335" s="13" t="str">
        <f>IF($A335="","",[1]!thsiFinD("ths_adjustment_nv_fund",G$3,$A335))</f>
        <v/>
      </c>
      <c r="H335" s="13" t="str">
        <f>IF($A335="","",[1]!thsiFinD("ths_adjustment_nv_fund",H$3,$A335))</f>
        <v/>
      </c>
      <c r="I335" s="13" t="str">
        <f>IF($A335="","",[1]!thsiFinD("ths_adjustment_nv_fund",I$3,$A335))</f>
        <v/>
      </c>
      <c r="J335" s="13" t="str">
        <f>IF($A335="","",[1]!thsiFinD("ths_adjustment_nv_fund",J$3,$A335))</f>
        <v/>
      </c>
      <c r="K335" s="13" t="str">
        <f>IF($A335="","",[1]!thsiFinD("ths_adjustment_nv_fund",K$3,$A335))</f>
        <v/>
      </c>
      <c r="L335" s="13" t="str">
        <f>IF($A335="","",[1]!thsiFinD("ths_adjustment_nv_fund",L$3,$A335))</f>
        <v/>
      </c>
      <c r="M335" s="13" t="str">
        <f>IF($A335="","",[1]!thsiFinD("ths_adjustment_nv_fund",M$3,$A335))</f>
        <v/>
      </c>
      <c r="N335" s="13" t="str">
        <f>IF($A335="","",[1]!thsiFinD("ths_adjustment_nv_fund",N$3,$A335))</f>
        <v/>
      </c>
      <c r="O335" s="13" t="str">
        <f>IF($A335="","",[1]!thsiFinD("ths_adjustment_nv_fund",O$3,$A335))</f>
        <v/>
      </c>
      <c r="P335" s="13" t="str">
        <f>IF($A335="","",[1]!thsiFinD("ths_adjustment_nv_fund",P$3,$A335))</f>
        <v/>
      </c>
      <c r="Q335" s="13" t="str">
        <f>IF($A335="","",[1]!thsiFinD("ths_adjustment_nv_fund",Q$3,$A335))</f>
        <v/>
      </c>
      <c r="R335" s="13" t="str">
        <f>IF($A335="","",[1]!thsiFinD("ths_adjustment_nv_fund",R$3,$A335))</f>
        <v/>
      </c>
      <c r="S335" s="13" t="str">
        <f>IF($A335="","",[1]!thsiFinD("ths_adjustment_nv_fund",S$3,$A335))</f>
        <v/>
      </c>
      <c r="T335" s="13" t="str">
        <f>IF($A335="","",[1]!thsiFinD("ths_adjustment_nv_fund",T$3,$A335))</f>
        <v/>
      </c>
      <c r="U335" s="13" t="str">
        <f>IF($A335="","",[1]!thsiFinD("ths_adjustment_nv_fund",U$3,$A335))</f>
        <v/>
      </c>
      <c r="V335" s="13" t="str">
        <f>IF($A335="","",[1]!thsiFinD("ths_adjustment_nv_fund",V$3,$A335))</f>
        <v/>
      </c>
      <c r="W335" s="13" t="str">
        <f>IF($A335="","",[1]!thsiFinD("ths_adjustment_nv_fund",W$3,$A335))</f>
        <v/>
      </c>
      <c r="X335" s="13" t="str">
        <f>IF($A335="","",[1]!thsiFinD("ths_adjustment_nv_fund",X$3,$A335))</f>
        <v/>
      </c>
      <c r="Y335" s="13" t="str">
        <f>IF($A335="","",[1]!thsiFinD("ths_adjustment_nv_fund",Y$3,$A335))</f>
        <v/>
      </c>
      <c r="Z335" s="13" t="str">
        <f>IF($A335="","",[1]!thsiFinD("ths_adjustment_nv_fund",Z$3,$A335))</f>
        <v/>
      </c>
      <c r="AA335" s="13" t="str">
        <f>IF($A335="","",[1]!thsiFinD("ths_adjustment_nv_fund",AA$3,$A335))</f>
        <v/>
      </c>
      <c r="AB335" s="13">
        <f>IF($A335="","",[1]!thsiFinD("ths_adjustment_nv_fund",AB$3,$A335))</f>
        <v/>
      </c>
      <c r="AC335" s="13">
        <f>IF($A335="","",[1]!thsiFinD("ths_adjustment_nv_fund",AC$3,$A335))</f>
        <v/>
      </c>
      <c r="AD335" s="13">
        <f>IF($A335="","",[1]!thsiFinD("ths_adjustment_nv_fund",AD$3,$A335))</f>
        <v/>
      </c>
      <c r="AE335" s="13">
        <f>IF($A335="","",[1]!thsiFinD("ths_adjustment_nv_fund",AE$3,$A335))</f>
        <v/>
      </c>
      <c r="AF335" s="13">
        <f>IF($A335="","",[1]!thsiFinD("ths_adjustment_nv_fund",AF$3,$A335))</f>
        <v/>
      </c>
      <c r="AG335" s="13">
        <f>IF($A335="","",[1]!thsiFinD("ths_adjustment_nv_fund",AG$3,$A335))</f>
        <v/>
      </c>
      <c r="AH335" s="13">
        <f>IF($A335="","",[1]!thsiFinD("ths_adjustment_nv_fund",AH$3,$A335))</f>
        <v/>
      </c>
      <c r="AI335" s="13">
        <f>IF($A335="","",[1]!thsiFinD("ths_adjustment_nv_fund",AI$3,$A335))</f>
        <v/>
      </c>
      <c r="AJ335" s="13">
        <f>IF($A335="","",[1]!thsiFinD("ths_adjustment_nv_fund",AJ$3,$A335))</f>
        <v/>
      </c>
      <c r="AK335" s="13">
        <f>IF($A335="","",[1]!thsiFinD("ths_adjustment_nv_fund",AK$3,$A335))</f>
        <v/>
      </c>
      <c r="AL335" s="13">
        <f>IF($A335="","",[1]!thsiFinD("ths_adjustment_nv_fund",AL$3,$A335))</f>
        <v/>
      </c>
    </row>
    <row r="336" spans="2:28">
      <c r="B336" s="13" t="str">
        <f>IF($A336="","",[1]!thsiFinD("ths_adjustment_nv_fund",B$3,$A336))</f>
        <v/>
      </c>
      <c r="C336" s="13" t="str">
        <f>IF($A336="","",[1]!thsiFinD("ths_adjustment_nv_fund",C$3,$A336))</f>
        <v/>
      </c>
      <c r="D336" s="13" t="str">
        <f>IF($A336="","",[1]!thsiFinD("ths_adjustment_nv_fund",D$3,$A336))</f>
        <v/>
      </c>
      <c r="E336" s="13" t="str">
        <f>IF($A336="","",[1]!thsiFinD("ths_adjustment_nv_fund",E$3,$A336))</f>
        <v/>
      </c>
      <c r="F336" s="13" t="str">
        <f>IF($A336="","",[1]!thsiFinD("ths_adjustment_nv_fund",F$3,$A336))</f>
        <v/>
      </c>
      <c r="G336" s="13" t="str">
        <f>IF($A336="","",[1]!thsiFinD("ths_adjustment_nv_fund",G$3,$A336))</f>
        <v/>
      </c>
      <c r="H336" s="13" t="str">
        <f>IF($A336="","",[1]!thsiFinD("ths_adjustment_nv_fund",H$3,$A336))</f>
        <v/>
      </c>
      <c r="I336" s="13" t="str">
        <f>IF($A336="","",[1]!thsiFinD("ths_adjustment_nv_fund",I$3,$A336))</f>
        <v/>
      </c>
      <c r="J336" s="13" t="str">
        <f>IF($A336="","",[1]!thsiFinD("ths_adjustment_nv_fund",J$3,$A336))</f>
        <v/>
      </c>
      <c r="K336" s="13" t="str">
        <f>IF($A336="","",[1]!thsiFinD("ths_adjustment_nv_fund",K$3,$A336))</f>
        <v/>
      </c>
      <c r="L336" s="13" t="str">
        <f>IF($A336="","",[1]!thsiFinD("ths_adjustment_nv_fund",L$3,$A336))</f>
        <v/>
      </c>
      <c r="M336" s="13" t="str">
        <f>IF($A336="","",[1]!thsiFinD("ths_adjustment_nv_fund",M$3,$A336))</f>
        <v/>
      </c>
      <c r="N336" s="13" t="str">
        <f>IF($A336="","",[1]!thsiFinD("ths_adjustment_nv_fund",N$3,$A336))</f>
        <v/>
      </c>
      <c r="O336" s="13" t="str">
        <f>IF($A336="","",[1]!thsiFinD("ths_adjustment_nv_fund",O$3,$A336))</f>
        <v/>
      </c>
      <c r="P336" s="13" t="str">
        <f>IF($A336="","",[1]!thsiFinD("ths_adjustment_nv_fund",P$3,$A336))</f>
        <v/>
      </c>
      <c r="Q336" s="13" t="str">
        <f>IF($A336="","",[1]!thsiFinD("ths_adjustment_nv_fund",Q$3,$A336))</f>
        <v/>
      </c>
      <c r="R336" s="13" t="str">
        <f>IF($A336="","",[1]!thsiFinD("ths_adjustment_nv_fund",R$3,$A336))</f>
        <v/>
      </c>
      <c r="S336" s="13" t="str">
        <f>IF($A336="","",[1]!thsiFinD("ths_adjustment_nv_fund",S$3,$A336))</f>
        <v/>
      </c>
      <c r="T336" s="13" t="str">
        <f>IF($A336="","",[1]!thsiFinD("ths_adjustment_nv_fund",T$3,$A336))</f>
        <v/>
      </c>
      <c r="U336" s="13" t="str">
        <f>IF($A336="","",[1]!thsiFinD("ths_adjustment_nv_fund",U$3,$A336))</f>
        <v/>
      </c>
      <c r="V336" s="13" t="str">
        <f>IF($A336="","",[1]!thsiFinD("ths_adjustment_nv_fund",V$3,$A336))</f>
        <v/>
      </c>
      <c r="W336" s="13" t="str">
        <f>IF($A336="","",[1]!thsiFinD("ths_adjustment_nv_fund",W$3,$A336))</f>
        <v/>
      </c>
      <c r="X336" s="13" t="str">
        <f>IF($A336="","",[1]!thsiFinD("ths_adjustment_nv_fund",X$3,$A336))</f>
        <v/>
      </c>
      <c r="Y336" s="13" t="str">
        <f>IF($A336="","",[1]!thsiFinD("ths_adjustment_nv_fund",Y$3,$A336))</f>
        <v/>
      </c>
      <c r="Z336" s="13" t="str">
        <f>IF($A336="","",[1]!thsiFinD("ths_adjustment_nv_fund",Z$3,$A336))</f>
        <v/>
      </c>
      <c r="AA336" s="13" t="str">
        <f>IF($A336="","",[1]!thsiFinD("ths_adjustment_nv_fund",AA$3,$A336))</f>
        <v/>
      </c>
      <c r="AB336" s="13">
        <f>IF($A336="","",[1]!thsiFinD("ths_adjustment_nv_fund",AB$3,$A336))</f>
        <v/>
      </c>
      <c r="AC336" s="13">
        <f>IF($A336="","",[1]!thsiFinD("ths_adjustment_nv_fund",AC$3,$A336))</f>
        <v/>
      </c>
      <c r="AD336" s="13">
        <f>IF($A336="","",[1]!thsiFinD("ths_adjustment_nv_fund",AD$3,$A336))</f>
        <v/>
      </c>
      <c r="AE336" s="13">
        <f>IF($A336="","",[1]!thsiFinD("ths_adjustment_nv_fund",AE$3,$A336))</f>
        <v/>
      </c>
      <c r="AF336" s="13">
        <f>IF($A336="","",[1]!thsiFinD("ths_adjustment_nv_fund",AF$3,$A336))</f>
        <v/>
      </c>
      <c r="AG336" s="13">
        <f>IF($A336="","",[1]!thsiFinD("ths_adjustment_nv_fund",AG$3,$A336))</f>
        <v/>
      </c>
      <c r="AH336" s="13">
        <f>IF($A336="","",[1]!thsiFinD("ths_adjustment_nv_fund",AH$3,$A336))</f>
        <v/>
      </c>
      <c r="AI336" s="13">
        <f>IF($A336="","",[1]!thsiFinD("ths_adjustment_nv_fund",AI$3,$A336))</f>
        <v/>
      </c>
      <c r="AJ336" s="13">
        <f>IF($A336="","",[1]!thsiFinD("ths_adjustment_nv_fund",AJ$3,$A336))</f>
        <v/>
      </c>
      <c r="AK336" s="13">
        <f>IF($A336="","",[1]!thsiFinD("ths_adjustment_nv_fund",AK$3,$A336))</f>
        <v/>
      </c>
      <c r="AL336" s="13">
        <f>IF($A336="","",[1]!thsiFinD("ths_adjustment_nv_fund",AL$3,$A336))</f>
        <v/>
      </c>
    </row>
    <row r="337" spans="2:28">
      <c r="B337" s="13" t="str">
        <f>IF($A337="","",[1]!thsiFinD("ths_adjustment_nv_fund",B$3,$A337))</f>
        <v/>
      </c>
      <c r="C337" s="13" t="str">
        <f>IF($A337="","",[1]!thsiFinD("ths_adjustment_nv_fund",C$3,$A337))</f>
        <v/>
      </c>
      <c r="D337" s="13" t="str">
        <f>IF($A337="","",[1]!thsiFinD("ths_adjustment_nv_fund",D$3,$A337))</f>
        <v/>
      </c>
      <c r="E337" s="13" t="str">
        <f>IF($A337="","",[1]!thsiFinD("ths_adjustment_nv_fund",E$3,$A337))</f>
        <v/>
      </c>
      <c r="F337" s="13" t="str">
        <f>IF($A337="","",[1]!thsiFinD("ths_adjustment_nv_fund",F$3,$A337))</f>
        <v/>
      </c>
      <c r="G337" s="13" t="str">
        <f>IF($A337="","",[1]!thsiFinD("ths_adjustment_nv_fund",G$3,$A337))</f>
        <v/>
      </c>
      <c r="H337" s="13" t="str">
        <f>IF($A337="","",[1]!thsiFinD("ths_adjustment_nv_fund",H$3,$A337))</f>
        <v/>
      </c>
      <c r="I337" s="13" t="str">
        <f>IF($A337="","",[1]!thsiFinD("ths_adjustment_nv_fund",I$3,$A337))</f>
        <v/>
      </c>
      <c r="J337" s="13" t="str">
        <f>IF($A337="","",[1]!thsiFinD("ths_adjustment_nv_fund",J$3,$A337))</f>
        <v/>
      </c>
      <c r="K337" s="13" t="str">
        <f>IF($A337="","",[1]!thsiFinD("ths_adjustment_nv_fund",K$3,$A337))</f>
        <v/>
      </c>
      <c r="L337" s="13" t="str">
        <f>IF($A337="","",[1]!thsiFinD("ths_adjustment_nv_fund",L$3,$A337))</f>
        <v/>
      </c>
      <c r="M337" s="13" t="str">
        <f>IF($A337="","",[1]!thsiFinD("ths_adjustment_nv_fund",M$3,$A337))</f>
        <v/>
      </c>
      <c r="N337" s="13" t="str">
        <f>IF($A337="","",[1]!thsiFinD("ths_adjustment_nv_fund",N$3,$A337))</f>
        <v/>
      </c>
      <c r="O337" s="13" t="str">
        <f>IF($A337="","",[1]!thsiFinD("ths_adjustment_nv_fund",O$3,$A337))</f>
        <v/>
      </c>
      <c r="P337" s="13" t="str">
        <f>IF($A337="","",[1]!thsiFinD("ths_adjustment_nv_fund",P$3,$A337))</f>
        <v/>
      </c>
      <c r="Q337" s="13" t="str">
        <f>IF($A337="","",[1]!thsiFinD("ths_adjustment_nv_fund",Q$3,$A337))</f>
        <v/>
      </c>
      <c r="R337" s="13" t="str">
        <f>IF($A337="","",[1]!thsiFinD("ths_adjustment_nv_fund",R$3,$A337))</f>
        <v/>
      </c>
      <c r="S337" s="13" t="str">
        <f>IF($A337="","",[1]!thsiFinD("ths_adjustment_nv_fund",S$3,$A337))</f>
        <v/>
      </c>
      <c r="T337" s="13" t="str">
        <f>IF($A337="","",[1]!thsiFinD("ths_adjustment_nv_fund",T$3,$A337))</f>
        <v/>
      </c>
      <c r="U337" s="13" t="str">
        <f>IF($A337="","",[1]!thsiFinD("ths_adjustment_nv_fund",U$3,$A337))</f>
        <v/>
      </c>
      <c r="V337" s="13" t="str">
        <f>IF($A337="","",[1]!thsiFinD("ths_adjustment_nv_fund",V$3,$A337))</f>
        <v/>
      </c>
      <c r="W337" s="13" t="str">
        <f>IF($A337="","",[1]!thsiFinD("ths_adjustment_nv_fund",W$3,$A337))</f>
        <v/>
      </c>
      <c r="X337" s="13" t="str">
        <f>IF($A337="","",[1]!thsiFinD("ths_adjustment_nv_fund",X$3,$A337))</f>
        <v/>
      </c>
      <c r="Y337" s="13" t="str">
        <f>IF($A337="","",[1]!thsiFinD("ths_adjustment_nv_fund",Y$3,$A337))</f>
        <v/>
      </c>
      <c r="Z337" s="13" t="str">
        <f>IF($A337="","",[1]!thsiFinD("ths_adjustment_nv_fund",Z$3,$A337))</f>
        <v/>
      </c>
      <c r="AA337" s="13" t="str">
        <f>IF($A337="","",[1]!thsiFinD("ths_adjustment_nv_fund",AA$3,$A337))</f>
        <v/>
      </c>
      <c r="AB337" s="13">
        <f>IF($A337="","",[1]!thsiFinD("ths_adjustment_nv_fund",AB$3,$A337))</f>
        <v/>
      </c>
      <c r="AC337" s="13">
        <f>IF($A337="","",[1]!thsiFinD("ths_adjustment_nv_fund",AC$3,$A337))</f>
        <v/>
      </c>
      <c r="AD337" s="13">
        <f>IF($A337="","",[1]!thsiFinD("ths_adjustment_nv_fund",AD$3,$A337))</f>
        <v/>
      </c>
      <c r="AE337" s="13">
        <f>IF($A337="","",[1]!thsiFinD("ths_adjustment_nv_fund",AE$3,$A337))</f>
        <v/>
      </c>
      <c r="AF337" s="13">
        <f>IF($A337="","",[1]!thsiFinD("ths_adjustment_nv_fund",AF$3,$A337))</f>
        <v/>
      </c>
      <c r="AG337" s="13">
        <f>IF($A337="","",[1]!thsiFinD("ths_adjustment_nv_fund",AG$3,$A337))</f>
        <v/>
      </c>
      <c r="AH337" s="13">
        <f>IF($A337="","",[1]!thsiFinD("ths_adjustment_nv_fund",AH$3,$A337))</f>
        <v/>
      </c>
      <c r="AI337" s="13">
        <f>IF($A337="","",[1]!thsiFinD("ths_adjustment_nv_fund",AI$3,$A337))</f>
        <v/>
      </c>
      <c r="AJ337" s="13">
        <f>IF($A337="","",[1]!thsiFinD("ths_adjustment_nv_fund",AJ$3,$A337))</f>
        <v/>
      </c>
      <c r="AK337" s="13">
        <f>IF($A337="","",[1]!thsiFinD("ths_adjustment_nv_fund",AK$3,$A337))</f>
        <v/>
      </c>
      <c r="AL337" s="13">
        <f>IF($A337="","",[1]!thsiFinD("ths_adjustment_nv_fund",AL$3,$A337))</f>
        <v/>
      </c>
    </row>
    <row r="338" spans="2:28">
      <c r="B338" s="13" t="str">
        <f>IF($A338="","",[1]!thsiFinD("ths_adjustment_nv_fund",B$3,$A338))</f>
        <v/>
      </c>
      <c r="C338" s="13" t="str">
        <f>IF($A338="","",[1]!thsiFinD("ths_adjustment_nv_fund",C$3,$A338))</f>
        <v/>
      </c>
      <c r="D338" s="13" t="str">
        <f>IF($A338="","",[1]!thsiFinD("ths_adjustment_nv_fund",D$3,$A338))</f>
        <v/>
      </c>
      <c r="E338" s="13" t="str">
        <f>IF($A338="","",[1]!thsiFinD("ths_adjustment_nv_fund",E$3,$A338))</f>
        <v/>
      </c>
      <c r="F338" s="13" t="str">
        <f>IF($A338="","",[1]!thsiFinD("ths_adjustment_nv_fund",F$3,$A338))</f>
        <v/>
      </c>
      <c r="G338" s="13" t="str">
        <f>IF($A338="","",[1]!thsiFinD("ths_adjustment_nv_fund",G$3,$A338))</f>
        <v/>
      </c>
      <c r="H338" s="13" t="str">
        <f>IF($A338="","",[1]!thsiFinD("ths_adjustment_nv_fund",H$3,$A338))</f>
        <v/>
      </c>
      <c r="I338" s="13" t="str">
        <f>IF($A338="","",[1]!thsiFinD("ths_adjustment_nv_fund",I$3,$A338))</f>
        <v/>
      </c>
      <c r="J338" s="13" t="str">
        <f>IF($A338="","",[1]!thsiFinD("ths_adjustment_nv_fund",J$3,$A338))</f>
        <v/>
      </c>
      <c r="K338" s="13" t="str">
        <f>IF($A338="","",[1]!thsiFinD("ths_adjustment_nv_fund",K$3,$A338))</f>
        <v/>
      </c>
      <c r="L338" s="13" t="str">
        <f>IF($A338="","",[1]!thsiFinD("ths_adjustment_nv_fund",L$3,$A338))</f>
        <v/>
      </c>
      <c r="M338" s="13" t="str">
        <f>IF($A338="","",[1]!thsiFinD("ths_adjustment_nv_fund",M$3,$A338))</f>
        <v/>
      </c>
      <c r="N338" s="13" t="str">
        <f>IF($A338="","",[1]!thsiFinD("ths_adjustment_nv_fund",N$3,$A338))</f>
        <v/>
      </c>
      <c r="O338" s="13" t="str">
        <f>IF($A338="","",[1]!thsiFinD("ths_adjustment_nv_fund",O$3,$A338))</f>
        <v/>
      </c>
      <c r="P338" s="13" t="str">
        <f>IF($A338="","",[1]!thsiFinD("ths_adjustment_nv_fund",P$3,$A338))</f>
        <v/>
      </c>
      <c r="Q338" s="13" t="str">
        <f>IF($A338="","",[1]!thsiFinD("ths_adjustment_nv_fund",Q$3,$A338))</f>
        <v/>
      </c>
      <c r="R338" s="13" t="str">
        <f>IF($A338="","",[1]!thsiFinD("ths_adjustment_nv_fund",R$3,$A338))</f>
        <v/>
      </c>
      <c r="S338" s="13" t="str">
        <f>IF($A338="","",[1]!thsiFinD("ths_adjustment_nv_fund",S$3,$A338))</f>
        <v/>
      </c>
      <c r="T338" s="13" t="str">
        <f>IF($A338="","",[1]!thsiFinD("ths_adjustment_nv_fund",T$3,$A338))</f>
        <v/>
      </c>
      <c r="U338" s="13" t="str">
        <f>IF($A338="","",[1]!thsiFinD("ths_adjustment_nv_fund",U$3,$A338))</f>
        <v/>
      </c>
      <c r="V338" s="13" t="str">
        <f>IF($A338="","",[1]!thsiFinD("ths_adjustment_nv_fund",V$3,$A338))</f>
        <v/>
      </c>
      <c r="W338" s="13" t="str">
        <f>IF($A338="","",[1]!thsiFinD("ths_adjustment_nv_fund",W$3,$A338))</f>
        <v/>
      </c>
      <c r="X338" s="13" t="str">
        <f>IF($A338="","",[1]!thsiFinD("ths_adjustment_nv_fund",X$3,$A338))</f>
        <v/>
      </c>
      <c r="Y338" s="13" t="str">
        <f>IF($A338="","",[1]!thsiFinD("ths_adjustment_nv_fund",Y$3,$A338))</f>
        <v/>
      </c>
      <c r="Z338" s="13" t="str">
        <f>IF($A338="","",[1]!thsiFinD("ths_adjustment_nv_fund",Z$3,$A338))</f>
        <v/>
      </c>
      <c r="AA338" s="13" t="str">
        <f>IF($A338="","",[1]!thsiFinD("ths_adjustment_nv_fund",AA$3,$A338))</f>
        <v/>
      </c>
      <c r="AB338" s="13">
        <f>IF($A338="","",[1]!thsiFinD("ths_adjustment_nv_fund",AB$3,$A338))</f>
        <v/>
      </c>
      <c r="AC338" s="13">
        <f>IF($A338="","",[1]!thsiFinD("ths_adjustment_nv_fund",AC$3,$A338))</f>
        <v/>
      </c>
      <c r="AD338" s="13">
        <f>IF($A338="","",[1]!thsiFinD("ths_adjustment_nv_fund",AD$3,$A338))</f>
        <v/>
      </c>
      <c r="AE338" s="13">
        <f>IF($A338="","",[1]!thsiFinD("ths_adjustment_nv_fund",AE$3,$A338))</f>
        <v/>
      </c>
      <c r="AF338" s="13">
        <f>IF($A338="","",[1]!thsiFinD("ths_adjustment_nv_fund",AF$3,$A338))</f>
        <v/>
      </c>
      <c r="AG338" s="13">
        <f>IF($A338="","",[1]!thsiFinD("ths_adjustment_nv_fund",AG$3,$A338))</f>
        <v/>
      </c>
      <c r="AH338" s="13">
        <f>IF($A338="","",[1]!thsiFinD("ths_adjustment_nv_fund",AH$3,$A338))</f>
        <v/>
      </c>
      <c r="AI338" s="13">
        <f>IF($A338="","",[1]!thsiFinD("ths_adjustment_nv_fund",AI$3,$A338))</f>
        <v/>
      </c>
      <c r="AJ338" s="13">
        <f>IF($A338="","",[1]!thsiFinD("ths_adjustment_nv_fund",AJ$3,$A338))</f>
        <v/>
      </c>
      <c r="AK338" s="13">
        <f>IF($A338="","",[1]!thsiFinD("ths_adjustment_nv_fund",AK$3,$A338))</f>
        <v/>
      </c>
      <c r="AL338" s="13">
        <f>IF($A338="","",[1]!thsiFinD("ths_adjustment_nv_fund",AL$3,$A338))</f>
        <v/>
      </c>
    </row>
    <row r="339" spans="2:28">
      <c r="B339" s="13" t="str">
        <f>IF($A339="","",[1]!thsiFinD("ths_adjustment_nv_fund",B$3,$A339))</f>
        <v/>
      </c>
      <c r="C339" s="13" t="str">
        <f>IF($A339="","",[1]!thsiFinD("ths_adjustment_nv_fund",C$3,$A339))</f>
        <v/>
      </c>
      <c r="D339" s="13" t="str">
        <f>IF($A339="","",[1]!thsiFinD("ths_adjustment_nv_fund",D$3,$A339))</f>
        <v/>
      </c>
      <c r="E339" s="13" t="str">
        <f>IF($A339="","",[1]!thsiFinD("ths_adjustment_nv_fund",E$3,$A339))</f>
        <v/>
      </c>
      <c r="F339" s="13" t="str">
        <f>IF($A339="","",[1]!thsiFinD("ths_adjustment_nv_fund",F$3,$A339))</f>
        <v/>
      </c>
      <c r="G339" s="13" t="str">
        <f>IF($A339="","",[1]!thsiFinD("ths_adjustment_nv_fund",G$3,$A339))</f>
        <v/>
      </c>
      <c r="H339" s="13" t="str">
        <f>IF($A339="","",[1]!thsiFinD("ths_adjustment_nv_fund",H$3,$A339))</f>
        <v/>
      </c>
      <c r="I339" s="13" t="str">
        <f>IF($A339="","",[1]!thsiFinD("ths_adjustment_nv_fund",I$3,$A339))</f>
        <v/>
      </c>
      <c r="J339" s="13" t="str">
        <f>IF($A339="","",[1]!thsiFinD("ths_adjustment_nv_fund",J$3,$A339))</f>
        <v/>
      </c>
      <c r="K339" s="13" t="str">
        <f>IF($A339="","",[1]!thsiFinD("ths_adjustment_nv_fund",K$3,$A339))</f>
        <v/>
      </c>
      <c r="L339" s="13" t="str">
        <f>IF($A339="","",[1]!thsiFinD("ths_adjustment_nv_fund",L$3,$A339))</f>
        <v/>
      </c>
      <c r="M339" s="13" t="str">
        <f>IF($A339="","",[1]!thsiFinD("ths_adjustment_nv_fund",M$3,$A339))</f>
        <v/>
      </c>
      <c r="N339" s="13" t="str">
        <f>IF($A339="","",[1]!thsiFinD("ths_adjustment_nv_fund",N$3,$A339))</f>
        <v/>
      </c>
      <c r="O339" s="13" t="str">
        <f>IF($A339="","",[1]!thsiFinD("ths_adjustment_nv_fund",O$3,$A339))</f>
        <v/>
      </c>
      <c r="P339" s="13" t="str">
        <f>IF($A339="","",[1]!thsiFinD("ths_adjustment_nv_fund",P$3,$A339))</f>
        <v/>
      </c>
      <c r="Q339" s="13" t="str">
        <f>IF($A339="","",[1]!thsiFinD("ths_adjustment_nv_fund",Q$3,$A339))</f>
        <v/>
      </c>
      <c r="R339" s="13" t="str">
        <f>IF($A339="","",[1]!thsiFinD("ths_adjustment_nv_fund",R$3,$A339))</f>
        <v/>
      </c>
      <c r="S339" s="13" t="str">
        <f>IF($A339="","",[1]!thsiFinD("ths_adjustment_nv_fund",S$3,$A339))</f>
        <v/>
      </c>
      <c r="T339" s="13" t="str">
        <f>IF($A339="","",[1]!thsiFinD("ths_adjustment_nv_fund",T$3,$A339))</f>
        <v/>
      </c>
      <c r="U339" s="13" t="str">
        <f>IF($A339="","",[1]!thsiFinD("ths_adjustment_nv_fund",U$3,$A339))</f>
        <v/>
      </c>
      <c r="V339" s="13" t="str">
        <f>IF($A339="","",[1]!thsiFinD("ths_adjustment_nv_fund",V$3,$A339))</f>
        <v/>
      </c>
      <c r="W339" s="13" t="str">
        <f>IF($A339="","",[1]!thsiFinD("ths_adjustment_nv_fund",W$3,$A339))</f>
        <v/>
      </c>
      <c r="X339" s="13" t="str">
        <f>IF($A339="","",[1]!thsiFinD("ths_adjustment_nv_fund",X$3,$A339))</f>
        <v/>
      </c>
      <c r="Y339" s="13" t="str">
        <f>IF($A339="","",[1]!thsiFinD("ths_adjustment_nv_fund",Y$3,$A339))</f>
        <v/>
      </c>
      <c r="Z339" s="13" t="str">
        <f>IF($A339="","",[1]!thsiFinD("ths_adjustment_nv_fund",Z$3,$A339))</f>
        <v/>
      </c>
      <c r="AA339" s="13" t="str">
        <f>IF($A339="","",[1]!thsiFinD("ths_adjustment_nv_fund",AA$3,$A339))</f>
        <v/>
      </c>
      <c r="AB339" s="13">
        <f>IF($A339="","",[1]!thsiFinD("ths_adjustment_nv_fund",AB$3,$A339))</f>
        <v/>
      </c>
      <c r="AC339" s="13">
        <f>IF($A339="","",[1]!thsiFinD("ths_adjustment_nv_fund",AC$3,$A339))</f>
        <v/>
      </c>
      <c r="AD339" s="13">
        <f>IF($A339="","",[1]!thsiFinD("ths_adjustment_nv_fund",AD$3,$A339))</f>
        <v/>
      </c>
      <c r="AE339" s="13">
        <f>IF($A339="","",[1]!thsiFinD("ths_adjustment_nv_fund",AE$3,$A339))</f>
        <v/>
      </c>
      <c r="AF339" s="13">
        <f>IF($A339="","",[1]!thsiFinD("ths_adjustment_nv_fund",AF$3,$A339))</f>
        <v/>
      </c>
      <c r="AG339" s="13">
        <f>IF($A339="","",[1]!thsiFinD("ths_adjustment_nv_fund",AG$3,$A339))</f>
        <v/>
      </c>
      <c r="AH339" s="13">
        <f>IF($A339="","",[1]!thsiFinD("ths_adjustment_nv_fund",AH$3,$A339))</f>
        <v/>
      </c>
      <c r="AI339" s="13">
        <f>IF($A339="","",[1]!thsiFinD("ths_adjustment_nv_fund",AI$3,$A339))</f>
        <v/>
      </c>
      <c r="AJ339" s="13">
        <f>IF($A339="","",[1]!thsiFinD("ths_adjustment_nv_fund",AJ$3,$A339))</f>
        <v/>
      </c>
      <c r="AK339" s="13">
        <f>IF($A339="","",[1]!thsiFinD("ths_adjustment_nv_fund",AK$3,$A339))</f>
        <v/>
      </c>
      <c r="AL339" s="13">
        <f>IF($A339="","",[1]!thsiFinD("ths_adjustment_nv_fund",AL$3,$A339))</f>
        <v/>
      </c>
    </row>
    <row r="340" spans="2:28">
      <c r="B340" s="13" t="str">
        <f>IF($A340="","",[1]!thsiFinD("ths_adjustment_nv_fund",B$3,$A340))</f>
        <v/>
      </c>
      <c r="C340" s="13" t="str">
        <f>IF($A340="","",[1]!thsiFinD("ths_adjustment_nv_fund",C$3,$A340))</f>
        <v/>
      </c>
      <c r="D340" s="13" t="str">
        <f>IF($A340="","",[1]!thsiFinD("ths_adjustment_nv_fund",D$3,$A340))</f>
        <v/>
      </c>
      <c r="E340" s="13" t="str">
        <f>IF($A340="","",[1]!thsiFinD("ths_adjustment_nv_fund",E$3,$A340))</f>
        <v/>
      </c>
      <c r="F340" s="13" t="str">
        <f>IF($A340="","",[1]!thsiFinD("ths_adjustment_nv_fund",F$3,$A340))</f>
        <v/>
      </c>
      <c r="G340" s="13" t="str">
        <f>IF($A340="","",[1]!thsiFinD("ths_adjustment_nv_fund",G$3,$A340))</f>
        <v/>
      </c>
      <c r="H340" s="13" t="str">
        <f>IF($A340="","",[1]!thsiFinD("ths_adjustment_nv_fund",H$3,$A340))</f>
        <v/>
      </c>
      <c r="I340" s="13" t="str">
        <f>IF($A340="","",[1]!thsiFinD("ths_adjustment_nv_fund",I$3,$A340))</f>
        <v/>
      </c>
      <c r="J340" s="13" t="str">
        <f>IF($A340="","",[1]!thsiFinD("ths_adjustment_nv_fund",J$3,$A340))</f>
        <v/>
      </c>
      <c r="K340" s="13" t="str">
        <f>IF($A340="","",[1]!thsiFinD("ths_adjustment_nv_fund",K$3,$A340))</f>
        <v/>
      </c>
      <c r="L340" s="13" t="str">
        <f>IF($A340="","",[1]!thsiFinD("ths_adjustment_nv_fund",L$3,$A340))</f>
        <v/>
      </c>
      <c r="M340" s="13" t="str">
        <f>IF($A340="","",[1]!thsiFinD("ths_adjustment_nv_fund",M$3,$A340))</f>
        <v/>
      </c>
      <c r="N340" s="13" t="str">
        <f>IF($A340="","",[1]!thsiFinD("ths_adjustment_nv_fund",N$3,$A340))</f>
        <v/>
      </c>
      <c r="O340" s="13" t="str">
        <f>IF($A340="","",[1]!thsiFinD("ths_adjustment_nv_fund",O$3,$A340))</f>
        <v/>
      </c>
      <c r="P340" s="13" t="str">
        <f>IF($A340="","",[1]!thsiFinD("ths_adjustment_nv_fund",P$3,$A340))</f>
        <v/>
      </c>
      <c r="Q340" s="13" t="str">
        <f>IF($A340="","",[1]!thsiFinD("ths_adjustment_nv_fund",Q$3,$A340))</f>
        <v/>
      </c>
      <c r="R340" s="13" t="str">
        <f>IF($A340="","",[1]!thsiFinD("ths_adjustment_nv_fund",R$3,$A340))</f>
        <v/>
      </c>
      <c r="S340" s="13" t="str">
        <f>IF($A340="","",[1]!thsiFinD("ths_adjustment_nv_fund",S$3,$A340))</f>
        <v/>
      </c>
      <c r="T340" s="13" t="str">
        <f>IF($A340="","",[1]!thsiFinD("ths_adjustment_nv_fund",T$3,$A340))</f>
        <v/>
      </c>
      <c r="U340" s="13" t="str">
        <f>IF($A340="","",[1]!thsiFinD("ths_adjustment_nv_fund",U$3,$A340))</f>
        <v/>
      </c>
      <c r="V340" s="13" t="str">
        <f>IF($A340="","",[1]!thsiFinD("ths_adjustment_nv_fund",V$3,$A340))</f>
        <v/>
      </c>
      <c r="W340" s="13" t="str">
        <f>IF($A340="","",[1]!thsiFinD("ths_adjustment_nv_fund",W$3,$A340))</f>
        <v/>
      </c>
      <c r="X340" s="13" t="str">
        <f>IF($A340="","",[1]!thsiFinD("ths_adjustment_nv_fund",X$3,$A340))</f>
        <v/>
      </c>
      <c r="Y340" s="13" t="str">
        <f>IF($A340="","",[1]!thsiFinD("ths_adjustment_nv_fund",Y$3,$A340))</f>
        <v/>
      </c>
      <c r="Z340" s="13" t="str">
        <f>IF($A340="","",[1]!thsiFinD("ths_adjustment_nv_fund",Z$3,$A340))</f>
        <v/>
      </c>
      <c r="AA340" s="13" t="str">
        <f>IF($A340="","",[1]!thsiFinD("ths_adjustment_nv_fund",AA$3,$A340))</f>
        <v/>
      </c>
      <c r="AB340" s="13">
        <f>IF($A340="","",[1]!thsiFinD("ths_adjustment_nv_fund",AB$3,$A340))</f>
        <v/>
      </c>
      <c r="AC340" s="13">
        <f>IF($A340="","",[1]!thsiFinD("ths_adjustment_nv_fund",AC$3,$A340))</f>
        <v/>
      </c>
      <c r="AD340" s="13">
        <f>IF($A340="","",[1]!thsiFinD("ths_adjustment_nv_fund",AD$3,$A340))</f>
        <v/>
      </c>
      <c r="AE340" s="13">
        <f>IF($A340="","",[1]!thsiFinD("ths_adjustment_nv_fund",AE$3,$A340))</f>
        <v/>
      </c>
      <c r="AF340" s="13">
        <f>IF($A340="","",[1]!thsiFinD("ths_adjustment_nv_fund",AF$3,$A340))</f>
        <v/>
      </c>
      <c r="AG340" s="13">
        <f>IF($A340="","",[1]!thsiFinD("ths_adjustment_nv_fund",AG$3,$A340))</f>
        <v/>
      </c>
      <c r="AH340" s="13">
        <f>IF($A340="","",[1]!thsiFinD("ths_adjustment_nv_fund",AH$3,$A340))</f>
        <v/>
      </c>
      <c r="AI340" s="13">
        <f>IF($A340="","",[1]!thsiFinD("ths_adjustment_nv_fund",AI$3,$A340))</f>
        <v/>
      </c>
      <c r="AJ340" s="13">
        <f>IF($A340="","",[1]!thsiFinD("ths_adjustment_nv_fund",AJ$3,$A340))</f>
        <v/>
      </c>
      <c r="AK340" s="13">
        <f>IF($A340="","",[1]!thsiFinD("ths_adjustment_nv_fund",AK$3,$A340))</f>
        <v/>
      </c>
      <c r="AL340" s="13">
        <f>IF($A340="","",[1]!thsiFinD("ths_adjustment_nv_fund",AL$3,$A340))</f>
        <v/>
      </c>
    </row>
    <row r="341" spans="2:28">
      <c r="B341" s="13" t="str">
        <f>IF($A341="","",[1]!thsiFinD("ths_adjustment_nv_fund",B$3,$A341))</f>
        <v/>
      </c>
      <c r="C341" s="13" t="str">
        <f>IF($A341="","",[1]!thsiFinD("ths_adjustment_nv_fund",C$3,$A341))</f>
        <v/>
      </c>
      <c r="D341" s="13" t="str">
        <f>IF($A341="","",[1]!thsiFinD("ths_adjustment_nv_fund",D$3,$A341))</f>
        <v/>
      </c>
      <c r="E341" s="13" t="str">
        <f>IF($A341="","",[1]!thsiFinD("ths_adjustment_nv_fund",E$3,$A341))</f>
        <v/>
      </c>
      <c r="F341" s="13" t="str">
        <f>IF($A341="","",[1]!thsiFinD("ths_adjustment_nv_fund",F$3,$A341))</f>
        <v/>
      </c>
      <c r="G341" s="13" t="str">
        <f>IF($A341="","",[1]!thsiFinD("ths_adjustment_nv_fund",G$3,$A341))</f>
        <v/>
      </c>
      <c r="H341" s="13" t="str">
        <f>IF($A341="","",[1]!thsiFinD("ths_adjustment_nv_fund",H$3,$A341))</f>
        <v/>
      </c>
      <c r="I341" s="13" t="str">
        <f>IF($A341="","",[1]!thsiFinD("ths_adjustment_nv_fund",I$3,$A341))</f>
        <v/>
      </c>
      <c r="J341" s="13" t="str">
        <f>IF($A341="","",[1]!thsiFinD("ths_adjustment_nv_fund",J$3,$A341))</f>
        <v/>
      </c>
      <c r="K341" s="13" t="str">
        <f>IF($A341="","",[1]!thsiFinD("ths_adjustment_nv_fund",K$3,$A341))</f>
        <v/>
      </c>
      <c r="L341" s="13" t="str">
        <f>IF($A341="","",[1]!thsiFinD("ths_adjustment_nv_fund",L$3,$A341))</f>
        <v/>
      </c>
      <c r="M341" s="13" t="str">
        <f>IF($A341="","",[1]!thsiFinD("ths_adjustment_nv_fund",M$3,$A341))</f>
        <v/>
      </c>
      <c r="N341" s="13" t="str">
        <f>IF($A341="","",[1]!thsiFinD("ths_adjustment_nv_fund",N$3,$A341))</f>
        <v/>
      </c>
      <c r="O341" s="13" t="str">
        <f>IF($A341="","",[1]!thsiFinD("ths_adjustment_nv_fund",O$3,$A341))</f>
        <v/>
      </c>
      <c r="P341" s="13" t="str">
        <f>IF($A341="","",[1]!thsiFinD("ths_adjustment_nv_fund",P$3,$A341))</f>
        <v/>
      </c>
      <c r="Q341" s="13" t="str">
        <f>IF($A341="","",[1]!thsiFinD("ths_adjustment_nv_fund",Q$3,$A341))</f>
        <v/>
      </c>
      <c r="R341" s="13" t="str">
        <f>IF($A341="","",[1]!thsiFinD("ths_adjustment_nv_fund",R$3,$A341))</f>
        <v/>
      </c>
      <c r="S341" s="13" t="str">
        <f>IF($A341="","",[1]!thsiFinD("ths_adjustment_nv_fund",S$3,$A341))</f>
        <v/>
      </c>
      <c r="T341" s="13" t="str">
        <f>IF($A341="","",[1]!thsiFinD("ths_adjustment_nv_fund",T$3,$A341))</f>
        <v/>
      </c>
      <c r="U341" s="13" t="str">
        <f>IF($A341="","",[1]!thsiFinD("ths_adjustment_nv_fund",U$3,$A341))</f>
        <v/>
      </c>
      <c r="V341" s="13" t="str">
        <f>IF($A341="","",[1]!thsiFinD("ths_adjustment_nv_fund",V$3,$A341))</f>
        <v/>
      </c>
      <c r="W341" s="13" t="str">
        <f>IF($A341="","",[1]!thsiFinD("ths_adjustment_nv_fund",W$3,$A341))</f>
        <v/>
      </c>
      <c r="X341" s="13" t="str">
        <f>IF($A341="","",[1]!thsiFinD("ths_adjustment_nv_fund",X$3,$A341))</f>
        <v/>
      </c>
      <c r="Y341" s="13" t="str">
        <f>IF($A341="","",[1]!thsiFinD("ths_adjustment_nv_fund",Y$3,$A341))</f>
        <v/>
      </c>
      <c r="Z341" s="13" t="str">
        <f>IF($A341="","",[1]!thsiFinD("ths_adjustment_nv_fund",Z$3,$A341))</f>
        <v/>
      </c>
      <c r="AA341" s="13" t="str">
        <f>IF($A341="","",[1]!thsiFinD("ths_adjustment_nv_fund",AA$3,$A341))</f>
        <v/>
      </c>
      <c r="AB341" s="13">
        <f>IF($A341="","",[1]!thsiFinD("ths_adjustment_nv_fund",AB$3,$A341))</f>
        <v/>
      </c>
      <c r="AC341" s="13">
        <f>IF($A341="","",[1]!thsiFinD("ths_adjustment_nv_fund",AC$3,$A341))</f>
        <v/>
      </c>
      <c r="AD341" s="13">
        <f>IF($A341="","",[1]!thsiFinD("ths_adjustment_nv_fund",AD$3,$A341))</f>
        <v/>
      </c>
      <c r="AE341" s="13">
        <f>IF($A341="","",[1]!thsiFinD("ths_adjustment_nv_fund",AE$3,$A341))</f>
        <v/>
      </c>
      <c r="AF341" s="13">
        <f>IF($A341="","",[1]!thsiFinD("ths_adjustment_nv_fund",AF$3,$A341))</f>
        <v/>
      </c>
      <c r="AG341" s="13">
        <f>IF($A341="","",[1]!thsiFinD("ths_adjustment_nv_fund",AG$3,$A341))</f>
        <v/>
      </c>
      <c r="AH341" s="13">
        <f>IF($A341="","",[1]!thsiFinD("ths_adjustment_nv_fund",AH$3,$A341))</f>
        <v/>
      </c>
      <c r="AI341" s="13">
        <f>IF($A341="","",[1]!thsiFinD("ths_adjustment_nv_fund",AI$3,$A341))</f>
        <v/>
      </c>
      <c r="AJ341" s="13">
        <f>IF($A341="","",[1]!thsiFinD("ths_adjustment_nv_fund",AJ$3,$A341))</f>
        <v/>
      </c>
      <c r="AK341" s="13">
        <f>IF($A341="","",[1]!thsiFinD("ths_adjustment_nv_fund",AK$3,$A341))</f>
        <v/>
      </c>
      <c r="AL341" s="13">
        <f>IF($A341="","",[1]!thsiFinD("ths_adjustment_nv_fund",AL$3,$A341))</f>
        <v/>
      </c>
    </row>
    <row r="342" spans="2:28">
      <c r="B342" s="13" t="str">
        <f>IF($A342="","",[1]!thsiFinD("ths_adjustment_nv_fund",B$3,$A342))</f>
        <v/>
      </c>
      <c r="C342" s="13" t="str">
        <f>IF($A342="","",[1]!thsiFinD("ths_adjustment_nv_fund",C$3,$A342))</f>
        <v/>
      </c>
      <c r="D342" s="13" t="str">
        <f>IF($A342="","",[1]!thsiFinD("ths_adjustment_nv_fund",D$3,$A342))</f>
        <v/>
      </c>
      <c r="E342" s="13" t="str">
        <f>IF($A342="","",[1]!thsiFinD("ths_adjustment_nv_fund",E$3,$A342))</f>
        <v/>
      </c>
      <c r="F342" s="13" t="str">
        <f>IF($A342="","",[1]!thsiFinD("ths_adjustment_nv_fund",F$3,$A342))</f>
        <v/>
      </c>
      <c r="G342" s="13" t="str">
        <f>IF($A342="","",[1]!thsiFinD("ths_adjustment_nv_fund",G$3,$A342))</f>
        <v/>
      </c>
      <c r="H342" s="13" t="str">
        <f>IF($A342="","",[1]!thsiFinD("ths_adjustment_nv_fund",H$3,$A342))</f>
        <v/>
      </c>
      <c r="I342" s="13" t="str">
        <f>IF($A342="","",[1]!thsiFinD("ths_adjustment_nv_fund",I$3,$A342))</f>
        <v/>
      </c>
      <c r="J342" s="13" t="str">
        <f>IF($A342="","",[1]!thsiFinD("ths_adjustment_nv_fund",J$3,$A342))</f>
        <v/>
      </c>
      <c r="K342" s="13" t="str">
        <f>IF($A342="","",[1]!thsiFinD("ths_adjustment_nv_fund",K$3,$A342))</f>
        <v/>
      </c>
      <c r="L342" s="13" t="str">
        <f>IF($A342="","",[1]!thsiFinD("ths_adjustment_nv_fund",L$3,$A342))</f>
        <v/>
      </c>
      <c r="M342" s="13" t="str">
        <f>IF($A342="","",[1]!thsiFinD("ths_adjustment_nv_fund",M$3,$A342))</f>
        <v/>
      </c>
      <c r="N342" s="13" t="str">
        <f>IF($A342="","",[1]!thsiFinD("ths_adjustment_nv_fund",N$3,$A342))</f>
        <v/>
      </c>
      <c r="O342" s="13" t="str">
        <f>IF($A342="","",[1]!thsiFinD("ths_adjustment_nv_fund",O$3,$A342))</f>
        <v/>
      </c>
      <c r="P342" s="13" t="str">
        <f>IF($A342="","",[1]!thsiFinD("ths_adjustment_nv_fund",P$3,$A342))</f>
        <v/>
      </c>
      <c r="Q342" s="13" t="str">
        <f>IF($A342="","",[1]!thsiFinD("ths_adjustment_nv_fund",Q$3,$A342))</f>
        <v/>
      </c>
      <c r="R342" s="13" t="str">
        <f>IF($A342="","",[1]!thsiFinD("ths_adjustment_nv_fund",R$3,$A342))</f>
        <v/>
      </c>
      <c r="S342" s="13" t="str">
        <f>IF($A342="","",[1]!thsiFinD("ths_adjustment_nv_fund",S$3,$A342))</f>
        <v/>
      </c>
      <c r="T342" s="13" t="str">
        <f>IF($A342="","",[1]!thsiFinD("ths_adjustment_nv_fund",T$3,$A342))</f>
        <v/>
      </c>
      <c r="U342" s="13" t="str">
        <f>IF($A342="","",[1]!thsiFinD("ths_adjustment_nv_fund",U$3,$A342))</f>
        <v/>
      </c>
      <c r="V342" s="13" t="str">
        <f>IF($A342="","",[1]!thsiFinD("ths_adjustment_nv_fund",V$3,$A342))</f>
        <v/>
      </c>
      <c r="W342" s="13" t="str">
        <f>IF($A342="","",[1]!thsiFinD("ths_adjustment_nv_fund",W$3,$A342))</f>
        <v/>
      </c>
      <c r="X342" s="13" t="str">
        <f>IF($A342="","",[1]!thsiFinD("ths_adjustment_nv_fund",X$3,$A342))</f>
        <v/>
      </c>
      <c r="Y342" s="13" t="str">
        <f>IF($A342="","",[1]!thsiFinD("ths_adjustment_nv_fund",Y$3,$A342))</f>
        <v/>
      </c>
      <c r="Z342" s="13" t="str">
        <f>IF($A342="","",[1]!thsiFinD("ths_adjustment_nv_fund",Z$3,$A342))</f>
        <v/>
      </c>
      <c r="AA342" s="13" t="str">
        <f>IF($A342="","",[1]!thsiFinD("ths_adjustment_nv_fund",AA$3,$A342))</f>
        <v/>
      </c>
      <c r="AB342" s="13">
        <f>IF($A342="","",[1]!thsiFinD("ths_adjustment_nv_fund",AB$3,$A342))</f>
        <v/>
      </c>
      <c r="AC342" s="13">
        <f>IF($A342="","",[1]!thsiFinD("ths_adjustment_nv_fund",AC$3,$A342))</f>
        <v/>
      </c>
      <c r="AD342" s="13">
        <f>IF($A342="","",[1]!thsiFinD("ths_adjustment_nv_fund",AD$3,$A342))</f>
        <v/>
      </c>
      <c r="AE342" s="13">
        <f>IF($A342="","",[1]!thsiFinD("ths_adjustment_nv_fund",AE$3,$A342))</f>
        <v/>
      </c>
      <c r="AF342" s="13">
        <f>IF($A342="","",[1]!thsiFinD("ths_adjustment_nv_fund",AF$3,$A342))</f>
        <v/>
      </c>
      <c r="AG342" s="13">
        <f>IF($A342="","",[1]!thsiFinD("ths_adjustment_nv_fund",AG$3,$A342))</f>
        <v/>
      </c>
      <c r="AH342" s="13">
        <f>IF($A342="","",[1]!thsiFinD("ths_adjustment_nv_fund",AH$3,$A342))</f>
        <v/>
      </c>
      <c r="AI342" s="13">
        <f>IF($A342="","",[1]!thsiFinD("ths_adjustment_nv_fund",AI$3,$A342))</f>
        <v/>
      </c>
      <c r="AJ342" s="13">
        <f>IF($A342="","",[1]!thsiFinD("ths_adjustment_nv_fund",AJ$3,$A342))</f>
        <v/>
      </c>
      <c r="AK342" s="13">
        <f>IF($A342="","",[1]!thsiFinD("ths_adjustment_nv_fund",AK$3,$A342))</f>
        <v/>
      </c>
      <c r="AL342" s="13">
        <f>IF($A342="","",[1]!thsiFinD("ths_adjustment_nv_fund",AL$3,$A342))</f>
        <v/>
      </c>
    </row>
    <row r="343" spans="2:28">
      <c r="B343" s="13" t="str">
        <f>IF($A343="","",[1]!thsiFinD("ths_adjustment_nv_fund",B$3,$A343))</f>
        <v/>
      </c>
      <c r="C343" s="13" t="str">
        <f>IF($A343="","",[1]!thsiFinD("ths_adjustment_nv_fund",C$3,$A343))</f>
        <v/>
      </c>
      <c r="D343" s="13" t="str">
        <f>IF($A343="","",[1]!thsiFinD("ths_adjustment_nv_fund",D$3,$A343))</f>
        <v/>
      </c>
      <c r="E343" s="13" t="str">
        <f>IF($A343="","",[1]!thsiFinD("ths_adjustment_nv_fund",E$3,$A343))</f>
        <v/>
      </c>
      <c r="F343" s="13" t="str">
        <f>IF($A343="","",[1]!thsiFinD("ths_adjustment_nv_fund",F$3,$A343))</f>
        <v/>
      </c>
      <c r="G343" s="13" t="str">
        <f>IF($A343="","",[1]!thsiFinD("ths_adjustment_nv_fund",G$3,$A343))</f>
        <v/>
      </c>
      <c r="H343" s="13" t="str">
        <f>IF($A343="","",[1]!thsiFinD("ths_adjustment_nv_fund",H$3,$A343))</f>
        <v/>
      </c>
      <c r="I343" s="13" t="str">
        <f>IF($A343="","",[1]!thsiFinD("ths_adjustment_nv_fund",I$3,$A343))</f>
        <v/>
      </c>
      <c r="J343" s="13" t="str">
        <f>IF($A343="","",[1]!thsiFinD("ths_adjustment_nv_fund",J$3,$A343))</f>
        <v/>
      </c>
      <c r="K343" s="13" t="str">
        <f>IF($A343="","",[1]!thsiFinD("ths_adjustment_nv_fund",K$3,$A343))</f>
        <v/>
      </c>
      <c r="L343" s="13" t="str">
        <f>IF($A343="","",[1]!thsiFinD("ths_adjustment_nv_fund",L$3,$A343))</f>
        <v/>
      </c>
      <c r="M343" s="13" t="str">
        <f>IF($A343="","",[1]!thsiFinD("ths_adjustment_nv_fund",M$3,$A343))</f>
        <v/>
      </c>
      <c r="N343" s="13" t="str">
        <f>IF($A343="","",[1]!thsiFinD("ths_adjustment_nv_fund",N$3,$A343))</f>
        <v/>
      </c>
      <c r="O343" s="13" t="str">
        <f>IF($A343="","",[1]!thsiFinD("ths_adjustment_nv_fund",O$3,$A343))</f>
        <v/>
      </c>
      <c r="P343" s="13" t="str">
        <f>IF($A343="","",[1]!thsiFinD("ths_adjustment_nv_fund",P$3,$A343))</f>
        <v/>
      </c>
      <c r="Q343" s="13" t="str">
        <f>IF($A343="","",[1]!thsiFinD("ths_adjustment_nv_fund",Q$3,$A343))</f>
        <v/>
      </c>
      <c r="R343" s="13" t="str">
        <f>IF($A343="","",[1]!thsiFinD("ths_adjustment_nv_fund",R$3,$A343))</f>
        <v/>
      </c>
      <c r="S343" s="13" t="str">
        <f>IF($A343="","",[1]!thsiFinD("ths_adjustment_nv_fund",S$3,$A343))</f>
        <v/>
      </c>
      <c r="T343" s="13" t="str">
        <f>IF($A343="","",[1]!thsiFinD("ths_adjustment_nv_fund",T$3,$A343))</f>
        <v/>
      </c>
      <c r="U343" s="13" t="str">
        <f>IF($A343="","",[1]!thsiFinD("ths_adjustment_nv_fund",U$3,$A343))</f>
        <v/>
      </c>
      <c r="V343" s="13" t="str">
        <f>IF($A343="","",[1]!thsiFinD("ths_adjustment_nv_fund",V$3,$A343))</f>
        <v/>
      </c>
      <c r="W343" s="13" t="str">
        <f>IF($A343="","",[1]!thsiFinD("ths_adjustment_nv_fund",W$3,$A343))</f>
        <v/>
      </c>
      <c r="X343" s="13" t="str">
        <f>IF($A343="","",[1]!thsiFinD("ths_adjustment_nv_fund",X$3,$A343))</f>
        <v/>
      </c>
      <c r="Y343" s="13" t="str">
        <f>IF($A343="","",[1]!thsiFinD("ths_adjustment_nv_fund",Y$3,$A343))</f>
        <v/>
      </c>
      <c r="Z343" s="13" t="str">
        <f>IF($A343="","",[1]!thsiFinD("ths_adjustment_nv_fund",Z$3,$A343))</f>
        <v/>
      </c>
      <c r="AA343" s="13" t="str">
        <f>IF($A343="","",[1]!thsiFinD("ths_adjustment_nv_fund",AA$3,$A343))</f>
        <v/>
      </c>
      <c r="AB343" s="13">
        <f>IF($A343="","",[1]!thsiFinD("ths_adjustment_nv_fund",AB$3,$A343))</f>
        <v/>
      </c>
      <c r="AC343" s="13">
        <f>IF($A343="","",[1]!thsiFinD("ths_adjustment_nv_fund",AC$3,$A343))</f>
        <v/>
      </c>
      <c r="AD343" s="13">
        <f>IF($A343="","",[1]!thsiFinD("ths_adjustment_nv_fund",AD$3,$A343))</f>
        <v/>
      </c>
      <c r="AE343" s="13">
        <f>IF($A343="","",[1]!thsiFinD("ths_adjustment_nv_fund",AE$3,$A343))</f>
        <v/>
      </c>
      <c r="AF343" s="13">
        <f>IF($A343="","",[1]!thsiFinD("ths_adjustment_nv_fund",AF$3,$A343))</f>
        <v/>
      </c>
      <c r="AG343" s="13">
        <f>IF($A343="","",[1]!thsiFinD("ths_adjustment_nv_fund",AG$3,$A343))</f>
        <v/>
      </c>
      <c r="AH343" s="13">
        <f>IF($A343="","",[1]!thsiFinD("ths_adjustment_nv_fund",AH$3,$A343))</f>
        <v/>
      </c>
      <c r="AI343" s="13">
        <f>IF($A343="","",[1]!thsiFinD("ths_adjustment_nv_fund",AI$3,$A343))</f>
        <v/>
      </c>
      <c r="AJ343" s="13">
        <f>IF($A343="","",[1]!thsiFinD("ths_adjustment_nv_fund",AJ$3,$A343))</f>
        <v/>
      </c>
      <c r="AK343" s="13">
        <f>IF($A343="","",[1]!thsiFinD("ths_adjustment_nv_fund",AK$3,$A343))</f>
        <v/>
      </c>
      <c r="AL343" s="13">
        <f>IF($A343="","",[1]!thsiFinD("ths_adjustment_nv_fund",AL$3,$A343))</f>
        <v/>
      </c>
    </row>
    <row r="344" spans="2:28">
      <c r="B344" s="13" t="str">
        <f>IF($A344="","",[1]!thsiFinD("ths_adjustment_nv_fund",B$3,$A344))</f>
        <v/>
      </c>
      <c r="C344" s="13" t="str">
        <f>IF($A344="","",[1]!thsiFinD("ths_adjustment_nv_fund",C$3,$A344))</f>
        <v/>
      </c>
      <c r="D344" s="13" t="str">
        <f>IF($A344="","",[1]!thsiFinD("ths_adjustment_nv_fund",D$3,$A344))</f>
        <v/>
      </c>
      <c r="E344" s="13" t="str">
        <f>IF($A344="","",[1]!thsiFinD("ths_adjustment_nv_fund",E$3,$A344))</f>
        <v/>
      </c>
      <c r="F344" s="13" t="str">
        <f>IF($A344="","",[1]!thsiFinD("ths_adjustment_nv_fund",F$3,$A344))</f>
        <v/>
      </c>
      <c r="G344" s="13" t="str">
        <f>IF($A344="","",[1]!thsiFinD("ths_adjustment_nv_fund",G$3,$A344))</f>
        <v/>
      </c>
      <c r="H344" s="13" t="str">
        <f>IF($A344="","",[1]!thsiFinD("ths_adjustment_nv_fund",H$3,$A344))</f>
        <v/>
      </c>
      <c r="I344" s="13" t="str">
        <f>IF($A344="","",[1]!thsiFinD("ths_adjustment_nv_fund",I$3,$A344))</f>
        <v/>
      </c>
      <c r="J344" s="13" t="str">
        <f>IF($A344="","",[1]!thsiFinD("ths_adjustment_nv_fund",J$3,$A344))</f>
        <v/>
      </c>
      <c r="K344" s="13" t="str">
        <f>IF($A344="","",[1]!thsiFinD("ths_adjustment_nv_fund",K$3,$A344))</f>
        <v/>
      </c>
      <c r="L344" s="13" t="str">
        <f>IF($A344="","",[1]!thsiFinD("ths_adjustment_nv_fund",L$3,$A344))</f>
        <v/>
      </c>
      <c r="M344" s="13" t="str">
        <f>IF($A344="","",[1]!thsiFinD("ths_adjustment_nv_fund",M$3,$A344))</f>
        <v/>
      </c>
      <c r="N344" s="13" t="str">
        <f>IF($A344="","",[1]!thsiFinD("ths_adjustment_nv_fund",N$3,$A344))</f>
        <v/>
      </c>
      <c r="O344" s="13" t="str">
        <f>IF($A344="","",[1]!thsiFinD("ths_adjustment_nv_fund",O$3,$A344))</f>
        <v/>
      </c>
      <c r="P344" s="13" t="str">
        <f>IF($A344="","",[1]!thsiFinD("ths_adjustment_nv_fund",P$3,$A344))</f>
        <v/>
      </c>
      <c r="Q344" s="13" t="str">
        <f>IF($A344="","",[1]!thsiFinD("ths_adjustment_nv_fund",Q$3,$A344))</f>
        <v/>
      </c>
      <c r="R344" s="13" t="str">
        <f>IF($A344="","",[1]!thsiFinD("ths_adjustment_nv_fund",R$3,$A344))</f>
        <v/>
      </c>
      <c r="S344" s="13" t="str">
        <f>IF($A344="","",[1]!thsiFinD("ths_adjustment_nv_fund",S$3,$A344))</f>
        <v/>
      </c>
      <c r="T344" s="13" t="str">
        <f>IF($A344="","",[1]!thsiFinD("ths_adjustment_nv_fund",T$3,$A344))</f>
        <v/>
      </c>
      <c r="U344" s="13" t="str">
        <f>IF($A344="","",[1]!thsiFinD("ths_adjustment_nv_fund",U$3,$A344))</f>
        <v/>
      </c>
      <c r="V344" s="13" t="str">
        <f>IF($A344="","",[1]!thsiFinD("ths_adjustment_nv_fund",V$3,$A344))</f>
        <v/>
      </c>
      <c r="W344" s="13" t="str">
        <f>IF($A344="","",[1]!thsiFinD("ths_adjustment_nv_fund",W$3,$A344))</f>
        <v/>
      </c>
      <c r="X344" s="13" t="str">
        <f>IF($A344="","",[1]!thsiFinD("ths_adjustment_nv_fund",X$3,$A344))</f>
        <v/>
      </c>
      <c r="Y344" s="13" t="str">
        <f>IF($A344="","",[1]!thsiFinD("ths_adjustment_nv_fund",Y$3,$A344))</f>
        <v/>
      </c>
      <c r="Z344" s="13" t="str">
        <f>IF($A344="","",[1]!thsiFinD("ths_adjustment_nv_fund",Z$3,$A344))</f>
        <v/>
      </c>
      <c r="AA344" s="13" t="str">
        <f>IF($A344="","",[1]!thsiFinD("ths_adjustment_nv_fund",AA$3,$A344))</f>
        <v/>
      </c>
      <c r="AB344" s="13">
        <f>IF($A344="","",[1]!thsiFinD("ths_adjustment_nv_fund",AB$3,$A344))</f>
        <v/>
      </c>
      <c r="AC344" s="13">
        <f>IF($A344="","",[1]!thsiFinD("ths_adjustment_nv_fund",AC$3,$A344))</f>
        <v/>
      </c>
      <c r="AD344" s="13">
        <f>IF($A344="","",[1]!thsiFinD("ths_adjustment_nv_fund",AD$3,$A344))</f>
        <v/>
      </c>
      <c r="AE344" s="13">
        <f>IF($A344="","",[1]!thsiFinD("ths_adjustment_nv_fund",AE$3,$A344))</f>
        <v/>
      </c>
      <c r="AF344" s="13">
        <f>IF($A344="","",[1]!thsiFinD("ths_adjustment_nv_fund",AF$3,$A344))</f>
        <v/>
      </c>
      <c r="AG344" s="13">
        <f>IF($A344="","",[1]!thsiFinD("ths_adjustment_nv_fund",AG$3,$A344))</f>
        <v/>
      </c>
      <c r="AH344" s="13">
        <f>IF($A344="","",[1]!thsiFinD("ths_adjustment_nv_fund",AH$3,$A344))</f>
        <v/>
      </c>
      <c r="AI344" s="13">
        <f>IF($A344="","",[1]!thsiFinD("ths_adjustment_nv_fund",AI$3,$A344))</f>
        <v/>
      </c>
      <c r="AJ344" s="13">
        <f>IF($A344="","",[1]!thsiFinD("ths_adjustment_nv_fund",AJ$3,$A344))</f>
        <v/>
      </c>
      <c r="AK344" s="13">
        <f>IF($A344="","",[1]!thsiFinD("ths_adjustment_nv_fund",AK$3,$A344))</f>
        <v/>
      </c>
      <c r="AL344" s="13">
        <f>IF($A344="","",[1]!thsiFinD("ths_adjustment_nv_fund",AL$3,$A344))</f>
        <v/>
      </c>
    </row>
    <row r="345" spans="2:28">
      <c r="B345" s="13" t="str">
        <f>IF($A345="","",[1]!thsiFinD("ths_adjustment_nv_fund",B$3,$A345))</f>
        <v/>
      </c>
      <c r="C345" s="13" t="str">
        <f>IF($A345="","",[1]!thsiFinD("ths_adjustment_nv_fund",C$3,$A345))</f>
        <v/>
      </c>
      <c r="D345" s="13" t="str">
        <f>IF($A345="","",[1]!thsiFinD("ths_adjustment_nv_fund",D$3,$A345))</f>
        <v/>
      </c>
      <c r="E345" s="13" t="str">
        <f>IF($A345="","",[1]!thsiFinD("ths_adjustment_nv_fund",E$3,$A345))</f>
        <v/>
      </c>
      <c r="F345" s="13" t="str">
        <f>IF($A345="","",[1]!thsiFinD("ths_adjustment_nv_fund",F$3,$A345))</f>
        <v/>
      </c>
      <c r="G345" s="13" t="str">
        <f>IF($A345="","",[1]!thsiFinD("ths_adjustment_nv_fund",G$3,$A345))</f>
        <v/>
      </c>
      <c r="H345" s="13" t="str">
        <f>IF($A345="","",[1]!thsiFinD("ths_adjustment_nv_fund",H$3,$A345))</f>
        <v/>
      </c>
      <c r="I345" s="13" t="str">
        <f>IF($A345="","",[1]!thsiFinD("ths_adjustment_nv_fund",I$3,$A345))</f>
        <v/>
      </c>
      <c r="J345" s="13" t="str">
        <f>IF($A345="","",[1]!thsiFinD("ths_adjustment_nv_fund",J$3,$A345))</f>
        <v/>
      </c>
      <c r="K345" s="13" t="str">
        <f>IF($A345="","",[1]!thsiFinD("ths_adjustment_nv_fund",K$3,$A345))</f>
        <v/>
      </c>
      <c r="L345" s="13" t="str">
        <f>IF($A345="","",[1]!thsiFinD("ths_adjustment_nv_fund",L$3,$A345))</f>
        <v/>
      </c>
      <c r="M345" s="13" t="str">
        <f>IF($A345="","",[1]!thsiFinD("ths_adjustment_nv_fund",M$3,$A345))</f>
        <v/>
      </c>
      <c r="N345" s="13" t="str">
        <f>IF($A345="","",[1]!thsiFinD("ths_adjustment_nv_fund",N$3,$A345))</f>
        <v/>
      </c>
      <c r="O345" s="13" t="str">
        <f>IF($A345="","",[1]!thsiFinD("ths_adjustment_nv_fund",O$3,$A345))</f>
        <v/>
      </c>
      <c r="P345" s="13" t="str">
        <f>IF($A345="","",[1]!thsiFinD("ths_adjustment_nv_fund",P$3,$A345))</f>
        <v/>
      </c>
      <c r="Q345" s="13" t="str">
        <f>IF($A345="","",[1]!thsiFinD("ths_adjustment_nv_fund",Q$3,$A345))</f>
        <v/>
      </c>
      <c r="R345" s="13" t="str">
        <f>IF($A345="","",[1]!thsiFinD("ths_adjustment_nv_fund",R$3,$A345))</f>
        <v/>
      </c>
      <c r="S345" s="13" t="str">
        <f>IF($A345="","",[1]!thsiFinD("ths_adjustment_nv_fund",S$3,$A345))</f>
        <v/>
      </c>
      <c r="T345" s="13" t="str">
        <f>IF($A345="","",[1]!thsiFinD("ths_adjustment_nv_fund",T$3,$A345))</f>
        <v/>
      </c>
      <c r="U345" s="13" t="str">
        <f>IF($A345="","",[1]!thsiFinD("ths_adjustment_nv_fund",U$3,$A345))</f>
        <v/>
      </c>
      <c r="V345" s="13" t="str">
        <f>IF($A345="","",[1]!thsiFinD("ths_adjustment_nv_fund",V$3,$A345))</f>
        <v/>
      </c>
      <c r="W345" s="13" t="str">
        <f>IF($A345="","",[1]!thsiFinD("ths_adjustment_nv_fund",W$3,$A345))</f>
        <v/>
      </c>
      <c r="X345" s="13" t="str">
        <f>IF($A345="","",[1]!thsiFinD("ths_adjustment_nv_fund",X$3,$A345))</f>
        <v/>
      </c>
      <c r="Y345" s="13" t="str">
        <f>IF($A345="","",[1]!thsiFinD("ths_adjustment_nv_fund",Y$3,$A345))</f>
        <v/>
      </c>
      <c r="Z345" s="13" t="str">
        <f>IF($A345="","",[1]!thsiFinD("ths_adjustment_nv_fund",Z$3,$A345))</f>
        <v/>
      </c>
      <c r="AA345" s="13" t="str">
        <f>IF($A345="","",[1]!thsiFinD("ths_adjustment_nv_fund",AA$3,$A345))</f>
        <v/>
      </c>
      <c r="AB345" s="13">
        <f>IF($A345="","",[1]!thsiFinD("ths_adjustment_nv_fund",AB$3,$A345))</f>
        <v/>
      </c>
      <c r="AC345" s="13">
        <f>IF($A345="","",[1]!thsiFinD("ths_adjustment_nv_fund",AC$3,$A345))</f>
        <v/>
      </c>
      <c r="AD345" s="13">
        <f>IF($A345="","",[1]!thsiFinD("ths_adjustment_nv_fund",AD$3,$A345))</f>
        <v/>
      </c>
      <c r="AE345" s="13">
        <f>IF($A345="","",[1]!thsiFinD("ths_adjustment_nv_fund",AE$3,$A345))</f>
        <v/>
      </c>
      <c r="AF345" s="13">
        <f>IF($A345="","",[1]!thsiFinD("ths_adjustment_nv_fund",AF$3,$A345))</f>
        <v/>
      </c>
      <c r="AG345" s="13">
        <f>IF($A345="","",[1]!thsiFinD("ths_adjustment_nv_fund",AG$3,$A345))</f>
        <v/>
      </c>
      <c r="AH345" s="13">
        <f>IF($A345="","",[1]!thsiFinD("ths_adjustment_nv_fund",AH$3,$A345))</f>
        <v/>
      </c>
      <c r="AI345" s="13">
        <f>IF($A345="","",[1]!thsiFinD("ths_adjustment_nv_fund",AI$3,$A345))</f>
        <v/>
      </c>
      <c r="AJ345" s="13">
        <f>IF($A345="","",[1]!thsiFinD("ths_adjustment_nv_fund",AJ$3,$A345))</f>
        <v/>
      </c>
      <c r="AK345" s="13">
        <f>IF($A345="","",[1]!thsiFinD("ths_adjustment_nv_fund",AK$3,$A345))</f>
        <v/>
      </c>
      <c r="AL345" s="13">
        <f>IF($A345="","",[1]!thsiFinD("ths_adjustment_nv_fund",AL$3,$A345))</f>
        <v/>
      </c>
    </row>
    <row r="346" spans="2:28">
      <c r="B346" s="13" t="str">
        <f>IF($A346="","",[1]!thsiFinD("ths_adjustment_nv_fund",B$3,$A346))</f>
        <v/>
      </c>
      <c r="C346" s="13" t="str">
        <f>IF($A346="","",[1]!thsiFinD("ths_adjustment_nv_fund",C$3,$A346))</f>
        <v/>
      </c>
      <c r="D346" s="13" t="str">
        <f>IF($A346="","",[1]!thsiFinD("ths_adjustment_nv_fund",D$3,$A346))</f>
        <v/>
      </c>
      <c r="E346" s="13" t="str">
        <f>IF($A346="","",[1]!thsiFinD("ths_adjustment_nv_fund",E$3,$A346))</f>
        <v/>
      </c>
      <c r="F346" s="13" t="str">
        <f>IF($A346="","",[1]!thsiFinD("ths_adjustment_nv_fund",F$3,$A346))</f>
        <v/>
      </c>
      <c r="G346" s="13" t="str">
        <f>IF($A346="","",[1]!thsiFinD("ths_adjustment_nv_fund",G$3,$A346))</f>
        <v/>
      </c>
      <c r="H346" s="13" t="str">
        <f>IF($A346="","",[1]!thsiFinD("ths_adjustment_nv_fund",H$3,$A346))</f>
        <v/>
      </c>
      <c r="I346" s="13" t="str">
        <f>IF($A346="","",[1]!thsiFinD("ths_adjustment_nv_fund",I$3,$A346))</f>
        <v/>
      </c>
      <c r="J346" s="13" t="str">
        <f>IF($A346="","",[1]!thsiFinD("ths_adjustment_nv_fund",J$3,$A346))</f>
        <v/>
      </c>
      <c r="K346" s="13" t="str">
        <f>IF($A346="","",[1]!thsiFinD("ths_adjustment_nv_fund",K$3,$A346))</f>
        <v/>
      </c>
      <c r="L346" s="13" t="str">
        <f>IF($A346="","",[1]!thsiFinD("ths_adjustment_nv_fund",L$3,$A346))</f>
        <v/>
      </c>
      <c r="M346" s="13" t="str">
        <f>IF($A346="","",[1]!thsiFinD("ths_adjustment_nv_fund",M$3,$A346))</f>
        <v/>
      </c>
      <c r="N346" s="13" t="str">
        <f>IF($A346="","",[1]!thsiFinD("ths_adjustment_nv_fund",N$3,$A346))</f>
        <v/>
      </c>
      <c r="O346" s="13" t="str">
        <f>IF($A346="","",[1]!thsiFinD("ths_adjustment_nv_fund",O$3,$A346))</f>
        <v/>
      </c>
      <c r="P346" s="13" t="str">
        <f>IF($A346="","",[1]!thsiFinD("ths_adjustment_nv_fund",P$3,$A346))</f>
        <v/>
      </c>
      <c r="Q346" s="13" t="str">
        <f>IF($A346="","",[1]!thsiFinD("ths_adjustment_nv_fund",Q$3,$A346))</f>
        <v/>
      </c>
      <c r="R346" s="13" t="str">
        <f>IF($A346="","",[1]!thsiFinD("ths_adjustment_nv_fund",R$3,$A346))</f>
        <v/>
      </c>
      <c r="S346" s="13" t="str">
        <f>IF($A346="","",[1]!thsiFinD("ths_adjustment_nv_fund",S$3,$A346))</f>
        <v/>
      </c>
      <c r="T346" s="13" t="str">
        <f>IF($A346="","",[1]!thsiFinD("ths_adjustment_nv_fund",T$3,$A346))</f>
        <v/>
      </c>
      <c r="U346" s="13" t="str">
        <f>IF($A346="","",[1]!thsiFinD("ths_adjustment_nv_fund",U$3,$A346))</f>
        <v/>
      </c>
      <c r="V346" s="13" t="str">
        <f>IF($A346="","",[1]!thsiFinD("ths_adjustment_nv_fund",V$3,$A346))</f>
        <v/>
      </c>
      <c r="W346" s="13" t="str">
        <f>IF($A346="","",[1]!thsiFinD("ths_adjustment_nv_fund",W$3,$A346))</f>
        <v/>
      </c>
      <c r="X346" s="13" t="str">
        <f>IF($A346="","",[1]!thsiFinD("ths_adjustment_nv_fund",X$3,$A346))</f>
        <v/>
      </c>
      <c r="Y346" s="13" t="str">
        <f>IF($A346="","",[1]!thsiFinD("ths_adjustment_nv_fund",Y$3,$A346))</f>
        <v/>
      </c>
      <c r="Z346" s="13" t="str">
        <f>IF($A346="","",[1]!thsiFinD("ths_adjustment_nv_fund",Z$3,$A346))</f>
        <v/>
      </c>
      <c r="AA346" s="13" t="str">
        <f>IF($A346="","",[1]!thsiFinD("ths_adjustment_nv_fund",AA$3,$A346))</f>
        <v/>
      </c>
      <c r="AB346" s="13">
        <f>IF($A346="","",[1]!thsiFinD("ths_adjustment_nv_fund",AB$3,$A346))</f>
        <v/>
      </c>
      <c r="AC346" s="13">
        <f>IF($A346="","",[1]!thsiFinD("ths_adjustment_nv_fund",AC$3,$A346))</f>
        <v/>
      </c>
      <c r="AD346" s="13">
        <f>IF($A346="","",[1]!thsiFinD("ths_adjustment_nv_fund",AD$3,$A346))</f>
        <v/>
      </c>
      <c r="AE346" s="13">
        <f>IF($A346="","",[1]!thsiFinD("ths_adjustment_nv_fund",AE$3,$A346))</f>
        <v/>
      </c>
      <c r="AF346" s="13">
        <f>IF($A346="","",[1]!thsiFinD("ths_adjustment_nv_fund",AF$3,$A346))</f>
        <v/>
      </c>
      <c r="AG346" s="13">
        <f>IF($A346="","",[1]!thsiFinD("ths_adjustment_nv_fund",AG$3,$A346))</f>
        <v/>
      </c>
      <c r="AH346" s="13">
        <f>IF($A346="","",[1]!thsiFinD("ths_adjustment_nv_fund",AH$3,$A346))</f>
        <v/>
      </c>
      <c r="AI346" s="13">
        <f>IF($A346="","",[1]!thsiFinD("ths_adjustment_nv_fund",AI$3,$A346))</f>
        <v/>
      </c>
      <c r="AJ346" s="13">
        <f>IF($A346="","",[1]!thsiFinD("ths_adjustment_nv_fund",AJ$3,$A346))</f>
        <v/>
      </c>
      <c r="AK346" s="13">
        <f>IF($A346="","",[1]!thsiFinD("ths_adjustment_nv_fund",AK$3,$A346))</f>
        <v/>
      </c>
      <c r="AL346" s="13">
        <f>IF($A346="","",[1]!thsiFinD("ths_adjustment_nv_fund",AL$3,$A346))</f>
        <v/>
      </c>
    </row>
    <row r="347" spans="2:28">
      <c r="B347" s="13" t="str">
        <f>IF($A347="","",[1]!thsiFinD("ths_adjustment_nv_fund",B$3,$A347))</f>
        <v/>
      </c>
      <c r="C347" s="13" t="str">
        <f>IF($A347="","",[1]!thsiFinD("ths_adjustment_nv_fund",C$3,$A347))</f>
        <v/>
      </c>
      <c r="D347" s="13" t="str">
        <f>IF($A347="","",[1]!thsiFinD("ths_adjustment_nv_fund",D$3,$A347))</f>
        <v/>
      </c>
      <c r="E347" s="13" t="str">
        <f>IF($A347="","",[1]!thsiFinD("ths_adjustment_nv_fund",E$3,$A347))</f>
        <v/>
      </c>
      <c r="F347" s="13" t="str">
        <f>IF($A347="","",[1]!thsiFinD("ths_adjustment_nv_fund",F$3,$A347))</f>
        <v/>
      </c>
      <c r="G347" s="13" t="str">
        <f>IF($A347="","",[1]!thsiFinD("ths_adjustment_nv_fund",G$3,$A347))</f>
        <v/>
      </c>
      <c r="H347" s="13" t="str">
        <f>IF($A347="","",[1]!thsiFinD("ths_adjustment_nv_fund",H$3,$A347))</f>
        <v/>
      </c>
      <c r="I347" s="13" t="str">
        <f>IF($A347="","",[1]!thsiFinD("ths_adjustment_nv_fund",I$3,$A347))</f>
        <v/>
      </c>
      <c r="J347" s="13" t="str">
        <f>IF($A347="","",[1]!thsiFinD("ths_adjustment_nv_fund",J$3,$A347))</f>
        <v/>
      </c>
      <c r="K347" s="13" t="str">
        <f>IF($A347="","",[1]!thsiFinD("ths_adjustment_nv_fund",K$3,$A347))</f>
        <v/>
      </c>
      <c r="L347" s="13" t="str">
        <f>IF($A347="","",[1]!thsiFinD("ths_adjustment_nv_fund",L$3,$A347))</f>
        <v/>
      </c>
      <c r="M347" s="13" t="str">
        <f>IF($A347="","",[1]!thsiFinD("ths_adjustment_nv_fund",M$3,$A347))</f>
        <v/>
      </c>
      <c r="N347" s="13" t="str">
        <f>IF($A347="","",[1]!thsiFinD("ths_adjustment_nv_fund",N$3,$A347))</f>
        <v/>
      </c>
      <c r="O347" s="13" t="str">
        <f>IF($A347="","",[1]!thsiFinD("ths_adjustment_nv_fund",O$3,$A347))</f>
        <v/>
      </c>
      <c r="P347" s="13" t="str">
        <f>IF($A347="","",[1]!thsiFinD("ths_adjustment_nv_fund",P$3,$A347))</f>
        <v/>
      </c>
      <c r="Q347" s="13" t="str">
        <f>IF($A347="","",[1]!thsiFinD("ths_adjustment_nv_fund",Q$3,$A347))</f>
        <v/>
      </c>
      <c r="R347" s="13" t="str">
        <f>IF($A347="","",[1]!thsiFinD("ths_adjustment_nv_fund",R$3,$A347))</f>
        <v/>
      </c>
      <c r="S347" s="13" t="str">
        <f>IF($A347="","",[1]!thsiFinD("ths_adjustment_nv_fund",S$3,$A347))</f>
        <v/>
      </c>
      <c r="T347" s="13" t="str">
        <f>IF($A347="","",[1]!thsiFinD("ths_adjustment_nv_fund",T$3,$A347))</f>
        <v/>
      </c>
      <c r="U347" s="13" t="str">
        <f>IF($A347="","",[1]!thsiFinD("ths_adjustment_nv_fund",U$3,$A347))</f>
        <v/>
      </c>
      <c r="V347" s="13" t="str">
        <f>IF($A347="","",[1]!thsiFinD("ths_adjustment_nv_fund",V$3,$A347))</f>
        <v/>
      </c>
      <c r="W347" s="13" t="str">
        <f>IF($A347="","",[1]!thsiFinD("ths_adjustment_nv_fund",W$3,$A347))</f>
        <v/>
      </c>
      <c r="X347" s="13" t="str">
        <f>IF($A347="","",[1]!thsiFinD("ths_adjustment_nv_fund",X$3,$A347))</f>
        <v/>
      </c>
      <c r="Y347" s="13" t="str">
        <f>IF($A347="","",[1]!thsiFinD("ths_adjustment_nv_fund",Y$3,$A347))</f>
        <v/>
      </c>
      <c r="Z347" s="13" t="str">
        <f>IF($A347="","",[1]!thsiFinD("ths_adjustment_nv_fund",Z$3,$A347))</f>
        <v/>
      </c>
      <c r="AA347" s="13" t="str">
        <f>IF($A347="","",[1]!thsiFinD("ths_adjustment_nv_fund",AA$3,$A347))</f>
        <v/>
      </c>
      <c r="AB347" s="13">
        <f>IF($A347="","",[1]!thsiFinD("ths_adjustment_nv_fund",AB$3,$A347))</f>
        <v/>
      </c>
      <c r="AC347" s="13">
        <f>IF($A347="","",[1]!thsiFinD("ths_adjustment_nv_fund",AC$3,$A347))</f>
        <v/>
      </c>
      <c r="AD347" s="13">
        <f>IF($A347="","",[1]!thsiFinD("ths_adjustment_nv_fund",AD$3,$A347))</f>
        <v/>
      </c>
      <c r="AE347" s="13">
        <f>IF($A347="","",[1]!thsiFinD("ths_adjustment_nv_fund",AE$3,$A347))</f>
        <v/>
      </c>
      <c r="AF347" s="13">
        <f>IF($A347="","",[1]!thsiFinD("ths_adjustment_nv_fund",AF$3,$A347))</f>
        <v/>
      </c>
      <c r="AG347" s="13">
        <f>IF($A347="","",[1]!thsiFinD("ths_adjustment_nv_fund",AG$3,$A347))</f>
        <v/>
      </c>
      <c r="AH347" s="13">
        <f>IF($A347="","",[1]!thsiFinD("ths_adjustment_nv_fund",AH$3,$A347))</f>
        <v/>
      </c>
      <c r="AI347" s="13">
        <f>IF($A347="","",[1]!thsiFinD("ths_adjustment_nv_fund",AI$3,$A347))</f>
        <v/>
      </c>
      <c r="AJ347" s="13">
        <f>IF($A347="","",[1]!thsiFinD("ths_adjustment_nv_fund",AJ$3,$A347))</f>
        <v/>
      </c>
      <c r="AK347" s="13">
        <f>IF($A347="","",[1]!thsiFinD("ths_adjustment_nv_fund",AK$3,$A347))</f>
        <v/>
      </c>
      <c r="AL347" s="13">
        <f>IF($A347="","",[1]!thsiFinD("ths_adjustment_nv_fund",AL$3,$A347))</f>
        <v/>
      </c>
    </row>
    <row r="348" spans="2:28">
      <c r="B348" s="13" t="str">
        <f>IF($A348="","",[1]!thsiFinD("ths_adjustment_nv_fund",B$3,$A348))</f>
        <v/>
      </c>
      <c r="C348" s="13" t="str">
        <f>IF($A348="","",[1]!thsiFinD("ths_adjustment_nv_fund",C$3,$A348))</f>
        <v/>
      </c>
      <c r="D348" s="13" t="str">
        <f>IF($A348="","",[1]!thsiFinD("ths_adjustment_nv_fund",D$3,$A348))</f>
        <v/>
      </c>
      <c r="E348" s="13" t="str">
        <f>IF($A348="","",[1]!thsiFinD("ths_adjustment_nv_fund",E$3,$A348))</f>
        <v/>
      </c>
      <c r="F348" s="13" t="str">
        <f>IF($A348="","",[1]!thsiFinD("ths_adjustment_nv_fund",F$3,$A348))</f>
        <v/>
      </c>
      <c r="G348" s="13" t="str">
        <f>IF($A348="","",[1]!thsiFinD("ths_adjustment_nv_fund",G$3,$A348))</f>
        <v/>
      </c>
      <c r="H348" s="13" t="str">
        <f>IF($A348="","",[1]!thsiFinD("ths_adjustment_nv_fund",H$3,$A348))</f>
        <v/>
      </c>
      <c r="I348" s="13" t="str">
        <f>IF($A348="","",[1]!thsiFinD("ths_adjustment_nv_fund",I$3,$A348))</f>
        <v/>
      </c>
      <c r="J348" s="13" t="str">
        <f>IF($A348="","",[1]!thsiFinD("ths_adjustment_nv_fund",J$3,$A348))</f>
        <v/>
      </c>
      <c r="K348" s="13" t="str">
        <f>IF($A348="","",[1]!thsiFinD("ths_adjustment_nv_fund",K$3,$A348))</f>
        <v/>
      </c>
      <c r="L348" s="13" t="str">
        <f>IF($A348="","",[1]!thsiFinD("ths_adjustment_nv_fund",L$3,$A348))</f>
        <v/>
      </c>
      <c r="M348" s="13" t="str">
        <f>IF($A348="","",[1]!thsiFinD("ths_adjustment_nv_fund",M$3,$A348))</f>
        <v/>
      </c>
      <c r="N348" s="13" t="str">
        <f>IF($A348="","",[1]!thsiFinD("ths_adjustment_nv_fund",N$3,$A348))</f>
        <v/>
      </c>
      <c r="O348" s="13" t="str">
        <f>IF($A348="","",[1]!thsiFinD("ths_adjustment_nv_fund",O$3,$A348))</f>
        <v/>
      </c>
      <c r="P348" s="13" t="str">
        <f>IF($A348="","",[1]!thsiFinD("ths_adjustment_nv_fund",P$3,$A348))</f>
        <v/>
      </c>
      <c r="Q348" s="13" t="str">
        <f>IF($A348="","",[1]!thsiFinD("ths_adjustment_nv_fund",Q$3,$A348))</f>
        <v/>
      </c>
      <c r="R348" s="13" t="str">
        <f>IF($A348="","",[1]!thsiFinD("ths_adjustment_nv_fund",R$3,$A348))</f>
        <v/>
      </c>
      <c r="S348" s="13" t="str">
        <f>IF($A348="","",[1]!thsiFinD("ths_adjustment_nv_fund",S$3,$A348))</f>
        <v/>
      </c>
      <c r="T348" s="13" t="str">
        <f>IF($A348="","",[1]!thsiFinD("ths_adjustment_nv_fund",T$3,$A348))</f>
        <v/>
      </c>
      <c r="U348" s="13" t="str">
        <f>IF($A348="","",[1]!thsiFinD("ths_adjustment_nv_fund",U$3,$A348))</f>
        <v/>
      </c>
      <c r="V348" s="13" t="str">
        <f>IF($A348="","",[1]!thsiFinD("ths_adjustment_nv_fund",V$3,$A348))</f>
        <v/>
      </c>
      <c r="W348" s="13" t="str">
        <f>IF($A348="","",[1]!thsiFinD("ths_adjustment_nv_fund",W$3,$A348))</f>
        <v/>
      </c>
      <c r="X348" s="13" t="str">
        <f>IF($A348="","",[1]!thsiFinD("ths_adjustment_nv_fund",X$3,$A348))</f>
        <v/>
      </c>
      <c r="Y348" s="13" t="str">
        <f>IF($A348="","",[1]!thsiFinD("ths_adjustment_nv_fund",Y$3,$A348))</f>
        <v/>
      </c>
      <c r="Z348" s="13" t="str">
        <f>IF($A348="","",[1]!thsiFinD("ths_adjustment_nv_fund",Z$3,$A348))</f>
        <v/>
      </c>
      <c r="AA348" s="13" t="str">
        <f>IF($A348="","",[1]!thsiFinD("ths_adjustment_nv_fund",AA$3,$A348))</f>
        <v/>
      </c>
      <c r="AB348" s="13">
        <f>IF($A348="","",[1]!thsiFinD("ths_adjustment_nv_fund",AB$3,$A348))</f>
        <v/>
      </c>
      <c r="AC348" s="13">
        <f>IF($A348="","",[1]!thsiFinD("ths_adjustment_nv_fund",AC$3,$A348))</f>
        <v/>
      </c>
      <c r="AD348" s="13">
        <f>IF($A348="","",[1]!thsiFinD("ths_adjustment_nv_fund",AD$3,$A348))</f>
        <v/>
      </c>
      <c r="AE348" s="13">
        <f>IF($A348="","",[1]!thsiFinD("ths_adjustment_nv_fund",AE$3,$A348))</f>
        <v/>
      </c>
      <c r="AF348" s="13">
        <f>IF($A348="","",[1]!thsiFinD("ths_adjustment_nv_fund",AF$3,$A348))</f>
        <v/>
      </c>
      <c r="AG348" s="13">
        <f>IF($A348="","",[1]!thsiFinD("ths_adjustment_nv_fund",AG$3,$A348))</f>
        <v/>
      </c>
      <c r="AH348" s="13">
        <f>IF($A348="","",[1]!thsiFinD("ths_adjustment_nv_fund",AH$3,$A348))</f>
        <v/>
      </c>
      <c r="AI348" s="13">
        <f>IF($A348="","",[1]!thsiFinD("ths_adjustment_nv_fund",AI$3,$A348))</f>
        <v/>
      </c>
      <c r="AJ348" s="13">
        <f>IF($A348="","",[1]!thsiFinD("ths_adjustment_nv_fund",AJ$3,$A348))</f>
        <v/>
      </c>
      <c r="AK348" s="13">
        <f>IF($A348="","",[1]!thsiFinD("ths_adjustment_nv_fund",AK$3,$A348))</f>
        <v/>
      </c>
      <c r="AL348" s="13">
        <f>IF($A348="","",[1]!thsiFinD("ths_adjustment_nv_fund",AL$3,$A348))</f>
        <v/>
      </c>
    </row>
    <row r="349" spans="2:28">
      <c r="B349" s="13" t="str">
        <f>IF($A349="","",[1]!thsiFinD("ths_adjustment_nv_fund",B$3,$A349))</f>
        <v/>
      </c>
      <c r="C349" s="13" t="str">
        <f>IF($A349="","",[1]!thsiFinD("ths_adjustment_nv_fund",C$3,$A349))</f>
        <v/>
      </c>
      <c r="D349" s="13" t="str">
        <f>IF($A349="","",[1]!thsiFinD("ths_adjustment_nv_fund",D$3,$A349))</f>
        <v/>
      </c>
      <c r="E349" s="13" t="str">
        <f>IF($A349="","",[1]!thsiFinD("ths_adjustment_nv_fund",E$3,$A349))</f>
        <v/>
      </c>
      <c r="F349" s="13" t="str">
        <f>IF($A349="","",[1]!thsiFinD("ths_adjustment_nv_fund",F$3,$A349))</f>
        <v/>
      </c>
      <c r="G349" s="13" t="str">
        <f>IF($A349="","",[1]!thsiFinD("ths_adjustment_nv_fund",G$3,$A349))</f>
        <v/>
      </c>
      <c r="H349" s="13" t="str">
        <f>IF($A349="","",[1]!thsiFinD("ths_adjustment_nv_fund",H$3,$A349))</f>
        <v/>
      </c>
      <c r="I349" s="13" t="str">
        <f>IF($A349="","",[1]!thsiFinD("ths_adjustment_nv_fund",I$3,$A349))</f>
        <v/>
      </c>
      <c r="J349" s="13" t="str">
        <f>IF($A349="","",[1]!thsiFinD("ths_adjustment_nv_fund",J$3,$A349))</f>
        <v/>
      </c>
      <c r="K349" s="13" t="str">
        <f>IF($A349="","",[1]!thsiFinD("ths_adjustment_nv_fund",K$3,$A349))</f>
        <v/>
      </c>
      <c r="L349" s="13" t="str">
        <f>IF($A349="","",[1]!thsiFinD("ths_adjustment_nv_fund",L$3,$A349))</f>
        <v/>
      </c>
      <c r="M349" s="13" t="str">
        <f>IF($A349="","",[1]!thsiFinD("ths_adjustment_nv_fund",M$3,$A349))</f>
        <v/>
      </c>
      <c r="N349" s="13" t="str">
        <f>IF($A349="","",[1]!thsiFinD("ths_adjustment_nv_fund",N$3,$A349))</f>
        <v/>
      </c>
      <c r="O349" s="13" t="str">
        <f>IF($A349="","",[1]!thsiFinD("ths_adjustment_nv_fund",O$3,$A349))</f>
        <v/>
      </c>
      <c r="P349" s="13" t="str">
        <f>IF($A349="","",[1]!thsiFinD("ths_adjustment_nv_fund",P$3,$A349))</f>
        <v/>
      </c>
      <c r="Q349" s="13" t="str">
        <f>IF($A349="","",[1]!thsiFinD("ths_adjustment_nv_fund",Q$3,$A349))</f>
        <v/>
      </c>
      <c r="R349" s="13" t="str">
        <f>IF($A349="","",[1]!thsiFinD("ths_adjustment_nv_fund",R$3,$A349))</f>
        <v/>
      </c>
      <c r="S349" s="13" t="str">
        <f>IF($A349="","",[1]!thsiFinD("ths_adjustment_nv_fund",S$3,$A349))</f>
        <v/>
      </c>
      <c r="T349" s="13" t="str">
        <f>IF($A349="","",[1]!thsiFinD("ths_adjustment_nv_fund",T$3,$A349))</f>
        <v/>
      </c>
      <c r="U349" s="13" t="str">
        <f>IF($A349="","",[1]!thsiFinD("ths_adjustment_nv_fund",U$3,$A349))</f>
        <v/>
      </c>
      <c r="V349" s="13" t="str">
        <f>IF($A349="","",[1]!thsiFinD("ths_adjustment_nv_fund",V$3,$A349))</f>
        <v/>
      </c>
      <c r="W349" s="13" t="str">
        <f>IF($A349="","",[1]!thsiFinD("ths_adjustment_nv_fund",W$3,$A349))</f>
        <v/>
      </c>
      <c r="X349" s="13" t="str">
        <f>IF($A349="","",[1]!thsiFinD("ths_adjustment_nv_fund",X$3,$A349))</f>
        <v/>
      </c>
      <c r="Y349" s="13" t="str">
        <f>IF($A349="","",[1]!thsiFinD("ths_adjustment_nv_fund",Y$3,$A349))</f>
        <v/>
      </c>
      <c r="Z349" s="13" t="str">
        <f>IF($A349="","",[1]!thsiFinD("ths_adjustment_nv_fund",Z$3,$A349))</f>
        <v/>
      </c>
      <c r="AA349" s="13" t="str">
        <f>IF($A349="","",[1]!thsiFinD("ths_adjustment_nv_fund",AA$3,$A349))</f>
        <v/>
      </c>
      <c r="AB349" s="13">
        <f>IF($A349="","",[1]!thsiFinD("ths_adjustment_nv_fund",AB$3,$A349))</f>
        <v/>
      </c>
      <c r="AC349" s="13">
        <f>IF($A349="","",[1]!thsiFinD("ths_adjustment_nv_fund",AC$3,$A349))</f>
        <v/>
      </c>
      <c r="AD349" s="13">
        <f>IF($A349="","",[1]!thsiFinD("ths_adjustment_nv_fund",AD$3,$A349))</f>
        <v/>
      </c>
      <c r="AE349" s="13">
        <f>IF($A349="","",[1]!thsiFinD("ths_adjustment_nv_fund",AE$3,$A349))</f>
        <v/>
      </c>
      <c r="AF349" s="13">
        <f>IF($A349="","",[1]!thsiFinD("ths_adjustment_nv_fund",AF$3,$A349))</f>
        <v/>
      </c>
      <c r="AG349" s="13">
        <f>IF($A349="","",[1]!thsiFinD("ths_adjustment_nv_fund",AG$3,$A349))</f>
        <v/>
      </c>
      <c r="AH349" s="13">
        <f>IF($A349="","",[1]!thsiFinD("ths_adjustment_nv_fund",AH$3,$A349))</f>
        <v/>
      </c>
      <c r="AI349" s="13">
        <f>IF($A349="","",[1]!thsiFinD("ths_adjustment_nv_fund",AI$3,$A349))</f>
        <v/>
      </c>
      <c r="AJ349" s="13">
        <f>IF($A349="","",[1]!thsiFinD("ths_adjustment_nv_fund",AJ$3,$A349))</f>
        <v/>
      </c>
      <c r="AK349" s="13">
        <f>IF($A349="","",[1]!thsiFinD("ths_adjustment_nv_fund",AK$3,$A349))</f>
        <v/>
      </c>
      <c r="AL349" s="13">
        <f>IF($A349="","",[1]!thsiFinD("ths_adjustment_nv_fund",AL$3,$A349))</f>
        <v/>
      </c>
    </row>
    <row r="350" spans="2:28">
      <c r="B350" s="13" t="str">
        <f>IF($A350="","",[1]!thsiFinD("ths_adjustment_nv_fund",B$3,$A350))</f>
        <v/>
      </c>
      <c r="C350" s="13" t="str">
        <f>IF($A350="","",[1]!thsiFinD("ths_adjustment_nv_fund",C$3,$A350))</f>
        <v/>
      </c>
      <c r="D350" s="13" t="str">
        <f>IF($A350="","",[1]!thsiFinD("ths_adjustment_nv_fund",D$3,$A350))</f>
        <v/>
      </c>
      <c r="E350" s="13" t="str">
        <f>IF($A350="","",[1]!thsiFinD("ths_adjustment_nv_fund",E$3,$A350))</f>
        <v/>
      </c>
      <c r="F350" s="13" t="str">
        <f>IF($A350="","",[1]!thsiFinD("ths_adjustment_nv_fund",F$3,$A350))</f>
        <v/>
      </c>
      <c r="G350" s="13" t="str">
        <f>IF($A350="","",[1]!thsiFinD("ths_adjustment_nv_fund",G$3,$A350))</f>
        <v/>
      </c>
      <c r="H350" s="13" t="str">
        <f>IF($A350="","",[1]!thsiFinD("ths_adjustment_nv_fund",H$3,$A350))</f>
        <v/>
      </c>
      <c r="I350" s="13" t="str">
        <f>IF($A350="","",[1]!thsiFinD("ths_adjustment_nv_fund",I$3,$A350))</f>
        <v/>
      </c>
      <c r="J350" s="13" t="str">
        <f>IF($A350="","",[1]!thsiFinD("ths_adjustment_nv_fund",J$3,$A350))</f>
        <v/>
      </c>
      <c r="K350" s="13" t="str">
        <f>IF($A350="","",[1]!thsiFinD("ths_adjustment_nv_fund",K$3,$A350))</f>
        <v/>
      </c>
      <c r="L350" s="13" t="str">
        <f>IF($A350="","",[1]!thsiFinD("ths_adjustment_nv_fund",L$3,$A350))</f>
        <v/>
      </c>
      <c r="M350" s="13" t="str">
        <f>IF($A350="","",[1]!thsiFinD("ths_adjustment_nv_fund",M$3,$A350))</f>
        <v/>
      </c>
      <c r="N350" s="13" t="str">
        <f>IF($A350="","",[1]!thsiFinD("ths_adjustment_nv_fund",N$3,$A350))</f>
        <v/>
      </c>
      <c r="O350" s="13" t="str">
        <f>IF($A350="","",[1]!thsiFinD("ths_adjustment_nv_fund",O$3,$A350))</f>
        <v/>
      </c>
      <c r="P350" s="13" t="str">
        <f>IF($A350="","",[1]!thsiFinD("ths_adjustment_nv_fund",P$3,$A350))</f>
        <v/>
      </c>
      <c r="Q350" s="13" t="str">
        <f>IF($A350="","",[1]!thsiFinD("ths_adjustment_nv_fund",Q$3,$A350))</f>
        <v/>
      </c>
      <c r="R350" s="13" t="str">
        <f>IF($A350="","",[1]!thsiFinD("ths_adjustment_nv_fund",R$3,$A350))</f>
        <v/>
      </c>
      <c r="S350" s="13" t="str">
        <f>IF($A350="","",[1]!thsiFinD("ths_adjustment_nv_fund",S$3,$A350))</f>
        <v/>
      </c>
      <c r="T350" s="13" t="str">
        <f>IF($A350="","",[1]!thsiFinD("ths_adjustment_nv_fund",T$3,$A350))</f>
        <v/>
      </c>
      <c r="U350" s="13" t="str">
        <f>IF($A350="","",[1]!thsiFinD("ths_adjustment_nv_fund",U$3,$A350))</f>
        <v/>
      </c>
      <c r="V350" s="13" t="str">
        <f>IF($A350="","",[1]!thsiFinD("ths_adjustment_nv_fund",V$3,$A350))</f>
        <v/>
      </c>
      <c r="W350" s="13" t="str">
        <f>IF($A350="","",[1]!thsiFinD("ths_adjustment_nv_fund",W$3,$A350))</f>
        <v/>
      </c>
      <c r="X350" s="13" t="str">
        <f>IF($A350="","",[1]!thsiFinD("ths_adjustment_nv_fund",X$3,$A350))</f>
        <v/>
      </c>
      <c r="Y350" s="13" t="str">
        <f>IF($A350="","",[1]!thsiFinD("ths_adjustment_nv_fund",Y$3,$A350))</f>
        <v/>
      </c>
      <c r="Z350" s="13" t="str">
        <f>IF($A350="","",[1]!thsiFinD("ths_adjustment_nv_fund",Z$3,$A350))</f>
        <v/>
      </c>
      <c r="AA350" s="13" t="str">
        <f>IF($A350="","",[1]!thsiFinD("ths_adjustment_nv_fund",AA$3,$A350))</f>
        <v/>
      </c>
      <c r="AB350" s="13">
        <f>IF($A350="","",[1]!thsiFinD("ths_adjustment_nv_fund",AB$3,$A350))</f>
        <v/>
      </c>
      <c r="AC350" s="13">
        <f>IF($A350="","",[1]!thsiFinD("ths_adjustment_nv_fund",AC$3,$A350))</f>
        <v/>
      </c>
      <c r="AD350" s="13">
        <f>IF($A350="","",[1]!thsiFinD("ths_adjustment_nv_fund",AD$3,$A350))</f>
        <v/>
      </c>
      <c r="AE350" s="13">
        <f>IF($A350="","",[1]!thsiFinD("ths_adjustment_nv_fund",AE$3,$A350))</f>
        <v/>
      </c>
      <c r="AF350" s="13">
        <f>IF($A350="","",[1]!thsiFinD("ths_adjustment_nv_fund",AF$3,$A350))</f>
        <v/>
      </c>
      <c r="AG350" s="13">
        <f>IF($A350="","",[1]!thsiFinD("ths_adjustment_nv_fund",AG$3,$A350))</f>
        <v/>
      </c>
      <c r="AH350" s="13">
        <f>IF($A350="","",[1]!thsiFinD("ths_adjustment_nv_fund",AH$3,$A350))</f>
        <v/>
      </c>
      <c r="AI350" s="13">
        <f>IF($A350="","",[1]!thsiFinD("ths_adjustment_nv_fund",AI$3,$A350))</f>
        <v/>
      </c>
      <c r="AJ350" s="13">
        <f>IF($A350="","",[1]!thsiFinD("ths_adjustment_nv_fund",AJ$3,$A350))</f>
        <v/>
      </c>
      <c r="AK350" s="13">
        <f>IF($A350="","",[1]!thsiFinD("ths_adjustment_nv_fund",AK$3,$A350))</f>
        <v/>
      </c>
      <c r="AL350" s="13">
        <f>IF($A350="","",[1]!thsiFinD("ths_adjustment_nv_fund",AL$3,$A350))</f>
        <v/>
      </c>
    </row>
    <row r="351" spans="2:28">
      <c r="B351" s="13" t="str">
        <f>IF($A351="","",[1]!thsiFinD("ths_adjustment_nv_fund",B$3,$A351))</f>
        <v/>
      </c>
      <c r="C351" s="13" t="str">
        <f>IF($A351="","",[1]!thsiFinD("ths_adjustment_nv_fund",C$3,$A351))</f>
        <v/>
      </c>
      <c r="D351" s="13" t="str">
        <f>IF($A351="","",[1]!thsiFinD("ths_adjustment_nv_fund",D$3,$A351))</f>
        <v/>
      </c>
      <c r="E351" s="13" t="str">
        <f>IF($A351="","",[1]!thsiFinD("ths_adjustment_nv_fund",E$3,$A351))</f>
        <v/>
      </c>
      <c r="F351" s="13" t="str">
        <f>IF($A351="","",[1]!thsiFinD("ths_adjustment_nv_fund",F$3,$A351))</f>
        <v/>
      </c>
      <c r="G351" s="13" t="str">
        <f>IF($A351="","",[1]!thsiFinD("ths_adjustment_nv_fund",G$3,$A351))</f>
        <v/>
      </c>
      <c r="H351" s="13" t="str">
        <f>IF($A351="","",[1]!thsiFinD("ths_adjustment_nv_fund",H$3,$A351))</f>
        <v/>
      </c>
      <c r="I351" s="13" t="str">
        <f>IF($A351="","",[1]!thsiFinD("ths_adjustment_nv_fund",I$3,$A351))</f>
        <v/>
      </c>
      <c r="J351" s="13" t="str">
        <f>IF($A351="","",[1]!thsiFinD("ths_adjustment_nv_fund",J$3,$A351))</f>
        <v/>
      </c>
      <c r="K351" s="13" t="str">
        <f>IF($A351="","",[1]!thsiFinD("ths_adjustment_nv_fund",K$3,$A351))</f>
        <v/>
      </c>
      <c r="L351" s="13" t="str">
        <f>IF($A351="","",[1]!thsiFinD("ths_adjustment_nv_fund",L$3,$A351))</f>
        <v/>
      </c>
      <c r="M351" s="13" t="str">
        <f>IF($A351="","",[1]!thsiFinD("ths_adjustment_nv_fund",M$3,$A351))</f>
        <v/>
      </c>
      <c r="N351" s="13" t="str">
        <f>IF($A351="","",[1]!thsiFinD("ths_adjustment_nv_fund",N$3,$A351))</f>
        <v/>
      </c>
      <c r="O351" s="13" t="str">
        <f>IF($A351="","",[1]!thsiFinD("ths_adjustment_nv_fund",O$3,$A351))</f>
        <v/>
      </c>
      <c r="P351" s="13" t="str">
        <f>IF($A351="","",[1]!thsiFinD("ths_adjustment_nv_fund",P$3,$A351))</f>
        <v/>
      </c>
      <c r="Q351" s="13" t="str">
        <f>IF($A351="","",[1]!thsiFinD("ths_adjustment_nv_fund",Q$3,$A351))</f>
        <v/>
      </c>
      <c r="R351" s="13" t="str">
        <f>IF($A351="","",[1]!thsiFinD("ths_adjustment_nv_fund",R$3,$A351))</f>
        <v/>
      </c>
      <c r="S351" s="13" t="str">
        <f>IF($A351="","",[1]!thsiFinD("ths_adjustment_nv_fund",S$3,$A351))</f>
        <v/>
      </c>
      <c r="T351" s="13" t="str">
        <f>IF($A351="","",[1]!thsiFinD("ths_adjustment_nv_fund",T$3,$A351))</f>
        <v/>
      </c>
      <c r="U351" s="13" t="str">
        <f>IF($A351="","",[1]!thsiFinD("ths_adjustment_nv_fund",U$3,$A351))</f>
        <v/>
      </c>
      <c r="V351" s="13" t="str">
        <f>IF($A351="","",[1]!thsiFinD("ths_adjustment_nv_fund",V$3,$A351))</f>
        <v/>
      </c>
      <c r="W351" s="13" t="str">
        <f>IF($A351="","",[1]!thsiFinD("ths_adjustment_nv_fund",W$3,$A351))</f>
        <v/>
      </c>
      <c r="X351" s="13" t="str">
        <f>IF($A351="","",[1]!thsiFinD("ths_adjustment_nv_fund",X$3,$A351))</f>
        <v/>
      </c>
      <c r="Y351" s="13" t="str">
        <f>IF($A351="","",[1]!thsiFinD("ths_adjustment_nv_fund",Y$3,$A351))</f>
        <v/>
      </c>
      <c r="Z351" s="13" t="str">
        <f>IF($A351="","",[1]!thsiFinD("ths_adjustment_nv_fund",Z$3,$A351))</f>
        <v/>
      </c>
      <c r="AA351" s="13" t="str">
        <f>IF($A351="","",[1]!thsiFinD("ths_adjustment_nv_fund",AA$3,$A351))</f>
        <v/>
      </c>
      <c r="AB351" s="13">
        <f>IF($A351="","",[1]!thsiFinD("ths_adjustment_nv_fund",AB$3,$A351))</f>
        <v/>
      </c>
      <c r="AC351" s="13">
        <f>IF($A351="","",[1]!thsiFinD("ths_adjustment_nv_fund",AC$3,$A351))</f>
        <v/>
      </c>
      <c r="AD351" s="13">
        <f>IF($A351="","",[1]!thsiFinD("ths_adjustment_nv_fund",AD$3,$A351))</f>
        <v/>
      </c>
      <c r="AE351" s="13">
        <f>IF($A351="","",[1]!thsiFinD("ths_adjustment_nv_fund",AE$3,$A351))</f>
        <v/>
      </c>
      <c r="AF351" s="13">
        <f>IF($A351="","",[1]!thsiFinD("ths_adjustment_nv_fund",AF$3,$A351))</f>
        <v/>
      </c>
      <c r="AG351" s="13">
        <f>IF($A351="","",[1]!thsiFinD("ths_adjustment_nv_fund",AG$3,$A351))</f>
        <v/>
      </c>
      <c r="AH351" s="13">
        <f>IF($A351="","",[1]!thsiFinD("ths_adjustment_nv_fund",AH$3,$A351))</f>
        <v/>
      </c>
      <c r="AI351" s="13">
        <f>IF($A351="","",[1]!thsiFinD("ths_adjustment_nv_fund",AI$3,$A351))</f>
        <v/>
      </c>
      <c r="AJ351" s="13">
        <f>IF($A351="","",[1]!thsiFinD("ths_adjustment_nv_fund",AJ$3,$A351))</f>
        <v/>
      </c>
      <c r="AK351" s="13">
        <f>IF($A351="","",[1]!thsiFinD("ths_adjustment_nv_fund",AK$3,$A351))</f>
        <v/>
      </c>
      <c r="AL351" s="13">
        <f>IF($A351="","",[1]!thsiFinD("ths_adjustment_nv_fund",AL$3,$A351))</f>
        <v/>
      </c>
    </row>
    <row r="352" spans="2:28">
      <c r="B352" s="13" t="str">
        <f>IF($A352="","",[1]!thsiFinD("ths_adjustment_nv_fund",B$3,$A352))</f>
        <v/>
      </c>
      <c r="C352" s="13" t="str">
        <f>IF($A352="","",[1]!thsiFinD("ths_adjustment_nv_fund",C$3,$A352))</f>
        <v/>
      </c>
      <c r="D352" s="13" t="str">
        <f>IF($A352="","",[1]!thsiFinD("ths_adjustment_nv_fund",D$3,$A352))</f>
        <v/>
      </c>
      <c r="E352" s="13" t="str">
        <f>IF($A352="","",[1]!thsiFinD("ths_adjustment_nv_fund",E$3,$A352))</f>
        <v/>
      </c>
      <c r="F352" s="13" t="str">
        <f>IF($A352="","",[1]!thsiFinD("ths_adjustment_nv_fund",F$3,$A352))</f>
        <v/>
      </c>
      <c r="G352" s="13" t="str">
        <f>IF($A352="","",[1]!thsiFinD("ths_adjustment_nv_fund",G$3,$A352))</f>
        <v/>
      </c>
      <c r="H352" s="13" t="str">
        <f>IF($A352="","",[1]!thsiFinD("ths_adjustment_nv_fund",H$3,$A352))</f>
        <v/>
      </c>
      <c r="I352" s="13" t="str">
        <f>IF($A352="","",[1]!thsiFinD("ths_adjustment_nv_fund",I$3,$A352))</f>
        <v/>
      </c>
      <c r="J352" s="13" t="str">
        <f>IF($A352="","",[1]!thsiFinD("ths_adjustment_nv_fund",J$3,$A352))</f>
        <v/>
      </c>
      <c r="K352" s="13" t="str">
        <f>IF($A352="","",[1]!thsiFinD("ths_adjustment_nv_fund",K$3,$A352))</f>
        <v/>
      </c>
      <c r="L352" s="13" t="str">
        <f>IF($A352="","",[1]!thsiFinD("ths_adjustment_nv_fund",L$3,$A352))</f>
        <v/>
      </c>
      <c r="M352" s="13" t="str">
        <f>IF($A352="","",[1]!thsiFinD("ths_adjustment_nv_fund",M$3,$A352))</f>
        <v/>
      </c>
      <c r="N352" s="13" t="str">
        <f>IF($A352="","",[1]!thsiFinD("ths_adjustment_nv_fund",N$3,$A352))</f>
        <v/>
      </c>
      <c r="O352" s="13" t="str">
        <f>IF($A352="","",[1]!thsiFinD("ths_adjustment_nv_fund",O$3,$A352))</f>
        <v/>
      </c>
      <c r="P352" s="13" t="str">
        <f>IF($A352="","",[1]!thsiFinD("ths_adjustment_nv_fund",P$3,$A352))</f>
        <v/>
      </c>
      <c r="Q352" s="13" t="str">
        <f>IF($A352="","",[1]!thsiFinD("ths_adjustment_nv_fund",Q$3,$A352))</f>
        <v/>
      </c>
      <c r="R352" s="13" t="str">
        <f>IF($A352="","",[1]!thsiFinD("ths_adjustment_nv_fund",R$3,$A352))</f>
        <v/>
      </c>
      <c r="S352" s="13" t="str">
        <f>IF($A352="","",[1]!thsiFinD("ths_adjustment_nv_fund",S$3,$A352))</f>
        <v/>
      </c>
      <c r="T352" s="13" t="str">
        <f>IF($A352="","",[1]!thsiFinD("ths_adjustment_nv_fund",T$3,$A352))</f>
        <v/>
      </c>
      <c r="U352" s="13" t="str">
        <f>IF($A352="","",[1]!thsiFinD("ths_adjustment_nv_fund",U$3,$A352))</f>
        <v/>
      </c>
      <c r="V352" s="13" t="str">
        <f>IF($A352="","",[1]!thsiFinD("ths_adjustment_nv_fund",V$3,$A352))</f>
        <v/>
      </c>
      <c r="W352" s="13" t="str">
        <f>IF($A352="","",[1]!thsiFinD("ths_adjustment_nv_fund",W$3,$A352))</f>
        <v/>
      </c>
      <c r="X352" s="13" t="str">
        <f>IF($A352="","",[1]!thsiFinD("ths_adjustment_nv_fund",X$3,$A352))</f>
        <v/>
      </c>
      <c r="Y352" s="13" t="str">
        <f>IF($A352="","",[1]!thsiFinD("ths_adjustment_nv_fund",Y$3,$A352))</f>
        <v/>
      </c>
      <c r="Z352" s="13" t="str">
        <f>IF($A352="","",[1]!thsiFinD("ths_adjustment_nv_fund",Z$3,$A352))</f>
        <v/>
      </c>
      <c r="AA352" s="13" t="str">
        <f>IF($A352="","",[1]!thsiFinD("ths_adjustment_nv_fund",AA$3,$A352))</f>
        <v/>
      </c>
      <c r="AB352" s="13">
        <f>IF($A352="","",[1]!thsiFinD("ths_adjustment_nv_fund",AB$3,$A352))</f>
        <v/>
      </c>
      <c r="AC352" s="13">
        <f>IF($A352="","",[1]!thsiFinD("ths_adjustment_nv_fund",AC$3,$A352))</f>
        <v/>
      </c>
      <c r="AD352" s="13">
        <f>IF($A352="","",[1]!thsiFinD("ths_adjustment_nv_fund",AD$3,$A352))</f>
        <v/>
      </c>
      <c r="AE352" s="13">
        <f>IF($A352="","",[1]!thsiFinD("ths_adjustment_nv_fund",AE$3,$A352))</f>
        <v/>
      </c>
      <c r="AF352" s="13">
        <f>IF($A352="","",[1]!thsiFinD("ths_adjustment_nv_fund",AF$3,$A352))</f>
        <v/>
      </c>
      <c r="AG352" s="13">
        <f>IF($A352="","",[1]!thsiFinD("ths_adjustment_nv_fund",AG$3,$A352))</f>
        <v/>
      </c>
      <c r="AH352" s="13">
        <f>IF($A352="","",[1]!thsiFinD("ths_adjustment_nv_fund",AH$3,$A352))</f>
        <v/>
      </c>
      <c r="AI352" s="13">
        <f>IF($A352="","",[1]!thsiFinD("ths_adjustment_nv_fund",AI$3,$A352))</f>
        <v/>
      </c>
      <c r="AJ352" s="13">
        <f>IF($A352="","",[1]!thsiFinD("ths_adjustment_nv_fund",AJ$3,$A352))</f>
        <v/>
      </c>
      <c r="AK352" s="13">
        <f>IF($A352="","",[1]!thsiFinD("ths_adjustment_nv_fund",AK$3,$A352))</f>
        <v/>
      </c>
      <c r="AL352" s="13">
        <f>IF($A352="","",[1]!thsiFinD("ths_adjustment_nv_fund",AL$3,$A352))</f>
        <v/>
      </c>
    </row>
    <row r="353" spans="2:28">
      <c r="B353" s="13" t="str">
        <f>IF($A353="","",[1]!thsiFinD("ths_adjustment_nv_fund",B$3,$A353))</f>
        <v/>
      </c>
      <c r="C353" s="13" t="str">
        <f>IF($A353="","",[1]!thsiFinD("ths_adjustment_nv_fund",C$3,$A353))</f>
        <v/>
      </c>
      <c r="D353" s="13" t="str">
        <f>IF($A353="","",[1]!thsiFinD("ths_adjustment_nv_fund",D$3,$A353))</f>
        <v/>
      </c>
      <c r="E353" s="13" t="str">
        <f>IF($A353="","",[1]!thsiFinD("ths_adjustment_nv_fund",E$3,$A353))</f>
        <v/>
      </c>
      <c r="F353" s="13" t="str">
        <f>IF($A353="","",[1]!thsiFinD("ths_adjustment_nv_fund",F$3,$A353))</f>
        <v/>
      </c>
      <c r="G353" s="13" t="str">
        <f>IF($A353="","",[1]!thsiFinD("ths_adjustment_nv_fund",G$3,$A353))</f>
        <v/>
      </c>
      <c r="H353" s="13" t="str">
        <f>IF($A353="","",[1]!thsiFinD("ths_adjustment_nv_fund",H$3,$A353))</f>
        <v/>
      </c>
      <c r="I353" s="13" t="str">
        <f>IF($A353="","",[1]!thsiFinD("ths_adjustment_nv_fund",I$3,$A353))</f>
        <v/>
      </c>
      <c r="J353" s="13" t="str">
        <f>IF($A353="","",[1]!thsiFinD("ths_adjustment_nv_fund",J$3,$A353))</f>
        <v/>
      </c>
      <c r="K353" s="13" t="str">
        <f>IF($A353="","",[1]!thsiFinD("ths_adjustment_nv_fund",K$3,$A353))</f>
        <v/>
      </c>
      <c r="L353" s="13" t="str">
        <f>IF($A353="","",[1]!thsiFinD("ths_adjustment_nv_fund",L$3,$A353))</f>
        <v/>
      </c>
      <c r="M353" s="13" t="str">
        <f>IF($A353="","",[1]!thsiFinD("ths_adjustment_nv_fund",M$3,$A353))</f>
        <v/>
      </c>
      <c r="N353" s="13" t="str">
        <f>IF($A353="","",[1]!thsiFinD("ths_adjustment_nv_fund",N$3,$A353))</f>
        <v/>
      </c>
      <c r="O353" s="13" t="str">
        <f>IF($A353="","",[1]!thsiFinD("ths_adjustment_nv_fund",O$3,$A353))</f>
        <v/>
      </c>
      <c r="P353" s="13" t="str">
        <f>IF($A353="","",[1]!thsiFinD("ths_adjustment_nv_fund",P$3,$A353))</f>
        <v/>
      </c>
      <c r="Q353" s="13" t="str">
        <f>IF($A353="","",[1]!thsiFinD("ths_adjustment_nv_fund",Q$3,$A353))</f>
        <v/>
      </c>
      <c r="R353" s="13" t="str">
        <f>IF($A353="","",[1]!thsiFinD("ths_adjustment_nv_fund",R$3,$A353))</f>
        <v/>
      </c>
      <c r="S353" s="13" t="str">
        <f>IF($A353="","",[1]!thsiFinD("ths_adjustment_nv_fund",S$3,$A353))</f>
        <v/>
      </c>
      <c r="T353" s="13" t="str">
        <f>IF($A353="","",[1]!thsiFinD("ths_adjustment_nv_fund",T$3,$A353))</f>
        <v/>
      </c>
      <c r="U353" s="13" t="str">
        <f>IF($A353="","",[1]!thsiFinD("ths_adjustment_nv_fund",U$3,$A353))</f>
        <v/>
      </c>
      <c r="V353" s="13" t="str">
        <f>IF($A353="","",[1]!thsiFinD("ths_adjustment_nv_fund",V$3,$A353))</f>
        <v/>
      </c>
      <c r="W353" s="13" t="str">
        <f>IF($A353="","",[1]!thsiFinD("ths_adjustment_nv_fund",W$3,$A353))</f>
        <v/>
      </c>
      <c r="X353" s="13" t="str">
        <f>IF($A353="","",[1]!thsiFinD("ths_adjustment_nv_fund",X$3,$A353))</f>
        <v/>
      </c>
      <c r="Y353" s="13" t="str">
        <f>IF($A353="","",[1]!thsiFinD("ths_adjustment_nv_fund",Y$3,$A353))</f>
        <v/>
      </c>
      <c r="Z353" s="13" t="str">
        <f>IF($A353="","",[1]!thsiFinD("ths_adjustment_nv_fund",Z$3,$A353))</f>
        <v/>
      </c>
      <c r="AA353" s="13" t="str">
        <f>IF($A353="","",[1]!thsiFinD("ths_adjustment_nv_fund",AA$3,$A353))</f>
        <v/>
      </c>
      <c r="AB353" s="13">
        <f>IF($A353="","",[1]!thsiFinD("ths_adjustment_nv_fund",AB$3,$A353))</f>
        <v/>
      </c>
      <c r="AC353" s="13">
        <f>IF($A353="","",[1]!thsiFinD("ths_adjustment_nv_fund",AC$3,$A353))</f>
        <v/>
      </c>
      <c r="AD353" s="13">
        <f>IF($A353="","",[1]!thsiFinD("ths_adjustment_nv_fund",AD$3,$A353))</f>
        <v/>
      </c>
      <c r="AE353" s="13">
        <f>IF($A353="","",[1]!thsiFinD("ths_adjustment_nv_fund",AE$3,$A353))</f>
        <v/>
      </c>
      <c r="AF353" s="13">
        <f>IF($A353="","",[1]!thsiFinD("ths_adjustment_nv_fund",AF$3,$A353))</f>
        <v/>
      </c>
      <c r="AG353" s="13">
        <f>IF($A353="","",[1]!thsiFinD("ths_adjustment_nv_fund",AG$3,$A353))</f>
        <v/>
      </c>
      <c r="AH353" s="13">
        <f>IF($A353="","",[1]!thsiFinD("ths_adjustment_nv_fund",AH$3,$A353))</f>
        <v/>
      </c>
      <c r="AI353" s="13">
        <f>IF($A353="","",[1]!thsiFinD("ths_adjustment_nv_fund",AI$3,$A353))</f>
        <v/>
      </c>
      <c r="AJ353" s="13">
        <f>IF($A353="","",[1]!thsiFinD("ths_adjustment_nv_fund",AJ$3,$A353))</f>
        <v/>
      </c>
      <c r="AK353" s="13">
        <f>IF($A353="","",[1]!thsiFinD("ths_adjustment_nv_fund",AK$3,$A353))</f>
        <v/>
      </c>
      <c r="AL353" s="13">
        <f>IF($A353="","",[1]!thsiFinD("ths_adjustment_nv_fund",AL$3,$A353))</f>
        <v/>
      </c>
    </row>
    <row r="354" spans="2:28">
      <c r="B354" s="13" t="str">
        <f>IF($A354="","",[1]!thsiFinD("ths_adjustment_nv_fund",B$3,$A354))</f>
        <v/>
      </c>
      <c r="C354" s="13" t="str">
        <f>IF($A354="","",[1]!thsiFinD("ths_adjustment_nv_fund",C$3,$A354))</f>
        <v/>
      </c>
      <c r="D354" s="13" t="str">
        <f>IF($A354="","",[1]!thsiFinD("ths_adjustment_nv_fund",D$3,$A354))</f>
        <v/>
      </c>
      <c r="E354" s="13" t="str">
        <f>IF($A354="","",[1]!thsiFinD("ths_adjustment_nv_fund",E$3,$A354))</f>
        <v/>
      </c>
      <c r="F354" s="13" t="str">
        <f>IF($A354="","",[1]!thsiFinD("ths_adjustment_nv_fund",F$3,$A354))</f>
        <v/>
      </c>
      <c r="G354" s="13" t="str">
        <f>IF($A354="","",[1]!thsiFinD("ths_adjustment_nv_fund",G$3,$A354))</f>
        <v/>
      </c>
      <c r="H354" s="13" t="str">
        <f>IF($A354="","",[1]!thsiFinD("ths_adjustment_nv_fund",H$3,$A354))</f>
        <v/>
      </c>
      <c r="I354" s="13" t="str">
        <f>IF($A354="","",[1]!thsiFinD("ths_adjustment_nv_fund",I$3,$A354))</f>
        <v/>
      </c>
      <c r="J354" s="13" t="str">
        <f>IF($A354="","",[1]!thsiFinD("ths_adjustment_nv_fund",J$3,$A354))</f>
        <v/>
      </c>
      <c r="K354" s="13" t="str">
        <f>IF($A354="","",[1]!thsiFinD("ths_adjustment_nv_fund",K$3,$A354))</f>
        <v/>
      </c>
      <c r="L354" s="13" t="str">
        <f>IF($A354="","",[1]!thsiFinD("ths_adjustment_nv_fund",L$3,$A354))</f>
        <v/>
      </c>
      <c r="M354" s="13" t="str">
        <f>IF($A354="","",[1]!thsiFinD("ths_adjustment_nv_fund",M$3,$A354))</f>
        <v/>
      </c>
      <c r="N354" s="13" t="str">
        <f>IF($A354="","",[1]!thsiFinD("ths_adjustment_nv_fund",N$3,$A354))</f>
        <v/>
      </c>
      <c r="O354" s="13" t="str">
        <f>IF($A354="","",[1]!thsiFinD("ths_adjustment_nv_fund",O$3,$A354))</f>
        <v/>
      </c>
      <c r="P354" s="13" t="str">
        <f>IF($A354="","",[1]!thsiFinD("ths_adjustment_nv_fund",P$3,$A354))</f>
        <v/>
      </c>
      <c r="Q354" s="13" t="str">
        <f>IF($A354="","",[1]!thsiFinD("ths_adjustment_nv_fund",Q$3,$A354))</f>
        <v/>
      </c>
      <c r="R354" s="13" t="str">
        <f>IF($A354="","",[1]!thsiFinD("ths_adjustment_nv_fund",R$3,$A354))</f>
        <v/>
      </c>
      <c r="S354" s="13" t="str">
        <f>IF($A354="","",[1]!thsiFinD("ths_adjustment_nv_fund",S$3,$A354))</f>
        <v/>
      </c>
      <c r="T354" s="13" t="str">
        <f>IF($A354="","",[1]!thsiFinD("ths_adjustment_nv_fund",T$3,$A354))</f>
        <v/>
      </c>
      <c r="U354" s="13" t="str">
        <f>IF($A354="","",[1]!thsiFinD("ths_adjustment_nv_fund",U$3,$A354))</f>
        <v/>
      </c>
      <c r="V354" s="13" t="str">
        <f>IF($A354="","",[1]!thsiFinD("ths_adjustment_nv_fund",V$3,$A354))</f>
        <v/>
      </c>
      <c r="W354" s="13" t="str">
        <f>IF($A354="","",[1]!thsiFinD("ths_adjustment_nv_fund",W$3,$A354))</f>
        <v/>
      </c>
      <c r="X354" s="13" t="str">
        <f>IF($A354="","",[1]!thsiFinD("ths_adjustment_nv_fund",X$3,$A354))</f>
        <v/>
      </c>
      <c r="Y354" s="13" t="str">
        <f>IF($A354="","",[1]!thsiFinD("ths_adjustment_nv_fund",Y$3,$A354))</f>
        <v/>
      </c>
      <c r="Z354" s="13" t="str">
        <f>IF($A354="","",[1]!thsiFinD("ths_adjustment_nv_fund",Z$3,$A354))</f>
        <v/>
      </c>
      <c r="AA354" s="13" t="str">
        <f>IF($A354="","",[1]!thsiFinD("ths_adjustment_nv_fund",AA$3,$A354))</f>
        <v/>
      </c>
      <c r="AB354" s="13">
        <f>IF($A354="","",[1]!thsiFinD("ths_adjustment_nv_fund",AB$3,$A354))</f>
        <v/>
      </c>
      <c r="AC354" s="13">
        <f>IF($A354="","",[1]!thsiFinD("ths_adjustment_nv_fund",AC$3,$A354))</f>
        <v/>
      </c>
      <c r="AD354" s="13">
        <f>IF($A354="","",[1]!thsiFinD("ths_adjustment_nv_fund",AD$3,$A354))</f>
        <v/>
      </c>
      <c r="AE354" s="13">
        <f>IF($A354="","",[1]!thsiFinD("ths_adjustment_nv_fund",AE$3,$A354))</f>
        <v/>
      </c>
      <c r="AF354" s="13">
        <f>IF($A354="","",[1]!thsiFinD("ths_adjustment_nv_fund",AF$3,$A354))</f>
        <v/>
      </c>
      <c r="AG354" s="13">
        <f>IF($A354="","",[1]!thsiFinD("ths_adjustment_nv_fund",AG$3,$A354))</f>
        <v/>
      </c>
      <c r="AH354" s="13">
        <f>IF($A354="","",[1]!thsiFinD("ths_adjustment_nv_fund",AH$3,$A354))</f>
        <v/>
      </c>
      <c r="AI354" s="13">
        <f>IF($A354="","",[1]!thsiFinD("ths_adjustment_nv_fund",AI$3,$A354))</f>
        <v/>
      </c>
      <c r="AJ354" s="13">
        <f>IF($A354="","",[1]!thsiFinD("ths_adjustment_nv_fund",AJ$3,$A354))</f>
        <v/>
      </c>
      <c r="AK354" s="13">
        <f>IF($A354="","",[1]!thsiFinD("ths_adjustment_nv_fund",AK$3,$A354))</f>
        <v/>
      </c>
      <c r="AL354" s="13">
        <f>IF($A354="","",[1]!thsiFinD("ths_adjustment_nv_fund",AL$3,$A354))</f>
        <v/>
      </c>
    </row>
    <row r="355" spans="2:28">
      <c r="B355" s="13" t="str">
        <f>IF($A355="","",[1]!thsiFinD("ths_adjustment_nv_fund",B$3,$A355))</f>
        <v/>
      </c>
      <c r="C355" s="13" t="str">
        <f>IF($A355="","",[1]!thsiFinD("ths_adjustment_nv_fund",C$3,$A355))</f>
        <v/>
      </c>
      <c r="D355" s="13" t="str">
        <f>IF($A355="","",[1]!thsiFinD("ths_adjustment_nv_fund",D$3,$A355))</f>
        <v/>
      </c>
      <c r="E355" s="13" t="str">
        <f>IF($A355="","",[1]!thsiFinD("ths_adjustment_nv_fund",E$3,$A355))</f>
        <v/>
      </c>
      <c r="F355" s="13" t="str">
        <f>IF($A355="","",[1]!thsiFinD("ths_adjustment_nv_fund",F$3,$A355))</f>
        <v/>
      </c>
      <c r="G355" s="13" t="str">
        <f>IF($A355="","",[1]!thsiFinD("ths_adjustment_nv_fund",G$3,$A355))</f>
        <v/>
      </c>
      <c r="H355" s="13" t="str">
        <f>IF($A355="","",[1]!thsiFinD("ths_adjustment_nv_fund",H$3,$A355))</f>
        <v/>
      </c>
      <c r="I355" s="13" t="str">
        <f>IF($A355="","",[1]!thsiFinD("ths_adjustment_nv_fund",I$3,$A355))</f>
        <v/>
      </c>
      <c r="J355" s="13" t="str">
        <f>IF($A355="","",[1]!thsiFinD("ths_adjustment_nv_fund",J$3,$A355))</f>
        <v/>
      </c>
      <c r="K355" s="13" t="str">
        <f>IF($A355="","",[1]!thsiFinD("ths_adjustment_nv_fund",K$3,$A355))</f>
        <v/>
      </c>
      <c r="L355" s="13" t="str">
        <f>IF($A355="","",[1]!thsiFinD("ths_adjustment_nv_fund",L$3,$A355))</f>
        <v/>
      </c>
      <c r="M355" s="13" t="str">
        <f>IF($A355="","",[1]!thsiFinD("ths_adjustment_nv_fund",M$3,$A355))</f>
        <v/>
      </c>
      <c r="N355" s="13" t="str">
        <f>IF($A355="","",[1]!thsiFinD("ths_adjustment_nv_fund",N$3,$A355))</f>
        <v/>
      </c>
      <c r="O355" s="13" t="str">
        <f>IF($A355="","",[1]!thsiFinD("ths_adjustment_nv_fund",O$3,$A355))</f>
        <v/>
      </c>
      <c r="P355" s="13" t="str">
        <f>IF($A355="","",[1]!thsiFinD("ths_adjustment_nv_fund",P$3,$A355))</f>
        <v/>
      </c>
      <c r="Q355" s="13" t="str">
        <f>IF($A355="","",[1]!thsiFinD("ths_adjustment_nv_fund",Q$3,$A355))</f>
        <v/>
      </c>
      <c r="R355" s="13" t="str">
        <f>IF($A355="","",[1]!thsiFinD("ths_adjustment_nv_fund",R$3,$A355))</f>
        <v/>
      </c>
      <c r="S355" s="13" t="str">
        <f>IF($A355="","",[1]!thsiFinD("ths_adjustment_nv_fund",S$3,$A355))</f>
        <v/>
      </c>
      <c r="T355" s="13" t="str">
        <f>IF($A355="","",[1]!thsiFinD("ths_adjustment_nv_fund",T$3,$A355))</f>
        <v/>
      </c>
      <c r="U355" s="13" t="str">
        <f>IF($A355="","",[1]!thsiFinD("ths_adjustment_nv_fund",U$3,$A355))</f>
        <v/>
      </c>
      <c r="V355" s="13" t="str">
        <f>IF($A355="","",[1]!thsiFinD("ths_adjustment_nv_fund",V$3,$A355))</f>
        <v/>
      </c>
      <c r="W355" s="13" t="str">
        <f>IF($A355="","",[1]!thsiFinD("ths_adjustment_nv_fund",W$3,$A355))</f>
        <v/>
      </c>
      <c r="X355" s="13" t="str">
        <f>IF($A355="","",[1]!thsiFinD("ths_adjustment_nv_fund",X$3,$A355))</f>
        <v/>
      </c>
      <c r="Y355" s="13" t="str">
        <f>IF($A355="","",[1]!thsiFinD("ths_adjustment_nv_fund",Y$3,$A355))</f>
        <v/>
      </c>
      <c r="Z355" s="13" t="str">
        <f>IF($A355="","",[1]!thsiFinD("ths_adjustment_nv_fund",Z$3,$A355))</f>
        <v/>
      </c>
      <c r="AA355" s="13" t="str">
        <f>IF($A355="","",[1]!thsiFinD("ths_adjustment_nv_fund",AA$3,$A355))</f>
        <v/>
      </c>
      <c r="AB355" s="13">
        <f>IF($A355="","",[1]!thsiFinD("ths_adjustment_nv_fund",AB$3,$A355))</f>
        <v/>
      </c>
      <c r="AC355" s="13">
        <f>IF($A355="","",[1]!thsiFinD("ths_adjustment_nv_fund",AC$3,$A355))</f>
        <v/>
      </c>
      <c r="AD355" s="13">
        <f>IF($A355="","",[1]!thsiFinD("ths_adjustment_nv_fund",AD$3,$A355))</f>
        <v/>
      </c>
      <c r="AE355" s="13">
        <f>IF($A355="","",[1]!thsiFinD("ths_adjustment_nv_fund",AE$3,$A355))</f>
        <v/>
      </c>
      <c r="AF355" s="13">
        <f>IF($A355="","",[1]!thsiFinD("ths_adjustment_nv_fund",AF$3,$A355))</f>
        <v/>
      </c>
      <c r="AG355" s="13">
        <f>IF($A355="","",[1]!thsiFinD("ths_adjustment_nv_fund",AG$3,$A355))</f>
        <v/>
      </c>
      <c r="AH355" s="13">
        <f>IF($A355="","",[1]!thsiFinD("ths_adjustment_nv_fund",AH$3,$A355))</f>
        <v/>
      </c>
      <c r="AI355" s="13">
        <f>IF($A355="","",[1]!thsiFinD("ths_adjustment_nv_fund",AI$3,$A355))</f>
        <v/>
      </c>
      <c r="AJ355" s="13">
        <f>IF($A355="","",[1]!thsiFinD("ths_adjustment_nv_fund",AJ$3,$A355))</f>
        <v/>
      </c>
      <c r="AK355" s="13">
        <f>IF($A355="","",[1]!thsiFinD("ths_adjustment_nv_fund",AK$3,$A355))</f>
        <v/>
      </c>
      <c r="AL355" s="13">
        <f>IF($A355="","",[1]!thsiFinD("ths_adjustment_nv_fund",AL$3,$A355))</f>
        <v/>
      </c>
    </row>
    <row r="356" spans="2:28">
      <c r="B356" s="13" t="str">
        <f>IF($A356="","",[1]!thsiFinD("ths_adjustment_nv_fund",B$3,$A356))</f>
        <v/>
      </c>
      <c r="C356" s="13" t="str">
        <f>IF($A356="","",[1]!thsiFinD("ths_adjustment_nv_fund",C$3,$A356))</f>
        <v/>
      </c>
      <c r="D356" s="13" t="str">
        <f>IF($A356="","",[1]!thsiFinD("ths_adjustment_nv_fund",D$3,$A356))</f>
        <v/>
      </c>
      <c r="E356" s="13" t="str">
        <f>IF($A356="","",[1]!thsiFinD("ths_adjustment_nv_fund",E$3,$A356))</f>
        <v/>
      </c>
      <c r="F356" s="13" t="str">
        <f>IF($A356="","",[1]!thsiFinD("ths_adjustment_nv_fund",F$3,$A356))</f>
        <v/>
      </c>
      <c r="G356" s="13" t="str">
        <f>IF($A356="","",[1]!thsiFinD("ths_adjustment_nv_fund",G$3,$A356))</f>
        <v/>
      </c>
      <c r="H356" s="13" t="str">
        <f>IF($A356="","",[1]!thsiFinD("ths_adjustment_nv_fund",H$3,$A356))</f>
        <v/>
      </c>
      <c r="I356" s="13" t="str">
        <f>IF($A356="","",[1]!thsiFinD("ths_adjustment_nv_fund",I$3,$A356))</f>
        <v/>
      </c>
      <c r="J356" s="13" t="str">
        <f>IF($A356="","",[1]!thsiFinD("ths_adjustment_nv_fund",J$3,$A356))</f>
        <v/>
      </c>
      <c r="K356" s="13" t="str">
        <f>IF($A356="","",[1]!thsiFinD("ths_adjustment_nv_fund",K$3,$A356))</f>
        <v/>
      </c>
      <c r="L356" s="13" t="str">
        <f>IF($A356="","",[1]!thsiFinD("ths_adjustment_nv_fund",L$3,$A356))</f>
        <v/>
      </c>
      <c r="M356" s="13" t="str">
        <f>IF($A356="","",[1]!thsiFinD("ths_adjustment_nv_fund",M$3,$A356))</f>
        <v/>
      </c>
      <c r="N356" s="13" t="str">
        <f>IF($A356="","",[1]!thsiFinD("ths_adjustment_nv_fund",N$3,$A356))</f>
        <v/>
      </c>
      <c r="O356" s="13" t="str">
        <f>IF($A356="","",[1]!thsiFinD("ths_adjustment_nv_fund",O$3,$A356))</f>
        <v/>
      </c>
      <c r="P356" s="13" t="str">
        <f>IF($A356="","",[1]!thsiFinD("ths_adjustment_nv_fund",P$3,$A356))</f>
        <v/>
      </c>
      <c r="Q356" s="13" t="str">
        <f>IF($A356="","",[1]!thsiFinD("ths_adjustment_nv_fund",Q$3,$A356))</f>
        <v/>
      </c>
      <c r="R356" s="13" t="str">
        <f>IF($A356="","",[1]!thsiFinD("ths_adjustment_nv_fund",R$3,$A356))</f>
        <v/>
      </c>
      <c r="S356" s="13" t="str">
        <f>IF($A356="","",[1]!thsiFinD("ths_adjustment_nv_fund",S$3,$A356))</f>
        <v/>
      </c>
      <c r="T356" s="13" t="str">
        <f>IF($A356="","",[1]!thsiFinD("ths_adjustment_nv_fund",T$3,$A356))</f>
        <v/>
      </c>
      <c r="U356" s="13" t="str">
        <f>IF($A356="","",[1]!thsiFinD("ths_adjustment_nv_fund",U$3,$A356))</f>
        <v/>
      </c>
      <c r="V356" s="13" t="str">
        <f>IF($A356="","",[1]!thsiFinD("ths_adjustment_nv_fund",V$3,$A356))</f>
        <v/>
      </c>
      <c r="W356" s="13" t="str">
        <f>IF($A356="","",[1]!thsiFinD("ths_adjustment_nv_fund",W$3,$A356))</f>
        <v/>
      </c>
      <c r="X356" s="13" t="str">
        <f>IF($A356="","",[1]!thsiFinD("ths_adjustment_nv_fund",X$3,$A356))</f>
        <v/>
      </c>
      <c r="Y356" s="13" t="str">
        <f>IF($A356="","",[1]!thsiFinD("ths_adjustment_nv_fund",Y$3,$A356))</f>
        <v/>
      </c>
      <c r="Z356" s="13" t="str">
        <f>IF($A356="","",[1]!thsiFinD("ths_adjustment_nv_fund",Z$3,$A356))</f>
        <v/>
      </c>
      <c r="AA356" s="13" t="str">
        <f>IF($A356="","",[1]!thsiFinD("ths_adjustment_nv_fund",AA$3,$A356))</f>
        <v/>
      </c>
      <c r="AB356" s="13">
        <f>IF($A356="","",[1]!thsiFinD("ths_adjustment_nv_fund",AB$3,$A356))</f>
        <v/>
      </c>
      <c r="AC356" s="13">
        <f>IF($A356="","",[1]!thsiFinD("ths_adjustment_nv_fund",AC$3,$A356))</f>
        <v/>
      </c>
      <c r="AD356" s="13">
        <f>IF($A356="","",[1]!thsiFinD("ths_adjustment_nv_fund",AD$3,$A356))</f>
        <v/>
      </c>
      <c r="AE356" s="13">
        <f>IF($A356="","",[1]!thsiFinD("ths_adjustment_nv_fund",AE$3,$A356))</f>
        <v/>
      </c>
      <c r="AF356" s="13">
        <f>IF($A356="","",[1]!thsiFinD("ths_adjustment_nv_fund",AF$3,$A356))</f>
        <v/>
      </c>
      <c r="AG356" s="13">
        <f>IF($A356="","",[1]!thsiFinD("ths_adjustment_nv_fund",AG$3,$A356))</f>
        <v/>
      </c>
      <c r="AH356" s="13">
        <f>IF($A356="","",[1]!thsiFinD("ths_adjustment_nv_fund",AH$3,$A356))</f>
        <v/>
      </c>
      <c r="AI356" s="13">
        <f>IF($A356="","",[1]!thsiFinD("ths_adjustment_nv_fund",AI$3,$A356))</f>
        <v/>
      </c>
      <c r="AJ356" s="13">
        <f>IF($A356="","",[1]!thsiFinD("ths_adjustment_nv_fund",AJ$3,$A356))</f>
        <v/>
      </c>
      <c r="AK356" s="13">
        <f>IF($A356="","",[1]!thsiFinD("ths_adjustment_nv_fund",AK$3,$A356))</f>
        <v/>
      </c>
      <c r="AL356" s="13">
        <f>IF($A356="","",[1]!thsiFinD("ths_adjustment_nv_fund",AL$3,$A356))</f>
        <v/>
      </c>
    </row>
    <row r="357" spans="2:28">
      <c r="B357" s="13" t="str">
        <f>IF($A357="","",[1]!thsiFinD("ths_adjustment_nv_fund",B$3,$A357))</f>
        <v/>
      </c>
      <c r="C357" s="13" t="str">
        <f>IF($A357="","",[1]!thsiFinD("ths_adjustment_nv_fund",C$3,$A357))</f>
        <v/>
      </c>
      <c r="D357" s="13" t="str">
        <f>IF($A357="","",[1]!thsiFinD("ths_adjustment_nv_fund",D$3,$A357))</f>
        <v/>
      </c>
      <c r="E357" s="13" t="str">
        <f>IF($A357="","",[1]!thsiFinD("ths_adjustment_nv_fund",E$3,$A357))</f>
        <v/>
      </c>
      <c r="F357" s="13" t="str">
        <f>IF($A357="","",[1]!thsiFinD("ths_adjustment_nv_fund",F$3,$A357))</f>
        <v/>
      </c>
      <c r="G357" s="13" t="str">
        <f>IF($A357="","",[1]!thsiFinD("ths_adjustment_nv_fund",G$3,$A357))</f>
        <v/>
      </c>
      <c r="H357" s="13" t="str">
        <f>IF($A357="","",[1]!thsiFinD("ths_adjustment_nv_fund",H$3,$A357))</f>
        <v/>
      </c>
      <c r="I357" s="13" t="str">
        <f>IF($A357="","",[1]!thsiFinD("ths_adjustment_nv_fund",I$3,$A357))</f>
        <v/>
      </c>
      <c r="J357" s="13" t="str">
        <f>IF($A357="","",[1]!thsiFinD("ths_adjustment_nv_fund",J$3,$A357))</f>
        <v/>
      </c>
      <c r="K357" s="13" t="str">
        <f>IF($A357="","",[1]!thsiFinD("ths_adjustment_nv_fund",K$3,$A357))</f>
        <v/>
      </c>
      <c r="L357" s="13" t="str">
        <f>IF($A357="","",[1]!thsiFinD("ths_adjustment_nv_fund",L$3,$A357))</f>
        <v/>
      </c>
      <c r="M357" s="13" t="str">
        <f>IF($A357="","",[1]!thsiFinD("ths_adjustment_nv_fund",M$3,$A357))</f>
        <v/>
      </c>
      <c r="N357" s="13" t="str">
        <f>IF($A357="","",[1]!thsiFinD("ths_adjustment_nv_fund",N$3,$A357))</f>
        <v/>
      </c>
      <c r="O357" s="13" t="str">
        <f>IF($A357="","",[1]!thsiFinD("ths_adjustment_nv_fund",O$3,$A357))</f>
        <v/>
      </c>
      <c r="P357" s="13" t="str">
        <f>IF($A357="","",[1]!thsiFinD("ths_adjustment_nv_fund",P$3,$A357))</f>
        <v/>
      </c>
      <c r="Q357" s="13" t="str">
        <f>IF($A357="","",[1]!thsiFinD("ths_adjustment_nv_fund",Q$3,$A357))</f>
        <v/>
      </c>
      <c r="R357" s="13" t="str">
        <f>IF($A357="","",[1]!thsiFinD("ths_adjustment_nv_fund",R$3,$A357))</f>
        <v/>
      </c>
      <c r="S357" s="13" t="str">
        <f>IF($A357="","",[1]!thsiFinD("ths_adjustment_nv_fund",S$3,$A357))</f>
        <v/>
      </c>
      <c r="T357" s="13" t="str">
        <f>IF($A357="","",[1]!thsiFinD("ths_adjustment_nv_fund",T$3,$A357))</f>
        <v/>
      </c>
      <c r="U357" s="13" t="str">
        <f>IF($A357="","",[1]!thsiFinD("ths_adjustment_nv_fund",U$3,$A357))</f>
        <v/>
      </c>
      <c r="V357" s="13" t="str">
        <f>IF($A357="","",[1]!thsiFinD("ths_adjustment_nv_fund",V$3,$A357))</f>
        <v/>
      </c>
      <c r="W357" s="13" t="str">
        <f>IF($A357="","",[1]!thsiFinD("ths_adjustment_nv_fund",W$3,$A357))</f>
        <v/>
      </c>
      <c r="X357" s="13" t="str">
        <f>IF($A357="","",[1]!thsiFinD("ths_adjustment_nv_fund",X$3,$A357))</f>
        <v/>
      </c>
      <c r="Y357" s="13" t="str">
        <f>IF($A357="","",[1]!thsiFinD("ths_adjustment_nv_fund",Y$3,$A357))</f>
        <v/>
      </c>
      <c r="Z357" s="13" t="str">
        <f>IF($A357="","",[1]!thsiFinD("ths_adjustment_nv_fund",Z$3,$A357))</f>
        <v/>
      </c>
      <c r="AA357" s="13" t="str">
        <f>IF($A357="","",[1]!thsiFinD("ths_adjustment_nv_fund",AA$3,$A357))</f>
        <v/>
      </c>
      <c r="AB357" s="13">
        <f>IF($A357="","",[1]!thsiFinD("ths_adjustment_nv_fund",AB$3,$A357))</f>
        <v/>
      </c>
      <c r="AC357" s="13">
        <f>IF($A357="","",[1]!thsiFinD("ths_adjustment_nv_fund",AC$3,$A357))</f>
        <v/>
      </c>
      <c r="AD357" s="13">
        <f>IF($A357="","",[1]!thsiFinD("ths_adjustment_nv_fund",AD$3,$A357))</f>
        <v/>
      </c>
      <c r="AE357" s="13">
        <f>IF($A357="","",[1]!thsiFinD("ths_adjustment_nv_fund",AE$3,$A357))</f>
        <v/>
      </c>
      <c r="AF357" s="13">
        <f>IF($A357="","",[1]!thsiFinD("ths_adjustment_nv_fund",AF$3,$A357))</f>
        <v/>
      </c>
      <c r="AG357" s="13">
        <f>IF($A357="","",[1]!thsiFinD("ths_adjustment_nv_fund",AG$3,$A357))</f>
        <v/>
      </c>
      <c r="AH357" s="13">
        <f>IF($A357="","",[1]!thsiFinD("ths_adjustment_nv_fund",AH$3,$A357))</f>
        <v/>
      </c>
      <c r="AI357" s="13">
        <f>IF($A357="","",[1]!thsiFinD("ths_adjustment_nv_fund",AI$3,$A357))</f>
        <v/>
      </c>
      <c r="AJ357" s="13">
        <f>IF($A357="","",[1]!thsiFinD("ths_adjustment_nv_fund",AJ$3,$A357))</f>
        <v/>
      </c>
      <c r="AK357" s="13">
        <f>IF($A357="","",[1]!thsiFinD("ths_adjustment_nv_fund",AK$3,$A357))</f>
        <v/>
      </c>
      <c r="AL357" s="13">
        <f>IF($A357="","",[1]!thsiFinD("ths_adjustment_nv_fund",AL$3,$A357))</f>
        <v/>
      </c>
    </row>
    <row r="358" spans="2:28">
      <c r="B358" s="13" t="str">
        <f>IF($A358="","",[1]!thsiFinD("ths_adjustment_nv_fund",B$3,$A358))</f>
        <v/>
      </c>
      <c r="C358" s="13" t="str">
        <f>IF($A358="","",[1]!thsiFinD("ths_adjustment_nv_fund",C$3,$A358))</f>
        <v/>
      </c>
      <c r="D358" s="13" t="str">
        <f>IF($A358="","",[1]!thsiFinD("ths_adjustment_nv_fund",D$3,$A358))</f>
        <v/>
      </c>
      <c r="E358" s="13" t="str">
        <f>IF($A358="","",[1]!thsiFinD("ths_adjustment_nv_fund",E$3,$A358))</f>
        <v/>
      </c>
      <c r="F358" s="13" t="str">
        <f>IF($A358="","",[1]!thsiFinD("ths_adjustment_nv_fund",F$3,$A358))</f>
        <v/>
      </c>
      <c r="G358" s="13" t="str">
        <f>IF($A358="","",[1]!thsiFinD("ths_adjustment_nv_fund",G$3,$A358))</f>
        <v/>
      </c>
      <c r="H358" s="13" t="str">
        <f>IF($A358="","",[1]!thsiFinD("ths_adjustment_nv_fund",H$3,$A358))</f>
        <v/>
      </c>
      <c r="I358" s="13" t="str">
        <f>IF($A358="","",[1]!thsiFinD("ths_adjustment_nv_fund",I$3,$A358))</f>
        <v/>
      </c>
      <c r="J358" s="13" t="str">
        <f>IF($A358="","",[1]!thsiFinD("ths_adjustment_nv_fund",J$3,$A358))</f>
        <v/>
      </c>
      <c r="K358" s="13" t="str">
        <f>IF($A358="","",[1]!thsiFinD("ths_adjustment_nv_fund",K$3,$A358))</f>
        <v/>
      </c>
      <c r="L358" s="13" t="str">
        <f>IF($A358="","",[1]!thsiFinD("ths_adjustment_nv_fund",L$3,$A358))</f>
        <v/>
      </c>
      <c r="M358" s="13" t="str">
        <f>IF($A358="","",[1]!thsiFinD("ths_adjustment_nv_fund",M$3,$A358))</f>
        <v/>
      </c>
      <c r="N358" s="13" t="str">
        <f>IF($A358="","",[1]!thsiFinD("ths_adjustment_nv_fund",N$3,$A358))</f>
        <v/>
      </c>
      <c r="O358" s="13" t="str">
        <f>IF($A358="","",[1]!thsiFinD("ths_adjustment_nv_fund",O$3,$A358))</f>
        <v/>
      </c>
      <c r="P358" s="13" t="str">
        <f>IF($A358="","",[1]!thsiFinD("ths_adjustment_nv_fund",P$3,$A358))</f>
        <v/>
      </c>
      <c r="Q358" s="13" t="str">
        <f>IF($A358="","",[1]!thsiFinD("ths_adjustment_nv_fund",Q$3,$A358))</f>
        <v/>
      </c>
      <c r="R358" s="13" t="str">
        <f>IF($A358="","",[1]!thsiFinD("ths_adjustment_nv_fund",R$3,$A358))</f>
        <v/>
      </c>
      <c r="S358" s="13" t="str">
        <f>IF($A358="","",[1]!thsiFinD("ths_adjustment_nv_fund",S$3,$A358))</f>
        <v/>
      </c>
      <c r="T358" s="13" t="str">
        <f>IF($A358="","",[1]!thsiFinD("ths_adjustment_nv_fund",T$3,$A358))</f>
        <v/>
      </c>
      <c r="U358" s="13" t="str">
        <f>IF($A358="","",[1]!thsiFinD("ths_adjustment_nv_fund",U$3,$A358))</f>
        <v/>
      </c>
      <c r="V358" s="13" t="str">
        <f>IF($A358="","",[1]!thsiFinD("ths_adjustment_nv_fund",V$3,$A358))</f>
        <v/>
      </c>
      <c r="W358" s="13" t="str">
        <f>IF($A358="","",[1]!thsiFinD("ths_adjustment_nv_fund",W$3,$A358))</f>
        <v/>
      </c>
      <c r="X358" s="13" t="str">
        <f>IF($A358="","",[1]!thsiFinD("ths_adjustment_nv_fund",X$3,$A358))</f>
        <v/>
      </c>
      <c r="Y358" s="13" t="str">
        <f>IF($A358="","",[1]!thsiFinD("ths_adjustment_nv_fund",Y$3,$A358))</f>
        <v/>
      </c>
      <c r="Z358" s="13" t="str">
        <f>IF($A358="","",[1]!thsiFinD("ths_adjustment_nv_fund",Z$3,$A358))</f>
        <v/>
      </c>
      <c r="AA358" s="13" t="str">
        <f>IF($A358="","",[1]!thsiFinD("ths_adjustment_nv_fund",AA$3,$A358))</f>
        <v/>
      </c>
      <c r="AB358" s="13">
        <f>IF($A358="","",[1]!thsiFinD("ths_adjustment_nv_fund",AB$3,$A358))</f>
        <v/>
      </c>
      <c r="AC358" s="13">
        <f>IF($A358="","",[1]!thsiFinD("ths_adjustment_nv_fund",AC$3,$A358))</f>
        <v/>
      </c>
      <c r="AD358" s="13">
        <f>IF($A358="","",[1]!thsiFinD("ths_adjustment_nv_fund",AD$3,$A358))</f>
        <v/>
      </c>
      <c r="AE358" s="13">
        <f>IF($A358="","",[1]!thsiFinD("ths_adjustment_nv_fund",AE$3,$A358))</f>
        <v/>
      </c>
      <c r="AF358" s="13">
        <f>IF($A358="","",[1]!thsiFinD("ths_adjustment_nv_fund",AF$3,$A358))</f>
        <v/>
      </c>
      <c r="AG358" s="13">
        <f>IF($A358="","",[1]!thsiFinD("ths_adjustment_nv_fund",AG$3,$A358))</f>
        <v/>
      </c>
      <c r="AH358" s="13">
        <f>IF($A358="","",[1]!thsiFinD("ths_adjustment_nv_fund",AH$3,$A358))</f>
        <v/>
      </c>
      <c r="AI358" s="13">
        <f>IF($A358="","",[1]!thsiFinD("ths_adjustment_nv_fund",AI$3,$A358))</f>
        <v/>
      </c>
      <c r="AJ358" s="13">
        <f>IF($A358="","",[1]!thsiFinD("ths_adjustment_nv_fund",AJ$3,$A358))</f>
        <v/>
      </c>
      <c r="AK358" s="13">
        <f>IF($A358="","",[1]!thsiFinD("ths_adjustment_nv_fund",AK$3,$A358))</f>
        <v/>
      </c>
      <c r="AL358" s="13">
        <f>IF($A358="","",[1]!thsiFinD("ths_adjustment_nv_fund",AL$3,$A358))</f>
        <v/>
      </c>
    </row>
    <row r="359" spans="2:28">
      <c r="B359" s="13" t="str">
        <f>IF($A359="","",[1]!thsiFinD("ths_adjustment_nv_fund",B$3,$A359))</f>
        <v/>
      </c>
      <c r="C359" s="13" t="str">
        <f>IF($A359="","",[1]!thsiFinD("ths_adjustment_nv_fund",C$3,$A359))</f>
        <v/>
      </c>
      <c r="D359" s="13" t="str">
        <f>IF($A359="","",[1]!thsiFinD("ths_adjustment_nv_fund",D$3,$A359))</f>
        <v/>
      </c>
      <c r="E359" s="13" t="str">
        <f>IF($A359="","",[1]!thsiFinD("ths_adjustment_nv_fund",E$3,$A359))</f>
        <v/>
      </c>
      <c r="F359" s="13" t="str">
        <f>IF($A359="","",[1]!thsiFinD("ths_adjustment_nv_fund",F$3,$A359))</f>
        <v/>
      </c>
      <c r="G359" s="13" t="str">
        <f>IF($A359="","",[1]!thsiFinD("ths_adjustment_nv_fund",G$3,$A359))</f>
        <v/>
      </c>
      <c r="H359" s="13" t="str">
        <f>IF($A359="","",[1]!thsiFinD("ths_adjustment_nv_fund",H$3,$A359))</f>
        <v/>
      </c>
      <c r="I359" s="13" t="str">
        <f>IF($A359="","",[1]!thsiFinD("ths_adjustment_nv_fund",I$3,$A359))</f>
        <v/>
      </c>
      <c r="J359" s="13" t="str">
        <f>IF($A359="","",[1]!thsiFinD("ths_adjustment_nv_fund",J$3,$A359))</f>
        <v/>
      </c>
      <c r="K359" s="13" t="str">
        <f>IF($A359="","",[1]!thsiFinD("ths_adjustment_nv_fund",K$3,$A359))</f>
        <v/>
      </c>
      <c r="L359" s="13" t="str">
        <f>IF($A359="","",[1]!thsiFinD("ths_adjustment_nv_fund",L$3,$A359))</f>
        <v/>
      </c>
      <c r="M359" s="13" t="str">
        <f>IF($A359="","",[1]!thsiFinD("ths_adjustment_nv_fund",M$3,$A359))</f>
        <v/>
      </c>
      <c r="N359" s="13" t="str">
        <f>IF($A359="","",[1]!thsiFinD("ths_adjustment_nv_fund",N$3,$A359))</f>
        <v/>
      </c>
      <c r="O359" s="13" t="str">
        <f>IF($A359="","",[1]!thsiFinD("ths_adjustment_nv_fund",O$3,$A359))</f>
        <v/>
      </c>
      <c r="P359" s="13" t="str">
        <f>IF($A359="","",[1]!thsiFinD("ths_adjustment_nv_fund",P$3,$A359))</f>
        <v/>
      </c>
      <c r="Q359" s="13" t="str">
        <f>IF($A359="","",[1]!thsiFinD("ths_adjustment_nv_fund",Q$3,$A359))</f>
        <v/>
      </c>
      <c r="R359" s="13" t="str">
        <f>IF($A359="","",[1]!thsiFinD("ths_adjustment_nv_fund",R$3,$A359))</f>
        <v/>
      </c>
      <c r="S359" s="13" t="str">
        <f>IF($A359="","",[1]!thsiFinD("ths_adjustment_nv_fund",S$3,$A359))</f>
        <v/>
      </c>
      <c r="T359" s="13" t="str">
        <f>IF($A359="","",[1]!thsiFinD("ths_adjustment_nv_fund",T$3,$A359))</f>
        <v/>
      </c>
      <c r="U359" s="13" t="str">
        <f>IF($A359="","",[1]!thsiFinD("ths_adjustment_nv_fund",U$3,$A359))</f>
        <v/>
      </c>
      <c r="V359" s="13" t="str">
        <f>IF($A359="","",[1]!thsiFinD("ths_adjustment_nv_fund",V$3,$A359))</f>
        <v/>
      </c>
      <c r="W359" s="13" t="str">
        <f>IF($A359="","",[1]!thsiFinD("ths_adjustment_nv_fund",W$3,$A359))</f>
        <v/>
      </c>
      <c r="X359" s="13" t="str">
        <f>IF($A359="","",[1]!thsiFinD("ths_adjustment_nv_fund",X$3,$A359))</f>
        <v/>
      </c>
      <c r="Y359" s="13" t="str">
        <f>IF($A359="","",[1]!thsiFinD("ths_adjustment_nv_fund",Y$3,$A359))</f>
        <v/>
      </c>
      <c r="Z359" s="13" t="str">
        <f>IF($A359="","",[1]!thsiFinD("ths_adjustment_nv_fund",Z$3,$A359))</f>
        <v/>
      </c>
      <c r="AA359" s="13" t="str">
        <f>IF($A359="","",[1]!thsiFinD("ths_adjustment_nv_fund",AA$3,$A359))</f>
        <v/>
      </c>
      <c r="AB359" s="13">
        <f>IF($A359="","",[1]!thsiFinD("ths_adjustment_nv_fund",AB$3,$A359))</f>
        <v/>
      </c>
      <c r="AC359" s="13">
        <f>IF($A359="","",[1]!thsiFinD("ths_adjustment_nv_fund",AC$3,$A359))</f>
        <v/>
      </c>
      <c r="AD359" s="13">
        <f>IF($A359="","",[1]!thsiFinD("ths_adjustment_nv_fund",AD$3,$A359))</f>
        <v/>
      </c>
      <c r="AE359" s="13">
        <f>IF($A359="","",[1]!thsiFinD("ths_adjustment_nv_fund",AE$3,$A359))</f>
        <v/>
      </c>
      <c r="AF359" s="13">
        <f>IF($A359="","",[1]!thsiFinD("ths_adjustment_nv_fund",AF$3,$A359))</f>
        <v/>
      </c>
      <c r="AG359" s="13">
        <f>IF($A359="","",[1]!thsiFinD("ths_adjustment_nv_fund",AG$3,$A359))</f>
        <v/>
      </c>
      <c r="AH359" s="13">
        <f>IF($A359="","",[1]!thsiFinD("ths_adjustment_nv_fund",AH$3,$A359))</f>
        <v/>
      </c>
      <c r="AI359" s="13">
        <f>IF($A359="","",[1]!thsiFinD("ths_adjustment_nv_fund",AI$3,$A359))</f>
        <v/>
      </c>
      <c r="AJ359" s="13">
        <f>IF($A359="","",[1]!thsiFinD("ths_adjustment_nv_fund",AJ$3,$A359))</f>
        <v/>
      </c>
      <c r="AK359" s="13">
        <f>IF($A359="","",[1]!thsiFinD("ths_adjustment_nv_fund",AK$3,$A359))</f>
        <v/>
      </c>
      <c r="AL359" s="13">
        <f>IF($A359="","",[1]!thsiFinD("ths_adjustment_nv_fund",AL$3,$A359))</f>
        <v/>
      </c>
    </row>
    <row r="360" spans="2:28">
      <c r="B360" s="13" t="str">
        <f>IF($A360="","",[1]!thsiFinD("ths_adjustment_nv_fund",B$3,$A360))</f>
        <v/>
      </c>
      <c r="C360" s="13" t="str">
        <f>IF($A360="","",[1]!thsiFinD("ths_adjustment_nv_fund",C$3,$A360))</f>
        <v/>
      </c>
      <c r="D360" s="13" t="str">
        <f>IF($A360="","",[1]!thsiFinD("ths_adjustment_nv_fund",D$3,$A360))</f>
        <v/>
      </c>
      <c r="E360" s="13" t="str">
        <f>IF($A360="","",[1]!thsiFinD("ths_adjustment_nv_fund",E$3,$A360))</f>
        <v/>
      </c>
      <c r="F360" s="13" t="str">
        <f>IF($A360="","",[1]!thsiFinD("ths_adjustment_nv_fund",F$3,$A360))</f>
        <v/>
      </c>
      <c r="G360" s="13" t="str">
        <f>IF($A360="","",[1]!thsiFinD("ths_adjustment_nv_fund",G$3,$A360))</f>
        <v/>
      </c>
      <c r="H360" s="13" t="str">
        <f>IF($A360="","",[1]!thsiFinD("ths_adjustment_nv_fund",H$3,$A360))</f>
        <v/>
      </c>
      <c r="I360" s="13" t="str">
        <f>IF($A360="","",[1]!thsiFinD("ths_adjustment_nv_fund",I$3,$A360))</f>
        <v/>
      </c>
      <c r="J360" s="13" t="str">
        <f>IF($A360="","",[1]!thsiFinD("ths_adjustment_nv_fund",J$3,$A360))</f>
        <v/>
      </c>
      <c r="K360" s="13" t="str">
        <f>IF($A360="","",[1]!thsiFinD("ths_adjustment_nv_fund",K$3,$A360))</f>
        <v/>
      </c>
      <c r="L360" s="13" t="str">
        <f>IF($A360="","",[1]!thsiFinD("ths_adjustment_nv_fund",L$3,$A360))</f>
        <v/>
      </c>
      <c r="M360" s="13" t="str">
        <f>IF($A360="","",[1]!thsiFinD("ths_adjustment_nv_fund",M$3,$A360))</f>
        <v/>
      </c>
      <c r="N360" s="13" t="str">
        <f>IF($A360="","",[1]!thsiFinD("ths_adjustment_nv_fund",N$3,$A360))</f>
        <v/>
      </c>
      <c r="O360" s="13" t="str">
        <f>IF($A360="","",[1]!thsiFinD("ths_adjustment_nv_fund",O$3,$A360))</f>
        <v/>
      </c>
      <c r="P360" s="13" t="str">
        <f>IF($A360="","",[1]!thsiFinD("ths_adjustment_nv_fund",P$3,$A360))</f>
        <v/>
      </c>
      <c r="Q360" s="13" t="str">
        <f>IF($A360="","",[1]!thsiFinD("ths_adjustment_nv_fund",Q$3,$A360))</f>
        <v/>
      </c>
      <c r="R360" s="13" t="str">
        <f>IF($A360="","",[1]!thsiFinD("ths_adjustment_nv_fund",R$3,$A360))</f>
        <v/>
      </c>
      <c r="S360" s="13" t="str">
        <f>IF($A360="","",[1]!thsiFinD("ths_adjustment_nv_fund",S$3,$A360))</f>
        <v/>
      </c>
      <c r="T360" s="13" t="str">
        <f>IF($A360="","",[1]!thsiFinD("ths_adjustment_nv_fund",T$3,$A360))</f>
        <v/>
      </c>
      <c r="U360" s="13" t="str">
        <f>IF($A360="","",[1]!thsiFinD("ths_adjustment_nv_fund",U$3,$A360))</f>
        <v/>
      </c>
      <c r="V360" s="13" t="str">
        <f>IF($A360="","",[1]!thsiFinD("ths_adjustment_nv_fund",V$3,$A360))</f>
        <v/>
      </c>
      <c r="W360" s="13" t="str">
        <f>IF($A360="","",[1]!thsiFinD("ths_adjustment_nv_fund",W$3,$A360))</f>
        <v/>
      </c>
      <c r="X360" s="13" t="str">
        <f>IF($A360="","",[1]!thsiFinD("ths_adjustment_nv_fund",X$3,$A360))</f>
        <v/>
      </c>
      <c r="Y360" s="13" t="str">
        <f>IF($A360="","",[1]!thsiFinD("ths_adjustment_nv_fund",Y$3,$A360))</f>
        <v/>
      </c>
      <c r="Z360" s="13" t="str">
        <f>IF($A360="","",[1]!thsiFinD("ths_adjustment_nv_fund",Z$3,$A360))</f>
        <v/>
      </c>
      <c r="AA360" s="13" t="str">
        <f>IF($A360="","",[1]!thsiFinD("ths_adjustment_nv_fund",AA$3,$A360))</f>
        <v/>
      </c>
      <c r="AB360" s="13">
        <f>IF($A360="","",[1]!thsiFinD("ths_adjustment_nv_fund",AB$3,$A360))</f>
        <v/>
      </c>
      <c r="AC360" s="13">
        <f>IF($A360="","",[1]!thsiFinD("ths_adjustment_nv_fund",AC$3,$A360))</f>
        <v/>
      </c>
      <c r="AD360" s="13">
        <f>IF($A360="","",[1]!thsiFinD("ths_adjustment_nv_fund",AD$3,$A360))</f>
        <v/>
      </c>
      <c r="AE360" s="13">
        <f>IF($A360="","",[1]!thsiFinD("ths_adjustment_nv_fund",AE$3,$A360))</f>
        <v/>
      </c>
      <c r="AF360" s="13">
        <f>IF($A360="","",[1]!thsiFinD("ths_adjustment_nv_fund",AF$3,$A360))</f>
        <v/>
      </c>
      <c r="AG360" s="13">
        <f>IF($A360="","",[1]!thsiFinD("ths_adjustment_nv_fund",AG$3,$A360))</f>
        <v/>
      </c>
      <c r="AH360" s="13">
        <f>IF($A360="","",[1]!thsiFinD("ths_adjustment_nv_fund",AH$3,$A360))</f>
        <v/>
      </c>
      <c r="AI360" s="13">
        <f>IF($A360="","",[1]!thsiFinD("ths_adjustment_nv_fund",AI$3,$A360))</f>
        <v/>
      </c>
      <c r="AJ360" s="13">
        <f>IF($A360="","",[1]!thsiFinD("ths_adjustment_nv_fund",AJ$3,$A360))</f>
        <v/>
      </c>
      <c r="AK360" s="13">
        <f>IF($A360="","",[1]!thsiFinD("ths_adjustment_nv_fund",AK$3,$A360))</f>
        <v/>
      </c>
      <c r="AL360" s="13">
        <f>IF($A360="","",[1]!thsiFinD("ths_adjustment_nv_fund",AL$3,$A360))</f>
        <v/>
      </c>
    </row>
    <row r="361" spans="2:28">
      <c r="B361" s="13" t="str">
        <f>IF($A361="","",[1]!thsiFinD("ths_adjustment_nv_fund",B$3,$A361))</f>
        <v/>
      </c>
      <c r="C361" s="13" t="str">
        <f>IF($A361="","",[1]!thsiFinD("ths_adjustment_nv_fund",C$3,$A361))</f>
        <v/>
      </c>
      <c r="D361" s="13" t="str">
        <f>IF($A361="","",[1]!thsiFinD("ths_adjustment_nv_fund",D$3,$A361))</f>
        <v/>
      </c>
      <c r="E361" s="13" t="str">
        <f>IF($A361="","",[1]!thsiFinD("ths_adjustment_nv_fund",E$3,$A361))</f>
        <v/>
      </c>
      <c r="F361" s="13" t="str">
        <f>IF($A361="","",[1]!thsiFinD("ths_adjustment_nv_fund",F$3,$A361))</f>
        <v/>
      </c>
      <c r="G361" s="13" t="str">
        <f>IF($A361="","",[1]!thsiFinD("ths_adjustment_nv_fund",G$3,$A361))</f>
        <v/>
      </c>
      <c r="H361" s="13" t="str">
        <f>IF($A361="","",[1]!thsiFinD("ths_adjustment_nv_fund",H$3,$A361))</f>
        <v/>
      </c>
      <c r="I361" s="13" t="str">
        <f>IF($A361="","",[1]!thsiFinD("ths_adjustment_nv_fund",I$3,$A361))</f>
        <v/>
      </c>
      <c r="J361" s="13" t="str">
        <f>IF($A361="","",[1]!thsiFinD("ths_adjustment_nv_fund",J$3,$A361))</f>
        <v/>
      </c>
      <c r="K361" s="13" t="str">
        <f>IF($A361="","",[1]!thsiFinD("ths_adjustment_nv_fund",K$3,$A361))</f>
        <v/>
      </c>
      <c r="L361" s="13" t="str">
        <f>IF($A361="","",[1]!thsiFinD("ths_adjustment_nv_fund",L$3,$A361))</f>
        <v/>
      </c>
      <c r="M361" s="13" t="str">
        <f>IF($A361="","",[1]!thsiFinD("ths_adjustment_nv_fund",M$3,$A361))</f>
        <v/>
      </c>
      <c r="N361" s="13" t="str">
        <f>IF($A361="","",[1]!thsiFinD("ths_adjustment_nv_fund",N$3,$A361))</f>
        <v/>
      </c>
      <c r="O361" s="13" t="str">
        <f>IF($A361="","",[1]!thsiFinD("ths_adjustment_nv_fund",O$3,$A361))</f>
        <v/>
      </c>
      <c r="P361" s="13" t="str">
        <f>IF($A361="","",[1]!thsiFinD("ths_adjustment_nv_fund",P$3,$A361))</f>
        <v/>
      </c>
      <c r="Q361" s="13" t="str">
        <f>IF($A361="","",[1]!thsiFinD("ths_adjustment_nv_fund",Q$3,$A361))</f>
        <v/>
      </c>
      <c r="R361" s="13" t="str">
        <f>IF($A361="","",[1]!thsiFinD("ths_adjustment_nv_fund",R$3,$A361))</f>
        <v/>
      </c>
      <c r="S361" s="13" t="str">
        <f>IF($A361="","",[1]!thsiFinD("ths_adjustment_nv_fund",S$3,$A361))</f>
        <v/>
      </c>
      <c r="T361" s="13" t="str">
        <f>IF($A361="","",[1]!thsiFinD("ths_adjustment_nv_fund",T$3,$A361))</f>
        <v/>
      </c>
      <c r="U361" s="13" t="str">
        <f>IF($A361="","",[1]!thsiFinD("ths_adjustment_nv_fund",U$3,$A361))</f>
        <v/>
      </c>
      <c r="V361" s="13" t="str">
        <f>IF($A361="","",[1]!thsiFinD("ths_adjustment_nv_fund",V$3,$A361))</f>
        <v/>
      </c>
      <c r="W361" s="13" t="str">
        <f>IF($A361="","",[1]!thsiFinD("ths_adjustment_nv_fund",W$3,$A361))</f>
        <v/>
      </c>
      <c r="X361" s="13" t="str">
        <f>IF($A361="","",[1]!thsiFinD("ths_adjustment_nv_fund",X$3,$A361))</f>
        <v/>
      </c>
      <c r="Y361" s="13" t="str">
        <f>IF($A361="","",[1]!thsiFinD("ths_adjustment_nv_fund",Y$3,$A361))</f>
        <v/>
      </c>
      <c r="Z361" s="13" t="str">
        <f>IF($A361="","",[1]!thsiFinD("ths_adjustment_nv_fund",Z$3,$A361))</f>
        <v/>
      </c>
      <c r="AA361" s="13" t="str">
        <f>IF($A361="","",[1]!thsiFinD("ths_adjustment_nv_fund",AA$3,$A361))</f>
        <v/>
      </c>
      <c r="AB361" s="13">
        <f>IF($A361="","",[1]!thsiFinD("ths_adjustment_nv_fund",AB$3,$A361))</f>
        <v/>
      </c>
      <c r="AC361" s="13">
        <f>IF($A361="","",[1]!thsiFinD("ths_adjustment_nv_fund",AC$3,$A361))</f>
        <v/>
      </c>
      <c r="AD361" s="13">
        <f>IF($A361="","",[1]!thsiFinD("ths_adjustment_nv_fund",AD$3,$A361))</f>
        <v/>
      </c>
      <c r="AE361" s="13">
        <f>IF($A361="","",[1]!thsiFinD("ths_adjustment_nv_fund",AE$3,$A361))</f>
        <v/>
      </c>
      <c r="AF361" s="13">
        <f>IF($A361="","",[1]!thsiFinD("ths_adjustment_nv_fund",AF$3,$A361))</f>
        <v/>
      </c>
      <c r="AG361" s="13">
        <f>IF($A361="","",[1]!thsiFinD("ths_adjustment_nv_fund",AG$3,$A361))</f>
        <v/>
      </c>
      <c r="AH361" s="13">
        <f>IF($A361="","",[1]!thsiFinD("ths_adjustment_nv_fund",AH$3,$A361))</f>
        <v/>
      </c>
      <c r="AI361" s="13">
        <f>IF($A361="","",[1]!thsiFinD("ths_adjustment_nv_fund",AI$3,$A361))</f>
        <v/>
      </c>
      <c r="AJ361" s="13">
        <f>IF($A361="","",[1]!thsiFinD("ths_adjustment_nv_fund",AJ$3,$A361))</f>
        <v/>
      </c>
      <c r="AK361" s="13">
        <f>IF($A361="","",[1]!thsiFinD("ths_adjustment_nv_fund",AK$3,$A361))</f>
        <v/>
      </c>
      <c r="AL361" s="13">
        <f>IF($A361="","",[1]!thsiFinD("ths_adjustment_nv_fund",AL$3,$A361))</f>
        <v/>
      </c>
    </row>
    <row r="362" spans="2:28">
      <c r="B362" s="13" t="str">
        <f>IF($A362="","",[1]!thsiFinD("ths_adjustment_nv_fund",B$3,$A362))</f>
        <v/>
      </c>
      <c r="C362" s="13" t="str">
        <f>IF($A362="","",[1]!thsiFinD("ths_adjustment_nv_fund",C$3,$A362))</f>
        <v/>
      </c>
      <c r="D362" s="13" t="str">
        <f>IF($A362="","",[1]!thsiFinD("ths_adjustment_nv_fund",D$3,$A362))</f>
        <v/>
      </c>
      <c r="E362" s="13" t="str">
        <f>IF($A362="","",[1]!thsiFinD("ths_adjustment_nv_fund",E$3,$A362))</f>
        <v/>
      </c>
      <c r="F362" s="13" t="str">
        <f>IF($A362="","",[1]!thsiFinD("ths_adjustment_nv_fund",F$3,$A362))</f>
        <v/>
      </c>
      <c r="G362" s="13" t="str">
        <f>IF($A362="","",[1]!thsiFinD("ths_adjustment_nv_fund",G$3,$A362))</f>
        <v/>
      </c>
      <c r="H362" s="13" t="str">
        <f>IF($A362="","",[1]!thsiFinD("ths_adjustment_nv_fund",H$3,$A362))</f>
        <v/>
      </c>
      <c r="I362" s="13" t="str">
        <f>IF($A362="","",[1]!thsiFinD("ths_adjustment_nv_fund",I$3,$A362))</f>
        <v/>
      </c>
      <c r="J362" s="13" t="str">
        <f>IF($A362="","",[1]!thsiFinD("ths_adjustment_nv_fund",J$3,$A362))</f>
        <v/>
      </c>
      <c r="K362" s="13" t="str">
        <f>IF($A362="","",[1]!thsiFinD("ths_adjustment_nv_fund",K$3,$A362))</f>
        <v/>
      </c>
      <c r="L362" s="13" t="str">
        <f>IF($A362="","",[1]!thsiFinD("ths_adjustment_nv_fund",L$3,$A362))</f>
        <v/>
      </c>
      <c r="M362" s="13" t="str">
        <f>IF($A362="","",[1]!thsiFinD("ths_adjustment_nv_fund",M$3,$A362))</f>
        <v/>
      </c>
      <c r="N362" s="13" t="str">
        <f>IF($A362="","",[1]!thsiFinD("ths_adjustment_nv_fund",N$3,$A362))</f>
        <v/>
      </c>
      <c r="O362" s="13" t="str">
        <f>IF($A362="","",[1]!thsiFinD("ths_adjustment_nv_fund",O$3,$A362))</f>
        <v/>
      </c>
      <c r="P362" s="13" t="str">
        <f>IF($A362="","",[1]!thsiFinD("ths_adjustment_nv_fund",P$3,$A362))</f>
        <v/>
      </c>
      <c r="Q362" s="13" t="str">
        <f>IF($A362="","",[1]!thsiFinD("ths_adjustment_nv_fund",Q$3,$A362))</f>
        <v/>
      </c>
      <c r="R362" s="13" t="str">
        <f>IF($A362="","",[1]!thsiFinD("ths_adjustment_nv_fund",R$3,$A362))</f>
        <v/>
      </c>
      <c r="S362" s="13" t="str">
        <f>IF($A362="","",[1]!thsiFinD("ths_adjustment_nv_fund",S$3,$A362))</f>
        <v/>
      </c>
      <c r="T362" s="13" t="str">
        <f>IF($A362="","",[1]!thsiFinD("ths_adjustment_nv_fund",T$3,$A362))</f>
        <v/>
      </c>
      <c r="U362" s="13" t="str">
        <f>IF($A362="","",[1]!thsiFinD("ths_adjustment_nv_fund",U$3,$A362))</f>
        <v/>
      </c>
      <c r="V362" s="13" t="str">
        <f>IF($A362="","",[1]!thsiFinD("ths_adjustment_nv_fund",V$3,$A362))</f>
        <v/>
      </c>
      <c r="W362" s="13" t="str">
        <f>IF($A362="","",[1]!thsiFinD("ths_adjustment_nv_fund",W$3,$A362))</f>
        <v/>
      </c>
      <c r="X362" s="13" t="str">
        <f>IF($A362="","",[1]!thsiFinD("ths_adjustment_nv_fund",X$3,$A362))</f>
        <v/>
      </c>
      <c r="Y362" s="13" t="str">
        <f>IF($A362="","",[1]!thsiFinD("ths_adjustment_nv_fund",Y$3,$A362))</f>
        <v/>
      </c>
      <c r="Z362" s="13" t="str">
        <f>IF($A362="","",[1]!thsiFinD("ths_adjustment_nv_fund",Z$3,$A362))</f>
        <v/>
      </c>
      <c r="AA362" s="13" t="str">
        <f>IF($A362="","",[1]!thsiFinD("ths_adjustment_nv_fund",AA$3,$A362))</f>
        <v/>
      </c>
      <c r="AB362" s="13">
        <f>IF($A362="","",[1]!thsiFinD("ths_adjustment_nv_fund",AB$3,$A362))</f>
        <v/>
      </c>
      <c r="AC362" s="13">
        <f>IF($A362="","",[1]!thsiFinD("ths_adjustment_nv_fund",AC$3,$A362))</f>
        <v/>
      </c>
      <c r="AD362" s="13">
        <f>IF($A362="","",[1]!thsiFinD("ths_adjustment_nv_fund",AD$3,$A362))</f>
        <v/>
      </c>
      <c r="AE362" s="13">
        <f>IF($A362="","",[1]!thsiFinD("ths_adjustment_nv_fund",AE$3,$A362))</f>
        <v/>
      </c>
      <c r="AF362" s="13">
        <f>IF($A362="","",[1]!thsiFinD("ths_adjustment_nv_fund",AF$3,$A362))</f>
        <v/>
      </c>
      <c r="AG362" s="13">
        <f>IF($A362="","",[1]!thsiFinD("ths_adjustment_nv_fund",AG$3,$A362))</f>
        <v/>
      </c>
      <c r="AH362" s="13">
        <f>IF($A362="","",[1]!thsiFinD("ths_adjustment_nv_fund",AH$3,$A362))</f>
        <v/>
      </c>
      <c r="AI362" s="13">
        <f>IF($A362="","",[1]!thsiFinD("ths_adjustment_nv_fund",AI$3,$A362))</f>
        <v/>
      </c>
      <c r="AJ362" s="13">
        <f>IF($A362="","",[1]!thsiFinD("ths_adjustment_nv_fund",AJ$3,$A362))</f>
        <v/>
      </c>
      <c r="AK362" s="13">
        <f>IF($A362="","",[1]!thsiFinD("ths_adjustment_nv_fund",AK$3,$A362))</f>
        <v/>
      </c>
      <c r="AL362" s="13">
        <f>IF($A362="","",[1]!thsiFinD("ths_adjustment_nv_fund",AL$3,$A362))</f>
        <v/>
      </c>
    </row>
    <row r="363" spans="2:28">
      <c r="B363" s="13" t="str">
        <f>IF($A363="","",[1]!thsiFinD("ths_adjustment_nv_fund",B$3,$A363))</f>
        <v/>
      </c>
      <c r="C363" s="13" t="str">
        <f>IF($A363="","",[1]!thsiFinD("ths_adjustment_nv_fund",C$3,$A363))</f>
        <v/>
      </c>
      <c r="D363" s="13" t="str">
        <f>IF($A363="","",[1]!thsiFinD("ths_adjustment_nv_fund",D$3,$A363))</f>
        <v/>
      </c>
      <c r="E363" s="13" t="str">
        <f>IF($A363="","",[1]!thsiFinD("ths_adjustment_nv_fund",E$3,$A363))</f>
        <v/>
      </c>
      <c r="F363" s="13" t="str">
        <f>IF($A363="","",[1]!thsiFinD("ths_adjustment_nv_fund",F$3,$A363))</f>
        <v/>
      </c>
      <c r="G363" s="13" t="str">
        <f>IF($A363="","",[1]!thsiFinD("ths_adjustment_nv_fund",G$3,$A363))</f>
        <v/>
      </c>
      <c r="H363" s="13" t="str">
        <f>IF($A363="","",[1]!thsiFinD("ths_adjustment_nv_fund",H$3,$A363))</f>
        <v/>
      </c>
      <c r="I363" s="13" t="str">
        <f>IF($A363="","",[1]!thsiFinD("ths_adjustment_nv_fund",I$3,$A363))</f>
        <v/>
      </c>
      <c r="J363" s="13" t="str">
        <f>IF($A363="","",[1]!thsiFinD("ths_adjustment_nv_fund",J$3,$A363))</f>
        <v/>
      </c>
      <c r="K363" s="13" t="str">
        <f>IF($A363="","",[1]!thsiFinD("ths_adjustment_nv_fund",K$3,$A363))</f>
        <v/>
      </c>
      <c r="L363" s="13" t="str">
        <f>IF($A363="","",[1]!thsiFinD("ths_adjustment_nv_fund",L$3,$A363))</f>
        <v/>
      </c>
      <c r="M363" s="13" t="str">
        <f>IF($A363="","",[1]!thsiFinD("ths_adjustment_nv_fund",M$3,$A363))</f>
        <v/>
      </c>
      <c r="N363" s="13" t="str">
        <f>IF($A363="","",[1]!thsiFinD("ths_adjustment_nv_fund",N$3,$A363))</f>
        <v/>
      </c>
      <c r="O363" s="13" t="str">
        <f>IF($A363="","",[1]!thsiFinD("ths_adjustment_nv_fund",O$3,$A363))</f>
        <v/>
      </c>
      <c r="P363" s="13" t="str">
        <f>IF($A363="","",[1]!thsiFinD("ths_adjustment_nv_fund",P$3,$A363))</f>
        <v/>
      </c>
      <c r="Q363" s="13" t="str">
        <f>IF($A363="","",[1]!thsiFinD("ths_adjustment_nv_fund",Q$3,$A363))</f>
        <v/>
      </c>
      <c r="R363" s="13" t="str">
        <f>IF($A363="","",[1]!thsiFinD("ths_adjustment_nv_fund",R$3,$A363))</f>
        <v/>
      </c>
      <c r="S363" s="13" t="str">
        <f>IF($A363="","",[1]!thsiFinD("ths_adjustment_nv_fund",S$3,$A363))</f>
        <v/>
      </c>
      <c r="T363" s="13" t="str">
        <f>IF($A363="","",[1]!thsiFinD("ths_adjustment_nv_fund",T$3,$A363))</f>
        <v/>
      </c>
      <c r="U363" s="13" t="str">
        <f>IF($A363="","",[1]!thsiFinD("ths_adjustment_nv_fund",U$3,$A363))</f>
        <v/>
      </c>
      <c r="V363" s="13" t="str">
        <f>IF($A363="","",[1]!thsiFinD("ths_adjustment_nv_fund",V$3,$A363))</f>
        <v/>
      </c>
      <c r="W363" s="13" t="str">
        <f>IF($A363="","",[1]!thsiFinD("ths_adjustment_nv_fund",W$3,$A363))</f>
        <v/>
      </c>
      <c r="X363" s="13" t="str">
        <f>IF($A363="","",[1]!thsiFinD("ths_adjustment_nv_fund",X$3,$A363))</f>
        <v/>
      </c>
      <c r="Y363" s="13" t="str">
        <f>IF($A363="","",[1]!thsiFinD("ths_adjustment_nv_fund",Y$3,$A363))</f>
        <v/>
      </c>
      <c r="Z363" s="13" t="str">
        <f>IF($A363="","",[1]!thsiFinD("ths_adjustment_nv_fund",Z$3,$A363))</f>
        <v/>
      </c>
      <c r="AA363" s="13" t="str">
        <f>IF($A363="","",[1]!thsiFinD("ths_adjustment_nv_fund",AA$3,$A363))</f>
        <v/>
      </c>
      <c r="AB363" s="13">
        <f>IF($A363="","",[1]!thsiFinD("ths_adjustment_nv_fund",AB$3,$A363))</f>
        <v/>
      </c>
      <c r="AC363" s="13">
        <f>IF($A363="","",[1]!thsiFinD("ths_adjustment_nv_fund",AC$3,$A363))</f>
        <v/>
      </c>
      <c r="AD363" s="13">
        <f>IF($A363="","",[1]!thsiFinD("ths_adjustment_nv_fund",AD$3,$A363))</f>
        <v/>
      </c>
      <c r="AE363" s="13">
        <f>IF($A363="","",[1]!thsiFinD("ths_adjustment_nv_fund",AE$3,$A363))</f>
        <v/>
      </c>
      <c r="AF363" s="13">
        <f>IF($A363="","",[1]!thsiFinD("ths_adjustment_nv_fund",AF$3,$A363))</f>
        <v/>
      </c>
      <c r="AG363" s="13">
        <f>IF($A363="","",[1]!thsiFinD("ths_adjustment_nv_fund",AG$3,$A363))</f>
        <v/>
      </c>
      <c r="AH363" s="13">
        <f>IF($A363="","",[1]!thsiFinD("ths_adjustment_nv_fund",AH$3,$A363))</f>
        <v/>
      </c>
      <c r="AI363" s="13">
        <f>IF($A363="","",[1]!thsiFinD("ths_adjustment_nv_fund",AI$3,$A363))</f>
        <v/>
      </c>
      <c r="AJ363" s="13">
        <f>IF($A363="","",[1]!thsiFinD("ths_adjustment_nv_fund",AJ$3,$A363))</f>
        <v/>
      </c>
      <c r="AK363" s="13">
        <f>IF($A363="","",[1]!thsiFinD("ths_adjustment_nv_fund",AK$3,$A363))</f>
        <v/>
      </c>
      <c r="AL363" s="13">
        <f>IF($A363="","",[1]!thsiFinD("ths_adjustment_nv_fund",AL$3,$A363))</f>
        <v/>
      </c>
    </row>
    <row r="364" spans="2:28">
      <c r="B364" s="13" t="str">
        <f>IF($A364="","",[1]!thsiFinD("ths_adjustment_nv_fund",B$3,$A364))</f>
        <v/>
      </c>
      <c r="C364" s="13" t="str">
        <f>IF($A364="","",[1]!thsiFinD("ths_adjustment_nv_fund",C$3,$A364))</f>
        <v/>
      </c>
      <c r="D364" s="13" t="str">
        <f>IF($A364="","",[1]!thsiFinD("ths_adjustment_nv_fund",D$3,$A364))</f>
        <v/>
      </c>
      <c r="E364" s="13" t="str">
        <f>IF($A364="","",[1]!thsiFinD("ths_adjustment_nv_fund",E$3,$A364))</f>
        <v/>
      </c>
      <c r="F364" s="13" t="str">
        <f>IF($A364="","",[1]!thsiFinD("ths_adjustment_nv_fund",F$3,$A364))</f>
        <v/>
      </c>
      <c r="G364" s="13" t="str">
        <f>IF($A364="","",[1]!thsiFinD("ths_adjustment_nv_fund",G$3,$A364))</f>
        <v/>
      </c>
      <c r="H364" s="13" t="str">
        <f>IF($A364="","",[1]!thsiFinD("ths_adjustment_nv_fund",H$3,$A364))</f>
        <v/>
      </c>
      <c r="I364" s="13" t="str">
        <f>IF($A364="","",[1]!thsiFinD("ths_adjustment_nv_fund",I$3,$A364))</f>
        <v/>
      </c>
      <c r="J364" s="13" t="str">
        <f>IF($A364="","",[1]!thsiFinD("ths_adjustment_nv_fund",J$3,$A364))</f>
        <v/>
      </c>
      <c r="K364" s="13" t="str">
        <f>IF($A364="","",[1]!thsiFinD("ths_adjustment_nv_fund",K$3,$A364))</f>
        <v/>
      </c>
      <c r="L364" s="13" t="str">
        <f>IF($A364="","",[1]!thsiFinD("ths_adjustment_nv_fund",L$3,$A364))</f>
        <v/>
      </c>
      <c r="M364" s="13" t="str">
        <f>IF($A364="","",[1]!thsiFinD("ths_adjustment_nv_fund",M$3,$A364))</f>
        <v/>
      </c>
      <c r="N364" s="13" t="str">
        <f>IF($A364="","",[1]!thsiFinD("ths_adjustment_nv_fund",N$3,$A364))</f>
        <v/>
      </c>
      <c r="O364" s="13" t="str">
        <f>IF($A364="","",[1]!thsiFinD("ths_adjustment_nv_fund",O$3,$A364))</f>
        <v/>
      </c>
      <c r="P364" s="13" t="str">
        <f>IF($A364="","",[1]!thsiFinD("ths_adjustment_nv_fund",P$3,$A364))</f>
        <v/>
      </c>
      <c r="Q364" s="13" t="str">
        <f>IF($A364="","",[1]!thsiFinD("ths_adjustment_nv_fund",Q$3,$A364))</f>
        <v/>
      </c>
      <c r="R364" s="13" t="str">
        <f>IF($A364="","",[1]!thsiFinD("ths_adjustment_nv_fund",R$3,$A364))</f>
        <v/>
      </c>
      <c r="S364" s="13" t="str">
        <f>IF($A364="","",[1]!thsiFinD("ths_adjustment_nv_fund",S$3,$A364))</f>
        <v/>
      </c>
      <c r="T364" s="13" t="str">
        <f>IF($A364="","",[1]!thsiFinD("ths_adjustment_nv_fund",T$3,$A364))</f>
        <v/>
      </c>
      <c r="U364" s="13" t="str">
        <f>IF($A364="","",[1]!thsiFinD("ths_adjustment_nv_fund",U$3,$A364))</f>
        <v/>
      </c>
      <c r="V364" s="13" t="str">
        <f>IF($A364="","",[1]!thsiFinD("ths_adjustment_nv_fund",V$3,$A364))</f>
        <v/>
      </c>
      <c r="W364" s="13" t="str">
        <f>IF($A364="","",[1]!thsiFinD("ths_adjustment_nv_fund",W$3,$A364))</f>
        <v/>
      </c>
      <c r="X364" s="13" t="str">
        <f>IF($A364="","",[1]!thsiFinD("ths_adjustment_nv_fund",X$3,$A364))</f>
        <v/>
      </c>
      <c r="Y364" s="13" t="str">
        <f>IF($A364="","",[1]!thsiFinD("ths_adjustment_nv_fund",Y$3,$A364))</f>
        <v/>
      </c>
      <c r="Z364" s="13" t="str">
        <f>IF($A364="","",[1]!thsiFinD("ths_adjustment_nv_fund",Z$3,$A364))</f>
        <v/>
      </c>
      <c r="AA364" s="13" t="str">
        <f>IF($A364="","",[1]!thsiFinD("ths_adjustment_nv_fund",AA$3,$A364))</f>
        <v/>
      </c>
      <c r="AB364" s="13">
        <f>IF($A364="","",[1]!thsiFinD("ths_adjustment_nv_fund",AB$3,$A364))</f>
        <v/>
      </c>
      <c r="AC364" s="13">
        <f>IF($A364="","",[1]!thsiFinD("ths_adjustment_nv_fund",AC$3,$A364))</f>
        <v/>
      </c>
      <c r="AD364" s="13">
        <f>IF($A364="","",[1]!thsiFinD("ths_adjustment_nv_fund",AD$3,$A364))</f>
        <v/>
      </c>
      <c r="AE364" s="13">
        <f>IF($A364="","",[1]!thsiFinD("ths_adjustment_nv_fund",AE$3,$A364))</f>
        <v/>
      </c>
      <c r="AF364" s="13">
        <f>IF($A364="","",[1]!thsiFinD("ths_adjustment_nv_fund",AF$3,$A364))</f>
        <v/>
      </c>
      <c r="AG364" s="13">
        <f>IF($A364="","",[1]!thsiFinD("ths_adjustment_nv_fund",AG$3,$A364))</f>
        <v/>
      </c>
      <c r="AH364" s="13">
        <f>IF($A364="","",[1]!thsiFinD("ths_adjustment_nv_fund",AH$3,$A364))</f>
        <v/>
      </c>
      <c r="AI364" s="13">
        <f>IF($A364="","",[1]!thsiFinD("ths_adjustment_nv_fund",AI$3,$A364))</f>
        <v/>
      </c>
      <c r="AJ364" s="13">
        <f>IF($A364="","",[1]!thsiFinD("ths_adjustment_nv_fund",AJ$3,$A364))</f>
        <v/>
      </c>
      <c r="AK364" s="13">
        <f>IF($A364="","",[1]!thsiFinD("ths_adjustment_nv_fund",AK$3,$A364))</f>
        <v/>
      </c>
      <c r="AL364" s="13">
        <f>IF($A364="","",[1]!thsiFinD("ths_adjustment_nv_fund",AL$3,$A364))</f>
        <v/>
      </c>
    </row>
    <row r="365" spans="2:28">
      <c r="B365" s="13" t="str">
        <f>IF($A365="","",[1]!thsiFinD("ths_adjustment_nv_fund",B$3,$A365))</f>
        <v/>
      </c>
      <c r="C365" s="13" t="str">
        <f>IF($A365="","",[1]!thsiFinD("ths_adjustment_nv_fund",C$3,$A365))</f>
        <v/>
      </c>
      <c r="D365" s="13" t="str">
        <f>IF($A365="","",[1]!thsiFinD("ths_adjustment_nv_fund",D$3,$A365))</f>
        <v/>
      </c>
      <c r="E365" s="13" t="str">
        <f>IF($A365="","",[1]!thsiFinD("ths_adjustment_nv_fund",E$3,$A365))</f>
        <v/>
      </c>
      <c r="F365" s="13" t="str">
        <f>IF($A365="","",[1]!thsiFinD("ths_adjustment_nv_fund",F$3,$A365))</f>
        <v/>
      </c>
      <c r="G365" s="13" t="str">
        <f>IF($A365="","",[1]!thsiFinD("ths_adjustment_nv_fund",G$3,$A365))</f>
        <v/>
      </c>
      <c r="H365" s="13" t="str">
        <f>IF($A365="","",[1]!thsiFinD("ths_adjustment_nv_fund",H$3,$A365))</f>
        <v/>
      </c>
      <c r="I365" s="13" t="str">
        <f>IF($A365="","",[1]!thsiFinD("ths_adjustment_nv_fund",I$3,$A365))</f>
        <v/>
      </c>
      <c r="J365" s="13" t="str">
        <f>IF($A365="","",[1]!thsiFinD("ths_adjustment_nv_fund",J$3,$A365))</f>
        <v/>
      </c>
      <c r="K365" s="13" t="str">
        <f>IF($A365="","",[1]!thsiFinD("ths_adjustment_nv_fund",K$3,$A365))</f>
        <v/>
      </c>
      <c r="L365" s="13" t="str">
        <f>IF($A365="","",[1]!thsiFinD("ths_adjustment_nv_fund",L$3,$A365))</f>
        <v/>
      </c>
      <c r="M365" s="13" t="str">
        <f>IF($A365="","",[1]!thsiFinD("ths_adjustment_nv_fund",M$3,$A365))</f>
        <v/>
      </c>
      <c r="N365" s="13" t="str">
        <f>IF($A365="","",[1]!thsiFinD("ths_adjustment_nv_fund",N$3,$A365))</f>
        <v/>
      </c>
      <c r="O365" s="13" t="str">
        <f>IF($A365="","",[1]!thsiFinD("ths_adjustment_nv_fund",O$3,$A365))</f>
        <v/>
      </c>
      <c r="P365" s="13" t="str">
        <f>IF($A365="","",[1]!thsiFinD("ths_adjustment_nv_fund",P$3,$A365))</f>
        <v/>
      </c>
      <c r="Q365" s="13" t="str">
        <f>IF($A365="","",[1]!thsiFinD("ths_adjustment_nv_fund",Q$3,$A365))</f>
        <v/>
      </c>
      <c r="R365" s="13" t="str">
        <f>IF($A365="","",[1]!thsiFinD("ths_adjustment_nv_fund",R$3,$A365))</f>
        <v/>
      </c>
      <c r="S365" s="13" t="str">
        <f>IF($A365="","",[1]!thsiFinD("ths_adjustment_nv_fund",S$3,$A365))</f>
        <v/>
      </c>
      <c r="T365" s="13" t="str">
        <f>IF($A365="","",[1]!thsiFinD("ths_adjustment_nv_fund",T$3,$A365))</f>
        <v/>
      </c>
      <c r="U365" s="13" t="str">
        <f>IF($A365="","",[1]!thsiFinD("ths_adjustment_nv_fund",U$3,$A365))</f>
        <v/>
      </c>
      <c r="V365" s="13" t="str">
        <f>IF($A365="","",[1]!thsiFinD("ths_adjustment_nv_fund",V$3,$A365))</f>
        <v/>
      </c>
      <c r="W365" s="13" t="str">
        <f>IF($A365="","",[1]!thsiFinD("ths_adjustment_nv_fund",W$3,$A365))</f>
        <v/>
      </c>
      <c r="X365" s="13" t="str">
        <f>IF($A365="","",[1]!thsiFinD("ths_adjustment_nv_fund",X$3,$A365))</f>
        <v/>
      </c>
      <c r="Y365" s="13" t="str">
        <f>IF($A365="","",[1]!thsiFinD("ths_adjustment_nv_fund",Y$3,$A365))</f>
        <v/>
      </c>
      <c r="Z365" s="13" t="str">
        <f>IF($A365="","",[1]!thsiFinD("ths_adjustment_nv_fund",Z$3,$A365))</f>
        <v/>
      </c>
      <c r="AA365" s="13" t="str">
        <f>IF($A365="","",[1]!thsiFinD("ths_adjustment_nv_fund",AA$3,$A365))</f>
        <v/>
      </c>
      <c r="AB365" s="13">
        <f>IF($A365="","",[1]!thsiFinD("ths_adjustment_nv_fund",AB$3,$A365))</f>
        <v/>
      </c>
      <c r="AC365" s="13">
        <f>IF($A365="","",[1]!thsiFinD("ths_adjustment_nv_fund",AC$3,$A365))</f>
        <v/>
      </c>
      <c r="AD365" s="13">
        <f>IF($A365="","",[1]!thsiFinD("ths_adjustment_nv_fund",AD$3,$A365))</f>
        <v/>
      </c>
      <c r="AE365" s="13">
        <f>IF($A365="","",[1]!thsiFinD("ths_adjustment_nv_fund",AE$3,$A365))</f>
        <v/>
      </c>
      <c r="AF365" s="13">
        <f>IF($A365="","",[1]!thsiFinD("ths_adjustment_nv_fund",AF$3,$A365))</f>
        <v/>
      </c>
      <c r="AG365" s="13">
        <f>IF($A365="","",[1]!thsiFinD("ths_adjustment_nv_fund",AG$3,$A365))</f>
        <v/>
      </c>
      <c r="AH365" s="13">
        <f>IF($A365="","",[1]!thsiFinD("ths_adjustment_nv_fund",AH$3,$A365))</f>
        <v/>
      </c>
      <c r="AI365" s="13">
        <f>IF($A365="","",[1]!thsiFinD("ths_adjustment_nv_fund",AI$3,$A365))</f>
        <v/>
      </c>
      <c r="AJ365" s="13">
        <f>IF($A365="","",[1]!thsiFinD("ths_adjustment_nv_fund",AJ$3,$A365))</f>
        <v/>
      </c>
      <c r="AK365" s="13">
        <f>IF($A365="","",[1]!thsiFinD("ths_adjustment_nv_fund",AK$3,$A365))</f>
        <v/>
      </c>
      <c r="AL365" s="13">
        <f>IF($A365="","",[1]!thsiFinD("ths_adjustment_nv_fund",AL$3,$A365))</f>
        <v/>
      </c>
    </row>
    <row r="366" spans="2:28">
      <c r="B366" s="13" t="str">
        <f>IF($A366="","",[1]!thsiFinD("ths_adjustment_nv_fund",B$3,$A366))</f>
        <v/>
      </c>
      <c r="C366" s="13" t="str">
        <f>IF($A366="","",[1]!thsiFinD("ths_adjustment_nv_fund",C$3,$A366))</f>
        <v/>
      </c>
      <c r="D366" s="13" t="str">
        <f>IF($A366="","",[1]!thsiFinD("ths_adjustment_nv_fund",D$3,$A366))</f>
        <v/>
      </c>
      <c r="E366" s="13" t="str">
        <f>IF($A366="","",[1]!thsiFinD("ths_adjustment_nv_fund",E$3,$A366))</f>
        <v/>
      </c>
      <c r="F366" s="13" t="str">
        <f>IF($A366="","",[1]!thsiFinD("ths_adjustment_nv_fund",F$3,$A366))</f>
        <v/>
      </c>
      <c r="G366" s="13" t="str">
        <f>IF($A366="","",[1]!thsiFinD("ths_adjustment_nv_fund",G$3,$A366))</f>
        <v/>
      </c>
      <c r="H366" s="13" t="str">
        <f>IF($A366="","",[1]!thsiFinD("ths_adjustment_nv_fund",H$3,$A366))</f>
        <v/>
      </c>
      <c r="I366" s="13" t="str">
        <f>IF($A366="","",[1]!thsiFinD("ths_adjustment_nv_fund",I$3,$A366))</f>
        <v/>
      </c>
      <c r="J366" s="13" t="str">
        <f>IF($A366="","",[1]!thsiFinD("ths_adjustment_nv_fund",J$3,$A366))</f>
        <v/>
      </c>
      <c r="K366" s="13" t="str">
        <f>IF($A366="","",[1]!thsiFinD("ths_adjustment_nv_fund",K$3,$A366))</f>
        <v/>
      </c>
      <c r="L366" s="13" t="str">
        <f>IF($A366="","",[1]!thsiFinD("ths_adjustment_nv_fund",L$3,$A366))</f>
        <v/>
      </c>
      <c r="M366" s="13" t="str">
        <f>IF($A366="","",[1]!thsiFinD("ths_adjustment_nv_fund",M$3,$A366))</f>
        <v/>
      </c>
      <c r="N366" s="13" t="str">
        <f>IF($A366="","",[1]!thsiFinD("ths_adjustment_nv_fund",N$3,$A366))</f>
        <v/>
      </c>
      <c r="O366" s="13" t="str">
        <f>IF($A366="","",[1]!thsiFinD("ths_adjustment_nv_fund",O$3,$A366))</f>
        <v/>
      </c>
      <c r="P366" s="13" t="str">
        <f>IF($A366="","",[1]!thsiFinD("ths_adjustment_nv_fund",P$3,$A366))</f>
        <v/>
      </c>
      <c r="Q366" s="13" t="str">
        <f>IF($A366="","",[1]!thsiFinD("ths_adjustment_nv_fund",Q$3,$A366))</f>
        <v/>
      </c>
      <c r="R366" s="13" t="str">
        <f>IF($A366="","",[1]!thsiFinD("ths_adjustment_nv_fund",R$3,$A366))</f>
        <v/>
      </c>
      <c r="S366" s="13" t="str">
        <f>IF($A366="","",[1]!thsiFinD("ths_adjustment_nv_fund",S$3,$A366))</f>
        <v/>
      </c>
      <c r="T366" s="13" t="str">
        <f>IF($A366="","",[1]!thsiFinD("ths_adjustment_nv_fund",T$3,$A366))</f>
        <v/>
      </c>
      <c r="U366" s="13" t="str">
        <f>IF($A366="","",[1]!thsiFinD("ths_adjustment_nv_fund",U$3,$A366))</f>
        <v/>
      </c>
      <c r="V366" s="13" t="str">
        <f>IF($A366="","",[1]!thsiFinD("ths_adjustment_nv_fund",V$3,$A366))</f>
        <v/>
      </c>
      <c r="W366" s="13" t="str">
        <f>IF($A366="","",[1]!thsiFinD("ths_adjustment_nv_fund",W$3,$A366))</f>
        <v/>
      </c>
      <c r="X366" s="13" t="str">
        <f>IF($A366="","",[1]!thsiFinD("ths_adjustment_nv_fund",X$3,$A366))</f>
        <v/>
      </c>
      <c r="Y366" s="13" t="str">
        <f>IF($A366="","",[1]!thsiFinD("ths_adjustment_nv_fund",Y$3,$A366))</f>
        <v/>
      </c>
      <c r="Z366" s="13" t="str">
        <f>IF($A366="","",[1]!thsiFinD("ths_adjustment_nv_fund",Z$3,$A366))</f>
        <v/>
      </c>
      <c r="AA366" s="13" t="str">
        <f>IF($A366="","",[1]!thsiFinD("ths_adjustment_nv_fund",AA$3,$A366))</f>
        <v/>
      </c>
      <c r="AB366" s="13">
        <f>IF($A366="","",[1]!thsiFinD("ths_adjustment_nv_fund",AB$3,$A366))</f>
        <v/>
      </c>
      <c r="AC366" s="13">
        <f>IF($A366="","",[1]!thsiFinD("ths_adjustment_nv_fund",AC$3,$A366))</f>
        <v/>
      </c>
      <c r="AD366" s="13">
        <f>IF($A366="","",[1]!thsiFinD("ths_adjustment_nv_fund",AD$3,$A366))</f>
        <v/>
      </c>
      <c r="AE366" s="13">
        <f>IF($A366="","",[1]!thsiFinD("ths_adjustment_nv_fund",AE$3,$A366))</f>
        <v/>
      </c>
      <c r="AF366" s="13">
        <f>IF($A366="","",[1]!thsiFinD("ths_adjustment_nv_fund",AF$3,$A366))</f>
        <v/>
      </c>
      <c r="AG366" s="13">
        <f>IF($A366="","",[1]!thsiFinD("ths_adjustment_nv_fund",AG$3,$A366))</f>
        <v/>
      </c>
      <c r="AH366" s="13">
        <f>IF($A366="","",[1]!thsiFinD("ths_adjustment_nv_fund",AH$3,$A366))</f>
        <v/>
      </c>
      <c r="AI366" s="13">
        <f>IF($A366="","",[1]!thsiFinD("ths_adjustment_nv_fund",AI$3,$A366))</f>
        <v/>
      </c>
      <c r="AJ366" s="13">
        <f>IF($A366="","",[1]!thsiFinD("ths_adjustment_nv_fund",AJ$3,$A366))</f>
        <v/>
      </c>
      <c r="AK366" s="13">
        <f>IF($A366="","",[1]!thsiFinD("ths_adjustment_nv_fund",AK$3,$A366))</f>
        <v/>
      </c>
      <c r="AL366" s="13">
        <f>IF($A366="","",[1]!thsiFinD("ths_adjustment_nv_fund",AL$3,$A366))</f>
        <v/>
      </c>
    </row>
    <row r="367" spans="2:28">
      <c r="B367" s="13" t="str">
        <f>IF($A367="","",[1]!thsiFinD("ths_adjustment_nv_fund",B$3,$A367))</f>
        <v/>
      </c>
      <c r="C367" s="13" t="str">
        <f>IF($A367="","",[1]!thsiFinD("ths_adjustment_nv_fund",C$3,$A367))</f>
        <v/>
      </c>
      <c r="D367" s="13" t="str">
        <f>IF($A367="","",[1]!thsiFinD("ths_adjustment_nv_fund",D$3,$A367))</f>
        <v/>
      </c>
      <c r="E367" s="13" t="str">
        <f>IF($A367="","",[1]!thsiFinD("ths_adjustment_nv_fund",E$3,$A367))</f>
        <v/>
      </c>
      <c r="F367" s="13" t="str">
        <f>IF($A367="","",[1]!thsiFinD("ths_adjustment_nv_fund",F$3,$A367))</f>
        <v/>
      </c>
      <c r="G367" s="13" t="str">
        <f>IF($A367="","",[1]!thsiFinD("ths_adjustment_nv_fund",G$3,$A367))</f>
        <v/>
      </c>
      <c r="H367" s="13" t="str">
        <f>IF($A367="","",[1]!thsiFinD("ths_adjustment_nv_fund",H$3,$A367))</f>
        <v/>
      </c>
      <c r="I367" s="13" t="str">
        <f>IF($A367="","",[1]!thsiFinD("ths_adjustment_nv_fund",I$3,$A367))</f>
        <v/>
      </c>
      <c r="J367" s="13" t="str">
        <f>IF($A367="","",[1]!thsiFinD("ths_adjustment_nv_fund",J$3,$A367))</f>
        <v/>
      </c>
      <c r="K367" s="13" t="str">
        <f>IF($A367="","",[1]!thsiFinD("ths_adjustment_nv_fund",K$3,$A367))</f>
        <v/>
      </c>
      <c r="L367" s="13" t="str">
        <f>IF($A367="","",[1]!thsiFinD("ths_adjustment_nv_fund",L$3,$A367))</f>
        <v/>
      </c>
      <c r="M367" s="13" t="str">
        <f>IF($A367="","",[1]!thsiFinD("ths_adjustment_nv_fund",M$3,$A367))</f>
        <v/>
      </c>
      <c r="N367" s="13" t="str">
        <f>IF($A367="","",[1]!thsiFinD("ths_adjustment_nv_fund",N$3,$A367))</f>
        <v/>
      </c>
      <c r="O367" s="13" t="str">
        <f>IF($A367="","",[1]!thsiFinD("ths_adjustment_nv_fund",O$3,$A367))</f>
        <v/>
      </c>
      <c r="P367" s="13" t="str">
        <f>IF($A367="","",[1]!thsiFinD("ths_adjustment_nv_fund",P$3,$A367))</f>
        <v/>
      </c>
      <c r="Q367" s="13" t="str">
        <f>IF($A367="","",[1]!thsiFinD("ths_adjustment_nv_fund",Q$3,$A367))</f>
        <v/>
      </c>
      <c r="R367" s="13" t="str">
        <f>IF($A367="","",[1]!thsiFinD("ths_adjustment_nv_fund",R$3,$A367))</f>
        <v/>
      </c>
      <c r="S367" s="13" t="str">
        <f>IF($A367="","",[1]!thsiFinD("ths_adjustment_nv_fund",S$3,$A367))</f>
        <v/>
      </c>
      <c r="T367" s="13" t="str">
        <f>IF($A367="","",[1]!thsiFinD("ths_adjustment_nv_fund",T$3,$A367))</f>
        <v/>
      </c>
      <c r="U367" s="13" t="str">
        <f>IF($A367="","",[1]!thsiFinD("ths_adjustment_nv_fund",U$3,$A367))</f>
        <v/>
      </c>
      <c r="V367" s="13" t="str">
        <f>IF($A367="","",[1]!thsiFinD("ths_adjustment_nv_fund",V$3,$A367))</f>
        <v/>
      </c>
      <c r="W367" s="13" t="str">
        <f>IF($A367="","",[1]!thsiFinD("ths_adjustment_nv_fund",W$3,$A367))</f>
        <v/>
      </c>
      <c r="X367" s="13" t="str">
        <f>IF($A367="","",[1]!thsiFinD("ths_adjustment_nv_fund",X$3,$A367))</f>
        <v/>
      </c>
      <c r="Y367" s="13" t="str">
        <f>IF($A367="","",[1]!thsiFinD("ths_adjustment_nv_fund",Y$3,$A367))</f>
        <v/>
      </c>
      <c r="Z367" s="13" t="str">
        <f>IF($A367="","",[1]!thsiFinD("ths_adjustment_nv_fund",Z$3,$A367))</f>
        <v/>
      </c>
      <c r="AA367" s="13" t="str">
        <f>IF($A367="","",[1]!thsiFinD("ths_adjustment_nv_fund",AA$3,$A367))</f>
        <v/>
      </c>
      <c r="AB367" s="13">
        <f>IF($A367="","",[1]!thsiFinD("ths_adjustment_nv_fund",AB$3,$A367))</f>
        <v/>
      </c>
      <c r="AC367" s="13">
        <f>IF($A367="","",[1]!thsiFinD("ths_adjustment_nv_fund",AC$3,$A367))</f>
        <v/>
      </c>
      <c r="AD367" s="13">
        <f>IF($A367="","",[1]!thsiFinD("ths_adjustment_nv_fund",AD$3,$A367))</f>
        <v/>
      </c>
      <c r="AE367" s="13">
        <f>IF($A367="","",[1]!thsiFinD("ths_adjustment_nv_fund",AE$3,$A367))</f>
        <v/>
      </c>
      <c r="AF367" s="13">
        <f>IF($A367="","",[1]!thsiFinD("ths_adjustment_nv_fund",AF$3,$A367))</f>
        <v/>
      </c>
      <c r="AG367" s="13">
        <f>IF($A367="","",[1]!thsiFinD("ths_adjustment_nv_fund",AG$3,$A367))</f>
        <v/>
      </c>
      <c r="AH367" s="13">
        <f>IF($A367="","",[1]!thsiFinD("ths_adjustment_nv_fund",AH$3,$A367))</f>
        <v/>
      </c>
      <c r="AI367" s="13">
        <f>IF($A367="","",[1]!thsiFinD("ths_adjustment_nv_fund",AI$3,$A367))</f>
        <v/>
      </c>
      <c r="AJ367" s="13">
        <f>IF($A367="","",[1]!thsiFinD("ths_adjustment_nv_fund",AJ$3,$A367))</f>
        <v/>
      </c>
      <c r="AK367" s="13">
        <f>IF($A367="","",[1]!thsiFinD("ths_adjustment_nv_fund",AK$3,$A367))</f>
        <v/>
      </c>
      <c r="AL367" s="13">
        <f>IF($A367="","",[1]!thsiFinD("ths_adjustment_nv_fund",AL$3,$A367))</f>
        <v/>
      </c>
    </row>
    <row r="368" spans="2:28">
      <c r="B368" s="13" t="str">
        <f>IF($A368="","",[1]!thsiFinD("ths_adjustment_nv_fund",B$3,$A368))</f>
        <v/>
      </c>
      <c r="C368" s="13" t="str">
        <f>IF($A368="","",[1]!thsiFinD("ths_adjustment_nv_fund",C$3,$A368))</f>
        <v/>
      </c>
      <c r="D368" s="13" t="str">
        <f>IF($A368="","",[1]!thsiFinD("ths_adjustment_nv_fund",D$3,$A368))</f>
        <v/>
      </c>
      <c r="E368" s="13" t="str">
        <f>IF($A368="","",[1]!thsiFinD("ths_adjustment_nv_fund",E$3,$A368))</f>
        <v/>
      </c>
      <c r="F368" s="13" t="str">
        <f>IF($A368="","",[1]!thsiFinD("ths_adjustment_nv_fund",F$3,$A368))</f>
        <v/>
      </c>
      <c r="G368" s="13" t="str">
        <f>IF($A368="","",[1]!thsiFinD("ths_adjustment_nv_fund",G$3,$A368))</f>
        <v/>
      </c>
      <c r="H368" s="13" t="str">
        <f>IF($A368="","",[1]!thsiFinD("ths_adjustment_nv_fund",H$3,$A368))</f>
        <v/>
      </c>
      <c r="I368" s="13" t="str">
        <f>IF($A368="","",[1]!thsiFinD("ths_adjustment_nv_fund",I$3,$A368))</f>
        <v/>
      </c>
      <c r="J368" s="13" t="str">
        <f>IF($A368="","",[1]!thsiFinD("ths_adjustment_nv_fund",J$3,$A368))</f>
        <v/>
      </c>
      <c r="K368" s="13" t="str">
        <f>IF($A368="","",[1]!thsiFinD("ths_adjustment_nv_fund",K$3,$A368))</f>
        <v/>
      </c>
      <c r="L368" s="13" t="str">
        <f>IF($A368="","",[1]!thsiFinD("ths_adjustment_nv_fund",L$3,$A368))</f>
        <v/>
      </c>
      <c r="M368" s="13" t="str">
        <f>IF($A368="","",[1]!thsiFinD("ths_adjustment_nv_fund",M$3,$A368))</f>
        <v/>
      </c>
      <c r="N368" s="13" t="str">
        <f>IF($A368="","",[1]!thsiFinD("ths_adjustment_nv_fund",N$3,$A368))</f>
        <v/>
      </c>
      <c r="O368" s="13" t="str">
        <f>IF($A368="","",[1]!thsiFinD("ths_adjustment_nv_fund",O$3,$A368))</f>
        <v/>
      </c>
      <c r="P368" s="13" t="str">
        <f>IF($A368="","",[1]!thsiFinD("ths_adjustment_nv_fund",P$3,$A368))</f>
        <v/>
      </c>
      <c r="Q368" s="13" t="str">
        <f>IF($A368="","",[1]!thsiFinD("ths_adjustment_nv_fund",Q$3,$A368))</f>
        <v/>
      </c>
      <c r="R368" s="13" t="str">
        <f>IF($A368="","",[1]!thsiFinD("ths_adjustment_nv_fund",R$3,$A368))</f>
        <v/>
      </c>
      <c r="S368" s="13" t="str">
        <f>IF($A368="","",[1]!thsiFinD("ths_adjustment_nv_fund",S$3,$A368))</f>
        <v/>
      </c>
      <c r="T368" s="13" t="str">
        <f>IF($A368="","",[1]!thsiFinD("ths_adjustment_nv_fund",T$3,$A368))</f>
        <v/>
      </c>
      <c r="U368" s="13" t="str">
        <f>IF($A368="","",[1]!thsiFinD("ths_adjustment_nv_fund",U$3,$A368))</f>
        <v/>
      </c>
      <c r="V368" s="13" t="str">
        <f>IF($A368="","",[1]!thsiFinD("ths_adjustment_nv_fund",V$3,$A368))</f>
        <v/>
      </c>
      <c r="W368" s="13" t="str">
        <f>IF($A368="","",[1]!thsiFinD("ths_adjustment_nv_fund",W$3,$A368))</f>
        <v/>
      </c>
      <c r="X368" s="13" t="str">
        <f>IF($A368="","",[1]!thsiFinD("ths_adjustment_nv_fund",X$3,$A368))</f>
        <v/>
      </c>
      <c r="Y368" s="13" t="str">
        <f>IF($A368="","",[1]!thsiFinD("ths_adjustment_nv_fund",Y$3,$A368))</f>
        <v/>
      </c>
      <c r="Z368" s="13" t="str">
        <f>IF($A368="","",[1]!thsiFinD("ths_adjustment_nv_fund",Z$3,$A368))</f>
        <v/>
      </c>
      <c r="AA368" s="13" t="str">
        <f>IF($A368="","",[1]!thsiFinD("ths_adjustment_nv_fund",AA$3,$A368))</f>
        <v/>
      </c>
      <c r="AB368" s="13">
        <f>IF($A368="","",[1]!thsiFinD("ths_adjustment_nv_fund",AB$3,$A368))</f>
        <v/>
      </c>
      <c r="AC368" s="13">
        <f>IF($A368="","",[1]!thsiFinD("ths_adjustment_nv_fund",AC$3,$A368))</f>
        <v/>
      </c>
      <c r="AD368" s="13">
        <f>IF($A368="","",[1]!thsiFinD("ths_adjustment_nv_fund",AD$3,$A368))</f>
        <v/>
      </c>
      <c r="AE368" s="13">
        <f>IF($A368="","",[1]!thsiFinD("ths_adjustment_nv_fund",AE$3,$A368))</f>
        <v/>
      </c>
      <c r="AF368" s="13">
        <f>IF($A368="","",[1]!thsiFinD("ths_adjustment_nv_fund",AF$3,$A368))</f>
        <v/>
      </c>
      <c r="AG368" s="13">
        <f>IF($A368="","",[1]!thsiFinD("ths_adjustment_nv_fund",AG$3,$A368))</f>
        <v/>
      </c>
      <c r="AH368" s="13">
        <f>IF($A368="","",[1]!thsiFinD("ths_adjustment_nv_fund",AH$3,$A368))</f>
        <v/>
      </c>
      <c r="AI368" s="13">
        <f>IF($A368="","",[1]!thsiFinD("ths_adjustment_nv_fund",AI$3,$A368))</f>
        <v/>
      </c>
      <c r="AJ368" s="13">
        <f>IF($A368="","",[1]!thsiFinD("ths_adjustment_nv_fund",AJ$3,$A368))</f>
        <v/>
      </c>
      <c r="AK368" s="13">
        <f>IF($A368="","",[1]!thsiFinD("ths_adjustment_nv_fund",AK$3,$A368))</f>
        <v/>
      </c>
      <c r="AL368" s="13">
        <f>IF($A368="","",[1]!thsiFinD("ths_adjustment_nv_fund",AL$3,$A368))</f>
        <v/>
      </c>
    </row>
    <row r="369" spans="2:28">
      <c r="B369" s="13" t="str">
        <f>IF($A369="","",[1]!thsiFinD("ths_adjustment_nv_fund",B$3,$A369))</f>
        <v/>
      </c>
      <c r="C369" s="13" t="str">
        <f>IF($A369="","",[1]!thsiFinD("ths_adjustment_nv_fund",C$3,$A369))</f>
        <v/>
      </c>
      <c r="D369" s="13" t="str">
        <f>IF($A369="","",[1]!thsiFinD("ths_adjustment_nv_fund",D$3,$A369))</f>
        <v/>
      </c>
      <c r="E369" s="13" t="str">
        <f>IF($A369="","",[1]!thsiFinD("ths_adjustment_nv_fund",E$3,$A369))</f>
        <v/>
      </c>
      <c r="F369" s="13" t="str">
        <f>IF($A369="","",[1]!thsiFinD("ths_adjustment_nv_fund",F$3,$A369))</f>
        <v/>
      </c>
      <c r="G369" s="13" t="str">
        <f>IF($A369="","",[1]!thsiFinD("ths_adjustment_nv_fund",G$3,$A369))</f>
        <v/>
      </c>
      <c r="H369" s="13" t="str">
        <f>IF($A369="","",[1]!thsiFinD("ths_adjustment_nv_fund",H$3,$A369))</f>
        <v/>
      </c>
      <c r="I369" s="13" t="str">
        <f>IF($A369="","",[1]!thsiFinD("ths_adjustment_nv_fund",I$3,$A369))</f>
        <v/>
      </c>
      <c r="J369" s="13" t="str">
        <f>IF($A369="","",[1]!thsiFinD("ths_adjustment_nv_fund",J$3,$A369))</f>
        <v/>
      </c>
      <c r="K369" s="13" t="str">
        <f>IF($A369="","",[1]!thsiFinD("ths_adjustment_nv_fund",K$3,$A369))</f>
        <v/>
      </c>
      <c r="L369" s="13" t="str">
        <f>IF($A369="","",[1]!thsiFinD("ths_adjustment_nv_fund",L$3,$A369))</f>
        <v/>
      </c>
      <c r="M369" s="13" t="str">
        <f>IF($A369="","",[1]!thsiFinD("ths_adjustment_nv_fund",M$3,$A369))</f>
        <v/>
      </c>
      <c r="N369" s="13" t="str">
        <f>IF($A369="","",[1]!thsiFinD("ths_adjustment_nv_fund",N$3,$A369))</f>
        <v/>
      </c>
      <c r="O369" s="13" t="str">
        <f>IF($A369="","",[1]!thsiFinD("ths_adjustment_nv_fund",O$3,$A369))</f>
        <v/>
      </c>
      <c r="P369" s="13" t="str">
        <f>IF($A369="","",[1]!thsiFinD("ths_adjustment_nv_fund",P$3,$A369))</f>
        <v/>
      </c>
      <c r="Q369" s="13" t="str">
        <f>IF($A369="","",[1]!thsiFinD("ths_adjustment_nv_fund",Q$3,$A369))</f>
        <v/>
      </c>
      <c r="R369" s="13" t="str">
        <f>IF($A369="","",[1]!thsiFinD("ths_adjustment_nv_fund",R$3,$A369))</f>
        <v/>
      </c>
      <c r="S369" s="13" t="str">
        <f>IF($A369="","",[1]!thsiFinD("ths_adjustment_nv_fund",S$3,$A369))</f>
        <v/>
      </c>
      <c r="T369" s="13" t="str">
        <f>IF($A369="","",[1]!thsiFinD("ths_adjustment_nv_fund",T$3,$A369))</f>
        <v/>
      </c>
      <c r="U369" s="13" t="str">
        <f>IF($A369="","",[1]!thsiFinD("ths_adjustment_nv_fund",U$3,$A369))</f>
        <v/>
      </c>
      <c r="V369" s="13" t="str">
        <f>IF($A369="","",[1]!thsiFinD("ths_adjustment_nv_fund",V$3,$A369))</f>
        <v/>
      </c>
      <c r="W369" s="13" t="str">
        <f>IF($A369="","",[1]!thsiFinD("ths_adjustment_nv_fund",W$3,$A369))</f>
        <v/>
      </c>
      <c r="X369" s="13" t="str">
        <f>IF($A369="","",[1]!thsiFinD("ths_adjustment_nv_fund",X$3,$A369))</f>
        <v/>
      </c>
      <c r="Y369" s="13" t="str">
        <f>IF($A369="","",[1]!thsiFinD("ths_adjustment_nv_fund",Y$3,$A369))</f>
        <v/>
      </c>
      <c r="Z369" s="13" t="str">
        <f>IF($A369="","",[1]!thsiFinD("ths_adjustment_nv_fund",Z$3,$A369))</f>
        <v/>
      </c>
      <c r="AA369" s="13" t="str">
        <f>IF($A369="","",[1]!thsiFinD("ths_adjustment_nv_fund",AA$3,$A369))</f>
        <v/>
      </c>
      <c r="AB369" s="13">
        <f>IF($A369="","",[1]!thsiFinD("ths_adjustment_nv_fund",AB$3,$A369))</f>
        <v/>
      </c>
      <c r="AC369" s="13">
        <f>IF($A369="","",[1]!thsiFinD("ths_adjustment_nv_fund",AC$3,$A369))</f>
        <v/>
      </c>
      <c r="AD369" s="13">
        <f>IF($A369="","",[1]!thsiFinD("ths_adjustment_nv_fund",AD$3,$A369))</f>
        <v/>
      </c>
      <c r="AE369" s="13">
        <f>IF($A369="","",[1]!thsiFinD("ths_adjustment_nv_fund",AE$3,$A369))</f>
        <v/>
      </c>
      <c r="AF369" s="13">
        <f>IF($A369="","",[1]!thsiFinD("ths_adjustment_nv_fund",AF$3,$A369))</f>
        <v/>
      </c>
      <c r="AG369" s="13">
        <f>IF($A369="","",[1]!thsiFinD("ths_adjustment_nv_fund",AG$3,$A369))</f>
        <v/>
      </c>
      <c r="AH369" s="13">
        <f>IF($A369="","",[1]!thsiFinD("ths_adjustment_nv_fund",AH$3,$A369))</f>
        <v/>
      </c>
      <c r="AI369" s="13">
        <f>IF($A369="","",[1]!thsiFinD("ths_adjustment_nv_fund",AI$3,$A369))</f>
        <v/>
      </c>
      <c r="AJ369" s="13">
        <f>IF($A369="","",[1]!thsiFinD("ths_adjustment_nv_fund",AJ$3,$A369))</f>
        <v/>
      </c>
      <c r="AK369" s="13">
        <f>IF($A369="","",[1]!thsiFinD("ths_adjustment_nv_fund",AK$3,$A369))</f>
        <v/>
      </c>
      <c r="AL369" s="13">
        <f>IF($A369="","",[1]!thsiFinD("ths_adjustment_nv_fund",AL$3,$A369))</f>
        <v/>
      </c>
    </row>
    <row r="370" spans="2:28">
      <c r="B370" s="13" t="str">
        <f>IF($A370="","",[1]!thsiFinD("ths_adjustment_nv_fund",B$3,$A370))</f>
        <v/>
      </c>
      <c r="C370" s="13" t="str">
        <f>IF($A370="","",[1]!thsiFinD("ths_adjustment_nv_fund",C$3,$A370))</f>
        <v/>
      </c>
      <c r="D370" s="13" t="str">
        <f>IF($A370="","",[1]!thsiFinD("ths_adjustment_nv_fund",D$3,$A370))</f>
        <v/>
      </c>
      <c r="E370" s="13" t="str">
        <f>IF($A370="","",[1]!thsiFinD("ths_adjustment_nv_fund",E$3,$A370))</f>
        <v/>
      </c>
      <c r="F370" s="13" t="str">
        <f>IF($A370="","",[1]!thsiFinD("ths_adjustment_nv_fund",F$3,$A370))</f>
        <v/>
      </c>
      <c r="G370" s="13" t="str">
        <f>IF($A370="","",[1]!thsiFinD("ths_adjustment_nv_fund",G$3,$A370))</f>
        <v/>
      </c>
      <c r="H370" s="13" t="str">
        <f>IF($A370="","",[1]!thsiFinD("ths_adjustment_nv_fund",H$3,$A370))</f>
        <v/>
      </c>
      <c r="I370" s="13" t="str">
        <f>IF($A370="","",[1]!thsiFinD("ths_adjustment_nv_fund",I$3,$A370))</f>
        <v/>
      </c>
      <c r="J370" s="13" t="str">
        <f>IF($A370="","",[1]!thsiFinD("ths_adjustment_nv_fund",J$3,$A370))</f>
        <v/>
      </c>
      <c r="K370" s="13" t="str">
        <f>IF($A370="","",[1]!thsiFinD("ths_adjustment_nv_fund",K$3,$A370))</f>
        <v/>
      </c>
      <c r="L370" s="13" t="str">
        <f>IF($A370="","",[1]!thsiFinD("ths_adjustment_nv_fund",L$3,$A370))</f>
        <v/>
      </c>
      <c r="M370" s="13" t="str">
        <f>IF($A370="","",[1]!thsiFinD("ths_adjustment_nv_fund",M$3,$A370))</f>
        <v/>
      </c>
      <c r="N370" s="13" t="str">
        <f>IF($A370="","",[1]!thsiFinD("ths_adjustment_nv_fund",N$3,$A370))</f>
        <v/>
      </c>
      <c r="O370" s="13" t="str">
        <f>IF($A370="","",[1]!thsiFinD("ths_adjustment_nv_fund",O$3,$A370))</f>
        <v/>
      </c>
      <c r="P370" s="13" t="str">
        <f>IF($A370="","",[1]!thsiFinD("ths_adjustment_nv_fund",P$3,$A370))</f>
        <v/>
      </c>
      <c r="Q370" s="13" t="str">
        <f>IF($A370="","",[1]!thsiFinD("ths_adjustment_nv_fund",Q$3,$A370))</f>
        <v/>
      </c>
      <c r="R370" s="13" t="str">
        <f>IF($A370="","",[1]!thsiFinD("ths_adjustment_nv_fund",R$3,$A370))</f>
        <v/>
      </c>
      <c r="S370" s="13" t="str">
        <f>IF($A370="","",[1]!thsiFinD("ths_adjustment_nv_fund",S$3,$A370))</f>
        <v/>
      </c>
      <c r="T370" s="13" t="str">
        <f>IF($A370="","",[1]!thsiFinD("ths_adjustment_nv_fund",T$3,$A370))</f>
        <v/>
      </c>
      <c r="U370" s="13" t="str">
        <f>IF($A370="","",[1]!thsiFinD("ths_adjustment_nv_fund",U$3,$A370))</f>
        <v/>
      </c>
      <c r="V370" s="13" t="str">
        <f>IF($A370="","",[1]!thsiFinD("ths_adjustment_nv_fund",V$3,$A370))</f>
        <v/>
      </c>
      <c r="W370" s="13" t="str">
        <f>IF($A370="","",[1]!thsiFinD("ths_adjustment_nv_fund",W$3,$A370))</f>
        <v/>
      </c>
      <c r="X370" s="13" t="str">
        <f>IF($A370="","",[1]!thsiFinD("ths_adjustment_nv_fund",X$3,$A370))</f>
        <v/>
      </c>
      <c r="Y370" s="13" t="str">
        <f>IF($A370="","",[1]!thsiFinD("ths_adjustment_nv_fund",Y$3,$A370))</f>
        <v/>
      </c>
      <c r="Z370" s="13" t="str">
        <f>IF($A370="","",[1]!thsiFinD("ths_adjustment_nv_fund",Z$3,$A370))</f>
        <v/>
      </c>
      <c r="AA370" s="13" t="str">
        <f>IF($A370="","",[1]!thsiFinD("ths_adjustment_nv_fund",AA$3,$A370))</f>
        <v/>
      </c>
      <c r="AB370" s="13">
        <f>IF($A370="","",[1]!thsiFinD("ths_adjustment_nv_fund",AB$3,$A370))</f>
        <v/>
      </c>
      <c r="AC370" s="13">
        <f>IF($A370="","",[1]!thsiFinD("ths_adjustment_nv_fund",AC$3,$A370))</f>
        <v/>
      </c>
      <c r="AD370" s="13">
        <f>IF($A370="","",[1]!thsiFinD("ths_adjustment_nv_fund",AD$3,$A370))</f>
        <v/>
      </c>
      <c r="AE370" s="13">
        <f>IF($A370="","",[1]!thsiFinD("ths_adjustment_nv_fund",AE$3,$A370))</f>
        <v/>
      </c>
      <c r="AF370" s="13">
        <f>IF($A370="","",[1]!thsiFinD("ths_adjustment_nv_fund",AF$3,$A370))</f>
        <v/>
      </c>
      <c r="AG370" s="13">
        <f>IF($A370="","",[1]!thsiFinD("ths_adjustment_nv_fund",AG$3,$A370))</f>
        <v/>
      </c>
      <c r="AH370" s="13">
        <f>IF($A370="","",[1]!thsiFinD("ths_adjustment_nv_fund",AH$3,$A370))</f>
        <v/>
      </c>
      <c r="AI370" s="13">
        <f>IF($A370="","",[1]!thsiFinD("ths_adjustment_nv_fund",AI$3,$A370))</f>
        <v/>
      </c>
      <c r="AJ370" s="13">
        <f>IF($A370="","",[1]!thsiFinD("ths_adjustment_nv_fund",AJ$3,$A370))</f>
        <v/>
      </c>
      <c r="AK370" s="13">
        <f>IF($A370="","",[1]!thsiFinD("ths_adjustment_nv_fund",AK$3,$A370))</f>
        <v/>
      </c>
      <c r="AL370" s="13">
        <f>IF($A370="","",[1]!thsiFinD("ths_adjustment_nv_fund",AL$3,$A370))</f>
        <v/>
      </c>
    </row>
    <row r="371" spans="2:28">
      <c r="B371" s="13" t="str">
        <f>IF($A371="","",[1]!thsiFinD("ths_adjustment_nv_fund",B$3,$A371))</f>
        <v/>
      </c>
      <c r="C371" s="13" t="str">
        <f>IF($A371="","",[1]!thsiFinD("ths_adjustment_nv_fund",C$3,$A371))</f>
        <v/>
      </c>
      <c r="D371" s="13" t="str">
        <f>IF($A371="","",[1]!thsiFinD("ths_adjustment_nv_fund",D$3,$A371))</f>
        <v/>
      </c>
      <c r="E371" s="13" t="str">
        <f>IF($A371="","",[1]!thsiFinD("ths_adjustment_nv_fund",E$3,$A371))</f>
        <v/>
      </c>
      <c r="F371" s="13" t="str">
        <f>IF($A371="","",[1]!thsiFinD("ths_adjustment_nv_fund",F$3,$A371))</f>
        <v/>
      </c>
      <c r="G371" s="13" t="str">
        <f>IF($A371="","",[1]!thsiFinD("ths_adjustment_nv_fund",G$3,$A371))</f>
        <v/>
      </c>
      <c r="H371" s="13" t="str">
        <f>IF($A371="","",[1]!thsiFinD("ths_adjustment_nv_fund",H$3,$A371))</f>
        <v/>
      </c>
      <c r="I371" s="13" t="str">
        <f>IF($A371="","",[1]!thsiFinD("ths_adjustment_nv_fund",I$3,$A371))</f>
        <v/>
      </c>
      <c r="J371" s="13" t="str">
        <f>IF($A371="","",[1]!thsiFinD("ths_adjustment_nv_fund",J$3,$A371))</f>
        <v/>
      </c>
      <c r="K371" s="13" t="str">
        <f>IF($A371="","",[1]!thsiFinD("ths_adjustment_nv_fund",K$3,$A371))</f>
        <v/>
      </c>
      <c r="L371" s="13" t="str">
        <f>IF($A371="","",[1]!thsiFinD("ths_adjustment_nv_fund",L$3,$A371))</f>
        <v/>
      </c>
      <c r="M371" s="13" t="str">
        <f>IF($A371="","",[1]!thsiFinD("ths_adjustment_nv_fund",M$3,$A371))</f>
        <v/>
      </c>
      <c r="N371" s="13" t="str">
        <f>IF($A371="","",[1]!thsiFinD("ths_adjustment_nv_fund",N$3,$A371))</f>
        <v/>
      </c>
      <c r="O371" s="13" t="str">
        <f>IF($A371="","",[1]!thsiFinD("ths_adjustment_nv_fund",O$3,$A371))</f>
        <v/>
      </c>
      <c r="P371" s="13" t="str">
        <f>IF($A371="","",[1]!thsiFinD("ths_adjustment_nv_fund",P$3,$A371))</f>
        <v/>
      </c>
      <c r="Q371" s="13" t="str">
        <f>IF($A371="","",[1]!thsiFinD("ths_adjustment_nv_fund",Q$3,$A371))</f>
        <v/>
      </c>
      <c r="R371" s="13" t="str">
        <f>IF($A371="","",[1]!thsiFinD("ths_adjustment_nv_fund",R$3,$A371))</f>
        <v/>
      </c>
      <c r="S371" s="13" t="str">
        <f>IF($A371="","",[1]!thsiFinD("ths_adjustment_nv_fund",S$3,$A371))</f>
        <v/>
      </c>
      <c r="T371" s="13" t="str">
        <f>IF($A371="","",[1]!thsiFinD("ths_adjustment_nv_fund",T$3,$A371))</f>
        <v/>
      </c>
      <c r="U371" s="13" t="str">
        <f>IF($A371="","",[1]!thsiFinD("ths_adjustment_nv_fund",U$3,$A371))</f>
        <v/>
      </c>
      <c r="V371" s="13" t="str">
        <f>IF($A371="","",[1]!thsiFinD("ths_adjustment_nv_fund",V$3,$A371))</f>
        <v/>
      </c>
      <c r="W371" s="13" t="str">
        <f>IF($A371="","",[1]!thsiFinD("ths_adjustment_nv_fund",W$3,$A371))</f>
        <v/>
      </c>
      <c r="X371" s="13" t="str">
        <f>IF($A371="","",[1]!thsiFinD("ths_adjustment_nv_fund",X$3,$A371))</f>
        <v/>
      </c>
      <c r="Y371" s="13" t="str">
        <f>IF($A371="","",[1]!thsiFinD("ths_adjustment_nv_fund",Y$3,$A371))</f>
        <v/>
      </c>
      <c r="Z371" s="13" t="str">
        <f>IF($A371="","",[1]!thsiFinD("ths_adjustment_nv_fund",Z$3,$A371))</f>
        <v/>
      </c>
      <c r="AA371" s="13" t="str">
        <f>IF($A371="","",[1]!thsiFinD("ths_adjustment_nv_fund",AA$3,$A371))</f>
        <v/>
      </c>
      <c r="AB371" s="13">
        <f>IF($A371="","",[1]!thsiFinD("ths_adjustment_nv_fund",AB$3,$A371))</f>
        <v/>
      </c>
      <c r="AC371" s="13">
        <f>IF($A371="","",[1]!thsiFinD("ths_adjustment_nv_fund",AC$3,$A371))</f>
        <v/>
      </c>
      <c r="AD371" s="13">
        <f>IF($A371="","",[1]!thsiFinD("ths_adjustment_nv_fund",AD$3,$A371))</f>
        <v/>
      </c>
      <c r="AE371" s="13">
        <f>IF($A371="","",[1]!thsiFinD("ths_adjustment_nv_fund",AE$3,$A371))</f>
        <v/>
      </c>
      <c r="AF371" s="13">
        <f>IF($A371="","",[1]!thsiFinD("ths_adjustment_nv_fund",AF$3,$A371))</f>
        <v/>
      </c>
      <c r="AG371" s="13">
        <f>IF($A371="","",[1]!thsiFinD("ths_adjustment_nv_fund",AG$3,$A371))</f>
        <v/>
      </c>
      <c r="AH371" s="13">
        <f>IF($A371="","",[1]!thsiFinD("ths_adjustment_nv_fund",AH$3,$A371))</f>
        <v/>
      </c>
      <c r="AI371" s="13">
        <f>IF($A371="","",[1]!thsiFinD("ths_adjustment_nv_fund",AI$3,$A371))</f>
        <v/>
      </c>
      <c r="AJ371" s="13">
        <f>IF($A371="","",[1]!thsiFinD("ths_adjustment_nv_fund",AJ$3,$A371))</f>
        <v/>
      </c>
      <c r="AK371" s="13">
        <f>IF($A371="","",[1]!thsiFinD("ths_adjustment_nv_fund",AK$3,$A371))</f>
        <v/>
      </c>
      <c r="AL371" s="13">
        <f>IF($A371="","",[1]!thsiFinD("ths_adjustment_nv_fund",AL$3,$A371))</f>
        <v/>
      </c>
    </row>
    <row r="372" spans="2:28">
      <c r="B372" s="13" t="str">
        <f>IF($A372="","",[1]!thsiFinD("ths_adjustment_nv_fund",B$3,$A372))</f>
        <v/>
      </c>
      <c r="C372" s="13" t="str">
        <f>IF($A372="","",[1]!thsiFinD("ths_adjustment_nv_fund",C$3,$A372))</f>
        <v/>
      </c>
      <c r="D372" s="13" t="str">
        <f>IF($A372="","",[1]!thsiFinD("ths_adjustment_nv_fund",D$3,$A372))</f>
        <v/>
      </c>
      <c r="E372" s="13" t="str">
        <f>IF($A372="","",[1]!thsiFinD("ths_adjustment_nv_fund",E$3,$A372))</f>
        <v/>
      </c>
      <c r="F372" s="13" t="str">
        <f>IF($A372="","",[1]!thsiFinD("ths_adjustment_nv_fund",F$3,$A372))</f>
        <v/>
      </c>
      <c r="G372" s="13" t="str">
        <f>IF($A372="","",[1]!thsiFinD("ths_adjustment_nv_fund",G$3,$A372))</f>
        <v/>
      </c>
      <c r="H372" s="13" t="str">
        <f>IF($A372="","",[1]!thsiFinD("ths_adjustment_nv_fund",H$3,$A372))</f>
        <v/>
      </c>
      <c r="I372" s="13" t="str">
        <f>IF($A372="","",[1]!thsiFinD("ths_adjustment_nv_fund",I$3,$A372))</f>
        <v/>
      </c>
      <c r="J372" s="13" t="str">
        <f>IF($A372="","",[1]!thsiFinD("ths_adjustment_nv_fund",J$3,$A372))</f>
        <v/>
      </c>
      <c r="K372" s="13" t="str">
        <f>IF($A372="","",[1]!thsiFinD("ths_adjustment_nv_fund",K$3,$A372))</f>
        <v/>
      </c>
      <c r="L372" s="13" t="str">
        <f>IF($A372="","",[1]!thsiFinD("ths_adjustment_nv_fund",L$3,$A372))</f>
        <v/>
      </c>
      <c r="M372" s="13" t="str">
        <f>IF($A372="","",[1]!thsiFinD("ths_adjustment_nv_fund",M$3,$A372))</f>
        <v/>
      </c>
      <c r="N372" s="13" t="str">
        <f>IF($A372="","",[1]!thsiFinD("ths_adjustment_nv_fund",N$3,$A372))</f>
        <v/>
      </c>
      <c r="O372" s="13" t="str">
        <f>IF($A372="","",[1]!thsiFinD("ths_adjustment_nv_fund",O$3,$A372))</f>
        <v/>
      </c>
      <c r="P372" s="13" t="str">
        <f>IF($A372="","",[1]!thsiFinD("ths_adjustment_nv_fund",P$3,$A372))</f>
        <v/>
      </c>
      <c r="Q372" s="13" t="str">
        <f>IF($A372="","",[1]!thsiFinD("ths_adjustment_nv_fund",Q$3,$A372))</f>
        <v/>
      </c>
      <c r="R372" s="13" t="str">
        <f>IF($A372="","",[1]!thsiFinD("ths_adjustment_nv_fund",R$3,$A372))</f>
        <v/>
      </c>
      <c r="S372" s="13" t="str">
        <f>IF($A372="","",[1]!thsiFinD("ths_adjustment_nv_fund",S$3,$A372))</f>
        <v/>
      </c>
      <c r="T372" s="13" t="str">
        <f>IF($A372="","",[1]!thsiFinD("ths_adjustment_nv_fund",T$3,$A372))</f>
        <v/>
      </c>
      <c r="U372" s="13" t="str">
        <f>IF($A372="","",[1]!thsiFinD("ths_adjustment_nv_fund",U$3,$A372))</f>
        <v/>
      </c>
      <c r="V372" s="13" t="str">
        <f>IF($A372="","",[1]!thsiFinD("ths_adjustment_nv_fund",V$3,$A372))</f>
        <v/>
      </c>
      <c r="W372" s="13" t="str">
        <f>IF($A372="","",[1]!thsiFinD("ths_adjustment_nv_fund",W$3,$A372))</f>
        <v/>
      </c>
      <c r="X372" s="13" t="str">
        <f>IF($A372="","",[1]!thsiFinD("ths_adjustment_nv_fund",X$3,$A372))</f>
        <v/>
      </c>
      <c r="Y372" s="13" t="str">
        <f>IF($A372="","",[1]!thsiFinD("ths_adjustment_nv_fund",Y$3,$A372))</f>
        <v/>
      </c>
      <c r="Z372" s="13" t="str">
        <f>IF($A372="","",[1]!thsiFinD("ths_adjustment_nv_fund",Z$3,$A372))</f>
        <v/>
      </c>
      <c r="AA372" s="13" t="str">
        <f>IF($A372="","",[1]!thsiFinD("ths_adjustment_nv_fund",AA$3,$A372))</f>
        <v/>
      </c>
      <c r="AB372" s="13">
        <f>IF($A372="","",[1]!thsiFinD("ths_adjustment_nv_fund",AB$3,$A372))</f>
        <v/>
      </c>
      <c r="AC372" s="13">
        <f>IF($A372="","",[1]!thsiFinD("ths_adjustment_nv_fund",AC$3,$A372))</f>
        <v/>
      </c>
      <c r="AD372" s="13">
        <f>IF($A372="","",[1]!thsiFinD("ths_adjustment_nv_fund",AD$3,$A372))</f>
        <v/>
      </c>
      <c r="AE372" s="13">
        <f>IF($A372="","",[1]!thsiFinD("ths_adjustment_nv_fund",AE$3,$A372))</f>
        <v/>
      </c>
      <c r="AF372" s="13">
        <f>IF($A372="","",[1]!thsiFinD("ths_adjustment_nv_fund",AF$3,$A372))</f>
        <v/>
      </c>
      <c r="AG372" s="13">
        <f>IF($A372="","",[1]!thsiFinD("ths_adjustment_nv_fund",AG$3,$A372))</f>
        <v/>
      </c>
      <c r="AH372" s="13">
        <f>IF($A372="","",[1]!thsiFinD("ths_adjustment_nv_fund",AH$3,$A372))</f>
        <v/>
      </c>
      <c r="AI372" s="13">
        <f>IF($A372="","",[1]!thsiFinD("ths_adjustment_nv_fund",AI$3,$A372))</f>
        <v/>
      </c>
      <c r="AJ372" s="13">
        <f>IF($A372="","",[1]!thsiFinD("ths_adjustment_nv_fund",AJ$3,$A372))</f>
        <v/>
      </c>
      <c r="AK372" s="13">
        <f>IF($A372="","",[1]!thsiFinD("ths_adjustment_nv_fund",AK$3,$A372))</f>
        <v/>
      </c>
      <c r="AL372" s="13">
        <f>IF($A372="","",[1]!thsiFinD("ths_adjustment_nv_fund",AL$3,$A372))</f>
        <v/>
      </c>
    </row>
    <row r="373" spans="2:28">
      <c r="B373" s="13" t="str">
        <f>IF($A373="","",[1]!thsiFinD("ths_adjustment_nv_fund",B$3,$A373))</f>
        <v/>
      </c>
      <c r="C373" s="13" t="str">
        <f>IF($A373="","",[1]!thsiFinD("ths_adjustment_nv_fund",C$3,$A373))</f>
        <v/>
      </c>
      <c r="D373" s="13" t="str">
        <f>IF($A373="","",[1]!thsiFinD("ths_adjustment_nv_fund",D$3,$A373))</f>
        <v/>
      </c>
      <c r="E373" s="13" t="str">
        <f>IF($A373="","",[1]!thsiFinD("ths_adjustment_nv_fund",E$3,$A373))</f>
        <v/>
      </c>
      <c r="F373" s="13" t="str">
        <f>IF($A373="","",[1]!thsiFinD("ths_adjustment_nv_fund",F$3,$A373))</f>
        <v/>
      </c>
      <c r="G373" s="13" t="str">
        <f>IF($A373="","",[1]!thsiFinD("ths_adjustment_nv_fund",G$3,$A373))</f>
        <v/>
      </c>
      <c r="H373" s="13" t="str">
        <f>IF($A373="","",[1]!thsiFinD("ths_adjustment_nv_fund",H$3,$A373))</f>
        <v/>
      </c>
      <c r="I373" s="13" t="str">
        <f>IF($A373="","",[1]!thsiFinD("ths_adjustment_nv_fund",I$3,$A373))</f>
        <v/>
      </c>
      <c r="J373" s="13" t="str">
        <f>IF($A373="","",[1]!thsiFinD("ths_adjustment_nv_fund",J$3,$A373))</f>
        <v/>
      </c>
      <c r="K373" s="13" t="str">
        <f>IF($A373="","",[1]!thsiFinD("ths_adjustment_nv_fund",K$3,$A373))</f>
        <v/>
      </c>
      <c r="L373" s="13" t="str">
        <f>IF($A373="","",[1]!thsiFinD("ths_adjustment_nv_fund",L$3,$A373))</f>
        <v/>
      </c>
      <c r="M373" s="13" t="str">
        <f>IF($A373="","",[1]!thsiFinD("ths_adjustment_nv_fund",M$3,$A373))</f>
        <v/>
      </c>
      <c r="N373" s="13" t="str">
        <f>IF($A373="","",[1]!thsiFinD("ths_adjustment_nv_fund",N$3,$A373))</f>
        <v/>
      </c>
      <c r="O373" s="13" t="str">
        <f>IF($A373="","",[1]!thsiFinD("ths_adjustment_nv_fund",O$3,$A373))</f>
        <v/>
      </c>
      <c r="P373" s="13" t="str">
        <f>IF($A373="","",[1]!thsiFinD("ths_adjustment_nv_fund",P$3,$A373))</f>
        <v/>
      </c>
      <c r="Q373" s="13" t="str">
        <f>IF($A373="","",[1]!thsiFinD("ths_adjustment_nv_fund",Q$3,$A373))</f>
        <v/>
      </c>
      <c r="R373" s="13" t="str">
        <f>IF($A373="","",[1]!thsiFinD("ths_adjustment_nv_fund",R$3,$A373))</f>
        <v/>
      </c>
      <c r="S373" s="13" t="str">
        <f>IF($A373="","",[1]!thsiFinD("ths_adjustment_nv_fund",S$3,$A373))</f>
        <v/>
      </c>
      <c r="T373" s="13" t="str">
        <f>IF($A373="","",[1]!thsiFinD("ths_adjustment_nv_fund",T$3,$A373))</f>
        <v/>
      </c>
      <c r="U373" s="13" t="str">
        <f>IF($A373="","",[1]!thsiFinD("ths_adjustment_nv_fund",U$3,$A373))</f>
        <v/>
      </c>
      <c r="V373" s="13" t="str">
        <f>IF($A373="","",[1]!thsiFinD("ths_adjustment_nv_fund",V$3,$A373))</f>
        <v/>
      </c>
      <c r="W373" s="13" t="str">
        <f>IF($A373="","",[1]!thsiFinD("ths_adjustment_nv_fund",W$3,$A373))</f>
        <v/>
      </c>
      <c r="X373" s="13" t="str">
        <f>IF($A373="","",[1]!thsiFinD("ths_adjustment_nv_fund",X$3,$A373))</f>
        <v/>
      </c>
      <c r="Y373" s="13" t="str">
        <f>IF($A373="","",[1]!thsiFinD("ths_adjustment_nv_fund",Y$3,$A373))</f>
        <v/>
      </c>
      <c r="Z373" s="13" t="str">
        <f>IF($A373="","",[1]!thsiFinD("ths_adjustment_nv_fund",Z$3,$A373))</f>
        <v/>
      </c>
      <c r="AA373" s="13" t="str">
        <f>IF($A373="","",[1]!thsiFinD("ths_adjustment_nv_fund",AA$3,$A373))</f>
        <v/>
      </c>
      <c r="AB373" s="13">
        <f>IF($A373="","",[1]!thsiFinD("ths_adjustment_nv_fund",AB$3,$A373))</f>
        <v/>
      </c>
      <c r="AC373" s="13">
        <f>IF($A373="","",[1]!thsiFinD("ths_adjustment_nv_fund",AC$3,$A373))</f>
        <v/>
      </c>
      <c r="AD373" s="13">
        <f>IF($A373="","",[1]!thsiFinD("ths_adjustment_nv_fund",AD$3,$A373))</f>
        <v/>
      </c>
      <c r="AE373" s="13">
        <f>IF($A373="","",[1]!thsiFinD("ths_adjustment_nv_fund",AE$3,$A373))</f>
        <v/>
      </c>
      <c r="AF373" s="13">
        <f>IF($A373="","",[1]!thsiFinD("ths_adjustment_nv_fund",AF$3,$A373))</f>
        <v/>
      </c>
      <c r="AG373" s="13">
        <f>IF($A373="","",[1]!thsiFinD("ths_adjustment_nv_fund",AG$3,$A373))</f>
        <v/>
      </c>
      <c r="AH373" s="13">
        <f>IF($A373="","",[1]!thsiFinD("ths_adjustment_nv_fund",AH$3,$A373))</f>
        <v/>
      </c>
      <c r="AI373" s="13">
        <f>IF($A373="","",[1]!thsiFinD("ths_adjustment_nv_fund",AI$3,$A373))</f>
        <v/>
      </c>
      <c r="AJ373" s="13">
        <f>IF($A373="","",[1]!thsiFinD("ths_adjustment_nv_fund",AJ$3,$A373))</f>
        <v/>
      </c>
      <c r="AK373" s="13">
        <f>IF($A373="","",[1]!thsiFinD("ths_adjustment_nv_fund",AK$3,$A373))</f>
        <v/>
      </c>
      <c r="AL373" s="13">
        <f>IF($A373="","",[1]!thsiFinD("ths_adjustment_nv_fund",AL$3,$A373))</f>
        <v/>
      </c>
    </row>
    <row r="374" spans="2:28">
      <c r="B374" s="13" t="str">
        <f>IF($A374="","",[1]!thsiFinD("ths_adjustment_nv_fund",B$3,$A374))</f>
        <v/>
      </c>
      <c r="C374" s="13" t="str">
        <f>IF($A374="","",[1]!thsiFinD("ths_adjustment_nv_fund",C$3,$A374))</f>
        <v/>
      </c>
      <c r="D374" s="13" t="str">
        <f>IF($A374="","",[1]!thsiFinD("ths_adjustment_nv_fund",D$3,$A374))</f>
        <v/>
      </c>
      <c r="E374" s="13" t="str">
        <f>IF($A374="","",[1]!thsiFinD("ths_adjustment_nv_fund",E$3,$A374))</f>
        <v/>
      </c>
      <c r="F374" s="13" t="str">
        <f>IF($A374="","",[1]!thsiFinD("ths_adjustment_nv_fund",F$3,$A374))</f>
        <v/>
      </c>
      <c r="G374" s="13" t="str">
        <f>IF($A374="","",[1]!thsiFinD("ths_adjustment_nv_fund",G$3,$A374))</f>
        <v/>
      </c>
      <c r="H374" s="13" t="str">
        <f>IF($A374="","",[1]!thsiFinD("ths_adjustment_nv_fund",H$3,$A374))</f>
        <v/>
      </c>
      <c r="I374" s="13" t="str">
        <f>IF($A374="","",[1]!thsiFinD("ths_adjustment_nv_fund",I$3,$A374))</f>
        <v/>
      </c>
      <c r="J374" s="13" t="str">
        <f>IF($A374="","",[1]!thsiFinD("ths_adjustment_nv_fund",J$3,$A374))</f>
        <v/>
      </c>
      <c r="K374" s="13" t="str">
        <f>IF($A374="","",[1]!thsiFinD("ths_adjustment_nv_fund",K$3,$A374))</f>
        <v/>
      </c>
      <c r="L374" s="13" t="str">
        <f>IF($A374="","",[1]!thsiFinD("ths_adjustment_nv_fund",L$3,$A374))</f>
        <v/>
      </c>
      <c r="M374" s="13" t="str">
        <f>IF($A374="","",[1]!thsiFinD("ths_adjustment_nv_fund",M$3,$A374))</f>
        <v/>
      </c>
      <c r="N374" s="13" t="str">
        <f>IF($A374="","",[1]!thsiFinD("ths_adjustment_nv_fund",N$3,$A374))</f>
        <v/>
      </c>
      <c r="O374" s="13" t="str">
        <f>IF($A374="","",[1]!thsiFinD("ths_adjustment_nv_fund",O$3,$A374))</f>
        <v/>
      </c>
      <c r="P374" s="13" t="str">
        <f>IF($A374="","",[1]!thsiFinD("ths_adjustment_nv_fund",P$3,$A374))</f>
        <v/>
      </c>
      <c r="Q374" s="13" t="str">
        <f>IF($A374="","",[1]!thsiFinD("ths_adjustment_nv_fund",Q$3,$A374))</f>
        <v/>
      </c>
      <c r="R374" s="13" t="str">
        <f>IF($A374="","",[1]!thsiFinD("ths_adjustment_nv_fund",R$3,$A374))</f>
        <v/>
      </c>
      <c r="S374" s="13" t="str">
        <f>IF($A374="","",[1]!thsiFinD("ths_adjustment_nv_fund",S$3,$A374))</f>
        <v/>
      </c>
      <c r="T374" s="13" t="str">
        <f>IF($A374="","",[1]!thsiFinD("ths_adjustment_nv_fund",T$3,$A374))</f>
        <v/>
      </c>
      <c r="U374" s="13" t="str">
        <f>IF($A374="","",[1]!thsiFinD("ths_adjustment_nv_fund",U$3,$A374))</f>
        <v/>
      </c>
      <c r="V374" s="13" t="str">
        <f>IF($A374="","",[1]!thsiFinD("ths_adjustment_nv_fund",V$3,$A374))</f>
        <v/>
      </c>
      <c r="W374" s="13" t="str">
        <f>IF($A374="","",[1]!thsiFinD("ths_adjustment_nv_fund",W$3,$A374))</f>
        <v/>
      </c>
      <c r="X374" s="13" t="str">
        <f>IF($A374="","",[1]!thsiFinD("ths_adjustment_nv_fund",X$3,$A374))</f>
        <v/>
      </c>
      <c r="Y374" s="13" t="str">
        <f>IF($A374="","",[1]!thsiFinD("ths_adjustment_nv_fund",Y$3,$A374))</f>
        <v/>
      </c>
      <c r="Z374" s="13" t="str">
        <f>IF($A374="","",[1]!thsiFinD("ths_adjustment_nv_fund",Z$3,$A374))</f>
        <v/>
      </c>
      <c r="AA374" s="13" t="str">
        <f>IF($A374="","",[1]!thsiFinD("ths_adjustment_nv_fund",AA$3,$A374))</f>
        <v/>
      </c>
      <c r="AB374" s="13">
        <f>IF($A374="","",[1]!thsiFinD("ths_adjustment_nv_fund",AB$3,$A374))</f>
        <v/>
      </c>
      <c r="AC374" s="13">
        <f>IF($A374="","",[1]!thsiFinD("ths_adjustment_nv_fund",AC$3,$A374))</f>
        <v/>
      </c>
      <c r="AD374" s="13">
        <f>IF($A374="","",[1]!thsiFinD("ths_adjustment_nv_fund",AD$3,$A374))</f>
        <v/>
      </c>
      <c r="AE374" s="13">
        <f>IF($A374="","",[1]!thsiFinD("ths_adjustment_nv_fund",AE$3,$A374))</f>
        <v/>
      </c>
      <c r="AF374" s="13">
        <f>IF($A374="","",[1]!thsiFinD("ths_adjustment_nv_fund",AF$3,$A374))</f>
        <v/>
      </c>
      <c r="AG374" s="13">
        <f>IF($A374="","",[1]!thsiFinD("ths_adjustment_nv_fund",AG$3,$A374))</f>
        <v/>
      </c>
      <c r="AH374" s="13">
        <f>IF($A374="","",[1]!thsiFinD("ths_adjustment_nv_fund",AH$3,$A374))</f>
        <v/>
      </c>
      <c r="AI374" s="13">
        <f>IF($A374="","",[1]!thsiFinD("ths_adjustment_nv_fund",AI$3,$A374))</f>
        <v/>
      </c>
      <c r="AJ374" s="13">
        <f>IF($A374="","",[1]!thsiFinD("ths_adjustment_nv_fund",AJ$3,$A374))</f>
        <v/>
      </c>
      <c r="AK374" s="13">
        <f>IF($A374="","",[1]!thsiFinD("ths_adjustment_nv_fund",AK$3,$A374))</f>
        <v/>
      </c>
      <c r="AL374" s="13">
        <f>IF($A374="","",[1]!thsiFinD("ths_adjustment_nv_fund",AL$3,$A374))</f>
        <v/>
      </c>
    </row>
    <row r="375" spans="2:28">
      <c r="B375" s="13" t="str">
        <f>IF($A375="","",[1]!thsiFinD("ths_adjustment_nv_fund",B$3,$A375))</f>
        <v/>
      </c>
      <c r="C375" s="13" t="str">
        <f>IF($A375="","",[1]!thsiFinD("ths_adjustment_nv_fund",C$3,$A375))</f>
        <v/>
      </c>
      <c r="D375" s="13" t="str">
        <f>IF($A375="","",[1]!thsiFinD("ths_adjustment_nv_fund",D$3,$A375))</f>
        <v/>
      </c>
      <c r="E375" s="13" t="str">
        <f>IF($A375="","",[1]!thsiFinD("ths_adjustment_nv_fund",E$3,$A375))</f>
        <v/>
      </c>
      <c r="F375" s="13" t="str">
        <f>IF($A375="","",[1]!thsiFinD("ths_adjustment_nv_fund",F$3,$A375))</f>
        <v/>
      </c>
      <c r="G375" s="13" t="str">
        <f>IF($A375="","",[1]!thsiFinD("ths_adjustment_nv_fund",G$3,$A375))</f>
        <v/>
      </c>
      <c r="H375" s="13" t="str">
        <f>IF($A375="","",[1]!thsiFinD("ths_adjustment_nv_fund",H$3,$A375))</f>
        <v/>
      </c>
      <c r="I375" s="13" t="str">
        <f>IF($A375="","",[1]!thsiFinD("ths_adjustment_nv_fund",I$3,$A375))</f>
        <v/>
      </c>
      <c r="J375" s="13" t="str">
        <f>IF($A375="","",[1]!thsiFinD("ths_adjustment_nv_fund",J$3,$A375))</f>
        <v/>
      </c>
      <c r="K375" s="13" t="str">
        <f>IF($A375="","",[1]!thsiFinD("ths_adjustment_nv_fund",K$3,$A375))</f>
        <v/>
      </c>
      <c r="L375" s="13" t="str">
        <f>IF($A375="","",[1]!thsiFinD("ths_adjustment_nv_fund",L$3,$A375))</f>
        <v/>
      </c>
      <c r="M375" s="13" t="str">
        <f>IF($A375="","",[1]!thsiFinD("ths_adjustment_nv_fund",M$3,$A375))</f>
        <v/>
      </c>
      <c r="N375" s="13" t="str">
        <f>IF($A375="","",[1]!thsiFinD("ths_adjustment_nv_fund",N$3,$A375))</f>
        <v/>
      </c>
      <c r="O375" s="13" t="str">
        <f>IF($A375="","",[1]!thsiFinD("ths_adjustment_nv_fund",O$3,$A375))</f>
        <v/>
      </c>
      <c r="P375" s="13" t="str">
        <f>IF($A375="","",[1]!thsiFinD("ths_adjustment_nv_fund",P$3,$A375))</f>
        <v/>
      </c>
      <c r="Q375" s="13" t="str">
        <f>IF($A375="","",[1]!thsiFinD("ths_adjustment_nv_fund",Q$3,$A375))</f>
        <v/>
      </c>
      <c r="R375" s="13" t="str">
        <f>IF($A375="","",[1]!thsiFinD("ths_adjustment_nv_fund",R$3,$A375))</f>
        <v/>
      </c>
      <c r="S375" s="13" t="str">
        <f>IF($A375="","",[1]!thsiFinD("ths_adjustment_nv_fund",S$3,$A375))</f>
        <v/>
      </c>
      <c r="T375" s="13" t="str">
        <f>IF($A375="","",[1]!thsiFinD("ths_adjustment_nv_fund",T$3,$A375))</f>
        <v/>
      </c>
      <c r="U375" s="13" t="str">
        <f>IF($A375="","",[1]!thsiFinD("ths_adjustment_nv_fund",U$3,$A375))</f>
        <v/>
      </c>
      <c r="V375" s="13" t="str">
        <f>IF($A375="","",[1]!thsiFinD("ths_adjustment_nv_fund",V$3,$A375))</f>
        <v/>
      </c>
      <c r="W375" s="13" t="str">
        <f>IF($A375="","",[1]!thsiFinD("ths_adjustment_nv_fund",W$3,$A375))</f>
        <v/>
      </c>
      <c r="X375" s="13" t="str">
        <f>IF($A375="","",[1]!thsiFinD("ths_adjustment_nv_fund",X$3,$A375))</f>
        <v/>
      </c>
      <c r="Y375" s="13" t="str">
        <f>IF($A375="","",[1]!thsiFinD("ths_adjustment_nv_fund",Y$3,$A375))</f>
        <v/>
      </c>
      <c r="Z375" s="13" t="str">
        <f>IF($A375="","",[1]!thsiFinD("ths_adjustment_nv_fund",Z$3,$A375))</f>
        <v/>
      </c>
      <c r="AA375" s="13" t="str">
        <f>IF($A375="","",[1]!thsiFinD("ths_adjustment_nv_fund",AA$3,$A375))</f>
        <v/>
      </c>
      <c r="AB375" s="13">
        <f>IF($A375="","",[1]!thsiFinD("ths_adjustment_nv_fund",AB$3,$A375))</f>
        <v/>
      </c>
      <c r="AC375" s="13">
        <f>IF($A375="","",[1]!thsiFinD("ths_adjustment_nv_fund",AC$3,$A375))</f>
        <v/>
      </c>
      <c r="AD375" s="13">
        <f>IF($A375="","",[1]!thsiFinD("ths_adjustment_nv_fund",AD$3,$A375))</f>
        <v/>
      </c>
      <c r="AE375" s="13">
        <f>IF($A375="","",[1]!thsiFinD("ths_adjustment_nv_fund",AE$3,$A375))</f>
        <v/>
      </c>
      <c r="AF375" s="13">
        <f>IF($A375="","",[1]!thsiFinD("ths_adjustment_nv_fund",AF$3,$A375))</f>
        <v/>
      </c>
      <c r="AG375" s="13">
        <f>IF($A375="","",[1]!thsiFinD("ths_adjustment_nv_fund",AG$3,$A375))</f>
        <v/>
      </c>
      <c r="AH375" s="13">
        <f>IF($A375="","",[1]!thsiFinD("ths_adjustment_nv_fund",AH$3,$A375))</f>
        <v/>
      </c>
      <c r="AI375" s="13">
        <f>IF($A375="","",[1]!thsiFinD("ths_adjustment_nv_fund",AI$3,$A375))</f>
        <v/>
      </c>
      <c r="AJ375" s="13">
        <f>IF($A375="","",[1]!thsiFinD("ths_adjustment_nv_fund",AJ$3,$A375))</f>
        <v/>
      </c>
      <c r="AK375" s="13">
        <f>IF($A375="","",[1]!thsiFinD("ths_adjustment_nv_fund",AK$3,$A375))</f>
        <v/>
      </c>
      <c r="AL375" s="13">
        <f>IF($A375="","",[1]!thsiFinD("ths_adjustment_nv_fund",AL$3,$A375))</f>
        <v/>
      </c>
    </row>
    <row r="376" spans="2:28">
      <c r="B376" s="13" t="str">
        <f>IF($A376="","",[1]!thsiFinD("ths_adjustment_nv_fund",B$3,$A376))</f>
        <v/>
      </c>
      <c r="C376" s="13" t="str">
        <f>IF($A376="","",[1]!thsiFinD("ths_adjustment_nv_fund",C$3,$A376))</f>
        <v/>
      </c>
      <c r="D376" s="13" t="str">
        <f>IF($A376="","",[1]!thsiFinD("ths_adjustment_nv_fund",D$3,$A376))</f>
        <v/>
      </c>
      <c r="E376" s="13" t="str">
        <f>IF($A376="","",[1]!thsiFinD("ths_adjustment_nv_fund",E$3,$A376))</f>
        <v/>
      </c>
      <c r="F376" s="13" t="str">
        <f>IF($A376="","",[1]!thsiFinD("ths_adjustment_nv_fund",F$3,$A376))</f>
        <v/>
      </c>
      <c r="G376" s="13" t="str">
        <f>IF($A376="","",[1]!thsiFinD("ths_adjustment_nv_fund",G$3,$A376))</f>
        <v/>
      </c>
      <c r="H376" s="13" t="str">
        <f>IF($A376="","",[1]!thsiFinD("ths_adjustment_nv_fund",H$3,$A376))</f>
        <v/>
      </c>
      <c r="I376" s="13" t="str">
        <f>IF($A376="","",[1]!thsiFinD("ths_adjustment_nv_fund",I$3,$A376))</f>
        <v/>
      </c>
      <c r="J376" s="13" t="str">
        <f>IF($A376="","",[1]!thsiFinD("ths_adjustment_nv_fund",J$3,$A376))</f>
        <v/>
      </c>
      <c r="K376" s="13" t="str">
        <f>IF($A376="","",[1]!thsiFinD("ths_adjustment_nv_fund",K$3,$A376))</f>
        <v/>
      </c>
      <c r="L376" s="13" t="str">
        <f>IF($A376="","",[1]!thsiFinD("ths_adjustment_nv_fund",L$3,$A376))</f>
        <v/>
      </c>
      <c r="M376" s="13" t="str">
        <f>IF($A376="","",[1]!thsiFinD("ths_adjustment_nv_fund",M$3,$A376))</f>
        <v/>
      </c>
      <c r="N376" s="13" t="str">
        <f>IF($A376="","",[1]!thsiFinD("ths_adjustment_nv_fund",N$3,$A376))</f>
        <v/>
      </c>
      <c r="O376" s="13" t="str">
        <f>IF($A376="","",[1]!thsiFinD("ths_adjustment_nv_fund",O$3,$A376))</f>
        <v/>
      </c>
      <c r="P376" s="13" t="str">
        <f>IF($A376="","",[1]!thsiFinD("ths_adjustment_nv_fund",P$3,$A376))</f>
        <v/>
      </c>
      <c r="Q376" s="13" t="str">
        <f>IF($A376="","",[1]!thsiFinD("ths_adjustment_nv_fund",Q$3,$A376))</f>
        <v/>
      </c>
      <c r="R376" s="13" t="str">
        <f>IF($A376="","",[1]!thsiFinD("ths_adjustment_nv_fund",R$3,$A376))</f>
        <v/>
      </c>
      <c r="S376" s="13" t="str">
        <f>IF($A376="","",[1]!thsiFinD("ths_adjustment_nv_fund",S$3,$A376))</f>
        <v/>
      </c>
      <c r="T376" s="13" t="str">
        <f>IF($A376="","",[1]!thsiFinD("ths_adjustment_nv_fund",T$3,$A376))</f>
        <v/>
      </c>
      <c r="U376" s="13" t="str">
        <f>IF($A376="","",[1]!thsiFinD("ths_adjustment_nv_fund",U$3,$A376))</f>
        <v/>
      </c>
      <c r="V376" s="13" t="str">
        <f>IF($A376="","",[1]!thsiFinD("ths_adjustment_nv_fund",V$3,$A376))</f>
        <v/>
      </c>
      <c r="W376" s="13" t="str">
        <f>IF($A376="","",[1]!thsiFinD("ths_adjustment_nv_fund",W$3,$A376))</f>
        <v/>
      </c>
      <c r="X376" s="13" t="str">
        <f>IF($A376="","",[1]!thsiFinD("ths_adjustment_nv_fund",X$3,$A376))</f>
        <v/>
      </c>
      <c r="Y376" s="13" t="str">
        <f>IF($A376="","",[1]!thsiFinD("ths_adjustment_nv_fund",Y$3,$A376))</f>
        <v/>
      </c>
      <c r="Z376" s="13" t="str">
        <f>IF($A376="","",[1]!thsiFinD("ths_adjustment_nv_fund",Z$3,$A376))</f>
        <v/>
      </c>
      <c r="AA376" s="13" t="str">
        <f>IF($A376="","",[1]!thsiFinD("ths_adjustment_nv_fund",AA$3,$A376))</f>
        <v/>
      </c>
      <c r="AB376" s="13">
        <f>IF($A376="","",[1]!thsiFinD("ths_adjustment_nv_fund",AB$3,$A376))</f>
        <v/>
      </c>
      <c r="AC376" s="13">
        <f>IF($A376="","",[1]!thsiFinD("ths_adjustment_nv_fund",AC$3,$A376))</f>
        <v/>
      </c>
      <c r="AD376" s="13">
        <f>IF($A376="","",[1]!thsiFinD("ths_adjustment_nv_fund",AD$3,$A376))</f>
        <v/>
      </c>
      <c r="AE376" s="13">
        <f>IF($A376="","",[1]!thsiFinD("ths_adjustment_nv_fund",AE$3,$A376))</f>
        <v/>
      </c>
      <c r="AF376" s="13">
        <f>IF($A376="","",[1]!thsiFinD("ths_adjustment_nv_fund",AF$3,$A376))</f>
        <v/>
      </c>
      <c r="AG376" s="13">
        <f>IF($A376="","",[1]!thsiFinD("ths_adjustment_nv_fund",AG$3,$A376))</f>
        <v/>
      </c>
      <c r="AH376" s="13">
        <f>IF($A376="","",[1]!thsiFinD("ths_adjustment_nv_fund",AH$3,$A376))</f>
        <v/>
      </c>
      <c r="AI376" s="13">
        <f>IF($A376="","",[1]!thsiFinD("ths_adjustment_nv_fund",AI$3,$A376))</f>
        <v/>
      </c>
      <c r="AJ376" s="13">
        <f>IF($A376="","",[1]!thsiFinD("ths_adjustment_nv_fund",AJ$3,$A376))</f>
        <v/>
      </c>
      <c r="AK376" s="13">
        <f>IF($A376="","",[1]!thsiFinD("ths_adjustment_nv_fund",AK$3,$A376))</f>
        <v/>
      </c>
      <c r="AL376" s="13">
        <f>IF($A376="","",[1]!thsiFinD("ths_adjustment_nv_fund",AL$3,$A376))</f>
        <v/>
      </c>
    </row>
    <row r="377" spans="2:28">
      <c r="B377" s="13" t="str">
        <f>IF($A377="","",[1]!thsiFinD("ths_adjustment_nv_fund",B$3,$A377))</f>
        <v/>
      </c>
      <c r="C377" s="13" t="str">
        <f>IF($A377="","",[1]!thsiFinD("ths_adjustment_nv_fund",C$3,$A377))</f>
        <v/>
      </c>
      <c r="D377" s="13" t="str">
        <f>IF($A377="","",[1]!thsiFinD("ths_adjustment_nv_fund",D$3,$A377))</f>
        <v/>
      </c>
      <c r="E377" s="13" t="str">
        <f>IF($A377="","",[1]!thsiFinD("ths_adjustment_nv_fund",E$3,$A377))</f>
        <v/>
      </c>
      <c r="F377" s="13" t="str">
        <f>IF($A377="","",[1]!thsiFinD("ths_adjustment_nv_fund",F$3,$A377))</f>
        <v/>
      </c>
      <c r="G377" s="13" t="str">
        <f>IF($A377="","",[1]!thsiFinD("ths_adjustment_nv_fund",G$3,$A377))</f>
        <v/>
      </c>
      <c r="H377" s="13" t="str">
        <f>IF($A377="","",[1]!thsiFinD("ths_adjustment_nv_fund",H$3,$A377))</f>
        <v/>
      </c>
      <c r="I377" s="13" t="str">
        <f>IF($A377="","",[1]!thsiFinD("ths_adjustment_nv_fund",I$3,$A377))</f>
        <v/>
      </c>
      <c r="J377" s="13" t="str">
        <f>IF($A377="","",[1]!thsiFinD("ths_adjustment_nv_fund",J$3,$A377))</f>
        <v/>
      </c>
      <c r="K377" s="13" t="str">
        <f>IF($A377="","",[1]!thsiFinD("ths_adjustment_nv_fund",K$3,$A377))</f>
        <v/>
      </c>
      <c r="L377" s="13" t="str">
        <f>IF($A377="","",[1]!thsiFinD("ths_adjustment_nv_fund",L$3,$A377))</f>
        <v/>
      </c>
      <c r="M377" s="13" t="str">
        <f>IF($A377="","",[1]!thsiFinD("ths_adjustment_nv_fund",M$3,$A377))</f>
        <v/>
      </c>
      <c r="N377" s="13" t="str">
        <f>IF($A377="","",[1]!thsiFinD("ths_adjustment_nv_fund",N$3,$A377))</f>
        <v/>
      </c>
      <c r="O377" s="13" t="str">
        <f>IF($A377="","",[1]!thsiFinD("ths_adjustment_nv_fund",O$3,$A377))</f>
        <v/>
      </c>
      <c r="P377" s="13" t="str">
        <f>IF($A377="","",[1]!thsiFinD("ths_adjustment_nv_fund",P$3,$A377))</f>
        <v/>
      </c>
      <c r="Q377" s="13" t="str">
        <f>IF($A377="","",[1]!thsiFinD("ths_adjustment_nv_fund",Q$3,$A377))</f>
        <v/>
      </c>
      <c r="R377" s="13" t="str">
        <f>IF($A377="","",[1]!thsiFinD("ths_adjustment_nv_fund",R$3,$A377))</f>
        <v/>
      </c>
      <c r="S377" s="13" t="str">
        <f>IF($A377="","",[1]!thsiFinD("ths_adjustment_nv_fund",S$3,$A377))</f>
        <v/>
      </c>
      <c r="T377" s="13" t="str">
        <f>IF($A377="","",[1]!thsiFinD("ths_adjustment_nv_fund",T$3,$A377))</f>
        <v/>
      </c>
      <c r="U377" s="13" t="str">
        <f>IF($A377="","",[1]!thsiFinD("ths_adjustment_nv_fund",U$3,$A377))</f>
        <v/>
      </c>
      <c r="V377" s="13" t="str">
        <f>IF($A377="","",[1]!thsiFinD("ths_adjustment_nv_fund",V$3,$A377))</f>
        <v/>
      </c>
      <c r="W377" s="13" t="str">
        <f>IF($A377="","",[1]!thsiFinD("ths_adjustment_nv_fund",W$3,$A377))</f>
        <v/>
      </c>
      <c r="X377" s="13" t="str">
        <f>IF($A377="","",[1]!thsiFinD("ths_adjustment_nv_fund",X$3,$A377))</f>
        <v/>
      </c>
      <c r="Y377" s="13" t="str">
        <f>IF($A377="","",[1]!thsiFinD("ths_adjustment_nv_fund",Y$3,$A377))</f>
        <v/>
      </c>
      <c r="Z377" s="13" t="str">
        <f>IF($A377="","",[1]!thsiFinD("ths_adjustment_nv_fund",Z$3,$A377))</f>
        <v/>
      </c>
      <c r="AA377" s="13" t="str">
        <f>IF($A377="","",[1]!thsiFinD("ths_adjustment_nv_fund",AA$3,$A377))</f>
        <v/>
      </c>
      <c r="AB377" s="13">
        <f>IF($A377="","",[1]!thsiFinD("ths_adjustment_nv_fund",AB$3,$A377))</f>
        <v/>
      </c>
      <c r="AC377" s="13">
        <f>IF($A377="","",[1]!thsiFinD("ths_adjustment_nv_fund",AC$3,$A377))</f>
        <v/>
      </c>
      <c r="AD377" s="13">
        <f>IF($A377="","",[1]!thsiFinD("ths_adjustment_nv_fund",AD$3,$A377))</f>
        <v/>
      </c>
      <c r="AE377" s="13">
        <f>IF($A377="","",[1]!thsiFinD("ths_adjustment_nv_fund",AE$3,$A377))</f>
        <v/>
      </c>
      <c r="AF377" s="13">
        <f>IF($A377="","",[1]!thsiFinD("ths_adjustment_nv_fund",AF$3,$A377))</f>
        <v/>
      </c>
      <c r="AG377" s="13">
        <f>IF($A377="","",[1]!thsiFinD("ths_adjustment_nv_fund",AG$3,$A377))</f>
        <v/>
      </c>
      <c r="AH377" s="13">
        <f>IF($A377="","",[1]!thsiFinD("ths_adjustment_nv_fund",AH$3,$A377))</f>
        <v/>
      </c>
      <c r="AI377" s="13">
        <f>IF($A377="","",[1]!thsiFinD("ths_adjustment_nv_fund",AI$3,$A377))</f>
        <v/>
      </c>
      <c r="AJ377" s="13">
        <f>IF($A377="","",[1]!thsiFinD("ths_adjustment_nv_fund",AJ$3,$A377))</f>
        <v/>
      </c>
      <c r="AK377" s="13">
        <f>IF($A377="","",[1]!thsiFinD("ths_adjustment_nv_fund",AK$3,$A377))</f>
        <v/>
      </c>
      <c r="AL377" s="13">
        <f>IF($A377="","",[1]!thsiFinD("ths_adjustment_nv_fund",AL$3,$A377))</f>
        <v/>
      </c>
    </row>
    <row r="378" spans="2:28">
      <c r="B378" s="13" t="str">
        <f>IF($A378="","",[1]!thsiFinD("ths_adjustment_nv_fund",B$3,$A378))</f>
        <v/>
      </c>
      <c r="C378" s="13" t="str">
        <f>IF($A378="","",[1]!thsiFinD("ths_adjustment_nv_fund",C$3,$A378))</f>
        <v/>
      </c>
      <c r="D378" s="13" t="str">
        <f>IF($A378="","",[1]!thsiFinD("ths_adjustment_nv_fund",D$3,$A378))</f>
        <v/>
      </c>
      <c r="E378" s="13" t="str">
        <f>IF($A378="","",[1]!thsiFinD("ths_adjustment_nv_fund",E$3,$A378))</f>
        <v/>
      </c>
      <c r="F378" s="13" t="str">
        <f>IF($A378="","",[1]!thsiFinD("ths_adjustment_nv_fund",F$3,$A378))</f>
        <v/>
      </c>
      <c r="G378" s="13" t="str">
        <f>IF($A378="","",[1]!thsiFinD("ths_adjustment_nv_fund",G$3,$A378))</f>
        <v/>
      </c>
      <c r="H378" s="13" t="str">
        <f>IF($A378="","",[1]!thsiFinD("ths_adjustment_nv_fund",H$3,$A378))</f>
        <v/>
      </c>
      <c r="I378" s="13" t="str">
        <f>IF($A378="","",[1]!thsiFinD("ths_adjustment_nv_fund",I$3,$A378))</f>
        <v/>
      </c>
      <c r="J378" s="13" t="str">
        <f>IF($A378="","",[1]!thsiFinD("ths_adjustment_nv_fund",J$3,$A378))</f>
        <v/>
      </c>
      <c r="K378" s="13" t="str">
        <f>IF($A378="","",[1]!thsiFinD("ths_adjustment_nv_fund",K$3,$A378))</f>
        <v/>
      </c>
      <c r="L378" s="13" t="str">
        <f>IF($A378="","",[1]!thsiFinD("ths_adjustment_nv_fund",L$3,$A378))</f>
        <v/>
      </c>
      <c r="M378" s="13" t="str">
        <f>IF($A378="","",[1]!thsiFinD("ths_adjustment_nv_fund",M$3,$A378))</f>
        <v/>
      </c>
      <c r="N378" s="13" t="str">
        <f>IF($A378="","",[1]!thsiFinD("ths_adjustment_nv_fund",N$3,$A378))</f>
        <v/>
      </c>
      <c r="O378" s="13" t="str">
        <f>IF($A378="","",[1]!thsiFinD("ths_adjustment_nv_fund",O$3,$A378))</f>
        <v/>
      </c>
      <c r="P378" s="13" t="str">
        <f>IF($A378="","",[1]!thsiFinD("ths_adjustment_nv_fund",P$3,$A378))</f>
        <v/>
      </c>
      <c r="Q378" s="13" t="str">
        <f>IF($A378="","",[1]!thsiFinD("ths_adjustment_nv_fund",Q$3,$A378))</f>
        <v/>
      </c>
      <c r="R378" s="13" t="str">
        <f>IF($A378="","",[1]!thsiFinD("ths_adjustment_nv_fund",R$3,$A378))</f>
        <v/>
      </c>
      <c r="S378" s="13" t="str">
        <f>IF($A378="","",[1]!thsiFinD("ths_adjustment_nv_fund",S$3,$A378))</f>
        <v/>
      </c>
      <c r="T378" s="13" t="str">
        <f>IF($A378="","",[1]!thsiFinD("ths_adjustment_nv_fund",T$3,$A378))</f>
        <v/>
      </c>
      <c r="U378" s="13" t="str">
        <f>IF($A378="","",[1]!thsiFinD("ths_adjustment_nv_fund",U$3,$A378))</f>
        <v/>
      </c>
      <c r="V378" s="13" t="str">
        <f>IF($A378="","",[1]!thsiFinD("ths_adjustment_nv_fund",V$3,$A378))</f>
        <v/>
      </c>
      <c r="W378" s="13" t="str">
        <f>IF($A378="","",[1]!thsiFinD("ths_adjustment_nv_fund",W$3,$A378))</f>
        <v/>
      </c>
      <c r="X378" s="13" t="str">
        <f>IF($A378="","",[1]!thsiFinD("ths_adjustment_nv_fund",X$3,$A378))</f>
        <v/>
      </c>
      <c r="Y378" s="13" t="str">
        <f>IF($A378="","",[1]!thsiFinD("ths_adjustment_nv_fund",Y$3,$A378))</f>
        <v/>
      </c>
      <c r="Z378" s="13" t="str">
        <f>IF($A378="","",[1]!thsiFinD("ths_adjustment_nv_fund",Z$3,$A378))</f>
        <v/>
      </c>
      <c r="AA378" s="13" t="str">
        <f>IF($A378="","",[1]!thsiFinD("ths_adjustment_nv_fund",AA$3,$A378))</f>
        <v/>
      </c>
      <c r="AB378" s="13">
        <f>IF($A378="","",[1]!thsiFinD("ths_adjustment_nv_fund",AB$3,$A378))</f>
        <v/>
      </c>
      <c r="AC378" s="13">
        <f>IF($A378="","",[1]!thsiFinD("ths_adjustment_nv_fund",AC$3,$A378))</f>
        <v/>
      </c>
      <c r="AD378" s="13">
        <f>IF($A378="","",[1]!thsiFinD("ths_adjustment_nv_fund",AD$3,$A378))</f>
        <v/>
      </c>
      <c r="AE378" s="13">
        <f>IF($A378="","",[1]!thsiFinD("ths_adjustment_nv_fund",AE$3,$A378))</f>
        <v/>
      </c>
      <c r="AF378" s="13">
        <f>IF($A378="","",[1]!thsiFinD("ths_adjustment_nv_fund",AF$3,$A378))</f>
        <v/>
      </c>
      <c r="AG378" s="13">
        <f>IF($A378="","",[1]!thsiFinD("ths_adjustment_nv_fund",AG$3,$A378))</f>
        <v/>
      </c>
      <c r="AH378" s="13">
        <f>IF($A378="","",[1]!thsiFinD("ths_adjustment_nv_fund",AH$3,$A378))</f>
        <v/>
      </c>
      <c r="AI378" s="13">
        <f>IF($A378="","",[1]!thsiFinD("ths_adjustment_nv_fund",AI$3,$A378))</f>
        <v/>
      </c>
      <c r="AJ378" s="13">
        <f>IF($A378="","",[1]!thsiFinD("ths_adjustment_nv_fund",AJ$3,$A378))</f>
        <v/>
      </c>
      <c r="AK378" s="13">
        <f>IF($A378="","",[1]!thsiFinD("ths_adjustment_nv_fund",AK$3,$A378))</f>
        <v/>
      </c>
      <c r="AL378" s="13">
        <f>IF($A378="","",[1]!thsiFinD("ths_adjustment_nv_fund",AL$3,$A378))</f>
        <v/>
      </c>
    </row>
    <row r="379" spans="2:28">
      <c r="B379" s="13" t="str">
        <f>IF($A379="","",[1]!thsiFinD("ths_adjustment_nv_fund",B$3,$A379))</f>
        <v/>
      </c>
      <c r="C379" s="13" t="str">
        <f>IF($A379="","",[1]!thsiFinD("ths_adjustment_nv_fund",C$3,$A379))</f>
        <v/>
      </c>
      <c r="D379" s="13" t="str">
        <f>IF($A379="","",[1]!thsiFinD("ths_adjustment_nv_fund",D$3,$A379))</f>
        <v/>
      </c>
      <c r="E379" s="13" t="str">
        <f>IF($A379="","",[1]!thsiFinD("ths_adjustment_nv_fund",E$3,$A379))</f>
        <v/>
      </c>
      <c r="F379" s="13" t="str">
        <f>IF($A379="","",[1]!thsiFinD("ths_adjustment_nv_fund",F$3,$A379))</f>
        <v/>
      </c>
      <c r="G379" s="13" t="str">
        <f>IF($A379="","",[1]!thsiFinD("ths_adjustment_nv_fund",G$3,$A379))</f>
        <v/>
      </c>
      <c r="H379" s="13" t="str">
        <f>IF($A379="","",[1]!thsiFinD("ths_adjustment_nv_fund",H$3,$A379))</f>
        <v/>
      </c>
      <c r="I379" s="13" t="str">
        <f>IF($A379="","",[1]!thsiFinD("ths_adjustment_nv_fund",I$3,$A379))</f>
        <v/>
      </c>
      <c r="J379" s="13" t="str">
        <f>IF($A379="","",[1]!thsiFinD("ths_adjustment_nv_fund",J$3,$A379))</f>
        <v/>
      </c>
      <c r="K379" s="13" t="str">
        <f>IF($A379="","",[1]!thsiFinD("ths_adjustment_nv_fund",K$3,$A379))</f>
        <v/>
      </c>
      <c r="L379" s="13" t="str">
        <f>IF($A379="","",[1]!thsiFinD("ths_adjustment_nv_fund",L$3,$A379))</f>
        <v/>
      </c>
      <c r="M379" s="13" t="str">
        <f>IF($A379="","",[1]!thsiFinD("ths_adjustment_nv_fund",M$3,$A379))</f>
        <v/>
      </c>
      <c r="N379" s="13" t="str">
        <f>IF($A379="","",[1]!thsiFinD("ths_adjustment_nv_fund",N$3,$A379))</f>
        <v/>
      </c>
      <c r="O379" s="13" t="str">
        <f>IF($A379="","",[1]!thsiFinD("ths_adjustment_nv_fund",O$3,$A379))</f>
        <v/>
      </c>
      <c r="P379" s="13" t="str">
        <f>IF($A379="","",[1]!thsiFinD("ths_adjustment_nv_fund",P$3,$A379))</f>
        <v/>
      </c>
      <c r="Q379" s="13" t="str">
        <f>IF($A379="","",[1]!thsiFinD("ths_adjustment_nv_fund",Q$3,$A379))</f>
        <v/>
      </c>
      <c r="R379" s="13" t="str">
        <f>IF($A379="","",[1]!thsiFinD("ths_adjustment_nv_fund",R$3,$A379))</f>
        <v/>
      </c>
      <c r="S379" s="13" t="str">
        <f>IF($A379="","",[1]!thsiFinD("ths_adjustment_nv_fund",S$3,$A379))</f>
        <v/>
      </c>
      <c r="T379" s="13" t="str">
        <f>IF($A379="","",[1]!thsiFinD("ths_adjustment_nv_fund",T$3,$A379))</f>
        <v/>
      </c>
      <c r="U379" s="13" t="str">
        <f>IF($A379="","",[1]!thsiFinD("ths_adjustment_nv_fund",U$3,$A379))</f>
        <v/>
      </c>
      <c r="V379" s="13" t="str">
        <f>IF($A379="","",[1]!thsiFinD("ths_adjustment_nv_fund",V$3,$A379))</f>
        <v/>
      </c>
      <c r="W379" s="13" t="str">
        <f>IF($A379="","",[1]!thsiFinD("ths_adjustment_nv_fund",W$3,$A379))</f>
        <v/>
      </c>
      <c r="X379" s="13" t="str">
        <f>IF($A379="","",[1]!thsiFinD("ths_adjustment_nv_fund",X$3,$A379))</f>
        <v/>
      </c>
      <c r="Y379" s="13" t="str">
        <f>IF($A379="","",[1]!thsiFinD("ths_adjustment_nv_fund",Y$3,$A379))</f>
        <v/>
      </c>
      <c r="Z379" s="13" t="str">
        <f>IF($A379="","",[1]!thsiFinD("ths_adjustment_nv_fund",Z$3,$A379))</f>
        <v/>
      </c>
      <c r="AA379" s="13" t="str">
        <f>IF($A379="","",[1]!thsiFinD("ths_adjustment_nv_fund",AA$3,$A379))</f>
        <v/>
      </c>
      <c r="AB379" s="13">
        <f>IF($A379="","",[1]!thsiFinD("ths_adjustment_nv_fund",AB$3,$A379))</f>
        <v/>
      </c>
      <c r="AC379" s="13">
        <f>IF($A379="","",[1]!thsiFinD("ths_adjustment_nv_fund",AC$3,$A379))</f>
        <v/>
      </c>
      <c r="AD379" s="13">
        <f>IF($A379="","",[1]!thsiFinD("ths_adjustment_nv_fund",AD$3,$A379))</f>
        <v/>
      </c>
      <c r="AE379" s="13">
        <f>IF($A379="","",[1]!thsiFinD("ths_adjustment_nv_fund",AE$3,$A379))</f>
        <v/>
      </c>
      <c r="AF379" s="13">
        <f>IF($A379="","",[1]!thsiFinD("ths_adjustment_nv_fund",AF$3,$A379))</f>
        <v/>
      </c>
      <c r="AG379" s="13">
        <f>IF($A379="","",[1]!thsiFinD("ths_adjustment_nv_fund",AG$3,$A379))</f>
        <v/>
      </c>
      <c r="AH379" s="13">
        <f>IF($A379="","",[1]!thsiFinD("ths_adjustment_nv_fund",AH$3,$A379))</f>
        <v/>
      </c>
      <c r="AI379" s="13">
        <f>IF($A379="","",[1]!thsiFinD("ths_adjustment_nv_fund",AI$3,$A379))</f>
        <v/>
      </c>
      <c r="AJ379" s="13">
        <f>IF($A379="","",[1]!thsiFinD("ths_adjustment_nv_fund",AJ$3,$A379))</f>
        <v/>
      </c>
      <c r="AK379" s="13">
        <f>IF($A379="","",[1]!thsiFinD("ths_adjustment_nv_fund",AK$3,$A379))</f>
        <v/>
      </c>
      <c r="AL379" s="13">
        <f>IF($A379="","",[1]!thsiFinD("ths_adjustment_nv_fund",AL$3,$A379))</f>
        <v/>
      </c>
    </row>
    <row r="380" spans="2:28">
      <c r="B380" s="13" t="str">
        <f>IF($A380="","",[1]!thsiFinD("ths_adjustment_nv_fund",B$3,$A380))</f>
        <v/>
      </c>
      <c r="C380" s="13" t="str">
        <f>IF($A380="","",[1]!thsiFinD("ths_adjustment_nv_fund",C$3,$A380))</f>
        <v/>
      </c>
      <c r="D380" s="13" t="str">
        <f>IF($A380="","",[1]!thsiFinD("ths_adjustment_nv_fund",D$3,$A380))</f>
        <v/>
      </c>
      <c r="E380" s="13" t="str">
        <f>IF($A380="","",[1]!thsiFinD("ths_adjustment_nv_fund",E$3,$A380))</f>
        <v/>
      </c>
      <c r="F380" s="13" t="str">
        <f>IF($A380="","",[1]!thsiFinD("ths_adjustment_nv_fund",F$3,$A380))</f>
        <v/>
      </c>
      <c r="G380" s="13" t="str">
        <f>IF($A380="","",[1]!thsiFinD("ths_adjustment_nv_fund",G$3,$A380))</f>
        <v/>
      </c>
      <c r="H380" s="13" t="str">
        <f>IF($A380="","",[1]!thsiFinD("ths_adjustment_nv_fund",H$3,$A380))</f>
        <v/>
      </c>
      <c r="I380" s="13" t="str">
        <f>IF($A380="","",[1]!thsiFinD("ths_adjustment_nv_fund",I$3,$A380))</f>
        <v/>
      </c>
      <c r="J380" s="13" t="str">
        <f>IF($A380="","",[1]!thsiFinD("ths_adjustment_nv_fund",J$3,$A380))</f>
        <v/>
      </c>
      <c r="K380" s="13" t="str">
        <f>IF($A380="","",[1]!thsiFinD("ths_adjustment_nv_fund",K$3,$A380))</f>
        <v/>
      </c>
      <c r="L380" s="13" t="str">
        <f>IF($A380="","",[1]!thsiFinD("ths_adjustment_nv_fund",L$3,$A380))</f>
        <v/>
      </c>
      <c r="M380" s="13" t="str">
        <f>IF($A380="","",[1]!thsiFinD("ths_adjustment_nv_fund",M$3,$A380))</f>
        <v/>
      </c>
      <c r="N380" s="13" t="str">
        <f>IF($A380="","",[1]!thsiFinD("ths_adjustment_nv_fund",N$3,$A380))</f>
        <v/>
      </c>
      <c r="O380" s="13" t="str">
        <f>IF($A380="","",[1]!thsiFinD("ths_adjustment_nv_fund",O$3,$A380))</f>
        <v/>
      </c>
      <c r="P380" s="13" t="str">
        <f>IF($A380="","",[1]!thsiFinD("ths_adjustment_nv_fund",P$3,$A380))</f>
        <v/>
      </c>
      <c r="Q380" s="13" t="str">
        <f>IF($A380="","",[1]!thsiFinD("ths_adjustment_nv_fund",Q$3,$A380))</f>
        <v/>
      </c>
      <c r="R380" s="13" t="str">
        <f>IF($A380="","",[1]!thsiFinD("ths_adjustment_nv_fund",R$3,$A380))</f>
        <v/>
      </c>
      <c r="S380" s="13" t="str">
        <f>IF($A380="","",[1]!thsiFinD("ths_adjustment_nv_fund",S$3,$A380))</f>
        <v/>
      </c>
      <c r="T380" s="13" t="str">
        <f>IF($A380="","",[1]!thsiFinD("ths_adjustment_nv_fund",T$3,$A380))</f>
        <v/>
      </c>
      <c r="U380" s="13" t="str">
        <f>IF($A380="","",[1]!thsiFinD("ths_adjustment_nv_fund",U$3,$A380))</f>
        <v/>
      </c>
      <c r="V380" s="13" t="str">
        <f>IF($A380="","",[1]!thsiFinD("ths_adjustment_nv_fund",V$3,$A380))</f>
        <v/>
      </c>
      <c r="W380" s="13" t="str">
        <f>IF($A380="","",[1]!thsiFinD("ths_adjustment_nv_fund",W$3,$A380))</f>
        <v/>
      </c>
      <c r="X380" s="13" t="str">
        <f>IF($A380="","",[1]!thsiFinD("ths_adjustment_nv_fund",X$3,$A380))</f>
        <v/>
      </c>
      <c r="Y380" s="13" t="str">
        <f>IF($A380="","",[1]!thsiFinD("ths_adjustment_nv_fund",Y$3,$A380))</f>
        <v/>
      </c>
      <c r="Z380" s="13" t="str">
        <f>IF($A380="","",[1]!thsiFinD("ths_adjustment_nv_fund",Z$3,$A380))</f>
        <v/>
      </c>
      <c r="AA380" s="13" t="str">
        <f>IF($A380="","",[1]!thsiFinD("ths_adjustment_nv_fund",AA$3,$A380))</f>
        <v/>
      </c>
      <c r="AB380" s="13">
        <f>IF($A380="","",[1]!thsiFinD("ths_adjustment_nv_fund",AB$3,$A380))</f>
        <v/>
      </c>
      <c r="AC380" s="13">
        <f>IF($A380="","",[1]!thsiFinD("ths_adjustment_nv_fund",AC$3,$A380))</f>
        <v/>
      </c>
      <c r="AD380" s="13">
        <f>IF($A380="","",[1]!thsiFinD("ths_adjustment_nv_fund",AD$3,$A380))</f>
        <v/>
      </c>
      <c r="AE380" s="13">
        <f>IF($A380="","",[1]!thsiFinD("ths_adjustment_nv_fund",AE$3,$A380))</f>
        <v/>
      </c>
      <c r="AF380" s="13">
        <f>IF($A380="","",[1]!thsiFinD("ths_adjustment_nv_fund",AF$3,$A380))</f>
        <v/>
      </c>
      <c r="AG380" s="13">
        <f>IF($A380="","",[1]!thsiFinD("ths_adjustment_nv_fund",AG$3,$A380))</f>
        <v/>
      </c>
      <c r="AH380" s="13">
        <f>IF($A380="","",[1]!thsiFinD("ths_adjustment_nv_fund",AH$3,$A380))</f>
        <v/>
      </c>
      <c r="AI380" s="13">
        <f>IF($A380="","",[1]!thsiFinD("ths_adjustment_nv_fund",AI$3,$A380))</f>
        <v/>
      </c>
      <c r="AJ380" s="13">
        <f>IF($A380="","",[1]!thsiFinD("ths_adjustment_nv_fund",AJ$3,$A380))</f>
        <v/>
      </c>
      <c r="AK380" s="13">
        <f>IF($A380="","",[1]!thsiFinD("ths_adjustment_nv_fund",AK$3,$A380))</f>
        <v/>
      </c>
      <c r="AL380" s="13">
        <f>IF($A380="","",[1]!thsiFinD("ths_adjustment_nv_fund",AL$3,$A380))</f>
        <v/>
      </c>
    </row>
    <row r="381" spans="2:28">
      <c r="B381" s="13" t="str">
        <f>IF($A381="","",[1]!thsiFinD("ths_adjustment_nv_fund",B$3,$A381))</f>
        <v/>
      </c>
      <c r="C381" s="13" t="str">
        <f>IF($A381="","",[1]!thsiFinD("ths_adjustment_nv_fund",C$3,$A381))</f>
        <v/>
      </c>
      <c r="D381" s="13" t="str">
        <f>IF($A381="","",[1]!thsiFinD("ths_adjustment_nv_fund",D$3,$A381))</f>
        <v/>
      </c>
      <c r="E381" s="13" t="str">
        <f>IF($A381="","",[1]!thsiFinD("ths_adjustment_nv_fund",E$3,$A381))</f>
        <v/>
      </c>
      <c r="F381" s="13" t="str">
        <f>IF($A381="","",[1]!thsiFinD("ths_adjustment_nv_fund",F$3,$A381))</f>
        <v/>
      </c>
      <c r="G381" s="13" t="str">
        <f>IF($A381="","",[1]!thsiFinD("ths_adjustment_nv_fund",G$3,$A381))</f>
        <v/>
      </c>
      <c r="H381" s="13" t="str">
        <f>IF($A381="","",[1]!thsiFinD("ths_adjustment_nv_fund",H$3,$A381))</f>
        <v/>
      </c>
      <c r="I381" s="13" t="str">
        <f>IF($A381="","",[1]!thsiFinD("ths_adjustment_nv_fund",I$3,$A381))</f>
        <v/>
      </c>
      <c r="J381" s="13" t="str">
        <f>IF($A381="","",[1]!thsiFinD("ths_adjustment_nv_fund",J$3,$A381))</f>
        <v/>
      </c>
      <c r="K381" s="13" t="str">
        <f>IF($A381="","",[1]!thsiFinD("ths_adjustment_nv_fund",K$3,$A381))</f>
        <v/>
      </c>
      <c r="L381" s="13" t="str">
        <f>IF($A381="","",[1]!thsiFinD("ths_adjustment_nv_fund",L$3,$A381))</f>
        <v/>
      </c>
      <c r="M381" s="13" t="str">
        <f>IF($A381="","",[1]!thsiFinD("ths_adjustment_nv_fund",M$3,$A381))</f>
        <v/>
      </c>
      <c r="N381" s="13" t="str">
        <f>IF($A381="","",[1]!thsiFinD("ths_adjustment_nv_fund",N$3,$A381))</f>
        <v/>
      </c>
      <c r="O381" s="13" t="str">
        <f>IF($A381="","",[1]!thsiFinD("ths_adjustment_nv_fund",O$3,$A381))</f>
        <v/>
      </c>
      <c r="P381" s="13" t="str">
        <f>IF($A381="","",[1]!thsiFinD("ths_adjustment_nv_fund",P$3,$A381))</f>
        <v/>
      </c>
      <c r="Q381" s="13" t="str">
        <f>IF($A381="","",[1]!thsiFinD("ths_adjustment_nv_fund",Q$3,$A381))</f>
        <v/>
      </c>
      <c r="R381" s="13" t="str">
        <f>IF($A381="","",[1]!thsiFinD("ths_adjustment_nv_fund",R$3,$A381))</f>
        <v/>
      </c>
      <c r="S381" s="13" t="str">
        <f>IF($A381="","",[1]!thsiFinD("ths_adjustment_nv_fund",S$3,$A381))</f>
        <v/>
      </c>
      <c r="T381" s="13" t="str">
        <f>IF($A381="","",[1]!thsiFinD("ths_adjustment_nv_fund",T$3,$A381))</f>
        <v/>
      </c>
      <c r="U381" s="13" t="str">
        <f>IF($A381="","",[1]!thsiFinD("ths_adjustment_nv_fund",U$3,$A381))</f>
        <v/>
      </c>
      <c r="V381" s="13" t="str">
        <f>IF($A381="","",[1]!thsiFinD("ths_adjustment_nv_fund",V$3,$A381))</f>
        <v/>
      </c>
      <c r="W381" s="13" t="str">
        <f>IF($A381="","",[1]!thsiFinD("ths_adjustment_nv_fund",W$3,$A381))</f>
        <v/>
      </c>
      <c r="X381" s="13" t="str">
        <f>IF($A381="","",[1]!thsiFinD("ths_adjustment_nv_fund",X$3,$A381))</f>
        <v/>
      </c>
      <c r="Y381" s="13" t="str">
        <f>IF($A381="","",[1]!thsiFinD("ths_adjustment_nv_fund",Y$3,$A381))</f>
        <v/>
      </c>
      <c r="Z381" s="13" t="str">
        <f>IF($A381="","",[1]!thsiFinD("ths_adjustment_nv_fund",Z$3,$A381))</f>
        <v/>
      </c>
      <c r="AA381" s="13" t="str">
        <f>IF($A381="","",[1]!thsiFinD("ths_adjustment_nv_fund",AA$3,$A381))</f>
        <v/>
      </c>
      <c r="AB381" s="13">
        <f>IF($A381="","",[1]!thsiFinD("ths_adjustment_nv_fund",AB$3,$A381))</f>
        <v/>
      </c>
      <c r="AC381" s="13">
        <f>IF($A381="","",[1]!thsiFinD("ths_adjustment_nv_fund",AC$3,$A381))</f>
        <v/>
      </c>
      <c r="AD381" s="13">
        <f>IF($A381="","",[1]!thsiFinD("ths_adjustment_nv_fund",AD$3,$A381))</f>
        <v/>
      </c>
      <c r="AE381" s="13">
        <f>IF($A381="","",[1]!thsiFinD("ths_adjustment_nv_fund",AE$3,$A381))</f>
        <v/>
      </c>
      <c r="AF381" s="13">
        <f>IF($A381="","",[1]!thsiFinD("ths_adjustment_nv_fund",AF$3,$A381))</f>
        <v/>
      </c>
      <c r="AG381" s="13">
        <f>IF($A381="","",[1]!thsiFinD("ths_adjustment_nv_fund",AG$3,$A381))</f>
        <v/>
      </c>
      <c r="AH381" s="13">
        <f>IF($A381="","",[1]!thsiFinD("ths_adjustment_nv_fund",AH$3,$A381))</f>
        <v/>
      </c>
      <c r="AI381" s="13">
        <f>IF($A381="","",[1]!thsiFinD("ths_adjustment_nv_fund",AI$3,$A381))</f>
        <v/>
      </c>
      <c r="AJ381" s="13">
        <f>IF($A381="","",[1]!thsiFinD("ths_adjustment_nv_fund",AJ$3,$A381))</f>
        <v/>
      </c>
      <c r="AK381" s="13">
        <f>IF($A381="","",[1]!thsiFinD("ths_adjustment_nv_fund",AK$3,$A381))</f>
        <v/>
      </c>
      <c r="AL381" s="13">
        <f>IF($A381="","",[1]!thsiFinD("ths_adjustment_nv_fund",AL$3,$A381))</f>
        <v/>
      </c>
    </row>
    <row r="382" spans="2:28">
      <c r="B382" s="13" t="str">
        <f>IF($A382="","",[1]!thsiFinD("ths_adjustment_nv_fund",B$3,$A382))</f>
        <v/>
      </c>
      <c r="C382" s="13" t="str">
        <f>IF($A382="","",[1]!thsiFinD("ths_adjustment_nv_fund",C$3,$A382))</f>
        <v/>
      </c>
      <c r="D382" s="13" t="str">
        <f>IF($A382="","",[1]!thsiFinD("ths_adjustment_nv_fund",D$3,$A382))</f>
        <v/>
      </c>
      <c r="E382" s="13" t="str">
        <f>IF($A382="","",[1]!thsiFinD("ths_adjustment_nv_fund",E$3,$A382))</f>
        <v/>
      </c>
      <c r="F382" s="13" t="str">
        <f>IF($A382="","",[1]!thsiFinD("ths_adjustment_nv_fund",F$3,$A382))</f>
        <v/>
      </c>
      <c r="G382" s="13" t="str">
        <f>IF($A382="","",[1]!thsiFinD("ths_adjustment_nv_fund",G$3,$A382))</f>
        <v/>
      </c>
      <c r="H382" s="13" t="str">
        <f>IF($A382="","",[1]!thsiFinD("ths_adjustment_nv_fund",H$3,$A382))</f>
        <v/>
      </c>
      <c r="I382" s="13" t="str">
        <f>IF($A382="","",[1]!thsiFinD("ths_adjustment_nv_fund",I$3,$A382))</f>
        <v/>
      </c>
      <c r="J382" s="13" t="str">
        <f>IF($A382="","",[1]!thsiFinD("ths_adjustment_nv_fund",J$3,$A382))</f>
        <v/>
      </c>
      <c r="K382" s="13" t="str">
        <f>IF($A382="","",[1]!thsiFinD("ths_adjustment_nv_fund",K$3,$A382))</f>
        <v/>
      </c>
      <c r="L382" s="13" t="str">
        <f>IF($A382="","",[1]!thsiFinD("ths_adjustment_nv_fund",L$3,$A382))</f>
        <v/>
      </c>
      <c r="M382" s="13" t="str">
        <f>IF($A382="","",[1]!thsiFinD("ths_adjustment_nv_fund",M$3,$A382))</f>
        <v/>
      </c>
      <c r="N382" s="13" t="str">
        <f>IF($A382="","",[1]!thsiFinD("ths_adjustment_nv_fund",N$3,$A382))</f>
        <v/>
      </c>
      <c r="O382" s="13" t="str">
        <f>IF($A382="","",[1]!thsiFinD("ths_adjustment_nv_fund",O$3,$A382))</f>
        <v/>
      </c>
      <c r="P382" s="13" t="str">
        <f>IF($A382="","",[1]!thsiFinD("ths_adjustment_nv_fund",P$3,$A382))</f>
        <v/>
      </c>
      <c r="Q382" s="13" t="str">
        <f>IF($A382="","",[1]!thsiFinD("ths_adjustment_nv_fund",Q$3,$A382))</f>
        <v/>
      </c>
      <c r="R382" s="13" t="str">
        <f>IF($A382="","",[1]!thsiFinD("ths_adjustment_nv_fund",R$3,$A382))</f>
        <v/>
      </c>
      <c r="S382" s="13" t="str">
        <f>IF($A382="","",[1]!thsiFinD("ths_adjustment_nv_fund",S$3,$A382))</f>
        <v/>
      </c>
      <c r="T382" s="13" t="str">
        <f>IF($A382="","",[1]!thsiFinD("ths_adjustment_nv_fund",T$3,$A382))</f>
        <v/>
      </c>
      <c r="U382" s="13" t="str">
        <f>IF($A382="","",[1]!thsiFinD("ths_adjustment_nv_fund",U$3,$A382))</f>
        <v/>
      </c>
      <c r="V382" s="13" t="str">
        <f>IF($A382="","",[1]!thsiFinD("ths_adjustment_nv_fund",V$3,$A382))</f>
        <v/>
      </c>
      <c r="W382" s="13" t="str">
        <f>IF($A382="","",[1]!thsiFinD("ths_adjustment_nv_fund",W$3,$A382))</f>
        <v/>
      </c>
      <c r="X382" s="13" t="str">
        <f>IF($A382="","",[1]!thsiFinD("ths_adjustment_nv_fund",X$3,$A382))</f>
        <v/>
      </c>
      <c r="Y382" s="13" t="str">
        <f>IF($A382="","",[1]!thsiFinD("ths_adjustment_nv_fund",Y$3,$A382))</f>
        <v/>
      </c>
      <c r="Z382" s="13" t="str">
        <f>IF($A382="","",[1]!thsiFinD("ths_adjustment_nv_fund",Z$3,$A382))</f>
        <v/>
      </c>
      <c r="AA382" s="13" t="str">
        <f>IF($A382="","",[1]!thsiFinD("ths_adjustment_nv_fund",AA$3,$A382))</f>
        <v/>
      </c>
      <c r="AB382" s="13">
        <f>IF($A382="","",[1]!thsiFinD("ths_adjustment_nv_fund",AB$3,$A382))</f>
        <v/>
      </c>
      <c r="AC382" s="13">
        <f>IF($A382="","",[1]!thsiFinD("ths_adjustment_nv_fund",AC$3,$A382))</f>
        <v/>
      </c>
      <c r="AD382" s="13">
        <f>IF($A382="","",[1]!thsiFinD("ths_adjustment_nv_fund",AD$3,$A382))</f>
        <v/>
      </c>
      <c r="AE382" s="13">
        <f>IF($A382="","",[1]!thsiFinD("ths_adjustment_nv_fund",AE$3,$A382))</f>
        <v/>
      </c>
      <c r="AF382" s="13">
        <f>IF($A382="","",[1]!thsiFinD("ths_adjustment_nv_fund",AF$3,$A382))</f>
        <v/>
      </c>
      <c r="AG382" s="13">
        <f>IF($A382="","",[1]!thsiFinD("ths_adjustment_nv_fund",AG$3,$A382))</f>
        <v/>
      </c>
      <c r="AH382" s="13">
        <f>IF($A382="","",[1]!thsiFinD("ths_adjustment_nv_fund",AH$3,$A382))</f>
        <v/>
      </c>
      <c r="AI382" s="13">
        <f>IF($A382="","",[1]!thsiFinD("ths_adjustment_nv_fund",AI$3,$A382))</f>
        <v/>
      </c>
      <c r="AJ382" s="13">
        <f>IF($A382="","",[1]!thsiFinD("ths_adjustment_nv_fund",AJ$3,$A382))</f>
        <v/>
      </c>
      <c r="AK382" s="13">
        <f>IF($A382="","",[1]!thsiFinD("ths_adjustment_nv_fund",AK$3,$A382))</f>
        <v/>
      </c>
      <c r="AL382" s="13">
        <f>IF($A382="","",[1]!thsiFinD("ths_adjustment_nv_fund",AL$3,$A382))</f>
        <v/>
      </c>
    </row>
    <row r="383" spans="2:28">
      <c r="B383" s="13" t="str">
        <f>IF($A383="","",[1]!thsiFinD("ths_adjustment_nv_fund",B$3,$A383))</f>
        <v/>
      </c>
      <c r="C383" s="13" t="str">
        <f>IF($A383="","",[1]!thsiFinD("ths_adjustment_nv_fund",C$3,$A383))</f>
        <v/>
      </c>
      <c r="D383" s="13" t="str">
        <f>IF($A383="","",[1]!thsiFinD("ths_adjustment_nv_fund",D$3,$A383))</f>
        <v/>
      </c>
      <c r="E383" s="13" t="str">
        <f>IF($A383="","",[1]!thsiFinD("ths_adjustment_nv_fund",E$3,$A383))</f>
        <v/>
      </c>
      <c r="F383" s="13" t="str">
        <f>IF($A383="","",[1]!thsiFinD("ths_adjustment_nv_fund",F$3,$A383))</f>
        <v/>
      </c>
      <c r="G383" s="13" t="str">
        <f>IF($A383="","",[1]!thsiFinD("ths_adjustment_nv_fund",G$3,$A383))</f>
        <v/>
      </c>
      <c r="H383" s="13" t="str">
        <f>IF($A383="","",[1]!thsiFinD("ths_adjustment_nv_fund",H$3,$A383))</f>
        <v/>
      </c>
      <c r="I383" s="13" t="str">
        <f>IF($A383="","",[1]!thsiFinD("ths_adjustment_nv_fund",I$3,$A383))</f>
        <v/>
      </c>
      <c r="J383" s="13" t="str">
        <f>IF($A383="","",[1]!thsiFinD("ths_adjustment_nv_fund",J$3,$A383))</f>
        <v/>
      </c>
      <c r="K383" s="13" t="str">
        <f>IF($A383="","",[1]!thsiFinD("ths_adjustment_nv_fund",K$3,$A383))</f>
        <v/>
      </c>
      <c r="L383" s="13" t="str">
        <f>IF($A383="","",[1]!thsiFinD("ths_adjustment_nv_fund",L$3,$A383))</f>
        <v/>
      </c>
      <c r="M383" s="13" t="str">
        <f>IF($A383="","",[1]!thsiFinD("ths_adjustment_nv_fund",M$3,$A383))</f>
        <v/>
      </c>
      <c r="N383" s="13" t="str">
        <f>IF($A383="","",[1]!thsiFinD("ths_adjustment_nv_fund",N$3,$A383))</f>
        <v/>
      </c>
      <c r="O383" s="13" t="str">
        <f>IF($A383="","",[1]!thsiFinD("ths_adjustment_nv_fund",O$3,$A383))</f>
        <v/>
      </c>
      <c r="P383" s="13" t="str">
        <f>IF($A383="","",[1]!thsiFinD("ths_adjustment_nv_fund",P$3,$A383))</f>
        <v/>
      </c>
      <c r="Q383" s="13" t="str">
        <f>IF($A383="","",[1]!thsiFinD("ths_adjustment_nv_fund",Q$3,$A383))</f>
        <v/>
      </c>
      <c r="R383" s="13" t="str">
        <f>IF($A383="","",[1]!thsiFinD("ths_adjustment_nv_fund",R$3,$A383))</f>
        <v/>
      </c>
      <c r="S383" s="13" t="str">
        <f>IF($A383="","",[1]!thsiFinD("ths_adjustment_nv_fund",S$3,$A383))</f>
        <v/>
      </c>
      <c r="T383" s="13" t="str">
        <f>IF($A383="","",[1]!thsiFinD("ths_adjustment_nv_fund",T$3,$A383))</f>
        <v/>
      </c>
      <c r="U383" s="13" t="str">
        <f>IF($A383="","",[1]!thsiFinD("ths_adjustment_nv_fund",U$3,$A383))</f>
        <v/>
      </c>
      <c r="V383" s="13" t="str">
        <f>IF($A383="","",[1]!thsiFinD("ths_adjustment_nv_fund",V$3,$A383))</f>
        <v/>
      </c>
      <c r="W383" s="13" t="str">
        <f>IF($A383="","",[1]!thsiFinD("ths_adjustment_nv_fund",W$3,$A383))</f>
        <v/>
      </c>
      <c r="X383" s="13" t="str">
        <f>IF($A383="","",[1]!thsiFinD("ths_adjustment_nv_fund",X$3,$A383))</f>
        <v/>
      </c>
      <c r="Y383" s="13" t="str">
        <f>IF($A383="","",[1]!thsiFinD("ths_adjustment_nv_fund",Y$3,$A383))</f>
        <v/>
      </c>
      <c r="Z383" s="13" t="str">
        <f>IF($A383="","",[1]!thsiFinD("ths_adjustment_nv_fund",Z$3,$A383))</f>
        <v/>
      </c>
      <c r="AA383" s="13" t="str">
        <f>IF($A383="","",[1]!thsiFinD("ths_adjustment_nv_fund",AA$3,$A383))</f>
        <v/>
      </c>
      <c r="AB383" s="13">
        <f>IF($A383="","",[1]!thsiFinD("ths_adjustment_nv_fund",AB$3,$A383))</f>
        <v/>
      </c>
      <c r="AC383" s="13">
        <f>IF($A383="","",[1]!thsiFinD("ths_adjustment_nv_fund",AC$3,$A383))</f>
        <v/>
      </c>
      <c r="AD383" s="13">
        <f>IF($A383="","",[1]!thsiFinD("ths_adjustment_nv_fund",AD$3,$A383))</f>
        <v/>
      </c>
      <c r="AE383" s="13">
        <f>IF($A383="","",[1]!thsiFinD("ths_adjustment_nv_fund",AE$3,$A383))</f>
        <v/>
      </c>
      <c r="AF383" s="13">
        <f>IF($A383="","",[1]!thsiFinD("ths_adjustment_nv_fund",AF$3,$A383))</f>
        <v/>
      </c>
      <c r="AG383" s="13">
        <f>IF($A383="","",[1]!thsiFinD("ths_adjustment_nv_fund",AG$3,$A383))</f>
        <v/>
      </c>
      <c r="AH383" s="13">
        <f>IF($A383="","",[1]!thsiFinD("ths_adjustment_nv_fund",AH$3,$A383))</f>
        <v/>
      </c>
      <c r="AI383" s="13">
        <f>IF($A383="","",[1]!thsiFinD("ths_adjustment_nv_fund",AI$3,$A383))</f>
        <v/>
      </c>
      <c r="AJ383" s="13">
        <f>IF($A383="","",[1]!thsiFinD("ths_adjustment_nv_fund",AJ$3,$A383))</f>
        <v/>
      </c>
      <c r="AK383" s="13">
        <f>IF($A383="","",[1]!thsiFinD("ths_adjustment_nv_fund",AK$3,$A383))</f>
        <v/>
      </c>
      <c r="AL383" s="13">
        <f>IF($A383="","",[1]!thsiFinD("ths_adjustment_nv_fund",AL$3,$A383))</f>
        <v/>
      </c>
    </row>
    <row r="384" spans="2:28">
      <c r="B384" s="13" t="str">
        <f>IF($A384="","",[1]!thsiFinD("ths_adjustment_nv_fund",B$3,$A384))</f>
        <v/>
      </c>
      <c r="C384" s="13" t="str">
        <f>IF($A384="","",[1]!thsiFinD("ths_adjustment_nv_fund",C$3,$A384))</f>
        <v/>
      </c>
      <c r="D384" s="13" t="str">
        <f>IF($A384="","",[1]!thsiFinD("ths_adjustment_nv_fund",D$3,$A384))</f>
        <v/>
      </c>
      <c r="E384" s="13" t="str">
        <f>IF($A384="","",[1]!thsiFinD("ths_adjustment_nv_fund",E$3,$A384))</f>
        <v/>
      </c>
      <c r="F384" s="13" t="str">
        <f>IF($A384="","",[1]!thsiFinD("ths_adjustment_nv_fund",F$3,$A384))</f>
        <v/>
      </c>
      <c r="G384" s="13" t="str">
        <f>IF($A384="","",[1]!thsiFinD("ths_adjustment_nv_fund",G$3,$A384))</f>
        <v/>
      </c>
      <c r="H384" s="13" t="str">
        <f>IF($A384="","",[1]!thsiFinD("ths_adjustment_nv_fund",H$3,$A384))</f>
        <v/>
      </c>
      <c r="I384" s="13" t="str">
        <f>IF($A384="","",[1]!thsiFinD("ths_adjustment_nv_fund",I$3,$A384))</f>
        <v/>
      </c>
      <c r="J384" s="13" t="str">
        <f>IF($A384="","",[1]!thsiFinD("ths_adjustment_nv_fund",J$3,$A384))</f>
        <v/>
      </c>
      <c r="K384" s="13" t="str">
        <f>IF($A384="","",[1]!thsiFinD("ths_adjustment_nv_fund",K$3,$A384))</f>
        <v/>
      </c>
      <c r="L384" s="13" t="str">
        <f>IF($A384="","",[1]!thsiFinD("ths_adjustment_nv_fund",L$3,$A384))</f>
        <v/>
      </c>
      <c r="M384" s="13" t="str">
        <f>IF($A384="","",[1]!thsiFinD("ths_adjustment_nv_fund",M$3,$A384))</f>
        <v/>
      </c>
      <c r="N384" s="13" t="str">
        <f>IF($A384="","",[1]!thsiFinD("ths_adjustment_nv_fund",N$3,$A384))</f>
        <v/>
      </c>
      <c r="O384" s="13" t="str">
        <f>IF($A384="","",[1]!thsiFinD("ths_adjustment_nv_fund",O$3,$A384))</f>
        <v/>
      </c>
      <c r="P384" s="13" t="str">
        <f>IF($A384="","",[1]!thsiFinD("ths_adjustment_nv_fund",P$3,$A384))</f>
        <v/>
      </c>
      <c r="Q384" s="13" t="str">
        <f>IF($A384="","",[1]!thsiFinD("ths_adjustment_nv_fund",Q$3,$A384))</f>
        <v/>
      </c>
      <c r="R384" s="13" t="str">
        <f>IF($A384="","",[1]!thsiFinD("ths_adjustment_nv_fund",R$3,$A384))</f>
        <v/>
      </c>
      <c r="S384" s="13" t="str">
        <f>IF($A384="","",[1]!thsiFinD("ths_adjustment_nv_fund",S$3,$A384))</f>
        <v/>
      </c>
      <c r="T384" s="13" t="str">
        <f>IF($A384="","",[1]!thsiFinD("ths_adjustment_nv_fund",T$3,$A384))</f>
        <v/>
      </c>
      <c r="U384" s="13" t="str">
        <f>IF($A384="","",[1]!thsiFinD("ths_adjustment_nv_fund",U$3,$A384))</f>
        <v/>
      </c>
      <c r="V384" s="13" t="str">
        <f>IF($A384="","",[1]!thsiFinD("ths_adjustment_nv_fund",V$3,$A384))</f>
        <v/>
      </c>
      <c r="W384" s="13" t="str">
        <f>IF($A384="","",[1]!thsiFinD("ths_adjustment_nv_fund",W$3,$A384))</f>
        <v/>
      </c>
      <c r="X384" s="13" t="str">
        <f>IF($A384="","",[1]!thsiFinD("ths_adjustment_nv_fund",X$3,$A384))</f>
        <v/>
      </c>
      <c r="Y384" s="13" t="str">
        <f>IF($A384="","",[1]!thsiFinD("ths_adjustment_nv_fund",Y$3,$A384))</f>
        <v/>
      </c>
      <c r="Z384" s="13" t="str">
        <f>IF($A384="","",[1]!thsiFinD("ths_adjustment_nv_fund",Z$3,$A384))</f>
        <v/>
      </c>
      <c r="AA384" s="13" t="str">
        <f>IF($A384="","",[1]!thsiFinD("ths_adjustment_nv_fund",AA$3,$A384))</f>
        <v/>
      </c>
      <c r="AB384" s="13">
        <f>IF($A384="","",[1]!thsiFinD("ths_adjustment_nv_fund",AB$3,$A384))</f>
        <v/>
      </c>
      <c r="AC384" s="13">
        <f>IF($A384="","",[1]!thsiFinD("ths_adjustment_nv_fund",AC$3,$A384))</f>
        <v/>
      </c>
      <c r="AD384" s="13">
        <f>IF($A384="","",[1]!thsiFinD("ths_adjustment_nv_fund",AD$3,$A384))</f>
        <v/>
      </c>
      <c r="AE384" s="13">
        <f>IF($A384="","",[1]!thsiFinD("ths_adjustment_nv_fund",AE$3,$A384))</f>
        <v/>
      </c>
      <c r="AF384" s="13">
        <f>IF($A384="","",[1]!thsiFinD("ths_adjustment_nv_fund",AF$3,$A384))</f>
        <v/>
      </c>
      <c r="AG384" s="13">
        <f>IF($A384="","",[1]!thsiFinD("ths_adjustment_nv_fund",AG$3,$A384))</f>
        <v/>
      </c>
      <c r="AH384" s="13">
        <f>IF($A384="","",[1]!thsiFinD("ths_adjustment_nv_fund",AH$3,$A384))</f>
        <v/>
      </c>
      <c r="AI384" s="13">
        <f>IF($A384="","",[1]!thsiFinD("ths_adjustment_nv_fund",AI$3,$A384))</f>
        <v/>
      </c>
      <c r="AJ384" s="13">
        <f>IF($A384="","",[1]!thsiFinD("ths_adjustment_nv_fund",AJ$3,$A384))</f>
        <v/>
      </c>
      <c r="AK384" s="13">
        <f>IF($A384="","",[1]!thsiFinD("ths_adjustment_nv_fund",AK$3,$A384))</f>
        <v/>
      </c>
      <c r="AL384" s="13">
        <f>IF($A384="","",[1]!thsiFinD("ths_adjustment_nv_fund",AL$3,$A384))</f>
        <v/>
      </c>
    </row>
    <row r="385" spans="2:28">
      <c r="B385" s="13" t="str">
        <f>IF($A385="","",[1]!thsiFinD("ths_adjustment_nv_fund",B$3,$A385))</f>
        <v/>
      </c>
      <c r="C385" s="13" t="str">
        <f>IF($A385="","",[1]!thsiFinD("ths_adjustment_nv_fund",C$3,$A385))</f>
        <v/>
      </c>
      <c r="D385" s="13" t="str">
        <f>IF($A385="","",[1]!thsiFinD("ths_adjustment_nv_fund",D$3,$A385))</f>
        <v/>
      </c>
      <c r="E385" s="13" t="str">
        <f>IF($A385="","",[1]!thsiFinD("ths_adjustment_nv_fund",E$3,$A385))</f>
        <v/>
      </c>
      <c r="F385" s="13" t="str">
        <f>IF($A385="","",[1]!thsiFinD("ths_adjustment_nv_fund",F$3,$A385))</f>
        <v/>
      </c>
      <c r="G385" s="13" t="str">
        <f>IF($A385="","",[1]!thsiFinD("ths_adjustment_nv_fund",G$3,$A385))</f>
        <v/>
      </c>
      <c r="H385" s="13" t="str">
        <f>IF($A385="","",[1]!thsiFinD("ths_adjustment_nv_fund",H$3,$A385))</f>
        <v/>
      </c>
      <c r="I385" s="13" t="str">
        <f>IF($A385="","",[1]!thsiFinD("ths_adjustment_nv_fund",I$3,$A385))</f>
        <v/>
      </c>
      <c r="J385" s="13" t="str">
        <f>IF($A385="","",[1]!thsiFinD("ths_adjustment_nv_fund",J$3,$A385))</f>
        <v/>
      </c>
      <c r="K385" s="13" t="str">
        <f>IF($A385="","",[1]!thsiFinD("ths_adjustment_nv_fund",K$3,$A385))</f>
        <v/>
      </c>
      <c r="L385" s="13" t="str">
        <f>IF($A385="","",[1]!thsiFinD("ths_adjustment_nv_fund",L$3,$A385))</f>
        <v/>
      </c>
      <c r="M385" s="13" t="str">
        <f>IF($A385="","",[1]!thsiFinD("ths_adjustment_nv_fund",M$3,$A385))</f>
        <v/>
      </c>
      <c r="N385" s="13" t="str">
        <f>IF($A385="","",[1]!thsiFinD("ths_adjustment_nv_fund",N$3,$A385))</f>
        <v/>
      </c>
      <c r="O385" s="13" t="str">
        <f>IF($A385="","",[1]!thsiFinD("ths_adjustment_nv_fund",O$3,$A385))</f>
        <v/>
      </c>
      <c r="P385" s="13" t="str">
        <f>IF($A385="","",[1]!thsiFinD("ths_adjustment_nv_fund",P$3,$A385))</f>
        <v/>
      </c>
      <c r="Q385" s="13" t="str">
        <f>IF($A385="","",[1]!thsiFinD("ths_adjustment_nv_fund",Q$3,$A385))</f>
        <v/>
      </c>
      <c r="R385" s="13" t="str">
        <f>IF($A385="","",[1]!thsiFinD("ths_adjustment_nv_fund",R$3,$A385))</f>
        <v/>
      </c>
      <c r="S385" s="13" t="str">
        <f>IF($A385="","",[1]!thsiFinD("ths_adjustment_nv_fund",S$3,$A385))</f>
        <v/>
      </c>
      <c r="T385" s="13" t="str">
        <f>IF($A385="","",[1]!thsiFinD("ths_adjustment_nv_fund",T$3,$A385))</f>
        <v/>
      </c>
      <c r="U385" s="13" t="str">
        <f>IF($A385="","",[1]!thsiFinD("ths_adjustment_nv_fund",U$3,$A385))</f>
        <v/>
      </c>
      <c r="V385" s="13" t="str">
        <f>IF($A385="","",[1]!thsiFinD("ths_adjustment_nv_fund",V$3,$A385))</f>
        <v/>
      </c>
      <c r="W385" s="13" t="str">
        <f>IF($A385="","",[1]!thsiFinD("ths_adjustment_nv_fund",W$3,$A385))</f>
        <v/>
      </c>
      <c r="X385" s="13" t="str">
        <f>IF($A385="","",[1]!thsiFinD("ths_adjustment_nv_fund",X$3,$A385))</f>
        <v/>
      </c>
      <c r="Y385" s="13" t="str">
        <f>IF($A385="","",[1]!thsiFinD("ths_adjustment_nv_fund",Y$3,$A385))</f>
        <v/>
      </c>
      <c r="Z385" s="13" t="str">
        <f>IF($A385="","",[1]!thsiFinD("ths_adjustment_nv_fund",Z$3,$A385))</f>
        <v/>
      </c>
      <c r="AA385" s="13" t="str">
        <f>IF($A385="","",[1]!thsiFinD("ths_adjustment_nv_fund",AA$3,$A385))</f>
        <v/>
      </c>
      <c r="AB385" s="13">
        <f>IF($A385="","",[1]!thsiFinD("ths_adjustment_nv_fund",AB$3,$A385))</f>
        <v/>
      </c>
      <c r="AC385" s="13">
        <f>IF($A385="","",[1]!thsiFinD("ths_adjustment_nv_fund",AC$3,$A385))</f>
        <v/>
      </c>
      <c r="AD385" s="13">
        <f>IF($A385="","",[1]!thsiFinD("ths_adjustment_nv_fund",AD$3,$A385))</f>
        <v/>
      </c>
      <c r="AE385" s="13">
        <f>IF($A385="","",[1]!thsiFinD("ths_adjustment_nv_fund",AE$3,$A385))</f>
        <v/>
      </c>
      <c r="AF385" s="13">
        <f>IF($A385="","",[1]!thsiFinD("ths_adjustment_nv_fund",AF$3,$A385))</f>
        <v/>
      </c>
      <c r="AG385" s="13">
        <f>IF($A385="","",[1]!thsiFinD("ths_adjustment_nv_fund",AG$3,$A385))</f>
        <v/>
      </c>
      <c r="AH385" s="13">
        <f>IF($A385="","",[1]!thsiFinD("ths_adjustment_nv_fund",AH$3,$A385))</f>
        <v/>
      </c>
      <c r="AI385" s="13">
        <f>IF($A385="","",[1]!thsiFinD("ths_adjustment_nv_fund",AI$3,$A385))</f>
        <v/>
      </c>
      <c r="AJ385" s="13">
        <f>IF($A385="","",[1]!thsiFinD("ths_adjustment_nv_fund",AJ$3,$A385))</f>
        <v/>
      </c>
      <c r="AK385" s="13">
        <f>IF($A385="","",[1]!thsiFinD("ths_adjustment_nv_fund",AK$3,$A385))</f>
        <v/>
      </c>
      <c r="AL385" s="13">
        <f>IF($A385="","",[1]!thsiFinD("ths_adjustment_nv_fund",AL$3,$A385))</f>
        <v/>
      </c>
    </row>
    <row r="386" spans="2:28">
      <c r="B386" s="13" t="str">
        <f>IF($A386="","",[1]!thsiFinD("ths_adjustment_nv_fund",B$3,$A386))</f>
        <v/>
      </c>
      <c r="C386" s="13" t="str">
        <f>IF($A386="","",[1]!thsiFinD("ths_adjustment_nv_fund",C$3,$A386))</f>
        <v/>
      </c>
      <c r="D386" s="13" t="str">
        <f>IF($A386="","",[1]!thsiFinD("ths_adjustment_nv_fund",D$3,$A386))</f>
        <v/>
      </c>
      <c r="E386" s="13" t="str">
        <f>IF($A386="","",[1]!thsiFinD("ths_adjustment_nv_fund",E$3,$A386))</f>
        <v/>
      </c>
      <c r="F386" s="13" t="str">
        <f>IF($A386="","",[1]!thsiFinD("ths_adjustment_nv_fund",F$3,$A386))</f>
        <v/>
      </c>
      <c r="G386" s="13" t="str">
        <f>IF($A386="","",[1]!thsiFinD("ths_adjustment_nv_fund",G$3,$A386))</f>
        <v/>
      </c>
      <c r="H386" s="13" t="str">
        <f>IF($A386="","",[1]!thsiFinD("ths_adjustment_nv_fund",H$3,$A386))</f>
        <v/>
      </c>
      <c r="I386" s="13" t="str">
        <f>IF($A386="","",[1]!thsiFinD("ths_adjustment_nv_fund",I$3,$A386))</f>
        <v/>
      </c>
      <c r="J386" s="13" t="str">
        <f>IF($A386="","",[1]!thsiFinD("ths_adjustment_nv_fund",J$3,$A386))</f>
        <v/>
      </c>
      <c r="K386" s="13" t="str">
        <f>IF($A386="","",[1]!thsiFinD("ths_adjustment_nv_fund",K$3,$A386))</f>
        <v/>
      </c>
      <c r="L386" s="13" t="str">
        <f>IF($A386="","",[1]!thsiFinD("ths_adjustment_nv_fund",L$3,$A386))</f>
        <v/>
      </c>
      <c r="M386" s="13" t="str">
        <f>IF($A386="","",[1]!thsiFinD("ths_adjustment_nv_fund",M$3,$A386))</f>
        <v/>
      </c>
      <c r="N386" s="13" t="str">
        <f>IF($A386="","",[1]!thsiFinD("ths_adjustment_nv_fund",N$3,$A386))</f>
        <v/>
      </c>
      <c r="O386" s="13" t="str">
        <f>IF($A386="","",[1]!thsiFinD("ths_adjustment_nv_fund",O$3,$A386))</f>
        <v/>
      </c>
      <c r="P386" s="13" t="str">
        <f>IF($A386="","",[1]!thsiFinD("ths_adjustment_nv_fund",P$3,$A386))</f>
        <v/>
      </c>
      <c r="Q386" s="13" t="str">
        <f>IF($A386="","",[1]!thsiFinD("ths_adjustment_nv_fund",Q$3,$A386))</f>
        <v/>
      </c>
      <c r="R386" s="13" t="str">
        <f>IF($A386="","",[1]!thsiFinD("ths_adjustment_nv_fund",R$3,$A386))</f>
        <v/>
      </c>
      <c r="S386" s="13" t="str">
        <f>IF($A386="","",[1]!thsiFinD("ths_adjustment_nv_fund",S$3,$A386))</f>
        <v/>
      </c>
      <c r="T386" s="13" t="str">
        <f>IF($A386="","",[1]!thsiFinD("ths_adjustment_nv_fund",T$3,$A386))</f>
        <v/>
      </c>
      <c r="U386" s="13" t="str">
        <f>IF($A386="","",[1]!thsiFinD("ths_adjustment_nv_fund",U$3,$A386))</f>
        <v/>
      </c>
      <c r="V386" s="13" t="str">
        <f>IF($A386="","",[1]!thsiFinD("ths_adjustment_nv_fund",V$3,$A386))</f>
        <v/>
      </c>
      <c r="W386" s="13" t="str">
        <f>IF($A386="","",[1]!thsiFinD("ths_adjustment_nv_fund",W$3,$A386))</f>
        <v/>
      </c>
      <c r="X386" s="13" t="str">
        <f>IF($A386="","",[1]!thsiFinD("ths_adjustment_nv_fund",X$3,$A386))</f>
        <v/>
      </c>
      <c r="Y386" s="13" t="str">
        <f>IF($A386="","",[1]!thsiFinD("ths_adjustment_nv_fund",Y$3,$A386))</f>
        <v/>
      </c>
      <c r="Z386" s="13" t="str">
        <f>IF($A386="","",[1]!thsiFinD("ths_adjustment_nv_fund",Z$3,$A386))</f>
        <v/>
      </c>
      <c r="AA386" s="13" t="str">
        <f>IF($A386="","",[1]!thsiFinD("ths_adjustment_nv_fund",AA$3,$A386))</f>
        <v/>
      </c>
      <c r="AB386" s="13">
        <f>IF($A386="","",[1]!thsiFinD("ths_adjustment_nv_fund",AB$3,$A386))</f>
        <v/>
      </c>
      <c r="AC386" s="13">
        <f>IF($A386="","",[1]!thsiFinD("ths_adjustment_nv_fund",AC$3,$A386))</f>
        <v/>
      </c>
      <c r="AD386" s="13">
        <f>IF($A386="","",[1]!thsiFinD("ths_adjustment_nv_fund",AD$3,$A386))</f>
        <v/>
      </c>
      <c r="AE386" s="13">
        <f>IF($A386="","",[1]!thsiFinD("ths_adjustment_nv_fund",AE$3,$A386))</f>
        <v/>
      </c>
      <c r="AF386" s="13">
        <f>IF($A386="","",[1]!thsiFinD("ths_adjustment_nv_fund",AF$3,$A386))</f>
        <v/>
      </c>
      <c r="AG386" s="13">
        <f>IF($A386="","",[1]!thsiFinD("ths_adjustment_nv_fund",AG$3,$A386))</f>
        <v/>
      </c>
      <c r="AH386" s="13">
        <f>IF($A386="","",[1]!thsiFinD("ths_adjustment_nv_fund",AH$3,$A386))</f>
        <v/>
      </c>
      <c r="AI386" s="13">
        <f>IF($A386="","",[1]!thsiFinD("ths_adjustment_nv_fund",AI$3,$A386))</f>
        <v/>
      </c>
      <c r="AJ386" s="13">
        <f>IF($A386="","",[1]!thsiFinD("ths_adjustment_nv_fund",AJ$3,$A386))</f>
        <v/>
      </c>
      <c r="AK386" s="13">
        <f>IF($A386="","",[1]!thsiFinD("ths_adjustment_nv_fund",AK$3,$A386))</f>
        <v/>
      </c>
      <c r="AL386" s="13">
        <f>IF($A386="","",[1]!thsiFinD("ths_adjustment_nv_fund",AL$3,$A386))</f>
        <v/>
      </c>
    </row>
    <row r="387" spans="2:28">
      <c r="B387" s="13" t="str">
        <f>IF($A387="","",[1]!thsiFinD("ths_adjustment_nv_fund",B$3,$A387))</f>
        <v/>
      </c>
      <c r="C387" s="13" t="str">
        <f>IF($A387="","",[1]!thsiFinD("ths_adjustment_nv_fund",C$3,$A387))</f>
        <v/>
      </c>
      <c r="D387" s="13" t="str">
        <f>IF($A387="","",[1]!thsiFinD("ths_adjustment_nv_fund",D$3,$A387))</f>
        <v/>
      </c>
      <c r="E387" s="13" t="str">
        <f>IF($A387="","",[1]!thsiFinD("ths_adjustment_nv_fund",E$3,$A387))</f>
        <v/>
      </c>
      <c r="F387" s="13" t="str">
        <f>IF($A387="","",[1]!thsiFinD("ths_adjustment_nv_fund",F$3,$A387))</f>
        <v/>
      </c>
      <c r="G387" s="13" t="str">
        <f>IF($A387="","",[1]!thsiFinD("ths_adjustment_nv_fund",G$3,$A387))</f>
        <v/>
      </c>
      <c r="H387" s="13" t="str">
        <f>IF($A387="","",[1]!thsiFinD("ths_adjustment_nv_fund",H$3,$A387))</f>
        <v/>
      </c>
      <c r="I387" s="13" t="str">
        <f>IF($A387="","",[1]!thsiFinD("ths_adjustment_nv_fund",I$3,$A387))</f>
        <v/>
      </c>
      <c r="J387" s="13" t="str">
        <f>IF($A387="","",[1]!thsiFinD("ths_adjustment_nv_fund",J$3,$A387))</f>
        <v/>
      </c>
      <c r="K387" s="13" t="str">
        <f>IF($A387="","",[1]!thsiFinD("ths_adjustment_nv_fund",K$3,$A387))</f>
        <v/>
      </c>
      <c r="L387" s="13" t="str">
        <f>IF($A387="","",[1]!thsiFinD("ths_adjustment_nv_fund",L$3,$A387))</f>
        <v/>
      </c>
      <c r="M387" s="13" t="str">
        <f>IF($A387="","",[1]!thsiFinD("ths_adjustment_nv_fund",M$3,$A387))</f>
        <v/>
      </c>
      <c r="N387" s="13" t="str">
        <f>IF($A387="","",[1]!thsiFinD("ths_adjustment_nv_fund",N$3,$A387))</f>
        <v/>
      </c>
      <c r="O387" s="13" t="str">
        <f>IF($A387="","",[1]!thsiFinD("ths_adjustment_nv_fund",O$3,$A387))</f>
        <v/>
      </c>
      <c r="P387" s="13" t="str">
        <f>IF($A387="","",[1]!thsiFinD("ths_adjustment_nv_fund",P$3,$A387))</f>
        <v/>
      </c>
      <c r="Q387" s="13" t="str">
        <f>IF($A387="","",[1]!thsiFinD("ths_adjustment_nv_fund",Q$3,$A387))</f>
        <v/>
      </c>
      <c r="R387" s="13" t="str">
        <f>IF($A387="","",[1]!thsiFinD("ths_adjustment_nv_fund",R$3,$A387))</f>
        <v/>
      </c>
      <c r="S387" s="13" t="str">
        <f>IF($A387="","",[1]!thsiFinD("ths_adjustment_nv_fund",S$3,$A387))</f>
        <v/>
      </c>
      <c r="T387" s="13" t="str">
        <f>IF($A387="","",[1]!thsiFinD("ths_adjustment_nv_fund",T$3,$A387))</f>
        <v/>
      </c>
      <c r="U387" s="13" t="str">
        <f>IF($A387="","",[1]!thsiFinD("ths_adjustment_nv_fund",U$3,$A387))</f>
        <v/>
      </c>
      <c r="V387" s="13" t="str">
        <f>IF($A387="","",[1]!thsiFinD("ths_adjustment_nv_fund",V$3,$A387))</f>
        <v/>
      </c>
      <c r="W387" s="13" t="str">
        <f>IF($A387="","",[1]!thsiFinD("ths_adjustment_nv_fund",W$3,$A387))</f>
        <v/>
      </c>
      <c r="X387" s="13" t="str">
        <f>IF($A387="","",[1]!thsiFinD("ths_adjustment_nv_fund",X$3,$A387))</f>
        <v/>
      </c>
      <c r="Y387" s="13" t="str">
        <f>IF($A387="","",[1]!thsiFinD("ths_adjustment_nv_fund",Y$3,$A387))</f>
        <v/>
      </c>
      <c r="Z387" s="13" t="str">
        <f>IF($A387="","",[1]!thsiFinD("ths_adjustment_nv_fund",Z$3,$A387))</f>
        <v/>
      </c>
      <c r="AA387" s="13" t="str">
        <f>IF($A387="","",[1]!thsiFinD("ths_adjustment_nv_fund",AA$3,$A387))</f>
        <v/>
      </c>
      <c r="AB387" s="13">
        <f>IF($A387="","",[1]!thsiFinD("ths_adjustment_nv_fund",AB$3,$A387))</f>
        <v/>
      </c>
      <c r="AC387" s="13">
        <f>IF($A387="","",[1]!thsiFinD("ths_adjustment_nv_fund",AC$3,$A387))</f>
        <v/>
      </c>
      <c r="AD387" s="13">
        <f>IF($A387="","",[1]!thsiFinD("ths_adjustment_nv_fund",AD$3,$A387))</f>
        <v/>
      </c>
      <c r="AE387" s="13">
        <f>IF($A387="","",[1]!thsiFinD("ths_adjustment_nv_fund",AE$3,$A387))</f>
        <v/>
      </c>
      <c r="AF387" s="13">
        <f>IF($A387="","",[1]!thsiFinD("ths_adjustment_nv_fund",AF$3,$A387))</f>
        <v/>
      </c>
      <c r="AG387" s="13">
        <f>IF($A387="","",[1]!thsiFinD("ths_adjustment_nv_fund",AG$3,$A387))</f>
        <v/>
      </c>
      <c r="AH387" s="13">
        <f>IF($A387="","",[1]!thsiFinD("ths_adjustment_nv_fund",AH$3,$A387))</f>
        <v/>
      </c>
      <c r="AI387" s="13">
        <f>IF($A387="","",[1]!thsiFinD("ths_adjustment_nv_fund",AI$3,$A387))</f>
        <v/>
      </c>
      <c r="AJ387" s="13">
        <f>IF($A387="","",[1]!thsiFinD("ths_adjustment_nv_fund",AJ$3,$A387))</f>
        <v/>
      </c>
      <c r="AK387" s="13">
        <f>IF($A387="","",[1]!thsiFinD("ths_adjustment_nv_fund",AK$3,$A387))</f>
        <v/>
      </c>
      <c r="AL387" s="13">
        <f>IF($A387="","",[1]!thsiFinD("ths_adjustment_nv_fund",AL$3,$A387))</f>
        <v/>
      </c>
    </row>
    <row r="388" spans="2:28">
      <c r="B388" s="13" t="str">
        <f>IF($A388="","",[1]!thsiFinD("ths_adjustment_nv_fund",B$3,$A388))</f>
        <v/>
      </c>
      <c r="C388" s="13" t="str">
        <f>IF($A388="","",[1]!thsiFinD("ths_adjustment_nv_fund",C$3,$A388))</f>
        <v/>
      </c>
      <c r="D388" s="13" t="str">
        <f>IF($A388="","",[1]!thsiFinD("ths_adjustment_nv_fund",D$3,$A388))</f>
        <v/>
      </c>
      <c r="E388" s="13" t="str">
        <f>IF($A388="","",[1]!thsiFinD("ths_adjustment_nv_fund",E$3,$A388))</f>
        <v/>
      </c>
      <c r="F388" s="13" t="str">
        <f>IF($A388="","",[1]!thsiFinD("ths_adjustment_nv_fund",F$3,$A388))</f>
        <v/>
      </c>
      <c r="G388" s="13" t="str">
        <f>IF($A388="","",[1]!thsiFinD("ths_adjustment_nv_fund",G$3,$A388))</f>
        <v/>
      </c>
      <c r="H388" s="13" t="str">
        <f>IF($A388="","",[1]!thsiFinD("ths_adjustment_nv_fund",H$3,$A388))</f>
        <v/>
      </c>
      <c r="I388" s="13" t="str">
        <f>IF($A388="","",[1]!thsiFinD("ths_adjustment_nv_fund",I$3,$A388))</f>
        <v/>
      </c>
      <c r="J388" s="13" t="str">
        <f>IF($A388="","",[1]!thsiFinD("ths_adjustment_nv_fund",J$3,$A388))</f>
        <v/>
      </c>
      <c r="K388" s="13" t="str">
        <f>IF($A388="","",[1]!thsiFinD("ths_adjustment_nv_fund",K$3,$A388))</f>
        <v/>
      </c>
      <c r="L388" s="13" t="str">
        <f>IF($A388="","",[1]!thsiFinD("ths_adjustment_nv_fund",L$3,$A388))</f>
        <v/>
      </c>
      <c r="M388" s="13" t="str">
        <f>IF($A388="","",[1]!thsiFinD("ths_adjustment_nv_fund",M$3,$A388))</f>
        <v/>
      </c>
      <c r="N388" s="13" t="str">
        <f>IF($A388="","",[1]!thsiFinD("ths_adjustment_nv_fund",N$3,$A388))</f>
        <v/>
      </c>
      <c r="O388" s="13" t="str">
        <f>IF($A388="","",[1]!thsiFinD("ths_adjustment_nv_fund",O$3,$A388))</f>
        <v/>
      </c>
      <c r="P388" s="13" t="str">
        <f>IF($A388="","",[1]!thsiFinD("ths_adjustment_nv_fund",P$3,$A388))</f>
        <v/>
      </c>
      <c r="Q388" s="13" t="str">
        <f>IF($A388="","",[1]!thsiFinD("ths_adjustment_nv_fund",Q$3,$A388))</f>
        <v/>
      </c>
      <c r="R388" s="13" t="str">
        <f>IF($A388="","",[1]!thsiFinD("ths_adjustment_nv_fund",R$3,$A388))</f>
        <v/>
      </c>
      <c r="S388" s="13" t="str">
        <f>IF($A388="","",[1]!thsiFinD("ths_adjustment_nv_fund",S$3,$A388))</f>
        <v/>
      </c>
      <c r="T388" s="13" t="str">
        <f>IF($A388="","",[1]!thsiFinD("ths_adjustment_nv_fund",T$3,$A388))</f>
        <v/>
      </c>
      <c r="U388" s="13" t="str">
        <f>IF($A388="","",[1]!thsiFinD("ths_adjustment_nv_fund",U$3,$A388))</f>
        <v/>
      </c>
      <c r="V388" s="13" t="str">
        <f>IF($A388="","",[1]!thsiFinD("ths_adjustment_nv_fund",V$3,$A388))</f>
        <v/>
      </c>
      <c r="W388" s="13" t="str">
        <f>IF($A388="","",[1]!thsiFinD("ths_adjustment_nv_fund",W$3,$A388))</f>
        <v/>
      </c>
      <c r="X388" s="13" t="str">
        <f>IF($A388="","",[1]!thsiFinD("ths_adjustment_nv_fund",X$3,$A388))</f>
        <v/>
      </c>
      <c r="Y388" s="13" t="str">
        <f>IF($A388="","",[1]!thsiFinD("ths_adjustment_nv_fund",Y$3,$A388))</f>
        <v/>
      </c>
      <c r="Z388" s="13" t="str">
        <f>IF($A388="","",[1]!thsiFinD("ths_adjustment_nv_fund",Z$3,$A388))</f>
        <v/>
      </c>
      <c r="AA388" s="13" t="str">
        <f>IF($A388="","",[1]!thsiFinD("ths_adjustment_nv_fund",AA$3,$A388))</f>
        <v/>
      </c>
      <c r="AB388" s="13">
        <f>IF($A388="","",[1]!thsiFinD("ths_adjustment_nv_fund",AB$3,$A388))</f>
        <v/>
      </c>
      <c r="AC388" s="13">
        <f>IF($A388="","",[1]!thsiFinD("ths_adjustment_nv_fund",AC$3,$A388))</f>
        <v/>
      </c>
      <c r="AD388" s="13">
        <f>IF($A388="","",[1]!thsiFinD("ths_adjustment_nv_fund",AD$3,$A388))</f>
        <v/>
      </c>
      <c r="AE388" s="13">
        <f>IF($A388="","",[1]!thsiFinD("ths_adjustment_nv_fund",AE$3,$A388))</f>
        <v/>
      </c>
      <c r="AF388" s="13">
        <f>IF($A388="","",[1]!thsiFinD("ths_adjustment_nv_fund",AF$3,$A388))</f>
        <v/>
      </c>
      <c r="AG388" s="13">
        <f>IF($A388="","",[1]!thsiFinD("ths_adjustment_nv_fund",AG$3,$A388))</f>
        <v/>
      </c>
      <c r="AH388" s="13">
        <f>IF($A388="","",[1]!thsiFinD("ths_adjustment_nv_fund",AH$3,$A388))</f>
        <v/>
      </c>
      <c r="AI388" s="13">
        <f>IF($A388="","",[1]!thsiFinD("ths_adjustment_nv_fund",AI$3,$A388))</f>
        <v/>
      </c>
      <c r="AJ388" s="13">
        <f>IF($A388="","",[1]!thsiFinD("ths_adjustment_nv_fund",AJ$3,$A388))</f>
        <v/>
      </c>
      <c r="AK388" s="13">
        <f>IF($A388="","",[1]!thsiFinD("ths_adjustment_nv_fund",AK$3,$A388))</f>
        <v/>
      </c>
      <c r="AL388" s="13">
        <f>IF($A388="","",[1]!thsiFinD("ths_adjustment_nv_fund",AL$3,$A388))</f>
        <v/>
      </c>
    </row>
    <row r="389" spans="2:28">
      <c r="B389" s="13" t="str">
        <f>IF($A389="","",[1]!thsiFinD("ths_adjustment_nv_fund",B$3,$A389))</f>
        <v/>
      </c>
      <c r="C389" s="13" t="str">
        <f>IF($A389="","",[1]!thsiFinD("ths_adjustment_nv_fund",C$3,$A389))</f>
        <v/>
      </c>
      <c r="D389" s="13" t="str">
        <f>IF($A389="","",[1]!thsiFinD("ths_adjustment_nv_fund",D$3,$A389))</f>
        <v/>
      </c>
      <c r="E389" s="13" t="str">
        <f>IF($A389="","",[1]!thsiFinD("ths_adjustment_nv_fund",E$3,$A389))</f>
        <v/>
      </c>
      <c r="F389" s="13" t="str">
        <f>IF($A389="","",[1]!thsiFinD("ths_adjustment_nv_fund",F$3,$A389))</f>
        <v/>
      </c>
      <c r="G389" s="13" t="str">
        <f>IF($A389="","",[1]!thsiFinD("ths_adjustment_nv_fund",G$3,$A389))</f>
        <v/>
      </c>
      <c r="H389" s="13" t="str">
        <f>IF($A389="","",[1]!thsiFinD("ths_adjustment_nv_fund",H$3,$A389))</f>
        <v/>
      </c>
      <c r="I389" s="13" t="str">
        <f>IF($A389="","",[1]!thsiFinD("ths_adjustment_nv_fund",I$3,$A389))</f>
        <v/>
      </c>
      <c r="J389" s="13" t="str">
        <f>IF($A389="","",[1]!thsiFinD("ths_adjustment_nv_fund",J$3,$A389))</f>
        <v/>
      </c>
      <c r="K389" s="13" t="str">
        <f>IF($A389="","",[1]!thsiFinD("ths_adjustment_nv_fund",K$3,$A389))</f>
        <v/>
      </c>
      <c r="L389" s="13" t="str">
        <f>IF($A389="","",[1]!thsiFinD("ths_adjustment_nv_fund",L$3,$A389))</f>
        <v/>
      </c>
      <c r="M389" s="13" t="str">
        <f>IF($A389="","",[1]!thsiFinD("ths_adjustment_nv_fund",M$3,$A389))</f>
        <v/>
      </c>
      <c r="N389" s="13" t="str">
        <f>IF($A389="","",[1]!thsiFinD("ths_adjustment_nv_fund",N$3,$A389))</f>
        <v/>
      </c>
      <c r="O389" s="13" t="str">
        <f>IF($A389="","",[1]!thsiFinD("ths_adjustment_nv_fund",O$3,$A389))</f>
        <v/>
      </c>
      <c r="P389" s="13" t="str">
        <f>IF($A389="","",[1]!thsiFinD("ths_adjustment_nv_fund",P$3,$A389))</f>
        <v/>
      </c>
      <c r="Q389" s="13" t="str">
        <f>IF($A389="","",[1]!thsiFinD("ths_adjustment_nv_fund",Q$3,$A389))</f>
        <v/>
      </c>
      <c r="R389" s="13" t="str">
        <f>IF($A389="","",[1]!thsiFinD("ths_adjustment_nv_fund",R$3,$A389))</f>
        <v/>
      </c>
      <c r="S389" s="13" t="str">
        <f>IF($A389="","",[1]!thsiFinD("ths_adjustment_nv_fund",S$3,$A389))</f>
        <v/>
      </c>
      <c r="T389" s="13" t="str">
        <f>IF($A389="","",[1]!thsiFinD("ths_adjustment_nv_fund",T$3,$A389))</f>
        <v/>
      </c>
      <c r="U389" s="13" t="str">
        <f>IF($A389="","",[1]!thsiFinD("ths_adjustment_nv_fund",U$3,$A389))</f>
        <v/>
      </c>
      <c r="V389" s="13" t="str">
        <f>IF($A389="","",[1]!thsiFinD("ths_adjustment_nv_fund",V$3,$A389))</f>
        <v/>
      </c>
      <c r="W389" s="13" t="str">
        <f>IF($A389="","",[1]!thsiFinD("ths_adjustment_nv_fund",W$3,$A389))</f>
        <v/>
      </c>
      <c r="X389" s="13" t="str">
        <f>IF($A389="","",[1]!thsiFinD("ths_adjustment_nv_fund",X$3,$A389))</f>
        <v/>
      </c>
      <c r="Y389" s="13" t="str">
        <f>IF($A389="","",[1]!thsiFinD("ths_adjustment_nv_fund",Y$3,$A389))</f>
        <v/>
      </c>
      <c r="Z389" s="13" t="str">
        <f>IF($A389="","",[1]!thsiFinD("ths_adjustment_nv_fund",Z$3,$A389))</f>
        <v/>
      </c>
      <c r="AA389" s="13" t="str">
        <f>IF($A389="","",[1]!thsiFinD("ths_adjustment_nv_fund",AA$3,$A389))</f>
        <v/>
      </c>
      <c r="AB389" s="13">
        <f>IF($A389="","",[1]!thsiFinD("ths_adjustment_nv_fund",AB$3,$A389))</f>
        <v/>
      </c>
      <c r="AC389" s="13">
        <f>IF($A389="","",[1]!thsiFinD("ths_adjustment_nv_fund",AC$3,$A389))</f>
        <v/>
      </c>
      <c r="AD389" s="13">
        <f>IF($A389="","",[1]!thsiFinD("ths_adjustment_nv_fund",AD$3,$A389))</f>
        <v/>
      </c>
      <c r="AE389" s="13">
        <f>IF($A389="","",[1]!thsiFinD("ths_adjustment_nv_fund",AE$3,$A389))</f>
        <v/>
      </c>
      <c r="AF389" s="13">
        <f>IF($A389="","",[1]!thsiFinD("ths_adjustment_nv_fund",AF$3,$A389))</f>
        <v/>
      </c>
      <c r="AG389" s="13">
        <f>IF($A389="","",[1]!thsiFinD("ths_adjustment_nv_fund",AG$3,$A389))</f>
        <v/>
      </c>
      <c r="AH389" s="13">
        <f>IF($A389="","",[1]!thsiFinD("ths_adjustment_nv_fund",AH$3,$A389))</f>
        <v/>
      </c>
      <c r="AI389" s="13">
        <f>IF($A389="","",[1]!thsiFinD("ths_adjustment_nv_fund",AI$3,$A389))</f>
        <v/>
      </c>
      <c r="AJ389" s="13">
        <f>IF($A389="","",[1]!thsiFinD("ths_adjustment_nv_fund",AJ$3,$A389))</f>
        <v/>
      </c>
      <c r="AK389" s="13">
        <f>IF($A389="","",[1]!thsiFinD("ths_adjustment_nv_fund",AK$3,$A389))</f>
        <v/>
      </c>
      <c r="AL389" s="13">
        <f>IF($A389="","",[1]!thsiFinD("ths_adjustment_nv_fund",AL$3,$A389))</f>
        <v/>
      </c>
    </row>
    <row r="390" spans="2:28">
      <c r="B390" s="13" t="str">
        <f>IF($A390="","",[1]!thsiFinD("ths_adjustment_nv_fund",B$3,$A390))</f>
        <v/>
      </c>
      <c r="C390" s="13" t="str">
        <f>IF($A390="","",[1]!thsiFinD("ths_adjustment_nv_fund",C$3,$A390))</f>
        <v/>
      </c>
      <c r="D390" s="13" t="str">
        <f>IF($A390="","",[1]!thsiFinD("ths_adjustment_nv_fund",D$3,$A390))</f>
        <v/>
      </c>
      <c r="E390" s="13" t="str">
        <f>IF($A390="","",[1]!thsiFinD("ths_adjustment_nv_fund",E$3,$A390))</f>
        <v/>
      </c>
      <c r="F390" s="13" t="str">
        <f>IF($A390="","",[1]!thsiFinD("ths_adjustment_nv_fund",F$3,$A390))</f>
        <v/>
      </c>
      <c r="G390" s="13" t="str">
        <f>IF($A390="","",[1]!thsiFinD("ths_adjustment_nv_fund",G$3,$A390))</f>
        <v/>
      </c>
      <c r="H390" s="13" t="str">
        <f>IF($A390="","",[1]!thsiFinD("ths_adjustment_nv_fund",H$3,$A390))</f>
        <v/>
      </c>
      <c r="I390" s="13" t="str">
        <f>IF($A390="","",[1]!thsiFinD("ths_adjustment_nv_fund",I$3,$A390))</f>
        <v/>
      </c>
      <c r="J390" s="13" t="str">
        <f>IF($A390="","",[1]!thsiFinD("ths_adjustment_nv_fund",J$3,$A390))</f>
        <v/>
      </c>
      <c r="K390" s="13" t="str">
        <f>IF($A390="","",[1]!thsiFinD("ths_adjustment_nv_fund",K$3,$A390))</f>
        <v/>
      </c>
      <c r="L390" s="13" t="str">
        <f>IF($A390="","",[1]!thsiFinD("ths_adjustment_nv_fund",L$3,$A390))</f>
        <v/>
      </c>
      <c r="M390" s="13" t="str">
        <f>IF($A390="","",[1]!thsiFinD("ths_adjustment_nv_fund",M$3,$A390))</f>
        <v/>
      </c>
      <c r="N390" s="13" t="str">
        <f>IF($A390="","",[1]!thsiFinD("ths_adjustment_nv_fund",N$3,$A390))</f>
        <v/>
      </c>
      <c r="O390" s="13" t="str">
        <f>IF($A390="","",[1]!thsiFinD("ths_adjustment_nv_fund",O$3,$A390))</f>
        <v/>
      </c>
      <c r="P390" s="13" t="str">
        <f>IF($A390="","",[1]!thsiFinD("ths_adjustment_nv_fund",P$3,$A390))</f>
        <v/>
      </c>
      <c r="Q390" s="13" t="str">
        <f>IF($A390="","",[1]!thsiFinD("ths_adjustment_nv_fund",Q$3,$A390))</f>
        <v/>
      </c>
      <c r="R390" s="13" t="str">
        <f>IF($A390="","",[1]!thsiFinD("ths_adjustment_nv_fund",R$3,$A390))</f>
        <v/>
      </c>
      <c r="S390" s="13" t="str">
        <f>IF($A390="","",[1]!thsiFinD("ths_adjustment_nv_fund",S$3,$A390))</f>
        <v/>
      </c>
      <c r="T390" s="13" t="str">
        <f>IF($A390="","",[1]!thsiFinD("ths_adjustment_nv_fund",T$3,$A390))</f>
        <v/>
      </c>
      <c r="U390" s="13" t="str">
        <f>IF($A390="","",[1]!thsiFinD("ths_adjustment_nv_fund",U$3,$A390))</f>
        <v/>
      </c>
      <c r="V390" s="13" t="str">
        <f>IF($A390="","",[1]!thsiFinD("ths_adjustment_nv_fund",V$3,$A390))</f>
        <v/>
      </c>
      <c r="W390" s="13" t="str">
        <f>IF($A390="","",[1]!thsiFinD("ths_adjustment_nv_fund",W$3,$A390))</f>
        <v/>
      </c>
      <c r="X390" s="13" t="str">
        <f>IF($A390="","",[1]!thsiFinD("ths_adjustment_nv_fund",X$3,$A390))</f>
        <v/>
      </c>
      <c r="Y390" s="13" t="str">
        <f>IF($A390="","",[1]!thsiFinD("ths_adjustment_nv_fund",Y$3,$A390))</f>
        <v/>
      </c>
      <c r="Z390" s="13" t="str">
        <f>IF($A390="","",[1]!thsiFinD("ths_adjustment_nv_fund",Z$3,$A390))</f>
        <v/>
      </c>
      <c r="AA390" s="13" t="str">
        <f>IF($A390="","",[1]!thsiFinD("ths_adjustment_nv_fund",AA$3,$A390))</f>
        <v/>
      </c>
      <c r="AB390" s="13">
        <f>IF($A390="","",[1]!thsiFinD("ths_adjustment_nv_fund",AB$3,$A390))</f>
        <v/>
      </c>
      <c r="AC390" s="13">
        <f>IF($A390="","",[1]!thsiFinD("ths_adjustment_nv_fund",AC$3,$A390))</f>
        <v/>
      </c>
      <c r="AD390" s="13">
        <f>IF($A390="","",[1]!thsiFinD("ths_adjustment_nv_fund",AD$3,$A390))</f>
        <v/>
      </c>
      <c r="AE390" s="13">
        <f>IF($A390="","",[1]!thsiFinD("ths_adjustment_nv_fund",AE$3,$A390))</f>
        <v/>
      </c>
      <c r="AF390" s="13">
        <f>IF($A390="","",[1]!thsiFinD("ths_adjustment_nv_fund",AF$3,$A390))</f>
        <v/>
      </c>
      <c r="AG390" s="13">
        <f>IF($A390="","",[1]!thsiFinD("ths_adjustment_nv_fund",AG$3,$A390))</f>
        <v/>
      </c>
      <c r="AH390" s="13">
        <f>IF($A390="","",[1]!thsiFinD("ths_adjustment_nv_fund",AH$3,$A390))</f>
        <v/>
      </c>
      <c r="AI390" s="13">
        <f>IF($A390="","",[1]!thsiFinD("ths_adjustment_nv_fund",AI$3,$A390))</f>
        <v/>
      </c>
      <c r="AJ390" s="13">
        <f>IF($A390="","",[1]!thsiFinD("ths_adjustment_nv_fund",AJ$3,$A390))</f>
        <v/>
      </c>
      <c r="AK390" s="13">
        <f>IF($A390="","",[1]!thsiFinD("ths_adjustment_nv_fund",AK$3,$A390))</f>
        <v/>
      </c>
      <c r="AL390" s="13">
        <f>IF($A390="","",[1]!thsiFinD("ths_adjustment_nv_fund",AL$3,$A390))</f>
        <v/>
      </c>
    </row>
    <row r="391" spans="2:28">
      <c r="B391" s="13" t="str">
        <f>IF($A391="","",[1]!thsiFinD("ths_adjustment_nv_fund",B$3,$A391))</f>
        <v/>
      </c>
      <c r="C391" s="13" t="str">
        <f>IF($A391="","",[1]!thsiFinD("ths_adjustment_nv_fund",C$3,$A391))</f>
        <v/>
      </c>
      <c r="D391" s="13" t="str">
        <f>IF($A391="","",[1]!thsiFinD("ths_adjustment_nv_fund",D$3,$A391))</f>
        <v/>
      </c>
      <c r="E391" s="13" t="str">
        <f>IF($A391="","",[1]!thsiFinD("ths_adjustment_nv_fund",E$3,$A391))</f>
        <v/>
      </c>
      <c r="F391" s="13" t="str">
        <f>IF($A391="","",[1]!thsiFinD("ths_adjustment_nv_fund",F$3,$A391))</f>
        <v/>
      </c>
      <c r="G391" s="13" t="str">
        <f>IF($A391="","",[1]!thsiFinD("ths_adjustment_nv_fund",G$3,$A391))</f>
        <v/>
      </c>
      <c r="H391" s="13" t="str">
        <f>IF($A391="","",[1]!thsiFinD("ths_adjustment_nv_fund",H$3,$A391))</f>
        <v/>
      </c>
      <c r="I391" s="13" t="str">
        <f>IF($A391="","",[1]!thsiFinD("ths_adjustment_nv_fund",I$3,$A391))</f>
        <v/>
      </c>
      <c r="J391" s="13" t="str">
        <f>IF($A391="","",[1]!thsiFinD("ths_adjustment_nv_fund",J$3,$A391))</f>
        <v/>
      </c>
      <c r="K391" s="13" t="str">
        <f>IF($A391="","",[1]!thsiFinD("ths_adjustment_nv_fund",K$3,$A391))</f>
        <v/>
      </c>
      <c r="L391" s="13" t="str">
        <f>IF($A391="","",[1]!thsiFinD("ths_adjustment_nv_fund",L$3,$A391))</f>
        <v/>
      </c>
      <c r="M391" s="13" t="str">
        <f>IF($A391="","",[1]!thsiFinD("ths_adjustment_nv_fund",M$3,$A391))</f>
        <v/>
      </c>
      <c r="N391" s="13" t="str">
        <f>IF($A391="","",[1]!thsiFinD("ths_adjustment_nv_fund",N$3,$A391))</f>
        <v/>
      </c>
      <c r="O391" s="13" t="str">
        <f>IF($A391="","",[1]!thsiFinD("ths_adjustment_nv_fund",O$3,$A391))</f>
        <v/>
      </c>
      <c r="P391" s="13" t="str">
        <f>IF($A391="","",[1]!thsiFinD("ths_adjustment_nv_fund",P$3,$A391))</f>
        <v/>
      </c>
      <c r="Q391" s="13" t="str">
        <f>IF($A391="","",[1]!thsiFinD("ths_adjustment_nv_fund",Q$3,$A391))</f>
        <v/>
      </c>
      <c r="R391" s="13" t="str">
        <f>IF($A391="","",[1]!thsiFinD("ths_adjustment_nv_fund",R$3,$A391))</f>
        <v/>
      </c>
      <c r="S391" s="13" t="str">
        <f>IF($A391="","",[1]!thsiFinD("ths_adjustment_nv_fund",S$3,$A391))</f>
        <v/>
      </c>
      <c r="T391" s="13" t="str">
        <f>IF($A391="","",[1]!thsiFinD("ths_adjustment_nv_fund",T$3,$A391))</f>
        <v/>
      </c>
      <c r="U391" s="13" t="str">
        <f>IF($A391="","",[1]!thsiFinD("ths_adjustment_nv_fund",U$3,$A391))</f>
        <v/>
      </c>
      <c r="V391" s="13" t="str">
        <f>IF($A391="","",[1]!thsiFinD("ths_adjustment_nv_fund",V$3,$A391))</f>
        <v/>
      </c>
      <c r="W391" s="13" t="str">
        <f>IF($A391="","",[1]!thsiFinD("ths_adjustment_nv_fund",W$3,$A391))</f>
        <v/>
      </c>
      <c r="X391" s="13" t="str">
        <f>IF($A391="","",[1]!thsiFinD("ths_adjustment_nv_fund",X$3,$A391))</f>
        <v/>
      </c>
      <c r="Y391" s="13" t="str">
        <f>IF($A391="","",[1]!thsiFinD("ths_adjustment_nv_fund",Y$3,$A391))</f>
        <v/>
      </c>
      <c r="Z391" s="13" t="str">
        <f>IF($A391="","",[1]!thsiFinD("ths_adjustment_nv_fund",Z$3,$A391))</f>
        <v/>
      </c>
      <c r="AA391" s="13" t="str">
        <f>IF($A391="","",[1]!thsiFinD("ths_adjustment_nv_fund",AA$3,$A391))</f>
        <v/>
      </c>
      <c r="AB391" s="13">
        <f>IF($A391="","",[1]!thsiFinD("ths_adjustment_nv_fund",AB$3,$A391))</f>
        <v/>
      </c>
      <c r="AC391" s="13">
        <f>IF($A391="","",[1]!thsiFinD("ths_adjustment_nv_fund",AC$3,$A391))</f>
        <v/>
      </c>
      <c r="AD391" s="13">
        <f>IF($A391="","",[1]!thsiFinD("ths_adjustment_nv_fund",AD$3,$A391))</f>
        <v/>
      </c>
      <c r="AE391" s="13">
        <f>IF($A391="","",[1]!thsiFinD("ths_adjustment_nv_fund",AE$3,$A391))</f>
        <v/>
      </c>
      <c r="AF391" s="13">
        <f>IF($A391="","",[1]!thsiFinD("ths_adjustment_nv_fund",AF$3,$A391))</f>
        <v/>
      </c>
      <c r="AG391" s="13">
        <f>IF($A391="","",[1]!thsiFinD("ths_adjustment_nv_fund",AG$3,$A391))</f>
        <v/>
      </c>
      <c r="AH391" s="13">
        <f>IF($A391="","",[1]!thsiFinD("ths_adjustment_nv_fund",AH$3,$A391))</f>
        <v/>
      </c>
      <c r="AI391" s="13">
        <f>IF($A391="","",[1]!thsiFinD("ths_adjustment_nv_fund",AI$3,$A391))</f>
        <v/>
      </c>
      <c r="AJ391" s="13">
        <f>IF($A391="","",[1]!thsiFinD("ths_adjustment_nv_fund",AJ$3,$A391))</f>
        <v/>
      </c>
      <c r="AK391" s="13">
        <f>IF($A391="","",[1]!thsiFinD("ths_adjustment_nv_fund",AK$3,$A391))</f>
        <v/>
      </c>
      <c r="AL391" s="13">
        <f>IF($A391="","",[1]!thsiFinD("ths_adjustment_nv_fund",AL$3,$A391))</f>
        <v/>
      </c>
    </row>
    <row r="392" spans="2:28">
      <c r="B392" s="13" t="str">
        <f>IF($A392="","",[1]!thsiFinD("ths_adjustment_nv_fund",B$3,$A392))</f>
        <v/>
      </c>
      <c r="C392" s="13" t="str">
        <f>IF($A392="","",[1]!thsiFinD("ths_adjustment_nv_fund",C$3,$A392))</f>
        <v/>
      </c>
      <c r="D392" s="13" t="str">
        <f>IF($A392="","",[1]!thsiFinD("ths_adjustment_nv_fund",D$3,$A392))</f>
        <v/>
      </c>
      <c r="E392" s="13" t="str">
        <f>IF($A392="","",[1]!thsiFinD("ths_adjustment_nv_fund",E$3,$A392))</f>
        <v/>
      </c>
      <c r="F392" s="13" t="str">
        <f>IF($A392="","",[1]!thsiFinD("ths_adjustment_nv_fund",F$3,$A392))</f>
        <v/>
      </c>
      <c r="G392" s="13" t="str">
        <f>IF($A392="","",[1]!thsiFinD("ths_adjustment_nv_fund",G$3,$A392))</f>
        <v/>
      </c>
      <c r="H392" s="13" t="str">
        <f>IF($A392="","",[1]!thsiFinD("ths_adjustment_nv_fund",H$3,$A392))</f>
        <v/>
      </c>
      <c r="I392" s="13" t="str">
        <f>IF($A392="","",[1]!thsiFinD("ths_adjustment_nv_fund",I$3,$A392))</f>
        <v/>
      </c>
      <c r="J392" s="13" t="str">
        <f>IF($A392="","",[1]!thsiFinD("ths_adjustment_nv_fund",J$3,$A392))</f>
        <v/>
      </c>
      <c r="K392" s="13" t="str">
        <f>IF($A392="","",[1]!thsiFinD("ths_adjustment_nv_fund",K$3,$A392))</f>
        <v/>
      </c>
      <c r="L392" s="13" t="str">
        <f>IF($A392="","",[1]!thsiFinD("ths_adjustment_nv_fund",L$3,$A392))</f>
        <v/>
      </c>
      <c r="M392" s="13" t="str">
        <f>IF($A392="","",[1]!thsiFinD("ths_adjustment_nv_fund",M$3,$A392))</f>
        <v/>
      </c>
      <c r="N392" s="13" t="str">
        <f>IF($A392="","",[1]!thsiFinD("ths_adjustment_nv_fund",N$3,$A392))</f>
        <v/>
      </c>
      <c r="O392" s="13" t="str">
        <f>IF($A392="","",[1]!thsiFinD("ths_adjustment_nv_fund",O$3,$A392))</f>
        <v/>
      </c>
      <c r="P392" s="13" t="str">
        <f>IF($A392="","",[1]!thsiFinD("ths_adjustment_nv_fund",P$3,$A392))</f>
        <v/>
      </c>
      <c r="Q392" s="13" t="str">
        <f>IF($A392="","",[1]!thsiFinD("ths_adjustment_nv_fund",Q$3,$A392))</f>
        <v/>
      </c>
      <c r="R392" s="13" t="str">
        <f>IF($A392="","",[1]!thsiFinD("ths_adjustment_nv_fund",R$3,$A392))</f>
        <v/>
      </c>
      <c r="S392" s="13" t="str">
        <f>IF($A392="","",[1]!thsiFinD("ths_adjustment_nv_fund",S$3,$A392))</f>
        <v/>
      </c>
      <c r="T392" s="13" t="str">
        <f>IF($A392="","",[1]!thsiFinD("ths_adjustment_nv_fund",T$3,$A392))</f>
        <v/>
      </c>
      <c r="U392" s="13" t="str">
        <f>IF($A392="","",[1]!thsiFinD("ths_adjustment_nv_fund",U$3,$A392))</f>
        <v/>
      </c>
      <c r="V392" s="13" t="str">
        <f>IF($A392="","",[1]!thsiFinD("ths_adjustment_nv_fund",V$3,$A392))</f>
        <v/>
      </c>
      <c r="W392" s="13" t="str">
        <f>IF($A392="","",[1]!thsiFinD("ths_adjustment_nv_fund",W$3,$A392))</f>
        <v/>
      </c>
      <c r="X392" s="13" t="str">
        <f>IF($A392="","",[1]!thsiFinD("ths_adjustment_nv_fund",X$3,$A392))</f>
        <v/>
      </c>
      <c r="Y392" s="13" t="str">
        <f>IF($A392="","",[1]!thsiFinD("ths_adjustment_nv_fund",Y$3,$A392))</f>
        <v/>
      </c>
      <c r="Z392" s="13" t="str">
        <f>IF($A392="","",[1]!thsiFinD("ths_adjustment_nv_fund",Z$3,$A392))</f>
        <v/>
      </c>
      <c r="AA392" s="13" t="str">
        <f>IF($A392="","",[1]!thsiFinD("ths_adjustment_nv_fund",AA$3,$A392))</f>
        <v/>
      </c>
      <c r="AB392" s="13">
        <f>IF($A392="","",[1]!thsiFinD("ths_adjustment_nv_fund",AB$3,$A392))</f>
        <v/>
      </c>
      <c r="AC392" s="13">
        <f>IF($A392="","",[1]!thsiFinD("ths_adjustment_nv_fund",AC$3,$A392))</f>
        <v/>
      </c>
      <c r="AD392" s="13">
        <f>IF($A392="","",[1]!thsiFinD("ths_adjustment_nv_fund",AD$3,$A392))</f>
        <v/>
      </c>
      <c r="AE392" s="13">
        <f>IF($A392="","",[1]!thsiFinD("ths_adjustment_nv_fund",AE$3,$A392))</f>
        <v/>
      </c>
      <c r="AF392" s="13">
        <f>IF($A392="","",[1]!thsiFinD("ths_adjustment_nv_fund",AF$3,$A392))</f>
        <v/>
      </c>
      <c r="AG392" s="13">
        <f>IF($A392="","",[1]!thsiFinD("ths_adjustment_nv_fund",AG$3,$A392))</f>
        <v/>
      </c>
      <c r="AH392" s="13">
        <f>IF($A392="","",[1]!thsiFinD("ths_adjustment_nv_fund",AH$3,$A392))</f>
        <v/>
      </c>
      <c r="AI392" s="13">
        <f>IF($A392="","",[1]!thsiFinD("ths_adjustment_nv_fund",AI$3,$A392))</f>
        <v/>
      </c>
      <c r="AJ392" s="13">
        <f>IF($A392="","",[1]!thsiFinD("ths_adjustment_nv_fund",AJ$3,$A392))</f>
        <v/>
      </c>
      <c r="AK392" s="13">
        <f>IF($A392="","",[1]!thsiFinD("ths_adjustment_nv_fund",AK$3,$A392))</f>
        <v/>
      </c>
      <c r="AL392" s="13">
        <f>IF($A392="","",[1]!thsiFinD("ths_adjustment_nv_fund",AL$3,$A392))</f>
        <v/>
      </c>
    </row>
    <row r="393" spans="2:28">
      <c r="B393" s="13" t="str">
        <f>IF($A393="","",[1]!thsiFinD("ths_adjustment_nv_fund",B$3,$A393))</f>
        <v/>
      </c>
      <c r="C393" s="13" t="str">
        <f>IF($A393="","",[1]!thsiFinD("ths_adjustment_nv_fund",C$3,$A393))</f>
        <v/>
      </c>
      <c r="D393" s="13" t="str">
        <f>IF($A393="","",[1]!thsiFinD("ths_adjustment_nv_fund",D$3,$A393))</f>
        <v/>
      </c>
      <c r="E393" s="13" t="str">
        <f>IF($A393="","",[1]!thsiFinD("ths_adjustment_nv_fund",E$3,$A393))</f>
        <v/>
      </c>
      <c r="F393" s="13" t="str">
        <f>IF($A393="","",[1]!thsiFinD("ths_adjustment_nv_fund",F$3,$A393))</f>
        <v/>
      </c>
      <c r="G393" s="13" t="str">
        <f>IF($A393="","",[1]!thsiFinD("ths_adjustment_nv_fund",G$3,$A393))</f>
        <v/>
      </c>
      <c r="H393" s="13" t="str">
        <f>IF($A393="","",[1]!thsiFinD("ths_adjustment_nv_fund",H$3,$A393))</f>
        <v/>
      </c>
      <c r="I393" s="13" t="str">
        <f>IF($A393="","",[1]!thsiFinD("ths_adjustment_nv_fund",I$3,$A393))</f>
        <v/>
      </c>
      <c r="J393" s="13" t="str">
        <f>IF($A393="","",[1]!thsiFinD("ths_adjustment_nv_fund",J$3,$A393))</f>
        <v/>
      </c>
      <c r="K393" s="13" t="str">
        <f>IF($A393="","",[1]!thsiFinD("ths_adjustment_nv_fund",K$3,$A393))</f>
        <v/>
      </c>
      <c r="L393" s="13" t="str">
        <f>IF($A393="","",[1]!thsiFinD("ths_adjustment_nv_fund",L$3,$A393))</f>
        <v/>
      </c>
      <c r="M393" s="13" t="str">
        <f>IF($A393="","",[1]!thsiFinD("ths_adjustment_nv_fund",M$3,$A393))</f>
        <v/>
      </c>
      <c r="N393" s="13" t="str">
        <f>IF($A393="","",[1]!thsiFinD("ths_adjustment_nv_fund",N$3,$A393))</f>
        <v/>
      </c>
      <c r="O393" s="13" t="str">
        <f>IF($A393="","",[1]!thsiFinD("ths_adjustment_nv_fund",O$3,$A393))</f>
        <v/>
      </c>
      <c r="P393" s="13" t="str">
        <f>IF($A393="","",[1]!thsiFinD("ths_adjustment_nv_fund",P$3,$A393))</f>
        <v/>
      </c>
      <c r="Q393" s="13" t="str">
        <f>IF($A393="","",[1]!thsiFinD("ths_adjustment_nv_fund",Q$3,$A393))</f>
        <v/>
      </c>
      <c r="R393" s="13" t="str">
        <f>IF($A393="","",[1]!thsiFinD("ths_adjustment_nv_fund",R$3,$A393))</f>
        <v/>
      </c>
      <c r="S393" s="13" t="str">
        <f>IF($A393="","",[1]!thsiFinD("ths_adjustment_nv_fund",S$3,$A393))</f>
        <v/>
      </c>
      <c r="T393" s="13" t="str">
        <f>IF($A393="","",[1]!thsiFinD("ths_adjustment_nv_fund",T$3,$A393))</f>
        <v/>
      </c>
      <c r="U393" s="13" t="str">
        <f>IF($A393="","",[1]!thsiFinD("ths_adjustment_nv_fund",U$3,$A393))</f>
        <v/>
      </c>
      <c r="V393" s="13" t="str">
        <f>IF($A393="","",[1]!thsiFinD("ths_adjustment_nv_fund",V$3,$A393))</f>
        <v/>
      </c>
      <c r="W393" s="13" t="str">
        <f>IF($A393="","",[1]!thsiFinD("ths_adjustment_nv_fund",W$3,$A393))</f>
        <v/>
      </c>
      <c r="X393" s="13" t="str">
        <f>IF($A393="","",[1]!thsiFinD("ths_adjustment_nv_fund",X$3,$A393))</f>
        <v/>
      </c>
      <c r="Y393" s="13" t="str">
        <f>IF($A393="","",[1]!thsiFinD("ths_adjustment_nv_fund",Y$3,$A393))</f>
        <v/>
      </c>
      <c r="Z393" s="13" t="str">
        <f>IF($A393="","",[1]!thsiFinD("ths_adjustment_nv_fund",Z$3,$A393))</f>
        <v/>
      </c>
      <c r="AA393" s="13" t="str">
        <f>IF($A393="","",[1]!thsiFinD("ths_adjustment_nv_fund",AA$3,$A393))</f>
        <v/>
      </c>
      <c r="AB393" s="13">
        <f>IF($A393="","",[1]!thsiFinD("ths_adjustment_nv_fund",AB$3,$A393))</f>
        <v/>
      </c>
      <c r="AC393" s="13">
        <f>IF($A393="","",[1]!thsiFinD("ths_adjustment_nv_fund",AC$3,$A393))</f>
        <v/>
      </c>
      <c r="AD393" s="13">
        <f>IF($A393="","",[1]!thsiFinD("ths_adjustment_nv_fund",AD$3,$A393))</f>
        <v/>
      </c>
      <c r="AE393" s="13">
        <f>IF($A393="","",[1]!thsiFinD("ths_adjustment_nv_fund",AE$3,$A393))</f>
        <v/>
      </c>
      <c r="AF393" s="13">
        <f>IF($A393="","",[1]!thsiFinD("ths_adjustment_nv_fund",AF$3,$A393))</f>
        <v/>
      </c>
      <c r="AG393" s="13">
        <f>IF($A393="","",[1]!thsiFinD("ths_adjustment_nv_fund",AG$3,$A393))</f>
        <v/>
      </c>
      <c r="AH393" s="13">
        <f>IF($A393="","",[1]!thsiFinD("ths_adjustment_nv_fund",AH$3,$A393))</f>
        <v/>
      </c>
      <c r="AI393" s="13">
        <f>IF($A393="","",[1]!thsiFinD("ths_adjustment_nv_fund",AI$3,$A393))</f>
        <v/>
      </c>
      <c r="AJ393" s="13">
        <f>IF($A393="","",[1]!thsiFinD("ths_adjustment_nv_fund",AJ$3,$A393))</f>
        <v/>
      </c>
      <c r="AK393" s="13">
        <f>IF($A393="","",[1]!thsiFinD("ths_adjustment_nv_fund",AK$3,$A393))</f>
        <v/>
      </c>
      <c r="AL393" s="13">
        <f>IF($A393="","",[1]!thsiFinD("ths_adjustment_nv_fund",AL$3,$A393))</f>
        <v/>
      </c>
    </row>
    <row r="394" spans="2:28">
      <c r="B394" s="13" t="str">
        <f>IF($A394="","",[1]!thsiFinD("ths_adjustment_nv_fund",B$3,$A394))</f>
        <v/>
      </c>
      <c r="C394" s="13" t="str">
        <f>IF($A394="","",[1]!thsiFinD("ths_adjustment_nv_fund",C$3,$A394))</f>
        <v/>
      </c>
      <c r="D394" s="13" t="str">
        <f>IF($A394="","",[1]!thsiFinD("ths_adjustment_nv_fund",D$3,$A394))</f>
        <v/>
      </c>
      <c r="E394" s="13" t="str">
        <f>IF($A394="","",[1]!thsiFinD("ths_adjustment_nv_fund",E$3,$A394))</f>
        <v/>
      </c>
      <c r="F394" s="13" t="str">
        <f>IF($A394="","",[1]!thsiFinD("ths_adjustment_nv_fund",F$3,$A394))</f>
        <v/>
      </c>
      <c r="G394" s="13" t="str">
        <f>IF($A394="","",[1]!thsiFinD("ths_adjustment_nv_fund",G$3,$A394))</f>
        <v/>
      </c>
      <c r="H394" s="13" t="str">
        <f>IF($A394="","",[1]!thsiFinD("ths_adjustment_nv_fund",H$3,$A394))</f>
        <v/>
      </c>
      <c r="I394" s="13" t="str">
        <f>IF($A394="","",[1]!thsiFinD("ths_adjustment_nv_fund",I$3,$A394))</f>
        <v/>
      </c>
      <c r="J394" s="13" t="str">
        <f>IF($A394="","",[1]!thsiFinD("ths_adjustment_nv_fund",J$3,$A394))</f>
        <v/>
      </c>
      <c r="K394" s="13" t="str">
        <f>IF($A394="","",[1]!thsiFinD("ths_adjustment_nv_fund",K$3,$A394))</f>
        <v/>
      </c>
      <c r="L394" s="13" t="str">
        <f>IF($A394="","",[1]!thsiFinD("ths_adjustment_nv_fund",L$3,$A394))</f>
        <v/>
      </c>
      <c r="M394" s="13" t="str">
        <f>IF($A394="","",[1]!thsiFinD("ths_adjustment_nv_fund",M$3,$A394))</f>
        <v/>
      </c>
      <c r="N394" s="13" t="str">
        <f>IF($A394="","",[1]!thsiFinD("ths_adjustment_nv_fund",N$3,$A394))</f>
        <v/>
      </c>
      <c r="O394" s="13" t="str">
        <f>IF($A394="","",[1]!thsiFinD("ths_adjustment_nv_fund",O$3,$A394))</f>
        <v/>
      </c>
      <c r="P394" s="13" t="str">
        <f>IF($A394="","",[1]!thsiFinD("ths_adjustment_nv_fund",P$3,$A394))</f>
        <v/>
      </c>
      <c r="Q394" s="13" t="str">
        <f>IF($A394="","",[1]!thsiFinD("ths_adjustment_nv_fund",Q$3,$A394))</f>
        <v/>
      </c>
      <c r="R394" s="13" t="str">
        <f>IF($A394="","",[1]!thsiFinD("ths_adjustment_nv_fund",R$3,$A394))</f>
        <v/>
      </c>
      <c r="S394" s="13" t="str">
        <f>IF($A394="","",[1]!thsiFinD("ths_adjustment_nv_fund",S$3,$A394))</f>
        <v/>
      </c>
      <c r="T394" s="13" t="str">
        <f>IF($A394="","",[1]!thsiFinD("ths_adjustment_nv_fund",T$3,$A394))</f>
        <v/>
      </c>
      <c r="U394" s="13" t="str">
        <f>IF($A394="","",[1]!thsiFinD("ths_adjustment_nv_fund",U$3,$A394))</f>
        <v/>
      </c>
      <c r="V394" s="13" t="str">
        <f>IF($A394="","",[1]!thsiFinD("ths_adjustment_nv_fund",V$3,$A394))</f>
        <v/>
      </c>
      <c r="W394" s="13" t="str">
        <f>IF($A394="","",[1]!thsiFinD("ths_adjustment_nv_fund",W$3,$A394))</f>
        <v/>
      </c>
      <c r="X394" s="13" t="str">
        <f>IF($A394="","",[1]!thsiFinD("ths_adjustment_nv_fund",X$3,$A394))</f>
        <v/>
      </c>
      <c r="Y394" s="13" t="str">
        <f>IF($A394="","",[1]!thsiFinD("ths_adjustment_nv_fund",Y$3,$A394))</f>
        <v/>
      </c>
      <c r="Z394" s="13" t="str">
        <f>IF($A394="","",[1]!thsiFinD("ths_adjustment_nv_fund",Z$3,$A394))</f>
        <v/>
      </c>
      <c r="AA394" s="13" t="str">
        <f>IF($A394="","",[1]!thsiFinD("ths_adjustment_nv_fund",AA$3,$A394))</f>
        <v/>
      </c>
      <c r="AB394" s="13">
        <f>IF($A394="","",[1]!thsiFinD("ths_adjustment_nv_fund",AB$3,$A394))</f>
        <v/>
      </c>
      <c r="AC394" s="13">
        <f>IF($A394="","",[1]!thsiFinD("ths_adjustment_nv_fund",AC$3,$A394))</f>
        <v/>
      </c>
      <c r="AD394" s="13">
        <f>IF($A394="","",[1]!thsiFinD("ths_adjustment_nv_fund",AD$3,$A394))</f>
        <v/>
      </c>
      <c r="AE394" s="13">
        <f>IF($A394="","",[1]!thsiFinD("ths_adjustment_nv_fund",AE$3,$A394))</f>
        <v/>
      </c>
      <c r="AF394" s="13">
        <f>IF($A394="","",[1]!thsiFinD("ths_adjustment_nv_fund",AF$3,$A394))</f>
        <v/>
      </c>
      <c r="AG394" s="13">
        <f>IF($A394="","",[1]!thsiFinD("ths_adjustment_nv_fund",AG$3,$A394))</f>
        <v/>
      </c>
      <c r="AH394" s="13">
        <f>IF($A394="","",[1]!thsiFinD("ths_adjustment_nv_fund",AH$3,$A394))</f>
        <v/>
      </c>
      <c r="AI394" s="13">
        <f>IF($A394="","",[1]!thsiFinD("ths_adjustment_nv_fund",AI$3,$A394))</f>
        <v/>
      </c>
      <c r="AJ394" s="13">
        <f>IF($A394="","",[1]!thsiFinD("ths_adjustment_nv_fund",AJ$3,$A394))</f>
        <v/>
      </c>
      <c r="AK394" s="13">
        <f>IF($A394="","",[1]!thsiFinD("ths_adjustment_nv_fund",AK$3,$A394))</f>
        <v/>
      </c>
      <c r="AL394" s="13">
        <f>IF($A394="","",[1]!thsiFinD("ths_adjustment_nv_fund",AL$3,$A394))</f>
        <v/>
      </c>
    </row>
    <row r="395" spans="2:28">
      <c r="B395" s="13" t="str">
        <f>IF($A395="","",[1]!thsiFinD("ths_adjustment_nv_fund",B$3,$A395))</f>
        <v/>
      </c>
      <c r="C395" s="13" t="str">
        <f>IF($A395="","",[1]!thsiFinD("ths_adjustment_nv_fund",C$3,$A395))</f>
        <v/>
      </c>
      <c r="D395" s="13" t="str">
        <f>IF($A395="","",[1]!thsiFinD("ths_adjustment_nv_fund",D$3,$A395))</f>
        <v/>
      </c>
      <c r="E395" s="13" t="str">
        <f>IF($A395="","",[1]!thsiFinD("ths_adjustment_nv_fund",E$3,$A395))</f>
        <v/>
      </c>
      <c r="F395" s="13" t="str">
        <f>IF($A395="","",[1]!thsiFinD("ths_adjustment_nv_fund",F$3,$A395))</f>
        <v/>
      </c>
      <c r="G395" s="13" t="str">
        <f>IF($A395="","",[1]!thsiFinD("ths_adjustment_nv_fund",G$3,$A395))</f>
        <v/>
      </c>
      <c r="H395" s="13" t="str">
        <f>IF($A395="","",[1]!thsiFinD("ths_adjustment_nv_fund",H$3,$A395))</f>
        <v/>
      </c>
      <c r="I395" s="13" t="str">
        <f>IF($A395="","",[1]!thsiFinD("ths_adjustment_nv_fund",I$3,$A395))</f>
        <v/>
      </c>
      <c r="J395" s="13" t="str">
        <f>IF($A395="","",[1]!thsiFinD("ths_adjustment_nv_fund",J$3,$A395))</f>
        <v/>
      </c>
      <c r="K395" s="13" t="str">
        <f>IF($A395="","",[1]!thsiFinD("ths_adjustment_nv_fund",K$3,$A395))</f>
        <v/>
      </c>
      <c r="L395" s="13" t="str">
        <f>IF($A395="","",[1]!thsiFinD("ths_adjustment_nv_fund",L$3,$A395))</f>
        <v/>
      </c>
      <c r="M395" s="13" t="str">
        <f>IF($A395="","",[1]!thsiFinD("ths_adjustment_nv_fund",M$3,$A395))</f>
        <v/>
      </c>
      <c r="N395" s="13" t="str">
        <f>IF($A395="","",[1]!thsiFinD("ths_adjustment_nv_fund",N$3,$A395))</f>
        <v/>
      </c>
      <c r="O395" s="13" t="str">
        <f>IF($A395="","",[1]!thsiFinD("ths_adjustment_nv_fund",O$3,$A395))</f>
        <v/>
      </c>
      <c r="P395" s="13" t="str">
        <f>IF($A395="","",[1]!thsiFinD("ths_adjustment_nv_fund",P$3,$A395))</f>
        <v/>
      </c>
      <c r="Q395" s="13" t="str">
        <f>IF($A395="","",[1]!thsiFinD("ths_adjustment_nv_fund",Q$3,$A395))</f>
        <v/>
      </c>
      <c r="R395" s="13" t="str">
        <f>IF($A395="","",[1]!thsiFinD("ths_adjustment_nv_fund",R$3,$A395))</f>
        <v/>
      </c>
      <c r="S395" s="13" t="str">
        <f>IF($A395="","",[1]!thsiFinD("ths_adjustment_nv_fund",S$3,$A395))</f>
        <v/>
      </c>
      <c r="T395" s="13" t="str">
        <f>IF($A395="","",[1]!thsiFinD("ths_adjustment_nv_fund",T$3,$A395))</f>
        <v/>
      </c>
      <c r="U395" s="13" t="str">
        <f>IF($A395="","",[1]!thsiFinD("ths_adjustment_nv_fund",U$3,$A395))</f>
        <v/>
      </c>
      <c r="V395" s="13" t="str">
        <f>IF($A395="","",[1]!thsiFinD("ths_adjustment_nv_fund",V$3,$A395))</f>
        <v/>
      </c>
      <c r="W395" s="13" t="str">
        <f>IF($A395="","",[1]!thsiFinD("ths_adjustment_nv_fund",W$3,$A395))</f>
        <v/>
      </c>
      <c r="X395" s="13" t="str">
        <f>IF($A395="","",[1]!thsiFinD("ths_adjustment_nv_fund",X$3,$A395))</f>
        <v/>
      </c>
      <c r="Y395" s="13" t="str">
        <f>IF($A395="","",[1]!thsiFinD("ths_adjustment_nv_fund",Y$3,$A395))</f>
        <v/>
      </c>
      <c r="Z395" s="13" t="str">
        <f>IF($A395="","",[1]!thsiFinD("ths_adjustment_nv_fund",Z$3,$A395))</f>
        <v/>
      </c>
      <c r="AA395" s="13" t="str">
        <f>IF($A395="","",[1]!thsiFinD("ths_adjustment_nv_fund",AA$3,$A395))</f>
        <v/>
      </c>
      <c r="AB395" s="13">
        <f>IF($A395="","",[1]!thsiFinD("ths_adjustment_nv_fund",AB$3,$A395))</f>
        <v/>
      </c>
      <c r="AC395" s="13">
        <f>IF($A395="","",[1]!thsiFinD("ths_adjustment_nv_fund",AC$3,$A395))</f>
        <v/>
      </c>
      <c r="AD395" s="13">
        <f>IF($A395="","",[1]!thsiFinD("ths_adjustment_nv_fund",AD$3,$A395))</f>
        <v/>
      </c>
      <c r="AE395" s="13">
        <f>IF($A395="","",[1]!thsiFinD("ths_adjustment_nv_fund",AE$3,$A395))</f>
        <v/>
      </c>
      <c r="AF395" s="13">
        <f>IF($A395="","",[1]!thsiFinD("ths_adjustment_nv_fund",AF$3,$A395))</f>
        <v/>
      </c>
      <c r="AG395" s="13">
        <f>IF($A395="","",[1]!thsiFinD("ths_adjustment_nv_fund",AG$3,$A395))</f>
        <v/>
      </c>
      <c r="AH395" s="13">
        <f>IF($A395="","",[1]!thsiFinD("ths_adjustment_nv_fund",AH$3,$A395))</f>
        <v/>
      </c>
      <c r="AI395" s="13">
        <f>IF($A395="","",[1]!thsiFinD("ths_adjustment_nv_fund",AI$3,$A395))</f>
        <v/>
      </c>
      <c r="AJ395" s="13">
        <f>IF($A395="","",[1]!thsiFinD("ths_adjustment_nv_fund",AJ$3,$A395))</f>
        <v/>
      </c>
      <c r="AK395" s="13">
        <f>IF($A395="","",[1]!thsiFinD("ths_adjustment_nv_fund",AK$3,$A395))</f>
        <v/>
      </c>
      <c r="AL395" s="13">
        <f>IF($A395="","",[1]!thsiFinD("ths_adjustment_nv_fund",AL$3,$A395))</f>
        <v/>
      </c>
    </row>
    <row r="396" spans="2:28">
      <c r="B396" s="13" t="str">
        <f>IF($A396="","",[1]!thsiFinD("ths_adjustment_nv_fund",B$3,$A396))</f>
        <v/>
      </c>
      <c r="C396" s="13" t="str">
        <f>IF($A396="","",[1]!thsiFinD("ths_adjustment_nv_fund",C$3,$A396))</f>
        <v/>
      </c>
      <c r="D396" s="13" t="str">
        <f>IF($A396="","",[1]!thsiFinD("ths_adjustment_nv_fund",D$3,$A396))</f>
        <v/>
      </c>
      <c r="E396" s="13" t="str">
        <f>IF($A396="","",[1]!thsiFinD("ths_adjustment_nv_fund",E$3,$A396))</f>
        <v/>
      </c>
      <c r="F396" s="13" t="str">
        <f>IF($A396="","",[1]!thsiFinD("ths_adjustment_nv_fund",F$3,$A396))</f>
        <v/>
      </c>
      <c r="G396" s="13" t="str">
        <f>IF($A396="","",[1]!thsiFinD("ths_adjustment_nv_fund",G$3,$A396))</f>
        <v/>
      </c>
      <c r="H396" s="13" t="str">
        <f>IF($A396="","",[1]!thsiFinD("ths_adjustment_nv_fund",H$3,$A396))</f>
        <v/>
      </c>
      <c r="I396" s="13" t="str">
        <f>IF($A396="","",[1]!thsiFinD("ths_adjustment_nv_fund",I$3,$A396))</f>
        <v/>
      </c>
      <c r="J396" s="13" t="str">
        <f>IF($A396="","",[1]!thsiFinD("ths_adjustment_nv_fund",J$3,$A396))</f>
        <v/>
      </c>
      <c r="K396" s="13" t="str">
        <f>IF($A396="","",[1]!thsiFinD("ths_adjustment_nv_fund",K$3,$A396))</f>
        <v/>
      </c>
      <c r="L396" s="13" t="str">
        <f>IF($A396="","",[1]!thsiFinD("ths_adjustment_nv_fund",L$3,$A396))</f>
        <v/>
      </c>
      <c r="M396" s="13" t="str">
        <f>IF($A396="","",[1]!thsiFinD("ths_adjustment_nv_fund",M$3,$A396))</f>
        <v/>
      </c>
      <c r="N396" s="13" t="str">
        <f>IF($A396="","",[1]!thsiFinD("ths_adjustment_nv_fund",N$3,$A396))</f>
        <v/>
      </c>
      <c r="O396" s="13" t="str">
        <f>IF($A396="","",[1]!thsiFinD("ths_adjustment_nv_fund",O$3,$A396))</f>
        <v/>
      </c>
      <c r="P396" s="13" t="str">
        <f>IF($A396="","",[1]!thsiFinD("ths_adjustment_nv_fund",P$3,$A396))</f>
        <v/>
      </c>
      <c r="Q396" s="13" t="str">
        <f>IF($A396="","",[1]!thsiFinD("ths_adjustment_nv_fund",Q$3,$A396))</f>
        <v/>
      </c>
      <c r="R396" s="13" t="str">
        <f>IF($A396="","",[1]!thsiFinD("ths_adjustment_nv_fund",R$3,$A396))</f>
        <v/>
      </c>
      <c r="S396" s="13" t="str">
        <f>IF($A396="","",[1]!thsiFinD("ths_adjustment_nv_fund",S$3,$A396))</f>
        <v/>
      </c>
      <c r="T396" s="13" t="str">
        <f>IF($A396="","",[1]!thsiFinD("ths_adjustment_nv_fund",T$3,$A396))</f>
        <v/>
      </c>
      <c r="U396" s="13" t="str">
        <f>IF($A396="","",[1]!thsiFinD("ths_adjustment_nv_fund",U$3,$A396))</f>
        <v/>
      </c>
      <c r="V396" s="13" t="str">
        <f>IF($A396="","",[1]!thsiFinD("ths_adjustment_nv_fund",V$3,$A396))</f>
        <v/>
      </c>
      <c r="W396" s="13" t="str">
        <f>IF($A396="","",[1]!thsiFinD("ths_adjustment_nv_fund",W$3,$A396))</f>
        <v/>
      </c>
      <c r="X396" s="13" t="str">
        <f>IF($A396="","",[1]!thsiFinD("ths_adjustment_nv_fund",X$3,$A396))</f>
        <v/>
      </c>
      <c r="Y396" s="13" t="str">
        <f>IF($A396="","",[1]!thsiFinD("ths_adjustment_nv_fund",Y$3,$A396))</f>
        <v/>
      </c>
      <c r="Z396" s="13" t="str">
        <f>IF($A396="","",[1]!thsiFinD("ths_adjustment_nv_fund",Z$3,$A396))</f>
        <v/>
      </c>
      <c r="AA396" s="13" t="str">
        <f>IF($A396="","",[1]!thsiFinD("ths_adjustment_nv_fund",AA$3,$A396))</f>
        <v/>
      </c>
      <c r="AB396" s="13">
        <f>IF($A396="","",[1]!thsiFinD("ths_adjustment_nv_fund",AB$3,$A396))</f>
        <v/>
      </c>
      <c r="AC396" s="13">
        <f>IF($A396="","",[1]!thsiFinD("ths_adjustment_nv_fund",AC$3,$A396))</f>
        <v/>
      </c>
      <c r="AD396" s="13">
        <f>IF($A396="","",[1]!thsiFinD("ths_adjustment_nv_fund",AD$3,$A396))</f>
        <v/>
      </c>
      <c r="AE396" s="13">
        <f>IF($A396="","",[1]!thsiFinD("ths_adjustment_nv_fund",AE$3,$A396))</f>
        <v/>
      </c>
      <c r="AF396" s="13">
        <f>IF($A396="","",[1]!thsiFinD("ths_adjustment_nv_fund",AF$3,$A396))</f>
        <v/>
      </c>
      <c r="AG396" s="13">
        <f>IF($A396="","",[1]!thsiFinD("ths_adjustment_nv_fund",AG$3,$A396))</f>
        <v/>
      </c>
      <c r="AH396" s="13">
        <f>IF($A396="","",[1]!thsiFinD("ths_adjustment_nv_fund",AH$3,$A396))</f>
        <v/>
      </c>
      <c r="AI396" s="13">
        <f>IF($A396="","",[1]!thsiFinD("ths_adjustment_nv_fund",AI$3,$A396))</f>
        <v/>
      </c>
      <c r="AJ396" s="13">
        <f>IF($A396="","",[1]!thsiFinD("ths_adjustment_nv_fund",AJ$3,$A396))</f>
        <v/>
      </c>
      <c r="AK396" s="13">
        <f>IF($A396="","",[1]!thsiFinD("ths_adjustment_nv_fund",AK$3,$A396))</f>
        <v/>
      </c>
      <c r="AL396" s="13">
        <f>IF($A396="","",[1]!thsiFinD("ths_adjustment_nv_fund",AL$3,$A396))</f>
        <v/>
      </c>
    </row>
    <row r="397" spans="2:28">
      <c r="B397" s="13" t="str">
        <f>IF($A397="","",[1]!thsiFinD("ths_adjustment_nv_fund",B$3,$A397))</f>
        <v/>
      </c>
      <c r="C397" s="13" t="str">
        <f>IF($A397="","",[1]!thsiFinD("ths_adjustment_nv_fund",C$3,$A397))</f>
        <v/>
      </c>
      <c r="D397" s="13" t="str">
        <f>IF($A397="","",[1]!thsiFinD("ths_adjustment_nv_fund",D$3,$A397))</f>
        <v/>
      </c>
      <c r="E397" s="13" t="str">
        <f>IF($A397="","",[1]!thsiFinD("ths_adjustment_nv_fund",E$3,$A397))</f>
        <v/>
      </c>
      <c r="F397" s="13" t="str">
        <f>IF($A397="","",[1]!thsiFinD("ths_adjustment_nv_fund",F$3,$A397))</f>
        <v/>
      </c>
      <c r="G397" s="13" t="str">
        <f>IF($A397="","",[1]!thsiFinD("ths_adjustment_nv_fund",G$3,$A397))</f>
        <v/>
      </c>
      <c r="H397" s="13" t="str">
        <f>IF($A397="","",[1]!thsiFinD("ths_adjustment_nv_fund",H$3,$A397))</f>
        <v/>
      </c>
      <c r="I397" s="13" t="str">
        <f>IF($A397="","",[1]!thsiFinD("ths_adjustment_nv_fund",I$3,$A397))</f>
        <v/>
      </c>
      <c r="J397" s="13" t="str">
        <f>IF($A397="","",[1]!thsiFinD("ths_adjustment_nv_fund",J$3,$A397))</f>
        <v/>
      </c>
      <c r="K397" s="13" t="str">
        <f>IF($A397="","",[1]!thsiFinD("ths_adjustment_nv_fund",K$3,$A397))</f>
        <v/>
      </c>
      <c r="L397" s="13" t="str">
        <f>IF($A397="","",[1]!thsiFinD("ths_adjustment_nv_fund",L$3,$A397))</f>
        <v/>
      </c>
      <c r="M397" s="13" t="str">
        <f>IF($A397="","",[1]!thsiFinD("ths_adjustment_nv_fund",M$3,$A397))</f>
        <v/>
      </c>
      <c r="N397" s="13" t="str">
        <f>IF($A397="","",[1]!thsiFinD("ths_adjustment_nv_fund",N$3,$A397))</f>
        <v/>
      </c>
      <c r="O397" s="13" t="str">
        <f>IF($A397="","",[1]!thsiFinD("ths_adjustment_nv_fund",O$3,$A397))</f>
        <v/>
      </c>
      <c r="P397" s="13" t="str">
        <f>IF($A397="","",[1]!thsiFinD("ths_adjustment_nv_fund",P$3,$A397))</f>
        <v/>
      </c>
      <c r="Q397" s="13" t="str">
        <f>IF($A397="","",[1]!thsiFinD("ths_adjustment_nv_fund",Q$3,$A397))</f>
        <v/>
      </c>
      <c r="R397" s="13" t="str">
        <f>IF($A397="","",[1]!thsiFinD("ths_adjustment_nv_fund",R$3,$A397))</f>
        <v/>
      </c>
      <c r="S397" s="13" t="str">
        <f>IF($A397="","",[1]!thsiFinD("ths_adjustment_nv_fund",S$3,$A397))</f>
        <v/>
      </c>
      <c r="T397" s="13" t="str">
        <f>IF($A397="","",[1]!thsiFinD("ths_adjustment_nv_fund",T$3,$A397))</f>
        <v/>
      </c>
      <c r="U397" s="13" t="str">
        <f>IF($A397="","",[1]!thsiFinD("ths_adjustment_nv_fund",U$3,$A397))</f>
        <v/>
      </c>
      <c r="V397" s="13" t="str">
        <f>IF($A397="","",[1]!thsiFinD("ths_adjustment_nv_fund",V$3,$A397))</f>
        <v/>
      </c>
      <c r="W397" s="13" t="str">
        <f>IF($A397="","",[1]!thsiFinD("ths_adjustment_nv_fund",W$3,$A397))</f>
        <v/>
      </c>
      <c r="X397" s="13" t="str">
        <f>IF($A397="","",[1]!thsiFinD("ths_adjustment_nv_fund",X$3,$A397))</f>
        <v/>
      </c>
      <c r="Y397" s="13" t="str">
        <f>IF($A397="","",[1]!thsiFinD("ths_adjustment_nv_fund",Y$3,$A397))</f>
        <v/>
      </c>
      <c r="Z397" s="13" t="str">
        <f>IF($A397="","",[1]!thsiFinD("ths_adjustment_nv_fund",Z$3,$A397))</f>
        <v/>
      </c>
      <c r="AA397" s="13" t="str">
        <f>IF($A397="","",[1]!thsiFinD("ths_adjustment_nv_fund",AA$3,$A397))</f>
        <v/>
      </c>
      <c r="AB397" s="13">
        <f>IF($A397="","",[1]!thsiFinD("ths_adjustment_nv_fund",AB$3,$A397))</f>
        <v/>
      </c>
      <c r="AC397" s="13">
        <f>IF($A397="","",[1]!thsiFinD("ths_adjustment_nv_fund",AC$3,$A397))</f>
        <v/>
      </c>
      <c r="AD397" s="13">
        <f>IF($A397="","",[1]!thsiFinD("ths_adjustment_nv_fund",AD$3,$A397))</f>
        <v/>
      </c>
      <c r="AE397" s="13">
        <f>IF($A397="","",[1]!thsiFinD("ths_adjustment_nv_fund",AE$3,$A397))</f>
        <v/>
      </c>
      <c r="AF397" s="13">
        <f>IF($A397="","",[1]!thsiFinD("ths_adjustment_nv_fund",AF$3,$A397))</f>
        <v/>
      </c>
      <c r="AG397" s="13">
        <f>IF($A397="","",[1]!thsiFinD("ths_adjustment_nv_fund",AG$3,$A397))</f>
        <v/>
      </c>
      <c r="AH397" s="13">
        <f>IF($A397="","",[1]!thsiFinD("ths_adjustment_nv_fund",AH$3,$A397))</f>
        <v/>
      </c>
      <c r="AI397" s="13">
        <f>IF($A397="","",[1]!thsiFinD("ths_adjustment_nv_fund",AI$3,$A397))</f>
        <v/>
      </c>
      <c r="AJ397" s="13">
        <f>IF($A397="","",[1]!thsiFinD("ths_adjustment_nv_fund",AJ$3,$A397))</f>
        <v/>
      </c>
      <c r="AK397" s="13">
        <f>IF($A397="","",[1]!thsiFinD("ths_adjustment_nv_fund",AK$3,$A397))</f>
        <v/>
      </c>
      <c r="AL397" s="13">
        <f>IF($A397="","",[1]!thsiFinD("ths_adjustment_nv_fund",AL$3,$A397))</f>
        <v/>
      </c>
    </row>
    <row r="398" spans="2:28">
      <c r="B398" s="13" t="str">
        <f>IF($A398="","",[1]!thsiFinD("ths_adjustment_nv_fund",B$3,$A398))</f>
        <v/>
      </c>
      <c r="C398" s="13" t="str">
        <f>IF($A398="","",[1]!thsiFinD("ths_adjustment_nv_fund",C$3,$A398))</f>
        <v/>
      </c>
      <c r="D398" s="13" t="str">
        <f>IF($A398="","",[1]!thsiFinD("ths_adjustment_nv_fund",D$3,$A398))</f>
        <v/>
      </c>
      <c r="E398" s="13" t="str">
        <f>IF($A398="","",[1]!thsiFinD("ths_adjustment_nv_fund",E$3,$A398))</f>
        <v/>
      </c>
      <c r="F398" s="13" t="str">
        <f>IF($A398="","",[1]!thsiFinD("ths_adjustment_nv_fund",F$3,$A398))</f>
        <v/>
      </c>
      <c r="G398" s="13" t="str">
        <f>IF($A398="","",[1]!thsiFinD("ths_adjustment_nv_fund",G$3,$A398))</f>
        <v/>
      </c>
      <c r="H398" s="13" t="str">
        <f>IF($A398="","",[1]!thsiFinD("ths_adjustment_nv_fund",H$3,$A398))</f>
        <v/>
      </c>
      <c r="I398" s="13" t="str">
        <f>IF($A398="","",[1]!thsiFinD("ths_adjustment_nv_fund",I$3,$A398))</f>
        <v/>
      </c>
      <c r="J398" s="13" t="str">
        <f>IF($A398="","",[1]!thsiFinD("ths_adjustment_nv_fund",J$3,$A398))</f>
        <v/>
      </c>
      <c r="K398" s="13" t="str">
        <f>IF($A398="","",[1]!thsiFinD("ths_adjustment_nv_fund",K$3,$A398))</f>
        <v/>
      </c>
      <c r="L398" s="13" t="str">
        <f>IF($A398="","",[1]!thsiFinD("ths_adjustment_nv_fund",L$3,$A398))</f>
        <v/>
      </c>
      <c r="M398" s="13" t="str">
        <f>IF($A398="","",[1]!thsiFinD("ths_adjustment_nv_fund",M$3,$A398))</f>
        <v/>
      </c>
      <c r="N398" s="13" t="str">
        <f>IF($A398="","",[1]!thsiFinD("ths_adjustment_nv_fund",N$3,$A398))</f>
        <v/>
      </c>
      <c r="O398" s="13" t="str">
        <f>IF($A398="","",[1]!thsiFinD("ths_adjustment_nv_fund",O$3,$A398))</f>
        <v/>
      </c>
      <c r="P398" s="13" t="str">
        <f>IF($A398="","",[1]!thsiFinD("ths_adjustment_nv_fund",P$3,$A398))</f>
        <v/>
      </c>
      <c r="Q398" s="13" t="str">
        <f>IF($A398="","",[1]!thsiFinD("ths_adjustment_nv_fund",Q$3,$A398))</f>
        <v/>
      </c>
      <c r="R398" s="13" t="str">
        <f>IF($A398="","",[1]!thsiFinD("ths_adjustment_nv_fund",R$3,$A398))</f>
        <v/>
      </c>
      <c r="S398" s="13" t="str">
        <f>IF($A398="","",[1]!thsiFinD("ths_adjustment_nv_fund",S$3,$A398))</f>
        <v/>
      </c>
      <c r="T398" s="13" t="str">
        <f>IF($A398="","",[1]!thsiFinD("ths_adjustment_nv_fund",T$3,$A398))</f>
        <v/>
      </c>
      <c r="U398" s="13" t="str">
        <f>IF($A398="","",[1]!thsiFinD("ths_adjustment_nv_fund",U$3,$A398))</f>
        <v/>
      </c>
      <c r="V398" s="13" t="str">
        <f>IF($A398="","",[1]!thsiFinD("ths_adjustment_nv_fund",V$3,$A398))</f>
        <v/>
      </c>
      <c r="W398" s="13" t="str">
        <f>IF($A398="","",[1]!thsiFinD("ths_adjustment_nv_fund",W$3,$A398))</f>
        <v/>
      </c>
      <c r="X398" s="13" t="str">
        <f>IF($A398="","",[1]!thsiFinD("ths_adjustment_nv_fund",X$3,$A398))</f>
        <v/>
      </c>
      <c r="Y398" s="13" t="str">
        <f>IF($A398="","",[1]!thsiFinD("ths_adjustment_nv_fund",Y$3,$A398))</f>
        <v/>
      </c>
      <c r="Z398" s="13" t="str">
        <f>IF($A398="","",[1]!thsiFinD("ths_adjustment_nv_fund",Z$3,$A398))</f>
        <v/>
      </c>
      <c r="AA398" s="13" t="str">
        <f>IF($A398="","",[1]!thsiFinD("ths_adjustment_nv_fund",AA$3,$A398))</f>
        <v/>
      </c>
      <c r="AB398" s="13">
        <f>IF($A398="","",[1]!thsiFinD("ths_adjustment_nv_fund",AB$3,$A398))</f>
        <v/>
      </c>
      <c r="AC398" s="13">
        <f>IF($A398="","",[1]!thsiFinD("ths_adjustment_nv_fund",AC$3,$A398))</f>
        <v/>
      </c>
      <c r="AD398" s="13">
        <f>IF($A398="","",[1]!thsiFinD("ths_adjustment_nv_fund",AD$3,$A398))</f>
        <v/>
      </c>
      <c r="AE398" s="13">
        <f>IF($A398="","",[1]!thsiFinD("ths_adjustment_nv_fund",AE$3,$A398))</f>
        <v/>
      </c>
      <c r="AF398" s="13">
        <f>IF($A398="","",[1]!thsiFinD("ths_adjustment_nv_fund",AF$3,$A398))</f>
        <v/>
      </c>
      <c r="AG398" s="13">
        <f>IF($A398="","",[1]!thsiFinD("ths_adjustment_nv_fund",AG$3,$A398))</f>
        <v/>
      </c>
      <c r="AH398" s="13">
        <f>IF($A398="","",[1]!thsiFinD("ths_adjustment_nv_fund",AH$3,$A398))</f>
        <v/>
      </c>
      <c r="AI398" s="13">
        <f>IF($A398="","",[1]!thsiFinD("ths_adjustment_nv_fund",AI$3,$A398))</f>
        <v/>
      </c>
      <c r="AJ398" s="13">
        <f>IF($A398="","",[1]!thsiFinD("ths_adjustment_nv_fund",AJ$3,$A398))</f>
        <v/>
      </c>
      <c r="AK398" s="13">
        <f>IF($A398="","",[1]!thsiFinD("ths_adjustment_nv_fund",AK$3,$A398))</f>
        <v/>
      </c>
      <c r="AL398" s="13">
        <f>IF($A398="","",[1]!thsiFinD("ths_adjustment_nv_fund",AL$3,$A398))</f>
        <v/>
      </c>
    </row>
    <row r="399" spans="2:28">
      <c r="B399" s="13" t="str">
        <f>IF($A399="","",[1]!thsiFinD("ths_adjustment_nv_fund",B$3,$A399))</f>
        <v/>
      </c>
      <c r="C399" s="13" t="str">
        <f>IF($A399="","",[1]!thsiFinD("ths_adjustment_nv_fund",C$3,$A399))</f>
        <v/>
      </c>
      <c r="D399" s="13" t="str">
        <f>IF($A399="","",[1]!thsiFinD("ths_adjustment_nv_fund",D$3,$A399))</f>
        <v/>
      </c>
      <c r="E399" s="13" t="str">
        <f>IF($A399="","",[1]!thsiFinD("ths_adjustment_nv_fund",E$3,$A399))</f>
        <v/>
      </c>
      <c r="F399" s="13" t="str">
        <f>IF($A399="","",[1]!thsiFinD("ths_adjustment_nv_fund",F$3,$A399))</f>
        <v/>
      </c>
      <c r="G399" s="13" t="str">
        <f>IF($A399="","",[1]!thsiFinD("ths_adjustment_nv_fund",G$3,$A399))</f>
        <v/>
      </c>
      <c r="H399" s="13" t="str">
        <f>IF($A399="","",[1]!thsiFinD("ths_adjustment_nv_fund",H$3,$A399))</f>
        <v/>
      </c>
      <c r="I399" s="13" t="str">
        <f>IF($A399="","",[1]!thsiFinD("ths_adjustment_nv_fund",I$3,$A399))</f>
        <v/>
      </c>
      <c r="J399" s="13" t="str">
        <f>IF($A399="","",[1]!thsiFinD("ths_adjustment_nv_fund",J$3,$A399))</f>
        <v/>
      </c>
      <c r="K399" s="13" t="str">
        <f>IF($A399="","",[1]!thsiFinD("ths_adjustment_nv_fund",K$3,$A399))</f>
        <v/>
      </c>
      <c r="L399" s="13" t="str">
        <f>IF($A399="","",[1]!thsiFinD("ths_adjustment_nv_fund",L$3,$A399))</f>
        <v/>
      </c>
      <c r="M399" s="13" t="str">
        <f>IF($A399="","",[1]!thsiFinD("ths_adjustment_nv_fund",M$3,$A399))</f>
        <v/>
      </c>
      <c r="N399" s="13" t="str">
        <f>IF($A399="","",[1]!thsiFinD("ths_adjustment_nv_fund",N$3,$A399))</f>
        <v/>
      </c>
      <c r="O399" s="13" t="str">
        <f>IF($A399="","",[1]!thsiFinD("ths_adjustment_nv_fund",O$3,$A399))</f>
        <v/>
      </c>
      <c r="P399" s="13" t="str">
        <f>IF($A399="","",[1]!thsiFinD("ths_adjustment_nv_fund",P$3,$A399))</f>
        <v/>
      </c>
      <c r="Q399" s="13" t="str">
        <f>IF($A399="","",[1]!thsiFinD("ths_adjustment_nv_fund",Q$3,$A399))</f>
        <v/>
      </c>
      <c r="R399" s="13" t="str">
        <f>IF($A399="","",[1]!thsiFinD("ths_adjustment_nv_fund",R$3,$A399))</f>
        <v/>
      </c>
      <c r="S399" s="13" t="str">
        <f>IF($A399="","",[1]!thsiFinD("ths_adjustment_nv_fund",S$3,$A399))</f>
        <v/>
      </c>
      <c r="T399" s="13" t="str">
        <f>IF($A399="","",[1]!thsiFinD("ths_adjustment_nv_fund",T$3,$A399))</f>
        <v/>
      </c>
      <c r="U399" s="13" t="str">
        <f>IF($A399="","",[1]!thsiFinD("ths_adjustment_nv_fund",U$3,$A399))</f>
        <v/>
      </c>
      <c r="V399" s="13" t="str">
        <f>IF($A399="","",[1]!thsiFinD("ths_adjustment_nv_fund",V$3,$A399))</f>
        <v/>
      </c>
      <c r="W399" s="13" t="str">
        <f>IF($A399="","",[1]!thsiFinD("ths_adjustment_nv_fund",W$3,$A399))</f>
        <v/>
      </c>
      <c r="X399" s="13" t="str">
        <f>IF($A399="","",[1]!thsiFinD("ths_adjustment_nv_fund",X$3,$A399))</f>
        <v/>
      </c>
      <c r="Y399" s="13" t="str">
        <f>IF($A399="","",[1]!thsiFinD("ths_adjustment_nv_fund",Y$3,$A399))</f>
        <v/>
      </c>
      <c r="Z399" s="13" t="str">
        <f>IF($A399="","",[1]!thsiFinD("ths_adjustment_nv_fund",Z$3,$A399))</f>
        <v/>
      </c>
      <c r="AA399" s="13" t="str">
        <f>IF($A399="","",[1]!thsiFinD("ths_adjustment_nv_fund",AA$3,$A399))</f>
        <v/>
      </c>
      <c r="AB399" s="13">
        <f>IF($A399="","",[1]!thsiFinD("ths_adjustment_nv_fund",AB$3,$A399))</f>
        <v/>
      </c>
      <c r="AC399" s="13">
        <f>IF($A399="","",[1]!thsiFinD("ths_adjustment_nv_fund",AC$3,$A399))</f>
        <v/>
      </c>
      <c r="AD399" s="13">
        <f>IF($A399="","",[1]!thsiFinD("ths_adjustment_nv_fund",AD$3,$A399))</f>
        <v/>
      </c>
      <c r="AE399" s="13">
        <f>IF($A399="","",[1]!thsiFinD("ths_adjustment_nv_fund",AE$3,$A399))</f>
        <v/>
      </c>
      <c r="AF399" s="13">
        <f>IF($A399="","",[1]!thsiFinD("ths_adjustment_nv_fund",AF$3,$A399))</f>
        <v/>
      </c>
      <c r="AG399" s="13">
        <f>IF($A399="","",[1]!thsiFinD("ths_adjustment_nv_fund",AG$3,$A399))</f>
        <v/>
      </c>
      <c r="AH399" s="13">
        <f>IF($A399="","",[1]!thsiFinD("ths_adjustment_nv_fund",AH$3,$A399))</f>
        <v/>
      </c>
      <c r="AI399" s="13">
        <f>IF($A399="","",[1]!thsiFinD("ths_adjustment_nv_fund",AI$3,$A399))</f>
        <v/>
      </c>
      <c r="AJ399" s="13">
        <f>IF($A399="","",[1]!thsiFinD("ths_adjustment_nv_fund",AJ$3,$A399))</f>
        <v/>
      </c>
      <c r="AK399" s="13">
        <f>IF($A399="","",[1]!thsiFinD("ths_adjustment_nv_fund",AK$3,$A399))</f>
        <v/>
      </c>
      <c r="AL399" s="13">
        <f>IF($A399="","",[1]!thsiFinD("ths_adjustment_nv_fund",AL$3,$A399))</f>
        <v/>
      </c>
    </row>
    <row r="400" spans="2:28">
      <c r="B400" s="13" t="str">
        <f>IF($A400="","",[1]!thsiFinD("ths_adjustment_nv_fund",B$3,$A400))</f>
        <v/>
      </c>
      <c r="C400" s="13" t="str">
        <f>IF($A400="","",[1]!thsiFinD("ths_adjustment_nv_fund",C$3,$A400))</f>
        <v/>
      </c>
      <c r="D400" s="13" t="str">
        <f>IF($A400="","",[1]!thsiFinD("ths_adjustment_nv_fund",D$3,$A400))</f>
        <v/>
      </c>
      <c r="E400" s="13" t="str">
        <f>IF($A400="","",[1]!thsiFinD("ths_adjustment_nv_fund",E$3,$A400))</f>
        <v/>
      </c>
      <c r="F400" s="13" t="str">
        <f>IF($A400="","",[1]!thsiFinD("ths_adjustment_nv_fund",F$3,$A400))</f>
        <v/>
      </c>
      <c r="G400" s="13" t="str">
        <f>IF($A400="","",[1]!thsiFinD("ths_adjustment_nv_fund",G$3,$A400))</f>
        <v/>
      </c>
      <c r="H400" s="13" t="str">
        <f>IF($A400="","",[1]!thsiFinD("ths_adjustment_nv_fund",H$3,$A400))</f>
        <v/>
      </c>
      <c r="I400" s="13" t="str">
        <f>IF($A400="","",[1]!thsiFinD("ths_adjustment_nv_fund",I$3,$A400))</f>
        <v/>
      </c>
      <c r="J400" s="13" t="str">
        <f>IF($A400="","",[1]!thsiFinD("ths_adjustment_nv_fund",J$3,$A400))</f>
        <v/>
      </c>
      <c r="K400" s="13" t="str">
        <f>IF($A400="","",[1]!thsiFinD("ths_adjustment_nv_fund",K$3,$A400))</f>
        <v/>
      </c>
      <c r="L400" s="13" t="str">
        <f>IF($A400="","",[1]!thsiFinD("ths_adjustment_nv_fund",L$3,$A400))</f>
        <v/>
      </c>
      <c r="M400" s="13" t="str">
        <f>IF($A400="","",[1]!thsiFinD("ths_adjustment_nv_fund",M$3,$A400))</f>
        <v/>
      </c>
      <c r="N400" s="13" t="str">
        <f>IF($A400="","",[1]!thsiFinD("ths_adjustment_nv_fund",N$3,$A400))</f>
        <v/>
      </c>
      <c r="O400" s="13" t="str">
        <f>IF($A400="","",[1]!thsiFinD("ths_adjustment_nv_fund",O$3,$A400))</f>
        <v/>
      </c>
      <c r="P400" s="13" t="str">
        <f>IF($A400="","",[1]!thsiFinD("ths_adjustment_nv_fund",P$3,$A400))</f>
        <v/>
      </c>
      <c r="Q400" s="13" t="str">
        <f>IF($A400="","",[1]!thsiFinD("ths_adjustment_nv_fund",Q$3,$A400))</f>
        <v/>
      </c>
      <c r="R400" s="13" t="str">
        <f>IF($A400="","",[1]!thsiFinD("ths_adjustment_nv_fund",R$3,$A400))</f>
        <v/>
      </c>
      <c r="S400" s="13" t="str">
        <f>IF($A400="","",[1]!thsiFinD("ths_adjustment_nv_fund",S$3,$A400))</f>
        <v/>
      </c>
      <c r="T400" s="13" t="str">
        <f>IF($A400="","",[1]!thsiFinD("ths_adjustment_nv_fund",T$3,$A400))</f>
        <v/>
      </c>
      <c r="U400" s="13" t="str">
        <f>IF($A400="","",[1]!thsiFinD("ths_adjustment_nv_fund",U$3,$A400))</f>
        <v/>
      </c>
      <c r="V400" s="13" t="str">
        <f>IF($A400="","",[1]!thsiFinD("ths_adjustment_nv_fund",V$3,$A400))</f>
        <v/>
      </c>
      <c r="W400" s="13" t="str">
        <f>IF($A400="","",[1]!thsiFinD("ths_adjustment_nv_fund",W$3,$A400))</f>
        <v/>
      </c>
      <c r="X400" s="13" t="str">
        <f>IF($A400="","",[1]!thsiFinD("ths_adjustment_nv_fund",X$3,$A400))</f>
        <v/>
      </c>
      <c r="Y400" s="13" t="str">
        <f>IF($A400="","",[1]!thsiFinD("ths_adjustment_nv_fund",Y$3,$A400))</f>
        <v/>
      </c>
      <c r="Z400" s="13" t="str">
        <f>IF($A400="","",[1]!thsiFinD("ths_adjustment_nv_fund",Z$3,$A400))</f>
        <v/>
      </c>
      <c r="AA400" s="13" t="str">
        <f>IF($A400="","",[1]!thsiFinD("ths_adjustment_nv_fund",AA$3,$A400))</f>
        <v/>
      </c>
      <c r="AB400" s="13">
        <f>IF($A400="","",[1]!thsiFinD("ths_adjustment_nv_fund",AB$3,$A400))</f>
        <v/>
      </c>
      <c r="AC400" s="13">
        <f>IF($A400="","",[1]!thsiFinD("ths_adjustment_nv_fund",AC$3,$A400))</f>
        <v/>
      </c>
      <c r="AD400" s="13">
        <f>IF($A400="","",[1]!thsiFinD("ths_adjustment_nv_fund",AD$3,$A400))</f>
        <v/>
      </c>
      <c r="AE400" s="13">
        <f>IF($A400="","",[1]!thsiFinD("ths_adjustment_nv_fund",AE$3,$A400))</f>
        <v/>
      </c>
      <c r="AF400" s="13">
        <f>IF($A400="","",[1]!thsiFinD("ths_adjustment_nv_fund",AF$3,$A400))</f>
        <v/>
      </c>
      <c r="AG400" s="13">
        <f>IF($A400="","",[1]!thsiFinD("ths_adjustment_nv_fund",AG$3,$A400))</f>
        <v/>
      </c>
      <c r="AH400" s="13">
        <f>IF($A400="","",[1]!thsiFinD("ths_adjustment_nv_fund",AH$3,$A400))</f>
        <v/>
      </c>
      <c r="AI400" s="13">
        <f>IF($A400="","",[1]!thsiFinD("ths_adjustment_nv_fund",AI$3,$A400))</f>
        <v/>
      </c>
      <c r="AJ400" s="13">
        <f>IF($A400="","",[1]!thsiFinD("ths_adjustment_nv_fund",AJ$3,$A400))</f>
        <v/>
      </c>
      <c r="AK400" s="13">
        <f>IF($A400="","",[1]!thsiFinD("ths_adjustment_nv_fund",AK$3,$A400))</f>
        <v/>
      </c>
      <c r="AL400" s="13">
        <f>IF($A400="","",[1]!thsiFinD("ths_adjustment_nv_fund",AL$3,$A400))</f>
        <v/>
      </c>
    </row>
    <row r="401" spans="2:28">
      <c r="B401" s="13" t="str">
        <f>IF($A401="","",[1]!thsiFinD("ths_adjustment_nv_fund",B$3,$A401))</f>
        <v/>
      </c>
      <c r="C401" s="13" t="str">
        <f>IF($A401="","",[1]!thsiFinD("ths_adjustment_nv_fund",C$3,$A401))</f>
        <v/>
      </c>
      <c r="D401" s="13" t="str">
        <f>IF($A401="","",[1]!thsiFinD("ths_adjustment_nv_fund",D$3,$A401))</f>
        <v/>
      </c>
      <c r="E401" s="13" t="str">
        <f>IF($A401="","",[1]!thsiFinD("ths_adjustment_nv_fund",E$3,$A401))</f>
        <v/>
      </c>
      <c r="F401" s="13" t="str">
        <f>IF($A401="","",[1]!thsiFinD("ths_adjustment_nv_fund",F$3,$A401))</f>
        <v/>
      </c>
      <c r="G401" s="13" t="str">
        <f>IF($A401="","",[1]!thsiFinD("ths_adjustment_nv_fund",G$3,$A401))</f>
        <v/>
      </c>
      <c r="H401" s="13" t="str">
        <f>IF($A401="","",[1]!thsiFinD("ths_adjustment_nv_fund",H$3,$A401))</f>
        <v/>
      </c>
      <c r="I401" s="13" t="str">
        <f>IF($A401="","",[1]!thsiFinD("ths_adjustment_nv_fund",I$3,$A401))</f>
        <v/>
      </c>
      <c r="J401" s="13" t="str">
        <f>IF($A401="","",[1]!thsiFinD("ths_adjustment_nv_fund",J$3,$A401))</f>
        <v/>
      </c>
      <c r="K401" s="13" t="str">
        <f>IF($A401="","",[1]!thsiFinD("ths_adjustment_nv_fund",K$3,$A401))</f>
        <v/>
      </c>
      <c r="L401" s="13" t="str">
        <f>IF($A401="","",[1]!thsiFinD("ths_adjustment_nv_fund",L$3,$A401))</f>
        <v/>
      </c>
      <c r="M401" s="13" t="str">
        <f>IF($A401="","",[1]!thsiFinD("ths_adjustment_nv_fund",M$3,$A401))</f>
        <v/>
      </c>
      <c r="N401" s="13" t="str">
        <f>IF($A401="","",[1]!thsiFinD("ths_adjustment_nv_fund",N$3,$A401))</f>
        <v/>
      </c>
      <c r="O401" s="13" t="str">
        <f>IF($A401="","",[1]!thsiFinD("ths_adjustment_nv_fund",O$3,$A401))</f>
        <v/>
      </c>
      <c r="P401" s="13" t="str">
        <f>IF($A401="","",[1]!thsiFinD("ths_adjustment_nv_fund",P$3,$A401))</f>
        <v/>
      </c>
      <c r="Q401" s="13" t="str">
        <f>IF($A401="","",[1]!thsiFinD("ths_adjustment_nv_fund",Q$3,$A401))</f>
        <v/>
      </c>
      <c r="R401" s="13" t="str">
        <f>IF($A401="","",[1]!thsiFinD("ths_adjustment_nv_fund",R$3,$A401))</f>
        <v/>
      </c>
      <c r="S401" s="13" t="str">
        <f>IF($A401="","",[1]!thsiFinD("ths_adjustment_nv_fund",S$3,$A401))</f>
        <v/>
      </c>
      <c r="T401" s="13" t="str">
        <f>IF($A401="","",[1]!thsiFinD("ths_adjustment_nv_fund",T$3,$A401))</f>
        <v/>
      </c>
      <c r="U401" s="13" t="str">
        <f>IF($A401="","",[1]!thsiFinD("ths_adjustment_nv_fund",U$3,$A401))</f>
        <v/>
      </c>
      <c r="V401" s="13" t="str">
        <f>IF($A401="","",[1]!thsiFinD("ths_adjustment_nv_fund",V$3,$A401))</f>
        <v/>
      </c>
      <c r="W401" s="13" t="str">
        <f>IF($A401="","",[1]!thsiFinD("ths_adjustment_nv_fund",W$3,$A401))</f>
        <v/>
      </c>
      <c r="X401" s="13" t="str">
        <f>IF($A401="","",[1]!thsiFinD("ths_adjustment_nv_fund",X$3,$A401))</f>
        <v/>
      </c>
      <c r="Y401" s="13" t="str">
        <f>IF($A401="","",[1]!thsiFinD("ths_adjustment_nv_fund",Y$3,$A401))</f>
        <v/>
      </c>
      <c r="Z401" s="13" t="str">
        <f>IF($A401="","",[1]!thsiFinD("ths_adjustment_nv_fund",Z$3,$A401))</f>
        <v/>
      </c>
      <c r="AA401" s="13" t="str">
        <f>IF($A401="","",[1]!thsiFinD("ths_adjustment_nv_fund",AA$3,$A401))</f>
        <v/>
      </c>
      <c r="AB401" s="13">
        <f>IF($A401="","",[1]!thsiFinD("ths_adjustment_nv_fund",AB$3,$A401))</f>
        <v/>
      </c>
      <c r="AC401" s="13">
        <f>IF($A401="","",[1]!thsiFinD("ths_adjustment_nv_fund",AC$3,$A401))</f>
        <v/>
      </c>
      <c r="AD401" s="13">
        <f>IF($A401="","",[1]!thsiFinD("ths_adjustment_nv_fund",AD$3,$A401))</f>
        <v/>
      </c>
      <c r="AE401" s="13">
        <f>IF($A401="","",[1]!thsiFinD("ths_adjustment_nv_fund",AE$3,$A401))</f>
        <v/>
      </c>
      <c r="AF401" s="13">
        <f>IF($A401="","",[1]!thsiFinD("ths_adjustment_nv_fund",AF$3,$A401))</f>
        <v/>
      </c>
      <c r="AG401" s="13">
        <f>IF($A401="","",[1]!thsiFinD("ths_adjustment_nv_fund",AG$3,$A401))</f>
        <v/>
      </c>
      <c r="AH401" s="13">
        <f>IF($A401="","",[1]!thsiFinD("ths_adjustment_nv_fund",AH$3,$A401))</f>
        <v/>
      </c>
      <c r="AI401" s="13">
        <f>IF($A401="","",[1]!thsiFinD("ths_adjustment_nv_fund",AI$3,$A401))</f>
        <v/>
      </c>
      <c r="AJ401" s="13">
        <f>IF($A401="","",[1]!thsiFinD("ths_adjustment_nv_fund",AJ$3,$A401))</f>
        <v/>
      </c>
      <c r="AK401" s="13">
        <f>IF($A401="","",[1]!thsiFinD("ths_adjustment_nv_fund",AK$3,$A401))</f>
        <v/>
      </c>
      <c r="AL401" s="13">
        <f>IF($A401="","",[1]!thsiFinD("ths_adjustment_nv_fund",AL$3,$A401))</f>
        <v/>
      </c>
    </row>
    <row r="402" spans="2:28">
      <c r="B402" s="13" t="str">
        <f>IF($A402="","",[1]!thsiFinD("ths_adjustment_nv_fund",B$3,$A402))</f>
        <v/>
      </c>
      <c r="C402" s="13" t="str">
        <f>IF($A402="","",[1]!thsiFinD("ths_adjustment_nv_fund",C$3,$A402))</f>
        <v/>
      </c>
      <c r="D402" s="13" t="str">
        <f>IF($A402="","",[1]!thsiFinD("ths_adjustment_nv_fund",D$3,$A402))</f>
        <v/>
      </c>
      <c r="E402" s="13" t="str">
        <f>IF($A402="","",[1]!thsiFinD("ths_adjustment_nv_fund",E$3,$A402))</f>
        <v/>
      </c>
      <c r="F402" s="13" t="str">
        <f>IF($A402="","",[1]!thsiFinD("ths_adjustment_nv_fund",F$3,$A402))</f>
        <v/>
      </c>
      <c r="G402" s="13" t="str">
        <f>IF($A402="","",[1]!thsiFinD("ths_adjustment_nv_fund",G$3,$A402))</f>
        <v/>
      </c>
      <c r="H402" s="13" t="str">
        <f>IF($A402="","",[1]!thsiFinD("ths_adjustment_nv_fund",H$3,$A402))</f>
        <v/>
      </c>
      <c r="I402" s="13" t="str">
        <f>IF($A402="","",[1]!thsiFinD("ths_adjustment_nv_fund",I$3,$A402))</f>
        <v/>
      </c>
      <c r="J402" s="13" t="str">
        <f>IF($A402="","",[1]!thsiFinD("ths_adjustment_nv_fund",J$3,$A402))</f>
        <v/>
      </c>
      <c r="K402" s="13" t="str">
        <f>IF($A402="","",[1]!thsiFinD("ths_adjustment_nv_fund",K$3,$A402))</f>
        <v/>
      </c>
      <c r="L402" s="13" t="str">
        <f>IF($A402="","",[1]!thsiFinD("ths_adjustment_nv_fund",L$3,$A402))</f>
        <v/>
      </c>
      <c r="M402" s="13" t="str">
        <f>IF($A402="","",[1]!thsiFinD("ths_adjustment_nv_fund",M$3,$A402))</f>
        <v/>
      </c>
      <c r="N402" s="13" t="str">
        <f>IF($A402="","",[1]!thsiFinD("ths_adjustment_nv_fund",N$3,$A402))</f>
        <v/>
      </c>
      <c r="O402" s="13" t="str">
        <f>IF($A402="","",[1]!thsiFinD("ths_adjustment_nv_fund",O$3,$A402))</f>
        <v/>
      </c>
      <c r="P402" s="13" t="str">
        <f>IF($A402="","",[1]!thsiFinD("ths_adjustment_nv_fund",P$3,$A402))</f>
        <v/>
      </c>
      <c r="Q402" s="13" t="str">
        <f>IF($A402="","",[1]!thsiFinD("ths_adjustment_nv_fund",Q$3,$A402))</f>
        <v/>
      </c>
      <c r="R402" s="13" t="str">
        <f>IF($A402="","",[1]!thsiFinD("ths_adjustment_nv_fund",R$3,$A402))</f>
        <v/>
      </c>
      <c r="S402" s="13" t="str">
        <f>IF($A402="","",[1]!thsiFinD("ths_adjustment_nv_fund",S$3,$A402))</f>
        <v/>
      </c>
      <c r="T402" s="13" t="str">
        <f>IF($A402="","",[1]!thsiFinD("ths_adjustment_nv_fund",T$3,$A402))</f>
        <v/>
      </c>
      <c r="U402" s="13" t="str">
        <f>IF($A402="","",[1]!thsiFinD("ths_adjustment_nv_fund",U$3,$A402))</f>
        <v/>
      </c>
      <c r="V402" s="13" t="str">
        <f>IF($A402="","",[1]!thsiFinD("ths_adjustment_nv_fund",V$3,$A402))</f>
        <v/>
      </c>
      <c r="W402" s="13" t="str">
        <f>IF($A402="","",[1]!thsiFinD("ths_adjustment_nv_fund",W$3,$A402))</f>
        <v/>
      </c>
      <c r="X402" s="13" t="str">
        <f>IF($A402="","",[1]!thsiFinD("ths_adjustment_nv_fund",X$3,$A402))</f>
        <v/>
      </c>
      <c r="Y402" s="13" t="str">
        <f>IF($A402="","",[1]!thsiFinD("ths_adjustment_nv_fund",Y$3,$A402))</f>
        <v/>
      </c>
      <c r="Z402" s="13" t="str">
        <f>IF($A402="","",[1]!thsiFinD("ths_adjustment_nv_fund",Z$3,$A402))</f>
        <v/>
      </c>
      <c r="AA402" s="13" t="str">
        <f>IF($A402="","",[1]!thsiFinD("ths_adjustment_nv_fund",AA$3,$A402))</f>
        <v/>
      </c>
      <c r="AB402" s="13">
        <f>IF($A402="","",[1]!thsiFinD("ths_adjustment_nv_fund",AB$3,$A402))</f>
        <v/>
      </c>
      <c r="AC402" s="13">
        <f>IF($A402="","",[1]!thsiFinD("ths_adjustment_nv_fund",AC$3,$A402))</f>
        <v/>
      </c>
      <c r="AD402" s="13">
        <f>IF($A402="","",[1]!thsiFinD("ths_adjustment_nv_fund",AD$3,$A402))</f>
        <v/>
      </c>
      <c r="AE402" s="13">
        <f>IF($A402="","",[1]!thsiFinD("ths_adjustment_nv_fund",AE$3,$A402))</f>
        <v/>
      </c>
      <c r="AF402" s="13">
        <f>IF($A402="","",[1]!thsiFinD("ths_adjustment_nv_fund",AF$3,$A402))</f>
        <v/>
      </c>
      <c r="AG402" s="13">
        <f>IF($A402="","",[1]!thsiFinD("ths_adjustment_nv_fund",AG$3,$A402))</f>
        <v/>
      </c>
      <c r="AH402" s="13">
        <f>IF($A402="","",[1]!thsiFinD("ths_adjustment_nv_fund",AH$3,$A402))</f>
        <v/>
      </c>
      <c r="AI402" s="13">
        <f>IF($A402="","",[1]!thsiFinD("ths_adjustment_nv_fund",AI$3,$A402))</f>
        <v/>
      </c>
      <c r="AJ402" s="13">
        <f>IF($A402="","",[1]!thsiFinD("ths_adjustment_nv_fund",AJ$3,$A402))</f>
        <v/>
      </c>
      <c r="AK402" s="13">
        <f>IF($A402="","",[1]!thsiFinD("ths_adjustment_nv_fund",AK$3,$A402))</f>
        <v/>
      </c>
      <c r="AL402" s="13">
        <f>IF($A402="","",[1]!thsiFinD("ths_adjustment_nv_fund",AL$3,$A402))</f>
        <v/>
      </c>
    </row>
    <row r="403" spans="2:28">
      <c r="B403" s="13" t="str">
        <f>IF($A403="","",[1]!thsiFinD("ths_adjustment_nv_fund",B$3,$A403))</f>
        <v/>
      </c>
      <c r="C403" s="13" t="str">
        <f>IF($A403="","",[1]!thsiFinD("ths_adjustment_nv_fund",C$3,$A403))</f>
        <v/>
      </c>
      <c r="D403" s="13" t="str">
        <f>IF($A403="","",[1]!thsiFinD("ths_adjustment_nv_fund",D$3,$A403))</f>
        <v/>
      </c>
      <c r="E403" s="13" t="str">
        <f>IF($A403="","",[1]!thsiFinD("ths_adjustment_nv_fund",E$3,$A403))</f>
        <v/>
      </c>
      <c r="F403" s="13" t="str">
        <f>IF($A403="","",[1]!thsiFinD("ths_adjustment_nv_fund",F$3,$A403))</f>
        <v/>
      </c>
      <c r="G403" s="13" t="str">
        <f>IF($A403="","",[1]!thsiFinD("ths_adjustment_nv_fund",G$3,$A403))</f>
        <v/>
      </c>
      <c r="H403" s="13" t="str">
        <f>IF($A403="","",[1]!thsiFinD("ths_adjustment_nv_fund",H$3,$A403))</f>
        <v/>
      </c>
      <c r="I403" s="13" t="str">
        <f>IF($A403="","",[1]!thsiFinD("ths_adjustment_nv_fund",I$3,$A403))</f>
        <v/>
      </c>
      <c r="J403" s="13" t="str">
        <f>IF($A403="","",[1]!thsiFinD("ths_adjustment_nv_fund",J$3,$A403))</f>
        <v/>
      </c>
      <c r="K403" s="13" t="str">
        <f>IF($A403="","",[1]!thsiFinD("ths_adjustment_nv_fund",K$3,$A403))</f>
        <v/>
      </c>
      <c r="L403" s="13" t="str">
        <f>IF($A403="","",[1]!thsiFinD("ths_adjustment_nv_fund",L$3,$A403))</f>
        <v/>
      </c>
      <c r="M403" s="13" t="str">
        <f>IF($A403="","",[1]!thsiFinD("ths_adjustment_nv_fund",M$3,$A403))</f>
        <v/>
      </c>
      <c r="N403" s="13" t="str">
        <f>IF($A403="","",[1]!thsiFinD("ths_adjustment_nv_fund",N$3,$A403))</f>
        <v/>
      </c>
      <c r="O403" s="13" t="str">
        <f>IF($A403="","",[1]!thsiFinD("ths_adjustment_nv_fund",O$3,$A403))</f>
        <v/>
      </c>
      <c r="P403" s="13" t="str">
        <f>IF($A403="","",[1]!thsiFinD("ths_adjustment_nv_fund",P$3,$A403))</f>
        <v/>
      </c>
      <c r="Q403" s="13" t="str">
        <f>IF($A403="","",[1]!thsiFinD("ths_adjustment_nv_fund",Q$3,$A403))</f>
        <v/>
      </c>
      <c r="R403" s="13" t="str">
        <f>IF($A403="","",[1]!thsiFinD("ths_adjustment_nv_fund",R$3,$A403))</f>
        <v/>
      </c>
      <c r="S403" s="13" t="str">
        <f>IF($A403="","",[1]!thsiFinD("ths_adjustment_nv_fund",S$3,$A403))</f>
        <v/>
      </c>
      <c r="T403" s="13" t="str">
        <f>IF($A403="","",[1]!thsiFinD("ths_adjustment_nv_fund",T$3,$A403))</f>
        <v/>
      </c>
      <c r="U403" s="13" t="str">
        <f>IF($A403="","",[1]!thsiFinD("ths_adjustment_nv_fund",U$3,$A403))</f>
        <v/>
      </c>
      <c r="V403" s="13" t="str">
        <f>IF($A403="","",[1]!thsiFinD("ths_adjustment_nv_fund",V$3,$A403))</f>
        <v/>
      </c>
      <c r="W403" s="13" t="str">
        <f>IF($A403="","",[1]!thsiFinD("ths_adjustment_nv_fund",W$3,$A403))</f>
        <v/>
      </c>
      <c r="X403" s="13" t="str">
        <f>IF($A403="","",[1]!thsiFinD("ths_adjustment_nv_fund",X$3,$A403))</f>
        <v/>
      </c>
      <c r="Y403" s="13" t="str">
        <f>IF($A403="","",[1]!thsiFinD("ths_adjustment_nv_fund",Y$3,$A403))</f>
        <v/>
      </c>
      <c r="Z403" s="13" t="str">
        <f>IF($A403="","",[1]!thsiFinD("ths_adjustment_nv_fund",Z$3,$A403))</f>
        <v/>
      </c>
      <c r="AA403" s="13" t="str">
        <f>IF($A403="","",[1]!thsiFinD("ths_adjustment_nv_fund",AA$3,$A403))</f>
        <v/>
      </c>
      <c r="AB403" s="13">
        <f>IF($A403="","",[1]!thsiFinD("ths_adjustment_nv_fund",AB$3,$A403))</f>
        <v/>
      </c>
      <c r="AC403" s="13">
        <f>IF($A403="","",[1]!thsiFinD("ths_adjustment_nv_fund",AC$3,$A403))</f>
        <v/>
      </c>
      <c r="AD403" s="13">
        <f>IF($A403="","",[1]!thsiFinD("ths_adjustment_nv_fund",AD$3,$A403))</f>
        <v/>
      </c>
      <c r="AE403" s="13">
        <f>IF($A403="","",[1]!thsiFinD("ths_adjustment_nv_fund",AE$3,$A403))</f>
        <v/>
      </c>
      <c r="AF403" s="13">
        <f>IF($A403="","",[1]!thsiFinD("ths_adjustment_nv_fund",AF$3,$A403))</f>
        <v/>
      </c>
      <c r="AG403" s="13">
        <f>IF($A403="","",[1]!thsiFinD("ths_adjustment_nv_fund",AG$3,$A403))</f>
        <v/>
      </c>
      <c r="AH403" s="13">
        <f>IF($A403="","",[1]!thsiFinD("ths_adjustment_nv_fund",AH$3,$A403))</f>
        <v/>
      </c>
      <c r="AI403" s="13">
        <f>IF($A403="","",[1]!thsiFinD("ths_adjustment_nv_fund",AI$3,$A403))</f>
        <v/>
      </c>
      <c r="AJ403" s="13">
        <f>IF($A403="","",[1]!thsiFinD("ths_adjustment_nv_fund",AJ$3,$A403))</f>
        <v/>
      </c>
      <c r="AK403" s="13">
        <f>IF($A403="","",[1]!thsiFinD("ths_adjustment_nv_fund",AK$3,$A403))</f>
        <v/>
      </c>
      <c r="AL403" s="13">
        <f>IF($A403="","",[1]!thsiFinD("ths_adjustment_nv_fund",AL$3,$A403))</f>
        <v/>
      </c>
    </row>
    <row r="404" spans="2:28">
      <c r="B404" s="13" t="str">
        <f>IF($A404="","",[1]!thsiFinD("ths_adjustment_nv_fund",B$3,$A404))</f>
        <v/>
      </c>
      <c r="C404" s="13" t="str">
        <f>IF($A404="","",[1]!thsiFinD("ths_adjustment_nv_fund",C$3,$A404))</f>
        <v/>
      </c>
      <c r="D404" s="13" t="str">
        <f>IF($A404="","",[1]!thsiFinD("ths_adjustment_nv_fund",D$3,$A404))</f>
        <v/>
      </c>
      <c r="E404" s="13" t="str">
        <f>IF($A404="","",[1]!thsiFinD("ths_adjustment_nv_fund",E$3,$A404))</f>
        <v/>
      </c>
      <c r="F404" s="13" t="str">
        <f>IF($A404="","",[1]!thsiFinD("ths_adjustment_nv_fund",F$3,$A404))</f>
        <v/>
      </c>
      <c r="G404" s="13" t="str">
        <f>IF($A404="","",[1]!thsiFinD("ths_adjustment_nv_fund",G$3,$A404))</f>
        <v/>
      </c>
      <c r="H404" s="13" t="str">
        <f>IF($A404="","",[1]!thsiFinD("ths_adjustment_nv_fund",H$3,$A404))</f>
        <v/>
      </c>
      <c r="I404" s="13" t="str">
        <f>IF($A404="","",[1]!thsiFinD("ths_adjustment_nv_fund",I$3,$A404))</f>
        <v/>
      </c>
      <c r="J404" s="13" t="str">
        <f>IF($A404="","",[1]!thsiFinD("ths_adjustment_nv_fund",J$3,$A404))</f>
        <v/>
      </c>
      <c r="K404" s="13" t="str">
        <f>IF($A404="","",[1]!thsiFinD("ths_adjustment_nv_fund",K$3,$A404))</f>
        <v/>
      </c>
      <c r="L404" s="13" t="str">
        <f>IF($A404="","",[1]!thsiFinD("ths_adjustment_nv_fund",L$3,$A404))</f>
        <v/>
      </c>
      <c r="M404" s="13" t="str">
        <f>IF($A404="","",[1]!thsiFinD("ths_adjustment_nv_fund",M$3,$A404))</f>
        <v/>
      </c>
      <c r="N404" s="13" t="str">
        <f>IF($A404="","",[1]!thsiFinD("ths_adjustment_nv_fund",N$3,$A404))</f>
        <v/>
      </c>
      <c r="O404" s="13" t="str">
        <f>IF($A404="","",[1]!thsiFinD("ths_adjustment_nv_fund",O$3,$A404))</f>
        <v/>
      </c>
      <c r="P404" s="13" t="str">
        <f>IF($A404="","",[1]!thsiFinD("ths_adjustment_nv_fund",P$3,$A404))</f>
        <v/>
      </c>
      <c r="Q404" s="13" t="str">
        <f>IF($A404="","",[1]!thsiFinD("ths_adjustment_nv_fund",Q$3,$A404))</f>
        <v/>
      </c>
      <c r="R404" s="13" t="str">
        <f>IF($A404="","",[1]!thsiFinD("ths_adjustment_nv_fund",R$3,$A404))</f>
        <v/>
      </c>
      <c r="S404" s="13" t="str">
        <f>IF($A404="","",[1]!thsiFinD("ths_adjustment_nv_fund",S$3,$A404))</f>
        <v/>
      </c>
      <c r="T404" s="13" t="str">
        <f>IF($A404="","",[1]!thsiFinD("ths_adjustment_nv_fund",T$3,$A404))</f>
        <v/>
      </c>
      <c r="U404" s="13" t="str">
        <f>IF($A404="","",[1]!thsiFinD("ths_adjustment_nv_fund",U$3,$A404))</f>
        <v/>
      </c>
      <c r="V404" s="13" t="str">
        <f>IF($A404="","",[1]!thsiFinD("ths_adjustment_nv_fund",V$3,$A404))</f>
        <v/>
      </c>
      <c r="W404" s="13" t="str">
        <f>IF($A404="","",[1]!thsiFinD("ths_adjustment_nv_fund",W$3,$A404))</f>
        <v/>
      </c>
      <c r="X404" s="13" t="str">
        <f>IF($A404="","",[1]!thsiFinD("ths_adjustment_nv_fund",X$3,$A404))</f>
        <v/>
      </c>
      <c r="Y404" s="13" t="str">
        <f>IF($A404="","",[1]!thsiFinD("ths_adjustment_nv_fund",Y$3,$A404))</f>
        <v/>
      </c>
      <c r="Z404" s="13" t="str">
        <f>IF($A404="","",[1]!thsiFinD("ths_adjustment_nv_fund",Z$3,$A404))</f>
        <v/>
      </c>
      <c r="AA404" s="13" t="str">
        <f>IF($A404="","",[1]!thsiFinD("ths_adjustment_nv_fund",AA$3,$A404))</f>
        <v/>
      </c>
      <c r="AB404" s="13">
        <f>IF($A404="","",[1]!thsiFinD("ths_adjustment_nv_fund",AB$3,$A404))</f>
        <v/>
      </c>
      <c r="AC404" s="13">
        <f>IF($A404="","",[1]!thsiFinD("ths_adjustment_nv_fund",AC$3,$A404))</f>
        <v/>
      </c>
      <c r="AD404" s="13">
        <f>IF($A404="","",[1]!thsiFinD("ths_adjustment_nv_fund",AD$3,$A404))</f>
        <v/>
      </c>
      <c r="AE404" s="13">
        <f>IF($A404="","",[1]!thsiFinD("ths_adjustment_nv_fund",AE$3,$A404))</f>
        <v/>
      </c>
      <c r="AF404" s="13">
        <f>IF($A404="","",[1]!thsiFinD("ths_adjustment_nv_fund",AF$3,$A404))</f>
        <v/>
      </c>
      <c r="AG404" s="13">
        <f>IF($A404="","",[1]!thsiFinD("ths_adjustment_nv_fund",AG$3,$A404))</f>
        <v/>
      </c>
      <c r="AH404" s="13">
        <f>IF($A404="","",[1]!thsiFinD("ths_adjustment_nv_fund",AH$3,$A404))</f>
        <v/>
      </c>
      <c r="AI404" s="13">
        <f>IF($A404="","",[1]!thsiFinD("ths_adjustment_nv_fund",AI$3,$A404))</f>
        <v/>
      </c>
      <c r="AJ404" s="13">
        <f>IF($A404="","",[1]!thsiFinD("ths_adjustment_nv_fund",AJ$3,$A404))</f>
        <v/>
      </c>
      <c r="AK404" s="13">
        <f>IF($A404="","",[1]!thsiFinD("ths_adjustment_nv_fund",AK$3,$A404))</f>
        <v/>
      </c>
      <c r="AL404" s="13">
        <f>IF($A404="","",[1]!thsiFinD("ths_adjustment_nv_fund",AL$3,$A404))</f>
        <v/>
      </c>
    </row>
    <row r="405" spans="2:28">
      <c r="B405" s="13" t="str">
        <f>IF($A405="","",[1]!thsiFinD("ths_adjustment_nv_fund",B$3,$A405))</f>
        <v/>
      </c>
      <c r="C405" s="13" t="str">
        <f>IF($A405="","",[1]!thsiFinD("ths_adjustment_nv_fund",C$3,$A405))</f>
        <v/>
      </c>
      <c r="D405" s="13" t="str">
        <f>IF($A405="","",[1]!thsiFinD("ths_adjustment_nv_fund",D$3,$A405))</f>
        <v/>
      </c>
      <c r="E405" s="13" t="str">
        <f>IF($A405="","",[1]!thsiFinD("ths_adjustment_nv_fund",E$3,$A405))</f>
        <v/>
      </c>
      <c r="F405" s="13" t="str">
        <f>IF($A405="","",[1]!thsiFinD("ths_adjustment_nv_fund",F$3,$A405))</f>
        <v/>
      </c>
      <c r="G405" s="13" t="str">
        <f>IF($A405="","",[1]!thsiFinD("ths_adjustment_nv_fund",G$3,$A405))</f>
        <v/>
      </c>
      <c r="H405" s="13" t="str">
        <f>IF($A405="","",[1]!thsiFinD("ths_adjustment_nv_fund",H$3,$A405))</f>
        <v/>
      </c>
      <c r="I405" s="13" t="str">
        <f>IF($A405="","",[1]!thsiFinD("ths_adjustment_nv_fund",I$3,$A405))</f>
        <v/>
      </c>
      <c r="J405" s="13" t="str">
        <f>IF($A405="","",[1]!thsiFinD("ths_adjustment_nv_fund",J$3,$A405))</f>
        <v/>
      </c>
      <c r="K405" s="13" t="str">
        <f>IF($A405="","",[1]!thsiFinD("ths_adjustment_nv_fund",K$3,$A405))</f>
        <v/>
      </c>
      <c r="L405" s="13" t="str">
        <f>IF($A405="","",[1]!thsiFinD("ths_adjustment_nv_fund",L$3,$A405))</f>
        <v/>
      </c>
      <c r="M405" s="13" t="str">
        <f>IF($A405="","",[1]!thsiFinD("ths_adjustment_nv_fund",M$3,$A405))</f>
        <v/>
      </c>
      <c r="N405" s="13" t="str">
        <f>IF($A405="","",[1]!thsiFinD("ths_adjustment_nv_fund",N$3,$A405))</f>
        <v/>
      </c>
      <c r="O405" s="13" t="str">
        <f>IF($A405="","",[1]!thsiFinD("ths_adjustment_nv_fund",O$3,$A405))</f>
        <v/>
      </c>
      <c r="P405" s="13" t="str">
        <f>IF($A405="","",[1]!thsiFinD("ths_adjustment_nv_fund",P$3,$A405))</f>
        <v/>
      </c>
      <c r="Q405" s="13" t="str">
        <f>IF($A405="","",[1]!thsiFinD("ths_adjustment_nv_fund",Q$3,$A405))</f>
        <v/>
      </c>
      <c r="R405" s="13" t="str">
        <f>IF($A405="","",[1]!thsiFinD("ths_adjustment_nv_fund",R$3,$A405))</f>
        <v/>
      </c>
      <c r="S405" s="13" t="str">
        <f>IF($A405="","",[1]!thsiFinD("ths_adjustment_nv_fund",S$3,$A405))</f>
        <v/>
      </c>
      <c r="T405" s="13" t="str">
        <f>IF($A405="","",[1]!thsiFinD("ths_adjustment_nv_fund",T$3,$A405))</f>
        <v/>
      </c>
      <c r="U405" s="13" t="str">
        <f>IF($A405="","",[1]!thsiFinD("ths_adjustment_nv_fund",U$3,$A405))</f>
        <v/>
      </c>
      <c r="V405" s="13" t="str">
        <f>IF($A405="","",[1]!thsiFinD("ths_adjustment_nv_fund",V$3,$A405))</f>
        <v/>
      </c>
      <c r="W405" s="13" t="str">
        <f>IF($A405="","",[1]!thsiFinD("ths_adjustment_nv_fund",W$3,$A405))</f>
        <v/>
      </c>
      <c r="X405" s="13" t="str">
        <f>IF($A405="","",[1]!thsiFinD("ths_adjustment_nv_fund",X$3,$A405))</f>
        <v/>
      </c>
      <c r="Y405" s="13" t="str">
        <f>IF($A405="","",[1]!thsiFinD("ths_adjustment_nv_fund",Y$3,$A405))</f>
        <v/>
      </c>
      <c r="Z405" s="13" t="str">
        <f>IF($A405="","",[1]!thsiFinD("ths_adjustment_nv_fund",Z$3,$A405))</f>
        <v/>
      </c>
      <c r="AA405" s="13" t="str">
        <f>IF($A405="","",[1]!thsiFinD("ths_adjustment_nv_fund",AA$3,$A405))</f>
        <v/>
      </c>
      <c r="AB405" s="13">
        <f>IF($A405="","",[1]!thsiFinD("ths_adjustment_nv_fund",AB$3,$A405))</f>
        <v/>
      </c>
      <c r="AC405" s="13">
        <f>IF($A405="","",[1]!thsiFinD("ths_adjustment_nv_fund",AC$3,$A405))</f>
        <v/>
      </c>
      <c r="AD405" s="13">
        <f>IF($A405="","",[1]!thsiFinD("ths_adjustment_nv_fund",AD$3,$A405))</f>
        <v/>
      </c>
      <c r="AE405" s="13">
        <f>IF($A405="","",[1]!thsiFinD("ths_adjustment_nv_fund",AE$3,$A405))</f>
        <v/>
      </c>
      <c r="AF405" s="13">
        <f>IF($A405="","",[1]!thsiFinD("ths_adjustment_nv_fund",AF$3,$A405))</f>
        <v/>
      </c>
      <c r="AG405" s="13">
        <f>IF($A405="","",[1]!thsiFinD("ths_adjustment_nv_fund",AG$3,$A405))</f>
        <v/>
      </c>
      <c r="AH405" s="13">
        <f>IF($A405="","",[1]!thsiFinD("ths_adjustment_nv_fund",AH$3,$A405))</f>
        <v/>
      </c>
      <c r="AI405" s="13">
        <f>IF($A405="","",[1]!thsiFinD("ths_adjustment_nv_fund",AI$3,$A405))</f>
        <v/>
      </c>
      <c r="AJ405" s="13">
        <f>IF($A405="","",[1]!thsiFinD("ths_adjustment_nv_fund",AJ$3,$A405))</f>
        <v/>
      </c>
      <c r="AK405" s="13">
        <f>IF($A405="","",[1]!thsiFinD("ths_adjustment_nv_fund",AK$3,$A405))</f>
        <v/>
      </c>
      <c r="AL405" s="13">
        <f>IF($A405="","",[1]!thsiFinD("ths_adjustment_nv_fund",AL$3,$A405))</f>
        <v/>
      </c>
    </row>
    <row r="406" spans="2:28">
      <c r="B406" s="13" t="str">
        <f>IF($A406="","",[1]!thsiFinD("ths_adjustment_nv_fund",B$3,$A406))</f>
        <v/>
      </c>
      <c r="C406" s="13" t="str">
        <f>IF($A406="","",[1]!thsiFinD("ths_adjustment_nv_fund",C$3,$A406))</f>
        <v/>
      </c>
      <c r="D406" s="13" t="str">
        <f>IF($A406="","",[1]!thsiFinD("ths_adjustment_nv_fund",D$3,$A406))</f>
        <v/>
      </c>
      <c r="E406" s="13" t="str">
        <f>IF($A406="","",[1]!thsiFinD("ths_adjustment_nv_fund",E$3,$A406))</f>
        <v/>
      </c>
      <c r="F406" s="13" t="str">
        <f>IF($A406="","",[1]!thsiFinD("ths_adjustment_nv_fund",F$3,$A406))</f>
        <v/>
      </c>
      <c r="G406" s="13" t="str">
        <f>IF($A406="","",[1]!thsiFinD("ths_adjustment_nv_fund",G$3,$A406))</f>
        <v/>
      </c>
      <c r="H406" s="13" t="str">
        <f>IF($A406="","",[1]!thsiFinD("ths_adjustment_nv_fund",H$3,$A406))</f>
        <v/>
      </c>
      <c r="I406" s="13" t="str">
        <f>IF($A406="","",[1]!thsiFinD("ths_adjustment_nv_fund",I$3,$A406))</f>
        <v/>
      </c>
      <c r="J406" s="13" t="str">
        <f>IF($A406="","",[1]!thsiFinD("ths_adjustment_nv_fund",J$3,$A406))</f>
        <v/>
      </c>
      <c r="K406" s="13" t="str">
        <f>IF($A406="","",[1]!thsiFinD("ths_adjustment_nv_fund",K$3,$A406))</f>
        <v/>
      </c>
      <c r="L406" s="13" t="str">
        <f>IF($A406="","",[1]!thsiFinD("ths_adjustment_nv_fund",L$3,$A406))</f>
        <v/>
      </c>
      <c r="M406" s="13" t="str">
        <f>IF($A406="","",[1]!thsiFinD("ths_adjustment_nv_fund",M$3,$A406))</f>
        <v/>
      </c>
      <c r="N406" s="13" t="str">
        <f>IF($A406="","",[1]!thsiFinD("ths_adjustment_nv_fund",N$3,$A406))</f>
        <v/>
      </c>
      <c r="O406" s="13" t="str">
        <f>IF($A406="","",[1]!thsiFinD("ths_adjustment_nv_fund",O$3,$A406))</f>
        <v/>
      </c>
      <c r="P406" s="13" t="str">
        <f>IF($A406="","",[1]!thsiFinD("ths_adjustment_nv_fund",P$3,$A406))</f>
        <v/>
      </c>
      <c r="Q406" s="13" t="str">
        <f>IF($A406="","",[1]!thsiFinD("ths_adjustment_nv_fund",Q$3,$A406))</f>
        <v/>
      </c>
      <c r="R406" s="13" t="str">
        <f>IF($A406="","",[1]!thsiFinD("ths_adjustment_nv_fund",R$3,$A406))</f>
        <v/>
      </c>
      <c r="S406" s="13" t="str">
        <f>IF($A406="","",[1]!thsiFinD("ths_adjustment_nv_fund",S$3,$A406))</f>
        <v/>
      </c>
      <c r="T406" s="13" t="str">
        <f>IF($A406="","",[1]!thsiFinD("ths_adjustment_nv_fund",T$3,$A406))</f>
        <v/>
      </c>
      <c r="U406" s="13" t="str">
        <f>IF($A406="","",[1]!thsiFinD("ths_adjustment_nv_fund",U$3,$A406))</f>
        <v/>
      </c>
      <c r="V406" s="13" t="str">
        <f>IF($A406="","",[1]!thsiFinD("ths_adjustment_nv_fund",V$3,$A406))</f>
        <v/>
      </c>
      <c r="W406" s="13" t="str">
        <f>IF($A406="","",[1]!thsiFinD("ths_adjustment_nv_fund",W$3,$A406))</f>
        <v/>
      </c>
      <c r="X406" s="13" t="str">
        <f>IF($A406="","",[1]!thsiFinD("ths_adjustment_nv_fund",X$3,$A406))</f>
        <v/>
      </c>
      <c r="Y406" s="13" t="str">
        <f>IF($A406="","",[1]!thsiFinD("ths_adjustment_nv_fund",Y$3,$A406))</f>
        <v/>
      </c>
      <c r="Z406" s="13" t="str">
        <f>IF($A406="","",[1]!thsiFinD("ths_adjustment_nv_fund",Z$3,$A406))</f>
        <v/>
      </c>
      <c r="AA406" s="13" t="str">
        <f>IF($A406="","",[1]!thsiFinD("ths_adjustment_nv_fund",AA$3,$A406))</f>
        <v/>
      </c>
      <c r="AB406" s="13">
        <f>IF($A406="","",[1]!thsiFinD("ths_adjustment_nv_fund",AB$3,$A406))</f>
        <v/>
      </c>
      <c r="AC406" s="13">
        <f>IF($A406="","",[1]!thsiFinD("ths_adjustment_nv_fund",AC$3,$A406))</f>
        <v/>
      </c>
      <c r="AD406" s="13">
        <f>IF($A406="","",[1]!thsiFinD("ths_adjustment_nv_fund",AD$3,$A406))</f>
        <v/>
      </c>
      <c r="AE406" s="13">
        <f>IF($A406="","",[1]!thsiFinD("ths_adjustment_nv_fund",AE$3,$A406))</f>
        <v/>
      </c>
      <c r="AF406" s="13">
        <f>IF($A406="","",[1]!thsiFinD("ths_adjustment_nv_fund",AF$3,$A406))</f>
        <v/>
      </c>
      <c r="AG406" s="13">
        <f>IF($A406="","",[1]!thsiFinD("ths_adjustment_nv_fund",AG$3,$A406))</f>
        <v/>
      </c>
      <c r="AH406" s="13">
        <f>IF($A406="","",[1]!thsiFinD("ths_adjustment_nv_fund",AH$3,$A406))</f>
        <v/>
      </c>
      <c r="AI406" s="13">
        <f>IF($A406="","",[1]!thsiFinD("ths_adjustment_nv_fund",AI$3,$A406))</f>
        <v/>
      </c>
      <c r="AJ406" s="13">
        <f>IF($A406="","",[1]!thsiFinD("ths_adjustment_nv_fund",AJ$3,$A406))</f>
        <v/>
      </c>
      <c r="AK406" s="13">
        <f>IF($A406="","",[1]!thsiFinD("ths_adjustment_nv_fund",AK$3,$A406))</f>
        <v/>
      </c>
      <c r="AL406" s="13">
        <f>IF($A406="","",[1]!thsiFinD("ths_adjustment_nv_fund",AL$3,$A406))</f>
        <v/>
      </c>
    </row>
    <row r="407" spans="2:28">
      <c r="B407" s="13" t="str">
        <f>IF($A407="","",[1]!thsiFinD("ths_adjustment_nv_fund",B$3,$A407))</f>
        <v/>
      </c>
      <c r="C407" s="13" t="str">
        <f>IF($A407="","",[1]!thsiFinD("ths_adjustment_nv_fund",C$3,$A407))</f>
        <v/>
      </c>
      <c r="D407" s="13" t="str">
        <f>IF($A407="","",[1]!thsiFinD("ths_adjustment_nv_fund",D$3,$A407))</f>
        <v/>
      </c>
      <c r="E407" s="13" t="str">
        <f>IF($A407="","",[1]!thsiFinD("ths_adjustment_nv_fund",E$3,$A407))</f>
        <v/>
      </c>
      <c r="F407" s="13" t="str">
        <f>IF($A407="","",[1]!thsiFinD("ths_adjustment_nv_fund",F$3,$A407))</f>
        <v/>
      </c>
      <c r="G407" s="13" t="str">
        <f>IF($A407="","",[1]!thsiFinD("ths_adjustment_nv_fund",G$3,$A407))</f>
        <v/>
      </c>
      <c r="H407" s="13" t="str">
        <f>IF($A407="","",[1]!thsiFinD("ths_adjustment_nv_fund",H$3,$A407))</f>
        <v/>
      </c>
      <c r="I407" s="13" t="str">
        <f>IF($A407="","",[1]!thsiFinD("ths_adjustment_nv_fund",I$3,$A407))</f>
        <v/>
      </c>
      <c r="J407" s="13" t="str">
        <f>IF($A407="","",[1]!thsiFinD("ths_adjustment_nv_fund",J$3,$A407))</f>
        <v/>
      </c>
      <c r="K407" s="13" t="str">
        <f>IF($A407="","",[1]!thsiFinD("ths_adjustment_nv_fund",K$3,$A407))</f>
        <v/>
      </c>
      <c r="L407" s="13" t="str">
        <f>IF($A407="","",[1]!thsiFinD("ths_adjustment_nv_fund",L$3,$A407))</f>
        <v/>
      </c>
      <c r="M407" s="13" t="str">
        <f>IF($A407="","",[1]!thsiFinD("ths_adjustment_nv_fund",M$3,$A407))</f>
        <v/>
      </c>
      <c r="N407" s="13" t="str">
        <f>IF($A407="","",[1]!thsiFinD("ths_adjustment_nv_fund",N$3,$A407))</f>
        <v/>
      </c>
      <c r="O407" s="13" t="str">
        <f>IF($A407="","",[1]!thsiFinD("ths_adjustment_nv_fund",O$3,$A407))</f>
        <v/>
      </c>
      <c r="P407" s="13" t="str">
        <f>IF($A407="","",[1]!thsiFinD("ths_adjustment_nv_fund",P$3,$A407))</f>
        <v/>
      </c>
      <c r="Q407" s="13" t="str">
        <f>IF($A407="","",[1]!thsiFinD("ths_adjustment_nv_fund",Q$3,$A407))</f>
        <v/>
      </c>
      <c r="R407" s="13" t="str">
        <f>IF($A407="","",[1]!thsiFinD("ths_adjustment_nv_fund",R$3,$A407))</f>
        <v/>
      </c>
      <c r="S407" s="13" t="str">
        <f>IF($A407="","",[1]!thsiFinD("ths_adjustment_nv_fund",S$3,$A407))</f>
        <v/>
      </c>
      <c r="T407" s="13" t="str">
        <f>IF($A407="","",[1]!thsiFinD("ths_adjustment_nv_fund",T$3,$A407))</f>
        <v/>
      </c>
      <c r="U407" s="13" t="str">
        <f>IF($A407="","",[1]!thsiFinD("ths_adjustment_nv_fund",U$3,$A407))</f>
        <v/>
      </c>
      <c r="V407" s="13" t="str">
        <f>IF($A407="","",[1]!thsiFinD("ths_adjustment_nv_fund",V$3,$A407))</f>
        <v/>
      </c>
      <c r="W407" s="13" t="str">
        <f>IF($A407="","",[1]!thsiFinD("ths_adjustment_nv_fund",W$3,$A407))</f>
        <v/>
      </c>
      <c r="X407" s="13" t="str">
        <f>IF($A407="","",[1]!thsiFinD("ths_adjustment_nv_fund",X$3,$A407))</f>
        <v/>
      </c>
      <c r="Y407" s="13" t="str">
        <f>IF($A407="","",[1]!thsiFinD("ths_adjustment_nv_fund",Y$3,$A407))</f>
        <v/>
      </c>
      <c r="Z407" s="13" t="str">
        <f>IF($A407="","",[1]!thsiFinD("ths_adjustment_nv_fund",Z$3,$A407))</f>
        <v/>
      </c>
      <c r="AA407" s="13" t="str">
        <f>IF($A407="","",[1]!thsiFinD("ths_adjustment_nv_fund",AA$3,$A407))</f>
        <v/>
      </c>
      <c r="AB407" s="13">
        <f>IF($A407="","",[1]!thsiFinD("ths_adjustment_nv_fund",AB$3,$A407))</f>
        <v/>
      </c>
      <c r="AC407" s="13">
        <f>IF($A407="","",[1]!thsiFinD("ths_adjustment_nv_fund",AC$3,$A407))</f>
        <v/>
      </c>
      <c r="AD407" s="13">
        <f>IF($A407="","",[1]!thsiFinD("ths_adjustment_nv_fund",AD$3,$A407))</f>
        <v/>
      </c>
      <c r="AE407" s="13">
        <f>IF($A407="","",[1]!thsiFinD("ths_adjustment_nv_fund",AE$3,$A407))</f>
        <v/>
      </c>
      <c r="AF407" s="13">
        <f>IF($A407="","",[1]!thsiFinD("ths_adjustment_nv_fund",AF$3,$A407))</f>
        <v/>
      </c>
      <c r="AG407" s="13">
        <f>IF($A407="","",[1]!thsiFinD("ths_adjustment_nv_fund",AG$3,$A407))</f>
        <v/>
      </c>
      <c r="AH407" s="13">
        <f>IF($A407="","",[1]!thsiFinD("ths_adjustment_nv_fund",AH$3,$A407))</f>
        <v/>
      </c>
      <c r="AI407" s="13">
        <f>IF($A407="","",[1]!thsiFinD("ths_adjustment_nv_fund",AI$3,$A407))</f>
        <v/>
      </c>
      <c r="AJ407" s="13">
        <f>IF($A407="","",[1]!thsiFinD("ths_adjustment_nv_fund",AJ$3,$A407))</f>
        <v/>
      </c>
      <c r="AK407" s="13">
        <f>IF($A407="","",[1]!thsiFinD("ths_adjustment_nv_fund",AK$3,$A407))</f>
        <v/>
      </c>
      <c r="AL407" s="13">
        <f>IF($A407="","",[1]!thsiFinD("ths_adjustment_nv_fund",AL$3,$A407))</f>
        <v/>
      </c>
    </row>
    <row r="408" spans="2:28">
      <c r="B408" s="13" t="str">
        <f>IF($A408="","",[1]!thsiFinD("ths_adjustment_nv_fund",B$3,$A408))</f>
        <v/>
      </c>
      <c r="C408" s="13" t="str">
        <f>IF($A408="","",[1]!thsiFinD("ths_adjustment_nv_fund",C$3,$A408))</f>
        <v/>
      </c>
      <c r="D408" s="13" t="str">
        <f>IF($A408="","",[1]!thsiFinD("ths_adjustment_nv_fund",D$3,$A408))</f>
        <v/>
      </c>
      <c r="E408" s="13" t="str">
        <f>IF($A408="","",[1]!thsiFinD("ths_adjustment_nv_fund",E$3,$A408))</f>
        <v/>
      </c>
      <c r="F408" s="13" t="str">
        <f>IF($A408="","",[1]!thsiFinD("ths_adjustment_nv_fund",F$3,$A408))</f>
        <v/>
      </c>
      <c r="G408" s="13" t="str">
        <f>IF($A408="","",[1]!thsiFinD("ths_adjustment_nv_fund",G$3,$A408))</f>
        <v/>
      </c>
      <c r="H408" s="13" t="str">
        <f>IF($A408="","",[1]!thsiFinD("ths_adjustment_nv_fund",H$3,$A408))</f>
        <v/>
      </c>
      <c r="I408" s="13" t="str">
        <f>IF($A408="","",[1]!thsiFinD("ths_adjustment_nv_fund",I$3,$A408))</f>
        <v/>
      </c>
      <c r="J408" s="13" t="str">
        <f>IF($A408="","",[1]!thsiFinD("ths_adjustment_nv_fund",J$3,$A408))</f>
        <v/>
      </c>
      <c r="K408" s="13" t="str">
        <f>IF($A408="","",[1]!thsiFinD("ths_adjustment_nv_fund",K$3,$A408))</f>
        <v/>
      </c>
      <c r="L408" s="13" t="str">
        <f>IF($A408="","",[1]!thsiFinD("ths_adjustment_nv_fund",L$3,$A408))</f>
        <v/>
      </c>
      <c r="M408" s="13" t="str">
        <f>IF($A408="","",[1]!thsiFinD("ths_adjustment_nv_fund",M$3,$A408))</f>
        <v/>
      </c>
      <c r="N408" s="13" t="str">
        <f>IF($A408="","",[1]!thsiFinD("ths_adjustment_nv_fund",N$3,$A408))</f>
        <v/>
      </c>
      <c r="O408" s="13" t="str">
        <f>IF($A408="","",[1]!thsiFinD("ths_adjustment_nv_fund",O$3,$A408))</f>
        <v/>
      </c>
      <c r="P408" s="13" t="str">
        <f>IF($A408="","",[1]!thsiFinD("ths_adjustment_nv_fund",P$3,$A408))</f>
        <v/>
      </c>
      <c r="Q408" s="13" t="str">
        <f>IF($A408="","",[1]!thsiFinD("ths_adjustment_nv_fund",Q$3,$A408))</f>
        <v/>
      </c>
      <c r="R408" s="13" t="str">
        <f>IF($A408="","",[1]!thsiFinD("ths_adjustment_nv_fund",R$3,$A408))</f>
        <v/>
      </c>
      <c r="S408" s="13" t="str">
        <f>IF($A408="","",[1]!thsiFinD("ths_adjustment_nv_fund",S$3,$A408))</f>
        <v/>
      </c>
      <c r="T408" s="13" t="str">
        <f>IF($A408="","",[1]!thsiFinD("ths_adjustment_nv_fund",T$3,$A408))</f>
        <v/>
      </c>
      <c r="U408" s="13" t="str">
        <f>IF($A408="","",[1]!thsiFinD("ths_adjustment_nv_fund",U$3,$A408))</f>
        <v/>
      </c>
      <c r="V408" s="13" t="str">
        <f>IF($A408="","",[1]!thsiFinD("ths_adjustment_nv_fund",V$3,$A408))</f>
        <v/>
      </c>
      <c r="W408" s="13" t="str">
        <f>IF($A408="","",[1]!thsiFinD("ths_adjustment_nv_fund",W$3,$A408))</f>
        <v/>
      </c>
      <c r="X408" s="13" t="str">
        <f>IF($A408="","",[1]!thsiFinD("ths_adjustment_nv_fund",X$3,$A408))</f>
        <v/>
      </c>
      <c r="Y408" s="13" t="str">
        <f>IF($A408="","",[1]!thsiFinD("ths_adjustment_nv_fund",Y$3,$A408))</f>
        <v/>
      </c>
      <c r="Z408" s="13" t="str">
        <f>IF($A408="","",[1]!thsiFinD("ths_adjustment_nv_fund",Z$3,$A408))</f>
        <v/>
      </c>
      <c r="AA408" s="13" t="str">
        <f>IF($A408="","",[1]!thsiFinD("ths_adjustment_nv_fund",AA$3,$A408))</f>
        <v/>
      </c>
      <c r="AB408" s="13">
        <f>IF($A408="","",[1]!thsiFinD("ths_adjustment_nv_fund",AB$3,$A408))</f>
        <v/>
      </c>
      <c r="AC408" s="13">
        <f>IF($A408="","",[1]!thsiFinD("ths_adjustment_nv_fund",AC$3,$A408))</f>
        <v/>
      </c>
      <c r="AD408" s="13">
        <f>IF($A408="","",[1]!thsiFinD("ths_adjustment_nv_fund",AD$3,$A408))</f>
        <v/>
      </c>
      <c r="AE408" s="13">
        <f>IF($A408="","",[1]!thsiFinD("ths_adjustment_nv_fund",AE$3,$A408))</f>
        <v/>
      </c>
      <c r="AF408" s="13">
        <f>IF($A408="","",[1]!thsiFinD("ths_adjustment_nv_fund",AF$3,$A408))</f>
        <v/>
      </c>
      <c r="AG408" s="13">
        <f>IF($A408="","",[1]!thsiFinD("ths_adjustment_nv_fund",AG$3,$A408))</f>
        <v/>
      </c>
      <c r="AH408" s="13">
        <f>IF($A408="","",[1]!thsiFinD("ths_adjustment_nv_fund",AH$3,$A408))</f>
        <v/>
      </c>
      <c r="AI408" s="13">
        <f>IF($A408="","",[1]!thsiFinD("ths_adjustment_nv_fund",AI$3,$A408))</f>
        <v/>
      </c>
      <c r="AJ408" s="13">
        <f>IF($A408="","",[1]!thsiFinD("ths_adjustment_nv_fund",AJ$3,$A408))</f>
        <v/>
      </c>
      <c r="AK408" s="13">
        <f>IF($A408="","",[1]!thsiFinD("ths_adjustment_nv_fund",AK$3,$A408))</f>
        <v/>
      </c>
      <c r="AL408" s="13">
        <f>IF($A408="","",[1]!thsiFinD("ths_adjustment_nv_fund",AL$3,$A408))</f>
        <v/>
      </c>
    </row>
    <row r="409" spans="2:28">
      <c r="B409" s="13" t="str">
        <f>IF($A409="","",[1]!thsiFinD("ths_adjustment_nv_fund",B$3,$A409))</f>
        <v/>
      </c>
      <c r="C409" s="13" t="str">
        <f>IF($A409="","",[1]!thsiFinD("ths_adjustment_nv_fund",C$3,$A409))</f>
        <v/>
      </c>
      <c r="D409" s="13" t="str">
        <f>IF($A409="","",[1]!thsiFinD("ths_adjustment_nv_fund",D$3,$A409))</f>
        <v/>
      </c>
      <c r="E409" s="13" t="str">
        <f>IF($A409="","",[1]!thsiFinD("ths_adjustment_nv_fund",E$3,$A409))</f>
        <v/>
      </c>
      <c r="F409" s="13" t="str">
        <f>IF($A409="","",[1]!thsiFinD("ths_adjustment_nv_fund",F$3,$A409))</f>
        <v/>
      </c>
      <c r="G409" s="13" t="str">
        <f>IF($A409="","",[1]!thsiFinD("ths_adjustment_nv_fund",G$3,$A409))</f>
        <v/>
      </c>
      <c r="H409" s="13" t="str">
        <f>IF($A409="","",[1]!thsiFinD("ths_adjustment_nv_fund",H$3,$A409))</f>
        <v/>
      </c>
      <c r="I409" s="13" t="str">
        <f>IF($A409="","",[1]!thsiFinD("ths_adjustment_nv_fund",I$3,$A409))</f>
        <v/>
      </c>
      <c r="J409" s="13" t="str">
        <f>IF($A409="","",[1]!thsiFinD("ths_adjustment_nv_fund",J$3,$A409))</f>
        <v/>
      </c>
      <c r="K409" s="13" t="str">
        <f>IF($A409="","",[1]!thsiFinD("ths_adjustment_nv_fund",K$3,$A409))</f>
        <v/>
      </c>
      <c r="L409" s="13" t="str">
        <f>IF($A409="","",[1]!thsiFinD("ths_adjustment_nv_fund",L$3,$A409))</f>
        <v/>
      </c>
      <c r="M409" s="13" t="str">
        <f>IF($A409="","",[1]!thsiFinD("ths_adjustment_nv_fund",M$3,$A409))</f>
        <v/>
      </c>
      <c r="N409" s="13" t="str">
        <f>IF($A409="","",[1]!thsiFinD("ths_adjustment_nv_fund",N$3,$A409))</f>
        <v/>
      </c>
      <c r="O409" s="13" t="str">
        <f>IF($A409="","",[1]!thsiFinD("ths_adjustment_nv_fund",O$3,$A409))</f>
        <v/>
      </c>
      <c r="P409" s="13" t="str">
        <f>IF($A409="","",[1]!thsiFinD("ths_adjustment_nv_fund",P$3,$A409))</f>
        <v/>
      </c>
      <c r="Q409" s="13" t="str">
        <f>IF($A409="","",[1]!thsiFinD("ths_adjustment_nv_fund",Q$3,$A409))</f>
        <v/>
      </c>
      <c r="R409" s="13" t="str">
        <f>IF($A409="","",[1]!thsiFinD("ths_adjustment_nv_fund",R$3,$A409))</f>
        <v/>
      </c>
      <c r="S409" s="13" t="str">
        <f>IF($A409="","",[1]!thsiFinD("ths_adjustment_nv_fund",S$3,$A409))</f>
        <v/>
      </c>
      <c r="T409" s="13" t="str">
        <f>IF($A409="","",[1]!thsiFinD("ths_adjustment_nv_fund",T$3,$A409))</f>
        <v/>
      </c>
      <c r="U409" s="13" t="str">
        <f>IF($A409="","",[1]!thsiFinD("ths_adjustment_nv_fund",U$3,$A409))</f>
        <v/>
      </c>
      <c r="V409" s="13" t="str">
        <f>IF($A409="","",[1]!thsiFinD("ths_adjustment_nv_fund",V$3,$A409))</f>
        <v/>
      </c>
      <c r="W409" s="13" t="str">
        <f>IF($A409="","",[1]!thsiFinD("ths_adjustment_nv_fund",W$3,$A409))</f>
        <v/>
      </c>
      <c r="X409" s="13" t="str">
        <f>IF($A409="","",[1]!thsiFinD("ths_adjustment_nv_fund",X$3,$A409))</f>
        <v/>
      </c>
      <c r="Y409" s="13" t="str">
        <f>IF($A409="","",[1]!thsiFinD("ths_adjustment_nv_fund",Y$3,$A409))</f>
        <v/>
      </c>
      <c r="Z409" s="13" t="str">
        <f>IF($A409="","",[1]!thsiFinD("ths_adjustment_nv_fund",Z$3,$A409))</f>
        <v/>
      </c>
      <c r="AA409" s="13" t="str">
        <f>IF($A409="","",[1]!thsiFinD("ths_adjustment_nv_fund",AA$3,$A409))</f>
        <v/>
      </c>
      <c r="AB409" s="13">
        <f>IF($A409="","",[1]!thsiFinD("ths_adjustment_nv_fund",AB$3,$A409))</f>
        <v/>
      </c>
      <c r="AC409" s="13">
        <f>IF($A409="","",[1]!thsiFinD("ths_adjustment_nv_fund",AC$3,$A409))</f>
        <v/>
      </c>
      <c r="AD409" s="13">
        <f>IF($A409="","",[1]!thsiFinD("ths_adjustment_nv_fund",AD$3,$A409))</f>
        <v/>
      </c>
      <c r="AE409" s="13">
        <f>IF($A409="","",[1]!thsiFinD("ths_adjustment_nv_fund",AE$3,$A409))</f>
        <v/>
      </c>
      <c r="AF409" s="13">
        <f>IF($A409="","",[1]!thsiFinD("ths_adjustment_nv_fund",AF$3,$A409))</f>
        <v/>
      </c>
      <c r="AG409" s="13">
        <f>IF($A409="","",[1]!thsiFinD("ths_adjustment_nv_fund",AG$3,$A409))</f>
        <v/>
      </c>
      <c r="AH409" s="13">
        <f>IF($A409="","",[1]!thsiFinD("ths_adjustment_nv_fund",AH$3,$A409))</f>
        <v/>
      </c>
      <c r="AI409" s="13">
        <f>IF($A409="","",[1]!thsiFinD("ths_adjustment_nv_fund",AI$3,$A409))</f>
        <v/>
      </c>
      <c r="AJ409" s="13">
        <f>IF($A409="","",[1]!thsiFinD("ths_adjustment_nv_fund",AJ$3,$A409))</f>
        <v/>
      </c>
      <c r="AK409" s="13">
        <f>IF($A409="","",[1]!thsiFinD("ths_adjustment_nv_fund",AK$3,$A409))</f>
        <v/>
      </c>
      <c r="AL409" s="13">
        <f>IF($A409="","",[1]!thsiFinD("ths_adjustment_nv_fund",AL$3,$A409))</f>
        <v/>
      </c>
    </row>
    <row r="410" spans="2:28">
      <c r="B410" s="13" t="str">
        <f>IF($A410="","",[1]!thsiFinD("ths_adjustment_nv_fund",B$3,$A410))</f>
        <v/>
      </c>
      <c r="C410" s="13" t="str">
        <f>IF($A410="","",[1]!thsiFinD("ths_adjustment_nv_fund",C$3,$A410))</f>
        <v/>
      </c>
      <c r="D410" s="13" t="str">
        <f>IF($A410="","",[1]!thsiFinD("ths_adjustment_nv_fund",D$3,$A410))</f>
        <v/>
      </c>
      <c r="E410" s="13" t="str">
        <f>IF($A410="","",[1]!thsiFinD("ths_adjustment_nv_fund",E$3,$A410))</f>
        <v/>
      </c>
      <c r="F410" s="13" t="str">
        <f>IF($A410="","",[1]!thsiFinD("ths_adjustment_nv_fund",F$3,$A410))</f>
        <v/>
      </c>
      <c r="G410" s="13" t="str">
        <f>IF($A410="","",[1]!thsiFinD("ths_adjustment_nv_fund",G$3,$A410))</f>
        <v/>
      </c>
      <c r="H410" s="13" t="str">
        <f>IF($A410="","",[1]!thsiFinD("ths_adjustment_nv_fund",H$3,$A410))</f>
        <v/>
      </c>
      <c r="I410" s="13" t="str">
        <f>IF($A410="","",[1]!thsiFinD("ths_adjustment_nv_fund",I$3,$A410))</f>
        <v/>
      </c>
      <c r="J410" s="13" t="str">
        <f>IF($A410="","",[1]!thsiFinD("ths_adjustment_nv_fund",J$3,$A410))</f>
        <v/>
      </c>
      <c r="K410" s="13" t="str">
        <f>IF($A410="","",[1]!thsiFinD("ths_adjustment_nv_fund",K$3,$A410))</f>
        <v/>
      </c>
      <c r="L410" s="13" t="str">
        <f>IF($A410="","",[1]!thsiFinD("ths_adjustment_nv_fund",L$3,$A410))</f>
        <v/>
      </c>
      <c r="M410" s="13" t="str">
        <f>IF($A410="","",[1]!thsiFinD("ths_adjustment_nv_fund",M$3,$A410))</f>
        <v/>
      </c>
      <c r="N410" s="13" t="str">
        <f>IF($A410="","",[1]!thsiFinD("ths_adjustment_nv_fund",N$3,$A410))</f>
        <v/>
      </c>
      <c r="O410" s="13" t="str">
        <f>IF($A410="","",[1]!thsiFinD("ths_adjustment_nv_fund",O$3,$A410))</f>
        <v/>
      </c>
      <c r="P410" s="13" t="str">
        <f>IF($A410="","",[1]!thsiFinD("ths_adjustment_nv_fund",P$3,$A410))</f>
        <v/>
      </c>
      <c r="Q410" s="13" t="str">
        <f>IF($A410="","",[1]!thsiFinD("ths_adjustment_nv_fund",Q$3,$A410))</f>
        <v/>
      </c>
      <c r="R410" s="13" t="str">
        <f>IF($A410="","",[1]!thsiFinD("ths_adjustment_nv_fund",R$3,$A410))</f>
        <v/>
      </c>
      <c r="S410" s="13" t="str">
        <f>IF($A410="","",[1]!thsiFinD("ths_adjustment_nv_fund",S$3,$A410))</f>
        <v/>
      </c>
      <c r="T410" s="13" t="str">
        <f>IF($A410="","",[1]!thsiFinD("ths_adjustment_nv_fund",T$3,$A410))</f>
        <v/>
      </c>
      <c r="U410" s="13" t="str">
        <f>IF($A410="","",[1]!thsiFinD("ths_adjustment_nv_fund",U$3,$A410))</f>
        <v/>
      </c>
      <c r="V410" s="13" t="str">
        <f>IF($A410="","",[1]!thsiFinD("ths_adjustment_nv_fund",V$3,$A410))</f>
        <v/>
      </c>
      <c r="W410" s="13" t="str">
        <f>IF($A410="","",[1]!thsiFinD("ths_adjustment_nv_fund",W$3,$A410))</f>
        <v/>
      </c>
      <c r="X410" s="13" t="str">
        <f>IF($A410="","",[1]!thsiFinD("ths_adjustment_nv_fund",X$3,$A410))</f>
        <v/>
      </c>
      <c r="Y410" s="13" t="str">
        <f>IF($A410="","",[1]!thsiFinD("ths_adjustment_nv_fund",Y$3,$A410))</f>
        <v/>
      </c>
      <c r="Z410" s="13" t="str">
        <f>IF($A410="","",[1]!thsiFinD("ths_adjustment_nv_fund",Z$3,$A410))</f>
        <v/>
      </c>
      <c r="AA410" s="13" t="str">
        <f>IF($A410="","",[1]!thsiFinD("ths_adjustment_nv_fund",AA$3,$A410))</f>
        <v/>
      </c>
      <c r="AB410" s="13">
        <f>IF($A410="","",[1]!thsiFinD("ths_adjustment_nv_fund",AB$3,$A410))</f>
        <v/>
      </c>
      <c r="AC410" s="13">
        <f>IF($A410="","",[1]!thsiFinD("ths_adjustment_nv_fund",AC$3,$A410))</f>
        <v/>
      </c>
      <c r="AD410" s="13">
        <f>IF($A410="","",[1]!thsiFinD("ths_adjustment_nv_fund",AD$3,$A410))</f>
        <v/>
      </c>
      <c r="AE410" s="13">
        <f>IF($A410="","",[1]!thsiFinD("ths_adjustment_nv_fund",AE$3,$A410))</f>
        <v/>
      </c>
      <c r="AF410" s="13">
        <f>IF($A410="","",[1]!thsiFinD("ths_adjustment_nv_fund",AF$3,$A410))</f>
        <v/>
      </c>
      <c r="AG410" s="13">
        <f>IF($A410="","",[1]!thsiFinD("ths_adjustment_nv_fund",AG$3,$A410))</f>
        <v/>
      </c>
      <c r="AH410" s="13">
        <f>IF($A410="","",[1]!thsiFinD("ths_adjustment_nv_fund",AH$3,$A410))</f>
        <v/>
      </c>
      <c r="AI410" s="13">
        <f>IF($A410="","",[1]!thsiFinD("ths_adjustment_nv_fund",AI$3,$A410))</f>
        <v/>
      </c>
      <c r="AJ410" s="13">
        <f>IF($A410="","",[1]!thsiFinD("ths_adjustment_nv_fund",AJ$3,$A410))</f>
        <v/>
      </c>
      <c r="AK410" s="13">
        <f>IF($A410="","",[1]!thsiFinD("ths_adjustment_nv_fund",AK$3,$A410))</f>
        <v/>
      </c>
      <c r="AL410" s="13">
        <f>IF($A410="","",[1]!thsiFinD("ths_adjustment_nv_fund",AL$3,$A410))</f>
        <v/>
      </c>
    </row>
    <row r="411" spans="2:28">
      <c r="B411" s="13" t="str">
        <f>IF($A411="","",[1]!thsiFinD("ths_adjustment_nv_fund",B$3,$A411))</f>
        <v/>
      </c>
      <c r="C411" s="13" t="str">
        <f>IF($A411="","",[1]!thsiFinD("ths_adjustment_nv_fund",C$3,$A411))</f>
        <v/>
      </c>
      <c r="D411" s="13" t="str">
        <f>IF($A411="","",[1]!thsiFinD("ths_adjustment_nv_fund",D$3,$A411))</f>
        <v/>
      </c>
      <c r="E411" s="13" t="str">
        <f>IF($A411="","",[1]!thsiFinD("ths_adjustment_nv_fund",E$3,$A411))</f>
        <v/>
      </c>
      <c r="F411" s="13" t="str">
        <f>IF($A411="","",[1]!thsiFinD("ths_adjustment_nv_fund",F$3,$A411))</f>
        <v/>
      </c>
      <c r="G411" s="13" t="str">
        <f>IF($A411="","",[1]!thsiFinD("ths_adjustment_nv_fund",G$3,$A411))</f>
        <v/>
      </c>
      <c r="H411" s="13" t="str">
        <f>IF($A411="","",[1]!thsiFinD("ths_adjustment_nv_fund",H$3,$A411))</f>
        <v/>
      </c>
      <c r="I411" s="13" t="str">
        <f>IF($A411="","",[1]!thsiFinD("ths_adjustment_nv_fund",I$3,$A411))</f>
        <v/>
      </c>
      <c r="J411" s="13" t="str">
        <f>IF($A411="","",[1]!thsiFinD("ths_adjustment_nv_fund",J$3,$A411))</f>
        <v/>
      </c>
      <c r="K411" s="13" t="str">
        <f>IF($A411="","",[1]!thsiFinD("ths_adjustment_nv_fund",K$3,$A411))</f>
        <v/>
      </c>
      <c r="L411" s="13" t="str">
        <f>IF($A411="","",[1]!thsiFinD("ths_adjustment_nv_fund",L$3,$A411))</f>
        <v/>
      </c>
      <c r="M411" s="13" t="str">
        <f>IF($A411="","",[1]!thsiFinD("ths_adjustment_nv_fund",M$3,$A411))</f>
        <v/>
      </c>
      <c r="N411" s="13" t="str">
        <f>IF($A411="","",[1]!thsiFinD("ths_adjustment_nv_fund",N$3,$A411))</f>
        <v/>
      </c>
      <c r="O411" s="13" t="str">
        <f>IF($A411="","",[1]!thsiFinD("ths_adjustment_nv_fund",O$3,$A411))</f>
        <v/>
      </c>
      <c r="P411" s="13" t="str">
        <f>IF($A411="","",[1]!thsiFinD("ths_adjustment_nv_fund",P$3,$A411))</f>
        <v/>
      </c>
      <c r="Q411" s="13" t="str">
        <f>IF($A411="","",[1]!thsiFinD("ths_adjustment_nv_fund",Q$3,$A411))</f>
        <v/>
      </c>
      <c r="R411" s="13" t="str">
        <f>IF($A411="","",[1]!thsiFinD("ths_adjustment_nv_fund",R$3,$A411))</f>
        <v/>
      </c>
      <c r="S411" s="13" t="str">
        <f>IF($A411="","",[1]!thsiFinD("ths_adjustment_nv_fund",S$3,$A411))</f>
        <v/>
      </c>
      <c r="T411" s="13" t="str">
        <f>IF($A411="","",[1]!thsiFinD("ths_adjustment_nv_fund",T$3,$A411))</f>
        <v/>
      </c>
      <c r="U411" s="13" t="str">
        <f>IF($A411="","",[1]!thsiFinD("ths_adjustment_nv_fund",U$3,$A411))</f>
        <v/>
      </c>
      <c r="V411" s="13" t="str">
        <f>IF($A411="","",[1]!thsiFinD("ths_adjustment_nv_fund",V$3,$A411))</f>
        <v/>
      </c>
      <c r="W411" s="13" t="str">
        <f>IF($A411="","",[1]!thsiFinD("ths_adjustment_nv_fund",W$3,$A411))</f>
        <v/>
      </c>
      <c r="X411" s="13" t="str">
        <f>IF($A411="","",[1]!thsiFinD("ths_adjustment_nv_fund",X$3,$A411))</f>
        <v/>
      </c>
      <c r="Y411" s="13" t="str">
        <f>IF($A411="","",[1]!thsiFinD("ths_adjustment_nv_fund",Y$3,$A411))</f>
        <v/>
      </c>
      <c r="Z411" s="13" t="str">
        <f>IF($A411="","",[1]!thsiFinD("ths_adjustment_nv_fund",Z$3,$A411))</f>
        <v/>
      </c>
      <c r="AA411" s="13" t="str">
        <f>IF($A411="","",[1]!thsiFinD("ths_adjustment_nv_fund",AA$3,$A411))</f>
        <v/>
      </c>
      <c r="AB411" s="13">
        <f>IF($A411="","",[1]!thsiFinD("ths_adjustment_nv_fund",AB$3,$A411))</f>
        <v/>
      </c>
      <c r="AC411" s="13">
        <f>IF($A411="","",[1]!thsiFinD("ths_adjustment_nv_fund",AC$3,$A411))</f>
        <v/>
      </c>
      <c r="AD411" s="13">
        <f>IF($A411="","",[1]!thsiFinD("ths_adjustment_nv_fund",AD$3,$A411))</f>
        <v/>
      </c>
      <c r="AE411" s="13">
        <f>IF($A411="","",[1]!thsiFinD("ths_adjustment_nv_fund",AE$3,$A411))</f>
        <v/>
      </c>
      <c r="AF411" s="13">
        <f>IF($A411="","",[1]!thsiFinD("ths_adjustment_nv_fund",AF$3,$A411))</f>
        <v/>
      </c>
      <c r="AG411" s="13">
        <f>IF($A411="","",[1]!thsiFinD("ths_adjustment_nv_fund",AG$3,$A411))</f>
        <v/>
      </c>
      <c r="AH411" s="13">
        <f>IF($A411="","",[1]!thsiFinD("ths_adjustment_nv_fund",AH$3,$A411))</f>
        <v/>
      </c>
      <c r="AI411" s="13">
        <f>IF($A411="","",[1]!thsiFinD("ths_adjustment_nv_fund",AI$3,$A411))</f>
        <v/>
      </c>
      <c r="AJ411" s="13">
        <f>IF($A411="","",[1]!thsiFinD("ths_adjustment_nv_fund",AJ$3,$A411))</f>
        <v/>
      </c>
      <c r="AK411" s="13">
        <f>IF($A411="","",[1]!thsiFinD("ths_adjustment_nv_fund",AK$3,$A411))</f>
        <v/>
      </c>
      <c r="AL411" s="13">
        <f>IF($A411="","",[1]!thsiFinD("ths_adjustment_nv_fund",AL$3,$A411))</f>
        <v/>
      </c>
    </row>
    <row r="412" spans="2:28">
      <c r="B412" s="13" t="str">
        <f>IF($A412="","",[1]!thsiFinD("ths_adjustment_nv_fund",B$3,$A412))</f>
        <v/>
      </c>
      <c r="C412" s="13" t="str">
        <f>IF($A412="","",[1]!thsiFinD("ths_adjustment_nv_fund",C$3,$A412))</f>
        <v/>
      </c>
      <c r="D412" s="13" t="str">
        <f>IF($A412="","",[1]!thsiFinD("ths_adjustment_nv_fund",D$3,$A412))</f>
        <v/>
      </c>
      <c r="E412" s="13" t="str">
        <f>IF($A412="","",[1]!thsiFinD("ths_adjustment_nv_fund",E$3,$A412))</f>
        <v/>
      </c>
      <c r="F412" s="13" t="str">
        <f>IF($A412="","",[1]!thsiFinD("ths_adjustment_nv_fund",F$3,$A412))</f>
        <v/>
      </c>
      <c r="G412" s="13" t="str">
        <f>IF($A412="","",[1]!thsiFinD("ths_adjustment_nv_fund",G$3,$A412))</f>
        <v/>
      </c>
      <c r="H412" s="13" t="str">
        <f>IF($A412="","",[1]!thsiFinD("ths_adjustment_nv_fund",H$3,$A412))</f>
        <v/>
      </c>
      <c r="I412" s="13" t="str">
        <f>IF($A412="","",[1]!thsiFinD("ths_adjustment_nv_fund",I$3,$A412))</f>
        <v/>
      </c>
      <c r="J412" s="13" t="str">
        <f>IF($A412="","",[1]!thsiFinD("ths_adjustment_nv_fund",J$3,$A412))</f>
        <v/>
      </c>
      <c r="K412" s="13" t="str">
        <f>IF($A412="","",[1]!thsiFinD("ths_adjustment_nv_fund",K$3,$A412))</f>
        <v/>
      </c>
      <c r="L412" s="13" t="str">
        <f>IF($A412="","",[1]!thsiFinD("ths_adjustment_nv_fund",L$3,$A412))</f>
        <v/>
      </c>
      <c r="M412" s="13" t="str">
        <f>IF($A412="","",[1]!thsiFinD("ths_adjustment_nv_fund",M$3,$A412))</f>
        <v/>
      </c>
      <c r="N412" s="13" t="str">
        <f>IF($A412="","",[1]!thsiFinD("ths_adjustment_nv_fund",N$3,$A412))</f>
        <v/>
      </c>
      <c r="O412" s="13" t="str">
        <f>IF($A412="","",[1]!thsiFinD("ths_adjustment_nv_fund",O$3,$A412))</f>
        <v/>
      </c>
      <c r="P412" s="13" t="str">
        <f>IF($A412="","",[1]!thsiFinD("ths_adjustment_nv_fund",P$3,$A412))</f>
        <v/>
      </c>
      <c r="Q412" s="13" t="str">
        <f>IF($A412="","",[1]!thsiFinD("ths_adjustment_nv_fund",Q$3,$A412))</f>
        <v/>
      </c>
      <c r="R412" s="13" t="str">
        <f>IF($A412="","",[1]!thsiFinD("ths_adjustment_nv_fund",R$3,$A412))</f>
        <v/>
      </c>
      <c r="S412" s="13" t="str">
        <f>IF($A412="","",[1]!thsiFinD("ths_adjustment_nv_fund",S$3,$A412))</f>
        <v/>
      </c>
      <c r="T412" s="13" t="str">
        <f>IF($A412="","",[1]!thsiFinD("ths_adjustment_nv_fund",T$3,$A412))</f>
        <v/>
      </c>
      <c r="U412" s="13" t="str">
        <f>IF($A412="","",[1]!thsiFinD("ths_adjustment_nv_fund",U$3,$A412))</f>
        <v/>
      </c>
      <c r="V412" s="13" t="str">
        <f>IF($A412="","",[1]!thsiFinD("ths_adjustment_nv_fund",V$3,$A412))</f>
        <v/>
      </c>
      <c r="W412" s="13" t="str">
        <f>IF($A412="","",[1]!thsiFinD("ths_adjustment_nv_fund",W$3,$A412))</f>
        <v/>
      </c>
      <c r="X412" s="13" t="str">
        <f>IF($A412="","",[1]!thsiFinD("ths_adjustment_nv_fund",X$3,$A412))</f>
        <v/>
      </c>
      <c r="Y412" s="13" t="str">
        <f>IF($A412="","",[1]!thsiFinD("ths_adjustment_nv_fund",Y$3,$A412))</f>
        <v/>
      </c>
      <c r="Z412" s="13" t="str">
        <f>IF($A412="","",[1]!thsiFinD("ths_adjustment_nv_fund",Z$3,$A412))</f>
        <v/>
      </c>
      <c r="AA412" s="13" t="str">
        <f>IF($A412="","",[1]!thsiFinD("ths_adjustment_nv_fund",AA$3,$A412))</f>
        <v/>
      </c>
      <c r="AB412" s="13">
        <f>IF($A412="","",[1]!thsiFinD("ths_adjustment_nv_fund",AB$3,$A412))</f>
        <v/>
      </c>
      <c r="AC412" s="13">
        <f>IF($A412="","",[1]!thsiFinD("ths_adjustment_nv_fund",AC$3,$A412))</f>
        <v/>
      </c>
      <c r="AD412" s="13">
        <f>IF($A412="","",[1]!thsiFinD("ths_adjustment_nv_fund",AD$3,$A412))</f>
        <v/>
      </c>
      <c r="AE412" s="13">
        <f>IF($A412="","",[1]!thsiFinD("ths_adjustment_nv_fund",AE$3,$A412))</f>
        <v/>
      </c>
      <c r="AF412" s="13">
        <f>IF($A412="","",[1]!thsiFinD("ths_adjustment_nv_fund",AF$3,$A412))</f>
        <v/>
      </c>
      <c r="AG412" s="13">
        <f>IF($A412="","",[1]!thsiFinD("ths_adjustment_nv_fund",AG$3,$A412))</f>
        <v/>
      </c>
      <c r="AH412" s="13">
        <f>IF($A412="","",[1]!thsiFinD("ths_adjustment_nv_fund",AH$3,$A412))</f>
        <v/>
      </c>
      <c r="AI412" s="13">
        <f>IF($A412="","",[1]!thsiFinD("ths_adjustment_nv_fund",AI$3,$A412))</f>
        <v/>
      </c>
      <c r="AJ412" s="13">
        <f>IF($A412="","",[1]!thsiFinD("ths_adjustment_nv_fund",AJ$3,$A412))</f>
        <v/>
      </c>
      <c r="AK412" s="13">
        <f>IF($A412="","",[1]!thsiFinD("ths_adjustment_nv_fund",AK$3,$A412))</f>
        <v/>
      </c>
      <c r="AL412" s="13">
        <f>IF($A412="","",[1]!thsiFinD("ths_adjustment_nv_fund",AL$3,$A412))</f>
        <v/>
      </c>
    </row>
    <row r="413" spans="2:28">
      <c r="B413" s="13" t="str">
        <f>IF($A413="","",[1]!thsiFinD("ths_adjustment_nv_fund",B$3,$A413))</f>
        <v/>
      </c>
      <c r="C413" s="13" t="str">
        <f>IF($A413="","",[1]!thsiFinD("ths_adjustment_nv_fund",C$3,$A413))</f>
        <v/>
      </c>
      <c r="D413" s="13" t="str">
        <f>IF($A413="","",[1]!thsiFinD("ths_adjustment_nv_fund",D$3,$A413))</f>
        <v/>
      </c>
      <c r="E413" s="13" t="str">
        <f>IF($A413="","",[1]!thsiFinD("ths_adjustment_nv_fund",E$3,$A413))</f>
        <v/>
      </c>
      <c r="F413" s="13" t="str">
        <f>IF($A413="","",[1]!thsiFinD("ths_adjustment_nv_fund",F$3,$A413))</f>
        <v/>
      </c>
      <c r="G413" s="13" t="str">
        <f>IF($A413="","",[1]!thsiFinD("ths_adjustment_nv_fund",G$3,$A413))</f>
        <v/>
      </c>
      <c r="H413" s="13" t="str">
        <f>IF($A413="","",[1]!thsiFinD("ths_adjustment_nv_fund",H$3,$A413))</f>
        <v/>
      </c>
      <c r="I413" s="13" t="str">
        <f>IF($A413="","",[1]!thsiFinD("ths_adjustment_nv_fund",I$3,$A413))</f>
        <v/>
      </c>
      <c r="J413" s="13" t="str">
        <f>IF($A413="","",[1]!thsiFinD("ths_adjustment_nv_fund",J$3,$A413))</f>
        <v/>
      </c>
      <c r="K413" s="13" t="str">
        <f>IF($A413="","",[1]!thsiFinD("ths_adjustment_nv_fund",K$3,$A413))</f>
        <v/>
      </c>
      <c r="L413" s="13" t="str">
        <f>IF($A413="","",[1]!thsiFinD("ths_adjustment_nv_fund",L$3,$A413))</f>
        <v/>
      </c>
      <c r="M413" s="13" t="str">
        <f>IF($A413="","",[1]!thsiFinD("ths_adjustment_nv_fund",M$3,$A413))</f>
        <v/>
      </c>
      <c r="N413" s="13" t="str">
        <f>IF($A413="","",[1]!thsiFinD("ths_adjustment_nv_fund",N$3,$A413))</f>
        <v/>
      </c>
      <c r="O413" s="13" t="str">
        <f>IF($A413="","",[1]!thsiFinD("ths_adjustment_nv_fund",O$3,$A413))</f>
        <v/>
      </c>
      <c r="P413" s="13" t="str">
        <f>IF($A413="","",[1]!thsiFinD("ths_adjustment_nv_fund",P$3,$A413))</f>
        <v/>
      </c>
      <c r="Q413" s="13" t="str">
        <f>IF($A413="","",[1]!thsiFinD("ths_adjustment_nv_fund",Q$3,$A413))</f>
        <v/>
      </c>
      <c r="R413" s="13" t="str">
        <f>IF($A413="","",[1]!thsiFinD("ths_adjustment_nv_fund",R$3,$A413))</f>
        <v/>
      </c>
      <c r="S413" s="13" t="str">
        <f>IF($A413="","",[1]!thsiFinD("ths_adjustment_nv_fund",S$3,$A413))</f>
        <v/>
      </c>
      <c r="T413" s="13" t="str">
        <f>IF($A413="","",[1]!thsiFinD("ths_adjustment_nv_fund",T$3,$A413))</f>
        <v/>
      </c>
      <c r="U413" s="13" t="str">
        <f>IF($A413="","",[1]!thsiFinD("ths_adjustment_nv_fund",U$3,$A413))</f>
        <v/>
      </c>
      <c r="V413" s="13" t="str">
        <f>IF($A413="","",[1]!thsiFinD("ths_adjustment_nv_fund",V$3,$A413))</f>
        <v/>
      </c>
      <c r="W413" s="13" t="str">
        <f>IF($A413="","",[1]!thsiFinD("ths_adjustment_nv_fund",W$3,$A413))</f>
        <v/>
      </c>
      <c r="X413" s="13" t="str">
        <f>IF($A413="","",[1]!thsiFinD("ths_adjustment_nv_fund",X$3,$A413))</f>
        <v/>
      </c>
      <c r="Y413" s="13" t="str">
        <f>IF($A413="","",[1]!thsiFinD("ths_adjustment_nv_fund",Y$3,$A413))</f>
        <v/>
      </c>
      <c r="Z413" s="13" t="str">
        <f>IF($A413="","",[1]!thsiFinD("ths_adjustment_nv_fund",Z$3,$A413))</f>
        <v/>
      </c>
      <c r="AA413" s="13" t="str">
        <f>IF($A413="","",[1]!thsiFinD("ths_adjustment_nv_fund",AA$3,$A413))</f>
        <v/>
      </c>
      <c r="AB413" s="13">
        <f>IF($A413="","",[1]!thsiFinD("ths_adjustment_nv_fund",AB$3,$A413))</f>
        <v/>
      </c>
      <c r="AC413" s="13">
        <f>IF($A413="","",[1]!thsiFinD("ths_adjustment_nv_fund",AC$3,$A413))</f>
        <v/>
      </c>
      <c r="AD413" s="13">
        <f>IF($A413="","",[1]!thsiFinD("ths_adjustment_nv_fund",AD$3,$A413))</f>
        <v/>
      </c>
      <c r="AE413" s="13">
        <f>IF($A413="","",[1]!thsiFinD("ths_adjustment_nv_fund",AE$3,$A413))</f>
        <v/>
      </c>
      <c r="AF413" s="13">
        <f>IF($A413="","",[1]!thsiFinD("ths_adjustment_nv_fund",AF$3,$A413))</f>
        <v/>
      </c>
      <c r="AG413" s="13">
        <f>IF($A413="","",[1]!thsiFinD("ths_adjustment_nv_fund",AG$3,$A413))</f>
        <v/>
      </c>
      <c r="AH413" s="13">
        <f>IF($A413="","",[1]!thsiFinD("ths_adjustment_nv_fund",AH$3,$A413))</f>
        <v/>
      </c>
      <c r="AI413" s="13">
        <f>IF($A413="","",[1]!thsiFinD("ths_adjustment_nv_fund",AI$3,$A413))</f>
        <v/>
      </c>
      <c r="AJ413" s="13">
        <f>IF($A413="","",[1]!thsiFinD("ths_adjustment_nv_fund",AJ$3,$A413))</f>
        <v/>
      </c>
      <c r="AK413" s="13">
        <f>IF($A413="","",[1]!thsiFinD("ths_adjustment_nv_fund",AK$3,$A413))</f>
        <v/>
      </c>
      <c r="AL413" s="13">
        <f>IF($A413="","",[1]!thsiFinD("ths_adjustment_nv_fund",AL$3,$A413))</f>
        <v/>
      </c>
    </row>
    <row r="414" spans="2:28">
      <c r="B414" s="13" t="str">
        <f>IF($A414="","",[1]!thsiFinD("ths_adjustment_nv_fund",B$3,$A414))</f>
        <v/>
      </c>
      <c r="C414" s="13" t="str">
        <f>IF($A414="","",[1]!thsiFinD("ths_adjustment_nv_fund",C$3,$A414))</f>
        <v/>
      </c>
      <c r="D414" s="13" t="str">
        <f>IF($A414="","",[1]!thsiFinD("ths_adjustment_nv_fund",D$3,$A414))</f>
        <v/>
      </c>
      <c r="E414" s="13" t="str">
        <f>IF($A414="","",[1]!thsiFinD("ths_adjustment_nv_fund",E$3,$A414))</f>
        <v/>
      </c>
      <c r="F414" s="13" t="str">
        <f>IF($A414="","",[1]!thsiFinD("ths_adjustment_nv_fund",F$3,$A414))</f>
        <v/>
      </c>
      <c r="G414" s="13" t="str">
        <f>IF($A414="","",[1]!thsiFinD("ths_adjustment_nv_fund",G$3,$A414))</f>
        <v/>
      </c>
      <c r="H414" s="13" t="str">
        <f>IF($A414="","",[1]!thsiFinD("ths_adjustment_nv_fund",H$3,$A414))</f>
        <v/>
      </c>
      <c r="I414" s="13" t="str">
        <f>IF($A414="","",[1]!thsiFinD("ths_adjustment_nv_fund",I$3,$A414))</f>
        <v/>
      </c>
      <c r="J414" s="13" t="str">
        <f>IF($A414="","",[1]!thsiFinD("ths_adjustment_nv_fund",J$3,$A414))</f>
        <v/>
      </c>
      <c r="K414" s="13" t="str">
        <f>IF($A414="","",[1]!thsiFinD("ths_adjustment_nv_fund",K$3,$A414))</f>
        <v/>
      </c>
      <c r="L414" s="13" t="str">
        <f>IF($A414="","",[1]!thsiFinD("ths_adjustment_nv_fund",L$3,$A414))</f>
        <v/>
      </c>
      <c r="M414" s="13" t="str">
        <f>IF($A414="","",[1]!thsiFinD("ths_adjustment_nv_fund",M$3,$A414))</f>
        <v/>
      </c>
      <c r="N414" s="13" t="str">
        <f>IF($A414="","",[1]!thsiFinD("ths_adjustment_nv_fund",N$3,$A414))</f>
        <v/>
      </c>
      <c r="O414" s="13" t="str">
        <f>IF($A414="","",[1]!thsiFinD("ths_adjustment_nv_fund",O$3,$A414))</f>
        <v/>
      </c>
      <c r="P414" s="13" t="str">
        <f>IF($A414="","",[1]!thsiFinD("ths_adjustment_nv_fund",P$3,$A414))</f>
        <v/>
      </c>
      <c r="Q414" s="13" t="str">
        <f>IF($A414="","",[1]!thsiFinD("ths_adjustment_nv_fund",Q$3,$A414))</f>
        <v/>
      </c>
      <c r="R414" s="13" t="str">
        <f>IF($A414="","",[1]!thsiFinD("ths_adjustment_nv_fund",R$3,$A414))</f>
        <v/>
      </c>
      <c r="S414" s="13" t="str">
        <f>IF($A414="","",[1]!thsiFinD("ths_adjustment_nv_fund",S$3,$A414))</f>
        <v/>
      </c>
      <c r="T414" s="13" t="str">
        <f>IF($A414="","",[1]!thsiFinD("ths_adjustment_nv_fund",T$3,$A414))</f>
        <v/>
      </c>
      <c r="U414" s="13" t="str">
        <f>IF($A414="","",[1]!thsiFinD("ths_adjustment_nv_fund",U$3,$A414))</f>
        <v/>
      </c>
      <c r="V414" s="13" t="str">
        <f>IF($A414="","",[1]!thsiFinD("ths_adjustment_nv_fund",V$3,$A414))</f>
        <v/>
      </c>
      <c r="W414" s="13" t="str">
        <f>IF($A414="","",[1]!thsiFinD("ths_adjustment_nv_fund",W$3,$A414))</f>
        <v/>
      </c>
      <c r="X414" s="13" t="str">
        <f>IF($A414="","",[1]!thsiFinD("ths_adjustment_nv_fund",X$3,$A414))</f>
        <v/>
      </c>
      <c r="Y414" s="13" t="str">
        <f>IF($A414="","",[1]!thsiFinD("ths_adjustment_nv_fund",Y$3,$A414))</f>
        <v/>
      </c>
      <c r="Z414" s="13" t="str">
        <f>IF($A414="","",[1]!thsiFinD("ths_adjustment_nv_fund",Z$3,$A414))</f>
        <v/>
      </c>
      <c r="AA414" s="13" t="str">
        <f>IF($A414="","",[1]!thsiFinD("ths_adjustment_nv_fund",AA$3,$A414))</f>
        <v/>
      </c>
      <c r="AB414" s="13">
        <f>IF($A414="","",[1]!thsiFinD("ths_adjustment_nv_fund",AB$3,$A414))</f>
        <v/>
      </c>
      <c r="AC414" s="13">
        <f>IF($A414="","",[1]!thsiFinD("ths_adjustment_nv_fund",AC$3,$A414))</f>
        <v/>
      </c>
      <c r="AD414" s="13">
        <f>IF($A414="","",[1]!thsiFinD("ths_adjustment_nv_fund",AD$3,$A414))</f>
        <v/>
      </c>
      <c r="AE414" s="13">
        <f>IF($A414="","",[1]!thsiFinD("ths_adjustment_nv_fund",AE$3,$A414))</f>
        <v/>
      </c>
      <c r="AF414" s="13">
        <f>IF($A414="","",[1]!thsiFinD("ths_adjustment_nv_fund",AF$3,$A414))</f>
        <v/>
      </c>
      <c r="AG414" s="13">
        <f>IF($A414="","",[1]!thsiFinD("ths_adjustment_nv_fund",AG$3,$A414))</f>
        <v/>
      </c>
      <c r="AH414" s="13">
        <f>IF($A414="","",[1]!thsiFinD("ths_adjustment_nv_fund",AH$3,$A414))</f>
        <v/>
      </c>
      <c r="AI414" s="13">
        <f>IF($A414="","",[1]!thsiFinD("ths_adjustment_nv_fund",AI$3,$A414))</f>
        <v/>
      </c>
      <c r="AJ414" s="13">
        <f>IF($A414="","",[1]!thsiFinD("ths_adjustment_nv_fund",AJ$3,$A414))</f>
        <v/>
      </c>
      <c r="AK414" s="13">
        <f>IF($A414="","",[1]!thsiFinD("ths_adjustment_nv_fund",AK$3,$A414))</f>
        <v/>
      </c>
      <c r="AL414" s="13">
        <f>IF($A414="","",[1]!thsiFinD("ths_adjustment_nv_fund",AL$3,$A414))</f>
        <v/>
      </c>
    </row>
    <row r="415" spans="2:28">
      <c r="B415" s="13" t="str">
        <f>IF($A415="","",[1]!thsiFinD("ths_adjustment_nv_fund",B$3,$A415))</f>
        <v/>
      </c>
      <c r="C415" s="13" t="str">
        <f>IF($A415="","",[1]!thsiFinD("ths_adjustment_nv_fund",C$3,$A415))</f>
        <v/>
      </c>
      <c r="D415" s="13" t="str">
        <f>IF($A415="","",[1]!thsiFinD("ths_adjustment_nv_fund",D$3,$A415))</f>
        <v/>
      </c>
      <c r="E415" s="13" t="str">
        <f>IF($A415="","",[1]!thsiFinD("ths_adjustment_nv_fund",E$3,$A415))</f>
        <v/>
      </c>
      <c r="F415" s="13" t="str">
        <f>IF($A415="","",[1]!thsiFinD("ths_adjustment_nv_fund",F$3,$A415))</f>
        <v/>
      </c>
      <c r="G415" s="13" t="str">
        <f>IF($A415="","",[1]!thsiFinD("ths_adjustment_nv_fund",G$3,$A415))</f>
        <v/>
      </c>
      <c r="H415" s="13" t="str">
        <f>IF($A415="","",[1]!thsiFinD("ths_adjustment_nv_fund",H$3,$A415))</f>
        <v/>
      </c>
      <c r="I415" s="13" t="str">
        <f>IF($A415="","",[1]!thsiFinD("ths_adjustment_nv_fund",I$3,$A415))</f>
        <v/>
      </c>
      <c r="J415" s="13" t="str">
        <f>IF($A415="","",[1]!thsiFinD("ths_adjustment_nv_fund",J$3,$A415))</f>
        <v/>
      </c>
      <c r="K415" s="13" t="str">
        <f>IF($A415="","",[1]!thsiFinD("ths_adjustment_nv_fund",K$3,$A415))</f>
        <v/>
      </c>
      <c r="L415" s="13" t="str">
        <f>IF($A415="","",[1]!thsiFinD("ths_adjustment_nv_fund",L$3,$A415))</f>
        <v/>
      </c>
      <c r="M415" s="13" t="str">
        <f>IF($A415="","",[1]!thsiFinD("ths_adjustment_nv_fund",M$3,$A415))</f>
        <v/>
      </c>
      <c r="N415" s="13" t="str">
        <f>IF($A415="","",[1]!thsiFinD("ths_adjustment_nv_fund",N$3,$A415))</f>
        <v/>
      </c>
      <c r="O415" s="13" t="str">
        <f>IF($A415="","",[1]!thsiFinD("ths_adjustment_nv_fund",O$3,$A415))</f>
        <v/>
      </c>
      <c r="P415" s="13" t="str">
        <f>IF($A415="","",[1]!thsiFinD("ths_adjustment_nv_fund",P$3,$A415))</f>
        <v/>
      </c>
      <c r="Q415" s="13" t="str">
        <f>IF($A415="","",[1]!thsiFinD("ths_adjustment_nv_fund",Q$3,$A415))</f>
        <v/>
      </c>
      <c r="R415" s="13" t="str">
        <f>IF($A415="","",[1]!thsiFinD("ths_adjustment_nv_fund",R$3,$A415))</f>
        <v/>
      </c>
      <c r="S415" s="13" t="str">
        <f>IF($A415="","",[1]!thsiFinD("ths_adjustment_nv_fund",S$3,$A415))</f>
        <v/>
      </c>
      <c r="T415" s="13" t="str">
        <f>IF($A415="","",[1]!thsiFinD("ths_adjustment_nv_fund",T$3,$A415))</f>
        <v/>
      </c>
      <c r="U415" s="13" t="str">
        <f>IF($A415="","",[1]!thsiFinD("ths_adjustment_nv_fund",U$3,$A415))</f>
        <v/>
      </c>
      <c r="V415" s="13" t="str">
        <f>IF($A415="","",[1]!thsiFinD("ths_adjustment_nv_fund",V$3,$A415))</f>
        <v/>
      </c>
      <c r="W415" s="13" t="str">
        <f>IF($A415="","",[1]!thsiFinD("ths_adjustment_nv_fund",W$3,$A415))</f>
        <v/>
      </c>
      <c r="X415" s="13" t="str">
        <f>IF($A415="","",[1]!thsiFinD("ths_adjustment_nv_fund",X$3,$A415))</f>
        <v/>
      </c>
      <c r="Y415" s="13" t="str">
        <f>IF($A415="","",[1]!thsiFinD("ths_adjustment_nv_fund",Y$3,$A415))</f>
        <v/>
      </c>
      <c r="Z415" s="13" t="str">
        <f>IF($A415="","",[1]!thsiFinD("ths_adjustment_nv_fund",Z$3,$A415))</f>
        <v/>
      </c>
      <c r="AA415" s="13" t="str">
        <f>IF($A415="","",[1]!thsiFinD("ths_adjustment_nv_fund",AA$3,$A415))</f>
        <v/>
      </c>
      <c r="AB415" s="13">
        <f>IF($A415="","",[1]!thsiFinD("ths_adjustment_nv_fund",AB$3,$A415))</f>
        <v/>
      </c>
      <c r="AC415" s="13">
        <f>IF($A415="","",[1]!thsiFinD("ths_adjustment_nv_fund",AC$3,$A415))</f>
        <v/>
      </c>
      <c r="AD415" s="13">
        <f>IF($A415="","",[1]!thsiFinD("ths_adjustment_nv_fund",AD$3,$A415))</f>
        <v/>
      </c>
      <c r="AE415" s="13">
        <f>IF($A415="","",[1]!thsiFinD("ths_adjustment_nv_fund",AE$3,$A415))</f>
        <v/>
      </c>
      <c r="AF415" s="13">
        <f>IF($A415="","",[1]!thsiFinD("ths_adjustment_nv_fund",AF$3,$A415))</f>
        <v/>
      </c>
      <c r="AG415" s="13">
        <f>IF($A415="","",[1]!thsiFinD("ths_adjustment_nv_fund",AG$3,$A415))</f>
        <v/>
      </c>
      <c r="AH415" s="13">
        <f>IF($A415="","",[1]!thsiFinD("ths_adjustment_nv_fund",AH$3,$A415))</f>
        <v/>
      </c>
      <c r="AI415" s="13">
        <f>IF($A415="","",[1]!thsiFinD("ths_adjustment_nv_fund",AI$3,$A415))</f>
        <v/>
      </c>
      <c r="AJ415" s="13">
        <f>IF($A415="","",[1]!thsiFinD("ths_adjustment_nv_fund",AJ$3,$A415))</f>
        <v/>
      </c>
      <c r="AK415" s="13">
        <f>IF($A415="","",[1]!thsiFinD("ths_adjustment_nv_fund",AK$3,$A415))</f>
        <v/>
      </c>
      <c r="AL415" s="13">
        <f>IF($A415="","",[1]!thsiFinD("ths_adjustment_nv_fund",AL$3,$A415))</f>
        <v/>
      </c>
    </row>
    <row r="416" spans="2:28">
      <c r="B416" s="13" t="str">
        <f>IF($A416="","",[1]!thsiFinD("ths_adjustment_nv_fund",B$3,$A416))</f>
        <v/>
      </c>
      <c r="C416" s="13" t="str">
        <f>IF($A416="","",[1]!thsiFinD("ths_adjustment_nv_fund",C$3,$A416))</f>
        <v/>
      </c>
      <c r="D416" s="13" t="str">
        <f>IF($A416="","",[1]!thsiFinD("ths_adjustment_nv_fund",D$3,$A416))</f>
        <v/>
      </c>
      <c r="E416" s="13" t="str">
        <f>IF($A416="","",[1]!thsiFinD("ths_adjustment_nv_fund",E$3,$A416))</f>
        <v/>
      </c>
      <c r="F416" s="13" t="str">
        <f>IF($A416="","",[1]!thsiFinD("ths_adjustment_nv_fund",F$3,$A416))</f>
        <v/>
      </c>
      <c r="G416" s="13" t="str">
        <f>IF($A416="","",[1]!thsiFinD("ths_adjustment_nv_fund",G$3,$A416))</f>
        <v/>
      </c>
      <c r="H416" s="13" t="str">
        <f>IF($A416="","",[1]!thsiFinD("ths_adjustment_nv_fund",H$3,$A416))</f>
        <v/>
      </c>
      <c r="I416" s="13" t="str">
        <f>IF($A416="","",[1]!thsiFinD("ths_adjustment_nv_fund",I$3,$A416))</f>
        <v/>
      </c>
      <c r="J416" s="13" t="str">
        <f>IF($A416="","",[1]!thsiFinD("ths_adjustment_nv_fund",J$3,$A416))</f>
        <v/>
      </c>
      <c r="K416" s="13" t="str">
        <f>IF($A416="","",[1]!thsiFinD("ths_adjustment_nv_fund",K$3,$A416))</f>
        <v/>
      </c>
      <c r="L416" s="13" t="str">
        <f>IF($A416="","",[1]!thsiFinD("ths_adjustment_nv_fund",L$3,$A416))</f>
        <v/>
      </c>
      <c r="M416" s="13" t="str">
        <f>IF($A416="","",[1]!thsiFinD("ths_adjustment_nv_fund",M$3,$A416))</f>
        <v/>
      </c>
      <c r="N416" s="13" t="str">
        <f>IF($A416="","",[1]!thsiFinD("ths_adjustment_nv_fund",N$3,$A416))</f>
        <v/>
      </c>
      <c r="O416" s="13" t="str">
        <f>IF($A416="","",[1]!thsiFinD("ths_adjustment_nv_fund",O$3,$A416))</f>
        <v/>
      </c>
      <c r="P416" s="13" t="str">
        <f>IF($A416="","",[1]!thsiFinD("ths_adjustment_nv_fund",P$3,$A416))</f>
        <v/>
      </c>
      <c r="Q416" s="13" t="str">
        <f>IF($A416="","",[1]!thsiFinD("ths_adjustment_nv_fund",Q$3,$A416))</f>
        <v/>
      </c>
      <c r="R416" s="13" t="str">
        <f>IF($A416="","",[1]!thsiFinD("ths_adjustment_nv_fund",R$3,$A416))</f>
        <v/>
      </c>
      <c r="S416" s="13" t="str">
        <f>IF($A416="","",[1]!thsiFinD("ths_adjustment_nv_fund",S$3,$A416))</f>
        <v/>
      </c>
      <c r="T416" s="13" t="str">
        <f>IF($A416="","",[1]!thsiFinD("ths_adjustment_nv_fund",T$3,$A416))</f>
        <v/>
      </c>
      <c r="U416" s="13" t="str">
        <f>IF($A416="","",[1]!thsiFinD("ths_adjustment_nv_fund",U$3,$A416))</f>
        <v/>
      </c>
      <c r="V416" s="13" t="str">
        <f>IF($A416="","",[1]!thsiFinD("ths_adjustment_nv_fund",V$3,$A416))</f>
        <v/>
      </c>
      <c r="W416" s="13" t="str">
        <f>IF($A416="","",[1]!thsiFinD("ths_adjustment_nv_fund",W$3,$A416))</f>
        <v/>
      </c>
      <c r="X416" s="13" t="str">
        <f>IF($A416="","",[1]!thsiFinD("ths_adjustment_nv_fund",X$3,$A416))</f>
        <v/>
      </c>
      <c r="Y416" s="13" t="str">
        <f>IF($A416="","",[1]!thsiFinD("ths_adjustment_nv_fund",Y$3,$A416))</f>
        <v/>
      </c>
      <c r="Z416" s="13" t="str">
        <f>IF($A416="","",[1]!thsiFinD("ths_adjustment_nv_fund",Z$3,$A416))</f>
        <v/>
      </c>
      <c r="AA416" s="13" t="str">
        <f>IF($A416="","",[1]!thsiFinD("ths_adjustment_nv_fund",AA$3,$A416))</f>
        <v/>
      </c>
      <c r="AB416" s="13">
        <f>IF($A416="","",[1]!thsiFinD("ths_adjustment_nv_fund",AB$3,$A416))</f>
        <v/>
      </c>
      <c r="AC416" s="13">
        <f>IF($A416="","",[1]!thsiFinD("ths_adjustment_nv_fund",AC$3,$A416))</f>
        <v/>
      </c>
      <c r="AD416" s="13">
        <f>IF($A416="","",[1]!thsiFinD("ths_adjustment_nv_fund",AD$3,$A416))</f>
        <v/>
      </c>
      <c r="AE416" s="13">
        <f>IF($A416="","",[1]!thsiFinD("ths_adjustment_nv_fund",AE$3,$A416))</f>
        <v/>
      </c>
      <c r="AF416" s="13">
        <f>IF($A416="","",[1]!thsiFinD("ths_adjustment_nv_fund",AF$3,$A416))</f>
        <v/>
      </c>
      <c r="AG416" s="13">
        <f>IF($A416="","",[1]!thsiFinD("ths_adjustment_nv_fund",AG$3,$A416))</f>
        <v/>
      </c>
      <c r="AH416" s="13">
        <f>IF($A416="","",[1]!thsiFinD("ths_adjustment_nv_fund",AH$3,$A416))</f>
        <v/>
      </c>
      <c r="AI416" s="13">
        <f>IF($A416="","",[1]!thsiFinD("ths_adjustment_nv_fund",AI$3,$A416))</f>
        <v/>
      </c>
      <c r="AJ416" s="13">
        <f>IF($A416="","",[1]!thsiFinD("ths_adjustment_nv_fund",AJ$3,$A416))</f>
        <v/>
      </c>
      <c r="AK416" s="13">
        <f>IF($A416="","",[1]!thsiFinD("ths_adjustment_nv_fund",AK$3,$A416))</f>
        <v/>
      </c>
      <c r="AL416" s="13">
        <f>IF($A416="","",[1]!thsiFinD("ths_adjustment_nv_fund",AL$3,$A416))</f>
        <v/>
      </c>
    </row>
    <row r="417" spans="2:28">
      <c r="B417" s="13" t="str">
        <f>IF($A417="","",[1]!thsiFinD("ths_adjustment_nv_fund",B$3,$A417))</f>
        <v/>
      </c>
      <c r="C417" s="13" t="str">
        <f>IF($A417="","",[1]!thsiFinD("ths_adjustment_nv_fund",C$3,$A417))</f>
        <v/>
      </c>
      <c r="D417" s="13" t="str">
        <f>IF($A417="","",[1]!thsiFinD("ths_adjustment_nv_fund",D$3,$A417))</f>
        <v/>
      </c>
      <c r="E417" s="13" t="str">
        <f>IF($A417="","",[1]!thsiFinD("ths_adjustment_nv_fund",E$3,$A417))</f>
        <v/>
      </c>
      <c r="F417" s="13" t="str">
        <f>IF($A417="","",[1]!thsiFinD("ths_adjustment_nv_fund",F$3,$A417))</f>
        <v/>
      </c>
      <c r="G417" s="13" t="str">
        <f>IF($A417="","",[1]!thsiFinD("ths_adjustment_nv_fund",G$3,$A417))</f>
        <v/>
      </c>
      <c r="H417" s="13" t="str">
        <f>IF($A417="","",[1]!thsiFinD("ths_adjustment_nv_fund",H$3,$A417))</f>
        <v/>
      </c>
      <c r="I417" s="13" t="str">
        <f>IF($A417="","",[1]!thsiFinD("ths_adjustment_nv_fund",I$3,$A417))</f>
        <v/>
      </c>
      <c r="J417" s="13" t="str">
        <f>IF($A417="","",[1]!thsiFinD("ths_adjustment_nv_fund",J$3,$A417))</f>
        <v/>
      </c>
      <c r="K417" s="13" t="str">
        <f>IF($A417="","",[1]!thsiFinD("ths_adjustment_nv_fund",K$3,$A417))</f>
        <v/>
      </c>
      <c r="L417" s="13" t="str">
        <f>IF($A417="","",[1]!thsiFinD("ths_adjustment_nv_fund",L$3,$A417))</f>
        <v/>
      </c>
      <c r="M417" s="13" t="str">
        <f>IF($A417="","",[1]!thsiFinD("ths_adjustment_nv_fund",M$3,$A417))</f>
        <v/>
      </c>
      <c r="N417" s="13" t="str">
        <f>IF($A417="","",[1]!thsiFinD("ths_adjustment_nv_fund",N$3,$A417))</f>
        <v/>
      </c>
      <c r="O417" s="13" t="str">
        <f>IF($A417="","",[1]!thsiFinD("ths_adjustment_nv_fund",O$3,$A417))</f>
        <v/>
      </c>
      <c r="P417" s="13" t="str">
        <f>IF($A417="","",[1]!thsiFinD("ths_adjustment_nv_fund",P$3,$A417))</f>
        <v/>
      </c>
      <c r="Q417" s="13" t="str">
        <f>IF($A417="","",[1]!thsiFinD("ths_adjustment_nv_fund",Q$3,$A417))</f>
        <v/>
      </c>
      <c r="R417" s="13" t="str">
        <f>IF($A417="","",[1]!thsiFinD("ths_adjustment_nv_fund",R$3,$A417))</f>
        <v/>
      </c>
      <c r="S417" s="13" t="str">
        <f>IF($A417="","",[1]!thsiFinD("ths_adjustment_nv_fund",S$3,$A417))</f>
        <v/>
      </c>
      <c r="T417" s="13" t="str">
        <f>IF($A417="","",[1]!thsiFinD("ths_adjustment_nv_fund",T$3,$A417))</f>
        <v/>
      </c>
      <c r="U417" s="13" t="str">
        <f>IF($A417="","",[1]!thsiFinD("ths_adjustment_nv_fund",U$3,$A417))</f>
        <v/>
      </c>
      <c r="V417" s="13" t="str">
        <f>IF($A417="","",[1]!thsiFinD("ths_adjustment_nv_fund",V$3,$A417))</f>
        <v/>
      </c>
      <c r="W417" s="13" t="str">
        <f>IF($A417="","",[1]!thsiFinD("ths_adjustment_nv_fund",W$3,$A417))</f>
        <v/>
      </c>
      <c r="X417" s="13" t="str">
        <f>IF($A417="","",[1]!thsiFinD("ths_adjustment_nv_fund",X$3,$A417))</f>
        <v/>
      </c>
      <c r="Y417" s="13" t="str">
        <f>IF($A417="","",[1]!thsiFinD("ths_adjustment_nv_fund",Y$3,$A417))</f>
        <v/>
      </c>
      <c r="Z417" s="13" t="str">
        <f>IF($A417="","",[1]!thsiFinD("ths_adjustment_nv_fund",Z$3,$A417))</f>
        <v/>
      </c>
      <c r="AA417" s="13" t="str">
        <f>IF($A417="","",[1]!thsiFinD("ths_adjustment_nv_fund",AA$3,$A417))</f>
        <v/>
      </c>
      <c r="AB417" s="13">
        <f>IF($A417="","",[1]!thsiFinD("ths_adjustment_nv_fund",AB$3,$A417))</f>
        <v/>
      </c>
      <c r="AC417" s="13">
        <f>IF($A417="","",[1]!thsiFinD("ths_adjustment_nv_fund",AC$3,$A417))</f>
        <v/>
      </c>
      <c r="AD417" s="13">
        <f>IF($A417="","",[1]!thsiFinD("ths_adjustment_nv_fund",AD$3,$A417))</f>
        <v/>
      </c>
      <c r="AE417" s="13">
        <f>IF($A417="","",[1]!thsiFinD("ths_adjustment_nv_fund",AE$3,$A417))</f>
        <v/>
      </c>
      <c r="AF417" s="13">
        <f>IF($A417="","",[1]!thsiFinD("ths_adjustment_nv_fund",AF$3,$A417))</f>
        <v/>
      </c>
      <c r="AG417" s="13">
        <f>IF($A417="","",[1]!thsiFinD("ths_adjustment_nv_fund",AG$3,$A417))</f>
        <v/>
      </c>
      <c r="AH417" s="13">
        <f>IF($A417="","",[1]!thsiFinD("ths_adjustment_nv_fund",AH$3,$A417))</f>
        <v/>
      </c>
      <c r="AI417" s="13">
        <f>IF($A417="","",[1]!thsiFinD("ths_adjustment_nv_fund",AI$3,$A417))</f>
        <v/>
      </c>
      <c r="AJ417" s="13">
        <f>IF($A417="","",[1]!thsiFinD("ths_adjustment_nv_fund",AJ$3,$A417))</f>
        <v/>
      </c>
      <c r="AK417" s="13">
        <f>IF($A417="","",[1]!thsiFinD("ths_adjustment_nv_fund",AK$3,$A417))</f>
        <v/>
      </c>
      <c r="AL417" s="13">
        <f>IF($A417="","",[1]!thsiFinD("ths_adjustment_nv_fund",AL$3,$A417))</f>
        <v/>
      </c>
    </row>
    <row r="418" spans="2:28">
      <c r="B418" s="13" t="str">
        <f>IF($A418="","",[1]!thsiFinD("ths_adjustment_nv_fund",B$3,$A418))</f>
        <v/>
      </c>
      <c r="C418" s="13" t="str">
        <f>IF($A418="","",[1]!thsiFinD("ths_adjustment_nv_fund",C$3,$A418))</f>
        <v/>
      </c>
      <c r="D418" s="13" t="str">
        <f>IF($A418="","",[1]!thsiFinD("ths_adjustment_nv_fund",D$3,$A418))</f>
        <v/>
      </c>
      <c r="E418" s="13" t="str">
        <f>IF($A418="","",[1]!thsiFinD("ths_adjustment_nv_fund",E$3,$A418))</f>
        <v/>
      </c>
      <c r="F418" s="13" t="str">
        <f>IF($A418="","",[1]!thsiFinD("ths_adjustment_nv_fund",F$3,$A418))</f>
        <v/>
      </c>
      <c r="G418" s="13" t="str">
        <f>IF($A418="","",[1]!thsiFinD("ths_adjustment_nv_fund",G$3,$A418))</f>
        <v/>
      </c>
      <c r="H418" s="13" t="str">
        <f>IF($A418="","",[1]!thsiFinD("ths_adjustment_nv_fund",H$3,$A418))</f>
        <v/>
      </c>
      <c r="I418" s="13" t="str">
        <f>IF($A418="","",[1]!thsiFinD("ths_adjustment_nv_fund",I$3,$A418))</f>
        <v/>
      </c>
      <c r="J418" s="13" t="str">
        <f>IF($A418="","",[1]!thsiFinD("ths_adjustment_nv_fund",J$3,$A418))</f>
        <v/>
      </c>
      <c r="K418" s="13" t="str">
        <f>IF($A418="","",[1]!thsiFinD("ths_adjustment_nv_fund",K$3,$A418))</f>
        <v/>
      </c>
      <c r="L418" s="13" t="str">
        <f>IF($A418="","",[1]!thsiFinD("ths_adjustment_nv_fund",L$3,$A418))</f>
        <v/>
      </c>
      <c r="M418" s="13" t="str">
        <f>IF($A418="","",[1]!thsiFinD("ths_adjustment_nv_fund",M$3,$A418))</f>
        <v/>
      </c>
      <c r="N418" s="13" t="str">
        <f>IF($A418="","",[1]!thsiFinD("ths_adjustment_nv_fund",N$3,$A418))</f>
        <v/>
      </c>
      <c r="O418" s="13" t="str">
        <f>IF($A418="","",[1]!thsiFinD("ths_adjustment_nv_fund",O$3,$A418))</f>
        <v/>
      </c>
      <c r="P418" s="13" t="str">
        <f>IF($A418="","",[1]!thsiFinD("ths_adjustment_nv_fund",P$3,$A418))</f>
        <v/>
      </c>
      <c r="Q418" s="13" t="str">
        <f>IF($A418="","",[1]!thsiFinD("ths_adjustment_nv_fund",Q$3,$A418))</f>
        <v/>
      </c>
      <c r="R418" s="13" t="str">
        <f>IF($A418="","",[1]!thsiFinD("ths_adjustment_nv_fund",R$3,$A418))</f>
        <v/>
      </c>
      <c r="S418" s="13" t="str">
        <f>IF($A418="","",[1]!thsiFinD("ths_adjustment_nv_fund",S$3,$A418))</f>
        <v/>
      </c>
      <c r="T418" s="13" t="str">
        <f>IF($A418="","",[1]!thsiFinD("ths_adjustment_nv_fund",T$3,$A418))</f>
        <v/>
      </c>
      <c r="U418" s="13" t="str">
        <f>IF($A418="","",[1]!thsiFinD("ths_adjustment_nv_fund",U$3,$A418))</f>
        <v/>
      </c>
      <c r="V418" s="13" t="str">
        <f>IF($A418="","",[1]!thsiFinD("ths_adjustment_nv_fund",V$3,$A418))</f>
        <v/>
      </c>
      <c r="W418" s="13" t="str">
        <f>IF($A418="","",[1]!thsiFinD("ths_adjustment_nv_fund",W$3,$A418))</f>
        <v/>
      </c>
      <c r="X418" s="13" t="str">
        <f>IF($A418="","",[1]!thsiFinD("ths_adjustment_nv_fund",X$3,$A418))</f>
        <v/>
      </c>
      <c r="Y418" s="13" t="str">
        <f>IF($A418="","",[1]!thsiFinD("ths_adjustment_nv_fund",Y$3,$A418))</f>
        <v/>
      </c>
      <c r="Z418" s="13" t="str">
        <f>IF($A418="","",[1]!thsiFinD("ths_adjustment_nv_fund",Z$3,$A418))</f>
        <v/>
      </c>
      <c r="AA418" s="13" t="str">
        <f>IF($A418="","",[1]!thsiFinD("ths_adjustment_nv_fund",AA$3,$A418))</f>
        <v/>
      </c>
      <c r="AB418" s="13">
        <f>IF($A418="","",[1]!thsiFinD("ths_adjustment_nv_fund",AB$3,$A418))</f>
        <v/>
      </c>
      <c r="AC418" s="13">
        <f>IF($A418="","",[1]!thsiFinD("ths_adjustment_nv_fund",AC$3,$A418))</f>
        <v/>
      </c>
      <c r="AD418" s="13">
        <f>IF($A418="","",[1]!thsiFinD("ths_adjustment_nv_fund",AD$3,$A418))</f>
        <v/>
      </c>
      <c r="AE418" s="13">
        <f>IF($A418="","",[1]!thsiFinD("ths_adjustment_nv_fund",AE$3,$A418))</f>
        <v/>
      </c>
      <c r="AF418" s="13">
        <f>IF($A418="","",[1]!thsiFinD("ths_adjustment_nv_fund",AF$3,$A418))</f>
        <v/>
      </c>
      <c r="AG418" s="13">
        <f>IF($A418="","",[1]!thsiFinD("ths_adjustment_nv_fund",AG$3,$A418))</f>
        <v/>
      </c>
      <c r="AH418" s="13">
        <f>IF($A418="","",[1]!thsiFinD("ths_adjustment_nv_fund",AH$3,$A418))</f>
        <v/>
      </c>
      <c r="AI418" s="13">
        <f>IF($A418="","",[1]!thsiFinD("ths_adjustment_nv_fund",AI$3,$A418))</f>
        <v/>
      </c>
      <c r="AJ418" s="13">
        <f>IF($A418="","",[1]!thsiFinD("ths_adjustment_nv_fund",AJ$3,$A418))</f>
        <v/>
      </c>
      <c r="AK418" s="13">
        <f>IF($A418="","",[1]!thsiFinD("ths_adjustment_nv_fund",AK$3,$A418))</f>
        <v/>
      </c>
      <c r="AL418" s="13">
        <f>IF($A418="","",[1]!thsiFinD("ths_adjustment_nv_fund",AL$3,$A418))</f>
        <v/>
      </c>
    </row>
    <row r="419" spans="2:28">
      <c r="B419" s="13" t="str">
        <f>IF($A419="","",[1]!thsiFinD("ths_adjustment_nv_fund",B$3,$A419))</f>
        <v/>
      </c>
      <c r="C419" s="13" t="str">
        <f>IF($A419="","",[1]!thsiFinD("ths_adjustment_nv_fund",C$3,$A419))</f>
        <v/>
      </c>
      <c r="D419" s="13" t="str">
        <f>IF($A419="","",[1]!thsiFinD("ths_adjustment_nv_fund",D$3,$A419))</f>
        <v/>
      </c>
      <c r="E419" s="13" t="str">
        <f>IF($A419="","",[1]!thsiFinD("ths_adjustment_nv_fund",E$3,$A419))</f>
        <v/>
      </c>
      <c r="F419" s="13" t="str">
        <f>IF($A419="","",[1]!thsiFinD("ths_adjustment_nv_fund",F$3,$A419))</f>
        <v/>
      </c>
      <c r="G419" s="13" t="str">
        <f>IF($A419="","",[1]!thsiFinD("ths_adjustment_nv_fund",G$3,$A419))</f>
        <v/>
      </c>
      <c r="H419" s="13" t="str">
        <f>IF($A419="","",[1]!thsiFinD("ths_adjustment_nv_fund",H$3,$A419))</f>
        <v/>
      </c>
      <c r="I419" s="13" t="str">
        <f>IF($A419="","",[1]!thsiFinD("ths_adjustment_nv_fund",I$3,$A419))</f>
        <v/>
      </c>
      <c r="J419" s="13" t="str">
        <f>IF($A419="","",[1]!thsiFinD("ths_adjustment_nv_fund",J$3,$A419))</f>
        <v/>
      </c>
      <c r="K419" s="13" t="str">
        <f>IF($A419="","",[1]!thsiFinD("ths_adjustment_nv_fund",K$3,$A419))</f>
        <v/>
      </c>
      <c r="L419" s="13" t="str">
        <f>IF($A419="","",[1]!thsiFinD("ths_adjustment_nv_fund",L$3,$A419))</f>
        <v/>
      </c>
      <c r="M419" s="13" t="str">
        <f>IF($A419="","",[1]!thsiFinD("ths_adjustment_nv_fund",M$3,$A419))</f>
        <v/>
      </c>
      <c r="N419" s="13" t="str">
        <f>IF($A419="","",[1]!thsiFinD("ths_adjustment_nv_fund",N$3,$A419))</f>
        <v/>
      </c>
      <c r="O419" s="13" t="str">
        <f>IF($A419="","",[1]!thsiFinD("ths_adjustment_nv_fund",O$3,$A419))</f>
        <v/>
      </c>
      <c r="P419" s="13" t="str">
        <f>IF($A419="","",[1]!thsiFinD("ths_adjustment_nv_fund",P$3,$A419))</f>
        <v/>
      </c>
      <c r="Q419" s="13" t="str">
        <f>IF($A419="","",[1]!thsiFinD("ths_adjustment_nv_fund",Q$3,$A419))</f>
        <v/>
      </c>
      <c r="R419" s="13" t="str">
        <f>IF($A419="","",[1]!thsiFinD("ths_adjustment_nv_fund",R$3,$A419))</f>
        <v/>
      </c>
      <c r="S419" s="13" t="str">
        <f>IF($A419="","",[1]!thsiFinD("ths_adjustment_nv_fund",S$3,$A419))</f>
        <v/>
      </c>
      <c r="T419" s="13" t="str">
        <f>IF($A419="","",[1]!thsiFinD("ths_adjustment_nv_fund",T$3,$A419))</f>
        <v/>
      </c>
      <c r="U419" s="13" t="str">
        <f>IF($A419="","",[1]!thsiFinD("ths_adjustment_nv_fund",U$3,$A419))</f>
        <v/>
      </c>
      <c r="V419" s="13" t="str">
        <f>IF($A419="","",[1]!thsiFinD("ths_adjustment_nv_fund",V$3,$A419))</f>
        <v/>
      </c>
      <c r="W419" s="13" t="str">
        <f>IF($A419="","",[1]!thsiFinD("ths_adjustment_nv_fund",W$3,$A419))</f>
        <v/>
      </c>
      <c r="X419" s="13" t="str">
        <f>IF($A419="","",[1]!thsiFinD("ths_adjustment_nv_fund",X$3,$A419))</f>
        <v/>
      </c>
      <c r="Y419" s="13" t="str">
        <f>IF($A419="","",[1]!thsiFinD("ths_adjustment_nv_fund",Y$3,$A419))</f>
        <v/>
      </c>
      <c r="Z419" s="13" t="str">
        <f>IF($A419="","",[1]!thsiFinD("ths_adjustment_nv_fund",Z$3,$A419))</f>
        <v/>
      </c>
      <c r="AA419" s="13" t="str">
        <f>IF($A419="","",[1]!thsiFinD("ths_adjustment_nv_fund",AA$3,$A419))</f>
        <v/>
      </c>
      <c r="AB419" s="13">
        <f>IF($A419="","",[1]!thsiFinD("ths_adjustment_nv_fund",AB$3,$A419))</f>
        <v/>
      </c>
      <c r="AC419" s="13">
        <f>IF($A419="","",[1]!thsiFinD("ths_adjustment_nv_fund",AC$3,$A419))</f>
        <v/>
      </c>
      <c r="AD419" s="13">
        <f>IF($A419="","",[1]!thsiFinD("ths_adjustment_nv_fund",AD$3,$A419))</f>
        <v/>
      </c>
      <c r="AE419" s="13">
        <f>IF($A419="","",[1]!thsiFinD("ths_adjustment_nv_fund",AE$3,$A419))</f>
        <v/>
      </c>
      <c r="AF419" s="13">
        <f>IF($A419="","",[1]!thsiFinD("ths_adjustment_nv_fund",AF$3,$A419))</f>
        <v/>
      </c>
      <c r="AG419" s="13">
        <f>IF($A419="","",[1]!thsiFinD("ths_adjustment_nv_fund",AG$3,$A419))</f>
        <v/>
      </c>
      <c r="AH419" s="13">
        <f>IF($A419="","",[1]!thsiFinD("ths_adjustment_nv_fund",AH$3,$A419))</f>
        <v/>
      </c>
      <c r="AI419" s="13">
        <f>IF($A419="","",[1]!thsiFinD("ths_adjustment_nv_fund",AI$3,$A419))</f>
        <v/>
      </c>
      <c r="AJ419" s="13">
        <f>IF($A419="","",[1]!thsiFinD("ths_adjustment_nv_fund",AJ$3,$A419))</f>
        <v/>
      </c>
      <c r="AK419" s="13">
        <f>IF($A419="","",[1]!thsiFinD("ths_adjustment_nv_fund",AK$3,$A419))</f>
        <v/>
      </c>
      <c r="AL419" s="13">
        <f>IF($A419="","",[1]!thsiFinD("ths_adjustment_nv_fund",AL$3,$A419))</f>
        <v/>
      </c>
    </row>
    <row r="420" spans="2:28">
      <c r="B420" s="13" t="str">
        <f>IF($A420="","",[1]!thsiFinD("ths_adjustment_nv_fund",B$3,$A420))</f>
        <v/>
      </c>
      <c r="C420" s="13" t="str">
        <f>IF($A420="","",[1]!thsiFinD("ths_adjustment_nv_fund",C$3,$A420))</f>
        <v/>
      </c>
      <c r="D420" s="13" t="str">
        <f>IF($A420="","",[1]!thsiFinD("ths_adjustment_nv_fund",D$3,$A420))</f>
        <v/>
      </c>
      <c r="E420" s="13" t="str">
        <f>IF($A420="","",[1]!thsiFinD("ths_adjustment_nv_fund",E$3,$A420))</f>
        <v/>
      </c>
      <c r="F420" s="13" t="str">
        <f>IF($A420="","",[1]!thsiFinD("ths_adjustment_nv_fund",F$3,$A420))</f>
        <v/>
      </c>
      <c r="G420" s="13" t="str">
        <f>IF($A420="","",[1]!thsiFinD("ths_adjustment_nv_fund",G$3,$A420))</f>
        <v/>
      </c>
      <c r="H420" s="13" t="str">
        <f>IF($A420="","",[1]!thsiFinD("ths_adjustment_nv_fund",H$3,$A420))</f>
        <v/>
      </c>
      <c r="I420" s="13" t="str">
        <f>IF($A420="","",[1]!thsiFinD("ths_adjustment_nv_fund",I$3,$A420))</f>
        <v/>
      </c>
      <c r="J420" s="13" t="str">
        <f>IF($A420="","",[1]!thsiFinD("ths_adjustment_nv_fund",J$3,$A420))</f>
        <v/>
      </c>
      <c r="K420" s="13" t="str">
        <f>IF($A420="","",[1]!thsiFinD("ths_adjustment_nv_fund",K$3,$A420))</f>
        <v/>
      </c>
      <c r="L420" s="13" t="str">
        <f>IF($A420="","",[1]!thsiFinD("ths_adjustment_nv_fund",L$3,$A420))</f>
        <v/>
      </c>
      <c r="M420" s="13" t="str">
        <f>IF($A420="","",[1]!thsiFinD("ths_adjustment_nv_fund",M$3,$A420))</f>
        <v/>
      </c>
      <c r="N420" s="13" t="str">
        <f>IF($A420="","",[1]!thsiFinD("ths_adjustment_nv_fund",N$3,$A420))</f>
        <v/>
      </c>
      <c r="O420" s="13" t="str">
        <f>IF($A420="","",[1]!thsiFinD("ths_adjustment_nv_fund",O$3,$A420))</f>
        <v/>
      </c>
      <c r="P420" s="13" t="str">
        <f>IF($A420="","",[1]!thsiFinD("ths_adjustment_nv_fund",P$3,$A420))</f>
        <v/>
      </c>
      <c r="Q420" s="13" t="str">
        <f>IF($A420="","",[1]!thsiFinD("ths_adjustment_nv_fund",Q$3,$A420))</f>
        <v/>
      </c>
      <c r="R420" s="13" t="str">
        <f>IF($A420="","",[1]!thsiFinD("ths_adjustment_nv_fund",R$3,$A420))</f>
        <v/>
      </c>
      <c r="S420" s="13" t="str">
        <f>IF($A420="","",[1]!thsiFinD("ths_adjustment_nv_fund",S$3,$A420))</f>
        <v/>
      </c>
      <c r="T420" s="13" t="str">
        <f>IF($A420="","",[1]!thsiFinD("ths_adjustment_nv_fund",T$3,$A420))</f>
        <v/>
      </c>
      <c r="U420" s="13" t="str">
        <f>IF($A420="","",[1]!thsiFinD("ths_adjustment_nv_fund",U$3,$A420))</f>
        <v/>
      </c>
      <c r="V420" s="13" t="str">
        <f>IF($A420="","",[1]!thsiFinD("ths_adjustment_nv_fund",V$3,$A420))</f>
        <v/>
      </c>
      <c r="W420" s="13" t="str">
        <f>IF($A420="","",[1]!thsiFinD("ths_adjustment_nv_fund",W$3,$A420))</f>
        <v/>
      </c>
      <c r="X420" s="13" t="str">
        <f>IF($A420="","",[1]!thsiFinD("ths_adjustment_nv_fund",X$3,$A420))</f>
        <v/>
      </c>
      <c r="Y420" s="13" t="str">
        <f>IF($A420="","",[1]!thsiFinD("ths_adjustment_nv_fund",Y$3,$A420))</f>
        <v/>
      </c>
      <c r="Z420" s="13" t="str">
        <f>IF($A420="","",[1]!thsiFinD("ths_adjustment_nv_fund",Z$3,$A420))</f>
        <v/>
      </c>
      <c r="AA420" s="13" t="str">
        <f>IF($A420="","",[1]!thsiFinD("ths_adjustment_nv_fund",AA$3,$A420))</f>
        <v/>
      </c>
      <c r="AB420" s="13">
        <f>IF($A420="","",[1]!thsiFinD("ths_adjustment_nv_fund",AB$3,$A420))</f>
        <v/>
      </c>
      <c r="AC420" s="13">
        <f>IF($A420="","",[1]!thsiFinD("ths_adjustment_nv_fund",AC$3,$A420))</f>
        <v/>
      </c>
      <c r="AD420" s="13">
        <f>IF($A420="","",[1]!thsiFinD("ths_adjustment_nv_fund",AD$3,$A420))</f>
        <v/>
      </c>
      <c r="AE420" s="13">
        <f>IF($A420="","",[1]!thsiFinD("ths_adjustment_nv_fund",AE$3,$A420))</f>
        <v/>
      </c>
      <c r="AF420" s="13">
        <f>IF($A420="","",[1]!thsiFinD("ths_adjustment_nv_fund",AF$3,$A420))</f>
        <v/>
      </c>
      <c r="AG420" s="13">
        <f>IF($A420="","",[1]!thsiFinD("ths_adjustment_nv_fund",AG$3,$A420))</f>
        <v/>
      </c>
      <c r="AH420" s="13">
        <f>IF($A420="","",[1]!thsiFinD("ths_adjustment_nv_fund",AH$3,$A420))</f>
        <v/>
      </c>
      <c r="AI420" s="13">
        <f>IF($A420="","",[1]!thsiFinD("ths_adjustment_nv_fund",AI$3,$A420))</f>
        <v/>
      </c>
      <c r="AJ420" s="13">
        <f>IF($A420="","",[1]!thsiFinD("ths_adjustment_nv_fund",AJ$3,$A420))</f>
        <v/>
      </c>
      <c r="AK420" s="13">
        <f>IF($A420="","",[1]!thsiFinD("ths_adjustment_nv_fund",AK$3,$A420))</f>
        <v/>
      </c>
      <c r="AL420" s="13">
        <f>IF($A420="","",[1]!thsiFinD("ths_adjustment_nv_fund",AL$3,$A420))</f>
        <v/>
      </c>
    </row>
    <row r="421" spans="2:28">
      <c r="B421" s="13" t="str">
        <f>IF($A421="","",[1]!thsiFinD("ths_adjustment_nv_fund",B$3,$A421))</f>
        <v/>
      </c>
      <c r="C421" s="13" t="str">
        <f>IF($A421="","",[1]!thsiFinD("ths_adjustment_nv_fund",C$3,$A421))</f>
        <v/>
      </c>
      <c r="D421" s="13" t="str">
        <f>IF($A421="","",[1]!thsiFinD("ths_adjustment_nv_fund",D$3,$A421))</f>
        <v/>
      </c>
      <c r="E421" s="13" t="str">
        <f>IF($A421="","",[1]!thsiFinD("ths_adjustment_nv_fund",E$3,$A421))</f>
        <v/>
      </c>
      <c r="F421" s="13" t="str">
        <f>IF($A421="","",[1]!thsiFinD("ths_adjustment_nv_fund",F$3,$A421))</f>
        <v/>
      </c>
      <c r="G421" s="13" t="str">
        <f>IF($A421="","",[1]!thsiFinD("ths_adjustment_nv_fund",G$3,$A421))</f>
        <v/>
      </c>
      <c r="H421" s="13" t="str">
        <f>IF($A421="","",[1]!thsiFinD("ths_adjustment_nv_fund",H$3,$A421))</f>
        <v/>
      </c>
      <c r="I421" s="13" t="str">
        <f>IF($A421="","",[1]!thsiFinD("ths_adjustment_nv_fund",I$3,$A421))</f>
        <v/>
      </c>
      <c r="J421" s="13" t="str">
        <f>IF($A421="","",[1]!thsiFinD("ths_adjustment_nv_fund",J$3,$A421))</f>
        <v/>
      </c>
      <c r="K421" s="13" t="str">
        <f>IF($A421="","",[1]!thsiFinD("ths_adjustment_nv_fund",K$3,$A421))</f>
        <v/>
      </c>
      <c r="L421" s="13" t="str">
        <f>IF($A421="","",[1]!thsiFinD("ths_adjustment_nv_fund",L$3,$A421))</f>
        <v/>
      </c>
      <c r="M421" s="13" t="str">
        <f>IF($A421="","",[1]!thsiFinD("ths_adjustment_nv_fund",M$3,$A421))</f>
        <v/>
      </c>
      <c r="N421" s="13" t="str">
        <f>IF($A421="","",[1]!thsiFinD("ths_adjustment_nv_fund",N$3,$A421))</f>
        <v/>
      </c>
      <c r="O421" s="13" t="str">
        <f>IF($A421="","",[1]!thsiFinD("ths_adjustment_nv_fund",O$3,$A421))</f>
        <v/>
      </c>
      <c r="P421" s="13" t="str">
        <f>IF($A421="","",[1]!thsiFinD("ths_adjustment_nv_fund",P$3,$A421))</f>
        <v/>
      </c>
      <c r="Q421" s="13" t="str">
        <f>IF($A421="","",[1]!thsiFinD("ths_adjustment_nv_fund",Q$3,$A421))</f>
        <v/>
      </c>
      <c r="R421" s="13" t="str">
        <f>IF($A421="","",[1]!thsiFinD("ths_adjustment_nv_fund",R$3,$A421))</f>
        <v/>
      </c>
      <c r="S421" s="13" t="str">
        <f>IF($A421="","",[1]!thsiFinD("ths_adjustment_nv_fund",S$3,$A421))</f>
        <v/>
      </c>
      <c r="T421" s="13" t="str">
        <f>IF($A421="","",[1]!thsiFinD("ths_adjustment_nv_fund",T$3,$A421))</f>
        <v/>
      </c>
      <c r="U421" s="13" t="str">
        <f>IF($A421="","",[1]!thsiFinD("ths_adjustment_nv_fund",U$3,$A421))</f>
        <v/>
      </c>
      <c r="V421" s="13" t="str">
        <f>IF($A421="","",[1]!thsiFinD("ths_adjustment_nv_fund",V$3,$A421))</f>
        <v/>
      </c>
      <c r="W421" s="13" t="str">
        <f>IF($A421="","",[1]!thsiFinD("ths_adjustment_nv_fund",W$3,$A421))</f>
        <v/>
      </c>
      <c r="X421" s="13" t="str">
        <f>IF($A421="","",[1]!thsiFinD("ths_adjustment_nv_fund",X$3,$A421))</f>
        <v/>
      </c>
      <c r="Y421" s="13" t="str">
        <f>IF($A421="","",[1]!thsiFinD("ths_adjustment_nv_fund",Y$3,$A421))</f>
        <v/>
      </c>
      <c r="Z421" s="13" t="str">
        <f>IF($A421="","",[1]!thsiFinD("ths_adjustment_nv_fund",Z$3,$A421))</f>
        <v/>
      </c>
      <c r="AA421" s="13" t="str">
        <f>IF($A421="","",[1]!thsiFinD("ths_adjustment_nv_fund",AA$3,$A421))</f>
        <v/>
      </c>
      <c r="AB421" s="13">
        <f>IF($A421="","",[1]!thsiFinD("ths_adjustment_nv_fund",AB$3,$A421))</f>
        <v/>
      </c>
      <c r="AC421" s="13">
        <f>IF($A421="","",[1]!thsiFinD("ths_adjustment_nv_fund",AC$3,$A421))</f>
        <v/>
      </c>
      <c r="AD421" s="13">
        <f>IF($A421="","",[1]!thsiFinD("ths_adjustment_nv_fund",AD$3,$A421))</f>
        <v/>
      </c>
      <c r="AE421" s="13">
        <f>IF($A421="","",[1]!thsiFinD("ths_adjustment_nv_fund",AE$3,$A421))</f>
        <v/>
      </c>
      <c r="AF421" s="13">
        <f>IF($A421="","",[1]!thsiFinD("ths_adjustment_nv_fund",AF$3,$A421))</f>
        <v/>
      </c>
      <c r="AG421" s="13">
        <f>IF($A421="","",[1]!thsiFinD("ths_adjustment_nv_fund",AG$3,$A421))</f>
        <v/>
      </c>
      <c r="AH421" s="13">
        <f>IF($A421="","",[1]!thsiFinD("ths_adjustment_nv_fund",AH$3,$A421))</f>
        <v/>
      </c>
      <c r="AI421" s="13">
        <f>IF($A421="","",[1]!thsiFinD("ths_adjustment_nv_fund",AI$3,$A421))</f>
        <v/>
      </c>
      <c r="AJ421" s="13">
        <f>IF($A421="","",[1]!thsiFinD("ths_adjustment_nv_fund",AJ$3,$A421))</f>
        <v/>
      </c>
      <c r="AK421" s="13">
        <f>IF($A421="","",[1]!thsiFinD("ths_adjustment_nv_fund",AK$3,$A421))</f>
        <v/>
      </c>
      <c r="AL421" s="13">
        <f>IF($A421="","",[1]!thsiFinD("ths_adjustment_nv_fund",AL$3,$A421))</f>
        <v/>
      </c>
    </row>
    <row r="422" spans="2:28">
      <c r="B422" s="13" t="str">
        <f>IF($A422="","",[1]!thsiFinD("ths_adjustment_nv_fund",B$3,$A422))</f>
        <v/>
      </c>
      <c r="C422" s="13" t="str">
        <f>IF($A422="","",[1]!thsiFinD("ths_adjustment_nv_fund",C$3,$A422))</f>
        <v/>
      </c>
      <c r="D422" s="13" t="str">
        <f>IF($A422="","",[1]!thsiFinD("ths_adjustment_nv_fund",D$3,$A422))</f>
        <v/>
      </c>
      <c r="E422" s="13" t="str">
        <f>IF($A422="","",[1]!thsiFinD("ths_adjustment_nv_fund",E$3,$A422))</f>
        <v/>
      </c>
      <c r="F422" s="13" t="str">
        <f>IF($A422="","",[1]!thsiFinD("ths_adjustment_nv_fund",F$3,$A422))</f>
        <v/>
      </c>
      <c r="G422" s="13" t="str">
        <f>IF($A422="","",[1]!thsiFinD("ths_adjustment_nv_fund",G$3,$A422))</f>
        <v/>
      </c>
      <c r="H422" s="13" t="str">
        <f>IF($A422="","",[1]!thsiFinD("ths_adjustment_nv_fund",H$3,$A422))</f>
        <v/>
      </c>
      <c r="I422" s="13" t="str">
        <f>IF($A422="","",[1]!thsiFinD("ths_adjustment_nv_fund",I$3,$A422))</f>
        <v/>
      </c>
      <c r="J422" s="13" t="str">
        <f>IF($A422="","",[1]!thsiFinD("ths_adjustment_nv_fund",J$3,$A422))</f>
        <v/>
      </c>
      <c r="K422" s="13" t="str">
        <f>IF($A422="","",[1]!thsiFinD("ths_adjustment_nv_fund",K$3,$A422))</f>
        <v/>
      </c>
      <c r="L422" s="13" t="str">
        <f>IF($A422="","",[1]!thsiFinD("ths_adjustment_nv_fund",L$3,$A422))</f>
        <v/>
      </c>
      <c r="M422" s="13" t="str">
        <f>IF($A422="","",[1]!thsiFinD("ths_adjustment_nv_fund",M$3,$A422))</f>
        <v/>
      </c>
      <c r="N422" s="13" t="str">
        <f>IF($A422="","",[1]!thsiFinD("ths_adjustment_nv_fund",N$3,$A422))</f>
        <v/>
      </c>
      <c r="O422" s="13" t="str">
        <f>IF($A422="","",[1]!thsiFinD("ths_adjustment_nv_fund",O$3,$A422))</f>
        <v/>
      </c>
      <c r="P422" s="13" t="str">
        <f>IF($A422="","",[1]!thsiFinD("ths_adjustment_nv_fund",P$3,$A422))</f>
        <v/>
      </c>
      <c r="Q422" s="13" t="str">
        <f>IF($A422="","",[1]!thsiFinD("ths_adjustment_nv_fund",Q$3,$A422))</f>
        <v/>
      </c>
      <c r="R422" s="13" t="str">
        <f>IF($A422="","",[1]!thsiFinD("ths_adjustment_nv_fund",R$3,$A422))</f>
        <v/>
      </c>
      <c r="S422" s="13" t="str">
        <f>IF($A422="","",[1]!thsiFinD("ths_adjustment_nv_fund",S$3,$A422))</f>
        <v/>
      </c>
      <c r="T422" s="13" t="str">
        <f>IF($A422="","",[1]!thsiFinD("ths_adjustment_nv_fund",T$3,$A422))</f>
        <v/>
      </c>
      <c r="U422" s="13" t="str">
        <f>IF($A422="","",[1]!thsiFinD("ths_adjustment_nv_fund",U$3,$A422))</f>
        <v/>
      </c>
      <c r="V422" s="13" t="str">
        <f>IF($A422="","",[1]!thsiFinD("ths_adjustment_nv_fund",V$3,$A422))</f>
        <v/>
      </c>
      <c r="W422" s="13" t="str">
        <f>IF($A422="","",[1]!thsiFinD("ths_adjustment_nv_fund",W$3,$A422))</f>
        <v/>
      </c>
      <c r="X422" s="13" t="str">
        <f>IF($A422="","",[1]!thsiFinD("ths_adjustment_nv_fund",X$3,$A422))</f>
        <v/>
      </c>
      <c r="Y422" s="13" t="str">
        <f>IF($A422="","",[1]!thsiFinD("ths_adjustment_nv_fund",Y$3,$A422))</f>
        <v/>
      </c>
      <c r="Z422" s="13" t="str">
        <f>IF($A422="","",[1]!thsiFinD("ths_adjustment_nv_fund",Z$3,$A422))</f>
        <v/>
      </c>
      <c r="AA422" s="13" t="str">
        <f>IF($A422="","",[1]!thsiFinD("ths_adjustment_nv_fund",AA$3,$A422))</f>
        <v/>
      </c>
      <c r="AB422" s="13">
        <f>IF($A422="","",[1]!thsiFinD("ths_adjustment_nv_fund",AB$3,$A422))</f>
        <v/>
      </c>
      <c r="AC422" s="13">
        <f>IF($A422="","",[1]!thsiFinD("ths_adjustment_nv_fund",AC$3,$A422))</f>
        <v/>
      </c>
      <c r="AD422" s="13">
        <f>IF($A422="","",[1]!thsiFinD("ths_adjustment_nv_fund",AD$3,$A422))</f>
        <v/>
      </c>
      <c r="AE422" s="13">
        <f>IF($A422="","",[1]!thsiFinD("ths_adjustment_nv_fund",AE$3,$A422))</f>
        <v/>
      </c>
      <c r="AF422" s="13">
        <f>IF($A422="","",[1]!thsiFinD("ths_adjustment_nv_fund",AF$3,$A422))</f>
        <v/>
      </c>
      <c r="AG422" s="13">
        <f>IF($A422="","",[1]!thsiFinD("ths_adjustment_nv_fund",AG$3,$A422))</f>
        <v/>
      </c>
      <c r="AH422" s="13">
        <f>IF($A422="","",[1]!thsiFinD("ths_adjustment_nv_fund",AH$3,$A422))</f>
        <v/>
      </c>
      <c r="AI422" s="13">
        <f>IF($A422="","",[1]!thsiFinD("ths_adjustment_nv_fund",AI$3,$A422))</f>
        <v/>
      </c>
      <c r="AJ422" s="13">
        <f>IF($A422="","",[1]!thsiFinD("ths_adjustment_nv_fund",AJ$3,$A422))</f>
        <v/>
      </c>
      <c r="AK422" s="13">
        <f>IF($A422="","",[1]!thsiFinD("ths_adjustment_nv_fund",AK$3,$A422))</f>
        <v/>
      </c>
      <c r="AL422" s="13">
        <f>IF($A422="","",[1]!thsiFinD("ths_adjustment_nv_fund",AL$3,$A422))</f>
        <v/>
      </c>
    </row>
    <row r="423" spans="2:28">
      <c r="B423" s="13" t="str">
        <f>IF($A423="","",[1]!thsiFinD("ths_adjustment_nv_fund",B$3,$A423))</f>
        <v/>
      </c>
      <c r="C423" s="13" t="str">
        <f>IF($A423="","",[1]!thsiFinD("ths_adjustment_nv_fund",C$3,$A423))</f>
        <v/>
      </c>
      <c r="D423" s="13" t="str">
        <f>IF($A423="","",[1]!thsiFinD("ths_adjustment_nv_fund",D$3,$A423))</f>
        <v/>
      </c>
      <c r="E423" s="13" t="str">
        <f>IF($A423="","",[1]!thsiFinD("ths_adjustment_nv_fund",E$3,$A423))</f>
        <v/>
      </c>
      <c r="F423" s="13" t="str">
        <f>IF($A423="","",[1]!thsiFinD("ths_adjustment_nv_fund",F$3,$A423))</f>
        <v/>
      </c>
      <c r="G423" s="13" t="str">
        <f>IF($A423="","",[1]!thsiFinD("ths_adjustment_nv_fund",G$3,$A423))</f>
        <v/>
      </c>
      <c r="H423" s="13" t="str">
        <f>IF($A423="","",[1]!thsiFinD("ths_adjustment_nv_fund",H$3,$A423))</f>
        <v/>
      </c>
      <c r="I423" s="13" t="str">
        <f>IF($A423="","",[1]!thsiFinD("ths_adjustment_nv_fund",I$3,$A423))</f>
        <v/>
      </c>
      <c r="J423" s="13" t="str">
        <f>IF($A423="","",[1]!thsiFinD("ths_adjustment_nv_fund",J$3,$A423))</f>
        <v/>
      </c>
      <c r="K423" s="13" t="str">
        <f>IF($A423="","",[1]!thsiFinD("ths_adjustment_nv_fund",K$3,$A423))</f>
        <v/>
      </c>
      <c r="L423" s="13" t="str">
        <f>IF($A423="","",[1]!thsiFinD("ths_adjustment_nv_fund",L$3,$A423))</f>
        <v/>
      </c>
      <c r="M423" s="13" t="str">
        <f>IF($A423="","",[1]!thsiFinD("ths_adjustment_nv_fund",M$3,$A423))</f>
        <v/>
      </c>
      <c r="N423" s="13" t="str">
        <f>IF($A423="","",[1]!thsiFinD("ths_adjustment_nv_fund",N$3,$A423))</f>
        <v/>
      </c>
      <c r="O423" s="13" t="str">
        <f>IF($A423="","",[1]!thsiFinD("ths_adjustment_nv_fund",O$3,$A423))</f>
        <v/>
      </c>
      <c r="P423" s="13" t="str">
        <f>IF($A423="","",[1]!thsiFinD("ths_adjustment_nv_fund",P$3,$A423))</f>
        <v/>
      </c>
      <c r="Q423" s="13" t="str">
        <f>IF($A423="","",[1]!thsiFinD("ths_adjustment_nv_fund",Q$3,$A423))</f>
        <v/>
      </c>
      <c r="R423" s="13" t="str">
        <f>IF($A423="","",[1]!thsiFinD("ths_adjustment_nv_fund",R$3,$A423))</f>
        <v/>
      </c>
      <c r="S423" s="13" t="str">
        <f>IF($A423="","",[1]!thsiFinD("ths_adjustment_nv_fund",S$3,$A423))</f>
        <v/>
      </c>
      <c r="T423" s="13" t="str">
        <f>IF($A423="","",[1]!thsiFinD("ths_adjustment_nv_fund",T$3,$A423))</f>
        <v/>
      </c>
      <c r="U423" s="13" t="str">
        <f>IF($A423="","",[1]!thsiFinD("ths_adjustment_nv_fund",U$3,$A423))</f>
        <v/>
      </c>
      <c r="V423" s="13" t="str">
        <f>IF($A423="","",[1]!thsiFinD("ths_adjustment_nv_fund",V$3,$A423))</f>
        <v/>
      </c>
      <c r="W423" s="13" t="str">
        <f>IF($A423="","",[1]!thsiFinD("ths_adjustment_nv_fund",W$3,$A423))</f>
        <v/>
      </c>
      <c r="X423" s="13" t="str">
        <f>IF($A423="","",[1]!thsiFinD("ths_adjustment_nv_fund",X$3,$A423))</f>
        <v/>
      </c>
      <c r="Y423" s="13" t="str">
        <f>IF($A423="","",[1]!thsiFinD("ths_adjustment_nv_fund",Y$3,$A423))</f>
        <v/>
      </c>
      <c r="Z423" s="13" t="str">
        <f>IF($A423="","",[1]!thsiFinD("ths_adjustment_nv_fund",Z$3,$A423))</f>
        <v/>
      </c>
      <c r="AA423" s="13" t="str">
        <f>IF($A423="","",[1]!thsiFinD("ths_adjustment_nv_fund",AA$3,$A423))</f>
        <v/>
      </c>
      <c r="AB423" s="13">
        <f>IF($A423="","",[1]!thsiFinD("ths_adjustment_nv_fund",AB$3,$A423))</f>
        <v/>
      </c>
      <c r="AC423" s="13">
        <f>IF($A423="","",[1]!thsiFinD("ths_adjustment_nv_fund",AC$3,$A423))</f>
        <v/>
      </c>
      <c r="AD423" s="13">
        <f>IF($A423="","",[1]!thsiFinD("ths_adjustment_nv_fund",AD$3,$A423))</f>
        <v/>
      </c>
      <c r="AE423" s="13">
        <f>IF($A423="","",[1]!thsiFinD("ths_adjustment_nv_fund",AE$3,$A423))</f>
        <v/>
      </c>
      <c r="AF423" s="13">
        <f>IF($A423="","",[1]!thsiFinD("ths_adjustment_nv_fund",AF$3,$A423))</f>
        <v/>
      </c>
      <c r="AG423" s="13">
        <f>IF($A423="","",[1]!thsiFinD("ths_adjustment_nv_fund",AG$3,$A423))</f>
        <v/>
      </c>
      <c r="AH423" s="13">
        <f>IF($A423="","",[1]!thsiFinD("ths_adjustment_nv_fund",AH$3,$A423))</f>
        <v/>
      </c>
      <c r="AI423" s="13">
        <f>IF($A423="","",[1]!thsiFinD("ths_adjustment_nv_fund",AI$3,$A423))</f>
        <v/>
      </c>
      <c r="AJ423" s="13">
        <f>IF($A423="","",[1]!thsiFinD("ths_adjustment_nv_fund",AJ$3,$A423))</f>
        <v/>
      </c>
      <c r="AK423" s="13">
        <f>IF($A423="","",[1]!thsiFinD("ths_adjustment_nv_fund",AK$3,$A423))</f>
        <v/>
      </c>
      <c r="AL423" s="13">
        <f>IF($A423="","",[1]!thsiFinD("ths_adjustment_nv_fund",AL$3,$A423))</f>
        <v/>
      </c>
    </row>
    <row r="424" spans="2:28">
      <c r="B424" s="13" t="str">
        <f>IF($A424="","",[1]!thsiFinD("ths_adjustment_nv_fund",B$3,$A424))</f>
        <v/>
      </c>
      <c r="C424" s="13" t="str">
        <f>IF($A424="","",[1]!thsiFinD("ths_adjustment_nv_fund",C$3,$A424))</f>
        <v/>
      </c>
      <c r="D424" s="13" t="str">
        <f>IF($A424="","",[1]!thsiFinD("ths_adjustment_nv_fund",D$3,$A424))</f>
        <v/>
      </c>
      <c r="E424" s="13" t="str">
        <f>IF($A424="","",[1]!thsiFinD("ths_adjustment_nv_fund",E$3,$A424))</f>
        <v/>
      </c>
      <c r="F424" s="13" t="str">
        <f>IF($A424="","",[1]!thsiFinD("ths_adjustment_nv_fund",F$3,$A424))</f>
        <v/>
      </c>
      <c r="G424" s="13" t="str">
        <f>IF($A424="","",[1]!thsiFinD("ths_adjustment_nv_fund",G$3,$A424))</f>
        <v/>
      </c>
      <c r="H424" s="13" t="str">
        <f>IF($A424="","",[1]!thsiFinD("ths_adjustment_nv_fund",H$3,$A424))</f>
        <v/>
      </c>
      <c r="I424" s="13" t="str">
        <f>IF($A424="","",[1]!thsiFinD("ths_adjustment_nv_fund",I$3,$A424))</f>
        <v/>
      </c>
      <c r="J424" s="13" t="str">
        <f>IF($A424="","",[1]!thsiFinD("ths_adjustment_nv_fund",J$3,$A424))</f>
        <v/>
      </c>
      <c r="K424" s="13" t="str">
        <f>IF($A424="","",[1]!thsiFinD("ths_adjustment_nv_fund",K$3,$A424))</f>
        <v/>
      </c>
      <c r="L424" s="13" t="str">
        <f>IF($A424="","",[1]!thsiFinD("ths_adjustment_nv_fund",L$3,$A424))</f>
        <v/>
      </c>
      <c r="M424" s="13" t="str">
        <f>IF($A424="","",[1]!thsiFinD("ths_adjustment_nv_fund",M$3,$A424))</f>
        <v/>
      </c>
      <c r="N424" s="13" t="str">
        <f>IF($A424="","",[1]!thsiFinD("ths_adjustment_nv_fund",N$3,$A424))</f>
        <v/>
      </c>
      <c r="O424" s="13" t="str">
        <f>IF($A424="","",[1]!thsiFinD("ths_adjustment_nv_fund",O$3,$A424))</f>
        <v/>
      </c>
      <c r="P424" s="13" t="str">
        <f>IF($A424="","",[1]!thsiFinD("ths_adjustment_nv_fund",P$3,$A424))</f>
        <v/>
      </c>
      <c r="Q424" s="13" t="str">
        <f>IF($A424="","",[1]!thsiFinD("ths_adjustment_nv_fund",Q$3,$A424))</f>
        <v/>
      </c>
      <c r="R424" s="13" t="str">
        <f>IF($A424="","",[1]!thsiFinD("ths_adjustment_nv_fund",R$3,$A424))</f>
        <v/>
      </c>
      <c r="S424" s="13" t="str">
        <f>IF($A424="","",[1]!thsiFinD("ths_adjustment_nv_fund",S$3,$A424))</f>
        <v/>
      </c>
      <c r="T424" s="13" t="str">
        <f>IF($A424="","",[1]!thsiFinD("ths_adjustment_nv_fund",T$3,$A424))</f>
        <v/>
      </c>
      <c r="U424" s="13" t="str">
        <f>IF($A424="","",[1]!thsiFinD("ths_adjustment_nv_fund",U$3,$A424))</f>
        <v/>
      </c>
      <c r="V424" s="13" t="str">
        <f>IF($A424="","",[1]!thsiFinD("ths_adjustment_nv_fund",V$3,$A424))</f>
        <v/>
      </c>
      <c r="W424" s="13" t="str">
        <f>IF($A424="","",[1]!thsiFinD("ths_adjustment_nv_fund",W$3,$A424))</f>
        <v/>
      </c>
      <c r="X424" s="13" t="str">
        <f>IF($A424="","",[1]!thsiFinD("ths_adjustment_nv_fund",X$3,$A424))</f>
        <v/>
      </c>
      <c r="Y424" s="13" t="str">
        <f>IF($A424="","",[1]!thsiFinD("ths_adjustment_nv_fund",Y$3,$A424))</f>
        <v/>
      </c>
      <c r="Z424" s="13" t="str">
        <f>IF($A424="","",[1]!thsiFinD("ths_adjustment_nv_fund",Z$3,$A424))</f>
        <v/>
      </c>
      <c r="AA424" s="13" t="str">
        <f>IF($A424="","",[1]!thsiFinD("ths_adjustment_nv_fund",AA$3,$A424))</f>
        <v/>
      </c>
      <c r="AB424" s="13">
        <f>IF($A424="","",[1]!thsiFinD("ths_adjustment_nv_fund",AB$3,$A424))</f>
        <v/>
      </c>
      <c r="AC424" s="13">
        <f>IF($A424="","",[1]!thsiFinD("ths_adjustment_nv_fund",AC$3,$A424))</f>
        <v/>
      </c>
      <c r="AD424" s="13">
        <f>IF($A424="","",[1]!thsiFinD("ths_adjustment_nv_fund",AD$3,$A424))</f>
        <v/>
      </c>
      <c r="AE424" s="13">
        <f>IF($A424="","",[1]!thsiFinD("ths_adjustment_nv_fund",AE$3,$A424))</f>
        <v/>
      </c>
      <c r="AF424" s="13">
        <f>IF($A424="","",[1]!thsiFinD("ths_adjustment_nv_fund",AF$3,$A424))</f>
        <v/>
      </c>
      <c r="AG424" s="13">
        <f>IF($A424="","",[1]!thsiFinD("ths_adjustment_nv_fund",AG$3,$A424))</f>
        <v/>
      </c>
      <c r="AH424" s="13">
        <f>IF($A424="","",[1]!thsiFinD("ths_adjustment_nv_fund",AH$3,$A424))</f>
        <v/>
      </c>
      <c r="AI424" s="13">
        <f>IF($A424="","",[1]!thsiFinD("ths_adjustment_nv_fund",AI$3,$A424))</f>
        <v/>
      </c>
      <c r="AJ424" s="13">
        <f>IF($A424="","",[1]!thsiFinD("ths_adjustment_nv_fund",AJ$3,$A424))</f>
        <v/>
      </c>
      <c r="AK424" s="13">
        <f>IF($A424="","",[1]!thsiFinD("ths_adjustment_nv_fund",AK$3,$A424))</f>
        <v/>
      </c>
      <c r="AL424" s="13">
        <f>IF($A424="","",[1]!thsiFinD("ths_adjustment_nv_fund",AL$3,$A424))</f>
        <v/>
      </c>
    </row>
    <row r="425" spans="2:28">
      <c r="B425" s="13" t="str">
        <f>IF($A425="","",[1]!thsiFinD("ths_adjustment_nv_fund",B$3,$A425))</f>
        <v/>
      </c>
      <c r="C425" s="13" t="str">
        <f>IF($A425="","",[1]!thsiFinD("ths_adjustment_nv_fund",C$3,$A425))</f>
        <v/>
      </c>
      <c r="D425" s="13" t="str">
        <f>IF($A425="","",[1]!thsiFinD("ths_adjustment_nv_fund",D$3,$A425))</f>
        <v/>
      </c>
      <c r="E425" s="13" t="str">
        <f>IF($A425="","",[1]!thsiFinD("ths_adjustment_nv_fund",E$3,$A425))</f>
        <v/>
      </c>
      <c r="F425" s="13" t="str">
        <f>IF($A425="","",[1]!thsiFinD("ths_adjustment_nv_fund",F$3,$A425))</f>
        <v/>
      </c>
      <c r="G425" s="13" t="str">
        <f>IF($A425="","",[1]!thsiFinD("ths_adjustment_nv_fund",G$3,$A425))</f>
        <v/>
      </c>
      <c r="H425" s="13" t="str">
        <f>IF($A425="","",[1]!thsiFinD("ths_adjustment_nv_fund",H$3,$A425))</f>
        <v/>
      </c>
      <c r="I425" s="13" t="str">
        <f>IF($A425="","",[1]!thsiFinD("ths_adjustment_nv_fund",I$3,$A425))</f>
        <v/>
      </c>
      <c r="J425" s="13" t="str">
        <f>IF($A425="","",[1]!thsiFinD("ths_adjustment_nv_fund",J$3,$A425))</f>
        <v/>
      </c>
      <c r="K425" s="13" t="str">
        <f>IF($A425="","",[1]!thsiFinD("ths_adjustment_nv_fund",K$3,$A425))</f>
        <v/>
      </c>
      <c r="L425" s="13" t="str">
        <f>IF($A425="","",[1]!thsiFinD("ths_adjustment_nv_fund",L$3,$A425))</f>
        <v/>
      </c>
      <c r="M425" s="13" t="str">
        <f>IF($A425="","",[1]!thsiFinD("ths_adjustment_nv_fund",M$3,$A425))</f>
        <v/>
      </c>
      <c r="N425" s="13" t="str">
        <f>IF($A425="","",[1]!thsiFinD("ths_adjustment_nv_fund",N$3,$A425))</f>
        <v/>
      </c>
      <c r="O425" s="13" t="str">
        <f>IF($A425="","",[1]!thsiFinD("ths_adjustment_nv_fund",O$3,$A425))</f>
        <v/>
      </c>
      <c r="P425" s="13" t="str">
        <f>IF($A425="","",[1]!thsiFinD("ths_adjustment_nv_fund",P$3,$A425))</f>
        <v/>
      </c>
      <c r="Q425" s="13" t="str">
        <f>IF($A425="","",[1]!thsiFinD("ths_adjustment_nv_fund",Q$3,$A425))</f>
        <v/>
      </c>
      <c r="R425" s="13" t="str">
        <f>IF($A425="","",[1]!thsiFinD("ths_adjustment_nv_fund",R$3,$A425))</f>
        <v/>
      </c>
      <c r="S425" s="13" t="str">
        <f>IF($A425="","",[1]!thsiFinD("ths_adjustment_nv_fund",S$3,$A425))</f>
        <v/>
      </c>
      <c r="T425" s="13" t="str">
        <f>IF($A425="","",[1]!thsiFinD("ths_adjustment_nv_fund",T$3,$A425))</f>
        <v/>
      </c>
      <c r="U425" s="13" t="str">
        <f>IF($A425="","",[1]!thsiFinD("ths_adjustment_nv_fund",U$3,$A425))</f>
        <v/>
      </c>
      <c r="V425" s="13" t="str">
        <f>IF($A425="","",[1]!thsiFinD("ths_adjustment_nv_fund",V$3,$A425))</f>
        <v/>
      </c>
      <c r="W425" s="13" t="str">
        <f>IF($A425="","",[1]!thsiFinD("ths_adjustment_nv_fund",W$3,$A425))</f>
        <v/>
      </c>
      <c r="X425" s="13" t="str">
        <f>IF($A425="","",[1]!thsiFinD("ths_adjustment_nv_fund",X$3,$A425))</f>
        <v/>
      </c>
      <c r="Y425" s="13" t="str">
        <f>IF($A425="","",[1]!thsiFinD("ths_adjustment_nv_fund",Y$3,$A425))</f>
        <v/>
      </c>
      <c r="Z425" s="13" t="str">
        <f>IF($A425="","",[1]!thsiFinD("ths_adjustment_nv_fund",Z$3,$A425))</f>
        <v/>
      </c>
      <c r="AA425" s="13" t="str">
        <f>IF($A425="","",[1]!thsiFinD("ths_adjustment_nv_fund",AA$3,$A425))</f>
        <v/>
      </c>
      <c r="AB425" s="13">
        <f>IF($A425="","",[1]!thsiFinD("ths_adjustment_nv_fund",AB$3,$A425))</f>
        <v/>
      </c>
      <c r="AC425" s="13">
        <f>IF($A425="","",[1]!thsiFinD("ths_adjustment_nv_fund",AC$3,$A425))</f>
        <v/>
      </c>
      <c r="AD425" s="13">
        <f>IF($A425="","",[1]!thsiFinD("ths_adjustment_nv_fund",AD$3,$A425))</f>
        <v/>
      </c>
      <c r="AE425" s="13">
        <f>IF($A425="","",[1]!thsiFinD("ths_adjustment_nv_fund",AE$3,$A425))</f>
        <v/>
      </c>
      <c r="AF425" s="13">
        <f>IF($A425="","",[1]!thsiFinD("ths_adjustment_nv_fund",AF$3,$A425))</f>
        <v/>
      </c>
      <c r="AG425" s="13">
        <f>IF($A425="","",[1]!thsiFinD("ths_adjustment_nv_fund",AG$3,$A425))</f>
        <v/>
      </c>
      <c r="AH425" s="13">
        <f>IF($A425="","",[1]!thsiFinD("ths_adjustment_nv_fund",AH$3,$A425))</f>
        <v/>
      </c>
      <c r="AI425" s="13">
        <f>IF($A425="","",[1]!thsiFinD("ths_adjustment_nv_fund",AI$3,$A425))</f>
        <v/>
      </c>
      <c r="AJ425" s="13">
        <f>IF($A425="","",[1]!thsiFinD("ths_adjustment_nv_fund",AJ$3,$A425))</f>
        <v/>
      </c>
      <c r="AK425" s="13">
        <f>IF($A425="","",[1]!thsiFinD("ths_adjustment_nv_fund",AK$3,$A425))</f>
        <v/>
      </c>
      <c r="AL425" s="13">
        <f>IF($A425="","",[1]!thsiFinD("ths_adjustment_nv_fund",AL$3,$A425))</f>
        <v/>
      </c>
    </row>
    <row r="426" spans="2:28">
      <c r="B426" s="13" t="str">
        <f>IF($A426="","",[1]!thsiFinD("ths_adjustment_nv_fund",B$3,$A426))</f>
        <v/>
      </c>
      <c r="C426" s="13" t="str">
        <f>IF($A426="","",[1]!thsiFinD("ths_adjustment_nv_fund",C$3,$A426))</f>
        <v/>
      </c>
      <c r="D426" s="13" t="str">
        <f>IF($A426="","",[1]!thsiFinD("ths_adjustment_nv_fund",D$3,$A426))</f>
        <v/>
      </c>
      <c r="E426" s="13" t="str">
        <f>IF($A426="","",[1]!thsiFinD("ths_adjustment_nv_fund",E$3,$A426))</f>
        <v/>
      </c>
      <c r="F426" s="13" t="str">
        <f>IF($A426="","",[1]!thsiFinD("ths_adjustment_nv_fund",F$3,$A426))</f>
        <v/>
      </c>
      <c r="G426" s="13" t="str">
        <f>IF($A426="","",[1]!thsiFinD("ths_adjustment_nv_fund",G$3,$A426))</f>
        <v/>
      </c>
      <c r="H426" s="13" t="str">
        <f>IF($A426="","",[1]!thsiFinD("ths_adjustment_nv_fund",H$3,$A426))</f>
        <v/>
      </c>
      <c r="I426" s="13" t="str">
        <f>IF($A426="","",[1]!thsiFinD("ths_adjustment_nv_fund",I$3,$A426))</f>
        <v/>
      </c>
      <c r="J426" s="13" t="str">
        <f>IF($A426="","",[1]!thsiFinD("ths_adjustment_nv_fund",J$3,$A426))</f>
        <v/>
      </c>
      <c r="K426" s="13" t="str">
        <f>IF($A426="","",[1]!thsiFinD("ths_adjustment_nv_fund",K$3,$A426))</f>
        <v/>
      </c>
      <c r="L426" s="13" t="str">
        <f>IF($A426="","",[1]!thsiFinD("ths_adjustment_nv_fund",L$3,$A426))</f>
        <v/>
      </c>
      <c r="M426" s="13" t="str">
        <f>IF($A426="","",[1]!thsiFinD("ths_adjustment_nv_fund",M$3,$A426))</f>
        <v/>
      </c>
      <c r="N426" s="13" t="str">
        <f>IF($A426="","",[1]!thsiFinD("ths_adjustment_nv_fund",N$3,$A426))</f>
        <v/>
      </c>
      <c r="O426" s="13" t="str">
        <f>IF($A426="","",[1]!thsiFinD("ths_adjustment_nv_fund",O$3,$A426))</f>
        <v/>
      </c>
      <c r="P426" s="13" t="str">
        <f>IF($A426="","",[1]!thsiFinD("ths_adjustment_nv_fund",P$3,$A426))</f>
        <v/>
      </c>
      <c r="Q426" s="13" t="str">
        <f>IF($A426="","",[1]!thsiFinD("ths_adjustment_nv_fund",Q$3,$A426))</f>
        <v/>
      </c>
      <c r="R426" s="13" t="str">
        <f>IF($A426="","",[1]!thsiFinD("ths_adjustment_nv_fund",R$3,$A426))</f>
        <v/>
      </c>
      <c r="S426" s="13" t="str">
        <f>IF($A426="","",[1]!thsiFinD("ths_adjustment_nv_fund",S$3,$A426))</f>
        <v/>
      </c>
      <c r="T426" s="13" t="str">
        <f>IF($A426="","",[1]!thsiFinD("ths_adjustment_nv_fund",T$3,$A426))</f>
        <v/>
      </c>
      <c r="U426" s="13" t="str">
        <f>IF($A426="","",[1]!thsiFinD("ths_adjustment_nv_fund",U$3,$A426))</f>
        <v/>
      </c>
      <c r="V426" s="13" t="str">
        <f>IF($A426="","",[1]!thsiFinD("ths_adjustment_nv_fund",V$3,$A426))</f>
        <v/>
      </c>
      <c r="W426" s="13" t="str">
        <f>IF($A426="","",[1]!thsiFinD("ths_adjustment_nv_fund",W$3,$A426))</f>
        <v/>
      </c>
      <c r="X426" s="13" t="str">
        <f>IF($A426="","",[1]!thsiFinD("ths_adjustment_nv_fund",X$3,$A426))</f>
        <v/>
      </c>
      <c r="Y426" s="13" t="str">
        <f>IF($A426="","",[1]!thsiFinD("ths_adjustment_nv_fund",Y$3,$A426))</f>
        <v/>
      </c>
      <c r="Z426" s="13" t="str">
        <f>IF($A426="","",[1]!thsiFinD("ths_adjustment_nv_fund",Z$3,$A426))</f>
        <v/>
      </c>
      <c r="AA426" s="13" t="str">
        <f>IF($A426="","",[1]!thsiFinD("ths_adjustment_nv_fund",AA$3,$A426))</f>
        <v/>
      </c>
      <c r="AB426" s="13">
        <f>IF($A426="","",[1]!thsiFinD("ths_adjustment_nv_fund",AB$3,$A426))</f>
        <v/>
      </c>
      <c r="AC426" s="13">
        <f>IF($A426="","",[1]!thsiFinD("ths_adjustment_nv_fund",AC$3,$A426))</f>
        <v/>
      </c>
      <c r="AD426" s="13">
        <f>IF($A426="","",[1]!thsiFinD("ths_adjustment_nv_fund",AD$3,$A426))</f>
        <v/>
      </c>
      <c r="AE426" s="13">
        <f>IF($A426="","",[1]!thsiFinD("ths_adjustment_nv_fund",AE$3,$A426))</f>
        <v/>
      </c>
      <c r="AF426" s="13">
        <f>IF($A426="","",[1]!thsiFinD("ths_adjustment_nv_fund",AF$3,$A426))</f>
        <v/>
      </c>
      <c r="AG426" s="13">
        <f>IF($A426="","",[1]!thsiFinD("ths_adjustment_nv_fund",AG$3,$A426))</f>
        <v/>
      </c>
      <c r="AH426" s="13">
        <f>IF($A426="","",[1]!thsiFinD("ths_adjustment_nv_fund",AH$3,$A426))</f>
        <v/>
      </c>
      <c r="AI426" s="13">
        <f>IF($A426="","",[1]!thsiFinD("ths_adjustment_nv_fund",AI$3,$A426))</f>
        <v/>
      </c>
      <c r="AJ426" s="13">
        <f>IF($A426="","",[1]!thsiFinD("ths_adjustment_nv_fund",AJ$3,$A426))</f>
        <v/>
      </c>
      <c r="AK426" s="13">
        <f>IF($A426="","",[1]!thsiFinD("ths_adjustment_nv_fund",AK$3,$A426))</f>
        <v/>
      </c>
      <c r="AL426" s="13">
        <f>IF($A426="","",[1]!thsiFinD("ths_adjustment_nv_fund",AL$3,$A426))</f>
        <v/>
      </c>
    </row>
    <row r="427" spans="2:28">
      <c r="B427" s="13" t="str">
        <f>IF($A427="","",[1]!thsiFinD("ths_adjustment_nv_fund",B$3,$A427))</f>
        <v/>
      </c>
      <c r="C427" s="13" t="str">
        <f>IF($A427="","",[1]!thsiFinD("ths_adjustment_nv_fund",C$3,$A427))</f>
        <v/>
      </c>
      <c r="D427" s="13" t="str">
        <f>IF($A427="","",[1]!thsiFinD("ths_adjustment_nv_fund",D$3,$A427))</f>
        <v/>
      </c>
      <c r="E427" s="13" t="str">
        <f>IF($A427="","",[1]!thsiFinD("ths_adjustment_nv_fund",E$3,$A427))</f>
        <v/>
      </c>
      <c r="F427" s="13" t="str">
        <f>IF($A427="","",[1]!thsiFinD("ths_adjustment_nv_fund",F$3,$A427))</f>
        <v/>
      </c>
      <c r="G427" s="13" t="str">
        <f>IF($A427="","",[1]!thsiFinD("ths_adjustment_nv_fund",G$3,$A427))</f>
        <v/>
      </c>
      <c r="H427" s="13" t="str">
        <f>IF($A427="","",[1]!thsiFinD("ths_adjustment_nv_fund",H$3,$A427))</f>
        <v/>
      </c>
      <c r="I427" s="13" t="str">
        <f>IF($A427="","",[1]!thsiFinD("ths_adjustment_nv_fund",I$3,$A427))</f>
        <v/>
      </c>
      <c r="J427" s="13" t="str">
        <f>IF($A427="","",[1]!thsiFinD("ths_adjustment_nv_fund",J$3,$A427))</f>
        <v/>
      </c>
      <c r="K427" s="13" t="str">
        <f>IF($A427="","",[1]!thsiFinD("ths_adjustment_nv_fund",K$3,$A427))</f>
        <v/>
      </c>
      <c r="L427" s="13" t="str">
        <f>IF($A427="","",[1]!thsiFinD("ths_adjustment_nv_fund",L$3,$A427))</f>
        <v/>
      </c>
      <c r="M427" s="13" t="str">
        <f>IF($A427="","",[1]!thsiFinD("ths_adjustment_nv_fund",M$3,$A427))</f>
        <v/>
      </c>
      <c r="N427" s="13" t="str">
        <f>IF($A427="","",[1]!thsiFinD("ths_adjustment_nv_fund",N$3,$A427))</f>
        <v/>
      </c>
      <c r="O427" s="13" t="str">
        <f>IF($A427="","",[1]!thsiFinD("ths_adjustment_nv_fund",O$3,$A427))</f>
        <v/>
      </c>
      <c r="P427" s="13" t="str">
        <f>IF($A427="","",[1]!thsiFinD("ths_adjustment_nv_fund",P$3,$A427))</f>
        <v/>
      </c>
      <c r="Q427" s="13" t="str">
        <f>IF($A427="","",[1]!thsiFinD("ths_adjustment_nv_fund",Q$3,$A427))</f>
        <v/>
      </c>
      <c r="R427" s="13" t="str">
        <f>IF($A427="","",[1]!thsiFinD("ths_adjustment_nv_fund",R$3,$A427))</f>
        <v/>
      </c>
      <c r="S427" s="13" t="str">
        <f>IF($A427="","",[1]!thsiFinD("ths_adjustment_nv_fund",S$3,$A427))</f>
        <v/>
      </c>
      <c r="T427" s="13" t="str">
        <f>IF($A427="","",[1]!thsiFinD("ths_adjustment_nv_fund",T$3,$A427))</f>
        <v/>
      </c>
      <c r="U427" s="13" t="str">
        <f>IF($A427="","",[1]!thsiFinD("ths_adjustment_nv_fund",U$3,$A427))</f>
        <v/>
      </c>
      <c r="V427" s="13" t="str">
        <f>IF($A427="","",[1]!thsiFinD("ths_adjustment_nv_fund",V$3,$A427))</f>
        <v/>
      </c>
      <c r="W427" s="13" t="str">
        <f>IF($A427="","",[1]!thsiFinD("ths_adjustment_nv_fund",W$3,$A427))</f>
        <v/>
      </c>
      <c r="X427" s="13" t="str">
        <f>IF($A427="","",[1]!thsiFinD("ths_adjustment_nv_fund",X$3,$A427))</f>
        <v/>
      </c>
      <c r="Y427" s="13" t="str">
        <f>IF($A427="","",[1]!thsiFinD("ths_adjustment_nv_fund",Y$3,$A427))</f>
        <v/>
      </c>
      <c r="Z427" s="13" t="str">
        <f>IF($A427="","",[1]!thsiFinD("ths_adjustment_nv_fund",Z$3,$A427))</f>
        <v/>
      </c>
      <c r="AA427" s="13" t="str">
        <f>IF($A427="","",[1]!thsiFinD("ths_adjustment_nv_fund",AA$3,$A427))</f>
        <v/>
      </c>
      <c r="AB427" s="13">
        <f>IF($A427="","",[1]!thsiFinD("ths_adjustment_nv_fund",AB$3,$A427))</f>
        <v/>
      </c>
      <c r="AC427" s="13">
        <f>IF($A427="","",[1]!thsiFinD("ths_adjustment_nv_fund",AC$3,$A427))</f>
        <v/>
      </c>
      <c r="AD427" s="13">
        <f>IF($A427="","",[1]!thsiFinD("ths_adjustment_nv_fund",AD$3,$A427))</f>
        <v/>
      </c>
      <c r="AE427" s="13">
        <f>IF($A427="","",[1]!thsiFinD("ths_adjustment_nv_fund",AE$3,$A427))</f>
        <v/>
      </c>
      <c r="AF427" s="13">
        <f>IF($A427="","",[1]!thsiFinD("ths_adjustment_nv_fund",AF$3,$A427))</f>
        <v/>
      </c>
      <c r="AG427" s="13">
        <f>IF($A427="","",[1]!thsiFinD("ths_adjustment_nv_fund",AG$3,$A427))</f>
        <v/>
      </c>
      <c r="AH427" s="13">
        <f>IF($A427="","",[1]!thsiFinD("ths_adjustment_nv_fund",AH$3,$A427))</f>
        <v/>
      </c>
      <c r="AI427" s="13">
        <f>IF($A427="","",[1]!thsiFinD("ths_adjustment_nv_fund",AI$3,$A427))</f>
        <v/>
      </c>
      <c r="AJ427" s="13">
        <f>IF($A427="","",[1]!thsiFinD("ths_adjustment_nv_fund",AJ$3,$A427))</f>
        <v/>
      </c>
      <c r="AK427" s="13">
        <f>IF($A427="","",[1]!thsiFinD("ths_adjustment_nv_fund",AK$3,$A427))</f>
        <v/>
      </c>
      <c r="AL427" s="13">
        <f>IF($A427="","",[1]!thsiFinD("ths_adjustment_nv_fund",AL$3,$A427))</f>
        <v/>
      </c>
    </row>
    <row r="428" spans="2:28">
      <c r="B428" s="13" t="str">
        <f>IF($A428="","",[1]!thsiFinD("ths_adjustment_nv_fund",B$3,$A428))</f>
        <v/>
      </c>
      <c r="C428" s="13" t="str">
        <f>IF($A428="","",[1]!thsiFinD("ths_adjustment_nv_fund",C$3,$A428))</f>
        <v/>
      </c>
      <c r="D428" s="13" t="str">
        <f>IF($A428="","",[1]!thsiFinD("ths_adjustment_nv_fund",D$3,$A428))</f>
        <v/>
      </c>
      <c r="E428" s="13" t="str">
        <f>IF($A428="","",[1]!thsiFinD("ths_adjustment_nv_fund",E$3,$A428))</f>
        <v/>
      </c>
      <c r="F428" s="13" t="str">
        <f>IF($A428="","",[1]!thsiFinD("ths_adjustment_nv_fund",F$3,$A428))</f>
        <v/>
      </c>
      <c r="G428" s="13" t="str">
        <f>IF($A428="","",[1]!thsiFinD("ths_adjustment_nv_fund",G$3,$A428))</f>
        <v/>
      </c>
      <c r="H428" s="13" t="str">
        <f>IF($A428="","",[1]!thsiFinD("ths_adjustment_nv_fund",H$3,$A428))</f>
        <v/>
      </c>
      <c r="I428" s="13" t="str">
        <f>IF($A428="","",[1]!thsiFinD("ths_adjustment_nv_fund",I$3,$A428))</f>
        <v/>
      </c>
      <c r="J428" s="13" t="str">
        <f>IF($A428="","",[1]!thsiFinD("ths_adjustment_nv_fund",J$3,$A428))</f>
        <v/>
      </c>
      <c r="K428" s="13" t="str">
        <f>IF($A428="","",[1]!thsiFinD("ths_adjustment_nv_fund",K$3,$A428))</f>
        <v/>
      </c>
      <c r="L428" s="13" t="str">
        <f>IF($A428="","",[1]!thsiFinD("ths_adjustment_nv_fund",L$3,$A428))</f>
        <v/>
      </c>
      <c r="M428" s="13" t="str">
        <f>IF($A428="","",[1]!thsiFinD("ths_adjustment_nv_fund",M$3,$A428))</f>
        <v/>
      </c>
      <c r="N428" s="13" t="str">
        <f>IF($A428="","",[1]!thsiFinD("ths_adjustment_nv_fund",N$3,$A428))</f>
        <v/>
      </c>
      <c r="O428" s="13" t="str">
        <f>IF($A428="","",[1]!thsiFinD("ths_adjustment_nv_fund",O$3,$A428))</f>
        <v/>
      </c>
      <c r="P428" s="13" t="str">
        <f>IF($A428="","",[1]!thsiFinD("ths_adjustment_nv_fund",P$3,$A428))</f>
        <v/>
      </c>
      <c r="Q428" s="13" t="str">
        <f>IF($A428="","",[1]!thsiFinD("ths_adjustment_nv_fund",Q$3,$A428))</f>
        <v/>
      </c>
      <c r="R428" s="13" t="str">
        <f>IF($A428="","",[1]!thsiFinD("ths_adjustment_nv_fund",R$3,$A428))</f>
        <v/>
      </c>
      <c r="S428" s="13" t="str">
        <f>IF($A428="","",[1]!thsiFinD("ths_adjustment_nv_fund",S$3,$A428))</f>
        <v/>
      </c>
      <c r="T428" s="13" t="str">
        <f>IF($A428="","",[1]!thsiFinD("ths_adjustment_nv_fund",T$3,$A428))</f>
        <v/>
      </c>
      <c r="U428" s="13" t="str">
        <f>IF($A428="","",[1]!thsiFinD("ths_adjustment_nv_fund",U$3,$A428))</f>
        <v/>
      </c>
      <c r="V428" s="13" t="str">
        <f>IF($A428="","",[1]!thsiFinD("ths_adjustment_nv_fund",V$3,$A428))</f>
        <v/>
      </c>
      <c r="W428" s="13" t="str">
        <f>IF($A428="","",[1]!thsiFinD("ths_adjustment_nv_fund",W$3,$A428))</f>
        <v/>
      </c>
      <c r="X428" s="13" t="str">
        <f>IF($A428="","",[1]!thsiFinD("ths_adjustment_nv_fund",X$3,$A428))</f>
        <v/>
      </c>
      <c r="Y428" s="13" t="str">
        <f>IF($A428="","",[1]!thsiFinD("ths_adjustment_nv_fund",Y$3,$A428))</f>
        <v/>
      </c>
      <c r="Z428" s="13" t="str">
        <f>IF($A428="","",[1]!thsiFinD("ths_adjustment_nv_fund",Z$3,$A428))</f>
        <v/>
      </c>
      <c r="AA428" s="13" t="str">
        <f>IF($A428="","",[1]!thsiFinD("ths_adjustment_nv_fund",AA$3,$A428))</f>
        <v/>
      </c>
      <c r="AB428" s="13">
        <f>IF($A428="","",[1]!thsiFinD("ths_adjustment_nv_fund",AB$3,$A428))</f>
        <v/>
      </c>
      <c r="AC428" s="13">
        <f>IF($A428="","",[1]!thsiFinD("ths_adjustment_nv_fund",AC$3,$A428))</f>
        <v/>
      </c>
      <c r="AD428" s="13">
        <f>IF($A428="","",[1]!thsiFinD("ths_adjustment_nv_fund",AD$3,$A428))</f>
        <v/>
      </c>
      <c r="AE428" s="13">
        <f>IF($A428="","",[1]!thsiFinD("ths_adjustment_nv_fund",AE$3,$A428))</f>
        <v/>
      </c>
      <c r="AF428" s="13">
        <f>IF($A428="","",[1]!thsiFinD("ths_adjustment_nv_fund",AF$3,$A428))</f>
        <v/>
      </c>
      <c r="AG428" s="13">
        <f>IF($A428="","",[1]!thsiFinD("ths_adjustment_nv_fund",AG$3,$A428))</f>
        <v/>
      </c>
      <c r="AH428" s="13">
        <f>IF($A428="","",[1]!thsiFinD("ths_adjustment_nv_fund",AH$3,$A428))</f>
        <v/>
      </c>
      <c r="AI428" s="13">
        <f>IF($A428="","",[1]!thsiFinD("ths_adjustment_nv_fund",AI$3,$A428))</f>
        <v/>
      </c>
      <c r="AJ428" s="13">
        <f>IF($A428="","",[1]!thsiFinD("ths_adjustment_nv_fund",AJ$3,$A428))</f>
        <v/>
      </c>
      <c r="AK428" s="13">
        <f>IF($A428="","",[1]!thsiFinD("ths_adjustment_nv_fund",AK$3,$A428))</f>
        <v/>
      </c>
      <c r="AL428" s="13">
        <f>IF($A428="","",[1]!thsiFinD("ths_adjustment_nv_fund",AL$3,$A428))</f>
        <v/>
      </c>
    </row>
    <row r="429" spans="2:28">
      <c r="B429" s="13" t="str">
        <f>IF($A429="","",[1]!thsiFinD("ths_adjustment_nv_fund",B$3,$A429))</f>
        <v/>
      </c>
      <c r="C429" s="13" t="str">
        <f>IF($A429="","",[1]!thsiFinD("ths_adjustment_nv_fund",C$3,$A429))</f>
        <v/>
      </c>
      <c r="D429" s="13" t="str">
        <f>IF($A429="","",[1]!thsiFinD("ths_adjustment_nv_fund",D$3,$A429))</f>
        <v/>
      </c>
      <c r="E429" s="13" t="str">
        <f>IF($A429="","",[1]!thsiFinD("ths_adjustment_nv_fund",E$3,$A429))</f>
        <v/>
      </c>
      <c r="F429" s="13" t="str">
        <f>IF($A429="","",[1]!thsiFinD("ths_adjustment_nv_fund",F$3,$A429))</f>
        <v/>
      </c>
      <c r="G429" s="13" t="str">
        <f>IF($A429="","",[1]!thsiFinD("ths_adjustment_nv_fund",G$3,$A429))</f>
        <v/>
      </c>
      <c r="H429" s="13" t="str">
        <f>IF($A429="","",[1]!thsiFinD("ths_adjustment_nv_fund",H$3,$A429))</f>
        <v/>
      </c>
      <c r="I429" s="13" t="str">
        <f>IF($A429="","",[1]!thsiFinD("ths_adjustment_nv_fund",I$3,$A429))</f>
        <v/>
      </c>
      <c r="J429" s="13" t="str">
        <f>IF($A429="","",[1]!thsiFinD("ths_adjustment_nv_fund",J$3,$A429))</f>
        <v/>
      </c>
      <c r="K429" s="13" t="str">
        <f>IF($A429="","",[1]!thsiFinD("ths_adjustment_nv_fund",K$3,$A429))</f>
        <v/>
      </c>
      <c r="L429" s="13" t="str">
        <f>IF($A429="","",[1]!thsiFinD("ths_adjustment_nv_fund",L$3,$A429))</f>
        <v/>
      </c>
      <c r="M429" s="13" t="str">
        <f>IF($A429="","",[1]!thsiFinD("ths_adjustment_nv_fund",M$3,$A429))</f>
        <v/>
      </c>
      <c r="N429" s="13" t="str">
        <f>IF($A429="","",[1]!thsiFinD("ths_adjustment_nv_fund",N$3,$A429))</f>
        <v/>
      </c>
      <c r="O429" s="13" t="str">
        <f>IF($A429="","",[1]!thsiFinD("ths_adjustment_nv_fund",O$3,$A429))</f>
        <v/>
      </c>
      <c r="P429" s="13" t="str">
        <f>IF($A429="","",[1]!thsiFinD("ths_adjustment_nv_fund",P$3,$A429))</f>
        <v/>
      </c>
      <c r="Q429" s="13" t="str">
        <f>IF($A429="","",[1]!thsiFinD("ths_adjustment_nv_fund",Q$3,$A429))</f>
        <v/>
      </c>
      <c r="R429" s="13" t="str">
        <f>IF($A429="","",[1]!thsiFinD("ths_adjustment_nv_fund",R$3,$A429))</f>
        <v/>
      </c>
      <c r="S429" s="13" t="str">
        <f>IF($A429="","",[1]!thsiFinD("ths_adjustment_nv_fund",S$3,$A429))</f>
        <v/>
      </c>
      <c r="T429" s="13" t="str">
        <f>IF($A429="","",[1]!thsiFinD("ths_adjustment_nv_fund",T$3,$A429))</f>
        <v/>
      </c>
      <c r="U429" s="13" t="str">
        <f>IF($A429="","",[1]!thsiFinD("ths_adjustment_nv_fund",U$3,$A429))</f>
        <v/>
      </c>
      <c r="V429" s="13" t="str">
        <f>IF($A429="","",[1]!thsiFinD("ths_adjustment_nv_fund",V$3,$A429))</f>
        <v/>
      </c>
      <c r="W429" s="13" t="str">
        <f>IF($A429="","",[1]!thsiFinD("ths_adjustment_nv_fund",W$3,$A429))</f>
        <v/>
      </c>
      <c r="X429" s="13" t="str">
        <f>IF($A429="","",[1]!thsiFinD("ths_adjustment_nv_fund",X$3,$A429))</f>
        <v/>
      </c>
      <c r="Y429" s="13" t="str">
        <f>IF($A429="","",[1]!thsiFinD("ths_adjustment_nv_fund",Y$3,$A429))</f>
        <v/>
      </c>
      <c r="Z429" s="13" t="str">
        <f>IF($A429="","",[1]!thsiFinD("ths_adjustment_nv_fund",Z$3,$A429))</f>
        <v/>
      </c>
      <c r="AA429" s="13" t="str">
        <f>IF($A429="","",[1]!thsiFinD("ths_adjustment_nv_fund",AA$3,$A429))</f>
        <v/>
      </c>
      <c r="AB429" s="13">
        <f>IF($A429="","",[1]!thsiFinD("ths_adjustment_nv_fund",AB$3,$A429))</f>
        <v/>
      </c>
      <c r="AC429" s="13">
        <f>IF($A429="","",[1]!thsiFinD("ths_adjustment_nv_fund",AC$3,$A429))</f>
        <v/>
      </c>
      <c r="AD429" s="13">
        <f>IF($A429="","",[1]!thsiFinD("ths_adjustment_nv_fund",AD$3,$A429))</f>
        <v/>
      </c>
      <c r="AE429" s="13">
        <f>IF($A429="","",[1]!thsiFinD("ths_adjustment_nv_fund",AE$3,$A429))</f>
        <v/>
      </c>
      <c r="AF429" s="13">
        <f>IF($A429="","",[1]!thsiFinD("ths_adjustment_nv_fund",AF$3,$A429))</f>
        <v/>
      </c>
      <c r="AG429" s="13">
        <f>IF($A429="","",[1]!thsiFinD("ths_adjustment_nv_fund",AG$3,$A429))</f>
        <v/>
      </c>
      <c r="AH429" s="13">
        <f>IF($A429="","",[1]!thsiFinD("ths_adjustment_nv_fund",AH$3,$A429))</f>
        <v/>
      </c>
      <c r="AI429" s="13">
        <f>IF($A429="","",[1]!thsiFinD("ths_adjustment_nv_fund",AI$3,$A429))</f>
        <v/>
      </c>
      <c r="AJ429" s="13">
        <f>IF($A429="","",[1]!thsiFinD("ths_adjustment_nv_fund",AJ$3,$A429))</f>
        <v/>
      </c>
      <c r="AK429" s="13">
        <f>IF($A429="","",[1]!thsiFinD("ths_adjustment_nv_fund",AK$3,$A429))</f>
        <v/>
      </c>
      <c r="AL429" s="13">
        <f>IF($A429="","",[1]!thsiFinD("ths_adjustment_nv_fund",AL$3,$A429))</f>
        <v/>
      </c>
    </row>
    <row r="430" spans="2:28">
      <c r="B430" s="13" t="str">
        <f>IF($A430="","",[1]!thsiFinD("ths_adjustment_nv_fund",B$3,$A430))</f>
        <v/>
      </c>
      <c r="C430" s="13" t="str">
        <f>IF($A430="","",[1]!thsiFinD("ths_adjustment_nv_fund",C$3,$A430))</f>
        <v/>
      </c>
      <c r="D430" s="13" t="str">
        <f>IF($A430="","",[1]!thsiFinD("ths_adjustment_nv_fund",D$3,$A430))</f>
        <v/>
      </c>
      <c r="E430" s="13" t="str">
        <f>IF($A430="","",[1]!thsiFinD("ths_adjustment_nv_fund",E$3,$A430))</f>
        <v/>
      </c>
      <c r="F430" s="13" t="str">
        <f>IF($A430="","",[1]!thsiFinD("ths_adjustment_nv_fund",F$3,$A430))</f>
        <v/>
      </c>
      <c r="G430" s="13" t="str">
        <f>IF($A430="","",[1]!thsiFinD("ths_adjustment_nv_fund",G$3,$A430))</f>
        <v/>
      </c>
      <c r="H430" s="13" t="str">
        <f>IF($A430="","",[1]!thsiFinD("ths_adjustment_nv_fund",H$3,$A430))</f>
        <v/>
      </c>
      <c r="I430" s="13" t="str">
        <f>IF($A430="","",[1]!thsiFinD("ths_adjustment_nv_fund",I$3,$A430))</f>
        <v/>
      </c>
      <c r="J430" s="13" t="str">
        <f>IF($A430="","",[1]!thsiFinD("ths_adjustment_nv_fund",J$3,$A430))</f>
        <v/>
      </c>
      <c r="K430" s="13" t="str">
        <f>IF($A430="","",[1]!thsiFinD("ths_adjustment_nv_fund",K$3,$A430))</f>
        <v/>
      </c>
      <c r="L430" s="13" t="str">
        <f>IF($A430="","",[1]!thsiFinD("ths_adjustment_nv_fund",L$3,$A430))</f>
        <v/>
      </c>
      <c r="M430" s="13" t="str">
        <f>IF($A430="","",[1]!thsiFinD("ths_adjustment_nv_fund",M$3,$A430))</f>
        <v/>
      </c>
      <c r="N430" s="13" t="str">
        <f>IF($A430="","",[1]!thsiFinD("ths_adjustment_nv_fund",N$3,$A430))</f>
        <v/>
      </c>
      <c r="O430" s="13" t="str">
        <f>IF($A430="","",[1]!thsiFinD("ths_adjustment_nv_fund",O$3,$A430))</f>
        <v/>
      </c>
      <c r="P430" s="13" t="str">
        <f>IF($A430="","",[1]!thsiFinD("ths_adjustment_nv_fund",P$3,$A430))</f>
        <v/>
      </c>
      <c r="Q430" s="13" t="str">
        <f>IF($A430="","",[1]!thsiFinD("ths_adjustment_nv_fund",Q$3,$A430))</f>
        <v/>
      </c>
      <c r="R430" s="13" t="str">
        <f>IF($A430="","",[1]!thsiFinD("ths_adjustment_nv_fund",R$3,$A430))</f>
        <v/>
      </c>
      <c r="S430" s="13" t="str">
        <f>IF($A430="","",[1]!thsiFinD("ths_adjustment_nv_fund",S$3,$A430))</f>
        <v/>
      </c>
      <c r="T430" s="13" t="str">
        <f>IF($A430="","",[1]!thsiFinD("ths_adjustment_nv_fund",T$3,$A430))</f>
        <v/>
      </c>
      <c r="U430" s="13" t="str">
        <f>IF($A430="","",[1]!thsiFinD("ths_adjustment_nv_fund",U$3,$A430))</f>
        <v/>
      </c>
      <c r="V430" s="13" t="str">
        <f>IF($A430="","",[1]!thsiFinD("ths_adjustment_nv_fund",V$3,$A430))</f>
        <v/>
      </c>
      <c r="W430" s="13" t="str">
        <f>IF($A430="","",[1]!thsiFinD("ths_adjustment_nv_fund",W$3,$A430))</f>
        <v/>
      </c>
      <c r="X430" s="13" t="str">
        <f>IF($A430="","",[1]!thsiFinD("ths_adjustment_nv_fund",X$3,$A430))</f>
        <v/>
      </c>
      <c r="Y430" s="13" t="str">
        <f>IF($A430="","",[1]!thsiFinD("ths_adjustment_nv_fund",Y$3,$A430))</f>
        <v/>
      </c>
      <c r="Z430" s="13" t="str">
        <f>IF($A430="","",[1]!thsiFinD("ths_adjustment_nv_fund",Z$3,$A430))</f>
        <v/>
      </c>
      <c r="AA430" s="13" t="str">
        <f>IF($A430="","",[1]!thsiFinD("ths_adjustment_nv_fund",AA$3,$A430))</f>
        <v/>
      </c>
      <c r="AB430" s="13">
        <f>IF($A430="","",[1]!thsiFinD("ths_adjustment_nv_fund",AB$3,$A430))</f>
        <v/>
      </c>
      <c r="AC430" s="13">
        <f>IF($A430="","",[1]!thsiFinD("ths_adjustment_nv_fund",AC$3,$A430))</f>
        <v/>
      </c>
      <c r="AD430" s="13">
        <f>IF($A430="","",[1]!thsiFinD("ths_adjustment_nv_fund",AD$3,$A430))</f>
        <v/>
      </c>
      <c r="AE430" s="13">
        <f>IF($A430="","",[1]!thsiFinD("ths_adjustment_nv_fund",AE$3,$A430))</f>
        <v/>
      </c>
      <c r="AF430" s="13">
        <f>IF($A430="","",[1]!thsiFinD("ths_adjustment_nv_fund",AF$3,$A430))</f>
        <v/>
      </c>
      <c r="AG430" s="13">
        <f>IF($A430="","",[1]!thsiFinD("ths_adjustment_nv_fund",AG$3,$A430))</f>
        <v/>
      </c>
      <c r="AH430" s="13">
        <f>IF($A430="","",[1]!thsiFinD("ths_adjustment_nv_fund",AH$3,$A430))</f>
        <v/>
      </c>
      <c r="AI430" s="13">
        <f>IF($A430="","",[1]!thsiFinD("ths_adjustment_nv_fund",AI$3,$A430))</f>
        <v/>
      </c>
      <c r="AJ430" s="13">
        <f>IF($A430="","",[1]!thsiFinD("ths_adjustment_nv_fund",AJ$3,$A430))</f>
        <v/>
      </c>
      <c r="AK430" s="13">
        <f>IF($A430="","",[1]!thsiFinD("ths_adjustment_nv_fund",AK$3,$A430))</f>
        <v/>
      </c>
      <c r="AL430" s="13">
        <f>IF($A430="","",[1]!thsiFinD("ths_adjustment_nv_fund",AL$3,$A430))</f>
        <v/>
      </c>
    </row>
    <row r="431" spans="2:28">
      <c r="B431" s="13" t="str">
        <f>IF($A431="","",[1]!thsiFinD("ths_adjustment_nv_fund",B$3,$A431))</f>
        <v/>
      </c>
      <c r="C431" s="13" t="str">
        <f>IF($A431="","",[1]!thsiFinD("ths_adjustment_nv_fund",C$3,$A431))</f>
        <v/>
      </c>
      <c r="D431" s="13" t="str">
        <f>IF($A431="","",[1]!thsiFinD("ths_adjustment_nv_fund",D$3,$A431))</f>
        <v/>
      </c>
      <c r="E431" s="13" t="str">
        <f>IF($A431="","",[1]!thsiFinD("ths_adjustment_nv_fund",E$3,$A431))</f>
        <v/>
      </c>
      <c r="F431" s="13" t="str">
        <f>IF($A431="","",[1]!thsiFinD("ths_adjustment_nv_fund",F$3,$A431))</f>
        <v/>
      </c>
      <c r="G431" s="13" t="str">
        <f>IF($A431="","",[1]!thsiFinD("ths_adjustment_nv_fund",G$3,$A431))</f>
        <v/>
      </c>
      <c r="H431" s="13" t="str">
        <f>IF($A431="","",[1]!thsiFinD("ths_adjustment_nv_fund",H$3,$A431))</f>
        <v/>
      </c>
      <c r="I431" s="13" t="str">
        <f>IF($A431="","",[1]!thsiFinD("ths_adjustment_nv_fund",I$3,$A431))</f>
        <v/>
      </c>
      <c r="J431" s="13" t="str">
        <f>IF($A431="","",[1]!thsiFinD("ths_adjustment_nv_fund",J$3,$A431))</f>
        <v/>
      </c>
      <c r="K431" s="13" t="str">
        <f>IF($A431="","",[1]!thsiFinD("ths_adjustment_nv_fund",K$3,$A431))</f>
        <v/>
      </c>
      <c r="L431" s="13" t="str">
        <f>IF($A431="","",[1]!thsiFinD("ths_adjustment_nv_fund",L$3,$A431))</f>
        <v/>
      </c>
      <c r="M431" s="13" t="str">
        <f>IF($A431="","",[1]!thsiFinD("ths_adjustment_nv_fund",M$3,$A431))</f>
        <v/>
      </c>
      <c r="N431" s="13" t="str">
        <f>IF($A431="","",[1]!thsiFinD("ths_adjustment_nv_fund",N$3,$A431))</f>
        <v/>
      </c>
      <c r="O431" s="13" t="str">
        <f>IF($A431="","",[1]!thsiFinD("ths_adjustment_nv_fund",O$3,$A431))</f>
        <v/>
      </c>
      <c r="P431" s="13" t="str">
        <f>IF($A431="","",[1]!thsiFinD("ths_adjustment_nv_fund",P$3,$A431))</f>
        <v/>
      </c>
      <c r="Q431" s="13" t="str">
        <f>IF($A431="","",[1]!thsiFinD("ths_adjustment_nv_fund",Q$3,$A431))</f>
        <v/>
      </c>
      <c r="R431" s="13" t="str">
        <f>IF($A431="","",[1]!thsiFinD("ths_adjustment_nv_fund",R$3,$A431))</f>
        <v/>
      </c>
      <c r="S431" s="13" t="str">
        <f>IF($A431="","",[1]!thsiFinD("ths_adjustment_nv_fund",S$3,$A431))</f>
        <v/>
      </c>
      <c r="T431" s="13" t="str">
        <f>IF($A431="","",[1]!thsiFinD("ths_adjustment_nv_fund",T$3,$A431))</f>
        <v/>
      </c>
      <c r="U431" s="13" t="str">
        <f>IF($A431="","",[1]!thsiFinD("ths_adjustment_nv_fund",U$3,$A431))</f>
        <v/>
      </c>
      <c r="V431" s="13" t="str">
        <f>IF($A431="","",[1]!thsiFinD("ths_adjustment_nv_fund",V$3,$A431))</f>
        <v/>
      </c>
      <c r="W431" s="13" t="str">
        <f>IF($A431="","",[1]!thsiFinD("ths_adjustment_nv_fund",W$3,$A431))</f>
        <v/>
      </c>
      <c r="X431" s="13" t="str">
        <f>IF($A431="","",[1]!thsiFinD("ths_adjustment_nv_fund",X$3,$A431))</f>
        <v/>
      </c>
      <c r="Y431" s="13" t="str">
        <f>IF($A431="","",[1]!thsiFinD("ths_adjustment_nv_fund",Y$3,$A431))</f>
        <v/>
      </c>
      <c r="Z431" s="13" t="str">
        <f>IF($A431="","",[1]!thsiFinD("ths_adjustment_nv_fund",Z$3,$A431))</f>
        <v/>
      </c>
      <c r="AA431" s="13" t="str">
        <f>IF($A431="","",[1]!thsiFinD("ths_adjustment_nv_fund",AA$3,$A431))</f>
        <v/>
      </c>
      <c r="AB431" s="13">
        <f>IF($A431="","",[1]!thsiFinD("ths_adjustment_nv_fund",AB$3,$A431))</f>
        <v/>
      </c>
      <c r="AC431" s="13">
        <f>IF($A431="","",[1]!thsiFinD("ths_adjustment_nv_fund",AC$3,$A431))</f>
        <v/>
      </c>
      <c r="AD431" s="13">
        <f>IF($A431="","",[1]!thsiFinD("ths_adjustment_nv_fund",AD$3,$A431))</f>
        <v/>
      </c>
      <c r="AE431" s="13">
        <f>IF($A431="","",[1]!thsiFinD("ths_adjustment_nv_fund",AE$3,$A431))</f>
        <v/>
      </c>
      <c r="AF431" s="13">
        <f>IF($A431="","",[1]!thsiFinD("ths_adjustment_nv_fund",AF$3,$A431))</f>
        <v/>
      </c>
      <c r="AG431" s="13">
        <f>IF($A431="","",[1]!thsiFinD("ths_adjustment_nv_fund",AG$3,$A431))</f>
        <v/>
      </c>
      <c r="AH431" s="13">
        <f>IF($A431="","",[1]!thsiFinD("ths_adjustment_nv_fund",AH$3,$A431))</f>
        <v/>
      </c>
      <c r="AI431" s="13">
        <f>IF($A431="","",[1]!thsiFinD("ths_adjustment_nv_fund",AI$3,$A431))</f>
        <v/>
      </c>
      <c r="AJ431" s="13">
        <f>IF($A431="","",[1]!thsiFinD("ths_adjustment_nv_fund",AJ$3,$A431))</f>
        <v/>
      </c>
      <c r="AK431" s="13">
        <f>IF($A431="","",[1]!thsiFinD("ths_adjustment_nv_fund",AK$3,$A431))</f>
        <v/>
      </c>
      <c r="AL431" s="13">
        <f>IF($A431="","",[1]!thsiFinD("ths_adjustment_nv_fund",AL$3,$A431))</f>
        <v/>
      </c>
    </row>
    <row r="432" spans="2:28">
      <c r="B432" s="13" t="str">
        <f>IF($A432="","",[1]!thsiFinD("ths_adjustment_nv_fund",B$3,$A432))</f>
        <v/>
      </c>
      <c r="C432" s="13" t="str">
        <f>IF($A432="","",[1]!thsiFinD("ths_adjustment_nv_fund",C$3,$A432))</f>
        <v/>
      </c>
      <c r="D432" s="13" t="str">
        <f>IF($A432="","",[1]!thsiFinD("ths_adjustment_nv_fund",D$3,$A432))</f>
        <v/>
      </c>
      <c r="E432" s="13" t="str">
        <f>IF($A432="","",[1]!thsiFinD("ths_adjustment_nv_fund",E$3,$A432))</f>
        <v/>
      </c>
      <c r="F432" s="13" t="str">
        <f>IF($A432="","",[1]!thsiFinD("ths_adjustment_nv_fund",F$3,$A432))</f>
        <v/>
      </c>
      <c r="G432" s="13" t="str">
        <f>IF($A432="","",[1]!thsiFinD("ths_adjustment_nv_fund",G$3,$A432))</f>
        <v/>
      </c>
      <c r="H432" s="13" t="str">
        <f>IF($A432="","",[1]!thsiFinD("ths_adjustment_nv_fund",H$3,$A432))</f>
        <v/>
      </c>
      <c r="I432" s="13" t="str">
        <f>IF($A432="","",[1]!thsiFinD("ths_adjustment_nv_fund",I$3,$A432))</f>
        <v/>
      </c>
      <c r="J432" s="13" t="str">
        <f>IF($A432="","",[1]!thsiFinD("ths_adjustment_nv_fund",J$3,$A432))</f>
        <v/>
      </c>
      <c r="K432" s="13" t="str">
        <f>IF($A432="","",[1]!thsiFinD("ths_adjustment_nv_fund",K$3,$A432))</f>
        <v/>
      </c>
      <c r="L432" s="13" t="str">
        <f>IF($A432="","",[1]!thsiFinD("ths_adjustment_nv_fund",L$3,$A432))</f>
        <v/>
      </c>
      <c r="M432" s="13" t="str">
        <f>IF($A432="","",[1]!thsiFinD("ths_adjustment_nv_fund",M$3,$A432))</f>
        <v/>
      </c>
      <c r="N432" s="13" t="str">
        <f>IF($A432="","",[1]!thsiFinD("ths_adjustment_nv_fund",N$3,$A432))</f>
        <v/>
      </c>
      <c r="O432" s="13" t="str">
        <f>IF($A432="","",[1]!thsiFinD("ths_adjustment_nv_fund",O$3,$A432))</f>
        <v/>
      </c>
      <c r="P432" s="13" t="str">
        <f>IF($A432="","",[1]!thsiFinD("ths_adjustment_nv_fund",P$3,$A432))</f>
        <v/>
      </c>
      <c r="Q432" s="13" t="str">
        <f>IF($A432="","",[1]!thsiFinD("ths_adjustment_nv_fund",Q$3,$A432))</f>
        <v/>
      </c>
      <c r="R432" s="13" t="str">
        <f>IF($A432="","",[1]!thsiFinD("ths_adjustment_nv_fund",R$3,$A432))</f>
        <v/>
      </c>
      <c r="S432" s="13" t="str">
        <f>IF($A432="","",[1]!thsiFinD("ths_adjustment_nv_fund",S$3,$A432))</f>
        <v/>
      </c>
      <c r="T432" s="13" t="str">
        <f>IF($A432="","",[1]!thsiFinD("ths_adjustment_nv_fund",T$3,$A432))</f>
        <v/>
      </c>
      <c r="U432" s="13" t="str">
        <f>IF($A432="","",[1]!thsiFinD("ths_adjustment_nv_fund",U$3,$A432))</f>
        <v/>
      </c>
      <c r="V432" s="13" t="str">
        <f>IF($A432="","",[1]!thsiFinD("ths_adjustment_nv_fund",V$3,$A432))</f>
        <v/>
      </c>
      <c r="W432" s="13" t="str">
        <f>IF($A432="","",[1]!thsiFinD("ths_adjustment_nv_fund",W$3,$A432))</f>
        <v/>
      </c>
      <c r="X432" s="13" t="str">
        <f>IF($A432="","",[1]!thsiFinD("ths_adjustment_nv_fund",X$3,$A432))</f>
        <v/>
      </c>
      <c r="Y432" s="13" t="str">
        <f>IF($A432="","",[1]!thsiFinD("ths_adjustment_nv_fund",Y$3,$A432))</f>
        <v/>
      </c>
      <c r="Z432" s="13" t="str">
        <f>IF($A432="","",[1]!thsiFinD("ths_adjustment_nv_fund",Z$3,$A432))</f>
        <v/>
      </c>
      <c r="AA432" s="13" t="str">
        <f>IF($A432="","",[1]!thsiFinD("ths_adjustment_nv_fund",AA$3,$A432))</f>
        <v/>
      </c>
      <c r="AB432" s="13">
        <f>IF($A432="","",[1]!thsiFinD("ths_adjustment_nv_fund",AB$3,$A432))</f>
        <v/>
      </c>
      <c r="AC432" s="13">
        <f>IF($A432="","",[1]!thsiFinD("ths_adjustment_nv_fund",AC$3,$A432))</f>
        <v/>
      </c>
      <c r="AD432" s="13">
        <f>IF($A432="","",[1]!thsiFinD("ths_adjustment_nv_fund",AD$3,$A432))</f>
        <v/>
      </c>
      <c r="AE432" s="13">
        <f>IF($A432="","",[1]!thsiFinD("ths_adjustment_nv_fund",AE$3,$A432))</f>
        <v/>
      </c>
      <c r="AF432" s="13">
        <f>IF($A432="","",[1]!thsiFinD("ths_adjustment_nv_fund",AF$3,$A432))</f>
        <v/>
      </c>
      <c r="AG432" s="13">
        <f>IF($A432="","",[1]!thsiFinD("ths_adjustment_nv_fund",AG$3,$A432))</f>
        <v/>
      </c>
      <c r="AH432" s="13">
        <f>IF($A432="","",[1]!thsiFinD("ths_adjustment_nv_fund",AH$3,$A432))</f>
        <v/>
      </c>
      <c r="AI432" s="13">
        <f>IF($A432="","",[1]!thsiFinD("ths_adjustment_nv_fund",AI$3,$A432))</f>
        <v/>
      </c>
      <c r="AJ432" s="13">
        <f>IF($A432="","",[1]!thsiFinD("ths_adjustment_nv_fund",AJ$3,$A432))</f>
        <v/>
      </c>
      <c r="AK432" s="13">
        <f>IF($A432="","",[1]!thsiFinD("ths_adjustment_nv_fund",AK$3,$A432))</f>
        <v/>
      </c>
      <c r="AL432" s="13">
        <f>IF($A432="","",[1]!thsiFinD("ths_adjustment_nv_fund",AL$3,$A432))</f>
        <v/>
      </c>
    </row>
    <row r="433" spans="2:28">
      <c r="B433" s="13" t="str">
        <f>IF($A433="","",[1]!thsiFinD("ths_adjustment_nv_fund",B$3,$A433))</f>
        <v/>
      </c>
      <c r="C433" s="13" t="str">
        <f>IF($A433="","",[1]!thsiFinD("ths_adjustment_nv_fund",C$3,$A433))</f>
        <v/>
      </c>
      <c r="D433" s="13" t="str">
        <f>IF($A433="","",[1]!thsiFinD("ths_adjustment_nv_fund",D$3,$A433))</f>
        <v/>
      </c>
      <c r="E433" s="13" t="str">
        <f>IF($A433="","",[1]!thsiFinD("ths_adjustment_nv_fund",E$3,$A433))</f>
        <v/>
      </c>
      <c r="F433" s="13" t="str">
        <f>IF($A433="","",[1]!thsiFinD("ths_adjustment_nv_fund",F$3,$A433))</f>
        <v/>
      </c>
      <c r="G433" s="13" t="str">
        <f>IF($A433="","",[1]!thsiFinD("ths_adjustment_nv_fund",G$3,$A433))</f>
        <v/>
      </c>
      <c r="H433" s="13" t="str">
        <f>IF($A433="","",[1]!thsiFinD("ths_adjustment_nv_fund",H$3,$A433))</f>
        <v/>
      </c>
      <c r="I433" s="13" t="str">
        <f>IF($A433="","",[1]!thsiFinD("ths_adjustment_nv_fund",I$3,$A433))</f>
        <v/>
      </c>
      <c r="J433" s="13" t="str">
        <f>IF($A433="","",[1]!thsiFinD("ths_adjustment_nv_fund",J$3,$A433))</f>
        <v/>
      </c>
      <c r="K433" s="13" t="str">
        <f>IF($A433="","",[1]!thsiFinD("ths_adjustment_nv_fund",K$3,$A433))</f>
        <v/>
      </c>
      <c r="L433" s="13" t="str">
        <f>IF($A433="","",[1]!thsiFinD("ths_adjustment_nv_fund",L$3,$A433))</f>
        <v/>
      </c>
      <c r="M433" s="13" t="str">
        <f>IF($A433="","",[1]!thsiFinD("ths_adjustment_nv_fund",M$3,$A433))</f>
        <v/>
      </c>
      <c r="N433" s="13" t="str">
        <f>IF($A433="","",[1]!thsiFinD("ths_adjustment_nv_fund",N$3,$A433))</f>
        <v/>
      </c>
      <c r="O433" s="13" t="str">
        <f>IF($A433="","",[1]!thsiFinD("ths_adjustment_nv_fund",O$3,$A433))</f>
        <v/>
      </c>
      <c r="P433" s="13" t="str">
        <f>IF($A433="","",[1]!thsiFinD("ths_adjustment_nv_fund",P$3,$A433))</f>
        <v/>
      </c>
      <c r="Q433" s="13" t="str">
        <f>IF($A433="","",[1]!thsiFinD("ths_adjustment_nv_fund",Q$3,$A433))</f>
        <v/>
      </c>
      <c r="R433" s="13" t="str">
        <f>IF($A433="","",[1]!thsiFinD("ths_adjustment_nv_fund",R$3,$A433))</f>
        <v/>
      </c>
      <c r="S433" s="13" t="str">
        <f>IF($A433="","",[1]!thsiFinD("ths_adjustment_nv_fund",S$3,$A433))</f>
        <v/>
      </c>
      <c r="T433" s="13" t="str">
        <f>IF($A433="","",[1]!thsiFinD("ths_adjustment_nv_fund",T$3,$A433))</f>
        <v/>
      </c>
      <c r="U433" s="13" t="str">
        <f>IF($A433="","",[1]!thsiFinD("ths_adjustment_nv_fund",U$3,$A433))</f>
        <v/>
      </c>
      <c r="V433" s="13" t="str">
        <f>IF($A433="","",[1]!thsiFinD("ths_adjustment_nv_fund",V$3,$A433))</f>
        <v/>
      </c>
      <c r="W433" s="13" t="str">
        <f>IF($A433="","",[1]!thsiFinD("ths_adjustment_nv_fund",W$3,$A433))</f>
        <v/>
      </c>
      <c r="X433" s="13" t="str">
        <f>IF($A433="","",[1]!thsiFinD("ths_adjustment_nv_fund",X$3,$A433))</f>
        <v/>
      </c>
      <c r="Y433" s="13" t="str">
        <f>IF($A433="","",[1]!thsiFinD("ths_adjustment_nv_fund",Y$3,$A433))</f>
        <v/>
      </c>
      <c r="Z433" s="13" t="str">
        <f>IF($A433="","",[1]!thsiFinD("ths_adjustment_nv_fund",Z$3,$A433))</f>
        <v/>
      </c>
      <c r="AA433" s="13" t="str">
        <f>IF($A433="","",[1]!thsiFinD("ths_adjustment_nv_fund",AA$3,$A433))</f>
        <v/>
      </c>
      <c r="AB433" s="13">
        <f>IF($A433="","",[1]!thsiFinD("ths_adjustment_nv_fund",AB$3,$A433))</f>
        <v/>
      </c>
      <c r="AC433" s="13">
        <f>IF($A433="","",[1]!thsiFinD("ths_adjustment_nv_fund",AC$3,$A433))</f>
        <v/>
      </c>
      <c r="AD433" s="13">
        <f>IF($A433="","",[1]!thsiFinD("ths_adjustment_nv_fund",AD$3,$A433))</f>
        <v/>
      </c>
      <c r="AE433" s="13">
        <f>IF($A433="","",[1]!thsiFinD("ths_adjustment_nv_fund",AE$3,$A433))</f>
        <v/>
      </c>
      <c r="AF433" s="13">
        <f>IF($A433="","",[1]!thsiFinD("ths_adjustment_nv_fund",AF$3,$A433))</f>
        <v/>
      </c>
      <c r="AG433" s="13">
        <f>IF($A433="","",[1]!thsiFinD("ths_adjustment_nv_fund",AG$3,$A433))</f>
        <v/>
      </c>
      <c r="AH433" s="13">
        <f>IF($A433="","",[1]!thsiFinD("ths_adjustment_nv_fund",AH$3,$A433))</f>
        <v/>
      </c>
      <c r="AI433" s="13">
        <f>IF($A433="","",[1]!thsiFinD("ths_adjustment_nv_fund",AI$3,$A433))</f>
        <v/>
      </c>
      <c r="AJ433" s="13">
        <f>IF($A433="","",[1]!thsiFinD("ths_adjustment_nv_fund",AJ$3,$A433))</f>
        <v/>
      </c>
      <c r="AK433" s="13">
        <f>IF($A433="","",[1]!thsiFinD("ths_adjustment_nv_fund",AK$3,$A433))</f>
        <v/>
      </c>
      <c r="AL433" s="13">
        <f>IF($A433="","",[1]!thsiFinD("ths_adjustment_nv_fund",AL$3,$A433))</f>
        <v/>
      </c>
    </row>
    <row r="434" spans="2:28">
      <c r="B434" s="13" t="str">
        <f>IF($A434="","",[1]!thsiFinD("ths_adjustment_nv_fund",B$3,$A434))</f>
        <v/>
      </c>
      <c r="C434" s="13" t="str">
        <f>IF($A434="","",[1]!thsiFinD("ths_adjustment_nv_fund",C$3,$A434))</f>
        <v/>
      </c>
      <c r="D434" s="13" t="str">
        <f>IF($A434="","",[1]!thsiFinD("ths_adjustment_nv_fund",D$3,$A434))</f>
        <v/>
      </c>
      <c r="E434" s="13" t="str">
        <f>IF($A434="","",[1]!thsiFinD("ths_adjustment_nv_fund",E$3,$A434))</f>
        <v/>
      </c>
      <c r="F434" s="13" t="str">
        <f>IF($A434="","",[1]!thsiFinD("ths_adjustment_nv_fund",F$3,$A434))</f>
        <v/>
      </c>
      <c r="G434" s="13" t="str">
        <f>IF($A434="","",[1]!thsiFinD("ths_adjustment_nv_fund",G$3,$A434))</f>
        <v/>
      </c>
      <c r="H434" s="13" t="str">
        <f>IF($A434="","",[1]!thsiFinD("ths_adjustment_nv_fund",H$3,$A434))</f>
        <v/>
      </c>
      <c r="I434" s="13" t="str">
        <f>IF($A434="","",[1]!thsiFinD("ths_adjustment_nv_fund",I$3,$A434))</f>
        <v/>
      </c>
      <c r="J434" s="13" t="str">
        <f>IF($A434="","",[1]!thsiFinD("ths_adjustment_nv_fund",J$3,$A434))</f>
        <v/>
      </c>
      <c r="K434" s="13" t="str">
        <f>IF($A434="","",[1]!thsiFinD("ths_adjustment_nv_fund",K$3,$A434))</f>
        <v/>
      </c>
      <c r="L434" s="13" t="str">
        <f>IF($A434="","",[1]!thsiFinD("ths_adjustment_nv_fund",L$3,$A434))</f>
        <v/>
      </c>
      <c r="M434" s="13" t="str">
        <f>IF($A434="","",[1]!thsiFinD("ths_adjustment_nv_fund",M$3,$A434))</f>
        <v/>
      </c>
      <c r="N434" s="13" t="str">
        <f>IF($A434="","",[1]!thsiFinD("ths_adjustment_nv_fund",N$3,$A434))</f>
        <v/>
      </c>
      <c r="O434" s="13" t="str">
        <f>IF($A434="","",[1]!thsiFinD("ths_adjustment_nv_fund",O$3,$A434))</f>
        <v/>
      </c>
      <c r="P434" s="13" t="str">
        <f>IF($A434="","",[1]!thsiFinD("ths_adjustment_nv_fund",P$3,$A434))</f>
        <v/>
      </c>
      <c r="Q434" s="13" t="str">
        <f>IF($A434="","",[1]!thsiFinD("ths_adjustment_nv_fund",Q$3,$A434))</f>
        <v/>
      </c>
      <c r="R434" s="13" t="str">
        <f>IF($A434="","",[1]!thsiFinD("ths_adjustment_nv_fund",R$3,$A434))</f>
        <v/>
      </c>
      <c r="S434" s="13" t="str">
        <f>IF($A434="","",[1]!thsiFinD("ths_adjustment_nv_fund",S$3,$A434))</f>
        <v/>
      </c>
      <c r="T434" s="13" t="str">
        <f>IF($A434="","",[1]!thsiFinD("ths_adjustment_nv_fund",T$3,$A434))</f>
        <v/>
      </c>
      <c r="U434" s="13" t="str">
        <f>IF($A434="","",[1]!thsiFinD("ths_adjustment_nv_fund",U$3,$A434))</f>
        <v/>
      </c>
      <c r="V434" s="13" t="str">
        <f>IF($A434="","",[1]!thsiFinD("ths_adjustment_nv_fund",V$3,$A434))</f>
        <v/>
      </c>
      <c r="W434" s="13" t="str">
        <f>IF($A434="","",[1]!thsiFinD("ths_adjustment_nv_fund",W$3,$A434))</f>
        <v/>
      </c>
      <c r="X434" s="13" t="str">
        <f>IF($A434="","",[1]!thsiFinD("ths_adjustment_nv_fund",X$3,$A434))</f>
        <v/>
      </c>
      <c r="Y434" s="13" t="str">
        <f>IF($A434="","",[1]!thsiFinD("ths_adjustment_nv_fund",Y$3,$A434))</f>
        <v/>
      </c>
      <c r="Z434" s="13" t="str">
        <f>IF($A434="","",[1]!thsiFinD("ths_adjustment_nv_fund",Z$3,$A434))</f>
        <v/>
      </c>
      <c r="AA434" s="13" t="str">
        <f>IF($A434="","",[1]!thsiFinD("ths_adjustment_nv_fund",AA$3,$A434))</f>
        <v/>
      </c>
      <c r="AB434" s="13">
        <f>IF($A434="","",[1]!thsiFinD("ths_adjustment_nv_fund",AB$3,$A434))</f>
        <v/>
      </c>
      <c r="AC434" s="13">
        <f>IF($A434="","",[1]!thsiFinD("ths_adjustment_nv_fund",AC$3,$A434))</f>
        <v/>
      </c>
      <c r="AD434" s="13">
        <f>IF($A434="","",[1]!thsiFinD("ths_adjustment_nv_fund",AD$3,$A434))</f>
        <v/>
      </c>
      <c r="AE434" s="13">
        <f>IF($A434="","",[1]!thsiFinD("ths_adjustment_nv_fund",AE$3,$A434))</f>
        <v/>
      </c>
      <c r="AF434" s="13">
        <f>IF($A434="","",[1]!thsiFinD("ths_adjustment_nv_fund",AF$3,$A434))</f>
        <v/>
      </c>
      <c r="AG434" s="13">
        <f>IF($A434="","",[1]!thsiFinD("ths_adjustment_nv_fund",AG$3,$A434))</f>
        <v/>
      </c>
      <c r="AH434" s="13">
        <f>IF($A434="","",[1]!thsiFinD("ths_adjustment_nv_fund",AH$3,$A434))</f>
        <v/>
      </c>
      <c r="AI434" s="13">
        <f>IF($A434="","",[1]!thsiFinD("ths_adjustment_nv_fund",AI$3,$A434))</f>
        <v/>
      </c>
      <c r="AJ434" s="13">
        <f>IF($A434="","",[1]!thsiFinD("ths_adjustment_nv_fund",AJ$3,$A434))</f>
        <v/>
      </c>
      <c r="AK434" s="13">
        <f>IF($A434="","",[1]!thsiFinD("ths_adjustment_nv_fund",AK$3,$A434))</f>
        <v/>
      </c>
      <c r="AL434" s="13">
        <f>IF($A434="","",[1]!thsiFinD("ths_adjustment_nv_fund",AL$3,$A434))</f>
        <v/>
      </c>
    </row>
    <row r="435" spans="2:28">
      <c r="B435" s="13" t="str">
        <f>IF($A435="","",[1]!thsiFinD("ths_adjustment_nv_fund",B$3,$A435))</f>
        <v/>
      </c>
      <c r="C435" s="13" t="str">
        <f>IF($A435="","",[1]!thsiFinD("ths_adjustment_nv_fund",C$3,$A435))</f>
        <v/>
      </c>
      <c r="D435" s="13" t="str">
        <f>IF($A435="","",[1]!thsiFinD("ths_adjustment_nv_fund",D$3,$A435))</f>
        <v/>
      </c>
      <c r="E435" s="13" t="str">
        <f>IF($A435="","",[1]!thsiFinD("ths_adjustment_nv_fund",E$3,$A435))</f>
        <v/>
      </c>
      <c r="F435" s="13" t="str">
        <f>IF($A435="","",[1]!thsiFinD("ths_adjustment_nv_fund",F$3,$A435))</f>
        <v/>
      </c>
      <c r="G435" s="13" t="str">
        <f>IF($A435="","",[1]!thsiFinD("ths_adjustment_nv_fund",G$3,$A435))</f>
        <v/>
      </c>
      <c r="H435" s="13" t="str">
        <f>IF($A435="","",[1]!thsiFinD("ths_adjustment_nv_fund",H$3,$A435))</f>
        <v/>
      </c>
      <c r="I435" s="13" t="str">
        <f>IF($A435="","",[1]!thsiFinD("ths_adjustment_nv_fund",I$3,$A435))</f>
        <v/>
      </c>
      <c r="J435" s="13" t="str">
        <f>IF($A435="","",[1]!thsiFinD("ths_adjustment_nv_fund",J$3,$A435))</f>
        <v/>
      </c>
      <c r="K435" s="13" t="str">
        <f>IF($A435="","",[1]!thsiFinD("ths_adjustment_nv_fund",K$3,$A435))</f>
        <v/>
      </c>
      <c r="L435" s="13" t="str">
        <f>IF($A435="","",[1]!thsiFinD("ths_adjustment_nv_fund",L$3,$A435))</f>
        <v/>
      </c>
      <c r="M435" s="13" t="str">
        <f>IF($A435="","",[1]!thsiFinD("ths_adjustment_nv_fund",M$3,$A435))</f>
        <v/>
      </c>
      <c r="N435" s="13" t="str">
        <f>IF($A435="","",[1]!thsiFinD("ths_adjustment_nv_fund",N$3,$A435))</f>
        <v/>
      </c>
      <c r="O435" s="13" t="str">
        <f>IF($A435="","",[1]!thsiFinD("ths_adjustment_nv_fund",O$3,$A435))</f>
        <v/>
      </c>
      <c r="P435" s="13" t="str">
        <f>IF($A435="","",[1]!thsiFinD("ths_adjustment_nv_fund",P$3,$A435))</f>
        <v/>
      </c>
      <c r="Q435" s="13" t="str">
        <f>IF($A435="","",[1]!thsiFinD("ths_adjustment_nv_fund",Q$3,$A435))</f>
        <v/>
      </c>
      <c r="R435" s="13" t="str">
        <f>IF($A435="","",[1]!thsiFinD("ths_adjustment_nv_fund",R$3,$A435))</f>
        <v/>
      </c>
      <c r="S435" s="13" t="str">
        <f>IF($A435="","",[1]!thsiFinD("ths_adjustment_nv_fund",S$3,$A435))</f>
        <v/>
      </c>
      <c r="T435" s="13" t="str">
        <f>IF($A435="","",[1]!thsiFinD("ths_adjustment_nv_fund",T$3,$A435))</f>
        <v/>
      </c>
      <c r="U435" s="13" t="str">
        <f>IF($A435="","",[1]!thsiFinD("ths_adjustment_nv_fund",U$3,$A435))</f>
        <v/>
      </c>
      <c r="V435" s="13" t="str">
        <f>IF($A435="","",[1]!thsiFinD("ths_adjustment_nv_fund",V$3,$A435))</f>
        <v/>
      </c>
      <c r="W435" s="13" t="str">
        <f>IF($A435="","",[1]!thsiFinD("ths_adjustment_nv_fund",W$3,$A435))</f>
        <v/>
      </c>
      <c r="X435" s="13" t="str">
        <f>IF($A435="","",[1]!thsiFinD("ths_adjustment_nv_fund",X$3,$A435))</f>
        <v/>
      </c>
      <c r="Y435" s="13" t="str">
        <f>IF($A435="","",[1]!thsiFinD("ths_adjustment_nv_fund",Y$3,$A435))</f>
        <v/>
      </c>
      <c r="Z435" s="13" t="str">
        <f>IF($A435="","",[1]!thsiFinD("ths_adjustment_nv_fund",Z$3,$A435))</f>
        <v/>
      </c>
      <c r="AA435" s="13" t="str">
        <f>IF($A435="","",[1]!thsiFinD("ths_adjustment_nv_fund",AA$3,$A435))</f>
        <v/>
      </c>
      <c r="AB435" s="13">
        <f>IF($A435="","",[1]!thsiFinD("ths_adjustment_nv_fund",AB$3,$A435))</f>
        <v/>
      </c>
      <c r="AC435" s="13">
        <f>IF($A435="","",[1]!thsiFinD("ths_adjustment_nv_fund",AC$3,$A435))</f>
        <v/>
      </c>
      <c r="AD435" s="13">
        <f>IF($A435="","",[1]!thsiFinD("ths_adjustment_nv_fund",AD$3,$A435))</f>
        <v/>
      </c>
      <c r="AE435" s="13">
        <f>IF($A435="","",[1]!thsiFinD("ths_adjustment_nv_fund",AE$3,$A435))</f>
        <v/>
      </c>
      <c r="AF435" s="13">
        <f>IF($A435="","",[1]!thsiFinD("ths_adjustment_nv_fund",AF$3,$A435))</f>
        <v/>
      </c>
      <c r="AG435" s="13">
        <f>IF($A435="","",[1]!thsiFinD("ths_adjustment_nv_fund",AG$3,$A435))</f>
        <v/>
      </c>
      <c r="AH435" s="13">
        <f>IF($A435="","",[1]!thsiFinD("ths_adjustment_nv_fund",AH$3,$A435))</f>
        <v/>
      </c>
      <c r="AI435" s="13">
        <f>IF($A435="","",[1]!thsiFinD("ths_adjustment_nv_fund",AI$3,$A435))</f>
        <v/>
      </c>
      <c r="AJ435" s="13">
        <f>IF($A435="","",[1]!thsiFinD("ths_adjustment_nv_fund",AJ$3,$A435))</f>
        <v/>
      </c>
      <c r="AK435" s="13">
        <f>IF($A435="","",[1]!thsiFinD("ths_adjustment_nv_fund",AK$3,$A435))</f>
        <v/>
      </c>
      <c r="AL435" s="13">
        <f>IF($A435="","",[1]!thsiFinD("ths_adjustment_nv_fund",AL$3,$A435))</f>
        <v/>
      </c>
    </row>
    <row r="436" spans="2:28">
      <c r="B436" s="13" t="str">
        <f>IF($A436="","",[1]!thsiFinD("ths_adjustment_nv_fund",B$3,$A436))</f>
        <v/>
      </c>
      <c r="C436" s="13" t="str">
        <f>IF($A436="","",[1]!thsiFinD("ths_adjustment_nv_fund",C$3,$A436))</f>
        <v/>
      </c>
      <c r="D436" s="13" t="str">
        <f>IF($A436="","",[1]!thsiFinD("ths_adjustment_nv_fund",D$3,$A436))</f>
        <v/>
      </c>
      <c r="E436" s="13" t="str">
        <f>IF($A436="","",[1]!thsiFinD("ths_adjustment_nv_fund",E$3,$A436))</f>
        <v/>
      </c>
      <c r="F436" s="13" t="str">
        <f>IF($A436="","",[1]!thsiFinD("ths_adjustment_nv_fund",F$3,$A436))</f>
        <v/>
      </c>
      <c r="G436" s="13" t="str">
        <f>IF($A436="","",[1]!thsiFinD("ths_adjustment_nv_fund",G$3,$A436))</f>
        <v/>
      </c>
      <c r="H436" s="13" t="str">
        <f>IF($A436="","",[1]!thsiFinD("ths_adjustment_nv_fund",H$3,$A436))</f>
        <v/>
      </c>
      <c r="I436" s="13" t="str">
        <f>IF($A436="","",[1]!thsiFinD("ths_adjustment_nv_fund",I$3,$A436))</f>
        <v/>
      </c>
      <c r="J436" s="13" t="str">
        <f>IF($A436="","",[1]!thsiFinD("ths_adjustment_nv_fund",J$3,$A436))</f>
        <v/>
      </c>
      <c r="K436" s="13" t="str">
        <f>IF($A436="","",[1]!thsiFinD("ths_adjustment_nv_fund",K$3,$A436))</f>
        <v/>
      </c>
      <c r="L436" s="13" t="str">
        <f>IF($A436="","",[1]!thsiFinD("ths_adjustment_nv_fund",L$3,$A436))</f>
        <v/>
      </c>
      <c r="M436" s="13" t="str">
        <f>IF($A436="","",[1]!thsiFinD("ths_adjustment_nv_fund",M$3,$A436))</f>
        <v/>
      </c>
      <c r="N436" s="13" t="str">
        <f>IF($A436="","",[1]!thsiFinD("ths_adjustment_nv_fund",N$3,$A436))</f>
        <v/>
      </c>
      <c r="O436" s="13" t="str">
        <f>IF($A436="","",[1]!thsiFinD("ths_adjustment_nv_fund",O$3,$A436))</f>
        <v/>
      </c>
      <c r="P436" s="13" t="str">
        <f>IF($A436="","",[1]!thsiFinD("ths_adjustment_nv_fund",P$3,$A436))</f>
        <v/>
      </c>
      <c r="Q436" s="13" t="str">
        <f>IF($A436="","",[1]!thsiFinD("ths_adjustment_nv_fund",Q$3,$A436))</f>
        <v/>
      </c>
      <c r="R436" s="13" t="str">
        <f>IF($A436="","",[1]!thsiFinD("ths_adjustment_nv_fund",R$3,$A436))</f>
        <v/>
      </c>
      <c r="S436" s="13" t="str">
        <f>IF($A436="","",[1]!thsiFinD("ths_adjustment_nv_fund",S$3,$A436))</f>
        <v/>
      </c>
      <c r="T436" s="13" t="str">
        <f>IF($A436="","",[1]!thsiFinD("ths_adjustment_nv_fund",T$3,$A436))</f>
        <v/>
      </c>
      <c r="U436" s="13" t="str">
        <f>IF($A436="","",[1]!thsiFinD("ths_adjustment_nv_fund",U$3,$A436))</f>
        <v/>
      </c>
      <c r="V436" s="13" t="str">
        <f>IF($A436="","",[1]!thsiFinD("ths_adjustment_nv_fund",V$3,$A436))</f>
        <v/>
      </c>
      <c r="W436" s="13" t="str">
        <f>IF($A436="","",[1]!thsiFinD("ths_adjustment_nv_fund",W$3,$A436))</f>
        <v/>
      </c>
      <c r="X436" s="13" t="str">
        <f>IF($A436="","",[1]!thsiFinD("ths_adjustment_nv_fund",X$3,$A436))</f>
        <v/>
      </c>
      <c r="Y436" s="13" t="str">
        <f>IF($A436="","",[1]!thsiFinD("ths_adjustment_nv_fund",Y$3,$A436))</f>
        <v/>
      </c>
      <c r="Z436" s="13" t="str">
        <f>IF($A436="","",[1]!thsiFinD("ths_adjustment_nv_fund",Z$3,$A436))</f>
        <v/>
      </c>
      <c r="AA436" s="13" t="str">
        <f>IF($A436="","",[1]!thsiFinD("ths_adjustment_nv_fund",AA$3,$A436))</f>
        <v/>
      </c>
      <c r="AB436" s="13">
        <f>IF($A436="","",[1]!thsiFinD("ths_adjustment_nv_fund",AB$3,$A436))</f>
        <v/>
      </c>
      <c r="AC436" s="13">
        <f>IF($A436="","",[1]!thsiFinD("ths_adjustment_nv_fund",AC$3,$A436))</f>
        <v/>
      </c>
      <c r="AD436" s="13">
        <f>IF($A436="","",[1]!thsiFinD("ths_adjustment_nv_fund",AD$3,$A436))</f>
        <v/>
      </c>
      <c r="AE436" s="13">
        <f>IF($A436="","",[1]!thsiFinD("ths_adjustment_nv_fund",AE$3,$A436))</f>
        <v/>
      </c>
      <c r="AF436" s="13">
        <f>IF($A436="","",[1]!thsiFinD("ths_adjustment_nv_fund",AF$3,$A436))</f>
        <v/>
      </c>
      <c r="AG436" s="13">
        <f>IF($A436="","",[1]!thsiFinD("ths_adjustment_nv_fund",AG$3,$A436))</f>
        <v/>
      </c>
      <c r="AH436" s="13">
        <f>IF($A436="","",[1]!thsiFinD("ths_adjustment_nv_fund",AH$3,$A436))</f>
        <v/>
      </c>
      <c r="AI436" s="13">
        <f>IF($A436="","",[1]!thsiFinD("ths_adjustment_nv_fund",AI$3,$A436))</f>
        <v/>
      </c>
      <c r="AJ436" s="13">
        <f>IF($A436="","",[1]!thsiFinD("ths_adjustment_nv_fund",AJ$3,$A436))</f>
        <v/>
      </c>
      <c r="AK436" s="13">
        <f>IF($A436="","",[1]!thsiFinD("ths_adjustment_nv_fund",AK$3,$A436))</f>
        <v/>
      </c>
      <c r="AL436" s="13">
        <f>IF($A436="","",[1]!thsiFinD("ths_adjustment_nv_fund",AL$3,$A436))</f>
        <v/>
      </c>
    </row>
    <row r="437" spans="2:28">
      <c r="B437" s="13" t="str">
        <f>IF($A437="","",[1]!thsiFinD("ths_adjustment_nv_fund",B$3,$A437))</f>
        <v/>
      </c>
      <c r="C437" s="13" t="str">
        <f>IF($A437="","",[1]!thsiFinD("ths_adjustment_nv_fund",C$3,$A437))</f>
        <v/>
      </c>
      <c r="D437" s="13" t="str">
        <f>IF($A437="","",[1]!thsiFinD("ths_adjustment_nv_fund",D$3,$A437))</f>
        <v/>
      </c>
      <c r="E437" s="13" t="str">
        <f>IF($A437="","",[1]!thsiFinD("ths_adjustment_nv_fund",E$3,$A437))</f>
        <v/>
      </c>
      <c r="F437" s="13" t="str">
        <f>IF($A437="","",[1]!thsiFinD("ths_adjustment_nv_fund",F$3,$A437))</f>
        <v/>
      </c>
      <c r="G437" s="13" t="str">
        <f>IF($A437="","",[1]!thsiFinD("ths_adjustment_nv_fund",G$3,$A437))</f>
        <v/>
      </c>
      <c r="H437" s="13" t="str">
        <f>IF($A437="","",[1]!thsiFinD("ths_adjustment_nv_fund",H$3,$A437))</f>
        <v/>
      </c>
      <c r="I437" s="13" t="str">
        <f>IF($A437="","",[1]!thsiFinD("ths_adjustment_nv_fund",I$3,$A437))</f>
        <v/>
      </c>
      <c r="J437" s="13" t="str">
        <f>IF($A437="","",[1]!thsiFinD("ths_adjustment_nv_fund",J$3,$A437))</f>
        <v/>
      </c>
      <c r="K437" s="13" t="str">
        <f>IF($A437="","",[1]!thsiFinD("ths_adjustment_nv_fund",K$3,$A437))</f>
        <v/>
      </c>
      <c r="L437" s="13" t="str">
        <f>IF($A437="","",[1]!thsiFinD("ths_adjustment_nv_fund",L$3,$A437))</f>
        <v/>
      </c>
      <c r="M437" s="13" t="str">
        <f>IF($A437="","",[1]!thsiFinD("ths_adjustment_nv_fund",M$3,$A437))</f>
        <v/>
      </c>
      <c r="N437" s="13" t="str">
        <f>IF($A437="","",[1]!thsiFinD("ths_adjustment_nv_fund",N$3,$A437))</f>
        <v/>
      </c>
      <c r="O437" s="13" t="str">
        <f>IF($A437="","",[1]!thsiFinD("ths_adjustment_nv_fund",O$3,$A437))</f>
        <v/>
      </c>
      <c r="P437" s="13" t="str">
        <f>IF($A437="","",[1]!thsiFinD("ths_adjustment_nv_fund",P$3,$A437))</f>
        <v/>
      </c>
      <c r="Q437" s="13" t="str">
        <f>IF($A437="","",[1]!thsiFinD("ths_adjustment_nv_fund",Q$3,$A437))</f>
        <v/>
      </c>
      <c r="R437" s="13" t="str">
        <f>IF($A437="","",[1]!thsiFinD("ths_adjustment_nv_fund",R$3,$A437))</f>
        <v/>
      </c>
      <c r="S437" s="13" t="str">
        <f>IF($A437="","",[1]!thsiFinD("ths_adjustment_nv_fund",S$3,$A437))</f>
        <v/>
      </c>
      <c r="T437" s="13" t="str">
        <f>IF($A437="","",[1]!thsiFinD("ths_adjustment_nv_fund",T$3,$A437))</f>
        <v/>
      </c>
      <c r="U437" s="13" t="str">
        <f>IF($A437="","",[1]!thsiFinD("ths_adjustment_nv_fund",U$3,$A437))</f>
        <v/>
      </c>
      <c r="V437" s="13" t="str">
        <f>IF($A437="","",[1]!thsiFinD("ths_adjustment_nv_fund",V$3,$A437))</f>
        <v/>
      </c>
      <c r="W437" s="13" t="str">
        <f>IF($A437="","",[1]!thsiFinD("ths_adjustment_nv_fund",W$3,$A437))</f>
        <v/>
      </c>
      <c r="X437" s="13" t="str">
        <f>IF($A437="","",[1]!thsiFinD("ths_adjustment_nv_fund",X$3,$A437))</f>
        <v/>
      </c>
      <c r="Y437" s="13" t="str">
        <f>IF($A437="","",[1]!thsiFinD("ths_adjustment_nv_fund",Y$3,$A437))</f>
        <v/>
      </c>
      <c r="Z437" s="13" t="str">
        <f>IF($A437="","",[1]!thsiFinD("ths_adjustment_nv_fund",Z$3,$A437))</f>
        <v/>
      </c>
      <c r="AA437" s="13" t="str">
        <f>IF($A437="","",[1]!thsiFinD("ths_adjustment_nv_fund",AA$3,$A437))</f>
        <v/>
      </c>
      <c r="AB437" s="13">
        <f>IF($A437="","",[1]!thsiFinD("ths_adjustment_nv_fund",AB$3,$A437))</f>
        <v/>
      </c>
      <c r="AC437" s="13">
        <f>IF($A437="","",[1]!thsiFinD("ths_adjustment_nv_fund",AC$3,$A437))</f>
        <v/>
      </c>
      <c r="AD437" s="13">
        <f>IF($A437="","",[1]!thsiFinD("ths_adjustment_nv_fund",AD$3,$A437))</f>
        <v/>
      </c>
      <c r="AE437" s="13">
        <f>IF($A437="","",[1]!thsiFinD("ths_adjustment_nv_fund",AE$3,$A437))</f>
        <v/>
      </c>
      <c r="AF437" s="13">
        <f>IF($A437="","",[1]!thsiFinD("ths_adjustment_nv_fund",AF$3,$A437))</f>
        <v/>
      </c>
      <c r="AG437" s="13">
        <f>IF($A437="","",[1]!thsiFinD("ths_adjustment_nv_fund",AG$3,$A437))</f>
        <v/>
      </c>
      <c r="AH437" s="13">
        <f>IF($A437="","",[1]!thsiFinD("ths_adjustment_nv_fund",AH$3,$A437))</f>
        <v/>
      </c>
      <c r="AI437" s="13">
        <f>IF($A437="","",[1]!thsiFinD("ths_adjustment_nv_fund",AI$3,$A437))</f>
        <v/>
      </c>
      <c r="AJ437" s="13">
        <f>IF($A437="","",[1]!thsiFinD("ths_adjustment_nv_fund",AJ$3,$A437))</f>
        <v/>
      </c>
      <c r="AK437" s="13">
        <f>IF($A437="","",[1]!thsiFinD("ths_adjustment_nv_fund",AK$3,$A437))</f>
        <v/>
      </c>
      <c r="AL437" s="13">
        <f>IF($A437="","",[1]!thsiFinD("ths_adjustment_nv_fund",AL$3,$A437))</f>
        <v/>
      </c>
    </row>
    <row r="438" spans="2:28">
      <c r="B438" s="13" t="str">
        <f>IF($A438="","",[1]!thsiFinD("ths_adjustment_nv_fund",B$3,$A438))</f>
        <v/>
      </c>
      <c r="C438" s="13" t="str">
        <f>IF($A438="","",[1]!thsiFinD("ths_adjustment_nv_fund",C$3,$A438))</f>
        <v/>
      </c>
      <c r="D438" s="13" t="str">
        <f>IF($A438="","",[1]!thsiFinD("ths_adjustment_nv_fund",D$3,$A438))</f>
        <v/>
      </c>
      <c r="E438" s="13" t="str">
        <f>IF($A438="","",[1]!thsiFinD("ths_adjustment_nv_fund",E$3,$A438))</f>
        <v/>
      </c>
      <c r="F438" s="13" t="str">
        <f>IF($A438="","",[1]!thsiFinD("ths_adjustment_nv_fund",F$3,$A438))</f>
        <v/>
      </c>
      <c r="G438" s="13" t="str">
        <f>IF($A438="","",[1]!thsiFinD("ths_adjustment_nv_fund",G$3,$A438))</f>
        <v/>
      </c>
      <c r="H438" s="13" t="str">
        <f>IF($A438="","",[1]!thsiFinD("ths_adjustment_nv_fund",H$3,$A438))</f>
        <v/>
      </c>
      <c r="I438" s="13" t="str">
        <f>IF($A438="","",[1]!thsiFinD("ths_adjustment_nv_fund",I$3,$A438))</f>
        <v/>
      </c>
      <c r="J438" s="13" t="str">
        <f>IF($A438="","",[1]!thsiFinD("ths_adjustment_nv_fund",J$3,$A438))</f>
        <v/>
      </c>
      <c r="K438" s="13" t="str">
        <f>IF($A438="","",[1]!thsiFinD("ths_adjustment_nv_fund",K$3,$A438))</f>
        <v/>
      </c>
      <c r="L438" s="13" t="str">
        <f>IF($A438="","",[1]!thsiFinD("ths_adjustment_nv_fund",L$3,$A438))</f>
        <v/>
      </c>
      <c r="M438" s="13" t="str">
        <f>IF($A438="","",[1]!thsiFinD("ths_adjustment_nv_fund",M$3,$A438))</f>
        <v/>
      </c>
      <c r="N438" s="13" t="str">
        <f>IF($A438="","",[1]!thsiFinD("ths_adjustment_nv_fund",N$3,$A438))</f>
        <v/>
      </c>
      <c r="O438" s="13" t="str">
        <f>IF($A438="","",[1]!thsiFinD("ths_adjustment_nv_fund",O$3,$A438))</f>
        <v/>
      </c>
      <c r="P438" s="13" t="str">
        <f>IF($A438="","",[1]!thsiFinD("ths_adjustment_nv_fund",P$3,$A438))</f>
        <v/>
      </c>
      <c r="Q438" s="13" t="str">
        <f>IF($A438="","",[1]!thsiFinD("ths_adjustment_nv_fund",Q$3,$A438))</f>
        <v/>
      </c>
      <c r="R438" s="13" t="str">
        <f>IF($A438="","",[1]!thsiFinD("ths_adjustment_nv_fund",R$3,$A438))</f>
        <v/>
      </c>
      <c r="S438" s="13" t="str">
        <f>IF($A438="","",[1]!thsiFinD("ths_adjustment_nv_fund",S$3,$A438))</f>
        <v/>
      </c>
      <c r="T438" s="13" t="str">
        <f>IF($A438="","",[1]!thsiFinD("ths_adjustment_nv_fund",T$3,$A438))</f>
        <v/>
      </c>
      <c r="U438" s="13" t="str">
        <f>IF($A438="","",[1]!thsiFinD("ths_adjustment_nv_fund",U$3,$A438))</f>
        <v/>
      </c>
      <c r="V438" s="13" t="str">
        <f>IF($A438="","",[1]!thsiFinD("ths_adjustment_nv_fund",V$3,$A438))</f>
        <v/>
      </c>
      <c r="W438" s="13" t="str">
        <f>IF($A438="","",[1]!thsiFinD("ths_adjustment_nv_fund",W$3,$A438))</f>
        <v/>
      </c>
      <c r="X438" s="13" t="str">
        <f>IF($A438="","",[1]!thsiFinD("ths_adjustment_nv_fund",X$3,$A438))</f>
        <v/>
      </c>
      <c r="Y438" s="13" t="str">
        <f>IF($A438="","",[1]!thsiFinD("ths_adjustment_nv_fund",Y$3,$A438))</f>
        <v/>
      </c>
      <c r="Z438" s="13" t="str">
        <f>IF($A438="","",[1]!thsiFinD("ths_adjustment_nv_fund",Z$3,$A438))</f>
        <v/>
      </c>
      <c r="AA438" s="13" t="str">
        <f>IF($A438="","",[1]!thsiFinD("ths_adjustment_nv_fund",AA$3,$A438))</f>
        <v/>
      </c>
      <c r="AB438" s="13">
        <f>IF($A438="","",[1]!thsiFinD("ths_adjustment_nv_fund",AB$3,$A438))</f>
        <v/>
      </c>
      <c r="AC438" s="13">
        <f>IF($A438="","",[1]!thsiFinD("ths_adjustment_nv_fund",AC$3,$A438))</f>
        <v/>
      </c>
      <c r="AD438" s="13">
        <f>IF($A438="","",[1]!thsiFinD("ths_adjustment_nv_fund",AD$3,$A438))</f>
        <v/>
      </c>
      <c r="AE438" s="13">
        <f>IF($A438="","",[1]!thsiFinD("ths_adjustment_nv_fund",AE$3,$A438))</f>
        <v/>
      </c>
      <c r="AF438" s="13">
        <f>IF($A438="","",[1]!thsiFinD("ths_adjustment_nv_fund",AF$3,$A438))</f>
        <v/>
      </c>
      <c r="AG438" s="13">
        <f>IF($A438="","",[1]!thsiFinD("ths_adjustment_nv_fund",AG$3,$A438))</f>
        <v/>
      </c>
      <c r="AH438" s="13">
        <f>IF($A438="","",[1]!thsiFinD("ths_adjustment_nv_fund",AH$3,$A438))</f>
        <v/>
      </c>
      <c r="AI438" s="13">
        <f>IF($A438="","",[1]!thsiFinD("ths_adjustment_nv_fund",AI$3,$A438))</f>
        <v/>
      </c>
      <c r="AJ438" s="13">
        <f>IF($A438="","",[1]!thsiFinD("ths_adjustment_nv_fund",AJ$3,$A438))</f>
        <v/>
      </c>
      <c r="AK438" s="13">
        <f>IF($A438="","",[1]!thsiFinD("ths_adjustment_nv_fund",AK$3,$A438))</f>
        <v/>
      </c>
      <c r="AL438" s="13">
        <f>IF($A438="","",[1]!thsiFinD("ths_adjustment_nv_fund",AL$3,$A438))</f>
        <v/>
      </c>
    </row>
    <row r="439" spans="2:28">
      <c r="B439" s="13" t="str">
        <f>IF($A439="","",[1]!thsiFinD("ths_adjustment_nv_fund",B$3,$A439))</f>
        <v/>
      </c>
      <c r="C439" s="13" t="str">
        <f>IF($A439="","",[1]!thsiFinD("ths_adjustment_nv_fund",C$3,$A439))</f>
        <v/>
      </c>
      <c r="D439" s="13" t="str">
        <f>IF($A439="","",[1]!thsiFinD("ths_adjustment_nv_fund",D$3,$A439))</f>
        <v/>
      </c>
      <c r="E439" s="13" t="str">
        <f>IF($A439="","",[1]!thsiFinD("ths_adjustment_nv_fund",E$3,$A439))</f>
        <v/>
      </c>
      <c r="F439" s="13" t="str">
        <f>IF($A439="","",[1]!thsiFinD("ths_adjustment_nv_fund",F$3,$A439))</f>
        <v/>
      </c>
      <c r="G439" s="13" t="str">
        <f>IF($A439="","",[1]!thsiFinD("ths_adjustment_nv_fund",G$3,$A439))</f>
        <v/>
      </c>
      <c r="H439" s="13" t="str">
        <f>IF($A439="","",[1]!thsiFinD("ths_adjustment_nv_fund",H$3,$A439))</f>
        <v/>
      </c>
      <c r="I439" s="13" t="str">
        <f>IF($A439="","",[1]!thsiFinD("ths_adjustment_nv_fund",I$3,$A439))</f>
        <v/>
      </c>
      <c r="J439" s="13" t="str">
        <f>IF($A439="","",[1]!thsiFinD("ths_adjustment_nv_fund",J$3,$A439))</f>
        <v/>
      </c>
      <c r="K439" s="13" t="str">
        <f>IF($A439="","",[1]!thsiFinD("ths_adjustment_nv_fund",K$3,$A439))</f>
        <v/>
      </c>
      <c r="L439" s="13" t="str">
        <f>IF($A439="","",[1]!thsiFinD("ths_adjustment_nv_fund",L$3,$A439))</f>
        <v/>
      </c>
      <c r="M439" s="13" t="str">
        <f>IF($A439="","",[1]!thsiFinD("ths_adjustment_nv_fund",M$3,$A439))</f>
        <v/>
      </c>
      <c r="N439" s="13" t="str">
        <f>IF($A439="","",[1]!thsiFinD("ths_adjustment_nv_fund",N$3,$A439))</f>
        <v/>
      </c>
      <c r="O439" s="13" t="str">
        <f>IF($A439="","",[1]!thsiFinD("ths_adjustment_nv_fund",O$3,$A439))</f>
        <v/>
      </c>
      <c r="P439" s="13" t="str">
        <f>IF($A439="","",[1]!thsiFinD("ths_adjustment_nv_fund",P$3,$A439))</f>
        <v/>
      </c>
      <c r="Q439" s="13" t="str">
        <f>IF($A439="","",[1]!thsiFinD("ths_adjustment_nv_fund",Q$3,$A439))</f>
        <v/>
      </c>
      <c r="R439" s="13" t="str">
        <f>IF($A439="","",[1]!thsiFinD("ths_adjustment_nv_fund",R$3,$A439))</f>
        <v/>
      </c>
      <c r="S439" s="13" t="str">
        <f>IF($A439="","",[1]!thsiFinD("ths_adjustment_nv_fund",S$3,$A439))</f>
        <v/>
      </c>
      <c r="T439" s="13" t="str">
        <f>IF($A439="","",[1]!thsiFinD("ths_adjustment_nv_fund",T$3,$A439))</f>
        <v/>
      </c>
      <c r="U439" s="13" t="str">
        <f>IF($A439="","",[1]!thsiFinD("ths_adjustment_nv_fund",U$3,$A439))</f>
        <v/>
      </c>
      <c r="V439" s="13" t="str">
        <f>IF($A439="","",[1]!thsiFinD("ths_adjustment_nv_fund",V$3,$A439))</f>
        <v/>
      </c>
      <c r="W439" s="13" t="str">
        <f>IF($A439="","",[1]!thsiFinD("ths_adjustment_nv_fund",W$3,$A439))</f>
        <v/>
      </c>
      <c r="X439" s="13" t="str">
        <f>IF($A439="","",[1]!thsiFinD("ths_adjustment_nv_fund",X$3,$A439))</f>
        <v/>
      </c>
      <c r="Y439" s="13" t="str">
        <f>IF($A439="","",[1]!thsiFinD("ths_adjustment_nv_fund",Y$3,$A439))</f>
        <v/>
      </c>
      <c r="Z439" s="13" t="str">
        <f>IF($A439="","",[1]!thsiFinD("ths_adjustment_nv_fund",Z$3,$A439))</f>
        <v/>
      </c>
      <c r="AA439" s="13" t="str">
        <f>IF($A439="","",[1]!thsiFinD("ths_adjustment_nv_fund",AA$3,$A439))</f>
        <v/>
      </c>
      <c r="AB439" s="13">
        <f>IF($A439="","",[1]!thsiFinD("ths_adjustment_nv_fund",AB$3,$A439))</f>
        <v/>
      </c>
      <c r="AC439" s="13">
        <f>IF($A439="","",[1]!thsiFinD("ths_adjustment_nv_fund",AC$3,$A439))</f>
        <v/>
      </c>
      <c r="AD439" s="13">
        <f>IF($A439="","",[1]!thsiFinD("ths_adjustment_nv_fund",AD$3,$A439))</f>
        <v/>
      </c>
      <c r="AE439" s="13">
        <f>IF($A439="","",[1]!thsiFinD("ths_adjustment_nv_fund",AE$3,$A439))</f>
        <v/>
      </c>
      <c r="AF439" s="13">
        <f>IF($A439="","",[1]!thsiFinD("ths_adjustment_nv_fund",AF$3,$A439))</f>
        <v/>
      </c>
      <c r="AG439" s="13">
        <f>IF($A439="","",[1]!thsiFinD("ths_adjustment_nv_fund",AG$3,$A439))</f>
        <v/>
      </c>
      <c r="AH439" s="13">
        <f>IF($A439="","",[1]!thsiFinD("ths_adjustment_nv_fund",AH$3,$A439))</f>
        <v/>
      </c>
      <c r="AI439" s="13">
        <f>IF($A439="","",[1]!thsiFinD("ths_adjustment_nv_fund",AI$3,$A439))</f>
        <v/>
      </c>
      <c r="AJ439" s="13">
        <f>IF($A439="","",[1]!thsiFinD("ths_adjustment_nv_fund",AJ$3,$A439))</f>
        <v/>
      </c>
      <c r="AK439" s="13">
        <f>IF($A439="","",[1]!thsiFinD("ths_adjustment_nv_fund",AK$3,$A439))</f>
        <v/>
      </c>
      <c r="AL439" s="13">
        <f>IF($A439="","",[1]!thsiFinD("ths_adjustment_nv_fund",AL$3,$A439))</f>
        <v/>
      </c>
    </row>
    <row r="440" spans="2:28">
      <c r="B440" s="13" t="str">
        <f>IF($A440="","",[1]!thsiFinD("ths_adjustment_nv_fund",B$3,$A440))</f>
        <v/>
      </c>
      <c r="C440" s="13" t="str">
        <f>IF($A440="","",[1]!thsiFinD("ths_adjustment_nv_fund",C$3,$A440))</f>
        <v/>
      </c>
      <c r="D440" s="13" t="str">
        <f>IF($A440="","",[1]!thsiFinD("ths_adjustment_nv_fund",D$3,$A440))</f>
        <v/>
      </c>
      <c r="E440" s="13" t="str">
        <f>IF($A440="","",[1]!thsiFinD("ths_adjustment_nv_fund",E$3,$A440))</f>
        <v/>
      </c>
      <c r="F440" s="13" t="str">
        <f>IF($A440="","",[1]!thsiFinD("ths_adjustment_nv_fund",F$3,$A440))</f>
        <v/>
      </c>
      <c r="G440" s="13" t="str">
        <f>IF($A440="","",[1]!thsiFinD("ths_adjustment_nv_fund",G$3,$A440))</f>
        <v/>
      </c>
      <c r="H440" s="13" t="str">
        <f>IF($A440="","",[1]!thsiFinD("ths_adjustment_nv_fund",H$3,$A440))</f>
        <v/>
      </c>
      <c r="I440" s="13" t="str">
        <f>IF($A440="","",[1]!thsiFinD("ths_adjustment_nv_fund",I$3,$A440))</f>
        <v/>
      </c>
      <c r="J440" s="13" t="str">
        <f>IF($A440="","",[1]!thsiFinD("ths_adjustment_nv_fund",J$3,$A440))</f>
        <v/>
      </c>
      <c r="K440" s="13" t="str">
        <f>IF($A440="","",[1]!thsiFinD("ths_adjustment_nv_fund",K$3,$A440))</f>
        <v/>
      </c>
      <c r="L440" s="13" t="str">
        <f>IF($A440="","",[1]!thsiFinD("ths_adjustment_nv_fund",L$3,$A440))</f>
        <v/>
      </c>
      <c r="M440" s="13" t="str">
        <f>IF($A440="","",[1]!thsiFinD("ths_adjustment_nv_fund",M$3,$A440))</f>
        <v/>
      </c>
      <c r="N440" s="13" t="str">
        <f>IF($A440="","",[1]!thsiFinD("ths_adjustment_nv_fund",N$3,$A440))</f>
        <v/>
      </c>
      <c r="O440" s="13" t="str">
        <f>IF($A440="","",[1]!thsiFinD("ths_adjustment_nv_fund",O$3,$A440))</f>
        <v/>
      </c>
      <c r="P440" s="13" t="str">
        <f>IF($A440="","",[1]!thsiFinD("ths_adjustment_nv_fund",P$3,$A440))</f>
        <v/>
      </c>
      <c r="Q440" s="13" t="str">
        <f>IF($A440="","",[1]!thsiFinD("ths_adjustment_nv_fund",Q$3,$A440))</f>
        <v/>
      </c>
      <c r="R440" s="13" t="str">
        <f>IF($A440="","",[1]!thsiFinD("ths_adjustment_nv_fund",R$3,$A440))</f>
        <v/>
      </c>
      <c r="S440" s="13" t="str">
        <f>IF($A440="","",[1]!thsiFinD("ths_adjustment_nv_fund",S$3,$A440))</f>
        <v/>
      </c>
      <c r="T440" s="13" t="str">
        <f>IF($A440="","",[1]!thsiFinD("ths_adjustment_nv_fund",T$3,$A440))</f>
        <v/>
      </c>
      <c r="U440" s="13" t="str">
        <f>IF($A440="","",[1]!thsiFinD("ths_adjustment_nv_fund",U$3,$A440))</f>
        <v/>
      </c>
      <c r="V440" s="13" t="str">
        <f>IF($A440="","",[1]!thsiFinD("ths_adjustment_nv_fund",V$3,$A440))</f>
        <v/>
      </c>
      <c r="W440" s="13" t="str">
        <f>IF($A440="","",[1]!thsiFinD("ths_adjustment_nv_fund",W$3,$A440))</f>
        <v/>
      </c>
      <c r="X440" s="13" t="str">
        <f>IF($A440="","",[1]!thsiFinD("ths_adjustment_nv_fund",X$3,$A440))</f>
        <v/>
      </c>
      <c r="Y440" s="13" t="str">
        <f>IF($A440="","",[1]!thsiFinD("ths_adjustment_nv_fund",Y$3,$A440))</f>
        <v/>
      </c>
      <c r="Z440" s="13" t="str">
        <f>IF($A440="","",[1]!thsiFinD("ths_adjustment_nv_fund",Z$3,$A440))</f>
        <v/>
      </c>
      <c r="AA440" s="13" t="str">
        <f>IF($A440="","",[1]!thsiFinD("ths_adjustment_nv_fund",AA$3,$A440))</f>
        <v/>
      </c>
      <c r="AB440" s="13">
        <f>IF($A440="","",[1]!thsiFinD("ths_adjustment_nv_fund",AB$3,$A440))</f>
        <v/>
      </c>
      <c r="AC440" s="13">
        <f>IF($A440="","",[1]!thsiFinD("ths_adjustment_nv_fund",AC$3,$A440))</f>
        <v/>
      </c>
      <c r="AD440" s="13">
        <f>IF($A440="","",[1]!thsiFinD("ths_adjustment_nv_fund",AD$3,$A440))</f>
        <v/>
      </c>
      <c r="AE440" s="13">
        <f>IF($A440="","",[1]!thsiFinD("ths_adjustment_nv_fund",AE$3,$A440))</f>
        <v/>
      </c>
      <c r="AF440" s="13">
        <f>IF($A440="","",[1]!thsiFinD("ths_adjustment_nv_fund",AF$3,$A440))</f>
        <v/>
      </c>
      <c r="AG440" s="13">
        <f>IF($A440="","",[1]!thsiFinD("ths_adjustment_nv_fund",AG$3,$A440))</f>
        <v/>
      </c>
      <c r="AH440" s="13">
        <f>IF($A440="","",[1]!thsiFinD("ths_adjustment_nv_fund",AH$3,$A440))</f>
        <v/>
      </c>
      <c r="AI440" s="13">
        <f>IF($A440="","",[1]!thsiFinD("ths_adjustment_nv_fund",AI$3,$A440))</f>
        <v/>
      </c>
      <c r="AJ440" s="13">
        <f>IF($A440="","",[1]!thsiFinD("ths_adjustment_nv_fund",AJ$3,$A440))</f>
        <v/>
      </c>
      <c r="AK440" s="13">
        <f>IF($A440="","",[1]!thsiFinD("ths_adjustment_nv_fund",AK$3,$A440))</f>
        <v/>
      </c>
      <c r="AL440" s="13">
        <f>IF($A440="","",[1]!thsiFinD("ths_adjustment_nv_fund",AL$3,$A440))</f>
        <v/>
      </c>
    </row>
    <row r="441" spans="2:28">
      <c r="B441" s="13" t="str">
        <f>IF($A441="","",[1]!thsiFinD("ths_adjustment_nv_fund",B$3,$A441))</f>
        <v/>
      </c>
      <c r="C441" s="13" t="str">
        <f>IF($A441="","",[1]!thsiFinD("ths_adjustment_nv_fund",C$3,$A441))</f>
        <v/>
      </c>
      <c r="D441" s="13" t="str">
        <f>IF($A441="","",[1]!thsiFinD("ths_adjustment_nv_fund",D$3,$A441))</f>
        <v/>
      </c>
      <c r="E441" s="13" t="str">
        <f>IF($A441="","",[1]!thsiFinD("ths_adjustment_nv_fund",E$3,$A441))</f>
        <v/>
      </c>
      <c r="F441" s="13" t="str">
        <f>IF($A441="","",[1]!thsiFinD("ths_adjustment_nv_fund",F$3,$A441))</f>
        <v/>
      </c>
      <c r="G441" s="13" t="str">
        <f>IF($A441="","",[1]!thsiFinD("ths_adjustment_nv_fund",G$3,$A441))</f>
        <v/>
      </c>
      <c r="H441" s="13" t="str">
        <f>IF($A441="","",[1]!thsiFinD("ths_adjustment_nv_fund",H$3,$A441))</f>
        <v/>
      </c>
      <c r="I441" s="13" t="str">
        <f>IF($A441="","",[1]!thsiFinD("ths_adjustment_nv_fund",I$3,$A441))</f>
        <v/>
      </c>
      <c r="J441" s="13" t="str">
        <f>IF($A441="","",[1]!thsiFinD("ths_adjustment_nv_fund",J$3,$A441))</f>
        <v/>
      </c>
      <c r="K441" s="13" t="str">
        <f>IF($A441="","",[1]!thsiFinD("ths_adjustment_nv_fund",K$3,$A441))</f>
        <v/>
      </c>
      <c r="L441" s="13" t="str">
        <f>IF($A441="","",[1]!thsiFinD("ths_adjustment_nv_fund",L$3,$A441))</f>
        <v/>
      </c>
      <c r="M441" s="13" t="str">
        <f>IF($A441="","",[1]!thsiFinD("ths_adjustment_nv_fund",M$3,$A441))</f>
        <v/>
      </c>
      <c r="N441" s="13" t="str">
        <f>IF($A441="","",[1]!thsiFinD("ths_adjustment_nv_fund",N$3,$A441))</f>
        <v/>
      </c>
      <c r="O441" s="13" t="str">
        <f>IF($A441="","",[1]!thsiFinD("ths_adjustment_nv_fund",O$3,$A441))</f>
        <v/>
      </c>
      <c r="P441" s="13" t="str">
        <f>IF($A441="","",[1]!thsiFinD("ths_adjustment_nv_fund",P$3,$A441))</f>
        <v/>
      </c>
      <c r="Q441" s="13" t="str">
        <f>IF($A441="","",[1]!thsiFinD("ths_adjustment_nv_fund",Q$3,$A441))</f>
        <v/>
      </c>
      <c r="R441" s="13" t="str">
        <f>IF($A441="","",[1]!thsiFinD("ths_adjustment_nv_fund",R$3,$A441))</f>
        <v/>
      </c>
      <c r="S441" s="13" t="str">
        <f>IF($A441="","",[1]!thsiFinD("ths_adjustment_nv_fund",S$3,$A441))</f>
        <v/>
      </c>
      <c r="T441" s="13" t="str">
        <f>IF($A441="","",[1]!thsiFinD("ths_adjustment_nv_fund",T$3,$A441))</f>
        <v/>
      </c>
      <c r="U441" s="13" t="str">
        <f>IF($A441="","",[1]!thsiFinD("ths_adjustment_nv_fund",U$3,$A441))</f>
        <v/>
      </c>
      <c r="V441" s="13" t="str">
        <f>IF($A441="","",[1]!thsiFinD("ths_adjustment_nv_fund",V$3,$A441))</f>
        <v/>
      </c>
      <c r="W441" s="13" t="str">
        <f>IF($A441="","",[1]!thsiFinD("ths_adjustment_nv_fund",W$3,$A441))</f>
        <v/>
      </c>
      <c r="X441" s="13" t="str">
        <f>IF($A441="","",[1]!thsiFinD("ths_adjustment_nv_fund",X$3,$A441))</f>
        <v/>
      </c>
      <c r="Y441" s="13" t="str">
        <f>IF($A441="","",[1]!thsiFinD("ths_adjustment_nv_fund",Y$3,$A441))</f>
        <v/>
      </c>
      <c r="Z441" s="13" t="str">
        <f>IF($A441="","",[1]!thsiFinD("ths_adjustment_nv_fund",Z$3,$A441))</f>
        <v/>
      </c>
      <c r="AA441" s="13" t="str">
        <f>IF($A441="","",[1]!thsiFinD("ths_adjustment_nv_fund",AA$3,$A441))</f>
        <v/>
      </c>
      <c r="AB441" s="13">
        <f>IF($A441="","",[1]!thsiFinD("ths_adjustment_nv_fund",AB$3,$A441))</f>
        <v/>
      </c>
      <c r="AC441" s="13">
        <f>IF($A441="","",[1]!thsiFinD("ths_adjustment_nv_fund",AC$3,$A441))</f>
        <v/>
      </c>
      <c r="AD441" s="13">
        <f>IF($A441="","",[1]!thsiFinD("ths_adjustment_nv_fund",AD$3,$A441))</f>
        <v/>
      </c>
      <c r="AE441" s="13">
        <f>IF($A441="","",[1]!thsiFinD("ths_adjustment_nv_fund",AE$3,$A441))</f>
        <v/>
      </c>
      <c r="AF441" s="13">
        <f>IF($A441="","",[1]!thsiFinD("ths_adjustment_nv_fund",AF$3,$A441))</f>
        <v/>
      </c>
      <c r="AG441" s="13">
        <f>IF($A441="","",[1]!thsiFinD("ths_adjustment_nv_fund",AG$3,$A441))</f>
        <v/>
      </c>
      <c r="AH441" s="13">
        <f>IF($A441="","",[1]!thsiFinD("ths_adjustment_nv_fund",AH$3,$A441))</f>
        <v/>
      </c>
      <c r="AI441" s="13">
        <f>IF($A441="","",[1]!thsiFinD("ths_adjustment_nv_fund",AI$3,$A441))</f>
        <v/>
      </c>
      <c r="AJ441" s="13">
        <f>IF($A441="","",[1]!thsiFinD("ths_adjustment_nv_fund",AJ$3,$A441))</f>
        <v/>
      </c>
      <c r="AK441" s="13">
        <f>IF($A441="","",[1]!thsiFinD("ths_adjustment_nv_fund",AK$3,$A441))</f>
        <v/>
      </c>
      <c r="AL441" s="13">
        <f>IF($A441="","",[1]!thsiFinD("ths_adjustment_nv_fund",AL$3,$A441))</f>
        <v/>
      </c>
    </row>
    <row r="442" spans="2:28">
      <c r="B442" s="13" t="str">
        <f>IF($A442="","",[1]!thsiFinD("ths_adjustment_nv_fund",B$3,$A442))</f>
        <v/>
      </c>
      <c r="C442" s="13" t="str">
        <f>IF($A442="","",[1]!thsiFinD("ths_adjustment_nv_fund",C$3,$A442))</f>
        <v/>
      </c>
      <c r="D442" s="13" t="str">
        <f>IF($A442="","",[1]!thsiFinD("ths_adjustment_nv_fund",D$3,$A442))</f>
        <v/>
      </c>
      <c r="E442" s="13" t="str">
        <f>IF($A442="","",[1]!thsiFinD("ths_adjustment_nv_fund",E$3,$A442))</f>
        <v/>
      </c>
      <c r="F442" s="13" t="str">
        <f>IF($A442="","",[1]!thsiFinD("ths_adjustment_nv_fund",F$3,$A442))</f>
        <v/>
      </c>
      <c r="G442" s="13" t="str">
        <f>IF($A442="","",[1]!thsiFinD("ths_adjustment_nv_fund",G$3,$A442))</f>
        <v/>
      </c>
      <c r="H442" s="13" t="str">
        <f>IF($A442="","",[1]!thsiFinD("ths_adjustment_nv_fund",H$3,$A442))</f>
        <v/>
      </c>
      <c r="I442" s="13" t="str">
        <f>IF($A442="","",[1]!thsiFinD("ths_adjustment_nv_fund",I$3,$A442))</f>
        <v/>
      </c>
      <c r="J442" s="13" t="str">
        <f>IF($A442="","",[1]!thsiFinD("ths_adjustment_nv_fund",J$3,$A442))</f>
        <v/>
      </c>
      <c r="K442" s="13" t="str">
        <f>IF($A442="","",[1]!thsiFinD("ths_adjustment_nv_fund",K$3,$A442))</f>
        <v/>
      </c>
      <c r="L442" s="13" t="str">
        <f>IF($A442="","",[1]!thsiFinD("ths_adjustment_nv_fund",L$3,$A442))</f>
        <v/>
      </c>
      <c r="M442" s="13" t="str">
        <f>IF($A442="","",[1]!thsiFinD("ths_adjustment_nv_fund",M$3,$A442))</f>
        <v/>
      </c>
      <c r="N442" s="13" t="str">
        <f>IF($A442="","",[1]!thsiFinD("ths_adjustment_nv_fund",N$3,$A442))</f>
        <v/>
      </c>
      <c r="O442" s="13" t="str">
        <f>IF($A442="","",[1]!thsiFinD("ths_adjustment_nv_fund",O$3,$A442))</f>
        <v/>
      </c>
      <c r="P442" s="13" t="str">
        <f>IF($A442="","",[1]!thsiFinD("ths_adjustment_nv_fund",P$3,$A442))</f>
        <v/>
      </c>
      <c r="Q442" s="13" t="str">
        <f>IF($A442="","",[1]!thsiFinD("ths_adjustment_nv_fund",Q$3,$A442))</f>
        <v/>
      </c>
      <c r="R442" s="13" t="str">
        <f>IF($A442="","",[1]!thsiFinD("ths_adjustment_nv_fund",R$3,$A442))</f>
        <v/>
      </c>
      <c r="S442" s="13" t="str">
        <f>IF($A442="","",[1]!thsiFinD("ths_adjustment_nv_fund",S$3,$A442))</f>
        <v/>
      </c>
      <c r="T442" s="13" t="str">
        <f>IF($A442="","",[1]!thsiFinD("ths_adjustment_nv_fund",T$3,$A442))</f>
        <v/>
      </c>
      <c r="U442" s="13" t="str">
        <f>IF($A442="","",[1]!thsiFinD("ths_adjustment_nv_fund",U$3,$A442))</f>
        <v/>
      </c>
      <c r="V442" s="13" t="str">
        <f>IF($A442="","",[1]!thsiFinD("ths_adjustment_nv_fund",V$3,$A442))</f>
        <v/>
      </c>
      <c r="W442" s="13" t="str">
        <f>IF($A442="","",[1]!thsiFinD("ths_adjustment_nv_fund",W$3,$A442))</f>
        <v/>
      </c>
      <c r="X442" s="13" t="str">
        <f>IF($A442="","",[1]!thsiFinD("ths_adjustment_nv_fund",X$3,$A442))</f>
        <v/>
      </c>
      <c r="Y442" s="13" t="str">
        <f>IF($A442="","",[1]!thsiFinD("ths_adjustment_nv_fund",Y$3,$A442))</f>
        <v/>
      </c>
      <c r="Z442" s="13" t="str">
        <f>IF($A442="","",[1]!thsiFinD("ths_adjustment_nv_fund",Z$3,$A442))</f>
        <v/>
      </c>
      <c r="AA442" s="13" t="str">
        <f>IF($A442="","",[1]!thsiFinD("ths_adjustment_nv_fund",AA$3,$A442))</f>
        <v/>
      </c>
      <c r="AB442" s="13">
        <f>IF($A442="","",[1]!thsiFinD("ths_adjustment_nv_fund",AB$3,$A442))</f>
        <v/>
      </c>
      <c r="AC442" s="13">
        <f>IF($A442="","",[1]!thsiFinD("ths_adjustment_nv_fund",AC$3,$A442))</f>
        <v/>
      </c>
      <c r="AD442" s="13">
        <f>IF($A442="","",[1]!thsiFinD("ths_adjustment_nv_fund",AD$3,$A442))</f>
        <v/>
      </c>
      <c r="AE442" s="13">
        <f>IF($A442="","",[1]!thsiFinD("ths_adjustment_nv_fund",AE$3,$A442))</f>
        <v/>
      </c>
      <c r="AF442" s="13">
        <f>IF($A442="","",[1]!thsiFinD("ths_adjustment_nv_fund",AF$3,$A442))</f>
        <v/>
      </c>
      <c r="AG442" s="13">
        <f>IF($A442="","",[1]!thsiFinD("ths_adjustment_nv_fund",AG$3,$A442))</f>
        <v/>
      </c>
      <c r="AH442" s="13">
        <f>IF($A442="","",[1]!thsiFinD("ths_adjustment_nv_fund",AH$3,$A442))</f>
        <v/>
      </c>
      <c r="AI442" s="13">
        <f>IF($A442="","",[1]!thsiFinD("ths_adjustment_nv_fund",AI$3,$A442))</f>
        <v/>
      </c>
      <c r="AJ442" s="13">
        <f>IF($A442="","",[1]!thsiFinD("ths_adjustment_nv_fund",AJ$3,$A442))</f>
        <v/>
      </c>
      <c r="AK442" s="13">
        <f>IF($A442="","",[1]!thsiFinD("ths_adjustment_nv_fund",AK$3,$A442))</f>
        <v/>
      </c>
      <c r="AL442" s="13">
        <f>IF($A442="","",[1]!thsiFinD("ths_adjustment_nv_fund",AL$3,$A442))</f>
        <v/>
      </c>
    </row>
    <row r="443" spans="2:28">
      <c r="B443" s="13" t="str">
        <f>IF($A443="","",[1]!thsiFinD("ths_adjustment_nv_fund",B$3,$A443))</f>
        <v/>
      </c>
      <c r="C443" s="13" t="str">
        <f>IF($A443="","",[1]!thsiFinD("ths_adjustment_nv_fund",C$3,$A443))</f>
        <v/>
      </c>
      <c r="D443" s="13" t="str">
        <f>IF($A443="","",[1]!thsiFinD("ths_adjustment_nv_fund",D$3,$A443))</f>
        <v/>
      </c>
      <c r="E443" s="13" t="str">
        <f>IF($A443="","",[1]!thsiFinD("ths_adjustment_nv_fund",E$3,$A443))</f>
        <v/>
      </c>
      <c r="F443" s="13" t="str">
        <f>IF($A443="","",[1]!thsiFinD("ths_adjustment_nv_fund",F$3,$A443))</f>
        <v/>
      </c>
      <c r="G443" s="13" t="str">
        <f>IF($A443="","",[1]!thsiFinD("ths_adjustment_nv_fund",G$3,$A443))</f>
        <v/>
      </c>
      <c r="H443" s="13" t="str">
        <f>IF($A443="","",[1]!thsiFinD("ths_adjustment_nv_fund",H$3,$A443))</f>
        <v/>
      </c>
      <c r="I443" s="13" t="str">
        <f>IF($A443="","",[1]!thsiFinD("ths_adjustment_nv_fund",I$3,$A443))</f>
        <v/>
      </c>
      <c r="J443" s="13" t="str">
        <f>IF($A443="","",[1]!thsiFinD("ths_adjustment_nv_fund",J$3,$A443))</f>
        <v/>
      </c>
      <c r="K443" s="13" t="str">
        <f>IF($A443="","",[1]!thsiFinD("ths_adjustment_nv_fund",K$3,$A443))</f>
        <v/>
      </c>
      <c r="L443" s="13" t="str">
        <f>IF($A443="","",[1]!thsiFinD("ths_adjustment_nv_fund",L$3,$A443))</f>
        <v/>
      </c>
      <c r="M443" s="13" t="str">
        <f>IF($A443="","",[1]!thsiFinD("ths_adjustment_nv_fund",M$3,$A443))</f>
        <v/>
      </c>
      <c r="N443" s="13" t="str">
        <f>IF($A443="","",[1]!thsiFinD("ths_adjustment_nv_fund",N$3,$A443))</f>
        <v/>
      </c>
      <c r="O443" s="13" t="str">
        <f>IF($A443="","",[1]!thsiFinD("ths_adjustment_nv_fund",O$3,$A443))</f>
        <v/>
      </c>
      <c r="P443" s="13" t="str">
        <f>IF($A443="","",[1]!thsiFinD("ths_adjustment_nv_fund",P$3,$A443))</f>
        <v/>
      </c>
      <c r="Q443" s="13" t="str">
        <f>IF($A443="","",[1]!thsiFinD("ths_adjustment_nv_fund",Q$3,$A443))</f>
        <v/>
      </c>
      <c r="R443" s="13" t="str">
        <f>IF($A443="","",[1]!thsiFinD("ths_adjustment_nv_fund",R$3,$A443))</f>
        <v/>
      </c>
      <c r="S443" s="13" t="str">
        <f>IF($A443="","",[1]!thsiFinD("ths_adjustment_nv_fund",S$3,$A443))</f>
        <v/>
      </c>
      <c r="T443" s="13" t="str">
        <f>IF($A443="","",[1]!thsiFinD("ths_adjustment_nv_fund",T$3,$A443))</f>
        <v/>
      </c>
      <c r="U443" s="13" t="str">
        <f>IF($A443="","",[1]!thsiFinD("ths_adjustment_nv_fund",U$3,$A443))</f>
        <v/>
      </c>
      <c r="V443" s="13" t="str">
        <f>IF($A443="","",[1]!thsiFinD("ths_adjustment_nv_fund",V$3,$A443))</f>
        <v/>
      </c>
      <c r="W443" s="13" t="str">
        <f>IF($A443="","",[1]!thsiFinD("ths_adjustment_nv_fund",W$3,$A443))</f>
        <v/>
      </c>
      <c r="X443" s="13" t="str">
        <f>IF($A443="","",[1]!thsiFinD("ths_adjustment_nv_fund",X$3,$A443))</f>
        <v/>
      </c>
      <c r="Y443" s="13" t="str">
        <f>IF($A443="","",[1]!thsiFinD("ths_adjustment_nv_fund",Y$3,$A443))</f>
        <v/>
      </c>
      <c r="Z443" s="13" t="str">
        <f>IF($A443="","",[1]!thsiFinD("ths_adjustment_nv_fund",Z$3,$A443))</f>
        <v/>
      </c>
      <c r="AA443" s="13" t="str">
        <f>IF($A443="","",[1]!thsiFinD("ths_adjustment_nv_fund",AA$3,$A443))</f>
        <v/>
      </c>
      <c r="AB443" s="13">
        <f>IF($A443="","",[1]!thsiFinD("ths_adjustment_nv_fund",AB$3,$A443))</f>
        <v/>
      </c>
      <c r="AC443" s="13">
        <f>IF($A443="","",[1]!thsiFinD("ths_adjustment_nv_fund",AC$3,$A443))</f>
        <v/>
      </c>
      <c r="AD443" s="13">
        <f>IF($A443="","",[1]!thsiFinD("ths_adjustment_nv_fund",AD$3,$A443))</f>
        <v/>
      </c>
      <c r="AE443" s="13">
        <f>IF($A443="","",[1]!thsiFinD("ths_adjustment_nv_fund",AE$3,$A443))</f>
        <v/>
      </c>
      <c r="AF443" s="13">
        <f>IF($A443="","",[1]!thsiFinD("ths_adjustment_nv_fund",AF$3,$A443))</f>
        <v/>
      </c>
      <c r="AG443" s="13">
        <f>IF($A443="","",[1]!thsiFinD("ths_adjustment_nv_fund",AG$3,$A443))</f>
        <v/>
      </c>
      <c r="AH443" s="13">
        <f>IF($A443="","",[1]!thsiFinD("ths_adjustment_nv_fund",AH$3,$A443))</f>
        <v/>
      </c>
      <c r="AI443" s="13">
        <f>IF($A443="","",[1]!thsiFinD("ths_adjustment_nv_fund",AI$3,$A443))</f>
        <v/>
      </c>
      <c r="AJ443" s="13">
        <f>IF($A443="","",[1]!thsiFinD("ths_adjustment_nv_fund",AJ$3,$A443))</f>
        <v/>
      </c>
      <c r="AK443" s="13">
        <f>IF($A443="","",[1]!thsiFinD("ths_adjustment_nv_fund",AK$3,$A443))</f>
        <v/>
      </c>
      <c r="AL443" s="13">
        <f>IF($A443="","",[1]!thsiFinD("ths_adjustment_nv_fund",AL$3,$A443))</f>
        <v/>
      </c>
    </row>
    <row r="444" spans="2:28">
      <c r="B444" s="13" t="str">
        <f>IF($A444="","",[1]!thsiFinD("ths_adjustment_nv_fund",B$3,$A444))</f>
        <v/>
      </c>
      <c r="C444" s="13" t="str">
        <f>IF($A444="","",[1]!thsiFinD("ths_adjustment_nv_fund",C$3,$A444))</f>
        <v/>
      </c>
      <c r="D444" s="13" t="str">
        <f>IF($A444="","",[1]!thsiFinD("ths_adjustment_nv_fund",D$3,$A444))</f>
        <v/>
      </c>
      <c r="E444" s="13" t="str">
        <f>IF($A444="","",[1]!thsiFinD("ths_adjustment_nv_fund",E$3,$A444))</f>
        <v/>
      </c>
      <c r="F444" s="13" t="str">
        <f>IF($A444="","",[1]!thsiFinD("ths_adjustment_nv_fund",F$3,$A444))</f>
        <v/>
      </c>
      <c r="G444" s="13" t="str">
        <f>IF($A444="","",[1]!thsiFinD("ths_adjustment_nv_fund",G$3,$A444))</f>
        <v/>
      </c>
      <c r="H444" s="13" t="str">
        <f>IF($A444="","",[1]!thsiFinD("ths_adjustment_nv_fund",H$3,$A444))</f>
        <v/>
      </c>
      <c r="I444" s="13" t="str">
        <f>IF($A444="","",[1]!thsiFinD("ths_adjustment_nv_fund",I$3,$A444))</f>
        <v/>
      </c>
      <c r="J444" s="13" t="str">
        <f>IF($A444="","",[1]!thsiFinD("ths_adjustment_nv_fund",J$3,$A444))</f>
        <v/>
      </c>
      <c r="K444" s="13" t="str">
        <f>IF($A444="","",[1]!thsiFinD("ths_adjustment_nv_fund",K$3,$A444))</f>
        <v/>
      </c>
      <c r="L444" s="13" t="str">
        <f>IF($A444="","",[1]!thsiFinD("ths_adjustment_nv_fund",L$3,$A444))</f>
        <v/>
      </c>
      <c r="M444" s="13" t="str">
        <f>IF($A444="","",[1]!thsiFinD("ths_adjustment_nv_fund",M$3,$A444))</f>
        <v/>
      </c>
      <c r="N444" s="13" t="str">
        <f>IF($A444="","",[1]!thsiFinD("ths_adjustment_nv_fund",N$3,$A444))</f>
        <v/>
      </c>
      <c r="O444" s="13" t="str">
        <f>IF($A444="","",[1]!thsiFinD("ths_adjustment_nv_fund",O$3,$A444))</f>
        <v/>
      </c>
      <c r="P444" s="13" t="str">
        <f>IF($A444="","",[1]!thsiFinD("ths_adjustment_nv_fund",P$3,$A444))</f>
        <v/>
      </c>
      <c r="Q444" s="13" t="str">
        <f>IF($A444="","",[1]!thsiFinD("ths_adjustment_nv_fund",Q$3,$A444))</f>
        <v/>
      </c>
      <c r="R444" s="13" t="str">
        <f>IF($A444="","",[1]!thsiFinD("ths_adjustment_nv_fund",R$3,$A444))</f>
        <v/>
      </c>
      <c r="S444" s="13" t="str">
        <f>IF($A444="","",[1]!thsiFinD("ths_adjustment_nv_fund",S$3,$A444))</f>
        <v/>
      </c>
      <c r="T444" s="13" t="str">
        <f>IF($A444="","",[1]!thsiFinD("ths_adjustment_nv_fund",T$3,$A444))</f>
        <v/>
      </c>
      <c r="U444" s="13" t="str">
        <f>IF($A444="","",[1]!thsiFinD("ths_adjustment_nv_fund",U$3,$A444))</f>
        <v/>
      </c>
      <c r="V444" s="13" t="str">
        <f>IF($A444="","",[1]!thsiFinD("ths_adjustment_nv_fund",V$3,$A444))</f>
        <v/>
      </c>
      <c r="W444" s="13" t="str">
        <f>IF($A444="","",[1]!thsiFinD("ths_adjustment_nv_fund",W$3,$A444))</f>
        <v/>
      </c>
      <c r="X444" s="13" t="str">
        <f>IF($A444="","",[1]!thsiFinD("ths_adjustment_nv_fund",X$3,$A444))</f>
        <v/>
      </c>
      <c r="Y444" s="13" t="str">
        <f>IF($A444="","",[1]!thsiFinD("ths_adjustment_nv_fund",Y$3,$A444))</f>
        <v/>
      </c>
      <c r="Z444" s="13" t="str">
        <f>IF($A444="","",[1]!thsiFinD("ths_adjustment_nv_fund",Z$3,$A444))</f>
        <v/>
      </c>
      <c r="AA444" s="13" t="str">
        <f>IF($A444="","",[1]!thsiFinD("ths_adjustment_nv_fund",AA$3,$A444))</f>
        <v/>
      </c>
      <c r="AB444" s="13">
        <f>IF($A444="","",[1]!thsiFinD("ths_adjustment_nv_fund",AB$3,$A444))</f>
        <v/>
      </c>
      <c r="AC444" s="13">
        <f>IF($A444="","",[1]!thsiFinD("ths_adjustment_nv_fund",AC$3,$A444))</f>
        <v/>
      </c>
      <c r="AD444" s="13">
        <f>IF($A444="","",[1]!thsiFinD("ths_adjustment_nv_fund",AD$3,$A444))</f>
        <v/>
      </c>
      <c r="AE444" s="13">
        <f>IF($A444="","",[1]!thsiFinD("ths_adjustment_nv_fund",AE$3,$A444))</f>
        <v/>
      </c>
      <c r="AF444" s="13">
        <f>IF($A444="","",[1]!thsiFinD("ths_adjustment_nv_fund",AF$3,$A444))</f>
        <v/>
      </c>
      <c r="AG444" s="13">
        <f>IF($A444="","",[1]!thsiFinD("ths_adjustment_nv_fund",AG$3,$A444))</f>
        <v/>
      </c>
      <c r="AH444" s="13">
        <f>IF($A444="","",[1]!thsiFinD("ths_adjustment_nv_fund",AH$3,$A444))</f>
        <v/>
      </c>
      <c r="AI444" s="13">
        <f>IF($A444="","",[1]!thsiFinD("ths_adjustment_nv_fund",AI$3,$A444))</f>
        <v/>
      </c>
      <c r="AJ444" s="13">
        <f>IF($A444="","",[1]!thsiFinD("ths_adjustment_nv_fund",AJ$3,$A444))</f>
        <v/>
      </c>
      <c r="AK444" s="13">
        <f>IF($A444="","",[1]!thsiFinD("ths_adjustment_nv_fund",AK$3,$A444))</f>
        <v/>
      </c>
      <c r="AL444" s="13">
        <f>IF($A444="","",[1]!thsiFinD("ths_adjustment_nv_fund",AL$3,$A444))</f>
        <v/>
      </c>
    </row>
    <row r="445" spans="2:28">
      <c r="B445" s="13" t="str">
        <f>IF($A445="","",[1]!thsiFinD("ths_adjustment_nv_fund",B$3,$A445))</f>
        <v/>
      </c>
      <c r="C445" s="13" t="str">
        <f>IF($A445="","",[1]!thsiFinD("ths_adjustment_nv_fund",C$3,$A445))</f>
        <v/>
      </c>
      <c r="D445" s="13" t="str">
        <f>IF($A445="","",[1]!thsiFinD("ths_adjustment_nv_fund",D$3,$A445))</f>
        <v/>
      </c>
      <c r="E445" s="13" t="str">
        <f>IF($A445="","",[1]!thsiFinD("ths_adjustment_nv_fund",E$3,$A445))</f>
        <v/>
      </c>
      <c r="F445" s="13" t="str">
        <f>IF($A445="","",[1]!thsiFinD("ths_adjustment_nv_fund",F$3,$A445))</f>
        <v/>
      </c>
      <c r="G445" s="13" t="str">
        <f>IF($A445="","",[1]!thsiFinD("ths_adjustment_nv_fund",G$3,$A445))</f>
        <v/>
      </c>
      <c r="H445" s="13" t="str">
        <f>IF($A445="","",[1]!thsiFinD("ths_adjustment_nv_fund",H$3,$A445))</f>
        <v/>
      </c>
      <c r="I445" s="13" t="str">
        <f>IF($A445="","",[1]!thsiFinD("ths_adjustment_nv_fund",I$3,$A445))</f>
        <v/>
      </c>
      <c r="J445" s="13" t="str">
        <f>IF($A445="","",[1]!thsiFinD("ths_adjustment_nv_fund",J$3,$A445))</f>
        <v/>
      </c>
      <c r="K445" s="13" t="str">
        <f>IF($A445="","",[1]!thsiFinD("ths_adjustment_nv_fund",K$3,$A445))</f>
        <v/>
      </c>
      <c r="L445" s="13" t="str">
        <f>IF($A445="","",[1]!thsiFinD("ths_adjustment_nv_fund",L$3,$A445))</f>
        <v/>
      </c>
      <c r="M445" s="13" t="str">
        <f>IF($A445="","",[1]!thsiFinD("ths_adjustment_nv_fund",M$3,$A445))</f>
        <v/>
      </c>
      <c r="N445" s="13" t="str">
        <f>IF($A445="","",[1]!thsiFinD("ths_adjustment_nv_fund",N$3,$A445))</f>
        <v/>
      </c>
      <c r="O445" s="13" t="str">
        <f>IF($A445="","",[1]!thsiFinD("ths_adjustment_nv_fund",O$3,$A445))</f>
        <v/>
      </c>
      <c r="P445" s="13" t="str">
        <f>IF($A445="","",[1]!thsiFinD("ths_adjustment_nv_fund",P$3,$A445))</f>
        <v/>
      </c>
      <c r="Q445" s="13" t="str">
        <f>IF($A445="","",[1]!thsiFinD("ths_adjustment_nv_fund",Q$3,$A445))</f>
        <v/>
      </c>
      <c r="R445" s="13" t="str">
        <f>IF($A445="","",[1]!thsiFinD("ths_adjustment_nv_fund",R$3,$A445))</f>
        <v/>
      </c>
      <c r="S445" s="13" t="str">
        <f>IF($A445="","",[1]!thsiFinD("ths_adjustment_nv_fund",S$3,$A445))</f>
        <v/>
      </c>
      <c r="T445" s="13" t="str">
        <f>IF($A445="","",[1]!thsiFinD("ths_adjustment_nv_fund",T$3,$A445))</f>
        <v/>
      </c>
      <c r="U445" s="13" t="str">
        <f>IF($A445="","",[1]!thsiFinD("ths_adjustment_nv_fund",U$3,$A445))</f>
        <v/>
      </c>
      <c r="V445" s="13" t="str">
        <f>IF($A445="","",[1]!thsiFinD("ths_adjustment_nv_fund",V$3,$A445))</f>
        <v/>
      </c>
      <c r="W445" s="13" t="str">
        <f>IF($A445="","",[1]!thsiFinD("ths_adjustment_nv_fund",W$3,$A445))</f>
        <v/>
      </c>
      <c r="X445" s="13" t="str">
        <f>IF($A445="","",[1]!thsiFinD("ths_adjustment_nv_fund",X$3,$A445))</f>
        <v/>
      </c>
      <c r="Y445" s="13" t="str">
        <f>IF($A445="","",[1]!thsiFinD("ths_adjustment_nv_fund",Y$3,$A445))</f>
        <v/>
      </c>
      <c r="Z445" s="13" t="str">
        <f>IF($A445="","",[1]!thsiFinD("ths_adjustment_nv_fund",Z$3,$A445))</f>
        <v/>
      </c>
      <c r="AA445" s="13" t="str">
        <f>IF($A445="","",[1]!thsiFinD("ths_adjustment_nv_fund",AA$3,$A445))</f>
        <v/>
      </c>
      <c r="AB445" s="13">
        <f>IF($A445="","",[1]!thsiFinD("ths_adjustment_nv_fund",AB$3,$A445))</f>
        <v/>
      </c>
      <c r="AC445" s="13">
        <f>IF($A445="","",[1]!thsiFinD("ths_adjustment_nv_fund",AC$3,$A445))</f>
        <v/>
      </c>
      <c r="AD445" s="13">
        <f>IF($A445="","",[1]!thsiFinD("ths_adjustment_nv_fund",AD$3,$A445))</f>
        <v/>
      </c>
      <c r="AE445" s="13">
        <f>IF($A445="","",[1]!thsiFinD("ths_adjustment_nv_fund",AE$3,$A445))</f>
        <v/>
      </c>
      <c r="AF445" s="13">
        <f>IF($A445="","",[1]!thsiFinD("ths_adjustment_nv_fund",AF$3,$A445))</f>
        <v/>
      </c>
      <c r="AG445" s="13">
        <f>IF($A445="","",[1]!thsiFinD("ths_adjustment_nv_fund",AG$3,$A445))</f>
        <v/>
      </c>
      <c r="AH445" s="13">
        <f>IF($A445="","",[1]!thsiFinD("ths_adjustment_nv_fund",AH$3,$A445))</f>
        <v/>
      </c>
      <c r="AI445" s="13">
        <f>IF($A445="","",[1]!thsiFinD("ths_adjustment_nv_fund",AI$3,$A445))</f>
        <v/>
      </c>
      <c r="AJ445" s="13">
        <f>IF($A445="","",[1]!thsiFinD("ths_adjustment_nv_fund",AJ$3,$A445))</f>
        <v/>
      </c>
      <c r="AK445" s="13">
        <f>IF($A445="","",[1]!thsiFinD("ths_adjustment_nv_fund",AK$3,$A445))</f>
        <v/>
      </c>
      <c r="AL445" s="13">
        <f>IF($A445="","",[1]!thsiFinD("ths_adjustment_nv_fund",AL$3,$A445))</f>
        <v/>
      </c>
    </row>
    <row r="446" spans="2:28">
      <c r="B446" s="13" t="str">
        <f>IF($A446="","",[1]!thsiFinD("ths_adjustment_nv_fund",B$3,$A446))</f>
        <v/>
      </c>
      <c r="C446" s="13" t="str">
        <f>IF($A446="","",[1]!thsiFinD("ths_adjustment_nv_fund",C$3,$A446))</f>
        <v/>
      </c>
      <c r="D446" s="13" t="str">
        <f>IF($A446="","",[1]!thsiFinD("ths_adjustment_nv_fund",D$3,$A446))</f>
        <v/>
      </c>
      <c r="E446" s="13" t="str">
        <f>IF($A446="","",[1]!thsiFinD("ths_adjustment_nv_fund",E$3,$A446))</f>
        <v/>
      </c>
      <c r="F446" s="13" t="str">
        <f>IF($A446="","",[1]!thsiFinD("ths_adjustment_nv_fund",F$3,$A446))</f>
        <v/>
      </c>
      <c r="G446" s="13" t="str">
        <f>IF($A446="","",[1]!thsiFinD("ths_adjustment_nv_fund",G$3,$A446))</f>
        <v/>
      </c>
      <c r="H446" s="13" t="str">
        <f>IF($A446="","",[1]!thsiFinD("ths_adjustment_nv_fund",H$3,$A446))</f>
        <v/>
      </c>
      <c r="I446" s="13" t="str">
        <f>IF($A446="","",[1]!thsiFinD("ths_adjustment_nv_fund",I$3,$A446))</f>
        <v/>
      </c>
      <c r="J446" s="13" t="str">
        <f>IF($A446="","",[1]!thsiFinD("ths_adjustment_nv_fund",J$3,$A446))</f>
        <v/>
      </c>
      <c r="K446" s="13" t="str">
        <f>IF($A446="","",[1]!thsiFinD("ths_adjustment_nv_fund",K$3,$A446))</f>
        <v/>
      </c>
      <c r="L446" s="13" t="str">
        <f>IF($A446="","",[1]!thsiFinD("ths_adjustment_nv_fund",L$3,$A446))</f>
        <v/>
      </c>
      <c r="M446" s="13" t="str">
        <f>IF($A446="","",[1]!thsiFinD("ths_adjustment_nv_fund",M$3,$A446))</f>
        <v/>
      </c>
      <c r="N446" s="13" t="str">
        <f>IF($A446="","",[1]!thsiFinD("ths_adjustment_nv_fund",N$3,$A446))</f>
        <v/>
      </c>
      <c r="O446" s="13" t="str">
        <f>IF($A446="","",[1]!thsiFinD("ths_adjustment_nv_fund",O$3,$A446))</f>
        <v/>
      </c>
      <c r="P446" s="13" t="str">
        <f>IF($A446="","",[1]!thsiFinD("ths_adjustment_nv_fund",P$3,$A446))</f>
        <v/>
      </c>
      <c r="Q446" s="13" t="str">
        <f>IF($A446="","",[1]!thsiFinD("ths_adjustment_nv_fund",Q$3,$A446))</f>
        <v/>
      </c>
      <c r="R446" s="13" t="str">
        <f>IF($A446="","",[1]!thsiFinD("ths_adjustment_nv_fund",R$3,$A446))</f>
        <v/>
      </c>
      <c r="S446" s="13" t="str">
        <f>IF($A446="","",[1]!thsiFinD("ths_adjustment_nv_fund",S$3,$A446))</f>
        <v/>
      </c>
      <c r="T446" s="13" t="str">
        <f>IF($A446="","",[1]!thsiFinD("ths_adjustment_nv_fund",T$3,$A446))</f>
        <v/>
      </c>
      <c r="U446" s="13" t="str">
        <f>IF($A446="","",[1]!thsiFinD("ths_adjustment_nv_fund",U$3,$A446))</f>
        <v/>
      </c>
      <c r="V446" s="13" t="str">
        <f>IF($A446="","",[1]!thsiFinD("ths_adjustment_nv_fund",V$3,$A446))</f>
        <v/>
      </c>
      <c r="W446" s="13" t="str">
        <f>IF($A446="","",[1]!thsiFinD("ths_adjustment_nv_fund",W$3,$A446))</f>
        <v/>
      </c>
      <c r="X446" s="13" t="str">
        <f>IF($A446="","",[1]!thsiFinD("ths_adjustment_nv_fund",X$3,$A446))</f>
        <v/>
      </c>
      <c r="Y446" s="13" t="str">
        <f>IF($A446="","",[1]!thsiFinD("ths_adjustment_nv_fund",Y$3,$A446))</f>
        <v/>
      </c>
      <c r="Z446" s="13" t="str">
        <f>IF($A446="","",[1]!thsiFinD("ths_adjustment_nv_fund",Z$3,$A446))</f>
        <v/>
      </c>
      <c r="AA446" s="13" t="str">
        <f>IF($A446="","",[1]!thsiFinD("ths_adjustment_nv_fund",AA$3,$A446))</f>
        <v/>
      </c>
      <c r="AB446" s="13">
        <f>IF($A446="","",[1]!thsiFinD("ths_adjustment_nv_fund",AB$3,$A446))</f>
        <v/>
      </c>
      <c r="AC446" s="13">
        <f>IF($A446="","",[1]!thsiFinD("ths_adjustment_nv_fund",AC$3,$A446))</f>
        <v/>
      </c>
      <c r="AD446" s="13">
        <f>IF($A446="","",[1]!thsiFinD("ths_adjustment_nv_fund",AD$3,$A446))</f>
        <v/>
      </c>
      <c r="AE446" s="13">
        <f>IF($A446="","",[1]!thsiFinD("ths_adjustment_nv_fund",AE$3,$A446))</f>
        <v/>
      </c>
      <c r="AF446" s="13">
        <f>IF($A446="","",[1]!thsiFinD("ths_adjustment_nv_fund",AF$3,$A446))</f>
        <v/>
      </c>
      <c r="AG446" s="13">
        <f>IF($A446="","",[1]!thsiFinD("ths_adjustment_nv_fund",AG$3,$A446))</f>
        <v/>
      </c>
      <c r="AH446" s="13">
        <f>IF($A446="","",[1]!thsiFinD("ths_adjustment_nv_fund",AH$3,$A446))</f>
        <v/>
      </c>
      <c r="AI446" s="13">
        <f>IF($A446="","",[1]!thsiFinD("ths_adjustment_nv_fund",AI$3,$A446))</f>
        <v/>
      </c>
      <c r="AJ446" s="13">
        <f>IF($A446="","",[1]!thsiFinD("ths_adjustment_nv_fund",AJ$3,$A446))</f>
        <v/>
      </c>
      <c r="AK446" s="13">
        <f>IF($A446="","",[1]!thsiFinD("ths_adjustment_nv_fund",AK$3,$A446))</f>
        <v/>
      </c>
      <c r="AL446" s="13">
        <f>IF($A446="","",[1]!thsiFinD("ths_adjustment_nv_fund",AL$3,$A446))</f>
        <v/>
      </c>
    </row>
    <row r="447" spans="2:28">
      <c r="B447" s="13" t="str">
        <f>IF($A447="","",[1]!thsiFinD("ths_adjustment_nv_fund",B$3,$A447))</f>
        <v/>
      </c>
      <c r="C447" s="13" t="str">
        <f>IF($A447="","",[1]!thsiFinD("ths_adjustment_nv_fund",C$3,$A447))</f>
        <v/>
      </c>
      <c r="D447" s="13" t="str">
        <f>IF($A447="","",[1]!thsiFinD("ths_adjustment_nv_fund",D$3,$A447))</f>
        <v/>
      </c>
      <c r="E447" s="13" t="str">
        <f>IF($A447="","",[1]!thsiFinD("ths_adjustment_nv_fund",E$3,$A447))</f>
        <v/>
      </c>
      <c r="F447" s="13" t="str">
        <f>IF($A447="","",[1]!thsiFinD("ths_adjustment_nv_fund",F$3,$A447))</f>
        <v/>
      </c>
      <c r="G447" s="13" t="str">
        <f>IF($A447="","",[1]!thsiFinD("ths_adjustment_nv_fund",G$3,$A447))</f>
        <v/>
      </c>
      <c r="H447" s="13" t="str">
        <f>IF($A447="","",[1]!thsiFinD("ths_adjustment_nv_fund",H$3,$A447))</f>
        <v/>
      </c>
      <c r="I447" s="13" t="str">
        <f>IF($A447="","",[1]!thsiFinD("ths_adjustment_nv_fund",I$3,$A447))</f>
        <v/>
      </c>
      <c r="J447" s="13" t="str">
        <f>IF($A447="","",[1]!thsiFinD("ths_adjustment_nv_fund",J$3,$A447))</f>
        <v/>
      </c>
      <c r="K447" s="13" t="str">
        <f>IF($A447="","",[1]!thsiFinD("ths_adjustment_nv_fund",K$3,$A447))</f>
        <v/>
      </c>
      <c r="L447" s="13" t="str">
        <f>IF($A447="","",[1]!thsiFinD("ths_adjustment_nv_fund",L$3,$A447))</f>
        <v/>
      </c>
      <c r="M447" s="13" t="str">
        <f>IF($A447="","",[1]!thsiFinD("ths_adjustment_nv_fund",M$3,$A447))</f>
        <v/>
      </c>
      <c r="N447" s="13" t="str">
        <f>IF($A447="","",[1]!thsiFinD("ths_adjustment_nv_fund",N$3,$A447))</f>
        <v/>
      </c>
      <c r="O447" s="13" t="str">
        <f>IF($A447="","",[1]!thsiFinD("ths_adjustment_nv_fund",O$3,$A447))</f>
        <v/>
      </c>
      <c r="P447" s="13" t="str">
        <f>IF($A447="","",[1]!thsiFinD("ths_adjustment_nv_fund",P$3,$A447))</f>
        <v/>
      </c>
      <c r="Q447" s="13" t="str">
        <f>IF($A447="","",[1]!thsiFinD("ths_adjustment_nv_fund",Q$3,$A447))</f>
        <v/>
      </c>
      <c r="R447" s="13" t="str">
        <f>IF($A447="","",[1]!thsiFinD("ths_adjustment_nv_fund",R$3,$A447))</f>
        <v/>
      </c>
      <c r="S447" s="13" t="str">
        <f>IF($A447="","",[1]!thsiFinD("ths_adjustment_nv_fund",S$3,$A447))</f>
        <v/>
      </c>
      <c r="T447" s="13" t="str">
        <f>IF($A447="","",[1]!thsiFinD("ths_adjustment_nv_fund",T$3,$A447))</f>
        <v/>
      </c>
      <c r="U447" s="13" t="str">
        <f>IF($A447="","",[1]!thsiFinD("ths_adjustment_nv_fund",U$3,$A447))</f>
        <v/>
      </c>
      <c r="V447" s="13" t="str">
        <f>IF($A447="","",[1]!thsiFinD("ths_adjustment_nv_fund",V$3,$A447))</f>
        <v/>
      </c>
      <c r="W447" s="13" t="str">
        <f>IF($A447="","",[1]!thsiFinD("ths_adjustment_nv_fund",W$3,$A447))</f>
        <v/>
      </c>
      <c r="X447" s="13" t="str">
        <f>IF($A447="","",[1]!thsiFinD("ths_adjustment_nv_fund",X$3,$A447))</f>
        <v/>
      </c>
      <c r="Y447" s="13" t="str">
        <f>IF($A447="","",[1]!thsiFinD("ths_adjustment_nv_fund",Y$3,$A447))</f>
        <v/>
      </c>
      <c r="Z447" s="13" t="str">
        <f>IF($A447="","",[1]!thsiFinD("ths_adjustment_nv_fund",Z$3,$A447))</f>
        <v/>
      </c>
      <c r="AA447" s="13" t="str">
        <f>IF($A447="","",[1]!thsiFinD("ths_adjustment_nv_fund",AA$3,$A447))</f>
        <v/>
      </c>
      <c r="AB447" s="13">
        <f>IF($A447="","",[1]!thsiFinD("ths_adjustment_nv_fund",AB$3,$A447))</f>
        <v/>
      </c>
      <c r="AC447" s="13">
        <f>IF($A447="","",[1]!thsiFinD("ths_adjustment_nv_fund",AC$3,$A447))</f>
        <v/>
      </c>
      <c r="AD447" s="13">
        <f>IF($A447="","",[1]!thsiFinD("ths_adjustment_nv_fund",AD$3,$A447))</f>
        <v/>
      </c>
      <c r="AE447" s="13">
        <f>IF($A447="","",[1]!thsiFinD("ths_adjustment_nv_fund",AE$3,$A447))</f>
        <v/>
      </c>
      <c r="AF447" s="13">
        <f>IF($A447="","",[1]!thsiFinD("ths_adjustment_nv_fund",AF$3,$A447))</f>
        <v/>
      </c>
      <c r="AG447" s="13">
        <f>IF($A447="","",[1]!thsiFinD("ths_adjustment_nv_fund",AG$3,$A447))</f>
        <v/>
      </c>
      <c r="AH447" s="13">
        <f>IF($A447="","",[1]!thsiFinD("ths_adjustment_nv_fund",AH$3,$A447))</f>
        <v/>
      </c>
      <c r="AI447" s="13">
        <f>IF($A447="","",[1]!thsiFinD("ths_adjustment_nv_fund",AI$3,$A447))</f>
        <v/>
      </c>
      <c r="AJ447" s="13">
        <f>IF($A447="","",[1]!thsiFinD("ths_adjustment_nv_fund",AJ$3,$A447))</f>
        <v/>
      </c>
      <c r="AK447" s="13">
        <f>IF($A447="","",[1]!thsiFinD("ths_adjustment_nv_fund",AK$3,$A447))</f>
        <v/>
      </c>
      <c r="AL447" s="13">
        <f>IF($A447="","",[1]!thsiFinD("ths_adjustment_nv_fund",AL$3,$A447))</f>
        <v/>
      </c>
    </row>
    <row r="448" spans="2:28">
      <c r="B448" s="13" t="str">
        <f>IF($A448="","",[1]!thsiFinD("ths_adjustment_nv_fund",B$3,$A448))</f>
        <v/>
      </c>
      <c r="C448" s="13" t="str">
        <f>IF($A448="","",[1]!thsiFinD("ths_adjustment_nv_fund",C$3,$A448))</f>
        <v/>
      </c>
      <c r="D448" s="13" t="str">
        <f>IF($A448="","",[1]!thsiFinD("ths_adjustment_nv_fund",D$3,$A448))</f>
        <v/>
      </c>
      <c r="E448" s="13" t="str">
        <f>IF($A448="","",[1]!thsiFinD("ths_adjustment_nv_fund",E$3,$A448))</f>
        <v/>
      </c>
      <c r="F448" s="13" t="str">
        <f>IF($A448="","",[1]!thsiFinD("ths_adjustment_nv_fund",F$3,$A448))</f>
        <v/>
      </c>
      <c r="G448" s="13" t="str">
        <f>IF($A448="","",[1]!thsiFinD("ths_adjustment_nv_fund",G$3,$A448))</f>
        <v/>
      </c>
      <c r="H448" s="13" t="str">
        <f>IF($A448="","",[1]!thsiFinD("ths_adjustment_nv_fund",H$3,$A448))</f>
        <v/>
      </c>
      <c r="I448" s="13" t="str">
        <f>IF($A448="","",[1]!thsiFinD("ths_adjustment_nv_fund",I$3,$A448))</f>
        <v/>
      </c>
      <c r="J448" s="13" t="str">
        <f>IF($A448="","",[1]!thsiFinD("ths_adjustment_nv_fund",J$3,$A448))</f>
        <v/>
      </c>
      <c r="K448" s="13" t="str">
        <f>IF($A448="","",[1]!thsiFinD("ths_adjustment_nv_fund",K$3,$A448))</f>
        <v/>
      </c>
      <c r="L448" s="13" t="str">
        <f>IF($A448="","",[1]!thsiFinD("ths_adjustment_nv_fund",L$3,$A448))</f>
        <v/>
      </c>
      <c r="M448" s="13" t="str">
        <f>IF($A448="","",[1]!thsiFinD("ths_adjustment_nv_fund",M$3,$A448))</f>
        <v/>
      </c>
      <c r="N448" s="13" t="str">
        <f>IF($A448="","",[1]!thsiFinD("ths_adjustment_nv_fund",N$3,$A448))</f>
        <v/>
      </c>
      <c r="O448" s="13" t="str">
        <f>IF($A448="","",[1]!thsiFinD("ths_adjustment_nv_fund",O$3,$A448))</f>
        <v/>
      </c>
      <c r="P448" s="13" t="str">
        <f>IF($A448="","",[1]!thsiFinD("ths_adjustment_nv_fund",P$3,$A448))</f>
        <v/>
      </c>
      <c r="Q448" s="13" t="str">
        <f>IF($A448="","",[1]!thsiFinD("ths_adjustment_nv_fund",Q$3,$A448))</f>
        <v/>
      </c>
      <c r="R448" s="13" t="str">
        <f>IF($A448="","",[1]!thsiFinD("ths_adjustment_nv_fund",R$3,$A448))</f>
        <v/>
      </c>
      <c r="S448" s="13" t="str">
        <f>IF($A448="","",[1]!thsiFinD("ths_adjustment_nv_fund",S$3,$A448))</f>
        <v/>
      </c>
      <c r="T448" s="13" t="str">
        <f>IF($A448="","",[1]!thsiFinD("ths_adjustment_nv_fund",T$3,$A448))</f>
        <v/>
      </c>
      <c r="U448" s="13" t="str">
        <f>IF($A448="","",[1]!thsiFinD("ths_adjustment_nv_fund",U$3,$A448))</f>
        <v/>
      </c>
      <c r="V448" s="13" t="str">
        <f>IF($A448="","",[1]!thsiFinD("ths_adjustment_nv_fund",V$3,$A448))</f>
        <v/>
      </c>
      <c r="W448" s="13" t="str">
        <f>IF($A448="","",[1]!thsiFinD("ths_adjustment_nv_fund",W$3,$A448))</f>
        <v/>
      </c>
      <c r="X448" s="13" t="str">
        <f>IF($A448="","",[1]!thsiFinD("ths_adjustment_nv_fund",X$3,$A448))</f>
        <v/>
      </c>
      <c r="Y448" s="13" t="str">
        <f>IF($A448="","",[1]!thsiFinD("ths_adjustment_nv_fund",Y$3,$A448))</f>
        <v/>
      </c>
      <c r="Z448" s="13" t="str">
        <f>IF($A448="","",[1]!thsiFinD("ths_adjustment_nv_fund",Z$3,$A448))</f>
        <v/>
      </c>
      <c r="AA448" s="13" t="str">
        <f>IF($A448="","",[1]!thsiFinD("ths_adjustment_nv_fund",AA$3,$A448))</f>
        <v/>
      </c>
      <c r="AB448" s="13">
        <f>IF($A448="","",[1]!thsiFinD("ths_adjustment_nv_fund",AB$3,$A448))</f>
        <v/>
      </c>
      <c r="AC448" s="13">
        <f>IF($A448="","",[1]!thsiFinD("ths_adjustment_nv_fund",AC$3,$A448))</f>
        <v/>
      </c>
      <c r="AD448" s="13">
        <f>IF($A448="","",[1]!thsiFinD("ths_adjustment_nv_fund",AD$3,$A448))</f>
        <v/>
      </c>
      <c r="AE448" s="13">
        <f>IF($A448="","",[1]!thsiFinD("ths_adjustment_nv_fund",AE$3,$A448))</f>
        <v/>
      </c>
      <c r="AF448" s="13">
        <f>IF($A448="","",[1]!thsiFinD("ths_adjustment_nv_fund",AF$3,$A448))</f>
        <v/>
      </c>
      <c r="AG448" s="13">
        <f>IF($A448="","",[1]!thsiFinD("ths_adjustment_nv_fund",AG$3,$A448))</f>
        <v/>
      </c>
      <c r="AH448" s="13">
        <f>IF($A448="","",[1]!thsiFinD("ths_adjustment_nv_fund",AH$3,$A448))</f>
        <v/>
      </c>
      <c r="AI448" s="13">
        <f>IF($A448="","",[1]!thsiFinD("ths_adjustment_nv_fund",AI$3,$A448))</f>
        <v/>
      </c>
      <c r="AJ448" s="13">
        <f>IF($A448="","",[1]!thsiFinD("ths_adjustment_nv_fund",AJ$3,$A448))</f>
        <v/>
      </c>
      <c r="AK448" s="13">
        <f>IF($A448="","",[1]!thsiFinD("ths_adjustment_nv_fund",AK$3,$A448))</f>
        <v/>
      </c>
      <c r="AL448" s="13">
        <f>IF($A448="","",[1]!thsiFinD("ths_adjustment_nv_fund",AL$3,$A448))</f>
        <v/>
      </c>
    </row>
    <row r="449" spans="2:28">
      <c r="B449" s="13" t="str">
        <f>IF($A449="","",[1]!thsiFinD("ths_adjustment_nv_fund",B$3,$A449))</f>
        <v/>
      </c>
      <c r="C449" s="13" t="str">
        <f>IF($A449="","",[1]!thsiFinD("ths_adjustment_nv_fund",C$3,$A449))</f>
        <v/>
      </c>
      <c r="D449" s="13" t="str">
        <f>IF($A449="","",[1]!thsiFinD("ths_adjustment_nv_fund",D$3,$A449))</f>
        <v/>
      </c>
      <c r="E449" s="13" t="str">
        <f>IF($A449="","",[1]!thsiFinD("ths_adjustment_nv_fund",E$3,$A449))</f>
        <v/>
      </c>
      <c r="F449" s="13" t="str">
        <f>IF($A449="","",[1]!thsiFinD("ths_adjustment_nv_fund",F$3,$A449))</f>
        <v/>
      </c>
      <c r="G449" s="13" t="str">
        <f>IF($A449="","",[1]!thsiFinD("ths_adjustment_nv_fund",G$3,$A449))</f>
        <v/>
      </c>
      <c r="H449" s="13" t="str">
        <f>IF($A449="","",[1]!thsiFinD("ths_adjustment_nv_fund",H$3,$A449))</f>
        <v/>
      </c>
      <c r="I449" s="13" t="str">
        <f>IF($A449="","",[1]!thsiFinD("ths_adjustment_nv_fund",I$3,$A449))</f>
        <v/>
      </c>
      <c r="J449" s="13" t="str">
        <f>IF($A449="","",[1]!thsiFinD("ths_adjustment_nv_fund",J$3,$A449))</f>
        <v/>
      </c>
      <c r="K449" s="13" t="str">
        <f>IF($A449="","",[1]!thsiFinD("ths_adjustment_nv_fund",K$3,$A449))</f>
        <v/>
      </c>
      <c r="L449" s="13" t="str">
        <f>IF($A449="","",[1]!thsiFinD("ths_adjustment_nv_fund",L$3,$A449))</f>
        <v/>
      </c>
      <c r="M449" s="13" t="str">
        <f>IF($A449="","",[1]!thsiFinD("ths_adjustment_nv_fund",M$3,$A449))</f>
        <v/>
      </c>
      <c r="N449" s="13" t="str">
        <f>IF($A449="","",[1]!thsiFinD("ths_adjustment_nv_fund",N$3,$A449))</f>
        <v/>
      </c>
      <c r="O449" s="13" t="str">
        <f>IF($A449="","",[1]!thsiFinD("ths_adjustment_nv_fund",O$3,$A449))</f>
        <v/>
      </c>
      <c r="P449" s="13" t="str">
        <f>IF($A449="","",[1]!thsiFinD("ths_adjustment_nv_fund",P$3,$A449))</f>
        <v/>
      </c>
      <c r="Q449" s="13" t="str">
        <f>IF($A449="","",[1]!thsiFinD("ths_adjustment_nv_fund",Q$3,$A449))</f>
        <v/>
      </c>
      <c r="R449" s="13" t="str">
        <f>IF($A449="","",[1]!thsiFinD("ths_adjustment_nv_fund",R$3,$A449))</f>
        <v/>
      </c>
      <c r="S449" s="13" t="str">
        <f>IF($A449="","",[1]!thsiFinD("ths_adjustment_nv_fund",S$3,$A449))</f>
        <v/>
      </c>
      <c r="T449" s="13" t="str">
        <f>IF($A449="","",[1]!thsiFinD("ths_adjustment_nv_fund",T$3,$A449))</f>
        <v/>
      </c>
      <c r="U449" s="13" t="str">
        <f>IF($A449="","",[1]!thsiFinD("ths_adjustment_nv_fund",U$3,$A449))</f>
        <v/>
      </c>
      <c r="V449" s="13" t="str">
        <f>IF($A449="","",[1]!thsiFinD("ths_adjustment_nv_fund",V$3,$A449))</f>
        <v/>
      </c>
      <c r="W449" s="13" t="str">
        <f>IF($A449="","",[1]!thsiFinD("ths_adjustment_nv_fund",W$3,$A449))</f>
        <v/>
      </c>
      <c r="X449" s="13" t="str">
        <f>IF($A449="","",[1]!thsiFinD("ths_adjustment_nv_fund",X$3,$A449))</f>
        <v/>
      </c>
      <c r="Y449" s="13" t="str">
        <f>IF($A449="","",[1]!thsiFinD("ths_adjustment_nv_fund",Y$3,$A449))</f>
        <v/>
      </c>
      <c r="Z449" s="13" t="str">
        <f>IF($A449="","",[1]!thsiFinD("ths_adjustment_nv_fund",Z$3,$A449))</f>
        <v/>
      </c>
      <c r="AA449" s="13" t="str">
        <f>IF($A449="","",[1]!thsiFinD("ths_adjustment_nv_fund",AA$3,$A449))</f>
        <v/>
      </c>
      <c r="AB449" s="13">
        <f>IF($A449="","",[1]!thsiFinD("ths_adjustment_nv_fund",AB$3,$A449))</f>
        <v/>
      </c>
      <c r="AC449" s="13">
        <f>IF($A449="","",[1]!thsiFinD("ths_adjustment_nv_fund",AC$3,$A449))</f>
        <v/>
      </c>
      <c r="AD449" s="13">
        <f>IF($A449="","",[1]!thsiFinD("ths_adjustment_nv_fund",AD$3,$A449))</f>
        <v/>
      </c>
      <c r="AE449" s="13">
        <f>IF($A449="","",[1]!thsiFinD("ths_adjustment_nv_fund",AE$3,$A449))</f>
        <v/>
      </c>
      <c r="AF449" s="13">
        <f>IF($A449="","",[1]!thsiFinD("ths_adjustment_nv_fund",AF$3,$A449))</f>
        <v/>
      </c>
      <c r="AG449" s="13">
        <f>IF($A449="","",[1]!thsiFinD("ths_adjustment_nv_fund",AG$3,$A449))</f>
        <v/>
      </c>
      <c r="AH449" s="13">
        <f>IF($A449="","",[1]!thsiFinD("ths_adjustment_nv_fund",AH$3,$A449))</f>
        <v/>
      </c>
      <c r="AI449" s="13">
        <f>IF($A449="","",[1]!thsiFinD("ths_adjustment_nv_fund",AI$3,$A449))</f>
        <v/>
      </c>
      <c r="AJ449" s="13">
        <f>IF($A449="","",[1]!thsiFinD("ths_adjustment_nv_fund",AJ$3,$A449))</f>
        <v/>
      </c>
      <c r="AK449" s="13">
        <f>IF($A449="","",[1]!thsiFinD("ths_adjustment_nv_fund",AK$3,$A449))</f>
        <v/>
      </c>
      <c r="AL449" s="13">
        <f>IF($A449="","",[1]!thsiFinD("ths_adjustment_nv_fund",AL$3,$A449))</f>
        <v/>
      </c>
    </row>
    <row r="450" spans="2:28">
      <c r="B450" s="13" t="str">
        <f>IF($A450="","",[1]!thsiFinD("ths_adjustment_nv_fund",B$3,$A450))</f>
        <v/>
      </c>
      <c r="C450" s="13" t="str">
        <f>IF($A450="","",[1]!thsiFinD("ths_adjustment_nv_fund",C$3,$A450))</f>
        <v/>
      </c>
      <c r="D450" s="13" t="str">
        <f>IF($A450="","",[1]!thsiFinD("ths_adjustment_nv_fund",D$3,$A450))</f>
        <v/>
      </c>
      <c r="E450" s="13" t="str">
        <f>IF($A450="","",[1]!thsiFinD("ths_adjustment_nv_fund",E$3,$A450))</f>
        <v/>
      </c>
      <c r="F450" s="13" t="str">
        <f>IF($A450="","",[1]!thsiFinD("ths_adjustment_nv_fund",F$3,$A450))</f>
        <v/>
      </c>
      <c r="G450" s="13" t="str">
        <f>IF($A450="","",[1]!thsiFinD("ths_adjustment_nv_fund",G$3,$A450))</f>
        <v/>
      </c>
      <c r="H450" s="13" t="str">
        <f>IF($A450="","",[1]!thsiFinD("ths_adjustment_nv_fund",H$3,$A450))</f>
        <v/>
      </c>
      <c r="I450" s="13" t="str">
        <f>IF($A450="","",[1]!thsiFinD("ths_adjustment_nv_fund",I$3,$A450))</f>
        <v/>
      </c>
      <c r="J450" s="13" t="str">
        <f>IF($A450="","",[1]!thsiFinD("ths_adjustment_nv_fund",J$3,$A450))</f>
        <v/>
      </c>
      <c r="K450" s="13" t="str">
        <f>IF($A450="","",[1]!thsiFinD("ths_adjustment_nv_fund",K$3,$A450))</f>
        <v/>
      </c>
      <c r="L450" s="13" t="str">
        <f>IF($A450="","",[1]!thsiFinD("ths_adjustment_nv_fund",L$3,$A450))</f>
        <v/>
      </c>
      <c r="M450" s="13" t="str">
        <f>IF($A450="","",[1]!thsiFinD("ths_adjustment_nv_fund",M$3,$A450))</f>
        <v/>
      </c>
      <c r="N450" s="13" t="str">
        <f>IF($A450="","",[1]!thsiFinD("ths_adjustment_nv_fund",N$3,$A450))</f>
        <v/>
      </c>
      <c r="O450" s="13" t="str">
        <f>IF($A450="","",[1]!thsiFinD("ths_adjustment_nv_fund",O$3,$A450))</f>
        <v/>
      </c>
      <c r="P450" s="13" t="str">
        <f>IF($A450="","",[1]!thsiFinD("ths_adjustment_nv_fund",P$3,$A450))</f>
        <v/>
      </c>
      <c r="Q450" s="13" t="str">
        <f>IF($A450="","",[1]!thsiFinD("ths_adjustment_nv_fund",Q$3,$A450))</f>
        <v/>
      </c>
      <c r="R450" s="13" t="str">
        <f>IF($A450="","",[1]!thsiFinD("ths_adjustment_nv_fund",R$3,$A450))</f>
        <v/>
      </c>
      <c r="S450" s="13" t="str">
        <f>IF($A450="","",[1]!thsiFinD("ths_adjustment_nv_fund",S$3,$A450))</f>
        <v/>
      </c>
      <c r="T450" s="13" t="str">
        <f>IF($A450="","",[1]!thsiFinD("ths_adjustment_nv_fund",T$3,$A450))</f>
        <v/>
      </c>
      <c r="U450" s="13" t="str">
        <f>IF($A450="","",[1]!thsiFinD("ths_adjustment_nv_fund",U$3,$A450))</f>
        <v/>
      </c>
      <c r="V450" s="13" t="str">
        <f>IF($A450="","",[1]!thsiFinD("ths_adjustment_nv_fund",V$3,$A450))</f>
        <v/>
      </c>
      <c r="W450" s="13" t="str">
        <f>IF($A450="","",[1]!thsiFinD("ths_adjustment_nv_fund",W$3,$A450))</f>
        <v/>
      </c>
      <c r="X450" s="13" t="str">
        <f>IF($A450="","",[1]!thsiFinD("ths_adjustment_nv_fund",X$3,$A450))</f>
        <v/>
      </c>
      <c r="Y450" s="13" t="str">
        <f>IF($A450="","",[1]!thsiFinD("ths_adjustment_nv_fund",Y$3,$A450))</f>
        <v/>
      </c>
      <c r="Z450" s="13" t="str">
        <f>IF($A450="","",[1]!thsiFinD("ths_adjustment_nv_fund",Z$3,$A450))</f>
        <v/>
      </c>
      <c r="AA450" s="13" t="str">
        <f>IF($A450="","",[1]!thsiFinD("ths_adjustment_nv_fund",AA$3,$A450))</f>
        <v/>
      </c>
      <c r="AB450" s="13">
        <f>IF($A450="","",[1]!thsiFinD("ths_adjustment_nv_fund",AB$3,$A450))</f>
        <v/>
      </c>
      <c r="AC450" s="13">
        <f>IF($A450="","",[1]!thsiFinD("ths_adjustment_nv_fund",AC$3,$A450))</f>
        <v/>
      </c>
      <c r="AD450" s="13">
        <f>IF($A450="","",[1]!thsiFinD("ths_adjustment_nv_fund",AD$3,$A450))</f>
        <v/>
      </c>
      <c r="AE450" s="13">
        <f>IF($A450="","",[1]!thsiFinD("ths_adjustment_nv_fund",AE$3,$A450))</f>
        <v/>
      </c>
      <c r="AF450" s="13">
        <f>IF($A450="","",[1]!thsiFinD("ths_adjustment_nv_fund",AF$3,$A450))</f>
        <v/>
      </c>
      <c r="AG450" s="13">
        <f>IF($A450="","",[1]!thsiFinD("ths_adjustment_nv_fund",AG$3,$A450))</f>
        <v/>
      </c>
      <c r="AH450" s="13">
        <f>IF($A450="","",[1]!thsiFinD("ths_adjustment_nv_fund",AH$3,$A450))</f>
        <v/>
      </c>
      <c r="AI450" s="13">
        <f>IF($A450="","",[1]!thsiFinD("ths_adjustment_nv_fund",AI$3,$A450))</f>
        <v/>
      </c>
      <c r="AJ450" s="13">
        <f>IF($A450="","",[1]!thsiFinD("ths_adjustment_nv_fund",AJ$3,$A450))</f>
        <v/>
      </c>
      <c r="AK450" s="13">
        <f>IF($A450="","",[1]!thsiFinD("ths_adjustment_nv_fund",AK$3,$A450))</f>
        <v/>
      </c>
      <c r="AL450" s="13">
        <f>IF($A450="","",[1]!thsiFinD("ths_adjustment_nv_fund",AL$3,$A450))</f>
        <v/>
      </c>
    </row>
    <row r="451" spans="2:28">
      <c r="B451" s="13" t="str">
        <f>IF($A451="","",[1]!thsiFinD("ths_adjustment_nv_fund",B$3,$A451))</f>
        <v/>
      </c>
      <c r="C451" s="13" t="str">
        <f>IF($A451="","",[1]!thsiFinD("ths_adjustment_nv_fund",C$3,$A451))</f>
        <v/>
      </c>
      <c r="D451" s="13" t="str">
        <f>IF($A451="","",[1]!thsiFinD("ths_adjustment_nv_fund",D$3,$A451))</f>
        <v/>
      </c>
      <c r="E451" s="13" t="str">
        <f>IF($A451="","",[1]!thsiFinD("ths_adjustment_nv_fund",E$3,$A451))</f>
        <v/>
      </c>
      <c r="F451" s="13" t="str">
        <f>IF($A451="","",[1]!thsiFinD("ths_adjustment_nv_fund",F$3,$A451))</f>
        <v/>
      </c>
      <c r="G451" s="13" t="str">
        <f>IF($A451="","",[1]!thsiFinD("ths_adjustment_nv_fund",G$3,$A451))</f>
        <v/>
      </c>
      <c r="H451" s="13" t="str">
        <f>IF($A451="","",[1]!thsiFinD("ths_adjustment_nv_fund",H$3,$A451))</f>
        <v/>
      </c>
      <c r="I451" s="13" t="str">
        <f>IF($A451="","",[1]!thsiFinD("ths_adjustment_nv_fund",I$3,$A451))</f>
        <v/>
      </c>
      <c r="J451" s="13" t="str">
        <f>IF($A451="","",[1]!thsiFinD("ths_adjustment_nv_fund",J$3,$A451))</f>
        <v/>
      </c>
      <c r="K451" s="13" t="str">
        <f>IF($A451="","",[1]!thsiFinD("ths_adjustment_nv_fund",K$3,$A451))</f>
        <v/>
      </c>
      <c r="L451" s="13" t="str">
        <f>IF($A451="","",[1]!thsiFinD("ths_adjustment_nv_fund",L$3,$A451))</f>
        <v/>
      </c>
      <c r="M451" s="13" t="str">
        <f>IF($A451="","",[1]!thsiFinD("ths_adjustment_nv_fund",M$3,$A451))</f>
        <v/>
      </c>
      <c r="N451" s="13" t="str">
        <f>IF($A451="","",[1]!thsiFinD("ths_adjustment_nv_fund",N$3,$A451))</f>
        <v/>
      </c>
      <c r="O451" s="13" t="str">
        <f>IF($A451="","",[1]!thsiFinD("ths_adjustment_nv_fund",O$3,$A451))</f>
        <v/>
      </c>
      <c r="P451" s="13" t="str">
        <f>IF($A451="","",[1]!thsiFinD("ths_adjustment_nv_fund",P$3,$A451))</f>
        <v/>
      </c>
      <c r="Q451" s="13" t="str">
        <f>IF($A451="","",[1]!thsiFinD("ths_adjustment_nv_fund",Q$3,$A451))</f>
        <v/>
      </c>
      <c r="R451" s="13" t="str">
        <f>IF($A451="","",[1]!thsiFinD("ths_adjustment_nv_fund",R$3,$A451))</f>
        <v/>
      </c>
      <c r="S451" s="13" t="str">
        <f>IF($A451="","",[1]!thsiFinD("ths_adjustment_nv_fund",S$3,$A451))</f>
        <v/>
      </c>
      <c r="T451" s="13" t="str">
        <f>IF($A451="","",[1]!thsiFinD("ths_adjustment_nv_fund",T$3,$A451))</f>
        <v/>
      </c>
      <c r="U451" s="13" t="str">
        <f>IF($A451="","",[1]!thsiFinD("ths_adjustment_nv_fund",U$3,$A451))</f>
        <v/>
      </c>
      <c r="V451" s="13" t="str">
        <f>IF($A451="","",[1]!thsiFinD("ths_adjustment_nv_fund",V$3,$A451))</f>
        <v/>
      </c>
      <c r="W451" s="13" t="str">
        <f>IF($A451="","",[1]!thsiFinD("ths_adjustment_nv_fund",W$3,$A451))</f>
        <v/>
      </c>
      <c r="X451" s="13" t="str">
        <f>IF($A451="","",[1]!thsiFinD("ths_adjustment_nv_fund",X$3,$A451))</f>
        <v/>
      </c>
      <c r="Y451" s="13" t="str">
        <f>IF($A451="","",[1]!thsiFinD("ths_adjustment_nv_fund",Y$3,$A451))</f>
        <v/>
      </c>
      <c r="Z451" s="13" t="str">
        <f>IF($A451="","",[1]!thsiFinD("ths_adjustment_nv_fund",Z$3,$A451))</f>
        <v/>
      </c>
      <c r="AA451" s="13" t="str">
        <f>IF($A451="","",[1]!thsiFinD("ths_adjustment_nv_fund",AA$3,$A451))</f>
        <v/>
      </c>
      <c r="AB451" s="13">
        <f>IF($A451="","",[1]!thsiFinD("ths_adjustment_nv_fund",AB$3,$A451))</f>
        <v/>
      </c>
      <c r="AC451" s="13">
        <f>IF($A451="","",[1]!thsiFinD("ths_adjustment_nv_fund",AC$3,$A451))</f>
        <v/>
      </c>
      <c r="AD451" s="13">
        <f>IF($A451="","",[1]!thsiFinD("ths_adjustment_nv_fund",AD$3,$A451))</f>
        <v/>
      </c>
      <c r="AE451" s="13">
        <f>IF($A451="","",[1]!thsiFinD("ths_adjustment_nv_fund",AE$3,$A451))</f>
        <v/>
      </c>
      <c r="AF451" s="13">
        <f>IF($A451="","",[1]!thsiFinD("ths_adjustment_nv_fund",AF$3,$A451))</f>
        <v/>
      </c>
      <c r="AG451" s="13">
        <f>IF($A451="","",[1]!thsiFinD("ths_adjustment_nv_fund",AG$3,$A451))</f>
        <v/>
      </c>
      <c r="AH451" s="13">
        <f>IF($A451="","",[1]!thsiFinD("ths_adjustment_nv_fund",AH$3,$A451))</f>
        <v/>
      </c>
      <c r="AI451" s="13">
        <f>IF($A451="","",[1]!thsiFinD("ths_adjustment_nv_fund",AI$3,$A451))</f>
        <v/>
      </c>
      <c r="AJ451" s="13">
        <f>IF($A451="","",[1]!thsiFinD("ths_adjustment_nv_fund",AJ$3,$A451))</f>
        <v/>
      </c>
      <c r="AK451" s="13">
        <f>IF($A451="","",[1]!thsiFinD("ths_adjustment_nv_fund",AK$3,$A451))</f>
        <v/>
      </c>
      <c r="AL451" s="13">
        <f>IF($A451="","",[1]!thsiFinD("ths_adjustment_nv_fund",AL$3,$A451))</f>
        <v/>
      </c>
    </row>
    <row r="452" spans="2:28">
      <c r="B452" s="13" t="str">
        <f>IF($A452="","",[1]!thsiFinD("ths_adjustment_nv_fund",B$3,$A452))</f>
        <v/>
      </c>
      <c r="C452" s="13" t="str">
        <f>IF($A452="","",[1]!thsiFinD("ths_adjustment_nv_fund",C$3,$A452))</f>
        <v/>
      </c>
      <c r="D452" s="13" t="str">
        <f>IF($A452="","",[1]!thsiFinD("ths_adjustment_nv_fund",D$3,$A452))</f>
        <v/>
      </c>
      <c r="E452" s="13" t="str">
        <f>IF($A452="","",[1]!thsiFinD("ths_adjustment_nv_fund",E$3,$A452))</f>
        <v/>
      </c>
      <c r="F452" s="13" t="str">
        <f>IF($A452="","",[1]!thsiFinD("ths_adjustment_nv_fund",F$3,$A452))</f>
        <v/>
      </c>
      <c r="G452" s="13" t="str">
        <f>IF($A452="","",[1]!thsiFinD("ths_adjustment_nv_fund",G$3,$A452))</f>
        <v/>
      </c>
      <c r="H452" s="13" t="str">
        <f>IF($A452="","",[1]!thsiFinD("ths_adjustment_nv_fund",H$3,$A452))</f>
        <v/>
      </c>
      <c r="I452" s="13" t="str">
        <f>IF($A452="","",[1]!thsiFinD("ths_adjustment_nv_fund",I$3,$A452))</f>
        <v/>
      </c>
      <c r="J452" s="13" t="str">
        <f>IF($A452="","",[1]!thsiFinD("ths_adjustment_nv_fund",J$3,$A452))</f>
        <v/>
      </c>
      <c r="K452" s="13" t="str">
        <f>IF($A452="","",[1]!thsiFinD("ths_adjustment_nv_fund",K$3,$A452))</f>
        <v/>
      </c>
      <c r="L452" s="13" t="str">
        <f>IF($A452="","",[1]!thsiFinD("ths_adjustment_nv_fund",L$3,$A452))</f>
        <v/>
      </c>
      <c r="M452" s="13" t="str">
        <f>IF($A452="","",[1]!thsiFinD("ths_adjustment_nv_fund",M$3,$A452))</f>
        <v/>
      </c>
      <c r="N452" s="13" t="str">
        <f>IF($A452="","",[1]!thsiFinD("ths_adjustment_nv_fund",N$3,$A452))</f>
        <v/>
      </c>
      <c r="O452" s="13" t="str">
        <f>IF($A452="","",[1]!thsiFinD("ths_adjustment_nv_fund",O$3,$A452))</f>
        <v/>
      </c>
      <c r="P452" s="13" t="str">
        <f>IF($A452="","",[1]!thsiFinD("ths_adjustment_nv_fund",P$3,$A452))</f>
        <v/>
      </c>
      <c r="Q452" s="13" t="str">
        <f>IF($A452="","",[1]!thsiFinD("ths_adjustment_nv_fund",Q$3,$A452))</f>
        <v/>
      </c>
      <c r="R452" s="13" t="str">
        <f>IF($A452="","",[1]!thsiFinD("ths_adjustment_nv_fund",R$3,$A452))</f>
        <v/>
      </c>
      <c r="S452" s="13" t="str">
        <f>IF($A452="","",[1]!thsiFinD("ths_adjustment_nv_fund",S$3,$A452))</f>
        <v/>
      </c>
      <c r="T452" s="13" t="str">
        <f>IF($A452="","",[1]!thsiFinD("ths_adjustment_nv_fund",T$3,$A452))</f>
        <v/>
      </c>
      <c r="U452" s="13" t="str">
        <f>IF($A452="","",[1]!thsiFinD("ths_adjustment_nv_fund",U$3,$A452))</f>
        <v/>
      </c>
      <c r="V452" s="13" t="str">
        <f>IF($A452="","",[1]!thsiFinD("ths_adjustment_nv_fund",V$3,$A452))</f>
        <v/>
      </c>
      <c r="W452" s="13" t="str">
        <f>IF($A452="","",[1]!thsiFinD("ths_adjustment_nv_fund",W$3,$A452))</f>
        <v/>
      </c>
      <c r="X452" s="13" t="str">
        <f>IF($A452="","",[1]!thsiFinD("ths_adjustment_nv_fund",X$3,$A452))</f>
        <v/>
      </c>
      <c r="Y452" s="13" t="str">
        <f>IF($A452="","",[1]!thsiFinD("ths_adjustment_nv_fund",Y$3,$A452))</f>
        <v/>
      </c>
      <c r="Z452" s="13" t="str">
        <f>IF($A452="","",[1]!thsiFinD("ths_adjustment_nv_fund",Z$3,$A452))</f>
        <v/>
      </c>
      <c r="AA452" s="13" t="str">
        <f>IF($A452="","",[1]!thsiFinD("ths_adjustment_nv_fund",AA$3,$A452))</f>
        <v/>
      </c>
      <c r="AB452" s="13">
        <f>IF($A452="","",[1]!thsiFinD("ths_adjustment_nv_fund",AB$3,$A452))</f>
        <v/>
      </c>
      <c r="AC452" s="13">
        <f>IF($A452="","",[1]!thsiFinD("ths_adjustment_nv_fund",AC$3,$A452))</f>
        <v/>
      </c>
      <c r="AD452" s="13">
        <f>IF($A452="","",[1]!thsiFinD("ths_adjustment_nv_fund",AD$3,$A452))</f>
        <v/>
      </c>
      <c r="AE452" s="13">
        <f>IF($A452="","",[1]!thsiFinD("ths_adjustment_nv_fund",AE$3,$A452))</f>
        <v/>
      </c>
      <c r="AF452" s="13">
        <f>IF($A452="","",[1]!thsiFinD("ths_adjustment_nv_fund",AF$3,$A452))</f>
        <v/>
      </c>
      <c r="AG452" s="13">
        <f>IF($A452="","",[1]!thsiFinD("ths_adjustment_nv_fund",AG$3,$A452))</f>
        <v/>
      </c>
      <c r="AH452" s="13">
        <f>IF($A452="","",[1]!thsiFinD("ths_adjustment_nv_fund",AH$3,$A452))</f>
        <v/>
      </c>
      <c r="AI452" s="13">
        <f>IF($A452="","",[1]!thsiFinD("ths_adjustment_nv_fund",AI$3,$A452))</f>
        <v/>
      </c>
      <c r="AJ452" s="13">
        <f>IF($A452="","",[1]!thsiFinD("ths_adjustment_nv_fund",AJ$3,$A452))</f>
        <v/>
      </c>
      <c r="AK452" s="13">
        <f>IF($A452="","",[1]!thsiFinD("ths_adjustment_nv_fund",AK$3,$A452))</f>
        <v/>
      </c>
      <c r="AL452" s="13">
        <f>IF($A452="","",[1]!thsiFinD("ths_adjustment_nv_fund",AL$3,$A452))</f>
        <v/>
      </c>
    </row>
    <row r="453" spans="2:28">
      <c r="B453" s="13" t="str">
        <f>IF($A453="","",[1]!thsiFinD("ths_adjustment_nv_fund",B$3,$A453))</f>
        <v/>
      </c>
      <c r="C453" s="13" t="str">
        <f>IF($A453="","",[1]!thsiFinD("ths_adjustment_nv_fund",C$3,$A453))</f>
        <v/>
      </c>
      <c r="D453" s="13" t="str">
        <f>IF($A453="","",[1]!thsiFinD("ths_adjustment_nv_fund",D$3,$A453))</f>
        <v/>
      </c>
      <c r="E453" s="13" t="str">
        <f>IF($A453="","",[1]!thsiFinD("ths_adjustment_nv_fund",E$3,$A453))</f>
        <v/>
      </c>
      <c r="F453" s="13" t="str">
        <f>IF($A453="","",[1]!thsiFinD("ths_adjustment_nv_fund",F$3,$A453))</f>
        <v/>
      </c>
      <c r="G453" s="13" t="str">
        <f>IF($A453="","",[1]!thsiFinD("ths_adjustment_nv_fund",G$3,$A453))</f>
        <v/>
      </c>
      <c r="H453" s="13" t="str">
        <f>IF($A453="","",[1]!thsiFinD("ths_adjustment_nv_fund",H$3,$A453))</f>
        <v/>
      </c>
      <c r="I453" s="13" t="str">
        <f>IF($A453="","",[1]!thsiFinD("ths_adjustment_nv_fund",I$3,$A453))</f>
        <v/>
      </c>
      <c r="J453" s="13" t="str">
        <f>IF($A453="","",[1]!thsiFinD("ths_adjustment_nv_fund",J$3,$A453))</f>
        <v/>
      </c>
      <c r="K453" s="13" t="str">
        <f>IF($A453="","",[1]!thsiFinD("ths_adjustment_nv_fund",K$3,$A453))</f>
        <v/>
      </c>
      <c r="L453" s="13" t="str">
        <f>IF($A453="","",[1]!thsiFinD("ths_adjustment_nv_fund",L$3,$A453))</f>
        <v/>
      </c>
      <c r="M453" s="13" t="str">
        <f>IF($A453="","",[1]!thsiFinD("ths_adjustment_nv_fund",M$3,$A453))</f>
        <v/>
      </c>
      <c r="N453" s="13" t="str">
        <f>IF($A453="","",[1]!thsiFinD("ths_adjustment_nv_fund",N$3,$A453))</f>
        <v/>
      </c>
      <c r="O453" s="13" t="str">
        <f>IF($A453="","",[1]!thsiFinD("ths_adjustment_nv_fund",O$3,$A453))</f>
        <v/>
      </c>
      <c r="P453" s="13" t="str">
        <f>IF($A453="","",[1]!thsiFinD("ths_adjustment_nv_fund",P$3,$A453))</f>
        <v/>
      </c>
      <c r="Q453" s="13" t="str">
        <f>IF($A453="","",[1]!thsiFinD("ths_adjustment_nv_fund",Q$3,$A453))</f>
        <v/>
      </c>
      <c r="R453" s="13" t="str">
        <f>IF($A453="","",[1]!thsiFinD("ths_adjustment_nv_fund",R$3,$A453))</f>
        <v/>
      </c>
      <c r="S453" s="13" t="str">
        <f>IF($A453="","",[1]!thsiFinD("ths_adjustment_nv_fund",S$3,$A453))</f>
        <v/>
      </c>
      <c r="T453" s="13" t="str">
        <f>IF($A453="","",[1]!thsiFinD("ths_adjustment_nv_fund",T$3,$A453))</f>
        <v/>
      </c>
      <c r="U453" s="13" t="str">
        <f>IF($A453="","",[1]!thsiFinD("ths_adjustment_nv_fund",U$3,$A453))</f>
        <v/>
      </c>
      <c r="V453" s="13" t="str">
        <f>IF($A453="","",[1]!thsiFinD("ths_adjustment_nv_fund",V$3,$A453))</f>
        <v/>
      </c>
      <c r="W453" s="13" t="str">
        <f>IF($A453="","",[1]!thsiFinD("ths_adjustment_nv_fund",W$3,$A453))</f>
        <v/>
      </c>
      <c r="X453" s="13" t="str">
        <f>IF($A453="","",[1]!thsiFinD("ths_adjustment_nv_fund",X$3,$A453))</f>
        <v/>
      </c>
      <c r="Y453" s="13" t="str">
        <f>IF($A453="","",[1]!thsiFinD("ths_adjustment_nv_fund",Y$3,$A453))</f>
        <v/>
      </c>
      <c r="Z453" s="13" t="str">
        <f>IF($A453="","",[1]!thsiFinD("ths_adjustment_nv_fund",Z$3,$A453))</f>
        <v/>
      </c>
      <c r="AA453" s="13" t="str">
        <f>IF($A453="","",[1]!thsiFinD("ths_adjustment_nv_fund",AA$3,$A453))</f>
        <v/>
      </c>
      <c r="AB453" s="13">
        <f>IF($A453="","",[1]!thsiFinD("ths_adjustment_nv_fund",AB$3,$A453))</f>
        <v/>
      </c>
      <c r="AC453" s="13">
        <f>IF($A453="","",[1]!thsiFinD("ths_adjustment_nv_fund",AC$3,$A453))</f>
        <v/>
      </c>
      <c r="AD453" s="13">
        <f>IF($A453="","",[1]!thsiFinD("ths_adjustment_nv_fund",AD$3,$A453))</f>
        <v/>
      </c>
      <c r="AE453" s="13">
        <f>IF($A453="","",[1]!thsiFinD("ths_adjustment_nv_fund",AE$3,$A453))</f>
        <v/>
      </c>
      <c r="AF453" s="13">
        <f>IF($A453="","",[1]!thsiFinD("ths_adjustment_nv_fund",AF$3,$A453))</f>
        <v/>
      </c>
      <c r="AG453" s="13">
        <f>IF($A453="","",[1]!thsiFinD("ths_adjustment_nv_fund",AG$3,$A453))</f>
        <v/>
      </c>
      <c r="AH453" s="13">
        <f>IF($A453="","",[1]!thsiFinD("ths_adjustment_nv_fund",AH$3,$A453))</f>
        <v/>
      </c>
      <c r="AI453" s="13">
        <f>IF($A453="","",[1]!thsiFinD("ths_adjustment_nv_fund",AI$3,$A453))</f>
        <v/>
      </c>
      <c r="AJ453" s="13">
        <f>IF($A453="","",[1]!thsiFinD("ths_adjustment_nv_fund",AJ$3,$A453))</f>
        <v/>
      </c>
      <c r="AK453" s="13">
        <f>IF($A453="","",[1]!thsiFinD("ths_adjustment_nv_fund",AK$3,$A453))</f>
        <v/>
      </c>
      <c r="AL453" s="13">
        <f>IF($A453="","",[1]!thsiFinD("ths_adjustment_nv_fund",AL$3,$A453))</f>
        <v/>
      </c>
    </row>
    <row r="454" spans="2:28">
      <c r="B454" s="13" t="str">
        <f>IF($A454="","",[1]!thsiFinD("ths_adjustment_nv_fund",B$3,$A454))</f>
        <v/>
      </c>
      <c r="C454" s="13" t="str">
        <f>IF($A454="","",[1]!thsiFinD("ths_adjustment_nv_fund",C$3,$A454))</f>
        <v/>
      </c>
      <c r="D454" s="13" t="str">
        <f>IF($A454="","",[1]!thsiFinD("ths_adjustment_nv_fund",D$3,$A454))</f>
        <v/>
      </c>
      <c r="E454" s="13" t="str">
        <f>IF($A454="","",[1]!thsiFinD("ths_adjustment_nv_fund",E$3,$A454))</f>
        <v/>
      </c>
      <c r="F454" s="13" t="str">
        <f>IF($A454="","",[1]!thsiFinD("ths_adjustment_nv_fund",F$3,$A454))</f>
        <v/>
      </c>
      <c r="G454" s="13" t="str">
        <f>IF($A454="","",[1]!thsiFinD("ths_adjustment_nv_fund",G$3,$A454))</f>
        <v/>
      </c>
      <c r="H454" s="13" t="str">
        <f>IF($A454="","",[1]!thsiFinD("ths_adjustment_nv_fund",H$3,$A454))</f>
        <v/>
      </c>
      <c r="I454" s="13" t="str">
        <f>IF($A454="","",[1]!thsiFinD("ths_adjustment_nv_fund",I$3,$A454))</f>
        <v/>
      </c>
      <c r="J454" s="13" t="str">
        <f>IF($A454="","",[1]!thsiFinD("ths_adjustment_nv_fund",J$3,$A454))</f>
        <v/>
      </c>
      <c r="K454" s="13" t="str">
        <f>IF($A454="","",[1]!thsiFinD("ths_adjustment_nv_fund",K$3,$A454))</f>
        <v/>
      </c>
      <c r="L454" s="13" t="str">
        <f>IF($A454="","",[1]!thsiFinD("ths_adjustment_nv_fund",L$3,$A454))</f>
        <v/>
      </c>
      <c r="M454" s="13" t="str">
        <f>IF($A454="","",[1]!thsiFinD("ths_adjustment_nv_fund",M$3,$A454))</f>
        <v/>
      </c>
      <c r="N454" s="13" t="str">
        <f>IF($A454="","",[1]!thsiFinD("ths_adjustment_nv_fund",N$3,$A454))</f>
        <v/>
      </c>
      <c r="O454" s="13" t="str">
        <f>IF($A454="","",[1]!thsiFinD("ths_adjustment_nv_fund",O$3,$A454))</f>
        <v/>
      </c>
      <c r="P454" s="13" t="str">
        <f>IF($A454="","",[1]!thsiFinD("ths_adjustment_nv_fund",P$3,$A454))</f>
        <v/>
      </c>
      <c r="Q454" s="13" t="str">
        <f>IF($A454="","",[1]!thsiFinD("ths_adjustment_nv_fund",Q$3,$A454))</f>
        <v/>
      </c>
      <c r="R454" s="13" t="str">
        <f>IF($A454="","",[1]!thsiFinD("ths_adjustment_nv_fund",R$3,$A454))</f>
        <v/>
      </c>
      <c r="S454" s="13" t="str">
        <f>IF($A454="","",[1]!thsiFinD("ths_adjustment_nv_fund",S$3,$A454))</f>
        <v/>
      </c>
      <c r="T454" s="13" t="str">
        <f>IF($A454="","",[1]!thsiFinD("ths_adjustment_nv_fund",T$3,$A454))</f>
        <v/>
      </c>
      <c r="U454" s="13" t="str">
        <f>IF($A454="","",[1]!thsiFinD("ths_adjustment_nv_fund",U$3,$A454))</f>
        <v/>
      </c>
      <c r="V454" s="13" t="str">
        <f>IF($A454="","",[1]!thsiFinD("ths_adjustment_nv_fund",V$3,$A454))</f>
        <v/>
      </c>
      <c r="W454" s="13" t="str">
        <f>IF($A454="","",[1]!thsiFinD("ths_adjustment_nv_fund",W$3,$A454))</f>
        <v/>
      </c>
      <c r="X454" s="13" t="str">
        <f>IF($A454="","",[1]!thsiFinD("ths_adjustment_nv_fund",X$3,$A454))</f>
        <v/>
      </c>
      <c r="Y454" s="13" t="str">
        <f>IF($A454="","",[1]!thsiFinD("ths_adjustment_nv_fund",Y$3,$A454))</f>
        <v/>
      </c>
      <c r="Z454" s="13" t="str">
        <f>IF($A454="","",[1]!thsiFinD("ths_adjustment_nv_fund",Z$3,$A454))</f>
        <v/>
      </c>
      <c r="AA454" s="13" t="str">
        <f>IF($A454="","",[1]!thsiFinD("ths_adjustment_nv_fund",AA$3,$A454))</f>
        <v/>
      </c>
      <c r="AB454" s="13">
        <f>IF($A454="","",[1]!thsiFinD("ths_adjustment_nv_fund",AB$3,$A454))</f>
        <v/>
      </c>
      <c r="AC454" s="13">
        <f>IF($A454="","",[1]!thsiFinD("ths_adjustment_nv_fund",AC$3,$A454))</f>
        <v/>
      </c>
      <c r="AD454" s="13">
        <f>IF($A454="","",[1]!thsiFinD("ths_adjustment_nv_fund",AD$3,$A454))</f>
        <v/>
      </c>
      <c r="AE454" s="13">
        <f>IF($A454="","",[1]!thsiFinD("ths_adjustment_nv_fund",AE$3,$A454))</f>
        <v/>
      </c>
      <c r="AF454" s="13">
        <f>IF($A454="","",[1]!thsiFinD("ths_adjustment_nv_fund",AF$3,$A454))</f>
        <v/>
      </c>
      <c r="AG454" s="13">
        <f>IF($A454="","",[1]!thsiFinD("ths_adjustment_nv_fund",AG$3,$A454))</f>
        <v/>
      </c>
      <c r="AH454" s="13">
        <f>IF($A454="","",[1]!thsiFinD("ths_adjustment_nv_fund",AH$3,$A454))</f>
        <v/>
      </c>
      <c r="AI454" s="13">
        <f>IF($A454="","",[1]!thsiFinD("ths_adjustment_nv_fund",AI$3,$A454))</f>
        <v/>
      </c>
      <c r="AJ454" s="13">
        <f>IF($A454="","",[1]!thsiFinD("ths_adjustment_nv_fund",AJ$3,$A454))</f>
        <v/>
      </c>
      <c r="AK454" s="13">
        <f>IF($A454="","",[1]!thsiFinD("ths_adjustment_nv_fund",AK$3,$A454))</f>
        <v/>
      </c>
      <c r="AL454" s="13">
        <f>IF($A454="","",[1]!thsiFinD("ths_adjustment_nv_fund",AL$3,$A454))</f>
        <v/>
      </c>
    </row>
    <row r="455" spans="2:28">
      <c r="B455" s="13" t="str">
        <f>IF($A455="","",[1]!thsiFinD("ths_adjustment_nv_fund",B$3,$A455))</f>
        <v/>
      </c>
      <c r="C455" s="13" t="str">
        <f>IF($A455="","",[1]!thsiFinD("ths_adjustment_nv_fund",C$3,$A455))</f>
        <v/>
      </c>
      <c r="D455" s="13" t="str">
        <f>IF($A455="","",[1]!thsiFinD("ths_adjustment_nv_fund",D$3,$A455))</f>
        <v/>
      </c>
      <c r="E455" s="13" t="str">
        <f>IF($A455="","",[1]!thsiFinD("ths_adjustment_nv_fund",E$3,$A455))</f>
        <v/>
      </c>
      <c r="F455" s="13" t="str">
        <f>IF($A455="","",[1]!thsiFinD("ths_adjustment_nv_fund",F$3,$A455))</f>
        <v/>
      </c>
      <c r="G455" s="13" t="str">
        <f>IF($A455="","",[1]!thsiFinD("ths_adjustment_nv_fund",G$3,$A455))</f>
        <v/>
      </c>
      <c r="H455" s="13" t="str">
        <f>IF($A455="","",[1]!thsiFinD("ths_adjustment_nv_fund",H$3,$A455))</f>
        <v/>
      </c>
      <c r="I455" s="13" t="str">
        <f>IF($A455="","",[1]!thsiFinD("ths_adjustment_nv_fund",I$3,$A455))</f>
        <v/>
      </c>
      <c r="J455" s="13" t="str">
        <f>IF($A455="","",[1]!thsiFinD("ths_adjustment_nv_fund",J$3,$A455))</f>
        <v/>
      </c>
      <c r="K455" s="13" t="str">
        <f>IF($A455="","",[1]!thsiFinD("ths_adjustment_nv_fund",K$3,$A455))</f>
        <v/>
      </c>
      <c r="L455" s="13" t="str">
        <f>IF($A455="","",[1]!thsiFinD("ths_adjustment_nv_fund",L$3,$A455))</f>
        <v/>
      </c>
      <c r="M455" s="13" t="str">
        <f>IF($A455="","",[1]!thsiFinD("ths_adjustment_nv_fund",M$3,$A455))</f>
        <v/>
      </c>
      <c r="N455" s="13" t="str">
        <f>IF($A455="","",[1]!thsiFinD("ths_adjustment_nv_fund",N$3,$A455))</f>
        <v/>
      </c>
      <c r="O455" s="13" t="str">
        <f>IF($A455="","",[1]!thsiFinD("ths_adjustment_nv_fund",O$3,$A455))</f>
        <v/>
      </c>
      <c r="P455" s="13" t="str">
        <f>IF($A455="","",[1]!thsiFinD("ths_adjustment_nv_fund",P$3,$A455))</f>
        <v/>
      </c>
      <c r="Q455" s="13" t="str">
        <f>IF($A455="","",[1]!thsiFinD("ths_adjustment_nv_fund",Q$3,$A455))</f>
        <v/>
      </c>
      <c r="R455" s="13" t="str">
        <f>IF($A455="","",[1]!thsiFinD("ths_adjustment_nv_fund",R$3,$A455))</f>
        <v/>
      </c>
      <c r="S455" s="13" t="str">
        <f>IF($A455="","",[1]!thsiFinD("ths_adjustment_nv_fund",S$3,$A455))</f>
        <v/>
      </c>
      <c r="T455" s="13" t="str">
        <f>IF($A455="","",[1]!thsiFinD("ths_adjustment_nv_fund",T$3,$A455))</f>
        <v/>
      </c>
      <c r="U455" s="13" t="str">
        <f>IF($A455="","",[1]!thsiFinD("ths_adjustment_nv_fund",U$3,$A455))</f>
        <v/>
      </c>
      <c r="V455" s="13" t="str">
        <f>IF($A455="","",[1]!thsiFinD("ths_adjustment_nv_fund",V$3,$A455))</f>
        <v/>
      </c>
      <c r="W455" s="13" t="str">
        <f>IF($A455="","",[1]!thsiFinD("ths_adjustment_nv_fund",W$3,$A455))</f>
        <v/>
      </c>
      <c r="X455" s="13" t="str">
        <f>IF($A455="","",[1]!thsiFinD("ths_adjustment_nv_fund",X$3,$A455))</f>
        <v/>
      </c>
      <c r="Y455" s="13" t="str">
        <f>IF($A455="","",[1]!thsiFinD("ths_adjustment_nv_fund",Y$3,$A455))</f>
        <v/>
      </c>
      <c r="Z455" s="13" t="str">
        <f>IF($A455="","",[1]!thsiFinD("ths_adjustment_nv_fund",Z$3,$A455))</f>
        <v/>
      </c>
      <c r="AA455" s="13" t="str">
        <f>IF($A455="","",[1]!thsiFinD("ths_adjustment_nv_fund",AA$3,$A455))</f>
        <v/>
      </c>
      <c r="AB455" s="13">
        <f>IF($A455="","",[1]!thsiFinD("ths_adjustment_nv_fund",AB$3,$A455))</f>
        <v/>
      </c>
      <c r="AC455" s="13">
        <f>IF($A455="","",[1]!thsiFinD("ths_adjustment_nv_fund",AC$3,$A455))</f>
        <v/>
      </c>
      <c r="AD455" s="13">
        <f>IF($A455="","",[1]!thsiFinD("ths_adjustment_nv_fund",AD$3,$A455))</f>
        <v/>
      </c>
      <c r="AE455" s="13">
        <f>IF($A455="","",[1]!thsiFinD("ths_adjustment_nv_fund",AE$3,$A455))</f>
        <v/>
      </c>
      <c r="AF455" s="13">
        <f>IF($A455="","",[1]!thsiFinD("ths_adjustment_nv_fund",AF$3,$A455))</f>
        <v/>
      </c>
      <c r="AG455" s="13">
        <f>IF($A455="","",[1]!thsiFinD("ths_adjustment_nv_fund",AG$3,$A455))</f>
        <v/>
      </c>
      <c r="AH455" s="13">
        <f>IF($A455="","",[1]!thsiFinD("ths_adjustment_nv_fund",AH$3,$A455))</f>
        <v/>
      </c>
      <c r="AI455" s="13">
        <f>IF($A455="","",[1]!thsiFinD("ths_adjustment_nv_fund",AI$3,$A455))</f>
        <v/>
      </c>
      <c r="AJ455" s="13">
        <f>IF($A455="","",[1]!thsiFinD("ths_adjustment_nv_fund",AJ$3,$A455))</f>
        <v/>
      </c>
      <c r="AK455" s="13">
        <f>IF($A455="","",[1]!thsiFinD("ths_adjustment_nv_fund",AK$3,$A455))</f>
        <v/>
      </c>
      <c r="AL455" s="13">
        <f>IF($A455="","",[1]!thsiFinD("ths_adjustment_nv_fund",AL$3,$A455))</f>
        <v/>
      </c>
    </row>
    <row r="456" spans="2:28">
      <c r="B456" s="13" t="str">
        <f>IF($A456="","",[1]!thsiFinD("ths_adjustment_nv_fund",B$3,$A456))</f>
        <v/>
      </c>
      <c r="C456" s="13" t="str">
        <f>IF($A456="","",[1]!thsiFinD("ths_adjustment_nv_fund",C$3,$A456))</f>
        <v/>
      </c>
      <c r="D456" s="13" t="str">
        <f>IF($A456="","",[1]!thsiFinD("ths_adjustment_nv_fund",D$3,$A456))</f>
        <v/>
      </c>
      <c r="E456" s="13" t="str">
        <f>IF($A456="","",[1]!thsiFinD("ths_adjustment_nv_fund",E$3,$A456))</f>
        <v/>
      </c>
      <c r="F456" s="13" t="str">
        <f>IF($A456="","",[1]!thsiFinD("ths_adjustment_nv_fund",F$3,$A456))</f>
        <v/>
      </c>
      <c r="G456" s="13" t="str">
        <f>IF($A456="","",[1]!thsiFinD("ths_adjustment_nv_fund",G$3,$A456))</f>
        <v/>
      </c>
      <c r="H456" s="13" t="str">
        <f>IF($A456="","",[1]!thsiFinD("ths_adjustment_nv_fund",H$3,$A456))</f>
        <v/>
      </c>
      <c r="I456" s="13" t="str">
        <f>IF($A456="","",[1]!thsiFinD("ths_adjustment_nv_fund",I$3,$A456))</f>
        <v/>
      </c>
      <c r="J456" s="13" t="str">
        <f>IF($A456="","",[1]!thsiFinD("ths_adjustment_nv_fund",J$3,$A456))</f>
        <v/>
      </c>
      <c r="K456" s="13" t="str">
        <f>IF($A456="","",[1]!thsiFinD("ths_adjustment_nv_fund",K$3,$A456))</f>
        <v/>
      </c>
      <c r="L456" s="13" t="str">
        <f>IF($A456="","",[1]!thsiFinD("ths_adjustment_nv_fund",L$3,$A456))</f>
        <v/>
      </c>
      <c r="M456" s="13" t="str">
        <f>IF($A456="","",[1]!thsiFinD("ths_adjustment_nv_fund",M$3,$A456))</f>
        <v/>
      </c>
      <c r="N456" s="13" t="str">
        <f>IF($A456="","",[1]!thsiFinD("ths_adjustment_nv_fund",N$3,$A456))</f>
        <v/>
      </c>
      <c r="O456" s="13" t="str">
        <f>IF($A456="","",[1]!thsiFinD("ths_adjustment_nv_fund",O$3,$A456))</f>
        <v/>
      </c>
      <c r="P456" s="13" t="str">
        <f>IF($A456="","",[1]!thsiFinD("ths_adjustment_nv_fund",P$3,$A456))</f>
        <v/>
      </c>
      <c r="Q456" s="13" t="str">
        <f>IF($A456="","",[1]!thsiFinD("ths_adjustment_nv_fund",Q$3,$A456))</f>
        <v/>
      </c>
      <c r="R456" s="13" t="str">
        <f>IF($A456="","",[1]!thsiFinD("ths_adjustment_nv_fund",R$3,$A456))</f>
        <v/>
      </c>
      <c r="S456" s="13" t="str">
        <f>IF($A456="","",[1]!thsiFinD("ths_adjustment_nv_fund",S$3,$A456))</f>
        <v/>
      </c>
      <c r="T456" s="13" t="str">
        <f>IF($A456="","",[1]!thsiFinD("ths_adjustment_nv_fund",T$3,$A456))</f>
        <v/>
      </c>
      <c r="U456" s="13" t="str">
        <f>IF($A456="","",[1]!thsiFinD("ths_adjustment_nv_fund",U$3,$A456))</f>
        <v/>
      </c>
      <c r="V456" s="13" t="str">
        <f>IF($A456="","",[1]!thsiFinD("ths_adjustment_nv_fund",V$3,$A456))</f>
        <v/>
      </c>
      <c r="W456" s="13" t="str">
        <f>IF($A456="","",[1]!thsiFinD("ths_adjustment_nv_fund",W$3,$A456))</f>
        <v/>
      </c>
      <c r="X456" s="13" t="str">
        <f>IF($A456="","",[1]!thsiFinD("ths_adjustment_nv_fund",X$3,$A456))</f>
        <v/>
      </c>
      <c r="Y456" s="13" t="str">
        <f>IF($A456="","",[1]!thsiFinD("ths_adjustment_nv_fund",Y$3,$A456))</f>
        <v/>
      </c>
      <c r="Z456" s="13" t="str">
        <f>IF($A456="","",[1]!thsiFinD("ths_adjustment_nv_fund",Z$3,$A456))</f>
        <v/>
      </c>
      <c r="AA456" s="13" t="str">
        <f>IF($A456="","",[1]!thsiFinD("ths_adjustment_nv_fund",AA$3,$A456))</f>
        <v/>
      </c>
      <c r="AB456" s="13">
        <f>IF($A456="","",[1]!thsiFinD("ths_adjustment_nv_fund",AB$3,$A456))</f>
        <v/>
      </c>
      <c r="AC456" s="13">
        <f>IF($A456="","",[1]!thsiFinD("ths_adjustment_nv_fund",AC$3,$A456))</f>
        <v/>
      </c>
      <c r="AD456" s="13">
        <f>IF($A456="","",[1]!thsiFinD("ths_adjustment_nv_fund",AD$3,$A456))</f>
        <v/>
      </c>
      <c r="AE456" s="13">
        <f>IF($A456="","",[1]!thsiFinD("ths_adjustment_nv_fund",AE$3,$A456))</f>
        <v/>
      </c>
      <c r="AF456" s="13">
        <f>IF($A456="","",[1]!thsiFinD("ths_adjustment_nv_fund",AF$3,$A456))</f>
        <v/>
      </c>
      <c r="AG456" s="13">
        <f>IF($A456="","",[1]!thsiFinD("ths_adjustment_nv_fund",AG$3,$A456))</f>
        <v/>
      </c>
      <c r="AH456" s="13">
        <f>IF($A456="","",[1]!thsiFinD("ths_adjustment_nv_fund",AH$3,$A456))</f>
        <v/>
      </c>
      <c r="AI456" s="13">
        <f>IF($A456="","",[1]!thsiFinD("ths_adjustment_nv_fund",AI$3,$A456))</f>
        <v/>
      </c>
      <c r="AJ456" s="13">
        <f>IF($A456="","",[1]!thsiFinD("ths_adjustment_nv_fund",AJ$3,$A456))</f>
        <v/>
      </c>
      <c r="AK456" s="13">
        <f>IF($A456="","",[1]!thsiFinD("ths_adjustment_nv_fund",AK$3,$A456))</f>
        <v/>
      </c>
      <c r="AL456" s="13">
        <f>IF($A456="","",[1]!thsiFinD("ths_adjustment_nv_fund",AL$3,$A456))</f>
        <v/>
      </c>
    </row>
    <row r="457" spans="2:28">
      <c r="B457" s="13" t="str">
        <f>IF($A457="","",[1]!thsiFinD("ths_adjustment_nv_fund",B$3,$A457))</f>
        <v/>
      </c>
      <c r="C457" s="13" t="str">
        <f>IF($A457="","",[1]!thsiFinD("ths_adjustment_nv_fund",C$3,$A457))</f>
        <v/>
      </c>
      <c r="D457" s="13" t="str">
        <f>IF($A457="","",[1]!thsiFinD("ths_adjustment_nv_fund",D$3,$A457))</f>
        <v/>
      </c>
      <c r="E457" s="13" t="str">
        <f>IF($A457="","",[1]!thsiFinD("ths_adjustment_nv_fund",E$3,$A457))</f>
        <v/>
      </c>
      <c r="F457" s="13" t="str">
        <f>IF($A457="","",[1]!thsiFinD("ths_adjustment_nv_fund",F$3,$A457))</f>
        <v/>
      </c>
      <c r="G457" s="13" t="str">
        <f>IF($A457="","",[1]!thsiFinD("ths_adjustment_nv_fund",G$3,$A457))</f>
        <v/>
      </c>
      <c r="H457" s="13" t="str">
        <f>IF($A457="","",[1]!thsiFinD("ths_adjustment_nv_fund",H$3,$A457))</f>
        <v/>
      </c>
      <c r="I457" s="13" t="str">
        <f>IF($A457="","",[1]!thsiFinD("ths_adjustment_nv_fund",I$3,$A457))</f>
        <v/>
      </c>
      <c r="J457" s="13" t="str">
        <f>IF($A457="","",[1]!thsiFinD("ths_adjustment_nv_fund",J$3,$A457))</f>
        <v/>
      </c>
      <c r="K457" s="13" t="str">
        <f>IF($A457="","",[1]!thsiFinD("ths_adjustment_nv_fund",K$3,$A457))</f>
        <v/>
      </c>
      <c r="L457" s="13" t="str">
        <f>IF($A457="","",[1]!thsiFinD("ths_adjustment_nv_fund",L$3,$A457))</f>
        <v/>
      </c>
      <c r="M457" s="13" t="str">
        <f>IF($A457="","",[1]!thsiFinD("ths_adjustment_nv_fund",M$3,$A457))</f>
        <v/>
      </c>
      <c r="N457" s="13" t="str">
        <f>IF($A457="","",[1]!thsiFinD("ths_adjustment_nv_fund",N$3,$A457))</f>
        <v/>
      </c>
      <c r="O457" s="13" t="str">
        <f>IF($A457="","",[1]!thsiFinD("ths_adjustment_nv_fund",O$3,$A457))</f>
        <v/>
      </c>
      <c r="P457" s="13" t="str">
        <f>IF($A457="","",[1]!thsiFinD("ths_adjustment_nv_fund",P$3,$A457))</f>
        <v/>
      </c>
      <c r="Q457" s="13" t="str">
        <f>IF($A457="","",[1]!thsiFinD("ths_adjustment_nv_fund",Q$3,$A457))</f>
        <v/>
      </c>
      <c r="R457" s="13" t="str">
        <f>IF($A457="","",[1]!thsiFinD("ths_adjustment_nv_fund",R$3,$A457))</f>
        <v/>
      </c>
      <c r="S457" s="13" t="str">
        <f>IF($A457="","",[1]!thsiFinD("ths_adjustment_nv_fund",S$3,$A457))</f>
        <v/>
      </c>
      <c r="T457" s="13" t="str">
        <f>IF($A457="","",[1]!thsiFinD("ths_adjustment_nv_fund",T$3,$A457))</f>
        <v/>
      </c>
      <c r="U457" s="13" t="str">
        <f>IF($A457="","",[1]!thsiFinD("ths_adjustment_nv_fund",U$3,$A457))</f>
        <v/>
      </c>
      <c r="V457" s="13" t="str">
        <f>IF($A457="","",[1]!thsiFinD("ths_adjustment_nv_fund",V$3,$A457))</f>
        <v/>
      </c>
      <c r="W457" s="13" t="str">
        <f>IF($A457="","",[1]!thsiFinD("ths_adjustment_nv_fund",W$3,$A457))</f>
        <v/>
      </c>
      <c r="X457" s="13" t="str">
        <f>IF($A457="","",[1]!thsiFinD("ths_adjustment_nv_fund",X$3,$A457))</f>
        <v/>
      </c>
      <c r="Y457" s="13" t="str">
        <f>IF($A457="","",[1]!thsiFinD("ths_adjustment_nv_fund",Y$3,$A457))</f>
        <v/>
      </c>
      <c r="Z457" s="13" t="str">
        <f>IF($A457="","",[1]!thsiFinD("ths_adjustment_nv_fund",Z$3,$A457))</f>
        <v/>
      </c>
      <c r="AA457" s="13" t="str">
        <f>IF($A457="","",[1]!thsiFinD("ths_adjustment_nv_fund",AA$3,$A457))</f>
        <v/>
      </c>
      <c r="AB457" s="13">
        <f>IF($A457="","",[1]!thsiFinD("ths_adjustment_nv_fund",AB$3,$A457))</f>
        <v/>
      </c>
      <c r="AC457" s="13">
        <f>IF($A457="","",[1]!thsiFinD("ths_adjustment_nv_fund",AC$3,$A457))</f>
        <v/>
      </c>
      <c r="AD457" s="13">
        <f>IF($A457="","",[1]!thsiFinD("ths_adjustment_nv_fund",AD$3,$A457))</f>
        <v/>
      </c>
      <c r="AE457" s="13">
        <f>IF($A457="","",[1]!thsiFinD("ths_adjustment_nv_fund",AE$3,$A457))</f>
        <v/>
      </c>
      <c r="AF457" s="13">
        <f>IF($A457="","",[1]!thsiFinD("ths_adjustment_nv_fund",AF$3,$A457))</f>
        <v/>
      </c>
      <c r="AG457" s="13">
        <f>IF($A457="","",[1]!thsiFinD("ths_adjustment_nv_fund",AG$3,$A457))</f>
        <v/>
      </c>
      <c r="AH457" s="13">
        <f>IF($A457="","",[1]!thsiFinD("ths_adjustment_nv_fund",AH$3,$A457))</f>
        <v/>
      </c>
      <c r="AI457" s="13">
        <f>IF($A457="","",[1]!thsiFinD("ths_adjustment_nv_fund",AI$3,$A457))</f>
        <v/>
      </c>
      <c r="AJ457" s="13">
        <f>IF($A457="","",[1]!thsiFinD("ths_adjustment_nv_fund",AJ$3,$A457))</f>
        <v/>
      </c>
      <c r="AK457" s="13">
        <f>IF($A457="","",[1]!thsiFinD("ths_adjustment_nv_fund",AK$3,$A457))</f>
        <v/>
      </c>
      <c r="AL457" s="13">
        <f>IF($A457="","",[1]!thsiFinD("ths_adjustment_nv_fund",AL$3,$A457))</f>
        <v/>
      </c>
    </row>
    <row r="458" spans="2:28">
      <c r="B458" s="13" t="str">
        <f>IF($A458="","",[1]!thsiFinD("ths_adjustment_nv_fund",B$3,$A458))</f>
        <v/>
      </c>
      <c r="C458" s="13" t="str">
        <f>IF($A458="","",[1]!thsiFinD("ths_adjustment_nv_fund",C$3,$A458))</f>
        <v/>
      </c>
      <c r="D458" s="13" t="str">
        <f>IF($A458="","",[1]!thsiFinD("ths_adjustment_nv_fund",D$3,$A458))</f>
        <v/>
      </c>
      <c r="E458" s="13" t="str">
        <f>IF($A458="","",[1]!thsiFinD("ths_adjustment_nv_fund",E$3,$A458))</f>
        <v/>
      </c>
      <c r="F458" s="13" t="str">
        <f>IF($A458="","",[1]!thsiFinD("ths_adjustment_nv_fund",F$3,$A458))</f>
        <v/>
      </c>
      <c r="G458" s="13" t="str">
        <f>IF($A458="","",[1]!thsiFinD("ths_adjustment_nv_fund",G$3,$A458))</f>
        <v/>
      </c>
      <c r="H458" s="13" t="str">
        <f>IF($A458="","",[1]!thsiFinD("ths_adjustment_nv_fund",H$3,$A458))</f>
        <v/>
      </c>
      <c r="I458" s="13" t="str">
        <f>IF($A458="","",[1]!thsiFinD("ths_adjustment_nv_fund",I$3,$A458))</f>
        <v/>
      </c>
      <c r="J458" s="13" t="str">
        <f>IF($A458="","",[1]!thsiFinD("ths_adjustment_nv_fund",J$3,$A458))</f>
        <v/>
      </c>
      <c r="K458" s="13" t="str">
        <f>IF($A458="","",[1]!thsiFinD("ths_adjustment_nv_fund",K$3,$A458))</f>
        <v/>
      </c>
      <c r="L458" s="13" t="str">
        <f>IF($A458="","",[1]!thsiFinD("ths_adjustment_nv_fund",L$3,$A458))</f>
        <v/>
      </c>
      <c r="M458" s="13" t="str">
        <f>IF($A458="","",[1]!thsiFinD("ths_adjustment_nv_fund",M$3,$A458))</f>
        <v/>
      </c>
      <c r="N458" s="13" t="str">
        <f>IF($A458="","",[1]!thsiFinD("ths_adjustment_nv_fund",N$3,$A458))</f>
        <v/>
      </c>
      <c r="O458" s="13" t="str">
        <f>IF($A458="","",[1]!thsiFinD("ths_adjustment_nv_fund",O$3,$A458))</f>
        <v/>
      </c>
      <c r="P458" s="13" t="str">
        <f>IF($A458="","",[1]!thsiFinD("ths_adjustment_nv_fund",P$3,$A458))</f>
        <v/>
      </c>
      <c r="Q458" s="13" t="str">
        <f>IF($A458="","",[1]!thsiFinD("ths_adjustment_nv_fund",Q$3,$A458))</f>
        <v/>
      </c>
      <c r="R458" s="13" t="str">
        <f>IF($A458="","",[1]!thsiFinD("ths_adjustment_nv_fund",R$3,$A458))</f>
        <v/>
      </c>
      <c r="S458" s="13" t="str">
        <f>IF($A458="","",[1]!thsiFinD("ths_adjustment_nv_fund",S$3,$A458))</f>
        <v/>
      </c>
      <c r="T458" s="13" t="str">
        <f>IF($A458="","",[1]!thsiFinD("ths_adjustment_nv_fund",T$3,$A458))</f>
        <v/>
      </c>
      <c r="U458" s="13" t="str">
        <f>IF($A458="","",[1]!thsiFinD("ths_adjustment_nv_fund",U$3,$A458))</f>
        <v/>
      </c>
      <c r="V458" s="13" t="str">
        <f>IF($A458="","",[1]!thsiFinD("ths_adjustment_nv_fund",V$3,$A458))</f>
        <v/>
      </c>
      <c r="W458" s="13" t="str">
        <f>IF($A458="","",[1]!thsiFinD("ths_adjustment_nv_fund",W$3,$A458))</f>
        <v/>
      </c>
      <c r="X458" s="13" t="str">
        <f>IF($A458="","",[1]!thsiFinD("ths_adjustment_nv_fund",X$3,$A458))</f>
        <v/>
      </c>
      <c r="Y458" s="13" t="str">
        <f>IF($A458="","",[1]!thsiFinD("ths_adjustment_nv_fund",Y$3,$A458))</f>
        <v/>
      </c>
      <c r="Z458" s="13" t="str">
        <f>IF($A458="","",[1]!thsiFinD("ths_adjustment_nv_fund",Z$3,$A458))</f>
        <v/>
      </c>
      <c r="AA458" s="13" t="str">
        <f>IF($A458="","",[1]!thsiFinD("ths_adjustment_nv_fund",AA$3,$A458))</f>
        <v/>
      </c>
      <c r="AB458" s="13">
        <f>IF($A458="","",[1]!thsiFinD("ths_adjustment_nv_fund",AB$3,$A458))</f>
        <v/>
      </c>
      <c r="AC458" s="13">
        <f>IF($A458="","",[1]!thsiFinD("ths_adjustment_nv_fund",AC$3,$A458))</f>
        <v/>
      </c>
      <c r="AD458" s="13">
        <f>IF($A458="","",[1]!thsiFinD("ths_adjustment_nv_fund",AD$3,$A458))</f>
        <v/>
      </c>
      <c r="AE458" s="13">
        <f>IF($A458="","",[1]!thsiFinD("ths_adjustment_nv_fund",AE$3,$A458))</f>
        <v/>
      </c>
      <c r="AF458" s="13">
        <f>IF($A458="","",[1]!thsiFinD("ths_adjustment_nv_fund",AF$3,$A458))</f>
        <v/>
      </c>
      <c r="AG458" s="13">
        <f>IF($A458="","",[1]!thsiFinD("ths_adjustment_nv_fund",AG$3,$A458))</f>
        <v/>
      </c>
      <c r="AH458" s="13">
        <f>IF($A458="","",[1]!thsiFinD("ths_adjustment_nv_fund",AH$3,$A458))</f>
        <v/>
      </c>
      <c r="AI458" s="13">
        <f>IF($A458="","",[1]!thsiFinD("ths_adjustment_nv_fund",AI$3,$A458))</f>
        <v/>
      </c>
      <c r="AJ458" s="13">
        <f>IF($A458="","",[1]!thsiFinD("ths_adjustment_nv_fund",AJ$3,$A458))</f>
        <v/>
      </c>
      <c r="AK458" s="13">
        <f>IF($A458="","",[1]!thsiFinD("ths_adjustment_nv_fund",AK$3,$A458))</f>
        <v/>
      </c>
      <c r="AL458" s="13">
        <f>IF($A458="","",[1]!thsiFinD("ths_adjustment_nv_fund",AL$3,$A458))</f>
        <v/>
      </c>
    </row>
    <row r="459" spans="2:28">
      <c r="B459" s="13" t="str">
        <f>IF($A459="","",[1]!thsiFinD("ths_adjustment_nv_fund",B$3,$A459))</f>
        <v/>
      </c>
      <c r="C459" s="13" t="str">
        <f>IF($A459="","",[1]!thsiFinD("ths_adjustment_nv_fund",C$3,$A459))</f>
        <v/>
      </c>
      <c r="D459" s="13" t="str">
        <f>IF($A459="","",[1]!thsiFinD("ths_adjustment_nv_fund",D$3,$A459))</f>
        <v/>
      </c>
      <c r="E459" s="13" t="str">
        <f>IF($A459="","",[1]!thsiFinD("ths_adjustment_nv_fund",E$3,$A459))</f>
        <v/>
      </c>
      <c r="F459" s="13" t="str">
        <f>IF($A459="","",[1]!thsiFinD("ths_adjustment_nv_fund",F$3,$A459))</f>
        <v/>
      </c>
      <c r="G459" s="13" t="str">
        <f>IF($A459="","",[1]!thsiFinD("ths_adjustment_nv_fund",G$3,$A459))</f>
        <v/>
      </c>
      <c r="H459" s="13" t="str">
        <f>IF($A459="","",[1]!thsiFinD("ths_adjustment_nv_fund",H$3,$A459))</f>
        <v/>
      </c>
      <c r="I459" s="13" t="str">
        <f>IF($A459="","",[1]!thsiFinD("ths_adjustment_nv_fund",I$3,$A459))</f>
        <v/>
      </c>
      <c r="J459" s="13" t="str">
        <f>IF($A459="","",[1]!thsiFinD("ths_adjustment_nv_fund",J$3,$A459))</f>
        <v/>
      </c>
      <c r="K459" s="13" t="str">
        <f>IF($A459="","",[1]!thsiFinD("ths_adjustment_nv_fund",K$3,$A459))</f>
        <v/>
      </c>
      <c r="L459" s="13" t="str">
        <f>IF($A459="","",[1]!thsiFinD("ths_adjustment_nv_fund",L$3,$A459))</f>
        <v/>
      </c>
      <c r="M459" s="13" t="str">
        <f>IF($A459="","",[1]!thsiFinD("ths_adjustment_nv_fund",M$3,$A459))</f>
        <v/>
      </c>
      <c r="N459" s="13" t="str">
        <f>IF($A459="","",[1]!thsiFinD("ths_adjustment_nv_fund",N$3,$A459))</f>
        <v/>
      </c>
      <c r="O459" s="13" t="str">
        <f>IF($A459="","",[1]!thsiFinD("ths_adjustment_nv_fund",O$3,$A459))</f>
        <v/>
      </c>
      <c r="P459" s="13" t="str">
        <f>IF($A459="","",[1]!thsiFinD("ths_adjustment_nv_fund",P$3,$A459))</f>
        <v/>
      </c>
      <c r="Q459" s="13" t="str">
        <f>IF($A459="","",[1]!thsiFinD("ths_adjustment_nv_fund",Q$3,$A459))</f>
        <v/>
      </c>
      <c r="R459" s="13" t="str">
        <f>IF($A459="","",[1]!thsiFinD("ths_adjustment_nv_fund",R$3,$A459))</f>
        <v/>
      </c>
      <c r="S459" s="13" t="str">
        <f>IF($A459="","",[1]!thsiFinD("ths_adjustment_nv_fund",S$3,$A459))</f>
        <v/>
      </c>
      <c r="T459" s="13" t="str">
        <f>IF($A459="","",[1]!thsiFinD("ths_adjustment_nv_fund",T$3,$A459))</f>
        <v/>
      </c>
      <c r="U459" s="13" t="str">
        <f>IF($A459="","",[1]!thsiFinD("ths_adjustment_nv_fund",U$3,$A459))</f>
        <v/>
      </c>
      <c r="V459" s="13" t="str">
        <f>IF($A459="","",[1]!thsiFinD("ths_adjustment_nv_fund",V$3,$A459))</f>
        <v/>
      </c>
      <c r="W459" s="13" t="str">
        <f>IF($A459="","",[1]!thsiFinD("ths_adjustment_nv_fund",W$3,$A459))</f>
        <v/>
      </c>
      <c r="X459" s="13" t="str">
        <f>IF($A459="","",[1]!thsiFinD("ths_adjustment_nv_fund",X$3,$A459))</f>
        <v/>
      </c>
      <c r="Y459" s="13" t="str">
        <f>IF($A459="","",[1]!thsiFinD("ths_adjustment_nv_fund",Y$3,$A459))</f>
        <v/>
      </c>
      <c r="Z459" s="13" t="str">
        <f>IF($A459="","",[1]!thsiFinD("ths_adjustment_nv_fund",Z$3,$A459))</f>
        <v/>
      </c>
      <c r="AA459" s="13" t="str">
        <f>IF($A459="","",[1]!thsiFinD("ths_adjustment_nv_fund",AA$3,$A459))</f>
        <v/>
      </c>
      <c r="AB459" s="13">
        <f>IF($A459="","",[1]!thsiFinD("ths_adjustment_nv_fund",AB$3,$A459))</f>
        <v/>
      </c>
      <c r="AC459" s="13">
        <f>IF($A459="","",[1]!thsiFinD("ths_adjustment_nv_fund",AC$3,$A459))</f>
        <v/>
      </c>
      <c r="AD459" s="13">
        <f>IF($A459="","",[1]!thsiFinD("ths_adjustment_nv_fund",AD$3,$A459))</f>
        <v/>
      </c>
      <c r="AE459" s="13">
        <f>IF($A459="","",[1]!thsiFinD("ths_adjustment_nv_fund",AE$3,$A459))</f>
        <v/>
      </c>
      <c r="AF459" s="13">
        <f>IF($A459="","",[1]!thsiFinD("ths_adjustment_nv_fund",AF$3,$A459))</f>
        <v/>
      </c>
      <c r="AG459" s="13">
        <f>IF($A459="","",[1]!thsiFinD("ths_adjustment_nv_fund",AG$3,$A459))</f>
        <v/>
      </c>
      <c r="AH459" s="13">
        <f>IF($A459="","",[1]!thsiFinD("ths_adjustment_nv_fund",AH$3,$A459))</f>
        <v/>
      </c>
      <c r="AI459" s="13">
        <f>IF($A459="","",[1]!thsiFinD("ths_adjustment_nv_fund",AI$3,$A459))</f>
        <v/>
      </c>
      <c r="AJ459" s="13">
        <f>IF($A459="","",[1]!thsiFinD("ths_adjustment_nv_fund",AJ$3,$A459))</f>
        <v/>
      </c>
      <c r="AK459" s="13">
        <f>IF($A459="","",[1]!thsiFinD("ths_adjustment_nv_fund",AK$3,$A459))</f>
        <v/>
      </c>
      <c r="AL459" s="13">
        <f>IF($A459="","",[1]!thsiFinD("ths_adjustment_nv_fund",AL$3,$A459))</f>
        <v/>
      </c>
    </row>
    <row r="460" spans="2:28">
      <c r="B460" s="13" t="str">
        <f>IF($A460="","",[1]!thsiFinD("ths_adjustment_nv_fund",B$3,$A460))</f>
        <v/>
      </c>
      <c r="C460" s="13" t="str">
        <f>IF($A460="","",[1]!thsiFinD("ths_adjustment_nv_fund",C$3,$A460))</f>
        <v/>
      </c>
      <c r="D460" s="13" t="str">
        <f>IF($A460="","",[1]!thsiFinD("ths_adjustment_nv_fund",D$3,$A460))</f>
        <v/>
      </c>
      <c r="E460" s="13" t="str">
        <f>IF($A460="","",[1]!thsiFinD("ths_adjustment_nv_fund",E$3,$A460))</f>
        <v/>
      </c>
      <c r="F460" s="13" t="str">
        <f>IF($A460="","",[1]!thsiFinD("ths_adjustment_nv_fund",F$3,$A460))</f>
        <v/>
      </c>
      <c r="G460" s="13" t="str">
        <f>IF($A460="","",[1]!thsiFinD("ths_adjustment_nv_fund",G$3,$A460))</f>
        <v/>
      </c>
      <c r="H460" s="13" t="str">
        <f>IF($A460="","",[1]!thsiFinD("ths_adjustment_nv_fund",H$3,$A460))</f>
        <v/>
      </c>
      <c r="I460" s="13" t="str">
        <f>IF($A460="","",[1]!thsiFinD("ths_adjustment_nv_fund",I$3,$A460))</f>
        <v/>
      </c>
      <c r="J460" s="13" t="str">
        <f>IF($A460="","",[1]!thsiFinD("ths_adjustment_nv_fund",J$3,$A460))</f>
        <v/>
      </c>
      <c r="K460" s="13" t="str">
        <f>IF($A460="","",[1]!thsiFinD("ths_adjustment_nv_fund",K$3,$A460))</f>
        <v/>
      </c>
      <c r="L460" s="13" t="str">
        <f>IF($A460="","",[1]!thsiFinD("ths_adjustment_nv_fund",L$3,$A460))</f>
        <v/>
      </c>
      <c r="M460" s="13" t="str">
        <f>IF($A460="","",[1]!thsiFinD("ths_adjustment_nv_fund",M$3,$A460))</f>
        <v/>
      </c>
      <c r="N460" s="13" t="str">
        <f>IF($A460="","",[1]!thsiFinD("ths_adjustment_nv_fund",N$3,$A460))</f>
        <v/>
      </c>
      <c r="O460" s="13" t="str">
        <f>IF($A460="","",[1]!thsiFinD("ths_adjustment_nv_fund",O$3,$A460))</f>
        <v/>
      </c>
      <c r="P460" s="13" t="str">
        <f>IF($A460="","",[1]!thsiFinD("ths_adjustment_nv_fund",P$3,$A460))</f>
        <v/>
      </c>
      <c r="Q460" s="13" t="str">
        <f>IF($A460="","",[1]!thsiFinD("ths_adjustment_nv_fund",Q$3,$A460))</f>
        <v/>
      </c>
      <c r="R460" s="13" t="str">
        <f>IF($A460="","",[1]!thsiFinD("ths_adjustment_nv_fund",R$3,$A460))</f>
        <v/>
      </c>
      <c r="S460" s="13" t="str">
        <f>IF($A460="","",[1]!thsiFinD("ths_adjustment_nv_fund",S$3,$A460))</f>
        <v/>
      </c>
      <c r="T460" s="13" t="str">
        <f>IF($A460="","",[1]!thsiFinD("ths_adjustment_nv_fund",T$3,$A460))</f>
        <v/>
      </c>
      <c r="U460" s="13" t="str">
        <f>IF($A460="","",[1]!thsiFinD("ths_adjustment_nv_fund",U$3,$A460))</f>
        <v/>
      </c>
      <c r="V460" s="13" t="str">
        <f>IF($A460="","",[1]!thsiFinD("ths_adjustment_nv_fund",V$3,$A460))</f>
        <v/>
      </c>
      <c r="W460" s="13" t="str">
        <f>IF($A460="","",[1]!thsiFinD("ths_adjustment_nv_fund",W$3,$A460))</f>
        <v/>
      </c>
      <c r="X460" s="13" t="str">
        <f>IF($A460="","",[1]!thsiFinD("ths_adjustment_nv_fund",X$3,$A460))</f>
        <v/>
      </c>
      <c r="Y460" s="13" t="str">
        <f>IF($A460="","",[1]!thsiFinD("ths_adjustment_nv_fund",Y$3,$A460))</f>
        <v/>
      </c>
      <c r="Z460" s="13" t="str">
        <f>IF($A460="","",[1]!thsiFinD("ths_adjustment_nv_fund",Z$3,$A460))</f>
        <v/>
      </c>
      <c r="AA460" s="13" t="str">
        <f>IF($A460="","",[1]!thsiFinD("ths_adjustment_nv_fund",AA$3,$A460))</f>
        <v/>
      </c>
      <c r="AB460" s="13">
        <f>IF($A460="","",[1]!thsiFinD("ths_adjustment_nv_fund",AB$3,$A460))</f>
        <v/>
      </c>
      <c r="AC460" s="13">
        <f>IF($A460="","",[1]!thsiFinD("ths_adjustment_nv_fund",AC$3,$A460))</f>
        <v/>
      </c>
      <c r="AD460" s="13">
        <f>IF($A460="","",[1]!thsiFinD("ths_adjustment_nv_fund",AD$3,$A460))</f>
        <v/>
      </c>
      <c r="AE460" s="13">
        <f>IF($A460="","",[1]!thsiFinD("ths_adjustment_nv_fund",AE$3,$A460))</f>
        <v/>
      </c>
      <c r="AF460" s="13">
        <f>IF($A460="","",[1]!thsiFinD("ths_adjustment_nv_fund",AF$3,$A460))</f>
        <v/>
      </c>
      <c r="AG460" s="13">
        <f>IF($A460="","",[1]!thsiFinD("ths_adjustment_nv_fund",AG$3,$A460))</f>
        <v/>
      </c>
      <c r="AH460" s="13">
        <f>IF($A460="","",[1]!thsiFinD("ths_adjustment_nv_fund",AH$3,$A460))</f>
        <v/>
      </c>
      <c r="AI460" s="13">
        <f>IF($A460="","",[1]!thsiFinD("ths_adjustment_nv_fund",AI$3,$A460))</f>
        <v/>
      </c>
      <c r="AJ460" s="13">
        <f>IF($A460="","",[1]!thsiFinD("ths_adjustment_nv_fund",AJ$3,$A460))</f>
        <v/>
      </c>
      <c r="AK460" s="13">
        <f>IF($A460="","",[1]!thsiFinD("ths_adjustment_nv_fund",AK$3,$A460))</f>
        <v/>
      </c>
      <c r="AL460" s="13">
        <f>IF($A460="","",[1]!thsiFinD("ths_adjustment_nv_fund",AL$3,$A460))</f>
        <v/>
      </c>
    </row>
    <row r="461" spans="2:28">
      <c r="B461" s="13" t="str">
        <f>IF($A461="","",[1]!thsiFinD("ths_adjustment_nv_fund",B$3,$A461))</f>
        <v/>
      </c>
      <c r="C461" s="13" t="str">
        <f>IF($A461="","",[1]!thsiFinD("ths_adjustment_nv_fund",C$3,$A461))</f>
        <v/>
      </c>
      <c r="D461" s="13" t="str">
        <f>IF($A461="","",[1]!thsiFinD("ths_adjustment_nv_fund",D$3,$A461))</f>
        <v/>
      </c>
      <c r="E461" s="13" t="str">
        <f>IF($A461="","",[1]!thsiFinD("ths_adjustment_nv_fund",E$3,$A461))</f>
        <v/>
      </c>
      <c r="F461" s="13" t="str">
        <f>IF($A461="","",[1]!thsiFinD("ths_adjustment_nv_fund",F$3,$A461))</f>
        <v/>
      </c>
      <c r="G461" s="13" t="str">
        <f>IF($A461="","",[1]!thsiFinD("ths_adjustment_nv_fund",G$3,$A461))</f>
        <v/>
      </c>
      <c r="H461" s="13" t="str">
        <f>IF($A461="","",[1]!thsiFinD("ths_adjustment_nv_fund",H$3,$A461))</f>
        <v/>
      </c>
      <c r="I461" s="13" t="str">
        <f>IF($A461="","",[1]!thsiFinD("ths_adjustment_nv_fund",I$3,$A461))</f>
        <v/>
      </c>
      <c r="J461" s="13" t="str">
        <f>IF($A461="","",[1]!thsiFinD("ths_adjustment_nv_fund",J$3,$A461))</f>
        <v/>
      </c>
      <c r="K461" s="13" t="str">
        <f>IF($A461="","",[1]!thsiFinD("ths_adjustment_nv_fund",K$3,$A461))</f>
        <v/>
      </c>
      <c r="L461" s="13" t="str">
        <f>IF($A461="","",[1]!thsiFinD("ths_adjustment_nv_fund",L$3,$A461))</f>
        <v/>
      </c>
      <c r="M461" s="13" t="str">
        <f>IF($A461="","",[1]!thsiFinD("ths_adjustment_nv_fund",M$3,$A461))</f>
        <v/>
      </c>
      <c r="N461" s="13" t="str">
        <f>IF($A461="","",[1]!thsiFinD("ths_adjustment_nv_fund",N$3,$A461))</f>
        <v/>
      </c>
      <c r="O461" s="13" t="str">
        <f>IF($A461="","",[1]!thsiFinD("ths_adjustment_nv_fund",O$3,$A461))</f>
        <v/>
      </c>
      <c r="P461" s="13" t="str">
        <f>IF($A461="","",[1]!thsiFinD("ths_adjustment_nv_fund",P$3,$A461))</f>
        <v/>
      </c>
      <c r="Q461" s="13" t="str">
        <f>IF($A461="","",[1]!thsiFinD("ths_adjustment_nv_fund",Q$3,$A461))</f>
        <v/>
      </c>
      <c r="R461" s="13" t="str">
        <f>IF($A461="","",[1]!thsiFinD("ths_adjustment_nv_fund",R$3,$A461))</f>
        <v/>
      </c>
      <c r="S461" s="13" t="str">
        <f>IF($A461="","",[1]!thsiFinD("ths_adjustment_nv_fund",S$3,$A461))</f>
        <v/>
      </c>
      <c r="T461" s="13" t="str">
        <f>IF($A461="","",[1]!thsiFinD("ths_adjustment_nv_fund",T$3,$A461))</f>
        <v/>
      </c>
      <c r="U461" s="13" t="str">
        <f>IF($A461="","",[1]!thsiFinD("ths_adjustment_nv_fund",U$3,$A461))</f>
        <v/>
      </c>
      <c r="V461" s="13" t="str">
        <f>IF($A461="","",[1]!thsiFinD("ths_adjustment_nv_fund",V$3,$A461))</f>
        <v/>
      </c>
      <c r="W461" s="13" t="str">
        <f>IF($A461="","",[1]!thsiFinD("ths_adjustment_nv_fund",W$3,$A461))</f>
        <v/>
      </c>
      <c r="X461" s="13" t="str">
        <f>IF($A461="","",[1]!thsiFinD("ths_adjustment_nv_fund",X$3,$A461))</f>
        <v/>
      </c>
      <c r="Y461" s="13" t="str">
        <f>IF($A461="","",[1]!thsiFinD("ths_adjustment_nv_fund",Y$3,$A461))</f>
        <v/>
      </c>
      <c r="Z461" s="13" t="str">
        <f>IF($A461="","",[1]!thsiFinD("ths_adjustment_nv_fund",Z$3,$A461))</f>
        <v/>
      </c>
      <c r="AA461" s="13" t="str">
        <f>IF($A461="","",[1]!thsiFinD("ths_adjustment_nv_fund",AA$3,$A461))</f>
        <v/>
      </c>
      <c r="AB461" s="13">
        <f>IF($A461="","",[1]!thsiFinD("ths_adjustment_nv_fund",AB$3,$A461))</f>
        <v/>
      </c>
      <c r="AC461" s="13">
        <f>IF($A461="","",[1]!thsiFinD("ths_adjustment_nv_fund",AC$3,$A461))</f>
        <v/>
      </c>
      <c r="AD461" s="13">
        <f>IF($A461="","",[1]!thsiFinD("ths_adjustment_nv_fund",AD$3,$A461))</f>
        <v/>
      </c>
      <c r="AE461" s="13">
        <f>IF($A461="","",[1]!thsiFinD("ths_adjustment_nv_fund",AE$3,$A461))</f>
        <v/>
      </c>
      <c r="AF461" s="13">
        <f>IF($A461="","",[1]!thsiFinD("ths_adjustment_nv_fund",AF$3,$A461))</f>
        <v/>
      </c>
      <c r="AG461" s="13">
        <f>IF($A461="","",[1]!thsiFinD("ths_adjustment_nv_fund",AG$3,$A461))</f>
        <v/>
      </c>
      <c r="AH461" s="13">
        <f>IF($A461="","",[1]!thsiFinD("ths_adjustment_nv_fund",AH$3,$A461))</f>
        <v/>
      </c>
      <c r="AI461" s="13">
        <f>IF($A461="","",[1]!thsiFinD("ths_adjustment_nv_fund",AI$3,$A461))</f>
        <v/>
      </c>
      <c r="AJ461" s="13">
        <f>IF($A461="","",[1]!thsiFinD("ths_adjustment_nv_fund",AJ$3,$A461))</f>
        <v/>
      </c>
      <c r="AK461" s="13">
        <f>IF($A461="","",[1]!thsiFinD("ths_adjustment_nv_fund",AK$3,$A461))</f>
        <v/>
      </c>
      <c r="AL461" s="13">
        <f>IF($A461="","",[1]!thsiFinD("ths_adjustment_nv_fund",AL$3,$A461))</f>
        <v/>
      </c>
    </row>
    <row r="462" spans="2:28">
      <c r="B462" s="13" t="str">
        <f>IF($A462="","",[1]!thsiFinD("ths_adjustment_nv_fund",B$3,$A462))</f>
        <v/>
      </c>
      <c r="C462" s="13" t="str">
        <f>IF($A462="","",[1]!thsiFinD("ths_adjustment_nv_fund",C$3,$A462))</f>
        <v/>
      </c>
      <c r="D462" s="13" t="str">
        <f>IF($A462="","",[1]!thsiFinD("ths_adjustment_nv_fund",D$3,$A462))</f>
        <v/>
      </c>
      <c r="E462" s="13" t="str">
        <f>IF($A462="","",[1]!thsiFinD("ths_adjustment_nv_fund",E$3,$A462))</f>
        <v/>
      </c>
      <c r="F462" s="13" t="str">
        <f>IF($A462="","",[1]!thsiFinD("ths_adjustment_nv_fund",F$3,$A462))</f>
        <v/>
      </c>
      <c r="G462" s="13" t="str">
        <f>IF($A462="","",[1]!thsiFinD("ths_adjustment_nv_fund",G$3,$A462))</f>
        <v/>
      </c>
      <c r="H462" s="13" t="str">
        <f>IF($A462="","",[1]!thsiFinD("ths_adjustment_nv_fund",H$3,$A462))</f>
        <v/>
      </c>
      <c r="I462" s="13" t="str">
        <f>IF($A462="","",[1]!thsiFinD("ths_adjustment_nv_fund",I$3,$A462))</f>
        <v/>
      </c>
      <c r="J462" s="13" t="str">
        <f>IF($A462="","",[1]!thsiFinD("ths_adjustment_nv_fund",J$3,$A462))</f>
        <v/>
      </c>
      <c r="K462" s="13" t="str">
        <f>IF($A462="","",[1]!thsiFinD("ths_adjustment_nv_fund",K$3,$A462))</f>
        <v/>
      </c>
      <c r="L462" s="13" t="str">
        <f>IF($A462="","",[1]!thsiFinD("ths_adjustment_nv_fund",L$3,$A462))</f>
        <v/>
      </c>
      <c r="M462" s="13" t="str">
        <f>IF($A462="","",[1]!thsiFinD("ths_adjustment_nv_fund",M$3,$A462))</f>
        <v/>
      </c>
      <c r="N462" s="13" t="str">
        <f>IF($A462="","",[1]!thsiFinD("ths_adjustment_nv_fund",N$3,$A462))</f>
        <v/>
      </c>
      <c r="O462" s="13" t="str">
        <f>IF($A462="","",[1]!thsiFinD("ths_adjustment_nv_fund",O$3,$A462))</f>
        <v/>
      </c>
      <c r="P462" s="13" t="str">
        <f>IF($A462="","",[1]!thsiFinD("ths_adjustment_nv_fund",P$3,$A462))</f>
        <v/>
      </c>
      <c r="Q462" s="13" t="str">
        <f>IF($A462="","",[1]!thsiFinD("ths_adjustment_nv_fund",Q$3,$A462))</f>
        <v/>
      </c>
      <c r="R462" s="13" t="str">
        <f>IF($A462="","",[1]!thsiFinD("ths_adjustment_nv_fund",R$3,$A462))</f>
        <v/>
      </c>
      <c r="S462" s="13" t="str">
        <f>IF($A462="","",[1]!thsiFinD("ths_adjustment_nv_fund",S$3,$A462))</f>
        <v/>
      </c>
      <c r="T462" s="13" t="str">
        <f>IF($A462="","",[1]!thsiFinD("ths_adjustment_nv_fund",T$3,$A462))</f>
        <v/>
      </c>
      <c r="U462" s="13" t="str">
        <f>IF($A462="","",[1]!thsiFinD("ths_adjustment_nv_fund",U$3,$A462))</f>
        <v/>
      </c>
      <c r="V462" s="13" t="str">
        <f>IF($A462="","",[1]!thsiFinD("ths_adjustment_nv_fund",V$3,$A462))</f>
        <v/>
      </c>
      <c r="W462" s="13" t="str">
        <f>IF($A462="","",[1]!thsiFinD("ths_adjustment_nv_fund",W$3,$A462))</f>
        <v/>
      </c>
      <c r="X462" s="13" t="str">
        <f>IF($A462="","",[1]!thsiFinD("ths_adjustment_nv_fund",X$3,$A462))</f>
        <v/>
      </c>
      <c r="Y462" s="13" t="str">
        <f>IF($A462="","",[1]!thsiFinD("ths_adjustment_nv_fund",Y$3,$A462))</f>
        <v/>
      </c>
      <c r="Z462" s="13" t="str">
        <f>IF($A462="","",[1]!thsiFinD("ths_adjustment_nv_fund",Z$3,$A462))</f>
        <v/>
      </c>
      <c r="AA462" s="13" t="str">
        <f>IF($A462="","",[1]!thsiFinD("ths_adjustment_nv_fund",AA$3,$A462))</f>
        <v/>
      </c>
      <c r="AB462" s="13">
        <f>IF($A462="","",[1]!thsiFinD("ths_adjustment_nv_fund",AB$3,$A462))</f>
        <v/>
      </c>
      <c r="AC462" s="13">
        <f>IF($A462="","",[1]!thsiFinD("ths_adjustment_nv_fund",AC$3,$A462))</f>
        <v/>
      </c>
      <c r="AD462" s="13">
        <f>IF($A462="","",[1]!thsiFinD("ths_adjustment_nv_fund",AD$3,$A462))</f>
        <v/>
      </c>
      <c r="AE462" s="13">
        <f>IF($A462="","",[1]!thsiFinD("ths_adjustment_nv_fund",AE$3,$A462))</f>
        <v/>
      </c>
      <c r="AF462" s="13">
        <f>IF($A462="","",[1]!thsiFinD("ths_adjustment_nv_fund",AF$3,$A462))</f>
        <v/>
      </c>
      <c r="AG462" s="13">
        <f>IF($A462="","",[1]!thsiFinD("ths_adjustment_nv_fund",AG$3,$A462))</f>
        <v/>
      </c>
      <c r="AH462" s="13">
        <f>IF($A462="","",[1]!thsiFinD("ths_adjustment_nv_fund",AH$3,$A462))</f>
        <v/>
      </c>
      <c r="AI462" s="13">
        <f>IF($A462="","",[1]!thsiFinD("ths_adjustment_nv_fund",AI$3,$A462))</f>
        <v/>
      </c>
      <c r="AJ462" s="13">
        <f>IF($A462="","",[1]!thsiFinD("ths_adjustment_nv_fund",AJ$3,$A462))</f>
        <v/>
      </c>
      <c r="AK462" s="13">
        <f>IF($A462="","",[1]!thsiFinD("ths_adjustment_nv_fund",AK$3,$A462))</f>
        <v/>
      </c>
      <c r="AL462" s="13">
        <f>IF($A462="","",[1]!thsiFinD("ths_adjustment_nv_fund",AL$3,$A462))</f>
        <v/>
      </c>
    </row>
    <row r="463" spans="2:28">
      <c r="B463" s="13" t="str">
        <f>IF($A463="","",[1]!thsiFinD("ths_adjustment_nv_fund",B$3,$A463))</f>
        <v/>
      </c>
      <c r="C463" s="13" t="str">
        <f>IF($A463="","",[1]!thsiFinD("ths_adjustment_nv_fund",C$3,$A463))</f>
        <v/>
      </c>
      <c r="D463" s="13" t="str">
        <f>IF($A463="","",[1]!thsiFinD("ths_adjustment_nv_fund",D$3,$A463))</f>
        <v/>
      </c>
      <c r="E463" s="13" t="str">
        <f>IF($A463="","",[1]!thsiFinD("ths_adjustment_nv_fund",E$3,$A463))</f>
        <v/>
      </c>
      <c r="F463" s="13" t="str">
        <f>IF($A463="","",[1]!thsiFinD("ths_adjustment_nv_fund",F$3,$A463))</f>
        <v/>
      </c>
      <c r="G463" s="13" t="str">
        <f>IF($A463="","",[1]!thsiFinD("ths_adjustment_nv_fund",G$3,$A463))</f>
        <v/>
      </c>
      <c r="H463" s="13" t="str">
        <f>IF($A463="","",[1]!thsiFinD("ths_adjustment_nv_fund",H$3,$A463))</f>
        <v/>
      </c>
      <c r="I463" s="13" t="str">
        <f>IF($A463="","",[1]!thsiFinD("ths_adjustment_nv_fund",I$3,$A463))</f>
        <v/>
      </c>
      <c r="J463" s="13" t="str">
        <f>IF($A463="","",[1]!thsiFinD("ths_adjustment_nv_fund",J$3,$A463))</f>
        <v/>
      </c>
      <c r="K463" s="13" t="str">
        <f>IF($A463="","",[1]!thsiFinD("ths_adjustment_nv_fund",K$3,$A463))</f>
        <v/>
      </c>
      <c r="L463" s="13" t="str">
        <f>IF($A463="","",[1]!thsiFinD("ths_adjustment_nv_fund",L$3,$A463))</f>
        <v/>
      </c>
      <c r="M463" s="13" t="str">
        <f>IF($A463="","",[1]!thsiFinD("ths_adjustment_nv_fund",M$3,$A463))</f>
        <v/>
      </c>
      <c r="N463" s="13" t="str">
        <f>IF($A463="","",[1]!thsiFinD("ths_adjustment_nv_fund",N$3,$A463))</f>
        <v/>
      </c>
      <c r="O463" s="13" t="str">
        <f>IF($A463="","",[1]!thsiFinD("ths_adjustment_nv_fund",O$3,$A463))</f>
        <v/>
      </c>
      <c r="P463" s="13" t="str">
        <f>IF($A463="","",[1]!thsiFinD("ths_adjustment_nv_fund",P$3,$A463))</f>
        <v/>
      </c>
      <c r="Q463" s="13" t="str">
        <f>IF($A463="","",[1]!thsiFinD("ths_adjustment_nv_fund",Q$3,$A463))</f>
        <v/>
      </c>
      <c r="R463" s="13" t="str">
        <f>IF($A463="","",[1]!thsiFinD("ths_adjustment_nv_fund",R$3,$A463))</f>
        <v/>
      </c>
      <c r="S463" s="13" t="str">
        <f>IF($A463="","",[1]!thsiFinD("ths_adjustment_nv_fund",S$3,$A463))</f>
        <v/>
      </c>
      <c r="T463" s="13" t="str">
        <f>IF($A463="","",[1]!thsiFinD("ths_adjustment_nv_fund",T$3,$A463))</f>
        <v/>
      </c>
      <c r="U463" s="13" t="str">
        <f>IF($A463="","",[1]!thsiFinD("ths_adjustment_nv_fund",U$3,$A463))</f>
        <v/>
      </c>
      <c r="V463" s="13" t="str">
        <f>IF($A463="","",[1]!thsiFinD("ths_adjustment_nv_fund",V$3,$A463))</f>
        <v/>
      </c>
      <c r="W463" s="13" t="str">
        <f>IF($A463="","",[1]!thsiFinD("ths_adjustment_nv_fund",W$3,$A463))</f>
        <v/>
      </c>
      <c r="X463" s="13" t="str">
        <f>IF($A463="","",[1]!thsiFinD("ths_adjustment_nv_fund",X$3,$A463))</f>
        <v/>
      </c>
      <c r="Y463" s="13" t="str">
        <f>IF($A463="","",[1]!thsiFinD("ths_adjustment_nv_fund",Y$3,$A463))</f>
        <v/>
      </c>
      <c r="Z463" s="13" t="str">
        <f>IF($A463="","",[1]!thsiFinD("ths_adjustment_nv_fund",Z$3,$A463))</f>
        <v/>
      </c>
      <c r="AA463" s="13" t="str">
        <f>IF($A463="","",[1]!thsiFinD("ths_adjustment_nv_fund",AA$3,$A463))</f>
        <v/>
      </c>
      <c r="AB463" s="13">
        <f>IF($A463="","",[1]!thsiFinD("ths_adjustment_nv_fund",AB$3,$A463))</f>
        <v/>
      </c>
      <c r="AC463" s="13">
        <f>IF($A463="","",[1]!thsiFinD("ths_adjustment_nv_fund",AC$3,$A463))</f>
        <v/>
      </c>
      <c r="AD463" s="13">
        <f>IF($A463="","",[1]!thsiFinD("ths_adjustment_nv_fund",AD$3,$A463))</f>
        <v/>
      </c>
      <c r="AE463" s="13">
        <f>IF($A463="","",[1]!thsiFinD("ths_adjustment_nv_fund",AE$3,$A463))</f>
        <v/>
      </c>
      <c r="AF463" s="13">
        <f>IF($A463="","",[1]!thsiFinD("ths_adjustment_nv_fund",AF$3,$A463))</f>
        <v/>
      </c>
      <c r="AG463" s="13">
        <f>IF($A463="","",[1]!thsiFinD("ths_adjustment_nv_fund",AG$3,$A463))</f>
        <v/>
      </c>
      <c r="AH463" s="13">
        <f>IF($A463="","",[1]!thsiFinD("ths_adjustment_nv_fund",AH$3,$A463))</f>
        <v/>
      </c>
      <c r="AI463" s="13">
        <f>IF($A463="","",[1]!thsiFinD("ths_adjustment_nv_fund",AI$3,$A463))</f>
        <v/>
      </c>
      <c r="AJ463" s="13">
        <f>IF($A463="","",[1]!thsiFinD("ths_adjustment_nv_fund",AJ$3,$A463))</f>
        <v/>
      </c>
      <c r="AK463" s="13">
        <f>IF($A463="","",[1]!thsiFinD("ths_adjustment_nv_fund",AK$3,$A463))</f>
        <v/>
      </c>
      <c r="AL463" s="13">
        <f>IF($A463="","",[1]!thsiFinD("ths_adjustment_nv_fund",AL$3,$A463))</f>
        <v/>
      </c>
    </row>
    <row r="464" spans="2:28">
      <c r="B464" s="13" t="str">
        <f>IF($A464="","",[1]!thsiFinD("ths_adjustment_nv_fund",B$3,$A464))</f>
        <v/>
      </c>
      <c r="C464" s="13" t="str">
        <f>IF($A464="","",[1]!thsiFinD("ths_adjustment_nv_fund",C$3,$A464))</f>
        <v/>
      </c>
      <c r="D464" s="13" t="str">
        <f>IF($A464="","",[1]!thsiFinD("ths_adjustment_nv_fund",D$3,$A464))</f>
        <v/>
      </c>
      <c r="E464" s="13" t="str">
        <f>IF($A464="","",[1]!thsiFinD("ths_adjustment_nv_fund",E$3,$A464))</f>
        <v/>
      </c>
      <c r="F464" s="13" t="str">
        <f>IF($A464="","",[1]!thsiFinD("ths_adjustment_nv_fund",F$3,$A464))</f>
        <v/>
      </c>
      <c r="G464" s="13" t="str">
        <f>IF($A464="","",[1]!thsiFinD("ths_adjustment_nv_fund",G$3,$A464))</f>
        <v/>
      </c>
      <c r="H464" s="13" t="str">
        <f>IF($A464="","",[1]!thsiFinD("ths_adjustment_nv_fund",H$3,$A464))</f>
        <v/>
      </c>
      <c r="I464" s="13" t="str">
        <f>IF($A464="","",[1]!thsiFinD("ths_adjustment_nv_fund",I$3,$A464))</f>
        <v/>
      </c>
      <c r="J464" s="13" t="str">
        <f>IF($A464="","",[1]!thsiFinD("ths_adjustment_nv_fund",J$3,$A464))</f>
        <v/>
      </c>
      <c r="K464" s="13" t="str">
        <f>IF($A464="","",[1]!thsiFinD("ths_adjustment_nv_fund",K$3,$A464))</f>
        <v/>
      </c>
      <c r="L464" s="13" t="str">
        <f>IF($A464="","",[1]!thsiFinD("ths_adjustment_nv_fund",L$3,$A464))</f>
        <v/>
      </c>
      <c r="M464" s="13" t="str">
        <f>IF($A464="","",[1]!thsiFinD("ths_adjustment_nv_fund",M$3,$A464))</f>
        <v/>
      </c>
      <c r="N464" s="13" t="str">
        <f>IF($A464="","",[1]!thsiFinD("ths_adjustment_nv_fund",N$3,$A464))</f>
        <v/>
      </c>
      <c r="O464" s="13" t="str">
        <f>IF($A464="","",[1]!thsiFinD("ths_adjustment_nv_fund",O$3,$A464))</f>
        <v/>
      </c>
      <c r="P464" s="13" t="str">
        <f>IF($A464="","",[1]!thsiFinD("ths_adjustment_nv_fund",P$3,$A464))</f>
        <v/>
      </c>
      <c r="Q464" s="13" t="str">
        <f>IF($A464="","",[1]!thsiFinD("ths_adjustment_nv_fund",Q$3,$A464))</f>
        <v/>
      </c>
      <c r="R464" s="13" t="str">
        <f>IF($A464="","",[1]!thsiFinD("ths_adjustment_nv_fund",R$3,$A464))</f>
        <v/>
      </c>
      <c r="S464" s="13" t="str">
        <f>IF($A464="","",[1]!thsiFinD("ths_adjustment_nv_fund",S$3,$A464))</f>
        <v/>
      </c>
      <c r="T464" s="13" t="str">
        <f>IF($A464="","",[1]!thsiFinD("ths_adjustment_nv_fund",T$3,$A464))</f>
        <v/>
      </c>
      <c r="U464" s="13" t="str">
        <f>IF($A464="","",[1]!thsiFinD("ths_adjustment_nv_fund",U$3,$A464))</f>
        <v/>
      </c>
      <c r="V464" s="13" t="str">
        <f>IF($A464="","",[1]!thsiFinD("ths_adjustment_nv_fund",V$3,$A464))</f>
        <v/>
      </c>
      <c r="W464" s="13" t="str">
        <f>IF($A464="","",[1]!thsiFinD("ths_adjustment_nv_fund",W$3,$A464))</f>
        <v/>
      </c>
      <c r="X464" s="13" t="str">
        <f>IF($A464="","",[1]!thsiFinD("ths_adjustment_nv_fund",X$3,$A464))</f>
        <v/>
      </c>
      <c r="Y464" s="13" t="str">
        <f>IF($A464="","",[1]!thsiFinD("ths_adjustment_nv_fund",Y$3,$A464))</f>
        <v/>
      </c>
      <c r="Z464" s="13" t="str">
        <f>IF($A464="","",[1]!thsiFinD("ths_adjustment_nv_fund",Z$3,$A464))</f>
        <v/>
      </c>
      <c r="AA464" s="13" t="str">
        <f>IF($A464="","",[1]!thsiFinD("ths_adjustment_nv_fund",AA$3,$A464))</f>
        <v/>
      </c>
      <c r="AB464" s="13">
        <f>IF($A464="","",[1]!thsiFinD("ths_adjustment_nv_fund",AB$3,$A464))</f>
        <v/>
      </c>
      <c r="AC464" s="13">
        <f>IF($A464="","",[1]!thsiFinD("ths_adjustment_nv_fund",AC$3,$A464))</f>
        <v/>
      </c>
      <c r="AD464" s="13">
        <f>IF($A464="","",[1]!thsiFinD("ths_adjustment_nv_fund",AD$3,$A464))</f>
        <v/>
      </c>
      <c r="AE464" s="13">
        <f>IF($A464="","",[1]!thsiFinD("ths_adjustment_nv_fund",AE$3,$A464))</f>
        <v/>
      </c>
      <c r="AF464" s="13">
        <f>IF($A464="","",[1]!thsiFinD("ths_adjustment_nv_fund",AF$3,$A464))</f>
        <v/>
      </c>
      <c r="AG464" s="13">
        <f>IF($A464="","",[1]!thsiFinD("ths_adjustment_nv_fund",AG$3,$A464))</f>
        <v/>
      </c>
      <c r="AH464" s="13">
        <f>IF($A464="","",[1]!thsiFinD("ths_adjustment_nv_fund",AH$3,$A464))</f>
        <v/>
      </c>
      <c r="AI464" s="13">
        <f>IF($A464="","",[1]!thsiFinD("ths_adjustment_nv_fund",AI$3,$A464))</f>
        <v/>
      </c>
      <c r="AJ464" s="13">
        <f>IF($A464="","",[1]!thsiFinD("ths_adjustment_nv_fund",AJ$3,$A464))</f>
        <v/>
      </c>
      <c r="AK464" s="13">
        <f>IF($A464="","",[1]!thsiFinD("ths_adjustment_nv_fund",AK$3,$A464))</f>
        <v/>
      </c>
      <c r="AL464" s="13">
        <f>IF($A464="","",[1]!thsiFinD("ths_adjustment_nv_fund",AL$3,$A464))</f>
        <v/>
      </c>
    </row>
    <row r="465" spans="2:28">
      <c r="B465" s="13" t="str">
        <f>IF($A465="","",[1]!thsiFinD("ths_adjustment_nv_fund",B$3,$A465))</f>
        <v/>
      </c>
      <c r="C465" s="13" t="str">
        <f>IF($A465="","",[1]!thsiFinD("ths_adjustment_nv_fund",C$3,$A465))</f>
        <v/>
      </c>
      <c r="D465" s="13" t="str">
        <f>IF($A465="","",[1]!thsiFinD("ths_adjustment_nv_fund",D$3,$A465))</f>
        <v/>
      </c>
      <c r="E465" s="13" t="str">
        <f>IF($A465="","",[1]!thsiFinD("ths_adjustment_nv_fund",E$3,$A465))</f>
        <v/>
      </c>
      <c r="F465" s="13" t="str">
        <f>IF($A465="","",[1]!thsiFinD("ths_adjustment_nv_fund",F$3,$A465))</f>
        <v/>
      </c>
      <c r="G465" s="13" t="str">
        <f>IF($A465="","",[1]!thsiFinD("ths_adjustment_nv_fund",G$3,$A465))</f>
        <v/>
      </c>
      <c r="H465" s="13" t="str">
        <f>IF($A465="","",[1]!thsiFinD("ths_adjustment_nv_fund",H$3,$A465))</f>
        <v/>
      </c>
      <c r="I465" s="13" t="str">
        <f>IF($A465="","",[1]!thsiFinD("ths_adjustment_nv_fund",I$3,$A465))</f>
        <v/>
      </c>
      <c r="J465" s="13" t="str">
        <f>IF($A465="","",[1]!thsiFinD("ths_adjustment_nv_fund",J$3,$A465))</f>
        <v/>
      </c>
      <c r="K465" s="13" t="str">
        <f>IF($A465="","",[1]!thsiFinD("ths_adjustment_nv_fund",K$3,$A465))</f>
        <v/>
      </c>
      <c r="L465" s="13" t="str">
        <f>IF($A465="","",[1]!thsiFinD("ths_adjustment_nv_fund",L$3,$A465))</f>
        <v/>
      </c>
      <c r="M465" s="13" t="str">
        <f>IF($A465="","",[1]!thsiFinD("ths_adjustment_nv_fund",M$3,$A465))</f>
        <v/>
      </c>
      <c r="N465" s="13" t="str">
        <f>IF($A465="","",[1]!thsiFinD("ths_adjustment_nv_fund",N$3,$A465))</f>
        <v/>
      </c>
      <c r="O465" s="13" t="str">
        <f>IF($A465="","",[1]!thsiFinD("ths_adjustment_nv_fund",O$3,$A465))</f>
        <v/>
      </c>
      <c r="P465" s="13" t="str">
        <f>IF($A465="","",[1]!thsiFinD("ths_adjustment_nv_fund",P$3,$A465))</f>
        <v/>
      </c>
      <c r="Q465" s="13" t="str">
        <f>IF($A465="","",[1]!thsiFinD("ths_adjustment_nv_fund",Q$3,$A465))</f>
        <v/>
      </c>
      <c r="R465" s="13" t="str">
        <f>IF($A465="","",[1]!thsiFinD("ths_adjustment_nv_fund",R$3,$A465))</f>
        <v/>
      </c>
      <c r="S465" s="13" t="str">
        <f>IF($A465="","",[1]!thsiFinD("ths_adjustment_nv_fund",S$3,$A465))</f>
        <v/>
      </c>
      <c r="T465" s="13" t="str">
        <f>IF($A465="","",[1]!thsiFinD("ths_adjustment_nv_fund",T$3,$A465))</f>
        <v/>
      </c>
      <c r="U465" s="13" t="str">
        <f>IF($A465="","",[1]!thsiFinD("ths_adjustment_nv_fund",U$3,$A465))</f>
        <v/>
      </c>
      <c r="V465" s="13" t="str">
        <f>IF($A465="","",[1]!thsiFinD("ths_adjustment_nv_fund",V$3,$A465))</f>
        <v/>
      </c>
      <c r="W465" s="13" t="str">
        <f>IF($A465="","",[1]!thsiFinD("ths_adjustment_nv_fund",W$3,$A465))</f>
        <v/>
      </c>
      <c r="X465" s="13" t="str">
        <f>IF($A465="","",[1]!thsiFinD("ths_adjustment_nv_fund",X$3,$A465))</f>
        <v/>
      </c>
      <c r="Y465" s="13" t="str">
        <f>IF($A465="","",[1]!thsiFinD("ths_adjustment_nv_fund",Y$3,$A465))</f>
        <v/>
      </c>
      <c r="Z465" s="13" t="str">
        <f>IF($A465="","",[1]!thsiFinD("ths_adjustment_nv_fund",Z$3,$A465))</f>
        <v/>
      </c>
      <c r="AA465" s="13" t="str">
        <f>IF($A465="","",[1]!thsiFinD("ths_adjustment_nv_fund",AA$3,$A465))</f>
        <v/>
      </c>
      <c r="AB465" s="13">
        <f>IF($A465="","",[1]!thsiFinD("ths_adjustment_nv_fund",AB$3,$A465))</f>
        <v/>
      </c>
      <c r="AC465" s="13">
        <f>IF($A465="","",[1]!thsiFinD("ths_adjustment_nv_fund",AC$3,$A465))</f>
        <v/>
      </c>
      <c r="AD465" s="13">
        <f>IF($A465="","",[1]!thsiFinD("ths_adjustment_nv_fund",AD$3,$A465))</f>
        <v/>
      </c>
      <c r="AE465" s="13">
        <f>IF($A465="","",[1]!thsiFinD("ths_adjustment_nv_fund",AE$3,$A465))</f>
        <v/>
      </c>
      <c r="AF465" s="13">
        <f>IF($A465="","",[1]!thsiFinD("ths_adjustment_nv_fund",AF$3,$A465))</f>
        <v/>
      </c>
      <c r="AG465" s="13">
        <f>IF($A465="","",[1]!thsiFinD("ths_adjustment_nv_fund",AG$3,$A465))</f>
        <v/>
      </c>
      <c r="AH465" s="13">
        <f>IF($A465="","",[1]!thsiFinD("ths_adjustment_nv_fund",AH$3,$A465))</f>
        <v/>
      </c>
      <c r="AI465" s="13">
        <f>IF($A465="","",[1]!thsiFinD("ths_adjustment_nv_fund",AI$3,$A465))</f>
        <v/>
      </c>
      <c r="AJ465" s="13">
        <f>IF($A465="","",[1]!thsiFinD("ths_adjustment_nv_fund",AJ$3,$A465))</f>
        <v/>
      </c>
      <c r="AK465" s="13">
        <f>IF($A465="","",[1]!thsiFinD("ths_adjustment_nv_fund",AK$3,$A465))</f>
        <v/>
      </c>
      <c r="AL465" s="13">
        <f>IF($A465="","",[1]!thsiFinD("ths_adjustment_nv_fund",AL$3,$A465))</f>
        <v/>
      </c>
    </row>
    <row r="466" spans="2:28">
      <c r="B466" s="13" t="str">
        <f>IF($A466="","",[1]!thsiFinD("ths_adjustment_nv_fund",B$3,$A466))</f>
        <v/>
      </c>
      <c r="C466" s="13" t="str">
        <f>IF($A466="","",[1]!thsiFinD("ths_adjustment_nv_fund",C$3,$A466))</f>
        <v/>
      </c>
      <c r="D466" s="13" t="str">
        <f>IF($A466="","",[1]!thsiFinD("ths_adjustment_nv_fund",D$3,$A466))</f>
        <v/>
      </c>
      <c r="E466" s="13" t="str">
        <f>IF($A466="","",[1]!thsiFinD("ths_adjustment_nv_fund",E$3,$A466))</f>
        <v/>
      </c>
      <c r="F466" s="13" t="str">
        <f>IF($A466="","",[1]!thsiFinD("ths_adjustment_nv_fund",F$3,$A466))</f>
        <v/>
      </c>
      <c r="G466" s="13" t="str">
        <f>IF($A466="","",[1]!thsiFinD("ths_adjustment_nv_fund",G$3,$A466))</f>
        <v/>
      </c>
      <c r="H466" s="13" t="str">
        <f>IF($A466="","",[1]!thsiFinD("ths_adjustment_nv_fund",H$3,$A466))</f>
        <v/>
      </c>
      <c r="I466" s="13" t="str">
        <f>IF($A466="","",[1]!thsiFinD("ths_adjustment_nv_fund",I$3,$A466))</f>
        <v/>
      </c>
      <c r="J466" s="13" t="str">
        <f>IF($A466="","",[1]!thsiFinD("ths_adjustment_nv_fund",J$3,$A466))</f>
        <v/>
      </c>
      <c r="K466" s="13" t="str">
        <f>IF($A466="","",[1]!thsiFinD("ths_adjustment_nv_fund",K$3,$A466))</f>
        <v/>
      </c>
      <c r="L466" s="13" t="str">
        <f>IF($A466="","",[1]!thsiFinD("ths_adjustment_nv_fund",L$3,$A466))</f>
        <v/>
      </c>
      <c r="M466" s="13" t="str">
        <f>IF($A466="","",[1]!thsiFinD("ths_adjustment_nv_fund",M$3,$A466))</f>
        <v/>
      </c>
      <c r="N466" s="13" t="str">
        <f>IF($A466="","",[1]!thsiFinD("ths_adjustment_nv_fund",N$3,$A466))</f>
        <v/>
      </c>
      <c r="O466" s="13" t="str">
        <f>IF($A466="","",[1]!thsiFinD("ths_adjustment_nv_fund",O$3,$A466))</f>
        <v/>
      </c>
      <c r="P466" s="13" t="str">
        <f>IF($A466="","",[1]!thsiFinD("ths_adjustment_nv_fund",P$3,$A466))</f>
        <v/>
      </c>
      <c r="Q466" s="13" t="str">
        <f>IF($A466="","",[1]!thsiFinD("ths_adjustment_nv_fund",Q$3,$A466))</f>
        <v/>
      </c>
      <c r="R466" s="13" t="str">
        <f>IF($A466="","",[1]!thsiFinD("ths_adjustment_nv_fund",R$3,$A466))</f>
        <v/>
      </c>
      <c r="S466" s="13" t="str">
        <f>IF($A466="","",[1]!thsiFinD("ths_adjustment_nv_fund",S$3,$A466))</f>
        <v/>
      </c>
      <c r="T466" s="13" t="str">
        <f>IF($A466="","",[1]!thsiFinD("ths_adjustment_nv_fund",T$3,$A466))</f>
        <v/>
      </c>
      <c r="U466" s="13" t="str">
        <f>IF($A466="","",[1]!thsiFinD("ths_adjustment_nv_fund",U$3,$A466))</f>
        <v/>
      </c>
      <c r="V466" s="13" t="str">
        <f>IF($A466="","",[1]!thsiFinD("ths_adjustment_nv_fund",V$3,$A466))</f>
        <v/>
      </c>
      <c r="W466" s="13" t="str">
        <f>IF($A466="","",[1]!thsiFinD("ths_adjustment_nv_fund",W$3,$A466))</f>
        <v/>
      </c>
      <c r="X466" s="13" t="str">
        <f>IF($A466="","",[1]!thsiFinD("ths_adjustment_nv_fund",X$3,$A466))</f>
        <v/>
      </c>
      <c r="Y466" s="13" t="str">
        <f>IF($A466="","",[1]!thsiFinD("ths_adjustment_nv_fund",Y$3,$A466))</f>
        <v/>
      </c>
      <c r="Z466" s="13" t="str">
        <f>IF($A466="","",[1]!thsiFinD("ths_adjustment_nv_fund",Z$3,$A466))</f>
        <v/>
      </c>
      <c r="AA466" s="13" t="str">
        <f>IF($A466="","",[1]!thsiFinD("ths_adjustment_nv_fund",AA$3,$A466))</f>
        <v/>
      </c>
      <c r="AB466" s="13">
        <f>IF($A466="","",[1]!thsiFinD("ths_adjustment_nv_fund",AB$3,$A466))</f>
        <v/>
      </c>
      <c r="AC466" s="13">
        <f>IF($A466="","",[1]!thsiFinD("ths_adjustment_nv_fund",AC$3,$A466))</f>
        <v/>
      </c>
      <c r="AD466" s="13">
        <f>IF($A466="","",[1]!thsiFinD("ths_adjustment_nv_fund",AD$3,$A466))</f>
        <v/>
      </c>
      <c r="AE466" s="13">
        <f>IF($A466="","",[1]!thsiFinD("ths_adjustment_nv_fund",AE$3,$A466))</f>
        <v/>
      </c>
      <c r="AF466" s="13">
        <f>IF($A466="","",[1]!thsiFinD("ths_adjustment_nv_fund",AF$3,$A466))</f>
        <v/>
      </c>
      <c r="AG466" s="13">
        <f>IF($A466="","",[1]!thsiFinD("ths_adjustment_nv_fund",AG$3,$A466))</f>
        <v/>
      </c>
      <c r="AH466" s="13">
        <f>IF($A466="","",[1]!thsiFinD("ths_adjustment_nv_fund",AH$3,$A466))</f>
        <v/>
      </c>
      <c r="AI466" s="13">
        <f>IF($A466="","",[1]!thsiFinD("ths_adjustment_nv_fund",AI$3,$A466))</f>
        <v/>
      </c>
      <c r="AJ466" s="13">
        <f>IF($A466="","",[1]!thsiFinD("ths_adjustment_nv_fund",AJ$3,$A466))</f>
        <v/>
      </c>
      <c r="AK466" s="13">
        <f>IF($A466="","",[1]!thsiFinD("ths_adjustment_nv_fund",AK$3,$A466))</f>
        <v/>
      </c>
      <c r="AL466" s="13">
        <f>IF($A466="","",[1]!thsiFinD("ths_adjustment_nv_fund",AL$3,$A466))</f>
        <v/>
      </c>
    </row>
    <row r="467" spans="2:28">
      <c r="B467" s="13" t="str">
        <f>IF($A467="","",[1]!thsiFinD("ths_adjustment_nv_fund",B$3,$A467))</f>
        <v/>
      </c>
      <c r="C467" s="13" t="str">
        <f>IF($A467="","",[1]!thsiFinD("ths_adjustment_nv_fund",C$3,$A467))</f>
        <v/>
      </c>
      <c r="D467" s="13" t="str">
        <f>IF($A467="","",[1]!thsiFinD("ths_adjustment_nv_fund",D$3,$A467))</f>
        <v/>
      </c>
      <c r="E467" s="13" t="str">
        <f>IF($A467="","",[1]!thsiFinD("ths_adjustment_nv_fund",E$3,$A467))</f>
        <v/>
      </c>
      <c r="F467" s="13" t="str">
        <f>IF($A467="","",[1]!thsiFinD("ths_adjustment_nv_fund",F$3,$A467))</f>
        <v/>
      </c>
      <c r="G467" s="13" t="str">
        <f>IF($A467="","",[1]!thsiFinD("ths_adjustment_nv_fund",G$3,$A467))</f>
        <v/>
      </c>
      <c r="H467" s="13" t="str">
        <f>IF($A467="","",[1]!thsiFinD("ths_adjustment_nv_fund",H$3,$A467))</f>
        <v/>
      </c>
      <c r="I467" s="13" t="str">
        <f>IF($A467="","",[1]!thsiFinD("ths_adjustment_nv_fund",I$3,$A467))</f>
        <v/>
      </c>
      <c r="J467" s="13" t="str">
        <f>IF($A467="","",[1]!thsiFinD("ths_adjustment_nv_fund",J$3,$A467))</f>
        <v/>
      </c>
      <c r="K467" s="13" t="str">
        <f>IF($A467="","",[1]!thsiFinD("ths_adjustment_nv_fund",K$3,$A467))</f>
        <v/>
      </c>
      <c r="L467" s="13" t="str">
        <f>IF($A467="","",[1]!thsiFinD("ths_adjustment_nv_fund",L$3,$A467))</f>
        <v/>
      </c>
      <c r="M467" s="13" t="str">
        <f>IF($A467="","",[1]!thsiFinD("ths_adjustment_nv_fund",M$3,$A467))</f>
        <v/>
      </c>
      <c r="N467" s="13" t="str">
        <f>IF($A467="","",[1]!thsiFinD("ths_adjustment_nv_fund",N$3,$A467))</f>
        <v/>
      </c>
      <c r="O467" s="13" t="str">
        <f>IF($A467="","",[1]!thsiFinD("ths_adjustment_nv_fund",O$3,$A467))</f>
        <v/>
      </c>
      <c r="P467" s="13" t="str">
        <f>IF($A467="","",[1]!thsiFinD("ths_adjustment_nv_fund",P$3,$A467))</f>
        <v/>
      </c>
      <c r="Q467" s="13" t="str">
        <f>IF($A467="","",[1]!thsiFinD("ths_adjustment_nv_fund",Q$3,$A467))</f>
        <v/>
      </c>
      <c r="R467" s="13" t="str">
        <f>IF($A467="","",[1]!thsiFinD("ths_adjustment_nv_fund",R$3,$A467))</f>
        <v/>
      </c>
      <c r="S467" s="13" t="str">
        <f>IF($A467="","",[1]!thsiFinD("ths_adjustment_nv_fund",S$3,$A467))</f>
        <v/>
      </c>
      <c r="T467" s="13" t="str">
        <f>IF($A467="","",[1]!thsiFinD("ths_adjustment_nv_fund",T$3,$A467))</f>
        <v/>
      </c>
      <c r="U467" s="13" t="str">
        <f>IF($A467="","",[1]!thsiFinD("ths_adjustment_nv_fund",U$3,$A467))</f>
        <v/>
      </c>
      <c r="V467" s="13" t="str">
        <f>IF($A467="","",[1]!thsiFinD("ths_adjustment_nv_fund",V$3,$A467))</f>
        <v/>
      </c>
      <c r="W467" s="13" t="str">
        <f>IF($A467="","",[1]!thsiFinD("ths_adjustment_nv_fund",W$3,$A467))</f>
        <v/>
      </c>
      <c r="X467" s="13" t="str">
        <f>IF($A467="","",[1]!thsiFinD("ths_adjustment_nv_fund",X$3,$A467))</f>
        <v/>
      </c>
      <c r="Y467" s="13" t="str">
        <f>IF($A467="","",[1]!thsiFinD("ths_adjustment_nv_fund",Y$3,$A467))</f>
        <v/>
      </c>
      <c r="Z467" s="13" t="str">
        <f>IF($A467="","",[1]!thsiFinD("ths_adjustment_nv_fund",Z$3,$A467))</f>
        <v/>
      </c>
      <c r="AA467" s="13" t="str">
        <f>IF($A467="","",[1]!thsiFinD("ths_adjustment_nv_fund",AA$3,$A467))</f>
        <v/>
      </c>
      <c r="AB467" s="13">
        <f>IF($A467="","",[1]!thsiFinD("ths_adjustment_nv_fund",AB$3,$A467))</f>
        <v/>
      </c>
      <c r="AC467" s="13">
        <f>IF($A467="","",[1]!thsiFinD("ths_adjustment_nv_fund",AC$3,$A467))</f>
        <v/>
      </c>
      <c r="AD467" s="13">
        <f>IF($A467="","",[1]!thsiFinD("ths_adjustment_nv_fund",AD$3,$A467))</f>
        <v/>
      </c>
      <c r="AE467" s="13">
        <f>IF($A467="","",[1]!thsiFinD("ths_adjustment_nv_fund",AE$3,$A467))</f>
        <v/>
      </c>
      <c r="AF467" s="13">
        <f>IF($A467="","",[1]!thsiFinD("ths_adjustment_nv_fund",AF$3,$A467))</f>
        <v/>
      </c>
      <c r="AG467" s="13">
        <f>IF($A467="","",[1]!thsiFinD("ths_adjustment_nv_fund",AG$3,$A467))</f>
        <v/>
      </c>
      <c r="AH467" s="13">
        <f>IF($A467="","",[1]!thsiFinD("ths_adjustment_nv_fund",AH$3,$A467))</f>
        <v/>
      </c>
      <c r="AI467" s="13">
        <f>IF($A467="","",[1]!thsiFinD("ths_adjustment_nv_fund",AI$3,$A467))</f>
        <v/>
      </c>
      <c r="AJ467" s="13">
        <f>IF($A467="","",[1]!thsiFinD("ths_adjustment_nv_fund",AJ$3,$A467))</f>
        <v/>
      </c>
      <c r="AK467" s="13">
        <f>IF($A467="","",[1]!thsiFinD("ths_adjustment_nv_fund",AK$3,$A467))</f>
        <v/>
      </c>
      <c r="AL467" s="13">
        <f>IF($A467="","",[1]!thsiFinD("ths_adjustment_nv_fund",AL$3,$A467))</f>
        <v/>
      </c>
    </row>
    <row r="468" spans="2:28">
      <c r="B468" s="13" t="str">
        <f>IF($A468="","",[1]!thsiFinD("ths_adjustment_nv_fund",B$3,$A468))</f>
        <v/>
      </c>
      <c r="C468" s="13" t="str">
        <f>IF($A468="","",[1]!thsiFinD("ths_adjustment_nv_fund",C$3,$A468))</f>
        <v/>
      </c>
      <c r="D468" s="13" t="str">
        <f>IF($A468="","",[1]!thsiFinD("ths_adjustment_nv_fund",D$3,$A468))</f>
        <v/>
      </c>
      <c r="E468" s="13" t="str">
        <f>IF($A468="","",[1]!thsiFinD("ths_adjustment_nv_fund",E$3,$A468))</f>
        <v/>
      </c>
      <c r="F468" s="13" t="str">
        <f>IF($A468="","",[1]!thsiFinD("ths_adjustment_nv_fund",F$3,$A468))</f>
        <v/>
      </c>
      <c r="G468" s="13" t="str">
        <f>IF($A468="","",[1]!thsiFinD("ths_adjustment_nv_fund",G$3,$A468))</f>
        <v/>
      </c>
      <c r="H468" s="13" t="str">
        <f>IF($A468="","",[1]!thsiFinD("ths_adjustment_nv_fund",H$3,$A468))</f>
        <v/>
      </c>
      <c r="I468" s="13" t="str">
        <f>IF($A468="","",[1]!thsiFinD("ths_adjustment_nv_fund",I$3,$A468))</f>
        <v/>
      </c>
      <c r="J468" s="13" t="str">
        <f>IF($A468="","",[1]!thsiFinD("ths_adjustment_nv_fund",J$3,$A468))</f>
        <v/>
      </c>
      <c r="K468" s="13" t="str">
        <f>IF($A468="","",[1]!thsiFinD("ths_adjustment_nv_fund",K$3,$A468))</f>
        <v/>
      </c>
      <c r="L468" s="13" t="str">
        <f>IF($A468="","",[1]!thsiFinD("ths_adjustment_nv_fund",L$3,$A468))</f>
        <v/>
      </c>
      <c r="M468" s="13" t="str">
        <f>IF($A468="","",[1]!thsiFinD("ths_adjustment_nv_fund",M$3,$A468))</f>
        <v/>
      </c>
      <c r="N468" s="13" t="str">
        <f>IF($A468="","",[1]!thsiFinD("ths_adjustment_nv_fund",N$3,$A468))</f>
        <v/>
      </c>
      <c r="O468" s="13" t="str">
        <f>IF($A468="","",[1]!thsiFinD("ths_adjustment_nv_fund",O$3,$A468))</f>
        <v/>
      </c>
      <c r="P468" s="13" t="str">
        <f>IF($A468="","",[1]!thsiFinD("ths_adjustment_nv_fund",P$3,$A468))</f>
        <v/>
      </c>
      <c r="Q468" s="13" t="str">
        <f>IF($A468="","",[1]!thsiFinD("ths_adjustment_nv_fund",Q$3,$A468))</f>
        <v/>
      </c>
      <c r="R468" s="13" t="str">
        <f>IF($A468="","",[1]!thsiFinD("ths_adjustment_nv_fund",R$3,$A468))</f>
        <v/>
      </c>
      <c r="S468" s="13" t="str">
        <f>IF($A468="","",[1]!thsiFinD("ths_adjustment_nv_fund",S$3,$A468))</f>
        <v/>
      </c>
      <c r="T468" s="13" t="str">
        <f>IF($A468="","",[1]!thsiFinD("ths_adjustment_nv_fund",T$3,$A468))</f>
        <v/>
      </c>
      <c r="U468" s="13" t="str">
        <f>IF($A468="","",[1]!thsiFinD("ths_adjustment_nv_fund",U$3,$A468))</f>
        <v/>
      </c>
      <c r="V468" s="13" t="str">
        <f>IF($A468="","",[1]!thsiFinD("ths_adjustment_nv_fund",V$3,$A468))</f>
        <v/>
      </c>
      <c r="W468" s="13" t="str">
        <f>IF($A468="","",[1]!thsiFinD("ths_adjustment_nv_fund",W$3,$A468))</f>
        <v/>
      </c>
      <c r="X468" s="13" t="str">
        <f>IF($A468="","",[1]!thsiFinD("ths_adjustment_nv_fund",X$3,$A468))</f>
        <v/>
      </c>
      <c r="Y468" s="13" t="str">
        <f>IF($A468="","",[1]!thsiFinD("ths_adjustment_nv_fund",Y$3,$A468))</f>
        <v/>
      </c>
      <c r="Z468" s="13" t="str">
        <f>IF($A468="","",[1]!thsiFinD("ths_adjustment_nv_fund",Z$3,$A468))</f>
        <v/>
      </c>
      <c r="AA468" s="13" t="str">
        <f>IF($A468="","",[1]!thsiFinD("ths_adjustment_nv_fund",AA$3,$A468))</f>
        <v/>
      </c>
      <c r="AB468" s="13">
        <f>IF($A468="","",[1]!thsiFinD("ths_adjustment_nv_fund",AB$3,$A468))</f>
        <v/>
      </c>
      <c r="AC468" s="13">
        <f>IF($A468="","",[1]!thsiFinD("ths_adjustment_nv_fund",AC$3,$A468))</f>
        <v/>
      </c>
      <c r="AD468" s="13">
        <f>IF($A468="","",[1]!thsiFinD("ths_adjustment_nv_fund",AD$3,$A468))</f>
        <v/>
      </c>
      <c r="AE468" s="13">
        <f>IF($A468="","",[1]!thsiFinD("ths_adjustment_nv_fund",AE$3,$A468))</f>
        <v/>
      </c>
      <c r="AF468" s="13">
        <f>IF($A468="","",[1]!thsiFinD("ths_adjustment_nv_fund",AF$3,$A468))</f>
        <v/>
      </c>
      <c r="AG468" s="13">
        <f>IF($A468="","",[1]!thsiFinD("ths_adjustment_nv_fund",AG$3,$A468))</f>
        <v/>
      </c>
      <c r="AH468" s="13">
        <f>IF($A468="","",[1]!thsiFinD("ths_adjustment_nv_fund",AH$3,$A468))</f>
        <v/>
      </c>
      <c r="AI468" s="13">
        <f>IF($A468="","",[1]!thsiFinD("ths_adjustment_nv_fund",AI$3,$A468))</f>
        <v/>
      </c>
      <c r="AJ468" s="13">
        <f>IF($A468="","",[1]!thsiFinD("ths_adjustment_nv_fund",AJ$3,$A468))</f>
        <v/>
      </c>
      <c r="AK468" s="13">
        <f>IF($A468="","",[1]!thsiFinD("ths_adjustment_nv_fund",AK$3,$A468))</f>
        <v/>
      </c>
      <c r="AL468" s="13">
        <f>IF($A468="","",[1]!thsiFinD("ths_adjustment_nv_fund",AL$3,$A468))</f>
        <v/>
      </c>
    </row>
    <row r="469" spans="2:28">
      <c r="B469" s="13" t="str">
        <f>IF($A469="","",[1]!thsiFinD("ths_adjustment_nv_fund",B$3,$A469))</f>
        <v/>
      </c>
      <c r="C469" s="13" t="str">
        <f>IF($A469="","",[1]!thsiFinD("ths_adjustment_nv_fund",C$3,$A469))</f>
        <v/>
      </c>
      <c r="D469" s="13" t="str">
        <f>IF($A469="","",[1]!thsiFinD("ths_adjustment_nv_fund",D$3,$A469))</f>
        <v/>
      </c>
      <c r="E469" s="13" t="str">
        <f>IF($A469="","",[1]!thsiFinD("ths_adjustment_nv_fund",E$3,$A469))</f>
        <v/>
      </c>
      <c r="F469" s="13" t="str">
        <f>IF($A469="","",[1]!thsiFinD("ths_adjustment_nv_fund",F$3,$A469))</f>
        <v/>
      </c>
      <c r="G469" s="13" t="str">
        <f>IF($A469="","",[1]!thsiFinD("ths_adjustment_nv_fund",G$3,$A469))</f>
        <v/>
      </c>
      <c r="H469" s="13" t="str">
        <f>IF($A469="","",[1]!thsiFinD("ths_adjustment_nv_fund",H$3,$A469))</f>
        <v/>
      </c>
      <c r="I469" s="13" t="str">
        <f>IF($A469="","",[1]!thsiFinD("ths_adjustment_nv_fund",I$3,$A469))</f>
        <v/>
      </c>
      <c r="J469" s="13" t="str">
        <f>IF($A469="","",[1]!thsiFinD("ths_adjustment_nv_fund",J$3,$A469))</f>
        <v/>
      </c>
      <c r="K469" s="13" t="str">
        <f>IF($A469="","",[1]!thsiFinD("ths_adjustment_nv_fund",K$3,$A469))</f>
        <v/>
      </c>
      <c r="L469" s="13" t="str">
        <f>IF($A469="","",[1]!thsiFinD("ths_adjustment_nv_fund",L$3,$A469))</f>
        <v/>
      </c>
      <c r="M469" s="13" t="str">
        <f>IF($A469="","",[1]!thsiFinD("ths_adjustment_nv_fund",M$3,$A469))</f>
        <v/>
      </c>
      <c r="N469" s="13" t="str">
        <f>IF($A469="","",[1]!thsiFinD("ths_adjustment_nv_fund",N$3,$A469))</f>
        <v/>
      </c>
      <c r="O469" s="13" t="str">
        <f>IF($A469="","",[1]!thsiFinD("ths_adjustment_nv_fund",O$3,$A469))</f>
        <v/>
      </c>
      <c r="P469" s="13" t="str">
        <f>IF($A469="","",[1]!thsiFinD("ths_adjustment_nv_fund",P$3,$A469))</f>
        <v/>
      </c>
      <c r="Q469" s="13" t="str">
        <f>IF($A469="","",[1]!thsiFinD("ths_adjustment_nv_fund",Q$3,$A469))</f>
        <v/>
      </c>
      <c r="R469" s="13" t="str">
        <f>IF($A469="","",[1]!thsiFinD("ths_adjustment_nv_fund",R$3,$A469))</f>
        <v/>
      </c>
      <c r="S469" s="13" t="str">
        <f>IF($A469="","",[1]!thsiFinD("ths_adjustment_nv_fund",S$3,$A469))</f>
        <v/>
      </c>
      <c r="T469" s="13" t="str">
        <f>IF($A469="","",[1]!thsiFinD("ths_adjustment_nv_fund",T$3,$A469))</f>
        <v/>
      </c>
      <c r="U469" s="13" t="str">
        <f>IF($A469="","",[1]!thsiFinD("ths_adjustment_nv_fund",U$3,$A469))</f>
        <v/>
      </c>
      <c r="V469" s="13" t="str">
        <f>IF($A469="","",[1]!thsiFinD("ths_adjustment_nv_fund",V$3,$A469))</f>
        <v/>
      </c>
      <c r="W469" s="13" t="str">
        <f>IF($A469="","",[1]!thsiFinD("ths_adjustment_nv_fund",W$3,$A469))</f>
        <v/>
      </c>
      <c r="X469" s="13" t="str">
        <f>IF($A469="","",[1]!thsiFinD("ths_adjustment_nv_fund",X$3,$A469))</f>
        <v/>
      </c>
      <c r="Y469" s="13" t="str">
        <f>IF($A469="","",[1]!thsiFinD("ths_adjustment_nv_fund",Y$3,$A469))</f>
        <v/>
      </c>
      <c r="Z469" s="13" t="str">
        <f>IF($A469="","",[1]!thsiFinD("ths_adjustment_nv_fund",Z$3,$A469))</f>
        <v/>
      </c>
      <c r="AA469" s="13" t="str">
        <f>IF($A469="","",[1]!thsiFinD("ths_adjustment_nv_fund",AA$3,$A469))</f>
        <v/>
      </c>
      <c r="AB469" s="13">
        <f>IF($A469="","",[1]!thsiFinD("ths_adjustment_nv_fund",AB$3,$A469))</f>
        <v/>
      </c>
      <c r="AC469" s="13">
        <f>IF($A469="","",[1]!thsiFinD("ths_adjustment_nv_fund",AC$3,$A469))</f>
        <v/>
      </c>
      <c r="AD469" s="13">
        <f>IF($A469="","",[1]!thsiFinD("ths_adjustment_nv_fund",AD$3,$A469))</f>
        <v/>
      </c>
      <c r="AE469" s="13">
        <f>IF($A469="","",[1]!thsiFinD("ths_adjustment_nv_fund",AE$3,$A469))</f>
        <v/>
      </c>
      <c r="AF469" s="13">
        <f>IF($A469="","",[1]!thsiFinD("ths_adjustment_nv_fund",AF$3,$A469))</f>
        <v/>
      </c>
      <c r="AG469" s="13">
        <f>IF($A469="","",[1]!thsiFinD("ths_adjustment_nv_fund",AG$3,$A469))</f>
        <v/>
      </c>
      <c r="AH469" s="13">
        <f>IF($A469="","",[1]!thsiFinD("ths_adjustment_nv_fund",AH$3,$A469))</f>
        <v/>
      </c>
      <c r="AI469" s="13">
        <f>IF($A469="","",[1]!thsiFinD("ths_adjustment_nv_fund",AI$3,$A469))</f>
        <v/>
      </c>
      <c r="AJ469" s="13">
        <f>IF($A469="","",[1]!thsiFinD("ths_adjustment_nv_fund",AJ$3,$A469))</f>
        <v/>
      </c>
      <c r="AK469" s="13">
        <f>IF($A469="","",[1]!thsiFinD("ths_adjustment_nv_fund",AK$3,$A469))</f>
        <v/>
      </c>
      <c r="AL469" s="13">
        <f>IF($A469="","",[1]!thsiFinD("ths_adjustment_nv_fund",AL$3,$A469))</f>
        <v/>
      </c>
    </row>
    <row r="470" spans="2:28">
      <c r="B470" s="13" t="str">
        <f>IF($A470="","",[1]!thsiFinD("ths_adjustment_nv_fund",B$3,$A470))</f>
        <v/>
      </c>
      <c r="C470" s="13" t="str">
        <f>IF($A470="","",[1]!thsiFinD("ths_adjustment_nv_fund",C$3,$A470))</f>
        <v/>
      </c>
      <c r="D470" s="13" t="str">
        <f>IF($A470="","",[1]!thsiFinD("ths_adjustment_nv_fund",D$3,$A470))</f>
        <v/>
      </c>
      <c r="E470" s="13" t="str">
        <f>IF($A470="","",[1]!thsiFinD("ths_adjustment_nv_fund",E$3,$A470))</f>
        <v/>
      </c>
      <c r="F470" s="13" t="str">
        <f>IF($A470="","",[1]!thsiFinD("ths_adjustment_nv_fund",F$3,$A470))</f>
        <v/>
      </c>
      <c r="G470" s="13" t="str">
        <f>IF($A470="","",[1]!thsiFinD("ths_adjustment_nv_fund",G$3,$A470))</f>
        <v/>
      </c>
      <c r="H470" s="13" t="str">
        <f>IF($A470="","",[1]!thsiFinD("ths_adjustment_nv_fund",H$3,$A470))</f>
        <v/>
      </c>
      <c r="I470" s="13" t="str">
        <f>IF($A470="","",[1]!thsiFinD("ths_adjustment_nv_fund",I$3,$A470))</f>
        <v/>
      </c>
      <c r="J470" s="13" t="str">
        <f>IF($A470="","",[1]!thsiFinD("ths_adjustment_nv_fund",J$3,$A470))</f>
        <v/>
      </c>
      <c r="K470" s="13" t="str">
        <f>IF($A470="","",[1]!thsiFinD("ths_adjustment_nv_fund",K$3,$A470))</f>
        <v/>
      </c>
      <c r="L470" s="13" t="str">
        <f>IF($A470="","",[1]!thsiFinD("ths_adjustment_nv_fund",L$3,$A470))</f>
        <v/>
      </c>
      <c r="M470" s="13" t="str">
        <f>IF($A470="","",[1]!thsiFinD("ths_adjustment_nv_fund",M$3,$A470))</f>
        <v/>
      </c>
      <c r="N470" s="13" t="str">
        <f>IF($A470="","",[1]!thsiFinD("ths_adjustment_nv_fund",N$3,$A470))</f>
        <v/>
      </c>
      <c r="O470" s="13" t="str">
        <f>IF($A470="","",[1]!thsiFinD("ths_adjustment_nv_fund",O$3,$A470))</f>
        <v/>
      </c>
      <c r="P470" s="13" t="str">
        <f>IF($A470="","",[1]!thsiFinD("ths_adjustment_nv_fund",P$3,$A470))</f>
        <v/>
      </c>
      <c r="Q470" s="13" t="str">
        <f>IF($A470="","",[1]!thsiFinD("ths_adjustment_nv_fund",Q$3,$A470))</f>
        <v/>
      </c>
      <c r="R470" s="13" t="str">
        <f>IF($A470="","",[1]!thsiFinD("ths_adjustment_nv_fund",R$3,$A470))</f>
        <v/>
      </c>
      <c r="S470" s="13" t="str">
        <f>IF($A470="","",[1]!thsiFinD("ths_adjustment_nv_fund",S$3,$A470))</f>
        <v/>
      </c>
      <c r="T470" s="13" t="str">
        <f>IF($A470="","",[1]!thsiFinD("ths_adjustment_nv_fund",T$3,$A470))</f>
        <v/>
      </c>
      <c r="U470" s="13" t="str">
        <f>IF($A470="","",[1]!thsiFinD("ths_adjustment_nv_fund",U$3,$A470))</f>
        <v/>
      </c>
      <c r="V470" s="13" t="str">
        <f>IF($A470="","",[1]!thsiFinD("ths_adjustment_nv_fund",V$3,$A470))</f>
        <v/>
      </c>
      <c r="W470" s="13" t="str">
        <f>IF($A470="","",[1]!thsiFinD("ths_adjustment_nv_fund",W$3,$A470))</f>
        <v/>
      </c>
      <c r="X470" s="13" t="str">
        <f>IF($A470="","",[1]!thsiFinD("ths_adjustment_nv_fund",X$3,$A470))</f>
        <v/>
      </c>
      <c r="Y470" s="13" t="str">
        <f>IF($A470="","",[1]!thsiFinD("ths_adjustment_nv_fund",Y$3,$A470))</f>
        <v/>
      </c>
      <c r="Z470" s="13" t="str">
        <f>IF($A470="","",[1]!thsiFinD("ths_adjustment_nv_fund",Z$3,$A470))</f>
        <v/>
      </c>
      <c r="AA470" s="13" t="str">
        <f>IF($A470="","",[1]!thsiFinD("ths_adjustment_nv_fund",AA$3,$A470))</f>
        <v/>
      </c>
      <c r="AB470" s="13">
        <f>IF($A470="","",[1]!thsiFinD("ths_adjustment_nv_fund",AB$3,$A470))</f>
        <v/>
      </c>
      <c r="AC470" s="13">
        <f>IF($A470="","",[1]!thsiFinD("ths_adjustment_nv_fund",AC$3,$A470))</f>
        <v/>
      </c>
      <c r="AD470" s="13">
        <f>IF($A470="","",[1]!thsiFinD("ths_adjustment_nv_fund",AD$3,$A470))</f>
        <v/>
      </c>
      <c r="AE470" s="13">
        <f>IF($A470="","",[1]!thsiFinD("ths_adjustment_nv_fund",AE$3,$A470))</f>
        <v/>
      </c>
      <c r="AF470" s="13">
        <f>IF($A470="","",[1]!thsiFinD("ths_adjustment_nv_fund",AF$3,$A470))</f>
        <v/>
      </c>
      <c r="AG470" s="13">
        <f>IF($A470="","",[1]!thsiFinD("ths_adjustment_nv_fund",AG$3,$A470))</f>
        <v/>
      </c>
      <c r="AH470" s="13">
        <f>IF($A470="","",[1]!thsiFinD("ths_adjustment_nv_fund",AH$3,$A470))</f>
        <v/>
      </c>
      <c r="AI470" s="13">
        <f>IF($A470="","",[1]!thsiFinD("ths_adjustment_nv_fund",AI$3,$A470))</f>
        <v/>
      </c>
      <c r="AJ470" s="13">
        <f>IF($A470="","",[1]!thsiFinD("ths_adjustment_nv_fund",AJ$3,$A470))</f>
        <v/>
      </c>
      <c r="AK470" s="13">
        <f>IF($A470="","",[1]!thsiFinD("ths_adjustment_nv_fund",AK$3,$A470))</f>
        <v/>
      </c>
      <c r="AL470" s="13">
        <f>IF($A470="","",[1]!thsiFinD("ths_adjustment_nv_fund",AL$3,$A470))</f>
        <v/>
      </c>
    </row>
    <row r="471" spans="2:28">
      <c r="B471" s="13" t="str">
        <f>IF($A471="","",[1]!thsiFinD("ths_adjustment_nv_fund",B$3,$A471))</f>
        <v/>
      </c>
      <c r="C471" s="13" t="str">
        <f>IF($A471="","",[1]!thsiFinD("ths_adjustment_nv_fund",C$3,$A471))</f>
        <v/>
      </c>
      <c r="D471" s="13" t="str">
        <f>IF($A471="","",[1]!thsiFinD("ths_adjustment_nv_fund",D$3,$A471))</f>
        <v/>
      </c>
      <c r="E471" s="13" t="str">
        <f>IF($A471="","",[1]!thsiFinD("ths_adjustment_nv_fund",E$3,$A471))</f>
        <v/>
      </c>
      <c r="F471" s="13" t="str">
        <f>IF($A471="","",[1]!thsiFinD("ths_adjustment_nv_fund",F$3,$A471))</f>
        <v/>
      </c>
      <c r="G471" s="13" t="str">
        <f>IF($A471="","",[1]!thsiFinD("ths_adjustment_nv_fund",G$3,$A471))</f>
        <v/>
      </c>
      <c r="H471" s="13" t="str">
        <f>IF($A471="","",[1]!thsiFinD("ths_adjustment_nv_fund",H$3,$A471))</f>
        <v/>
      </c>
      <c r="I471" s="13" t="str">
        <f>IF($A471="","",[1]!thsiFinD("ths_adjustment_nv_fund",I$3,$A471))</f>
        <v/>
      </c>
      <c r="J471" s="13" t="str">
        <f>IF($A471="","",[1]!thsiFinD("ths_adjustment_nv_fund",J$3,$A471))</f>
        <v/>
      </c>
      <c r="K471" s="13" t="str">
        <f>IF($A471="","",[1]!thsiFinD("ths_adjustment_nv_fund",K$3,$A471))</f>
        <v/>
      </c>
      <c r="L471" s="13" t="str">
        <f>IF($A471="","",[1]!thsiFinD("ths_adjustment_nv_fund",L$3,$A471))</f>
        <v/>
      </c>
      <c r="M471" s="13" t="str">
        <f>IF($A471="","",[1]!thsiFinD("ths_adjustment_nv_fund",M$3,$A471))</f>
        <v/>
      </c>
      <c r="N471" s="13" t="str">
        <f>IF($A471="","",[1]!thsiFinD("ths_adjustment_nv_fund",N$3,$A471))</f>
        <v/>
      </c>
      <c r="O471" s="13" t="str">
        <f>IF($A471="","",[1]!thsiFinD("ths_adjustment_nv_fund",O$3,$A471))</f>
        <v/>
      </c>
      <c r="P471" s="13" t="str">
        <f>IF($A471="","",[1]!thsiFinD("ths_adjustment_nv_fund",P$3,$A471))</f>
        <v/>
      </c>
      <c r="Q471" s="13" t="str">
        <f>IF($A471="","",[1]!thsiFinD("ths_adjustment_nv_fund",Q$3,$A471))</f>
        <v/>
      </c>
      <c r="R471" s="13" t="str">
        <f>IF($A471="","",[1]!thsiFinD("ths_adjustment_nv_fund",R$3,$A471))</f>
        <v/>
      </c>
      <c r="S471" s="13" t="str">
        <f>IF($A471="","",[1]!thsiFinD("ths_adjustment_nv_fund",S$3,$A471))</f>
        <v/>
      </c>
      <c r="T471" s="13" t="str">
        <f>IF($A471="","",[1]!thsiFinD("ths_adjustment_nv_fund",T$3,$A471))</f>
        <v/>
      </c>
      <c r="U471" s="13" t="str">
        <f>IF($A471="","",[1]!thsiFinD("ths_adjustment_nv_fund",U$3,$A471))</f>
        <v/>
      </c>
      <c r="V471" s="13" t="str">
        <f>IF($A471="","",[1]!thsiFinD("ths_adjustment_nv_fund",V$3,$A471))</f>
        <v/>
      </c>
      <c r="W471" s="13" t="str">
        <f>IF($A471="","",[1]!thsiFinD("ths_adjustment_nv_fund",W$3,$A471))</f>
        <v/>
      </c>
      <c r="X471" s="13" t="str">
        <f>IF($A471="","",[1]!thsiFinD("ths_adjustment_nv_fund",X$3,$A471))</f>
        <v/>
      </c>
      <c r="Y471" s="13" t="str">
        <f>IF($A471="","",[1]!thsiFinD("ths_adjustment_nv_fund",Y$3,$A471))</f>
        <v/>
      </c>
      <c r="Z471" s="13" t="str">
        <f>IF($A471="","",[1]!thsiFinD("ths_adjustment_nv_fund",Z$3,$A471))</f>
        <v/>
      </c>
      <c r="AA471" s="13" t="str">
        <f>IF($A471="","",[1]!thsiFinD("ths_adjustment_nv_fund",AA$3,$A471))</f>
        <v/>
      </c>
      <c r="AB471" s="13">
        <f>IF($A471="","",[1]!thsiFinD("ths_adjustment_nv_fund",AB$3,$A471))</f>
        <v/>
      </c>
      <c r="AC471" s="13">
        <f>IF($A471="","",[1]!thsiFinD("ths_adjustment_nv_fund",AC$3,$A471))</f>
        <v/>
      </c>
      <c r="AD471" s="13">
        <f>IF($A471="","",[1]!thsiFinD("ths_adjustment_nv_fund",AD$3,$A471))</f>
        <v/>
      </c>
      <c r="AE471" s="13">
        <f>IF($A471="","",[1]!thsiFinD("ths_adjustment_nv_fund",AE$3,$A471))</f>
        <v/>
      </c>
      <c r="AF471" s="13">
        <f>IF($A471="","",[1]!thsiFinD("ths_adjustment_nv_fund",AF$3,$A471))</f>
        <v/>
      </c>
      <c r="AG471" s="13">
        <f>IF($A471="","",[1]!thsiFinD("ths_adjustment_nv_fund",AG$3,$A471))</f>
        <v/>
      </c>
      <c r="AH471" s="13">
        <f>IF($A471="","",[1]!thsiFinD("ths_adjustment_nv_fund",AH$3,$A471))</f>
        <v/>
      </c>
      <c r="AI471" s="13">
        <f>IF($A471="","",[1]!thsiFinD("ths_adjustment_nv_fund",AI$3,$A471))</f>
        <v/>
      </c>
      <c r="AJ471" s="13">
        <f>IF($A471="","",[1]!thsiFinD("ths_adjustment_nv_fund",AJ$3,$A471))</f>
        <v/>
      </c>
      <c r="AK471" s="13">
        <f>IF($A471="","",[1]!thsiFinD("ths_adjustment_nv_fund",AK$3,$A471))</f>
        <v/>
      </c>
      <c r="AL471" s="13">
        <f>IF($A471="","",[1]!thsiFinD("ths_adjustment_nv_fund",AL$3,$A471))</f>
        <v/>
      </c>
    </row>
    <row r="472" spans="2:28">
      <c r="B472" s="13" t="str">
        <f>IF($A472="","",[1]!thsiFinD("ths_adjustment_nv_fund",B$3,$A472))</f>
        <v/>
      </c>
      <c r="C472" s="13" t="str">
        <f>IF($A472="","",[1]!thsiFinD("ths_adjustment_nv_fund",C$3,$A472))</f>
        <v/>
      </c>
      <c r="D472" s="13" t="str">
        <f>IF($A472="","",[1]!thsiFinD("ths_adjustment_nv_fund",D$3,$A472))</f>
        <v/>
      </c>
      <c r="E472" s="13" t="str">
        <f>IF($A472="","",[1]!thsiFinD("ths_adjustment_nv_fund",E$3,$A472))</f>
        <v/>
      </c>
      <c r="F472" s="13" t="str">
        <f>IF($A472="","",[1]!thsiFinD("ths_adjustment_nv_fund",F$3,$A472))</f>
        <v/>
      </c>
      <c r="G472" s="13" t="str">
        <f>IF($A472="","",[1]!thsiFinD("ths_adjustment_nv_fund",G$3,$A472))</f>
        <v/>
      </c>
      <c r="H472" s="13" t="str">
        <f>IF($A472="","",[1]!thsiFinD("ths_adjustment_nv_fund",H$3,$A472))</f>
        <v/>
      </c>
      <c r="I472" s="13" t="str">
        <f>IF($A472="","",[1]!thsiFinD("ths_adjustment_nv_fund",I$3,$A472))</f>
        <v/>
      </c>
      <c r="J472" s="13" t="str">
        <f>IF($A472="","",[1]!thsiFinD("ths_adjustment_nv_fund",J$3,$A472))</f>
        <v/>
      </c>
      <c r="K472" s="13" t="str">
        <f>IF($A472="","",[1]!thsiFinD("ths_adjustment_nv_fund",K$3,$A472))</f>
        <v/>
      </c>
      <c r="L472" s="13" t="str">
        <f>IF($A472="","",[1]!thsiFinD("ths_adjustment_nv_fund",L$3,$A472))</f>
        <v/>
      </c>
      <c r="M472" s="13" t="str">
        <f>IF($A472="","",[1]!thsiFinD("ths_adjustment_nv_fund",M$3,$A472))</f>
        <v/>
      </c>
      <c r="N472" s="13" t="str">
        <f>IF($A472="","",[1]!thsiFinD("ths_adjustment_nv_fund",N$3,$A472))</f>
        <v/>
      </c>
      <c r="O472" s="13" t="str">
        <f>IF($A472="","",[1]!thsiFinD("ths_adjustment_nv_fund",O$3,$A472))</f>
        <v/>
      </c>
      <c r="P472" s="13" t="str">
        <f>IF($A472="","",[1]!thsiFinD("ths_adjustment_nv_fund",P$3,$A472))</f>
        <v/>
      </c>
      <c r="Q472" s="13" t="str">
        <f>IF($A472="","",[1]!thsiFinD("ths_adjustment_nv_fund",Q$3,$A472))</f>
        <v/>
      </c>
      <c r="R472" s="13" t="str">
        <f>IF($A472="","",[1]!thsiFinD("ths_adjustment_nv_fund",R$3,$A472))</f>
        <v/>
      </c>
      <c r="S472" s="13" t="str">
        <f>IF($A472="","",[1]!thsiFinD("ths_adjustment_nv_fund",S$3,$A472))</f>
        <v/>
      </c>
      <c r="T472" s="13" t="str">
        <f>IF($A472="","",[1]!thsiFinD("ths_adjustment_nv_fund",T$3,$A472))</f>
        <v/>
      </c>
      <c r="U472" s="13" t="str">
        <f>IF($A472="","",[1]!thsiFinD("ths_adjustment_nv_fund",U$3,$A472))</f>
        <v/>
      </c>
      <c r="V472" s="13" t="str">
        <f>IF($A472="","",[1]!thsiFinD("ths_adjustment_nv_fund",V$3,$A472))</f>
        <v/>
      </c>
      <c r="W472" s="13" t="str">
        <f>IF($A472="","",[1]!thsiFinD("ths_adjustment_nv_fund",W$3,$A472))</f>
        <v/>
      </c>
      <c r="X472" s="13" t="str">
        <f>IF($A472="","",[1]!thsiFinD("ths_adjustment_nv_fund",X$3,$A472))</f>
        <v/>
      </c>
      <c r="Y472" s="13" t="str">
        <f>IF($A472="","",[1]!thsiFinD("ths_adjustment_nv_fund",Y$3,$A472))</f>
        <v/>
      </c>
      <c r="Z472" s="13" t="str">
        <f>IF($A472="","",[1]!thsiFinD("ths_adjustment_nv_fund",Z$3,$A472))</f>
        <v/>
      </c>
      <c r="AA472" s="13" t="str">
        <f>IF($A472="","",[1]!thsiFinD("ths_adjustment_nv_fund",AA$3,$A472))</f>
        <v/>
      </c>
      <c r="AB472" s="13">
        <f>IF($A472="","",[1]!thsiFinD("ths_adjustment_nv_fund",AB$3,$A472))</f>
        <v/>
      </c>
      <c r="AC472" s="13">
        <f>IF($A472="","",[1]!thsiFinD("ths_adjustment_nv_fund",AC$3,$A472))</f>
        <v/>
      </c>
      <c r="AD472" s="13">
        <f>IF($A472="","",[1]!thsiFinD("ths_adjustment_nv_fund",AD$3,$A472))</f>
        <v/>
      </c>
      <c r="AE472" s="13">
        <f>IF($A472="","",[1]!thsiFinD("ths_adjustment_nv_fund",AE$3,$A472))</f>
        <v/>
      </c>
      <c r="AF472" s="13">
        <f>IF($A472="","",[1]!thsiFinD("ths_adjustment_nv_fund",AF$3,$A472))</f>
        <v/>
      </c>
      <c r="AG472" s="13">
        <f>IF($A472="","",[1]!thsiFinD("ths_adjustment_nv_fund",AG$3,$A472))</f>
        <v/>
      </c>
      <c r="AH472" s="13">
        <f>IF($A472="","",[1]!thsiFinD("ths_adjustment_nv_fund",AH$3,$A472))</f>
        <v/>
      </c>
      <c r="AI472" s="13">
        <f>IF($A472="","",[1]!thsiFinD("ths_adjustment_nv_fund",AI$3,$A472))</f>
        <v/>
      </c>
      <c r="AJ472" s="13">
        <f>IF($A472="","",[1]!thsiFinD("ths_adjustment_nv_fund",AJ$3,$A472))</f>
        <v/>
      </c>
      <c r="AK472" s="13">
        <f>IF($A472="","",[1]!thsiFinD("ths_adjustment_nv_fund",AK$3,$A472))</f>
        <v/>
      </c>
      <c r="AL472" s="13">
        <f>IF($A472="","",[1]!thsiFinD("ths_adjustment_nv_fund",AL$3,$A472))</f>
        <v/>
      </c>
    </row>
    <row r="473" spans="2:28">
      <c r="B473" s="13" t="str">
        <f>IF($A473="","",[1]!thsiFinD("ths_adjustment_nv_fund",B$3,$A473))</f>
        <v/>
      </c>
      <c r="C473" s="13" t="str">
        <f>IF($A473="","",[1]!thsiFinD("ths_adjustment_nv_fund",C$3,$A473))</f>
        <v/>
      </c>
      <c r="D473" s="13" t="str">
        <f>IF($A473="","",[1]!thsiFinD("ths_adjustment_nv_fund",D$3,$A473))</f>
        <v/>
      </c>
      <c r="E473" s="13" t="str">
        <f>IF($A473="","",[1]!thsiFinD("ths_adjustment_nv_fund",E$3,$A473))</f>
        <v/>
      </c>
      <c r="F473" s="13" t="str">
        <f>IF($A473="","",[1]!thsiFinD("ths_adjustment_nv_fund",F$3,$A473))</f>
        <v/>
      </c>
      <c r="G473" s="13" t="str">
        <f>IF($A473="","",[1]!thsiFinD("ths_adjustment_nv_fund",G$3,$A473))</f>
        <v/>
      </c>
      <c r="H473" s="13" t="str">
        <f>IF($A473="","",[1]!thsiFinD("ths_adjustment_nv_fund",H$3,$A473))</f>
        <v/>
      </c>
      <c r="I473" s="13" t="str">
        <f>IF($A473="","",[1]!thsiFinD("ths_adjustment_nv_fund",I$3,$A473))</f>
        <v/>
      </c>
      <c r="J473" s="13" t="str">
        <f>IF($A473="","",[1]!thsiFinD("ths_adjustment_nv_fund",J$3,$A473))</f>
        <v/>
      </c>
      <c r="K473" s="13" t="str">
        <f>IF($A473="","",[1]!thsiFinD("ths_adjustment_nv_fund",K$3,$A473))</f>
        <v/>
      </c>
      <c r="L473" s="13" t="str">
        <f>IF($A473="","",[1]!thsiFinD("ths_adjustment_nv_fund",L$3,$A473))</f>
        <v/>
      </c>
      <c r="M473" s="13" t="str">
        <f>IF($A473="","",[1]!thsiFinD("ths_adjustment_nv_fund",M$3,$A473))</f>
        <v/>
      </c>
      <c r="N473" s="13" t="str">
        <f>IF($A473="","",[1]!thsiFinD("ths_adjustment_nv_fund",N$3,$A473))</f>
        <v/>
      </c>
      <c r="O473" s="13" t="str">
        <f>IF($A473="","",[1]!thsiFinD("ths_adjustment_nv_fund",O$3,$A473))</f>
        <v/>
      </c>
      <c r="P473" s="13" t="str">
        <f>IF($A473="","",[1]!thsiFinD("ths_adjustment_nv_fund",P$3,$A473))</f>
        <v/>
      </c>
      <c r="Q473" s="13" t="str">
        <f>IF($A473="","",[1]!thsiFinD("ths_adjustment_nv_fund",Q$3,$A473))</f>
        <v/>
      </c>
      <c r="R473" s="13" t="str">
        <f>IF($A473="","",[1]!thsiFinD("ths_adjustment_nv_fund",R$3,$A473))</f>
        <v/>
      </c>
      <c r="S473" s="13" t="str">
        <f>IF($A473="","",[1]!thsiFinD("ths_adjustment_nv_fund",S$3,$A473))</f>
        <v/>
      </c>
      <c r="T473" s="13" t="str">
        <f>IF($A473="","",[1]!thsiFinD("ths_adjustment_nv_fund",T$3,$A473))</f>
        <v/>
      </c>
      <c r="U473" s="13" t="str">
        <f>IF($A473="","",[1]!thsiFinD("ths_adjustment_nv_fund",U$3,$A473))</f>
        <v/>
      </c>
      <c r="V473" s="13" t="str">
        <f>IF($A473="","",[1]!thsiFinD("ths_adjustment_nv_fund",V$3,$A473))</f>
        <v/>
      </c>
      <c r="W473" s="13" t="str">
        <f>IF($A473="","",[1]!thsiFinD("ths_adjustment_nv_fund",W$3,$A473))</f>
        <v/>
      </c>
      <c r="X473" s="13" t="str">
        <f>IF($A473="","",[1]!thsiFinD("ths_adjustment_nv_fund",X$3,$A473))</f>
        <v/>
      </c>
      <c r="Y473" s="13" t="str">
        <f>IF($A473="","",[1]!thsiFinD("ths_adjustment_nv_fund",Y$3,$A473))</f>
        <v/>
      </c>
      <c r="Z473" s="13" t="str">
        <f>IF($A473="","",[1]!thsiFinD("ths_adjustment_nv_fund",Z$3,$A473))</f>
        <v/>
      </c>
      <c r="AA473" s="13" t="str">
        <f>IF($A473="","",[1]!thsiFinD("ths_adjustment_nv_fund",AA$3,$A473))</f>
        <v/>
      </c>
      <c r="AB473" s="13">
        <f>IF($A473="","",[1]!thsiFinD("ths_adjustment_nv_fund",AB$3,$A473))</f>
        <v/>
      </c>
      <c r="AC473" s="13">
        <f>IF($A473="","",[1]!thsiFinD("ths_adjustment_nv_fund",AC$3,$A473))</f>
        <v/>
      </c>
      <c r="AD473" s="13">
        <f>IF($A473="","",[1]!thsiFinD("ths_adjustment_nv_fund",AD$3,$A473))</f>
        <v/>
      </c>
      <c r="AE473" s="13">
        <f>IF($A473="","",[1]!thsiFinD("ths_adjustment_nv_fund",AE$3,$A473))</f>
        <v/>
      </c>
      <c r="AF473" s="13">
        <f>IF($A473="","",[1]!thsiFinD("ths_adjustment_nv_fund",AF$3,$A473))</f>
        <v/>
      </c>
      <c r="AG473" s="13">
        <f>IF($A473="","",[1]!thsiFinD("ths_adjustment_nv_fund",AG$3,$A473))</f>
        <v/>
      </c>
      <c r="AH473" s="13">
        <f>IF($A473="","",[1]!thsiFinD("ths_adjustment_nv_fund",AH$3,$A473))</f>
        <v/>
      </c>
      <c r="AI473" s="13">
        <f>IF($A473="","",[1]!thsiFinD("ths_adjustment_nv_fund",AI$3,$A473))</f>
        <v/>
      </c>
      <c r="AJ473" s="13">
        <f>IF($A473="","",[1]!thsiFinD("ths_adjustment_nv_fund",AJ$3,$A473))</f>
        <v/>
      </c>
      <c r="AK473" s="13">
        <f>IF($A473="","",[1]!thsiFinD("ths_adjustment_nv_fund",AK$3,$A473))</f>
        <v/>
      </c>
      <c r="AL473" s="13">
        <f>IF($A473="","",[1]!thsiFinD("ths_adjustment_nv_fund",AL$3,$A473))</f>
        <v/>
      </c>
    </row>
    <row r="474" spans="2:28">
      <c r="B474" s="13" t="str">
        <f>IF($A474="","",[1]!thsiFinD("ths_adjustment_nv_fund",B$3,$A474))</f>
        <v/>
      </c>
      <c r="C474" s="13" t="str">
        <f>IF($A474="","",[1]!thsiFinD("ths_adjustment_nv_fund",C$3,$A474))</f>
        <v/>
      </c>
      <c r="D474" s="13" t="str">
        <f>IF($A474="","",[1]!thsiFinD("ths_adjustment_nv_fund",D$3,$A474))</f>
        <v/>
      </c>
      <c r="E474" s="13" t="str">
        <f>IF($A474="","",[1]!thsiFinD("ths_adjustment_nv_fund",E$3,$A474))</f>
        <v/>
      </c>
      <c r="F474" s="13" t="str">
        <f>IF($A474="","",[1]!thsiFinD("ths_adjustment_nv_fund",F$3,$A474))</f>
        <v/>
      </c>
      <c r="G474" s="13" t="str">
        <f>IF($A474="","",[1]!thsiFinD("ths_adjustment_nv_fund",G$3,$A474))</f>
        <v/>
      </c>
      <c r="H474" s="13" t="str">
        <f>IF($A474="","",[1]!thsiFinD("ths_adjustment_nv_fund",H$3,$A474))</f>
        <v/>
      </c>
      <c r="I474" s="13" t="str">
        <f>IF($A474="","",[1]!thsiFinD("ths_adjustment_nv_fund",I$3,$A474))</f>
        <v/>
      </c>
      <c r="J474" s="13" t="str">
        <f>IF($A474="","",[1]!thsiFinD("ths_adjustment_nv_fund",J$3,$A474))</f>
        <v/>
      </c>
      <c r="K474" s="13" t="str">
        <f>IF($A474="","",[1]!thsiFinD("ths_adjustment_nv_fund",K$3,$A474))</f>
        <v/>
      </c>
      <c r="L474" s="13" t="str">
        <f>IF($A474="","",[1]!thsiFinD("ths_adjustment_nv_fund",L$3,$A474))</f>
        <v/>
      </c>
      <c r="M474" s="13" t="str">
        <f>IF($A474="","",[1]!thsiFinD("ths_adjustment_nv_fund",M$3,$A474))</f>
        <v/>
      </c>
      <c r="N474" s="13" t="str">
        <f>IF($A474="","",[1]!thsiFinD("ths_adjustment_nv_fund",N$3,$A474))</f>
        <v/>
      </c>
      <c r="O474" s="13" t="str">
        <f>IF($A474="","",[1]!thsiFinD("ths_adjustment_nv_fund",O$3,$A474))</f>
        <v/>
      </c>
      <c r="P474" s="13" t="str">
        <f>IF($A474="","",[1]!thsiFinD("ths_adjustment_nv_fund",P$3,$A474))</f>
        <v/>
      </c>
      <c r="Q474" s="13" t="str">
        <f>IF($A474="","",[1]!thsiFinD("ths_adjustment_nv_fund",Q$3,$A474))</f>
        <v/>
      </c>
      <c r="R474" s="13" t="str">
        <f>IF($A474="","",[1]!thsiFinD("ths_adjustment_nv_fund",R$3,$A474))</f>
        <v/>
      </c>
      <c r="S474" s="13" t="str">
        <f>IF($A474="","",[1]!thsiFinD("ths_adjustment_nv_fund",S$3,$A474))</f>
        <v/>
      </c>
      <c r="T474" s="13" t="str">
        <f>IF($A474="","",[1]!thsiFinD("ths_adjustment_nv_fund",T$3,$A474))</f>
        <v/>
      </c>
      <c r="U474" s="13" t="str">
        <f>IF($A474="","",[1]!thsiFinD("ths_adjustment_nv_fund",U$3,$A474))</f>
        <v/>
      </c>
      <c r="V474" s="13" t="str">
        <f>IF($A474="","",[1]!thsiFinD("ths_adjustment_nv_fund",V$3,$A474))</f>
        <v/>
      </c>
      <c r="W474" s="13" t="str">
        <f>IF($A474="","",[1]!thsiFinD("ths_adjustment_nv_fund",W$3,$A474))</f>
        <v/>
      </c>
      <c r="X474" s="13" t="str">
        <f>IF($A474="","",[1]!thsiFinD("ths_adjustment_nv_fund",X$3,$A474))</f>
        <v/>
      </c>
      <c r="Y474" s="13" t="str">
        <f>IF($A474="","",[1]!thsiFinD("ths_adjustment_nv_fund",Y$3,$A474))</f>
        <v/>
      </c>
      <c r="Z474" s="13" t="str">
        <f>IF($A474="","",[1]!thsiFinD("ths_adjustment_nv_fund",Z$3,$A474))</f>
        <v/>
      </c>
      <c r="AA474" s="13" t="str">
        <f>IF($A474="","",[1]!thsiFinD("ths_adjustment_nv_fund",AA$3,$A474))</f>
        <v/>
      </c>
      <c r="AB474" s="13">
        <f>IF($A474="","",[1]!thsiFinD("ths_adjustment_nv_fund",AB$3,$A474))</f>
        <v/>
      </c>
      <c r="AC474" s="13">
        <f>IF($A474="","",[1]!thsiFinD("ths_adjustment_nv_fund",AC$3,$A474))</f>
        <v/>
      </c>
      <c r="AD474" s="13">
        <f>IF($A474="","",[1]!thsiFinD("ths_adjustment_nv_fund",AD$3,$A474))</f>
        <v/>
      </c>
      <c r="AE474" s="13">
        <f>IF($A474="","",[1]!thsiFinD("ths_adjustment_nv_fund",AE$3,$A474))</f>
        <v/>
      </c>
      <c r="AF474" s="13">
        <f>IF($A474="","",[1]!thsiFinD("ths_adjustment_nv_fund",AF$3,$A474))</f>
        <v/>
      </c>
      <c r="AG474" s="13">
        <f>IF($A474="","",[1]!thsiFinD("ths_adjustment_nv_fund",AG$3,$A474))</f>
        <v/>
      </c>
      <c r="AH474" s="13">
        <f>IF($A474="","",[1]!thsiFinD("ths_adjustment_nv_fund",AH$3,$A474))</f>
        <v/>
      </c>
      <c r="AI474" s="13">
        <f>IF($A474="","",[1]!thsiFinD("ths_adjustment_nv_fund",AI$3,$A474))</f>
        <v/>
      </c>
      <c r="AJ474" s="13">
        <f>IF($A474="","",[1]!thsiFinD("ths_adjustment_nv_fund",AJ$3,$A474))</f>
        <v/>
      </c>
      <c r="AK474" s="13">
        <f>IF($A474="","",[1]!thsiFinD("ths_adjustment_nv_fund",AK$3,$A474))</f>
        <v/>
      </c>
      <c r="AL474" s="13">
        <f>IF($A474="","",[1]!thsiFinD("ths_adjustment_nv_fund",AL$3,$A474))</f>
        <v/>
      </c>
    </row>
    <row r="475" spans="2:28">
      <c r="B475" s="13" t="str">
        <f>IF($A475="","",[1]!thsiFinD("ths_adjustment_nv_fund",B$3,$A475))</f>
        <v/>
      </c>
      <c r="C475" s="13" t="str">
        <f>IF($A475="","",[1]!thsiFinD("ths_adjustment_nv_fund",C$3,$A475))</f>
        <v/>
      </c>
      <c r="D475" s="13" t="str">
        <f>IF($A475="","",[1]!thsiFinD("ths_adjustment_nv_fund",D$3,$A475))</f>
        <v/>
      </c>
      <c r="E475" s="13" t="str">
        <f>IF($A475="","",[1]!thsiFinD("ths_adjustment_nv_fund",E$3,$A475))</f>
        <v/>
      </c>
      <c r="F475" s="13" t="str">
        <f>IF($A475="","",[1]!thsiFinD("ths_adjustment_nv_fund",F$3,$A475))</f>
        <v/>
      </c>
      <c r="G475" s="13" t="str">
        <f>IF($A475="","",[1]!thsiFinD("ths_adjustment_nv_fund",G$3,$A475))</f>
        <v/>
      </c>
      <c r="H475" s="13" t="str">
        <f>IF($A475="","",[1]!thsiFinD("ths_adjustment_nv_fund",H$3,$A475))</f>
        <v/>
      </c>
      <c r="I475" s="13" t="str">
        <f>IF($A475="","",[1]!thsiFinD("ths_adjustment_nv_fund",I$3,$A475))</f>
        <v/>
      </c>
      <c r="J475" s="13" t="str">
        <f>IF($A475="","",[1]!thsiFinD("ths_adjustment_nv_fund",J$3,$A475))</f>
        <v/>
      </c>
      <c r="K475" s="13" t="str">
        <f>IF($A475="","",[1]!thsiFinD("ths_adjustment_nv_fund",K$3,$A475))</f>
        <v/>
      </c>
      <c r="L475" s="13" t="str">
        <f>IF($A475="","",[1]!thsiFinD("ths_adjustment_nv_fund",L$3,$A475))</f>
        <v/>
      </c>
      <c r="M475" s="13" t="str">
        <f>IF($A475="","",[1]!thsiFinD("ths_adjustment_nv_fund",M$3,$A475))</f>
        <v/>
      </c>
      <c r="N475" s="13" t="str">
        <f>IF($A475="","",[1]!thsiFinD("ths_adjustment_nv_fund",N$3,$A475))</f>
        <v/>
      </c>
      <c r="O475" s="13" t="str">
        <f>IF($A475="","",[1]!thsiFinD("ths_adjustment_nv_fund",O$3,$A475))</f>
        <v/>
      </c>
      <c r="P475" s="13" t="str">
        <f>IF($A475="","",[1]!thsiFinD("ths_adjustment_nv_fund",P$3,$A475))</f>
        <v/>
      </c>
      <c r="Q475" s="13" t="str">
        <f>IF($A475="","",[1]!thsiFinD("ths_adjustment_nv_fund",Q$3,$A475))</f>
        <v/>
      </c>
      <c r="R475" s="13" t="str">
        <f>IF($A475="","",[1]!thsiFinD("ths_adjustment_nv_fund",R$3,$A475))</f>
        <v/>
      </c>
      <c r="S475" s="13" t="str">
        <f>IF($A475="","",[1]!thsiFinD("ths_adjustment_nv_fund",S$3,$A475))</f>
        <v/>
      </c>
      <c r="T475" s="13" t="str">
        <f>IF($A475="","",[1]!thsiFinD("ths_adjustment_nv_fund",T$3,$A475))</f>
        <v/>
      </c>
      <c r="U475" s="13" t="str">
        <f>IF($A475="","",[1]!thsiFinD("ths_adjustment_nv_fund",U$3,$A475))</f>
        <v/>
      </c>
      <c r="V475" s="13" t="str">
        <f>IF($A475="","",[1]!thsiFinD("ths_adjustment_nv_fund",V$3,$A475))</f>
        <v/>
      </c>
      <c r="W475" s="13" t="str">
        <f>IF($A475="","",[1]!thsiFinD("ths_adjustment_nv_fund",W$3,$A475))</f>
        <v/>
      </c>
      <c r="X475" s="13" t="str">
        <f>IF($A475="","",[1]!thsiFinD("ths_adjustment_nv_fund",X$3,$A475))</f>
        <v/>
      </c>
      <c r="Y475" s="13" t="str">
        <f>IF($A475="","",[1]!thsiFinD("ths_adjustment_nv_fund",Y$3,$A475))</f>
        <v/>
      </c>
      <c r="Z475" s="13" t="str">
        <f>IF($A475="","",[1]!thsiFinD("ths_adjustment_nv_fund",Z$3,$A475))</f>
        <v/>
      </c>
      <c r="AA475" s="13" t="str">
        <f>IF($A475="","",[1]!thsiFinD("ths_adjustment_nv_fund",AA$3,$A475))</f>
        <v/>
      </c>
      <c r="AB475" s="13">
        <f>IF($A475="","",[1]!thsiFinD("ths_adjustment_nv_fund",AB$3,$A475))</f>
        <v/>
      </c>
      <c r="AC475" s="13">
        <f>IF($A475="","",[1]!thsiFinD("ths_adjustment_nv_fund",AC$3,$A475))</f>
        <v/>
      </c>
      <c r="AD475" s="13">
        <f>IF($A475="","",[1]!thsiFinD("ths_adjustment_nv_fund",AD$3,$A475))</f>
        <v/>
      </c>
      <c r="AE475" s="13">
        <f>IF($A475="","",[1]!thsiFinD("ths_adjustment_nv_fund",AE$3,$A475))</f>
        <v/>
      </c>
      <c r="AF475" s="13">
        <f>IF($A475="","",[1]!thsiFinD("ths_adjustment_nv_fund",AF$3,$A475))</f>
        <v/>
      </c>
      <c r="AG475" s="13">
        <f>IF($A475="","",[1]!thsiFinD("ths_adjustment_nv_fund",AG$3,$A475))</f>
        <v/>
      </c>
      <c r="AH475" s="13">
        <f>IF($A475="","",[1]!thsiFinD("ths_adjustment_nv_fund",AH$3,$A475))</f>
        <v/>
      </c>
      <c r="AI475" s="13">
        <f>IF($A475="","",[1]!thsiFinD("ths_adjustment_nv_fund",AI$3,$A475))</f>
        <v/>
      </c>
      <c r="AJ475" s="13">
        <f>IF($A475="","",[1]!thsiFinD("ths_adjustment_nv_fund",AJ$3,$A475))</f>
        <v/>
      </c>
      <c r="AK475" s="13">
        <f>IF($A475="","",[1]!thsiFinD("ths_adjustment_nv_fund",AK$3,$A475))</f>
        <v/>
      </c>
      <c r="AL475" s="13">
        <f>IF($A475="","",[1]!thsiFinD("ths_adjustment_nv_fund",AL$3,$A475))</f>
        <v/>
      </c>
    </row>
    <row r="476" spans="2:28">
      <c r="B476" s="13" t="str">
        <f>IF($A476="","",[1]!thsiFinD("ths_adjustment_nv_fund",B$3,$A476))</f>
        <v/>
      </c>
      <c r="C476" s="13" t="str">
        <f>IF($A476="","",[1]!thsiFinD("ths_adjustment_nv_fund",C$3,$A476))</f>
        <v/>
      </c>
      <c r="D476" s="13" t="str">
        <f>IF($A476="","",[1]!thsiFinD("ths_adjustment_nv_fund",D$3,$A476))</f>
        <v/>
      </c>
      <c r="E476" s="13" t="str">
        <f>IF($A476="","",[1]!thsiFinD("ths_adjustment_nv_fund",E$3,$A476))</f>
        <v/>
      </c>
      <c r="F476" s="13" t="str">
        <f>IF($A476="","",[1]!thsiFinD("ths_adjustment_nv_fund",F$3,$A476))</f>
        <v/>
      </c>
      <c r="G476" s="13" t="str">
        <f>IF($A476="","",[1]!thsiFinD("ths_adjustment_nv_fund",G$3,$A476))</f>
        <v/>
      </c>
      <c r="H476" s="13" t="str">
        <f>IF($A476="","",[1]!thsiFinD("ths_adjustment_nv_fund",H$3,$A476))</f>
        <v/>
      </c>
      <c r="I476" s="13" t="str">
        <f>IF($A476="","",[1]!thsiFinD("ths_adjustment_nv_fund",I$3,$A476))</f>
        <v/>
      </c>
      <c r="J476" s="13" t="str">
        <f>IF($A476="","",[1]!thsiFinD("ths_adjustment_nv_fund",J$3,$A476))</f>
        <v/>
      </c>
      <c r="K476" s="13" t="str">
        <f>IF($A476="","",[1]!thsiFinD("ths_adjustment_nv_fund",K$3,$A476))</f>
        <v/>
      </c>
      <c r="L476" s="13" t="str">
        <f>IF($A476="","",[1]!thsiFinD("ths_adjustment_nv_fund",L$3,$A476))</f>
        <v/>
      </c>
      <c r="M476" s="13" t="str">
        <f>IF($A476="","",[1]!thsiFinD("ths_adjustment_nv_fund",M$3,$A476))</f>
        <v/>
      </c>
      <c r="N476" s="13" t="str">
        <f>IF($A476="","",[1]!thsiFinD("ths_adjustment_nv_fund",N$3,$A476))</f>
        <v/>
      </c>
      <c r="O476" s="13" t="str">
        <f>IF($A476="","",[1]!thsiFinD("ths_adjustment_nv_fund",O$3,$A476))</f>
        <v/>
      </c>
      <c r="P476" s="13" t="str">
        <f>IF($A476="","",[1]!thsiFinD("ths_adjustment_nv_fund",P$3,$A476))</f>
        <v/>
      </c>
      <c r="Q476" s="13" t="str">
        <f>IF($A476="","",[1]!thsiFinD("ths_adjustment_nv_fund",Q$3,$A476))</f>
        <v/>
      </c>
      <c r="R476" s="13" t="str">
        <f>IF($A476="","",[1]!thsiFinD("ths_adjustment_nv_fund",R$3,$A476))</f>
        <v/>
      </c>
      <c r="S476" s="13" t="str">
        <f>IF($A476="","",[1]!thsiFinD("ths_adjustment_nv_fund",S$3,$A476))</f>
        <v/>
      </c>
      <c r="T476" s="13" t="str">
        <f>IF($A476="","",[1]!thsiFinD("ths_adjustment_nv_fund",T$3,$A476))</f>
        <v/>
      </c>
      <c r="U476" s="13" t="str">
        <f>IF($A476="","",[1]!thsiFinD("ths_adjustment_nv_fund",U$3,$A476))</f>
        <v/>
      </c>
      <c r="V476" s="13" t="str">
        <f>IF($A476="","",[1]!thsiFinD("ths_adjustment_nv_fund",V$3,$A476))</f>
        <v/>
      </c>
      <c r="W476" s="13" t="str">
        <f>IF($A476="","",[1]!thsiFinD("ths_adjustment_nv_fund",W$3,$A476))</f>
        <v/>
      </c>
      <c r="X476" s="13" t="str">
        <f>IF($A476="","",[1]!thsiFinD("ths_adjustment_nv_fund",X$3,$A476))</f>
        <v/>
      </c>
      <c r="Y476" s="13" t="str">
        <f>IF($A476="","",[1]!thsiFinD("ths_adjustment_nv_fund",Y$3,$A476))</f>
        <v/>
      </c>
      <c r="Z476" s="13" t="str">
        <f>IF($A476="","",[1]!thsiFinD("ths_adjustment_nv_fund",Z$3,$A476))</f>
        <v/>
      </c>
      <c r="AA476" s="13" t="str">
        <f>IF($A476="","",[1]!thsiFinD("ths_adjustment_nv_fund",AA$3,$A476))</f>
        <v/>
      </c>
      <c r="AB476" s="13">
        <f>IF($A476="","",[1]!thsiFinD("ths_adjustment_nv_fund",AB$3,$A476))</f>
        <v/>
      </c>
      <c r="AC476" s="13">
        <f>IF($A476="","",[1]!thsiFinD("ths_adjustment_nv_fund",AC$3,$A476))</f>
        <v/>
      </c>
      <c r="AD476" s="13">
        <f>IF($A476="","",[1]!thsiFinD("ths_adjustment_nv_fund",AD$3,$A476))</f>
        <v/>
      </c>
      <c r="AE476" s="13">
        <f>IF($A476="","",[1]!thsiFinD("ths_adjustment_nv_fund",AE$3,$A476))</f>
        <v/>
      </c>
      <c r="AF476" s="13">
        <f>IF($A476="","",[1]!thsiFinD("ths_adjustment_nv_fund",AF$3,$A476))</f>
        <v/>
      </c>
      <c r="AG476" s="13">
        <f>IF($A476="","",[1]!thsiFinD("ths_adjustment_nv_fund",AG$3,$A476))</f>
        <v/>
      </c>
      <c r="AH476" s="13">
        <f>IF($A476="","",[1]!thsiFinD("ths_adjustment_nv_fund",AH$3,$A476))</f>
        <v/>
      </c>
      <c r="AI476" s="13">
        <f>IF($A476="","",[1]!thsiFinD("ths_adjustment_nv_fund",AI$3,$A476))</f>
        <v/>
      </c>
      <c r="AJ476" s="13">
        <f>IF($A476="","",[1]!thsiFinD("ths_adjustment_nv_fund",AJ$3,$A476))</f>
        <v/>
      </c>
      <c r="AK476" s="13">
        <f>IF($A476="","",[1]!thsiFinD("ths_adjustment_nv_fund",AK$3,$A476))</f>
        <v/>
      </c>
      <c r="AL476" s="13">
        <f>IF($A476="","",[1]!thsiFinD("ths_adjustment_nv_fund",AL$3,$A476))</f>
        <v/>
      </c>
    </row>
    <row r="477" spans="2:28">
      <c r="B477" s="13" t="str">
        <f>IF($A477="","",[1]!thsiFinD("ths_adjustment_nv_fund",B$3,$A477))</f>
        <v/>
      </c>
      <c r="C477" s="13" t="str">
        <f>IF($A477="","",[1]!thsiFinD("ths_adjustment_nv_fund",C$3,$A477))</f>
        <v/>
      </c>
      <c r="D477" s="13" t="str">
        <f>IF($A477="","",[1]!thsiFinD("ths_adjustment_nv_fund",D$3,$A477))</f>
        <v/>
      </c>
      <c r="E477" s="13" t="str">
        <f>IF($A477="","",[1]!thsiFinD("ths_adjustment_nv_fund",E$3,$A477))</f>
        <v/>
      </c>
      <c r="F477" s="13" t="str">
        <f>IF($A477="","",[1]!thsiFinD("ths_adjustment_nv_fund",F$3,$A477))</f>
        <v/>
      </c>
      <c r="G477" s="13" t="str">
        <f>IF($A477="","",[1]!thsiFinD("ths_adjustment_nv_fund",G$3,$A477))</f>
        <v/>
      </c>
      <c r="H477" s="13" t="str">
        <f>IF($A477="","",[1]!thsiFinD("ths_adjustment_nv_fund",H$3,$A477))</f>
        <v/>
      </c>
      <c r="I477" s="13" t="str">
        <f>IF($A477="","",[1]!thsiFinD("ths_adjustment_nv_fund",I$3,$A477))</f>
        <v/>
      </c>
      <c r="J477" s="13" t="str">
        <f>IF($A477="","",[1]!thsiFinD("ths_adjustment_nv_fund",J$3,$A477))</f>
        <v/>
      </c>
      <c r="K477" s="13" t="str">
        <f>IF($A477="","",[1]!thsiFinD("ths_adjustment_nv_fund",K$3,$A477))</f>
        <v/>
      </c>
      <c r="L477" s="13" t="str">
        <f>IF($A477="","",[1]!thsiFinD("ths_adjustment_nv_fund",L$3,$A477))</f>
        <v/>
      </c>
      <c r="M477" s="13" t="str">
        <f>IF($A477="","",[1]!thsiFinD("ths_adjustment_nv_fund",M$3,$A477))</f>
        <v/>
      </c>
      <c r="N477" s="13" t="str">
        <f>IF($A477="","",[1]!thsiFinD("ths_adjustment_nv_fund",N$3,$A477))</f>
        <v/>
      </c>
      <c r="O477" s="13" t="str">
        <f>IF($A477="","",[1]!thsiFinD("ths_adjustment_nv_fund",O$3,$A477))</f>
        <v/>
      </c>
      <c r="P477" s="13" t="str">
        <f>IF($A477="","",[1]!thsiFinD("ths_adjustment_nv_fund",P$3,$A477))</f>
        <v/>
      </c>
      <c r="Q477" s="13" t="str">
        <f>IF($A477="","",[1]!thsiFinD("ths_adjustment_nv_fund",Q$3,$A477))</f>
        <v/>
      </c>
      <c r="R477" s="13" t="str">
        <f>IF($A477="","",[1]!thsiFinD("ths_adjustment_nv_fund",R$3,$A477))</f>
        <v/>
      </c>
      <c r="S477" s="13" t="str">
        <f>IF($A477="","",[1]!thsiFinD("ths_adjustment_nv_fund",S$3,$A477))</f>
        <v/>
      </c>
      <c r="T477" s="13" t="str">
        <f>IF($A477="","",[1]!thsiFinD("ths_adjustment_nv_fund",T$3,$A477))</f>
        <v/>
      </c>
      <c r="U477" s="13" t="str">
        <f>IF($A477="","",[1]!thsiFinD("ths_adjustment_nv_fund",U$3,$A477))</f>
        <v/>
      </c>
      <c r="V477" s="13" t="str">
        <f>IF($A477="","",[1]!thsiFinD("ths_adjustment_nv_fund",V$3,$A477))</f>
        <v/>
      </c>
      <c r="W477" s="13" t="str">
        <f>IF($A477="","",[1]!thsiFinD("ths_adjustment_nv_fund",W$3,$A477))</f>
        <v/>
      </c>
      <c r="X477" s="13" t="str">
        <f>IF($A477="","",[1]!thsiFinD("ths_adjustment_nv_fund",X$3,$A477))</f>
        <v/>
      </c>
      <c r="Y477" s="13" t="str">
        <f>IF($A477="","",[1]!thsiFinD("ths_adjustment_nv_fund",Y$3,$A477))</f>
        <v/>
      </c>
      <c r="Z477" s="13" t="str">
        <f>IF($A477="","",[1]!thsiFinD("ths_adjustment_nv_fund",Z$3,$A477))</f>
        <v/>
      </c>
      <c r="AA477" s="13" t="str">
        <f>IF($A477="","",[1]!thsiFinD("ths_adjustment_nv_fund",AA$3,$A477))</f>
        <v/>
      </c>
      <c r="AB477" s="13">
        <f>IF($A477="","",[1]!thsiFinD("ths_adjustment_nv_fund",AB$3,$A477))</f>
        <v/>
      </c>
      <c r="AC477" s="13">
        <f>IF($A477="","",[1]!thsiFinD("ths_adjustment_nv_fund",AC$3,$A477))</f>
        <v/>
      </c>
      <c r="AD477" s="13">
        <f>IF($A477="","",[1]!thsiFinD("ths_adjustment_nv_fund",AD$3,$A477))</f>
        <v/>
      </c>
      <c r="AE477" s="13">
        <f>IF($A477="","",[1]!thsiFinD("ths_adjustment_nv_fund",AE$3,$A477))</f>
        <v/>
      </c>
      <c r="AF477" s="13">
        <f>IF($A477="","",[1]!thsiFinD("ths_adjustment_nv_fund",AF$3,$A477))</f>
        <v/>
      </c>
      <c r="AG477" s="13">
        <f>IF($A477="","",[1]!thsiFinD("ths_adjustment_nv_fund",AG$3,$A477))</f>
        <v/>
      </c>
      <c r="AH477" s="13">
        <f>IF($A477="","",[1]!thsiFinD("ths_adjustment_nv_fund",AH$3,$A477))</f>
        <v/>
      </c>
      <c r="AI477" s="13">
        <f>IF($A477="","",[1]!thsiFinD("ths_adjustment_nv_fund",AI$3,$A477))</f>
        <v/>
      </c>
      <c r="AJ477" s="13">
        <f>IF($A477="","",[1]!thsiFinD("ths_adjustment_nv_fund",AJ$3,$A477))</f>
        <v/>
      </c>
      <c r="AK477" s="13">
        <f>IF($A477="","",[1]!thsiFinD("ths_adjustment_nv_fund",AK$3,$A477))</f>
        <v/>
      </c>
      <c r="AL477" s="13">
        <f>IF($A477="","",[1]!thsiFinD("ths_adjustment_nv_fund",AL$3,$A477))</f>
        <v/>
      </c>
    </row>
    <row r="478" spans="2:28">
      <c r="B478" s="13" t="str">
        <f>IF($A478="","",[1]!thsiFinD("ths_adjustment_nv_fund",B$3,$A478))</f>
        <v/>
      </c>
      <c r="C478" s="13" t="str">
        <f>IF($A478="","",[1]!thsiFinD("ths_adjustment_nv_fund",C$3,$A478))</f>
        <v/>
      </c>
      <c r="D478" s="13" t="str">
        <f>IF($A478="","",[1]!thsiFinD("ths_adjustment_nv_fund",D$3,$A478))</f>
        <v/>
      </c>
      <c r="E478" s="13" t="str">
        <f>IF($A478="","",[1]!thsiFinD("ths_adjustment_nv_fund",E$3,$A478))</f>
        <v/>
      </c>
      <c r="F478" s="13" t="str">
        <f>IF($A478="","",[1]!thsiFinD("ths_adjustment_nv_fund",F$3,$A478))</f>
        <v/>
      </c>
      <c r="G478" s="13" t="str">
        <f>IF($A478="","",[1]!thsiFinD("ths_adjustment_nv_fund",G$3,$A478))</f>
        <v/>
      </c>
      <c r="H478" s="13" t="str">
        <f>IF($A478="","",[1]!thsiFinD("ths_adjustment_nv_fund",H$3,$A478))</f>
        <v/>
      </c>
      <c r="I478" s="13" t="str">
        <f>IF($A478="","",[1]!thsiFinD("ths_adjustment_nv_fund",I$3,$A478))</f>
        <v/>
      </c>
      <c r="J478" s="13" t="str">
        <f>IF($A478="","",[1]!thsiFinD("ths_adjustment_nv_fund",J$3,$A478))</f>
        <v/>
      </c>
      <c r="K478" s="13" t="str">
        <f>IF($A478="","",[1]!thsiFinD("ths_adjustment_nv_fund",K$3,$A478))</f>
        <v/>
      </c>
      <c r="L478" s="13" t="str">
        <f>IF($A478="","",[1]!thsiFinD("ths_adjustment_nv_fund",L$3,$A478))</f>
        <v/>
      </c>
      <c r="M478" s="13" t="str">
        <f>IF($A478="","",[1]!thsiFinD("ths_adjustment_nv_fund",M$3,$A478))</f>
        <v/>
      </c>
      <c r="N478" s="13" t="str">
        <f>IF($A478="","",[1]!thsiFinD("ths_adjustment_nv_fund",N$3,$A478))</f>
        <v/>
      </c>
      <c r="O478" s="13" t="str">
        <f>IF($A478="","",[1]!thsiFinD("ths_adjustment_nv_fund",O$3,$A478))</f>
        <v/>
      </c>
      <c r="P478" s="13" t="str">
        <f>IF($A478="","",[1]!thsiFinD("ths_adjustment_nv_fund",P$3,$A478))</f>
        <v/>
      </c>
      <c r="Q478" s="13" t="str">
        <f>IF($A478="","",[1]!thsiFinD("ths_adjustment_nv_fund",Q$3,$A478))</f>
        <v/>
      </c>
      <c r="R478" s="13" t="str">
        <f>IF($A478="","",[1]!thsiFinD("ths_adjustment_nv_fund",R$3,$A478))</f>
        <v/>
      </c>
      <c r="S478" s="13" t="str">
        <f>IF($A478="","",[1]!thsiFinD("ths_adjustment_nv_fund",S$3,$A478))</f>
        <v/>
      </c>
      <c r="T478" s="13" t="str">
        <f>IF($A478="","",[1]!thsiFinD("ths_adjustment_nv_fund",T$3,$A478))</f>
        <v/>
      </c>
      <c r="U478" s="13" t="str">
        <f>IF($A478="","",[1]!thsiFinD("ths_adjustment_nv_fund",U$3,$A478))</f>
        <v/>
      </c>
      <c r="V478" s="13" t="str">
        <f>IF($A478="","",[1]!thsiFinD("ths_adjustment_nv_fund",V$3,$A478))</f>
        <v/>
      </c>
      <c r="W478" s="13" t="str">
        <f>IF($A478="","",[1]!thsiFinD("ths_adjustment_nv_fund",W$3,$A478))</f>
        <v/>
      </c>
      <c r="X478" s="13" t="str">
        <f>IF($A478="","",[1]!thsiFinD("ths_adjustment_nv_fund",X$3,$A478))</f>
        <v/>
      </c>
      <c r="Y478" s="13" t="str">
        <f>IF($A478="","",[1]!thsiFinD("ths_adjustment_nv_fund",Y$3,$A478))</f>
        <v/>
      </c>
      <c r="Z478" s="13" t="str">
        <f>IF($A478="","",[1]!thsiFinD("ths_adjustment_nv_fund",Z$3,$A478))</f>
        <v/>
      </c>
      <c r="AA478" s="13" t="str">
        <f>IF($A478="","",[1]!thsiFinD("ths_adjustment_nv_fund",AA$3,$A478))</f>
        <v/>
      </c>
      <c r="AB478" s="13">
        <f>IF($A478="","",[1]!thsiFinD("ths_adjustment_nv_fund",AB$3,$A478))</f>
        <v/>
      </c>
      <c r="AC478" s="13">
        <f>IF($A478="","",[1]!thsiFinD("ths_adjustment_nv_fund",AC$3,$A478))</f>
        <v/>
      </c>
      <c r="AD478" s="13">
        <f>IF($A478="","",[1]!thsiFinD("ths_adjustment_nv_fund",AD$3,$A478))</f>
        <v/>
      </c>
      <c r="AE478" s="13">
        <f>IF($A478="","",[1]!thsiFinD("ths_adjustment_nv_fund",AE$3,$A478))</f>
        <v/>
      </c>
      <c r="AF478" s="13">
        <f>IF($A478="","",[1]!thsiFinD("ths_adjustment_nv_fund",AF$3,$A478))</f>
        <v/>
      </c>
      <c r="AG478" s="13">
        <f>IF($A478="","",[1]!thsiFinD("ths_adjustment_nv_fund",AG$3,$A478))</f>
        <v/>
      </c>
      <c r="AH478" s="13">
        <f>IF($A478="","",[1]!thsiFinD("ths_adjustment_nv_fund",AH$3,$A478))</f>
        <v/>
      </c>
      <c r="AI478" s="13">
        <f>IF($A478="","",[1]!thsiFinD("ths_adjustment_nv_fund",AI$3,$A478))</f>
        <v/>
      </c>
      <c r="AJ478" s="13">
        <f>IF($A478="","",[1]!thsiFinD("ths_adjustment_nv_fund",AJ$3,$A478))</f>
        <v/>
      </c>
      <c r="AK478" s="13">
        <f>IF($A478="","",[1]!thsiFinD("ths_adjustment_nv_fund",AK$3,$A478))</f>
        <v/>
      </c>
      <c r="AL478" s="13">
        <f>IF($A478="","",[1]!thsiFinD("ths_adjustment_nv_fund",AL$3,$A478))</f>
        <v/>
      </c>
    </row>
    <row r="479" spans="2:28">
      <c r="B479" s="13" t="str">
        <f>IF($A479="","",[1]!thsiFinD("ths_adjustment_nv_fund",B$3,$A479))</f>
        <v/>
      </c>
      <c r="C479" s="13" t="str">
        <f>IF($A479="","",[1]!thsiFinD("ths_adjustment_nv_fund",C$3,$A479))</f>
        <v/>
      </c>
      <c r="D479" s="13" t="str">
        <f>IF($A479="","",[1]!thsiFinD("ths_adjustment_nv_fund",D$3,$A479))</f>
        <v/>
      </c>
      <c r="E479" s="13" t="str">
        <f>IF($A479="","",[1]!thsiFinD("ths_adjustment_nv_fund",E$3,$A479))</f>
        <v/>
      </c>
      <c r="F479" s="13" t="str">
        <f>IF($A479="","",[1]!thsiFinD("ths_adjustment_nv_fund",F$3,$A479))</f>
        <v/>
      </c>
      <c r="G479" s="13" t="str">
        <f>IF($A479="","",[1]!thsiFinD("ths_adjustment_nv_fund",G$3,$A479))</f>
        <v/>
      </c>
      <c r="H479" s="13" t="str">
        <f>IF($A479="","",[1]!thsiFinD("ths_adjustment_nv_fund",H$3,$A479))</f>
        <v/>
      </c>
      <c r="I479" s="13" t="str">
        <f>IF($A479="","",[1]!thsiFinD("ths_adjustment_nv_fund",I$3,$A479))</f>
        <v/>
      </c>
      <c r="J479" s="13" t="str">
        <f>IF($A479="","",[1]!thsiFinD("ths_adjustment_nv_fund",J$3,$A479))</f>
        <v/>
      </c>
      <c r="K479" s="13" t="str">
        <f>IF($A479="","",[1]!thsiFinD("ths_adjustment_nv_fund",K$3,$A479))</f>
        <v/>
      </c>
      <c r="L479" s="13" t="str">
        <f>IF($A479="","",[1]!thsiFinD("ths_adjustment_nv_fund",L$3,$A479))</f>
        <v/>
      </c>
      <c r="M479" s="13" t="str">
        <f>IF($A479="","",[1]!thsiFinD("ths_adjustment_nv_fund",M$3,$A479))</f>
        <v/>
      </c>
      <c r="N479" s="13" t="str">
        <f>IF($A479="","",[1]!thsiFinD("ths_adjustment_nv_fund",N$3,$A479))</f>
        <v/>
      </c>
      <c r="O479" s="13" t="str">
        <f>IF($A479="","",[1]!thsiFinD("ths_adjustment_nv_fund",O$3,$A479))</f>
        <v/>
      </c>
      <c r="P479" s="13" t="str">
        <f>IF($A479="","",[1]!thsiFinD("ths_adjustment_nv_fund",P$3,$A479))</f>
        <v/>
      </c>
      <c r="Q479" s="13" t="str">
        <f>IF($A479="","",[1]!thsiFinD("ths_adjustment_nv_fund",Q$3,$A479))</f>
        <v/>
      </c>
      <c r="R479" s="13" t="str">
        <f>IF($A479="","",[1]!thsiFinD("ths_adjustment_nv_fund",R$3,$A479))</f>
        <v/>
      </c>
      <c r="S479" s="13" t="str">
        <f>IF($A479="","",[1]!thsiFinD("ths_adjustment_nv_fund",S$3,$A479))</f>
        <v/>
      </c>
      <c r="T479" s="13" t="str">
        <f>IF($A479="","",[1]!thsiFinD("ths_adjustment_nv_fund",T$3,$A479))</f>
        <v/>
      </c>
      <c r="U479" s="13" t="str">
        <f>IF($A479="","",[1]!thsiFinD("ths_adjustment_nv_fund",U$3,$A479))</f>
        <v/>
      </c>
      <c r="V479" s="13" t="str">
        <f>IF($A479="","",[1]!thsiFinD("ths_adjustment_nv_fund",V$3,$A479))</f>
        <v/>
      </c>
      <c r="W479" s="13" t="str">
        <f>IF($A479="","",[1]!thsiFinD("ths_adjustment_nv_fund",W$3,$A479))</f>
        <v/>
      </c>
      <c r="X479" s="13" t="str">
        <f>IF($A479="","",[1]!thsiFinD("ths_adjustment_nv_fund",X$3,$A479))</f>
        <v/>
      </c>
      <c r="Y479" s="13" t="str">
        <f>IF($A479="","",[1]!thsiFinD("ths_adjustment_nv_fund",Y$3,$A479))</f>
        <v/>
      </c>
      <c r="Z479" s="13" t="str">
        <f>IF($A479="","",[1]!thsiFinD("ths_adjustment_nv_fund",Z$3,$A479))</f>
        <v/>
      </c>
      <c r="AA479" s="13" t="str">
        <f>IF($A479="","",[1]!thsiFinD("ths_adjustment_nv_fund",AA$3,$A479))</f>
        <v/>
      </c>
      <c r="AB479" s="13">
        <f>IF($A479="","",[1]!thsiFinD("ths_adjustment_nv_fund",AB$3,$A479))</f>
        <v/>
      </c>
      <c r="AC479" s="13">
        <f>IF($A479="","",[1]!thsiFinD("ths_adjustment_nv_fund",AC$3,$A479))</f>
        <v/>
      </c>
      <c r="AD479" s="13">
        <f>IF($A479="","",[1]!thsiFinD("ths_adjustment_nv_fund",AD$3,$A479))</f>
        <v/>
      </c>
      <c r="AE479" s="13">
        <f>IF($A479="","",[1]!thsiFinD("ths_adjustment_nv_fund",AE$3,$A479))</f>
        <v/>
      </c>
      <c r="AF479" s="13">
        <f>IF($A479="","",[1]!thsiFinD("ths_adjustment_nv_fund",AF$3,$A479))</f>
        <v/>
      </c>
      <c r="AG479" s="13">
        <f>IF($A479="","",[1]!thsiFinD("ths_adjustment_nv_fund",AG$3,$A479))</f>
        <v/>
      </c>
      <c r="AH479" s="13">
        <f>IF($A479="","",[1]!thsiFinD("ths_adjustment_nv_fund",AH$3,$A479))</f>
        <v/>
      </c>
      <c r="AI479" s="13">
        <f>IF($A479="","",[1]!thsiFinD("ths_adjustment_nv_fund",AI$3,$A479))</f>
        <v/>
      </c>
      <c r="AJ479" s="13">
        <f>IF($A479="","",[1]!thsiFinD("ths_adjustment_nv_fund",AJ$3,$A479))</f>
        <v/>
      </c>
      <c r="AK479" s="13">
        <f>IF($A479="","",[1]!thsiFinD("ths_adjustment_nv_fund",AK$3,$A479))</f>
        <v/>
      </c>
      <c r="AL479" s="13">
        <f>IF($A479="","",[1]!thsiFinD("ths_adjustment_nv_fund",AL$3,$A479))</f>
        <v/>
      </c>
    </row>
    <row r="480" spans="2:28">
      <c r="B480" s="13" t="str">
        <f>IF($A480="","",[1]!thsiFinD("ths_adjustment_nv_fund",B$3,$A480))</f>
        <v/>
      </c>
      <c r="C480" s="13" t="str">
        <f>IF($A480="","",[1]!thsiFinD("ths_adjustment_nv_fund",C$3,$A480))</f>
        <v/>
      </c>
      <c r="D480" s="13" t="str">
        <f>IF($A480="","",[1]!thsiFinD("ths_adjustment_nv_fund",D$3,$A480))</f>
        <v/>
      </c>
      <c r="E480" s="13" t="str">
        <f>IF($A480="","",[1]!thsiFinD("ths_adjustment_nv_fund",E$3,$A480))</f>
        <v/>
      </c>
      <c r="F480" s="13" t="str">
        <f>IF($A480="","",[1]!thsiFinD("ths_adjustment_nv_fund",F$3,$A480))</f>
        <v/>
      </c>
      <c r="G480" s="13" t="str">
        <f>IF($A480="","",[1]!thsiFinD("ths_adjustment_nv_fund",G$3,$A480))</f>
        <v/>
      </c>
      <c r="H480" s="13" t="str">
        <f>IF($A480="","",[1]!thsiFinD("ths_adjustment_nv_fund",H$3,$A480))</f>
        <v/>
      </c>
      <c r="I480" s="13" t="str">
        <f>IF($A480="","",[1]!thsiFinD("ths_adjustment_nv_fund",I$3,$A480))</f>
        <v/>
      </c>
      <c r="J480" s="13" t="str">
        <f>IF($A480="","",[1]!thsiFinD("ths_adjustment_nv_fund",J$3,$A480))</f>
        <v/>
      </c>
      <c r="K480" s="13" t="str">
        <f>IF($A480="","",[1]!thsiFinD("ths_adjustment_nv_fund",K$3,$A480))</f>
        <v/>
      </c>
      <c r="L480" s="13" t="str">
        <f>IF($A480="","",[1]!thsiFinD("ths_adjustment_nv_fund",L$3,$A480))</f>
        <v/>
      </c>
      <c r="M480" s="13" t="str">
        <f>IF($A480="","",[1]!thsiFinD("ths_adjustment_nv_fund",M$3,$A480))</f>
        <v/>
      </c>
      <c r="N480" s="13" t="str">
        <f>IF($A480="","",[1]!thsiFinD("ths_adjustment_nv_fund",N$3,$A480))</f>
        <v/>
      </c>
      <c r="O480" s="13" t="str">
        <f>IF($A480="","",[1]!thsiFinD("ths_adjustment_nv_fund",O$3,$A480))</f>
        <v/>
      </c>
      <c r="P480" s="13" t="str">
        <f>IF($A480="","",[1]!thsiFinD("ths_adjustment_nv_fund",P$3,$A480))</f>
        <v/>
      </c>
      <c r="Q480" s="13" t="str">
        <f>IF($A480="","",[1]!thsiFinD("ths_adjustment_nv_fund",Q$3,$A480))</f>
        <v/>
      </c>
      <c r="R480" s="13" t="str">
        <f>IF($A480="","",[1]!thsiFinD("ths_adjustment_nv_fund",R$3,$A480))</f>
        <v/>
      </c>
      <c r="S480" s="13" t="str">
        <f>IF($A480="","",[1]!thsiFinD("ths_adjustment_nv_fund",S$3,$A480))</f>
        <v/>
      </c>
      <c r="T480" s="13" t="str">
        <f>IF($A480="","",[1]!thsiFinD("ths_adjustment_nv_fund",T$3,$A480))</f>
        <v/>
      </c>
      <c r="U480" s="13" t="str">
        <f>IF($A480="","",[1]!thsiFinD("ths_adjustment_nv_fund",U$3,$A480))</f>
        <v/>
      </c>
      <c r="V480" s="13" t="str">
        <f>IF($A480="","",[1]!thsiFinD("ths_adjustment_nv_fund",V$3,$A480))</f>
        <v/>
      </c>
      <c r="W480" s="13" t="str">
        <f>IF($A480="","",[1]!thsiFinD("ths_adjustment_nv_fund",W$3,$A480))</f>
        <v/>
      </c>
      <c r="X480" s="13" t="str">
        <f>IF($A480="","",[1]!thsiFinD("ths_adjustment_nv_fund",X$3,$A480))</f>
        <v/>
      </c>
      <c r="Y480" s="13" t="str">
        <f>IF($A480="","",[1]!thsiFinD("ths_adjustment_nv_fund",Y$3,$A480))</f>
        <v/>
      </c>
      <c r="Z480" s="13" t="str">
        <f>IF($A480="","",[1]!thsiFinD("ths_adjustment_nv_fund",Z$3,$A480))</f>
        <v/>
      </c>
      <c r="AA480" s="13" t="str">
        <f>IF($A480="","",[1]!thsiFinD("ths_adjustment_nv_fund",AA$3,$A480))</f>
        <v/>
      </c>
      <c r="AB480" s="13">
        <f>IF($A480="","",[1]!thsiFinD("ths_adjustment_nv_fund",AB$3,$A480))</f>
        <v/>
      </c>
      <c r="AC480" s="13">
        <f>IF($A480="","",[1]!thsiFinD("ths_adjustment_nv_fund",AC$3,$A480))</f>
        <v/>
      </c>
      <c r="AD480" s="13">
        <f>IF($A480="","",[1]!thsiFinD("ths_adjustment_nv_fund",AD$3,$A480))</f>
        <v/>
      </c>
      <c r="AE480" s="13">
        <f>IF($A480="","",[1]!thsiFinD("ths_adjustment_nv_fund",AE$3,$A480))</f>
        <v/>
      </c>
      <c r="AF480" s="13">
        <f>IF($A480="","",[1]!thsiFinD("ths_adjustment_nv_fund",AF$3,$A480))</f>
        <v/>
      </c>
      <c r="AG480" s="13">
        <f>IF($A480="","",[1]!thsiFinD("ths_adjustment_nv_fund",AG$3,$A480))</f>
        <v/>
      </c>
      <c r="AH480" s="13">
        <f>IF($A480="","",[1]!thsiFinD("ths_adjustment_nv_fund",AH$3,$A480))</f>
        <v/>
      </c>
      <c r="AI480" s="13">
        <f>IF($A480="","",[1]!thsiFinD("ths_adjustment_nv_fund",AI$3,$A480))</f>
        <v/>
      </c>
      <c r="AJ480" s="13">
        <f>IF($A480="","",[1]!thsiFinD("ths_adjustment_nv_fund",AJ$3,$A480))</f>
        <v/>
      </c>
      <c r="AK480" s="13">
        <f>IF($A480="","",[1]!thsiFinD("ths_adjustment_nv_fund",AK$3,$A480))</f>
        <v/>
      </c>
      <c r="AL480" s="13">
        <f>IF($A480="","",[1]!thsiFinD("ths_adjustment_nv_fund",AL$3,$A480))</f>
        <v/>
      </c>
    </row>
    <row r="481" spans="2:28">
      <c r="B481" s="13" t="str">
        <f>IF($A481="","",[1]!thsiFinD("ths_adjustment_nv_fund",B$3,$A481))</f>
        <v/>
      </c>
      <c r="C481" s="13" t="str">
        <f>IF($A481="","",[1]!thsiFinD("ths_adjustment_nv_fund",C$3,$A481))</f>
        <v/>
      </c>
      <c r="D481" s="13" t="str">
        <f>IF($A481="","",[1]!thsiFinD("ths_adjustment_nv_fund",D$3,$A481))</f>
        <v/>
      </c>
      <c r="E481" s="13" t="str">
        <f>IF($A481="","",[1]!thsiFinD("ths_adjustment_nv_fund",E$3,$A481))</f>
        <v/>
      </c>
      <c r="F481" s="13" t="str">
        <f>IF($A481="","",[1]!thsiFinD("ths_adjustment_nv_fund",F$3,$A481))</f>
        <v/>
      </c>
      <c r="G481" s="13" t="str">
        <f>IF($A481="","",[1]!thsiFinD("ths_adjustment_nv_fund",G$3,$A481))</f>
        <v/>
      </c>
      <c r="H481" s="13" t="str">
        <f>IF($A481="","",[1]!thsiFinD("ths_adjustment_nv_fund",H$3,$A481))</f>
        <v/>
      </c>
      <c r="I481" s="13" t="str">
        <f>IF($A481="","",[1]!thsiFinD("ths_adjustment_nv_fund",I$3,$A481))</f>
        <v/>
      </c>
      <c r="J481" s="13" t="str">
        <f>IF($A481="","",[1]!thsiFinD("ths_adjustment_nv_fund",J$3,$A481))</f>
        <v/>
      </c>
      <c r="K481" s="13" t="str">
        <f>IF($A481="","",[1]!thsiFinD("ths_adjustment_nv_fund",K$3,$A481))</f>
        <v/>
      </c>
      <c r="L481" s="13" t="str">
        <f>IF($A481="","",[1]!thsiFinD("ths_adjustment_nv_fund",L$3,$A481))</f>
        <v/>
      </c>
      <c r="M481" s="13" t="str">
        <f>IF($A481="","",[1]!thsiFinD("ths_adjustment_nv_fund",M$3,$A481))</f>
        <v/>
      </c>
      <c r="N481" s="13" t="str">
        <f>IF($A481="","",[1]!thsiFinD("ths_adjustment_nv_fund",N$3,$A481))</f>
        <v/>
      </c>
      <c r="O481" s="13" t="str">
        <f>IF($A481="","",[1]!thsiFinD("ths_adjustment_nv_fund",O$3,$A481))</f>
        <v/>
      </c>
      <c r="P481" s="13" t="str">
        <f>IF($A481="","",[1]!thsiFinD("ths_adjustment_nv_fund",P$3,$A481))</f>
        <v/>
      </c>
      <c r="Q481" s="13" t="str">
        <f>IF($A481="","",[1]!thsiFinD("ths_adjustment_nv_fund",Q$3,$A481))</f>
        <v/>
      </c>
      <c r="R481" s="13" t="str">
        <f>IF($A481="","",[1]!thsiFinD("ths_adjustment_nv_fund",R$3,$A481))</f>
        <v/>
      </c>
      <c r="S481" s="13" t="str">
        <f>IF($A481="","",[1]!thsiFinD("ths_adjustment_nv_fund",S$3,$A481))</f>
        <v/>
      </c>
      <c r="T481" s="13" t="str">
        <f>IF($A481="","",[1]!thsiFinD("ths_adjustment_nv_fund",T$3,$A481))</f>
        <v/>
      </c>
      <c r="U481" s="13" t="str">
        <f>IF($A481="","",[1]!thsiFinD("ths_adjustment_nv_fund",U$3,$A481))</f>
        <v/>
      </c>
      <c r="V481" s="13" t="str">
        <f>IF($A481="","",[1]!thsiFinD("ths_adjustment_nv_fund",V$3,$A481))</f>
        <v/>
      </c>
      <c r="W481" s="13" t="str">
        <f>IF($A481="","",[1]!thsiFinD("ths_adjustment_nv_fund",W$3,$A481))</f>
        <v/>
      </c>
      <c r="X481" s="13" t="str">
        <f>IF($A481="","",[1]!thsiFinD("ths_adjustment_nv_fund",X$3,$A481))</f>
        <v/>
      </c>
      <c r="Y481" s="13" t="str">
        <f>IF($A481="","",[1]!thsiFinD("ths_adjustment_nv_fund",Y$3,$A481))</f>
        <v/>
      </c>
      <c r="Z481" s="13" t="str">
        <f>IF($A481="","",[1]!thsiFinD("ths_adjustment_nv_fund",Z$3,$A481))</f>
        <v/>
      </c>
      <c r="AA481" s="13" t="str">
        <f>IF($A481="","",[1]!thsiFinD("ths_adjustment_nv_fund",AA$3,$A481))</f>
        <v/>
      </c>
      <c r="AB481" s="13">
        <f>IF($A481="","",[1]!thsiFinD("ths_adjustment_nv_fund",AB$3,$A481))</f>
        <v/>
      </c>
      <c r="AC481" s="13">
        <f>IF($A481="","",[1]!thsiFinD("ths_adjustment_nv_fund",AC$3,$A481))</f>
        <v/>
      </c>
      <c r="AD481" s="13">
        <f>IF($A481="","",[1]!thsiFinD("ths_adjustment_nv_fund",AD$3,$A481))</f>
        <v/>
      </c>
      <c r="AE481" s="13">
        <f>IF($A481="","",[1]!thsiFinD("ths_adjustment_nv_fund",AE$3,$A481))</f>
        <v/>
      </c>
      <c r="AF481" s="13">
        <f>IF($A481="","",[1]!thsiFinD("ths_adjustment_nv_fund",AF$3,$A481))</f>
        <v/>
      </c>
      <c r="AG481" s="13">
        <f>IF($A481="","",[1]!thsiFinD("ths_adjustment_nv_fund",AG$3,$A481))</f>
        <v/>
      </c>
      <c r="AH481" s="13">
        <f>IF($A481="","",[1]!thsiFinD("ths_adjustment_nv_fund",AH$3,$A481))</f>
        <v/>
      </c>
      <c r="AI481" s="13">
        <f>IF($A481="","",[1]!thsiFinD("ths_adjustment_nv_fund",AI$3,$A481))</f>
        <v/>
      </c>
      <c r="AJ481" s="13">
        <f>IF($A481="","",[1]!thsiFinD("ths_adjustment_nv_fund",AJ$3,$A481))</f>
        <v/>
      </c>
      <c r="AK481" s="13">
        <f>IF($A481="","",[1]!thsiFinD("ths_adjustment_nv_fund",AK$3,$A481))</f>
        <v/>
      </c>
      <c r="AL481" s="13">
        <f>IF($A481="","",[1]!thsiFinD("ths_adjustment_nv_fund",AL$3,$A481))</f>
        <v/>
      </c>
    </row>
    <row r="482" spans="2:28">
      <c r="B482" s="13" t="str">
        <f>IF($A482="","",[1]!thsiFinD("ths_adjustment_nv_fund",B$3,$A482))</f>
        <v/>
      </c>
      <c r="C482" s="13" t="str">
        <f>IF($A482="","",[1]!thsiFinD("ths_adjustment_nv_fund",C$3,$A482))</f>
        <v/>
      </c>
      <c r="D482" s="13" t="str">
        <f>IF($A482="","",[1]!thsiFinD("ths_adjustment_nv_fund",D$3,$A482))</f>
        <v/>
      </c>
      <c r="E482" s="13" t="str">
        <f>IF($A482="","",[1]!thsiFinD("ths_adjustment_nv_fund",E$3,$A482))</f>
        <v/>
      </c>
      <c r="F482" s="13" t="str">
        <f>IF($A482="","",[1]!thsiFinD("ths_adjustment_nv_fund",F$3,$A482))</f>
        <v/>
      </c>
      <c r="G482" s="13" t="str">
        <f>IF($A482="","",[1]!thsiFinD("ths_adjustment_nv_fund",G$3,$A482))</f>
        <v/>
      </c>
      <c r="H482" s="13" t="str">
        <f>IF($A482="","",[1]!thsiFinD("ths_adjustment_nv_fund",H$3,$A482))</f>
        <v/>
      </c>
      <c r="I482" s="13" t="str">
        <f>IF($A482="","",[1]!thsiFinD("ths_adjustment_nv_fund",I$3,$A482))</f>
        <v/>
      </c>
      <c r="J482" s="13" t="str">
        <f>IF($A482="","",[1]!thsiFinD("ths_adjustment_nv_fund",J$3,$A482))</f>
        <v/>
      </c>
      <c r="K482" s="13" t="str">
        <f>IF($A482="","",[1]!thsiFinD("ths_adjustment_nv_fund",K$3,$A482))</f>
        <v/>
      </c>
      <c r="L482" s="13" t="str">
        <f>IF($A482="","",[1]!thsiFinD("ths_adjustment_nv_fund",L$3,$A482))</f>
        <v/>
      </c>
      <c r="M482" s="13" t="str">
        <f>IF($A482="","",[1]!thsiFinD("ths_adjustment_nv_fund",M$3,$A482))</f>
        <v/>
      </c>
      <c r="N482" s="13" t="str">
        <f>IF($A482="","",[1]!thsiFinD("ths_adjustment_nv_fund",N$3,$A482))</f>
        <v/>
      </c>
      <c r="O482" s="13" t="str">
        <f>IF($A482="","",[1]!thsiFinD("ths_adjustment_nv_fund",O$3,$A482))</f>
        <v/>
      </c>
      <c r="P482" s="13" t="str">
        <f>IF($A482="","",[1]!thsiFinD("ths_adjustment_nv_fund",P$3,$A482))</f>
        <v/>
      </c>
      <c r="Q482" s="13" t="str">
        <f>IF($A482="","",[1]!thsiFinD("ths_adjustment_nv_fund",Q$3,$A482))</f>
        <v/>
      </c>
      <c r="R482" s="13" t="str">
        <f>IF($A482="","",[1]!thsiFinD("ths_adjustment_nv_fund",R$3,$A482))</f>
        <v/>
      </c>
      <c r="S482" s="13" t="str">
        <f>IF($A482="","",[1]!thsiFinD("ths_adjustment_nv_fund",S$3,$A482))</f>
        <v/>
      </c>
      <c r="T482" s="13" t="str">
        <f>IF($A482="","",[1]!thsiFinD("ths_adjustment_nv_fund",T$3,$A482))</f>
        <v/>
      </c>
      <c r="U482" s="13" t="str">
        <f>IF($A482="","",[1]!thsiFinD("ths_adjustment_nv_fund",U$3,$A482))</f>
        <v/>
      </c>
      <c r="V482" s="13" t="str">
        <f>IF($A482="","",[1]!thsiFinD("ths_adjustment_nv_fund",V$3,$A482))</f>
        <v/>
      </c>
      <c r="W482" s="13" t="str">
        <f>IF($A482="","",[1]!thsiFinD("ths_adjustment_nv_fund",W$3,$A482))</f>
        <v/>
      </c>
      <c r="X482" s="13" t="str">
        <f>IF($A482="","",[1]!thsiFinD("ths_adjustment_nv_fund",X$3,$A482))</f>
        <v/>
      </c>
      <c r="Y482" s="13" t="str">
        <f>IF($A482="","",[1]!thsiFinD("ths_adjustment_nv_fund",Y$3,$A482))</f>
        <v/>
      </c>
      <c r="Z482" s="13" t="str">
        <f>IF($A482="","",[1]!thsiFinD("ths_adjustment_nv_fund",Z$3,$A482))</f>
        <v/>
      </c>
      <c r="AA482" s="13" t="str">
        <f>IF($A482="","",[1]!thsiFinD("ths_adjustment_nv_fund",AA$3,$A482))</f>
        <v/>
      </c>
      <c r="AB482" s="13">
        <f>IF($A482="","",[1]!thsiFinD("ths_adjustment_nv_fund",AB$3,$A482))</f>
        <v/>
      </c>
      <c r="AC482" s="13">
        <f>IF($A482="","",[1]!thsiFinD("ths_adjustment_nv_fund",AC$3,$A482))</f>
        <v/>
      </c>
      <c r="AD482" s="13">
        <f>IF($A482="","",[1]!thsiFinD("ths_adjustment_nv_fund",AD$3,$A482))</f>
        <v/>
      </c>
      <c r="AE482" s="13">
        <f>IF($A482="","",[1]!thsiFinD("ths_adjustment_nv_fund",AE$3,$A482))</f>
        <v/>
      </c>
      <c r="AF482" s="13">
        <f>IF($A482="","",[1]!thsiFinD("ths_adjustment_nv_fund",AF$3,$A482))</f>
        <v/>
      </c>
      <c r="AG482" s="13">
        <f>IF($A482="","",[1]!thsiFinD("ths_adjustment_nv_fund",AG$3,$A482))</f>
        <v/>
      </c>
      <c r="AH482" s="13">
        <f>IF($A482="","",[1]!thsiFinD("ths_adjustment_nv_fund",AH$3,$A482))</f>
        <v/>
      </c>
      <c r="AI482" s="13">
        <f>IF($A482="","",[1]!thsiFinD("ths_adjustment_nv_fund",AI$3,$A482))</f>
        <v/>
      </c>
      <c r="AJ482" s="13">
        <f>IF($A482="","",[1]!thsiFinD("ths_adjustment_nv_fund",AJ$3,$A482))</f>
        <v/>
      </c>
      <c r="AK482" s="13">
        <f>IF($A482="","",[1]!thsiFinD("ths_adjustment_nv_fund",AK$3,$A482))</f>
        <v/>
      </c>
      <c r="AL482" s="13">
        <f>IF($A482="","",[1]!thsiFinD("ths_adjustment_nv_fund",AL$3,$A482))</f>
        <v/>
      </c>
    </row>
    <row r="483" spans="2:28">
      <c r="B483" s="13" t="str">
        <f>IF($A483="","",[1]!thsiFinD("ths_adjustment_nv_fund",B$3,$A483))</f>
        <v/>
      </c>
      <c r="C483" s="13" t="str">
        <f>IF($A483="","",[1]!thsiFinD("ths_adjustment_nv_fund",C$3,$A483))</f>
        <v/>
      </c>
      <c r="D483" s="13" t="str">
        <f>IF($A483="","",[1]!thsiFinD("ths_adjustment_nv_fund",D$3,$A483))</f>
        <v/>
      </c>
      <c r="E483" s="13" t="str">
        <f>IF($A483="","",[1]!thsiFinD("ths_adjustment_nv_fund",E$3,$A483))</f>
        <v/>
      </c>
      <c r="F483" s="13" t="str">
        <f>IF($A483="","",[1]!thsiFinD("ths_adjustment_nv_fund",F$3,$A483))</f>
        <v/>
      </c>
      <c r="G483" s="13" t="str">
        <f>IF($A483="","",[1]!thsiFinD("ths_adjustment_nv_fund",G$3,$A483))</f>
        <v/>
      </c>
      <c r="H483" s="13" t="str">
        <f>IF($A483="","",[1]!thsiFinD("ths_adjustment_nv_fund",H$3,$A483))</f>
        <v/>
      </c>
      <c r="I483" s="13" t="str">
        <f>IF($A483="","",[1]!thsiFinD("ths_adjustment_nv_fund",I$3,$A483))</f>
        <v/>
      </c>
      <c r="J483" s="13" t="str">
        <f>IF($A483="","",[1]!thsiFinD("ths_adjustment_nv_fund",J$3,$A483))</f>
        <v/>
      </c>
      <c r="K483" s="13" t="str">
        <f>IF($A483="","",[1]!thsiFinD("ths_adjustment_nv_fund",K$3,$A483))</f>
        <v/>
      </c>
      <c r="L483" s="13" t="str">
        <f>IF($A483="","",[1]!thsiFinD("ths_adjustment_nv_fund",L$3,$A483))</f>
        <v/>
      </c>
      <c r="M483" s="13" t="str">
        <f>IF($A483="","",[1]!thsiFinD("ths_adjustment_nv_fund",M$3,$A483))</f>
        <v/>
      </c>
      <c r="N483" s="13" t="str">
        <f>IF($A483="","",[1]!thsiFinD("ths_adjustment_nv_fund",N$3,$A483))</f>
        <v/>
      </c>
      <c r="O483" s="13" t="str">
        <f>IF($A483="","",[1]!thsiFinD("ths_adjustment_nv_fund",O$3,$A483))</f>
        <v/>
      </c>
      <c r="P483" s="13" t="str">
        <f>IF($A483="","",[1]!thsiFinD("ths_adjustment_nv_fund",P$3,$A483))</f>
        <v/>
      </c>
      <c r="Q483" s="13" t="str">
        <f>IF($A483="","",[1]!thsiFinD("ths_adjustment_nv_fund",Q$3,$A483))</f>
        <v/>
      </c>
      <c r="R483" s="13" t="str">
        <f>IF($A483="","",[1]!thsiFinD("ths_adjustment_nv_fund",R$3,$A483))</f>
        <v/>
      </c>
      <c r="S483" s="13" t="str">
        <f>IF($A483="","",[1]!thsiFinD("ths_adjustment_nv_fund",S$3,$A483))</f>
        <v/>
      </c>
      <c r="T483" s="13" t="str">
        <f>IF($A483="","",[1]!thsiFinD("ths_adjustment_nv_fund",T$3,$A483))</f>
        <v/>
      </c>
      <c r="U483" s="13" t="str">
        <f>IF($A483="","",[1]!thsiFinD("ths_adjustment_nv_fund",U$3,$A483))</f>
        <v/>
      </c>
      <c r="V483" s="13" t="str">
        <f>IF($A483="","",[1]!thsiFinD("ths_adjustment_nv_fund",V$3,$A483))</f>
        <v/>
      </c>
      <c r="W483" s="13" t="str">
        <f>IF($A483="","",[1]!thsiFinD("ths_adjustment_nv_fund",W$3,$A483))</f>
        <v/>
      </c>
      <c r="X483" s="13" t="str">
        <f>IF($A483="","",[1]!thsiFinD("ths_adjustment_nv_fund",X$3,$A483))</f>
        <v/>
      </c>
      <c r="Y483" s="13" t="str">
        <f>IF($A483="","",[1]!thsiFinD("ths_adjustment_nv_fund",Y$3,$A483))</f>
        <v/>
      </c>
      <c r="Z483" s="13" t="str">
        <f>IF($A483="","",[1]!thsiFinD("ths_adjustment_nv_fund",Z$3,$A483))</f>
        <v/>
      </c>
      <c r="AA483" s="13" t="str">
        <f>IF($A483="","",[1]!thsiFinD("ths_adjustment_nv_fund",AA$3,$A483))</f>
        <v/>
      </c>
      <c r="AB483" s="13">
        <f>IF($A483="","",[1]!thsiFinD("ths_adjustment_nv_fund",AB$3,$A483))</f>
        <v/>
      </c>
      <c r="AC483" s="13">
        <f>IF($A483="","",[1]!thsiFinD("ths_adjustment_nv_fund",AC$3,$A483))</f>
        <v/>
      </c>
      <c r="AD483" s="13">
        <f>IF($A483="","",[1]!thsiFinD("ths_adjustment_nv_fund",AD$3,$A483))</f>
        <v/>
      </c>
      <c r="AE483" s="13">
        <f>IF($A483="","",[1]!thsiFinD("ths_adjustment_nv_fund",AE$3,$A483))</f>
        <v/>
      </c>
      <c r="AF483" s="13">
        <f>IF($A483="","",[1]!thsiFinD("ths_adjustment_nv_fund",AF$3,$A483))</f>
        <v/>
      </c>
      <c r="AG483" s="13">
        <f>IF($A483="","",[1]!thsiFinD("ths_adjustment_nv_fund",AG$3,$A483))</f>
        <v/>
      </c>
      <c r="AH483" s="13">
        <f>IF($A483="","",[1]!thsiFinD("ths_adjustment_nv_fund",AH$3,$A483))</f>
        <v/>
      </c>
      <c r="AI483" s="13">
        <f>IF($A483="","",[1]!thsiFinD("ths_adjustment_nv_fund",AI$3,$A483))</f>
        <v/>
      </c>
      <c r="AJ483" s="13">
        <f>IF($A483="","",[1]!thsiFinD("ths_adjustment_nv_fund",AJ$3,$A483))</f>
        <v/>
      </c>
      <c r="AK483" s="13">
        <f>IF($A483="","",[1]!thsiFinD("ths_adjustment_nv_fund",AK$3,$A483))</f>
        <v/>
      </c>
      <c r="AL483" s="13">
        <f>IF($A483="","",[1]!thsiFinD("ths_adjustment_nv_fund",AL$3,$A483))</f>
        <v/>
      </c>
    </row>
    <row r="484" spans="2:28">
      <c r="B484" s="13" t="str">
        <f>IF($A484="","",[1]!thsiFinD("ths_adjustment_nv_fund",B$3,$A484))</f>
        <v/>
      </c>
      <c r="C484" s="13" t="str">
        <f>IF($A484="","",[1]!thsiFinD("ths_adjustment_nv_fund",C$3,$A484))</f>
        <v/>
      </c>
      <c r="D484" s="13" t="str">
        <f>IF($A484="","",[1]!thsiFinD("ths_adjustment_nv_fund",D$3,$A484))</f>
        <v/>
      </c>
      <c r="E484" s="13" t="str">
        <f>IF($A484="","",[1]!thsiFinD("ths_adjustment_nv_fund",E$3,$A484))</f>
        <v/>
      </c>
      <c r="F484" s="13" t="str">
        <f>IF($A484="","",[1]!thsiFinD("ths_adjustment_nv_fund",F$3,$A484))</f>
        <v/>
      </c>
      <c r="G484" s="13" t="str">
        <f>IF($A484="","",[1]!thsiFinD("ths_adjustment_nv_fund",G$3,$A484))</f>
        <v/>
      </c>
      <c r="H484" s="13" t="str">
        <f>IF($A484="","",[1]!thsiFinD("ths_adjustment_nv_fund",H$3,$A484))</f>
        <v/>
      </c>
      <c r="I484" s="13" t="str">
        <f>IF($A484="","",[1]!thsiFinD("ths_adjustment_nv_fund",I$3,$A484))</f>
        <v/>
      </c>
      <c r="J484" s="13" t="str">
        <f>IF($A484="","",[1]!thsiFinD("ths_adjustment_nv_fund",J$3,$A484))</f>
        <v/>
      </c>
      <c r="K484" s="13" t="str">
        <f>IF($A484="","",[1]!thsiFinD("ths_adjustment_nv_fund",K$3,$A484))</f>
        <v/>
      </c>
      <c r="L484" s="13" t="str">
        <f>IF($A484="","",[1]!thsiFinD("ths_adjustment_nv_fund",L$3,$A484))</f>
        <v/>
      </c>
      <c r="M484" s="13" t="str">
        <f>IF($A484="","",[1]!thsiFinD("ths_adjustment_nv_fund",M$3,$A484))</f>
        <v/>
      </c>
      <c r="N484" s="13" t="str">
        <f>IF($A484="","",[1]!thsiFinD("ths_adjustment_nv_fund",N$3,$A484))</f>
        <v/>
      </c>
      <c r="O484" s="13" t="str">
        <f>IF($A484="","",[1]!thsiFinD("ths_adjustment_nv_fund",O$3,$A484))</f>
        <v/>
      </c>
      <c r="P484" s="13" t="str">
        <f>IF($A484="","",[1]!thsiFinD("ths_adjustment_nv_fund",P$3,$A484))</f>
        <v/>
      </c>
      <c r="Q484" s="13" t="str">
        <f>IF($A484="","",[1]!thsiFinD("ths_adjustment_nv_fund",Q$3,$A484))</f>
        <v/>
      </c>
      <c r="R484" s="13" t="str">
        <f>IF($A484="","",[1]!thsiFinD("ths_adjustment_nv_fund",R$3,$A484))</f>
        <v/>
      </c>
      <c r="S484" s="13" t="str">
        <f>IF($A484="","",[1]!thsiFinD("ths_adjustment_nv_fund",S$3,$A484))</f>
        <v/>
      </c>
      <c r="T484" s="13" t="str">
        <f>IF($A484="","",[1]!thsiFinD("ths_adjustment_nv_fund",T$3,$A484))</f>
        <v/>
      </c>
      <c r="U484" s="13" t="str">
        <f>IF($A484="","",[1]!thsiFinD("ths_adjustment_nv_fund",U$3,$A484))</f>
        <v/>
      </c>
      <c r="V484" s="13" t="str">
        <f>IF($A484="","",[1]!thsiFinD("ths_adjustment_nv_fund",V$3,$A484))</f>
        <v/>
      </c>
      <c r="W484" s="13" t="str">
        <f>IF($A484="","",[1]!thsiFinD("ths_adjustment_nv_fund",W$3,$A484))</f>
        <v/>
      </c>
      <c r="X484" s="13" t="str">
        <f>IF($A484="","",[1]!thsiFinD("ths_adjustment_nv_fund",X$3,$A484))</f>
        <v/>
      </c>
      <c r="Y484" s="13" t="str">
        <f>IF($A484="","",[1]!thsiFinD("ths_adjustment_nv_fund",Y$3,$A484))</f>
        <v/>
      </c>
      <c r="Z484" s="13" t="str">
        <f>IF($A484="","",[1]!thsiFinD("ths_adjustment_nv_fund",Z$3,$A484))</f>
        <v/>
      </c>
      <c r="AA484" s="13" t="str">
        <f>IF($A484="","",[1]!thsiFinD("ths_adjustment_nv_fund",AA$3,$A484))</f>
        <v/>
      </c>
      <c r="AB484" s="13">
        <f>IF($A484="","",[1]!thsiFinD("ths_adjustment_nv_fund",AB$3,$A484))</f>
        <v/>
      </c>
      <c r="AC484" s="13">
        <f>IF($A484="","",[1]!thsiFinD("ths_adjustment_nv_fund",AC$3,$A484))</f>
        <v/>
      </c>
      <c r="AD484" s="13">
        <f>IF($A484="","",[1]!thsiFinD("ths_adjustment_nv_fund",AD$3,$A484))</f>
        <v/>
      </c>
      <c r="AE484" s="13">
        <f>IF($A484="","",[1]!thsiFinD("ths_adjustment_nv_fund",AE$3,$A484))</f>
        <v/>
      </c>
      <c r="AF484" s="13">
        <f>IF($A484="","",[1]!thsiFinD("ths_adjustment_nv_fund",AF$3,$A484))</f>
        <v/>
      </c>
      <c r="AG484" s="13">
        <f>IF($A484="","",[1]!thsiFinD("ths_adjustment_nv_fund",AG$3,$A484))</f>
        <v/>
      </c>
      <c r="AH484" s="13">
        <f>IF($A484="","",[1]!thsiFinD("ths_adjustment_nv_fund",AH$3,$A484))</f>
        <v/>
      </c>
      <c r="AI484" s="13">
        <f>IF($A484="","",[1]!thsiFinD("ths_adjustment_nv_fund",AI$3,$A484))</f>
        <v/>
      </c>
      <c r="AJ484" s="13">
        <f>IF($A484="","",[1]!thsiFinD("ths_adjustment_nv_fund",AJ$3,$A484))</f>
        <v/>
      </c>
      <c r="AK484" s="13">
        <f>IF($A484="","",[1]!thsiFinD("ths_adjustment_nv_fund",AK$3,$A484))</f>
        <v/>
      </c>
      <c r="AL484" s="13">
        <f>IF($A484="","",[1]!thsiFinD("ths_adjustment_nv_fund",AL$3,$A484))</f>
        <v/>
      </c>
    </row>
    <row r="485" spans="2:28">
      <c r="B485" s="13" t="str">
        <f>IF($A485="","",[1]!thsiFinD("ths_adjustment_nv_fund",B$3,$A485))</f>
        <v/>
      </c>
      <c r="C485" s="13" t="str">
        <f>IF($A485="","",[1]!thsiFinD("ths_adjustment_nv_fund",C$3,$A485))</f>
        <v/>
      </c>
      <c r="D485" s="13" t="str">
        <f>IF($A485="","",[1]!thsiFinD("ths_adjustment_nv_fund",D$3,$A485))</f>
        <v/>
      </c>
      <c r="E485" s="13" t="str">
        <f>IF($A485="","",[1]!thsiFinD("ths_adjustment_nv_fund",E$3,$A485))</f>
        <v/>
      </c>
      <c r="F485" s="13" t="str">
        <f>IF($A485="","",[1]!thsiFinD("ths_adjustment_nv_fund",F$3,$A485))</f>
        <v/>
      </c>
      <c r="G485" s="13" t="str">
        <f>IF($A485="","",[1]!thsiFinD("ths_adjustment_nv_fund",G$3,$A485))</f>
        <v/>
      </c>
      <c r="H485" s="13" t="str">
        <f>IF($A485="","",[1]!thsiFinD("ths_adjustment_nv_fund",H$3,$A485))</f>
        <v/>
      </c>
      <c r="I485" s="13" t="str">
        <f>IF($A485="","",[1]!thsiFinD("ths_adjustment_nv_fund",I$3,$A485))</f>
        <v/>
      </c>
      <c r="J485" s="13" t="str">
        <f>IF($A485="","",[1]!thsiFinD("ths_adjustment_nv_fund",J$3,$A485))</f>
        <v/>
      </c>
      <c r="K485" s="13" t="str">
        <f>IF($A485="","",[1]!thsiFinD("ths_adjustment_nv_fund",K$3,$A485))</f>
        <v/>
      </c>
      <c r="L485" s="13" t="str">
        <f>IF($A485="","",[1]!thsiFinD("ths_adjustment_nv_fund",L$3,$A485))</f>
        <v/>
      </c>
      <c r="M485" s="13" t="str">
        <f>IF($A485="","",[1]!thsiFinD("ths_adjustment_nv_fund",M$3,$A485))</f>
        <v/>
      </c>
      <c r="N485" s="13" t="str">
        <f>IF($A485="","",[1]!thsiFinD("ths_adjustment_nv_fund",N$3,$A485))</f>
        <v/>
      </c>
      <c r="O485" s="13" t="str">
        <f>IF($A485="","",[1]!thsiFinD("ths_adjustment_nv_fund",O$3,$A485))</f>
        <v/>
      </c>
      <c r="P485" s="13" t="str">
        <f>IF($A485="","",[1]!thsiFinD("ths_adjustment_nv_fund",P$3,$A485))</f>
        <v/>
      </c>
      <c r="Q485" s="13" t="str">
        <f>IF($A485="","",[1]!thsiFinD("ths_adjustment_nv_fund",Q$3,$A485))</f>
        <v/>
      </c>
      <c r="R485" s="13" t="str">
        <f>IF($A485="","",[1]!thsiFinD("ths_adjustment_nv_fund",R$3,$A485))</f>
        <v/>
      </c>
      <c r="S485" s="13" t="str">
        <f>IF($A485="","",[1]!thsiFinD("ths_adjustment_nv_fund",S$3,$A485))</f>
        <v/>
      </c>
      <c r="T485" s="13" t="str">
        <f>IF($A485="","",[1]!thsiFinD("ths_adjustment_nv_fund",T$3,$A485))</f>
        <v/>
      </c>
      <c r="U485" s="13" t="str">
        <f>IF($A485="","",[1]!thsiFinD("ths_adjustment_nv_fund",U$3,$A485))</f>
        <v/>
      </c>
      <c r="V485" s="13" t="str">
        <f>IF($A485="","",[1]!thsiFinD("ths_adjustment_nv_fund",V$3,$A485))</f>
        <v/>
      </c>
      <c r="W485" s="13" t="str">
        <f>IF($A485="","",[1]!thsiFinD("ths_adjustment_nv_fund",W$3,$A485))</f>
        <v/>
      </c>
      <c r="X485" s="13" t="str">
        <f>IF($A485="","",[1]!thsiFinD("ths_adjustment_nv_fund",X$3,$A485))</f>
        <v/>
      </c>
      <c r="Y485" s="13" t="str">
        <f>IF($A485="","",[1]!thsiFinD("ths_adjustment_nv_fund",Y$3,$A485))</f>
        <v/>
      </c>
      <c r="Z485" s="13" t="str">
        <f>IF($A485="","",[1]!thsiFinD("ths_adjustment_nv_fund",Z$3,$A485))</f>
        <v/>
      </c>
      <c r="AA485" s="13" t="str">
        <f>IF($A485="","",[1]!thsiFinD("ths_adjustment_nv_fund",AA$3,$A485))</f>
        <v/>
      </c>
      <c r="AB485" s="13">
        <f>IF($A485="","",[1]!thsiFinD("ths_adjustment_nv_fund",AB$3,$A485))</f>
        <v/>
      </c>
      <c r="AC485" s="13">
        <f>IF($A485="","",[1]!thsiFinD("ths_adjustment_nv_fund",AC$3,$A485))</f>
        <v/>
      </c>
      <c r="AD485" s="13">
        <f>IF($A485="","",[1]!thsiFinD("ths_adjustment_nv_fund",AD$3,$A485))</f>
        <v/>
      </c>
      <c r="AE485" s="13">
        <f>IF($A485="","",[1]!thsiFinD("ths_adjustment_nv_fund",AE$3,$A485))</f>
        <v/>
      </c>
      <c r="AF485" s="13">
        <f>IF($A485="","",[1]!thsiFinD("ths_adjustment_nv_fund",AF$3,$A485))</f>
        <v/>
      </c>
      <c r="AG485" s="13">
        <f>IF($A485="","",[1]!thsiFinD("ths_adjustment_nv_fund",AG$3,$A485))</f>
        <v/>
      </c>
      <c r="AH485" s="13">
        <f>IF($A485="","",[1]!thsiFinD("ths_adjustment_nv_fund",AH$3,$A485))</f>
        <v/>
      </c>
      <c r="AI485" s="13">
        <f>IF($A485="","",[1]!thsiFinD("ths_adjustment_nv_fund",AI$3,$A485))</f>
        <v/>
      </c>
      <c r="AJ485" s="13">
        <f>IF($A485="","",[1]!thsiFinD("ths_adjustment_nv_fund",AJ$3,$A485))</f>
        <v/>
      </c>
      <c r="AK485" s="13">
        <f>IF($A485="","",[1]!thsiFinD("ths_adjustment_nv_fund",AK$3,$A485))</f>
        <v/>
      </c>
      <c r="AL485" s="13">
        <f>IF($A485="","",[1]!thsiFinD("ths_adjustment_nv_fund",AL$3,$A485))</f>
        <v/>
      </c>
    </row>
    <row r="486" spans="2:28">
      <c r="B486" s="13" t="str">
        <f>IF($A486="","",[1]!thsiFinD("ths_adjustment_nv_fund",B$3,$A486))</f>
        <v/>
      </c>
      <c r="C486" s="13" t="str">
        <f>IF($A486="","",[1]!thsiFinD("ths_adjustment_nv_fund",C$3,$A486))</f>
        <v/>
      </c>
      <c r="D486" s="13" t="str">
        <f>IF($A486="","",[1]!thsiFinD("ths_adjustment_nv_fund",D$3,$A486))</f>
        <v/>
      </c>
      <c r="E486" s="13" t="str">
        <f>IF($A486="","",[1]!thsiFinD("ths_adjustment_nv_fund",E$3,$A486))</f>
        <v/>
      </c>
      <c r="F486" s="13" t="str">
        <f>IF($A486="","",[1]!thsiFinD("ths_adjustment_nv_fund",F$3,$A486))</f>
        <v/>
      </c>
      <c r="G486" s="13" t="str">
        <f>IF($A486="","",[1]!thsiFinD("ths_adjustment_nv_fund",G$3,$A486))</f>
        <v/>
      </c>
      <c r="H486" s="13" t="str">
        <f>IF($A486="","",[1]!thsiFinD("ths_adjustment_nv_fund",H$3,$A486))</f>
        <v/>
      </c>
      <c r="I486" s="13" t="str">
        <f>IF($A486="","",[1]!thsiFinD("ths_adjustment_nv_fund",I$3,$A486))</f>
        <v/>
      </c>
      <c r="J486" s="13" t="str">
        <f>IF($A486="","",[1]!thsiFinD("ths_adjustment_nv_fund",J$3,$A486))</f>
        <v/>
      </c>
      <c r="K486" s="13" t="str">
        <f>IF($A486="","",[1]!thsiFinD("ths_adjustment_nv_fund",K$3,$A486))</f>
        <v/>
      </c>
      <c r="L486" s="13" t="str">
        <f>IF($A486="","",[1]!thsiFinD("ths_adjustment_nv_fund",L$3,$A486))</f>
        <v/>
      </c>
      <c r="M486" s="13" t="str">
        <f>IF($A486="","",[1]!thsiFinD("ths_adjustment_nv_fund",M$3,$A486))</f>
        <v/>
      </c>
      <c r="N486" s="13" t="str">
        <f>IF($A486="","",[1]!thsiFinD("ths_adjustment_nv_fund",N$3,$A486))</f>
        <v/>
      </c>
      <c r="O486" s="13" t="str">
        <f>IF($A486="","",[1]!thsiFinD("ths_adjustment_nv_fund",O$3,$A486))</f>
        <v/>
      </c>
      <c r="P486" s="13" t="str">
        <f>IF($A486="","",[1]!thsiFinD("ths_adjustment_nv_fund",P$3,$A486))</f>
        <v/>
      </c>
      <c r="Q486" s="13" t="str">
        <f>IF($A486="","",[1]!thsiFinD("ths_adjustment_nv_fund",Q$3,$A486))</f>
        <v/>
      </c>
      <c r="R486" s="13" t="str">
        <f>IF($A486="","",[1]!thsiFinD("ths_adjustment_nv_fund",R$3,$A486))</f>
        <v/>
      </c>
      <c r="S486" s="13" t="str">
        <f>IF($A486="","",[1]!thsiFinD("ths_adjustment_nv_fund",S$3,$A486))</f>
        <v/>
      </c>
      <c r="T486" s="13" t="str">
        <f>IF($A486="","",[1]!thsiFinD("ths_adjustment_nv_fund",T$3,$A486))</f>
        <v/>
      </c>
      <c r="U486" s="13" t="str">
        <f>IF($A486="","",[1]!thsiFinD("ths_adjustment_nv_fund",U$3,$A486))</f>
        <v/>
      </c>
      <c r="V486" s="13" t="str">
        <f>IF($A486="","",[1]!thsiFinD("ths_adjustment_nv_fund",V$3,$A486))</f>
        <v/>
      </c>
      <c r="W486" s="13" t="str">
        <f>IF($A486="","",[1]!thsiFinD("ths_adjustment_nv_fund",W$3,$A486))</f>
        <v/>
      </c>
      <c r="X486" s="13" t="str">
        <f>IF($A486="","",[1]!thsiFinD("ths_adjustment_nv_fund",X$3,$A486))</f>
        <v/>
      </c>
      <c r="Y486" s="13" t="str">
        <f>IF($A486="","",[1]!thsiFinD("ths_adjustment_nv_fund",Y$3,$A486))</f>
        <v/>
      </c>
      <c r="Z486" s="13" t="str">
        <f>IF($A486="","",[1]!thsiFinD("ths_adjustment_nv_fund",Z$3,$A486))</f>
        <v/>
      </c>
      <c r="AA486" s="13" t="str">
        <f>IF($A486="","",[1]!thsiFinD("ths_adjustment_nv_fund",AA$3,$A486))</f>
        <v/>
      </c>
      <c r="AB486" s="13">
        <f>IF($A486="","",[1]!thsiFinD("ths_adjustment_nv_fund",AB$3,$A486))</f>
        <v/>
      </c>
      <c r="AC486" s="13">
        <f>IF($A486="","",[1]!thsiFinD("ths_adjustment_nv_fund",AC$3,$A486))</f>
        <v/>
      </c>
      <c r="AD486" s="13">
        <f>IF($A486="","",[1]!thsiFinD("ths_adjustment_nv_fund",AD$3,$A486))</f>
        <v/>
      </c>
      <c r="AE486" s="13">
        <f>IF($A486="","",[1]!thsiFinD("ths_adjustment_nv_fund",AE$3,$A486))</f>
        <v/>
      </c>
      <c r="AF486" s="13">
        <f>IF($A486="","",[1]!thsiFinD("ths_adjustment_nv_fund",AF$3,$A486))</f>
        <v/>
      </c>
      <c r="AG486" s="13">
        <f>IF($A486="","",[1]!thsiFinD("ths_adjustment_nv_fund",AG$3,$A486))</f>
        <v/>
      </c>
      <c r="AH486" s="13">
        <f>IF($A486="","",[1]!thsiFinD("ths_adjustment_nv_fund",AH$3,$A486))</f>
        <v/>
      </c>
      <c r="AI486" s="13">
        <f>IF($A486="","",[1]!thsiFinD("ths_adjustment_nv_fund",AI$3,$A486))</f>
        <v/>
      </c>
      <c r="AJ486" s="13">
        <f>IF($A486="","",[1]!thsiFinD("ths_adjustment_nv_fund",AJ$3,$A486))</f>
        <v/>
      </c>
      <c r="AK486" s="13">
        <f>IF($A486="","",[1]!thsiFinD("ths_adjustment_nv_fund",AK$3,$A486))</f>
        <v/>
      </c>
      <c r="AL486" s="13">
        <f>IF($A486="","",[1]!thsiFinD("ths_adjustment_nv_fund",AL$3,$A486))</f>
        <v/>
      </c>
    </row>
    <row r="487" spans="2:28">
      <c r="B487" s="13" t="str">
        <f>IF($A487="","",[1]!thsiFinD("ths_adjustment_nv_fund",B$3,$A487))</f>
        <v/>
      </c>
      <c r="C487" s="13" t="str">
        <f>IF($A487="","",[1]!thsiFinD("ths_adjustment_nv_fund",C$3,$A487))</f>
        <v/>
      </c>
      <c r="D487" s="13" t="str">
        <f>IF($A487="","",[1]!thsiFinD("ths_adjustment_nv_fund",D$3,$A487))</f>
        <v/>
      </c>
      <c r="E487" s="13" t="str">
        <f>IF($A487="","",[1]!thsiFinD("ths_adjustment_nv_fund",E$3,$A487))</f>
        <v/>
      </c>
      <c r="F487" s="13" t="str">
        <f>IF($A487="","",[1]!thsiFinD("ths_adjustment_nv_fund",F$3,$A487))</f>
        <v/>
      </c>
      <c r="G487" s="13" t="str">
        <f>IF($A487="","",[1]!thsiFinD("ths_adjustment_nv_fund",G$3,$A487))</f>
        <v/>
      </c>
      <c r="H487" s="13" t="str">
        <f>IF($A487="","",[1]!thsiFinD("ths_adjustment_nv_fund",H$3,$A487))</f>
        <v/>
      </c>
      <c r="I487" s="13" t="str">
        <f>IF($A487="","",[1]!thsiFinD("ths_adjustment_nv_fund",I$3,$A487))</f>
        <v/>
      </c>
      <c r="J487" s="13" t="str">
        <f>IF($A487="","",[1]!thsiFinD("ths_adjustment_nv_fund",J$3,$A487))</f>
        <v/>
      </c>
      <c r="K487" s="13" t="str">
        <f>IF($A487="","",[1]!thsiFinD("ths_adjustment_nv_fund",K$3,$A487))</f>
        <v/>
      </c>
      <c r="L487" s="13" t="str">
        <f>IF($A487="","",[1]!thsiFinD("ths_adjustment_nv_fund",L$3,$A487))</f>
        <v/>
      </c>
      <c r="M487" s="13" t="str">
        <f>IF($A487="","",[1]!thsiFinD("ths_adjustment_nv_fund",M$3,$A487))</f>
        <v/>
      </c>
      <c r="N487" s="13" t="str">
        <f>IF($A487="","",[1]!thsiFinD("ths_adjustment_nv_fund",N$3,$A487))</f>
        <v/>
      </c>
      <c r="O487" s="13" t="str">
        <f>IF($A487="","",[1]!thsiFinD("ths_adjustment_nv_fund",O$3,$A487))</f>
        <v/>
      </c>
      <c r="P487" s="13" t="str">
        <f>IF($A487="","",[1]!thsiFinD("ths_adjustment_nv_fund",P$3,$A487))</f>
        <v/>
      </c>
      <c r="Q487" s="13" t="str">
        <f>IF($A487="","",[1]!thsiFinD("ths_adjustment_nv_fund",Q$3,$A487))</f>
        <v/>
      </c>
      <c r="R487" s="13" t="str">
        <f>IF($A487="","",[1]!thsiFinD("ths_adjustment_nv_fund",R$3,$A487))</f>
        <v/>
      </c>
      <c r="S487" s="13" t="str">
        <f>IF($A487="","",[1]!thsiFinD("ths_adjustment_nv_fund",S$3,$A487))</f>
        <v/>
      </c>
      <c r="T487" s="13" t="str">
        <f>IF($A487="","",[1]!thsiFinD("ths_adjustment_nv_fund",T$3,$A487))</f>
        <v/>
      </c>
      <c r="U487" s="13" t="str">
        <f>IF($A487="","",[1]!thsiFinD("ths_adjustment_nv_fund",U$3,$A487))</f>
        <v/>
      </c>
      <c r="V487" s="13" t="str">
        <f>IF($A487="","",[1]!thsiFinD("ths_adjustment_nv_fund",V$3,$A487))</f>
        <v/>
      </c>
      <c r="W487" s="13" t="str">
        <f>IF($A487="","",[1]!thsiFinD("ths_adjustment_nv_fund",W$3,$A487))</f>
        <v/>
      </c>
      <c r="X487" s="13" t="str">
        <f>IF($A487="","",[1]!thsiFinD("ths_adjustment_nv_fund",X$3,$A487))</f>
        <v/>
      </c>
      <c r="Y487" s="13" t="str">
        <f>IF($A487="","",[1]!thsiFinD("ths_adjustment_nv_fund",Y$3,$A487))</f>
        <v/>
      </c>
      <c r="Z487" s="13" t="str">
        <f>IF($A487="","",[1]!thsiFinD("ths_adjustment_nv_fund",Z$3,$A487))</f>
        <v/>
      </c>
      <c r="AA487" s="13" t="str">
        <f>IF($A487="","",[1]!thsiFinD("ths_adjustment_nv_fund",AA$3,$A487))</f>
        <v/>
      </c>
      <c r="AB487" s="13">
        <f>IF($A487="","",[1]!thsiFinD("ths_adjustment_nv_fund",AB$3,$A487))</f>
        <v/>
      </c>
      <c r="AC487" s="13">
        <f>IF($A487="","",[1]!thsiFinD("ths_adjustment_nv_fund",AC$3,$A487))</f>
        <v/>
      </c>
      <c r="AD487" s="13">
        <f>IF($A487="","",[1]!thsiFinD("ths_adjustment_nv_fund",AD$3,$A487))</f>
        <v/>
      </c>
      <c r="AE487" s="13">
        <f>IF($A487="","",[1]!thsiFinD("ths_adjustment_nv_fund",AE$3,$A487))</f>
        <v/>
      </c>
      <c r="AF487" s="13">
        <f>IF($A487="","",[1]!thsiFinD("ths_adjustment_nv_fund",AF$3,$A487))</f>
        <v/>
      </c>
      <c r="AG487" s="13">
        <f>IF($A487="","",[1]!thsiFinD("ths_adjustment_nv_fund",AG$3,$A487))</f>
        <v/>
      </c>
      <c r="AH487" s="13">
        <f>IF($A487="","",[1]!thsiFinD("ths_adjustment_nv_fund",AH$3,$A487))</f>
        <v/>
      </c>
      <c r="AI487" s="13">
        <f>IF($A487="","",[1]!thsiFinD("ths_adjustment_nv_fund",AI$3,$A487))</f>
        <v/>
      </c>
      <c r="AJ487" s="13">
        <f>IF($A487="","",[1]!thsiFinD("ths_adjustment_nv_fund",AJ$3,$A487))</f>
        <v/>
      </c>
      <c r="AK487" s="13">
        <f>IF($A487="","",[1]!thsiFinD("ths_adjustment_nv_fund",AK$3,$A487))</f>
        <v/>
      </c>
      <c r="AL487" s="13">
        <f>IF($A487="","",[1]!thsiFinD("ths_adjustment_nv_fund",AL$3,$A487))</f>
        <v/>
      </c>
    </row>
    <row r="488" spans="2:28">
      <c r="B488" s="13" t="str">
        <f>IF($A488="","",[1]!thsiFinD("ths_adjustment_nv_fund",B$3,$A488))</f>
        <v/>
      </c>
      <c r="C488" s="13" t="str">
        <f>IF($A488="","",[1]!thsiFinD("ths_adjustment_nv_fund",C$3,$A488))</f>
        <v/>
      </c>
      <c r="D488" s="13" t="str">
        <f>IF($A488="","",[1]!thsiFinD("ths_adjustment_nv_fund",D$3,$A488))</f>
        <v/>
      </c>
      <c r="E488" s="13" t="str">
        <f>IF($A488="","",[1]!thsiFinD("ths_adjustment_nv_fund",E$3,$A488))</f>
        <v/>
      </c>
      <c r="F488" s="13" t="str">
        <f>IF($A488="","",[1]!thsiFinD("ths_adjustment_nv_fund",F$3,$A488))</f>
        <v/>
      </c>
      <c r="G488" s="13" t="str">
        <f>IF($A488="","",[1]!thsiFinD("ths_adjustment_nv_fund",G$3,$A488))</f>
        <v/>
      </c>
      <c r="H488" s="13" t="str">
        <f>IF($A488="","",[1]!thsiFinD("ths_adjustment_nv_fund",H$3,$A488))</f>
        <v/>
      </c>
      <c r="I488" s="13" t="str">
        <f>IF($A488="","",[1]!thsiFinD("ths_adjustment_nv_fund",I$3,$A488))</f>
        <v/>
      </c>
      <c r="J488" s="13" t="str">
        <f>IF($A488="","",[1]!thsiFinD("ths_adjustment_nv_fund",J$3,$A488))</f>
        <v/>
      </c>
      <c r="K488" s="13" t="str">
        <f>IF($A488="","",[1]!thsiFinD("ths_adjustment_nv_fund",K$3,$A488))</f>
        <v/>
      </c>
      <c r="L488" s="13" t="str">
        <f>IF($A488="","",[1]!thsiFinD("ths_adjustment_nv_fund",L$3,$A488))</f>
        <v/>
      </c>
      <c r="M488" s="13" t="str">
        <f>IF($A488="","",[1]!thsiFinD("ths_adjustment_nv_fund",M$3,$A488))</f>
        <v/>
      </c>
      <c r="N488" s="13" t="str">
        <f>IF($A488="","",[1]!thsiFinD("ths_adjustment_nv_fund",N$3,$A488))</f>
        <v/>
      </c>
      <c r="O488" s="13" t="str">
        <f>IF($A488="","",[1]!thsiFinD("ths_adjustment_nv_fund",O$3,$A488))</f>
        <v/>
      </c>
      <c r="P488" s="13" t="str">
        <f>IF($A488="","",[1]!thsiFinD("ths_adjustment_nv_fund",P$3,$A488))</f>
        <v/>
      </c>
      <c r="Q488" s="13" t="str">
        <f>IF($A488="","",[1]!thsiFinD("ths_adjustment_nv_fund",Q$3,$A488))</f>
        <v/>
      </c>
      <c r="R488" s="13" t="str">
        <f>IF($A488="","",[1]!thsiFinD("ths_adjustment_nv_fund",R$3,$A488))</f>
        <v/>
      </c>
      <c r="S488" s="13" t="str">
        <f>IF($A488="","",[1]!thsiFinD("ths_adjustment_nv_fund",S$3,$A488))</f>
        <v/>
      </c>
      <c r="T488" s="13" t="str">
        <f>IF($A488="","",[1]!thsiFinD("ths_adjustment_nv_fund",T$3,$A488))</f>
        <v/>
      </c>
      <c r="U488" s="13" t="str">
        <f>IF($A488="","",[1]!thsiFinD("ths_adjustment_nv_fund",U$3,$A488))</f>
        <v/>
      </c>
      <c r="V488" s="13" t="str">
        <f>IF($A488="","",[1]!thsiFinD("ths_adjustment_nv_fund",V$3,$A488))</f>
        <v/>
      </c>
      <c r="W488" s="13" t="str">
        <f>IF($A488="","",[1]!thsiFinD("ths_adjustment_nv_fund",W$3,$A488))</f>
        <v/>
      </c>
      <c r="X488" s="13" t="str">
        <f>IF($A488="","",[1]!thsiFinD("ths_adjustment_nv_fund",X$3,$A488))</f>
        <v/>
      </c>
      <c r="Y488" s="13" t="str">
        <f>IF($A488="","",[1]!thsiFinD("ths_adjustment_nv_fund",Y$3,$A488))</f>
        <v/>
      </c>
      <c r="Z488" s="13" t="str">
        <f>IF($A488="","",[1]!thsiFinD("ths_adjustment_nv_fund",Z$3,$A488))</f>
        <v/>
      </c>
      <c r="AA488" s="13" t="str">
        <f>IF($A488="","",[1]!thsiFinD("ths_adjustment_nv_fund",AA$3,$A488))</f>
        <v/>
      </c>
      <c r="AB488" s="13">
        <f>IF($A488="","",[1]!thsiFinD("ths_adjustment_nv_fund",AB$3,$A488))</f>
        <v/>
      </c>
      <c r="AC488" s="13">
        <f>IF($A488="","",[1]!thsiFinD("ths_adjustment_nv_fund",AC$3,$A488))</f>
        <v/>
      </c>
      <c r="AD488" s="13">
        <f>IF($A488="","",[1]!thsiFinD("ths_adjustment_nv_fund",AD$3,$A488))</f>
        <v/>
      </c>
      <c r="AE488" s="13">
        <f>IF($A488="","",[1]!thsiFinD("ths_adjustment_nv_fund",AE$3,$A488))</f>
        <v/>
      </c>
      <c r="AF488" s="13">
        <f>IF($A488="","",[1]!thsiFinD("ths_adjustment_nv_fund",AF$3,$A488))</f>
        <v/>
      </c>
      <c r="AG488" s="13">
        <f>IF($A488="","",[1]!thsiFinD("ths_adjustment_nv_fund",AG$3,$A488))</f>
        <v/>
      </c>
      <c r="AH488" s="13">
        <f>IF($A488="","",[1]!thsiFinD("ths_adjustment_nv_fund",AH$3,$A488))</f>
        <v/>
      </c>
      <c r="AI488" s="13">
        <f>IF($A488="","",[1]!thsiFinD("ths_adjustment_nv_fund",AI$3,$A488))</f>
        <v/>
      </c>
      <c r="AJ488" s="13">
        <f>IF($A488="","",[1]!thsiFinD("ths_adjustment_nv_fund",AJ$3,$A488))</f>
        <v/>
      </c>
      <c r="AK488" s="13">
        <f>IF($A488="","",[1]!thsiFinD("ths_adjustment_nv_fund",AK$3,$A488))</f>
        <v/>
      </c>
      <c r="AL488" s="13">
        <f>IF($A488="","",[1]!thsiFinD("ths_adjustment_nv_fund",AL$3,$A488))</f>
        <v/>
      </c>
    </row>
    <row r="489" spans="2:28">
      <c r="B489" s="13" t="str">
        <f>IF($A489="","",[1]!thsiFinD("ths_adjustment_nv_fund",B$3,$A489))</f>
        <v/>
      </c>
      <c r="C489" s="13" t="str">
        <f>IF($A489="","",[1]!thsiFinD("ths_adjustment_nv_fund",C$3,$A489))</f>
        <v/>
      </c>
      <c r="D489" s="13" t="str">
        <f>IF($A489="","",[1]!thsiFinD("ths_adjustment_nv_fund",D$3,$A489))</f>
        <v/>
      </c>
      <c r="E489" s="13" t="str">
        <f>IF($A489="","",[1]!thsiFinD("ths_adjustment_nv_fund",E$3,$A489))</f>
        <v/>
      </c>
      <c r="F489" s="13" t="str">
        <f>IF($A489="","",[1]!thsiFinD("ths_adjustment_nv_fund",F$3,$A489))</f>
        <v/>
      </c>
      <c r="G489" s="13" t="str">
        <f>IF($A489="","",[1]!thsiFinD("ths_adjustment_nv_fund",G$3,$A489))</f>
        <v/>
      </c>
      <c r="H489" s="13" t="str">
        <f>IF($A489="","",[1]!thsiFinD("ths_adjustment_nv_fund",H$3,$A489))</f>
        <v/>
      </c>
      <c r="I489" s="13" t="str">
        <f>IF($A489="","",[1]!thsiFinD("ths_adjustment_nv_fund",I$3,$A489))</f>
        <v/>
      </c>
      <c r="J489" s="13" t="str">
        <f>IF($A489="","",[1]!thsiFinD("ths_adjustment_nv_fund",J$3,$A489))</f>
        <v/>
      </c>
      <c r="K489" s="13" t="str">
        <f>IF($A489="","",[1]!thsiFinD("ths_adjustment_nv_fund",K$3,$A489))</f>
        <v/>
      </c>
      <c r="L489" s="13" t="str">
        <f>IF($A489="","",[1]!thsiFinD("ths_adjustment_nv_fund",L$3,$A489))</f>
        <v/>
      </c>
      <c r="M489" s="13" t="str">
        <f>IF($A489="","",[1]!thsiFinD("ths_adjustment_nv_fund",M$3,$A489))</f>
        <v/>
      </c>
      <c r="N489" s="13" t="str">
        <f>IF($A489="","",[1]!thsiFinD("ths_adjustment_nv_fund",N$3,$A489))</f>
        <v/>
      </c>
      <c r="O489" s="13" t="str">
        <f>IF($A489="","",[1]!thsiFinD("ths_adjustment_nv_fund",O$3,$A489))</f>
        <v/>
      </c>
      <c r="P489" s="13" t="str">
        <f>IF($A489="","",[1]!thsiFinD("ths_adjustment_nv_fund",P$3,$A489))</f>
        <v/>
      </c>
      <c r="Q489" s="13" t="str">
        <f>IF($A489="","",[1]!thsiFinD("ths_adjustment_nv_fund",Q$3,$A489))</f>
        <v/>
      </c>
      <c r="R489" s="13" t="str">
        <f>IF($A489="","",[1]!thsiFinD("ths_adjustment_nv_fund",R$3,$A489))</f>
        <v/>
      </c>
      <c r="S489" s="13" t="str">
        <f>IF($A489="","",[1]!thsiFinD("ths_adjustment_nv_fund",S$3,$A489))</f>
        <v/>
      </c>
      <c r="T489" s="13" t="str">
        <f>IF($A489="","",[1]!thsiFinD("ths_adjustment_nv_fund",T$3,$A489))</f>
        <v/>
      </c>
      <c r="U489" s="13" t="str">
        <f>IF($A489="","",[1]!thsiFinD("ths_adjustment_nv_fund",U$3,$A489))</f>
        <v/>
      </c>
      <c r="V489" s="13" t="str">
        <f>IF($A489="","",[1]!thsiFinD("ths_adjustment_nv_fund",V$3,$A489))</f>
        <v/>
      </c>
      <c r="W489" s="13" t="str">
        <f>IF($A489="","",[1]!thsiFinD("ths_adjustment_nv_fund",W$3,$A489))</f>
        <v/>
      </c>
      <c r="X489" s="13" t="str">
        <f>IF($A489="","",[1]!thsiFinD("ths_adjustment_nv_fund",X$3,$A489))</f>
        <v/>
      </c>
      <c r="Y489" s="13" t="str">
        <f>IF($A489="","",[1]!thsiFinD("ths_adjustment_nv_fund",Y$3,$A489))</f>
        <v/>
      </c>
      <c r="Z489" s="13" t="str">
        <f>IF($A489="","",[1]!thsiFinD("ths_adjustment_nv_fund",Z$3,$A489))</f>
        <v/>
      </c>
      <c r="AA489" s="13" t="str">
        <f>IF($A489="","",[1]!thsiFinD("ths_adjustment_nv_fund",AA$3,$A489))</f>
        <v/>
      </c>
      <c r="AB489" s="13">
        <f>IF($A489="","",[1]!thsiFinD("ths_adjustment_nv_fund",AB$3,$A489))</f>
        <v/>
      </c>
      <c r="AC489" s="13">
        <f>IF($A489="","",[1]!thsiFinD("ths_adjustment_nv_fund",AC$3,$A489))</f>
        <v/>
      </c>
      <c r="AD489" s="13">
        <f>IF($A489="","",[1]!thsiFinD("ths_adjustment_nv_fund",AD$3,$A489))</f>
        <v/>
      </c>
      <c r="AE489" s="13">
        <f>IF($A489="","",[1]!thsiFinD("ths_adjustment_nv_fund",AE$3,$A489))</f>
        <v/>
      </c>
      <c r="AF489" s="13">
        <f>IF($A489="","",[1]!thsiFinD("ths_adjustment_nv_fund",AF$3,$A489))</f>
        <v/>
      </c>
      <c r="AG489" s="13">
        <f>IF($A489="","",[1]!thsiFinD("ths_adjustment_nv_fund",AG$3,$A489))</f>
        <v/>
      </c>
      <c r="AH489" s="13">
        <f>IF($A489="","",[1]!thsiFinD("ths_adjustment_nv_fund",AH$3,$A489))</f>
        <v/>
      </c>
      <c r="AI489" s="13">
        <f>IF($A489="","",[1]!thsiFinD("ths_adjustment_nv_fund",AI$3,$A489))</f>
        <v/>
      </c>
      <c r="AJ489" s="13">
        <f>IF($A489="","",[1]!thsiFinD("ths_adjustment_nv_fund",AJ$3,$A489))</f>
        <v/>
      </c>
      <c r="AK489" s="13">
        <f>IF($A489="","",[1]!thsiFinD("ths_adjustment_nv_fund",AK$3,$A489))</f>
        <v/>
      </c>
      <c r="AL489" s="13">
        <f>IF($A489="","",[1]!thsiFinD("ths_adjustment_nv_fund",AL$3,$A489))</f>
        <v/>
      </c>
    </row>
    <row r="490" spans="2:28">
      <c r="B490" s="13" t="str">
        <f>IF($A490="","",[1]!thsiFinD("ths_adjustment_nv_fund",B$3,$A490))</f>
        <v/>
      </c>
      <c r="C490" s="13" t="str">
        <f>IF($A490="","",[1]!thsiFinD("ths_adjustment_nv_fund",C$3,$A490))</f>
        <v/>
      </c>
      <c r="D490" s="13" t="str">
        <f>IF($A490="","",[1]!thsiFinD("ths_adjustment_nv_fund",D$3,$A490))</f>
        <v/>
      </c>
      <c r="E490" s="13" t="str">
        <f>IF($A490="","",[1]!thsiFinD("ths_adjustment_nv_fund",E$3,$A490))</f>
        <v/>
      </c>
      <c r="F490" s="13" t="str">
        <f>IF($A490="","",[1]!thsiFinD("ths_adjustment_nv_fund",F$3,$A490))</f>
        <v/>
      </c>
      <c r="G490" s="13" t="str">
        <f>IF($A490="","",[1]!thsiFinD("ths_adjustment_nv_fund",G$3,$A490))</f>
        <v/>
      </c>
      <c r="H490" s="13" t="str">
        <f>IF($A490="","",[1]!thsiFinD("ths_adjustment_nv_fund",H$3,$A490))</f>
        <v/>
      </c>
      <c r="I490" s="13" t="str">
        <f>IF($A490="","",[1]!thsiFinD("ths_adjustment_nv_fund",I$3,$A490))</f>
        <v/>
      </c>
      <c r="J490" s="13" t="str">
        <f>IF($A490="","",[1]!thsiFinD("ths_adjustment_nv_fund",J$3,$A490))</f>
        <v/>
      </c>
      <c r="K490" s="13" t="str">
        <f>IF($A490="","",[1]!thsiFinD("ths_adjustment_nv_fund",K$3,$A490))</f>
        <v/>
      </c>
      <c r="L490" s="13" t="str">
        <f>IF($A490="","",[1]!thsiFinD("ths_adjustment_nv_fund",L$3,$A490))</f>
        <v/>
      </c>
      <c r="M490" s="13" t="str">
        <f>IF($A490="","",[1]!thsiFinD("ths_adjustment_nv_fund",M$3,$A490))</f>
        <v/>
      </c>
      <c r="N490" s="13" t="str">
        <f>IF($A490="","",[1]!thsiFinD("ths_adjustment_nv_fund",N$3,$A490))</f>
        <v/>
      </c>
      <c r="O490" s="13" t="str">
        <f>IF($A490="","",[1]!thsiFinD("ths_adjustment_nv_fund",O$3,$A490))</f>
        <v/>
      </c>
      <c r="P490" s="13" t="str">
        <f>IF($A490="","",[1]!thsiFinD("ths_adjustment_nv_fund",P$3,$A490))</f>
        <v/>
      </c>
      <c r="Q490" s="13" t="str">
        <f>IF($A490="","",[1]!thsiFinD("ths_adjustment_nv_fund",Q$3,$A490))</f>
        <v/>
      </c>
      <c r="R490" s="13" t="str">
        <f>IF($A490="","",[1]!thsiFinD("ths_adjustment_nv_fund",R$3,$A490))</f>
        <v/>
      </c>
      <c r="S490" s="13" t="str">
        <f>IF($A490="","",[1]!thsiFinD("ths_adjustment_nv_fund",S$3,$A490))</f>
        <v/>
      </c>
      <c r="T490" s="13" t="str">
        <f>IF($A490="","",[1]!thsiFinD("ths_adjustment_nv_fund",T$3,$A490))</f>
        <v/>
      </c>
      <c r="U490" s="13" t="str">
        <f>IF($A490="","",[1]!thsiFinD("ths_adjustment_nv_fund",U$3,$A490))</f>
        <v/>
      </c>
      <c r="V490" s="13" t="str">
        <f>IF($A490="","",[1]!thsiFinD("ths_adjustment_nv_fund",V$3,$A490))</f>
        <v/>
      </c>
      <c r="W490" s="13" t="str">
        <f>IF($A490="","",[1]!thsiFinD("ths_adjustment_nv_fund",W$3,$A490))</f>
        <v/>
      </c>
      <c r="X490" s="13" t="str">
        <f>IF($A490="","",[1]!thsiFinD("ths_adjustment_nv_fund",X$3,$A490))</f>
        <v/>
      </c>
      <c r="Y490" s="13" t="str">
        <f>IF($A490="","",[1]!thsiFinD("ths_adjustment_nv_fund",Y$3,$A490))</f>
        <v/>
      </c>
      <c r="Z490" s="13" t="str">
        <f>IF($A490="","",[1]!thsiFinD("ths_adjustment_nv_fund",Z$3,$A490))</f>
        <v/>
      </c>
      <c r="AA490" s="13" t="str">
        <f>IF($A490="","",[1]!thsiFinD("ths_adjustment_nv_fund",AA$3,$A490))</f>
        <v/>
      </c>
      <c r="AB490" s="13">
        <f>IF($A490="","",[1]!thsiFinD("ths_adjustment_nv_fund",AB$3,$A490))</f>
        <v/>
      </c>
      <c r="AC490" s="13">
        <f>IF($A490="","",[1]!thsiFinD("ths_adjustment_nv_fund",AC$3,$A490))</f>
        <v/>
      </c>
      <c r="AD490" s="13">
        <f>IF($A490="","",[1]!thsiFinD("ths_adjustment_nv_fund",AD$3,$A490))</f>
        <v/>
      </c>
      <c r="AE490" s="13">
        <f>IF($A490="","",[1]!thsiFinD("ths_adjustment_nv_fund",AE$3,$A490))</f>
        <v/>
      </c>
      <c r="AF490" s="13">
        <f>IF($A490="","",[1]!thsiFinD("ths_adjustment_nv_fund",AF$3,$A490))</f>
        <v/>
      </c>
      <c r="AG490" s="13">
        <f>IF($A490="","",[1]!thsiFinD("ths_adjustment_nv_fund",AG$3,$A490))</f>
        <v/>
      </c>
      <c r="AH490" s="13">
        <f>IF($A490="","",[1]!thsiFinD("ths_adjustment_nv_fund",AH$3,$A490))</f>
        <v/>
      </c>
      <c r="AI490" s="13">
        <f>IF($A490="","",[1]!thsiFinD("ths_adjustment_nv_fund",AI$3,$A490))</f>
        <v/>
      </c>
      <c r="AJ490" s="13">
        <f>IF($A490="","",[1]!thsiFinD("ths_adjustment_nv_fund",AJ$3,$A490))</f>
        <v/>
      </c>
      <c r="AK490" s="13">
        <f>IF($A490="","",[1]!thsiFinD("ths_adjustment_nv_fund",AK$3,$A490))</f>
        <v/>
      </c>
      <c r="AL490" s="13">
        <f>IF($A490="","",[1]!thsiFinD("ths_adjustment_nv_fund",AL$3,$A490))</f>
        <v/>
      </c>
    </row>
    <row r="491" spans="2:28">
      <c r="B491" s="13" t="str">
        <f>IF($A491="","",[1]!thsiFinD("ths_adjustment_nv_fund",B$3,$A491))</f>
        <v/>
      </c>
      <c r="C491" s="13" t="str">
        <f>IF($A491="","",[1]!thsiFinD("ths_adjustment_nv_fund",C$3,$A491))</f>
        <v/>
      </c>
      <c r="D491" s="13" t="str">
        <f>IF($A491="","",[1]!thsiFinD("ths_adjustment_nv_fund",D$3,$A491))</f>
        <v/>
      </c>
      <c r="E491" s="13" t="str">
        <f>IF($A491="","",[1]!thsiFinD("ths_adjustment_nv_fund",E$3,$A491))</f>
        <v/>
      </c>
      <c r="F491" s="13" t="str">
        <f>IF($A491="","",[1]!thsiFinD("ths_adjustment_nv_fund",F$3,$A491))</f>
        <v/>
      </c>
      <c r="G491" s="13" t="str">
        <f>IF($A491="","",[1]!thsiFinD("ths_adjustment_nv_fund",G$3,$A491))</f>
        <v/>
      </c>
      <c r="H491" s="13" t="str">
        <f>IF($A491="","",[1]!thsiFinD("ths_adjustment_nv_fund",H$3,$A491))</f>
        <v/>
      </c>
      <c r="I491" s="13" t="str">
        <f>IF($A491="","",[1]!thsiFinD("ths_adjustment_nv_fund",I$3,$A491))</f>
        <v/>
      </c>
      <c r="J491" s="13" t="str">
        <f>IF($A491="","",[1]!thsiFinD("ths_adjustment_nv_fund",J$3,$A491))</f>
        <v/>
      </c>
      <c r="K491" s="13" t="str">
        <f>IF($A491="","",[1]!thsiFinD("ths_adjustment_nv_fund",K$3,$A491))</f>
        <v/>
      </c>
      <c r="L491" s="13" t="str">
        <f>IF($A491="","",[1]!thsiFinD("ths_adjustment_nv_fund",L$3,$A491))</f>
        <v/>
      </c>
      <c r="M491" s="13" t="str">
        <f>IF($A491="","",[1]!thsiFinD("ths_adjustment_nv_fund",M$3,$A491))</f>
        <v/>
      </c>
      <c r="N491" s="13" t="str">
        <f>IF($A491="","",[1]!thsiFinD("ths_adjustment_nv_fund",N$3,$A491))</f>
        <v/>
      </c>
      <c r="O491" s="13" t="str">
        <f>IF($A491="","",[1]!thsiFinD("ths_adjustment_nv_fund",O$3,$A491))</f>
        <v/>
      </c>
      <c r="P491" s="13" t="str">
        <f>IF($A491="","",[1]!thsiFinD("ths_adjustment_nv_fund",P$3,$A491))</f>
        <v/>
      </c>
      <c r="Q491" s="13" t="str">
        <f>IF($A491="","",[1]!thsiFinD("ths_adjustment_nv_fund",Q$3,$A491))</f>
        <v/>
      </c>
      <c r="R491" s="13" t="str">
        <f>IF($A491="","",[1]!thsiFinD("ths_adjustment_nv_fund",R$3,$A491))</f>
        <v/>
      </c>
      <c r="S491" s="13" t="str">
        <f>IF($A491="","",[1]!thsiFinD("ths_adjustment_nv_fund",S$3,$A491))</f>
        <v/>
      </c>
      <c r="T491" s="13" t="str">
        <f>IF($A491="","",[1]!thsiFinD("ths_adjustment_nv_fund",T$3,$A491))</f>
        <v/>
      </c>
      <c r="U491" s="13" t="str">
        <f>IF($A491="","",[1]!thsiFinD("ths_adjustment_nv_fund",U$3,$A491))</f>
        <v/>
      </c>
      <c r="V491" s="13" t="str">
        <f>IF($A491="","",[1]!thsiFinD("ths_adjustment_nv_fund",V$3,$A491))</f>
        <v/>
      </c>
      <c r="W491" s="13" t="str">
        <f>IF($A491="","",[1]!thsiFinD("ths_adjustment_nv_fund",W$3,$A491))</f>
        <v/>
      </c>
      <c r="X491" s="13" t="str">
        <f>IF($A491="","",[1]!thsiFinD("ths_adjustment_nv_fund",X$3,$A491))</f>
        <v/>
      </c>
      <c r="Y491" s="13" t="str">
        <f>IF($A491="","",[1]!thsiFinD("ths_adjustment_nv_fund",Y$3,$A491))</f>
        <v/>
      </c>
      <c r="Z491" s="13" t="str">
        <f>IF($A491="","",[1]!thsiFinD("ths_adjustment_nv_fund",Z$3,$A491))</f>
        <v/>
      </c>
      <c r="AA491" s="13" t="str">
        <f>IF($A491="","",[1]!thsiFinD("ths_adjustment_nv_fund",AA$3,$A491))</f>
        <v/>
      </c>
      <c r="AB491" s="13">
        <f>IF($A491="","",[1]!thsiFinD("ths_adjustment_nv_fund",AB$3,$A491))</f>
        <v/>
      </c>
      <c r="AC491" s="13">
        <f>IF($A491="","",[1]!thsiFinD("ths_adjustment_nv_fund",AC$3,$A491))</f>
        <v/>
      </c>
      <c r="AD491" s="13">
        <f>IF($A491="","",[1]!thsiFinD("ths_adjustment_nv_fund",AD$3,$A491))</f>
        <v/>
      </c>
      <c r="AE491" s="13">
        <f>IF($A491="","",[1]!thsiFinD("ths_adjustment_nv_fund",AE$3,$A491))</f>
        <v/>
      </c>
      <c r="AF491" s="13">
        <f>IF($A491="","",[1]!thsiFinD("ths_adjustment_nv_fund",AF$3,$A491))</f>
        <v/>
      </c>
      <c r="AG491" s="13">
        <f>IF($A491="","",[1]!thsiFinD("ths_adjustment_nv_fund",AG$3,$A491))</f>
        <v/>
      </c>
      <c r="AH491" s="13">
        <f>IF($A491="","",[1]!thsiFinD("ths_adjustment_nv_fund",AH$3,$A491))</f>
        <v/>
      </c>
      <c r="AI491" s="13">
        <f>IF($A491="","",[1]!thsiFinD("ths_adjustment_nv_fund",AI$3,$A491))</f>
        <v/>
      </c>
      <c r="AJ491" s="13">
        <f>IF($A491="","",[1]!thsiFinD("ths_adjustment_nv_fund",AJ$3,$A491))</f>
        <v/>
      </c>
      <c r="AK491" s="13">
        <f>IF($A491="","",[1]!thsiFinD("ths_adjustment_nv_fund",AK$3,$A491))</f>
        <v/>
      </c>
      <c r="AL491" s="13">
        <f>IF($A491="","",[1]!thsiFinD("ths_adjustment_nv_fund",AL$3,$A491))</f>
        <v/>
      </c>
    </row>
    <row r="492" spans="2:28">
      <c r="B492" s="13" t="str">
        <f>IF($A492="","",[1]!thsiFinD("ths_adjustment_nv_fund",B$3,$A492))</f>
        <v/>
      </c>
      <c r="C492" s="13" t="str">
        <f>IF($A492="","",[1]!thsiFinD("ths_adjustment_nv_fund",C$3,$A492))</f>
        <v/>
      </c>
      <c r="D492" s="13" t="str">
        <f>IF($A492="","",[1]!thsiFinD("ths_adjustment_nv_fund",D$3,$A492))</f>
        <v/>
      </c>
      <c r="E492" s="13" t="str">
        <f>IF($A492="","",[1]!thsiFinD("ths_adjustment_nv_fund",E$3,$A492))</f>
        <v/>
      </c>
      <c r="F492" s="13" t="str">
        <f>IF($A492="","",[1]!thsiFinD("ths_adjustment_nv_fund",F$3,$A492))</f>
        <v/>
      </c>
      <c r="G492" s="13" t="str">
        <f>IF($A492="","",[1]!thsiFinD("ths_adjustment_nv_fund",G$3,$A492))</f>
        <v/>
      </c>
      <c r="H492" s="13" t="str">
        <f>IF($A492="","",[1]!thsiFinD("ths_adjustment_nv_fund",H$3,$A492))</f>
        <v/>
      </c>
      <c r="I492" s="13" t="str">
        <f>IF($A492="","",[1]!thsiFinD("ths_adjustment_nv_fund",I$3,$A492))</f>
        <v/>
      </c>
      <c r="J492" s="13" t="str">
        <f>IF($A492="","",[1]!thsiFinD("ths_adjustment_nv_fund",J$3,$A492))</f>
        <v/>
      </c>
      <c r="K492" s="13" t="str">
        <f>IF($A492="","",[1]!thsiFinD("ths_adjustment_nv_fund",K$3,$A492))</f>
        <v/>
      </c>
      <c r="L492" s="13" t="str">
        <f>IF($A492="","",[1]!thsiFinD("ths_adjustment_nv_fund",L$3,$A492))</f>
        <v/>
      </c>
      <c r="M492" s="13" t="str">
        <f>IF($A492="","",[1]!thsiFinD("ths_adjustment_nv_fund",M$3,$A492))</f>
        <v/>
      </c>
      <c r="N492" s="13" t="str">
        <f>IF($A492="","",[1]!thsiFinD("ths_adjustment_nv_fund",N$3,$A492))</f>
        <v/>
      </c>
      <c r="O492" s="13" t="str">
        <f>IF($A492="","",[1]!thsiFinD("ths_adjustment_nv_fund",O$3,$A492))</f>
        <v/>
      </c>
      <c r="P492" s="13" t="str">
        <f>IF($A492="","",[1]!thsiFinD("ths_adjustment_nv_fund",P$3,$A492))</f>
        <v/>
      </c>
      <c r="Q492" s="13" t="str">
        <f>IF($A492="","",[1]!thsiFinD("ths_adjustment_nv_fund",Q$3,$A492))</f>
        <v/>
      </c>
      <c r="R492" s="13" t="str">
        <f>IF($A492="","",[1]!thsiFinD("ths_adjustment_nv_fund",R$3,$A492))</f>
        <v/>
      </c>
      <c r="S492" s="13" t="str">
        <f>IF($A492="","",[1]!thsiFinD("ths_adjustment_nv_fund",S$3,$A492))</f>
        <v/>
      </c>
      <c r="T492" s="13" t="str">
        <f>IF($A492="","",[1]!thsiFinD("ths_adjustment_nv_fund",T$3,$A492))</f>
        <v/>
      </c>
      <c r="U492" s="13" t="str">
        <f>IF($A492="","",[1]!thsiFinD("ths_adjustment_nv_fund",U$3,$A492))</f>
        <v/>
      </c>
      <c r="V492" s="13" t="str">
        <f>IF($A492="","",[1]!thsiFinD("ths_adjustment_nv_fund",V$3,$A492))</f>
        <v/>
      </c>
      <c r="W492" s="13" t="str">
        <f>IF($A492="","",[1]!thsiFinD("ths_adjustment_nv_fund",W$3,$A492))</f>
        <v/>
      </c>
      <c r="X492" s="13" t="str">
        <f>IF($A492="","",[1]!thsiFinD("ths_adjustment_nv_fund",X$3,$A492))</f>
        <v/>
      </c>
      <c r="Y492" s="13" t="str">
        <f>IF($A492="","",[1]!thsiFinD("ths_adjustment_nv_fund",Y$3,$A492))</f>
        <v/>
      </c>
      <c r="Z492" s="13" t="str">
        <f>IF($A492="","",[1]!thsiFinD("ths_adjustment_nv_fund",Z$3,$A492))</f>
        <v/>
      </c>
      <c r="AA492" s="13" t="str">
        <f>IF($A492="","",[1]!thsiFinD("ths_adjustment_nv_fund",AA$3,$A492))</f>
        <v/>
      </c>
      <c r="AB492" s="13">
        <f>IF($A492="","",[1]!thsiFinD("ths_adjustment_nv_fund",AB$3,$A492))</f>
        <v/>
      </c>
      <c r="AC492" s="13">
        <f>IF($A492="","",[1]!thsiFinD("ths_adjustment_nv_fund",AC$3,$A492))</f>
        <v/>
      </c>
      <c r="AD492" s="13">
        <f>IF($A492="","",[1]!thsiFinD("ths_adjustment_nv_fund",AD$3,$A492))</f>
        <v/>
      </c>
      <c r="AE492" s="13">
        <f>IF($A492="","",[1]!thsiFinD("ths_adjustment_nv_fund",AE$3,$A492))</f>
        <v/>
      </c>
      <c r="AF492" s="13">
        <f>IF($A492="","",[1]!thsiFinD("ths_adjustment_nv_fund",AF$3,$A492))</f>
        <v/>
      </c>
      <c r="AG492" s="13">
        <f>IF($A492="","",[1]!thsiFinD("ths_adjustment_nv_fund",AG$3,$A492))</f>
        <v/>
      </c>
      <c r="AH492" s="13">
        <f>IF($A492="","",[1]!thsiFinD("ths_adjustment_nv_fund",AH$3,$A492))</f>
        <v/>
      </c>
      <c r="AI492" s="13">
        <f>IF($A492="","",[1]!thsiFinD("ths_adjustment_nv_fund",AI$3,$A492))</f>
        <v/>
      </c>
      <c r="AJ492" s="13">
        <f>IF($A492="","",[1]!thsiFinD("ths_adjustment_nv_fund",AJ$3,$A492))</f>
        <v/>
      </c>
      <c r="AK492" s="13">
        <f>IF($A492="","",[1]!thsiFinD("ths_adjustment_nv_fund",AK$3,$A492))</f>
        <v/>
      </c>
      <c r="AL492" s="13">
        <f>IF($A492="","",[1]!thsiFinD("ths_adjustment_nv_fund",AL$3,$A492))</f>
        <v/>
      </c>
    </row>
    <row r="493" spans="2:28">
      <c r="B493" s="13" t="str">
        <f>IF($A493="","",[1]!thsiFinD("ths_adjustment_nv_fund",B$3,$A493))</f>
        <v/>
      </c>
      <c r="C493" s="13" t="str">
        <f>IF($A493="","",[1]!thsiFinD("ths_adjustment_nv_fund",C$3,$A493))</f>
        <v/>
      </c>
      <c r="D493" s="13" t="str">
        <f>IF($A493="","",[1]!thsiFinD("ths_adjustment_nv_fund",D$3,$A493))</f>
        <v/>
      </c>
      <c r="E493" s="13" t="str">
        <f>IF($A493="","",[1]!thsiFinD("ths_adjustment_nv_fund",E$3,$A493))</f>
        <v/>
      </c>
      <c r="F493" s="13" t="str">
        <f>IF($A493="","",[1]!thsiFinD("ths_adjustment_nv_fund",F$3,$A493))</f>
        <v/>
      </c>
      <c r="G493" s="13" t="str">
        <f>IF($A493="","",[1]!thsiFinD("ths_adjustment_nv_fund",G$3,$A493))</f>
        <v/>
      </c>
      <c r="H493" s="13" t="str">
        <f>IF($A493="","",[1]!thsiFinD("ths_adjustment_nv_fund",H$3,$A493))</f>
        <v/>
      </c>
      <c r="I493" s="13" t="str">
        <f>IF($A493="","",[1]!thsiFinD("ths_adjustment_nv_fund",I$3,$A493))</f>
        <v/>
      </c>
      <c r="J493" s="13" t="str">
        <f>IF($A493="","",[1]!thsiFinD("ths_adjustment_nv_fund",J$3,$A493))</f>
        <v/>
      </c>
      <c r="K493" s="13" t="str">
        <f>IF($A493="","",[1]!thsiFinD("ths_adjustment_nv_fund",K$3,$A493))</f>
        <v/>
      </c>
      <c r="L493" s="13" t="str">
        <f>IF($A493="","",[1]!thsiFinD("ths_adjustment_nv_fund",L$3,$A493))</f>
        <v/>
      </c>
      <c r="M493" s="13" t="str">
        <f>IF($A493="","",[1]!thsiFinD("ths_adjustment_nv_fund",M$3,$A493))</f>
        <v/>
      </c>
      <c r="N493" s="13" t="str">
        <f>IF($A493="","",[1]!thsiFinD("ths_adjustment_nv_fund",N$3,$A493))</f>
        <v/>
      </c>
      <c r="O493" s="13" t="str">
        <f>IF($A493="","",[1]!thsiFinD("ths_adjustment_nv_fund",O$3,$A493))</f>
        <v/>
      </c>
      <c r="P493" s="13" t="str">
        <f>IF($A493="","",[1]!thsiFinD("ths_adjustment_nv_fund",P$3,$A493))</f>
        <v/>
      </c>
      <c r="Q493" s="13" t="str">
        <f>IF($A493="","",[1]!thsiFinD("ths_adjustment_nv_fund",Q$3,$A493))</f>
        <v/>
      </c>
      <c r="R493" s="13" t="str">
        <f>IF($A493="","",[1]!thsiFinD("ths_adjustment_nv_fund",R$3,$A493))</f>
        <v/>
      </c>
      <c r="S493" s="13" t="str">
        <f>IF($A493="","",[1]!thsiFinD("ths_adjustment_nv_fund",S$3,$A493))</f>
        <v/>
      </c>
      <c r="T493" s="13" t="str">
        <f>IF($A493="","",[1]!thsiFinD("ths_adjustment_nv_fund",T$3,$A493))</f>
        <v/>
      </c>
      <c r="U493" s="13" t="str">
        <f>IF($A493="","",[1]!thsiFinD("ths_adjustment_nv_fund",U$3,$A493))</f>
        <v/>
      </c>
      <c r="V493" s="13" t="str">
        <f>IF($A493="","",[1]!thsiFinD("ths_adjustment_nv_fund",V$3,$A493))</f>
        <v/>
      </c>
      <c r="W493" s="13" t="str">
        <f>IF($A493="","",[1]!thsiFinD("ths_adjustment_nv_fund",W$3,$A493))</f>
        <v/>
      </c>
      <c r="X493" s="13" t="str">
        <f>IF($A493="","",[1]!thsiFinD("ths_adjustment_nv_fund",X$3,$A493))</f>
        <v/>
      </c>
      <c r="Y493" s="13" t="str">
        <f>IF($A493="","",[1]!thsiFinD("ths_adjustment_nv_fund",Y$3,$A493))</f>
        <v/>
      </c>
      <c r="Z493" s="13" t="str">
        <f>IF($A493="","",[1]!thsiFinD("ths_adjustment_nv_fund",Z$3,$A493))</f>
        <v/>
      </c>
      <c r="AA493" s="13" t="str">
        <f>IF($A493="","",[1]!thsiFinD("ths_adjustment_nv_fund",AA$3,$A493))</f>
        <v/>
      </c>
      <c r="AB493" s="13">
        <f>IF($A493="","",[1]!thsiFinD("ths_adjustment_nv_fund",AB$3,$A493))</f>
        <v/>
      </c>
      <c r="AC493" s="13">
        <f>IF($A493="","",[1]!thsiFinD("ths_adjustment_nv_fund",AC$3,$A493))</f>
        <v/>
      </c>
      <c r="AD493" s="13">
        <f>IF($A493="","",[1]!thsiFinD("ths_adjustment_nv_fund",AD$3,$A493))</f>
        <v/>
      </c>
      <c r="AE493" s="13">
        <f>IF($A493="","",[1]!thsiFinD("ths_adjustment_nv_fund",AE$3,$A493))</f>
        <v/>
      </c>
      <c r="AF493" s="13">
        <f>IF($A493="","",[1]!thsiFinD("ths_adjustment_nv_fund",AF$3,$A493))</f>
        <v/>
      </c>
      <c r="AG493" s="13">
        <f>IF($A493="","",[1]!thsiFinD("ths_adjustment_nv_fund",AG$3,$A493))</f>
        <v/>
      </c>
      <c r="AH493" s="13">
        <f>IF($A493="","",[1]!thsiFinD("ths_adjustment_nv_fund",AH$3,$A493))</f>
        <v/>
      </c>
      <c r="AI493" s="13">
        <f>IF($A493="","",[1]!thsiFinD("ths_adjustment_nv_fund",AI$3,$A493))</f>
        <v/>
      </c>
      <c r="AJ493" s="13">
        <f>IF($A493="","",[1]!thsiFinD("ths_adjustment_nv_fund",AJ$3,$A493))</f>
        <v/>
      </c>
      <c r="AK493" s="13">
        <f>IF($A493="","",[1]!thsiFinD("ths_adjustment_nv_fund",AK$3,$A493))</f>
        <v/>
      </c>
      <c r="AL493" s="13">
        <f>IF($A493="","",[1]!thsiFinD("ths_adjustment_nv_fund",AL$3,$A493))</f>
        <v/>
      </c>
    </row>
    <row r="494" spans="2:28">
      <c r="B494" s="13" t="str">
        <f>IF($A494="","",[1]!thsiFinD("ths_adjustment_nv_fund",B$3,$A494))</f>
        <v/>
      </c>
      <c r="C494" s="13" t="str">
        <f>IF($A494="","",[1]!thsiFinD("ths_adjustment_nv_fund",C$3,$A494))</f>
        <v/>
      </c>
      <c r="D494" s="13" t="str">
        <f>IF($A494="","",[1]!thsiFinD("ths_adjustment_nv_fund",D$3,$A494))</f>
        <v/>
      </c>
      <c r="E494" s="13" t="str">
        <f>IF($A494="","",[1]!thsiFinD("ths_adjustment_nv_fund",E$3,$A494))</f>
        <v/>
      </c>
      <c r="F494" s="13" t="str">
        <f>IF($A494="","",[1]!thsiFinD("ths_adjustment_nv_fund",F$3,$A494))</f>
        <v/>
      </c>
      <c r="G494" s="13" t="str">
        <f>IF($A494="","",[1]!thsiFinD("ths_adjustment_nv_fund",G$3,$A494))</f>
        <v/>
      </c>
      <c r="H494" s="13" t="str">
        <f>IF($A494="","",[1]!thsiFinD("ths_adjustment_nv_fund",H$3,$A494))</f>
        <v/>
      </c>
      <c r="I494" s="13" t="str">
        <f>IF($A494="","",[1]!thsiFinD("ths_adjustment_nv_fund",I$3,$A494))</f>
        <v/>
      </c>
      <c r="J494" s="13" t="str">
        <f>IF($A494="","",[1]!thsiFinD("ths_adjustment_nv_fund",J$3,$A494))</f>
        <v/>
      </c>
      <c r="K494" s="13" t="str">
        <f>IF($A494="","",[1]!thsiFinD("ths_adjustment_nv_fund",K$3,$A494))</f>
        <v/>
      </c>
      <c r="L494" s="13" t="str">
        <f>IF($A494="","",[1]!thsiFinD("ths_adjustment_nv_fund",L$3,$A494))</f>
        <v/>
      </c>
      <c r="M494" s="13" t="str">
        <f>IF($A494="","",[1]!thsiFinD("ths_adjustment_nv_fund",M$3,$A494))</f>
        <v/>
      </c>
      <c r="N494" s="13" t="str">
        <f>IF($A494="","",[1]!thsiFinD("ths_adjustment_nv_fund",N$3,$A494))</f>
        <v/>
      </c>
      <c r="O494" s="13" t="str">
        <f>IF($A494="","",[1]!thsiFinD("ths_adjustment_nv_fund",O$3,$A494))</f>
        <v/>
      </c>
      <c r="P494" s="13" t="str">
        <f>IF($A494="","",[1]!thsiFinD("ths_adjustment_nv_fund",P$3,$A494))</f>
        <v/>
      </c>
      <c r="Q494" s="13" t="str">
        <f>IF($A494="","",[1]!thsiFinD("ths_adjustment_nv_fund",Q$3,$A494))</f>
        <v/>
      </c>
      <c r="R494" s="13" t="str">
        <f>IF($A494="","",[1]!thsiFinD("ths_adjustment_nv_fund",R$3,$A494))</f>
        <v/>
      </c>
      <c r="S494" s="13" t="str">
        <f>IF($A494="","",[1]!thsiFinD("ths_adjustment_nv_fund",S$3,$A494))</f>
        <v/>
      </c>
      <c r="T494" s="13" t="str">
        <f>IF($A494="","",[1]!thsiFinD("ths_adjustment_nv_fund",T$3,$A494))</f>
        <v/>
      </c>
      <c r="U494" s="13" t="str">
        <f>IF($A494="","",[1]!thsiFinD("ths_adjustment_nv_fund",U$3,$A494))</f>
        <v/>
      </c>
      <c r="V494" s="13" t="str">
        <f>IF($A494="","",[1]!thsiFinD("ths_adjustment_nv_fund",V$3,$A494))</f>
        <v/>
      </c>
      <c r="W494" s="13" t="str">
        <f>IF($A494="","",[1]!thsiFinD("ths_adjustment_nv_fund",W$3,$A494))</f>
        <v/>
      </c>
      <c r="X494" s="13" t="str">
        <f>IF($A494="","",[1]!thsiFinD("ths_adjustment_nv_fund",X$3,$A494))</f>
        <v/>
      </c>
      <c r="Y494" s="13" t="str">
        <f>IF($A494="","",[1]!thsiFinD("ths_adjustment_nv_fund",Y$3,$A494))</f>
        <v/>
      </c>
      <c r="Z494" s="13" t="str">
        <f>IF($A494="","",[1]!thsiFinD("ths_adjustment_nv_fund",Z$3,$A494))</f>
        <v/>
      </c>
      <c r="AA494" s="13" t="str">
        <f>IF($A494="","",[1]!thsiFinD("ths_adjustment_nv_fund",AA$3,$A494))</f>
        <v/>
      </c>
      <c r="AB494" s="13">
        <f>IF($A494="","",[1]!thsiFinD("ths_adjustment_nv_fund",AB$3,$A494))</f>
        <v/>
      </c>
      <c r="AC494" s="13">
        <f>IF($A494="","",[1]!thsiFinD("ths_adjustment_nv_fund",AC$3,$A494))</f>
        <v/>
      </c>
      <c r="AD494" s="13">
        <f>IF($A494="","",[1]!thsiFinD("ths_adjustment_nv_fund",AD$3,$A494))</f>
        <v/>
      </c>
      <c r="AE494" s="13">
        <f>IF($A494="","",[1]!thsiFinD("ths_adjustment_nv_fund",AE$3,$A494))</f>
        <v/>
      </c>
      <c r="AF494" s="13">
        <f>IF($A494="","",[1]!thsiFinD("ths_adjustment_nv_fund",AF$3,$A494))</f>
        <v/>
      </c>
      <c r="AG494" s="13">
        <f>IF($A494="","",[1]!thsiFinD("ths_adjustment_nv_fund",AG$3,$A494))</f>
        <v/>
      </c>
      <c r="AH494" s="13">
        <f>IF($A494="","",[1]!thsiFinD("ths_adjustment_nv_fund",AH$3,$A494))</f>
        <v/>
      </c>
      <c r="AI494" s="13">
        <f>IF($A494="","",[1]!thsiFinD("ths_adjustment_nv_fund",AI$3,$A494))</f>
        <v/>
      </c>
      <c r="AJ494" s="13">
        <f>IF($A494="","",[1]!thsiFinD("ths_adjustment_nv_fund",AJ$3,$A494))</f>
        <v/>
      </c>
      <c r="AK494" s="13">
        <f>IF($A494="","",[1]!thsiFinD("ths_adjustment_nv_fund",AK$3,$A494))</f>
        <v/>
      </c>
      <c r="AL494" s="13">
        <f>IF($A494="","",[1]!thsiFinD("ths_adjustment_nv_fund",AL$3,$A494))</f>
        <v/>
      </c>
    </row>
    <row r="495" spans="2:28">
      <c r="B495" s="13" t="str">
        <f>IF($A495="","",[1]!thsiFinD("ths_adjustment_nv_fund",B$3,$A495))</f>
        <v/>
      </c>
      <c r="C495" s="13" t="str">
        <f>IF($A495="","",[1]!thsiFinD("ths_adjustment_nv_fund",C$3,$A495))</f>
        <v/>
      </c>
      <c r="D495" s="13" t="str">
        <f>IF($A495="","",[1]!thsiFinD("ths_adjustment_nv_fund",D$3,$A495))</f>
        <v/>
      </c>
      <c r="E495" s="13" t="str">
        <f>IF($A495="","",[1]!thsiFinD("ths_adjustment_nv_fund",E$3,$A495))</f>
        <v/>
      </c>
      <c r="F495" s="13" t="str">
        <f>IF($A495="","",[1]!thsiFinD("ths_adjustment_nv_fund",F$3,$A495))</f>
        <v/>
      </c>
      <c r="G495" s="13" t="str">
        <f>IF($A495="","",[1]!thsiFinD("ths_adjustment_nv_fund",G$3,$A495))</f>
        <v/>
      </c>
      <c r="H495" s="13" t="str">
        <f>IF($A495="","",[1]!thsiFinD("ths_adjustment_nv_fund",H$3,$A495))</f>
        <v/>
      </c>
      <c r="I495" s="13" t="str">
        <f>IF($A495="","",[1]!thsiFinD("ths_adjustment_nv_fund",I$3,$A495))</f>
        <v/>
      </c>
      <c r="J495" s="13" t="str">
        <f>IF($A495="","",[1]!thsiFinD("ths_adjustment_nv_fund",J$3,$A495))</f>
        <v/>
      </c>
      <c r="K495" s="13" t="str">
        <f>IF($A495="","",[1]!thsiFinD("ths_adjustment_nv_fund",K$3,$A495))</f>
        <v/>
      </c>
      <c r="L495" s="13" t="str">
        <f>IF($A495="","",[1]!thsiFinD("ths_adjustment_nv_fund",L$3,$A495))</f>
        <v/>
      </c>
      <c r="M495" s="13" t="str">
        <f>IF($A495="","",[1]!thsiFinD("ths_adjustment_nv_fund",M$3,$A495))</f>
        <v/>
      </c>
      <c r="N495" s="13" t="str">
        <f>IF($A495="","",[1]!thsiFinD("ths_adjustment_nv_fund",N$3,$A495))</f>
        <v/>
      </c>
      <c r="O495" s="13" t="str">
        <f>IF($A495="","",[1]!thsiFinD("ths_adjustment_nv_fund",O$3,$A495))</f>
        <v/>
      </c>
      <c r="P495" s="13" t="str">
        <f>IF($A495="","",[1]!thsiFinD("ths_adjustment_nv_fund",P$3,$A495))</f>
        <v/>
      </c>
      <c r="Q495" s="13" t="str">
        <f>IF($A495="","",[1]!thsiFinD("ths_adjustment_nv_fund",Q$3,$A495))</f>
        <v/>
      </c>
      <c r="R495" s="13" t="str">
        <f>IF($A495="","",[1]!thsiFinD("ths_adjustment_nv_fund",R$3,$A495))</f>
        <v/>
      </c>
      <c r="S495" s="13" t="str">
        <f>IF($A495="","",[1]!thsiFinD("ths_adjustment_nv_fund",S$3,$A495))</f>
        <v/>
      </c>
      <c r="T495" s="13" t="str">
        <f>IF($A495="","",[1]!thsiFinD("ths_adjustment_nv_fund",T$3,$A495))</f>
        <v/>
      </c>
      <c r="U495" s="13" t="str">
        <f>IF($A495="","",[1]!thsiFinD("ths_adjustment_nv_fund",U$3,$A495))</f>
        <v/>
      </c>
      <c r="V495" s="13" t="str">
        <f>IF($A495="","",[1]!thsiFinD("ths_adjustment_nv_fund",V$3,$A495))</f>
        <v/>
      </c>
      <c r="W495" s="13" t="str">
        <f>IF($A495="","",[1]!thsiFinD("ths_adjustment_nv_fund",W$3,$A495))</f>
        <v/>
      </c>
      <c r="X495" s="13" t="str">
        <f>IF($A495="","",[1]!thsiFinD("ths_adjustment_nv_fund",X$3,$A495))</f>
        <v/>
      </c>
      <c r="Y495" s="13" t="str">
        <f>IF($A495="","",[1]!thsiFinD("ths_adjustment_nv_fund",Y$3,$A495))</f>
        <v/>
      </c>
      <c r="Z495" s="13" t="str">
        <f>IF($A495="","",[1]!thsiFinD("ths_adjustment_nv_fund",Z$3,$A495))</f>
        <v/>
      </c>
      <c r="AA495" s="13" t="str">
        <f>IF($A495="","",[1]!thsiFinD("ths_adjustment_nv_fund",AA$3,$A495))</f>
        <v/>
      </c>
      <c r="AB495" s="13">
        <f>IF($A495="","",[1]!thsiFinD("ths_adjustment_nv_fund",AB$3,$A495))</f>
        <v/>
      </c>
      <c r="AC495" s="13">
        <f>IF($A495="","",[1]!thsiFinD("ths_adjustment_nv_fund",AC$3,$A495))</f>
        <v/>
      </c>
      <c r="AD495" s="13">
        <f>IF($A495="","",[1]!thsiFinD("ths_adjustment_nv_fund",AD$3,$A495))</f>
        <v/>
      </c>
      <c r="AE495" s="13">
        <f>IF($A495="","",[1]!thsiFinD("ths_adjustment_nv_fund",AE$3,$A495))</f>
        <v/>
      </c>
      <c r="AF495" s="13">
        <f>IF($A495="","",[1]!thsiFinD("ths_adjustment_nv_fund",AF$3,$A495))</f>
        <v/>
      </c>
      <c r="AG495" s="13">
        <f>IF($A495="","",[1]!thsiFinD("ths_adjustment_nv_fund",AG$3,$A495))</f>
        <v/>
      </c>
      <c r="AH495" s="13">
        <f>IF($A495="","",[1]!thsiFinD("ths_adjustment_nv_fund",AH$3,$A495))</f>
        <v/>
      </c>
      <c r="AI495" s="13">
        <f>IF($A495="","",[1]!thsiFinD("ths_adjustment_nv_fund",AI$3,$A495))</f>
        <v/>
      </c>
      <c r="AJ495" s="13">
        <f>IF($A495="","",[1]!thsiFinD("ths_adjustment_nv_fund",AJ$3,$A495))</f>
        <v/>
      </c>
      <c r="AK495" s="13">
        <f>IF($A495="","",[1]!thsiFinD("ths_adjustment_nv_fund",AK$3,$A495))</f>
        <v/>
      </c>
      <c r="AL495" s="13">
        <f>IF($A495="","",[1]!thsiFinD("ths_adjustment_nv_fund",AL$3,$A495))</f>
        <v/>
      </c>
    </row>
    <row r="496" spans="2:28">
      <c r="B496" s="13" t="str">
        <f>IF($A496="","",[1]!thsiFinD("ths_adjustment_nv_fund",B$3,$A496))</f>
        <v/>
      </c>
      <c r="C496" s="13" t="str">
        <f>IF($A496="","",[1]!thsiFinD("ths_adjustment_nv_fund",C$3,$A496))</f>
        <v/>
      </c>
      <c r="D496" s="13" t="str">
        <f>IF($A496="","",[1]!thsiFinD("ths_adjustment_nv_fund",D$3,$A496))</f>
        <v/>
      </c>
      <c r="E496" s="13" t="str">
        <f>IF($A496="","",[1]!thsiFinD("ths_adjustment_nv_fund",E$3,$A496))</f>
        <v/>
      </c>
      <c r="F496" s="13" t="str">
        <f>IF($A496="","",[1]!thsiFinD("ths_adjustment_nv_fund",F$3,$A496))</f>
        <v/>
      </c>
      <c r="G496" s="13" t="str">
        <f>IF($A496="","",[1]!thsiFinD("ths_adjustment_nv_fund",G$3,$A496))</f>
        <v/>
      </c>
      <c r="H496" s="13" t="str">
        <f>IF($A496="","",[1]!thsiFinD("ths_adjustment_nv_fund",H$3,$A496))</f>
        <v/>
      </c>
      <c r="I496" s="13" t="str">
        <f>IF($A496="","",[1]!thsiFinD("ths_adjustment_nv_fund",I$3,$A496))</f>
        <v/>
      </c>
      <c r="J496" s="13" t="str">
        <f>IF($A496="","",[1]!thsiFinD("ths_adjustment_nv_fund",J$3,$A496))</f>
        <v/>
      </c>
      <c r="K496" s="13" t="str">
        <f>IF($A496="","",[1]!thsiFinD("ths_adjustment_nv_fund",K$3,$A496))</f>
        <v/>
      </c>
      <c r="L496" s="13" t="str">
        <f>IF($A496="","",[1]!thsiFinD("ths_adjustment_nv_fund",L$3,$A496))</f>
        <v/>
      </c>
      <c r="M496" s="13" t="str">
        <f>IF($A496="","",[1]!thsiFinD("ths_adjustment_nv_fund",M$3,$A496))</f>
        <v/>
      </c>
      <c r="N496" s="13" t="str">
        <f>IF($A496="","",[1]!thsiFinD("ths_adjustment_nv_fund",N$3,$A496))</f>
        <v/>
      </c>
      <c r="O496" s="13" t="str">
        <f>IF($A496="","",[1]!thsiFinD("ths_adjustment_nv_fund",O$3,$A496))</f>
        <v/>
      </c>
      <c r="P496" s="13" t="str">
        <f>IF($A496="","",[1]!thsiFinD("ths_adjustment_nv_fund",P$3,$A496))</f>
        <v/>
      </c>
      <c r="Q496" s="13" t="str">
        <f>IF($A496="","",[1]!thsiFinD("ths_adjustment_nv_fund",Q$3,$A496))</f>
        <v/>
      </c>
      <c r="R496" s="13" t="str">
        <f>IF($A496="","",[1]!thsiFinD("ths_adjustment_nv_fund",R$3,$A496))</f>
        <v/>
      </c>
      <c r="S496" s="13" t="str">
        <f>IF($A496="","",[1]!thsiFinD("ths_adjustment_nv_fund",S$3,$A496))</f>
        <v/>
      </c>
      <c r="T496" s="13" t="str">
        <f>IF($A496="","",[1]!thsiFinD("ths_adjustment_nv_fund",T$3,$A496))</f>
        <v/>
      </c>
      <c r="U496" s="13" t="str">
        <f>IF($A496="","",[1]!thsiFinD("ths_adjustment_nv_fund",U$3,$A496))</f>
        <v/>
      </c>
      <c r="V496" s="13" t="str">
        <f>IF($A496="","",[1]!thsiFinD("ths_adjustment_nv_fund",V$3,$A496))</f>
        <v/>
      </c>
      <c r="W496" s="13" t="str">
        <f>IF($A496="","",[1]!thsiFinD("ths_adjustment_nv_fund",W$3,$A496))</f>
        <v/>
      </c>
      <c r="X496" s="13" t="str">
        <f>IF($A496="","",[1]!thsiFinD("ths_adjustment_nv_fund",X$3,$A496))</f>
        <v/>
      </c>
      <c r="Y496" s="13" t="str">
        <f>IF($A496="","",[1]!thsiFinD("ths_adjustment_nv_fund",Y$3,$A496))</f>
        <v/>
      </c>
      <c r="Z496" s="13" t="str">
        <f>IF($A496="","",[1]!thsiFinD("ths_adjustment_nv_fund",Z$3,$A496))</f>
        <v/>
      </c>
      <c r="AA496" s="13" t="str">
        <f>IF($A496="","",[1]!thsiFinD("ths_adjustment_nv_fund",AA$3,$A496))</f>
        <v/>
      </c>
      <c r="AB496" s="13">
        <f>IF($A496="","",[1]!thsiFinD("ths_adjustment_nv_fund",AB$3,$A496))</f>
        <v/>
      </c>
      <c r="AC496" s="13">
        <f>IF($A496="","",[1]!thsiFinD("ths_adjustment_nv_fund",AC$3,$A496))</f>
        <v/>
      </c>
      <c r="AD496" s="13">
        <f>IF($A496="","",[1]!thsiFinD("ths_adjustment_nv_fund",AD$3,$A496))</f>
        <v/>
      </c>
      <c r="AE496" s="13">
        <f>IF($A496="","",[1]!thsiFinD("ths_adjustment_nv_fund",AE$3,$A496))</f>
        <v/>
      </c>
      <c r="AF496" s="13">
        <f>IF($A496="","",[1]!thsiFinD("ths_adjustment_nv_fund",AF$3,$A496))</f>
        <v/>
      </c>
      <c r="AG496" s="13">
        <f>IF($A496="","",[1]!thsiFinD("ths_adjustment_nv_fund",AG$3,$A496))</f>
        <v/>
      </c>
      <c r="AH496" s="13">
        <f>IF($A496="","",[1]!thsiFinD("ths_adjustment_nv_fund",AH$3,$A496))</f>
        <v/>
      </c>
      <c r="AI496" s="13">
        <f>IF($A496="","",[1]!thsiFinD("ths_adjustment_nv_fund",AI$3,$A496))</f>
        <v/>
      </c>
      <c r="AJ496" s="13">
        <f>IF($A496="","",[1]!thsiFinD("ths_adjustment_nv_fund",AJ$3,$A496))</f>
        <v/>
      </c>
      <c r="AK496" s="13">
        <f>IF($A496="","",[1]!thsiFinD("ths_adjustment_nv_fund",AK$3,$A496))</f>
        <v/>
      </c>
      <c r="AL496" s="13">
        <f>IF($A496="","",[1]!thsiFinD("ths_adjustment_nv_fund",AL$3,$A496))</f>
        <v/>
      </c>
    </row>
    <row r="497" spans="2:28">
      <c r="B497" s="13" t="str">
        <f>IF($A497="","",[1]!thsiFinD("ths_adjustment_nv_fund",B$3,$A497))</f>
        <v/>
      </c>
      <c r="C497" s="13" t="str">
        <f>IF($A497="","",[1]!thsiFinD("ths_adjustment_nv_fund",C$3,$A497))</f>
        <v/>
      </c>
      <c r="D497" s="13" t="str">
        <f>IF($A497="","",[1]!thsiFinD("ths_adjustment_nv_fund",D$3,$A497))</f>
        <v/>
      </c>
      <c r="E497" s="13" t="str">
        <f>IF($A497="","",[1]!thsiFinD("ths_adjustment_nv_fund",E$3,$A497))</f>
        <v/>
      </c>
      <c r="F497" s="13" t="str">
        <f>IF($A497="","",[1]!thsiFinD("ths_adjustment_nv_fund",F$3,$A497))</f>
        <v/>
      </c>
      <c r="G497" s="13" t="str">
        <f>IF($A497="","",[1]!thsiFinD("ths_adjustment_nv_fund",G$3,$A497))</f>
        <v/>
      </c>
      <c r="H497" s="13" t="str">
        <f>IF($A497="","",[1]!thsiFinD("ths_adjustment_nv_fund",H$3,$A497))</f>
        <v/>
      </c>
      <c r="I497" s="13" t="str">
        <f>IF($A497="","",[1]!thsiFinD("ths_adjustment_nv_fund",I$3,$A497))</f>
        <v/>
      </c>
      <c r="J497" s="13" t="str">
        <f>IF($A497="","",[1]!thsiFinD("ths_adjustment_nv_fund",J$3,$A497))</f>
        <v/>
      </c>
      <c r="K497" s="13" t="str">
        <f>IF($A497="","",[1]!thsiFinD("ths_adjustment_nv_fund",K$3,$A497))</f>
        <v/>
      </c>
      <c r="L497" s="13" t="str">
        <f>IF($A497="","",[1]!thsiFinD("ths_adjustment_nv_fund",L$3,$A497))</f>
        <v/>
      </c>
      <c r="M497" s="13" t="str">
        <f>IF($A497="","",[1]!thsiFinD("ths_adjustment_nv_fund",M$3,$A497))</f>
        <v/>
      </c>
      <c r="N497" s="13" t="str">
        <f>IF($A497="","",[1]!thsiFinD("ths_adjustment_nv_fund",N$3,$A497))</f>
        <v/>
      </c>
      <c r="O497" s="13" t="str">
        <f>IF($A497="","",[1]!thsiFinD("ths_adjustment_nv_fund",O$3,$A497))</f>
        <v/>
      </c>
      <c r="P497" s="13" t="str">
        <f>IF($A497="","",[1]!thsiFinD("ths_adjustment_nv_fund",P$3,$A497))</f>
        <v/>
      </c>
      <c r="Q497" s="13" t="str">
        <f>IF($A497="","",[1]!thsiFinD("ths_adjustment_nv_fund",Q$3,$A497))</f>
        <v/>
      </c>
      <c r="R497" s="13" t="str">
        <f>IF($A497="","",[1]!thsiFinD("ths_adjustment_nv_fund",R$3,$A497))</f>
        <v/>
      </c>
      <c r="S497" s="13" t="str">
        <f>IF($A497="","",[1]!thsiFinD("ths_adjustment_nv_fund",S$3,$A497))</f>
        <v/>
      </c>
      <c r="T497" s="13" t="str">
        <f>IF($A497="","",[1]!thsiFinD("ths_adjustment_nv_fund",T$3,$A497))</f>
        <v/>
      </c>
      <c r="U497" s="13" t="str">
        <f>IF($A497="","",[1]!thsiFinD("ths_adjustment_nv_fund",U$3,$A497))</f>
        <v/>
      </c>
      <c r="V497" s="13" t="str">
        <f>IF($A497="","",[1]!thsiFinD("ths_adjustment_nv_fund",V$3,$A497))</f>
        <v/>
      </c>
      <c r="W497" s="13" t="str">
        <f>IF($A497="","",[1]!thsiFinD("ths_adjustment_nv_fund",W$3,$A497))</f>
        <v/>
      </c>
      <c r="X497" s="13" t="str">
        <f>IF($A497="","",[1]!thsiFinD("ths_adjustment_nv_fund",X$3,$A497))</f>
        <v/>
      </c>
      <c r="Y497" s="13" t="str">
        <f>IF($A497="","",[1]!thsiFinD("ths_adjustment_nv_fund",Y$3,$A497))</f>
        <v/>
      </c>
      <c r="Z497" s="13" t="str">
        <f>IF($A497="","",[1]!thsiFinD("ths_adjustment_nv_fund",Z$3,$A497))</f>
        <v/>
      </c>
      <c r="AA497" s="13" t="str">
        <f>IF($A497="","",[1]!thsiFinD("ths_adjustment_nv_fund",AA$3,$A497))</f>
        <v/>
      </c>
      <c r="AB497" s="13">
        <f>IF($A497="","",[1]!thsiFinD("ths_adjustment_nv_fund",AB$3,$A497))</f>
        <v/>
      </c>
      <c r="AC497" s="13">
        <f>IF($A497="","",[1]!thsiFinD("ths_adjustment_nv_fund",AC$3,$A497))</f>
        <v/>
      </c>
      <c r="AD497" s="13">
        <f>IF($A497="","",[1]!thsiFinD("ths_adjustment_nv_fund",AD$3,$A497))</f>
        <v/>
      </c>
      <c r="AE497" s="13">
        <f>IF($A497="","",[1]!thsiFinD("ths_adjustment_nv_fund",AE$3,$A497))</f>
        <v/>
      </c>
      <c r="AF497" s="13">
        <f>IF($A497="","",[1]!thsiFinD("ths_adjustment_nv_fund",AF$3,$A497))</f>
        <v/>
      </c>
      <c r="AG497" s="13">
        <f>IF($A497="","",[1]!thsiFinD("ths_adjustment_nv_fund",AG$3,$A497))</f>
        <v/>
      </c>
      <c r="AH497" s="13">
        <f>IF($A497="","",[1]!thsiFinD("ths_adjustment_nv_fund",AH$3,$A497))</f>
        <v/>
      </c>
      <c r="AI497" s="13">
        <f>IF($A497="","",[1]!thsiFinD("ths_adjustment_nv_fund",AI$3,$A497))</f>
        <v/>
      </c>
      <c r="AJ497" s="13">
        <f>IF($A497="","",[1]!thsiFinD("ths_adjustment_nv_fund",AJ$3,$A497))</f>
        <v/>
      </c>
      <c r="AK497" s="13">
        <f>IF($A497="","",[1]!thsiFinD("ths_adjustment_nv_fund",AK$3,$A497))</f>
        <v/>
      </c>
      <c r="AL497" s="13">
        <f>IF($A497="","",[1]!thsiFinD("ths_adjustment_nv_fund",AL$3,$A497))</f>
        <v/>
      </c>
    </row>
    <row r="498" spans="2:28">
      <c r="B498" s="13" t="str">
        <f>IF($A498="","",[1]!thsiFinD("ths_adjustment_nv_fund",B$3,$A498))</f>
        <v/>
      </c>
      <c r="C498" s="13" t="str">
        <f>IF($A498="","",[1]!thsiFinD("ths_adjustment_nv_fund",C$3,$A498))</f>
        <v/>
      </c>
      <c r="D498" s="13" t="str">
        <f>IF($A498="","",[1]!thsiFinD("ths_adjustment_nv_fund",D$3,$A498))</f>
        <v/>
      </c>
      <c r="E498" s="13" t="str">
        <f>IF($A498="","",[1]!thsiFinD("ths_adjustment_nv_fund",E$3,$A498))</f>
        <v/>
      </c>
      <c r="F498" s="13" t="str">
        <f>IF($A498="","",[1]!thsiFinD("ths_adjustment_nv_fund",F$3,$A498))</f>
        <v/>
      </c>
      <c r="G498" s="13" t="str">
        <f>IF($A498="","",[1]!thsiFinD("ths_adjustment_nv_fund",G$3,$A498))</f>
        <v/>
      </c>
      <c r="H498" s="13" t="str">
        <f>IF($A498="","",[1]!thsiFinD("ths_adjustment_nv_fund",H$3,$A498))</f>
        <v/>
      </c>
      <c r="I498" s="13" t="str">
        <f>IF($A498="","",[1]!thsiFinD("ths_adjustment_nv_fund",I$3,$A498))</f>
        <v/>
      </c>
      <c r="J498" s="13" t="str">
        <f>IF($A498="","",[1]!thsiFinD("ths_adjustment_nv_fund",J$3,$A498))</f>
        <v/>
      </c>
      <c r="K498" s="13" t="str">
        <f>IF($A498="","",[1]!thsiFinD("ths_adjustment_nv_fund",K$3,$A498))</f>
        <v/>
      </c>
      <c r="L498" s="13" t="str">
        <f>IF($A498="","",[1]!thsiFinD("ths_adjustment_nv_fund",L$3,$A498))</f>
        <v/>
      </c>
      <c r="M498" s="13" t="str">
        <f>IF($A498="","",[1]!thsiFinD("ths_adjustment_nv_fund",M$3,$A498))</f>
        <v/>
      </c>
      <c r="N498" s="13" t="str">
        <f>IF($A498="","",[1]!thsiFinD("ths_adjustment_nv_fund",N$3,$A498))</f>
        <v/>
      </c>
      <c r="O498" s="13" t="str">
        <f>IF($A498="","",[1]!thsiFinD("ths_adjustment_nv_fund",O$3,$A498))</f>
        <v/>
      </c>
      <c r="P498" s="13" t="str">
        <f>IF($A498="","",[1]!thsiFinD("ths_adjustment_nv_fund",P$3,$A498))</f>
        <v/>
      </c>
      <c r="Q498" s="13" t="str">
        <f>IF($A498="","",[1]!thsiFinD("ths_adjustment_nv_fund",Q$3,$A498))</f>
        <v/>
      </c>
      <c r="R498" s="13" t="str">
        <f>IF($A498="","",[1]!thsiFinD("ths_adjustment_nv_fund",R$3,$A498))</f>
        <v/>
      </c>
      <c r="S498" s="13" t="str">
        <f>IF($A498="","",[1]!thsiFinD("ths_adjustment_nv_fund",S$3,$A498))</f>
        <v/>
      </c>
      <c r="T498" s="13" t="str">
        <f>IF($A498="","",[1]!thsiFinD("ths_adjustment_nv_fund",T$3,$A498))</f>
        <v/>
      </c>
      <c r="U498" s="13" t="str">
        <f>IF($A498="","",[1]!thsiFinD("ths_adjustment_nv_fund",U$3,$A498))</f>
        <v/>
      </c>
      <c r="V498" s="13" t="str">
        <f>IF($A498="","",[1]!thsiFinD("ths_adjustment_nv_fund",V$3,$A498))</f>
        <v/>
      </c>
      <c r="W498" s="13" t="str">
        <f>IF($A498="","",[1]!thsiFinD("ths_adjustment_nv_fund",W$3,$A498))</f>
        <v/>
      </c>
      <c r="X498" s="13" t="str">
        <f>IF($A498="","",[1]!thsiFinD("ths_adjustment_nv_fund",X$3,$A498))</f>
        <v/>
      </c>
      <c r="Y498" s="13" t="str">
        <f>IF($A498="","",[1]!thsiFinD("ths_adjustment_nv_fund",Y$3,$A498))</f>
        <v/>
      </c>
      <c r="Z498" s="13" t="str">
        <f>IF($A498="","",[1]!thsiFinD("ths_adjustment_nv_fund",Z$3,$A498))</f>
        <v/>
      </c>
      <c r="AA498" s="13" t="str">
        <f>IF($A498="","",[1]!thsiFinD("ths_adjustment_nv_fund",AA$3,$A498))</f>
        <v/>
      </c>
      <c r="AB498" s="13">
        <f>IF($A498="","",[1]!thsiFinD("ths_adjustment_nv_fund",AB$3,$A498))</f>
        <v/>
      </c>
      <c r="AC498" s="13">
        <f>IF($A498="","",[1]!thsiFinD("ths_adjustment_nv_fund",AC$3,$A498))</f>
        <v/>
      </c>
      <c r="AD498" s="13">
        <f>IF($A498="","",[1]!thsiFinD("ths_adjustment_nv_fund",AD$3,$A498))</f>
        <v/>
      </c>
      <c r="AE498" s="13">
        <f>IF($A498="","",[1]!thsiFinD("ths_adjustment_nv_fund",AE$3,$A498))</f>
        <v/>
      </c>
      <c r="AF498" s="13">
        <f>IF($A498="","",[1]!thsiFinD("ths_adjustment_nv_fund",AF$3,$A498))</f>
        <v/>
      </c>
      <c r="AG498" s="13">
        <f>IF($A498="","",[1]!thsiFinD("ths_adjustment_nv_fund",AG$3,$A498))</f>
        <v/>
      </c>
      <c r="AH498" s="13">
        <f>IF($A498="","",[1]!thsiFinD("ths_adjustment_nv_fund",AH$3,$A498))</f>
        <v/>
      </c>
      <c r="AI498" s="13">
        <f>IF($A498="","",[1]!thsiFinD("ths_adjustment_nv_fund",AI$3,$A498))</f>
        <v/>
      </c>
      <c r="AJ498" s="13">
        <f>IF($A498="","",[1]!thsiFinD("ths_adjustment_nv_fund",AJ$3,$A498))</f>
        <v/>
      </c>
      <c r="AK498" s="13">
        <f>IF($A498="","",[1]!thsiFinD("ths_adjustment_nv_fund",AK$3,$A498))</f>
        <v/>
      </c>
      <c r="AL498" s="13">
        <f>IF($A498="","",[1]!thsiFinD("ths_adjustment_nv_fund",AL$3,$A498))</f>
        <v/>
      </c>
    </row>
    <row r="499" spans="2:28">
      <c r="B499" s="13" t="str">
        <f>IF($A499="","",[1]!thsiFinD("ths_adjustment_nv_fund",B$3,$A499))</f>
        <v/>
      </c>
      <c r="C499" s="13" t="str">
        <f>IF($A499="","",[1]!thsiFinD("ths_adjustment_nv_fund",C$3,$A499))</f>
        <v/>
      </c>
      <c r="D499" s="13" t="str">
        <f>IF($A499="","",[1]!thsiFinD("ths_adjustment_nv_fund",D$3,$A499))</f>
        <v/>
      </c>
      <c r="E499" s="13" t="str">
        <f>IF($A499="","",[1]!thsiFinD("ths_adjustment_nv_fund",E$3,$A499))</f>
        <v/>
      </c>
      <c r="F499" s="13" t="str">
        <f>IF($A499="","",[1]!thsiFinD("ths_adjustment_nv_fund",F$3,$A499))</f>
        <v/>
      </c>
      <c r="G499" s="13" t="str">
        <f>IF($A499="","",[1]!thsiFinD("ths_adjustment_nv_fund",G$3,$A499))</f>
        <v/>
      </c>
      <c r="H499" s="13" t="str">
        <f>IF($A499="","",[1]!thsiFinD("ths_adjustment_nv_fund",H$3,$A499))</f>
        <v/>
      </c>
      <c r="I499" s="13" t="str">
        <f>IF($A499="","",[1]!thsiFinD("ths_adjustment_nv_fund",I$3,$A499))</f>
        <v/>
      </c>
      <c r="J499" s="13" t="str">
        <f>IF($A499="","",[1]!thsiFinD("ths_adjustment_nv_fund",J$3,$A499))</f>
        <v/>
      </c>
      <c r="K499" s="13" t="str">
        <f>IF($A499="","",[1]!thsiFinD("ths_adjustment_nv_fund",K$3,$A499))</f>
        <v/>
      </c>
      <c r="L499" s="13" t="str">
        <f>IF($A499="","",[1]!thsiFinD("ths_adjustment_nv_fund",L$3,$A499))</f>
        <v/>
      </c>
      <c r="M499" s="13" t="str">
        <f>IF($A499="","",[1]!thsiFinD("ths_adjustment_nv_fund",M$3,$A499))</f>
        <v/>
      </c>
      <c r="N499" s="13" t="str">
        <f>IF($A499="","",[1]!thsiFinD("ths_adjustment_nv_fund",N$3,$A499))</f>
        <v/>
      </c>
      <c r="O499" s="13" t="str">
        <f>IF($A499="","",[1]!thsiFinD("ths_adjustment_nv_fund",O$3,$A499))</f>
        <v/>
      </c>
      <c r="P499" s="13" t="str">
        <f>IF($A499="","",[1]!thsiFinD("ths_adjustment_nv_fund",P$3,$A499))</f>
        <v/>
      </c>
      <c r="Q499" s="13" t="str">
        <f>IF($A499="","",[1]!thsiFinD("ths_adjustment_nv_fund",Q$3,$A499))</f>
        <v/>
      </c>
      <c r="R499" s="13" t="str">
        <f>IF($A499="","",[1]!thsiFinD("ths_adjustment_nv_fund",R$3,$A499))</f>
        <v/>
      </c>
      <c r="S499" s="13" t="str">
        <f>IF($A499="","",[1]!thsiFinD("ths_adjustment_nv_fund",S$3,$A499))</f>
        <v/>
      </c>
      <c r="T499" s="13" t="str">
        <f>IF($A499="","",[1]!thsiFinD("ths_adjustment_nv_fund",T$3,$A499))</f>
        <v/>
      </c>
      <c r="U499" s="13" t="str">
        <f>IF($A499="","",[1]!thsiFinD("ths_adjustment_nv_fund",U$3,$A499))</f>
        <v/>
      </c>
      <c r="V499" s="13" t="str">
        <f>IF($A499="","",[1]!thsiFinD("ths_adjustment_nv_fund",V$3,$A499))</f>
        <v/>
      </c>
      <c r="W499" s="13" t="str">
        <f>IF($A499="","",[1]!thsiFinD("ths_adjustment_nv_fund",W$3,$A499))</f>
        <v/>
      </c>
      <c r="X499" s="13" t="str">
        <f>IF($A499="","",[1]!thsiFinD("ths_adjustment_nv_fund",X$3,$A499))</f>
        <v/>
      </c>
      <c r="Y499" s="13" t="str">
        <f>IF($A499="","",[1]!thsiFinD("ths_adjustment_nv_fund",Y$3,$A499))</f>
        <v/>
      </c>
      <c r="Z499" s="13" t="str">
        <f>IF($A499="","",[1]!thsiFinD("ths_adjustment_nv_fund",Z$3,$A499))</f>
        <v/>
      </c>
      <c r="AA499" s="13" t="str">
        <f>IF($A499="","",[1]!thsiFinD("ths_adjustment_nv_fund",AA$3,$A499))</f>
        <v/>
      </c>
      <c r="AB499" s="13">
        <f>IF($A499="","",[1]!thsiFinD("ths_adjustment_nv_fund",AB$3,$A499))</f>
        <v/>
      </c>
      <c r="AC499" s="13">
        <f>IF($A499="","",[1]!thsiFinD("ths_adjustment_nv_fund",AC$3,$A499))</f>
        <v/>
      </c>
      <c r="AD499" s="13">
        <f>IF($A499="","",[1]!thsiFinD("ths_adjustment_nv_fund",AD$3,$A499))</f>
        <v/>
      </c>
      <c r="AE499" s="13">
        <f>IF($A499="","",[1]!thsiFinD("ths_adjustment_nv_fund",AE$3,$A499))</f>
        <v/>
      </c>
      <c r="AF499" s="13">
        <f>IF($A499="","",[1]!thsiFinD("ths_adjustment_nv_fund",AF$3,$A499))</f>
        <v/>
      </c>
      <c r="AG499" s="13">
        <f>IF($A499="","",[1]!thsiFinD("ths_adjustment_nv_fund",AG$3,$A499))</f>
        <v/>
      </c>
      <c r="AH499" s="13">
        <f>IF($A499="","",[1]!thsiFinD("ths_adjustment_nv_fund",AH$3,$A499))</f>
        <v/>
      </c>
      <c r="AI499" s="13">
        <f>IF($A499="","",[1]!thsiFinD("ths_adjustment_nv_fund",AI$3,$A499))</f>
        <v/>
      </c>
      <c r="AJ499" s="13">
        <f>IF($A499="","",[1]!thsiFinD("ths_adjustment_nv_fund",AJ$3,$A499))</f>
        <v/>
      </c>
      <c r="AK499" s="13">
        <f>IF($A499="","",[1]!thsiFinD("ths_adjustment_nv_fund",AK$3,$A499))</f>
        <v/>
      </c>
      <c r="AL499" s="13">
        <f>IF($A499="","",[1]!thsiFinD("ths_adjustment_nv_fund",AL$3,$A499))</f>
        <v/>
      </c>
    </row>
    <row r="500" spans="2:28">
      <c r="B500" s="13" t="str">
        <f>IF($A500="","",[1]!thsiFinD("ths_adjustment_nv_fund",B$3,$A500))</f>
        <v/>
      </c>
      <c r="C500" s="13" t="str">
        <f>IF($A500="","",[1]!thsiFinD("ths_adjustment_nv_fund",C$3,$A500))</f>
        <v/>
      </c>
      <c r="D500" s="13" t="str">
        <f>IF($A500="","",[1]!thsiFinD("ths_adjustment_nv_fund",D$3,$A500))</f>
        <v/>
      </c>
      <c r="E500" s="13" t="str">
        <f>IF($A500="","",[1]!thsiFinD("ths_adjustment_nv_fund",E$3,$A500))</f>
        <v/>
      </c>
      <c r="F500" s="13" t="str">
        <f>IF($A500="","",[1]!thsiFinD("ths_adjustment_nv_fund",F$3,$A500))</f>
        <v/>
      </c>
      <c r="G500" s="13" t="str">
        <f>IF($A500="","",[1]!thsiFinD("ths_adjustment_nv_fund",G$3,$A500))</f>
        <v/>
      </c>
      <c r="H500" s="13" t="str">
        <f>IF($A500="","",[1]!thsiFinD("ths_adjustment_nv_fund",H$3,$A500))</f>
        <v/>
      </c>
      <c r="I500" s="13" t="str">
        <f>IF($A500="","",[1]!thsiFinD("ths_adjustment_nv_fund",I$3,$A500))</f>
        <v/>
      </c>
      <c r="J500" s="13" t="str">
        <f>IF($A500="","",[1]!thsiFinD("ths_adjustment_nv_fund",J$3,$A500))</f>
        <v/>
      </c>
      <c r="K500" s="13" t="str">
        <f>IF($A500="","",[1]!thsiFinD("ths_adjustment_nv_fund",K$3,$A500))</f>
        <v/>
      </c>
      <c r="L500" s="13" t="str">
        <f>IF($A500="","",[1]!thsiFinD("ths_adjustment_nv_fund",L$3,$A500))</f>
        <v/>
      </c>
      <c r="M500" s="13" t="str">
        <f>IF($A500="","",[1]!thsiFinD("ths_adjustment_nv_fund",M$3,$A500))</f>
        <v/>
      </c>
      <c r="N500" s="13" t="str">
        <f>IF($A500="","",[1]!thsiFinD("ths_adjustment_nv_fund",N$3,$A500))</f>
        <v/>
      </c>
      <c r="O500" s="13" t="str">
        <f>IF($A500="","",[1]!thsiFinD("ths_adjustment_nv_fund",O$3,$A500))</f>
        <v/>
      </c>
      <c r="P500" s="13" t="str">
        <f>IF($A500="","",[1]!thsiFinD("ths_adjustment_nv_fund",P$3,$A500))</f>
        <v/>
      </c>
      <c r="Q500" s="13" t="str">
        <f>IF($A500="","",[1]!thsiFinD("ths_adjustment_nv_fund",Q$3,$A500))</f>
        <v/>
      </c>
      <c r="R500" s="13" t="str">
        <f>IF($A500="","",[1]!thsiFinD("ths_adjustment_nv_fund",R$3,$A500))</f>
        <v/>
      </c>
      <c r="S500" s="13" t="str">
        <f>IF($A500="","",[1]!thsiFinD("ths_adjustment_nv_fund",S$3,$A500))</f>
        <v/>
      </c>
      <c r="T500" s="13" t="str">
        <f>IF($A500="","",[1]!thsiFinD("ths_adjustment_nv_fund",T$3,$A500))</f>
        <v/>
      </c>
      <c r="U500" s="13" t="str">
        <f>IF($A500="","",[1]!thsiFinD("ths_adjustment_nv_fund",U$3,$A500))</f>
        <v/>
      </c>
      <c r="V500" s="13" t="str">
        <f>IF($A500="","",[1]!thsiFinD("ths_adjustment_nv_fund",V$3,$A500))</f>
        <v/>
      </c>
      <c r="W500" s="13" t="str">
        <f>IF($A500="","",[1]!thsiFinD("ths_adjustment_nv_fund",W$3,$A500))</f>
        <v/>
      </c>
      <c r="X500" s="13" t="str">
        <f>IF($A500="","",[1]!thsiFinD("ths_adjustment_nv_fund",X$3,$A500))</f>
        <v/>
      </c>
      <c r="Y500" s="13" t="str">
        <f>IF($A500="","",[1]!thsiFinD("ths_adjustment_nv_fund",Y$3,$A500))</f>
        <v/>
      </c>
      <c r="Z500" s="13" t="str">
        <f>IF($A500="","",[1]!thsiFinD("ths_adjustment_nv_fund",Z$3,$A500))</f>
        <v/>
      </c>
      <c r="AA500" s="13" t="str">
        <f>IF($A500="","",[1]!thsiFinD("ths_adjustment_nv_fund",AA$3,$A500))</f>
        <v/>
      </c>
      <c r="AB500" s="13">
        <f>IF($A500="","",[1]!thsiFinD("ths_adjustment_nv_fund",AB$3,$A500))</f>
        <v/>
      </c>
      <c r="AC500" s="13">
        <f>IF($A500="","",[1]!thsiFinD("ths_adjustment_nv_fund",AC$3,$A500))</f>
        <v/>
      </c>
      <c r="AD500" s="13">
        <f>IF($A500="","",[1]!thsiFinD("ths_adjustment_nv_fund",AD$3,$A500))</f>
        <v/>
      </c>
      <c r="AE500" s="13">
        <f>IF($A500="","",[1]!thsiFinD("ths_adjustment_nv_fund",AE$3,$A500))</f>
        <v/>
      </c>
      <c r="AF500" s="13">
        <f>IF($A500="","",[1]!thsiFinD("ths_adjustment_nv_fund",AF$3,$A500))</f>
        <v/>
      </c>
      <c r="AG500" s="13">
        <f>IF($A500="","",[1]!thsiFinD("ths_adjustment_nv_fund",AG$3,$A500))</f>
        <v/>
      </c>
      <c r="AH500" s="13">
        <f>IF($A500="","",[1]!thsiFinD("ths_adjustment_nv_fund",AH$3,$A500))</f>
        <v/>
      </c>
      <c r="AI500" s="13">
        <f>IF($A500="","",[1]!thsiFinD("ths_adjustment_nv_fund",AI$3,$A500))</f>
        <v/>
      </c>
      <c r="AJ500" s="13">
        <f>IF($A500="","",[1]!thsiFinD("ths_adjustment_nv_fund",AJ$3,$A500))</f>
        <v/>
      </c>
      <c r="AK500" s="13">
        <f>IF($A500="","",[1]!thsiFinD("ths_adjustment_nv_fund",AK$3,$A500))</f>
        <v/>
      </c>
      <c r="AL500" s="13">
        <f>IF($A500="","",[1]!thsiFinD("ths_adjustment_nv_fund",AL$3,$A500))</f>
        <v/>
      </c>
    </row>
    <row r="501" spans="2:28">
      <c r="B501" s="13" t="str">
        <f>IF($A501="","",[1]!thsiFinD("ths_adjustment_nv_fund",B$3,$A501))</f>
        <v/>
      </c>
      <c r="C501" s="13" t="str">
        <f>IF($A501="","",[1]!thsiFinD("ths_adjustment_nv_fund",C$3,$A501))</f>
        <v/>
      </c>
      <c r="D501" s="13" t="str">
        <f>IF($A501="","",[1]!thsiFinD("ths_adjustment_nv_fund",D$3,$A501))</f>
        <v/>
      </c>
      <c r="E501" s="13" t="str">
        <f>IF($A501="","",[1]!thsiFinD("ths_adjustment_nv_fund",E$3,$A501))</f>
        <v/>
      </c>
      <c r="F501" s="13" t="str">
        <f>IF($A501="","",[1]!thsiFinD("ths_adjustment_nv_fund",F$3,$A501))</f>
        <v/>
      </c>
      <c r="G501" s="13" t="str">
        <f>IF($A501="","",[1]!thsiFinD("ths_adjustment_nv_fund",G$3,$A501))</f>
        <v/>
      </c>
      <c r="H501" s="13" t="str">
        <f>IF($A501="","",[1]!thsiFinD("ths_adjustment_nv_fund",H$3,$A501))</f>
        <v/>
      </c>
      <c r="I501" s="13" t="str">
        <f>IF($A501="","",[1]!thsiFinD("ths_adjustment_nv_fund",I$3,$A501))</f>
        <v/>
      </c>
      <c r="J501" s="13" t="str">
        <f>IF($A501="","",[1]!thsiFinD("ths_adjustment_nv_fund",J$3,$A501))</f>
        <v/>
      </c>
      <c r="K501" s="13" t="str">
        <f>IF($A501="","",[1]!thsiFinD("ths_adjustment_nv_fund",K$3,$A501))</f>
        <v/>
      </c>
      <c r="L501" s="13" t="str">
        <f>IF($A501="","",[1]!thsiFinD("ths_adjustment_nv_fund",L$3,$A501))</f>
        <v/>
      </c>
      <c r="M501" s="13" t="str">
        <f>IF($A501="","",[1]!thsiFinD("ths_adjustment_nv_fund",M$3,$A501))</f>
        <v/>
      </c>
      <c r="N501" s="13" t="str">
        <f>IF($A501="","",[1]!thsiFinD("ths_adjustment_nv_fund",N$3,$A501))</f>
        <v/>
      </c>
      <c r="O501" s="13" t="str">
        <f>IF($A501="","",[1]!thsiFinD("ths_adjustment_nv_fund",O$3,$A501))</f>
        <v/>
      </c>
      <c r="P501" s="13" t="str">
        <f>IF($A501="","",[1]!thsiFinD("ths_adjustment_nv_fund",P$3,$A501))</f>
        <v/>
      </c>
      <c r="Q501" s="13" t="str">
        <f>IF($A501="","",[1]!thsiFinD("ths_adjustment_nv_fund",Q$3,$A501))</f>
        <v/>
      </c>
      <c r="R501" s="13" t="str">
        <f>IF($A501="","",[1]!thsiFinD("ths_adjustment_nv_fund",R$3,$A501))</f>
        <v/>
      </c>
      <c r="S501" s="13" t="str">
        <f>IF($A501="","",[1]!thsiFinD("ths_adjustment_nv_fund",S$3,$A501))</f>
        <v/>
      </c>
      <c r="T501" s="13" t="str">
        <f>IF($A501="","",[1]!thsiFinD("ths_adjustment_nv_fund",T$3,$A501))</f>
        <v/>
      </c>
      <c r="U501" s="13" t="str">
        <f>IF($A501="","",[1]!thsiFinD("ths_adjustment_nv_fund",U$3,$A501))</f>
        <v/>
      </c>
      <c r="V501" s="13" t="str">
        <f>IF($A501="","",[1]!thsiFinD("ths_adjustment_nv_fund",V$3,$A501))</f>
        <v/>
      </c>
      <c r="W501" s="13" t="str">
        <f>IF($A501="","",[1]!thsiFinD("ths_adjustment_nv_fund",W$3,$A501))</f>
        <v/>
      </c>
      <c r="X501" s="13" t="str">
        <f>IF($A501="","",[1]!thsiFinD("ths_adjustment_nv_fund",X$3,$A501))</f>
        <v/>
      </c>
      <c r="Y501" s="13" t="str">
        <f>IF($A501="","",[1]!thsiFinD("ths_adjustment_nv_fund",Y$3,$A501))</f>
        <v/>
      </c>
      <c r="Z501" s="13" t="str">
        <f>IF($A501="","",[1]!thsiFinD("ths_adjustment_nv_fund",Z$3,$A501))</f>
        <v/>
      </c>
      <c r="AA501" s="13" t="str">
        <f>IF($A501="","",[1]!thsiFinD("ths_adjustment_nv_fund",AA$3,$A501))</f>
        <v/>
      </c>
      <c r="AB501" s="13">
        <f>IF($A501="","",[1]!thsiFinD("ths_adjustment_nv_fund",AB$3,$A501))</f>
        <v/>
      </c>
      <c r="AC501" s="13">
        <f>IF($A501="","",[1]!thsiFinD("ths_adjustment_nv_fund",AC$3,$A501))</f>
        <v/>
      </c>
      <c r="AD501" s="13">
        <f>IF($A501="","",[1]!thsiFinD("ths_adjustment_nv_fund",AD$3,$A501))</f>
        <v/>
      </c>
      <c r="AE501" s="13">
        <f>IF($A501="","",[1]!thsiFinD("ths_adjustment_nv_fund",AE$3,$A501))</f>
        <v/>
      </c>
      <c r="AF501" s="13">
        <f>IF($A501="","",[1]!thsiFinD("ths_adjustment_nv_fund",AF$3,$A501))</f>
        <v/>
      </c>
      <c r="AG501" s="13">
        <f>IF($A501="","",[1]!thsiFinD("ths_adjustment_nv_fund",AG$3,$A501))</f>
        <v/>
      </c>
      <c r="AH501" s="13">
        <f>IF($A501="","",[1]!thsiFinD("ths_adjustment_nv_fund",AH$3,$A501))</f>
        <v/>
      </c>
      <c r="AI501" s="13">
        <f>IF($A501="","",[1]!thsiFinD("ths_adjustment_nv_fund",AI$3,$A501))</f>
        <v/>
      </c>
      <c r="AJ501" s="13">
        <f>IF($A501="","",[1]!thsiFinD("ths_adjustment_nv_fund",AJ$3,$A501))</f>
        <v/>
      </c>
      <c r="AK501" s="13">
        <f>IF($A501="","",[1]!thsiFinD("ths_adjustment_nv_fund",AK$3,$A501))</f>
        <v/>
      </c>
      <c r="AL501" s="13">
        <f>IF($A501="","",[1]!thsiFinD("ths_adjustment_nv_fund",AL$3,$A501))</f>
        <v/>
      </c>
    </row>
    <row r="502" spans="2:28">
      <c r="B502" s="13" t="str">
        <f>IF($A502="","",[1]!thsiFinD("ths_adjustment_nv_fund",B$3,$A502))</f>
        <v/>
      </c>
      <c r="C502" s="13" t="str">
        <f>IF($A502="","",[1]!thsiFinD("ths_adjustment_nv_fund",C$3,$A502))</f>
        <v/>
      </c>
      <c r="D502" s="13" t="str">
        <f>IF($A502="","",[1]!thsiFinD("ths_adjustment_nv_fund",D$3,$A502))</f>
        <v/>
      </c>
      <c r="E502" s="13" t="str">
        <f>IF($A502="","",[1]!thsiFinD("ths_adjustment_nv_fund",E$3,$A502))</f>
        <v/>
      </c>
      <c r="F502" s="13" t="str">
        <f>IF($A502="","",[1]!thsiFinD("ths_adjustment_nv_fund",F$3,$A502))</f>
        <v/>
      </c>
      <c r="G502" s="13" t="str">
        <f>IF($A502="","",[1]!thsiFinD("ths_adjustment_nv_fund",G$3,$A502))</f>
        <v/>
      </c>
      <c r="H502" s="13" t="str">
        <f>IF($A502="","",[1]!thsiFinD("ths_adjustment_nv_fund",H$3,$A502))</f>
        <v/>
      </c>
      <c r="I502" s="13" t="str">
        <f>IF($A502="","",[1]!thsiFinD("ths_adjustment_nv_fund",I$3,$A502))</f>
        <v/>
      </c>
      <c r="J502" s="13" t="str">
        <f>IF($A502="","",[1]!thsiFinD("ths_adjustment_nv_fund",J$3,$A502))</f>
        <v/>
      </c>
      <c r="K502" s="13" t="str">
        <f>IF($A502="","",[1]!thsiFinD("ths_adjustment_nv_fund",K$3,$A502))</f>
        <v/>
      </c>
      <c r="L502" s="13" t="str">
        <f>IF($A502="","",[1]!thsiFinD("ths_adjustment_nv_fund",L$3,$A502))</f>
        <v/>
      </c>
      <c r="M502" s="13" t="str">
        <f>IF($A502="","",[1]!thsiFinD("ths_adjustment_nv_fund",M$3,$A502))</f>
        <v/>
      </c>
      <c r="N502" s="13" t="str">
        <f>IF($A502="","",[1]!thsiFinD("ths_adjustment_nv_fund",N$3,$A502))</f>
        <v/>
      </c>
      <c r="O502" s="13" t="str">
        <f>IF($A502="","",[1]!thsiFinD("ths_adjustment_nv_fund",O$3,$A502))</f>
        <v/>
      </c>
      <c r="P502" s="13" t="str">
        <f>IF($A502="","",[1]!thsiFinD("ths_adjustment_nv_fund",P$3,$A502))</f>
        <v/>
      </c>
      <c r="Q502" s="13" t="str">
        <f>IF($A502="","",[1]!thsiFinD("ths_adjustment_nv_fund",Q$3,$A502))</f>
        <v/>
      </c>
      <c r="R502" s="13" t="str">
        <f>IF($A502="","",[1]!thsiFinD("ths_adjustment_nv_fund",R$3,$A502))</f>
        <v/>
      </c>
      <c r="S502" s="13" t="str">
        <f>IF($A502="","",[1]!thsiFinD("ths_adjustment_nv_fund",S$3,$A502))</f>
        <v/>
      </c>
      <c r="T502" s="13" t="str">
        <f>IF($A502="","",[1]!thsiFinD("ths_adjustment_nv_fund",T$3,$A502))</f>
        <v/>
      </c>
      <c r="U502" s="13" t="str">
        <f>IF($A502="","",[1]!thsiFinD("ths_adjustment_nv_fund",U$3,$A502))</f>
        <v/>
      </c>
      <c r="V502" s="13" t="str">
        <f>IF($A502="","",[1]!thsiFinD("ths_adjustment_nv_fund",V$3,$A502))</f>
        <v/>
      </c>
      <c r="W502" s="13" t="str">
        <f>IF($A502="","",[1]!thsiFinD("ths_adjustment_nv_fund",W$3,$A502))</f>
        <v/>
      </c>
      <c r="X502" s="13" t="str">
        <f>IF($A502="","",[1]!thsiFinD("ths_adjustment_nv_fund",X$3,$A502))</f>
        <v/>
      </c>
      <c r="Y502" s="13" t="str">
        <f>IF($A502="","",[1]!thsiFinD("ths_adjustment_nv_fund",Y$3,$A502))</f>
        <v/>
      </c>
      <c r="Z502" s="13" t="str">
        <f>IF($A502="","",[1]!thsiFinD("ths_adjustment_nv_fund",Z$3,$A502))</f>
        <v/>
      </c>
      <c r="AA502" s="13" t="str">
        <f>IF($A502="","",[1]!thsiFinD("ths_adjustment_nv_fund",AA$3,$A502))</f>
        <v/>
      </c>
      <c r="AB502" s="13">
        <f>IF($A502="","",[1]!thsiFinD("ths_adjustment_nv_fund",AB$3,$A502))</f>
        <v/>
      </c>
      <c r="AC502" s="13">
        <f>IF($A502="","",[1]!thsiFinD("ths_adjustment_nv_fund",AC$3,$A502))</f>
        <v/>
      </c>
      <c r="AD502" s="13">
        <f>IF($A502="","",[1]!thsiFinD("ths_adjustment_nv_fund",AD$3,$A502))</f>
        <v/>
      </c>
      <c r="AE502" s="13">
        <f>IF($A502="","",[1]!thsiFinD("ths_adjustment_nv_fund",AE$3,$A502))</f>
        <v/>
      </c>
      <c r="AF502" s="13">
        <f>IF($A502="","",[1]!thsiFinD("ths_adjustment_nv_fund",AF$3,$A502))</f>
        <v/>
      </c>
      <c r="AG502" s="13">
        <f>IF($A502="","",[1]!thsiFinD("ths_adjustment_nv_fund",AG$3,$A502))</f>
        <v/>
      </c>
      <c r="AH502" s="13">
        <f>IF($A502="","",[1]!thsiFinD("ths_adjustment_nv_fund",AH$3,$A502))</f>
        <v/>
      </c>
      <c r="AI502" s="13">
        <f>IF($A502="","",[1]!thsiFinD("ths_adjustment_nv_fund",AI$3,$A502))</f>
        <v/>
      </c>
      <c r="AJ502" s="13">
        <f>IF($A502="","",[1]!thsiFinD("ths_adjustment_nv_fund",AJ$3,$A502))</f>
        <v/>
      </c>
      <c r="AK502" s="13">
        <f>IF($A502="","",[1]!thsiFinD("ths_adjustment_nv_fund",AK$3,$A502))</f>
        <v/>
      </c>
      <c r="AL502" s="13">
        <f>IF($A502="","",[1]!thsiFinD("ths_adjustment_nv_fund",AL$3,$A502))</f>
        <v/>
      </c>
    </row>
    <row r="503" spans="2:28">
      <c r="B503" s="13" t="str">
        <f>IF($A503="","",[1]!thsiFinD("ths_adjustment_nv_fund",B$3,$A503))</f>
        <v/>
      </c>
      <c r="C503" s="13" t="str">
        <f>IF($A503="","",[1]!thsiFinD("ths_adjustment_nv_fund",C$3,$A503))</f>
        <v/>
      </c>
      <c r="D503" s="13" t="str">
        <f>IF($A503="","",[1]!thsiFinD("ths_adjustment_nv_fund",D$3,$A503))</f>
        <v/>
      </c>
      <c r="E503" s="13" t="str">
        <f>IF($A503="","",[1]!thsiFinD("ths_adjustment_nv_fund",E$3,$A503))</f>
        <v/>
      </c>
      <c r="F503" s="13" t="str">
        <f>IF($A503="","",[1]!thsiFinD("ths_adjustment_nv_fund",F$3,$A503))</f>
        <v/>
      </c>
      <c r="G503" s="13" t="str">
        <f>IF($A503="","",[1]!thsiFinD("ths_adjustment_nv_fund",G$3,$A503))</f>
        <v/>
      </c>
      <c r="H503" s="13" t="str">
        <f>IF($A503="","",[1]!thsiFinD("ths_adjustment_nv_fund",H$3,$A503))</f>
        <v/>
      </c>
      <c r="I503" s="13" t="str">
        <f>IF($A503="","",[1]!thsiFinD("ths_adjustment_nv_fund",I$3,$A503))</f>
        <v/>
      </c>
      <c r="J503" s="13" t="str">
        <f>IF($A503="","",[1]!thsiFinD("ths_adjustment_nv_fund",J$3,$A503))</f>
        <v/>
      </c>
      <c r="K503" s="13" t="str">
        <f>IF($A503="","",[1]!thsiFinD("ths_adjustment_nv_fund",K$3,$A503))</f>
        <v/>
      </c>
      <c r="L503" s="13" t="str">
        <f>IF($A503="","",[1]!thsiFinD("ths_adjustment_nv_fund",L$3,$A503))</f>
        <v/>
      </c>
      <c r="M503" s="13" t="str">
        <f>IF($A503="","",[1]!thsiFinD("ths_adjustment_nv_fund",M$3,$A503))</f>
        <v/>
      </c>
      <c r="N503" s="13" t="str">
        <f>IF($A503="","",[1]!thsiFinD("ths_adjustment_nv_fund",N$3,$A503))</f>
        <v/>
      </c>
      <c r="O503" s="13" t="str">
        <f>IF($A503="","",[1]!thsiFinD("ths_adjustment_nv_fund",O$3,$A503))</f>
        <v/>
      </c>
      <c r="P503" s="13" t="str">
        <f>IF($A503="","",[1]!thsiFinD("ths_adjustment_nv_fund",P$3,$A503))</f>
        <v/>
      </c>
      <c r="Q503" s="13" t="str">
        <f>IF($A503="","",[1]!thsiFinD("ths_adjustment_nv_fund",Q$3,$A503))</f>
        <v/>
      </c>
      <c r="R503" s="13" t="str">
        <f>IF($A503="","",[1]!thsiFinD("ths_adjustment_nv_fund",R$3,$A503))</f>
        <v/>
      </c>
      <c r="S503" s="13" t="str">
        <f>IF($A503="","",[1]!thsiFinD("ths_adjustment_nv_fund",S$3,$A503))</f>
        <v/>
      </c>
      <c r="T503" s="13" t="str">
        <f>IF($A503="","",[1]!thsiFinD("ths_adjustment_nv_fund",T$3,$A503))</f>
        <v/>
      </c>
      <c r="U503" s="13" t="str">
        <f>IF($A503="","",[1]!thsiFinD("ths_adjustment_nv_fund",U$3,$A503))</f>
        <v/>
      </c>
      <c r="V503" s="13" t="str">
        <f>IF($A503="","",[1]!thsiFinD("ths_adjustment_nv_fund",V$3,$A503))</f>
        <v/>
      </c>
      <c r="W503" s="13" t="str">
        <f>IF($A503="","",[1]!thsiFinD("ths_adjustment_nv_fund",W$3,$A503))</f>
        <v/>
      </c>
      <c r="X503" s="13" t="str">
        <f>IF($A503="","",[1]!thsiFinD("ths_adjustment_nv_fund",X$3,$A503))</f>
        <v/>
      </c>
      <c r="Y503" s="13" t="str">
        <f>IF($A503="","",[1]!thsiFinD("ths_adjustment_nv_fund",Y$3,$A503))</f>
        <v/>
      </c>
      <c r="Z503" s="13" t="str">
        <f>IF($A503="","",[1]!thsiFinD("ths_adjustment_nv_fund",Z$3,$A503))</f>
        <v/>
      </c>
      <c r="AA503" s="13" t="str">
        <f>IF($A503="","",[1]!thsiFinD("ths_adjustment_nv_fund",AA$3,$A503))</f>
        <v/>
      </c>
      <c r="AB503" s="13">
        <f>IF($A503="","",[1]!thsiFinD("ths_adjustment_nv_fund",AB$3,$A503))</f>
        <v/>
      </c>
      <c r="AC503" s="13">
        <f>IF($A503="","",[1]!thsiFinD("ths_adjustment_nv_fund",AC$3,$A503))</f>
        <v/>
      </c>
      <c r="AD503" s="13">
        <f>IF($A503="","",[1]!thsiFinD("ths_adjustment_nv_fund",AD$3,$A503))</f>
        <v/>
      </c>
      <c r="AE503" s="13">
        <f>IF($A503="","",[1]!thsiFinD("ths_adjustment_nv_fund",AE$3,$A503))</f>
        <v/>
      </c>
      <c r="AF503" s="13">
        <f>IF($A503="","",[1]!thsiFinD("ths_adjustment_nv_fund",AF$3,$A503))</f>
        <v/>
      </c>
      <c r="AG503" s="13">
        <f>IF($A503="","",[1]!thsiFinD("ths_adjustment_nv_fund",AG$3,$A503))</f>
        <v/>
      </c>
      <c r="AH503" s="13">
        <f>IF($A503="","",[1]!thsiFinD("ths_adjustment_nv_fund",AH$3,$A503))</f>
        <v/>
      </c>
      <c r="AI503" s="13">
        <f>IF($A503="","",[1]!thsiFinD("ths_adjustment_nv_fund",AI$3,$A503))</f>
        <v/>
      </c>
      <c r="AJ503" s="13">
        <f>IF($A503="","",[1]!thsiFinD("ths_adjustment_nv_fund",AJ$3,$A503))</f>
        <v/>
      </c>
      <c r="AK503" s="13">
        <f>IF($A503="","",[1]!thsiFinD("ths_adjustment_nv_fund",AK$3,$A503))</f>
        <v/>
      </c>
      <c r="AL503" s="13">
        <f>IF($A503="","",[1]!thsiFinD("ths_adjustment_nv_fund",AL$3,$A503))</f>
        <v/>
      </c>
    </row>
    <row r="504" spans="2:28">
      <c r="B504" s="13" t="str">
        <f>IF($A504="","",[1]!thsiFinD("ths_adjustment_nv_fund",B$3,$A504))</f>
        <v/>
      </c>
      <c r="C504" s="13" t="str">
        <f>IF($A504="","",[1]!thsiFinD("ths_adjustment_nv_fund",C$3,$A504))</f>
        <v/>
      </c>
      <c r="D504" s="13" t="str">
        <f>IF($A504="","",[1]!thsiFinD("ths_adjustment_nv_fund",D$3,$A504))</f>
        <v/>
      </c>
      <c r="E504" s="13" t="str">
        <f>IF($A504="","",[1]!thsiFinD("ths_adjustment_nv_fund",E$3,$A504))</f>
        <v/>
      </c>
      <c r="F504" s="13" t="str">
        <f>IF($A504="","",[1]!thsiFinD("ths_adjustment_nv_fund",F$3,$A504))</f>
        <v/>
      </c>
      <c r="G504" s="13" t="str">
        <f>IF($A504="","",[1]!thsiFinD("ths_adjustment_nv_fund",G$3,$A504))</f>
        <v/>
      </c>
      <c r="H504" s="13" t="str">
        <f>IF($A504="","",[1]!thsiFinD("ths_adjustment_nv_fund",H$3,$A504))</f>
        <v/>
      </c>
      <c r="I504" s="13" t="str">
        <f>IF($A504="","",[1]!thsiFinD("ths_adjustment_nv_fund",I$3,$A504))</f>
        <v/>
      </c>
      <c r="J504" s="13" t="str">
        <f>IF($A504="","",[1]!thsiFinD("ths_adjustment_nv_fund",J$3,$A504))</f>
        <v/>
      </c>
      <c r="K504" s="13" t="str">
        <f>IF($A504="","",[1]!thsiFinD("ths_adjustment_nv_fund",K$3,$A504))</f>
        <v/>
      </c>
      <c r="L504" s="13" t="str">
        <f>IF($A504="","",[1]!thsiFinD("ths_adjustment_nv_fund",L$3,$A504))</f>
        <v/>
      </c>
      <c r="M504" s="13" t="str">
        <f>IF($A504="","",[1]!thsiFinD("ths_adjustment_nv_fund",M$3,$A504))</f>
        <v/>
      </c>
      <c r="N504" s="13" t="str">
        <f>IF($A504="","",[1]!thsiFinD("ths_adjustment_nv_fund",N$3,$A504))</f>
        <v/>
      </c>
      <c r="O504" s="13" t="str">
        <f>IF($A504="","",[1]!thsiFinD("ths_adjustment_nv_fund",O$3,$A504))</f>
        <v/>
      </c>
      <c r="P504" s="13" t="str">
        <f>IF($A504="","",[1]!thsiFinD("ths_adjustment_nv_fund",P$3,$A504))</f>
        <v/>
      </c>
      <c r="Q504" s="13" t="str">
        <f>IF($A504="","",[1]!thsiFinD("ths_adjustment_nv_fund",Q$3,$A504))</f>
        <v/>
      </c>
      <c r="R504" s="13" t="str">
        <f>IF($A504="","",[1]!thsiFinD("ths_adjustment_nv_fund",R$3,$A504))</f>
        <v/>
      </c>
      <c r="S504" s="13" t="str">
        <f>IF($A504="","",[1]!thsiFinD("ths_adjustment_nv_fund",S$3,$A504))</f>
        <v/>
      </c>
      <c r="T504" s="13" t="str">
        <f>IF($A504="","",[1]!thsiFinD("ths_adjustment_nv_fund",T$3,$A504))</f>
        <v/>
      </c>
      <c r="U504" s="13" t="str">
        <f>IF($A504="","",[1]!thsiFinD("ths_adjustment_nv_fund",U$3,$A504))</f>
        <v/>
      </c>
      <c r="V504" s="13" t="str">
        <f>IF($A504="","",[1]!thsiFinD("ths_adjustment_nv_fund",V$3,$A504))</f>
        <v/>
      </c>
      <c r="W504" s="13" t="str">
        <f>IF($A504="","",[1]!thsiFinD("ths_adjustment_nv_fund",W$3,$A504))</f>
        <v/>
      </c>
      <c r="X504" s="13" t="str">
        <f>IF($A504="","",[1]!thsiFinD("ths_adjustment_nv_fund",X$3,$A504))</f>
        <v/>
      </c>
      <c r="Y504" s="13" t="str">
        <f>IF($A504="","",[1]!thsiFinD("ths_adjustment_nv_fund",Y$3,$A504))</f>
        <v/>
      </c>
      <c r="Z504" s="13" t="str">
        <f>IF($A504="","",[1]!thsiFinD("ths_adjustment_nv_fund",Z$3,$A504))</f>
        <v/>
      </c>
      <c r="AA504" s="13" t="str">
        <f>IF($A504="","",[1]!thsiFinD("ths_adjustment_nv_fund",AA$3,$A504))</f>
        <v/>
      </c>
      <c r="AB504" s="13">
        <f>IF($A504="","",[1]!thsiFinD("ths_adjustment_nv_fund",AB$3,$A504))</f>
        <v/>
      </c>
      <c r="AC504" s="13">
        <f>IF($A504="","",[1]!thsiFinD("ths_adjustment_nv_fund",AC$3,$A504))</f>
        <v/>
      </c>
      <c r="AD504" s="13">
        <f>IF($A504="","",[1]!thsiFinD("ths_adjustment_nv_fund",AD$3,$A504))</f>
        <v/>
      </c>
      <c r="AE504" s="13">
        <f>IF($A504="","",[1]!thsiFinD("ths_adjustment_nv_fund",AE$3,$A504))</f>
        <v/>
      </c>
      <c r="AF504" s="13">
        <f>IF($A504="","",[1]!thsiFinD("ths_adjustment_nv_fund",AF$3,$A504))</f>
        <v/>
      </c>
      <c r="AG504" s="13">
        <f>IF($A504="","",[1]!thsiFinD("ths_adjustment_nv_fund",AG$3,$A504))</f>
        <v/>
      </c>
      <c r="AH504" s="13">
        <f>IF($A504="","",[1]!thsiFinD("ths_adjustment_nv_fund",AH$3,$A504))</f>
        <v/>
      </c>
      <c r="AI504" s="13">
        <f>IF($A504="","",[1]!thsiFinD("ths_adjustment_nv_fund",AI$3,$A504))</f>
        <v/>
      </c>
      <c r="AJ504" s="13">
        <f>IF($A504="","",[1]!thsiFinD("ths_adjustment_nv_fund",AJ$3,$A504))</f>
        <v/>
      </c>
      <c r="AK504" s="13">
        <f>IF($A504="","",[1]!thsiFinD("ths_adjustment_nv_fund",AK$3,$A504))</f>
        <v/>
      </c>
      <c r="AL504" s="13">
        <f>IF($A504="","",[1]!thsiFinD("ths_adjustment_nv_fund",AL$3,$A504))</f>
        <v/>
      </c>
    </row>
    <row r="505" spans="2:28">
      <c r="B505" s="13" t="str">
        <f>IF($A505="","",[1]!thsiFinD("ths_adjustment_nv_fund",B$3,$A505))</f>
        <v/>
      </c>
      <c r="C505" s="13" t="str">
        <f>IF($A505="","",[1]!thsiFinD("ths_adjustment_nv_fund",C$3,$A505))</f>
        <v/>
      </c>
      <c r="D505" s="13" t="str">
        <f>IF($A505="","",[1]!thsiFinD("ths_adjustment_nv_fund",D$3,$A505))</f>
        <v/>
      </c>
      <c r="E505" s="13" t="str">
        <f>IF($A505="","",[1]!thsiFinD("ths_adjustment_nv_fund",E$3,$A505))</f>
        <v/>
      </c>
      <c r="F505" s="13" t="str">
        <f>IF($A505="","",[1]!thsiFinD("ths_adjustment_nv_fund",F$3,$A505))</f>
        <v/>
      </c>
      <c r="G505" s="13" t="str">
        <f>IF($A505="","",[1]!thsiFinD("ths_adjustment_nv_fund",G$3,$A505))</f>
        <v/>
      </c>
      <c r="H505" s="13" t="str">
        <f>IF($A505="","",[1]!thsiFinD("ths_adjustment_nv_fund",H$3,$A505))</f>
        <v/>
      </c>
      <c r="I505" s="13" t="str">
        <f>IF($A505="","",[1]!thsiFinD("ths_adjustment_nv_fund",I$3,$A505))</f>
        <v/>
      </c>
      <c r="J505" s="13" t="str">
        <f>IF($A505="","",[1]!thsiFinD("ths_adjustment_nv_fund",J$3,$A505))</f>
        <v/>
      </c>
      <c r="K505" s="13" t="str">
        <f>IF($A505="","",[1]!thsiFinD("ths_adjustment_nv_fund",K$3,$A505))</f>
        <v/>
      </c>
      <c r="L505" s="13" t="str">
        <f>IF($A505="","",[1]!thsiFinD("ths_adjustment_nv_fund",L$3,$A505))</f>
        <v/>
      </c>
      <c r="M505" s="13" t="str">
        <f>IF($A505="","",[1]!thsiFinD("ths_adjustment_nv_fund",M$3,$A505))</f>
        <v/>
      </c>
      <c r="N505" s="13" t="str">
        <f>IF($A505="","",[1]!thsiFinD("ths_adjustment_nv_fund",N$3,$A505))</f>
        <v/>
      </c>
      <c r="O505" s="13" t="str">
        <f>IF($A505="","",[1]!thsiFinD("ths_adjustment_nv_fund",O$3,$A505))</f>
        <v/>
      </c>
      <c r="P505" s="13" t="str">
        <f>IF($A505="","",[1]!thsiFinD("ths_adjustment_nv_fund",P$3,$A505))</f>
        <v/>
      </c>
      <c r="Q505" s="13" t="str">
        <f>IF($A505="","",[1]!thsiFinD("ths_adjustment_nv_fund",Q$3,$A505))</f>
        <v/>
      </c>
      <c r="R505" s="13" t="str">
        <f>IF($A505="","",[1]!thsiFinD("ths_adjustment_nv_fund",R$3,$A505))</f>
        <v/>
      </c>
      <c r="S505" s="13" t="str">
        <f>IF($A505="","",[1]!thsiFinD("ths_adjustment_nv_fund",S$3,$A505))</f>
        <v/>
      </c>
      <c r="T505" s="13" t="str">
        <f>IF($A505="","",[1]!thsiFinD("ths_adjustment_nv_fund",T$3,$A505))</f>
        <v/>
      </c>
      <c r="U505" s="13" t="str">
        <f>IF($A505="","",[1]!thsiFinD("ths_adjustment_nv_fund",U$3,$A505))</f>
        <v/>
      </c>
      <c r="V505" s="13" t="str">
        <f>IF($A505="","",[1]!thsiFinD("ths_adjustment_nv_fund",V$3,$A505))</f>
        <v/>
      </c>
      <c r="W505" s="13" t="str">
        <f>IF($A505="","",[1]!thsiFinD("ths_adjustment_nv_fund",W$3,$A505))</f>
        <v/>
      </c>
      <c r="X505" s="13" t="str">
        <f>IF($A505="","",[1]!thsiFinD("ths_adjustment_nv_fund",X$3,$A505))</f>
        <v/>
      </c>
      <c r="Y505" s="13" t="str">
        <f>IF($A505="","",[1]!thsiFinD("ths_adjustment_nv_fund",Y$3,$A505))</f>
        <v/>
      </c>
      <c r="Z505" s="13" t="str">
        <f>IF($A505="","",[1]!thsiFinD("ths_adjustment_nv_fund",Z$3,$A505))</f>
        <v/>
      </c>
      <c r="AA505" s="13" t="str">
        <f>IF($A505="","",[1]!thsiFinD("ths_adjustment_nv_fund",AA$3,$A505))</f>
        <v/>
      </c>
      <c r="AB505" s="13">
        <f>IF($A505="","",[1]!thsiFinD("ths_adjustment_nv_fund",AB$3,$A505))</f>
        <v/>
      </c>
      <c r="AC505" s="13">
        <f>IF($A505="","",[1]!thsiFinD("ths_adjustment_nv_fund",AC$3,$A505))</f>
        <v/>
      </c>
      <c r="AD505" s="13">
        <f>IF($A505="","",[1]!thsiFinD("ths_adjustment_nv_fund",AD$3,$A505))</f>
        <v/>
      </c>
      <c r="AE505" s="13">
        <f>IF($A505="","",[1]!thsiFinD("ths_adjustment_nv_fund",AE$3,$A505))</f>
        <v/>
      </c>
      <c r="AF505" s="13">
        <f>IF($A505="","",[1]!thsiFinD("ths_adjustment_nv_fund",AF$3,$A505))</f>
        <v/>
      </c>
      <c r="AG505" s="13">
        <f>IF($A505="","",[1]!thsiFinD("ths_adjustment_nv_fund",AG$3,$A505))</f>
        <v/>
      </c>
      <c r="AH505" s="13">
        <f>IF($A505="","",[1]!thsiFinD("ths_adjustment_nv_fund",AH$3,$A505))</f>
        <v/>
      </c>
      <c r="AI505" s="13">
        <f>IF($A505="","",[1]!thsiFinD("ths_adjustment_nv_fund",AI$3,$A505))</f>
        <v/>
      </c>
      <c r="AJ505" s="13">
        <f>IF($A505="","",[1]!thsiFinD("ths_adjustment_nv_fund",AJ$3,$A505))</f>
        <v/>
      </c>
      <c r="AK505" s="13">
        <f>IF($A505="","",[1]!thsiFinD("ths_adjustment_nv_fund",AK$3,$A505))</f>
        <v/>
      </c>
      <c r="AL505" s="13">
        <f>IF($A505="","",[1]!thsiFinD("ths_adjustment_nv_fund",AL$3,$A505))</f>
        <v/>
      </c>
    </row>
    <row r="506" spans="2:28">
      <c r="B506" s="13" t="str">
        <f>IF($A506="","",[1]!thsiFinD("ths_adjustment_nv_fund",B$3,$A506))</f>
        <v/>
      </c>
      <c r="C506" s="13" t="str">
        <f>IF($A506="","",[1]!thsiFinD("ths_adjustment_nv_fund",C$3,$A506))</f>
        <v/>
      </c>
      <c r="D506" s="13" t="str">
        <f>IF($A506="","",[1]!thsiFinD("ths_adjustment_nv_fund",D$3,$A506))</f>
        <v/>
      </c>
      <c r="E506" s="13" t="str">
        <f>IF($A506="","",[1]!thsiFinD("ths_adjustment_nv_fund",E$3,$A506))</f>
        <v/>
      </c>
      <c r="F506" s="13" t="str">
        <f>IF($A506="","",[1]!thsiFinD("ths_adjustment_nv_fund",F$3,$A506))</f>
        <v/>
      </c>
      <c r="G506" s="13" t="str">
        <f>IF($A506="","",[1]!thsiFinD("ths_adjustment_nv_fund",G$3,$A506))</f>
        <v/>
      </c>
      <c r="H506" s="13" t="str">
        <f>IF($A506="","",[1]!thsiFinD("ths_adjustment_nv_fund",H$3,$A506))</f>
        <v/>
      </c>
      <c r="I506" s="13" t="str">
        <f>IF($A506="","",[1]!thsiFinD("ths_adjustment_nv_fund",I$3,$A506))</f>
        <v/>
      </c>
      <c r="J506" s="13" t="str">
        <f>IF($A506="","",[1]!thsiFinD("ths_adjustment_nv_fund",J$3,$A506))</f>
        <v/>
      </c>
      <c r="K506" s="13" t="str">
        <f>IF($A506="","",[1]!thsiFinD("ths_adjustment_nv_fund",K$3,$A506))</f>
        <v/>
      </c>
      <c r="L506" s="13" t="str">
        <f>IF($A506="","",[1]!thsiFinD("ths_adjustment_nv_fund",L$3,$A506))</f>
        <v/>
      </c>
      <c r="M506" s="13" t="str">
        <f>IF($A506="","",[1]!thsiFinD("ths_adjustment_nv_fund",M$3,$A506))</f>
        <v/>
      </c>
      <c r="N506" s="13" t="str">
        <f>IF($A506="","",[1]!thsiFinD("ths_adjustment_nv_fund",N$3,$A506))</f>
        <v/>
      </c>
      <c r="O506" s="13" t="str">
        <f>IF($A506="","",[1]!thsiFinD("ths_adjustment_nv_fund",O$3,$A506))</f>
        <v/>
      </c>
      <c r="P506" s="13" t="str">
        <f>IF($A506="","",[1]!thsiFinD("ths_adjustment_nv_fund",P$3,$A506))</f>
        <v/>
      </c>
      <c r="Q506" s="13" t="str">
        <f>IF($A506="","",[1]!thsiFinD("ths_adjustment_nv_fund",Q$3,$A506))</f>
        <v/>
      </c>
      <c r="R506" s="13" t="str">
        <f>IF($A506="","",[1]!thsiFinD("ths_adjustment_nv_fund",R$3,$A506))</f>
        <v/>
      </c>
      <c r="S506" s="13" t="str">
        <f>IF($A506="","",[1]!thsiFinD("ths_adjustment_nv_fund",S$3,$A506))</f>
        <v/>
      </c>
      <c r="T506" s="13" t="str">
        <f>IF($A506="","",[1]!thsiFinD("ths_adjustment_nv_fund",T$3,$A506))</f>
        <v/>
      </c>
      <c r="U506" s="13" t="str">
        <f>IF($A506="","",[1]!thsiFinD("ths_adjustment_nv_fund",U$3,$A506))</f>
        <v/>
      </c>
      <c r="V506" s="13" t="str">
        <f>IF($A506="","",[1]!thsiFinD("ths_adjustment_nv_fund",V$3,$A506))</f>
        <v/>
      </c>
      <c r="W506" s="13" t="str">
        <f>IF($A506="","",[1]!thsiFinD("ths_adjustment_nv_fund",W$3,$A506))</f>
        <v/>
      </c>
      <c r="X506" s="13" t="str">
        <f>IF($A506="","",[1]!thsiFinD("ths_adjustment_nv_fund",X$3,$A506))</f>
        <v/>
      </c>
      <c r="Y506" s="13" t="str">
        <f>IF($A506="","",[1]!thsiFinD("ths_adjustment_nv_fund",Y$3,$A506))</f>
        <v/>
      </c>
      <c r="Z506" s="13" t="str">
        <f>IF($A506="","",[1]!thsiFinD("ths_adjustment_nv_fund",Z$3,$A506))</f>
        <v/>
      </c>
      <c r="AA506" s="13" t="str">
        <f>IF($A506="","",[1]!thsiFinD("ths_adjustment_nv_fund",AA$3,$A506))</f>
        <v/>
      </c>
      <c r="AB506" s="13">
        <f>IF($A506="","",[1]!thsiFinD("ths_adjustment_nv_fund",AB$3,$A506))</f>
        <v/>
      </c>
      <c r="AC506" s="13">
        <f>IF($A506="","",[1]!thsiFinD("ths_adjustment_nv_fund",AC$3,$A506))</f>
        <v/>
      </c>
      <c r="AD506" s="13">
        <f>IF($A506="","",[1]!thsiFinD("ths_adjustment_nv_fund",AD$3,$A506))</f>
        <v/>
      </c>
      <c r="AE506" s="13">
        <f>IF($A506="","",[1]!thsiFinD("ths_adjustment_nv_fund",AE$3,$A506))</f>
        <v/>
      </c>
      <c r="AF506" s="13">
        <f>IF($A506="","",[1]!thsiFinD("ths_adjustment_nv_fund",AF$3,$A506))</f>
        <v/>
      </c>
      <c r="AG506" s="13">
        <f>IF($A506="","",[1]!thsiFinD("ths_adjustment_nv_fund",AG$3,$A506))</f>
        <v/>
      </c>
      <c r="AH506" s="13">
        <f>IF($A506="","",[1]!thsiFinD("ths_adjustment_nv_fund",AH$3,$A506))</f>
        <v/>
      </c>
      <c r="AI506" s="13">
        <f>IF($A506="","",[1]!thsiFinD("ths_adjustment_nv_fund",AI$3,$A506))</f>
        <v/>
      </c>
      <c r="AJ506" s="13">
        <f>IF($A506="","",[1]!thsiFinD("ths_adjustment_nv_fund",AJ$3,$A506))</f>
        <v/>
      </c>
      <c r="AK506" s="13">
        <f>IF($A506="","",[1]!thsiFinD("ths_adjustment_nv_fund",AK$3,$A506))</f>
        <v/>
      </c>
      <c r="AL506" s="13">
        <f>IF($A506="","",[1]!thsiFinD("ths_adjustment_nv_fund",AL$3,$A506))</f>
        <v/>
      </c>
    </row>
    <row r="507" spans="2:28">
      <c r="B507" s="13" t="str">
        <f>IF($A507="","",[1]!thsiFinD("ths_adjustment_nv_fund",B$3,$A507))</f>
        <v/>
      </c>
      <c r="C507" s="13" t="str">
        <f>IF($A507="","",[1]!thsiFinD("ths_adjustment_nv_fund",C$3,$A507))</f>
        <v/>
      </c>
      <c r="D507" s="13" t="str">
        <f>IF($A507="","",[1]!thsiFinD("ths_adjustment_nv_fund",D$3,$A507))</f>
        <v/>
      </c>
      <c r="E507" s="13" t="str">
        <f>IF($A507="","",[1]!thsiFinD("ths_adjustment_nv_fund",E$3,$A507))</f>
        <v/>
      </c>
      <c r="F507" s="13" t="str">
        <f>IF($A507="","",[1]!thsiFinD("ths_adjustment_nv_fund",F$3,$A507))</f>
        <v/>
      </c>
      <c r="G507" s="13" t="str">
        <f>IF($A507="","",[1]!thsiFinD("ths_adjustment_nv_fund",G$3,$A507))</f>
        <v/>
      </c>
      <c r="H507" s="13" t="str">
        <f>IF($A507="","",[1]!thsiFinD("ths_adjustment_nv_fund",H$3,$A507))</f>
        <v/>
      </c>
      <c r="I507" s="13" t="str">
        <f>IF($A507="","",[1]!thsiFinD("ths_adjustment_nv_fund",I$3,$A507))</f>
        <v/>
      </c>
      <c r="J507" s="13" t="str">
        <f>IF($A507="","",[1]!thsiFinD("ths_adjustment_nv_fund",J$3,$A507))</f>
        <v/>
      </c>
      <c r="K507" s="13" t="str">
        <f>IF($A507="","",[1]!thsiFinD("ths_adjustment_nv_fund",K$3,$A507))</f>
        <v/>
      </c>
      <c r="L507" s="13" t="str">
        <f>IF($A507="","",[1]!thsiFinD("ths_adjustment_nv_fund",L$3,$A507))</f>
        <v/>
      </c>
      <c r="M507" s="13" t="str">
        <f>IF($A507="","",[1]!thsiFinD("ths_adjustment_nv_fund",M$3,$A507))</f>
        <v/>
      </c>
      <c r="N507" s="13" t="str">
        <f>IF($A507="","",[1]!thsiFinD("ths_adjustment_nv_fund",N$3,$A507))</f>
        <v/>
      </c>
      <c r="O507" s="13" t="str">
        <f>IF($A507="","",[1]!thsiFinD("ths_adjustment_nv_fund",O$3,$A507))</f>
        <v/>
      </c>
      <c r="P507" s="13" t="str">
        <f>IF($A507="","",[1]!thsiFinD("ths_adjustment_nv_fund",P$3,$A507))</f>
        <v/>
      </c>
      <c r="Q507" s="13" t="str">
        <f>IF($A507="","",[1]!thsiFinD("ths_adjustment_nv_fund",Q$3,$A507))</f>
        <v/>
      </c>
      <c r="R507" s="13" t="str">
        <f>IF($A507="","",[1]!thsiFinD("ths_adjustment_nv_fund",R$3,$A507))</f>
        <v/>
      </c>
      <c r="S507" s="13" t="str">
        <f>IF($A507="","",[1]!thsiFinD("ths_adjustment_nv_fund",S$3,$A507))</f>
        <v/>
      </c>
      <c r="T507" s="13" t="str">
        <f>IF($A507="","",[1]!thsiFinD("ths_adjustment_nv_fund",T$3,$A507))</f>
        <v/>
      </c>
      <c r="U507" s="13" t="str">
        <f>IF($A507="","",[1]!thsiFinD("ths_adjustment_nv_fund",U$3,$A507))</f>
        <v/>
      </c>
      <c r="V507" s="13" t="str">
        <f>IF($A507="","",[1]!thsiFinD("ths_adjustment_nv_fund",V$3,$A507))</f>
        <v/>
      </c>
      <c r="W507" s="13" t="str">
        <f>IF($A507="","",[1]!thsiFinD("ths_adjustment_nv_fund",W$3,$A507))</f>
        <v/>
      </c>
      <c r="X507" s="13" t="str">
        <f>IF($A507="","",[1]!thsiFinD("ths_adjustment_nv_fund",X$3,$A507))</f>
        <v/>
      </c>
      <c r="Y507" s="13" t="str">
        <f>IF($A507="","",[1]!thsiFinD("ths_adjustment_nv_fund",Y$3,$A507))</f>
        <v/>
      </c>
      <c r="Z507" s="13" t="str">
        <f>IF($A507="","",[1]!thsiFinD("ths_adjustment_nv_fund",Z$3,$A507))</f>
        <v/>
      </c>
      <c r="AA507" s="13" t="str">
        <f>IF($A507="","",[1]!thsiFinD("ths_adjustment_nv_fund",AA$3,$A507))</f>
        <v/>
      </c>
      <c r="AB507" s="13">
        <f>IF($A507="","",[1]!thsiFinD("ths_adjustment_nv_fund",AB$3,$A507))</f>
        <v/>
      </c>
      <c r="AC507" s="13">
        <f>IF($A507="","",[1]!thsiFinD("ths_adjustment_nv_fund",AC$3,$A507))</f>
        <v/>
      </c>
      <c r="AD507" s="13">
        <f>IF($A507="","",[1]!thsiFinD("ths_adjustment_nv_fund",AD$3,$A507))</f>
        <v/>
      </c>
      <c r="AE507" s="13">
        <f>IF($A507="","",[1]!thsiFinD("ths_adjustment_nv_fund",AE$3,$A507))</f>
        <v/>
      </c>
      <c r="AF507" s="13">
        <f>IF($A507="","",[1]!thsiFinD("ths_adjustment_nv_fund",AF$3,$A507))</f>
        <v/>
      </c>
      <c r="AG507" s="13">
        <f>IF($A507="","",[1]!thsiFinD("ths_adjustment_nv_fund",AG$3,$A507))</f>
        <v/>
      </c>
      <c r="AH507" s="13">
        <f>IF($A507="","",[1]!thsiFinD("ths_adjustment_nv_fund",AH$3,$A507))</f>
        <v/>
      </c>
      <c r="AI507" s="13">
        <f>IF($A507="","",[1]!thsiFinD("ths_adjustment_nv_fund",AI$3,$A507))</f>
        <v/>
      </c>
      <c r="AJ507" s="13">
        <f>IF($A507="","",[1]!thsiFinD("ths_adjustment_nv_fund",AJ$3,$A507))</f>
        <v/>
      </c>
      <c r="AK507" s="13">
        <f>IF($A507="","",[1]!thsiFinD("ths_adjustment_nv_fund",AK$3,$A507))</f>
        <v/>
      </c>
      <c r="AL507" s="13">
        <f>IF($A507="","",[1]!thsiFinD("ths_adjustment_nv_fund",AL$3,$A507))</f>
        <v/>
      </c>
    </row>
    <row r="508" spans="2:28">
      <c r="B508" s="13" t="str">
        <f>IF($A508="","",[1]!thsiFinD("ths_adjustment_nv_fund",B$3,$A508))</f>
        <v/>
      </c>
      <c r="C508" s="13" t="str">
        <f>IF($A508="","",[1]!thsiFinD("ths_adjustment_nv_fund",C$3,$A508))</f>
        <v/>
      </c>
      <c r="D508" s="13" t="str">
        <f>IF($A508="","",[1]!thsiFinD("ths_adjustment_nv_fund",D$3,$A508))</f>
        <v/>
      </c>
      <c r="E508" s="13" t="str">
        <f>IF($A508="","",[1]!thsiFinD("ths_adjustment_nv_fund",E$3,$A508))</f>
        <v/>
      </c>
      <c r="F508" s="13" t="str">
        <f>IF($A508="","",[1]!thsiFinD("ths_adjustment_nv_fund",F$3,$A508))</f>
        <v/>
      </c>
      <c r="G508" s="13" t="str">
        <f>IF($A508="","",[1]!thsiFinD("ths_adjustment_nv_fund",G$3,$A508))</f>
        <v/>
      </c>
      <c r="H508" s="13" t="str">
        <f>IF($A508="","",[1]!thsiFinD("ths_adjustment_nv_fund",H$3,$A508))</f>
        <v/>
      </c>
      <c r="I508" s="13" t="str">
        <f>IF($A508="","",[1]!thsiFinD("ths_adjustment_nv_fund",I$3,$A508))</f>
        <v/>
      </c>
      <c r="J508" s="13" t="str">
        <f>IF($A508="","",[1]!thsiFinD("ths_adjustment_nv_fund",J$3,$A508))</f>
        <v/>
      </c>
      <c r="K508" s="13" t="str">
        <f>IF($A508="","",[1]!thsiFinD("ths_adjustment_nv_fund",K$3,$A508))</f>
        <v/>
      </c>
      <c r="L508" s="13" t="str">
        <f>IF($A508="","",[1]!thsiFinD("ths_adjustment_nv_fund",L$3,$A508))</f>
        <v/>
      </c>
      <c r="M508" s="13" t="str">
        <f>IF($A508="","",[1]!thsiFinD("ths_adjustment_nv_fund",M$3,$A508))</f>
        <v/>
      </c>
      <c r="N508" s="13" t="str">
        <f>IF($A508="","",[1]!thsiFinD("ths_adjustment_nv_fund",N$3,$A508))</f>
        <v/>
      </c>
      <c r="O508" s="13" t="str">
        <f>IF($A508="","",[1]!thsiFinD("ths_adjustment_nv_fund",O$3,$A508))</f>
        <v/>
      </c>
      <c r="P508" s="13" t="str">
        <f>IF($A508="","",[1]!thsiFinD("ths_adjustment_nv_fund",P$3,$A508))</f>
        <v/>
      </c>
      <c r="Q508" s="13" t="str">
        <f>IF($A508="","",[1]!thsiFinD("ths_adjustment_nv_fund",Q$3,$A508))</f>
        <v/>
      </c>
      <c r="R508" s="13" t="str">
        <f>IF($A508="","",[1]!thsiFinD("ths_adjustment_nv_fund",R$3,$A508))</f>
        <v/>
      </c>
      <c r="S508" s="13" t="str">
        <f>IF($A508="","",[1]!thsiFinD("ths_adjustment_nv_fund",S$3,$A508))</f>
        <v/>
      </c>
      <c r="T508" s="13" t="str">
        <f>IF($A508="","",[1]!thsiFinD("ths_adjustment_nv_fund",T$3,$A508))</f>
        <v/>
      </c>
      <c r="U508" s="13" t="str">
        <f>IF($A508="","",[1]!thsiFinD("ths_adjustment_nv_fund",U$3,$A508))</f>
        <v/>
      </c>
      <c r="V508" s="13" t="str">
        <f>IF($A508="","",[1]!thsiFinD("ths_adjustment_nv_fund",V$3,$A508))</f>
        <v/>
      </c>
      <c r="W508" s="13" t="str">
        <f>IF($A508="","",[1]!thsiFinD("ths_adjustment_nv_fund",W$3,$A508))</f>
        <v/>
      </c>
      <c r="X508" s="13" t="str">
        <f>IF($A508="","",[1]!thsiFinD("ths_adjustment_nv_fund",X$3,$A508))</f>
        <v/>
      </c>
      <c r="Y508" s="13" t="str">
        <f>IF($A508="","",[1]!thsiFinD("ths_adjustment_nv_fund",Y$3,$A508))</f>
        <v/>
      </c>
      <c r="Z508" s="13" t="str">
        <f>IF($A508="","",[1]!thsiFinD("ths_adjustment_nv_fund",Z$3,$A508))</f>
        <v/>
      </c>
      <c r="AA508" s="13" t="str">
        <f>IF($A508="","",[1]!thsiFinD("ths_adjustment_nv_fund",AA$3,$A508))</f>
        <v/>
      </c>
      <c r="AB508" s="13">
        <f>IF($A508="","",[1]!thsiFinD("ths_adjustment_nv_fund",AB$3,$A508))</f>
        <v/>
      </c>
      <c r="AC508" s="13">
        <f>IF($A508="","",[1]!thsiFinD("ths_adjustment_nv_fund",AC$3,$A508))</f>
        <v/>
      </c>
      <c r="AD508" s="13">
        <f>IF($A508="","",[1]!thsiFinD("ths_adjustment_nv_fund",AD$3,$A508))</f>
        <v/>
      </c>
      <c r="AE508" s="13">
        <f>IF($A508="","",[1]!thsiFinD("ths_adjustment_nv_fund",AE$3,$A508))</f>
        <v/>
      </c>
      <c r="AF508" s="13">
        <f>IF($A508="","",[1]!thsiFinD("ths_adjustment_nv_fund",AF$3,$A508))</f>
        <v/>
      </c>
      <c r="AG508" s="13">
        <f>IF($A508="","",[1]!thsiFinD("ths_adjustment_nv_fund",AG$3,$A508))</f>
        <v/>
      </c>
      <c r="AH508" s="13">
        <f>IF($A508="","",[1]!thsiFinD("ths_adjustment_nv_fund",AH$3,$A508))</f>
        <v/>
      </c>
      <c r="AI508" s="13">
        <f>IF($A508="","",[1]!thsiFinD("ths_adjustment_nv_fund",AI$3,$A508))</f>
        <v/>
      </c>
      <c r="AJ508" s="13">
        <f>IF($A508="","",[1]!thsiFinD("ths_adjustment_nv_fund",AJ$3,$A508))</f>
        <v/>
      </c>
      <c r="AK508" s="13">
        <f>IF($A508="","",[1]!thsiFinD("ths_adjustment_nv_fund",AK$3,$A508))</f>
        <v/>
      </c>
      <c r="AL508" s="13">
        <f>IF($A508="","",[1]!thsiFinD("ths_adjustment_nv_fund",AL$3,$A508))</f>
        <v/>
      </c>
    </row>
    <row r="509" spans="2:28">
      <c r="B509" s="13" t="str">
        <f>IF($A509="","",[1]!thsiFinD("ths_adjustment_nv_fund",B$3,$A509))</f>
        <v/>
      </c>
      <c r="C509" s="13" t="str">
        <f>IF($A509="","",[1]!thsiFinD("ths_adjustment_nv_fund",C$3,$A509))</f>
        <v/>
      </c>
      <c r="D509" s="13" t="str">
        <f>IF($A509="","",[1]!thsiFinD("ths_adjustment_nv_fund",D$3,$A509))</f>
        <v/>
      </c>
      <c r="E509" s="13" t="str">
        <f>IF($A509="","",[1]!thsiFinD("ths_adjustment_nv_fund",E$3,$A509))</f>
        <v/>
      </c>
      <c r="F509" s="13" t="str">
        <f>IF($A509="","",[1]!thsiFinD("ths_adjustment_nv_fund",F$3,$A509))</f>
        <v/>
      </c>
      <c r="G509" s="13" t="str">
        <f>IF($A509="","",[1]!thsiFinD("ths_adjustment_nv_fund",G$3,$A509))</f>
        <v/>
      </c>
      <c r="H509" s="13" t="str">
        <f>IF($A509="","",[1]!thsiFinD("ths_adjustment_nv_fund",H$3,$A509))</f>
        <v/>
      </c>
      <c r="I509" s="13" t="str">
        <f>IF($A509="","",[1]!thsiFinD("ths_adjustment_nv_fund",I$3,$A509))</f>
        <v/>
      </c>
      <c r="J509" s="13" t="str">
        <f>IF($A509="","",[1]!thsiFinD("ths_adjustment_nv_fund",J$3,$A509))</f>
        <v/>
      </c>
      <c r="K509" s="13" t="str">
        <f>IF($A509="","",[1]!thsiFinD("ths_adjustment_nv_fund",K$3,$A509))</f>
        <v/>
      </c>
      <c r="L509" s="13" t="str">
        <f>IF($A509="","",[1]!thsiFinD("ths_adjustment_nv_fund",L$3,$A509))</f>
        <v/>
      </c>
      <c r="M509" s="13" t="str">
        <f>IF($A509="","",[1]!thsiFinD("ths_adjustment_nv_fund",M$3,$A509))</f>
        <v/>
      </c>
      <c r="N509" s="13" t="str">
        <f>IF($A509="","",[1]!thsiFinD("ths_adjustment_nv_fund",N$3,$A509))</f>
        <v/>
      </c>
      <c r="O509" s="13" t="str">
        <f>IF($A509="","",[1]!thsiFinD("ths_adjustment_nv_fund",O$3,$A509))</f>
        <v/>
      </c>
      <c r="P509" s="13" t="str">
        <f>IF($A509="","",[1]!thsiFinD("ths_adjustment_nv_fund",P$3,$A509))</f>
        <v/>
      </c>
      <c r="Q509" s="13" t="str">
        <f>IF($A509="","",[1]!thsiFinD("ths_adjustment_nv_fund",Q$3,$A509))</f>
        <v/>
      </c>
      <c r="R509" s="13" t="str">
        <f>IF($A509="","",[1]!thsiFinD("ths_adjustment_nv_fund",R$3,$A509))</f>
        <v/>
      </c>
      <c r="S509" s="13" t="str">
        <f>IF($A509="","",[1]!thsiFinD("ths_adjustment_nv_fund",S$3,$A509))</f>
        <v/>
      </c>
      <c r="T509" s="13" t="str">
        <f>IF($A509="","",[1]!thsiFinD("ths_adjustment_nv_fund",T$3,$A509))</f>
        <v/>
      </c>
      <c r="U509" s="13" t="str">
        <f>IF($A509="","",[1]!thsiFinD("ths_adjustment_nv_fund",U$3,$A509))</f>
        <v/>
      </c>
      <c r="V509" s="13" t="str">
        <f>IF($A509="","",[1]!thsiFinD("ths_adjustment_nv_fund",V$3,$A509))</f>
        <v/>
      </c>
      <c r="W509" s="13" t="str">
        <f>IF($A509="","",[1]!thsiFinD("ths_adjustment_nv_fund",W$3,$A509))</f>
        <v/>
      </c>
      <c r="X509" s="13" t="str">
        <f>IF($A509="","",[1]!thsiFinD("ths_adjustment_nv_fund",X$3,$A509))</f>
        <v/>
      </c>
      <c r="Y509" s="13" t="str">
        <f>IF($A509="","",[1]!thsiFinD("ths_adjustment_nv_fund",Y$3,$A509))</f>
        <v/>
      </c>
      <c r="Z509" s="13" t="str">
        <f>IF($A509="","",[1]!thsiFinD("ths_adjustment_nv_fund",Z$3,$A509))</f>
        <v/>
      </c>
      <c r="AA509" s="13" t="str">
        <f>IF($A509="","",[1]!thsiFinD("ths_adjustment_nv_fund",AA$3,$A509))</f>
        <v/>
      </c>
      <c r="AB509" s="13">
        <f>IF($A509="","",[1]!thsiFinD("ths_adjustment_nv_fund",AB$3,$A509))</f>
        <v/>
      </c>
      <c r="AC509" s="13">
        <f>IF($A509="","",[1]!thsiFinD("ths_adjustment_nv_fund",AC$3,$A509))</f>
        <v/>
      </c>
      <c r="AD509" s="13">
        <f>IF($A509="","",[1]!thsiFinD("ths_adjustment_nv_fund",AD$3,$A509))</f>
        <v/>
      </c>
      <c r="AE509" s="13">
        <f>IF($A509="","",[1]!thsiFinD("ths_adjustment_nv_fund",AE$3,$A509))</f>
        <v/>
      </c>
      <c r="AF509" s="13">
        <f>IF($A509="","",[1]!thsiFinD("ths_adjustment_nv_fund",AF$3,$A509))</f>
        <v/>
      </c>
      <c r="AG509" s="13">
        <f>IF($A509="","",[1]!thsiFinD("ths_adjustment_nv_fund",AG$3,$A509))</f>
        <v/>
      </c>
      <c r="AH509" s="13">
        <f>IF($A509="","",[1]!thsiFinD("ths_adjustment_nv_fund",AH$3,$A509))</f>
        <v/>
      </c>
      <c r="AI509" s="13">
        <f>IF($A509="","",[1]!thsiFinD("ths_adjustment_nv_fund",AI$3,$A509))</f>
        <v/>
      </c>
      <c r="AJ509" s="13">
        <f>IF($A509="","",[1]!thsiFinD("ths_adjustment_nv_fund",AJ$3,$A509))</f>
        <v/>
      </c>
      <c r="AK509" s="13">
        <f>IF($A509="","",[1]!thsiFinD("ths_adjustment_nv_fund",AK$3,$A509))</f>
        <v/>
      </c>
      <c r="AL509" s="13">
        <f>IF($A509="","",[1]!thsiFinD("ths_adjustment_nv_fund",AL$3,$A509))</f>
        <v/>
      </c>
    </row>
    <row r="510" spans="2:28">
      <c r="B510" s="13" t="str">
        <f>IF($A510="","",[1]!thsiFinD("ths_adjustment_nv_fund",B$3,$A510))</f>
        <v/>
      </c>
      <c r="C510" s="13" t="str">
        <f>IF($A510="","",[1]!thsiFinD("ths_adjustment_nv_fund",C$3,$A510))</f>
        <v/>
      </c>
      <c r="D510" s="13" t="str">
        <f>IF($A510="","",[1]!thsiFinD("ths_adjustment_nv_fund",D$3,$A510))</f>
        <v/>
      </c>
      <c r="E510" s="13" t="str">
        <f>IF($A510="","",[1]!thsiFinD("ths_adjustment_nv_fund",E$3,$A510))</f>
        <v/>
      </c>
      <c r="F510" s="13" t="str">
        <f>IF($A510="","",[1]!thsiFinD("ths_adjustment_nv_fund",F$3,$A510))</f>
        <v/>
      </c>
      <c r="G510" s="13" t="str">
        <f>IF($A510="","",[1]!thsiFinD("ths_adjustment_nv_fund",G$3,$A510))</f>
        <v/>
      </c>
      <c r="H510" s="13" t="str">
        <f>IF($A510="","",[1]!thsiFinD("ths_adjustment_nv_fund",H$3,$A510))</f>
        <v/>
      </c>
      <c r="I510" s="13" t="str">
        <f>IF($A510="","",[1]!thsiFinD("ths_adjustment_nv_fund",I$3,$A510))</f>
        <v/>
      </c>
      <c r="J510" s="13" t="str">
        <f>IF($A510="","",[1]!thsiFinD("ths_adjustment_nv_fund",J$3,$A510))</f>
        <v/>
      </c>
      <c r="K510" s="13" t="str">
        <f>IF($A510="","",[1]!thsiFinD("ths_adjustment_nv_fund",K$3,$A510))</f>
        <v/>
      </c>
      <c r="L510" s="13" t="str">
        <f>IF($A510="","",[1]!thsiFinD("ths_adjustment_nv_fund",L$3,$A510))</f>
        <v/>
      </c>
      <c r="M510" s="13" t="str">
        <f>IF($A510="","",[1]!thsiFinD("ths_adjustment_nv_fund",M$3,$A510))</f>
        <v/>
      </c>
      <c r="N510" s="13" t="str">
        <f>IF($A510="","",[1]!thsiFinD("ths_adjustment_nv_fund",N$3,$A510))</f>
        <v/>
      </c>
      <c r="O510" s="13" t="str">
        <f>IF($A510="","",[1]!thsiFinD("ths_adjustment_nv_fund",O$3,$A510))</f>
        <v/>
      </c>
      <c r="P510" s="13" t="str">
        <f>IF($A510="","",[1]!thsiFinD("ths_adjustment_nv_fund",P$3,$A510))</f>
        <v/>
      </c>
      <c r="Q510" s="13" t="str">
        <f>IF($A510="","",[1]!thsiFinD("ths_adjustment_nv_fund",Q$3,$A510))</f>
        <v/>
      </c>
      <c r="R510" s="13" t="str">
        <f>IF($A510="","",[1]!thsiFinD("ths_adjustment_nv_fund",R$3,$A510))</f>
        <v/>
      </c>
      <c r="S510" s="13" t="str">
        <f>IF($A510="","",[1]!thsiFinD("ths_adjustment_nv_fund",S$3,$A510))</f>
        <v/>
      </c>
      <c r="T510" s="13" t="str">
        <f>IF($A510="","",[1]!thsiFinD("ths_adjustment_nv_fund",T$3,$A510))</f>
        <v/>
      </c>
      <c r="U510" s="13" t="str">
        <f>IF($A510="","",[1]!thsiFinD("ths_adjustment_nv_fund",U$3,$A510))</f>
        <v/>
      </c>
      <c r="V510" s="13" t="str">
        <f>IF($A510="","",[1]!thsiFinD("ths_adjustment_nv_fund",V$3,$A510))</f>
        <v/>
      </c>
      <c r="W510" s="13" t="str">
        <f>IF($A510="","",[1]!thsiFinD("ths_adjustment_nv_fund",W$3,$A510))</f>
        <v/>
      </c>
      <c r="X510" s="13" t="str">
        <f>IF($A510="","",[1]!thsiFinD("ths_adjustment_nv_fund",X$3,$A510))</f>
        <v/>
      </c>
      <c r="Y510" s="13" t="str">
        <f>IF($A510="","",[1]!thsiFinD("ths_adjustment_nv_fund",Y$3,$A510))</f>
        <v/>
      </c>
      <c r="Z510" s="13" t="str">
        <f>IF($A510="","",[1]!thsiFinD("ths_adjustment_nv_fund",Z$3,$A510))</f>
        <v/>
      </c>
      <c r="AA510" s="13" t="str">
        <f>IF($A510="","",[1]!thsiFinD("ths_adjustment_nv_fund",AA$3,$A510))</f>
        <v/>
      </c>
      <c r="AB510" s="13">
        <f>IF($A510="","",[1]!thsiFinD("ths_adjustment_nv_fund",AB$3,$A510))</f>
        <v/>
      </c>
      <c r="AC510" s="13">
        <f>IF($A510="","",[1]!thsiFinD("ths_adjustment_nv_fund",AC$3,$A510))</f>
        <v/>
      </c>
      <c r="AD510" s="13">
        <f>IF($A510="","",[1]!thsiFinD("ths_adjustment_nv_fund",AD$3,$A510))</f>
        <v/>
      </c>
      <c r="AE510" s="13">
        <f>IF($A510="","",[1]!thsiFinD("ths_adjustment_nv_fund",AE$3,$A510))</f>
        <v/>
      </c>
      <c r="AF510" s="13">
        <f>IF($A510="","",[1]!thsiFinD("ths_adjustment_nv_fund",AF$3,$A510))</f>
        <v/>
      </c>
      <c r="AG510" s="13">
        <f>IF($A510="","",[1]!thsiFinD("ths_adjustment_nv_fund",AG$3,$A510))</f>
        <v/>
      </c>
      <c r="AH510" s="13">
        <f>IF($A510="","",[1]!thsiFinD("ths_adjustment_nv_fund",AH$3,$A510))</f>
        <v/>
      </c>
      <c r="AI510" s="13">
        <f>IF($A510="","",[1]!thsiFinD("ths_adjustment_nv_fund",AI$3,$A510))</f>
        <v/>
      </c>
      <c r="AJ510" s="13">
        <f>IF($A510="","",[1]!thsiFinD("ths_adjustment_nv_fund",AJ$3,$A510))</f>
        <v/>
      </c>
      <c r="AK510" s="13">
        <f>IF($A510="","",[1]!thsiFinD("ths_adjustment_nv_fund",AK$3,$A510))</f>
        <v/>
      </c>
      <c r="AL510" s="13">
        <f>IF($A510="","",[1]!thsiFinD("ths_adjustment_nv_fund",AL$3,$A510))</f>
        <v/>
      </c>
    </row>
    <row r="511" spans="2:28">
      <c r="B511" s="13" t="str">
        <f>IF($A511="","",[1]!thsiFinD("ths_adjustment_nv_fund",B$3,$A511))</f>
        <v/>
      </c>
      <c r="C511" s="13" t="str">
        <f>IF($A511="","",[1]!thsiFinD("ths_adjustment_nv_fund",C$3,$A511))</f>
        <v/>
      </c>
      <c r="D511" s="13" t="str">
        <f>IF($A511="","",[1]!thsiFinD("ths_adjustment_nv_fund",D$3,$A511))</f>
        <v/>
      </c>
      <c r="E511" s="13" t="str">
        <f>IF($A511="","",[1]!thsiFinD("ths_adjustment_nv_fund",E$3,$A511))</f>
        <v/>
      </c>
      <c r="F511" s="13" t="str">
        <f>IF($A511="","",[1]!thsiFinD("ths_adjustment_nv_fund",F$3,$A511))</f>
        <v/>
      </c>
      <c r="G511" s="13" t="str">
        <f>IF($A511="","",[1]!thsiFinD("ths_adjustment_nv_fund",G$3,$A511))</f>
        <v/>
      </c>
      <c r="H511" s="13" t="str">
        <f>IF($A511="","",[1]!thsiFinD("ths_adjustment_nv_fund",H$3,$A511))</f>
        <v/>
      </c>
      <c r="I511" s="13" t="str">
        <f>IF($A511="","",[1]!thsiFinD("ths_adjustment_nv_fund",I$3,$A511))</f>
        <v/>
      </c>
      <c r="J511" s="13" t="str">
        <f>IF($A511="","",[1]!thsiFinD("ths_adjustment_nv_fund",J$3,$A511))</f>
        <v/>
      </c>
      <c r="K511" s="13" t="str">
        <f>IF($A511="","",[1]!thsiFinD("ths_adjustment_nv_fund",K$3,$A511))</f>
        <v/>
      </c>
      <c r="L511" s="13" t="str">
        <f>IF($A511="","",[1]!thsiFinD("ths_adjustment_nv_fund",L$3,$A511))</f>
        <v/>
      </c>
      <c r="M511" s="13" t="str">
        <f>IF($A511="","",[1]!thsiFinD("ths_adjustment_nv_fund",M$3,$A511))</f>
        <v/>
      </c>
      <c r="N511" s="13" t="str">
        <f>IF($A511="","",[1]!thsiFinD("ths_adjustment_nv_fund",N$3,$A511))</f>
        <v/>
      </c>
      <c r="O511" s="13" t="str">
        <f>IF($A511="","",[1]!thsiFinD("ths_adjustment_nv_fund",O$3,$A511))</f>
        <v/>
      </c>
      <c r="P511" s="13" t="str">
        <f>IF($A511="","",[1]!thsiFinD("ths_adjustment_nv_fund",P$3,$A511))</f>
        <v/>
      </c>
      <c r="Q511" s="13" t="str">
        <f>IF($A511="","",[1]!thsiFinD("ths_adjustment_nv_fund",Q$3,$A511))</f>
        <v/>
      </c>
      <c r="R511" s="13" t="str">
        <f>IF($A511="","",[1]!thsiFinD("ths_adjustment_nv_fund",R$3,$A511))</f>
        <v/>
      </c>
      <c r="S511" s="13" t="str">
        <f>IF($A511="","",[1]!thsiFinD("ths_adjustment_nv_fund",S$3,$A511))</f>
        <v/>
      </c>
      <c r="T511" s="13" t="str">
        <f>IF($A511="","",[1]!thsiFinD("ths_adjustment_nv_fund",T$3,$A511))</f>
        <v/>
      </c>
      <c r="U511" s="13" t="str">
        <f>IF($A511="","",[1]!thsiFinD("ths_adjustment_nv_fund",U$3,$A511))</f>
        <v/>
      </c>
      <c r="V511" s="13" t="str">
        <f>IF($A511="","",[1]!thsiFinD("ths_adjustment_nv_fund",V$3,$A511))</f>
        <v/>
      </c>
      <c r="W511" s="13" t="str">
        <f>IF($A511="","",[1]!thsiFinD("ths_adjustment_nv_fund",W$3,$A511))</f>
        <v/>
      </c>
      <c r="X511" s="13" t="str">
        <f>IF($A511="","",[1]!thsiFinD("ths_adjustment_nv_fund",X$3,$A511))</f>
        <v/>
      </c>
      <c r="Y511" s="13" t="str">
        <f>IF($A511="","",[1]!thsiFinD("ths_adjustment_nv_fund",Y$3,$A511))</f>
        <v/>
      </c>
      <c r="Z511" s="13" t="str">
        <f>IF($A511="","",[1]!thsiFinD("ths_adjustment_nv_fund",Z$3,$A511))</f>
        <v/>
      </c>
      <c r="AA511" s="13" t="str">
        <f>IF($A511="","",[1]!thsiFinD("ths_adjustment_nv_fund",AA$3,$A511))</f>
        <v/>
      </c>
      <c r="AB511" s="13">
        <f>IF($A511="","",[1]!thsiFinD("ths_adjustment_nv_fund",AB$3,$A511))</f>
        <v/>
      </c>
      <c r="AC511" s="13">
        <f>IF($A511="","",[1]!thsiFinD("ths_adjustment_nv_fund",AC$3,$A511))</f>
        <v/>
      </c>
      <c r="AD511" s="13">
        <f>IF($A511="","",[1]!thsiFinD("ths_adjustment_nv_fund",AD$3,$A511))</f>
        <v/>
      </c>
      <c r="AE511" s="13">
        <f>IF($A511="","",[1]!thsiFinD("ths_adjustment_nv_fund",AE$3,$A511))</f>
        <v/>
      </c>
      <c r="AF511" s="13">
        <f>IF($A511="","",[1]!thsiFinD("ths_adjustment_nv_fund",AF$3,$A511))</f>
        <v/>
      </c>
      <c r="AG511" s="13">
        <f>IF($A511="","",[1]!thsiFinD("ths_adjustment_nv_fund",AG$3,$A511))</f>
        <v/>
      </c>
      <c r="AH511" s="13">
        <f>IF($A511="","",[1]!thsiFinD("ths_adjustment_nv_fund",AH$3,$A511))</f>
        <v/>
      </c>
      <c r="AI511" s="13">
        <f>IF($A511="","",[1]!thsiFinD("ths_adjustment_nv_fund",AI$3,$A511))</f>
        <v/>
      </c>
      <c r="AJ511" s="13">
        <f>IF($A511="","",[1]!thsiFinD("ths_adjustment_nv_fund",AJ$3,$A511))</f>
        <v/>
      </c>
      <c r="AK511" s="13">
        <f>IF($A511="","",[1]!thsiFinD("ths_adjustment_nv_fund",AK$3,$A511))</f>
        <v/>
      </c>
      <c r="AL511" s="13">
        <f>IF($A511="","",[1]!thsiFinD("ths_adjustment_nv_fund",AL$3,$A511))</f>
        <v/>
      </c>
    </row>
    <row r="512" spans="2:28">
      <c r="B512" s="13" t="str">
        <f>IF($A512="","",[1]!thsiFinD("ths_adjustment_nv_fund",B$3,$A512))</f>
        <v/>
      </c>
      <c r="C512" s="13" t="str">
        <f>IF($A512="","",[1]!thsiFinD("ths_adjustment_nv_fund",C$3,$A512))</f>
        <v/>
      </c>
      <c r="D512" s="13" t="str">
        <f>IF($A512="","",[1]!thsiFinD("ths_adjustment_nv_fund",D$3,$A512))</f>
        <v/>
      </c>
      <c r="E512" s="13" t="str">
        <f>IF($A512="","",[1]!thsiFinD("ths_adjustment_nv_fund",E$3,$A512))</f>
        <v/>
      </c>
      <c r="F512" s="13" t="str">
        <f>IF($A512="","",[1]!thsiFinD("ths_adjustment_nv_fund",F$3,$A512))</f>
        <v/>
      </c>
      <c r="G512" s="13" t="str">
        <f>IF($A512="","",[1]!thsiFinD("ths_adjustment_nv_fund",G$3,$A512))</f>
        <v/>
      </c>
      <c r="H512" s="13" t="str">
        <f>IF($A512="","",[1]!thsiFinD("ths_adjustment_nv_fund",H$3,$A512))</f>
        <v/>
      </c>
      <c r="I512" s="13" t="str">
        <f>IF($A512="","",[1]!thsiFinD("ths_adjustment_nv_fund",I$3,$A512))</f>
        <v/>
      </c>
      <c r="J512" s="13" t="str">
        <f>IF($A512="","",[1]!thsiFinD("ths_adjustment_nv_fund",J$3,$A512))</f>
        <v/>
      </c>
      <c r="K512" s="13" t="str">
        <f>IF($A512="","",[1]!thsiFinD("ths_adjustment_nv_fund",K$3,$A512))</f>
        <v/>
      </c>
      <c r="L512" s="13" t="str">
        <f>IF($A512="","",[1]!thsiFinD("ths_adjustment_nv_fund",L$3,$A512))</f>
        <v/>
      </c>
      <c r="M512" s="13" t="str">
        <f>IF($A512="","",[1]!thsiFinD("ths_adjustment_nv_fund",M$3,$A512))</f>
        <v/>
      </c>
      <c r="N512" s="13" t="str">
        <f>IF($A512="","",[1]!thsiFinD("ths_adjustment_nv_fund",N$3,$A512))</f>
        <v/>
      </c>
      <c r="O512" s="13" t="str">
        <f>IF($A512="","",[1]!thsiFinD("ths_adjustment_nv_fund",O$3,$A512))</f>
        <v/>
      </c>
      <c r="P512" s="13" t="str">
        <f>IF($A512="","",[1]!thsiFinD("ths_adjustment_nv_fund",P$3,$A512))</f>
        <v/>
      </c>
      <c r="Q512" s="13" t="str">
        <f>IF($A512="","",[1]!thsiFinD("ths_adjustment_nv_fund",Q$3,$A512))</f>
        <v/>
      </c>
      <c r="R512" s="13" t="str">
        <f>IF($A512="","",[1]!thsiFinD("ths_adjustment_nv_fund",R$3,$A512))</f>
        <v/>
      </c>
      <c r="S512" s="13" t="str">
        <f>IF($A512="","",[1]!thsiFinD("ths_adjustment_nv_fund",S$3,$A512))</f>
        <v/>
      </c>
      <c r="T512" s="13" t="str">
        <f>IF($A512="","",[1]!thsiFinD("ths_adjustment_nv_fund",T$3,$A512))</f>
        <v/>
      </c>
      <c r="U512" s="13" t="str">
        <f>IF($A512="","",[1]!thsiFinD("ths_adjustment_nv_fund",U$3,$A512))</f>
        <v/>
      </c>
      <c r="V512" s="13" t="str">
        <f>IF($A512="","",[1]!thsiFinD("ths_adjustment_nv_fund",V$3,$A512))</f>
        <v/>
      </c>
      <c r="W512" s="13" t="str">
        <f>IF($A512="","",[1]!thsiFinD("ths_adjustment_nv_fund",W$3,$A512))</f>
        <v/>
      </c>
      <c r="X512" s="13" t="str">
        <f>IF($A512="","",[1]!thsiFinD("ths_adjustment_nv_fund",X$3,$A512))</f>
        <v/>
      </c>
      <c r="Y512" s="13" t="str">
        <f>IF($A512="","",[1]!thsiFinD("ths_adjustment_nv_fund",Y$3,$A512))</f>
        <v/>
      </c>
      <c r="Z512" s="13" t="str">
        <f>IF($A512="","",[1]!thsiFinD("ths_adjustment_nv_fund",Z$3,$A512))</f>
        <v/>
      </c>
      <c r="AA512" s="13" t="str">
        <f>IF($A512="","",[1]!thsiFinD("ths_adjustment_nv_fund",AA$3,$A512))</f>
        <v/>
      </c>
      <c r="AB512" s="13">
        <f>IF($A512="","",[1]!thsiFinD("ths_adjustment_nv_fund",AB$3,$A512))</f>
        <v/>
      </c>
      <c r="AC512" s="13">
        <f>IF($A512="","",[1]!thsiFinD("ths_adjustment_nv_fund",AC$3,$A512))</f>
        <v/>
      </c>
      <c r="AD512" s="13">
        <f>IF($A512="","",[1]!thsiFinD("ths_adjustment_nv_fund",AD$3,$A512))</f>
        <v/>
      </c>
      <c r="AE512" s="13">
        <f>IF($A512="","",[1]!thsiFinD("ths_adjustment_nv_fund",AE$3,$A512))</f>
        <v/>
      </c>
      <c r="AF512" s="13">
        <f>IF($A512="","",[1]!thsiFinD("ths_adjustment_nv_fund",AF$3,$A512))</f>
        <v/>
      </c>
      <c r="AG512" s="13">
        <f>IF($A512="","",[1]!thsiFinD("ths_adjustment_nv_fund",AG$3,$A512))</f>
        <v/>
      </c>
      <c r="AH512" s="13">
        <f>IF($A512="","",[1]!thsiFinD("ths_adjustment_nv_fund",AH$3,$A512))</f>
        <v/>
      </c>
      <c r="AI512" s="13">
        <f>IF($A512="","",[1]!thsiFinD("ths_adjustment_nv_fund",AI$3,$A512))</f>
        <v/>
      </c>
      <c r="AJ512" s="13">
        <f>IF($A512="","",[1]!thsiFinD("ths_adjustment_nv_fund",AJ$3,$A512))</f>
        <v/>
      </c>
      <c r="AK512" s="13">
        <f>IF($A512="","",[1]!thsiFinD("ths_adjustment_nv_fund",AK$3,$A512))</f>
        <v/>
      </c>
      <c r="AL512" s="13">
        <f>IF($A512="","",[1]!thsiFinD("ths_adjustment_nv_fund",AL$3,$A512))</f>
        <v/>
      </c>
    </row>
    <row r="513" spans="2:28">
      <c r="B513" s="13" t="str">
        <f>IF($A513="","",[1]!thsiFinD("ths_adjustment_nv_fund",B$3,$A513))</f>
        <v/>
      </c>
      <c r="C513" s="13" t="str">
        <f>IF($A513="","",[1]!thsiFinD("ths_adjustment_nv_fund",C$3,$A513))</f>
        <v/>
      </c>
      <c r="D513" s="13" t="str">
        <f>IF($A513="","",[1]!thsiFinD("ths_adjustment_nv_fund",D$3,$A513))</f>
        <v/>
      </c>
      <c r="E513" s="13" t="str">
        <f>IF($A513="","",[1]!thsiFinD("ths_adjustment_nv_fund",E$3,$A513))</f>
        <v/>
      </c>
      <c r="F513" s="13" t="str">
        <f>IF($A513="","",[1]!thsiFinD("ths_adjustment_nv_fund",F$3,$A513))</f>
        <v/>
      </c>
      <c r="G513" s="13" t="str">
        <f>IF($A513="","",[1]!thsiFinD("ths_adjustment_nv_fund",G$3,$A513))</f>
        <v/>
      </c>
      <c r="H513" s="13" t="str">
        <f>IF($A513="","",[1]!thsiFinD("ths_adjustment_nv_fund",H$3,$A513))</f>
        <v/>
      </c>
      <c r="I513" s="13" t="str">
        <f>IF($A513="","",[1]!thsiFinD("ths_adjustment_nv_fund",I$3,$A513))</f>
        <v/>
      </c>
      <c r="J513" s="13" t="str">
        <f>IF($A513="","",[1]!thsiFinD("ths_adjustment_nv_fund",J$3,$A513))</f>
        <v/>
      </c>
      <c r="K513" s="13" t="str">
        <f>IF($A513="","",[1]!thsiFinD("ths_adjustment_nv_fund",K$3,$A513))</f>
        <v/>
      </c>
      <c r="L513" s="13" t="str">
        <f>IF($A513="","",[1]!thsiFinD("ths_adjustment_nv_fund",L$3,$A513))</f>
        <v/>
      </c>
      <c r="M513" s="13" t="str">
        <f>IF($A513="","",[1]!thsiFinD("ths_adjustment_nv_fund",M$3,$A513))</f>
        <v/>
      </c>
      <c r="N513" s="13" t="str">
        <f>IF($A513="","",[1]!thsiFinD("ths_adjustment_nv_fund",N$3,$A513))</f>
        <v/>
      </c>
      <c r="O513" s="13" t="str">
        <f>IF($A513="","",[1]!thsiFinD("ths_adjustment_nv_fund",O$3,$A513))</f>
        <v/>
      </c>
      <c r="P513" s="13" t="str">
        <f>IF($A513="","",[1]!thsiFinD("ths_adjustment_nv_fund",P$3,$A513))</f>
        <v/>
      </c>
      <c r="Q513" s="13" t="str">
        <f>IF($A513="","",[1]!thsiFinD("ths_adjustment_nv_fund",Q$3,$A513))</f>
        <v/>
      </c>
      <c r="R513" s="13" t="str">
        <f>IF($A513="","",[1]!thsiFinD("ths_adjustment_nv_fund",R$3,$A513))</f>
        <v/>
      </c>
      <c r="S513" s="13" t="str">
        <f>IF($A513="","",[1]!thsiFinD("ths_adjustment_nv_fund",S$3,$A513))</f>
        <v/>
      </c>
      <c r="T513" s="13" t="str">
        <f>IF($A513="","",[1]!thsiFinD("ths_adjustment_nv_fund",T$3,$A513))</f>
        <v/>
      </c>
      <c r="U513" s="13" t="str">
        <f>IF($A513="","",[1]!thsiFinD("ths_adjustment_nv_fund",U$3,$A513))</f>
        <v/>
      </c>
      <c r="V513" s="13" t="str">
        <f>IF($A513="","",[1]!thsiFinD("ths_adjustment_nv_fund",V$3,$A513))</f>
        <v/>
      </c>
      <c r="W513" s="13" t="str">
        <f>IF($A513="","",[1]!thsiFinD("ths_adjustment_nv_fund",W$3,$A513))</f>
        <v/>
      </c>
      <c r="X513" s="13" t="str">
        <f>IF($A513="","",[1]!thsiFinD("ths_adjustment_nv_fund",X$3,$A513))</f>
        <v/>
      </c>
      <c r="Y513" s="13" t="str">
        <f>IF($A513="","",[1]!thsiFinD("ths_adjustment_nv_fund",Y$3,$A513))</f>
        <v/>
      </c>
      <c r="Z513" s="13" t="str">
        <f>IF($A513="","",[1]!thsiFinD("ths_adjustment_nv_fund",Z$3,$A513))</f>
        <v/>
      </c>
      <c r="AA513" s="13" t="str">
        <f>IF($A513="","",[1]!thsiFinD("ths_adjustment_nv_fund",AA$3,$A513))</f>
        <v/>
      </c>
      <c r="AB513" s="13">
        <f>IF($A513="","",[1]!thsiFinD("ths_adjustment_nv_fund",AB$3,$A513))</f>
        <v/>
      </c>
      <c r="AC513" s="13">
        <f>IF($A513="","",[1]!thsiFinD("ths_adjustment_nv_fund",AC$3,$A513))</f>
        <v/>
      </c>
      <c r="AD513" s="13">
        <f>IF($A513="","",[1]!thsiFinD("ths_adjustment_nv_fund",AD$3,$A513))</f>
        <v/>
      </c>
      <c r="AE513" s="13">
        <f>IF($A513="","",[1]!thsiFinD("ths_adjustment_nv_fund",AE$3,$A513))</f>
        <v/>
      </c>
      <c r="AF513" s="13">
        <f>IF($A513="","",[1]!thsiFinD("ths_adjustment_nv_fund",AF$3,$A513))</f>
        <v/>
      </c>
      <c r="AG513" s="13">
        <f>IF($A513="","",[1]!thsiFinD("ths_adjustment_nv_fund",AG$3,$A513))</f>
        <v/>
      </c>
      <c r="AH513" s="13">
        <f>IF($A513="","",[1]!thsiFinD("ths_adjustment_nv_fund",AH$3,$A513))</f>
        <v/>
      </c>
      <c r="AI513" s="13">
        <f>IF($A513="","",[1]!thsiFinD("ths_adjustment_nv_fund",AI$3,$A513))</f>
        <v/>
      </c>
      <c r="AJ513" s="13">
        <f>IF($A513="","",[1]!thsiFinD("ths_adjustment_nv_fund",AJ$3,$A513))</f>
        <v/>
      </c>
      <c r="AK513" s="13">
        <f>IF($A513="","",[1]!thsiFinD("ths_adjustment_nv_fund",AK$3,$A513))</f>
        <v/>
      </c>
      <c r="AL513" s="13">
        <f>IF($A513="","",[1]!thsiFinD("ths_adjustment_nv_fund",AL$3,$A513))</f>
        <v/>
      </c>
    </row>
    <row r="514" spans="2:28">
      <c r="B514" s="13" t="str">
        <f>IF($A514="","",[1]!thsiFinD("ths_adjustment_nv_fund",B$3,$A514))</f>
        <v/>
      </c>
      <c r="C514" s="13" t="str">
        <f>IF($A514="","",[1]!thsiFinD("ths_adjustment_nv_fund",C$3,$A514))</f>
        <v/>
      </c>
      <c r="D514" s="13" t="str">
        <f>IF($A514="","",[1]!thsiFinD("ths_adjustment_nv_fund",D$3,$A514))</f>
        <v/>
      </c>
      <c r="E514" s="13" t="str">
        <f>IF($A514="","",[1]!thsiFinD("ths_adjustment_nv_fund",E$3,$A514))</f>
        <v/>
      </c>
      <c r="F514" s="13" t="str">
        <f>IF($A514="","",[1]!thsiFinD("ths_adjustment_nv_fund",F$3,$A514))</f>
        <v/>
      </c>
      <c r="G514" s="13" t="str">
        <f>IF($A514="","",[1]!thsiFinD("ths_adjustment_nv_fund",G$3,$A514))</f>
        <v/>
      </c>
      <c r="H514" s="13" t="str">
        <f>IF($A514="","",[1]!thsiFinD("ths_adjustment_nv_fund",H$3,$A514))</f>
        <v/>
      </c>
      <c r="I514" s="13" t="str">
        <f>IF($A514="","",[1]!thsiFinD("ths_adjustment_nv_fund",I$3,$A514))</f>
        <v/>
      </c>
      <c r="J514" s="13" t="str">
        <f>IF($A514="","",[1]!thsiFinD("ths_adjustment_nv_fund",J$3,$A514))</f>
        <v/>
      </c>
      <c r="K514" s="13" t="str">
        <f>IF($A514="","",[1]!thsiFinD("ths_adjustment_nv_fund",K$3,$A514))</f>
        <v/>
      </c>
      <c r="L514" s="13" t="str">
        <f>IF($A514="","",[1]!thsiFinD("ths_adjustment_nv_fund",L$3,$A514))</f>
        <v/>
      </c>
      <c r="M514" s="13" t="str">
        <f>IF($A514="","",[1]!thsiFinD("ths_adjustment_nv_fund",M$3,$A514))</f>
        <v/>
      </c>
      <c r="N514" s="13" t="str">
        <f>IF($A514="","",[1]!thsiFinD("ths_adjustment_nv_fund",N$3,$A514))</f>
        <v/>
      </c>
      <c r="O514" s="13" t="str">
        <f>IF($A514="","",[1]!thsiFinD("ths_adjustment_nv_fund",O$3,$A514))</f>
        <v/>
      </c>
      <c r="P514" s="13" t="str">
        <f>IF($A514="","",[1]!thsiFinD("ths_adjustment_nv_fund",P$3,$A514))</f>
        <v/>
      </c>
      <c r="Q514" s="13" t="str">
        <f>IF($A514="","",[1]!thsiFinD("ths_adjustment_nv_fund",Q$3,$A514))</f>
        <v/>
      </c>
      <c r="R514" s="13" t="str">
        <f>IF($A514="","",[1]!thsiFinD("ths_adjustment_nv_fund",R$3,$A514))</f>
        <v/>
      </c>
      <c r="S514" s="13" t="str">
        <f>IF($A514="","",[1]!thsiFinD("ths_adjustment_nv_fund",S$3,$A514))</f>
        <v/>
      </c>
      <c r="T514" s="13" t="str">
        <f>IF($A514="","",[1]!thsiFinD("ths_adjustment_nv_fund",T$3,$A514))</f>
        <v/>
      </c>
      <c r="U514" s="13" t="str">
        <f>IF($A514="","",[1]!thsiFinD("ths_adjustment_nv_fund",U$3,$A514))</f>
        <v/>
      </c>
      <c r="V514" s="13" t="str">
        <f>IF($A514="","",[1]!thsiFinD("ths_adjustment_nv_fund",V$3,$A514))</f>
        <v/>
      </c>
      <c r="W514" s="13" t="str">
        <f>IF($A514="","",[1]!thsiFinD("ths_adjustment_nv_fund",W$3,$A514))</f>
        <v/>
      </c>
      <c r="X514" s="13" t="str">
        <f>IF($A514="","",[1]!thsiFinD("ths_adjustment_nv_fund",X$3,$A514))</f>
        <v/>
      </c>
      <c r="Y514" s="13" t="str">
        <f>IF($A514="","",[1]!thsiFinD("ths_adjustment_nv_fund",Y$3,$A514))</f>
        <v/>
      </c>
      <c r="Z514" s="13" t="str">
        <f>IF($A514="","",[1]!thsiFinD("ths_adjustment_nv_fund",Z$3,$A514))</f>
        <v/>
      </c>
      <c r="AA514" s="13" t="str">
        <f>IF($A514="","",[1]!thsiFinD("ths_adjustment_nv_fund",AA$3,$A514))</f>
        <v/>
      </c>
      <c r="AB514" s="13">
        <f>IF($A514="","",[1]!thsiFinD("ths_adjustment_nv_fund",AB$3,$A514))</f>
        <v/>
      </c>
      <c r="AC514" s="13">
        <f>IF($A514="","",[1]!thsiFinD("ths_adjustment_nv_fund",AC$3,$A514))</f>
        <v/>
      </c>
      <c r="AD514" s="13">
        <f>IF($A514="","",[1]!thsiFinD("ths_adjustment_nv_fund",AD$3,$A514))</f>
        <v/>
      </c>
      <c r="AE514" s="13">
        <f>IF($A514="","",[1]!thsiFinD("ths_adjustment_nv_fund",AE$3,$A514))</f>
        <v/>
      </c>
      <c r="AF514" s="13">
        <f>IF($A514="","",[1]!thsiFinD("ths_adjustment_nv_fund",AF$3,$A514))</f>
        <v/>
      </c>
      <c r="AG514" s="13">
        <f>IF($A514="","",[1]!thsiFinD("ths_adjustment_nv_fund",AG$3,$A514))</f>
        <v/>
      </c>
      <c r="AH514" s="13">
        <f>IF($A514="","",[1]!thsiFinD("ths_adjustment_nv_fund",AH$3,$A514))</f>
        <v/>
      </c>
      <c r="AI514" s="13">
        <f>IF($A514="","",[1]!thsiFinD("ths_adjustment_nv_fund",AI$3,$A514))</f>
        <v/>
      </c>
      <c r="AJ514" s="13">
        <f>IF($A514="","",[1]!thsiFinD("ths_adjustment_nv_fund",AJ$3,$A514))</f>
        <v/>
      </c>
      <c r="AK514" s="13">
        <f>IF($A514="","",[1]!thsiFinD("ths_adjustment_nv_fund",AK$3,$A514))</f>
        <v/>
      </c>
      <c r="AL514" s="13">
        <f>IF($A514="","",[1]!thsiFinD("ths_adjustment_nv_fund",AL$3,$A514))</f>
        <v/>
      </c>
    </row>
    <row r="515" spans="2:28">
      <c r="B515" s="13" t="str">
        <f>IF($A515="","",[1]!thsiFinD("ths_adjustment_nv_fund",B$3,$A515))</f>
        <v/>
      </c>
      <c r="C515" s="13" t="str">
        <f>IF($A515="","",[1]!thsiFinD("ths_adjustment_nv_fund",C$3,$A515))</f>
        <v/>
      </c>
      <c r="D515" s="13" t="str">
        <f>IF($A515="","",[1]!thsiFinD("ths_adjustment_nv_fund",D$3,$A515))</f>
        <v/>
      </c>
      <c r="E515" s="13" t="str">
        <f>IF($A515="","",[1]!thsiFinD("ths_adjustment_nv_fund",E$3,$A515))</f>
        <v/>
      </c>
      <c r="F515" s="13" t="str">
        <f>IF($A515="","",[1]!thsiFinD("ths_adjustment_nv_fund",F$3,$A515))</f>
        <v/>
      </c>
      <c r="G515" s="13" t="str">
        <f>IF($A515="","",[1]!thsiFinD("ths_adjustment_nv_fund",G$3,$A515))</f>
        <v/>
      </c>
      <c r="H515" s="13" t="str">
        <f>IF($A515="","",[1]!thsiFinD("ths_adjustment_nv_fund",H$3,$A515))</f>
        <v/>
      </c>
      <c r="I515" s="13" t="str">
        <f>IF($A515="","",[1]!thsiFinD("ths_adjustment_nv_fund",I$3,$A515))</f>
        <v/>
      </c>
      <c r="J515" s="13" t="str">
        <f>IF($A515="","",[1]!thsiFinD("ths_adjustment_nv_fund",J$3,$A515))</f>
        <v/>
      </c>
      <c r="K515" s="13" t="str">
        <f>IF($A515="","",[1]!thsiFinD("ths_adjustment_nv_fund",K$3,$A515))</f>
        <v/>
      </c>
      <c r="L515" s="13" t="str">
        <f>IF($A515="","",[1]!thsiFinD("ths_adjustment_nv_fund",L$3,$A515))</f>
        <v/>
      </c>
      <c r="M515" s="13" t="str">
        <f>IF($A515="","",[1]!thsiFinD("ths_adjustment_nv_fund",M$3,$A515))</f>
        <v/>
      </c>
      <c r="N515" s="13" t="str">
        <f>IF($A515="","",[1]!thsiFinD("ths_adjustment_nv_fund",N$3,$A515))</f>
        <v/>
      </c>
      <c r="O515" s="13" t="str">
        <f>IF($A515="","",[1]!thsiFinD("ths_adjustment_nv_fund",O$3,$A515))</f>
        <v/>
      </c>
      <c r="P515" s="13" t="str">
        <f>IF($A515="","",[1]!thsiFinD("ths_adjustment_nv_fund",P$3,$A515))</f>
        <v/>
      </c>
      <c r="Q515" s="13" t="str">
        <f>IF($A515="","",[1]!thsiFinD("ths_adjustment_nv_fund",Q$3,$A515))</f>
        <v/>
      </c>
      <c r="R515" s="13" t="str">
        <f>IF($A515="","",[1]!thsiFinD("ths_adjustment_nv_fund",R$3,$A515))</f>
        <v/>
      </c>
      <c r="S515" s="13" t="str">
        <f>IF($A515="","",[1]!thsiFinD("ths_adjustment_nv_fund",S$3,$A515))</f>
        <v/>
      </c>
      <c r="T515" s="13" t="str">
        <f>IF($A515="","",[1]!thsiFinD("ths_adjustment_nv_fund",T$3,$A515))</f>
        <v/>
      </c>
      <c r="U515" s="13" t="str">
        <f>IF($A515="","",[1]!thsiFinD("ths_adjustment_nv_fund",U$3,$A515))</f>
        <v/>
      </c>
      <c r="V515" s="13" t="str">
        <f>IF($A515="","",[1]!thsiFinD("ths_adjustment_nv_fund",V$3,$A515))</f>
        <v/>
      </c>
      <c r="W515" s="13" t="str">
        <f>IF($A515="","",[1]!thsiFinD("ths_adjustment_nv_fund",W$3,$A515))</f>
        <v/>
      </c>
      <c r="X515" s="13" t="str">
        <f>IF($A515="","",[1]!thsiFinD("ths_adjustment_nv_fund",X$3,$A515))</f>
        <v/>
      </c>
      <c r="Y515" s="13" t="str">
        <f>IF($A515="","",[1]!thsiFinD("ths_adjustment_nv_fund",Y$3,$A515))</f>
        <v/>
      </c>
      <c r="Z515" s="13" t="str">
        <f>IF($A515="","",[1]!thsiFinD("ths_adjustment_nv_fund",Z$3,$A515))</f>
        <v/>
      </c>
      <c r="AA515" s="13" t="str">
        <f>IF($A515="","",[1]!thsiFinD("ths_adjustment_nv_fund",AA$3,$A515))</f>
        <v/>
      </c>
      <c r="AB515" s="13">
        <f>IF($A515="","",[1]!thsiFinD("ths_adjustment_nv_fund",AB$3,$A515))</f>
        <v/>
      </c>
      <c r="AC515" s="13">
        <f>IF($A515="","",[1]!thsiFinD("ths_adjustment_nv_fund",AC$3,$A515))</f>
        <v/>
      </c>
      <c r="AD515" s="13">
        <f>IF($A515="","",[1]!thsiFinD("ths_adjustment_nv_fund",AD$3,$A515))</f>
        <v/>
      </c>
      <c r="AE515" s="13">
        <f>IF($A515="","",[1]!thsiFinD("ths_adjustment_nv_fund",AE$3,$A515))</f>
        <v/>
      </c>
      <c r="AF515" s="13">
        <f>IF($A515="","",[1]!thsiFinD("ths_adjustment_nv_fund",AF$3,$A515))</f>
        <v/>
      </c>
      <c r="AG515" s="13">
        <f>IF($A515="","",[1]!thsiFinD("ths_adjustment_nv_fund",AG$3,$A515))</f>
        <v/>
      </c>
      <c r="AH515" s="13">
        <f>IF($A515="","",[1]!thsiFinD("ths_adjustment_nv_fund",AH$3,$A515))</f>
        <v/>
      </c>
      <c r="AI515" s="13">
        <f>IF($A515="","",[1]!thsiFinD("ths_adjustment_nv_fund",AI$3,$A515))</f>
        <v/>
      </c>
      <c r="AJ515" s="13">
        <f>IF($A515="","",[1]!thsiFinD("ths_adjustment_nv_fund",AJ$3,$A515))</f>
        <v/>
      </c>
      <c r="AK515" s="13">
        <f>IF($A515="","",[1]!thsiFinD("ths_adjustment_nv_fund",AK$3,$A515))</f>
        <v/>
      </c>
      <c r="AL515" s="13">
        <f>IF($A515="","",[1]!thsiFinD("ths_adjustment_nv_fund",AL$3,$A515))</f>
        <v/>
      </c>
    </row>
    <row r="516" spans="2:28">
      <c r="B516" s="13" t="str">
        <f>IF($A516="","",[1]!thsiFinD("ths_adjustment_nv_fund",B$3,$A516))</f>
        <v/>
      </c>
      <c r="C516" s="13" t="str">
        <f>IF($A516="","",[1]!thsiFinD("ths_adjustment_nv_fund",C$3,$A516))</f>
        <v/>
      </c>
      <c r="D516" s="13" t="str">
        <f>IF($A516="","",[1]!thsiFinD("ths_adjustment_nv_fund",D$3,$A516))</f>
        <v/>
      </c>
      <c r="E516" s="13" t="str">
        <f>IF($A516="","",[1]!thsiFinD("ths_adjustment_nv_fund",E$3,$A516))</f>
        <v/>
      </c>
      <c r="F516" s="13" t="str">
        <f>IF($A516="","",[1]!thsiFinD("ths_adjustment_nv_fund",F$3,$A516))</f>
        <v/>
      </c>
      <c r="G516" s="13" t="str">
        <f>IF($A516="","",[1]!thsiFinD("ths_adjustment_nv_fund",G$3,$A516))</f>
        <v/>
      </c>
      <c r="H516" s="13" t="str">
        <f>IF($A516="","",[1]!thsiFinD("ths_adjustment_nv_fund",H$3,$A516))</f>
        <v/>
      </c>
      <c r="I516" s="13" t="str">
        <f>IF($A516="","",[1]!thsiFinD("ths_adjustment_nv_fund",I$3,$A516))</f>
        <v/>
      </c>
      <c r="J516" s="13" t="str">
        <f>IF($A516="","",[1]!thsiFinD("ths_adjustment_nv_fund",J$3,$A516))</f>
        <v/>
      </c>
      <c r="K516" s="13" t="str">
        <f>IF($A516="","",[1]!thsiFinD("ths_adjustment_nv_fund",K$3,$A516))</f>
        <v/>
      </c>
      <c r="L516" s="13" t="str">
        <f>IF($A516="","",[1]!thsiFinD("ths_adjustment_nv_fund",L$3,$A516))</f>
        <v/>
      </c>
      <c r="M516" s="13" t="str">
        <f>IF($A516="","",[1]!thsiFinD("ths_adjustment_nv_fund",M$3,$A516))</f>
        <v/>
      </c>
      <c r="N516" s="13" t="str">
        <f>IF($A516="","",[1]!thsiFinD("ths_adjustment_nv_fund",N$3,$A516))</f>
        <v/>
      </c>
      <c r="O516" s="13" t="str">
        <f>IF($A516="","",[1]!thsiFinD("ths_adjustment_nv_fund",O$3,$A516))</f>
        <v/>
      </c>
      <c r="P516" s="13" t="str">
        <f>IF($A516="","",[1]!thsiFinD("ths_adjustment_nv_fund",P$3,$A516))</f>
        <v/>
      </c>
      <c r="Q516" s="13" t="str">
        <f>IF($A516="","",[1]!thsiFinD("ths_adjustment_nv_fund",Q$3,$A516))</f>
        <v/>
      </c>
      <c r="R516" s="13" t="str">
        <f>IF($A516="","",[1]!thsiFinD("ths_adjustment_nv_fund",R$3,$A516))</f>
        <v/>
      </c>
      <c r="S516" s="13" t="str">
        <f>IF($A516="","",[1]!thsiFinD("ths_adjustment_nv_fund",S$3,$A516))</f>
        <v/>
      </c>
      <c r="T516" s="13" t="str">
        <f>IF($A516="","",[1]!thsiFinD("ths_adjustment_nv_fund",T$3,$A516))</f>
        <v/>
      </c>
      <c r="U516" s="13" t="str">
        <f>IF($A516="","",[1]!thsiFinD("ths_adjustment_nv_fund",U$3,$A516))</f>
        <v/>
      </c>
      <c r="V516" s="13" t="str">
        <f>IF($A516="","",[1]!thsiFinD("ths_adjustment_nv_fund",V$3,$A516))</f>
        <v/>
      </c>
      <c r="W516" s="13" t="str">
        <f>IF($A516="","",[1]!thsiFinD("ths_adjustment_nv_fund",W$3,$A516))</f>
        <v/>
      </c>
      <c r="X516" s="13" t="str">
        <f>IF($A516="","",[1]!thsiFinD("ths_adjustment_nv_fund",X$3,$A516))</f>
        <v/>
      </c>
      <c r="Y516" s="13" t="str">
        <f>IF($A516="","",[1]!thsiFinD("ths_adjustment_nv_fund",Y$3,$A516))</f>
        <v/>
      </c>
      <c r="Z516" s="13" t="str">
        <f>IF($A516="","",[1]!thsiFinD("ths_adjustment_nv_fund",Z$3,$A516))</f>
        <v/>
      </c>
      <c r="AA516" s="13" t="str">
        <f>IF($A516="","",[1]!thsiFinD("ths_adjustment_nv_fund",AA$3,$A516))</f>
        <v/>
      </c>
      <c r="AB516" s="13">
        <f>IF($A516="","",[1]!thsiFinD("ths_adjustment_nv_fund",AB$3,$A516))</f>
        <v/>
      </c>
      <c r="AC516" s="13">
        <f>IF($A516="","",[1]!thsiFinD("ths_adjustment_nv_fund",AC$3,$A516))</f>
        <v/>
      </c>
      <c r="AD516" s="13">
        <f>IF($A516="","",[1]!thsiFinD("ths_adjustment_nv_fund",AD$3,$A516))</f>
        <v/>
      </c>
      <c r="AE516" s="13">
        <f>IF($A516="","",[1]!thsiFinD("ths_adjustment_nv_fund",AE$3,$A516))</f>
        <v/>
      </c>
      <c r="AF516" s="13">
        <f>IF($A516="","",[1]!thsiFinD("ths_adjustment_nv_fund",AF$3,$A516))</f>
        <v/>
      </c>
      <c r="AG516" s="13">
        <f>IF($A516="","",[1]!thsiFinD("ths_adjustment_nv_fund",AG$3,$A516))</f>
        <v/>
      </c>
      <c r="AH516" s="13">
        <f>IF($A516="","",[1]!thsiFinD("ths_adjustment_nv_fund",AH$3,$A516))</f>
        <v/>
      </c>
      <c r="AI516" s="13">
        <f>IF($A516="","",[1]!thsiFinD("ths_adjustment_nv_fund",AI$3,$A516))</f>
        <v/>
      </c>
      <c r="AJ516" s="13">
        <f>IF($A516="","",[1]!thsiFinD("ths_adjustment_nv_fund",AJ$3,$A516))</f>
        <v/>
      </c>
      <c r="AK516" s="13">
        <f>IF($A516="","",[1]!thsiFinD("ths_adjustment_nv_fund",AK$3,$A516))</f>
        <v/>
      </c>
      <c r="AL516" s="13">
        <f>IF($A516="","",[1]!thsiFinD("ths_adjustment_nv_fund",AL$3,$A516))</f>
        <v/>
      </c>
    </row>
    <row r="517" spans="2:28">
      <c r="B517" s="13" t="str">
        <f>IF($A517="","",[1]!thsiFinD("ths_adjustment_nv_fund",B$3,$A517))</f>
        <v/>
      </c>
      <c r="C517" s="13" t="str">
        <f>IF($A517="","",[1]!thsiFinD("ths_adjustment_nv_fund",C$3,$A517))</f>
        <v/>
      </c>
      <c r="D517" s="13" t="str">
        <f>IF($A517="","",[1]!thsiFinD("ths_adjustment_nv_fund",D$3,$A517))</f>
        <v/>
      </c>
      <c r="E517" s="13" t="str">
        <f>IF($A517="","",[1]!thsiFinD("ths_adjustment_nv_fund",E$3,$A517))</f>
        <v/>
      </c>
      <c r="F517" s="13" t="str">
        <f>IF($A517="","",[1]!thsiFinD("ths_adjustment_nv_fund",F$3,$A517))</f>
        <v/>
      </c>
      <c r="G517" s="13" t="str">
        <f>IF($A517="","",[1]!thsiFinD("ths_adjustment_nv_fund",G$3,$A517))</f>
        <v/>
      </c>
      <c r="H517" s="13" t="str">
        <f>IF($A517="","",[1]!thsiFinD("ths_adjustment_nv_fund",H$3,$A517))</f>
        <v/>
      </c>
      <c r="I517" s="13" t="str">
        <f>IF($A517="","",[1]!thsiFinD("ths_adjustment_nv_fund",I$3,$A517))</f>
        <v/>
      </c>
      <c r="J517" s="13" t="str">
        <f>IF($A517="","",[1]!thsiFinD("ths_adjustment_nv_fund",J$3,$A517))</f>
        <v/>
      </c>
      <c r="K517" s="13" t="str">
        <f>IF($A517="","",[1]!thsiFinD("ths_adjustment_nv_fund",K$3,$A517))</f>
        <v/>
      </c>
      <c r="L517" s="13" t="str">
        <f>IF($A517="","",[1]!thsiFinD("ths_adjustment_nv_fund",L$3,$A517))</f>
        <v/>
      </c>
      <c r="M517" s="13" t="str">
        <f>IF($A517="","",[1]!thsiFinD("ths_adjustment_nv_fund",M$3,$A517))</f>
        <v/>
      </c>
      <c r="N517" s="13" t="str">
        <f>IF($A517="","",[1]!thsiFinD("ths_adjustment_nv_fund",N$3,$A517))</f>
        <v/>
      </c>
      <c r="O517" s="13" t="str">
        <f>IF($A517="","",[1]!thsiFinD("ths_adjustment_nv_fund",O$3,$A517))</f>
        <v/>
      </c>
      <c r="P517" s="13" t="str">
        <f>IF($A517="","",[1]!thsiFinD("ths_adjustment_nv_fund",P$3,$A517))</f>
        <v/>
      </c>
      <c r="Q517" s="13" t="str">
        <f>IF($A517="","",[1]!thsiFinD("ths_adjustment_nv_fund",Q$3,$A517))</f>
        <v/>
      </c>
      <c r="R517" s="13" t="str">
        <f>IF($A517="","",[1]!thsiFinD("ths_adjustment_nv_fund",R$3,$A517))</f>
        <v/>
      </c>
      <c r="S517" s="13" t="str">
        <f>IF($A517="","",[1]!thsiFinD("ths_adjustment_nv_fund",S$3,$A517))</f>
        <v/>
      </c>
      <c r="T517" s="13" t="str">
        <f>IF($A517="","",[1]!thsiFinD("ths_adjustment_nv_fund",T$3,$A517))</f>
        <v/>
      </c>
      <c r="U517" s="13" t="str">
        <f>IF($A517="","",[1]!thsiFinD("ths_adjustment_nv_fund",U$3,$A517))</f>
        <v/>
      </c>
      <c r="V517" s="13" t="str">
        <f>IF($A517="","",[1]!thsiFinD("ths_adjustment_nv_fund",V$3,$A517))</f>
        <v/>
      </c>
      <c r="W517" s="13" t="str">
        <f>IF($A517="","",[1]!thsiFinD("ths_adjustment_nv_fund",W$3,$A517))</f>
        <v/>
      </c>
      <c r="X517" s="13" t="str">
        <f>IF($A517="","",[1]!thsiFinD("ths_adjustment_nv_fund",X$3,$A517))</f>
        <v/>
      </c>
      <c r="Y517" s="13" t="str">
        <f>IF($A517="","",[1]!thsiFinD("ths_adjustment_nv_fund",Y$3,$A517))</f>
        <v/>
      </c>
      <c r="Z517" s="13" t="str">
        <f>IF($A517="","",[1]!thsiFinD("ths_adjustment_nv_fund",Z$3,$A517))</f>
        <v/>
      </c>
      <c r="AA517" s="13" t="str">
        <f>IF($A517="","",[1]!thsiFinD("ths_adjustment_nv_fund",AA$3,$A517))</f>
        <v/>
      </c>
      <c r="AB517" s="13">
        <f>IF($A517="","",[1]!thsiFinD("ths_adjustment_nv_fund",AB$3,$A517))</f>
        <v/>
      </c>
      <c r="AC517" s="13">
        <f>IF($A517="","",[1]!thsiFinD("ths_adjustment_nv_fund",AC$3,$A517))</f>
        <v/>
      </c>
      <c r="AD517" s="13">
        <f>IF($A517="","",[1]!thsiFinD("ths_adjustment_nv_fund",AD$3,$A517))</f>
        <v/>
      </c>
      <c r="AE517" s="13">
        <f>IF($A517="","",[1]!thsiFinD("ths_adjustment_nv_fund",AE$3,$A517))</f>
        <v/>
      </c>
      <c r="AF517" s="13">
        <f>IF($A517="","",[1]!thsiFinD("ths_adjustment_nv_fund",AF$3,$A517))</f>
        <v/>
      </c>
      <c r="AG517" s="13">
        <f>IF($A517="","",[1]!thsiFinD("ths_adjustment_nv_fund",AG$3,$A517))</f>
        <v/>
      </c>
      <c r="AH517" s="13">
        <f>IF($A517="","",[1]!thsiFinD("ths_adjustment_nv_fund",AH$3,$A517))</f>
        <v/>
      </c>
      <c r="AI517" s="13">
        <f>IF($A517="","",[1]!thsiFinD("ths_adjustment_nv_fund",AI$3,$A517))</f>
        <v/>
      </c>
      <c r="AJ517" s="13">
        <f>IF($A517="","",[1]!thsiFinD("ths_adjustment_nv_fund",AJ$3,$A517))</f>
        <v/>
      </c>
      <c r="AK517" s="13">
        <f>IF($A517="","",[1]!thsiFinD("ths_adjustment_nv_fund",AK$3,$A517))</f>
        <v/>
      </c>
      <c r="AL517" s="13">
        <f>IF($A517="","",[1]!thsiFinD("ths_adjustment_nv_fund",AL$3,$A517))</f>
        <v/>
      </c>
    </row>
    <row r="518" spans="2:28">
      <c r="B518" s="13" t="str">
        <f>IF($A518="","",[1]!thsiFinD("ths_adjustment_nv_fund",B$3,$A518))</f>
        <v/>
      </c>
      <c r="C518" s="13" t="str">
        <f>IF($A518="","",[1]!thsiFinD("ths_adjustment_nv_fund",C$3,$A518))</f>
        <v/>
      </c>
      <c r="D518" s="13" t="str">
        <f>IF($A518="","",[1]!thsiFinD("ths_adjustment_nv_fund",D$3,$A518))</f>
        <v/>
      </c>
      <c r="E518" s="13" t="str">
        <f>IF($A518="","",[1]!thsiFinD("ths_adjustment_nv_fund",E$3,$A518))</f>
        <v/>
      </c>
      <c r="F518" s="13" t="str">
        <f>IF($A518="","",[1]!thsiFinD("ths_adjustment_nv_fund",F$3,$A518))</f>
        <v/>
      </c>
      <c r="G518" s="13" t="str">
        <f>IF($A518="","",[1]!thsiFinD("ths_adjustment_nv_fund",G$3,$A518))</f>
        <v/>
      </c>
      <c r="H518" s="13" t="str">
        <f>IF($A518="","",[1]!thsiFinD("ths_adjustment_nv_fund",H$3,$A518))</f>
        <v/>
      </c>
      <c r="I518" s="13" t="str">
        <f>IF($A518="","",[1]!thsiFinD("ths_adjustment_nv_fund",I$3,$A518))</f>
        <v/>
      </c>
      <c r="J518" s="13" t="str">
        <f>IF($A518="","",[1]!thsiFinD("ths_adjustment_nv_fund",J$3,$A518))</f>
        <v/>
      </c>
      <c r="K518" s="13" t="str">
        <f>IF($A518="","",[1]!thsiFinD("ths_adjustment_nv_fund",K$3,$A518))</f>
        <v/>
      </c>
      <c r="L518" s="13" t="str">
        <f>IF($A518="","",[1]!thsiFinD("ths_adjustment_nv_fund",L$3,$A518))</f>
        <v/>
      </c>
      <c r="M518" s="13" t="str">
        <f>IF($A518="","",[1]!thsiFinD("ths_adjustment_nv_fund",M$3,$A518))</f>
        <v/>
      </c>
      <c r="N518" s="13" t="str">
        <f>IF($A518="","",[1]!thsiFinD("ths_adjustment_nv_fund",N$3,$A518))</f>
        <v/>
      </c>
      <c r="O518" s="13" t="str">
        <f>IF($A518="","",[1]!thsiFinD("ths_adjustment_nv_fund",O$3,$A518))</f>
        <v/>
      </c>
      <c r="P518" s="13" t="str">
        <f>IF($A518="","",[1]!thsiFinD("ths_adjustment_nv_fund",P$3,$A518))</f>
        <v/>
      </c>
      <c r="Q518" s="13" t="str">
        <f>IF($A518="","",[1]!thsiFinD("ths_adjustment_nv_fund",Q$3,$A518))</f>
        <v/>
      </c>
      <c r="R518" s="13" t="str">
        <f>IF($A518="","",[1]!thsiFinD("ths_adjustment_nv_fund",R$3,$A518))</f>
        <v/>
      </c>
      <c r="S518" s="13" t="str">
        <f>IF($A518="","",[1]!thsiFinD("ths_adjustment_nv_fund",S$3,$A518))</f>
        <v/>
      </c>
      <c r="T518" s="13" t="str">
        <f>IF($A518="","",[1]!thsiFinD("ths_adjustment_nv_fund",T$3,$A518))</f>
        <v/>
      </c>
      <c r="U518" s="13" t="str">
        <f>IF($A518="","",[1]!thsiFinD("ths_adjustment_nv_fund",U$3,$A518))</f>
        <v/>
      </c>
      <c r="V518" s="13" t="str">
        <f>IF($A518="","",[1]!thsiFinD("ths_adjustment_nv_fund",V$3,$A518))</f>
        <v/>
      </c>
      <c r="W518" s="13" t="str">
        <f>IF($A518="","",[1]!thsiFinD("ths_adjustment_nv_fund",W$3,$A518))</f>
        <v/>
      </c>
      <c r="X518" s="13" t="str">
        <f>IF($A518="","",[1]!thsiFinD("ths_adjustment_nv_fund",X$3,$A518))</f>
        <v/>
      </c>
      <c r="Y518" s="13" t="str">
        <f>IF($A518="","",[1]!thsiFinD("ths_adjustment_nv_fund",Y$3,$A518))</f>
        <v/>
      </c>
      <c r="Z518" s="13" t="str">
        <f>IF($A518="","",[1]!thsiFinD("ths_adjustment_nv_fund",Z$3,$A518))</f>
        <v/>
      </c>
      <c r="AA518" s="13" t="str">
        <f>IF($A518="","",[1]!thsiFinD("ths_adjustment_nv_fund",AA$3,$A518))</f>
        <v/>
      </c>
      <c r="AB518" s="13">
        <f>IF($A518="","",[1]!thsiFinD("ths_adjustment_nv_fund",AB$3,$A518))</f>
        <v/>
      </c>
      <c r="AC518" s="13">
        <f>IF($A518="","",[1]!thsiFinD("ths_adjustment_nv_fund",AC$3,$A518))</f>
        <v/>
      </c>
      <c r="AD518" s="13">
        <f>IF($A518="","",[1]!thsiFinD("ths_adjustment_nv_fund",AD$3,$A518))</f>
        <v/>
      </c>
      <c r="AE518" s="13">
        <f>IF($A518="","",[1]!thsiFinD("ths_adjustment_nv_fund",AE$3,$A518))</f>
        <v/>
      </c>
      <c r="AF518" s="13">
        <f>IF($A518="","",[1]!thsiFinD("ths_adjustment_nv_fund",AF$3,$A518))</f>
        <v/>
      </c>
      <c r="AG518" s="13">
        <f>IF($A518="","",[1]!thsiFinD("ths_adjustment_nv_fund",AG$3,$A518))</f>
        <v/>
      </c>
      <c r="AH518" s="13">
        <f>IF($A518="","",[1]!thsiFinD("ths_adjustment_nv_fund",AH$3,$A518))</f>
        <v/>
      </c>
      <c r="AI518" s="13">
        <f>IF($A518="","",[1]!thsiFinD("ths_adjustment_nv_fund",AI$3,$A518))</f>
        <v/>
      </c>
      <c r="AJ518" s="13">
        <f>IF($A518="","",[1]!thsiFinD("ths_adjustment_nv_fund",AJ$3,$A518))</f>
        <v/>
      </c>
      <c r="AK518" s="13">
        <f>IF($A518="","",[1]!thsiFinD("ths_adjustment_nv_fund",AK$3,$A518))</f>
        <v/>
      </c>
      <c r="AL518" s="13">
        <f>IF($A518="","",[1]!thsiFinD("ths_adjustment_nv_fund",AL$3,$A518))</f>
        <v/>
      </c>
    </row>
    <row r="519" spans="2:28">
      <c r="B519" s="13" t="str">
        <f>IF($A519="","",[1]!thsiFinD("ths_adjustment_nv_fund",B$3,$A519))</f>
        <v/>
      </c>
      <c r="C519" s="13" t="str">
        <f>IF($A519="","",[1]!thsiFinD("ths_adjustment_nv_fund",C$3,$A519))</f>
        <v/>
      </c>
      <c r="D519" s="13" t="str">
        <f>IF($A519="","",[1]!thsiFinD("ths_adjustment_nv_fund",D$3,$A519))</f>
        <v/>
      </c>
      <c r="E519" s="13" t="str">
        <f>IF($A519="","",[1]!thsiFinD("ths_adjustment_nv_fund",E$3,$A519))</f>
        <v/>
      </c>
      <c r="F519" s="13" t="str">
        <f>IF($A519="","",[1]!thsiFinD("ths_adjustment_nv_fund",F$3,$A519))</f>
        <v/>
      </c>
      <c r="G519" s="13" t="str">
        <f>IF($A519="","",[1]!thsiFinD("ths_adjustment_nv_fund",G$3,$A519))</f>
        <v/>
      </c>
      <c r="H519" s="13" t="str">
        <f>IF($A519="","",[1]!thsiFinD("ths_adjustment_nv_fund",H$3,$A519))</f>
        <v/>
      </c>
      <c r="I519" s="13" t="str">
        <f>IF($A519="","",[1]!thsiFinD("ths_adjustment_nv_fund",I$3,$A519))</f>
        <v/>
      </c>
      <c r="J519" s="13" t="str">
        <f>IF($A519="","",[1]!thsiFinD("ths_adjustment_nv_fund",J$3,$A519))</f>
        <v/>
      </c>
      <c r="K519" s="13" t="str">
        <f>IF($A519="","",[1]!thsiFinD("ths_adjustment_nv_fund",K$3,$A519))</f>
        <v/>
      </c>
      <c r="L519" s="13" t="str">
        <f>IF($A519="","",[1]!thsiFinD("ths_adjustment_nv_fund",L$3,$A519))</f>
        <v/>
      </c>
      <c r="M519" s="13" t="str">
        <f>IF($A519="","",[1]!thsiFinD("ths_adjustment_nv_fund",M$3,$A519))</f>
        <v/>
      </c>
      <c r="N519" s="13" t="str">
        <f>IF($A519="","",[1]!thsiFinD("ths_adjustment_nv_fund",N$3,$A519))</f>
        <v/>
      </c>
      <c r="O519" s="13" t="str">
        <f>IF($A519="","",[1]!thsiFinD("ths_adjustment_nv_fund",O$3,$A519))</f>
        <v/>
      </c>
      <c r="P519" s="13" t="str">
        <f>IF($A519="","",[1]!thsiFinD("ths_adjustment_nv_fund",P$3,$A519))</f>
        <v/>
      </c>
      <c r="Q519" s="13" t="str">
        <f>IF($A519="","",[1]!thsiFinD("ths_adjustment_nv_fund",Q$3,$A519))</f>
        <v/>
      </c>
      <c r="R519" s="13" t="str">
        <f>IF($A519="","",[1]!thsiFinD("ths_adjustment_nv_fund",R$3,$A519))</f>
        <v/>
      </c>
      <c r="S519" s="13" t="str">
        <f>IF($A519="","",[1]!thsiFinD("ths_adjustment_nv_fund",S$3,$A519))</f>
        <v/>
      </c>
      <c r="T519" s="13" t="str">
        <f>IF($A519="","",[1]!thsiFinD("ths_adjustment_nv_fund",T$3,$A519))</f>
        <v/>
      </c>
      <c r="U519" s="13" t="str">
        <f>IF($A519="","",[1]!thsiFinD("ths_adjustment_nv_fund",U$3,$A519))</f>
        <v/>
      </c>
      <c r="V519" s="13" t="str">
        <f>IF($A519="","",[1]!thsiFinD("ths_adjustment_nv_fund",V$3,$A519))</f>
        <v/>
      </c>
      <c r="W519" s="13" t="str">
        <f>IF($A519="","",[1]!thsiFinD("ths_adjustment_nv_fund",W$3,$A519))</f>
        <v/>
      </c>
      <c r="X519" s="13" t="str">
        <f>IF($A519="","",[1]!thsiFinD("ths_adjustment_nv_fund",X$3,$A519))</f>
        <v/>
      </c>
      <c r="Y519" s="13" t="str">
        <f>IF($A519="","",[1]!thsiFinD("ths_adjustment_nv_fund",Y$3,$A519))</f>
        <v/>
      </c>
      <c r="Z519" s="13" t="str">
        <f>IF($A519="","",[1]!thsiFinD("ths_adjustment_nv_fund",Z$3,$A519))</f>
        <v/>
      </c>
      <c r="AA519" s="13" t="str">
        <f>IF($A519="","",[1]!thsiFinD("ths_adjustment_nv_fund",AA$3,$A519))</f>
        <v/>
      </c>
      <c r="AB519" s="13">
        <f>IF($A519="","",[1]!thsiFinD("ths_adjustment_nv_fund",AB$3,$A519))</f>
        <v/>
      </c>
      <c r="AC519" s="13">
        <f>IF($A519="","",[1]!thsiFinD("ths_adjustment_nv_fund",AC$3,$A519))</f>
        <v/>
      </c>
      <c r="AD519" s="13">
        <f>IF($A519="","",[1]!thsiFinD("ths_adjustment_nv_fund",AD$3,$A519))</f>
        <v/>
      </c>
      <c r="AE519" s="13">
        <f>IF($A519="","",[1]!thsiFinD("ths_adjustment_nv_fund",AE$3,$A519))</f>
        <v/>
      </c>
      <c r="AF519" s="13">
        <f>IF($A519="","",[1]!thsiFinD("ths_adjustment_nv_fund",AF$3,$A519))</f>
        <v/>
      </c>
      <c r="AG519" s="13">
        <f>IF($A519="","",[1]!thsiFinD("ths_adjustment_nv_fund",AG$3,$A519))</f>
        <v/>
      </c>
      <c r="AH519" s="13">
        <f>IF($A519="","",[1]!thsiFinD("ths_adjustment_nv_fund",AH$3,$A519))</f>
        <v/>
      </c>
      <c r="AI519" s="13">
        <f>IF($A519="","",[1]!thsiFinD("ths_adjustment_nv_fund",AI$3,$A519))</f>
        <v/>
      </c>
      <c r="AJ519" s="13">
        <f>IF($A519="","",[1]!thsiFinD("ths_adjustment_nv_fund",AJ$3,$A519))</f>
        <v/>
      </c>
      <c r="AK519" s="13">
        <f>IF($A519="","",[1]!thsiFinD("ths_adjustment_nv_fund",AK$3,$A519))</f>
        <v/>
      </c>
      <c r="AL519" s="13">
        <f>IF($A519="","",[1]!thsiFinD("ths_adjustment_nv_fund",AL$3,$A519))</f>
        <v/>
      </c>
    </row>
    <row r="520" spans="2:28">
      <c r="B520" s="13" t="str">
        <f>IF($A520="","",[1]!thsiFinD("ths_adjustment_nv_fund",B$3,$A520))</f>
        <v/>
      </c>
      <c r="C520" s="13" t="str">
        <f>IF($A520="","",[1]!thsiFinD("ths_adjustment_nv_fund",C$3,$A520))</f>
        <v/>
      </c>
      <c r="D520" s="13" t="str">
        <f>IF($A520="","",[1]!thsiFinD("ths_adjustment_nv_fund",D$3,$A520))</f>
        <v/>
      </c>
      <c r="E520" s="13" t="str">
        <f>IF($A520="","",[1]!thsiFinD("ths_adjustment_nv_fund",E$3,$A520))</f>
        <v/>
      </c>
      <c r="F520" s="13" t="str">
        <f>IF($A520="","",[1]!thsiFinD("ths_adjustment_nv_fund",F$3,$A520))</f>
        <v/>
      </c>
      <c r="G520" s="13" t="str">
        <f>IF($A520="","",[1]!thsiFinD("ths_adjustment_nv_fund",G$3,$A520))</f>
        <v/>
      </c>
      <c r="H520" s="13" t="str">
        <f>IF($A520="","",[1]!thsiFinD("ths_adjustment_nv_fund",H$3,$A520))</f>
        <v/>
      </c>
      <c r="I520" s="13" t="str">
        <f>IF($A520="","",[1]!thsiFinD("ths_adjustment_nv_fund",I$3,$A520))</f>
        <v/>
      </c>
      <c r="J520" s="13" t="str">
        <f>IF($A520="","",[1]!thsiFinD("ths_adjustment_nv_fund",J$3,$A520))</f>
        <v/>
      </c>
      <c r="K520" s="13" t="str">
        <f>IF($A520="","",[1]!thsiFinD("ths_adjustment_nv_fund",K$3,$A520))</f>
        <v/>
      </c>
      <c r="L520" s="13" t="str">
        <f>IF($A520="","",[1]!thsiFinD("ths_adjustment_nv_fund",L$3,$A520))</f>
        <v/>
      </c>
      <c r="M520" s="13" t="str">
        <f>IF($A520="","",[1]!thsiFinD("ths_adjustment_nv_fund",M$3,$A520))</f>
        <v/>
      </c>
      <c r="N520" s="13" t="str">
        <f>IF($A520="","",[1]!thsiFinD("ths_adjustment_nv_fund",N$3,$A520))</f>
        <v/>
      </c>
      <c r="O520" s="13" t="str">
        <f>IF($A520="","",[1]!thsiFinD("ths_adjustment_nv_fund",O$3,$A520))</f>
        <v/>
      </c>
      <c r="P520" s="13" t="str">
        <f>IF($A520="","",[1]!thsiFinD("ths_adjustment_nv_fund",P$3,$A520))</f>
        <v/>
      </c>
      <c r="Q520" s="13" t="str">
        <f>IF($A520="","",[1]!thsiFinD("ths_adjustment_nv_fund",Q$3,$A520))</f>
        <v/>
      </c>
      <c r="R520" s="13" t="str">
        <f>IF($A520="","",[1]!thsiFinD("ths_adjustment_nv_fund",R$3,$A520))</f>
        <v/>
      </c>
      <c r="S520" s="13" t="str">
        <f>IF($A520="","",[1]!thsiFinD("ths_adjustment_nv_fund",S$3,$A520))</f>
        <v/>
      </c>
      <c r="T520" s="13" t="str">
        <f>IF($A520="","",[1]!thsiFinD("ths_adjustment_nv_fund",T$3,$A520))</f>
        <v/>
      </c>
      <c r="U520" s="13" t="str">
        <f>IF($A520="","",[1]!thsiFinD("ths_adjustment_nv_fund",U$3,$A520))</f>
        <v/>
      </c>
      <c r="V520" s="13" t="str">
        <f>IF($A520="","",[1]!thsiFinD("ths_adjustment_nv_fund",V$3,$A520))</f>
        <v/>
      </c>
      <c r="W520" s="13" t="str">
        <f>IF($A520="","",[1]!thsiFinD("ths_adjustment_nv_fund",W$3,$A520))</f>
        <v/>
      </c>
      <c r="X520" s="13" t="str">
        <f>IF($A520="","",[1]!thsiFinD("ths_adjustment_nv_fund",X$3,$A520))</f>
        <v/>
      </c>
      <c r="Y520" s="13" t="str">
        <f>IF($A520="","",[1]!thsiFinD("ths_adjustment_nv_fund",Y$3,$A520))</f>
        <v/>
      </c>
      <c r="Z520" s="13" t="str">
        <f>IF($A520="","",[1]!thsiFinD("ths_adjustment_nv_fund",Z$3,$A520))</f>
        <v/>
      </c>
      <c r="AA520" s="13" t="str">
        <f>IF($A520="","",[1]!thsiFinD("ths_adjustment_nv_fund",AA$3,$A520))</f>
        <v/>
      </c>
      <c r="AB520" s="13">
        <f>IF($A520="","",[1]!thsiFinD("ths_adjustment_nv_fund",AB$3,$A520))</f>
        <v/>
      </c>
      <c r="AC520" s="13">
        <f>IF($A520="","",[1]!thsiFinD("ths_adjustment_nv_fund",AC$3,$A520))</f>
        <v/>
      </c>
      <c r="AD520" s="13">
        <f>IF($A520="","",[1]!thsiFinD("ths_adjustment_nv_fund",AD$3,$A520))</f>
        <v/>
      </c>
      <c r="AE520" s="13">
        <f>IF($A520="","",[1]!thsiFinD("ths_adjustment_nv_fund",AE$3,$A520))</f>
        <v/>
      </c>
      <c r="AF520" s="13">
        <f>IF($A520="","",[1]!thsiFinD("ths_adjustment_nv_fund",AF$3,$A520))</f>
        <v/>
      </c>
      <c r="AG520" s="13">
        <f>IF($A520="","",[1]!thsiFinD("ths_adjustment_nv_fund",AG$3,$A520))</f>
        <v/>
      </c>
      <c r="AH520" s="13">
        <f>IF($A520="","",[1]!thsiFinD("ths_adjustment_nv_fund",AH$3,$A520))</f>
        <v/>
      </c>
      <c r="AI520" s="13">
        <f>IF($A520="","",[1]!thsiFinD("ths_adjustment_nv_fund",AI$3,$A520))</f>
        <v/>
      </c>
      <c r="AJ520" s="13">
        <f>IF($A520="","",[1]!thsiFinD("ths_adjustment_nv_fund",AJ$3,$A520))</f>
        <v/>
      </c>
      <c r="AK520" s="13">
        <f>IF($A520="","",[1]!thsiFinD("ths_adjustment_nv_fund",AK$3,$A520))</f>
        <v/>
      </c>
      <c r="AL520" s="13">
        <f>IF($A520="","",[1]!thsiFinD("ths_adjustment_nv_fund",AL$3,$A520))</f>
        <v/>
      </c>
    </row>
    <row r="521" spans="2:28">
      <c r="B521" s="13" t="str">
        <f>IF($A521="","",[1]!thsiFinD("ths_adjustment_nv_fund",B$3,$A521))</f>
        <v/>
      </c>
      <c r="C521" s="13" t="str">
        <f>IF($A521="","",[1]!thsiFinD("ths_adjustment_nv_fund",C$3,$A521))</f>
        <v/>
      </c>
      <c r="D521" s="13" t="str">
        <f>IF($A521="","",[1]!thsiFinD("ths_adjustment_nv_fund",D$3,$A521))</f>
        <v/>
      </c>
      <c r="E521" s="13" t="str">
        <f>IF($A521="","",[1]!thsiFinD("ths_adjustment_nv_fund",E$3,$A521))</f>
        <v/>
      </c>
      <c r="F521" s="13" t="str">
        <f>IF($A521="","",[1]!thsiFinD("ths_adjustment_nv_fund",F$3,$A521))</f>
        <v/>
      </c>
      <c r="G521" s="13" t="str">
        <f>IF($A521="","",[1]!thsiFinD("ths_adjustment_nv_fund",G$3,$A521))</f>
        <v/>
      </c>
      <c r="H521" s="13" t="str">
        <f>IF($A521="","",[1]!thsiFinD("ths_adjustment_nv_fund",H$3,$A521))</f>
        <v/>
      </c>
      <c r="I521" s="13" t="str">
        <f>IF($A521="","",[1]!thsiFinD("ths_adjustment_nv_fund",I$3,$A521))</f>
        <v/>
      </c>
      <c r="J521" s="13" t="str">
        <f>IF($A521="","",[1]!thsiFinD("ths_adjustment_nv_fund",J$3,$A521))</f>
        <v/>
      </c>
      <c r="K521" s="13" t="str">
        <f>IF($A521="","",[1]!thsiFinD("ths_adjustment_nv_fund",K$3,$A521))</f>
        <v/>
      </c>
      <c r="L521" s="13" t="str">
        <f>IF($A521="","",[1]!thsiFinD("ths_adjustment_nv_fund",L$3,$A521))</f>
        <v/>
      </c>
      <c r="M521" s="13" t="str">
        <f>IF($A521="","",[1]!thsiFinD("ths_adjustment_nv_fund",M$3,$A521))</f>
        <v/>
      </c>
      <c r="N521" s="13" t="str">
        <f>IF($A521="","",[1]!thsiFinD("ths_adjustment_nv_fund",N$3,$A521))</f>
        <v/>
      </c>
      <c r="O521" s="13" t="str">
        <f>IF($A521="","",[1]!thsiFinD("ths_adjustment_nv_fund",O$3,$A521))</f>
        <v/>
      </c>
      <c r="P521" s="13" t="str">
        <f>IF($A521="","",[1]!thsiFinD("ths_adjustment_nv_fund",P$3,$A521))</f>
        <v/>
      </c>
      <c r="Q521" s="13" t="str">
        <f>IF($A521="","",[1]!thsiFinD("ths_adjustment_nv_fund",Q$3,$A521))</f>
        <v/>
      </c>
      <c r="R521" s="13" t="str">
        <f>IF($A521="","",[1]!thsiFinD("ths_adjustment_nv_fund",R$3,$A521))</f>
        <v/>
      </c>
      <c r="S521" s="13" t="str">
        <f>IF($A521="","",[1]!thsiFinD("ths_adjustment_nv_fund",S$3,$A521))</f>
        <v/>
      </c>
      <c r="T521" s="13" t="str">
        <f>IF($A521="","",[1]!thsiFinD("ths_adjustment_nv_fund",T$3,$A521))</f>
        <v/>
      </c>
      <c r="U521" s="13" t="str">
        <f>IF($A521="","",[1]!thsiFinD("ths_adjustment_nv_fund",U$3,$A521))</f>
        <v/>
      </c>
      <c r="V521" s="13" t="str">
        <f>IF($A521="","",[1]!thsiFinD("ths_adjustment_nv_fund",V$3,$A521))</f>
        <v/>
      </c>
      <c r="W521" s="13" t="str">
        <f>IF($A521="","",[1]!thsiFinD("ths_adjustment_nv_fund",W$3,$A521))</f>
        <v/>
      </c>
      <c r="X521" s="13" t="str">
        <f>IF($A521="","",[1]!thsiFinD("ths_adjustment_nv_fund",X$3,$A521))</f>
        <v/>
      </c>
      <c r="Y521" s="13" t="str">
        <f>IF($A521="","",[1]!thsiFinD("ths_adjustment_nv_fund",Y$3,$A521))</f>
        <v/>
      </c>
      <c r="Z521" s="13" t="str">
        <f>IF($A521="","",[1]!thsiFinD("ths_adjustment_nv_fund",Z$3,$A521))</f>
        <v/>
      </c>
      <c r="AA521" s="13" t="str">
        <f>IF($A521="","",[1]!thsiFinD("ths_adjustment_nv_fund",AA$3,$A521))</f>
        <v/>
      </c>
      <c r="AB521" s="13">
        <f>IF($A521="","",[1]!thsiFinD("ths_adjustment_nv_fund",AB$3,$A521))</f>
        <v/>
      </c>
      <c r="AC521" s="13">
        <f>IF($A521="","",[1]!thsiFinD("ths_adjustment_nv_fund",AC$3,$A521))</f>
        <v/>
      </c>
      <c r="AD521" s="13">
        <f>IF($A521="","",[1]!thsiFinD("ths_adjustment_nv_fund",AD$3,$A521))</f>
        <v/>
      </c>
      <c r="AE521" s="13">
        <f>IF($A521="","",[1]!thsiFinD("ths_adjustment_nv_fund",AE$3,$A521))</f>
        <v/>
      </c>
      <c r="AF521" s="13">
        <f>IF($A521="","",[1]!thsiFinD("ths_adjustment_nv_fund",AF$3,$A521))</f>
        <v/>
      </c>
      <c r="AG521" s="13">
        <f>IF($A521="","",[1]!thsiFinD("ths_adjustment_nv_fund",AG$3,$A521))</f>
        <v/>
      </c>
      <c r="AH521" s="13">
        <f>IF($A521="","",[1]!thsiFinD("ths_adjustment_nv_fund",AH$3,$A521))</f>
        <v/>
      </c>
      <c r="AI521" s="13">
        <f>IF($A521="","",[1]!thsiFinD("ths_adjustment_nv_fund",AI$3,$A521))</f>
        <v/>
      </c>
      <c r="AJ521" s="13">
        <f>IF($A521="","",[1]!thsiFinD("ths_adjustment_nv_fund",AJ$3,$A521))</f>
        <v/>
      </c>
      <c r="AK521" s="13">
        <f>IF($A521="","",[1]!thsiFinD("ths_adjustment_nv_fund",AK$3,$A521))</f>
        <v/>
      </c>
      <c r="AL521" s="13">
        <f>IF($A521="","",[1]!thsiFinD("ths_adjustment_nv_fund",AL$3,$A521))</f>
        <v/>
      </c>
    </row>
    <row r="522" spans="2:28">
      <c r="B522" s="13" t="str">
        <f>IF($A522="","",[1]!thsiFinD("ths_adjustment_nv_fund",B$3,$A522))</f>
        <v/>
      </c>
      <c r="C522" s="13" t="str">
        <f>IF($A522="","",[1]!thsiFinD("ths_adjustment_nv_fund",C$3,$A522))</f>
        <v/>
      </c>
      <c r="D522" s="13" t="str">
        <f>IF($A522="","",[1]!thsiFinD("ths_adjustment_nv_fund",D$3,$A522))</f>
        <v/>
      </c>
      <c r="E522" s="13" t="str">
        <f>IF($A522="","",[1]!thsiFinD("ths_adjustment_nv_fund",E$3,$A522))</f>
        <v/>
      </c>
      <c r="F522" s="13" t="str">
        <f>IF($A522="","",[1]!thsiFinD("ths_adjustment_nv_fund",F$3,$A522))</f>
        <v/>
      </c>
      <c r="G522" s="13" t="str">
        <f>IF($A522="","",[1]!thsiFinD("ths_adjustment_nv_fund",G$3,$A522))</f>
        <v/>
      </c>
      <c r="H522" s="13" t="str">
        <f>IF($A522="","",[1]!thsiFinD("ths_adjustment_nv_fund",H$3,$A522))</f>
        <v/>
      </c>
      <c r="I522" s="13" t="str">
        <f>IF($A522="","",[1]!thsiFinD("ths_adjustment_nv_fund",I$3,$A522))</f>
        <v/>
      </c>
      <c r="J522" s="13" t="str">
        <f>IF($A522="","",[1]!thsiFinD("ths_adjustment_nv_fund",J$3,$A522))</f>
        <v/>
      </c>
      <c r="K522" s="13" t="str">
        <f>IF($A522="","",[1]!thsiFinD("ths_adjustment_nv_fund",K$3,$A522))</f>
        <v/>
      </c>
      <c r="L522" s="13" t="str">
        <f>IF($A522="","",[1]!thsiFinD("ths_adjustment_nv_fund",L$3,$A522))</f>
        <v/>
      </c>
      <c r="M522" s="13" t="str">
        <f>IF($A522="","",[1]!thsiFinD("ths_adjustment_nv_fund",M$3,$A522))</f>
        <v/>
      </c>
      <c r="N522" s="13" t="str">
        <f>IF($A522="","",[1]!thsiFinD("ths_adjustment_nv_fund",N$3,$A522))</f>
        <v/>
      </c>
      <c r="O522" s="13" t="str">
        <f>IF($A522="","",[1]!thsiFinD("ths_adjustment_nv_fund",O$3,$A522))</f>
        <v/>
      </c>
      <c r="P522" s="13" t="str">
        <f>IF($A522="","",[1]!thsiFinD("ths_adjustment_nv_fund",P$3,$A522))</f>
        <v/>
      </c>
      <c r="Q522" s="13" t="str">
        <f>IF($A522="","",[1]!thsiFinD("ths_adjustment_nv_fund",Q$3,$A522))</f>
        <v/>
      </c>
      <c r="R522" s="13" t="str">
        <f>IF($A522="","",[1]!thsiFinD("ths_adjustment_nv_fund",R$3,$A522))</f>
        <v/>
      </c>
      <c r="S522" s="13" t="str">
        <f>IF($A522="","",[1]!thsiFinD("ths_adjustment_nv_fund",S$3,$A522))</f>
        <v/>
      </c>
      <c r="T522" s="13" t="str">
        <f>IF($A522="","",[1]!thsiFinD("ths_adjustment_nv_fund",T$3,$A522))</f>
        <v/>
      </c>
      <c r="U522" s="13" t="str">
        <f>IF($A522="","",[1]!thsiFinD("ths_adjustment_nv_fund",U$3,$A522))</f>
        <v/>
      </c>
      <c r="V522" s="13" t="str">
        <f>IF($A522="","",[1]!thsiFinD("ths_adjustment_nv_fund",V$3,$A522))</f>
        <v/>
      </c>
      <c r="W522" s="13" t="str">
        <f>IF($A522="","",[1]!thsiFinD("ths_adjustment_nv_fund",W$3,$A522))</f>
        <v/>
      </c>
      <c r="X522" s="13" t="str">
        <f>IF($A522="","",[1]!thsiFinD("ths_adjustment_nv_fund",X$3,$A522))</f>
        <v/>
      </c>
      <c r="Y522" s="13" t="str">
        <f>IF($A522="","",[1]!thsiFinD("ths_adjustment_nv_fund",Y$3,$A522))</f>
        <v/>
      </c>
      <c r="Z522" s="13" t="str">
        <f>IF($A522="","",[1]!thsiFinD("ths_adjustment_nv_fund",Z$3,$A522))</f>
        <v/>
      </c>
      <c r="AA522" s="13" t="str">
        <f>IF($A522="","",[1]!thsiFinD("ths_adjustment_nv_fund",AA$3,$A522))</f>
        <v/>
      </c>
      <c r="AB522" s="13">
        <f>IF($A522="","",[1]!thsiFinD("ths_adjustment_nv_fund",AB$3,$A522))</f>
        <v/>
      </c>
      <c r="AC522" s="13">
        <f>IF($A522="","",[1]!thsiFinD("ths_adjustment_nv_fund",AC$3,$A522))</f>
        <v/>
      </c>
      <c r="AD522" s="13">
        <f>IF($A522="","",[1]!thsiFinD("ths_adjustment_nv_fund",AD$3,$A522))</f>
        <v/>
      </c>
      <c r="AE522" s="13">
        <f>IF($A522="","",[1]!thsiFinD("ths_adjustment_nv_fund",AE$3,$A522))</f>
        <v/>
      </c>
      <c r="AF522" s="13">
        <f>IF($A522="","",[1]!thsiFinD("ths_adjustment_nv_fund",AF$3,$A522))</f>
        <v/>
      </c>
      <c r="AG522" s="13">
        <f>IF($A522="","",[1]!thsiFinD("ths_adjustment_nv_fund",AG$3,$A522))</f>
        <v/>
      </c>
      <c r="AH522" s="13">
        <f>IF($A522="","",[1]!thsiFinD("ths_adjustment_nv_fund",AH$3,$A522))</f>
        <v/>
      </c>
      <c r="AI522" s="13">
        <f>IF($A522="","",[1]!thsiFinD("ths_adjustment_nv_fund",AI$3,$A522))</f>
        <v/>
      </c>
      <c r="AJ522" s="13">
        <f>IF($A522="","",[1]!thsiFinD("ths_adjustment_nv_fund",AJ$3,$A522))</f>
        <v/>
      </c>
      <c r="AK522" s="13">
        <f>IF($A522="","",[1]!thsiFinD("ths_adjustment_nv_fund",AK$3,$A522))</f>
        <v/>
      </c>
      <c r="AL522" s="13">
        <f>IF($A522="","",[1]!thsiFinD("ths_adjustment_nv_fund",AL$3,$A522))</f>
        <v/>
      </c>
    </row>
    <row r="523" spans="2:28">
      <c r="B523" s="13" t="str">
        <f>IF($A523="","",[1]!thsiFinD("ths_adjustment_nv_fund",B$3,$A523))</f>
        <v/>
      </c>
      <c r="C523" s="13" t="str">
        <f>IF($A523="","",[1]!thsiFinD("ths_adjustment_nv_fund",C$3,$A523))</f>
        <v/>
      </c>
      <c r="D523" s="13" t="str">
        <f>IF($A523="","",[1]!thsiFinD("ths_adjustment_nv_fund",D$3,$A523))</f>
        <v/>
      </c>
      <c r="E523" s="13" t="str">
        <f>IF($A523="","",[1]!thsiFinD("ths_adjustment_nv_fund",E$3,$A523))</f>
        <v/>
      </c>
      <c r="F523" s="13" t="str">
        <f>IF($A523="","",[1]!thsiFinD("ths_adjustment_nv_fund",F$3,$A523))</f>
        <v/>
      </c>
      <c r="G523" s="13" t="str">
        <f>IF($A523="","",[1]!thsiFinD("ths_adjustment_nv_fund",G$3,$A523))</f>
        <v/>
      </c>
      <c r="H523" s="13" t="str">
        <f>IF($A523="","",[1]!thsiFinD("ths_adjustment_nv_fund",H$3,$A523))</f>
        <v/>
      </c>
      <c r="I523" s="13" t="str">
        <f>IF($A523="","",[1]!thsiFinD("ths_adjustment_nv_fund",I$3,$A523))</f>
        <v/>
      </c>
      <c r="J523" s="13" t="str">
        <f>IF($A523="","",[1]!thsiFinD("ths_adjustment_nv_fund",J$3,$A523))</f>
        <v/>
      </c>
      <c r="K523" s="13" t="str">
        <f>IF($A523="","",[1]!thsiFinD("ths_adjustment_nv_fund",K$3,$A523))</f>
        <v/>
      </c>
      <c r="L523" s="13" t="str">
        <f>IF($A523="","",[1]!thsiFinD("ths_adjustment_nv_fund",L$3,$A523))</f>
        <v/>
      </c>
      <c r="M523" s="13" t="str">
        <f>IF($A523="","",[1]!thsiFinD("ths_adjustment_nv_fund",M$3,$A523))</f>
        <v/>
      </c>
      <c r="N523" s="13" t="str">
        <f>IF($A523="","",[1]!thsiFinD("ths_adjustment_nv_fund",N$3,$A523))</f>
        <v/>
      </c>
      <c r="O523" s="13" t="str">
        <f>IF($A523="","",[1]!thsiFinD("ths_adjustment_nv_fund",O$3,$A523))</f>
        <v/>
      </c>
      <c r="P523" s="13" t="str">
        <f>IF($A523="","",[1]!thsiFinD("ths_adjustment_nv_fund",P$3,$A523))</f>
        <v/>
      </c>
      <c r="Q523" s="13" t="str">
        <f>IF($A523="","",[1]!thsiFinD("ths_adjustment_nv_fund",Q$3,$A523))</f>
        <v/>
      </c>
      <c r="R523" s="13" t="str">
        <f>IF($A523="","",[1]!thsiFinD("ths_adjustment_nv_fund",R$3,$A523))</f>
        <v/>
      </c>
      <c r="S523" s="13" t="str">
        <f>IF($A523="","",[1]!thsiFinD("ths_adjustment_nv_fund",S$3,$A523))</f>
        <v/>
      </c>
      <c r="T523" s="13" t="str">
        <f>IF($A523="","",[1]!thsiFinD("ths_adjustment_nv_fund",T$3,$A523))</f>
        <v/>
      </c>
      <c r="U523" s="13" t="str">
        <f>IF($A523="","",[1]!thsiFinD("ths_adjustment_nv_fund",U$3,$A523))</f>
        <v/>
      </c>
      <c r="V523" s="13" t="str">
        <f>IF($A523="","",[1]!thsiFinD("ths_adjustment_nv_fund",V$3,$A523))</f>
        <v/>
      </c>
      <c r="W523" s="13" t="str">
        <f>IF($A523="","",[1]!thsiFinD("ths_adjustment_nv_fund",W$3,$A523))</f>
        <v/>
      </c>
      <c r="X523" s="13" t="str">
        <f>IF($A523="","",[1]!thsiFinD("ths_adjustment_nv_fund",X$3,$A523))</f>
        <v/>
      </c>
      <c r="Y523" s="13" t="str">
        <f>IF($A523="","",[1]!thsiFinD("ths_adjustment_nv_fund",Y$3,$A523))</f>
        <v/>
      </c>
      <c r="Z523" s="13" t="str">
        <f>IF($A523="","",[1]!thsiFinD("ths_adjustment_nv_fund",Z$3,$A523))</f>
        <v/>
      </c>
      <c r="AA523" s="13" t="str">
        <f>IF($A523="","",[1]!thsiFinD("ths_adjustment_nv_fund",AA$3,$A523))</f>
        <v/>
      </c>
      <c r="AB523" s="13">
        <f>IF($A523="","",[1]!thsiFinD("ths_adjustment_nv_fund",AB$3,$A523))</f>
        <v/>
      </c>
      <c r="AC523" s="13">
        <f>IF($A523="","",[1]!thsiFinD("ths_adjustment_nv_fund",AC$3,$A523))</f>
        <v/>
      </c>
      <c r="AD523" s="13">
        <f>IF($A523="","",[1]!thsiFinD("ths_adjustment_nv_fund",AD$3,$A523))</f>
        <v/>
      </c>
      <c r="AE523" s="13">
        <f>IF($A523="","",[1]!thsiFinD("ths_adjustment_nv_fund",AE$3,$A523))</f>
        <v/>
      </c>
      <c r="AF523" s="13">
        <f>IF($A523="","",[1]!thsiFinD("ths_adjustment_nv_fund",AF$3,$A523))</f>
        <v/>
      </c>
      <c r="AG523" s="13">
        <f>IF($A523="","",[1]!thsiFinD("ths_adjustment_nv_fund",AG$3,$A523))</f>
        <v/>
      </c>
      <c r="AH523" s="13">
        <f>IF($A523="","",[1]!thsiFinD("ths_adjustment_nv_fund",AH$3,$A523))</f>
        <v/>
      </c>
      <c r="AI523" s="13">
        <f>IF($A523="","",[1]!thsiFinD("ths_adjustment_nv_fund",AI$3,$A523))</f>
        <v/>
      </c>
      <c r="AJ523" s="13">
        <f>IF($A523="","",[1]!thsiFinD("ths_adjustment_nv_fund",AJ$3,$A523))</f>
        <v/>
      </c>
      <c r="AK523" s="13">
        <f>IF($A523="","",[1]!thsiFinD("ths_adjustment_nv_fund",AK$3,$A523))</f>
        <v/>
      </c>
      <c r="AL523" s="13">
        <f>IF($A523="","",[1]!thsiFinD("ths_adjustment_nv_fund",AL$3,$A523))</f>
        <v/>
      </c>
    </row>
    <row r="524" spans="2:28">
      <c r="B524" s="13" t="str">
        <f>IF($A524="","",[1]!thsiFinD("ths_adjustment_nv_fund",B$3,$A524))</f>
        <v/>
      </c>
      <c r="C524" s="13" t="str">
        <f>IF($A524="","",[1]!thsiFinD("ths_adjustment_nv_fund",C$3,$A524))</f>
        <v/>
      </c>
      <c r="D524" s="13" t="str">
        <f>IF($A524="","",[1]!thsiFinD("ths_adjustment_nv_fund",D$3,$A524))</f>
        <v/>
      </c>
      <c r="E524" s="13" t="str">
        <f>IF($A524="","",[1]!thsiFinD("ths_adjustment_nv_fund",E$3,$A524))</f>
        <v/>
      </c>
      <c r="F524" s="13" t="str">
        <f>IF($A524="","",[1]!thsiFinD("ths_adjustment_nv_fund",F$3,$A524))</f>
        <v/>
      </c>
      <c r="G524" s="13" t="str">
        <f>IF($A524="","",[1]!thsiFinD("ths_adjustment_nv_fund",G$3,$A524))</f>
        <v/>
      </c>
      <c r="H524" s="13" t="str">
        <f>IF($A524="","",[1]!thsiFinD("ths_adjustment_nv_fund",H$3,$A524))</f>
        <v/>
      </c>
      <c r="I524" s="13" t="str">
        <f>IF($A524="","",[1]!thsiFinD("ths_adjustment_nv_fund",I$3,$A524))</f>
        <v/>
      </c>
      <c r="J524" s="13" t="str">
        <f>IF($A524="","",[1]!thsiFinD("ths_adjustment_nv_fund",J$3,$A524))</f>
        <v/>
      </c>
      <c r="K524" s="13" t="str">
        <f>IF($A524="","",[1]!thsiFinD("ths_adjustment_nv_fund",K$3,$A524))</f>
        <v/>
      </c>
      <c r="L524" s="13" t="str">
        <f>IF($A524="","",[1]!thsiFinD("ths_adjustment_nv_fund",L$3,$A524))</f>
        <v/>
      </c>
      <c r="M524" s="13" t="str">
        <f>IF($A524="","",[1]!thsiFinD("ths_adjustment_nv_fund",M$3,$A524))</f>
        <v/>
      </c>
      <c r="N524" s="13" t="str">
        <f>IF($A524="","",[1]!thsiFinD("ths_adjustment_nv_fund",N$3,$A524))</f>
        <v/>
      </c>
      <c r="O524" s="13" t="str">
        <f>IF($A524="","",[1]!thsiFinD("ths_adjustment_nv_fund",O$3,$A524))</f>
        <v/>
      </c>
      <c r="P524" s="13" t="str">
        <f>IF($A524="","",[1]!thsiFinD("ths_adjustment_nv_fund",P$3,$A524))</f>
        <v/>
      </c>
      <c r="Q524" s="13" t="str">
        <f>IF($A524="","",[1]!thsiFinD("ths_adjustment_nv_fund",Q$3,$A524))</f>
        <v/>
      </c>
      <c r="R524" s="13" t="str">
        <f>IF($A524="","",[1]!thsiFinD("ths_adjustment_nv_fund",R$3,$A524))</f>
        <v/>
      </c>
      <c r="S524" s="13" t="str">
        <f>IF($A524="","",[1]!thsiFinD("ths_adjustment_nv_fund",S$3,$A524))</f>
        <v/>
      </c>
      <c r="T524" s="13" t="str">
        <f>IF($A524="","",[1]!thsiFinD("ths_adjustment_nv_fund",T$3,$A524))</f>
        <v/>
      </c>
      <c r="U524" s="13" t="str">
        <f>IF($A524="","",[1]!thsiFinD("ths_adjustment_nv_fund",U$3,$A524))</f>
        <v/>
      </c>
      <c r="V524" s="13" t="str">
        <f>IF($A524="","",[1]!thsiFinD("ths_adjustment_nv_fund",V$3,$A524))</f>
        <v/>
      </c>
      <c r="W524" s="13" t="str">
        <f>IF($A524="","",[1]!thsiFinD("ths_adjustment_nv_fund",W$3,$A524))</f>
        <v/>
      </c>
      <c r="X524" s="13" t="str">
        <f>IF($A524="","",[1]!thsiFinD("ths_adjustment_nv_fund",X$3,$A524))</f>
        <v/>
      </c>
      <c r="Y524" s="13" t="str">
        <f>IF($A524="","",[1]!thsiFinD("ths_adjustment_nv_fund",Y$3,$A524))</f>
        <v/>
      </c>
      <c r="Z524" s="13" t="str">
        <f>IF($A524="","",[1]!thsiFinD("ths_adjustment_nv_fund",Z$3,$A524))</f>
        <v/>
      </c>
      <c r="AA524" s="13" t="str">
        <f>IF($A524="","",[1]!thsiFinD("ths_adjustment_nv_fund",AA$3,$A524))</f>
        <v/>
      </c>
      <c r="AB524" s="13">
        <f>IF($A524="","",[1]!thsiFinD("ths_adjustment_nv_fund",AB$3,$A524))</f>
        <v/>
      </c>
      <c r="AC524" s="13">
        <f>IF($A524="","",[1]!thsiFinD("ths_adjustment_nv_fund",AC$3,$A524))</f>
        <v/>
      </c>
      <c r="AD524" s="13">
        <f>IF($A524="","",[1]!thsiFinD("ths_adjustment_nv_fund",AD$3,$A524))</f>
        <v/>
      </c>
      <c r="AE524" s="13">
        <f>IF($A524="","",[1]!thsiFinD("ths_adjustment_nv_fund",AE$3,$A524))</f>
        <v/>
      </c>
      <c r="AF524" s="13">
        <f>IF($A524="","",[1]!thsiFinD("ths_adjustment_nv_fund",AF$3,$A524))</f>
        <v/>
      </c>
      <c r="AG524" s="13">
        <f>IF($A524="","",[1]!thsiFinD("ths_adjustment_nv_fund",AG$3,$A524))</f>
        <v/>
      </c>
      <c r="AH524" s="13">
        <f>IF($A524="","",[1]!thsiFinD("ths_adjustment_nv_fund",AH$3,$A524))</f>
        <v/>
      </c>
      <c r="AI524" s="13">
        <f>IF($A524="","",[1]!thsiFinD("ths_adjustment_nv_fund",AI$3,$A524))</f>
        <v/>
      </c>
      <c r="AJ524" s="13">
        <f>IF($A524="","",[1]!thsiFinD("ths_adjustment_nv_fund",AJ$3,$A524))</f>
        <v/>
      </c>
      <c r="AK524" s="13">
        <f>IF($A524="","",[1]!thsiFinD("ths_adjustment_nv_fund",AK$3,$A524))</f>
        <v/>
      </c>
      <c r="AL524" s="13">
        <f>IF($A524="","",[1]!thsiFinD("ths_adjustment_nv_fund",AL$3,$A524))</f>
        <v/>
      </c>
    </row>
    <row r="525" spans="2:28">
      <c r="B525" s="13" t="str">
        <f>IF($A525="","",[1]!thsiFinD("ths_adjustment_nv_fund",B$3,$A525))</f>
        <v/>
      </c>
      <c r="C525" s="13" t="str">
        <f>IF($A525="","",[1]!thsiFinD("ths_adjustment_nv_fund",C$3,$A525))</f>
        <v/>
      </c>
      <c r="D525" s="13" t="str">
        <f>IF($A525="","",[1]!thsiFinD("ths_adjustment_nv_fund",D$3,$A525))</f>
        <v/>
      </c>
      <c r="E525" s="13" t="str">
        <f>IF($A525="","",[1]!thsiFinD("ths_adjustment_nv_fund",E$3,$A525))</f>
        <v/>
      </c>
      <c r="F525" s="13" t="str">
        <f>IF($A525="","",[1]!thsiFinD("ths_adjustment_nv_fund",F$3,$A525))</f>
        <v/>
      </c>
      <c r="G525" s="13" t="str">
        <f>IF($A525="","",[1]!thsiFinD("ths_adjustment_nv_fund",G$3,$A525))</f>
        <v/>
      </c>
      <c r="H525" s="13" t="str">
        <f>IF($A525="","",[1]!thsiFinD("ths_adjustment_nv_fund",H$3,$A525))</f>
        <v/>
      </c>
      <c r="I525" s="13" t="str">
        <f>IF($A525="","",[1]!thsiFinD("ths_adjustment_nv_fund",I$3,$A525))</f>
        <v/>
      </c>
      <c r="J525" s="13" t="str">
        <f>IF($A525="","",[1]!thsiFinD("ths_adjustment_nv_fund",J$3,$A525))</f>
        <v/>
      </c>
      <c r="K525" s="13" t="str">
        <f>IF($A525="","",[1]!thsiFinD("ths_adjustment_nv_fund",K$3,$A525))</f>
        <v/>
      </c>
      <c r="L525" s="13" t="str">
        <f>IF($A525="","",[1]!thsiFinD("ths_adjustment_nv_fund",L$3,$A525))</f>
        <v/>
      </c>
      <c r="M525" s="13" t="str">
        <f>IF($A525="","",[1]!thsiFinD("ths_adjustment_nv_fund",M$3,$A525))</f>
        <v/>
      </c>
      <c r="N525" s="13" t="str">
        <f>IF($A525="","",[1]!thsiFinD("ths_adjustment_nv_fund",N$3,$A525))</f>
        <v/>
      </c>
      <c r="O525" s="13" t="str">
        <f>IF($A525="","",[1]!thsiFinD("ths_adjustment_nv_fund",O$3,$A525))</f>
        <v/>
      </c>
      <c r="P525" s="13" t="str">
        <f>IF($A525="","",[1]!thsiFinD("ths_adjustment_nv_fund",P$3,$A525))</f>
        <v/>
      </c>
      <c r="Q525" s="13" t="str">
        <f>IF($A525="","",[1]!thsiFinD("ths_adjustment_nv_fund",Q$3,$A525))</f>
        <v/>
      </c>
      <c r="R525" s="13" t="str">
        <f>IF($A525="","",[1]!thsiFinD("ths_adjustment_nv_fund",R$3,$A525))</f>
        <v/>
      </c>
      <c r="S525" s="13" t="str">
        <f>IF($A525="","",[1]!thsiFinD("ths_adjustment_nv_fund",S$3,$A525))</f>
        <v/>
      </c>
      <c r="T525" s="13" t="str">
        <f>IF($A525="","",[1]!thsiFinD("ths_adjustment_nv_fund",T$3,$A525))</f>
        <v/>
      </c>
      <c r="U525" s="13" t="str">
        <f>IF($A525="","",[1]!thsiFinD("ths_adjustment_nv_fund",U$3,$A525))</f>
        <v/>
      </c>
      <c r="V525" s="13" t="str">
        <f>IF($A525="","",[1]!thsiFinD("ths_adjustment_nv_fund",V$3,$A525))</f>
        <v/>
      </c>
      <c r="W525" s="13" t="str">
        <f>IF($A525="","",[1]!thsiFinD("ths_adjustment_nv_fund",W$3,$A525))</f>
        <v/>
      </c>
      <c r="X525" s="13" t="str">
        <f>IF($A525="","",[1]!thsiFinD("ths_adjustment_nv_fund",X$3,$A525))</f>
        <v/>
      </c>
      <c r="Y525" s="13" t="str">
        <f>IF($A525="","",[1]!thsiFinD("ths_adjustment_nv_fund",Y$3,$A525))</f>
        <v/>
      </c>
      <c r="Z525" s="13" t="str">
        <f>IF($A525="","",[1]!thsiFinD("ths_adjustment_nv_fund",Z$3,$A525))</f>
        <v/>
      </c>
      <c r="AA525" s="13" t="str">
        <f>IF($A525="","",[1]!thsiFinD("ths_adjustment_nv_fund",AA$3,$A525))</f>
        <v/>
      </c>
      <c r="AB525" s="13">
        <f>IF($A525="","",[1]!thsiFinD("ths_adjustment_nv_fund",AB$3,$A525))</f>
        <v/>
      </c>
      <c r="AC525" s="13">
        <f>IF($A525="","",[1]!thsiFinD("ths_adjustment_nv_fund",AC$3,$A525))</f>
        <v/>
      </c>
      <c r="AD525" s="13">
        <f>IF($A525="","",[1]!thsiFinD("ths_adjustment_nv_fund",AD$3,$A525))</f>
        <v/>
      </c>
      <c r="AE525" s="13">
        <f>IF($A525="","",[1]!thsiFinD("ths_adjustment_nv_fund",AE$3,$A525))</f>
        <v/>
      </c>
      <c r="AF525" s="13">
        <f>IF($A525="","",[1]!thsiFinD("ths_adjustment_nv_fund",AF$3,$A525))</f>
        <v/>
      </c>
      <c r="AG525" s="13">
        <f>IF($A525="","",[1]!thsiFinD("ths_adjustment_nv_fund",AG$3,$A525))</f>
        <v/>
      </c>
      <c r="AH525" s="13">
        <f>IF($A525="","",[1]!thsiFinD("ths_adjustment_nv_fund",AH$3,$A525))</f>
        <v/>
      </c>
      <c r="AI525" s="13">
        <f>IF($A525="","",[1]!thsiFinD("ths_adjustment_nv_fund",AI$3,$A525))</f>
        <v/>
      </c>
      <c r="AJ525" s="13">
        <f>IF($A525="","",[1]!thsiFinD("ths_adjustment_nv_fund",AJ$3,$A525))</f>
        <v/>
      </c>
      <c r="AK525" s="13">
        <f>IF($A525="","",[1]!thsiFinD("ths_adjustment_nv_fund",AK$3,$A525))</f>
        <v/>
      </c>
      <c r="AL525" s="13">
        <f>IF($A525="","",[1]!thsiFinD("ths_adjustment_nv_fund",AL$3,$A525))</f>
        <v/>
      </c>
    </row>
    <row r="526" spans="2:28">
      <c r="B526" s="13" t="str">
        <f>IF($A526="","",[1]!thsiFinD("ths_adjustment_nv_fund",B$3,$A526))</f>
        <v/>
      </c>
      <c r="C526" s="13" t="str">
        <f>IF($A526="","",[1]!thsiFinD("ths_adjustment_nv_fund",C$3,$A526))</f>
        <v/>
      </c>
      <c r="D526" s="13" t="str">
        <f>IF($A526="","",[1]!thsiFinD("ths_adjustment_nv_fund",D$3,$A526))</f>
        <v/>
      </c>
      <c r="E526" s="13" t="str">
        <f>IF($A526="","",[1]!thsiFinD("ths_adjustment_nv_fund",E$3,$A526))</f>
        <v/>
      </c>
      <c r="F526" s="13" t="str">
        <f>IF($A526="","",[1]!thsiFinD("ths_adjustment_nv_fund",F$3,$A526))</f>
        <v/>
      </c>
      <c r="G526" s="13" t="str">
        <f>IF($A526="","",[1]!thsiFinD("ths_adjustment_nv_fund",G$3,$A526))</f>
        <v/>
      </c>
      <c r="H526" s="13" t="str">
        <f>IF($A526="","",[1]!thsiFinD("ths_adjustment_nv_fund",H$3,$A526))</f>
        <v/>
      </c>
      <c r="I526" s="13" t="str">
        <f>IF($A526="","",[1]!thsiFinD("ths_adjustment_nv_fund",I$3,$A526))</f>
        <v/>
      </c>
      <c r="J526" s="13" t="str">
        <f>IF($A526="","",[1]!thsiFinD("ths_adjustment_nv_fund",J$3,$A526))</f>
        <v/>
      </c>
      <c r="K526" s="13" t="str">
        <f>IF($A526="","",[1]!thsiFinD("ths_adjustment_nv_fund",K$3,$A526))</f>
        <v/>
      </c>
      <c r="L526" s="13" t="str">
        <f>IF($A526="","",[1]!thsiFinD("ths_adjustment_nv_fund",L$3,$A526))</f>
        <v/>
      </c>
      <c r="M526" s="13" t="str">
        <f>IF($A526="","",[1]!thsiFinD("ths_adjustment_nv_fund",M$3,$A526))</f>
        <v/>
      </c>
      <c r="N526" s="13" t="str">
        <f>IF($A526="","",[1]!thsiFinD("ths_adjustment_nv_fund",N$3,$A526))</f>
        <v/>
      </c>
      <c r="O526" s="13" t="str">
        <f>IF($A526="","",[1]!thsiFinD("ths_adjustment_nv_fund",O$3,$A526))</f>
        <v/>
      </c>
      <c r="P526" s="13" t="str">
        <f>IF($A526="","",[1]!thsiFinD("ths_adjustment_nv_fund",P$3,$A526))</f>
        <v/>
      </c>
      <c r="Q526" s="13" t="str">
        <f>IF($A526="","",[1]!thsiFinD("ths_adjustment_nv_fund",Q$3,$A526))</f>
        <v/>
      </c>
      <c r="R526" s="13" t="str">
        <f>IF($A526="","",[1]!thsiFinD("ths_adjustment_nv_fund",R$3,$A526))</f>
        <v/>
      </c>
      <c r="S526" s="13" t="str">
        <f>IF($A526="","",[1]!thsiFinD("ths_adjustment_nv_fund",S$3,$A526))</f>
        <v/>
      </c>
      <c r="T526" s="13" t="str">
        <f>IF($A526="","",[1]!thsiFinD("ths_adjustment_nv_fund",T$3,$A526))</f>
        <v/>
      </c>
      <c r="U526" s="13" t="str">
        <f>IF($A526="","",[1]!thsiFinD("ths_adjustment_nv_fund",U$3,$A526))</f>
        <v/>
      </c>
      <c r="V526" s="13" t="str">
        <f>IF($A526="","",[1]!thsiFinD("ths_adjustment_nv_fund",V$3,$A526))</f>
        <v/>
      </c>
      <c r="W526" s="13" t="str">
        <f>IF($A526="","",[1]!thsiFinD("ths_adjustment_nv_fund",W$3,$A526))</f>
        <v/>
      </c>
      <c r="X526" s="13" t="str">
        <f>IF($A526="","",[1]!thsiFinD("ths_adjustment_nv_fund",X$3,$A526))</f>
        <v/>
      </c>
      <c r="Y526" s="13" t="str">
        <f>IF($A526="","",[1]!thsiFinD("ths_adjustment_nv_fund",Y$3,$A526))</f>
        <v/>
      </c>
      <c r="Z526" s="13" t="str">
        <f>IF($A526="","",[1]!thsiFinD("ths_adjustment_nv_fund",Z$3,$A526))</f>
        <v/>
      </c>
      <c r="AA526" s="13" t="str">
        <f>IF($A526="","",[1]!thsiFinD("ths_adjustment_nv_fund",AA$3,$A526))</f>
        <v/>
      </c>
      <c r="AB526" s="13">
        <f>IF($A526="","",[1]!thsiFinD("ths_adjustment_nv_fund",AB$3,$A526))</f>
        <v/>
      </c>
      <c r="AC526" s="13">
        <f>IF($A526="","",[1]!thsiFinD("ths_adjustment_nv_fund",AC$3,$A526))</f>
        <v/>
      </c>
      <c r="AD526" s="13">
        <f>IF($A526="","",[1]!thsiFinD("ths_adjustment_nv_fund",AD$3,$A526))</f>
        <v/>
      </c>
      <c r="AE526" s="13">
        <f>IF($A526="","",[1]!thsiFinD("ths_adjustment_nv_fund",AE$3,$A526))</f>
        <v/>
      </c>
      <c r="AF526" s="13">
        <f>IF($A526="","",[1]!thsiFinD("ths_adjustment_nv_fund",AF$3,$A526))</f>
        <v/>
      </c>
      <c r="AG526" s="13">
        <f>IF($A526="","",[1]!thsiFinD("ths_adjustment_nv_fund",AG$3,$A526))</f>
        <v/>
      </c>
      <c r="AH526" s="13">
        <f>IF($A526="","",[1]!thsiFinD("ths_adjustment_nv_fund",AH$3,$A526))</f>
        <v/>
      </c>
      <c r="AI526" s="13">
        <f>IF($A526="","",[1]!thsiFinD("ths_adjustment_nv_fund",AI$3,$A526))</f>
        <v/>
      </c>
      <c r="AJ526" s="13">
        <f>IF($A526="","",[1]!thsiFinD("ths_adjustment_nv_fund",AJ$3,$A526))</f>
        <v/>
      </c>
      <c r="AK526" s="13">
        <f>IF($A526="","",[1]!thsiFinD("ths_adjustment_nv_fund",AK$3,$A526))</f>
        <v/>
      </c>
      <c r="AL526" s="13">
        <f>IF($A526="","",[1]!thsiFinD("ths_adjustment_nv_fund",AL$3,$A526))</f>
        <v/>
      </c>
    </row>
    <row r="527" spans="2:28">
      <c r="B527" s="13" t="str">
        <f>IF($A527="","",[1]!thsiFinD("ths_adjustment_nv_fund",B$3,$A527))</f>
        <v/>
      </c>
      <c r="C527" s="13" t="str">
        <f>IF($A527="","",[1]!thsiFinD("ths_adjustment_nv_fund",C$3,$A527))</f>
        <v/>
      </c>
      <c r="D527" s="13" t="str">
        <f>IF($A527="","",[1]!thsiFinD("ths_adjustment_nv_fund",D$3,$A527))</f>
        <v/>
      </c>
      <c r="E527" s="13" t="str">
        <f>IF($A527="","",[1]!thsiFinD("ths_adjustment_nv_fund",E$3,$A527))</f>
        <v/>
      </c>
      <c r="F527" s="13" t="str">
        <f>IF($A527="","",[1]!thsiFinD("ths_adjustment_nv_fund",F$3,$A527))</f>
        <v/>
      </c>
      <c r="G527" s="13" t="str">
        <f>IF($A527="","",[1]!thsiFinD("ths_adjustment_nv_fund",G$3,$A527))</f>
        <v/>
      </c>
      <c r="H527" s="13" t="str">
        <f>IF($A527="","",[1]!thsiFinD("ths_adjustment_nv_fund",H$3,$A527))</f>
        <v/>
      </c>
      <c r="I527" s="13" t="str">
        <f>IF($A527="","",[1]!thsiFinD("ths_adjustment_nv_fund",I$3,$A527))</f>
        <v/>
      </c>
      <c r="J527" s="13" t="str">
        <f>IF($A527="","",[1]!thsiFinD("ths_adjustment_nv_fund",J$3,$A527))</f>
        <v/>
      </c>
      <c r="K527" s="13" t="str">
        <f>IF($A527="","",[1]!thsiFinD("ths_adjustment_nv_fund",K$3,$A527))</f>
        <v/>
      </c>
      <c r="L527" s="13" t="str">
        <f>IF($A527="","",[1]!thsiFinD("ths_adjustment_nv_fund",L$3,$A527))</f>
        <v/>
      </c>
      <c r="M527" s="13" t="str">
        <f>IF($A527="","",[1]!thsiFinD("ths_adjustment_nv_fund",M$3,$A527))</f>
        <v/>
      </c>
      <c r="N527" s="13" t="str">
        <f>IF($A527="","",[1]!thsiFinD("ths_adjustment_nv_fund",N$3,$A527))</f>
        <v/>
      </c>
      <c r="O527" s="13" t="str">
        <f>IF($A527="","",[1]!thsiFinD("ths_adjustment_nv_fund",O$3,$A527))</f>
        <v/>
      </c>
      <c r="P527" s="13" t="str">
        <f>IF($A527="","",[1]!thsiFinD("ths_adjustment_nv_fund",P$3,$A527))</f>
        <v/>
      </c>
      <c r="Q527" s="13" t="str">
        <f>IF($A527="","",[1]!thsiFinD("ths_adjustment_nv_fund",Q$3,$A527))</f>
        <v/>
      </c>
      <c r="R527" s="13" t="str">
        <f>IF($A527="","",[1]!thsiFinD("ths_adjustment_nv_fund",R$3,$A527))</f>
        <v/>
      </c>
      <c r="S527" s="13" t="str">
        <f>IF($A527="","",[1]!thsiFinD("ths_adjustment_nv_fund",S$3,$A527))</f>
        <v/>
      </c>
      <c r="T527" s="13" t="str">
        <f>IF($A527="","",[1]!thsiFinD("ths_adjustment_nv_fund",T$3,$A527))</f>
        <v/>
      </c>
      <c r="U527" s="13" t="str">
        <f>IF($A527="","",[1]!thsiFinD("ths_adjustment_nv_fund",U$3,$A527))</f>
        <v/>
      </c>
      <c r="V527" s="13" t="str">
        <f>IF($A527="","",[1]!thsiFinD("ths_adjustment_nv_fund",V$3,$A527))</f>
        <v/>
      </c>
      <c r="W527" s="13" t="str">
        <f>IF($A527="","",[1]!thsiFinD("ths_adjustment_nv_fund",W$3,$A527))</f>
        <v/>
      </c>
      <c r="X527" s="13" t="str">
        <f>IF($A527="","",[1]!thsiFinD("ths_adjustment_nv_fund",X$3,$A527))</f>
        <v/>
      </c>
      <c r="Y527" s="13" t="str">
        <f>IF($A527="","",[1]!thsiFinD("ths_adjustment_nv_fund",Y$3,$A527))</f>
        <v/>
      </c>
      <c r="Z527" s="13" t="str">
        <f>IF($A527="","",[1]!thsiFinD("ths_adjustment_nv_fund",Z$3,$A527))</f>
        <v/>
      </c>
      <c r="AA527" s="13" t="str">
        <f>IF($A527="","",[1]!thsiFinD("ths_adjustment_nv_fund",AA$3,$A527))</f>
        <v/>
      </c>
      <c r="AB527" s="13">
        <f>IF($A527="","",[1]!thsiFinD("ths_adjustment_nv_fund",AB$3,$A527))</f>
        <v/>
      </c>
      <c r="AC527" s="13">
        <f>IF($A527="","",[1]!thsiFinD("ths_adjustment_nv_fund",AC$3,$A527))</f>
        <v/>
      </c>
      <c r="AD527" s="13">
        <f>IF($A527="","",[1]!thsiFinD("ths_adjustment_nv_fund",AD$3,$A527))</f>
        <v/>
      </c>
      <c r="AE527" s="13">
        <f>IF($A527="","",[1]!thsiFinD("ths_adjustment_nv_fund",AE$3,$A527))</f>
        <v/>
      </c>
      <c r="AF527" s="13">
        <f>IF($A527="","",[1]!thsiFinD("ths_adjustment_nv_fund",AF$3,$A527))</f>
        <v/>
      </c>
      <c r="AG527" s="13">
        <f>IF($A527="","",[1]!thsiFinD("ths_adjustment_nv_fund",AG$3,$A527))</f>
        <v/>
      </c>
      <c r="AH527" s="13">
        <f>IF($A527="","",[1]!thsiFinD("ths_adjustment_nv_fund",AH$3,$A527))</f>
        <v/>
      </c>
      <c r="AI527" s="13">
        <f>IF($A527="","",[1]!thsiFinD("ths_adjustment_nv_fund",AI$3,$A527))</f>
        <v/>
      </c>
      <c r="AJ527" s="13">
        <f>IF($A527="","",[1]!thsiFinD("ths_adjustment_nv_fund",AJ$3,$A527))</f>
        <v/>
      </c>
      <c r="AK527" s="13">
        <f>IF($A527="","",[1]!thsiFinD("ths_adjustment_nv_fund",AK$3,$A527))</f>
        <v/>
      </c>
      <c r="AL527" s="13">
        <f>IF($A527="","",[1]!thsiFinD("ths_adjustment_nv_fund",AL$3,$A527))</f>
        <v/>
      </c>
    </row>
    <row r="528" spans="2:28">
      <c r="B528" s="13" t="str">
        <f>IF($A528="","",[1]!thsiFinD("ths_adjustment_nv_fund",B$3,$A528))</f>
        <v/>
      </c>
      <c r="C528" s="13" t="str">
        <f>IF($A528="","",[1]!thsiFinD("ths_adjustment_nv_fund",C$3,$A528))</f>
        <v/>
      </c>
      <c r="D528" s="13" t="str">
        <f>IF($A528="","",[1]!thsiFinD("ths_adjustment_nv_fund",D$3,$A528))</f>
        <v/>
      </c>
      <c r="E528" s="13" t="str">
        <f>IF($A528="","",[1]!thsiFinD("ths_adjustment_nv_fund",E$3,$A528))</f>
        <v/>
      </c>
      <c r="F528" s="13" t="str">
        <f>IF($A528="","",[1]!thsiFinD("ths_adjustment_nv_fund",F$3,$A528))</f>
        <v/>
      </c>
      <c r="G528" s="13" t="str">
        <f>IF($A528="","",[1]!thsiFinD("ths_adjustment_nv_fund",G$3,$A528))</f>
        <v/>
      </c>
      <c r="H528" s="13" t="str">
        <f>IF($A528="","",[1]!thsiFinD("ths_adjustment_nv_fund",H$3,$A528))</f>
        <v/>
      </c>
      <c r="I528" s="13" t="str">
        <f>IF($A528="","",[1]!thsiFinD("ths_adjustment_nv_fund",I$3,$A528))</f>
        <v/>
      </c>
      <c r="J528" s="13" t="str">
        <f>IF($A528="","",[1]!thsiFinD("ths_adjustment_nv_fund",J$3,$A528))</f>
        <v/>
      </c>
      <c r="K528" s="13" t="str">
        <f>IF($A528="","",[1]!thsiFinD("ths_adjustment_nv_fund",K$3,$A528))</f>
        <v/>
      </c>
      <c r="L528" s="13" t="str">
        <f>IF($A528="","",[1]!thsiFinD("ths_adjustment_nv_fund",L$3,$A528))</f>
        <v/>
      </c>
      <c r="M528" s="13" t="str">
        <f>IF($A528="","",[1]!thsiFinD("ths_adjustment_nv_fund",M$3,$A528))</f>
        <v/>
      </c>
      <c r="N528" s="13" t="str">
        <f>IF($A528="","",[1]!thsiFinD("ths_adjustment_nv_fund",N$3,$A528))</f>
        <v/>
      </c>
      <c r="O528" s="13" t="str">
        <f>IF($A528="","",[1]!thsiFinD("ths_adjustment_nv_fund",O$3,$A528))</f>
        <v/>
      </c>
      <c r="P528" s="13" t="str">
        <f>IF($A528="","",[1]!thsiFinD("ths_adjustment_nv_fund",P$3,$A528))</f>
        <v/>
      </c>
      <c r="Q528" s="13" t="str">
        <f>IF($A528="","",[1]!thsiFinD("ths_adjustment_nv_fund",Q$3,$A528))</f>
        <v/>
      </c>
      <c r="R528" s="13" t="str">
        <f>IF($A528="","",[1]!thsiFinD("ths_adjustment_nv_fund",R$3,$A528))</f>
        <v/>
      </c>
      <c r="S528" s="13" t="str">
        <f>IF($A528="","",[1]!thsiFinD("ths_adjustment_nv_fund",S$3,$A528))</f>
        <v/>
      </c>
      <c r="T528" s="13" t="str">
        <f>IF($A528="","",[1]!thsiFinD("ths_adjustment_nv_fund",T$3,$A528))</f>
        <v/>
      </c>
      <c r="U528" s="13" t="str">
        <f>IF($A528="","",[1]!thsiFinD("ths_adjustment_nv_fund",U$3,$A528))</f>
        <v/>
      </c>
      <c r="V528" s="13" t="str">
        <f>IF($A528="","",[1]!thsiFinD("ths_adjustment_nv_fund",V$3,$A528))</f>
        <v/>
      </c>
      <c r="W528" s="13" t="str">
        <f>IF($A528="","",[1]!thsiFinD("ths_adjustment_nv_fund",W$3,$A528))</f>
        <v/>
      </c>
      <c r="X528" s="13" t="str">
        <f>IF($A528="","",[1]!thsiFinD("ths_adjustment_nv_fund",X$3,$A528))</f>
        <v/>
      </c>
      <c r="Y528" s="13" t="str">
        <f>IF($A528="","",[1]!thsiFinD("ths_adjustment_nv_fund",Y$3,$A528))</f>
        <v/>
      </c>
      <c r="Z528" s="13" t="str">
        <f>IF($A528="","",[1]!thsiFinD("ths_adjustment_nv_fund",Z$3,$A528))</f>
        <v/>
      </c>
      <c r="AA528" s="13" t="str">
        <f>IF($A528="","",[1]!thsiFinD("ths_adjustment_nv_fund",AA$3,$A528))</f>
        <v/>
      </c>
      <c r="AB528" s="13">
        <f>IF($A528="","",[1]!thsiFinD("ths_adjustment_nv_fund",AB$3,$A528))</f>
        <v/>
      </c>
      <c r="AC528" s="13">
        <f>IF($A528="","",[1]!thsiFinD("ths_adjustment_nv_fund",AC$3,$A528))</f>
        <v/>
      </c>
      <c r="AD528" s="13">
        <f>IF($A528="","",[1]!thsiFinD("ths_adjustment_nv_fund",AD$3,$A528))</f>
        <v/>
      </c>
      <c r="AE528" s="13">
        <f>IF($A528="","",[1]!thsiFinD("ths_adjustment_nv_fund",AE$3,$A528))</f>
        <v/>
      </c>
      <c r="AF528" s="13">
        <f>IF($A528="","",[1]!thsiFinD("ths_adjustment_nv_fund",AF$3,$A528))</f>
        <v/>
      </c>
      <c r="AG528" s="13">
        <f>IF($A528="","",[1]!thsiFinD("ths_adjustment_nv_fund",AG$3,$A528))</f>
        <v/>
      </c>
      <c r="AH528" s="13">
        <f>IF($A528="","",[1]!thsiFinD("ths_adjustment_nv_fund",AH$3,$A528))</f>
        <v/>
      </c>
      <c r="AI528" s="13">
        <f>IF($A528="","",[1]!thsiFinD("ths_adjustment_nv_fund",AI$3,$A528))</f>
        <v/>
      </c>
      <c r="AJ528" s="13">
        <f>IF($A528="","",[1]!thsiFinD("ths_adjustment_nv_fund",AJ$3,$A528))</f>
        <v/>
      </c>
      <c r="AK528" s="13">
        <f>IF($A528="","",[1]!thsiFinD("ths_adjustment_nv_fund",AK$3,$A528))</f>
        <v/>
      </c>
      <c r="AL528" s="13">
        <f>IF($A528="","",[1]!thsiFinD("ths_adjustment_nv_fund",AL$3,$A528))</f>
        <v/>
      </c>
    </row>
    <row r="529" spans="2:28">
      <c r="B529" s="13" t="str">
        <f>IF($A529="","",[1]!thsiFinD("ths_adjustment_nv_fund",B$3,$A529))</f>
        <v/>
      </c>
      <c r="C529" s="13" t="str">
        <f>IF($A529="","",[1]!thsiFinD("ths_adjustment_nv_fund",C$3,$A529))</f>
        <v/>
      </c>
      <c r="D529" s="13" t="str">
        <f>IF($A529="","",[1]!thsiFinD("ths_adjustment_nv_fund",D$3,$A529))</f>
        <v/>
      </c>
      <c r="E529" s="13" t="str">
        <f>IF($A529="","",[1]!thsiFinD("ths_adjustment_nv_fund",E$3,$A529))</f>
        <v/>
      </c>
      <c r="F529" s="13" t="str">
        <f>IF($A529="","",[1]!thsiFinD("ths_adjustment_nv_fund",F$3,$A529))</f>
        <v/>
      </c>
      <c r="G529" s="13" t="str">
        <f>IF($A529="","",[1]!thsiFinD("ths_adjustment_nv_fund",G$3,$A529))</f>
        <v/>
      </c>
      <c r="H529" s="13" t="str">
        <f>IF($A529="","",[1]!thsiFinD("ths_adjustment_nv_fund",H$3,$A529))</f>
        <v/>
      </c>
      <c r="I529" s="13" t="str">
        <f>IF($A529="","",[1]!thsiFinD("ths_adjustment_nv_fund",I$3,$A529))</f>
        <v/>
      </c>
      <c r="J529" s="13" t="str">
        <f>IF($A529="","",[1]!thsiFinD("ths_adjustment_nv_fund",J$3,$A529))</f>
        <v/>
      </c>
      <c r="K529" s="13" t="str">
        <f>IF($A529="","",[1]!thsiFinD("ths_adjustment_nv_fund",K$3,$A529))</f>
        <v/>
      </c>
      <c r="L529" s="13" t="str">
        <f>IF($A529="","",[1]!thsiFinD("ths_adjustment_nv_fund",L$3,$A529))</f>
        <v/>
      </c>
      <c r="M529" s="13" t="str">
        <f>IF($A529="","",[1]!thsiFinD("ths_adjustment_nv_fund",M$3,$A529))</f>
        <v/>
      </c>
      <c r="N529" s="13" t="str">
        <f>IF($A529="","",[1]!thsiFinD("ths_adjustment_nv_fund",N$3,$A529))</f>
        <v/>
      </c>
      <c r="O529" s="13" t="str">
        <f>IF($A529="","",[1]!thsiFinD("ths_adjustment_nv_fund",O$3,$A529))</f>
        <v/>
      </c>
      <c r="P529" s="13" t="str">
        <f>IF($A529="","",[1]!thsiFinD("ths_adjustment_nv_fund",P$3,$A529))</f>
        <v/>
      </c>
      <c r="Q529" s="13" t="str">
        <f>IF($A529="","",[1]!thsiFinD("ths_adjustment_nv_fund",Q$3,$A529))</f>
        <v/>
      </c>
      <c r="R529" s="13" t="str">
        <f>IF($A529="","",[1]!thsiFinD("ths_adjustment_nv_fund",R$3,$A529))</f>
        <v/>
      </c>
      <c r="S529" s="13" t="str">
        <f>IF($A529="","",[1]!thsiFinD("ths_adjustment_nv_fund",S$3,$A529))</f>
        <v/>
      </c>
      <c r="T529" s="13" t="str">
        <f>IF($A529="","",[1]!thsiFinD("ths_adjustment_nv_fund",T$3,$A529))</f>
        <v/>
      </c>
      <c r="U529" s="13" t="str">
        <f>IF($A529="","",[1]!thsiFinD("ths_adjustment_nv_fund",U$3,$A529))</f>
        <v/>
      </c>
      <c r="V529" s="13" t="str">
        <f>IF($A529="","",[1]!thsiFinD("ths_adjustment_nv_fund",V$3,$A529))</f>
        <v/>
      </c>
      <c r="W529" s="13" t="str">
        <f>IF($A529="","",[1]!thsiFinD("ths_adjustment_nv_fund",W$3,$A529))</f>
        <v/>
      </c>
      <c r="X529" s="13" t="str">
        <f>IF($A529="","",[1]!thsiFinD("ths_adjustment_nv_fund",X$3,$A529))</f>
        <v/>
      </c>
      <c r="Y529" s="13" t="str">
        <f>IF($A529="","",[1]!thsiFinD("ths_adjustment_nv_fund",Y$3,$A529))</f>
        <v/>
      </c>
      <c r="Z529" s="13" t="str">
        <f>IF($A529="","",[1]!thsiFinD("ths_adjustment_nv_fund",Z$3,$A529))</f>
        <v/>
      </c>
      <c r="AA529" s="13" t="str">
        <f>IF($A529="","",[1]!thsiFinD("ths_adjustment_nv_fund",AA$3,$A529))</f>
        <v/>
      </c>
      <c r="AB529" s="13">
        <f>IF($A529="","",[1]!thsiFinD("ths_adjustment_nv_fund",AB$3,$A529))</f>
        <v/>
      </c>
      <c r="AC529" s="13">
        <f>IF($A529="","",[1]!thsiFinD("ths_adjustment_nv_fund",AC$3,$A529))</f>
        <v/>
      </c>
      <c r="AD529" s="13">
        <f>IF($A529="","",[1]!thsiFinD("ths_adjustment_nv_fund",AD$3,$A529))</f>
        <v/>
      </c>
      <c r="AE529" s="13">
        <f>IF($A529="","",[1]!thsiFinD("ths_adjustment_nv_fund",AE$3,$A529))</f>
        <v/>
      </c>
      <c r="AF529" s="13">
        <f>IF($A529="","",[1]!thsiFinD("ths_adjustment_nv_fund",AF$3,$A529))</f>
        <v/>
      </c>
      <c r="AG529" s="13">
        <f>IF($A529="","",[1]!thsiFinD("ths_adjustment_nv_fund",AG$3,$A529))</f>
        <v/>
      </c>
      <c r="AH529" s="13">
        <f>IF($A529="","",[1]!thsiFinD("ths_adjustment_nv_fund",AH$3,$A529))</f>
        <v/>
      </c>
      <c r="AI529" s="13">
        <f>IF($A529="","",[1]!thsiFinD("ths_adjustment_nv_fund",AI$3,$A529))</f>
        <v/>
      </c>
      <c r="AJ529" s="13">
        <f>IF($A529="","",[1]!thsiFinD("ths_adjustment_nv_fund",AJ$3,$A529))</f>
        <v/>
      </c>
      <c r="AK529" s="13">
        <f>IF($A529="","",[1]!thsiFinD("ths_adjustment_nv_fund",AK$3,$A529))</f>
        <v/>
      </c>
      <c r="AL529" s="13">
        <f>IF($A529="","",[1]!thsiFinD("ths_adjustment_nv_fund",AL$3,$A529))</f>
        <v/>
      </c>
    </row>
    <row r="530" spans="2:28">
      <c r="B530" s="13" t="str">
        <f>IF($A530="","",[1]!thsiFinD("ths_adjustment_nv_fund",B$3,$A530))</f>
        <v/>
      </c>
      <c r="C530" s="13" t="str">
        <f>IF($A530="","",[1]!thsiFinD("ths_adjustment_nv_fund",C$3,$A530))</f>
        <v/>
      </c>
      <c r="D530" s="13" t="str">
        <f>IF($A530="","",[1]!thsiFinD("ths_adjustment_nv_fund",D$3,$A530))</f>
        <v/>
      </c>
      <c r="E530" s="13" t="str">
        <f>IF($A530="","",[1]!thsiFinD("ths_adjustment_nv_fund",E$3,$A530))</f>
        <v/>
      </c>
      <c r="F530" s="13" t="str">
        <f>IF($A530="","",[1]!thsiFinD("ths_adjustment_nv_fund",F$3,$A530))</f>
        <v/>
      </c>
      <c r="G530" s="13" t="str">
        <f>IF($A530="","",[1]!thsiFinD("ths_adjustment_nv_fund",G$3,$A530))</f>
        <v/>
      </c>
      <c r="H530" s="13" t="str">
        <f>IF($A530="","",[1]!thsiFinD("ths_adjustment_nv_fund",H$3,$A530))</f>
        <v/>
      </c>
      <c r="I530" s="13" t="str">
        <f>IF($A530="","",[1]!thsiFinD("ths_adjustment_nv_fund",I$3,$A530))</f>
        <v/>
      </c>
      <c r="J530" s="13" t="str">
        <f>IF($A530="","",[1]!thsiFinD("ths_adjustment_nv_fund",J$3,$A530))</f>
        <v/>
      </c>
      <c r="K530" s="13" t="str">
        <f>IF($A530="","",[1]!thsiFinD("ths_adjustment_nv_fund",K$3,$A530))</f>
        <v/>
      </c>
      <c r="L530" s="13" t="str">
        <f>IF($A530="","",[1]!thsiFinD("ths_adjustment_nv_fund",L$3,$A530))</f>
        <v/>
      </c>
      <c r="M530" s="13" t="str">
        <f>IF($A530="","",[1]!thsiFinD("ths_adjustment_nv_fund",M$3,$A530))</f>
        <v/>
      </c>
      <c r="N530" s="13" t="str">
        <f>IF($A530="","",[1]!thsiFinD("ths_adjustment_nv_fund",N$3,$A530))</f>
        <v/>
      </c>
      <c r="O530" s="13" t="str">
        <f>IF($A530="","",[1]!thsiFinD("ths_adjustment_nv_fund",O$3,$A530))</f>
        <v/>
      </c>
      <c r="P530" s="13" t="str">
        <f>IF($A530="","",[1]!thsiFinD("ths_adjustment_nv_fund",P$3,$A530))</f>
        <v/>
      </c>
      <c r="Q530" s="13" t="str">
        <f>IF($A530="","",[1]!thsiFinD("ths_adjustment_nv_fund",Q$3,$A530))</f>
        <v/>
      </c>
      <c r="R530" s="13" t="str">
        <f>IF($A530="","",[1]!thsiFinD("ths_adjustment_nv_fund",R$3,$A530))</f>
        <v/>
      </c>
      <c r="S530" s="13" t="str">
        <f>IF($A530="","",[1]!thsiFinD("ths_adjustment_nv_fund",S$3,$A530))</f>
        <v/>
      </c>
      <c r="T530" s="13" t="str">
        <f>IF($A530="","",[1]!thsiFinD("ths_adjustment_nv_fund",T$3,$A530))</f>
        <v/>
      </c>
      <c r="U530" s="13" t="str">
        <f>IF($A530="","",[1]!thsiFinD("ths_adjustment_nv_fund",U$3,$A530))</f>
        <v/>
      </c>
      <c r="V530" s="13" t="str">
        <f>IF($A530="","",[1]!thsiFinD("ths_adjustment_nv_fund",V$3,$A530))</f>
        <v/>
      </c>
      <c r="W530" s="13" t="str">
        <f>IF($A530="","",[1]!thsiFinD("ths_adjustment_nv_fund",W$3,$A530))</f>
        <v/>
      </c>
      <c r="X530" s="13" t="str">
        <f>IF($A530="","",[1]!thsiFinD("ths_adjustment_nv_fund",X$3,$A530))</f>
        <v/>
      </c>
      <c r="Y530" s="13" t="str">
        <f>IF($A530="","",[1]!thsiFinD("ths_adjustment_nv_fund",Y$3,$A530))</f>
        <v/>
      </c>
      <c r="Z530" s="13" t="str">
        <f>IF($A530="","",[1]!thsiFinD("ths_adjustment_nv_fund",Z$3,$A530))</f>
        <v/>
      </c>
      <c r="AA530" s="13" t="str">
        <f>IF($A530="","",[1]!thsiFinD("ths_adjustment_nv_fund",AA$3,$A530))</f>
        <v/>
      </c>
      <c r="AB530" s="13">
        <f>IF($A530="","",[1]!thsiFinD("ths_adjustment_nv_fund",AB$3,$A530))</f>
        <v/>
      </c>
      <c r="AC530" s="13">
        <f>IF($A530="","",[1]!thsiFinD("ths_adjustment_nv_fund",AC$3,$A530))</f>
        <v/>
      </c>
      <c r="AD530" s="13">
        <f>IF($A530="","",[1]!thsiFinD("ths_adjustment_nv_fund",AD$3,$A530))</f>
        <v/>
      </c>
      <c r="AE530" s="13">
        <f>IF($A530="","",[1]!thsiFinD("ths_adjustment_nv_fund",AE$3,$A530))</f>
        <v/>
      </c>
      <c r="AF530" s="13">
        <f>IF($A530="","",[1]!thsiFinD("ths_adjustment_nv_fund",AF$3,$A530))</f>
        <v/>
      </c>
      <c r="AG530" s="13">
        <f>IF($A530="","",[1]!thsiFinD("ths_adjustment_nv_fund",AG$3,$A530))</f>
        <v/>
      </c>
      <c r="AH530" s="13">
        <f>IF($A530="","",[1]!thsiFinD("ths_adjustment_nv_fund",AH$3,$A530))</f>
        <v/>
      </c>
      <c r="AI530" s="13">
        <f>IF($A530="","",[1]!thsiFinD("ths_adjustment_nv_fund",AI$3,$A530))</f>
        <v/>
      </c>
      <c r="AJ530" s="13">
        <f>IF($A530="","",[1]!thsiFinD("ths_adjustment_nv_fund",AJ$3,$A530))</f>
        <v/>
      </c>
      <c r="AK530" s="13">
        <f>IF($A530="","",[1]!thsiFinD("ths_adjustment_nv_fund",AK$3,$A530))</f>
        <v/>
      </c>
      <c r="AL530" s="13">
        <f>IF($A530="","",[1]!thsiFinD("ths_adjustment_nv_fund",AL$3,$A530))</f>
        <v/>
      </c>
    </row>
    <row r="531" spans="2:28">
      <c r="B531" s="13" t="str">
        <f>IF($A531="","",[1]!thsiFinD("ths_adjustment_nv_fund",B$3,$A531))</f>
        <v/>
      </c>
      <c r="C531" s="13" t="str">
        <f>IF($A531="","",[1]!thsiFinD("ths_adjustment_nv_fund",C$3,$A531))</f>
        <v/>
      </c>
      <c r="D531" s="13" t="str">
        <f>IF($A531="","",[1]!thsiFinD("ths_adjustment_nv_fund",D$3,$A531))</f>
        <v/>
      </c>
      <c r="E531" s="13" t="str">
        <f>IF($A531="","",[1]!thsiFinD("ths_adjustment_nv_fund",E$3,$A531))</f>
        <v/>
      </c>
      <c r="F531" s="13" t="str">
        <f>IF($A531="","",[1]!thsiFinD("ths_adjustment_nv_fund",F$3,$A531))</f>
        <v/>
      </c>
      <c r="G531" s="13" t="str">
        <f>IF($A531="","",[1]!thsiFinD("ths_adjustment_nv_fund",G$3,$A531))</f>
        <v/>
      </c>
      <c r="H531" s="13" t="str">
        <f>IF($A531="","",[1]!thsiFinD("ths_adjustment_nv_fund",H$3,$A531))</f>
        <v/>
      </c>
      <c r="I531" s="13" t="str">
        <f>IF($A531="","",[1]!thsiFinD("ths_adjustment_nv_fund",I$3,$A531))</f>
        <v/>
      </c>
      <c r="J531" s="13" t="str">
        <f>IF($A531="","",[1]!thsiFinD("ths_adjustment_nv_fund",J$3,$A531))</f>
        <v/>
      </c>
      <c r="K531" s="13" t="str">
        <f>IF($A531="","",[1]!thsiFinD("ths_adjustment_nv_fund",K$3,$A531))</f>
        <v/>
      </c>
      <c r="L531" s="13" t="str">
        <f>IF($A531="","",[1]!thsiFinD("ths_adjustment_nv_fund",L$3,$A531))</f>
        <v/>
      </c>
      <c r="M531" s="13" t="str">
        <f>IF($A531="","",[1]!thsiFinD("ths_adjustment_nv_fund",M$3,$A531))</f>
        <v/>
      </c>
      <c r="N531" s="13" t="str">
        <f>IF($A531="","",[1]!thsiFinD("ths_adjustment_nv_fund",N$3,$A531))</f>
        <v/>
      </c>
      <c r="O531" s="13" t="str">
        <f>IF($A531="","",[1]!thsiFinD("ths_adjustment_nv_fund",O$3,$A531))</f>
        <v/>
      </c>
      <c r="P531" s="13" t="str">
        <f>IF($A531="","",[1]!thsiFinD("ths_adjustment_nv_fund",P$3,$A531))</f>
        <v/>
      </c>
      <c r="Q531" s="13" t="str">
        <f>IF($A531="","",[1]!thsiFinD("ths_adjustment_nv_fund",Q$3,$A531))</f>
        <v/>
      </c>
      <c r="R531" s="13" t="str">
        <f>IF($A531="","",[1]!thsiFinD("ths_adjustment_nv_fund",R$3,$A531))</f>
        <v/>
      </c>
      <c r="S531" s="13" t="str">
        <f>IF($A531="","",[1]!thsiFinD("ths_adjustment_nv_fund",S$3,$A531))</f>
        <v/>
      </c>
      <c r="T531" s="13" t="str">
        <f>IF($A531="","",[1]!thsiFinD("ths_adjustment_nv_fund",T$3,$A531))</f>
        <v/>
      </c>
      <c r="U531" s="13" t="str">
        <f>IF($A531="","",[1]!thsiFinD("ths_adjustment_nv_fund",U$3,$A531))</f>
        <v/>
      </c>
      <c r="V531" s="13" t="str">
        <f>IF($A531="","",[1]!thsiFinD("ths_adjustment_nv_fund",V$3,$A531))</f>
        <v/>
      </c>
      <c r="W531" s="13" t="str">
        <f>IF($A531="","",[1]!thsiFinD("ths_adjustment_nv_fund",W$3,$A531))</f>
        <v/>
      </c>
      <c r="X531" s="13" t="str">
        <f>IF($A531="","",[1]!thsiFinD("ths_adjustment_nv_fund",X$3,$A531))</f>
        <v/>
      </c>
      <c r="Y531" s="13" t="str">
        <f>IF($A531="","",[1]!thsiFinD("ths_adjustment_nv_fund",Y$3,$A531))</f>
        <v/>
      </c>
      <c r="Z531" s="13" t="str">
        <f>IF($A531="","",[1]!thsiFinD("ths_adjustment_nv_fund",Z$3,$A531))</f>
        <v/>
      </c>
      <c r="AA531" s="13" t="str">
        <f>IF($A531="","",[1]!thsiFinD("ths_adjustment_nv_fund",AA$3,$A531))</f>
        <v/>
      </c>
      <c r="AB531" s="13">
        <f>IF($A531="","",[1]!thsiFinD("ths_adjustment_nv_fund",AB$3,$A531))</f>
        <v/>
      </c>
      <c r="AC531" s="13">
        <f>IF($A531="","",[1]!thsiFinD("ths_adjustment_nv_fund",AC$3,$A531))</f>
        <v/>
      </c>
      <c r="AD531" s="13">
        <f>IF($A531="","",[1]!thsiFinD("ths_adjustment_nv_fund",AD$3,$A531))</f>
        <v/>
      </c>
      <c r="AE531" s="13">
        <f>IF($A531="","",[1]!thsiFinD("ths_adjustment_nv_fund",AE$3,$A531))</f>
        <v/>
      </c>
      <c r="AF531" s="13">
        <f>IF($A531="","",[1]!thsiFinD("ths_adjustment_nv_fund",AF$3,$A531))</f>
        <v/>
      </c>
      <c r="AG531" s="13">
        <f>IF($A531="","",[1]!thsiFinD("ths_adjustment_nv_fund",AG$3,$A531))</f>
        <v/>
      </c>
      <c r="AH531" s="13">
        <f>IF($A531="","",[1]!thsiFinD("ths_adjustment_nv_fund",AH$3,$A531))</f>
        <v/>
      </c>
      <c r="AI531" s="13">
        <f>IF($A531="","",[1]!thsiFinD("ths_adjustment_nv_fund",AI$3,$A531))</f>
        <v/>
      </c>
      <c r="AJ531" s="13">
        <f>IF($A531="","",[1]!thsiFinD("ths_adjustment_nv_fund",AJ$3,$A531))</f>
        <v/>
      </c>
      <c r="AK531" s="13">
        <f>IF($A531="","",[1]!thsiFinD("ths_adjustment_nv_fund",AK$3,$A531))</f>
        <v/>
      </c>
      <c r="AL531" s="13">
        <f>IF($A531="","",[1]!thsiFinD("ths_adjustment_nv_fund",AL$3,$A531))</f>
        <v/>
      </c>
    </row>
    <row r="532" spans="2:28">
      <c r="B532" s="13" t="str">
        <f>IF($A532="","",[1]!thsiFinD("ths_adjustment_nv_fund",B$3,$A532))</f>
        <v/>
      </c>
      <c r="C532" s="13" t="str">
        <f>IF($A532="","",[1]!thsiFinD("ths_adjustment_nv_fund",C$3,$A532))</f>
        <v/>
      </c>
      <c r="D532" s="13" t="str">
        <f>IF($A532="","",[1]!thsiFinD("ths_adjustment_nv_fund",D$3,$A532))</f>
        <v/>
      </c>
      <c r="E532" s="13" t="str">
        <f>IF($A532="","",[1]!thsiFinD("ths_adjustment_nv_fund",E$3,$A532))</f>
        <v/>
      </c>
      <c r="F532" s="13" t="str">
        <f>IF($A532="","",[1]!thsiFinD("ths_adjustment_nv_fund",F$3,$A532))</f>
        <v/>
      </c>
      <c r="G532" s="13" t="str">
        <f>IF($A532="","",[1]!thsiFinD("ths_adjustment_nv_fund",G$3,$A532))</f>
        <v/>
      </c>
      <c r="H532" s="13" t="str">
        <f>IF($A532="","",[1]!thsiFinD("ths_adjustment_nv_fund",H$3,$A532))</f>
        <v/>
      </c>
      <c r="I532" s="13" t="str">
        <f>IF($A532="","",[1]!thsiFinD("ths_adjustment_nv_fund",I$3,$A532))</f>
        <v/>
      </c>
      <c r="J532" s="13" t="str">
        <f>IF($A532="","",[1]!thsiFinD("ths_adjustment_nv_fund",J$3,$A532))</f>
        <v/>
      </c>
      <c r="K532" s="13" t="str">
        <f>IF($A532="","",[1]!thsiFinD("ths_adjustment_nv_fund",K$3,$A532))</f>
        <v/>
      </c>
      <c r="L532" s="13" t="str">
        <f>IF($A532="","",[1]!thsiFinD("ths_adjustment_nv_fund",L$3,$A532))</f>
        <v/>
      </c>
      <c r="M532" s="13" t="str">
        <f>IF($A532="","",[1]!thsiFinD("ths_adjustment_nv_fund",M$3,$A532))</f>
        <v/>
      </c>
      <c r="N532" s="13" t="str">
        <f>IF($A532="","",[1]!thsiFinD("ths_adjustment_nv_fund",N$3,$A532))</f>
        <v/>
      </c>
      <c r="O532" s="13" t="str">
        <f>IF($A532="","",[1]!thsiFinD("ths_adjustment_nv_fund",O$3,$A532))</f>
        <v/>
      </c>
      <c r="P532" s="13" t="str">
        <f>IF($A532="","",[1]!thsiFinD("ths_adjustment_nv_fund",P$3,$A532))</f>
        <v/>
      </c>
      <c r="Q532" s="13" t="str">
        <f>IF($A532="","",[1]!thsiFinD("ths_adjustment_nv_fund",Q$3,$A532))</f>
        <v/>
      </c>
      <c r="R532" s="13" t="str">
        <f>IF($A532="","",[1]!thsiFinD("ths_adjustment_nv_fund",R$3,$A532))</f>
        <v/>
      </c>
      <c r="S532" s="13" t="str">
        <f>IF($A532="","",[1]!thsiFinD("ths_adjustment_nv_fund",S$3,$A532))</f>
        <v/>
      </c>
      <c r="T532" s="13" t="str">
        <f>IF($A532="","",[1]!thsiFinD("ths_adjustment_nv_fund",T$3,$A532))</f>
        <v/>
      </c>
      <c r="U532" s="13" t="str">
        <f>IF($A532="","",[1]!thsiFinD("ths_adjustment_nv_fund",U$3,$A532))</f>
        <v/>
      </c>
      <c r="V532" s="13" t="str">
        <f>IF($A532="","",[1]!thsiFinD("ths_adjustment_nv_fund",V$3,$A532))</f>
        <v/>
      </c>
      <c r="W532" s="13" t="str">
        <f>IF($A532="","",[1]!thsiFinD("ths_adjustment_nv_fund",W$3,$A532))</f>
        <v/>
      </c>
      <c r="X532" s="13" t="str">
        <f>IF($A532="","",[1]!thsiFinD("ths_adjustment_nv_fund",X$3,$A532))</f>
        <v/>
      </c>
      <c r="Y532" s="13" t="str">
        <f>IF($A532="","",[1]!thsiFinD("ths_adjustment_nv_fund",Y$3,$A532))</f>
        <v/>
      </c>
      <c r="Z532" s="13" t="str">
        <f>IF($A532="","",[1]!thsiFinD("ths_adjustment_nv_fund",Z$3,$A532))</f>
        <v/>
      </c>
      <c r="AA532" s="13" t="str">
        <f>IF($A532="","",[1]!thsiFinD("ths_adjustment_nv_fund",AA$3,$A532))</f>
        <v/>
      </c>
      <c r="AB532" s="13">
        <f>IF($A532="","",[1]!thsiFinD("ths_adjustment_nv_fund",AB$3,$A532))</f>
        <v/>
      </c>
      <c r="AC532" s="13">
        <f>IF($A532="","",[1]!thsiFinD("ths_adjustment_nv_fund",AC$3,$A532))</f>
        <v/>
      </c>
      <c r="AD532" s="13">
        <f>IF($A532="","",[1]!thsiFinD("ths_adjustment_nv_fund",AD$3,$A532))</f>
        <v/>
      </c>
      <c r="AE532" s="13">
        <f>IF($A532="","",[1]!thsiFinD("ths_adjustment_nv_fund",AE$3,$A532))</f>
        <v/>
      </c>
      <c r="AF532" s="13">
        <f>IF($A532="","",[1]!thsiFinD("ths_adjustment_nv_fund",AF$3,$A532))</f>
        <v/>
      </c>
      <c r="AG532" s="13">
        <f>IF($A532="","",[1]!thsiFinD("ths_adjustment_nv_fund",AG$3,$A532))</f>
        <v/>
      </c>
      <c r="AH532" s="13">
        <f>IF($A532="","",[1]!thsiFinD("ths_adjustment_nv_fund",AH$3,$A532))</f>
        <v/>
      </c>
      <c r="AI532" s="13">
        <f>IF($A532="","",[1]!thsiFinD("ths_adjustment_nv_fund",AI$3,$A532))</f>
        <v/>
      </c>
      <c r="AJ532" s="13">
        <f>IF($A532="","",[1]!thsiFinD("ths_adjustment_nv_fund",AJ$3,$A532))</f>
        <v/>
      </c>
      <c r="AK532" s="13">
        <f>IF($A532="","",[1]!thsiFinD("ths_adjustment_nv_fund",AK$3,$A532))</f>
        <v/>
      </c>
      <c r="AL532" s="13">
        <f>IF($A532="","",[1]!thsiFinD("ths_adjustment_nv_fund",AL$3,$A532))</f>
        <v/>
      </c>
    </row>
    <row r="533" spans="2:28">
      <c r="B533" s="13" t="str">
        <f>IF($A533="","",[1]!thsiFinD("ths_adjustment_nv_fund",B$3,$A533))</f>
        <v/>
      </c>
      <c r="C533" s="13" t="str">
        <f>IF($A533="","",[1]!thsiFinD("ths_adjustment_nv_fund",C$3,$A533))</f>
        <v/>
      </c>
      <c r="D533" s="13" t="str">
        <f>IF($A533="","",[1]!thsiFinD("ths_adjustment_nv_fund",D$3,$A533))</f>
        <v/>
      </c>
      <c r="E533" s="13" t="str">
        <f>IF($A533="","",[1]!thsiFinD("ths_adjustment_nv_fund",E$3,$A533))</f>
        <v/>
      </c>
      <c r="F533" s="13" t="str">
        <f>IF($A533="","",[1]!thsiFinD("ths_adjustment_nv_fund",F$3,$A533))</f>
        <v/>
      </c>
      <c r="G533" s="13" t="str">
        <f>IF($A533="","",[1]!thsiFinD("ths_adjustment_nv_fund",G$3,$A533))</f>
        <v/>
      </c>
      <c r="H533" s="13" t="str">
        <f>IF($A533="","",[1]!thsiFinD("ths_adjustment_nv_fund",H$3,$A533))</f>
        <v/>
      </c>
      <c r="I533" s="13" t="str">
        <f>IF($A533="","",[1]!thsiFinD("ths_adjustment_nv_fund",I$3,$A533))</f>
        <v/>
      </c>
      <c r="J533" s="13" t="str">
        <f>IF($A533="","",[1]!thsiFinD("ths_adjustment_nv_fund",J$3,$A533))</f>
        <v/>
      </c>
      <c r="K533" s="13" t="str">
        <f>IF($A533="","",[1]!thsiFinD("ths_adjustment_nv_fund",K$3,$A533))</f>
        <v/>
      </c>
      <c r="L533" s="13" t="str">
        <f>IF($A533="","",[1]!thsiFinD("ths_adjustment_nv_fund",L$3,$A533))</f>
        <v/>
      </c>
      <c r="M533" s="13" t="str">
        <f>IF($A533="","",[1]!thsiFinD("ths_adjustment_nv_fund",M$3,$A533))</f>
        <v/>
      </c>
      <c r="N533" s="13" t="str">
        <f>IF($A533="","",[1]!thsiFinD("ths_adjustment_nv_fund",N$3,$A533))</f>
        <v/>
      </c>
      <c r="O533" s="13" t="str">
        <f>IF($A533="","",[1]!thsiFinD("ths_adjustment_nv_fund",O$3,$A533))</f>
        <v/>
      </c>
      <c r="P533" s="13" t="str">
        <f>IF($A533="","",[1]!thsiFinD("ths_adjustment_nv_fund",P$3,$A533))</f>
        <v/>
      </c>
      <c r="Q533" s="13" t="str">
        <f>IF($A533="","",[1]!thsiFinD("ths_adjustment_nv_fund",Q$3,$A533))</f>
        <v/>
      </c>
      <c r="R533" s="13" t="str">
        <f>IF($A533="","",[1]!thsiFinD("ths_adjustment_nv_fund",R$3,$A533))</f>
        <v/>
      </c>
      <c r="S533" s="13" t="str">
        <f>IF($A533="","",[1]!thsiFinD("ths_adjustment_nv_fund",S$3,$A533))</f>
        <v/>
      </c>
      <c r="T533" s="13" t="str">
        <f>IF($A533="","",[1]!thsiFinD("ths_adjustment_nv_fund",T$3,$A533))</f>
        <v/>
      </c>
      <c r="U533" s="13" t="str">
        <f>IF($A533="","",[1]!thsiFinD("ths_adjustment_nv_fund",U$3,$A533))</f>
        <v/>
      </c>
      <c r="V533" s="13" t="str">
        <f>IF($A533="","",[1]!thsiFinD("ths_adjustment_nv_fund",V$3,$A533))</f>
        <v/>
      </c>
      <c r="W533" s="13" t="str">
        <f>IF($A533="","",[1]!thsiFinD("ths_adjustment_nv_fund",W$3,$A533))</f>
        <v/>
      </c>
      <c r="X533" s="13" t="str">
        <f>IF($A533="","",[1]!thsiFinD("ths_adjustment_nv_fund",X$3,$A533))</f>
        <v/>
      </c>
      <c r="Y533" s="13" t="str">
        <f>IF($A533="","",[1]!thsiFinD("ths_adjustment_nv_fund",Y$3,$A533))</f>
        <v/>
      </c>
      <c r="Z533" s="13" t="str">
        <f>IF($A533="","",[1]!thsiFinD("ths_adjustment_nv_fund",Z$3,$A533))</f>
        <v/>
      </c>
      <c r="AA533" s="13" t="str">
        <f>IF($A533="","",[1]!thsiFinD("ths_adjustment_nv_fund",AA$3,$A533))</f>
        <v/>
      </c>
      <c r="AB533" s="13">
        <f>IF($A533="","",[1]!thsiFinD("ths_adjustment_nv_fund",AB$3,$A533))</f>
        <v/>
      </c>
      <c r="AC533" s="13">
        <f>IF($A533="","",[1]!thsiFinD("ths_adjustment_nv_fund",AC$3,$A533))</f>
        <v/>
      </c>
      <c r="AD533" s="13">
        <f>IF($A533="","",[1]!thsiFinD("ths_adjustment_nv_fund",AD$3,$A533))</f>
        <v/>
      </c>
      <c r="AE533" s="13">
        <f>IF($A533="","",[1]!thsiFinD("ths_adjustment_nv_fund",AE$3,$A533))</f>
        <v/>
      </c>
      <c r="AF533" s="13">
        <f>IF($A533="","",[1]!thsiFinD("ths_adjustment_nv_fund",AF$3,$A533))</f>
        <v/>
      </c>
      <c r="AG533" s="13">
        <f>IF($A533="","",[1]!thsiFinD("ths_adjustment_nv_fund",AG$3,$A533))</f>
        <v/>
      </c>
      <c r="AH533" s="13">
        <f>IF($A533="","",[1]!thsiFinD("ths_adjustment_nv_fund",AH$3,$A533))</f>
        <v/>
      </c>
      <c r="AI533" s="13">
        <f>IF($A533="","",[1]!thsiFinD("ths_adjustment_nv_fund",AI$3,$A533))</f>
        <v/>
      </c>
      <c r="AJ533" s="13">
        <f>IF($A533="","",[1]!thsiFinD("ths_adjustment_nv_fund",AJ$3,$A533))</f>
        <v/>
      </c>
      <c r="AK533" s="13">
        <f>IF($A533="","",[1]!thsiFinD("ths_adjustment_nv_fund",AK$3,$A533))</f>
        <v/>
      </c>
      <c r="AL533" s="13">
        <f>IF($A533="","",[1]!thsiFinD("ths_adjustment_nv_fund",AL$3,$A533))</f>
        <v/>
      </c>
    </row>
    <row r="534" spans="2:28">
      <c r="B534" s="13" t="str">
        <f>IF($A534="","",[1]!thsiFinD("ths_adjustment_nv_fund",B$3,$A534))</f>
        <v/>
      </c>
      <c r="C534" s="13" t="str">
        <f>IF($A534="","",[1]!thsiFinD("ths_adjustment_nv_fund",C$3,$A534))</f>
        <v/>
      </c>
      <c r="D534" s="13" t="str">
        <f>IF($A534="","",[1]!thsiFinD("ths_adjustment_nv_fund",D$3,$A534))</f>
        <v/>
      </c>
      <c r="E534" s="13" t="str">
        <f>IF($A534="","",[1]!thsiFinD("ths_adjustment_nv_fund",E$3,$A534))</f>
        <v/>
      </c>
      <c r="F534" s="13" t="str">
        <f>IF($A534="","",[1]!thsiFinD("ths_adjustment_nv_fund",F$3,$A534))</f>
        <v/>
      </c>
      <c r="G534" s="13" t="str">
        <f>IF($A534="","",[1]!thsiFinD("ths_adjustment_nv_fund",G$3,$A534))</f>
        <v/>
      </c>
      <c r="H534" s="13" t="str">
        <f>IF($A534="","",[1]!thsiFinD("ths_adjustment_nv_fund",H$3,$A534))</f>
        <v/>
      </c>
      <c r="I534" s="13" t="str">
        <f>IF($A534="","",[1]!thsiFinD("ths_adjustment_nv_fund",I$3,$A534))</f>
        <v/>
      </c>
      <c r="J534" s="13" t="str">
        <f>IF($A534="","",[1]!thsiFinD("ths_adjustment_nv_fund",J$3,$A534))</f>
        <v/>
      </c>
      <c r="K534" s="13" t="str">
        <f>IF($A534="","",[1]!thsiFinD("ths_adjustment_nv_fund",K$3,$A534))</f>
        <v/>
      </c>
      <c r="L534" s="13" t="str">
        <f>IF($A534="","",[1]!thsiFinD("ths_adjustment_nv_fund",L$3,$A534))</f>
        <v/>
      </c>
      <c r="M534" s="13" t="str">
        <f>IF($A534="","",[1]!thsiFinD("ths_adjustment_nv_fund",M$3,$A534))</f>
        <v/>
      </c>
      <c r="N534" s="13" t="str">
        <f>IF($A534="","",[1]!thsiFinD("ths_adjustment_nv_fund",N$3,$A534))</f>
        <v/>
      </c>
      <c r="O534" s="13" t="str">
        <f>IF($A534="","",[1]!thsiFinD("ths_adjustment_nv_fund",O$3,$A534))</f>
        <v/>
      </c>
      <c r="P534" s="13" t="str">
        <f>IF($A534="","",[1]!thsiFinD("ths_adjustment_nv_fund",P$3,$A534))</f>
        <v/>
      </c>
      <c r="Q534" s="13" t="str">
        <f>IF($A534="","",[1]!thsiFinD("ths_adjustment_nv_fund",Q$3,$A534))</f>
        <v/>
      </c>
      <c r="R534" s="13" t="str">
        <f>IF($A534="","",[1]!thsiFinD("ths_adjustment_nv_fund",R$3,$A534))</f>
        <v/>
      </c>
      <c r="S534" s="13" t="str">
        <f>IF($A534="","",[1]!thsiFinD("ths_adjustment_nv_fund",S$3,$A534))</f>
        <v/>
      </c>
      <c r="T534" s="13" t="str">
        <f>IF($A534="","",[1]!thsiFinD("ths_adjustment_nv_fund",T$3,$A534))</f>
        <v/>
      </c>
      <c r="U534" s="13" t="str">
        <f>IF($A534="","",[1]!thsiFinD("ths_adjustment_nv_fund",U$3,$A534))</f>
        <v/>
      </c>
      <c r="V534" s="13" t="str">
        <f>IF($A534="","",[1]!thsiFinD("ths_adjustment_nv_fund",V$3,$A534))</f>
        <v/>
      </c>
      <c r="W534" s="13" t="str">
        <f>IF($A534="","",[1]!thsiFinD("ths_adjustment_nv_fund",W$3,$A534))</f>
        <v/>
      </c>
      <c r="X534" s="13" t="str">
        <f>IF($A534="","",[1]!thsiFinD("ths_adjustment_nv_fund",X$3,$A534))</f>
        <v/>
      </c>
      <c r="Y534" s="13" t="str">
        <f>IF($A534="","",[1]!thsiFinD("ths_adjustment_nv_fund",Y$3,$A534))</f>
        <v/>
      </c>
      <c r="Z534" s="13" t="str">
        <f>IF($A534="","",[1]!thsiFinD("ths_adjustment_nv_fund",Z$3,$A534))</f>
        <v/>
      </c>
      <c r="AA534" s="13" t="str">
        <f>IF($A534="","",[1]!thsiFinD("ths_adjustment_nv_fund",AA$3,$A534))</f>
        <v/>
      </c>
      <c r="AB534" s="13">
        <f>IF($A534="","",[1]!thsiFinD("ths_adjustment_nv_fund",AB$3,$A534))</f>
        <v/>
      </c>
      <c r="AC534" s="13">
        <f>IF($A534="","",[1]!thsiFinD("ths_adjustment_nv_fund",AC$3,$A534))</f>
        <v/>
      </c>
      <c r="AD534" s="13">
        <f>IF($A534="","",[1]!thsiFinD("ths_adjustment_nv_fund",AD$3,$A534))</f>
        <v/>
      </c>
      <c r="AE534" s="13">
        <f>IF($A534="","",[1]!thsiFinD("ths_adjustment_nv_fund",AE$3,$A534))</f>
        <v/>
      </c>
      <c r="AF534" s="13">
        <f>IF($A534="","",[1]!thsiFinD("ths_adjustment_nv_fund",AF$3,$A534))</f>
        <v/>
      </c>
      <c r="AG534" s="13">
        <f>IF($A534="","",[1]!thsiFinD("ths_adjustment_nv_fund",AG$3,$A534))</f>
        <v/>
      </c>
      <c r="AH534" s="13">
        <f>IF($A534="","",[1]!thsiFinD("ths_adjustment_nv_fund",AH$3,$A534))</f>
        <v/>
      </c>
      <c r="AI534" s="13">
        <f>IF($A534="","",[1]!thsiFinD("ths_adjustment_nv_fund",AI$3,$A534))</f>
        <v/>
      </c>
      <c r="AJ534" s="13">
        <f>IF($A534="","",[1]!thsiFinD("ths_adjustment_nv_fund",AJ$3,$A534))</f>
        <v/>
      </c>
      <c r="AK534" s="13">
        <f>IF($A534="","",[1]!thsiFinD("ths_adjustment_nv_fund",AK$3,$A534))</f>
        <v/>
      </c>
      <c r="AL534" s="13">
        <f>IF($A534="","",[1]!thsiFinD("ths_adjustment_nv_fund",AL$3,$A534))</f>
        <v/>
      </c>
    </row>
    <row r="535" spans="2:28">
      <c r="B535" s="13" t="str">
        <f>IF($A535="","",[1]!thsiFinD("ths_adjustment_nv_fund",B$3,$A535))</f>
        <v/>
      </c>
      <c r="C535" s="13" t="str">
        <f>IF($A535="","",[1]!thsiFinD("ths_adjustment_nv_fund",C$3,$A535))</f>
        <v/>
      </c>
      <c r="D535" s="13" t="str">
        <f>IF($A535="","",[1]!thsiFinD("ths_adjustment_nv_fund",D$3,$A535))</f>
        <v/>
      </c>
      <c r="E535" s="13" t="str">
        <f>IF($A535="","",[1]!thsiFinD("ths_adjustment_nv_fund",E$3,$A535))</f>
        <v/>
      </c>
      <c r="F535" s="13" t="str">
        <f>IF($A535="","",[1]!thsiFinD("ths_adjustment_nv_fund",F$3,$A535))</f>
        <v/>
      </c>
      <c r="G535" s="13" t="str">
        <f>IF($A535="","",[1]!thsiFinD("ths_adjustment_nv_fund",G$3,$A535))</f>
        <v/>
      </c>
      <c r="H535" s="13" t="str">
        <f>IF($A535="","",[1]!thsiFinD("ths_adjustment_nv_fund",H$3,$A535))</f>
        <v/>
      </c>
      <c r="I535" s="13" t="str">
        <f>IF($A535="","",[1]!thsiFinD("ths_adjustment_nv_fund",I$3,$A535))</f>
        <v/>
      </c>
      <c r="J535" s="13" t="str">
        <f>IF($A535="","",[1]!thsiFinD("ths_adjustment_nv_fund",J$3,$A535))</f>
        <v/>
      </c>
      <c r="K535" s="13" t="str">
        <f>IF($A535="","",[1]!thsiFinD("ths_adjustment_nv_fund",K$3,$A535))</f>
        <v/>
      </c>
      <c r="L535" s="13" t="str">
        <f>IF($A535="","",[1]!thsiFinD("ths_adjustment_nv_fund",L$3,$A535))</f>
        <v/>
      </c>
      <c r="M535" s="13" t="str">
        <f>IF($A535="","",[1]!thsiFinD("ths_adjustment_nv_fund",M$3,$A535))</f>
        <v/>
      </c>
      <c r="N535" s="13" t="str">
        <f>IF($A535="","",[1]!thsiFinD("ths_adjustment_nv_fund",N$3,$A535))</f>
        <v/>
      </c>
      <c r="O535" s="13" t="str">
        <f>IF($A535="","",[1]!thsiFinD("ths_adjustment_nv_fund",O$3,$A535))</f>
        <v/>
      </c>
      <c r="P535" s="13" t="str">
        <f>IF($A535="","",[1]!thsiFinD("ths_adjustment_nv_fund",P$3,$A535))</f>
        <v/>
      </c>
      <c r="Q535" s="13" t="str">
        <f>IF($A535="","",[1]!thsiFinD("ths_adjustment_nv_fund",Q$3,$A535))</f>
        <v/>
      </c>
      <c r="R535" s="13" t="str">
        <f>IF($A535="","",[1]!thsiFinD("ths_adjustment_nv_fund",R$3,$A535))</f>
        <v/>
      </c>
      <c r="S535" s="13" t="str">
        <f>IF($A535="","",[1]!thsiFinD("ths_adjustment_nv_fund",S$3,$A535))</f>
        <v/>
      </c>
      <c r="T535" s="13" t="str">
        <f>IF($A535="","",[1]!thsiFinD("ths_adjustment_nv_fund",T$3,$A535))</f>
        <v/>
      </c>
      <c r="U535" s="13" t="str">
        <f>IF($A535="","",[1]!thsiFinD("ths_adjustment_nv_fund",U$3,$A535))</f>
        <v/>
      </c>
      <c r="V535" s="13" t="str">
        <f>IF($A535="","",[1]!thsiFinD("ths_adjustment_nv_fund",V$3,$A535))</f>
        <v/>
      </c>
      <c r="W535" s="13" t="str">
        <f>IF($A535="","",[1]!thsiFinD("ths_adjustment_nv_fund",W$3,$A535))</f>
        <v/>
      </c>
      <c r="X535" s="13" t="str">
        <f>IF($A535="","",[1]!thsiFinD("ths_adjustment_nv_fund",X$3,$A535))</f>
        <v/>
      </c>
      <c r="Y535" s="13" t="str">
        <f>IF($A535="","",[1]!thsiFinD("ths_adjustment_nv_fund",Y$3,$A535))</f>
        <v/>
      </c>
      <c r="Z535" s="13" t="str">
        <f>IF($A535="","",[1]!thsiFinD("ths_adjustment_nv_fund",Z$3,$A535))</f>
        <v/>
      </c>
      <c r="AA535" s="13" t="str">
        <f>IF($A535="","",[1]!thsiFinD("ths_adjustment_nv_fund",AA$3,$A535))</f>
        <v/>
      </c>
      <c r="AB535" s="13">
        <f>IF($A535="","",[1]!thsiFinD("ths_adjustment_nv_fund",AB$3,$A535))</f>
        <v/>
      </c>
      <c r="AC535" s="13">
        <f>IF($A535="","",[1]!thsiFinD("ths_adjustment_nv_fund",AC$3,$A535))</f>
        <v/>
      </c>
      <c r="AD535" s="13">
        <f>IF($A535="","",[1]!thsiFinD("ths_adjustment_nv_fund",AD$3,$A535))</f>
        <v/>
      </c>
      <c r="AE535" s="13">
        <f>IF($A535="","",[1]!thsiFinD("ths_adjustment_nv_fund",AE$3,$A535))</f>
        <v/>
      </c>
      <c r="AF535" s="13">
        <f>IF($A535="","",[1]!thsiFinD("ths_adjustment_nv_fund",AF$3,$A535))</f>
        <v/>
      </c>
      <c r="AG535" s="13">
        <f>IF($A535="","",[1]!thsiFinD("ths_adjustment_nv_fund",AG$3,$A535))</f>
        <v/>
      </c>
      <c r="AH535" s="13">
        <f>IF($A535="","",[1]!thsiFinD("ths_adjustment_nv_fund",AH$3,$A535))</f>
        <v/>
      </c>
      <c r="AI535" s="13">
        <f>IF($A535="","",[1]!thsiFinD("ths_adjustment_nv_fund",AI$3,$A535))</f>
        <v/>
      </c>
      <c r="AJ535" s="13">
        <f>IF($A535="","",[1]!thsiFinD("ths_adjustment_nv_fund",AJ$3,$A535))</f>
        <v/>
      </c>
      <c r="AK535" s="13">
        <f>IF($A535="","",[1]!thsiFinD("ths_adjustment_nv_fund",AK$3,$A535))</f>
        <v/>
      </c>
      <c r="AL535" s="13">
        <f>IF($A535="","",[1]!thsiFinD("ths_adjustment_nv_fund",AL$3,$A535))</f>
        <v/>
      </c>
    </row>
    <row r="536" spans="2:28">
      <c r="B536" s="13" t="str">
        <f>IF($A536="","",[1]!thsiFinD("ths_adjustment_nv_fund",B$3,$A536))</f>
        <v/>
      </c>
      <c r="C536" s="13" t="str">
        <f>IF($A536="","",[1]!thsiFinD("ths_adjustment_nv_fund",C$3,$A536))</f>
        <v/>
      </c>
      <c r="D536" s="13" t="str">
        <f>IF($A536="","",[1]!thsiFinD("ths_adjustment_nv_fund",D$3,$A536))</f>
        <v/>
      </c>
      <c r="E536" s="13" t="str">
        <f>IF($A536="","",[1]!thsiFinD("ths_adjustment_nv_fund",E$3,$A536))</f>
        <v/>
      </c>
      <c r="F536" s="13" t="str">
        <f>IF($A536="","",[1]!thsiFinD("ths_adjustment_nv_fund",F$3,$A536))</f>
        <v/>
      </c>
      <c r="G536" s="13" t="str">
        <f>IF($A536="","",[1]!thsiFinD("ths_adjustment_nv_fund",G$3,$A536))</f>
        <v/>
      </c>
      <c r="H536" s="13" t="str">
        <f>IF($A536="","",[1]!thsiFinD("ths_adjustment_nv_fund",H$3,$A536))</f>
        <v/>
      </c>
      <c r="I536" s="13" t="str">
        <f>IF($A536="","",[1]!thsiFinD("ths_adjustment_nv_fund",I$3,$A536))</f>
        <v/>
      </c>
      <c r="J536" s="13" t="str">
        <f>IF($A536="","",[1]!thsiFinD("ths_adjustment_nv_fund",J$3,$A536))</f>
        <v/>
      </c>
      <c r="K536" s="13" t="str">
        <f>IF($A536="","",[1]!thsiFinD("ths_adjustment_nv_fund",K$3,$A536))</f>
        <v/>
      </c>
      <c r="L536" s="13" t="str">
        <f>IF($A536="","",[1]!thsiFinD("ths_adjustment_nv_fund",L$3,$A536))</f>
        <v/>
      </c>
      <c r="M536" s="13" t="str">
        <f>IF($A536="","",[1]!thsiFinD("ths_adjustment_nv_fund",M$3,$A536))</f>
        <v/>
      </c>
      <c r="N536" s="13" t="str">
        <f>IF($A536="","",[1]!thsiFinD("ths_adjustment_nv_fund",N$3,$A536))</f>
        <v/>
      </c>
      <c r="O536" s="13" t="str">
        <f>IF($A536="","",[1]!thsiFinD("ths_adjustment_nv_fund",O$3,$A536))</f>
        <v/>
      </c>
      <c r="P536" s="13" t="str">
        <f>IF($A536="","",[1]!thsiFinD("ths_adjustment_nv_fund",P$3,$A536))</f>
        <v/>
      </c>
      <c r="Q536" s="13" t="str">
        <f>IF($A536="","",[1]!thsiFinD("ths_adjustment_nv_fund",Q$3,$A536))</f>
        <v/>
      </c>
      <c r="R536" s="13" t="str">
        <f>IF($A536="","",[1]!thsiFinD("ths_adjustment_nv_fund",R$3,$A536))</f>
        <v/>
      </c>
      <c r="S536" s="13" t="str">
        <f>IF($A536="","",[1]!thsiFinD("ths_adjustment_nv_fund",S$3,$A536))</f>
        <v/>
      </c>
      <c r="T536" s="13" t="str">
        <f>IF($A536="","",[1]!thsiFinD("ths_adjustment_nv_fund",T$3,$A536))</f>
        <v/>
      </c>
      <c r="U536" s="13" t="str">
        <f>IF($A536="","",[1]!thsiFinD("ths_adjustment_nv_fund",U$3,$A536))</f>
        <v/>
      </c>
      <c r="V536" s="13" t="str">
        <f>IF($A536="","",[1]!thsiFinD("ths_adjustment_nv_fund",V$3,$A536))</f>
        <v/>
      </c>
      <c r="W536" s="13" t="str">
        <f>IF($A536="","",[1]!thsiFinD("ths_adjustment_nv_fund",W$3,$A536))</f>
        <v/>
      </c>
      <c r="X536" s="13" t="str">
        <f>IF($A536="","",[1]!thsiFinD("ths_adjustment_nv_fund",X$3,$A536))</f>
        <v/>
      </c>
      <c r="Y536" s="13" t="str">
        <f>IF($A536="","",[1]!thsiFinD("ths_adjustment_nv_fund",Y$3,$A536))</f>
        <v/>
      </c>
      <c r="Z536" s="13" t="str">
        <f>IF($A536="","",[1]!thsiFinD("ths_adjustment_nv_fund",Z$3,$A536))</f>
        <v/>
      </c>
      <c r="AA536" s="13" t="str">
        <f>IF($A536="","",[1]!thsiFinD("ths_adjustment_nv_fund",AA$3,$A536))</f>
        <v/>
      </c>
      <c r="AB536" s="13">
        <f>IF($A536="","",[1]!thsiFinD("ths_adjustment_nv_fund",AB$3,$A536))</f>
        <v/>
      </c>
      <c r="AC536" s="13">
        <f>IF($A536="","",[1]!thsiFinD("ths_adjustment_nv_fund",AC$3,$A536))</f>
        <v/>
      </c>
      <c r="AD536" s="13">
        <f>IF($A536="","",[1]!thsiFinD("ths_adjustment_nv_fund",AD$3,$A536))</f>
        <v/>
      </c>
      <c r="AE536" s="13">
        <f>IF($A536="","",[1]!thsiFinD("ths_adjustment_nv_fund",AE$3,$A536))</f>
        <v/>
      </c>
      <c r="AF536" s="13">
        <f>IF($A536="","",[1]!thsiFinD("ths_adjustment_nv_fund",AF$3,$A536))</f>
        <v/>
      </c>
      <c r="AG536" s="13">
        <f>IF($A536="","",[1]!thsiFinD("ths_adjustment_nv_fund",AG$3,$A536))</f>
        <v/>
      </c>
      <c r="AH536" s="13">
        <f>IF($A536="","",[1]!thsiFinD("ths_adjustment_nv_fund",AH$3,$A536))</f>
        <v/>
      </c>
      <c r="AI536" s="13">
        <f>IF($A536="","",[1]!thsiFinD("ths_adjustment_nv_fund",AI$3,$A536))</f>
        <v/>
      </c>
      <c r="AJ536" s="13">
        <f>IF($A536="","",[1]!thsiFinD("ths_adjustment_nv_fund",AJ$3,$A536))</f>
        <v/>
      </c>
      <c r="AK536" s="13">
        <f>IF($A536="","",[1]!thsiFinD("ths_adjustment_nv_fund",AK$3,$A536))</f>
        <v/>
      </c>
      <c r="AL536" s="13">
        <f>IF($A536="","",[1]!thsiFinD("ths_adjustment_nv_fund",AL$3,$A536))</f>
        <v/>
      </c>
    </row>
    <row r="537" spans="2:28">
      <c r="B537" s="13" t="str">
        <f>IF($A537="","",[1]!thsiFinD("ths_adjustment_nv_fund",B$3,$A537))</f>
        <v/>
      </c>
      <c r="C537" s="13" t="str">
        <f>IF($A537="","",[1]!thsiFinD("ths_adjustment_nv_fund",C$3,$A537))</f>
        <v/>
      </c>
      <c r="D537" s="13" t="str">
        <f>IF($A537="","",[1]!thsiFinD("ths_adjustment_nv_fund",D$3,$A537))</f>
        <v/>
      </c>
      <c r="E537" s="13" t="str">
        <f>IF($A537="","",[1]!thsiFinD("ths_adjustment_nv_fund",E$3,$A537))</f>
        <v/>
      </c>
      <c r="F537" s="13" t="str">
        <f>IF($A537="","",[1]!thsiFinD("ths_adjustment_nv_fund",F$3,$A537))</f>
        <v/>
      </c>
      <c r="G537" s="13" t="str">
        <f>IF($A537="","",[1]!thsiFinD("ths_adjustment_nv_fund",G$3,$A537))</f>
        <v/>
      </c>
      <c r="H537" s="13" t="str">
        <f>IF($A537="","",[1]!thsiFinD("ths_adjustment_nv_fund",H$3,$A537))</f>
        <v/>
      </c>
      <c r="I537" s="13" t="str">
        <f>IF($A537="","",[1]!thsiFinD("ths_adjustment_nv_fund",I$3,$A537))</f>
        <v/>
      </c>
      <c r="J537" s="13" t="str">
        <f>IF($A537="","",[1]!thsiFinD("ths_adjustment_nv_fund",J$3,$A537))</f>
        <v/>
      </c>
      <c r="K537" s="13" t="str">
        <f>IF($A537="","",[1]!thsiFinD("ths_adjustment_nv_fund",K$3,$A537))</f>
        <v/>
      </c>
      <c r="L537" s="13" t="str">
        <f>IF($A537="","",[1]!thsiFinD("ths_adjustment_nv_fund",L$3,$A537))</f>
        <v/>
      </c>
      <c r="M537" s="13" t="str">
        <f>IF($A537="","",[1]!thsiFinD("ths_adjustment_nv_fund",M$3,$A537))</f>
        <v/>
      </c>
      <c r="N537" s="13" t="str">
        <f>IF($A537="","",[1]!thsiFinD("ths_adjustment_nv_fund",N$3,$A537))</f>
        <v/>
      </c>
      <c r="O537" s="13" t="str">
        <f>IF($A537="","",[1]!thsiFinD("ths_adjustment_nv_fund",O$3,$A537))</f>
        <v/>
      </c>
      <c r="P537" s="13" t="str">
        <f>IF($A537="","",[1]!thsiFinD("ths_adjustment_nv_fund",P$3,$A537))</f>
        <v/>
      </c>
      <c r="Q537" s="13" t="str">
        <f>IF($A537="","",[1]!thsiFinD("ths_adjustment_nv_fund",Q$3,$A537))</f>
        <v/>
      </c>
      <c r="R537" s="13" t="str">
        <f>IF($A537="","",[1]!thsiFinD("ths_adjustment_nv_fund",R$3,$A537))</f>
        <v/>
      </c>
      <c r="S537" s="13" t="str">
        <f>IF($A537="","",[1]!thsiFinD("ths_adjustment_nv_fund",S$3,$A537))</f>
        <v/>
      </c>
      <c r="T537" s="13" t="str">
        <f>IF($A537="","",[1]!thsiFinD("ths_adjustment_nv_fund",T$3,$A537))</f>
        <v/>
      </c>
      <c r="U537" s="13" t="str">
        <f>IF($A537="","",[1]!thsiFinD("ths_adjustment_nv_fund",U$3,$A537))</f>
        <v/>
      </c>
      <c r="V537" s="13" t="str">
        <f>IF($A537="","",[1]!thsiFinD("ths_adjustment_nv_fund",V$3,$A537))</f>
        <v/>
      </c>
      <c r="W537" s="13" t="str">
        <f>IF($A537="","",[1]!thsiFinD("ths_adjustment_nv_fund",W$3,$A537))</f>
        <v/>
      </c>
      <c r="X537" s="13" t="str">
        <f>IF($A537="","",[1]!thsiFinD("ths_adjustment_nv_fund",X$3,$A537))</f>
        <v/>
      </c>
      <c r="Y537" s="13" t="str">
        <f>IF($A537="","",[1]!thsiFinD("ths_adjustment_nv_fund",Y$3,$A537))</f>
        <v/>
      </c>
      <c r="Z537" s="13" t="str">
        <f>IF($A537="","",[1]!thsiFinD("ths_adjustment_nv_fund",Z$3,$A537))</f>
        <v/>
      </c>
      <c r="AA537" s="13" t="str">
        <f>IF($A537="","",[1]!thsiFinD("ths_adjustment_nv_fund",AA$3,$A537))</f>
        <v/>
      </c>
      <c r="AB537" s="13">
        <f>IF($A537="","",[1]!thsiFinD("ths_adjustment_nv_fund",AB$3,$A537))</f>
        <v/>
      </c>
      <c r="AC537" s="13">
        <f>IF($A537="","",[1]!thsiFinD("ths_adjustment_nv_fund",AC$3,$A537))</f>
        <v/>
      </c>
      <c r="AD537" s="13">
        <f>IF($A537="","",[1]!thsiFinD("ths_adjustment_nv_fund",AD$3,$A537))</f>
        <v/>
      </c>
      <c r="AE537" s="13">
        <f>IF($A537="","",[1]!thsiFinD("ths_adjustment_nv_fund",AE$3,$A537))</f>
        <v/>
      </c>
      <c r="AF537" s="13">
        <f>IF($A537="","",[1]!thsiFinD("ths_adjustment_nv_fund",AF$3,$A537))</f>
        <v/>
      </c>
      <c r="AG537" s="13">
        <f>IF($A537="","",[1]!thsiFinD("ths_adjustment_nv_fund",AG$3,$A537))</f>
        <v/>
      </c>
      <c r="AH537" s="13">
        <f>IF($A537="","",[1]!thsiFinD("ths_adjustment_nv_fund",AH$3,$A537))</f>
        <v/>
      </c>
      <c r="AI537" s="13">
        <f>IF($A537="","",[1]!thsiFinD("ths_adjustment_nv_fund",AI$3,$A537))</f>
        <v/>
      </c>
      <c r="AJ537" s="13">
        <f>IF($A537="","",[1]!thsiFinD("ths_adjustment_nv_fund",AJ$3,$A537))</f>
        <v/>
      </c>
      <c r="AK537" s="13">
        <f>IF($A537="","",[1]!thsiFinD("ths_adjustment_nv_fund",AK$3,$A537))</f>
        <v/>
      </c>
      <c r="AL537" s="13">
        <f>IF($A537="","",[1]!thsiFinD("ths_adjustment_nv_fund",AL$3,$A537))</f>
        <v/>
      </c>
    </row>
    <row r="538" spans="2:28">
      <c r="B538" s="13" t="str">
        <f>IF($A538="","",[1]!thsiFinD("ths_adjustment_nv_fund",B$3,$A538))</f>
        <v/>
      </c>
      <c r="C538" s="13" t="str">
        <f>IF($A538="","",[1]!thsiFinD("ths_adjustment_nv_fund",C$3,$A538))</f>
        <v/>
      </c>
      <c r="D538" s="13" t="str">
        <f>IF($A538="","",[1]!thsiFinD("ths_adjustment_nv_fund",D$3,$A538))</f>
        <v/>
      </c>
      <c r="E538" s="13" t="str">
        <f>IF($A538="","",[1]!thsiFinD("ths_adjustment_nv_fund",E$3,$A538))</f>
        <v/>
      </c>
      <c r="F538" s="13" t="str">
        <f>IF($A538="","",[1]!thsiFinD("ths_adjustment_nv_fund",F$3,$A538))</f>
        <v/>
      </c>
      <c r="G538" s="13" t="str">
        <f>IF($A538="","",[1]!thsiFinD("ths_adjustment_nv_fund",G$3,$A538))</f>
        <v/>
      </c>
      <c r="H538" s="13" t="str">
        <f>IF($A538="","",[1]!thsiFinD("ths_adjustment_nv_fund",H$3,$A538))</f>
        <v/>
      </c>
      <c r="I538" s="13" t="str">
        <f>IF($A538="","",[1]!thsiFinD("ths_adjustment_nv_fund",I$3,$A538))</f>
        <v/>
      </c>
      <c r="J538" s="13" t="str">
        <f>IF($A538="","",[1]!thsiFinD("ths_adjustment_nv_fund",J$3,$A538))</f>
        <v/>
      </c>
      <c r="K538" s="13" t="str">
        <f>IF($A538="","",[1]!thsiFinD("ths_adjustment_nv_fund",K$3,$A538))</f>
        <v/>
      </c>
      <c r="L538" s="13" t="str">
        <f>IF($A538="","",[1]!thsiFinD("ths_adjustment_nv_fund",L$3,$A538))</f>
        <v/>
      </c>
      <c r="M538" s="13" t="str">
        <f>IF($A538="","",[1]!thsiFinD("ths_adjustment_nv_fund",M$3,$A538))</f>
        <v/>
      </c>
      <c r="N538" s="13" t="str">
        <f>IF($A538="","",[1]!thsiFinD("ths_adjustment_nv_fund",N$3,$A538))</f>
        <v/>
      </c>
      <c r="O538" s="13" t="str">
        <f>IF($A538="","",[1]!thsiFinD("ths_adjustment_nv_fund",O$3,$A538))</f>
        <v/>
      </c>
      <c r="P538" s="13" t="str">
        <f>IF($A538="","",[1]!thsiFinD("ths_adjustment_nv_fund",P$3,$A538))</f>
        <v/>
      </c>
      <c r="Q538" s="13" t="str">
        <f>IF($A538="","",[1]!thsiFinD("ths_adjustment_nv_fund",Q$3,$A538))</f>
        <v/>
      </c>
      <c r="R538" s="13" t="str">
        <f>IF($A538="","",[1]!thsiFinD("ths_adjustment_nv_fund",R$3,$A538))</f>
        <v/>
      </c>
      <c r="S538" s="13" t="str">
        <f>IF($A538="","",[1]!thsiFinD("ths_adjustment_nv_fund",S$3,$A538))</f>
        <v/>
      </c>
      <c r="T538" s="13" t="str">
        <f>IF($A538="","",[1]!thsiFinD("ths_adjustment_nv_fund",T$3,$A538))</f>
        <v/>
      </c>
      <c r="U538" s="13" t="str">
        <f>IF($A538="","",[1]!thsiFinD("ths_adjustment_nv_fund",U$3,$A538))</f>
        <v/>
      </c>
      <c r="V538" s="13" t="str">
        <f>IF($A538="","",[1]!thsiFinD("ths_adjustment_nv_fund",V$3,$A538))</f>
        <v/>
      </c>
      <c r="W538" s="13" t="str">
        <f>IF($A538="","",[1]!thsiFinD("ths_adjustment_nv_fund",W$3,$A538))</f>
        <v/>
      </c>
      <c r="X538" s="13" t="str">
        <f>IF($A538="","",[1]!thsiFinD("ths_adjustment_nv_fund",X$3,$A538))</f>
        <v/>
      </c>
      <c r="Y538" s="13" t="str">
        <f>IF($A538="","",[1]!thsiFinD("ths_adjustment_nv_fund",Y$3,$A538))</f>
        <v/>
      </c>
      <c r="Z538" s="13" t="str">
        <f>IF($A538="","",[1]!thsiFinD("ths_adjustment_nv_fund",Z$3,$A538))</f>
        <v/>
      </c>
      <c r="AA538" s="13" t="str">
        <f>IF($A538="","",[1]!thsiFinD("ths_adjustment_nv_fund",AA$3,$A538))</f>
        <v/>
      </c>
      <c r="AB538" s="13">
        <f>IF($A538="","",[1]!thsiFinD("ths_adjustment_nv_fund",AB$3,$A538))</f>
        <v/>
      </c>
      <c r="AC538" s="13">
        <f>IF($A538="","",[1]!thsiFinD("ths_adjustment_nv_fund",AC$3,$A538))</f>
        <v/>
      </c>
      <c r="AD538" s="13">
        <f>IF($A538="","",[1]!thsiFinD("ths_adjustment_nv_fund",AD$3,$A538))</f>
        <v/>
      </c>
      <c r="AE538" s="13">
        <f>IF($A538="","",[1]!thsiFinD("ths_adjustment_nv_fund",AE$3,$A538))</f>
        <v/>
      </c>
      <c r="AF538" s="13">
        <f>IF($A538="","",[1]!thsiFinD("ths_adjustment_nv_fund",AF$3,$A538))</f>
        <v/>
      </c>
      <c r="AG538" s="13">
        <f>IF($A538="","",[1]!thsiFinD("ths_adjustment_nv_fund",AG$3,$A538))</f>
        <v/>
      </c>
      <c r="AH538" s="13">
        <f>IF($A538="","",[1]!thsiFinD("ths_adjustment_nv_fund",AH$3,$A538))</f>
        <v/>
      </c>
      <c r="AI538" s="13">
        <f>IF($A538="","",[1]!thsiFinD("ths_adjustment_nv_fund",AI$3,$A538))</f>
        <v/>
      </c>
      <c r="AJ538" s="13">
        <f>IF($A538="","",[1]!thsiFinD("ths_adjustment_nv_fund",AJ$3,$A538))</f>
        <v/>
      </c>
      <c r="AK538" s="13">
        <f>IF($A538="","",[1]!thsiFinD("ths_adjustment_nv_fund",AK$3,$A538))</f>
        <v/>
      </c>
      <c r="AL538" s="13">
        <f>IF($A538="","",[1]!thsiFinD("ths_adjustment_nv_fund",AL$3,$A538))</f>
        <v/>
      </c>
    </row>
    <row r="539" spans="2:28">
      <c r="B539" s="13" t="str">
        <f>IF($A539="","",[1]!thsiFinD("ths_adjustment_nv_fund",B$3,$A539))</f>
        <v/>
      </c>
      <c r="C539" s="13" t="str">
        <f>IF($A539="","",[1]!thsiFinD("ths_adjustment_nv_fund",C$3,$A539))</f>
        <v/>
      </c>
      <c r="D539" s="13" t="str">
        <f>IF($A539="","",[1]!thsiFinD("ths_adjustment_nv_fund",D$3,$A539))</f>
        <v/>
      </c>
      <c r="E539" s="13" t="str">
        <f>IF($A539="","",[1]!thsiFinD("ths_adjustment_nv_fund",E$3,$A539))</f>
        <v/>
      </c>
      <c r="F539" s="13" t="str">
        <f>IF($A539="","",[1]!thsiFinD("ths_adjustment_nv_fund",F$3,$A539))</f>
        <v/>
      </c>
      <c r="G539" s="13" t="str">
        <f>IF($A539="","",[1]!thsiFinD("ths_adjustment_nv_fund",G$3,$A539))</f>
        <v/>
      </c>
      <c r="H539" s="13" t="str">
        <f>IF($A539="","",[1]!thsiFinD("ths_adjustment_nv_fund",H$3,$A539))</f>
        <v/>
      </c>
      <c r="I539" s="13" t="str">
        <f>IF($A539="","",[1]!thsiFinD("ths_adjustment_nv_fund",I$3,$A539))</f>
        <v/>
      </c>
      <c r="J539" s="13" t="str">
        <f>IF($A539="","",[1]!thsiFinD("ths_adjustment_nv_fund",J$3,$A539))</f>
        <v/>
      </c>
      <c r="K539" s="13" t="str">
        <f>IF($A539="","",[1]!thsiFinD("ths_adjustment_nv_fund",K$3,$A539))</f>
        <v/>
      </c>
      <c r="L539" s="13" t="str">
        <f>IF($A539="","",[1]!thsiFinD("ths_adjustment_nv_fund",L$3,$A539))</f>
        <v/>
      </c>
      <c r="M539" s="13" t="str">
        <f>IF($A539="","",[1]!thsiFinD("ths_adjustment_nv_fund",M$3,$A539))</f>
        <v/>
      </c>
      <c r="N539" s="13" t="str">
        <f>IF($A539="","",[1]!thsiFinD("ths_adjustment_nv_fund",N$3,$A539))</f>
        <v/>
      </c>
      <c r="O539" s="13" t="str">
        <f>IF($A539="","",[1]!thsiFinD("ths_adjustment_nv_fund",O$3,$A539))</f>
        <v/>
      </c>
      <c r="P539" s="13" t="str">
        <f>IF($A539="","",[1]!thsiFinD("ths_adjustment_nv_fund",P$3,$A539))</f>
        <v/>
      </c>
      <c r="Q539" s="13" t="str">
        <f>IF($A539="","",[1]!thsiFinD("ths_adjustment_nv_fund",Q$3,$A539))</f>
        <v/>
      </c>
      <c r="R539" s="13" t="str">
        <f>IF($A539="","",[1]!thsiFinD("ths_adjustment_nv_fund",R$3,$A539))</f>
        <v/>
      </c>
      <c r="S539" s="13" t="str">
        <f>IF($A539="","",[1]!thsiFinD("ths_adjustment_nv_fund",S$3,$A539))</f>
        <v/>
      </c>
      <c r="T539" s="13" t="str">
        <f>IF($A539="","",[1]!thsiFinD("ths_adjustment_nv_fund",T$3,$A539))</f>
        <v/>
      </c>
      <c r="U539" s="13" t="str">
        <f>IF($A539="","",[1]!thsiFinD("ths_adjustment_nv_fund",U$3,$A539))</f>
        <v/>
      </c>
      <c r="V539" s="13" t="str">
        <f>IF($A539="","",[1]!thsiFinD("ths_adjustment_nv_fund",V$3,$A539))</f>
        <v/>
      </c>
      <c r="W539" s="13" t="str">
        <f>IF($A539="","",[1]!thsiFinD("ths_adjustment_nv_fund",W$3,$A539))</f>
        <v/>
      </c>
      <c r="X539" s="13" t="str">
        <f>IF($A539="","",[1]!thsiFinD("ths_adjustment_nv_fund",X$3,$A539))</f>
        <v/>
      </c>
      <c r="Y539" s="13" t="str">
        <f>IF($A539="","",[1]!thsiFinD("ths_adjustment_nv_fund",Y$3,$A539))</f>
        <v/>
      </c>
      <c r="Z539" s="13" t="str">
        <f>IF($A539="","",[1]!thsiFinD("ths_adjustment_nv_fund",Z$3,$A539))</f>
        <v/>
      </c>
      <c r="AA539" s="13" t="str">
        <f>IF($A539="","",[1]!thsiFinD("ths_adjustment_nv_fund",AA$3,$A539))</f>
        <v/>
      </c>
      <c r="AB539" s="13">
        <f>IF($A539="","",[1]!thsiFinD("ths_adjustment_nv_fund",AB$3,$A539))</f>
        <v/>
      </c>
      <c r="AC539" s="13">
        <f>IF($A539="","",[1]!thsiFinD("ths_adjustment_nv_fund",AC$3,$A539))</f>
        <v/>
      </c>
      <c r="AD539" s="13">
        <f>IF($A539="","",[1]!thsiFinD("ths_adjustment_nv_fund",AD$3,$A539))</f>
        <v/>
      </c>
      <c r="AE539" s="13">
        <f>IF($A539="","",[1]!thsiFinD("ths_adjustment_nv_fund",AE$3,$A539))</f>
        <v/>
      </c>
      <c r="AF539" s="13">
        <f>IF($A539="","",[1]!thsiFinD("ths_adjustment_nv_fund",AF$3,$A539))</f>
        <v/>
      </c>
      <c r="AG539" s="13">
        <f>IF($A539="","",[1]!thsiFinD("ths_adjustment_nv_fund",AG$3,$A539))</f>
        <v/>
      </c>
      <c r="AH539" s="13">
        <f>IF($A539="","",[1]!thsiFinD("ths_adjustment_nv_fund",AH$3,$A539))</f>
        <v/>
      </c>
      <c r="AI539" s="13">
        <f>IF($A539="","",[1]!thsiFinD("ths_adjustment_nv_fund",AI$3,$A539))</f>
        <v/>
      </c>
      <c r="AJ539" s="13">
        <f>IF($A539="","",[1]!thsiFinD("ths_adjustment_nv_fund",AJ$3,$A539))</f>
        <v/>
      </c>
      <c r="AK539" s="13">
        <f>IF($A539="","",[1]!thsiFinD("ths_adjustment_nv_fund",AK$3,$A539))</f>
        <v/>
      </c>
      <c r="AL539" s="13">
        <f>IF($A539="","",[1]!thsiFinD("ths_adjustment_nv_fund",AL$3,$A539))</f>
        <v/>
      </c>
    </row>
    <row r="540" spans="2:28">
      <c r="B540" s="13" t="str">
        <f>IF($A540="","",[1]!thsiFinD("ths_adjustment_nv_fund",B$3,$A540))</f>
        <v/>
      </c>
      <c r="C540" s="13" t="str">
        <f>IF($A540="","",[1]!thsiFinD("ths_adjustment_nv_fund",C$3,$A540))</f>
        <v/>
      </c>
      <c r="D540" s="13" t="str">
        <f>IF($A540="","",[1]!thsiFinD("ths_adjustment_nv_fund",D$3,$A540))</f>
        <v/>
      </c>
      <c r="E540" s="13" t="str">
        <f>IF($A540="","",[1]!thsiFinD("ths_adjustment_nv_fund",E$3,$A540))</f>
        <v/>
      </c>
      <c r="F540" s="13" t="str">
        <f>IF($A540="","",[1]!thsiFinD("ths_adjustment_nv_fund",F$3,$A540))</f>
        <v/>
      </c>
      <c r="G540" s="13" t="str">
        <f>IF($A540="","",[1]!thsiFinD("ths_adjustment_nv_fund",G$3,$A540))</f>
        <v/>
      </c>
      <c r="H540" s="13" t="str">
        <f>IF($A540="","",[1]!thsiFinD("ths_adjustment_nv_fund",H$3,$A540))</f>
        <v/>
      </c>
      <c r="I540" s="13" t="str">
        <f>IF($A540="","",[1]!thsiFinD("ths_adjustment_nv_fund",I$3,$A540))</f>
        <v/>
      </c>
      <c r="J540" s="13" t="str">
        <f>IF($A540="","",[1]!thsiFinD("ths_adjustment_nv_fund",J$3,$A540))</f>
        <v/>
      </c>
      <c r="K540" s="13" t="str">
        <f>IF($A540="","",[1]!thsiFinD("ths_adjustment_nv_fund",K$3,$A540))</f>
        <v/>
      </c>
      <c r="L540" s="13" t="str">
        <f>IF($A540="","",[1]!thsiFinD("ths_adjustment_nv_fund",L$3,$A540))</f>
        <v/>
      </c>
      <c r="M540" s="13" t="str">
        <f>IF($A540="","",[1]!thsiFinD("ths_adjustment_nv_fund",M$3,$A540))</f>
        <v/>
      </c>
      <c r="N540" s="13" t="str">
        <f>IF($A540="","",[1]!thsiFinD("ths_adjustment_nv_fund",N$3,$A540))</f>
        <v/>
      </c>
      <c r="O540" s="13" t="str">
        <f>IF($A540="","",[1]!thsiFinD("ths_adjustment_nv_fund",O$3,$A540))</f>
        <v/>
      </c>
      <c r="P540" s="13" t="str">
        <f>IF($A540="","",[1]!thsiFinD("ths_adjustment_nv_fund",P$3,$A540))</f>
        <v/>
      </c>
      <c r="Q540" s="13" t="str">
        <f>IF($A540="","",[1]!thsiFinD("ths_adjustment_nv_fund",Q$3,$A540))</f>
        <v/>
      </c>
      <c r="R540" s="13" t="str">
        <f>IF($A540="","",[1]!thsiFinD("ths_adjustment_nv_fund",R$3,$A540))</f>
        <v/>
      </c>
      <c r="S540" s="13" t="str">
        <f>IF($A540="","",[1]!thsiFinD("ths_adjustment_nv_fund",S$3,$A540))</f>
        <v/>
      </c>
      <c r="T540" s="13" t="str">
        <f>IF($A540="","",[1]!thsiFinD("ths_adjustment_nv_fund",T$3,$A540))</f>
        <v/>
      </c>
      <c r="U540" s="13" t="str">
        <f>IF($A540="","",[1]!thsiFinD("ths_adjustment_nv_fund",U$3,$A540))</f>
        <v/>
      </c>
      <c r="V540" s="13" t="str">
        <f>IF($A540="","",[1]!thsiFinD("ths_adjustment_nv_fund",V$3,$A540))</f>
        <v/>
      </c>
      <c r="W540" s="13" t="str">
        <f>IF($A540="","",[1]!thsiFinD("ths_adjustment_nv_fund",W$3,$A540))</f>
        <v/>
      </c>
      <c r="X540" s="13" t="str">
        <f>IF($A540="","",[1]!thsiFinD("ths_adjustment_nv_fund",X$3,$A540))</f>
        <v/>
      </c>
      <c r="Y540" s="13" t="str">
        <f>IF($A540="","",[1]!thsiFinD("ths_adjustment_nv_fund",Y$3,$A540))</f>
        <v/>
      </c>
      <c r="Z540" s="13" t="str">
        <f>IF($A540="","",[1]!thsiFinD("ths_adjustment_nv_fund",Z$3,$A540))</f>
        <v/>
      </c>
      <c r="AA540" s="13" t="str">
        <f>IF($A540="","",[1]!thsiFinD("ths_adjustment_nv_fund",AA$3,$A540))</f>
        <v/>
      </c>
      <c r="AB540" s="13">
        <f>IF($A540="","",[1]!thsiFinD("ths_adjustment_nv_fund",AB$3,$A540))</f>
        <v/>
      </c>
      <c r="AC540" s="13">
        <f>IF($A540="","",[1]!thsiFinD("ths_adjustment_nv_fund",AC$3,$A540))</f>
        <v/>
      </c>
      <c r="AD540" s="13">
        <f>IF($A540="","",[1]!thsiFinD("ths_adjustment_nv_fund",AD$3,$A540))</f>
        <v/>
      </c>
      <c r="AE540" s="13">
        <f>IF($A540="","",[1]!thsiFinD("ths_adjustment_nv_fund",AE$3,$A540))</f>
        <v/>
      </c>
      <c r="AF540" s="13">
        <f>IF($A540="","",[1]!thsiFinD("ths_adjustment_nv_fund",AF$3,$A540))</f>
        <v/>
      </c>
      <c r="AG540" s="13">
        <f>IF($A540="","",[1]!thsiFinD("ths_adjustment_nv_fund",AG$3,$A540))</f>
        <v/>
      </c>
      <c r="AH540" s="13">
        <f>IF($A540="","",[1]!thsiFinD("ths_adjustment_nv_fund",AH$3,$A540))</f>
        <v/>
      </c>
      <c r="AI540" s="13">
        <f>IF($A540="","",[1]!thsiFinD("ths_adjustment_nv_fund",AI$3,$A540))</f>
        <v/>
      </c>
      <c r="AJ540" s="13">
        <f>IF($A540="","",[1]!thsiFinD("ths_adjustment_nv_fund",AJ$3,$A540))</f>
        <v/>
      </c>
      <c r="AK540" s="13">
        <f>IF($A540="","",[1]!thsiFinD("ths_adjustment_nv_fund",AK$3,$A540))</f>
        <v/>
      </c>
      <c r="AL540" s="13">
        <f>IF($A540="","",[1]!thsiFinD("ths_adjustment_nv_fund",AL$3,$A540))</f>
        <v/>
      </c>
    </row>
    <row r="541" spans="2:28">
      <c r="B541" s="13" t="str">
        <f>IF($A541="","",[1]!thsiFinD("ths_adjustment_nv_fund",B$3,$A541))</f>
        <v/>
      </c>
      <c r="C541" s="13" t="str">
        <f>IF($A541="","",[1]!thsiFinD("ths_adjustment_nv_fund",C$3,$A541))</f>
        <v/>
      </c>
      <c r="D541" s="13" t="str">
        <f>IF($A541="","",[1]!thsiFinD("ths_adjustment_nv_fund",D$3,$A541))</f>
        <v/>
      </c>
      <c r="E541" s="13" t="str">
        <f>IF($A541="","",[1]!thsiFinD("ths_adjustment_nv_fund",E$3,$A541))</f>
        <v/>
      </c>
      <c r="F541" s="13" t="str">
        <f>IF($A541="","",[1]!thsiFinD("ths_adjustment_nv_fund",F$3,$A541))</f>
        <v/>
      </c>
      <c r="G541" s="13" t="str">
        <f>IF($A541="","",[1]!thsiFinD("ths_adjustment_nv_fund",G$3,$A541))</f>
        <v/>
      </c>
      <c r="H541" s="13" t="str">
        <f>IF($A541="","",[1]!thsiFinD("ths_adjustment_nv_fund",H$3,$A541))</f>
        <v/>
      </c>
      <c r="I541" s="13" t="str">
        <f>IF($A541="","",[1]!thsiFinD("ths_adjustment_nv_fund",I$3,$A541))</f>
        <v/>
      </c>
      <c r="J541" s="13" t="str">
        <f>IF($A541="","",[1]!thsiFinD("ths_adjustment_nv_fund",J$3,$A541))</f>
        <v/>
      </c>
      <c r="K541" s="13" t="str">
        <f>IF($A541="","",[1]!thsiFinD("ths_adjustment_nv_fund",K$3,$A541))</f>
        <v/>
      </c>
      <c r="L541" s="13" t="str">
        <f>IF($A541="","",[1]!thsiFinD("ths_adjustment_nv_fund",L$3,$A541))</f>
        <v/>
      </c>
      <c r="M541" s="13" t="str">
        <f>IF($A541="","",[1]!thsiFinD("ths_adjustment_nv_fund",M$3,$A541))</f>
        <v/>
      </c>
      <c r="N541" s="13" t="str">
        <f>IF($A541="","",[1]!thsiFinD("ths_adjustment_nv_fund",N$3,$A541))</f>
        <v/>
      </c>
      <c r="O541" s="13" t="str">
        <f>IF($A541="","",[1]!thsiFinD("ths_adjustment_nv_fund",O$3,$A541))</f>
        <v/>
      </c>
      <c r="P541" s="13" t="str">
        <f>IF($A541="","",[1]!thsiFinD("ths_adjustment_nv_fund",P$3,$A541))</f>
        <v/>
      </c>
      <c r="Q541" s="13" t="str">
        <f>IF($A541="","",[1]!thsiFinD("ths_adjustment_nv_fund",Q$3,$A541))</f>
        <v/>
      </c>
      <c r="R541" s="13" t="str">
        <f>IF($A541="","",[1]!thsiFinD("ths_adjustment_nv_fund",R$3,$A541))</f>
        <v/>
      </c>
      <c r="S541" s="13" t="str">
        <f>IF($A541="","",[1]!thsiFinD("ths_adjustment_nv_fund",S$3,$A541))</f>
        <v/>
      </c>
      <c r="T541" s="13" t="str">
        <f>IF($A541="","",[1]!thsiFinD("ths_adjustment_nv_fund",T$3,$A541))</f>
        <v/>
      </c>
      <c r="U541" s="13" t="str">
        <f>IF($A541="","",[1]!thsiFinD("ths_adjustment_nv_fund",U$3,$A541))</f>
        <v/>
      </c>
      <c r="V541" s="13" t="str">
        <f>IF($A541="","",[1]!thsiFinD("ths_adjustment_nv_fund",V$3,$A541))</f>
        <v/>
      </c>
      <c r="W541" s="13" t="str">
        <f>IF($A541="","",[1]!thsiFinD("ths_adjustment_nv_fund",W$3,$A541))</f>
        <v/>
      </c>
      <c r="X541" s="13" t="str">
        <f>IF($A541="","",[1]!thsiFinD("ths_adjustment_nv_fund",X$3,$A541))</f>
        <v/>
      </c>
      <c r="Y541" s="13" t="str">
        <f>IF($A541="","",[1]!thsiFinD("ths_adjustment_nv_fund",Y$3,$A541))</f>
        <v/>
      </c>
      <c r="Z541" s="13" t="str">
        <f>IF($A541="","",[1]!thsiFinD("ths_adjustment_nv_fund",Z$3,$A541))</f>
        <v/>
      </c>
      <c r="AA541" s="13" t="str">
        <f>IF($A541="","",[1]!thsiFinD("ths_adjustment_nv_fund",AA$3,$A541))</f>
        <v/>
      </c>
      <c r="AB541" s="13">
        <f>IF($A541="","",[1]!thsiFinD("ths_adjustment_nv_fund",AB$3,$A541))</f>
        <v/>
      </c>
      <c r="AC541" s="13">
        <f>IF($A541="","",[1]!thsiFinD("ths_adjustment_nv_fund",AC$3,$A541))</f>
        <v/>
      </c>
      <c r="AD541" s="13">
        <f>IF($A541="","",[1]!thsiFinD("ths_adjustment_nv_fund",AD$3,$A541))</f>
        <v/>
      </c>
      <c r="AE541" s="13">
        <f>IF($A541="","",[1]!thsiFinD("ths_adjustment_nv_fund",AE$3,$A541))</f>
        <v/>
      </c>
      <c r="AF541" s="13">
        <f>IF($A541="","",[1]!thsiFinD("ths_adjustment_nv_fund",AF$3,$A541))</f>
        <v/>
      </c>
      <c r="AG541" s="13">
        <f>IF($A541="","",[1]!thsiFinD("ths_adjustment_nv_fund",AG$3,$A541))</f>
        <v/>
      </c>
      <c r="AH541" s="13">
        <f>IF($A541="","",[1]!thsiFinD("ths_adjustment_nv_fund",AH$3,$A541))</f>
        <v/>
      </c>
      <c r="AI541" s="13">
        <f>IF($A541="","",[1]!thsiFinD("ths_adjustment_nv_fund",AI$3,$A541))</f>
        <v/>
      </c>
      <c r="AJ541" s="13">
        <f>IF($A541="","",[1]!thsiFinD("ths_adjustment_nv_fund",AJ$3,$A541))</f>
        <v/>
      </c>
      <c r="AK541" s="13">
        <f>IF($A541="","",[1]!thsiFinD("ths_adjustment_nv_fund",AK$3,$A541))</f>
        <v/>
      </c>
      <c r="AL541" s="13">
        <f>IF($A541="","",[1]!thsiFinD("ths_adjustment_nv_fund",AL$3,$A541))</f>
        <v/>
      </c>
    </row>
    <row r="542" spans="2:28">
      <c r="B542" s="13" t="str">
        <f>IF($A542="","",[1]!thsiFinD("ths_adjustment_nv_fund",B$3,$A542))</f>
        <v/>
      </c>
      <c r="C542" s="13" t="str">
        <f>IF($A542="","",[1]!thsiFinD("ths_adjustment_nv_fund",C$3,$A542))</f>
        <v/>
      </c>
      <c r="D542" s="13" t="str">
        <f>IF($A542="","",[1]!thsiFinD("ths_adjustment_nv_fund",D$3,$A542))</f>
        <v/>
      </c>
      <c r="E542" s="13" t="str">
        <f>IF($A542="","",[1]!thsiFinD("ths_adjustment_nv_fund",E$3,$A542))</f>
        <v/>
      </c>
      <c r="F542" s="13" t="str">
        <f>IF($A542="","",[1]!thsiFinD("ths_adjustment_nv_fund",F$3,$A542))</f>
        <v/>
      </c>
      <c r="G542" s="13" t="str">
        <f>IF($A542="","",[1]!thsiFinD("ths_adjustment_nv_fund",G$3,$A542))</f>
        <v/>
      </c>
      <c r="H542" s="13" t="str">
        <f>IF($A542="","",[1]!thsiFinD("ths_adjustment_nv_fund",H$3,$A542))</f>
        <v/>
      </c>
      <c r="I542" s="13" t="str">
        <f>IF($A542="","",[1]!thsiFinD("ths_adjustment_nv_fund",I$3,$A542))</f>
        <v/>
      </c>
      <c r="J542" s="13" t="str">
        <f>IF($A542="","",[1]!thsiFinD("ths_adjustment_nv_fund",J$3,$A542))</f>
        <v/>
      </c>
      <c r="K542" s="13" t="str">
        <f>IF($A542="","",[1]!thsiFinD("ths_adjustment_nv_fund",K$3,$A542))</f>
        <v/>
      </c>
      <c r="L542" s="13" t="str">
        <f>IF($A542="","",[1]!thsiFinD("ths_adjustment_nv_fund",L$3,$A542))</f>
        <v/>
      </c>
      <c r="M542" s="13" t="str">
        <f>IF($A542="","",[1]!thsiFinD("ths_adjustment_nv_fund",M$3,$A542))</f>
        <v/>
      </c>
      <c r="N542" s="13" t="str">
        <f>IF($A542="","",[1]!thsiFinD("ths_adjustment_nv_fund",N$3,$A542))</f>
        <v/>
      </c>
      <c r="O542" s="13" t="str">
        <f>IF($A542="","",[1]!thsiFinD("ths_adjustment_nv_fund",O$3,$A542))</f>
        <v/>
      </c>
      <c r="P542" s="13" t="str">
        <f>IF($A542="","",[1]!thsiFinD("ths_adjustment_nv_fund",P$3,$A542))</f>
        <v/>
      </c>
      <c r="Q542" s="13" t="str">
        <f>IF($A542="","",[1]!thsiFinD("ths_adjustment_nv_fund",Q$3,$A542))</f>
        <v/>
      </c>
      <c r="R542" s="13" t="str">
        <f>IF($A542="","",[1]!thsiFinD("ths_adjustment_nv_fund",R$3,$A542))</f>
        <v/>
      </c>
      <c r="S542" s="13" t="str">
        <f>IF($A542="","",[1]!thsiFinD("ths_adjustment_nv_fund",S$3,$A542))</f>
        <v/>
      </c>
      <c r="T542" s="13" t="str">
        <f>IF($A542="","",[1]!thsiFinD("ths_adjustment_nv_fund",T$3,$A542))</f>
        <v/>
      </c>
      <c r="U542" s="13" t="str">
        <f>IF($A542="","",[1]!thsiFinD("ths_adjustment_nv_fund",U$3,$A542))</f>
        <v/>
      </c>
      <c r="V542" s="13" t="str">
        <f>IF($A542="","",[1]!thsiFinD("ths_adjustment_nv_fund",V$3,$A542))</f>
        <v/>
      </c>
      <c r="W542" s="13" t="str">
        <f>IF($A542="","",[1]!thsiFinD("ths_adjustment_nv_fund",W$3,$A542))</f>
        <v/>
      </c>
      <c r="X542" s="13" t="str">
        <f>IF($A542="","",[1]!thsiFinD("ths_adjustment_nv_fund",X$3,$A542))</f>
        <v/>
      </c>
      <c r="Y542" s="13" t="str">
        <f>IF($A542="","",[1]!thsiFinD("ths_adjustment_nv_fund",Y$3,$A542))</f>
        <v/>
      </c>
      <c r="Z542" s="13" t="str">
        <f>IF($A542="","",[1]!thsiFinD("ths_adjustment_nv_fund",Z$3,$A542))</f>
        <v/>
      </c>
      <c r="AA542" s="13" t="str">
        <f>IF($A542="","",[1]!thsiFinD("ths_adjustment_nv_fund",AA$3,$A542))</f>
        <v/>
      </c>
      <c r="AB542" s="13">
        <f>IF($A542="","",[1]!thsiFinD("ths_adjustment_nv_fund",AB$3,$A542))</f>
        <v/>
      </c>
      <c r="AC542" s="13">
        <f>IF($A542="","",[1]!thsiFinD("ths_adjustment_nv_fund",AC$3,$A542))</f>
        <v/>
      </c>
      <c r="AD542" s="13">
        <f>IF($A542="","",[1]!thsiFinD("ths_adjustment_nv_fund",AD$3,$A542))</f>
        <v/>
      </c>
      <c r="AE542" s="13">
        <f>IF($A542="","",[1]!thsiFinD("ths_adjustment_nv_fund",AE$3,$A542))</f>
        <v/>
      </c>
      <c r="AF542" s="13">
        <f>IF($A542="","",[1]!thsiFinD("ths_adjustment_nv_fund",AF$3,$A542))</f>
        <v/>
      </c>
      <c r="AG542" s="13">
        <f>IF($A542="","",[1]!thsiFinD("ths_adjustment_nv_fund",AG$3,$A542))</f>
        <v/>
      </c>
      <c r="AH542" s="13">
        <f>IF($A542="","",[1]!thsiFinD("ths_adjustment_nv_fund",AH$3,$A542))</f>
        <v/>
      </c>
      <c r="AI542" s="13">
        <f>IF($A542="","",[1]!thsiFinD("ths_adjustment_nv_fund",AI$3,$A542))</f>
        <v/>
      </c>
      <c r="AJ542" s="13">
        <f>IF($A542="","",[1]!thsiFinD("ths_adjustment_nv_fund",AJ$3,$A542))</f>
        <v/>
      </c>
      <c r="AK542" s="13">
        <f>IF($A542="","",[1]!thsiFinD("ths_adjustment_nv_fund",AK$3,$A542))</f>
        <v/>
      </c>
      <c r="AL542" s="13">
        <f>IF($A542="","",[1]!thsiFinD("ths_adjustment_nv_fund",AL$3,$A542))</f>
        <v/>
      </c>
    </row>
    <row r="543" spans="2:28">
      <c r="B543" s="13" t="str">
        <f>IF($A543="","",[1]!thsiFinD("ths_adjustment_nv_fund",B$3,$A543))</f>
        <v/>
      </c>
      <c r="C543" s="13" t="str">
        <f>IF($A543="","",[1]!thsiFinD("ths_adjustment_nv_fund",C$3,$A543))</f>
        <v/>
      </c>
      <c r="D543" s="13" t="str">
        <f>IF($A543="","",[1]!thsiFinD("ths_adjustment_nv_fund",D$3,$A543))</f>
        <v/>
      </c>
      <c r="E543" s="13" t="str">
        <f>IF($A543="","",[1]!thsiFinD("ths_adjustment_nv_fund",E$3,$A543))</f>
        <v/>
      </c>
      <c r="F543" s="13" t="str">
        <f>IF($A543="","",[1]!thsiFinD("ths_adjustment_nv_fund",F$3,$A543))</f>
        <v/>
      </c>
      <c r="G543" s="13" t="str">
        <f>IF($A543="","",[1]!thsiFinD("ths_adjustment_nv_fund",G$3,$A543))</f>
        <v/>
      </c>
      <c r="H543" s="13" t="str">
        <f>IF($A543="","",[1]!thsiFinD("ths_adjustment_nv_fund",H$3,$A543))</f>
        <v/>
      </c>
      <c r="I543" s="13" t="str">
        <f>IF($A543="","",[1]!thsiFinD("ths_adjustment_nv_fund",I$3,$A543))</f>
        <v/>
      </c>
      <c r="J543" s="13" t="str">
        <f>IF($A543="","",[1]!thsiFinD("ths_adjustment_nv_fund",J$3,$A543))</f>
        <v/>
      </c>
      <c r="K543" s="13" t="str">
        <f>IF($A543="","",[1]!thsiFinD("ths_adjustment_nv_fund",K$3,$A543))</f>
        <v/>
      </c>
      <c r="L543" s="13" t="str">
        <f>IF($A543="","",[1]!thsiFinD("ths_adjustment_nv_fund",L$3,$A543))</f>
        <v/>
      </c>
      <c r="M543" s="13" t="str">
        <f>IF($A543="","",[1]!thsiFinD("ths_adjustment_nv_fund",M$3,$A543))</f>
        <v/>
      </c>
      <c r="N543" s="13" t="str">
        <f>IF($A543="","",[1]!thsiFinD("ths_adjustment_nv_fund",N$3,$A543))</f>
        <v/>
      </c>
      <c r="O543" s="13" t="str">
        <f>IF($A543="","",[1]!thsiFinD("ths_adjustment_nv_fund",O$3,$A543))</f>
        <v/>
      </c>
      <c r="P543" s="13" t="str">
        <f>IF($A543="","",[1]!thsiFinD("ths_adjustment_nv_fund",P$3,$A543))</f>
        <v/>
      </c>
      <c r="Q543" s="13" t="str">
        <f>IF($A543="","",[1]!thsiFinD("ths_adjustment_nv_fund",Q$3,$A543))</f>
        <v/>
      </c>
      <c r="R543" s="13" t="str">
        <f>IF($A543="","",[1]!thsiFinD("ths_adjustment_nv_fund",R$3,$A543))</f>
        <v/>
      </c>
      <c r="S543" s="13" t="str">
        <f>IF($A543="","",[1]!thsiFinD("ths_adjustment_nv_fund",S$3,$A543))</f>
        <v/>
      </c>
      <c r="T543" s="13" t="str">
        <f>IF($A543="","",[1]!thsiFinD("ths_adjustment_nv_fund",T$3,$A543))</f>
        <v/>
      </c>
      <c r="U543" s="13" t="str">
        <f>IF($A543="","",[1]!thsiFinD("ths_adjustment_nv_fund",U$3,$A543))</f>
        <v/>
      </c>
      <c r="V543" s="13" t="str">
        <f>IF($A543="","",[1]!thsiFinD("ths_adjustment_nv_fund",V$3,$A543))</f>
        <v/>
      </c>
      <c r="W543" s="13" t="str">
        <f>IF($A543="","",[1]!thsiFinD("ths_adjustment_nv_fund",W$3,$A543))</f>
        <v/>
      </c>
      <c r="X543" s="13" t="str">
        <f>IF($A543="","",[1]!thsiFinD("ths_adjustment_nv_fund",X$3,$A543))</f>
        <v/>
      </c>
      <c r="Y543" s="13" t="str">
        <f>IF($A543="","",[1]!thsiFinD("ths_adjustment_nv_fund",Y$3,$A543))</f>
        <v/>
      </c>
      <c r="Z543" s="13" t="str">
        <f>IF($A543="","",[1]!thsiFinD("ths_adjustment_nv_fund",Z$3,$A543))</f>
        <v/>
      </c>
      <c r="AA543" s="13" t="str">
        <f>IF($A543="","",[1]!thsiFinD("ths_adjustment_nv_fund",AA$3,$A543))</f>
        <v/>
      </c>
      <c r="AB543" s="13">
        <f>IF($A543="","",[1]!thsiFinD("ths_adjustment_nv_fund",AB$3,$A543))</f>
        <v/>
      </c>
      <c r="AC543" s="13">
        <f>IF($A543="","",[1]!thsiFinD("ths_adjustment_nv_fund",AC$3,$A543))</f>
        <v/>
      </c>
      <c r="AD543" s="13">
        <f>IF($A543="","",[1]!thsiFinD("ths_adjustment_nv_fund",AD$3,$A543))</f>
        <v/>
      </c>
      <c r="AE543" s="13">
        <f>IF($A543="","",[1]!thsiFinD("ths_adjustment_nv_fund",AE$3,$A543))</f>
        <v/>
      </c>
      <c r="AF543" s="13">
        <f>IF($A543="","",[1]!thsiFinD("ths_adjustment_nv_fund",AF$3,$A543))</f>
        <v/>
      </c>
      <c r="AG543" s="13">
        <f>IF($A543="","",[1]!thsiFinD("ths_adjustment_nv_fund",AG$3,$A543))</f>
        <v/>
      </c>
      <c r="AH543" s="13">
        <f>IF($A543="","",[1]!thsiFinD("ths_adjustment_nv_fund",AH$3,$A543))</f>
        <v/>
      </c>
      <c r="AI543" s="13">
        <f>IF($A543="","",[1]!thsiFinD("ths_adjustment_nv_fund",AI$3,$A543))</f>
        <v/>
      </c>
      <c r="AJ543" s="13">
        <f>IF($A543="","",[1]!thsiFinD("ths_adjustment_nv_fund",AJ$3,$A543))</f>
        <v/>
      </c>
      <c r="AK543" s="13">
        <f>IF($A543="","",[1]!thsiFinD("ths_adjustment_nv_fund",AK$3,$A543))</f>
        <v/>
      </c>
      <c r="AL543" s="13">
        <f>IF($A543="","",[1]!thsiFinD("ths_adjustment_nv_fund",AL$3,$A543))</f>
        <v/>
      </c>
    </row>
    <row r="544" spans="2:28">
      <c r="B544" s="13" t="str">
        <f>IF($A544="","",[1]!thsiFinD("ths_adjustment_nv_fund",B$3,$A544))</f>
        <v/>
      </c>
      <c r="C544" s="13" t="str">
        <f>IF($A544="","",[1]!thsiFinD("ths_adjustment_nv_fund",C$3,$A544))</f>
        <v/>
      </c>
      <c r="D544" s="13" t="str">
        <f>IF($A544="","",[1]!thsiFinD("ths_adjustment_nv_fund",D$3,$A544))</f>
        <v/>
      </c>
      <c r="E544" s="13" t="str">
        <f>IF($A544="","",[1]!thsiFinD("ths_adjustment_nv_fund",E$3,$A544))</f>
        <v/>
      </c>
      <c r="F544" s="13" t="str">
        <f>IF($A544="","",[1]!thsiFinD("ths_adjustment_nv_fund",F$3,$A544))</f>
        <v/>
      </c>
      <c r="G544" s="13" t="str">
        <f>IF($A544="","",[1]!thsiFinD("ths_adjustment_nv_fund",G$3,$A544))</f>
        <v/>
      </c>
      <c r="H544" s="13" t="str">
        <f>IF($A544="","",[1]!thsiFinD("ths_adjustment_nv_fund",H$3,$A544))</f>
        <v/>
      </c>
      <c r="I544" s="13" t="str">
        <f>IF($A544="","",[1]!thsiFinD("ths_adjustment_nv_fund",I$3,$A544))</f>
        <v/>
      </c>
      <c r="J544" s="13" t="str">
        <f>IF($A544="","",[1]!thsiFinD("ths_adjustment_nv_fund",J$3,$A544))</f>
        <v/>
      </c>
      <c r="K544" s="13" t="str">
        <f>IF($A544="","",[1]!thsiFinD("ths_adjustment_nv_fund",K$3,$A544))</f>
        <v/>
      </c>
      <c r="L544" s="13" t="str">
        <f>IF($A544="","",[1]!thsiFinD("ths_adjustment_nv_fund",L$3,$A544))</f>
        <v/>
      </c>
      <c r="M544" s="13" t="str">
        <f>IF($A544="","",[1]!thsiFinD("ths_adjustment_nv_fund",M$3,$A544))</f>
        <v/>
      </c>
      <c r="N544" s="13" t="str">
        <f>IF($A544="","",[1]!thsiFinD("ths_adjustment_nv_fund",N$3,$A544))</f>
        <v/>
      </c>
      <c r="O544" s="13" t="str">
        <f>IF($A544="","",[1]!thsiFinD("ths_adjustment_nv_fund",O$3,$A544))</f>
        <v/>
      </c>
      <c r="P544" s="13" t="str">
        <f>IF($A544="","",[1]!thsiFinD("ths_adjustment_nv_fund",P$3,$A544))</f>
        <v/>
      </c>
      <c r="Q544" s="13" t="str">
        <f>IF($A544="","",[1]!thsiFinD("ths_adjustment_nv_fund",Q$3,$A544))</f>
        <v/>
      </c>
      <c r="R544" s="13" t="str">
        <f>IF($A544="","",[1]!thsiFinD("ths_adjustment_nv_fund",R$3,$A544))</f>
        <v/>
      </c>
      <c r="S544" s="13" t="str">
        <f>IF($A544="","",[1]!thsiFinD("ths_adjustment_nv_fund",S$3,$A544))</f>
        <v/>
      </c>
      <c r="T544" s="13" t="str">
        <f>IF($A544="","",[1]!thsiFinD("ths_adjustment_nv_fund",T$3,$A544))</f>
        <v/>
      </c>
      <c r="U544" s="13" t="str">
        <f>IF($A544="","",[1]!thsiFinD("ths_adjustment_nv_fund",U$3,$A544))</f>
        <v/>
      </c>
      <c r="V544" s="13" t="str">
        <f>IF($A544="","",[1]!thsiFinD("ths_adjustment_nv_fund",V$3,$A544))</f>
        <v/>
      </c>
      <c r="W544" s="13" t="str">
        <f>IF($A544="","",[1]!thsiFinD("ths_adjustment_nv_fund",W$3,$A544))</f>
        <v/>
      </c>
      <c r="X544" s="13" t="str">
        <f>IF($A544="","",[1]!thsiFinD("ths_adjustment_nv_fund",X$3,$A544))</f>
        <v/>
      </c>
      <c r="Y544" s="13" t="str">
        <f>IF($A544="","",[1]!thsiFinD("ths_adjustment_nv_fund",Y$3,$A544))</f>
        <v/>
      </c>
      <c r="Z544" s="13" t="str">
        <f>IF($A544="","",[1]!thsiFinD("ths_adjustment_nv_fund",Z$3,$A544))</f>
        <v/>
      </c>
      <c r="AA544" s="13" t="str">
        <f>IF($A544="","",[1]!thsiFinD("ths_adjustment_nv_fund",AA$3,$A544))</f>
        <v/>
      </c>
      <c r="AB544" s="13">
        <f>IF($A544="","",[1]!thsiFinD("ths_adjustment_nv_fund",AB$3,$A544))</f>
        <v/>
      </c>
      <c r="AC544" s="13">
        <f>IF($A544="","",[1]!thsiFinD("ths_adjustment_nv_fund",AC$3,$A544))</f>
        <v/>
      </c>
      <c r="AD544" s="13">
        <f>IF($A544="","",[1]!thsiFinD("ths_adjustment_nv_fund",AD$3,$A544))</f>
        <v/>
      </c>
      <c r="AE544" s="13">
        <f>IF($A544="","",[1]!thsiFinD("ths_adjustment_nv_fund",AE$3,$A544))</f>
        <v/>
      </c>
      <c r="AF544" s="13">
        <f>IF($A544="","",[1]!thsiFinD("ths_adjustment_nv_fund",AF$3,$A544))</f>
        <v/>
      </c>
      <c r="AG544" s="13">
        <f>IF($A544="","",[1]!thsiFinD("ths_adjustment_nv_fund",AG$3,$A544))</f>
        <v/>
      </c>
      <c r="AH544" s="13">
        <f>IF($A544="","",[1]!thsiFinD("ths_adjustment_nv_fund",AH$3,$A544))</f>
        <v/>
      </c>
      <c r="AI544" s="13">
        <f>IF($A544="","",[1]!thsiFinD("ths_adjustment_nv_fund",AI$3,$A544))</f>
        <v/>
      </c>
      <c r="AJ544" s="13">
        <f>IF($A544="","",[1]!thsiFinD("ths_adjustment_nv_fund",AJ$3,$A544))</f>
        <v/>
      </c>
      <c r="AK544" s="13">
        <f>IF($A544="","",[1]!thsiFinD("ths_adjustment_nv_fund",AK$3,$A544))</f>
        <v/>
      </c>
      <c r="AL544" s="13">
        <f>IF($A544="","",[1]!thsiFinD("ths_adjustment_nv_fund",AL$3,$A544))</f>
        <v/>
      </c>
    </row>
    <row r="545" spans="2:28">
      <c r="B545" s="13" t="str">
        <f>IF($A545="","",[1]!thsiFinD("ths_adjustment_nv_fund",B$3,$A545))</f>
        <v/>
      </c>
      <c r="C545" s="13" t="str">
        <f>IF($A545="","",[1]!thsiFinD("ths_adjustment_nv_fund",C$3,$A545))</f>
        <v/>
      </c>
      <c r="D545" s="13" t="str">
        <f>IF($A545="","",[1]!thsiFinD("ths_adjustment_nv_fund",D$3,$A545))</f>
        <v/>
      </c>
      <c r="E545" s="13" t="str">
        <f>IF($A545="","",[1]!thsiFinD("ths_adjustment_nv_fund",E$3,$A545))</f>
        <v/>
      </c>
      <c r="F545" s="13" t="str">
        <f>IF($A545="","",[1]!thsiFinD("ths_adjustment_nv_fund",F$3,$A545))</f>
        <v/>
      </c>
      <c r="G545" s="13" t="str">
        <f>IF($A545="","",[1]!thsiFinD("ths_adjustment_nv_fund",G$3,$A545))</f>
        <v/>
      </c>
      <c r="H545" s="13" t="str">
        <f>IF($A545="","",[1]!thsiFinD("ths_adjustment_nv_fund",H$3,$A545))</f>
        <v/>
      </c>
      <c r="I545" s="13" t="str">
        <f>IF($A545="","",[1]!thsiFinD("ths_adjustment_nv_fund",I$3,$A545))</f>
        <v/>
      </c>
      <c r="J545" s="13" t="str">
        <f>IF($A545="","",[1]!thsiFinD("ths_adjustment_nv_fund",J$3,$A545))</f>
        <v/>
      </c>
      <c r="K545" s="13" t="str">
        <f>IF($A545="","",[1]!thsiFinD("ths_adjustment_nv_fund",K$3,$A545))</f>
        <v/>
      </c>
      <c r="L545" s="13" t="str">
        <f>IF($A545="","",[1]!thsiFinD("ths_adjustment_nv_fund",L$3,$A545))</f>
        <v/>
      </c>
      <c r="M545" s="13" t="str">
        <f>IF($A545="","",[1]!thsiFinD("ths_adjustment_nv_fund",M$3,$A545))</f>
        <v/>
      </c>
      <c r="N545" s="13" t="str">
        <f>IF($A545="","",[1]!thsiFinD("ths_adjustment_nv_fund",N$3,$A545))</f>
        <v/>
      </c>
      <c r="O545" s="13" t="str">
        <f>IF($A545="","",[1]!thsiFinD("ths_adjustment_nv_fund",O$3,$A545))</f>
        <v/>
      </c>
      <c r="P545" s="13" t="str">
        <f>IF($A545="","",[1]!thsiFinD("ths_adjustment_nv_fund",P$3,$A545))</f>
        <v/>
      </c>
      <c r="Q545" s="13" t="str">
        <f>IF($A545="","",[1]!thsiFinD("ths_adjustment_nv_fund",Q$3,$A545))</f>
        <v/>
      </c>
      <c r="R545" s="13" t="str">
        <f>IF($A545="","",[1]!thsiFinD("ths_adjustment_nv_fund",R$3,$A545))</f>
        <v/>
      </c>
      <c r="S545" s="13" t="str">
        <f>IF($A545="","",[1]!thsiFinD("ths_adjustment_nv_fund",S$3,$A545))</f>
        <v/>
      </c>
      <c r="T545" s="13" t="str">
        <f>IF($A545="","",[1]!thsiFinD("ths_adjustment_nv_fund",T$3,$A545))</f>
        <v/>
      </c>
      <c r="U545" s="13" t="str">
        <f>IF($A545="","",[1]!thsiFinD("ths_adjustment_nv_fund",U$3,$A545))</f>
        <v/>
      </c>
      <c r="V545" s="13" t="str">
        <f>IF($A545="","",[1]!thsiFinD("ths_adjustment_nv_fund",V$3,$A545))</f>
        <v/>
      </c>
      <c r="W545" s="13" t="str">
        <f>IF($A545="","",[1]!thsiFinD("ths_adjustment_nv_fund",W$3,$A545))</f>
        <v/>
      </c>
      <c r="X545" s="13" t="str">
        <f>IF($A545="","",[1]!thsiFinD("ths_adjustment_nv_fund",X$3,$A545))</f>
        <v/>
      </c>
      <c r="Y545" s="13" t="str">
        <f>IF($A545="","",[1]!thsiFinD("ths_adjustment_nv_fund",Y$3,$A545))</f>
        <v/>
      </c>
      <c r="Z545" s="13" t="str">
        <f>IF($A545="","",[1]!thsiFinD("ths_adjustment_nv_fund",Z$3,$A545))</f>
        <v/>
      </c>
      <c r="AA545" s="13" t="str">
        <f>IF($A545="","",[1]!thsiFinD("ths_adjustment_nv_fund",AA$3,$A545))</f>
        <v/>
      </c>
      <c r="AB545" s="13">
        <f>IF($A545="","",[1]!thsiFinD("ths_adjustment_nv_fund",AB$3,$A545))</f>
        <v/>
      </c>
      <c r="AC545" s="13">
        <f>IF($A545="","",[1]!thsiFinD("ths_adjustment_nv_fund",AC$3,$A545))</f>
        <v/>
      </c>
      <c r="AD545" s="13">
        <f>IF($A545="","",[1]!thsiFinD("ths_adjustment_nv_fund",AD$3,$A545))</f>
        <v/>
      </c>
      <c r="AE545" s="13">
        <f>IF($A545="","",[1]!thsiFinD("ths_adjustment_nv_fund",AE$3,$A545))</f>
        <v/>
      </c>
      <c r="AF545" s="13">
        <f>IF($A545="","",[1]!thsiFinD("ths_adjustment_nv_fund",AF$3,$A545))</f>
        <v/>
      </c>
      <c r="AG545" s="13">
        <f>IF($A545="","",[1]!thsiFinD("ths_adjustment_nv_fund",AG$3,$A545))</f>
        <v/>
      </c>
      <c r="AH545" s="13">
        <f>IF($A545="","",[1]!thsiFinD("ths_adjustment_nv_fund",AH$3,$A545))</f>
        <v/>
      </c>
      <c r="AI545" s="13">
        <f>IF($A545="","",[1]!thsiFinD("ths_adjustment_nv_fund",AI$3,$A545))</f>
        <v/>
      </c>
      <c r="AJ545" s="13">
        <f>IF($A545="","",[1]!thsiFinD("ths_adjustment_nv_fund",AJ$3,$A545))</f>
        <v/>
      </c>
      <c r="AK545" s="13">
        <f>IF($A545="","",[1]!thsiFinD("ths_adjustment_nv_fund",AK$3,$A545))</f>
        <v/>
      </c>
      <c r="AL545" s="13">
        <f>IF($A545="","",[1]!thsiFinD("ths_adjustment_nv_fund",AL$3,$A545))</f>
        <v/>
      </c>
    </row>
    <row r="546" spans="2:28">
      <c r="B546" s="13" t="str">
        <f>IF($A546="","",[1]!thsiFinD("ths_adjustment_nv_fund",B$3,$A546))</f>
        <v/>
      </c>
      <c r="C546" s="13" t="str">
        <f>IF($A546="","",[1]!thsiFinD("ths_adjustment_nv_fund",C$3,$A546))</f>
        <v/>
      </c>
      <c r="D546" s="13" t="str">
        <f>IF($A546="","",[1]!thsiFinD("ths_adjustment_nv_fund",D$3,$A546))</f>
        <v/>
      </c>
      <c r="E546" s="13" t="str">
        <f>IF($A546="","",[1]!thsiFinD("ths_adjustment_nv_fund",E$3,$A546))</f>
        <v/>
      </c>
      <c r="F546" s="13" t="str">
        <f>IF($A546="","",[1]!thsiFinD("ths_adjustment_nv_fund",F$3,$A546))</f>
        <v/>
      </c>
      <c r="G546" s="13" t="str">
        <f>IF($A546="","",[1]!thsiFinD("ths_adjustment_nv_fund",G$3,$A546))</f>
        <v/>
      </c>
      <c r="H546" s="13" t="str">
        <f>IF($A546="","",[1]!thsiFinD("ths_adjustment_nv_fund",H$3,$A546))</f>
        <v/>
      </c>
      <c r="I546" s="13" t="str">
        <f>IF($A546="","",[1]!thsiFinD("ths_adjustment_nv_fund",I$3,$A546))</f>
        <v/>
      </c>
      <c r="J546" s="13" t="str">
        <f>IF($A546="","",[1]!thsiFinD("ths_adjustment_nv_fund",J$3,$A546))</f>
        <v/>
      </c>
      <c r="K546" s="13" t="str">
        <f>IF($A546="","",[1]!thsiFinD("ths_adjustment_nv_fund",K$3,$A546))</f>
        <v/>
      </c>
      <c r="L546" s="13" t="str">
        <f>IF($A546="","",[1]!thsiFinD("ths_adjustment_nv_fund",L$3,$A546))</f>
        <v/>
      </c>
      <c r="M546" s="13" t="str">
        <f>IF($A546="","",[1]!thsiFinD("ths_adjustment_nv_fund",M$3,$A546))</f>
        <v/>
      </c>
      <c r="N546" s="13" t="str">
        <f>IF($A546="","",[1]!thsiFinD("ths_adjustment_nv_fund",N$3,$A546))</f>
        <v/>
      </c>
      <c r="O546" s="13" t="str">
        <f>IF($A546="","",[1]!thsiFinD("ths_adjustment_nv_fund",O$3,$A546))</f>
        <v/>
      </c>
      <c r="P546" s="13" t="str">
        <f>IF($A546="","",[1]!thsiFinD("ths_adjustment_nv_fund",P$3,$A546))</f>
        <v/>
      </c>
      <c r="Q546" s="13" t="str">
        <f>IF($A546="","",[1]!thsiFinD("ths_adjustment_nv_fund",Q$3,$A546))</f>
        <v/>
      </c>
      <c r="R546" s="13" t="str">
        <f>IF($A546="","",[1]!thsiFinD("ths_adjustment_nv_fund",R$3,$A546))</f>
        <v/>
      </c>
      <c r="S546" s="13" t="str">
        <f>IF($A546="","",[1]!thsiFinD("ths_adjustment_nv_fund",S$3,$A546))</f>
        <v/>
      </c>
      <c r="T546" s="13" t="str">
        <f>IF($A546="","",[1]!thsiFinD("ths_adjustment_nv_fund",T$3,$A546))</f>
        <v/>
      </c>
      <c r="U546" s="13" t="str">
        <f>IF($A546="","",[1]!thsiFinD("ths_adjustment_nv_fund",U$3,$A546))</f>
        <v/>
      </c>
      <c r="V546" s="13" t="str">
        <f>IF($A546="","",[1]!thsiFinD("ths_adjustment_nv_fund",V$3,$A546))</f>
        <v/>
      </c>
      <c r="W546" s="13" t="str">
        <f>IF($A546="","",[1]!thsiFinD("ths_adjustment_nv_fund",W$3,$A546))</f>
        <v/>
      </c>
      <c r="X546" s="13" t="str">
        <f>IF($A546="","",[1]!thsiFinD("ths_adjustment_nv_fund",X$3,$A546))</f>
        <v/>
      </c>
      <c r="Y546" s="13" t="str">
        <f>IF($A546="","",[1]!thsiFinD("ths_adjustment_nv_fund",Y$3,$A546))</f>
        <v/>
      </c>
      <c r="Z546" s="13" t="str">
        <f>IF($A546="","",[1]!thsiFinD("ths_adjustment_nv_fund",Z$3,$A546))</f>
        <v/>
      </c>
      <c r="AA546" s="13" t="str">
        <f>IF($A546="","",[1]!thsiFinD("ths_adjustment_nv_fund",AA$3,$A546))</f>
        <v/>
      </c>
      <c r="AB546" s="13">
        <f>IF($A546="","",[1]!thsiFinD("ths_adjustment_nv_fund",AB$3,$A546))</f>
        <v/>
      </c>
      <c r="AC546" s="13">
        <f>IF($A546="","",[1]!thsiFinD("ths_adjustment_nv_fund",AC$3,$A546))</f>
        <v/>
      </c>
      <c r="AD546" s="13">
        <f>IF($A546="","",[1]!thsiFinD("ths_adjustment_nv_fund",AD$3,$A546))</f>
        <v/>
      </c>
      <c r="AE546" s="13">
        <f>IF($A546="","",[1]!thsiFinD("ths_adjustment_nv_fund",AE$3,$A546))</f>
        <v/>
      </c>
      <c r="AF546" s="13">
        <f>IF($A546="","",[1]!thsiFinD("ths_adjustment_nv_fund",AF$3,$A546))</f>
        <v/>
      </c>
      <c r="AG546" s="13">
        <f>IF($A546="","",[1]!thsiFinD("ths_adjustment_nv_fund",AG$3,$A546))</f>
        <v/>
      </c>
      <c r="AH546" s="13">
        <f>IF($A546="","",[1]!thsiFinD("ths_adjustment_nv_fund",AH$3,$A546))</f>
        <v/>
      </c>
      <c r="AI546" s="13">
        <f>IF($A546="","",[1]!thsiFinD("ths_adjustment_nv_fund",AI$3,$A546))</f>
        <v/>
      </c>
      <c r="AJ546" s="13">
        <f>IF($A546="","",[1]!thsiFinD("ths_adjustment_nv_fund",AJ$3,$A546))</f>
        <v/>
      </c>
      <c r="AK546" s="13">
        <f>IF($A546="","",[1]!thsiFinD("ths_adjustment_nv_fund",AK$3,$A546))</f>
        <v/>
      </c>
      <c r="AL546" s="13">
        <f>IF($A546="","",[1]!thsiFinD("ths_adjustment_nv_fund",AL$3,$A546))</f>
        <v/>
      </c>
    </row>
    <row r="547" spans="2:28">
      <c r="B547" s="13" t="str">
        <f>IF($A547="","",[1]!thsiFinD("ths_adjustment_nv_fund",B$3,$A547))</f>
        <v/>
      </c>
      <c r="C547" s="13" t="str">
        <f>IF($A547="","",[1]!thsiFinD("ths_adjustment_nv_fund",C$3,$A547))</f>
        <v/>
      </c>
      <c r="D547" s="13" t="str">
        <f>IF($A547="","",[1]!thsiFinD("ths_adjustment_nv_fund",D$3,$A547))</f>
        <v/>
      </c>
      <c r="E547" s="13" t="str">
        <f>IF($A547="","",[1]!thsiFinD("ths_adjustment_nv_fund",E$3,$A547))</f>
        <v/>
      </c>
      <c r="F547" s="13" t="str">
        <f>IF($A547="","",[1]!thsiFinD("ths_adjustment_nv_fund",F$3,$A547))</f>
        <v/>
      </c>
      <c r="G547" s="13" t="str">
        <f>IF($A547="","",[1]!thsiFinD("ths_adjustment_nv_fund",G$3,$A547))</f>
        <v/>
      </c>
      <c r="H547" s="13" t="str">
        <f>IF($A547="","",[1]!thsiFinD("ths_adjustment_nv_fund",H$3,$A547))</f>
        <v/>
      </c>
      <c r="I547" s="13" t="str">
        <f>IF($A547="","",[1]!thsiFinD("ths_adjustment_nv_fund",I$3,$A547))</f>
        <v/>
      </c>
      <c r="J547" s="13" t="str">
        <f>IF($A547="","",[1]!thsiFinD("ths_adjustment_nv_fund",J$3,$A547))</f>
        <v/>
      </c>
      <c r="K547" s="13" t="str">
        <f>IF($A547="","",[1]!thsiFinD("ths_adjustment_nv_fund",K$3,$A547))</f>
        <v/>
      </c>
      <c r="L547" s="13" t="str">
        <f>IF($A547="","",[1]!thsiFinD("ths_adjustment_nv_fund",L$3,$A547))</f>
        <v/>
      </c>
      <c r="M547" s="13" t="str">
        <f>IF($A547="","",[1]!thsiFinD("ths_adjustment_nv_fund",M$3,$A547))</f>
        <v/>
      </c>
      <c r="N547" s="13" t="str">
        <f>IF($A547="","",[1]!thsiFinD("ths_adjustment_nv_fund",N$3,$A547))</f>
        <v/>
      </c>
      <c r="O547" s="13" t="str">
        <f>IF($A547="","",[1]!thsiFinD("ths_adjustment_nv_fund",O$3,$A547))</f>
        <v/>
      </c>
      <c r="P547" s="13" t="str">
        <f>IF($A547="","",[1]!thsiFinD("ths_adjustment_nv_fund",P$3,$A547))</f>
        <v/>
      </c>
      <c r="Q547" s="13" t="str">
        <f>IF($A547="","",[1]!thsiFinD("ths_adjustment_nv_fund",Q$3,$A547))</f>
        <v/>
      </c>
      <c r="R547" s="13" t="str">
        <f>IF($A547="","",[1]!thsiFinD("ths_adjustment_nv_fund",R$3,$A547))</f>
        <v/>
      </c>
      <c r="S547" s="13" t="str">
        <f>IF($A547="","",[1]!thsiFinD("ths_adjustment_nv_fund",S$3,$A547))</f>
        <v/>
      </c>
      <c r="T547" s="13" t="str">
        <f>IF($A547="","",[1]!thsiFinD("ths_adjustment_nv_fund",T$3,$A547))</f>
        <v/>
      </c>
      <c r="U547" s="13" t="str">
        <f>IF($A547="","",[1]!thsiFinD("ths_adjustment_nv_fund",U$3,$A547))</f>
        <v/>
      </c>
      <c r="V547" s="13" t="str">
        <f>IF($A547="","",[1]!thsiFinD("ths_adjustment_nv_fund",V$3,$A547))</f>
        <v/>
      </c>
      <c r="W547" s="13" t="str">
        <f>IF($A547="","",[1]!thsiFinD("ths_adjustment_nv_fund",W$3,$A547))</f>
        <v/>
      </c>
      <c r="X547" s="13" t="str">
        <f>IF($A547="","",[1]!thsiFinD("ths_adjustment_nv_fund",X$3,$A547))</f>
        <v/>
      </c>
      <c r="Y547" s="13" t="str">
        <f>IF($A547="","",[1]!thsiFinD("ths_adjustment_nv_fund",Y$3,$A547))</f>
        <v/>
      </c>
      <c r="Z547" s="13" t="str">
        <f>IF($A547="","",[1]!thsiFinD("ths_adjustment_nv_fund",Z$3,$A547))</f>
        <v/>
      </c>
      <c r="AA547" s="13" t="str">
        <f>IF($A547="","",[1]!thsiFinD("ths_adjustment_nv_fund",AA$3,$A547))</f>
        <v/>
      </c>
      <c r="AB547" s="13">
        <f>IF($A547="","",[1]!thsiFinD("ths_adjustment_nv_fund",AB$3,$A547))</f>
        <v/>
      </c>
      <c r="AC547" s="13">
        <f>IF($A547="","",[1]!thsiFinD("ths_adjustment_nv_fund",AC$3,$A547))</f>
        <v/>
      </c>
      <c r="AD547" s="13">
        <f>IF($A547="","",[1]!thsiFinD("ths_adjustment_nv_fund",AD$3,$A547))</f>
        <v/>
      </c>
      <c r="AE547" s="13">
        <f>IF($A547="","",[1]!thsiFinD("ths_adjustment_nv_fund",AE$3,$A547))</f>
        <v/>
      </c>
      <c r="AF547" s="13">
        <f>IF($A547="","",[1]!thsiFinD("ths_adjustment_nv_fund",AF$3,$A547))</f>
        <v/>
      </c>
      <c r="AG547" s="13">
        <f>IF($A547="","",[1]!thsiFinD("ths_adjustment_nv_fund",AG$3,$A547))</f>
        <v/>
      </c>
      <c r="AH547" s="13">
        <f>IF($A547="","",[1]!thsiFinD("ths_adjustment_nv_fund",AH$3,$A547))</f>
        <v/>
      </c>
      <c r="AI547" s="13">
        <f>IF($A547="","",[1]!thsiFinD("ths_adjustment_nv_fund",AI$3,$A547))</f>
        <v/>
      </c>
      <c r="AJ547" s="13">
        <f>IF($A547="","",[1]!thsiFinD("ths_adjustment_nv_fund",AJ$3,$A547))</f>
        <v/>
      </c>
      <c r="AK547" s="13">
        <f>IF($A547="","",[1]!thsiFinD("ths_adjustment_nv_fund",AK$3,$A547))</f>
        <v/>
      </c>
      <c r="AL547" s="13">
        <f>IF($A547="","",[1]!thsiFinD("ths_adjustment_nv_fund",AL$3,$A547))</f>
        <v/>
      </c>
    </row>
    <row r="548" spans="2:28">
      <c r="B548" s="13" t="str">
        <f>IF($A548="","",[1]!thsiFinD("ths_adjustment_nv_fund",B$3,$A548))</f>
        <v/>
      </c>
      <c r="C548" s="13" t="str">
        <f>IF($A548="","",[1]!thsiFinD("ths_adjustment_nv_fund",C$3,$A548))</f>
        <v/>
      </c>
      <c r="D548" s="13" t="str">
        <f>IF($A548="","",[1]!thsiFinD("ths_adjustment_nv_fund",D$3,$A548))</f>
        <v/>
      </c>
      <c r="E548" s="13" t="str">
        <f>IF($A548="","",[1]!thsiFinD("ths_adjustment_nv_fund",E$3,$A548))</f>
        <v/>
      </c>
      <c r="F548" s="13" t="str">
        <f>IF($A548="","",[1]!thsiFinD("ths_adjustment_nv_fund",F$3,$A548))</f>
        <v/>
      </c>
      <c r="G548" s="13" t="str">
        <f>IF($A548="","",[1]!thsiFinD("ths_adjustment_nv_fund",G$3,$A548))</f>
        <v/>
      </c>
      <c r="H548" s="13" t="str">
        <f>IF($A548="","",[1]!thsiFinD("ths_adjustment_nv_fund",H$3,$A548))</f>
        <v/>
      </c>
      <c r="I548" s="13" t="str">
        <f>IF($A548="","",[1]!thsiFinD("ths_adjustment_nv_fund",I$3,$A548))</f>
        <v/>
      </c>
      <c r="J548" s="13" t="str">
        <f>IF($A548="","",[1]!thsiFinD("ths_adjustment_nv_fund",J$3,$A548))</f>
        <v/>
      </c>
      <c r="K548" s="13" t="str">
        <f>IF($A548="","",[1]!thsiFinD("ths_adjustment_nv_fund",K$3,$A548))</f>
        <v/>
      </c>
      <c r="L548" s="13" t="str">
        <f>IF($A548="","",[1]!thsiFinD("ths_adjustment_nv_fund",L$3,$A548))</f>
        <v/>
      </c>
      <c r="M548" s="13" t="str">
        <f>IF($A548="","",[1]!thsiFinD("ths_adjustment_nv_fund",M$3,$A548))</f>
        <v/>
      </c>
      <c r="N548" s="13" t="str">
        <f>IF($A548="","",[1]!thsiFinD("ths_adjustment_nv_fund",N$3,$A548))</f>
        <v/>
      </c>
      <c r="O548" s="13" t="str">
        <f>IF($A548="","",[1]!thsiFinD("ths_adjustment_nv_fund",O$3,$A548))</f>
        <v/>
      </c>
      <c r="P548" s="13" t="str">
        <f>IF($A548="","",[1]!thsiFinD("ths_adjustment_nv_fund",P$3,$A548))</f>
        <v/>
      </c>
      <c r="Q548" s="13" t="str">
        <f>IF($A548="","",[1]!thsiFinD("ths_adjustment_nv_fund",Q$3,$A548))</f>
        <v/>
      </c>
      <c r="R548" s="13" t="str">
        <f>IF($A548="","",[1]!thsiFinD("ths_adjustment_nv_fund",R$3,$A548))</f>
        <v/>
      </c>
      <c r="S548" s="13" t="str">
        <f>IF($A548="","",[1]!thsiFinD("ths_adjustment_nv_fund",S$3,$A548))</f>
        <v/>
      </c>
      <c r="T548" s="13" t="str">
        <f>IF($A548="","",[1]!thsiFinD("ths_adjustment_nv_fund",T$3,$A548))</f>
        <v/>
      </c>
      <c r="U548" s="13" t="str">
        <f>IF($A548="","",[1]!thsiFinD("ths_adjustment_nv_fund",U$3,$A548))</f>
        <v/>
      </c>
      <c r="V548" s="13" t="str">
        <f>IF($A548="","",[1]!thsiFinD("ths_adjustment_nv_fund",V$3,$A548))</f>
        <v/>
      </c>
      <c r="W548" s="13" t="str">
        <f>IF($A548="","",[1]!thsiFinD("ths_adjustment_nv_fund",W$3,$A548))</f>
        <v/>
      </c>
      <c r="X548" s="13" t="str">
        <f>IF($A548="","",[1]!thsiFinD("ths_adjustment_nv_fund",X$3,$A548))</f>
        <v/>
      </c>
      <c r="Y548" s="13" t="str">
        <f>IF($A548="","",[1]!thsiFinD("ths_adjustment_nv_fund",Y$3,$A548))</f>
        <v/>
      </c>
      <c r="Z548" s="13" t="str">
        <f>IF($A548="","",[1]!thsiFinD("ths_adjustment_nv_fund",Z$3,$A548))</f>
        <v/>
      </c>
      <c r="AA548" s="13" t="str">
        <f>IF($A548="","",[1]!thsiFinD("ths_adjustment_nv_fund",AA$3,$A548))</f>
        <v/>
      </c>
      <c r="AB548" s="13">
        <f>IF($A548="","",[1]!thsiFinD("ths_adjustment_nv_fund",AB$3,$A548))</f>
        <v/>
      </c>
      <c r="AC548" s="13">
        <f>IF($A548="","",[1]!thsiFinD("ths_adjustment_nv_fund",AC$3,$A548))</f>
        <v/>
      </c>
      <c r="AD548" s="13">
        <f>IF($A548="","",[1]!thsiFinD("ths_adjustment_nv_fund",AD$3,$A548))</f>
        <v/>
      </c>
      <c r="AE548" s="13">
        <f>IF($A548="","",[1]!thsiFinD("ths_adjustment_nv_fund",AE$3,$A548))</f>
        <v/>
      </c>
      <c r="AF548" s="13">
        <f>IF($A548="","",[1]!thsiFinD("ths_adjustment_nv_fund",AF$3,$A548))</f>
        <v/>
      </c>
      <c r="AG548" s="13">
        <f>IF($A548="","",[1]!thsiFinD("ths_adjustment_nv_fund",AG$3,$A548))</f>
        <v/>
      </c>
      <c r="AH548" s="13">
        <f>IF($A548="","",[1]!thsiFinD("ths_adjustment_nv_fund",AH$3,$A548))</f>
        <v/>
      </c>
      <c r="AI548" s="13">
        <f>IF($A548="","",[1]!thsiFinD("ths_adjustment_nv_fund",AI$3,$A548))</f>
        <v/>
      </c>
      <c r="AJ548" s="13">
        <f>IF($A548="","",[1]!thsiFinD("ths_adjustment_nv_fund",AJ$3,$A548))</f>
        <v/>
      </c>
      <c r="AK548" s="13">
        <f>IF($A548="","",[1]!thsiFinD("ths_adjustment_nv_fund",AK$3,$A548))</f>
        <v/>
      </c>
      <c r="AL548" s="13">
        <f>IF($A548="","",[1]!thsiFinD("ths_adjustment_nv_fund",AL$3,$A548))</f>
        <v/>
      </c>
    </row>
    <row r="549" spans="2:28">
      <c r="B549" s="13" t="str">
        <f>IF($A549="","",[1]!thsiFinD("ths_adjustment_nv_fund",B$3,$A549))</f>
        <v/>
      </c>
      <c r="C549" s="13" t="str">
        <f>IF($A549="","",[1]!thsiFinD("ths_adjustment_nv_fund",C$3,$A549))</f>
        <v/>
      </c>
      <c r="D549" s="13" t="str">
        <f>IF($A549="","",[1]!thsiFinD("ths_adjustment_nv_fund",D$3,$A549))</f>
        <v/>
      </c>
      <c r="E549" s="13" t="str">
        <f>IF($A549="","",[1]!thsiFinD("ths_adjustment_nv_fund",E$3,$A549))</f>
        <v/>
      </c>
      <c r="F549" s="13" t="str">
        <f>IF($A549="","",[1]!thsiFinD("ths_adjustment_nv_fund",F$3,$A549))</f>
        <v/>
      </c>
      <c r="G549" s="13" t="str">
        <f>IF($A549="","",[1]!thsiFinD("ths_adjustment_nv_fund",G$3,$A549))</f>
        <v/>
      </c>
      <c r="H549" s="13" t="str">
        <f>IF($A549="","",[1]!thsiFinD("ths_adjustment_nv_fund",H$3,$A549))</f>
        <v/>
      </c>
      <c r="I549" s="13" t="str">
        <f>IF($A549="","",[1]!thsiFinD("ths_adjustment_nv_fund",I$3,$A549))</f>
        <v/>
      </c>
      <c r="J549" s="13" t="str">
        <f>IF($A549="","",[1]!thsiFinD("ths_adjustment_nv_fund",J$3,$A549))</f>
        <v/>
      </c>
      <c r="K549" s="13" t="str">
        <f>IF($A549="","",[1]!thsiFinD("ths_adjustment_nv_fund",K$3,$A549))</f>
        <v/>
      </c>
      <c r="L549" s="13" t="str">
        <f>IF($A549="","",[1]!thsiFinD("ths_adjustment_nv_fund",L$3,$A549))</f>
        <v/>
      </c>
      <c r="M549" s="13" t="str">
        <f>IF($A549="","",[1]!thsiFinD("ths_adjustment_nv_fund",M$3,$A549))</f>
        <v/>
      </c>
      <c r="N549" s="13" t="str">
        <f>IF($A549="","",[1]!thsiFinD("ths_adjustment_nv_fund",N$3,$A549))</f>
        <v/>
      </c>
      <c r="O549" s="13" t="str">
        <f>IF($A549="","",[1]!thsiFinD("ths_adjustment_nv_fund",O$3,$A549))</f>
        <v/>
      </c>
      <c r="P549" s="13" t="str">
        <f>IF($A549="","",[1]!thsiFinD("ths_adjustment_nv_fund",P$3,$A549))</f>
        <v/>
      </c>
      <c r="Q549" s="13" t="str">
        <f>IF($A549="","",[1]!thsiFinD("ths_adjustment_nv_fund",Q$3,$A549))</f>
        <v/>
      </c>
      <c r="R549" s="13" t="str">
        <f>IF($A549="","",[1]!thsiFinD("ths_adjustment_nv_fund",R$3,$A549))</f>
        <v/>
      </c>
      <c r="S549" s="13" t="str">
        <f>IF($A549="","",[1]!thsiFinD("ths_adjustment_nv_fund",S$3,$A549))</f>
        <v/>
      </c>
      <c r="T549" s="13" t="str">
        <f>IF($A549="","",[1]!thsiFinD("ths_adjustment_nv_fund",T$3,$A549))</f>
        <v/>
      </c>
      <c r="U549" s="13" t="str">
        <f>IF($A549="","",[1]!thsiFinD("ths_adjustment_nv_fund",U$3,$A549))</f>
        <v/>
      </c>
      <c r="V549" s="13" t="str">
        <f>IF($A549="","",[1]!thsiFinD("ths_adjustment_nv_fund",V$3,$A549))</f>
        <v/>
      </c>
      <c r="W549" s="13" t="str">
        <f>IF($A549="","",[1]!thsiFinD("ths_adjustment_nv_fund",W$3,$A549))</f>
        <v/>
      </c>
      <c r="X549" s="13" t="str">
        <f>IF($A549="","",[1]!thsiFinD("ths_adjustment_nv_fund",X$3,$A549))</f>
        <v/>
      </c>
      <c r="Y549" s="13" t="str">
        <f>IF($A549="","",[1]!thsiFinD("ths_adjustment_nv_fund",Y$3,$A549))</f>
        <v/>
      </c>
      <c r="Z549" s="13" t="str">
        <f>IF($A549="","",[1]!thsiFinD("ths_adjustment_nv_fund",Z$3,$A549))</f>
        <v/>
      </c>
      <c r="AA549" s="13" t="str">
        <f>IF($A549="","",[1]!thsiFinD("ths_adjustment_nv_fund",AA$3,$A549))</f>
        <v/>
      </c>
      <c r="AB549" s="13">
        <f>IF($A549="","",[1]!thsiFinD("ths_adjustment_nv_fund",AB$3,$A549))</f>
        <v/>
      </c>
      <c r="AC549" s="13">
        <f>IF($A549="","",[1]!thsiFinD("ths_adjustment_nv_fund",AC$3,$A549))</f>
        <v/>
      </c>
      <c r="AD549" s="13">
        <f>IF($A549="","",[1]!thsiFinD("ths_adjustment_nv_fund",AD$3,$A549))</f>
        <v/>
      </c>
      <c r="AE549" s="13">
        <f>IF($A549="","",[1]!thsiFinD("ths_adjustment_nv_fund",AE$3,$A549))</f>
        <v/>
      </c>
      <c r="AF549" s="13">
        <f>IF($A549="","",[1]!thsiFinD("ths_adjustment_nv_fund",AF$3,$A549))</f>
        <v/>
      </c>
      <c r="AG549" s="13">
        <f>IF($A549="","",[1]!thsiFinD("ths_adjustment_nv_fund",AG$3,$A549))</f>
        <v/>
      </c>
      <c r="AH549" s="13">
        <f>IF($A549="","",[1]!thsiFinD("ths_adjustment_nv_fund",AH$3,$A549))</f>
        <v/>
      </c>
      <c r="AI549" s="13">
        <f>IF($A549="","",[1]!thsiFinD("ths_adjustment_nv_fund",AI$3,$A549))</f>
        <v/>
      </c>
      <c r="AJ549" s="13">
        <f>IF($A549="","",[1]!thsiFinD("ths_adjustment_nv_fund",AJ$3,$A549))</f>
        <v/>
      </c>
      <c r="AK549" s="13">
        <f>IF($A549="","",[1]!thsiFinD("ths_adjustment_nv_fund",AK$3,$A549))</f>
        <v/>
      </c>
      <c r="AL549" s="13">
        <f>IF($A549="","",[1]!thsiFinD("ths_adjustment_nv_fund",AL$3,$A549))</f>
        <v/>
      </c>
    </row>
    <row r="550" spans="2:28">
      <c r="B550" s="13" t="str">
        <f>IF($A550="","",[1]!thsiFinD("ths_adjustment_nv_fund",B$3,$A550))</f>
        <v/>
      </c>
      <c r="C550" s="13" t="str">
        <f>IF($A550="","",[1]!thsiFinD("ths_adjustment_nv_fund",C$3,$A550))</f>
        <v/>
      </c>
      <c r="D550" s="13" t="str">
        <f>IF($A550="","",[1]!thsiFinD("ths_adjustment_nv_fund",D$3,$A550))</f>
        <v/>
      </c>
      <c r="E550" s="13" t="str">
        <f>IF($A550="","",[1]!thsiFinD("ths_adjustment_nv_fund",E$3,$A550))</f>
        <v/>
      </c>
      <c r="F550" s="13" t="str">
        <f>IF($A550="","",[1]!thsiFinD("ths_adjustment_nv_fund",F$3,$A550))</f>
        <v/>
      </c>
      <c r="G550" s="13" t="str">
        <f>IF($A550="","",[1]!thsiFinD("ths_adjustment_nv_fund",G$3,$A550))</f>
        <v/>
      </c>
      <c r="H550" s="13" t="str">
        <f>IF($A550="","",[1]!thsiFinD("ths_adjustment_nv_fund",H$3,$A550))</f>
        <v/>
      </c>
      <c r="I550" s="13" t="str">
        <f>IF($A550="","",[1]!thsiFinD("ths_adjustment_nv_fund",I$3,$A550))</f>
        <v/>
      </c>
      <c r="J550" s="13" t="str">
        <f>IF($A550="","",[1]!thsiFinD("ths_adjustment_nv_fund",J$3,$A550))</f>
        <v/>
      </c>
      <c r="K550" s="13" t="str">
        <f>IF($A550="","",[1]!thsiFinD("ths_adjustment_nv_fund",K$3,$A550))</f>
        <v/>
      </c>
      <c r="L550" s="13" t="str">
        <f>IF($A550="","",[1]!thsiFinD("ths_adjustment_nv_fund",L$3,$A550))</f>
        <v/>
      </c>
      <c r="M550" s="13" t="str">
        <f>IF($A550="","",[1]!thsiFinD("ths_adjustment_nv_fund",M$3,$A550))</f>
        <v/>
      </c>
      <c r="N550" s="13" t="str">
        <f>IF($A550="","",[1]!thsiFinD("ths_adjustment_nv_fund",N$3,$A550))</f>
        <v/>
      </c>
      <c r="O550" s="13" t="str">
        <f>IF($A550="","",[1]!thsiFinD("ths_adjustment_nv_fund",O$3,$A550))</f>
        <v/>
      </c>
      <c r="P550" s="13" t="str">
        <f>IF($A550="","",[1]!thsiFinD("ths_adjustment_nv_fund",P$3,$A550))</f>
        <v/>
      </c>
      <c r="Q550" s="13" t="str">
        <f>IF($A550="","",[1]!thsiFinD("ths_adjustment_nv_fund",Q$3,$A550))</f>
        <v/>
      </c>
      <c r="R550" s="13" t="str">
        <f>IF($A550="","",[1]!thsiFinD("ths_adjustment_nv_fund",R$3,$A550))</f>
        <v/>
      </c>
      <c r="S550" s="13" t="str">
        <f>IF($A550="","",[1]!thsiFinD("ths_adjustment_nv_fund",S$3,$A550))</f>
        <v/>
      </c>
      <c r="T550" s="13" t="str">
        <f>IF($A550="","",[1]!thsiFinD("ths_adjustment_nv_fund",T$3,$A550))</f>
        <v/>
      </c>
      <c r="U550" s="13" t="str">
        <f>IF($A550="","",[1]!thsiFinD("ths_adjustment_nv_fund",U$3,$A550))</f>
        <v/>
      </c>
      <c r="V550" s="13" t="str">
        <f>IF($A550="","",[1]!thsiFinD("ths_adjustment_nv_fund",V$3,$A550))</f>
        <v/>
      </c>
      <c r="W550" s="13" t="str">
        <f>IF($A550="","",[1]!thsiFinD("ths_adjustment_nv_fund",W$3,$A550))</f>
        <v/>
      </c>
      <c r="X550" s="13" t="str">
        <f>IF($A550="","",[1]!thsiFinD("ths_adjustment_nv_fund",X$3,$A550))</f>
        <v/>
      </c>
      <c r="Y550" s="13" t="str">
        <f>IF($A550="","",[1]!thsiFinD("ths_adjustment_nv_fund",Y$3,$A550))</f>
        <v/>
      </c>
      <c r="Z550" s="13" t="str">
        <f>IF($A550="","",[1]!thsiFinD("ths_adjustment_nv_fund",Z$3,$A550))</f>
        <v/>
      </c>
      <c r="AA550" s="13" t="str">
        <f>IF($A550="","",[1]!thsiFinD("ths_adjustment_nv_fund",AA$3,$A550))</f>
        <v/>
      </c>
      <c r="AB550" s="13">
        <f>IF($A550="","",[1]!thsiFinD("ths_adjustment_nv_fund",AB$3,$A550))</f>
        <v/>
      </c>
      <c r="AC550" s="13">
        <f>IF($A550="","",[1]!thsiFinD("ths_adjustment_nv_fund",AC$3,$A550))</f>
        <v/>
      </c>
      <c r="AD550" s="13">
        <f>IF($A550="","",[1]!thsiFinD("ths_adjustment_nv_fund",AD$3,$A550))</f>
        <v/>
      </c>
      <c r="AE550" s="13">
        <f>IF($A550="","",[1]!thsiFinD("ths_adjustment_nv_fund",AE$3,$A550))</f>
        <v/>
      </c>
      <c r="AF550" s="13">
        <f>IF($A550="","",[1]!thsiFinD("ths_adjustment_nv_fund",AF$3,$A550))</f>
        <v/>
      </c>
      <c r="AG550" s="13">
        <f>IF($A550="","",[1]!thsiFinD("ths_adjustment_nv_fund",AG$3,$A550))</f>
        <v/>
      </c>
      <c r="AH550" s="13">
        <f>IF($A550="","",[1]!thsiFinD("ths_adjustment_nv_fund",AH$3,$A550))</f>
        <v/>
      </c>
      <c r="AI550" s="13">
        <f>IF($A550="","",[1]!thsiFinD("ths_adjustment_nv_fund",AI$3,$A550))</f>
        <v/>
      </c>
      <c r="AJ550" s="13">
        <f>IF($A550="","",[1]!thsiFinD("ths_adjustment_nv_fund",AJ$3,$A550))</f>
        <v/>
      </c>
      <c r="AK550" s="13">
        <f>IF($A550="","",[1]!thsiFinD("ths_adjustment_nv_fund",AK$3,$A550))</f>
        <v/>
      </c>
      <c r="AL550" s="13">
        <f>IF($A550="","",[1]!thsiFinD("ths_adjustment_nv_fund",AL$3,$A550))</f>
        <v/>
      </c>
    </row>
    <row r="551" spans="2:28">
      <c r="B551" s="13" t="str">
        <f>IF($A551="","",[1]!thsiFinD("ths_adjustment_nv_fund",B$3,$A551))</f>
        <v/>
      </c>
      <c r="C551" s="13" t="str">
        <f>IF($A551="","",[1]!thsiFinD("ths_adjustment_nv_fund",C$3,$A551))</f>
        <v/>
      </c>
      <c r="D551" s="13" t="str">
        <f>IF($A551="","",[1]!thsiFinD("ths_adjustment_nv_fund",D$3,$A551))</f>
        <v/>
      </c>
      <c r="E551" s="13" t="str">
        <f>IF($A551="","",[1]!thsiFinD("ths_adjustment_nv_fund",E$3,$A551))</f>
        <v/>
      </c>
      <c r="F551" s="13" t="str">
        <f>IF($A551="","",[1]!thsiFinD("ths_adjustment_nv_fund",F$3,$A551))</f>
        <v/>
      </c>
      <c r="G551" s="13" t="str">
        <f>IF($A551="","",[1]!thsiFinD("ths_adjustment_nv_fund",G$3,$A551))</f>
        <v/>
      </c>
      <c r="H551" s="13" t="str">
        <f>IF($A551="","",[1]!thsiFinD("ths_adjustment_nv_fund",H$3,$A551))</f>
        <v/>
      </c>
      <c r="I551" s="13" t="str">
        <f>IF($A551="","",[1]!thsiFinD("ths_adjustment_nv_fund",I$3,$A551))</f>
        <v/>
      </c>
      <c r="J551" s="13" t="str">
        <f>IF($A551="","",[1]!thsiFinD("ths_adjustment_nv_fund",J$3,$A551))</f>
        <v/>
      </c>
      <c r="K551" s="13" t="str">
        <f>IF($A551="","",[1]!thsiFinD("ths_adjustment_nv_fund",K$3,$A551))</f>
        <v/>
      </c>
      <c r="L551" s="13" t="str">
        <f>IF($A551="","",[1]!thsiFinD("ths_adjustment_nv_fund",L$3,$A551))</f>
        <v/>
      </c>
      <c r="M551" s="13" t="str">
        <f>IF($A551="","",[1]!thsiFinD("ths_adjustment_nv_fund",M$3,$A551))</f>
        <v/>
      </c>
      <c r="N551" s="13" t="str">
        <f>IF($A551="","",[1]!thsiFinD("ths_adjustment_nv_fund",N$3,$A551))</f>
        <v/>
      </c>
      <c r="O551" s="13" t="str">
        <f>IF($A551="","",[1]!thsiFinD("ths_adjustment_nv_fund",O$3,$A551))</f>
        <v/>
      </c>
      <c r="P551" s="13" t="str">
        <f>IF($A551="","",[1]!thsiFinD("ths_adjustment_nv_fund",P$3,$A551))</f>
        <v/>
      </c>
      <c r="Q551" s="13" t="str">
        <f>IF($A551="","",[1]!thsiFinD("ths_adjustment_nv_fund",Q$3,$A551))</f>
        <v/>
      </c>
      <c r="R551" s="13" t="str">
        <f>IF($A551="","",[1]!thsiFinD("ths_adjustment_nv_fund",R$3,$A551))</f>
        <v/>
      </c>
      <c r="S551" s="13" t="str">
        <f>IF($A551="","",[1]!thsiFinD("ths_adjustment_nv_fund",S$3,$A551))</f>
        <v/>
      </c>
      <c r="T551" s="13" t="str">
        <f>IF($A551="","",[1]!thsiFinD("ths_adjustment_nv_fund",T$3,$A551))</f>
        <v/>
      </c>
      <c r="U551" s="13" t="str">
        <f>IF($A551="","",[1]!thsiFinD("ths_adjustment_nv_fund",U$3,$A551))</f>
        <v/>
      </c>
      <c r="V551" s="13" t="str">
        <f>IF($A551="","",[1]!thsiFinD("ths_adjustment_nv_fund",V$3,$A551))</f>
        <v/>
      </c>
      <c r="W551" s="13" t="str">
        <f>IF($A551="","",[1]!thsiFinD("ths_adjustment_nv_fund",W$3,$A551))</f>
        <v/>
      </c>
      <c r="X551" s="13" t="str">
        <f>IF($A551="","",[1]!thsiFinD("ths_adjustment_nv_fund",X$3,$A551))</f>
        <v/>
      </c>
      <c r="Y551" s="13" t="str">
        <f>IF($A551="","",[1]!thsiFinD("ths_adjustment_nv_fund",Y$3,$A551))</f>
        <v/>
      </c>
      <c r="Z551" s="13" t="str">
        <f>IF($A551="","",[1]!thsiFinD("ths_adjustment_nv_fund",Z$3,$A551))</f>
        <v/>
      </c>
      <c r="AA551" s="13" t="str">
        <f>IF($A551="","",[1]!thsiFinD("ths_adjustment_nv_fund",AA$3,$A551))</f>
        <v/>
      </c>
      <c r="AB551" s="13">
        <f>IF($A551="","",[1]!thsiFinD("ths_adjustment_nv_fund",AB$3,$A551))</f>
        <v/>
      </c>
      <c r="AC551" s="13">
        <f>IF($A551="","",[1]!thsiFinD("ths_adjustment_nv_fund",AC$3,$A551))</f>
        <v/>
      </c>
      <c r="AD551" s="13">
        <f>IF($A551="","",[1]!thsiFinD("ths_adjustment_nv_fund",AD$3,$A551))</f>
        <v/>
      </c>
      <c r="AE551" s="13">
        <f>IF($A551="","",[1]!thsiFinD("ths_adjustment_nv_fund",AE$3,$A551))</f>
        <v/>
      </c>
      <c r="AF551" s="13">
        <f>IF($A551="","",[1]!thsiFinD("ths_adjustment_nv_fund",AF$3,$A551))</f>
        <v/>
      </c>
      <c r="AG551" s="13">
        <f>IF($A551="","",[1]!thsiFinD("ths_adjustment_nv_fund",AG$3,$A551))</f>
        <v/>
      </c>
      <c r="AH551" s="13">
        <f>IF($A551="","",[1]!thsiFinD("ths_adjustment_nv_fund",AH$3,$A551))</f>
        <v/>
      </c>
      <c r="AI551" s="13">
        <f>IF($A551="","",[1]!thsiFinD("ths_adjustment_nv_fund",AI$3,$A551))</f>
        <v/>
      </c>
      <c r="AJ551" s="13">
        <f>IF($A551="","",[1]!thsiFinD("ths_adjustment_nv_fund",AJ$3,$A551))</f>
        <v/>
      </c>
      <c r="AK551" s="13">
        <f>IF($A551="","",[1]!thsiFinD("ths_adjustment_nv_fund",AK$3,$A551))</f>
        <v/>
      </c>
      <c r="AL551" s="13">
        <f>IF($A551="","",[1]!thsiFinD("ths_adjustment_nv_fund",AL$3,$A551))</f>
        <v/>
      </c>
    </row>
    <row r="552" spans="2:28">
      <c r="B552" s="13" t="str">
        <f>IF($A552="","",[1]!thsiFinD("ths_adjustment_nv_fund",B$3,$A552))</f>
        <v/>
      </c>
      <c r="C552" s="13" t="str">
        <f>IF($A552="","",[1]!thsiFinD("ths_adjustment_nv_fund",C$3,$A552))</f>
        <v/>
      </c>
      <c r="D552" s="13" t="str">
        <f>IF($A552="","",[1]!thsiFinD("ths_adjustment_nv_fund",D$3,$A552))</f>
        <v/>
      </c>
      <c r="E552" s="13" t="str">
        <f>IF($A552="","",[1]!thsiFinD("ths_adjustment_nv_fund",E$3,$A552))</f>
        <v/>
      </c>
      <c r="F552" s="13" t="str">
        <f>IF($A552="","",[1]!thsiFinD("ths_adjustment_nv_fund",F$3,$A552))</f>
        <v/>
      </c>
      <c r="G552" s="13" t="str">
        <f>IF($A552="","",[1]!thsiFinD("ths_adjustment_nv_fund",G$3,$A552))</f>
        <v/>
      </c>
      <c r="H552" s="13" t="str">
        <f>IF($A552="","",[1]!thsiFinD("ths_adjustment_nv_fund",H$3,$A552))</f>
        <v/>
      </c>
      <c r="I552" s="13" t="str">
        <f>IF($A552="","",[1]!thsiFinD("ths_adjustment_nv_fund",I$3,$A552))</f>
        <v/>
      </c>
      <c r="J552" s="13" t="str">
        <f>IF($A552="","",[1]!thsiFinD("ths_adjustment_nv_fund",J$3,$A552))</f>
        <v/>
      </c>
      <c r="K552" s="13" t="str">
        <f>IF($A552="","",[1]!thsiFinD("ths_adjustment_nv_fund",K$3,$A552))</f>
        <v/>
      </c>
      <c r="L552" s="13" t="str">
        <f>IF($A552="","",[1]!thsiFinD("ths_adjustment_nv_fund",L$3,$A552))</f>
        <v/>
      </c>
      <c r="M552" s="13" t="str">
        <f>IF($A552="","",[1]!thsiFinD("ths_adjustment_nv_fund",M$3,$A552))</f>
        <v/>
      </c>
      <c r="N552" s="13" t="str">
        <f>IF($A552="","",[1]!thsiFinD("ths_adjustment_nv_fund",N$3,$A552))</f>
        <v/>
      </c>
      <c r="O552" s="13" t="str">
        <f>IF($A552="","",[1]!thsiFinD("ths_adjustment_nv_fund",O$3,$A552))</f>
        <v/>
      </c>
      <c r="P552" s="13" t="str">
        <f>IF($A552="","",[1]!thsiFinD("ths_adjustment_nv_fund",P$3,$A552))</f>
        <v/>
      </c>
      <c r="Q552" s="13" t="str">
        <f>IF($A552="","",[1]!thsiFinD("ths_adjustment_nv_fund",Q$3,$A552))</f>
        <v/>
      </c>
      <c r="R552" s="13" t="str">
        <f>IF($A552="","",[1]!thsiFinD("ths_adjustment_nv_fund",R$3,$A552))</f>
        <v/>
      </c>
      <c r="S552" s="13" t="str">
        <f>IF($A552="","",[1]!thsiFinD("ths_adjustment_nv_fund",S$3,$A552))</f>
        <v/>
      </c>
      <c r="T552" s="13" t="str">
        <f>IF($A552="","",[1]!thsiFinD("ths_adjustment_nv_fund",T$3,$A552))</f>
        <v/>
      </c>
      <c r="U552" s="13" t="str">
        <f>IF($A552="","",[1]!thsiFinD("ths_adjustment_nv_fund",U$3,$A552))</f>
        <v/>
      </c>
      <c r="V552" s="13" t="str">
        <f>IF($A552="","",[1]!thsiFinD("ths_adjustment_nv_fund",V$3,$A552))</f>
        <v/>
      </c>
      <c r="W552" s="13" t="str">
        <f>IF($A552="","",[1]!thsiFinD("ths_adjustment_nv_fund",W$3,$A552))</f>
        <v/>
      </c>
      <c r="X552" s="13" t="str">
        <f>IF($A552="","",[1]!thsiFinD("ths_adjustment_nv_fund",X$3,$A552))</f>
        <v/>
      </c>
      <c r="Y552" s="13" t="str">
        <f>IF($A552="","",[1]!thsiFinD("ths_adjustment_nv_fund",Y$3,$A552))</f>
        <v/>
      </c>
      <c r="Z552" s="13" t="str">
        <f>IF($A552="","",[1]!thsiFinD("ths_adjustment_nv_fund",Z$3,$A552))</f>
        <v/>
      </c>
      <c r="AA552" s="13" t="str">
        <f>IF($A552="","",[1]!thsiFinD("ths_adjustment_nv_fund",AA$3,$A552))</f>
        <v/>
      </c>
      <c r="AB552" s="13">
        <f>IF($A552="","",[1]!thsiFinD("ths_adjustment_nv_fund",AB$3,$A552))</f>
        <v/>
      </c>
      <c r="AC552" s="13">
        <f>IF($A552="","",[1]!thsiFinD("ths_adjustment_nv_fund",AC$3,$A552))</f>
        <v/>
      </c>
      <c r="AD552" s="13">
        <f>IF($A552="","",[1]!thsiFinD("ths_adjustment_nv_fund",AD$3,$A552))</f>
        <v/>
      </c>
      <c r="AE552" s="13">
        <f>IF($A552="","",[1]!thsiFinD("ths_adjustment_nv_fund",AE$3,$A552))</f>
        <v/>
      </c>
      <c r="AF552" s="13">
        <f>IF($A552="","",[1]!thsiFinD("ths_adjustment_nv_fund",AF$3,$A552))</f>
        <v/>
      </c>
      <c r="AG552" s="13">
        <f>IF($A552="","",[1]!thsiFinD("ths_adjustment_nv_fund",AG$3,$A552))</f>
        <v/>
      </c>
      <c r="AH552" s="13">
        <f>IF($A552="","",[1]!thsiFinD("ths_adjustment_nv_fund",AH$3,$A552))</f>
        <v/>
      </c>
      <c r="AI552" s="13">
        <f>IF($A552="","",[1]!thsiFinD("ths_adjustment_nv_fund",AI$3,$A552))</f>
        <v/>
      </c>
      <c r="AJ552" s="13">
        <f>IF($A552="","",[1]!thsiFinD("ths_adjustment_nv_fund",AJ$3,$A552))</f>
        <v/>
      </c>
      <c r="AK552" s="13">
        <f>IF($A552="","",[1]!thsiFinD("ths_adjustment_nv_fund",AK$3,$A552))</f>
        <v/>
      </c>
      <c r="AL552" s="13">
        <f>IF($A552="","",[1]!thsiFinD("ths_adjustment_nv_fund",AL$3,$A552))</f>
        <v/>
      </c>
    </row>
    <row r="553" spans="2:28">
      <c r="B553" s="13" t="str">
        <f>IF($A553="","",[1]!thsiFinD("ths_adjustment_nv_fund",B$3,$A553))</f>
        <v/>
      </c>
      <c r="C553" s="13" t="str">
        <f>IF($A553="","",[1]!thsiFinD("ths_adjustment_nv_fund",C$3,$A553))</f>
        <v/>
      </c>
      <c r="D553" s="13" t="str">
        <f>IF($A553="","",[1]!thsiFinD("ths_adjustment_nv_fund",D$3,$A553))</f>
        <v/>
      </c>
      <c r="E553" s="13" t="str">
        <f>IF($A553="","",[1]!thsiFinD("ths_adjustment_nv_fund",E$3,$A553))</f>
        <v/>
      </c>
      <c r="F553" s="13" t="str">
        <f>IF($A553="","",[1]!thsiFinD("ths_adjustment_nv_fund",F$3,$A553))</f>
        <v/>
      </c>
      <c r="G553" s="13" t="str">
        <f>IF($A553="","",[1]!thsiFinD("ths_adjustment_nv_fund",G$3,$A553))</f>
        <v/>
      </c>
      <c r="H553" s="13" t="str">
        <f>IF($A553="","",[1]!thsiFinD("ths_adjustment_nv_fund",H$3,$A553))</f>
        <v/>
      </c>
      <c r="I553" s="13" t="str">
        <f>IF($A553="","",[1]!thsiFinD("ths_adjustment_nv_fund",I$3,$A553))</f>
        <v/>
      </c>
      <c r="J553" s="13" t="str">
        <f>IF($A553="","",[1]!thsiFinD("ths_adjustment_nv_fund",J$3,$A553))</f>
        <v/>
      </c>
      <c r="K553" s="13" t="str">
        <f>IF($A553="","",[1]!thsiFinD("ths_adjustment_nv_fund",K$3,$A553))</f>
        <v/>
      </c>
      <c r="L553" s="13" t="str">
        <f>IF($A553="","",[1]!thsiFinD("ths_adjustment_nv_fund",L$3,$A553))</f>
        <v/>
      </c>
      <c r="M553" s="13" t="str">
        <f>IF($A553="","",[1]!thsiFinD("ths_adjustment_nv_fund",M$3,$A553))</f>
        <v/>
      </c>
      <c r="N553" s="13" t="str">
        <f>IF($A553="","",[1]!thsiFinD("ths_adjustment_nv_fund",N$3,$A553))</f>
        <v/>
      </c>
      <c r="O553" s="13" t="str">
        <f>IF($A553="","",[1]!thsiFinD("ths_adjustment_nv_fund",O$3,$A553))</f>
        <v/>
      </c>
      <c r="P553" s="13" t="str">
        <f>IF($A553="","",[1]!thsiFinD("ths_adjustment_nv_fund",P$3,$A553))</f>
        <v/>
      </c>
      <c r="Q553" s="13" t="str">
        <f>IF($A553="","",[1]!thsiFinD("ths_adjustment_nv_fund",Q$3,$A553))</f>
        <v/>
      </c>
      <c r="R553" s="13" t="str">
        <f>IF($A553="","",[1]!thsiFinD("ths_adjustment_nv_fund",R$3,$A553))</f>
        <v/>
      </c>
      <c r="S553" s="13" t="str">
        <f>IF($A553="","",[1]!thsiFinD("ths_adjustment_nv_fund",S$3,$A553))</f>
        <v/>
      </c>
      <c r="T553" s="13" t="str">
        <f>IF($A553="","",[1]!thsiFinD("ths_adjustment_nv_fund",T$3,$A553))</f>
        <v/>
      </c>
      <c r="U553" s="13" t="str">
        <f>IF($A553="","",[1]!thsiFinD("ths_adjustment_nv_fund",U$3,$A553))</f>
        <v/>
      </c>
      <c r="V553" s="13" t="str">
        <f>IF($A553="","",[1]!thsiFinD("ths_adjustment_nv_fund",V$3,$A553))</f>
        <v/>
      </c>
      <c r="W553" s="13" t="str">
        <f>IF($A553="","",[1]!thsiFinD("ths_adjustment_nv_fund",W$3,$A553))</f>
        <v/>
      </c>
      <c r="X553" s="13" t="str">
        <f>IF($A553="","",[1]!thsiFinD("ths_adjustment_nv_fund",X$3,$A553))</f>
        <v/>
      </c>
      <c r="Y553" s="13" t="str">
        <f>IF($A553="","",[1]!thsiFinD("ths_adjustment_nv_fund",Y$3,$A553))</f>
        <v/>
      </c>
      <c r="Z553" s="13" t="str">
        <f>IF($A553="","",[1]!thsiFinD("ths_adjustment_nv_fund",Z$3,$A553))</f>
        <v/>
      </c>
      <c r="AA553" s="13" t="str">
        <f>IF($A553="","",[1]!thsiFinD("ths_adjustment_nv_fund",AA$3,$A553))</f>
        <v/>
      </c>
      <c r="AB553" s="13">
        <f>IF($A553="","",[1]!thsiFinD("ths_adjustment_nv_fund",AB$3,$A553))</f>
        <v/>
      </c>
      <c r="AC553" s="13">
        <f>IF($A553="","",[1]!thsiFinD("ths_adjustment_nv_fund",AC$3,$A553))</f>
        <v/>
      </c>
      <c r="AD553" s="13">
        <f>IF($A553="","",[1]!thsiFinD("ths_adjustment_nv_fund",AD$3,$A553))</f>
        <v/>
      </c>
      <c r="AE553" s="13">
        <f>IF($A553="","",[1]!thsiFinD("ths_adjustment_nv_fund",AE$3,$A553))</f>
        <v/>
      </c>
      <c r="AF553" s="13">
        <f>IF($A553="","",[1]!thsiFinD("ths_adjustment_nv_fund",AF$3,$A553))</f>
        <v/>
      </c>
      <c r="AG553" s="13">
        <f>IF($A553="","",[1]!thsiFinD("ths_adjustment_nv_fund",AG$3,$A553))</f>
        <v/>
      </c>
      <c r="AH553" s="13">
        <f>IF($A553="","",[1]!thsiFinD("ths_adjustment_nv_fund",AH$3,$A553))</f>
        <v/>
      </c>
      <c r="AI553" s="13">
        <f>IF($A553="","",[1]!thsiFinD("ths_adjustment_nv_fund",AI$3,$A553))</f>
        <v/>
      </c>
      <c r="AJ553" s="13">
        <f>IF($A553="","",[1]!thsiFinD("ths_adjustment_nv_fund",AJ$3,$A553))</f>
        <v/>
      </c>
      <c r="AK553" s="13">
        <f>IF($A553="","",[1]!thsiFinD("ths_adjustment_nv_fund",AK$3,$A553))</f>
        <v/>
      </c>
      <c r="AL553" s="13">
        <f>IF($A553="","",[1]!thsiFinD("ths_adjustment_nv_fund",AL$3,$A553))</f>
        <v/>
      </c>
    </row>
    <row r="554" spans="2:28">
      <c r="B554" s="13" t="str">
        <f>IF($A554="","",[1]!thsiFinD("ths_adjustment_nv_fund",B$3,$A554))</f>
        <v/>
      </c>
      <c r="C554" s="13" t="str">
        <f>IF($A554="","",[1]!thsiFinD("ths_adjustment_nv_fund",C$3,$A554))</f>
        <v/>
      </c>
      <c r="D554" s="13" t="str">
        <f>IF($A554="","",[1]!thsiFinD("ths_adjustment_nv_fund",D$3,$A554))</f>
        <v/>
      </c>
      <c r="E554" s="13" t="str">
        <f>IF($A554="","",[1]!thsiFinD("ths_adjustment_nv_fund",E$3,$A554))</f>
        <v/>
      </c>
      <c r="F554" s="13" t="str">
        <f>IF($A554="","",[1]!thsiFinD("ths_adjustment_nv_fund",F$3,$A554))</f>
        <v/>
      </c>
      <c r="G554" s="13" t="str">
        <f>IF($A554="","",[1]!thsiFinD("ths_adjustment_nv_fund",G$3,$A554))</f>
        <v/>
      </c>
      <c r="H554" s="13" t="str">
        <f>IF($A554="","",[1]!thsiFinD("ths_adjustment_nv_fund",H$3,$A554))</f>
        <v/>
      </c>
      <c r="I554" s="13" t="str">
        <f>IF($A554="","",[1]!thsiFinD("ths_adjustment_nv_fund",I$3,$A554))</f>
        <v/>
      </c>
      <c r="J554" s="13" t="str">
        <f>IF($A554="","",[1]!thsiFinD("ths_adjustment_nv_fund",J$3,$A554))</f>
        <v/>
      </c>
      <c r="K554" s="13" t="str">
        <f>IF($A554="","",[1]!thsiFinD("ths_adjustment_nv_fund",K$3,$A554))</f>
        <v/>
      </c>
      <c r="L554" s="13" t="str">
        <f>IF($A554="","",[1]!thsiFinD("ths_adjustment_nv_fund",L$3,$A554))</f>
        <v/>
      </c>
      <c r="M554" s="13" t="str">
        <f>IF($A554="","",[1]!thsiFinD("ths_adjustment_nv_fund",M$3,$A554))</f>
        <v/>
      </c>
      <c r="N554" s="13" t="str">
        <f>IF($A554="","",[1]!thsiFinD("ths_adjustment_nv_fund",N$3,$A554))</f>
        <v/>
      </c>
      <c r="O554" s="13" t="str">
        <f>IF($A554="","",[1]!thsiFinD("ths_adjustment_nv_fund",O$3,$A554))</f>
        <v/>
      </c>
      <c r="P554" s="13" t="str">
        <f>IF($A554="","",[1]!thsiFinD("ths_adjustment_nv_fund",P$3,$A554))</f>
        <v/>
      </c>
      <c r="Q554" s="13" t="str">
        <f>IF($A554="","",[1]!thsiFinD("ths_adjustment_nv_fund",Q$3,$A554))</f>
        <v/>
      </c>
      <c r="R554" s="13" t="str">
        <f>IF($A554="","",[1]!thsiFinD("ths_adjustment_nv_fund",R$3,$A554))</f>
        <v/>
      </c>
      <c r="S554" s="13" t="str">
        <f>IF($A554="","",[1]!thsiFinD("ths_adjustment_nv_fund",S$3,$A554))</f>
        <v/>
      </c>
      <c r="T554" s="13" t="str">
        <f>IF($A554="","",[1]!thsiFinD("ths_adjustment_nv_fund",T$3,$A554))</f>
        <v/>
      </c>
      <c r="U554" s="13" t="str">
        <f>IF($A554="","",[1]!thsiFinD("ths_adjustment_nv_fund",U$3,$A554))</f>
        <v/>
      </c>
      <c r="V554" s="13" t="str">
        <f>IF($A554="","",[1]!thsiFinD("ths_adjustment_nv_fund",V$3,$A554))</f>
        <v/>
      </c>
      <c r="W554" s="13" t="str">
        <f>IF($A554="","",[1]!thsiFinD("ths_adjustment_nv_fund",W$3,$A554))</f>
        <v/>
      </c>
      <c r="X554" s="13" t="str">
        <f>IF($A554="","",[1]!thsiFinD("ths_adjustment_nv_fund",X$3,$A554))</f>
        <v/>
      </c>
      <c r="Y554" s="13" t="str">
        <f>IF($A554="","",[1]!thsiFinD("ths_adjustment_nv_fund",Y$3,$A554))</f>
        <v/>
      </c>
      <c r="Z554" s="13" t="str">
        <f>IF($A554="","",[1]!thsiFinD("ths_adjustment_nv_fund",Z$3,$A554))</f>
        <v/>
      </c>
      <c r="AA554" s="13" t="str">
        <f>IF($A554="","",[1]!thsiFinD("ths_adjustment_nv_fund",AA$3,$A554))</f>
        <v/>
      </c>
      <c r="AB554" s="13">
        <f>IF($A554="","",[1]!thsiFinD("ths_adjustment_nv_fund",AB$3,$A554))</f>
        <v/>
      </c>
      <c r="AC554" s="13">
        <f>IF($A554="","",[1]!thsiFinD("ths_adjustment_nv_fund",AC$3,$A554))</f>
        <v/>
      </c>
      <c r="AD554" s="13">
        <f>IF($A554="","",[1]!thsiFinD("ths_adjustment_nv_fund",AD$3,$A554))</f>
        <v/>
      </c>
      <c r="AE554" s="13">
        <f>IF($A554="","",[1]!thsiFinD("ths_adjustment_nv_fund",AE$3,$A554))</f>
        <v/>
      </c>
      <c r="AF554" s="13">
        <f>IF($A554="","",[1]!thsiFinD("ths_adjustment_nv_fund",AF$3,$A554))</f>
        <v/>
      </c>
      <c r="AG554" s="13">
        <f>IF($A554="","",[1]!thsiFinD("ths_adjustment_nv_fund",AG$3,$A554))</f>
        <v/>
      </c>
      <c r="AH554" s="13">
        <f>IF($A554="","",[1]!thsiFinD("ths_adjustment_nv_fund",AH$3,$A554))</f>
        <v/>
      </c>
      <c r="AI554" s="13">
        <f>IF($A554="","",[1]!thsiFinD("ths_adjustment_nv_fund",AI$3,$A554))</f>
        <v/>
      </c>
      <c r="AJ554" s="13">
        <f>IF($A554="","",[1]!thsiFinD("ths_adjustment_nv_fund",AJ$3,$A554))</f>
        <v/>
      </c>
      <c r="AK554" s="13">
        <f>IF($A554="","",[1]!thsiFinD("ths_adjustment_nv_fund",AK$3,$A554))</f>
        <v/>
      </c>
      <c r="AL554" s="13">
        <f>IF($A554="","",[1]!thsiFinD("ths_adjustment_nv_fund",AL$3,$A554))</f>
        <v/>
      </c>
    </row>
    <row r="555" spans="2:28">
      <c r="B555" s="13" t="str">
        <f>IF($A555="","",[1]!thsiFinD("ths_adjustment_nv_fund",B$3,$A555))</f>
        <v/>
      </c>
      <c r="C555" s="13" t="str">
        <f>IF($A555="","",[1]!thsiFinD("ths_adjustment_nv_fund",C$3,$A555))</f>
        <v/>
      </c>
      <c r="D555" s="13" t="str">
        <f>IF($A555="","",[1]!thsiFinD("ths_adjustment_nv_fund",D$3,$A555))</f>
        <v/>
      </c>
      <c r="E555" s="13" t="str">
        <f>IF($A555="","",[1]!thsiFinD("ths_adjustment_nv_fund",E$3,$A555))</f>
        <v/>
      </c>
      <c r="F555" s="13" t="str">
        <f>IF($A555="","",[1]!thsiFinD("ths_adjustment_nv_fund",F$3,$A555))</f>
        <v/>
      </c>
      <c r="G555" s="13" t="str">
        <f>IF($A555="","",[1]!thsiFinD("ths_adjustment_nv_fund",G$3,$A555))</f>
        <v/>
      </c>
      <c r="H555" s="13" t="str">
        <f>IF($A555="","",[1]!thsiFinD("ths_adjustment_nv_fund",H$3,$A555))</f>
        <v/>
      </c>
      <c r="I555" s="13" t="str">
        <f>IF($A555="","",[1]!thsiFinD("ths_adjustment_nv_fund",I$3,$A555))</f>
        <v/>
      </c>
      <c r="J555" s="13" t="str">
        <f>IF($A555="","",[1]!thsiFinD("ths_adjustment_nv_fund",J$3,$A555))</f>
        <v/>
      </c>
      <c r="K555" s="13" t="str">
        <f>IF($A555="","",[1]!thsiFinD("ths_adjustment_nv_fund",K$3,$A555))</f>
        <v/>
      </c>
      <c r="L555" s="13" t="str">
        <f>IF($A555="","",[1]!thsiFinD("ths_adjustment_nv_fund",L$3,$A555))</f>
        <v/>
      </c>
      <c r="M555" s="13" t="str">
        <f>IF($A555="","",[1]!thsiFinD("ths_adjustment_nv_fund",M$3,$A555))</f>
        <v/>
      </c>
      <c r="N555" s="13" t="str">
        <f>IF($A555="","",[1]!thsiFinD("ths_adjustment_nv_fund",N$3,$A555))</f>
        <v/>
      </c>
      <c r="O555" s="13" t="str">
        <f>IF($A555="","",[1]!thsiFinD("ths_adjustment_nv_fund",O$3,$A555))</f>
        <v/>
      </c>
      <c r="P555" s="13" t="str">
        <f>IF($A555="","",[1]!thsiFinD("ths_adjustment_nv_fund",P$3,$A555))</f>
        <v/>
      </c>
      <c r="Q555" s="13" t="str">
        <f>IF($A555="","",[1]!thsiFinD("ths_adjustment_nv_fund",Q$3,$A555))</f>
        <v/>
      </c>
      <c r="R555" s="13" t="str">
        <f>IF($A555="","",[1]!thsiFinD("ths_adjustment_nv_fund",R$3,$A555))</f>
        <v/>
      </c>
      <c r="S555" s="13" t="str">
        <f>IF($A555="","",[1]!thsiFinD("ths_adjustment_nv_fund",S$3,$A555))</f>
        <v/>
      </c>
      <c r="T555" s="13" t="str">
        <f>IF($A555="","",[1]!thsiFinD("ths_adjustment_nv_fund",T$3,$A555))</f>
        <v/>
      </c>
      <c r="U555" s="13" t="str">
        <f>IF($A555="","",[1]!thsiFinD("ths_adjustment_nv_fund",U$3,$A555))</f>
        <v/>
      </c>
      <c r="V555" s="13" t="str">
        <f>IF($A555="","",[1]!thsiFinD("ths_adjustment_nv_fund",V$3,$A555))</f>
        <v/>
      </c>
      <c r="W555" s="13" t="str">
        <f>IF($A555="","",[1]!thsiFinD("ths_adjustment_nv_fund",W$3,$A555))</f>
        <v/>
      </c>
      <c r="X555" s="13" t="str">
        <f>IF($A555="","",[1]!thsiFinD("ths_adjustment_nv_fund",X$3,$A555))</f>
        <v/>
      </c>
      <c r="Y555" s="13" t="str">
        <f>IF($A555="","",[1]!thsiFinD("ths_adjustment_nv_fund",Y$3,$A555))</f>
        <v/>
      </c>
      <c r="Z555" s="13" t="str">
        <f>IF($A555="","",[1]!thsiFinD("ths_adjustment_nv_fund",Z$3,$A555))</f>
        <v/>
      </c>
      <c r="AA555" s="13" t="str">
        <f>IF($A555="","",[1]!thsiFinD("ths_adjustment_nv_fund",AA$3,$A555))</f>
        <v/>
      </c>
      <c r="AB555" s="13">
        <f>IF($A555="","",[1]!thsiFinD("ths_adjustment_nv_fund",AB$3,$A555))</f>
        <v/>
      </c>
      <c r="AC555" s="13">
        <f>IF($A555="","",[1]!thsiFinD("ths_adjustment_nv_fund",AC$3,$A555))</f>
        <v/>
      </c>
      <c r="AD555" s="13">
        <f>IF($A555="","",[1]!thsiFinD("ths_adjustment_nv_fund",AD$3,$A555))</f>
        <v/>
      </c>
      <c r="AE555" s="13">
        <f>IF($A555="","",[1]!thsiFinD("ths_adjustment_nv_fund",AE$3,$A555))</f>
        <v/>
      </c>
      <c r="AF555" s="13">
        <f>IF($A555="","",[1]!thsiFinD("ths_adjustment_nv_fund",AF$3,$A555))</f>
        <v/>
      </c>
      <c r="AG555" s="13">
        <f>IF($A555="","",[1]!thsiFinD("ths_adjustment_nv_fund",AG$3,$A555))</f>
        <v/>
      </c>
      <c r="AH555" s="13">
        <f>IF($A555="","",[1]!thsiFinD("ths_adjustment_nv_fund",AH$3,$A555))</f>
        <v/>
      </c>
      <c r="AI555" s="13">
        <f>IF($A555="","",[1]!thsiFinD("ths_adjustment_nv_fund",AI$3,$A555))</f>
        <v/>
      </c>
      <c r="AJ555" s="13">
        <f>IF($A555="","",[1]!thsiFinD("ths_adjustment_nv_fund",AJ$3,$A555))</f>
        <v/>
      </c>
      <c r="AK555" s="13">
        <f>IF($A555="","",[1]!thsiFinD("ths_adjustment_nv_fund",AK$3,$A555))</f>
        <v/>
      </c>
      <c r="AL555" s="13">
        <f>IF($A555="","",[1]!thsiFinD("ths_adjustment_nv_fund",AL$3,$A555))</f>
        <v/>
      </c>
    </row>
    <row r="556" spans="2:28">
      <c r="B556" s="13" t="str">
        <f>IF($A556="","",[1]!thsiFinD("ths_adjustment_nv_fund",B$3,$A556))</f>
        <v/>
      </c>
      <c r="C556" s="13" t="str">
        <f>IF($A556="","",[1]!thsiFinD("ths_adjustment_nv_fund",C$3,$A556))</f>
        <v/>
      </c>
      <c r="D556" s="13" t="str">
        <f>IF($A556="","",[1]!thsiFinD("ths_adjustment_nv_fund",D$3,$A556))</f>
        <v/>
      </c>
      <c r="E556" s="13" t="str">
        <f>IF($A556="","",[1]!thsiFinD("ths_adjustment_nv_fund",E$3,$A556))</f>
        <v/>
      </c>
      <c r="F556" s="13" t="str">
        <f>IF($A556="","",[1]!thsiFinD("ths_adjustment_nv_fund",F$3,$A556))</f>
        <v/>
      </c>
      <c r="G556" s="13" t="str">
        <f>IF($A556="","",[1]!thsiFinD("ths_adjustment_nv_fund",G$3,$A556))</f>
        <v/>
      </c>
      <c r="H556" s="13" t="str">
        <f>IF($A556="","",[1]!thsiFinD("ths_adjustment_nv_fund",H$3,$A556))</f>
        <v/>
      </c>
      <c r="I556" s="13" t="str">
        <f>IF($A556="","",[1]!thsiFinD("ths_adjustment_nv_fund",I$3,$A556))</f>
        <v/>
      </c>
      <c r="J556" s="13" t="str">
        <f>IF($A556="","",[1]!thsiFinD("ths_adjustment_nv_fund",J$3,$A556))</f>
        <v/>
      </c>
      <c r="K556" s="13" t="str">
        <f>IF($A556="","",[1]!thsiFinD("ths_adjustment_nv_fund",K$3,$A556))</f>
        <v/>
      </c>
      <c r="L556" s="13" t="str">
        <f>IF($A556="","",[1]!thsiFinD("ths_adjustment_nv_fund",L$3,$A556))</f>
        <v/>
      </c>
      <c r="M556" s="13" t="str">
        <f>IF($A556="","",[1]!thsiFinD("ths_adjustment_nv_fund",M$3,$A556))</f>
        <v/>
      </c>
      <c r="N556" s="13" t="str">
        <f>IF($A556="","",[1]!thsiFinD("ths_adjustment_nv_fund",N$3,$A556))</f>
        <v/>
      </c>
      <c r="O556" s="13" t="str">
        <f>IF($A556="","",[1]!thsiFinD("ths_adjustment_nv_fund",O$3,$A556))</f>
        <v/>
      </c>
      <c r="P556" s="13" t="str">
        <f>IF($A556="","",[1]!thsiFinD("ths_adjustment_nv_fund",P$3,$A556))</f>
        <v/>
      </c>
      <c r="Q556" s="13" t="str">
        <f>IF($A556="","",[1]!thsiFinD("ths_adjustment_nv_fund",Q$3,$A556))</f>
        <v/>
      </c>
      <c r="R556" s="13" t="str">
        <f>IF($A556="","",[1]!thsiFinD("ths_adjustment_nv_fund",R$3,$A556))</f>
        <v/>
      </c>
      <c r="S556" s="13" t="str">
        <f>IF($A556="","",[1]!thsiFinD("ths_adjustment_nv_fund",S$3,$A556))</f>
        <v/>
      </c>
      <c r="T556" s="13" t="str">
        <f>IF($A556="","",[1]!thsiFinD("ths_adjustment_nv_fund",T$3,$A556))</f>
        <v/>
      </c>
      <c r="U556" s="13" t="str">
        <f>IF($A556="","",[1]!thsiFinD("ths_adjustment_nv_fund",U$3,$A556))</f>
        <v/>
      </c>
      <c r="V556" s="13" t="str">
        <f>IF($A556="","",[1]!thsiFinD("ths_adjustment_nv_fund",V$3,$A556))</f>
        <v/>
      </c>
      <c r="W556" s="13" t="str">
        <f>IF($A556="","",[1]!thsiFinD("ths_adjustment_nv_fund",W$3,$A556))</f>
        <v/>
      </c>
      <c r="X556" s="13" t="str">
        <f>IF($A556="","",[1]!thsiFinD("ths_adjustment_nv_fund",X$3,$A556))</f>
        <v/>
      </c>
      <c r="Y556" s="13" t="str">
        <f>IF($A556="","",[1]!thsiFinD("ths_adjustment_nv_fund",Y$3,$A556))</f>
        <v/>
      </c>
      <c r="Z556" s="13" t="str">
        <f>IF($A556="","",[1]!thsiFinD("ths_adjustment_nv_fund",Z$3,$A556))</f>
        <v/>
      </c>
      <c r="AA556" s="13" t="str">
        <f>IF($A556="","",[1]!thsiFinD("ths_adjustment_nv_fund",AA$3,$A556))</f>
        <v/>
      </c>
      <c r="AB556" s="13">
        <f>IF($A556="","",[1]!thsiFinD("ths_adjustment_nv_fund",AB$3,$A556))</f>
        <v/>
      </c>
      <c r="AC556" s="13">
        <f>IF($A556="","",[1]!thsiFinD("ths_adjustment_nv_fund",AC$3,$A556))</f>
        <v/>
      </c>
      <c r="AD556" s="13">
        <f>IF($A556="","",[1]!thsiFinD("ths_adjustment_nv_fund",AD$3,$A556))</f>
        <v/>
      </c>
      <c r="AE556" s="13">
        <f>IF($A556="","",[1]!thsiFinD("ths_adjustment_nv_fund",AE$3,$A556))</f>
        <v/>
      </c>
      <c r="AF556" s="13">
        <f>IF($A556="","",[1]!thsiFinD("ths_adjustment_nv_fund",AF$3,$A556))</f>
        <v/>
      </c>
      <c r="AG556" s="13">
        <f>IF($A556="","",[1]!thsiFinD("ths_adjustment_nv_fund",AG$3,$A556))</f>
        <v/>
      </c>
      <c r="AH556" s="13">
        <f>IF($A556="","",[1]!thsiFinD("ths_adjustment_nv_fund",AH$3,$A556))</f>
        <v/>
      </c>
      <c r="AI556" s="13">
        <f>IF($A556="","",[1]!thsiFinD("ths_adjustment_nv_fund",AI$3,$A556))</f>
        <v/>
      </c>
      <c r="AJ556" s="13">
        <f>IF($A556="","",[1]!thsiFinD("ths_adjustment_nv_fund",AJ$3,$A556))</f>
        <v/>
      </c>
      <c r="AK556" s="13">
        <f>IF($A556="","",[1]!thsiFinD("ths_adjustment_nv_fund",AK$3,$A556))</f>
        <v/>
      </c>
      <c r="AL556" s="13">
        <f>IF($A556="","",[1]!thsiFinD("ths_adjustment_nv_fund",AL$3,$A556))</f>
        <v/>
      </c>
    </row>
    <row r="557" spans="2:28">
      <c r="B557" s="13" t="str">
        <f>IF($A557="","",[1]!thsiFinD("ths_adjustment_nv_fund",B$3,$A557))</f>
        <v/>
      </c>
      <c r="C557" s="13" t="str">
        <f>IF($A557="","",[1]!thsiFinD("ths_adjustment_nv_fund",C$3,$A557))</f>
        <v/>
      </c>
      <c r="D557" s="13" t="str">
        <f>IF($A557="","",[1]!thsiFinD("ths_adjustment_nv_fund",D$3,$A557))</f>
        <v/>
      </c>
      <c r="E557" s="13" t="str">
        <f>IF($A557="","",[1]!thsiFinD("ths_adjustment_nv_fund",E$3,$A557))</f>
        <v/>
      </c>
      <c r="F557" s="13" t="str">
        <f>IF($A557="","",[1]!thsiFinD("ths_adjustment_nv_fund",F$3,$A557))</f>
        <v/>
      </c>
      <c r="G557" s="13" t="str">
        <f>IF($A557="","",[1]!thsiFinD("ths_adjustment_nv_fund",G$3,$A557))</f>
        <v/>
      </c>
      <c r="H557" s="13" t="str">
        <f>IF($A557="","",[1]!thsiFinD("ths_adjustment_nv_fund",H$3,$A557))</f>
        <v/>
      </c>
      <c r="I557" s="13" t="str">
        <f>IF($A557="","",[1]!thsiFinD("ths_adjustment_nv_fund",I$3,$A557))</f>
        <v/>
      </c>
      <c r="J557" s="13" t="str">
        <f>IF($A557="","",[1]!thsiFinD("ths_adjustment_nv_fund",J$3,$A557))</f>
        <v/>
      </c>
      <c r="K557" s="13" t="str">
        <f>IF($A557="","",[1]!thsiFinD("ths_adjustment_nv_fund",K$3,$A557))</f>
        <v/>
      </c>
      <c r="L557" s="13" t="str">
        <f>IF($A557="","",[1]!thsiFinD("ths_adjustment_nv_fund",L$3,$A557))</f>
        <v/>
      </c>
      <c r="M557" s="13" t="str">
        <f>IF($A557="","",[1]!thsiFinD("ths_adjustment_nv_fund",M$3,$A557))</f>
        <v/>
      </c>
      <c r="N557" s="13" t="str">
        <f>IF($A557="","",[1]!thsiFinD("ths_adjustment_nv_fund",N$3,$A557))</f>
        <v/>
      </c>
      <c r="O557" s="13" t="str">
        <f>IF($A557="","",[1]!thsiFinD("ths_adjustment_nv_fund",O$3,$A557))</f>
        <v/>
      </c>
      <c r="P557" s="13" t="str">
        <f>IF($A557="","",[1]!thsiFinD("ths_adjustment_nv_fund",P$3,$A557))</f>
        <v/>
      </c>
      <c r="Q557" s="13" t="str">
        <f>IF($A557="","",[1]!thsiFinD("ths_adjustment_nv_fund",Q$3,$A557))</f>
        <v/>
      </c>
      <c r="R557" s="13" t="str">
        <f>IF($A557="","",[1]!thsiFinD("ths_adjustment_nv_fund",R$3,$A557))</f>
        <v/>
      </c>
      <c r="S557" s="13" t="str">
        <f>IF($A557="","",[1]!thsiFinD("ths_adjustment_nv_fund",S$3,$A557))</f>
        <v/>
      </c>
      <c r="T557" s="13" t="str">
        <f>IF($A557="","",[1]!thsiFinD("ths_adjustment_nv_fund",T$3,$A557))</f>
        <v/>
      </c>
      <c r="U557" s="13" t="str">
        <f>IF($A557="","",[1]!thsiFinD("ths_adjustment_nv_fund",U$3,$A557))</f>
        <v/>
      </c>
      <c r="V557" s="13" t="str">
        <f>IF($A557="","",[1]!thsiFinD("ths_adjustment_nv_fund",V$3,$A557))</f>
        <v/>
      </c>
      <c r="W557" s="13" t="str">
        <f>IF($A557="","",[1]!thsiFinD("ths_adjustment_nv_fund",W$3,$A557))</f>
        <v/>
      </c>
      <c r="X557" s="13" t="str">
        <f>IF($A557="","",[1]!thsiFinD("ths_adjustment_nv_fund",X$3,$A557))</f>
        <v/>
      </c>
      <c r="Y557" s="13" t="str">
        <f>IF($A557="","",[1]!thsiFinD("ths_adjustment_nv_fund",Y$3,$A557))</f>
        <v/>
      </c>
      <c r="Z557" s="13" t="str">
        <f>IF($A557="","",[1]!thsiFinD("ths_adjustment_nv_fund",Z$3,$A557))</f>
        <v/>
      </c>
      <c r="AA557" s="13" t="str">
        <f>IF($A557="","",[1]!thsiFinD("ths_adjustment_nv_fund",AA$3,$A557))</f>
        <v/>
      </c>
      <c r="AB557" s="13">
        <f>IF($A557="","",[1]!thsiFinD("ths_adjustment_nv_fund",AB$3,$A557))</f>
        <v/>
      </c>
      <c r="AC557" s="13">
        <f>IF($A557="","",[1]!thsiFinD("ths_adjustment_nv_fund",AC$3,$A557))</f>
        <v/>
      </c>
      <c r="AD557" s="13">
        <f>IF($A557="","",[1]!thsiFinD("ths_adjustment_nv_fund",AD$3,$A557))</f>
        <v/>
      </c>
      <c r="AE557" s="13">
        <f>IF($A557="","",[1]!thsiFinD("ths_adjustment_nv_fund",AE$3,$A557))</f>
        <v/>
      </c>
      <c r="AF557" s="13">
        <f>IF($A557="","",[1]!thsiFinD("ths_adjustment_nv_fund",AF$3,$A557))</f>
        <v/>
      </c>
      <c r="AG557" s="13">
        <f>IF($A557="","",[1]!thsiFinD("ths_adjustment_nv_fund",AG$3,$A557))</f>
        <v/>
      </c>
      <c r="AH557" s="13">
        <f>IF($A557="","",[1]!thsiFinD("ths_adjustment_nv_fund",AH$3,$A557))</f>
        <v/>
      </c>
      <c r="AI557" s="13">
        <f>IF($A557="","",[1]!thsiFinD("ths_adjustment_nv_fund",AI$3,$A557))</f>
        <v/>
      </c>
      <c r="AJ557" s="13">
        <f>IF($A557="","",[1]!thsiFinD("ths_adjustment_nv_fund",AJ$3,$A557))</f>
        <v/>
      </c>
      <c r="AK557" s="13">
        <f>IF($A557="","",[1]!thsiFinD("ths_adjustment_nv_fund",AK$3,$A557))</f>
        <v/>
      </c>
      <c r="AL557" s="13">
        <f>IF($A557="","",[1]!thsiFinD("ths_adjustment_nv_fund",AL$3,$A557))</f>
        <v/>
      </c>
    </row>
    <row r="558" spans="2:28">
      <c r="B558" s="13" t="str">
        <f>IF($A558="","",[1]!thsiFinD("ths_adjustment_nv_fund",B$3,$A558))</f>
        <v/>
      </c>
      <c r="C558" s="13" t="str">
        <f>IF($A558="","",[1]!thsiFinD("ths_adjustment_nv_fund",C$3,$A558))</f>
        <v/>
      </c>
      <c r="D558" s="13" t="str">
        <f>IF($A558="","",[1]!thsiFinD("ths_adjustment_nv_fund",D$3,$A558))</f>
        <v/>
      </c>
      <c r="E558" s="13" t="str">
        <f>IF($A558="","",[1]!thsiFinD("ths_adjustment_nv_fund",E$3,$A558))</f>
        <v/>
      </c>
      <c r="F558" s="13" t="str">
        <f>IF($A558="","",[1]!thsiFinD("ths_adjustment_nv_fund",F$3,$A558))</f>
        <v/>
      </c>
      <c r="G558" s="13" t="str">
        <f>IF($A558="","",[1]!thsiFinD("ths_adjustment_nv_fund",G$3,$A558))</f>
        <v/>
      </c>
      <c r="H558" s="13" t="str">
        <f>IF($A558="","",[1]!thsiFinD("ths_adjustment_nv_fund",H$3,$A558))</f>
        <v/>
      </c>
      <c r="I558" s="13" t="str">
        <f>IF($A558="","",[1]!thsiFinD("ths_adjustment_nv_fund",I$3,$A558))</f>
        <v/>
      </c>
      <c r="J558" s="13" t="str">
        <f>IF($A558="","",[1]!thsiFinD("ths_adjustment_nv_fund",J$3,$A558))</f>
        <v/>
      </c>
      <c r="K558" s="13" t="str">
        <f>IF($A558="","",[1]!thsiFinD("ths_adjustment_nv_fund",K$3,$A558))</f>
        <v/>
      </c>
      <c r="L558" s="13" t="str">
        <f>IF($A558="","",[1]!thsiFinD("ths_adjustment_nv_fund",L$3,$A558))</f>
        <v/>
      </c>
      <c r="M558" s="13" t="str">
        <f>IF($A558="","",[1]!thsiFinD("ths_adjustment_nv_fund",M$3,$A558))</f>
        <v/>
      </c>
      <c r="N558" s="13" t="str">
        <f>IF($A558="","",[1]!thsiFinD("ths_adjustment_nv_fund",N$3,$A558))</f>
        <v/>
      </c>
      <c r="O558" s="13" t="str">
        <f>IF($A558="","",[1]!thsiFinD("ths_adjustment_nv_fund",O$3,$A558))</f>
        <v/>
      </c>
      <c r="P558" s="13" t="str">
        <f>IF($A558="","",[1]!thsiFinD("ths_adjustment_nv_fund",P$3,$A558))</f>
        <v/>
      </c>
      <c r="Q558" s="13" t="str">
        <f>IF($A558="","",[1]!thsiFinD("ths_adjustment_nv_fund",Q$3,$A558))</f>
        <v/>
      </c>
      <c r="R558" s="13" t="str">
        <f>IF($A558="","",[1]!thsiFinD("ths_adjustment_nv_fund",R$3,$A558))</f>
        <v/>
      </c>
      <c r="S558" s="13" t="str">
        <f>IF($A558="","",[1]!thsiFinD("ths_adjustment_nv_fund",S$3,$A558))</f>
        <v/>
      </c>
      <c r="T558" s="13" t="str">
        <f>IF($A558="","",[1]!thsiFinD("ths_adjustment_nv_fund",T$3,$A558))</f>
        <v/>
      </c>
      <c r="U558" s="13" t="str">
        <f>IF($A558="","",[1]!thsiFinD("ths_adjustment_nv_fund",U$3,$A558))</f>
        <v/>
      </c>
      <c r="V558" s="13" t="str">
        <f>IF($A558="","",[1]!thsiFinD("ths_adjustment_nv_fund",V$3,$A558))</f>
        <v/>
      </c>
      <c r="W558" s="13" t="str">
        <f>IF($A558="","",[1]!thsiFinD("ths_adjustment_nv_fund",W$3,$A558))</f>
        <v/>
      </c>
      <c r="X558" s="13" t="str">
        <f>IF($A558="","",[1]!thsiFinD("ths_adjustment_nv_fund",X$3,$A558))</f>
        <v/>
      </c>
      <c r="Y558" s="13" t="str">
        <f>IF($A558="","",[1]!thsiFinD("ths_adjustment_nv_fund",Y$3,$A558))</f>
        <v/>
      </c>
      <c r="Z558" s="13" t="str">
        <f>IF($A558="","",[1]!thsiFinD("ths_adjustment_nv_fund",Z$3,$A558))</f>
        <v/>
      </c>
      <c r="AA558" s="13" t="str">
        <f>IF($A558="","",[1]!thsiFinD("ths_adjustment_nv_fund",AA$3,$A558))</f>
        <v/>
      </c>
      <c r="AB558" s="13">
        <f>IF($A558="","",[1]!thsiFinD("ths_adjustment_nv_fund",AB$3,$A558))</f>
        <v/>
      </c>
      <c r="AC558" s="13">
        <f>IF($A558="","",[1]!thsiFinD("ths_adjustment_nv_fund",AC$3,$A558))</f>
        <v/>
      </c>
      <c r="AD558" s="13">
        <f>IF($A558="","",[1]!thsiFinD("ths_adjustment_nv_fund",AD$3,$A558))</f>
        <v/>
      </c>
      <c r="AE558" s="13">
        <f>IF($A558="","",[1]!thsiFinD("ths_adjustment_nv_fund",AE$3,$A558))</f>
        <v/>
      </c>
      <c r="AF558" s="13">
        <f>IF($A558="","",[1]!thsiFinD("ths_adjustment_nv_fund",AF$3,$A558))</f>
        <v/>
      </c>
      <c r="AG558" s="13">
        <f>IF($A558="","",[1]!thsiFinD("ths_adjustment_nv_fund",AG$3,$A558))</f>
        <v/>
      </c>
      <c r="AH558" s="13">
        <f>IF($A558="","",[1]!thsiFinD("ths_adjustment_nv_fund",AH$3,$A558))</f>
        <v/>
      </c>
      <c r="AI558" s="13">
        <f>IF($A558="","",[1]!thsiFinD("ths_adjustment_nv_fund",AI$3,$A558))</f>
        <v/>
      </c>
      <c r="AJ558" s="13">
        <f>IF($A558="","",[1]!thsiFinD("ths_adjustment_nv_fund",AJ$3,$A558))</f>
        <v/>
      </c>
      <c r="AK558" s="13">
        <f>IF($A558="","",[1]!thsiFinD("ths_adjustment_nv_fund",AK$3,$A558))</f>
        <v/>
      </c>
      <c r="AL558" s="13">
        <f>IF($A558="","",[1]!thsiFinD("ths_adjustment_nv_fund",AL$3,$A558))</f>
        <v/>
      </c>
    </row>
    <row r="559" spans="2:28">
      <c r="B559" s="13" t="str">
        <f>IF($A559="","",[1]!thsiFinD("ths_adjustment_nv_fund",B$3,$A559))</f>
        <v/>
      </c>
      <c r="C559" s="13" t="str">
        <f>IF($A559="","",[1]!thsiFinD("ths_adjustment_nv_fund",C$3,$A559))</f>
        <v/>
      </c>
      <c r="D559" s="13" t="str">
        <f>IF($A559="","",[1]!thsiFinD("ths_adjustment_nv_fund",D$3,$A559))</f>
        <v/>
      </c>
      <c r="E559" s="13" t="str">
        <f>IF($A559="","",[1]!thsiFinD("ths_adjustment_nv_fund",E$3,$A559))</f>
        <v/>
      </c>
      <c r="F559" s="13" t="str">
        <f>IF($A559="","",[1]!thsiFinD("ths_adjustment_nv_fund",F$3,$A559))</f>
        <v/>
      </c>
      <c r="G559" s="13" t="str">
        <f>IF($A559="","",[1]!thsiFinD("ths_adjustment_nv_fund",G$3,$A559))</f>
        <v/>
      </c>
      <c r="H559" s="13" t="str">
        <f>IF($A559="","",[1]!thsiFinD("ths_adjustment_nv_fund",H$3,$A559))</f>
        <v/>
      </c>
      <c r="I559" s="13" t="str">
        <f>IF($A559="","",[1]!thsiFinD("ths_adjustment_nv_fund",I$3,$A559))</f>
        <v/>
      </c>
      <c r="J559" s="13" t="str">
        <f>IF($A559="","",[1]!thsiFinD("ths_adjustment_nv_fund",J$3,$A559))</f>
        <v/>
      </c>
      <c r="K559" s="13" t="str">
        <f>IF($A559="","",[1]!thsiFinD("ths_adjustment_nv_fund",K$3,$A559))</f>
        <v/>
      </c>
      <c r="L559" s="13" t="str">
        <f>IF($A559="","",[1]!thsiFinD("ths_adjustment_nv_fund",L$3,$A559))</f>
        <v/>
      </c>
      <c r="M559" s="13" t="str">
        <f>IF($A559="","",[1]!thsiFinD("ths_adjustment_nv_fund",M$3,$A559))</f>
        <v/>
      </c>
      <c r="N559" s="13" t="str">
        <f>IF($A559="","",[1]!thsiFinD("ths_adjustment_nv_fund",N$3,$A559))</f>
        <v/>
      </c>
      <c r="O559" s="13" t="str">
        <f>IF($A559="","",[1]!thsiFinD("ths_adjustment_nv_fund",O$3,$A559))</f>
        <v/>
      </c>
      <c r="P559" s="13" t="str">
        <f>IF($A559="","",[1]!thsiFinD("ths_adjustment_nv_fund",P$3,$A559))</f>
        <v/>
      </c>
      <c r="Q559" s="13" t="str">
        <f>IF($A559="","",[1]!thsiFinD("ths_adjustment_nv_fund",Q$3,$A559))</f>
        <v/>
      </c>
      <c r="R559" s="13" t="str">
        <f>IF($A559="","",[1]!thsiFinD("ths_adjustment_nv_fund",R$3,$A559))</f>
        <v/>
      </c>
      <c r="S559" s="13" t="str">
        <f>IF($A559="","",[1]!thsiFinD("ths_adjustment_nv_fund",S$3,$A559))</f>
        <v/>
      </c>
      <c r="T559" s="13" t="str">
        <f>IF($A559="","",[1]!thsiFinD("ths_adjustment_nv_fund",T$3,$A559))</f>
        <v/>
      </c>
      <c r="U559" s="13" t="str">
        <f>IF($A559="","",[1]!thsiFinD("ths_adjustment_nv_fund",U$3,$A559))</f>
        <v/>
      </c>
      <c r="V559" s="13" t="str">
        <f>IF($A559="","",[1]!thsiFinD("ths_adjustment_nv_fund",V$3,$A559))</f>
        <v/>
      </c>
      <c r="W559" s="13" t="str">
        <f>IF($A559="","",[1]!thsiFinD("ths_adjustment_nv_fund",W$3,$A559))</f>
        <v/>
      </c>
      <c r="X559" s="13" t="str">
        <f>IF($A559="","",[1]!thsiFinD("ths_adjustment_nv_fund",X$3,$A559))</f>
        <v/>
      </c>
      <c r="Y559" s="13" t="str">
        <f>IF($A559="","",[1]!thsiFinD("ths_adjustment_nv_fund",Y$3,$A559))</f>
        <v/>
      </c>
      <c r="Z559" s="13" t="str">
        <f>IF($A559="","",[1]!thsiFinD("ths_adjustment_nv_fund",Z$3,$A559))</f>
        <v/>
      </c>
      <c r="AA559" s="13" t="str">
        <f>IF($A559="","",[1]!thsiFinD("ths_adjustment_nv_fund",AA$3,$A559))</f>
        <v/>
      </c>
      <c r="AB559" s="13">
        <f>IF($A559="","",[1]!thsiFinD("ths_adjustment_nv_fund",AB$3,$A559))</f>
        <v/>
      </c>
      <c r="AC559" s="13">
        <f>IF($A559="","",[1]!thsiFinD("ths_adjustment_nv_fund",AC$3,$A559))</f>
        <v/>
      </c>
      <c r="AD559" s="13">
        <f>IF($A559="","",[1]!thsiFinD("ths_adjustment_nv_fund",AD$3,$A559))</f>
        <v/>
      </c>
      <c r="AE559" s="13">
        <f>IF($A559="","",[1]!thsiFinD("ths_adjustment_nv_fund",AE$3,$A559))</f>
        <v/>
      </c>
      <c r="AF559" s="13">
        <f>IF($A559="","",[1]!thsiFinD("ths_adjustment_nv_fund",AF$3,$A559))</f>
        <v/>
      </c>
      <c r="AG559" s="13">
        <f>IF($A559="","",[1]!thsiFinD("ths_adjustment_nv_fund",AG$3,$A559))</f>
        <v/>
      </c>
      <c r="AH559" s="13">
        <f>IF($A559="","",[1]!thsiFinD("ths_adjustment_nv_fund",AH$3,$A559))</f>
        <v/>
      </c>
      <c r="AI559" s="13">
        <f>IF($A559="","",[1]!thsiFinD("ths_adjustment_nv_fund",AI$3,$A559))</f>
        <v/>
      </c>
      <c r="AJ559" s="13">
        <f>IF($A559="","",[1]!thsiFinD("ths_adjustment_nv_fund",AJ$3,$A559))</f>
        <v/>
      </c>
      <c r="AK559" s="13">
        <f>IF($A559="","",[1]!thsiFinD("ths_adjustment_nv_fund",AK$3,$A559))</f>
        <v/>
      </c>
      <c r="AL559" s="13">
        <f>IF($A559="","",[1]!thsiFinD("ths_adjustment_nv_fund",AL$3,$A559))</f>
        <v/>
      </c>
    </row>
    <row r="560" spans="2:28">
      <c r="B560" s="13" t="str">
        <f>IF($A560="","",[1]!thsiFinD("ths_adjustment_nv_fund",B$3,$A560))</f>
        <v/>
      </c>
      <c r="C560" s="13" t="str">
        <f>IF($A560="","",[1]!thsiFinD("ths_adjustment_nv_fund",C$3,$A560))</f>
        <v/>
      </c>
      <c r="D560" s="13" t="str">
        <f>IF($A560="","",[1]!thsiFinD("ths_adjustment_nv_fund",D$3,$A560))</f>
        <v/>
      </c>
      <c r="E560" s="13" t="str">
        <f>IF($A560="","",[1]!thsiFinD("ths_adjustment_nv_fund",E$3,$A560))</f>
        <v/>
      </c>
      <c r="F560" s="13" t="str">
        <f>IF($A560="","",[1]!thsiFinD("ths_adjustment_nv_fund",F$3,$A560))</f>
        <v/>
      </c>
      <c r="G560" s="13" t="str">
        <f>IF($A560="","",[1]!thsiFinD("ths_adjustment_nv_fund",G$3,$A560))</f>
        <v/>
      </c>
      <c r="H560" s="13" t="str">
        <f>IF($A560="","",[1]!thsiFinD("ths_adjustment_nv_fund",H$3,$A560))</f>
        <v/>
      </c>
      <c r="I560" s="13" t="str">
        <f>IF($A560="","",[1]!thsiFinD("ths_adjustment_nv_fund",I$3,$A560))</f>
        <v/>
      </c>
      <c r="J560" s="13" t="str">
        <f>IF($A560="","",[1]!thsiFinD("ths_adjustment_nv_fund",J$3,$A560))</f>
        <v/>
      </c>
      <c r="K560" s="13" t="str">
        <f>IF($A560="","",[1]!thsiFinD("ths_adjustment_nv_fund",K$3,$A560))</f>
        <v/>
      </c>
      <c r="L560" s="13" t="str">
        <f>IF($A560="","",[1]!thsiFinD("ths_adjustment_nv_fund",L$3,$A560))</f>
        <v/>
      </c>
      <c r="M560" s="13" t="str">
        <f>IF($A560="","",[1]!thsiFinD("ths_adjustment_nv_fund",M$3,$A560))</f>
        <v/>
      </c>
      <c r="N560" s="13" t="str">
        <f>IF($A560="","",[1]!thsiFinD("ths_adjustment_nv_fund",N$3,$A560))</f>
        <v/>
      </c>
      <c r="O560" s="13" t="str">
        <f>IF($A560="","",[1]!thsiFinD("ths_adjustment_nv_fund",O$3,$A560))</f>
        <v/>
      </c>
      <c r="P560" s="13" t="str">
        <f>IF($A560="","",[1]!thsiFinD("ths_adjustment_nv_fund",P$3,$A560))</f>
        <v/>
      </c>
      <c r="Q560" s="13" t="str">
        <f>IF($A560="","",[1]!thsiFinD("ths_adjustment_nv_fund",Q$3,$A560))</f>
        <v/>
      </c>
      <c r="R560" s="13" t="str">
        <f>IF($A560="","",[1]!thsiFinD("ths_adjustment_nv_fund",R$3,$A560))</f>
        <v/>
      </c>
      <c r="S560" s="13" t="str">
        <f>IF($A560="","",[1]!thsiFinD("ths_adjustment_nv_fund",S$3,$A560))</f>
        <v/>
      </c>
      <c r="T560" s="13" t="str">
        <f>IF($A560="","",[1]!thsiFinD("ths_adjustment_nv_fund",T$3,$A560))</f>
        <v/>
      </c>
      <c r="U560" s="13" t="str">
        <f>IF($A560="","",[1]!thsiFinD("ths_adjustment_nv_fund",U$3,$A560))</f>
        <v/>
      </c>
      <c r="V560" s="13" t="str">
        <f>IF($A560="","",[1]!thsiFinD("ths_adjustment_nv_fund",V$3,$A560))</f>
        <v/>
      </c>
      <c r="W560" s="13" t="str">
        <f>IF($A560="","",[1]!thsiFinD("ths_adjustment_nv_fund",W$3,$A560))</f>
        <v/>
      </c>
      <c r="X560" s="13" t="str">
        <f>IF($A560="","",[1]!thsiFinD("ths_adjustment_nv_fund",X$3,$A560))</f>
        <v/>
      </c>
      <c r="Y560" s="13" t="str">
        <f>IF($A560="","",[1]!thsiFinD("ths_adjustment_nv_fund",Y$3,$A560))</f>
        <v/>
      </c>
      <c r="Z560" s="13" t="str">
        <f>IF($A560="","",[1]!thsiFinD("ths_adjustment_nv_fund",Z$3,$A560))</f>
        <v/>
      </c>
      <c r="AA560" s="13" t="str">
        <f>IF($A560="","",[1]!thsiFinD("ths_adjustment_nv_fund",AA$3,$A560))</f>
        <v/>
      </c>
      <c r="AB560" s="13">
        <f>IF($A560="","",[1]!thsiFinD("ths_adjustment_nv_fund",AB$3,$A560))</f>
        <v/>
      </c>
      <c r="AC560" s="13">
        <f>IF($A560="","",[1]!thsiFinD("ths_adjustment_nv_fund",AC$3,$A560))</f>
        <v/>
      </c>
      <c r="AD560" s="13">
        <f>IF($A560="","",[1]!thsiFinD("ths_adjustment_nv_fund",AD$3,$A560))</f>
        <v/>
      </c>
      <c r="AE560" s="13">
        <f>IF($A560="","",[1]!thsiFinD("ths_adjustment_nv_fund",AE$3,$A560))</f>
        <v/>
      </c>
      <c r="AF560" s="13">
        <f>IF($A560="","",[1]!thsiFinD("ths_adjustment_nv_fund",AF$3,$A560))</f>
        <v/>
      </c>
      <c r="AG560" s="13">
        <f>IF($A560="","",[1]!thsiFinD("ths_adjustment_nv_fund",AG$3,$A560))</f>
        <v/>
      </c>
      <c r="AH560" s="13">
        <f>IF($A560="","",[1]!thsiFinD("ths_adjustment_nv_fund",AH$3,$A560))</f>
        <v/>
      </c>
      <c r="AI560" s="13">
        <f>IF($A560="","",[1]!thsiFinD("ths_adjustment_nv_fund",AI$3,$A560))</f>
        <v/>
      </c>
      <c r="AJ560" s="13">
        <f>IF($A560="","",[1]!thsiFinD("ths_adjustment_nv_fund",AJ$3,$A560))</f>
        <v/>
      </c>
      <c r="AK560" s="13">
        <f>IF($A560="","",[1]!thsiFinD("ths_adjustment_nv_fund",AK$3,$A560))</f>
        <v/>
      </c>
      <c r="AL560" s="13">
        <f>IF($A560="","",[1]!thsiFinD("ths_adjustment_nv_fund",AL$3,$A560))</f>
        <v/>
      </c>
    </row>
    <row r="561" spans="2:28">
      <c r="B561" s="13" t="str">
        <f>IF($A561="","",[1]!thsiFinD("ths_adjustment_nv_fund",B$3,$A561))</f>
        <v/>
      </c>
      <c r="C561" s="13" t="str">
        <f>IF($A561="","",[1]!thsiFinD("ths_adjustment_nv_fund",C$3,$A561))</f>
        <v/>
      </c>
      <c r="D561" s="13" t="str">
        <f>IF($A561="","",[1]!thsiFinD("ths_adjustment_nv_fund",D$3,$A561))</f>
        <v/>
      </c>
      <c r="E561" s="13" t="str">
        <f>IF($A561="","",[1]!thsiFinD("ths_adjustment_nv_fund",E$3,$A561))</f>
        <v/>
      </c>
      <c r="F561" s="13" t="str">
        <f>IF($A561="","",[1]!thsiFinD("ths_adjustment_nv_fund",F$3,$A561))</f>
        <v/>
      </c>
      <c r="G561" s="13" t="str">
        <f>IF($A561="","",[1]!thsiFinD("ths_adjustment_nv_fund",G$3,$A561))</f>
        <v/>
      </c>
      <c r="H561" s="13" t="str">
        <f>IF($A561="","",[1]!thsiFinD("ths_adjustment_nv_fund",H$3,$A561))</f>
        <v/>
      </c>
      <c r="I561" s="13" t="str">
        <f>IF($A561="","",[1]!thsiFinD("ths_adjustment_nv_fund",I$3,$A561))</f>
        <v/>
      </c>
      <c r="J561" s="13" t="str">
        <f>IF($A561="","",[1]!thsiFinD("ths_adjustment_nv_fund",J$3,$A561))</f>
        <v/>
      </c>
      <c r="K561" s="13" t="str">
        <f>IF($A561="","",[1]!thsiFinD("ths_adjustment_nv_fund",K$3,$A561))</f>
        <v/>
      </c>
      <c r="L561" s="13" t="str">
        <f>IF($A561="","",[1]!thsiFinD("ths_adjustment_nv_fund",L$3,$A561))</f>
        <v/>
      </c>
      <c r="M561" s="13" t="str">
        <f>IF($A561="","",[1]!thsiFinD("ths_adjustment_nv_fund",M$3,$A561))</f>
        <v/>
      </c>
      <c r="N561" s="13" t="str">
        <f>IF($A561="","",[1]!thsiFinD("ths_adjustment_nv_fund",N$3,$A561))</f>
        <v/>
      </c>
      <c r="O561" s="13" t="str">
        <f>IF($A561="","",[1]!thsiFinD("ths_adjustment_nv_fund",O$3,$A561))</f>
        <v/>
      </c>
      <c r="P561" s="13" t="str">
        <f>IF($A561="","",[1]!thsiFinD("ths_adjustment_nv_fund",P$3,$A561))</f>
        <v/>
      </c>
      <c r="Q561" s="13" t="str">
        <f>IF($A561="","",[1]!thsiFinD("ths_adjustment_nv_fund",Q$3,$A561))</f>
        <v/>
      </c>
      <c r="R561" s="13" t="str">
        <f>IF($A561="","",[1]!thsiFinD("ths_adjustment_nv_fund",R$3,$A561))</f>
        <v/>
      </c>
      <c r="S561" s="13" t="str">
        <f>IF($A561="","",[1]!thsiFinD("ths_adjustment_nv_fund",S$3,$A561))</f>
        <v/>
      </c>
      <c r="T561" s="13" t="str">
        <f>IF($A561="","",[1]!thsiFinD("ths_adjustment_nv_fund",T$3,$A561))</f>
        <v/>
      </c>
      <c r="U561" s="13" t="str">
        <f>IF($A561="","",[1]!thsiFinD("ths_adjustment_nv_fund",U$3,$A561))</f>
        <v/>
      </c>
      <c r="V561" s="13" t="str">
        <f>IF($A561="","",[1]!thsiFinD("ths_adjustment_nv_fund",V$3,$A561))</f>
        <v/>
      </c>
      <c r="W561" s="13" t="str">
        <f>IF($A561="","",[1]!thsiFinD("ths_adjustment_nv_fund",W$3,$A561))</f>
        <v/>
      </c>
      <c r="X561" s="13" t="str">
        <f>IF($A561="","",[1]!thsiFinD("ths_adjustment_nv_fund",X$3,$A561))</f>
        <v/>
      </c>
      <c r="Y561" s="13" t="str">
        <f>IF($A561="","",[1]!thsiFinD("ths_adjustment_nv_fund",Y$3,$A561))</f>
        <v/>
      </c>
      <c r="Z561" s="13" t="str">
        <f>IF($A561="","",[1]!thsiFinD("ths_adjustment_nv_fund",Z$3,$A561))</f>
        <v/>
      </c>
      <c r="AA561" s="13" t="str">
        <f>IF($A561="","",[1]!thsiFinD("ths_adjustment_nv_fund",AA$3,$A561))</f>
        <v/>
      </c>
      <c r="AB561" s="13">
        <f>IF($A561="","",[1]!thsiFinD("ths_adjustment_nv_fund",AB$3,$A561))</f>
        <v/>
      </c>
      <c r="AC561" s="13">
        <f>IF($A561="","",[1]!thsiFinD("ths_adjustment_nv_fund",AC$3,$A561))</f>
        <v/>
      </c>
      <c r="AD561" s="13">
        <f>IF($A561="","",[1]!thsiFinD("ths_adjustment_nv_fund",AD$3,$A561))</f>
        <v/>
      </c>
      <c r="AE561" s="13">
        <f>IF($A561="","",[1]!thsiFinD("ths_adjustment_nv_fund",AE$3,$A561))</f>
        <v/>
      </c>
      <c r="AF561" s="13">
        <f>IF($A561="","",[1]!thsiFinD("ths_adjustment_nv_fund",AF$3,$A561))</f>
        <v/>
      </c>
      <c r="AG561" s="13">
        <f>IF($A561="","",[1]!thsiFinD("ths_adjustment_nv_fund",AG$3,$A561))</f>
        <v/>
      </c>
      <c r="AH561" s="13">
        <f>IF($A561="","",[1]!thsiFinD("ths_adjustment_nv_fund",AH$3,$A561))</f>
        <v/>
      </c>
      <c r="AI561" s="13">
        <f>IF($A561="","",[1]!thsiFinD("ths_adjustment_nv_fund",AI$3,$A561))</f>
        <v/>
      </c>
      <c r="AJ561" s="13">
        <f>IF($A561="","",[1]!thsiFinD("ths_adjustment_nv_fund",AJ$3,$A561))</f>
        <v/>
      </c>
      <c r="AK561" s="13">
        <f>IF($A561="","",[1]!thsiFinD("ths_adjustment_nv_fund",AK$3,$A561))</f>
        <v/>
      </c>
      <c r="AL561" s="13">
        <f>IF($A561="","",[1]!thsiFinD("ths_adjustment_nv_fund",AL$3,$A561))</f>
        <v/>
      </c>
    </row>
    <row r="562" spans="2:28">
      <c r="B562" s="13" t="str">
        <f>IF($A562="","",[1]!thsiFinD("ths_adjustment_nv_fund",B$3,$A562))</f>
        <v/>
      </c>
      <c r="C562" s="13" t="str">
        <f>IF($A562="","",[1]!thsiFinD("ths_adjustment_nv_fund",C$3,$A562))</f>
        <v/>
      </c>
      <c r="D562" s="13" t="str">
        <f>IF($A562="","",[1]!thsiFinD("ths_adjustment_nv_fund",D$3,$A562))</f>
        <v/>
      </c>
      <c r="E562" s="13" t="str">
        <f>IF($A562="","",[1]!thsiFinD("ths_adjustment_nv_fund",E$3,$A562))</f>
        <v/>
      </c>
      <c r="F562" s="13" t="str">
        <f>IF($A562="","",[1]!thsiFinD("ths_adjustment_nv_fund",F$3,$A562))</f>
        <v/>
      </c>
      <c r="G562" s="13" t="str">
        <f>IF($A562="","",[1]!thsiFinD("ths_adjustment_nv_fund",G$3,$A562))</f>
        <v/>
      </c>
      <c r="H562" s="13" t="str">
        <f>IF($A562="","",[1]!thsiFinD("ths_adjustment_nv_fund",H$3,$A562))</f>
        <v/>
      </c>
      <c r="I562" s="13" t="str">
        <f>IF($A562="","",[1]!thsiFinD("ths_adjustment_nv_fund",I$3,$A562))</f>
        <v/>
      </c>
      <c r="J562" s="13" t="str">
        <f>IF($A562="","",[1]!thsiFinD("ths_adjustment_nv_fund",J$3,$A562))</f>
        <v/>
      </c>
      <c r="K562" s="13" t="str">
        <f>IF($A562="","",[1]!thsiFinD("ths_adjustment_nv_fund",K$3,$A562))</f>
        <v/>
      </c>
      <c r="L562" s="13" t="str">
        <f>IF($A562="","",[1]!thsiFinD("ths_adjustment_nv_fund",L$3,$A562))</f>
        <v/>
      </c>
      <c r="M562" s="13" t="str">
        <f>IF($A562="","",[1]!thsiFinD("ths_adjustment_nv_fund",M$3,$A562))</f>
        <v/>
      </c>
      <c r="N562" s="13" t="str">
        <f>IF($A562="","",[1]!thsiFinD("ths_adjustment_nv_fund",N$3,$A562))</f>
        <v/>
      </c>
      <c r="O562" s="13" t="str">
        <f>IF($A562="","",[1]!thsiFinD("ths_adjustment_nv_fund",O$3,$A562))</f>
        <v/>
      </c>
      <c r="P562" s="13" t="str">
        <f>IF($A562="","",[1]!thsiFinD("ths_adjustment_nv_fund",P$3,$A562))</f>
        <v/>
      </c>
      <c r="Q562" s="13" t="str">
        <f>IF($A562="","",[1]!thsiFinD("ths_adjustment_nv_fund",Q$3,$A562))</f>
        <v/>
      </c>
      <c r="R562" s="13" t="str">
        <f>IF($A562="","",[1]!thsiFinD("ths_adjustment_nv_fund",R$3,$A562))</f>
        <v/>
      </c>
      <c r="S562" s="13" t="str">
        <f>IF($A562="","",[1]!thsiFinD("ths_adjustment_nv_fund",S$3,$A562))</f>
        <v/>
      </c>
      <c r="T562" s="13" t="str">
        <f>IF($A562="","",[1]!thsiFinD("ths_adjustment_nv_fund",T$3,$A562))</f>
        <v/>
      </c>
      <c r="U562" s="13" t="str">
        <f>IF($A562="","",[1]!thsiFinD("ths_adjustment_nv_fund",U$3,$A562))</f>
        <v/>
      </c>
      <c r="V562" s="13" t="str">
        <f>IF($A562="","",[1]!thsiFinD("ths_adjustment_nv_fund",V$3,$A562))</f>
        <v/>
      </c>
      <c r="W562" s="13" t="str">
        <f>IF($A562="","",[1]!thsiFinD("ths_adjustment_nv_fund",W$3,$A562))</f>
        <v/>
      </c>
      <c r="X562" s="13" t="str">
        <f>IF($A562="","",[1]!thsiFinD("ths_adjustment_nv_fund",X$3,$A562))</f>
        <v/>
      </c>
      <c r="Y562" s="13" t="str">
        <f>IF($A562="","",[1]!thsiFinD("ths_adjustment_nv_fund",Y$3,$A562))</f>
        <v/>
      </c>
      <c r="Z562" s="13" t="str">
        <f>IF($A562="","",[1]!thsiFinD("ths_adjustment_nv_fund",Z$3,$A562))</f>
        <v/>
      </c>
      <c r="AA562" s="13" t="str">
        <f>IF($A562="","",[1]!thsiFinD("ths_adjustment_nv_fund",AA$3,$A562))</f>
        <v/>
      </c>
      <c r="AB562" s="13">
        <f>IF($A562="","",[1]!thsiFinD("ths_adjustment_nv_fund",AB$3,$A562))</f>
        <v/>
      </c>
      <c r="AC562" s="13">
        <f>IF($A562="","",[1]!thsiFinD("ths_adjustment_nv_fund",AC$3,$A562))</f>
        <v/>
      </c>
      <c r="AD562" s="13">
        <f>IF($A562="","",[1]!thsiFinD("ths_adjustment_nv_fund",AD$3,$A562))</f>
        <v/>
      </c>
      <c r="AE562" s="13">
        <f>IF($A562="","",[1]!thsiFinD("ths_adjustment_nv_fund",AE$3,$A562))</f>
        <v/>
      </c>
      <c r="AF562" s="13">
        <f>IF($A562="","",[1]!thsiFinD("ths_adjustment_nv_fund",AF$3,$A562))</f>
        <v/>
      </c>
      <c r="AG562" s="13">
        <f>IF($A562="","",[1]!thsiFinD("ths_adjustment_nv_fund",AG$3,$A562))</f>
        <v/>
      </c>
      <c r="AH562" s="13">
        <f>IF($A562="","",[1]!thsiFinD("ths_adjustment_nv_fund",AH$3,$A562))</f>
        <v/>
      </c>
      <c r="AI562" s="13">
        <f>IF($A562="","",[1]!thsiFinD("ths_adjustment_nv_fund",AI$3,$A562))</f>
        <v/>
      </c>
      <c r="AJ562" s="13">
        <f>IF($A562="","",[1]!thsiFinD("ths_adjustment_nv_fund",AJ$3,$A562))</f>
        <v/>
      </c>
      <c r="AK562" s="13">
        <f>IF($A562="","",[1]!thsiFinD("ths_adjustment_nv_fund",AK$3,$A562))</f>
        <v/>
      </c>
      <c r="AL562" s="13">
        <f>IF($A562="","",[1]!thsiFinD("ths_adjustment_nv_fund",AL$3,$A562))</f>
        <v/>
      </c>
    </row>
    <row r="563" spans="2:28">
      <c r="B563" s="13" t="str">
        <f>IF($A563="","",[1]!thsiFinD("ths_adjustment_nv_fund",B$3,$A563))</f>
        <v/>
      </c>
      <c r="C563" s="13" t="str">
        <f>IF($A563="","",[1]!thsiFinD("ths_adjustment_nv_fund",C$3,$A563))</f>
        <v/>
      </c>
      <c r="D563" s="13" t="str">
        <f>IF($A563="","",[1]!thsiFinD("ths_adjustment_nv_fund",D$3,$A563))</f>
        <v/>
      </c>
      <c r="E563" s="13" t="str">
        <f>IF($A563="","",[1]!thsiFinD("ths_adjustment_nv_fund",E$3,$A563))</f>
        <v/>
      </c>
      <c r="F563" s="13" t="str">
        <f>IF($A563="","",[1]!thsiFinD("ths_adjustment_nv_fund",F$3,$A563))</f>
        <v/>
      </c>
      <c r="G563" s="13" t="str">
        <f>IF($A563="","",[1]!thsiFinD("ths_adjustment_nv_fund",G$3,$A563))</f>
        <v/>
      </c>
      <c r="H563" s="13" t="str">
        <f>IF($A563="","",[1]!thsiFinD("ths_adjustment_nv_fund",H$3,$A563))</f>
        <v/>
      </c>
      <c r="I563" s="13" t="str">
        <f>IF($A563="","",[1]!thsiFinD("ths_adjustment_nv_fund",I$3,$A563))</f>
        <v/>
      </c>
      <c r="J563" s="13" t="str">
        <f>IF($A563="","",[1]!thsiFinD("ths_adjustment_nv_fund",J$3,$A563))</f>
        <v/>
      </c>
      <c r="K563" s="13" t="str">
        <f>IF($A563="","",[1]!thsiFinD("ths_adjustment_nv_fund",K$3,$A563))</f>
        <v/>
      </c>
      <c r="L563" s="13" t="str">
        <f>IF($A563="","",[1]!thsiFinD("ths_adjustment_nv_fund",L$3,$A563))</f>
        <v/>
      </c>
      <c r="M563" s="13" t="str">
        <f>IF($A563="","",[1]!thsiFinD("ths_adjustment_nv_fund",M$3,$A563))</f>
        <v/>
      </c>
      <c r="N563" s="13" t="str">
        <f>IF($A563="","",[1]!thsiFinD("ths_adjustment_nv_fund",N$3,$A563))</f>
        <v/>
      </c>
      <c r="O563" s="13" t="str">
        <f>IF($A563="","",[1]!thsiFinD("ths_adjustment_nv_fund",O$3,$A563))</f>
        <v/>
      </c>
      <c r="P563" s="13" t="str">
        <f>IF($A563="","",[1]!thsiFinD("ths_adjustment_nv_fund",P$3,$A563))</f>
        <v/>
      </c>
      <c r="Q563" s="13" t="str">
        <f>IF($A563="","",[1]!thsiFinD("ths_adjustment_nv_fund",Q$3,$A563))</f>
        <v/>
      </c>
      <c r="R563" s="13" t="str">
        <f>IF($A563="","",[1]!thsiFinD("ths_adjustment_nv_fund",R$3,$A563))</f>
        <v/>
      </c>
      <c r="S563" s="13" t="str">
        <f>IF($A563="","",[1]!thsiFinD("ths_adjustment_nv_fund",S$3,$A563))</f>
        <v/>
      </c>
      <c r="T563" s="13" t="str">
        <f>IF($A563="","",[1]!thsiFinD("ths_adjustment_nv_fund",T$3,$A563))</f>
        <v/>
      </c>
      <c r="U563" s="13" t="str">
        <f>IF($A563="","",[1]!thsiFinD("ths_adjustment_nv_fund",U$3,$A563))</f>
        <v/>
      </c>
      <c r="V563" s="13" t="str">
        <f>IF($A563="","",[1]!thsiFinD("ths_adjustment_nv_fund",V$3,$A563))</f>
        <v/>
      </c>
      <c r="W563" s="13" t="str">
        <f>IF($A563="","",[1]!thsiFinD("ths_adjustment_nv_fund",W$3,$A563))</f>
        <v/>
      </c>
      <c r="X563" s="13" t="str">
        <f>IF($A563="","",[1]!thsiFinD("ths_adjustment_nv_fund",X$3,$A563))</f>
        <v/>
      </c>
      <c r="Y563" s="13" t="str">
        <f>IF($A563="","",[1]!thsiFinD("ths_adjustment_nv_fund",Y$3,$A563))</f>
        <v/>
      </c>
      <c r="Z563" s="13" t="str">
        <f>IF($A563="","",[1]!thsiFinD("ths_adjustment_nv_fund",Z$3,$A563))</f>
        <v/>
      </c>
      <c r="AA563" s="13" t="str">
        <f>IF($A563="","",[1]!thsiFinD("ths_adjustment_nv_fund",AA$3,$A563))</f>
        <v/>
      </c>
      <c r="AB563" s="13">
        <f>IF($A563="","",[1]!thsiFinD("ths_adjustment_nv_fund",AB$3,$A563))</f>
        <v/>
      </c>
      <c r="AC563" s="13">
        <f>IF($A563="","",[1]!thsiFinD("ths_adjustment_nv_fund",AC$3,$A563))</f>
        <v/>
      </c>
      <c r="AD563" s="13">
        <f>IF($A563="","",[1]!thsiFinD("ths_adjustment_nv_fund",AD$3,$A563))</f>
        <v/>
      </c>
      <c r="AE563" s="13">
        <f>IF($A563="","",[1]!thsiFinD("ths_adjustment_nv_fund",AE$3,$A563))</f>
        <v/>
      </c>
      <c r="AF563" s="13">
        <f>IF($A563="","",[1]!thsiFinD("ths_adjustment_nv_fund",AF$3,$A563))</f>
        <v/>
      </c>
      <c r="AG563" s="13">
        <f>IF($A563="","",[1]!thsiFinD("ths_adjustment_nv_fund",AG$3,$A563))</f>
        <v/>
      </c>
      <c r="AH563" s="13">
        <f>IF($A563="","",[1]!thsiFinD("ths_adjustment_nv_fund",AH$3,$A563))</f>
        <v/>
      </c>
      <c r="AI563" s="13">
        <f>IF($A563="","",[1]!thsiFinD("ths_adjustment_nv_fund",AI$3,$A563))</f>
        <v/>
      </c>
      <c r="AJ563" s="13">
        <f>IF($A563="","",[1]!thsiFinD("ths_adjustment_nv_fund",AJ$3,$A563))</f>
        <v/>
      </c>
      <c r="AK563" s="13">
        <f>IF($A563="","",[1]!thsiFinD("ths_adjustment_nv_fund",AK$3,$A563))</f>
        <v/>
      </c>
      <c r="AL563" s="13">
        <f>IF($A563="","",[1]!thsiFinD("ths_adjustment_nv_fund",AL$3,$A563))</f>
        <v/>
      </c>
    </row>
    <row r="564" spans="2:28">
      <c r="B564" s="13" t="str">
        <f>IF($A564="","",[1]!thsiFinD("ths_adjustment_nv_fund",B$3,$A564))</f>
        <v/>
      </c>
      <c r="C564" s="13" t="str">
        <f>IF($A564="","",[1]!thsiFinD("ths_adjustment_nv_fund",C$3,$A564))</f>
        <v/>
      </c>
      <c r="D564" s="13" t="str">
        <f>IF($A564="","",[1]!thsiFinD("ths_adjustment_nv_fund",D$3,$A564))</f>
        <v/>
      </c>
      <c r="E564" s="13" t="str">
        <f>IF($A564="","",[1]!thsiFinD("ths_adjustment_nv_fund",E$3,$A564))</f>
        <v/>
      </c>
      <c r="F564" s="13" t="str">
        <f>IF($A564="","",[1]!thsiFinD("ths_adjustment_nv_fund",F$3,$A564))</f>
        <v/>
      </c>
      <c r="G564" s="13" t="str">
        <f>IF($A564="","",[1]!thsiFinD("ths_adjustment_nv_fund",G$3,$A564))</f>
        <v/>
      </c>
      <c r="H564" s="13" t="str">
        <f>IF($A564="","",[1]!thsiFinD("ths_adjustment_nv_fund",H$3,$A564))</f>
        <v/>
      </c>
      <c r="I564" s="13" t="str">
        <f>IF($A564="","",[1]!thsiFinD("ths_adjustment_nv_fund",I$3,$A564))</f>
        <v/>
      </c>
      <c r="J564" s="13" t="str">
        <f>IF($A564="","",[1]!thsiFinD("ths_adjustment_nv_fund",J$3,$A564))</f>
        <v/>
      </c>
      <c r="K564" s="13" t="str">
        <f>IF($A564="","",[1]!thsiFinD("ths_adjustment_nv_fund",K$3,$A564))</f>
        <v/>
      </c>
      <c r="L564" s="13" t="str">
        <f>IF($A564="","",[1]!thsiFinD("ths_adjustment_nv_fund",L$3,$A564))</f>
        <v/>
      </c>
      <c r="M564" s="13" t="str">
        <f>IF($A564="","",[1]!thsiFinD("ths_adjustment_nv_fund",M$3,$A564))</f>
        <v/>
      </c>
      <c r="N564" s="13" t="str">
        <f>IF($A564="","",[1]!thsiFinD("ths_adjustment_nv_fund",N$3,$A564))</f>
        <v/>
      </c>
      <c r="O564" s="13" t="str">
        <f>IF($A564="","",[1]!thsiFinD("ths_adjustment_nv_fund",O$3,$A564))</f>
        <v/>
      </c>
      <c r="P564" s="13" t="str">
        <f>IF($A564="","",[1]!thsiFinD("ths_adjustment_nv_fund",P$3,$A564))</f>
        <v/>
      </c>
      <c r="Q564" s="13" t="str">
        <f>IF($A564="","",[1]!thsiFinD("ths_adjustment_nv_fund",Q$3,$A564))</f>
        <v/>
      </c>
      <c r="R564" s="13" t="str">
        <f>IF($A564="","",[1]!thsiFinD("ths_adjustment_nv_fund",R$3,$A564))</f>
        <v/>
      </c>
      <c r="S564" s="13" t="str">
        <f>IF($A564="","",[1]!thsiFinD("ths_adjustment_nv_fund",S$3,$A564))</f>
        <v/>
      </c>
      <c r="T564" s="13" t="str">
        <f>IF($A564="","",[1]!thsiFinD("ths_adjustment_nv_fund",T$3,$A564))</f>
        <v/>
      </c>
      <c r="U564" s="13" t="str">
        <f>IF($A564="","",[1]!thsiFinD("ths_adjustment_nv_fund",U$3,$A564))</f>
        <v/>
      </c>
      <c r="V564" s="13" t="str">
        <f>IF($A564="","",[1]!thsiFinD("ths_adjustment_nv_fund",V$3,$A564))</f>
        <v/>
      </c>
      <c r="W564" s="13" t="str">
        <f>IF($A564="","",[1]!thsiFinD("ths_adjustment_nv_fund",W$3,$A564))</f>
        <v/>
      </c>
      <c r="X564" s="13" t="str">
        <f>IF($A564="","",[1]!thsiFinD("ths_adjustment_nv_fund",X$3,$A564))</f>
        <v/>
      </c>
      <c r="Y564" s="13" t="str">
        <f>IF($A564="","",[1]!thsiFinD("ths_adjustment_nv_fund",Y$3,$A564))</f>
        <v/>
      </c>
      <c r="Z564" s="13" t="str">
        <f>IF($A564="","",[1]!thsiFinD("ths_adjustment_nv_fund",Z$3,$A564))</f>
        <v/>
      </c>
      <c r="AA564" s="13" t="str">
        <f>IF($A564="","",[1]!thsiFinD("ths_adjustment_nv_fund",AA$3,$A564))</f>
        <v/>
      </c>
      <c r="AB564" s="13">
        <f>IF($A564="","",[1]!thsiFinD("ths_adjustment_nv_fund",AB$3,$A564))</f>
        <v/>
      </c>
      <c r="AC564" s="13">
        <f>IF($A564="","",[1]!thsiFinD("ths_adjustment_nv_fund",AC$3,$A564))</f>
        <v/>
      </c>
      <c r="AD564" s="13">
        <f>IF($A564="","",[1]!thsiFinD("ths_adjustment_nv_fund",AD$3,$A564))</f>
        <v/>
      </c>
      <c r="AE564" s="13">
        <f>IF($A564="","",[1]!thsiFinD("ths_adjustment_nv_fund",AE$3,$A564))</f>
        <v/>
      </c>
      <c r="AF564" s="13">
        <f>IF($A564="","",[1]!thsiFinD("ths_adjustment_nv_fund",AF$3,$A564))</f>
        <v/>
      </c>
      <c r="AG564" s="13">
        <f>IF($A564="","",[1]!thsiFinD("ths_adjustment_nv_fund",AG$3,$A564))</f>
        <v/>
      </c>
      <c r="AH564" s="13">
        <f>IF($A564="","",[1]!thsiFinD("ths_adjustment_nv_fund",AH$3,$A564))</f>
        <v/>
      </c>
      <c r="AI564" s="13">
        <f>IF($A564="","",[1]!thsiFinD("ths_adjustment_nv_fund",AI$3,$A564))</f>
        <v/>
      </c>
      <c r="AJ564" s="13">
        <f>IF($A564="","",[1]!thsiFinD("ths_adjustment_nv_fund",AJ$3,$A564))</f>
        <v/>
      </c>
      <c r="AK564" s="13">
        <f>IF($A564="","",[1]!thsiFinD("ths_adjustment_nv_fund",AK$3,$A564))</f>
        <v/>
      </c>
      <c r="AL564" s="13">
        <f>IF($A564="","",[1]!thsiFinD("ths_adjustment_nv_fund",AL$3,$A564))</f>
        <v/>
      </c>
    </row>
    <row r="565" spans="2:28">
      <c r="B565" s="13" t="str">
        <f>IF($A565="","",[1]!thsiFinD("ths_adjustment_nv_fund",B$3,$A565))</f>
        <v/>
      </c>
      <c r="C565" s="13" t="str">
        <f>IF($A565="","",[1]!thsiFinD("ths_adjustment_nv_fund",C$3,$A565))</f>
        <v/>
      </c>
      <c r="D565" s="13" t="str">
        <f>IF($A565="","",[1]!thsiFinD("ths_adjustment_nv_fund",D$3,$A565))</f>
        <v/>
      </c>
      <c r="E565" s="13" t="str">
        <f>IF($A565="","",[1]!thsiFinD("ths_adjustment_nv_fund",E$3,$A565))</f>
        <v/>
      </c>
      <c r="F565" s="13" t="str">
        <f>IF($A565="","",[1]!thsiFinD("ths_adjustment_nv_fund",F$3,$A565))</f>
        <v/>
      </c>
      <c r="G565" s="13" t="str">
        <f>IF($A565="","",[1]!thsiFinD("ths_adjustment_nv_fund",G$3,$A565))</f>
        <v/>
      </c>
      <c r="H565" s="13" t="str">
        <f>IF($A565="","",[1]!thsiFinD("ths_adjustment_nv_fund",H$3,$A565))</f>
        <v/>
      </c>
      <c r="I565" s="13" t="str">
        <f>IF($A565="","",[1]!thsiFinD("ths_adjustment_nv_fund",I$3,$A565))</f>
        <v/>
      </c>
      <c r="J565" s="13" t="str">
        <f>IF($A565="","",[1]!thsiFinD("ths_adjustment_nv_fund",J$3,$A565))</f>
        <v/>
      </c>
      <c r="K565" s="13" t="str">
        <f>IF($A565="","",[1]!thsiFinD("ths_adjustment_nv_fund",K$3,$A565))</f>
        <v/>
      </c>
      <c r="L565" s="13" t="str">
        <f>IF($A565="","",[1]!thsiFinD("ths_adjustment_nv_fund",L$3,$A565))</f>
        <v/>
      </c>
      <c r="M565" s="13" t="str">
        <f>IF($A565="","",[1]!thsiFinD("ths_adjustment_nv_fund",M$3,$A565))</f>
        <v/>
      </c>
      <c r="N565" s="13" t="str">
        <f>IF($A565="","",[1]!thsiFinD("ths_adjustment_nv_fund",N$3,$A565))</f>
        <v/>
      </c>
      <c r="O565" s="13" t="str">
        <f>IF($A565="","",[1]!thsiFinD("ths_adjustment_nv_fund",O$3,$A565))</f>
        <v/>
      </c>
      <c r="P565" s="13" t="str">
        <f>IF($A565="","",[1]!thsiFinD("ths_adjustment_nv_fund",P$3,$A565))</f>
        <v/>
      </c>
      <c r="Q565" s="13" t="str">
        <f>IF($A565="","",[1]!thsiFinD("ths_adjustment_nv_fund",Q$3,$A565))</f>
        <v/>
      </c>
      <c r="R565" s="13" t="str">
        <f>IF($A565="","",[1]!thsiFinD("ths_adjustment_nv_fund",R$3,$A565))</f>
        <v/>
      </c>
      <c r="S565" s="13" t="str">
        <f>IF($A565="","",[1]!thsiFinD("ths_adjustment_nv_fund",S$3,$A565))</f>
        <v/>
      </c>
      <c r="T565" s="13" t="str">
        <f>IF($A565="","",[1]!thsiFinD("ths_adjustment_nv_fund",T$3,$A565))</f>
        <v/>
      </c>
      <c r="U565" s="13" t="str">
        <f>IF($A565="","",[1]!thsiFinD("ths_adjustment_nv_fund",U$3,$A565))</f>
        <v/>
      </c>
      <c r="V565" s="13" t="str">
        <f>IF($A565="","",[1]!thsiFinD("ths_adjustment_nv_fund",V$3,$A565))</f>
        <v/>
      </c>
      <c r="W565" s="13" t="str">
        <f>IF($A565="","",[1]!thsiFinD("ths_adjustment_nv_fund",W$3,$A565))</f>
        <v/>
      </c>
      <c r="X565" s="13" t="str">
        <f>IF($A565="","",[1]!thsiFinD("ths_adjustment_nv_fund",X$3,$A565))</f>
        <v/>
      </c>
      <c r="Y565" s="13" t="str">
        <f>IF($A565="","",[1]!thsiFinD("ths_adjustment_nv_fund",Y$3,$A565))</f>
        <v/>
      </c>
      <c r="Z565" s="13" t="str">
        <f>IF($A565="","",[1]!thsiFinD("ths_adjustment_nv_fund",Z$3,$A565))</f>
        <v/>
      </c>
      <c r="AA565" s="13" t="str">
        <f>IF($A565="","",[1]!thsiFinD("ths_adjustment_nv_fund",AA$3,$A565))</f>
        <v/>
      </c>
      <c r="AB565" s="13">
        <f>IF($A565="","",[1]!thsiFinD("ths_adjustment_nv_fund",AB$3,$A565))</f>
        <v/>
      </c>
      <c r="AC565" s="13">
        <f>IF($A565="","",[1]!thsiFinD("ths_adjustment_nv_fund",AC$3,$A565))</f>
        <v/>
      </c>
      <c r="AD565" s="13">
        <f>IF($A565="","",[1]!thsiFinD("ths_adjustment_nv_fund",AD$3,$A565))</f>
        <v/>
      </c>
      <c r="AE565" s="13">
        <f>IF($A565="","",[1]!thsiFinD("ths_adjustment_nv_fund",AE$3,$A565))</f>
        <v/>
      </c>
      <c r="AF565" s="13">
        <f>IF($A565="","",[1]!thsiFinD("ths_adjustment_nv_fund",AF$3,$A565))</f>
        <v/>
      </c>
      <c r="AG565" s="13">
        <f>IF($A565="","",[1]!thsiFinD("ths_adjustment_nv_fund",AG$3,$A565))</f>
        <v/>
      </c>
      <c r="AH565" s="13">
        <f>IF($A565="","",[1]!thsiFinD("ths_adjustment_nv_fund",AH$3,$A565))</f>
        <v/>
      </c>
      <c r="AI565" s="13">
        <f>IF($A565="","",[1]!thsiFinD("ths_adjustment_nv_fund",AI$3,$A565))</f>
        <v/>
      </c>
      <c r="AJ565" s="13">
        <f>IF($A565="","",[1]!thsiFinD("ths_adjustment_nv_fund",AJ$3,$A565))</f>
        <v/>
      </c>
      <c r="AK565" s="13">
        <f>IF($A565="","",[1]!thsiFinD("ths_adjustment_nv_fund",AK$3,$A565))</f>
        <v/>
      </c>
      <c r="AL565" s="13">
        <f>IF($A565="","",[1]!thsiFinD("ths_adjustment_nv_fund",AL$3,$A565))</f>
        <v/>
      </c>
    </row>
    <row r="566" spans="2:28">
      <c r="B566" s="13" t="str">
        <f>IF($A566="","",[1]!thsiFinD("ths_adjustment_nv_fund",B$3,$A566))</f>
        <v/>
      </c>
      <c r="C566" s="13" t="str">
        <f>IF($A566="","",[1]!thsiFinD("ths_adjustment_nv_fund",C$3,$A566))</f>
        <v/>
      </c>
      <c r="D566" s="13" t="str">
        <f>IF($A566="","",[1]!thsiFinD("ths_adjustment_nv_fund",D$3,$A566))</f>
        <v/>
      </c>
      <c r="E566" s="13" t="str">
        <f>IF($A566="","",[1]!thsiFinD("ths_adjustment_nv_fund",E$3,$A566))</f>
        <v/>
      </c>
      <c r="F566" s="13" t="str">
        <f>IF($A566="","",[1]!thsiFinD("ths_adjustment_nv_fund",F$3,$A566))</f>
        <v/>
      </c>
      <c r="G566" s="13" t="str">
        <f>IF($A566="","",[1]!thsiFinD("ths_adjustment_nv_fund",G$3,$A566))</f>
        <v/>
      </c>
      <c r="H566" s="13" t="str">
        <f>IF($A566="","",[1]!thsiFinD("ths_adjustment_nv_fund",H$3,$A566))</f>
        <v/>
      </c>
      <c r="I566" s="13" t="str">
        <f>IF($A566="","",[1]!thsiFinD("ths_adjustment_nv_fund",I$3,$A566))</f>
        <v/>
      </c>
      <c r="J566" s="13" t="str">
        <f>IF($A566="","",[1]!thsiFinD("ths_adjustment_nv_fund",J$3,$A566))</f>
        <v/>
      </c>
      <c r="K566" s="13" t="str">
        <f>IF($A566="","",[1]!thsiFinD("ths_adjustment_nv_fund",K$3,$A566))</f>
        <v/>
      </c>
      <c r="L566" s="13" t="str">
        <f>IF($A566="","",[1]!thsiFinD("ths_adjustment_nv_fund",L$3,$A566))</f>
        <v/>
      </c>
      <c r="M566" s="13" t="str">
        <f>IF($A566="","",[1]!thsiFinD("ths_adjustment_nv_fund",M$3,$A566))</f>
        <v/>
      </c>
      <c r="N566" s="13" t="str">
        <f>IF($A566="","",[1]!thsiFinD("ths_adjustment_nv_fund",N$3,$A566))</f>
        <v/>
      </c>
      <c r="O566" s="13" t="str">
        <f>IF($A566="","",[1]!thsiFinD("ths_adjustment_nv_fund",O$3,$A566))</f>
        <v/>
      </c>
      <c r="P566" s="13" t="str">
        <f>IF($A566="","",[1]!thsiFinD("ths_adjustment_nv_fund",P$3,$A566))</f>
        <v/>
      </c>
      <c r="Q566" s="13" t="str">
        <f>IF($A566="","",[1]!thsiFinD("ths_adjustment_nv_fund",Q$3,$A566))</f>
        <v/>
      </c>
      <c r="R566" s="13" t="str">
        <f>IF($A566="","",[1]!thsiFinD("ths_adjustment_nv_fund",R$3,$A566))</f>
        <v/>
      </c>
      <c r="S566" s="13" t="str">
        <f>IF($A566="","",[1]!thsiFinD("ths_adjustment_nv_fund",S$3,$A566))</f>
        <v/>
      </c>
      <c r="T566" s="13" t="str">
        <f>IF($A566="","",[1]!thsiFinD("ths_adjustment_nv_fund",T$3,$A566))</f>
        <v/>
      </c>
      <c r="U566" s="13" t="str">
        <f>IF($A566="","",[1]!thsiFinD("ths_adjustment_nv_fund",U$3,$A566))</f>
        <v/>
      </c>
      <c r="V566" s="13" t="str">
        <f>IF($A566="","",[1]!thsiFinD("ths_adjustment_nv_fund",V$3,$A566))</f>
        <v/>
      </c>
      <c r="W566" s="13" t="str">
        <f>IF($A566="","",[1]!thsiFinD("ths_adjustment_nv_fund",W$3,$A566))</f>
        <v/>
      </c>
      <c r="X566" s="13" t="str">
        <f>IF($A566="","",[1]!thsiFinD("ths_adjustment_nv_fund",X$3,$A566))</f>
        <v/>
      </c>
      <c r="Y566" s="13" t="str">
        <f>IF($A566="","",[1]!thsiFinD("ths_adjustment_nv_fund",Y$3,$A566))</f>
        <v/>
      </c>
      <c r="Z566" s="13" t="str">
        <f>IF($A566="","",[1]!thsiFinD("ths_adjustment_nv_fund",Z$3,$A566))</f>
        <v/>
      </c>
      <c r="AA566" s="13" t="str">
        <f>IF($A566="","",[1]!thsiFinD("ths_adjustment_nv_fund",AA$3,$A566))</f>
        <v/>
      </c>
      <c r="AB566" s="13">
        <f>IF($A566="","",[1]!thsiFinD("ths_adjustment_nv_fund",AB$3,$A566))</f>
        <v/>
      </c>
      <c r="AC566" s="13">
        <f>IF($A566="","",[1]!thsiFinD("ths_adjustment_nv_fund",AC$3,$A566))</f>
        <v/>
      </c>
      <c r="AD566" s="13">
        <f>IF($A566="","",[1]!thsiFinD("ths_adjustment_nv_fund",AD$3,$A566))</f>
        <v/>
      </c>
      <c r="AE566" s="13">
        <f>IF($A566="","",[1]!thsiFinD("ths_adjustment_nv_fund",AE$3,$A566))</f>
        <v/>
      </c>
      <c r="AF566" s="13">
        <f>IF($A566="","",[1]!thsiFinD("ths_adjustment_nv_fund",AF$3,$A566))</f>
        <v/>
      </c>
      <c r="AG566" s="13">
        <f>IF($A566="","",[1]!thsiFinD("ths_adjustment_nv_fund",AG$3,$A566))</f>
        <v/>
      </c>
      <c r="AH566" s="13">
        <f>IF($A566="","",[1]!thsiFinD("ths_adjustment_nv_fund",AH$3,$A566))</f>
        <v/>
      </c>
      <c r="AI566" s="13">
        <f>IF($A566="","",[1]!thsiFinD("ths_adjustment_nv_fund",AI$3,$A566))</f>
        <v/>
      </c>
      <c r="AJ566" s="13">
        <f>IF($A566="","",[1]!thsiFinD("ths_adjustment_nv_fund",AJ$3,$A566))</f>
        <v/>
      </c>
      <c r="AK566" s="13">
        <f>IF($A566="","",[1]!thsiFinD("ths_adjustment_nv_fund",AK$3,$A566))</f>
        <v/>
      </c>
      <c r="AL566" s="13">
        <f>IF($A566="","",[1]!thsiFinD("ths_adjustment_nv_fund",AL$3,$A566))</f>
        <v/>
      </c>
    </row>
    <row r="567" spans="2:28">
      <c r="B567" s="13" t="str">
        <f>IF($A567="","",[1]!thsiFinD("ths_adjustment_nv_fund",B$3,$A567))</f>
        <v/>
      </c>
      <c r="C567" s="13" t="str">
        <f>IF($A567="","",[1]!thsiFinD("ths_adjustment_nv_fund",C$3,$A567))</f>
        <v/>
      </c>
      <c r="D567" s="13" t="str">
        <f>IF($A567="","",[1]!thsiFinD("ths_adjustment_nv_fund",D$3,$A567))</f>
        <v/>
      </c>
      <c r="E567" s="13" t="str">
        <f>IF($A567="","",[1]!thsiFinD("ths_adjustment_nv_fund",E$3,$A567))</f>
        <v/>
      </c>
      <c r="F567" s="13" t="str">
        <f>IF($A567="","",[1]!thsiFinD("ths_adjustment_nv_fund",F$3,$A567))</f>
        <v/>
      </c>
      <c r="G567" s="13" t="str">
        <f>IF($A567="","",[1]!thsiFinD("ths_adjustment_nv_fund",G$3,$A567))</f>
        <v/>
      </c>
      <c r="H567" s="13" t="str">
        <f>IF($A567="","",[1]!thsiFinD("ths_adjustment_nv_fund",H$3,$A567))</f>
        <v/>
      </c>
      <c r="I567" s="13" t="str">
        <f>IF($A567="","",[1]!thsiFinD("ths_adjustment_nv_fund",I$3,$A567))</f>
        <v/>
      </c>
      <c r="J567" s="13" t="str">
        <f>IF($A567="","",[1]!thsiFinD("ths_adjustment_nv_fund",J$3,$A567))</f>
        <v/>
      </c>
      <c r="K567" s="13" t="str">
        <f>IF($A567="","",[1]!thsiFinD("ths_adjustment_nv_fund",K$3,$A567))</f>
        <v/>
      </c>
      <c r="L567" s="13" t="str">
        <f>IF($A567="","",[1]!thsiFinD("ths_adjustment_nv_fund",L$3,$A567))</f>
        <v/>
      </c>
      <c r="M567" s="13" t="str">
        <f>IF($A567="","",[1]!thsiFinD("ths_adjustment_nv_fund",M$3,$A567))</f>
        <v/>
      </c>
      <c r="N567" s="13" t="str">
        <f>IF($A567="","",[1]!thsiFinD("ths_adjustment_nv_fund",N$3,$A567))</f>
        <v/>
      </c>
      <c r="O567" s="13" t="str">
        <f>IF($A567="","",[1]!thsiFinD("ths_adjustment_nv_fund",O$3,$A567))</f>
        <v/>
      </c>
      <c r="P567" s="13" t="str">
        <f>IF($A567="","",[1]!thsiFinD("ths_adjustment_nv_fund",P$3,$A567))</f>
        <v/>
      </c>
      <c r="Q567" s="13" t="str">
        <f>IF($A567="","",[1]!thsiFinD("ths_adjustment_nv_fund",Q$3,$A567))</f>
        <v/>
      </c>
      <c r="R567" s="13" t="str">
        <f>IF($A567="","",[1]!thsiFinD("ths_adjustment_nv_fund",R$3,$A567))</f>
        <v/>
      </c>
      <c r="S567" s="13" t="str">
        <f>IF($A567="","",[1]!thsiFinD("ths_adjustment_nv_fund",S$3,$A567))</f>
        <v/>
      </c>
      <c r="T567" s="13" t="str">
        <f>IF($A567="","",[1]!thsiFinD("ths_adjustment_nv_fund",T$3,$A567))</f>
        <v/>
      </c>
      <c r="U567" s="13" t="str">
        <f>IF($A567="","",[1]!thsiFinD("ths_adjustment_nv_fund",U$3,$A567))</f>
        <v/>
      </c>
      <c r="V567" s="13" t="str">
        <f>IF($A567="","",[1]!thsiFinD("ths_adjustment_nv_fund",V$3,$A567))</f>
        <v/>
      </c>
      <c r="W567" s="13" t="str">
        <f>IF($A567="","",[1]!thsiFinD("ths_adjustment_nv_fund",W$3,$A567))</f>
        <v/>
      </c>
      <c r="X567" s="13" t="str">
        <f>IF($A567="","",[1]!thsiFinD("ths_adjustment_nv_fund",X$3,$A567))</f>
        <v/>
      </c>
      <c r="Y567" s="13" t="str">
        <f>IF($A567="","",[1]!thsiFinD("ths_adjustment_nv_fund",Y$3,$A567))</f>
        <v/>
      </c>
      <c r="Z567" s="13" t="str">
        <f>IF($A567="","",[1]!thsiFinD("ths_adjustment_nv_fund",Z$3,$A567))</f>
        <v/>
      </c>
      <c r="AA567" s="13" t="str">
        <f>IF($A567="","",[1]!thsiFinD("ths_adjustment_nv_fund",AA$3,$A567))</f>
        <v/>
      </c>
      <c r="AB567" s="13">
        <f>IF($A567="","",[1]!thsiFinD("ths_adjustment_nv_fund",AB$3,$A567))</f>
        <v/>
      </c>
      <c r="AC567" s="13">
        <f>IF($A567="","",[1]!thsiFinD("ths_adjustment_nv_fund",AC$3,$A567))</f>
        <v/>
      </c>
      <c r="AD567" s="13">
        <f>IF($A567="","",[1]!thsiFinD("ths_adjustment_nv_fund",AD$3,$A567))</f>
        <v/>
      </c>
      <c r="AE567" s="13">
        <f>IF($A567="","",[1]!thsiFinD("ths_adjustment_nv_fund",AE$3,$A567))</f>
        <v/>
      </c>
      <c r="AF567" s="13">
        <f>IF($A567="","",[1]!thsiFinD("ths_adjustment_nv_fund",AF$3,$A567))</f>
        <v/>
      </c>
      <c r="AG567" s="13">
        <f>IF($A567="","",[1]!thsiFinD("ths_adjustment_nv_fund",AG$3,$A567))</f>
        <v/>
      </c>
      <c r="AH567" s="13">
        <f>IF($A567="","",[1]!thsiFinD("ths_adjustment_nv_fund",AH$3,$A567))</f>
        <v/>
      </c>
      <c r="AI567" s="13">
        <f>IF($A567="","",[1]!thsiFinD("ths_adjustment_nv_fund",AI$3,$A567))</f>
        <v/>
      </c>
      <c r="AJ567" s="13">
        <f>IF($A567="","",[1]!thsiFinD("ths_adjustment_nv_fund",AJ$3,$A567))</f>
        <v/>
      </c>
      <c r="AK567" s="13">
        <f>IF($A567="","",[1]!thsiFinD("ths_adjustment_nv_fund",AK$3,$A567))</f>
        <v/>
      </c>
      <c r="AL567" s="13">
        <f>IF($A567="","",[1]!thsiFinD("ths_adjustment_nv_fund",AL$3,$A567))</f>
        <v/>
      </c>
    </row>
    <row r="568" spans="2:28">
      <c r="B568" s="13" t="str">
        <f>IF($A568="","",[1]!thsiFinD("ths_adjustment_nv_fund",B$3,$A568))</f>
        <v/>
      </c>
      <c r="C568" s="13" t="str">
        <f>IF($A568="","",[1]!thsiFinD("ths_adjustment_nv_fund",C$3,$A568))</f>
        <v/>
      </c>
      <c r="D568" s="13" t="str">
        <f>IF($A568="","",[1]!thsiFinD("ths_adjustment_nv_fund",D$3,$A568))</f>
        <v/>
      </c>
      <c r="E568" s="13" t="str">
        <f>IF($A568="","",[1]!thsiFinD("ths_adjustment_nv_fund",E$3,$A568))</f>
        <v/>
      </c>
      <c r="F568" s="13" t="str">
        <f>IF($A568="","",[1]!thsiFinD("ths_adjustment_nv_fund",F$3,$A568))</f>
        <v/>
      </c>
      <c r="G568" s="13" t="str">
        <f>IF($A568="","",[1]!thsiFinD("ths_adjustment_nv_fund",G$3,$A568))</f>
        <v/>
      </c>
      <c r="H568" s="13" t="str">
        <f>IF($A568="","",[1]!thsiFinD("ths_adjustment_nv_fund",H$3,$A568))</f>
        <v/>
      </c>
      <c r="I568" s="13" t="str">
        <f>IF($A568="","",[1]!thsiFinD("ths_adjustment_nv_fund",I$3,$A568))</f>
        <v/>
      </c>
      <c r="J568" s="13" t="str">
        <f>IF($A568="","",[1]!thsiFinD("ths_adjustment_nv_fund",J$3,$A568))</f>
        <v/>
      </c>
      <c r="K568" s="13" t="str">
        <f>IF($A568="","",[1]!thsiFinD("ths_adjustment_nv_fund",K$3,$A568))</f>
        <v/>
      </c>
      <c r="L568" s="13" t="str">
        <f>IF($A568="","",[1]!thsiFinD("ths_adjustment_nv_fund",L$3,$A568))</f>
        <v/>
      </c>
      <c r="M568" s="13" t="str">
        <f>IF($A568="","",[1]!thsiFinD("ths_adjustment_nv_fund",M$3,$A568))</f>
        <v/>
      </c>
      <c r="N568" s="13" t="str">
        <f>IF($A568="","",[1]!thsiFinD("ths_adjustment_nv_fund",N$3,$A568))</f>
        <v/>
      </c>
      <c r="O568" s="13" t="str">
        <f>IF($A568="","",[1]!thsiFinD("ths_adjustment_nv_fund",O$3,$A568))</f>
        <v/>
      </c>
      <c r="P568" s="13" t="str">
        <f>IF($A568="","",[1]!thsiFinD("ths_adjustment_nv_fund",P$3,$A568))</f>
        <v/>
      </c>
      <c r="Q568" s="13" t="str">
        <f>IF($A568="","",[1]!thsiFinD("ths_adjustment_nv_fund",Q$3,$A568))</f>
        <v/>
      </c>
      <c r="R568" s="13" t="str">
        <f>IF($A568="","",[1]!thsiFinD("ths_adjustment_nv_fund",R$3,$A568))</f>
        <v/>
      </c>
      <c r="S568" s="13" t="str">
        <f>IF($A568="","",[1]!thsiFinD("ths_adjustment_nv_fund",S$3,$A568))</f>
        <v/>
      </c>
      <c r="T568" s="13" t="str">
        <f>IF($A568="","",[1]!thsiFinD("ths_adjustment_nv_fund",T$3,$A568))</f>
        <v/>
      </c>
      <c r="U568" s="13" t="str">
        <f>IF($A568="","",[1]!thsiFinD("ths_adjustment_nv_fund",U$3,$A568))</f>
        <v/>
      </c>
      <c r="V568" s="13" t="str">
        <f>IF($A568="","",[1]!thsiFinD("ths_adjustment_nv_fund",V$3,$A568))</f>
        <v/>
      </c>
      <c r="W568" s="13" t="str">
        <f>IF($A568="","",[1]!thsiFinD("ths_adjustment_nv_fund",W$3,$A568))</f>
        <v/>
      </c>
      <c r="X568" s="13" t="str">
        <f>IF($A568="","",[1]!thsiFinD("ths_adjustment_nv_fund",X$3,$A568))</f>
        <v/>
      </c>
      <c r="Y568" s="13" t="str">
        <f>IF($A568="","",[1]!thsiFinD("ths_adjustment_nv_fund",Y$3,$A568))</f>
        <v/>
      </c>
      <c r="Z568" s="13" t="str">
        <f>IF($A568="","",[1]!thsiFinD("ths_adjustment_nv_fund",Z$3,$A568))</f>
        <v/>
      </c>
      <c r="AA568" s="13" t="str">
        <f>IF($A568="","",[1]!thsiFinD("ths_adjustment_nv_fund",AA$3,$A568))</f>
        <v/>
      </c>
      <c r="AB568" s="13">
        <f>IF($A568="","",[1]!thsiFinD("ths_adjustment_nv_fund",AB$3,$A568))</f>
        <v/>
      </c>
      <c r="AC568" s="13">
        <f>IF($A568="","",[1]!thsiFinD("ths_adjustment_nv_fund",AC$3,$A568))</f>
        <v/>
      </c>
      <c r="AD568" s="13">
        <f>IF($A568="","",[1]!thsiFinD("ths_adjustment_nv_fund",AD$3,$A568))</f>
        <v/>
      </c>
      <c r="AE568" s="13">
        <f>IF($A568="","",[1]!thsiFinD("ths_adjustment_nv_fund",AE$3,$A568))</f>
        <v/>
      </c>
      <c r="AF568" s="13">
        <f>IF($A568="","",[1]!thsiFinD("ths_adjustment_nv_fund",AF$3,$A568))</f>
        <v/>
      </c>
      <c r="AG568" s="13">
        <f>IF($A568="","",[1]!thsiFinD("ths_adjustment_nv_fund",AG$3,$A568))</f>
        <v/>
      </c>
      <c r="AH568" s="13">
        <f>IF($A568="","",[1]!thsiFinD("ths_adjustment_nv_fund",AH$3,$A568))</f>
        <v/>
      </c>
      <c r="AI568" s="13">
        <f>IF($A568="","",[1]!thsiFinD("ths_adjustment_nv_fund",AI$3,$A568))</f>
        <v/>
      </c>
      <c r="AJ568" s="13">
        <f>IF($A568="","",[1]!thsiFinD("ths_adjustment_nv_fund",AJ$3,$A568))</f>
        <v/>
      </c>
      <c r="AK568" s="13">
        <f>IF($A568="","",[1]!thsiFinD("ths_adjustment_nv_fund",AK$3,$A568))</f>
        <v/>
      </c>
      <c r="AL568" s="13">
        <f>IF($A568="","",[1]!thsiFinD("ths_adjustment_nv_fund",AL$3,$A568))</f>
        <v/>
      </c>
    </row>
    <row r="569" spans="2:28">
      <c r="B569" s="13" t="str">
        <f>IF($A569="","",[1]!thsiFinD("ths_adjustment_nv_fund",B$3,$A569))</f>
        <v/>
      </c>
      <c r="C569" s="13" t="str">
        <f>IF($A569="","",[1]!thsiFinD("ths_adjustment_nv_fund",C$3,$A569))</f>
        <v/>
      </c>
      <c r="D569" s="13" t="str">
        <f>IF($A569="","",[1]!thsiFinD("ths_adjustment_nv_fund",D$3,$A569))</f>
        <v/>
      </c>
      <c r="E569" s="13" t="str">
        <f>IF($A569="","",[1]!thsiFinD("ths_adjustment_nv_fund",E$3,$A569))</f>
        <v/>
      </c>
      <c r="F569" s="13" t="str">
        <f>IF($A569="","",[1]!thsiFinD("ths_adjustment_nv_fund",F$3,$A569))</f>
        <v/>
      </c>
      <c r="G569" s="13" t="str">
        <f>IF($A569="","",[1]!thsiFinD("ths_adjustment_nv_fund",G$3,$A569))</f>
        <v/>
      </c>
      <c r="H569" s="13" t="str">
        <f>IF($A569="","",[1]!thsiFinD("ths_adjustment_nv_fund",H$3,$A569))</f>
        <v/>
      </c>
      <c r="I569" s="13" t="str">
        <f>IF($A569="","",[1]!thsiFinD("ths_adjustment_nv_fund",I$3,$A569))</f>
        <v/>
      </c>
      <c r="J569" s="13" t="str">
        <f>IF($A569="","",[1]!thsiFinD("ths_adjustment_nv_fund",J$3,$A569))</f>
        <v/>
      </c>
      <c r="K569" s="13" t="str">
        <f>IF($A569="","",[1]!thsiFinD("ths_adjustment_nv_fund",K$3,$A569))</f>
        <v/>
      </c>
      <c r="L569" s="13" t="str">
        <f>IF($A569="","",[1]!thsiFinD("ths_adjustment_nv_fund",L$3,$A569))</f>
        <v/>
      </c>
      <c r="M569" s="13" t="str">
        <f>IF($A569="","",[1]!thsiFinD("ths_adjustment_nv_fund",M$3,$A569))</f>
        <v/>
      </c>
      <c r="N569" s="13" t="str">
        <f>IF($A569="","",[1]!thsiFinD("ths_adjustment_nv_fund",N$3,$A569))</f>
        <v/>
      </c>
      <c r="O569" s="13" t="str">
        <f>IF($A569="","",[1]!thsiFinD("ths_adjustment_nv_fund",O$3,$A569))</f>
        <v/>
      </c>
      <c r="P569" s="13" t="str">
        <f>IF($A569="","",[1]!thsiFinD("ths_adjustment_nv_fund",P$3,$A569))</f>
        <v/>
      </c>
      <c r="Q569" s="13" t="str">
        <f>IF($A569="","",[1]!thsiFinD("ths_adjustment_nv_fund",Q$3,$A569))</f>
        <v/>
      </c>
      <c r="R569" s="13" t="str">
        <f>IF($A569="","",[1]!thsiFinD("ths_adjustment_nv_fund",R$3,$A569))</f>
        <v/>
      </c>
      <c r="S569" s="13" t="str">
        <f>IF($A569="","",[1]!thsiFinD("ths_adjustment_nv_fund",S$3,$A569))</f>
        <v/>
      </c>
      <c r="T569" s="13" t="str">
        <f>IF($A569="","",[1]!thsiFinD("ths_adjustment_nv_fund",T$3,$A569))</f>
        <v/>
      </c>
      <c r="U569" s="13" t="str">
        <f>IF($A569="","",[1]!thsiFinD("ths_adjustment_nv_fund",U$3,$A569))</f>
        <v/>
      </c>
      <c r="V569" s="13" t="str">
        <f>IF($A569="","",[1]!thsiFinD("ths_adjustment_nv_fund",V$3,$A569))</f>
        <v/>
      </c>
      <c r="W569" s="13" t="str">
        <f>IF($A569="","",[1]!thsiFinD("ths_adjustment_nv_fund",W$3,$A569))</f>
        <v/>
      </c>
      <c r="X569" s="13" t="str">
        <f>IF($A569="","",[1]!thsiFinD("ths_adjustment_nv_fund",X$3,$A569))</f>
        <v/>
      </c>
      <c r="Y569" s="13" t="str">
        <f>IF($A569="","",[1]!thsiFinD("ths_adjustment_nv_fund",Y$3,$A569))</f>
        <v/>
      </c>
      <c r="Z569" s="13" t="str">
        <f>IF($A569="","",[1]!thsiFinD("ths_adjustment_nv_fund",Z$3,$A569))</f>
        <v/>
      </c>
      <c r="AA569" s="13" t="str">
        <f>IF($A569="","",[1]!thsiFinD("ths_adjustment_nv_fund",AA$3,$A569))</f>
        <v/>
      </c>
      <c r="AB569" s="13">
        <f>IF($A569="","",[1]!thsiFinD("ths_adjustment_nv_fund",AB$3,$A569))</f>
        <v/>
      </c>
      <c r="AC569" s="13">
        <f>IF($A569="","",[1]!thsiFinD("ths_adjustment_nv_fund",AC$3,$A569))</f>
        <v/>
      </c>
      <c r="AD569" s="13">
        <f>IF($A569="","",[1]!thsiFinD("ths_adjustment_nv_fund",AD$3,$A569))</f>
        <v/>
      </c>
      <c r="AE569" s="13">
        <f>IF($A569="","",[1]!thsiFinD("ths_adjustment_nv_fund",AE$3,$A569))</f>
        <v/>
      </c>
      <c r="AF569" s="13">
        <f>IF($A569="","",[1]!thsiFinD("ths_adjustment_nv_fund",AF$3,$A569))</f>
        <v/>
      </c>
      <c r="AG569" s="13">
        <f>IF($A569="","",[1]!thsiFinD("ths_adjustment_nv_fund",AG$3,$A569))</f>
        <v/>
      </c>
      <c r="AH569" s="13">
        <f>IF($A569="","",[1]!thsiFinD("ths_adjustment_nv_fund",AH$3,$A569))</f>
        <v/>
      </c>
      <c r="AI569" s="13">
        <f>IF($A569="","",[1]!thsiFinD("ths_adjustment_nv_fund",AI$3,$A569))</f>
        <v/>
      </c>
      <c r="AJ569" s="13">
        <f>IF($A569="","",[1]!thsiFinD("ths_adjustment_nv_fund",AJ$3,$A569))</f>
        <v/>
      </c>
      <c r="AK569" s="13">
        <f>IF($A569="","",[1]!thsiFinD("ths_adjustment_nv_fund",AK$3,$A569))</f>
        <v/>
      </c>
      <c r="AL569" s="13">
        <f>IF($A569="","",[1]!thsiFinD("ths_adjustment_nv_fund",AL$3,$A569))</f>
        <v/>
      </c>
    </row>
    <row r="570" spans="2:28">
      <c r="B570" s="13" t="str">
        <f>IF($A570="","",[1]!thsiFinD("ths_adjustment_nv_fund",B$3,$A570))</f>
        <v/>
      </c>
      <c r="C570" s="13" t="str">
        <f>IF($A570="","",[1]!thsiFinD("ths_adjustment_nv_fund",C$3,$A570))</f>
        <v/>
      </c>
      <c r="D570" s="13" t="str">
        <f>IF($A570="","",[1]!thsiFinD("ths_adjustment_nv_fund",D$3,$A570))</f>
        <v/>
      </c>
      <c r="E570" s="13" t="str">
        <f>IF($A570="","",[1]!thsiFinD("ths_adjustment_nv_fund",E$3,$A570))</f>
        <v/>
      </c>
      <c r="F570" s="13" t="str">
        <f>IF($A570="","",[1]!thsiFinD("ths_adjustment_nv_fund",F$3,$A570))</f>
        <v/>
      </c>
      <c r="G570" s="13" t="str">
        <f>IF($A570="","",[1]!thsiFinD("ths_adjustment_nv_fund",G$3,$A570))</f>
        <v/>
      </c>
      <c r="H570" s="13" t="str">
        <f>IF($A570="","",[1]!thsiFinD("ths_adjustment_nv_fund",H$3,$A570))</f>
        <v/>
      </c>
      <c r="I570" s="13" t="str">
        <f>IF($A570="","",[1]!thsiFinD("ths_adjustment_nv_fund",I$3,$A570))</f>
        <v/>
      </c>
      <c r="J570" s="13" t="str">
        <f>IF($A570="","",[1]!thsiFinD("ths_adjustment_nv_fund",J$3,$A570))</f>
        <v/>
      </c>
      <c r="K570" s="13" t="str">
        <f>IF($A570="","",[1]!thsiFinD("ths_adjustment_nv_fund",K$3,$A570))</f>
        <v/>
      </c>
      <c r="L570" s="13" t="str">
        <f>IF($A570="","",[1]!thsiFinD("ths_adjustment_nv_fund",L$3,$A570))</f>
        <v/>
      </c>
      <c r="M570" s="13" t="str">
        <f>IF($A570="","",[1]!thsiFinD("ths_adjustment_nv_fund",M$3,$A570))</f>
        <v/>
      </c>
      <c r="N570" s="13" t="str">
        <f>IF($A570="","",[1]!thsiFinD("ths_adjustment_nv_fund",N$3,$A570))</f>
        <v/>
      </c>
      <c r="O570" s="13" t="str">
        <f>IF($A570="","",[1]!thsiFinD("ths_adjustment_nv_fund",O$3,$A570))</f>
        <v/>
      </c>
      <c r="P570" s="13" t="str">
        <f>IF($A570="","",[1]!thsiFinD("ths_adjustment_nv_fund",P$3,$A570))</f>
        <v/>
      </c>
      <c r="Q570" s="13" t="str">
        <f>IF($A570="","",[1]!thsiFinD("ths_adjustment_nv_fund",Q$3,$A570))</f>
        <v/>
      </c>
      <c r="R570" s="13" t="str">
        <f>IF($A570="","",[1]!thsiFinD("ths_adjustment_nv_fund",R$3,$A570))</f>
        <v/>
      </c>
      <c r="S570" s="13" t="str">
        <f>IF($A570="","",[1]!thsiFinD("ths_adjustment_nv_fund",S$3,$A570))</f>
        <v/>
      </c>
      <c r="T570" s="13" t="str">
        <f>IF($A570="","",[1]!thsiFinD("ths_adjustment_nv_fund",T$3,$A570))</f>
        <v/>
      </c>
      <c r="U570" s="13" t="str">
        <f>IF($A570="","",[1]!thsiFinD("ths_adjustment_nv_fund",U$3,$A570))</f>
        <v/>
      </c>
      <c r="V570" s="13" t="str">
        <f>IF($A570="","",[1]!thsiFinD("ths_adjustment_nv_fund",V$3,$A570))</f>
        <v/>
      </c>
      <c r="W570" s="13" t="str">
        <f>IF($A570="","",[1]!thsiFinD("ths_adjustment_nv_fund",W$3,$A570))</f>
        <v/>
      </c>
      <c r="X570" s="13" t="str">
        <f>IF($A570="","",[1]!thsiFinD("ths_adjustment_nv_fund",X$3,$A570))</f>
        <v/>
      </c>
      <c r="Y570" s="13" t="str">
        <f>IF($A570="","",[1]!thsiFinD("ths_adjustment_nv_fund",Y$3,$A570))</f>
        <v/>
      </c>
      <c r="Z570" s="13" t="str">
        <f>IF($A570="","",[1]!thsiFinD("ths_adjustment_nv_fund",Z$3,$A570))</f>
        <v/>
      </c>
      <c r="AA570" s="13" t="str">
        <f>IF($A570="","",[1]!thsiFinD("ths_adjustment_nv_fund",AA$3,$A570))</f>
        <v/>
      </c>
      <c r="AB570" s="13">
        <f>IF($A570="","",[1]!thsiFinD("ths_adjustment_nv_fund",AB$3,$A570))</f>
        <v/>
      </c>
      <c r="AC570" s="13">
        <f>IF($A570="","",[1]!thsiFinD("ths_adjustment_nv_fund",AC$3,$A570))</f>
        <v/>
      </c>
      <c r="AD570" s="13">
        <f>IF($A570="","",[1]!thsiFinD("ths_adjustment_nv_fund",AD$3,$A570))</f>
        <v/>
      </c>
      <c r="AE570" s="13">
        <f>IF($A570="","",[1]!thsiFinD("ths_adjustment_nv_fund",AE$3,$A570))</f>
        <v/>
      </c>
      <c r="AF570" s="13">
        <f>IF($A570="","",[1]!thsiFinD("ths_adjustment_nv_fund",AF$3,$A570))</f>
        <v/>
      </c>
      <c r="AG570" s="13">
        <f>IF($A570="","",[1]!thsiFinD("ths_adjustment_nv_fund",AG$3,$A570))</f>
        <v/>
      </c>
      <c r="AH570" s="13">
        <f>IF($A570="","",[1]!thsiFinD("ths_adjustment_nv_fund",AH$3,$A570))</f>
        <v/>
      </c>
      <c r="AI570" s="13">
        <f>IF($A570="","",[1]!thsiFinD("ths_adjustment_nv_fund",AI$3,$A570))</f>
        <v/>
      </c>
      <c r="AJ570" s="13">
        <f>IF($A570="","",[1]!thsiFinD("ths_adjustment_nv_fund",AJ$3,$A570))</f>
        <v/>
      </c>
      <c r="AK570" s="13">
        <f>IF($A570="","",[1]!thsiFinD("ths_adjustment_nv_fund",AK$3,$A570))</f>
        <v/>
      </c>
      <c r="AL570" s="13">
        <f>IF($A570="","",[1]!thsiFinD("ths_adjustment_nv_fund",AL$3,$A570))</f>
        <v/>
      </c>
    </row>
    <row r="571" spans="2:28">
      <c r="B571" s="13" t="str">
        <f>IF($A571="","",[1]!thsiFinD("ths_adjustment_nv_fund",B$3,$A571))</f>
        <v/>
      </c>
      <c r="C571" s="13" t="str">
        <f>IF($A571="","",[1]!thsiFinD("ths_adjustment_nv_fund",C$3,$A571))</f>
        <v/>
      </c>
      <c r="D571" s="13" t="str">
        <f>IF($A571="","",[1]!thsiFinD("ths_adjustment_nv_fund",D$3,$A571))</f>
        <v/>
      </c>
      <c r="E571" s="13" t="str">
        <f>IF($A571="","",[1]!thsiFinD("ths_adjustment_nv_fund",E$3,$A571))</f>
        <v/>
      </c>
      <c r="F571" s="13" t="str">
        <f>IF($A571="","",[1]!thsiFinD("ths_adjustment_nv_fund",F$3,$A571))</f>
        <v/>
      </c>
      <c r="G571" s="13" t="str">
        <f>IF($A571="","",[1]!thsiFinD("ths_adjustment_nv_fund",G$3,$A571))</f>
        <v/>
      </c>
      <c r="H571" s="13" t="str">
        <f>IF($A571="","",[1]!thsiFinD("ths_adjustment_nv_fund",H$3,$A571))</f>
        <v/>
      </c>
      <c r="I571" s="13" t="str">
        <f>IF($A571="","",[1]!thsiFinD("ths_adjustment_nv_fund",I$3,$A571))</f>
        <v/>
      </c>
      <c r="J571" s="13" t="str">
        <f>IF($A571="","",[1]!thsiFinD("ths_adjustment_nv_fund",J$3,$A571))</f>
        <v/>
      </c>
      <c r="K571" s="13" t="str">
        <f>IF($A571="","",[1]!thsiFinD("ths_adjustment_nv_fund",K$3,$A571))</f>
        <v/>
      </c>
      <c r="L571" s="13" t="str">
        <f>IF($A571="","",[1]!thsiFinD("ths_adjustment_nv_fund",L$3,$A571))</f>
        <v/>
      </c>
      <c r="M571" s="13" t="str">
        <f>IF($A571="","",[1]!thsiFinD("ths_adjustment_nv_fund",M$3,$A571))</f>
        <v/>
      </c>
      <c r="N571" s="13" t="str">
        <f>IF($A571="","",[1]!thsiFinD("ths_adjustment_nv_fund",N$3,$A571))</f>
        <v/>
      </c>
      <c r="O571" s="13" t="str">
        <f>IF($A571="","",[1]!thsiFinD("ths_adjustment_nv_fund",O$3,$A571))</f>
        <v/>
      </c>
      <c r="P571" s="13" t="str">
        <f>IF($A571="","",[1]!thsiFinD("ths_adjustment_nv_fund",P$3,$A571))</f>
        <v/>
      </c>
      <c r="Q571" s="13" t="str">
        <f>IF($A571="","",[1]!thsiFinD("ths_adjustment_nv_fund",Q$3,$A571))</f>
        <v/>
      </c>
      <c r="R571" s="13" t="str">
        <f>IF($A571="","",[1]!thsiFinD("ths_adjustment_nv_fund",R$3,$A571))</f>
        <v/>
      </c>
      <c r="S571" s="13" t="str">
        <f>IF($A571="","",[1]!thsiFinD("ths_adjustment_nv_fund",S$3,$A571))</f>
        <v/>
      </c>
      <c r="T571" s="13" t="str">
        <f>IF($A571="","",[1]!thsiFinD("ths_adjustment_nv_fund",T$3,$A571))</f>
        <v/>
      </c>
      <c r="U571" s="13" t="str">
        <f>IF($A571="","",[1]!thsiFinD("ths_adjustment_nv_fund",U$3,$A571))</f>
        <v/>
      </c>
      <c r="V571" s="13" t="str">
        <f>IF($A571="","",[1]!thsiFinD("ths_adjustment_nv_fund",V$3,$A571))</f>
        <v/>
      </c>
      <c r="W571" s="13" t="str">
        <f>IF($A571="","",[1]!thsiFinD("ths_adjustment_nv_fund",W$3,$A571))</f>
        <v/>
      </c>
      <c r="X571" s="13" t="str">
        <f>IF($A571="","",[1]!thsiFinD("ths_adjustment_nv_fund",X$3,$A571))</f>
        <v/>
      </c>
      <c r="Y571" s="13" t="str">
        <f>IF($A571="","",[1]!thsiFinD("ths_adjustment_nv_fund",Y$3,$A571))</f>
        <v/>
      </c>
      <c r="Z571" s="13" t="str">
        <f>IF($A571="","",[1]!thsiFinD("ths_adjustment_nv_fund",Z$3,$A571))</f>
        <v/>
      </c>
      <c r="AA571" s="13" t="str">
        <f>IF($A571="","",[1]!thsiFinD("ths_adjustment_nv_fund",AA$3,$A571))</f>
        <v/>
      </c>
      <c r="AB571" s="13">
        <f>IF($A571="","",[1]!thsiFinD("ths_adjustment_nv_fund",AB$3,$A571))</f>
        <v/>
      </c>
      <c r="AC571" s="13">
        <f>IF($A571="","",[1]!thsiFinD("ths_adjustment_nv_fund",AC$3,$A571))</f>
        <v/>
      </c>
      <c r="AD571" s="13">
        <f>IF($A571="","",[1]!thsiFinD("ths_adjustment_nv_fund",AD$3,$A571))</f>
        <v/>
      </c>
      <c r="AE571" s="13">
        <f>IF($A571="","",[1]!thsiFinD("ths_adjustment_nv_fund",AE$3,$A571))</f>
        <v/>
      </c>
      <c r="AF571" s="13">
        <f>IF($A571="","",[1]!thsiFinD("ths_adjustment_nv_fund",AF$3,$A571))</f>
        <v/>
      </c>
      <c r="AG571" s="13">
        <f>IF($A571="","",[1]!thsiFinD("ths_adjustment_nv_fund",AG$3,$A571))</f>
        <v/>
      </c>
      <c r="AH571" s="13">
        <f>IF($A571="","",[1]!thsiFinD("ths_adjustment_nv_fund",AH$3,$A571))</f>
        <v/>
      </c>
      <c r="AI571" s="13">
        <f>IF($A571="","",[1]!thsiFinD("ths_adjustment_nv_fund",AI$3,$A571))</f>
        <v/>
      </c>
      <c r="AJ571" s="13">
        <f>IF($A571="","",[1]!thsiFinD("ths_adjustment_nv_fund",AJ$3,$A571))</f>
        <v/>
      </c>
      <c r="AK571" s="13">
        <f>IF($A571="","",[1]!thsiFinD("ths_adjustment_nv_fund",AK$3,$A571))</f>
        <v/>
      </c>
      <c r="AL571" s="13">
        <f>IF($A571="","",[1]!thsiFinD("ths_adjustment_nv_fund",AL$3,$A571))</f>
        <v/>
      </c>
    </row>
    <row r="572" spans="2:28">
      <c r="B572" s="13" t="str">
        <f>IF($A572="","",[1]!thsiFinD("ths_adjustment_nv_fund",B$3,$A572))</f>
        <v/>
      </c>
      <c r="C572" s="13" t="str">
        <f>IF($A572="","",[1]!thsiFinD("ths_adjustment_nv_fund",C$3,$A572))</f>
        <v/>
      </c>
      <c r="D572" s="13" t="str">
        <f>IF($A572="","",[1]!thsiFinD("ths_adjustment_nv_fund",D$3,$A572))</f>
        <v/>
      </c>
      <c r="E572" s="13" t="str">
        <f>IF($A572="","",[1]!thsiFinD("ths_adjustment_nv_fund",E$3,$A572))</f>
        <v/>
      </c>
      <c r="F572" s="13" t="str">
        <f>IF($A572="","",[1]!thsiFinD("ths_adjustment_nv_fund",F$3,$A572))</f>
        <v/>
      </c>
      <c r="G572" s="13" t="str">
        <f>IF($A572="","",[1]!thsiFinD("ths_adjustment_nv_fund",G$3,$A572))</f>
        <v/>
      </c>
      <c r="H572" s="13" t="str">
        <f>IF($A572="","",[1]!thsiFinD("ths_adjustment_nv_fund",H$3,$A572))</f>
        <v/>
      </c>
      <c r="I572" s="13" t="str">
        <f>IF($A572="","",[1]!thsiFinD("ths_adjustment_nv_fund",I$3,$A572))</f>
        <v/>
      </c>
      <c r="J572" s="13" t="str">
        <f>IF($A572="","",[1]!thsiFinD("ths_adjustment_nv_fund",J$3,$A572))</f>
        <v/>
      </c>
      <c r="K572" s="13" t="str">
        <f>IF($A572="","",[1]!thsiFinD("ths_adjustment_nv_fund",K$3,$A572))</f>
        <v/>
      </c>
      <c r="L572" s="13" t="str">
        <f>IF($A572="","",[1]!thsiFinD("ths_adjustment_nv_fund",L$3,$A572))</f>
        <v/>
      </c>
      <c r="M572" s="13" t="str">
        <f>IF($A572="","",[1]!thsiFinD("ths_adjustment_nv_fund",M$3,$A572))</f>
        <v/>
      </c>
      <c r="N572" s="13" t="str">
        <f>IF($A572="","",[1]!thsiFinD("ths_adjustment_nv_fund",N$3,$A572))</f>
        <v/>
      </c>
      <c r="O572" s="13" t="str">
        <f>IF($A572="","",[1]!thsiFinD("ths_adjustment_nv_fund",O$3,$A572))</f>
        <v/>
      </c>
      <c r="P572" s="13" t="str">
        <f>IF($A572="","",[1]!thsiFinD("ths_adjustment_nv_fund",P$3,$A572))</f>
        <v/>
      </c>
      <c r="Q572" s="13" t="str">
        <f>IF($A572="","",[1]!thsiFinD("ths_adjustment_nv_fund",Q$3,$A572))</f>
        <v/>
      </c>
      <c r="R572" s="13" t="str">
        <f>IF($A572="","",[1]!thsiFinD("ths_adjustment_nv_fund",R$3,$A572))</f>
        <v/>
      </c>
      <c r="S572" s="13" t="str">
        <f>IF($A572="","",[1]!thsiFinD("ths_adjustment_nv_fund",S$3,$A572))</f>
        <v/>
      </c>
      <c r="T572" s="13" t="str">
        <f>IF($A572="","",[1]!thsiFinD("ths_adjustment_nv_fund",T$3,$A572))</f>
        <v/>
      </c>
      <c r="U572" s="13" t="str">
        <f>IF($A572="","",[1]!thsiFinD("ths_adjustment_nv_fund",U$3,$A572))</f>
        <v/>
      </c>
      <c r="V572" s="13" t="str">
        <f>IF($A572="","",[1]!thsiFinD("ths_adjustment_nv_fund",V$3,$A572))</f>
        <v/>
      </c>
      <c r="W572" s="13" t="str">
        <f>IF($A572="","",[1]!thsiFinD("ths_adjustment_nv_fund",W$3,$A572))</f>
        <v/>
      </c>
      <c r="X572" s="13" t="str">
        <f>IF($A572="","",[1]!thsiFinD("ths_adjustment_nv_fund",X$3,$A572))</f>
        <v/>
      </c>
      <c r="Y572" s="13" t="str">
        <f>IF($A572="","",[1]!thsiFinD("ths_adjustment_nv_fund",Y$3,$A572))</f>
        <v/>
      </c>
      <c r="Z572" s="13" t="str">
        <f>IF($A572="","",[1]!thsiFinD("ths_adjustment_nv_fund",Z$3,$A572))</f>
        <v/>
      </c>
      <c r="AA572" s="13" t="str">
        <f>IF($A572="","",[1]!thsiFinD("ths_adjustment_nv_fund",AA$3,$A572))</f>
        <v/>
      </c>
      <c r="AB572" s="13">
        <f>IF($A572="","",[1]!thsiFinD("ths_adjustment_nv_fund",AB$3,$A572))</f>
        <v/>
      </c>
      <c r="AC572" s="13">
        <f>IF($A572="","",[1]!thsiFinD("ths_adjustment_nv_fund",AC$3,$A572))</f>
        <v/>
      </c>
      <c r="AD572" s="13">
        <f>IF($A572="","",[1]!thsiFinD("ths_adjustment_nv_fund",AD$3,$A572))</f>
        <v/>
      </c>
      <c r="AE572" s="13">
        <f>IF($A572="","",[1]!thsiFinD("ths_adjustment_nv_fund",AE$3,$A572))</f>
        <v/>
      </c>
      <c r="AF572" s="13">
        <f>IF($A572="","",[1]!thsiFinD("ths_adjustment_nv_fund",AF$3,$A572))</f>
        <v/>
      </c>
      <c r="AG572" s="13">
        <f>IF($A572="","",[1]!thsiFinD("ths_adjustment_nv_fund",AG$3,$A572))</f>
        <v/>
      </c>
      <c r="AH572" s="13">
        <f>IF($A572="","",[1]!thsiFinD("ths_adjustment_nv_fund",AH$3,$A572))</f>
        <v/>
      </c>
      <c r="AI572" s="13">
        <f>IF($A572="","",[1]!thsiFinD("ths_adjustment_nv_fund",AI$3,$A572))</f>
        <v/>
      </c>
      <c r="AJ572" s="13">
        <f>IF($A572="","",[1]!thsiFinD("ths_adjustment_nv_fund",AJ$3,$A572))</f>
        <v/>
      </c>
      <c r="AK572" s="13">
        <f>IF($A572="","",[1]!thsiFinD("ths_adjustment_nv_fund",AK$3,$A572))</f>
        <v/>
      </c>
      <c r="AL572" s="13">
        <f>IF($A572="","",[1]!thsiFinD("ths_adjustment_nv_fund",AL$3,$A572))</f>
        <v/>
      </c>
    </row>
    <row r="573" spans="2:28">
      <c r="B573" s="13" t="str">
        <f>IF($A573="","",[1]!thsiFinD("ths_adjustment_nv_fund",B$3,$A573))</f>
        <v/>
      </c>
      <c r="C573" s="13" t="str">
        <f>IF($A573="","",[1]!thsiFinD("ths_adjustment_nv_fund",C$3,$A573))</f>
        <v/>
      </c>
      <c r="D573" s="13" t="str">
        <f>IF($A573="","",[1]!thsiFinD("ths_adjustment_nv_fund",D$3,$A573))</f>
        <v/>
      </c>
      <c r="E573" s="13" t="str">
        <f>IF($A573="","",[1]!thsiFinD("ths_adjustment_nv_fund",E$3,$A573))</f>
        <v/>
      </c>
      <c r="F573" s="13" t="str">
        <f>IF($A573="","",[1]!thsiFinD("ths_adjustment_nv_fund",F$3,$A573))</f>
        <v/>
      </c>
      <c r="G573" s="13" t="str">
        <f>IF($A573="","",[1]!thsiFinD("ths_adjustment_nv_fund",G$3,$A573))</f>
        <v/>
      </c>
      <c r="H573" s="13" t="str">
        <f>IF($A573="","",[1]!thsiFinD("ths_adjustment_nv_fund",H$3,$A573))</f>
        <v/>
      </c>
      <c r="I573" s="13" t="str">
        <f>IF($A573="","",[1]!thsiFinD("ths_adjustment_nv_fund",I$3,$A573))</f>
        <v/>
      </c>
      <c r="J573" s="13" t="str">
        <f>IF($A573="","",[1]!thsiFinD("ths_adjustment_nv_fund",J$3,$A573))</f>
        <v/>
      </c>
      <c r="K573" s="13" t="str">
        <f>IF($A573="","",[1]!thsiFinD("ths_adjustment_nv_fund",K$3,$A573))</f>
        <v/>
      </c>
      <c r="L573" s="13" t="str">
        <f>IF($A573="","",[1]!thsiFinD("ths_adjustment_nv_fund",L$3,$A573))</f>
        <v/>
      </c>
      <c r="M573" s="13" t="str">
        <f>IF($A573="","",[1]!thsiFinD("ths_adjustment_nv_fund",M$3,$A573))</f>
        <v/>
      </c>
      <c r="N573" s="13" t="str">
        <f>IF($A573="","",[1]!thsiFinD("ths_adjustment_nv_fund",N$3,$A573))</f>
        <v/>
      </c>
      <c r="O573" s="13" t="str">
        <f>IF($A573="","",[1]!thsiFinD("ths_adjustment_nv_fund",O$3,$A573))</f>
        <v/>
      </c>
      <c r="P573" s="13" t="str">
        <f>IF($A573="","",[1]!thsiFinD("ths_adjustment_nv_fund",P$3,$A573))</f>
        <v/>
      </c>
      <c r="Q573" s="13" t="str">
        <f>IF($A573="","",[1]!thsiFinD("ths_adjustment_nv_fund",Q$3,$A573))</f>
        <v/>
      </c>
      <c r="R573" s="13" t="str">
        <f>IF($A573="","",[1]!thsiFinD("ths_adjustment_nv_fund",R$3,$A573))</f>
        <v/>
      </c>
      <c r="S573" s="13" t="str">
        <f>IF($A573="","",[1]!thsiFinD("ths_adjustment_nv_fund",S$3,$A573))</f>
        <v/>
      </c>
      <c r="T573" s="13" t="str">
        <f>IF($A573="","",[1]!thsiFinD("ths_adjustment_nv_fund",T$3,$A573))</f>
        <v/>
      </c>
      <c r="U573" s="13" t="str">
        <f>IF($A573="","",[1]!thsiFinD("ths_adjustment_nv_fund",U$3,$A573))</f>
        <v/>
      </c>
      <c r="V573" s="13" t="str">
        <f>IF($A573="","",[1]!thsiFinD("ths_adjustment_nv_fund",V$3,$A573))</f>
        <v/>
      </c>
      <c r="W573" s="13" t="str">
        <f>IF($A573="","",[1]!thsiFinD("ths_adjustment_nv_fund",W$3,$A573))</f>
        <v/>
      </c>
      <c r="X573" s="13" t="str">
        <f>IF($A573="","",[1]!thsiFinD("ths_adjustment_nv_fund",X$3,$A573))</f>
        <v/>
      </c>
      <c r="Y573" s="13" t="str">
        <f>IF($A573="","",[1]!thsiFinD("ths_adjustment_nv_fund",Y$3,$A573))</f>
        <v/>
      </c>
      <c r="Z573" s="13" t="str">
        <f>IF($A573="","",[1]!thsiFinD("ths_adjustment_nv_fund",Z$3,$A573))</f>
        <v/>
      </c>
      <c r="AA573" s="13" t="str">
        <f>IF($A573="","",[1]!thsiFinD("ths_adjustment_nv_fund",AA$3,$A573))</f>
        <v/>
      </c>
      <c r="AB573" s="13">
        <f>IF($A573="","",[1]!thsiFinD("ths_adjustment_nv_fund",AB$3,$A573))</f>
        <v/>
      </c>
      <c r="AC573" s="13">
        <f>IF($A573="","",[1]!thsiFinD("ths_adjustment_nv_fund",AC$3,$A573))</f>
        <v/>
      </c>
      <c r="AD573" s="13">
        <f>IF($A573="","",[1]!thsiFinD("ths_adjustment_nv_fund",AD$3,$A573))</f>
        <v/>
      </c>
      <c r="AE573" s="13">
        <f>IF($A573="","",[1]!thsiFinD("ths_adjustment_nv_fund",AE$3,$A573))</f>
        <v/>
      </c>
      <c r="AF573" s="13">
        <f>IF($A573="","",[1]!thsiFinD("ths_adjustment_nv_fund",AF$3,$A573))</f>
        <v/>
      </c>
      <c r="AG573" s="13">
        <f>IF($A573="","",[1]!thsiFinD("ths_adjustment_nv_fund",AG$3,$A573))</f>
        <v/>
      </c>
      <c r="AH573" s="13">
        <f>IF($A573="","",[1]!thsiFinD("ths_adjustment_nv_fund",AH$3,$A573))</f>
        <v/>
      </c>
      <c r="AI573" s="13">
        <f>IF($A573="","",[1]!thsiFinD("ths_adjustment_nv_fund",AI$3,$A573))</f>
        <v/>
      </c>
      <c r="AJ573" s="13">
        <f>IF($A573="","",[1]!thsiFinD("ths_adjustment_nv_fund",AJ$3,$A573))</f>
        <v/>
      </c>
      <c r="AK573" s="13">
        <f>IF($A573="","",[1]!thsiFinD("ths_adjustment_nv_fund",AK$3,$A573))</f>
        <v/>
      </c>
      <c r="AL573" s="13">
        <f>IF($A573="","",[1]!thsiFinD("ths_adjustment_nv_fund",AL$3,$A573))</f>
        <v/>
      </c>
    </row>
    <row r="574" spans="2:28">
      <c r="B574" s="13" t="str">
        <f>IF($A574="","",[1]!thsiFinD("ths_adjustment_nv_fund",B$3,$A574))</f>
        <v/>
      </c>
      <c r="C574" s="13" t="str">
        <f>IF($A574="","",[1]!thsiFinD("ths_adjustment_nv_fund",C$3,$A574))</f>
        <v/>
      </c>
      <c r="D574" s="13" t="str">
        <f>IF($A574="","",[1]!thsiFinD("ths_adjustment_nv_fund",D$3,$A574))</f>
        <v/>
      </c>
      <c r="E574" s="13" t="str">
        <f>IF($A574="","",[1]!thsiFinD("ths_adjustment_nv_fund",E$3,$A574))</f>
        <v/>
      </c>
      <c r="F574" s="13" t="str">
        <f>IF($A574="","",[1]!thsiFinD("ths_adjustment_nv_fund",F$3,$A574))</f>
        <v/>
      </c>
      <c r="G574" s="13" t="str">
        <f>IF($A574="","",[1]!thsiFinD("ths_adjustment_nv_fund",G$3,$A574))</f>
        <v/>
      </c>
      <c r="H574" s="13" t="str">
        <f>IF($A574="","",[1]!thsiFinD("ths_adjustment_nv_fund",H$3,$A574))</f>
        <v/>
      </c>
      <c r="I574" s="13" t="str">
        <f>IF($A574="","",[1]!thsiFinD("ths_adjustment_nv_fund",I$3,$A574))</f>
        <v/>
      </c>
      <c r="J574" s="13" t="str">
        <f>IF($A574="","",[1]!thsiFinD("ths_adjustment_nv_fund",J$3,$A574))</f>
        <v/>
      </c>
      <c r="K574" s="13" t="str">
        <f>IF($A574="","",[1]!thsiFinD("ths_adjustment_nv_fund",K$3,$A574))</f>
        <v/>
      </c>
      <c r="L574" s="13" t="str">
        <f>IF($A574="","",[1]!thsiFinD("ths_adjustment_nv_fund",L$3,$A574))</f>
        <v/>
      </c>
      <c r="M574" s="13" t="str">
        <f>IF($A574="","",[1]!thsiFinD("ths_adjustment_nv_fund",M$3,$A574))</f>
        <v/>
      </c>
      <c r="N574" s="13" t="str">
        <f>IF($A574="","",[1]!thsiFinD("ths_adjustment_nv_fund",N$3,$A574))</f>
        <v/>
      </c>
      <c r="O574" s="13" t="str">
        <f>IF($A574="","",[1]!thsiFinD("ths_adjustment_nv_fund",O$3,$A574))</f>
        <v/>
      </c>
      <c r="P574" s="13" t="str">
        <f>IF($A574="","",[1]!thsiFinD("ths_adjustment_nv_fund",P$3,$A574))</f>
        <v/>
      </c>
      <c r="Q574" s="13" t="str">
        <f>IF($A574="","",[1]!thsiFinD("ths_adjustment_nv_fund",Q$3,$A574))</f>
        <v/>
      </c>
      <c r="R574" s="13" t="str">
        <f>IF($A574="","",[1]!thsiFinD("ths_adjustment_nv_fund",R$3,$A574))</f>
        <v/>
      </c>
      <c r="S574" s="13" t="str">
        <f>IF($A574="","",[1]!thsiFinD("ths_adjustment_nv_fund",S$3,$A574))</f>
        <v/>
      </c>
      <c r="T574" s="13" t="str">
        <f>IF($A574="","",[1]!thsiFinD("ths_adjustment_nv_fund",T$3,$A574))</f>
        <v/>
      </c>
      <c r="U574" s="13" t="str">
        <f>IF($A574="","",[1]!thsiFinD("ths_adjustment_nv_fund",U$3,$A574))</f>
        <v/>
      </c>
      <c r="V574" s="13" t="str">
        <f>IF($A574="","",[1]!thsiFinD("ths_adjustment_nv_fund",V$3,$A574))</f>
        <v/>
      </c>
      <c r="W574" s="13" t="str">
        <f>IF($A574="","",[1]!thsiFinD("ths_adjustment_nv_fund",W$3,$A574))</f>
        <v/>
      </c>
      <c r="X574" s="13" t="str">
        <f>IF($A574="","",[1]!thsiFinD("ths_adjustment_nv_fund",X$3,$A574))</f>
        <v/>
      </c>
      <c r="Y574" s="13" t="str">
        <f>IF($A574="","",[1]!thsiFinD("ths_adjustment_nv_fund",Y$3,$A574))</f>
        <v/>
      </c>
      <c r="Z574" s="13" t="str">
        <f>IF($A574="","",[1]!thsiFinD("ths_adjustment_nv_fund",Z$3,$A574))</f>
        <v/>
      </c>
      <c r="AA574" s="13" t="str">
        <f>IF($A574="","",[1]!thsiFinD("ths_adjustment_nv_fund",AA$3,$A574))</f>
        <v/>
      </c>
      <c r="AB574" s="13">
        <f>IF($A574="","",[1]!thsiFinD("ths_adjustment_nv_fund",AB$3,$A574))</f>
        <v/>
      </c>
      <c r="AC574" s="13">
        <f>IF($A574="","",[1]!thsiFinD("ths_adjustment_nv_fund",AC$3,$A574))</f>
        <v/>
      </c>
      <c r="AD574" s="13">
        <f>IF($A574="","",[1]!thsiFinD("ths_adjustment_nv_fund",AD$3,$A574))</f>
        <v/>
      </c>
      <c r="AE574" s="13">
        <f>IF($A574="","",[1]!thsiFinD("ths_adjustment_nv_fund",AE$3,$A574))</f>
        <v/>
      </c>
      <c r="AF574" s="13">
        <f>IF($A574="","",[1]!thsiFinD("ths_adjustment_nv_fund",AF$3,$A574))</f>
        <v/>
      </c>
      <c r="AG574" s="13">
        <f>IF($A574="","",[1]!thsiFinD("ths_adjustment_nv_fund",AG$3,$A574))</f>
        <v/>
      </c>
      <c r="AH574" s="13">
        <f>IF($A574="","",[1]!thsiFinD("ths_adjustment_nv_fund",AH$3,$A574))</f>
        <v/>
      </c>
      <c r="AI574" s="13">
        <f>IF($A574="","",[1]!thsiFinD("ths_adjustment_nv_fund",AI$3,$A574))</f>
        <v/>
      </c>
      <c r="AJ574" s="13">
        <f>IF($A574="","",[1]!thsiFinD("ths_adjustment_nv_fund",AJ$3,$A574))</f>
        <v/>
      </c>
      <c r="AK574" s="13">
        <f>IF($A574="","",[1]!thsiFinD("ths_adjustment_nv_fund",AK$3,$A574))</f>
        <v/>
      </c>
      <c r="AL574" s="13">
        <f>IF($A574="","",[1]!thsiFinD("ths_adjustment_nv_fund",AL$3,$A574))</f>
        <v/>
      </c>
    </row>
    <row r="575" spans="2:28">
      <c r="B575" s="13" t="str">
        <f>IF($A575="","",[1]!thsiFinD("ths_adjustment_nv_fund",B$3,$A575))</f>
        <v/>
      </c>
      <c r="C575" s="13" t="str">
        <f>IF($A575="","",[1]!thsiFinD("ths_adjustment_nv_fund",C$3,$A575))</f>
        <v/>
      </c>
      <c r="D575" s="13" t="str">
        <f>IF($A575="","",[1]!thsiFinD("ths_adjustment_nv_fund",D$3,$A575))</f>
        <v/>
      </c>
      <c r="E575" s="13" t="str">
        <f>IF($A575="","",[1]!thsiFinD("ths_adjustment_nv_fund",E$3,$A575))</f>
        <v/>
      </c>
      <c r="F575" s="13" t="str">
        <f>IF($A575="","",[1]!thsiFinD("ths_adjustment_nv_fund",F$3,$A575))</f>
        <v/>
      </c>
      <c r="G575" s="13" t="str">
        <f>IF($A575="","",[1]!thsiFinD("ths_adjustment_nv_fund",G$3,$A575))</f>
        <v/>
      </c>
      <c r="H575" s="13" t="str">
        <f>IF($A575="","",[1]!thsiFinD("ths_adjustment_nv_fund",H$3,$A575))</f>
        <v/>
      </c>
      <c r="I575" s="13" t="str">
        <f>IF($A575="","",[1]!thsiFinD("ths_adjustment_nv_fund",I$3,$A575))</f>
        <v/>
      </c>
      <c r="J575" s="13" t="str">
        <f>IF($A575="","",[1]!thsiFinD("ths_adjustment_nv_fund",J$3,$A575))</f>
        <v/>
      </c>
      <c r="K575" s="13" t="str">
        <f>IF($A575="","",[1]!thsiFinD("ths_adjustment_nv_fund",K$3,$A575))</f>
        <v/>
      </c>
      <c r="L575" s="13" t="str">
        <f>IF($A575="","",[1]!thsiFinD("ths_adjustment_nv_fund",L$3,$A575))</f>
        <v/>
      </c>
      <c r="M575" s="13" t="str">
        <f>IF($A575="","",[1]!thsiFinD("ths_adjustment_nv_fund",M$3,$A575))</f>
        <v/>
      </c>
      <c r="N575" s="13" t="str">
        <f>IF($A575="","",[1]!thsiFinD("ths_adjustment_nv_fund",N$3,$A575))</f>
        <v/>
      </c>
      <c r="O575" s="13" t="str">
        <f>IF($A575="","",[1]!thsiFinD("ths_adjustment_nv_fund",O$3,$A575))</f>
        <v/>
      </c>
      <c r="P575" s="13" t="str">
        <f>IF($A575="","",[1]!thsiFinD("ths_adjustment_nv_fund",P$3,$A575))</f>
        <v/>
      </c>
      <c r="Q575" s="13" t="str">
        <f>IF($A575="","",[1]!thsiFinD("ths_adjustment_nv_fund",Q$3,$A575))</f>
        <v/>
      </c>
      <c r="R575" s="13" t="str">
        <f>IF($A575="","",[1]!thsiFinD("ths_adjustment_nv_fund",R$3,$A575))</f>
        <v/>
      </c>
      <c r="S575" s="13" t="str">
        <f>IF($A575="","",[1]!thsiFinD("ths_adjustment_nv_fund",S$3,$A575))</f>
        <v/>
      </c>
      <c r="T575" s="13" t="str">
        <f>IF($A575="","",[1]!thsiFinD("ths_adjustment_nv_fund",T$3,$A575))</f>
        <v/>
      </c>
      <c r="U575" s="13" t="str">
        <f>IF($A575="","",[1]!thsiFinD("ths_adjustment_nv_fund",U$3,$A575))</f>
        <v/>
      </c>
      <c r="V575" s="13" t="str">
        <f>IF($A575="","",[1]!thsiFinD("ths_adjustment_nv_fund",V$3,$A575))</f>
        <v/>
      </c>
      <c r="W575" s="13" t="str">
        <f>IF($A575="","",[1]!thsiFinD("ths_adjustment_nv_fund",W$3,$A575))</f>
        <v/>
      </c>
      <c r="X575" s="13" t="str">
        <f>IF($A575="","",[1]!thsiFinD("ths_adjustment_nv_fund",X$3,$A575))</f>
        <v/>
      </c>
      <c r="Y575" s="13" t="str">
        <f>IF($A575="","",[1]!thsiFinD("ths_adjustment_nv_fund",Y$3,$A575))</f>
        <v/>
      </c>
      <c r="Z575" s="13" t="str">
        <f>IF($A575="","",[1]!thsiFinD("ths_adjustment_nv_fund",Z$3,$A575))</f>
        <v/>
      </c>
      <c r="AA575" s="13" t="str">
        <f>IF($A575="","",[1]!thsiFinD("ths_adjustment_nv_fund",AA$3,$A575))</f>
        <v/>
      </c>
      <c r="AB575" s="13">
        <f>IF($A575="","",[1]!thsiFinD("ths_adjustment_nv_fund",AB$3,$A575))</f>
        <v/>
      </c>
      <c r="AC575" s="13">
        <f>IF($A575="","",[1]!thsiFinD("ths_adjustment_nv_fund",AC$3,$A575))</f>
        <v/>
      </c>
      <c r="AD575" s="13">
        <f>IF($A575="","",[1]!thsiFinD("ths_adjustment_nv_fund",AD$3,$A575))</f>
        <v/>
      </c>
      <c r="AE575" s="13">
        <f>IF($A575="","",[1]!thsiFinD("ths_adjustment_nv_fund",AE$3,$A575))</f>
        <v/>
      </c>
      <c r="AF575" s="13">
        <f>IF($A575="","",[1]!thsiFinD("ths_adjustment_nv_fund",AF$3,$A575))</f>
        <v/>
      </c>
      <c r="AG575" s="13">
        <f>IF($A575="","",[1]!thsiFinD("ths_adjustment_nv_fund",AG$3,$A575))</f>
        <v/>
      </c>
      <c r="AH575" s="13">
        <f>IF($A575="","",[1]!thsiFinD("ths_adjustment_nv_fund",AH$3,$A575))</f>
        <v/>
      </c>
      <c r="AI575" s="13">
        <f>IF($A575="","",[1]!thsiFinD("ths_adjustment_nv_fund",AI$3,$A575))</f>
        <v/>
      </c>
      <c r="AJ575" s="13">
        <f>IF($A575="","",[1]!thsiFinD("ths_adjustment_nv_fund",AJ$3,$A575))</f>
        <v/>
      </c>
      <c r="AK575" s="13">
        <f>IF($A575="","",[1]!thsiFinD("ths_adjustment_nv_fund",AK$3,$A575))</f>
        <v/>
      </c>
      <c r="AL575" s="13">
        <f>IF($A575="","",[1]!thsiFinD("ths_adjustment_nv_fund",AL$3,$A575))</f>
        <v/>
      </c>
    </row>
    <row r="576" spans="2:28">
      <c r="B576" s="13" t="str">
        <f>IF($A576="","",[1]!thsiFinD("ths_adjustment_nv_fund",B$3,$A576))</f>
        <v/>
      </c>
      <c r="C576" s="13" t="str">
        <f>IF($A576="","",[1]!thsiFinD("ths_adjustment_nv_fund",C$3,$A576))</f>
        <v/>
      </c>
      <c r="D576" s="13" t="str">
        <f>IF($A576="","",[1]!thsiFinD("ths_adjustment_nv_fund",D$3,$A576))</f>
        <v/>
      </c>
      <c r="E576" s="13" t="str">
        <f>IF($A576="","",[1]!thsiFinD("ths_adjustment_nv_fund",E$3,$A576))</f>
        <v/>
      </c>
      <c r="F576" s="13" t="str">
        <f>IF($A576="","",[1]!thsiFinD("ths_adjustment_nv_fund",F$3,$A576))</f>
        <v/>
      </c>
      <c r="G576" s="13" t="str">
        <f>IF($A576="","",[1]!thsiFinD("ths_adjustment_nv_fund",G$3,$A576))</f>
        <v/>
      </c>
      <c r="H576" s="13" t="str">
        <f>IF($A576="","",[1]!thsiFinD("ths_adjustment_nv_fund",H$3,$A576))</f>
        <v/>
      </c>
      <c r="I576" s="13" t="str">
        <f>IF($A576="","",[1]!thsiFinD("ths_adjustment_nv_fund",I$3,$A576))</f>
        <v/>
      </c>
      <c r="J576" s="13" t="str">
        <f>IF($A576="","",[1]!thsiFinD("ths_adjustment_nv_fund",J$3,$A576))</f>
        <v/>
      </c>
      <c r="K576" s="13" t="str">
        <f>IF($A576="","",[1]!thsiFinD("ths_adjustment_nv_fund",K$3,$A576))</f>
        <v/>
      </c>
      <c r="L576" s="13" t="str">
        <f>IF($A576="","",[1]!thsiFinD("ths_adjustment_nv_fund",L$3,$A576))</f>
        <v/>
      </c>
      <c r="M576" s="13" t="str">
        <f>IF($A576="","",[1]!thsiFinD("ths_adjustment_nv_fund",M$3,$A576))</f>
        <v/>
      </c>
      <c r="N576" s="13" t="str">
        <f>IF($A576="","",[1]!thsiFinD("ths_adjustment_nv_fund",N$3,$A576))</f>
        <v/>
      </c>
      <c r="O576" s="13" t="str">
        <f>IF($A576="","",[1]!thsiFinD("ths_adjustment_nv_fund",O$3,$A576))</f>
        <v/>
      </c>
      <c r="P576" s="13" t="str">
        <f>IF($A576="","",[1]!thsiFinD("ths_adjustment_nv_fund",P$3,$A576))</f>
        <v/>
      </c>
      <c r="Q576" s="13" t="str">
        <f>IF($A576="","",[1]!thsiFinD("ths_adjustment_nv_fund",Q$3,$A576))</f>
        <v/>
      </c>
      <c r="R576" s="13" t="str">
        <f>IF($A576="","",[1]!thsiFinD("ths_adjustment_nv_fund",R$3,$A576))</f>
        <v/>
      </c>
      <c r="S576" s="13" t="str">
        <f>IF($A576="","",[1]!thsiFinD("ths_adjustment_nv_fund",S$3,$A576))</f>
        <v/>
      </c>
      <c r="T576" s="13" t="str">
        <f>IF($A576="","",[1]!thsiFinD("ths_adjustment_nv_fund",T$3,$A576))</f>
        <v/>
      </c>
      <c r="U576" s="13" t="str">
        <f>IF($A576="","",[1]!thsiFinD("ths_adjustment_nv_fund",U$3,$A576))</f>
        <v/>
      </c>
      <c r="V576" s="13" t="str">
        <f>IF($A576="","",[1]!thsiFinD("ths_adjustment_nv_fund",V$3,$A576))</f>
        <v/>
      </c>
      <c r="W576" s="13" t="str">
        <f>IF($A576="","",[1]!thsiFinD("ths_adjustment_nv_fund",W$3,$A576))</f>
        <v/>
      </c>
      <c r="X576" s="13" t="str">
        <f>IF($A576="","",[1]!thsiFinD("ths_adjustment_nv_fund",X$3,$A576))</f>
        <v/>
      </c>
      <c r="Y576" s="13" t="str">
        <f>IF($A576="","",[1]!thsiFinD("ths_adjustment_nv_fund",Y$3,$A576))</f>
        <v/>
      </c>
      <c r="Z576" s="13" t="str">
        <f>IF($A576="","",[1]!thsiFinD("ths_adjustment_nv_fund",Z$3,$A576))</f>
        <v/>
      </c>
      <c r="AA576" s="13" t="str">
        <f>IF($A576="","",[1]!thsiFinD("ths_adjustment_nv_fund",AA$3,$A576))</f>
        <v/>
      </c>
      <c r="AB576" s="13">
        <f>IF($A576="","",[1]!thsiFinD("ths_adjustment_nv_fund",AB$3,$A576))</f>
        <v/>
      </c>
      <c r="AC576" s="13">
        <f>IF($A576="","",[1]!thsiFinD("ths_adjustment_nv_fund",AC$3,$A576))</f>
        <v/>
      </c>
      <c r="AD576" s="13">
        <f>IF($A576="","",[1]!thsiFinD("ths_adjustment_nv_fund",AD$3,$A576))</f>
        <v/>
      </c>
      <c r="AE576" s="13">
        <f>IF($A576="","",[1]!thsiFinD("ths_adjustment_nv_fund",AE$3,$A576))</f>
        <v/>
      </c>
      <c r="AF576" s="13">
        <f>IF($A576="","",[1]!thsiFinD("ths_adjustment_nv_fund",AF$3,$A576))</f>
        <v/>
      </c>
      <c r="AG576" s="13">
        <f>IF($A576="","",[1]!thsiFinD("ths_adjustment_nv_fund",AG$3,$A576))</f>
        <v/>
      </c>
      <c r="AH576" s="13">
        <f>IF($A576="","",[1]!thsiFinD("ths_adjustment_nv_fund",AH$3,$A576))</f>
        <v/>
      </c>
      <c r="AI576" s="13">
        <f>IF($A576="","",[1]!thsiFinD("ths_adjustment_nv_fund",AI$3,$A576))</f>
        <v/>
      </c>
      <c r="AJ576" s="13">
        <f>IF($A576="","",[1]!thsiFinD("ths_adjustment_nv_fund",AJ$3,$A576))</f>
        <v/>
      </c>
      <c r="AK576" s="13">
        <f>IF($A576="","",[1]!thsiFinD("ths_adjustment_nv_fund",AK$3,$A576))</f>
        <v/>
      </c>
      <c r="AL576" s="13">
        <f>IF($A576="","",[1]!thsiFinD("ths_adjustment_nv_fund",AL$3,$A576))</f>
        <v/>
      </c>
    </row>
    <row r="577" spans="2:28">
      <c r="B577" s="13" t="str">
        <f>IF($A577="","",[1]!thsiFinD("ths_adjustment_nv_fund",B$3,$A577))</f>
        <v/>
      </c>
      <c r="C577" s="13" t="str">
        <f>IF($A577="","",[1]!thsiFinD("ths_adjustment_nv_fund",C$3,$A577))</f>
        <v/>
      </c>
      <c r="D577" s="13" t="str">
        <f>IF($A577="","",[1]!thsiFinD("ths_adjustment_nv_fund",D$3,$A577))</f>
        <v/>
      </c>
      <c r="E577" s="13" t="str">
        <f>IF($A577="","",[1]!thsiFinD("ths_adjustment_nv_fund",E$3,$A577))</f>
        <v/>
      </c>
      <c r="F577" s="13" t="str">
        <f>IF($A577="","",[1]!thsiFinD("ths_adjustment_nv_fund",F$3,$A577))</f>
        <v/>
      </c>
      <c r="G577" s="13" t="str">
        <f>IF($A577="","",[1]!thsiFinD("ths_adjustment_nv_fund",G$3,$A577))</f>
        <v/>
      </c>
      <c r="H577" s="13" t="str">
        <f>IF($A577="","",[1]!thsiFinD("ths_adjustment_nv_fund",H$3,$A577))</f>
        <v/>
      </c>
      <c r="I577" s="13" t="str">
        <f>IF($A577="","",[1]!thsiFinD("ths_adjustment_nv_fund",I$3,$A577))</f>
        <v/>
      </c>
      <c r="J577" s="13" t="str">
        <f>IF($A577="","",[1]!thsiFinD("ths_adjustment_nv_fund",J$3,$A577))</f>
        <v/>
      </c>
      <c r="K577" s="13" t="str">
        <f>IF($A577="","",[1]!thsiFinD("ths_adjustment_nv_fund",K$3,$A577))</f>
        <v/>
      </c>
      <c r="L577" s="13" t="str">
        <f>IF($A577="","",[1]!thsiFinD("ths_adjustment_nv_fund",L$3,$A577))</f>
        <v/>
      </c>
      <c r="M577" s="13" t="str">
        <f>IF($A577="","",[1]!thsiFinD("ths_adjustment_nv_fund",M$3,$A577))</f>
        <v/>
      </c>
      <c r="N577" s="13" t="str">
        <f>IF($A577="","",[1]!thsiFinD("ths_adjustment_nv_fund",N$3,$A577))</f>
        <v/>
      </c>
      <c r="O577" s="13" t="str">
        <f>IF($A577="","",[1]!thsiFinD("ths_adjustment_nv_fund",O$3,$A577))</f>
        <v/>
      </c>
      <c r="P577" s="13" t="str">
        <f>IF($A577="","",[1]!thsiFinD("ths_adjustment_nv_fund",P$3,$A577))</f>
        <v/>
      </c>
      <c r="Q577" s="13" t="str">
        <f>IF($A577="","",[1]!thsiFinD("ths_adjustment_nv_fund",Q$3,$A577))</f>
        <v/>
      </c>
      <c r="R577" s="13" t="str">
        <f>IF($A577="","",[1]!thsiFinD("ths_adjustment_nv_fund",R$3,$A577))</f>
        <v/>
      </c>
      <c r="S577" s="13" t="str">
        <f>IF($A577="","",[1]!thsiFinD("ths_adjustment_nv_fund",S$3,$A577))</f>
        <v/>
      </c>
      <c r="T577" s="13" t="str">
        <f>IF($A577="","",[1]!thsiFinD("ths_adjustment_nv_fund",T$3,$A577))</f>
        <v/>
      </c>
      <c r="U577" s="13" t="str">
        <f>IF($A577="","",[1]!thsiFinD("ths_adjustment_nv_fund",U$3,$A577))</f>
        <v/>
      </c>
      <c r="V577" s="13" t="str">
        <f>IF($A577="","",[1]!thsiFinD("ths_adjustment_nv_fund",V$3,$A577))</f>
        <v/>
      </c>
      <c r="W577" s="13" t="str">
        <f>IF($A577="","",[1]!thsiFinD("ths_adjustment_nv_fund",W$3,$A577))</f>
        <v/>
      </c>
      <c r="X577" s="13" t="str">
        <f>IF($A577="","",[1]!thsiFinD("ths_adjustment_nv_fund",X$3,$A577))</f>
        <v/>
      </c>
      <c r="Y577" s="13" t="str">
        <f>IF($A577="","",[1]!thsiFinD("ths_adjustment_nv_fund",Y$3,$A577))</f>
        <v/>
      </c>
      <c r="Z577" s="13" t="str">
        <f>IF($A577="","",[1]!thsiFinD("ths_adjustment_nv_fund",Z$3,$A577))</f>
        <v/>
      </c>
      <c r="AA577" s="13" t="str">
        <f>IF($A577="","",[1]!thsiFinD("ths_adjustment_nv_fund",AA$3,$A577))</f>
        <v/>
      </c>
      <c r="AB577" s="13">
        <f>IF($A577="","",[1]!thsiFinD("ths_adjustment_nv_fund",AB$3,$A577))</f>
        <v/>
      </c>
      <c r="AC577" s="13">
        <f>IF($A577="","",[1]!thsiFinD("ths_adjustment_nv_fund",AC$3,$A577))</f>
        <v/>
      </c>
      <c r="AD577" s="13">
        <f>IF($A577="","",[1]!thsiFinD("ths_adjustment_nv_fund",AD$3,$A577))</f>
        <v/>
      </c>
      <c r="AE577" s="13">
        <f>IF($A577="","",[1]!thsiFinD("ths_adjustment_nv_fund",AE$3,$A577))</f>
        <v/>
      </c>
      <c r="AF577" s="13">
        <f>IF($A577="","",[1]!thsiFinD("ths_adjustment_nv_fund",AF$3,$A577))</f>
        <v/>
      </c>
      <c r="AG577" s="13">
        <f>IF($A577="","",[1]!thsiFinD("ths_adjustment_nv_fund",AG$3,$A577))</f>
        <v/>
      </c>
      <c r="AH577" s="13">
        <f>IF($A577="","",[1]!thsiFinD("ths_adjustment_nv_fund",AH$3,$A577))</f>
        <v/>
      </c>
      <c r="AI577" s="13">
        <f>IF($A577="","",[1]!thsiFinD("ths_adjustment_nv_fund",AI$3,$A577))</f>
        <v/>
      </c>
      <c r="AJ577" s="13">
        <f>IF($A577="","",[1]!thsiFinD("ths_adjustment_nv_fund",AJ$3,$A577))</f>
        <v/>
      </c>
      <c r="AK577" s="13">
        <f>IF($A577="","",[1]!thsiFinD("ths_adjustment_nv_fund",AK$3,$A577))</f>
        <v/>
      </c>
      <c r="AL577" s="13">
        <f>IF($A577="","",[1]!thsiFinD("ths_adjustment_nv_fund",AL$3,$A577))</f>
        <v/>
      </c>
    </row>
    <row r="578" spans="2:28">
      <c r="B578" s="13" t="str">
        <f>IF($A578="","",[1]!thsiFinD("ths_adjustment_nv_fund",B$3,$A578))</f>
        <v/>
      </c>
      <c r="C578" s="13" t="str">
        <f>IF($A578="","",[1]!thsiFinD("ths_adjustment_nv_fund",C$3,$A578))</f>
        <v/>
      </c>
      <c r="D578" s="13" t="str">
        <f>IF($A578="","",[1]!thsiFinD("ths_adjustment_nv_fund",D$3,$A578))</f>
        <v/>
      </c>
      <c r="E578" s="13" t="str">
        <f>IF($A578="","",[1]!thsiFinD("ths_adjustment_nv_fund",E$3,$A578))</f>
        <v/>
      </c>
      <c r="F578" s="13" t="str">
        <f>IF($A578="","",[1]!thsiFinD("ths_adjustment_nv_fund",F$3,$A578))</f>
        <v/>
      </c>
      <c r="G578" s="13" t="str">
        <f>IF($A578="","",[1]!thsiFinD("ths_adjustment_nv_fund",G$3,$A578))</f>
        <v/>
      </c>
      <c r="H578" s="13" t="str">
        <f>IF($A578="","",[1]!thsiFinD("ths_adjustment_nv_fund",H$3,$A578))</f>
        <v/>
      </c>
      <c r="I578" s="13" t="str">
        <f>IF($A578="","",[1]!thsiFinD("ths_adjustment_nv_fund",I$3,$A578))</f>
        <v/>
      </c>
      <c r="J578" s="13" t="str">
        <f>IF($A578="","",[1]!thsiFinD("ths_adjustment_nv_fund",J$3,$A578))</f>
        <v/>
      </c>
      <c r="K578" s="13" t="str">
        <f>IF($A578="","",[1]!thsiFinD("ths_adjustment_nv_fund",K$3,$A578))</f>
        <v/>
      </c>
      <c r="L578" s="13" t="str">
        <f>IF($A578="","",[1]!thsiFinD("ths_adjustment_nv_fund",L$3,$A578))</f>
        <v/>
      </c>
      <c r="M578" s="13" t="str">
        <f>IF($A578="","",[1]!thsiFinD("ths_adjustment_nv_fund",M$3,$A578))</f>
        <v/>
      </c>
      <c r="N578" s="13" t="str">
        <f>IF($A578="","",[1]!thsiFinD("ths_adjustment_nv_fund",N$3,$A578))</f>
        <v/>
      </c>
      <c r="O578" s="13" t="str">
        <f>IF($A578="","",[1]!thsiFinD("ths_adjustment_nv_fund",O$3,$A578))</f>
        <v/>
      </c>
      <c r="P578" s="13" t="str">
        <f>IF($A578="","",[1]!thsiFinD("ths_adjustment_nv_fund",P$3,$A578))</f>
        <v/>
      </c>
      <c r="Q578" s="13" t="str">
        <f>IF($A578="","",[1]!thsiFinD("ths_adjustment_nv_fund",Q$3,$A578))</f>
        <v/>
      </c>
      <c r="R578" s="13" t="str">
        <f>IF($A578="","",[1]!thsiFinD("ths_adjustment_nv_fund",R$3,$A578))</f>
        <v/>
      </c>
      <c r="S578" s="13" t="str">
        <f>IF($A578="","",[1]!thsiFinD("ths_adjustment_nv_fund",S$3,$A578))</f>
        <v/>
      </c>
      <c r="T578" s="13" t="str">
        <f>IF($A578="","",[1]!thsiFinD("ths_adjustment_nv_fund",T$3,$A578))</f>
        <v/>
      </c>
      <c r="U578" s="13" t="str">
        <f>IF($A578="","",[1]!thsiFinD("ths_adjustment_nv_fund",U$3,$A578))</f>
        <v/>
      </c>
      <c r="V578" s="13" t="str">
        <f>IF($A578="","",[1]!thsiFinD("ths_adjustment_nv_fund",V$3,$A578))</f>
        <v/>
      </c>
      <c r="W578" s="13" t="str">
        <f>IF($A578="","",[1]!thsiFinD("ths_adjustment_nv_fund",W$3,$A578))</f>
        <v/>
      </c>
      <c r="X578" s="13" t="str">
        <f>IF($A578="","",[1]!thsiFinD("ths_adjustment_nv_fund",X$3,$A578))</f>
        <v/>
      </c>
      <c r="Y578" s="13" t="str">
        <f>IF($A578="","",[1]!thsiFinD("ths_adjustment_nv_fund",Y$3,$A578))</f>
        <v/>
      </c>
      <c r="Z578" s="13" t="str">
        <f>IF($A578="","",[1]!thsiFinD("ths_adjustment_nv_fund",Z$3,$A578))</f>
        <v/>
      </c>
      <c r="AA578" s="13" t="str">
        <f>IF($A578="","",[1]!thsiFinD("ths_adjustment_nv_fund",AA$3,$A578))</f>
        <v/>
      </c>
      <c r="AB578" s="13">
        <f>IF($A578="","",[1]!thsiFinD("ths_adjustment_nv_fund",AB$3,$A578))</f>
        <v/>
      </c>
      <c r="AC578" s="13">
        <f>IF($A578="","",[1]!thsiFinD("ths_adjustment_nv_fund",AC$3,$A578))</f>
        <v/>
      </c>
      <c r="AD578" s="13">
        <f>IF($A578="","",[1]!thsiFinD("ths_adjustment_nv_fund",AD$3,$A578))</f>
        <v/>
      </c>
      <c r="AE578" s="13">
        <f>IF($A578="","",[1]!thsiFinD("ths_adjustment_nv_fund",AE$3,$A578))</f>
        <v/>
      </c>
      <c r="AF578" s="13">
        <f>IF($A578="","",[1]!thsiFinD("ths_adjustment_nv_fund",AF$3,$A578))</f>
        <v/>
      </c>
      <c r="AG578" s="13">
        <f>IF($A578="","",[1]!thsiFinD("ths_adjustment_nv_fund",AG$3,$A578))</f>
        <v/>
      </c>
      <c r="AH578" s="13">
        <f>IF($A578="","",[1]!thsiFinD("ths_adjustment_nv_fund",AH$3,$A578))</f>
        <v/>
      </c>
      <c r="AI578" s="13">
        <f>IF($A578="","",[1]!thsiFinD("ths_adjustment_nv_fund",AI$3,$A578))</f>
        <v/>
      </c>
      <c r="AJ578" s="13">
        <f>IF($A578="","",[1]!thsiFinD("ths_adjustment_nv_fund",AJ$3,$A578))</f>
        <v/>
      </c>
      <c r="AK578" s="13">
        <f>IF($A578="","",[1]!thsiFinD("ths_adjustment_nv_fund",AK$3,$A578))</f>
        <v/>
      </c>
      <c r="AL578" s="13">
        <f>IF($A578="","",[1]!thsiFinD("ths_adjustment_nv_fund",AL$3,$A578))</f>
        <v/>
      </c>
    </row>
    <row r="579" spans="2:28">
      <c r="B579" s="13" t="str">
        <f>IF($A579="","",[1]!thsiFinD("ths_adjustment_nv_fund",B$3,$A579))</f>
        <v/>
      </c>
      <c r="C579" s="13" t="str">
        <f>IF($A579="","",[1]!thsiFinD("ths_adjustment_nv_fund",C$3,$A579))</f>
        <v/>
      </c>
      <c r="D579" s="13" t="str">
        <f>IF($A579="","",[1]!thsiFinD("ths_adjustment_nv_fund",D$3,$A579))</f>
        <v/>
      </c>
      <c r="E579" s="13" t="str">
        <f>IF($A579="","",[1]!thsiFinD("ths_adjustment_nv_fund",E$3,$A579))</f>
        <v/>
      </c>
      <c r="F579" s="13" t="str">
        <f>IF($A579="","",[1]!thsiFinD("ths_adjustment_nv_fund",F$3,$A579))</f>
        <v/>
      </c>
      <c r="G579" s="13" t="str">
        <f>IF($A579="","",[1]!thsiFinD("ths_adjustment_nv_fund",G$3,$A579))</f>
        <v/>
      </c>
      <c r="H579" s="13" t="str">
        <f>IF($A579="","",[1]!thsiFinD("ths_adjustment_nv_fund",H$3,$A579))</f>
        <v/>
      </c>
      <c r="I579" s="13" t="str">
        <f>IF($A579="","",[1]!thsiFinD("ths_adjustment_nv_fund",I$3,$A579))</f>
        <v/>
      </c>
      <c r="J579" s="13" t="str">
        <f>IF($A579="","",[1]!thsiFinD("ths_adjustment_nv_fund",J$3,$A579))</f>
        <v/>
      </c>
      <c r="K579" s="13" t="str">
        <f>IF($A579="","",[1]!thsiFinD("ths_adjustment_nv_fund",K$3,$A579))</f>
        <v/>
      </c>
      <c r="L579" s="13" t="str">
        <f>IF($A579="","",[1]!thsiFinD("ths_adjustment_nv_fund",L$3,$A579))</f>
        <v/>
      </c>
      <c r="M579" s="13" t="str">
        <f>IF($A579="","",[1]!thsiFinD("ths_adjustment_nv_fund",M$3,$A579))</f>
        <v/>
      </c>
      <c r="N579" s="13" t="str">
        <f>IF($A579="","",[1]!thsiFinD("ths_adjustment_nv_fund",N$3,$A579))</f>
        <v/>
      </c>
      <c r="O579" s="13" t="str">
        <f>IF($A579="","",[1]!thsiFinD("ths_adjustment_nv_fund",O$3,$A579))</f>
        <v/>
      </c>
      <c r="P579" s="13" t="str">
        <f>IF($A579="","",[1]!thsiFinD("ths_adjustment_nv_fund",P$3,$A579))</f>
        <v/>
      </c>
      <c r="Q579" s="13" t="str">
        <f>IF($A579="","",[1]!thsiFinD("ths_adjustment_nv_fund",Q$3,$A579))</f>
        <v/>
      </c>
      <c r="R579" s="13" t="str">
        <f>IF($A579="","",[1]!thsiFinD("ths_adjustment_nv_fund",R$3,$A579))</f>
        <v/>
      </c>
      <c r="S579" s="13" t="str">
        <f>IF($A579="","",[1]!thsiFinD("ths_adjustment_nv_fund",S$3,$A579))</f>
        <v/>
      </c>
      <c r="T579" s="13" t="str">
        <f>IF($A579="","",[1]!thsiFinD("ths_adjustment_nv_fund",T$3,$A579))</f>
        <v/>
      </c>
      <c r="U579" s="13" t="str">
        <f>IF($A579="","",[1]!thsiFinD("ths_adjustment_nv_fund",U$3,$A579))</f>
        <v/>
      </c>
      <c r="V579" s="13" t="str">
        <f>IF($A579="","",[1]!thsiFinD("ths_adjustment_nv_fund",V$3,$A579))</f>
        <v/>
      </c>
      <c r="W579" s="13" t="str">
        <f>IF($A579="","",[1]!thsiFinD("ths_adjustment_nv_fund",W$3,$A579))</f>
        <v/>
      </c>
      <c r="X579" s="13" t="str">
        <f>IF($A579="","",[1]!thsiFinD("ths_adjustment_nv_fund",X$3,$A579))</f>
        <v/>
      </c>
      <c r="Y579" s="13" t="str">
        <f>IF($A579="","",[1]!thsiFinD("ths_adjustment_nv_fund",Y$3,$A579))</f>
        <v/>
      </c>
      <c r="Z579" s="13" t="str">
        <f>IF($A579="","",[1]!thsiFinD("ths_adjustment_nv_fund",Z$3,$A579))</f>
        <v/>
      </c>
      <c r="AA579" s="13" t="str">
        <f>IF($A579="","",[1]!thsiFinD("ths_adjustment_nv_fund",AA$3,$A579))</f>
        <v/>
      </c>
      <c r="AB579" s="13">
        <f>IF($A579="","",[1]!thsiFinD("ths_adjustment_nv_fund",AB$3,$A579))</f>
        <v/>
      </c>
      <c r="AC579" s="13">
        <f>IF($A579="","",[1]!thsiFinD("ths_adjustment_nv_fund",AC$3,$A579))</f>
        <v/>
      </c>
      <c r="AD579" s="13">
        <f>IF($A579="","",[1]!thsiFinD("ths_adjustment_nv_fund",AD$3,$A579))</f>
        <v/>
      </c>
      <c r="AE579" s="13">
        <f>IF($A579="","",[1]!thsiFinD("ths_adjustment_nv_fund",AE$3,$A579))</f>
        <v/>
      </c>
      <c r="AF579" s="13">
        <f>IF($A579="","",[1]!thsiFinD("ths_adjustment_nv_fund",AF$3,$A579))</f>
        <v/>
      </c>
      <c r="AG579" s="13">
        <f>IF($A579="","",[1]!thsiFinD("ths_adjustment_nv_fund",AG$3,$A579))</f>
        <v/>
      </c>
      <c r="AH579" s="13">
        <f>IF($A579="","",[1]!thsiFinD("ths_adjustment_nv_fund",AH$3,$A579))</f>
        <v/>
      </c>
      <c r="AI579" s="13">
        <f>IF($A579="","",[1]!thsiFinD("ths_adjustment_nv_fund",AI$3,$A579))</f>
        <v/>
      </c>
      <c r="AJ579" s="13">
        <f>IF($A579="","",[1]!thsiFinD("ths_adjustment_nv_fund",AJ$3,$A579))</f>
        <v/>
      </c>
      <c r="AK579" s="13">
        <f>IF($A579="","",[1]!thsiFinD("ths_adjustment_nv_fund",AK$3,$A579))</f>
        <v/>
      </c>
      <c r="AL579" s="13">
        <f>IF($A579="","",[1]!thsiFinD("ths_adjustment_nv_fund",AL$3,$A579))</f>
        <v/>
      </c>
    </row>
    <row r="580" spans="2:28">
      <c r="B580" s="13" t="str">
        <f>IF($A580="","",[1]!thsiFinD("ths_adjustment_nv_fund",B$3,$A580))</f>
        <v/>
      </c>
      <c r="C580" s="13" t="str">
        <f>IF($A580="","",[1]!thsiFinD("ths_adjustment_nv_fund",C$3,$A580))</f>
        <v/>
      </c>
      <c r="D580" s="13" t="str">
        <f>IF($A580="","",[1]!thsiFinD("ths_adjustment_nv_fund",D$3,$A580))</f>
        <v/>
      </c>
      <c r="E580" s="13" t="str">
        <f>IF($A580="","",[1]!thsiFinD("ths_adjustment_nv_fund",E$3,$A580))</f>
        <v/>
      </c>
      <c r="F580" s="13" t="str">
        <f>IF($A580="","",[1]!thsiFinD("ths_adjustment_nv_fund",F$3,$A580))</f>
        <v/>
      </c>
      <c r="G580" s="13" t="str">
        <f>IF($A580="","",[1]!thsiFinD("ths_adjustment_nv_fund",G$3,$A580))</f>
        <v/>
      </c>
      <c r="H580" s="13" t="str">
        <f>IF($A580="","",[1]!thsiFinD("ths_adjustment_nv_fund",H$3,$A580))</f>
        <v/>
      </c>
      <c r="I580" s="13" t="str">
        <f>IF($A580="","",[1]!thsiFinD("ths_adjustment_nv_fund",I$3,$A580))</f>
        <v/>
      </c>
      <c r="J580" s="13" t="str">
        <f>IF($A580="","",[1]!thsiFinD("ths_adjustment_nv_fund",J$3,$A580))</f>
        <v/>
      </c>
      <c r="K580" s="13" t="str">
        <f>IF($A580="","",[1]!thsiFinD("ths_adjustment_nv_fund",K$3,$A580))</f>
        <v/>
      </c>
      <c r="L580" s="13" t="str">
        <f>IF($A580="","",[1]!thsiFinD("ths_adjustment_nv_fund",L$3,$A580))</f>
        <v/>
      </c>
      <c r="M580" s="13" t="str">
        <f>IF($A580="","",[1]!thsiFinD("ths_adjustment_nv_fund",M$3,$A580))</f>
        <v/>
      </c>
      <c r="N580" s="13" t="str">
        <f>IF($A580="","",[1]!thsiFinD("ths_adjustment_nv_fund",N$3,$A580))</f>
        <v/>
      </c>
      <c r="O580" s="13" t="str">
        <f>IF($A580="","",[1]!thsiFinD("ths_adjustment_nv_fund",O$3,$A580))</f>
        <v/>
      </c>
      <c r="P580" s="13" t="str">
        <f>IF($A580="","",[1]!thsiFinD("ths_adjustment_nv_fund",P$3,$A580))</f>
        <v/>
      </c>
      <c r="Q580" s="13" t="str">
        <f>IF($A580="","",[1]!thsiFinD("ths_adjustment_nv_fund",Q$3,$A580))</f>
        <v/>
      </c>
      <c r="R580" s="13" t="str">
        <f>IF($A580="","",[1]!thsiFinD("ths_adjustment_nv_fund",R$3,$A580))</f>
        <v/>
      </c>
      <c r="S580" s="13" t="str">
        <f>IF($A580="","",[1]!thsiFinD("ths_adjustment_nv_fund",S$3,$A580))</f>
        <v/>
      </c>
      <c r="T580" s="13" t="str">
        <f>IF($A580="","",[1]!thsiFinD("ths_adjustment_nv_fund",T$3,$A580))</f>
        <v/>
      </c>
      <c r="U580" s="13" t="str">
        <f>IF($A580="","",[1]!thsiFinD("ths_adjustment_nv_fund",U$3,$A580))</f>
        <v/>
      </c>
      <c r="V580" s="13" t="str">
        <f>IF($A580="","",[1]!thsiFinD("ths_adjustment_nv_fund",V$3,$A580))</f>
        <v/>
      </c>
      <c r="W580" s="13" t="str">
        <f>IF($A580="","",[1]!thsiFinD("ths_adjustment_nv_fund",W$3,$A580))</f>
        <v/>
      </c>
      <c r="X580" s="13" t="str">
        <f>IF($A580="","",[1]!thsiFinD("ths_adjustment_nv_fund",X$3,$A580))</f>
        <v/>
      </c>
      <c r="Y580" s="13" t="str">
        <f>IF($A580="","",[1]!thsiFinD("ths_adjustment_nv_fund",Y$3,$A580))</f>
        <v/>
      </c>
      <c r="Z580" s="13" t="str">
        <f>IF($A580="","",[1]!thsiFinD("ths_adjustment_nv_fund",Z$3,$A580))</f>
        <v/>
      </c>
      <c r="AA580" s="13" t="str">
        <f>IF($A580="","",[1]!thsiFinD("ths_adjustment_nv_fund",AA$3,$A580))</f>
        <v/>
      </c>
      <c r="AB580" s="13">
        <f>IF($A580="","",[1]!thsiFinD("ths_adjustment_nv_fund",AB$3,$A580))</f>
        <v/>
      </c>
      <c r="AC580" s="13">
        <f>IF($A580="","",[1]!thsiFinD("ths_adjustment_nv_fund",AC$3,$A580))</f>
        <v/>
      </c>
      <c r="AD580" s="13">
        <f>IF($A580="","",[1]!thsiFinD("ths_adjustment_nv_fund",AD$3,$A580))</f>
        <v/>
      </c>
      <c r="AE580" s="13">
        <f>IF($A580="","",[1]!thsiFinD("ths_adjustment_nv_fund",AE$3,$A580))</f>
        <v/>
      </c>
      <c r="AF580" s="13">
        <f>IF($A580="","",[1]!thsiFinD("ths_adjustment_nv_fund",AF$3,$A580))</f>
        <v/>
      </c>
      <c r="AG580" s="13">
        <f>IF($A580="","",[1]!thsiFinD("ths_adjustment_nv_fund",AG$3,$A580))</f>
        <v/>
      </c>
      <c r="AH580" s="13">
        <f>IF($A580="","",[1]!thsiFinD("ths_adjustment_nv_fund",AH$3,$A580))</f>
        <v/>
      </c>
      <c r="AI580" s="13">
        <f>IF($A580="","",[1]!thsiFinD("ths_adjustment_nv_fund",AI$3,$A580))</f>
        <v/>
      </c>
      <c r="AJ580" s="13">
        <f>IF($A580="","",[1]!thsiFinD("ths_adjustment_nv_fund",AJ$3,$A580))</f>
        <v/>
      </c>
      <c r="AK580" s="13">
        <f>IF($A580="","",[1]!thsiFinD("ths_adjustment_nv_fund",AK$3,$A580))</f>
        <v/>
      </c>
      <c r="AL580" s="13">
        <f>IF($A580="","",[1]!thsiFinD("ths_adjustment_nv_fund",AL$3,$A580))</f>
        <v/>
      </c>
    </row>
    <row r="581" spans="2:28">
      <c r="B581" s="13" t="str">
        <f>IF($A581="","",[1]!thsiFinD("ths_adjustment_nv_fund",B$3,$A581))</f>
        <v/>
      </c>
      <c r="C581" s="13" t="str">
        <f>IF($A581="","",[1]!thsiFinD("ths_adjustment_nv_fund",C$3,$A581))</f>
        <v/>
      </c>
      <c r="D581" s="13" t="str">
        <f>IF($A581="","",[1]!thsiFinD("ths_adjustment_nv_fund",D$3,$A581))</f>
        <v/>
      </c>
      <c r="E581" s="13" t="str">
        <f>IF($A581="","",[1]!thsiFinD("ths_adjustment_nv_fund",E$3,$A581))</f>
        <v/>
      </c>
      <c r="F581" s="13" t="str">
        <f>IF($A581="","",[1]!thsiFinD("ths_adjustment_nv_fund",F$3,$A581))</f>
        <v/>
      </c>
      <c r="G581" s="13" t="str">
        <f>IF($A581="","",[1]!thsiFinD("ths_adjustment_nv_fund",G$3,$A581))</f>
        <v/>
      </c>
      <c r="H581" s="13" t="str">
        <f>IF($A581="","",[1]!thsiFinD("ths_adjustment_nv_fund",H$3,$A581))</f>
        <v/>
      </c>
      <c r="I581" s="13" t="str">
        <f>IF($A581="","",[1]!thsiFinD("ths_adjustment_nv_fund",I$3,$A581))</f>
        <v/>
      </c>
      <c r="J581" s="13" t="str">
        <f>IF($A581="","",[1]!thsiFinD("ths_adjustment_nv_fund",J$3,$A581))</f>
        <v/>
      </c>
      <c r="K581" s="13" t="str">
        <f>IF($A581="","",[1]!thsiFinD("ths_adjustment_nv_fund",K$3,$A581))</f>
        <v/>
      </c>
      <c r="L581" s="13" t="str">
        <f>IF($A581="","",[1]!thsiFinD("ths_adjustment_nv_fund",L$3,$A581))</f>
        <v/>
      </c>
      <c r="M581" s="13" t="str">
        <f>IF($A581="","",[1]!thsiFinD("ths_adjustment_nv_fund",M$3,$A581))</f>
        <v/>
      </c>
      <c r="N581" s="13" t="str">
        <f>IF($A581="","",[1]!thsiFinD("ths_adjustment_nv_fund",N$3,$A581))</f>
        <v/>
      </c>
      <c r="O581" s="13" t="str">
        <f>IF($A581="","",[1]!thsiFinD("ths_adjustment_nv_fund",O$3,$A581))</f>
        <v/>
      </c>
      <c r="P581" s="13" t="str">
        <f>IF($A581="","",[1]!thsiFinD("ths_adjustment_nv_fund",P$3,$A581))</f>
        <v/>
      </c>
      <c r="Q581" s="13" t="str">
        <f>IF($A581="","",[1]!thsiFinD("ths_adjustment_nv_fund",Q$3,$A581))</f>
        <v/>
      </c>
      <c r="R581" s="13" t="str">
        <f>IF($A581="","",[1]!thsiFinD("ths_adjustment_nv_fund",R$3,$A581))</f>
        <v/>
      </c>
      <c r="S581" s="13" t="str">
        <f>IF($A581="","",[1]!thsiFinD("ths_adjustment_nv_fund",S$3,$A581))</f>
        <v/>
      </c>
      <c r="T581" s="13" t="str">
        <f>IF($A581="","",[1]!thsiFinD("ths_adjustment_nv_fund",T$3,$A581))</f>
        <v/>
      </c>
      <c r="U581" s="13" t="str">
        <f>IF($A581="","",[1]!thsiFinD("ths_adjustment_nv_fund",U$3,$A581))</f>
        <v/>
      </c>
      <c r="V581" s="13" t="str">
        <f>IF($A581="","",[1]!thsiFinD("ths_adjustment_nv_fund",V$3,$A581))</f>
        <v/>
      </c>
      <c r="W581" s="13" t="str">
        <f>IF($A581="","",[1]!thsiFinD("ths_adjustment_nv_fund",W$3,$A581))</f>
        <v/>
      </c>
      <c r="X581" s="13" t="str">
        <f>IF($A581="","",[1]!thsiFinD("ths_adjustment_nv_fund",X$3,$A581))</f>
        <v/>
      </c>
      <c r="Y581" s="13" t="str">
        <f>IF($A581="","",[1]!thsiFinD("ths_adjustment_nv_fund",Y$3,$A581))</f>
        <v/>
      </c>
      <c r="Z581" s="13" t="str">
        <f>IF($A581="","",[1]!thsiFinD("ths_adjustment_nv_fund",Z$3,$A581))</f>
        <v/>
      </c>
      <c r="AA581" s="13" t="str">
        <f>IF($A581="","",[1]!thsiFinD("ths_adjustment_nv_fund",AA$3,$A581))</f>
        <v/>
      </c>
      <c r="AB581" s="13">
        <f>IF($A581="","",[1]!thsiFinD("ths_adjustment_nv_fund",AB$3,$A581))</f>
        <v/>
      </c>
      <c r="AC581" s="13">
        <f>IF($A581="","",[1]!thsiFinD("ths_adjustment_nv_fund",AC$3,$A581))</f>
        <v/>
      </c>
      <c r="AD581" s="13">
        <f>IF($A581="","",[1]!thsiFinD("ths_adjustment_nv_fund",AD$3,$A581))</f>
        <v/>
      </c>
      <c r="AE581" s="13">
        <f>IF($A581="","",[1]!thsiFinD("ths_adjustment_nv_fund",AE$3,$A581))</f>
        <v/>
      </c>
      <c r="AF581" s="13">
        <f>IF($A581="","",[1]!thsiFinD("ths_adjustment_nv_fund",AF$3,$A581))</f>
        <v/>
      </c>
      <c r="AG581" s="13">
        <f>IF($A581="","",[1]!thsiFinD("ths_adjustment_nv_fund",AG$3,$A581))</f>
        <v/>
      </c>
      <c r="AH581" s="13">
        <f>IF($A581="","",[1]!thsiFinD("ths_adjustment_nv_fund",AH$3,$A581))</f>
        <v/>
      </c>
      <c r="AI581" s="13">
        <f>IF($A581="","",[1]!thsiFinD("ths_adjustment_nv_fund",AI$3,$A581))</f>
        <v/>
      </c>
      <c r="AJ581" s="13">
        <f>IF($A581="","",[1]!thsiFinD("ths_adjustment_nv_fund",AJ$3,$A581))</f>
        <v/>
      </c>
      <c r="AK581" s="13">
        <f>IF($A581="","",[1]!thsiFinD("ths_adjustment_nv_fund",AK$3,$A581))</f>
        <v/>
      </c>
      <c r="AL581" s="13">
        <f>IF($A581="","",[1]!thsiFinD("ths_adjustment_nv_fund",AL$3,$A581))</f>
        <v/>
      </c>
    </row>
    <row r="582" spans="2:28">
      <c r="B582" s="13" t="str">
        <f>IF($A582="","",[1]!thsiFinD("ths_adjustment_nv_fund",B$3,$A582))</f>
        <v/>
      </c>
      <c r="C582" s="13" t="str">
        <f>IF($A582="","",[1]!thsiFinD("ths_adjustment_nv_fund",C$3,$A582))</f>
        <v/>
      </c>
      <c r="D582" s="13" t="str">
        <f>IF($A582="","",[1]!thsiFinD("ths_adjustment_nv_fund",D$3,$A582))</f>
        <v/>
      </c>
      <c r="E582" s="13" t="str">
        <f>IF($A582="","",[1]!thsiFinD("ths_adjustment_nv_fund",E$3,$A582))</f>
        <v/>
      </c>
      <c r="F582" s="13" t="str">
        <f>IF($A582="","",[1]!thsiFinD("ths_adjustment_nv_fund",F$3,$A582))</f>
        <v/>
      </c>
      <c r="G582" s="13" t="str">
        <f>IF($A582="","",[1]!thsiFinD("ths_adjustment_nv_fund",G$3,$A582))</f>
        <v/>
      </c>
      <c r="H582" s="13" t="str">
        <f>IF($A582="","",[1]!thsiFinD("ths_adjustment_nv_fund",H$3,$A582))</f>
        <v/>
      </c>
      <c r="I582" s="13" t="str">
        <f>IF($A582="","",[1]!thsiFinD("ths_adjustment_nv_fund",I$3,$A582))</f>
        <v/>
      </c>
      <c r="J582" s="13" t="str">
        <f>IF($A582="","",[1]!thsiFinD("ths_adjustment_nv_fund",J$3,$A582))</f>
        <v/>
      </c>
      <c r="K582" s="13" t="str">
        <f>IF($A582="","",[1]!thsiFinD("ths_adjustment_nv_fund",K$3,$A582))</f>
        <v/>
      </c>
      <c r="L582" s="13" t="str">
        <f>IF($A582="","",[1]!thsiFinD("ths_adjustment_nv_fund",L$3,$A582))</f>
        <v/>
      </c>
      <c r="M582" s="13" t="str">
        <f>IF($A582="","",[1]!thsiFinD("ths_adjustment_nv_fund",M$3,$A582))</f>
        <v/>
      </c>
      <c r="N582" s="13" t="str">
        <f>IF($A582="","",[1]!thsiFinD("ths_adjustment_nv_fund",N$3,$A582))</f>
        <v/>
      </c>
      <c r="O582" s="13" t="str">
        <f>IF($A582="","",[1]!thsiFinD("ths_adjustment_nv_fund",O$3,$A582))</f>
        <v/>
      </c>
      <c r="P582" s="13" t="str">
        <f>IF($A582="","",[1]!thsiFinD("ths_adjustment_nv_fund",P$3,$A582))</f>
        <v/>
      </c>
      <c r="Q582" s="13" t="str">
        <f>IF($A582="","",[1]!thsiFinD("ths_adjustment_nv_fund",Q$3,$A582))</f>
        <v/>
      </c>
      <c r="R582" s="13" t="str">
        <f>IF($A582="","",[1]!thsiFinD("ths_adjustment_nv_fund",R$3,$A582))</f>
        <v/>
      </c>
      <c r="S582" s="13" t="str">
        <f>IF($A582="","",[1]!thsiFinD("ths_adjustment_nv_fund",S$3,$A582))</f>
        <v/>
      </c>
      <c r="T582" s="13" t="str">
        <f>IF($A582="","",[1]!thsiFinD("ths_adjustment_nv_fund",T$3,$A582))</f>
        <v/>
      </c>
      <c r="U582" s="13" t="str">
        <f>IF($A582="","",[1]!thsiFinD("ths_adjustment_nv_fund",U$3,$A582))</f>
        <v/>
      </c>
      <c r="V582" s="13" t="str">
        <f>IF($A582="","",[1]!thsiFinD("ths_adjustment_nv_fund",V$3,$A582))</f>
        <v/>
      </c>
      <c r="W582" s="13" t="str">
        <f>IF($A582="","",[1]!thsiFinD("ths_adjustment_nv_fund",W$3,$A582))</f>
        <v/>
      </c>
      <c r="X582" s="13" t="str">
        <f>IF($A582="","",[1]!thsiFinD("ths_adjustment_nv_fund",X$3,$A582))</f>
        <v/>
      </c>
      <c r="Y582" s="13" t="str">
        <f>IF($A582="","",[1]!thsiFinD("ths_adjustment_nv_fund",Y$3,$A582))</f>
        <v/>
      </c>
      <c r="Z582" s="13" t="str">
        <f>IF($A582="","",[1]!thsiFinD("ths_adjustment_nv_fund",Z$3,$A582))</f>
        <v/>
      </c>
      <c r="AA582" s="13" t="str">
        <f>IF($A582="","",[1]!thsiFinD("ths_adjustment_nv_fund",AA$3,$A582))</f>
        <v/>
      </c>
      <c r="AB582" s="13">
        <f>IF($A582="","",[1]!thsiFinD("ths_adjustment_nv_fund",AB$3,$A582))</f>
        <v/>
      </c>
      <c r="AC582" s="13">
        <f>IF($A582="","",[1]!thsiFinD("ths_adjustment_nv_fund",AC$3,$A582))</f>
        <v/>
      </c>
      <c r="AD582" s="13">
        <f>IF($A582="","",[1]!thsiFinD("ths_adjustment_nv_fund",AD$3,$A582))</f>
        <v/>
      </c>
      <c r="AE582" s="13">
        <f>IF($A582="","",[1]!thsiFinD("ths_adjustment_nv_fund",AE$3,$A582))</f>
        <v/>
      </c>
      <c r="AF582" s="13">
        <f>IF($A582="","",[1]!thsiFinD("ths_adjustment_nv_fund",AF$3,$A582))</f>
        <v/>
      </c>
      <c r="AG582" s="13">
        <f>IF($A582="","",[1]!thsiFinD("ths_adjustment_nv_fund",AG$3,$A582))</f>
        <v/>
      </c>
      <c r="AH582" s="13">
        <f>IF($A582="","",[1]!thsiFinD("ths_adjustment_nv_fund",AH$3,$A582))</f>
        <v/>
      </c>
      <c r="AI582" s="13">
        <f>IF($A582="","",[1]!thsiFinD("ths_adjustment_nv_fund",AI$3,$A582))</f>
        <v/>
      </c>
      <c r="AJ582" s="13">
        <f>IF($A582="","",[1]!thsiFinD("ths_adjustment_nv_fund",AJ$3,$A582))</f>
        <v/>
      </c>
      <c r="AK582" s="13">
        <f>IF($A582="","",[1]!thsiFinD("ths_adjustment_nv_fund",AK$3,$A582))</f>
        <v/>
      </c>
      <c r="AL582" s="13">
        <f>IF($A582="","",[1]!thsiFinD("ths_adjustment_nv_fund",AL$3,$A582))</f>
        <v/>
      </c>
    </row>
    <row r="583" spans="2:28">
      <c r="B583" s="13" t="str">
        <f>IF($A583="","",[1]!thsiFinD("ths_adjustment_nv_fund",B$3,$A583))</f>
        <v/>
      </c>
      <c r="C583" s="13" t="str">
        <f>IF($A583="","",[1]!thsiFinD("ths_adjustment_nv_fund",C$3,$A583))</f>
        <v/>
      </c>
      <c r="D583" s="13" t="str">
        <f>IF($A583="","",[1]!thsiFinD("ths_adjustment_nv_fund",D$3,$A583))</f>
        <v/>
      </c>
      <c r="E583" s="13" t="str">
        <f>IF($A583="","",[1]!thsiFinD("ths_adjustment_nv_fund",E$3,$A583))</f>
        <v/>
      </c>
      <c r="F583" s="13" t="str">
        <f>IF($A583="","",[1]!thsiFinD("ths_adjustment_nv_fund",F$3,$A583))</f>
        <v/>
      </c>
      <c r="G583" s="13" t="str">
        <f>IF($A583="","",[1]!thsiFinD("ths_adjustment_nv_fund",G$3,$A583))</f>
        <v/>
      </c>
      <c r="H583" s="13" t="str">
        <f>IF($A583="","",[1]!thsiFinD("ths_adjustment_nv_fund",H$3,$A583))</f>
        <v/>
      </c>
      <c r="I583" s="13" t="str">
        <f>IF($A583="","",[1]!thsiFinD("ths_adjustment_nv_fund",I$3,$A583))</f>
        <v/>
      </c>
      <c r="J583" s="13" t="str">
        <f>IF($A583="","",[1]!thsiFinD("ths_adjustment_nv_fund",J$3,$A583))</f>
        <v/>
      </c>
      <c r="K583" s="13" t="str">
        <f>IF($A583="","",[1]!thsiFinD("ths_adjustment_nv_fund",K$3,$A583))</f>
        <v/>
      </c>
      <c r="L583" s="13" t="str">
        <f>IF($A583="","",[1]!thsiFinD("ths_adjustment_nv_fund",L$3,$A583))</f>
        <v/>
      </c>
      <c r="M583" s="13" t="str">
        <f>IF($A583="","",[1]!thsiFinD("ths_adjustment_nv_fund",M$3,$A583))</f>
        <v/>
      </c>
      <c r="N583" s="13" t="str">
        <f>IF($A583="","",[1]!thsiFinD("ths_adjustment_nv_fund",N$3,$A583))</f>
        <v/>
      </c>
      <c r="O583" s="13" t="str">
        <f>IF($A583="","",[1]!thsiFinD("ths_adjustment_nv_fund",O$3,$A583))</f>
        <v/>
      </c>
      <c r="P583" s="13" t="str">
        <f>IF($A583="","",[1]!thsiFinD("ths_adjustment_nv_fund",P$3,$A583))</f>
        <v/>
      </c>
      <c r="Q583" s="13" t="str">
        <f>IF($A583="","",[1]!thsiFinD("ths_adjustment_nv_fund",Q$3,$A583))</f>
        <v/>
      </c>
      <c r="R583" s="13" t="str">
        <f>IF($A583="","",[1]!thsiFinD("ths_adjustment_nv_fund",R$3,$A583))</f>
        <v/>
      </c>
      <c r="S583" s="13" t="str">
        <f>IF($A583="","",[1]!thsiFinD("ths_adjustment_nv_fund",S$3,$A583))</f>
        <v/>
      </c>
      <c r="T583" s="13" t="str">
        <f>IF($A583="","",[1]!thsiFinD("ths_adjustment_nv_fund",T$3,$A583))</f>
        <v/>
      </c>
      <c r="U583" s="13" t="str">
        <f>IF($A583="","",[1]!thsiFinD("ths_adjustment_nv_fund",U$3,$A583))</f>
        <v/>
      </c>
      <c r="V583" s="13" t="str">
        <f>IF($A583="","",[1]!thsiFinD("ths_adjustment_nv_fund",V$3,$A583))</f>
        <v/>
      </c>
      <c r="W583" s="13" t="str">
        <f>IF($A583="","",[1]!thsiFinD("ths_adjustment_nv_fund",W$3,$A583))</f>
        <v/>
      </c>
      <c r="X583" s="13" t="str">
        <f>IF($A583="","",[1]!thsiFinD("ths_adjustment_nv_fund",X$3,$A583))</f>
        <v/>
      </c>
      <c r="Y583" s="13" t="str">
        <f>IF($A583="","",[1]!thsiFinD("ths_adjustment_nv_fund",Y$3,$A583))</f>
        <v/>
      </c>
      <c r="Z583" s="13" t="str">
        <f>IF($A583="","",[1]!thsiFinD("ths_adjustment_nv_fund",Z$3,$A583))</f>
        <v/>
      </c>
      <c r="AA583" s="13" t="str">
        <f>IF($A583="","",[1]!thsiFinD("ths_adjustment_nv_fund",AA$3,$A583))</f>
        <v/>
      </c>
      <c r="AB583" s="13">
        <f>IF($A583="","",[1]!thsiFinD("ths_adjustment_nv_fund",AB$3,$A583))</f>
        <v/>
      </c>
      <c r="AC583" s="13">
        <f>IF($A583="","",[1]!thsiFinD("ths_adjustment_nv_fund",AC$3,$A583))</f>
        <v/>
      </c>
      <c r="AD583" s="13">
        <f>IF($A583="","",[1]!thsiFinD("ths_adjustment_nv_fund",AD$3,$A583))</f>
        <v/>
      </c>
      <c r="AE583" s="13">
        <f>IF($A583="","",[1]!thsiFinD("ths_adjustment_nv_fund",AE$3,$A583))</f>
        <v/>
      </c>
      <c r="AF583" s="13">
        <f>IF($A583="","",[1]!thsiFinD("ths_adjustment_nv_fund",AF$3,$A583))</f>
        <v/>
      </c>
      <c r="AG583" s="13">
        <f>IF($A583="","",[1]!thsiFinD("ths_adjustment_nv_fund",AG$3,$A583))</f>
        <v/>
      </c>
      <c r="AH583" s="13">
        <f>IF($A583="","",[1]!thsiFinD("ths_adjustment_nv_fund",AH$3,$A583))</f>
        <v/>
      </c>
      <c r="AI583" s="13">
        <f>IF($A583="","",[1]!thsiFinD("ths_adjustment_nv_fund",AI$3,$A583))</f>
        <v/>
      </c>
      <c r="AJ583" s="13">
        <f>IF($A583="","",[1]!thsiFinD("ths_adjustment_nv_fund",AJ$3,$A583))</f>
        <v/>
      </c>
      <c r="AK583" s="13">
        <f>IF($A583="","",[1]!thsiFinD("ths_adjustment_nv_fund",AK$3,$A583))</f>
        <v/>
      </c>
      <c r="AL583" s="13">
        <f>IF($A583="","",[1]!thsiFinD("ths_adjustment_nv_fund",AL$3,$A583))</f>
        <v/>
      </c>
    </row>
    <row r="584" spans="2:28">
      <c r="B584" s="13" t="str">
        <f>IF($A584="","",[1]!thsiFinD("ths_adjustment_nv_fund",B$3,$A584))</f>
        <v/>
      </c>
      <c r="C584" s="13" t="str">
        <f>IF($A584="","",[1]!thsiFinD("ths_adjustment_nv_fund",C$3,$A584))</f>
        <v/>
      </c>
      <c r="D584" s="13" t="str">
        <f>IF($A584="","",[1]!thsiFinD("ths_adjustment_nv_fund",D$3,$A584))</f>
        <v/>
      </c>
      <c r="E584" s="13" t="str">
        <f>IF($A584="","",[1]!thsiFinD("ths_adjustment_nv_fund",E$3,$A584))</f>
        <v/>
      </c>
      <c r="F584" s="13" t="str">
        <f>IF($A584="","",[1]!thsiFinD("ths_adjustment_nv_fund",F$3,$A584))</f>
        <v/>
      </c>
      <c r="G584" s="13" t="str">
        <f>IF($A584="","",[1]!thsiFinD("ths_adjustment_nv_fund",G$3,$A584))</f>
        <v/>
      </c>
      <c r="H584" s="13" t="str">
        <f>IF($A584="","",[1]!thsiFinD("ths_adjustment_nv_fund",H$3,$A584))</f>
        <v/>
      </c>
      <c r="I584" s="13" t="str">
        <f>IF($A584="","",[1]!thsiFinD("ths_adjustment_nv_fund",I$3,$A584))</f>
        <v/>
      </c>
      <c r="J584" s="13" t="str">
        <f>IF($A584="","",[1]!thsiFinD("ths_adjustment_nv_fund",J$3,$A584))</f>
        <v/>
      </c>
      <c r="K584" s="13" t="str">
        <f>IF($A584="","",[1]!thsiFinD("ths_adjustment_nv_fund",K$3,$A584))</f>
        <v/>
      </c>
      <c r="L584" s="13" t="str">
        <f>IF($A584="","",[1]!thsiFinD("ths_adjustment_nv_fund",L$3,$A584))</f>
        <v/>
      </c>
      <c r="M584" s="13" t="str">
        <f>IF($A584="","",[1]!thsiFinD("ths_adjustment_nv_fund",M$3,$A584))</f>
        <v/>
      </c>
      <c r="N584" s="13" t="str">
        <f>IF($A584="","",[1]!thsiFinD("ths_adjustment_nv_fund",N$3,$A584))</f>
        <v/>
      </c>
      <c r="O584" s="13" t="str">
        <f>IF($A584="","",[1]!thsiFinD("ths_adjustment_nv_fund",O$3,$A584))</f>
        <v/>
      </c>
      <c r="P584" s="13" t="str">
        <f>IF($A584="","",[1]!thsiFinD("ths_adjustment_nv_fund",P$3,$A584))</f>
        <v/>
      </c>
      <c r="Q584" s="13" t="str">
        <f>IF($A584="","",[1]!thsiFinD("ths_adjustment_nv_fund",Q$3,$A584))</f>
        <v/>
      </c>
      <c r="R584" s="13" t="str">
        <f>IF($A584="","",[1]!thsiFinD("ths_adjustment_nv_fund",R$3,$A584))</f>
        <v/>
      </c>
      <c r="S584" s="13" t="str">
        <f>IF($A584="","",[1]!thsiFinD("ths_adjustment_nv_fund",S$3,$A584))</f>
        <v/>
      </c>
      <c r="T584" s="13" t="str">
        <f>IF($A584="","",[1]!thsiFinD("ths_adjustment_nv_fund",T$3,$A584))</f>
        <v/>
      </c>
      <c r="U584" s="13" t="str">
        <f>IF($A584="","",[1]!thsiFinD("ths_adjustment_nv_fund",U$3,$A584))</f>
        <v/>
      </c>
      <c r="V584" s="13" t="str">
        <f>IF($A584="","",[1]!thsiFinD("ths_adjustment_nv_fund",V$3,$A584))</f>
        <v/>
      </c>
      <c r="W584" s="13" t="str">
        <f>IF($A584="","",[1]!thsiFinD("ths_adjustment_nv_fund",W$3,$A584))</f>
        <v/>
      </c>
      <c r="X584" s="13" t="str">
        <f>IF($A584="","",[1]!thsiFinD("ths_adjustment_nv_fund",X$3,$A584))</f>
        <v/>
      </c>
      <c r="Y584" s="13" t="str">
        <f>IF($A584="","",[1]!thsiFinD("ths_adjustment_nv_fund",Y$3,$A584))</f>
        <v/>
      </c>
      <c r="Z584" s="13" t="str">
        <f>IF($A584="","",[1]!thsiFinD("ths_adjustment_nv_fund",Z$3,$A584))</f>
        <v/>
      </c>
      <c r="AA584" s="13" t="str">
        <f>IF($A584="","",[1]!thsiFinD("ths_adjustment_nv_fund",AA$3,$A584))</f>
        <v/>
      </c>
      <c r="AB584" s="13">
        <f>IF($A584="","",[1]!thsiFinD("ths_adjustment_nv_fund",AB$3,$A584))</f>
        <v/>
      </c>
      <c r="AC584" s="13">
        <f>IF($A584="","",[1]!thsiFinD("ths_adjustment_nv_fund",AC$3,$A584))</f>
        <v/>
      </c>
      <c r="AD584" s="13">
        <f>IF($A584="","",[1]!thsiFinD("ths_adjustment_nv_fund",AD$3,$A584))</f>
        <v/>
      </c>
      <c r="AE584" s="13">
        <f>IF($A584="","",[1]!thsiFinD("ths_adjustment_nv_fund",AE$3,$A584))</f>
        <v/>
      </c>
      <c r="AF584" s="13">
        <f>IF($A584="","",[1]!thsiFinD("ths_adjustment_nv_fund",AF$3,$A584))</f>
        <v/>
      </c>
      <c r="AG584" s="13">
        <f>IF($A584="","",[1]!thsiFinD("ths_adjustment_nv_fund",AG$3,$A584))</f>
        <v/>
      </c>
      <c r="AH584" s="13">
        <f>IF($A584="","",[1]!thsiFinD("ths_adjustment_nv_fund",AH$3,$A584))</f>
        <v/>
      </c>
      <c r="AI584" s="13">
        <f>IF($A584="","",[1]!thsiFinD("ths_adjustment_nv_fund",AI$3,$A584))</f>
        <v/>
      </c>
      <c r="AJ584" s="13">
        <f>IF($A584="","",[1]!thsiFinD("ths_adjustment_nv_fund",AJ$3,$A584))</f>
        <v/>
      </c>
      <c r="AK584" s="13">
        <f>IF($A584="","",[1]!thsiFinD("ths_adjustment_nv_fund",AK$3,$A584))</f>
        <v/>
      </c>
      <c r="AL584" s="13">
        <f>IF($A584="","",[1]!thsiFinD("ths_adjustment_nv_fund",AL$3,$A584))</f>
        <v/>
      </c>
    </row>
    <row r="585" spans="2:28">
      <c r="B585" s="13" t="str">
        <f>IF($A585="","",[1]!thsiFinD("ths_adjustment_nv_fund",B$3,$A585))</f>
        <v/>
      </c>
      <c r="C585" s="13" t="str">
        <f>IF($A585="","",[1]!thsiFinD("ths_adjustment_nv_fund",C$3,$A585))</f>
        <v/>
      </c>
      <c r="D585" s="13" t="str">
        <f>IF($A585="","",[1]!thsiFinD("ths_adjustment_nv_fund",D$3,$A585))</f>
        <v/>
      </c>
      <c r="E585" s="13" t="str">
        <f>IF($A585="","",[1]!thsiFinD("ths_adjustment_nv_fund",E$3,$A585))</f>
        <v/>
      </c>
      <c r="F585" s="13" t="str">
        <f>IF($A585="","",[1]!thsiFinD("ths_adjustment_nv_fund",F$3,$A585))</f>
        <v/>
      </c>
      <c r="G585" s="13" t="str">
        <f>IF($A585="","",[1]!thsiFinD("ths_adjustment_nv_fund",G$3,$A585))</f>
        <v/>
      </c>
      <c r="H585" s="13" t="str">
        <f>IF($A585="","",[1]!thsiFinD("ths_adjustment_nv_fund",H$3,$A585))</f>
        <v/>
      </c>
      <c r="I585" s="13" t="str">
        <f>IF($A585="","",[1]!thsiFinD("ths_adjustment_nv_fund",I$3,$A585))</f>
        <v/>
      </c>
      <c r="J585" s="13" t="str">
        <f>IF($A585="","",[1]!thsiFinD("ths_adjustment_nv_fund",J$3,$A585))</f>
        <v/>
      </c>
      <c r="K585" s="13" t="str">
        <f>IF($A585="","",[1]!thsiFinD("ths_adjustment_nv_fund",K$3,$A585))</f>
        <v/>
      </c>
      <c r="L585" s="13" t="str">
        <f>IF($A585="","",[1]!thsiFinD("ths_adjustment_nv_fund",L$3,$A585))</f>
        <v/>
      </c>
      <c r="M585" s="13" t="str">
        <f>IF($A585="","",[1]!thsiFinD("ths_adjustment_nv_fund",M$3,$A585))</f>
        <v/>
      </c>
      <c r="N585" s="13" t="str">
        <f>IF($A585="","",[1]!thsiFinD("ths_adjustment_nv_fund",N$3,$A585))</f>
        <v/>
      </c>
      <c r="O585" s="13" t="str">
        <f>IF($A585="","",[1]!thsiFinD("ths_adjustment_nv_fund",O$3,$A585))</f>
        <v/>
      </c>
      <c r="P585" s="13" t="str">
        <f>IF($A585="","",[1]!thsiFinD("ths_adjustment_nv_fund",P$3,$A585))</f>
        <v/>
      </c>
      <c r="Q585" s="13" t="str">
        <f>IF($A585="","",[1]!thsiFinD("ths_adjustment_nv_fund",Q$3,$A585))</f>
        <v/>
      </c>
      <c r="R585" s="13" t="str">
        <f>IF($A585="","",[1]!thsiFinD("ths_adjustment_nv_fund",R$3,$A585))</f>
        <v/>
      </c>
      <c r="S585" s="13" t="str">
        <f>IF($A585="","",[1]!thsiFinD("ths_adjustment_nv_fund",S$3,$A585))</f>
        <v/>
      </c>
      <c r="T585" s="13" t="str">
        <f>IF($A585="","",[1]!thsiFinD("ths_adjustment_nv_fund",T$3,$A585))</f>
        <v/>
      </c>
      <c r="U585" s="13" t="str">
        <f>IF($A585="","",[1]!thsiFinD("ths_adjustment_nv_fund",U$3,$A585))</f>
        <v/>
      </c>
      <c r="V585" s="13" t="str">
        <f>IF($A585="","",[1]!thsiFinD("ths_adjustment_nv_fund",V$3,$A585))</f>
        <v/>
      </c>
      <c r="W585" s="13" t="str">
        <f>IF($A585="","",[1]!thsiFinD("ths_adjustment_nv_fund",W$3,$A585))</f>
        <v/>
      </c>
      <c r="X585" s="13" t="str">
        <f>IF($A585="","",[1]!thsiFinD("ths_adjustment_nv_fund",X$3,$A585))</f>
        <v/>
      </c>
      <c r="Y585" s="13" t="str">
        <f>IF($A585="","",[1]!thsiFinD("ths_adjustment_nv_fund",Y$3,$A585))</f>
        <v/>
      </c>
      <c r="Z585" s="13" t="str">
        <f>IF($A585="","",[1]!thsiFinD("ths_adjustment_nv_fund",Z$3,$A585))</f>
        <v/>
      </c>
      <c r="AA585" s="13" t="str">
        <f>IF($A585="","",[1]!thsiFinD("ths_adjustment_nv_fund",AA$3,$A585))</f>
        <v/>
      </c>
      <c r="AB585" s="13">
        <f>IF($A585="","",[1]!thsiFinD("ths_adjustment_nv_fund",AB$3,$A585))</f>
        <v/>
      </c>
      <c r="AC585" s="13">
        <f>IF($A585="","",[1]!thsiFinD("ths_adjustment_nv_fund",AC$3,$A585))</f>
        <v/>
      </c>
      <c r="AD585" s="13">
        <f>IF($A585="","",[1]!thsiFinD("ths_adjustment_nv_fund",AD$3,$A585))</f>
        <v/>
      </c>
      <c r="AE585" s="13">
        <f>IF($A585="","",[1]!thsiFinD("ths_adjustment_nv_fund",AE$3,$A585))</f>
        <v/>
      </c>
      <c r="AF585" s="13">
        <f>IF($A585="","",[1]!thsiFinD("ths_adjustment_nv_fund",AF$3,$A585))</f>
        <v/>
      </c>
      <c r="AG585" s="13">
        <f>IF($A585="","",[1]!thsiFinD("ths_adjustment_nv_fund",AG$3,$A585))</f>
        <v/>
      </c>
      <c r="AH585" s="13">
        <f>IF($A585="","",[1]!thsiFinD("ths_adjustment_nv_fund",AH$3,$A585))</f>
        <v/>
      </c>
      <c r="AI585" s="13">
        <f>IF($A585="","",[1]!thsiFinD("ths_adjustment_nv_fund",AI$3,$A585))</f>
        <v/>
      </c>
      <c r="AJ585" s="13">
        <f>IF($A585="","",[1]!thsiFinD("ths_adjustment_nv_fund",AJ$3,$A585))</f>
        <v/>
      </c>
      <c r="AK585" s="13">
        <f>IF($A585="","",[1]!thsiFinD("ths_adjustment_nv_fund",AK$3,$A585))</f>
        <v/>
      </c>
      <c r="AL585" s="13">
        <f>IF($A585="","",[1]!thsiFinD("ths_adjustment_nv_fund",AL$3,$A585))</f>
        <v/>
      </c>
    </row>
    <row r="586" spans="2:28">
      <c r="B586" s="13" t="str">
        <f>IF($A586="","",[1]!thsiFinD("ths_adjustment_nv_fund",B$3,$A586))</f>
        <v/>
      </c>
      <c r="C586" s="13" t="str">
        <f>IF($A586="","",[1]!thsiFinD("ths_adjustment_nv_fund",C$3,$A586))</f>
        <v/>
      </c>
      <c r="D586" s="13" t="str">
        <f>IF($A586="","",[1]!thsiFinD("ths_adjustment_nv_fund",D$3,$A586))</f>
        <v/>
      </c>
      <c r="E586" s="13" t="str">
        <f>IF($A586="","",[1]!thsiFinD("ths_adjustment_nv_fund",E$3,$A586))</f>
        <v/>
      </c>
      <c r="F586" s="13" t="str">
        <f>IF($A586="","",[1]!thsiFinD("ths_adjustment_nv_fund",F$3,$A586))</f>
        <v/>
      </c>
      <c r="G586" s="13" t="str">
        <f>IF($A586="","",[1]!thsiFinD("ths_adjustment_nv_fund",G$3,$A586))</f>
        <v/>
      </c>
      <c r="H586" s="13" t="str">
        <f>IF($A586="","",[1]!thsiFinD("ths_adjustment_nv_fund",H$3,$A586))</f>
        <v/>
      </c>
      <c r="I586" s="13" t="str">
        <f>IF($A586="","",[1]!thsiFinD("ths_adjustment_nv_fund",I$3,$A586))</f>
        <v/>
      </c>
      <c r="J586" s="13" t="str">
        <f>IF($A586="","",[1]!thsiFinD("ths_adjustment_nv_fund",J$3,$A586))</f>
        <v/>
      </c>
      <c r="K586" s="13" t="str">
        <f>IF($A586="","",[1]!thsiFinD("ths_adjustment_nv_fund",K$3,$A586))</f>
        <v/>
      </c>
      <c r="L586" s="13" t="str">
        <f>IF($A586="","",[1]!thsiFinD("ths_adjustment_nv_fund",L$3,$A586))</f>
        <v/>
      </c>
      <c r="M586" s="13" t="str">
        <f>IF($A586="","",[1]!thsiFinD("ths_adjustment_nv_fund",M$3,$A586))</f>
        <v/>
      </c>
      <c r="N586" s="13" t="str">
        <f>IF($A586="","",[1]!thsiFinD("ths_adjustment_nv_fund",N$3,$A586))</f>
        <v/>
      </c>
      <c r="O586" s="13" t="str">
        <f>IF($A586="","",[1]!thsiFinD("ths_adjustment_nv_fund",O$3,$A586))</f>
        <v/>
      </c>
      <c r="P586" s="13" t="str">
        <f>IF($A586="","",[1]!thsiFinD("ths_adjustment_nv_fund",P$3,$A586))</f>
        <v/>
      </c>
      <c r="Q586" s="13" t="str">
        <f>IF($A586="","",[1]!thsiFinD("ths_adjustment_nv_fund",Q$3,$A586))</f>
        <v/>
      </c>
      <c r="R586" s="13" t="str">
        <f>IF($A586="","",[1]!thsiFinD("ths_adjustment_nv_fund",R$3,$A586))</f>
        <v/>
      </c>
      <c r="S586" s="13" t="str">
        <f>IF($A586="","",[1]!thsiFinD("ths_adjustment_nv_fund",S$3,$A586))</f>
        <v/>
      </c>
      <c r="T586" s="13" t="str">
        <f>IF($A586="","",[1]!thsiFinD("ths_adjustment_nv_fund",T$3,$A586))</f>
        <v/>
      </c>
      <c r="U586" s="13" t="str">
        <f>IF($A586="","",[1]!thsiFinD("ths_adjustment_nv_fund",U$3,$A586))</f>
        <v/>
      </c>
      <c r="V586" s="13" t="str">
        <f>IF($A586="","",[1]!thsiFinD("ths_adjustment_nv_fund",V$3,$A586))</f>
        <v/>
      </c>
      <c r="W586" s="13" t="str">
        <f>IF($A586="","",[1]!thsiFinD("ths_adjustment_nv_fund",W$3,$A586))</f>
        <v/>
      </c>
      <c r="X586" s="13" t="str">
        <f>IF($A586="","",[1]!thsiFinD("ths_adjustment_nv_fund",X$3,$A586))</f>
        <v/>
      </c>
      <c r="Y586" s="13" t="str">
        <f>IF($A586="","",[1]!thsiFinD("ths_adjustment_nv_fund",Y$3,$A586))</f>
        <v/>
      </c>
      <c r="Z586" s="13" t="str">
        <f>IF($A586="","",[1]!thsiFinD("ths_adjustment_nv_fund",Z$3,$A586))</f>
        <v/>
      </c>
      <c r="AA586" s="13" t="str">
        <f>IF($A586="","",[1]!thsiFinD("ths_adjustment_nv_fund",AA$3,$A586))</f>
        <v/>
      </c>
      <c r="AB586" s="13">
        <f>IF($A586="","",[1]!thsiFinD("ths_adjustment_nv_fund",AB$3,$A586))</f>
        <v/>
      </c>
      <c r="AC586" s="13">
        <f>IF($A586="","",[1]!thsiFinD("ths_adjustment_nv_fund",AC$3,$A586))</f>
        <v/>
      </c>
      <c r="AD586" s="13">
        <f>IF($A586="","",[1]!thsiFinD("ths_adjustment_nv_fund",AD$3,$A586))</f>
        <v/>
      </c>
      <c r="AE586" s="13">
        <f>IF($A586="","",[1]!thsiFinD("ths_adjustment_nv_fund",AE$3,$A586))</f>
        <v/>
      </c>
      <c r="AF586" s="13">
        <f>IF($A586="","",[1]!thsiFinD("ths_adjustment_nv_fund",AF$3,$A586))</f>
        <v/>
      </c>
      <c r="AG586" s="13">
        <f>IF($A586="","",[1]!thsiFinD("ths_adjustment_nv_fund",AG$3,$A586))</f>
        <v/>
      </c>
      <c r="AH586" s="13">
        <f>IF($A586="","",[1]!thsiFinD("ths_adjustment_nv_fund",AH$3,$A586))</f>
        <v/>
      </c>
      <c r="AI586" s="13">
        <f>IF($A586="","",[1]!thsiFinD("ths_adjustment_nv_fund",AI$3,$A586))</f>
        <v/>
      </c>
      <c r="AJ586" s="13">
        <f>IF($A586="","",[1]!thsiFinD("ths_adjustment_nv_fund",AJ$3,$A586))</f>
        <v/>
      </c>
      <c r="AK586" s="13">
        <f>IF($A586="","",[1]!thsiFinD("ths_adjustment_nv_fund",AK$3,$A586))</f>
        <v/>
      </c>
      <c r="AL586" s="13">
        <f>IF($A586="","",[1]!thsiFinD("ths_adjustment_nv_fund",AL$3,$A586))</f>
        <v/>
      </c>
    </row>
    <row r="587" spans="2:28">
      <c r="B587" s="13" t="str">
        <f>IF($A587="","",[1]!thsiFinD("ths_adjustment_nv_fund",B$3,$A587))</f>
        <v/>
      </c>
      <c r="C587" s="13" t="str">
        <f>IF($A587="","",[1]!thsiFinD("ths_adjustment_nv_fund",C$3,$A587))</f>
        <v/>
      </c>
      <c r="D587" s="13" t="str">
        <f>IF($A587="","",[1]!thsiFinD("ths_adjustment_nv_fund",D$3,$A587))</f>
        <v/>
      </c>
      <c r="E587" s="13" t="str">
        <f>IF($A587="","",[1]!thsiFinD("ths_adjustment_nv_fund",E$3,$A587))</f>
        <v/>
      </c>
      <c r="F587" s="13" t="str">
        <f>IF($A587="","",[1]!thsiFinD("ths_adjustment_nv_fund",F$3,$A587))</f>
        <v/>
      </c>
      <c r="G587" s="13" t="str">
        <f>IF($A587="","",[1]!thsiFinD("ths_adjustment_nv_fund",G$3,$A587))</f>
        <v/>
      </c>
      <c r="H587" s="13" t="str">
        <f>IF($A587="","",[1]!thsiFinD("ths_adjustment_nv_fund",H$3,$A587))</f>
        <v/>
      </c>
      <c r="I587" s="13" t="str">
        <f>IF($A587="","",[1]!thsiFinD("ths_adjustment_nv_fund",I$3,$A587))</f>
        <v/>
      </c>
      <c r="J587" s="13" t="str">
        <f>IF($A587="","",[1]!thsiFinD("ths_adjustment_nv_fund",J$3,$A587))</f>
        <v/>
      </c>
      <c r="K587" s="13" t="str">
        <f>IF($A587="","",[1]!thsiFinD("ths_adjustment_nv_fund",K$3,$A587))</f>
        <v/>
      </c>
      <c r="L587" s="13" t="str">
        <f>IF($A587="","",[1]!thsiFinD("ths_adjustment_nv_fund",L$3,$A587))</f>
        <v/>
      </c>
      <c r="M587" s="13" t="str">
        <f>IF($A587="","",[1]!thsiFinD("ths_adjustment_nv_fund",M$3,$A587))</f>
        <v/>
      </c>
      <c r="N587" s="13" t="str">
        <f>IF($A587="","",[1]!thsiFinD("ths_adjustment_nv_fund",N$3,$A587))</f>
        <v/>
      </c>
      <c r="O587" s="13" t="str">
        <f>IF($A587="","",[1]!thsiFinD("ths_adjustment_nv_fund",O$3,$A587))</f>
        <v/>
      </c>
      <c r="P587" s="13" t="str">
        <f>IF($A587="","",[1]!thsiFinD("ths_adjustment_nv_fund",P$3,$A587))</f>
        <v/>
      </c>
      <c r="Q587" s="13" t="str">
        <f>IF($A587="","",[1]!thsiFinD("ths_adjustment_nv_fund",Q$3,$A587))</f>
        <v/>
      </c>
      <c r="R587" s="13" t="str">
        <f>IF($A587="","",[1]!thsiFinD("ths_adjustment_nv_fund",R$3,$A587))</f>
        <v/>
      </c>
      <c r="S587" s="13" t="str">
        <f>IF($A587="","",[1]!thsiFinD("ths_adjustment_nv_fund",S$3,$A587))</f>
        <v/>
      </c>
      <c r="T587" s="13" t="str">
        <f>IF($A587="","",[1]!thsiFinD("ths_adjustment_nv_fund",T$3,$A587))</f>
        <v/>
      </c>
      <c r="U587" s="13" t="str">
        <f>IF($A587="","",[1]!thsiFinD("ths_adjustment_nv_fund",U$3,$A587))</f>
        <v/>
      </c>
      <c r="V587" s="13" t="str">
        <f>IF($A587="","",[1]!thsiFinD("ths_adjustment_nv_fund",V$3,$A587))</f>
        <v/>
      </c>
      <c r="W587" s="13" t="str">
        <f>IF($A587="","",[1]!thsiFinD("ths_adjustment_nv_fund",W$3,$A587))</f>
        <v/>
      </c>
      <c r="X587" s="13" t="str">
        <f>IF($A587="","",[1]!thsiFinD("ths_adjustment_nv_fund",X$3,$A587))</f>
        <v/>
      </c>
      <c r="Y587" s="13" t="str">
        <f>IF($A587="","",[1]!thsiFinD("ths_adjustment_nv_fund",Y$3,$A587))</f>
        <v/>
      </c>
      <c r="Z587" s="13" t="str">
        <f>IF($A587="","",[1]!thsiFinD("ths_adjustment_nv_fund",Z$3,$A587))</f>
        <v/>
      </c>
      <c r="AA587" s="13" t="str">
        <f>IF($A587="","",[1]!thsiFinD("ths_adjustment_nv_fund",AA$3,$A587))</f>
        <v/>
      </c>
      <c r="AB587" s="13">
        <f>IF($A587="","",[1]!thsiFinD("ths_adjustment_nv_fund",AB$3,$A587))</f>
        <v/>
      </c>
      <c r="AC587" s="13">
        <f>IF($A587="","",[1]!thsiFinD("ths_adjustment_nv_fund",AC$3,$A587))</f>
        <v/>
      </c>
      <c r="AD587" s="13">
        <f>IF($A587="","",[1]!thsiFinD("ths_adjustment_nv_fund",AD$3,$A587))</f>
        <v/>
      </c>
      <c r="AE587" s="13">
        <f>IF($A587="","",[1]!thsiFinD("ths_adjustment_nv_fund",AE$3,$A587))</f>
        <v/>
      </c>
      <c r="AF587" s="13">
        <f>IF($A587="","",[1]!thsiFinD("ths_adjustment_nv_fund",AF$3,$A587))</f>
        <v/>
      </c>
      <c r="AG587" s="13">
        <f>IF($A587="","",[1]!thsiFinD("ths_adjustment_nv_fund",AG$3,$A587))</f>
        <v/>
      </c>
      <c r="AH587" s="13">
        <f>IF($A587="","",[1]!thsiFinD("ths_adjustment_nv_fund",AH$3,$A587))</f>
        <v/>
      </c>
      <c r="AI587" s="13">
        <f>IF($A587="","",[1]!thsiFinD("ths_adjustment_nv_fund",AI$3,$A587))</f>
        <v/>
      </c>
      <c r="AJ587" s="13">
        <f>IF($A587="","",[1]!thsiFinD("ths_adjustment_nv_fund",AJ$3,$A587))</f>
        <v/>
      </c>
      <c r="AK587" s="13">
        <f>IF($A587="","",[1]!thsiFinD("ths_adjustment_nv_fund",AK$3,$A587))</f>
        <v/>
      </c>
      <c r="AL587" s="13">
        <f>IF($A587="","",[1]!thsiFinD("ths_adjustment_nv_fund",AL$3,$A587))</f>
        <v/>
      </c>
    </row>
    <row r="588" spans="2:28">
      <c r="B588" s="13" t="str">
        <f>IF($A588="","",[1]!thsiFinD("ths_adjustment_nv_fund",B$3,$A588))</f>
        <v/>
      </c>
      <c r="C588" s="13" t="str">
        <f>IF($A588="","",[1]!thsiFinD("ths_adjustment_nv_fund",C$3,$A588))</f>
        <v/>
      </c>
      <c r="D588" s="13" t="str">
        <f>IF($A588="","",[1]!thsiFinD("ths_adjustment_nv_fund",D$3,$A588))</f>
        <v/>
      </c>
      <c r="E588" s="13" t="str">
        <f>IF($A588="","",[1]!thsiFinD("ths_adjustment_nv_fund",E$3,$A588))</f>
        <v/>
      </c>
      <c r="F588" s="13" t="str">
        <f>IF($A588="","",[1]!thsiFinD("ths_adjustment_nv_fund",F$3,$A588))</f>
        <v/>
      </c>
      <c r="G588" s="13" t="str">
        <f>IF($A588="","",[1]!thsiFinD("ths_adjustment_nv_fund",G$3,$A588))</f>
        <v/>
      </c>
      <c r="H588" s="13" t="str">
        <f>IF($A588="","",[1]!thsiFinD("ths_adjustment_nv_fund",H$3,$A588))</f>
        <v/>
      </c>
      <c r="I588" s="13" t="str">
        <f>IF($A588="","",[1]!thsiFinD("ths_adjustment_nv_fund",I$3,$A588))</f>
        <v/>
      </c>
      <c r="J588" s="13" t="str">
        <f>IF($A588="","",[1]!thsiFinD("ths_adjustment_nv_fund",J$3,$A588))</f>
        <v/>
      </c>
      <c r="K588" s="13" t="str">
        <f>IF($A588="","",[1]!thsiFinD("ths_adjustment_nv_fund",K$3,$A588))</f>
        <v/>
      </c>
      <c r="L588" s="13" t="str">
        <f>IF($A588="","",[1]!thsiFinD("ths_adjustment_nv_fund",L$3,$A588))</f>
        <v/>
      </c>
      <c r="M588" s="13" t="str">
        <f>IF($A588="","",[1]!thsiFinD("ths_adjustment_nv_fund",M$3,$A588))</f>
        <v/>
      </c>
      <c r="N588" s="13" t="str">
        <f>IF($A588="","",[1]!thsiFinD("ths_adjustment_nv_fund",N$3,$A588))</f>
        <v/>
      </c>
      <c r="O588" s="13" t="str">
        <f>IF($A588="","",[1]!thsiFinD("ths_adjustment_nv_fund",O$3,$A588))</f>
        <v/>
      </c>
      <c r="P588" s="13" t="str">
        <f>IF($A588="","",[1]!thsiFinD("ths_adjustment_nv_fund",P$3,$A588))</f>
        <v/>
      </c>
      <c r="Q588" s="13" t="str">
        <f>IF($A588="","",[1]!thsiFinD("ths_adjustment_nv_fund",Q$3,$A588))</f>
        <v/>
      </c>
      <c r="R588" s="13" t="str">
        <f>IF($A588="","",[1]!thsiFinD("ths_adjustment_nv_fund",R$3,$A588))</f>
        <v/>
      </c>
      <c r="S588" s="13" t="str">
        <f>IF($A588="","",[1]!thsiFinD("ths_adjustment_nv_fund",S$3,$A588))</f>
        <v/>
      </c>
      <c r="T588" s="13" t="str">
        <f>IF($A588="","",[1]!thsiFinD("ths_adjustment_nv_fund",T$3,$A588))</f>
        <v/>
      </c>
      <c r="U588" s="13" t="str">
        <f>IF($A588="","",[1]!thsiFinD("ths_adjustment_nv_fund",U$3,$A588))</f>
        <v/>
      </c>
      <c r="V588" s="13" t="str">
        <f>IF($A588="","",[1]!thsiFinD("ths_adjustment_nv_fund",V$3,$A588))</f>
        <v/>
      </c>
      <c r="W588" s="13" t="str">
        <f>IF($A588="","",[1]!thsiFinD("ths_adjustment_nv_fund",W$3,$A588))</f>
        <v/>
      </c>
      <c r="X588" s="13" t="str">
        <f>IF($A588="","",[1]!thsiFinD("ths_adjustment_nv_fund",X$3,$A588))</f>
        <v/>
      </c>
      <c r="Y588" s="13" t="str">
        <f>IF($A588="","",[1]!thsiFinD("ths_adjustment_nv_fund",Y$3,$A588))</f>
        <v/>
      </c>
      <c r="Z588" s="13" t="str">
        <f>IF($A588="","",[1]!thsiFinD("ths_adjustment_nv_fund",Z$3,$A588))</f>
        <v/>
      </c>
      <c r="AA588" s="13" t="str">
        <f>IF($A588="","",[1]!thsiFinD("ths_adjustment_nv_fund",AA$3,$A588))</f>
        <v/>
      </c>
      <c r="AB588" s="13">
        <f>IF($A588="","",[1]!thsiFinD("ths_adjustment_nv_fund",AB$3,$A588))</f>
        <v/>
      </c>
      <c r="AC588" s="13">
        <f>IF($A588="","",[1]!thsiFinD("ths_adjustment_nv_fund",AC$3,$A588))</f>
        <v/>
      </c>
      <c r="AD588" s="13">
        <f>IF($A588="","",[1]!thsiFinD("ths_adjustment_nv_fund",AD$3,$A588))</f>
        <v/>
      </c>
      <c r="AE588" s="13">
        <f>IF($A588="","",[1]!thsiFinD("ths_adjustment_nv_fund",AE$3,$A588))</f>
        <v/>
      </c>
      <c r="AF588" s="13">
        <f>IF($A588="","",[1]!thsiFinD("ths_adjustment_nv_fund",AF$3,$A588))</f>
        <v/>
      </c>
      <c r="AG588" s="13">
        <f>IF($A588="","",[1]!thsiFinD("ths_adjustment_nv_fund",AG$3,$A588))</f>
        <v/>
      </c>
      <c r="AH588" s="13">
        <f>IF($A588="","",[1]!thsiFinD("ths_adjustment_nv_fund",AH$3,$A588))</f>
        <v/>
      </c>
      <c r="AI588" s="13">
        <f>IF($A588="","",[1]!thsiFinD("ths_adjustment_nv_fund",AI$3,$A588))</f>
        <v/>
      </c>
      <c r="AJ588" s="13">
        <f>IF($A588="","",[1]!thsiFinD("ths_adjustment_nv_fund",AJ$3,$A588))</f>
        <v/>
      </c>
      <c r="AK588" s="13">
        <f>IF($A588="","",[1]!thsiFinD("ths_adjustment_nv_fund",AK$3,$A588))</f>
        <v/>
      </c>
      <c r="AL588" s="13">
        <f>IF($A588="","",[1]!thsiFinD("ths_adjustment_nv_fund",AL$3,$A588))</f>
        <v/>
      </c>
    </row>
    <row r="589" spans="2:28">
      <c r="B589" s="13" t="str">
        <f>IF($A589="","",[1]!thsiFinD("ths_adjustment_nv_fund",B$3,$A589))</f>
        <v/>
      </c>
      <c r="C589" s="13" t="str">
        <f>IF($A589="","",[1]!thsiFinD("ths_adjustment_nv_fund",C$3,$A589))</f>
        <v/>
      </c>
      <c r="D589" s="13" t="str">
        <f>IF($A589="","",[1]!thsiFinD("ths_adjustment_nv_fund",D$3,$A589))</f>
        <v/>
      </c>
      <c r="E589" s="13" t="str">
        <f>IF($A589="","",[1]!thsiFinD("ths_adjustment_nv_fund",E$3,$A589))</f>
        <v/>
      </c>
      <c r="F589" s="13" t="str">
        <f>IF($A589="","",[1]!thsiFinD("ths_adjustment_nv_fund",F$3,$A589))</f>
        <v/>
      </c>
      <c r="G589" s="13" t="str">
        <f>IF($A589="","",[1]!thsiFinD("ths_adjustment_nv_fund",G$3,$A589))</f>
        <v/>
      </c>
      <c r="H589" s="13" t="str">
        <f>IF($A589="","",[1]!thsiFinD("ths_adjustment_nv_fund",H$3,$A589))</f>
        <v/>
      </c>
      <c r="I589" s="13" t="str">
        <f>IF($A589="","",[1]!thsiFinD("ths_adjustment_nv_fund",I$3,$A589))</f>
        <v/>
      </c>
      <c r="J589" s="13" t="str">
        <f>IF($A589="","",[1]!thsiFinD("ths_adjustment_nv_fund",J$3,$A589))</f>
        <v/>
      </c>
      <c r="K589" s="13" t="str">
        <f>IF($A589="","",[1]!thsiFinD("ths_adjustment_nv_fund",K$3,$A589))</f>
        <v/>
      </c>
      <c r="L589" s="13" t="str">
        <f>IF($A589="","",[1]!thsiFinD("ths_adjustment_nv_fund",L$3,$A589))</f>
        <v/>
      </c>
      <c r="M589" s="13" t="str">
        <f>IF($A589="","",[1]!thsiFinD("ths_adjustment_nv_fund",M$3,$A589))</f>
        <v/>
      </c>
      <c r="N589" s="13" t="str">
        <f>IF($A589="","",[1]!thsiFinD("ths_adjustment_nv_fund",N$3,$A589))</f>
        <v/>
      </c>
      <c r="O589" s="13" t="str">
        <f>IF($A589="","",[1]!thsiFinD("ths_adjustment_nv_fund",O$3,$A589))</f>
        <v/>
      </c>
      <c r="P589" s="13" t="str">
        <f>IF($A589="","",[1]!thsiFinD("ths_adjustment_nv_fund",P$3,$A589))</f>
        <v/>
      </c>
      <c r="Q589" s="13" t="str">
        <f>IF($A589="","",[1]!thsiFinD("ths_adjustment_nv_fund",Q$3,$A589))</f>
        <v/>
      </c>
      <c r="R589" s="13" t="str">
        <f>IF($A589="","",[1]!thsiFinD("ths_adjustment_nv_fund",R$3,$A589))</f>
        <v/>
      </c>
      <c r="S589" s="13" t="str">
        <f>IF($A589="","",[1]!thsiFinD("ths_adjustment_nv_fund",S$3,$A589))</f>
        <v/>
      </c>
      <c r="T589" s="13" t="str">
        <f>IF($A589="","",[1]!thsiFinD("ths_adjustment_nv_fund",T$3,$A589))</f>
        <v/>
      </c>
      <c r="U589" s="13" t="str">
        <f>IF($A589="","",[1]!thsiFinD("ths_adjustment_nv_fund",U$3,$A589))</f>
        <v/>
      </c>
      <c r="V589" s="13" t="str">
        <f>IF($A589="","",[1]!thsiFinD("ths_adjustment_nv_fund",V$3,$A589))</f>
        <v/>
      </c>
      <c r="W589" s="13" t="str">
        <f>IF($A589="","",[1]!thsiFinD("ths_adjustment_nv_fund",W$3,$A589))</f>
        <v/>
      </c>
      <c r="X589" s="13" t="str">
        <f>IF($A589="","",[1]!thsiFinD("ths_adjustment_nv_fund",X$3,$A589))</f>
        <v/>
      </c>
      <c r="Y589" s="13" t="str">
        <f>IF($A589="","",[1]!thsiFinD("ths_adjustment_nv_fund",Y$3,$A589))</f>
        <v/>
      </c>
      <c r="Z589" s="13" t="str">
        <f>IF($A589="","",[1]!thsiFinD("ths_adjustment_nv_fund",Z$3,$A589))</f>
        <v/>
      </c>
      <c r="AA589" s="13" t="str">
        <f>IF($A589="","",[1]!thsiFinD("ths_adjustment_nv_fund",AA$3,$A589))</f>
        <v/>
      </c>
      <c r="AB589" s="13">
        <f>IF($A589="","",[1]!thsiFinD("ths_adjustment_nv_fund",AB$3,$A589))</f>
        <v/>
      </c>
      <c r="AC589" s="13">
        <f>IF($A589="","",[1]!thsiFinD("ths_adjustment_nv_fund",AC$3,$A589))</f>
        <v/>
      </c>
      <c r="AD589" s="13">
        <f>IF($A589="","",[1]!thsiFinD("ths_adjustment_nv_fund",AD$3,$A589))</f>
        <v/>
      </c>
      <c r="AE589" s="13">
        <f>IF($A589="","",[1]!thsiFinD("ths_adjustment_nv_fund",AE$3,$A589))</f>
        <v/>
      </c>
      <c r="AF589" s="13">
        <f>IF($A589="","",[1]!thsiFinD("ths_adjustment_nv_fund",AF$3,$A589))</f>
        <v/>
      </c>
      <c r="AG589" s="13">
        <f>IF($A589="","",[1]!thsiFinD("ths_adjustment_nv_fund",AG$3,$A589))</f>
        <v/>
      </c>
      <c r="AH589" s="13">
        <f>IF($A589="","",[1]!thsiFinD("ths_adjustment_nv_fund",AH$3,$A589))</f>
        <v/>
      </c>
      <c r="AI589" s="13">
        <f>IF($A589="","",[1]!thsiFinD("ths_adjustment_nv_fund",AI$3,$A589))</f>
        <v/>
      </c>
      <c r="AJ589" s="13">
        <f>IF($A589="","",[1]!thsiFinD("ths_adjustment_nv_fund",AJ$3,$A589))</f>
        <v/>
      </c>
      <c r="AK589" s="13">
        <f>IF($A589="","",[1]!thsiFinD("ths_adjustment_nv_fund",AK$3,$A589))</f>
        <v/>
      </c>
      <c r="AL589" s="13">
        <f>IF($A589="","",[1]!thsiFinD("ths_adjustment_nv_fund",AL$3,$A589))</f>
        <v/>
      </c>
    </row>
    <row r="590" spans="2:28">
      <c r="B590" s="13" t="str">
        <f>IF($A590="","",[1]!thsiFinD("ths_adjustment_nv_fund",B$3,$A590))</f>
        <v/>
      </c>
      <c r="C590" s="13" t="str">
        <f>IF($A590="","",[1]!thsiFinD("ths_adjustment_nv_fund",C$3,$A590))</f>
        <v/>
      </c>
      <c r="D590" s="13" t="str">
        <f>IF($A590="","",[1]!thsiFinD("ths_adjustment_nv_fund",D$3,$A590))</f>
        <v/>
      </c>
      <c r="E590" s="13" t="str">
        <f>IF($A590="","",[1]!thsiFinD("ths_adjustment_nv_fund",E$3,$A590))</f>
        <v/>
      </c>
      <c r="F590" s="13" t="str">
        <f>IF($A590="","",[1]!thsiFinD("ths_adjustment_nv_fund",F$3,$A590))</f>
        <v/>
      </c>
      <c r="G590" s="13" t="str">
        <f>IF($A590="","",[1]!thsiFinD("ths_adjustment_nv_fund",G$3,$A590))</f>
        <v/>
      </c>
      <c r="H590" s="13" t="str">
        <f>IF($A590="","",[1]!thsiFinD("ths_adjustment_nv_fund",H$3,$A590))</f>
        <v/>
      </c>
      <c r="I590" s="13" t="str">
        <f>IF($A590="","",[1]!thsiFinD("ths_adjustment_nv_fund",I$3,$A590))</f>
        <v/>
      </c>
      <c r="J590" s="13" t="str">
        <f>IF($A590="","",[1]!thsiFinD("ths_adjustment_nv_fund",J$3,$A590))</f>
        <v/>
      </c>
      <c r="K590" s="13" t="str">
        <f>IF($A590="","",[1]!thsiFinD("ths_adjustment_nv_fund",K$3,$A590))</f>
        <v/>
      </c>
      <c r="L590" s="13" t="str">
        <f>IF($A590="","",[1]!thsiFinD("ths_adjustment_nv_fund",L$3,$A590))</f>
        <v/>
      </c>
      <c r="M590" s="13" t="str">
        <f>IF($A590="","",[1]!thsiFinD("ths_adjustment_nv_fund",M$3,$A590))</f>
        <v/>
      </c>
      <c r="N590" s="13" t="str">
        <f>IF($A590="","",[1]!thsiFinD("ths_adjustment_nv_fund",N$3,$A590))</f>
        <v/>
      </c>
      <c r="O590" s="13" t="str">
        <f>IF($A590="","",[1]!thsiFinD("ths_adjustment_nv_fund",O$3,$A590))</f>
        <v/>
      </c>
      <c r="P590" s="13" t="str">
        <f>IF($A590="","",[1]!thsiFinD("ths_adjustment_nv_fund",P$3,$A590))</f>
        <v/>
      </c>
      <c r="Q590" s="13" t="str">
        <f>IF($A590="","",[1]!thsiFinD("ths_adjustment_nv_fund",Q$3,$A590))</f>
        <v/>
      </c>
      <c r="R590" s="13" t="str">
        <f>IF($A590="","",[1]!thsiFinD("ths_adjustment_nv_fund",R$3,$A590))</f>
        <v/>
      </c>
      <c r="S590" s="13" t="str">
        <f>IF($A590="","",[1]!thsiFinD("ths_adjustment_nv_fund",S$3,$A590))</f>
        <v/>
      </c>
      <c r="T590" s="13" t="str">
        <f>IF($A590="","",[1]!thsiFinD("ths_adjustment_nv_fund",T$3,$A590))</f>
        <v/>
      </c>
      <c r="U590" s="13" t="str">
        <f>IF($A590="","",[1]!thsiFinD("ths_adjustment_nv_fund",U$3,$A590))</f>
        <v/>
      </c>
      <c r="V590" s="13" t="str">
        <f>IF($A590="","",[1]!thsiFinD("ths_adjustment_nv_fund",V$3,$A590))</f>
        <v/>
      </c>
      <c r="W590" s="13" t="str">
        <f>IF($A590="","",[1]!thsiFinD("ths_adjustment_nv_fund",W$3,$A590))</f>
        <v/>
      </c>
      <c r="X590" s="13" t="str">
        <f>IF($A590="","",[1]!thsiFinD("ths_adjustment_nv_fund",X$3,$A590))</f>
        <v/>
      </c>
      <c r="Y590" s="13" t="str">
        <f>IF($A590="","",[1]!thsiFinD("ths_adjustment_nv_fund",Y$3,$A590))</f>
        <v/>
      </c>
      <c r="Z590" s="13" t="str">
        <f>IF($A590="","",[1]!thsiFinD("ths_adjustment_nv_fund",Z$3,$A590))</f>
        <v/>
      </c>
      <c r="AA590" s="13" t="str">
        <f>IF($A590="","",[1]!thsiFinD("ths_adjustment_nv_fund",AA$3,$A590))</f>
        <v/>
      </c>
      <c r="AB590" s="13">
        <f>IF($A590="","",[1]!thsiFinD("ths_adjustment_nv_fund",AB$3,$A590))</f>
        <v/>
      </c>
      <c r="AC590" s="13">
        <f>IF($A590="","",[1]!thsiFinD("ths_adjustment_nv_fund",AC$3,$A590))</f>
        <v/>
      </c>
      <c r="AD590" s="13">
        <f>IF($A590="","",[1]!thsiFinD("ths_adjustment_nv_fund",AD$3,$A590))</f>
        <v/>
      </c>
      <c r="AE590" s="13">
        <f>IF($A590="","",[1]!thsiFinD("ths_adjustment_nv_fund",AE$3,$A590))</f>
        <v/>
      </c>
      <c r="AF590" s="13">
        <f>IF($A590="","",[1]!thsiFinD("ths_adjustment_nv_fund",AF$3,$A590))</f>
        <v/>
      </c>
      <c r="AG590" s="13">
        <f>IF($A590="","",[1]!thsiFinD("ths_adjustment_nv_fund",AG$3,$A590))</f>
        <v/>
      </c>
      <c r="AH590" s="13">
        <f>IF($A590="","",[1]!thsiFinD("ths_adjustment_nv_fund",AH$3,$A590))</f>
        <v/>
      </c>
      <c r="AI590" s="13">
        <f>IF($A590="","",[1]!thsiFinD("ths_adjustment_nv_fund",AI$3,$A590))</f>
        <v/>
      </c>
      <c r="AJ590" s="13">
        <f>IF($A590="","",[1]!thsiFinD("ths_adjustment_nv_fund",AJ$3,$A590))</f>
        <v/>
      </c>
      <c r="AK590" s="13">
        <f>IF($A590="","",[1]!thsiFinD("ths_adjustment_nv_fund",AK$3,$A590))</f>
        <v/>
      </c>
      <c r="AL590" s="13">
        <f>IF($A590="","",[1]!thsiFinD("ths_adjustment_nv_fund",AL$3,$A590))</f>
        <v/>
      </c>
    </row>
    <row r="591" spans="2:28">
      <c r="B591" s="13" t="str">
        <f>IF($A591="","",[1]!thsiFinD("ths_adjustment_nv_fund",B$3,$A591))</f>
        <v/>
      </c>
      <c r="C591" s="13" t="str">
        <f>IF($A591="","",[1]!thsiFinD("ths_adjustment_nv_fund",C$3,$A591))</f>
        <v/>
      </c>
      <c r="D591" s="13" t="str">
        <f>IF($A591="","",[1]!thsiFinD("ths_adjustment_nv_fund",D$3,$A591))</f>
        <v/>
      </c>
      <c r="E591" s="13" t="str">
        <f>IF($A591="","",[1]!thsiFinD("ths_adjustment_nv_fund",E$3,$A591))</f>
        <v/>
      </c>
      <c r="F591" s="13" t="str">
        <f>IF($A591="","",[1]!thsiFinD("ths_adjustment_nv_fund",F$3,$A591))</f>
        <v/>
      </c>
      <c r="G591" s="13" t="str">
        <f>IF($A591="","",[1]!thsiFinD("ths_adjustment_nv_fund",G$3,$A591))</f>
        <v/>
      </c>
      <c r="H591" s="13" t="str">
        <f>IF($A591="","",[1]!thsiFinD("ths_adjustment_nv_fund",H$3,$A591))</f>
        <v/>
      </c>
      <c r="I591" s="13" t="str">
        <f>IF($A591="","",[1]!thsiFinD("ths_adjustment_nv_fund",I$3,$A591))</f>
        <v/>
      </c>
      <c r="J591" s="13" t="str">
        <f>IF($A591="","",[1]!thsiFinD("ths_adjustment_nv_fund",J$3,$A591))</f>
        <v/>
      </c>
      <c r="K591" s="13" t="str">
        <f>IF($A591="","",[1]!thsiFinD("ths_adjustment_nv_fund",K$3,$A591))</f>
        <v/>
      </c>
      <c r="L591" s="13" t="str">
        <f>IF($A591="","",[1]!thsiFinD("ths_adjustment_nv_fund",L$3,$A591))</f>
        <v/>
      </c>
      <c r="M591" s="13" t="str">
        <f>IF($A591="","",[1]!thsiFinD("ths_adjustment_nv_fund",M$3,$A591))</f>
        <v/>
      </c>
      <c r="N591" s="13" t="str">
        <f>IF($A591="","",[1]!thsiFinD("ths_adjustment_nv_fund",N$3,$A591))</f>
        <v/>
      </c>
      <c r="O591" s="13" t="str">
        <f>IF($A591="","",[1]!thsiFinD("ths_adjustment_nv_fund",O$3,$A591))</f>
        <v/>
      </c>
      <c r="P591" s="13" t="str">
        <f>IF($A591="","",[1]!thsiFinD("ths_adjustment_nv_fund",P$3,$A591))</f>
        <v/>
      </c>
      <c r="Q591" s="13" t="str">
        <f>IF($A591="","",[1]!thsiFinD("ths_adjustment_nv_fund",Q$3,$A591))</f>
        <v/>
      </c>
      <c r="R591" s="13" t="str">
        <f>IF($A591="","",[1]!thsiFinD("ths_adjustment_nv_fund",R$3,$A591))</f>
        <v/>
      </c>
      <c r="S591" s="13" t="str">
        <f>IF($A591="","",[1]!thsiFinD("ths_adjustment_nv_fund",S$3,$A591))</f>
        <v/>
      </c>
      <c r="T591" s="13" t="str">
        <f>IF($A591="","",[1]!thsiFinD("ths_adjustment_nv_fund",T$3,$A591))</f>
        <v/>
      </c>
      <c r="U591" s="13" t="str">
        <f>IF($A591="","",[1]!thsiFinD("ths_adjustment_nv_fund",U$3,$A591))</f>
        <v/>
      </c>
      <c r="V591" s="13" t="str">
        <f>IF($A591="","",[1]!thsiFinD("ths_adjustment_nv_fund",V$3,$A591))</f>
        <v/>
      </c>
      <c r="W591" s="13" t="str">
        <f>IF($A591="","",[1]!thsiFinD("ths_adjustment_nv_fund",W$3,$A591))</f>
        <v/>
      </c>
      <c r="X591" s="13" t="str">
        <f>IF($A591="","",[1]!thsiFinD("ths_adjustment_nv_fund",X$3,$A591))</f>
        <v/>
      </c>
      <c r="Y591" s="13" t="str">
        <f>IF($A591="","",[1]!thsiFinD("ths_adjustment_nv_fund",Y$3,$A591))</f>
        <v/>
      </c>
      <c r="Z591" s="13" t="str">
        <f>IF($A591="","",[1]!thsiFinD("ths_adjustment_nv_fund",Z$3,$A591))</f>
        <v/>
      </c>
      <c r="AA591" s="13" t="str">
        <f>IF($A591="","",[1]!thsiFinD("ths_adjustment_nv_fund",AA$3,$A591))</f>
        <v/>
      </c>
      <c r="AB591" s="13">
        <f>IF($A591="","",[1]!thsiFinD("ths_adjustment_nv_fund",AB$3,$A591))</f>
        <v/>
      </c>
      <c r="AC591" s="13">
        <f>IF($A591="","",[1]!thsiFinD("ths_adjustment_nv_fund",AC$3,$A591))</f>
        <v/>
      </c>
      <c r="AD591" s="13">
        <f>IF($A591="","",[1]!thsiFinD("ths_adjustment_nv_fund",AD$3,$A591))</f>
        <v/>
      </c>
      <c r="AE591" s="13">
        <f>IF($A591="","",[1]!thsiFinD("ths_adjustment_nv_fund",AE$3,$A591))</f>
        <v/>
      </c>
      <c r="AF591" s="13">
        <f>IF($A591="","",[1]!thsiFinD("ths_adjustment_nv_fund",AF$3,$A591))</f>
        <v/>
      </c>
      <c r="AG591" s="13">
        <f>IF($A591="","",[1]!thsiFinD("ths_adjustment_nv_fund",AG$3,$A591))</f>
        <v/>
      </c>
      <c r="AH591" s="13">
        <f>IF($A591="","",[1]!thsiFinD("ths_adjustment_nv_fund",AH$3,$A591))</f>
        <v/>
      </c>
      <c r="AI591" s="13">
        <f>IF($A591="","",[1]!thsiFinD("ths_adjustment_nv_fund",AI$3,$A591))</f>
        <v/>
      </c>
      <c r="AJ591" s="13">
        <f>IF($A591="","",[1]!thsiFinD("ths_adjustment_nv_fund",AJ$3,$A591))</f>
        <v/>
      </c>
      <c r="AK591" s="13">
        <f>IF($A591="","",[1]!thsiFinD("ths_adjustment_nv_fund",AK$3,$A591))</f>
        <v/>
      </c>
      <c r="AL591" s="13">
        <f>IF($A591="","",[1]!thsiFinD("ths_adjustment_nv_fund",AL$3,$A591))</f>
        <v/>
      </c>
    </row>
    <row r="592" spans="2:28">
      <c r="B592" s="13" t="str">
        <f>IF($A592="","",[1]!thsiFinD("ths_adjustment_nv_fund",B$3,$A592))</f>
        <v/>
      </c>
      <c r="C592" s="13" t="str">
        <f>IF($A592="","",[1]!thsiFinD("ths_adjustment_nv_fund",C$3,$A592))</f>
        <v/>
      </c>
      <c r="D592" s="13" t="str">
        <f>IF($A592="","",[1]!thsiFinD("ths_adjustment_nv_fund",D$3,$A592))</f>
        <v/>
      </c>
      <c r="E592" s="13" t="str">
        <f>IF($A592="","",[1]!thsiFinD("ths_adjustment_nv_fund",E$3,$A592))</f>
        <v/>
      </c>
      <c r="F592" s="13" t="str">
        <f>IF($A592="","",[1]!thsiFinD("ths_adjustment_nv_fund",F$3,$A592))</f>
        <v/>
      </c>
      <c r="G592" s="13" t="str">
        <f>IF($A592="","",[1]!thsiFinD("ths_adjustment_nv_fund",G$3,$A592))</f>
        <v/>
      </c>
      <c r="H592" s="13" t="str">
        <f>IF($A592="","",[1]!thsiFinD("ths_adjustment_nv_fund",H$3,$A592))</f>
        <v/>
      </c>
      <c r="I592" s="13" t="str">
        <f>IF($A592="","",[1]!thsiFinD("ths_adjustment_nv_fund",I$3,$A592))</f>
        <v/>
      </c>
      <c r="J592" s="13" t="str">
        <f>IF($A592="","",[1]!thsiFinD("ths_adjustment_nv_fund",J$3,$A592))</f>
        <v/>
      </c>
      <c r="K592" s="13" t="str">
        <f>IF($A592="","",[1]!thsiFinD("ths_adjustment_nv_fund",K$3,$A592))</f>
        <v/>
      </c>
      <c r="L592" s="13" t="str">
        <f>IF($A592="","",[1]!thsiFinD("ths_adjustment_nv_fund",L$3,$A592))</f>
        <v/>
      </c>
      <c r="M592" s="13" t="str">
        <f>IF($A592="","",[1]!thsiFinD("ths_adjustment_nv_fund",M$3,$A592))</f>
        <v/>
      </c>
      <c r="N592" s="13" t="str">
        <f>IF($A592="","",[1]!thsiFinD("ths_adjustment_nv_fund",N$3,$A592))</f>
        <v/>
      </c>
      <c r="O592" s="13" t="str">
        <f>IF($A592="","",[1]!thsiFinD("ths_adjustment_nv_fund",O$3,$A592))</f>
        <v/>
      </c>
      <c r="P592" s="13" t="str">
        <f>IF($A592="","",[1]!thsiFinD("ths_adjustment_nv_fund",P$3,$A592))</f>
        <v/>
      </c>
      <c r="Q592" s="13" t="str">
        <f>IF($A592="","",[1]!thsiFinD("ths_adjustment_nv_fund",Q$3,$A592))</f>
        <v/>
      </c>
      <c r="R592" s="13" t="str">
        <f>IF($A592="","",[1]!thsiFinD("ths_adjustment_nv_fund",R$3,$A592))</f>
        <v/>
      </c>
      <c r="S592" s="13" t="str">
        <f>IF($A592="","",[1]!thsiFinD("ths_adjustment_nv_fund",S$3,$A592))</f>
        <v/>
      </c>
      <c r="T592" s="13" t="str">
        <f>IF($A592="","",[1]!thsiFinD("ths_adjustment_nv_fund",T$3,$A592))</f>
        <v/>
      </c>
      <c r="U592" s="13" t="str">
        <f>IF($A592="","",[1]!thsiFinD("ths_adjustment_nv_fund",U$3,$A592))</f>
        <v/>
      </c>
      <c r="V592" s="13" t="str">
        <f>IF($A592="","",[1]!thsiFinD("ths_adjustment_nv_fund",V$3,$A592))</f>
        <v/>
      </c>
      <c r="W592" s="13" t="str">
        <f>IF($A592="","",[1]!thsiFinD("ths_adjustment_nv_fund",W$3,$A592))</f>
        <v/>
      </c>
      <c r="X592" s="13" t="str">
        <f>IF($A592="","",[1]!thsiFinD("ths_adjustment_nv_fund",X$3,$A592))</f>
        <v/>
      </c>
      <c r="Y592" s="13" t="str">
        <f>IF($A592="","",[1]!thsiFinD("ths_adjustment_nv_fund",Y$3,$A592))</f>
        <v/>
      </c>
      <c r="Z592" s="13" t="str">
        <f>IF($A592="","",[1]!thsiFinD("ths_adjustment_nv_fund",Z$3,$A592))</f>
        <v/>
      </c>
      <c r="AA592" s="13" t="str">
        <f>IF($A592="","",[1]!thsiFinD("ths_adjustment_nv_fund",AA$3,$A592))</f>
        <v/>
      </c>
      <c r="AB592" s="13">
        <f>IF($A592="","",[1]!thsiFinD("ths_adjustment_nv_fund",AB$3,$A592))</f>
        <v/>
      </c>
      <c r="AC592" s="13">
        <f>IF($A592="","",[1]!thsiFinD("ths_adjustment_nv_fund",AC$3,$A592))</f>
        <v/>
      </c>
      <c r="AD592" s="13">
        <f>IF($A592="","",[1]!thsiFinD("ths_adjustment_nv_fund",AD$3,$A592))</f>
        <v/>
      </c>
      <c r="AE592" s="13">
        <f>IF($A592="","",[1]!thsiFinD("ths_adjustment_nv_fund",AE$3,$A592))</f>
        <v/>
      </c>
      <c r="AF592" s="13">
        <f>IF($A592="","",[1]!thsiFinD("ths_adjustment_nv_fund",AF$3,$A592))</f>
        <v/>
      </c>
      <c r="AG592" s="13">
        <f>IF($A592="","",[1]!thsiFinD("ths_adjustment_nv_fund",AG$3,$A592))</f>
        <v/>
      </c>
      <c r="AH592" s="13">
        <f>IF($A592="","",[1]!thsiFinD("ths_adjustment_nv_fund",AH$3,$A592))</f>
        <v/>
      </c>
      <c r="AI592" s="13">
        <f>IF($A592="","",[1]!thsiFinD("ths_adjustment_nv_fund",AI$3,$A592))</f>
        <v/>
      </c>
      <c r="AJ592" s="13">
        <f>IF($A592="","",[1]!thsiFinD("ths_adjustment_nv_fund",AJ$3,$A592))</f>
        <v/>
      </c>
      <c r="AK592" s="13">
        <f>IF($A592="","",[1]!thsiFinD("ths_adjustment_nv_fund",AK$3,$A592))</f>
        <v/>
      </c>
      <c r="AL592" s="13">
        <f>IF($A592="","",[1]!thsiFinD("ths_adjustment_nv_fund",AL$3,$A592))</f>
        <v/>
      </c>
    </row>
    <row r="593" spans="2:28">
      <c r="B593" s="13" t="str">
        <f>IF($A593="","",[1]!thsiFinD("ths_adjustment_nv_fund",B$3,$A593))</f>
        <v/>
      </c>
      <c r="C593" s="13" t="str">
        <f>IF($A593="","",[1]!thsiFinD("ths_adjustment_nv_fund",C$3,$A593))</f>
        <v/>
      </c>
      <c r="D593" s="13" t="str">
        <f>IF($A593="","",[1]!thsiFinD("ths_adjustment_nv_fund",D$3,$A593))</f>
        <v/>
      </c>
      <c r="E593" s="13" t="str">
        <f>IF($A593="","",[1]!thsiFinD("ths_adjustment_nv_fund",E$3,$A593))</f>
        <v/>
      </c>
      <c r="F593" s="13" t="str">
        <f>IF($A593="","",[1]!thsiFinD("ths_adjustment_nv_fund",F$3,$A593))</f>
        <v/>
      </c>
      <c r="G593" s="13" t="str">
        <f>IF($A593="","",[1]!thsiFinD("ths_adjustment_nv_fund",G$3,$A593))</f>
        <v/>
      </c>
      <c r="H593" s="13" t="str">
        <f>IF($A593="","",[1]!thsiFinD("ths_adjustment_nv_fund",H$3,$A593))</f>
        <v/>
      </c>
      <c r="I593" s="13" t="str">
        <f>IF($A593="","",[1]!thsiFinD("ths_adjustment_nv_fund",I$3,$A593))</f>
        <v/>
      </c>
      <c r="J593" s="13" t="str">
        <f>IF($A593="","",[1]!thsiFinD("ths_adjustment_nv_fund",J$3,$A593))</f>
        <v/>
      </c>
      <c r="K593" s="13" t="str">
        <f>IF($A593="","",[1]!thsiFinD("ths_adjustment_nv_fund",K$3,$A593))</f>
        <v/>
      </c>
      <c r="L593" s="13" t="str">
        <f>IF($A593="","",[1]!thsiFinD("ths_adjustment_nv_fund",L$3,$A593))</f>
        <v/>
      </c>
      <c r="M593" s="13" t="str">
        <f>IF($A593="","",[1]!thsiFinD("ths_adjustment_nv_fund",M$3,$A593))</f>
        <v/>
      </c>
      <c r="N593" s="13" t="str">
        <f>IF($A593="","",[1]!thsiFinD("ths_adjustment_nv_fund",N$3,$A593))</f>
        <v/>
      </c>
      <c r="O593" s="13" t="str">
        <f>IF($A593="","",[1]!thsiFinD("ths_adjustment_nv_fund",O$3,$A593))</f>
        <v/>
      </c>
      <c r="P593" s="13" t="str">
        <f>IF($A593="","",[1]!thsiFinD("ths_adjustment_nv_fund",P$3,$A593))</f>
        <v/>
      </c>
      <c r="Q593" s="13" t="str">
        <f>IF($A593="","",[1]!thsiFinD("ths_adjustment_nv_fund",Q$3,$A593))</f>
        <v/>
      </c>
      <c r="R593" s="13" t="str">
        <f>IF($A593="","",[1]!thsiFinD("ths_adjustment_nv_fund",R$3,$A593))</f>
        <v/>
      </c>
      <c r="S593" s="13" t="str">
        <f>IF($A593="","",[1]!thsiFinD("ths_adjustment_nv_fund",S$3,$A593))</f>
        <v/>
      </c>
      <c r="T593" s="13" t="str">
        <f>IF($A593="","",[1]!thsiFinD("ths_adjustment_nv_fund",T$3,$A593))</f>
        <v/>
      </c>
      <c r="U593" s="13" t="str">
        <f>IF($A593="","",[1]!thsiFinD("ths_adjustment_nv_fund",U$3,$A593))</f>
        <v/>
      </c>
      <c r="V593" s="13" t="str">
        <f>IF($A593="","",[1]!thsiFinD("ths_adjustment_nv_fund",V$3,$A593))</f>
        <v/>
      </c>
      <c r="W593" s="13" t="str">
        <f>IF($A593="","",[1]!thsiFinD("ths_adjustment_nv_fund",W$3,$A593))</f>
        <v/>
      </c>
      <c r="X593" s="13" t="str">
        <f>IF($A593="","",[1]!thsiFinD("ths_adjustment_nv_fund",X$3,$A593))</f>
        <v/>
      </c>
      <c r="Y593" s="13" t="str">
        <f>IF($A593="","",[1]!thsiFinD("ths_adjustment_nv_fund",Y$3,$A593))</f>
        <v/>
      </c>
      <c r="Z593" s="13" t="str">
        <f>IF($A593="","",[1]!thsiFinD("ths_adjustment_nv_fund",Z$3,$A593))</f>
        <v/>
      </c>
      <c r="AA593" s="13" t="str">
        <f>IF($A593="","",[1]!thsiFinD("ths_adjustment_nv_fund",AA$3,$A593))</f>
        <v/>
      </c>
      <c r="AB593" s="13">
        <f>IF($A593="","",[1]!thsiFinD("ths_adjustment_nv_fund",AB$3,$A593))</f>
        <v/>
      </c>
      <c r="AC593" s="13">
        <f>IF($A593="","",[1]!thsiFinD("ths_adjustment_nv_fund",AC$3,$A593))</f>
        <v/>
      </c>
      <c r="AD593" s="13">
        <f>IF($A593="","",[1]!thsiFinD("ths_adjustment_nv_fund",AD$3,$A593))</f>
        <v/>
      </c>
      <c r="AE593" s="13">
        <f>IF($A593="","",[1]!thsiFinD("ths_adjustment_nv_fund",AE$3,$A593))</f>
        <v/>
      </c>
      <c r="AF593" s="13">
        <f>IF($A593="","",[1]!thsiFinD("ths_adjustment_nv_fund",AF$3,$A593))</f>
        <v/>
      </c>
      <c r="AG593" s="13">
        <f>IF($A593="","",[1]!thsiFinD("ths_adjustment_nv_fund",AG$3,$A593))</f>
        <v/>
      </c>
      <c r="AH593" s="13">
        <f>IF($A593="","",[1]!thsiFinD("ths_adjustment_nv_fund",AH$3,$A593))</f>
        <v/>
      </c>
      <c r="AI593" s="13">
        <f>IF($A593="","",[1]!thsiFinD("ths_adjustment_nv_fund",AI$3,$A593))</f>
        <v/>
      </c>
      <c r="AJ593" s="13">
        <f>IF($A593="","",[1]!thsiFinD("ths_adjustment_nv_fund",AJ$3,$A593))</f>
        <v/>
      </c>
      <c r="AK593" s="13">
        <f>IF($A593="","",[1]!thsiFinD("ths_adjustment_nv_fund",AK$3,$A593))</f>
        <v/>
      </c>
      <c r="AL593" s="13">
        <f>IF($A593="","",[1]!thsiFinD("ths_adjustment_nv_fund",AL$3,$A593))</f>
        <v/>
      </c>
    </row>
    <row r="594" spans="2:28">
      <c r="B594" s="13" t="str">
        <f>IF($A594="","",[1]!thsiFinD("ths_adjustment_nv_fund",B$3,$A594))</f>
        <v/>
      </c>
      <c r="C594" s="13" t="str">
        <f>IF($A594="","",[1]!thsiFinD("ths_adjustment_nv_fund",C$3,$A594))</f>
        <v/>
      </c>
      <c r="D594" s="13" t="str">
        <f>IF($A594="","",[1]!thsiFinD("ths_adjustment_nv_fund",D$3,$A594))</f>
        <v/>
      </c>
      <c r="E594" s="13" t="str">
        <f>IF($A594="","",[1]!thsiFinD("ths_adjustment_nv_fund",E$3,$A594))</f>
        <v/>
      </c>
      <c r="F594" s="13" t="str">
        <f>IF($A594="","",[1]!thsiFinD("ths_adjustment_nv_fund",F$3,$A594))</f>
        <v/>
      </c>
      <c r="G594" s="13" t="str">
        <f>IF($A594="","",[1]!thsiFinD("ths_adjustment_nv_fund",G$3,$A594))</f>
        <v/>
      </c>
      <c r="H594" s="13" t="str">
        <f>IF($A594="","",[1]!thsiFinD("ths_adjustment_nv_fund",H$3,$A594))</f>
        <v/>
      </c>
      <c r="I594" s="13" t="str">
        <f>IF($A594="","",[1]!thsiFinD("ths_adjustment_nv_fund",I$3,$A594))</f>
        <v/>
      </c>
      <c r="J594" s="13" t="str">
        <f>IF($A594="","",[1]!thsiFinD("ths_adjustment_nv_fund",J$3,$A594))</f>
        <v/>
      </c>
      <c r="K594" s="13" t="str">
        <f>IF($A594="","",[1]!thsiFinD("ths_adjustment_nv_fund",K$3,$A594))</f>
        <v/>
      </c>
      <c r="L594" s="13" t="str">
        <f>IF($A594="","",[1]!thsiFinD("ths_adjustment_nv_fund",L$3,$A594))</f>
        <v/>
      </c>
      <c r="M594" s="13" t="str">
        <f>IF($A594="","",[1]!thsiFinD("ths_adjustment_nv_fund",M$3,$A594))</f>
        <v/>
      </c>
      <c r="N594" s="13" t="str">
        <f>IF($A594="","",[1]!thsiFinD("ths_adjustment_nv_fund",N$3,$A594))</f>
        <v/>
      </c>
      <c r="O594" s="13" t="str">
        <f>IF($A594="","",[1]!thsiFinD("ths_adjustment_nv_fund",O$3,$A594))</f>
        <v/>
      </c>
      <c r="P594" s="13" t="str">
        <f>IF($A594="","",[1]!thsiFinD("ths_adjustment_nv_fund",P$3,$A594))</f>
        <v/>
      </c>
      <c r="Q594" s="13" t="str">
        <f>IF($A594="","",[1]!thsiFinD("ths_adjustment_nv_fund",Q$3,$A594))</f>
        <v/>
      </c>
      <c r="R594" s="13" t="str">
        <f>IF($A594="","",[1]!thsiFinD("ths_adjustment_nv_fund",R$3,$A594))</f>
        <v/>
      </c>
      <c r="S594" s="13" t="str">
        <f>IF($A594="","",[1]!thsiFinD("ths_adjustment_nv_fund",S$3,$A594))</f>
        <v/>
      </c>
      <c r="T594" s="13" t="str">
        <f>IF($A594="","",[1]!thsiFinD("ths_adjustment_nv_fund",T$3,$A594))</f>
        <v/>
      </c>
      <c r="U594" s="13" t="str">
        <f>IF($A594="","",[1]!thsiFinD("ths_adjustment_nv_fund",U$3,$A594))</f>
        <v/>
      </c>
      <c r="V594" s="13" t="str">
        <f>IF($A594="","",[1]!thsiFinD("ths_adjustment_nv_fund",V$3,$A594))</f>
        <v/>
      </c>
      <c r="W594" s="13" t="str">
        <f>IF($A594="","",[1]!thsiFinD("ths_adjustment_nv_fund",W$3,$A594))</f>
        <v/>
      </c>
      <c r="X594" s="13" t="str">
        <f>IF($A594="","",[1]!thsiFinD("ths_adjustment_nv_fund",X$3,$A594))</f>
        <v/>
      </c>
      <c r="Y594" s="13" t="str">
        <f>IF($A594="","",[1]!thsiFinD("ths_adjustment_nv_fund",Y$3,$A594))</f>
        <v/>
      </c>
      <c r="Z594" s="13" t="str">
        <f>IF($A594="","",[1]!thsiFinD("ths_adjustment_nv_fund",Z$3,$A594))</f>
        <v/>
      </c>
      <c r="AA594" s="13" t="str">
        <f>IF($A594="","",[1]!thsiFinD("ths_adjustment_nv_fund",AA$3,$A594))</f>
        <v/>
      </c>
      <c r="AB594" s="13">
        <f>IF($A594="","",[1]!thsiFinD("ths_adjustment_nv_fund",AB$3,$A594))</f>
        <v/>
      </c>
      <c r="AC594" s="13">
        <f>IF($A594="","",[1]!thsiFinD("ths_adjustment_nv_fund",AC$3,$A594))</f>
        <v/>
      </c>
      <c r="AD594" s="13">
        <f>IF($A594="","",[1]!thsiFinD("ths_adjustment_nv_fund",AD$3,$A594))</f>
        <v/>
      </c>
      <c r="AE594" s="13">
        <f>IF($A594="","",[1]!thsiFinD("ths_adjustment_nv_fund",AE$3,$A594))</f>
        <v/>
      </c>
      <c r="AF594" s="13">
        <f>IF($A594="","",[1]!thsiFinD("ths_adjustment_nv_fund",AF$3,$A594))</f>
        <v/>
      </c>
      <c r="AG594" s="13">
        <f>IF($A594="","",[1]!thsiFinD("ths_adjustment_nv_fund",AG$3,$A594))</f>
        <v/>
      </c>
      <c r="AH594" s="13">
        <f>IF($A594="","",[1]!thsiFinD("ths_adjustment_nv_fund",AH$3,$A594))</f>
        <v/>
      </c>
      <c r="AI594" s="13">
        <f>IF($A594="","",[1]!thsiFinD("ths_adjustment_nv_fund",AI$3,$A594))</f>
        <v/>
      </c>
      <c r="AJ594" s="13">
        <f>IF($A594="","",[1]!thsiFinD("ths_adjustment_nv_fund",AJ$3,$A594))</f>
        <v/>
      </c>
      <c r="AK594" s="13">
        <f>IF($A594="","",[1]!thsiFinD("ths_adjustment_nv_fund",AK$3,$A594))</f>
        <v/>
      </c>
      <c r="AL594" s="13">
        <f>IF($A594="","",[1]!thsiFinD("ths_adjustment_nv_fund",AL$3,$A594))</f>
        <v/>
      </c>
    </row>
    <row r="595" spans="2:28">
      <c r="B595" s="13" t="str">
        <f>IF($A595="","",[1]!thsiFinD("ths_adjustment_nv_fund",B$3,$A595))</f>
        <v/>
      </c>
      <c r="C595" s="13" t="str">
        <f>IF($A595="","",[1]!thsiFinD("ths_adjustment_nv_fund",C$3,$A595))</f>
        <v/>
      </c>
      <c r="D595" s="13" t="str">
        <f>IF($A595="","",[1]!thsiFinD("ths_adjustment_nv_fund",D$3,$A595))</f>
        <v/>
      </c>
      <c r="E595" s="13" t="str">
        <f>IF($A595="","",[1]!thsiFinD("ths_adjustment_nv_fund",E$3,$A595))</f>
        <v/>
      </c>
      <c r="F595" s="13" t="str">
        <f>IF($A595="","",[1]!thsiFinD("ths_adjustment_nv_fund",F$3,$A595))</f>
        <v/>
      </c>
      <c r="G595" s="13" t="str">
        <f>IF($A595="","",[1]!thsiFinD("ths_adjustment_nv_fund",G$3,$A595))</f>
        <v/>
      </c>
      <c r="H595" s="13" t="str">
        <f>IF($A595="","",[1]!thsiFinD("ths_adjustment_nv_fund",H$3,$A595))</f>
        <v/>
      </c>
      <c r="I595" s="13" t="str">
        <f>IF($A595="","",[1]!thsiFinD("ths_adjustment_nv_fund",I$3,$A595))</f>
        <v/>
      </c>
      <c r="J595" s="13" t="str">
        <f>IF($A595="","",[1]!thsiFinD("ths_adjustment_nv_fund",J$3,$A595))</f>
        <v/>
      </c>
      <c r="K595" s="13" t="str">
        <f>IF($A595="","",[1]!thsiFinD("ths_adjustment_nv_fund",K$3,$A595))</f>
        <v/>
      </c>
      <c r="L595" s="13" t="str">
        <f>IF($A595="","",[1]!thsiFinD("ths_adjustment_nv_fund",L$3,$A595))</f>
        <v/>
      </c>
      <c r="M595" s="13" t="str">
        <f>IF($A595="","",[1]!thsiFinD("ths_adjustment_nv_fund",M$3,$A595))</f>
        <v/>
      </c>
      <c r="N595" s="13" t="str">
        <f>IF($A595="","",[1]!thsiFinD("ths_adjustment_nv_fund",N$3,$A595))</f>
        <v/>
      </c>
      <c r="O595" s="13" t="str">
        <f>IF($A595="","",[1]!thsiFinD("ths_adjustment_nv_fund",O$3,$A595))</f>
        <v/>
      </c>
      <c r="P595" s="13" t="str">
        <f>IF($A595="","",[1]!thsiFinD("ths_adjustment_nv_fund",P$3,$A595))</f>
        <v/>
      </c>
      <c r="Q595" s="13" t="str">
        <f>IF($A595="","",[1]!thsiFinD("ths_adjustment_nv_fund",Q$3,$A595))</f>
        <v/>
      </c>
      <c r="R595" s="13" t="str">
        <f>IF($A595="","",[1]!thsiFinD("ths_adjustment_nv_fund",R$3,$A595))</f>
        <v/>
      </c>
      <c r="S595" s="13" t="str">
        <f>IF($A595="","",[1]!thsiFinD("ths_adjustment_nv_fund",S$3,$A595))</f>
        <v/>
      </c>
      <c r="T595" s="13" t="str">
        <f>IF($A595="","",[1]!thsiFinD("ths_adjustment_nv_fund",T$3,$A595))</f>
        <v/>
      </c>
      <c r="U595" s="13" t="str">
        <f>IF($A595="","",[1]!thsiFinD("ths_adjustment_nv_fund",U$3,$A595))</f>
        <v/>
      </c>
      <c r="V595" s="13" t="str">
        <f>IF($A595="","",[1]!thsiFinD("ths_adjustment_nv_fund",V$3,$A595))</f>
        <v/>
      </c>
      <c r="W595" s="13" t="str">
        <f>IF($A595="","",[1]!thsiFinD("ths_adjustment_nv_fund",W$3,$A595))</f>
        <v/>
      </c>
      <c r="X595" s="13" t="str">
        <f>IF($A595="","",[1]!thsiFinD("ths_adjustment_nv_fund",X$3,$A595))</f>
        <v/>
      </c>
      <c r="Y595" s="13" t="str">
        <f>IF($A595="","",[1]!thsiFinD("ths_adjustment_nv_fund",Y$3,$A595))</f>
        <v/>
      </c>
      <c r="Z595" s="13" t="str">
        <f>IF($A595="","",[1]!thsiFinD("ths_adjustment_nv_fund",Z$3,$A595))</f>
        <v/>
      </c>
      <c r="AA595" s="13" t="str">
        <f>IF($A595="","",[1]!thsiFinD("ths_adjustment_nv_fund",AA$3,$A595))</f>
        <v/>
      </c>
      <c r="AB595" s="13">
        <f>IF($A595="","",[1]!thsiFinD("ths_adjustment_nv_fund",AB$3,$A595))</f>
        <v/>
      </c>
      <c r="AC595" s="13">
        <f>IF($A595="","",[1]!thsiFinD("ths_adjustment_nv_fund",AC$3,$A595))</f>
        <v/>
      </c>
      <c r="AD595" s="13">
        <f>IF($A595="","",[1]!thsiFinD("ths_adjustment_nv_fund",AD$3,$A595))</f>
        <v/>
      </c>
      <c r="AE595" s="13">
        <f>IF($A595="","",[1]!thsiFinD("ths_adjustment_nv_fund",AE$3,$A595))</f>
        <v/>
      </c>
      <c r="AF595" s="13">
        <f>IF($A595="","",[1]!thsiFinD("ths_adjustment_nv_fund",AF$3,$A595))</f>
        <v/>
      </c>
      <c r="AG595" s="13">
        <f>IF($A595="","",[1]!thsiFinD("ths_adjustment_nv_fund",AG$3,$A595))</f>
        <v/>
      </c>
      <c r="AH595" s="13">
        <f>IF($A595="","",[1]!thsiFinD("ths_adjustment_nv_fund",AH$3,$A595))</f>
        <v/>
      </c>
      <c r="AI595" s="13">
        <f>IF($A595="","",[1]!thsiFinD("ths_adjustment_nv_fund",AI$3,$A595))</f>
        <v/>
      </c>
      <c r="AJ595" s="13">
        <f>IF($A595="","",[1]!thsiFinD("ths_adjustment_nv_fund",AJ$3,$A595))</f>
        <v/>
      </c>
      <c r="AK595" s="13">
        <f>IF($A595="","",[1]!thsiFinD("ths_adjustment_nv_fund",AK$3,$A595))</f>
        <v/>
      </c>
      <c r="AL595" s="13">
        <f>IF($A595="","",[1]!thsiFinD("ths_adjustment_nv_fund",AL$3,$A595))</f>
        <v/>
      </c>
    </row>
    <row r="596" spans="2:28">
      <c r="B596" s="13" t="str">
        <f>IF($A596="","",[1]!thsiFinD("ths_adjustment_nv_fund",B$3,$A596))</f>
        <v/>
      </c>
      <c r="C596" s="13" t="str">
        <f>IF($A596="","",[1]!thsiFinD("ths_adjustment_nv_fund",C$3,$A596))</f>
        <v/>
      </c>
      <c r="D596" s="13" t="str">
        <f>IF($A596="","",[1]!thsiFinD("ths_adjustment_nv_fund",D$3,$A596))</f>
        <v/>
      </c>
      <c r="E596" s="13" t="str">
        <f>IF($A596="","",[1]!thsiFinD("ths_adjustment_nv_fund",E$3,$A596))</f>
        <v/>
      </c>
      <c r="F596" s="13" t="str">
        <f>IF($A596="","",[1]!thsiFinD("ths_adjustment_nv_fund",F$3,$A596))</f>
        <v/>
      </c>
      <c r="G596" s="13" t="str">
        <f>IF($A596="","",[1]!thsiFinD("ths_adjustment_nv_fund",G$3,$A596))</f>
        <v/>
      </c>
      <c r="H596" s="13" t="str">
        <f>IF($A596="","",[1]!thsiFinD("ths_adjustment_nv_fund",H$3,$A596))</f>
        <v/>
      </c>
      <c r="I596" s="13" t="str">
        <f>IF($A596="","",[1]!thsiFinD("ths_adjustment_nv_fund",I$3,$A596))</f>
        <v/>
      </c>
      <c r="J596" s="13" t="str">
        <f>IF($A596="","",[1]!thsiFinD("ths_adjustment_nv_fund",J$3,$A596))</f>
        <v/>
      </c>
      <c r="K596" s="13" t="str">
        <f>IF($A596="","",[1]!thsiFinD("ths_adjustment_nv_fund",K$3,$A596))</f>
        <v/>
      </c>
      <c r="L596" s="13" t="str">
        <f>IF($A596="","",[1]!thsiFinD("ths_adjustment_nv_fund",L$3,$A596))</f>
        <v/>
      </c>
      <c r="M596" s="13" t="str">
        <f>IF($A596="","",[1]!thsiFinD("ths_adjustment_nv_fund",M$3,$A596))</f>
        <v/>
      </c>
      <c r="N596" s="13" t="str">
        <f>IF($A596="","",[1]!thsiFinD("ths_adjustment_nv_fund",N$3,$A596))</f>
        <v/>
      </c>
      <c r="O596" s="13" t="str">
        <f>IF($A596="","",[1]!thsiFinD("ths_adjustment_nv_fund",O$3,$A596))</f>
        <v/>
      </c>
      <c r="P596" s="13" t="str">
        <f>IF($A596="","",[1]!thsiFinD("ths_adjustment_nv_fund",P$3,$A596))</f>
        <v/>
      </c>
      <c r="Q596" s="13" t="str">
        <f>IF($A596="","",[1]!thsiFinD("ths_adjustment_nv_fund",Q$3,$A596))</f>
        <v/>
      </c>
      <c r="R596" s="13" t="str">
        <f>IF($A596="","",[1]!thsiFinD("ths_adjustment_nv_fund",R$3,$A596))</f>
        <v/>
      </c>
      <c r="S596" s="13" t="str">
        <f>IF($A596="","",[1]!thsiFinD("ths_adjustment_nv_fund",S$3,$A596))</f>
        <v/>
      </c>
      <c r="T596" s="13" t="str">
        <f>IF($A596="","",[1]!thsiFinD("ths_adjustment_nv_fund",T$3,$A596))</f>
        <v/>
      </c>
      <c r="U596" s="13" t="str">
        <f>IF($A596="","",[1]!thsiFinD("ths_adjustment_nv_fund",U$3,$A596))</f>
        <v/>
      </c>
      <c r="V596" s="13" t="str">
        <f>IF($A596="","",[1]!thsiFinD("ths_adjustment_nv_fund",V$3,$A596))</f>
        <v/>
      </c>
      <c r="W596" s="13" t="str">
        <f>IF($A596="","",[1]!thsiFinD("ths_adjustment_nv_fund",W$3,$A596))</f>
        <v/>
      </c>
      <c r="X596" s="13" t="str">
        <f>IF($A596="","",[1]!thsiFinD("ths_adjustment_nv_fund",X$3,$A596))</f>
        <v/>
      </c>
      <c r="Y596" s="13" t="str">
        <f>IF($A596="","",[1]!thsiFinD("ths_adjustment_nv_fund",Y$3,$A596))</f>
        <v/>
      </c>
      <c r="Z596" s="13" t="str">
        <f>IF($A596="","",[1]!thsiFinD("ths_adjustment_nv_fund",Z$3,$A596))</f>
        <v/>
      </c>
      <c r="AA596" s="13" t="str">
        <f>IF($A596="","",[1]!thsiFinD("ths_adjustment_nv_fund",AA$3,$A596))</f>
        <v/>
      </c>
      <c r="AB596" s="13">
        <f>IF($A596="","",[1]!thsiFinD("ths_adjustment_nv_fund",AB$3,$A596))</f>
        <v/>
      </c>
      <c r="AC596" s="13">
        <f>IF($A596="","",[1]!thsiFinD("ths_adjustment_nv_fund",AC$3,$A596))</f>
        <v/>
      </c>
      <c r="AD596" s="13">
        <f>IF($A596="","",[1]!thsiFinD("ths_adjustment_nv_fund",AD$3,$A596))</f>
        <v/>
      </c>
      <c r="AE596" s="13">
        <f>IF($A596="","",[1]!thsiFinD("ths_adjustment_nv_fund",AE$3,$A596))</f>
        <v/>
      </c>
      <c r="AF596" s="13">
        <f>IF($A596="","",[1]!thsiFinD("ths_adjustment_nv_fund",AF$3,$A596))</f>
        <v/>
      </c>
      <c r="AG596" s="13">
        <f>IF($A596="","",[1]!thsiFinD("ths_adjustment_nv_fund",AG$3,$A596))</f>
        <v/>
      </c>
      <c r="AH596" s="13">
        <f>IF($A596="","",[1]!thsiFinD("ths_adjustment_nv_fund",AH$3,$A596))</f>
        <v/>
      </c>
      <c r="AI596" s="13">
        <f>IF($A596="","",[1]!thsiFinD("ths_adjustment_nv_fund",AI$3,$A596))</f>
        <v/>
      </c>
      <c r="AJ596" s="13">
        <f>IF($A596="","",[1]!thsiFinD("ths_adjustment_nv_fund",AJ$3,$A596))</f>
        <v/>
      </c>
      <c r="AK596" s="13">
        <f>IF($A596="","",[1]!thsiFinD("ths_adjustment_nv_fund",AK$3,$A596))</f>
        <v/>
      </c>
      <c r="AL596" s="13">
        <f>IF($A596="","",[1]!thsiFinD("ths_adjustment_nv_fund",AL$3,$A596))</f>
        <v/>
      </c>
    </row>
    <row r="597" spans="2:28">
      <c r="B597" s="13" t="str">
        <f>IF($A597="","",[1]!thsiFinD("ths_adjustment_nv_fund",B$3,$A597))</f>
        <v/>
      </c>
      <c r="C597" s="13" t="str">
        <f>IF($A597="","",[1]!thsiFinD("ths_adjustment_nv_fund",C$3,$A597))</f>
        <v/>
      </c>
      <c r="D597" s="13" t="str">
        <f>IF($A597="","",[1]!thsiFinD("ths_adjustment_nv_fund",D$3,$A597))</f>
        <v/>
      </c>
      <c r="E597" s="13" t="str">
        <f>IF($A597="","",[1]!thsiFinD("ths_adjustment_nv_fund",E$3,$A597))</f>
        <v/>
      </c>
      <c r="F597" s="13" t="str">
        <f>IF($A597="","",[1]!thsiFinD("ths_adjustment_nv_fund",F$3,$A597))</f>
        <v/>
      </c>
      <c r="G597" s="13" t="str">
        <f>IF($A597="","",[1]!thsiFinD("ths_adjustment_nv_fund",G$3,$A597))</f>
        <v/>
      </c>
      <c r="H597" s="13" t="str">
        <f>IF($A597="","",[1]!thsiFinD("ths_adjustment_nv_fund",H$3,$A597))</f>
        <v/>
      </c>
      <c r="I597" s="13" t="str">
        <f>IF($A597="","",[1]!thsiFinD("ths_adjustment_nv_fund",I$3,$A597))</f>
        <v/>
      </c>
      <c r="J597" s="13" t="str">
        <f>IF($A597="","",[1]!thsiFinD("ths_adjustment_nv_fund",J$3,$A597))</f>
        <v/>
      </c>
      <c r="K597" s="13" t="str">
        <f>IF($A597="","",[1]!thsiFinD("ths_adjustment_nv_fund",K$3,$A597))</f>
        <v/>
      </c>
      <c r="L597" s="13" t="str">
        <f>IF($A597="","",[1]!thsiFinD("ths_adjustment_nv_fund",L$3,$A597))</f>
        <v/>
      </c>
      <c r="M597" s="13" t="str">
        <f>IF($A597="","",[1]!thsiFinD("ths_adjustment_nv_fund",M$3,$A597))</f>
        <v/>
      </c>
      <c r="N597" s="13" t="str">
        <f>IF($A597="","",[1]!thsiFinD("ths_adjustment_nv_fund",N$3,$A597))</f>
        <v/>
      </c>
      <c r="O597" s="13" t="str">
        <f>IF($A597="","",[1]!thsiFinD("ths_adjustment_nv_fund",O$3,$A597))</f>
        <v/>
      </c>
      <c r="P597" s="13" t="str">
        <f>IF($A597="","",[1]!thsiFinD("ths_adjustment_nv_fund",P$3,$A597))</f>
        <v/>
      </c>
      <c r="Q597" s="13" t="str">
        <f>IF($A597="","",[1]!thsiFinD("ths_adjustment_nv_fund",Q$3,$A597))</f>
        <v/>
      </c>
      <c r="R597" s="13" t="str">
        <f>IF($A597="","",[1]!thsiFinD("ths_adjustment_nv_fund",R$3,$A597))</f>
        <v/>
      </c>
      <c r="S597" s="13" t="str">
        <f>IF($A597="","",[1]!thsiFinD("ths_adjustment_nv_fund",S$3,$A597))</f>
        <v/>
      </c>
      <c r="T597" s="13" t="str">
        <f>IF($A597="","",[1]!thsiFinD("ths_adjustment_nv_fund",T$3,$A597))</f>
        <v/>
      </c>
      <c r="U597" s="13" t="str">
        <f>IF($A597="","",[1]!thsiFinD("ths_adjustment_nv_fund",U$3,$A597))</f>
        <v/>
      </c>
      <c r="V597" s="13" t="str">
        <f>IF($A597="","",[1]!thsiFinD("ths_adjustment_nv_fund",V$3,$A597))</f>
        <v/>
      </c>
      <c r="W597" s="13" t="str">
        <f>IF($A597="","",[1]!thsiFinD("ths_adjustment_nv_fund",W$3,$A597))</f>
        <v/>
      </c>
      <c r="X597" s="13" t="str">
        <f>IF($A597="","",[1]!thsiFinD("ths_adjustment_nv_fund",X$3,$A597))</f>
        <v/>
      </c>
      <c r="Y597" s="13" t="str">
        <f>IF($A597="","",[1]!thsiFinD("ths_adjustment_nv_fund",Y$3,$A597))</f>
        <v/>
      </c>
      <c r="Z597" s="13" t="str">
        <f>IF($A597="","",[1]!thsiFinD("ths_adjustment_nv_fund",Z$3,$A597))</f>
        <v/>
      </c>
      <c r="AA597" s="13" t="str">
        <f>IF($A597="","",[1]!thsiFinD("ths_adjustment_nv_fund",AA$3,$A597))</f>
        <v/>
      </c>
      <c r="AB597" s="13">
        <f>IF($A597="","",[1]!thsiFinD("ths_adjustment_nv_fund",AB$3,$A597))</f>
        <v/>
      </c>
      <c r="AC597" s="13">
        <f>IF($A597="","",[1]!thsiFinD("ths_adjustment_nv_fund",AC$3,$A597))</f>
        <v/>
      </c>
      <c r="AD597" s="13">
        <f>IF($A597="","",[1]!thsiFinD("ths_adjustment_nv_fund",AD$3,$A597))</f>
        <v/>
      </c>
      <c r="AE597" s="13">
        <f>IF($A597="","",[1]!thsiFinD("ths_adjustment_nv_fund",AE$3,$A597))</f>
        <v/>
      </c>
      <c r="AF597" s="13">
        <f>IF($A597="","",[1]!thsiFinD("ths_adjustment_nv_fund",AF$3,$A597))</f>
        <v/>
      </c>
      <c r="AG597" s="13">
        <f>IF($A597="","",[1]!thsiFinD("ths_adjustment_nv_fund",AG$3,$A597))</f>
        <v/>
      </c>
      <c r="AH597" s="13">
        <f>IF($A597="","",[1]!thsiFinD("ths_adjustment_nv_fund",AH$3,$A597))</f>
        <v/>
      </c>
      <c r="AI597" s="13">
        <f>IF($A597="","",[1]!thsiFinD("ths_adjustment_nv_fund",AI$3,$A597))</f>
        <v/>
      </c>
      <c r="AJ597" s="13">
        <f>IF($A597="","",[1]!thsiFinD("ths_adjustment_nv_fund",AJ$3,$A597))</f>
        <v/>
      </c>
      <c r="AK597" s="13">
        <f>IF($A597="","",[1]!thsiFinD("ths_adjustment_nv_fund",AK$3,$A597))</f>
        <v/>
      </c>
      <c r="AL597" s="13">
        <f>IF($A597="","",[1]!thsiFinD("ths_adjustment_nv_fund",AL$3,$A597))</f>
        <v/>
      </c>
    </row>
    <row r="598" spans="2:28">
      <c r="B598" s="13" t="str">
        <f>IF($A598="","",[1]!thsiFinD("ths_adjustment_nv_fund",B$3,$A598))</f>
        <v/>
      </c>
      <c r="C598" s="13" t="str">
        <f>IF($A598="","",[1]!thsiFinD("ths_adjustment_nv_fund",C$3,$A598))</f>
        <v/>
      </c>
      <c r="D598" s="13" t="str">
        <f>IF($A598="","",[1]!thsiFinD("ths_adjustment_nv_fund",D$3,$A598))</f>
        <v/>
      </c>
      <c r="E598" s="13" t="str">
        <f>IF($A598="","",[1]!thsiFinD("ths_adjustment_nv_fund",E$3,$A598))</f>
        <v/>
      </c>
      <c r="F598" s="13" t="str">
        <f>IF($A598="","",[1]!thsiFinD("ths_adjustment_nv_fund",F$3,$A598))</f>
        <v/>
      </c>
      <c r="G598" s="13" t="str">
        <f>IF($A598="","",[1]!thsiFinD("ths_adjustment_nv_fund",G$3,$A598))</f>
        <v/>
      </c>
      <c r="H598" s="13" t="str">
        <f>IF($A598="","",[1]!thsiFinD("ths_adjustment_nv_fund",H$3,$A598))</f>
        <v/>
      </c>
      <c r="I598" s="13" t="str">
        <f>IF($A598="","",[1]!thsiFinD("ths_adjustment_nv_fund",I$3,$A598))</f>
        <v/>
      </c>
      <c r="J598" s="13" t="str">
        <f>IF($A598="","",[1]!thsiFinD("ths_adjustment_nv_fund",J$3,$A598))</f>
        <v/>
      </c>
      <c r="K598" s="13" t="str">
        <f>IF($A598="","",[1]!thsiFinD("ths_adjustment_nv_fund",K$3,$A598))</f>
        <v/>
      </c>
      <c r="L598" s="13" t="str">
        <f>IF($A598="","",[1]!thsiFinD("ths_adjustment_nv_fund",L$3,$A598))</f>
        <v/>
      </c>
      <c r="M598" s="13" t="str">
        <f>IF($A598="","",[1]!thsiFinD("ths_adjustment_nv_fund",M$3,$A598))</f>
        <v/>
      </c>
      <c r="N598" s="13" t="str">
        <f>IF($A598="","",[1]!thsiFinD("ths_adjustment_nv_fund",N$3,$A598))</f>
        <v/>
      </c>
      <c r="O598" s="13" t="str">
        <f>IF($A598="","",[1]!thsiFinD("ths_adjustment_nv_fund",O$3,$A598))</f>
        <v/>
      </c>
      <c r="P598" s="13" t="str">
        <f>IF($A598="","",[1]!thsiFinD("ths_adjustment_nv_fund",P$3,$A598))</f>
        <v/>
      </c>
      <c r="Q598" s="13" t="str">
        <f>IF($A598="","",[1]!thsiFinD("ths_adjustment_nv_fund",Q$3,$A598))</f>
        <v/>
      </c>
      <c r="R598" s="13" t="str">
        <f>IF($A598="","",[1]!thsiFinD("ths_adjustment_nv_fund",R$3,$A598))</f>
        <v/>
      </c>
      <c r="S598" s="13" t="str">
        <f>IF($A598="","",[1]!thsiFinD("ths_adjustment_nv_fund",S$3,$A598))</f>
        <v/>
      </c>
      <c r="T598" s="13" t="str">
        <f>IF($A598="","",[1]!thsiFinD("ths_adjustment_nv_fund",T$3,$A598))</f>
        <v/>
      </c>
      <c r="U598" s="13" t="str">
        <f>IF($A598="","",[1]!thsiFinD("ths_adjustment_nv_fund",U$3,$A598))</f>
        <v/>
      </c>
      <c r="V598" s="13" t="str">
        <f>IF($A598="","",[1]!thsiFinD("ths_adjustment_nv_fund",V$3,$A598))</f>
        <v/>
      </c>
      <c r="W598" s="13" t="str">
        <f>IF($A598="","",[1]!thsiFinD("ths_adjustment_nv_fund",W$3,$A598))</f>
        <v/>
      </c>
      <c r="X598" s="13" t="str">
        <f>IF($A598="","",[1]!thsiFinD("ths_adjustment_nv_fund",X$3,$A598))</f>
        <v/>
      </c>
      <c r="Y598" s="13" t="str">
        <f>IF($A598="","",[1]!thsiFinD("ths_adjustment_nv_fund",Y$3,$A598))</f>
        <v/>
      </c>
      <c r="Z598" s="13" t="str">
        <f>IF($A598="","",[1]!thsiFinD("ths_adjustment_nv_fund",Z$3,$A598))</f>
        <v/>
      </c>
      <c r="AA598" s="13" t="str">
        <f>IF($A598="","",[1]!thsiFinD("ths_adjustment_nv_fund",AA$3,$A598))</f>
        <v/>
      </c>
      <c r="AB598" s="13">
        <f>IF($A598="","",[1]!thsiFinD("ths_adjustment_nv_fund",AB$3,$A598))</f>
        <v/>
      </c>
      <c r="AC598" s="13">
        <f>IF($A598="","",[1]!thsiFinD("ths_adjustment_nv_fund",AC$3,$A598))</f>
        <v/>
      </c>
      <c r="AD598" s="13">
        <f>IF($A598="","",[1]!thsiFinD("ths_adjustment_nv_fund",AD$3,$A598))</f>
        <v/>
      </c>
      <c r="AE598" s="13">
        <f>IF($A598="","",[1]!thsiFinD("ths_adjustment_nv_fund",AE$3,$A598))</f>
        <v/>
      </c>
      <c r="AF598" s="13">
        <f>IF($A598="","",[1]!thsiFinD("ths_adjustment_nv_fund",AF$3,$A598))</f>
        <v/>
      </c>
      <c r="AG598" s="13">
        <f>IF($A598="","",[1]!thsiFinD("ths_adjustment_nv_fund",AG$3,$A598))</f>
        <v/>
      </c>
      <c r="AH598" s="13">
        <f>IF($A598="","",[1]!thsiFinD("ths_adjustment_nv_fund",AH$3,$A598))</f>
        <v/>
      </c>
      <c r="AI598" s="13">
        <f>IF($A598="","",[1]!thsiFinD("ths_adjustment_nv_fund",AI$3,$A598))</f>
        <v/>
      </c>
      <c r="AJ598" s="13">
        <f>IF($A598="","",[1]!thsiFinD("ths_adjustment_nv_fund",AJ$3,$A598))</f>
        <v/>
      </c>
      <c r="AK598" s="13">
        <f>IF($A598="","",[1]!thsiFinD("ths_adjustment_nv_fund",AK$3,$A598))</f>
        <v/>
      </c>
      <c r="AL598" s="13">
        <f>IF($A598="","",[1]!thsiFinD("ths_adjustment_nv_fund",AL$3,$A598))</f>
        <v/>
      </c>
    </row>
    <row r="599" spans="2:28">
      <c r="B599" s="13" t="str">
        <f>IF($A599="","",[1]!thsiFinD("ths_adjustment_nv_fund",B$3,$A599))</f>
        <v/>
      </c>
      <c r="C599" s="13" t="str">
        <f>IF($A599="","",[1]!thsiFinD("ths_adjustment_nv_fund",C$3,$A599))</f>
        <v/>
      </c>
      <c r="D599" s="13" t="str">
        <f>IF($A599="","",[1]!thsiFinD("ths_adjustment_nv_fund",D$3,$A599))</f>
        <v/>
      </c>
      <c r="E599" s="13" t="str">
        <f>IF($A599="","",[1]!thsiFinD("ths_adjustment_nv_fund",E$3,$A599))</f>
        <v/>
      </c>
      <c r="F599" s="13" t="str">
        <f>IF($A599="","",[1]!thsiFinD("ths_adjustment_nv_fund",F$3,$A599))</f>
        <v/>
      </c>
      <c r="G599" s="13" t="str">
        <f>IF($A599="","",[1]!thsiFinD("ths_adjustment_nv_fund",G$3,$A599))</f>
        <v/>
      </c>
      <c r="H599" s="13" t="str">
        <f>IF($A599="","",[1]!thsiFinD("ths_adjustment_nv_fund",H$3,$A599))</f>
        <v/>
      </c>
      <c r="I599" s="13" t="str">
        <f>IF($A599="","",[1]!thsiFinD("ths_adjustment_nv_fund",I$3,$A599))</f>
        <v/>
      </c>
      <c r="J599" s="13" t="str">
        <f>IF($A599="","",[1]!thsiFinD("ths_adjustment_nv_fund",J$3,$A599))</f>
        <v/>
      </c>
      <c r="K599" s="13" t="str">
        <f>IF($A599="","",[1]!thsiFinD("ths_adjustment_nv_fund",K$3,$A599))</f>
        <v/>
      </c>
      <c r="L599" s="13" t="str">
        <f>IF($A599="","",[1]!thsiFinD("ths_adjustment_nv_fund",L$3,$A599))</f>
        <v/>
      </c>
      <c r="M599" s="13" t="str">
        <f>IF($A599="","",[1]!thsiFinD("ths_adjustment_nv_fund",M$3,$A599))</f>
        <v/>
      </c>
      <c r="N599" s="13" t="str">
        <f>IF($A599="","",[1]!thsiFinD("ths_adjustment_nv_fund",N$3,$A599))</f>
        <v/>
      </c>
      <c r="O599" s="13" t="str">
        <f>IF($A599="","",[1]!thsiFinD("ths_adjustment_nv_fund",O$3,$A599))</f>
        <v/>
      </c>
      <c r="P599" s="13" t="str">
        <f>IF($A599="","",[1]!thsiFinD("ths_adjustment_nv_fund",P$3,$A599))</f>
        <v/>
      </c>
      <c r="Q599" s="13" t="str">
        <f>IF($A599="","",[1]!thsiFinD("ths_adjustment_nv_fund",Q$3,$A599))</f>
        <v/>
      </c>
      <c r="R599" s="13" t="str">
        <f>IF($A599="","",[1]!thsiFinD("ths_adjustment_nv_fund",R$3,$A599))</f>
        <v/>
      </c>
      <c r="S599" s="13" t="str">
        <f>IF($A599="","",[1]!thsiFinD("ths_adjustment_nv_fund",S$3,$A599))</f>
        <v/>
      </c>
      <c r="T599" s="13" t="str">
        <f>IF($A599="","",[1]!thsiFinD("ths_adjustment_nv_fund",T$3,$A599))</f>
        <v/>
      </c>
      <c r="U599" s="13" t="str">
        <f>IF($A599="","",[1]!thsiFinD("ths_adjustment_nv_fund",U$3,$A599))</f>
        <v/>
      </c>
      <c r="V599" s="13" t="str">
        <f>IF($A599="","",[1]!thsiFinD("ths_adjustment_nv_fund",V$3,$A599))</f>
        <v/>
      </c>
      <c r="W599" s="13" t="str">
        <f>IF($A599="","",[1]!thsiFinD("ths_adjustment_nv_fund",W$3,$A599))</f>
        <v/>
      </c>
      <c r="X599" s="13" t="str">
        <f>IF($A599="","",[1]!thsiFinD("ths_adjustment_nv_fund",X$3,$A599))</f>
        <v/>
      </c>
      <c r="Y599" s="13" t="str">
        <f>IF($A599="","",[1]!thsiFinD("ths_adjustment_nv_fund",Y$3,$A599))</f>
        <v/>
      </c>
      <c r="Z599" s="13" t="str">
        <f>IF($A599="","",[1]!thsiFinD("ths_adjustment_nv_fund",Z$3,$A599))</f>
        <v/>
      </c>
      <c r="AA599" s="13" t="str">
        <f>IF($A599="","",[1]!thsiFinD("ths_adjustment_nv_fund",AA$3,$A599))</f>
        <v/>
      </c>
      <c r="AB599" s="13">
        <f>IF($A599="","",[1]!thsiFinD("ths_adjustment_nv_fund",AB$3,$A599))</f>
        <v/>
      </c>
      <c r="AC599" s="13">
        <f>IF($A599="","",[1]!thsiFinD("ths_adjustment_nv_fund",AC$3,$A599))</f>
        <v/>
      </c>
      <c r="AD599" s="13">
        <f>IF($A599="","",[1]!thsiFinD("ths_adjustment_nv_fund",AD$3,$A599))</f>
        <v/>
      </c>
      <c r="AE599" s="13">
        <f>IF($A599="","",[1]!thsiFinD("ths_adjustment_nv_fund",AE$3,$A599))</f>
        <v/>
      </c>
      <c r="AF599" s="13">
        <f>IF($A599="","",[1]!thsiFinD("ths_adjustment_nv_fund",AF$3,$A599))</f>
        <v/>
      </c>
      <c r="AG599" s="13">
        <f>IF($A599="","",[1]!thsiFinD("ths_adjustment_nv_fund",AG$3,$A599))</f>
        <v/>
      </c>
      <c r="AH599" s="13">
        <f>IF($A599="","",[1]!thsiFinD("ths_adjustment_nv_fund",AH$3,$A599))</f>
        <v/>
      </c>
      <c r="AI599" s="13">
        <f>IF($A599="","",[1]!thsiFinD("ths_adjustment_nv_fund",AI$3,$A599))</f>
        <v/>
      </c>
      <c r="AJ599" s="13">
        <f>IF($A599="","",[1]!thsiFinD("ths_adjustment_nv_fund",AJ$3,$A599))</f>
        <v/>
      </c>
      <c r="AK599" s="13">
        <f>IF($A599="","",[1]!thsiFinD("ths_adjustment_nv_fund",AK$3,$A599))</f>
        <v/>
      </c>
      <c r="AL599" s="13">
        <f>IF($A599="","",[1]!thsiFinD("ths_adjustment_nv_fund",AL$3,$A599))</f>
        <v/>
      </c>
    </row>
    <row r="600" spans="2:28">
      <c r="B600" s="13" t="str">
        <f>IF($A600="","",[1]!thsiFinD("ths_adjustment_nv_fund",B$3,$A600))</f>
        <v/>
      </c>
      <c r="C600" s="13" t="str">
        <f>IF($A600="","",[1]!thsiFinD("ths_adjustment_nv_fund",C$3,$A600))</f>
        <v/>
      </c>
      <c r="D600" s="13" t="str">
        <f>IF($A600="","",[1]!thsiFinD("ths_adjustment_nv_fund",D$3,$A600))</f>
        <v/>
      </c>
      <c r="E600" s="13" t="str">
        <f>IF($A600="","",[1]!thsiFinD("ths_adjustment_nv_fund",E$3,$A600))</f>
        <v/>
      </c>
      <c r="F600" s="13" t="str">
        <f>IF($A600="","",[1]!thsiFinD("ths_adjustment_nv_fund",F$3,$A600))</f>
        <v/>
      </c>
      <c r="G600" s="13" t="str">
        <f>IF($A600="","",[1]!thsiFinD("ths_adjustment_nv_fund",G$3,$A600))</f>
        <v/>
      </c>
      <c r="H600" s="13" t="str">
        <f>IF($A600="","",[1]!thsiFinD("ths_adjustment_nv_fund",H$3,$A600))</f>
        <v/>
      </c>
      <c r="I600" s="13" t="str">
        <f>IF($A600="","",[1]!thsiFinD("ths_adjustment_nv_fund",I$3,$A600))</f>
        <v/>
      </c>
      <c r="J600" s="13" t="str">
        <f>IF($A600="","",[1]!thsiFinD("ths_adjustment_nv_fund",J$3,$A600))</f>
        <v/>
      </c>
      <c r="K600" s="13" t="str">
        <f>IF($A600="","",[1]!thsiFinD("ths_adjustment_nv_fund",K$3,$A600))</f>
        <v/>
      </c>
      <c r="L600" s="13" t="str">
        <f>IF($A600="","",[1]!thsiFinD("ths_adjustment_nv_fund",L$3,$A600))</f>
        <v/>
      </c>
      <c r="M600" s="13" t="str">
        <f>IF($A600="","",[1]!thsiFinD("ths_adjustment_nv_fund",M$3,$A600))</f>
        <v/>
      </c>
      <c r="N600" s="13" t="str">
        <f>IF($A600="","",[1]!thsiFinD("ths_adjustment_nv_fund",N$3,$A600))</f>
        <v/>
      </c>
      <c r="O600" s="13" t="str">
        <f>IF($A600="","",[1]!thsiFinD("ths_adjustment_nv_fund",O$3,$A600))</f>
        <v/>
      </c>
      <c r="P600" s="13" t="str">
        <f>IF($A600="","",[1]!thsiFinD("ths_adjustment_nv_fund",P$3,$A600))</f>
        <v/>
      </c>
      <c r="Q600" s="13" t="str">
        <f>IF($A600="","",[1]!thsiFinD("ths_adjustment_nv_fund",Q$3,$A600))</f>
        <v/>
      </c>
      <c r="R600" s="13" t="str">
        <f>IF($A600="","",[1]!thsiFinD("ths_adjustment_nv_fund",R$3,$A600))</f>
        <v/>
      </c>
      <c r="S600" s="13" t="str">
        <f>IF($A600="","",[1]!thsiFinD("ths_adjustment_nv_fund",S$3,$A600))</f>
        <v/>
      </c>
      <c r="T600" s="13" t="str">
        <f>IF($A600="","",[1]!thsiFinD("ths_adjustment_nv_fund",T$3,$A600))</f>
        <v/>
      </c>
      <c r="U600" s="13" t="str">
        <f>IF($A600="","",[1]!thsiFinD("ths_adjustment_nv_fund",U$3,$A600))</f>
        <v/>
      </c>
      <c r="V600" s="13" t="str">
        <f>IF($A600="","",[1]!thsiFinD("ths_adjustment_nv_fund",V$3,$A600))</f>
        <v/>
      </c>
      <c r="W600" s="13" t="str">
        <f>IF($A600="","",[1]!thsiFinD("ths_adjustment_nv_fund",W$3,$A600))</f>
        <v/>
      </c>
      <c r="X600" s="13" t="str">
        <f>IF($A600="","",[1]!thsiFinD("ths_adjustment_nv_fund",X$3,$A600))</f>
        <v/>
      </c>
      <c r="Y600" s="13" t="str">
        <f>IF($A600="","",[1]!thsiFinD("ths_adjustment_nv_fund",Y$3,$A600))</f>
        <v/>
      </c>
      <c r="Z600" s="13" t="str">
        <f>IF($A600="","",[1]!thsiFinD("ths_adjustment_nv_fund",Z$3,$A600))</f>
        <v/>
      </c>
      <c r="AA600" s="13" t="str">
        <f>IF($A600="","",[1]!thsiFinD("ths_adjustment_nv_fund",AA$3,$A600))</f>
        <v/>
      </c>
      <c r="AB600" s="13">
        <f>IF($A600="","",[1]!thsiFinD("ths_adjustment_nv_fund",AB$3,$A600))</f>
        <v/>
      </c>
      <c r="AC600" s="13">
        <f>IF($A600="","",[1]!thsiFinD("ths_adjustment_nv_fund",AC$3,$A600))</f>
        <v/>
      </c>
      <c r="AD600" s="13">
        <f>IF($A600="","",[1]!thsiFinD("ths_adjustment_nv_fund",AD$3,$A600))</f>
        <v/>
      </c>
      <c r="AE600" s="13">
        <f>IF($A600="","",[1]!thsiFinD("ths_adjustment_nv_fund",AE$3,$A600))</f>
        <v/>
      </c>
      <c r="AF600" s="13">
        <f>IF($A600="","",[1]!thsiFinD("ths_adjustment_nv_fund",AF$3,$A600))</f>
        <v/>
      </c>
      <c r="AG600" s="13">
        <f>IF($A600="","",[1]!thsiFinD("ths_adjustment_nv_fund",AG$3,$A600))</f>
        <v/>
      </c>
      <c r="AH600" s="13">
        <f>IF($A600="","",[1]!thsiFinD("ths_adjustment_nv_fund",AH$3,$A600))</f>
        <v/>
      </c>
      <c r="AI600" s="13">
        <f>IF($A600="","",[1]!thsiFinD("ths_adjustment_nv_fund",AI$3,$A600))</f>
        <v/>
      </c>
      <c r="AJ600" s="13">
        <f>IF($A600="","",[1]!thsiFinD("ths_adjustment_nv_fund",AJ$3,$A600))</f>
        <v/>
      </c>
      <c r="AK600" s="13">
        <f>IF($A600="","",[1]!thsiFinD("ths_adjustment_nv_fund",AK$3,$A600))</f>
        <v/>
      </c>
      <c r="AL600" s="13">
        <f>IF($A600="","",[1]!thsiFinD("ths_adjustment_nv_fund",AL$3,$A600))</f>
        <v/>
      </c>
    </row>
    <row r="601" spans="2:28">
      <c r="B601" s="13" t="str">
        <f>IF($A601="","",[1]!thsiFinD("ths_adjustment_nv_fund",B$3,$A601))</f>
        <v/>
      </c>
      <c r="C601" s="13" t="str">
        <f>IF($A601="","",[1]!thsiFinD("ths_adjustment_nv_fund",C$3,$A601))</f>
        <v/>
      </c>
      <c r="D601" s="13" t="str">
        <f>IF($A601="","",[1]!thsiFinD("ths_adjustment_nv_fund",D$3,$A601))</f>
        <v/>
      </c>
      <c r="E601" s="13" t="str">
        <f>IF($A601="","",[1]!thsiFinD("ths_adjustment_nv_fund",E$3,$A601))</f>
        <v/>
      </c>
      <c r="F601" s="13" t="str">
        <f>IF($A601="","",[1]!thsiFinD("ths_adjustment_nv_fund",F$3,$A601))</f>
        <v/>
      </c>
      <c r="G601" s="13" t="str">
        <f>IF($A601="","",[1]!thsiFinD("ths_adjustment_nv_fund",G$3,$A601))</f>
        <v/>
      </c>
      <c r="H601" s="13" t="str">
        <f>IF($A601="","",[1]!thsiFinD("ths_adjustment_nv_fund",H$3,$A601))</f>
        <v/>
      </c>
      <c r="I601" s="13" t="str">
        <f>IF($A601="","",[1]!thsiFinD("ths_adjustment_nv_fund",I$3,$A601))</f>
        <v/>
      </c>
      <c r="J601" s="13" t="str">
        <f>IF($A601="","",[1]!thsiFinD("ths_adjustment_nv_fund",J$3,$A601))</f>
        <v/>
      </c>
      <c r="K601" s="13" t="str">
        <f>IF($A601="","",[1]!thsiFinD("ths_adjustment_nv_fund",K$3,$A601))</f>
        <v/>
      </c>
      <c r="L601" s="13" t="str">
        <f>IF($A601="","",[1]!thsiFinD("ths_adjustment_nv_fund",L$3,$A601))</f>
        <v/>
      </c>
      <c r="M601" s="13" t="str">
        <f>IF($A601="","",[1]!thsiFinD("ths_adjustment_nv_fund",M$3,$A601))</f>
        <v/>
      </c>
      <c r="N601" s="13" t="str">
        <f>IF($A601="","",[1]!thsiFinD("ths_adjustment_nv_fund",N$3,$A601))</f>
        <v/>
      </c>
      <c r="O601" s="13" t="str">
        <f>IF($A601="","",[1]!thsiFinD("ths_adjustment_nv_fund",O$3,$A601))</f>
        <v/>
      </c>
      <c r="P601" s="13" t="str">
        <f>IF($A601="","",[1]!thsiFinD("ths_adjustment_nv_fund",P$3,$A601))</f>
        <v/>
      </c>
      <c r="Q601" s="13" t="str">
        <f>IF($A601="","",[1]!thsiFinD("ths_adjustment_nv_fund",Q$3,$A601))</f>
        <v/>
      </c>
      <c r="R601" s="13" t="str">
        <f>IF($A601="","",[1]!thsiFinD("ths_adjustment_nv_fund",R$3,$A601))</f>
        <v/>
      </c>
      <c r="S601" s="13" t="str">
        <f>IF($A601="","",[1]!thsiFinD("ths_adjustment_nv_fund",S$3,$A601))</f>
        <v/>
      </c>
      <c r="T601" s="13" t="str">
        <f>IF($A601="","",[1]!thsiFinD("ths_adjustment_nv_fund",T$3,$A601))</f>
        <v/>
      </c>
      <c r="U601" s="13" t="str">
        <f>IF($A601="","",[1]!thsiFinD("ths_adjustment_nv_fund",U$3,$A601))</f>
        <v/>
      </c>
      <c r="V601" s="13" t="str">
        <f>IF($A601="","",[1]!thsiFinD("ths_adjustment_nv_fund",V$3,$A601))</f>
        <v/>
      </c>
      <c r="W601" s="13" t="str">
        <f>IF($A601="","",[1]!thsiFinD("ths_adjustment_nv_fund",W$3,$A601))</f>
        <v/>
      </c>
      <c r="X601" s="13" t="str">
        <f>IF($A601="","",[1]!thsiFinD("ths_adjustment_nv_fund",X$3,$A601))</f>
        <v/>
      </c>
      <c r="Y601" s="13" t="str">
        <f>IF($A601="","",[1]!thsiFinD("ths_adjustment_nv_fund",Y$3,$A601))</f>
        <v/>
      </c>
      <c r="Z601" s="13" t="str">
        <f>IF($A601="","",[1]!thsiFinD("ths_adjustment_nv_fund",Z$3,$A601))</f>
        <v/>
      </c>
      <c r="AA601" s="13" t="str">
        <f>IF($A601="","",[1]!thsiFinD("ths_adjustment_nv_fund",AA$3,$A601))</f>
        <v/>
      </c>
      <c r="AB601" s="13">
        <f>IF($A601="","",[1]!thsiFinD("ths_adjustment_nv_fund",AB$3,$A601))</f>
        <v/>
      </c>
      <c r="AC601" s="13">
        <f>IF($A601="","",[1]!thsiFinD("ths_adjustment_nv_fund",AC$3,$A601))</f>
        <v/>
      </c>
      <c r="AD601" s="13">
        <f>IF($A601="","",[1]!thsiFinD("ths_adjustment_nv_fund",AD$3,$A601))</f>
        <v/>
      </c>
      <c r="AE601" s="13">
        <f>IF($A601="","",[1]!thsiFinD("ths_adjustment_nv_fund",AE$3,$A601))</f>
        <v/>
      </c>
      <c r="AF601" s="13">
        <f>IF($A601="","",[1]!thsiFinD("ths_adjustment_nv_fund",AF$3,$A601))</f>
        <v/>
      </c>
      <c r="AG601" s="13">
        <f>IF($A601="","",[1]!thsiFinD("ths_adjustment_nv_fund",AG$3,$A601))</f>
        <v/>
      </c>
      <c r="AH601" s="13">
        <f>IF($A601="","",[1]!thsiFinD("ths_adjustment_nv_fund",AH$3,$A601))</f>
        <v/>
      </c>
      <c r="AI601" s="13">
        <f>IF($A601="","",[1]!thsiFinD("ths_adjustment_nv_fund",AI$3,$A601))</f>
        <v/>
      </c>
      <c r="AJ601" s="13">
        <f>IF($A601="","",[1]!thsiFinD("ths_adjustment_nv_fund",AJ$3,$A601))</f>
        <v/>
      </c>
      <c r="AK601" s="13">
        <f>IF($A601="","",[1]!thsiFinD("ths_adjustment_nv_fund",AK$3,$A601))</f>
        <v/>
      </c>
      <c r="AL601" s="13">
        <f>IF($A601="","",[1]!thsiFinD("ths_adjustment_nv_fund",AL$3,$A601))</f>
        <v/>
      </c>
    </row>
    <row r="602" spans="2:28">
      <c r="B602" s="13" t="str">
        <f>IF($A602="","",[1]!thsiFinD("ths_adjustment_nv_fund",B$3,$A602))</f>
        <v/>
      </c>
      <c r="C602" s="13" t="str">
        <f>IF($A602="","",[1]!thsiFinD("ths_adjustment_nv_fund",C$3,$A602))</f>
        <v/>
      </c>
      <c r="D602" s="13" t="str">
        <f>IF($A602="","",[1]!thsiFinD("ths_adjustment_nv_fund",D$3,$A602))</f>
        <v/>
      </c>
      <c r="E602" s="13" t="str">
        <f>IF($A602="","",[1]!thsiFinD("ths_adjustment_nv_fund",E$3,$A602))</f>
        <v/>
      </c>
      <c r="F602" s="13" t="str">
        <f>IF($A602="","",[1]!thsiFinD("ths_adjustment_nv_fund",F$3,$A602))</f>
        <v/>
      </c>
      <c r="G602" s="13" t="str">
        <f>IF($A602="","",[1]!thsiFinD("ths_adjustment_nv_fund",G$3,$A602))</f>
        <v/>
      </c>
      <c r="H602" s="13" t="str">
        <f>IF($A602="","",[1]!thsiFinD("ths_adjustment_nv_fund",H$3,$A602))</f>
        <v/>
      </c>
      <c r="I602" s="13" t="str">
        <f>IF($A602="","",[1]!thsiFinD("ths_adjustment_nv_fund",I$3,$A602))</f>
        <v/>
      </c>
      <c r="J602" s="13" t="str">
        <f>IF($A602="","",[1]!thsiFinD("ths_adjustment_nv_fund",J$3,$A602))</f>
        <v/>
      </c>
      <c r="K602" s="13" t="str">
        <f>IF($A602="","",[1]!thsiFinD("ths_adjustment_nv_fund",K$3,$A602))</f>
        <v/>
      </c>
      <c r="L602" s="13" t="str">
        <f>IF($A602="","",[1]!thsiFinD("ths_adjustment_nv_fund",L$3,$A602))</f>
        <v/>
      </c>
      <c r="M602" s="13" t="str">
        <f>IF($A602="","",[1]!thsiFinD("ths_adjustment_nv_fund",M$3,$A602))</f>
        <v/>
      </c>
      <c r="N602" s="13" t="str">
        <f>IF($A602="","",[1]!thsiFinD("ths_adjustment_nv_fund",N$3,$A602))</f>
        <v/>
      </c>
      <c r="O602" s="13" t="str">
        <f>IF($A602="","",[1]!thsiFinD("ths_adjustment_nv_fund",O$3,$A602))</f>
        <v/>
      </c>
      <c r="P602" s="13" t="str">
        <f>IF($A602="","",[1]!thsiFinD("ths_adjustment_nv_fund",P$3,$A602))</f>
        <v/>
      </c>
      <c r="Q602" s="13" t="str">
        <f>IF($A602="","",[1]!thsiFinD("ths_adjustment_nv_fund",Q$3,$A602))</f>
        <v/>
      </c>
      <c r="R602" s="13" t="str">
        <f>IF($A602="","",[1]!thsiFinD("ths_adjustment_nv_fund",R$3,$A602))</f>
        <v/>
      </c>
      <c r="S602" s="13" t="str">
        <f>IF($A602="","",[1]!thsiFinD("ths_adjustment_nv_fund",S$3,$A602))</f>
        <v/>
      </c>
      <c r="T602" s="13" t="str">
        <f>IF($A602="","",[1]!thsiFinD("ths_adjustment_nv_fund",T$3,$A602))</f>
        <v/>
      </c>
      <c r="U602" s="13" t="str">
        <f>IF($A602="","",[1]!thsiFinD("ths_adjustment_nv_fund",U$3,$A602))</f>
        <v/>
      </c>
      <c r="V602" s="13" t="str">
        <f>IF($A602="","",[1]!thsiFinD("ths_adjustment_nv_fund",V$3,$A602))</f>
        <v/>
      </c>
      <c r="W602" s="13" t="str">
        <f>IF($A602="","",[1]!thsiFinD("ths_adjustment_nv_fund",W$3,$A602))</f>
        <v/>
      </c>
      <c r="X602" s="13" t="str">
        <f>IF($A602="","",[1]!thsiFinD("ths_adjustment_nv_fund",X$3,$A602))</f>
        <v/>
      </c>
      <c r="Y602" s="13" t="str">
        <f>IF($A602="","",[1]!thsiFinD("ths_adjustment_nv_fund",Y$3,$A602))</f>
        <v/>
      </c>
      <c r="Z602" s="13" t="str">
        <f>IF($A602="","",[1]!thsiFinD("ths_adjustment_nv_fund",Z$3,$A602))</f>
        <v/>
      </c>
      <c r="AA602" s="13" t="str">
        <f>IF($A602="","",[1]!thsiFinD("ths_adjustment_nv_fund",AA$3,$A602))</f>
        <v/>
      </c>
      <c r="AB602" s="13">
        <f>IF($A602="","",[1]!thsiFinD("ths_adjustment_nv_fund",AB$3,$A602))</f>
        <v/>
      </c>
      <c r="AC602" s="13">
        <f>IF($A602="","",[1]!thsiFinD("ths_adjustment_nv_fund",AC$3,$A602))</f>
        <v/>
      </c>
      <c r="AD602" s="13">
        <f>IF($A602="","",[1]!thsiFinD("ths_adjustment_nv_fund",AD$3,$A602))</f>
        <v/>
      </c>
      <c r="AE602" s="13">
        <f>IF($A602="","",[1]!thsiFinD("ths_adjustment_nv_fund",AE$3,$A602))</f>
        <v/>
      </c>
      <c r="AF602" s="13">
        <f>IF($A602="","",[1]!thsiFinD("ths_adjustment_nv_fund",AF$3,$A602))</f>
        <v/>
      </c>
      <c r="AG602" s="13">
        <f>IF($A602="","",[1]!thsiFinD("ths_adjustment_nv_fund",AG$3,$A602))</f>
        <v/>
      </c>
      <c r="AH602" s="13">
        <f>IF($A602="","",[1]!thsiFinD("ths_adjustment_nv_fund",AH$3,$A602))</f>
        <v/>
      </c>
      <c r="AI602" s="13">
        <f>IF($A602="","",[1]!thsiFinD("ths_adjustment_nv_fund",AI$3,$A602))</f>
        <v/>
      </c>
      <c r="AJ602" s="13">
        <f>IF($A602="","",[1]!thsiFinD("ths_adjustment_nv_fund",AJ$3,$A602))</f>
        <v/>
      </c>
      <c r="AK602" s="13">
        <f>IF($A602="","",[1]!thsiFinD("ths_adjustment_nv_fund",AK$3,$A602))</f>
        <v/>
      </c>
      <c r="AL602" s="13">
        <f>IF($A602="","",[1]!thsiFinD("ths_adjustment_nv_fund",AL$3,$A602))</f>
        <v/>
      </c>
    </row>
    <row r="603" spans="2:28">
      <c r="B603" s="13" t="str">
        <f>IF($A603="","",[1]!thsiFinD("ths_adjustment_nv_fund",B$3,$A603))</f>
        <v/>
      </c>
      <c r="C603" s="13" t="str">
        <f>IF($A603="","",[1]!thsiFinD("ths_adjustment_nv_fund",C$3,$A603))</f>
        <v/>
      </c>
      <c r="D603" s="13" t="str">
        <f>IF($A603="","",[1]!thsiFinD("ths_adjustment_nv_fund",D$3,$A603))</f>
        <v/>
      </c>
      <c r="E603" s="13" t="str">
        <f>IF($A603="","",[1]!thsiFinD("ths_adjustment_nv_fund",E$3,$A603))</f>
        <v/>
      </c>
      <c r="F603" s="13" t="str">
        <f>IF($A603="","",[1]!thsiFinD("ths_adjustment_nv_fund",F$3,$A603))</f>
        <v/>
      </c>
      <c r="G603" s="13" t="str">
        <f>IF($A603="","",[1]!thsiFinD("ths_adjustment_nv_fund",G$3,$A603))</f>
        <v/>
      </c>
      <c r="H603" s="13" t="str">
        <f>IF($A603="","",[1]!thsiFinD("ths_adjustment_nv_fund",H$3,$A603))</f>
        <v/>
      </c>
      <c r="I603" s="13" t="str">
        <f>IF($A603="","",[1]!thsiFinD("ths_adjustment_nv_fund",I$3,$A603))</f>
        <v/>
      </c>
      <c r="J603" s="13" t="str">
        <f>IF($A603="","",[1]!thsiFinD("ths_adjustment_nv_fund",J$3,$A603))</f>
        <v/>
      </c>
      <c r="K603" s="13" t="str">
        <f>IF($A603="","",[1]!thsiFinD("ths_adjustment_nv_fund",K$3,$A603))</f>
        <v/>
      </c>
      <c r="L603" s="13" t="str">
        <f>IF($A603="","",[1]!thsiFinD("ths_adjustment_nv_fund",L$3,$A603))</f>
        <v/>
      </c>
      <c r="M603" s="13" t="str">
        <f>IF($A603="","",[1]!thsiFinD("ths_adjustment_nv_fund",M$3,$A603))</f>
        <v/>
      </c>
      <c r="N603" s="13" t="str">
        <f>IF($A603="","",[1]!thsiFinD("ths_adjustment_nv_fund",N$3,$A603))</f>
        <v/>
      </c>
      <c r="O603" s="13" t="str">
        <f>IF($A603="","",[1]!thsiFinD("ths_adjustment_nv_fund",O$3,$A603))</f>
        <v/>
      </c>
      <c r="P603" s="13" t="str">
        <f>IF($A603="","",[1]!thsiFinD("ths_adjustment_nv_fund",P$3,$A603))</f>
        <v/>
      </c>
      <c r="Q603" s="13" t="str">
        <f>IF($A603="","",[1]!thsiFinD("ths_adjustment_nv_fund",Q$3,$A603))</f>
        <v/>
      </c>
      <c r="R603" s="13" t="str">
        <f>IF($A603="","",[1]!thsiFinD("ths_adjustment_nv_fund",R$3,$A603))</f>
        <v/>
      </c>
      <c r="S603" s="13" t="str">
        <f>IF($A603="","",[1]!thsiFinD("ths_adjustment_nv_fund",S$3,$A603))</f>
        <v/>
      </c>
      <c r="T603" s="13" t="str">
        <f>IF($A603="","",[1]!thsiFinD("ths_adjustment_nv_fund",T$3,$A603))</f>
        <v/>
      </c>
      <c r="U603" s="13" t="str">
        <f>IF($A603="","",[1]!thsiFinD("ths_adjustment_nv_fund",U$3,$A603))</f>
        <v/>
      </c>
      <c r="V603" s="13" t="str">
        <f>IF($A603="","",[1]!thsiFinD("ths_adjustment_nv_fund",V$3,$A603))</f>
        <v/>
      </c>
      <c r="W603" s="13" t="str">
        <f>IF($A603="","",[1]!thsiFinD("ths_adjustment_nv_fund",W$3,$A603))</f>
        <v/>
      </c>
      <c r="X603" s="13" t="str">
        <f>IF($A603="","",[1]!thsiFinD("ths_adjustment_nv_fund",X$3,$A603))</f>
        <v/>
      </c>
      <c r="Y603" s="13" t="str">
        <f>IF($A603="","",[1]!thsiFinD("ths_adjustment_nv_fund",Y$3,$A603))</f>
        <v/>
      </c>
      <c r="Z603" s="13" t="str">
        <f>IF($A603="","",[1]!thsiFinD("ths_adjustment_nv_fund",Z$3,$A603))</f>
        <v/>
      </c>
      <c r="AA603" s="13" t="str">
        <f>IF($A603="","",[1]!thsiFinD("ths_adjustment_nv_fund",AA$3,$A603))</f>
        <v/>
      </c>
      <c r="AB603" s="13">
        <f>IF($A603="","",[1]!thsiFinD("ths_adjustment_nv_fund",AB$3,$A603))</f>
        <v/>
      </c>
      <c r="AC603" s="13">
        <f>IF($A603="","",[1]!thsiFinD("ths_adjustment_nv_fund",AC$3,$A603))</f>
        <v/>
      </c>
      <c r="AD603" s="13">
        <f>IF($A603="","",[1]!thsiFinD("ths_adjustment_nv_fund",AD$3,$A603))</f>
        <v/>
      </c>
      <c r="AE603" s="13">
        <f>IF($A603="","",[1]!thsiFinD("ths_adjustment_nv_fund",AE$3,$A603))</f>
        <v/>
      </c>
      <c r="AF603" s="13">
        <f>IF($A603="","",[1]!thsiFinD("ths_adjustment_nv_fund",AF$3,$A603))</f>
        <v/>
      </c>
      <c r="AG603" s="13">
        <f>IF($A603="","",[1]!thsiFinD("ths_adjustment_nv_fund",AG$3,$A603))</f>
        <v/>
      </c>
      <c r="AH603" s="13">
        <f>IF($A603="","",[1]!thsiFinD("ths_adjustment_nv_fund",AH$3,$A603))</f>
        <v/>
      </c>
      <c r="AI603" s="13">
        <f>IF($A603="","",[1]!thsiFinD("ths_adjustment_nv_fund",AI$3,$A603))</f>
        <v/>
      </c>
      <c r="AJ603" s="13">
        <f>IF($A603="","",[1]!thsiFinD("ths_adjustment_nv_fund",AJ$3,$A603))</f>
        <v/>
      </c>
      <c r="AK603" s="13">
        <f>IF($A603="","",[1]!thsiFinD("ths_adjustment_nv_fund",AK$3,$A603))</f>
        <v/>
      </c>
      <c r="AL603" s="13">
        <f>IF($A603="","",[1]!thsiFinD("ths_adjustment_nv_fund",AL$3,$A603))</f>
        <v/>
      </c>
    </row>
    <row r="604" spans="2:28">
      <c r="B604" s="13" t="str">
        <f>IF($A604="","",[1]!thsiFinD("ths_adjustment_nv_fund",B$3,$A604))</f>
        <v/>
      </c>
      <c r="C604" s="13" t="str">
        <f>IF($A604="","",[1]!thsiFinD("ths_adjustment_nv_fund",C$3,$A604))</f>
        <v/>
      </c>
      <c r="D604" s="13" t="str">
        <f>IF($A604="","",[1]!thsiFinD("ths_adjustment_nv_fund",D$3,$A604))</f>
        <v/>
      </c>
      <c r="E604" s="13" t="str">
        <f>IF($A604="","",[1]!thsiFinD("ths_adjustment_nv_fund",E$3,$A604))</f>
        <v/>
      </c>
      <c r="F604" s="13" t="str">
        <f>IF($A604="","",[1]!thsiFinD("ths_adjustment_nv_fund",F$3,$A604))</f>
        <v/>
      </c>
      <c r="G604" s="13" t="str">
        <f>IF($A604="","",[1]!thsiFinD("ths_adjustment_nv_fund",G$3,$A604))</f>
        <v/>
      </c>
      <c r="H604" s="13" t="str">
        <f>IF($A604="","",[1]!thsiFinD("ths_adjustment_nv_fund",H$3,$A604))</f>
        <v/>
      </c>
      <c r="I604" s="13" t="str">
        <f>IF($A604="","",[1]!thsiFinD("ths_adjustment_nv_fund",I$3,$A604))</f>
        <v/>
      </c>
      <c r="J604" s="13" t="str">
        <f>IF($A604="","",[1]!thsiFinD("ths_adjustment_nv_fund",J$3,$A604))</f>
        <v/>
      </c>
      <c r="K604" s="13" t="str">
        <f>IF($A604="","",[1]!thsiFinD("ths_adjustment_nv_fund",K$3,$A604))</f>
        <v/>
      </c>
      <c r="L604" s="13" t="str">
        <f>IF($A604="","",[1]!thsiFinD("ths_adjustment_nv_fund",L$3,$A604))</f>
        <v/>
      </c>
      <c r="M604" s="13" t="str">
        <f>IF($A604="","",[1]!thsiFinD("ths_adjustment_nv_fund",M$3,$A604))</f>
        <v/>
      </c>
      <c r="N604" s="13" t="str">
        <f>IF($A604="","",[1]!thsiFinD("ths_adjustment_nv_fund",N$3,$A604))</f>
        <v/>
      </c>
      <c r="O604" s="13" t="str">
        <f>IF($A604="","",[1]!thsiFinD("ths_adjustment_nv_fund",O$3,$A604))</f>
        <v/>
      </c>
      <c r="P604" s="13" t="str">
        <f>IF($A604="","",[1]!thsiFinD("ths_adjustment_nv_fund",P$3,$A604))</f>
        <v/>
      </c>
      <c r="Q604" s="13" t="str">
        <f>IF($A604="","",[1]!thsiFinD("ths_adjustment_nv_fund",Q$3,$A604))</f>
        <v/>
      </c>
      <c r="R604" s="13" t="str">
        <f>IF($A604="","",[1]!thsiFinD("ths_adjustment_nv_fund",R$3,$A604))</f>
        <v/>
      </c>
      <c r="S604" s="13" t="str">
        <f>IF($A604="","",[1]!thsiFinD("ths_adjustment_nv_fund",S$3,$A604))</f>
        <v/>
      </c>
      <c r="T604" s="13" t="str">
        <f>IF($A604="","",[1]!thsiFinD("ths_adjustment_nv_fund",T$3,$A604))</f>
        <v/>
      </c>
      <c r="U604" s="13" t="str">
        <f>IF($A604="","",[1]!thsiFinD("ths_adjustment_nv_fund",U$3,$A604))</f>
        <v/>
      </c>
      <c r="V604" s="13" t="str">
        <f>IF($A604="","",[1]!thsiFinD("ths_adjustment_nv_fund",V$3,$A604))</f>
        <v/>
      </c>
      <c r="W604" s="13" t="str">
        <f>IF($A604="","",[1]!thsiFinD("ths_adjustment_nv_fund",W$3,$A604))</f>
        <v/>
      </c>
      <c r="X604" s="13" t="str">
        <f>IF($A604="","",[1]!thsiFinD("ths_adjustment_nv_fund",X$3,$A604))</f>
        <v/>
      </c>
      <c r="Y604" s="13" t="str">
        <f>IF($A604="","",[1]!thsiFinD("ths_adjustment_nv_fund",Y$3,$A604))</f>
        <v/>
      </c>
      <c r="Z604" s="13" t="str">
        <f>IF($A604="","",[1]!thsiFinD("ths_adjustment_nv_fund",Z$3,$A604))</f>
        <v/>
      </c>
      <c r="AA604" s="13" t="str">
        <f>IF($A604="","",[1]!thsiFinD("ths_adjustment_nv_fund",AA$3,$A604))</f>
        <v/>
      </c>
      <c r="AB604" s="13">
        <f>IF($A604="","",[1]!thsiFinD("ths_adjustment_nv_fund",AB$3,$A604))</f>
        <v/>
      </c>
      <c r="AC604" s="13">
        <f>IF($A604="","",[1]!thsiFinD("ths_adjustment_nv_fund",AC$3,$A604))</f>
        <v/>
      </c>
      <c r="AD604" s="13">
        <f>IF($A604="","",[1]!thsiFinD("ths_adjustment_nv_fund",AD$3,$A604))</f>
        <v/>
      </c>
      <c r="AE604" s="13">
        <f>IF($A604="","",[1]!thsiFinD("ths_adjustment_nv_fund",AE$3,$A604))</f>
        <v/>
      </c>
      <c r="AF604" s="13">
        <f>IF($A604="","",[1]!thsiFinD("ths_adjustment_nv_fund",AF$3,$A604))</f>
        <v/>
      </c>
      <c r="AG604" s="13">
        <f>IF($A604="","",[1]!thsiFinD("ths_adjustment_nv_fund",AG$3,$A604))</f>
        <v/>
      </c>
      <c r="AH604" s="13">
        <f>IF($A604="","",[1]!thsiFinD("ths_adjustment_nv_fund",AH$3,$A604))</f>
        <v/>
      </c>
      <c r="AI604" s="13">
        <f>IF($A604="","",[1]!thsiFinD("ths_adjustment_nv_fund",AI$3,$A604))</f>
        <v/>
      </c>
      <c r="AJ604" s="13">
        <f>IF($A604="","",[1]!thsiFinD("ths_adjustment_nv_fund",AJ$3,$A604))</f>
        <v/>
      </c>
      <c r="AK604" s="13">
        <f>IF($A604="","",[1]!thsiFinD("ths_adjustment_nv_fund",AK$3,$A604))</f>
        <v/>
      </c>
      <c r="AL604" s="13">
        <f>IF($A604="","",[1]!thsiFinD("ths_adjustment_nv_fund",AL$3,$A604))</f>
        <v/>
      </c>
    </row>
    <row r="605" spans="2:28">
      <c r="B605" s="13" t="str">
        <f>IF($A605="","",[1]!thsiFinD("ths_adjustment_nv_fund",B$3,$A605))</f>
        <v/>
      </c>
      <c r="C605" s="13" t="str">
        <f>IF($A605="","",[1]!thsiFinD("ths_adjustment_nv_fund",C$3,$A605))</f>
        <v/>
      </c>
      <c r="D605" s="13" t="str">
        <f>IF($A605="","",[1]!thsiFinD("ths_adjustment_nv_fund",D$3,$A605))</f>
        <v/>
      </c>
      <c r="E605" s="13" t="str">
        <f>IF($A605="","",[1]!thsiFinD("ths_adjustment_nv_fund",E$3,$A605))</f>
        <v/>
      </c>
      <c r="F605" s="13" t="str">
        <f>IF($A605="","",[1]!thsiFinD("ths_adjustment_nv_fund",F$3,$A605))</f>
        <v/>
      </c>
      <c r="G605" s="13" t="str">
        <f>IF($A605="","",[1]!thsiFinD("ths_adjustment_nv_fund",G$3,$A605))</f>
        <v/>
      </c>
      <c r="H605" s="13" t="str">
        <f>IF($A605="","",[1]!thsiFinD("ths_adjustment_nv_fund",H$3,$A605))</f>
        <v/>
      </c>
      <c r="I605" s="13" t="str">
        <f>IF($A605="","",[1]!thsiFinD("ths_adjustment_nv_fund",I$3,$A605))</f>
        <v/>
      </c>
      <c r="J605" s="13" t="str">
        <f>IF($A605="","",[1]!thsiFinD("ths_adjustment_nv_fund",J$3,$A605))</f>
        <v/>
      </c>
      <c r="K605" s="13" t="str">
        <f>IF($A605="","",[1]!thsiFinD("ths_adjustment_nv_fund",K$3,$A605))</f>
        <v/>
      </c>
      <c r="L605" s="13" t="str">
        <f>IF($A605="","",[1]!thsiFinD("ths_adjustment_nv_fund",L$3,$A605))</f>
        <v/>
      </c>
      <c r="M605" s="13" t="str">
        <f>IF($A605="","",[1]!thsiFinD("ths_adjustment_nv_fund",M$3,$A605))</f>
        <v/>
      </c>
      <c r="N605" s="13" t="str">
        <f>IF($A605="","",[1]!thsiFinD("ths_adjustment_nv_fund",N$3,$A605))</f>
        <v/>
      </c>
      <c r="O605" s="13" t="str">
        <f>IF($A605="","",[1]!thsiFinD("ths_adjustment_nv_fund",O$3,$A605))</f>
        <v/>
      </c>
      <c r="P605" s="13" t="str">
        <f>IF($A605="","",[1]!thsiFinD("ths_adjustment_nv_fund",P$3,$A605))</f>
        <v/>
      </c>
      <c r="Q605" s="13" t="str">
        <f>IF($A605="","",[1]!thsiFinD("ths_adjustment_nv_fund",Q$3,$A605))</f>
        <v/>
      </c>
      <c r="R605" s="13" t="str">
        <f>IF($A605="","",[1]!thsiFinD("ths_adjustment_nv_fund",R$3,$A605))</f>
        <v/>
      </c>
      <c r="S605" s="13" t="str">
        <f>IF($A605="","",[1]!thsiFinD("ths_adjustment_nv_fund",S$3,$A605))</f>
        <v/>
      </c>
      <c r="T605" s="13" t="str">
        <f>IF($A605="","",[1]!thsiFinD("ths_adjustment_nv_fund",T$3,$A605))</f>
        <v/>
      </c>
      <c r="U605" s="13" t="str">
        <f>IF($A605="","",[1]!thsiFinD("ths_adjustment_nv_fund",U$3,$A605))</f>
        <v/>
      </c>
      <c r="V605" s="13" t="str">
        <f>IF($A605="","",[1]!thsiFinD("ths_adjustment_nv_fund",V$3,$A605))</f>
        <v/>
      </c>
      <c r="W605" s="13" t="str">
        <f>IF($A605="","",[1]!thsiFinD("ths_adjustment_nv_fund",W$3,$A605))</f>
        <v/>
      </c>
      <c r="X605" s="13" t="str">
        <f>IF($A605="","",[1]!thsiFinD("ths_adjustment_nv_fund",X$3,$A605))</f>
        <v/>
      </c>
      <c r="Y605" s="13" t="str">
        <f>IF($A605="","",[1]!thsiFinD("ths_adjustment_nv_fund",Y$3,$A605))</f>
        <v/>
      </c>
      <c r="Z605" s="13" t="str">
        <f>IF($A605="","",[1]!thsiFinD("ths_adjustment_nv_fund",Z$3,$A605))</f>
        <v/>
      </c>
      <c r="AA605" s="13" t="str">
        <f>IF($A605="","",[1]!thsiFinD("ths_adjustment_nv_fund",AA$3,$A605))</f>
        <v/>
      </c>
      <c r="AB605" s="13">
        <f>IF($A605="","",[1]!thsiFinD("ths_adjustment_nv_fund",AB$3,$A605))</f>
        <v/>
      </c>
      <c r="AC605" s="13">
        <f>IF($A605="","",[1]!thsiFinD("ths_adjustment_nv_fund",AC$3,$A605))</f>
        <v/>
      </c>
      <c r="AD605" s="13">
        <f>IF($A605="","",[1]!thsiFinD("ths_adjustment_nv_fund",AD$3,$A605))</f>
        <v/>
      </c>
      <c r="AE605" s="13">
        <f>IF($A605="","",[1]!thsiFinD("ths_adjustment_nv_fund",AE$3,$A605))</f>
        <v/>
      </c>
      <c r="AF605" s="13">
        <f>IF($A605="","",[1]!thsiFinD("ths_adjustment_nv_fund",AF$3,$A605))</f>
        <v/>
      </c>
      <c r="AG605" s="13">
        <f>IF($A605="","",[1]!thsiFinD("ths_adjustment_nv_fund",AG$3,$A605))</f>
        <v/>
      </c>
      <c r="AH605" s="13">
        <f>IF($A605="","",[1]!thsiFinD("ths_adjustment_nv_fund",AH$3,$A605))</f>
        <v/>
      </c>
      <c r="AI605" s="13">
        <f>IF($A605="","",[1]!thsiFinD("ths_adjustment_nv_fund",AI$3,$A605))</f>
        <v/>
      </c>
      <c r="AJ605" s="13">
        <f>IF($A605="","",[1]!thsiFinD("ths_adjustment_nv_fund",AJ$3,$A605))</f>
        <v/>
      </c>
      <c r="AK605" s="13">
        <f>IF($A605="","",[1]!thsiFinD("ths_adjustment_nv_fund",AK$3,$A605))</f>
        <v/>
      </c>
      <c r="AL605" s="13">
        <f>IF($A605="","",[1]!thsiFinD("ths_adjustment_nv_fund",AL$3,$A605))</f>
        <v/>
      </c>
    </row>
    <row r="606" spans="2:28">
      <c r="B606" s="13" t="str">
        <f>IF($A606="","",[1]!thsiFinD("ths_adjustment_nv_fund",B$3,$A606))</f>
        <v/>
      </c>
      <c r="C606" s="13" t="str">
        <f>IF($A606="","",[1]!thsiFinD("ths_adjustment_nv_fund",C$3,$A606))</f>
        <v/>
      </c>
      <c r="D606" s="13" t="str">
        <f>IF($A606="","",[1]!thsiFinD("ths_adjustment_nv_fund",D$3,$A606))</f>
        <v/>
      </c>
      <c r="E606" s="13" t="str">
        <f>IF($A606="","",[1]!thsiFinD("ths_adjustment_nv_fund",E$3,$A606))</f>
        <v/>
      </c>
      <c r="F606" s="13" t="str">
        <f>IF($A606="","",[1]!thsiFinD("ths_adjustment_nv_fund",F$3,$A606))</f>
        <v/>
      </c>
      <c r="G606" s="13" t="str">
        <f>IF($A606="","",[1]!thsiFinD("ths_adjustment_nv_fund",G$3,$A606))</f>
        <v/>
      </c>
      <c r="H606" s="13" t="str">
        <f>IF($A606="","",[1]!thsiFinD("ths_adjustment_nv_fund",H$3,$A606))</f>
        <v/>
      </c>
      <c r="I606" s="13" t="str">
        <f>IF($A606="","",[1]!thsiFinD("ths_adjustment_nv_fund",I$3,$A606))</f>
        <v/>
      </c>
      <c r="J606" s="13" t="str">
        <f>IF($A606="","",[1]!thsiFinD("ths_adjustment_nv_fund",J$3,$A606))</f>
        <v/>
      </c>
      <c r="K606" s="13" t="str">
        <f>IF($A606="","",[1]!thsiFinD("ths_adjustment_nv_fund",K$3,$A606))</f>
        <v/>
      </c>
      <c r="L606" s="13" t="str">
        <f>IF($A606="","",[1]!thsiFinD("ths_adjustment_nv_fund",L$3,$A606))</f>
        <v/>
      </c>
      <c r="M606" s="13" t="str">
        <f>IF($A606="","",[1]!thsiFinD("ths_adjustment_nv_fund",M$3,$A606))</f>
        <v/>
      </c>
      <c r="N606" s="13" t="str">
        <f>IF($A606="","",[1]!thsiFinD("ths_adjustment_nv_fund",N$3,$A606))</f>
        <v/>
      </c>
      <c r="O606" s="13" t="str">
        <f>IF($A606="","",[1]!thsiFinD("ths_adjustment_nv_fund",O$3,$A606))</f>
        <v/>
      </c>
      <c r="P606" s="13" t="str">
        <f>IF($A606="","",[1]!thsiFinD("ths_adjustment_nv_fund",P$3,$A606))</f>
        <v/>
      </c>
      <c r="Q606" s="13" t="str">
        <f>IF($A606="","",[1]!thsiFinD("ths_adjustment_nv_fund",Q$3,$A606))</f>
        <v/>
      </c>
      <c r="R606" s="13" t="str">
        <f>IF($A606="","",[1]!thsiFinD("ths_adjustment_nv_fund",R$3,$A606))</f>
        <v/>
      </c>
      <c r="S606" s="13" t="str">
        <f>IF($A606="","",[1]!thsiFinD("ths_adjustment_nv_fund",S$3,$A606))</f>
        <v/>
      </c>
      <c r="T606" s="13" t="str">
        <f>IF($A606="","",[1]!thsiFinD("ths_adjustment_nv_fund",T$3,$A606))</f>
        <v/>
      </c>
      <c r="U606" s="13" t="str">
        <f>IF($A606="","",[1]!thsiFinD("ths_adjustment_nv_fund",U$3,$A606))</f>
        <v/>
      </c>
      <c r="V606" s="13" t="str">
        <f>IF($A606="","",[1]!thsiFinD("ths_adjustment_nv_fund",V$3,$A606))</f>
        <v/>
      </c>
      <c r="W606" s="13" t="str">
        <f>IF($A606="","",[1]!thsiFinD("ths_adjustment_nv_fund",W$3,$A606))</f>
        <v/>
      </c>
      <c r="X606" s="13" t="str">
        <f>IF($A606="","",[1]!thsiFinD("ths_adjustment_nv_fund",X$3,$A606))</f>
        <v/>
      </c>
      <c r="Y606" s="13" t="str">
        <f>IF($A606="","",[1]!thsiFinD("ths_adjustment_nv_fund",Y$3,$A606))</f>
        <v/>
      </c>
      <c r="Z606" s="13" t="str">
        <f>IF($A606="","",[1]!thsiFinD("ths_adjustment_nv_fund",Z$3,$A606))</f>
        <v/>
      </c>
      <c r="AA606" s="13" t="str">
        <f>IF($A606="","",[1]!thsiFinD("ths_adjustment_nv_fund",AA$3,$A606))</f>
        <v/>
      </c>
      <c r="AB606" s="13">
        <f>IF($A606="","",[1]!thsiFinD("ths_adjustment_nv_fund",AB$3,$A606))</f>
        <v/>
      </c>
      <c r="AC606" s="13">
        <f>IF($A606="","",[1]!thsiFinD("ths_adjustment_nv_fund",AC$3,$A606))</f>
        <v/>
      </c>
      <c r="AD606" s="13">
        <f>IF($A606="","",[1]!thsiFinD("ths_adjustment_nv_fund",AD$3,$A606))</f>
        <v/>
      </c>
      <c r="AE606" s="13">
        <f>IF($A606="","",[1]!thsiFinD("ths_adjustment_nv_fund",AE$3,$A606))</f>
        <v/>
      </c>
      <c r="AF606" s="13">
        <f>IF($A606="","",[1]!thsiFinD("ths_adjustment_nv_fund",AF$3,$A606))</f>
        <v/>
      </c>
      <c r="AG606" s="13">
        <f>IF($A606="","",[1]!thsiFinD("ths_adjustment_nv_fund",AG$3,$A606))</f>
        <v/>
      </c>
      <c r="AH606" s="13">
        <f>IF($A606="","",[1]!thsiFinD("ths_adjustment_nv_fund",AH$3,$A606))</f>
        <v/>
      </c>
      <c r="AI606" s="13">
        <f>IF($A606="","",[1]!thsiFinD("ths_adjustment_nv_fund",AI$3,$A606))</f>
        <v/>
      </c>
      <c r="AJ606" s="13">
        <f>IF($A606="","",[1]!thsiFinD("ths_adjustment_nv_fund",AJ$3,$A606))</f>
        <v/>
      </c>
      <c r="AK606" s="13">
        <f>IF($A606="","",[1]!thsiFinD("ths_adjustment_nv_fund",AK$3,$A606))</f>
        <v/>
      </c>
      <c r="AL606" s="13">
        <f>IF($A606="","",[1]!thsiFinD("ths_adjustment_nv_fund",AL$3,$A606))</f>
        <v/>
      </c>
    </row>
    <row r="607" spans="2:28">
      <c r="B607" s="13" t="str">
        <f>IF($A607="","",[1]!thsiFinD("ths_adjustment_nv_fund",B$3,$A607))</f>
        <v/>
      </c>
      <c r="C607" s="13" t="str">
        <f>IF($A607="","",[1]!thsiFinD("ths_adjustment_nv_fund",C$3,$A607))</f>
        <v/>
      </c>
      <c r="D607" s="13" t="str">
        <f>IF($A607="","",[1]!thsiFinD("ths_adjustment_nv_fund",D$3,$A607))</f>
        <v/>
      </c>
      <c r="E607" s="13" t="str">
        <f>IF($A607="","",[1]!thsiFinD("ths_adjustment_nv_fund",E$3,$A607))</f>
        <v/>
      </c>
      <c r="F607" s="13" t="str">
        <f>IF($A607="","",[1]!thsiFinD("ths_adjustment_nv_fund",F$3,$A607))</f>
        <v/>
      </c>
      <c r="G607" s="13" t="str">
        <f>IF($A607="","",[1]!thsiFinD("ths_adjustment_nv_fund",G$3,$A607))</f>
        <v/>
      </c>
      <c r="H607" s="13" t="str">
        <f>IF($A607="","",[1]!thsiFinD("ths_adjustment_nv_fund",H$3,$A607))</f>
        <v/>
      </c>
      <c r="I607" s="13" t="str">
        <f>IF($A607="","",[1]!thsiFinD("ths_adjustment_nv_fund",I$3,$A607))</f>
        <v/>
      </c>
      <c r="J607" s="13" t="str">
        <f>IF($A607="","",[1]!thsiFinD("ths_adjustment_nv_fund",J$3,$A607))</f>
        <v/>
      </c>
      <c r="K607" s="13" t="str">
        <f>IF($A607="","",[1]!thsiFinD("ths_adjustment_nv_fund",K$3,$A607))</f>
        <v/>
      </c>
      <c r="L607" s="13" t="str">
        <f>IF($A607="","",[1]!thsiFinD("ths_adjustment_nv_fund",L$3,$A607))</f>
        <v/>
      </c>
      <c r="M607" s="13" t="str">
        <f>IF($A607="","",[1]!thsiFinD("ths_adjustment_nv_fund",M$3,$A607))</f>
        <v/>
      </c>
      <c r="N607" s="13" t="str">
        <f>IF($A607="","",[1]!thsiFinD("ths_adjustment_nv_fund",N$3,$A607))</f>
        <v/>
      </c>
      <c r="O607" s="13" t="str">
        <f>IF($A607="","",[1]!thsiFinD("ths_adjustment_nv_fund",O$3,$A607))</f>
        <v/>
      </c>
      <c r="P607" s="13" t="str">
        <f>IF($A607="","",[1]!thsiFinD("ths_adjustment_nv_fund",P$3,$A607))</f>
        <v/>
      </c>
      <c r="Q607" s="13" t="str">
        <f>IF($A607="","",[1]!thsiFinD("ths_adjustment_nv_fund",Q$3,$A607))</f>
        <v/>
      </c>
      <c r="R607" s="13" t="str">
        <f>IF($A607="","",[1]!thsiFinD("ths_adjustment_nv_fund",R$3,$A607))</f>
        <v/>
      </c>
      <c r="S607" s="13" t="str">
        <f>IF($A607="","",[1]!thsiFinD("ths_adjustment_nv_fund",S$3,$A607))</f>
        <v/>
      </c>
      <c r="T607" s="13" t="str">
        <f>IF($A607="","",[1]!thsiFinD("ths_adjustment_nv_fund",T$3,$A607))</f>
        <v/>
      </c>
      <c r="U607" s="13" t="str">
        <f>IF($A607="","",[1]!thsiFinD("ths_adjustment_nv_fund",U$3,$A607))</f>
        <v/>
      </c>
      <c r="V607" s="13" t="str">
        <f>IF($A607="","",[1]!thsiFinD("ths_adjustment_nv_fund",V$3,$A607))</f>
        <v/>
      </c>
      <c r="W607" s="13" t="str">
        <f>IF($A607="","",[1]!thsiFinD("ths_adjustment_nv_fund",W$3,$A607))</f>
        <v/>
      </c>
      <c r="X607" s="13" t="str">
        <f>IF($A607="","",[1]!thsiFinD("ths_adjustment_nv_fund",X$3,$A607))</f>
        <v/>
      </c>
      <c r="Y607" s="13" t="str">
        <f>IF($A607="","",[1]!thsiFinD("ths_adjustment_nv_fund",Y$3,$A607))</f>
        <v/>
      </c>
      <c r="Z607" s="13" t="str">
        <f>IF($A607="","",[1]!thsiFinD("ths_adjustment_nv_fund",Z$3,$A607))</f>
        <v/>
      </c>
      <c r="AA607" s="13" t="str">
        <f>IF($A607="","",[1]!thsiFinD("ths_adjustment_nv_fund",AA$3,$A607))</f>
        <v/>
      </c>
      <c r="AB607" s="13">
        <f>IF($A607="","",[1]!thsiFinD("ths_adjustment_nv_fund",AB$3,$A607))</f>
        <v/>
      </c>
      <c r="AC607" s="13">
        <f>IF($A607="","",[1]!thsiFinD("ths_adjustment_nv_fund",AC$3,$A607))</f>
        <v/>
      </c>
      <c r="AD607" s="13">
        <f>IF($A607="","",[1]!thsiFinD("ths_adjustment_nv_fund",AD$3,$A607))</f>
        <v/>
      </c>
      <c r="AE607" s="13">
        <f>IF($A607="","",[1]!thsiFinD("ths_adjustment_nv_fund",AE$3,$A607))</f>
        <v/>
      </c>
      <c r="AF607" s="13">
        <f>IF($A607="","",[1]!thsiFinD("ths_adjustment_nv_fund",AF$3,$A607))</f>
        <v/>
      </c>
      <c r="AG607" s="13">
        <f>IF($A607="","",[1]!thsiFinD("ths_adjustment_nv_fund",AG$3,$A607))</f>
        <v/>
      </c>
      <c r="AH607" s="13">
        <f>IF($A607="","",[1]!thsiFinD("ths_adjustment_nv_fund",AH$3,$A607))</f>
        <v/>
      </c>
      <c r="AI607" s="13">
        <f>IF($A607="","",[1]!thsiFinD("ths_adjustment_nv_fund",AI$3,$A607))</f>
        <v/>
      </c>
      <c r="AJ607" s="13">
        <f>IF($A607="","",[1]!thsiFinD("ths_adjustment_nv_fund",AJ$3,$A607))</f>
        <v/>
      </c>
      <c r="AK607" s="13">
        <f>IF($A607="","",[1]!thsiFinD("ths_adjustment_nv_fund",AK$3,$A607))</f>
        <v/>
      </c>
      <c r="AL607" s="13">
        <f>IF($A607="","",[1]!thsiFinD("ths_adjustment_nv_fund",AL$3,$A607))</f>
        <v/>
      </c>
    </row>
    <row r="608" spans="2:28">
      <c r="B608" s="13" t="str">
        <f>IF($A608="","",[1]!thsiFinD("ths_adjustment_nv_fund",B$3,$A608))</f>
        <v/>
      </c>
      <c r="C608" s="13" t="str">
        <f>IF($A608="","",[1]!thsiFinD("ths_adjustment_nv_fund",C$3,$A608))</f>
        <v/>
      </c>
      <c r="D608" s="13" t="str">
        <f>IF($A608="","",[1]!thsiFinD("ths_adjustment_nv_fund",D$3,$A608))</f>
        <v/>
      </c>
      <c r="E608" s="13" t="str">
        <f>IF($A608="","",[1]!thsiFinD("ths_adjustment_nv_fund",E$3,$A608))</f>
        <v/>
      </c>
      <c r="F608" s="13" t="str">
        <f>IF($A608="","",[1]!thsiFinD("ths_adjustment_nv_fund",F$3,$A608))</f>
        <v/>
      </c>
      <c r="G608" s="13" t="str">
        <f>IF($A608="","",[1]!thsiFinD("ths_adjustment_nv_fund",G$3,$A608))</f>
        <v/>
      </c>
      <c r="H608" s="13" t="str">
        <f>IF($A608="","",[1]!thsiFinD("ths_adjustment_nv_fund",H$3,$A608))</f>
        <v/>
      </c>
      <c r="I608" s="13" t="str">
        <f>IF($A608="","",[1]!thsiFinD("ths_adjustment_nv_fund",I$3,$A608))</f>
        <v/>
      </c>
      <c r="J608" s="13" t="str">
        <f>IF($A608="","",[1]!thsiFinD("ths_adjustment_nv_fund",J$3,$A608))</f>
        <v/>
      </c>
      <c r="K608" s="13" t="str">
        <f>IF($A608="","",[1]!thsiFinD("ths_adjustment_nv_fund",K$3,$A608))</f>
        <v/>
      </c>
      <c r="L608" s="13" t="str">
        <f>IF($A608="","",[1]!thsiFinD("ths_adjustment_nv_fund",L$3,$A608))</f>
        <v/>
      </c>
      <c r="M608" s="13" t="str">
        <f>IF($A608="","",[1]!thsiFinD("ths_adjustment_nv_fund",M$3,$A608))</f>
        <v/>
      </c>
      <c r="N608" s="13" t="str">
        <f>IF($A608="","",[1]!thsiFinD("ths_adjustment_nv_fund",N$3,$A608))</f>
        <v/>
      </c>
      <c r="O608" s="13" t="str">
        <f>IF($A608="","",[1]!thsiFinD("ths_adjustment_nv_fund",O$3,$A608))</f>
        <v/>
      </c>
      <c r="P608" s="13" t="str">
        <f>IF($A608="","",[1]!thsiFinD("ths_adjustment_nv_fund",P$3,$A608))</f>
        <v/>
      </c>
      <c r="Q608" s="13" t="str">
        <f>IF($A608="","",[1]!thsiFinD("ths_adjustment_nv_fund",Q$3,$A608))</f>
        <v/>
      </c>
      <c r="R608" s="13" t="str">
        <f>IF($A608="","",[1]!thsiFinD("ths_adjustment_nv_fund",R$3,$A608))</f>
        <v/>
      </c>
      <c r="S608" s="13" t="str">
        <f>IF($A608="","",[1]!thsiFinD("ths_adjustment_nv_fund",S$3,$A608))</f>
        <v/>
      </c>
      <c r="T608" s="13" t="str">
        <f>IF($A608="","",[1]!thsiFinD("ths_adjustment_nv_fund",T$3,$A608))</f>
        <v/>
      </c>
      <c r="U608" s="13" t="str">
        <f>IF($A608="","",[1]!thsiFinD("ths_adjustment_nv_fund",U$3,$A608))</f>
        <v/>
      </c>
      <c r="V608" s="13" t="str">
        <f>IF($A608="","",[1]!thsiFinD("ths_adjustment_nv_fund",V$3,$A608))</f>
        <v/>
      </c>
      <c r="W608" s="13" t="str">
        <f>IF($A608="","",[1]!thsiFinD("ths_adjustment_nv_fund",W$3,$A608))</f>
        <v/>
      </c>
      <c r="X608" s="13" t="str">
        <f>IF($A608="","",[1]!thsiFinD("ths_adjustment_nv_fund",X$3,$A608))</f>
        <v/>
      </c>
      <c r="Y608" s="13" t="str">
        <f>IF($A608="","",[1]!thsiFinD("ths_adjustment_nv_fund",Y$3,$A608))</f>
        <v/>
      </c>
      <c r="Z608" s="13" t="str">
        <f>IF($A608="","",[1]!thsiFinD("ths_adjustment_nv_fund",Z$3,$A608))</f>
        <v/>
      </c>
      <c r="AA608" s="13" t="str">
        <f>IF($A608="","",[1]!thsiFinD("ths_adjustment_nv_fund",AA$3,$A608))</f>
        <v/>
      </c>
      <c r="AB608" s="13">
        <f>IF($A608="","",[1]!thsiFinD("ths_adjustment_nv_fund",AB$3,$A608))</f>
        <v/>
      </c>
      <c r="AC608" s="13">
        <f>IF($A608="","",[1]!thsiFinD("ths_adjustment_nv_fund",AC$3,$A608))</f>
        <v/>
      </c>
      <c r="AD608" s="13">
        <f>IF($A608="","",[1]!thsiFinD("ths_adjustment_nv_fund",AD$3,$A608))</f>
        <v/>
      </c>
      <c r="AE608" s="13">
        <f>IF($A608="","",[1]!thsiFinD("ths_adjustment_nv_fund",AE$3,$A608))</f>
        <v/>
      </c>
      <c r="AF608" s="13">
        <f>IF($A608="","",[1]!thsiFinD("ths_adjustment_nv_fund",AF$3,$A608))</f>
        <v/>
      </c>
      <c r="AG608" s="13">
        <f>IF($A608="","",[1]!thsiFinD("ths_adjustment_nv_fund",AG$3,$A608))</f>
        <v/>
      </c>
      <c r="AH608" s="13">
        <f>IF($A608="","",[1]!thsiFinD("ths_adjustment_nv_fund",AH$3,$A608))</f>
        <v/>
      </c>
      <c r="AI608" s="13">
        <f>IF($A608="","",[1]!thsiFinD("ths_adjustment_nv_fund",AI$3,$A608))</f>
        <v/>
      </c>
      <c r="AJ608" s="13">
        <f>IF($A608="","",[1]!thsiFinD("ths_adjustment_nv_fund",AJ$3,$A608))</f>
        <v/>
      </c>
      <c r="AK608" s="13">
        <f>IF($A608="","",[1]!thsiFinD("ths_adjustment_nv_fund",AK$3,$A608))</f>
        <v/>
      </c>
      <c r="AL608" s="13">
        <f>IF($A608="","",[1]!thsiFinD("ths_adjustment_nv_fund",AL$3,$A608))</f>
        <v/>
      </c>
    </row>
    <row r="609" spans="2:28">
      <c r="B609" s="13" t="str">
        <f>IF($A609="","",[1]!thsiFinD("ths_adjustment_nv_fund",B$3,$A609))</f>
        <v/>
      </c>
      <c r="C609" s="13" t="str">
        <f>IF($A609="","",[1]!thsiFinD("ths_adjustment_nv_fund",C$3,$A609))</f>
        <v/>
      </c>
      <c r="D609" s="13" t="str">
        <f>IF($A609="","",[1]!thsiFinD("ths_adjustment_nv_fund",D$3,$A609))</f>
        <v/>
      </c>
      <c r="E609" s="13" t="str">
        <f>IF($A609="","",[1]!thsiFinD("ths_adjustment_nv_fund",E$3,$A609))</f>
        <v/>
      </c>
      <c r="F609" s="13" t="str">
        <f>IF($A609="","",[1]!thsiFinD("ths_adjustment_nv_fund",F$3,$A609))</f>
        <v/>
      </c>
      <c r="G609" s="13" t="str">
        <f>IF($A609="","",[1]!thsiFinD("ths_adjustment_nv_fund",G$3,$A609))</f>
        <v/>
      </c>
      <c r="H609" s="13" t="str">
        <f>IF($A609="","",[1]!thsiFinD("ths_adjustment_nv_fund",H$3,$A609))</f>
        <v/>
      </c>
      <c r="I609" s="13" t="str">
        <f>IF($A609="","",[1]!thsiFinD("ths_adjustment_nv_fund",I$3,$A609))</f>
        <v/>
      </c>
      <c r="J609" s="13" t="str">
        <f>IF($A609="","",[1]!thsiFinD("ths_adjustment_nv_fund",J$3,$A609))</f>
        <v/>
      </c>
      <c r="K609" s="13" t="str">
        <f>IF($A609="","",[1]!thsiFinD("ths_adjustment_nv_fund",K$3,$A609))</f>
        <v/>
      </c>
      <c r="L609" s="13" t="str">
        <f>IF($A609="","",[1]!thsiFinD("ths_adjustment_nv_fund",L$3,$A609))</f>
        <v/>
      </c>
      <c r="M609" s="13" t="str">
        <f>IF($A609="","",[1]!thsiFinD("ths_adjustment_nv_fund",M$3,$A609))</f>
        <v/>
      </c>
      <c r="N609" s="13" t="str">
        <f>IF($A609="","",[1]!thsiFinD("ths_adjustment_nv_fund",N$3,$A609))</f>
        <v/>
      </c>
      <c r="O609" s="13" t="str">
        <f>IF($A609="","",[1]!thsiFinD("ths_adjustment_nv_fund",O$3,$A609))</f>
        <v/>
      </c>
      <c r="P609" s="13" t="str">
        <f>IF($A609="","",[1]!thsiFinD("ths_adjustment_nv_fund",P$3,$A609))</f>
        <v/>
      </c>
      <c r="Q609" s="13" t="str">
        <f>IF($A609="","",[1]!thsiFinD("ths_adjustment_nv_fund",Q$3,$A609))</f>
        <v/>
      </c>
      <c r="R609" s="13" t="str">
        <f>IF($A609="","",[1]!thsiFinD("ths_adjustment_nv_fund",R$3,$A609))</f>
        <v/>
      </c>
      <c r="S609" s="13" t="str">
        <f>IF($A609="","",[1]!thsiFinD("ths_adjustment_nv_fund",S$3,$A609))</f>
        <v/>
      </c>
      <c r="T609" s="13" t="str">
        <f>IF($A609="","",[1]!thsiFinD("ths_adjustment_nv_fund",T$3,$A609))</f>
        <v/>
      </c>
      <c r="U609" s="13" t="str">
        <f>IF($A609="","",[1]!thsiFinD("ths_adjustment_nv_fund",U$3,$A609))</f>
        <v/>
      </c>
      <c r="V609" s="13" t="str">
        <f>IF($A609="","",[1]!thsiFinD("ths_adjustment_nv_fund",V$3,$A609))</f>
        <v/>
      </c>
      <c r="W609" s="13" t="str">
        <f>IF($A609="","",[1]!thsiFinD("ths_adjustment_nv_fund",W$3,$A609))</f>
        <v/>
      </c>
      <c r="X609" s="13" t="str">
        <f>IF($A609="","",[1]!thsiFinD("ths_adjustment_nv_fund",X$3,$A609))</f>
        <v/>
      </c>
      <c r="Y609" s="13" t="str">
        <f>IF($A609="","",[1]!thsiFinD("ths_adjustment_nv_fund",Y$3,$A609))</f>
        <v/>
      </c>
      <c r="Z609" s="13" t="str">
        <f>IF($A609="","",[1]!thsiFinD("ths_adjustment_nv_fund",Z$3,$A609))</f>
        <v/>
      </c>
      <c r="AA609" s="13" t="str">
        <f>IF($A609="","",[1]!thsiFinD("ths_adjustment_nv_fund",AA$3,$A609))</f>
        <v/>
      </c>
      <c r="AB609" s="13">
        <f>IF($A609="","",[1]!thsiFinD("ths_adjustment_nv_fund",AB$3,$A609))</f>
        <v/>
      </c>
      <c r="AC609" s="13">
        <f>IF($A609="","",[1]!thsiFinD("ths_adjustment_nv_fund",AC$3,$A609))</f>
        <v/>
      </c>
      <c r="AD609" s="13">
        <f>IF($A609="","",[1]!thsiFinD("ths_adjustment_nv_fund",AD$3,$A609))</f>
        <v/>
      </c>
      <c r="AE609" s="13">
        <f>IF($A609="","",[1]!thsiFinD("ths_adjustment_nv_fund",AE$3,$A609))</f>
        <v/>
      </c>
      <c r="AF609" s="13">
        <f>IF($A609="","",[1]!thsiFinD("ths_adjustment_nv_fund",AF$3,$A609))</f>
        <v/>
      </c>
      <c r="AG609" s="13">
        <f>IF($A609="","",[1]!thsiFinD("ths_adjustment_nv_fund",AG$3,$A609))</f>
        <v/>
      </c>
      <c r="AH609" s="13">
        <f>IF($A609="","",[1]!thsiFinD("ths_adjustment_nv_fund",AH$3,$A609))</f>
        <v/>
      </c>
      <c r="AI609" s="13">
        <f>IF($A609="","",[1]!thsiFinD("ths_adjustment_nv_fund",AI$3,$A609))</f>
        <v/>
      </c>
      <c r="AJ609" s="13">
        <f>IF($A609="","",[1]!thsiFinD("ths_adjustment_nv_fund",AJ$3,$A609))</f>
        <v/>
      </c>
      <c r="AK609" s="13">
        <f>IF($A609="","",[1]!thsiFinD("ths_adjustment_nv_fund",AK$3,$A609))</f>
        <v/>
      </c>
      <c r="AL609" s="13">
        <f>IF($A609="","",[1]!thsiFinD("ths_adjustment_nv_fund",AL$3,$A609))</f>
        <v/>
      </c>
    </row>
    <row r="610" spans="2:28">
      <c r="B610" s="13" t="str">
        <f>IF($A610="","",[1]!thsiFinD("ths_adjustment_nv_fund",B$3,$A610))</f>
        <v/>
      </c>
      <c r="C610" s="13" t="str">
        <f>IF($A610="","",[1]!thsiFinD("ths_adjustment_nv_fund",C$3,$A610))</f>
        <v/>
      </c>
      <c r="D610" s="13" t="str">
        <f>IF($A610="","",[1]!thsiFinD("ths_adjustment_nv_fund",D$3,$A610))</f>
        <v/>
      </c>
      <c r="E610" s="13" t="str">
        <f>IF($A610="","",[1]!thsiFinD("ths_adjustment_nv_fund",E$3,$A610))</f>
        <v/>
      </c>
      <c r="F610" s="13" t="str">
        <f>IF($A610="","",[1]!thsiFinD("ths_adjustment_nv_fund",F$3,$A610))</f>
        <v/>
      </c>
      <c r="G610" s="13" t="str">
        <f>IF($A610="","",[1]!thsiFinD("ths_adjustment_nv_fund",G$3,$A610))</f>
        <v/>
      </c>
      <c r="H610" s="13" t="str">
        <f>IF($A610="","",[1]!thsiFinD("ths_adjustment_nv_fund",H$3,$A610))</f>
        <v/>
      </c>
      <c r="I610" s="13" t="str">
        <f>IF($A610="","",[1]!thsiFinD("ths_adjustment_nv_fund",I$3,$A610))</f>
        <v/>
      </c>
      <c r="J610" s="13" t="str">
        <f>IF($A610="","",[1]!thsiFinD("ths_adjustment_nv_fund",J$3,$A610))</f>
        <v/>
      </c>
      <c r="K610" s="13" t="str">
        <f>IF($A610="","",[1]!thsiFinD("ths_adjustment_nv_fund",K$3,$A610))</f>
        <v/>
      </c>
      <c r="L610" s="13" t="str">
        <f>IF($A610="","",[1]!thsiFinD("ths_adjustment_nv_fund",L$3,$A610))</f>
        <v/>
      </c>
      <c r="M610" s="13" t="str">
        <f>IF($A610="","",[1]!thsiFinD("ths_adjustment_nv_fund",M$3,$A610))</f>
        <v/>
      </c>
      <c r="N610" s="13" t="str">
        <f>IF($A610="","",[1]!thsiFinD("ths_adjustment_nv_fund",N$3,$A610))</f>
        <v/>
      </c>
      <c r="O610" s="13" t="str">
        <f>IF($A610="","",[1]!thsiFinD("ths_adjustment_nv_fund",O$3,$A610))</f>
        <v/>
      </c>
      <c r="P610" s="13" t="str">
        <f>IF($A610="","",[1]!thsiFinD("ths_adjustment_nv_fund",P$3,$A610))</f>
        <v/>
      </c>
      <c r="Q610" s="13" t="str">
        <f>IF($A610="","",[1]!thsiFinD("ths_adjustment_nv_fund",Q$3,$A610))</f>
        <v/>
      </c>
      <c r="R610" s="13" t="str">
        <f>IF($A610="","",[1]!thsiFinD("ths_adjustment_nv_fund",R$3,$A610))</f>
        <v/>
      </c>
      <c r="S610" s="13" t="str">
        <f>IF($A610="","",[1]!thsiFinD("ths_adjustment_nv_fund",S$3,$A610))</f>
        <v/>
      </c>
      <c r="T610" s="13" t="str">
        <f>IF($A610="","",[1]!thsiFinD("ths_adjustment_nv_fund",T$3,$A610))</f>
        <v/>
      </c>
      <c r="U610" s="13" t="str">
        <f>IF($A610="","",[1]!thsiFinD("ths_adjustment_nv_fund",U$3,$A610))</f>
        <v/>
      </c>
      <c r="V610" s="13" t="str">
        <f>IF($A610="","",[1]!thsiFinD("ths_adjustment_nv_fund",V$3,$A610))</f>
        <v/>
      </c>
      <c r="W610" s="13" t="str">
        <f>IF($A610="","",[1]!thsiFinD("ths_adjustment_nv_fund",W$3,$A610))</f>
        <v/>
      </c>
      <c r="X610" s="13" t="str">
        <f>IF($A610="","",[1]!thsiFinD("ths_adjustment_nv_fund",X$3,$A610))</f>
        <v/>
      </c>
      <c r="Y610" s="13" t="str">
        <f>IF($A610="","",[1]!thsiFinD("ths_adjustment_nv_fund",Y$3,$A610))</f>
        <v/>
      </c>
      <c r="Z610" s="13" t="str">
        <f>IF($A610="","",[1]!thsiFinD("ths_adjustment_nv_fund",Z$3,$A610))</f>
        <v/>
      </c>
      <c r="AA610" s="13" t="str">
        <f>IF($A610="","",[1]!thsiFinD("ths_adjustment_nv_fund",AA$3,$A610))</f>
        <v/>
      </c>
      <c r="AB610" s="13">
        <f>IF($A610="","",[1]!thsiFinD("ths_adjustment_nv_fund",AB$3,$A610))</f>
        <v/>
      </c>
      <c r="AC610" s="13">
        <f>IF($A610="","",[1]!thsiFinD("ths_adjustment_nv_fund",AC$3,$A610))</f>
        <v/>
      </c>
      <c r="AD610" s="13">
        <f>IF($A610="","",[1]!thsiFinD("ths_adjustment_nv_fund",AD$3,$A610))</f>
        <v/>
      </c>
      <c r="AE610" s="13">
        <f>IF($A610="","",[1]!thsiFinD("ths_adjustment_nv_fund",AE$3,$A610))</f>
        <v/>
      </c>
      <c r="AF610" s="13">
        <f>IF($A610="","",[1]!thsiFinD("ths_adjustment_nv_fund",AF$3,$A610))</f>
        <v/>
      </c>
      <c r="AG610" s="13">
        <f>IF($A610="","",[1]!thsiFinD("ths_adjustment_nv_fund",AG$3,$A610))</f>
        <v/>
      </c>
      <c r="AH610" s="13">
        <f>IF($A610="","",[1]!thsiFinD("ths_adjustment_nv_fund",AH$3,$A610))</f>
        <v/>
      </c>
      <c r="AI610" s="13">
        <f>IF($A610="","",[1]!thsiFinD("ths_adjustment_nv_fund",AI$3,$A610))</f>
        <v/>
      </c>
      <c r="AJ610" s="13">
        <f>IF($A610="","",[1]!thsiFinD("ths_adjustment_nv_fund",AJ$3,$A610))</f>
        <v/>
      </c>
      <c r="AK610" s="13">
        <f>IF($A610="","",[1]!thsiFinD("ths_adjustment_nv_fund",AK$3,$A610))</f>
        <v/>
      </c>
      <c r="AL610" s="13">
        <f>IF($A610="","",[1]!thsiFinD("ths_adjustment_nv_fund",AL$3,$A610))</f>
        <v/>
      </c>
    </row>
    <row r="611" spans="2:28">
      <c r="B611" s="13" t="str">
        <f>IF($A611="","",[1]!thsiFinD("ths_adjustment_nv_fund",B$3,$A611))</f>
        <v/>
      </c>
      <c r="C611" s="13" t="str">
        <f>IF($A611="","",[1]!thsiFinD("ths_adjustment_nv_fund",C$3,$A611))</f>
        <v/>
      </c>
      <c r="D611" s="13" t="str">
        <f>IF($A611="","",[1]!thsiFinD("ths_adjustment_nv_fund",D$3,$A611))</f>
        <v/>
      </c>
      <c r="E611" s="13" t="str">
        <f>IF($A611="","",[1]!thsiFinD("ths_adjustment_nv_fund",E$3,$A611))</f>
        <v/>
      </c>
      <c r="F611" s="13" t="str">
        <f>IF($A611="","",[1]!thsiFinD("ths_adjustment_nv_fund",F$3,$A611))</f>
        <v/>
      </c>
      <c r="G611" s="13" t="str">
        <f>IF($A611="","",[1]!thsiFinD("ths_adjustment_nv_fund",G$3,$A611))</f>
        <v/>
      </c>
      <c r="H611" s="13" t="str">
        <f>IF($A611="","",[1]!thsiFinD("ths_adjustment_nv_fund",H$3,$A611))</f>
        <v/>
      </c>
      <c r="I611" s="13" t="str">
        <f>IF($A611="","",[1]!thsiFinD("ths_adjustment_nv_fund",I$3,$A611))</f>
        <v/>
      </c>
      <c r="J611" s="13" t="str">
        <f>IF($A611="","",[1]!thsiFinD("ths_adjustment_nv_fund",J$3,$A611))</f>
        <v/>
      </c>
      <c r="K611" s="13" t="str">
        <f>IF($A611="","",[1]!thsiFinD("ths_adjustment_nv_fund",K$3,$A611))</f>
        <v/>
      </c>
      <c r="L611" s="13" t="str">
        <f>IF($A611="","",[1]!thsiFinD("ths_adjustment_nv_fund",L$3,$A611))</f>
        <v/>
      </c>
      <c r="M611" s="13" t="str">
        <f>IF($A611="","",[1]!thsiFinD("ths_adjustment_nv_fund",M$3,$A611))</f>
        <v/>
      </c>
      <c r="N611" s="13" t="str">
        <f>IF($A611="","",[1]!thsiFinD("ths_adjustment_nv_fund",N$3,$A611))</f>
        <v/>
      </c>
      <c r="O611" s="13" t="str">
        <f>IF($A611="","",[1]!thsiFinD("ths_adjustment_nv_fund",O$3,$A611))</f>
        <v/>
      </c>
      <c r="P611" s="13" t="str">
        <f>IF($A611="","",[1]!thsiFinD("ths_adjustment_nv_fund",P$3,$A611))</f>
        <v/>
      </c>
      <c r="Q611" s="13" t="str">
        <f>IF($A611="","",[1]!thsiFinD("ths_adjustment_nv_fund",Q$3,$A611))</f>
        <v/>
      </c>
      <c r="R611" s="13" t="str">
        <f>IF($A611="","",[1]!thsiFinD("ths_adjustment_nv_fund",R$3,$A611))</f>
        <v/>
      </c>
      <c r="S611" s="13" t="str">
        <f>IF($A611="","",[1]!thsiFinD("ths_adjustment_nv_fund",S$3,$A611))</f>
        <v/>
      </c>
      <c r="T611" s="13" t="str">
        <f>IF($A611="","",[1]!thsiFinD("ths_adjustment_nv_fund",T$3,$A611))</f>
        <v/>
      </c>
      <c r="U611" s="13" t="str">
        <f>IF($A611="","",[1]!thsiFinD("ths_adjustment_nv_fund",U$3,$A611))</f>
        <v/>
      </c>
      <c r="V611" s="13" t="str">
        <f>IF($A611="","",[1]!thsiFinD("ths_adjustment_nv_fund",V$3,$A611))</f>
        <v/>
      </c>
      <c r="W611" s="13" t="str">
        <f>IF($A611="","",[1]!thsiFinD("ths_adjustment_nv_fund",W$3,$A611))</f>
        <v/>
      </c>
      <c r="X611" s="13" t="str">
        <f>IF($A611="","",[1]!thsiFinD("ths_adjustment_nv_fund",X$3,$A611))</f>
        <v/>
      </c>
      <c r="Y611" s="13" t="str">
        <f>IF($A611="","",[1]!thsiFinD("ths_adjustment_nv_fund",Y$3,$A611))</f>
        <v/>
      </c>
      <c r="Z611" s="13" t="str">
        <f>IF($A611="","",[1]!thsiFinD("ths_adjustment_nv_fund",Z$3,$A611))</f>
        <v/>
      </c>
      <c r="AA611" s="13" t="str">
        <f>IF($A611="","",[1]!thsiFinD("ths_adjustment_nv_fund",AA$3,$A611))</f>
        <v/>
      </c>
      <c r="AB611" s="13">
        <f>IF($A611="","",[1]!thsiFinD("ths_adjustment_nv_fund",AB$3,$A611))</f>
        <v/>
      </c>
      <c r="AC611" s="13">
        <f>IF($A611="","",[1]!thsiFinD("ths_adjustment_nv_fund",AC$3,$A611))</f>
        <v/>
      </c>
      <c r="AD611" s="13">
        <f>IF($A611="","",[1]!thsiFinD("ths_adjustment_nv_fund",AD$3,$A611))</f>
        <v/>
      </c>
      <c r="AE611" s="13">
        <f>IF($A611="","",[1]!thsiFinD("ths_adjustment_nv_fund",AE$3,$A611))</f>
        <v/>
      </c>
      <c r="AF611" s="13">
        <f>IF($A611="","",[1]!thsiFinD("ths_adjustment_nv_fund",AF$3,$A611))</f>
        <v/>
      </c>
      <c r="AG611" s="13">
        <f>IF($A611="","",[1]!thsiFinD("ths_adjustment_nv_fund",AG$3,$A611))</f>
        <v/>
      </c>
      <c r="AH611" s="13">
        <f>IF($A611="","",[1]!thsiFinD("ths_adjustment_nv_fund",AH$3,$A611))</f>
        <v/>
      </c>
      <c r="AI611" s="13">
        <f>IF($A611="","",[1]!thsiFinD("ths_adjustment_nv_fund",AI$3,$A611))</f>
        <v/>
      </c>
      <c r="AJ611" s="13">
        <f>IF($A611="","",[1]!thsiFinD("ths_adjustment_nv_fund",AJ$3,$A611))</f>
        <v/>
      </c>
      <c r="AK611" s="13">
        <f>IF($A611="","",[1]!thsiFinD("ths_adjustment_nv_fund",AK$3,$A611))</f>
        <v/>
      </c>
      <c r="AL611" s="13">
        <f>IF($A611="","",[1]!thsiFinD("ths_adjustment_nv_fund",AL$3,$A611))</f>
        <v/>
      </c>
    </row>
    <row r="612" spans="2:28">
      <c r="B612" s="13" t="str">
        <f>IF($A612="","",[1]!thsiFinD("ths_adjustment_nv_fund",B$3,$A612))</f>
        <v/>
      </c>
      <c r="C612" s="13" t="str">
        <f>IF($A612="","",[1]!thsiFinD("ths_adjustment_nv_fund",C$3,$A612))</f>
        <v/>
      </c>
      <c r="D612" s="13" t="str">
        <f>IF($A612="","",[1]!thsiFinD("ths_adjustment_nv_fund",D$3,$A612))</f>
        <v/>
      </c>
      <c r="E612" s="13" t="str">
        <f>IF($A612="","",[1]!thsiFinD("ths_adjustment_nv_fund",E$3,$A612))</f>
        <v/>
      </c>
      <c r="F612" s="13" t="str">
        <f>IF($A612="","",[1]!thsiFinD("ths_adjustment_nv_fund",F$3,$A612))</f>
        <v/>
      </c>
      <c r="G612" s="13" t="str">
        <f>IF($A612="","",[1]!thsiFinD("ths_adjustment_nv_fund",G$3,$A612))</f>
        <v/>
      </c>
      <c r="H612" s="13" t="str">
        <f>IF($A612="","",[1]!thsiFinD("ths_adjustment_nv_fund",H$3,$A612))</f>
        <v/>
      </c>
      <c r="I612" s="13" t="str">
        <f>IF($A612="","",[1]!thsiFinD("ths_adjustment_nv_fund",I$3,$A612))</f>
        <v/>
      </c>
      <c r="J612" s="13" t="str">
        <f>IF($A612="","",[1]!thsiFinD("ths_adjustment_nv_fund",J$3,$A612))</f>
        <v/>
      </c>
      <c r="K612" s="13" t="str">
        <f>IF($A612="","",[1]!thsiFinD("ths_adjustment_nv_fund",K$3,$A612))</f>
        <v/>
      </c>
      <c r="L612" s="13" t="str">
        <f>IF($A612="","",[1]!thsiFinD("ths_adjustment_nv_fund",L$3,$A612))</f>
        <v/>
      </c>
      <c r="M612" s="13" t="str">
        <f>IF($A612="","",[1]!thsiFinD("ths_adjustment_nv_fund",M$3,$A612))</f>
        <v/>
      </c>
      <c r="N612" s="13" t="str">
        <f>IF($A612="","",[1]!thsiFinD("ths_adjustment_nv_fund",N$3,$A612))</f>
        <v/>
      </c>
      <c r="O612" s="13" t="str">
        <f>IF($A612="","",[1]!thsiFinD("ths_adjustment_nv_fund",O$3,$A612))</f>
        <v/>
      </c>
      <c r="P612" s="13" t="str">
        <f>IF($A612="","",[1]!thsiFinD("ths_adjustment_nv_fund",P$3,$A612))</f>
        <v/>
      </c>
      <c r="Q612" s="13" t="str">
        <f>IF($A612="","",[1]!thsiFinD("ths_adjustment_nv_fund",Q$3,$A612))</f>
        <v/>
      </c>
      <c r="R612" s="13" t="str">
        <f>IF($A612="","",[1]!thsiFinD("ths_adjustment_nv_fund",R$3,$A612))</f>
        <v/>
      </c>
      <c r="S612" s="13" t="str">
        <f>IF($A612="","",[1]!thsiFinD("ths_adjustment_nv_fund",S$3,$A612))</f>
        <v/>
      </c>
      <c r="T612" s="13" t="str">
        <f>IF($A612="","",[1]!thsiFinD("ths_adjustment_nv_fund",T$3,$A612))</f>
        <v/>
      </c>
      <c r="U612" s="13" t="str">
        <f>IF($A612="","",[1]!thsiFinD("ths_adjustment_nv_fund",U$3,$A612))</f>
        <v/>
      </c>
      <c r="V612" s="13" t="str">
        <f>IF($A612="","",[1]!thsiFinD("ths_adjustment_nv_fund",V$3,$A612))</f>
        <v/>
      </c>
      <c r="W612" s="13" t="str">
        <f>IF($A612="","",[1]!thsiFinD("ths_adjustment_nv_fund",W$3,$A612))</f>
        <v/>
      </c>
      <c r="X612" s="13" t="str">
        <f>IF($A612="","",[1]!thsiFinD("ths_adjustment_nv_fund",X$3,$A612))</f>
        <v/>
      </c>
      <c r="Y612" s="13" t="str">
        <f>IF($A612="","",[1]!thsiFinD("ths_adjustment_nv_fund",Y$3,$A612))</f>
        <v/>
      </c>
      <c r="Z612" s="13" t="str">
        <f>IF($A612="","",[1]!thsiFinD("ths_adjustment_nv_fund",Z$3,$A612))</f>
        <v/>
      </c>
      <c r="AA612" s="13" t="str">
        <f>IF($A612="","",[1]!thsiFinD("ths_adjustment_nv_fund",AA$3,$A612))</f>
        <v/>
      </c>
      <c r="AB612" s="13">
        <f>IF($A612="","",[1]!thsiFinD("ths_adjustment_nv_fund",AB$3,$A612))</f>
        <v/>
      </c>
      <c r="AC612" s="13">
        <f>IF($A612="","",[1]!thsiFinD("ths_adjustment_nv_fund",AC$3,$A612))</f>
        <v/>
      </c>
      <c r="AD612" s="13">
        <f>IF($A612="","",[1]!thsiFinD("ths_adjustment_nv_fund",AD$3,$A612))</f>
        <v/>
      </c>
      <c r="AE612" s="13">
        <f>IF($A612="","",[1]!thsiFinD("ths_adjustment_nv_fund",AE$3,$A612))</f>
        <v/>
      </c>
      <c r="AF612" s="13">
        <f>IF($A612="","",[1]!thsiFinD("ths_adjustment_nv_fund",AF$3,$A612))</f>
        <v/>
      </c>
      <c r="AG612" s="13">
        <f>IF($A612="","",[1]!thsiFinD("ths_adjustment_nv_fund",AG$3,$A612))</f>
        <v/>
      </c>
      <c r="AH612" s="13">
        <f>IF($A612="","",[1]!thsiFinD("ths_adjustment_nv_fund",AH$3,$A612))</f>
        <v/>
      </c>
      <c r="AI612" s="13">
        <f>IF($A612="","",[1]!thsiFinD("ths_adjustment_nv_fund",AI$3,$A612))</f>
        <v/>
      </c>
      <c r="AJ612" s="13">
        <f>IF($A612="","",[1]!thsiFinD("ths_adjustment_nv_fund",AJ$3,$A612))</f>
        <v/>
      </c>
      <c r="AK612" s="13">
        <f>IF($A612="","",[1]!thsiFinD("ths_adjustment_nv_fund",AK$3,$A612))</f>
        <v/>
      </c>
      <c r="AL612" s="13">
        <f>IF($A612="","",[1]!thsiFinD("ths_adjustment_nv_fund",AL$3,$A612))</f>
        <v/>
      </c>
    </row>
    <row r="613" spans="2:28">
      <c r="B613" s="13" t="str">
        <f>IF($A613="","",[1]!thsiFinD("ths_adjustment_nv_fund",B$3,$A613))</f>
        <v/>
      </c>
      <c r="C613" s="13" t="str">
        <f>IF($A613="","",[1]!thsiFinD("ths_adjustment_nv_fund",C$3,$A613))</f>
        <v/>
      </c>
      <c r="D613" s="13" t="str">
        <f>IF($A613="","",[1]!thsiFinD("ths_adjustment_nv_fund",D$3,$A613))</f>
        <v/>
      </c>
      <c r="E613" s="13" t="str">
        <f>IF($A613="","",[1]!thsiFinD("ths_adjustment_nv_fund",E$3,$A613))</f>
        <v/>
      </c>
      <c r="F613" s="13" t="str">
        <f>IF($A613="","",[1]!thsiFinD("ths_adjustment_nv_fund",F$3,$A613))</f>
        <v/>
      </c>
      <c r="G613" s="13" t="str">
        <f>IF($A613="","",[1]!thsiFinD("ths_adjustment_nv_fund",G$3,$A613))</f>
        <v/>
      </c>
      <c r="H613" s="13" t="str">
        <f>IF($A613="","",[1]!thsiFinD("ths_adjustment_nv_fund",H$3,$A613))</f>
        <v/>
      </c>
      <c r="I613" s="13" t="str">
        <f>IF($A613="","",[1]!thsiFinD("ths_adjustment_nv_fund",I$3,$A613))</f>
        <v/>
      </c>
      <c r="J613" s="13" t="str">
        <f>IF($A613="","",[1]!thsiFinD("ths_adjustment_nv_fund",J$3,$A613))</f>
        <v/>
      </c>
      <c r="K613" s="13" t="str">
        <f>IF($A613="","",[1]!thsiFinD("ths_adjustment_nv_fund",K$3,$A613))</f>
        <v/>
      </c>
      <c r="L613" s="13" t="str">
        <f>IF($A613="","",[1]!thsiFinD("ths_adjustment_nv_fund",L$3,$A613))</f>
        <v/>
      </c>
      <c r="M613" s="13" t="str">
        <f>IF($A613="","",[1]!thsiFinD("ths_adjustment_nv_fund",M$3,$A613))</f>
        <v/>
      </c>
      <c r="N613" s="13" t="str">
        <f>IF($A613="","",[1]!thsiFinD("ths_adjustment_nv_fund",N$3,$A613))</f>
        <v/>
      </c>
      <c r="O613" s="13" t="str">
        <f>IF($A613="","",[1]!thsiFinD("ths_adjustment_nv_fund",O$3,$A613))</f>
        <v/>
      </c>
      <c r="P613" s="13" t="str">
        <f>IF($A613="","",[1]!thsiFinD("ths_adjustment_nv_fund",P$3,$A613))</f>
        <v/>
      </c>
      <c r="Q613" s="13" t="str">
        <f>IF($A613="","",[1]!thsiFinD("ths_adjustment_nv_fund",Q$3,$A613))</f>
        <v/>
      </c>
      <c r="R613" s="13" t="str">
        <f>IF($A613="","",[1]!thsiFinD("ths_adjustment_nv_fund",R$3,$A613))</f>
        <v/>
      </c>
      <c r="S613" s="13" t="str">
        <f>IF($A613="","",[1]!thsiFinD("ths_adjustment_nv_fund",S$3,$A613))</f>
        <v/>
      </c>
      <c r="T613" s="13" t="str">
        <f>IF($A613="","",[1]!thsiFinD("ths_adjustment_nv_fund",T$3,$A613))</f>
        <v/>
      </c>
      <c r="U613" s="13" t="str">
        <f>IF($A613="","",[1]!thsiFinD("ths_adjustment_nv_fund",U$3,$A613))</f>
        <v/>
      </c>
      <c r="V613" s="13" t="str">
        <f>IF($A613="","",[1]!thsiFinD("ths_adjustment_nv_fund",V$3,$A613))</f>
        <v/>
      </c>
      <c r="W613" s="13" t="str">
        <f>IF($A613="","",[1]!thsiFinD("ths_adjustment_nv_fund",W$3,$A613))</f>
        <v/>
      </c>
      <c r="X613" s="13" t="str">
        <f>IF($A613="","",[1]!thsiFinD("ths_adjustment_nv_fund",X$3,$A613))</f>
        <v/>
      </c>
      <c r="Y613" s="13" t="str">
        <f>IF($A613="","",[1]!thsiFinD("ths_adjustment_nv_fund",Y$3,$A613))</f>
        <v/>
      </c>
      <c r="Z613" s="13" t="str">
        <f>IF($A613="","",[1]!thsiFinD("ths_adjustment_nv_fund",Z$3,$A613))</f>
        <v/>
      </c>
      <c r="AA613" s="13" t="str">
        <f>IF($A613="","",[1]!thsiFinD("ths_adjustment_nv_fund",AA$3,$A613))</f>
        <v/>
      </c>
      <c r="AB613" s="13">
        <f>IF($A613="","",[1]!thsiFinD("ths_adjustment_nv_fund",AB$3,$A613))</f>
        <v/>
      </c>
      <c r="AC613" s="13">
        <f>IF($A613="","",[1]!thsiFinD("ths_adjustment_nv_fund",AC$3,$A613))</f>
        <v/>
      </c>
      <c r="AD613" s="13">
        <f>IF($A613="","",[1]!thsiFinD("ths_adjustment_nv_fund",AD$3,$A613))</f>
        <v/>
      </c>
      <c r="AE613" s="13">
        <f>IF($A613="","",[1]!thsiFinD("ths_adjustment_nv_fund",AE$3,$A613))</f>
        <v/>
      </c>
      <c r="AF613" s="13">
        <f>IF($A613="","",[1]!thsiFinD("ths_adjustment_nv_fund",AF$3,$A613))</f>
        <v/>
      </c>
      <c r="AG613" s="13">
        <f>IF($A613="","",[1]!thsiFinD("ths_adjustment_nv_fund",AG$3,$A613))</f>
        <v/>
      </c>
      <c r="AH613" s="13">
        <f>IF($A613="","",[1]!thsiFinD("ths_adjustment_nv_fund",AH$3,$A613))</f>
        <v/>
      </c>
      <c r="AI613" s="13">
        <f>IF($A613="","",[1]!thsiFinD("ths_adjustment_nv_fund",AI$3,$A613))</f>
        <v/>
      </c>
      <c r="AJ613" s="13">
        <f>IF($A613="","",[1]!thsiFinD("ths_adjustment_nv_fund",AJ$3,$A613))</f>
        <v/>
      </c>
      <c r="AK613" s="13">
        <f>IF($A613="","",[1]!thsiFinD("ths_adjustment_nv_fund",AK$3,$A613))</f>
        <v/>
      </c>
      <c r="AL613" s="13">
        <f>IF($A613="","",[1]!thsiFinD("ths_adjustment_nv_fund",AL$3,$A613))</f>
        <v/>
      </c>
    </row>
    <row r="614" spans="2:28">
      <c r="B614" s="13" t="str">
        <f>IF($A614="","",[1]!thsiFinD("ths_adjustment_nv_fund",B$3,$A614))</f>
        <v/>
      </c>
      <c r="C614" s="13" t="str">
        <f>IF($A614="","",[1]!thsiFinD("ths_adjustment_nv_fund",C$3,$A614))</f>
        <v/>
      </c>
      <c r="D614" s="13" t="str">
        <f>IF($A614="","",[1]!thsiFinD("ths_adjustment_nv_fund",D$3,$A614))</f>
        <v/>
      </c>
      <c r="E614" s="13" t="str">
        <f>IF($A614="","",[1]!thsiFinD("ths_adjustment_nv_fund",E$3,$A614))</f>
        <v/>
      </c>
      <c r="F614" s="13" t="str">
        <f>IF($A614="","",[1]!thsiFinD("ths_adjustment_nv_fund",F$3,$A614))</f>
        <v/>
      </c>
      <c r="G614" s="13" t="str">
        <f>IF($A614="","",[1]!thsiFinD("ths_adjustment_nv_fund",G$3,$A614))</f>
        <v/>
      </c>
      <c r="H614" s="13" t="str">
        <f>IF($A614="","",[1]!thsiFinD("ths_adjustment_nv_fund",H$3,$A614))</f>
        <v/>
      </c>
      <c r="I614" s="13" t="str">
        <f>IF($A614="","",[1]!thsiFinD("ths_adjustment_nv_fund",I$3,$A614))</f>
        <v/>
      </c>
      <c r="J614" s="13" t="str">
        <f>IF($A614="","",[1]!thsiFinD("ths_adjustment_nv_fund",J$3,$A614))</f>
        <v/>
      </c>
      <c r="K614" s="13" t="str">
        <f>IF($A614="","",[1]!thsiFinD("ths_adjustment_nv_fund",K$3,$A614))</f>
        <v/>
      </c>
      <c r="L614" s="13" t="str">
        <f>IF($A614="","",[1]!thsiFinD("ths_adjustment_nv_fund",L$3,$A614))</f>
        <v/>
      </c>
      <c r="M614" s="13" t="str">
        <f>IF($A614="","",[1]!thsiFinD("ths_adjustment_nv_fund",M$3,$A614))</f>
        <v/>
      </c>
      <c r="N614" s="13" t="str">
        <f>IF($A614="","",[1]!thsiFinD("ths_adjustment_nv_fund",N$3,$A614))</f>
        <v/>
      </c>
      <c r="O614" s="13" t="str">
        <f>IF($A614="","",[1]!thsiFinD("ths_adjustment_nv_fund",O$3,$A614))</f>
        <v/>
      </c>
      <c r="P614" s="13" t="str">
        <f>IF($A614="","",[1]!thsiFinD("ths_adjustment_nv_fund",P$3,$A614))</f>
        <v/>
      </c>
      <c r="Q614" s="13" t="str">
        <f>IF($A614="","",[1]!thsiFinD("ths_adjustment_nv_fund",Q$3,$A614))</f>
        <v/>
      </c>
      <c r="R614" s="13" t="str">
        <f>IF($A614="","",[1]!thsiFinD("ths_adjustment_nv_fund",R$3,$A614))</f>
        <v/>
      </c>
      <c r="S614" s="13" t="str">
        <f>IF($A614="","",[1]!thsiFinD("ths_adjustment_nv_fund",S$3,$A614))</f>
        <v/>
      </c>
      <c r="T614" s="13" t="str">
        <f>IF($A614="","",[1]!thsiFinD("ths_adjustment_nv_fund",T$3,$A614))</f>
        <v/>
      </c>
      <c r="U614" s="13" t="str">
        <f>IF($A614="","",[1]!thsiFinD("ths_adjustment_nv_fund",U$3,$A614))</f>
        <v/>
      </c>
      <c r="V614" s="13" t="str">
        <f>IF($A614="","",[1]!thsiFinD("ths_adjustment_nv_fund",V$3,$A614))</f>
        <v/>
      </c>
      <c r="W614" s="13" t="str">
        <f>IF($A614="","",[1]!thsiFinD("ths_adjustment_nv_fund",W$3,$A614))</f>
        <v/>
      </c>
      <c r="X614" s="13" t="str">
        <f>IF($A614="","",[1]!thsiFinD("ths_adjustment_nv_fund",X$3,$A614))</f>
        <v/>
      </c>
      <c r="Y614" s="13" t="str">
        <f>IF($A614="","",[1]!thsiFinD("ths_adjustment_nv_fund",Y$3,$A614))</f>
        <v/>
      </c>
      <c r="Z614" s="13" t="str">
        <f>IF($A614="","",[1]!thsiFinD("ths_adjustment_nv_fund",Z$3,$A614))</f>
        <v/>
      </c>
      <c r="AA614" s="13" t="str">
        <f>IF($A614="","",[1]!thsiFinD("ths_adjustment_nv_fund",AA$3,$A614))</f>
        <v/>
      </c>
      <c r="AB614" s="13">
        <f>IF($A614="","",[1]!thsiFinD("ths_adjustment_nv_fund",AB$3,$A614))</f>
        <v/>
      </c>
      <c r="AC614" s="13">
        <f>IF($A614="","",[1]!thsiFinD("ths_adjustment_nv_fund",AC$3,$A614))</f>
        <v/>
      </c>
      <c r="AD614" s="13">
        <f>IF($A614="","",[1]!thsiFinD("ths_adjustment_nv_fund",AD$3,$A614))</f>
        <v/>
      </c>
      <c r="AE614" s="13">
        <f>IF($A614="","",[1]!thsiFinD("ths_adjustment_nv_fund",AE$3,$A614))</f>
        <v/>
      </c>
      <c r="AF614" s="13">
        <f>IF($A614="","",[1]!thsiFinD("ths_adjustment_nv_fund",AF$3,$A614))</f>
        <v/>
      </c>
      <c r="AG614" s="13">
        <f>IF($A614="","",[1]!thsiFinD("ths_adjustment_nv_fund",AG$3,$A614))</f>
        <v/>
      </c>
      <c r="AH614" s="13">
        <f>IF($A614="","",[1]!thsiFinD("ths_adjustment_nv_fund",AH$3,$A614))</f>
        <v/>
      </c>
      <c r="AI614" s="13">
        <f>IF($A614="","",[1]!thsiFinD("ths_adjustment_nv_fund",AI$3,$A614))</f>
        <v/>
      </c>
      <c r="AJ614" s="13">
        <f>IF($A614="","",[1]!thsiFinD("ths_adjustment_nv_fund",AJ$3,$A614))</f>
        <v/>
      </c>
      <c r="AK614" s="13">
        <f>IF($A614="","",[1]!thsiFinD("ths_adjustment_nv_fund",AK$3,$A614))</f>
        <v/>
      </c>
      <c r="AL614" s="13">
        <f>IF($A614="","",[1]!thsiFinD("ths_adjustment_nv_fund",AL$3,$A614))</f>
        <v/>
      </c>
    </row>
    <row r="615" spans="2:28">
      <c r="B615" s="13" t="str">
        <f>IF($A615="","",[1]!thsiFinD("ths_adjustment_nv_fund",B$3,$A615))</f>
        <v/>
      </c>
      <c r="C615" s="13" t="str">
        <f>IF($A615="","",[1]!thsiFinD("ths_adjustment_nv_fund",C$3,$A615))</f>
        <v/>
      </c>
      <c r="D615" s="13" t="str">
        <f>IF($A615="","",[1]!thsiFinD("ths_adjustment_nv_fund",D$3,$A615))</f>
        <v/>
      </c>
      <c r="E615" s="13" t="str">
        <f>IF($A615="","",[1]!thsiFinD("ths_adjustment_nv_fund",E$3,$A615))</f>
        <v/>
      </c>
      <c r="F615" s="13" t="str">
        <f>IF($A615="","",[1]!thsiFinD("ths_adjustment_nv_fund",F$3,$A615))</f>
        <v/>
      </c>
      <c r="G615" s="13" t="str">
        <f>IF($A615="","",[1]!thsiFinD("ths_adjustment_nv_fund",G$3,$A615))</f>
        <v/>
      </c>
      <c r="H615" s="13" t="str">
        <f>IF($A615="","",[1]!thsiFinD("ths_adjustment_nv_fund",H$3,$A615))</f>
        <v/>
      </c>
      <c r="I615" s="13" t="str">
        <f>IF($A615="","",[1]!thsiFinD("ths_adjustment_nv_fund",I$3,$A615))</f>
        <v/>
      </c>
      <c r="J615" s="13" t="str">
        <f>IF($A615="","",[1]!thsiFinD("ths_adjustment_nv_fund",J$3,$A615))</f>
        <v/>
      </c>
      <c r="K615" s="13" t="str">
        <f>IF($A615="","",[1]!thsiFinD("ths_adjustment_nv_fund",K$3,$A615))</f>
        <v/>
      </c>
      <c r="L615" s="13" t="str">
        <f>IF($A615="","",[1]!thsiFinD("ths_adjustment_nv_fund",L$3,$A615))</f>
        <v/>
      </c>
      <c r="M615" s="13" t="str">
        <f>IF($A615="","",[1]!thsiFinD("ths_adjustment_nv_fund",M$3,$A615))</f>
        <v/>
      </c>
      <c r="N615" s="13" t="str">
        <f>IF($A615="","",[1]!thsiFinD("ths_adjustment_nv_fund",N$3,$A615))</f>
        <v/>
      </c>
      <c r="O615" s="13" t="str">
        <f>IF($A615="","",[1]!thsiFinD("ths_adjustment_nv_fund",O$3,$A615))</f>
        <v/>
      </c>
      <c r="P615" s="13" t="str">
        <f>IF($A615="","",[1]!thsiFinD("ths_adjustment_nv_fund",P$3,$A615))</f>
        <v/>
      </c>
      <c r="Q615" s="13" t="str">
        <f>IF($A615="","",[1]!thsiFinD("ths_adjustment_nv_fund",Q$3,$A615))</f>
        <v/>
      </c>
      <c r="R615" s="13" t="str">
        <f>IF($A615="","",[1]!thsiFinD("ths_adjustment_nv_fund",R$3,$A615))</f>
        <v/>
      </c>
      <c r="S615" s="13" t="str">
        <f>IF($A615="","",[1]!thsiFinD("ths_adjustment_nv_fund",S$3,$A615))</f>
        <v/>
      </c>
      <c r="T615" s="13" t="str">
        <f>IF($A615="","",[1]!thsiFinD("ths_adjustment_nv_fund",T$3,$A615))</f>
        <v/>
      </c>
      <c r="U615" s="13" t="str">
        <f>IF($A615="","",[1]!thsiFinD("ths_adjustment_nv_fund",U$3,$A615))</f>
        <v/>
      </c>
      <c r="V615" s="13" t="str">
        <f>IF($A615="","",[1]!thsiFinD("ths_adjustment_nv_fund",V$3,$A615))</f>
        <v/>
      </c>
      <c r="W615" s="13" t="str">
        <f>IF($A615="","",[1]!thsiFinD("ths_adjustment_nv_fund",W$3,$A615))</f>
        <v/>
      </c>
      <c r="X615" s="13" t="str">
        <f>IF($A615="","",[1]!thsiFinD("ths_adjustment_nv_fund",X$3,$A615))</f>
        <v/>
      </c>
      <c r="Y615" s="13" t="str">
        <f>IF($A615="","",[1]!thsiFinD("ths_adjustment_nv_fund",Y$3,$A615))</f>
        <v/>
      </c>
      <c r="Z615" s="13" t="str">
        <f>IF($A615="","",[1]!thsiFinD("ths_adjustment_nv_fund",Z$3,$A615))</f>
        <v/>
      </c>
      <c r="AA615" s="13" t="str">
        <f>IF($A615="","",[1]!thsiFinD("ths_adjustment_nv_fund",AA$3,$A615))</f>
        <v/>
      </c>
      <c r="AB615" s="13">
        <f>IF($A615="","",[1]!thsiFinD("ths_adjustment_nv_fund",AB$3,$A615))</f>
        <v/>
      </c>
      <c r="AC615" s="13">
        <f>IF($A615="","",[1]!thsiFinD("ths_adjustment_nv_fund",AC$3,$A615))</f>
        <v/>
      </c>
      <c r="AD615" s="13">
        <f>IF($A615="","",[1]!thsiFinD("ths_adjustment_nv_fund",AD$3,$A615))</f>
        <v/>
      </c>
      <c r="AE615" s="13">
        <f>IF($A615="","",[1]!thsiFinD("ths_adjustment_nv_fund",AE$3,$A615))</f>
        <v/>
      </c>
      <c r="AF615" s="13">
        <f>IF($A615="","",[1]!thsiFinD("ths_adjustment_nv_fund",AF$3,$A615))</f>
        <v/>
      </c>
      <c r="AG615" s="13">
        <f>IF($A615="","",[1]!thsiFinD("ths_adjustment_nv_fund",AG$3,$A615))</f>
        <v/>
      </c>
      <c r="AH615" s="13">
        <f>IF($A615="","",[1]!thsiFinD("ths_adjustment_nv_fund",AH$3,$A615))</f>
        <v/>
      </c>
      <c r="AI615" s="13">
        <f>IF($A615="","",[1]!thsiFinD("ths_adjustment_nv_fund",AI$3,$A615))</f>
        <v/>
      </c>
      <c r="AJ615" s="13">
        <f>IF($A615="","",[1]!thsiFinD("ths_adjustment_nv_fund",AJ$3,$A615))</f>
        <v/>
      </c>
      <c r="AK615" s="13">
        <f>IF($A615="","",[1]!thsiFinD("ths_adjustment_nv_fund",AK$3,$A615))</f>
        <v/>
      </c>
      <c r="AL615" s="13">
        <f>IF($A615="","",[1]!thsiFinD("ths_adjustment_nv_fund",AL$3,$A615))</f>
        <v/>
      </c>
    </row>
    <row r="616" spans="2:28">
      <c r="B616" s="13" t="str">
        <f>IF($A616="","",[1]!thsiFinD("ths_adjustment_nv_fund",B$3,$A616))</f>
        <v/>
      </c>
      <c r="C616" s="13" t="str">
        <f>IF($A616="","",[1]!thsiFinD("ths_adjustment_nv_fund",C$3,$A616))</f>
        <v/>
      </c>
      <c r="D616" s="13" t="str">
        <f>IF($A616="","",[1]!thsiFinD("ths_adjustment_nv_fund",D$3,$A616))</f>
        <v/>
      </c>
      <c r="E616" s="13" t="str">
        <f>IF($A616="","",[1]!thsiFinD("ths_adjustment_nv_fund",E$3,$A616))</f>
        <v/>
      </c>
      <c r="F616" s="13" t="str">
        <f>IF($A616="","",[1]!thsiFinD("ths_adjustment_nv_fund",F$3,$A616))</f>
        <v/>
      </c>
      <c r="G616" s="13" t="str">
        <f>IF($A616="","",[1]!thsiFinD("ths_adjustment_nv_fund",G$3,$A616))</f>
        <v/>
      </c>
      <c r="H616" s="13" t="str">
        <f>IF($A616="","",[1]!thsiFinD("ths_adjustment_nv_fund",H$3,$A616))</f>
        <v/>
      </c>
      <c r="I616" s="13" t="str">
        <f>IF($A616="","",[1]!thsiFinD("ths_adjustment_nv_fund",I$3,$A616))</f>
        <v/>
      </c>
      <c r="J616" s="13" t="str">
        <f>IF($A616="","",[1]!thsiFinD("ths_adjustment_nv_fund",J$3,$A616))</f>
        <v/>
      </c>
      <c r="K616" s="13" t="str">
        <f>IF($A616="","",[1]!thsiFinD("ths_adjustment_nv_fund",K$3,$A616))</f>
        <v/>
      </c>
      <c r="L616" s="13" t="str">
        <f>IF($A616="","",[1]!thsiFinD("ths_adjustment_nv_fund",L$3,$A616))</f>
        <v/>
      </c>
      <c r="M616" s="13" t="str">
        <f>IF($A616="","",[1]!thsiFinD("ths_adjustment_nv_fund",M$3,$A616))</f>
        <v/>
      </c>
      <c r="N616" s="13" t="str">
        <f>IF($A616="","",[1]!thsiFinD("ths_adjustment_nv_fund",N$3,$A616))</f>
        <v/>
      </c>
      <c r="O616" s="13" t="str">
        <f>IF($A616="","",[1]!thsiFinD("ths_adjustment_nv_fund",O$3,$A616))</f>
        <v/>
      </c>
      <c r="P616" s="13" t="str">
        <f>IF($A616="","",[1]!thsiFinD("ths_adjustment_nv_fund",P$3,$A616))</f>
        <v/>
      </c>
      <c r="Q616" s="13" t="str">
        <f>IF($A616="","",[1]!thsiFinD("ths_adjustment_nv_fund",Q$3,$A616))</f>
        <v/>
      </c>
      <c r="R616" s="13" t="str">
        <f>IF($A616="","",[1]!thsiFinD("ths_adjustment_nv_fund",R$3,$A616))</f>
        <v/>
      </c>
      <c r="S616" s="13" t="str">
        <f>IF($A616="","",[1]!thsiFinD("ths_adjustment_nv_fund",S$3,$A616))</f>
        <v/>
      </c>
      <c r="T616" s="13" t="str">
        <f>IF($A616="","",[1]!thsiFinD("ths_adjustment_nv_fund",T$3,$A616))</f>
        <v/>
      </c>
      <c r="U616" s="13" t="str">
        <f>IF($A616="","",[1]!thsiFinD("ths_adjustment_nv_fund",U$3,$A616))</f>
        <v/>
      </c>
      <c r="V616" s="13" t="str">
        <f>IF($A616="","",[1]!thsiFinD("ths_adjustment_nv_fund",V$3,$A616))</f>
        <v/>
      </c>
      <c r="W616" s="13" t="str">
        <f>IF($A616="","",[1]!thsiFinD("ths_adjustment_nv_fund",W$3,$A616))</f>
        <v/>
      </c>
      <c r="X616" s="13" t="str">
        <f>IF($A616="","",[1]!thsiFinD("ths_adjustment_nv_fund",X$3,$A616))</f>
        <v/>
      </c>
      <c r="Y616" s="13" t="str">
        <f>IF($A616="","",[1]!thsiFinD("ths_adjustment_nv_fund",Y$3,$A616))</f>
        <v/>
      </c>
      <c r="Z616" s="13" t="str">
        <f>IF($A616="","",[1]!thsiFinD("ths_adjustment_nv_fund",Z$3,$A616))</f>
        <v/>
      </c>
      <c r="AA616" s="13" t="str">
        <f>IF($A616="","",[1]!thsiFinD("ths_adjustment_nv_fund",AA$3,$A616))</f>
        <v/>
      </c>
      <c r="AB616" s="13">
        <f>IF($A616="","",[1]!thsiFinD("ths_adjustment_nv_fund",AB$3,$A616))</f>
        <v/>
      </c>
      <c r="AC616" s="13">
        <f>IF($A616="","",[1]!thsiFinD("ths_adjustment_nv_fund",AC$3,$A616))</f>
        <v/>
      </c>
      <c r="AD616" s="13">
        <f>IF($A616="","",[1]!thsiFinD("ths_adjustment_nv_fund",AD$3,$A616))</f>
        <v/>
      </c>
      <c r="AE616" s="13">
        <f>IF($A616="","",[1]!thsiFinD("ths_adjustment_nv_fund",AE$3,$A616))</f>
        <v/>
      </c>
      <c r="AF616" s="13">
        <f>IF($A616="","",[1]!thsiFinD("ths_adjustment_nv_fund",AF$3,$A616))</f>
        <v/>
      </c>
      <c r="AG616" s="13">
        <f>IF($A616="","",[1]!thsiFinD("ths_adjustment_nv_fund",AG$3,$A616))</f>
        <v/>
      </c>
      <c r="AH616" s="13">
        <f>IF($A616="","",[1]!thsiFinD("ths_adjustment_nv_fund",AH$3,$A616))</f>
        <v/>
      </c>
      <c r="AI616" s="13">
        <f>IF($A616="","",[1]!thsiFinD("ths_adjustment_nv_fund",AI$3,$A616))</f>
        <v/>
      </c>
      <c r="AJ616" s="13">
        <f>IF($A616="","",[1]!thsiFinD("ths_adjustment_nv_fund",AJ$3,$A616))</f>
        <v/>
      </c>
      <c r="AK616" s="13">
        <f>IF($A616="","",[1]!thsiFinD("ths_adjustment_nv_fund",AK$3,$A616))</f>
        <v/>
      </c>
      <c r="AL616" s="13">
        <f>IF($A616="","",[1]!thsiFinD("ths_adjustment_nv_fund",AL$3,$A616))</f>
        <v/>
      </c>
    </row>
    <row r="617" spans="2:28">
      <c r="B617" s="13" t="str">
        <f>IF($A617="","",[1]!thsiFinD("ths_adjustment_nv_fund",B$3,$A617))</f>
        <v/>
      </c>
      <c r="C617" s="13" t="str">
        <f>IF($A617="","",[1]!thsiFinD("ths_adjustment_nv_fund",C$3,$A617))</f>
        <v/>
      </c>
      <c r="D617" s="13" t="str">
        <f>IF($A617="","",[1]!thsiFinD("ths_adjustment_nv_fund",D$3,$A617))</f>
        <v/>
      </c>
      <c r="E617" s="13" t="str">
        <f>IF($A617="","",[1]!thsiFinD("ths_adjustment_nv_fund",E$3,$A617))</f>
        <v/>
      </c>
      <c r="F617" s="13" t="str">
        <f>IF($A617="","",[1]!thsiFinD("ths_adjustment_nv_fund",F$3,$A617))</f>
        <v/>
      </c>
      <c r="G617" s="13" t="str">
        <f>IF($A617="","",[1]!thsiFinD("ths_adjustment_nv_fund",G$3,$A617))</f>
        <v/>
      </c>
      <c r="H617" s="13" t="str">
        <f>IF($A617="","",[1]!thsiFinD("ths_adjustment_nv_fund",H$3,$A617))</f>
        <v/>
      </c>
      <c r="I617" s="13" t="str">
        <f>IF($A617="","",[1]!thsiFinD("ths_adjustment_nv_fund",I$3,$A617))</f>
        <v/>
      </c>
      <c r="J617" s="13" t="str">
        <f>IF($A617="","",[1]!thsiFinD("ths_adjustment_nv_fund",J$3,$A617))</f>
        <v/>
      </c>
      <c r="K617" s="13" t="str">
        <f>IF($A617="","",[1]!thsiFinD("ths_adjustment_nv_fund",K$3,$A617))</f>
        <v/>
      </c>
      <c r="L617" s="13" t="str">
        <f>IF($A617="","",[1]!thsiFinD("ths_adjustment_nv_fund",L$3,$A617))</f>
        <v/>
      </c>
      <c r="M617" s="13" t="str">
        <f>IF($A617="","",[1]!thsiFinD("ths_adjustment_nv_fund",M$3,$A617))</f>
        <v/>
      </c>
      <c r="N617" s="13" t="str">
        <f>IF($A617="","",[1]!thsiFinD("ths_adjustment_nv_fund",N$3,$A617))</f>
        <v/>
      </c>
      <c r="O617" s="13" t="str">
        <f>IF($A617="","",[1]!thsiFinD("ths_adjustment_nv_fund",O$3,$A617))</f>
        <v/>
      </c>
      <c r="P617" s="13" t="str">
        <f>IF($A617="","",[1]!thsiFinD("ths_adjustment_nv_fund",P$3,$A617))</f>
        <v/>
      </c>
      <c r="Q617" s="13" t="str">
        <f>IF($A617="","",[1]!thsiFinD("ths_adjustment_nv_fund",Q$3,$A617))</f>
        <v/>
      </c>
      <c r="R617" s="13" t="str">
        <f>IF($A617="","",[1]!thsiFinD("ths_adjustment_nv_fund",R$3,$A617))</f>
        <v/>
      </c>
      <c r="S617" s="13" t="str">
        <f>IF($A617="","",[1]!thsiFinD("ths_adjustment_nv_fund",S$3,$A617))</f>
        <v/>
      </c>
      <c r="T617" s="13" t="str">
        <f>IF($A617="","",[1]!thsiFinD("ths_adjustment_nv_fund",T$3,$A617))</f>
        <v/>
      </c>
      <c r="U617" s="13" t="str">
        <f>IF($A617="","",[1]!thsiFinD("ths_adjustment_nv_fund",U$3,$A617))</f>
        <v/>
      </c>
      <c r="V617" s="13" t="str">
        <f>IF($A617="","",[1]!thsiFinD("ths_adjustment_nv_fund",V$3,$A617))</f>
        <v/>
      </c>
      <c r="W617" s="13" t="str">
        <f>IF($A617="","",[1]!thsiFinD("ths_adjustment_nv_fund",W$3,$A617))</f>
        <v/>
      </c>
      <c r="X617" s="13" t="str">
        <f>IF($A617="","",[1]!thsiFinD("ths_adjustment_nv_fund",X$3,$A617))</f>
        <v/>
      </c>
      <c r="Y617" s="13" t="str">
        <f>IF($A617="","",[1]!thsiFinD("ths_adjustment_nv_fund",Y$3,$A617))</f>
        <v/>
      </c>
      <c r="Z617" s="13" t="str">
        <f>IF($A617="","",[1]!thsiFinD("ths_adjustment_nv_fund",Z$3,$A617))</f>
        <v/>
      </c>
      <c r="AA617" s="13" t="str">
        <f>IF($A617="","",[1]!thsiFinD("ths_adjustment_nv_fund",AA$3,$A617))</f>
        <v/>
      </c>
      <c r="AB617" s="13">
        <f>IF($A617="","",[1]!thsiFinD("ths_adjustment_nv_fund",AB$3,$A617))</f>
        <v/>
      </c>
      <c r="AC617" s="13">
        <f>IF($A617="","",[1]!thsiFinD("ths_adjustment_nv_fund",AC$3,$A617))</f>
        <v/>
      </c>
      <c r="AD617" s="13">
        <f>IF($A617="","",[1]!thsiFinD("ths_adjustment_nv_fund",AD$3,$A617))</f>
        <v/>
      </c>
      <c r="AE617" s="13">
        <f>IF($A617="","",[1]!thsiFinD("ths_adjustment_nv_fund",AE$3,$A617))</f>
        <v/>
      </c>
      <c r="AF617" s="13">
        <f>IF($A617="","",[1]!thsiFinD("ths_adjustment_nv_fund",AF$3,$A617))</f>
        <v/>
      </c>
      <c r="AG617" s="13">
        <f>IF($A617="","",[1]!thsiFinD("ths_adjustment_nv_fund",AG$3,$A617))</f>
        <v/>
      </c>
      <c r="AH617" s="13">
        <f>IF($A617="","",[1]!thsiFinD("ths_adjustment_nv_fund",AH$3,$A617))</f>
        <v/>
      </c>
      <c r="AI617" s="13">
        <f>IF($A617="","",[1]!thsiFinD("ths_adjustment_nv_fund",AI$3,$A617))</f>
        <v/>
      </c>
      <c r="AJ617" s="13">
        <f>IF($A617="","",[1]!thsiFinD("ths_adjustment_nv_fund",AJ$3,$A617))</f>
        <v/>
      </c>
      <c r="AK617" s="13">
        <f>IF($A617="","",[1]!thsiFinD("ths_adjustment_nv_fund",AK$3,$A617))</f>
        <v/>
      </c>
      <c r="AL617" s="13">
        <f>IF($A617="","",[1]!thsiFinD("ths_adjustment_nv_fund",AL$3,$A617))</f>
        <v/>
      </c>
    </row>
    <row r="618" spans="2:28">
      <c r="B618" s="13" t="str">
        <f>IF($A618="","",[1]!thsiFinD("ths_adjustment_nv_fund",B$3,$A618))</f>
        <v/>
      </c>
      <c r="C618" s="13" t="str">
        <f>IF($A618="","",[1]!thsiFinD("ths_adjustment_nv_fund",C$3,$A618))</f>
        <v/>
      </c>
      <c r="D618" s="13" t="str">
        <f>IF($A618="","",[1]!thsiFinD("ths_adjustment_nv_fund",D$3,$A618))</f>
        <v/>
      </c>
      <c r="E618" s="13" t="str">
        <f>IF($A618="","",[1]!thsiFinD("ths_adjustment_nv_fund",E$3,$A618))</f>
        <v/>
      </c>
      <c r="F618" s="13" t="str">
        <f>IF($A618="","",[1]!thsiFinD("ths_adjustment_nv_fund",F$3,$A618))</f>
        <v/>
      </c>
      <c r="G618" s="13" t="str">
        <f>IF($A618="","",[1]!thsiFinD("ths_adjustment_nv_fund",G$3,$A618))</f>
        <v/>
      </c>
      <c r="H618" s="13" t="str">
        <f>IF($A618="","",[1]!thsiFinD("ths_adjustment_nv_fund",H$3,$A618))</f>
        <v/>
      </c>
      <c r="I618" s="13" t="str">
        <f>IF($A618="","",[1]!thsiFinD("ths_adjustment_nv_fund",I$3,$A618))</f>
        <v/>
      </c>
      <c r="J618" s="13" t="str">
        <f>IF($A618="","",[1]!thsiFinD("ths_adjustment_nv_fund",J$3,$A618))</f>
        <v/>
      </c>
      <c r="K618" s="13" t="str">
        <f>IF($A618="","",[1]!thsiFinD("ths_adjustment_nv_fund",K$3,$A618))</f>
        <v/>
      </c>
      <c r="L618" s="13" t="str">
        <f>IF($A618="","",[1]!thsiFinD("ths_adjustment_nv_fund",L$3,$A618))</f>
        <v/>
      </c>
      <c r="M618" s="13" t="str">
        <f>IF($A618="","",[1]!thsiFinD("ths_adjustment_nv_fund",M$3,$A618))</f>
        <v/>
      </c>
      <c r="N618" s="13" t="str">
        <f>IF($A618="","",[1]!thsiFinD("ths_adjustment_nv_fund",N$3,$A618))</f>
        <v/>
      </c>
      <c r="O618" s="13" t="str">
        <f>IF($A618="","",[1]!thsiFinD("ths_adjustment_nv_fund",O$3,$A618))</f>
        <v/>
      </c>
      <c r="P618" s="13" t="str">
        <f>IF($A618="","",[1]!thsiFinD("ths_adjustment_nv_fund",P$3,$A618))</f>
        <v/>
      </c>
      <c r="Q618" s="13" t="str">
        <f>IF($A618="","",[1]!thsiFinD("ths_adjustment_nv_fund",Q$3,$A618))</f>
        <v/>
      </c>
      <c r="R618" s="13" t="str">
        <f>IF($A618="","",[1]!thsiFinD("ths_adjustment_nv_fund",R$3,$A618))</f>
        <v/>
      </c>
      <c r="S618" s="13" t="str">
        <f>IF($A618="","",[1]!thsiFinD("ths_adjustment_nv_fund",S$3,$A618))</f>
        <v/>
      </c>
      <c r="T618" s="13" t="str">
        <f>IF($A618="","",[1]!thsiFinD("ths_adjustment_nv_fund",T$3,$A618))</f>
        <v/>
      </c>
      <c r="U618" s="13" t="str">
        <f>IF($A618="","",[1]!thsiFinD("ths_adjustment_nv_fund",U$3,$A618))</f>
        <v/>
      </c>
      <c r="V618" s="13" t="str">
        <f>IF($A618="","",[1]!thsiFinD("ths_adjustment_nv_fund",V$3,$A618))</f>
        <v/>
      </c>
      <c r="W618" s="13" t="str">
        <f>IF($A618="","",[1]!thsiFinD("ths_adjustment_nv_fund",W$3,$A618))</f>
        <v/>
      </c>
      <c r="X618" s="13" t="str">
        <f>IF($A618="","",[1]!thsiFinD("ths_adjustment_nv_fund",X$3,$A618))</f>
        <v/>
      </c>
      <c r="Y618" s="13" t="str">
        <f>IF($A618="","",[1]!thsiFinD("ths_adjustment_nv_fund",Y$3,$A618))</f>
        <v/>
      </c>
      <c r="Z618" s="13" t="str">
        <f>IF($A618="","",[1]!thsiFinD("ths_adjustment_nv_fund",Z$3,$A618))</f>
        <v/>
      </c>
      <c r="AA618" s="13" t="str">
        <f>IF($A618="","",[1]!thsiFinD("ths_adjustment_nv_fund",AA$3,$A618))</f>
        <v/>
      </c>
      <c r="AB618" s="13">
        <f>IF($A618="","",[1]!thsiFinD("ths_adjustment_nv_fund",AB$3,$A618))</f>
        <v/>
      </c>
      <c r="AC618" s="13">
        <f>IF($A618="","",[1]!thsiFinD("ths_adjustment_nv_fund",AC$3,$A618))</f>
        <v/>
      </c>
      <c r="AD618" s="13">
        <f>IF($A618="","",[1]!thsiFinD("ths_adjustment_nv_fund",AD$3,$A618))</f>
        <v/>
      </c>
      <c r="AE618" s="13">
        <f>IF($A618="","",[1]!thsiFinD("ths_adjustment_nv_fund",AE$3,$A618))</f>
        <v/>
      </c>
      <c r="AF618" s="13">
        <f>IF($A618="","",[1]!thsiFinD("ths_adjustment_nv_fund",AF$3,$A618))</f>
        <v/>
      </c>
      <c r="AG618" s="13">
        <f>IF($A618="","",[1]!thsiFinD("ths_adjustment_nv_fund",AG$3,$A618))</f>
        <v/>
      </c>
      <c r="AH618" s="13">
        <f>IF($A618="","",[1]!thsiFinD("ths_adjustment_nv_fund",AH$3,$A618))</f>
        <v/>
      </c>
      <c r="AI618" s="13">
        <f>IF($A618="","",[1]!thsiFinD("ths_adjustment_nv_fund",AI$3,$A618))</f>
        <v/>
      </c>
      <c r="AJ618" s="13">
        <f>IF($A618="","",[1]!thsiFinD("ths_adjustment_nv_fund",AJ$3,$A618))</f>
        <v/>
      </c>
      <c r="AK618" s="13">
        <f>IF($A618="","",[1]!thsiFinD("ths_adjustment_nv_fund",AK$3,$A618))</f>
        <v/>
      </c>
      <c r="AL618" s="13">
        <f>IF($A618="","",[1]!thsiFinD("ths_adjustment_nv_fund",AL$3,$A618))</f>
        <v/>
      </c>
    </row>
    <row r="619" spans="2:28">
      <c r="B619" s="13" t="str">
        <f>IF($A619="","",[1]!thsiFinD("ths_adjustment_nv_fund",B$3,$A619))</f>
        <v/>
      </c>
      <c r="C619" s="13" t="str">
        <f>IF($A619="","",[1]!thsiFinD("ths_adjustment_nv_fund",C$3,$A619))</f>
        <v/>
      </c>
      <c r="D619" s="13" t="str">
        <f>IF($A619="","",[1]!thsiFinD("ths_adjustment_nv_fund",D$3,$A619))</f>
        <v/>
      </c>
      <c r="E619" s="13" t="str">
        <f>IF($A619="","",[1]!thsiFinD("ths_adjustment_nv_fund",E$3,$A619))</f>
        <v/>
      </c>
      <c r="F619" s="13" t="str">
        <f>IF($A619="","",[1]!thsiFinD("ths_adjustment_nv_fund",F$3,$A619))</f>
        <v/>
      </c>
      <c r="G619" s="13" t="str">
        <f>IF($A619="","",[1]!thsiFinD("ths_adjustment_nv_fund",G$3,$A619))</f>
        <v/>
      </c>
      <c r="H619" s="13" t="str">
        <f>IF($A619="","",[1]!thsiFinD("ths_adjustment_nv_fund",H$3,$A619))</f>
        <v/>
      </c>
      <c r="I619" s="13" t="str">
        <f>IF($A619="","",[1]!thsiFinD("ths_adjustment_nv_fund",I$3,$A619))</f>
        <v/>
      </c>
      <c r="J619" s="13" t="str">
        <f>IF($A619="","",[1]!thsiFinD("ths_adjustment_nv_fund",J$3,$A619))</f>
        <v/>
      </c>
      <c r="K619" s="13" t="str">
        <f>IF($A619="","",[1]!thsiFinD("ths_adjustment_nv_fund",K$3,$A619))</f>
        <v/>
      </c>
      <c r="L619" s="13" t="str">
        <f>IF($A619="","",[1]!thsiFinD("ths_adjustment_nv_fund",L$3,$A619))</f>
        <v/>
      </c>
      <c r="M619" s="13" t="str">
        <f>IF($A619="","",[1]!thsiFinD("ths_adjustment_nv_fund",M$3,$A619))</f>
        <v/>
      </c>
      <c r="N619" s="13" t="str">
        <f>IF($A619="","",[1]!thsiFinD("ths_adjustment_nv_fund",N$3,$A619))</f>
        <v/>
      </c>
      <c r="O619" s="13" t="str">
        <f>IF($A619="","",[1]!thsiFinD("ths_adjustment_nv_fund",O$3,$A619))</f>
        <v/>
      </c>
      <c r="P619" s="13" t="str">
        <f>IF($A619="","",[1]!thsiFinD("ths_adjustment_nv_fund",P$3,$A619))</f>
        <v/>
      </c>
      <c r="Q619" s="13" t="str">
        <f>IF($A619="","",[1]!thsiFinD("ths_adjustment_nv_fund",Q$3,$A619))</f>
        <v/>
      </c>
      <c r="R619" s="13" t="str">
        <f>IF($A619="","",[1]!thsiFinD("ths_adjustment_nv_fund",R$3,$A619))</f>
        <v/>
      </c>
      <c r="S619" s="13" t="str">
        <f>IF($A619="","",[1]!thsiFinD("ths_adjustment_nv_fund",S$3,$A619))</f>
        <v/>
      </c>
      <c r="T619" s="13" t="str">
        <f>IF($A619="","",[1]!thsiFinD("ths_adjustment_nv_fund",T$3,$A619))</f>
        <v/>
      </c>
      <c r="U619" s="13" t="str">
        <f>IF($A619="","",[1]!thsiFinD("ths_adjustment_nv_fund",U$3,$A619))</f>
        <v/>
      </c>
      <c r="V619" s="13" t="str">
        <f>IF($A619="","",[1]!thsiFinD("ths_adjustment_nv_fund",V$3,$A619))</f>
        <v/>
      </c>
      <c r="W619" s="13" t="str">
        <f>IF($A619="","",[1]!thsiFinD("ths_adjustment_nv_fund",W$3,$A619))</f>
        <v/>
      </c>
      <c r="X619" s="13" t="str">
        <f>IF($A619="","",[1]!thsiFinD("ths_adjustment_nv_fund",X$3,$A619))</f>
        <v/>
      </c>
      <c r="Y619" s="13" t="str">
        <f>IF($A619="","",[1]!thsiFinD("ths_adjustment_nv_fund",Y$3,$A619))</f>
        <v/>
      </c>
      <c r="Z619" s="13" t="str">
        <f>IF($A619="","",[1]!thsiFinD("ths_adjustment_nv_fund",Z$3,$A619))</f>
        <v/>
      </c>
      <c r="AA619" s="13" t="str">
        <f>IF($A619="","",[1]!thsiFinD("ths_adjustment_nv_fund",AA$3,$A619))</f>
        <v/>
      </c>
      <c r="AB619" s="13">
        <f>IF($A619="","",[1]!thsiFinD("ths_adjustment_nv_fund",AB$3,$A619))</f>
        <v/>
      </c>
      <c r="AC619" s="13">
        <f>IF($A619="","",[1]!thsiFinD("ths_adjustment_nv_fund",AC$3,$A619))</f>
        <v/>
      </c>
      <c r="AD619" s="13">
        <f>IF($A619="","",[1]!thsiFinD("ths_adjustment_nv_fund",AD$3,$A619))</f>
        <v/>
      </c>
      <c r="AE619" s="13">
        <f>IF($A619="","",[1]!thsiFinD("ths_adjustment_nv_fund",AE$3,$A619))</f>
        <v/>
      </c>
      <c r="AF619" s="13">
        <f>IF($A619="","",[1]!thsiFinD("ths_adjustment_nv_fund",AF$3,$A619))</f>
        <v/>
      </c>
      <c r="AG619" s="13">
        <f>IF($A619="","",[1]!thsiFinD("ths_adjustment_nv_fund",AG$3,$A619))</f>
        <v/>
      </c>
      <c r="AH619" s="13">
        <f>IF($A619="","",[1]!thsiFinD("ths_adjustment_nv_fund",AH$3,$A619))</f>
        <v/>
      </c>
      <c r="AI619" s="13">
        <f>IF($A619="","",[1]!thsiFinD("ths_adjustment_nv_fund",AI$3,$A619))</f>
        <v/>
      </c>
      <c r="AJ619" s="13">
        <f>IF($A619="","",[1]!thsiFinD("ths_adjustment_nv_fund",AJ$3,$A619))</f>
        <v/>
      </c>
      <c r="AK619" s="13">
        <f>IF($A619="","",[1]!thsiFinD("ths_adjustment_nv_fund",AK$3,$A619))</f>
        <v/>
      </c>
      <c r="AL619" s="13">
        <f>IF($A619="","",[1]!thsiFinD("ths_adjustment_nv_fund",AL$3,$A619))</f>
        <v/>
      </c>
    </row>
    <row r="620" spans="2:28">
      <c r="B620" s="13" t="str">
        <f>IF($A620="","",[1]!thsiFinD("ths_adjustment_nv_fund",B$3,$A620))</f>
        <v/>
      </c>
      <c r="C620" s="13" t="str">
        <f>IF($A620="","",[1]!thsiFinD("ths_adjustment_nv_fund",C$3,$A620))</f>
        <v/>
      </c>
      <c r="D620" s="13" t="str">
        <f>IF($A620="","",[1]!thsiFinD("ths_adjustment_nv_fund",D$3,$A620))</f>
        <v/>
      </c>
      <c r="E620" s="13" t="str">
        <f>IF($A620="","",[1]!thsiFinD("ths_adjustment_nv_fund",E$3,$A620))</f>
        <v/>
      </c>
      <c r="F620" s="13" t="str">
        <f>IF($A620="","",[1]!thsiFinD("ths_adjustment_nv_fund",F$3,$A620))</f>
        <v/>
      </c>
      <c r="G620" s="13" t="str">
        <f>IF($A620="","",[1]!thsiFinD("ths_adjustment_nv_fund",G$3,$A620))</f>
        <v/>
      </c>
      <c r="H620" s="13" t="str">
        <f>IF($A620="","",[1]!thsiFinD("ths_adjustment_nv_fund",H$3,$A620))</f>
        <v/>
      </c>
      <c r="I620" s="13" t="str">
        <f>IF($A620="","",[1]!thsiFinD("ths_adjustment_nv_fund",I$3,$A620))</f>
        <v/>
      </c>
      <c r="J620" s="13" t="str">
        <f>IF($A620="","",[1]!thsiFinD("ths_adjustment_nv_fund",J$3,$A620))</f>
        <v/>
      </c>
      <c r="K620" s="13" t="str">
        <f>IF($A620="","",[1]!thsiFinD("ths_adjustment_nv_fund",K$3,$A620))</f>
        <v/>
      </c>
      <c r="L620" s="13" t="str">
        <f>IF($A620="","",[1]!thsiFinD("ths_adjustment_nv_fund",L$3,$A620))</f>
        <v/>
      </c>
      <c r="M620" s="13" t="str">
        <f>IF($A620="","",[1]!thsiFinD("ths_adjustment_nv_fund",M$3,$A620))</f>
        <v/>
      </c>
      <c r="N620" s="13" t="str">
        <f>IF($A620="","",[1]!thsiFinD("ths_adjustment_nv_fund",N$3,$A620))</f>
        <v/>
      </c>
      <c r="O620" s="13" t="str">
        <f>IF($A620="","",[1]!thsiFinD("ths_adjustment_nv_fund",O$3,$A620))</f>
        <v/>
      </c>
      <c r="P620" s="13" t="str">
        <f>IF($A620="","",[1]!thsiFinD("ths_adjustment_nv_fund",P$3,$A620))</f>
        <v/>
      </c>
      <c r="Q620" s="13" t="str">
        <f>IF($A620="","",[1]!thsiFinD("ths_adjustment_nv_fund",Q$3,$A620))</f>
        <v/>
      </c>
      <c r="R620" s="13" t="str">
        <f>IF($A620="","",[1]!thsiFinD("ths_adjustment_nv_fund",R$3,$A620))</f>
        <v/>
      </c>
      <c r="S620" s="13" t="str">
        <f>IF($A620="","",[1]!thsiFinD("ths_adjustment_nv_fund",S$3,$A620))</f>
        <v/>
      </c>
      <c r="T620" s="13" t="str">
        <f>IF($A620="","",[1]!thsiFinD("ths_adjustment_nv_fund",T$3,$A620))</f>
        <v/>
      </c>
      <c r="U620" s="13" t="str">
        <f>IF($A620="","",[1]!thsiFinD("ths_adjustment_nv_fund",U$3,$A620))</f>
        <v/>
      </c>
      <c r="V620" s="13" t="str">
        <f>IF($A620="","",[1]!thsiFinD("ths_adjustment_nv_fund",V$3,$A620))</f>
        <v/>
      </c>
      <c r="W620" s="13" t="str">
        <f>IF($A620="","",[1]!thsiFinD("ths_adjustment_nv_fund",W$3,$A620))</f>
        <v/>
      </c>
      <c r="X620" s="13" t="str">
        <f>IF($A620="","",[1]!thsiFinD("ths_adjustment_nv_fund",X$3,$A620))</f>
        <v/>
      </c>
      <c r="Y620" s="13" t="str">
        <f>IF($A620="","",[1]!thsiFinD("ths_adjustment_nv_fund",Y$3,$A620))</f>
        <v/>
      </c>
      <c r="Z620" s="13" t="str">
        <f>IF($A620="","",[1]!thsiFinD("ths_adjustment_nv_fund",Z$3,$A620))</f>
        <v/>
      </c>
      <c r="AA620" s="13" t="str">
        <f>IF($A620="","",[1]!thsiFinD("ths_adjustment_nv_fund",AA$3,$A620))</f>
        <v/>
      </c>
      <c r="AB620" s="13">
        <f>IF($A620="","",[1]!thsiFinD("ths_adjustment_nv_fund",AB$3,$A620))</f>
        <v/>
      </c>
      <c r="AC620" s="13">
        <f>IF($A620="","",[1]!thsiFinD("ths_adjustment_nv_fund",AC$3,$A620))</f>
        <v/>
      </c>
      <c r="AD620" s="13">
        <f>IF($A620="","",[1]!thsiFinD("ths_adjustment_nv_fund",AD$3,$A620))</f>
        <v/>
      </c>
      <c r="AE620" s="13">
        <f>IF($A620="","",[1]!thsiFinD("ths_adjustment_nv_fund",AE$3,$A620))</f>
        <v/>
      </c>
      <c r="AF620" s="13">
        <f>IF($A620="","",[1]!thsiFinD("ths_adjustment_nv_fund",AF$3,$A620))</f>
        <v/>
      </c>
      <c r="AG620" s="13">
        <f>IF($A620="","",[1]!thsiFinD("ths_adjustment_nv_fund",AG$3,$A620))</f>
        <v/>
      </c>
      <c r="AH620" s="13">
        <f>IF($A620="","",[1]!thsiFinD("ths_adjustment_nv_fund",AH$3,$A620))</f>
        <v/>
      </c>
      <c r="AI620" s="13">
        <f>IF($A620="","",[1]!thsiFinD("ths_adjustment_nv_fund",AI$3,$A620))</f>
        <v/>
      </c>
      <c r="AJ620" s="13">
        <f>IF($A620="","",[1]!thsiFinD("ths_adjustment_nv_fund",AJ$3,$A620))</f>
        <v/>
      </c>
      <c r="AK620" s="13">
        <f>IF($A620="","",[1]!thsiFinD("ths_adjustment_nv_fund",AK$3,$A620))</f>
        <v/>
      </c>
      <c r="AL620" s="13">
        <f>IF($A620="","",[1]!thsiFinD("ths_adjustment_nv_fund",AL$3,$A620))</f>
        <v/>
      </c>
    </row>
    <row r="621" spans="2:28">
      <c r="B621" s="13" t="str">
        <f>IF($A621="","",[1]!thsiFinD("ths_adjustment_nv_fund",B$3,$A621))</f>
        <v/>
      </c>
      <c r="C621" s="13" t="str">
        <f>IF($A621="","",[1]!thsiFinD("ths_adjustment_nv_fund",C$3,$A621))</f>
        <v/>
      </c>
      <c r="D621" s="13" t="str">
        <f>IF($A621="","",[1]!thsiFinD("ths_adjustment_nv_fund",D$3,$A621))</f>
        <v/>
      </c>
      <c r="E621" s="13" t="str">
        <f>IF($A621="","",[1]!thsiFinD("ths_adjustment_nv_fund",E$3,$A621))</f>
        <v/>
      </c>
      <c r="F621" s="13" t="str">
        <f>IF($A621="","",[1]!thsiFinD("ths_adjustment_nv_fund",F$3,$A621))</f>
        <v/>
      </c>
      <c r="G621" s="13" t="str">
        <f>IF($A621="","",[1]!thsiFinD("ths_adjustment_nv_fund",G$3,$A621))</f>
        <v/>
      </c>
      <c r="H621" s="13" t="str">
        <f>IF($A621="","",[1]!thsiFinD("ths_adjustment_nv_fund",H$3,$A621))</f>
        <v/>
      </c>
      <c r="I621" s="13" t="str">
        <f>IF($A621="","",[1]!thsiFinD("ths_adjustment_nv_fund",I$3,$A621))</f>
        <v/>
      </c>
      <c r="J621" s="13" t="str">
        <f>IF($A621="","",[1]!thsiFinD("ths_adjustment_nv_fund",J$3,$A621))</f>
        <v/>
      </c>
      <c r="K621" s="13" t="str">
        <f>IF($A621="","",[1]!thsiFinD("ths_adjustment_nv_fund",K$3,$A621))</f>
        <v/>
      </c>
      <c r="L621" s="13" t="str">
        <f>IF($A621="","",[1]!thsiFinD("ths_adjustment_nv_fund",L$3,$A621))</f>
        <v/>
      </c>
      <c r="M621" s="13" t="str">
        <f>IF($A621="","",[1]!thsiFinD("ths_adjustment_nv_fund",M$3,$A621))</f>
        <v/>
      </c>
      <c r="N621" s="13" t="str">
        <f>IF($A621="","",[1]!thsiFinD("ths_adjustment_nv_fund",N$3,$A621))</f>
        <v/>
      </c>
      <c r="O621" s="13" t="str">
        <f>IF($A621="","",[1]!thsiFinD("ths_adjustment_nv_fund",O$3,$A621))</f>
        <v/>
      </c>
      <c r="P621" s="13" t="str">
        <f>IF($A621="","",[1]!thsiFinD("ths_adjustment_nv_fund",P$3,$A621))</f>
        <v/>
      </c>
      <c r="Q621" s="13" t="str">
        <f>IF($A621="","",[1]!thsiFinD("ths_adjustment_nv_fund",Q$3,$A621))</f>
        <v/>
      </c>
      <c r="R621" s="13" t="str">
        <f>IF($A621="","",[1]!thsiFinD("ths_adjustment_nv_fund",R$3,$A621))</f>
        <v/>
      </c>
      <c r="S621" s="13" t="str">
        <f>IF($A621="","",[1]!thsiFinD("ths_adjustment_nv_fund",S$3,$A621))</f>
        <v/>
      </c>
      <c r="T621" s="13" t="str">
        <f>IF($A621="","",[1]!thsiFinD("ths_adjustment_nv_fund",T$3,$A621))</f>
        <v/>
      </c>
      <c r="U621" s="13" t="str">
        <f>IF($A621="","",[1]!thsiFinD("ths_adjustment_nv_fund",U$3,$A621))</f>
        <v/>
      </c>
      <c r="V621" s="13" t="str">
        <f>IF($A621="","",[1]!thsiFinD("ths_adjustment_nv_fund",V$3,$A621))</f>
        <v/>
      </c>
      <c r="W621" s="13" t="str">
        <f>IF($A621="","",[1]!thsiFinD("ths_adjustment_nv_fund",W$3,$A621))</f>
        <v/>
      </c>
      <c r="X621" s="13" t="str">
        <f>IF($A621="","",[1]!thsiFinD("ths_adjustment_nv_fund",X$3,$A621))</f>
        <v/>
      </c>
      <c r="Y621" s="13" t="str">
        <f>IF($A621="","",[1]!thsiFinD("ths_adjustment_nv_fund",Y$3,$A621))</f>
        <v/>
      </c>
      <c r="Z621" s="13" t="str">
        <f>IF($A621="","",[1]!thsiFinD("ths_adjustment_nv_fund",Z$3,$A621))</f>
        <v/>
      </c>
      <c r="AA621" s="13" t="str">
        <f>IF($A621="","",[1]!thsiFinD("ths_adjustment_nv_fund",AA$3,$A621))</f>
        <v/>
      </c>
      <c r="AB621" s="13">
        <f>IF($A621="","",[1]!thsiFinD("ths_adjustment_nv_fund",AB$3,$A621))</f>
        <v/>
      </c>
      <c r="AC621" s="13">
        <f>IF($A621="","",[1]!thsiFinD("ths_adjustment_nv_fund",AC$3,$A621))</f>
        <v/>
      </c>
      <c r="AD621" s="13">
        <f>IF($A621="","",[1]!thsiFinD("ths_adjustment_nv_fund",AD$3,$A621))</f>
        <v/>
      </c>
      <c r="AE621" s="13">
        <f>IF($A621="","",[1]!thsiFinD("ths_adjustment_nv_fund",AE$3,$A621))</f>
        <v/>
      </c>
      <c r="AF621" s="13">
        <f>IF($A621="","",[1]!thsiFinD("ths_adjustment_nv_fund",AF$3,$A621))</f>
        <v/>
      </c>
      <c r="AG621" s="13">
        <f>IF($A621="","",[1]!thsiFinD("ths_adjustment_nv_fund",AG$3,$A621))</f>
        <v/>
      </c>
      <c r="AH621" s="13">
        <f>IF($A621="","",[1]!thsiFinD("ths_adjustment_nv_fund",AH$3,$A621))</f>
        <v/>
      </c>
      <c r="AI621" s="13">
        <f>IF($A621="","",[1]!thsiFinD("ths_adjustment_nv_fund",AI$3,$A621))</f>
        <v/>
      </c>
      <c r="AJ621" s="13">
        <f>IF($A621="","",[1]!thsiFinD("ths_adjustment_nv_fund",AJ$3,$A621))</f>
        <v/>
      </c>
      <c r="AK621" s="13">
        <f>IF($A621="","",[1]!thsiFinD("ths_adjustment_nv_fund",AK$3,$A621))</f>
        <v/>
      </c>
      <c r="AL621" s="13">
        <f>IF($A621="","",[1]!thsiFinD("ths_adjustment_nv_fund",AL$3,$A621))</f>
        <v/>
      </c>
    </row>
    <row r="622" spans="2:28">
      <c r="B622" s="13" t="str">
        <f>IF($A622="","",[1]!thsiFinD("ths_adjustment_nv_fund",B$3,$A622))</f>
        <v/>
      </c>
      <c r="C622" s="13" t="str">
        <f>IF($A622="","",[1]!thsiFinD("ths_adjustment_nv_fund",C$3,$A622))</f>
        <v/>
      </c>
      <c r="D622" s="13" t="str">
        <f>IF($A622="","",[1]!thsiFinD("ths_adjustment_nv_fund",D$3,$A622))</f>
        <v/>
      </c>
      <c r="E622" s="13" t="str">
        <f>IF($A622="","",[1]!thsiFinD("ths_adjustment_nv_fund",E$3,$A622))</f>
        <v/>
      </c>
      <c r="F622" s="13" t="str">
        <f>IF($A622="","",[1]!thsiFinD("ths_adjustment_nv_fund",F$3,$A622))</f>
        <v/>
      </c>
      <c r="G622" s="13" t="str">
        <f>IF($A622="","",[1]!thsiFinD("ths_adjustment_nv_fund",G$3,$A622))</f>
        <v/>
      </c>
      <c r="H622" s="13" t="str">
        <f>IF($A622="","",[1]!thsiFinD("ths_adjustment_nv_fund",H$3,$A622))</f>
        <v/>
      </c>
      <c r="I622" s="13" t="str">
        <f>IF($A622="","",[1]!thsiFinD("ths_adjustment_nv_fund",I$3,$A622))</f>
        <v/>
      </c>
      <c r="J622" s="13" t="str">
        <f>IF($A622="","",[1]!thsiFinD("ths_adjustment_nv_fund",J$3,$A622))</f>
        <v/>
      </c>
      <c r="K622" s="13" t="str">
        <f>IF($A622="","",[1]!thsiFinD("ths_adjustment_nv_fund",K$3,$A622))</f>
        <v/>
      </c>
      <c r="L622" s="13" t="str">
        <f>IF($A622="","",[1]!thsiFinD("ths_adjustment_nv_fund",L$3,$A622))</f>
        <v/>
      </c>
      <c r="M622" s="13" t="str">
        <f>IF($A622="","",[1]!thsiFinD("ths_adjustment_nv_fund",M$3,$A622))</f>
        <v/>
      </c>
      <c r="N622" s="13" t="str">
        <f>IF($A622="","",[1]!thsiFinD("ths_adjustment_nv_fund",N$3,$A622))</f>
        <v/>
      </c>
      <c r="O622" s="13" t="str">
        <f>IF($A622="","",[1]!thsiFinD("ths_adjustment_nv_fund",O$3,$A622))</f>
        <v/>
      </c>
      <c r="P622" s="13" t="str">
        <f>IF($A622="","",[1]!thsiFinD("ths_adjustment_nv_fund",P$3,$A622))</f>
        <v/>
      </c>
      <c r="Q622" s="13" t="str">
        <f>IF($A622="","",[1]!thsiFinD("ths_adjustment_nv_fund",Q$3,$A622))</f>
        <v/>
      </c>
      <c r="R622" s="13" t="str">
        <f>IF($A622="","",[1]!thsiFinD("ths_adjustment_nv_fund",R$3,$A622))</f>
        <v/>
      </c>
      <c r="S622" s="13" t="str">
        <f>IF($A622="","",[1]!thsiFinD("ths_adjustment_nv_fund",S$3,$A622))</f>
        <v/>
      </c>
      <c r="T622" s="13" t="str">
        <f>IF($A622="","",[1]!thsiFinD("ths_adjustment_nv_fund",T$3,$A622))</f>
        <v/>
      </c>
      <c r="U622" s="13" t="str">
        <f>IF($A622="","",[1]!thsiFinD("ths_adjustment_nv_fund",U$3,$A622))</f>
        <v/>
      </c>
      <c r="V622" s="13" t="str">
        <f>IF($A622="","",[1]!thsiFinD("ths_adjustment_nv_fund",V$3,$A622))</f>
        <v/>
      </c>
      <c r="W622" s="13" t="str">
        <f>IF($A622="","",[1]!thsiFinD("ths_adjustment_nv_fund",W$3,$A622))</f>
        <v/>
      </c>
      <c r="X622" s="13" t="str">
        <f>IF($A622="","",[1]!thsiFinD("ths_adjustment_nv_fund",X$3,$A622))</f>
        <v/>
      </c>
      <c r="Y622" s="13" t="str">
        <f>IF($A622="","",[1]!thsiFinD("ths_adjustment_nv_fund",Y$3,$A622))</f>
        <v/>
      </c>
      <c r="Z622" s="13" t="str">
        <f>IF($A622="","",[1]!thsiFinD("ths_adjustment_nv_fund",Z$3,$A622))</f>
        <v/>
      </c>
      <c r="AA622" s="13" t="str">
        <f>IF($A622="","",[1]!thsiFinD("ths_adjustment_nv_fund",AA$3,$A622))</f>
        <v/>
      </c>
      <c r="AB622" s="13">
        <f>IF($A622="","",[1]!thsiFinD("ths_adjustment_nv_fund",AB$3,$A622))</f>
        <v/>
      </c>
      <c r="AC622" s="13">
        <f>IF($A622="","",[1]!thsiFinD("ths_adjustment_nv_fund",AC$3,$A622))</f>
        <v/>
      </c>
      <c r="AD622" s="13">
        <f>IF($A622="","",[1]!thsiFinD("ths_adjustment_nv_fund",AD$3,$A622))</f>
        <v/>
      </c>
      <c r="AE622" s="13">
        <f>IF($A622="","",[1]!thsiFinD("ths_adjustment_nv_fund",AE$3,$A622))</f>
        <v/>
      </c>
      <c r="AF622" s="13">
        <f>IF($A622="","",[1]!thsiFinD("ths_adjustment_nv_fund",AF$3,$A622))</f>
        <v/>
      </c>
      <c r="AG622" s="13">
        <f>IF($A622="","",[1]!thsiFinD("ths_adjustment_nv_fund",AG$3,$A622))</f>
        <v/>
      </c>
      <c r="AH622" s="13">
        <f>IF($A622="","",[1]!thsiFinD("ths_adjustment_nv_fund",AH$3,$A622))</f>
        <v/>
      </c>
      <c r="AI622" s="13">
        <f>IF($A622="","",[1]!thsiFinD("ths_adjustment_nv_fund",AI$3,$A622))</f>
        <v/>
      </c>
      <c r="AJ622" s="13">
        <f>IF($A622="","",[1]!thsiFinD("ths_adjustment_nv_fund",AJ$3,$A622))</f>
        <v/>
      </c>
      <c r="AK622" s="13">
        <f>IF($A622="","",[1]!thsiFinD("ths_adjustment_nv_fund",AK$3,$A622))</f>
        <v/>
      </c>
      <c r="AL622" s="13">
        <f>IF($A622="","",[1]!thsiFinD("ths_adjustment_nv_fund",AL$3,$A622))</f>
        <v/>
      </c>
    </row>
    <row r="623" spans="2:28">
      <c r="B623" s="13" t="str">
        <f>IF($A623="","",[1]!thsiFinD("ths_adjustment_nv_fund",B$3,$A623))</f>
        <v/>
      </c>
      <c r="C623" s="13" t="str">
        <f>IF($A623="","",[1]!thsiFinD("ths_adjustment_nv_fund",C$3,$A623))</f>
        <v/>
      </c>
      <c r="D623" s="13" t="str">
        <f>IF($A623="","",[1]!thsiFinD("ths_adjustment_nv_fund",D$3,$A623))</f>
        <v/>
      </c>
      <c r="E623" s="13" t="str">
        <f>IF($A623="","",[1]!thsiFinD("ths_adjustment_nv_fund",E$3,$A623))</f>
        <v/>
      </c>
      <c r="F623" s="13" t="str">
        <f>IF($A623="","",[1]!thsiFinD("ths_adjustment_nv_fund",F$3,$A623))</f>
        <v/>
      </c>
      <c r="G623" s="13" t="str">
        <f>IF($A623="","",[1]!thsiFinD("ths_adjustment_nv_fund",G$3,$A623))</f>
        <v/>
      </c>
      <c r="H623" s="13" t="str">
        <f>IF($A623="","",[1]!thsiFinD("ths_adjustment_nv_fund",H$3,$A623))</f>
        <v/>
      </c>
      <c r="I623" s="13" t="str">
        <f>IF($A623="","",[1]!thsiFinD("ths_adjustment_nv_fund",I$3,$A623))</f>
        <v/>
      </c>
      <c r="J623" s="13" t="str">
        <f>IF($A623="","",[1]!thsiFinD("ths_adjustment_nv_fund",J$3,$A623))</f>
        <v/>
      </c>
      <c r="K623" s="13" t="str">
        <f>IF($A623="","",[1]!thsiFinD("ths_adjustment_nv_fund",K$3,$A623))</f>
        <v/>
      </c>
      <c r="L623" s="13" t="str">
        <f>IF($A623="","",[1]!thsiFinD("ths_adjustment_nv_fund",L$3,$A623))</f>
        <v/>
      </c>
      <c r="M623" s="13" t="str">
        <f>IF($A623="","",[1]!thsiFinD("ths_adjustment_nv_fund",M$3,$A623))</f>
        <v/>
      </c>
      <c r="N623" s="13" t="str">
        <f>IF($A623="","",[1]!thsiFinD("ths_adjustment_nv_fund",N$3,$A623))</f>
        <v/>
      </c>
      <c r="O623" s="13" t="str">
        <f>IF($A623="","",[1]!thsiFinD("ths_adjustment_nv_fund",O$3,$A623))</f>
        <v/>
      </c>
      <c r="P623" s="13" t="str">
        <f>IF($A623="","",[1]!thsiFinD("ths_adjustment_nv_fund",P$3,$A623))</f>
        <v/>
      </c>
      <c r="Q623" s="13" t="str">
        <f>IF($A623="","",[1]!thsiFinD("ths_adjustment_nv_fund",Q$3,$A623))</f>
        <v/>
      </c>
      <c r="R623" s="13" t="str">
        <f>IF($A623="","",[1]!thsiFinD("ths_adjustment_nv_fund",R$3,$A623))</f>
        <v/>
      </c>
      <c r="S623" s="13" t="str">
        <f>IF($A623="","",[1]!thsiFinD("ths_adjustment_nv_fund",S$3,$A623))</f>
        <v/>
      </c>
      <c r="T623" s="13" t="str">
        <f>IF($A623="","",[1]!thsiFinD("ths_adjustment_nv_fund",T$3,$A623))</f>
        <v/>
      </c>
      <c r="U623" s="13" t="str">
        <f>IF($A623="","",[1]!thsiFinD("ths_adjustment_nv_fund",U$3,$A623))</f>
        <v/>
      </c>
      <c r="V623" s="13" t="str">
        <f>IF($A623="","",[1]!thsiFinD("ths_adjustment_nv_fund",V$3,$A623))</f>
        <v/>
      </c>
      <c r="W623" s="13" t="str">
        <f>IF($A623="","",[1]!thsiFinD("ths_adjustment_nv_fund",W$3,$A623))</f>
        <v/>
      </c>
      <c r="X623" s="13" t="str">
        <f>IF($A623="","",[1]!thsiFinD("ths_adjustment_nv_fund",X$3,$A623))</f>
        <v/>
      </c>
      <c r="Y623" s="13" t="str">
        <f>IF($A623="","",[1]!thsiFinD("ths_adjustment_nv_fund",Y$3,$A623))</f>
        <v/>
      </c>
      <c r="Z623" s="13" t="str">
        <f>IF($A623="","",[1]!thsiFinD("ths_adjustment_nv_fund",Z$3,$A623))</f>
        <v/>
      </c>
      <c r="AA623" s="13" t="str">
        <f>IF($A623="","",[1]!thsiFinD("ths_adjustment_nv_fund",AA$3,$A623))</f>
        <v/>
      </c>
      <c r="AB623" s="13">
        <f>IF($A623="","",[1]!thsiFinD("ths_adjustment_nv_fund",AB$3,$A623))</f>
        <v/>
      </c>
      <c r="AC623" s="13">
        <f>IF($A623="","",[1]!thsiFinD("ths_adjustment_nv_fund",AC$3,$A623))</f>
        <v/>
      </c>
      <c r="AD623" s="13">
        <f>IF($A623="","",[1]!thsiFinD("ths_adjustment_nv_fund",AD$3,$A623))</f>
        <v/>
      </c>
      <c r="AE623" s="13">
        <f>IF($A623="","",[1]!thsiFinD("ths_adjustment_nv_fund",AE$3,$A623))</f>
        <v/>
      </c>
      <c r="AF623" s="13">
        <f>IF($A623="","",[1]!thsiFinD("ths_adjustment_nv_fund",AF$3,$A623))</f>
        <v/>
      </c>
      <c r="AG623" s="13">
        <f>IF($A623="","",[1]!thsiFinD("ths_adjustment_nv_fund",AG$3,$A623))</f>
        <v/>
      </c>
      <c r="AH623" s="13">
        <f>IF($A623="","",[1]!thsiFinD("ths_adjustment_nv_fund",AH$3,$A623))</f>
        <v/>
      </c>
      <c r="AI623" s="13">
        <f>IF($A623="","",[1]!thsiFinD("ths_adjustment_nv_fund",AI$3,$A623))</f>
        <v/>
      </c>
      <c r="AJ623" s="13">
        <f>IF($A623="","",[1]!thsiFinD("ths_adjustment_nv_fund",AJ$3,$A623))</f>
        <v/>
      </c>
      <c r="AK623" s="13">
        <f>IF($A623="","",[1]!thsiFinD("ths_adjustment_nv_fund",AK$3,$A623))</f>
        <v/>
      </c>
      <c r="AL623" s="13">
        <f>IF($A623="","",[1]!thsiFinD("ths_adjustment_nv_fund",AL$3,$A623))</f>
        <v/>
      </c>
    </row>
    <row r="624" spans="2:28">
      <c r="B624" s="13" t="str">
        <f>IF($A624="","",[1]!thsiFinD("ths_adjustment_nv_fund",B$3,$A624))</f>
        <v/>
      </c>
      <c r="C624" s="13" t="str">
        <f>IF($A624="","",[1]!thsiFinD("ths_adjustment_nv_fund",C$3,$A624))</f>
        <v/>
      </c>
      <c r="D624" s="13" t="str">
        <f>IF($A624="","",[1]!thsiFinD("ths_adjustment_nv_fund",D$3,$A624))</f>
        <v/>
      </c>
      <c r="E624" s="13" t="str">
        <f>IF($A624="","",[1]!thsiFinD("ths_adjustment_nv_fund",E$3,$A624))</f>
        <v/>
      </c>
      <c r="F624" s="13" t="str">
        <f>IF($A624="","",[1]!thsiFinD("ths_adjustment_nv_fund",F$3,$A624))</f>
        <v/>
      </c>
      <c r="G624" s="13" t="str">
        <f>IF($A624="","",[1]!thsiFinD("ths_adjustment_nv_fund",G$3,$A624))</f>
        <v/>
      </c>
      <c r="H624" s="13" t="str">
        <f>IF($A624="","",[1]!thsiFinD("ths_adjustment_nv_fund",H$3,$A624))</f>
        <v/>
      </c>
      <c r="I624" s="13" t="str">
        <f>IF($A624="","",[1]!thsiFinD("ths_adjustment_nv_fund",I$3,$A624))</f>
        <v/>
      </c>
      <c r="J624" s="13" t="str">
        <f>IF($A624="","",[1]!thsiFinD("ths_adjustment_nv_fund",J$3,$A624))</f>
        <v/>
      </c>
      <c r="K624" s="13" t="str">
        <f>IF($A624="","",[1]!thsiFinD("ths_adjustment_nv_fund",K$3,$A624))</f>
        <v/>
      </c>
      <c r="L624" s="13" t="str">
        <f>IF($A624="","",[1]!thsiFinD("ths_adjustment_nv_fund",L$3,$A624))</f>
        <v/>
      </c>
      <c r="M624" s="13" t="str">
        <f>IF($A624="","",[1]!thsiFinD("ths_adjustment_nv_fund",M$3,$A624))</f>
        <v/>
      </c>
      <c r="N624" s="13" t="str">
        <f>IF($A624="","",[1]!thsiFinD("ths_adjustment_nv_fund",N$3,$A624))</f>
        <v/>
      </c>
      <c r="O624" s="13" t="str">
        <f>IF($A624="","",[1]!thsiFinD("ths_adjustment_nv_fund",O$3,$A624))</f>
        <v/>
      </c>
      <c r="P624" s="13" t="str">
        <f>IF($A624="","",[1]!thsiFinD("ths_adjustment_nv_fund",P$3,$A624))</f>
        <v/>
      </c>
      <c r="Q624" s="13" t="str">
        <f>IF($A624="","",[1]!thsiFinD("ths_adjustment_nv_fund",Q$3,$A624))</f>
        <v/>
      </c>
      <c r="R624" s="13" t="str">
        <f>IF($A624="","",[1]!thsiFinD("ths_adjustment_nv_fund",R$3,$A624))</f>
        <v/>
      </c>
      <c r="S624" s="13" t="str">
        <f>IF($A624="","",[1]!thsiFinD("ths_adjustment_nv_fund",S$3,$A624))</f>
        <v/>
      </c>
      <c r="T624" s="13" t="str">
        <f>IF($A624="","",[1]!thsiFinD("ths_adjustment_nv_fund",T$3,$A624))</f>
        <v/>
      </c>
      <c r="U624" s="13" t="str">
        <f>IF($A624="","",[1]!thsiFinD("ths_adjustment_nv_fund",U$3,$A624))</f>
        <v/>
      </c>
      <c r="V624" s="13" t="str">
        <f>IF($A624="","",[1]!thsiFinD("ths_adjustment_nv_fund",V$3,$A624))</f>
        <v/>
      </c>
      <c r="W624" s="13" t="str">
        <f>IF($A624="","",[1]!thsiFinD("ths_adjustment_nv_fund",W$3,$A624))</f>
        <v/>
      </c>
      <c r="X624" s="13" t="str">
        <f>IF($A624="","",[1]!thsiFinD("ths_adjustment_nv_fund",X$3,$A624))</f>
        <v/>
      </c>
      <c r="Y624" s="13" t="str">
        <f>IF($A624="","",[1]!thsiFinD("ths_adjustment_nv_fund",Y$3,$A624))</f>
        <v/>
      </c>
      <c r="Z624" s="13" t="str">
        <f>IF($A624="","",[1]!thsiFinD("ths_adjustment_nv_fund",Z$3,$A624))</f>
        <v/>
      </c>
      <c r="AA624" s="13" t="str">
        <f>IF($A624="","",[1]!thsiFinD("ths_adjustment_nv_fund",AA$3,$A624))</f>
        <v/>
      </c>
      <c r="AB624" s="13">
        <f>IF($A624="","",[1]!thsiFinD("ths_adjustment_nv_fund",AB$3,$A624))</f>
        <v/>
      </c>
      <c r="AC624" s="13">
        <f>IF($A624="","",[1]!thsiFinD("ths_adjustment_nv_fund",AC$3,$A624))</f>
        <v/>
      </c>
      <c r="AD624" s="13">
        <f>IF($A624="","",[1]!thsiFinD("ths_adjustment_nv_fund",AD$3,$A624))</f>
        <v/>
      </c>
      <c r="AE624" s="13">
        <f>IF($A624="","",[1]!thsiFinD("ths_adjustment_nv_fund",AE$3,$A624))</f>
        <v/>
      </c>
      <c r="AF624" s="13">
        <f>IF($A624="","",[1]!thsiFinD("ths_adjustment_nv_fund",AF$3,$A624))</f>
        <v/>
      </c>
      <c r="AG624" s="13">
        <f>IF($A624="","",[1]!thsiFinD("ths_adjustment_nv_fund",AG$3,$A624))</f>
        <v/>
      </c>
      <c r="AH624" s="13">
        <f>IF($A624="","",[1]!thsiFinD("ths_adjustment_nv_fund",AH$3,$A624))</f>
        <v/>
      </c>
      <c r="AI624" s="13">
        <f>IF($A624="","",[1]!thsiFinD("ths_adjustment_nv_fund",AI$3,$A624))</f>
        <v/>
      </c>
      <c r="AJ624" s="13">
        <f>IF($A624="","",[1]!thsiFinD("ths_adjustment_nv_fund",AJ$3,$A624))</f>
        <v/>
      </c>
      <c r="AK624" s="13">
        <f>IF($A624="","",[1]!thsiFinD("ths_adjustment_nv_fund",AK$3,$A624))</f>
        <v/>
      </c>
      <c r="AL624" s="13">
        <f>IF($A624="","",[1]!thsiFinD("ths_adjustment_nv_fund",AL$3,$A624))</f>
        <v/>
      </c>
    </row>
    <row r="625" spans="2:28">
      <c r="B625" s="13" t="str">
        <f>IF($A625="","",[1]!thsiFinD("ths_adjustment_nv_fund",B$3,$A625))</f>
        <v/>
      </c>
      <c r="C625" s="13" t="str">
        <f>IF($A625="","",[1]!thsiFinD("ths_adjustment_nv_fund",C$3,$A625))</f>
        <v/>
      </c>
      <c r="D625" s="13" t="str">
        <f>IF($A625="","",[1]!thsiFinD("ths_adjustment_nv_fund",D$3,$A625))</f>
        <v/>
      </c>
      <c r="E625" s="13" t="str">
        <f>IF($A625="","",[1]!thsiFinD("ths_adjustment_nv_fund",E$3,$A625))</f>
        <v/>
      </c>
      <c r="F625" s="13" t="str">
        <f>IF($A625="","",[1]!thsiFinD("ths_adjustment_nv_fund",F$3,$A625))</f>
        <v/>
      </c>
      <c r="G625" s="13" t="str">
        <f>IF($A625="","",[1]!thsiFinD("ths_adjustment_nv_fund",G$3,$A625))</f>
        <v/>
      </c>
      <c r="H625" s="13" t="str">
        <f>IF($A625="","",[1]!thsiFinD("ths_adjustment_nv_fund",H$3,$A625))</f>
        <v/>
      </c>
      <c r="I625" s="13" t="str">
        <f>IF($A625="","",[1]!thsiFinD("ths_adjustment_nv_fund",I$3,$A625))</f>
        <v/>
      </c>
      <c r="J625" s="13" t="str">
        <f>IF($A625="","",[1]!thsiFinD("ths_adjustment_nv_fund",J$3,$A625))</f>
        <v/>
      </c>
      <c r="K625" s="13" t="str">
        <f>IF($A625="","",[1]!thsiFinD("ths_adjustment_nv_fund",K$3,$A625))</f>
        <v/>
      </c>
      <c r="L625" s="13" t="str">
        <f>IF($A625="","",[1]!thsiFinD("ths_adjustment_nv_fund",L$3,$A625))</f>
        <v/>
      </c>
      <c r="M625" s="13" t="str">
        <f>IF($A625="","",[1]!thsiFinD("ths_adjustment_nv_fund",M$3,$A625))</f>
        <v/>
      </c>
      <c r="N625" s="13" t="str">
        <f>IF($A625="","",[1]!thsiFinD("ths_adjustment_nv_fund",N$3,$A625))</f>
        <v/>
      </c>
      <c r="O625" s="13" t="str">
        <f>IF($A625="","",[1]!thsiFinD("ths_adjustment_nv_fund",O$3,$A625))</f>
        <v/>
      </c>
      <c r="P625" s="13" t="str">
        <f>IF($A625="","",[1]!thsiFinD("ths_adjustment_nv_fund",P$3,$A625))</f>
        <v/>
      </c>
      <c r="Q625" s="13" t="str">
        <f>IF($A625="","",[1]!thsiFinD("ths_adjustment_nv_fund",Q$3,$A625))</f>
        <v/>
      </c>
      <c r="R625" s="13" t="str">
        <f>IF($A625="","",[1]!thsiFinD("ths_adjustment_nv_fund",R$3,$A625))</f>
        <v/>
      </c>
      <c r="S625" s="13" t="str">
        <f>IF($A625="","",[1]!thsiFinD("ths_adjustment_nv_fund",S$3,$A625))</f>
        <v/>
      </c>
      <c r="T625" s="13" t="str">
        <f>IF($A625="","",[1]!thsiFinD("ths_adjustment_nv_fund",T$3,$A625))</f>
        <v/>
      </c>
      <c r="U625" s="13" t="str">
        <f>IF($A625="","",[1]!thsiFinD("ths_adjustment_nv_fund",U$3,$A625))</f>
        <v/>
      </c>
      <c r="V625" s="13" t="str">
        <f>IF($A625="","",[1]!thsiFinD("ths_adjustment_nv_fund",V$3,$A625))</f>
        <v/>
      </c>
      <c r="W625" s="13" t="str">
        <f>IF($A625="","",[1]!thsiFinD("ths_adjustment_nv_fund",W$3,$A625))</f>
        <v/>
      </c>
      <c r="X625" s="13" t="str">
        <f>IF($A625="","",[1]!thsiFinD("ths_adjustment_nv_fund",X$3,$A625))</f>
        <v/>
      </c>
      <c r="Y625" s="13" t="str">
        <f>IF($A625="","",[1]!thsiFinD("ths_adjustment_nv_fund",Y$3,$A625))</f>
        <v/>
      </c>
      <c r="Z625" s="13" t="str">
        <f>IF($A625="","",[1]!thsiFinD("ths_adjustment_nv_fund",Z$3,$A625))</f>
        <v/>
      </c>
      <c r="AA625" s="13" t="str">
        <f>IF($A625="","",[1]!thsiFinD("ths_adjustment_nv_fund",AA$3,$A625))</f>
        <v/>
      </c>
      <c r="AB625" s="13">
        <f>IF($A625="","",[1]!thsiFinD("ths_adjustment_nv_fund",AB$3,$A625))</f>
        <v/>
      </c>
      <c r="AC625" s="13">
        <f>IF($A625="","",[1]!thsiFinD("ths_adjustment_nv_fund",AC$3,$A625))</f>
        <v/>
      </c>
      <c r="AD625" s="13">
        <f>IF($A625="","",[1]!thsiFinD("ths_adjustment_nv_fund",AD$3,$A625))</f>
        <v/>
      </c>
      <c r="AE625" s="13">
        <f>IF($A625="","",[1]!thsiFinD("ths_adjustment_nv_fund",AE$3,$A625))</f>
        <v/>
      </c>
      <c r="AF625" s="13">
        <f>IF($A625="","",[1]!thsiFinD("ths_adjustment_nv_fund",AF$3,$A625))</f>
        <v/>
      </c>
      <c r="AG625" s="13">
        <f>IF($A625="","",[1]!thsiFinD("ths_adjustment_nv_fund",AG$3,$A625))</f>
        <v/>
      </c>
      <c r="AH625" s="13">
        <f>IF($A625="","",[1]!thsiFinD("ths_adjustment_nv_fund",AH$3,$A625))</f>
        <v/>
      </c>
      <c r="AI625" s="13">
        <f>IF($A625="","",[1]!thsiFinD("ths_adjustment_nv_fund",AI$3,$A625))</f>
        <v/>
      </c>
      <c r="AJ625" s="13">
        <f>IF($A625="","",[1]!thsiFinD("ths_adjustment_nv_fund",AJ$3,$A625))</f>
        <v/>
      </c>
      <c r="AK625" s="13">
        <f>IF($A625="","",[1]!thsiFinD("ths_adjustment_nv_fund",AK$3,$A625))</f>
        <v/>
      </c>
      <c r="AL625" s="13">
        <f>IF($A625="","",[1]!thsiFinD("ths_adjustment_nv_fund",AL$3,$A625))</f>
        <v/>
      </c>
    </row>
    <row r="626" spans="2:28">
      <c r="B626" s="13" t="str">
        <f>IF($A626="","",[1]!thsiFinD("ths_adjustment_nv_fund",B$3,$A626))</f>
        <v/>
      </c>
      <c r="C626" s="13" t="str">
        <f>IF($A626="","",[1]!thsiFinD("ths_adjustment_nv_fund",C$3,$A626))</f>
        <v/>
      </c>
      <c r="D626" s="13" t="str">
        <f>IF($A626="","",[1]!thsiFinD("ths_adjustment_nv_fund",D$3,$A626))</f>
        <v/>
      </c>
      <c r="E626" s="13" t="str">
        <f>IF($A626="","",[1]!thsiFinD("ths_adjustment_nv_fund",E$3,$A626))</f>
        <v/>
      </c>
      <c r="F626" s="13" t="str">
        <f>IF($A626="","",[1]!thsiFinD("ths_adjustment_nv_fund",F$3,$A626))</f>
        <v/>
      </c>
      <c r="G626" s="13" t="str">
        <f>IF($A626="","",[1]!thsiFinD("ths_adjustment_nv_fund",G$3,$A626))</f>
        <v/>
      </c>
      <c r="H626" s="13" t="str">
        <f>IF($A626="","",[1]!thsiFinD("ths_adjustment_nv_fund",H$3,$A626))</f>
        <v/>
      </c>
      <c r="I626" s="13" t="str">
        <f>IF($A626="","",[1]!thsiFinD("ths_adjustment_nv_fund",I$3,$A626))</f>
        <v/>
      </c>
      <c r="J626" s="13" t="str">
        <f>IF($A626="","",[1]!thsiFinD("ths_adjustment_nv_fund",J$3,$A626))</f>
        <v/>
      </c>
      <c r="K626" s="13" t="str">
        <f>IF($A626="","",[1]!thsiFinD("ths_adjustment_nv_fund",K$3,$A626))</f>
        <v/>
      </c>
      <c r="L626" s="13" t="str">
        <f>IF($A626="","",[1]!thsiFinD("ths_adjustment_nv_fund",L$3,$A626))</f>
        <v/>
      </c>
      <c r="M626" s="13" t="str">
        <f>IF($A626="","",[1]!thsiFinD("ths_adjustment_nv_fund",M$3,$A626))</f>
        <v/>
      </c>
      <c r="N626" s="13" t="str">
        <f>IF($A626="","",[1]!thsiFinD("ths_adjustment_nv_fund",N$3,$A626))</f>
        <v/>
      </c>
      <c r="O626" s="13" t="str">
        <f>IF($A626="","",[1]!thsiFinD("ths_adjustment_nv_fund",O$3,$A626))</f>
        <v/>
      </c>
      <c r="P626" s="13" t="str">
        <f>IF($A626="","",[1]!thsiFinD("ths_adjustment_nv_fund",P$3,$A626))</f>
        <v/>
      </c>
      <c r="Q626" s="13" t="str">
        <f>IF($A626="","",[1]!thsiFinD("ths_adjustment_nv_fund",Q$3,$A626))</f>
        <v/>
      </c>
      <c r="R626" s="13" t="str">
        <f>IF($A626="","",[1]!thsiFinD("ths_adjustment_nv_fund",R$3,$A626))</f>
        <v/>
      </c>
      <c r="S626" s="13" t="str">
        <f>IF($A626="","",[1]!thsiFinD("ths_adjustment_nv_fund",S$3,$A626))</f>
        <v/>
      </c>
      <c r="T626" s="13" t="str">
        <f>IF($A626="","",[1]!thsiFinD("ths_adjustment_nv_fund",T$3,$A626))</f>
        <v/>
      </c>
      <c r="U626" s="13" t="str">
        <f>IF($A626="","",[1]!thsiFinD("ths_adjustment_nv_fund",U$3,$A626))</f>
        <v/>
      </c>
      <c r="V626" s="13" t="str">
        <f>IF($A626="","",[1]!thsiFinD("ths_adjustment_nv_fund",V$3,$A626))</f>
        <v/>
      </c>
      <c r="W626" s="13" t="str">
        <f>IF($A626="","",[1]!thsiFinD("ths_adjustment_nv_fund",W$3,$A626))</f>
        <v/>
      </c>
      <c r="X626" s="13" t="str">
        <f>IF($A626="","",[1]!thsiFinD("ths_adjustment_nv_fund",X$3,$A626))</f>
        <v/>
      </c>
      <c r="Y626" s="13" t="str">
        <f>IF($A626="","",[1]!thsiFinD("ths_adjustment_nv_fund",Y$3,$A626))</f>
        <v/>
      </c>
      <c r="Z626" s="13" t="str">
        <f>IF($A626="","",[1]!thsiFinD("ths_adjustment_nv_fund",Z$3,$A626))</f>
        <v/>
      </c>
      <c r="AA626" s="13" t="str">
        <f>IF($A626="","",[1]!thsiFinD("ths_adjustment_nv_fund",AA$3,$A626))</f>
        <v/>
      </c>
      <c r="AB626" s="13">
        <f>IF($A626="","",[1]!thsiFinD("ths_adjustment_nv_fund",AB$3,$A626))</f>
        <v/>
      </c>
      <c r="AC626" s="13">
        <f>IF($A626="","",[1]!thsiFinD("ths_adjustment_nv_fund",AC$3,$A626))</f>
        <v/>
      </c>
      <c r="AD626" s="13">
        <f>IF($A626="","",[1]!thsiFinD("ths_adjustment_nv_fund",AD$3,$A626))</f>
        <v/>
      </c>
      <c r="AE626" s="13">
        <f>IF($A626="","",[1]!thsiFinD("ths_adjustment_nv_fund",AE$3,$A626))</f>
        <v/>
      </c>
      <c r="AF626" s="13">
        <f>IF($A626="","",[1]!thsiFinD("ths_adjustment_nv_fund",AF$3,$A626))</f>
        <v/>
      </c>
      <c r="AG626" s="13">
        <f>IF($A626="","",[1]!thsiFinD("ths_adjustment_nv_fund",AG$3,$A626))</f>
        <v/>
      </c>
      <c r="AH626" s="13">
        <f>IF($A626="","",[1]!thsiFinD("ths_adjustment_nv_fund",AH$3,$A626))</f>
        <v/>
      </c>
      <c r="AI626" s="13">
        <f>IF($A626="","",[1]!thsiFinD("ths_adjustment_nv_fund",AI$3,$A626))</f>
        <v/>
      </c>
      <c r="AJ626" s="13">
        <f>IF($A626="","",[1]!thsiFinD("ths_adjustment_nv_fund",AJ$3,$A626))</f>
        <v/>
      </c>
      <c r="AK626" s="13">
        <f>IF($A626="","",[1]!thsiFinD("ths_adjustment_nv_fund",AK$3,$A626))</f>
        <v/>
      </c>
      <c r="AL626" s="13">
        <f>IF($A626="","",[1]!thsiFinD("ths_adjustment_nv_fund",AL$3,$A626))</f>
        <v/>
      </c>
    </row>
    <row r="627" spans="2:28">
      <c r="B627" s="13" t="str">
        <f>IF($A627="","",[1]!thsiFinD("ths_adjustment_nv_fund",B$3,$A627))</f>
        <v/>
      </c>
      <c r="C627" s="13" t="str">
        <f>IF($A627="","",[1]!thsiFinD("ths_adjustment_nv_fund",C$3,$A627))</f>
        <v/>
      </c>
      <c r="D627" s="13" t="str">
        <f>IF($A627="","",[1]!thsiFinD("ths_adjustment_nv_fund",D$3,$A627))</f>
        <v/>
      </c>
      <c r="E627" s="13" t="str">
        <f>IF($A627="","",[1]!thsiFinD("ths_adjustment_nv_fund",E$3,$A627))</f>
        <v/>
      </c>
      <c r="F627" s="13" t="str">
        <f>IF($A627="","",[1]!thsiFinD("ths_adjustment_nv_fund",F$3,$A627))</f>
        <v/>
      </c>
      <c r="G627" s="13" t="str">
        <f>IF($A627="","",[1]!thsiFinD("ths_adjustment_nv_fund",G$3,$A627))</f>
        <v/>
      </c>
      <c r="H627" s="13" t="str">
        <f>IF($A627="","",[1]!thsiFinD("ths_adjustment_nv_fund",H$3,$A627))</f>
        <v/>
      </c>
      <c r="I627" s="13" t="str">
        <f>IF($A627="","",[1]!thsiFinD("ths_adjustment_nv_fund",I$3,$A627))</f>
        <v/>
      </c>
      <c r="J627" s="13" t="str">
        <f>IF($A627="","",[1]!thsiFinD("ths_adjustment_nv_fund",J$3,$A627))</f>
        <v/>
      </c>
      <c r="K627" s="13" t="str">
        <f>IF($A627="","",[1]!thsiFinD("ths_adjustment_nv_fund",K$3,$A627))</f>
        <v/>
      </c>
      <c r="L627" s="13" t="str">
        <f>IF($A627="","",[1]!thsiFinD("ths_adjustment_nv_fund",L$3,$A627))</f>
        <v/>
      </c>
      <c r="M627" s="13" t="str">
        <f>IF($A627="","",[1]!thsiFinD("ths_adjustment_nv_fund",M$3,$A627))</f>
        <v/>
      </c>
      <c r="N627" s="13" t="str">
        <f>IF($A627="","",[1]!thsiFinD("ths_adjustment_nv_fund",N$3,$A627))</f>
        <v/>
      </c>
      <c r="O627" s="13" t="str">
        <f>IF($A627="","",[1]!thsiFinD("ths_adjustment_nv_fund",O$3,$A627))</f>
        <v/>
      </c>
      <c r="P627" s="13" t="str">
        <f>IF($A627="","",[1]!thsiFinD("ths_adjustment_nv_fund",P$3,$A627))</f>
        <v/>
      </c>
      <c r="Q627" s="13" t="str">
        <f>IF($A627="","",[1]!thsiFinD("ths_adjustment_nv_fund",Q$3,$A627))</f>
        <v/>
      </c>
      <c r="R627" s="13" t="str">
        <f>IF($A627="","",[1]!thsiFinD("ths_adjustment_nv_fund",R$3,$A627))</f>
        <v/>
      </c>
      <c r="S627" s="13" t="str">
        <f>IF($A627="","",[1]!thsiFinD("ths_adjustment_nv_fund",S$3,$A627))</f>
        <v/>
      </c>
      <c r="T627" s="13" t="str">
        <f>IF($A627="","",[1]!thsiFinD("ths_adjustment_nv_fund",T$3,$A627))</f>
        <v/>
      </c>
      <c r="U627" s="13" t="str">
        <f>IF($A627="","",[1]!thsiFinD("ths_adjustment_nv_fund",U$3,$A627))</f>
        <v/>
      </c>
      <c r="V627" s="13" t="str">
        <f>IF($A627="","",[1]!thsiFinD("ths_adjustment_nv_fund",V$3,$A627))</f>
        <v/>
      </c>
      <c r="W627" s="13" t="str">
        <f>IF($A627="","",[1]!thsiFinD("ths_adjustment_nv_fund",W$3,$A627))</f>
        <v/>
      </c>
      <c r="X627" s="13" t="str">
        <f>IF($A627="","",[1]!thsiFinD("ths_adjustment_nv_fund",X$3,$A627))</f>
        <v/>
      </c>
      <c r="Y627" s="13" t="str">
        <f>IF($A627="","",[1]!thsiFinD("ths_adjustment_nv_fund",Y$3,$A627))</f>
        <v/>
      </c>
      <c r="Z627" s="13" t="str">
        <f>IF($A627="","",[1]!thsiFinD("ths_adjustment_nv_fund",Z$3,$A627))</f>
        <v/>
      </c>
      <c r="AA627" s="13" t="str">
        <f>IF($A627="","",[1]!thsiFinD("ths_adjustment_nv_fund",AA$3,$A627))</f>
        <v/>
      </c>
      <c r="AB627" s="13">
        <f>IF($A627="","",[1]!thsiFinD("ths_adjustment_nv_fund",AB$3,$A627))</f>
        <v/>
      </c>
      <c r="AC627" s="13">
        <f>IF($A627="","",[1]!thsiFinD("ths_adjustment_nv_fund",AC$3,$A627))</f>
        <v/>
      </c>
      <c r="AD627" s="13">
        <f>IF($A627="","",[1]!thsiFinD("ths_adjustment_nv_fund",AD$3,$A627))</f>
        <v/>
      </c>
      <c r="AE627" s="13">
        <f>IF($A627="","",[1]!thsiFinD("ths_adjustment_nv_fund",AE$3,$A627))</f>
        <v/>
      </c>
      <c r="AF627" s="13">
        <f>IF($A627="","",[1]!thsiFinD("ths_adjustment_nv_fund",AF$3,$A627))</f>
        <v/>
      </c>
      <c r="AG627" s="13">
        <f>IF($A627="","",[1]!thsiFinD("ths_adjustment_nv_fund",AG$3,$A627))</f>
        <v/>
      </c>
      <c r="AH627" s="13">
        <f>IF($A627="","",[1]!thsiFinD("ths_adjustment_nv_fund",AH$3,$A627))</f>
        <v/>
      </c>
      <c r="AI627" s="13">
        <f>IF($A627="","",[1]!thsiFinD("ths_adjustment_nv_fund",AI$3,$A627))</f>
        <v/>
      </c>
      <c r="AJ627" s="13">
        <f>IF($A627="","",[1]!thsiFinD("ths_adjustment_nv_fund",AJ$3,$A627))</f>
        <v/>
      </c>
      <c r="AK627" s="13">
        <f>IF($A627="","",[1]!thsiFinD("ths_adjustment_nv_fund",AK$3,$A627))</f>
        <v/>
      </c>
      <c r="AL627" s="13">
        <f>IF($A627="","",[1]!thsiFinD("ths_adjustment_nv_fund",AL$3,$A627))</f>
        <v/>
      </c>
    </row>
    <row r="628" spans="2:28">
      <c r="B628" s="13" t="str">
        <f>IF($A628="","",[1]!thsiFinD("ths_adjustment_nv_fund",B$3,$A628))</f>
        <v/>
      </c>
      <c r="C628" s="13" t="str">
        <f>IF($A628="","",[1]!thsiFinD("ths_adjustment_nv_fund",C$3,$A628))</f>
        <v/>
      </c>
      <c r="D628" s="13" t="str">
        <f>IF($A628="","",[1]!thsiFinD("ths_adjustment_nv_fund",D$3,$A628))</f>
        <v/>
      </c>
      <c r="E628" s="13" t="str">
        <f>IF($A628="","",[1]!thsiFinD("ths_adjustment_nv_fund",E$3,$A628))</f>
        <v/>
      </c>
      <c r="F628" s="13" t="str">
        <f>IF($A628="","",[1]!thsiFinD("ths_adjustment_nv_fund",F$3,$A628))</f>
        <v/>
      </c>
      <c r="G628" s="13" t="str">
        <f>IF($A628="","",[1]!thsiFinD("ths_adjustment_nv_fund",G$3,$A628))</f>
        <v/>
      </c>
      <c r="H628" s="13" t="str">
        <f>IF($A628="","",[1]!thsiFinD("ths_adjustment_nv_fund",H$3,$A628))</f>
        <v/>
      </c>
      <c r="I628" s="13" t="str">
        <f>IF($A628="","",[1]!thsiFinD("ths_adjustment_nv_fund",I$3,$A628))</f>
        <v/>
      </c>
      <c r="J628" s="13" t="str">
        <f>IF($A628="","",[1]!thsiFinD("ths_adjustment_nv_fund",J$3,$A628))</f>
        <v/>
      </c>
      <c r="K628" s="13" t="str">
        <f>IF($A628="","",[1]!thsiFinD("ths_adjustment_nv_fund",K$3,$A628))</f>
        <v/>
      </c>
      <c r="L628" s="13" t="str">
        <f>IF($A628="","",[1]!thsiFinD("ths_adjustment_nv_fund",L$3,$A628))</f>
        <v/>
      </c>
      <c r="M628" s="13" t="str">
        <f>IF($A628="","",[1]!thsiFinD("ths_adjustment_nv_fund",M$3,$A628))</f>
        <v/>
      </c>
      <c r="N628" s="13" t="str">
        <f>IF($A628="","",[1]!thsiFinD("ths_adjustment_nv_fund",N$3,$A628))</f>
        <v/>
      </c>
      <c r="O628" s="13" t="str">
        <f>IF($A628="","",[1]!thsiFinD("ths_adjustment_nv_fund",O$3,$A628))</f>
        <v/>
      </c>
      <c r="P628" s="13" t="str">
        <f>IF($A628="","",[1]!thsiFinD("ths_adjustment_nv_fund",P$3,$A628))</f>
        <v/>
      </c>
      <c r="Q628" s="13" t="str">
        <f>IF($A628="","",[1]!thsiFinD("ths_adjustment_nv_fund",Q$3,$A628))</f>
        <v/>
      </c>
      <c r="R628" s="13" t="str">
        <f>IF($A628="","",[1]!thsiFinD("ths_adjustment_nv_fund",R$3,$A628))</f>
        <v/>
      </c>
      <c r="S628" s="13" t="str">
        <f>IF($A628="","",[1]!thsiFinD("ths_adjustment_nv_fund",S$3,$A628))</f>
        <v/>
      </c>
      <c r="T628" s="13" t="str">
        <f>IF($A628="","",[1]!thsiFinD("ths_adjustment_nv_fund",T$3,$A628))</f>
        <v/>
      </c>
      <c r="U628" s="13" t="str">
        <f>IF($A628="","",[1]!thsiFinD("ths_adjustment_nv_fund",U$3,$A628))</f>
        <v/>
      </c>
      <c r="V628" s="13" t="str">
        <f>IF($A628="","",[1]!thsiFinD("ths_adjustment_nv_fund",V$3,$A628))</f>
        <v/>
      </c>
      <c r="W628" s="13" t="str">
        <f>IF($A628="","",[1]!thsiFinD("ths_adjustment_nv_fund",W$3,$A628))</f>
        <v/>
      </c>
      <c r="X628" s="13" t="str">
        <f>IF($A628="","",[1]!thsiFinD("ths_adjustment_nv_fund",X$3,$A628))</f>
        <v/>
      </c>
      <c r="Y628" s="13" t="str">
        <f>IF($A628="","",[1]!thsiFinD("ths_adjustment_nv_fund",Y$3,$A628))</f>
        <v/>
      </c>
      <c r="Z628" s="13" t="str">
        <f>IF($A628="","",[1]!thsiFinD("ths_adjustment_nv_fund",Z$3,$A628))</f>
        <v/>
      </c>
      <c r="AA628" s="13" t="str">
        <f>IF($A628="","",[1]!thsiFinD("ths_adjustment_nv_fund",AA$3,$A628))</f>
        <v/>
      </c>
      <c r="AB628" s="13">
        <f>IF($A628="","",[1]!thsiFinD("ths_adjustment_nv_fund",AB$3,$A628))</f>
        <v/>
      </c>
      <c r="AC628" s="13">
        <f>IF($A628="","",[1]!thsiFinD("ths_adjustment_nv_fund",AC$3,$A628))</f>
        <v/>
      </c>
      <c r="AD628" s="13">
        <f>IF($A628="","",[1]!thsiFinD("ths_adjustment_nv_fund",AD$3,$A628))</f>
        <v/>
      </c>
      <c r="AE628" s="13">
        <f>IF($A628="","",[1]!thsiFinD("ths_adjustment_nv_fund",AE$3,$A628))</f>
        <v/>
      </c>
      <c r="AF628" s="13">
        <f>IF($A628="","",[1]!thsiFinD("ths_adjustment_nv_fund",AF$3,$A628))</f>
        <v/>
      </c>
      <c r="AG628" s="13">
        <f>IF($A628="","",[1]!thsiFinD("ths_adjustment_nv_fund",AG$3,$A628))</f>
        <v/>
      </c>
      <c r="AH628" s="13">
        <f>IF($A628="","",[1]!thsiFinD("ths_adjustment_nv_fund",AH$3,$A628))</f>
        <v/>
      </c>
      <c r="AI628" s="13">
        <f>IF($A628="","",[1]!thsiFinD("ths_adjustment_nv_fund",AI$3,$A628))</f>
        <v/>
      </c>
      <c r="AJ628" s="13">
        <f>IF($A628="","",[1]!thsiFinD("ths_adjustment_nv_fund",AJ$3,$A628))</f>
        <v/>
      </c>
      <c r="AK628" s="13">
        <f>IF($A628="","",[1]!thsiFinD("ths_adjustment_nv_fund",AK$3,$A628))</f>
        <v/>
      </c>
      <c r="AL628" s="13">
        <f>IF($A628="","",[1]!thsiFinD("ths_adjustment_nv_fund",AL$3,$A628))</f>
        <v/>
      </c>
    </row>
    <row r="629" spans="2:28">
      <c r="B629" s="13" t="str">
        <f>IF($A629="","",[1]!thsiFinD("ths_adjustment_nv_fund",B$3,$A629))</f>
        <v/>
      </c>
      <c r="C629" s="13" t="str">
        <f>IF($A629="","",[1]!thsiFinD("ths_adjustment_nv_fund",C$3,$A629))</f>
        <v/>
      </c>
      <c r="D629" s="13" t="str">
        <f>IF($A629="","",[1]!thsiFinD("ths_adjustment_nv_fund",D$3,$A629))</f>
        <v/>
      </c>
      <c r="E629" s="13" t="str">
        <f>IF($A629="","",[1]!thsiFinD("ths_adjustment_nv_fund",E$3,$A629))</f>
        <v/>
      </c>
      <c r="F629" s="13" t="str">
        <f>IF($A629="","",[1]!thsiFinD("ths_adjustment_nv_fund",F$3,$A629))</f>
        <v/>
      </c>
      <c r="G629" s="13" t="str">
        <f>IF($A629="","",[1]!thsiFinD("ths_adjustment_nv_fund",G$3,$A629))</f>
        <v/>
      </c>
      <c r="H629" s="13" t="str">
        <f>IF($A629="","",[1]!thsiFinD("ths_adjustment_nv_fund",H$3,$A629))</f>
        <v/>
      </c>
      <c r="I629" s="13" t="str">
        <f>IF($A629="","",[1]!thsiFinD("ths_adjustment_nv_fund",I$3,$A629))</f>
        <v/>
      </c>
      <c r="J629" s="13" t="str">
        <f>IF($A629="","",[1]!thsiFinD("ths_adjustment_nv_fund",J$3,$A629))</f>
        <v/>
      </c>
      <c r="K629" s="13" t="str">
        <f>IF($A629="","",[1]!thsiFinD("ths_adjustment_nv_fund",K$3,$A629))</f>
        <v/>
      </c>
      <c r="L629" s="13" t="str">
        <f>IF($A629="","",[1]!thsiFinD("ths_adjustment_nv_fund",L$3,$A629))</f>
        <v/>
      </c>
      <c r="M629" s="13" t="str">
        <f>IF($A629="","",[1]!thsiFinD("ths_adjustment_nv_fund",M$3,$A629))</f>
        <v/>
      </c>
      <c r="N629" s="13" t="str">
        <f>IF($A629="","",[1]!thsiFinD("ths_adjustment_nv_fund",N$3,$A629))</f>
        <v/>
      </c>
      <c r="O629" s="13" t="str">
        <f>IF($A629="","",[1]!thsiFinD("ths_adjustment_nv_fund",O$3,$A629))</f>
        <v/>
      </c>
      <c r="P629" s="13" t="str">
        <f>IF($A629="","",[1]!thsiFinD("ths_adjustment_nv_fund",P$3,$A629))</f>
        <v/>
      </c>
      <c r="Q629" s="13" t="str">
        <f>IF($A629="","",[1]!thsiFinD("ths_adjustment_nv_fund",Q$3,$A629))</f>
        <v/>
      </c>
      <c r="R629" s="13" t="str">
        <f>IF($A629="","",[1]!thsiFinD("ths_adjustment_nv_fund",R$3,$A629))</f>
        <v/>
      </c>
      <c r="S629" s="13" t="str">
        <f>IF($A629="","",[1]!thsiFinD("ths_adjustment_nv_fund",S$3,$A629))</f>
        <v/>
      </c>
      <c r="T629" s="13" t="str">
        <f>IF($A629="","",[1]!thsiFinD("ths_adjustment_nv_fund",T$3,$A629))</f>
        <v/>
      </c>
      <c r="U629" s="13" t="str">
        <f>IF($A629="","",[1]!thsiFinD("ths_adjustment_nv_fund",U$3,$A629))</f>
        <v/>
      </c>
      <c r="V629" s="13" t="str">
        <f>IF($A629="","",[1]!thsiFinD("ths_adjustment_nv_fund",V$3,$A629))</f>
        <v/>
      </c>
      <c r="W629" s="13" t="str">
        <f>IF($A629="","",[1]!thsiFinD("ths_adjustment_nv_fund",W$3,$A629))</f>
        <v/>
      </c>
      <c r="X629" s="13" t="str">
        <f>IF($A629="","",[1]!thsiFinD("ths_adjustment_nv_fund",X$3,$A629))</f>
        <v/>
      </c>
      <c r="Y629" s="13" t="str">
        <f>IF($A629="","",[1]!thsiFinD("ths_adjustment_nv_fund",Y$3,$A629))</f>
        <v/>
      </c>
      <c r="Z629" s="13" t="str">
        <f>IF($A629="","",[1]!thsiFinD("ths_adjustment_nv_fund",Z$3,$A629))</f>
        <v/>
      </c>
      <c r="AA629" s="13" t="str">
        <f>IF($A629="","",[1]!thsiFinD("ths_adjustment_nv_fund",AA$3,$A629))</f>
        <v/>
      </c>
      <c r="AB629" s="13">
        <f>IF($A629="","",[1]!thsiFinD("ths_adjustment_nv_fund",AB$3,$A629))</f>
        <v/>
      </c>
      <c r="AC629" s="13">
        <f>IF($A629="","",[1]!thsiFinD("ths_adjustment_nv_fund",AC$3,$A629))</f>
        <v/>
      </c>
      <c r="AD629" s="13">
        <f>IF($A629="","",[1]!thsiFinD("ths_adjustment_nv_fund",AD$3,$A629))</f>
        <v/>
      </c>
      <c r="AE629" s="13">
        <f>IF($A629="","",[1]!thsiFinD("ths_adjustment_nv_fund",AE$3,$A629))</f>
        <v/>
      </c>
      <c r="AF629" s="13">
        <f>IF($A629="","",[1]!thsiFinD("ths_adjustment_nv_fund",AF$3,$A629))</f>
        <v/>
      </c>
      <c r="AG629" s="13">
        <f>IF($A629="","",[1]!thsiFinD("ths_adjustment_nv_fund",AG$3,$A629))</f>
        <v/>
      </c>
      <c r="AH629" s="13">
        <f>IF($A629="","",[1]!thsiFinD("ths_adjustment_nv_fund",AH$3,$A629))</f>
        <v/>
      </c>
      <c r="AI629" s="13">
        <f>IF($A629="","",[1]!thsiFinD("ths_adjustment_nv_fund",AI$3,$A629))</f>
        <v/>
      </c>
      <c r="AJ629" s="13">
        <f>IF($A629="","",[1]!thsiFinD("ths_adjustment_nv_fund",AJ$3,$A629))</f>
        <v/>
      </c>
      <c r="AK629" s="13">
        <f>IF($A629="","",[1]!thsiFinD("ths_adjustment_nv_fund",AK$3,$A629))</f>
        <v/>
      </c>
      <c r="AL629" s="13">
        <f>IF($A629="","",[1]!thsiFinD("ths_adjustment_nv_fund",AL$3,$A629))</f>
        <v/>
      </c>
    </row>
    <row r="630" spans="2:28">
      <c r="B630" s="13" t="str">
        <f>IF($A630="","",[1]!thsiFinD("ths_adjustment_nv_fund",B$3,$A630))</f>
        <v/>
      </c>
      <c r="C630" s="13" t="str">
        <f>IF($A630="","",[1]!thsiFinD("ths_adjustment_nv_fund",C$3,$A630))</f>
        <v/>
      </c>
      <c r="D630" s="13" t="str">
        <f>IF($A630="","",[1]!thsiFinD("ths_adjustment_nv_fund",D$3,$A630))</f>
        <v/>
      </c>
      <c r="E630" s="13" t="str">
        <f>IF($A630="","",[1]!thsiFinD("ths_adjustment_nv_fund",E$3,$A630))</f>
        <v/>
      </c>
      <c r="F630" s="13" t="str">
        <f>IF($A630="","",[1]!thsiFinD("ths_adjustment_nv_fund",F$3,$A630))</f>
        <v/>
      </c>
      <c r="G630" s="13" t="str">
        <f>IF($A630="","",[1]!thsiFinD("ths_adjustment_nv_fund",G$3,$A630))</f>
        <v/>
      </c>
      <c r="H630" s="13" t="str">
        <f>IF($A630="","",[1]!thsiFinD("ths_adjustment_nv_fund",H$3,$A630))</f>
        <v/>
      </c>
      <c r="I630" s="13" t="str">
        <f>IF($A630="","",[1]!thsiFinD("ths_adjustment_nv_fund",I$3,$A630))</f>
        <v/>
      </c>
      <c r="J630" s="13" t="str">
        <f>IF($A630="","",[1]!thsiFinD("ths_adjustment_nv_fund",J$3,$A630))</f>
        <v/>
      </c>
      <c r="K630" s="13" t="str">
        <f>IF($A630="","",[1]!thsiFinD("ths_adjustment_nv_fund",K$3,$A630))</f>
        <v/>
      </c>
      <c r="L630" s="13" t="str">
        <f>IF($A630="","",[1]!thsiFinD("ths_adjustment_nv_fund",L$3,$A630))</f>
        <v/>
      </c>
      <c r="M630" s="13" t="str">
        <f>IF($A630="","",[1]!thsiFinD("ths_adjustment_nv_fund",M$3,$A630))</f>
        <v/>
      </c>
      <c r="N630" s="13" t="str">
        <f>IF($A630="","",[1]!thsiFinD("ths_adjustment_nv_fund",N$3,$A630))</f>
        <v/>
      </c>
      <c r="O630" s="13" t="str">
        <f>IF($A630="","",[1]!thsiFinD("ths_adjustment_nv_fund",O$3,$A630))</f>
        <v/>
      </c>
      <c r="P630" s="13" t="str">
        <f>IF($A630="","",[1]!thsiFinD("ths_adjustment_nv_fund",P$3,$A630))</f>
        <v/>
      </c>
      <c r="Q630" s="13" t="str">
        <f>IF($A630="","",[1]!thsiFinD("ths_adjustment_nv_fund",Q$3,$A630))</f>
        <v/>
      </c>
      <c r="R630" s="13" t="str">
        <f>IF($A630="","",[1]!thsiFinD("ths_adjustment_nv_fund",R$3,$A630))</f>
        <v/>
      </c>
      <c r="S630" s="13" t="str">
        <f>IF($A630="","",[1]!thsiFinD("ths_adjustment_nv_fund",S$3,$A630))</f>
        <v/>
      </c>
      <c r="T630" s="13" t="str">
        <f>IF($A630="","",[1]!thsiFinD("ths_adjustment_nv_fund",T$3,$A630))</f>
        <v/>
      </c>
      <c r="U630" s="13" t="str">
        <f>IF($A630="","",[1]!thsiFinD("ths_adjustment_nv_fund",U$3,$A630))</f>
        <v/>
      </c>
      <c r="V630" s="13" t="str">
        <f>IF($A630="","",[1]!thsiFinD("ths_adjustment_nv_fund",V$3,$A630))</f>
        <v/>
      </c>
      <c r="W630" s="13" t="str">
        <f>IF($A630="","",[1]!thsiFinD("ths_adjustment_nv_fund",W$3,$A630))</f>
        <v/>
      </c>
      <c r="X630" s="13" t="str">
        <f>IF($A630="","",[1]!thsiFinD("ths_adjustment_nv_fund",X$3,$A630))</f>
        <v/>
      </c>
      <c r="Y630" s="13" t="str">
        <f>IF($A630="","",[1]!thsiFinD("ths_adjustment_nv_fund",Y$3,$A630))</f>
        <v/>
      </c>
      <c r="Z630" s="13" t="str">
        <f>IF($A630="","",[1]!thsiFinD("ths_adjustment_nv_fund",Z$3,$A630))</f>
        <v/>
      </c>
      <c r="AA630" s="13" t="str">
        <f>IF($A630="","",[1]!thsiFinD("ths_adjustment_nv_fund",AA$3,$A630))</f>
        <v/>
      </c>
      <c r="AB630" s="13">
        <f>IF($A630="","",[1]!thsiFinD("ths_adjustment_nv_fund",AB$3,$A630))</f>
        <v/>
      </c>
      <c r="AC630" s="13">
        <f>IF($A630="","",[1]!thsiFinD("ths_adjustment_nv_fund",AC$3,$A630))</f>
        <v/>
      </c>
      <c r="AD630" s="13">
        <f>IF($A630="","",[1]!thsiFinD("ths_adjustment_nv_fund",AD$3,$A630))</f>
        <v/>
      </c>
      <c r="AE630" s="13">
        <f>IF($A630="","",[1]!thsiFinD("ths_adjustment_nv_fund",AE$3,$A630))</f>
        <v/>
      </c>
      <c r="AF630" s="13">
        <f>IF($A630="","",[1]!thsiFinD("ths_adjustment_nv_fund",AF$3,$A630))</f>
        <v/>
      </c>
      <c r="AG630" s="13">
        <f>IF($A630="","",[1]!thsiFinD("ths_adjustment_nv_fund",AG$3,$A630))</f>
        <v/>
      </c>
      <c r="AH630" s="13">
        <f>IF($A630="","",[1]!thsiFinD("ths_adjustment_nv_fund",AH$3,$A630))</f>
        <v/>
      </c>
      <c r="AI630" s="13">
        <f>IF($A630="","",[1]!thsiFinD("ths_adjustment_nv_fund",AI$3,$A630))</f>
        <v/>
      </c>
      <c r="AJ630" s="13">
        <f>IF($A630="","",[1]!thsiFinD("ths_adjustment_nv_fund",AJ$3,$A630))</f>
        <v/>
      </c>
      <c r="AK630" s="13">
        <f>IF($A630="","",[1]!thsiFinD("ths_adjustment_nv_fund",AK$3,$A630))</f>
        <v/>
      </c>
      <c r="AL630" s="13">
        <f>IF($A630="","",[1]!thsiFinD("ths_adjustment_nv_fund",AL$3,$A630))</f>
        <v/>
      </c>
    </row>
    <row r="631" spans="2:28">
      <c r="B631" s="13" t="str">
        <f>IF($A631="","",[1]!thsiFinD("ths_adjustment_nv_fund",B$3,$A631))</f>
        <v/>
      </c>
      <c r="C631" s="13" t="str">
        <f>IF($A631="","",[1]!thsiFinD("ths_adjustment_nv_fund",C$3,$A631))</f>
        <v/>
      </c>
      <c r="D631" s="13" t="str">
        <f>IF($A631="","",[1]!thsiFinD("ths_adjustment_nv_fund",D$3,$A631))</f>
        <v/>
      </c>
      <c r="E631" s="13" t="str">
        <f>IF($A631="","",[1]!thsiFinD("ths_adjustment_nv_fund",E$3,$A631))</f>
        <v/>
      </c>
      <c r="F631" s="13" t="str">
        <f>IF($A631="","",[1]!thsiFinD("ths_adjustment_nv_fund",F$3,$A631))</f>
        <v/>
      </c>
      <c r="G631" s="13" t="str">
        <f>IF($A631="","",[1]!thsiFinD("ths_adjustment_nv_fund",G$3,$A631))</f>
        <v/>
      </c>
      <c r="H631" s="13" t="str">
        <f>IF($A631="","",[1]!thsiFinD("ths_adjustment_nv_fund",H$3,$A631))</f>
        <v/>
      </c>
      <c r="I631" s="13" t="str">
        <f>IF($A631="","",[1]!thsiFinD("ths_adjustment_nv_fund",I$3,$A631))</f>
        <v/>
      </c>
      <c r="J631" s="13" t="str">
        <f>IF($A631="","",[1]!thsiFinD("ths_adjustment_nv_fund",J$3,$A631))</f>
        <v/>
      </c>
      <c r="K631" s="13" t="str">
        <f>IF($A631="","",[1]!thsiFinD("ths_adjustment_nv_fund",K$3,$A631))</f>
        <v/>
      </c>
      <c r="L631" s="13" t="str">
        <f>IF($A631="","",[1]!thsiFinD("ths_adjustment_nv_fund",L$3,$A631))</f>
        <v/>
      </c>
      <c r="M631" s="13" t="str">
        <f>IF($A631="","",[1]!thsiFinD("ths_adjustment_nv_fund",M$3,$A631))</f>
        <v/>
      </c>
      <c r="N631" s="13" t="str">
        <f>IF($A631="","",[1]!thsiFinD("ths_adjustment_nv_fund",N$3,$A631))</f>
        <v/>
      </c>
      <c r="O631" s="13" t="str">
        <f>IF($A631="","",[1]!thsiFinD("ths_adjustment_nv_fund",O$3,$A631))</f>
        <v/>
      </c>
      <c r="P631" s="13" t="str">
        <f>IF($A631="","",[1]!thsiFinD("ths_adjustment_nv_fund",P$3,$A631))</f>
        <v/>
      </c>
      <c r="Q631" s="13" t="str">
        <f>IF($A631="","",[1]!thsiFinD("ths_adjustment_nv_fund",Q$3,$A631))</f>
        <v/>
      </c>
      <c r="R631" s="13" t="str">
        <f>IF($A631="","",[1]!thsiFinD("ths_adjustment_nv_fund",R$3,$A631))</f>
        <v/>
      </c>
      <c r="S631" s="13" t="str">
        <f>IF($A631="","",[1]!thsiFinD("ths_adjustment_nv_fund",S$3,$A631))</f>
        <v/>
      </c>
      <c r="T631" s="13" t="str">
        <f>IF($A631="","",[1]!thsiFinD("ths_adjustment_nv_fund",T$3,$A631))</f>
        <v/>
      </c>
      <c r="U631" s="13" t="str">
        <f>IF($A631="","",[1]!thsiFinD("ths_adjustment_nv_fund",U$3,$A631))</f>
        <v/>
      </c>
      <c r="V631" s="13" t="str">
        <f>IF($A631="","",[1]!thsiFinD("ths_adjustment_nv_fund",V$3,$A631))</f>
        <v/>
      </c>
      <c r="W631" s="13" t="str">
        <f>IF($A631="","",[1]!thsiFinD("ths_adjustment_nv_fund",W$3,$A631))</f>
        <v/>
      </c>
      <c r="X631" s="13" t="str">
        <f>IF($A631="","",[1]!thsiFinD("ths_adjustment_nv_fund",X$3,$A631))</f>
        <v/>
      </c>
      <c r="Y631" s="13" t="str">
        <f>IF($A631="","",[1]!thsiFinD("ths_adjustment_nv_fund",Y$3,$A631))</f>
        <v/>
      </c>
      <c r="Z631" s="13" t="str">
        <f>IF($A631="","",[1]!thsiFinD("ths_adjustment_nv_fund",Z$3,$A631))</f>
        <v/>
      </c>
      <c r="AA631" s="13" t="str">
        <f>IF($A631="","",[1]!thsiFinD("ths_adjustment_nv_fund",AA$3,$A631))</f>
        <v/>
      </c>
      <c r="AB631" s="13">
        <f>IF($A631="","",[1]!thsiFinD("ths_adjustment_nv_fund",AB$3,$A631))</f>
        <v/>
      </c>
      <c r="AC631" s="13">
        <f>IF($A631="","",[1]!thsiFinD("ths_adjustment_nv_fund",AC$3,$A631))</f>
        <v/>
      </c>
      <c r="AD631" s="13">
        <f>IF($A631="","",[1]!thsiFinD("ths_adjustment_nv_fund",AD$3,$A631))</f>
        <v/>
      </c>
      <c r="AE631" s="13">
        <f>IF($A631="","",[1]!thsiFinD("ths_adjustment_nv_fund",AE$3,$A631))</f>
        <v/>
      </c>
      <c r="AF631" s="13">
        <f>IF($A631="","",[1]!thsiFinD("ths_adjustment_nv_fund",AF$3,$A631))</f>
        <v/>
      </c>
      <c r="AG631" s="13">
        <f>IF($A631="","",[1]!thsiFinD("ths_adjustment_nv_fund",AG$3,$A631))</f>
        <v/>
      </c>
      <c r="AH631" s="13">
        <f>IF($A631="","",[1]!thsiFinD("ths_adjustment_nv_fund",AH$3,$A631))</f>
        <v/>
      </c>
      <c r="AI631" s="13">
        <f>IF($A631="","",[1]!thsiFinD("ths_adjustment_nv_fund",AI$3,$A631))</f>
        <v/>
      </c>
      <c r="AJ631" s="13">
        <f>IF($A631="","",[1]!thsiFinD("ths_adjustment_nv_fund",AJ$3,$A631))</f>
        <v/>
      </c>
      <c r="AK631" s="13">
        <f>IF($A631="","",[1]!thsiFinD("ths_adjustment_nv_fund",AK$3,$A631))</f>
        <v/>
      </c>
      <c r="AL631" s="13">
        <f>IF($A631="","",[1]!thsiFinD("ths_adjustment_nv_fund",AL$3,$A631))</f>
        <v/>
      </c>
    </row>
    <row r="632" spans="2:28">
      <c r="B632" s="13" t="str">
        <f>IF($A632="","",[1]!thsiFinD("ths_adjustment_nv_fund",B$3,$A632))</f>
        <v/>
      </c>
      <c r="C632" s="13" t="str">
        <f>IF($A632="","",[1]!thsiFinD("ths_adjustment_nv_fund",C$3,$A632))</f>
        <v/>
      </c>
      <c r="D632" s="13" t="str">
        <f>IF($A632="","",[1]!thsiFinD("ths_adjustment_nv_fund",D$3,$A632))</f>
        <v/>
      </c>
      <c r="E632" s="13" t="str">
        <f>IF($A632="","",[1]!thsiFinD("ths_adjustment_nv_fund",E$3,$A632))</f>
        <v/>
      </c>
      <c r="F632" s="13" t="str">
        <f>IF($A632="","",[1]!thsiFinD("ths_adjustment_nv_fund",F$3,$A632))</f>
        <v/>
      </c>
      <c r="G632" s="13" t="str">
        <f>IF($A632="","",[1]!thsiFinD("ths_adjustment_nv_fund",G$3,$A632))</f>
        <v/>
      </c>
      <c r="H632" s="13" t="str">
        <f>IF($A632="","",[1]!thsiFinD("ths_adjustment_nv_fund",H$3,$A632))</f>
        <v/>
      </c>
      <c r="I632" s="13" t="str">
        <f>IF($A632="","",[1]!thsiFinD("ths_adjustment_nv_fund",I$3,$A632))</f>
        <v/>
      </c>
      <c r="J632" s="13" t="str">
        <f>IF($A632="","",[1]!thsiFinD("ths_adjustment_nv_fund",J$3,$A632))</f>
        <v/>
      </c>
      <c r="K632" s="13" t="str">
        <f>IF($A632="","",[1]!thsiFinD("ths_adjustment_nv_fund",K$3,$A632))</f>
        <v/>
      </c>
      <c r="L632" s="13" t="str">
        <f>IF($A632="","",[1]!thsiFinD("ths_adjustment_nv_fund",L$3,$A632))</f>
        <v/>
      </c>
      <c r="M632" s="13" t="str">
        <f>IF($A632="","",[1]!thsiFinD("ths_adjustment_nv_fund",M$3,$A632))</f>
        <v/>
      </c>
      <c r="N632" s="13" t="str">
        <f>IF($A632="","",[1]!thsiFinD("ths_adjustment_nv_fund",N$3,$A632))</f>
        <v/>
      </c>
      <c r="O632" s="13" t="str">
        <f>IF($A632="","",[1]!thsiFinD("ths_adjustment_nv_fund",O$3,$A632))</f>
        <v/>
      </c>
      <c r="P632" s="13" t="str">
        <f>IF($A632="","",[1]!thsiFinD("ths_adjustment_nv_fund",P$3,$A632))</f>
        <v/>
      </c>
      <c r="Q632" s="13" t="str">
        <f>IF($A632="","",[1]!thsiFinD("ths_adjustment_nv_fund",Q$3,$A632))</f>
        <v/>
      </c>
      <c r="R632" s="13" t="str">
        <f>IF($A632="","",[1]!thsiFinD("ths_adjustment_nv_fund",R$3,$A632))</f>
        <v/>
      </c>
      <c r="S632" s="13" t="str">
        <f>IF($A632="","",[1]!thsiFinD("ths_adjustment_nv_fund",S$3,$A632))</f>
        <v/>
      </c>
      <c r="T632" s="13" t="str">
        <f>IF($A632="","",[1]!thsiFinD("ths_adjustment_nv_fund",T$3,$A632))</f>
        <v/>
      </c>
      <c r="U632" s="13" t="str">
        <f>IF($A632="","",[1]!thsiFinD("ths_adjustment_nv_fund",U$3,$A632))</f>
        <v/>
      </c>
      <c r="V632" s="13" t="str">
        <f>IF($A632="","",[1]!thsiFinD("ths_adjustment_nv_fund",V$3,$A632))</f>
        <v/>
      </c>
      <c r="W632" s="13" t="str">
        <f>IF($A632="","",[1]!thsiFinD("ths_adjustment_nv_fund",W$3,$A632))</f>
        <v/>
      </c>
      <c r="X632" s="13" t="str">
        <f>IF($A632="","",[1]!thsiFinD("ths_adjustment_nv_fund",X$3,$A632))</f>
        <v/>
      </c>
      <c r="Y632" s="13" t="str">
        <f>IF($A632="","",[1]!thsiFinD("ths_adjustment_nv_fund",Y$3,$A632))</f>
        <v/>
      </c>
      <c r="Z632" s="13" t="str">
        <f>IF($A632="","",[1]!thsiFinD("ths_adjustment_nv_fund",Z$3,$A632))</f>
        <v/>
      </c>
      <c r="AA632" s="13" t="str">
        <f>IF($A632="","",[1]!thsiFinD("ths_adjustment_nv_fund",AA$3,$A632))</f>
        <v/>
      </c>
      <c r="AB632" s="13">
        <f>IF($A632="","",[1]!thsiFinD("ths_adjustment_nv_fund",AB$3,$A632))</f>
        <v/>
      </c>
      <c r="AC632" s="13">
        <f>IF($A632="","",[1]!thsiFinD("ths_adjustment_nv_fund",AC$3,$A632))</f>
        <v/>
      </c>
      <c r="AD632" s="13">
        <f>IF($A632="","",[1]!thsiFinD("ths_adjustment_nv_fund",AD$3,$A632))</f>
        <v/>
      </c>
      <c r="AE632" s="13">
        <f>IF($A632="","",[1]!thsiFinD("ths_adjustment_nv_fund",AE$3,$A632))</f>
        <v/>
      </c>
      <c r="AF632" s="13">
        <f>IF($A632="","",[1]!thsiFinD("ths_adjustment_nv_fund",AF$3,$A632))</f>
        <v/>
      </c>
      <c r="AG632" s="13">
        <f>IF($A632="","",[1]!thsiFinD("ths_adjustment_nv_fund",AG$3,$A632))</f>
        <v/>
      </c>
      <c r="AH632" s="13">
        <f>IF($A632="","",[1]!thsiFinD("ths_adjustment_nv_fund",AH$3,$A632))</f>
        <v/>
      </c>
      <c r="AI632" s="13">
        <f>IF($A632="","",[1]!thsiFinD("ths_adjustment_nv_fund",AI$3,$A632))</f>
        <v/>
      </c>
      <c r="AJ632" s="13">
        <f>IF($A632="","",[1]!thsiFinD("ths_adjustment_nv_fund",AJ$3,$A632))</f>
        <v/>
      </c>
      <c r="AK632" s="13">
        <f>IF($A632="","",[1]!thsiFinD("ths_adjustment_nv_fund",AK$3,$A632))</f>
        <v/>
      </c>
      <c r="AL632" s="13">
        <f>IF($A632="","",[1]!thsiFinD("ths_adjustment_nv_fund",AL$3,$A632))</f>
        <v/>
      </c>
    </row>
    <row r="633" spans="2:28">
      <c r="B633" s="13" t="str">
        <f>IF($A633="","",[1]!thsiFinD("ths_adjustment_nv_fund",B$3,$A633))</f>
        <v/>
      </c>
      <c r="C633" s="13" t="str">
        <f>IF($A633="","",[1]!thsiFinD("ths_adjustment_nv_fund",C$3,$A633))</f>
        <v/>
      </c>
      <c r="D633" s="13" t="str">
        <f>IF($A633="","",[1]!thsiFinD("ths_adjustment_nv_fund",D$3,$A633))</f>
        <v/>
      </c>
      <c r="E633" s="13" t="str">
        <f>IF($A633="","",[1]!thsiFinD("ths_adjustment_nv_fund",E$3,$A633))</f>
        <v/>
      </c>
      <c r="F633" s="13" t="str">
        <f>IF($A633="","",[1]!thsiFinD("ths_adjustment_nv_fund",F$3,$A633))</f>
        <v/>
      </c>
      <c r="G633" s="13" t="str">
        <f>IF($A633="","",[1]!thsiFinD("ths_adjustment_nv_fund",G$3,$A633))</f>
        <v/>
      </c>
      <c r="H633" s="13" t="str">
        <f>IF($A633="","",[1]!thsiFinD("ths_adjustment_nv_fund",H$3,$A633))</f>
        <v/>
      </c>
      <c r="I633" s="13" t="str">
        <f>IF($A633="","",[1]!thsiFinD("ths_adjustment_nv_fund",I$3,$A633))</f>
        <v/>
      </c>
      <c r="J633" s="13" t="str">
        <f>IF($A633="","",[1]!thsiFinD("ths_adjustment_nv_fund",J$3,$A633))</f>
        <v/>
      </c>
      <c r="K633" s="13" t="str">
        <f>IF($A633="","",[1]!thsiFinD("ths_adjustment_nv_fund",K$3,$A633))</f>
        <v/>
      </c>
      <c r="L633" s="13" t="str">
        <f>IF($A633="","",[1]!thsiFinD("ths_adjustment_nv_fund",L$3,$A633))</f>
        <v/>
      </c>
      <c r="M633" s="13" t="str">
        <f>IF($A633="","",[1]!thsiFinD("ths_adjustment_nv_fund",M$3,$A633))</f>
        <v/>
      </c>
      <c r="N633" s="13" t="str">
        <f>IF($A633="","",[1]!thsiFinD("ths_adjustment_nv_fund",N$3,$A633))</f>
        <v/>
      </c>
      <c r="O633" s="13" t="str">
        <f>IF($A633="","",[1]!thsiFinD("ths_adjustment_nv_fund",O$3,$A633))</f>
        <v/>
      </c>
      <c r="P633" s="13" t="str">
        <f>IF($A633="","",[1]!thsiFinD("ths_adjustment_nv_fund",P$3,$A633))</f>
        <v/>
      </c>
      <c r="Q633" s="13" t="str">
        <f>IF($A633="","",[1]!thsiFinD("ths_adjustment_nv_fund",Q$3,$A633))</f>
        <v/>
      </c>
      <c r="R633" s="13" t="str">
        <f>IF($A633="","",[1]!thsiFinD("ths_adjustment_nv_fund",R$3,$A633))</f>
        <v/>
      </c>
      <c r="S633" s="13" t="str">
        <f>IF($A633="","",[1]!thsiFinD("ths_adjustment_nv_fund",S$3,$A633))</f>
        <v/>
      </c>
      <c r="T633" s="13" t="str">
        <f>IF($A633="","",[1]!thsiFinD("ths_adjustment_nv_fund",T$3,$A633))</f>
        <v/>
      </c>
      <c r="U633" s="13" t="str">
        <f>IF($A633="","",[1]!thsiFinD("ths_adjustment_nv_fund",U$3,$A633))</f>
        <v/>
      </c>
      <c r="V633" s="13" t="str">
        <f>IF($A633="","",[1]!thsiFinD("ths_adjustment_nv_fund",V$3,$A633))</f>
        <v/>
      </c>
      <c r="W633" s="13" t="str">
        <f>IF($A633="","",[1]!thsiFinD("ths_adjustment_nv_fund",W$3,$A633))</f>
        <v/>
      </c>
      <c r="X633" s="13" t="str">
        <f>IF($A633="","",[1]!thsiFinD("ths_adjustment_nv_fund",X$3,$A633))</f>
        <v/>
      </c>
      <c r="Y633" s="13" t="str">
        <f>IF($A633="","",[1]!thsiFinD("ths_adjustment_nv_fund",Y$3,$A633))</f>
        <v/>
      </c>
      <c r="Z633" s="13" t="str">
        <f>IF($A633="","",[1]!thsiFinD("ths_adjustment_nv_fund",Z$3,$A633))</f>
        <v/>
      </c>
      <c r="AA633" s="13" t="str">
        <f>IF($A633="","",[1]!thsiFinD("ths_adjustment_nv_fund",AA$3,$A633))</f>
        <v/>
      </c>
      <c r="AB633" s="13">
        <f>IF($A633="","",[1]!thsiFinD("ths_adjustment_nv_fund",AB$3,$A633))</f>
        <v/>
      </c>
      <c r="AC633" s="13">
        <f>IF($A633="","",[1]!thsiFinD("ths_adjustment_nv_fund",AC$3,$A633))</f>
        <v/>
      </c>
      <c r="AD633" s="13">
        <f>IF($A633="","",[1]!thsiFinD("ths_adjustment_nv_fund",AD$3,$A633))</f>
        <v/>
      </c>
      <c r="AE633" s="13">
        <f>IF($A633="","",[1]!thsiFinD("ths_adjustment_nv_fund",AE$3,$A633))</f>
        <v/>
      </c>
      <c r="AF633" s="13">
        <f>IF($A633="","",[1]!thsiFinD("ths_adjustment_nv_fund",AF$3,$A633))</f>
        <v/>
      </c>
      <c r="AG633" s="13">
        <f>IF($A633="","",[1]!thsiFinD("ths_adjustment_nv_fund",AG$3,$A633))</f>
        <v/>
      </c>
      <c r="AH633" s="13">
        <f>IF($A633="","",[1]!thsiFinD("ths_adjustment_nv_fund",AH$3,$A633))</f>
        <v/>
      </c>
      <c r="AI633" s="13">
        <f>IF($A633="","",[1]!thsiFinD("ths_adjustment_nv_fund",AI$3,$A633))</f>
        <v/>
      </c>
      <c r="AJ633" s="13">
        <f>IF($A633="","",[1]!thsiFinD("ths_adjustment_nv_fund",AJ$3,$A633))</f>
        <v/>
      </c>
      <c r="AK633" s="13">
        <f>IF($A633="","",[1]!thsiFinD("ths_adjustment_nv_fund",AK$3,$A633))</f>
        <v/>
      </c>
      <c r="AL633" s="13">
        <f>IF($A633="","",[1]!thsiFinD("ths_adjustment_nv_fund",AL$3,$A633))</f>
        <v/>
      </c>
    </row>
    <row r="634" spans="2:28">
      <c r="B634" s="13" t="str">
        <f>IF($A634="","",[1]!thsiFinD("ths_adjustment_nv_fund",B$3,$A634))</f>
        <v/>
      </c>
      <c r="C634" s="13" t="str">
        <f>IF($A634="","",[1]!thsiFinD("ths_adjustment_nv_fund",C$3,$A634))</f>
        <v/>
      </c>
      <c r="D634" s="13" t="str">
        <f>IF($A634="","",[1]!thsiFinD("ths_adjustment_nv_fund",D$3,$A634))</f>
        <v/>
      </c>
      <c r="E634" s="13" t="str">
        <f>IF($A634="","",[1]!thsiFinD("ths_adjustment_nv_fund",E$3,$A634))</f>
        <v/>
      </c>
      <c r="F634" s="13" t="str">
        <f>IF($A634="","",[1]!thsiFinD("ths_adjustment_nv_fund",F$3,$A634))</f>
        <v/>
      </c>
      <c r="G634" s="13" t="str">
        <f>IF($A634="","",[1]!thsiFinD("ths_adjustment_nv_fund",G$3,$A634))</f>
        <v/>
      </c>
      <c r="H634" s="13" t="str">
        <f>IF($A634="","",[1]!thsiFinD("ths_adjustment_nv_fund",H$3,$A634))</f>
        <v/>
      </c>
      <c r="I634" s="13" t="str">
        <f>IF($A634="","",[1]!thsiFinD("ths_adjustment_nv_fund",I$3,$A634))</f>
        <v/>
      </c>
      <c r="J634" s="13" t="str">
        <f>IF($A634="","",[1]!thsiFinD("ths_adjustment_nv_fund",J$3,$A634))</f>
        <v/>
      </c>
      <c r="K634" s="13" t="str">
        <f>IF($A634="","",[1]!thsiFinD("ths_adjustment_nv_fund",K$3,$A634))</f>
        <v/>
      </c>
      <c r="L634" s="13" t="str">
        <f>IF($A634="","",[1]!thsiFinD("ths_adjustment_nv_fund",L$3,$A634))</f>
        <v/>
      </c>
      <c r="M634" s="13" t="str">
        <f>IF($A634="","",[1]!thsiFinD("ths_adjustment_nv_fund",M$3,$A634))</f>
        <v/>
      </c>
      <c r="N634" s="13" t="str">
        <f>IF($A634="","",[1]!thsiFinD("ths_adjustment_nv_fund",N$3,$A634))</f>
        <v/>
      </c>
      <c r="O634" s="13" t="str">
        <f>IF($A634="","",[1]!thsiFinD("ths_adjustment_nv_fund",O$3,$A634))</f>
        <v/>
      </c>
      <c r="P634" s="13" t="str">
        <f>IF($A634="","",[1]!thsiFinD("ths_adjustment_nv_fund",P$3,$A634))</f>
        <v/>
      </c>
      <c r="Q634" s="13" t="str">
        <f>IF($A634="","",[1]!thsiFinD("ths_adjustment_nv_fund",Q$3,$A634))</f>
        <v/>
      </c>
      <c r="R634" s="13" t="str">
        <f>IF($A634="","",[1]!thsiFinD("ths_adjustment_nv_fund",R$3,$A634))</f>
        <v/>
      </c>
      <c r="S634" s="13" t="str">
        <f>IF($A634="","",[1]!thsiFinD("ths_adjustment_nv_fund",S$3,$A634))</f>
        <v/>
      </c>
      <c r="T634" s="13" t="str">
        <f>IF($A634="","",[1]!thsiFinD("ths_adjustment_nv_fund",T$3,$A634))</f>
        <v/>
      </c>
      <c r="U634" s="13" t="str">
        <f>IF($A634="","",[1]!thsiFinD("ths_adjustment_nv_fund",U$3,$A634))</f>
        <v/>
      </c>
      <c r="V634" s="13" t="str">
        <f>IF($A634="","",[1]!thsiFinD("ths_adjustment_nv_fund",V$3,$A634))</f>
        <v/>
      </c>
      <c r="W634" s="13" t="str">
        <f>IF($A634="","",[1]!thsiFinD("ths_adjustment_nv_fund",W$3,$A634))</f>
        <v/>
      </c>
      <c r="X634" s="13" t="str">
        <f>IF($A634="","",[1]!thsiFinD("ths_adjustment_nv_fund",X$3,$A634))</f>
        <v/>
      </c>
      <c r="Y634" s="13" t="str">
        <f>IF($A634="","",[1]!thsiFinD("ths_adjustment_nv_fund",Y$3,$A634))</f>
        <v/>
      </c>
      <c r="Z634" s="13" t="str">
        <f>IF($A634="","",[1]!thsiFinD("ths_adjustment_nv_fund",Z$3,$A634))</f>
        <v/>
      </c>
      <c r="AA634" s="13" t="str">
        <f>IF($A634="","",[1]!thsiFinD("ths_adjustment_nv_fund",AA$3,$A634))</f>
        <v/>
      </c>
      <c r="AB634" s="13">
        <f>IF($A634="","",[1]!thsiFinD("ths_adjustment_nv_fund",AB$3,$A634))</f>
        <v/>
      </c>
      <c r="AC634" s="13">
        <f>IF($A634="","",[1]!thsiFinD("ths_adjustment_nv_fund",AC$3,$A634))</f>
        <v/>
      </c>
      <c r="AD634" s="13">
        <f>IF($A634="","",[1]!thsiFinD("ths_adjustment_nv_fund",AD$3,$A634))</f>
        <v/>
      </c>
      <c r="AE634" s="13">
        <f>IF($A634="","",[1]!thsiFinD("ths_adjustment_nv_fund",AE$3,$A634))</f>
        <v/>
      </c>
      <c r="AF634" s="13">
        <f>IF($A634="","",[1]!thsiFinD("ths_adjustment_nv_fund",AF$3,$A634))</f>
        <v/>
      </c>
      <c r="AG634" s="13">
        <f>IF($A634="","",[1]!thsiFinD("ths_adjustment_nv_fund",AG$3,$A634))</f>
        <v/>
      </c>
      <c r="AH634" s="13">
        <f>IF($A634="","",[1]!thsiFinD("ths_adjustment_nv_fund",AH$3,$A634))</f>
        <v/>
      </c>
      <c r="AI634" s="13">
        <f>IF($A634="","",[1]!thsiFinD("ths_adjustment_nv_fund",AI$3,$A634))</f>
        <v/>
      </c>
      <c r="AJ634" s="13">
        <f>IF($A634="","",[1]!thsiFinD("ths_adjustment_nv_fund",AJ$3,$A634))</f>
        <v/>
      </c>
      <c r="AK634" s="13">
        <f>IF($A634="","",[1]!thsiFinD("ths_adjustment_nv_fund",AK$3,$A634))</f>
        <v/>
      </c>
      <c r="AL634" s="13">
        <f>IF($A634="","",[1]!thsiFinD("ths_adjustment_nv_fund",AL$3,$A634))</f>
        <v/>
      </c>
    </row>
    <row r="635" spans="2:28">
      <c r="B635" s="13" t="str">
        <f>IF($A635="","",[1]!thsiFinD("ths_adjustment_nv_fund",B$3,$A635))</f>
        <v/>
      </c>
      <c r="C635" s="13" t="str">
        <f>IF($A635="","",[1]!thsiFinD("ths_adjustment_nv_fund",C$3,$A635))</f>
        <v/>
      </c>
      <c r="D635" s="13" t="str">
        <f>IF($A635="","",[1]!thsiFinD("ths_adjustment_nv_fund",D$3,$A635))</f>
        <v/>
      </c>
      <c r="E635" s="13" t="str">
        <f>IF($A635="","",[1]!thsiFinD("ths_adjustment_nv_fund",E$3,$A635))</f>
        <v/>
      </c>
      <c r="F635" s="13" t="str">
        <f>IF($A635="","",[1]!thsiFinD("ths_adjustment_nv_fund",F$3,$A635))</f>
        <v/>
      </c>
      <c r="G635" s="13" t="str">
        <f>IF($A635="","",[1]!thsiFinD("ths_adjustment_nv_fund",G$3,$A635))</f>
        <v/>
      </c>
      <c r="H635" s="13" t="str">
        <f>IF($A635="","",[1]!thsiFinD("ths_adjustment_nv_fund",H$3,$A635))</f>
        <v/>
      </c>
      <c r="I635" s="13" t="str">
        <f>IF($A635="","",[1]!thsiFinD("ths_adjustment_nv_fund",I$3,$A635))</f>
        <v/>
      </c>
      <c r="J635" s="13" t="str">
        <f>IF($A635="","",[1]!thsiFinD("ths_adjustment_nv_fund",J$3,$A635))</f>
        <v/>
      </c>
      <c r="K635" s="13" t="str">
        <f>IF($A635="","",[1]!thsiFinD("ths_adjustment_nv_fund",K$3,$A635))</f>
        <v/>
      </c>
      <c r="L635" s="13" t="str">
        <f>IF($A635="","",[1]!thsiFinD("ths_adjustment_nv_fund",L$3,$A635))</f>
        <v/>
      </c>
      <c r="M635" s="13" t="str">
        <f>IF($A635="","",[1]!thsiFinD("ths_adjustment_nv_fund",M$3,$A635))</f>
        <v/>
      </c>
      <c r="N635" s="13" t="str">
        <f>IF($A635="","",[1]!thsiFinD("ths_adjustment_nv_fund",N$3,$A635))</f>
        <v/>
      </c>
      <c r="O635" s="13" t="str">
        <f>IF($A635="","",[1]!thsiFinD("ths_adjustment_nv_fund",O$3,$A635))</f>
        <v/>
      </c>
      <c r="P635" s="13" t="str">
        <f>IF($A635="","",[1]!thsiFinD("ths_adjustment_nv_fund",P$3,$A635))</f>
        <v/>
      </c>
      <c r="Q635" s="13" t="str">
        <f>IF($A635="","",[1]!thsiFinD("ths_adjustment_nv_fund",Q$3,$A635))</f>
        <v/>
      </c>
      <c r="R635" s="13" t="str">
        <f>IF($A635="","",[1]!thsiFinD("ths_adjustment_nv_fund",R$3,$A635))</f>
        <v/>
      </c>
      <c r="S635" s="13" t="str">
        <f>IF($A635="","",[1]!thsiFinD("ths_adjustment_nv_fund",S$3,$A635))</f>
        <v/>
      </c>
      <c r="T635" s="13" t="str">
        <f>IF($A635="","",[1]!thsiFinD("ths_adjustment_nv_fund",T$3,$A635))</f>
        <v/>
      </c>
      <c r="U635" s="13" t="str">
        <f>IF($A635="","",[1]!thsiFinD("ths_adjustment_nv_fund",U$3,$A635))</f>
        <v/>
      </c>
      <c r="V635" s="13" t="str">
        <f>IF($A635="","",[1]!thsiFinD("ths_adjustment_nv_fund",V$3,$A635))</f>
        <v/>
      </c>
      <c r="W635" s="13" t="str">
        <f>IF($A635="","",[1]!thsiFinD("ths_adjustment_nv_fund",W$3,$A635))</f>
        <v/>
      </c>
      <c r="X635" s="13" t="str">
        <f>IF($A635="","",[1]!thsiFinD("ths_adjustment_nv_fund",X$3,$A635))</f>
        <v/>
      </c>
      <c r="Y635" s="13" t="str">
        <f>IF($A635="","",[1]!thsiFinD("ths_adjustment_nv_fund",Y$3,$A635))</f>
        <v/>
      </c>
      <c r="Z635" s="13" t="str">
        <f>IF($A635="","",[1]!thsiFinD("ths_adjustment_nv_fund",Z$3,$A635))</f>
        <v/>
      </c>
      <c r="AA635" s="13" t="str">
        <f>IF($A635="","",[1]!thsiFinD("ths_adjustment_nv_fund",AA$3,$A635))</f>
        <v/>
      </c>
      <c r="AB635" s="13">
        <f>IF($A635="","",[1]!thsiFinD("ths_adjustment_nv_fund",AB$3,$A635))</f>
        <v/>
      </c>
      <c r="AC635" s="13">
        <f>IF($A635="","",[1]!thsiFinD("ths_adjustment_nv_fund",AC$3,$A635))</f>
        <v/>
      </c>
      <c r="AD635" s="13">
        <f>IF($A635="","",[1]!thsiFinD("ths_adjustment_nv_fund",AD$3,$A635))</f>
        <v/>
      </c>
      <c r="AE635" s="13">
        <f>IF($A635="","",[1]!thsiFinD("ths_adjustment_nv_fund",AE$3,$A635))</f>
        <v/>
      </c>
      <c r="AF635" s="13">
        <f>IF($A635="","",[1]!thsiFinD("ths_adjustment_nv_fund",AF$3,$A635))</f>
        <v/>
      </c>
      <c r="AG635" s="13">
        <f>IF($A635="","",[1]!thsiFinD("ths_adjustment_nv_fund",AG$3,$A635))</f>
        <v/>
      </c>
      <c r="AH635" s="13">
        <f>IF($A635="","",[1]!thsiFinD("ths_adjustment_nv_fund",AH$3,$A635))</f>
        <v/>
      </c>
      <c r="AI635" s="13">
        <f>IF($A635="","",[1]!thsiFinD("ths_adjustment_nv_fund",AI$3,$A635))</f>
        <v/>
      </c>
      <c r="AJ635" s="13">
        <f>IF($A635="","",[1]!thsiFinD("ths_adjustment_nv_fund",AJ$3,$A635))</f>
        <v/>
      </c>
      <c r="AK635" s="13">
        <f>IF($A635="","",[1]!thsiFinD("ths_adjustment_nv_fund",AK$3,$A635))</f>
        <v/>
      </c>
      <c r="AL635" s="13">
        <f>IF($A635="","",[1]!thsiFinD("ths_adjustment_nv_fund",AL$3,$A635))</f>
        <v/>
      </c>
    </row>
    <row r="636" spans="2:28">
      <c r="B636" s="13" t="str">
        <f>IF($A636="","",[1]!thsiFinD("ths_adjustment_nv_fund",B$3,$A636))</f>
        <v/>
      </c>
      <c r="C636" s="13" t="str">
        <f>IF($A636="","",[1]!thsiFinD("ths_adjustment_nv_fund",C$3,$A636))</f>
        <v/>
      </c>
      <c r="D636" s="13" t="str">
        <f>IF($A636="","",[1]!thsiFinD("ths_adjustment_nv_fund",D$3,$A636))</f>
        <v/>
      </c>
      <c r="E636" s="13" t="str">
        <f>IF($A636="","",[1]!thsiFinD("ths_adjustment_nv_fund",E$3,$A636))</f>
        <v/>
      </c>
      <c r="F636" s="13" t="str">
        <f>IF($A636="","",[1]!thsiFinD("ths_adjustment_nv_fund",F$3,$A636))</f>
        <v/>
      </c>
      <c r="G636" s="13" t="str">
        <f>IF($A636="","",[1]!thsiFinD("ths_adjustment_nv_fund",G$3,$A636))</f>
        <v/>
      </c>
      <c r="H636" s="13" t="str">
        <f>IF($A636="","",[1]!thsiFinD("ths_adjustment_nv_fund",H$3,$A636))</f>
        <v/>
      </c>
      <c r="I636" s="13" t="str">
        <f>IF($A636="","",[1]!thsiFinD("ths_adjustment_nv_fund",I$3,$A636))</f>
        <v/>
      </c>
      <c r="J636" s="13" t="str">
        <f>IF($A636="","",[1]!thsiFinD("ths_adjustment_nv_fund",J$3,$A636))</f>
        <v/>
      </c>
      <c r="K636" s="13" t="str">
        <f>IF($A636="","",[1]!thsiFinD("ths_adjustment_nv_fund",K$3,$A636))</f>
        <v/>
      </c>
      <c r="L636" s="13" t="str">
        <f>IF($A636="","",[1]!thsiFinD("ths_adjustment_nv_fund",L$3,$A636))</f>
        <v/>
      </c>
      <c r="M636" s="13" t="str">
        <f>IF($A636="","",[1]!thsiFinD("ths_adjustment_nv_fund",M$3,$A636))</f>
        <v/>
      </c>
      <c r="N636" s="13" t="str">
        <f>IF($A636="","",[1]!thsiFinD("ths_adjustment_nv_fund",N$3,$A636))</f>
        <v/>
      </c>
      <c r="O636" s="13" t="str">
        <f>IF($A636="","",[1]!thsiFinD("ths_adjustment_nv_fund",O$3,$A636))</f>
        <v/>
      </c>
      <c r="P636" s="13" t="str">
        <f>IF($A636="","",[1]!thsiFinD("ths_adjustment_nv_fund",P$3,$A636))</f>
        <v/>
      </c>
      <c r="Q636" s="13" t="str">
        <f>IF($A636="","",[1]!thsiFinD("ths_adjustment_nv_fund",Q$3,$A636))</f>
        <v/>
      </c>
      <c r="R636" s="13" t="str">
        <f>IF($A636="","",[1]!thsiFinD("ths_adjustment_nv_fund",R$3,$A636))</f>
        <v/>
      </c>
      <c r="S636" s="13" t="str">
        <f>IF($A636="","",[1]!thsiFinD("ths_adjustment_nv_fund",S$3,$A636))</f>
        <v/>
      </c>
      <c r="T636" s="13" t="str">
        <f>IF($A636="","",[1]!thsiFinD("ths_adjustment_nv_fund",T$3,$A636))</f>
        <v/>
      </c>
      <c r="U636" s="13" t="str">
        <f>IF($A636="","",[1]!thsiFinD("ths_adjustment_nv_fund",U$3,$A636))</f>
        <v/>
      </c>
      <c r="V636" s="13" t="str">
        <f>IF($A636="","",[1]!thsiFinD("ths_adjustment_nv_fund",V$3,$A636))</f>
        <v/>
      </c>
      <c r="W636" s="13" t="str">
        <f>IF($A636="","",[1]!thsiFinD("ths_adjustment_nv_fund",W$3,$A636))</f>
        <v/>
      </c>
      <c r="X636" s="13" t="str">
        <f>IF($A636="","",[1]!thsiFinD("ths_adjustment_nv_fund",X$3,$A636))</f>
        <v/>
      </c>
      <c r="Y636" s="13" t="str">
        <f>IF($A636="","",[1]!thsiFinD("ths_adjustment_nv_fund",Y$3,$A636))</f>
        <v/>
      </c>
      <c r="Z636" s="13" t="str">
        <f>IF($A636="","",[1]!thsiFinD("ths_adjustment_nv_fund",Z$3,$A636))</f>
        <v/>
      </c>
      <c r="AA636" s="13" t="str">
        <f>IF($A636="","",[1]!thsiFinD("ths_adjustment_nv_fund",AA$3,$A636))</f>
        <v/>
      </c>
      <c r="AB636" s="13">
        <f>IF($A636="","",[1]!thsiFinD("ths_adjustment_nv_fund",AB$3,$A636))</f>
        <v/>
      </c>
      <c r="AC636" s="13">
        <f>IF($A636="","",[1]!thsiFinD("ths_adjustment_nv_fund",AC$3,$A636))</f>
        <v/>
      </c>
      <c r="AD636" s="13">
        <f>IF($A636="","",[1]!thsiFinD("ths_adjustment_nv_fund",AD$3,$A636))</f>
        <v/>
      </c>
      <c r="AE636" s="13">
        <f>IF($A636="","",[1]!thsiFinD("ths_adjustment_nv_fund",AE$3,$A636))</f>
        <v/>
      </c>
      <c r="AF636" s="13">
        <f>IF($A636="","",[1]!thsiFinD("ths_adjustment_nv_fund",AF$3,$A636))</f>
        <v/>
      </c>
      <c r="AG636" s="13">
        <f>IF($A636="","",[1]!thsiFinD("ths_adjustment_nv_fund",AG$3,$A636))</f>
        <v/>
      </c>
      <c r="AH636" s="13">
        <f>IF($A636="","",[1]!thsiFinD("ths_adjustment_nv_fund",AH$3,$A636))</f>
        <v/>
      </c>
      <c r="AI636" s="13">
        <f>IF($A636="","",[1]!thsiFinD("ths_adjustment_nv_fund",AI$3,$A636))</f>
        <v/>
      </c>
      <c r="AJ636" s="13">
        <f>IF($A636="","",[1]!thsiFinD("ths_adjustment_nv_fund",AJ$3,$A636))</f>
        <v/>
      </c>
      <c r="AK636" s="13">
        <f>IF($A636="","",[1]!thsiFinD("ths_adjustment_nv_fund",AK$3,$A636))</f>
        <v/>
      </c>
      <c r="AL636" s="13">
        <f>IF($A636="","",[1]!thsiFinD("ths_adjustment_nv_fund",AL$3,$A636))</f>
        <v/>
      </c>
    </row>
    <row r="637" spans="2:28">
      <c r="B637" s="13" t="str">
        <f>IF($A637="","",[1]!thsiFinD("ths_adjustment_nv_fund",B$3,$A637))</f>
        <v/>
      </c>
      <c r="C637" s="13" t="str">
        <f>IF($A637="","",[1]!thsiFinD("ths_adjustment_nv_fund",C$3,$A637))</f>
        <v/>
      </c>
      <c r="D637" s="13" t="str">
        <f>IF($A637="","",[1]!thsiFinD("ths_adjustment_nv_fund",D$3,$A637))</f>
        <v/>
      </c>
      <c r="E637" s="13" t="str">
        <f>IF($A637="","",[1]!thsiFinD("ths_adjustment_nv_fund",E$3,$A637))</f>
        <v/>
      </c>
      <c r="F637" s="13" t="str">
        <f>IF($A637="","",[1]!thsiFinD("ths_adjustment_nv_fund",F$3,$A637))</f>
        <v/>
      </c>
      <c r="G637" s="13" t="str">
        <f>IF($A637="","",[1]!thsiFinD("ths_adjustment_nv_fund",G$3,$A637))</f>
        <v/>
      </c>
      <c r="H637" s="13" t="str">
        <f>IF($A637="","",[1]!thsiFinD("ths_adjustment_nv_fund",H$3,$A637))</f>
        <v/>
      </c>
      <c r="I637" s="13" t="str">
        <f>IF($A637="","",[1]!thsiFinD("ths_adjustment_nv_fund",I$3,$A637))</f>
        <v/>
      </c>
      <c r="J637" s="13" t="str">
        <f>IF($A637="","",[1]!thsiFinD("ths_adjustment_nv_fund",J$3,$A637))</f>
        <v/>
      </c>
      <c r="K637" s="13" t="str">
        <f>IF($A637="","",[1]!thsiFinD("ths_adjustment_nv_fund",K$3,$A637))</f>
        <v/>
      </c>
      <c r="L637" s="13" t="str">
        <f>IF($A637="","",[1]!thsiFinD("ths_adjustment_nv_fund",L$3,$A637))</f>
        <v/>
      </c>
      <c r="M637" s="13" t="str">
        <f>IF($A637="","",[1]!thsiFinD("ths_adjustment_nv_fund",M$3,$A637))</f>
        <v/>
      </c>
      <c r="N637" s="13" t="str">
        <f>IF($A637="","",[1]!thsiFinD("ths_adjustment_nv_fund",N$3,$A637))</f>
        <v/>
      </c>
      <c r="O637" s="13" t="str">
        <f>IF($A637="","",[1]!thsiFinD("ths_adjustment_nv_fund",O$3,$A637))</f>
        <v/>
      </c>
      <c r="P637" s="13" t="str">
        <f>IF($A637="","",[1]!thsiFinD("ths_adjustment_nv_fund",P$3,$A637))</f>
        <v/>
      </c>
      <c r="Q637" s="13" t="str">
        <f>IF($A637="","",[1]!thsiFinD("ths_adjustment_nv_fund",Q$3,$A637))</f>
        <v/>
      </c>
      <c r="R637" s="13" t="str">
        <f>IF($A637="","",[1]!thsiFinD("ths_adjustment_nv_fund",R$3,$A637))</f>
        <v/>
      </c>
      <c r="S637" s="13" t="str">
        <f>IF($A637="","",[1]!thsiFinD("ths_adjustment_nv_fund",S$3,$A637))</f>
        <v/>
      </c>
      <c r="T637" s="13" t="str">
        <f>IF($A637="","",[1]!thsiFinD("ths_adjustment_nv_fund",T$3,$A637))</f>
        <v/>
      </c>
      <c r="U637" s="13" t="str">
        <f>IF($A637="","",[1]!thsiFinD("ths_adjustment_nv_fund",U$3,$A637))</f>
        <v/>
      </c>
      <c r="V637" s="13" t="str">
        <f>IF($A637="","",[1]!thsiFinD("ths_adjustment_nv_fund",V$3,$A637))</f>
        <v/>
      </c>
      <c r="W637" s="13" t="str">
        <f>IF($A637="","",[1]!thsiFinD("ths_adjustment_nv_fund",W$3,$A637))</f>
        <v/>
      </c>
      <c r="X637" s="13" t="str">
        <f>IF($A637="","",[1]!thsiFinD("ths_adjustment_nv_fund",X$3,$A637))</f>
        <v/>
      </c>
      <c r="Y637" s="13" t="str">
        <f>IF($A637="","",[1]!thsiFinD("ths_adjustment_nv_fund",Y$3,$A637))</f>
        <v/>
      </c>
      <c r="Z637" s="13" t="str">
        <f>IF($A637="","",[1]!thsiFinD("ths_adjustment_nv_fund",Z$3,$A637))</f>
        <v/>
      </c>
      <c r="AA637" s="13" t="str">
        <f>IF($A637="","",[1]!thsiFinD("ths_adjustment_nv_fund",AA$3,$A637))</f>
        <v/>
      </c>
      <c r="AB637" s="13">
        <f>IF($A637="","",[1]!thsiFinD("ths_adjustment_nv_fund",AB$3,$A637))</f>
        <v/>
      </c>
      <c r="AC637" s="13">
        <f>IF($A637="","",[1]!thsiFinD("ths_adjustment_nv_fund",AC$3,$A637))</f>
        <v/>
      </c>
      <c r="AD637" s="13">
        <f>IF($A637="","",[1]!thsiFinD("ths_adjustment_nv_fund",AD$3,$A637))</f>
        <v/>
      </c>
      <c r="AE637" s="13">
        <f>IF($A637="","",[1]!thsiFinD("ths_adjustment_nv_fund",AE$3,$A637))</f>
        <v/>
      </c>
      <c r="AF637" s="13">
        <f>IF($A637="","",[1]!thsiFinD("ths_adjustment_nv_fund",AF$3,$A637))</f>
        <v/>
      </c>
      <c r="AG637" s="13">
        <f>IF($A637="","",[1]!thsiFinD("ths_adjustment_nv_fund",AG$3,$A637))</f>
        <v/>
      </c>
      <c r="AH637" s="13">
        <f>IF($A637="","",[1]!thsiFinD("ths_adjustment_nv_fund",AH$3,$A637))</f>
        <v/>
      </c>
      <c r="AI637" s="13">
        <f>IF($A637="","",[1]!thsiFinD("ths_adjustment_nv_fund",AI$3,$A637))</f>
        <v/>
      </c>
      <c r="AJ637" s="13">
        <f>IF($A637="","",[1]!thsiFinD("ths_adjustment_nv_fund",AJ$3,$A637))</f>
        <v/>
      </c>
      <c r="AK637" s="13">
        <f>IF($A637="","",[1]!thsiFinD("ths_adjustment_nv_fund",AK$3,$A637))</f>
        <v/>
      </c>
      <c r="AL637" s="13">
        <f>IF($A637="","",[1]!thsiFinD("ths_adjustment_nv_fund",AL$3,$A637))</f>
        <v/>
      </c>
    </row>
    <row r="638" spans="2:28">
      <c r="B638" s="13" t="str">
        <f>IF($A638="","",[1]!thsiFinD("ths_adjustment_nv_fund",B$3,$A638))</f>
        <v/>
      </c>
      <c r="C638" s="13" t="str">
        <f>IF($A638="","",[1]!thsiFinD("ths_adjustment_nv_fund",C$3,$A638))</f>
        <v/>
      </c>
      <c r="D638" s="13" t="str">
        <f>IF($A638="","",[1]!thsiFinD("ths_adjustment_nv_fund",D$3,$A638))</f>
        <v/>
      </c>
      <c r="E638" s="13" t="str">
        <f>IF($A638="","",[1]!thsiFinD("ths_adjustment_nv_fund",E$3,$A638))</f>
        <v/>
      </c>
      <c r="F638" s="13" t="str">
        <f>IF($A638="","",[1]!thsiFinD("ths_adjustment_nv_fund",F$3,$A638))</f>
        <v/>
      </c>
      <c r="G638" s="13" t="str">
        <f>IF($A638="","",[1]!thsiFinD("ths_adjustment_nv_fund",G$3,$A638))</f>
        <v/>
      </c>
      <c r="H638" s="13" t="str">
        <f>IF($A638="","",[1]!thsiFinD("ths_adjustment_nv_fund",H$3,$A638))</f>
        <v/>
      </c>
      <c r="I638" s="13" t="str">
        <f>IF($A638="","",[1]!thsiFinD("ths_adjustment_nv_fund",I$3,$A638))</f>
        <v/>
      </c>
      <c r="J638" s="13" t="str">
        <f>IF($A638="","",[1]!thsiFinD("ths_adjustment_nv_fund",J$3,$A638))</f>
        <v/>
      </c>
      <c r="K638" s="13" t="str">
        <f>IF($A638="","",[1]!thsiFinD("ths_adjustment_nv_fund",K$3,$A638))</f>
        <v/>
      </c>
      <c r="L638" s="13" t="str">
        <f>IF($A638="","",[1]!thsiFinD("ths_adjustment_nv_fund",L$3,$A638))</f>
        <v/>
      </c>
      <c r="M638" s="13" t="str">
        <f>IF($A638="","",[1]!thsiFinD("ths_adjustment_nv_fund",M$3,$A638))</f>
        <v/>
      </c>
      <c r="N638" s="13" t="str">
        <f>IF($A638="","",[1]!thsiFinD("ths_adjustment_nv_fund",N$3,$A638))</f>
        <v/>
      </c>
      <c r="O638" s="13" t="str">
        <f>IF($A638="","",[1]!thsiFinD("ths_adjustment_nv_fund",O$3,$A638))</f>
        <v/>
      </c>
      <c r="P638" s="13" t="str">
        <f>IF($A638="","",[1]!thsiFinD("ths_adjustment_nv_fund",P$3,$A638))</f>
        <v/>
      </c>
      <c r="Q638" s="13" t="str">
        <f>IF($A638="","",[1]!thsiFinD("ths_adjustment_nv_fund",Q$3,$A638))</f>
        <v/>
      </c>
      <c r="R638" s="13" t="str">
        <f>IF($A638="","",[1]!thsiFinD("ths_adjustment_nv_fund",R$3,$A638))</f>
        <v/>
      </c>
      <c r="S638" s="13" t="str">
        <f>IF($A638="","",[1]!thsiFinD("ths_adjustment_nv_fund",S$3,$A638))</f>
        <v/>
      </c>
      <c r="T638" s="13" t="str">
        <f>IF($A638="","",[1]!thsiFinD("ths_adjustment_nv_fund",T$3,$A638))</f>
        <v/>
      </c>
      <c r="U638" s="13" t="str">
        <f>IF($A638="","",[1]!thsiFinD("ths_adjustment_nv_fund",U$3,$A638))</f>
        <v/>
      </c>
      <c r="V638" s="13" t="str">
        <f>IF($A638="","",[1]!thsiFinD("ths_adjustment_nv_fund",V$3,$A638))</f>
        <v/>
      </c>
      <c r="W638" s="13" t="str">
        <f>IF($A638="","",[1]!thsiFinD("ths_adjustment_nv_fund",W$3,$A638))</f>
        <v/>
      </c>
      <c r="X638" s="13" t="str">
        <f>IF($A638="","",[1]!thsiFinD("ths_adjustment_nv_fund",X$3,$A638))</f>
        <v/>
      </c>
      <c r="Y638" s="13" t="str">
        <f>IF($A638="","",[1]!thsiFinD("ths_adjustment_nv_fund",Y$3,$A638))</f>
        <v/>
      </c>
      <c r="Z638" s="13" t="str">
        <f>IF($A638="","",[1]!thsiFinD("ths_adjustment_nv_fund",Z$3,$A638))</f>
        <v/>
      </c>
      <c r="AA638" s="13" t="str">
        <f>IF($A638="","",[1]!thsiFinD("ths_adjustment_nv_fund",AA$3,$A638))</f>
        <v/>
      </c>
      <c r="AB638" s="13">
        <f>IF($A638="","",[1]!thsiFinD("ths_adjustment_nv_fund",AB$3,$A638))</f>
        <v/>
      </c>
      <c r="AC638" s="13">
        <f>IF($A638="","",[1]!thsiFinD("ths_adjustment_nv_fund",AC$3,$A638))</f>
        <v/>
      </c>
      <c r="AD638" s="13">
        <f>IF($A638="","",[1]!thsiFinD("ths_adjustment_nv_fund",AD$3,$A638))</f>
        <v/>
      </c>
      <c r="AE638" s="13">
        <f>IF($A638="","",[1]!thsiFinD("ths_adjustment_nv_fund",AE$3,$A638))</f>
        <v/>
      </c>
      <c r="AF638" s="13">
        <f>IF($A638="","",[1]!thsiFinD("ths_adjustment_nv_fund",AF$3,$A638))</f>
        <v/>
      </c>
      <c r="AG638" s="13">
        <f>IF($A638="","",[1]!thsiFinD("ths_adjustment_nv_fund",AG$3,$A638))</f>
        <v/>
      </c>
      <c r="AH638" s="13">
        <f>IF($A638="","",[1]!thsiFinD("ths_adjustment_nv_fund",AH$3,$A638))</f>
        <v/>
      </c>
      <c r="AI638" s="13">
        <f>IF($A638="","",[1]!thsiFinD("ths_adjustment_nv_fund",AI$3,$A638))</f>
        <v/>
      </c>
      <c r="AJ638" s="13">
        <f>IF($A638="","",[1]!thsiFinD("ths_adjustment_nv_fund",AJ$3,$A638))</f>
        <v/>
      </c>
      <c r="AK638" s="13">
        <f>IF($A638="","",[1]!thsiFinD("ths_adjustment_nv_fund",AK$3,$A638))</f>
        <v/>
      </c>
      <c r="AL638" s="13">
        <f>IF($A638="","",[1]!thsiFinD("ths_adjustment_nv_fund",AL$3,$A638))</f>
        <v/>
      </c>
    </row>
    <row r="639" spans="2:28">
      <c r="B639" s="13" t="str">
        <f>IF($A639="","",[1]!thsiFinD("ths_adjustment_nv_fund",B$3,$A639))</f>
        <v/>
      </c>
      <c r="C639" s="13" t="str">
        <f>IF($A639="","",[1]!thsiFinD("ths_adjustment_nv_fund",C$3,$A639))</f>
        <v/>
      </c>
      <c r="D639" s="13" t="str">
        <f>IF($A639="","",[1]!thsiFinD("ths_adjustment_nv_fund",D$3,$A639))</f>
        <v/>
      </c>
      <c r="E639" s="13" t="str">
        <f>IF($A639="","",[1]!thsiFinD("ths_adjustment_nv_fund",E$3,$A639))</f>
        <v/>
      </c>
      <c r="F639" s="13" t="str">
        <f>IF($A639="","",[1]!thsiFinD("ths_adjustment_nv_fund",F$3,$A639))</f>
        <v/>
      </c>
      <c r="G639" s="13" t="str">
        <f>IF($A639="","",[1]!thsiFinD("ths_adjustment_nv_fund",G$3,$A639))</f>
        <v/>
      </c>
      <c r="H639" s="13" t="str">
        <f>IF($A639="","",[1]!thsiFinD("ths_adjustment_nv_fund",H$3,$A639))</f>
        <v/>
      </c>
      <c r="I639" s="13" t="str">
        <f>IF($A639="","",[1]!thsiFinD("ths_adjustment_nv_fund",I$3,$A639))</f>
        <v/>
      </c>
      <c r="J639" s="13" t="str">
        <f>IF($A639="","",[1]!thsiFinD("ths_adjustment_nv_fund",J$3,$A639))</f>
        <v/>
      </c>
      <c r="K639" s="13" t="str">
        <f>IF($A639="","",[1]!thsiFinD("ths_adjustment_nv_fund",K$3,$A639))</f>
        <v/>
      </c>
      <c r="L639" s="13" t="str">
        <f>IF($A639="","",[1]!thsiFinD("ths_adjustment_nv_fund",L$3,$A639))</f>
        <v/>
      </c>
      <c r="M639" s="13" t="str">
        <f>IF($A639="","",[1]!thsiFinD("ths_adjustment_nv_fund",M$3,$A639))</f>
        <v/>
      </c>
      <c r="N639" s="13" t="str">
        <f>IF($A639="","",[1]!thsiFinD("ths_adjustment_nv_fund",N$3,$A639))</f>
        <v/>
      </c>
      <c r="O639" s="13" t="str">
        <f>IF($A639="","",[1]!thsiFinD("ths_adjustment_nv_fund",O$3,$A639))</f>
        <v/>
      </c>
      <c r="P639" s="13" t="str">
        <f>IF($A639="","",[1]!thsiFinD("ths_adjustment_nv_fund",P$3,$A639))</f>
        <v/>
      </c>
      <c r="Q639" s="13" t="str">
        <f>IF($A639="","",[1]!thsiFinD("ths_adjustment_nv_fund",Q$3,$A639))</f>
        <v/>
      </c>
      <c r="R639" s="13" t="str">
        <f>IF($A639="","",[1]!thsiFinD("ths_adjustment_nv_fund",R$3,$A639))</f>
        <v/>
      </c>
      <c r="S639" s="13" t="str">
        <f>IF($A639="","",[1]!thsiFinD("ths_adjustment_nv_fund",S$3,$A639))</f>
        <v/>
      </c>
      <c r="T639" s="13" t="str">
        <f>IF($A639="","",[1]!thsiFinD("ths_adjustment_nv_fund",T$3,$A639))</f>
        <v/>
      </c>
      <c r="U639" s="13" t="str">
        <f>IF($A639="","",[1]!thsiFinD("ths_adjustment_nv_fund",U$3,$A639))</f>
        <v/>
      </c>
      <c r="V639" s="13" t="str">
        <f>IF($A639="","",[1]!thsiFinD("ths_adjustment_nv_fund",V$3,$A639))</f>
        <v/>
      </c>
      <c r="W639" s="13" t="str">
        <f>IF($A639="","",[1]!thsiFinD("ths_adjustment_nv_fund",W$3,$A639))</f>
        <v/>
      </c>
      <c r="X639" s="13" t="str">
        <f>IF($A639="","",[1]!thsiFinD("ths_adjustment_nv_fund",X$3,$A639))</f>
        <v/>
      </c>
      <c r="Y639" s="13" t="str">
        <f>IF($A639="","",[1]!thsiFinD("ths_adjustment_nv_fund",Y$3,$A639))</f>
        <v/>
      </c>
      <c r="Z639" s="13" t="str">
        <f>IF($A639="","",[1]!thsiFinD("ths_adjustment_nv_fund",Z$3,$A639))</f>
        <v/>
      </c>
      <c r="AA639" s="13" t="str">
        <f>IF($A639="","",[1]!thsiFinD("ths_adjustment_nv_fund",AA$3,$A639))</f>
        <v/>
      </c>
      <c r="AB639" s="13">
        <f>IF($A639="","",[1]!thsiFinD("ths_adjustment_nv_fund",AB$3,$A639))</f>
        <v/>
      </c>
      <c r="AC639" s="13">
        <f>IF($A639="","",[1]!thsiFinD("ths_adjustment_nv_fund",AC$3,$A639))</f>
        <v/>
      </c>
      <c r="AD639" s="13">
        <f>IF($A639="","",[1]!thsiFinD("ths_adjustment_nv_fund",AD$3,$A639))</f>
        <v/>
      </c>
      <c r="AE639" s="13">
        <f>IF($A639="","",[1]!thsiFinD("ths_adjustment_nv_fund",AE$3,$A639))</f>
        <v/>
      </c>
      <c r="AF639" s="13">
        <f>IF($A639="","",[1]!thsiFinD("ths_adjustment_nv_fund",AF$3,$A639))</f>
        <v/>
      </c>
      <c r="AG639" s="13">
        <f>IF($A639="","",[1]!thsiFinD("ths_adjustment_nv_fund",AG$3,$A639))</f>
        <v/>
      </c>
      <c r="AH639" s="13">
        <f>IF($A639="","",[1]!thsiFinD("ths_adjustment_nv_fund",AH$3,$A639))</f>
        <v/>
      </c>
      <c r="AI639" s="13">
        <f>IF($A639="","",[1]!thsiFinD("ths_adjustment_nv_fund",AI$3,$A639))</f>
        <v/>
      </c>
      <c r="AJ639" s="13">
        <f>IF($A639="","",[1]!thsiFinD("ths_adjustment_nv_fund",AJ$3,$A639))</f>
        <v/>
      </c>
      <c r="AK639" s="13">
        <f>IF($A639="","",[1]!thsiFinD("ths_adjustment_nv_fund",AK$3,$A639))</f>
        <v/>
      </c>
      <c r="AL639" s="13">
        <f>IF($A639="","",[1]!thsiFinD("ths_adjustment_nv_fund",AL$3,$A639))</f>
        <v/>
      </c>
    </row>
    <row r="640" spans="2:28">
      <c r="B640" s="13" t="str">
        <f>IF($A640="","",[1]!thsiFinD("ths_adjustment_nv_fund",B$3,$A640))</f>
        <v/>
      </c>
      <c r="C640" s="13" t="str">
        <f>IF($A640="","",[1]!thsiFinD("ths_adjustment_nv_fund",C$3,$A640))</f>
        <v/>
      </c>
      <c r="D640" s="13" t="str">
        <f>IF($A640="","",[1]!thsiFinD("ths_adjustment_nv_fund",D$3,$A640))</f>
        <v/>
      </c>
      <c r="E640" s="13" t="str">
        <f>IF($A640="","",[1]!thsiFinD("ths_adjustment_nv_fund",E$3,$A640))</f>
        <v/>
      </c>
      <c r="F640" s="13" t="str">
        <f>IF($A640="","",[1]!thsiFinD("ths_adjustment_nv_fund",F$3,$A640))</f>
        <v/>
      </c>
      <c r="G640" s="13" t="str">
        <f>IF($A640="","",[1]!thsiFinD("ths_adjustment_nv_fund",G$3,$A640))</f>
        <v/>
      </c>
      <c r="H640" s="13" t="str">
        <f>IF($A640="","",[1]!thsiFinD("ths_adjustment_nv_fund",H$3,$A640))</f>
        <v/>
      </c>
      <c r="I640" s="13" t="str">
        <f>IF($A640="","",[1]!thsiFinD("ths_adjustment_nv_fund",I$3,$A640))</f>
        <v/>
      </c>
      <c r="J640" s="13" t="str">
        <f>IF($A640="","",[1]!thsiFinD("ths_adjustment_nv_fund",J$3,$A640))</f>
        <v/>
      </c>
      <c r="K640" s="13" t="str">
        <f>IF($A640="","",[1]!thsiFinD("ths_adjustment_nv_fund",K$3,$A640))</f>
        <v/>
      </c>
      <c r="L640" s="13" t="str">
        <f>IF($A640="","",[1]!thsiFinD("ths_adjustment_nv_fund",L$3,$A640))</f>
        <v/>
      </c>
      <c r="M640" s="13" t="str">
        <f>IF($A640="","",[1]!thsiFinD("ths_adjustment_nv_fund",M$3,$A640))</f>
        <v/>
      </c>
      <c r="N640" s="13" t="str">
        <f>IF($A640="","",[1]!thsiFinD("ths_adjustment_nv_fund",N$3,$A640))</f>
        <v/>
      </c>
      <c r="O640" s="13" t="str">
        <f>IF($A640="","",[1]!thsiFinD("ths_adjustment_nv_fund",O$3,$A640))</f>
        <v/>
      </c>
      <c r="P640" s="13" t="str">
        <f>IF($A640="","",[1]!thsiFinD("ths_adjustment_nv_fund",P$3,$A640))</f>
        <v/>
      </c>
      <c r="Q640" s="13" t="str">
        <f>IF($A640="","",[1]!thsiFinD("ths_adjustment_nv_fund",Q$3,$A640))</f>
        <v/>
      </c>
      <c r="R640" s="13" t="str">
        <f>IF($A640="","",[1]!thsiFinD("ths_adjustment_nv_fund",R$3,$A640))</f>
        <v/>
      </c>
      <c r="S640" s="13" t="str">
        <f>IF($A640="","",[1]!thsiFinD("ths_adjustment_nv_fund",S$3,$A640))</f>
        <v/>
      </c>
      <c r="T640" s="13" t="str">
        <f>IF($A640="","",[1]!thsiFinD("ths_adjustment_nv_fund",T$3,$A640))</f>
        <v/>
      </c>
      <c r="U640" s="13" t="str">
        <f>IF($A640="","",[1]!thsiFinD("ths_adjustment_nv_fund",U$3,$A640))</f>
        <v/>
      </c>
      <c r="V640" s="13" t="str">
        <f>IF($A640="","",[1]!thsiFinD("ths_adjustment_nv_fund",V$3,$A640))</f>
        <v/>
      </c>
      <c r="W640" s="13" t="str">
        <f>IF($A640="","",[1]!thsiFinD("ths_adjustment_nv_fund",W$3,$A640))</f>
        <v/>
      </c>
      <c r="X640" s="13" t="str">
        <f>IF($A640="","",[1]!thsiFinD("ths_adjustment_nv_fund",X$3,$A640))</f>
        <v/>
      </c>
      <c r="Y640" s="13" t="str">
        <f>IF($A640="","",[1]!thsiFinD("ths_adjustment_nv_fund",Y$3,$A640))</f>
        <v/>
      </c>
      <c r="Z640" s="13" t="str">
        <f>IF($A640="","",[1]!thsiFinD("ths_adjustment_nv_fund",Z$3,$A640))</f>
        <v/>
      </c>
      <c r="AA640" s="13" t="str">
        <f>IF($A640="","",[1]!thsiFinD("ths_adjustment_nv_fund",AA$3,$A640))</f>
        <v/>
      </c>
      <c r="AB640" s="13">
        <f>IF($A640="","",[1]!thsiFinD("ths_adjustment_nv_fund",AB$3,$A640))</f>
        <v/>
      </c>
      <c r="AC640" s="13">
        <f>IF($A640="","",[1]!thsiFinD("ths_adjustment_nv_fund",AC$3,$A640))</f>
        <v/>
      </c>
      <c r="AD640" s="13">
        <f>IF($A640="","",[1]!thsiFinD("ths_adjustment_nv_fund",AD$3,$A640))</f>
        <v/>
      </c>
      <c r="AE640" s="13">
        <f>IF($A640="","",[1]!thsiFinD("ths_adjustment_nv_fund",AE$3,$A640))</f>
        <v/>
      </c>
      <c r="AF640" s="13">
        <f>IF($A640="","",[1]!thsiFinD("ths_adjustment_nv_fund",AF$3,$A640))</f>
        <v/>
      </c>
      <c r="AG640" s="13">
        <f>IF($A640="","",[1]!thsiFinD("ths_adjustment_nv_fund",AG$3,$A640))</f>
        <v/>
      </c>
      <c r="AH640" s="13">
        <f>IF($A640="","",[1]!thsiFinD("ths_adjustment_nv_fund",AH$3,$A640))</f>
        <v/>
      </c>
      <c r="AI640" s="13">
        <f>IF($A640="","",[1]!thsiFinD("ths_adjustment_nv_fund",AI$3,$A640))</f>
        <v/>
      </c>
      <c r="AJ640" s="13">
        <f>IF($A640="","",[1]!thsiFinD("ths_adjustment_nv_fund",AJ$3,$A640))</f>
        <v/>
      </c>
      <c r="AK640" s="13">
        <f>IF($A640="","",[1]!thsiFinD("ths_adjustment_nv_fund",AK$3,$A640))</f>
        <v/>
      </c>
      <c r="AL640" s="13">
        <f>IF($A640="","",[1]!thsiFinD("ths_adjustment_nv_fund",AL$3,$A640))</f>
        <v/>
      </c>
    </row>
    <row r="641" spans="2:28">
      <c r="B641" s="13" t="str">
        <f>IF($A641="","",[1]!thsiFinD("ths_adjustment_nv_fund",B$3,$A641))</f>
        <v/>
      </c>
      <c r="C641" s="13" t="str">
        <f>IF($A641="","",[1]!thsiFinD("ths_adjustment_nv_fund",C$3,$A641))</f>
        <v/>
      </c>
      <c r="D641" s="13" t="str">
        <f>IF($A641="","",[1]!thsiFinD("ths_adjustment_nv_fund",D$3,$A641))</f>
        <v/>
      </c>
      <c r="E641" s="13" t="str">
        <f>IF($A641="","",[1]!thsiFinD("ths_adjustment_nv_fund",E$3,$A641))</f>
        <v/>
      </c>
      <c r="F641" s="13" t="str">
        <f>IF($A641="","",[1]!thsiFinD("ths_adjustment_nv_fund",F$3,$A641))</f>
        <v/>
      </c>
      <c r="G641" s="13" t="str">
        <f>IF($A641="","",[1]!thsiFinD("ths_adjustment_nv_fund",G$3,$A641))</f>
        <v/>
      </c>
      <c r="H641" s="13" t="str">
        <f>IF($A641="","",[1]!thsiFinD("ths_adjustment_nv_fund",H$3,$A641))</f>
        <v/>
      </c>
      <c r="I641" s="13" t="str">
        <f>IF($A641="","",[1]!thsiFinD("ths_adjustment_nv_fund",I$3,$A641))</f>
        <v/>
      </c>
      <c r="J641" s="13" t="str">
        <f>IF($A641="","",[1]!thsiFinD("ths_adjustment_nv_fund",J$3,$A641))</f>
        <v/>
      </c>
      <c r="K641" s="13" t="str">
        <f>IF($A641="","",[1]!thsiFinD("ths_adjustment_nv_fund",K$3,$A641))</f>
        <v/>
      </c>
      <c r="L641" s="13" t="str">
        <f>IF($A641="","",[1]!thsiFinD("ths_adjustment_nv_fund",L$3,$A641))</f>
        <v/>
      </c>
      <c r="M641" s="13" t="str">
        <f>IF($A641="","",[1]!thsiFinD("ths_adjustment_nv_fund",M$3,$A641))</f>
        <v/>
      </c>
      <c r="N641" s="13" t="str">
        <f>IF($A641="","",[1]!thsiFinD("ths_adjustment_nv_fund",N$3,$A641))</f>
        <v/>
      </c>
      <c r="O641" s="13" t="str">
        <f>IF($A641="","",[1]!thsiFinD("ths_adjustment_nv_fund",O$3,$A641))</f>
        <v/>
      </c>
      <c r="P641" s="13" t="str">
        <f>IF($A641="","",[1]!thsiFinD("ths_adjustment_nv_fund",P$3,$A641))</f>
        <v/>
      </c>
      <c r="Q641" s="13" t="str">
        <f>IF($A641="","",[1]!thsiFinD("ths_adjustment_nv_fund",Q$3,$A641))</f>
        <v/>
      </c>
      <c r="R641" s="13" t="str">
        <f>IF($A641="","",[1]!thsiFinD("ths_adjustment_nv_fund",R$3,$A641))</f>
        <v/>
      </c>
      <c r="S641" s="13" t="str">
        <f>IF($A641="","",[1]!thsiFinD("ths_adjustment_nv_fund",S$3,$A641))</f>
        <v/>
      </c>
      <c r="T641" s="13" t="str">
        <f>IF($A641="","",[1]!thsiFinD("ths_adjustment_nv_fund",T$3,$A641))</f>
        <v/>
      </c>
      <c r="U641" s="13" t="str">
        <f>IF($A641="","",[1]!thsiFinD("ths_adjustment_nv_fund",U$3,$A641))</f>
        <v/>
      </c>
      <c r="V641" s="13" t="str">
        <f>IF($A641="","",[1]!thsiFinD("ths_adjustment_nv_fund",V$3,$A641))</f>
        <v/>
      </c>
      <c r="W641" s="13" t="str">
        <f>IF($A641="","",[1]!thsiFinD("ths_adjustment_nv_fund",W$3,$A641))</f>
        <v/>
      </c>
      <c r="X641" s="13" t="str">
        <f>IF($A641="","",[1]!thsiFinD("ths_adjustment_nv_fund",X$3,$A641))</f>
        <v/>
      </c>
      <c r="Y641" s="13" t="str">
        <f>IF($A641="","",[1]!thsiFinD("ths_adjustment_nv_fund",Y$3,$A641))</f>
        <v/>
      </c>
      <c r="Z641" s="13" t="str">
        <f>IF($A641="","",[1]!thsiFinD("ths_adjustment_nv_fund",Z$3,$A641))</f>
        <v/>
      </c>
      <c r="AA641" s="13" t="str">
        <f>IF($A641="","",[1]!thsiFinD("ths_adjustment_nv_fund",AA$3,$A641))</f>
        <v/>
      </c>
      <c r="AB641" s="13">
        <f>IF($A641="","",[1]!thsiFinD("ths_adjustment_nv_fund",AB$3,$A641))</f>
        <v/>
      </c>
      <c r="AC641" s="13">
        <f>IF($A641="","",[1]!thsiFinD("ths_adjustment_nv_fund",AC$3,$A641))</f>
        <v/>
      </c>
      <c r="AD641" s="13">
        <f>IF($A641="","",[1]!thsiFinD("ths_adjustment_nv_fund",AD$3,$A641))</f>
        <v/>
      </c>
      <c r="AE641" s="13">
        <f>IF($A641="","",[1]!thsiFinD("ths_adjustment_nv_fund",AE$3,$A641))</f>
        <v/>
      </c>
      <c r="AF641" s="13">
        <f>IF($A641="","",[1]!thsiFinD("ths_adjustment_nv_fund",AF$3,$A641))</f>
        <v/>
      </c>
      <c r="AG641" s="13">
        <f>IF($A641="","",[1]!thsiFinD("ths_adjustment_nv_fund",AG$3,$A641))</f>
        <v/>
      </c>
      <c r="AH641" s="13">
        <f>IF($A641="","",[1]!thsiFinD("ths_adjustment_nv_fund",AH$3,$A641))</f>
        <v/>
      </c>
      <c r="AI641" s="13">
        <f>IF($A641="","",[1]!thsiFinD("ths_adjustment_nv_fund",AI$3,$A641))</f>
        <v/>
      </c>
      <c r="AJ641" s="13">
        <f>IF($A641="","",[1]!thsiFinD("ths_adjustment_nv_fund",AJ$3,$A641))</f>
        <v/>
      </c>
      <c r="AK641" s="13">
        <f>IF($A641="","",[1]!thsiFinD("ths_adjustment_nv_fund",AK$3,$A641))</f>
        <v/>
      </c>
      <c r="AL641" s="13">
        <f>IF($A641="","",[1]!thsiFinD("ths_adjustment_nv_fund",AL$3,$A641))</f>
        <v/>
      </c>
    </row>
    <row r="642" spans="2:28">
      <c r="B642" s="13" t="str">
        <f>IF($A642="","",[1]!thsiFinD("ths_adjustment_nv_fund",B$3,$A642))</f>
        <v/>
      </c>
      <c r="C642" s="13" t="str">
        <f>IF($A642="","",[1]!thsiFinD("ths_adjustment_nv_fund",C$3,$A642))</f>
        <v/>
      </c>
      <c r="D642" s="13" t="str">
        <f>IF($A642="","",[1]!thsiFinD("ths_adjustment_nv_fund",D$3,$A642))</f>
        <v/>
      </c>
      <c r="E642" s="13" t="str">
        <f>IF($A642="","",[1]!thsiFinD("ths_adjustment_nv_fund",E$3,$A642))</f>
        <v/>
      </c>
      <c r="F642" s="13" t="str">
        <f>IF($A642="","",[1]!thsiFinD("ths_adjustment_nv_fund",F$3,$A642))</f>
        <v/>
      </c>
      <c r="G642" s="13" t="str">
        <f>IF($A642="","",[1]!thsiFinD("ths_adjustment_nv_fund",G$3,$A642))</f>
        <v/>
      </c>
      <c r="H642" s="13" t="str">
        <f>IF($A642="","",[1]!thsiFinD("ths_adjustment_nv_fund",H$3,$A642))</f>
        <v/>
      </c>
      <c r="I642" s="13" t="str">
        <f>IF($A642="","",[1]!thsiFinD("ths_adjustment_nv_fund",I$3,$A642))</f>
        <v/>
      </c>
      <c r="J642" s="13" t="str">
        <f>IF($A642="","",[1]!thsiFinD("ths_adjustment_nv_fund",J$3,$A642))</f>
        <v/>
      </c>
      <c r="K642" s="13" t="str">
        <f>IF($A642="","",[1]!thsiFinD("ths_adjustment_nv_fund",K$3,$A642))</f>
        <v/>
      </c>
      <c r="L642" s="13" t="str">
        <f>IF($A642="","",[1]!thsiFinD("ths_adjustment_nv_fund",L$3,$A642))</f>
        <v/>
      </c>
      <c r="M642" s="13" t="str">
        <f>IF($A642="","",[1]!thsiFinD("ths_adjustment_nv_fund",M$3,$A642))</f>
        <v/>
      </c>
      <c r="N642" s="13" t="str">
        <f>IF($A642="","",[1]!thsiFinD("ths_adjustment_nv_fund",N$3,$A642))</f>
        <v/>
      </c>
      <c r="O642" s="13" t="str">
        <f>IF($A642="","",[1]!thsiFinD("ths_adjustment_nv_fund",O$3,$A642))</f>
        <v/>
      </c>
      <c r="P642" s="13" t="str">
        <f>IF($A642="","",[1]!thsiFinD("ths_adjustment_nv_fund",P$3,$A642))</f>
        <v/>
      </c>
      <c r="Q642" s="13" t="str">
        <f>IF($A642="","",[1]!thsiFinD("ths_adjustment_nv_fund",Q$3,$A642))</f>
        <v/>
      </c>
      <c r="R642" s="13" t="str">
        <f>IF($A642="","",[1]!thsiFinD("ths_adjustment_nv_fund",R$3,$A642))</f>
        <v/>
      </c>
      <c r="S642" s="13" t="str">
        <f>IF($A642="","",[1]!thsiFinD("ths_adjustment_nv_fund",S$3,$A642))</f>
        <v/>
      </c>
      <c r="T642" s="13" t="str">
        <f>IF($A642="","",[1]!thsiFinD("ths_adjustment_nv_fund",T$3,$A642))</f>
        <v/>
      </c>
      <c r="U642" s="13" t="str">
        <f>IF($A642="","",[1]!thsiFinD("ths_adjustment_nv_fund",U$3,$A642))</f>
        <v/>
      </c>
      <c r="V642" s="13" t="str">
        <f>IF($A642="","",[1]!thsiFinD("ths_adjustment_nv_fund",V$3,$A642))</f>
        <v/>
      </c>
      <c r="W642" s="13" t="str">
        <f>IF($A642="","",[1]!thsiFinD("ths_adjustment_nv_fund",W$3,$A642))</f>
        <v/>
      </c>
      <c r="X642" s="13" t="str">
        <f>IF($A642="","",[1]!thsiFinD("ths_adjustment_nv_fund",X$3,$A642))</f>
        <v/>
      </c>
      <c r="Y642" s="13" t="str">
        <f>IF($A642="","",[1]!thsiFinD("ths_adjustment_nv_fund",Y$3,$A642))</f>
        <v/>
      </c>
      <c r="Z642" s="13" t="str">
        <f>IF($A642="","",[1]!thsiFinD("ths_adjustment_nv_fund",Z$3,$A642))</f>
        <v/>
      </c>
      <c r="AA642" s="13" t="str">
        <f>IF($A642="","",[1]!thsiFinD("ths_adjustment_nv_fund",AA$3,$A642))</f>
        <v/>
      </c>
      <c r="AB642" s="13">
        <f>IF($A642="","",[1]!thsiFinD("ths_adjustment_nv_fund",AB$3,$A642))</f>
        <v/>
      </c>
      <c r="AC642" s="13">
        <f>IF($A642="","",[1]!thsiFinD("ths_adjustment_nv_fund",AC$3,$A642))</f>
        <v/>
      </c>
      <c r="AD642" s="13">
        <f>IF($A642="","",[1]!thsiFinD("ths_adjustment_nv_fund",AD$3,$A642))</f>
        <v/>
      </c>
      <c r="AE642" s="13">
        <f>IF($A642="","",[1]!thsiFinD("ths_adjustment_nv_fund",AE$3,$A642))</f>
        <v/>
      </c>
      <c r="AF642" s="13">
        <f>IF($A642="","",[1]!thsiFinD("ths_adjustment_nv_fund",AF$3,$A642))</f>
        <v/>
      </c>
      <c r="AG642" s="13">
        <f>IF($A642="","",[1]!thsiFinD("ths_adjustment_nv_fund",AG$3,$A642))</f>
        <v/>
      </c>
      <c r="AH642" s="13">
        <f>IF($A642="","",[1]!thsiFinD("ths_adjustment_nv_fund",AH$3,$A642))</f>
        <v/>
      </c>
      <c r="AI642" s="13">
        <f>IF($A642="","",[1]!thsiFinD("ths_adjustment_nv_fund",AI$3,$A642))</f>
        <v/>
      </c>
      <c r="AJ642" s="13">
        <f>IF($A642="","",[1]!thsiFinD("ths_adjustment_nv_fund",AJ$3,$A642))</f>
        <v/>
      </c>
      <c r="AK642" s="13">
        <f>IF($A642="","",[1]!thsiFinD("ths_adjustment_nv_fund",AK$3,$A642))</f>
        <v/>
      </c>
      <c r="AL642" s="13">
        <f>IF($A642="","",[1]!thsiFinD("ths_adjustment_nv_fund",AL$3,$A642))</f>
        <v/>
      </c>
    </row>
    <row r="643" spans="2:28">
      <c r="B643" s="13" t="str">
        <f>IF($A643="","",[1]!thsiFinD("ths_adjustment_nv_fund",B$3,$A643))</f>
        <v/>
      </c>
      <c r="C643" s="13" t="str">
        <f>IF($A643="","",[1]!thsiFinD("ths_adjustment_nv_fund",C$3,$A643))</f>
        <v/>
      </c>
      <c r="D643" s="13" t="str">
        <f>IF($A643="","",[1]!thsiFinD("ths_adjustment_nv_fund",D$3,$A643))</f>
        <v/>
      </c>
      <c r="E643" s="13" t="str">
        <f>IF($A643="","",[1]!thsiFinD("ths_adjustment_nv_fund",E$3,$A643))</f>
        <v/>
      </c>
      <c r="F643" s="13" t="str">
        <f>IF($A643="","",[1]!thsiFinD("ths_adjustment_nv_fund",F$3,$A643))</f>
        <v/>
      </c>
      <c r="G643" s="13" t="str">
        <f>IF($A643="","",[1]!thsiFinD("ths_adjustment_nv_fund",G$3,$A643))</f>
        <v/>
      </c>
      <c r="H643" s="13" t="str">
        <f>IF($A643="","",[1]!thsiFinD("ths_adjustment_nv_fund",H$3,$A643))</f>
        <v/>
      </c>
      <c r="I643" s="13" t="str">
        <f>IF($A643="","",[1]!thsiFinD("ths_adjustment_nv_fund",I$3,$A643))</f>
        <v/>
      </c>
      <c r="J643" s="13" t="str">
        <f>IF($A643="","",[1]!thsiFinD("ths_adjustment_nv_fund",J$3,$A643))</f>
        <v/>
      </c>
      <c r="K643" s="13" t="str">
        <f>IF($A643="","",[1]!thsiFinD("ths_adjustment_nv_fund",K$3,$A643))</f>
        <v/>
      </c>
      <c r="L643" s="13" t="str">
        <f>IF($A643="","",[1]!thsiFinD("ths_adjustment_nv_fund",L$3,$A643))</f>
        <v/>
      </c>
      <c r="M643" s="13" t="str">
        <f>IF($A643="","",[1]!thsiFinD("ths_adjustment_nv_fund",M$3,$A643))</f>
        <v/>
      </c>
      <c r="N643" s="13" t="str">
        <f>IF($A643="","",[1]!thsiFinD("ths_adjustment_nv_fund",N$3,$A643))</f>
        <v/>
      </c>
      <c r="O643" s="13" t="str">
        <f>IF($A643="","",[1]!thsiFinD("ths_adjustment_nv_fund",O$3,$A643))</f>
        <v/>
      </c>
      <c r="P643" s="13" t="str">
        <f>IF($A643="","",[1]!thsiFinD("ths_adjustment_nv_fund",P$3,$A643))</f>
        <v/>
      </c>
      <c r="Q643" s="13" t="str">
        <f>IF($A643="","",[1]!thsiFinD("ths_adjustment_nv_fund",Q$3,$A643))</f>
        <v/>
      </c>
      <c r="R643" s="13" t="str">
        <f>IF($A643="","",[1]!thsiFinD("ths_adjustment_nv_fund",R$3,$A643))</f>
        <v/>
      </c>
      <c r="S643" s="13" t="str">
        <f>IF($A643="","",[1]!thsiFinD("ths_adjustment_nv_fund",S$3,$A643))</f>
        <v/>
      </c>
      <c r="T643" s="13" t="str">
        <f>IF($A643="","",[1]!thsiFinD("ths_adjustment_nv_fund",T$3,$A643))</f>
        <v/>
      </c>
      <c r="U643" s="13" t="str">
        <f>IF($A643="","",[1]!thsiFinD("ths_adjustment_nv_fund",U$3,$A643))</f>
        <v/>
      </c>
      <c r="V643" s="13" t="str">
        <f>IF($A643="","",[1]!thsiFinD("ths_adjustment_nv_fund",V$3,$A643))</f>
        <v/>
      </c>
      <c r="W643" s="13" t="str">
        <f>IF($A643="","",[1]!thsiFinD("ths_adjustment_nv_fund",W$3,$A643))</f>
        <v/>
      </c>
      <c r="X643" s="13" t="str">
        <f>IF($A643="","",[1]!thsiFinD("ths_adjustment_nv_fund",X$3,$A643))</f>
        <v/>
      </c>
      <c r="Y643" s="13" t="str">
        <f>IF($A643="","",[1]!thsiFinD("ths_adjustment_nv_fund",Y$3,$A643))</f>
        <v/>
      </c>
      <c r="Z643" s="13" t="str">
        <f>IF($A643="","",[1]!thsiFinD("ths_adjustment_nv_fund",Z$3,$A643))</f>
        <v/>
      </c>
      <c r="AA643" s="13" t="str">
        <f>IF($A643="","",[1]!thsiFinD("ths_adjustment_nv_fund",AA$3,$A643))</f>
        <v/>
      </c>
      <c r="AB643" s="13">
        <f>IF($A643="","",[1]!thsiFinD("ths_adjustment_nv_fund",AB$3,$A643))</f>
        <v/>
      </c>
      <c r="AC643" s="13">
        <f>IF($A643="","",[1]!thsiFinD("ths_adjustment_nv_fund",AC$3,$A643))</f>
        <v/>
      </c>
      <c r="AD643" s="13">
        <f>IF($A643="","",[1]!thsiFinD("ths_adjustment_nv_fund",AD$3,$A643))</f>
        <v/>
      </c>
      <c r="AE643" s="13">
        <f>IF($A643="","",[1]!thsiFinD("ths_adjustment_nv_fund",AE$3,$A643))</f>
        <v/>
      </c>
      <c r="AF643" s="13">
        <f>IF($A643="","",[1]!thsiFinD("ths_adjustment_nv_fund",AF$3,$A643))</f>
        <v/>
      </c>
      <c r="AG643" s="13">
        <f>IF($A643="","",[1]!thsiFinD("ths_adjustment_nv_fund",AG$3,$A643))</f>
        <v/>
      </c>
      <c r="AH643" s="13">
        <f>IF($A643="","",[1]!thsiFinD("ths_adjustment_nv_fund",AH$3,$A643))</f>
        <v/>
      </c>
      <c r="AI643" s="13">
        <f>IF($A643="","",[1]!thsiFinD("ths_adjustment_nv_fund",AI$3,$A643))</f>
        <v/>
      </c>
      <c r="AJ643" s="13">
        <f>IF($A643="","",[1]!thsiFinD("ths_adjustment_nv_fund",AJ$3,$A643))</f>
        <v/>
      </c>
      <c r="AK643" s="13">
        <f>IF($A643="","",[1]!thsiFinD("ths_adjustment_nv_fund",AK$3,$A643))</f>
        <v/>
      </c>
      <c r="AL643" s="13">
        <f>IF($A643="","",[1]!thsiFinD("ths_adjustment_nv_fund",AL$3,$A643))</f>
        <v/>
      </c>
    </row>
    <row r="644" spans="2:28">
      <c r="B644" s="13" t="str">
        <f>IF($A644="","",[1]!thsiFinD("ths_adjustment_nv_fund",B$3,$A644))</f>
        <v/>
      </c>
      <c r="C644" s="13" t="str">
        <f>IF($A644="","",[1]!thsiFinD("ths_adjustment_nv_fund",C$3,$A644))</f>
        <v/>
      </c>
      <c r="D644" s="13" t="str">
        <f>IF($A644="","",[1]!thsiFinD("ths_adjustment_nv_fund",D$3,$A644))</f>
        <v/>
      </c>
      <c r="E644" s="13" t="str">
        <f>IF($A644="","",[1]!thsiFinD("ths_adjustment_nv_fund",E$3,$A644))</f>
        <v/>
      </c>
      <c r="F644" s="13" t="str">
        <f>IF($A644="","",[1]!thsiFinD("ths_adjustment_nv_fund",F$3,$A644))</f>
        <v/>
      </c>
      <c r="G644" s="13" t="str">
        <f>IF($A644="","",[1]!thsiFinD("ths_adjustment_nv_fund",G$3,$A644))</f>
        <v/>
      </c>
      <c r="H644" s="13" t="str">
        <f>IF($A644="","",[1]!thsiFinD("ths_adjustment_nv_fund",H$3,$A644))</f>
        <v/>
      </c>
      <c r="I644" s="13" t="str">
        <f>IF($A644="","",[1]!thsiFinD("ths_adjustment_nv_fund",I$3,$A644))</f>
        <v/>
      </c>
      <c r="J644" s="13" t="str">
        <f>IF($A644="","",[1]!thsiFinD("ths_adjustment_nv_fund",J$3,$A644))</f>
        <v/>
      </c>
      <c r="K644" s="13" t="str">
        <f>IF($A644="","",[1]!thsiFinD("ths_adjustment_nv_fund",K$3,$A644))</f>
        <v/>
      </c>
      <c r="L644" s="13" t="str">
        <f>IF($A644="","",[1]!thsiFinD("ths_adjustment_nv_fund",L$3,$A644))</f>
        <v/>
      </c>
      <c r="M644" s="13" t="str">
        <f>IF($A644="","",[1]!thsiFinD("ths_adjustment_nv_fund",M$3,$A644))</f>
        <v/>
      </c>
      <c r="N644" s="13" t="str">
        <f>IF($A644="","",[1]!thsiFinD("ths_adjustment_nv_fund",N$3,$A644))</f>
        <v/>
      </c>
      <c r="O644" s="13" t="str">
        <f>IF($A644="","",[1]!thsiFinD("ths_adjustment_nv_fund",O$3,$A644))</f>
        <v/>
      </c>
      <c r="P644" s="13" t="str">
        <f>IF($A644="","",[1]!thsiFinD("ths_adjustment_nv_fund",P$3,$A644))</f>
        <v/>
      </c>
      <c r="Q644" s="13" t="str">
        <f>IF($A644="","",[1]!thsiFinD("ths_adjustment_nv_fund",Q$3,$A644))</f>
        <v/>
      </c>
      <c r="R644" s="13" t="str">
        <f>IF($A644="","",[1]!thsiFinD("ths_adjustment_nv_fund",R$3,$A644))</f>
        <v/>
      </c>
      <c r="S644" s="13" t="str">
        <f>IF($A644="","",[1]!thsiFinD("ths_adjustment_nv_fund",S$3,$A644))</f>
        <v/>
      </c>
      <c r="T644" s="13" t="str">
        <f>IF($A644="","",[1]!thsiFinD("ths_adjustment_nv_fund",T$3,$A644))</f>
        <v/>
      </c>
      <c r="U644" s="13" t="str">
        <f>IF($A644="","",[1]!thsiFinD("ths_adjustment_nv_fund",U$3,$A644))</f>
        <v/>
      </c>
      <c r="V644" s="13" t="str">
        <f>IF($A644="","",[1]!thsiFinD("ths_adjustment_nv_fund",V$3,$A644))</f>
        <v/>
      </c>
      <c r="W644" s="13" t="str">
        <f>IF($A644="","",[1]!thsiFinD("ths_adjustment_nv_fund",W$3,$A644))</f>
        <v/>
      </c>
      <c r="X644" s="13" t="str">
        <f>IF($A644="","",[1]!thsiFinD("ths_adjustment_nv_fund",X$3,$A644))</f>
        <v/>
      </c>
      <c r="Y644" s="13" t="str">
        <f>IF($A644="","",[1]!thsiFinD("ths_adjustment_nv_fund",Y$3,$A644))</f>
        <v/>
      </c>
      <c r="Z644" s="13" t="str">
        <f>IF($A644="","",[1]!thsiFinD("ths_adjustment_nv_fund",Z$3,$A644))</f>
        <v/>
      </c>
      <c r="AA644" s="13" t="str">
        <f>IF($A644="","",[1]!thsiFinD("ths_adjustment_nv_fund",AA$3,$A644))</f>
        <v/>
      </c>
      <c r="AB644" s="13">
        <f>IF($A644="","",[1]!thsiFinD("ths_adjustment_nv_fund",AB$3,$A644))</f>
        <v/>
      </c>
      <c r="AC644" s="13">
        <f>IF($A644="","",[1]!thsiFinD("ths_adjustment_nv_fund",AC$3,$A644))</f>
        <v/>
      </c>
      <c r="AD644" s="13">
        <f>IF($A644="","",[1]!thsiFinD("ths_adjustment_nv_fund",AD$3,$A644))</f>
        <v/>
      </c>
      <c r="AE644" s="13">
        <f>IF($A644="","",[1]!thsiFinD("ths_adjustment_nv_fund",AE$3,$A644))</f>
        <v/>
      </c>
      <c r="AF644" s="13">
        <f>IF($A644="","",[1]!thsiFinD("ths_adjustment_nv_fund",AF$3,$A644))</f>
        <v/>
      </c>
      <c r="AG644" s="13">
        <f>IF($A644="","",[1]!thsiFinD("ths_adjustment_nv_fund",AG$3,$A644))</f>
        <v/>
      </c>
      <c r="AH644" s="13">
        <f>IF($A644="","",[1]!thsiFinD("ths_adjustment_nv_fund",AH$3,$A644))</f>
        <v/>
      </c>
      <c r="AI644" s="13">
        <f>IF($A644="","",[1]!thsiFinD("ths_adjustment_nv_fund",AI$3,$A644))</f>
        <v/>
      </c>
      <c r="AJ644" s="13">
        <f>IF($A644="","",[1]!thsiFinD("ths_adjustment_nv_fund",AJ$3,$A644))</f>
        <v/>
      </c>
      <c r="AK644" s="13">
        <f>IF($A644="","",[1]!thsiFinD("ths_adjustment_nv_fund",AK$3,$A644))</f>
        <v/>
      </c>
      <c r="AL644" s="13">
        <f>IF($A644="","",[1]!thsiFinD("ths_adjustment_nv_fund",AL$3,$A644))</f>
        <v/>
      </c>
    </row>
    <row r="645" spans="2:28">
      <c r="B645" s="13" t="str">
        <f>IF($A645="","",[1]!thsiFinD("ths_adjustment_nv_fund",B$3,$A645))</f>
        <v/>
      </c>
      <c r="C645" s="13" t="str">
        <f>IF($A645="","",[1]!thsiFinD("ths_adjustment_nv_fund",C$3,$A645))</f>
        <v/>
      </c>
      <c r="D645" s="13" t="str">
        <f>IF($A645="","",[1]!thsiFinD("ths_adjustment_nv_fund",D$3,$A645))</f>
        <v/>
      </c>
      <c r="E645" s="13" t="str">
        <f>IF($A645="","",[1]!thsiFinD("ths_adjustment_nv_fund",E$3,$A645))</f>
        <v/>
      </c>
      <c r="F645" s="13" t="str">
        <f>IF($A645="","",[1]!thsiFinD("ths_adjustment_nv_fund",F$3,$A645))</f>
        <v/>
      </c>
      <c r="G645" s="13" t="str">
        <f>IF($A645="","",[1]!thsiFinD("ths_adjustment_nv_fund",G$3,$A645))</f>
        <v/>
      </c>
      <c r="H645" s="13" t="str">
        <f>IF($A645="","",[1]!thsiFinD("ths_adjustment_nv_fund",H$3,$A645))</f>
        <v/>
      </c>
      <c r="I645" s="13" t="str">
        <f>IF($A645="","",[1]!thsiFinD("ths_adjustment_nv_fund",I$3,$A645))</f>
        <v/>
      </c>
      <c r="J645" s="13" t="str">
        <f>IF($A645="","",[1]!thsiFinD("ths_adjustment_nv_fund",J$3,$A645))</f>
        <v/>
      </c>
      <c r="K645" s="13" t="str">
        <f>IF($A645="","",[1]!thsiFinD("ths_adjustment_nv_fund",K$3,$A645))</f>
        <v/>
      </c>
      <c r="L645" s="13" t="str">
        <f>IF($A645="","",[1]!thsiFinD("ths_adjustment_nv_fund",L$3,$A645))</f>
        <v/>
      </c>
      <c r="M645" s="13" t="str">
        <f>IF($A645="","",[1]!thsiFinD("ths_adjustment_nv_fund",M$3,$A645))</f>
        <v/>
      </c>
      <c r="N645" s="13" t="str">
        <f>IF($A645="","",[1]!thsiFinD("ths_adjustment_nv_fund",N$3,$A645))</f>
        <v/>
      </c>
      <c r="O645" s="13" t="str">
        <f>IF($A645="","",[1]!thsiFinD("ths_adjustment_nv_fund",O$3,$A645))</f>
        <v/>
      </c>
      <c r="P645" s="13" t="str">
        <f>IF($A645="","",[1]!thsiFinD("ths_adjustment_nv_fund",P$3,$A645))</f>
        <v/>
      </c>
      <c r="Q645" s="13" t="str">
        <f>IF($A645="","",[1]!thsiFinD("ths_adjustment_nv_fund",Q$3,$A645))</f>
        <v/>
      </c>
      <c r="R645" s="13" t="str">
        <f>IF($A645="","",[1]!thsiFinD("ths_adjustment_nv_fund",R$3,$A645))</f>
        <v/>
      </c>
      <c r="S645" s="13" t="str">
        <f>IF($A645="","",[1]!thsiFinD("ths_adjustment_nv_fund",S$3,$A645))</f>
        <v/>
      </c>
      <c r="T645" s="13" t="str">
        <f>IF($A645="","",[1]!thsiFinD("ths_adjustment_nv_fund",T$3,$A645))</f>
        <v/>
      </c>
      <c r="U645" s="13" t="str">
        <f>IF($A645="","",[1]!thsiFinD("ths_adjustment_nv_fund",U$3,$A645))</f>
        <v/>
      </c>
      <c r="V645" s="13" t="str">
        <f>IF($A645="","",[1]!thsiFinD("ths_adjustment_nv_fund",V$3,$A645))</f>
        <v/>
      </c>
      <c r="W645" s="13" t="str">
        <f>IF($A645="","",[1]!thsiFinD("ths_adjustment_nv_fund",W$3,$A645))</f>
        <v/>
      </c>
      <c r="X645" s="13" t="str">
        <f>IF($A645="","",[1]!thsiFinD("ths_adjustment_nv_fund",X$3,$A645))</f>
        <v/>
      </c>
      <c r="Y645" s="13" t="str">
        <f>IF($A645="","",[1]!thsiFinD("ths_adjustment_nv_fund",Y$3,$A645))</f>
        <v/>
      </c>
      <c r="Z645" s="13" t="str">
        <f>IF($A645="","",[1]!thsiFinD("ths_adjustment_nv_fund",Z$3,$A645))</f>
        <v/>
      </c>
      <c r="AA645" s="13" t="str">
        <f>IF($A645="","",[1]!thsiFinD("ths_adjustment_nv_fund",AA$3,$A645))</f>
        <v/>
      </c>
      <c r="AB645" s="13">
        <f>IF($A645="","",[1]!thsiFinD("ths_adjustment_nv_fund",AB$3,$A645))</f>
        <v/>
      </c>
      <c r="AC645" s="13">
        <f>IF($A645="","",[1]!thsiFinD("ths_adjustment_nv_fund",AC$3,$A645))</f>
        <v/>
      </c>
      <c r="AD645" s="13">
        <f>IF($A645="","",[1]!thsiFinD("ths_adjustment_nv_fund",AD$3,$A645))</f>
        <v/>
      </c>
      <c r="AE645" s="13">
        <f>IF($A645="","",[1]!thsiFinD("ths_adjustment_nv_fund",AE$3,$A645))</f>
        <v/>
      </c>
      <c r="AF645" s="13">
        <f>IF($A645="","",[1]!thsiFinD("ths_adjustment_nv_fund",AF$3,$A645))</f>
        <v/>
      </c>
      <c r="AG645" s="13">
        <f>IF($A645="","",[1]!thsiFinD("ths_adjustment_nv_fund",AG$3,$A645))</f>
        <v/>
      </c>
      <c r="AH645" s="13">
        <f>IF($A645="","",[1]!thsiFinD("ths_adjustment_nv_fund",AH$3,$A645))</f>
        <v/>
      </c>
      <c r="AI645" s="13">
        <f>IF($A645="","",[1]!thsiFinD("ths_adjustment_nv_fund",AI$3,$A645))</f>
        <v/>
      </c>
      <c r="AJ645" s="13">
        <f>IF($A645="","",[1]!thsiFinD("ths_adjustment_nv_fund",AJ$3,$A645))</f>
        <v/>
      </c>
      <c r="AK645" s="13">
        <f>IF($A645="","",[1]!thsiFinD("ths_adjustment_nv_fund",AK$3,$A645))</f>
        <v/>
      </c>
      <c r="AL645" s="13">
        <f>IF($A645="","",[1]!thsiFinD("ths_adjustment_nv_fund",AL$3,$A645))</f>
        <v/>
      </c>
    </row>
    <row r="646" spans="2:28">
      <c r="B646" s="13" t="str">
        <f>IF($A646="","",[1]!thsiFinD("ths_adjustment_nv_fund",B$3,$A646))</f>
        <v/>
      </c>
      <c r="C646" s="13" t="str">
        <f>IF($A646="","",[1]!thsiFinD("ths_adjustment_nv_fund",C$3,$A646))</f>
        <v/>
      </c>
      <c r="D646" s="13" t="str">
        <f>IF($A646="","",[1]!thsiFinD("ths_adjustment_nv_fund",D$3,$A646))</f>
        <v/>
      </c>
      <c r="E646" s="13" t="str">
        <f>IF($A646="","",[1]!thsiFinD("ths_adjustment_nv_fund",E$3,$A646))</f>
        <v/>
      </c>
      <c r="F646" s="13" t="str">
        <f>IF($A646="","",[1]!thsiFinD("ths_adjustment_nv_fund",F$3,$A646))</f>
        <v/>
      </c>
      <c r="G646" s="13" t="str">
        <f>IF($A646="","",[1]!thsiFinD("ths_adjustment_nv_fund",G$3,$A646))</f>
        <v/>
      </c>
      <c r="H646" s="13" t="str">
        <f>IF($A646="","",[1]!thsiFinD("ths_adjustment_nv_fund",H$3,$A646))</f>
        <v/>
      </c>
      <c r="I646" s="13" t="str">
        <f>IF($A646="","",[1]!thsiFinD("ths_adjustment_nv_fund",I$3,$A646))</f>
        <v/>
      </c>
      <c r="J646" s="13" t="str">
        <f>IF($A646="","",[1]!thsiFinD("ths_adjustment_nv_fund",J$3,$A646))</f>
        <v/>
      </c>
      <c r="K646" s="13" t="str">
        <f>IF($A646="","",[1]!thsiFinD("ths_adjustment_nv_fund",K$3,$A646))</f>
        <v/>
      </c>
      <c r="L646" s="13" t="str">
        <f>IF($A646="","",[1]!thsiFinD("ths_adjustment_nv_fund",L$3,$A646))</f>
        <v/>
      </c>
      <c r="M646" s="13" t="str">
        <f>IF($A646="","",[1]!thsiFinD("ths_adjustment_nv_fund",M$3,$A646))</f>
        <v/>
      </c>
      <c r="N646" s="13" t="str">
        <f>IF($A646="","",[1]!thsiFinD("ths_adjustment_nv_fund",N$3,$A646))</f>
        <v/>
      </c>
      <c r="O646" s="13" t="str">
        <f>IF($A646="","",[1]!thsiFinD("ths_adjustment_nv_fund",O$3,$A646))</f>
        <v/>
      </c>
      <c r="P646" s="13" t="str">
        <f>IF($A646="","",[1]!thsiFinD("ths_adjustment_nv_fund",P$3,$A646))</f>
        <v/>
      </c>
      <c r="Q646" s="13" t="str">
        <f>IF($A646="","",[1]!thsiFinD("ths_adjustment_nv_fund",Q$3,$A646))</f>
        <v/>
      </c>
      <c r="R646" s="13" t="str">
        <f>IF($A646="","",[1]!thsiFinD("ths_adjustment_nv_fund",R$3,$A646))</f>
        <v/>
      </c>
      <c r="S646" s="13" t="str">
        <f>IF($A646="","",[1]!thsiFinD("ths_adjustment_nv_fund",S$3,$A646))</f>
        <v/>
      </c>
      <c r="T646" s="13" t="str">
        <f>IF($A646="","",[1]!thsiFinD("ths_adjustment_nv_fund",T$3,$A646))</f>
        <v/>
      </c>
      <c r="U646" s="13" t="str">
        <f>IF($A646="","",[1]!thsiFinD("ths_adjustment_nv_fund",U$3,$A646))</f>
        <v/>
      </c>
      <c r="V646" s="13" t="str">
        <f>IF($A646="","",[1]!thsiFinD("ths_adjustment_nv_fund",V$3,$A646))</f>
        <v/>
      </c>
      <c r="W646" s="13" t="str">
        <f>IF($A646="","",[1]!thsiFinD("ths_adjustment_nv_fund",W$3,$A646))</f>
        <v/>
      </c>
      <c r="X646" s="13" t="str">
        <f>IF($A646="","",[1]!thsiFinD("ths_adjustment_nv_fund",X$3,$A646))</f>
        <v/>
      </c>
      <c r="Y646" s="13" t="str">
        <f>IF($A646="","",[1]!thsiFinD("ths_adjustment_nv_fund",Y$3,$A646))</f>
        <v/>
      </c>
      <c r="Z646" s="13" t="str">
        <f>IF($A646="","",[1]!thsiFinD("ths_adjustment_nv_fund",Z$3,$A646))</f>
        <v/>
      </c>
      <c r="AA646" s="13" t="str">
        <f>IF($A646="","",[1]!thsiFinD("ths_adjustment_nv_fund",AA$3,$A646))</f>
        <v/>
      </c>
      <c r="AB646" s="13">
        <f>IF($A646="","",[1]!thsiFinD("ths_adjustment_nv_fund",AB$3,$A646))</f>
        <v/>
      </c>
      <c r="AC646" s="13">
        <f>IF($A646="","",[1]!thsiFinD("ths_adjustment_nv_fund",AC$3,$A646))</f>
        <v/>
      </c>
      <c r="AD646" s="13">
        <f>IF($A646="","",[1]!thsiFinD("ths_adjustment_nv_fund",AD$3,$A646))</f>
        <v/>
      </c>
      <c r="AE646" s="13">
        <f>IF($A646="","",[1]!thsiFinD("ths_adjustment_nv_fund",AE$3,$A646))</f>
        <v/>
      </c>
      <c r="AF646" s="13">
        <f>IF($A646="","",[1]!thsiFinD("ths_adjustment_nv_fund",AF$3,$A646))</f>
        <v/>
      </c>
      <c r="AG646" s="13">
        <f>IF($A646="","",[1]!thsiFinD("ths_adjustment_nv_fund",AG$3,$A646))</f>
        <v/>
      </c>
      <c r="AH646" s="13">
        <f>IF($A646="","",[1]!thsiFinD("ths_adjustment_nv_fund",AH$3,$A646))</f>
        <v/>
      </c>
      <c r="AI646" s="13">
        <f>IF($A646="","",[1]!thsiFinD("ths_adjustment_nv_fund",AI$3,$A646))</f>
        <v/>
      </c>
      <c r="AJ646" s="13">
        <f>IF($A646="","",[1]!thsiFinD("ths_adjustment_nv_fund",AJ$3,$A646))</f>
        <v/>
      </c>
      <c r="AK646" s="13">
        <f>IF($A646="","",[1]!thsiFinD("ths_adjustment_nv_fund",AK$3,$A646))</f>
        <v/>
      </c>
      <c r="AL646" s="13">
        <f>IF($A646="","",[1]!thsiFinD("ths_adjustment_nv_fund",AL$3,$A646))</f>
        <v/>
      </c>
    </row>
    <row r="647" spans="2:28">
      <c r="B647" s="13" t="str">
        <f>IF($A647="","",[1]!thsiFinD("ths_adjustment_nv_fund",B$3,$A647))</f>
        <v/>
      </c>
      <c r="C647" s="13" t="str">
        <f>IF($A647="","",[1]!thsiFinD("ths_adjustment_nv_fund",C$3,$A647))</f>
        <v/>
      </c>
      <c r="D647" s="13" t="str">
        <f>IF($A647="","",[1]!thsiFinD("ths_adjustment_nv_fund",D$3,$A647))</f>
        <v/>
      </c>
      <c r="E647" s="13" t="str">
        <f>IF($A647="","",[1]!thsiFinD("ths_adjustment_nv_fund",E$3,$A647))</f>
        <v/>
      </c>
      <c r="F647" s="13" t="str">
        <f>IF($A647="","",[1]!thsiFinD("ths_adjustment_nv_fund",F$3,$A647))</f>
        <v/>
      </c>
      <c r="G647" s="13" t="str">
        <f>IF($A647="","",[1]!thsiFinD("ths_adjustment_nv_fund",G$3,$A647))</f>
        <v/>
      </c>
      <c r="H647" s="13" t="str">
        <f>IF($A647="","",[1]!thsiFinD("ths_adjustment_nv_fund",H$3,$A647))</f>
        <v/>
      </c>
      <c r="I647" s="13" t="str">
        <f>IF($A647="","",[1]!thsiFinD("ths_adjustment_nv_fund",I$3,$A647))</f>
        <v/>
      </c>
      <c r="J647" s="13" t="str">
        <f>IF($A647="","",[1]!thsiFinD("ths_adjustment_nv_fund",J$3,$A647))</f>
        <v/>
      </c>
      <c r="K647" s="13" t="str">
        <f>IF($A647="","",[1]!thsiFinD("ths_adjustment_nv_fund",K$3,$A647))</f>
        <v/>
      </c>
      <c r="L647" s="13" t="str">
        <f>IF($A647="","",[1]!thsiFinD("ths_adjustment_nv_fund",L$3,$A647))</f>
        <v/>
      </c>
      <c r="M647" s="13" t="str">
        <f>IF($A647="","",[1]!thsiFinD("ths_adjustment_nv_fund",M$3,$A647))</f>
        <v/>
      </c>
      <c r="N647" s="13" t="str">
        <f>IF($A647="","",[1]!thsiFinD("ths_adjustment_nv_fund",N$3,$A647))</f>
        <v/>
      </c>
      <c r="O647" s="13" t="str">
        <f>IF($A647="","",[1]!thsiFinD("ths_adjustment_nv_fund",O$3,$A647))</f>
        <v/>
      </c>
      <c r="P647" s="13" t="str">
        <f>IF($A647="","",[1]!thsiFinD("ths_adjustment_nv_fund",P$3,$A647))</f>
        <v/>
      </c>
      <c r="Q647" s="13" t="str">
        <f>IF($A647="","",[1]!thsiFinD("ths_adjustment_nv_fund",Q$3,$A647))</f>
        <v/>
      </c>
      <c r="R647" s="13" t="str">
        <f>IF($A647="","",[1]!thsiFinD("ths_adjustment_nv_fund",R$3,$A647))</f>
        <v/>
      </c>
      <c r="S647" s="13" t="str">
        <f>IF($A647="","",[1]!thsiFinD("ths_adjustment_nv_fund",S$3,$A647))</f>
        <v/>
      </c>
      <c r="T647" s="13" t="str">
        <f>IF($A647="","",[1]!thsiFinD("ths_adjustment_nv_fund",T$3,$A647))</f>
        <v/>
      </c>
      <c r="U647" s="13" t="str">
        <f>IF($A647="","",[1]!thsiFinD("ths_adjustment_nv_fund",U$3,$A647))</f>
        <v/>
      </c>
      <c r="V647" s="13" t="str">
        <f>IF($A647="","",[1]!thsiFinD("ths_adjustment_nv_fund",V$3,$A647))</f>
        <v/>
      </c>
      <c r="W647" s="13" t="str">
        <f>IF($A647="","",[1]!thsiFinD("ths_adjustment_nv_fund",W$3,$A647))</f>
        <v/>
      </c>
      <c r="X647" s="13" t="str">
        <f>IF($A647="","",[1]!thsiFinD("ths_adjustment_nv_fund",X$3,$A647))</f>
        <v/>
      </c>
      <c r="Y647" s="13" t="str">
        <f>IF($A647="","",[1]!thsiFinD("ths_adjustment_nv_fund",Y$3,$A647))</f>
        <v/>
      </c>
      <c r="Z647" s="13" t="str">
        <f>IF($A647="","",[1]!thsiFinD("ths_adjustment_nv_fund",Z$3,$A647))</f>
        <v/>
      </c>
      <c r="AA647" s="13" t="str">
        <f>IF($A647="","",[1]!thsiFinD("ths_adjustment_nv_fund",AA$3,$A647))</f>
        <v/>
      </c>
      <c r="AB647" s="13">
        <f>IF($A647="","",[1]!thsiFinD("ths_adjustment_nv_fund",AB$3,$A647))</f>
        <v/>
      </c>
      <c r="AC647" s="13">
        <f>IF($A647="","",[1]!thsiFinD("ths_adjustment_nv_fund",AC$3,$A647))</f>
        <v/>
      </c>
      <c r="AD647" s="13">
        <f>IF($A647="","",[1]!thsiFinD("ths_adjustment_nv_fund",AD$3,$A647))</f>
        <v/>
      </c>
      <c r="AE647" s="13">
        <f>IF($A647="","",[1]!thsiFinD("ths_adjustment_nv_fund",AE$3,$A647))</f>
        <v/>
      </c>
      <c r="AF647" s="13">
        <f>IF($A647="","",[1]!thsiFinD("ths_adjustment_nv_fund",AF$3,$A647))</f>
        <v/>
      </c>
      <c r="AG647" s="13">
        <f>IF($A647="","",[1]!thsiFinD("ths_adjustment_nv_fund",AG$3,$A647))</f>
        <v/>
      </c>
      <c r="AH647" s="13">
        <f>IF($A647="","",[1]!thsiFinD("ths_adjustment_nv_fund",AH$3,$A647))</f>
        <v/>
      </c>
      <c r="AI647" s="13">
        <f>IF($A647="","",[1]!thsiFinD("ths_adjustment_nv_fund",AI$3,$A647))</f>
        <v/>
      </c>
      <c r="AJ647" s="13">
        <f>IF($A647="","",[1]!thsiFinD("ths_adjustment_nv_fund",AJ$3,$A647))</f>
        <v/>
      </c>
      <c r="AK647" s="13">
        <f>IF($A647="","",[1]!thsiFinD("ths_adjustment_nv_fund",AK$3,$A647))</f>
        <v/>
      </c>
      <c r="AL647" s="13">
        <f>IF($A647="","",[1]!thsiFinD("ths_adjustment_nv_fund",AL$3,$A647))</f>
        <v/>
      </c>
    </row>
    <row r="648" spans="2:28">
      <c r="B648" s="13" t="str">
        <f>IF($A648="","",[1]!thsiFinD("ths_adjustment_nv_fund",B$3,$A648))</f>
        <v/>
      </c>
      <c r="C648" s="13" t="str">
        <f>IF($A648="","",[1]!thsiFinD("ths_adjustment_nv_fund",C$3,$A648))</f>
        <v/>
      </c>
      <c r="D648" s="13" t="str">
        <f>IF($A648="","",[1]!thsiFinD("ths_adjustment_nv_fund",D$3,$A648))</f>
        <v/>
      </c>
      <c r="E648" s="13" t="str">
        <f>IF($A648="","",[1]!thsiFinD("ths_adjustment_nv_fund",E$3,$A648))</f>
        <v/>
      </c>
      <c r="F648" s="13" t="str">
        <f>IF($A648="","",[1]!thsiFinD("ths_adjustment_nv_fund",F$3,$A648))</f>
        <v/>
      </c>
      <c r="G648" s="13" t="str">
        <f>IF($A648="","",[1]!thsiFinD("ths_adjustment_nv_fund",G$3,$A648))</f>
        <v/>
      </c>
      <c r="H648" s="13" t="str">
        <f>IF($A648="","",[1]!thsiFinD("ths_adjustment_nv_fund",H$3,$A648))</f>
        <v/>
      </c>
      <c r="I648" s="13" t="str">
        <f>IF($A648="","",[1]!thsiFinD("ths_adjustment_nv_fund",I$3,$A648))</f>
        <v/>
      </c>
      <c r="J648" s="13" t="str">
        <f>IF($A648="","",[1]!thsiFinD("ths_adjustment_nv_fund",J$3,$A648))</f>
        <v/>
      </c>
      <c r="K648" s="13" t="str">
        <f>IF($A648="","",[1]!thsiFinD("ths_adjustment_nv_fund",K$3,$A648))</f>
        <v/>
      </c>
      <c r="L648" s="13" t="str">
        <f>IF($A648="","",[1]!thsiFinD("ths_adjustment_nv_fund",L$3,$A648))</f>
        <v/>
      </c>
      <c r="M648" s="13" t="str">
        <f>IF($A648="","",[1]!thsiFinD("ths_adjustment_nv_fund",M$3,$A648))</f>
        <v/>
      </c>
      <c r="N648" s="13" t="str">
        <f>IF($A648="","",[1]!thsiFinD("ths_adjustment_nv_fund",N$3,$A648))</f>
        <v/>
      </c>
      <c r="O648" s="13" t="str">
        <f>IF($A648="","",[1]!thsiFinD("ths_adjustment_nv_fund",O$3,$A648))</f>
        <v/>
      </c>
      <c r="P648" s="13" t="str">
        <f>IF($A648="","",[1]!thsiFinD("ths_adjustment_nv_fund",P$3,$A648))</f>
        <v/>
      </c>
      <c r="Q648" s="13" t="str">
        <f>IF($A648="","",[1]!thsiFinD("ths_adjustment_nv_fund",Q$3,$A648))</f>
        <v/>
      </c>
      <c r="R648" s="13" t="str">
        <f>IF($A648="","",[1]!thsiFinD("ths_adjustment_nv_fund",R$3,$A648))</f>
        <v/>
      </c>
      <c r="S648" s="13" t="str">
        <f>IF($A648="","",[1]!thsiFinD("ths_adjustment_nv_fund",S$3,$A648))</f>
        <v/>
      </c>
      <c r="T648" s="13" t="str">
        <f>IF($A648="","",[1]!thsiFinD("ths_adjustment_nv_fund",T$3,$A648))</f>
        <v/>
      </c>
      <c r="U648" s="13" t="str">
        <f>IF($A648="","",[1]!thsiFinD("ths_adjustment_nv_fund",U$3,$A648))</f>
        <v/>
      </c>
      <c r="V648" s="13" t="str">
        <f>IF($A648="","",[1]!thsiFinD("ths_adjustment_nv_fund",V$3,$A648))</f>
        <v/>
      </c>
      <c r="W648" s="13" t="str">
        <f>IF($A648="","",[1]!thsiFinD("ths_adjustment_nv_fund",W$3,$A648))</f>
        <v/>
      </c>
      <c r="X648" s="13" t="str">
        <f>IF($A648="","",[1]!thsiFinD("ths_adjustment_nv_fund",X$3,$A648))</f>
        <v/>
      </c>
      <c r="Y648" s="13" t="str">
        <f>IF($A648="","",[1]!thsiFinD("ths_adjustment_nv_fund",Y$3,$A648))</f>
        <v/>
      </c>
      <c r="Z648" s="13" t="str">
        <f>IF($A648="","",[1]!thsiFinD("ths_adjustment_nv_fund",Z$3,$A648))</f>
        <v/>
      </c>
      <c r="AA648" s="13" t="str">
        <f>IF($A648="","",[1]!thsiFinD("ths_adjustment_nv_fund",AA$3,$A648))</f>
        <v/>
      </c>
      <c r="AB648" s="13">
        <f>IF($A648="","",[1]!thsiFinD("ths_adjustment_nv_fund",AB$3,$A648))</f>
        <v/>
      </c>
      <c r="AC648" s="13">
        <f>IF($A648="","",[1]!thsiFinD("ths_adjustment_nv_fund",AC$3,$A648))</f>
        <v/>
      </c>
      <c r="AD648" s="13">
        <f>IF($A648="","",[1]!thsiFinD("ths_adjustment_nv_fund",AD$3,$A648))</f>
        <v/>
      </c>
      <c r="AE648" s="13">
        <f>IF($A648="","",[1]!thsiFinD("ths_adjustment_nv_fund",AE$3,$A648))</f>
        <v/>
      </c>
      <c r="AF648" s="13">
        <f>IF($A648="","",[1]!thsiFinD("ths_adjustment_nv_fund",AF$3,$A648))</f>
        <v/>
      </c>
      <c r="AG648" s="13">
        <f>IF($A648="","",[1]!thsiFinD("ths_adjustment_nv_fund",AG$3,$A648))</f>
        <v/>
      </c>
      <c r="AH648" s="13">
        <f>IF($A648="","",[1]!thsiFinD("ths_adjustment_nv_fund",AH$3,$A648))</f>
        <v/>
      </c>
      <c r="AI648" s="13">
        <f>IF($A648="","",[1]!thsiFinD("ths_adjustment_nv_fund",AI$3,$A648))</f>
        <v/>
      </c>
      <c r="AJ648" s="13">
        <f>IF($A648="","",[1]!thsiFinD("ths_adjustment_nv_fund",AJ$3,$A648))</f>
        <v/>
      </c>
      <c r="AK648" s="13">
        <f>IF($A648="","",[1]!thsiFinD("ths_adjustment_nv_fund",AK$3,$A648))</f>
        <v/>
      </c>
      <c r="AL648" s="13">
        <f>IF($A648="","",[1]!thsiFinD("ths_adjustment_nv_fund",AL$3,$A648))</f>
        <v/>
      </c>
    </row>
    <row r="649" spans="2:28">
      <c r="B649" s="13" t="str">
        <f>IF($A649="","",[1]!thsiFinD("ths_adjustment_nv_fund",B$3,$A649))</f>
        <v/>
      </c>
      <c r="C649" s="13" t="str">
        <f>IF($A649="","",[1]!thsiFinD("ths_adjustment_nv_fund",C$3,$A649))</f>
        <v/>
      </c>
      <c r="D649" s="13" t="str">
        <f>IF($A649="","",[1]!thsiFinD("ths_adjustment_nv_fund",D$3,$A649))</f>
        <v/>
      </c>
      <c r="E649" s="13" t="str">
        <f>IF($A649="","",[1]!thsiFinD("ths_adjustment_nv_fund",E$3,$A649))</f>
        <v/>
      </c>
      <c r="F649" s="13" t="str">
        <f>IF($A649="","",[1]!thsiFinD("ths_adjustment_nv_fund",F$3,$A649))</f>
        <v/>
      </c>
      <c r="G649" s="13" t="str">
        <f>IF($A649="","",[1]!thsiFinD("ths_adjustment_nv_fund",G$3,$A649))</f>
        <v/>
      </c>
      <c r="H649" s="13" t="str">
        <f>IF($A649="","",[1]!thsiFinD("ths_adjustment_nv_fund",H$3,$A649))</f>
        <v/>
      </c>
      <c r="I649" s="13" t="str">
        <f>IF($A649="","",[1]!thsiFinD("ths_adjustment_nv_fund",I$3,$A649))</f>
        <v/>
      </c>
      <c r="J649" s="13" t="str">
        <f>IF($A649="","",[1]!thsiFinD("ths_adjustment_nv_fund",J$3,$A649))</f>
        <v/>
      </c>
      <c r="K649" s="13" t="str">
        <f>IF($A649="","",[1]!thsiFinD("ths_adjustment_nv_fund",K$3,$A649))</f>
        <v/>
      </c>
      <c r="L649" s="13" t="str">
        <f>IF($A649="","",[1]!thsiFinD("ths_adjustment_nv_fund",L$3,$A649))</f>
        <v/>
      </c>
      <c r="M649" s="13" t="str">
        <f>IF($A649="","",[1]!thsiFinD("ths_adjustment_nv_fund",M$3,$A649))</f>
        <v/>
      </c>
      <c r="N649" s="13" t="str">
        <f>IF($A649="","",[1]!thsiFinD("ths_adjustment_nv_fund",N$3,$A649))</f>
        <v/>
      </c>
      <c r="O649" s="13" t="str">
        <f>IF($A649="","",[1]!thsiFinD("ths_adjustment_nv_fund",O$3,$A649))</f>
        <v/>
      </c>
      <c r="P649" s="13" t="str">
        <f>IF($A649="","",[1]!thsiFinD("ths_adjustment_nv_fund",P$3,$A649))</f>
        <v/>
      </c>
      <c r="Q649" s="13" t="str">
        <f>IF($A649="","",[1]!thsiFinD("ths_adjustment_nv_fund",Q$3,$A649))</f>
        <v/>
      </c>
      <c r="R649" s="13" t="str">
        <f>IF($A649="","",[1]!thsiFinD("ths_adjustment_nv_fund",R$3,$A649))</f>
        <v/>
      </c>
      <c r="S649" s="13" t="str">
        <f>IF($A649="","",[1]!thsiFinD("ths_adjustment_nv_fund",S$3,$A649))</f>
        <v/>
      </c>
      <c r="T649" s="13" t="str">
        <f>IF($A649="","",[1]!thsiFinD("ths_adjustment_nv_fund",T$3,$A649))</f>
        <v/>
      </c>
      <c r="U649" s="13" t="str">
        <f>IF($A649="","",[1]!thsiFinD("ths_adjustment_nv_fund",U$3,$A649))</f>
        <v/>
      </c>
      <c r="V649" s="13" t="str">
        <f>IF($A649="","",[1]!thsiFinD("ths_adjustment_nv_fund",V$3,$A649))</f>
        <v/>
      </c>
      <c r="W649" s="13" t="str">
        <f>IF($A649="","",[1]!thsiFinD("ths_adjustment_nv_fund",W$3,$A649))</f>
        <v/>
      </c>
      <c r="X649" s="13" t="str">
        <f>IF($A649="","",[1]!thsiFinD("ths_adjustment_nv_fund",X$3,$A649))</f>
        <v/>
      </c>
      <c r="Y649" s="13" t="str">
        <f>IF($A649="","",[1]!thsiFinD("ths_adjustment_nv_fund",Y$3,$A649))</f>
        <v/>
      </c>
      <c r="Z649" s="13" t="str">
        <f>IF($A649="","",[1]!thsiFinD("ths_adjustment_nv_fund",Z$3,$A649))</f>
        <v/>
      </c>
      <c r="AA649" s="13" t="str">
        <f>IF($A649="","",[1]!thsiFinD("ths_adjustment_nv_fund",AA$3,$A649))</f>
        <v/>
      </c>
      <c r="AB649" s="13">
        <f>IF($A649="","",[1]!thsiFinD("ths_adjustment_nv_fund",AB$3,$A649))</f>
        <v/>
      </c>
      <c r="AC649" s="13">
        <f>IF($A649="","",[1]!thsiFinD("ths_adjustment_nv_fund",AC$3,$A649))</f>
        <v/>
      </c>
      <c r="AD649" s="13">
        <f>IF($A649="","",[1]!thsiFinD("ths_adjustment_nv_fund",AD$3,$A649))</f>
        <v/>
      </c>
      <c r="AE649" s="13">
        <f>IF($A649="","",[1]!thsiFinD("ths_adjustment_nv_fund",AE$3,$A649))</f>
        <v/>
      </c>
      <c r="AF649" s="13">
        <f>IF($A649="","",[1]!thsiFinD("ths_adjustment_nv_fund",AF$3,$A649))</f>
        <v/>
      </c>
      <c r="AG649" s="13">
        <f>IF($A649="","",[1]!thsiFinD("ths_adjustment_nv_fund",AG$3,$A649))</f>
        <v/>
      </c>
      <c r="AH649" s="13">
        <f>IF($A649="","",[1]!thsiFinD("ths_adjustment_nv_fund",AH$3,$A649))</f>
        <v/>
      </c>
      <c r="AI649" s="13">
        <f>IF($A649="","",[1]!thsiFinD("ths_adjustment_nv_fund",AI$3,$A649))</f>
        <v/>
      </c>
      <c r="AJ649" s="13">
        <f>IF($A649="","",[1]!thsiFinD("ths_adjustment_nv_fund",AJ$3,$A649))</f>
        <v/>
      </c>
      <c r="AK649" s="13">
        <f>IF($A649="","",[1]!thsiFinD("ths_adjustment_nv_fund",AK$3,$A649))</f>
        <v/>
      </c>
      <c r="AL649" s="13">
        <f>IF($A649="","",[1]!thsiFinD("ths_adjustment_nv_fund",AL$3,$A649))</f>
        <v/>
      </c>
    </row>
    <row r="650" spans="2:28">
      <c r="B650" s="13" t="str">
        <f>IF($A650="","",[1]!thsiFinD("ths_adjustment_nv_fund",B$3,$A650))</f>
        <v/>
      </c>
      <c r="C650" s="13" t="str">
        <f>IF($A650="","",[1]!thsiFinD("ths_adjustment_nv_fund",C$3,$A650))</f>
        <v/>
      </c>
      <c r="D650" s="13" t="str">
        <f>IF($A650="","",[1]!thsiFinD("ths_adjustment_nv_fund",D$3,$A650))</f>
        <v/>
      </c>
      <c r="E650" s="13" t="str">
        <f>IF($A650="","",[1]!thsiFinD("ths_adjustment_nv_fund",E$3,$A650))</f>
        <v/>
      </c>
      <c r="F650" s="13" t="str">
        <f>IF($A650="","",[1]!thsiFinD("ths_adjustment_nv_fund",F$3,$A650))</f>
        <v/>
      </c>
      <c r="G650" s="13" t="str">
        <f>IF($A650="","",[1]!thsiFinD("ths_adjustment_nv_fund",G$3,$A650))</f>
        <v/>
      </c>
      <c r="H650" s="13" t="str">
        <f>IF($A650="","",[1]!thsiFinD("ths_adjustment_nv_fund",H$3,$A650))</f>
        <v/>
      </c>
      <c r="I650" s="13" t="str">
        <f>IF($A650="","",[1]!thsiFinD("ths_adjustment_nv_fund",I$3,$A650))</f>
        <v/>
      </c>
      <c r="J650" s="13" t="str">
        <f>IF($A650="","",[1]!thsiFinD("ths_adjustment_nv_fund",J$3,$A650))</f>
        <v/>
      </c>
      <c r="K650" s="13" t="str">
        <f>IF($A650="","",[1]!thsiFinD("ths_adjustment_nv_fund",K$3,$A650))</f>
        <v/>
      </c>
      <c r="L650" s="13" t="str">
        <f>IF($A650="","",[1]!thsiFinD("ths_adjustment_nv_fund",L$3,$A650))</f>
        <v/>
      </c>
      <c r="M650" s="13" t="str">
        <f>IF($A650="","",[1]!thsiFinD("ths_adjustment_nv_fund",M$3,$A650))</f>
        <v/>
      </c>
      <c r="N650" s="13" t="str">
        <f>IF($A650="","",[1]!thsiFinD("ths_adjustment_nv_fund",N$3,$A650))</f>
        <v/>
      </c>
      <c r="O650" s="13" t="str">
        <f>IF($A650="","",[1]!thsiFinD("ths_adjustment_nv_fund",O$3,$A650))</f>
        <v/>
      </c>
      <c r="P650" s="13" t="str">
        <f>IF($A650="","",[1]!thsiFinD("ths_adjustment_nv_fund",P$3,$A650))</f>
        <v/>
      </c>
      <c r="Q650" s="13" t="str">
        <f>IF($A650="","",[1]!thsiFinD("ths_adjustment_nv_fund",Q$3,$A650))</f>
        <v/>
      </c>
      <c r="R650" s="13" t="str">
        <f>IF($A650="","",[1]!thsiFinD("ths_adjustment_nv_fund",R$3,$A650))</f>
        <v/>
      </c>
      <c r="S650" s="13" t="str">
        <f>IF($A650="","",[1]!thsiFinD("ths_adjustment_nv_fund",S$3,$A650))</f>
        <v/>
      </c>
      <c r="T650" s="13" t="str">
        <f>IF($A650="","",[1]!thsiFinD("ths_adjustment_nv_fund",T$3,$A650))</f>
        <v/>
      </c>
      <c r="U650" s="13" t="str">
        <f>IF($A650="","",[1]!thsiFinD("ths_adjustment_nv_fund",U$3,$A650))</f>
        <v/>
      </c>
      <c r="V650" s="13" t="str">
        <f>IF($A650="","",[1]!thsiFinD("ths_adjustment_nv_fund",V$3,$A650))</f>
        <v/>
      </c>
      <c r="W650" s="13" t="str">
        <f>IF($A650="","",[1]!thsiFinD("ths_adjustment_nv_fund",W$3,$A650))</f>
        <v/>
      </c>
      <c r="X650" s="13" t="str">
        <f>IF($A650="","",[1]!thsiFinD("ths_adjustment_nv_fund",X$3,$A650))</f>
        <v/>
      </c>
      <c r="Y650" s="13" t="str">
        <f>IF($A650="","",[1]!thsiFinD("ths_adjustment_nv_fund",Y$3,$A650))</f>
        <v/>
      </c>
      <c r="Z650" s="13" t="str">
        <f>IF($A650="","",[1]!thsiFinD("ths_adjustment_nv_fund",Z$3,$A650))</f>
        <v/>
      </c>
      <c r="AA650" s="13" t="str">
        <f>IF($A650="","",[1]!thsiFinD("ths_adjustment_nv_fund",AA$3,$A650))</f>
        <v/>
      </c>
      <c r="AB650" s="13">
        <f>IF($A650="","",[1]!thsiFinD("ths_adjustment_nv_fund",AB$3,$A650))</f>
        <v/>
      </c>
      <c r="AC650" s="13">
        <f>IF($A650="","",[1]!thsiFinD("ths_adjustment_nv_fund",AC$3,$A650))</f>
        <v/>
      </c>
      <c r="AD650" s="13">
        <f>IF($A650="","",[1]!thsiFinD("ths_adjustment_nv_fund",AD$3,$A650))</f>
        <v/>
      </c>
      <c r="AE650" s="13">
        <f>IF($A650="","",[1]!thsiFinD("ths_adjustment_nv_fund",AE$3,$A650))</f>
        <v/>
      </c>
      <c r="AF650" s="13">
        <f>IF($A650="","",[1]!thsiFinD("ths_adjustment_nv_fund",AF$3,$A650))</f>
        <v/>
      </c>
      <c r="AG650" s="13">
        <f>IF($A650="","",[1]!thsiFinD("ths_adjustment_nv_fund",AG$3,$A650))</f>
        <v/>
      </c>
      <c r="AH650" s="13">
        <f>IF($A650="","",[1]!thsiFinD("ths_adjustment_nv_fund",AH$3,$A650))</f>
        <v/>
      </c>
      <c r="AI650" s="13">
        <f>IF($A650="","",[1]!thsiFinD("ths_adjustment_nv_fund",AI$3,$A650))</f>
        <v/>
      </c>
      <c r="AJ650" s="13">
        <f>IF($A650="","",[1]!thsiFinD("ths_adjustment_nv_fund",AJ$3,$A650))</f>
        <v/>
      </c>
      <c r="AK650" s="13">
        <f>IF($A650="","",[1]!thsiFinD("ths_adjustment_nv_fund",AK$3,$A650))</f>
        <v/>
      </c>
      <c r="AL650" s="13">
        <f>IF($A650="","",[1]!thsiFinD("ths_adjustment_nv_fund",AL$3,$A650))</f>
        <v/>
      </c>
    </row>
    <row r="651" spans="2:28">
      <c r="B651" s="13" t="str">
        <f>IF($A651="","",[1]!thsiFinD("ths_adjustment_nv_fund",B$3,$A651))</f>
        <v/>
      </c>
      <c r="C651" s="13" t="str">
        <f>IF($A651="","",[1]!thsiFinD("ths_adjustment_nv_fund",C$3,$A651))</f>
        <v/>
      </c>
      <c r="D651" s="13" t="str">
        <f>IF($A651="","",[1]!thsiFinD("ths_adjustment_nv_fund",D$3,$A651))</f>
        <v/>
      </c>
      <c r="E651" s="13" t="str">
        <f>IF($A651="","",[1]!thsiFinD("ths_adjustment_nv_fund",E$3,$A651))</f>
        <v/>
      </c>
      <c r="F651" s="13" t="str">
        <f>IF($A651="","",[1]!thsiFinD("ths_adjustment_nv_fund",F$3,$A651))</f>
        <v/>
      </c>
      <c r="G651" s="13" t="str">
        <f>IF($A651="","",[1]!thsiFinD("ths_adjustment_nv_fund",G$3,$A651))</f>
        <v/>
      </c>
      <c r="H651" s="13" t="str">
        <f>IF($A651="","",[1]!thsiFinD("ths_adjustment_nv_fund",H$3,$A651))</f>
        <v/>
      </c>
      <c r="I651" s="13" t="str">
        <f>IF($A651="","",[1]!thsiFinD("ths_adjustment_nv_fund",I$3,$A651))</f>
        <v/>
      </c>
      <c r="J651" s="13" t="str">
        <f>IF($A651="","",[1]!thsiFinD("ths_adjustment_nv_fund",J$3,$A651))</f>
        <v/>
      </c>
      <c r="K651" s="13" t="str">
        <f>IF($A651="","",[1]!thsiFinD("ths_adjustment_nv_fund",K$3,$A651))</f>
        <v/>
      </c>
      <c r="L651" s="13" t="str">
        <f>IF($A651="","",[1]!thsiFinD("ths_adjustment_nv_fund",L$3,$A651))</f>
        <v/>
      </c>
      <c r="M651" s="13" t="str">
        <f>IF($A651="","",[1]!thsiFinD("ths_adjustment_nv_fund",M$3,$A651))</f>
        <v/>
      </c>
      <c r="N651" s="13" t="str">
        <f>IF($A651="","",[1]!thsiFinD("ths_adjustment_nv_fund",N$3,$A651))</f>
        <v/>
      </c>
      <c r="O651" s="13" t="str">
        <f>IF($A651="","",[1]!thsiFinD("ths_adjustment_nv_fund",O$3,$A651))</f>
        <v/>
      </c>
      <c r="P651" s="13" t="str">
        <f>IF($A651="","",[1]!thsiFinD("ths_adjustment_nv_fund",P$3,$A651))</f>
        <v/>
      </c>
      <c r="Q651" s="13" t="str">
        <f>IF($A651="","",[1]!thsiFinD("ths_adjustment_nv_fund",Q$3,$A651))</f>
        <v/>
      </c>
      <c r="R651" s="13" t="str">
        <f>IF($A651="","",[1]!thsiFinD("ths_adjustment_nv_fund",R$3,$A651))</f>
        <v/>
      </c>
      <c r="S651" s="13" t="str">
        <f>IF($A651="","",[1]!thsiFinD("ths_adjustment_nv_fund",S$3,$A651))</f>
        <v/>
      </c>
      <c r="T651" s="13" t="str">
        <f>IF($A651="","",[1]!thsiFinD("ths_adjustment_nv_fund",T$3,$A651))</f>
        <v/>
      </c>
      <c r="U651" s="13" t="str">
        <f>IF($A651="","",[1]!thsiFinD("ths_adjustment_nv_fund",U$3,$A651))</f>
        <v/>
      </c>
      <c r="V651" s="13" t="str">
        <f>IF($A651="","",[1]!thsiFinD("ths_adjustment_nv_fund",V$3,$A651))</f>
        <v/>
      </c>
      <c r="W651" s="13" t="str">
        <f>IF($A651="","",[1]!thsiFinD("ths_adjustment_nv_fund",W$3,$A651))</f>
        <v/>
      </c>
      <c r="X651" s="13" t="str">
        <f>IF($A651="","",[1]!thsiFinD("ths_adjustment_nv_fund",X$3,$A651))</f>
        <v/>
      </c>
      <c r="Y651" s="13" t="str">
        <f>IF($A651="","",[1]!thsiFinD("ths_adjustment_nv_fund",Y$3,$A651))</f>
        <v/>
      </c>
      <c r="Z651" s="13" t="str">
        <f>IF($A651="","",[1]!thsiFinD("ths_adjustment_nv_fund",Z$3,$A651))</f>
        <v/>
      </c>
      <c r="AA651" s="13" t="str">
        <f>IF($A651="","",[1]!thsiFinD("ths_adjustment_nv_fund",AA$3,$A651))</f>
        <v/>
      </c>
      <c r="AB651" s="13">
        <f>IF($A651="","",[1]!thsiFinD("ths_adjustment_nv_fund",AB$3,$A651))</f>
        <v/>
      </c>
      <c r="AC651" s="13">
        <f>IF($A651="","",[1]!thsiFinD("ths_adjustment_nv_fund",AC$3,$A651))</f>
        <v/>
      </c>
      <c r="AD651" s="13">
        <f>IF($A651="","",[1]!thsiFinD("ths_adjustment_nv_fund",AD$3,$A651))</f>
        <v/>
      </c>
      <c r="AE651" s="13">
        <f>IF($A651="","",[1]!thsiFinD("ths_adjustment_nv_fund",AE$3,$A651))</f>
        <v/>
      </c>
      <c r="AF651" s="13">
        <f>IF($A651="","",[1]!thsiFinD("ths_adjustment_nv_fund",AF$3,$A651))</f>
        <v/>
      </c>
      <c r="AG651" s="13">
        <f>IF($A651="","",[1]!thsiFinD("ths_adjustment_nv_fund",AG$3,$A651))</f>
        <v/>
      </c>
      <c r="AH651" s="13">
        <f>IF($A651="","",[1]!thsiFinD("ths_adjustment_nv_fund",AH$3,$A651))</f>
        <v/>
      </c>
      <c r="AI651" s="13">
        <f>IF($A651="","",[1]!thsiFinD("ths_adjustment_nv_fund",AI$3,$A651))</f>
        <v/>
      </c>
      <c r="AJ651" s="13">
        <f>IF($A651="","",[1]!thsiFinD("ths_adjustment_nv_fund",AJ$3,$A651))</f>
        <v/>
      </c>
      <c r="AK651" s="13">
        <f>IF($A651="","",[1]!thsiFinD("ths_adjustment_nv_fund",AK$3,$A651))</f>
        <v/>
      </c>
      <c r="AL651" s="13">
        <f>IF($A651="","",[1]!thsiFinD("ths_adjustment_nv_fund",AL$3,$A651))</f>
        <v/>
      </c>
    </row>
    <row r="652" spans="2:28">
      <c r="B652" s="13" t="str">
        <f>IF($A652="","",[1]!thsiFinD("ths_adjustment_nv_fund",B$3,$A652))</f>
        <v/>
      </c>
      <c r="C652" s="13" t="str">
        <f>IF($A652="","",[1]!thsiFinD("ths_adjustment_nv_fund",C$3,$A652))</f>
        <v/>
      </c>
      <c r="D652" s="13" t="str">
        <f>IF($A652="","",[1]!thsiFinD("ths_adjustment_nv_fund",D$3,$A652))</f>
        <v/>
      </c>
      <c r="E652" s="13" t="str">
        <f>IF($A652="","",[1]!thsiFinD("ths_adjustment_nv_fund",E$3,$A652))</f>
        <v/>
      </c>
      <c r="F652" s="13" t="str">
        <f>IF($A652="","",[1]!thsiFinD("ths_adjustment_nv_fund",F$3,$A652))</f>
        <v/>
      </c>
      <c r="G652" s="13" t="str">
        <f>IF($A652="","",[1]!thsiFinD("ths_adjustment_nv_fund",G$3,$A652))</f>
        <v/>
      </c>
      <c r="H652" s="13" t="str">
        <f>IF($A652="","",[1]!thsiFinD("ths_adjustment_nv_fund",H$3,$A652))</f>
        <v/>
      </c>
      <c r="I652" s="13" t="str">
        <f>IF($A652="","",[1]!thsiFinD("ths_adjustment_nv_fund",I$3,$A652))</f>
        <v/>
      </c>
      <c r="J652" s="13" t="str">
        <f>IF($A652="","",[1]!thsiFinD("ths_adjustment_nv_fund",J$3,$A652))</f>
        <v/>
      </c>
      <c r="K652" s="13" t="str">
        <f>IF($A652="","",[1]!thsiFinD("ths_adjustment_nv_fund",K$3,$A652))</f>
        <v/>
      </c>
      <c r="L652" s="13" t="str">
        <f>IF($A652="","",[1]!thsiFinD("ths_adjustment_nv_fund",L$3,$A652))</f>
        <v/>
      </c>
      <c r="M652" s="13" t="str">
        <f>IF($A652="","",[1]!thsiFinD("ths_adjustment_nv_fund",M$3,$A652))</f>
        <v/>
      </c>
      <c r="N652" s="13" t="str">
        <f>IF($A652="","",[1]!thsiFinD("ths_adjustment_nv_fund",N$3,$A652))</f>
        <v/>
      </c>
      <c r="O652" s="13" t="str">
        <f>IF($A652="","",[1]!thsiFinD("ths_adjustment_nv_fund",O$3,$A652))</f>
        <v/>
      </c>
      <c r="P652" s="13" t="str">
        <f>IF($A652="","",[1]!thsiFinD("ths_adjustment_nv_fund",P$3,$A652))</f>
        <v/>
      </c>
      <c r="Q652" s="13" t="str">
        <f>IF($A652="","",[1]!thsiFinD("ths_adjustment_nv_fund",Q$3,$A652))</f>
        <v/>
      </c>
      <c r="R652" s="13" t="str">
        <f>IF($A652="","",[1]!thsiFinD("ths_adjustment_nv_fund",R$3,$A652))</f>
        <v/>
      </c>
      <c r="S652" s="13" t="str">
        <f>IF($A652="","",[1]!thsiFinD("ths_adjustment_nv_fund",S$3,$A652))</f>
        <v/>
      </c>
      <c r="T652" s="13" t="str">
        <f>IF($A652="","",[1]!thsiFinD("ths_adjustment_nv_fund",T$3,$A652))</f>
        <v/>
      </c>
      <c r="U652" s="13" t="str">
        <f>IF($A652="","",[1]!thsiFinD("ths_adjustment_nv_fund",U$3,$A652))</f>
        <v/>
      </c>
      <c r="V652" s="13" t="str">
        <f>IF($A652="","",[1]!thsiFinD("ths_adjustment_nv_fund",V$3,$A652))</f>
        <v/>
      </c>
      <c r="W652" s="13" t="str">
        <f>IF($A652="","",[1]!thsiFinD("ths_adjustment_nv_fund",W$3,$A652))</f>
        <v/>
      </c>
      <c r="X652" s="13" t="str">
        <f>IF($A652="","",[1]!thsiFinD("ths_adjustment_nv_fund",X$3,$A652))</f>
        <v/>
      </c>
      <c r="Y652" s="13" t="str">
        <f>IF($A652="","",[1]!thsiFinD("ths_adjustment_nv_fund",Y$3,$A652))</f>
        <v/>
      </c>
      <c r="Z652" s="13" t="str">
        <f>IF($A652="","",[1]!thsiFinD("ths_adjustment_nv_fund",Z$3,$A652))</f>
        <v/>
      </c>
      <c r="AA652" s="13" t="str">
        <f>IF($A652="","",[1]!thsiFinD("ths_adjustment_nv_fund",AA$3,$A652))</f>
        <v/>
      </c>
      <c r="AB652" s="13">
        <f>IF($A652="","",[1]!thsiFinD("ths_adjustment_nv_fund",AB$3,$A652))</f>
        <v/>
      </c>
      <c r="AC652" s="13">
        <f>IF($A652="","",[1]!thsiFinD("ths_adjustment_nv_fund",AC$3,$A652))</f>
        <v/>
      </c>
      <c r="AD652" s="13">
        <f>IF($A652="","",[1]!thsiFinD("ths_adjustment_nv_fund",AD$3,$A652))</f>
        <v/>
      </c>
      <c r="AE652" s="13">
        <f>IF($A652="","",[1]!thsiFinD("ths_adjustment_nv_fund",AE$3,$A652))</f>
        <v/>
      </c>
      <c r="AF652" s="13">
        <f>IF($A652="","",[1]!thsiFinD("ths_adjustment_nv_fund",AF$3,$A652))</f>
        <v/>
      </c>
      <c r="AG652" s="13">
        <f>IF($A652="","",[1]!thsiFinD("ths_adjustment_nv_fund",AG$3,$A652))</f>
        <v/>
      </c>
      <c r="AH652" s="13">
        <f>IF($A652="","",[1]!thsiFinD("ths_adjustment_nv_fund",AH$3,$A652))</f>
        <v/>
      </c>
      <c r="AI652" s="13">
        <f>IF($A652="","",[1]!thsiFinD("ths_adjustment_nv_fund",AI$3,$A652))</f>
        <v/>
      </c>
      <c r="AJ652" s="13">
        <f>IF($A652="","",[1]!thsiFinD("ths_adjustment_nv_fund",AJ$3,$A652))</f>
        <v/>
      </c>
      <c r="AK652" s="13">
        <f>IF($A652="","",[1]!thsiFinD("ths_adjustment_nv_fund",AK$3,$A652))</f>
        <v/>
      </c>
      <c r="AL652" s="13">
        <f>IF($A652="","",[1]!thsiFinD("ths_adjustment_nv_fund",AL$3,$A652))</f>
        <v/>
      </c>
    </row>
    <row r="653" spans="2:28">
      <c r="B653" s="13" t="str">
        <f>IF($A653="","",[1]!thsiFinD("ths_adjustment_nv_fund",B$3,$A653))</f>
        <v/>
      </c>
      <c r="C653" s="13" t="str">
        <f>IF($A653="","",[1]!thsiFinD("ths_adjustment_nv_fund",C$3,$A653))</f>
        <v/>
      </c>
      <c r="D653" s="13" t="str">
        <f>IF($A653="","",[1]!thsiFinD("ths_adjustment_nv_fund",D$3,$A653))</f>
        <v/>
      </c>
      <c r="E653" s="13" t="str">
        <f>IF($A653="","",[1]!thsiFinD("ths_adjustment_nv_fund",E$3,$A653))</f>
        <v/>
      </c>
      <c r="F653" s="13" t="str">
        <f>IF($A653="","",[1]!thsiFinD("ths_adjustment_nv_fund",F$3,$A653))</f>
        <v/>
      </c>
      <c r="G653" s="13" t="str">
        <f>IF($A653="","",[1]!thsiFinD("ths_adjustment_nv_fund",G$3,$A653))</f>
        <v/>
      </c>
      <c r="H653" s="13" t="str">
        <f>IF($A653="","",[1]!thsiFinD("ths_adjustment_nv_fund",H$3,$A653))</f>
        <v/>
      </c>
      <c r="I653" s="13" t="str">
        <f>IF($A653="","",[1]!thsiFinD("ths_adjustment_nv_fund",I$3,$A653))</f>
        <v/>
      </c>
      <c r="J653" s="13" t="str">
        <f>IF($A653="","",[1]!thsiFinD("ths_adjustment_nv_fund",J$3,$A653))</f>
        <v/>
      </c>
      <c r="K653" s="13" t="str">
        <f>IF($A653="","",[1]!thsiFinD("ths_adjustment_nv_fund",K$3,$A653))</f>
        <v/>
      </c>
      <c r="L653" s="13" t="str">
        <f>IF($A653="","",[1]!thsiFinD("ths_adjustment_nv_fund",L$3,$A653))</f>
        <v/>
      </c>
      <c r="M653" s="13" t="str">
        <f>IF($A653="","",[1]!thsiFinD("ths_adjustment_nv_fund",M$3,$A653))</f>
        <v/>
      </c>
      <c r="N653" s="13" t="str">
        <f>IF($A653="","",[1]!thsiFinD("ths_adjustment_nv_fund",N$3,$A653))</f>
        <v/>
      </c>
      <c r="O653" s="13" t="str">
        <f>IF($A653="","",[1]!thsiFinD("ths_adjustment_nv_fund",O$3,$A653))</f>
        <v/>
      </c>
      <c r="P653" s="13" t="str">
        <f>IF($A653="","",[1]!thsiFinD("ths_adjustment_nv_fund",P$3,$A653))</f>
        <v/>
      </c>
      <c r="Q653" s="13" t="str">
        <f>IF($A653="","",[1]!thsiFinD("ths_adjustment_nv_fund",Q$3,$A653))</f>
        <v/>
      </c>
      <c r="R653" s="13" t="str">
        <f>IF($A653="","",[1]!thsiFinD("ths_adjustment_nv_fund",R$3,$A653))</f>
        <v/>
      </c>
      <c r="S653" s="13" t="str">
        <f>IF($A653="","",[1]!thsiFinD("ths_adjustment_nv_fund",S$3,$A653))</f>
        <v/>
      </c>
      <c r="T653" s="13" t="str">
        <f>IF($A653="","",[1]!thsiFinD("ths_adjustment_nv_fund",T$3,$A653))</f>
        <v/>
      </c>
      <c r="U653" s="13" t="str">
        <f>IF($A653="","",[1]!thsiFinD("ths_adjustment_nv_fund",U$3,$A653))</f>
        <v/>
      </c>
      <c r="V653" s="13" t="str">
        <f>IF($A653="","",[1]!thsiFinD("ths_adjustment_nv_fund",V$3,$A653))</f>
        <v/>
      </c>
      <c r="W653" s="13" t="str">
        <f>IF($A653="","",[1]!thsiFinD("ths_adjustment_nv_fund",W$3,$A653))</f>
        <v/>
      </c>
      <c r="X653" s="13" t="str">
        <f>IF($A653="","",[1]!thsiFinD("ths_adjustment_nv_fund",X$3,$A653))</f>
        <v/>
      </c>
      <c r="Y653" s="13" t="str">
        <f>IF($A653="","",[1]!thsiFinD("ths_adjustment_nv_fund",Y$3,$A653))</f>
        <v/>
      </c>
      <c r="Z653" s="13" t="str">
        <f>IF($A653="","",[1]!thsiFinD("ths_adjustment_nv_fund",Z$3,$A653))</f>
        <v/>
      </c>
      <c r="AA653" s="13" t="str">
        <f>IF($A653="","",[1]!thsiFinD("ths_adjustment_nv_fund",AA$3,$A653))</f>
        <v/>
      </c>
      <c r="AB653" s="13">
        <f>IF($A653="","",[1]!thsiFinD("ths_adjustment_nv_fund",AB$3,$A653))</f>
        <v/>
      </c>
      <c r="AC653" s="13">
        <f>IF($A653="","",[1]!thsiFinD("ths_adjustment_nv_fund",AC$3,$A653))</f>
        <v/>
      </c>
      <c r="AD653" s="13">
        <f>IF($A653="","",[1]!thsiFinD("ths_adjustment_nv_fund",AD$3,$A653))</f>
        <v/>
      </c>
      <c r="AE653" s="13">
        <f>IF($A653="","",[1]!thsiFinD("ths_adjustment_nv_fund",AE$3,$A653))</f>
        <v/>
      </c>
      <c r="AF653" s="13">
        <f>IF($A653="","",[1]!thsiFinD("ths_adjustment_nv_fund",AF$3,$A653))</f>
        <v/>
      </c>
      <c r="AG653" s="13">
        <f>IF($A653="","",[1]!thsiFinD("ths_adjustment_nv_fund",AG$3,$A653))</f>
        <v/>
      </c>
      <c r="AH653" s="13">
        <f>IF($A653="","",[1]!thsiFinD("ths_adjustment_nv_fund",AH$3,$A653))</f>
        <v/>
      </c>
      <c r="AI653" s="13">
        <f>IF($A653="","",[1]!thsiFinD("ths_adjustment_nv_fund",AI$3,$A653))</f>
        <v/>
      </c>
      <c r="AJ653" s="13">
        <f>IF($A653="","",[1]!thsiFinD("ths_adjustment_nv_fund",AJ$3,$A653))</f>
        <v/>
      </c>
      <c r="AK653" s="13">
        <f>IF($A653="","",[1]!thsiFinD("ths_adjustment_nv_fund",AK$3,$A653))</f>
        <v/>
      </c>
      <c r="AL653" s="13">
        <f>IF($A653="","",[1]!thsiFinD("ths_adjustment_nv_fund",AL$3,$A653))</f>
        <v/>
      </c>
    </row>
    <row r="654" spans="2:28">
      <c r="B654" s="13" t="str">
        <f>IF($A654="","",[1]!thsiFinD("ths_adjustment_nv_fund",B$3,$A654))</f>
        <v/>
      </c>
      <c r="C654" s="13" t="str">
        <f>IF($A654="","",[1]!thsiFinD("ths_adjustment_nv_fund",C$3,$A654))</f>
        <v/>
      </c>
      <c r="D654" s="13" t="str">
        <f>IF($A654="","",[1]!thsiFinD("ths_adjustment_nv_fund",D$3,$A654))</f>
        <v/>
      </c>
      <c r="E654" s="13" t="str">
        <f>IF($A654="","",[1]!thsiFinD("ths_adjustment_nv_fund",E$3,$A654))</f>
        <v/>
      </c>
      <c r="F654" s="13" t="str">
        <f>IF($A654="","",[1]!thsiFinD("ths_adjustment_nv_fund",F$3,$A654))</f>
        <v/>
      </c>
      <c r="G654" s="13" t="str">
        <f>IF($A654="","",[1]!thsiFinD("ths_adjustment_nv_fund",G$3,$A654))</f>
        <v/>
      </c>
      <c r="H654" s="13" t="str">
        <f>IF($A654="","",[1]!thsiFinD("ths_adjustment_nv_fund",H$3,$A654))</f>
        <v/>
      </c>
      <c r="I654" s="13" t="str">
        <f>IF($A654="","",[1]!thsiFinD("ths_adjustment_nv_fund",I$3,$A654))</f>
        <v/>
      </c>
      <c r="J654" s="13" t="str">
        <f>IF($A654="","",[1]!thsiFinD("ths_adjustment_nv_fund",J$3,$A654))</f>
        <v/>
      </c>
      <c r="K654" s="13" t="str">
        <f>IF($A654="","",[1]!thsiFinD("ths_adjustment_nv_fund",K$3,$A654))</f>
        <v/>
      </c>
      <c r="L654" s="13" t="str">
        <f>IF($A654="","",[1]!thsiFinD("ths_adjustment_nv_fund",L$3,$A654))</f>
        <v/>
      </c>
      <c r="M654" s="13" t="str">
        <f>IF($A654="","",[1]!thsiFinD("ths_adjustment_nv_fund",M$3,$A654))</f>
        <v/>
      </c>
      <c r="N654" s="13" t="str">
        <f>IF($A654="","",[1]!thsiFinD("ths_adjustment_nv_fund",N$3,$A654))</f>
        <v/>
      </c>
      <c r="O654" s="13" t="str">
        <f>IF($A654="","",[1]!thsiFinD("ths_adjustment_nv_fund",O$3,$A654))</f>
        <v/>
      </c>
      <c r="P654" s="13" t="str">
        <f>IF($A654="","",[1]!thsiFinD("ths_adjustment_nv_fund",P$3,$A654))</f>
        <v/>
      </c>
      <c r="Q654" s="13" t="str">
        <f>IF($A654="","",[1]!thsiFinD("ths_adjustment_nv_fund",Q$3,$A654))</f>
        <v/>
      </c>
      <c r="R654" s="13" t="str">
        <f>IF($A654="","",[1]!thsiFinD("ths_adjustment_nv_fund",R$3,$A654))</f>
        <v/>
      </c>
      <c r="S654" s="13" t="str">
        <f>IF($A654="","",[1]!thsiFinD("ths_adjustment_nv_fund",S$3,$A654))</f>
        <v/>
      </c>
      <c r="T654" s="13" t="str">
        <f>IF($A654="","",[1]!thsiFinD("ths_adjustment_nv_fund",T$3,$A654))</f>
        <v/>
      </c>
      <c r="U654" s="13" t="str">
        <f>IF($A654="","",[1]!thsiFinD("ths_adjustment_nv_fund",U$3,$A654))</f>
        <v/>
      </c>
      <c r="V654" s="13" t="str">
        <f>IF($A654="","",[1]!thsiFinD("ths_adjustment_nv_fund",V$3,$A654))</f>
        <v/>
      </c>
      <c r="W654" s="13" t="str">
        <f>IF($A654="","",[1]!thsiFinD("ths_adjustment_nv_fund",W$3,$A654))</f>
        <v/>
      </c>
      <c r="X654" s="13" t="str">
        <f>IF($A654="","",[1]!thsiFinD("ths_adjustment_nv_fund",X$3,$A654))</f>
        <v/>
      </c>
      <c r="Y654" s="13" t="str">
        <f>IF($A654="","",[1]!thsiFinD("ths_adjustment_nv_fund",Y$3,$A654))</f>
        <v/>
      </c>
      <c r="Z654" s="13" t="str">
        <f>IF($A654="","",[1]!thsiFinD("ths_adjustment_nv_fund",Z$3,$A654))</f>
        <v/>
      </c>
      <c r="AA654" s="13" t="str">
        <f>IF($A654="","",[1]!thsiFinD("ths_adjustment_nv_fund",AA$3,$A654))</f>
        <v/>
      </c>
      <c r="AB654" s="13">
        <f>IF($A654="","",[1]!thsiFinD("ths_adjustment_nv_fund",AB$3,$A654))</f>
        <v/>
      </c>
      <c r="AC654" s="13">
        <f>IF($A654="","",[1]!thsiFinD("ths_adjustment_nv_fund",AC$3,$A654))</f>
        <v/>
      </c>
      <c r="AD654" s="13">
        <f>IF($A654="","",[1]!thsiFinD("ths_adjustment_nv_fund",AD$3,$A654))</f>
        <v/>
      </c>
      <c r="AE654" s="13">
        <f>IF($A654="","",[1]!thsiFinD("ths_adjustment_nv_fund",AE$3,$A654))</f>
        <v/>
      </c>
      <c r="AF654" s="13">
        <f>IF($A654="","",[1]!thsiFinD("ths_adjustment_nv_fund",AF$3,$A654))</f>
        <v/>
      </c>
      <c r="AG654" s="13">
        <f>IF($A654="","",[1]!thsiFinD("ths_adjustment_nv_fund",AG$3,$A654))</f>
        <v/>
      </c>
      <c r="AH654" s="13">
        <f>IF($A654="","",[1]!thsiFinD("ths_adjustment_nv_fund",AH$3,$A654))</f>
        <v/>
      </c>
      <c r="AI654" s="13">
        <f>IF($A654="","",[1]!thsiFinD("ths_adjustment_nv_fund",AI$3,$A654))</f>
        <v/>
      </c>
      <c r="AJ654" s="13">
        <f>IF($A654="","",[1]!thsiFinD("ths_adjustment_nv_fund",AJ$3,$A654))</f>
        <v/>
      </c>
      <c r="AK654" s="13">
        <f>IF($A654="","",[1]!thsiFinD("ths_adjustment_nv_fund",AK$3,$A654))</f>
        <v/>
      </c>
      <c r="AL654" s="13">
        <f>IF($A654="","",[1]!thsiFinD("ths_adjustment_nv_fund",AL$3,$A654))</f>
        <v/>
      </c>
    </row>
    <row r="655" spans="2:28">
      <c r="B655" s="13" t="str">
        <f>IF($A655="","",[1]!thsiFinD("ths_adjustment_nv_fund",B$3,$A655))</f>
        <v/>
      </c>
      <c r="C655" s="13" t="str">
        <f>IF($A655="","",[1]!thsiFinD("ths_adjustment_nv_fund",C$3,$A655))</f>
        <v/>
      </c>
      <c r="D655" s="13" t="str">
        <f>IF($A655="","",[1]!thsiFinD("ths_adjustment_nv_fund",D$3,$A655))</f>
        <v/>
      </c>
      <c r="E655" s="13" t="str">
        <f>IF($A655="","",[1]!thsiFinD("ths_adjustment_nv_fund",E$3,$A655))</f>
        <v/>
      </c>
      <c r="F655" s="13" t="str">
        <f>IF($A655="","",[1]!thsiFinD("ths_adjustment_nv_fund",F$3,$A655))</f>
        <v/>
      </c>
      <c r="G655" s="13" t="str">
        <f>IF($A655="","",[1]!thsiFinD("ths_adjustment_nv_fund",G$3,$A655))</f>
        <v/>
      </c>
      <c r="H655" s="13" t="str">
        <f>IF($A655="","",[1]!thsiFinD("ths_adjustment_nv_fund",H$3,$A655))</f>
        <v/>
      </c>
      <c r="I655" s="13" t="str">
        <f>IF($A655="","",[1]!thsiFinD("ths_adjustment_nv_fund",I$3,$A655))</f>
        <v/>
      </c>
      <c r="J655" s="13" t="str">
        <f>IF($A655="","",[1]!thsiFinD("ths_adjustment_nv_fund",J$3,$A655))</f>
        <v/>
      </c>
      <c r="K655" s="13" t="str">
        <f>IF($A655="","",[1]!thsiFinD("ths_adjustment_nv_fund",K$3,$A655))</f>
        <v/>
      </c>
      <c r="L655" s="13" t="str">
        <f>IF($A655="","",[1]!thsiFinD("ths_adjustment_nv_fund",L$3,$A655))</f>
        <v/>
      </c>
      <c r="M655" s="13" t="str">
        <f>IF($A655="","",[1]!thsiFinD("ths_adjustment_nv_fund",M$3,$A655))</f>
        <v/>
      </c>
      <c r="N655" s="13" t="str">
        <f>IF($A655="","",[1]!thsiFinD("ths_adjustment_nv_fund",N$3,$A655))</f>
        <v/>
      </c>
      <c r="O655" s="13" t="str">
        <f>IF($A655="","",[1]!thsiFinD("ths_adjustment_nv_fund",O$3,$A655))</f>
        <v/>
      </c>
      <c r="P655" s="13" t="str">
        <f>IF($A655="","",[1]!thsiFinD("ths_adjustment_nv_fund",P$3,$A655))</f>
        <v/>
      </c>
      <c r="Q655" s="13" t="str">
        <f>IF($A655="","",[1]!thsiFinD("ths_adjustment_nv_fund",Q$3,$A655))</f>
        <v/>
      </c>
      <c r="R655" s="13" t="str">
        <f>IF($A655="","",[1]!thsiFinD("ths_adjustment_nv_fund",R$3,$A655))</f>
        <v/>
      </c>
      <c r="S655" s="13" t="str">
        <f>IF($A655="","",[1]!thsiFinD("ths_adjustment_nv_fund",S$3,$A655))</f>
        <v/>
      </c>
      <c r="T655" s="13" t="str">
        <f>IF($A655="","",[1]!thsiFinD("ths_adjustment_nv_fund",T$3,$A655))</f>
        <v/>
      </c>
      <c r="U655" s="13" t="str">
        <f>IF($A655="","",[1]!thsiFinD("ths_adjustment_nv_fund",U$3,$A655))</f>
        <v/>
      </c>
      <c r="V655" s="13" t="str">
        <f>IF($A655="","",[1]!thsiFinD("ths_adjustment_nv_fund",V$3,$A655))</f>
        <v/>
      </c>
      <c r="W655" s="13" t="str">
        <f>IF($A655="","",[1]!thsiFinD("ths_adjustment_nv_fund",W$3,$A655))</f>
        <v/>
      </c>
      <c r="X655" s="13" t="str">
        <f>IF($A655="","",[1]!thsiFinD("ths_adjustment_nv_fund",X$3,$A655))</f>
        <v/>
      </c>
      <c r="Y655" s="13" t="str">
        <f>IF($A655="","",[1]!thsiFinD("ths_adjustment_nv_fund",Y$3,$A655))</f>
        <v/>
      </c>
      <c r="Z655" s="13" t="str">
        <f>IF($A655="","",[1]!thsiFinD("ths_adjustment_nv_fund",Z$3,$A655))</f>
        <v/>
      </c>
      <c r="AA655" s="13" t="str">
        <f>IF($A655="","",[1]!thsiFinD("ths_adjustment_nv_fund",AA$3,$A655))</f>
        <v/>
      </c>
      <c r="AB655" s="13">
        <f>IF($A655="","",[1]!thsiFinD("ths_adjustment_nv_fund",AB$3,$A655))</f>
        <v/>
      </c>
      <c r="AC655" s="13">
        <f>IF($A655="","",[1]!thsiFinD("ths_adjustment_nv_fund",AC$3,$A655))</f>
        <v/>
      </c>
      <c r="AD655" s="13">
        <f>IF($A655="","",[1]!thsiFinD("ths_adjustment_nv_fund",AD$3,$A655))</f>
        <v/>
      </c>
      <c r="AE655" s="13">
        <f>IF($A655="","",[1]!thsiFinD("ths_adjustment_nv_fund",AE$3,$A655))</f>
        <v/>
      </c>
      <c r="AF655" s="13">
        <f>IF($A655="","",[1]!thsiFinD("ths_adjustment_nv_fund",AF$3,$A655))</f>
        <v/>
      </c>
      <c r="AG655" s="13">
        <f>IF($A655="","",[1]!thsiFinD("ths_adjustment_nv_fund",AG$3,$A655))</f>
        <v/>
      </c>
      <c r="AH655" s="13">
        <f>IF($A655="","",[1]!thsiFinD("ths_adjustment_nv_fund",AH$3,$A655))</f>
        <v/>
      </c>
      <c r="AI655" s="13">
        <f>IF($A655="","",[1]!thsiFinD("ths_adjustment_nv_fund",AI$3,$A655))</f>
        <v/>
      </c>
      <c r="AJ655" s="13">
        <f>IF($A655="","",[1]!thsiFinD("ths_adjustment_nv_fund",AJ$3,$A655))</f>
        <v/>
      </c>
      <c r="AK655" s="13">
        <f>IF($A655="","",[1]!thsiFinD("ths_adjustment_nv_fund",AK$3,$A655))</f>
        <v/>
      </c>
      <c r="AL655" s="13">
        <f>IF($A655="","",[1]!thsiFinD("ths_adjustment_nv_fund",AL$3,$A655))</f>
        <v/>
      </c>
    </row>
    <row r="656" spans="2:28">
      <c r="B656" s="13" t="str">
        <f>IF($A656="","",[1]!thsiFinD("ths_adjustment_nv_fund",B$3,$A656))</f>
        <v/>
      </c>
      <c r="C656" s="13" t="str">
        <f>IF($A656="","",[1]!thsiFinD("ths_adjustment_nv_fund",C$3,$A656))</f>
        <v/>
      </c>
      <c r="D656" s="13" t="str">
        <f>IF($A656="","",[1]!thsiFinD("ths_adjustment_nv_fund",D$3,$A656))</f>
        <v/>
      </c>
      <c r="E656" s="13" t="str">
        <f>IF($A656="","",[1]!thsiFinD("ths_adjustment_nv_fund",E$3,$A656))</f>
        <v/>
      </c>
      <c r="F656" s="13" t="str">
        <f>IF($A656="","",[1]!thsiFinD("ths_adjustment_nv_fund",F$3,$A656))</f>
        <v/>
      </c>
      <c r="G656" s="13" t="str">
        <f>IF($A656="","",[1]!thsiFinD("ths_adjustment_nv_fund",G$3,$A656))</f>
        <v/>
      </c>
      <c r="H656" s="13" t="str">
        <f>IF($A656="","",[1]!thsiFinD("ths_adjustment_nv_fund",H$3,$A656))</f>
        <v/>
      </c>
      <c r="I656" s="13" t="str">
        <f>IF($A656="","",[1]!thsiFinD("ths_adjustment_nv_fund",I$3,$A656))</f>
        <v/>
      </c>
      <c r="J656" s="13" t="str">
        <f>IF($A656="","",[1]!thsiFinD("ths_adjustment_nv_fund",J$3,$A656))</f>
        <v/>
      </c>
      <c r="K656" s="13" t="str">
        <f>IF($A656="","",[1]!thsiFinD("ths_adjustment_nv_fund",K$3,$A656))</f>
        <v/>
      </c>
      <c r="L656" s="13" t="str">
        <f>IF($A656="","",[1]!thsiFinD("ths_adjustment_nv_fund",L$3,$A656))</f>
        <v/>
      </c>
      <c r="M656" s="13" t="str">
        <f>IF($A656="","",[1]!thsiFinD("ths_adjustment_nv_fund",M$3,$A656))</f>
        <v/>
      </c>
      <c r="N656" s="13" t="str">
        <f>IF($A656="","",[1]!thsiFinD("ths_adjustment_nv_fund",N$3,$A656))</f>
        <v/>
      </c>
      <c r="O656" s="13" t="str">
        <f>IF($A656="","",[1]!thsiFinD("ths_adjustment_nv_fund",O$3,$A656))</f>
        <v/>
      </c>
      <c r="P656" s="13" t="str">
        <f>IF($A656="","",[1]!thsiFinD("ths_adjustment_nv_fund",P$3,$A656))</f>
        <v/>
      </c>
      <c r="Q656" s="13" t="str">
        <f>IF($A656="","",[1]!thsiFinD("ths_adjustment_nv_fund",Q$3,$A656))</f>
        <v/>
      </c>
      <c r="R656" s="13" t="str">
        <f>IF($A656="","",[1]!thsiFinD("ths_adjustment_nv_fund",R$3,$A656))</f>
        <v/>
      </c>
      <c r="S656" s="13" t="str">
        <f>IF($A656="","",[1]!thsiFinD("ths_adjustment_nv_fund",S$3,$A656))</f>
        <v/>
      </c>
      <c r="T656" s="13" t="str">
        <f>IF($A656="","",[1]!thsiFinD("ths_adjustment_nv_fund",T$3,$A656))</f>
        <v/>
      </c>
      <c r="U656" s="13" t="str">
        <f>IF($A656="","",[1]!thsiFinD("ths_adjustment_nv_fund",U$3,$A656))</f>
        <v/>
      </c>
      <c r="V656" s="13" t="str">
        <f>IF($A656="","",[1]!thsiFinD("ths_adjustment_nv_fund",V$3,$A656))</f>
        <v/>
      </c>
      <c r="W656" s="13" t="str">
        <f>IF($A656="","",[1]!thsiFinD("ths_adjustment_nv_fund",W$3,$A656))</f>
        <v/>
      </c>
      <c r="X656" s="13" t="str">
        <f>IF($A656="","",[1]!thsiFinD("ths_adjustment_nv_fund",X$3,$A656))</f>
        <v/>
      </c>
      <c r="Y656" s="13" t="str">
        <f>IF($A656="","",[1]!thsiFinD("ths_adjustment_nv_fund",Y$3,$A656))</f>
        <v/>
      </c>
      <c r="Z656" s="13" t="str">
        <f>IF($A656="","",[1]!thsiFinD("ths_adjustment_nv_fund",Z$3,$A656))</f>
        <v/>
      </c>
      <c r="AA656" s="13" t="str">
        <f>IF($A656="","",[1]!thsiFinD("ths_adjustment_nv_fund",AA$3,$A656))</f>
        <v/>
      </c>
      <c r="AB656" s="13">
        <f>IF($A656="","",[1]!thsiFinD("ths_adjustment_nv_fund",AB$3,$A656))</f>
        <v/>
      </c>
      <c r="AC656" s="13">
        <f>IF($A656="","",[1]!thsiFinD("ths_adjustment_nv_fund",AC$3,$A656))</f>
        <v/>
      </c>
      <c r="AD656" s="13">
        <f>IF($A656="","",[1]!thsiFinD("ths_adjustment_nv_fund",AD$3,$A656))</f>
        <v/>
      </c>
      <c r="AE656" s="13">
        <f>IF($A656="","",[1]!thsiFinD("ths_adjustment_nv_fund",AE$3,$A656))</f>
        <v/>
      </c>
      <c r="AF656" s="13">
        <f>IF($A656="","",[1]!thsiFinD("ths_adjustment_nv_fund",AF$3,$A656))</f>
        <v/>
      </c>
      <c r="AG656" s="13">
        <f>IF($A656="","",[1]!thsiFinD("ths_adjustment_nv_fund",AG$3,$A656))</f>
        <v/>
      </c>
      <c r="AH656" s="13">
        <f>IF($A656="","",[1]!thsiFinD("ths_adjustment_nv_fund",AH$3,$A656))</f>
        <v/>
      </c>
      <c r="AI656" s="13">
        <f>IF($A656="","",[1]!thsiFinD("ths_adjustment_nv_fund",AI$3,$A656))</f>
        <v/>
      </c>
      <c r="AJ656" s="13">
        <f>IF($A656="","",[1]!thsiFinD("ths_adjustment_nv_fund",AJ$3,$A656))</f>
        <v/>
      </c>
      <c r="AK656" s="13">
        <f>IF($A656="","",[1]!thsiFinD("ths_adjustment_nv_fund",AK$3,$A656))</f>
        <v/>
      </c>
      <c r="AL656" s="13">
        <f>IF($A656="","",[1]!thsiFinD("ths_adjustment_nv_fund",AL$3,$A656))</f>
        <v/>
      </c>
    </row>
    <row r="657" spans="2:28">
      <c r="B657" s="13" t="str">
        <f>IF($A657="","",[1]!thsiFinD("ths_adjustment_nv_fund",B$3,$A657))</f>
        <v/>
      </c>
      <c r="C657" s="13" t="str">
        <f>IF($A657="","",[1]!thsiFinD("ths_adjustment_nv_fund",C$3,$A657))</f>
        <v/>
      </c>
      <c r="D657" s="13" t="str">
        <f>IF($A657="","",[1]!thsiFinD("ths_adjustment_nv_fund",D$3,$A657))</f>
        <v/>
      </c>
      <c r="E657" s="13" t="str">
        <f>IF($A657="","",[1]!thsiFinD("ths_adjustment_nv_fund",E$3,$A657))</f>
        <v/>
      </c>
      <c r="F657" s="13" t="str">
        <f>IF($A657="","",[1]!thsiFinD("ths_adjustment_nv_fund",F$3,$A657))</f>
        <v/>
      </c>
      <c r="G657" s="13" t="str">
        <f>IF($A657="","",[1]!thsiFinD("ths_adjustment_nv_fund",G$3,$A657))</f>
        <v/>
      </c>
      <c r="H657" s="13" t="str">
        <f>IF($A657="","",[1]!thsiFinD("ths_adjustment_nv_fund",H$3,$A657))</f>
        <v/>
      </c>
      <c r="I657" s="13" t="str">
        <f>IF($A657="","",[1]!thsiFinD("ths_adjustment_nv_fund",I$3,$A657))</f>
        <v/>
      </c>
      <c r="J657" s="13" t="str">
        <f>IF($A657="","",[1]!thsiFinD("ths_adjustment_nv_fund",J$3,$A657))</f>
        <v/>
      </c>
      <c r="K657" s="13" t="str">
        <f>IF($A657="","",[1]!thsiFinD("ths_adjustment_nv_fund",K$3,$A657))</f>
        <v/>
      </c>
      <c r="L657" s="13" t="str">
        <f>IF($A657="","",[1]!thsiFinD("ths_adjustment_nv_fund",L$3,$A657))</f>
        <v/>
      </c>
      <c r="M657" s="13" t="str">
        <f>IF($A657="","",[1]!thsiFinD("ths_adjustment_nv_fund",M$3,$A657))</f>
        <v/>
      </c>
      <c r="N657" s="13" t="str">
        <f>IF($A657="","",[1]!thsiFinD("ths_adjustment_nv_fund",N$3,$A657))</f>
        <v/>
      </c>
      <c r="O657" s="13" t="str">
        <f>IF($A657="","",[1]!thsiFinD("ths_adjustment_nv_fund",O$3,$A657))</f>
        <v/>
      </c>
      <c r="P657" s="13" t="str">
        <f>IF($A657="","",[1]!thsiFinD("ths_adjustment_nv_fund",P$3,$A657))</f>
        <v/>
      </c>
      <c r="Q657" s="13" t="str">
        <f>IF($A657="","",[1]!thsiFinD("ths_adjustment_nv_fund",Q$3,$A657))</f>
        <v/>
      </c>
      <c r="R657" s="13" t="str">
        <f>IF($A657="","",[1]!thsiFinD("ths_adjustment_nv_fund",R$3,$A657))</f>
        <v/>
      </c>
      <c r="S657" s="13" t="str">
        <f>IF($A657="","",[1]!thsiFinD("ths_adjustment_nv_fund",S$3,$A657))</f>
        <v/>
      </c>
      <c r="T657" s="13" t="str">
        <f>IF($A657="","",[1]!thsiFinD("ths_adjustment_nv_fund",T$3,$A657))</f>
        <v/>
      </c>
      <c r="U657" s="13" t="str">
        <f>IF($A657="","",[1]!thsiFinD("ths_adjustment_nv_fund",U$3,$A657))</f>
        <v/>
      </c>
      <c r="V657" s="13" t="str">
        <f>IF($A657="","",[1]!thsiFinD("ths_adjustment_nv_fund",V$3,$A657))</f>
        <v/>
      </c>
      <c r="W657" s="13" t="str">
        <f>IF($A657="","",[1]!thsiFinD("ths_adjustment_nv_fund",W$3,$A657))</f>
        <v/>
      </c>
      <c r="X657" s="13" t="str">
        <f>IF($A657="","",[1]!thsiFinD("ths_adjustment_nv_fund",X$3,$A657))</f>
        <v/>
      </c>
      <c r="Y657" s="13" t="str">
        <f>IF($A657="","",[1]!thsiFinD("ths_adjustment_nv_fund",Y$3,$A657))</f>
        <v/>
      </c>
      <c r="Z657" s="13" t="str">
        <f>IF($A657="","",[1]!thsiFinD("ths_adjustment_nv_fund",Z$3,$A657))</f>
        <v/>
      </c>
      <c r="AA657" s="13" t="str">
        <f>IF($A657="","",[1]!thsiFinD("ths_adjustment_nv_fund",AA$3,$A657))</f>
        <v/>
      </c>
      <c r="AB657" s="13">
        <f>IF($A657="","",[1]!thsiFinD("ths_adjustment_nv_fund",AB$3,$A657))</f>
        <v/>
      </c>
      <c r="AC657" s="13">
        <f>IF($A657="","",[1]!thsiFinD("ths_adjustment_nv_fund",AC$3,$A657))</f>
        <v/>
      </c>
      <c r="AD657" s="13">
        <f>IF($A657="","",[1]!thsiFinD("ths_adjustment_nv_fund",AD$3,$A657))</f>
        <v/>
      </c>
      <c r="AE657" s="13">
        <f>IF($A657="","",[1]!thsiFinD("ths_adjustment_nv_fund",AE$3,$A657))</f>
        <v/>
      </c>
      <c r="AF657" s="13">
        <f>IF($A657="","",[1]!thsiFinD("ths_adjustment_nv_fund",AF$3,$A657))</f>
        <v/>
      </c>
      <c r="AG657" s="13">
        <f>IF($A657="","",[1]!thsiFinD("ths_adjustment_nv_fund",AG$3,$A657))</f>
        <v/>
      </c>
      <c r="AH657" s="13">
        <f>IF($A657="","",[1]!thsiFinD("ths_adjustment_nv_fund",AH$3,$A657))</f>
        <v/>
      </c>
      <c r="AI657" s="13">
        <f>IF($A657="","",[1]!thsiFinD("ths_adjustment_nv_fund",AI$3,$A657))</f>
        <v/>
      </c>
      <c r="AJ657" s="13">
        <f>IF($A657="","",[1]!thsiFinD("ths_adjustment_nv_fund",AJ$3,$A657))</f>
        <v/>
      </c>
      <c r="AK657" s="13">
        <f>IF($A657="","",[1]!thsiFinD("ths_adjustment_nv_fund",AK$3,$A657))</f>
        <v/>
      </c>
      <c r="AL657" s="13">
        <f>IF($A657="","",[1]!thsiFinD("ths_adjustment_nv_fund",AL$3,$A657))</f>
        <v/>
      </c>
    </row>
    <row r="658" spans="2:28">
      <c r="B658" s="13" t="str">
        <f>IF($A658="","",[1]!thsiFinD("ths_adjustment_nv_fund",B$3,$A658))</f>
        <v/>
      </c>
      <c r="C658" s="13" t="str">
        <f>IF($A658="","",[1]!thsiFinD("ths_adjustment_nv_fund",C$3,$A658))</f>
        <v/>
      </c>
      <c r="D658" s="13" t="str">
        <f>IF($A658="","",[1]!thsiFinD("ths_adjustment_nv_fund",D$3,$A658))</f>
        <v/>
      </c>
      <c r="E658" s="13" t="str">
        <f>IF($A658="","",[1]!thsiFinD("ths_adjustment_nv_fund",E$3,$A658))</f>
        <v/>
      </c>
      <c r="F658" s="13" t="str">
        <f>IF($A658="","",[1]!thsiFinD("ths_adjustment_nv_fund",F$3,$A658))</f>
        <v/>
      </c>
      <c r="G658" s="13" t="str">
        <f>IF($A658="","",[1]!thsiFinD("ths_adjustment_nv_fund",G$3,$A658))</f>
        <v/>
      </c>
      <c r="H658" s="13" t="str">
        <f>IF($A658="","",[1]!thsiFinD("ths_adjustment_nv_fund",H$3,$A658))</f>
        <v/>
      </c>
      <c r="I658" s="13" t="str">
        <f>IF($A658="","",[1]!thsiFinD("ths_adjustment_nv_fund",I$3,$A658))</f>
        <v/>
      </c>
      <c r="J658" s="13" t="str">
        <f>IF($A658="","",[1]!thsiFinD("ths_adjustment_nv_fund",J$3,$A658))</f>
        <v/>
      </c>
      <c r="K658" s="13" t="str">
        <f>IF($A658="","",[1]!thsiFinD("ths_adjustment_nv_fund",K$3,$A658))</f>
        <v/>
      </c>
      <c r="L658" s="13" t="str">
        <f>IF($A658="","",[1]!thsiFinD("ths_adjustment_nv_fund",L$3,$A658))</f>
        <v/>
      </c>
      <c r="M658" s="13" t="str">
        <f>IF($A658="","",[1]!thsiFinD("ths_adjustment_nv_fund",M$3,$A658))</f>
        <v/>
      </c>
      <c r="N658" s="13" t="str">
        <f>IF($A658="","",[1]!thsiFinD("ths_adjustment_nv_fund",N$3,$A658))</f>
        <v/>
      </c>
      <c r="O658" s="13" t="str">
        <f>IF($A658="","",[1]!thsiFinD("ths_adjustment_nv_fund",O$3,$A658))</f>
        <v/>
      </c>
      <c r="P658" s="13" t="str">
        <f>IF($A658="","",[1]!thsiFinD("ths_adjustment_nv_fund",P$3,$A658))</f>
        <v/>
      </c>
      <c r="Q658" s="13" t="str">
        <f>IF($A658="","",[1]!thsiFinD("ths_adjustment_nv_fund",Q$3,$A658))</f>
        <v/>
      </c>
      <c r="R658" s="13" t="str">
        <f>IF($A658="","",[1]!thsiFinD("ths_adjustment_nv_fund",R$3,$A658))</f>
        <v/>
      </c>
      <c r="S658" s="13" t="str">
        <f>IF($A658="","",[1]!thsiFinD("ths_adjustment_nv_fund",S$3,$A658))</f>
        <v/>
      </c>
      <c r="T658" s="13" t="str">
        <f>IF($A658="","",[1]!thsiFinD("ths_adjustment_nv_fund",T$3,$A658))</f>
        <v/>
      </c>
      <c r="U658" s="13" t="str">
        <f>IF($A658="","",[1]!thsiFinD("ths_adjustment_nv_fund",U$3,$A658))</f>
        <v/>
      </c>
      <c r="V658" s="13" t="str">
        <f>IF($A658="","",[1]!thsiFinD("ths_adjustment_nv_fund",V$3,$A658))</f>
        <v/>
      </c>
      <c r="W658" s="13" t="str">
        <f>IF($A658="","",[1]!thsiFinD("ths_adjustment_nv_fund",W$3,$A658))</f>
        <v/>
      </c>
      <c r="X658" s="13" t="str">
        <f>IF($A658="","",[1]!thsiFinD("ths_adjustment_nv_fund",X$3,$A658))</f>
        <v/>
      </c>
      <c r="Y658" s="13" t="str">
        <f>IF($A658="","",[1]!thsiFinD("ths_adjustment_nv_fund",Y$3,$A658))</f>
        <v/>
      </c>
      <c r="Z658" s="13" t="str">
        <f>IF($A658="","",[1]!thsiFinD("ths_adjustment_nv_fund",Z$3,$A658))</f>
        <v/>
      </c>
      <c r="AA658" s="13" t="str">
        <f>IF($A658="","",[1]!thsiFinD("ths_adjustment_nv_fund",AA$3,$A658))</f>
        <v/>
      </c>
      <c r="AB658" s="13">
        <f>IF($A658="","",[1]!thsiFinD("ths_adjustment_nv_fund",AB$3,$A658))</f>
        <v/>
      </c>
      <c r="AC658" s="13">
        <f>IF($A658="","",[1]!thsiFinD("ths_adjustment_nv_fund",AC$3,$A658))</f>
        <v/>
      </c>
      <c r="AD658" s="13">
        <f>IF($A658="","",[1]!thsiFinD("ths_adjustment_nv_fund",AD$3,$A658))</f>
        <v/>
      </c>
      <c r="AE658" s="13">
        <f>IF($A658="","",[1]!thsiFinD("ths_adjustment_nv_fund",AE$3,$A658))</f>
        <v/>
      </c>
      <c r="AF658" s="13">
        <f>IF($A658="","",[1]!thsiFinD("ths_adjustment_nv_fund",AF$3,$A658))</f>
        <v/>
      </c>
      <c r="AG658" s="13">
        <f>IF($A658="","",[1]!thsiFinD("ths_adjustment_nv_fund",AG$3,$A658))</f>
        <v/>
      </c>
      <c r="AH658" s="13">
        <f>IF($A658="","",[1]!thsiFinD("ths_adjustment_nv_fund",AH$3,$A658))</f>
        <v/>
      </c>
      <c r="AI658" s="13">
        <f>IF($A658="","",[1]!thsiFinD("ths_adjustment_nv_fund",AI$3,$A658))</f>
        <v/>
      </c>
      <c r="AJ658" s="13">
        <f>IF($A658="","",[1]!thsiFinD("ths_adjustment_nv_fund",AJ$3,$A658))</f>
        <v/>
      </c>
      <c r="AK658" s="13">
        <f>IF($A658="","",[1]!thsiFinD("ths_adjustment_nv_fund",AK$3,$A658))</f>
        <v/>
      </c>
      <c r="AL658" s="13">
        <f>IF($A658="","",[1]!thsiFinD("ths_adjustment_nv_fund",AL$3,$A658))</f>
        <v/>
      </c>
    </row>
    <row r="659" spans="2:28">
      <c r="B659" s="13" t="str">
        <f>IF($A659="","",[1]!thsiFinD("ths_adjustment_nv_fund",B$3,$A659))</f>
        <v/>
      </c>
      <c r="C659" s="13" t="str">
        <f>IF($A659="","",[1]!thsiFinD("ths_adjustment_nv_fund",C$3,$A659))</f>
        <v/>
      </c>
      <c r="D659" s="13" t="str">
        <f>IF($A659="","",[1]!thsiFinD("ths_adjustment_nv_fund",D$3,$A659))</f>
        <v/>
      </c>
      <c r="E659" s="13" t="str">
        <f>IF($A659="","",[1]!thsiFinD("ths_adjustment_nv_fund",E$3,$A659))</f>
        <v/>
      </c>
      <c r="F659" s="13" t="str">
        <f>IF($A659="","",[1]!thsiFinD("ths_adjustment_nv_fund",F$3,$A659))</f>
        <v/>
      </c>
      <c r="G659" s="13" t="str">
        <f>IF($A659="","",[1]!thsiFinD("ths_adjustment_nv_fund",G$3,$A659))</f>
        <v/>
      </c>
      <c r="H659" s="13" t="str">
        <f>IF($A659="","",[1]!thsiFinD("ths_adjustment_nv_fund",H$3,$A659))</f>
        <v/>
      </c>
      <c r="I659" s="13" t="str">
        <f>IF($A659="","",[1]!thsiFinD("ths_adjustment_nv_fund",I$3,$A659))</f>
        <v/>
      </c>
      <c r="J659" s="13" t="str">
        <f>IF($A659="","",[1]!thsiFinD("ths_adjustment_nv_fund",J$3,$A659))</f>
        <v/>
      </c>
      <c r="K659" s="13" t="str">
        <f>IF($A659="","",[1]!thsiFinD("ths_adjustment_nv_fund",K$3,$A659))</f>
        <v/>
      </c>
      <c r="L659" s="13" t="str">
        <f>IF($A659="","",[1]!thsiFinD("ths_adjustment_nv_fund",L$3,$A659))</f>
        <v/>
      </c>
      <c r="M659" s="13" t="str">
        <f>IF($A659="","",[1]!thsiFinD("ths_adjustment_nv_fund",M$3,$A659))</f>
        <v/>
      </c>
      <c r="N659" s="13" t="str">
        <f>IF($A659="","",[1]!thsiFinD("ths_adjustment_nv_fund",N$3,$A659))</f>
        <v/>
      </c>
      <c r="O659" s="13" t="str">
        <f>IF($A659="","",[1]!thsiFinD("ths_adjustment_nv_fund",O$3,$A659))</f>
        <v/>
      </c>
      <c r="P659" s="13" t="str">
        <f>IF($A659="","",[1]!thsiFinD("ths_adjustment_nv_fund",P$3,$A659))</f>
        <v/>
      </c>
      <c r="Q659" s="13" t="str">
        <f>IF($A659="","",[1]!thsiFinD("ths_adjustment_nv_fund",Q$3,$A659))</f>
        <v/>
      </c>
      <c r="R659" s="13" t="str">
        <f>IF($A659="","",[1]!thsiFinD("ths_adjustment_nv_fund",R$3,$A659))</f>
        <v/>
      </c>
      <c r="S659" s="13" t="str">
        <f>IF($A659="","",[1]!thsiFinD("ths_adjustment_nv_fund",S$3,$A659))</f>
        <v/>
      </c>
      <c r="T659" s="13" t="str">
        <f>IF($A659="","",[1]!thsiFinD("ths_adjustment_nv_fund",T$3,$A659))</f>
        <v/>
      </c>
      <c r="U659" s="13" t="str">
        <f>IF($A659="","",[1]!thsiFinD("ths_adjustment_nv_fund",U$3,$A659))</f>
        <v/>
      </c>
      <c r="V659" s="13" t="str">
        <f>IF($A659="","",[1]!thsiFinD("ths_adjustment_nv_fund",V$3,$A659))</f>
        <v/>
      </c>
      <c r="W659" s="13" t="str">
        <f>IF($A659="","",[1]!thsiFinD("ths_adjustment_nv_fund",W$3,$A659))</f>
        <v/>
      </c>
      <c r="X659" s="13" t="str">
        <f>IF($A659="","",[1]!thsiFinD("ths_adjustment_nv_fund",X$3,$A659))</f>
        <v/>
      </c>
      <c r="Y659" s="13" t="str">
        <f>IF($A659="","",[1]!thsiFinD("ths_adjustment_nv_fund",Y$3,$A659))</f>
        <v/>
      </c>
      <c r="Z659" s="13" t="str">
        <f>IF($A659="","",[1]!thsiFinD("ths_adjustment_nv_fund",Z$3,$A659))</f>
        <v/>
      </c>
      <c r="AA659" s="13" t="str">
        <f>IF($A659="","",[1]!thsiFinD("ths_adjustment_nv_fund",AA$3,$A659))</f>
        <v/>
      </c>
      <c r="AB659" s="13">
        <f>IF($A659="","",[1]!thsiFinD("ths_adjustment_nv_fund",AB$3,$A659))</f>
        <v/>
      </c>
      <c r="AC659" s="13">
        <f>IF($A659="","",[1]!thsiFinD("ths_adjustment_nv_fund",AC$3,$A659))</f>
        <v/>
      </c>
      <c r="AD659" s="13">
        <f>IF($A659="","",[1]!thsiFinD("ths_adjustment_nv_fund",AD$3,$A659))</f>
        <v/>
      </c>
      <c r="AE659" s="13">
        <f>IF($A659="","",[1]!thsiFinD("ths_adjustment_nv_fund",AE$3,$A659))</f>
        <v/>
      </c>
      <c r="AF659" s="13">
        <f>IF($A659="","",[1]!thsiFinD("ths_adjustment_nv_fund",AF$3,$A659))</f>
        <v/>
      </c>
      <c r="AG659" s="13">
        <f>IF($A659="","",[1]!thsiFinD("ths_adjustment_nv_fund",AG$3,$A659))</f>
        <v/>
      </c>
      <c r="AH659" s="13">
        <f>IF($A659="","",[1]!thsiFinD("ths_adjustment_nv_fund",AH$3,$A659))</f>
        <v/>
      </c>
      <c r="AI659" s="13">
        <f>IF($A659="","",[1]!thsiFinD("ths_adjustment_nv_fund",AI$3,$A659))</f>
        <v/>
      </c>
      <c r="AJ659" s="13">
        <f>IF($A659="","",[1]!thsiFinD("ths_adjustment_nv_fund",AJ$3,$A659))</f>
        <v/>
      </c>
      <c r="AK659" s="13">
        <f>IF($A659="","",[1]!thsiFinD("ths_adjustment_nv_fund",AK$3,$A659))</f>
        <v/>
      </c>
      <c r="AL659" s="13">
        <f>IF($A659="","",[1]!thsiFinD("ths_adjustment_nv_fund",AL$3,$A659))</f>
        <v/>
      </c>
    </row>
    <row r="660" spans="2:28">
      <c r="B660" s="13" t="str">
        <f>IF($A660="","",[1]!thsiFinD("ths_adjustment_nv_fund",B$3,$A660))</f>
        <v/>
      </c>
      <c r="C660" s="13" t="str">
        <f>IF($A660="","",[1]!thsiFinD("ths_adjustment_nv_fund",C$3,$A660))</f>
        <v/>
      </c>
      <c r="D660" s="13" t="str">
        <f>IF($A660="","",[1]!thsiFinD("ths_adjustment_nv_fund",D$3,$A660))</f>
        <v/>
      </c>
      <c r="E660" s="13" t="str">
        <f>IF($A660="","",[1]!thsiFinD("ths_adjustment_nv_fund",E$3,$A660))</f>
        <v/>
      </c>
      <c r="F660" s="13" t="str">
        <f>IF($A660="","",[1]!thsiFinD("ths_adjustment_nv_fund",F$3,$A660))</f>
        <v/>
      </c>
      <c r="G660" s="13" t="str">
        <f>IF($A660="","",[1]!thsiFinD("ths_adjustment_nv_fund",G$3,$A660))</f>
        <v/>
      </c>
      <c r="H660" s="13" t="str">
        <f>IF($A660="","",[1]!thsiFinD("ths_adjustment_nv_fund",H$3,$A660))</f>
        <v/>
      </c>
      <c r="I660" s="13" t="str">
        <f>IF($A660="","",[1]!thsiFinD("ths_adjustment_nv_fund",I$3,$A660))</f>
        <v/>
      </c>
      <c r="J660" s="13" t="str">
        <f>IF($A660="","",[1]!thsiFinD("ths_adjustment_nv_fund",J$3,$A660))</f>
        <v/>
      </c>
      <c r="K660" s="13" t="str">
        <f>IF($A660="","",[1]!thsiFinD("ths_adjustment_nv_fund",K$3,$A660))</f>
        <v/>
      </c>
      <c r="L660" s="13" t="str">
        <f>IF($A660="","",[1]!thsiFinD("ths_adjustment_nv_fund",L$3,$A660))</f>
        <v/>
      </c>
      <c r="M660" s="13" t="str">
        <f>IF($A660="","",[1]!thsiFinD("ths_adjustment_nv_fund",M$3,$A660))</f>
        <v/>
      </c>
      <c r="N660" s="13" t="str">
        <f>IF($A660="","",[1]!thsiFinD("ths_adjustment_nv_fund",N$3,$A660))</f>
        <v/>
      </c>
      <c r="O660" s="13" t="str">
        <f>IF($A660="","",[1]!thsiFinD("ths_adjustment_nv_fund",O$3,$A660))</f>
        <v/>
      </c>
      <c r="P660" s="13" t="str">
        <f>IF($A660="","",[1]!thsiFinD("ths_adjustment_nv_fund",P$3,$A660))</f>
        <v/>
      </c>
      <c r="Q660" s="13" t="str">
        <f>IF($A660="","",[1]!thsiFinD("ths_adjustment_nv_fund",Q$3,$A660))</f>
        <v/>
      </c>
      <c r="R660" s="13" t="str">
        <f>IF($A660="","",[1]!thsiFinD("ths_adjustment_nv_fund",R$3,$A660))</f>
        <v/>
      </c>
      <c r="S660" s="13" t="str">
        <f>IF($A660="","",[1]!thsiFinD("ths_adjustment_nv_fund",S$3,$A660))</f>
        <v/>
      </c>
      <c r="T660" s="13" t="str">
        <f>IF($A660="","",[1]!thsiFinD("ths_adjustment_nv_fund",T$3,$A660))</f>
        <v/>
      </c>
      <c r="U660" s="13" t="str">
        <f>IF($A660="","",[1]!thsiFinD("ths_adjustment_nv_fund",U$3,$A660))</f>
        <v/>
      </c>
      <c r="V660" s="13" t="str">
        <f>IF($A660="","",[1]!thsiFinD("ths_adjustment_nv_fund",V$3,$A660))</f>
        <v/>
      </c>
      <c r="W660" s="13" t="str">
        <f>IF($A660="","",[1]!thsiFinD("ths_adjustment_nv_fund",W$3,$A660))</f>
        <v/>
      </c>
      <c r="X660" s="13" t="str">
        <f>IF($A660="","",[1]!thsiFinD("ths_adjustment_nv_fund",X$3,$A660))</f>
        <v/>
      </c>
      <c r="Y660" s="13" t="str">
        <f>IF($A660="","",[1]!thsiFinD("ths_adjustment_nv_fund",Y$3,$A660))</f>
        <v/>
      </c>
      <c r="Z660" s="13" t="str">
        <f>IF($A660="","",[1]!thsiFinD("ths_adjustment_nv_fund",Z$3,$A660))</f>
        <v/>
      </c>
      <c r="AA660" s="13" t="str">
        <f>IF($A660="","",[1]!thsiFinD("ths_adjustment_nv_fund",AA$3,$A660))</f>
        <v/>
      </c>
      <c r="AB660" s="13">
        <f>IF($A660="","",[1]!thsiFinD("ths_adjustment_nv_fund",AB$3,$A660))</f>
        <v/>
      </c>
      <c r="AC660" s="13">
        <f>IF($A660="","",[1]!thsiFinD("ths_adjustment_nv_fund",AC$3,$A660))</f>
        <v/>
      </c>
      <c r="AD660" s="13">
        <f>IF($A660="","",[1]!thsiFinD("ths_adjustment_nv_fund",AD$3,$A660))</f>
        <v/>
      </c>
      <c r="AE660" s="13">
        <f>IF($A660="","",[1]!thsiFinD("ths_adjustment_nv_fund",AE$3,$A660))</f>
        <v/>
      </c>
      <c r="AF660" s="13">
        <f>IF($A660="","",[1]!thsiFinD("ths_adjustment_nv_fund",AF$3,$A660))</f>
        <v/>
      </c>
      <c r="AG660" s="13">
        <f>IF($A660="","",[1]!thsiFinD("ths_adjustment_nv_fund",AG$3,$A660))</f>
        <v/>
      </c>
      <c r="AH660" s="13">
        <f>IF($A660="","",[1]!thsiFinD("ths_adjustment_nv_fund",AH$3,$A660))</f>
        <v/>
      </c>
      <c r="AI660" s="13">
        <f>IF($A660="","",[1]!thsiFinD("ths_adjustment_nv_fund",AI$3,$A660))</f>
        <v/>
      </c>
      <c r="AJ660" s="13">
        <f>IF($A660="","",[1]!thsiFinD("ths_adjustment_nv_fund",AJ$3,$A660))</f>
        <v/>
      </c>
      <c r="AK660" s="13">
        <f>IF($A660="","",[1]!thsiFinD("ths_adjustment_nv_fund",AK$3,$A660))</f>
        <v/>
      </c>
      <c r="AL660" s="13">
        <f>IF($A660="","",[1]!thsiFinD("ths_adjustment_nv_fund",AL$3,$A660))</f>
        <v/>
      </c>
    </row>
    <row r="661" spans="2:28">
      <c r="B661" s="13" t="str">
        <f>IF($A661="","",[1]!thsiFinD("ths_adjustment_nv_fund",B$3,$A661))</f>
        <v/>
      </c>
      <c r="C661" s="13" t="str">
        <f>IF($A661="","",[1]!thsiFinD("ths_adjustment_nv_fund",C$3,$A661))</f>
        <v/>
      </c>
      <c r="D661" s="13" t="str">
        <f>IF($A661="","",[1]!thsiFinD("ths_adjustment_nv_fund",D$3,$A661))</f>
        <v/>
      </c>
      <c r="E661" s="13" t="str">
        <f>IF($A661="","",[1]!thsiFinD("ths_adjustment_nv_fund",E$3,$A661))</f>
        <v/>
      </c>
      <c r="F661" s="13" t="str">
        <f>IF($A661="","",[1]!thsiFinD("ths_adjustment_nv_fund",F$3,$A661))</f>
        <v/>
      </c>
      <c r="G661" s="13" t="str">
        <f>IF($A661="","",[1]!thsiFinD("ths_adjustment_nv_fund",G$3,$A661))</f>
        <v/>
      </c>
      <c r="H661" s="13" t="str">
        <f>IF($A661="","",[1]!thsiFinD("ths_adjustment_nv_fund",H$3,$A661))</f>
        <v/>
      </c>
      <c r="I661" s="13" t="str">
        <f>IF($A661="","",[1]!thsiFinD("ths_adjustment_nv_fund",I$3,$A661))</f>
        <v/>
      </c>
      <c r="J661" s="13" t="str">
        <f>IF($A661="","",[1]!thsiFinD("ths_adjustment_nv_fund",J$3,$A661))</f>
        <v/>
      </c>
      <c r="K661" s="13" t="str">
        <f>IF($A661="","",[1]!thsiFinD("ths_adjustment_nv_fund",K$3,$A661))</f>
        <v/>
      </c>
      <c r="L661" s="13" t="str">
        <f>IF($A661="","",[1]!thsiFinD("ths_adjustment_nv_fund",L$3,$A661))</f>
        <v/>
      </c>
      <c r="M661" s="13" t="str">
        <f>IF($A661="","",[1]!thsiFinD("ths_adjustment_nv_fund",M$3,$A661))</f>
        <v/>
      </c>
      <c r="N661" s="13" t="str">
        <f>IF($A661="","",[1]!thsiFinD("ths_adjustment_nv_fund",N$3,$A661))</f>
        <v/>
      </c>
      <c r="O661" s="13" t="str">
        <f>IF($A661="","",[1]!thsiFinD("ths_adjustment_nv_fund",O$3,$A661))</f>
        <v/>
      </c>
      <c r="P661" s="13" t="str">
        <f>IF($A661="","",[1]!thsiFinD("ths_adjustment_nv_fund",P$3,$A661))</f>
        <v/>
      </c>
      <c r="Q661" s="13" t="str">
        <f>IF($A661="","",[1]!thsiFinD("ths_adjustment_nv_fund",Q$3,$A661))</f>
        <v/>
      </c>
      <c r="R661" s="13" t="str">
        <f>IF($A661="","",[1]!thsiFinD("ths_adjustment_nv_fund",R$3,$A661))</f>
        <v/>
      </c>
      <c r="S661" s="13" t="str">
        <f>IF($A661="","",[1]!thsiFinD("ths_adjustment_nv_fund",S$3,$A661))</f>
        <v/>
      </c>
      <c r="T661" s="13" t="str">
        <f>IF($A661="","",[1]!thsiFinD("ths_adjustment_nv_fund",T$3,$A661))</f>
        <v/>
      </c>
      <c r="U661" s="13" t="str">
        <f>IF($A661="","",[1]!thsiFinD("ths_adjustment_nv_fund",U$3,$A661))</f>
        <v/>
      </c>
      <c r="V661" s="13" t="str">
        <f>IF($A661="","",[1]!thsiFinD("ths_adjustment_nv_fund",V$3,$A661))</f>
        <v/>
      </c>
      <c r="W661" s="13" t="str">
        <f>IF($A661="","",[1]!thsiFinD("ths_adjustment_nv_fund",W$3,$A661))</f>
        <v/>
      </c>
      <c r="X661" s="13" t="str">
        <f>IF($A661="","",[1]!thsiFinD("ths_adjustment_nv_fund",X$3,$A661))</f>
        <v/>
      </c>
      <c r="Y661" s="13" t="str">
        <f>IF($A661="","",[1]!thsiFinD("ths_adjustment_nv_fund",Y$3,$A661))</f>
        <v/>
      </c>
      <c r="Z661" s="13" t="str">
        <f>IF($A661="","",[1]!thsiFinD("ths_adjustment_nv_fund",Z$3,$A661))</f>
        <v/>
      </c>
      <c r="AA661" s="13" t="str">
        <f>IF($A661="","",[1]!thsiFinD("ths_adjustment_nv_fund",AA$3,$A661))</f>
        <v/>
      </c>
      <c r="AB661" s="13">
        <f>IF($A661="","",[1]!thsiFinD("ths_adjustment_nv_fund",AB$3,$A661))</f>
        <v/>
      </c>
      <c r="AC661" s="13">
        <f>IF($A661="","",[1]!thsiFinD("ths_adjustment_nv_fund",AC$3,$A661))</f>
        <v/>
      </c>
      <c r="AD661" s="13">
        <f>IF($A661="","",[1]!thsiFinD("ths_adjustment_nv_fund",AD$3,$A661))</f>
        <v/>
      </c>
      <c r="AE661" s="13">
        <f>IF($A661="","",[1]!thsiFinD("ths_adjustment_nv_fund",AE$3,$A661))</f>
        <v/>
      </c>
      <c r="AF661" s="13">
        <f>IF($A661="","",[1]!thsiFinD("ths_adjustment_nv_fund",AF$3,$A661))</f>
        <v/>
      </c>
      <c r="AG661" s="13">
        <f>IF($A661="","",[1]!thsiFinD("ths_adjustment_nv_fund",AG$3,$A661))</f>
        <v/>
      </c>
      <c r="AH661" s="13">
        <f>IF($A661="","",[1]!thsiFinD("ths_adjustment_nv_fund",AH$3,$A661))</f>
        <v/>
      </c>
      <c r="AI661" s="13">
        <f>IF($A661="","",[1]!thsiFinD("ths_adjustment_nv_fund",AI$3,$A661))</f>
        <v/>
      </c>
      <c r="AJ661" s="13">
        <f>IF($A661="","",[1]!thsiFinD("ths_adjustment_nv_fund",AJ$3,$A661))</f>
        <v/>
      </c>
      <c r="AK661" s="13">
        <f>IF($A661="","",[1]!thsiFinD("ths_adjustment_nv_fund",AK$3,$A661))</f>
        <v/>
      </c>
      <c r="AL661" s="13">
        <f>IF($A661="","",[1]!thsiFinD("ths_adjustment_nv_fund",AL$3,$A661))</f>
        <v/>
      </c>
    </row>
    <row r="662" spans="2:28">
      <c r="B662" s="13" t="str">
        <f>IF($A662="","",[1]!thsiFinD("ths_adjustment_nv_fund",B$3,$A662))</f>
        <v/>
      </c>
      <c r="C662" s="13" t="str">
        <f>IF($A662="","",[1]!thsiFinD("ths_adjustment_nv_fund",C$3,$A662))</f>
        <v/>
      </c>
      <c r="D662" s="13" t="str">
        <f>IF($A662="","",[1]!thsiFinD("ths_adjustment_nv_fund",D$3,$A662))</f>
        <v/>
      </c>
      <c r="E662" s="13" t="str">
        <f>IF($A662="","",[1]!thsiFinD("ths_adjustment_nv_fund",E$3,$A662))</f>
        <v/>
      </c>
      <c r="F662" s="13" t="str">
        <f>IF($A662="","",[1]!thsiFinD("ths_adjustment_nv_fund",F$3,$A662))</f>
        <v/>
      </c>
      <c r="G662" s="13" t="str">
        <f>IF($A662="","",[1]!thsiFinD("ths_adjustment_nv_fund",G$3,$A662))</f>
        <v/>
      </c>
      <c r="H662" s="13" t="str">
        <f>IF($A662="","",[1]!thsiFinD("ths_adjustment_nv_fund",H$3,$A662))</f>
        <v/>
      </c>
      <c r="I662" s="13" t="str">
        <f>IF($A662="","",[1]!thsiFinD("ths_adjustment_nv_fund",I$3,$A662))</f>
        <v/>
      </c>
      <c r="J662" s="13" t="str">
        <f>IF($A662="","",[1]!thsiFinD("ths_adjustment_nv_fund",J$3,$A662))</f>
        <v/>
      </c>
      <c r="K662" s="13" t="str">
        <f>IF($A662="","",[1]!thsiFinD("ths_adjustment_nv_fund",K$3,$A662))</f>
        <v/>
      </c>
      <c r="L662" s="13" t="str">
        <f>IF($A662="","",[1]!thsiFinD("ths_adjustment_nv_fund",L$3,$A662))</f>
        <v/>
      </c>
      <c r="M662" s="13" t="str">
        <f>IF($A662="","",[1]!thsiFinD("ths_adjustment_nv_fund",M$3,$A662))</f>
        <v/>
      </c>
      <c r="N662" s="13" t="str">
        <f>IF($A662="","",[1]!thsiFinD("ths_adjustment_nv_fund",N$3,$A662))</f>
        <v/>
      </c>
      <c r="O662" s="13" t="str">
        <f>IF($A662="","",[1]!thsiFinD("ths_adjustment_nv_fund",O$3,$A662))</f>
        <v/>
      </c>
      <c r="P662" s="13" t="str">
        <f>IF($A662="","",[1]!thsiFinD("ths_adjustment_nv_fund",P$3,$A662))</f>
        <v/>
      </c>
      <c r="Q662" s="13" t="str">
        <f>IF($A662="","",[1]!thsiFinD("ths_adjustment_nv_fund",Q$3,$A662))</f>
        <v/>
      </c>
      <c r="R662" s="13" t="str">
        <f>IF($A662="","",[1]!thsiFinD("ths_adjustment_nv_fund",R$3,$A662))</f>
        <v/>
      </c>
      <c r="S662" s="13" t="str">
        <f>IF($A662="","",[1]!thsiFinD("ths_adjustment_nv_fund",S$3,$A662))</f>
        <v/>
      </c>
      <c r="T662" s="13" t="str">
        <f>IF($A662="","",[1]!thsiFinD("ths_adjustment_nv_fund",T$3,$A662))</f>
        <v/>
      </c>
      <c r="U662" s="13" t="str">
        <f>IF($A662="","",[1]!thsiFinD("ths_adjustment_nv_fund",U$3,$A662))</f>
        <v/>
      </c>
      <c r="V662" s="13" t="str">
        <f>IF($A662="","",[1]!thsiFinD("ths_adjustment_nv_fund",V$3,$A662))</f>
        <v/>
      </c>
      <c r="W662" s="13" t="str">
        <f>IF($A662="","",[1]!thsiFinD("ths_adjustment_nv_fund",W$3,$A662))</f>
        <v/>
      </c>
      <c r="X662" s="13" t="str">
        <f>IF($A662="","",[1]!thsiFinD("ths_adjustment_nv_fund",X$3,$A662))</f>
        <v/>
      </c>
      <c r="Y662" s="13" t="str">
        <f>IF($A662="","",[1]!thsiFinD("ths_adjustment_nv_fund",Y$3,$A662))</f>
        <v/>
      </c>
      <c r="Z662" s="13" t="str">
        <f>IF($A662="","",[1]!thsiFinD("ths_adjustment_nv_fund",Z$3,$A662))</f>
        <v/>
      </c>
      <c r="AA662" s="13" t="str">
        <f>IF($A662="","",[1]!thsiFinD("ths_adjustment_nv_fund",AA$3,$A662))</f>
        <v/>
      </c>
      <c r="AB662" s="13">
        <f>IF($A662="","",[1]!thsiFinD("ths_adjustment_nv_fund",AB$3,$A662))</f>
        <v/>
      </c>
      <c r="AC662" s="13">
        <f>IF($A662="","",[1]!thsiFinD("ths_adjustment_nv_fund",AC$3,$A662))</f>
        <v/>
      </c>
      <c r="AD662" s="13">
        <f>IF($A662="","",[1]!thsiFinD("ths_adjustment_nv_fund",AD$3,$A662))</f>
        <v/>
      </c>
      <c r="AE662" s="13">
        <f>IF($A662="","",[1]!thsiFinD("ths_adjustment_nv_fund",AE$3,$A662))</f>
        <v/>
      </c>
      <c r="AF662" s="13">
        <f>IF($A662="","",[1]!thsiFinD("ths_adjustment_nv_fund",AF$3,$A662))</f>
        <v/>
      </c>
      <c r="AG662" s="13">
        <f>IF($A662="","",[1]!thsiFinD("ths_adjustment_nv_fund",AG$3,$A662))</f>
        <v/>
      </c>
      <c r="AH662" s="13">
        <f>IF($A662="","",[1]!thsiFinD("ths_adjustment_nv_fund",AH$3,$A662))</f>
        <v/>
      </c>
      <c r="AI662" s="13">
        <f>IF($A662="","",[1]!thsiFinD("ths_adjustment_nv_fund",AI$3,$A662))</f>
        <v/>
      </c>
      <c r="AJ662" s="13">
        <f>IF($A662="","",[1]!thsiFinD("ths_adjustment_nv_fund",AJ$3,$A662))</f>
        <v/>
      </c>
      <c r="AK662" s="13">
        <f>IF($A662="","",[1]!thsiFinD("ths_adjustment_nv_fund",AK$3,$A662))</f>
        <v/>
      </c>
      <c r="AL662" s="13">
        <f>IF($A662="","",[1]!thsiFinD("ths_adjustment_nv_fund",AL$3,$A662))</f>
        <v/>
      </c>
    </row>
    <row r="663" spans="2:28">
      <c r="B663" s="13" t="str">
        <f>IF($A663="","",[1]!thsiFinD("ths_adjustment_nv_fund",B$3,$A663))</f>
        <v/>
      </c>
      <c r="C663" s="13" t="str">
        <f>IF($A663="","",[1]!thsiFinD("ths_adjustment_nv_fund",C$3,$A663))</f>
        <v/>
      </c>
      <c r="D663" s="13" t="str">
        <f>IF($A663="","",[1]!thsiFinD("ths_adjustment_nv_fund",D$3,$A663))</f>
        <v/>
      </c>
      <c r="E663" s="13" t="str">
        <f>IF($A663="","",[1]!thsiFinD("ths_adjustment_nv_fund",E$3,$A663))</f>
        <v/>
      </c>
      <c r="F663" s="13" t="str">
        <f>IF($A663="","",[1]!thsiFinD("ths_adjustment_nv_fund",F$3,$A663))</f>
        <v/>
      </c>
      <c r="G663" s="13" t="str">
        <f>IF($A663="","",[1]!thsiFinD("ths_adjustment_nv_fund",G$3,$A663))</f>
        <v/>
      </c>
      <c r="H663" s="13" t="str">
        <f>IF($A663="","",[1]!thsiFinD("ths_adjustment_nv_fund",H$3,$A663))</f>
        <v/>
      </c>
      <c r="I663" s="13" t="str">
        <f>IF($A663="","",[1]!thsiFinD("ths_adjustment_nv_fund",I$3,$A663))</f>
        <v/>
      </c>
      <c r="J663" s="13" t="str">
        <f>IF($A663="","",[1]!thsiFinD("ths_adjustment_nv_fund",J$3,$A663))</f>
        <v/>
      </c>
      <c r="K663" s="13" t="str">
        <f>IF($A663="","",[1]!thsiFinD("ths_adjustment_nv_fund",K$3,$A663))</f>
        <v/>
      </c>
      <c r="L663" s="13" t="str">
        <f>IF($A663="","",[1]!thsiFinD("ths_adjustment_nv_fund",L$3,$A663))</f>
        <v/>
      </c>
      <c r="M663" s="13" t="str">
        <f>IF($A663="","",[1]!thsiFinD("ths_adjustment_nv_fund",M$3,$A663))</f>
        <v/>
      </c>
      <c r="N663" s="13" t="str">
        <f>IF($A663="","",[1]!thsiFinD("ths_adjustment_nv_fund",N$3,$A663))</f>
        <v/>
      </c>
      <c r="O663" s="13" t="str">
        <f>IF($A663="","",[1]!thsiFinD("ths_adjustment_nv_fund",O$3,$A663))</f>
        <v/>
      </c>
      <c r="P663" s="13" t="str">
        <f>IF($A663="","",[1]!thsiFinD("ths_adjustment_nv_fund",P$3,$A663))</f>
        <v/>
      </c>
      <c r="Q663" s="13" t="str">
        <f>IF($A663="","",[1]!thsiFinD("ths_adjustment_nv_fund",Q$3,$A663))</f>
        <v/>
      </c>
      <c r="R663" s="13" t="str">
        <f>IF($A663="","",[1]!thsiFinD("ths_adjustment_nv_fund",R$3,$A663))</f>
        <v/>
      </c>
      <c r="S663" s="13" t="str">
        <f>IF($A663="","",[1]!thsiFinD("ths_adjustment_nv_fund",S$3,$A663))</f>
        <v/>
      </c>
      <c r="T663" s="13" t="str">
        <f>IF($A663="","",[1]!thsiFinD("ths_adjustment_nv_fund",T$3,$A663))</f>
        <v/>
      </c>
      <c r="U663" s="13" t="str">
        <f>IF($A663="","",[1]!thsiFinD("ths_adjustment_nv_fund",U$3,$A663))</f>
        <v/>
      </c>
      <c r="V663" s="13" t="str">
        <f>IF($A663="","",[1]!thsiFinD("ths_adjustment_nv_fund",V$3,$A663))</f>
        <v/>
      </c>
      <c r="W663" s="13" t="str">
        <f>IF($A663="","",[1]!thsiFinD("ths_adjustment_nv_fund",W$3,$A663))</f>
        <v/>
      </c>
      <c r="X663" s="13" t="str">
        <f>IF($A663="","",[1]!thsiFinD("ths_adjustment_nv_fund",X$3,$A663))</f>
        <v/>
      </c>
      <c r="Y663" s="13" t="str">
        <f>IF($A663="","",[1]!thsiFinD("ths_adjustment_nv_fund",Y$3,$A663))</f>
        <v/>
      </c>
      <c r="Z663" s="13" t="str">
        <f>IF($A663="","",[1]!thsiFinD("ths_adjustment_nv_fund",Z$3,$A663))</f>
        <v/>
      </c>
      <c r="AA663" s="13" t="str">
        <f>IF($A663="","",[1]!thsiFinD("ths_adjustment_nv_fund",AA$3,$A663))</f>
        <v/>
      </c>
      <c r="AB663" s="13">
        <f>IF($A663="","",[1]!thsiFinD("ths_adjustment_nv_fund",AB$3,$A663))</f>
        <v/>
      </c>
      <c r="AC663" s="13">
        <f>IF($A663="","",[1]!thsiFinD("ths_adjustment_nv_fund",AC$3,$A663))</f>
        <v/>
      </c>
      <c r="AD663" s="13">
        <f>IF($A663="","",[1]!thsiFinD("ths_adjustment_nv_fund",AD$3,$A663))</f>
        <v/>
      </c>
      <c r="AE663" s="13">
        <f>IF($A663="","",[1]!thsiFinD("ths_adjustment_nv_fund",AE$3,$A663))</f>
        <v/>
      </c>
      <c r="AF663" s="13">
        <f>IF($A663="","",[1]!thsiFinD("ths_adjustment_nv_fund",AF$3,$A663))</f>
        <v/>
      </c>
      <c r="AG663" s="13">
        <f>IF($A663="","",[1]!thsiFinD("ths_adjustment_nv_fund",AG$3,$A663))</f>
        <v/>
      </c>
      <c r="AH663" s="13">
        <f>IF($A663="","",[1]!thsiFinD("ths_adjustment_nv_fund",AH$3,$A663))</f>
        <v/>
      </c>
      <c r="AI663" s="13">
        <f>IF($A663="","",[1]!thsiFinD("ths_adjustment_nv_fund",AI$3,$A663))</f>
        <v/>
      </c>
      <c r="AJ663" s="13">
        <f>IF($A663="","",[1]!thsiFinD("ths_adjustment_nv_fund",AJ$3,$A663))</f>
        <v/>
      </c>
      <c r="AK663" s="13">
        <f>IF($A663="","",[1]!thsiFinD("ths_adjustment_nv_fund",AK$3,$A663))</f>
        <v/>
      </c>
      <c r="AL663" s="13">
        <f>IF($A663="","",[1]!thsiFinD("ths_adjustment_nv_fund",AL$3,$A663))</f>
        <v/>
      </c>
    </row>
    <row r="664" spans="2:28">
      <c r="B664" s="13" t="str">
        <f>IF($A664="","",[1]!thsiFinD("ths_adjustment_nv_fund",B$3,$A664))</f>
        <v/>
      </c>
      <c r="C664" s="13" t="str">
        <f>IF($A664="","",[1]!thsiFinD("ths_adjustment_nv_fund",C$3,$A664))</f>
        <v/>
      </c>
      <c r="D664" s="13" t="str">
        <f>IF($A664="","",[1]!thsiFinD("ths_adjustment_nv_fund",D$3,$A664))</f>
        <v/>
      </c>
      <c r="E664" s="13" t="str">
        <f>IF($A664="","",[1]!thsiFinD("ths_adjustment_nv_fund",E$3,$A664))</f>
        <v/>
      </c>
      <c r="F664" s="13" t="str">
        <f>IF($A664="","",[1]!thsiFinD("ths_adjustment_nv_fund",F$3,$A664))</f>
        <v/>
      </c>
      <c r="G664" s="13" t="str">
        <f>IF($A664="","",[1]!thsiFinD("ths_adjustment_nv_fund",G$3,$A664))</f>
        <v/>
      </c>
      <c r="H664" s="13" t="str">
        <f>IF($A664="","",[1]!thsiFinD("ths_adjustment_nv_fund",H$3,$A664))</f>
        <v/>
      </c>
      <c r="I664" s="13" t="str">
        <f>IF($A664="","",[1]!thsiFinD("ths_adjustment_nv_fund",I$3,$A664))</f>
        <v/>
      </c>
      <c r="J664" s="13" t="str">
        <f>IF($A664="","",[1]!thsiFinD("ths_adjustment_nv_fund",J$3,$A664))</f>
        <v/>
      </c>
      <c r="K664" s="13" t="str">
        <f>IF($A664="","",[1]!thsiFinD("ths_adjustment_nv_fund",K$3,$A664))</f>
        <v/>
      </c>
      <c r="L664" s="13" t="str">
        <f>IF($A664="","",[1]!thsiFinD("ths_adjustment_nv_fund",L$3,$A664))</f>
        <v/>
      </c>
      <c r="M664" s="13" t="str">
        <f>IF($A664="","",[1]!thsiFinD("ths_adjustment_nv_fund",M$3,$A664))</f>
        <v/>
      </c>
      <c r="N664" s="13" t="str">
        <f>IF($A664="","",[1]!thsiFinD("ths_adjustment_nv_fund",N$3,$A664))</f>
        <v/>
      </c>
      <c r="O664" s="13" t="str">
        <f>IF($A664="","",[1]!thsiFinD("ths_adjustment_nv_fund",O$3,$A664))</f>
        <v/>
      </c>
      <c r="P664" s="13" t="str">
        <f>IF($A664="","",[1]!thsiFinD("ths_adjustment_nv_fund",P$3,$A664))</f>
        <v/>
      </c>
      <c r="Q664" s="13" t="str">
        <f>IF($A664="","",[1]!thsiFinD("ths_adjustment_nv_fund",Q$3,$A664))</f>
        <v/>
      </c>
      <c r="R664" s="13" t="str">
        <f>IF($A664="","",[1]!thsiFinD("ths_adjustment_nv_fund",R$3,$A664))</f>
        <v/>
      </c>
      <c r="S664" s="13" t="str">
        <f>IF($A664="","",[1]!thsiFinD("ths_adjustment_nv_fund",S$3,$A664))</f>
        <v/>
      </c>
      <c r="T664" s="13" t="str">
        <f>IF($A664="","",[1]!thsiFinD("ths_adjustment_nv_fund",T$3,$A664))</f>
        <v/>
      </c>
      <c r="U664" s="13" t="str">
        <f>IF($A664="","",[1]!thsiFinD("ths_adjustment_nv_fund",U$3,$A664))</f>
        <v/>
      </c>
      <c r="V664" s="13" t="str">
        <f>IF($A664="","",[1]!thsiFinD("ths_adjustment_nv_fund",V$3,$A664))</f>
        <v/>
      </c>
      <c r="W664" s="13" t="str">
        <f>IF($A664="","",[1]!thsiFinD("ths_adjustment_nv_fund",W$3,$A664))</f>
        <v/>
      </c>
      <c r="X664" s="13" t="str">
        <f>IF($A664="","",[1]!thsiFinD("ths_adjustment_nv_fund",X$3,$A664))</f>
        <v/>
      </c>
      <c r="Y664" s="13" t="str">
        <f>IF($A664="","",[1]!thsiFinD("ths_adjustment_nv_fund",Y$3,$A664))</f>
        <v/>
      </c>
      <c r="Z664" s="13" t="str">
        <f>IF($A664="","",[1]!thsiFinD("ths_adjustment_nv_fund",Z$3,$A664))</f>
        <v/>
      </c>
      <c r="AA664" s="13" t="str">
        <f>IF($A664="","",[1]!thsiFinD("ths_adjustment_nv_fund",AA$3,$A664))</f>
        <v/>
      </c>
      <c r="AB664" s="13">
        <f>IF($A664="","",[1]!thsiFinD("ths_adjustment_nv_fund",AB$3,$A664))</f>
        <v/>
      </c>
      <c r="AC664" s="13">
        <f>IF($A664="","",[1]!thsiFinD("ths_adjustment_nv_fund",AC$3,$A664))</f>
        <v/>
      </c>
      <c r="AD664" s="13">
        <f>IF($A664="","",[1]!thsiFinD("ths_adjustment_nv_fund",AD$3,$A664))</f>
        <v/>
      </c>
      <c r="AE664" s="13">
        <f>IF($A664="","",[1]!thsiFinD("ths_adjustment_nv_fund",AE$3,$A664))</f>
        <v/>
      </c>
      <c r="AF664" s="13">
        <f>IF($A664="","",[1]!thsiFinD("ths_adjustment_nv_fund",AF$3,$A664))</f>
        <v/>
      </c>
      <c r="AG664" s="13">
        <f>IF($A664="","",[1]!thsiFinD("ths_adjustment_nv_fund",AG$3,$A664))</f>
        <v/>
      </c>
      <c r="AH664" s="13">
        <f>IF($A664="","",[1]!thsiFinD("ths_adjustment_nv_fund",AH$3,$A664))</f>
        <v/>
      </c>
      <c r="AI664" s="13">
        <f>IF($A664="","",[1]!thsiFinD("ths_adjustment_nv_fund",AI$3,$A664))</f>
        <v/>
      </c>
      <c r="AJ664" s="13">
        <f>IF($A664="","",[1]!thsiFinD("ths_adjustment_nv_fund",AJ$3,$A664))</f>
        <v/>
      </c>
      <c r="AK664" s="13">
        <f>IF($A664="","",[1]!thsiFinD("ths_adjustment_nv_fund",AK$3,$A664))</f>
        <v/>
      </c>
      <c r="AL664" s="13">
        <f>IF($A664="","",[1]!thsiFinD("ths_adjustment_nv_fund",AL$3,$A664))</f>
        <v/>
      </c>
    </row>
    <row r="665" spans="2:28">
      <c r="B665" s="13" t="str">
        <f>IF($A665="","",[1]!thsiFinD("ths_adjustment_nv_fund",B$3,$A665))</f>
        <v/>
      </c>
      <c r="C665" s="13" t="str">
        <f>IF($A665="","",[1]!thsiFinD("ths_adjustment_nv_fund",C$3,$A665))</f>
        <v/>
      </c>
      <c r="D665" s="13" t="str">
        <f>IF($A665="","",[1]!thsiFinD("ths_adjustment_nv_fund",D$3,$A665))</f>
        <v/>
      </c>
      <c r="E665" s="13" t="str">
        <f>IF($A665="","",[1]!thsiFinD("ths_adjustment_nv_fund",E$3,$A665))</f>
        <v/>
      </c>
      <c r="F665" s="13" t="str">
        <f>IF($A665="","",[1]!thsiFinD("ths_adjustment_nv_fund",F$3,$A665))</f>
        <v/>
      </c>
      <c r="G665" s="13" t="str">
        <f>IF($A665="","",[1]!thsiFinD("ths_adjustment_nv_fund",G$3,$A665))</f>
        <v/>
      </c>
      <c r="H665" s="13" t="str">
        <f>IF($A665="","",[1]!thsiFinD("ths_adjustment_nv_fund",H$3,$A665))</f>
        <v/>
      </c>
      <c r="I665" s="13" t="str">
        <f>IF($A665="","",[1]!thsiFinD("ths_adjustment_nv_fund",I$3,$A665))</f>
        <v/>
      </c>
      <c r="J665" s="13" t="str">
        <f>IF($A665="","",[1]!thsiFinD("ths_adjustment_nv_fund",J$3,$A665))</f>
        <v/>
      </c>
      <c r="K665" s="13" t="str">
        <f>IF($A665="","",[1]!thsiFinD("ths_adjustment_nv_fund",K$3,$A665))</f>
        <v/>
      </c>
      <c r="L665" s="13" t="str">
        <f>IF($A665="","",[1]!thsiFinD("ths_adjustment_nv_fund",L$3,$A665))</f>
        <v/>
      </c>
      <c r="M665" s="13" t="str">
        <f>IF($A665="","",[1]!thsiFinD("ths_adjustment_nv_fund",M$3,$A665))</f>
        <v/>
      </c>
      <c r="N665" s="13" t="str">
        <f>IF($A665="","",[1]!thsiFinD("ths_adjustment_nv_fund",N$3,$A665))</f>
        <v/>
      </c>
      <c r="O665" s="13" t="str">
        <f>IF($A665="","",[1]!thsiFinD("ths_adjustment_nv_fund",O$3,$A665))</f>
        <v/>
      </c>
      <c r="P665" s="13" t="str">
        <f>IF($A665="","",[1]!thsiFinD("ths_adjustment_nv_fund",P$3,$A665))</f>
        <v/>
      </c>
      <c r="Q665" s="13" t="str">
        <f>IF($A665="","",[1]!thsiFinD("ths_adjustment_nv_fund",Q$3,$A665))</f>
        <v/>
      </c>
      <c r="R665" s="13" t="str">
        <f>IF($A665="","",[1]!thsiFinD("ths_adjustment_nv_fund",R$3,$A665))</f>
        <v/>
      </c>
      <c r="S665" s="13" t="str">
        <f>IF($A665="","",[1]!thsiFinD("ths_adjustment_nv_fund",S$3,$A665))</f>
        <v/>
      </c>
      <c r="T665" s="13" t="str">
        <f>IF($A665="","",[1]!thsiFinD("ths_adjustment_nv_fund",T$3,$A665))</f>
        <v/>
      </c>
      <c r="U665" s="13" t="str">
        <f>IF($A665="","",[1]!thsiFinD("ths_adjustment_nv_fund",U$3,$A665))</f>
        <v/>
      </c>
      <c r="V665" s="13" t="str">
        <f>IF($A665="","",[1]!thsiFinD("ths_adjustment_nv_fund",V$3,$A665))</f>
        <v/>
      </c>
      <c r="W665" s="13" t="str">
        <f>IF($A665="","",[1]!thsiFinD("ths_adjustment_nv_fund",W$3,$A665))</f>
        <v/>
      </c>
      <c r="X665" s="13" t="str">
        <f>IF($A665="","",[1]!thsiFinD("ths_adjustment_nv_fund",X$3,$A665))</f>
        <v/>
      </c>
      <c r="Y665" s="13" t="str">
        <f>IF($A665="","",[1]!thsiFinD("ths_adjustment_nv_fund",Y$3,$A665))</f>
        <v/>
      </c>
      <c r="Z665" s="13" t="str">
        <f>IF($A665="","",[1]!thsiFinD("ths_adjustment_nv_fund",Z$3,$A665))</f>
        <v/>
      </c>
      <c r="AA665" s="13" t="str">
        <f>IF($A665="","",[1]!thsiFinD("ths_adjustment_nv_fund",AA$3,$A665))</f>
        <v/>
      </c>
      <c r="AB665" s="13">
        <f>IF($A665="","",[1]!thsiFinD("ths_adjustment_nv_fund",AB$3,$A665))</f>
        <v/>
      </c>
      <c r="AC665" s="13">
        <f>IF($A665="","",[1]!thsiFinD("ths_adjustment_nv_fund",AC$3,$A665))</f>
        <v/>
      </c>
      <c r="AD665" s="13">
        <f>IF($A665="","",[1]!thsiFinD("ths_adjustment_nv_fund",AD$3,$A665))</f>
        <v/>
      </c>
      <c r="AE665" s="13">
        <f>IF($A665="","",[1]!thsiFinD("ths_adjustment_nv_fund",AE$3,$A665))</f>
        <v/>
      </c>
      <c r="AF665" s="13">
        <f>IF($A665="","",[1]!thsiFinD("ths_adjustment_nv_fund",AF$3,$A665))</f>
        <v/>
      </c>
      <c r="AG665" s="13">
        <f>IF($A665="","",[1]!thsiFinD("ths_adjustment_nv_fund",AG$3,$A665))</f>
        <v/>
      </c>
      <c r="AH665" s="13">
        <f>IF($A665="","",[1]!thsiFinD("ths_adjustment_nv_fund",AH$3,$A665))</f>
        <v/>
      </c>
      <c r="AI665" s="13">
        <f>IF($A665="","",[1]!thsiFinD("ths_adjustment_nv_fund",AI$3,$A665))</f>
        <v/>
      </c>
      <c r="AJ665" s="13">
        <f>IF($A665="","",[1]!thsiFinD("ths_adjustment_nv_fund",AJ$3,$A665))</f>
        <v/>
      </c>
      <c r="AK665" s="13">
        <f>IF($A665="","",[1]!thsiFinD("ths_adjustment_nv_fund",AK$3,$A665))</f>
        <v/>
      </c>
      <c r="AL665" s="13">
        <f>IF($A665="","",[1]!thsiFinD("ths_adjustment_nv_fund",AL$3,$A665))</f>
        <v/>
      </c>
    </row>
    <row r="666" spans="2:28">
      <c r="B666" s="13" t="str">
        <f>IF($A666="","",[1]!thsiFinD("ths_adjustment_nv_fund",B$3,$A666))</f>
        <v/>
      </c>
      <c r="C666" s="13" t="str">
        <f>IF($A666="","",[1]!thsiFinD("ths_adjustment_nv_fund",C$3,$A666))</f>
        <v/>
      </c>
      <c r="D666" s="13" t="str">
        <f>IF($A666="","",[1]!thsiFinD("ths_adjustment_nv_fund",D$3,$A666))</f>
        <v/>
      </c>
      <c r="E666" s="13" t="str">
        <f>IF($A666="","",[1]!thsiFinD("ths_adjustment_nv_fund",E$3,$A666))</f>
        <v/>
      </c>
      <c r="F666" s="13" t="str">
        <f>IF($A666="","",[1]!thsiFinD("ths_adjustment_nv_fund",F$3,$A666))</f>
        <v/>
      </c>
      <c r="G666" s="13" t="str">
        <f>IF($A666="","",[1]!thsiFinD("ths_adjustment_nv_fund",G$3,$A666))</f>
        <v/>
      </c>
      <c r="H666" s="13" t="str">
        <f>IF($A666="","",[1]!thsiFinD("ths_adjustment_nv_fund",H$3,$A666))</f>
        <v/>
      </c>
      <c r="I666" s="13" t="str">
        <f>IF($A666="","",[1]!thsiFinD("ths_adjustment_nv_fund",I$3,$A666))</f>
        <v/>
      </c>
      <c r="J666" s="13" t="str">
        <f>IF($A666="","",[1]!thsiFinD("ths_adjustment_nv_fund",J$3,$A666))</f>
        <v/>
      </c>
      <c r="K666" s="13" t="str">
        <f>IF($A666="","",[1]!thsiFinD("ths_adjustment_nv_fund",K$3,$A666))</f>
        <v/>
      </c>
      <c r="L666" s="13" t="str">
        <f>IF($A666="","",[1]!thsiFinD("ths_adjustment_nv_fund",L$3,$A666))</f>
        <v/>
      </c>
      <c r="M666" s="13" t="str">
        <f>IF($A666="","",[1]!thsiFinD("ths_adjustment_nv_fund",M$3,$A666))</f>
        <v/>
      </c>
      <c r="N666" s="13" t="str">
        <f>IF($A666="","",[1]!thsiFinD("ths_adjustment_nv_fund",N$3,$A666))</f>
        <v/>
      </c>
      <c r="O666" s="13" t="str">
        <f>IF($A666="","",[1]!thsiFinD("ths_adjustment_nv_fund",O$3,$A666))</f>
        <v/>
      </c>
      <c r="P666" s="13" t="str">
        <f>IF($A666="","",[1]!thsiFinD("ths_adjustment_nv_fund",P$3,$A666))</f>
        <v/>
      </c>
      <c r="Q666" s="13" t="str">
        <f>IF($A666="","",[1]!thsiFinD("ths_adjustment_nv_fund",Q$3,$A666))</f>
        <v/>
      </c>
      <c r="R666" s="13" t="str">
        <f>IF($A666="","",[1]!thsiFinD("ths_adjustment_nv_fund",R$3,$A666))</f>
        <v/>
      </c>
      <c r="S666" s="13" t="str">
        <f>IF($A666="","",[1]!thsiFinD("ths_adjustment_nv_fund",S$3,$A666))</f>
        <v/>
      </c>
      <c r="T666" s="13" t="str">
        <f>IF($A666="","",[1]!thsiFinD("ths_adjustment_nv_fund",T$3,$A666))</f>
        <v/>
      </c>
      <c r="U666" s="13" t="str">
        <f>IF($A666="","",[1]!thsiFinD("ths_adjustment_nv_fund",U$3,$A666))</f>
        <v/>
      </c>
      <c r="V666" s="13" t="str">
        <f>IF($A666="","",[1]!thsiFinD("ths_adjustment_nv_fund",V$3,$A666))</f>
        <v/>
      </c>
      <c r="W666" s="13" t="str">
        <f>IF($A666="","",[1]!thsiFinD("ths_adjustment_nv_fund",W$3,$A666))</f>
        <v/>
      </c>
      <c r="X666" s="13" t="str">
        <f>IF($A666="","",[1]!thsiFinD("ths_adjustment_nv_fund",X$3,$A666))</f>
        <v/>
      </c>
      <c r="Y666" s="13" t="str">
        <f>IF($A666="","",[1]!thsiFinD("ths_adjustment_nv_fund",Y$3,$A666))</f>
        <v/>
      </c>
      <c r="Z666" s="13" t="str">
        <f>IF($A666="","",[1]!thsiFinD("ths_adjustment_nv_fund",Z$3,$A666))</f>
        <v/>
      </c>
      <c r="AA666" s="13" t="str">
        <f>IF($A666="","",[1]!thsiFinD("ths_adjustment_nv_fund",AA$3,$A666))</f>
        <v/>
      </c>
      <c r="AB666" s="13">
        <f>IF($A666="","",[1]!thsiFinD("ths_adjustment_nv_fund",AB$3,$A666))</f>
        <v/>
      </c>
      <c r="AC666" s="13">
        <f>IF($A666="","",[1]!thsiFinD("ths_adjustment_nv_fund",AC$3,$A666))</f>
        <v/>
      </c>
      <c r="AD666" s="13">
        <f>IF($A666="","",[1]!thsiFinD("ths_adjustment_nv_fund",AD$3,$A666))</f>
        <v/>
      </c>
      <c r="AE666" s="13">
        <f>IF($A666="","",[1]!thsiFinD("ths_adjustment_nv_fund",AE$3,$A666))</f>
        <v/>
      </c>
      <c r="AF666" s="13">
        <f>IF($A666="","",[1]!thsiFinD("ths_adjustment_nv_fund",AF$3,$A666))</f>
        <v/>
      </c>
      <c r="AG666" s="13">
        <f>IF($A666="","",[1]!thsiFinD("ths_adjustment_nv_fund",AG$3,$A666))</f>
        <v/>
      </c>
      <c r="AH666" s="13">
        <f>IF($A666="","",[1]!thsiFinD("ths_adjustment_nv_fund",AH$3,$A666))</f>
        <v/>
      </c>
      <c r="AI666" s="13">
        <f>IF($A666="","",[1]!thsiFinD("ths_adjustment_nv_fund",AI$3,$A666))</f>
        <v/>
      </c>
      <c r="AJ666" s="13">
        <f>IF($A666="","",[1]!thsiFinD("ths_adjustment_nv_fund",AJ$3,$A666))</f>
        <v/>
      </c>
      <c r="AK666" s="13">
        <f>IF($A666="","",[1]!thsiFinD("ths_adjustment_nv_fund",AK$3,$A666))</f>
        <v/>
      </c>
      <c r="AL666" s="13">
        <f>IF($A666="","",[1]!thsiFinD("ths_adjustment_nv_fund",AL$3,$A666))</f>
        <v/>
      </c>
    </row>
    <row r="667" spans="2:28">
      <c r="B667" s="13" t="str">
        <f>IF($A667="","",[1]!thsiFinD("ths_adjustment_nv_fund",B$3,$A667))</f>
        <v/>
      </c>
      <c r="C667" s="13" t="str">
        <f>IF($A667="","",[1]!thsiFinD("ths_adjustment_nv_fund",C$3,$A667))</f>
        <v/>
      </c>
      <c r="D667" s="13" t="str">
        <f>IF($A667="","",[1]!thsiFinD("ths_adjustment_nv_fund",D$3,$A667))</f>
        <v/>
      </c>
      <c r="E667" s="13" t="str">
        <f>IF($A667="","",[1]!thsiFinD("ths_adjustment_nv_fund",E$3,$A667))</f>
        <v/>
      </c>
      <c r="F667" s="13" t="str">
        <f>IF($A667="","",[1]!thsiFinD("ths_adjustment_nv_fund",F$3,$A667))</f>
        <v/>
      </c>
      <c r="G667" s="13" t="str">
        <f>IF($A667="","",[1]!thsiFinD("ths_adjustment_nv_fund",G$3,$A667))</f>
        <v/>
      </c>
      <c r="H667" s="13" t="str">
        <f>IF($A667="","",[1]!thsiFinD("ths_adjustment_nv_fund",H$3,$A667))</f>
        <v/>
      </c>
      <c r="I667" s="13" t="str">
        <f>IF($A667="","",[1]!thsiFinD("ths_adjustment_nv_fund",I$3,$A667))</f>
        <v/>
      </c>
      <c r="J667" s="13" t="str">
        <f>IF($A667="","",[1]!thsiFinD("ths_adjustment_nv_fund",J$3,$A667))</f>
        <v/>
      </c>
      <c r="K667" s="13" t="str">
        <f>IF($A667="","",[1]!thsiFinD("ths_adjustment_nv_fund",K$3,$A667))</f>
        <v/>
      </c>
      <c r="L667" s="13" t="str">
        <f>IF($A667="","",[1]!thsiFinD("ths_adjustment_nv_fund",L$3,$A667))</f>
        <v/>
      </c>
      <c r="M667" s="13" t="str">
        <f>IF($A667="","",[1]!thsiFinD("ths_adjustment_nv_fund",M$3,$A667))</f>
        <v/>
      </c>
      <c r="N667" s="13" t="str">
        <f>IF($A667="","",[1]!thsiFinD("ths_adjustment_nv_fund",N$3,$A667))</f>
        <v/>
      </c>
      <c r="O667" s="13" t="str">
        <f>IF($A667="","",[1]!thsiFinD("ths_adjustment_nv_fund",O$3,$A667))</f>
        <v/>
      </c>
      <c r="P667" s="13" t="str">
        <f>IF($A667="","",[1]!thsiFinD("ths_adjustment_nv_fund",P$3,$A667))</f>
        <v/>
      </c>
      <c r="Q667" s="13" t="str">
        <f>IF($A667="","",[1]!thsiFinD("ths_adjustment_nv_fund",Q$3,$A667))</f>
        <v/>
      </c>
      <c r="R667" s="13" t="str">
        <f>IF($A667="","",[1]!thsiFinD("ths_adjustment_nv_fund",R$3,$A667))</f>
        <v/>
      </c>
      <c r="S667" s="13" t="str">
        <f>IF($A667="","",[1]!thsiFinD("ths_adjustment_nv_fund",S$3,$A667))</f>
        <v/>
      </c>
      <c r="T667" s="13" t="str">
        <f>IF($A667="","",[1]!thsiFinD("ths_adjustment_nv_fund",T$3,$A667))</f>
        <v/>
      </c>
      <c r="U667" s="13" t="str">
        <f>IF($A667="","",[1]!thsiFinD("ths_adjustment_nv_fund",U$3,$A667))</f>
        <v/>
      </c>
      <c r="V667" s="13" t="str">
        <f>IF($A667="","",[1]!thsiFinD("ths_adjustment_nv_fund",V$3,$A667))</f>
        <v/>
      </c>
      <c r="W667" s="13" t="str">
        <f>IF($A667="","",[1]!thsiFinD("ths_adjustment_nv_fund",W$3,$A667))</f>
        <v/>
      </c>
      <c r="X667" s="13" t="str">
        <f>IF($A667="","",[1]!thsiFinD("ths_adjustment_nv_fund",X$3,$A667))</f>
        <v/>
      </c>
      <c r="Y667" s="13" t="str">
        <f>IF($A667="","",[1]!thsiFinD("ths_adjustment_nv_fund",Y$3,$A667))</f>
        <v/>
      </c>
      <c r="Z667" s="13" t="str">
        <f>IF($A667="","",[1]!thsiFinD("ths_adjustment_nv_fund",Z$3,$A667))</f>
        <v/>
      </c>
      <c r="AA667" s="13" t="str">
        <f>IF($A667="","",[1]!thsiFinD("ths_adjustment_nv_fund",AA$3,$A667))</f>
        <v/>
      </c>
      <c r="AB667" s="13">
        <f>IF($A667="","",[1]!thsiFinD("ths_adjustment_nv_fund",AB$3,$A667))</f>
        <v/>
      </c>
      <c r="AC667" s="13">
        <f>IF($A667="","",[1]!thsiFinD("ths_adjustment_nv_fund",AC$3,$A667))</f>
        <v/>
      </c>
      <c r="AD667" s="13">
        <f>IF($A667="","",[1]!thsiFinD("ths_adjustment_nv_fund",AD$3,$A667))</f>
        <v/>
      </c>
      <c r="AE667" s="13">
        <f>IF($A667="","",[1]!thsiFinD("ths_adjustment_nv_fund",AE$3,$A667))</f>
        <v/>
      </c>
      <c r="AF667" s="13">
        <f>IF($A667="","",[1]!thsiFinD("ths_adjustment_nv_fund",AF$3,$A667))</f>
        <v/>
      </c>
      <c r="AG667" s="13">
        <f>IF($A667="","",[1]!thsiFinD("ths_adjustment_nv_fund",AG$3,$A667))</f>
        <v/>
      </c>
      <c r="AH667" s="13">
        <f>IF($A667="","",[1]!thsiFinD("ths_adjustment_nv_fund",AH$3,$A667))</f>
        <v/>
      </c>
      <c r="AI667" s="13">
        <f>IF($A667="","",[1]!thsiFinD("ths_adjustment_nv_fund",AI$3,$A667))</f>
        <v/>
      </c>
      <c r="AJ667" s="13">
        <f>IF($A667="","",[1]!thsiFinD("ths_adjustment_nv_fund",AJ$3,$A667))</f>
        <v/>
      </c>
      <c r="AK667" s="13">
        <f>IF($A667="","",[1]!thsiFinD("ths_adjustment_nv_fund",AK$3,$A667))</f>
        <v/>
      </c>
      <c r="AL667" s="13">
        <f>IF($A667="","",[1]!thsiFinD("ths_adjustment_nv_fund",AL$3,$A667))</f>
        <v/>
      </c>
    </row>
    <row r="668" spans="2:28">
      <c r="B668" s="13" t="str">
        <f>IF($A668="","",[1]!thsiFinD("ths_adjustment_nv_fund",B$3,$A668))</f>
        <v/>
      </c>
      <c r="C668" s="13" t="str">
        <f>IF($A668="","",[1]!thsiFinD("ths_adjustment_nv_fund",C$3,$A668))</f>
        <v/>
      </c>
      <c r="D668" s="13" t="str">
        <f>IF($A668="","",[1]!thsiFinD("ths_adjustment_nv_fund",D$3,$A668))</f>
        <v/>
      </c>
      <c r="E668" s="13" t="str">
        <f>IF($A668="","",[1]!thsiFinD("ths_adjustment_nv_fund",E$3,$A668))</f>
        <v/>
      </c>
      <c r="F668" s="13" t="str">
        <f>IF($A668="","",[1]!thsiFinD("ths_adjustment_nv_fund",F$3,$A668))</f>
        <v/>
      </c>
      <c r="G668" s="13" t="str">
        <f>IF($A668="","",[1]!thsiFinD("ths_adjustment_nv_fund",G$3,$A668))</f>
        <v/>
      </c>
      <c r="H668" s="13" t="str">
        <f>IF($A668="","",[1]!thsiFinD("ths_adjustment_nv_fund",H$3,$A668))</f>
        <v/>
      </c>
      <c r="I668" s="13" t="str">
        <f>IF($A668="","",[1]!thsiFinD("ths_adjustment_nv_fund",I$3,$A668))</f>
        <v/>
      </c>
      <c r="J668" s="13" t="str">
        <f>IF($A668="","",[1]!thsiFinD("ths_adjustment_nv_fund",J$3,$A668))</f>
        <v/>
      </c>
      <c r="K668" s="13" t="str">
        <f>IF($A668="","",[1]!thsiFinD("ths_adjustment_nv_fund",K$3,$A668))</f>
        <v/>
      </c>
      <c r="L668" s="13" t="str">
        <f>IF($A668="","",[1]!thsiFinD("ths_adjustment_nv_fund",L$3,$A668))</f>
        <v/>
      </c>
      <c r="M668" s="13" t="str">
        <f>IF($A668="","",[1]!thsiFinD("ths_adjustment_nv_fund",M$3,$A668))</f>
        <v/>
      </c>
      <c r="N668" s="13" t="str">
        <f>IF($A668="","",[1]!thsiFinD("ths_adjustment_nv_fund",N$3,$A668))</f>
        <v/>
      </c>
      <c r="O668" s="13" t="str">
        <f>IF($A668="","",[1]!thsiFinD("ths_adjustment_nv_fund",O$3,$A668))</f>
        <v/>
      </c>
      <c r="P668" s="13" t="str">
        <f>IF($A668="","",[1]!thsiFinD("ths_adjustment_nv_fund",P$3,$A668))</f>
        <v/>
      </c>
      <c r="Q668" s="13" t="str">
        <f>IF($A668="","",[1]!thsiFinD("ths_adjustment_nv_fund",Q$3,$A668))</f>
        <v/>
      </c>
      <c r="R668" s="13" t="str">
        <f>IF($A668="","",[1]!thsiFinD("ths_adjustment_nv_fund",R$3,$A668))</f>
        <v/>
      </c>
      <c r="S668" s="13" t="str">
        <f>IF($A668="","",[1]!thsiFinD("ths_adjustment_nv_fund",S$3,$A668))</f>
        <v/>
      </c>
      <c r="T668" s="13" t="str">
        <f>IF($A668="","",[1]!thsiFinD("ths_adjustment_nv_fund",T$3,$A668))</f>
        <v/>
      </c>
      <c r="U668" s="13" t="str">
        <f>IF($A668="","",[1]!thsiFinD("ths_adjustment_nv_fund",U$3,$A668))</f>
        <v/>
      </c>
      <c r="V668" s="13" t="str">
        <f>IF($A668="","",[1]!thsiFinD("ths_adjustment_nv_fund",V$3,$A668))</f>
        <v/>
      </c>
      <c r="W668" s="13" t="str">
        <f>IF($A668="","",[1]!thsiFinD("ths_adjustment_nv_fund",W$3,$A668))</f>
        <v/>
      </c>
      <c r="X668" s="13" t="str">
        <f>IF($A668="","",[1]!thsiFinD("ths_adjustment_nv_fund",X$3,$A668))</f>
        <v/>
      </c>
      <c r="Y668" s="13" t="str">
        <f>IF($A668="","",[1]!thsiFinD("ths_adjustment_nv_fund",Y$3,$A668))</f>
        <v/>
      </c>
      <c r="Z668" s="13" t="str">
        <f>IF($A668="","",[1]!thsiFinD("ths_adjustment_nv_fund",Z$3,$A668))</f>
        <v/>
      </c>
      <c r="AA668" s="13" t="str">
        <f>IF($A668="","",[1]!thsiFinD("ths_adjustment_nv_fund",AA$3,$A668))</f>
        <v/>
      </c>
      <c r="AB668" s="13">
        <f>IF($A668="","",[1]!thsiFinD("ths_adjustment_nv_fund",AB$3,$A668))</f>
        <v/>
      </c>
      <c r="AC668" s="13">
        <f>IF($A668="","",[1]!thsiFinD("ths_adjustment_nv_fund",AC$3,$A668))</f>
        <v/>
      </c>
      <c r="AD668" s="13">
        <f>IF($A668="","",[1]!thsiFinD("ths_adjustment_nv_fund",AD$3,$A668))</f>
        <v/>
      </c>
      <c r="AE668" s="13">
        <f>IF($A668="","",[1]!thsiFinD("ths_adjustment_nv_fund",AE$3,$A668))</f>
        <v/>
      </c>
      <c r="AF668" s="13">
        <f>IF($A668="","",[1]!thsiFinD("ths_adjustment_nv_fund",AF$3,$A668))</f>
        <v/>
      </c>
      <c r="AG668" s="13">
        <f>IF($A668="","",[1]!thsiFinD("ths_adjustment_nv_fund",AG$3,$A668))</f>
        <v/>
      </c>
      <c r="AH668" s="13">
        <f>IF($A668="","",[1]!thsiFinD("ths_adjustment_nv_fund",AH$3,$A668))</f>
        <v/>
      </c>
      <c r="AI668" s="13">
        <f>IF($A668="","",[1]!thsiFinD("ths_adjustment_nv_fund",AI$3,$A668))</f>
        <v/>
      </c>
      <c r="AJ668" s="13">
        <f>IF($A668="","",[1]!thsiFinD("ths_adjustment_nv_fund",AJ$3,$A668))</f>
        <v/>
      </c>
      <c r="AK668" s="13">
        <f>IF($A668="","",[1]!thsiFinD("ths_adjustment_nv_fund",AK$3,$A668))</f>
        <v/>
      </c>
      <c r="AL668" s="13">
        <f>IF($A668="","",[1]!thsiFinD("ths_adjustment_nv_fund",AL$3,$A668))</f>
        <v/>
      </c>
    </row>
    <row r="669" spans="2:28">
      <c r="B669" s="13" t="str">
        <f>IF($A669="","",[1]!thsiFinD("ths_adjustment_nv_fund",B$3,$A669))</f>
        <v/>
      </c>
      <c r="C669" s="13" t="str">
        <f>IF($A669="","",[1]!thsiFinD("ths_adjustment_nv_fund",C$3,$A669))</f>
        <v/>
      </c>
      <c r="D669" s="13" t="str">
        <f>IF($A669="","",[1]!thsiFinD("ths_adjustment_nv_fund",D$3,$A669))</f>
        <v/>
      </c>
      <c r="E669" s="13" t="str">
        <f>IF($A669="","",[1]!thsiFinD("ths_adjustment_nv_fund",E$3,$A669))</f>
        <v/>
      </c>
      <c r="F669" s="13" t="str">
        <f>IF($A669="","",[1]!thsiFinD("ths_adjustment_nv_fund",F$3,$A669))</f>
        <v/>
      </c>
      <c r="G669" s="13" t="str">
        <f>IF($A669="","",[1]!thsiFinD("ths_adjustment_nv_fund",G$3,$A669))</f>
        <v/>
      </c>
      <c r="H669" s="13" t="str">
        <f>IF($A669="","",[1]!thsiFinD("ths_adjustment_nv_fund",H$3,$A669))</f>
        <v/>
      </c>
      <c r="I669" s="13" t="str">
        <f>IF($A669="","",[1]!thsiFinD("ths_adjustment_nv_fund",I$3,$A669))</f>
        <v/>
      </c>
      <c r="J669" s="13" t="str">
        <f>IF($A669="","",[1]!thsiFinD("ths_adjustment_nv_fund",J$3,$A669))</f>
        <v/>
      </c>
      <c r="K669" s="13" t="str">
        <f>IF($A669="","",[1]!thsiFinD("ths_adjustment_nv_fund",K$3,$A669))</f>
        <v/>
      </c>
      <c r="L669" s="13" t="str">
        <f>IF($A669="","",[1]!thsiFinD("ths_adjustment_nv_fund",L$3,$A669))</f>
        <v/>
      </c>
      <c r="M669" s="13" t="str">
        <f>IF($A669="","",[1]!thsiFinD("ths_adjustment_nv_fund",M$3,$A669))</f>
        <v/>
      </c>
      <c r="N669" s="13" t="str">
        <f>IF($A669="","",[1]!thsiFinD("ths_adjustment_nv_fund",N$3,$A669))</f>
        <v/>
      </c>
      <c r="O669" s="13" t="str">
        <f>IF($A669="","",[1]!thsiFinD("ths_adjustment_nv_fund",O$3,$A669))</f>
        <v/>
      </c>
      <c r="P669" s="13" t="str">
        <f>IF($A669="","",[1]!thsiFinD("ths_adjustment_nv_fund",P$3,$A669))</f>
        <v/>
      </c>
      <c r="Q669" s="13" t="str">
        <f>IF($A669="","",[1]!thsiFinD("ths_adjustment_nv_fund",Q$3,$A669))</f>
        <v/>
      </c>
      <c r="R669" s="13" t="str">
        <f>IF($A669="","",[1]!thsiFinD("ths_adjustment_nv_fund",R$3,$A669))</f>
        <v/>
      </c>
      <c r="S669" s="13" t="str">
        <f>IF($A669="","",[1]!thsiFinD("ths_adjustment_nv_fund",S$3,$A669))</f>
        <v/>
      </c>
      <c r="T669" s="13" t="str">
        <f>IF($A669="","",[1]!thsiFinD("ths_adjustment_nv_fund",T$3,$A669))</f>
        <v/>
      </c>
      <c r="U669" s="13" t="str">
        <f>IF($A669="","",[1]!thsiFinD("ths_adjustment_nv_fund",U$3,$A669))</f>
        <v/>
      </c>
      <c r="V669" s="13" t="str">
        <f>IF($A669="","",[1]!thsiFinD("ths_adjustment_nv_fund",V$3,$A669))</f>
        <v/>
      </c>
      <c r="W669" s="13" t="str">
        <f>IF($A669="","",[1]!thsiFinD("ths_adjustment_nv_fund",W$3,$A669))</f>
        <v/>
      </c>
      <c r="X669" s="13" t="str">
        <f>IF($A669="","",[1]!thsiFinD("ths_adjustment_nv_fund",X$3,$A669))</f>
        <v/>
      </c>
      <c r="Y669" s="13" t="str">
        <f>IF($A669="","",[1]!thsiFinD("ths_adjustment_nv_fund",Y$3,$A669))</f>
        <v/>
      </c>
      <c r="Z669" s="13" t="str">
        <f>IF($A669="","",[1]!thsiFinD("ths_adjustment_nv_fund",Z$3,$A669))</f>
        <v/>
      </c>
      <c r="AA669" s="13" t="str">
        <f>IF($A669="","",[1]!thsiFinD("ths_adjustment_nv_fund",AA$3,$A669))</f>
        <v/>
      </c>
      <c r="AB669" s="13">
        <f>IF($A669="","",[1]!thsiFinD("ths_adjustment_nv_fund",AB$3,$A669))</f>
        <v/>
      </c>
      <c r="AC669" s="13">
        <f>IF($A669="","",[1]!thsiFinD("ths_adjustment_nv_fund",AC$3,$A669))</f>
        <v/>
      </c>
      <c r="AD669" s="13">
        <f>IF($A669="","",[1]!thsiFinD("ths_adjustment_nv_fund",AD$3,$A669))</f>
        <v/>
      </c>
      <c r="AE669" s="13">
        <f>IF($A669="","",[1]!thsiFinD("ths_adjustment_nv_fund",AE$3,$A669))</f>
        <v/>
      </c>
      <c r="AF669" s="13">
        <f>IF($A669="","",[1]!thsiFinD("ths_adjustment_nv_fund",AF$3,$A669))</f>
        <v/>
      </c>
      <c r="AG669" s="13">
        <f>IF($A669="","",[1]!thsiFinD("ths_adjustment_nv_fund",AG$3,$A669))</f>
        <v/>
      </c>
      <c r="AH669" s="13">
        <f>IF($A669="","",[1]!thsiFinD("ths_adjustment_nv_fund",AH$3,$A669))</f>
        <v/>
      </c>
      <c r="AI669" s="13">
        <f>IF($A669="","",[1]!thsiFinD("ths_adjustment_nv_fund",AI$3,$A669))</f>
        <v/>
      </c>
      <c r="AJ669" s="13">
        <f>IF($A669="","",[1]!thsiFinD("ths_adjustment_nv_fund",AJ$3,$A669))</f>
        <v/>
      </c>
      <c r="AK669" s="13">
        <f>IF($A669="","",[1]!thsiFinD("ths_adjustment_nv_fund",AK$3,$A669))</f>
        <v/>
      </c>
      <c r="AL669" s="13">
        <f>IF($A669="","",[1]!thsiFinD("ths_adjustment_nv_fund",AL$3,$A669))</f>
        <v/>
      </c>
    </row>
    <row r="670" spans="2:28">
      <c r="B670" s="13" t="str">
        <f>IF($A670="","",[1]!thsiFinD("ths_adjustment_nv_fund",B$3,$A670))</f>
        <v/>
      </c>
      <c r="C670" s="13" t="str">
        <f>IF($A670="","",[1]!thsiFinD("ths_adjustment_nv_fund",C$3,$A670))</f>
        <v/>
      </c>
      <c r="D670" s="13" t="str">
        <f>IF($A670="","",[1]!thsiFinD("ths_adjustment_nv_fund",D$3,$A670))</f>
        <v/>
      </c>
      <c r="E670" s="13" t="str">
        <f>IF($A670="","",[1]!thsiFinD("ths_adjustment_nv_fund",E$3,$A670))</f>
        <v/>
      </c>
      <c r="F670" s="13" t="str">
        <f>IF($A670="","",[1]!thsiFinD("ths_adjustment_nv_fund",F$3,$A670))</f>
        <v/>
      </c>
      <c r="G670" s="13" t="str">
        <f>IF($A670="","",[1]!thsiFinD("ths_adjustment_nv_fund",G$3,$A670))</f>
        <v/>
      </c>
      <c r="H670" s="13" t="str">
        <f>IF($A670="","",[1]!thsiFinD("ths_adjustment_nv_fund",H$3,$A670))</f>
        <v/>
      </c>
      <c r="I670" s="13" t="str">
        <f>IF($A670="","",[1]!thsiFinD("ths_adjustment_nv_fund",I$3,$A670))</f>
        <v/>
      </c>
      <c r="J670" s="13" t="str">
        <f>IF($A670="","",[1]!thsiFinD("ths_adjustment_nv_fund",J$3,$A670))</f>
        <v/>
      </c>
      <c r="K670" s="13" t="str">
        <f>IF($A670="","",[1]!thsiFinD("ths_adjustment_nv_fund",K$3,$A670))</f>
        <v/>
      </c>
      <c r="L670" s="13" t="str">
        <f>IF($A670="","",[1]!thsiFinD("ths_adjustment_nv_fund",L$3,$A670))</f>
        <v/>
      </c>
      <c r="M670" s="13" t="str">
        <f>IF($A670="","",[1]!thsiFinD("ths_adjustment_nv_fund",M$3,$A670))</f>
        <v/>
      </c>
      <c r="N670" s="13" t="str">
        <f>IF($A670="","",[1]!thsiFinD("ths_adjustment_nv_fund",N$3,$A670))</f>
        <v/>
      </c>
      <c r="O670" s="13" t="str">
        <f>IF($A670="","",[1]!thsiFinD("ths_adjustment_nv_fund",O$3,$A670))</f>
        <v/>
      </c>
      <c r="P670" s="13" t="str">
        <f>IF($A670="","",[1]!thsiFinD("ths_adjustment_nv_fund",P$3,$A670))</f>
        <v/>
      </c>
      <c r="Q670" s="13" t="str">
        <f>IF($A670="","",[1]!thsiFinD("ths_adjustment_nv_fund",Q$3,$A670))</f>
        <v/>
      </c>
      <c r="R670" s="13" t="str">
        <f>IF($A670="","",[1]!thsiFinD("ths_adjustment_nv_fund",R$3,$A670))</f>
        <v/>
      </c>
      <c r="S670" s="13" t="str">
        <f>IF($A670="","",[1]!thsiFinD("ths_adjustment_nv_fund",S$3,$A670))</f>
        <v/>
      </c>
      <c r="T670" s="13" t="str">
        <f>IF($A670="","",[1]!thsiFinD("ths_adjustment_nv_fund",T$3,$A670))</f>
        <v/>
      </c>
      <c r="U670" s="13" t="str">
        <f>IF($A670="","",[1]!thsiFinD("ths_adjustment_nv_fund",U$3,$A670))</f>
        <v/>
      </c>
      <c r="V670" s="13" t="str">
        <f>IF($A670="","",[1]!thsiFinD("ths_adjustment_nv_fund",V$3,$A670))</f>
        <v/>
      </c>
      <c r="W670" s="13" t="str">
        <f>IF($A670="","",[1]!thsiFinD("ths_adjustment_nv_fund",W$3,$A670))</f>
        <v/>
      </c>
      <c r="X670" s="13" t="str">
        <f>IF($A670="","",[1]!thsiFinD("ths_adjustment_nv_fund",X$3,$A670))</f>
        <v/>
      </c>
      <c r="Y670" s="13" t="str">
        <f>IF($A670="","",[1]!thsiFinD("ths_adjustment_nv_fund",Y$3,$A670))</f>
        <v/>
      </c>
      <c r="Z670" s="13" t="str">
        <f>IF($A670="","",[1]!thsiFinD("ths_adjustment_nv_fund",Z$3,$A670))</f>
        <v/>
      </c>
      <c r="AA670" s="13" t="str">
        <f>IF($A670="","",[1]!thsiFinD("ths_adjustment_nv_fund",AA$3,$A670))</f>
        <v/>
      </c>
      <c r="AB670" s="13">
        <f>IF($A670="","",[1]!thsiFinD("ths_adjustment_nv_fund",AB$3,$A670))</f>
        <v/>
      </c>
      <c r="AC670" s="13">
        <f>IF($A670="","",[1]!thsiFinD("ths_adjustment_nv_fund",AC$3,$A670))</f>
        <v/>
      </c>
      <c r="AD670" s="13">
        <f>IF($A670="","",[1]!thsiFinD("ths_adjustment_nv_fund",AD$3,$A670))</f>
        <v/>
      </c>
      <c r="AE670" s="13">
        <f>IF($A670="","",[1]!thsiFinD("ths_adjustment_nv_fund",AE$3,$A670))</f>
        <v/>
      </c>
      <c r="AF670" s="13">
        <f>IF($A670="","",[1]!thsiFinD("ths_adjustment_nv_fund",AF$3,$A670))</f>
        <v/>
      </c>
      <c r="AG670" s="13">
        <f>IF($A670="","",[1]!thsiFinD("ths_adjustment_nv_fund",AG$3,$A670))</f>
        <v/>
      </c>
      <c r="AH670" s="13">
        <f>IF($A670="","",[1]!thsiFinD("ths_adjustment_nv_fund",AH$3,$A670))</f>
        <v/>
      </c>
      <c r="AI670" s="13">
        <f>IF($A670="","",[1]!thsiFinD("ths_adjustment_nv_fund",AI$3,$A670))</f>
        <v/>
      </c>
      <c r="AJ670" s="13">
        <f>IF($A670="","",[1]!thsiFinD("ths_adjustment_nv_fund",AJ$3,$A670))</f>
        <v/>
      </c>
      <c r="AK670" s="13">
        <f>IF($A670="","",[1]!thsiFinD("ths_adjustment_nv_fund",AK$3,$A670))</f>
        <v/>
      </c>
      <c r="AL670" s="13">
        <f>IF($A670="","",[1]!thsiFinD("ths_adjustment_nv_fund",AL$3,$A670))</f>
        <v/>
      </c>
    </row>
    <row r="671" spans="2:28">
      <c r="B671" s="13" t="str">
        <f>IF($A671="","",[1]!thsiFinD("ths_adjustment_nv_fund",B$3,$A671))</f>
        <v/>
      </c>
      <c r="C671" s="13" t="str">
        <f>IF($A671="","",[1]!thsiFinD("ths_adjustment_nv_fund",C$3,$A671))</f>
        <v/>
      </c>
      <c r="D671" s="13" t="str">
        <f>IF($A671="","",[1]!thsiFinD("ths_adjustment_nv_fund",D$3,$A671))</f>
        <v/>
      </c>
      <c r="E671" s="13" t="str">
        <f>IF($A671="","",[1]!thsiFinD("ths_adjustment_nv_fund",E$3,$A671))</f>
        <v/>
      </c>
      <c r="F671" s="13" t="str">
        <f>IF($A671="","",[1]!thsiFinD("ths_adjustment_nv_fund",F$3,$A671))</f>
        <v/>
      </c>
      <c r="G671" s="13" t="str">
        <f>IF($A671="","",[1]!thsiFinD("ths_adjustment_nv_fund",G$3,$A671))</f>
        <v/>
      </c>
      <c r="H671" s="13" t="str">
        <f>IF($A671="","",[1]!thsiFinD("ths_adjustment_nv_fund",H$3,$A671))</f>
        <v/>
      </c>
      <c r="I671" s="13" t="str">
        <f>IF($A671="","",[1]!thsiFinD("ths_adjustment_nv_fund",I$3,$A671))</f>
        <v/>
      </c>
      <c r="J671" s="13" t="str">
        <f>IF($A671="","",[1]!thsiFinD("ths_adjustment_nv_fund",J$3,$A671))</f>
        <v/>
      </c>
      <c r="K671" s="13" t="str">
        <f>IF($A671="","",[1]!thsiFinD("ths_adjustment_nv_fund",K$3,$A671))</f>
        <v/>
      </c>
      <c r="L671" s="13" t="str">
        <f>IF($A671="","",[1]!thsiFinD("ths_adjustment_nv_fund",L$3,$A671))</f>
        <v/>
      </c>
      <c r="M671" s="13" t="str">
        <f>IF($A671="","",[1]!thsiFinD("ths_adjustment_nv_fund",M$3,$A671))</f>
        <v/>
      </c>
      <c r="N671" s="13" t="str">
        <f>IF($A671="","",[1]!thsiFinD("ths_adjustment_nv_fund",N$3,$A671))</f>
        <v/>
      </c>
      <c r="O671" s="13" t="str">
        <f>IF($A671="","",[1]!thsiFinD("ths_adjustment_nv_fund",O$3,$A671))</f>
        <v/>
      </c>
      <c r="P671" s="13" t="str">
        <f>IF($A671="","",[1]!thsiFinD("ths_adjustment_nv_fund",P$3,$A671))</f>
        <v/>
      </c>
      <c r="Q671" s="13" t="str">
        <f>IF($A671="","",[1]!thsiFinD("ths_adjustment_nv_fund",Q$3,$A671))</f>
        <v/>
      </c>
      <c r="R671" s="13" t="str">
        <f>IF($A671="","",[1]!thsiFinD("ths_adjustment_nv_fund",R$3,$A671))</f>
        <v/>
      </c>
      <c r="S671" s="13" t="str">
        <f>IF($A671="","",[1]!thsiFinD("ths_adjustment_nv_fund",S$3,$A671))</f>
        <v/>
      </c>
      <c r="T671" s="13" t="str">
        <f>IF($A671="","",[1]!thsiFinD("ths_adjustment_nv_fund",T$3,$A671))</f>
        <v/>
      </c>
      <c r="U671" s="13" t="str">
        <f>IF($A671="","",[1]!thsiFinD("ths_adjustment_nv_fund",U$3,$A671))</f>
        <v/>
      </c>
      <c r="V671" s="13" t="str">
        <f>IF($A671="","",[1]!thsiFinD("ths_adjustment_nv_fund",V$3,$A671))</f>
        <v/>
      </c>
      <c r="W671" s="13" t="str">
        <f>IF($A671="","",[1]!thsiFinD("ths_adjustment_nv_fund",W$3,$A671))</f>
        <v/>
      </c>
      <c r="X671" s="13" t="str">
        <f>IF($A671="","",[1]!thsiFinD("ths_adjustment_nv_fund",X$3,$A671))</f>
        <v/>
      </c>
      <c r="Y671" s="13" t="str">
        <f>IF($A671="","",[1]!thsiFinD("ths_adjustment_nv_fund",Y$3,$A671))</f>
        <v/>
      </c>
      <c r="Z671" s="13" t="str">
        <f>IF($A671="","",[1]!thsiFinD("ths_adjustment_nv_fund",Z$3,$A671))</f>
        <v/>
      </c>
      <c r="AA671" s="13" t="str">
        <f>IF($A671="","",[1]!thsiFinD("ths_adjustment_nv_fund",AA$3,$A671))</f>
        <v/>
      </c>
      <c r="AB671" s="13">
        <f>IF($A671="","",[1]!thsiFinD("ths_adjustment_nv_fund",AB$3,$A671))</f>
        <v/>
      </c>
      <c r="AC671" s="13">
        <f>IF($A671="","",[1]!thsiFinD("ths_adjustment_nv_fund",AC$3,$A671))</f>
        <v/>
      </c>
      <c r="AD671" s="13">
        <f>IF($A671="","",[1]!thsiFinD("ths_adjustment_nv_fund",AD$3,$A671))</f>
        <v/>
      </c>
      <c r="AE671" s="13">
        <f>IF($A671="","",[1]!thsiFinD("ths_adjustment_nv_fund",AE$3,$A671))</f>
        <v/>
      </c>
      <c r="AF671" s="13">
        <f>IF($A671="","",[1]!thsiFinD("ths_adjustment_nv_fund",AF$3,$A671))</f>
        <v/>
      </c>
      <c r="AG671" s="13">
        <f>IF($A671="","",[1]!thsiFinD("ths_adjustment_nv_fund",AG$3,$A671))</f>
        <v/>
      </c>
      <c r="AH671" s="13">
        <f>IF($A671="","",[1]!thsiFinD("ths_adjustment_nv_fund",AH$3,$A671))</f>
        <v/>
      </c>
      <c r="AI671" s="13">
        <f>IF($A671="","",[1]!thsiFinD("ths_adjustment_nv_fund",AI$3,$A671))</f>
        <v/>
      </c>
      <c r="AJ671" s="13">
        <f>IF($A671="","",[1]!thsiFinD("ths_adjustment_nv_fund",AJ$3,$A671))</f>
        <v/>
      </c>
      <c r="AK671" s="13">
        <f>IF($A671="","",[1]!thsiFinD("ths_adjustment_nv_fund",AK$3,$A671))</f>
        <v/>
      </c>
      <c r="AL671" s="13">
        <f>IF($A671="","",[1]!thsiFinD("ths_adjustment_nv_fund",AL$3,$A671))</f>
        <v/>
      </c>
    </row>
    <row r="672" spans="2:28">
      <c r="B672" s="13" t="str">
        <f>IF($A672="","",[1]!thsiFinD("ths_adjustment_nv_fund",B$3,$A672))</f>
        <v/>
      </c>
      <c r="C672" s="13" t="str">
        <f>IF($A672="","",[1]!thsiFinD("ths_adjustment_nv_fund",C$3,$A672))</f>
        <v/>
      </c>
      <c r="D672" s="13" t="str">
        <f>IF($A672="","",[1]!thsiFinD("ths_adjustment_nv_fund",D$3,$A672))</f>
        <v/>
      </c>
      <c r="E672" s="13" t="str">
        <f>IF($A672="","",[1]!thsiFinD("ths_adjustment_nv_fund",E$3,$A672))</f>
        <v/>
      </c>
      <c r="F672" s="13" t="str">
        <f>IF($A672="","",[1]!thsiFinD("ths_adjustment_nv_fund",F$3,$A672))</f>
        <v/>
      </c>
      <c r="G672" s="13" t="str">
        <f>IF($A672="","",[1]!thsiFinD("ths_adjustment_nv_fund",G$3,$A672))</f>
        <v/>
      </c>
      <c r="H672" s="13" t="str">
        <f>IF($A672="","",[1]!thsiFinD("ths_adjustment_nv_fund",H$3,$A672))</f>
        <v/>
      </c>
      <c r="I672" s="13" t="str">
        <f>IF($A672="","",[1]!thsiFinD("ths_adjustment_nv_fund",I$3,$A672))</f>
        <v/>
      </c>
      <c r="J672" s="13" t="str">
        <f>IF($A672="","",[1]!thsiFinD("ths_adjustment_nv_fund",J$3,$A672))</f>
        <v/>
      </c>
      <c r="K672" s="13" t="str">
        <f>IF($A672="","",[1]!thsiFinD("ths_adjustment_nv_fund",K$3,$A672))</f>
        <v/>
      </c>
      <c r="L672" s="13" t="str">
        <f>IF($A672="","",[1]!thsiFinD("ths_adjustment_nv_fund",L$3,$A672))</f>
        <v/>
      </c>
      <c r="M672" s="13" t="str">
        <f>IF($A672="","",[1]!thsiFinD("ths_adjustment_nv_fund",M$3,$A672))</f>
        <v/>
      </c>
      <c r="N672" s="13" t="str">
        <f>IF($A672="","",[1]!thsiFinD("ths_adjustment_nv_fund",N$3,$A672))</f>
        <v/>
      </c>
      <c r="O672" s="13" t="str">
        <f>IF($A672="","",[1]!thsiFinD("ths_adjustment_nv_fund",O$3,$A672))</f>
        <v/>
      </c>
      <c r="P672" s="13" t="str">
        <f>IF($A672="","",[1]!thsiFinD("ths_adjustment_nv_fund",P$3,$A672))</f>
        <v/>
      </c>
      <c r="Q672" s="13" t="str">
        <f>IF($A672="","",[1]!thsiFinD("ths_adjustment_nv_fund",Q$3,$A672))</f>
        <v/>
      </c>
      <c r="R672" s="13" t="str">
        <f>IF($A672="","",[1]!thsiFinD("ths_adjustment_nv_fund",R$3,$A672))</f>
        <v/>
      </c>
      <c r="S672" s="13" t="str">
        <f>IF($A672="","",[1]!thsiFinD("ths_adjustment_nv_fund",S$3,$A672))</f>
        <v/>
      </c>
      <c r="T672" s="13" t="str">
        <f>IF($A672="","",[1]!thsiFinD("ths_adjustment_nv_fund",T$3,$A672))</f>
        <v/>
      </c>
      <c r="U672" s="13" t="str">
        <f>IF($A672="","",[1]!thsiFinD("ths_adjustment_nv_fund",U$3,$A672))</f>
        <v/>
      </c>
      <c r="V672" s="13" t="str">
        <f>IF($A672="","",[1]!thsiFinD("ths_adjustment_nv_fund",V$3,$A672))</f>
        <v/>
      </c>
      <c r="W672" s="13" t="str">
        <f>IF($A672="","",[1]!thsiFinD("ths_adjustment_nv_fund",W$3,$A672))</f>
        <v/>
      </c>
      <c r="X672" s="13" t="str">
        <f>IF($A672="","",[1]!thsiFinD("ths_adjustment_nv_fund",X$3,$A672))</f>
        <v/>
      </c>
      <c r="Y672" s="13" t="str">
        <f>IF($A672="","",[1]!thsiFinD("ths_adjustment_nv_fund",Y$3,$A672))</f>
        <v/>
      </c>
      <c r="Z672" s="13" t="str">
        <f>IF($A672="","",[1]!thsiFinD("ths_adjustment_nv_fund",Z$3,$A672))</f>
        <v/>
      </c>
      <c r="AA672" s="13" t="str">
        <f>IF($A672="","",[1]!thsiFinD("ths_adjustment_nv_fund",AA$3,$A672))</f>
        <v/>
      </c>
      <c r="AB672" s="13">
        <f>IF($A672="","",[1]!thsiFinD("ths_adjustment_nv_fund",AB$3,$A672))</f>
        <v/>
      </c>
      <c r="AC672" s="13">
        <f>IF($A672="","",[1]!thsiFinD("ths_adjustment_nv_fund",AC$3,$A672))</f>
        <v/>
      </c>
      <c r="AD672" s="13">
        <f>IF($A672="","",[1]!thsiFinD("ths_adjustment_nv_fund",AD$3,$A672))</f>
        <v/>
      </c>
      <c r="AE672" s="13">
        <f>IF($A672="","",[1]!thsiFinD("ths_adjustment_nv_fund",AE$3,$A672))</f>
        <v/>
      </c>
      <c r="AF672" s="13">
        <f>IF($A672="","",[1]!thsiFinD("ths_adjustment_nv_fund",AF$3,$A672))</f>
        <v/>
      </c>
      <c r="AG672" s="13">
        <f>IF($A672="","",[1]!thsiFinD("ths_adjustment_nv_fund",AG$3,$A672))</f>
        <v/>
      </c>
      <c r="AH672" s="13">
        <f>IF($A672="","",[1]!thsiFinD("ths_adjustment_nv_fund",AH$3,$A672))</f>
        <v/>
      </c>
      <c r="AI672" s="13">
        <f>IF($A672="","",[1]!thsiFinD("ths_adjustment_nv_fund",AI$3,$A672))</f>
        <v/>
      </c>
      <c r="AJ672" s="13">
        <f>IF($A672="","",[1]!thsiFinD("ths_adjustment_nv_fund",AJ$3,$A672))</f>
        <v/>
      </c>
      <c r="AK672" s="13">
        <f>IF($A672="","",[1]!thsiFinD("ths_adjustment_nv_fund",AK$3,$A672))</f>
        <v/>
      </c>
      <c r="AL672" s="13">
        <f>IF($A672="","",[1]!thsiFinD("ths_adjustment_nv_fund",AL$3,$A672))</f>
        <v/>
      </c>
    </row>
    <row r="673" spans="2:28">
      <c r="B673" s="13" t="str">
        <f>IF($A673="","",[1]!thsiFinD("ths_adjustment_nv_fund",B$3,$A673))</f>
        <v/>
      </c>
      <c r="C673" s="13" t="str">
        <f>IF($A673="","",[1]!thsiFinD("ths_adjustment_nv_fund",C$3,$A673))</f>
        <v/>
      </c>
      <c r="D673" s="13" t="str">
        <f>IF($A673="","",[1]!thsiFinD("ths_adjustment_nv_fund",D$3,$A673))</f>
        <v/>
      </c>
      <c r="E673" s="13" t="str">
        <f>IF($A673="","",[1]!thsiFinD("ths_adjustment_nv_fund",E$3,$A673))</f>
        <v/>
      </c>
      <c r="F673" s="13" t="str">
        <f>IF($A673="","",[1]!thsiFinD("ths_adjustment_nv_fund",F$3,$A673))</f>
        <v/>
      </c>
      <c r="G673" s="13" t="str">
        <f>IF($A673="","",[1]!thsiFinD("ths_adjustment_nv_fund",G$3,$A673))</f>
        <v/>
      </c>
      <c r="H673" s="13" t="str">
        <f>IF($A673="","",[1]!thsiFinD("ths_adjustment_nv_fund",H$3,$A673))</f>
        <v/>
      </c>
      <c r="I673" s="13" t="str">
        <f>IF($A673="","",[1]!thsiFinD("ths_adjustment_nv_fund",I$3,$A673))</f>
        <v/>
      </c>
      <c r="J673" s="13" t="str">
        <f>IF($A673="","",[1]!thsiFinD("ths_adjustment_nv_fund",J$3,$A673))</f>
        <v/>
      </c>
      <c r="K673" s="13" t="str">
        <f>IF($A673="","",[1]!thsiFinD("ths_adjustment_nv_fund",K$3,$A673))</f>
        <v/>
      </c>
      <c r="L673" s="13" t="str">
        <f>IF($A673="","",[1]!thsiFinD("ths_adjustment_nv_fund",L$3,$A673))</f>
        <v/>
      </c>
      <c r="M673" s="13" t="str">
        <f>IF($A673="","",[1]!thsiFinD("ths_adjustment_nv_fund",M$3,$A673))</f>
        <v/>
      </c>
      <c r="N673" s="13" t="str">
        <f>IF($A673="","",[1]!thsiFinD("ths_adjustment_nv_fund",N$3,$A673))</f>
        <v/>
      </c>
      <c r="O673" s="13" t="str">
        <f>IF($A673="","",[1]!thsiFinD("ths_adjustment_nv_fund",O$3,$A673))</f>
        <v/>
      </c>
      <c r="P673" s="13" t="str">
        <f>IF($A673="","",[1]!thsiFinD("ths_adjustment_nv_fund",P$3,$A673))</f>
        <v/>
      </c>
      <c r="Q673" s="13" t="str">
        <f>IF($A673="","",[1]!thsiFinD("ths_adjustment_nv_fund",Q$3,$A673))</f>
        <v/>
      </c>
      <c r="R673" s="13" t="str">
        <f>IF($A673="","",[1]!thsiFinD("ths_adjustment_nv_fund",R$3,$A673))</f>
        <v/>
      </c>
      <c r="S673" s="13" t="str">
        <f>IF($A673="","",[1]!thsiFinD("ths_adjustment_nv_fund",S$3,$A673))</f>
        <v/>
      </c>
      <c r="T673" s="13" t="str">
        <f>IF($A673="","",[1]!thsiFinD("ths_adjustment_nv_fund",T$3,$A673))</f>
        <v/>
      </c>
      <c r="U673" s="13" t="str">
        <f>IF($A673="","",[1]!thsiFinD("ths_adjustment_nv_fund",U$3,$A673))</f>
        <v/>
      </c>
      <c r="V673" s="13" t="str">
        <f>IF($A673="","",[1]!thsiFinD("ths_adjustment_nv_fund",V$3,$A673))</f>
        <v/>
      </c>
      <c r="W673" s="13" t="str">
        <f>IF($A673="","",[1]!thsiFinD("ths_adjustment_nv_fund",W$3,$A673))</f>
        <v/>
      </c>
      <c r="X673" s="13" t="str">
        <f>IF($A673="","",[1]!thsiFinD("ths_adjustment_nv_fund",X$3,$A673))</f>
        <v/>
      </c>
      <c r="Y673" s="13" t="str">
        <f>IF($A673="","",[1]!thsiFinD("ths_adjustment_nv_fund",Y$3,$A673))</f>
        <v/>
      </c>
      <c r="Z673" s="13" t="str">
        <f>IF($A673="","",[1]!thsiFinD("ths_adjustment_nv_fund",Z$3,$A673))</f>
        <v/>
      </c>
      <c r="AA673" s="13" t="str">
        <f>IF($A673="","",[1]!thsiFinD("ths_adjustment_nv_fund",AA$3,$A673))</f>
        <v/>
      </c>
      <c r="AB673" s="13">
        <f>IF($A673="","",[1]!thsiFinD("ths_adjustment_nv_fund",AB$3,$A673))</f>
        <v/>
      </c>
      <c r="AC673" s="13">
        <f>IF($A673="","",[1]!thsiFinD("ths_adjustment_nv_fund",AC$3,$A673))</f>
        <v/>
      </c>
      <c r="AD673" s="13">
        <f>IF($A673="","",[1]!thsiFinD("ths_adjustment_nv_fund",AD$3,$A673))</f>
        <v/>
      </c>
      <c r="AE673" s="13">
        <f>IF($A673="","",[1]!thsiFinD("ths_adjustment_nv_fund",AE$3,$A673))</f>
        <v/>
      </c>
      <c r="AF673" s="13">
        <f>IF($A673="","",[1]!thsiFinD("ths_adjustment_nv_fund",AF$3,$A673))</f>
        <v/>
      </c>
      <c r="AG673" s="13">
        <f>IF($A673="","",[1]!thsiFinD("ths_adjustment_nv_fund",AG$3,$A673))</f>
        <v/>
      </c>
      <c r="AH673" s="13">
        <f>IF($A673="","",[1]!thsiFinD("ths_adjustment_nv_fund",AH$3,$A673))</f>
        <v/>
      </c>
      <c r="AI673" s="13">
        <f>IF($A673="","",[1]!thsiFinD("ths_adjustment_nv_fund",AI$3,$A673))</f>
        <v/>
      </c>
      <c r="AJ673" s="13">
        <f>IF($A673="","",[1]!thsiFinD("ths_adjustment_nv_fund",AJ$3,$A673))</f>
        <v/>
      </c>
      <c r="AK673" s="13">
        <f>IF($A673="","",[1]!thsiFinD("ths_adjustment_nv_fund",AK$3,$A673))</f>
        <v/>
      </c>
      <c r="AL673" s="13">
        <f>IF($A673="","",[1]!thsiFinD("ths_adjustment_nv_fund",AL$3,$A673))</f>
        <v/>
      </c>
    </row>
    <row r="674" spans="2:28">
      <c r="B674" s="13" t="str">
        <f>IF($A674="","",[1]!thsiFinD("ths_adjustment_nv_fund",B$3,$A674))</f>
        <v/>
      </c>
      <c r="C674" s="13" t="str">
        <f>IF($A674="","",[1]!thsiFinD("ths_adjustment_nv_fund",C$3,$A674))</f>
        <v/>
      </c>
      <c r="D674" s="13" t="str">
        <f>IF($A674="","",[1]!thsiFinD("ths_adjustment_nv_fund",D$3,$A674))</f>
        <v/>
      </c>
      <c r="E674" s="13" t="str">
        <f>IF($A674="","",[1]!thsiFinD("ths_adjustment_nv_fund",E$3,$A674))</f>
        <v/>
      </c>
      <c r="F674" s="13" t="str">
        <f>IF($A674="","",[1]!thsiFinD("ths_adjustment_nv_fund",F$3,$A674))</f>
        <v/>
      </c>
      <c r="G674" s="13" t="str">
        <f>IF($A674="","",[1]!thsiFinD("ths_adjustment_nv_fund",G$3,$A674))</f>
        <v/>
      </c>
      <c r="H674" s="13" t="str">
        <f>IF($A674="","",[1]!thsiFinD("ths_adjustment_nv_fund",H$3,$A674))</f>
        <v/>
      </c>
      <c r="I674" s="13" t="str">
        <f>IF($A674="","",[1]!thsiFinD("ths_adjustment_nv_fund",I$3,$A674))</f>
        <v/>
      </c>
      <c r="J674" s="13" t="str">
        <f>IF($A674="","",[1]!thsiFinD("ths_adjustment_nv_fund",J$3,$A674))</f>
        <v/>
      </c>
      <c r="K674" s="13" t="str">
        <f>IF($A674="","",[1]!thsiFinD("ths_adjustment_nv_fund",K$3,$A674))</f>
        <v/>
      </c>
      <c r="L674" s="13" t="str">
        <f>IF($A674="","",[1]!thsiFinD("ths_adjustment_nv_fund",L$3,$A674))</f>
        <v/>
      </c>
      <c r="M674" s="13" t="str">
        <f>IF($A674="","",[1]!thsiFinD("ths_adjustment_nv_fund",M$3,$A674))</f>
        <v/>
      </c>
      <c r="N674" s="13" t="str">
        <f>IF($A674="","",[1]!thsiFinD("ths_adjustment_nv_fund",N$3,$A674))</f>
        <v/>
      </c>
      <c r="O674" s="13" t="str">
        <f>IF($A674="","",[1]!thsiFinD("ths_adjustment_nv_fund",O$3,$A674))</f>
        <v/>
      </c>
      <c r="P674" s="13" t="str">
        <f>IF($A674="","",[1]!thsiFinD("ths_adjustment_nv_fund",P$3,$A674))</f>
        <v/>
      </c>
      <c r="Q674" s="13" t="str">
        <f>IF($A674="","",[1]!thsiFinD("ths_adjustment_nv_fund",Q$3,$A674))</f>
        <v/>
      </c>
      <c r="R674" s="13" t="str">
        <f>IF($A674="","",[1]!thsiFinD("ths_adjustment_nv_fund",R$3,$A674))</f>
        <v/>
      </c>
      <c r="S674" s="13" t="str">
        <f>IF($A674="","",[1]!thsiFinD("ths_adjustment_nv_fund",S$3,$A674))</f>
        <v/>
      </c>
      <c r="T674" s="13" t="str">
        <f>IF($A674="","",[1]!thsiFinD("ths_adjustment_nv_fund",T$3,$A674))</f>
        <v/>
      </c>
      <c r="U674" s="13" t="str">
        <f>IF($A674="","",[1]!thsiFinD("ths_adjustment_nv_fund",U$3,$A674))</f>
        <v/>
      </c>
      <c r="V674" s="13" t="str">
        <f>IF($A674="","",[1]!thsiFinD("ths_adjustment_nv_fund",V$3,$A674))</f>
        <v/>
      </c>
      <c r="W674" s="13" t="str">
        <f>IF($A674="","",[1]!thsiFinD("ths_adjustment_nv_fund",W$3,$A674))</f>
        <v/>
      </c>
      <c r="X674" s="13" t="str">
        <f>IF($A674="","",[1]!thsiFinD("ths_adjustment_nv_fund",X$3,$A674))</f>
        <v/>
      </c>
      <c r="Y674" s="13" t="str">
        <f>IF($A674="","",[1]!thsiFinD("ths_adjustment_nv_fund",Y$3,$A674))</f>
        <v/>
      </c>
      <c r="Z674" s="13" t="str">
        <f>IF($A674="","",[1]!thsiFinD("ths_adjustment_nv_fund",Z$3,$A674))</f>
        <v/>
      </c>
      <c r="AA674" s="13" t="str">
        <f>IF($A674="","",[1]!thsiFinD("ths_adjustment_nv_fund",AA$3,$A674))</f>
        <v/>
      </c>
      <c r="AB674" s="13">
        <f>IF($A674="","",[1]!thsiFinD("ths_adjustment_nv_fund",AB$3,$A674))</f>
        <v/>
      </c>
      <c r="AC674" s="13">
        <f>IF($A674="","",[1]!thsiFinD("ths_adjustment_nv_fund",AC$3,$A674))</f>
        <v/>
      </c>
      <c r="AD674" s="13">
        <f>IF($A674="","",[1]!thsiFinD("ths_adjustment_nv_fund",AD$3,$A674))</f>
        <v/>
      </c>
      <c r="AE674" s="13">
        <f>IF($A674="","",[1]!thsiFinD("ths_adjustment_nv_fund",AE$3,$A674))</f>
        <v/>
      </c>
      <c r="AF674" s="13">
        <f>IF($A674="","",[1]!thsiFinD("ths_adjustment_nv_fund",AF$3,$A674))</f>
        <v/>
      </c>
      <c r="AG674" s="13">
        <f>IF($A674="","",[1]!thsiFinD("ths_adjustment_nv_fund",AG$3,$A674))</f>
        <v/>
      </c>
      <c r="AH674" s="13">
        <f>IF($A674="","",[1]!thsiFinD("ths_adjustment_nv_fund",AH$3,$A674))</f>
        <v/>
      </c>
      <c r="AI674" s="13">
        <f>IF($A674="","",[1]!thsiFinD("ths_adjustment_nv_fund",AI$3,$A674))</f>
        <v/>
      </c>
      <c r="AJ674" s="13">
        <f>IF($A674="","",[1]!thsiFinD("ths_adjustment_nv_fund",AJ$3,$A674))</f>
        <v/>
      </c>
      <c r="AK674" s="13">
        <f>IF($A674="","",[1]!thsiFinD("ths_adjustment_nv_fund",AK$3,$A674))</f>
        <v/>
      </c>
      <c r="AL674" s="13">
        <f>IF($A674="","",[1]!thsiFinD("ths_adjustment_nv_fund",AL$3,$A674))</f>
        <v/>
      </c>
    </row>
    <row r="675" spans="2:28">
      <c r="B675" s="13" t="str">
        <f>IF($A675="","",[1]!thsiFinD("ths_adjustment_nv_fund",B$3,$A675))</f>
        <v/>
      </c>
      <c r="C675" s="13" t="str">
        <f>IF($A675="","",[1]!thsiFinD("ths_adjustment_nv_fund",C$3,$A675))</f>
        <v/>
      </c>
      <c r="D675" s="13" t="str">
        <f>IF($A675="","",[1]!thsiFinD("ths_adjustment_nv_fund",D$3,$A675))</f>
        <v/>
      </c>
      <c r="E675" s="13" t="str">
        <f>IF($A675="","",[1]!thsiFinD("ths_adjustment_nv_fund",E$3,$A675))</f>
        <v/>
      </c>
      <c r="F675" s="13" t="str">
        <f>IF($A675="","",[1]!thsiFinD("ths_adjustment_nv_fund",F$3,$A675))</f>
        <v/>
      </c>
      <c r="G675" s="13" t="str">
        <f>IF($A675="","",[1]!thsiFinD("ths_adjustment_nv_fund",G$3,$A675))</f>
        <v/>
      </c>
      <c r="H675" s="13" t="str">
        <f>IF($A675="","",[1]!thsiFinD("ths_adjustment_nv_fund",H$3,$A675))</f>
        <v/>
      </c>
      <c r="I675" s="13" t="str">
        <f>IF($A675="","",[1]!thsiFinD("ths_adjustment_nv_fund",I$3,$A675))</f>
        <v/>
      </c>
      <c r="J675" s="13" t="str">
        <f>IF($A675="","",[1]!thsiFinD("ths_adjustment_nv_fund",J$3,$A675))</f>
        <v/>
      </c>
      <c r="K675" s="13" t="str">
        <f>IF($A675="","",[1]!thsiFinD("ths_adjustment_nv_fund",K$3,$A675))</f>
        <v/>
      </c>
      <c r="L675" s="13" t="str">
        <f>IF($A675="","",[1]!thsiFinD("ths_adjustment_nv_fund",L$3,$A675))</f>
        <v/>
      </c>
      <c r="M675" s="13" t="str">
        <f>IF($A675="","",[1]!thsiFinD("ths_adjustment_nv_fund",M$3,$A675))</f>
        <v/>
      </c>
      <c r="N675" s="13" t="str">
        <f>IF($A675="","",[1]!thsiFinD("ths_adjustment_nv_fund",N$3,$A675))</f>
        <v/>
      </c>
      <c r="O675" s="13" t="str">
        <f>IF($A675="","",[1]!thsiFinD("ths_adjustment_nv_fund",O$3,$A675))</f>
        <v/>
      </c>
      <c r="P675" s="13" t="str">
        <f>IF($A675="","",[1]!thsiFinD("ths_adjustment_nv_fund",P$3,$A675))</f>
        <v/>
      </c>
      <c r="Q675" s="13" t="str">
        <f>IF($A675="","",[1]!thsiFinD("ths_adjustment_nv_fund",Q$3,$A675))</f>
        <v/>
      </c>
      <c r="R675" s="13" t="str">
        <f>IF($A675="","",[1]!thsiFinD("ths_adjustment_nv_fund",R$3,$A675))</f>
        <v/>
      </c>
      <c r="S675" s="13" t="str">
        <f>IF($A675="","",[1]!thsiFinD("ths_adjustment_nv_fund",S$3,$A675))</f>
        <v/>
      </c>
      <c r="T675" s="13" t="str">
        <f>IF($A675="","",[1]!thsiFinD("ths_adjustment_nv_fund",T$3,$A675))</f>
        <v/>
      </c>
      <c r="U675" s="13" t="str">
        <f>IF($A675="","",[1]!thsiFinD("ths_adjustment_nv_fund",U$3,$A675))</f>
        <v/>
      </c>
      <c r="V675" s="13" t="str">
        <f>IF($A675="","",[1]!thsiFinD("ths_adjustment_nv_fund",V$3,$A675))</f>
        <v/>
      </c>
      <c r="W675" s="13" t="str">
        <f>IF($A675="","",[1]!thsiFinD("ths_adjustment_nv_fund",W$3,$A675))</f>
        <v/>
      </c>
      <c r="X675" s="13" t="str">
        <f>IF($A675="","",[1]!thsiFinD("ths_adjustment_nv_fund",X$3,$A675))</f>
        <v/>
      </c>
      <c r="Y675" s="13" t="str">
        <f>IF($A675="","",[1]!thsiFinD("ths_adjustment_nv_fund",Y$3,$A675))</f>
        <v/>
      </c>
      <c r="Z675" s="13" t="str">
        <f>IF($A675="","",[1]!thsiFinD("ths_adjustment_nv_fund",Z$3,$A675))</f>
        <v/>
      </c>
      <c r="AA675" s="13" t="str">
        <f>IF($A675="","",[1]!thsiFinD("ths_adjustment_nv_fund",AA$3,$A675))</f>
        <v/>
      </c>
      <c r="AB675" s="13">
        <f>IF($A675="","",[1]!thsiFinD("ths_adjustment_nv_fund",AB$3,$A675))</f>
        <v/>
      </c>
      <c r="AC675" s="13">
        <f>IF($A675="","",[1]!thsiFinD("ths_adjustment_nv_fund",AC$3,$A675))</f>
        <v/>
      </c>
      <c r="AD675" s="13">
        <f>IF($A675="","",[1]!thsiFinD("ths_adjustment_nv_fund",AD$3,$A675))</f>
        <v/>
      </c>
      <c r="AE675" s="13">
        <f>IF($A675="","",[1]!thsiFinD("ths_adjustment_nv_fund",AE$3,$A675))</f>
        <v/>
      </c>
      <c r="AF675" s="13">
        <f>IF($A675="","",[1]!thsiFinD("ths_adjustment_nv_fund",AF$3,$A675))</f>
        <v/>
      </c>
      <c r="AG675" s="13">
        <f>IF($A675="","",[1]!thsiFinD("ths_adjustment_nv_fund",AG$3,$A675))</f>
        <v/>
      </c>
      <c r="AH675" s="13">
        <f>IF($A675="","",[1]!thsiFinD("ths_adjustment_nv_fund",AH$3,$A675))</f>
        <v/>
      </c>
      <c r="AI675" s="13">
        <f>IF($A675="","",[1]!thsiFinD("ths_adjustment_nv_fund",AI$3,$A675))</f>
        <v/>
      </c>
      <c r="AJ675" s="13">
        <f>IF($A675="","",[1]!thsiFinD("ths_adjustment_nv_fund",AJ$3,$A675))</f>
        <v/>
      </c>
      <c r="AK675" s="13">
        <f>IF($A675="","",[1]!thsiFinD("ths_adjustment_nv_fund",AK$3,$A675))</f>
        <v/>
      </c>
      <c r="AL675" s="13">
        <f>IF($A675="","",[1]!thsiFinD("ths_adjustment_nv_fund",AL$3,$A675))</f>
        <v/>
      </c>
    </row>
    <row r="676" spans="2:28">
      <c r="B676" s="13" t="str">
        <f>IF($A676="","",[1]!thsiFinD("ths_adjustment_nv_fund",B$3,$A676))</f>
        <v/>
      </c>
      <c r="C676" s="13" t="str">
        <f>IF($A676="","",[1]!thsiFinD("ths_adjustment_nv_fund",C$3,$A676))</f>
        <v/>
      </c>
      <c r="D676" s="13" t="str">
        <f>IF($A676="","",[1]!thsiFinD("ths_adjustment_nv_fund",D$3,$A676))</f>
        <v/>
      </c>
      <c r="E676" s="13" t="str">
        <f>IF($A676="","",[1]!thsiFinD("ths_adjustment_nv_fund",E$3,$A676))</f>
        <v/>
      </c>
      <c r="F676" s="13" t="str">
        <f>IF($A676="","",[1]!thsiFinD("ths_adjustment_nv_fund",F$3,$A676))</f>
        <v/>
      </c>
      <c r="G676" s="13" t="str">
        <f>IF($A676="","",[1]!thsiFinD("ths_adjustment_nv_fund",G$3,$A676))</f>
        <v/>
      </c>
      <c r="H676" s="13" t="str">
        <f>IF($A676="","",[1]!thsiFinD("ths_adjustment_nv_fund",H$3,$A676))</f>
        <v/>
      </c>
      <c r="I676" s="13" t="str">
        <f>IF($A676="","",[1]!thsiFinD("ths_adjustment_nv_fund",I$3,$A676))</f>
        <v/>
      </c>
      <c r="J676" s="13" t="str">
        <f>IF($A676="","",[1]!thsiFinD("ths_adjustment_nv_fund",J$3,$A676))</f>
        <v/>
      </c>
      <c r="K676" s="13" t="str">
        <f>IF($A676="","",[1]!thsiFinD("ths_adjustment_nv_fund",K$3,$A676))</f>
        <v/>
      </c>
      <c r="L676" s="13" t="str">
        <f>IF($A676="","",[1]!thsiFinD("ths_adjustment_nv_fund",L$3,$A676))</f>
        <v/>
      </c>
      <c r="M676" s="13" t="str">
        <f>IF($A676="","",[1]!thsiFinD("ths_adjustment_nv_fund",M$3,$A676))</f>
        <v/>
      </c>
      <c r="N676" s="13" t="str">
        <f>IF($A676="","",[1]!thsiFinD("ths_adjustment_nv_fund",N$3,$A676))</f>
        <v/>
      </c>
      <c r="O676" s="13" t="str">
        <f>IF($A676="","",[1]!thsiFinD("ths_adjustment_nv_fund",O$3,$A676))</f>
        <v/>
      </c>
      <c r="P676" s="13" t="str">
        <f>IF($A676="","",[1]!thsiFinD("ths_adjustment_nv_fund",P$3,$A676))</f>
        <v/>
      </c>
      <c r="Q676" s="13" t="str">
        <f>IF($A676="","",[1]!thsiFinD("ths_adjustment_nv_fund",Q$3,$A676))</f>
        <v/>
      </c>
      <c r="R676" s="13" t="str">
        <f>IF($A676="","",[1]!thsiFinD("ths_adjustment_nv_fund",R$3,$A676))</f>
        <v/>
      </c>
      <c r="S676" s="13" t="str">
        <f>IF($A676="","",[1]!thsiFinD("ths_adjustment_nv_fund",S$3,$A676))</f>
        <v/>
      </c>
      <c r="T676" s="13" t="str">
        <f>IF($A676="","",[1]!thsiFinD("ths_adjustment_nv_fund",T$3,$A676))</f>
        <v/>
      </c>
      <c r="U676" s="13" t="str">
        <f>IF($A676="","",[1]!thsiFinD("ths_adjustment_nv_fund",U$3,$A676))</f>
        <v/>
      </c>
      <c r="V676" s="13" t="str">
        <f>IF($A676="","",[1]!thsiFinD("ths_adjustment_nv_fund",V$3,$A676))</f>
        <v/>
      </c>
      <c r="W676" s="13" t="str">
        <f>IF($A676="","",[1]!thsiFinD("ths_adjustment_nv_fund",W$3,$A676))</f>
        <v/>
      </c>
      <c r="X676" s="13" t="str">
        <f>IF($A676="","",[1]!thsiFinD("ths_adjustment_nv_fund",X$3,$A676))</f>
        <v/>
      </c>
      <c r="Y676" s="13" t="str">
        <f>IF($A676="","",[1]!thsiFinD("ths_adjustment_nv_fund",Y$3,$A676))</f>
        <v/>
      </c>
      <c r="Z676" s="13" t="str">
        <f>IF($A676="","",[1]!thsiFinD("ths_adjustment_nv_fund",Z$3,$A676))</f>
        <v/>
      </c>
      <c r="AA676" s="13" t="str">
        <f>IF($A676="","",[1]!thsiFinD("ths_adjustment_nv_fund",AA$3,$A676))</f>
        <v/>
      </c>
      <c r="AB676" s="13">
        <f>IF($A676="","",[1]!thsiFinD("ths_adjustment_nv_fund",AB$3,$A676))</f>
        <v/>
      </c>
      <c r="AC676" s="13">
        <f>IF($A676="","",[1]!thsiFinD("ths_adjustment_nv_fund",AC$3,$A676))</f>
        <v/>
      </c>
      <c r="AD676" s="13">
        <f>IF($A676="","",[1]!thsiFinD("ths_adjustment_nv_fund",AD$3,$A676))</f>
        <v/>
      </c>
      <c r="AE676" s="13">
        <f>IF($A676="","",[1]!thsiFinD("ths_adjustment_nv_fund",AE$3,$A676))</f>
        <v/>
      </c>
      <c r="AF676" s="13">
        <f>IF($A676="","",[1]!thsiFinD("ths_adjustment_nv_fund",AF$3,$A676))</f>
        <v/>
      </c>
      <c r="AG676" s="13">
        <f>IF($A676="","",[1]!thsiFinD("ths_adjustment_nv_fund",AG$3,$A676))</f>
        <v/>
      </c>
      <c r="AH676" s="13">
        <f>IF($A676="","",[1]!thsiFinD("ths_adjustment_nv_fund",AH$3,$A676))</f>
        <v/>
      </c>
      <c r="AI676" s="13">
        <f>IF($A676="","",[1]!thsiFinD("ths_adjustment_nv_fund",AI$3,$A676))</f>
        <v/>
      </c>
      <c r="AJ676" s="13">
        <f>IF($A676="","",[1]!thsiFinD("ths_adjustment_nv_fund",AJ$3,$A676))</f>
        <v/>
      </c>
      <c r="AK676" s="13">
        <f>IF($A676="","",[1]!thsiFinD("ths_adjustment_nv_fund",AK$3,$A676))</f>
        <v/>
      </c>
      <c r="AL676" s="13">
        <f>IF($A676="","",[1]!thsiFinD("ths_adjustment_nv_fund",AL$3,$A676))</f>
        <v/>
      </c>
    </row>
    <row r="677" spans="2:28">
      <c r="B677" s="13" t="str">
        <f>IF($A677="","",[1]!thsiFinD("ths_adjustment_nv_fund",B$3,$A677))</f>
        <v/>
      </c>
      <c r="C677" s="13" t="str">
        <f>IF($A677="","",[1]!thsiFinD("ths_adjustment_nv_fund",C$3,$A677))</f>
        <v/>
      </c>
      <c r="D677" s="13" t="str">
        <f>IF($A677="","",[1]!thsiFinD("ths_adjustment_nv_fund",D$3,$A677))</f>
        <v/>
      </c>
      <c r="E677" s="13" t="str">
        <f>IF($A677="","",[1]!thsiFinD("ths_adjustment_nv_fund",E$3,$A677))</f>
        <v/>
      </c>
      <c r="F677" s="13" t="str">
        <f>IF($A677="","",[1]!thsiFinD("ths_adjustment_nv_fund",F$3,$A677))</f>
        <v/>
      </c>
      <c r="G677" s="13" t="str">
        <f>IF($A677="","",[1]!thsiFinD("ths_adjustment_nv_fund",G$3,$A677))</f>
        <v/>
      </c>
      <c r="H677" s="13" t="str">
        <f>IF($A677="","",[1]!thsiFinD("ths_adjustment_nv_fund",H$3,$A677))</f>
        <v/>
      </c>
      <c r="I677" s="13" t="str">
        <f>IF($A677="","",[1]!thsiFinD("ths_adjustment_nv_fund",I$3,$A677))</f>
        <v/>
      </c>
      <c r="J677" s="13" t="str">
        <f>IF($A677="","",[1]!thsiFinD("ths_adjustment_nv_fund",J$3,$A677))</f>
        <v/>
      </c>
      <c r="K677" s="13" t="str">
        <f>IF($A677="","",[1]!thsiFinD("ths_adjustment_nv_fund",K$3,$A677))</f>
        <v/>
      </c>
      <c r="L677" s="13" t="str">
        <f>IF($A677="","",[1]!thsiFinD("ths_adjustment_nv_fund",L$3,$A677))</f>
        <v/>
      </c>
      <c r="M677" s="13" t="str">
        <f>IF($A677="","",[1]!thsiFinD("ths_adjustment_nv_fund",M$3,$A677))</f>
        <v/>
      </c>
      <c r="N677" s="13" t="str">
        <f>IF($A677="","",[1]!thsiFinD("ths_adjustment_nv_fund",N$3,$A677))</f>
        <v/>
      </c>
      <c r="O677" s="13" t="str">
        <f>IF($A677="","",[1]!thsiFinD("ths_adjustment_nv_fund",O$3,$A677))</f>
        <v/>
      </c>
      <c r="P677" s="13" t="str">
        <f>IF($A677="","",[1]!thsiFinD("ths_adjustment_nv_fund",P$3,$A677))</f>
        <v/>
      </c>
      <c r="Q677" s="13" t="str">
        <f>IF($A677="","",[1]!thsiFinD("ths_adjustment_nv_fund",Q$3,$A677))</f>
        <v/>
      </c>
      <c r="R677" s="13" t="str">
        <f>IF($A677="","",[1]!thsiFinD("ths_adjustment_nv_fund",R$3,$A677))</f>
        <v/>
      </c>
      <c r="S677" s="13" t="str">
        <f>IF($A677="","",[1]!thsiFinD("ths_adjustment_nv_fund",S$3,$A677))</f>
        <v/>
      </c>
      <c r="T677" s="13" t="str">
        <f>IF($A677="","",[1]!thsiFinD("ths_adjustment_nv_fund",T$3,$A677))</f>
        <v/>
      </c>
      <c r="U677" s="13" t="str">
        <f>IF($A677="","",[1]!thsiFinD("ths_adjustment_nv_fund",U$3,$A677))</f>
        <v/>
      </c>
      <c r="V677" s="13" t="str">
        <f>IF($A677="","",[1]!thsiFinD("ths_adjustment_nv_fund",V$3,$A677))</f>
        <v/>
      </c>
      <c r="W677" s="13" t="str">
        <f>IF($A677="","",[1]!thsiFinD("ths_adjustment_nv_fund",W$3,$A677))</f>
        <v/>
      </c>
      <c r="X677" s="13" t="str">
        <f>IF($A677="","",[1]!thsiFinD("ths_adjustment_nv_fund",X$3,$A677))</f>
        <v/>
      </c>
      <c r="Y677" s="13" t="str">
        <f>IF($A677="","",[1]!thsiFinD("ths_adjustment_nv_fund",Y$3,$A677))</f>
        <v/>
      </c>
      <c r="Z677" s="13" t="str">
        <f>IF($A677="","",[1]!thsiFinD("ths_adjustment_nv_fund",Z$3,$A677))</f>
        <v/>
      </c>
      <c r="AA677" s="13" t="str">
        <f>IF($A677="","",[1]!thsiFinD("ths_adjustment_nv_fund",AA$3,$A677))</f>
        <v/>
      </c>
      <c r="AB677" s="13">
        <f>IF($A677="","",[1]!thsiFinD("ths_adjustment_nv_fund",AB$3,$A677))</f>
        <v/>
      </c>
      <c r="AC677" s="13">
        <f>IF($A677="","",[1]!thsiFinD("ths_adjustment_nv_fund",AC$3,$A677))</f>
        <v/>
      </c>
      <c r="AD677" s="13">
        <f>IF($A677="","",[1]!thsiFinD("ths_adjustment_nv_fund",AD$3,$A677))</f>
        <v/>
      </c>
      <c r="AE677" s="13">
        <f>IF($A677="","",[1]!thsiFinD("ths_adjustment_nv_fund",AE$3,$A677))</f>
        <v/>
      </c>
      <c r="AF677" s="13">
        <f>IF($A677="","",[1]!thsiFinD("ths_adjustment_nv_fund",AF$3,$A677))</f>
        <v/>
      </c>
      <c r="AG677" s="13">
        <f>IF($A677="","",[1]!thsiFinD("ths_adjustment_nv_fund",AG$3,$A677))</f>
        <v/>
      </c>
      <c r="AH677" s="13">
        <f>IF($A677="","",[1]!thsiFinD("ths_adjustment_nv_fund",AH$3,$A677))</f>
        <v/>
      </c>
      <c r="AI677" s="13">
        <f>IF($A677="","",[1]!thsiFinD("ths_adjustment_nv_fund",AI$3,$A677))</f>
        <v/>
      </c>
      <c r="AJ677" s="13">
        <f>IF($A677="","",[1]!thsiFinD("ths_adjustment_nv_fund",AJ$3,$A677))</f>
        <v/>
      </c>
      <c r="AK677" s="13">
        <f>IF($A677="","",[1]!thsiFinD("ths_adjustment_nv_fund",AK$3,$A677))</f>
        <v/>
      </c>
      <c r="AL677" s="13">
        <f>IF($A677="","",[1]!thsiFinD("ths_adjustment_nv_fund",AL$3,$A677))</f>
        <v/>
      </c>
    </row>
    <row r="678" spans="2:28">
      <c r="B678" s="13" t="str">
        <f>IF($A678="","",[1]!thsiFinD("ths_adjustment_nv_fund",B$3,$A678))</f>
        <v/>
      </c>
      <c r="C678" s="13" t="str">
        <f>IF($A678="","",[1]!thsiFinD("ths_adjustment_nv_fund",C$3,$A678))</f>
        <v/>
      </c>
      <c r="D678" s="13" t="str">
        <f>IF($A678="","",[1]!thsiFinD("ths_adjustment_nv_fund",D$3,$A678))</f>
        <v/>
      </c>
      <c r="E678" s="13" t="str">
        <f>IF($A678="","",[1]!thsiFinD("ths_adjustment_nv_fund",E$3,$A678))</f>
        <v/>
      </c>
      <c r="F678" s="13" t="str">
        <f>IF($A678="","",[1]!thsiFinD("ths_adjustment_nv_fund",F$3,$A678))</f>
        <v/>
      </c>
      <c r="G678" s="13" t="str">
        <f>IF($A678="","",[1]!thsiFinD("ths_adjustment_nv_fund",G$3,$A678))</f>
        <v/>
      </c>
      <c r="H678" s="13" t="str">
        <f>IF($A678="","",[1]!thsiFinD("ths_adjustment_nv_fund",H$3,$A678))</f>
        <v/>
      </c>
      <c r="I678" s="13" t="str">
        <f>IF($A678="","",[1]!thsiFinD("ths_adjustment_nv_fund",I$3,$A678))</f>
        <v/>
      </c>
      <c r="J678" s="13" t="str">
        <f>IF($A678="","",[1]!thsiFinD("ths_adjustment_nv_fund",J$3,$A678))</f>
        <v/>
      </c>
      <c r="K678" s="13" t="str">
        <f>IF($A678="","",[1]!thsiFinD("ths_adjustment_nv_fund",K$3,$A678))</f>
        <v/>
      </c>
      <c r="L678" s="13" t="str">
        <f>IF($A678="","",[1]!thsiFinD("ths_adjustment_nv_fund",L$3,$A678))</f>
        <v/>
      </c>
      <c r="M678" s="13" t="str">
        <f>IF($A678="","",[1]!thsiFinD("ths_adjustment_nv_fund",M$3,$A678))</f>
        <v/>
      </c>
      <c r="N678" s="13" t="str">
        <f>IF($A678="","",[1]!thsiFinD("ths_adjustment_nv_fund",N$3,$A678))</f>
        <v/>
      </c>
      <c r="O678" s="13" t="str">
        <f>IF($A678="","",[1]!thsiFinD("ths_adjustment_nv_fund",O$3,$A678))</f>
        <v/>
      </c>
      <c r="P678" s="13" t="str">
        <f>IF($A678="","",[1]!thsiFinD("ths_adjustment_nv_fund",P$3,$A678))</f>
        <v/>
      </c>
      <c r="Q678" s="13" t="str">
        <f>IF($A678="","",[1]!thsiFinD("ths_adjustment_nv_fund",Q$3,$A678))</f>
        <v/>
      </c>
      <c r="R678" s="13" t="str">
        <f>IF($A678="","",[1]!thsiFinD("ths_adjustment_nv_fund",R$3,$A678))</f>
        <v/>
      </c>
      <c r="S678" s="13" t="str">
        <f>IF($A678="","",[1]!thsiFinD("ths_adjustment_nv_fund",S$3,$A678))</f>
        <v/>
      </c>
      <c r="T678" s="13" t="str">
        <f>IF($A678="","",[1]!thsiFinD("ths_adjustment_nv_fund",T$3,$A678))</f>
        <v/>
      </c>
      <c r="U678" s="13" t="str">
        <f>IF($A678="","",[1]!thsiFinD("ths_adjustment_nv_fund",U$3,$A678))</f>
        <v/>
      </c>
      <c r="V678" s="13" t="str">
        <f>IF($A678="","",[1]!thsiFinD("ths_adjustment_nv_fund",V$3,$A678))</f>
        <v/>
      </c>
      <c r="W678" s="13" t="str">
        <f>IF($A678="","",[1]!thsiFinD("ths_adjustment_nv_fund",W$3,$A678))</f>
        <v/>
      </c>
      <c r="X678" s="13" t="str">
        <f>IF($A678="","",[1]!thsiFinD("ths_adjustment_nv_fund",X$3,$A678))</f>
        <v/>
      </c>
      <c r="Y678" s="13" t="str">
        <f>IF($A678="","",[1]!thsiFinD("ths_adjustment_nv_fund",Y$3,$A678))</f>
        <v/>
      </c>
      <c r="Z678" s="13" t="str">
        <f>IF($A678="","",[1]!thsiFinD("ths_adjustment_nv_fund",Z$3,$A678))</f>
        <v/>
      </c>
      <c r="AA678" s="13" t="str">
        <f>IF($A678="","",[1]!thsiFinD("ths_adjustment_nv_fund",AA$3,$A678))</f>
        <v/>
      </c>
      <c r="AB678" s="13">
        <f>IF($A678="","",[1]!thsiFinD("ths_adjustment_nv_fund",AB$3,$A678))</f>
        <v/>
      </c>
      <c r="AC678" s="13">
        <f>IF($A678="","",[1]!thsiFinD("ths_adjustment_nv_fund",AC$3,$A678))</f>
        <v/>
      </c>
      <c r="AD678" s="13">
        <f>IF($A678="","",[1]!thsiFinD("ths_adjustment_nv_fund",AD$3,$A678))</f>
        <v/>
      </c>
      <c r="AE678" s="13">
        <f>IF($A678="","",[1]!thsiFinD("ths_adjustment_nv_fund",AE$3,$A678))</f>
        <v/>
      </c>
      <c r="AF678" s="13">
        <f>IF($A678="","",[1]!thsiFinD("ths_adjustment_nv_fund",AF$3,$A678))</f>
        <v/>
      </c>
      <c r="AG678" s="13">
        <f>IF($A678="","",[1]!thsiFinD("ths_adjustment_nv_fund",AG$3,$A678))</f>
        <v/>
      </c>
      <c r="AH678" s="13">
        <f>IF($A678="","",[1]!thsiFinD("ths_adjustment_nv_fund",AH$3,$A678))</f>
        <v/>
      </c>
      <c r="AI678" s="13">
        <f>IF($A678="","",[1]!thsiFinD("ths_adjustment_nv_fund",AI$3,$A678))</f>
        <v/>
      </c>
      <c r="AJ678" s="13">
        <f>IF($A678="","",[1]!thsiFinD("ths_adjustment_nv_fund",AJ$3,$A678))</f>
        <v/>
      </c>
      <c r="AK678" s="13">
        <f>IF($A678="","",[1]!thsiFinD("ths_adjustment_nv_fund",AK$3,$A678))</f>
        <v/>
      </c>
      <c r="AL678" s="13">
        <f>IF($A678="","",[1]!thsiFinD("ths_adjustment_nv_fund",AL$3,$A678))</f>
        <v/>
      </c>
    </row>
    <row r="679" spans="2:28">
      <c r="B679" s="13" t="str">
        <f>IF($A679="","",[1]!thsiFinD("ths_adjustment_nv_fund",B$3,$A679))</f>
        <v/>
      </c>
      <c r="C679" s="13" t="str">
        <f>IF($A679="","",[1]!thsiFinD("ths_adjustment_nv_fund",C$3,$A679))</f>
        <v/>
      </c>
      <c r="D679" s="13" t="str">
        <f>IF($A679="","",[1]!thsiFinD("ths_adjustment_nv_fund",D$3,$A679))</f>
        <v/>
      </c>
      <c r="E679" s="13" t="str">
        <f>IF($A679="","",[1]!thsiFinD("ths_adjustment_nv_fund",E$3,$A679))</f>
        <v/>
      </c>
      <c r="F679" s="13" t="str">
        <f>IF($A679="","",[1]!thsiFinD("ths_adjustment_nv_fund",F$3,$A679))</f>
        <v/>
      </c>
      <c r="G679" s="13" t="str">
        <f>IF($A679="","",[1]!thsiFinD("ths_adjustment_nv_fund",G$3,$A679))</f>
        <v/>
      </c>
      <c r="H679" s="13" t="str">
        <f>IF($A679="","",[1]!thsiFinD("ths_adjustment_nv_fund",H$3,$A679))</f>
        <v/>
      </c>
      <c r="I679" s="13" t="str">
        <f>IF($A679="","",[1]!thsiFinD("ths_adjustment_nv_fund",I$3,$A679))</f>
        <v/>
      </c>
      <c r="J679" s="13" t="str">
        <f>IF($A679="","",[1]!thsiFinD("ths_adjustment_nv_fund",J$3,$A679))</f>
        <v/>
      </c>
      <c r="K679" s="13" t="str">
        <f>IF($A679="","",[1]!thsiFinD("ths_adjustment_nv_fund",K$3,$A679))</f>
        <v/>
      </c>
      <c r="L679" s="13" t="str">
        <f>IF($A679="","",[1]!thsiFinD("ths_adjustment_nv_fund",L$3,$A679))</f>
        <v/>
      </c>
      <c r="M679" s="13" t="str">
        <f>IF($A679="","",[1]!thsiFinD("ths_adjustment_nv_fund",M$3,$A679))</f>
        <v/>
      </c>
      <c r="N679" s="13" t="str">
        <f>IF($A679="","",[1]!thsiFinD("ths_adjustment_nv_fund",N$3,$A679))</f>
        <v/>
      </c>
      <c r="O679" s="13" t="str">
        <f>IF($A679="","",[1]!thsiFinD("ths_adjustment_nv_fund",O$3,$A679))</f>
        <v/>
      </c>
      <c r="P679" s="13" t="str">
        <f>IF($A679="","",[1]!thsiFinD("ths_adjustment_nv_fund",P$3,$A679))</f>
        <v/>
      </c>
      <c r="Q679" s="13" t="str">
        <f>IF($A679="","",[1]!thsiFinD("ths_adjustment_nv_fund",Q$3,$A679))</f>
        <v/>
      </c>
      <c r="R679" s="13" t="str">
        <f>IF($A679="","",[1]!thsiFinD("ths_adjustment_nv_fund",R$3,$A679))</f>
        <v/>
      </c>
      <c r="S679" s="13" t="str">
        <f>IF($A679="","",[1]!thsiFinD("ths_adjustment_nv_fund",S$3,$A679))</f>
        <v/>
      </c>
      <c r="T679" s="13" t="str">
        <f>IF($A679="","",[1]!thsiFinD("ths_adjustment_nv_fund",T$3,$A679))</f>
        <v/>
      </c>
      <c r="U679" s="13" t="str">
        <f>IF($A679="","",[1]!thsiFinD("ths_adjustment_nv_fund",U$3,$A679))</f>
        <v/>
      </c>
      <c r="V679" s="13" t="str">
        <f>IF($A679="","",[1]!thsiFinD("ths_adjustment_nv_fund",V$3,$A679))</f>
        <v/>
      </c>
      <c r="W679" s="13" t="str">
        <f>IF($A679="","",[1]!thsiFinD("ths_adjustment_nv_fund",W$3,$A679))</f>
        <v/>
      </c>
      <c r="X679" s="13" t="str">
        <f>IF($A679="","",[1]!thsiFinD("ths_adjustment_nv_fund",X$3,$A679))</f>
        <v/>
      </c>
      <c r="Y679" s="13" t="str">
        <f>IF($A679="","",[1]!thsiFinD("ths_adjustment_nv_fund",Y$3,$A679))</f>
        <v/>
      </c>
      <c r="Z679" s="13" t="str">
        <f>IF($A679="","",[1]!thsiFinD("ths_adjustment_nv_fund",Z$3,$A679))</f>
        <v/>
      </c>
      <c r="AA679" s="13" t="str">
        <f>IF($A679="","",[1]!thsiFinD("ths_adjustment_nv_fund",AA$3,$A679))</f>
        <v/>
      </c>
      <c r="AB679" s="13">
        <f>IF($A679="","",[1]!thsiFinD("ths_adjustment_nv_fund",AB$3,$A679))</f>
        <v/>
      </c>
      <c r="AC679" s="13">
        <f>IF($A679="","",[1]!thsiFinD("ths_adjustment_nv_fund",AC$3,$A679))</f>
        <v/>
      </c>
      <c r="AD679" s="13">
        <f>IF($A679="","",[1]!thsiFinD("ths_adjustment_nv_fund",AD$3,$A679))</f>
        <v/>
      </c>
      <c r="AE679" s="13">
        <f>IF($A679="","",[1]!thsiFinD("ths_adjustment_nv_fund",AE$3,$A679))</f>
        <v/>
      </c>
      <c r="AF679" s="13">
        <f>IF($A679="","",[1]!thsiFinD("ths_adjustment_nv_fund",AF$3,$A679))</f>
        <v/>
      </c>
      <c r="AG679" s="13">
        <f>IF($A679="","",[1]!thsiFinD("ths_adjustment_nv_fund",AG$3,$A679))</f>
        <v/>
      </c>
      <c r="AH679" s="13">
        <f>IF($A679="","",[1]!thsiFinD("ths_adjustment_nv_fund",AH$3,$A679))</f>
        <v/>
      </c>
      <c r="AI679" s="13">
        <f>IF($A679="","",[1]!thsiFinD("ths_adjustment_nv_fund",AI$3,$A679))</f>
        <v/>
      </c>
      <c r="AJ679" s="13">
        <f>IF($A679="","",[1]!thsiFinD("ths_adjustment_nv_fund",AJ$3,$A679))</f>
        <v/>
      </c>
      <c r="AK679" s="13">
        <f>IF($A679="","",[1]!thsiFinD("ths_adjustment_nv_fund",AK$3,$A679))</f>
        <v/>
      </c>
      <c r="AL679" s="13">
        <f>IF($A679="","",[1]!thsiFinD("ths_adjustment_nv_fund",AL$3,$A679))</f>
        <v/>
      </c>
    </row>
    <row r="680" spans="2:28">
      <c r="B680" s="13" t="str">
        <f>IF($A680="","",[1]!thsiFinD("ths_adjustment_nv_fund",B$3,$A680))</f>
        <v/>
      </c>
      <c r="C680" s="13" t="str">
        <f>IF($A680="","",[1]!thsiFinD("ths_adjustment_nv_fund",C$3,$A680))</f>
        <v/>
      </c>
      <c r="D680" s="13" t="str">
        <f>IF($A680="","",[1]!thsiFinD("ths_adjustment_nv_fund",D$3,$A680))</f>
        <v/>
      </c>
      <c r="E680" s="13" t="str">
        <f>IF($A680="","",[1]!thsiFinD("ths_adjustment_nv_fund",E$3,$A680))</f>
        <v/>
      </c>
      <c r="F680" s="13" t="str">
        <f>IF($A680="","",[1]!thsiFinD("ths_adjustment_nv_fund",F$3,$A680))</f>
        <v/>
      </c>
      <c r="G680" s="13" t="str">
        <f>IF($A680="","",[1]!thsiFinD("ths_adjustment_nv_fund",G$3,$A680))</f>
        <v/>
      </c>
      <c r="H680" s="13" t="str">
        <f>IF($A680="","",[1]!thsiFinD("ths_adjustment_nv_fund",H$3,$A680))</f>
        <v/>
      </c>
      <c r="I680" s="13" t="str">
        <f>IF($A680="","",[1]!thsiFinD("ths_adjustment_nv_fund",I$3,$A680))</f>
        <v/>
      </c>
      <c r="J680" s="13" t="str">
        <f>IF($A680="","",[1]!thsiFinD("ths_adjustment_nv_fund",J$3,$A680))</f>
        <v/>
      </c>
      <c r="K680" s="13" t="str">
        <f>IF($A680="","",[1]!thsiFinD("ths_adjustment_nv_fund",K$3,$A680))</f>
        <v/>
      </c>
      <c r="L680" s="13" t="str">
        <f>IF($A680="","",[1]!thsiFinD("ths_adjustment_nv_fund",L$3,$A680))</f>
        <v/>
      </c>
      <c r="M680" s="13" t="str">
        <f>IF($A680="","",[1]!thsiFinD("ths_adjustment_nv_fund",M$3,$A680))</f>
        <v/>
      </c>
      <c r="N680" s="13" t="str">
        <f>IF($A680="","",[1]!thsiFinD("ths_adjustment_nv_fund",N$3,$A680))</f>
        <v/>
      </c>
      <c r="O680" s="13" t="str">
        <f>IF($A680="","",[1]!thsiFinD("ths_adjustment_nv_fund",O$3,$A680))</f>
        <v/>
      </c>
      <c r="P680" s="13" t="str">
        <f>IF($A680="","",[1]!thsiFinD("ths_adjustment_nv_fund",P$3,$A680))</f>
        <v/>
      </c>
      <c r="Q680" s="13" t="str">
        <f>IF($A680="","",[1]!thsiFinD("ths_adjustment_nv_fund",Q$3,$A680))</f>
        <v/>
      </c>
      <c r="R680" s="13" t="str">
        <f>IF($A680="","",[1]!thsiFinD("ths_adjustment_nv_fund",R$3,$A680))</f>
        <v/>
      </c>
      <c r="S680" s="13" t="str">
        <f>IF($A680="","",[1]!thsiFinD("ths_adjustment_nv_fund",S$3,$A680))</f>
        <v/>
      </c>
      <c r="T680" s="13" t="str">
        <f>IF($A680="","",[1]!thsiFinD("ths_adjustment_nv_fund",T$3,$A680))</f>
        <v/>
      </c>
      <c r="U680" s="13" t="str">
        <f>IF($A680="","",[1]!thsiFinD("ths_adjustment_nv_fund",U$3,$A680))</f>
        <v/>
      </c>
      <c r="V680" s="13" t="str">
        <f>IF($A680="","",[1]!thsiFinD("ths_adjustment_nv_fund",V$3,$A680))</f>
        <v/>
      </c>
      <c r="W680" s="13" t="str">
        <f>IF($A680="","",[1]!thsiFinD("ths_adjustment_nv_fund",W$3,$A680))</f>
        <v/>
      </c>
      <c r="X680" s="13" t="str">
        <f>IF($A680="","",[1]!thsiFinD("ths_adjustment_nv_fund",X$3,$A680))</f>
        <v/>
      </c>
      <c r="Y680" s="13" t="str">
        <f>IF($A680="","",[1]!thsiFinD("ths_adjustment_nv_fund",Y$3,$A680))</f>
        <v/>
      </c>
      <c r="Z680" s="13" t="str">
        <f>IF($A680="","",[1]!thsiFinD("ths_adjustment_nv_fund",Z$3,$A680))</f>
        <v/>
      </c>
      <c r="AA680" s="13" t="str">
        <f>IF($A680="","",[1]!thsiFinD("ths_adjustment_nv_fund",AA$3,$A680))</f>
        <v/>
      </c>
      <c r="AB680" s="13">
        <f>IF($A680="","",[1]!thsiFinD("ths_adjustment_nv_fund",AB$3,$A680))</f>
        <v/>
      </c>
      <c r="AC680" s="13">
        <f>IF($A680="","",[1]!thsiFinD("ths_adjustment_nv_fund",AC$3,$A680))</f>
        <v/>
      </c>
      <c r="AD680" s="13">
        <f>IF($A680="","",[1]!thsiFinD("ths_adjustment_nv_fund",AD$3,$A680))</f>
        <v/>
      </c>
      <c r="AE680" s="13">
        <f>IF($A680="","",[1]!thsiFinD("ths_adjustment_nv_fund",AE$3,$A680))</f>
        <v/>
      </c>
      <c r="AF680" s="13">
        <f>IF($A680="","",[1]!thsiFinD("ths_adjustment_nv_fund",AF$3,$A680))</f>
        <v/>
      </c>
      <c r="AG680" s="13">
        <f>IF($A680="","",[1]!thsiFinD("ths_adjustment_nv_fund",AG$3,$A680))</f>
        <v/>
      </c>
      <c r="AH680" s="13">
        <f>IF($A680="","",[1]!thsiFinD("ths_adjustment_nv_fund",AH$3,$A680))</f>
        <v/>
      </c>
      <c r="AI680" s="13">
        <f>IF($A680="","",[1]!thsiFinD("ths_adjustment_nv_fund",AI$3,$A680))</f>
        <v/>
      </c>
      <c r="AJ680" s="13">
        <f>IF($A680="","",[1]!thsiFinD("ths_adjustment_nv_fund",AJ$3,$A680))</f>
        <v/>
      </c>
      <c r="AK680" s="13">
        <f>IF($A680="","",[1]!thsiFinD("ths_adjustment_nv_fund",AK$3,$A680))</f>
        <v/>
      </c>
      <c r="AL680" s="13">
        <f>IF($A680="","",[1]!thsiFinD("ths_adjustment_nv_fund",AL$3,$A680))</f>
        <v/>
      </c>
    </row>
    <row r="681" spans="2:28">
      <c r="B681" s="13" t="str">
        <f>IF($A681="","",[1]!thsiFinD("ths_adjustment_nv_fund",B$3,$A681))</f>
        <v/>
      </c>
      <c r="C681" s="13" t="str">
        <f>IF($A681="","",[1]!thsiFinD("ths_adjustment_nv_fund",C$3,$A681))</f>
        <v/>
      </c>
      <c r="D681" s="13" t="str">
        <f>IF($A681="","",[1]!thsiFinD("ths_adjustment_nv_fund",D$3,$A681))</f>
        <v/>
      </c>
      <c r="E681" s="13" t="str">
        <f>IF($A681="","",[1]!thsiFinD("ths_adjustment_nv_fund",E$3,$A681))</f>
        <v/>
      </c>
      <c r="F681" s="13" t="str">
        <f>IF($A681="","",[1]!thsiFinD("ths_adjustment_nv_fund",F$3,$A681))</f>
        <v/>
      </c>
      <c r="G681" s="13" t="str">
        <f>IF($A681="","",[1]!thsiFinD("ths_adjustment_nv_fund",G$3,$A681))</f>
        <v/>
      </c>
      <c r="H681" s="13" t="str">
        <f>IF($A681="","",[1]!thsiFinD("ths_adjustment_nv_fund",H$3,$A681))</f>
        <v/>
      </c>
      <c r="I681" s="13" t="str">
        <f>IF($A681="","",[1]!thsiFinD("ths_adjustment_nv_fund",I$3,$A681))</f>
        <v/>
      </c>
      <c r="J681" s="13" t="str">
        <f>IF($A681="","",[1]!thsiFinD("ths_adjustment_nv_fund",J$3,$A681))</f>
        <v/>
      </c>
      <c r="K681" s="13" t="str">
        <f>IF($A681="","",[1]!thsiFinD("ths_adjustment_nv_fund",K$3,$A681))</f>
        <v/>
      </c>
      <c r="L681" s="13" t="str">
        <f>IF($A681="","",[1]!thsiFinD("ths_adjustment_nv_fund",L$3,$A681))</f>
        <v/>
      </c>
      <c r="M681" s="13" t="str">
        <f>IF($A681="","",[1]!thsiFinD("ths_adjustment_nv_fund",M$3,$A681))</f>
        <v/>
      </c>
      <c r="N681" s="13" t="str">
        <f>IF($A681="","",[1]!thsiFinD("ths_adjustment_nv_fund",N$3,$A681))</f>
        <v/>
      </c>
      <c r="O681" s="13" t="str">
        <f>IF($A681="","",[1]!thsiFinD("ths_adjustment_nv_fund",O$3,$A681))</f>
        <v/>
      </c>
      <c r="P681" s="13" t="str">
        <f>IF($A681="","",[1]!thsiFinD("ths_adjustment_nv_fund",P$3,$A681))</f>
        <v/>
      </c>
      <c r="Q681" s="13" t="str">
        <f>IF($A681="","",[1]!thsiFinD("ths_adjustment_nv_fund",Q$3,$A681))</f>
        <v/>
      </c>
      <c r="R681" s="13" t="str">
        <f>IF($A681="","",[1]!thsiFinD("ths_adjustment_nv_fund",R$3,$A681))</f>
        <v/>
      </c>
      <c r="S681" s="13" t="str">
        <f>IF($A681="","",[1]!thsiFinD("ths_adjustment_nv_fund",S$3,$A681))</f>
        <v/>
      </c>
      <c r="T681" s="13" t="str">
        <f>IF($A681="","",[1]!thsiFinD("ths_adjustment_nv_fund",T$3,$A681))</f>
        <v/>
      </c>
      <c r="U681" s="13" t="str">
        <f>IF($A681="","",[1]!thsiFinD("ths_adjustment_nv_fund",U$3,$A681))</f>
        <v/>
      </c>
      <c r="V681" s="13" t="str">
        <f>IF($A681="","",[1]!thsiFinD("ths_adjustment_nv_fund",V$3,$A681))</f>
        <v/>
      </c>
      <c r="W681" s="13" t="str">
        <f>IF($A681="","",[1]!thsiFinD("ths_adjustment_nv_fund",W$3,$A681))</f>
        <v/>
      </c>
      <c r="X681" s="13" t="str">
        <f>IF($A681="","",[1]!thsiFinD("ths_adjustment_nv_fund",X$3,$A681))</f>
        <v/>
      </c>
      <c r="Y681" s="13" t="str">
        <f>IF($A681="","",[1]!thsiFinD("ths_adjustment_nv_fund",Y$3,$A681))</f>
        <v/>
      </c>
      <c r="Z681" s="13" t="str">
        <f>IF($A681="","",[1]!thsiFinD("ths_adjustment_nv_fund",Z$3,$A681))</f>
        <v/>
      </c>
      <c r="AA681" s="13" t="str">
        <f>IF($A681="","",[1]!thsiFinD("ths_adjustment_nv_fund",AA$3,$A681))</f>
        <v/>
      </c>
      <c r="AB681" s="13">
        <f>IF($A681="","",[1]!thsiFinD("ths_adjustment_nv_fund",AB$3,$A681))</f>
        <v/>
      </c>
      <c r="AC681" s="13">
        <f>IF($A681="","",[1]!thsiFinD("ths_adjustment_nv_fund",AC$3,$A681))</f>
        <v/>
      </c>
      <c r="AD681" s="13">
        <f>IF($A681="","",[1]!thsiFinD("ths_adjustment_nv_fund",AD$3,$A681))</f>
        <v/>
      </c>
      <c r="AE681" s="13">
        <f>IF($A681="","",[1]!thsiFinD("ths_adjustment_nv_fund",AE$3,$A681))</f>
        <v/>
      </c>
      <c r="AF681" s="13">
        <f>IF($A681="","",[1]!thsiFinD("ths_adjustment_nv_fund",AF$3,$A681))</f>
        <v/>
      </c>
      <c r="AG681" s="13">
        <f>IF($A681="","",[1]!thsiFinD("ths_adjustment_nv_fund",AG$3,$A681))</f>
        <v/>
      </c>
      <c r="AH681" s="13">
        <f>IF($A681="","",[1]!thsiFinD("ths_adjustment_nv_fund",AH$3,$A681))</f>
        <v/>
      </c>
      <c r="AI681" s="13">
        <f>IF($A681="","",[1]!thsiFinD("ths_adjustment_nv_fund",AI$3,$A681))</f>
        <v/>
      </c>
      <c r="AJ681" s="13">
        <f>IF($A681="","",[1]!thsiFinD("ths_adjustment_nv_fund",AJ$3,$A681))</f>
        <v/>
      </c>
      <c r="AK681" s="13">
        <f>IF($A681="","",[1]!thsiFinD("ths_adjustment_nv_fund",AK$3,$A681))</f>
        <v/>
      </c>
      <c r="AL681" s="13">
        <f>IF($A681="","",[1]!thsiFinD("ths_adjustment_nv_fund",AL$3,$A681))</f>
        <v/>
      </c>
    </row>
    <row r="682" spans="2:28">
      <c r="B682" s="13" t="str">
        <f>IF($A682="","",[1]!thsiFinD("ths_adjustment_nv_fund",B$3,$A682))</f>
        <v/>
      </c>
      <c r="C682" s="13" t="str">
        <f>IF($A682="","",[1]!thsiFinD("ths_adjustment_nv_fund",C$3,$A682))</f>
        <v/>
      </c>
      <c r="D682" s="13" t="str">
        <f>IF($A682="","",[1]!thsiFinD("ths_adjustment_nv_fund",D$3,$A682))</f>
        <v/>
      </c>
      <c r="E682" s="13" t="str">
        <f>IF($A682="","",[1]!thsiFinD("ths_adjustment_nv_fund",E$3,$A682))</f>
        <v/>
      </c>
      <c r="F682" s="13" t="str">
        <f>IF($A682="","",[1]!thsiFinD("ths_adjustment_nv_fund",F$3,$A682))</f>
        <v/>
      </c>
      <c r="G682" s="13" t="str">
        <f>IF($A682="","",[1]!thsiFinD("ths_adjustment_nv_fund",G$3,$A682))</f>
        <v/>
      </c>
      <c r="H682" s="13" t="str">
        <f>IF($A682="","",[1]!thsiFinD("ths_adjustment_nv_fund",H$3,$A682))</f>
        <v/>
      </c>
      <c r="I682" s="13" t="str">
        <f>IF($A682="","",[1]!thsiFinD("ths_adjustment_nv_fund",I$3,$A682))</f>
        <v/>
      </c>
      <c r="J682" s="13" t="str">
        <f>IF($A682="","",[1]!thsiFinD("ths_adjustment_nv_fund",J$3,$A682))</f>
        <v/>
      </c>
      <c r="K682" s="13" t="str">
        <f>IF($A682="","",[1]!thsiFinD("ths_adjustment_nv_fund",K$3,$A682))</f>
        <v/>
      </c>
      <c r="L682" s="13" t="str">
        <f>IF($A682="","",[1]!thsiFinD("ths_adjustment_nv_fund",L$3,$A682))</f>
        <v/>
      </c>
      <c r="M682" s="13" t="str">
        <f>IF($A682="","",[1]!thsiFinD("ths_adjustment_nv_fund",M$3,$A682))</f>
        <v/>
      </c>
      <c r="N682" s="13" t="str">
        <f>IF($A682="","",[1]!thsiFinD("ths_adjustment_nv_fund",N$3,$A682))</f>
        <v/>
      </c>
      <c r="O682" s="13" t="str">
        <f>IF($A682="","",[1]!thsiFinD("ths_adjustment_nv_fund",O$3,$A682))</f>
        <v/>
      </c>
      <c r="P682" s="13" t="str">
        <f>IF($A682="","",[1]!thsiFinD("ths_adjustment_nv_fund",P$3,$A682))</f>
        <v/>
      </c>
      <c r="Q682" s="13" t="str">
        <f>IF($A682="","",[1]!thsiFinD("ths_adjustment_nv_fund",Q$3,$A682))</f>
        <v/>
      </c>
      <c r="R682" s="13" t="str">
        <f>IF($A682="","",[1]!thsiFinD("ths_adjustment_nv_fund",R$3,$A682))</f>
        <v/>
      </c>
      <c r="S682" s="13" t="str">
        <f>IF($A682="","",[1]!thsiFinD("ths_adjustment_nv_fund",S$3,$A682))</f>
        <v/>
      </c>
      <c r="T682" s="13" t="str">
        <f>IF($A682="","",[1]!thsiFinD("ths_adjustment_nv_fund",T$3,$A682))</f>
        <v/>
      </c>
      <c r="U682" s="13" t="str">
        <f>IF($A682="","",[1]!thsiFinD("ths_adjustment_nv_fund",U$3,$A682))</f>
        <v/>
      </c>
      <c r="V682" s="13" t="str">
        <f>IF($A682="","",[1]!thsiFinD("ths_adjustment_nv_fund",V$3,$A682))</f>
        <v/>
      </c>
      <c r="W682" s="13" t="str">
        <f>IF($A682="","",[1]!thsiFinD("ths_adjustment_nv_fund",W$3,$A682))</f>
        <v/>
      </c>
      <c r="X682" s="13" t="str">
        <f>IF($A682="","",[1]!thsiFinD("ths_adjustment_nv_fund",X$3,$A682))</f>
        <v/>
      </c>
      <c r="Y682" s="13" t="str">
        <f>IF($A682="","",[1]!thsiFinD("ths_adjustment_nv_fund",Y$3,$A682))</f>
        <v/>
      </c>
      <c r="Z682" s="13" t="str">
        <f>IF($A682="","",[1]!thsiFinD("ths_adjustment_nv_fund",Z$3,$A682))</f>
        <v/>
      </c>
      <c r="AA682" s="13" t="str">
        <f>IF($A682="","",[1]!thsiFinD("ths_adjustment_nv_fund",AA$3,$A682))</f>
        <v/>
      </c>
      <c r="AB682" s="13">
        <f>IF($A682="","",[1]!thsiFinD("ths_adjustment_nv_fund",AB$3,$A682))</f>
        <v/>
      </c>
      <c r="AC682" s="13">
        <f>IF($A682="","",[1]!thsiFinD("ths_adjustment_nv_fund",AC$3,$A682))</f>
        <v/>
      </c>
      <c r="AD682" s="13">
        <f>IF($A682="","",[1]!thsiFinD("ths_adjustment_nv_fund",AD$3,$A682))</f>
        <v/>
      </c>
      <c r="AE682" s="13">
        <f>IF($A682="","",[1]!thsiFinD("ths_adjustment_nv_fund",AE$3,$A682))</f>
        <v/>
      </c>
      <c r="AF682" s="13">
        <f>IF($A682="","",[1]!thsiFinD("ths_adjustment_nv_fund",AF$3,$A682))</f>
        <v/>
      </c>
      <c r="AG682" s="13">
        <f>IF($A682="","",[1]!thsiFinD("ths_adjustment_nv_fund",AG$3,$A682))</f>
        <v/>
      </c>
      <c r="AH682" s="13">
        <f>IF($A682="","",[1]!thsiFinD("ths_adjustment_nv_fund",AH$3,$A682))</f>
        <v/>
      </c>
      <c r="AI682" s="13">
        <f>IF($A682="","",[1]!thsiFinD("ths_adjustment_nv_fund",AI$3,$A682))</f>
        <v/>
      </c>
      <c r="AJ682" s="13">
        <f>IF($A682="","",[1]!thsiFinD("ths_adjustment_nv_fund",AJ$3,$A682))</f>
        <v/>
      </c>
      <c r="AK682" s="13">
        <f>IF($A682="","",[1]!thsiFinD("ths_adjustment_nv_fund",AK$3,$A682))</f>
        <v/>
      </c>
      <c r="AL682" s="13">
        <f>IF($A682="","",[1]!thsiFinD("ths_adjustment_nv_fund",AL$3,$A682))</f>
        <v/>
      </c>
    </row>
    <row r="683" spans="2:28">
      <c r="B683" s="13" t="str">
        <f>IF($A683="","",[1]!thsiFinD("ths_adjustment_nv_fund",B$3,$A683))</f>
        <v/>
      </c>
      <c r="C683" s="13" t="str">
        <f>IF($A683="","",[1]!thsiFinD("ths_adjustment_nv_fund",C$3,$A683))</f>
        <v/>
      </c>
      <c r="D683" s="13" t="str">
        <f>IF($A683="","",[1]!thsiFinD("ths_adjustment_nv_fund",D$3,$A683))</f>
        <v/>
      </c>
      <c r="E683" s="13" t="str">
        <f>IF($A683="","",[1]!thsiFinD("ths_adjustment_nv_fund",E$3,$A683))</f>
        <v/>
      </c>
      <c r="F683" s="13" t="str">
        <f>IF($A683="","",[1]!thsiFinD("ths_adjustment_nv_fund",F$3,$A683))</f>
        <v/>
      </c>
      <c r="G683" s="13" t="str">
        <f>IF($A683="","",[1]!thsiFinD("ths_adjustment_nv_fund",G$3,$A683))</f>
        <v/>
      </c>
      <c r="H683" s="13" t="str">
        <f>IF($A683="","",[1]!thsiFinD("ths_adjustment_nv_fund",H$3,$A683))</f>
        <v/>
      </c>
      <c r="I683" s="13" t="str">
        <f>IF($A683="","",[1]!thsiFinD("ths_adjustment_nv_fund",I$3,$A683))</f>
        <v/>
      </c>
      <c r="J683" s="13" t="str">
        <f>IF($A683="","",[1]!thsiFinD("ths_adjustment_nv_fund",J$3,$A683))</f>
        <v/>
      </c>
      <c r="K683" s="13" t="str">
        <f>IF($A683="","",[1]!thsiFinD("ths_adjustment_nv_fund",K$3,$A683))</f>
        <v/>
      </c>
      <c r="L683" s="13" t="str">
        <f>IF($A683="","",[1]!thsiFinD("ths_adjustment_nv_fund",L$3,$A683))</f>
        <v/>
      </c>
      <c r="M683" s="13" t="str">
        <f>IF($A683="","",[1]!thsiFinD("ths_adjustment_nv_fund",M$3,$A683))</f>
        <v/>
      </c>
      <c r="N683" s="13" t="str">
        <f>IF($A683="","",[1]!thsiFinD("ths_adjustment_nv_fund",N$3,$A683))</f>
        <v/>
      </c>
      <c r="O683" s="13" t="str">
        <f>IF($A683="","",[1]!thsiFinD("ths_adjustment_nv_fund",O$3,$A683))</f>
        <v/>
      </c>
      <c r="P683" s="13" t="str">
        <f>IF($A683="","",[1]!thsiFinD("ths_adjustment_nv_fund",P$3,$A683))</f>
        <v/>
      </c>
      <c r="Q683" s="13" t="str">
        <f>IF($A683="","",[1]!thsiFinD("ths_adjustment_nv_fund",Q$3,$A683))</f>
        <v/>
      </c>
      <c r="R683" s="13" t="str">
        <f>IF($A683="","",[1]!thsiFinD("ths_adjustment_nv_fund",R$3,$A683))</f>
        <v/>
      </c>
      <c r="S683" s="13" t="str">
        <f>IF($A683="","",[1]!thsiFinD("ths_adjustment_nv_fund",S$3,$A683))</f>
        <v/>
      </c>
      <c r="T683" s="13" t="str">
        <f>IF($A683="","",[1]!thsiFinD("ths_adjustment_nv_fund",T$3,$A683))</f>
        <v/>
      </c>
      <c r="U683" s="13" t="str">
        <f>IF($A683="","",[1]!thsiFinD("ths_adjustment_nv_fund",U$3,$A683))</f>
        <v/>
      </c>
      <c r="V683" s="13" t="str">
        <f>IF($A683="","",[1]!thsiFinD("ths_adjustment_nv_fund",V$3,$A683))</f>
        <v/>
      </c>
      <c r="W683" s="13" t="str">
        <f>IF($A683="","",[1]!thsiFinD("ths_adjustment_nv_fund",W$3,$A683))</f>
        <v/>
      </c>
      <c r="X683" s="13" t="str">
        <f>IF($A683="","",[1]!thsiFinD("ths_adjustment_nv_fund",X$3,$A683))</f>
        <v/>
      </c>
      <c r="Y683" s="13" t="str">
        <f>IF($A683="","",[1]!thsiFinD("ths_adjustment_nv_fund",Y$3,$A683))</f>
        <v/>
      </c>
      <c r="Z683" s="13" t="str">
        <f>IF($A683="","",[1]!thsiFinD("ths_adjustment_nv_fund",Z$3,$A683))</f>
        <v/>
      </c>
      <c r="AA683" s="13" t="str">
        <f>IF($A683="","",[1]!thsiFinD("ths_adjustment_nv_fund",AA$3,$A683))</f>
        <v/>
      </c>
      <c r="AB683" s="13">
        <f>IF($A683="","",[1]!thsiFinD("ths_adjustment_nv_fund",AB$3,$A683))</f>
        <v/>
      </c>
      <c r="AC683" s="13">
        <f>IF($A683="","",[1]!thsiFinD("ths_adjustment_nv_fund",AC$3,$A683))</f>
        <v/>
      </c>
      <c r="AD683" s="13">
        <f>IF($A683="","",[1]!thsiFinD("ths_adjustment_nv_fund",AD$3,$A683))</f>
        <v/>
      </c>
      <c r="AE683" s="13">
        <f>IF($A683="","",[1]!thsiFinD("ths_adjustment_nv_fund",AE$3,$A683))</f>
        <v/>
      </c>
      <c r="AF683" s="13">
        <f>IF($A683="","",[1]!thsiFinD("ths_adjustment_nv_fund",AF$3,$A683))</f>
        <v/>
      </c>
      <c r="AG683" s="13">
        <f>IF($A683="","",[1]!thsiFinD("ths_adjustment_nv_fund",AG$3,$A683))</f>
        <v/>
      </c>
      <c r="AH683" s="13">
        <f>IF($A683="","",[1]!thsiFinD("ths_adjustment_nv_fund",AH$3,$A683))</f>
        <v/>
      </c>
      <c r="AI683" s="13">
        <f>IF($A683="","",[1]!thsiFinD("ths_adjustment_nv_fund",AI$3,$A683))</f>
        <v/>
      </c>
      <c r="AJ683" s="13">
        <f>IF($A683="","",[1]!thsiFinD("ths_adjustment_nv_fund",AJ$3,$A683))</f>
        <v/>
      </c>
      <c r="AK683" s="13">
        <f>IF($A683="","",[1]!thsiFinD("ths_adjustment_nv_fund",AK$3,$A683))</f>
        <v/>
      </c>
      <c r="AL683" s="13">
        <f>IF($A683="","",[1]!thsiFinD("ths_adjustment_nv_fund",AL$3,$A683))</f>
        <v/>
      </c>
    </row>
    <row r="684" spans="2:28">
      <c r="B684" s="13" t="str">
        <f>IF($A684="","",[1]!thsiFinD("ths_adjustment_nv_fund",B$3,$A684))</f>
        <v/>
      </c>
      <c r="C684" s="13" t="str">
        <f>IF($A684="","",[1]!thsiFinD("ths_adjustment_nv_fund",C$3,$A684))</f>
        <v/>
      </c>
      <c r="D684" s="13" t="str">
        <f>IF($A684="","",[1]!thsiFinD("ths_adjustment_nv_fund",D$3,$A684))</f>
        <v/>
      </c>
      <c r="E684" s="13" t="str">
        <f>IF($A684="","",[1]!thsiFinD("ths_adjustment_nv_fund",E$3,$A684))</f>
        <v/>
      </c>
      <c r="F684" s="13" t="str">
        <f>IF($A684="","",[1]!thsiFinD("ths_adjustment_nv_fund",F$3,$A684))</f>
        <v/>
      </c>
      <c r="G684" s="13" t="str">
        <f>IF($A684="","",[1]!thsiFinD("ths_adjustment_nv_fund",G$3,$A684))</f>
        <v/>
      </c>
      <c r="H684" s="13" t="str">
        <f>IF($A684="","",[1]!thsiFinD("ths_adjustment_nv_fund",H$3,$A684))</f>
        <v/>
      </c>
      <c r="I684" s="13" t="str">
        <f>IF($A684="","",[1]!thsiFinD("ths_adjustment_nv_fund",I$3,$A684))</f>
        <v/>
      </c>
      <c r="J684" s="13" t="str">
        <f>IF($A684="","",[1]!thsiFinD("ths_adjustment_nv_fund",J$3,$A684))</f>
        <v/>
      </c>
      <c r="K684" s="13" t="str">
        <f>IF($A684="","",[1]!thsiFinD("ths_adjustment_nv_fund",K$3,$A684))</f>
        <v/>
      </c>
      <c r="L684" s="13" t="str">
        <f>IF($A684="","",[1]!thsiFinD("ths_adjustment_nv_fund",L$3,$A684))</f>
        <v/>
      </c>
      <c r="M684" s="13" t="str">
        <f>IF($A684="","",[1]!thsiFinD("ths_adjustment_nv_fund",M$3,$A684))</f>
        <v/>
      </c>
      <c r="N684" s="13" t="str">
        <f>IF($A684="","",[1]!thsiFinD("ths_adjustment_nv_fund",N$3,$A684))</f>
        <v/>
      </c>
      <c r="O684" s="13" t="str">
        <f>IF($A684="","",[1]!thsiFinD("ths_adjustment_nv_fund",O$3,$A684))</f>
        <v/>
      </c>
      <c r="P684" s="13" t="str">
        <f>IF($A684="","",[1]!thsiFinD("ths_adjustment_nv_fund",P$3,$A684))</f>
        <v/>
      </c>
      <c r="Q684" s="13" t="str">
        <f>IF($A684="","",[1]!thsiFinD("ths_adjustment_nv_fund",Q$3,$A684))</f>
        <v/>
      </c>
      <c r="R684" s="13" t="str">
        <f>IF($A684="","",[1]!thsiFinD("ths_adjustment_nv_fund",R$3,$A684))</f>
        <v/>
      </c>
      <c r="S684" s="13" t="str">
        <f>IF($A684="","",[1]!thsiFinD("ths_adjustment_nv_fund",S$3,$A684))</f>
        <v/>
      </c>
      <c r="T684" s="13" t="str">
        <f>IF($A684="","",[1]!thsiFinD("ths_adjustment_nv_fund",T$3,$A684))</f>
        <v/>
      </c>
      <c r="U684" s="13" t="str">
        <f>IF($A684="","",[1]!thsiFinD("ths_adjustment_nv_fund",U$3,$A684))</f>
        <v/>
      </c>
      <c r="V684" s="13" t="str">
        <f>IF($A684="","",[1]!thsiFinD("ths_adjustment_nv_fund",V$3,$A684))</f>
        <v/>
      </c>
      <c r="W684" s="13" t="str">
        <f>IF($A684="","",[1]!thsiFinD("ths_adjustment_nv_fund",W$3,$A684))</f>
        <v/>
      </c>
      <c r="X684" s="13" t="str">
        <f>IF($A684="","",[1]!thsiFinD("ths_adjustment_nv_fund",X$3,$A684))</f>
        <v/>
      </c>
      <c r="Y684" s="13" t="str">
        <f>IF($A684="","",[1]!thsiFinD("ths_adjustment_nv_fund",Y$3,$A684))</f>
        <v/>
      </c>
      <c r="Z684" s="13" t="str">
        <f>IF($A684="","",[1]!thsiFinD("ths_adjustment_nv_fund",Z$3,$A684))</f>
        <v/>
      </c>
      <c r="AA684" s="13" t="str">
        <f>IF($A684="","",[1]!thsiFinD("ths_adjustment_nv_fund",AA$3,$A684))</f>
        <v/>
      </c>
      <c r="AB684" s="13">
        <f>IF($A684="","",[1]!thsiFinD("ths_adjustment_nv_fund",AB$3,$A684))</f>
        <v/>
      </c>
      <c r="AC684" s="13">
        <f>IF($A684="","",[1]!thsiFinD("ths_adjustment_nv_fund",AC$3,$A684))</f>
        <v/>
      </c>
      <c r="AD684" s="13">
        <f>IF($A684="","",[1]!thsiFinD("ths_adjustment_nv_fund",AD$3,$A684))</f>
        <v/>
      </c>
      <c r="AE684" s="13">
        <f>IF($A684="","",[1]!thsiFinD("ths_adjustment_nv_fund",AE$3,$A684))</f>
        <v/>
      </c>
      <c r="AF684" s="13">
        <f>IF($A684="","",[1]!thsiFinD("ths_adjustment_nv_fund",AF$3,$A684))</f>
        <v/>
      </c>
      <c r="AG684" s="13">
        <f>IF($A684="","",[1]!thsiFinD("ths_adjustment_nv_fund",AG$3,$A684))</f>
        <v/>
      </c>
      <c r="AH684" s="13">
        <f>IF($A684="","",[1]!thsiFinD("ths_adjustment_nv_fund",AH$3,$A684))</f>
        <v/>
      </c>
      <c r="AI684" s="13">
        <f>IF($A684="","",[1]!thsiFinD("ths_adjustment_nv_fund",AI$3,$A684))</f>
        <v/>
      </c>
      <c r="AJ684" s="13">
        <f>IF($A684="","",[1]!thsiFinD("ths_adjustment_nv_fund",AJ$3,$A684))</f>
        <v/>
      </c>
      <c r="AK684" s="13">
        <f>IF($A684="","",[1]!thsiFinD("ths_adjustment_nv_fund",AK$3,$A684))</f>
        <v/>
      </c>
      <c r="AL684" s="13">
        <f>IF($A684="","",[1]!thsiFinD("ths_adjustment_nv_fund",AL$3,$A684))</f>
        <v/>
      </c>
    </row>
    <row r="685" spans="2:28">
      <c r="B685" s="13" t="str">
        <f>IF($A685="","",[1]!thsiFinD("ths_adjustment_nv_fund",B$3,$A685))</f>
        <v/>
      </c>
      <c r="C685" s="13" t="str">
        <f>IF($A685="","",[1]!thsiFinD("ths_adjustment_nv_fund",C$3,$A685))</f>
        <v/>
      </c>
      <c r="D685" s="13" t="str">
        <f>IF($A685="","",[1]!thsiFinD("ths_adjustment_nv_fund",D$3,$A685))</f>
        <v/>
      </c>
      <c r="E685" s="13" t="str">
        <f>IF($A685="","",[1]!thsiFinD("ths_adjustment_nv_fund",E$3,$A685))</f>
        <v/>
      </c>
      <c r="F685" s="13" t="str">
        <f>IF($A685="","",[1]!thsiFinD("ths_adjustment_nv_fund",F$3,$A685))</f>
        <v/>
      </c>
      <c r="G685" s="13" t="str">
        <f>IF($A685="","",[1]!thsiFinD("ths_adjustment_nv_fund",G$3,$A685))</f>
        <v/>
      </c>
      <c r="H685" s="13" t="str">
        <f>IF($A685="","",[1]!thsiFinD("ths_adjustment_nv_fund",H$3,$A685))</f>
        <v/>
      </c>
      <c r="I685" s="13" t="str">
        <f>IF($A685="","",[1]!thsiFinD("ths_adjustment_nv_fund",I$3,$A685))</f>
        <v/>
      </c>
      <c r="J685" s="13" t="str">
        <f>IF($A685="","",[1]!thsiFinD("ths_adjustment_nv_fund",J$3,$A685))</f>
        <v/>
      </c>
      <c r="K685" s="13" t="str">
        <f>IF($A685="","",[1]!thsiFinD("ths_adjustment_nv_fund",K$3,$A685))</f>
        <v/>
      </c>
      <c r="L685" s="13" t="str">
        <f>IF($A685="","",[1]!thsiFinD("ths_adjustment_nv_fund",L$3,$A685))</f>
        <v/>
      </c>
      <c r="M685" s="13" t="str">
        <f>IF($A685="","",[1]!thsiFinD("ths_adjustment_nv_fund",M$3,$A685))</f>
        <v/>
      </c>
      <c r="N685" s="13" t="str">
        <f>IF($A685="","",[1]!thsiFinD("ths_adjustment_nv_fund",N$3,$A685))</f>
        <v/>
      </c>
      <c r="O685" s="13" t="str">
        <f>IF($A685="","",[1]!thsiFinD("ths_adjustment_nv_fund",O$3,$A685))</f>
        <v/>
      </c>
      <c r="P685" s="13" t="str">
        <f>IF($A685="","",[1]!thsiFinD("ths_adjustment_nv_fund",P$3,$A685))</f>
        <v/>
      </c>
      <c r="Q685" s="13" t="str">
        <f>IF($A685="","",[1]!thsiFinD("ths_adjustment_nv_fund",Q$3,$A685))</f>
        <v/>
      </c>
      <c r="R685" s="13" t="str">
        <f>IF($A685="","",[1]!thsiFinD("ths_adjustment_nv_fund",R$3,$A685))</f>
        <v/>
      </c>
      <c r="S685" s="13" t="str">
        <f>IF($A685="","",[1]!thsiFinD("ths_adjustment_nv_fund",S$3,$A685))</f>
        <v/>
      </c>
      <c r="T685" s="13" t="str">
        <f>IF($A685="","",[1]!thsiFinD("ths_adjustment_nv_fund",T$3,$A685))</f>
        <v/>
      </c>
      <c r="U685" s="13" t="str">
        <f>IF($A685="","",[1]!thsiFinD("ths_adjustment_nv_fund",U$3,$A685))</f>
        <v/>
      </c>
      <c r="V685" s="13" t="str">
        <f>IF($A685="","",[1]!thsiFinD("ths_adjustment_nv_fund",V$3,$A685))</f>
        <v/>
      </c>
      <c r="W685" s="13" t="str">
        <f>IF($A685="","",[1]!thsiFinD("ths_adjustment_nv_fund",W$3,$A685))</f>
        <v/>
      </c>
      <c r="X685" s="13" t="str">
        <f>IF($A685="","",[1]!thsiFinD("ths_adjustment_nv_fund",X$3,$A685))</f>
        <v/>
      </c>
      <c r="Y685" s="13" t="str">
        <f>IF($A685="","",[1]!thsiFinD("ths_adjustment_nv_fund",Y$3,$A685))</f>
        <v/>
      </c>
      <c r="Z685" s="13" t="str">
        <f>IF($A685="","",[1]!thsiFinD("ths_adjustment_nv_fund",Z$3,$A685))</f>
        <v/>
      </c>
      <c r="AA685" s="13" t="str">
        <f>IF($A685="","",[1]!thsiFinD("ths_adjustment_nv_fund",AA$3,$A685))</f>
        <v/>
      </c>
      <c r="AB685" s="13">
        <f>IF($A685="","",[1]!thsiFinD("ths_adjustment_nv_fund",AB$3,$A685))</f>
        <v/>
      </c>
      <c r="AC685" s="13">
        <f>IF($A685="","",[1]!thsiFinD("ths_adjustment_nv_fund",AC$3,$A685))</f>
        <v/>
      </c>
      <c r="AD685" s="13">
        <f>IF($A685="","",[1]!thsiFinD("ths_adjustment_nv_fund",AD$3,$A685))</f>
        <v/>
      </c>
      <c r="AE685" s="13">
        <f>IF($A685="","",[1]!thsiFinD("ths_adjustment_nv_fund",AE$3,$A685))</f>
        <v/>
      </c>
      <c r="AF685" s="13">
        <f>IF($A685="","",[1]!thsiFinD("ths_adjustment_nv_fund",AF$3,$A685))</f>
        <v/>
      </c>
      <c r="AG685" s="13">
        <f>IF($A685="","",[1]!thsiFinD("ths_adjustment_nv_fund",AG$3,$A685))</f>
        <v/>
      </c>
      <c r="AH685" s="13">
        <f>IF($A685="","",[1]!thsiFinD("ths_adjustment_nv_fund",AH$3,$A685))</f>
        <v/>
      </c>
      <c r="AI685" s="13">
        <f>IF($A685="","",[1]!thsiFinD("ths_adjustment_nv_fund",AI$3,$A685))</f>
        <v/>
      </c>
      <c r="AJ685" s="13">
        <f>IF($A685="","",[1]!thsiFinD("ths_adjustment_nv_fund",AJ$3,$A685))</f>
        <v/>
      </c>
      <c r="AK685" s="13">
        <f>IF($A685="","",[1]!thsiFinD("ths_adjustment_nv_fund",AK$3,$A685))</f>
        <v/>
      </c>
      <c r="AL685" s="13">
        <f>IF($A685="","",[1]!thsiFinD("ths_adjustment_nv_fund",AL$3,$A685))</f>
        <v/>
      </c>
    </row>
    <row r="686" spans="2:28">
      <c r="B686" s="13" t="str">
        <f>IF($A686="","",[1]!thsiFinD("ths_adjustment_nv_fund",B$3,$A686))</f>
        <v/>
      </c>
      <c r="C686" s="13" t="str">
        <f>IF($A686="","",[1]!thsiFinD("ths_adjustment_nv_fund",C$3,$A686))</f>
        <v/>
      </c>
      <c r="D686" s="13" t="str">
        <f>IF($A686="","",[1]!thsiFinD("ths_adjustment_nv_fund",D$3,$A686))</f>
        <v/>
      </c>
      <c r="E686" s="13" t="str">
        <f>IF($A686="","",[1]!thsiFinD("ths_adjustment_nv_fund",E$3,$A686))</f>
        <v/>
      </c>
      <c r="F686" s="13" t="str">
        <f>IF($A686="","",[1]!thsiFinD("ths_adjustment_nv_fund",F$3,$A686))</f>
        <v/>
      </c>
      <c r="G686" s="13" t="str">
        <f>IF($A686="","",[1]!thsiFinD("ths_adjustment_nv_fund",G$3,$A686))</f>
        <v/>
      </c>
      <c r="H686" s="13" t="str">
        <f>IF($A686="","",[1]!thsiFinD("ths_adjustment_nv_fund",H$3,$A686))</f>
        <v/>
      </c>
      <c r="I686" s="13" t="str">
        <f>IF($A686="","",[1]!thsiFinD("ths_adjustment_nv_fund",I$3,$A686))</f>
        <v/>
      </c>
      <c r="J686" s="13" t="str">
        <f>IF($A686="","",[1]!thsiFinD("ths_adjustment_nv_fund",J$3,$A686))</f>
        <v/>
      </c>
      <c r="K686" s="13" t="str">
        <f>IF($A686="","",[1]!thsiFinD("ths_adjustment_nv_fund",K$3,$A686))</f>
        <v/>
      </c>
      <c r="L686" s="13" t="str">
        <f>IF($A686="","",[1]!thsiFinD("ths_adjustment_nv_fund",L$3,$A686))</f>
        <v/>
      </c>
      <c r="M686" s="13" t="str">
        <f>IF($A686="","",[1]!thsiFinD("ths_adjustment_nv_fund",M$3,$A686))</f>
        <v/>
      </c>
      <c r="N686" s="13" t="str">
        <f>IF($A686="","",[1]!thsiFinD("ths_adjustment_nv_fund",N$3,$A686))</f>
        <v/>
      </c>
      <c r="O686" s="13" t="str">
        <f>IF($A686="","",[1]!thsiFinD("ths_adjustment_nv_fund",O$3,$A686))</f>
        <v/>
      </c>
      <c r="P686" s="13" t="str">
        <f>IF($A686="","",[1]!thsiFinD("ths_adjustment_nv_fund",P$3,$A686))</f>
        <v/>
      </c>
      <c r="Q686" s="13" t="str">
        <f>IF($A686="","",[1]!thsiFinD("ths_adjustment_nv_fund",Q$3,$A686))</f>
        <v/>
      </c>
      <c r="R686" s="13" t="str">
        <f>IF($A686="","",[1]!thsiFinD("ths_adjustment_nv_fund",R$3,$A686))</f>
        <v/>
      </c>
      <c r="S686" s="13" t="str">
        <f>IF($A686="","",[1]!thsiFinD("ths_adjustment_nv_fund",S$3,$A686))</f>
        <v/>
      </c>
      <c r="T686" s="13" t="str">
        <f>IF($A686="","",[1]!thsiFinD("ths_adjustment_nv_fund",T$3,$A686))</f>
        <v/>
      </c>
      <c r="U686" s="13" t="str">
        <f>IF($A686="","",[1]!thsiFinD("ths_adjustment_nv_fund",U$3,$A686))</f>
        <v/>
      </c>
      <c r="V686" s="13" t="str">
        <f>IF($A686="","",[1]!thsiFinD("ths_adjustment_nv_fund",V$3,$A686))</f>
        <v/>
      </c>
      <c r="W686" s="13" t="str">
        <f>IF($A686="","",[1]!thsiFinD("ths_adjustment_nv_fund",W$3,$A686))</f>
        <v/>
      </c>
      <c r="X686" s="13" t="str">
        <f>IF($A686="","",[1]!thsiFinD("ths_adjustment_nv_fund",X$3,$A686))</f>
        <v/>
      </c>
      <c r="Y686" s="13" t="str">
        <f>IF($A686="","",[1]!thsiFinD("ths_adjustment_nv_fund",Y$3,$A686))</f>
        <v/>
      </c>
      <c r="Z686" s="13" t="str">
        <f>IF($A686="","",[1]!thsiFinD("ths_adjustment_nv_fund",Z$3,$A686))</f>
        <v/>
      </c>
      <c r="AA686" s="13" t="str">
        <f>IF($A686="","",[1]!thsiFinD("ths_adjustment_nv_fund",AA$3,$A686))</f>
        <v/>
      </c>
      <c r="AB686" s="13">
        <f>IF($A686="","",[1]!thsiFinD("ths_adjustment_nv_fund",AB$3,$A686))</f>
        <v/>
      </c>
      <c r="AC686" s="13">
        <f>IF($A686="","",[1]!thsiFinD("ths_adjustment_nv_fund",AC$3,$A686))</f>
        <v/>
      </c>
      <c r="AD686" s="13">
        <f>IF($A686="","",[1]!thsiFinD("ths_adjustment_nv_fund",AD$3,$A686))</f>
        <v/>
      </c>
      <c r="AE686" s="13">
        <f>IF($A686="","",[1]!thsiFinD("ths_adjustment_nv_fund",AE$3,$A686))</f>
        <v/>
      </c>
      <c r="AF686" s="13">
        <f>IF($A686="","",[1]!thsiFinD("ths_adjustment_nv_fund",AF$3,$A686))</f>
        <v/>
      </c>
      <c r="AG686" s="13">
        <f>IF($A686="","",[1]!thsiFinD("ths_adjustment_nv_fund",AG$3,$A686))</f>
        <v/>
      </c>
      <c r="AH686" s="13">
        <f>IF($A686="","",[1]!thsiFinD("ths_adjustment_nv_fund",AH$3,$A686))</f>
        <v/>
      </c>
      <c r="AI686" s="13">
        <f>IF($A686="","",[1]!thsiFinD("ths_adjustment_nv_fund",AI$3,$A686))</f>
        <v/>
      </c>
      <c r="AJ686" s="13">
        <f>IF($A686="","",[1]!thsiFinD("ths_adjustment_nv_fund",AJ$3,$A686))</f>
        <v/>
      </c>
      <c r="AK686" s="13">
        <f>IF($A686="","",[1]!thsiFinD("ths_adjustment_nv_fund",AK$3,$A686))</f>
        <v/>
      </c>
      <c r="AL686" s="13">
        <f>IF($A686="","",[1]!thsiFinD("ths_adjustment_nv_fund",AL$3,$A686))</f>
        <v/>
      </c>
    </row>
    <row r="687" spans="2:28">
      <c r="B687" s="13" t="str">
        <f>IF($A687="","",[1]!thsiFinD("ths_adjustment_nv_fund",B$3,$A687))</f>
        <v/>
      </c>
      <c r="C687" s="13" t="str">
        <f>IF($A687="","",[1]!thsiFinD("ths_adjustment_nv_fund",C$3,$A687))</f>
        <v/>
      </c>
      <c r="D687" s="13" t="str">
        <f>IF($A687="","",[1]!thsiFinD("ths_adjustment_nv_fund",D$3,$A687))</f>
        <v/>
      </c>
      <c r="E687" s="13" t="str">
        <f>IF($A687="","",[1]!thsiFinD("ths_adjustment_nv_fund",E$3,$A687))</f>
        <v/>
      </c>
      <c r="F687" s="13" t="str">
        <f>IF($A687="","",[1]!thsiFinD("ths_adjustment_nv_fund",F$3,$A687))</f>
        <v/>
      </c>
      <c r="G687" s="13" t="str">
        <f>IF($A687="","",[1]!thsiFinD("ths_adjustment_nv_fund",G$3,$A687))</f>
        <v/>
      </c>
      <c r="H687" s="13" t="str">
        <f>IF($A687="","",[1]!thsiFinD("ths_adjustment_nv_fund",H$3,$A687))</f>
        <v/>
      </c>
      <c r="I687" s="13" t="str">
        <f>IF($A687="","",[1]!thsiFinD("ths_adjustment_nv_fund",I$3,$A687))</f>
        <v/>
      </c>
      <c r="J687" s="13" t="str">
        <f>IF($A687="","",[1]!thsiFinD("ths_adjustment_nv_fund",J$3,$A687))</f>
        <v/>
      </c>
      <c r="K687" s="13" t="str">
        <f>IF($A687="","",[1]!thsiFinD("ths_adjustment_nv_fund",K$3,$A687))</f>
        <v/>
      </c>
      <c r="L687" s="13" t="str">
        <f>IF($A687="","",[1]!thsiFinD("ths_adjustment_nv_fund",L$3,$A687))</f>
        <v/>
      </c>
      <c r="M687" s="13" t="str">
        <f>IF($A687="","",[1]!thsiFinD("ths_adjustment_nv_fund",M$3,$A687))</f>
        <v/>
      </c>
      <c r="N687" s="13" t="str">
        <f>IF($A687="","",[1]!thsiFinD("ths_adjustment_nv_fund",N$3,$A687))</f>
        <v/>
      </c>
      <c r="O687" s="13" t="str">
        <f>IF($A687="","",[1]!thsiFinD("ths_adjustment_nv_fund",O$3,$A687))</f>
        <v/>
      </c>
      <c r="P687" s="13" t="str">
        <f>IF($A687="","",[1]!thsiFinD("ths_adjustment_nv_fund",P$3,$A687))</f>
        <v/>
      </c>
      <c r="Q687" s="13" t="str">
        <f>IF($A687="","",[1]!thsiFinD("ths_adjustment_nv_fund",Q$3,$A687))</f>
        <v/>
      </c>
      <c r="R687" s="13" t="str">
        <f>IF($A687="","",[1]!thsiFinD("ths_adjustment_nv_fund",R$3,$A687))</f>
        <v/>
      </c>
      <c r="S687" s="13" t="str">
        <f>IF($A687="","",[1]!thsiFinD("ths_adjustment_nv_fund",S$3,$A687))</f>
        <v/>
      </c>
      <c r="T687" s="13" t="str">
        <f>IF($A687="","",[1]!thsiFinD("ths_adjustment_nv_fund",T$3,$A687))</f>
        <v/>
      </c>
      <c r="U687" s="13" t="str">
        <f>IF($A687="","",[1]!thsiFinD("ths_adjustment_nv_fund",U$3,$A687))</f>
        <v/>
      </c>
      <c r="V687" s="13" t="str">
        <f>IF($A687="","",[1]!thsiFinD("ths_adjustment_nv_fund",V$3,$A687))</f>
        <v/>
      </c>
      <c r="W687" s="13" t="str">
        <f>IF($A687="","",[1]!thsiFinD("ths_adjustment_nv_fund",W$3,$A687))</f>
        <v/>
      </c>
      <c r="X687" s="13" t="str">
        <f>IF($A687="","",[1]!thsiFinD("ths_adjustment_nv_fund",X$3,$A687))</f>
        <v/>
      </c>
      <c r="Y687" s="13" t="str">
        <f>IF($A687="","",[1]!thsiFinD("ths_adjustment_nv_fund",Y$3,$A687))</f>
        <v/>
      </c>
      <c r="Z687" s="13" t="str">
        <f>IF($A687="","",[1]!thsiFinD("ths_adjustment_nv_fund",Z$3,$A687))</f>
        <v/>
      </c>
      <c r="AA687" s="13" t="str">
        <f>IF($A687="","",[1]!thsiFinD("ths_adjustment_nv_fund",AA$3,$A687))</f>
        <v/>
      </c>
      <c r="AB687" s="13">
        <f>IF($A687="","",[1]!thsiFinD("ths_adjustment_nv_fund",AB$3,$A687))</f>
        <v/>
      </c>
      <c r="AC687" s="13">
        <f>IF($A687="","",[1]!thsiFinD("ths_adjustment_nv_fund",AC$3,$A687))</f>
        <v/>
      </c>
      <c r="AD687" s="13">
        <f>IF($A687="","",[1]!thsiFinD("ths_adjustment_nv_fund",AD$3,$A687))</f>
        <v/>
      </c>
      <c r="AE687" s="13">
        <f>IF($A687="","",[1]!thsiFinD("ths_adjustment_nv_fund",AE$3,$A687))</f>
        <v/>
      </c>
      <c r="AF687" s="13">
        <f>IF($A687="","",[1]!thsiFinD("ths_adjustment_nv_fund",AF$3,$A687))</f>
        <v/>
      </c>
      <c r="AG687" s="13">
        <f>IF($A687="","",[1]!thsiFinD("ths_adjustment_nv_fund",AG$3,$A687))</f>
        <v/>
      </c>
      <c r="AH687" s="13">
        <f>IF($A687="","",[1]!thsiFinD("ths_adjustment_nv_fund",AH$3,$A687))</f>
        <v/>
      </c>
      <c r="AI687" s="13">
        <f>IF($A687="","",[1]!thsiFinD("ths_adjustment_nv_fund",AI$3,$A687))</f>
        <v/>
      </c>
      <c r="AJ687" s="13">
        <f>IF($A687="","",[1]!thsiFinD("ths_adjustment_nv_fund",AJ$3,$A687))</f>
        <v/>
      </c>
      <c r="AK687" s="13">
        <f>IF($A687="","",[1]!thsiFinD("ths_adjustment_nv_fund",AK$3,$A687))</f>
        <v/>
      </c>
      <c r="AL687" s="13">
        <f>IF($A687="","",[1]!thsiFinD("ths_adjustment_nv_fund",AL$3,$A687))</f>
        <v/>
      </c>
    </row>
    <row r="688" spans="2:28">
      <c r="B688" s="13" t="str">
        <f>IF($A688="","",[1]!thsiFinD("ths_adjustment_nv_fund",B$3,$A688))</f>
        <v/>
      </c>
      <c r="C688" s="13" t="str">
        <f>IF($A688="","",[1]!thsiFinD("ths_adjustment_nv_fund",C$3,$A688))</f>
        <v/>
      </c>
      <c r="D688" s="13" t="str">
        <f>IF($A688="","",[1]!thsiFinD("ths_adjustment_nv_fund",D$3,$A688))</f>
        <v/>
      </c>
      <c r="E688" s="13" t="str">
        <f>IF($A688="","",[1]!thsiFinD("ths_adjustment_nv_fund",E$3,$A688))</f>
        <v/>
      </c>
      <c r="F688" s="13" t="str">
        <f>IF($A688="","",[1]!thsiFinD("ths_adjustment_nv_fund",F$3,$A688))</f>
        <v/>
      </c>
      <c r="G688" s="13" t="str">
        <f>IF($A688="","",[1]!thsiFinD("ths_adjustment_nv_fund",G$3,$A688))</f>
        <v/>
      </c>
      <c r="H688" s="13" t="str">
        <f>IF($A688="","",[1]!thsiFinD("ths_adjustment_nv_fund",H$3,$A688))</f>
        <v/>
      </c>
      <c r="I688" s="13" t="str">
        <f>IF($A688="","",[1]!thsiFinD("ths_adjustment_nv_fund",I$3,$A688))</f>
        <v/>
      </c>
      <c r="J688" s="13" t="str">
        <f>IF($A688="","",[1]!thsiFinD("ths_adjustment_nv_fund",J$3,$A688))</f>
        <v/>
      </c>
      <c r="K688" s="13" t="str">
        <f>IF($A688="","",[1]!thsiFinD("ths_adjustment_nv_fund",K$3,$A688))</f>
        <v/>
      </c>
      <c r="L688" s="13" t="str">
        <f>IF($A688="","",[1]!thsiFinD("ths_adjustment_nv_fund",L$3,$A688))</f>
        <v/>
      </c>
      <c r="M688" s="13" t="str">
        <f>IF($A688="","",[1]!thsiFinD("ths_adjustment_nv_fund",M$3,$A688))</f>
        <v/>
      </c>
      <c r="N688" s="13" t="str">
        <f>IF($A688="","",[1]!thsiFinD("ths_adjustment_nv_fund",N$3,$A688))</f>
        <v/>
      </c>
      <c r="O688" s="13" t="str">
        <f>IF($A688="","",[1]!thsiFinD("ths_adjustment_nv_fund",O$3,$A688))</f>
        <v/>
      </c>
      <c r="P688" s="13" t="str">
        <f>IF($A688="","",[1]!thsiFinD("ths_adjustment_nv_fund",P$3,$A688))</f>
        <v/>
      </c>
      <c r="Q688" s="13" t="str">
        <f>IF($A688="","",[1]!thsiFinD("ths_adjustment_nv_fund",Q$3,$A688))</f>
        <v/>
      </c>
      <c r="R688" s="13" t="str">
        <f>IF($A688="","",[1]!thsiFinD("ths_adjustment_nv_fund",R$3,$A688))</f>
        <v/>
      </c>
      <c r="S688" s="13" t="str">
        <f>IF($A688="","",[1]!thsiFinD("ths_adjustment_nv_fund",S$3,$A688))</f>
        <v/>
      </c>
      <c r="T688" s="13" t="str">
        <f>IF($A688="","",[1]!thsiFinD("ths_adjustment_nv_fund",T$3,$A688))</f>
        <v/>
      </c>
      <c r="U688" s="13" t="str">
        <f>IF($A688="","",[1]!thsiFinD("ths_adjustment_nv_fund",U$3,$A688))</f>
        <v/>
      </c>
      <c r="V688" s="13" t="str">
        <f>IF($A688="","",[1]!thsiFinD("ths_adjustment_nv_fund",V$3,$A688))</f>
        <v/>
      </c>
      <c r="W688" s="13" t="str">
        <f>IF($A688="","",[1]!thsiFinD("ths_adjustment_nv_fund",W$3,$A688))</f>
        <v/>
      </c>
      <c r="X688" s="13" t="str">
        <f>IF($A688="","",[1]!thsiFinD("ths_adjustment_nv_fund",X$3,$A688))</f>
        <v/>
      </c>
      <c r="Y688" s="13" t="str">
        <f>IF($A688="","",[1]!thsiFinD("ths_adjustment_nv_fund",Y$3,$A688))</f>
        <v/>
      </c>
      <c r="Z688" s="13" t="str">
        <f>IF($A688="","",[1]!thsiFinD("ths_adjustment_nv_fund",Z$3,$A688))</f>
        <v/>
      </c>
      <c r="AA688" s="13" t="str">
        <f>IF($A688="","",[1]!thsiFinD("ths_adjustment_nv_fund",AA$3,$A688))</f>
        <v/>
      </c>
      <c r="AB688" s="13">
        <f>IF($A688="","",[1]!thsiFinD("ths_adjustment_nv_fund",AB$3,$A688))</f>
        <v/>
      </c>
      <c r="AC688" s="13">
        <f>IF($A688="","",[1]!thsiFinD("ths_adjustment_nv_fund",AC$3,$A688))</f>
        <v/>
      </c>
      <c r="AD688" s="13">
        <f>IF($A688="","",[1]!thsiFinD("ths_adjustment_nv_fund",AD$3,$A688))</f>
        <v/>
      </c>
      <c r="AE688" s="13">
        <f>IF($A688="","",[1]!thsiFinD("ths_adjustment_nv_fund",AE$3,$A688))</f>
        <v/>
      </c>
      <c r="AF688" s="13">
        <f>IF($A688="","",[1]!thsiFinD("ths_adjustment_nv_fund",AF$3,$A688))</f>
        <v/>
      </c>
      <c r="AG688" s="13">
        <f>IF($A688="","",[1]!thsiFinD("ths_adjustment_nv_fund",AG$3,$A688))</f>
        <v/>
      </c>
      <c r="AH688" s="13">
        <f>IF($A688="","",[1]!thsiFinD("ths_adjustment_nv_fund",AH$3,$A688))</f>
        <v/>
      </c>
      <c r="AI688" s="13">
        <f>IF($A688="","",[1]!thsiFinD("ths_adjustment_nv_fund",AI$3,$A688))</f>
        <v/>
      </c>
      <c r="AJ688" s="13">
        <f>IF($A688="","",[1]!thsiFinD("ths_adjustment_nv_fund",AJ$3,$A688))</f>
        <v/>
      </c>
      <c r="AK688" s="13">
        <f>IF($A688="","",[1]!thsiFinD("ths_adjustment_nv_fund",AK$3,$A688))</f>
        <v/>
      </c>
      <c r="AL688" s="13">
        <f>IF($A688="","",[1]!thsiFinD("ths_adjustment_nv_fund",AL$3,$A688))</f>
        <v/>
      </c>
    </row>
    <row r="689" spans="2:28">
      <c r="B689" s="13" t="str">
        <f>IF($A689="","",[1]!thsiFinD("ths_adjustment_nv_fund",B$3,$A689))</f>
        <v/>
      </c>
      <c r="C689" s="13" t="str">
        <f>IF($A689="","",[1]!thsiFinD("ths_adjustment_nv_fund",C$3,$A689))</f>
        <v/>
      </c>
      <c r="D689" s="13" t="str">
        <f>IF($A689="","",[1]!thsiFinD("ths_adjustment_nv_fund",D$3,$A689))</f>
        <v/>
      </c>
      <c r="E689" s="13" t="str">
        <f>IF($A689="","",[1]!thsiFinD("ths_adjustment_nv_fund",E$3,$A689))</f>
        <v/>
      </c>
      <c r="F689" s="13" t="str">
        <f>IF($A689="","",[1]!thsiFinD("ths_adjustment_nv_fund",F$3,$A689))</f>
        <v/>
      </c>
      <c r="G689" s="13" t="str">
        <f>IF($A689="","",[1]!thsiFinD("ths_adjustment_nv_fund",G$3,$A689))</f>
        <v/>
      </c>
      <c r="H689" s="13" t="str">
        <f>IF($A689="","",[1]!thsiFinD("ths_adjustment_nv_fund",H$3,$A689))</f>
        <v/>
      </c>
      <c r="I689" s="13" t="str">
        <f>IF($A689="","",[1]!thsiFinD("ths_adjustment_nv_fund",I$3,$A689))</f>
        <v/>
      </c>
      <c r="J689" s="13" t="str">
        <f>IF($A689="","",[1]!thsiFinD("ths_adjustment_nv_fund",J$3,$A689))</f>
        <v/>
      </c>
      <c r="K689" s="13" t="str">
        <f>IF($A689="","",[1]!thsiFinD("ths_adjustment_nv_fund",K$3,$A689))</f>
        <v/>
      </c>
      <c r="L689" s="13" t="str">
        <f>IF($A689="","",[1]!thsiFinD("ths_adjustment_nv_fund",L$3,$A689))</f>
        <v/>
      </c>
      <c r="M689" s="13" t="str">
        <f>IF($A689="","",[1]!thsiFinD("ths_adjustment_nv_fund",M$3,$A689))</f>
        <v/>
      </c>
      <c r="N689" s="13" t="str">
        <f>IF($A689="","",[1]!thsiFinD("ths_adjustment_nv_fund",N$3,$A689))</f>
        <v/>
      </c>
      <c r="O689" s="13" t="str">
        <f>IF($A689="","",[1]!thsiFinD("ths_adjustment_nv_fund",O$3,$A689))</f>
        <v/>
      </c>
      <c r="P689" s="13" t="str">
        <f>IF($A689="","",[1]!thsiFinD("ths_adjustment_nv_fund",P$3,$A689))</f>
        <v/>
      </c>
      <c r="Q689" s="13" t="str">
        <f>IF($A689="","",[1]!thsiFinD("ths_adjustment_nv_fund",Q$3,$A689))</f>
        <v/>
      </c>
      <c r="R689" s="13" t="str">
        <f>IF($A689="","",[1]!thsiFinD("ths_adjustment_nv_fund",R$3,$A689))</f>
        <v/>
      </c>
      <c r="S689" s="13" t="str">
        <f>IF($A689="","",[1]!thsiFinD("ths_adjustment_nv_fund",S$3,$A689))</f>
        <v/>
      </c>
      <c r="T689" s="13" t="str">
        <f>IF($A689="","",[1]!thsiFinD("ths_adjustment_nv_fund",T$3,$A689))</f>
        <v/>
      </c>
      <c r="U689" s="13" t="str">
        <f>IF($A689="","",[1]!thsiFinD("ths_adjustment_nv_fund",U$3,$A689))</f>
        <v/>
      </c>
      <c r="V689" s="13" t="str">
        <f>IF($A689="","",[1]!thsiFinD("ths_adjustment_nv_fund",V$3,$A689))</f>
        <v/>
      </c>
      <c r="W689" s="13" t="str">
        <f>IF($A689="","",[1]!thsiFinD("ths_adjustment_nv_fund",W$3,$A689))</f>
        <v/>
      </c>
      <c r="X689" s="13" t="str">
        <f>IF($A689="","",[1]!thsiFinD("ths_adjustment_nv_fund",X$3,$A689))</f>
        <v/>
      </c>
      <c r="Y689" s="13" t="str">
        <f>IF($A689="","",[1]!thsiFinD("ths_adjustment_nv_fund",Y$3,$A689))</f>
        <v/>
      </c>
      <c r="Z689" s="13" t="str">
        <f>IF($A689="","",[1]!thsiFinD("ths_adjustment_nv_fund",Z$3,$A689))</f>
        <v/>
      </c>
      <c r="AA689" s="13" t="str">
        <f>IF($A689="","",[1]!thsiFinD("ths_adjustment_nv_fund",AA$3,$A689))</f>
        <v/>
      </c>
      <c r="AB689" s="13">
        <f>IF($A689="","",[1]!thsiFinD("ths_adjustment_nv_fund",AB$3,$A689))</f>
        <v/>
      </c>
      <c r="AC689" s="13">
        <f>IF($A689="","",[1]!thsiFinD("ths_adjustment_nv_fund",AC$3,$A689))</f>
        <v/>
      </c>
      <c r="AD689" s="13">
        <f>IF($A689="","",[1]!thsiFinD("ths_adjustment_nv_fund",AD$3,$A689))</f>
        <v/>
      </c>
      <c r="AE689" s="13">
        <f>IF($A689="","",[1]!thsiFinD("ths_adjustment_nv_fund",AE$3,$A689))</f>
        <v/>
      </c>
      <c r="AF689" s="13">
        <f>IF($A689="","",[1]!thsiFinD("ths_adjustment_nv_fund",AF$3,$A689))</f>
        <v/>
      </c>
      <c r="AG689" s="13">
        <f>IF($A689="","",[1]!thsiFinD("ths_adjustment_nv_fund",AG$3,$A689))</f>
        <v/>
      </c>
      <c r="AH689" s="13">
        <f>IF($A689="","",[1]!thsiFinD("ths_adjustment_nv_fund",AH$3,$A689))</f>
        <v/>
      </c>
      <c r="AI689" s="13">
        <f>IF($A689="","",[1]!thsiFinD("ths_adjustment_nv_fund",AI$3,$A689))</f>
        <v/>
      </c>
      <c r="AJ689" s="13">
        <f>IF($A689="","",[1]!thsiFinD("ths_adjustment_nv_fund",AJ$3,$A689))</f>
        <v/>
      </c>
      <c r="AK689" s="13">
        <f>IF($A689="","",[1]!thsiFinD("ths_adjustment_nv_fund",AK$3,$A689))</f>
        <v/>
      </c>
      <c r="AL689" s="13">
        <f>IF($A689="","",[1]!thsiFinD("ths_adjustment_nv_fund",AL$3,$A689))</f>
        <v/>
      </c>
    </row>
    <row r="690" spans="2:28">
      <c r="B690" s="13" t="str">
        <f>IF($A690="","",[1]!thsiFinD("ths_adjustment_nv_fund",B$3,$A690))</f>
        <v/>
      </c>
      <c r="C690" s="13" t="str">
        <f>IF($A690="","",[1]!thsiFinD("ths_adjustment_nv_fund",C$3,$A690))</f>
        <v/>
      </c>
      <c r="D690" s="13" t="str">
        <f>IF($A690="","",[1]!thsiFinD("ths_adjustment_nv_fund",D$3,$A690))</f>
        <v/>
      </c>
      <c r="E690" s="13" t="str">
        <f>IF($A690="","",[1]!thsiFinD("ths_adjustment_nv_fund",E$3,$A690))</f>
        <v/>
      </c>
      <c r="F690" s="13" t="str">
        <f>IF($A690="","",[1]!thsiFinD("ths_adjustment_nv_fund",F$3,$A690))</f>
        <v/>
      </c>
      <c r="G690" s="13" t="str">
        <f>IF($A690="","",[1]!thsiFinD("ths_adjustment_nv_fund",G$3,$A690))</f>
        <v/>
      </c>
      <c r="H690" s="13" t="str">
        <f>IF($A690="","",[1]!thsiFinD("ths_adjustment_nv_fund",H$3,$A690))</f>
        <v/>
      </c>
      <c r="I690" s="13" t="str">
        <f>IF($A690="","",[1]!thsiFinD("ths_adjustment_nv_fund",I$3,$A690))</f>
        <v/>
      </c>
      <c r="J690" s="13" t="str">
        <f>IF($A690="","",[1]!thsiFinD("ths_adjustment_nv_fund",J$3,$A690))</f>
        <v/>
      </c>
      <c r="K690" s="13" t="str">
        <f>IF($A690="","",[1]!thsiFinD("ths_adjustment_nv_fund",K$3,$A690))</f>
        <v/>
      </c>
      <c r="L690" s="13" t="str">
        <f>IF($A690="","",[1]!thsiFinD("ths_adjustment_nv_fund",L$3,$A690))</f>
        <v/>
      </c>
      <c r="M690" s="13" t="str">
        <f>IF($A690="","",[1]!thsiFinD("ths_adjustment_nv_fund",M$3,$A690))</f>
        <v/>
      </c>
      <c r="N690" s="13" t="str">
        <f>IF($A690="","",[1]!thsiFinD("ths_adjustment_nv_fund",N$3,$A690))</f>
        <v/>
      </c>
      <c r="O690" s="13" t="str">
        <f>IF($A690="","",[1]!thsiFinD("ths_adjustment_nv_fund",O$3,$A690))</f>
        <v/>
      </c>
      <c r="P690" s="13" t="str">
        <f>IF($A690="","",[1]!thsiFinD("ths_adjustment_nv_fund",P$3,$A690))</f>
        <v/>
      </c>
      <c r="Q690" s="13" t="str">
        <f>IF($A690="","",[1]!thsiFinD("ths_adjustment_nv_fund",Q$3,$A690))</f>
        <v/>
      </c>
      <c r="R690" s="13" t="str">
        <f>IF($A690="","",[1]!thsiFinD("ths_adjustment_nv_fund",R$3,$A690))</f>
        <v/>
      </c>
      <c r="S690" s="13" t="str">
        <f>IF($A690="","",[1]!thsiFinD("ths_adjustment_nv_fund",S$3,$A690))</f>
        <v/>
      </c>
      <c r="T690" s="13" t="str">
        <f>IF($A690="","",[1]!thsiFinD("ths_adjustment_nv_fund",T$3,$A690))</f>
        <v/>
      </c>
      <c r="U690" s="13" t="str">
        <f>IF($A690="","",[1]!thsiFinD("ths_adjustment_nv_fund",U$3,$A690))</f>
        <v/>
      </c>
      <c r="V690" s="13" t="str">
        <f>IF($A690="","",[1]!thsiFinD("ths_adjustment_nv_fund",V$3,$A690))</f>
        <v/>
      </c>
      <c r="W690" s="13" t="str">
        <f>IF($A690="","",[1]!thsiFinD("ths_adjustment_nv_fund",W$3,$A690))</f>
        <v/>
      </c>
      <c r="X690" s="13" t="str">
        <f>IF($A690="","",[1]!thsiFinD("ths_adjustment_nv_fund",X$3,$A690))</f>
        <v/>
      </c>
      <c r="Y690" s="13" t="str">
        <f>IF($A690="","",[1]!thsiFinD("ths_adjustment_nv_fund",Y$3,$A690))</f>
        <v/>
      </c>
      <c r="Z690" s="13" t="str">
        <f>IF($A690="","",[1]!thsiFinD("ths_adjustment_nv_fund",Z$3,$A690))</f>
        <v/>
      </c>
      <c r="AA690" s="13" t="str">
        <f>IF($A690="","",[1]!thsiFinD("ths_adjustment_nv_fund",AA$3,$A690))</f>
        <v/>
      </c>
      <c r="AB690" s="13">
        <f>IF($A690="","",[1]!thsiFinD("ths_adjustment_nv_fund",AB$3,$A690))</f>
        <v/>
      </c>
      <c r="AC690" s="13">
        <f>IF($A690="","",[1]!thsiFinD("ths_adjustment_nv_fund",AC$3,$A690))</f>
        <v/>
      </c>
      <c r="AD690" s="13">
        <f>IF($A690="","",[1]!thsiFinD("ths_adjustment_nv_fund",AD$3,$A690))</f>
        <v/>
      </c>
      <c r="AE690" s="13">
        <f>IF($A690="","",[1]!thsiFinD("ths_adjustment_nv_fund",AE$3,$A690))</f>
        <v/>
      </c>
      <c r="AF690" s="13">
        <f>IF($A690="","",[1]!thsiFinD("ths_adjustment_nv_fund",AF$3,$A690))</f>
        <v/>
      </c>
      <c r="AG690" s="13">
        <f>IF($A690="","",[1]!thsiFinD("ths_adjustment_nv_fund",AG$3,$A690))</f>
        <v/>
      </c>
      <c r="AH690" s="13">
        <f>IF($A690="","",[1]!thsiFinD("ths_adjustment_nv_fund",AH$3,$A690))</f>
        <v/>
      </c>
      <c r="AI690" s="13">
        <f>IF($A690="","",[1]!thsiFinD("ths_adjustment_nv_fund",AI$3,$A690))</f>
        <v/>
      </c>
      <c r="AJ690" s="13">
        <f>IF($A690="","",[1]!thsiFinD("ths_adjustment_nv_fund",AJ$3,$A690))</f>
        <v/>
      </c>
      <c r="AK690" s="13">
        <f>IF($A690="","",[1]!thsiFinD("ths_adjustment_nv_fund",AK$3,$A690))</f>
        <v/>
      </c>
      <c r="AL690" s="13">
        <f>IF($A690="","",[1]!thsiFinD("ths_adjustment_nv_fund",AL$3,$A690))</f>
        <v/>
      </c>
    </row>
    <row r="691" spans="2:28">
      <c r="B691" s="13" t="str">
        <f>IF($A691="","",[1]!thsiFinD("ths_adjustment_nv_fund",B$3,$A691))</f>
        <v/>
      </c>
      <c r="C691" s="13" t="str">
        <f>IF($A691="","",[1]!thsiFinD("ths_adjustment_nv_fund",C$3,$A691))</f>
        <v/>
      </c>
      <c r="D691" s="13" t="str">
        <f>IF($A691="","",[1]!thsiFinD("ths_adjustment_nv_fund",D$3,$A691))</f>
        <v/>
      </c>
      <c r="E691" s="13" t="str">
        <f>IF($A691="","",[1]!thsiFinD("ths_adjustment_nv_fund",E$3,$A691))</f>
        <v/>
      </c>
      <c r="F691" s="13" t="str">
        <f>IF($A691="","",[1]!thsiFinD("ths_adjustment_nv_fund",F$3,$A691))</f>
        <v/>
      </c>
      <c r="G691" s="13" t="str">
        <f>IF($A691="","",[1]!thsiFinD("ths_adjustment_nv_fund",G$3,$A691))</f>
        <v/>
      </c>
      <c r="H691" s="13" t="str">
        <f>IF($A691="","",[1]!thsiFinD("ths_adjustment_nv_fund",H$3,$A691))</f>
        <v/>
      </c>
      <c r="I691" s="13" t="str">
        <f>IF($A691="","",[1]!thsiFinD("ths_adjustment_nv_fund",I$3,$A691))</f>
        <v/>
      </c>
      <c r="J691" s="13" t="str">
        <f>IF($A691="","",[1]!thsiFinD("ths_adjustment_nv_fund",J$3,$A691))</f>
        <v/>
      </c>
      <c r="K691" s="13" t="str">
        <f>IF($A691="","",[1]!thsiFinD("ths_adjustment_nv_fund",K$3,$A691))</f>
        <v/>
      </c>
      <c r="L691" s="13" t="str">
        <f>IF($A691="","",[1]!thsiFinD("ths_adjustment_nv_fund",L$3,$A691))</f>
        <v/>
      </c>
      <c r="M691" s="13" t="str">
        <f>IF($A691="","",[1]!thsiFinD("ths_adjustment_nv_fund",M$3,$A691))</f>
        <v/>
      </c>
      <c r="N691" s="13" t="str">
        <f>IF($A691="","",[1]!thsiFinD("ths_adjustment_nv_fund",N$3,$A691))</f>
        <v/>
      </c>
      <c r="O691" s="13" t="str">
        <f>IF($A691="","",[1]!thsiFinD("ths_adjustment_nv_fund",O$3,$A691))</f>
        <v/>
      </c>
      <c r="P691" s="13" t="str">
        <f>IF($A691="","",[1]!thsiFinD("ths_adjustment_nv_fund",P$3,$A691))</f>
        <v/>
      </c>
      <c r="Q691" s="13" t="str">
        <f>IF($A691="","",[1]!thsiFinD("ths_adjustment_nv_fund",Q$3,$A691))</f>
        <v/>
      </c>
      <c r="R691" s="13" t="str">
        <f>IF($A691="","",[1]!thsiFinD("ths_adjustment_nv_fund",R$3,$A691))</f>
        <v/>
      </c>
      <c r="S691" s="13" t="str">
        <f>IF($A691="","",[1]!thsiFinD("ths_adjustment_nv_fund",S$3,$A691))</f>
        <v/>
      </c>
      <c r="T691" s="13" t="str">
        <f>IF($A691="","",[1]!thsiFinD("ths_adjustment_nv_fund",T$3,$A691))</f>
        <v/>
      </c>
      <c r="U691" s="13" t="str">
        <f>IF($A691="","",[1]!thsiFinD("ths_adjustment_nv_fund",U$3,$A691))</f>
        <v/>
      </c>
      <c r="V691" s="13" t="str">
        <f>IF($A691="","",[1]!thsiFinD("ths_adjustment_nv_fund",V$3,$A691))</f>
        <v/>
      </c>
      <c r="W691" s="13" t="str">
        <f>IF($A691="","",[1]!thsiFinD("ths_adjustment_nv_fund",W$3,$A691))</f>
        <v/>
      </c>
      <c r="X691" s="13" t="str">
        <f>IF($A691="","",[1]!thsiFinD("ths_adjustment_nv_fund",X$3,$A691))</f>
        <v/>
      </c>
      <c r="Y691" s="13" t="str">
        <f>IF($A691="","",[1]!thsiFinD("ths_adjustment_nv_fund",Y$3,$A691))</f>
        <v/>
      </c>
      <c r="Z691" s="13" t="str">
        <f>IF($A691="","",[1]!thsiFinD("ths_adjustment_nv_fund",Z$3,$A691))</f>
        <v/>
      </c>
      <c r="AA691" s="13" t="str">
        <f>IF($A691="","",[1]!thsiFinD("ths_adjustment_nv_fund",AA$3,$A691))</f>
        <v/>
      </c>
      <c r="AB691" s="13">
        <f>IF($A691="","",[1]!thsiFinD("ths_adjustment_nv_fund",AB$3,$A691))</f>
        <v/>
      </c>
      <c r="AC691" s="13">
        <f>IF($A691="","",[1]!thsiFinD("ths_adjustment_nv_fund",AC$3,$A691))</f>
        <v/>
      </c>
      <c r="AD691" s="13">
        <f>IF($A691="","",[1]!thsiFinD("ths_adjustment_nv_fund",AD$3,$A691))</f>
        <v/>
      </c>
      <c r="AE691" s="13">
        <f>IF($A691="","",[1]!thsiFinD("ths_adjustment_nv_fund",AE$3,$A691))</f>
        <v/>
      </c>
      <c r="AF691" s="13">
        <f>IF($A691="","",[1]!thsiFinD("ths_adjustment_nv_fund",AF$3,$A691))</f>
        <v/>
      </c>
      <c r="AG691" s="13">
        <f>IF($A691="","",[1]!thsiFinD("ths_adjustment_nv_fund",AG$3,$A691))</f>
        <v/>
      </c>
      <c r="AH691" s="13">
        <f>IF($A691="","",[1]!thsiFinD("ths_adjustment_nv_fund",AH$3,$A691))</f>
        <v/>
      </c>
      <c r="AI691" s="13">
        <f>IF($A691="","",[1]!thsiFinD("ths_adjustment_nv_fund",AI$3,$A691))</f>
        <v/>
      </c>
      <c r="AJ691" s="13">
        <f>IF($A691="","",[1]!thsiFinD("ths_adjustment_nv_fund",AJ$3,$A691))</f>
        <v/>
      </c>
      <c r="AK691" s="13">
        <f>IF($A691="","",[1]!thsiFinD("ths_adjustment_nv_fund",AK$3,$A691))</f>
        <v/>
      </c>
      <c r="AL691" s="13">
        <f>IF($A691="","",[1]!thsiFinD("ths_adjustment_nv_fund",AL$3,$A691))</f>
        <v/>
      </c>
    </row>
    <row r="692" spans="2:28">
      <c r="B692" s="13" t="str">
        <f>IF($A692="","",[1]!thsiFinD("ths_adjustment_nv_fund",B$3,$A692))</f>
        <v/>
      </c>
      <c r="C692" s="13" t="str">
        <f>IF($A692="","",[1]!thsiFinD("ths_adjustment_nv_fund",C$3,$A692))</f>
        <v/>
      </c>
      <c r="D692" s="13" t="str">
        <f>IF($A692="","",[1]!thsiFinD("ths_adjustment_nv_fund",D$3,$A692))</f>
        <v/>
      </c>
      <c r="E692" s="13" t="str">
        <f>IF($A692="","",[1]!thsiFinD("ths_adjustment_nv_fund",E$3,$A692))</f>
        <v/>
      </c>
      <c r="F692" s="13" t="str">
        <f>IF($A692="","",[1]!thsiFinD("ths_adjustment_nv_fund",F$3,$A692))</f>
        <v/>
      </c>
      <c r="G692" s="13" t="str">
        <f>IF($A692="","",[1]!thsiFinD("ths_adjustment_nv_fund",G$3,$A692))</f>
        <v/>
      </c>
      <c r="H692" s="13" t="str">
        <f>IF($A692="","",[1]!thsiFinD("ths_adjustment_nv_fund",H$3,$A692))</f>
        <v/>
      </c>
      <c r="I692" s="13" t="str">
        <f>IF($A692="","",[1]!thsiFinD("ths_adjustment_nv_fund",I$3,$A692))</f>
        <v/>
      </c>
      <c r="J692" s="13" t="str">
        <f>IF($A692="","",[1]!thsiFinD("ths_adjustment_nv_fund",J$3,$A692))</f>
        <v/>
      </c>
      <c r="K692" s="13" t="str">
        <f>IF($A692="","",[1]!thsiFinD("ths_adjustment_nv_fund",K$3,$A692))</f>
        <v/>
      </c>
      <c r="L692" s="13" t="str">
        <f>IF($A692="","",[1]!thsiFinD("ths_adjustment_nv_fund",L$3,$A692))</f>
        <v/>
      </c>
      <c r="M692" s="13" t="str">
        <f>IF($A692="","",[1]!thsiFinD("ths_adjustment_nv_fund",M$3,$A692))</f>
        <v/>
      </c>
      <c r="N692" s="13" t="str">
        <f>IF($A692="","",[1]!thsiFinD("ths_adjustment_nv_fund",N$3,$A692))</f>
        <v/>
      </c>
      <c r="O692" s="13" t="str">
        <f>IF($A692="","",[1]!thsiFinD("ths_adjustment_nv_fund",O$3,$A692))</f>
        <v/>
      </c>
      <c r="P692" s="13" t="str">
        <f>IF($A692="","",[1]!thsiFinD("ths_adjustment_nv_fund",P$3,$A692))</f>
        <v/>
      </c>
      <c r="Q692" s="13" t="str">
        <f>IF($A692="","",[1]!thsiFinD("ths_adjustment_nv_fund",Q$3,$A692))</f>
        <v/>
      </c>
      <c r="R692" s="13" t="str">
        <f>IF($A692="","",[1]!thsiFinD("ths_adjustment_nv_fund",R$3,$A692))</f>
        <v/>
      </c>
      <c r="S692" s="13" t="str">
        <f>IF($A692="","",[1]!thsiFinD("ths_adjustment_nv_fund",S$3,$A692))</f>
        <v/>
      </c>
      <c r="T692" s="13" t="str">
        <f>IF($A692="","",[1]!thsiFinD("ths_adjustment_nv_fund",T$3,$A692))</f>
        <v/>
      </c>
      <c r="U692" s="13" t="str">
        <f>IF($A692="","",[1]!thsiFinD("ths_adjustment_nv_fund",U$3,$A692))</f>
        <v/>
      </c>
      <c r="V692" s="13" t="str">
        <f>IF($A692="","",[1]!thsiFinD("ths_adjustment_nv_fund",V$3,$A692))</f>
        <v/>
      </c>
      <c r="W692" s="13" t="str">
        <f>IF($A692="","",[1]!thsiFinD("ths_adjustment_nv_fund",W$3,$A692))</f>
        <v/>
      </c>
      <c r="X692" s="13" t="str">
        <f>IF($A692="","",[1]!thsiFinD("ths_adjustment_nv_fund",X$3,$A692))</f>
        <v/>
      </c>
      <c r="Y692" s="13" t="str">
        <f>IF($A692="","",[1]!thsiFinD("ths_adjustment_nv_fund",Y$3,$A692))</f>
        <v/>
      </c>
      <c r="Z692" s="13" t="str">
        <f>IF($A692="","",[1]!thsiFinD("ths_adjustment_nv_fund",Z$3,$A692))</f>
        <v/>
      </c>
      <c r="AA692" s="13" t="str">
        <f>IF($A692="","",[1]!thsiFinD("ths_adjustment_nv_fund",AA$3,$A692))</f>
        <v/>
      </c>
      <c r="AB692" s="13">
        <f>IF($A692="","",[1]!thsiFinD("ths_adjustment_nv_fund",AB$3,$A692))</f>
        <v/>
      </c>
      <c r="AC692" s="13">
        <f>IF($A692="","",[1]!thsiFinD("ths_adjustment_nv_fund",AC$3,$A692))</f>
        <v/>
      </c>
      <c r="AD692" s="13">
        <f>IF($A692="","",[1]!thsiFinD("ths_adjustment_nv_fund",AD$3,$A692))</f>
        <v/>
      </c>
      <c r="AE692" s="13">
        <f>IF($A692="","",[1]!thsiFinD("ths_adjustment_nv_fund",AE$3,$A692))</f>
        <v/>
      </c>
      <c r="AF692" s="13">
        <f>IF($A692="","",[1]!thsiFinD("ths_adjustment_nv_fund",AF$3,$A692))</f>
        <v/>
      </c>
      <c r="AG692" s="13">
        <f>IF($A692="","",[1]!thsiFinD("ths_adjustment_nv_fund",AG$3,$A692))</f>
        <v/>
      </c>
      <c r="AH692" s="13">
        <f>IF($A692="","",[1]!thsiFinD("ths_adjustment_nv_fund",AH$3,$A692))</f>
        <v/>
      </c>
      <c r="AI692" s="13">
        <f>IF($A692="","",[1]!thsiFinD("ths_adjustment_nv_fund",AI$3,$A692))</f>
        <v/>
      </c>
      <c r="AJ692" s="13">
        <f>IF($A692="","",[1]!thsiFinD("ths_adjustment_nv_fund",AJ$3,$A692))</f>
        <v/>
      </c>
      <c r="AK692" s="13">
        <f>IF($A692="","",[1]!thsiFinD("ths_adjustment_nv_fund",AK$3,$A692))</f>
        <v/>
      </c>
      <c r="AL692" s="13">
        <f>IF($A692="","",[1]!thsiFinD("ths_adjustment_nv_fund",AL$3,$A692))</f>
        <v/>
      </c>
    </row>
    <row r="693" spans="2:28">
      <c r="B693" s="13" t="str">
        <f>IF($A693="","",[1]!thsiFinD("ths_adjustment_nv_fund",B$3,$A693))</f>
        <v/>
      </c>
      <c r="C693" s="13" t="str">
        <f>IF($A693="","",[1]!thsiFinD("ths_adjustment_nv_fund",C$3,$A693))</f>
        <v/>
      </c>
      <c r="D693" s="13" t="str">
        <f>IF($A693="","",[1]!thsiFinD("ths_adjustment_nv_fund",D$3,$A693))</f>
        <v/>
      </c>
      <c r="E693" s="13" t="str">
        <f>IF($A693="","",[1]!thsiFinD("ths_adjustment_nv_fund",E$3,$A693))</f>
        <v/>
      </c>
      <c r="F693" s="13" t="str">
        <f>IF($A693="","",[1]!thsiFinD("ths_adjustment_nv_fund",F$3,$A693))</f>
        <v/>
      </c>
      <c r="G693" s="13" t="str">
        <f>IF($A693="","",[1]!thsiFinD("ths_adjustment_nv_fund",G$3,$A693))</f>
        <v/>
      </c>
      <c r="H693" s="13" t="str">
        <f>IF($A693="","",[1]!thsiFinD("ths_adjustment_nv_fund",H$3,$A693))</f>
        <v/>
      </c>
      <c r="I693" s="13" t="str">
        <f>IF($A693="","",[1]!thsiFinD("ths_adjustment_nv_fund",I$3,$A693))</f>
        <v/>
      </c>
      <c r="J693" s="13" t="str">
        <f>IF($A693="","",[1]!thsiFinD("ths_adjustment_nv_fund",J$3,$A693))</f>
        <v/>
      </c>
      <c r="K693" s="13" t="str">
        <f>IF($A693="","",[1]!thsiFinD("ths_adjustment_nv_fund",K$3,$A693))</f>
        <v/>
      </c>
      <c r="L693" s="13" t="str">
        <f>IF($A693="","",[1]!thsiFinD("ths_adjustment_nv_fund",L$3,$A693))</f>
        <v/>
      </c>
      <c r="M693" s="13" t="str">
        <f>IF($A693="","",[1]!thsiFinD("ths_adjustment_nv_fund",M$3,$A693))</f>
        <v/>
      </c>
      <c r="N693" s="13" t="str">
        <f>IF($A693="","",[1]!thsiFinD("ths_adjustment_nv_fund",N$3,$A693))</f>
        <v/>
      </c>
      <c r="O693" s="13" t="str">
        <f>IF($A693="","",[1]!thsiFinD("ths_adjustment_nv_fund",O$3,$A693))</f>
        <v/>
      </c>
      <c r="P693" s="13" t="str">
        <f>IF($A693="","",[1]!thsiFinD("ths_adjustment_nv_fund",P$3,$A693))</f>
        <v/>
      </c>
      <c r="Q693" s="13" t="str">
        <f>IF($A693="","",[1]!thsiFinD("ths_adjustment_nv_fund",Q$3,$A693))</f>
        <v/>
      </c>
      <c r="R693" s="13" t="str">
        <f>IF($A693="","",[1]!thsiFinD("ths_adjustment_nv_fund",R$3,$A693))</f>
        <v/>
      </c>
      <c r="S693" s="13" t="str">
        <f>IF($A693="","",[1]!thsiFinD("ths_adjustment_nv_fund",S$3,$A693))</f>
        <v/>
      </c>
      <c r="T693" s="13" t="str">
        <f>IF($A693="","",[1]!thsiFinD("ths_adjustment_nv_fund",T$3,$A693))</f>
        <v/>
      </c>
      <c r="U693" s="13" t="str">
        <f>IF($A693="","",[1]!thsiFinD("ths_adjustment_nv_fund",U$3,$A693))</f>
        <v/>
      </c>
      <c r="V693" s="13" t="str">
        <f>IF($A693="","",[1]!thsiFinD("ths_adjustment_nv_fund",V$3,$A693))</f>
        <v/>
      </c>
      <c r="W693" s="13" t="str">
        <f>IF($A693="","",[1]!thsiFinD("ths_adjustment_nv_fund",W$3,$A693))</f>
        <v/>
      </c>
      <c r="X693" s="13" t="str">
        <f>IF($A693="","",[1]!thsiFinD("ths_adjustment_nv_fund",X$3,$A693))</f>
        <v/>
      </c>
      <c r="Y693" s="13" t="str">
        <f>IF($A693="","",[1]!thsiFinD("ths_adjustment_nv_fund",Y$3,$A693))</f>
        <v/>
      </c>
      <c r="Z693" s="13" t="str">
        <f>IF($A693="","",[1]!thsiFinD("ths_adjustment_nv_fund",Z$3,$A693))</f>
        <v/>
      </c>
      <c r="AA693" s="13" t="str">
        <f>IF($A693="","",[1]!thsiFinD("ths_adjustment_nv_fund",AA$3,$A693))</f>
        <v/>
      </c>
      <c r="AB693" s="13">
        <f>IF($A693="","",[1]!thsiFinD("ths_adjustment_nv_fund",AB$3,$A693))</f>
        <v/>
      </c>
      <c r="AC693" s="13">
        <f>IF($A693="","",[1]!thsiFinD("ths_adjustment_nv_fund",AC$3,$A693))</f>
        <v/>
      </c>
      <c r="AD693" s="13">
        <f>IF($A693="","",[1]!thsiFinD("ths_adjustment_nv_fund",AD$3,$A693))</f>
        <v/>
      </c>
      <c r="AE693" s="13">
        <f>IF($A693="","",[1]!thsiFinD("ths_adjustment_nv_fund",AE$3,$A693))</f>
        <v/>
      </c>
      <c r="AF693" s="13">
        <f>IF($A693="","",[1]!thsiFinD("ths_adjustment_nv_fund",AF$3,$A693))</f>
        <v/>
      </c>
      <c r="AG693" s="13">
        <f>IF($A693="","",[1]!thsiFinD("ths_adjustment_nv_fund",AG$3,$A693))</f>
        <v/>
      </c>
      <c r="AH693" s="13">
        <f>IF($A693="","",[1]!thsiFinD("ths_adjustment_nv_fund",AH$3,$A693))</f>
        <v/>
      </c>
      <c r="AI693" s="13">
        <f>IF($A693="","",[1]!thsiFinD("ths_adjustment_nv_fund",AI$3,$A693))</f>
        <v/>
      </c>
      <c r="AJ693" s="13">
        <f>IF($A693="","",[1]!thsiFinD("ths_adjustment_nv_fund",AJ$3,$A693))</f>
        <v/>
      </c>
      <c r="AK693" s="13">
        <f>IF($A693="","",[1]!thsiFinD("ths_adjustment_nv_fund",AK$3,$A693))</f>
        <v/>
      </c>
      <c r="AL693" s="13">
        <f>IF($A693="","",[1]!thsiFinD("ths_adjustment_nv_fund",AL$3,$A693))</f>
        <v/>
      </c>
    </row>
    <row r="694" spans="2:28">
      <c r="B694" s="13" t="str">
        <f>IF($A694="","",[1]!thsiFinD("ths_adjustment_nv_fund",B$3,$A694))</f>
        <v/>
      </c>
      <c r="C694" s="13" t="str">
        <f>IF($A694="","",[1]!thsiFinD("ths_adjustment_nv_fund",C$3,$A694))</f>
        <v/>
      </c>
      <c r="D694" s="13" t="str">
        <f>IF($A694="","",[1]!thsiFinD("ths_adjustment_nv_fund",D$3,$A694))</f>
        <v/>
      </c>
      <c r="E694" s="13" t="str">
        <f>IF($A694="","",[1]!thsiFinD("ths_adjustment_nv_fund",E$3,$A694))</f>
        <v/>
      </c>
      <c r="F694" s="13" t="str">
        <f>IF($A694="","",[1]!thsiFinD("ths_adjustment_nv_fund",F$3,$A694))</f>
        <v/>
      </c>
      <c r="G694" s="13" t="str">
        <f>IF($A694="","",[1]!thsiFinD("ths_adjustment_nv_fund",G$3,$A694))</f>
        <v/>
      </c>
      <c r="H694" s="13" t="str">
        <f>IF($A694="","",[1]!thsiFinD("ths_adjustment_nv_fund",H$3,$A694))</f>
        <v/>
      </c>
      <c r="I694" s="13" t="str">
        <f>IF($A694="","",[1]!thsiFinD("ths_adjustment_nv_fund",I$3,$A694))</f>
        <v/>
      </c>
      <c r="J694" s="13" t="str">
        <f>IF($A694="","",[1]!thsiFinD("ths_adjustment_nv_fund",J$3,$A694))</f>
        <v/>
      </c>
      <c r="K694" s="13" t="str">
        <f>IF($A694="","",[1]!thsiFinD("ths_adjustment_nv_fund",K$3,$A694))</f>
        <v/>
      </c>
      <c r="L694" s="13" t="str">
        <f>IF($A694="","",[1]!thsiFinD("ths_adjustment_nv_fund",L$3,$A694))</f>
        <v/>
      </c>
      <c r="M694" s="13" t="str">
        <f>IF($A694="","",[1]!thsiFinD("ths_adjustment_nv_fund",M$3,$A694))</f>
        <v/>
      </c>
      <c r="N694" s="13" t="str">
        <f>IF($A694="","",[1]!thsiFinD("ths_adjustment_nv_fund",N$3,$A694))</f>
        <v/>
      </c>
      <c r="O694" s="13" t="str">
        <f>IF($A694="","",[1]!thsiFinD("ths_adjustment_nv_fund",O$3,$A694))</f>
        <v/>
      </c>
      <c r="P694" s="13" t="str">
        <f>IF($A694="","",[1]!thsiFinD("ths_adjustment_nv_fund",P$3,$A694))</f>
        <v/>
      </c>
      <c r="Q694" s="13" t="str">
        <f>IF($A694="","",[1]!thsiFinD("ths_adjustment_nv_fund",Q$3,$A694))</f>
        <v/>
      </c>
      <c r="R694" s="13" t="str">
        <f>IF($A694="","",[1]!thsiFinD("ths_adjustment_nv_fund",R$3,$A694))</f>
        <v/>
      </c>
      <c r="S694" s="13" t="str">
        <f>IF($A694="","",[1]!thsiFinD("ths_adjustment_nv_fund",S$3,$A694))</f>
        <v/>
      </c>
      <c r="T694" s="13" t="str">
        <f>IF($A694="","",[1]!thsiFinD("ths_adjustment_nv_fund",T$3,$A694))</f>
        <v/>
      </c>
      <c r="U694" s="13" t="str">
        <f>IF($A694="","",[1]!thsiFinD("ths_adjustment_nv_fund",U$3,$A694))</f>
        <v/>
      </c>
      <c r="V694" s="13" t="str">
        <f>IF($A694="","",[1]!thsiFinD("ths_adjustment_nv_fund",V$3,$A694))</f>
        <v/>
      </c>
      <c r="W694" s="13" t="str">
        <f>IF($A694="","",[1]!thsiFinD("ths_adjustment_nv_fund",W$3,$A694))</f>
        <v/>
      </c>
      <c r="X694" s="13" t="str">
        <f>IF($A694="","",[1]!thsiFinD("ths_adjustment_nv_fund",X$3,$A694))</f>
        <v/>
      </c>
      <c r="Y694" s="13" t="str">
        <f>IF($A694="","",[1]!thsiFinD("ths_adjustment_nv_fund",Y$3,$A694))</f>
        <v/>
      </c>
      <c r="Z694" s="13" t="str">
        <f>IF($A694="","",[1]!thsiFinD("ths_adjustment_nv_fund",Z$3,$A694))</f>
        <v/>
      </c>
      <c r="AA694" s="13" t="str">
        <f>IF($A694="","",[1]!thsiFinD("ths_adjustment_nv_fund",AA$3,$A694))</f>
        <v/>
      </c>
      <c r="AB694" s="13">
        <f>IF($A694="","",[1]!thsiFinD("ths_adjustment_nv_fund",AB$3,$A694))</f>
        <v/>
      </c>
      <c r="AC694" s="13">
        <f>IF($A694="","",[1]!thsiFinD("ths_adjustment_nv_fund",AC$3,$A694))</f>
        <v/>
      </c>
      <c r="AD694" s="13">
        <f>IF($A694="","",[1]!thsiFinD("ths_adjustment_nv_fund",AD$3,$A694))</f>
        <v/>
      </c>
      <c r="AE694" s="13">
        <f>IF($A694="","",[1]!thsiFinD("ths_adjustment_nv_fund",AE$3,$A694))</f>
        <v/>
      </c>
      <c r="AF694" s="13">
        <f>IF($A694="","",[1]!thsiFinD("ths_adjustment_nv_fund",AF$3,$A694))</f>
        <v/>
      </c>
      <c r="AG694" s="13">
        <f>IF($A694="","",[1]!thsiFinD("ths_adjustment_nv_fund",AG$3,$A694))</f>
        <v/>
      </c>
      <c r="AH694" s="13">
        <f>IF($A694="","",[1]!thsiFinD("ths_adjustment_nv_fund",AH$3,$A694))</f>
        <v/>
      </c>
      <c r="AI694" s="13">
        <f>IF($A694="","",[1]!thsiFinD("ths_adjustment_nv_fund",AI$3,$A694))</f>
        <v/>
      </c>
      <c r="AJ694" s="13">
        <f>IF($A694="","",[1]!thsiFinD("ths_adjustment_nv_fund",AJ$3,$A694))</f>
        <v/>
      </c>
      <c r="AK694" s="13">
        <f>IF($A694="","",[1]!thsiFinD("ths_adjustment_nv_fund",AK$3,$A694))</f>
        <v/>
      </c>
      <c r="AL694" s="13">
        <f>IF($A694="","",[1]!thsiFinD("ths_adjustment_nv_fund",AL$3,$A694))</f>
        <v/>
      </c>
    </row>
    <row r="695" spans="2:28">
      <c r="B695" s="13" t="str">
        <f>IF($A695="","",[1]!thsiFinD("ths_adjustment_nv_fund",B$3,$A695))</f>
        <v/>
      </c>
      <c r="C695" s="13" t="str">
        <f>IF($A695="","",[1]!thsiFinD("ths_adjustment_nv_fund",C$3,$A695))</f>
        <v/>
      </c>
      <c r="D695" s="13" t="str">
        <f>IF($A695="","",[1]!thsiFinD("ths_adjustment_nv_fund",D$3,$A695))</f>
        <v/>
      </c>
      <c r="E695" s="13" t="str">
        <f>IF($A695="","",[1]!thsiFinD("ths_adjustment_nv_fund",E$3,$A695))</f>
        <v/>
      </c>
      <c r="F695" s="13" t="str">
        <f>IF($A695="","",[1]!thsiFinD("ths_adjustment_nv_fund",F$3,$A695))</f>
        <v/>
      </c>
      <c r="G695" s="13" t="str">
        <f>IF($A695="","",[1]!thsiFinD("ths_adjustment_nv_fund",G$3,$A695))</f>
        <v/>
      </c>
      <c r="H695" s="13" t="str">
        <f>IF($A695="","",[1]!thsiFinD("ths_adjustment_nv_fund",H$3,$A695))</f>
        <v/>
      </c>
      <c r="I695" s="13" t="str">
        <f>IF($A695="","",[1]!thsiFinD("ths_adjustment_nv_fund",I$3,$A695))</f>
        <v/>
      </c>
      <c r="J695" s="13" t="str">
        <f>IF($A695="","",[1]!thsiFinD("ths_adjustment_nv_fund",J$3,$A695))</f>
        <v/>
      </c>
      <c r="K695" s="13" t="str">
        <f>IF($A695="","",[1]!thsiFinD("ths_adjustment_nv_fund",K$3,$A695))</f>
        <v/>
      </c>
      <c r="L695" s="13" t="str">
        <f>IF($A695="","",[1]!thsiFinD("ths_adjustment_nv_fund",L$3,$A695))</f>
        <v/>
      </c>
      <c r="M695" s="13" t="str">
        <f>IF($A695="","",[1]!thsiFinD("ths_adjustment_nv_fund",M$3,$A695))</f>
        <v/>
      </c>
      <c r="N695" s="13" t="str">
        <f>IF($A695="","",[1]!thsiFinD("ths_adjustment_nv_fund",N$3,$A695))</f>
        <v/>
      </c>
      <c r="O695" s="13" t="str">
        <f>IF($A695="","",[1]!thsiFinD("ths_adjustment_nv_fund",O$3,$A695))</f>
        <v/>
      </c>
      <c r="P695" s="13" t="str">
        <f>IF($A695="","",[1]!thsiFinD("ths_adjustment_nv_fund",P$3,$A695))</f>
        <v/>
      </c>
      <c r="Q695" s="13" t="str">
        <f>IF($A695="","",[1]!thsiFinD("ths_adjustment_nv_fund",Q$3,$A695))</f>
        <v/>
      </c>
      <c r="R695" s="13" t="str">
        <f>IF($A695="","",[1]!thsiFinD("ths_adjustment_nv_fund",R$3,$A695))</f>
        <v/>
      </c>
      <c r="S695" s="13" t="str">
        <f>IF($A695="","",[1]!thsiFinD("ths_adjustment_nv_fund",S$3,$A695))</f>
        <v/>
      </c>
      <c r="T695" s="13" t="str">
        <f>IF($A695="","",[1]!thsiFinD("ths_adjustment_nv_fund",T$3,$A695))</f>
        <v/>
      </c>
      <c r="U695" s="13" t="str">
        <f>IF($A695="","",[1]!thsiFinD("ths_adjustment_nv_fund",U$3,$A695))</f>
        <v/>
      </c>
      <c r="V695" s="13" t="str">
        <f>IF($A695="","",[1]!thsiFinD("ths_adjustment_nv_fund",V$3,$A695))</f>
        <v/>
      </c>
      <c r="W695" s="13" t="str">
        <f>IF($A695="","",[1]!thsiFinD("ths_adjustment_nv_fund",W$3,$A695))</f>
        <v/>
      </c>
      <c r="X695" s="13" t="str">
        <f>IF($A695="","",[1]!thsiFinD("ths_adjustment_nv_fund",X$3,$A695))</f>
        <v/>
      </c>
      <c r="Y695" s="13" t="str">
        <f>IF($A695="","",[1]!thsiFinD("ths_adjustment_nv_fund",Y$3,$A695))</f>
        <v/>
      </c>
      <c r="Z695" s="13" t="str">
        <f>IF($A695="","",[1]!thsiFinD("ths_adjustment_nv_fund",Z$3,$A695))</f>
        <v/>
      </c>
      <c r="AA695" s="13" t="str">
        <f>IF($A695="","",[1]!thsiFinD("ths_adjustment_nv_fund",AA$3,$A695))</f>
        <v/>
      </c>
      <c r="AB695" s="13">
        <f>IF($A695="","",[1]!thsiFinD("ths_adjustment_nv_fund",AB$3,$A695))</f>
        <v/>
      </c>
      <c r="AC695" s="13">
        <f>IF($A695="","",[1]!thsiFinD("ths_adjustment_nv_fund",AC$3,$A695))</f>
        <v/>
      </c>
      <c r="AD695" s="13">
        <f>IF($A695="","",[1]!thsiFinD("ths_adjustment_nv_fund",AD$3,$A695))</f>
        <v/>
      </c>
      <c r="AE695" s="13">
        <f>IF($A695="","",[1]!thsiFinD("ths_adjustment_nv_fund",AE$3,$A695))</f>
        <v/>
      </c>
      <c r="AF695" s="13">
        <f>IF($A695="","",[1]!thsiFinD("ths_adjustment_nv_fund",AF$3,$A695))</f>
        <v/>
      </c>
      <c r="AG695" s="13">
        <f>IF($A695="","",[1]!thsiFinD("ths_adjustment_nv_fund",AG$3,$A695))</f>
        <v/>
      </c>
      <c r="AH695" s="13">
        <f>IF($A695="","",[1]!thsiFinD("ths_adjustment_nv_fund",AH$3,$A695))</f>
        <v/>
      </c>
      <c r="AI695" s="13">
        <f>IF($A695="","",[1]!thsiFinD("ths_adjustment_nv_fund",AI$3,$A695))</f>
        <v/>
      </c>
      <c r="AJ695" s="13">
        <f>IF($A695="","",[1]!thsiFinD("ths_adjustment_nv_fund",AJ$3,$A695))</f>
        <v/>
      </c>
      <c r="AK695" s="13">
        <f>IF($A695="","",[1]!thsiFinD("ths_adjustment_nv_fund",AK$3,$A695))</f>
        <v/>
      </c>
      <c r="AL695" s="13">
        <f>IF($A695="","",[1]!thsiFinD("ths_adjustment_nv_fund",AL$3,$A695))</f>
        <v/>
      </c>
    </row>
    <row r="696" spans="2:28">
      <c r="B696" s="13" t="str">
        <f>IF($A696="","",[1]!thsiFinD("ths_adjustment_nv_fund",B$3,$A696))</f>
        <v/>
      </c>
      <c r="C696" s="13" t="str">
        <f>IF($A696="","",[1]!thsiFinD("ths_adjustment_nv_fund",C$3,$A696))</f>
        <v/>
      </c>
      <c r="D696" s="13" t="str">
        <f>IF($A696="","",[1]!thsiFinD("ths_adjustment_nv_fund",D$3,$A696))</f>
        <v/>
      </c>
      <c r="E696" s="13" t="str">
        <f>IF($A696="","",[1]!thsiFinD("ths_adjustment_nv_fund",E$3,$A696))</f>
        <v/>
      </c>
      <c r="F696" s="13" t="str">
        <f>IF($A696="","",[1]!thsiFinD("ths_adjustment_nv_fund",F$3,$A696))</f>
        <v/>
      </c>
      <c r="G696" s="13" t="str">
        <f>IF($A696="","",[1]!thsiFinD("ths_adjustment_nv_fund",G$3,$A696))</f>
        <v/>
      </c>
      <c r="H696" s="13" t="str">
        <f>IF($A696="","",[1]!thsiFinD("ths_adjustment_nv_fund",H$3,$A696))</f>
        <v/>
      </c>
      <c r="I696" s="13" t="str">
        <f>IF($A696="","",[1]!thsiFinD("ths_adjustment_nv_fund",I$3,$A696))</f>
        <v/>
      </c>
      <c r="J696" s="13" t="str">
        <f>IF($A696="","",[1]!thsiFinD("ths_adjustment_nv_fund",J$3,$A696))</f>
        <v/>
      </c>
      <c r="K696" s="13" t="str">
        <f>IF($A696="","",[1]!thsiFinD("ths_adjustment_nv_fund",K$3,$A696))</f>
        <v/>
      </c>
      <c r="L696" s="13" t="str">
        <f>IF($A696="","",[1]!thsiFinD("ths_adjustment_nv_fund",L$3,$A696))</f>
        <v/>
      </c>
      <c r="M696" s="13" t="str">
        <f>IF($A696="","",[1]!thsiFinD("ths_adjustment_nv_fund",M$3,$A696))</f>
        <v/>
      </c>
      <c r="N696" s="13" t="str">
        <f>IF($A696="","",[1]!thsiFinD("ths_adjustment_nv_fund",N$3,$A696))</f>
        <v/>
      </c>
      <c r="O696" s="13" t="str">
        <f>IF($A696="","",[1]!thsiFinD("ths_adjustment_nv_fund",O$3,$A696))</f>
        <v/>
      </c>
      <c r="P696" s="13" t="str">
        <f>IF($A696="","",[1]!thsiFinD("ths_adjustment_nv_fund",P$3,$A696))</f>
        <v/>
      </c>
      <c r="Q696" s="13" t="str">
        <f>IF($A696="","",[1]!thsiFinD("ths_adjustment_nv_fund",Q$3,$A696))</f>
        <v/>
      </c>
      <c r="R696" s="13" t="str">
        <f>IF($A696="","",[1]!thsiFinD("ths_adjustment_nv_fund",R$3,$A696))</f>
        <v/>
      </c>
      <c r="S696" s="13" t="str">
        <f>IF($A696="","",[1]!thsiFinD("ths_adjustment_nv_fund",S$3,$A696))</f>
        <v/>
      </c>
      <c r="T696" s="13" t="str">
        <f>IF($A696="","",[1]!thsiFinD("ths_adjustment_nv_fund",T$3,$A696))</f>
        <v/>
      </c>
      <c r="U696" s="13" t="str">
        <f>IF($A696="","",[1]!thsiFinD("ths_adjustment_nv_fund",U$3,$A696))</f>
        <v/>
      </c>
      <c r="V696" s="13" t="str">
        <f>IF($A696="","",[1]!thsiFinD("ths_adjustment_nv_fund",V$3,$A696))</f>
        <v/>
      </c>
      <c r="W696" s="13" t="str">
        <f>IF($A696="","",[1]!thsiFinD("ths_adjustment_nv_fund",W$3,$A696))</f>
        <v/>
      </c>
      <c r="X696" s="13" t="str">
        <f>IF($A696="","",[1]!thsiFinD("ths_adjustment_nv_fund",X$3,$A696))</f>
        <v/>
      </c>
      <c r="Y696" s="13" t="str">
        <f>IF($A696="","",[1]!thsiFinD("ths_adjustment_nv_fund",Y$3,$A696))</f>
        <v/>
      </c>
      <c r="Z696" s="13" t="str">
        <f>IF($A696="","",[1]!thsiFinD("ths_adjustment_nv_fund",Z$3,$A696))</f>
        <v/>
      </c>
      <c r="AA696" s="13" t="str">
        <f>IF($A696="","",[1]!thsiFinD("ths_adjustment_nv_fund",AA$3,$A696))</f>
        <v/>
      </c>
      <c r="AB696" s="13">
        <f>IF($A696="","",[1]!thsiFinD("ths_adjustment_nv_fund",AB$3,$A696))</f>
        <v/>
      </c>
      <c r="AC696" s="13">
        <f>IF($A696="","",[1]!thsiFinD("ths_adjustment_nv_fund",AC$3,$A696))</f>
        <v/>
      </c>
      <c r="AD696" s="13">
        <f>IF($A696="","",[1]!thsiFinD("ths_adjustment_nv_fund",AD$3,$A696))</f>
        <v/>
      </c>
      <c r="AE696" s="13">
        <f>IF($A696="","",[1]!thsiFinD("ths_adjustment_nv_fund",AE$3,$A696))</f>
        <v/>
      </c>
      <c r="AF696" s="13">
        <f>IF($A696="","",[1]!thsiFinD("ths_adjustment_nv_fund",AF$3,$A696))</f>
        <v/>
      </c>
      <c r="AG696" s="13">
        <f>IF($A696="","",[1]!thsiFinD("ths_adjustment_nv_fund",AG$3,$A696))</f>
        <v/>
      </c>
      <c r="AH696" s="13">
        <f>IF($A696="","",[1]!thsiFinD("ths_adjustment_nv_fund",AH$3,$A696))</f>
        <v/>
      </c>
      <c r="AI696" s="13">
        <f>IF($A696="","",[1]!thsiFinD("ths_adjustment_nv_fund",AI$3,$A696))</f>
        <v/>
      </c>
      <c r="AJ696" s="13">
        <f>IF($A696="","",[1]!thsiFinD("ths_adjustment_nv_fund",AJ$3,$A696))</f>
        <v/>
      </c>
      <c r="AK696" s="13">
        <f>IF($A696="","",[1]!thsiFinD("ths_adjustment_nv_fund",AK$3,$A696))</f>
        <v/>
      </c>
      <c r="AL696" s="13">
        <f>IF($A696="","",[1]!thsiFinD("ths_adjustment_nv_fund",AL$3,$A696))</f>
        <v/>
      </c>
    </row>
    <row r="697" spans="2:28">
      <c r="B697" s="13" t="str">
        <f>IF($A697="","",[1]!thsiFinD("ths_adjustment_nv_fund",B$3,$A697))</f>
        <v/>
      </c>
      <c r="C697" s="13" t="str">
        <f>IF($A697="","",[1]!thsiFinD("ths_adjustment_nv_fund",C$3,$A697))</f>
        <v/>
      </c>
      <c r="D697" s="13" t="str">
        <f>IF($A697="","",[1]!thsiFinD("ths_adjustment_nv_fund",D$3,$A697))</f>
        <v/>
      </c>
      <c r="E697" s="13" t="str">
        <f>IF($A697="","",[1]!thsiFinD("ths_adjustment_nv_fund",E$3,$A697))</f>
        <v/>
      </c>
      <c r="F697" s="13" t="str">
        <f>IF($A697="","",[1]!thsiFinD("ths_adjustment_nv_fund",F$3,$A697))</f>
        <v/>
      </c>
      <c r="G697" s="13" t="str">
        <f>IF($A697="","",[1]!thsiFinD("ths_adjustment_nv_fund",G$3,$A697))</f>
        <v/>
      </c>
      <c r="H697" s="13" t="str">
        <f>IF($A697="","",[1]!thsiFinD("ths_adjustment_nv_fund",H$3,$A697))</f>
        <v/>
      </c>
      <c r="I697" s="13" t="str">
        <f>IF($A697="","",[1]!thsiFinD("ths_adjustment_nv_fund",I$3,$A697))</f>
        <v/>
      </c>
      <c r="J697" s="13" t="str">
        <f>IF($A697="","",[1]!thsiFinD("ths_adjustment_nv_fund",J$3,$A697))</f>
        <v/>
      </c>
      <c r="K697" s="13" t="str">
        <f>IF($A697="","",[1]!thsiFinD("ths_adjustment_nv_fund",K$3,$A697))</f>
        <v/>
      </c>
      <c r="L697" s="13" t="str">
        <f>IF($A697="","",[1]!thsiFinD("ths_adjustment_nv_fund",L$3,$A697))</f>
        <v/>
      </c>
      <c r="M697" s="13" t="str">
        <f>IF($A697="","",[1]!thsiFinD("ths_adjustment_nv_fund",M$3,$A697))</f>
        <v/>
      </c>
      <c r="N697" s="13" t="str">
        <f>IF($A697="","",[1]!thsiFinD("ths_adjustment_nv_fund",N$3,$A697))</f>
        <v/>
      </c>
      <c r="O697" s="13" t="str">
        <f>IF($A697="","",[1]!thsiFinD("ths_adjustment_nv_fund",O$3,$A697))</f>
        <v/>
      </c>
      <c r="P697" s="13" t="str">
        <f>IF($A697="","",[1]!thsiFinD("ths_adjustment_nv_fund",P$3,$A697))</f>
        <v/>
      </c>
      <c r="Q697" s="13" t="str">
        <f>IF($A697="","",[1]!thsiFinD("ths_adjustment_nv_fund",Q$3,$A697))</f>
        <v/>
      </c>
      <c r="R697" s="13" t="str">
        <f>IF($A697="","",[1]!thsiFinD("ths_adjustment_nv_fund",R$3,$A697))</f>
        <v/>
      </c>
      <c r="S697" s="13" t="str">
        <f>IF($A697="","",[1]!thsiFinD("ths_adjustment_nv_fund",S$3,$A697))</f>
        <v/>
      </c>
      <c r="T697" s="13" t="str">
        <f>IF($A697="","",[1]!thsiFinD("ths_adjustment_nv_fund",T$3,$A697))</f>
        <v/>
      </c>
      <c r="U697" s="13" t="str">
        <f>IF($A697="","",[1]!thsiFinD("ths_adjustment_nv_fund",U$3,$A697))</f>
        <v/>
      </c>
      <c r="V697" s="13" t="str">
        <f>IF($A697="","",[1]!thsiFinD("ths_adjustment_nv_fund",V$3,$A697))</f>
        <v/>
      </c>
      <c r="W697" s="13" t="str">
        <f>IF($A697="","",[1]!thsiFinD("ths_adjustment_nv_fund",W$3,$A697))</f>
        <v/>
      </c>
      <c r="X697" s="13" t="str">
        <f>IF($A697="","",[1]!thsiFinD("ths_adjustment_nv_fund",X$3,$A697))</f>
        <v/>
      </c>
      <c r="Y697" s="13" t="str">
        <f>IF($A697="","",[1]!thsiFinD("ths_adjustment_nv_fund",Y$3,$A697))</f>
        <v/>
      </c>
      <c r="Z697" s="13" t="str">
        <f>IF($A697="","",[1]!thsiFinD("ths_adjustment_nv_fund",Z$3,$A697))</f>
        <v/>
      </c>
      <c r="AA697" s="13" t="str">
        <f>IF($A697="","",[1]!thsiFinD("ths_adjustment_nv_fund",AA$3,$A697))</f>
        <v/>
      </c>
      <c r="AB697" s="13">
        <f>IF($A697="","",[1]!thsiFinD("ths_adjustment_nv_fund",AB$3,$A697))</f>
        <v/>
      </c>
      <c r="AC697" s="13">
        <f>IF($A697="","",[1]!thsiFinD("ths_adjustment_nv_fund",AC$3,$A697))</f>
        <v/>
      </c>
      <c r="AD697" s="13">
        <f>IF($A697="","",[1]!thsiFinD("ths_adjustment_nv_fund",AD$3,$A697))</f>
        <v/>
      </c>
      <c r="AE697" s="13">
        <f>IF($A697="","",[1]!thsiFinD("ths_adjustment_nv_fund",AE$3,$A697))</f>
        <v/>
      </c>
      <c r="AF697" s="13">
        <f>IF($A697="","",[1]!thsiFinD("ths_adjustment_nv_fund",AF$3,$A697))</f>
        <v/>
      </c>
      <c r="AG697" s="13">
        <f>IF($A697="","",[1]!thsiFinD("ths_adjustment_nv_fund",AG$3,$A697))</f>
        <v/>
      </c>
      <c r="AH697" s="13">
        <f>IF($A697="","",[1]!thsiFinD("ths_adjustment_nv_fund",AH$3,$A697))</f>
        <v/>
      </c>
      <c r="AI697" s="13">
        <f>IF($A697="","",[1]!thsiFinD("ths_adjustment_nv_fund",AI$3,$A697))</f>
        <v/>
      </c>
      <c r="AJ697" s="13">
        <f>IF($A697="","",[1]!thsiFinD("ths_adjustment_nv_fund",AJ$3,$A697))</f>
        <v/>
      </c>
      <c r="AK697" s="13">
        <f>IF($A697="","",[1]!thsiFinD("ths_adjustment_nv_fund",AK$3,$A697))</f>
        <v/>
      </c>
      <c r="AL697" s="13">
        <f>IF($A697="","",[1]!thsiFinD("ths_adjustment_nv_fund",AL$3,$A697))</f>
        <v/>
      </c>
    </row>
    <row r="698" spans="2:28">
      <c r="B698" s="13" t="str">
        <f>IF($A698="","",[1]!thsiFinD("ths_adjustment_nv_fund",B$3,$A698))</f>
        <v/>
      </c>
      <c r="C698" s="13" t="str">
        <f>IF($A698="","",[1]!thsiFinD("ths_adjustment_nv_fund",C$3,$A698))</f>
        <v/>
      </c>
      <c r="D698" s="13" t="str">
        <f>IF($A698="","",[1]!thsiFinD("ths_adjustment_nv_fund",D$3,$A698))</f>
        <v/>
      </c>
      <c r="E698" s="13" t="str">
        <f>IF($A698="","",[1]!thsiFinD("ths_adjustment_nv_fund",E$3,$A698))</f>
        <v/>
      </c>
      <c r="F698" s="13" t="str">
        <f>IF($A698="","",[1]!thsiFinD("ths_adjustment_nv_fund",F$3,$A698))</f>
        <v/>
      </c>
      <c r="G698" s="13" t="str">
        <f>IF($A698="","",[1]!thsiFinD("ths_adjustment_nv_fund",G$3,$A698))</f>
        <v/>
      </c>
      <c r="H698" s="13" t="str">
        <f>IF($A698="","",[1]!thsiFinD("ths_adjustment_nv_fund",H$3,$A698))</f>
        <v/>
      </c>
      <c r="I698" s="13" t="str">
        <f>IF($A698="","",[1]!thsiFinD("ths_adjustment_nv_fund",I$3,$A698))</f>
        <v/>
      </c>
      <c r="J698" s="13" t="str">
        <f>IF($A698="","",[1]!thsiFinD("ths_adjustment_nv_fund",J$3,$A698))</f>
        <v/>
      </c>
      <c r="K698" s="13" t="str">
        <f>IF($A698="","",[1]!thsiFinD("ths_adjustment_nv_fund",K$3,$A698))</f>
        <v/>
      </c>
      <c r="L698" s="13" t="str">
        <f>IF($A698="","",[1]!thsiFinD("ths_adjustment_nv_fund",L$3,$A698))</f>
        <v/>
      </c>
      <c r="M698" s="13" t="str">
        <f>IF($A698="","",[1]!thsiFinD("ths_adjustment_nv_fund",M$3,$A698))</f>
        <v/>
      </c>
      <c r="N698" s="13" t="str">
        <f>IF($A698="","",[1]!thsiFinD("ths_adjustment_nv_fund",N$3,$A698))</f>
        <v/>
      </c>
      <c r="O698" s="13" t="str">
        <f>IF($A698="","",[1]!thsiFinD("ths_adjustment_nv_fund",O$3,$A698))</f>
        <v/>
      </c>
      <c r="P698" s="13" t="str">
        <f>IF($A698="","",[1]!thsiFinD("ths_adjustment_nv_fund",P$3,$A698))</f>
        <v/>
      </c>
      <c r="Q698" s="13" t="str">
        <f>IF($A698="","",[1]!thsiFinD("ths_adjustment_nv_fund",Q$3,$A698))</f>
        <v/>
      </c>
      <c r="R698" s="13" t="str">
        <f>IF($A698="","",[1]!thsiFinD("ths_adjustment_nv_fund",R$3,$A698))</f>
        <v/>
      </c>
      <c r="S698" s="13" t="str">
        <f>IF($A698="","",[1]!thsiFinD("ths_adjustment_nv_fund",S$3,$A698))</f>
        <v/>
      </c>
      <c r="T698" s="13" t="str">
        <f>IF($A698="","",[1]!thsiFinD("ths_adjustment_nv_fund",T$3,$A698))</f>
        <v/>
      </c>
      <c r="U698" s="13" t="str">
        <f>IF($A698="","",[1]!thsiFinD("ths_adjustment_nv_fund",U$3,$A698))</f>
        <v/>
      </c>
      <c r="V698" s="13" t="str">
        <f>IF($A698="","",[1]!thsiFinD("ths_adjustment_nv_fund",V$3,$A698))</f>
        <v/>
      </c>
      <c r="W698" s="13" t="str">
        <f>IF($A698="","",[1]!thsiFinD("ths_adjustment_nv_fund",W$3,$A698))</f>
        <v/>
      </c>
      <c r="X698" s="13" t="str">
        <f>IF($A698="","",[1]!thsiFinD("ths_adjustment_nv_fund",X$3,$A698))</f>
        <v/>
      </c>
      <c r="Y698" s="13" t="str">
        <f>IF($A698="","",[1]!thsiFinD("ths_adjustment_nv_fund",Y$3,$A698))</f>
        <v/>
      </c>
      <c r="Z698" s="13" t="str">
        <f>IF($A698="","",[1]!thsiFinD("ths_adjustment_nv_fund",Z$3,$A698))</f>
        <v/>
      </c>
      <c r="AA698" s="13" t="str">
        <f>IF($A698="","",[1]!thsiFinD("ths_adjustment_nv_fund",AA$3,$A698))</f>
        <v/>
      </c>
      <c r="AB698" s="13">
        <f>IF($A698="","",[1]!thsiFinD("ths_adjustment_nv_fund",AB$3,$A698))</f>
        <v/>
      </c>
      <c r="AC698" s="13">
        <f>IF($A698="","",[1]!thsiFinD("ths_adjustment_nv_fund",AC$3,$A698))</f>
        <v/>
      </c>
      <c r="AD698" s="13">
        <f>IF($A698="","",[1]!thsiFinD("ths_adjustment_nv_fund",AD$3,$A698))</f>
        <v/>
      </c>
      <c r="AE698" s="13">
        <f>IF($A698="","",[1]!thsiFinD("ths_adjustment_nv_fund",AE$3,$A698))</f>
        <v/>
      </c>
      <c r="AF698" s="13">
        <f>IF($A698="","",[1]!thsiFinD("ths_adjustment_nv_fund",AF$3,$A698))</f>
        <v/>
      </c>
      <c r="AG698" s="13">
        <f>IF($A698="","",[1]!thsiFinD("ths_adjustment_nv_fund",AG$3,$A698))</f>
        <v/>
      </c>
      <c r="AH698" s="13">
        <f>IF($A698="","",[1]!thsiFinD("ths_adjustment_nv_fund",AH$3,$A698))</f>
        <v/>
      </c>
      <c r="AI698" s="13">
        <f>IF($A698="","",[1]!thsiFinD("ths_adjustment_nv_fund",AI$3,$A698))</f>
        <v/>
      </c>
      <c r="AJ698" s="13">
        <f>IF($A698="","",[1]!thsiFinD("ths_adjustment_nv_fund",AJ$3,$A698))</f>
        <v/>
      </c>
      <c r="AK698" s="13">
        <f>IF($A698="","",[1]!thsiFinD("ths_adjustment_nv_fund",AK$3,$A698))</f>
        <v/>
      </c>
      <c r="AL698" s="13">
        <f>IF($A698="","",[1]!thsiFinD("ths_adjustment_nv_fund",AL$3,$A698))</f>
        <v/>
      </c>
    </row>
    <row r="699" spans="2:28">
      <c r="B699" s="13" t="str">
        <f>IF($A699="","",[1]!thsiFinD("ths_adjustment_nv_fund",B$3,$A699))</f>
        <v/>
      </c>
      <c r="C699" s="13" t="str">
        <f>IF($A699="","",[1]!thsiFinD("ths_adjustment_nv_fund",C$3,$A699))</f>
        <v/>
      </c>
      <c r="D699" s="13" t="str">
        <f>IF($A699="","",[1]!thsiFinD("ths_adjustment_nv_fund",D$3,$A699))</f>
        <v/>
      </c>
      <c r="E699" s="13" t="str">
        <f>IF($A699="","",[1]!thsiFinD("ths_adjustment_nv_fund",E$3,$A699))</f>
        <v/>
      </c>
      <c r="F699" s="13" t="str">
        <f>IF($A699="","",[1]!thsiFinD("ths_adjustment_nv_fund",F$3,$A699))</f>
        <v/>
      </c>
      <c r="G699" s="13" t="str">
        <f>IF($A699="","",[1]!thsiFinD("ths_adjustment_nv_fund",G$3,$A699))</f>
        <v/>
      </c>
      <c r="H699" s="13" t="str">
        <f>IF($A699="","",[1]!thsiFinD("ths_adjustment_nv_fund",H$3,$A699))</f>
        <v/>
      </c>
      <c r="I699" s="13" t="str">
        <f>IF($A699="","",[1]!thsiFinD("ths_adjustment_nv_fund",I$3,$A699))</f>
        <v/>
      </c>
      <c r="J699" s="13" t="str">
        <f>IF($A699="","",[1]!thsiFinD("ths_adjustment_nv_fund",J$3,$A699))</f>
        <v/>
      </c>
      <c r="K699" s="13" t="str">
        <f>IF($A699="","",[1]!thsiFinD("ths_adjustment_nv_fund",K$3,$A699))</f>
        <v/>
      </c>
      <c r="L699" s="13" t="str">
        <f>IF($A699="","",[1]!thsiFinD("ths_adjustment_nv_fund",L$3,$A699))</f>
        <v/>
      </c>
      <c r="M699" s="13" t="str">
        <f>IF($A699="","",[1]!thsiFinD("ths_adjustment_nv_fund",M$3,$A699))</f>
        <v/>
      </c>
      <c r="N699" s="13" t="str">
        <f>IF($A699="","",[1]!thsiFinD("ths_adjustment_nv_fund",N$3,$A699))</f>
        <v/>
      </c>
      <c r="O699" s="13" t="str">
        <f>IF($A699="","",[1]!thsiFinD("ths_adjustment_nv_fund",O$3,$A699))</f>
        <v/>
      </c>
      <c r="P699" s="13" t="str">
        <f>IF($A699="","",[1]!thsiFinD("ths_adjustment_nv_fund",P$3,$A699))</f>
        <v/>
      </c>
      <c r="Q699" s="13" t="str">
        <f>IF($A699="","",[1]!thsiFinD("ths_adjustment_nv_fund",Q$3,$A699))</f>
        <v/>
      </c>
      <c r="R699" s="13" t="str">
        <f>IF($A699="","",[1]!thsiFinD("ths_adjustment_nv_fund",R$3,$A699))</f>
        <v/>
      </c>
      <c r="S699" s="13" t="str">
        <f>IF($A699="","",[1]!thsiFinD("ths_adjustment_nv_fund",S$3,$A699))</f>
        <v/>
      </c>
      <c r="T699" s="13" t="str">
        <f>IF($A699="","",[1]!thsiFinD("ths_adjustment_nv_fund",T$3,$A699))</f>
        <v/>
      </c>
      <c r="U699" s="13" t="str">
        <f>IF($A699="","",[1]!thsiFinD("ths_adjustment_nv_fund",U$3,$A699))</f>
        <v/>
      </c>
      <c r="V699" s="13" t="str">
        <f>IF($A699="","",[1]!thsiFinD("ths_adjustment_nv_fund",V$3,$A699))</f>
        <v/>
      </c>
      <c r="W699" s="13" t="str">
        <f>IF($A699="","",[1]!thsiFinD("ths_adjustment_nv_fund",W$3,$A699))</f>
        <v/>
      </c>
      <c r="X699" s="13" t="str">
        <f>IF($A699="","",[1]!thsiFinD("ths_adjustment_nv_fund",X$3,$A699))</f>
        <v/>
      </c>
      <c r="Y699" s="13" t="str">
        <f>IF($A699="","",[1]!thsiFinD("ths_adjustment_nv_fund",Y$3,$A699))</f>
        <v/>
      </c>
      <c r="Z699" s="13" t="str">
        <f>IF($A699="","",[1]!thsiFinD("ths_adjustment_nv_fund",Z$3,$A699))</f>
        <v/>
      </c>
      <c r="AA699" s="13" t="str">
        <f>IF($A699="","",[1]!thsiFinD("ths_adjustment_nv_fund",AA$3,$A699))</f>
        <v/>
      </c>
      <c r="AB699" s="13">
        <f>IF($A699="","",[1]!thsiFinD("ths_adjustment_nv_fund",AB$3,$A699))</f>
        <v/>
      </c>
      <c r="AC699" s="13">
        <f>IF($A699="","",[1]!thsiFinD("ths_adjustment_nv_fund",AC$3,$A699))</f>
        <v/>
      </c>
      <c r="AD699" s="13">
        <f>IF($A699="","",[1]!thsiFinD("ths_adjustment_nv_fund",AD$3,$A699))</f>
        <v/>
      </c>
      <c r="AE699" s="13">
        <f>IF($A699="","",[1]!thsiFinD("ths_adjustment_nv_fund",AE$3,$A699))</f>
        <v/>
      </c>
      <c r="AF699" s="13">
        <f>IF($A699="","",[1]!thsiFinD("ths_adjustment_nv_fund",AF$3,$A699))</f>
        <v/>
      </c>
      <c r="AG699" s="13">
        <f>IF($A699="","",[1]!thsiFinD("ths_adjustment_nv_fund",AG$3,$A699))</f>
        <v/>
      </c>
      <c r="AH699" s="13">
        <f>IF($A699="","",[1]!thsiFinD("ths_adjustment_nv_fund",AH$3,$A699))</f>
        <v/>
      </c>
      <c r="AI699" s="13">
        <f>IF($A699="","",[1]!thsiFinD("ths_adjustment_nv_fund",AI$3,$A699))</f>
        <v/>
      </c>
      <c r="AJ699" s="13">
        <f>IF($A699="","",[1]!thsiFinD("ths_adjustment_nv_fund",AJ$3,$A699))</f>
        <v/>
      </c>
      <c r="AK699" s="13">
        <f>IF($A699="","",[1]!thsiFinD("ths_adjustment_nv_fund",AK$3,$A699))</f>
        <v/>
      </c>
      <c r="AL699" s="13">
        <f>IF($A699="","",[1]!thsiFinD("ths_adjustment_nv_fund",AL$3,$A699))</f>
        <v/>
      </c>
    </row>
    <row r="700" spans="2:28">
      <c r="B700" s="13" t="str">
        <f>IF($A700="","",[1]!thsiFinD("ths_adjustment_nv_fund",B$3,$A700))</f>
        <v/>
      </c>
      <c r="C700" s="13" t="str">
        <f>IF($A700="","",[1]!thsiFinD("ths_adjustment_nv_fund",C$3,$A700))</f>
        <v/>
      </c>
      <c r="D700" s="13" t="str">
        <f>IF($A700="","",[1]!thsiFinD("ths_adjustment_nv_fund",D$3,$A700))</f>
        <v/>
      </c>
      <c r="E700" s="13" t="str">
        <f>IF($A700="","",[1]!thsiFinD("ths_adjustment_nv_fund",E$3,$A700))</f>
        <v/>
      </c>
      <c r="F700" s="13" t="str">
        <f>IF($A700="","",[1]!thsiFinD("ths_adjustment_nv_fund",F$3,$A700))</f>
        <v/>
      </c>
      <c r="G700" s="13" t="str">
        <f>IF($A700="","",[1]!thsiFinD("ths_adjustment_nv_fund",G$3,$A700))</f>
        <v/>
      </c>
      <c r="H700" s="13" t="str">
        <f>IF($A700="","",[1]!thsiFinD("ths_adjustment_nv_fund",H$3,$A700))</f>
        <v/>
      </c>
      <c r="I700" s="13" t="str">
        <f>IF($A700="","",[1]!thsiFinD("ths_adjustment_nv_fund",I$3,$A700))</f>
        <v/>
      </c>
      <c r="J700" s="13" t="str">
        <f>IF($A700="","",[1]!thsiFinD("ths_adjustment_nv_fund",J$3,$A700))</f>
        <v/>
      </c>
      <c r="K700" s="13" t="str">
        <f>IF($A700="","",[1]!thsiFinD("ths_adjustment_nv_fund",K$3,$A700))</f>
        <v/>
      </c>
      <c r="L700" s="13" t="str">
        <f>IF($A700="","",[1]!thsiFinD("ths_adjustment_nv_fund",L$3,$A700))</f>
        <v/>
      </c>
      <c r="M700" s="13" t="str">
        <f>IF($A700="","",[1]!thsiFinD("ths_adjustment_nv_fund",M$3,$A700))</f>
        <v/>
      </c>
      <c r="N700" s="13" t="str">
        <f>IF($A700="","",[1]!thsiFinD("ths_adjustment_nv_fund",N$3,$A700))</f>
        <v/>
      </c>
      <c r="O700" s="13" t="str">
        <f>IF($A700="","",[1]!thsiFinD("ths_adjustment_nv_fund",O$3,$A700))</f>
        <v/>
      </c>
      <c r="P700" s="13" t="str">
        <f>IF($A700="","",[1]!thsiFinD("ths_adjustment_nv_fund",P$3,$A700))</f>
        <v/>
      </c>
      <c r="Q700" s="13" t="str">
        <f>IF($A700="","",[1]!thsiFinD("ths_adjustment_nv_fund",Q$3,$A700))</f>
        <v/>
      </c>
      <c r="R700" s="13" t="str">
        <f>IF($A700="","",[1]!thsiFinD("ths_adjustment_nv_fund",R$3,$A700))</f>
        <v/>
      </c>
      <c r="S700" s="13" t="str">
        <f>IF($A700="","",[1]!thsiFinD("ths_adjustment_nv_fund",S$3,$A700))</f>
        <v/>
      </c>
      <c r="T700" s="13" t="str">
        <f>IF($A700="","",[1]!thsiFinD("ths_adjustment_nv_fund",T$3,$A700))</f>
        <v/>
      </c>
      <c r="U700" s="13" t="str">
        <f>IF($A700="","",[1]!thsiFinD("ths_adjustment_nv_fund",U$3,$A700))</f>
        <v/>
      </c>
      <c r="V700" s="13" t="str">
        <f>IF($A700="","",[1]!thsiFinD("ths_adjustment_nv_fund",V$3,$A700))</f>
        <v/>
      </c>
      <c r="W700" s="13" t="str">
        <f>IF($A700="","",[1]!thsiFinD("ths_adjustment_nv_fund",W$3,$A700))</f>
        <v/>
      </c>
      <c r="X700" s="13" t="str">
        <f>IF($A700="","",[1]!thsiFinD("ths_adjustment_nv_fund",X$3,$A700))</f>
        <v/>
      </c>
      <c r="Y700" s="13" t="str">
        <f>IF($A700="","",[1]!thsiFinD("ths_adjustment_nv_fund",Y$3,$A700))</f>
        <v/>
      </c>
      <c r="Z700" s="13" t="str">
        <f>IF($A700="","",[1]!thsiFinD("ths_adjustment_nv_fund",Z$3,$A700))</f>
        <v/>
      </c>
      <c r="AA700" s="13" t="str">
        <f>IF($A700="","",[1]!thsiFinD("ths_adjustment_nv_fund",AA$3,$A700))</f>
        <v/>
      </c>
      <c r="AB700" s="13">
        <f>IF($A700="","",[1]!thsiFinD("ths_adjustment_nv_fund",AB$3,$A700))</f>
        <v/>
      </c>
      <c r="AC700" s="13">
        <f>IF($A700="","",[1]!thsiFinD("ths_adjustment_nv_fund",AC$3,$A700))</f>
        <v/>
      </c>
      <c r="AD700" s="13">
        <f>IF($A700="","",[1]!thsiFinD("ths_adjustment_nv_fund",AD$3,$A700))</f>
        <v/>
      </c>
      <c r="AE700" s="13">
        <f>IF($A700="","",[1]!thsiFinD("ths_adjustment_nv_fund",AE$3,$A700))</f>
        <v/>
      </c>
      <c r="AF700" s="13">
        <f>IF($A700="","",[1]!thsiFinD("ths_adjustment_nv_fund",AF$3,$A700))</f>
        <v/>
      </c>
      <c r="AG700" s="13">
        <f>IF($A700="","",[1]!thsiFinD("ths_adjustment_nv_fund",AG$3,$A700))</f>
        <v/>
      </c>
      <c r="AH700" s="13">
        <f>IF($A700="","",[1]!thsiFinD("ths_adjustment_nv_fund",AH$3,$A700))</f>
        <v/>
      </c>
      <c r="AI700" s="13">
        <f>IF($A700="","",[1]!thsiFinD("ths_adjustment_nv_fund",AI$3,$A700))</f>
        <v/>
      </c>
      <c r="AJ700" s="13">
        <f>IF($A700="","",[1]!thsiFinD("ths_adjustment_nv_fund",AJ$3,$A700))</f>
        <v/>
      </c>
      <c r="AK700" s="13">
        <f>IF($A700="","",[1]!thsiFinD("ths_adjustment_nv_fund",AK$3,$A700))</f>
        <v/>
      </c>
      <c r="AL700" s="13">
        <f>IF($A700="","",[1]!thsiFinD("ths_adjustment_nv_fund",AL$3,$A700))</f>
        <v/>
      </c>
    </row>
    <row r="701" spans="2:28">
      <c r="B701" s="13" t="str">
        <f>IF($A701="","",[1]!thsiFinD("ths_adjustment_nv_fund",B$3,$A701))</f>
        <v/>
      </c>
      <c r="C701" s="13" t="str">
        <f>IF($A701="","",[1]!thsiFinD("ths_adjustment_nv_fund",C$3,$A701))</f>
        <v/>
      </c>
      <c r="D701" s="13" t="str">
        <f>IF($A701="","",[1]!thsiFinD("ths_adjustment_nv_fund",D$3,$A701))</f>
        <v/>
      </c>
      <c r="E701" s="13" t="str">
        <f>IF($A701="","",[1]!thsiFinD("ths_adjustment_nv_fund",E$3,$A701))</f>
        <v/>
      </c>
      <c r="F701" s="13" t="str">
        <f>IF($A701="","",[1]!thsiFinD("ths_adjustment_nv_fund",F$3,$A701))</f>
        <v/>
      </c>
      <c r="G701" s="13" t="str">
        <f>IF($A701="","",[1]!thsiFinD("ths_adjustment_nv_fund",G$3,$A701))</f>
        <v/>
      </c>
      <c r="H701" s="13" t="str">
        <f>IF($A701="","",[1]!thsiFinD("ths_adjustment_nv_fund",H$3,$A701))</f>
        <v/>
      </c>
      <c r="I701" s="13" t="str">
        <f>IF($A701="","",[1]!thsiFinD("ths_adjustment_nv_fund",I$3,$A701))</f>
        <v/>
      </c>
      <c r="J701" s="13" t="str">
        <f>IF($A701="","",[1]!thsiFinD("ths_adjustment_nv_fund",J$3,$A701))</f>
        <v/>
      </c>
      <c r="K701" s="13" t="str">
        <f>IF($A701="","",[1]!thsiFinD("ths_adjustment_nv_fund",K$3,$A701))</f>
        <v/>
      </c>
      <c r="L701" s="13" t="str">
        <f>IF($A701="","",[1]!thsiFinD("ths_adjustment_nv_fund",L$3,$A701))</f>
        <v/>
      </c>
      <c r="M701" s="13" t="str">
        <f>IF($A701="","",[1]!thsiFinD("ths_adjustment_nv_fund",M$3,$A701))</f>
        <v/>
      </c>
      <c r="N701" s="13" t="str">
        <f>IF($A701="","",[1]!thsiFinD("ths_adjustment_nv_fund",N$3,$A701))</f>
        <v/>
      </c>
      <c r="O701" s="13" t="str">
        <f>IF($A701="","",[1]!thsiFinD("ths_adjustment_nv_fund",O$3,$A701))</f>
        <v/>
      </c>
      <c r="P701" s="13" t="str">
        <f>IF($A701="","",[1]!thsiFinD("ths_adjustment_nv_fund",P$3,$A701))</f>
        <v/>
      </c>
      <c r="Q701" s="13" t="str">
        <f>IF($A701="","",[1]!thsiFinD("ths_adjustment_nv_fund",Q$3,$A701))</f>
        <v/>
      </c>
      <c r="R701" s="13" t="str">
        <f>IF($A701="","",[1]!thsiFinD("ths_adjustment_nv_fund",R$3,$A701))</f>
        <v/>
      </c>
      <c r="S701" s="13" t="str">
        <f>IF($A701="","",[1]!thsiFinD("ths_adjustment_nv_fund",S$3,$A701))</f>
        <v/>
      </c>
      <c r="T701" s="13" t="str">
        <f>IF($A701="","",[1]!thsiFinD("ths_adjustment_nv_fund",T$3,$A701))</f>
        <v/>
      </c>
      <c r="U701" s="13" t="str">
        <f>IF($A701="","",[1]!thsiFinD("ths_adjustment_nv_fund",U$3,$A701))</f>
        <v/>
      </c>
      <c r="V701" s="13" t="str">
        <f>IF($A701="","",[1]!thsiFinD("ths_adjustment_nv_fund",V$3,$A701))</f>
        <v/>
      </c>
      <c r="W701" s="13" t="str">
        <f>IF($A701="","",[1]!thsiFinD("ths_adjustment_nv_fund",W$3,$A701))</f>
        <v/>
      </c>
      <c r="X701" s="13" t="str">
        <f>IF($A701="","",[1]!thsiFinD("ths_adjustment_nv_fund",X$3,$A701))</f>
        <v/>
      </c>
      <c r="Y701" s="13" t="str">
        <f>IF($A701="","",[1]!thsiFinD("ths_adjustment_nv_fund",Y$3,$A701))</f>
        <v/>
      </c>
      <c r="Z701" s="13" t="str">
        <f>IF($A701="","",[1]!thsiFinD("ths_adjustment_nv_fund",Z$3,$A701))</f>
        <v/>
      </c>
      <c r="AA701" s="13" t="str">
        <f>IF($A701="","",[1]!thsiFinD("ths_adjustment_nv_fund",AA$3,$A701))</f>
        <v/>
      </c>
      <c r="AB701" s="13">
        <f>IF($A701="","",[1]!thsiFinD("ths_adjustment_nv_fund",AB$3,$A701))</f>
        <v/>
      </c>
      <c r="AC701" s="13">
        <f>IF($A701="","",[1]!thsiFinD("ths_adjustment_nv_fund",AC$3,$A701))</f>
        <v/>
      </c>
      <c r="AD701" s="13">
        <f>IF($A701="","",[1]!thsiFinD("ths_adjustment_nv_fund",AD$3,$A701))</f>
        <v/>
      </c>
      <c r="AE701" s="13">
        <f>IF($A701="","",[1]!thsiFinD("ths_adjustment_nv_fund",AE$3,$A701))</f>
        <v/>
      </c>
      <c r="AF701" s="13">
        <f>IF($A701="","",[1]!thsiFinD("ths_adjustment_nv_fund",AF$3,$A701))</f>
        <v/>
      </c>
      <c r="AG701" s="13">
        <f>IF($A701="","",[1]!thsiFinD("ths_adjustment_nv_fund",AG$3,$A701))</f>
        <v/>
      </c>
      <c r="AH701" s="13">
        <f>IF($A701="","",[1]!thsiFinD("ths_adjustment_nv_fund",AH$3,$A701))</f>
        <v/>
      </c>
      <c r="AI701" s="13">
        <f>IF($A701="","",[1]!thsiFinD("ths_adjustment_nv_fund",AI$3,$A701))</f>
        <v/>
      </c>
      <c r="AJ701" s="13">
        <f>IF($A701="","",[1]!thsiFinD("ths_adjustment_nv_fund",AJ$3,$A701))</f>
        <v/>
      </c>
      <c r="AK701" s="13">
        <f>IF($A701="","",[1]!thsiFinD("ths_adjustment_nv_fund",AK$3,$A701))</f>
        <v/>
      </c>
      <c r="AL701" s="13">
        <f>IF($A701="","",[1]!thsiFinD("ths_adjustment_nv_fund",AL$3,$A701))</f>
        <v/>
      </c>
    </row>
    <row r="702" spans="2:28">
      <c r="B702" s="13" t="str">
        <f>IF($A702="","",[1]!thsiFinD("ths_adjustment_nv_fund",B$3,$A702))</f>
        <v/>
      </c>
      <c r="C702" s="13" t="str">
        <f>IF($A702="","",[1]!thsiFinD("ths_adjustment_nv_fund",C$3,$A702))</f>
        <v/>
      </c>
      <c r="D702" s="13" t="str">
        <f>IF($A702="","",[1]!thsiFinD("ths_adjustment_nv_fund",D$3,$A702))</f>
        <v/>
      </c>
      <c r="E702" s="13" t="str">
        <f>IF($A702="","",[1]!thsiFinD("ths_adjustment_nv_fund",E$3,$A702))</f>
        <v/>
      </c>
      <c r="F702" s="13" t="str">
        <f>IF($A702="","",[1]!thsiFinD("ths_adjustment_nv_fund",F$3,$A702))</f>
        <v/>
      </c>
      <c r="G702" s="13" t="str">
        <f>IF($A702="","",[1]!thsiFinD("ths_adjustment_nv_fund",G$3,$A702))</f>
        <v/>
      </c>
      <c r="H702" s="13" t="str">
        <f>IF($A702="","",[1]!thsiFinD("ths_adjustment_nv_fund",H$3,$A702))</f>
        <v/>
      </c>
      <c r="I702" s="13" t="str">
        <f>IF($A702="","",[1]!thsiFinD("ths_adjustment_nv_fund",I$3,$A702))</f>
        <v/>
      </c>
      <c r="J702" s="13" t="str">
        <f>IF($A702="","",[1]!thsiFinD("ths_adjustment_nv_fund",J$3,$A702))</f>
        <v/>
      </c>
      <c r="K702" s="13" t="str">
        <f>IF($A702="","",[1]!thsiFinD("ths_adjustment_nv_fund",K$3,$A702))</f>
        <v/>
      </c>
      <c r="L702" s="13" t="str">
        <f>IF($A702="","",[1]!thsiFinD("ths_adjustment_nv_fund",L$3,$A702))</f>
        <v/>
      </c>
      <c r="M702" s="13" t="str">
        <f>IF($A702="","",[1]!thsiFinD("ths_adjustment_nv_fund",M$3,$A702))</f>
        <v/>
      </c>
      <c r="N702" s="13" t="str">
        <f>IF($A702="","",[1]!thsiFinD("ths_adjustment_nv_fund",N$3,$A702))</f>
        <v/>
      </c>
      <c r="O702" s="13" t="str">
        <f>IF($A702="","",[1]!thsiFinD("ths_adjustment_nv_fund",O$3,$A702))</f>
        <v/>
      </c>
      <c r="P702" s="13" t="str">
        <f>IF($A702="","",[1]!thsiFinD("ths_adjustment_nv_fund",P$3,$A702))</f>
        <v/>
      </c>
      <c r="Q702" s="13" t="str">
        <f>IF($A702="","",[1]!thsiFinD("ths_adjustment_nv_fund",Q$3,$A702))</f>
        <v/>
      </c>
      <c r="R702" s="13" t="str">
        <f>IF($A702="","",[1]!thsiFinD("ths_adjustment_nv_fund",R$3,$A702))</f>
        <v/>
      </c>
      <c r="S702" s="13" t="str">
        <f>IF($A702="","",[1]!thsiFinD("ths_adjustment_nv_fund",S$3,$A702))</f>
        <v/>
      </c>
      <c r="T702" s="13" t="str">
        <f>IF($A702="","",[1]!thsiFinD("ths_adjustment_nv_fund",T$3,$A702))</f>
        <v/>
      </c>
      <c r="U702" s="13" t="str">
        <f>IF($A702="","",[1]!thsiFinD("ths_adjustment_nv_fund",U$3,$A702))</f>
        <v/>
      </c>
      <c r="V702" s="13" t="str">
        <f>IF($A702="","",[1]!thsiFinD("ths_adjustment_nv_fund",V$3,$A702))</f>
        <v/>
      </c>
      <c r="W702" s="13" t="str">
        <f>IF($A702="","",[1]!thsiFinD("ths_adjustment_nv_fund",W$3,$A702))</f>
        <v/>
      </c>
      <c r="X702" s="13" t="str">
        <f>IF($A702="","",[1]!thsiFinD("ths_adjustment_nv_fund",X$3,$A702))</f>
        <v/>
      </c>
      <c r="Y702" s="13" t="str">
        <f>IF($A702="","",[1]!thsiFinD("ths_adjustment_nv_fund",Y$3,$A702))</f>
        <v/>
      </c>
      <c r="Z702" s="13" t="str">
        <f>IF($A702="","",[1]!thsiFinD("ths_adjustment_nv_fund",Z$3,$A702))</f>
        <v/>
      </c>
      <c r="AA702" s="13" t="str">
        <f>IF($A702="","",[1]!thsiFinD("ths_adjustment_nv_fund",AA$3,$A702))</f>
        <v/>
      </c>
      <c r="AB702" s="13">
        <f>IF($A702="","",[1]!thsiFinD("ths_adjustment_nv_fund",AB$3,$A702))</f>
        <v/>
      </c>
      <c r="AC702" s="13">
        <f>IF($A702="","",[1]!thsiFinD("ths_adjustment_nv_fund",AC$3,$A702))</f>
        <v/>
      </c>
      <c r="AD702" s="13">
        <f>IF($A702="","",[1]!thsiFinD("ths_adjustment_nv_fund",AD$3,$A702))</f>
        <v/>
      </c>
      <c r="AE702" s="13">
        <f>IF($A702="","",[1]!thsiFinD("ths_adjustment_nv_fund",AE$3,$A702))</f>
        <v/>
      </c>
      <c r="AF702" s="13">
        <f>IF($A702="","",[1]!thsiFinD("ths_adjustment_nv_fund",AF$3,$A702))</f>
        <v/>
      </c>
      <c r="AG702" s="13">
        <f>IF($A702="","",[1]!thsiFinD("ths_adjustment_nv_fund",AG$3,$A702))</f>
        <v/>
      </c>
      <c r="AH702" s="13">
        <f>IF($A702="","",[1]!thsiFinD("ths_adjustment_nv_fund",AH$3,$A702))</f>
        <v/>
      </c>
      <c r="AI702" s="13">
        <f>IF($A702="","",[1]!thsiFinD("ths_adjustment_nv_fund",AI$3,$A702))</f>
        <v/>
      </c>
      <c r="AJ702" s="13">
        <f>IF($A702="","",[1]!thsiFinD("ths_adjustment_nv_fund",AJ$3,$A702))</f>
        <v/>
      </c>
      <c r="AK702" s="13">
        <f>IF($A702="","",[1]!thsiFinD("ths_adjustment_nv_fund",AK$3,$A702))</f>
        <v/>
      </c>
      <c r="AL702" s="13">
        <f>IF($A702="","",[1]!thsiFinD("ths_adjustment_nv_fund",AL$3,$A702))</f>
        <v/>
      </c>
    </row>
    <row r="703" spans="2:28">
      <c r="B703" s="13" t="str">
        <f>IF($A703="","",[1]!thsiFinD("ths_adjustment_nv_fund",B$3,$A703))</f>
        <v/>
      </c>
      <c r="C703" s="13" t="str">
        <f>IF($A703="","",[1]!thsiFinD("ths_adjustment_nv_fund",C$3,$A703))</f>
        <v/>
      </c>
      <c r="D703" s="13" t="str">
        <f>IF($A703="","",[1]!thsiFinD("ths_adjustment_nv_fund",D$3,$A703))</f>
        <v/>
      </c>
      <c r="E703" s="13" t="str">
        <f>IF($A703="","",[1]!thsiFinD("ths_adjustment_nv_fund",E$3,$A703))</f>
        <v/>
      </c>
      <c r="F703" s="13" t="str">
        <f>IF($A703="","",[1]!thsiFinD("ths_adjustment_nv_fund",F$3,$A703))</f>
        <v/>
      </c>
      <c r="G703" s="13" t="str">
        <f>IF($A703="","",[1]!thsiFinD("ths_adjustment_nv_fund",G$3,$A703))</f>
        <v/>
      </c>
      <c r="H703" s="13" t="str">
        <f>IF($A703="","",[1]!thsiFinD("ths_adjustment_nv_fund",H$3,$A703))</f>
        <v/>
      </c>
      <c r="I703" s="13" t="str">
        <f>IF($A703="","",[1]!thsiFinD("ths_adjustment_nv_fund",I$3,$A703))</f>
        <v/>
      </c>
      <c r="J703" s="13" t="str">
        <f>IF($A703="","",[1]!thsiFinD("ths_adjustment_nv_fund",J$3,$A703))</f>
        <v/>
      </c>
      <c r="K703" s="13" t="str">
        <f>IF($A703="","",[1]!thsiFinD("ths_adjustment_nv_fund",K$3,$A703))</f>
        <v/>
      </c>
      <c r="L703" s="13" t="str">
        <f>IF($A703="","",[1]!thsiFinD("ths_adjustment_nv_fund",L$3,$A703))</f>
        <v/>
      </c>
      <c r="M703" s="13" t="str">
        <f>IF($A703="","",[1]!thsiFinD("ths_adjustment_nv_fund",M$3,$A703))</f>
        <v/>
      </c>
      <c r="N703" s="13" t="str">
        <f>IF($A703="","",[1]!thsiFinD("ths_adjustment_nv_fund",N$3,$A703))</f>
        <v/>
      </c>
      <c r="O703" s="13" t="str">
        <f>IF($A703="","",[1]!thsiFinD("ths_adjustment_nv_fund",O$3,$A703))</f>
        <v/>
      </c>
      <c r="P703" s="13" t="str">
        <f>IF($A703="","",[1]!thsiFinD("ths_adjustment_nv_fund",P$3,$A703))</f>
        <v/>
      </c>
      <c r="Q703" s="13" t="str">
        <f>IF($A703="","",[1]!thsiFinD("ths_adjustment_nv_fund",Q$3,$A703))</f>
        <v/>
      </c>
      <c r="R703" s="13" t="str">
        <f>IF($A703="","",[1]!thsiFinD("ths_adjustment_nv_fund",R$3,$A703))</f>
        <v/>
      </c>
      <c r="S703" s="13" t="str">
        <f>IF($A703="","",[1]!thsiFinD("ths_adjustment_nv_fund",S$3,$A703))</f>
        <v/>
      </c>
      <c r="T703" s="13" t="str">
        <f>IF($A703="","",[1]!thsiFinD("ths_adjustment_nv_fund",T$3,$A703))</f>
        <v/>
      </c>
      <c r="U703" s="13" t="str">
        <f>IF($A703="","",[1]!thsiFinD("ths_adjustment_nv_fund",U$3,$A703))</f>
        <v/>
      </c>
      <c r="V703" s="13" t="str">
        <f>IF($A703="","",[1]!thsiFinD("ths_adjustment_nv_fund",V$3,$A703))</f>
        <v/>
      </c>
      <c r="W703" s="13" t="str">
        <f>IF($A703="","",[1]!thsiFinD("ths_adjustment_nv_fund",W$3,$A703))</f>
        <v/>
      </c>
      <c r="X703" s="13" t="str">
        <f>IF($A703="","",[1]!thsiFinD("ths_adjustment_nv_fund",X$3,$A703))</f>
        <v/>
      </c>
      <c r="Y703" s="13" t="str">
        <f>IF($A703="","",[1]!thsiFinD("ths_adjustment_nv_fund",Y$3,$A703))</f>
        <v/>
      </c>
      <c r="Z703" s="13" t="str">
        <f>IF($A703="","",[1]!thsiFinD("ths_adjustment_nv_fund",Z$3,$A703))</f>
        <v/>
      </c>
      <c r="AA703" s="13" t="str">
        <f>IF($A703="","",[1]!thsiFinD("ths_adjustment_nv_fund",AA$3,$A703))</f>
        <v/>
      </c>
      <c r="AB703" s="13">
        <f>IF($A703="","",[1]!thsiFinD("ths_adjustment_nv_fund",AB$3,$A703))</f>
        <v/>
      </c>
      <c r="AC703" s="13">
        <f>IF($A703="","",[1]!thsiFinD("ths_adjustment_nv_fund",AC$3,$A703))</f>
        <v/>
      </c>
      <c r="AD703" s="13">
        <f>IF($A703="","",[1]!thsiFinD("ths_adjustment_nv_fund",AD$3,$A703))</f>
        <v/>
      </c>
      <c r="AE703" s="13">
        <f>IF($A703="","",[1]!thsiFinD("ths_adjustment_nv_fund",AE$3,$A703))</f>
        <v/>
      </c>
      <c r="AF703" s="13">
        <f>IF($A703="","",[1]!thsiFinD("ths_adjustment_nv_fund",AF$3,$A703))</f>
        <v/>
      </c>
      <c r="AG703" s="13">
        <f>IF($A703="","",[1]!thsiFinD("ths_adjustment_nv_fund",AG$3,$A703))</f>
        <v/>
      </c>
      <c r="AH703" s="13">
        <f>IF($A703="","",[1]!thsiFinD("ths_adjustment_nv_fund",AH$3,$A703))</f>
        <v/>
      </c>
      <c r="AI703" s="13">
        <f>IF($A703="","",[1]!thsiFinD("ths_adjustment_nv_fund",AI$3,$A703))</f>
        <v/>
      </c>
      <c r="AJ703" s="13">
        <f>IF($A703="","",[1]!thsiFinD("ths_adjustment_nv_fund",AJ$3,$A703))</f>
        <v/>
      </c>
      <c r="AK703" s="13">
        <f>IF($A703="","",[1]!thsiFinD("ths_adjustment_nv_fund",AK$3,$A703))</f>
        <v/>
      </c>
      <c r="AL703" s="13">
        <f>IF($A703="","",[1]!thsiFinD("ths_adjustment_nv_fund",AL$3,$A703))</f>
        <v/>
      </c>
    </row>
    <row r="704" spans="2:28">
      <c r="B704" s="13" t="str">
        <f>IF($A704="","",[1]!thsiFinD("ths_adjustment_nv_fund",B$3,$A704))</f>
        <v/>
      </c>
      <c r="C704" s="13" t="str">
        <f>IF($A704="","",[1]!thsiFinD("ths_adjustment_nv_fund",C$3,$A704))</f>
        <v/>
      </c>
      <c r="D704" s="13" t="str">
        <f>IF($A704="","",[1]!thsiFinD("ths_adjustment_nv_fund",D$3,$A704))</f>
        <v/>
      </c>
      <c r="E704" s="13" t="str">
        <f>IF($A704="","",[1]!thsiFinD("ths_adjustment_nv_fund",E$3,$A704))</f>
        <v/>
      </c>
      <c r="F704" s="13" t="str">
        <f>IF($A704="","",[1]!thsiFinD("ths_adjustment_nv_fund",F$3,$A704))</f>
        <v/>
      </c>
      <c r="G704" s="13" t="str">
        <f>IF($A704="","",[1]!thsiFinD("ths_adjustment_nv_fund",G$3,$A704))</f>
        <v/>
      </c>
      <c r="H704" s="13" t="str">
        <f>IF($A704="","",[1]!thsiFinD("ths_adjustment_nv_fund",H$3,$A704))</f>
        <v/>
      </c>
      <c r="I704" s="13" t="str">
        <f>IF($A704="","",[1]!thsiFinD("ths_adjustment_nv_fund",I$3,$A704))</f>
        <v/>
      </c>
      <c r="J704" s="13" t="str">
        <f>IF($A704="","",[1]!thsiFinD("ths_adjustment_nv_fund",J$3,$A704))</f>
        <v/>
      </c>
      <c r="K704" s="13" t="str">
        <f>IF($A704="","",[1]!thsiFinD("ths_adjustment_nv_fund",K$3,$A704))</f>
        <v/>
      </c>
      <c r="L704" s="13" t="str">
        <f>IF($A704="","",[1]!thsiFinD("ths_adjustment_nv_fund",L$3,$A704))</f>
        <v/>
      </c>
      <c r="M704" s="13" t="str">
        <f>IF($A704="","",[1]!thsiFinD("ths_adjustment_nv_fund",M$3,$A704))</f>
        <v/>
      </c>
      <c r="N704" s="13" t="str">
        <f>IF($A704="","",[1]!thsiFinD("ths_adjustment_nv_fund",N$3,$A704))</f>
        <v/>
      </c>
      <c r="O704" s="13" t="str">
        <f>IF($A704="","",[1]!thsiFinD("ths_adjustment_nv_fund",O$3,$A704))</f>
        <v/>
      </c>
      <c r="P704" s="13" t="str">
        <f>IF($A704="","",[1]!thsiFinD("ths_adjustment_nv_fund",P$3,$A704))</f>
        <v/>
      </c>
      <c r="Q704" s="13" t="str">
        <f>IF($A704="","",[1]!thsiFinD("ths_adjustment_nv_fund",Q$3,$A704))</f>
        <v/>
      </c>
      <c r="R704" s="13" t="str">
        <f>IF($A704="","",[1]!thsiFinD("ths_adjustment_nv_fund",R$3,$A704))</f>
        <v/>
      </c>
      <c r="S704" s="13" t="str">
        <f>IF($A704="","",[1]!thsiFinD("ths_adjustment_nv_fund",S$3,$A704))</f>
        <v/>
      </c>
      <c r="T704" s="13" t="str">
        <f>IF($A704="","",[1]!thsiFinD("ths_adjustment_nv_fund",T$3,$A704))</f>
        <v/>
      </c>
      <c r="U704" s="13" t="str">
        <f>IF($A704="","",[1]!thsiFinD("ths_adjustment_nv_fund",U$3,$A704))</f>
        <v/>
      </c>
      <c r="V704" s="13" t="str">
        <f>IF($A704="","",[1]!thsiFinD("ths_adjustment_nv_fund",V$3,$A704))</f>
        <v/>
      </c>
      <c r="W704" s="13" t="str">
        <f>IF($A704="","",[1]!thsiFinD("ths_adjustment_nv_fund",W$3,$A704))</f>
        <v/>
      </c>
      <c r="X704" s="13" t="str">
        <f>IF($A704="","",[1]!thsiFinD("ths_adjustment_nv_fund",X$3,$A704))</f>
        <v/>
      </c>
      <c r="Y704" s="13" t="str">
        <f>IF($A704="","",[1]!thsiFinD("ths_adjustment_nv_fund",Y$3,$A704))</f>
        <v/>
      </c>
      <c r="Z704" s="13" t="str">
        <f>IF($A704="","",[1]!thsiFinD("ths_adjustment_nv_fund",Z$3,$A704))</f>
        <v/>
      </c>
      <c r="AA704" s="13" t="str">
        <f>IF($A704="","",[1]!thsiFinD("ths_adjustment_nv_fund",AA$3,$A704))</f>
        <v/>
      </c>
      <c r="AB704" s="13">
        <f>IF($A704="","",[1]!thsiFinD("ths_adjustment_nv_fund",AB$3,$A704))</f>
        <v/>
      </c>
      <c r="AC704" s="13">
        <f>IF($A704="","",[1]!thsiFinD("ths_adjustment_nv_fund",AC$3,$A704))</f>
        <v/>
      </c>
      <c r="AD704" s="13">
        <f>IF($A704="","",[1]!thsiFinD("ths_adjustment_nv_fund",AD$3,$A704))</f>
        <v/>
      </c>
      <c r="AE704" s="13">
        <f>IF($A704="","",[1]!thsiFinD("ths_adjustment_nv_fund",AE$3,$A704))</f>
        <v/>
      </c>
      <c r="AF704" s="13">
        <f>IF($A704="","",[1]!thsiFinD("ths_adjustment_nv_fund",AF$3,$A704))</f>
        <v/>
      </c>
      <c r="AG704" s="13">
        <f>IF($A704="","",[1]!thsiFinD("ths_adjustment_nv_fund",AG$3,$A704))</f>
        <v/>
      </c>
      <c r="AH704" s="13">
        <f>IF($A704="","",[1]!thsiFinD("ths_adjustment_nv_fund",AH$3,$A704))</f>
        <v/>
      </c>
      <c r="AI704" s="13">
        <f>IF($A704="","",[1]!thsiFinD("ths_adjustment_nv_fund",AI$3,$A704))</f>
        <v/>
      </c>
      <c r="AJ704" s="13">
        <f>IF($A704="","",[1]!thsiFinD("ths_adjustment_nv_fund",AJ$3,$A704))</f>
        <v/>
      </c>
      <c r="AK704" s="13">
        <f>IF($A704="","",[1]!thsiFinD("ths_adjustment_nv_fund",AK$3,$A704))</f>
        <v/>
      </c>
      <c r="AL704" s="13">
        <f>IF($A704="","",[1]!thsiFinD("ths_adjustment_nv_fund",AL$3,$A704))</f>
        <v/>
      </c>
    </row>
    <row r="705" spans="2:28">
      <c r="B705" s="13" t="str">
        <f>IF($A705="","",[1]!thsiFinD("ths_adjustment_nv_fund",B$3,$A705))</f>
        <v/>
      </c>
      <c r="C705" s="13" t="str">
        <f>IF($A705="","",[1]!thsiFinD("ths_adjustment_nv_fund",C$3,$A705))</f>
        <v/>
      </c>
      <c r="D705" s="13" t="str">
        <f>IF($A705="","",[1]!thsiFinD("ths_adjustment_nv_fund",D$3,$A705))</f>
        <v/>
      </c>
      <c r="E705" s="13" t="str">
        <f>IF($A705="","",[1]!thsiFinD("ths_adjustment_nv_fund",E$3,$A705))</f>
        <v/>
      </c>
      <c r="F705" s="13" t="str">
        <f>IF($A705="","",[1]!thsiFinD("ths_adjustment_nv_fund",F$3,$A705))</f>
        <v/>
      </c>
      <c r="G705" s="13" t="str">
        <f>IF($A705="","",[1]!thsiFinD("ths_adjustment_nv_fund",G$3,$A705))</f>
        <v/>
      </c>
      <c r="H705" s="13" t="str">
        <f>IF($A705="","",[1]!thsiFinD("ths_adjustment_nv_fund",H$3,$A705))</f>
        <v/>
      </c>
      <c r="I705" s="13" t="str">
        <f>IF($A705="","",[1]!thsiFinD("ths_adjustment_nv_fund",I$3,$A705))</f>
        <v/>
      </c>
      <c r="J705" s="13" t="str">
        <f>IF($A705="","",[1]!thsiFinD("ths_adjustment_nv_fund",J$3,$A705))</f>
        <v/>
      </c>
      <c r="K705" s="13" t="str">
        <f>IF($A705="","",[1]!thsiFinD("ths_adjustment_nv_fund",K$3,$A705))</f>
        <v/>
      </c>
      <c r="L705" s="13" t="str">
        <f>IF($A705="","",[1]!thsiFinD("ths_adjustment_nv_fund",L$3,$A705))</f>
        <v/>
      </c>
      <c r="M705" s="13" t="str">
        <f>IF($A705="","",[1]!thsiFinD("ths_adjustment_nv_fund",M$3,$A705))</f>
        <v/>
      </c>
      <c r="N705" s="13" t="str">
        <f>IF($A705="","",[1]!thsiFinD("ths_adjustment_nv_fund",N$3,$A705))</f>
        <v/>
      </c>
      <c r="O705" s="13" t="str">
        <f>IF($A705="","",[1]!thsiFinD("ths_adjustment_nv_fund",O$3,$A705))</f>
        <v/>
      </c>
      <c r="P705" s="13" t="str">
        <f>IF($A705="","",[1]!thsiFinD("ths_adjustment_nv_fund",P$3,$A705))</f>
        <v/>
      </c>
      <c r="Q705" s="13" t="str">
        <f>IF($A705="","",[1]!thsiFinD("ths_adjustment_nv_fund",Q$3,$A705))</f>
        <v/>
      </c>
      <c r="R705" s="13" t="str">
        <f>IF($A705="","",[1]!thsiFinD("ths_adjustment_nv_fund",R$3,$A705))</f>
        <v/>
      </c>
      <c r="S705" s="13" t="str">
        <f>IF($A705="","",[1]!thsiFinD("ths_adjustment_nv_fund",S$3,$A705))</f>
        <v/>
      </c>
      <c r="T705" s="13" t="str">
        <f>IF($A705="","",[1]!thsiFinD("ths_adjustment_nv_fund",T$3,$A705))</f>
        <v/>
      </c>
      <c r="U705" s="13" t="str">
        <f>IF($A705="","",[1]!thsiFinD("ths_adjustment_nv_fund",U$3,$A705))</f>
        <v/>
      </c>
      <c r="V705" s="13" t="str">
        <f>IF($A705="","",[1]!thsiFinD("ths_adjustment_nv_fund",V$3,$A705))</f>
        <v/>
      </c>
      <c r="W705" s="13" t="str">
        <f>IF($A705="","",[1]!thsiFinD("ths_adjustment_nv_fund",W$3,$A705))</f>
        <v/>
      </c>
      <c r="X705" s="13" t="str">
        <f>IF($A705="","",[1]!thsiFinD("ths_adjustment_nv_fund",X$3,$A705))</f>
        <v/>
      </c>
      <c r="Y705" s="13" t="str">
        <f>IF($A705="","",[1]!thsiFinD("ths_adjustment_nv_fund",Y$3,$A705))</f>
        <v/>
      </c>
      <c r="Z705" s="13" t="str">
        <f>IF($A705="","",[1]!thsiFinD("ths_adjustment_nv_fund",Z$3,$A705))</f>
        <v/>
      </c>
      <c r="AA705" s="13" t="str">
        <f>IF($A705="","",[1]!thsiFinD("ths_adjustment_nv_fund",AA$3,$A705))</f>
        <v/>
      </c>
      <c r="AB705" s="13">
        <f>IF($A705="","",[1]!thsiFinD("ths_adjustment_nv_fund",AB$3,$A705))</f>
        <v/>
      </c>
      <c r="AC705" s="13">
        <f>IF($A705="","",[1]!thsiFinD("ths_adjustment_nv_fund",AC$3,$A705))</f>
        <v/>
      </c>
      <c r="AD705" s="13">
        <f>IF($A705="","",[1]!thsiFinD("ths_adjustment_nv_fund",AD$3,$A705))</f>
        <v/>
      </c>
      <c r="AE705" s="13">
        <f>IF($A705="","",[1]!thsiFinD("ths_adjustment_nv_fund",AE$3,$A705))</f>
        <v/>
      </c>
      <c r="AF705" s="13">
        <f>IF($A705="","",[1]!thsiFinD("ths_adjustment_nv_fund",AF$3,$A705))</f>
        <v/>
      </c>
      <c r="AG705" s="13">
        <f>IF($A705="","",[1]!thsiFinD("ths_adjustment_nv_fund",AG$3,$A705))</f>
        <v/>
      </c>
      <c r="AH705" s="13">
        <f>IF($A705="","",[1]!thsiFinD("ths_adjustment_nv_fund",AH$3,$A705))</f>
        <v/>
      </c>
      <c r="AI705" s="13">
        <f>IF($A705="","",[1]!thsiFinD("ths_adjustment_nv_fund",AI$3,$A705))</f>
        <v/>
      </c>
      <c r="AJ705" s="13">
        <f>IF($A705="","",[1]!thsiFinD("ths_adjustment_nv_fund",AJ$3,$A705))</f>
        <v/>
      </c>
      <c r="AK705" s="13">
        <f>IF($A705="","",[1]!thsiFinD("ths_adjustment_nv_fund",AK$3,$A705))</f>
        <v/>
      </c>
      <c r="AL705" s="13">
        <f>IF($A705="","",[1]!thsiFinD("ths_adjustment_nv_fund",AL$3,$A705))</f>
        <v/>
      </c>
    </row>
    <row r="706" spans="2:28">
      <c r="B706" s="13" t="str">
        <f>IF($A706="","",[1]!thsiFinD("ths_adjustment_nv_fund",B$3,$A706))</f>
        <v/>
      </c>
      <c r="C706" s="13" t="str">
        <f>IF($A706="","",[1]!thsiFinD("ths_adjustment_nv_fund",C$3,$A706))</f>
        <v/>
      </c>
      <c r="D706" s="13" t="str">
        <f>IF($A706="","",[1]!thsiFinD("ths_adjustment_nv_fund",D$3,$A706))</f>
        <v/>
      </c>
      <c r="E706" s="13" t="str">
        <f>IF($A706="","",[1]!thsiFinD("ths_adjustment_nv_fund",E$3,$A706))</f>
        <v/>
      </c>
      <c r="F706" s="13" t="str">
        <f>IF($A706="","",[1]!thsiFinD("ths_adjustment_nv_fund",F$3,$A706))</f>
        <v/>
      </c>
      <c r="G706" s="13" t="str">
        <f>IF($A706="","",[1]!thsiFinD("ths_adjustment_nv_fund",G$3,$A706))</f>
        <v/>
      </c>
      <c r="H706" s="13" t="str">
        <f>IF($A706="","",[1]!thsiFinD("ths_adjustment_nv_fund",H$3,$A706))</f>
        <v/>
      </c>
      <c r="I706" s="13" t="str">
        <f>IF($A706="","",[1]!thsiFinD("ths_adjustment_nv_fund",I$3,$A706))</f>
        <v/>
      </c>
      <c r="J706" s="13" t="str">
        <f>IF($A706="","",[1]!thsiFinD("ths_adjustment_nv_fund",J$3,$A706))</f>
        <v/>
      </c>
      <c r="K706" s="13" t="str">
        <f>IF($A706="","",[1]!thsiFinD("ths_adjustment_nv_fund",K$3,$A706))</f>
        <v/>
      </c>
      <c r="L706" s="13" t="str">
        <f>IF($A706="","",[1]!thsiFinD("ths_adjustment_nv_fund",L$3,$A706))</f>
        <v/>
      </c>
      <c r="M706" s="13" t="str">
        <f>IF($A706="","",[1]!thsiFinD("ths_adjustment_nv_fund",M$3,$A706))</f>
        <v/>
      </c>
      <c r="N706" s="13" t="str">
        <f>IF($A706="","",[1]!thsiFinD("ths_adjustment_nv_fund",N$3,$A706))</f>
        <v/>
      </c>
      <c r="O706" s="13" t="str">
        <f>IF($A706="","",[1]!thsiFinD("ths_adjustment_nv_fund",O$3,$A706))</f>
        <v/>
      </c>
      <c r="P706" s="13" t="str">
        <f>IF($A706="","",[1]!thsiFinD("ths_adjustment_nv_fund",P$3,$A706))</f>
        <v/>
      </c>
      <c r="Q706" s="13" t="str">
        <f>IF($A706="","",[1]!thsiFinD("ths_adjustment_nv_fund",Q$3,$A706))</f>
        <v/>
      </c>
      <c r="R706" s="13" t="str">
        <f>IF($A706="","",[1]!thsiFinD("ths_adjustment_nv_fund",R$3,$A706))</f>
        <v/>
      </c>
      <c r="S706" s="13" t="str">
        <f>IF($A706="","",[1]!thsiFinD("ths_adjustment_nv_fund",S$3,$A706))</f>
        <v/>
      </c>
      <c r="T706" s="13" t="str">
        <f>IF($A706="","",[1]!thsiFinD("ths_adjustment_nv_fund",T$3,$A706))</f>
        <v/>
      </c>
      <c r="U706" s="13" t="str">
        <f>IF($A706="","",[1]!thsiFinD("ths_adjustment_nv_fund",U$3,$A706))</f>
        <v/>
      </c>
      <c r="V706" s="13" t="str">
        <f>IF($A706="","",[1]!thsiFinD("ths_adjustment_nv_fund",V$3,$A706))</f>
        <v/>
      </c>
      <c r="W706" s="13" t="str">
        <f>IF($A706="","",[1]!thsiFinD("ths_adjustment_nv_fund",W$3,$A706))</f>
        <v/>
      </c>
      <c r="X706" s="13" t="str">
        <f>IF($A706="","",[1]!thsiFinD("ths_adjustment_nv_fund",X$3,$A706))</f>
        <v/>
      </c>
      <c r="Y706" s="13" t="str">
        <f>IF($A706="","",[1]!thsiFinD("ths_adjustment_nv_fund",Y$3,$A706))</f>
        <v/>
      </c>
      <c r="Z706" s="13" t="str">
        <f>IF($A706="","",[1]!thsiFinD("ths_adjustment_nv_fund",Z$3,$A706))</f>
        <v/>
      </c>
      <c r="AA706" s="13" t="str">
        <f>IF($A706="","",[1]!thsiFinD("ths_adjustment_nv_fund",AA$3,$A706))</f>
        <v/>
      </c>
      <c r="AB706" s="13">
        <f>IF($A706="","",[1]!thsiFinD("ths_adjustment_nv_fund",AB$3,$A706))</f>
        <v/>
      </c>
      <c r="AC706" s="13">
        <f>IF($A706="","",[1]!thsiFinD("ths_adjustment_nv_fund",AC$3,$A706))</f>
        <v/>
      </c>
      <c r="AD706" s="13">
        <f>IF($A706="","",[1]!thsiFinD("ths_adjustment_nv_fund",AD$3,$A706))</f>
        <v/>
      </c>
      <c r="AE706" s="13">
        <f>IF($A706="","",[1]!thsiFinD("ths_adjustment_nv_fund",AE$3,$A706))</f>
        <v/>
      </c>
      <c r="AF706" s="13">
        <f>IF($A706="","",[1]!thsiFinD("ths_adjustment_nv_fund",AF$3,$A706))</f>
        <v/>
      </c>
      <c r="AG706" s="13">
        <f>IF($A706="","",[1]!thsiFinD("ths_adjustment_nv_fund",AG$3,$A706))</f>
        <v/>
      </c>
      <c r="AH706" s="13">
        <f>IF($A706="","",[1]!thsiFinD("ths_adjustment_nv_fund",AH$3,$A706))</f>
        <v/>
      </c>
      <c r="AI706" s="13">
        <f>IF($A706="","",[1]!thsiFinD("ths_adjustment_nv_fund",AI$3,$A706))</f>
        <v/>
      </c>
      <c r="AJ706" s="13">
        <f>IF($A706="","",[1]!thsiFinD("ths_adjustment_nv_fund",AJ$3,$A706))</f>
        <v/>
      </c>
      <c r="AK706" s="13">
        <f>IF($A706="","",[1]!thsiFinD("ths_adjustment_nv_fund",AK$3,$A706))</f>
        <v/>
      </c>
      <c r="AL706" s="13">
        <f>IF($A706="","",[1]!thsiFinD("ths_adjustment_nv_fund",AL$3,$A706))</f>
        <v/>
      </c>
    </row>
    <row r="707" spans="2:28">
      <c r="B707" s="13" t="str">
        <f>IF($A707="","",[1]!thsiFinD("ths_adjustment_nv_fund",B$3,$A707))</f>
        <v/>
      </c>
      <c r="C707" s="13" t="str">
        <f>IF($A707="","",[1]!thsiFinD("ths_adjustment_nv_fund",C$3,$A707))</f>
        <v/>
      </c>
      <c r="D707" s="13" t="str">
        <f>IF($A707="","",[1]!thsiFinD("ths_adjustment_nv_fund",D$3,$A707))</f>
        <v/>
      </c>
      <c r="E707" s="13" t="str">
        <f>IF($A707="","",[1]!thsiFinD("ths_adjustment_nv_fund",E$3,$A707))</f>
        <v/>
      </c>
      <c r="F707" s="13" t="str">
        <f>IF($A707="","",[1]!thsiFinD("ths_adjustment_nv_fund",F$3,$A707))</f>
        <v/>
      </c>
      <c r="G707" s="13" t="str">
        <f>IF($A707="","",[1]!thsiFinD("ths_adjustment_nv_fund",G$3,$A707))</f>
        <v/>
      </c>
      <c r="H707" s="13" t="str">
        <f>IF($A707="","",[1]!thsiFinD("ths_adjustment_nv_fund",H$3,$A707))</f>
        <v/>
      </c>
      <c r="I707" s="13" t="str">
        <f>IF($A707="","",[1]!thsiFinD("ths_adjustment_nv_fund",I$3,$A707))</f>
        <v/>
      </c>
      <c r="J707" s="13" t="str">
        <f>IF($A707="","",[1]!thsiFinD("ths_adjustment_nv_fund",J$3,$A707))</f>
        <v/>
      </c>
      <c r="K707" s="13" t="str">
        <f>IF($A707="","",[1]!thsiFinD("ths_adjustment_nv_fund",K$3,$A707))</f>
        <v/>
      </c>
      <c r="L707" s="13" t="str">
        <f>IF($A707="","",[1]!thsiFinD("ths_adjustment_nv_fund",L$3,$A707))</f>
        <v/>
      </c>
      <c r="M707" s="13" t="str">
        <f>IF($A707="","",[1]!thsiFinD("ths_adjustment_nv_fund",M$3,$A707))</f>
        <v/>
      </c>
      <c r="N707" s="13" t="str">
        <f>IF($A707="","",[1]!thsiFinD("ths_adjustment_nv_fund",N$3,$A707))</f>
        <v/>
      </c>
      <c r="O707" s="13" t="str">
        <f>IF($A707="","",[1]!thsiFinD("ths_adjustment_nv_fund",O$3,$A707))</f>
        <v/>
      </c>
      <c r="P707" s="13" t="str">
        <f>IF($A707="","",[1]!thsiFinD("ths_adjustment_nv_fund",P$3,$A707))</f>
        <v/>
      </c>
      <c r="Q707" s="13" t="str">
        <f>IF($A707="","",[1]!thsiFinD("ths_adjustment_nv_fund",Q$3,$A707))</f>
        <v/>
      </c>
      <c r="R707" s="13" t="str">
        <f>IF($A707="","",[1]!thsiFinD("ths_adjustment_nv_fund",R$3,$A707))</f>
        <v/>
      </c>
      <c r="S707" s="13" t="str">
        <f>IF($A707="","",[1]!thsiFinD("ths_adjustment_nv_fund",S$3,$A707))</f>
        <v/>
      </c>
      <c r="T707" s="13" t="str">
        <f>IF($A707="","",[1]!thsiFinD("ths_adjustment_nv_fund",T$3,$A707))</f>
        <v/>
      </c>
      <c r="U707" s="13" t="str">
        <f>IF($A707="","",[1]!thsiFinD("ths_adjustment_nv_fund",U$3,$A707))</f>
        <v/>
      </c>
      <c r="V707" s="13" t="str">
        <f>IF($A707="","",[1]!thsiFinD("ths_adjustment_nv_fund",V$3,$A707))</f>
        <v/>
      </c>
      <c r="W707" s="13" t="str">
        <f>IF($A707="","",[1]!thsiFinD("ths_adjustment_nv_fund",W$3,$A707))</f>
        <v/>
      </c>
      <c r="X707" s="13" t="str">
        <f>IF($A707="","",[1]!thsiFinD("ths_adjustment_nv_fund",X$3,$A707))</f>
        <v/>
      </c>
      <c r="Y707" s="13" t="str">
        <f>IF($A707="","",[1]!thsiFinD("ths_adjustment_nv_fund",Y$3,$A707))</f>
        <v/>
      </c>
      <c r="Z707" s="13" t="str">
        <f>IF($A707="","",[1]!thsiFinD("ths_adjustment_nv_fund",Z$3,$A707))</f>
        <v/>
      </c>
      <c r="AA707" s="13" t="str">
        <f>IF($A707="","",[1]!thsiFinD("ths_adjustment_nv_fund",AA$3,$A707))</f>
        <v/>
      </c>
      <c r="AB707" s="13">
        <f>IF($A707="","",[1]!thsiFinD("ths_adjustment_nv_fund",AB$3,$A707))</f>
        <v/>
      </c>
      <c r="AC707" s="13">
        <f>IF($A707="","",[1]!thsiFinD("ths_adjustment_nv_fund",AC$3,$A707))</f>
        <v/>
      </c>
      <c r="AD707" s="13">
        <f>IF($A707="","",[1]!thsiFinD("ths_adjustment_nv_fund",AD$3,$A707))</f>
        <v/>
      </c>
      <c r="AE707" s="13">
        <f>IF($A707="","",[1]!thsiFinD("ths_adjustment_nv_fund",AE$3,$A707))</f>
        <v/>
      </c>
      <c r="AF707" s="13">
        <f>IF($A707="","",[1]!thsiFinD("ths_adjustment_nv_fund",AF$3,$A707))</f>
        <v/>
      </c>
      <c r="AG707" s="13">
        <f>IF($A707="","",[1]!thsiFinD("ths_adjustment_nv_fund",AG$3,$A707))</f>
        <v/>
      </c>
      <c r="AH707" s="13">
        <f>IF($A707="","",[1]!thsiFinD("ths_adjustment_nv_fund",AH$3,$A707))</f>
        <v/>
      </c>
      <c r="AI707" s="13">
        <f>IF($A707="","",[1]!thsiFinD("ths_adjustment_nv_fund",AI$3,$A707))</f>
        <v/>
      </c>
      <c r="AJ707" s="13">
        <f>IF($A707="","",[1]!thsiFinD("ths_adjustment_nv_fund",AJ$3,$A707))</f>
        <v/>
      </c>
      <c r="AK707" s="13">
        <f>IF($A707="","",[1]!thsiFinD("ths_adjustment_nv_fund",AK$3,$A707))</f>
        <v/>
      </c>
      <c r="AL707" s="13">
        <f>IF($A707="","",[1]!thsiFinD("ths_adjustment_nv_fund",AL$3,$A707))</f>
        <v/>
      </c>
    </row>
    <row r="708" spans="2:28">
      <c r="B708" s="13" t="str">
        <f>IF($A708="","",[1]!thsiFinD("ths_adjustment_nv_fund",B$3,$A708))</f>
        <v/>
      </c>
      <c r="C708" s="13" t="str">
        <f>IF($A708="","",[1]!thsiFinD("ths_adjustment_nv_fund",C$3,$A708))</f>
        <v/>
      </c>
      <c r="D708" s="13" t="str">
        <f>IF($A708="","",[1]!thsiFinD("ths_adjustment_nv_fund",D$3,$A708))</f>
        <v/>
      </c>
      <c r="E708" s="13" t="str">
        <f>IF($A708="","",[1]!thsiFinD("ths_adjustment_nv_fund",E$3,$A708))</f>
        <v/>
      </c>
      <c r="F708" s="13" t="str">
        <f>IF($A708="","",[1]!thsiFinD("ths_adjustment_nv_fund",F$3,$A708))</f>
        <v/>
      </c>
      <c r="G708" s="13" t="str">
        <f>IF($A708="","",[1]!thsiFinD("ths_adjustment_nv_fund",G$3,$A708))</f>
        <v/>
      </c>
      <c r="H708" s="13" t="str">
        <f>IF($A708="","",[1]!thsiFinD("ths_adjustment_nv_fund",H$3,$A708))</f>
        <v/>
      </c>
      <c r="I708" s="13" t="str">
        <f>IF($A708="","",[1]!thsiFinD("ths_adjustment_nv_fund",I$3,$A708))</f>
        <v/>
      </c>
      <c r="J708" s="13" t="str">
        <f>IF($A708="","",[1]!thsiFinD("ths_adjustment_nv_fund",J$3,$A708))</f>
        <v/>
      </c>
      <c r="K708" s="13" t="str">
        <f>IF($A708="","",[1]!thsiFinD("ths_adjustment_nv_fund",K$3,$A708))</f>
        <v/>
      </c>
      <c r="L708" s="13" t="str">
        <f>IF($A708="","",[1]!thsiFinD("ths_adjustment_nv_fund",L$3,$A708))</f>
        <v/>
      </c>
      <c r="M708" s="13" t="str">
        <f>IF($A708="","",[1]!thsiFinD("ths_adjustment_nv_fund",M$3,$A708))</f>
        <v/>
      </c>
      <c r="N708" s="13" t="str">
        <f>IF($A708="","",[1]!thsiFinD("ths_adjustment_nv_fund",N$3,$A708))</f>
        <v/>
      </c>
      <c r="O708" s="13" t="str">
        <f>IF($A708="","",[1]!thsiFinD("ths_adjustment_nv_fund",O$3,$A708))</f>
        <v/>
      </c>
      <c r="P708" s="13" t="str">
        <f>IF($A708="","",[1]!thsiFinD("ths_adjustment_nv_fund",P$3,$A708))</f>
        <v/>
      </c>
      <c r="Q708" s="13" t="str">
        <f>IF($A708="","",[1]!thsiFinD("ths_adjustment_nv_fund",Q$3,$A708))</f>
        <v/>
      </c>
      <c r="R708" s="13" t="str">
        <f>IF($A708="","",[1]!thsiFinD("ths_adjustment_nv_fund",R$3,$A708))</f>
        <v/>
      </c>
      <c r="S708" s="13" t="str">
        <f>IF($A708="","",[1]!thsiFinD("ths_adjustment_nv_fund",S$3,$A708))</f>
        <v/>
      </c>
      <c r="T708" s="13" t="str">
        <f>IF($A708="","",[1]!thsiFinD("ths_adjustment_nv_fund",T$3,$A708))</f>
        <v/>
      </c>
      <c r="U708" s="13" t="str">
        <f>IF($A708="","",[1]!thsiFinD("ths_adjustment_nv_fund",U$3,$A708))</f>
        <v/>
      </c>
      <c r="V708" s="13" t="str">
        <f>IF($A708="","",[1]!thsiFinD("ths_adjustment_nv_fund",V$3,$A708))</f>
        <v/>
      </c>
      <c r="W708" s="13" t="str">
        <f>IF($A708="","",[1]!thsiFinD("ths_adjustment_nv_fund",W$3,$A708))</f>
        <v/>
      </c>
      <c r="X708" s="13" t="str">
        <f>IF($A708="","",[1]!thsiFinD("ths_adjustment_nv_fund",X$3,$A708))</f>
        <v/>
      </c>
      <c r="Y708" s="13" t="str">
        <f>IF($A708="","",[1]!thsiFinD("ths_adjustment_nv_fund",Y$3,$A708))</f>
        <v/>
      </c>
      <c r="Z708" s="13" t="str">
        <f>IF($A708="","",[1]!thsiFinD("ths_adjustment_nv_fund",Z$3,$A708))</f>
        <v/>
      </c>
      <c r="AA708" s="13" t="str">
        <f>IF($A708="","",[1]!thsiFinD("ths_adjustment_nv_fund",AA$3,$A708))</f>
        <v/>
      </c>
      <c r="AB708" s="13">
        <f>IF($A708="","",[1]!thsiFinD("ths_adjustment_nv_fund",AB$3,$A708))</f>
        <v/>
      </c>
      <c r="AC708" s="13">
        <f>IF($A708="","",[1]!thsiFinD("ths_adjustment_nv_fund",AC$3,$A708))</f>
        <v/>
      </c>
      <c r="AD708" s="13">
        <f>IF($A708="","",[1]!thsiFinD("ths_adjustment_nv_fund",AD$3,$A708))</f>
        <v/>
      </c>
      <c r="AE708" s="13">
        <f>IF($A708="","",[1]!thsiFinD("ths_adjustment_nv_fund",AE$3,$A708))</f>
        <v/>
      </c>
      <c r="AF708" s="13">
        <f>IF($A708="","",[1]!thsiFinD("ths_adjustment_nv_fund",AF$3,$A708))</f>
        <v/>
      </c>
      <c r="AG708" s="13">
        <f>IF($A708="","",[1]!thsiFinD("ths_adjustment_nv_fund",AG$3,$A708))</f>
        <v/>
      </c>
      <c r="AH708" s="13">
        <f>IF($A708="","",[1]!thsiFinD("ths_adjustment_nv_fund",AH$3,$A708))</f>
        <v/>
      </c>
      <c r="AI708" s="13">
        <f>IF($A708="","",[1]!thsiFinD("ths_adjustment_nv_fund",AI$3,$A708))</f>
        <v/>
      </c>
      <c r="AJ708" s="13">
        <f>IF($A708="","",[1]!thsiFinD("ths_adjustment_nv_fund",AJ$3,$A708))</f>
        <v/>
      </c>
      <c r="AK708" s="13">
        <f>IF($A708="","",[1]!thsiFinD("ths_adjustment_nv_fund",AK$3,$A708))</f>
        <v/>
      </c>
      <c r="AL708" s="13">
        <f>IF($A708="","",[1]!thsiFinD("ths_adjustment_nv_fund",AL$3,$A708))</f>
        <v/>
      </c>
    </row>
    <row r="709" spans="2:28">
      <c r="B709" s="13" t="str">
        <f>IF($A709="","",[1]!thsiFinD("ths_adjustment_nv_fund",B$3,$A709))</f>
        <v/>
      </c>
      <c r="C709" s="13" t="str">
        <f>IF($A709="","",[1]!thsiFinD("ths_adjustment_nv_fund",C$3,$A709))</f>
        <v/>
      </c>
      <c r="D709" s="13" t="str">
        <f>IF($A709="","",[1]!thsiFinD("ths_adjustment_nv_fund",D$3,$A709))</f>
        <v/>
      </c>
      <c r="E709" s="13" t="str">
        <f>IF($A709="","",[1]!thsiFinD("ths_adjustment_nv_fund",E$3,$A709))</f>
        <v/>
      </c>
      <c r="F709" s="13" t="str">
        <f>IF($A709="","",[1]!thsiFinD("ths_adjustment_nv_fund",F$3,$A709))</f>
        <v/>
      </c>
      <c r="G709" s="13" t="str">
        <f>IF($A709="","",[1]!thsiFinD("ths_adjustment_nv_fund",G$3,$A709))</f>
        <v/>
      </c>
      <c r="H709" s="13" t="str">
        <f>IF($A709="","",[1]!thsiFinD("ths_adjustment_nv_fund",H$3,$A709))</f>
        <v/>
      </c>
      <c r="I709" s="13" t="str">
        <f>IF($A709="","",[1]!thsiFinD("ths_adjustment_nv_fund",I$3,$A709))</f>
        <v/>
      </c>
      <c r="J709" s="13" t="str">
        <f>IF($A709="","",[1]!thsiFinD("ths_adjustment_nv_fund",J$3,$A709))</f>
        <v/>
      </c>
      <c r="K709" s="13" t="str">
        <f>IF($A709="","",[1]!thsiFinD("ths_adjustment_nv_fund",K$3,$A709))</f>
        <v/>
      </c>
      <c r="L709" s="13" t="str">
        <f>IF($A709="","",[1]!thsiFinD("ths_adjustment_nv_fund",L$3,$A709))</f>
        <v/>
      </c>
      <c r="M709" s="13" t="str">
        <f>IF($A709="","",[1]!thsiFinD("ths_adjustment_nv_fund",M$3,$A709))</f>
        <v/>
      </c>
      <c r="N709" s="13" t="str">
        <f>IF($A709="","",[1]!thsiFinD("ths_adjustment_nv_fund",N$3,$A709))</f>
        <v/>
      </c>
      <c r="O709" s="13" t="str">
        <f>IF($A709="","",[1]!thsiFinD("ths_adjustment_nv_fund",O$3,$A709))</f>
        <v/>
      </c>
      <c r="P709" s="13" t="str">
        <f>IF($A709="","",[1]!thsiFinD("ths_adjustment_nv_fund",P$3,$A709))</f>
        <v/>
      </c>
      <c r="Q709" s="13" t="str">
        <f>IF($A709="","",[1]!thsiFinD("ths_adjustment_nv_fund",Q$3,$A709))</f>
        <v/>
      </c>
      <c r="R709" s="13" t="str">
        <f>IF($A709="","",[1]!thsiFinD("ths_adjustment_nv_fund",R$3,$A709))</f>
        <v/>
      </c>
      <c r="S709" s="13" t="str">
        <f>IF($A709="","",[1]!thsiFinD("ths_adjustment_nv_fund",S$3,$A709))</f>
        <v/>
      </c>
      <c r="T709" s="13" t="str">
        <f>IF($A709="","",[1]!thsiFinD("ths_adjustment_nv_fund",T$3,$A709))</f>
        <v/>
      </c>
      <c r="U709" s="13" t="str">
        <f>IF($A709="","",[1]!thsiFinD("ths_adjustment_nv_fund",U$3,$A709))</f>
        <v/>
      </c>
      <c r="V709" s="13" t="str">
        <f>IF($A709="","",[1]!thsiFinD("ths_adjustment_nv_fund",V$3,$A709))</f>
        <v/>
      </c>
      <c r="W709" s="13" t="str">
        <f>IF($A709="","",[1]!thsiFinD("ths_adjustment_nv_fund",W$3,$A709))</f>
        <v/>
      </c>
      <c r="X709" s="13" t="str">
        <f>IF($A709="","",[1]!thsiFinD("ths_adjustment_nv_fund",X$3,$A709))</f>
        <v/>
      </c>
      <c r="Y709" s="13" t="str">
        <f>IF($A709="","",[1]!thsiFinD("ths_adjustment_nv_fund",Y$3,$A709))</f>
        <v/>
      </c>
      <c r="Z709" s="13" t="str">
        <f>IF($A709="","",[1]!thsiFinD("ths_adjustment_nv_fund",Z$3,$A709))</f>
        <v/>
      </c>
      <c r="AA709" s="13" t="str">
        <f>IF($A709="","",[1]!thsiFinD("ths_adjustment_nv_fund",AA$3,$A709))</f>
        <v/>
      </c>
      <c r="AB709" s="13">
        <f>IF($A709="","",[1]!thsiFinD("ths_adjustment_nv_fund",AB$3,$A709))</f>
        <v/>
      </c>
      <c r="AC709" s="13">
        <f>IF($A709="","",[1]!thsiFinD("ths_adjustment_nv_fund",AC$3,$A709))</f>
        <v/>
      </c>
      <c r="AD709" s="13">
        <f>IF($A709="","",[1]!thsiFinD("ths_adjustment_nv_fund",AD$3,$A709))</f>
        <v/>
      </c>
      <c r="AE709" s="13">
        <f>IF($A709="","",[1]!thsiFinD("ths_adjustment_nv_fund",AE$3,$A709))</f>
        <v/>
      </c>
      <c r="AF709" s="13">
        <f>IF($A709="","",[1]!thsiFinD("ths_adjustment_nv_fund",AF$3,$A709))</f>
        <v/>
      </c>
      <c r="AG709" s="13">
        <f>IF($A709="","",[1]!thsiFinD("ths_adjustment_nv_fund",AG$3,$A709))</f>
        <v/>
      </c>
      <c r="AH709" s="13">
        <f>IF($A709="","",[1]!thsiFinD("ths_adjustment_nv_fund",AH$3,$A709))</f>
        <v/>
      </c>
      <c r="AI709" s="13">
        <f>IF($A709="","",[1]!thsiFinD("ths_adjustment_nv_fund",AI$3,$A709))</f>
        <v/>
      </c>
      <c r="AJ709" s="13">
        <f>IF($A709="","",[1]!thsiFinD("ths_adjustment_nv_fund",AJ$3,$A709))</f>
        <v/>
      </c>
      <c r="AK709" s="13">
        <f>IF($A709="","",[1]!thsiFinD("ths_adjustment_nv_fund",AK$3,$A709))</f>
        <v/>
      </c>
      <c r="AL709" s="13">
        <f>IF($A709="","",[1]!thsiFinD("ths_adjustment_nv_fund",AL$3,$A709))</f>
        <v/>
      </c>
    </row>
    <row r="710" spans="2:28">
      <c r="B710" s="13" t="str">
        <f>IF($A710="","",[1]!thsiFinD("ths_adjustment_nv_fund",B$3,$A710))</f>
        <v/>
      </c>
      <c r="C710" s="13" t="str">
        <f>IF($A710="","",[1]!thsiFinD("ths_adjustment_nv_fund",C$3,$A710))</f>
        <v/>
      </c>
      <c r="D710" s="13" t="str">
        <f>IF($A710="","",[1]!thsiFinD("ths_adjustment_nv_fund",D$3,$A710))</f>
        <v/>
      </c>
      <c r="E710" s="13" t="str">
        <f>IF($A710="","",[1]!thsiFinD("ths_adjustment_nv_fund",E$3,$A710))</f>
        <v/>
      </c>
      <c r="F710" s="13" t="str">
        <f>IF($A710="","",[1]!thsiFinD("ths_adjustment_nv_fund",F$3,$A710))</f>
        <v/>
      </c>
      <c r="G710" s="13" t="str">
        <f>IF($A710="","",[1]!thsiFinD("ths_adjustment_nv_fund",G$3,$A710))</f>
        <v/>
      </c>
      <c r="H710" s="13" t="str">
        <f>IF($A710="","",[1]!thsiFinD("ths_adjustment_nv_fund",H$3,$A710))</f>
        <v/>
      </c>
      <c r="I710" s="13" t="str">
        <f>IF($A710="","",[1]!thsiFinD("ths_adjustment_nv_fund",I$3,$A710))</f>
        <v/>
      </c>
      <c r="J710" s="13" t="str">
        <f>IF($A710="","",[1]!thsiFinD("ths_adjustment_nv_fund",J$3,$A710))</f>
        <v/>
      </c>
      <c r="K710" s="13" t="str">
        <f>IF($A710="","",[1]!thsiFinD("ths_adjustment_nv_fund",K$3,$A710))</f>
        <v/>
      </c>
      <c r="L710" s="13" t="str">
        <f>IF($A710="","",[1]!thsiFinD("ths_adjustment_nv_fund",L$3,$A710))</f>
        <v/>
      </c>
      <c r="M710" s="13" t="str">
        <f>IF($A710="","",[1]!thsiFinD("ths_adjustment_nv_fund",M$3,$A710))</f>
        <v/>
      </c>
      <c r="N710" s="13" t="str">
        <f>IF($A710="","",[1]!thsiFinD("ths_adjustment_nv_fund",N$3,$A710))</f>
        <v/>
      </c>
      <c r="O710" s="13" t="str">
        <f>IF($A710="","",[1]!thsiFinD("ths_adjustment_nv_fund",O$3,$A710))</f>
        <v/>
      </c>
      <c r="P710" s="13" t="str">
        <f>IF($A710="","",[1]!thsiFinD("ths_adjustment_nv_fund",P$3,$A710))</f>
        <v/>
      </c>
      <c r="Q710" s="13" t="str">
        <f>IF($A710="","",[1]!thsiFinD("ths_adjustment_nv_fund",Q$3,$A710))</f>
        <v/>
      </c>
      <c r="R710" s="13" t="str">
        <f>IF($A710="","",[1]!thsiFinD("ths_adjustment_nv_fund",R$3,$A710))</f>
        <v/>
      </c>
      <c r="S710" s="13" t="str">
        <f>IF($A710="","",[1]!thsiFinD("ths_adjustment_nv_fund",S$3,$A710))</f>
        <v/>
      </c>
      <c r="T710" s="13" t="str">
        <f>IF($A710="","",[1]!thsiFinD("ths_adjustment_nv_fund",T$3,$A710))</f>
        <v/>
      </c>
      <c r="U710" s="13" t="str">
        <f>IF($A710="","",[1]!thsiFinD("ths_adjustment_nv_fund",U$3,$A710))</f>
        <v/>
      </c>
      <c r="V710" s="13" t="str">
        <f>IF($A710="","",[1]!thsiFinD("ths_adjustment_nv_fund",V$3,$A710))</f>
        <v/>
      </c>
      <c r="W710" s="13" t="str">
        <f>IF($A710="","",[1]!thsiFinD("ths_adjustment_nv_fund",W$3,$A710))</f>
        <v/>
      </c>
      <c r="X710" s="13" t="str">
        <f>IF($A710="","",[1]!thsiFinD("ths_adjustment_nv_fund",X$3,$A710))</f>
        <v/>
      </c>
      <c r="Y710" s="13" t="str">
        <f>IF($A710="","",[1]!thsiFinD("ths_adjustment_nv_fund",Y$3,$A710))</f>
        <v/>
      </c>
      <c r="Z710" s="13" t="str">
        <f>IF($A710="","",[1]!thsiFinD("ths_adjustment_nv_fund",Z$3,$A710))</f>
        <v/>
      </c>
      <c r="AA710" s="13" t="str">
        <f>IF($A710="","",[1]!thsiFinD("ths_adjustment_nv_fund",AA$3,$A710))</f>
        <v/>
      </c>
      <c r="AB710" s="13">
        <f>IF($A710="","",[1]!thsiFinD("ths_adjustment_nv_fund",AB$3,$A710))</f>
        <v/>
      </c>
      <c r="AC710" s="13">
        <f>IF($A710="","",[1]!thsiFinD("ths_adjustment_nv_fund",AC$3,$A710))</f>
        <v/>
      </c>
      <c r="AD710" s="13">
        <f>IF($A710="","",[1]!thsiFinD("ths_adjustment_nv_fund",AD$3,$A710))</f>
        <v/>
      </c>
      <c r="AE710" s="13">
        <f>IF($A710="","",[1]!thsiFinD("ths_adjustment_nv_fund",AE$3,$A710))</f>
        <v/>
      </c>
      <c r="AF710" s="13">
        <f>IF($A710="","",[1]!thsiFinD("ths_adjustment_nv_fund",AF$3,$A710))</f>
        <v/>
      </c>
      <c r="AG710" s="13">
        <f>IF($A710="","",[1]!thsiFinD("ths_adjustment_nv_fund",AG$3,$A710))</f>
        <v/>
      </c>
      <c r="AH710" s="13">
        <f>IF($A710="","",[1]!thsiFinD("ths_adjustment_nv_fund",AH$3,$A710))</f>
        <v/>
      </c>
      <c r="AI710" s="13">
        <f>IF($A710="","",[1]!thsiFinD("ths_adjustment_nv_fund",AI$3,$A710))</f>
        <v/>
      </c>
      <c r="AJ710" s="13">
        <f>IF($A710="","",[1]!thsiFinD("ths_adjustment_nv_fund",AJ$3,$A710))</f>
        <v/>
      </c>
      <c r="AK710" s="13">
        <f>IF($A710="","",[1]!thsiFinD("ths_adjustment_nv_fund",AK$3,$A710))</f>
        <v/>
      </c>
      <c r="AL710" s="13">
        <f>IF($A710="","",[1]!thsiFinD("ths_adjustment_nv_fund",AL$3,$A710))</f>
        <v/>
      </c>
    </row>
    <row r="711" spans="2:28">
      <c r="B711" s="13" t="str">
        <f>IF($A711="","",[1]!thsiFinD("ths_adjustment_nv_fund",B$3,$A711))</f>
        <v/>
      </c>
      <c r="C711" s="13" t="str">
        <f>IF($A711="","",[1]!thsiFinD("ths_adjustment_nv_fund",C$3,$A711))</f>
        <v/>
      </c>
      <c r="D711" s="13" t="str">
        <f>IF($A711="","",[1]!thsiFinD("ths_adjustment_nv_fund",D$3,$A711))</f>
        <v/>
      </c>
      <c r="E711" s="13" t="str">
        <f>IF($A711="","",[1]!thsiFinD("ths_adjustment_nv_fund",E$3,$A711))</f>
        <v/>
      </c>
      <c r="F711" s="13" t="str">
        <f>IF($A711="","",[1]!thsiFinD("ths_adjustment_nv_fund",F$3,$A711))</f>
        <v/>
      </c>
      <c r="G711" s="13" t="str">
        <f>IF($A711="","",[1]!thsiFinD("ths_adjustment_nv_fund",G$3,$A711))</f>
        <v/>
      </c>
      <c r="H711" s="13" t="str">
        <f>IF($A711="","",[1]!thsiFinD("ths_adjustment_nv_fund",H$3,$A711))</f>
        <v/>
      </c>
      <c r="I711" s="13" t="str">
        <f>IF($A711="","",[1]!thsiFinD("ths_adjustment_nv_fund",I$3,$A711))</f>
        <v/>
      </c>
      <c r="J711" s="13" t="str">
        <f>IF($A711="","",[1]!thsiFinD("ths_adjustment_nv_fund",J$3,$A711))</f>
        <v/>
      </c>
      <c r="K711" s="13" t="str">
        <f>IF($A711="","",[1]!thsiFinD("ths_adjustment_nv_fund",K$3,$A711))</f>
        <v/>
      </c>
      <c r="L711" s="13" t="str">
        <f>IF($A711="","",[1]!thsiFinD("ths_adjustment_nv_fund",L$3,$A711))</f>
        <v/>
      </c>
      <c r="M711" s="13" t="str">
        <f>IF($A711="","",[1]!thsiFinD("ths_adjustment_nv_fund",M$3,$A711))</f>
        <v/>
      </c>
      <c r="N711" s="13" t="str">
        <f>IF($A711="","",[1]!thsiFinD("ths_adjustment_nv_fund",N$3,$A711))</f>
        <v/>
      </c>
      <c r="O711" s="13" t="str">
        <f>IF($A711="","",[1]!thsiFinD("ths_adjustment_nv_fund",O$3,$A711))</f>
        <v/>
      </c>
      <c r="P711" s="13" t="str">
        <f>IF($A711="","",[1]!thsiFinD("ths_adjustment_nv_fund",P$3,$A711))</f>
        <v/>
      </c>
      <c r="Q711" s="13" t="str">
        <f>IF($A711="","",[1]!thsiFinD("ths_adjustment_nv_fund",Q$3,$A711))</f>
        <v/>
      </c>
      <c r="R711" s="13" t="str">
        <f>IF($A711="","",[1]!thsiFinD("ths_adjustment_nv_fund",R$3,$A711))</f>
        <v/>
      </c>
      <c r="S711" s="13" t="str">
        <f>IF($A711="","",[1]!thsiFinD("ths_adjustment_nv_fund",S$3,$A711))</f>
        <v/>
      </c>
      <c r="T711" s="13" t="str">
        <f>IF($A711="","",[1]!thsiFinD("ths_adjustment_nv_fund",T$3,$A711))</f>
        <v/>
      </c>
      <c r="U711" s="13" t="str">
        <f>IF($A711="","",[1]!thsiFinD("ths_adjustment_nv_fund",U$3,$A711))</f>
        <v/>
      </c>
      <c r="V711" s="13" t="str">
        <f>IF($A711="","",[1]!thsiFinD("ths_adjustment_nv_fund",V$3,$A711))</f>
        <v/>
      </c>
      <c r="W711" s="13" t="str">
        <f>IF($A711="","",[1]!thsiFinD("ths_adjustment_nv_fund",W$3,$A711))</f>
        <v/>
      </c>
      <c r="X711" s="13" t="str">
        <f>IF($A711="","",[1]!thsiFinD("ths_adjustment_nv_fund",X$3,$A711))</f>
        <v/>
      </c>
      <c r="Y711" s="13" t="str">
        <f>IF($A711="","",[1]!thsiFinD("ths_adjustment_nv_fund",Y$3,$A711))</f>
        <v/>
      </c>
      <c r="Z711" s="13" t="str">
        <f>IF($A711="","",[1]!thsiFinD("ths_adjustment_nv_fund",Z$3,$A711))</f>
        <v/>
      </c>
      <c r="AA711" s="13" t="str">
        <f>IF($A711="","",[1]!thsiFinD("ths_adjustment_nv_fund",AA$3,$A711))</f>
        <v/>
      </c>
      <c r="AB711" s="13">
        <f>IF($A711="","",[1]!thsiFinD("ths_adjustment_nv_fund",AB$3,$A711))</f>
        <v/>
      </c>
      <c r="AC711" s="13">
        <f>IF($A711="","",[1]!thsiFinD("ths_adjustment_nv_fund",AC$3,$A711))</f>
        <v/>
      </c>
      <c r="AD711" s="13">
        <f>IF($A711="","",[1]!thsiFinD("ths_adjustment_nv_fund",AD$3,$A711))</f>
        <v/>
      </c>
      <c r="AE711" s="13">
        <f>IF($A711="","",[1]!thsiFinD("ths_adjustment_nv_fund",AE$3,$A711))</f>
        <v/>
      </c>
      <c r="AF711" s="13">
        <f>IF($A711="","",[1]!thsiFinD("ths_adjustment_nv_fund",AF$3,$A711))</f>
        <v/>
      </c>
      <c r="AG711" s="13">
        <f>IF($A711="","",[1]!thsiFinD("ths_adjustment_nv_fund",AG$3,$A711))</f>
        <v/>
      </c>
      <c r="AH711" s="13">
        <f>IF($A711="","",[1]!thsiFinD("ths_adjustment_nv_fund",AH$3,$A711))</f>
        <v/>
      </c>
      <c r="AI711" s="13">
        <f>IF($A711="","",[1]!thsiFinD("ths_adjustment_nv_fund",AI$3,$A711))</f>
        <v/>
      </c>
      <c r="AJ711" s="13">
        <f>IF($A711="","",[1]!thsiFinD("ths_adjustment_nv_fund",AJ$3,$A711))</f>
        <v/>
      </c>
      <c r="AK711" s="13">
        <f>IF($A711="","",[1]!thsiFinD("ths_adjustment_nv_fund",AK$3,$A711))</f>
        <v/>
      </c>
      <c r="AL711" s="13">
        <f>IF($A711="","",[1]!thsiFinD("ths_adjustment_nv_fund",AL$3,$A711))</f>
        <v/>
      </c>
    </row>
    <row r="712" spans="2:28">
      <c r="B712" s="13" t="str">
        <f>IF($A712="","",[1]!thsiFinD("ths_adjustment_nv_fund",B$3,$A712))</f>
        <v/>
      </c>
      <c r="C712" s="13" t="str">
        <f>IF($A712="","",[1]!thsiFinD("ths_adjustment_nv_fund",C$3,$A712))</f>
        <v/>
      </c>
      <c r="D712" s="13" t="str">
        <f>IF($A712="","",[1]!thsiFinD("ths_adjustment_nv_fund",D$3,$A712))</f>
        <v/>
      </c>
      <c r="E712" s="13" t="str">
        <f>IF($A712="","",[1]!thsiFinD("ths_adjustment_nv_fund",E$3,$A712))</f>
        <v/>
      </c>
      <c r="F712" s="13" t="str">
        <f>IF($A712="","",[1]!thsiFinD("ths_adjustment_nv_fund",F$3,$A712))</f>
        <v/>
      </c>
      <c r="G712" s="13" t="str">
        <f>IF($A712="","",[1]!thsiFinD("ths_adjustment_nv_fund",G$3,$A712))</f>
        <v/>
      </c>
      <c r="H712" s="13" t="str">
        <f>IF($A712="","",[1]!thsiFinD("ths_adjustment_nv_fund",H$3,$A712))</f>
        <v/>
      </c>
      <c r="I712" s="13" t="str">
        <f>IF($A712="","",[1]!thsiFinD("ths_adjustment_nv_fund",I$3,$A712))</f>
        <v/>
      </c>
      <c r="J712" s="13" t="str">
        <f>IF($A712="","",[1]!thsiFinD("ths_adjustment_nv_fund",J$3,$A712))</f>
        <v/>
      </c>
      <c r="K712" s="13" t="str">
        <f>IF($A712="","",[1]!thsiFinD("ths_adjustment_nv_fund",K$3,$A712))</f>
        <v/>
      </c>
      <c r="L712" s="13" t="str">
        <f>IF($A712="","",[1]!thsiFinD("ths_adjustment_nv_fund",L$3,$A712))</f>
        <v/>
      </c>
      <c r="M712" s="13" t="str">
        <f>IF($A712="","",[1]!thsiFinD("ths_adjustment_nv_fund",M$3,$A712))</f>
        <v/>
      </c>
      <c r="N712" s="13" t="str">
        <f>IF($A712="","",[1]!thsiFinD("ths_adjustment_nv_fund",N$3,$A712))</f>
        <v/>
      </c>
      <c r="O712" s="13" t="str">
        <f>IF($A712="","",[1]!thsiFinD("ths_adjustment_nv_fund",O$3,$A712))</f>
        <v/>
      </c>
      <c r="P712" s="13" t="str">
        <f>IF($A712="","",[1]!thsiFinD("ths_adjustment_nv_fund",P$3,$A712))</f>
        <v/>
      </c>
      <c r="Q712" s="13" t="str">
        <f>IF($A712="","",[1]!thsiFinD("ths_adjustment_nv_fund",Q$3,$A712))</f>
        <v/>
      </c>
      <c r="R712" s="13" t="str">
        <f>IF($A712="","",[1]!thsiFinD("ths_adjustment_nv_fund",R$3,$A712))</f>
        <v/>
      </c>
      <c r="S712" s="13" t="str">
        <f>IF($A712="","",[1]!thsiFinD("ths_adjustment_nv_fund",S$3,$A712))</f>
        <v/>
      </c>
      <c r="T712" s="13" t="str">
        <f>IF($A712="","",[1]!thsiFinD("ths_adjustment_nv_fund",T$3,$A712))</f>
        <v/>
      </c>
      <c r="U712" s="13" t="str">
        <f>IF($A712="","",[1]!thsiFinD("ths_adjustment_nv_fund",U$3,$A712))</f>
        <v/>
      </c>
      <c r="V712" s="13" t="str">
        <f>IF($A712="","",[1]!thsiFinD("ths_adjustment_nv_fund",V$3,$A712))</f>
        <v/>
      </c>
      <c r="W712" s="13" t="str">
        <f>IF($A712="","",[1]!thsiFinD("ths_adjustment_nv_fund",W$3,$A712))</f>
        <v/>
      </c>
      <c r="X712" s="13" t="str">
        <f>IF($A712="","",[1]!thsiFinD("ths_adjustment_nv_fund",X$3,$A712))</f>
        <v/>
      </c>
      <c r="Y712" s="13" t="str">
        <f>IF($A712="","",[1]!thsiFinD("ths_adjustment_nv_fund",Y$3,$A712))</f>
        <v/>
      </c>
      <c r="Z712" s="13" t="str">
        <f>IF($A712="","",[1]!thsiFinD("ths_adjustment_nv_fund",Z$3,$A712))</f>
        <v/>
      </c>
      <c r="AA712" s="13" t="str">
        <f>IF($A712="","",[1]!thsiFinD("ths_adjustment_nv_fund",AA$3,$A712))</f>
        <v/>
      </c>
      <c r="AB712" s="13">
        <f>IF($A712="","",[1]!thsiFinD("ths_adjustment_nv_fund",AB$3,$A712))</f>
        <v/>
      </c>
      <c r="AC712" s="13">
        <f>IF($A712="","",[1]!thsiFinD("ths_adjustment_nv_fund",AC$3,$A712))</f>
        <v/>
      </c>
      <c r="AD712" s="13">
        <f>IF($A712="","",[1]!thsiFinD("ths_adjustment_nv_fund",AD$3,$A712))</f>
        <v/>
      </c>
      <c r="AE712" s="13">
        <f>IF($A712="","",[1]!thsiFinD("ths_adjustment_nv_fund",AE$3,$A712))</f>
        <v/>
      </c>
      <c r="AF712" s="13">
        <f>IF($A712="","",[1]!thsiFinD("ths_adjustment_nv_fund",AF$3,$A712))</f>
        <v/>
      </c>
      <c r="AG712" s="13">
        <f>IF($A712="","",[1]!thsiFinD("ths_adjustment_nv_fund",AG$3,$A712))</f>
        <v/>
      </c>
      <c r="AH712" s="13">
        <f>IF($A712="","",[1]!thsiFinD("ths_adjustment_nv_fund",AH$3,$A712))</f>
        <v/>
      </c>
      <c r="AI712" s="13">
        <f>IF($A712="","",[1]!thsiFinD("ths_adjustment_nv_fund",AI$3,$A712))</f>
        <v/>
      </c>
      <c r="AJ712" s="13">
        <f>IF($A712="","",[1]!thsiFinD("ths_adjustment_nv_fund",AJ$3,$A712))</f>
        <v/>
      </c>
      <c r="AK712" s="13">
        <f>IF($A712="","",[1]!thsiFinD("ths_adjustment_nv_fund",AK$3,$A712))</f>
        <v/>
      </c>
      <c r="AL712" s="13">
        <f>IF($A712="","",[1]!thsiFinD("ths_adjustment_nv_fund",AL$3,$A712))</f>
        <v/>
      </c>
    </row>
    <row r="713" spans="2:28">
      <c r="B713" s="13" t="str">
        <f>IF($A713="","",[1]!thsiFinD("ths_adjustment_nv_fund",B$3,$A713))</f>
        <v/>
      </c>
      <c r="C713" s="13" t="str">
        <f>IF($A713="","",[1]!thsiFinD("ths_adjustment_nv_fund",C$3,$A713))</f>
        <v/>
      </c>
      <c r="D713" s="13" t="str">
        <f>IF($A713="","",[1]!thsiFinD("ths_adjustment_nv_fund",D$3,$A713))</f>
        <v/>
      </c>
      <c r="E713" s="13" t="str">
        <f>IF($A713="","",[1]!thsiFinD("ths_adjustment_nv_fund",E$3,$A713))</f>
        <v/>
      </c>
      <c r="F713" s="13" t="str">
        <f>IF($A713="","",[1]!thsiFinD("ths_adjustment_nv_fund",F$3,$A713))</f>
        <v/>
      </c>
      <c r="G713" s="13" t="str">
        <f>IF($A713="","",[1]!thsiFinD("ths_adjustment_nv_fund",G$3,$A713))</f>
        <v/>
      </c>
      <c r="H713" s="13" t="str">
        <f>IF($A713="","",[1]!thsiFinD("ths_adjustment_nv_fund",H$3,$A713))</f>
        <v/>
      </c>
      <c r="I713" s="13" t="str">
        <f>IF($A713="","",[1]!thsiFinD("ths_adjustment_nv_fund",I$3,$A713))</f>
        <v/>
      </c>
      <c r="J713" s="13" t="str">
        <f>IF($A713="","",[1]!thsiFinD("ths_adjustment_nv_fund",J$3,$A713))</f>
        <v/>
      </c>
      <c r="K713" s="13" t="str">
        <f>IF($A713="","",[1]!thsiFinD("ths_adjustment_nv_fund",K$3,$A713))</f>
        <v/>
      </c>
      <c r="L713" s="13" t="str">
        <f>IF($A713="","",[1]!thsiFinD("ths_adjustment_nv_fund",L$3,$A713))</f>
        <v/>
      </c>
      <c r="M713" s="13" t="str">
        <f>IF($A713="","",[1]!thsiFinD("ths_adjustment_nv_fund",M$3,$A713))</f>
        <v/>
      </c>
      <c r="N713" s="13" t="str">
        <f>IF($A713="","",[1]!thsiFinD("ths_adjustment_nv_fund",N$3,$A713))</f>
        <v/>
      </c>
      <c r="O713" s="13" t="str">
        <f>IF($A713="","",[1]!thsiFinD("ths_adjustment_nv_fund",O$3,$A713))</f>
        <v/>
      </c>
      <c r="P713" s="13" t="str">
        <f>IF($A713="","",[1]!thsiFinD("ths_adjustment_nv_fund",P$3,$A713))</f>
        <v/>
      </c>
      <c r="Q713" s="13" t="str">
        <f>IF($A713="","",[1]!thsiFinD("ths_adjustment_nv_fund",Q$3,$A713))</f>
        <v/>
      </c>
      <c r="R713" s="13" t="str">
        <f>IF($A713="","",[1]!thsiFinD("ths_adjustment_nv_fund",R$3,$A713))</f>
        <v/>
      </c>
      <c r="S713" s="13" t="str">
        <f>IF($A713="","",[1]!thsiFinD("ths_adjustment_nv_fund",S$3,$A713))</f>
        <v/>
      </c>
      <c r="T713" s="13" t="str">
        <f>IF($A713="","",[1]!thsiFinD("ths_adjustment_nv_fund",T$3,$A713))</f>
        <v/>
      </c>
      <c r="U713" s="13" t="str">
        <f>IF($A713="","",[1]!thsiFinD("ths_adjustment_nv_fund",U$3,$A713))</f>
        <v/>
      </c>
      <c r="V713" s="13" t="str">
        <f>IF($A713="","",[1]!thsiFinD("ths_adjustment_nv_fund",V$3,$A713))</f>
        <v/>
      </c>
      <c r="W713" s="13" t="str">
        <f>IF($A713="","",[1]!thsiFinD("ths_adjustment_nv_fund",W$3,$A713))</f>
        <v/>
      </c>
      <c r="X713" s="13" t="str">
        <f>IF($A713="","",[1]!thsiFinD("ths_adjustment_nv_fund",X$3,$A713))</f>
        <v/>
      </c>
      <c r="Y713" s="13" t="str">
        <f>IF($A713="","",[1]!thsiFinD("ths_adjustment_nv_fund",Y$3,$A713))</f>
        <v/>
      </c>
      <c r="Z713" s="13" t="str">
        <f>IF($A713="","",[1]!thsiFinD("ths_adjustment_nv_fund",Z$3,$A713))</f>
        <v/>
      </c>
      <c r="AA713" s="13" t="str">
        <f>IF($A713="","",[1]!thsiFinD("ths_adjustment_nv_fund",AA$3,$A713))</f>
        <v/>
      </c>
      <c r="AB713" s="13">
        <f>IF($A713="","",[1]!thsiFinD("ths_adjustment_nv_fund",AB$3,$A713))</f>
        <v/>
      </c>
      <c r="AC713" s="13">
        <f>IF($A713="","",[1]!thsiFinD("ths_adjustment_nv_fund",AC$3,$A713))</f>
        <v/>
      </c>
      <c r="AD713" s="13">
        <f>IF($A713="","",[1]!thsiFinD("ths_adjustment_nv_fund",AD$3,$A713))</f>
        <v/>
      </c>
      <c r="AE713" s="13">
        <f>IF($A713="","",[1]!thsiFinD("ths_adjustment_nv_fund",AE$3,$A713))</f>
        <v/>
      </c>
      <c r="AF713" s="13">
        <f>IF($A713="","",[1]!thsiFinD("ths_adjustment_nv_fund",AF$3,$A713))</f>
        <v/>
      </c>
      <c r="AG713" s="13">
        <f>IF($A713="","",[1]!thsiFinD("ths_adjustment_nv_fund",AG$3,$A713))</f>
        <v/>
      </c>
      <c r="AH713" s="13">
        <f>IF($A713="","",[1]!thsiFinD("ths_adjustment_nv_fund",AH$3,$A713))</f>
        <v/>
      </c>
      <c r="AI713" s="13">
        <f>IF($A713="","",[1]!thsiFinD("ths_adjustment_nv_fund",AI$3,$A713))</f>
        <v/>
      </c>
      <c r="AJ713" s="13">
        <f>IF($A713="","",[1]!thsiFinD("ths_adjustment_nv_fund",AJ$3,$A713))</f>
        <v/>
      </c>
      <c r="AK713" s="13">
        <f>IF($A713="","",[1]!thsiFinD("ths_adjustment_nv_fund",AK$3,$A713))</f>
        <v/>
      </c>
      <c r="AL713" s="13">
        <f>IF($A713="","",[1]!thsiFinD("ths_adjustment_nv_fund",AL$3,$A713))</f>
        <v/>
      </c>
    </row>
    <row r="714" spans="2:28">
      <c r="B714" s="13" t="str">
        <f>IF($A714="","",[1]!thsiFinD("ths_adjustment_nv_fund",B$3,$A714))</f>
        <v/>
      </c>
      <c r="C714" s="13" t="str">
        <f>IF($A714="","",[1]!thsiFinD("ths_adjustment_nv_fund",C$3,$A714))</f>
        <v/>
      </c>
      <c r="D714" s="13" t="str">
        <f>IF($A714="","",[1]!thsiFinD("ths_adjustment_nv_fund",D$3,$A714))</f>
        <v/>
      </c>
      <c r="E714" s="13" t="str">
        <f>IF($A714="","",[1]!thsiFinD("ths_adjustment_nv_fund",E$3,$A714))</f>
        <v/>
      </c>
      <c r="F714" s="13" t="str">
        <f>IF($A714="","",[1]!thsiFinD("ths_adjustment_nv_fund",F$3,$A714))</f>
        <v/>
      </c>
      <c r="G714" s="13" t="str">
        <f>IF($A714="","",[1]!thsiFinD("ths_adjustment_nv_fund",G$3,$A714))</f>
        <v/>
      </c>
      <c r="H714" s="13" t="str">
        <f>IF($A714="","",[1]!thsiFinD("ths_adjustment_nv_fund",H$3,$A714))</f>
        <v/>
      </c>
      <c r="I714" s="13" t="str">
        <f>IF($A714="","",[1]!thsiFinD("ths_adjustment_nv_fund",I$3,$A714))</f>
        <v/>
      </c>
      <c r="J714" s="13" t="str">
        <f>IF($A714="","",[1]!thsiFinD("ths_adjustment_nv_fund",J$3,$A714))</f>
        <v/>
      </c>
      <c r="K714" s="13" t="str">
        <f>IF($A714="","",[1]!thsiFinD("ths_adjustment_nv_fund",K$3,$A714))</f>
        <v/>
      </c>
      <c r="L714" s="13" t="str">
        <f>IF($A714="","",[1]!thsiFinD("ths_adjustment_nv_fund",L$3,$A714))</f>
        <v/>
      </c>
      <c r="M714" s="13" t="str">
        <f>IF($A714="","",[1]!thsiFinD("ths_adjustment_nv_fund",M$3,$A714))</f>
        <v/>
      </c>
      <c r="N714" s="13" t="str">
        <f>IF($A714="","",[1]!thsiFinD("ths_adjustment_nv_fund",N$3,$A714))</f>
        <v/>
      </c>
      <c r="O714" s="13" t="str">
        <f>IF($A714="","",[1]!thsiFinD("ths_adjustment_nv_fund",O$3,$A714))</f>
        <v/>
      </c>
      <c r="P714" s="13" t="str">
        <f>IF($A714="","",[1]!thsiFinD("ths_adjustment_nv_fund",P$3,$A714))</f>
        <v/>
      </c>
      <c r="Q714" s="13" t="str">
        <f>IF($A714="","",[1]!thsiFinD("ths_adjustment_nv_fund",Q$3,$A714))</f>
        <v/>
      </c>
      <c r="R714" s="13" t="str">
        <f>IF($A714="","",[1]!thsiFinD("ths_adjustment_nv_fund",R$3,$A714))</f>
        <v/>
      </c>
      <c r="S714" s="13" t="str">
        <f>IF($A714="","",[1]!thsiFinD("ths_adjustment_nv_fund",S$3,$A714))</f>
        <v/>
      </c>
      <c r="T714" s="13" t="str">
        <f>IF($A714="","",[1]!thsiFinD("ths_adjustment_nv_fund",T$3,$A714))</f>
        <v/>
      </c>
      <c r="U714" s="13" t="str">
        <f>IF($A714="","",[1]!thsiFinD("ths_adjustment_nv_fund",U$3,$A714))</f>
        <v/>
      </c>
      <c r="V714" s="13" t="str">
        <f>IF($A714="","",[1]!thsiFinD("ths_adjustment_nv_fund",V$3,$A714))</f>
        <v/>
      </c>
      <c r="W714" s="13" t="str">
        <f>IF($A714="","",[1]!thsiFinD("ths_adjustment_nv_fund",W$3,$A714))</f>
        <v/>
      </c>
      <c r="X714" s="13" t="str">
        <f>IF($A714="","",[1]!thsiFinD("ths_adjustment_nv_fund",X$3,$A714))</f>
        <v/>
      </c>
      <c r="Y714" s="13" t="str">
        <f>IF($A714="","",[1]!thsiFinD("ths_adjustment_nv_fund",Y$3,$A714))</f>
        <v/>
      </c>
      <c r="Z714" s="13" t="str">
        <f>IF($A714="","",[1]!thsiFinD("ths_adjustment_nv_fund",Z$3,$A714))</f>
        <v/>
      </c>
      <c r="AA714" s="13" t="str">
        <f>IF($A714="","",[1]!thsiFinD("ths_adjustment_nv_fund",AA$3,$A714))</f>
        <v/>
      </c>
      <c r="AB714" s="13">
        <f>IF($A714="","",[1]!thsiFinD("ths_adjustment_nv_fund",AB$3,$A714))</f>
        <v/>
      </c>
      <c r="AC714" s="13">
        <f>IF($A714="","",[1]!thsiFinD("ths_adjustment_nv_fund",AC$3,$A714))</f>
        <v/>
      </c>
      <c r="AD714" s="13">
        <f>IF($A714="","",[1]!thsiFinD("ths_adjustment_nv_fund",AD$3,$A714))</f>
        <v/>
      </c>
      <c r="AE714" s="13">
        <f>IF($A714="","",[1]!thsiFinD("ths_adjustment_nv_fund",AE$3,$A714))</f>
        <v/>
      </c>
      <c r="AF714" s="13">
        <f>IF($A714="","",[1]!thsiFinD("ths_adjustment_nv_fund",AF$3,$A714))</f>
        <v/>
      </c>
      <c r="AG714" s="13">
        <f>IF($A714="","",[1]!thsiFinD("ths_adjustment_nv_fund",AG$3,$A714))</f>
        <v/>
      </c>
      <c r="AH714" s="13">
        <f>IF($A714="","",[1]!thsiFinD("ths_adjustment_nv_fund",AH$3,$A714))</f>
        <v/>
      </c>
      <c r="AI714" s="13">
        <f>IF($A714="","",[1]!thsiFinD("ths_adjustment_nv_fund",AI$3,$A714))</f>
        <v/>
      </c>
      <c r="AJ714" s="13">
        <f>IF($A714="","",[1]!thsiFinD("ths_adjustment_nv_fund",AJ$3,$A714))</f>
        <v/>
      </c>
      <c r="AK714" s="13">
        <f>IF($A714="","",[1]!thsiFinD("ths_adjustment_nv_fund",AK$3,$A714))</f>
        <v/>
      </c>
      <c r="AL714" s="13">
        <f>IF($A714="","",[1]!thsiFinD("ths_adjustment_nv_fund",AL$3,$A714))</f>
        <v/>
      </c>
    </row>
    <row r="715" spans="2:28">
      <c r="B715" s="13" t="str">
        <f>IF($A715="","",[1]!thsiFinD("ths_adjustment_nv_fund",B$3,$A715))</f>
        <v/>
      </c>
      <c r="C715" s="13" t="str">
        <f>IF($A715="","",[1]!thsiFinD("ths_adjustment_nv_fund",C$3,$A715))</f>
        <v/>
      </c>
      <c r="D715" s="13" t="str">
        <f>IF($A715="","",[1]!thsiFinD("ths_adjustment_nv_fund",D$3,$A715))</f>
        <v/>
      </c>
      <c r="E715" s="13" t="str">
        <f>IF($A715="","",[1]!thsiFinD("ths_adjustment_nv_fund",E$3,$A715))</f>
        <v/>
      </c>
      <c r="F715" s="13" t="str">
        <f>IF($A715="","",[1]!thsiFinD("ths_adjustment_nv_fund",F$3,$A715))</f>
        <v/>
      </c>
      <c r="G715" s="13" t="str">
        <f>IF($A715="","",[1]!thsiFinD("ths_adjustment_nv_fund",G$3,$A715))</f>
        <v/>
      </c>
      <c r="H715" s="13" t="str">
        <f>IF($A715="","",[1]!thsiFinD("ths_adjustment_nv_fund",H$3,$A715))</f>
        <v/>
      </c>
      <c r="I715" s="13" t="str">
        <f>IF($A715="","",[1]!thsiFinD("ths_adjustment_nv_fund",I$3,$A715))</f>
        <v/>
      </c>
      <c r="J715" s="13" t="str">
        <f>IF($A715="","",[1]!thsiFinD("ths_adjustment_nv_fund",J$3,$A715))</f>
        <v/>
      </c>
      <c r="K715" s="13" t="str">
        <f>IF($A715="","",[1]!thsiFinD("ths_adjustment_nv_fund",K$3,$A715))</f>
        <v/>
      </c>
      <c r="L715" s="13" t="str">
        <f>IF($A715="","",[1]!thsiFinD("ths_adjustment_nv_fund",L$3,$A715))</f>
        <v/>
      </c>
      <c r="M715" s="13" t="str">
        <f>IF($A715="","",[1]!thsiFinD("ths_adjustment_nv_fund",M$3,$A715))</f>
        <v/>
      </c>
      <c r="N715" s="13" t="str">
        <f>IF($A715="","",[1]!thsiFinD("ths_adjustment_nv_fund",N$3,$A715))</f>
        <v/>
      </c>
      <c r="O715" s="13" t="str">
        <f>IF($A715="","",[1]!thsiFinD("ths_adjustment_nv_fund",O$3,$A715))</f>
        <v/>
      </c>
      <c r="P715" s="13" t="str">
        <f>IF($A715="","",[1]!thsiFinD("ths_adjustment_nv_fund",P$3,$A715))</f>
        <v/>
      </c>
      <c r="Q715" s="13" t="str">
        <f>IF($A715="","",[1]!thsiFinD("ths_adjustment_nv_fund",Q$3,$A715))</f>
        <v/>
      </c>
      <c r="R715" s="13" t="str">
        <f>IF($A715="","",[1]!thsiFinD("ths_adjustment_nv_fund",R$3,$A715))</f>
        <v/>
      </c>
      <c r="S715" s="13" t="str">
        <f>IF($A715="","",[1]!thsiFinD("ths_adjustment_nv_fund",S$3,$A715))</f>
        <v/>
      </c>
      <c r="T715" s="13" t="str">
        <f>IF($A715="","",[1]!thsiFinD("ths_adjustment_nv_fund",T$3,$A715))</f>
        <v/>
      </c>
      <c r="U715" s="13" t="str">
        <f>IF($A715="","",[1]!thsiFinD("ths_adjustment_nv_fund",U$3,$A715))</f>
        <v/>
      </c>
      <c r="V715" s="13" t="str">
        <f>IF($A715="","",[1]!thsiFinD("ths_adjustment_nv_fund",V$3,$A715))</f>
        <v/>
      </c>
      <c r="W715" s="13" t="str">
        <f>IF($A715="","",[1]!thsiFinD("ths_adjustment_nv_fund",W$3,$A715))</f>
        <v/>
      </c>
      <c r="X715" s="13" t="str">
        <f>IF($A715="","",[1]!thsiFinD("ths_adjustment_nv_fund",X$3,$A715))</f>
        <v/>
      </c>
      <c r="Y715" s="13" t="str">
        <f>IF($A715="","",[1]!thsiFinD("ths_adjustment_nv_fund",Y$3,$A715))</f>
        <v/>
      </c>
      <c r="Z715" s="13" t="str">
        <f>IF($A715="","",[1]!thsiFinD("ths_adjustment_nv_fund",Z$3,$A715))</f>
        <v/>
      </c>
      <c r="AA715" s="13" t="str">
        <f>IF($A715="","",[1]!thsiFinD("ths_adjustment_nv_fund",AA$3,$A715))</f>
        <v/>
      </c>
      <c r="AB715" s="13">
        <f>IF($A715="","",[1]!thsiFinD("ths_adjustment_nv_fund",AB$3,$A715))</f>
        <v/>
      </c>
      <c r="AC715" s="13">
        <f>IF($A715="","",[1]!thsiFinD("ths_adjustment_nv_fund",AC$3,$A715))</f>
        <v/>
      </c>
      <c r="AD715" s="13">
        <f>IF($A715="","",[1]!thsiFinD("ths_adjustment_nv_fund",AD$3,$A715))</f>
        <v/>
      </c>
      <c r="AE715" s="13">
        <f>IF($A715="","",[1]!thsiFinD("ths_adjustment_nv_fund",AE$3,$A715))</f>
        <v/>
      </c>
      <c r="AF715" s="13">
        <f>IF($A715="","",[1]!thsiFinD("ths_adjustment_nv_fund",AF$3,$A715))</f>
        <v/>
      </c>
      <c r="AG715" s="13">
        <f>IF($A715="","",[1]!thsiFinD("ths_adjustment_nv_fund",AG$3,$A715))</f>
        <v/>
      </c>
      <c r="AH715" s="13">
        <f>IF($A715="","",[1]!thsiFinD("ths_adjustment_nv_fund",AH$3,$A715))</f>
        <v/>
      </c>
      <c r="AI715" s="13">
        <f>IF($A715="","",[1]!thsiFinD("ths_adjustment_nv_fund",AI$3,$A715))</f>
        <v/>
      </c>
      <c r="AJ715" s="13">
        <f>IF($A715="","",[1]!thsiFinD("ths_adjustment_nv_fund",AJ$3,$A715))</f>
        <v/>
      </c>
      <c r="AK715" s="13">
        <f>IF($A715="","",[1]!thsiFinD("ths_adjustment_nv_fund",AK$3,$A715))</f>
        <v/>
      </c>
      <c r="AL715" s="13">
        <f>IF($A715="","",[1]!thsiFinD("ths_adjustment_nv_fund",AL$3,$A715))</f>
        <v/>
      </c>
    </row>
    <row r="716" spans="2:28">
      <c r="B716" s="13" t="str">
        <f>IF($A716="","",[1]!thsiFinD("ths_adjustment_nv_fund",B$3,$A716))</f>
        <v/>
      </c>
      <c r="C716" s="13" t="str">
        <f>IF($A716="","",[1]!thsiFinD("ths_adjustment_nv_fund",C$3,$A716))</f>
        <v/>
      </c>
      <c r="D716" s="13" t="str">
        <f>IF($A716="","",[1]!thsiFinD("ths_adjustment_nv_fund",D$3,$A716))</f>
        <v/>
      </c>
      <c r="E716" s="13" t="str">
        <f>IF($A716="","",[1]!thsiFinD("ths_adjustment_nv_fund",E$3,$A716))</f>
        <v/>
      </c>
      <c r="F716" s="13" t="str">
        <f>IF($A716="","",[1]!thsiFinD("ths_adjustment_nv_fund",F$3,$A716))</f>
        <v/>
      </c>
      <c r="G716" s="13" t="str">
        <f>IF($A716="","",[1]!thsiFinD("ths_adjustment_nv_fund",G$3,$A716))</f>
        <v/>
      </c>
      <c r="H716" s="13" t="str">
        <f>IF($A716="","",[1]!thsiFinD("ths_adjustment_nv_fund",H$3,$A716))</f>
        <v/>
      </c>
      <c r="I716" s="13" t="str">
        <f>IF($A716="","",[1]!thsiFinD("ths_adjustment_nv_fund",I$3,$A716))</f>
        <v/>
      </c>
      <c r="J716" s="13" t="str">
        <f>IF($A716="","",[1]!thsiFinD("ths_adjustment_nv_fund",J$3,$A716))</f>
        <v/>
      </c>
      <c r="K716" s="13" t="str">
        <f>IF($A716="","",[1]!thsiFinD("ths_adjustment_nv_fund",K$3,$A716))</f>
        <v/>
      </c>
      <c r="L716" s="13" t="str">
        <f>IF($A716="","",[1]!thsiFinD("ths_adjustment_nv_fund",L$3,$A716))</f>
        <v/>
      </c>
      <c r="M716" s="13" t="str">
        <f>IF($A716="","",[1]!thsiFinD("ths_adjustment_nv_fund",M$3,$A716))</f>
        <v/>
      </c>
      <c r="N716" s="13" t="str">
        <f>IF($A716="","",[1]!thsiFinD("ths_adjustment_nv_fund",N$3,$A716))</f>
        <v/>
      </c>
      <c r="O716" s="13" t="str">
        <f>IF($A716="","",[1]!thsiFinD("ths_adjustment_nv_fund",O$3,$A716))</f>
        <v/>
      </c>
      <c r="P716" s="13" t="str">
        <f>IF($A716="","",[1]!thsiFinD("ths_adjustment_nv_fund",P$3,$A716))</f>
        <v/>
      </c>
      <c r="Q716" s="13" t="str">
        <f>IF($A716="","",[1]!thsiFinD("ths_adjustment_nv_fund",Q$3,$A716))</f>
        <v/>
      </c>
      <c r="R716" s="13" t="str">
        <f>IF($A716="","",[1]!thsiFinD("ths_adjustment_nv_fund",R$3,$A716))</f>
        <v/>
      </c>
      <c r="S716" s="13" t="str">
        <f>IF($A716="","",[1]!thsiFinD("ths_adjustment_nv_fund",S$3,$A716))</f>
        <v/>
      </c>
      <c r="T716" s="13" t="str">
        <f>IF($A716="","",[1]!thsiFinD("ths_adjustment_nv_fund",T$3,$A716))</f>
        <v/>
      </c>
      <c r="U716" s="13" t="str">
        <f>IF($A716="","",[1]!thsiFinD("ths_adjustment_nv_fund",U$3,$A716))</f>
        <v/>
      </c>
      <c r="V716" s="13" t="str">
        <f>IF($A716="","",[1]!thsiFinD("ths_adjustment_nv_fund",V$3,$A716))</f>
        <v/>
      </c>
      <c r="W716" s="13" t="str">
        <f>IF($A716="","",[1]!thsiFinD("ths_adjustment_nv_fund",W$3,$A716))</f>
        <v/>
      </c>
      <c r="X716" s="13" t="str">
        <f>IF($A716="","",[1]!thsiFinD("ths_adjustment_nv_fund",X$3,$A716))</f>
        <v/>
      </c>
      <c r="Y716" s="13" t="str">
        <f>IF($A716="","",[1]!thsiFinD("ths_adjustment_nv_fund",Y$3,$A716))</f>
        <v/>
      </c>
      <c r="Z716" s="13" t="str">
        <f>IF($A716="","",[1]!thsiFinD("ths_adjustment_nv_fund",Z$3,$A716))</f>
        <v/>
      </c>
      <c r="AA716" s="13" t="str">
        <f>IF($A716="","",[1]!thsiFinD("ths_adjustment_nv_fund",AA$3,$A716))</f>
        <v/>
      </c>
      <c r="AB716" s="13">
        <f>IF($A716="","",[1]!thsiFinD("ths_adjustment_nv_fund",AB$3,$A716))</f>
        <v/>
      </c>
      <c r="AC716" s="13">
        <f>IF($A716="","",[1]!thsiFinD("ths_adjustment_nv_fund",AC$3,$A716))</f>
        <v/>
      </c>
      <c r="AD716" s="13">
        <f>IF($A716="","",[1]!thsiFinD("ths_adjustment_nv_fund",AD$3,$A716))</f>
        <v/>
      </c>
      <c r="AE716" s="13">
        <f>IF($A716="","",[1]!thsiFinD("ths_adjustment_nv_fund",AE$3,$A716))</f>
        <v/>
      </c>
      <c r="AF716" s="13">
        <f>IF($A716="","",[1]!thsiFinD("ths_adjustment_nv_fund",AF$3,$A716))</f>
        <v/>
      </c>
      <c r="AG716" s="13">
        <f>IF($A716="","",[1]!thsiFinD("ths_adjustment_nv_fund",AG$3,$A716))</f>
        <v/>
      </c>
      <c r="AH716" s="13">
        <f>IF($A716="","",[1]!thsiFinD("ths_adjustment_nv_fund",AH$3,$A716))</f>
        <v/>
      </c>
      <c r="AI716" s="13">
        <f>IF($A716="","",[1]!thsiFinD("ths_adjustment_nv_fund",AI$3,$A716))</f>
        <v/>
      </c>
      <c r="AJ716" s="13">
        <f>IF($A716="","",[1]!thsiFinD("ths_adjustment_nv_fund",AJ$3,$A716))</f>
        <v/>
      </c>
      <c r="AK716" s="13">
        <f>IF($A716="","",[1]!thsiFinD("ths_adjustment_nv_fund",AK$3,$A716))</f>
        <v/>
      </c>
      <c r="AL716" s="13">
        <f>IF($A716="","",[1]!thsiFinD("ths_adjustment_nv_fund",AL$3,$A716))</f>
        <v/>
      </c>
    </row>
    <row r="717" spans="2:28">
      <c r="B717" s="13" t="str">
        <f>IF($A717="","",[1]!thsiFinD("ths_adjustment_nv_fund",B$3,$A717))</f>
        <v/>
      </c>
      <c r="C717" s="13" t="str">
        <f>IF($A717="","",[1]!thsiFinD("ths_adjustment_nv_fund",C$3,$A717))</f>
        <v/>
      </c>
      <c r="D717" s="13" t="str">
        <f>IF($A717="","",[1]!thsiFinD("ths_adjustment_nv_fund",D$3,$A717))</f>
        <v/>
      </c>
      <c r="E717" s="13" t="str">
        <f>IF($A717="","",[1]!thsiFinD("ths_adjustment_nv_fund",E$3,$A717))</f>
        <v/>
      </c>
      <c r="F717" s="13" t="str">
        <f>IF($A717="","",[1]!thsiFinD("ths_adjustment_nv_fund",F$3,$A717))</f>
        <v/>
      </c>
      <c r="G717" s="13" t="str">
        <f>IF($A717="","",[1]!thsiFinD("ths_adjustment_nv_fund",G$3,$A717))</f>
        <v/>
      </c>
      <c r="H717" s="13" t="str">
        <f>IF($A717="","",[1]!thsiFinD("ths_adjustment_nv_fund",H$3,$A717))</f>
        <v/>
      </c>
      <c r="I717" s="13" t="str">
        <f>IF($A717="","",[1]!thsiFinD("ths_adjustment_nv_fund",I$3,$A717))</f>
        <v/>
      </c>
      <c r="J717" s="13" t="str">
        <f>IF($A717="","",[1]!thsiFinD("ths_adjustment_nv_fund",J$3,$A717))</f>
        <v/>
      </c>
      <c r="K717" s="13" t="str">
        <f>IF($A717="","",[1]!thsiFinD("ths_adjustment_nv_fund",K$3,$A717))</f>
        <v/>
      </c>
      <c r="L717" s="13" t="str">
        <f>IF($A717="","",[1]!thsiFinD("ths_adjustment_nv_fund",L$3,$A717))</f>
        <v/>
      </c>
      <c r="M717" s="13" t="str">
        <f>IF($A717="","",[1]!thsiFinD("ths_adjustment_nv_fund",M$3,$A717))</f>
        <v/>
      </c>
      <c r="N717" s="13" t="str">
        <f>IF($A717="","",[1]!thsiFinD("ths_adjustment_nv_fund",N$3,$A717))</f>
        <v/>
      </c>
      <c r="O717" s="13" t="str">
        <f>IF($A717="","",[1]!thsiFinD("ths_adjustment_nv_fund",O$3,$A717))</f>
        <v/>
      </c>
      <c r="P717" s="13" t="str">
        <f>IF($A717="","",[1]!thsiFinD("ths_adjustment_nv_fund",P$3,$A717))</f>
        <v/>
      </c>
      <c r="Q717" s="13" t="str">
        <f>IF($A717="","",[1]!thsiFinD("ths_adjustment_nv_fund",Q$3,$A717))</f>
        <v/>
      </c>
      <c r="R717" s="13" t="str">
        <f>IF($A717="","",[1]!thsiFinD("ths_adjustment_nv_fund",R$3,$A717))</f>
        <v/>
      </c>
      <c r="S717" s="13" t="str">
        <f>IF($A717="","",[1]!thsiFinD("ths_adjustment_nv_fund",S$3,$A717))</f>
        <v/>
      </c>
      <c r="T717" s="13" t="str">
        <f>IF($A717="","",[1]!thsiFinD("ths_adjustment_nv_fund",T$3,$A717))</f>
        <v/>
      </c>
      <c r="U717" s="13" t="str">
        <f>IF($A717="","",[1]!thsiFinD("ths_adjustment_nv_fund",U$3,$A717))</f>
        <v/>
      </c>
      <c r="V717" s="13" t="str">
        <f>IF($A717="","",[1]!thsiFinD("ths_adjustment_nv_fund",V$3,$A717))</f>
        <v/>
      </c>
      <c r="W717" s="13" t="str">
        <f>IF($A717="","",[1]!thsiFinD("ths_adjustment_nv_fund",W$3,$A717))</f>
        <v/>
      </c>
      <c r="X717" s="13" t="str">
        <f>IF($A717="","",[1]!thsiFinD("ths_adjustment_nv_fund",X$3,$A717))</f>
        <v/>
      </c>
      <c r="Y717" s="13" t="str">
        <f>IF($A717="","",[1]!thsiFinD("ths_adjustment_nv_fund",Y$3,$A717))</f>
        <v/>
      </c>
      <c r="Z717" s="13" t="str">
        <f>IF($A717="","",[1]!thsiFinD("ths_adjustment_nv_fund",Z$3,$A717))</f>
        <v/>
      </c>
      <c r="AA717" s="13" t="str">
        <f>IF($A717="","",[1]!thsiFinD("ths_adjustment_nv_fund",AA$3,$A717))</f>
        <v/>
      </c>
      <c r="AB717" s="13">
        <f>IF($A717="","",[1]!thsiFinD("ths_adjustment_nv_fund",AB$3,$A717))</f>
        <v/>
      </c>
      <c r="AC717" s="13">
        <f>IF($A717="","",[1]!thsiFinD("ths_adjustment_nv_fund",AC$3,$A717))</f>
        <v/>
      </c>
      <c r="AD717" s="13">
        <f>IF($A717="","",[1]!thsiFinD("ths_adjustment_nv_fund",AD$3,$A717))</f>
        <v/>
      </c>
      <c r="AE717" s="13">
        <f>IF($A717="","",[1]!thsiFinD("ths_adjustment_nv_fund",AE$3,$A717))</f>
        <v/>
      </c>
      <c r="AF717" s="13">
        <f>IF($A717="","",[1]!thsiFinD("ths_adjustment_nv_fund",AF$3,$A717))</f>
        <v/>
      </c>
      <c r="AG717" s="13">
        <f>IF($A717="","",[1]!thsiFinD("ths_adjustment_nv_fund",AG$3,$A717))</f>
        <v/>
      </c>
      <c r="AH717" s="13">
        <f>IF($A717="","",[1]!thsiFinD("ths_adjustment_nv_fund",AH$3,$A717))</f>
        <v/>
      </c>
      <c r="AI717" s="13">
        <f>IF($A717="","",[1]!thsiFinD("ths_adjustment_nv_fund",AI$3,$A717))</f>
        <v/>
      </c>
      <c r="AJ717" s="13">
        <f>IF($A717="","",[1]!thsiFinD("ths_adjustment_nv_fund",AJ$3,$A717))</f>
        <v/>
      </c>
      <c r="AK717" s="13">
        <f>IF($A717="","",[1]!thsiFinD("ths_adjustment_nv_fund",AK$3,$A717))</f>
        <v/>
      </c>
      <c r="AL717" s="13">
        <f>IF($A717="","",[1]!thsiFinD("ths_adjustment_nv_fund",AL$3,$A717))</f>
        <v/>
      </c>
    </row>
    <row r="718" spans="2:28">
      <c r="B718" s="13" t="str">
        <f>IF($A718="","",[1]!thsiFinD("ths_adjustment_nv_fund",B$3,$A718))</f>
        <v/>
      </c>
      <c r="C718" s="13" t="str">
        <f>IF($A718="","",[1]!thsiFinD("ths_adjustment_nv_fund",C$3,$A718))</f>
        <v/>
      </c>
      <c r="D718" s="13" t="str">
        <f>IF($A718="","",[1]!thsiFinD("ths_adjustment_nv_fund",D$3,$A718))</f>
        <v/>
      </c>
      <c r="E718" s="13" t="str">
        <f>IF($A718="","",[1]!thsiFinD("ths_adjustment_nv_fund",E$3,$A718))</f>
        <v/>
      </c>
      <c r="F718" s="13" t="str">
        <f>IF($A718="","",[1]!thsiFinD("ths_adjustment_nv_fund",F$3,$A718))</f>
        <v/>
      </c>
      <c r="G718" s="13" t="str">
        <f>IF($A718="","",[1]!thsiFinD("ths_adjustment_nv_fund",G$3,$A718))</f>
        <v/>
      </c>
      <c r="H718" s="13" t="str">
        <f>IF($A718="","",[1]!thsiFinD("ths_adjustment_nv_fund",H$3,$A718))</f>
        <v/>
      </c>
      <c r="I718" s="13" t="str">
        <f>IF($A718="","",[1]!thsiFinD("ths_adjustment_nv_fund",I$3,$A718))</f>
        <v/>
      </c>
      <c r="J718" s="13" t="str">
        <f>IF($A718="","",[1]!thsiFinD("ths_adjustment_nv_fund",J$3,$A718))</f>
        <v/>
      </c>
      <c r="K718" s="13" t="str">
        <f>IF($A718="","",[1]!thsiFinD("ths_adjustment_nv_fund",K$3,$A718))</f>
        <v/>
      </c>
      <c r="L718" s="13" t="str">
        <f>IF($A718="","",[1]!thsiFinD("ths_adjustment_nv_fund",L$3,$A718))</f>
        <v/>
      </c>
      <c r="M718" s="13" t="str">
        <f>IF($A718="","",[1]!thsiFinD("ths_adjustment_nv_fund",M$3,$A718))</f>
        <v/>
      </c>
      <c r="N718" s="13" t="str">
        <f>IF($A718="","",[1]!thsiFinD("ths_adjustment_nv_fund",N$3,$A718))</f>
        <v/>
      </c>
      <c r="O718" s="13" t="str">
        <f>IF($A718="","",[1]!thsiFinD("ths_adjustment_nv_fund",O$3,$A718))</f>
        <v/>
      </c>
      <c r="P718" s="13" t="str">
        <f>IF($A718="","",[1]!thsiFinD("ths_adjustment_nv_fund",P$3,$A718))</f>
        <v/>
      </c>
      <c r="Q718" s="13" t="str">
        <f>IF($A718="","",[1]!thsiFinD("ths_adjustment_nv_fund",Q$3,$A718))</f>
        <v/>
      </c>
      <c r="R718" s="13" t="str">
        <f>IF($A718="","",[1]!thsiFinD("ths_adjustment_nv_fund",R$3,$A718))</f>
        <v/>
      </c>
      <c r="S718" s="13" t="str">
        <f>IF($A718="","",[1]!thsiFinD("ths_adjustment_nv_fund",S$3,$A718))</f>
        <v/>
      </c>
      <c r="T718" s="13" t="str">
        <f>IF($A718="","",[1]!thsiFinD("ths_adjustment_nv_fund",T$3,$A718))</f>
        <v/>
      </c>
      <c r="U718" s="13" t="str">
        <f>IF($A718="","",[1]!thsiFinD("ths_adjustment_nv_fund",U$3,$A718))</f>
        <v/>
      </c>
      <c r="V718" s="13" t="str">
        <f>IF($A718="","",[1]!thsiFinD("ths_adjustment_nv_fund",V$3,$A718))</f>
        <v/>
      </c>
      <c r="W718" s="13" t="str">
        <f>IF($A718="","",[1]!thsiFinD("ths_adjustment_nv_fund",W$3,$A718))</f>
        <v/>
      </c>
      <c r="X718" s="13" t="str">
        <f>IF($A718="","",[1]!thsiFinD("ths_adjustment_nv_fund",X$3,$A718))</f>
        <v/>
      </c>
      <c r="Y718" s="13" t="str">
        <f>IF($A718="","",[1]!thsiFinD("ths_adjustment_nv_fund",Y$3,$A718))</f>
        <v/>
      </c>
      <c r="Z718" s="13" t="str">
        <f>IF($A718="","",[1]!thsiFinD("ths_adjustment_nv_fund",Z$3,$A718))</f>
        <v/>
      </c>
      <c r="AA718" s="13" t="str">
        <f>IF($A718="","",[1]!thsiFinD("ths_adjustment_nv_fund",AA$3,$A718))</f>
        <v/>
      </c>
      <c r="AB718" s="13">
        <f>IF($A718="","",[1]!thsiFinD("ths_adjustment_nv_fund",AB$3,$A718))</f>
        <v/>
      </c>
      <c r="AC718" s="13">
        <f>IF($A718="","",[1]!thsiFinD("ths_adjustment_nv_fund",AC$3,$A718))</f>
        <v/>
      </c>
      <c r="AD718" s="13">
        <f>IF($A718="","",[1]!thsiFinD("ths_adjustment_nv_fund",AD$3,$A718))</f>
        <v/>
      </c>
      <c r="AE718" s="13">
        <f>IF($A718="","",[1]!thsiFinD("ths_adjustment_nv_fund",AE$3,$A718))</f>
        <v/>
      </c>
      <c r="AF718" s="13">
        <f>IF($A718="","",[1]!thsiFinD("ths_adjustment_nv_fund",AF$3,$A718))</f>
        <v/>
      </c>
      <c r="AG718" s="13">
        <f>IF($A718="","",[1]!thsiFinD("ths_adjustment_nv_fund",AG$3,$A718))</f>
        <v/>
      </c>
      <c r="AH718" s="13">
        <f>IF($A718="","",[1]!thsiFinD("ths_adjustment_nv_fund",AH$3,$A718))</f>
        <v/>
      </c>
      <c r="AI718" s="13">
        <f>IF($A718="","",[1]!thsiFinD("ths_adjustment_nv_fund",AI$3,$A718))</f>
        <v/>
      </c>
      <c r="AJ718" s="13">
        <f>IF($A718="","",[1]!thsiFinD("ths_adjustment_nv_fund",AJ$3,$A718))</f>
        <v/>
      </c>
      <c r="AK718" s="13">
        <f>IF($A718="","",[1]!thsiFinD("ths_adjustment_nv_fund",AK$3,$A718))</f>
        <v/>
      </c>
      <c r="AL718" s="13">
        <f>IF($A718="","",[1]!thsiFinD("ths_adjustment_nv_fund",AL$3,$A718))</f>
        <v/>
      </c>
    </row>
    <row r="719" spans="2:28">
      <c r="B719" s="13" t="str">
        <f>IF($A719="","",[1]!thsiFinD("ths_adjustment_nv_fund",B$3,$A719))</f>
        <v/>
      </c>
      <c r="C719" s="13" t="str">
        <f>IF($A719="","",[1]!thsiFinD("ths_adjustment_nv_fund",C$3,$A719))</f>
        <v/>
      </c>
      <c r="D719" s="13" t="str">
        <f>IF($A719="","",[1]!thsiFinD("ths_adjustment_nv_fund",D$3,$A719))</f>
        <v/>
      </c>
      <c r="E719" s="13" t="str">
        <f>IF($A719="","",[1]!thsiFinD("ths_adjustment_nv_fund",E$3,$A719))</f>
        <v/>
      </c>
      <c r="F719" s="13" t="str">
        <f>IF($A719="","",[1]!thsiFinD("ths_adjustment_nv_fund",F$3,$A719))</f>
        <v/>
      </c>
      <c r="G719" s="13" t="str">
        <f>IF($A719="","",[1]!thsiFinD("ths_adjustment_nv_fund",G$3,$A719))</f>
        <v/>
      </c>
      <c r="H719" s="13" t="str">
        <f>IF($A719="","",[1]!thsiFinD("ths_adjustment_nv_fund",H$3,$A719))</f>
        <v/>
      </c>
      <c r="I719" s="13" t="str">
        <f>IF($A719="","",[1]!thsiFinD("ths_adjustment_nv_fund",I$3,$A719))</f>
        <v/>
      </c>
      <c r="J719" s="13" t="str">
        <f>IF($A719="","",[1]!thsiFinD("ths_adjustment_nv_fund",J$3,$A719))</f>
        <v/>
      </c>
      <c r="K719" s="13" t="str">
        <f>IF($A719="","",[1]!thsiFinD("ths_adjustment_nv_fund",K$3,$A719))</f>
        <v/>
      </c>
      <c r="L719" s="13" t="str">
        <f>IF($A719="","",[1]!thsiFinD("ths_adjustment_nv_fund",L$3,$A719))</f>
        <v/>
      </c>
      <c r="M719" s="13" t="str">
        <f>IF($A719="","",[1]!thsiFinD("ths_adjustment_nv_fund",M$3,$A719))</f>
        <v/>
      </c>
      <c r="N719" s="13" t="str">
        <f>IF($A719="","",[1]!thsiFinD("ths_adjustment_nv_fund",N$3,$A719))</f>
        <v/>
      </c>
      <c r="O719" s="13" t="str">
        <f>IF($A719="","",[1]!thsiFinD("ths_adjustment_nv_fund",O$3,$A719))</f>
        <v/>
      </c>
      <c r="P719" s="13" t="str">
        <f>IF($A719="","",[1]!thsiFinD("ths_adjustment_nv_fund",P$3,$A719))</f>
        <v/>
      </c>
      <c r="Q719" s="13" t="str">
        <f>IF($A719="","",[1]!thsiFinD("ths_adjustment_nv_fund",Q$3,$A719))</f>
        <v/>
      </c>
      <c r="R719" s="13" t="str">
        <f>IF($A719="","",[1]!thsiFinD("ths_adjustment_nv_fund",R$3,$A719))</f>
        <v/>
      </c>
      <c r="S719" s="13" t="str">
        <f>IF($A719="","",[1]!thsiFinD("ths_adjustment_nv_fund",S$3,$A719))</f>
        <v/>
      </c>
      <c r="T719" s="13" t="str">
        <f>IF($A719="","",[1]!thsiFinD("ths_adjustment_nv_fund",T$3,$A719))</f>
        <v/>
      </c>
      <c r="U719" s="13" t="str">
        <f>IF($A719="","",[1]!thsiFinD("ths_adjustment_nv_fund",U$3,$A719))</f>
        <v/>
      </c>
      <c r="V719" s="13" t="str">
        <f>IF($A719="","",[1]!thsiFinD("ths_adjustment_nv_fund",V$3,$A719))</f>
        <v/>
      </c>
      <c r="W719" s="13" t="str">
        <f>IF($A719="","",[1]!thsiFinD("ths_adjustment_nv_fund",W$3,$A719))</f>
        <v/>
      </c>
      <c r="X719" s="13" t="str">
        <f>IF($A719="","",[1]!thsiFinD("ths_adjustment_nv_fund",X$3,$A719))</f>
        <v/>
      </c>
      <c r="Y719" s="13" t="str">
        <f>IF($A719="","",[1]!thsiFinD("ths_adjustment_nv_fund",Y$3,$A719))</f>
        <v/>
      </c>
      <c r="Z719" s="13" t="str">
        <f>IF($A719="","",[1]!thsiFinD("ths_adjustment_nv_fund",Z$3,$A719))</f>
        <v/>
      </c>
      <c r="AA719" s="13" t="str">
        <f>IF($A719="","",[1]!thsiFinD("ths_adjustment_nv_fund",AA$3,$A719))</f>
        <v/>
      </c>
      <c r="AB719" s="13">
        <f>IF($A719="","",[1]!thsiFinD("ths_adjustment_nv_fund",AB$3,$A719))</f>
        <v/>
      </c>
      <c r="AC719" s="13">
        <f>IF($A719="","",[1]!thsiFinD("ths_adjustment_nv_fund",AC$3,$A719))</f>
        <v/>
      </c>
      <c r="AD719" s="13">
        <f>IF($A719="","",[1]!thsiFinD("ths_adjustment_nv_fund",AD$3,$A719))</f>
        <v/>
      </c>
      <c r="AE719" s="13">
        <f>IF($A719="","",[1]!thsiFinD("ths_adjustment_nv_fund",AE$3,$A719))</f>
        <v/>
      </c>
      <c r="AF719" s="13">
        <f>IF($A719="","",[1]!thsiFinD("ths_adjustment_nv_fund",AF$3,$A719))</f>
        <v/>
      </c>
      <c r="AG719" s="13">
        <f>IF($A719="","",[1]!thsiFinD("ths_adjustment_nv_fund",AG$3,$A719))</f>
        <v/>
      </c>
      <c r="AH719" s="13">
        <f>IF($A719="","",[1]!thsiFinD("ths_adjustment_nv_fund",AH$3,$A719))</f>
        <v/>
      </c>
      <c r="AI719" s="13">
        <f>IF($A719="","",[1]!thsiFinD("ths_adjustment_nv_fund",AI$3,$A719))</f>
        <v/>
      </c>
      <c r="AJ719" s="13">
        <f>IF($A719="","",[1]!thsiFinD("ths_adjustment_nv_fund",AJ$3,$A719))</f>
        <v/>
      </c>
      <c r="AK719" s="13">
        <f>IF($A719="","",[1]!thsiFinD("ths_adjustment_nv_fund",AK$3,$A719))</f>
        <v/>
      </c>
      <c r="AL719" s="13">
        <f>IF($A719="","",[1]!thsiFinD("ths_adjustment_nv_fund",AL$3,$A719))</f>
        <v/>
      </c>
    </row>
    <row r="720" spans="2:28">
      <c r="B720" s="13" t="str">
        <f>IF($A720="","",[1]!thsiFinD("ths_adjustment_nv_fund",B$3,$A720))</f>
        <v/>
      </c>
      <c r="C720" s="13" t="str">
        <f>IF($A720="","",[1]!thsiFinD("ths_adjustment_nv_fund",C$3,$A720))</f>
        <v/>
      </c>
      <c r="D720" s="13" t="str">
        <f>IF($A720="","",[1]!thsiFinD("ths_adjustment_nv_fund",D$3,$A720))</f>
        <v/>
      </c>
      <c r="E720" s="13" t="str">
        <f>IF($A720="","",[1]!thsiFinD("ths_adjustment_nv_fund",E$3,$A720))</f>
        <v/>
      </c>
      <c r="F720" s="13" t="str">
        <f>IF($A720="","",[1]!thsiFinD("ths_adjustment_nv_fund",F$3,$A720))</f>
        <v/>
      </c>
      <c r="G720" s="13" t="str">
        <f>IF($A720="","",[1]!thsiFinD("ths_adjustment_nv_fund",G$3,$A720))</f>
        <v/>
      </c>
      <c r="H720" s="13" t="str">
        <f>IF($A720="","",[1]!thsiFinD("ths_adjustment_nv_fund",H$3,$A720))</f>
        <v/>
      </c>
      <c r="I720" s="13" t="str">
        <f>IF($A720="","",[1]!thsiFinD("ths_adjustment_nv_fund",I$3,$A720))</f>
        <v/>
      </c>
      <c r="J720" s="13" t="str">
        <f>IF($A720="","",[1]!thsiFinD("ths_adjustment_nv_fund",J$3,$A720))</f>
        <v/>
      </c>
      <c r="K720" s="13" t="str">
        <f>IF($A720="","",[1]!thsiFinD("ths_adjustment_nv_fund",K$3,$A720))</f>
        <v/>
      </c>
      <c r="L720" s="13" t="str">
        <f>IF($A720="","",[1]!thsiFinD("ths_adjustment_nv_fund",L$3,$A720))</f>
        <v/>
      </c>
      <c r="M720" s="13" t="str">
        <f>IF($A720="","",[1]!thsiFinD("ths_adjustment_nv_fund",M$3,$A720))</f>
        <v/>
      </c>
      <c r="N720" s="13" t="str">
        <f>IF($A720="","",[1]!thsiFinD("ths_adjustment_nv_fund",N$3,$A720))</f>
        <v/>
      </c>
      <c r="O720" s="13" t="str">
        <f>IF($A720="","",[1]!thsiFinD("ths_adjustment_nv_fund",O$3,$A720))</f>
        <v/>
      </c>
      <c r="P720" s="13" t="str">
        <f>IF($A720="","",[1]!thsiFinD("ths_adjustment_nv_fund",P$3,$A720))</f>
        <v/>
      </c>
      <c r="Q720" s="13" t="str">
        <f>IF($A720="","",[1]!thsiFinD("ths_adjustment_nv_fund",Q$3,$A720))</f>
        <v/>
      </c>
      <c r="R720" s="13" t="str">
        <f>IF($A720="","",[1]!thsiFinD("ths_adjustment_nv_fund",R$3,$A720))</f>
        <v/>
      </c>
      <c r="S720" s="13" t="str">
        <f>IF($A720="","",[1]!thsiFinD("ths_adjustment_nv_fund",S$3,$A720))</f>
        <v/>
      </c>
      <c r="T720" s="13" t="str">
        <f>IF($A720="","",[1]!thsiFinD("ths_adjustment_nv_fund",T$3,$A720))</f>
        <v/>
      </c>
      <c r="U720" s="13" t="str">
        <f>IF($A720="","",[1]!thsiFinD("ths_adjustment_nv_fund",U$3,$A720))</f>
        <v/>
      </c>
      <c r="V720" s="13" t="str">
        <f>IF($A720="","",[1]!thsiFinD("ths_adjustment_nv_fund",V$3,$A720))</f>
        <v/>
      </c>
      <c r="W720" s="13" t="str">
        <f>IF($A720="","",[1]!thsiFinD("ths_adjustment_nv_fund",W$3,$A720))</f>
        <v/>
      </c>
      <c r="X720" s="13" t="str">
        <f>IF($A720="","",[1]!thsiFinD("ths_adjustment_nv_fund",X$3,$A720))</f>
        <v/>
      </c>
      <c r="Y720" s="13" t="str">
        <f>IF($A720="","",[1]!thsiFinD("ths_adjustment_nv_fund",Y$3,$A720))</f>
        <v/>
      </c>
      <c r="Z720" s="13" t="str">
        <f>IF($A720="","",[1]!thsiFinD("ths_adjustment_nv_fund",Z$3,$A720))</f>
        <v/>
      </c>
      <c r="AA720" s="13" t="str">
        <f>IF($A720="","",[1]!thsiFinD("ths_adjustment_nv_fund",AA$3,$A720))</f>
        <v/>
      </c>
      <c r="AB720" s="13">
        <f>IF($A720="","",[1]!thsiFinD("ths_adjustment_nv_fund",AB$3,$A720))</f>
        <v/>
      </c>
      <c r="AC720" s="13">
        <f>IF($A720="","",[1]!thsiFinD("ths_adjustment_nv_fund",AC$3,$A720))</f>
        <v/>
      </c>
      <c r="AD720" s="13">
        <f>IF($A720="","",[1]!thsiFinD("ths_adjustment_nv_fund",AD$3,$A720))</f>
        <v/>
      </c>
      <c r="AE720" s="13">
        <f>IF($A720="","",[1]!thsiFinD("ths_adjustment_nv_fund",AE$3,$A720))</f>
        <v/>
      </c>
      <c r="AF720" s="13">
        <f>IF($A720="","",[1]!thsiFinD("ths_adjustment_nv_fund",AF$3,$A720))</f>
        <v/>
      </c>
      <c r="AG720" s="13">
        <f>IF($A720="","",[1]!thsiFinD("ths_adjustment_nv_fund",AG$3,$A720))</f>
        <v/>
      </c>
      <c r="AH720" s="13">
        <f>IF($A720="","",[1]!thsiFinD("ths_adjustment_nv_fund",AH$3,$A720))</f>
        <v/>
      </c>
      <c r="AI720" s="13">
        <f>IF($A720="","",[1]!thsiFinD("ths_adjustment_nv_fund",AI$3,$A720))</f>
        <v/>
      </c>
      <c r="AJ720" s="13">
        <f>IF($A720="","",[1]!thsiFinD("ths_adjustment_nv_fund",AJ$3,$A720))</f>
        <v/>
      </c>
      <c r="AK720" s="13">
        <f>IF($A720="","",[1]!thsiFinD("ths_adjustment_nv_fund",AK$3,$A720))</f>
        <v/>
      </c>
      <c r="AL720" s="13">
        <f>IF($A720="","",[1]!thsiFinD("ths_adjustment_nv_fund",AL$3,$A720))</f>
        <v/>
      </c>
    </row>
    <row r="721" spans="2:28">
      <c r="B721" s="13" t="str">
        <f>IF($A721="","",[1]!thsiFinD("ths_adjustment_nv_fund",B$3,$A721))</f>
        <v/>
      </c>
      <c r="C721" s="13" t="str">
        <f>IF($A721="","",[1]!thsiFinD("ths_adjustment_nv_fund",C$3,$A721))</f>
        <v/>
      </c>
      <c r="D721" s="13" t="str">
        <f>IF($A721="","",[1]!thsiFinD("ths_adjustment_nv_fund",D$3,$A721))</f>
        <v/>
      </c>
      <c r="E721" s="13" t="str">
        <f>IF($A721="","",[1]!thsiFinD("ths_adjustment_nv_fund",E$3,$A721))</f>
        <v/>
      </c>
      <c r="F721" s="13" t="str">
        <f>IF($A721="","",[1]!thsiFinD("ths_adjustment_nv_fund",F$3,$A721))</f>
        <v/>
      </c>
      <c r="G721" s="13" t="str">
        <f>IF($A721="","",[1]!thsiFinD("ths_adjustment_nv_fund",G$3,$A721))</f>
        <v/>
      </c>
      <c r="H721" s="13" t="str">
        <f>IF($A721="","",[1]!thsiFinD("ths_adjustment_nv_fund",H$3,$A721))</f>
        <v/>
      </c>
      <c r="I721" s="13" t="str">
        <f>IF($A721="","",[1]!thsiFinD("ths_adjustment_nv_fund",I$3,$A721))</f>
        <v/>
      </c>
      <c r="J721" s="13" t="str">
        <f>IF($A721="","",[1]!thsiFinD("ths_adjustment_nv_fund",J$3,$A721))</f>
        <v/>
      </c>
      <c r="K721" s="13" t="str">
        <f>IF($A721="","",[1]!thsiFinD("ths_adjustment_nv_fund",K$3,$A721))</f>
        <v/>
      </c>
      <c r="L721" s="13" t="str">
        <f>IF($A721="","",[1]!thsiFinD("ths_adjustment_nv_fund",L$3,$A721))</f>
        <v/>
      </c>
      <c r="M721" s="13" t="str">
        <f>IF($A721="","",[1]!thsiFinD("ths_adjustment_nv_fund",M$3,$A721))</f>
        <v/>
      </c>
      <c r="N721" s="13" t="str">
        <f>IF($A721="","",[1]!thsiFinD("ths_adjustment_nv_fund",N$3,$A721))</f>
        <v/>
      </c>
      <c r="O721" s="13" t="str">
        <f>IF($A721="","",[1]!thsiFinD("ths_adjustment_nv_fund",O$3,$A721))</f>
        <v/>
      </c>
      <c r="P721" s="13" t="str">
        <f>IF($A721="","",[1]!thsiFinD("ths_adjustment_nv_fund",P$3,$A721))</f>
        <v/>
      </c>
      <c r="Q721" s="13" t="str">
        <f>IF($A721="","",[1]!thsiFinD("ths_adjustment_nv_fund",Q$3,$A721))</f>
        <v/>
      </c>
      <c r="R721" s="13" t="str">
        <f>IF($A721="","",[1]!thsiFinD("ths_adjustment_nv_fund",R$3,$A721))</f>
        <v/>
      </c>
      <c r="S721" s="13" t="str">
        <f>IF($A721="","",[1]!thsiFinD("ths_adjustment_nv_fund",S$3,$A721))</f>
        <v/>
      </c>
      <c r="T721" s="13" t="str">
        <f>IF($A721="","",[1]!thsiFinD("ths_adjustment_nv_fund",T$3,$A721))</f>
        <v/>
      </c>
      <c r="U721" s="13" t="str">
        <f>IF($A721="","",[1]!thsiFinD("ths_adjustment_nv_fund",U$3,$A721))</f>
        <v/>
      </c>
      <c r="V721" s="13" t="str">
        <f>IF($A721="","",[1]!thsiFinD("ths_adjustment_nv_fund",V$3,$A721))</f>
        <v/>
      </c>
      <c r="W721" s="13" t="str">
        <f>IF($A721="","",[1]!thsiFinD("ths_adjustment_nv_fund",W$3,$A721))</f>
        <v/>
      </c>
      <c r="X721" s="13" t="str">
        <f>IF($A721="","",[1]!thsiFinD("ths_adjustment_nv_fund",X$3,$A721))</f>
        <v/>
      </c>
      <c r="Y721" s="13" t="str">
        <f>IF($A721="","",[1]!thsiFinD("ths_adjustment_nv_fund",Y$3,$A721))</f>
        <v/>
      </c>
      <c r="Z721" s="13" t="str">
        <f>IF($A721="","",[1]!thsiFinD("ths_adjustment_nv_fund",Z$3,$A721))</f>
        <v/>
      </c>
      <c r="AA721" s="13" t="str">
        <f>IF($A721="","",[1]!thsiFinD("ths_adjustment_nv_fund",AA$3,$A721))</f>
        <v/>
      </c>
      <c r="AB721" s="13">
        <f>IF($A721="","",[1]!thsiFinD("ths_adjustment_nv_fund",AB$3,$A721))</f>
        <v/>
      </c>
      <c r="AC721" s="13">
        <f>IF($A721="","",[1]!thsiFinD("ths_adjustment_nv_fund",AC$3,$A721))</f>
        <v/>
      </c>
      <c r="AD721" s="13">
        <f>IF($A721="","",[1]!thsiFinD("ths_adjustment_nv_fund",AD$3,$A721))</f>
        <v/>
      </c>
      <c r="AE721" s="13">
        <f>IF($A721="","",[1]!thsiFinD("ths_adjustment_nv_fund",AE$3,$A721))</f>
        <v/>
      </c>
      <c r="AF721" s="13">
        <f>IF($A721="","",[1]!thsiFinD("ths_adjustment_nv_fund",AF$3,$A721))</f>
        <v/>
      </c>
      <c r="AG721" s="13">
        <f>IF($A721="","",[1]!thsiFinD("ths_adjustment_nv_fund",AG$3,$A721))</f>
        <v/>
      </c>
      <c r="AH721" s="13">
        <f>IF($A721="","",[1]!thsiFinD("ths_adjustment_nv_fund",AH$3,$A721))</f>
        <v/>
      </c>
      <c r="AI721" s="13">
        <f>IF($A721="","",[1]!thsiFinD("ths_adjustment_nv_fund",AI$3,$A721))</f>
        <v/>
      </c>
      <c r="AJ721" s="13">
        <f>IF($A721="","",[1]!thsiFinD("ths_adjustment_nv_fund",AJ$3,$A721))</f>
        <v/>
      </c>
      <c r="AK721" s="13">
        <f>IF($A721="","",[1]!thsiFinD("ths_adjustment_nv_fund",AK$3,$A721))</f>
        <v/>
      </c>
      <c r="AL721" s="13">
        <f>IF($A721="","",[1]!thsiFinD("ths_adjustment_nv_fund",AL$3,$A721))</f>
        <v/>
      </c>
    </row>
    <row r="722" spans="2:28">
      <c r="B722" s="13" t="str">
        <f>IF($A722="","",[1]!thsiFinD("ths_adjustment_nv_fund",B$3,$A722))</f>
        <v/>
      </c>
      <c r="C722" s="13" t="str">
        <f>IF($A722="","",[1]!thsiFinD("ths_adjustment_nv_fund",C$3,$A722))</f>
        <v/>
      </c>
      <c r="D722" s="13" t="str">
        <f>IF($A722="","",[1]!thsiFinD("ths_adjustment_nv_fund",D$3,$A722))</f>
        <v/>
      </c>
      <c r="E722" s="13" t="str">
        <f>IF($A722="","",[1]!thsiFinD("ths_adjustment_nv_fund",E$3,$A722))</f>
        <v/>
      </c>
      <c r="F722" s="13" t="str">
        <f>IF($A722="","",[1]!thsiFinD("ths_adjustment_nv_fund",F$3,$A722))</f>
        <v/>
      </c>
      <c r="G722" s="13" t="str">
        <f>IF($A722="","",[1]!thsiFinD("ths_adjustment_nv_fund",G$3,$A722))</f>
        <v/>
      </c>
      <c r="H722" s="13" t="str">
        <f>IF($A722="","",[1]!thsiFinD("ths_adjustment_nv_fund",H$3,$A722))</f>
        <v/>
      </c>
      <c r="I722" s="13" t="str">
        <f>IF($A722="","",[1]!thsiFinD("ths_adjustment_nv_fund",I$3,$A722))</f>
        <v/>
      </c>
      <c r="J722" s="13" t="str">
        <f>IF($A722="","",[1]!thsiFinD("ths_adjustment_nv_fund",J$3,$A722))</f>
        <v/>
      </c>
      <c r="K722" s="13" t="str">
        <f>IF($A722="","",[1]!thsiFinD("ths_adjustment_nv_fund",K$3,$A722))</f>
        <v/>
      </c>
      <c r="L722" s="13" t="str">
        <f>IF($A722="","",[1]!thsiFinD("ths_adjustment_nv_fund",L$3,$A722))</f>
        <v/>
      </c>
      <c r="M722" s="13" t="str">
        <f>IF($A722="","",[1]!thsiFinD("ths_adjustment_nv_fund",M$3,$A722))</f>
        <v/>
      </c>
      <c r="N722" s="13" t="str">
        <f>IF($A722="","",[1]!thsiFinD("ths_adjustment_nv_fund",N$3,$A722))</f>
        <v/>
      </c>
      <c r="O722" s="13" t="str">
        <f>IF($A722="","",[1]!thsiFinD("ths_adjustment_nv_fund",O$3,$A722))</f>
        <v/>
      </c>
      <c r="P722" s="13" t="str">
        <f>IF($A722="","",[1]!thsiFinD("ths_adjustment_nv_fund",P$3,$A722))</f>
        <v/>
      </c>
      <c r="Q722" s="13" t="str">
        <f>IF($A722="","",[1]!thsiFinD("ths_adjustment_nv_fund",Q$3,$A722))</f>
        <v/>
      </c>
      <c r="R722" s="13" t="str">
        <f>IF($A722="","",[1]!thsiFinD("ths_adjustment_nv_fund",R$3,$A722))</f>
        <v/>
      </c>
      <c r="S722" s="13" t="str">
        <f>IF($A722="","",[1]!thsiFinD("ths_adjustment_nv_fund",S$3,$A722))</f>
        <v/>
      </c>
      <c r="T722" s="13" t="str">
        <f>IF($A722="","",[1]!thsiFinD("ths_adjustment_nv_fund",T$3,$A722))</f>
        <v/>
      </c>
      <c r="U722" s="13" t="str">
        <f>IF($A722="","",[1]!thsiFinD("ths_adjustment_nv_fund",U$3,$A722))</f>
        <v/>
      </c>
      <c r="V722" s="13" t="str">
        <f>IF($A722="","",[1]!thsiFinD("ths_adjustment_nv_fund",V$3,$A722))</f>
        <v/>
      </c>
      <c r="W722" s="13" t="str">
        <f>IF($A722="","",[1]!thsiFinD("ths_adjustment_nv_fund",W$3,$A722))</f>
        <v/>
      </c>
      <c r="X722" s="13" t="str">
        <f>IF($A722="","",[1]!thsiFinD("ths_adjustment_nv_fund",X$3,$A722))</f>
        <v/>
      </c>
      <c r="Y722" s="13" t="str">
        <f>IF($A722="","",[1]!thsiFinD("ths_adjustment_nv_fund",Y$3,$A722))</f>
        <v/>
      </c>
      <c r="Z722" s="13" t="str">
        <f>IF($A722="","",[1]!thsiFinD("ths_adjustment_nv_fund",Z$3,$A722))</f>
        <v/>
      </c>
      <c r="AA722" s="13" t="str">
        <f>IF($A722="","",[1]!thsiFinD("ths_adjustment_nv_fund",AA$3,$A722))</f>
        <v/>
      </c>
      <c r="AB722" s="13">
        <f>IF($A722="","",[1]!thsiFinD("ths_adjustment_nv_fund",AB$3,$A722))</f>
        <v/>
      </c>
      <c r="AC722" s="13">
        <f>IF($A722="","",[1]!thsiFinD("ths_adjustment_nv_fund",AC$3,$A722))</f>
        <v/>
      </c>
      <c r="AD722" s="13">
        <f>IF($A722="","",[1]!thsiFinD("ths_adjustment_nv_fund",AD$3,$A722))</f>
        <v/>
      </c>
      <c r="AE722" s="13">
        <f>IF($A722="","",[1]!thsiFinD("ths_adjustment_nv_fund",AE$3,$A722))</f>
        <v/>
      </c>
      <c r="AF722" s="13">
        <f>IF($A722="","",[1]!thsiFinD("ths_adjustment_nv_fund",AF$3,$A722))</f>
        <v/>
      </c>
      <c r="AG722" s="13">
        <f>IF($A722="","",[1]!thsiFinD("ths_adjustment_nv_fund",AG$3,$A722))</f>
        <v/>
      </c>
      <c r="AH722" s="13">
        <f>IF($A722="","",[1]!thsiFinD("ths_adjustment_nv_fund",AH$3,$A722))</f>
        <v/>
      </c>
      <c r="AI722" s="13">
        <f>IF($A722="","",[1]!thsiFinD("ths_adjustment_nv_fund",AI$3,$A722))</f>
        <v/>
      </c>
      <c r="AJ722" s="13">
        <f>IF($A722="","",[1]!thsiFinD("ths_adjustment_nv_fund",AJ$3,$A722))</f>
        <v/>
      </c>
      <c r="AK722" s="13">
        <f>IF($A722="","",[1]!thsiFinD("ths_adjustment_nv_fund",AK$3,$A722))</f>
        <v/>
      </c>
      <c r="AL722" s="13">
        <f>IF($A722="","",[1]!thsiFinD("ths_adjustment_nv_fund",AL$3,$A722))</f>
        <v/>
      </c>
    </row>
    <row r="723" spans="2:28">
      <c r="B723" s="13" t="str">
        <f>IF($A723="","",[1]!thsiFinD("ths_adjustment_nv_fund",B$3,$A723))</f>
        <v/>
      </c>
      <c r="C723" s="13" t="str">
        <f>IF($A723="","",[1]!thsiFinD("ths_adjustment_nv_fund",C$3,$A723))</f>
        <v/>
      </c>
      <c r="D723" s="13" t="str">
        <f>IF($A723="","",[1]!thsiFinD("ths_adjustment_nv_fund",D$3,$A723))</f>
        <v/>
      </c>
      <c r="E723" s="13" t="str">
        <f>IF($A723="","",[1]!thsiFinD("ths_adjustment_nv_fund",E$3,$A723))</f>
        <v/>
      </c>
      <c r="F723" s="13" t="str">
        <f>IF($A723="","",[1]!thsiFinD("ths_adjustment_nv_fund",F$3,$A723))</f>
        <v/>
      </c>
      <c r="G723" s="13" t="str">
        <f>IF($A723="","",[1]!thsiFinD("ths_adjustment_nv_fund",G$3,$A723))</f>
        <v/>
      </c>
      <c r="H723" s="13" t="str">
        <f>IF($A723="","",[1]!thsiFinD("ths_adjustment_nv_fund",H$3,$A723))</f>
        <v/>
      </c>
      <c r="I723" s="13" t="str">
        <f>IF($A723="","",[1]!thsiFinD("ths_adjustment_nv_fund",I$3,$A723))</f>
        <v/>
      </c>
      <c r="J723" s="13" t="str">
        <f>IF($A723="","",[1]!thsiFinD("ths_adjustment_nv_fund",J$3,$A723))</f>
        <v/>
      </c>
      <c r="K723" s="13" t="str">
        <f>IF($A723="","",[1]!thsiFinD("ths_adjustment_nv_fund",K$3,$A723))</f>
        <v/>
      </c>
      <c r="L723" s="13" t="str">
        <f>IF($A723="","",[1]!thsiFinD("ths_adjustment_nv_fund",L$3,$A723))</f>
        <v/>
      </c>
      <c r="M723" s="13" t="str">
        <f>IF($A723="","",[1]!thsiFinD("ths_adjustment_nv_fund",M$3,$A723))</f>
        <v/>
      </c>
      <c r="N723" s="13" t="str">
        <f>IF($A723="","",[1]!thsiFinD("ths_adjustment_nv_fund",N$3,$A723))</f>
        <v/>
      </c>
      <c r="O723" s="13" t="str">
        <f>IF($A723="","",[1]!thsiFinD("ths_adjustment_nv_fund",O$3,$A723))</f>
        <v/>
      </c>
      <c r="P723" s="13" t="str">
        <f>IF($A723="","",[1]!thsiFinD("ths_adjustment_nv_fund",P$3,$A723))</f>
        <v/>
      </c>
      <c r="Q723" s="13" t="str">
        <f>IF($A723="","",[1]!thsiFinD("ths_adjustment_nv_fund",Q$3,$A723))</f>
        <v/>
      </c>
      <c r="R723" s="13" t="str">
        <f>IF($A723="","",[1]!thsiFinD("ths_adjustment_nv_fund",R$3,$A723))</f>
        <v/>
      </c>
      <c r="S723" s="13" t="str">
        <f>IF($A723="","",[1]!thsiFinD("ths_adjustment_nv_fund",S$3,$A723))</f>
        <v/>
      </c>
      <c r="T723" s="13" t="str">
        <f>IF($A723="","",[1]!thsiFinD("ths_adjustment_nv_fund",T$3,$A723))</f>
        <v/>
      </c>
      <c r="U723" s="13" t="str">
        <f>IF($A723="","",[1]!thsiFinD("ths_adjustment_nv_fund",U$3,$A723))</f>
        <v/>
      </c>
      <c r="V723" s="13" t="str">
        <f>IF($A723="","",[1]!thsiFinD("ths_adjustment_nv_fund",V$3,$A723))</f>
        <v/>
      </c>
      <c r="W723" s="13" t="str">
        <f>IF($A723="","",[1]!thsiFinD("ths_adjustment_nv_fund",W$3,$A723))</f>
        <v/>
      </c>
      <c r="X723" s="13" t="str">
        <f>IF($A723="","",[1]!thsiFinD("ths_adjustment_nv_fund",X$3,$A723))</f>
        <v/>
      </c>
      <c r="Y723" s="13" t="str">
        <f>IF($A723="","",[1]!thsiFinD("ths_adjustment_nv_fund",Y$3,$A723))</f>
        <v/>
      </c>
      <c r="Z723" s="13" t="str">
        <f>IF($A723="","",[1]!thsiFinD("ths_adjustment_nv_fund",Z$3,$A723))</f>
        <v/>
      </c>
      <c r="AA723" s="13" t="str">
        <f>IF($A723="","",[1]!thsiFinD("ths_adjustment_nv_fund",AA$3,$A723))</f>
        <v/>
      </c>
      <c r="AB723" s="13">
        <f>IF($A723="","",[1]!thsiFinD("ths_adjustment_nv_fund",AB$3,$A723))</f>
        <v/>
      </c>
      <c r="AC723" s="13">
        <f>IF($A723="","",[1]!thsiFinD("ths_adjustment_nv_fund",AC$3,$A723))</f>
        <v/>
      </c>
      <c r="AD723" s="13">
        <f>IF($A723="","",[1]!thsiFinD("ths_adjustment_nv_fund",AD$3,$A723))</f>
        <v/>
      </c>
      <c r="AE723" s="13">
        <f>IF($A723="","",[1]!thsiFinD("ths_adjustment_nv_fund",AE$3,$A723))</f>
        <v/>
      </c>
      <c r="AF723" s="13">
        <f>IF($A723="","",[1]!thsiFinD("ths_adjustment_nv_fund",AF$3,$A723))</f>
        <v/>
      </c>
      <c r="AG723" s="13">
        <f>IF($A723="","",[1]!thsiFinD("ths_adjustment_nv_fund",AG$3,$A723))</f>
        <v/>
      </c>
      <c r="AH723" s="13">
        <f>IF($A723="","",[1]!thsiFinD("ths_adjustment_nv_fund",AH$3,$A723))</f>
        <v/>
      </c>
      <c r="AI723" s="13">
        <f>IF($A723="","",[1]!thsiFinD("ths_adjustment_nv_fund",AI$3,$A723))</f>
        <v/>
      </c>
      <c r="AJ723" s="13">
        <f>IF($A723="","",[1]!thsiFinD("ths_adjustment_nv_fund",AJ$3,$A723))</f>
        <v/>
      </c>
      <c r="AK723" s="13">
        <f>IF($A723="","",[1]!thsiFinD("ths_adjustment_nv_fund",AK$3,$A723))</f>
        <v/>
      </c>
      <c r="AL723" s="13">
        <f>IF($A723="","",[1]!thsiFinD("ths_adjustment_nv_fund",AL$3,$A723))</f>
        <v/>
      </c>
    </row>
    <row r="724" spans="2:28">
      <c r="B724" s="13" t="str">
        <f>IF($A724="","",[1]!thsiFinD("ths_adjustment_nv_fund",B$3,$A724))</f>
        <v/>
      </c>
      <c r="C724" s="13" t="str">
        <f>IF($A724="","",[1]!thsiFinD("ths_adjustment_nv_fund",C$3,$A724))</f>
        <v/>
      </c>
      <c r="D724" s="13" t="str">
        <f>IF($A724="","",[1]!thsiFinD("ths_adjustment_nv_fund",D$3,$A724))</f>
        <v/>
      </c>
      <c r="E724" s="13" t="str">
        <f>IF($A724="","",[1]!thsiFinD("ths_adjustment_nv_fund",E$3,$A724))</f>
        <v/>
      </c>
      <c r="F724" s="13" t="str">
        <f>IF($A724="","",[1]!thsiFinD("ths_adjustment_nv_fund",F$3,$A724))</f>
        <v/>
      </c>
      <c r="G724" s="13" t="str">
        <f>IF($A724="","",[1]!thsiFinD("ths_adjustment_nv_fund",G$3,$A724))</f>
        <v/>
      </c>
      <c r="H724" s="13" t="str">
        <f>IF($A724="","",[1]!thsiFinD("ths_adjustment_nv_fund",H$3,$A724))</f>
        <v/>
      </c>
      <c r="I724" s="13" t="str">
        <f>IF($A724="","",[1]!thsiFinD("ths_adjustment_nv_fund",I$3,$A724))</f>
        <v/>
      </c>
      <c r="J724" s="13" t="str">
        <f>IF($A724="","",[1]!thsiFinD("ths_adjustment_nv_fund",J$3,$A724))</f>
        <v/>
      </c>
      <c r="K724" s="13" t="str">
        <f>IF($A724="","",[1]!thsiFinD("ths_adjustment_nv_fund",K$3,$A724))</f>
        <v/>
      </c>
      <c r="L724" s="13" t="str">
        <f>IF($A724="","",[1]!thsiFinD("ths_adjustment_nv_fund",L$3,$A724))</f>
        <v/>
      </c>
      <c r="M724" s="13" t="str">
        <f>IF($A724="","",[1]!thsiFinD("ths_adjustment_nv_fund",M$3,$A724))</f>
        <v/>
      </c>
      <c r="N724" s="13" t="str">
        <f>IF($A724="","",[1]!thsiFinD("ths_adjustment_nv_fund",N$3,$A724))</f>
        <v/>
      </c>
      <c r="O724" s="13" t="str">
        <f>IF($A724="","",[1]!thsiFinD("ths_adjustment_nv_fund",O$3,$A724))</f>
        <v/>
      </c>
      <c r="P724" s="13" t="str">
        <f>IF($A724="","",[1]!thsiFinD("ths_adjustment_nv_fund",P$3,$A724))</f>
        <v/>
      </c>
      <c r="Q724" s="13" t="str">
        <f>IF($A724="","",[1]!thsiFinD("ths_adjustment_nv_fund",Q$3,$A724))</f>
        <v/>
      </c>
      <c r="R724" s="13" t="str">
        <f>IF($A724="","",[1]!thsiFinD("ths_adjustment_nv_fund",R$3,$A724))</f>
        <v/>
      </c>
      <c r="S724" s="13" t="str">
        <f>IF($A724="","",[1]!thsiFinD("ths_adjustment_nv_fund",S$3,$A724))</f>
        <v/>
      </c>
      <c r="T724" s="13" t="str">
        <f>IF($A724="","",[1]!thsiFinD("ths_adjustment_nv_fund",T$3,$A724))</f>
        <v/>
      </c>
      <c r="U724" s="13" t="str">
        <f>IF($A724="","",[1]!thsiFinD("ths_adjustment_nv_fund",U$3,$A724))</f>
        <v/>
      </c>
      <c r="V724" s="13" t="str">
        <f>IF($A724="","",[1]!thsiFinD("ths_adjustment_nv_fund",V$3,$A724))</f>
        <v/>
      </c>
      <c r="W724" s="13" t="str">
        <f>IF($A724="","",[1]!thsiFinD("ths_adjustment_nv_fund",W$3,$A724))</f>
        <v/>
      </c>
      <c r="X724" s="13" t="str">
        <f>IF($A724="","",[1]!thsiFinD("ths_adjustment_nv_fund",X$3,$A724))</f>
        <v/>
      </c>
      <c r="Y724" s="13" t="str">
        <f>IF($A724="","",[1]!thsiFinD("ths_adjustment_nv_fund",Y$3,$A724))</f>
        <v/>
      </c>
      <c r="Z724" s="13" t="str">
        <f>IF($A724="","",[1]!thsiFinD("ths_adjustment_nv_fund",Z$3,$A724))</f>
        <v/>
      </c>
      <c r="AA724" s="13" t="str">
        <f>IF($A724="","",[1]!thsiFinD("ths_adjustment_nv_fund",AA$3,$A724))</f>
        <v/>
      </c>
      <c r="AB724" s="13">
        <f>IF($A724="","",[1]!thsiFinD("ths_adjustment_nv_fund",AB$3,$A724))</f>
        <v/>
      </c>
      <c r="AC724" s="13">
        <f>IF($A724="","",[1]!thsiFinD("ths_adjustment_nv_fund",AC$3,$A724))</f>
        <v/>
      </c>
      <c r="AD724" s="13">
        <f>IF($A724="","",[1]!thsiFinD("ths_adjustment_nv_fund",AD$3,$A724))</f>
        <v/>
      </c>
      <c r="AE724" s="13">
        <f>IF($A724="","",[1]!thsiFinD("ths_adjustment_nv_fund",AE$3,$A724))</f>
        <v/>
      </c>
      <c r="AF724" s="13">
        <f>IF($A724="","",[1]!thsiFinD("ths_adjustment_nv_fund",AF$3,$A724))</f>
        <v/>
      </c>
      <c r="AG724" s="13">
        <f>IF($A724="","",[1]!thsiFinD("ths_adjustment_nv_fund",AG$3,$A724))</f>
        <v/>
      </c>
      <c r="AH724" s="13">
        <f>IF($A724="","",[1]!thsiFinD("ths_adjustment_nv_fund",AH$3,$A724))</f>
        <v/>
      </c>
      <c r="AI724" s="13">
        <f>IF($A724="","",[1]!thsiFinD("ths_adjustment_nv_fund",AI$3,$A724))</f>
        <v/>
      </c>
      <c r="AJ724" s="13">
        <f>IF($A724="","",[1]!thsiFinD("ths_adjustment_nv_fund",AJ$3,$A724))</f>
        <v/>
      </c>
      <c r="AK724" s="13">
        <f>IF($A724="","",[1]!thsiFinD("ths_adjustment_nv_fund",AK$3,$A724))</f>
        <v/>
      </c>
      <c r="AL724" s="13">
        <f>IF($A724="","",[1]!thsiFinD("ths_adjustment_nv_fund",AL$3,$A724))</f>
        <v/>
      </c>
    </row>
    <row r="725" spans="2:28">
      <c r="B725" s="13" t="str">
        <f>IF($A725="","",[1]!thsiFinD("ths_adjustment_nv_fund",B$3,$A725))</f>
        <v/>
      </c>
      <c r="C725" s="13" t="str">
        <f>IF($A725="","",[1]!thsiFinD("ths_adjustment_nv_fund",C$3,$A725))</f>
        <v/>
      </c>
      <c r="D725" s="13" t="str">
        <f>IF($A725="","",[1]!thsiFinD("ths_adjustment_nv_fund",D$3,$A725))</f>
        <v/>
      </c>
      <c r="E725" s="13" t="str">
        <f>IF($A725="","",[1]!thsiFinD("ths_adjustment_nv_fund",E$3,$A725))</f>
        <v/>
      </c>
      <c r="F725" s="13" t="str">
        <f>IF($A725="","",[1]!thsiFinD("ths_adjustment_nv_fund",F$3,$A725))</f>
        <v/>
      </c>
      <c r="G725" s="13" t="str">
        <f>IF($A725="","",[1]!thsiFinD("ths_adjustment_nv_fund",G$3,$A725))</f>
        <v/>
      </c>
      <c r="H725" s="13" t="str">
        <f>IF($A725="","",[1]!thsiFinD("ths_adjustment_nv_fund",H$3,$A725))</f>
        <v/>
      </c>
      <c r="I725" s="13" t="str">
        <f>IF($A725="","",[1]!thsiFinD("ths_adjustment_nv_fund",I$3,$A725))</f>
        <v/>
      </c>
      <c r="J725" s="13" t="str">
        <f>IF($A725="","",[1]!thsiFinD("ths_adjustment_nv_fund",J$3,$A725))</f>
        <v/>
      </c>
      <c r="K725" s="13" t="str">
        <f>IF($A725="","",[1]!thsiFinD("ths_adjustment_nv_fund",K$3,$A725))</f>
        <v/>
      </c>
      <c r="L725" s="13" t="str">
        <f>IF($A725="","",[1]!thsiFinD("ths_adjustment_nv_fund",L$3,$A725))</f>
        <v/>
      </c>
      <c r="M725" s="13" t="str">
        <f>IF($A725="","",[1]!thsiFinD("ths_adjustment_nv_fund",M$3,$A725))</f>
        <v/>
      </c>
      <c r="N725" s="13" t="str">
        <f>IF($A725="","",[1]!thsiFinD("ths_adjustment_nv_fund",N$3,$A725))</f>
        <v/>
      </c>
      <c r="O725" s="13" t="str">
        <f>IF($A725="","",[1]!thsiFinD("ths_adjustment_nv_fund",O$3,$A725))</f>
        <v/>
      </c>
      <c r="P725" s="13" t="str">
        <f>IF($A725="","",[1]!thsiFinD("ths_adjustment_nv_fund",P$3,$A725))</f>
        <v/>
      </c>
      <c r="Q725" s="13" t="str">
        <f>IF($A725="","",[1]!thsiFinD("ths_adjustment_nv_fund",Q$3,$A725))</f>
        <v/>
      </c>
      <c r="R725" s="13" t="str">
        <f>IF($A725="","",[1]!thsiFinD("ths_adjustment_nv_fund",R$3,$A725))</f>
        <v/>
      </c>
      <c r="S725" s="13" t="str">
        <f>IF($A725="","",[1]!thsiFinD("ths_adjustment_nv_fund",S$3,$A725))</f>
        <v/>
      </c>
      <c r="T725" s="13" t="str">
        <f>IF($A725="","",[1]!thsiFinD("ths_adjustment_nv_fund",T$3,$A725))</f>
        <v/>
      </c>
      <c r="U725" s="13" t="str">
        <f>IF($A725="","",[1]!thsiFinD("ths_adjustment_nv_fund",U$3,$A725))</f>
        <v/>
      </c>
      <c r="V725" s="13" t="str">
        <f>IF($A725="","",[1]!thsiFinD("ths_adjustment_nv_fund",V$3,$A725))</f>
        <v/>
      </c>
      <c r="W725" s="13" t="str">
        <f>IF($A725="","",[1]!thsiFinD("ths_adjustment_nv_fund",W$3,$A725))</f>
        <v/>
      </c>
      <c r="X725" s="13" t="str">
        <f>IF($A725="","",[1]!thsiFinD("ths_adjustment_nv_fund",X$3,$A725))</f>
        <v/>
      </c>
      <c r="Y725" s="13" t="str">
        <f>IF($A725="","",[1]!thsiFinD("ths_adjustment_nv_fund",Y$3,$A725))</f>
        <v/>
      </c>
      <c r="Z725" s="13" t="str">
        <f>IF($A725="","",[1]!thsiFinD("ths_adjustment_nv_fund",Z$3,$A725))</f>
        <v/>
      </c>
      <c r="AA725" s="13" t="str">
        <f>IF($A725="","",[1]!thsiFinD("ths_adjustment_nv_fund",AA$3,$A725))</f>
        <v/>
      </c>
      <c r="AB725" s="13">
        <f>IF($A725="","",[1]!thsiFinD("ths_adjustment_nv_fund",AB$3,$A725))</f>
        <v/>
      </c>
      <c r="AC725" s="13">
        <f>IF($A725="","",[1]!thsiFinD("ths_adjustment_nv_fund",AC$3,$A725))</f>
        <v/>
      </c>
      <c r="AD725" s="13">
        <f>IF($A725="","",[1]!thsiFinD("ths_adjustment_nv_fund",AD$3,$A725))</f>
        <v/>
      </c>
      <c r="AE725" s="13">
        <f>IF($A725="","",[1]!thsiFinD("ths_adjustment_nv_fund",AE$3,$A725))</f>
        <v/>
      </c>
      <c r="AF725" s="13">
        <f>IF($A725="","",[1]!thsiFinD("ths_adjustment_nv_fund",AF$3,$A725))</f>
        <v/>
      </c>
      <c r="AG725" s="13">
        <f>IF($A725="","",[1]!thsiFinD("ths_adjustment_nv_fund",AG$3,$A725))</f>
        <v/>
      </c>
      <c r="AH725" s="13">
        <f>IF($A725="","",[1]!thsiFinD("ths_adjustment_nv_fund",AH$3,$A725))</f>
        <v/>
      </c>
      <c r="AI725" s="13">
        <f>IF($A725="","",[1]!thsiFinD("ths_adjustment_nv_fund",AI$3,$A725))</f>
        <v/>
      </c>
      <c r="AJ725" s="13">
        <f>IF($A725="","",[1]!thsiFinD("ths_adjustment_nv_fund",AJ$3,$A725))</f>
        <v/>
      </c>
      <c r="AK725" s="13">
        <f>IF($A725="","",[1]!thsiFinD("ths_adjustment_nv_fund",AK$3,$A725))</f>
        <v/>
      </c>
      <c r="AL725" s="13">
        <f>IF($A725="","",[1]!thsiFinD("ths_adjustment_nv_fund",AL$3,$A725))</f>
        <v/>
      </c>
    </row>
    <row r="726" spans="2:28">
      <c r="B726" s="13" t="str">
        <f>IF($A726="","",[1]!thsiFinD("ths_adjustment_nv_fund",B$3,$A726))</f>
        <v/>
      </c>
      <c r="C726" s="13" t="str">
        <f>IF($A726="","",[1]!thsiFinD("ths_adjustment_nv_fund",C$3,$A726))</f>
        <v/>
      </c>
      <c r="D726" s="13" t="str">
        <f>IF($A726="","",[1]!thsiFinD("ths_adjustment_nv_fund",D$3,$A726))</f>
        <v/>
      </c>
      <c r="E726" s="13" t="str">
        <f>IF($A726="","",[1]!thsiFinD("ths_adjustment_nv_fund",E$3,$A726))</f>
        <v/>
      </c>
      <c r="F726" s="13" t="str">
        <f>IF($A726="","",[1]!thsiFinD("ths_adjustment_nv_fund",F$3,$A726))</f>
        <v/>
      </c>
      <c r="G726" s="13" t="str">
        <f>IF($A726="","",[1]!thsiFinD("ths_adjustment_nv_fund",G$3,$A726))</f>
        <v/>
      </c>
      <c r="H726" s="13" t="str">
        <f>IF($A726="","",[1]!thsiFinD("ths_adjustment_nv_fund",H$3,$A726))</f>
        <v/>
      </c>
      <c r="I726" s="13" t="str">
        <f>IF($A726="","",[1]!thsiFinD("ths_adjustment_nv_fund",I$3,$A726))</f>
        <v/>
      </c>
      <c r="J726" s="13" t="str">
        <f>IF($A726="","",[1]!thsiFinD("ths_adjustment_nv_fund",J$3,$A726))</f>
        <v/>
      </c>
      <c r="K726" s="13" t="str">
        <f>IF($A726="","",[1]!thsiFinD("ths_adjustment_nv_fund",K$3,$A726))</f>
        <v/>
      </c>
      <c r="L726" s="13" t="str">
        <f>IF($A726="","",[1]!thsiFinD("ths_adjustment_nv_fund",L$3,$A726))</f>
        <v/>
      </c>
      <c r="M726" s="13" t="str">
        <f>IF($A726="","",[1]!thsiFinD("ths_adjustment_nv_fund",M$3,$A726))</f>
        <v/>
      </c>
      <c r="N726" s="13" t="str">
        <f>IF($A726="","",[1]!thsiFinD("ths_adjustment_nv_fund",N$3,$A726))</f>
        <v/>
      </c>
      <c r="O726" s="13" t="str">
        <f>IF($A726="","",[1]!thsiFinD("ths_adjustment_nv_fund",O$3,$A726))</f>
        <v/>
      </c>
      <c r="P726" s="13" t="str">
        <f>IF($A726="","",[1]!thsiFinD("ths_adjustment_nv_fund",P$3,$A726))</f>
        <v/>
      </c>
      <c r="Q726" s="13" t="str">
        <f>IF($A726="","",[1]!thsiFinD("ths_adjustment_nv_fund",Q$3,$A726))</f>
        <v/>
      </c>
      <c r="R726" s="13" t="str">
        <f>IF($A726="","",[1]!thsiFinD("ths_adjustment_nv_fund",R$3,$A726))</f>
        <v/>
      </c>
      <c r="S726" s="13" t="str">
        <f>IF($A726="","",[1]!thsiFinD("ths_adjustment_nv_fund",S$3,$A726))</f>
        <v/>
      </c>
      <c r="T726" s="13" t="str">
        <f>IF($A726="","",[1]!thsiFinD("ths_adjustment_nv_fund",T$3,$A726))</f>
        <v/>
      </c>
      <c r="U726" s="13" t="str">
        <f>IF($A726="","",[1]!thsiFinD("ths_adjustment_nv_fund",U$3,$A726))</f>
        <v/>
      </c>
      <c r="V726" s="13" t="str">
        <f>IF($A726="","",[1]!thsiFinD("ths_adjustment_nv_fund",V$3,$A726))</f>
        <v/>
      </c>
      <c r="W726" s="13" t="str">
        <f>IF($A726="","",[1]!thsiFinD("ths_adjustment_nv_fund",W$3,$A726))</f>
        <v/>
      </c>
      <c r="X726" s="13" t="str">
        <f>IF($A726="","",[1]!thsiFinD("ths_adjustment_nv_fund",X$3,$A726))</f>
        <v/>
      </c>
      <c r="Y726" s="13" t="str">
        <f>IF($A726="","",[1]!thsiFinD("ths_adjustment_nv_fund",Y$3,$A726))</f>
        <v/>
      </c>
      <c r="Z726" s="13" t="str">
        <f>IF($A726="","",[1]!thsiFinD("ths_adjustment_nv_fund",Z$3,$A726))</f>
        <v/>
      </c>
      <c r="AA726" s="13" t="str">
        <f>IF($A726="","",[1]!thsiFinD("ths_adjustment_nv_fund",AA$3,$A726))</f>
        <v/>
      </c>
      <c r="AB726" s="13">
        <f>IF($A726="","",[1]!thsiFinD("ths_adjustment_nv_fund",AB$3,$A726))</f>
        <v/>
      </c>
      <c r="AC726" s="13">
        <f>IF($A726="","",[1]!thsiFinD("ths_adjustment_nv_fund",AC$3,$A726))</f>
        <v/>
      </c>
      <c r="AD726" s="13">
        <f>IF($A726="","",[1]!thsiFinD("ths_adjustment_nv_fund",AD$3,$A726))</f>
        <v/>
      </c>
      <c r="AE726" s="13">
        <f>IF($A726="","",[1]!thsiFinD("ths_adjustment_nv_fund",AE$3,$A726))</f>
        <v/>
      </c>
      <c r="AF726" s="13">
        <f>IF($A726="","",[1]!thsiFinD("ths_adjustment_nv_fund",AF$3,$A726))</f>
        <v/>
      </c>
      <c r="AG726" s="13">
        <f>IF($A726="","",[1]!thsiFinD("ths_adjustment_nv_fund",AG$3,$A726))</f>
        <v/>
      </c>
      <c r="AH726" s="13">
        <f>IF($A726="","",[1]!thsiFinD("ths_adjustment_nv_fund",AH$3,$A726))</f>
        <v/>
      </c>
      <c r="AI726" s="13">
        <f>IF($A726="","",[1]!thsiFinD("ths_adjustment_nv_fund",AI$3,$A726))</f>
        <v/>
      </c>
      <c r="AJ726" s="13">
        <f>IF($A726="","",[1]!thsiFinD("ths_adjustment_nv_fund",AJ$3,$A726))</f>
        <v/>
      </c>
      <c r="AK726" s="13">
        <f>IF($A726="","",[1]!thsiFinD("ths_adjustment_nv_fund",AK$3,$A726))</f>
        <v/>
      </c>
      <c r="AL726" s="13">
        <f>IF($A726="","",[1]!thsiFinD("ths_adjustment_nv_fund",AL$3,$A726))</f>
        <v/>
      </c>
    </row>
    <row r="727" spans="2:28">
      <c r="B727" s="13" t="str">
        <f>IF($A727="","",[1]!thsiFinD("ths_adjustment_nv_fund",B$3,$A727))</f>
        <v/>
      </c>
      <c r="C727" s="13" t="str">
        <f>IF($A727="","",[1]!thsiFinD("ths_adjustment_nv_fund",C$3,$A727))</f>
        <v/>
      </c>
      <c r="D727" s="13" t="str">
        <f>IF($A727="","",[1]!thsiFinD("ths_adjustment_nv_fund",D$3,$A727))</f>
        <v/>
      </c>
      <c r="E727" s="13" t="str">
        <f>IF($A727="","",[1]!thsiFinD("ths_adjustment_nv_fund",E$3,$A727))</f>
        <v/>
      </c>
      <c r="F727" s="13" t="str">
        <f>IF($A727="","",[1]!thsiFinD("ths_adjustment_nv_fund",F$3,$A727))</f>
        <v/>
      </c>
      <c r="G727" s="13" t="str">
        <f>IF($A727="","",[1]!thsiFinD("ths_adjustment_nv_fund",G$3,$A727))</f>
        <v/>
      </c>
      <c r="H727" s="13" t="str">
        <f>IF($A727="","",[1]!thsiFinD("ths_adjustment_nv_fund",H$3,$A727))</f>
        <v/>
      </c>
      <c r="I727" s="13" t="str">
        <f>IF($A727="","",[1]!thsiFinD("ths_adjustment_nv_fund",I$3,$A727))</f>
        <v/>
      </c>
      <c r="J727" s="13" t="str">
        <f>IF($A727="","",[1]!thsiFinD("ths_adjustment_nv_fund",J$3,$A727))</f>
        <v/>
      </c>
      <c r="K727" s="13" t="str">
        <f>IF($A727="","",[1]!thsiFinD("ths_adjustment_nv_fund",K$3,$A727))</f>
        <v/>
      </c>
      <c r="L727" s="13" t="str">
        <f>IF($A727="","",[1]!thsiFinD("ths_adjustment_nv_fund",L$3,$A727))</f>
        <v/>
      </c>
      <c r="M727" s="13" t="str">
        <f>IF($A727="","",[1]!thsiFinD("ths_adjustment_nv_fund",M$3,$A727))</f>
        <v/>
      </c>
      <c r="N727" s="13" t="str">
        <f>IF($A727="","",[1]!thsiFinD("ths_adjustment_nv_fund",N$3,$A727))</f>
        <v/>
      </c>
      <c r="O727" s="13" t="str">
        <f>IF($A727="","",[1]!thsiFinD("ths_adjustment_nv_fund",O$3,$A727))</f>
        <v/>
      </c>
      <c r="P727" s="13" t="str">
        <f>IF($A727="","",[1]!thsiFinD("ths_adjustment_nv_fund",P$3,$A727))</f>
        <v/>
      </c>
      <c r="Q727" s="13" t="str">
        <f>IF($A727="","",[1]!thsiFinD("ths_adjustment_nv_fund",Q$3,$A727))</f>
        <v/>
      </c>
      <c r="R727" s="13" t="str">
        <f>IF($A727="","",[1]!thsiFinD("ths_adjustment_nv_fund",R$3,$A727))</f>
        <v/>
      </c>
      <c r="S727" s="13" t="str">
        <f>IF($A727="","",[1]!thsiFinD("ths_adjustment_nv_fund",S$3,$A727))</f>
        <v/>
      </c>
      <c r="T727" s="13" t="str">
        <f>IF($A727="","",[1]!thsiFinD("ths_adjustment_nv_fund",T$3,$A727))</f>
        <v/>
      </c>
      <c r="U727" s="13" t="str">
        <f>IF($A727="","",[1]!thsiFinD("ths_adjustment_nv_fund",U$3,$A727))</f>
        <v/>
      </c>
      <c r="V727" s="13" t="str">
        <f>IF($A727="","",[1]!thsiFinD("ths_adjustment_nv_fund",V$3,$A727))</f>
        <v/>
      </c>
      <c r="W727" s="13" t="str">
        <f>IF($A727="","",[1]!thsiFinD("ths_adjustment_nv_fund",W$3,$A727))</f>
        <v/>
      </c>
      <c r="X727" s="13" t="str">
        <f>IF($A727="","",[1]!thsiFinD("ths_adjustment_nv_fund",X$3,$A727))</f>
        <v/>
      </c>
      <c r="Y727" s="13" t="str">
        <f>IF($A727="","",[1]!thsiFinD("ths_adjustment_nv_fund",Y$3,$A727))</f>
        <v/>
      </c>
      <c r="Z727" s="13" t="str">
        <f>IF($A727="","",[1]!thsiFinD("ths_adjustment_nv_fund",Z$3,$A727))</f>
        <v/>
      </c>
      <c r="AA727" s="13" t="str">
        <f>IF($A727="","",[1]!thsiFinD("ths_adjustment_nv_fund",AA$3,$A727))</f>
        <v/>
      </c>
      <c r="AB727" s="13">
        <f>IF($A727="","",[1]!thsiFinD("ths_adjustment_nv_fund",AB$3,$A727))</f>
        <v/>
      </c>
      <c r="AC727" s="13">
        <f>IF($A727="","",[1]!thsiFinD("ths_adjustment_nv_fund",AC$3,$A727))</f>
        <v/>
      </c>
      <c r="AD727" s="13">
        <f>IF($A727="","",[1]!thsiFinD("ths_adjustment_nv_fund",AD$3,$A727))</f>
        <v/>
      </c>
      <c r="AE727" s="13">
        <f>IF($A727="","",[1]!thsiFinD("ths_adjustment_nv_fund",AE$3,$A727))</f>
        <v/>
      </c>
      <c r="AF727" s="13">
        <f>IF($A727="","",[1]!thsiFinD("ths_adjustment_nv_fund",AF$3,$A727))</f>
        <v/>
      </c>
      <c r="AG727" s="13">
        <f>IF($A727="","",[1]!thsiFinD("ths_adjustment_nv_fund",AG$3,$A727))</f>
        <v/>
      </c>
      <c r="AH727" s="13">
        <f>IF($A727="","",[1]!thsiFinD("ths_adjustment_nv_fund",AH$3,$A727))</f>
        <v/>
      </c>
      <c r="AI727" s="13">
        <f>IF($A727="","",[1]!thsiFinD("ths_adjustment_nv_fund",AI$3,$A727))</f>
        <v/>
      </c>
      <c r="AJ727" s="13">
        <f>IF($A727="","",[1]!thsiFinD("ths_adjustment_nv_fund",AJ$3,$A727))</f>
        <v/>
      </c>
      <c r="AK727" s="13">
        <f>IF($A727="","",[1]!thsiFinD("ths_adjustment_nv_fund",AK$3,$A727))</f>
        <v/>
      </c>
      <c r="AL727" s="13">
        <f>IF($A727="","",[1]!thsiFinD("ths_adjustment_nv_fund",AL$3,$A727))</f>
        <v/>
      </c>
    </row>
    <row r="728" spans="2:28">
      <c r="B728" s="13" t="str">
        <f>IF($A728="","",[1]!thsiFinD("ths_adjustment_nv_fund",B$3,$A728))</f>
        <v/>
      </c>
      <c r="C728" s="13" t="str">
        <f>IF($A728="","",[1]!thsiFinD("ths_adjustment_nv_fund",C$3,$A728))</f>
        <v/>
      </c>
      <c r="D728" s="13" t="str">
        <f>IF($A728="","",[1]!thsiFinD("ths_adjustment_nv_fund",D$3,$A728))</f>
        <v/>
      </c>
      <c r="E728" s="13" t="str">
        <f>IF($A728="","",[1]!thsiFinD("ths_adjustment_nv_fund",E$3,$A728))</f>
        <v/>
      </c>
      <c r="F728" s="13" t="str">
        <f>IF($A728="","",[1]!thsiFinD("ths_adjustment_nv_fund",F$3,$A728))</f>
        <v/>
      </c>
      <c r="G728" s="13" t="str">
        <f>IF($A728="","",[1]!thsiFinD("ths_adjustment_nv_fund",G$3,$A728))</f>
        <v/>
      </c>
      <c r="H728" s="13" t="str">
        <f>IF($A728="","",[1]!thsiFinD("ths_adjustment_nv_fund",H$3,$A728))</f>
        <v/>
      </c>
      <c r="I728" s="13" t="str">
        <f>IF($A728="","",[1]!thsiFinD("ths_adjustment_nv_fund",I$3,$A728))</f>
        <v/>
      </c>
      <c r="J728" s="13" t="str">
        <f>IF($A728="","",[1]!thsiFinD("ths_adjustment_nv_fund",J$3,$A728))</f>
        <v/>
      </c>
      <c r="K728" s="13" t="str">
        <f>IF($A728="","",[1]!thsiFinD("ths_adjustment_nv_fund",K$3,$A728))</f>
        <v/>
      </c>
      <c r="L728" s="13" t="str">
        <f>IF($A728="","",[1]!thsiFinD("ths_adjustment_nv_fund",L$3,$A728))</f>
        <v/>
      </c>
      <c r="M728" s="13" t="str">
        <f>IF($A728="","",[1]!thsiFinD("ths_adjustment_nv_fund",M$3,$A728))</f>
        <v/>
      </c>
      <c r="N728" s="13" t="str">
        <f>IF($A728="","",[1]!thsiFinD("ths_adjustment_nv_fund",N$3,$A728))</f>
        <v/>
      </c>
      <c r="O728" s="13" t="str">
        <f>IF($A728="","",[1]!thsiFinD("ths_adjustment_nv_fund",O$3,$A728))</f>
        <v/>
      </c>
      <c r="P728" s="13" t="str">
        <f>IF($A728="","",[1]!thsiFinD("ths_adjustment_nv_fund",P$3,$A728))</f>
        <v/>
      </c>
      <c r="Q728" s="13" t="str">
        <f>IF($A728="","",[1]!thsiFinD("ths_adjustment_nv_fund",Q$3,$A728))</f>
        <v/>
      </c>
      <c r="R728" s="13" t="str">
        <f>IF($A728="","",[1]!thsiFinD("ths_adjustment_nv_fund",R$3,$A728))</f>
        <v/>
      </c>
      <c r="S728" s="13" t="str">
        <f>IF($A728="","",[1]!thsiFinD("ths_adjustment_nv_fund",S$3,$A728))</f>
        <v/>
      </c>
      <c r="T728" s="13" t="str">
        <f>IF($A728="","",[1]!thsiFinD("ths_adjustment_nv_fund",T$3,$A728))</f>
        <v/>
      </c>
      <c r="U728" s="13" t="str">
        <f>IF($A728="","",[1]!thsiFinD("ths_adjustment_nv_fund",U$3,$A728))</f>
        <v/>
      </c>
      <c r="V728" s="13" t="str">
        <f>IF($A728="","",[1]!thsiFinD("ths_adjustment_nv_fund",V$3,$A728))</f>
        <v/>
      </c>
      <c r="W728" s="13" t="str">
        <f>IF($A728="","",[1]!thsiFinD("ths_adjustment_nv_fund",W$3,$A728))</f>
        <v/>
      </c>
      <c r="X728" s="13" t="str">
        <f>IF($A728="","",[1]!thsiFinD("ths_adjustment_nv_fund",X$3,$A728))</f>
        <v/>
      </c>
      <c r="Y728" s="13" t="str">
        <f>IF($A728="","",[1]!thsiFinD("ths_adjustment_nv_fund",Y$3,$A728))</f>
        <v/>
      </c>
      <c r="Z728" s="13" t="str">
        <f>IF($A728="","",[1]!thsiFinD("ths_adjustment_nv_fund",Z$3,$A728))</f>
        <v/>
      </c>
      <c r="AA728" s="13" t="str">
        <f>IF($A728="","",[1]!thsiFinD("ths_adjustment_nv_fund",AA$3,$A728))</f>
        <v/>
      </c>
      <c r="AB728" s="13">
        <f>IF($A728="","",[1]!thsiFinD("ths_adjustment_nv_fund",AB$3,$A728))</f>
        <v/>
      </c>
      <c r="AC728" s="13">
        <f>IF($A728="","",[1]!thsiFinD("ths_adjustment_nv_fund",AC$3,$A728))</f>
        <v/>
      </c>
      <c r="AD728" s="13">
        <f>IF($A728="","",[1]!thsiFinD("ths_adjustment_nv_fund",AD$3,$A728))</f>
        <v/>
      </c>
      <c r="AE728" s="13">
        <f>IF($A728="","",[1]!thsiFinD("ths_adjustment_nv_fund",AE$3,$A728))</f>
        <v/>
      </c>
      <c r="AF728" s="13">
        <f>IF($A728="","",[1]!thsiFinD("ths_adjustment_nv_fund",AF$3,$A728))</f>
        <v/>
      </c>
      <c r="AG728" s="13">
        <f>IF($A728="","",[1]!thsiFinD("ths_adjustment_nv_fund",AG$3,$A728))</f>
        <v/>
      </c>
      <c r="AH728" s="13">
        <f>IF($A728="","",[1]!thsiFinD("ths_adjustment_nv_fund",AH$3,$A728))</f>
        <v/>
      </c>
      <c r="AI728" s="13">
        <f>IF($A728="","",[1]!thsiFinD("ths_adjustment_nv_fund",AI$3,$A728))</f>
        <v/>
      </c>
      <c r="AJ728" s="13">
        <f>IF($A728="","",[1]!thsiFinD("ths_adjustment_nv_fund",AJ$3,$A728))</f>
        <v/>
      </c>
      <c r="AK728" s="13">
        <f>IF($A728="","",[1]!thsiFinD("ths_adjustment_nv_fund",AK$3,$A728))</f>
        <v/>
      </c>
      <c r="AL728" s="13">
        <f>IF($A728="","",[1]!thsiFinD("ths_adjustment_nv_fund",AL$3,$A728))</f>
        <v/>
      </c>
    </row>
    <row r="729" spans="2:28">
      <c r="B729" s="13" t="str">
        <f>IF($A729="","",[1]!thsiFinD("ths_adjustment_nv_fund",B$3,$A729))</f>
        <v/>
      </c>
      <c r="C729" s="13" t="str">
        <f>IF($A729="","",[1]!thsiFinD("ths_adjustment_nv_fund",C$3,$A729))</f>
        <v/>
      </c>
      <c r="D729" s="13" t="str">
        <f>IF($A729="","",[1]!thsiFinD("ths_adjustment_nv_fund",D$3,$A729))</f>
        <v/>
      </c>
      <c r="E729" s="13" t="str">
        <f>IF($A729="","",[1]!thsiFinD("ths_adjustment_nv_fund",E$3,$A729))</f>
        <v/>
      </c>
      <c r="F729" s="13" t="str">
        <f>IF($A729="","",[1]!thsiFinD("ths_adjustment_nv_fund",F$3,$A729))</f>
        <v/>
      </c>
      <c r="G729" s="13" t="str">
        <f>IF($A729="","",[1]!thsiFinD("ths_adjustment_nv_fund",G$3,$A729))</f>
        <v/>
      </c>
      <c r="H729" s="13" t="str">
        <f>IF($A729="","",[1]!thsiFinD("ths_adjustment_nv_fund",H$3,$A729))</f>
        <v/>
      </c>
      <c r="I729" s="13" t="str">
        <f>IF($A729="","",[1]!thsiFinD("ths_adjustment_nv_fund",I$3,$A729))</f>
        <v/>
      </c>
      <c r="J729" s="13" t="str">
        <f>IF($A729="","",[1]!thsiFinD("ths_adjustment_nv_fund",J$3,$A729))</f>
        <v/>
      </c>
      <c r="K729" s="13" t="str">
        <f>IF($A729="","",[1]!thsiFinD("ths_adjustment_nv_fund",K$3,$A729))</f>
        <v/>
      </c>
      <c r="L729" s="13" t="str">
        <f>IF($A729="","",[1]!thsiFinD("ths_adjustment_nv_fund",L$3,$A729))</f>
        <v/>
      </c>
      <c r="M729" s="13" t="str">
        <f>IF($A729="","",[1]!thsiFinD("ths_adjustment_nv_fund",M$3,$A729))</f>
        <v/>
      </c>
      <c r="N729" s="13" t="str">
        <f>IF($A729="","",[1]!thsiFinD("ths_adjustment_nv_fund",N$3,$A729))</f>
        <v/>
      </c>
      <c r="O729" s="13" t="str">
        <f>IF($A729="","",[1]!thsiFinD("ths_adjustment_nv_fund",O$3,$A729))</f>
        <v/>
      </c>
      <c r="P729" s="13" t="str">
        <f>IF($A729="","",[1]!thsiFinD("ths_adjustment_nv_fund",P$3,$A729))</f>
        <v/>
      </c>
      <c r="Q729" s="13" t="str">
        <f>IF($A729="","",[1]!thsiFinD("ths_adjustment_nv_fund",Q$3,$A729))</f>
        <v/>
      </c>
      <c r="R729" s="13" t="str">
        <f>IF($A729="","",[1]!thsiFinD("ths_adjustment_nv_fund",R$3,$A729))</f>
        <v/>
      </c>
      <c r="S729" s="13" t="str">
        <f>IF($A729="","",[1]!thsiFinD("ths_adjustment_nv_fund",S$3,$A729))</f>
        <v/>
      </c>
      <c r="T729" s="13" t="str">
        <f>IF($A729="","",[1]!thsiFinD("ths_adjustment_nv_fund",T$3,$A729))</f>
        <v/>
      </c>
      <c r="U729" s="13" t="str">
        <f>IF($A729="","",[1]!thsiFinD("ths_adjustment_nv_fund",U$3,$A729))</f>
        <v/>
      </c>
      <c r="V729" s="13" t="str">
        <f>IF($A729="","",[1]!thsiFinD("ths_adjustment_nv_fund",V$3,$A729))</f>
        <v/>
      </c>
      <c r="W729" s="13" t="str">
        <f>IF($A729="","",[1]!thsiFinD("ths_adjustment_nv_fund",W$3,$A729))</f>
        <v/>
      </c>
      <c r="X729" s="13" t="str">
        <f>IF($A729="","",[1]!thsiFinD("ths_adjustment_nv_fund",X$3,$A729))</f>
        <v/>
      </c>
      <c r="Y729" s="13" t="str">
        <f>IF($A729="","",[1]!thsiFinD("ths_adjustment_nv_fund",Y$3,$A729))</f>
        <v/>
      </c>
      <c r="Z729" s="13" t="str">
        <f>IF($A729="","",[1]!thsiFinD("ths_adjustment_nv_fund",Z$3,$A729))</f>
        <v/>
      </c>
      <c r="AA729" s="13" t="str">
        <f>IF($A729="","",[1]!thsiFinD("ths_adjustment_nv_fund",AA$3,$A729))</f>
        <v/>
      </c>
      <c r="AB729" s="13">
        <f>IF($A729="","",[1]!thsiFinD("ths_adjustment_nv_fund",AB$3,$A729))</f>
        <v/>
      </c>
      <c r="AC729" s="13">
        <f>IF($A729="","",[1]!thsiFinD("ths_adjustment_nv_fund",AC$3,$A729))</f>
        <v/>
      </c>
      <c r="AD729" s="13">
        <f>IF($A729="","",[1]!thsiFinD("ths_adjustment_nv_fund",AD$3,$A729))</f>
        <v/>
      </c>
      <c r="AE729" s="13">
        <f>IF($A729="","",[1]!thsiFinD("ths_adjustment_nv_fund",AE$3,$A729))</f>
        <v/>
      </c>
      <c r="AF729" s="13">
        <f>IF($A729="","",[1]!thsiFinD("ths_adjustment_nv_fund",AF$3,$A729))</f>
        <v/>
      </c>
      <c r="AG729" s="13">
        <f>IF($A729="","",[1]!thsiFinD("ths_adjustment_nv_fund",AG$3,$A729))</f>
        <v/>
      </c>
      <c r="AH729" s="13">
        <f>IF($A729="","",[1]!thsiFinD("ths_adjustment_nv_fund",AH$3,$A729))</f>
        <v/>
      </c>
      <c r="AI729" s="13">
        <f>IF($A729="","",[1]!thsiFinD("ths_adjustment_nv_fund",AI$3,$A729))</f>
        <v/>
      </c>
      <c r="AJ729" s="13">
        <f>IF($A729="","",[1]!thsiFinD("ths_adjustment_nv_fund",AJ$3,$A729))</f>
        <v/>
      </c>
      <c r="AK729" s="13">
        <f>IF($A729="","",[1]!thsiFinD("ths_adjustment_nv_fund",AK$3,$A729))</f>
        <v/>
      </c>
      <c r="AL729" s="13">
        <f>IF($A729="","",[1]!thsiFinD("ths_adjustment_nv_fund",AL$3,$A729))</f>
        <v/>
      </c>
    </row>
    <row r="730" spans="2:28">
      <c r="B730" s="13" t="str">
        <f>IF($A730="","",[1]!thsiFinD("ths_adjustment_nv_fund",B$3,$A730))</f>
        <v/>
      </c>
      <c r="C730" s="13" t="str">
        <f>IF($A730="","",[1]!thsiFinD("ths_adjustment_nv_fund",C$3,$A730))</f>
        <v/>
      </c>
      <c r="D730" s="13" t="str">
        <f>IF($A730="","",[1]!thsiFinD("ths_adjustment_nv_fund",D$3,$A730))</f>
        <v/>
      </c>
      <c r="E730" s="13" t="str">
        <f>IF($A730="","",[1]!thsiFinD("ths_adjustment_nv_fund",E$3,$A730))</f>
        <v/>
      </c>
      <c r="F730" s="13" t="str">
        <f>IF($A730="","",[1]!thsiFinD("ths_adjustment_nv_fund",F$3,$A730))</f>
        <v/>
      </c>
      <c r="G730" s="13" t="str">
        <f>IF($A730="","",[1]!thsiFinD("ths_adjustment_nv_fund",G$3,$A730))</f>
        <v/>
      </c>
      <c r="H730" s="13" t="str">
        <f>IF($A730="","",[1]!thsiFinD("ths_adjustment_nv_fund",H$3,$A730))</f>
        <v/>
      </c>
      <c r="I730" s="13" t="str">
        <f>IF($A730="","",[1]!thsiFinD("ths_adjustment_nv_fund",I$3,$A730))</f>
        <v/>
      </c>
      <c r="J730" s="13" t="str">
        <f>IF($A730="","",[1]!thsiFinD("ths_adjustment_nv_fund",J$3,$A730))</f>
        <v/>
      </c>
      <c r="K730" s="13" t="str">
        <f>IF($A730="","",[1]!thsiFinD("ths_adjustment_nv_fund",K$3,$A730))</f>
        <v/>
      </c>
      <c r="L730" s="13" t="str">
        <f>IF($A730="","",[1]!thsiFinD("ths_adjustment_nv_fund",L$3,$A730))</f>
        <v/>
      </c>
      <c r="M730" s="13" t="str">
        <f>IF($A730="","",[1]!thsiFinD("ths_adjustment_nv_fund",M$3,$A730))</f>
        <v/>
      </c>
      <c r="N730" s="13" t="str">
        <f>IF($A730="","",[1]!thsiFinD("ths_adjustment_nv_fund",N$3,$A730))</f>
        <v/>
      </c>
      <c r="O730" s="13" t="str">
        <f>IF($A730="","",[1]!thsiFinD("ths_adjustment_nv_fund",O$3,$A730))</f>
        <v/>
      </c>
      <c r="P730" s="13" t="str">
        <f>IF($A730="","",[1]!thsiFinD("ths_adjustment_nv_fund",P$3,$A730))</f>
        <v/>
      </c>
      <c r="Q730" s="13" t="str">
        <f>IF($A730="","",[1]!thsiFinD("ths_adjustment_nv_fund",Q$3,$A730))</f>
        <v/>
      </c>
      <c r="R730" s="13" t="str">
        <f>IF($A730="","",[1]!thsiFinD("ths_adjustment_nv_fund",R$3,$A730))</f>
        <v/>
      </c>
      <c r="S730" s="13" t="str">
        <f>IF($A730="","",[1]!thsiFinD("ths_adjustment_nv_fund",S$3,$A730))</f>
        <v/>
      </c>
      <c r="T730" s="13" t="str">
        <f>IF($A730="","",[1]!thsiFinD("ths_adjustment_nv_fund",T$3,$A730))</f>
        <v/>
      </c>
      <c r="U730" s="13" t="str">
        <f>IF($A730="","",[1]!thsiFinD("ths_adjustment_nv_fund",U$3,$A730))</f>
        <v/>
      </c>
      <c r="V730" s="13" t="str">
        <f>IF($A730="","",[1]!thsiFinD("ths_adjustment_nv_fund",V$3,$A730))</f>
        <v/>
      </c>
      <c r="W730" s="13" t="str">
        <f>IF($A730="","",[1]!thsiFinD("ths_adjustment_nv_fund",W$3,$A730))</f>
        <v/>
      </c>
      <c r="X730" s="13" t="str">
        <f>IF($A730="","",[1]!thsiFinD("ths_adjustment_nv_fund",X$3,$A730))</f>
        <v/>
      </c>
      <c r="Y730" s="13" t="str">
        <f>IF($A730="","",[1]!thsiFinD("ths_adjustment_nv_fund",Y$3,$A730))</f>
        <v/>
      </c>
      <c r="Z730" s="13" t="str">
        <f>IF($A730="","",[1]!thsiFinD("ths_adjustment_nv_fund",Z$3,$A730))</f>
        <v/>
      </c>
      <c r="AA730" s="13" t="str">
        <f>IF($A730="","",[1]!thsiFinD("ths_adjustment_nv_fund",AA$3,$A730))</f>
        <v/>
      </c>
      <c r="AB730" s="13">
        <f>IF($A730="","",[1]!thsiFinD("ths_adjustment_nv_fund",AB$3,$A730))</f>
        <v/>
      </c>
      <c r="AC730" s="13">
        <f>IF($A730="","",[1]!thsiFinD("ths_adjustment_nv_fund",AC$3,$A730))</f>
        <v/>
      </c>
      <c r="AD730" s="13">
        <f>IF($A730="","",[1]!thsiFinD("ths_adjustment_nv_fund",AD$3,$A730))</f>
        <v/>
      </c>
      <c r="AE730" s="13">
        <f>IF($A730="","",[1]!thsiFinD("ths_adjustment_nv_fund",AE$3,$A730))</f>
        <v/>
      </c>
      <c r="AF730" s="13">
        <f>IF($A730="","",[1]!thsiFinD("ths_adjustment_nv_fund",AF$3,$A730))</f>
        <v/>
      </c>
      <c r="AG730" s="13">
        <f>IF($A730="","",[1]!thsiFinD("ths_adjustment_nv_fund",AG$3,$A730))</f>
        <v/>
      </c>
      <c r="AH730" s="13">
        <f>IF($A730="","",[1]!thsiFinD("ths_adjustment_nv_fund",AH$3,$A730))</f>
        <v/>
      </c>
      <c r="AI730" s="13">
        <f>IF($A730="","",[1]!thsiFinD("ths_adjustment_nv_fund",AI$3,$A730))</f>
        <v/>
      </c>
      <c r="AJ730" s="13">
        <f>IF($A730="","",[1]!thsiFinD("ths_adjustment_nv_fund",AJ$3,$A730))</f>
        <v/>
      </c>
      <c r="AK730" s="13">
        <f>IF($A730="","",[1]!thsiFinD("ths_adjustment_nv_fund",AK$3,$A730))</f>
        <v/>
      </c>
      <c r="AL730" s="13">
        <f>IF($A730="","",[1]!thsiFinD("ths_adjustment_nv_fund",AL$3,$A730))</f>
        <v/>
      </c>
    </row>
    <row r="731" spans="2:28">
      <c r="B731" s="13" t="str">
        <f>IF($A731="","",[1]!thsiFinD("ths_adjustment_nv_fund",B$3,$A731))</f>
        <v/>
      </c>
      <c r="C731" s="13" t="str">
        <f>IF($A731="","",[1]!thsiFinD("ths_adjustment_nv_fund",C$3,$A731))</f>
        <v/>
      </c>
      <c r="D731" s="13" t="str">
        <f>IF($A731="","",[1]!thsiFinD("ths_adjustment_nv_fund",D$3,$A731))</f>
        <v/>
      </c>
      <c r="E731" s="13" t="str">
        <f>IF($A731="","",[1]!thsiFinD("ths_adjustment_nv_fund",E$3,$A731))</f>
        <v/>
      </c>
      <c r="F731" s="13" t="str">
        <f>IF($A731="","",[1]!thsiFinD("ths_adjustment_nv_fund",F$3,$A731))</f>
        <v/>
      </c>
      <c r="G731" s="13" t="str">
        <f>IF($A731="","",[1]!thsiFinD("ths_adjustment_nv_fund",G$3,$A731))</f>
        <v/>
      </c>
      <c r="H731" s="13" t="str">
        <f>IF($A731="","",[1]!thsiFinD("ths_adjustment_nv_fund",H$3,$A731))</f>
        <v/>
      </c>
      <c r="I731" s="13" t="str">
        <f>IF($A731="","",[1]!thsiFinD("ths_adjustment_nv_fund",I$3,$A731))</f>
        <v/>
      </c>
      <c r="J731" s="13" t="str">
        <f>IF($A731="","",[1]!thsiFinD("ths_adjustment_nv_fund",J$3,$A731))</f>
        <v/>
      </c>
      <c r="K731" s="13" t="str">
        <f>IF($A731="","",[1]!thsiFinD("ths_adjustment_nv_fund",K$3,$A731))</f>
        <v/>
      </c>
      <c r="L731" s="13" t="str">
        <f>IF($A731="","",[1]!thsiFinD("ths_adjustment_nv_fund",L$3,$A731))</f>
        <v/>
      </c>
      <c r="M731" s="13" t="str">
        <f>IF($A731="","",[1]!thsiFinD("ths_adjustment_nv_fund",M$3,$A731))</f>
        <v/>
      </c>
      <c r="N731" s="13" t="str">
        <f>IF($A731="","",[1]!thsiFinD("ths_adjustment_nv_fund",N$3,$A731))</f>
        <v/>
      </c>
      <c r="O731" s="13" t="str">
        <f>IF($A731="","",[1]!thsiFinD("ths_adjustment_nv_fund",O$3,$A731))</f>
        <v/>
      </c>
      <c r="P731" s="13" t="str">
        <f>IF($A731="","",[1]!thsiFinD("ths_adjustment_nv_fund",P$3,$A731))</f>
        <v/>
      </c>
      <c r="Q731" s="13" t="str">
        <f>IF($A731="","",[1]!thsiFinD("ths_adjustment_nv_fund",Q$3,$A731))</f>
        <v/>
      </c>
      <c r="R731" s="13" t="str">
        <f>IF($A731="","",[1]!thsiFinD("ths_adjustment_nv_fund",R$3,$A731))</f>
        <v/>
      </c>
      <c r="S731" s="13" t="str">
        <f>IF($A731="","",[1]!thsiFinD("ths_adjustment_nv_fund",S$3,$A731))</f>
        <v/>
      </c>
      <c r="T731" s="13" t="str">
        <f>IF($A731="","",[1]!thsiFinD("ths_adjustment_nv_fund",T$3,$A731))</f>
        <v/>
      </c>
      <c r="U731" s="13" t="str">
        <f>IF($A731="","",[1]!thsiFinD("ths_adjustment_nv_fund",U$3,$A731))</f>
        <v/>
      </c>
      <c r="V731" s="13" t="str">
        <f>IF($A731="","",[1]!thsiFinD("ths_adjustment_nv_fund",V$3,$A731))</f>
        <v/>
      </c>
      <c r="W731" s="13" t="str">
        <f>IF($A731="","",[1]!thsiFinD("ths_adjustment_nv_fund",W$3,$A731))</f>
        <v/>
      </c>
      <c r="X731" s="13" t="str">
        <f>IF($A731="","",[1]!thsiFinD("ths_adjustment_nv_fund",X$3,$A731))</f>
        <v/>
      </c>
      <c r="Y731" s="13" t="str">
        <f>IF($A731="","",[1]!thsiFinD("ths_adjustment_nv_fund",Y$3,$A731))</f>
        <v/>
      </c>
      <c r="Z731" s="13" t="str">
        <f>IF($A731="","",[1]!thsiFinD("ths_adjustment_nv_fund",Z$3,$A731))</f>
        <v/>
      </c>
      <c r="AA731" s="13" t="str">
        <f>IF($A731="","",[1]!thsiFinD("ths_adjustment_nv_fund",AA$3,$A731))</f>
        <v/>
      </c>
      <c r="AB731" s="13">
        <f>IF($A731="","",[1]!thsiFinD("ths_adjustment_nv_fund",AB$3,$A731))</f>
        <v/>
      </c>
      <c r="AC731" s="13">
        <f>IF($A731="","",[1]!thsiFinD("ths_adjustment_nv_fund",AC$3,$A731))</f>
        <v/>
      </c>
      <c r="AD731" s="13">
        <f>IF($A731="","",[1]!thsiFinD("ths_adjustment_nv_fund",AD$3,$A731))</f>
        <v/>
      </c>
      <c r="AE731" s="13">
        <f>IF($A731="","",[1]!thsiFinD("ths_adjustment_nv_fund",AE$3,$A731))</f>
        <v/>
      </c>
      <c r="AF731" s="13">
        <f>IF($A731="","",[1]!thsiFinD("ths_adjustment_nv_fund",AF$3,$A731))</f>
        <v/>
      </c>
      <c r="AG731" s="13">
        <f>IF($A731="","",[1]!thsiFinD("ths_adjustment_nv_fund",AG$3,$A731))</f>
        <v/>
      </c>
      <c r="AH731" s="13">
        <f>IF($A731="","",[1]!thsiFinD("ths_adjustment_nv_fund",AH$3,$A731))</f>
        <v/>
      </c>
      <c r="AI731" s="13">
        <f>IF($A731="","",[1]!thsiFinD("ths_adjustment_nv_fund",AI$3,$A731))</f>
        <v/>
      </c>
      <c r="AJ731" s="13">
        <f>IF($A731="","",[1]!thsiFinD("ths_adjustment_nv_fund",AJ$3,$A731))</f>
        <v/>
      </c>
      <c r="AK731" s="13">
        <f>IF($A731="","",[1]!thsiFinD("ths_adjustment_nv_fund",AK$3,$A731))</f>
        <v/>
      </c>
      <c r="AL731" s="13">
        <f>IF($A731="","",[1]!thsiFinD("ths_adjustment_nv_fund",AL$3,$A731))</f>
        <v/>
      </c>
    </row>
    <row r="732" spans="2:28">
      <c r="B732" s="13" t="str">
        <f>IF($A732="","",[1]!thsiFinD("ths_adjustment_nv_fund",B$3,$A732))</f>
        <v/>
      </c>
      <c r="C732" s="13" t="str">
        <f>IF($A732="","",[1]!thsiFinD("ths_adjustment_nv_fund",C$3,$A732))</f>
        <v/>
      </c>
      <c r="D732" s="13" t="str">
        <f>IF($A732="","",[1]!thsiFinD("ths_adjustment_nv_fund",D$3,$A732))</f>
        <v/>
      </c>
      <c r="E732" s="13" t="str">
        <f>IF($A732="","",[1]!thsiFinD("ths_adjustment_nv_fund",E$3,$A732))</f>
        <v/>
      </c>
      <c r="F732" s="13" t="str">
        <f>IF($A732="","",[1]!thsiFinD("ths_adjustment_nv_fund",F$3,$A732))</f>
        <v/>
      </c>
      <c r="G732" s="13" t="str">
        <f>IF($A732="","",[1]!thsiFinD("ths_adjustment_nv_fund",G$3,$A732))</f>
        <v/>
      </c>
      <c r="H732" s="13" t="str">
        <f>IF($A732="","",[1]!thsiFinD("ths_adjustment_nv_fund",H$3,$A732))</f>
        <v/>
      </c>
      <c r="I732" s="13" t="str">
        <f>IF($A732="","",[1]!thsiFinD("ths_adjustment_nv_fund",I$3,$A732))</f>
        <v/>
      </c>
      <c r="J732" s="13" t="str">
        <f>IF($A732="","",[1]!thsiFinD("ths_adjustment_nv_fund",J$3,$A732))</f>
        <v/>
      </c>
      <c r="K732" s="13" t="str">
        <f>IF($A732="","",[1]!thsiFinD("ths_adjustment_nv_fund",K$3,$A732))</f>
        <v/>
      </c>
      <c r="L732" s="13" t="str">
        <f>IF($A732="","",[1]!thsiFinD("ths_adjustment_nv_fund",L$3,$A732))</f>
        <v/>
      </c>
      <c r="M732" s="13" t="str">
        <f>IF($A732="","",[1]!thsiFinD("ths_adjustment_nv_fund",M$3,$A732))</f>
        <v/>
      </c>
      <c r="N732" s="13" t="str">
        <f>IF($A732="","",[1]!thsiFinD("ths_adjustment_nv_fund",N$3,$A732))</f>
        <v/>
      </c>
      <c r="O732" s="13" t="str">
        <f>IF($A732="","",[1]!thsiFinD("ths_adjustment_nv_fund",O$3,$A732))</f>
        <v/>
      </c>
      <c r="P732" s="13" t="str">
        <f>IF($A732="","",[1]!thsiFinD("ths_adjustment_nv_fund",P$3,$A732))</f>
        <v/>
      </c>
      <c r="Q732" s="13" t="str">
        <f>IF($A732="","",[1]!thsiFinD("ths_adjustment_nv_fund",Q$3,$A732))</f>
        <v/>
      </c>
      <c r="R732" s="13" t="str">
        <f>IF($A732="","",[1]!thsiFinD("ths_adjustment_nv_fund",R$3,$A732))</f>
        <v/>
      </c>
      <c r="S732" s="13" t="str">
        <f>IF($A732="","",[1]!thsiFinD("ths_adjustment_nv_fund",S$3,$A732))</f>
        <v/>
      </c>
      <c r="T732" s="13" t="str">
        <f>IF($A732="","",[1]!thsiFinD("ths_adjustment_nv_fund",T$3,$A732))</f>
        <v/>
      </c>
      <c r="U732" s="13" t="str">
        <f>IF($A732="","",[1]!thsiFinD("ths_adjustment_nv_fund",U$3,$A732))</f>
        <v/>
      </c>
      <c r="V732" s="13" t="str">
        <f>IF($A732="","",[1]!thsiFinD("ths_adjustment_nv_fund",V$3,$A732))</f>
        <v/>
      </c>
      <c r="W732" s="13" t="str">
        <f>IF($A732="","",[1]!thsiFinD("ths_adjustment_nv_fund",W$3,$A732))</f>
        <v/>
      </c>
      <c r="X732" s="13" t="str">
        <f>IF($A732="","",[1]!thsiFinD("ths_adjustment_nv_fund",X$3,$A732))</f>
        <v/>
      </c>
      <c r="Y732" s="13" t="str">
        <f>IF($A732="","",[1]!thsiFinD("ths_adjustment_nv_fund",Y$3,$A732))</f>
        <v/>
      </c>
      <c r="Z732" s="13" t="str">
        <f>IF($A732="","",[1]!thsiFinD("ths_adjustment_nv_fund",Z$3,$A732))</f>
        <v/>
      </c>
      <c r="AA732" s="13" t="str">
        <f>IF($A732="","",[1]!thsiFinD("ths_adjustment_nv_fund",AA$3,$A732))</f>
        <v/>
      </c>
      <c r="AB732" s="13">
        <f>IF($A732="","",[1]!thsiFinD("ths_adjustment_nv_fund",AB$3,$A732))</f>
        <v/>
      </c>
      <c r="AC732" s="13">
        <f>IF($A732="","",[1]!thsiFinD("ths_adjustment_nv_fund",AC$3,$A732))</f>
        <v/>
      </c>
      <c r="AD732" s="13">
        <f>IF($A732="","",[1]!thsiFinD("ths_adjustment_nv_fund",AD$3,$A732))</f>
        <v/>
      </c>
      <c r="AE732" s="13">
        <f>IF($A732="","",[1]!thsiFinD("ths_adjustment_nv_fund",AE$3,$A732))</f>
        <v/>
      </c>
      <c r="AF732" s="13">
        <f>IF($A732="","",[1]!thsiFinD("ths_adjustment_nv_fund",AF$3,$A732))</f>
        <v/>
      </c>
      <c r="AG732" s="13">
        <f>IF($A732="","",[1]!thsiFinD("ths_adjustment_nv_fund",AG$3,$A732))</f>
        <v/>
      </c>
      <c r="AH732" s="13">
        <f>IF($A732="","",[1]!thsiFinD("ths_adjustment_nv_fund",AH$3,$A732))</f>
        <v/>
      </c>
      <c r="AI732" s="13">
        <f>IF($A732="","",[1]!thsiFinD("ths_adjustment_nv_fund",AI$3,$A732))</f>
        <v/>
      </c>
      <c r="AJ732" s="13">
        <f>IF($A732="","",[1]!thsiFinD("ths_adjustment_nv_fund",AJ$3,$A732))</f>
        <v/>
      </c>
      <c r="AK732" s="13">
        <f>IF($A732="","",[1]!thsiFinD("ths_adjustment_nv_fund",AK$3,$A732))</f>
        <v/>
      </c>
      <c r="AL732" s="13">
        <f>IF($A732="","",[1]!thsiFinD("ths_adjustment_nv_fund",AL$3,$A732))</f>
        <v/>
      </c>
    </row>
    <row r="733" spans="2:28">
      <c r="B733" s="13" t="str">
        <f>IF($A733="","",[1]!thsiFinD("ths_adjustment_nv_fund",B$3,$A733))</f>
        <v/>
      </c>
      <c r="C733" s="13" t="str">
        <f>IF($A733="","",[1]!thsiFinD("ths_adjustment_nv_fund",C$3,$A733))</f>
        <v/>
      </c>
      <c r="D733" s="13" t="str">
        <f>IF($A733="","",[1]!thsiFinD("ths_adjustment_nv_fund",D$3,$A733))</f>
        <v/>
      </c>
      <c r="E733" s="13" t="str">
        <f>IF($A733="","",[1]!thsiFinD("ths_adjustment_nv_fund",E$3,$A733))</f>
        <v/>
      </c>
      <c r="F733" s="13" t="str">
        <f>IF($A733="","",[1]!thsiFinD("ths_adjustment_nv_fund",F$3,$A733))</f>
        <v/>
      </c>
      <c r="G733" s="13" t="str">
        <f>IF($A733="","",[1]!thsiFinD("ths_adjustment_nv_fund",G$3,$A733))</f>
        <v/>
      </c>
      <c r="H733" s="13" t="str">
        <f>IF($A733="","",[1]!thsiFinD("ths_adjustment_nv_fund",H$3,$A733))</f>
        <v/>
      </c>
      <c r="I733" s="13" t="str">
        <f>IF($A733="","",[1]!thsiFinD("ths_adjustment_nv_fund",I$3,$A733))</f>
        <v/>
      </c>
      <c r="J733" s="13" t="str">
        <f>IF($A733="","",[1]!thsiFinD("ths_adjustment_nv_fund",J$3,$A733))</f>
        <v/>
      </c>
      <c r="K733" s="13" t="str">
        <f>IF($A733="","",[1]!thsiFinD("ths_adjustment_nv_fund",K$3,$A733))</f>
        <v/>
      </c>
      <c r="L733" s="13" t="str">
        <f>IF($A733="","",[1]!thsiFinD("ths_adjustment_nv_fund",L$3,$A733))</f>
        <v/>
      </c>
      <c r="M733" s="13" t="str">
        <f>IF($A733="","",[1]!thsiFinD("ths_adjustment_nv_fund",M$3,$A733))</f>
        <v/>
      </c>
      <c r="N733" s="13" t="str">
        <f>IF($A733="","",[1]!thsiFinD("ths_adjustment_nv_fund",N$3,$A733))</f>
        <v/>
      </c>
      <c r="O733" s="13" t="str">
        <f>IF($A733="","",[1]!thsiFinD("ths_adjustment_nv_fund",O$3,$A733))</f>
        <v/>
      </c>
      <c r="P733" s="13" t="str">
        <f>IF($A733="","",[1]!thsiFinD("ths_adjustment_nv_fund",P$3,$A733))</f>
        <v/>
      </c>
      <c r="Q733" s="13" t="str">
        <f>IF($A733="","",[1]!thsiFinD("ths_adjustment_nv_fund",Q$3,$A733))</f>
        <v/>
      </c>
      <c r="R733" s="13" t="str">
        <f>IF($A733="","",[1]!thsiFinD("ths_adjustment_nv_fund",R$3,$A733))</f>
        <v/>
      </c>
      <c r="S733" s="13" t="str">
        <f>IF($A733="","",[1]!thsiFinD("ths_adjustment_nv_fund",S$3,$A733))</f>
        <v/>
      </c>
      <c r="T733" s="13" t="str">
        <f>IF($A733="","",[1]!thsiFinD("ths_adjustment_nv_fund",T$3,$A733))</f>
        <v/>
      </c>
      <c r="U733" s="13" t="str">
        <f>IF($A733="","",[1]!thsiFinD("ths_adjustment_nv_fund",U$3,$A733))</f>
        <v/>
      </c>
      <c r="V733" s="13" t="str">
        <f>IF($A733="","",[1]!thsiFinD("ths_adjustment_nv_fund",V$3,$A733))</f>
        <v/>
      </c>
      <c r="W733" s="13" t="str">
        <f>IF($A733="","",[1]!thsiFinD("ths_adjustment_nv_fund",W$3,$A733))</f>
        <v/>
      </c>
      <c r="X733" s="13" t="str">
        <f>IF($A733="","",[1]!thsiFinD("ths_adjustment_nv_fund",X$3,$A733))</f>
        <v/>
      </c>
      <c r="Y733" s="13" t="str">
        <f>IF($A733="","",[1]!thsiFinD("ths_adjustment_nv_fund",Y$3,$A733))</f>
        <v/>
      </c>
      <c r="Z733" s="13" t="str">
        <f>IF($A733="","",[1]!thsiFinD("ths_adjustment_nv_fund",Z$3,$A733))</f>
        <v/>
      </c>
      <c r="AA733" s="13" t="str">
        <f>IF($A733="","",[1]!thsiFinD("ths_adjustment_nv_fund",AA$3,$A733))</f>
        <v/>
      </c>
      <c r="AB733" s="13">
        <f>IF($A733="","",[1]!thsiFinD("ths_adjustment_nv_fund",AB$3,$A733))</f>
        <v/>
      </c>
      <c r="AC733" s="13">
        <f>IF($A733="","",[1]!thsiFinD("ths_adjustment_nv_fund",AC$3,$A733))</f>
        <v/>
      </c>
      <c r="AD733" s="13">
        <f>IF($A733="","",[1]!thsiFinD("ths_adjustment_nv_fund",AD$3,$A733))</f>
        <v/>
      </c>
      <c r="AE733" s="13">
        <f>IF($A733="","",[1]!thsiFinD("ths_adjustment_nv_fund",AE$3,$A733))</f>
        <v/>
      </c>
      <c r="AF733" s="13">
        <f>IF($A733="","",[1]!thsiFinD("ths_adjustment_nv_fund",AF$3,$A733))</f>
        <v/>
      </c>
      <c r="AG733" s="13">
        <f>IF($A733="","",[1]!thsiFinD("ths_adjustment_nv_fund",AG$3,$A733))</f>
        <v/>
      </c>
      <c r="AH733" s="13">
        <f>IF($A733="","",[1]!thsiFinD("ths_adjustment_nv_fund",AH$3,$A733))</f>
        <v/>
      </c>
      <c r="AI733" s="13">
        <f>IF($A733="","",[1]!thsiFinD("ths_adjustment_nv_fund",AI$3,$A733))</f>
        <v/>
      </c>
      <c r="AJ733" s="13">
        <f>IF($A733="","",[1]!thsiFinD("ths_adjustment_nv_fund",AJ$3,$A733))</f>
        <v/>
      </c>
      <c r="AK733" s="13">
        <f>IF($A733="","",[1]!thsiFinD("ths_adjustment_nv_fund",AK$3,$A733))</f>
        <v/>
      </c>
      <c r="AL733" s="13">
        <f>IF($A733="","",[1]!thsiFinD("ths_adjustment_nv_fund",AL$3,$A733))</f>
        <v/>
      </c>
    </row>
    <row r="734" spans="2:28">
      <c r="B734" s="13" t="str">
        <f>IF($A734="","",[1]!thsiFinD("ths_adjustment_nv_fund",B$3,$A734))</f>
        <v/>
      </c>
      <c r="C734" s="13" t="str">
        <f>IF($A734="","",[1]!thsiFinD("ths_adjustment_nv_fund",C$3,$A734))</f>
        <v/>
      </c>
      <c r="D734" s="13" t="str">
        <f>IF($A734="","",[1]!thsiFinD("ths_adjustment_nv_fund",D$3,$A734))</f>
        <v/>
      </c>
      <c r="E734" s="13" t="str">
        <f>IF($A734="","",[1]!thsiFinD("ths_adjustment_nv_fund",E$3,$A734))</f>
        <v/>
      </c>
      <c r="F734" s="13" t="str">
        <f>IF($A734="","",[1]!thsiFinD("ths_adjustment_nv_fund",F$3,$A734))</f>
        <v/>
      </c>
      <c r="G734" s="13" t="str">
        <f>IF($A734="","",[1]!thsiFinD("ths_adjustment_nv_fund",G$3,$A734))</f>
        <v/>
      </c>
      <c r="H734" s="13" t="str">
        <f>IF($A734="","",[1]!thsiFinD("ths_adjustment_nv_fund",H$3,$A734))</f>
        <v/>
      </c>
      <c r="I734" s="13" t="str">
        <f>IF($A734="","",[1]!thsiFinD("ths_adjustment_nv_fund",I$3,$A734))</f>
        <v/>
      </c>
      <c r="J734" s="13" t="str">
        <f>IF($A734="","",[1]!thsiFinD("ths_adjustment_nv_fund",J$3,$A734))</f>
        <v/>
      </c>
      <c r="K734" s="13" t="str">
        <f>IF($A734="","",[1]!thsiFinD("ths_adjustment_nv_fund",K$3,$A734))</f>
        <v/>
      </c>
      <c r="L734" s="13" t="str">
        <f>IF($A734="","",[1]!thsiFinD("ths_adjustment_nv_fund",L$3,$A734))</f>
        <v/>
      </c>
      <c r="M734" s="13" t="str">
        <f>IF($A734="","",[1]!thsiFinD("ths_adjustment_nv_fund",M$3,$A734))</f>
        <v/>
      </c>
      <c r="N734" s="13" t="str">
        <f>IF($A734="","",[1]!thsiFinD("ths_adjustment_nv_fund",N$3,$A734))</f>
        <v/>
      </c>
      <c r="O734" s="13" t="str">
        <f>IF($A734="","",[1]!thsiFinD("ths_adjustment_nv_fund",O$3,$A734))</f>
        <v/>
      </c>
      <c r="P734" s="13" t="str">
        <f>IF($A734="","",[1]!thsiFinD("ths_adjustment_nv_fund",P$3,$A734))</f>
        <v/>
      </c>
      <c r="Q734" s="13" t="str">
        <f>IF($A734="","",[1]!thsiFinD("ths_adjustment_nv_fund",Q$3,$A734))</f>
        <v/>
      </c>
      <c r="R734" s="13" t="str">
        <f>IF($A734="","",[1]!thsiFinD("ths_adjustment_nv_fund",R$3,$A734))</f>
        <v/>
      </c>
      <c r="S734" s="13" t="str">
        <f>IF($A734="","",[1]!thsiFinD("ths_adjustment_nv_fund",S$3,$A734))</f>
        <v/>
      </c>
      <c r="T734" s="13" t="str">
        <f>IF($A734="","",[1]!thsiFinD("ths_adjustment_nv_fund",T$3,$A734))</f>
        <v/>
      </c>
      <c r="U734" s="13" t="str">
        <f>IF($A734="","",[1]!thsiFinD("ths_adjustment_nv_fund",U$3,$A734))</f>
        <v/>
      </c>
      <c r="V734" s="13" t="str">
        <f>IF($A734="","",[1]!thsiFinD("ths_adjustment_nv_fund",V$3,$A734))</f>
        <v/>
      </c>
      <c r="W734" s="13" t="str">
        <f>IF($A734="","",[1]!thsiFinD("ths_adjustment_nv_fund",W$3,$A734))</f>
        <v/>
      </c>
      <c r="X734" s="13" t="str">
        <f>IF($A734="","",[1]!thsiFinD("ths_adjustment_nv_fund",X$3,$A734))</f>
        <v/>
      </c>
      <c r="Y734" s="13" t="str">
        <f>IF($A734="","",[1]!thsiFinD("ths_adjustment_nv_fund",Y$3,$A734))</f>
        <v/>
      </c>
      <c r="Z734" s="13" t="str">
        <f>IF($A734="","",[1]!thsiFinD("ths_adjustment_nv_fund",Z$3,$A734))</f>
        <v/>
      </c>
      <c r="AA734" s="13" t="str">
        <f>IF($A734="","",[1]!thsiFinD("ths_adjustment_nv_fund",AA$3,$A734))</f>
        <v/>
      </c>
      <c r="AB734" s="13">
        <f>IF($A734="","",[1]!thsiFinD("ths_adjustment_nv_fund",AB$3,$A734))</f>
        <v/>
      </c>
      <c r="AC734" s="13">
        <f>IF($A734="","",[1]!thsiFinD("ths_adjustment_nv_fund",AC$3,$A734))</f>
        <v/>
      </c>
      <c r="AD734" s="13">
        <f>IF($A734="","",[1]!thsiFinD("ths_adjustment_nv_fund",AD$3,$A734))</f>
        <v/>
      </c>
      <c r="AE734" s="13">
        <f>IF($A734="","",[1]!thsiFinD("ths_adjustment_nv_fund",AE$3,$A734))</f>
        <v/>
      </c>
      <c r="AF734" s="13">
        <f>IF($A734="","",[1]!thsiFinD("ths_adjustment_nv_fund",AF$3,$A734))</f>
        <v/>
      </c>
      <c r="AG734" s="13">
        <f>IF($A734="","",[1]!thsiFinD("ths_adjustment_nv_fund",AG$3,$A734))</f>
        <v/>
      </c>
      <c r="AH734" s="13">
        <f>IF($A734="","",[1]!thsiFinD("ths_adjustment_nv_fund",AH$3,$A734))</f>
        <v/>
      </c>
      <c r="AI734" s="13">
        <f>IF($A734="","",[1]!thsiFinD("ths_adjustment_nv_fund",AI$3,$A734))</f>
        <v/>
      </c>
      <c r="AJ734" s="13">
        <f>IF($A734="","",[1]!thsiFinD("ths_adjustment_nv_fund",AJ$3,$A734))</f>
        <v/>
      </c>
      <c r="AK734" s="13">
        <f>IF($A734="","",[1]!thsiFinD("ths_adjustment_nv_fund",AK$3,$A734))</f>
        <v/>
      </c>
      <c r="AL734" s="13">
        <f>IF($A734="","",[1]!thsiFinD("ths_adjustment_nv_fund",AL$3,$A734))</f>
        <v/>
      </c>
    </row>
    <row r="735" spans="2:28">
      <c r="B735" s="13" t="str">
        <f>IF($A735="","",[1]!thsiFinD("ths_adjustment_nv_fund",B$3,$A735))</f>
        <v/>
      </c>
      <c r="C735" s="13" t="str">
        <f>IF($A735="","",[1]!thsiFinD("ths_adjustment_nv_fund",C$3,$A735))</f>
        <v/>
      </c>
      <c r="D735" s="13" t="str">
        <f>IF($A735="","",[1]!thsiFinD("ths_adjustment_nv_fund",D$3,$A735))</f>
        <v/>
      </c>
      <c r="E735" s="13" t="str">
        <f>IF($A735="","",[1]!thsiFinD("ths_adjustment_nv_fund",E$3,$A735))</f>
        <v/>
      </c>
      <c r="F735" s="13" t="str">
        <f>IF($A735="","",[1]!thsiFinD("ths_adjustment_nv_fund",F$3,$A735))</f>
        <v/>
      </c>
      <c r="G735" s="13" t="str">
        <f>IF($A735="","",[1]!thsiFinD("ths_adjustment_nv_fund",G$3,$A735))</f>
        <v/>
      </c>
      <c r="H735" s="13" t="str">
        <f>IF($A735="","",[1]!thsiFinD("ths_adjustment_nv_fund",H$3,$A735))</f>
        <v/>
      </c>
      <c r="I735" s="13" t="str">
        <f>IF($A735="","",[1]!thsiFinD("ths_adjustment_nv_fund",I$3,$A735))</f>
        <v/>
      </c>
      <c r="J735" s="13" t="str">
        <f>IF($A735="","",[1]!thsiFinD("ths_adjustment_nv_fund",J$3,$A735))</f>
        <v/>
      </c>
      <c r="K735" s="13" t="str">
        <f>IF($A735="","",[1]!thsiFinD("ths_adjustment_nv_fund",K$3,$A735))</f>
        <v/>
      </c>
      <c r="L735" s="13" t="str">
        <f>IF($A735="","",[1]!thsiFinD("ths_adjustment_nv_fund",L$3,$A735))</f>
        <v/>
      </c>
      <c r="M735" s="13" t="str">
        <f>IF($A735="","",[1]!thsiFinD("ths_adjustment_nv_fund",M$3,$A735))</f>
        <v/>
      </c>
      <c r="N735" s="13" t="str">
        <f>IF($A735="","",[1]!thsiFinD("ths_adjustment_nv_fund",N$3,$A735))</f>
        <v/>
      </c>
      <c r="O735" s="13" t="str">
        <f>IF($A735="","",[1]!thsiFinD("ths_adjustment_nv_fund",O$3,$A735))</f>
        <v/>
      </c>
      <c r="P735" s="13" t="str">
        <f>IF($A735="","",[1]!thsiFinD("ths_adjustment_nv_fund",P$3,$A735))</f>
        <v/>
      </c>
      <c r="Q735" s="13" t="str">
        <f>IF($A735="","",[1]!thsiFinD("ths_adjustment_nv_fund",Q$3,$A735))</f>
        <v/>
      </c>
      <c r="R735" s="13" t="str">
        <f>IF($A735="","",[1]!thsiFinD("ths_adjustment_nv_fund",R$3,$A735))</f>
        <v/>
      </c>
      <c r="S735" s="13" t="str">
        <f>IF($A735="","",[1]!thsiFinD("ths_adjustment_nv_fund",S$3,$A735))</f>
        <v/>
      </c>
      <c r="T735" s="13" t="str">
        <f>IF($A735="","",[1]!thsiFinD("ths_adjustment_nv_fund",T$3,$A735))</f>
        <v/>
      </c>
      <c r="U735" s="13" t="str">
        <f>IF($A735="","",[1]!thsiFinD("ths_adjustment_nv_fund",U$3,$A735))</f>
        <v/>
      </c>
      <c r="V735" s="13" t="str">
        <f>IF($A735="","",[1]!thsiFinD("ths_adjustment_nv_fund",V$3,$A735))</f>
        <v/>
      </c>
      <c r="W735" s="13" t="str">
        <f>IF($A735="","",[1]!thsiFinD("ths_adjustment_nv_fund",W$3,$A735))</f>
        <v/>
      </c>
      <c r="X735" s="13" t="str">
        <f>IF($A735="","",[1]!thsiFinD("ths_adjustment_nv_fund",X$3,$A735))</f>
        <v/>
      </c>
      <c r="Y735" s="13" t="str">
        <f>IF($A735="","",[1]!thsiFinD("ths_adjustment_nv_fund",Y$3,$A735))</f>
        <v/>
      </c>
      <c r="Z735" s="13" t="str">
        <f>IF($A735="","",[1]!thsiFinD("ths_adjustment_nv_fund",Z$3,$A735))</f>
        <v/>
      </c>
      <c r="AA735" s="13" t="str">
        <f>IF($A735="","",[1]!thsiFinD("ths_adjustment_nv_fund",AA$3,$A735))</f>
        <v/>
      </c>
      <c r="AB735" s="13">
        <f>IF($A735="","",[1]!thsiFinD("ths_adjustment_nv_fund",AB$3,$A735))</f>
        <v/>
      </c>
      <c r="AC735" s="13">
        <f>IF($A735="","",[1]!thsiFinD("ths_adjustment_nv_fund",AC$3,$A735))</f>
        <v/>
      </c>
      <c r="AD735" s="13">
        <f>IF($A735="","",[1]!thsiFinD("ths_adjustment_nv_fund",AD$3,$A735))</f>
        <v/>
      </c>
      <c r="AE735" s="13">
        <f>IF($A735="","",[1]!thsiFinD("ths_adjustment_nv_fund",AE$3,$A735))</f>
        <v/>
      </c>
      <c r="AF735" s="13">
        <f>IF($A735="","",[1]!thsiFinD("ths_adjustment_nv_fund",AF$3,$A735))</f>
        <v/>
      </c>
      <c r="AG735" s="13">
        <f>IF($A735="","",[1]!thsiFinD("ths_adjustment_nv_fund",AG$3,$A735))</f>
        <v/>
      </c>
      <c r="AH735" s="13">
        <f>IF($A735="","",[1]!thsiFinD("ths_adjustment_nv_fund",AH$3,$A735))</f>
        <v/>
      </c>
      <c r="AI735" s="13">
        <f>IF($A735="","",[1]!thsiFinD("ths_adjustment_nv_fund",AI$3,$A735))</f>
        <v/>
      </c>
      <c r="AJ735" s="13">
        <f>IF($A735="","",[1]!thsiFinD("ths_adjustment_nv_fund",AJ$3,$A735))</f>
        <v/>
      </c>
      <c r="AK735" s="13">
        <f>IF($A735="","",[1]!thsiFinD("ths_adjustment_nv_fund",AK$3,$A735))</f>
        <v/>
      </c>
      <c r="AL735" s="13">
        <f>IF($A735="","",[1]!thsiFinD("ths_adjustment_nv_fund",AL$3,$A735))</f>
        <v/>
      </c>
    </row>
    <row r="736" spans="2:28">
      <c r="B736" s="13" t="str">
        <f>IF($A736="","",[1]!thsiFinD("ths_adjustment_nv_fund",B$3,$A736))</f>
        <v/>
      </c>
      <c r="C736" s="13" t="str">
        <f>IF($A736="","",[1]!thsiFinD("ths_adjustment_nv_fund",C$3,$A736))</f>
        <v/>
      </c>
      <c r="D736" s="13" t="str">
        <f>IF($A736="","",[1]!thsiFinD("ths_adjustment_nv_fund",D$3,$A736))</f>
        <v/>
      </c>
      <c r="E736" s="13" t="str">
        <f>IF($A736="","",[1]!thsiFinD("ths_adjustment_nv_fund",E$3,$A736))</f>
        <v/>
      </c>
      <c r="F736" s="13" t="str">
        <f>IF($A736="","",[1]!thsiFinD("ths_adjustment_nv_fund",F$3,$A736))</f>
        <v/>
      </c>
      <c r="G736" s="13" t="str">
        <f>IF($A736="","",[1]!thsiFinD("ths_adjustment_nv_fund",G$3,$A736))</f>
        <v/>
      </c>
      <c r="H736" s="13" t="str">
        <f>IF($A736="","",[1]!thsiFinD("ths_adjustment_nv_fund",H$3,$A736))</f>
        <v/>
      </c>
      <c r="I736" s="13" t="str">
        <f>IF($A736="","",[1]!thsiFinD("ths_adjustment_nv_fund",I$3,$A736))</f>
        <v/>
      </c>
      <c r="J736" s="13" t="str">
        <f>IF($A736="","",[1]!thsiFinD("ths_adjustment_nv_fund",J$3,$A736))</f>
        <v/>
      </c>
      <c r="K736" s="13" t="str">
        <f>IF($A736="","",[1]!thsiFinD("ths_adjustment_nv_fund",K$3,$A736))</f>
        <v/>
      </c>
      <c r="L736" s="13" t="str">
        <f>IF($A736="","",[1]!thsiFinD("ths_adjustment_nv_fund",L$3,$A736))</f>
        <v/>
      </c>
      <c r="M736" s="13" t="str">
        <f>IF($A736="","",[1]!thsiFinD("ths_adjustment_nv_fund",M$3,$A736))</f>
        <v/>
      </c>
      <c r="N736" s="13" t="str">
        <f>IF($A736="","",[1]!thsiFinD("ths_adjustment_nv_fund",N$3,$A736))</f>
        <v/>
      </c>
      <c r="O736" s="13" t="str">
        <f>IF($A736="","",[1]!thsiFinD("ths_adjustment_nv_fund",O$3,$A736))</f>
        <v/>
      </c>
      <c r="P736" s="13" t="str">
        <f>IF($A736="","",[1]!thsiFinD("ths_adjustment_nv_fund",P$3,$A736))</f>
        <v/>
      </c>
      <c r="Q736" s="13" t="str">
        <f>IF($A736="","",[1]!thsiFinD("ths_adjustment_nv_fund",Q$3,$A736))</f>
        <v/>
      </c>
      <c r="R736" s="13" t="str">
        <f>IF($A736="","",[1]!thsiFinD("ths_adjustment_nv_fund",R$3,$A736))</f>
        <v/>
      </c>
      <c r="S736" s="13" t="str">
        <f>IF($A736="","",[1]!thsiFinD("ths_adjustment_nv_fund",S$3,$A736))</f>
        <v/>
      </c>
      <c r="T736" s="13" t="str">
        <f>IF($A736="","",[1]!thsiFinD("ths_adjustment_nv_fund",T$3,$A736))</f>
        <v/>
      </c>
      <c r="U736" s="13" t="str">
        <f>IF($A736="","",[1]!thsiFinD("ths_adjustment_nv_fund",U$3,$A736))</f>
        <v/>
      </c>
      <c r="V736" s="13" t="str">
        <f>IF($A736="","",[1]!thsiFinD("ths_adjustment_nv_fund",V$3,$A736))</f>
        <v/>
      </c>
      <c r="W736" s="13" t="str">
        <f>IF($A736="","",[1]!thsiFinD("ths_adjustment_nv_fund",W$3,$A736))</f>
        <v/>
      </c>
      <c r="X736" s="13" t="str">
        <f>IF($A736="","",[1]!thsiFinD("ths_adjustment_nv_fund",X$3,$A736))</f>
        <v/>
      </c>
      <c r="Y736" s="13" t="str">
        <f>IF($A736="","",[1]!thsiFinD("ths_adjustment_nv_fund",Y$3,$A736))</f>
        <v/>
      </c>
      <c r="Z736" s="13" t="str">
        <f>IF($A736="","",[1]!thsiFinD("ths_adjustment_nv_fund",Z$3,$A736))</f>
        <v/>
      </c>
      <c r="AA736" s="13" t="str">
        <f>IF($A736="","",[1]!thsiFinD("ths_adjustment_nv_fund",AA$3,$A736))</f>
        <v/>
      </c>
      <c r="AB736" s="13">
        <f>IF($A736="","",[1]!thsiFinD("ths_adjustment_nv_fund",AB$3,$A736))</f>
        <v/>
      </c>
      <c r="AC736" s="13">
        <f>IF($A736="","",[1]!thsiFinD("ths_adjustment_nv_fund",AC$3,$A736))</f>
        <v/>
      </c>
      <c r="AD736" s="13">
        <f>IF($A736="","",[1]!thsiFinD("ths_adjustment_nv_fund",AD$3,$A736))</f>
        <v/>
      </c>
      <c r="AE736" s="13">
        <f>IF($A736="","",[1]!thsiFinD("ths_adjustment_nv_fund",AE$3,$A736))</f>
        <v/>
      </c>
      <c r="AF736" s="13">
        <f>IF($A736="","",[1]!thsiFinD("ths_adjustment_nv_fund",AF$3,$A736))</f>
        <v/>
      </c>
      <c r="AG736" s="13">
        <f>IF($A736="","",[1]!thsiFinD("ths_adjustment_nv_fund",AG$3,$A736))</f>
        <v/>
      </c>
      <c r="AH736" s="13">
        <f>IF($A736="","",[1]!thsiFinD("ths_adjustment_nv_fund",AH$3,$A736))</f>
        <v/>
      </c>
      <c r="AI736" s="13">
        <f>IF($A736="","",[1]!thsiFinD("ths_adjustment_nv_fund",AI$3,$A736))</f>
        <v/>
      </c>
      <c r="AJ736" s="13">
        <f>IF($A736="","",[1]!thsiFinD("ths_adjustment_nv_fund",AJ$3,$A736))</f>
        <v/>
      </c>
      <c r="AK736" s="13">
        <f>IF($A736="","",[1]!thsiFinD("ths_adjustment_nv_fund",AK$3,$A736))</f>
        <v/>
      </c>
      <c r="AL736" s="13">
        <f>IF($A736="","",[1]!thsiFinD("ths_adjustment_nv_fund",AL$3,$A736))</f>
        <v/>
      </c>
    </row>
    <row r="737" spans="2:28">
      <c r="B737" s="13" t="str">
        <f>IF($A737="","",[1]!thsiFinD("ths_adjustment_nv_fund",B$3,$A737))</f>
        <v/>
      </c>
      <c r="C737" s="13" t="str">
        <f>IF($A737="","",[1]!thsiFinD("ths_adjustment_nv_fund",C$3,$A737))</f>
        <v/>
      </c>
      <c r="D737" s="13" t="str">
        <f>IF($A737="","",[1]!thsiFinD("ths_adjustment_nv_fund",D$3,$A737))</f>
        <v/>
      </c>
      <c r="E737" s="13" t="str">
        <f>IF($A737="","",[1]!thsiFinD("ths_adjustment_nv_fund",E$3,$A737))</f>
        <v/>
      </c>
      <c r="F737" s="13" t="str">
        <f>IF($A737="","",[1]!thsiFinD("ths_adjustment_nv_fund",F$3,$A737))</f>
        <v/>
      </c>
      <c r="G737" s="13" t="str">
        <f>IF($A737="","",[1]!thsiFinD("ths_adjustment_nv_fund",G$3,$A737))</f>
        <v/>
      </c>
      <c r="H737" s="13" t="str">
        <f>IF($A737="","",[1]!thsiFinD("ths_adjustment_nv_fund",H$3,$A737))</f>
        <v/>
      </c>
      <c r="I737" s="13" t="str">
        <f>IF($A737="","",[1]!thsiFinD("ths_adjustment_nv_fund",I$3,$A737))</f>
        <v/>
      </c>
      <c r="J737" s="13" t="str">
        <f>IF($A737="","",[1]!thsiFinD("ths_adjustment_nv_fund",J$3,$A737))</f>
        <v/>
      </c>
      <c r="K737" s="13" t="str">
        <f>IF($A737="","",[1]!thsiFinD("ths_adjustment_nv_fund",K$3,$A737))</f>
        <v/>
      </c>
      <c r="L737" s="13" t="str">
        <f>IF($A737="","",[1]!thsiFinD("ths_adjustment_nv_fund",L$3,$A737))</f>
        <v/>
      </c>
      <c r="M737" s="13" t="str">
        <f>IF($A737="","",[1]!thsiFinD("ths_adjustment_nv_fund",M$3,$A737))</f>
        <v/>
      </c>
      <c r="N737" s="13" t="str">
        <f>IF($A737="","",[1]!thsiFinD("ths_adjustment_nv_fund",N$3,$A737))</f>
        <v/>
      </c>
      <c r="O737" s="13" t="str">
        <f>IF($A737="","",[1]!thsiFinD("ths_adjustment_nv_fund",O$3,$A737))</f>
        <v/>
      </c>
      <c r="P737" s="13" t="str">
        <f>IF($A737="","",[1]!thsiFinD("ths_adjustment_nv_fund",P$3,$A737))</f>
        <v/>
      </c>
      <c r="Q737" s="13" t="str">
        <f>IF($A737="","",[1]!thsiFinD("ths_adjustment_nv_fund",Q$3,$A737))</f>
        <v/>
      </c>
      <c r="R737" s="13" t="str">
        <f>IF($A737="","",[1]!thsiFinD("ths_adjustment_nv_fund",R$3,$A737))</f>
        <v/>
      </c>
      <c r="S737" s="13" t="str">
        <f>IF($A737="","",[1]!thsiFinD("ths_adjustment_nv_fund",S$3,$A737))</f>
        <v/>
      </c>
      <c r="T737" s="13" t="str">
        <f>IF($A737="","",[1]!thsiFinD("ths_adjustment_nv_fund",T$3,$A737))</f>
        <v/>
      </c>
      <c r="U737" s="13" t="str">
        <f>IF($A737="","",[1]!thsiFinD("ths_adjustment_nv_fund",U$3,$A737))</f>
        <v/>
      </c>
      <c r="V737" s="13" t="str">
        <f>IF($A737="","",[1]!thsiFinD("ths_adjustment_nv_fund",V$3,$A737))</f>
        <v/>
      </c>
      <c r="W737" s="13" t="str">
        <f>IF($A737="","",[1]!thsiFinD("ths_adjustment_nv_fund",W$3,$A737))</f>
        <v/>
      </c>
      <c r="X737" s="13" t="str">
        <f>IF($A737="","",[1]!thsiFinD("ths_adjustment_nv_fund",X$3,$A737))</f>
        <v/>
      </c>
      <c r="Y737" s="13" t="str">
        <f>IF($A737="","",[1]!thsiFinD("ths_adjustment_nv_fund",Y$3,$A737))</f>
        <v/>
      </c>
      <c r="Z737" s="13" t="str">
        <f>IF($A737="","",[1]!thsiFinD("ths_adjustment_nv_fund",Z$3,$A737))</f>
        <v/>
      </c>
      <c r="AA737" s="13" t="str">
        <f>IF($A737="","",[1]!thsiFinD("ths_adjustment_nv_fund",AA$3,$A737))</f>
        <v/>
      </c>
      <c r="AB737" s="13">
        <f>IF($A737="","",[1]!thsiFinD("ths_adjustment_nv_fund",AB$3,$A737))</f>
        <v/>
      </c>
      <c r="AC737" s="13">
        <f>IF($A737="","",[1]!thsiFinD("ths_adjustment_nv_fund",AC$3,$A737))</f>
        <v/>
      </c>
      <c r="AD737" s="13">
        <f>IF($A737="","",[1]!thsiFinD("ths_adjustment_nv_fund",AD$3,$A737))</f>
        <v/>
      </c>
      <c r="AE737" s="13">
        <f>IF($A737="","",[1]!thsiFinD("ths_adjustment_nv_fund",AE$3,$A737))</f>
        <v/>
      </c>
      <c r="AF737" s="13">
        <f>IF($A737="","",[1]!thsiFinD("ths_adjustment_nv_fund",AF$3,$A737))</f>
        <v/>
      </c>
      <c r="AG737" s="13">
        <f>IF($A737="","",[1]!thsiFinD("ths_adjustment_nv_fund",AG$3,$A737))</f>
        <v/>
      </c>
      <c r="AH737" s="13">
        <f>IF($A737="","",[1]!thsiFinD("ths_adjustment_nv_fund",AH$3,$A737))</f>
        <v/>
      </c>
      <c r="AI737" s="13">
        <f>IF($A737="","",[1]!thsiFinD("ths_adjustment_nv_fund",AI$3,$A737))</f>
        <v/>
      </c>
      <c r="AJ737" s="13">
        <f>IF($A737="","",[1]!thsiFinD("ths_adjustment_nv_fund",AJ$3,$A737))</f>
        <v/>
      </c>
      <c r="AK737" s="13">
        <f>IF($A737="","",[1]!thsiFinD("ths_adjustment_nv_fund",AK$3,$A737))</f>
        <v/>
      </c>
      <c r="AL737" s="13">
        <f>IF($A737="","",[1]!thsiFinD("ths_adjustment_nv_fund",AL$3,$A737))</f>
        <v/>
      </c>
    </row>
    <row r="738" spans="2:28">
      <c r="B738" s="13" t="str">
        <f>IF($A738="","",[1]!thsiFinD("ths_adjustment_nv_fund",B$3,$A738))</f>
        <v/>
      </c>
      <c r="C738" s="13" t="str">
        <f>IF($A738="","",[1]!thsiFinD("ths_adjustment_nv_fund",C$3,$A738))</f>
        <v/>
      </c>
      <c r="D738" s="13" t="str">
        <f>IF($A738="","",[1]!thsiFinD("ths_adjustment_nv_fund",D$3,$A738))</f>
        <v/>
      </c>
      <c r="E738" s="13" t="str">
        <f>IF($A738="","",[1]!thsiFinD("ths_adjustment_nv_fund",E$3,$A738))</f>
        <v/>
      </c>
      <c r="F738" s="13" t="str">
        <f>IF($A738="","",[1]!thsiFinD("ths_adjustment_nv_fund",F$3,$A738))</f>
        <v/>
      </c>
      <c r="G738" s="13" t="str">
        <f>IF($A738="","",[1]!thsiFinD("ths_adjustment_nv_fund",G$3,$A738))</f>
        <v/>
      </c>
      <c r="H738" s="13" t="str">
        <f>IF($A738="","",[1]!thsiFinD("ths_adjustment_nv_fund",H$3,$A738))</f>
        <v/>
      </c>
      <c r="I738" s="13" t="str">
        <f>IF($A738="","",[1]!thsiFinD("ths_adjustment_nv_fund",I$3,$A738))</f>
        <v/>
      </c>
      <c r="J738" s="13" t="str">
        <f>IF($A738="","",[1]!thsiFinD("ths_adjustment_nv_fund",J$3,$A738))</f>
        <v/>
      </c>
      <c r="K738" s="13" t="str">
        <f>IF($A738="","",[1]!thsiFinD("ths_adjustment_nv_fund",K$3,$A738))</f>
        <v/>
      </c>
      <c r="L738" s="13" t="str">
        <f>IF($A738="","",[1]!thsiFinD("ths_adjustment_nv_fund",L$3,$A738))</f>
        <v/>
      </c>
      <c r="M738" s="13" t="str">
        <f>IF($A738="","",[1]!thsiFinD("ths_adjustment_nv_fund",M$3,$A738))</f>
        <v/>
      </c>
      <c r="N738" s="13" t="str">
        <f>IF($A738="","",[1]!thsiFinD("ths_adjustment_nv_fund",N$3,$A738))</f>
        <v/>
      </c>
      <c r="O738" s="13" t="str">
        <f>IF($A738="","",[1]!thsiFinD("ths_adjustment_nv_fund",O$3,$A738))</f>
        <v/>
      </c>
      <c r="P738" s="13" t="str">
        <f>IF($A738="","",[1]!thsiFinD("ths_adjustment_nv_fund",P$3,$A738))</f>
        <v/>
      </c>
      <c r="Q738" s="13" t="str">
        <f>IF($A738="","",[1]!thsiFinD("ths_adjustment_nv_fund",Q$3,$A738))</f>
        <v/>
      </c>
      <c r="R738" s="13" t="str">
        <f>IF($A738="","",[1]!thsiFinD("ths_adjustment_nv_fund",R$3,$A738))</f>
        <v/>
      </c>
      <c r="S738" s="13" t="str">
        <f>IF($A738="","",[1]!thsiFinD("ths_adjustment_nv_fund",S$3,$A738))</f>
        <v/>
      </c>
      <c r="T738" s="13" t="str">
        <f>IF($A738="","",[1]!thsiFinD("ths_adjustment_nv_fund",T$3,$A738))</f>
        <v/>
      </c>
      <c r="U738" s="13" t="str">
        <f>IF($A738="","",[1]!thsiFinD("ths_adjustment_nv_fund",U$3,$A738))</f>
        <v/>
      </c>
      <c r="V738" s="13" t="str">
        <f>IF($A738="","",[1]!thsiFinD("ths_adjustment_nv_fund",V$3,$A738))</f>
        <v/>
      </c>
      <c r="W738" s="13" t="str">
        <f>IF($A738="","",[1]!thsiFinD("ths_adjustment_nv_fund",W$3,$A738))</f>
        <v/>
      </c>
      <c r="X738" s="13" t="str">
        <f>IF($A738="","",[1]!thsiFinD("ths_adjustment_nv_fund",X$3,$A738))</f>
        <v/>
      </c>
      <c r="Y738" s="13" t="str">
        <f>IF($A738="","",[1]!thsiFinD("ths_adjustment_nv_fund",Y$3,$A738))</f>
        <v/>
      </c>
      <c r="Z738" s="13" t="str">
        <f>IF($A738="","",[1]!thsiFinD("ths_adjustment_nv_fund",Z$3,$A738))</f>
        <v/>
      </c>
      <c r="AA738" s="13" t="str">
        <f>IF($A738="","",[1]!thsiFinD("ths_adjustment_nv_fund",AA$3,$A738))</f>
        <v/>
      </c>
      <c r="AB738" s="13">
        <f>IF($A738="","",[1]!thsiFinD("ths_adjustment_nv_fund",AB$3,$A738))</f>
        <v/>
      </c>
      <c r="AC738" s="13">
        <f>IF($A738="","",[1]!thsiFinD("ths_adjustment_nv_fund",AC$3,$A738))</f>
        <v/>
      </c>
      <c r="AD738" s="13">
        <f>IF($A738="","",[1]!thsiFinD("ths_adjustment_nv_fund",AD$3,$A738))</f>
        <v/>
      </c>
      <c r="AE738" s="13">
        <f>IF($A738="","",[1]!thsiFinD("ths_adjustment_nv_fund",AE$3,$A738))</f>
        <v/>
      </c>
      <c r="AF738" s="13">
        <f>IF($A738="","",[1]!thsiFinD("ths_adjustment_nv_fund",AF$3,$A738))</f>
        <v/>
      </c>
      <c r="AG738" s="13">
        <f>IF($A738="","",[1]!thsiFinD("ths_adjustment_nv_fund",AG$3,$A738))</f>
        <v/>
      </c>
      <c r="AH738" s="13">
        <f>IF($A738="","",[1]!thsiFinD("ths_adjustment_nv_fund",AH$3,$A738))</f>
        <v/>
      </c>
      <c r="AI738" s="13">
        <f>IF($A738="","",[1]!thsiFinD("ths_adjustment_nv_fund",AI$3,$A738))</f>
        <v/>
      </c>
      <c r="AJ738" s="13">
        <f>IF($A738="","",[1]!thsiFinD("ths_adjustment_nv_fund",AJ$3,$A738))</f>
        <v/>
      </c>
      <c r="AK738" s="13">
        <f>IF($A738="","",[1]!thsiFinD("ths_adjustment_nv_fund",AK$3,$A738))</f>
        <v/>
      </c>
      <c r="AL738" s="13">
        <f>IF($A738="","",[1]!thsiFinD("ths_adjustment_nv_fund",AL$3,$A738))</f>
        <v/>
      </c>
    </row>
    <row r="739" spans="2:28">
      <c r="B739" s="13" t="str">
        <f>IF($A739="","",[1]!thsiFinD("ths_adjustment_nv_fund",B$3,$A739))</f>
        <v/>
      </c>
      <c r="C739" s="13" t="str">
        <f>IF($A739="","",[1]!thsiFinD("ths_adjustment_nv_fund",C$3,$A739))</f>
        <v/>
      </c>
      <c r="D739" s="13" t="str">
        <f>IF($A739="","",[1]!thsiFinD("ths_adjustment_nv_fund",D$3,$A739))</f>
        <v/>
      </c>
      <c r="E739" s="13" t="str">
        <f>IF($A739="","",[1]!thsiFinD("ths_adjustment_nv_fund",E$3,$A739))</f>
        <v/>
      </c>
      <c r="F739" s="13" t="str">
        <f>IF($A739="","",[1]!thsiFinD("ths_adjustment_nv_fund",F$3,$A739))</f>
        <v/>
      </c>
      <c r="G739" s="13" t="str">
        <f>IF($A739="","",[1]!thsiFinD("ths_adjustment_nv_fund",G$3,$A739))</f>
        <v/>
      </c>
      <c r="H739" s="13" t="str">
        <f>IF($A739="","",[1]!thsiFinD("ths_adjustment_nv_fund",H$3,$A739))</f>
        <v/>
      </c>
      <c r="I739" s="13" t="str">
        <f>IF($A739="","",[1]!thsiFinD("ths_adjustment_nv_fund",I$3,$A739))</f>
        <v/>
      </c>
      <c r="J739" s="13" t="str">
        <f>IF($A739="","",[1]!thsiFinD("ths_adjustment_nv_fund",J$3,$A739))</f>
        <v/>
      </c>
      <c r="K739" s="13" t="str">
        <f>IF($A739="","",[1]!thsiFinD("ths_adjustment_nv_fund",K$3,$A739))</f>
        <v/>
      </c>
      <c r="L739" s="13" t="str">
        <f>IF($A739="","",[1]!thsiFinD("ths_adjustment_nv_fund",L$3,$A739))</f>
        <v/>
      </c>
      <c r="M739" s="13" t="str">
        <f>IF($A739="","",[1]!thsiFinD("ths_adjustment_nv_fund",M$3,$A739))</f>
        <v/>
      </c>
      <c r="N739" s="13" t="str">
        <f>IF($A739="","",[1]!thsiFinD("ths_adjustment_nv_fund",N$3,$A739))</f>
        <v/>
      </c>
      <c r="O739" s="13" t="str">
        <f>IF($A739="","",[1]!thsiFinD("ths_adjustment_nv_fund",O$3,$A739))</f>
        <v/>
      </c>
      <c r="P739" s="13" t="str">
        <f>IF($A739="","",[1]!thsiFinD("ths_adjustment_nv_fund",P$3,$A739))</f>
        <v/>
      </c>
      <c r="Q739" s="13" t="str">
        <f>IF($A739="","",[1]!thsiFinD("ths_adjustment_nv_fund",Q$3,$A739))</f>
        <v/>
      </c>
      <c r="R739" s="13" t="str">
        <f>IF($A739="","",[1]!thsiFinD("ths_adjustment_nv_fund",R$3,$A739))</f>
        <v/>
      </c>
      <c r="S739" s="13" t="str">
        <f>IF($A739="","",[1]!thsiFinD("ths_adjustment_nv_fund",S$3,$A739))</f>
        <v/>
      </c>
      <c r="T739" s="13" t="str">
        <f>IF($A739="","",[1]!thsiFinD("ths_adjustment_nv_fund",T$3,$A739))</f>
        <v/>
      </c>
      <c r="U739" s="13" t="str">
        <f>IF($A739="","",[1]!thsiFinD("ths_adjustment_nv_fund",U$3,$A739))</f>
        <v/>
      </c>
      <c r="V739" s="13" t="str">
        <f>IF($A739="","",[1]!thsiFinD("ths_adjustment_nv_fund",V$3,$A739))</f>
        <v/>
      </c>
      <c r="W739" s="13" t="str">
        <f>IF($A739="","",[1]!thsiFinD("ths_adjustment_nv_fund",W$3,$A739))</f>
        <v/>
      </c>
      <c r="X739" s="13" t="str">
        <f>IF($A739="","",[1]!thsiFinD("ths_adjustment_nv_fund",X$3,$A739))</f>
        <v/>
      </c>
      <c r="Y739" s="13" t="str">
        <f>IF($A739="","",[1]!thsiFinD("ths_adjustment_nv_fund",Y$3,$A739))</f>
        <v/>
      </c>
      <c r="Z739" s="13" t="str">
        <f>IF($A739="","",[1]!thsiFinD("ths_adjustment_nv_fund",Z$3,$A739))</f>
        <v/>
      </c>
      <c r="AA739" s="13" t="str">
        <f>IF($A739="","",[1]!thsiFinD("ths_adjustment_nv_fund",AA$3,$A739))</f>
        <v/>
      </c>
      <c r="AB739" s="13">
        <f>IF($A739="","",[1]!thsiFinD("ths_adjustment_nv_fund",AB$3,$A739))</f>
        <v/>
      </c>
      <c r="AC739" s="13">
        <f>IF($A739="","",[1]!thsiFinD("ths_adjustment_nv_fund",AC$3,$A739))</f>
        <v/>
      </c>
      <c r="AD739" s="13">
        <f>IF($A739="","",[1]!thsiFinD("ths_adjustment_nv_fund",AD$3,$A739))</f>
        <v/>
      </c>
      <c r="AE739" s="13">
        <f>IF($A739="","",[1]!thsiFinD("ths_adjustment_nv_fund",AE$3,$A739))</f>
        <v/>
      </c>
      <c r="AF739" s="13">
        <f>IF($A739="","",[1]!thsiFinD("ths_adjustment_nv_fund",AF$3,$A739))</f>
        <v/>
      </c>
      <c r="AG739" s="13">
        <f>IF($A739="","",[1]!thsiFinD("ths_adjustment_nv_fund",AG$3,$A739))</f>
        <v/>
      </c>
      <c r="AH739" s="13">
        <f>IF($A739="","",[1]!thsiFinD("ths_adjustment_nv_fund",AH$3,$A739))</f>
        <v/>
      </c>
      <c r="AI739" s="13">
        <f>IF($A739="","",[1]!thsiFinD("ths_adjustment_nv_fund",AI$3,$A739))</f>
        <v/>
      </c>
      <c r="AJ739" s="13">
        <f>IF($A739="","",[1]!thsiFinD("ths_adjustment_nv_fund",AJ$3,$A739))</f>
        <v/>
      </c>
      <c r="AK739" s="13">
        <f>IF($A739="","",[1]!thsiFinD("ths_adjustment_nv_fund",AK$3,$A739))</f>
        <v/>
      </c>
      <c r="AL739" s="13">
        <f>IF($A739="","",[1]!thsiFinD("ths_adjustment_nv_fund",AL$3,$A739))</f>
        <v/>
      </c>
    </row>
    <row r="740" spans="2:28">
      <c r="B740" s="13" t="str">
        <f>IF($A740="","",[1]!thsiFinD("ths_adjustment_nv_fund",B$3,$A740))</f>
        <v/>
      </c>
      <c r="C740" s="13" t="str">
        <f>IF($A740="","",[1]!thsiFinD("ths_adjustment_nv_fund",C$3,$A740))</f>
        <v/>
      </c>
      <c r="D740" s="13" t="str">
        <f>IF($A740="","",[1]!thsiFinD("ths_adjustment_nv_fund",D$3,$A740))</f>
        <v/>
      </c>
      <c r="E740" s="13" t="str">
        <f>IF($A740="","",[1]!thsiFinD("ths_adjustment_nv_fund",E$3,$A740))</f>
        <v/>
      </c>
      <c r="F740" s="13" t="str">
        <f>IF($A740="","",[1]!thsiFinD("ths_adjustment_nv_fund",F$3,$A740))</f>
        <v/>
      </c>
      <c r="G740" s="13" t="str">
        <f>IF($A740="","",[1]!thsiFinD("ths_adjustment_nv_fund",G$3,$A740))</f>
        <v/>
      </c>
      <c r="H740" s="13" t="str">
        <f>IF($A740="","",[1]!thsiFinD("ths_adjustment_nv_fund",H$3,$A740))</f>
        <v/>
      </c>
      <c r="I740" s="13" t="str">
        <f>IF($A740="","",[1]!thsiFinD("ths_adjustment_nv_fund",I$3,$A740))</f>
        <v/>
      </c>
      <c r="J740" s="13" t="str">
        <f>IF($A740="","",[1]!thsiFinD("ths_adjustment_nv_fund",J$3,$A740))</f>
        <v/>
      </c>
      <c r="K740" s="13" t="str">
        <f>IF($A740="","",[1]!thsiFinD("ths_adjustment_nv_fund",K$3,$A740))</f>
        <v/>
      </c>
      <c r="L740" s="13" t="str">
        <f>IF($A740="","",[1]!thsiFinD("ths_adjustment_nv_fund",L$3,$A740))</f>
        <v/>
      </c>
      <c r="M740" s="13" t="str">
        <f>IF($A740="","",[1]!thsiFinD("ths_adjustment_nv_fund",M$3,$A740))</f>
        <v/>
      </c>
      <c r="N740" s="13" t="str">
        <f>IF($A740="","",[1]!thsiFinD("ths_adjustment_nv_fund",N$3,$A740))</f>
        <v/>
      </c>
      <c r="O740" s="13" t="str">
        <f>IF($A740="","",[1]!thsiFinD("ths_adjustment_nv_fund",O$3,$A740))</f>
        <v/>
      </c>
      <c r="P740" s="13" t="str">
        <f>IF($A740="","",[1]!thsiFinD("ths_adjustment_nv_fund",P$3,$A740))</f>
        <v/>
      </c>
      <c r="Q740" s="13" t="str">
        <f>IF($A740="","",[1]!thsiFinD("ths_adjustment_nv_fund",Q$3,$A740))</f>
        <v/>
      </c>
      <c r="R740" s="13" t="str">
        <f>IF($A740="","",[1]!thsiFinD("ths_adjustment_nv_fund",R$3,$A740))</f>
        <v/>
      </c>
      <c r="S740" s="13" t="str">
        <f>IF($A740="","",[1]!thsiFinD("ths_adjustment_nv_fund",S$3,$A740))</f>
        <v/>
      </c>
      <c r="T740" s="13" t="str">
        <f>IF($A740="","",[1]!thsiFinD("ths_adjustment_nv_fund",T$3,$A740))</f>
        <v/>
      </c>
      <c r="U740" s="13" t="str">
        <f>IF($A740="","",[1]!thsiFinD("ths_adjustment_nv_fund",U$3,$A740))</f>
        <v/>
      </c>
      <c r="V740" s="13" t="str">
        <f>IF($A740="","",[1]!thsiFinD("ths_adjustment_nv_fund",V$3,$A740))</f>
        <v/>
      </c>
      <c r="W740" s="13" t="str">
        <f>IF($A740="","",[1]!thsiFinD("ths_adjustment_nv_fund",W$3,$A740))</f>
        <v/>
      </c>
      <c r="X740" s="13" t="str">
        <f>IF($A740="","",[1]!thsiFinD("ths_adjustment_nv_fund",X$3,$A740))</f>
        <v/>
      </c>
      <c r="Y740" s="13" t="str">
        <f>IF($A740="","",[1]!thsiFinD("ths_adjustment_nv_fund",Y$3,$A740))</f>
        <v/>
      </c>
      <c r="Z740" s="13" t="str">
        <f>IF($A740="","",[1]!thsiFinD("ths_adjustment_nv_fund",Z$3,$A740))</f>
        <v/>
      </c>
      <c r="AA740" s="13" t="str">
        <f>IF($A740="","",[1]!thsiFinD("ths_adjustment_nv_fund",AA$3,$A740))</f>
        <v/>
      </c>
      <c r="AB740" s="13">
        <f>IF($A740="","",[1]!thsiFinD("ths_adjustment_nv_fund",AB$3,$A740))</f>
        <v/>
      </c>
      <c r="AC740" s="13">
        <f>IF($A740="","",[1]!thsiFinD("ths_adjustment_nv_fund",AC$3,$A740))</f>
        <v/>
      </c>
      <c r="AD740" s="13">
        <f>IF($A740="","",[1]!thsiFinD("ths_adjustment_nv_fund",AD$3,$A740))</f>
        <v/>
      </c>
      <c r="AE740" s="13">
        <f>IF($A740="","",[1]!thsiFinD("ths_adjustment_nv_fund",AE$3,$A740))</f>
        <v/>
      </c>
      <c r="AF740" s="13">
        <f>IF($A740="","",[1]!thsiFinD("ths_adjustment_nv_fund",AF$3,$A740))</f>
        <v/>
      </c>
      <c r="AG740" s="13">
        <f>IF($A740="","",[1]!thsiFinD("ths_adjustment_nv_fund",AG$3,$A740))</f>
        <v/>
      </c>
      <c r="AH740" s="13">
        <f>IF($A740="","",[1]!thsiFinD("ths_adjustment_nv_fund",AH$3,$A740))</f>
        <v/>
      </c>
      <c r="AI740" s="13">
        <f>IF($A740="","",[1]!thsiFinD("ths_adjustment_nv_fund",AI$3,$A740))</f>
        <v/>
      </c>
      <c r="AJ740" s="13">
        <f>IF($A740="","",[1]!thsiFinD("ths_adjustment_nv_fund",AJ$3,$A740))</f>
        <v/>
      </c>
      <c r="AK740" s="13">
        <f>IF($A740="","",[1]!thsiFinD("ths_adjustment_nv_fund",AK$3,$A740))</f>
        <v/>
      </c>
      <c r="AL740" s="13">
        <f>IF($A740="","",[1]!thsiFinD("ths_adjustment_nv_fund",AL$3,$A740))</f>
        <v/>
      </c>
    </row>
    <row r="741" spans="2:28">
      <c r="B741" s="13" t="str">
        <f>IF($A741="","",[1]!thsiFinD("ths_adjustment_nv_fund",B$3,$A741))</f>
        <v/>
      </c>
      <c r="C741" s="13" t="str">
        <f>IF($A741="","",[1]!thsiFinD("ths_adjustment_nv_fund",C$3,$A741))</f>
        <v/>
      </c>
      <c r="D741" s="13" t="str">
        <f>IF($A741="","",[1]!thsiFinD("ths_adjustment_nv_fund",D$3,$A741))</f>
        <v/>
      </c>
      <c r="E741" s="13" t="str">
        <f>IF($A741="","",[1]!thsiFinD("ths_adjustment_nv_fund",E$3,$A741))</f>
        <v/>
      </c>
      <c r="F741" s="13" t="str">
        <f>IF($A741="","",[1]!thsiFinD("ths_adjustment_nv_fund",F$3,$A741))</f>
        <v/>
      </c>
      <c r="G741" s="13" t="str">
        <f>IF($A741="","",[1]!thsiFinD("ths_adjustment_nv_fund",G$3,$A741))</f>
        <v/>
      </c>
      <c r="H741" s="13" t="str">
        <f>IF($A741="","",[1]!thsiFinD("ths_adjustment_nv_fund",H$3,$A741))</f>
        <v/>
      </c>
      <c r="I741" s="13" t="str">
        <f>IF($A741="","",[1]!thsiFinD("ths_adjustment_nv_fund",I$3,$A741))</f>
        <v/>
      </c>
      <c r="J741" s="13" t="str">
        <f>IF($A741="","",[1]!thsiFinD("ths_adjustment_nv_fund",J$3,$A741))</f>
        <v/>
      </c>
      <c r="K741" s="13" t="str">
        <f>IF($A741="","",[1]!thsiFinD("ths_adjustment_nv_fund",K$3,$A741))</f>
        <v/>
      </c>
      <c r="L741" s="13" t="str">
        <f>IF($A741="","",[1]!thsiFinD("ths_adjustment_nv_fund",L$3,$A741))</f>
        <v/>
      </c>
      <c r="M741" s="13" t="str">
        <f>IF($A741="","",[1]!thsiFinD("ths_adjustment_nv_fund",M$3,$A741))</f>
        <v/>
      </c>
      <c r="N741" s="13" t="str">
        <f>IF($A741="","",[1]!thsiFinD("ths_adjustment_nv_fund",N$3,$A741))</f>
        <v/>
      </c>
      <c r="O741" s="13" t="str">
        <f>IF($A741="","",[1]!thsiFinD("ths_adjustment_nv_fund",O$3,$A741))</f>
        <v/>
      </c>
      <c r="P741" s="13" t="str">
        <f>IF($A741="","",[1]!thsiFinD("ths_adjustment_nv_fund",P$3,$A741))</f>
        <v/>
      </c>
      <c r="Q741" s="13" t="str">
        <f>IF($A741="","",[1]!thsiFinD("ths_adjustment_nv_fund",Q$3,$A741))</f>
        <v/>
      </c>
      <c r="R741" s="13" t="str">
        <f>IF($A741="","",[1]!thsiFinD("ths_adjustment_nv_fund",R$3,$A741))</f>
        <v/>
      </c>
      <c r="S741" s="13" t="str">
        <f>IF($A741="","",[1]!thsiFinD("ths_adjustment_nv_fund",S$3,$A741))</f>
        <v/>
      </c>
      <c r="T741" s="13" t="str">
        <f>IF($A741="","",[1]!thsiFinD("ths_adjustment_nv_fund",T$3,$A741))</f>
        <v/>
      </c>
      <c r="U741" s="13" t="str">
        <f>IF($A741="","",[1]!thsiFinD("ths_adjustment_nv_fund",U$3,$A741))</f>
        <v/>
      </c>
      <c r="V741" s="13" t="str">
        <f>IF($A741="","",[1]!thsiFinD("ths_adjustment_nv_fund",V$3,$A741))</f>
        <v/>
      </c>
      <c r="W741" s="13" t="str">
        <f>IF($A741="","",[1]!thsiFinD("ths_adjustment_nv_fund",W$3,$A741))</f>
        <v/>
      </c>
      <c r="X741" s="13" t="str">
        <f>IF($A741="","",[1]!thsiFinD("ths_adjustment_nv_fund",X$3,$A741))</f>
        <v/>
      </c>
      <c r="Y741" s="13" t="str">
        <f>IF($A741="","",[1]!thsiFinD("ths_adjustment_nv_fund",Y$3,$A741))</f>
        <v/>
      </c>
      <c r="Z741" s="13" t="str">
        <f>IF($A741="","",[1]!thsiFinD("ths_adjustment_nv_fund",Z$3,$A741))</f>
        <v/>
      </c>
      <c r="AA741" s="13" t="str">
        <f>IF($A741="","",[1]!thsiFinD("ths_adjustment_nv_fund",AA$3,$A741))</f>
        <v/>
      </c>
      <c r="AB741" s="13">
        <f>IF($A741="","",[1]!thsiFinD("ths_adjustment_nv_fund",AB$3,$A741))</f>
        <v/>
      </c>
      <c r="AC741" s="13">
        <f>IF($A741="","",[1]!thsiFinD("ths_adjustment_nv_fund",AC$3,$A741))</f>
        <v/>
      </c>
      <c r="AD741" s="13">
        <f>IF($A741="","",[1]!thsiFinD("ths_adjustment_nv_fund",AD$3,$A741))</f>
        <v/>
      </c>
      <c r="AE741" s="13">
        <f>IF($A741="","",[1]!thsiFinD("ths_adjustment_nv_fund",AE$3,$A741))</f>
        <v/>
      </c>
      <c r="AF741" s="13">
        <f>IF($A741="","",[1]!thsiFinD("ths_adjustment_nv_fund",AF$3,$A741))</f>
        <v/>
      </c>
      <c r="AG741" s="13">
        <f>IF($A741="","",[1]!thsiFinD("ths_adjustment_nv_fund",AG$3,$A741))</f>
        <v/>
      </c>
      <c r="AH741" s="13">
        <f>IF($A741="","",[1]!thsiFinD("ths_adjustment_nv_fund",AH$3,$A741))</f>
        <v/>
      </c>
      <c r="AI741" s="13">
        <f>IF($A741="","",[1]!thsiFinD("ths_adjustment_nv_fund",AI$3,$A741))</f>
        <v/>
      </c>
      <c r="AJ741" s="13">
        <f>IF($A741="","",[1]!thsiFinD("ths_adjustment_nv_fund",AJ$3,$A741))</f>
        <v/>
      </c>
      <c r="AK741" s="13">
        <f>IF($A741="","",[1]!thsiFinD("ths_adjustment_nv_fund",AK$3,$A741))</f>
        <v/>
      </c>
      <c r="AL741" s="13">
        <f>IF($A741="","",[1]!thsiFinD("ths_adjustment_nv_fund",AL$3,$A741))</f>
        <v/>
      </c>
    </row>
    <row r="742" spans="2:28">
      <c r="B742" s="13" t="str">
        <f>IF($A742="","",[1]!thsiFinD("ths_adjustment_nv_fund",B$3,$A742))</f>
        <v/>
      </c>
      <c r="C742" s="13" t="str">
        <f>IF($A742="","",[1]!thsiFinD("ths_adjustment_nv_fund",C$3,$A742))</f>
        <v/>
      </c>
      <c r="D742" s="13" t="str">
        <f>IF($A742="","",[1]!thsiFinD("ths_adjustment_nv_fund",D$3,$A742))</f>
        <v/>
      </c>
      <c r="E742" s="13" t="str">
        <f>IF($A742="","",[1]!thsiFinD("ths_adjustment_nv_fund",E$3,$A742))</f>
        <v/>
      </c>
      <c r="F742" s="13" t="str">
        <f>IF($A742="","",[1]!thsiFinD("ths_adjustment_nv_fund",F$3,$A742))</f>
        <v/>
      </c>
      <c r="G742" s="13" t="str">
        <f>IF($A742="","",[1]!thsiFinD("ths_adjustment_nv_fund",G$3,$A742))</f>
        <v/>
      </c>
      <c r="H742" s="13" t="str">
        <f>IF($A742="","",[1]!thsiFinD("ths_adjustment_nv_fund",H$3,$A742))</f>
        <v/>
      </c>
      <c r="I742" s="13" t="str">
        <f>IF($A742="","",[1]!thsiFinD("ths_adjustment_nv_fund",I$3,$A742))</f>
        <v/>
      </c>
      <c r="J742" s="13" t="str">
        <f>IF($A742="","",[1]!thsiFinD("ths_adjustment_nv_fund",J$3,$A742))</f>
        <v/>
      </c>
      <c r="K742" s="13" t="str">
        <f>IF($A742="","",[1]!thsiFinD("ths_adjustment_nv_fund",K$3,$A742))</f>
        <v/>
      </c>
      <c r="L742" s="13" t="str">
        <f>IF($A742="","",[1]!thsiFinD("ths_adjustment_nv_fund",L$3,$A742))</f>
        <v/>
      </c>
      <c r="M742" s="13" t="str">
        <f>IF($A742="","",[1]!thsiFinD("ths_adjustment_nv_fund",M$3,$A742))</f>
        <v/>
      </c>
      <c r="N742" s="13" t="str">
        <f>IF($A742="","",[1]!thsiFinD("ths_adjustment_nv_fund",N$3,$A742))</f>
        <v/>
      </c>
      <c r="O742" s="13" t="str">
        <f>IF($A742="","",[1]!thsiFinD("ths_adjustment_nv_fund",O$3,$A742))</f>
        <v/>
      </c>
      <c r="P742" s="13" t="str">
        <f>IF($A742="","",[1]!thsiFinD("ths_adjustment_nv_fund",P$3,$A742))</f>
        <v/>
      </c>
      <c r="Q742" s="13" t="str">
        <f>IF($A742="","",[1]!thsiFinD("ths_adjustment_nv_fund",Q$3,$A742))</f>
        <v/>
      </c>
      <c r="R742" s="13" t="str">
        <f>IF($A742="","",[1]!thsiFinD("ths_adjustment_nv_fund",R$3,$A742))</f>
        <v/>
      </c>
      <c r="S742" s="13" t="str">
        <f>IF($A742="","",[1]!thsiFinD("ths_adjustment_nv_fund",S$3,$A742))</f>
        <v/>
      </c>
      <c r="T742" s="13" t="str">
        <f>IF($A742="","",[1]!thsiFinD("ths_adjustment_nv_fund",T$3,$A742))</f>
        <v/>
      </c>
      <c r="U742" s="13" t="str">
        <f>IF($A742="","",[1]!thsiFinD("ths_adjustment_nv_fund",U$3,$A742))</f>
        <v/>
      </c>
      <c r="V742" s="13" t="str">
        <f>IF($A742="","",[1]!thsiFinD("ths_adjustment_nv_fund",V$3,$A742))</f>
        <v/>
      </c>
      <c r="W742" s="13" t="str">
        <f>IF($A742="","",[1]!thsiFinD("ths_adjustment_nv_fund",W$3,$A742))</f>
        <v/>
      </c>
      <c r="X742" s="13" t="str">
        <f>IF($A742="","",[1]!thsiFinD("ths_adjustment_nv_fund",X$3,$A742))</f>
        <v/>
      </c>
      <c r="Y742" s="13" t="str">
        <f>IF($A742="","",[1]!thsiFinD("ths_adjustment_nv_fund",Y$3,$A742))</f>
        <v/>
      </c>
      <c r="Z742" s="13" t="str">
        <f>IF($A742="","",[1]!thsiFinD("ths_adjustment_nv_fund",Z$3,$A742))</f>
        <v/>
      </c>
      <c r="AA742" s="13" t="str">
        <f>IF($A742="","",[1]!thsiFinD("ths_adjustment_nv_fund",AA$3,$A742))</f>
        <v/>
      </c>
      <c r="AB742" s="13">
        <f>IF($A742="","",[1]!thsiFinD("ths_adjustment_nv_fund",AB$3,$A742))</f>
        <v/>
      </c>
      <c r="AC742" s="13">
        <f>IF($A742="","",[1]!thsiFinD("ths_adjustment_nv_fund",AC$3,$A742))</f>
        <v/>
      </c>
      <c r="AD742" s="13">
        <f>IF($A742="","",[1]!thsiFinD("ths_adjustment_nv_fund",AD$3,$A742))</f>
        <v/>
      </c>
      <c r="AE742" s="13">
        <f>IF($A742="","",[1]!thsiFinD("ths_adjustment_nv_fund",AE$3,$A742))</f>
        <v/>
      </c>
      <c r="AF742" s="13">
        <f>IF($A742="","",[1]!thsiFinD("ths_adjustment_nv_fund",AF$3,$A742))</f>
        <v/>
      </c>
      <c r="AG742" s="13">
        <f>IF($A742="","",[1]!thsiFinD("ths_adjustment_nv_fund",AG$3,$A742))</f>
        <v/>
      </c>
      <c r="AH742" s="13">
        <f>IF($A742="","",[1]!thsiFinD("ths_adjustment_nv_fund",AH$3,$A742))</f>
        <v/>
      </c>
      <c r="AI742" s="13">
        <f>IF($A742="","",[1]!thsiFinD("ths_adjustment_nv_fund",AI$3,$A742))</f>
        <v/>
      </c>
      <c r="AJ742" s="13">
        <f>IF($A742="","",[1]!thsiFinD("ths_adjustment_nv_fund",AJ$3,$A742))</f>
        <v/>
      </c>
      <c r="AK742" s="13">
        <f>IF($A742="","",[1]!thsiFinD("ths_adjustment_nv_fund",AK$3,$A742))</f>
        <v/>
      </c>
      <c r="AL742" s="13">
        <f>IF($A742="","",[1]!thsiFinD("ths_adjustment_nv_fund",AL$3,$A742))</f>
        <v/>
      </c>
    </row>
    <row r="743" spans="2:28">
      <c r="B743" s="13" t="str">
        <f>IF($A743="","",[1]!thsiFinD("ths_adjustment_nv_fund",B$3,$A743))</f>
        <v/>
      </c>
      <c r="C743" s="13" t="str">
        <f>IF($A743="","",[1]!thsiFinD("ths_adjustment_nv_fund",C$3,$A743))</f>
        <v/>
      </c>
      <c r="D743" s="13" t="str">
        <f>IF($A743="","",[1]!thsiFinD("ths_adjustment_nv_fund",D$3,$A743))</f>
        <v/>
      </c>
      <c r="E743" s="13" t="str">
        <f>IF($A743="","",[1]!thsiFinD("ths_adjustment_nv_fund",E$3,$A743))</f>
        <v/>
      </c>
      <c r="F743" s="13" t="str">
        <f>IF($A743="","",[1]!thsiFinD("ths_adjustment_nv_fund",F$3,$A743))</f>
        <v/>
      </c>
      <c r="G743" s="13" t="str">
        <f>IF($A743="","",[1]!thsiFinD("ths_adjustment_nv_fund",G$3,$A743))</f>
        <v/>
      </c>
      <c r="H743" s="13" t="str">
        <f>IF($A743="","",[1]!thsiFinD("ths_adjustment_nv_fund",H$3,$A743))</f>
        <v/>
      </c>
      <c r="I743" s="13" t="str">
        <f>IF($A743="","",[1]!thsiFinD("ths_adjustment_nv_fund",I$3,$A743))</f>
        <v/>
      </c>
      <c r="J743" s="13" t="str">
        <f>IF($A743="","",[1]!thsiFinD("ths_adjustment_nv_fund",J$3,$A743))</f>
        <v/>
      </c>
      <c r="K743" s="13" t="str">
        <f>IF($A743="","",[1]!thsiFinD("ths_adjustment_nv_fund",K$3,$A743))</f>
        <v/>
      </c>
      <c r="L743" s="13" t="str">
        <f>IF($A743="","",[1]!thsiFinD("ths_adjustment_nv_fund",L$3,$A743))</f>
        <v/>
      </c>
      <c r="M743" s="13" t="str">
        <f>IF($A743="","",[1]!thsiFinD("ths_adjustment_nv_fund",M$3,$A743))</f>
        <v/>
      </c>
      <c r="N743" s="13" t="str">
        <f>IF($A743="","",[1]!thsiFinD("ths_adjustment_nv_fund",N$3,$A743))</f>
        <v/>
      </c>
      <c r="O743" s="13" t="str">
        <f>IF($A743="","",[1]!thsiFinD("ths_adjustment_nv_fund",O$3,$A743))</f>
        <v/>
      </c>
      <c r="P743" s="13" t="str">
        <f>IF($A743="","",[1]!thsiFinD("ths_adjustment_nv_fund",P$3,$A743))</f>
        <v/>
      </c>
      <c r="Q743" s="13" t="str">
        <f>IF($A743="","",[1]!thsiFinD("ths_adjustment_nv_fund",Q$3,$A743))</f>
        <v/>
      </c>
      <c r="R743" s="13" t="str">
        <f>IF($A743="","",[1]!thsiFinD("ths_adjustment_nv_fund",R$3,$A743))</f>
        <v/>
      </c>
      <c r="S743" s="13" t="str">
        <f>IF($A743="","",[1]!thsiFinD("ths_adjustment_nv_fund",S$3,$A743))</f>
        <v/>
      </c>
      <c r="T743" s="13" t="str">
        <f>IF($A743="","",[1]!thsiFinD("ths_adjustment_nv_fund",T$3,$A743))</f>
        <v/>
      </c>
      <c r="U743" s="13" t="str">
        <f>IF($A743="","",[1]!thsiFinD("ths_adjustment_nv_fund",U$3,$A743))</f>
        <v/>
      </c>
      <c r="V743" s="13" t="str">
        <f>IF($A743="","",[1]!thsiFinD("ths_adjustment_nv_fund",V$3,$A743))</f>
        <v/>
      </c>
      <c r="W743" s="13" t="str">
        <f>IF($A743="","",[1]!thsiFinD("ths_adjustment_nv_fund",W$3,$A743))</f>
        <v/>
      </c>
      <c r="X743" s="13" t="str">
        <f>IF($A743="","",[1]!thsiFinD("ths_adjustment_nv_fund",X$3,$A743))</f>
        <v/>
      </c>
      <c r="Y743" s="13" t="str">
        <f>IF($A743="","",[1]!thsiFinD("ths_adjustment_nv_fund",Y$3,$A743))</f>
        <v/>
      </c>
      <c r="Z743" s="13" t="str">
        <f>IF($A743="","",[1]!thsiFinD("ths_adjustment_nv_fund",Z$3,$A743))</f>
        <v/>
      </c>
      <c r="AA743" s="13" t="str">
        <f>IF($A743="","",[1]!thsiFinD("ths_adjustment_nv_fund",AA$3,$A743))</f>
        <v/>
      </c>
      <c r="AB743" s="13">
        <f>IF($A743="","",[1]!thsiFinD("ths_adjustment_nv_fund",AB$3,$A743))</f>
        <v/>
      </c>
      <c r="AC743" s="13">
        <f>IF($A743="","",[1]!thsiFinD("ths_adjustment_nv_fund",AC$3,$A743))</f>
        <v/>
      </c>
      <c r="AD743" s="13">
        <f>IF($A743="","",[1]!thsiFinD("ths_adjustment_nv_fund",AD$3,$A743))</f>
        <v/>
      </c>
      <c r="AE743" s="13">
        <f>IF($A743="","",[1]!thsiFinD("ths_adjustment_nv_fund",AE$3,$A743))</f>
        <v/>
      </c>
      <c r="AF743" s="13">
        <f>IF($A743="","",[1]!thsiFinD("ths_adjustment_nv_fund",AF$3,$A743))</f>
        <v/>
      </c>
      <c r="AG743" s="13">
        <f>IF($A743="","",[1]!thsiFinD("ths_adjustment_nv_fund",AG$3,$A743))</f>
        <v/>
      </c>
      <c r="AH743" s="13">
        <f>IF($A743="","",[1]!thsiFinD("ths_adjustment_nv_fund",AH$3,$A743))</f>
        <v/>
      </c>
      <c r="AI743" s="13">
        <f>IF($A743="","",[1]!thsiFinD("ths_adjustment_nv_fund",AI$3,$A743))</f>
        <v/>
      </c>
      <c r="AJ743" s="13">
        <f>IF($A743="","",[1]!thsiFinD("ths_adjustment_nv_fund",AJ$3,$A743))</f>
        <v/>
      </c>
      <c r="AK743" s="13">
        <f>IF($A743="","",[1]!thsiFinD("ths_adjustment_nv_fund",AK$3,$A743))</f>
        <v/>
      </c>
      <c r="AL743" s="13">
        <f>IF($A743="","",[1]!thsiFinD("ths_adjustment_nv_fund",AL$3,$A743))</f>
        <v/>
      </c>
    </row>
    <row r="744" spans="2:28">
      <c r="B744" s="13" t="str">
        <f>IF($A744="","",[1]!thsiFinD("ths_adjustment_nv_fund",B$3,$A744))</f>
        <v/>
      </c>
      <c r="C744" s="13" t="str">
        <f>IF($A744="","",[1]!thsiFinD("ths_adjustment_nv_fund",C$3,$A744))</f>
        <v/>
      </c>
      <c r="D744" s="13" t="str">
        <f>IF($A744="","",[1]!thsiFinD("ths_adjustment_nv_fund",D$3,$A744))</f>
        <v/>
      </c>
      <c r="E744" s="13" t="str">
        <f>IF($A744="","",[1]!thsiFinD("ths_adjustment_nv_fund",E$3,$A744))</f>
        <v/>
      </c>
      <c r="F744" s="13" t="str">
        <f>IF($A744="","",[1]!thsiFinD("ths_adjustment_nv_fund",F$3,$A744))</f>
        <v/>
      </c>
      <c r="G744" s="13" t="str">
        <f>IF($A744="","",[1]!thsiFinD("ths_adjustment_nv_fund",G$3,$A744))</f>
        <v/>
      </c>
      <c r="H744" s="13" t="str">
        <f>IF($A744="","",[1]!thsiFinD("ths_adjustment_nv_fund",H$3,$A744))</f>
        <v/>
      </c>
      <c r="I744" s="13" t="str">
        <f>IF($A744="","",[1]!thsiFinD("ths_adjustment_nv_fund",I$3,$A744))</f>
        <v/>
      </c>
      <c r="J744" s="13" t="str">
        <f>IF($A744="","",[1]!thsiFinD("ths_adjustment_nv_fund",J$3,$A744))</f>
        <v/>
      </c>
      <c r="K744" s="13" t="str">
        <f>IF($A744="","",[1]!thsiFinD("ths_adjustment_nv_fund",K$3,$A744))</f>
        <v/>
      </c>
      <c r="L744" s="13" t="str">
        <f>IF($A744="","",[1]!thsiFinD("ths_adjustment_nv_fund",L$3,$A744))</f>
        <v/>
      </c>
      <c r="M744" s="13" t="str">
        <f>IF($A744="","",[1]!thsiFinD("ths_adjustment_nv_fund",M$3,$A744))</f>
        <v/>
      </c>
      <c r="N744" s="13" t="str">
        <f>IF($A744="","",[1]!thsiFinD("ths_adjustment_nv_fund",N$3,$A744))</f>
        <v/>
      </c>
      <c r="O744" s="13" t="str">
        <f>IF($A744="","",[1]!thsiFinD("ths_adjustment_nv_fund",O$3,$A744))</f>
        <v/>
      </c>
      <c r="P744" s="13" t="str">
        <f>IF($A744="","",[1]!thsiFinD("ths_adjustment_nv_fund",P$3,$A744))</f>
        <v/>
      </c>
      <c r="Q744" s="13" t="str">
        <f>IF($A744="","",[1]!thsiFinD("ths_adjustment_nv_fund",Q$3,$A744))</f>
        <v/>
      </c>
      <c r="R744" s="13" t="str">
        <f>IF($A744="","",[1]!thsiFinD("ths_adjustment_nv_fund",R$3,$A744))</f>
        <v/>
      </c>
      <c r="S744" s="13" t="str">
        <f>IF($A744="","",[1]!thsiFinD("ths_adjustment_nv_fund",S$3,$A744))</f>
        <v/>
      </c>
      <c r="T744" s="13" t="str">
        <f>IF($A744="","",[1]!thsiFinD("ths_adjustment_nv_fund",T$3,$A744))</f>
        <v/>
      </c>
      <c r="U744" s="13" t="str">
        <f>IF($A744="","",[1]!thsiFinD("ths_adjustment_nv_fund",U$3,$A744))</f>
        <v/>
      </c>
      <c r="V744" s="13" t="str">
        <f>IF($A744="","",[1]!thsiFinD("ths_adjustment_nv_fund",V$3,$A744))</f>
        <v/>
      </c>
      <c r="W744" s="13" t="str">
        <f>IF($A744="","",[1]!thsiFinD("ths_adjustment_nv_fund",W$3,$A744))</f>
        <v/>
      </c>
      <c r="X744" s="13" t="str">
        <f>IF($A744="","",[1]!thsiFinD("ths_adjustment_nv_fund",X$3,$A744))</f>
        <v/>
      </c>
      <c r="Y744" s="13" t="str">
        <f>IF($A744="","",[1]!thsiFinD("ths_adjustment_nv_fund",Y$3,$A744))</f>
        <v/>
      </c>
      <c r="Z744" s="13" t="str">
        <f>IF($A744="","",[1]!thsiFinD("ths_adjustment_nv_fund",Z$3,$A744))</f>
        <v/>
      </c>
      <c r="AA744" s="13" t="str">
        <f>IF($A744="","",[1]!thsiFinD("ths_adjustment_nv_fund",AA$3,$A744))</f>
        <v/>
      </c>
      <c r="AB744" s="13">
        <f>IF($A744="","",[1]!thsiFinD("ths_adjustment_nv_fund",AB$3,$A744))</f>
        <v/>
      </c>
      <c r="AC744" s="13">
        <f>IF($A744="","",[1]!thsiFinD("ths_adjustment_nv_fund",AC$3,$A744))</f>
        <v/>
      </c>
      <c r="AD744" s="13">
        <f>IF($A744="","",[1]!thsiFinD("ths_adjustment_nv_fund",AD$3,$A744))</f>
        <v/>
      </c>
      <c r="AE744" s="13">
        <f>IF($A744="","",[1]!thsiFinD("ths_adjustment_nv_fund",AE$3,$A744))</f>
        <v/>
      </c>
      <c r="AF744" s="13">
        <f>IF($A744="","",[1]!thsiFinD("ths_adjustment_nv_fund",AF$3,$A744))</f>
        <v/>
      </c>
      <c r="AG744" s="13">
        <f>IF($A744="","",[1]!thsiFinD("ths_adjustment_nv_fund",AG$3,$A744))</f>
        <v/>
      </c>
      <c r="AH744" s="13">
        <f>IF($A744="","",[1]!thsiFinD("ths_adjustment_nv_fund",AH$3,$A744))</f>
        <v/>
      </c>
      <c r="AI744" s="13">
        <f>IF($A744="","",[1]!thsiFinD("ths_adjustment_nv_fund",AI$3,$A744))</f>
        <v/>
      </c>
      <c r="AJ744" s="13">
        <f>IF($A744="","",[1]!thsiFinD("ths_adjustment_nv_fund",AJ$3,$A744))</f>
        <v/>
      </c>
      <c r="AK744" s="13">
        <f>IF($A744="","",[1]!thsiFinD("ths_adjustment_nv_fund",AK$3,$A744))</f>
        <v/>
      </c>
      <c r="AL744" s="13">
        <f>IF($A744="","",[1]!thsiFinD("ths_adjustment_nv_fund",AL$3,$A744))</f>
        <v/>
      </c>
    </row>
    <row r="745" spans="2:28">
      <c r="B745" s="13" t="str">
        <f>IF($A745="","",[1]!thsiFinD("ths_adjustment_nv_fund",B$3,$A745))</f>
        <v/>
      </c>
      <c r="C745" s="13" t="str">
        <f>IF($A745="","",[1]!thsiFinD("ths_adjustment_nv_fund",C$3,$A745))</f>
        <v/>
      </c>
      <c r="D745" s="13" t="str">
        <f>IF($A745="","",[1]!thsiFinD("ths_adjustment_nv_fund",D$3,$A745))</f>
        <v/>
      </c>
      <c r="E745" s="13" t="str">
        <f>IF($A745="","",[1]!thsiFinD("ths_adjustment_nv_fund",E$3,$A745))</f>
        <v/>
      </c>
      <c r="F745" s="13" t="str">
        <f>IF($A745="","",[1]!thsiFinD("ths_adjustment_nv_fund",F$3,$A745))</f>
        <v/>
      </c>
      <c r="G745" s="13" t="str">
        <f>IF($A745="","",[1]!thsiFinD("ths_adjustment_nv_fund",G$3,$A745))</f>
        <v/>
      </c>
      <c r="H745" s="13" t="str">
        <f>IF($A745="","",[1]!thsiFinD("ths_adjustment_nv_fund",H$3,$A745))</f>
        <v/>
      </c>
      <c r="I745" s="13" t="str">
        <f>IF($A745="","",[1]!thsiFinD("ths_adjustment_nv_fund",I$3,$A745))</f>
        <v/>
      </c>
      <c r="J745" s="13" t="str">
        <f>IF($A745="","",[1]!thsiFinD("ths_adjustment_nv_fund",J$3,$A745))</f>
        <v/>
      </c>
      <c r="K745" s="13" t="str">
        <f>IF($A745="","",[1]!thsiFinD("ths_adjustment_nv_fund",K$3,$A745))</f>
        <v/>
      </c>
      <c r="L745" s="13" t="str">
        <f>IF($A745="","",[1]!thsiFinD("ths_adjustment_nv_fund",L$3,$A745))</f>
        <v/>
      </c>
      <c r="M745" s="13" t="str">
        <f>IF($A745="","",[1]!thsiFinD("ths_adjustment_nv_fund",M$3,$A745))</f>
        <v/>
      </c>
      <c r="N745" s="13" t="str">
        <f>IF($A745="","",[1]!thsiFinD("ths_adjustment_nv_fund",N$3,$A745))</f>
        <v/>
      </c>
      <c r="O745" s="13" t="str">
        <f>IF($A745="","",[1]!thsiFinD("ths_adjustment_nv_fund",O$3,$A745))</f>
        <v/>
      </c>
      <c r="P745" s="13" t="str">
        <f>IF($A745="","",[1]!thsiFinD("ths_adjustment_nv_fund",P$3,$A745))</f>
        <v/>
      </c>
      <c r="Q745" s="13" t="str">
        <f>IF($A745="","",[1]!thsiFinD("ths_adjustment_nv_fund",Q$3,$A745))</f>
        <v/>
      </c>
      <c r="R745" s="13" t="str">
        <f>IF($A745="","",[1]!thsiFinD("ths_adjustment_nv_fund",R$3,$A745))</f>
        <v/>
      </c>
      <c r="S745" s="13" t="str">
        <f>IF($A745="","",[1]!thsiFinD("ths_adjustment_nv_fund",S$3,$A745))</f>
        <v/>
      </c>
      <c r="T745" s="13" t="str">
        <f>IF($A745="","",[1]!thsiFinD("ths_adjustment_nv_fund",T$3,$A745))</f>
        <v/>
      </c>
      <c r="U745" s="13" t="str">
        <f>IF($A745="","",[1]!thsiFinD("ths_adjustment_nv_fund",U$3,$A745))</f>
        <v/>
      </c>
      <c r="V745" s="13" t="str">
        <f>IF($A745="","",[1]!thsiFinD("ths_adjustment_nv_fund",V$3,$A745))</f>
        <v/>
      </c>
      <c r="W745" s="13" t="str">
        <f>IF($A745="","",[1]!thsiFinD("ths_adjustment_nv_fund",W$3,$A745))</f>
        <v/>
      </c>
      <c r="X745" s="13" t="str">
        <f>IF($A745="","",[1]!thsiFinD("ths_adjustment_nv_fund",X$3,$A745))</f>
        <v/>
      </c>
      <c r="Y745" s="13" t="str">
        <f>IF($A745="","",[1]!thsiFinD("ths_adjustment_nv_fund",Y$3,$A745))</f>
        <v/>
      </c>
      <c r="Z745" s="13" t="str">
        <f>IF($A745="","",[1]!thsiFinD("ths_adjustment_nv_fund",Z$3,$A745))</f>
        <v/>
      </c>
      <c r="AA745" s="13" t="str">
        <f>IF($A745="","",[1]!thsiFinD("ths_adjustment_nv_fund",AA$3,$A745))</f>
        <v/>
      </c>
      <c r="AB745" s="13">
        <f>IF($A745="","",[1]!thsiFinD("ths_adjustment_nv_fund",AB$3,$A745))</f>
        <v/>
      </c>
      <c r="AC745" s="13">
        <f>IF($A745="","",[1]!thsiFinD("ths_adjustment_nv_fund",AC$3,$A745))</f>
        <v/>
      </c>
      <c r="AD745" s="13">
        <f>IF($A745="","",[1]!thsiFinD("ths_adjustment_nv_fund",AD$3,$A745))</f>
        <v/>
      </c>
      <c r="AE745" s="13">
        <f>IF($A745="","",[1]!thsiFinD("ths_adjustment_nv_fund",AE$3,$A745))</f>
        <v/>
      </c>
      <c r="AF745" s="13">
        <f>IF($A745="","",[1]!thsiFinD("ths_adjustment_nv_fund",AF$3,$A745))</f>
        <v/>
      </c>
      <c r="AG745" s="13">
        <f>IF($A745="","",[1]!thsiFinD("ths_adjustment_nv_fund",AG$3,$A745))</f>
        <v/>
      </c>
      <c r="AH745" s="13">
        <f>IF($A745="","",[1]!thsiFinD("ths_adjustment_nv_fund",AH$3,$A745))</f>
        <v/>
      </c>
      <c r="AI745" s="13">
        <f>IF($A745="","",[1]!thsiFinD("ths_adjustment_nv_fund",AI$3,$A745))</f>
        <v/>
      </c>
      <c r="AJ745" s="13">
        <f>IF($A745="","",[1]!thsiFinD("ths_adjustment_nv_fund",AJ$3,$A745))</f>
        <v/>
      </c>
      <c r="AK745" s="13">
        <f>IF($A745="","",[1]!thsiFinD("ths_adjustment_nv_fund",AK$3,$A745))</f>
        <v/>
      </c>
      <c r="AL745" s="13">
        <f>IF($A745="","",[1]!thsiFinD("ths_adjustment_nv_fund",AL$3,$A745))</f>
        <v/>
      </c>
    </row>
    <row r="746" spans="2:28">
      <c r="B746" s="13" t="str">
        <f>IF($A746="","",[1]!thsiFinD("ths_adjustment_nv_fund",B$3,$A746))</f>
        <v/>
      </c>
      <c r="C746" s="13" t="str">
        <f>IF($A746="","",[1]!thsiFinD("ths_adjustment_nv_fund",C$3,$A746))</f>
        <v/>
      </c>
      <c r="D746" s="13" t="str">
        <f>IF($A746="","",[1]!thsiFinD("ths_adjustment_nv_fund",D$3,$A746))</f>
        <v/>
      </c>
      <c r="E746" s="13" t="str">
        <f>IF($A746="","",[1]!thsiFinD("ths_adjustment_nv_fund",E$3,$A746))</f>
        <v/>
      </c>
      <c r="F746" s="13" t="str">
        <f>IF($A746="","",[1]!thsiFinD("ths_adjustment_nv_fund",F$3,$A746))</f>
        <v/>
      </c>
      <c r="G746" s="13" t="str">
        <f>IF($A746="","",[1]!thsiFinD("ths_adjustment_nv_fund",G$3,$A746))</f>
        <v/>
      </c>
      <c r="H746" s="13" t="str">
        <f>IF($A746="","",[1]!thsiFinD("ths_adjustment_nv_fund",H$3,$A746))</f>
        <v/>
      </c>
      <c r="I746" s="13" t="str">
        <f>IF($A746="","",[1]!thsiFinD("ths_adjustment_nv_fund",I$3,$A746))</f>
        <v/>
      </c>
      <c r="J746" s="13" t="str">
        <f>IF($A746="","",[1]!thsiFinD("ths_adjustment_nv_fund",J$3,$A746))</f>
        <v/>
      </c>
      <c r="K746" s="13" t="str">
        <f>IF($A746="","",[1]!thsiFinD("ths_adjustment_nv_fund",K$3,$A746))</f>
        <v/>
      </c>
      <c r="L746" s="13" t="str">
        <f>IF($A746="","",[1]!thsiFinD("ths_adjustment_nv_fund",L$3,$A746))</f>
        <v/>
      </c>
      <c r="M746" s="13" t="str">
        <f>IF($A746="","",[1]!thsiFinD("ths_adjustment_nv_fund",M$3,$A746))</f>
        <v/>
      </c>
      <c r="N746" s="13" t="str">
        <f>IF($A746="","",[1]!thsiFinD("ths_adjustment_nv_fund",N$3,$A746))</f>
        <v/>
      </c>
      <c r="O746" s="13" t="str">
        <f>IF($A746="","",[1]!thsiFinD("ths_adjustment_nv_fund",O$3,$A746))</f>
        <v/>
      </c>
      <c r="P746" s="13" t="str">
        <f>IF($A746="","",[1]!thsiFinD("ths_adjustment_nv_fund",P$3,$A746))</f>
        <v/>
      </c>
      <c r="Q746" s="13" t="str">
        <f>IF($A746="","",[1]!thsiFinD("ths_adjustment_nv_fund",Q$3,$A746))</f>
        <v/>
      </c>
      <c r="R746" s="13" t="str">
        <f>IF($A746="","",[1]!thsiFinD("ths_adjustment_nv_fund",R$3,$A746))</f>
        <v/>
      </c>
      <c r="S746" s="13" t="str">
        <f>IF($A746="","",[1]!thsiFinD("ths_adjustment_nv_fund",S$3,$A746))</f>
        <v/>
      </c>
      <c r="T746" s="13" t="str">
        <f>IF($A746="","",[1]!thsiFinD("ths_adjustment_nv_fund",T$3,$A746))</f>
        <v/>
      </c>
      <c r="U746" s="13" t="str">
        <f>IF($A746="","",[1]!thsiFinD("ths_adjustment_nv_fund",U$3,$A746))</f>
        <v/>
      </c>
      <c r="V746" s="13" t="str">
        <f>IF($A746="","",[1]!thsiFinD("ths_adjustment_nv_fund",V$3,$A746))</f>
        <v/>
      </c>
      <c r="W746" s="13" t="str">
        <f>IF($A746="","",[1]!thsiFinD("ths_adjustment_nv_fund",W$3,$A746))</f>
        <v/>
      </c>
      <c r="X746" s="13" t="str">
        <f>IF($A746="","",[1]!thsiFinD("ths_adjustment_nv_fund",X$3,$A746))</f>
        <v/>
      </c>
      <c r="Y746" s="13" t="str">
        <f>IF($A746="","",[1]!thsiFinD("ths_adjustment_nv_fund",Y$3,$A746))</f>
        <v/>
      </c>
      <c r="Z746" s="13" t="str">
        <f>IF($A746="","",[1]!thsiFinD("ths_adjustment_nv_fund",Z$3,$A746))</f>
        <v/>
      </c>
      <c r="AA746" s="13" t="str">
        <f>IF($A746="","",[1]!thsiFinD("ths_adjustment_nv_fund",AA$3,$A746))</f>
        <v/>
      </c>
      <c r="AB746" s="13">
        <f>IF($A746="","",[1]!thsiFinD("ths_adjustment_nv_fund",AB$3,$A746))</f>
        <v/>
      </c>
      <c r="AC746" s="13">
        <f>IF($A746="","",[1]!thsiFinD("ths_adjustment_nv_fund",AC$3,$A746))</f>
        <v/>
      </c>
      <c r="AD746" s="13">
        <f>IF($A746="","",[1]!thsiFinD("ths_adjustment_nv_fund",AD$3,$A746))</f>
        <v/>
      </c>
      <c r="AE746" s="13">
        <f>IF($A746="","",[1]!thsiFinD("ths_adjustment_nv_fund",AE$3,$A746))</f>
        <v/>
      </c>
      <c r="AF746" s="13">
        <f>IF($A746="","",[1]!thsiFinD("ths_adjustment_nv_fund",AF$3,$A746))</f>
        <v/>
      </c>
      <c r="AG746" s="13">
        <f>IF($A746="","",[1]!thsiFinD("ths_adjustment_nv_fund",AG$3,$A746))</f>
        <v/>
      </c>
      <c r="AH746" s="13">
        <f>IF($A746="","",[1]!thsiFinD("ths_adjustment_nv_fund",AH$3,$A746))</f>
        <v/>
      </c>
      <c r="AI746" s="13">
        <f>IF($A746="","",[1]!thsiFinD("ths_adjustment_nv_fund",AI$3,$A746))</f>
        <v/>
      </c>
      <c r="AJ746" s="13">
        <f>IF($A746="","",[1]!thsiFinD("ths_adjustment_nv_fund",AJ$3,$A746))</f>
        <v/>
      </c>
      <c r="AK746" s="13">
        <f>IF($A746="","",[1]!thsiFinD("ths_adjustment_nv_fund",AK$3,$A746))</f>
        <v/>
      </c>
      <c r="AL746" s="13">
        <f>IF($A746="","",[1]!thsiFinD("ths_adjustment_nv_fund",AL$3,$A746))</f>
        <v/>
      </c>
    </row>
    <row r="747" spans="2:28">
      <c r="B747" s="13" t="str">
        <f>IF($A747="","",[1]!thsiFinD("ths_adjustment_nv_fund",B$3,$A747))</f>
        <v/>
      </c>
      <c r="C747" s="13" t="str">
        <f>IF($A747="","",[1]!thsiFinD("ths_adjustment_nv_fund",C$3,$A747))</f>
        <v/>
      </c>
      <c r="D747" s="13" t="str">
        <f>IF($A747="","",[1]!thsiFinD("ths_adjustment_nv_fund",D$3,$A747))</f>
        <v/>
      </c>
      <c r="E747" s="13" t="str">
        <f>IF($A747="","",[1]!thsiFinD("ths_adjustment_nv_fund",E$3,$A747))</f>
        <v/>
      </c>
      <c r="F747" s="13" t="str">
        <f>IF($A747="","",[1]!thsiFinD("ths_adjustment_nv_fund",F$3,$A747))</f>
        <v/>
      </c>
      <c r="G747" s="13" t="str">
        <f>IF($A747="","",[1]!thsiFinD("ths_adjustment_nv_fund",G$3,$A747))</f>
        <v/>
      </c>
      <c r="H747" s="13" t="str">
        <f>IF($A747="","",[1]!thsiFinD("ths_adjustment_nv_fund",H$3,$A747))</f>
        <v/>
      </c>
      <c r="I747" s="13" t="str">
        <f>IF($A747="","",[1]!thsiFinD("ths_adjustment_nv_fund",I$3,$A747))</f>
        <v/>
      </c>
      <c r="J747" s="13" t="str">
        <f>IF($A747="","",[1]!thsiFinD("ths_adjustment_nv_fund",J$3,$A747))</f>
        <v/>
      </c>
      <c r="K747" s="13" t="str">
        <f>IF($A747="","",[1]!thsiFinD("ths_adjustment_nv_fund",K$3,$A747))</f>
        <v/>
      </c>
      <c r="L747" s="13" t="str">
        <f>IF($A747="","",[1]!thsiFinD("ths_adjustment_nv_fund",L$3,$A747))</f>
        <v/>
      </c>
      <c r="M747" s="13" t="str">
        <f>IF($A747="","",[1]!thsiFinD("ths_adjustment_nv_fund",M$3,$A747))</f>
        <v/>
      </c>
      <c r="N747" s="13" t="str">
        <f>IF($A747="","",[1]!thsiFinD("ths_adjustment_nv_fund",N$3,$A747))</f>
        <v/>
      </c>
      <c r="O747" s="13" t="str">
        <f>IF($A747="","",[1]!thsiFinD("ths_adjustment_nv_fund",O$3,$A747))</f>
        <v/>
      </c>
      <c r="P747" s="13" t="str">
        <f>IF($A747="","",[1]!thsiFinD("ths_adjustment_nv_fund",P$3,$A747))</f>
        <v/>
      </c>
      <c r="Q747" s="13" t="str">
        <f>IF($A747="","",[1]!thsiFinD("ths_adjustment_nv_fund",Q$3,$A747))</f>
        <v/>
      </c>
      <c r="R747" s="13" t="str">
        <f>IF($A747="","",[1]!thsiFinD("ths_adjustment_nv_fund",R$3,$A747))</f>
        <v/>
      </c>
      <c r="S747" s="13" t="str">
        <f>IF($A747="","",[1]!thsiFinD("ths_adjustment_nv_fund",S$3,$A747))</f>
        <v/>
      </c>
      <c r="T747" s="13" t="str">
        <f>IF($A747="","",[1]!thsiFinD("ths_adjustment_nv_fund",T$3,$A747))</f>
        <v/>
      </c>
      <c r="U747" s="13" t="str">
        <f>IF($A747="","",[1]!thsiFinD("ths_adjustment_nv_fund",U$3,$A747))</f>
        <v/>
      </c>
      <c r="V747" s="13" t="str">
        <f>IF($A747="","",[1]!thsiFinD("ths_adjustment_nv_fund",V$3,$A747))</f>
        <v/>
      </c>
      <c r="W747" s="13" t="str">
        <f>IF($A747="","",[1]!thsiFinD("ths_adjustment_nv_fund",W$3,$A747))</f>
        <v/>
      </c>
      <c r="X747" s="13" t="str">
        <f>IF($A747="","",[1]!thsiFinD("ths_adjustment_nv_fund",X$3,$A747))</f>
        <v/>
      </c>
      <c r="Y747" s="13" t="str">
        <f>IF($A747="","",[1]!thsiFinD("ths_adjustment_nv_fund",Y$3,$A747))</f>
        <v/>
      </c>
      <c r="Z747" s="13" t="str">
        <f>IF($A747="","",[1]!thsiFinD("ths_adjustment_nv_fund",Z$3,$A747))</f>
        <v/>
      </c>
      <c r="AA747" s="13" t="str">
        <f>IF($A747="","",[1]!thsiFinD("ths_adjustment_nv_fund",AA$3,$A747))</f>
        <v/>
      </c>
      <c r="AB747" s="13">
        <f>IF($A747="","",[1]!thsiFinD("ths_adjustment_nv_fund",AB$3,$A747))</f>
        <v/>
      </c>
      <c r="AC747" s="13">
        <f>IF($A747="","",[1]!thsiFinD("ths_adjustment_nv_fund",AC$3,$A747))</f>
        <v/>
      </c>
      <c r="AD747" s="13">
        <f>IF($A747="","",[1]!thsiFinD("ths_adjustment_nv_fund",AD$3,$A747))</f>
        <v/>
      </c>
      <c r="AE747" s="13">
        <f>IF($A747="","",[1]!thsiFinD("ths_adjustment_nv_fund",AE$3,$A747))</f>
        <v/>
      </c>
      <c r="AF747" s="13">
        <f>IF($A747="","",[1]!thsiFinD("ths_adjustment_nv_fund",AF$3,$A747))</f>
        <v/>
      </c>
      <c r="AG747" s="13">
        <f>IF($A747="","",[1]!thsiFinD("ths_adjustment_nv_fund",AG$3,$A747))</f>
        <v/>
      </c>
      <c r="AH747" s="13">
        <f>IF($A747="","",[1]!thsiFinD("ths_adjustment_nv_fund",AH$3,$A747))</f>
        <v/>
      </c>
      <c r="AI747" s="13">
        <f>IF($A747="","",[1]!thsiFinD("ths_adjustment_nv_fund",AI$3,$A747))</f>
        <v/>
      </c>
      <c r="AJ747" s="13">
        <f>IF($A747="","",[1]!thsiFinD("ths_adjustment_nv_fund",AJ$3,$A747))</f>
        <v/>
      </c>
      <c r="AK747" s="13">
        <f>IF($A747="","",[1]!thsiFinD("ths_adjustment_nv_fund",AK$3,$A747))</f>
        <v/>
      </c>
      <c r="AL747" s="13">
        <f>IF($A747="","",[1]!thsiFinD("ths_adjustment_nv_fund",AL$3,$A747))</f>
        <v/>
      </c>
    </row>
    <row r="748" spans="2:28">
      <c r="B748" s="13" t="str">
        <f>IF($A748="","",[1]!thsiFinD("ths_adjustment_nv_fund",B$3,$A748))</f>
        <v/>
      </c>
      <c r="C748" s="13" t="str">
        <f>IF($A748="","",[1]!thsiFinD("ths_adjustment_nv_fund",C$3,$A748))</f>
        <v/>
      </c>
      <c r="D748" s="13" t="str">
        <f>IF($A748="","",[1]!thsiFinD("ths_adjustment_nv_fund",D$3,$A748))</f>
        <v/>
      </c>
      <c r="E748" s="13" t="str">
        <f>IF($A748="","",[1]!thsiFinD("ths_adjustment_nv_fund",E$3,$A748))</f>
        <v/>
      </c>
      <c r="F748" s="13" t="str">
        <f>IF($A748="","",[1]!thsiFinD("ths_adjustment_nv_fund",F$3,$A748))</f>
        <v/>
      </c>
      <c r="G748" s="13" t="str">
        <f>IF($A748="","",[1]!thsiFinD("ths_adjustment_nv_fund",G$3,$A748))</f>
        <v/>
      </c>
      <c r="H748" s="13" t="str">
        <f>IF($A748="","",[1]!thsiFinD("ths_adjustment_nv_fund",H$3,$A748))</f>
        <v/>
      </c>
      <c r="I748" s="13" t="str">
        <f>IF($A748="","",[1]!thsiFinD("ths_adjustment_nv_fund",I$3,$A748))</f>
        <v/>
      </c>
      <c r="J748" s="13" t="str">
        <f>IF($A748="","",[1]!thsiFinD("ths_adjustment_nv_fund",J$3,$A748))</f>
        <v/>
      </c>
      <c r="K748" s="13" t="str">
        <f>IF($A748="","",[1]!thsiFinD("ths_adjustment_nv_fund",K$3,$A748))</f>
        <v/>
      </c>
      <c r="L748" s="13" t="str">
        <f>IF($A748="","",[1]!thsiFinD("ths_adjustment_nv_fund",L$3,$A748))</f>
        <v/>
      </c>
      <c r="M748" s="13" t="str">
        <f>IF($A748="","",[1]!thsiFinD("ths_adjustment_nv_fund",M$3,$A748))</f>
        <v/>
      </c>
      <c r="N748" s="13" t="str">
        <f>IF($A748="","",[1]!thsiFinD("ths_adjustment_nv_fund",N$3,$A748))</f>
        <v/>
      </c>
      <c r="O748" s="13" t="str">
        <f>IF($A748="","",[1]!thsiFinD("ths_adjustment_nv_fund",O$3,$A748))</f>
        <v/>
      </c>
      <c r="P748" s="13" t="str">
        <f>IF($A748="","",[1]!thsiFinD("ths_adjustment_nv_fund",P$3,$A748))</f>
        <v/>
      </c>
      <c r="Q748" s="13" t="str">
        <f>IF($A748="","",[1]!thsiFinD("ths_adjustment_nv_fund",Q$3,$A748))</f>
        <v/>
      </c>
      <c r="R748" s="13" t="str">
        <f>IF($A748="","",[1]!thsiFinD("ths_adjustment_nv_fund",R$3,$A748))</f>
        <v/>
      </c>
      <c r="S748" s="13" t="str">
        <f>IF($A748="","",[1]!thsiFinD("ths_adjustment_nv_fund",S$3,$A748))</f>
        <v/>
      </c>
      <c r="T748" s="13" t="str">
        <f>IF($A748="","",[1]!thsiFinD("ths_adjustment_nv_fund",T$3,$A748))</f>
        <v/>
      </c>
      <c r="U748" s="13" t="str">
        <f>IF($A748="","",[1]!thsiFinD("ths_adjustment_nv_fund",U$3,$A748))</f>
        <v/>
      </c>
      <c r="V748" s="13" t="str">
        <f>IF($A748="","",[1]!thsiFinD("ths_adjustment_nv_fund",V$3,$A748))</f>
        <v/>
      </c>
      <c r="W748" s="13" t="str">
        <f>IF($A748="","",[1]!thsiFinD("ths_adjustment_nv_fund",W$3,$A748))</f>
        <v/>
      </c>
      <c r="X748" s="13" t="str">
        <f>IF($A748="","",[1]!thsiFinD("ths_adjustment_nv_fund",X$3,$A748))</f>
        <v/>
      </c>
      <c r="Y748" s="13" t="str">
        <f>IF($A748="","",[1]!thsiFinD("ths_adjustment_nv_fund",Y$3,$A748))</f>
        <v/>
      </c>
      <c r="Z748" s="13" t="str">
        <f>IF($A748="","",[1]!thsiFinD("ths_adjustment_nv_fund",Z$3,$A748))</f>
        <v/>
      </c>
      <c r="AA748" s="13" t="str">
        <f>IF($A748="","",[1]!thsiFinD("ths_adjustment_nv_fund",AA$3,$A748))</f>
        <v/>
      </c>
      <c r="AB748" s="13">
        <f>IF($A748="","",[1]!thsiFinD("ths_adjustment_nv_fund",AB$3,$A748))</f>
        <v/>
      </c>
      <c r="AC748" s="13">
        <f>IF($A748="","",[1]!thsiFinD("ths_adjustment_nv_fund",AC$3,$A748))</f>
        <v/>
      </c>
      <c r="AD748" s="13">
        <f>IF($A748="","",[1]!thsiFinD("ths_adjustment_nv_fund",AD$3,$A748))</f>
        <v/>
      </c>
      <c r="AE748" s="13">
        <f>IF($A748="","",[1]!thsiFinD("ths_adjustment_nv_fund",AE$3,$A748))</f>
        <v/>
      </c>
      <c r="AF748" s="13">
        <f>IF($A748="","",[1]!thsiFinD("ths_adjustment_nv_fund",AF$3,$A748))</f>
        <v/>
      </c>
      <c r="AG748" s="13">
        <f>IF($A748="","",[1]!thsiFinD("ths_adjustment_nv_fund",AG$3,$A748))</f>
        <v/>
      </c>
      <c r="AH748" s="13">
        <f>IF($A748="","",[1]!thsiFinD("ths_adjustment_nv_fund",AH$3,$A748))</f>
        <v/>
      </c>
      <c r="AI748" s="13">
        <f>IF($A748="","",[1]!thsiFinD("ths_adjustment_nv_fund",AI$3,$A748))</f>
        <v/>
      </c>
      <c r="AJ748" s="13">
        <f>IF($A748="","",[1]!thsiFinD("ths_adjustment_nv_fund",AJ$3,$A748))</f>
        <v/>
      </c>
      <c r="AK748" s="13">
        <f>IF($A748="","",[1]!thsiFinD("ths_adjustment_nv_fund",AK$3,$A748))</f>
        <v/>
      </c>
      <c r="AL748" s="13">
        <f>IF($A748="","",[1]!thsiFinD("ths_adjustment_nv_fund",AL$3,$A748))</f>
        <v/>
      </c>
    </row>
    <row r="749" spans="2:28">
      <c r="B749" s="13" t="str">
        <f>IF($A749="","",[1]!thsiFinD("ths_adjustment_nv_fund",B$3,$A749))</f>
        <v/>
      </c>
      <c r="C749" s="13" t="str">
        <f>IF($A749="","",[1]!thsiFinD("ths_adjustment_nv_fund",C$3,$A749))</f>
        <v/>
      </c>
      <c r="D749" s="13" t="str">
        <f>IF($A749="","",[1]!thsiFinD("ths_adjustment_nv_fund",D$3,$A749))</f>
        <v/>
      </c>
      <c r="E749" s="13" t="str">
        <f>IF($A749="","",[1]!thsiFinD("ths_adjustment_nv_fund",E$3,$A749))</f>
        <v/>
      </c>
      <c r="F749" s="13" t="str">
        <f>IF($A749="","",[1]!thsiFinD("ths_adjustment_nv_fund",F$3,$A749))</f>
        <v/>
      </c>
      <c r="G749" s="13" t="str">
        <f>IF($A749="","",[1]!thsiFinD("ths_adjustment_nv_fund",G$3,$A749))</f>
        <v/>
      </c>
      <c r="H749" s="13" t="str">
        <f>IF($A749="","",[1]!thsiFinD("ths_adjustment_nv_fund",H$3,$A749))</f>
        <v/>
      </c>
      <c r="I749" s="13" t="str">
        <f>IF($A749="","",[1]!thsiFinD("ths_adjustment_nv_fund",I$3,$A749))</f>
        <v/>
      </c>
      <c r="J749" s="13" t="str">
        <f>IF($A749="","",[1]!thsiFinD("ths_adjustment_nv_fund",J$3,$A749))</f>
        <v/>
      </c>
      <c r="K749" s="13" t="str">
        <f>IF($A749="","",[1]!thsiFinD("ths_adjustment_nv_fund",K$3,$A749))</f>
        <v/>
      </c>
      <c r="L749" s="13" t="str">
        <f>IF($A749="","",[1]!thsiFinD("ths_adjustment_nv_fund",L$3,$A749))</f>
        <v/>
      </c>
      <c r="M749" s="13" t="str">
        <f>IF($A749="","",[1]!thsiFinD("ths_adjustment_nv_fund",M$3,$A749))</f>
        <v/>
      </c>
      <c r="N749" s="13" t="str">
        <f>IF($A749="","",[1]!thsiFinD("ths_adjustment_nv_fund",N$3,$A749))</f>
        <v/>
      </c>
      <c r="O749" s="13" t="str">
        <f>IF($A749="","",[1]!thsiFinD("ths_adjustment_nv_fund",O$3,$A749))</f>
        <v/>
      </c>
      <c r="P749" s="13" t="str">
        <f>IF($A749="","",[1]!thsiFinD("ths_adjustment_nv_fund",P$3,$A749))</f>
        <v/>
      </c>
      <c r="Q749" s="13" t="str">
        <f>IF($A749="","",[1]!thsiFinD("ths_adjustment_nv_fund",Q$3,$A749))</f>
        <v/>
      </c>
      <c r="R749" s="13" t="str">
        <f>IF($A749="","",[1]!thsiFinD("ths_adjustment_nv_fund",R$3,$A749))</f>
        <v/>
      </c>
      <c r="S749" s="13" t="str">
        <f>IF($A749="","",[1]!thsiFinD("ths_adjustment_nv_fund",S$3,$A749))</f>
        <v/>
      </c>
      <c r="T749" s="13" t="str">
        <f>IF($A749="","",[1]!thsiFinD("ths_adjustment_nv_fund",T$3,$A749))</f>
        <v/>
      </c>
      <c r="U749" s="13" t="str">
        <f>IF($A749="","",[1]!thsiFinD("ths_adjustment_nv_fund",U$3,$A749))</f>
        <v/>
      </c>
      <c r="V749" s="13" t="str">
        <f>IF($A749="","",[1]!thsiFinD("ths_adjustment_nv_fund",V$3,$A749))</f>
        <v/>
      </c>
      <c r="W749" s="13" t="str">
        <f>IF($A749="","",[1]!thsiFinD("ths_adjustment_nv_fund",W$3,$A749))</f>
        <v/>
      </c>
      <c r="X749" s="13" t="str">
        <f>IF($A749="","",[1]!thsiFinD("ths_adjustment_nv_fund",X$3,$A749))</f>
        <v/>
      </c>
      <c r="Y749" s="13" t="str">
        <f>IF($A749="","",[1]!thsiFinD("ths_adjustment_nv_fund",Y$3,$A749))</f>
        <v/>
      </c>
      <c r="Z749" s="13" t="str">
        <f>IF($A749="","",[1]!thsiFinD("ths_adjustment_nv_fund",Z$3,$A749))</f>
        <v/>
      </c>
      <c r="AA749" s="13" t="str">
        <f>IF($A749="","",[1]!thsiFinD("ths_adjustment_nv_fund",AA$3,$A749))</f>
        <v/>
      </c>
      <c r="AB749" s="13">
        <f>IF($A749="","",[1]!thsiFinD("ths_adjustment_nv_fund",AB$3,$A749))</f>
        <v/>
      </c>
      <c r="AC749" s="13">
        <f>IF($A749="","",[1]!thsiFinD("ths_adjustment_nv_fund",AC$3,$A749))</f>
        <v/>
      </c>
      <c r="AD749" s="13">
        <f>IF($A749="","",[1]!thsiFinD("ths_adjustment_nv_fund",AD$3,$A749))</f>
        <v/>
      </c>
      <c r="AE749" s="13">
        <f>IF($A749="","",[1]!thsiFinD("ths_adjustment_nv_fund",AE$3,$A749))</f>
        <v/>
      </c>
      <c r="AF749" s="13">
        <f>IF($A749="","",[1]!thsiFinD("ths_adjustment_nv_fund",AF$3,$A749))</f>
        <v/>
      </c>
      <c r="AG749" s="13">
        <f>IF($A749="","",[1]!thsiFinD("ths_adjustment_nv_fund",AG$3,$A749))</f>
        <v/>
      </c>
      <c r="AH749" s="13">
        <f>IF($A749="","",[1]!thsiFinD("ths_adjustment_nv_fund",AH$3,$A749))</f>
        <v/>
      </c>
      <c r="AI749" s="13">
        <f>IF($A749="","",[1]!thsiFinD("ths_adjustment_nv_fund",AI$3,$A749))</f>
        <v/>
      </c>
      <c r="AJ749" s="13">
        <f>IF($A749="","",[1]!thsiFinD("ths_adjustment_nv_fund",AJ$3,$A749))</f>
        <v/>
      </c>
      <c r="AK749" s="13">
        <f>IF($A749="","",[1]!thsiFinD("ths_adjustment_nv_fund",AK$3,$A749))</f>
        <v/>
      </c>
      <c r="AL749" s="13">
        <f>IF($A749="","",[1]!thsiFinD("ths_adjustment_nv_fund",AL$3,$A749))</f>
        <v/>
      </c>
    </row>
    <row r="750" spans="2:28">
      <c r="B750" s="13" t="str">
        <f>IF($A750="","",[1]!thsiFinD("ths_adjustment_nv_fund",B$3,$A750))</f>
        <v/>
      </c>
      <c r="C750" s="13" t="str">
        <f>IF($A750="","",[1]!thsiFinD("ths_adjustment_nv_fund",C$3,$A750))</f>
        <v/>
      </c>
      <c r="D750" s="13" t="str">
        <f>IF($A750="","",[1]!thsiFinD("ths_adjustment_nv_fund",D$3,$A750))</f>
        <v/>
      </c>
      <c r="E750" s="13" t="str">
        <f>IF($A750="","",[1]!thsiFinD("ths_adjustment_nv_fund",E$3,$A750))</f>
        <v/>
      </c>
      <c r="F750" s="13" t="str">
        <f>IF($A750="","",[1]!thsiFinD("ths_adjustment_nv_fund",F$3,$A750))</f>
        <v/>
      </c>
      <c r="G750" s="13" t="str">
        <f>IF($A750="","",[1]!thsiFinD("ths_adjustment_nv_fund",G$3,$A750))</f>
        <v/>
      </c>
      <c r="H750" s="13" t="str">
        <f>IF($A750="","",[1]!thsiFinD("ths_adjustment_nv_fund",H$3,$A750))</f>
        <v/>
      </c>
      <c r="I750" s="13" t="str">
        <f>IF($A750="","",[1]!thsiFinD("ths_adjustment_nv_fund",I$3,$A750))</f>
        <v/>
      </c>
      <c r="J750" s="13" t="str">
        <f>IF($A750="","",[1]!thsiFinD("ths_adjustment_nv_fund",J$3,$A750))</f>
        <v/>
      </c>
      <c r="K750" s="13" t="str">
        <f>IF($A750="","",[1]!thsiFinD("ths_adjustment_nv_fund",K$3,$A750))</f>
        <v/>
      </c>
      <c r="L750" s="13" t="str">
        <f>IF($A750="","",[1]!thsiFinD("ths_adjustment_nv_fund",L$3,$A750))</f>
        <v/>
      </c>
      <c r="M750" s="13" t="str">
        <f>IF($A750="","",[1]!thsiFinD("ths_adjustment_nv_fund",M$3,$A750))</f>
        <v/>
      </c>
      <c r="N750" s="13" t="str">
        <f>IF($A750="","",[1]!thsiFinD("ths_adjustment_nv_fund",N$3,$A750))</f>
        <v/>
      </c>
      <c r="O750" s="13" t="str">
        <f>IF($A750="","",[1]!thsiFinD("ths_adjustment_nv_fund",O$3,$A750))</f>
        <v/>
      </c>
      <c r="P750" s="13" t="str">
        <f>IF($A750="","",[1]!thsiFinD("ths_adjustment_nv_fund",P$3,$A750))</f>
        <v/>
      </c>
      <c r="Q750" s="13" t="str">
        <f>IF($A750="","",[1]!thsiFinD("ths_adjustment_nv_fund",Q$3,$A750))</f>
        <v/>
      </c>
      <c r="R750" s="13" t="str">
        <f>IF($A750="","",[1]!thsiFinD("ths_adjustment_nv_fund",R$3,$A750))</f>
        <v/>
      </c>
      <c r="S750" s="13" t="str">
        <f>IF($A750="","",[1]!thsiFinD("ths_adjustment_nv_fund",S$3,$A750))</f>
        <v/>
      </c>
      <c r="T750" s="13" t="str">
        <f>IF($A750="","",[1]!thsiFinD("ths_adjustment_nv_fund",T$3,$A750))</f>
        <v/>
      </c>
      <c r="U750" s="13" t="str">
        <f>IF($A750="","",[1]!thsiFinD("ths_adjustment_nv_fund",U$3,$A750))</f>
        <v/>
      </c>
      <c r="V750" s="13" t="str">
        <f>IF($A750="","",[1]!thsiFinD("ths_adjustment_nv_fund",V$3,$A750))</f>
        <v/>
      </c>
      <c r="W750" s="13" t="str">
        <f>IF($A750="","",[1]!thsiFinD("ths_adjustment_nv_fund",W$3,$A750))</f>
        <v/>
      </c>
      <c r="X750" s="13" t="str">
        <f>IF($A750="","",[1]!thsiFinD("ths_adjustment_nv_fund",X$3,$A750))</f>
        <v/>
      </c>
      <c r="Y750" s="13" t="str">
        <f>IF($A750="","",[1]!thsiFinD("ths_adjustment_nv_fund",Y$3,$A750))</f>
        <v/>
      </c>
      <c r="Z750" s="13" t="str">
        <f>IF($A750="","",[1]!thsiFinD("ths_adjustment_nv_fund",Z$3,$A750))</f>
        <v/>
      </c>
      <c r="AA750" s="13" t="str">
        <f>IF($A750="","",[1]!thsiFinD("ths_adjustment_nv_fund",AA$3,$A750))</f>
        <v/>
      </c>
      <c r="AB750" s="13">
        <f>IF($A750="","",[1]!thsiFinD("ths_adjustment_nv_fund",AB$3,$A750))</f>
        <v/>
      </c>
      <c r="AC750" s="13">
        <f>IF($A750="","",[1]!thsiFinD("ths_adjustment_nv_fund",AC$3,$A750))</f>
        <v/>
      </c>
      <c r="AD750" s="13">
        <f>IF($A750="","",[1]!thsiFinD("ths_adjustment_nv_fund",AD$3,$A750))</f>
        <v/>
      </c>
      <c r="AE750" s="13">
        <f>IF($A750="","",[1]!thsiFinD("ths_adjustment_nv_fund",AE$3,$A750))</f>
        <v/>
      </c>
      <c r="AF750" s="13">
        <f>IF($A750="","",[1]!thsiFinD("ths_adjustment_nv_fund",AF$3,$A750))</f>
        <v/>
      </c>
      <c r="AG750" s="13">
        <f>IF($A750="","",[1]!thsiFinD("ths_adjustment_nv_fund",AG$3,$A750))</f>
        <v/>
      </c>
      <c r="AH750" s="13">
        <f>IF($A750="","",[1]!thsiFinD("ths_adjustment_nv_fund",AH$3,$A750))</f>
        <v/>
      </c>
      <c r="AI750" s="13">
        <f>IF($A750="","",[1]!thsiFinD("ths_adjustment_nv_fund",AI$3,$A750))</f>
        <v/>
      </c>
      <c r="AJ750" s="13">
        <f>IF($A750="","",[1]!thsiFinD("ths_adjustment_nv_fund",AJ$3,$A750))</f>
        <v/>
      </c>
      <c r="AK750" s="13">
        <f>IF($A750="","",[1]!thsiFinD("ths_adjustment_nv_fund",AK$3,$A750))</f>
        <v/>
      </c>
      <c r="AL750" s="13">
        <f>IF($A750="","",[1]!thsiFinD("ths_adjustment_nv_fund",AL$3,$A750))</f>
        <v/>
      </c>
    </row>
    <row r="751" spans="2:28">
      <c r="B751" s="13" t="str">
        <f>IF($A751="","",[1]!thsiFinD("ths_adjustment_nv_fund",B$3,$A751))</f>
        <v/>
      </c>
      <c r="C751" s="13" t="str">
        <f>IF($A751="","",[1]!thsiFinD("ths_adjustment_nv_fund",C$3,$A751))</f>
        <v/>
      </c>
      <c r="D751" s="13" t="str">
        <f>IF($A751="","",[1]!thsiFinD("ths_adjustment_nv_fund",D$3,$A751))</f>
        <v/>
      </c>
      <c r="E751" s="13" t="str">
        <f>IF($A751="","",[1]!thsiFinD("ths_adjustment_nv_fund",E$3,$A751))</f>
        <v/>
      </c>
      <c r="F751" s="13" t="str">
        <f>IF($A751="","",[1]!thsiFinD("ths_adjustment_nv_fund",F$3,$A751))</f>
        <v/>
      </c>
      <c r="G751" s="13" t="str">
        <f>IF($A751="","",[1]!thsiFinD("ths_adjustment_nv_fund",G$3,$A751))</f>
        <v/>
      </c>
      <c r="H751" s="13" t="str">
        <f>IF($A751="","",[1]!thsiFinD("ths_adjustment_nv_fund",H$3,$A751))</f>
        <v/>
      </c>
      <c r="I751" s="13" t="str">
        <f>IF($A751="","",[1]!thsiFinD("ths_adjustment_nv_fund",I$3,$A751))</f>
        <v/>
      </c>
      <c r="J751" s="13" t="str">
        <f>IF($A751="","",[1]!thsiFinD("ths_adjustment_nv_fund",J$3,$A751))</f>
        <v/>
      </c>
      <c r="K751" s="13" t="str">
        <f>IF($A751="","",[1]!thsiFinD("ths_adjustment_nv_fund",K$3,$A751))</f>
        <v/>
      </c>
      <c r="L751" s="13" t="str">
        <f>IF($A751="","",[1]!thsiFinD("ths_adjustment_nv_fund",L$3,$A751))</f>
        <v/>
      </c>
      <c r="M751" s="13" t="str">
        <f>IF($A751="","",[1]!thsiFinD("ths_adjustment_nv_fund",M$3,$A751))</f>
        <v/>
      </c>
      <c r="N751" s="13" t="str">
        <f>IF($A751="","",[1]!thsiFinD("ths_adjustment_nv_fund",N$3,$A751))</f>
        <v/>
      </c>
      <c r="O751" s="13" t="str">
        <f>IF($A751="","",[1]!thsiFinD("ths_adjustment_nv_fund",O$3,$A751))</f>
        <v/>
      </c>
      <c r="P751" s="13" t="str">
        <f>IF($A751="","",[1]!thsiFinD("ths_adjustment_nv_fund",P$3,$A751))</f>
        <v/>
      </c>
      <c r="Q751" s="13" t="str">
        <f>IF($A751="","",[1]!thsiFinD("ths_adjustment_nv_fund",Q$3,$A751))</f>
        <v/>
      </c>
      <c r="R751" s="13" t="str">
        <f>IF($A751="","",[1]!thsiFinD("ths_adjustment_nv_fund",R$3,$A751))</f>
        <v/>
      </c>
      <c r="S751" s="13" t="str">
        <f>IF($A751="","",[1]!thsiFinD("ths_adjustment_nv_fund",S$3,$A751))</f>
        <v/>
      </c>
      <c r="T751" s="13" t="str">
        <f>IF($A751="","",[1]!thsiFinD("ths_adjustment_nv_fund",T$3,$A751))</f>
        <v/>
      </c>
      <c r="U751" s="13" t="str">
        <f>IF($A751="","",[1]!thsiFinD("ths_adjustment_nv_fund",U$3,$A751))</f>
        <v/>
      </c>
      <c r="V751" s="13" t="str">
        <f>IF($A751="","",[1]!thsiFinD("ths_adjustment_nv_fund",V$3,$A751))</f>
        <v/>
      </c>
      <c r="W751" s="13" t="str">
        <f>IF($A751="","",[1]!thsiFinD("ths_adjustment_nv_fund",W$3,$A751))</f>
        <v/>
      </c>
      <c r="X751" s="13" t="str">
        <f>IF($A751="","",[1]!thsiFinD("ths_adjustment_nv_fund",X$3,$A751))</f>
        <v/>
      </c>
      <c r="Y751" s="13" t="str">
        <f>IF($A751="","",[1]!thsiFinD("ths_adjustment_nv_fund",Y$3,$A751))</f>
        <v/>
      </c>
      <c r="Z751" s="13" t="str">
        <f>IF($A751="","",[1]!thsiFinD("ths_adjustment_nv_fund",Z$3,$A751))</f>
        <v/>
      </c>
      <c r="AA751" s="13" t="str">
        <f>IF($A751="","",[1]!thsiFinD("ths_adjustment_nv_fund",AA$3,$A751))</f>
        <v/>
      </c>
      <c r="AB751" s="13">
        <f>IF($A751="","",[1]!thsiFinD("ths_adjustment_nv_fund",AB$3,$A751))</f>
        <v/>
      </c>
      <c r="AC751" s="13">
        <f>IF($A751="","",[1]!thsiFinD("ths_adjustment_nv_fund",AC$3,$A751))</f>
        <v/>
      </c>
      <c r="AD751" s="13">
        <f>IF($A751="","",[1]!thsiFinD("ths_adjustment_nv_fund",AD$3,$A751))</f>
        <v/>
      </c>
      <c r="AE751" s="13">
        <f>IF($A751="","",[1]!thsiFinD("ths_adjustment_nv_fund",AE$3,$A751))</f>
        <v/>
      </c>
      <c r="AF751" s="13">
        <f>IF($A751="","",[1]!thsiFinD("ths_adjustment_nv_fund",AF$3,$A751))</f>
        <v/>
      </c>
      <c r="AG751" s="13">
        <f>IF($A751="","",[1]!thsiFinD("ths_adjustment_nv_fund",AG$3,$A751))</f>
        <v/>
      </c>
      <c r="AH751" s="13">
        <f>IF($A751="","",[1]!thsiFinD("ths_adjustment_nv_fund",AH$3,$A751))</f>
        <v/>
      </c>
      <c r="AI751" s="13">
        <f>IF($A751="","",[1]!thsiFinD("ths_adjustment_nv_fund",AI$3,$A751))</f>
        <v/>
      </c>
      <c r="AJ751" s="13">
        <f>IF($A751="","",[1]!thsiFinD("ths_adjustment_nv_fund",AJ$3,$A751))</f>
        <v/>
      </c>
      <c r="AK751" s="13">
        <f>IF($A751="","",[1]!thsiFinD("ths_adjustment_nv_fund",AK$3,$A751))</f>
        <v/>
      </c>
      <c r="AL751" s="13">
        <f>IF($A751="","",[1]!thsiFinD("ths_adjustment_nv_fund",AL$3,$A751))</f>
        <v/>
      </c>
    </row>
    <row r="752" spans="2:28">
      <c r="B752" s="13" t="str">
        <f>IF($A752="","",[1]!thsiFinD("ths_adjustment_nv_fund",B$3,$A752))</f>
        <v/>
      </c>
      <c r="C752" s="13" t="str">
        <f>IF($A752="","",[1]!thsiFinD("ths_adjustment_nv_fund",C$3,$A752))</f>
        <v/>
      </c>
      <c r="D752" s="13" t="str">
        <f>IF($A752="","",[1]!thsiFinD("ths_adjustment_nv_fund",D$3,$A752))</f>
        <v/>
      </c>
      <c r="E752" s="13" t="str">
        <f>IF($A752="","",[1]!thsiFinD("ths_adjustment_nv_fund",E$3,$A752))</f>
        <v/>
      </c>
      <c r="F752" s="13" t="str">
        <f>IF($A752="","",[1]!thsiFinD("ths_adjustment_nv_fund",F$3,$A752))</f>
        <v/>
      </c>
      <c r="G752" s="13" t="str">
        <f>IF($A752="","",[1]!thsiFinD("ths_adjustment_nv_fund",G$3,$A752))</f>
        <v/>
      </c>
      <c r="H752" s="13" t="str">
        <f>IF($A752="","",[1]!thsiFinD("ths_adjustment_nv_fund",H$3,$A752))</f>
        <v/>
      </c>
      <c r="I752" s="13" t="str">
        <f>IF($A752="","",[1]!thsiFinD("ths_adjustment_nv_fund",I$3,$A752))</f>
        <v/>
      </c>
      <c r="J752" s="13" t="str">
        <f>IF($A752="","",[1]!thsiFinD("ths_adjustment_nv_fund",J$3,$A752))</f>
        <v/>
      </c>
      <c r="K752" s="13" t="str">
        <f>IF($A752="","",[1]!thsiFinD("ths_adjustment_nv_fund",K$3,$A752))</f>
        <v/>
      </c>
      <c r="L752" s="13" t="str">
        <f>IF($A752="","",[1]!thsiFinD("ths_adjustment_nv_fund",L$3,$A752))</f>
        <v/>
      </c>
      <c r="M752" s="13" t="str">
        <f>IF($A752="","",[1]!thsiFinD("ths_adjustment_nv_fund",M$3,$A752))</f>
        <v/>
      </c>
      <c r="N752" s="13" t="str">
        <f>IF($A752="","",[1]!thsiFinD("ths_adjustment_nv_fund",N$3,$A752))</f>
        <v/>
      </c>
      <c r="O752" s="13" t="str">
        <f>IF($A752="","",[1]!thsiFinD("ths_adjustment_nv_fund",O$3,$A752))</f>
        <v/>
      </c>
      <c r="P752" s="13" t="str">
        <f>IF($A752="","",[1]!thsiFinD("ths_adjustment_nv_fund",P$3,$A752))</f>
        <v/>
      </c>
      <c r="Q752" s="13" t="str">
        <f>IF($A752="","",[1]!thsiFinD("ths_adjustment_nv_fund",Q$3,$A752))</f>
        <v/>
      </c>
      <c r="R752" s="13" t="str">
        <f>IF($A752="","",[1]!thsiFinD("ths_adjustment_nv_fund",R$3,$A752))</f>
        <v/>
      </c>
      <c r="S752" s="13" t="str">
        <f>IF($A752="","",[1]!thsiFinD("ths_adjustment_nv_fund",S$3,$A752))</f>
        <v/>
      </c>
      <c r="T752" s="13" t="str">
        <f>IF($A752="","",[1]!thsiFinD("ths_adjustment_nv_fund",T$3,$A752))</f>
        <v/>
      </c>
      <c r="U752" s="13" t="str">
        <f>IF($A752="","",[1]!thsiFinD("ths_adjustment_nv_fund",U$3,$A752))</f>
        <v/>
      </c>
      <c r="V752" s="13" t="str">
        <f>IF($A752="","",[1]!thsiFinD("ths_adjustment_nv_fund",V$3,$A752))</f>
        <v/>
      </c>
      <c r="W752" s="13" t="str">
        <f>IF($A752="","",[1]!thsiFinD("ths_adjustment_nv_fund",W$3,$A752))</f>
        <v/>
      </c>
      <c r="X752" s="13" t="str">
        <f>IF($A752="","",[1]!thsiFinD("ths_adjustment_nv_fund",X$3,$A752))</f>
        <v/>
      </c>
      <c r="Y752" s="13" t="str">
        <f>IF($A752="","",[1]!thsiFinD("ths_adjustment_nv_fund",Y$3,$A752))</f>
        <v/>
      </c>
      <c r="Z752" s="13" t="str">
        <f>IF($A752="","",[1]!thsiFinD("ths_adjustment_nv_fund",Z$3,$A752))</f>
        <v/>
      </c>
      <c r="AA752" s="13" t="str">
        <f>IF($A752="","",[1]!thsiFinD("ths_adjustment_nv_fund",AA$3,$A752))</f>
        <v/>
      </c>
      <c r="AB752" s="13">
        <f>IF($A752="","",[1]!thsiFinD("ths_adjustment_nv_fund",AB$3,$A752))</f>
        <v/>
      </c>
      <c r="AC752" s="13">
        <f>IF($A752="","",[1]!thsiFinD("ths_adjustment_nv_fund",AC$3,$A752))</f>
        <v/>
      </c>
      <c r="AD752" s="13">
        <f>IF($A752="","",[1]!thsiFinD("ths_adjustment_nv_fund",AD$3,$A752))</f>
        <v/>
      </c>
      <c r="AE752" s="13">
        <f>IF($A752="","",[1]!thsiFinD("ths_adjustment_nv_fund",AE$3,$A752))</f>
        <v/>
      </c>
      <c r="AF752" s="13">
        <f>IF($A752="","",[1]!thsiFinD("ths_adjustment_nv_fund",AF$3,$A752))</f>
        <v/>
      </c>
      <c r="AG752" s="13">
        <f>IF($A752="","",[1]!thsiFinD("ths_adjustment_nv_fund",AG$3,$A752))</f>
        <v/>
      </c>
      <c r="AH752" s="13">
        <f>IF($A752="","",[1]!thsiFinD("ths_adjustment_nv_fund",AH$3,$A752))</f>
        <v/>
      </c>
      <c r="AI752" s="13">
        <f>IF($A752="","",[1]!thsiFinD("ths_adjustment_nv_fund",AI$3,$A752))</f>
        <v/>
      </c>
      <c r="AJ752" s="13">
        <f>IF($A752="","",[1]!thsiFinD("ths_adjustment_nv_fund",AJ$3,$A752))</f>
        <v/>
      </c>
      <c r="AK752" s="13">
        <f>IF($A752="","",[1]!thsiFinD("ths_adjustment_nv_fund",AK$3,$A752))</f>
        <v/>
      </c>
      <c r="AL752" s="13">
        <f>IF($A752="","",[1]!thsiFinD("ths_adjustment_nv_fund",AL$3,$A752))</f>
        <v/>
      </c>
    </row>
    <row r="753" spans="2:28">
      <c r="B753" s="13" t="str">
        <f>IF($A753="","",[1]!thsiFinD("ths_adjustment_nv_fund",B$3,$A753))</f>
        <v/>
      </c>
      <c r="C753" s="13" t="str">
        <f>IF($A753="","",[1]!thsiFinD("ths_adjustment_nv_fund",C$3,$A753))</f>
        <v/>
      </c>
      <c r="D753" s="13" t="str">
        <f>IF($A753="","",[1]!thsiFinD("ths_adjustment_nv_fund",D$3,$A753))</f>
        <v/>
      </c>
      <c r="E753" s="13" t="str">
        <f>IF($A753="","",[1]!thsiFinD("ths_adjustment_nv_fund",E$3,$A753))</f>
        <v/>
      </c>
      <c r="F753" s="13" t="str">
        <f>IF($A753="","",[1]!thsiFinD("ths_adjustment_nv_fund",F$3,$A753))</f>
        <v/>
      </c>
      <c r="G753" s="13" t="str">
        <f>IF($A753="","",[1]!thsiFinD("ths_adjustment_nv_fund",G$3,$A753))</f>
        <v/>
      </c>
      <c r="H753" s="13" t="str">
        <f>IF($A753="","",[1]!thsiFinD("ths_adjustment_nv_fund",H$3,$A753))</f>
        <v/>
      </c>
      <c r="I753" s="13" t="str">
        <f>IF($A753="","",[1]!thsiFinD("ths_adjustment_nv_fund",I$3,$A753))</f>
        <v/>
      </c>
      <c r="J753" s="13" t="str">
        <f>IF($A753="","",[1]!thsiFinD("ths_adjustment_nv_fund",J$3,$A753))</f>
        <v/>
      </c>
      <c r="K753" s="13" t="str">
        <f>IF($A753="","",[1]!thsiFinD("ths_adjustment_nv_fund",K$3,$A753))</f>
        <v/>
      </c>
      <c r="L753" s="13" t="str">
        <f>IF($A753="","",[1]!thsiFinD("ths_adjustment_nv_fund",L$3,$A753))</f>
        <v/>
      </c>
      <c r="M753" s="13" t="str">
        <f>IF($A753="","",[1]!thsiFinD("ths_adjustment_nv_fund",M$3,$A753))</f>
        <v/>
      </c>
      <c r="N753" s="13" t="str">
        <f>IF($A753="","",[1]!thsiFinD("ths_adjustment_nv_fund",N$3,$A753))</f>
        <v/>
      </c>
      <c r="O753" s="13" t="str">
        <f>IF($A753="","",[1]!thsiFinD("ths_adjustment_nv_fund",O$3,$A753))</f>
        <v/>
      </c>
      <c r="P753" s="13" t="str">
        <f>IF($A753="","",[1]!thsiFinD("ths_adjustment_nv_fund",P$3,$A753))</f>
        <v/>
      </c>
      <c r="Q753" s="13" t="str">
        <f>IF($A753="","",[1]!thsiFinD("ths_adjustment_nv_fund",Q$3,$A753))</f>
        <v/>
      </c>
      <c r="R753" s="13" t="str">
        <f>IF($A753="","",[1]!thsiFinD("ths_adjustment_nv_fund",R$3,$A753))</f>
        <v/>
      </c>
      <c r="S753" s="13" t="str">
        <f>IF($A753="","",[1]!thsiFinD("ths_adjustment_nv_fund",S$3,$A753))</f>
        <v/>
      </c>
      <c r="T753" s="13" t="str">
        <f>IF($A753="","",[1]!thsiFinD("ths_adjustment_nv_fund",T$3,$A753))</f>
        <v/>
      </c>
      <c r="U753" s="13" t="str">
        <f>IF($A753="","",[1]!thsiFinD("ths_adjustment_nv_fund",U$3,$A753))</f>
        <v/>
      </c>
      <c r="V753" s="13" t="str">
        <f>IF($A753="","",[1]!thsiFinD("ths_adjustment_nv_fund",V$3,$A753))</f>
        <v/>
      </c>
      <c r="W753" s="13" t="str">
        <f>IF($A753="","",[1]!thsiFinD("ths_adjustment_nv_fund",W$3,$A753))</f>
        <v/>
      </c>
      <c r="X753" s="13" t="str">
        <f>IF($A753="","",[1]!thsiFinD("ths_adjustment_nv_fund",X$3,$A753))</f>
        <v/>
      </c>
      <c r="Y753" s="13" t="str">
        <f>IF($A753="","",[1]!thsiFinD("ths_adjustment_nv_fund",Y$3,$A753))</f>
        <v/>
      </c>
      <c r="Z753" s="13" t="str">
        <f>IF($A753="","",[1]!thsiFinD("ths_adjustment_nv_fund",Z$3,$A753))</f>
        <v/>
      </c>
      <c r="AA753" s="13" t="str">
        <f>IF($A753="","",[1]!thsiFinD("ths_adjustment_nv_fund",AA$3,$A753))</f>
        <v/>
      </c>
      <c r="AB753" s="13">
        <f>IF($A753="","",[1]!thsiFinD("ths_adjustment_nv_fund",AB$3,$A753))</f>
        <v/>
      </c>
      <c r="AC753" s="13">
        <f>IF($A753="","",[1]!thsiFinD("ths_adjustment_nv_fund",AC$3,$A753))</f>
        <v/>
      </c>
      <c r="AD753" s="13">
        <f>IF($A753="","",[1]!thsiFinD("ths_adjustment_nv_fund",AD$3,$A753))</f>
        <v/>
      </c>
      <c r="AE753" s="13">
        <f>IF($A753="","",[1]!thsiFinD("ths_adjustment_nv_fund",AE$3,$A753))</f>
        <v/>
      </c>
      <c r="AF753" s="13">
        <f>IF($A753="","",[1]!thsiFinD("ths_adjustment_nv_fund",AF$3,$A753))</f>
        <v/>
      </c>
      <c r="AG753" s="13">
        <f>IF($A753="","",[1]!thsiFinD("ths_adjustment_nv_fund",AG$3,$A753))</f>
        <v/>
      </c>
      <c r="AH753" s="13">
        <f>IF($A753="","",[1]!thsiFinD("ths_adjustment_nv_fund",AH$3,$A753))</f>
        <v/>
      </c>
      <c r="AI753" s="13">
        <f>IF($A753="","",[1]!thsiFinD("ths_adjustment_nv_fund",AI$3,$A753))</f>
        <v/>
      </c>
      <c r="AJ753" s="13">
        <f>IF($A753="","",[1]!thsiFinD("ths_adjustment_nv_fund",AJ$3,$A753))</f>
        <v/>
      </c>
      <c r="AK753" s="13">
        <f>IF($A753="","",[1]!thsiFinD("ths_adjustment_nv_fund",AK$3,$A753))</f>
        <v/>
      </c>
      <c r="AL753" s="13">
        <f>IF($A753="","",[1]!thsiFinD("ths_adjustment_nv_fund",AL$3,$A753))</f>
        <v/>
      </c>
    </row>
    <row r="754" spans="2:28">
      <c r="B754" s="13" t="str">
        <f>IF($A754="","",[1]!thsiFinD("ths_adjustment_nv_fund",B$3,$A754))</f>
        <v/>
      </c>
      <c r="C754" s="13" t="str">
        <f>IF($A754="","",[1]!thsiFinD("ths_adjustment_nv_fund",C$3,$A754))</f>
        <v/>
      </c>
      <c r="D754" s="13" t="str">
        <f>IF($A754="","",[1]!thsiFinD("ths_adjustment_nv_fund",D$3,$A754))</f>
        <v/>
      </c>
      <c r="E754" s="13" t="str">
        <f>IF($A754="","",[1]!thsiFinD("ths_adjustment_nv_fund",E$3,$A754))</f>
        <v/>
      </c>
      <c r="F754" s="13" t="str">
        <f>IF($A754="","",[1]!thsiFinD("ths_adjustment_nv_fund",F$3,$A754))</f>
        <v/>
      </c>
      <c r="G754" s="13" t="str">
        <f>IF($A754="","",[1]!thsiFinD("ths_adjustment_nv_fund",G$3,$A754))</f>
        <v/>
      </c>
      <c r="H754" s="13" t="str">
        <f>IF($A754="","",[1]!thsiFinD("ths_adjustment_nv_fund",H$3,$A754))</f>
        <v/>
      </c>
      <c r="I754" s="13" t="str">
        <f>IF($A754="","",[1]!thsiFinD("ths_adjustment_nv_fund",I$3,$A754))</f>
        <v/>
      </c>
      <c r="J754" s="13" t="str">
        <f>IF($A754="","",[1]!thsiFinD("ths_adjustment_nv_fund",J$3,$A754))</f>
        <v/>
      </c>
      <c r="K754" s="13" t="str">
        <f>IF($A754="","",[1]!thsiFinD("ths_adjustment_nv_fund",K$3,$A754))</f>
        <v/>
      </c>
      <c r="L754" s="13" t="str">
        <f>IF($A754="","",[1]!thsiFinD("ths_adjustment_nv_fund",L$3,$A754))</f>
        <v/>
      </c>
      <c r="M754" s="13" t="str">
        <f>IF($A754="","",[1]!thsiFinD("ths_adjustment_nv_fund",M$3,$A754))</f>
        <v/>
      </c>
      <c r="N754" s="13" t="str">
        <f>IF($A754="","",[1]!thsiFinD("ths_adjustment_nv_fund",N$3,$A754))</f>
        <v/>
      </c>
      <c r="O754" s="13" t="str">
        <f>IF($A754="","",[1]!thsiFinD("ths_adjustment_nv_fund",O$3,$A754))</f>
        <v/>
      </c>
      <c r="P754" s="13" t="str">
        <f>IF($A754="","",[1]!thsiFinD("ths_adjustment_nv_fund",P$3,$A754))</f>
        <v/>
      </c>
      <c r="Q754" s="13" t="str">
        <f>IF($A754="","",[1]!thsiFinD("ths_adjustment_nv_fund",Q$3,$A754))</f>
        <v/>
      </c>
      <c r="R754" s="13" t="str">
        <f>IF($A754="","",[1]!thsiFinD("ths_adjustment_nv_fund",R$3,$A754))</f>
        <v/>
      </c>
      <c r="S754" s="13" t="str">
        <f>IF($A754="","",[1]!thsiFinD("ths_adjustment_nv_fund",S$3,$A754))</f>
        <v/>
      </c>
      <c r="T754" s="13" t="str">
        <f>IF($A754="","",[1]!thsiFinD("ths_adjustment_nv_fund",T$3,$A754))</f>
        <v/>
      </c>
      <c r="U754" s="13" t="str">
        <f>IF($A754="","",[1]!thsiFinD("ths_adjustment_nv_fund",U$3,$A754))</f>
        <v/>
      </c>
      <c r="V754" s="13" t="str">
        <f>IF($A754="","",[1]!thsiFinD("ths_adjustment_nv_fund",V$3,$A754))</f>
        <v/>
      </c>
      <c r="W754" s="13" t="str">
        <f>IF($A754="","",[1]!thsiFinD("ths_adjustment_nv_fund",W$3,$A754))</f>
        <v/>
      </c>
      <c r="X754" s="13" t="str">
        <f>IF($A754="","",[1]!thsiFinD("ths_adjustment_nv_fund",X$3,$A754))</f>
        <v/>
      </c>
      <c r="Y754" s="13" t="str">
        <f>IF($A754="","",[1]!thsiFinD("ths_adjustment_nv_fund",Y$3,$A754))</f>
        <v/>
      </c>
      <c r="Z754" s="13" t="str">
        <f>IF($A754="","",[1]!thsiFinD("ths_adjustment_nv_fund",Z$3,$A754))</f>
        <v/>
      </c>
      <c r="AA754" s="13" t="str">
        <f>IF($A754="","",[1]!thsiFinD("ths_adjustment_nv_fund",AA$3,$A754))</f>
        <v/>
      </c>
      <c r="AB754" s="13">
        <f>IF($A754="","",[1]!thsiFinD("ths_adjustment_nv_fund",AB$3,$A754))</f>
        <v/>
      </c>
      <c r="AC754" s="13">
        <f>IF($A754="","",[1]!thsiFinD("ths_adjustment_nv_fund",AC$3,$A754))</f>
        <v/>
      </c>
      <c r="AD754" s="13">
        <f>IF($A754="","",[1]!thsiFinD("ths_adjustment_nv_fund",AD$3,$A754))</f>
        <v/>
      </c>
      <c r="AE754" s="13">
        <f>IF($A754="","",[1]!thsiFinD("ths_adjustment_nv_fund",AE$3,$A754))</f>
        <v/>
      </c>
      <c r="AF754" s="13">
        <f>IF($A754="","",[1]!thsiFinD("ths_adjustment_nv_fund",AF$3,$A754))</f>
        <v/>
      </c>
      <c r="AG754" s="13">
        <f>IF($A754="","",[1]!thsiFinD("ths_adjustment_nv_fund",AG$3,$A754))</f>
        <v/>
      </c>
      <c r="AH754" s="13">
        <f>IF($A754="","",[1]!thsiFinD("ths_adjustment_nv_fund",AH$3,$A754))</f>
        <v/>
      </c>
      <c r="AI754" s="13">
        <f>IF($A754="","",[1]!thsiFinD("ths_adjustment_nv_fund",AI$3,$A754))</f>
        <v/>
      </c>
      <c r="AJ754" s="13">
        <f>IF($A754="","",[1]!thsiFinD("ths_adjustment_nv_fund",AJ$3,$A754))</f>
        <v/>
      </c>
      <c r="AK754" s="13">
        <f>IF($A754="","",[1]!thsiFinD("ths_adjustment_nv_fund",AK$3,$A754))</f>
        <v/>
      </c>
      <c r="AL754" s="13">
        <f>IF($A754="","",[1]!thsiFinD("ths_adjustment_nv_fund",AL$3,$A754))</f>
        <v/>
      </c>
    </row>
    <row r="755" spans="2:28">
      <c r="B755" s="13" t="str">
        <f>IF($A755="","",[1]!thsiFinD("ths_adjustment_nv_fund",B$3,$A755))</f>
        <v/>
      </c>
      <c r="C755" s="13" t="str">
        <f>IF($A755="","",[1]!thsiFinD("ths_adjustment_nv_fund",C$3,$A755))</f>
        <v/>
      </c>
      <c r="D755" s="13" t="str">
        <f>IF($A755="","",[1]!thsiFinD("ths_adjustment_nv_fund",D$3,$A755))</f>
        <v/>
      </c>
      <c r="E755" s="13" t="str">
        <f>IF($A755="","",[1]!thsiFinD("ths_adjustment_nv_fund",E$3,$A755))</f>
        <v/>
      </c>
      <c r="F755" s="13" t="str">
        <f>IF($A755="","",[1]!thsiFinD("ths_adjustment_nv_fund",F$3,$A755))</f>
        <v/>
      </c>
      <c r="G755" s="13" t="str">
        <f>IF($A755="","",[1]!thsiFinD("ths_adjustment_nv_fund",G$3,$A755))</f>
        <v/>
      </c>
      <c r="H755" s="13" t="str">
        <f>IF($A755="","",[1]!thsiFinD("ths_adjustment_nv_fund",H$3,$A755))</f>
        <v/>
      </c>
      <c r="I755" s="13" t="str">
        <f>IF($A755="","",[1]!thsiFinD("ths_adjustment_nv_fund",I$3,$A755))</f>
        <v/>
      </c>
      <c r="J755" s="13" t="str">
        <f>IF($A755="","",[1]!thsiFinD("ths_adjustment_nv_fund",J$3,$A755))</f>
        <v/>
      </c>
      <c r="K755" s="13" t="str">
        <f>IF($A755="","",[1]!thsiFinD("ths_adjustment_nv_fund",K$3,$A755))</f>
        <v/>
      </c>
      <c r="L755" s="13" t="str">
        <f>IF($A755="","",[1]!thsiFinD("ths_adjustment_nv_fund",L$3,$A755))</f>
        <v/>
      </c>
      <c r="M755" s="13" t="str">
        <f>IF($A755="","",[1]!thsiFinD("ths_adjustment_nv_fund",M$3,$A755))</f>
        <v/>
      </c>
      <c r="N755" s="13" t="str">
        <f>IF($A755="","",[1]!thsiFinD("ths_adjustment_nv_fund",N$3,$A755))</f>
        <v/>
      </c>
      <c r="O755" s="13" t="str">
        <f>IF($A755="","",[1]!thsiFinD("ths_adjustment_nv_fund",O$3,$A755))</f>
        <v/>
      </c>
      <c r="P755" s="13" t="str">
        <f>IF($A755="","",[1]!thsiFinD("ths_adjustment_nv_fund",P$3,$A755))</f>
        <v/>
      </c>
      <c r="Q755" s="13" t="str">
        <f>IF($A755="","",[1]!thsiFinD("ths_adjustment_nv_fund",Q$3,$A755))</f>
        <v/>
      </c>
      <c r="R755" s="13" t="str">
        <f>IF($A755="","",[1]!thsiFinD("ths_adjustment_nv_fund",R$3,$A755))</f>
        <v/>
      </c>
      <c r="S755" s="13" t="str">
        <f>IF($A755="","",[1]!thsiFinD("ths_adjustment_nv_fund",S$3,$A755))</f>
        <v/>
      </c>
      <c r="T755" s="13" t="str">
        <f>IF($A755="","",[1]!thsiFinD("ths_adjustment_nv_fund",T$3,$A755))</f>
        <v/>
      </c>
      <c r="U755" s="13" t="str">
        <f>IF($A755="","",[1]!thsiFinD("ths_adjustment_nv_fund",U$3,$A755))</f>
        <v/>
      </c>
      <c r="V755" s="13" t="str">
        <f>IF($A755="","",[1]!thsiFinD("ths_adjustment_nv_fund",V$3,$A755))</f>
        <v/>
      </c>
      <c r="W755" s="13" t="str">
        <f>IF($A755="","",[1]!thsiFinD("ths_adjustment_nv_fund",W$3,$A755))</f>
        <v/>
      </c>
      <c r="X755" s="13" t="str">
        <f>IF($A755="","",[1]!thsiFinD("ths_adjustment_nv_fund",X$3,$A755))</f>
        <v/>
      </c>
      <c r="Y755" s="13" t="str">
        <f>IF($A755="","",[1]!thsiFinD("ths_adjustment_nv_fund",Y$3,$A755))</f>
        <v/>
      </c>
      <c r="Z755" s="13" t="str">
        <f>IF($A755="","",[1]!thsiFinD("ths_adjustment_nv_fund",Z$3,$A755))</f>
        <v/>
      </c>
      <c r="AA755" s="13" t="str">
        <f>IF($A755="","",[1]!thsiFinD("ths_adjustment_nv_fund",AA$3,$A755))</f>
        <v/>
      </c>
      <c r="AB755" s="13">
        <f>IF($A755="","",[1]!thsiFinD("ths_adjustment_nv_fund",AB$3,$A755))</f>
        <v/>
      </c>
      <c r="AC755" s="13">
        <f>IF($A755="","",[1]!thsiFinD("ths_adjustment_nv_fund",AC$3,$A755))</f>
        <v/>
      </c>
      <c r="AD755" s="13">
        <f>IF($A755="","",[1]!thsiFinD("ths_adjustment_nv_fund",AD$3,$A755))</f>
        <v/>
      </c>
      <c r="AE755" s="13">
        <f>IF($A755="","",[1]!thsiFinD("ths_adjustment_nv_fund",AE$3,$A755))</f>
        <v/>
      </c>
      <c r="AF755" s="13">
        <f>IF($A755="","",[1]!thsiFinD("ths_adjustment_nv_fund",AF$3,$A755))</f>
        <v/>
      </c>
      <c r="AG755" s="13">
        <f>IF($A755="","",[1]!thsiFinD("ths_adjustment_nv_fund",AG$3,$A755))</f>
        <v/>
      </c>
      <c r="AH755" s="13">
        <f>IF($A755="","",[1]!thsiFinD("ths_adjustment_nv_fund",AH$3,$A755))</f>
        <v/>
      </c>
      <c r="AI755" s="13">
        <f>IF($A755="","",[1]!thsiFinD("ths_adjustment_nv_fund",AI$3,$A755))</f>
        <v/>
      </c>
      <c r="AJ755" s="13">
        <f>IF($A755="","",[1]!thsiFinD("ths_adjustment_nv_fund",AJ$3,$A755))</f>
        <v/>
      </c>
      <c r="AK755" s="13">
        <f>IF($A755="","",[1]!thsiFinD("ths_adjustment_nv_fund",AK$3,$A755))</f>
        <v/>
      </c>
      <c r="AL755" s="13">
        <f>IF($A755="","",[1]!thsiFinD("ths_adjustment_nv_fund",AL$3,$A755))</f>
        <v/>
      </c>
    </row>
    <row r="756" spans="2:28">
      <c r="B756" s="13" t="str">
        <f>IF($A756="","",[1]!thsiFinD("ths_adjustment_nv_fund",B$3,$A756))</f>
        <v/>
      </c>
      <c r="C756" s="13" t="str">
        <f>IF($A756="","",[1]!thsiFinD("ths_adjustment_nv_fund",C$3,$A756))</f>
        <v/>
      </c>
      <c r="D756" s="13" t="str">
        <f>IF($A756="","",[1]!thsiFinD("ths_adjustment_nv_fund",D$3,$A756))</f>
        <v/>
      </c>
      <c r="E756" s="13" t="str">
        <f>IF($A756="","",[1]!thsiFinD("ths_adjustment_nv_fund",E$3,$A756))</f>
        <v/>
      </c>
      <c r="F756" s="13" t="str">
        <f>IF($A756="","",[1]!thsiFinD("ths_adjustment_nv_fund",F$3,$A756))</f>
        <v/>
      </c>
      <c r="G756" s="13" t="str">
        <f>IF($A756="","",[1]!thsiFinD("ths_adjustment_nv_fund",G$3,$A756))</f>
        <v/>
      </c>
      <c r="H756" s="13" t="str">
        <f>IF($A756="","",[1]!thsiFinD("ths_adjustment_nv_fund",H$3,$A756))</f>
        <v/>
      </c>
      <c r="I756" s="13" t="str">
        <f>IF($A756="","",[1]!thsiFinD("ths_adjustment_nv_fund",I$3,$A756))</f>
        <v/>
      </c>
      <c r="J756" s="13" t="str">
        <f>IF($A756="","",[1]!thsiFinD("ths_adjustment_nv_fund",J$3,$A756))</f>
        <v/>
      </c>
      <c r="K756" s="13" t="str">
        <f>IF($A756="","",[1]!thsiFinD("ths_adjustment_nv_fund",K$3,$A756))</f>
        <v/>
      </c>
      <c r="L756" s="13" t="str">
        <f>IF($A756="","",[1]!thsiFinD("ths_adjustment_nv_fund",L$3,$A756))</f>
        <v/>
      </c>
      <c r="M756" s="13" t="str">
        <f>IF($A756="","",[1]!thsiFinD("ths_adjustment_nv_fund",M$3,$A756))</f>
        <v/>
      </c>
      <c r="N756" s="13" t="str">
        <f>IF($A756="","",[1]!thsiFinD("ths_adjustment_nv_fund",N$3,$A756))</f>
        <v/>
      </c>
      <c r="O756" s="13" t="str">
        <f>IF($A756="","",[1]!thsiFinD("ths_adjustment_nv_fund",O$3,$A756))</f>
        <v/>
      </c>
      <c r="P756" s="13" t="str">
        <f>IF($A756="","",[1]!thsiFinD("ths_adjustment_nv_fund",P$3,$A756))</f>
        <v/>
      </c>
      <c r="Q756" s="13" t="str">
        <f>IF($A756="","",[1]!thsiFinD("ths_adjustment_nv_fund",Q$3,$A756))</f>
        <v/>
      </c>
      <c r="R756" s="13" t="str">
        <f>IF($A756="","",[1]!thsiFinD("ths_adjustment_nv_fund",R$3,$A756))</f>
        <v/>
      </c>
      <c r="S756" s="13" t="str">
        <f>IF($A756="","",[1]!thsiFinD("ths_adjustment_nv_fund",S$3,$A756))</f>
        <v/>
      </c>
      <c r="T756" s="13" t="str">
        <f>IF($A756="","",[1]!thsiFinD("ths_adjustment_nv_fund",T$3,$A756))</f>
        <v/>
      </c>
      <c r="U756" s="13" t="str">
        <f>IF($A756="","",[1]!thsiFinD("ths_adjustment_nv_fund",U$3,$A756))</f>
        <v/>
      </c>
      <c r="V756" s="13" t="str">
        <f>IF($A756="","",[1]!thsiFinD("ths_adjustment_nv_fund",V$3,$A756))</f>
        <v/>
      </c>
      <c r="W756" s="13" t="str">
        <f>IF($A756="","",[1]!thsiFinD("ths_adjustment_nv_fund",W$3,$A756))</f>
        <v/>
      </c>
      <c r="X756" s="13" t="str">
        <f>IF($A756="","",[1]!thsiFinD("ths_adjustment_nv_fund",X$3,$A756))</f>
        <v/>
      </c>
      <c r="Y756" s="13" t="str">
        <f>IF($A756="","",[1]!thsiFinD("ths_adjustment_nv_fund",Y$3,$A756))</f>
        <v/>
      </c>
      <c r="Z756" s="13" t="str">
        <f>IF($A756="","",[1]!thsiFinD("ths_adjustment_nv_fund",Z$3,$A756))</f>
        <v/>
      </c>
      <c r="AA756" s="13" t="str">
        <f>IF($A756="","",[1]!thsiFinD("ths_adjustment_nv_fund",AA$3,$A756))</f>
        <v/>
      </c>
      <c r="AB756" s="13">
        <f>IF($A756="","",[1]!thsiFinD("ths_adjustment_nv_fund",AB$3,$A756))</f>
        <v/>
      </c>
      <c r="AC756" s="13">
        <f>IF($A756="","",[1]!thsiFinD("ths_adjustment_nv_fund",AC$3,$A756))</f>
        <v/>
      </c>
      <c r="AD756" s="13">
        <f>IF($A756="","",[1]!thsiFinD("ths_adjustment_nv_fund",AD$3,$A756))</f>
        <v/>
      </c>
      <c r="AE756" s="13">
        <f>IF($A756="","",[1]!thsiFinD("ths_adjustment_nv_fund",AE$3,$A756))</f>
        <v/>
      </c>
      <c r="AF756" s="13">
        <f>IF($A756="","",[1]!thsiFinD("ths_adjustment_nv_fund",AF$3,$A756))</f>
        <v/>
      </c>
      <c r="AG756" s="13">
        <f>IF($A756="","",[1]!thsiFinD("ths_adjustment_nv_fund",AG$3,$A756))</f>
        <v/>
      </c>
      <c r="AH756" s="13">
        <f>IF($A756="","",[1]!thsiFinD("ths_adjustment_nv_fund",AH$3,$A756))</f>
        <v/>
      </c>
      <c r="AI756" s="13">
        <f>IF($A756="","",[1]!thsiFinD("ths_adjustment_nv_fund",AI$3,$A756))</f>
        <v/>
      </c>
      <c r="AJ756" s="13">
        <f>IF($A756="","",[1]!thsiFinD("ths_adjustment_nv_fund",AJ$3,$A756))</f>
        <v/>
      </c>
      <c r="AK756" s="13">
        <f>IF($A756="","",[1]!thsiFinD("ths_adjustment_nv_fund",AK$3,$A756))</f>
        <v/>
      </c>
      <c r="AL756" s="13">
        <f>IF($A756="","",[1]!thsiFinD("ths_adjustment_nv_fund",AL$3,$A756))</f>
        <v/>
      </c>
    </row>
    <row r="757" spans="2:28">
      <c r="B757" s="13" t="str">
        <f>IF($A757="","",[1]!thsiFinD("ths_adjustment_nv_fund",B$3,$A757))</f>
        <v/>
      </c>
      <c r="C757" s="13" t="str">
        <f>IF($A757="","",[1]!thsiFinD("ths_adjustment_nv_fund",C$3,$A757))</f>
        <v/>
      </c>
      <c r="D757" s="13" t="str">
        <f>IF($A757="","",[1]!thsiFinD("ths_adjustment_nv_fund",D$3,$A757))</f>
        <v/>
      </c>
      <c r="E757" s="13" t="str">
        <f>IF($A757="","",[1]!thsiFinD("ths_adjustment_nv_fund",E$3,$A757))</f>
        <v/>
      </c>
      <c r="F757" s="13" t="str">
        <f>IF($A757="","",[1]!thsiFinD("ths_adjustment_nv_fund",F$3,$A757))</f>
        <v/>
      </c>
      <c r="G757" s="13" t="str">
        <f>IF($A757="","",[1]!thsiFinD("ths_adjustment_nv_fund",G$3,$A757))</f>
        <v/>
      </c>
      <c r="H757" s="13" t="str">
        <f>IF($A757="","",[1]!thsiFinD("ths_adjustment_nv_fund",H$3,$A757))</f>
        <v/>
      </c>
      <c r="I757" s="13" t="str">
        <f>IF($A757="","",[1]!thsiFinD("ths_adjustment_nv_fund",I$3,$A757))</f>
        <v/>
      </c>
      <c r="J757" s="13" t="str">
        <f>IF($A757="","",[1]!thsiFinD("ths_adjustment_nv_fund",J$3,$A757))</f>
        <v/>
      </c>
      <c r="K757" s="13" t="str">
        <f>IF($A757="","",[1]!thsiFinD("ths_adjustment_nv_fund",K$3,$A757))</f>
        <v/>
      </c>
      <c r="L757" s="13" t="str">
        <f>IF($A757="","",[1]!thsiFinD("ths_adjustment_nv_fund",L$3,$A757))</f>
        <v/>
      </c>
      <c r="M757" s="13" t="str">
        <f>IF($A757="","",[1]!thsiFinD("ths_adjustment_nv_fund",M$3,$A757))</f>
        <v/>
      </c>
      <c r="N757" s="13" t="str">
        <f>IF($A757="","",[1]!thsiFinD("ths_adjustment_nv_fund",N$3,$A757))</f>
        <v/>
      </c>
      <c r="O757" s="13" t="str">
        <f>IF($A757="","",[1]!thsiFinD("ths_adjustment_nv_fund",O$3,$A757))</f>
        <v/>
      </c>
      <c r="P757" s="13" t="str">
        <f>IF($A757="","",[1]!thsiFinD("ths_adjustment_nv_fund",P$3,$A757))</f>
        <v/>
      </c>
      <c r="Q757" s="13" t="str">
        <f>IF($A757="","",[1]!thsiFinD("ths_adjustment_nv_fund",Q$3,$A757))</f>
        <v/>
      </c>
      <c r="R757" s="13" t="str">
        <f>IF($A757="","",[1]!thsiFinD("ths_adjustment_nv_fund",R$3,$A757))</f>
        <v/>
      </c>
      <c r="S757" s="13" t="str">
        <f>IF($A757="","",[1]!thsiFinD("ths_adjustment_nv_fund",S$3,$A757))</f>
        <v/>
      </c>
      <c r="T757" s="13" t="str">
        <f>IF($A757="","",[1]!thsiFinD("ths_adjustment_nv_fund",T$3,$A757))</f>
        <v/>
      </c>
      <c r="U757" s="13" t="str">
        <f>IF($A757="","",[1]!thsiFinD("ths_adjustment_nv_fund",U$3,$A757))</f>
        <v/>
      </c>
      <c r="V757" s="13" t="str">
        <f>IF($A757="","",[1]!thsiFinD("ths_adjustment_nv_fund",V$3,$A757))</f>
        <v/>
      </c>
      <c r="W757" s="13" t="str">
        <f>IF($A757="","",[1]!thsiFinD("ths_adjustment_nv_fund",W$3,$A757))</f>
        <v/>
      </c>
      <c r="X757" s="13" t="str">
        <f>IF($A757="","",[1]!thsiFinD("ths_adjustment_nv_fund",X$3,$A757))</f>
        <v/>
      </c>
      <c r="Y757" s="13" t="str">
        <f>IF($A757="","",[1]!thsiFinD("ths_adjustment_nv_fund",Y$3,$A757))</f>
        <v/>
      </c>
      <c r="Z757" s="13" t="str">
        <f>IF($A757="","",[1]!thsiFinD("ths_adjustment_nv_fund",Z$3,$A757))</f>
        <v/>
      </c>
      <c r="AA757" s="13" t="str">
        <f>IF($A757="","",[1]!thsiFinD("ths_adjustment_nv_fund",AA$3,$A757))</f>
        <v/>
      </c>
      <c r="AB757" s="13">
        <f>IF($A757="","",[1]!thsiFinD("ths_adjustment_nv_fund",AB$3,$A757))</f>
        <v/>
      </c>
      <c r="AC757" s="13">
        <f>IF($A757="","",[1]!thsiFinD("ths_adjustment_nv_fund",AC$3,$A757))</f>
        <v/>
      </c>
      <c r="AD757" s="13">
        <f>IF($A757="","",[1]!thsiFinD("ths_adjustment_nv_fund",AD$3,$A757))</f>
        <v/>
      </c>
      <c r="AE757" s="13">
        <f>IF($A757="","",[1]!thsiFinD("ths_adjustment_nv_fund",AE$3,$A757))</f>
        <v/>
      </c>
      <c r="AF757" s="13">
        <f>IF($A757="","",[1]!thsiFinD("ths_adjustment_nv_fund",AF$3,$A757))</f>
        <v/>
      </c>
      <c r="AG757" s="13">
        <f>IF($A757="","",[1]!thsiFinD("ths_adjustment_nv_fund",AG$3,$A757))</f>
        <v/>
      </c>
      <c r="AH757" s="13">
        <f>IF($A757="","",[1]!thsiFinD("ths_adjustment_nv_fund",AH$3,$A757))</f>
        <v/>
      </c>
      <c r="AI757" s="13">
        <f>IF($A757="","",[1]!thsiFinD("ths_adjustment_nv_fund",AI$3,$A757))</f>
        <v/>
      </c>
      <c r="AJ757" s="13">
        <f>IF($A757="","",[1]!thsiFinD("ths_adjustment_nv_fund",AJ$3,$A757))</f>
        <v/>
      </c>
      <c r="AK757" s="13">
        <f>IF($A757="","",[1]!thsiFinD("ths_adjustment_nv_fund",AK$3,$A757))</f>
        <v/>
      </c>
      <c r="AL757" s="13">
        <f>IF($A757="","",[1]!thsiFinD("ths_adjustment_nv_fund",AL$3,$A757))</f>
        <v/>
      </c>
    </row>
    <row r="758" spans="2:28">
      <c r="B758" s="13" t="str">
        <f>IF($A758="","",[1]!thsiFinD("ths_adjustment_nv_fund",B$3,$A758))</f>
        <v/>
      </c>
      <c r="C758" s="13" t="str">
        <f>IF($A758="","",[1]!thsiFinD("ths_adjustment_nv_fund",C$3,$A758))</f>
        <v/>
      </c>
      <c r="D758" s="13" t="str">
        <f>IF($A758="","",[1]!thsiFinD("ths_adjustment_nv_fund",D$3,$A758))</f>
        <v/>
      </c>
      <c r="E758" s="13" t="str">
        <f>IF($A758="","",[1]!thsiFinD("ths_adjustment_nv_fund",E$3,$A758))</f>
        <v/>
      </c>
      <c r="F758" s="13" t="str">
        <f>IF($A758="","",[1]!thsiFinD("ths_adjustment_nv_fund",F$3,$A758))</f>
        <v/>
      </c>
      <c r="G758" s="13" t="str">
        <f>IF($A758="","",[1]!thsiFinD("ths_adjustment_nv_fund",G$3,$A758))</f>
        <v/>
      </c>
      <c r="H758" s="13" t="str">
        <f>IF($A758="","",[1]!thsiFinD("ths_adjustment_nv_fund",H$3,$A758))</f>
        <v/>
      </c>
      <c r="I758" s="13" t="str">
        <f>IF($A758="","",[1]!thsiFinD("ths_adjustment_nv_fund",I$3,$A758))</f>
        <v/>
      </c>
      <c r="J758" s="13" t="str">
        <f>IF($A758="","",[1]!thsiFinD("ths_adjustment_nv_fund",J$3,$A758))</f>
        <v/>
      </c>
      <c r="K758" s="13" t="str">
        <f>IF($A758="","",[1]!thsiFinD("ths_adjustment_nv_fund",K$3,$A758))</f>
        <v/>
      </c>
      <c r="L758" s="13" t="str">
        <f>IF($A758="","",[1]!thsiFinD("ths_adjustment_nv_fund",L$3,$A758))</f>
        <v/>
      </c>
      <c r="M758" s="13" t="str">
        <f>IF($A758="","",[1]!thsiFinD("ths_adjustment_nv_fund",M$3,$A758))</f>
        <v/>
      </c>
      <c r="N758" s="13" t="str">
        <f>IF($A758="","",[1]!thsiFinD("ths_adjustment_nv_fund",N$3,$A758))</f>
        <v/>
      </c>
      <c r="O758" s="13" t="str">
        <f>IF($A758="","",[1]!thsiFinD("ths_adjustment_nv_fund",O$3,$A758))</f>
        <v/>
      </c>
      <c r="P758" s="13" t="str">
        <f>IF($A758="","",[1]!thsiFinD("ths_adjustment_nv_fund",P$3,$A758))</f>
        <v/>
      </c>
      <c r="Q758" s="13" t="str">
        <f>IF($A758="","",[1]!thsiFinD("ths_adjustment_nv_fund",Q$3,$A758))</f>
        <v/>
      </c>
      <c r="R758" s="13" t="str">
        <f>IF($A758="","",[1]!thsiFinD("ths_adjustment_nv_fund",R$3,$A758))</f>
        <v/>
      </c>
      <c r="S758" s="13" t="str">
        <f>IF($A758="","",[1]!thsiFinD("ths_adjustment_nv_fund",S$3,$A758))</f>
        <v/>
      </c>
      <c r="T758" s="13" t="str">
        <f>IF($A758="","",[1]!thsiFinD("ths_adjustment_nv_fund",T$3,$A758))</f>
        <v/>
      </c>
      <c r="U758" s="13" t="str">
        <f>IF($A758="","",[1]!thsiFinD("ths_adjustment_nv_fund",U$3,$A758))</f>
        <v/>
      </c>
      <c r="V758" s="13" t="str">
        <f>IF($A758="","",[1]!thsiFinD("ths_adjustment_nv_fund",V$3,$A758))</f>
        <v/>
      </c>
      <c r="W758" s="13" t="str">
        <f>IF($A758="","",[1]!thsiFinD("ths_adjustment_nv_fund",W$3,$A758))</f>
        <v/>
      </c>
      <c r="X758" s="13" t="str">
        <f>IF($A758="","",[1]!thsiFinD("ths_adjustment_nv_fund",X$3,$A758))</f>
        <v/>
      </c>
      <c r="Y758" s="13" t="str">
        <f>IF($A758="","",[1]!thsiFinD("ths_adjustment_nv_fund",Y$3,$A758))</f>
        <v/>
      </c>
      <c r="Z758" s="13" t="str">
        <f>IF($A758="","",[1]!thsiFinD("ths_adjustment_nv_fund",Z$3,$A758))</f>
        <v/>
      </c>
      <c r="AA758" s="13" t="str">
        <f>IF($A758="","",[1]!thsiFinD("ths_adjustment_nv_fund",AA$3,$A758))</f>
        <v/>
      </c>
      <c r="AB758" s="13">
        <f>IF($A758="","",[1]!thsiFinD("ths_adjustment_nv_fund",AB$3,$A758))</f>
        <v/>
      </c>
      <c r="AC758" s="13">
        <f>IF($A758="","",[1]!thsiFinD("ths_adjustment_nv_fund",AC$3,$A758))</f>
        <v/>
      </c>
      <c r="AD758" s="13">
        <f>IF($A758="","",[1]!thsiFinD("ths_adjustment_nv_fund",AD$3,$A758))</f>
        <v/>
      </c>
      <c r="AE758" s="13">
        <f>IF($A758="","",[1]!thsiFinD("ths_adjustment_nv_fund",AE$3,$A758))</f>
        <v/>
      </c>
      <c r="AF758" s="13">
        <f>IF($A758="","",[1]!thsiFinD("ths_adjustment_nv_fund",AF$3,$A758))</f>
        <v/>
      </c>
      <c r="AG758" s="13">
        <f>IF($A758="","",[1]!thsiFinD("ths_adjustment_nv_fund",AG$3,$A758))</f>
        <v/>
      </c>
      <c r="AH758" s="13">
        <f>IF($A758="","",[1]!thsiFinD("ths_adjustment_nv_fund",AH$3,$A758))</f>
        <v/>
      </c>
      <c r="AI758" s="13">
        <f>IF($A758="","",[1]!thsiFinD("ths_adjustment_nv_fund",AI$3,$A758))</f>
        <v/>
      </c>
      <c r="AJ758" s="13">
        <f>IF($A758="","",[1]!thsiFinD("ths_adjustment_nv_fund",AJ$3,$A758))</f>
        <v/>
      </c>
      <c r="AK758" s="13">
        <f>IF($A758="","",[1]!thsiFinD("ths_adjustment_nv_fund",AK$3,$A758))</f>
        <v/>
      </c>
      <c r="AL758" s="13">
        <f>IF($A758="","",[1]!thsiFinD("ths_adjustment_nv_fund",AL$3,$A758))</f>
        <v/>
      </c>
    </row>
    <row r="759" spans="2:28">
      <c r="B759" s="13" t="str">
        <f>IF($A759="","",[1]!thsiFinD("ths_adjustment_nv_fund",B$3,$A759))</f>
        <v/>
      </c>
      <c r="C759" s="13" t="str">
        <f>IF($A759="","",[1]!thsiFinD("ths_adjustment_nv_fund",C$3,$A759))</f>
        <v/>
      </c>
      <c r="D759" s="13" t="str">
        <f>IF($A759="","",[1]!thsiFinD("ths_adjustment_nv_fund",D$3,$A759))</f>
        <v/>
      </c>
      <c r="E759" s="13" t="str">
        <f>IF($A759="","",[1]!thsiFinD("ths_adjustment_nv_fund",E$3,$A759))</f>
        <v/>
      </c>
      <c r="F759" s="13" t="str">
        <f>IF($A759="","",[1]!thsiFinD("ths_adjustment_nv_fund",F$3,$A759))</f>
        <v/>
      </c>
      <c r="G759" s="13" t="str">
        <f>IF($A759="","",[1]!thsiFinD("ths_adjustment_nv_fund",G$3,$A759))</f>
        <v/>
      </c>
      <c r="H759" s="13" t="str">
        <f>IF($A759="","",[1]!thsiFinD("ths_adjustment_nv_fund",H$3,$A759))</f>
        <v/>
      </c>
      <c r="I759" s="13" t="str">
        <f>IF($A759="","",[1]!thsiFinD("ths_adjustment_nv_fund",I$3,$A759))</f>
        <v/>
      </c>
      <c r="J759" s="13" t="str">
        <f>IF($A759="","",[1]!thsiFinD("ths_adjustment_nv_fund",J$3,$A759))</f>
        <v/>
      </c>
      <c r="K759" s="13" t="str">
        <f>IF($A759="","",[1]!thsiFinD("ths_adjustment_nv_fund",K$3,$A759))</f>
        <v/>
      </c>
      <c r="L759" s="13" t="str">
        <f>IF($A759="","",[1]!thsiFinD("ths_adjustment_nv_fund",L$3,$A759))</f>
        <v/>
      </c>
      <c r="M759" s="13" t="str">
        <f>IF($A759="","",[1]!thsiFinD("ths_adjustment_nv_fund",M$3,$A759))</f>
        <v/>
      </c>
      <c r="N759" s="13" t="str">
        <f>IF($A759="","",[1]!thsiFinD("ths_adjustment_nv_fund",N$3,$A759))</f>
        <v/>
      </c>
      <c r="O759" s="13" t="str">
        <f>IF($A759="","",[1]!thsiFinD("ths_adjustment_nv_fund",O$3,$A759))</f>
        <v/>
      </c>
      <c r="P759" s="13" t="str">
        <f>IF($A759="","",[1]!thsiFinD("ths_adjustment_nv_fund",P$3,$A759))</f>
        <v/>
      </c>
      <c r="Q759" s="13" t="str">
        <f>IF($A759="","",[1]!thsiFinD("ths_adjustment_nv_fund",Q$3,$A759))</f>
        <v/>
      </c>
      <c r="R759" s="13" t="str">
        <f>IF($A759="","",[1]!thsiFinD("ths_adjustment_nv_fund",R$3,$A759))</f>
        <v/>
      </c>
      <c r="S759" s="13" t="str">
        <f>IF($A759="","",[1]!thsiFinD("ths_adjustment_nv_fund",S$3,$A759))</f>
        <v/>
      </c>
      <c r="T759" s="13" t="str">
        <f>IF($A759="","",[1]!thsiFinD("ths_adjustment_nv_fund",T$3,$A759))</f>
        <v/>
      </c>
      <c r="U759" s="13" t="str">
        <f>IF($A759="","",[1]!thsiFinD("ths_adjustment_nv_fund",U$3,$A759))</f>
        <v/>
      </c>
      <c r="V759" s="13" t="str">
        <f>IF($A759="","",[1]!thsiFinD("ths_adjustment_nv_fund",V$3,$A759))</f>
        <v/>
      </c>
      <c r="W759" s="13" t="str">
        <f>IF($A759="","",[1]!thsiFinD("ths_adjustment_nv_fund",W$3,$A759))</f>
        <v/>
      </c>
      <c r="X759" s="13" t="str">
        <f>IF($A759="","",[1]!thsiFinD("ths_adjustment_nv_fund",X$3,$A759))</f>
        <v/>
      </c>
      <c r="Y759" s="13" t="str">
        <f>IF($A759="","",[1]!thsiFinD("ths_adjustment_nv_fund",Y$3,$A759))</f>
        <v/>
      </c>
      <c r="Z759" s="13" t="str">
        <f>IF($A759="","",[1]!thsiFinD("ths_adjustment_nv_fund",Z$3,$A759))</f>
        <v/>
      </c>
      <c r="AA759" s="13" t="str">
        <f>IF($A759="","",[1]!thsiFinD("ths_adjustment_nv_fund",AA$3,$A759))</f>
        <v/>
      </c>
      <c r="AB759" s="13">
        <f>IF($A759="","",[1]!thsiFinD("ths_adjustment_nv_fund",AB$3,$A759))</f>
        <v/>
      </c>
      <c r="AC759" s="13">
        <f>IF($A759="","",[1]!thsiFinD("ths_adjustment_nv_fund",AC$3,$A759))</f>
        <v/>
      </c>
      <c r="AD759" s="13">
        <f>IF($A759="","",[1]!thsiFinD("ths_adjustment_nv_fund",AD$3,$A759))</f>
        <v/>
      </c>
      <c r="AE759" s="13">
        <f>IF($A759="","",[1]!thsiFinD("ths_adjustment_nv_fund",AE$3,$A759))</f>
        <v/>
      </c>
      <c r="AF759" s="13">
        <f>IF($A759="","",[1]!thsiFinD("ths_adjustment_nv_fund",AF$3,$A759))</f>
        <v/>
      </c>
      <c r="AG759" s="13">
        <f>IF($A759="","",[1]!thsiFinD("ths_adjustment_nv_fund",AG$3,$A759))</f>
        <v/>
      </c>
      <c r="AH759" s="13">
        <f>IF($A759="","",[1]!thsiFinD("ths_adjustment_nv_fund",AH$3,$A759))</f>
        <v/>
      </c>
      <c r="AI759" s="13">
        <f>IF($A759="","",[1]!thsiFinD("ths_adjustment_nv_fund",AI$3,$A759))</f>
        <v/>
      </c>
      <c r="AJ759" s="13">
        <f>IF($A759="","",[1]!thsiFinD("ths_adjustment_nv_fund",AJ$3,$A759))</f>
        <v/>
      </c>
      <c r="AK759" s="13">
        <f>IF($A759="","",[1]!thsiFinD("ths_adjustment_nv_fund",AK$3,$A759))</f>
        <v/>
      </c>
      <c r="AL759" s="13">
        <f>IF($A759="","",[1]!thsiFinD("ths_adjustment_nv_fund",AL$3,$A759))</f>
        <v/>
      </c>
    </row>
    <row r="760" spans="2:28">
      <c r="B760" s="13" t="str">
        <f>IF($A760="","",[1]!thsiFinD("ths_adjustment_nv_fund",B$3,$A760))</f>
        <v/>
      </c>
      <c r="C760" s="13" t="str">
        <f>IF($A760="","",[1]!thsiFinD("ths_adjustment_nv_fund",C$3,$A760))</f>
        <v/>
      </c>
      <c r="D760" s="13" t="str">
        <f>IF($A760="","",[1]!thsiFinD("ths_adjustment_nv_fund",D$3,$A760))</f>
        <v/>
      </c>
      <c r="E760" s="13" t="str">
        <f>IF($A760="","",[1]!thsiFinD("ths_adjustment_nv_fund",E$3,$A760))</f>
        <v/>
      </c>
      <c r="F760" s="13" t="str">
        <f>IF($A760="","",[1]!thsiFinD("ths_adjustment_nv_fund",F$3,$A760))</f>
        <v/>
      </c>
      <c r="G760" s="13" t="str">
        <f>IF($A760="","",[1]!thsiFinD("ths_adjustment_nv_fund",G$3,$A760))</f>
        <v/>
      </c>
      <c r="H760" s="13" t="str">
        <f>IF($A760="","",[1]!thsiFinD("ths_adjustment_nv_fund",H$3,$A760))</f>
        <v/>
      </c>
      <c r="I760" s="13" t="str">
        <f>IF($A760="","",[1]!thsiFinD("ths_adjustment_nv_fund",I$3,$A760))</f>
        <v/>
      </c>
      <c r="J760" s="13" t="str">
        <f>IF($A760="","",[1]!thsiFinD("ths_adjustment_nv_fund",J$3,$A760))</f>
        <v/>
      </c>
      <c r="K760" s="13" t="str">
        <f>IF($A760="","",[1]!thsiFinD("ths_adjustment_nv_fund",K$3,$A760))</f>
        <v/>
      </c>
      <c r="L760" s="13" t="str">
        <f>IF($A760="","",[1]!thsiFinD("ths_adjustment_nv_fund",L$3,$A760))</f>
        <v/>
      </c>
      <c r="M760" s="13" t="str">
        <f>IF($A760="","",[1]!thsiFinD("ths_adjustment_nv_fund",M$3,$A760))</f>
        <v/>
      </c>
      <c r="N760" s="13" t="str">
        <f>IF($A760="","",[1]!thsiFinD("ths_adjustment_nv_fund",N$3,$A760))</f>
        <v/>
      </c>
      <c r="O760" s="13" t="str">
        <f>IF($A760="","",[1]!thsiFinD("ths_adjustment_nv_fund",O$3,$A760))</f>
        <v/>
      </c>
      <c r="P760" s="13" t="str">
        <f>IF($A760="","",[1]!thsiFinD("ths_adjustment_nv_fund",P$3,$A760))</f>
        <v/>
      </c>
      <c r="Q760" s="13" t="str">
        <f>IF($A760="","",[1]!thsiFinD("ths_adjustment_nv_fund",Q$3,$A760))</f>
        <v/>
      </c>
      <c r="R760" s="13" t="str">
        <f>IF($A760="","",[1]!thsiFinD("ths_adjustment_nv_fund",R$3,$A760))</f>
        <v/>
      </c>
      <c r="S760" s="13" t="str">
        <f>IF($A760="","",[1]!thsiFinD("ths_adjustment_nv_fund",S$3,$A760))</f>
        <v/>
      </c>
      <c r="T760" s="13" t="str">
        <f>IF($A760="","",[1]!thsiFinD("ths_adjustment_nv_fund",T$3,$A760))</f>
        <v/>
      </c>
      <c r="U760" s="13" t="str">
        <f>IF($A760="","",[1]!thsiFinD("ths_adjustment_nv_fund",U$3,$A760))</f>
        <v/>
      </c>
      <c r="V760" s="13" t="str">
        <f>IF($A760="","",[1]!thsiFinD("ths_adjustment_nv_fund",V$3,$A760))</f>
        <v/>
      </c>
      <c r="W760" s="13" t="str">
        <f>IF($A760="","",[1]!thsiFinD("ths_adjustment_nv_fund",W$3,$A760))</f>
        <v/>
      </c>
      <c r="X760" s="13" t="str">
        <f>IF($A760="","",[1]!thsiFinD("ths_adjustment_nv_fund",X$3,$A760))</f>
        <v/>
      </c>
      <c r="Y760" s="13" t="str">
        <f>IF($A760="","",[1]!thsiFinD("ths_adjustment_nv_fund",Y$3,$A760))</f>
        <v/>
      </c>
      <c r="Z760" s="13" t="str">
        <f>IF($A760="","",[1]!thsiFinD("ths_adjustment_nv_fund",Z$3,$A760))</f>
        <v/>
      </c>
      <c r="AA760" s="13" t="str">
        <f>IF($A760="","",[1]!thsiFinD("ths_adjustment_nv_fund",AA$3,$A760))</f>
        <v/>
      </c>
      <c r="AB760" s="13">
        <f>IF($A760="","",[1]!thsiFinD("ths_adjustment_nv_fund",AB$3,$A760))</f>
        <v/>
      </c>
      <c r="AC760" s="13">
        <f>IF($A760="","",[1]!thsiFinD("ths_adjustment_nv_fund",AC$3,$A760))</f>
        <v/>
      </c>
      <c r="AD760" s="13">
        <f>IF($A760="","",[1]!thsiFinD("ths_adjustment_nv_fund",AD$3,$A760))</f>
        <v/>
      </c>
      <c r="AE760" s="13">
        <f>IF($A760="","",[1]!thsiFinD("ths_adjustment_nv_fund",AE$3,$A760))</f>
        <v/>
      </c>
      <c r="AF760" s="13">
        <f>IF($A760="","",[1]!thsiFinD("ths_adjustment_nv_fund",AF$3,$A760))</f>
        <v/>
      </c>
      <c r="AG760" s="13">
        <f>IF($A760="","",[1]!thsiFinD("ths_adjustment_nv_fund",AG$3,$A760))</f>
        <v/>
      </c>
      <c r="AH760" s="13">
        <f>IF($A760="","",[1]!thsiFinD("ths_adjustment_nv_fund",AH$3,$A760))</f>
        <v/>
      </c>
      <c r="AI760" s="13">
        <f>IF($A760="","",[1]!thsiFinD("ths_adjustment_nv_fund",AI$3,$A760))</f>
        <v/>
      </c>
      <c r="AJ760" s="13">
        <f>IF($A760="","",[1]!thsiFinD("ths_adjustment_nv_fund",AJ$3,$A760))</f>
        <v/>
      </c>
      <c r="AK760" s="13">
        <f>IF($A760="","",[1]!thsiFinD("ths_adjustment_nv_fund",AK$3,$A760))</f>
        <v/>
      </c>
      <c r="AL760" s="13">
        <f>IF($A760="","",[1]!thsiFinD("ths_adjustment_nv_fund",AL$3,$A760))</f>
        <v/>
      </c>
    </row>
    <row r="761" spans="2:28">
      <c r="B761" s="13" t="str">
        <f>IF($A761="","",[1]!thsiFinD("ths_adjustment_nv_fund",B$3,$A761))</f>
        <v/>
      </c>
      <c r="C761" s="13" t="str">
        <f>IF($A761="","",[1]!thsiFinD("ths_adjustment_nv_fund",C$3,$A761))</f>
        <v/>
      </c>
      <c r="D761" s="13" t="str">
        <f>IF($A761="","",[1]!thsiFinD("ths_adjustment_nv_fund",D$3,$A761))</f>
        <v/>
      </c>
      <c r="E761" s="13" t="str">
        <f>IF($A761="","",[1]!thsiFinD("ths_adjustment_nv_fund",E$3,$A761))</f>
        <v/>
      </c>
      <c r="F761" s="13" t="str">
        <f>IF($A761="","",[1]!thsiFinD("ths_adjustment_nv_fund",F$3,$A761))</f>
        <v/>
      </c>
      <c r="G761" s="13" t="str">
        <f>IF($A761="","",[1]!thsiFinD("ths_adjustment_nv_fund",G$3,$A761))</f>
        <v/>
      </c>
      <c r="H761" s="13" t="str">
        <f>IF($A761="","",[1]!thsiFinD("ths_adjustment_nv_fund",H$3,$A761))</f>
        <v/>
      </c>
      <c r="I761" s="13" t="str">
        <f>IF($A761="","",[1]!thsiFinD("ths_adjustment_nv_fund",I$3,$A761))</f>
        <v/>
      </c>
      <c r="J761" s="13" t="str">
        <f>IF($A761="","",[1]!thsiFinD("ths_adjustment_nv_fund",J$3,$A761))</f>
        <v/>
      </c>
      <c r="K761" s="13" t="str">
        <f>IF($A761="","",[1]!thsiFinD("ths_adjustment_nv_fund",K$3,$A761))</f>
        <v/>
      </c>
      <c r="L761" s="13" t="str">
        <f>IF($A761="","",[1]!thsiFinD("ths_adjustment_nv_fund",L$3,$A761))</f>
        <v/>
      </c>
      <c r="M761" s="13" t="str">
        <f>IF($A761="","",[1]!thsiFinD("ths_adjustment_nv_fund",M$3,$A761))</f>
        <v/>
      </c>
      <c r="N761" s="13" t="str">
        <f>IF($A761="","",[1]!thsiFinD("ths_adjustment_nv_fund",N$3,$A761))</f>
        <v/>
      </c>
      <c r="O761" s="13" t="str">
        <f>IF($A761="","",[1]!thsiFinD("ths_adjustment_nv_fund",O$3,$A761))</f>
        <v/>
      </c>
      <c r="P761" s="13" t="str">
        <f>IF($A761="","",[1]!thsiFinD("ths_adjustment_nv_fund",P$3,$A761))</f>
        <v/>
      </c>
      <c r="Q761" s="13" t="str">
        <f>IF($A761="","",[1]!thsiFinD("ths_adjustment_nv_fund",Q$3,$A761))</f>
        <v/>
      </c>
      <c r="R761" s="13" t="str">
        <f>IF($A761="","",[1]!thsiFinD("ths_adjustment_nv_fund",R$3,$A761))</f>
        <v/>
      </c>
      <c r="S761" s="13" t="str">
        <f>IF($A761="","",[1]!thsiFinD("ths_adjustment_nv_fund",S$3,$A761))</f>
        <v/>
      </c>
      <c r="T761" s="13" t="str">
        <f>IF($A761="","",[1]!thsiFinD("ths_adjustment_nv_fund",T$3,$A761))</f>
        <v/>
      </c>
      <c r="U761" s="13" t="str">
        <f>IF($A761="","",[1]!thsiFinD("ths_adjustment_nv_fund",U$3,$A761))</f>
        <v/>
      </c>
      <c r="V761" s="13" t="str">
        <f>IF($A761="","",[1]!thsiFinD("ths_adjustment_nv_fund",V$3,$A761))</f>
        <v/>
      </c>
      <c r="W761" s="13" t="str">
        <f>IF($A761="","",[1]!thsiFinD("ths_adjustment_nv_fund",W$3,$A761))</f>
        <v/>
      </c>
      <c r="X761" s="13" t="str">
        <f>IF($A761="","",[1]!thsiFinD("ths_adjustment_nv_fund",X$3,$A761))</f>
        <v/>
      </c>
      <c r="Y761" s="13" t="str">
        <f>IF($A761="","",[1]!thsiFinD("ths_adjustment_nv_fund",Y$3,$A761))</f>
        <v/>
      </c>
      <c r="Z761" s="13" t="str">
        <f>IF($A761="","",[1]!thsiFinD("ths_adjustment_nv_fund",Z$3,$A761))</f>
        <v/>
      </c>
      <c r="AA761" s="13" t="str">
        <f>IF($A761="","",[1]!thsiFinD("ths_adjustment_nv_fund",AA$3,$A761))</f>
        <v/>
      </c>
      <c r="AB761" s="13">
        <f>IF($A761="","",[1]!thsiFinD("ths_adjustment_nv_fund",AB$3,$A761))</f>
        <v/>
      </c>
      <c r="AC761" s="13">
        <f>IF($A761="","",[1]!thsiFinD("ths_adjustment_nv_fund",AC$3,$A761))</f>
        <v/>
      </c>
      <c r="AD761" s="13">
        <f>IF($A761="","",[1]!thsiFinD("ths_adjustment_nv_fund",AD$3,$A761))</f>
        <v/>
      </c>
      <c r="AE761" s="13">
        <f>IF($A761="","",[1]!thsiFinD("ths_adjustment_nv_fund",AE$3,$A761))</f>
        <v/>
      </c>
      <c r="AF761" s="13">
        <f>IF($A761="","",[1]!thsiFinD("ths_adjustment_nv_fund",AF$3,$A761))</f>
        <v/>
      </c>
      <c r="AG761" s="13">
        <f>IF($A761="","",[1]!thsiFinD("ths_adjustment_nv_fund",AG$3,$A761))</f>
        <v/>
      </c>
      <c r="AH761" s="13">
        <f>IF($A761="","",[1]!thsiFinD("ths_adjustment_nv_fund",AH$3,$A761))</f>
        <v/>
      </c>
      <c r="AI761" s="13">
        <f>IF($A761="","",[1]!thsiFinD("ths_adjustment_nv_fund",AI$3,$A761))</f>
        <v/>
      </c>
      <c r="AJ761" s="13">
        <f>IF($A761="","",[1]!thsiFinD("ths_adjustment_nv_fund",AJ$3,$A761))</f>
        <v/>
      </c>
      <c r="AK761" s="13">
        <f>IF($A761="","",[1]!thsiFinD("ths_adjustment_nv_fund",AK$3,$A761))</f>
        <v/>
      </c>
      <c r="AL761" s="13">
        <f>IF($A761="","",[1]!thsiFinD("ths_adjustment_nv_fund",AL$3,$A761))</f>
        <v/>
      </c>
    </row>
    <row r="762" spans="2:28">
      <c r="B762" s="13" t="str">
        <f>IF($A762="","",[1]!thsiFinD("ths_adjustment_nv_fund",B$3,$A762))</f>
        <v/>
      </c>
      <c r="C762" s="13" t="str">
        <f>IF($A762="","",[1]!thsiFinD("ths_adjustment_nv_fund",C$3,$A762))</f>
        <v/>
      </c>
      <c r="D762" s="13" t="str">
        <f>IF($A762="","",[1]!thsiFinD("ths_adjustment_nv_fund",D$3,$A762))</f>
        <v/>
      </c>
      <c r="E762" s="13" t="str">
        <f>IF($A762="","",[1]!thsiFinD("ths_adjustment_nv_fund",E$3,$A762))</f>
        <v/>
      </c>
      <c r="F762" s="13" t="str">
        <f>IF($A762="","",[1]!thsiFinD("ths_adjustment_nv_fund",F$3,$A762))</f>
        <v/>
      </c>
      <c r="G762" s="13" t="str">
        <f>IF($A762="","",[1]!thsiFinD("ths_adjustment_nv_fund",G$3,$A762))</f>
        <v/>
      </c>
      <c r="H762" s="13" t="str">
        <f>IF($A762="","",[1]!thsiFinD("ths_adjustment_nv_fund",H$3,$A762))</f>
        <v/>
      </c>
      <c r="I762" s="13" t="str">
        <f>IF($A762="","",[1]!thsiFinD("ths_adjustment_nv_fund",I$3,$A762))</f>
        <v/>
      </c>
      <c r="J762" s="13" t="str">
        <f>IF($A762="","",[1]!thsiFinD("ths_adjustment_nv_fund",J$3,$A762))</f>
        <v/>
      </c>
      <c r="K762" s="13" t="str">
        <f>IF($A762="","",[1]!thsiFinD("ths_adjustment_nv_fund",K$3,$A762))</f>
        <v/>
      </c>
      <c r="L762" s="13" t="str">
        <f>IF($A762="","",[1]!thsiFinD("ths_adjustment_nv_fund",L$3,$A762))</f>
        <v/>
      </c>
      <c r="M762" s="13" t="str">
        <f>IF($A762="","",[1]!thsiFinD("ths_adjustment_nv_fund",M$3,$A762))</f>
        <v/>
      </c>
      <c r="N762" s="13" t="str">
        <f>IF($A762="","",[1]!thsiFinD("ths_adjustment_nv_fund",N$3,$A762))</f>
        <v/>
      </c>
      <c r="O762" s="13" t="str">
        <f>IF($A762="","",[1]!thsiFinD("ths_adjustment_nv_fund",O$3,$A762))</f>
        <v/>
      </c>
      <c r="P762" s="13" t="str">
        <f>IF($A762="","",[1]!thsiFinD("ths_adjustment_nv_fund",P$3,$A762))</f>
        <v/>
      </c>
      <c r="Q762" s="13" t="str">
        <f>IF($A762="","",[1]!thsiFinD("ths_adjustment_nv_fund",Q$3,$A762))</f>
        <v/>
      </c>
      <c r="R762" s="13" t="str">
        <f>IF($A762="","",[1]!thsiFinD("ths_adjustment_nv_fund",R$3,$A762))</f>
        <v/>
      </c>
      <c r="S762" s="13" t="str">
        <f>IF($A762="","",[1]!thsiFinD("ths_adjustment_nv_fund",S$3,$A762))</f>
        <v/>
      </c>
      <c r="T762" s="13" t="str">
        <f>IF($A762="","",[1]!thsiFinD("ths_adjustment_nv_fund",T$3,$A762))</f>
        <v/>
      </c>
      <c r="U762" s="13" t="str">
        <f>IF($A762="","",[1]!thsiFinD("ths_adjustment_nv_fund",U$3,$A762))</f>
        <v/>
      </c>
      <c r="V762" s="13" t="str">
        <f>IF($A762="","",[1]!thsiFinD("ths_adjustment_nv_fund",V$3,$A762))</f>
        <v/>
      </c>
      <c r="W762" s="13" t="str">
        <f>IF($A762="","",[1]!thsiFinD("ths_adjustment_nv_fund",W$3,$A762))</f>
        <v/>
      </c>
      <c r="X762" s="13" t="str">
        <f>IF($A762="","",[1]!thsiFinD("ths_adjustment_nv_fund",X$3,$A762))</f>
        <v/>
      </c>
      <c r="Y762" s="13" t="str">
        <f>IF($A762="","",[1]!thsiFinD("ths_adjustment_nv_fund",Y$3,$A762))</f>
        <v/>
      </c>
      <c r="Z762" s="13" t="str">
        <f>IF($A762="","",[1]!thsiFinD("ths_adjustment_nv_fund",Z$3,$A762))</f>
        <v/>
      </c>
      <c r="AA762" s="13" t="str">
        <f>IF($A762="","",[1]!thsiFinD("ths_adjustment_nv_fund",AA$3,$A762))</f>
        <v/>
      </c>
      <c r="AB762" s="13">
        <f>IF($A762="","",[1]!thsiFinD("ths_adjustment_nv_fund",AB$3,$A762))</f>
        <v/>
      </c>
      <c r="AC762" s="13">
        <f>IF($A762="","",[1]!thsiFinD("ths_adjustment_nv_fund",AC$3,$A762))</f>
        <v/>
      </c>
      <c r="AD762" s="13">
        <f>IF($A762="","",[1]!thsiFinD("ths_adjustment_nv_fund",AD$3,$A762))</f>
        <v/>
      </c>
      <c r="AE762" s="13">
        <f>IF($A762="","",[1]!thsiFinD("ths_adjustment_nv_fund",AE$3,$A762))</f>
        <v/>
      </c>
      <c r="AF762" s="13">
        <f>IF($A762="","",[1]!thsiFinD("ths_adjustment_nv_fund",AF$3,$A762))</f>
        <v/>
      </c>
      <c r="AG762" s="13">
        <f>IF($A762="","",[1]!thsiFinD("ths_adjustment_nv_fund",AG$3,$A762))</f>
        <v/>
      </c>
      <c r="AH762" s="13">
        <f>IF($A762="","",[1]!thsiFinD("ths_adjustment_nv_fund",AH$3,$A762))</f>
        <v/>
      </c>
      <c r="AI762" s="13">
        <f>IF($A762="","",[1]!thsiFinD("ths_adjustment_nv_fund",AI$3,$A762))</f>
        <v/>
      </c>
      <c r="AJ762" s="13">
        <f>IF($A762="","",[1]!thsiFinD("ths_adjustment_nv_fund",AJ$3,$A762))</f>
        <v/>
      </c>
      <c r="AK762" s="13">
        <f>IF($A762="","",[1]!thsiFinD("ths_adjustment_nv_fund",AK$3,$A762))</f>
        <v/>
      </c>
      <c r="AL762" s="13">
        <f>IF($A762="","",[1]!thsiFinD("ths_adjustment_nv_fund",AL$3,$A762))</f>
        <v/>
      </c>
    </row>
    <row r="763" spans="2:28">
      <c r="B763" s="13" t="str">
        <f>IF($A763="","",[1]!thsiFinD("ths_adjustment_nv_fund",B$3,$A763))</f>
        <v/>
      </c>
      <c r="C763" s="13" t="str">
        <f>IF($A763="","",[1]!thsiFinD("ths_adjustment_nv_fund",C$3,$A763))</f>
        <v/>
      </c>
      <c r="D763" s="13" t="str">
        <f>IF($A763="","",[1]!thsiFinD("ths_adjustment_nv_fund",D$3,$A763))</f>
        <v/>
      </c>
      <c r="E763" s="13" t="str">
        <f>IF($A763="","",[1]!thsiFinD("ths_adjustment_nv_fund",E$3,$A763))</f>
        <v/>
      </c>
      <c r="F763" s="13" t="str">
        <f>IF($A763="","",[1]!thsiFinD("ths_adjustment_nv_fund",F$3,$A763))</f>
        <v/>
      </c>
      <c r="G763" s="13" t="str">
        <f>IF($A763="","",[1]!thsiFinD("ths_adjustment_nv_fund",G$3,$A763))</f>
        <v/>
      </c>
      <c r="H763" s="13" t="str">
        <f>IF($A763="","",[1]!thsiFinD("ths_adjustment_nv_fund",H$3,$A763))</f>
        <v/>
      </c>
      <c r="I763" s="13" t="str">
        <f>IF($A763="","",[1]!thsiFinD("ths_adjustment_nv_fund",I$3,$A763))</f>
        <v/>
      </c>
      <c r="J763" s="13" t="str">
        <f>IF($A763="","",[1]!thsiFinD("ths_adjustment_nv_fund",J$3,$A763))</f>
        <v/>
      </c>
      <c r="K763" s="13" t="str">
        <f>IF($A763="","",[1]!thsiFinD("ths_adjustment_nv_fund",K$3,$A763))</f>
        <v/>
      </c>
      <c r="L763" s="13" t="str">
        <f>IF($A763="","",[1]!thsiFinD("ths_adjustment_nv_fund",L$3,$A763))</f>
        <v/>
      </c>
      <c r="M763" s="13" t="str">
        <f>IF($A763="","",[1]!thsiFinD("ths_adjustment_nv_fund",M$3,$A763))</f>
        <v/>
      </c>
      <c r="N763" s="13" t="str">
        <f>IF($A763="","",[1]!thsiFinD("ths_adjustment_nv_fund",N$3,$A763))</f>
        <v/>
      </c>
      <c r="O763" s="13" t="str">
        <f>IF($A763="","",[1]!thsiFinD("ths_adjustment_nv_fund",O$3,$A763))</f>
        <v/>
      </c>
      <c r="P763" s="13" t="str">
        <f>IF($A763="","",[1]!thsiFinD("ths_adjustment_nv_fund",P$3,$A763))</f>
        <v/>
      </c>
      <c r="Q763" s="13" t="str">
        <f>IF($A763="","",[1]!thsiFinD("ths_adjustment_nv_fund",Q$3,$A763))</f>
        <v/>
      </c>
      <c r="R763" s="13" t="str">
        <f>IF($A763="","",[1]!thsiFinD("ths_adjustment_nv_fund",R$3,$A763))</f>
        <v/>
      </c>
      <c r="S763" s="13" t="str">
        <f>IF($A763="","",[1]!thsiFinD("ths_adjustment_nv_fund",S$3,$A763))</f>
        <v/>
      </c>
      <c r="T763" s="13" t="str">
        <f>IF($A763="","",[1]!thsiFinD("ths_adjustment_nv_fund",T$3,$A763))</f>
        <v/>
      </c>
      <c r="U763" s="13" t="str">
        <f>IF($A763="","",[1]!thsiFinD("ths_adjustment_nv_fund",U$3,$A763))</f>
        <v/>
      </c>
      <c r="V763" s="13" t="str">
        <f>IF($A763="","",[1]!thsiFinD("ths_adjustment_nv_fund",V$3,$A763))</f>
        <v/>
      </c>
      <c r="W763" s="13" t="str">
        <f>IF($A763="","",[1]!thsiFinD("ths_adjustment_nv_fund",W$3,$A763))</f>
        <v/>
      </c>
      <c r="X763" s="13" t="str">
        <f>IF($A763="","",[1]!thsiFinD("ths_adjustment_nv_fund",X$3,$A763))</f>
        <v/>
      </c>
      <c r="Y763" s="13" t="str">
        <f>IF($A763="","",[1]!thsiFinD("ths_adjustment_nv_fund",Y$3,$A763))</f>
        <v/>
      </c>
      <c r="Z763" s="13" t="str">
        <f>IF($A763="","",[1]!thsiFinD("ths_adjustment_nv_fund",Z$3,$A763))</f>
        <v/>
      </c>
      <c r="AA763" s="13" t="str">
        <f>IF($A763="","",[1]!thsiFinD("ths_adjustment_nv_fund",AA$3,$A763))</f>
        <v/>
      </c>
      <c r="AB763" s="13">
        <f>IF($A763="","",[1]!thsiFinD("ths_adjustment_nv_fund",AB$3,$A763))</f>
        <v/>
      </c>
      <c r="AC763" s="13">
        <f>IF($A763="","",[1]!thsiFinD("ths_adjustment_nv_fund",AC$3,$A763))</f>
        <v/>
      </c>
      <c r="AD763" s="13">
        <f>IF($A763="","",[1]!thsiFinD("ths_adjustment_nv_fund",AD$3,$A763))</f>
        <v/>
      </c>
      <c r="AE763" s="13">
        <f>IF($A763="","",[1]!thsiFinD("ths_adjustment_nv_fund",AE$3,$A763))</f>
        <v/>
      </c>
      <c r="AF763" s="13">
        <f>IF($A763="","",[1]!thsiFinD("ths_adjustment_nv_fund",AF$3,$A763))</f>
        <v/>
      </c>
      <c r="AG763" s="13">
        <f>IF($A763="","",[1]!thsiFinD("ths_adjustment_nv_fund",AG$3,$A763))</f>
        <v/>
      </c>
      <c r="AH763" s="13">
        <f>IF($A763="","",[1]!thsiFinD("ths_adjustment_nv_fund",AH$3,$A763))</f>
        <v/>
      </c>
      <c r="AI763" s="13">
        <f>IF($A763="","",[1]!thsiFinD("ths_adjustment_nv_fund",AI$3,$A763))</f>
        <v/>
      </c>
      <c r="AJ763" s="13">
        <f>IF($A763="","",[1]!thsiFinD("ths_adjustment_nv_fund",AJ$3,$A763))</f>
        <v/>
      </c>
      <c r="AK763" s="13">
        <f>IF($A763="","",[1]!thsiFinD("ths_adjustment_nv_fund",AK$3,$A763))</f>
        <v/>
      </c>
      <c r="AL763" s="13">
        <f>IF($A763="","",[1]!thsiFinD("ths_adjustment_nv_fund",AL$3,$A763))</f>
        <v/>
      </c>
    </row>
    <row r="764" spans="2:28">
      <c r="B764" s="13" t="str">
        <f>IF($A764="","",[1]!thsiFinD("ths_adjustment_nv_fund",B$3,$A764))</f>
        <v/>
      </c>
      <c r="C764" s="13" t="str">
        <f>IF($A764="","",[1]!thsiFinD("ths_adjustment_nv_fund",C$3,$A764))</f>
        <v/>
      </c>
      <c r="D764" s="13" t="str">
        <f>IF($A764="","",[1]!thsiFinD("ths_adjustment_nv_fund",D$3,$A764))</f>
        <v/>
      </c>
      <c r="E764" s="13" t="str">
        <f>IF($A764="","",[1]!thsiFinD("ths_adjustment_nv_fund",E$3,$A764))</f>
        <v/>
      </c>
      <c r="F764" s="13" t="str">
        <f>IF($A764="","",[1]!thsiFinD("ths_adjustment_nv_fund",F$3,$A764))</f>
        <v/>
      </c>
      <c r="G764" s="13" t="str">
        <f>IF($A764="","",[1]!thsiFinD("ths_adjustment_nv_fund",G$3,$A764))</f>
        <v/>
      </c>
      <c r="H764" s="13" t="str">
        <f>IF($A764="","",[1]!thsiFinD("ths_adjustment_nv_fund",H$3,$A764))</f>
        <v/>
      </c>
      <c r="I764" s="13" t="str">
        <f>IF($A764="","",[1]!thsiFinD("ths_adjustment_nv_fund",I$3,$A764))</f>
        <v/>
      </c>
      <c r="J764" s="13" t="str">
        <f>IF($A764="","",[1]!thsiFinD("ths_adjustment_nv_fund",J$3,$A764))</f>
        <v/>
      </c>
      <c r="K764" s="13" t="str">
        <f>IF($A764="","",[1]!thsiFinD("ths_adjustment_nv_fund",K$3,$A764))</f>
        <v/>
      </c>
      <c r="L764" s="13" t="str">
        <f>IF($A764="","",[1]!thsiFinD("ths_adjustment_nv_fund",L$3,$A764))</f>
        <v/>
      </c>
      <c r="M764" s="13" t="str">
        <f>IF($A764="","",[1]!thsiFinD("ths_adjustment_nv_fund",M$3,$A764))</f>
        <v/>
      </c>
      <c r="N764" s="13" t="str">
        <f>IF($A764="","",[1]!thsiFinD("ths_adjustment_nv_fund",N$3,$A764))</f>
        <v/>
      </c>
      <c r="O764" s="13" t="str">
        <f>IF($A764="","",[1]!thsiFinD("ths_adjustment_nv_fund",O$3,$A764))</f>
        <v/>
      </c>
      <c r="P764" s="13" t="str">
        <f>IF($A764="","",[1]!thsiFinD("ths_adjustment_nv_fund",P$3,$A764))</f>
        <v/>
      </c>
      <c r="Q764" s="13" t="str">
        <f>IF($A764="","",[1]!thsiFinD("ths_adjustment_nv_fund",Q$3,$A764))</f>
        <v/>
      </c>
      <c r="R764" s="13" t="str">
        <f>IF($A764="","",[1]!thsiFinD("ths_adjustment_nv_fund",R$3,$A764))</f>
        <v/>
      </c>
      <c r="S764" s="13" t="str">
        <f>IF($A764="","",[1]!thsiFinD("ths_adjustment_nv_fund",S$3,$A764))</f>
        <v/>
      </c>
      <c r="T764" s="13" t="str">
        <f>IF($A764="","",[1]!thsiFinD("ths_adjustment_nv_fund",T$3,$A764))</f>
        <v/>
      </c>
      <c r="U764" s="13" t="str">
        <f>IF($A764="","",[1]!thsiFinD("ths_adjustment_nv_fund",U$3,$A764))</f>
        <v/>
      </c>
      <c r="V764" s="13" t="str">
        <f>IF($A764="","",[1]!thsiFinD("ths_adjustment_nv_fund",V$3,$A764))</f>
        <v/>
      </c>
      <c r="W764" s="13" t="str">
        <f>IF($A764="","",[1]!thsiFinD("ths_adjustment_nv_fund",W$3,$A764))</f>
        <v/>
      </c>
      <c r="X764" s="13" t="str">
        <f>IF($A764="","",[1]!thsiFinD("ths_adjustment_nv_fund",X$3,$A764))</f>
        <v/>
      </c>
      <c r="Y764" s="13" t="str">
        <f>IF($A764="","",[1]!thsiFinD("ths_adjustment_nv_fund",Y$3,$A764))</f>
        <v/>
      </c>
      <c r="Z764" s="13" t="str">
        <f>IF($A764="","",[1]!thsiFinD("ths_adjustment_nv_fund",Z$3,$A764))</f>
        <v/>
      </c>
      <c r="AA764" s="13" t="str">
        <f>IF($A764="","",[1]!thsiFinD("ths_adjustment_nv_fund",AA$3,$A764))</f>
        <v/>
      </c>
      <c r="AB764" s="13">
        <f>IF($A764="","",[1]!thsiFinD("ths_adjustment_nv_fund",AB$3,$A764))</f>
        <v/>
      </c>
      <c r="AC764" s="13">
        <f>IF($A764="","",[1]!thsiFinD("ths_adjustment_nv_fund",AC$3,$A764))</f>
        <v/>
      </c>
      <c r="AD764" s="13">
        <f>IF($A764="","",[1]!thsiFinD("ths_adjustment_nv_fund",AD$3,$A764))</f>
        <v/>
      </c>
      <c r="AE764" s="13">
        <f>IF($A764="","",[1]!thsiFinD("ths_adjustment_nv_fund",AE$3,$A764))</f>
        <v/>
      </c>
      <c r="AF764" s="13">
        <f>IF($A764="","",[1]!thsiFinD("ths_adjustment_nv_fund",AF$3,$A764))</f>
        <v/>
      </c>
      <c r="AG764" s="13">
        <f>IF($A764="","",[1]!thsiFinD("ths_adjustment_nv_fund",AG$3,$A764))</f>
        <v/>
      </c>
      <c r="AH764" s="13">
        <f>IF($A764="","",[1]!thsiFinD("ths_adjustment_nv_fund",AH$3,$A764))</f>
        <v/>
      </c>
      <c r="AI764" s="13">
        <f>IF($A764="","",[1]!thsiFinD("ths_adjustment_nv_fund",AI$3,$A764))</f>
        <v/>
      </c>
      <c r="AJ764" s="13">
        <f>IF($A764="","",[1]!thsiFinD("ths_adjustment_nv_fund",AJ$3,$A764))</f>
        <v/>
      </c>
      <c r="AK764" s="13">
        <f>IF($A764="","",[1]!thsiFinD("ths_adjustment_nv_fund",AK$3,$A764))</f>
        <v/>
      </c>
      <c r="AL764" s="13">
        <f>IF($A764="","",[1]!thsiFinD("ths_adjustment_nv_fund",AL$3,$A764))</f>
        <v/>
      </c>
    </row>
    <row r="765" spans="2:28">
      <c r="B765" s="13" t="str">
        <f>IF($A765="","",[1]!thsiFinD("ths_adjustment_nv_fund",B$3,$A765))</f>
        <v/>
      </c>
      <c r="C765" s="13" t="str">
        <f>IF($A765="","",[1]!thsiFinD("ths_adjustment_nv_fund",C$3,$A765))</f>
        <v/>
      </c>
      <c r="D765" s="13" t="str">
        <f>IF($A765="","",[1]!thsiFinD("ths_adjustment_nv_fund",D$3,$A765))</f>
        <v/>
      </c>
      <c r="E765" s="13" t="str">
        <f>IF($A765="","",[1]!thsiFinD("ths_adjustment_nv_fund",E$3,$A765))</f>
        <v/>
      </c>
      <c r="F765" s="13" t="str">
        <f>IF($A765="","",[1]!thsiFinD("ths_adjustment_nv_fund",F$3,$A765))</f>
        <v/>
      </c>
      <c r="G765" s="13" t="str">
        <f>IF($A765="","",[1]!thsiFinD("ths_adjustment_nv_fund",G$3,$A765))</f>
        <v/>
      </c>
      <c r="H765" s="13" t="str">
        <f>IF($A765="","",[1]!thsiFinD("ths_adjustment_nv_fund",H$3,$A765))</f>
        <v/>
      </c>
      <c r="I765" s="13" t="str">
        <f>IF($A765="","",[1]!thsiFinD("ths_adjustment_nv_fund",I$3,$A765))</f>
        <v/>
      </c>
      <c r="J765" s="13" t="str">
        <f>IF($A765="","",[1]!thsiFinD("ths_adjustment_nv_fund",J$3,$A765))</f>
        <v/>
      </c>
      <c r="K765" s="13" t="str">
        <f>IF($A765="","",[1]!thsiFinD("ths_adjustment_nv_fund",K$3,$A765))</f>
        <v/>
      </c>
      <c r="L765" s="13" t="str">
        <f>IF($A765="","",[1]!thsiFinD("ths_adjustment_nv_fund",L$3,$A765))</f>
        <v/>
      </c>
      <c r="M765" s="13" t="str">
        <f>IF($A765="","",[1]!thsiFinD("ths_adjustment_nv_fund",M$3,$A765))</f>
        <v/>
      </c>
      <c r="N765" s="13" t="str">
        <f>IF($A765="","",[1]!thsiFinD("ths_adjustment_nv_fund",N$3,$A765))</f>
        <v/>
      </c>
      <c r="O765" s="13" t="str">
        <f>IF($A765="","",[1]!thsiFinD("ths_adjustment_nv_fund",O$3,$A765))</f>
        <v/>
      </c>
      <c r="P765" s="13" t="str">
        <f>IF($A765="","",[1]!thsiFinD("ths_adjustment_nv_fund",P$3,$A765))</f>
        <v/>
      </c>
      <c r="Q765" s="13" t="str">
        <f>IF($A765="","",[1]!thsiFinD("ths_adjustment_nv_fund",Q$3,$A765))</f>
        <v/>
      </c>
      <c r="R765" s="13" t="str">
        <f>IF($A765="","",[1]!thsiFinD("ths_adjustment_nv_fund",R$3,$A765))</f>
        <v/>
      </c>
      <c r="S765" s="13" t="str">
        <f>IF($A765="","",[1]!thsiFinD("ths_adjustment_nv_fund",S$3,$A765))</f>
        <v/>
      </c>
      <c r="T765" s="13" t="str">
        <f>IF($A765="","",[1]!thsiFinD("ths_adjustment_nv_fund",T$3,$A765))</f>
        <v/>
      </c>
      <c r="U765" s="13" t="str">
        <f>IF($A765="","",[1]!thsiFinD("ths_adjustment_nv_fund",U$3,$A765))</f>
        <v/>
      </c>
      <c r="V765" s="13" t="str">
        <f>IF($A765="","",[1]!thsiFinD("ths_adjustment_nv_fund",V$3,$A765))</f>
        <v/>
      </c>
      <c r="W765" s="13" t="str">
        <f>IF($A765="","",[1]!thsiFinD("ths_adjustment_nv_fund",W$3,$A765))</f>
        <v/>
      </c>
      <c r="X765" s="13" t="str">
        <f>IF($A765="","",[1]!thsiFinD("ths_adjustment_nv_fund",X$3,$A765))</f>
        <v/>
      </c>
      <c r="Y765" s="13" t="str">
        <f>IF($A765="","",[1]!thsiFinD("ths_adjustment_nv_fund",Y$3,$A765))</f>
        <v/>
      </c>
      <c r="Z765" s="13" t="str">
        <f>IF($A765="","",[1]!thsiFinD("ths_adjustment_nv_fund",Z$3,$A765))</f>
        <v/>
      </c>
      <c r="AA765" s="13" t="str">
        <f>IF($A765="","",[1]!thsiFinD("ths_adjustment_nv_fund",AA$3,$A765))</f>
        <v/>
      </c>
      <c r="AB765" s="13">
        <f>IF($A765="","",[1]!thsiFinD("ths_adjustment_nv_fund",AB$3,$A765))</f>
        <v/>
      </c>
      <c r="AC765" s="13">
        <f>IF($A765="","",[1]!thsiFinD("ths_adjustment_nv_fund",AC$3,$A765))</f>
        <v/>
      </c>
      <c r="AD765" s="13">
        <f>IF($A765="","",[1]!thsiFinD("ths_adjustment_nv_fund",AD$3,$A765))</f>
        <v/>
      </c>
      <c r="AE765" s="13">
        <f>IF($A765="","",[1]!thsiFinD("ths_adjustment_nv_fund",AE$3,$A765))</f>
        <v/>
      </c>
      <c r="AF765" s="13">
        <f>IF($A765="","",[1]!thsiFinD("ths_adjustment_nv_fund",AF$3,$A765))</f>
        <v/>
      </c>
      <c r="AG765" s="13">
        <f>IF($A765="","",[1]!thsiFinD("ths_adjustment_nv_fund",AG$3,$A765))</f>
        <v/>
      </c>
      <c r="AH765" s="13">
        <f>IF($A765="","",[1]!thsiFinD("ths_adjustment_nv_fund",AH$3,$A765))</f>
        <v/>
      </c>
      <c r="AI765" s="13">
        <f>IF($A765="","",[1]!thsiFinD("ths_adjustment_nv_fund",AI$3,$A765))</f>
        <v/>
      </c>
      <c r="AJ765" s="13">
        <f>IF($A765="","",[1]!thsiFinD("ths_adjustment_nv_fund",AJ$3,$A765))</f>
        <v/>
      </c>
      <c r="AK765" s="13">
        <f>IF($A765="","",[1]!thsiFinD("ths_adjustment_nv_fund",AK$3,$A765))</f>
        <v/>
      </c>
      <c r="AL765" s="13">
        <f>IF($A765="","",[1]!thsiFinD("ths_adjustment_nv_fund",AL$3,$A765))</f>
        <v/>
      </c>
    </row>
    <row r="766" spans="2:28">
      <c r="B766" s="13" t="str">
        <f>IF($A766="","",[1]!thsiFinD("ths_adjustment_nv_fund",B$3,$A766))</f>
        <v/>
      </c>
      <c r="C766" s="13" t="str">
        <f>IF($A766="","",[1]!thsiFinD("ths_adjustment_nv_fund",C$3,$A766))</f>
        <v/>
      </c>
      <c r="D766" s="13" t="str">
        <f>IF($A766="","",[1]!thsiFinD("ths_adjustment_nv_fund",D$3,$A766))</f>
        <v/>
      </c>
      <c r="E766" s="13" t="str">
        <f>IF($A766="","",[1]!thsiFinD("ths_adjustment_nv_fund",E$3,$A766))</f>
        <v/>
      </c>
      <c r="F766" s="13" t="str">
        <f>IF($A766="","",[1]!thsiFinD("ths_adjustment_nv_fund",F$3,$A766))</f>
        <v/>
      </c>
      <c r="G766" s="13" t="str">
        <f>IF($A766="","",[1]!thsiFinD("ths_adjustment_nv_fund",G$3,$A766))</f>
        <v/>
      </c>
      <c r="H766" s="13" t="str">
        <f>IF($A766="","",[1]!thsiFinD("ths_adjustment_nv_fund",H$3,$A766))</f>
        <v/>
      </c>
      <c r="I766" s="13" t="str">
        <f>IF($A766="","",[1]!thsiFinD("ths_adjustment_nv_fund",I$3,$A766))</f>
        <v/>
      </c>
      <c r="J766" s="13" t="str">
        <f>IF($A766="","",[1]!thsiFinD("ths_adjustment_nv_fund",J$3,$A766))</f>
        <v/>
      </c>
      <c r="K766" s="13" t="str">
        <f>IF($A766="","",[1]!thsiFinD("ths_adjustment_nv_fund",K$3,$A766))</f>
        <v/>
      </c>
      <c r="L766" s="13" t="str">
        <f>IF($A766="","",[1]!thsiFinD("ths_adjustment_nv_fund",L$3,$A766))</f>
        <v/>
      </c>
      <c r="M766" s="13" t="str">
        <f>IF($A766="","",[1]!thsiFinD("ths_adjustment_nv_fund",M$3,$A766))</f>
        <v/>
      </c>
      <c r="N766" s="13" t="str">
        <f>IF($A766="","",[1]!thsiFinD("ths_adjustment_nv_fund",N$3,$A766))</f>
        <v/>
      </c>
      <c r="O766" s="13" t="str">
        <f>IF($A766="","",[1]!thsiFinD("ths_adjustment_nv_fund",O$3,$A766))</f>
        <v/>
      </c>
      <c r="P766" s="13" t="str">
        <f>IF($A766="","",[1]!thsiFinD("ths_adjustment_nv_fund",P$3,$A766))</f>
        <v/>
      </c>
      <c r="Q766" s="13" t="str">
        <f>IF($A766="","",[1]!thsiFinD("ths_adjustment_nv_fund",Q$3,$A766))</f>
        <v/>
      </c>
      <c r="R766" s="13" t="str">
        <f>IF($A766="","",[1]!thsiFinD("ths_adjustment_nv_fund",R$3,$A766))</f>
        <v/>
      </c>
      <c r="S766" s="13" t="str">
        <f>IF($A766="","",[1]!thsiFinD("ths_adjustment_nv_fund",S$3,$A766))</f>
        <v/>
      </c>
      <c r="T766" s="13" t="str">
        <f>IF($A766="","",[1]!thsiFinD("ths_adjustment_nv_fund",T$3,$A766))</f>
        <v/>
      </c>
      <c r="U766" s="13" t="str">
        <f>IF($A766="","",[1]!thsiFinD("ths_adjustment_nv_fund",U$3,$A766))</f>
        <v/>
      </c>
      <c r="V766" s="13" t="str">
        <f>IF($A766="","",[1]!thsiFinD("ths_adjustment_nv_fund",V$3,$A766))</f>
        <v/>
      </c>
      <c r="W766" s="13" t="str">
        <f>IF($A766="","",[1]!thsiFinD("ths_adjustment_nv_fund",W$3,$A766))</f>
        <v/>
      </c>
      <c r="X766" s="13" t="str">
        <f>IF($A766="","",[1]!thsiFinD("ths_adjustment_nv_fund",X$3,$A766))</f>
        <v/>
      </c>
      <c r="Y766" s="13" t="str">
        <f>IF($A766="","",[1]!thsiFinD("ths_adjustment_nv_fund",Y$3,$A766))</f>
        <v/>
      </c>
      <c r="Z766" s="13" t="str">
        <f>IF($A766="","",[1]!thsiFinD("ths_adjustment_nv_fund",Z$3,$A766))</f>
        <v/>
      </c>
      <c r="AA766" s="13" t="str">
        <f>IF($A766="","",[1]!thsiFinD("ths_adjustment_nv_fund",AA$3,$A766))</f>
        <v/>
      </c>
      <c r="AB766" s="13">
        <f>IF($A766="","",[1]!thsiFinD("ths_adjustment_nv_fund",AB$3,$A766))</f>
        <v/>
      </c>
      <c r="AC766" s="13">
        <f>IF($A766="","",[1]!thsiFinD("ths_adjustment_nv_fund",AC$3,$A766))</f>
        <v/>
      </c>
      <c r="AD766" s="13">
        <f>IF($A766="","",[1]!thsiFinD("ths_adjustment_nv_fund",AD$3,$A766))</f>
        <v/>
      </c>
      <c r="AE766" s="13">
        <f>IF($A766="","",[1]!thsiFinD("ths_adjustment_nv_fund",AE$3,$A766))</f>
        <v/>
      </c>
      <c r="AF766" s="13">
        <f>IF($A766="","",[1]!thsiFinD("ths_adjustment_nv_fund",AF$3,$A766))</f>
        <v/>
      </c>
      <c r="AG766" s="13">
        <f>IF($A766="","",[1]!thsiFinD("ths_adjustment_nv_fund",AG$3,$A766))</f>
        <v/>
      </c>
      <c r="AH766" s="13">
        <f>IF($A766="","",[1]!thsiFinD("ths_adjustment_nv_fund",AH$3,$A766))</f>
        <v/>
      </c>
      <c r="AI766" s="13">
        <f>IF($A766="","",[1]!thsiFinD("ths_adjustment_nv_fund",AI$3,$A766))</f>
        <v/>
      </c>
      <c r="AJ766" s="13">
        <f>IF($A766="","",[1]!thsiFinD("ths_adjustment_nv_fund",AJ$3,$A766))</f>
        <v/>
      </c>
      <c r="AK766" s="13">
        <f>IF($A766="","",[1]!thsiFinD("ths_adjustment_nv_fund",AK$3,$A766))</f>
        <v/>
      </c>
      <c r="AL766" s="13">
        <f>IF($A766="","",[1]!thsiFinD("ths_adjustment_nv_fund",AL$3,$A766))</f>
        <v/>
      </c>
    </row>
    <row r="767" spans="2:28">
      <c r="B767" s="13" t="str">
        <f>IF($A767="","",[1]!thsiFinD("ths_adjustment_nv_fund",B$3,$A767))</f>
        <v/>
      </c>
      <c r="C767" s="13" t="str">
        <f>IF($A767="","",[1]!thsiFinD("ths_adjustment_nv_fund",C$3,$A767))</f>
        <v/>
      </c>
      <c r="D767" s="13" t="str">
        <f>IF($A767="","",[1]!thsiFinD("ths_adjustment_nv_fund",D$3,$A767))</f>
        <v/>
      </c>
      <c r="E767" s="13" t="str">
        <f>IF($A767="","",[1]!thsiFinD("ths_adjustment_nv_fund",E$3,$A767))</f>
        <v/>
      </c>
      <c r="F767" s="13" t="str">
        <f>IF($A767="","",[1]!thsiFinD("ths_adjustment_nv_fund",F$3,$A767))</f>
        <v/>
      </c>
      <c r="G767" s="13" t="str">
        <f>IF($A767="","",[1]!thsiFinD("ths_adjustment_nv_fund",G$3,$A767))</f>
        <v/>
      </c>
      <c r="H767" s="13" t="str">
        <f>IF($A767="","",[1]!thsiFinD("ths_adjustment_nv_fund",H$3,$A767))</f>
        <v/>
      </c>
      <c r="I767" s="13" t="str">
        <f>IF($A767="","",[1]!thsiFinD("ths_adjustment_nv_fund",I$3,$A767))</f>
        <v/>
      </c>
      <c r="J767" s="13" t="str">
        <f>IF($A767="","",[1]!thsiFinD("ths_adjustment_nv_fund",J$3,$A767))</f>
        <v/>
      </c>
      <c r="K767" s="13" t="str">
        <f>IF($A767="","",[1]!thsiFinD("ths_adjustment_nv_fund",K$3,$A767))</f>
        <v/>
      </c>
      <c r="L767" s="13" t="str">
        <f>IF($A767="","",[1]!thsiFinD("ths_adjustment_nv_fund",L$3,$A767))</f>
        <v/>
      </c>
      <c r="M767" s="13" t="str">
        <f>IF($A767="","",[1]!thsiFinD("ths_adjustment_nv_fund",M$3,$A767))</f>
        <v/>
      </c>
      <c r="N767" s="13" t="str">
        <f>IF($A767="","",[1]!thsiFinD("ths_adjustment_nv_fund",N$3,$A767))</f>
        <v/>
      </c>
      <c r="O767" s="13" t="str">
        <f>IF($A767="","",[1]!thsiFinD("ths_adjustment_nv_fund",O$3,$A767))</f>
        <v/>
      </c>
      <c r="P767" s="13" t="str">
        <f>IF($A767="","",[1]!thsiFinD("ths_adjustment_nv_fund",P$3,$A767))</f>
        <v/>
      </c>
      <c r="Q767" s="13" t="str">
        <f>IF($A767="","",[1]!thsiFinD("ths_adjustment_nv_fund",Q$3,$A767))</f>
        <v/>
      </c>
      <c r="R767" s="13" t="str">
        <f>IF($A767="","",[1]!thsiFinD("ths_adjustment_nv_fund",R$3,$A767))</f>
        <v/>
      </c>
      <c r="S767" s="13" t="str">
        <f>IF($A767="","",[1]!thsiFinD("ths_adjustment_nv_fund",S$3,$A767))</f>
        <v/>
      </c>
      <c r="T767" s="13" t="str">
        <f>IF($A767="","",[1]!thsiFinD("ths_adjustment_nv_fund",T$3,$A767))</f>
        <v/>
      </c>
      <c r="U767" s="13" t="str">
        <f>IF($A767="","",[1]!thsiFinD("ths_adjustment_nv_fund",U$3,$A767))</f>
        <v/>
      </c>
      <c r="V767" s="13" t="str">
        <f>IF($A767="","",[1]!thsiFinD("ths_adjustment_nv_fund",V$3,$A767))</f>
        <v/>
      </c>
      <c r="W767" s="13" t="str">
        <f>IF($A767="","",[1]!thsiFinD("ths_adjustment_nv_fund",W$3,$A767))</f>
        <v/>
      </c>
      <c r="X767" s="13" t="str">
        <f>IF($A767="","",[1]!thsiFinD("ths_adjustment_nv_fund",X$3,$A767))</f>
        <v/>
      </c>
      <c r="Y767" s="13" t="str">
        <f>IF($A767="","",[1]!thsiFinD("ths_adjustment_nv_fund",Y$3,$A767))</f>
        <v/>
      </c>
      <c r="Z767" s="13" t="str">
        <f>IF($A767="","",[1]!thsiFinD("ths_adjustment_nv_fund",Z$3,$A767))</f>
        <v/>
      </c>
      <c r="AA767" s="13" t="str">
        <f>IF($A767="","",[1]!thsiFinD("ths_adjustment_nv_fund",AA$3,$A767))</f>
        <v/>
      </c>
      <c r="AB767" s="13">
        <f>IF($A767="","",[1]!thsiFinD("ths_adjustment_nv_fund",AB$3,$A767))</f>
        <v/>
      </c>
      <c r="AC767" s="13">
        <f>IF($A767="","",[1]!thsiFinD("ths_adjustment_nv_fund",AC$3,$A767))</f>
        <v/>
      </c>
      <c r="AD767" s="13">
        <f>IF($A767="","",[1]!thsiFinD("ths_adjustment_nv_fund",AD$3,$A767))</f>
        <v/>
      </c>
      <c r="AE767" s="13">
        <f>IF($A767="","",[1]!thsiFinD("ths_adjustment_nv_fund",AE$3,$A767))</f>
        <v/>
      </c>
      <c r="AF767" s="13">
        <f>IF($A767="","",[1]!thsiFinD("ths_adjustment_nv_fund",AF$3,$A767))</f>
        <v/>
      </c>
      <c r="AG767" s="13">
        <f>IF($A767="","",[1]!thsiFinD("ths_adjustment_nv_fund",AG$3,$A767))</f>
        <v/>
      </c>
      <c r="AH767" s="13">
        <f>IF($A767="","",[1]!thsiFinD("ths_adjustment_nv_fund",AH$3,$A767))</f>
        <v/>
      </c>
      <c r="AI767" s="13">
        <f>IF($A767="","",[1]!thsiFinD("ths_adjustment_nv_fund",AI$3,$A767))</f>
        <v/>
      </c>
      <c r="AJ767" s="13">
        <f>IF($A767="","",[1]!thsiFinD("ths_adjustment_nv_fund",AJ$3,$A767))</f>
        <v/>
      </c>
      <c r="AK767" s="13">
        <f>IF($A767="","",[1]!thsiFinD("ths_adjustment_nv_fund",AK$3,$A767))</f>
        <v/>
      </c>
      <c r="AL767" s="13">
        <f>IF($A767="","",[1]!thsiFinD("ths_adjustment_nv_fund",AL$3,$A767))</f>
        <v/>
      </c>
    </row>
    <row r="768" spans="2:28">
      <c r="B768" s="13" t="str">
        <f>IF($A768="","",[1]!thsiFinD("ths_adjustment_nv_fund",B$3,$A768))</f>
        <v/>
      </c>
      <c r="C768" s="13" t="str">
        <f>IF($A768="","",[1]!thsiFinD("ths_adjustment_nv_fund",C$3,$A768))</f>
        <v/>
      </c>
      <c r="D768" s="13" t="str">
        <f>IF($A768="","",[1]!thsiFinD("ths_adjustment_nv_fund",D$3,$A768))</f>
        <v/>
      </c>
      <c r="E768" s="13" t="str">
        <f>IF($A768="","",[1]!thsiFinD("ths_adjustment_nv_fund",E$3,$A768))</f>
        <v/>
      </c>
      <c r="F768" s="13" t="str">
        <f>IF($A768="","",[1]!thsiFinD("ths_adjustment_nv_fund",F$3,$A768))</f>
        <v/>
      </c>
      <c r="G768" s="13" t="str">
        <f>IF($A768="","",[1]!thsiFinD("ths_adjustment_nv_fund",G$3,$A768))</f>
        <v/>
      </c>
      <c r="H768" s="13" t="str">
        <f>IF($A768="","",[1]!thsiFinD("ths_adjustment_nv_fund",H$3,$A768))</f>
        <v/>
      </c>
      <c r="I768" s="13" t="str">
        <f>IF($A768="","",[1]!thsiFinD("ths_adjustment_nv_fund",I$3,$A768))</f>
        <v/>
      </c>
      <c r="J768" s="13" t="str">
        <f>IF($A768="","",[1]!thsiFinD("ths_adjustment_nv_fund",J$3,$A768))</f>
        <v/>
      </c>
      <c r="K768" s="13" t="str">
        <f>IF($A768="","",[1]!thsiFinD("ths_adjustment_nv_fund",K$3,$A768))</f>
        <v/>
      </c>
      <c r="L768" s="13" t="str">
        <f>IF($A768="","",[1]!thsiFinD("ths_adjustment_nv_fund",L$3,$A768))</f>
        <v/>
      </c>
      <c r="M768" s="13" t="str">
        <f>IF($A768="","",[1]!thsiFinD("ths_adjustment_nv_fund",M$3,$A768))</f>
        <v/>
      </c>
      <c r="N768" s="13" t="str">
        <f>IF($A768="","",[1]!thsiFinD("ths_adjustment_nv_fund",N$3,$A768))</f>
        <v/>
      </c>
      <c r="O768" s="13" t="str">
        <f>IF($A768="","",[1]!thsiFinD("ths_adjustment_nv_fund",O$3,$A768))</f>
        <v/>
      </c>
      <c r="P768" s="13" t="str">
        <f>IF($A768="","",[1]!thsiFinD("ths_adjustment_nv_fund",P$3,$A768))</f>
        <v/>
      </c>
      <c r="Q768" s="13" t="str">
        <f>IF($A768="","",[1]!thsiFinD("ths_adjustment_nv_fund",Q$3,$A768))</f>
        <v/>
      </c>
      <c r="R768" s="13" t="str">
        <f>IF($A768="","",[1]!thsiFinD("ths_adjustment_nv_fund",R$3,$A768))</f>
        <v/>
      </c>
      <c r="S768" s="13" t="str">
        <f>IF($A768="","",[1]!thsiFinD("ths_adjustment_nv_fund",S$3,$A768))</f>
        <v/>
      </c>
      <c r="T768" s="13" t="str">
        <f>IF($A768="","",[1]!thsiFinD("ths_adjustment_nv_fund",T$3,$A768))</f>
        <v/>
      </c>
      <c r="U768" s="13" t="str">
        <f>IF($A768="","",[1]!thsiFinD("ths_adjustment_nv_fund",U$3,$A768))</f>
        <v/>
      </c>
      <c r="V768" s="13" t="str">
        <f>IF($A768="","",[1]!thsiFinD("ths_adjustment_nv_fund",V$3,$A768))</f>
        <v/>
      </c>
      <c r="W768" s="13" t="str">
        <f>IF($A768="","",[1]!thsiFinD("ths_adjustment_nv_fund",W$3,$A768))</f>
        <v/>
      </c>
      <c r="X768" s="13" t="str">
        <f>IF($A768="","",[1]!thsiFinD("ths_adjustment_nv_fund",X$3,$A768))</f>
        <v/>
      </c>
      <c r="Y768" s="13" t="str">
        <f>IF($A768="","",[1]!thsiFinD("ths_adjustment_nv_fund",Y$3,$A768))</f>
        <v/>
      </c>
      <c r="Z768" s="13" t="str">
        <f>IF($A768="","",[1]!thsiFinD("ths_adjustment_nv_fund",Z$3,$A768))</f>
        <v/>
      </c>
      <c r="AA768" s="13" t="str">
        <f>IF($A768="","",[1]!thsiFinD("ths_adjustment_nv_fund",AA$3,$A768))</f>
        <v/>
      </c>
      <c r="AB768" s="13">
        <f>IF($A768="","",[1]!thsiFinD("ths_adjustment_nv_fund",AB$3,$A768))</f>
        <v/>
      </c>
      <c r="AC768" s="13">
        <f>IF($A768="","",[1]!thsiFinD("ths_adjustment_nv_fund",AC$3,$A768))</f>
        <v/>
      </c>
      <c r="AD768" s="13">
        <f>IF($A768="","",[1]!thsiFinD("ths_adjustment_nv_fund",AD$3,$A768))</f>
        <v/>
      </c>
      <c r="AE768" s="13">
        <f>IF($A768="","",[1]!thsiFinD("ths_adjustment_nv_fund",AE$3,$A768))</f>
        <v/>
      </c>
      <c r="AF768" s="13">
        <f>IF($A768="","",[1]!thsiFinD("ths_adjustment_nv_fund",AF$3,$A768))</f>
        <v/>
      </c>
      <c r="AG768" s="13">
        <f>IF($A768="","",[1]!thsiFinD("ths_adjustment_nv_fund",AG$3,$A768))</f>
        <v/>
      </c>
      <c r="AH768" s="13">
        <f>IF($A768="","",[1]!thsiFinD("ths_adjustment_nv_fund",AH$3,$A768))</f>
        <v/>
      </c>
      <c r="AI768" s="13">
        <f>IF($A768="","",[1]!thsiFinD("ths_adjustment_nv_fund",AI$3,$A768))</f>
        <v/>
      </c>
      <c r="AJ768" s="13">
        <f>IF($A768="","",[1]!thsiFinD("ths_adjustment_nv_fund",AJ$3,$A768))</f>
        <v/>
      </c>
      <c r="AK768" s="13">
        <f>IF($A768="","",[1]!thsiFinD("ths_adjustment_nv_fund",AK$3,$A768))</f>
        <v/>
      </c>
      <c r="AL768" s="13">
        <f>IF($A768="","",[1]!thsiFinD("ths_adjustment_nv_fund",AL$3,$A768))</f>
        <v/>
      </c>
    </row>
    <row r="769" spans="2:28">
      <c r="B769" s="13" t="str">
        <f>IF($A769="","",[1]!thsiFinD("ths_adjustment_nv_fund",B$3,$A769))</f>
        <v/>
      </c>
      <c r="C769" s="13" t="str">
        <f>IF($A769="","",[1]!thsiFinD("ths_adjustment_nv_fund",C$3,$A769))</f>
        <v/>
      </c>
      <c r="D769" s="13" t="str">
        <f>IF($A769="","",[1]!thsiFinD("ths_adjustment_nv_fund",D$3,$A769))</f>
        <v/>
      </c>
      <c r="E769" s="13" t="str">
        <f>IF($A769="","",[1]!thsiFinD("ths_adjustment_nv_fund",E$3,$A769))</f>
        <v/>
      </c>
      <c r="F769" s="13" t="str">
        <f>IF($A769="","",[1]!thsiFinD("ths_adjustment_nv_fund",F$3,$A769))</f>
        <v/>
      </c>
      <c r="G769" s="13" t="str">
        <f>IF($A769="","",[1]!thsiFinD("ths_adjustment_nv_fund",G$3,$A769))</f>
        <v/>
      </c>
      <c r="H769" s="13" t="str">
        <f>IF($A769="","",[1]!thsiFinD("ths_adjustment_nv_fund",H$3,$A769))</f>
        <v/>
      </c>
      <c r="I769" s="13" t="str">
        <f>IF($A769="","",[1]!thsiFinD("ths_adjustment_nv_fund",I$3,$A769))</f>
        <v/>
      </c>
      <c r="J769" s="13" t="str">
        <f>IF($A769="","",[1]!thsiFinD("ths_adjustment_nv_fund",J$3,$A769))</f>
        <v/>
      </c>
      <c r="K769" s="13" t="str">
        <f>IF($A769="","",[1]!thsiFinD("ths_adjustment_nv_fund",K$3,$A769))</f>
        <v/>
      </c>
      <c r="L769" s="13" t="str">
        <f>IF($A769="","",[1]!thsiFinD("ths_adjustment_nv_fund",L$3,$A769))</f>
        <v/>
      </c>
      <c r="M769" s="13" t="str">
        <f>IF($A769="","",[1]!thsiFinD("ths_adjustment_nv_fund",M$3,$A769))</f>
        <v/>
      </c>
      <c r="N769" s="13" t="str">
        <f>IF($A769="","",[1]!thsiFinD("ths_adjustment_nv_fund",N$3,$A769))</f>
        <v/>
      </c>
      <c r="O769" s="13" t="str">
        <f>IF($A769="","",[1]!thsiFinD("ths_adjustment_nv_fund",O$3,$A769))</f>
        <v/>
      </c>
      <c r="P769" s="13" t="str">
        <f>IF($A769="","",[1]!thsiFinD("ths_adjustment_nv_fund",P$3,$A769))</f>
        <v/>
      </c>
      <c r="Q769" s="13" t="str">
        <f>IF($A769="","",[1]!thsiFinD("ths_adjustment_nv_fund",Q$3,$A769))</f>
        <v/>
      </c>
      <c r="R769" s="13" t="str">
        <f>IF($A769="","",[1]!thsiFinD("ths_adjustment_nv_fund",R$3,$A769))</f>
        <v/>
      </c>
      <c r="S769" s="13" t="str">
        <f>IF($A769="","",[1]!thsiFinD("ths_adjustment_nv_fund",S$3,$A769))</f>
        <v/>
      </c>
      <c r="T769" s="13" t="str">
        <f>IF($A769="","",[1]!thsiFinD("ths_adjustment_nv_fund",T$3,$A769))</f>
        <v/>
      </c>
      <c r="U769" s="13" t="str">
        <f>IF($A769="","",[1]!thsiFinD("ths_adjustment_nv_fund",U$3,$A769))</f>
        <v/>
      </c>
      <c r="V769" s="13" t="str">
        <f>IF($A769="","",[1]!thsiFinD("ths_adjustment_nv_fund",V$3,$A769))</f>
        <v/>
      </c>
      <c r="W769" s="13" t="str">
        <f>IF($A769="","",[1]!thsiFinD("ths_adjustment_nv_fund",W$3,$A769))</f>
        <v/>
      </c>
      <c r="X769" s="13" t="str">
        <f>IF($A769="","",[1]!thsiFinD("ths_adjustment_nv_fund",X$3,$A769))</f>
        <v/>
      </c>
      <c r="Y769" s="13" t="str">
        <f>IF($A769="","",[1]!thsiFinD("ths_adjustment_nv_fund",Y$3,$A769))</f>
        <v/>
      </c>
      <c r="Z769" s="13" t="str">
        <f>IF($A769="","",[1]!thsiFinD("ths_adjustment_nv_fund",Z$3,$A769))</f>
        <v/>
      </c>
      <c r="AA769" s="13" t="str">
        <f>IF($A769="","",[1]!thsiFinD("ths_adjustment_nv_fund",AA$3,$A769))</f>
        <v/>
      </c>
      <c r="AB769" s="13">
        <f>IF($A769="","",[1]!thsiFinD("ths_adjustment_nv_fund",AB$3,$A769))</f>
        <v/>
      </c>
      <c r="AC769" s="13">
        <f>IF($A769="","",[1]!thsiFinD("ths_adjustment_nv_fund",AC$3,$A769))</f>
        <v/>
      </c>
      <c r="AD769" s="13">
        <f>IF($A769="","",[1]!thsiFinD("ths_adjustment_nv_fund",AD$3,$A769))</f>
        <v/>
      </c>
      <c r="AE769" s="13">
        <f>IF($A769="","",[1]!thsiFinD("ths_adjustment_nv_fund",AE$3,$A769))</f>
        <v/>
      </c>
      <c r="AF769" s="13">
        <f>IF($A769="","",[1]!thsiFinD("ths_adjustment_nv_fund",AF$3,$A769))</f>
        <v/>
      </c>
      <c r="AG769" s="13">
        <f>IF($A769="","",[1]!thsiFinD("ths_adjustment_nv_fund",AG$3,$A769))</f>
        <v/>
      </c>
      <c r="AH769" s="13">
        <f>IF($A769="","",[1]!thsiFinD("ths_adjustment_nv_fund",AH$3,$A769))</f>
        <v/>
      </c>
      <c r="AI769" s="13">
        <f>IF($A769="","",[1]!thsiFinD("ths_adjustment_nv_fund",AI$3,$A769))</f>
        <v/>
      </c>
      <c r="AJ769" s="13">
        <f>IF($A769="","",[1]!thsiFinD("ths_adjustment_nv_fund",AJ$3,$A769))</f>
        <v/>
      </c>
      <c r="AK769" s="13">
        <f>IF($A769="","",[1]!thsiFinD("ths_adjustment_nv_fund",AK$3,$A769))</f>
        <v/>
      </c>
      <c r="AL769" s="13">
        <f>IF($A769="","",[1]!thsiFinD("ths_adjustment_nv_fund",AL$3,$A769))</f>
        <v/>
      </c>
    </row>
    <row r="770" spans="2:28">
      <c r="B770" s="13" t="str">
        <f>IF($A770="","",[1]!thsiFinD("ths_adjustment_nv_fund",B$3,$A770))</f>
        <v/>
      </c>
      <c r="C770" s="13" t="str">
        <f>IF($A770="","",[1]!thsiFinD("ths_adjustment_nv_fund",C$3,$A770))</f>
        <v/>
      </c>
      <c r="D770" s="13" t="str">
        <f>IF($A770="","",[1]!thsiFinD("ths_adjustment_nv_fund",D$3,$A770))</f>
        <v/>
      </c>
      <c r="E770" s="13" t="str">
        <f>IF($A770="","",[1]!thsiFinD("ths_adjustment_nv_fund",E$3,$A770))</f>
        <v/>
      </c>
      <c r="F770" s="13" t="str">
        <f>IF($A770="","",[1]!thsiFinD("ths_adjustment_nv_fund",F$3,$A770))</f>
        <v/>
      </c>
      <c r="G770" s="13" t="str">
        <f>IF($A770="","",[1]!thsiFinD("ths_adjustment_nv_fund",G$3,$A770))</f>
        <v/>
      </c>
      <c r="H770" s="13" t="str">
        <f>IF($A770="","",[1]!thsiFinD("ths_adjustment_nv_fund",H$3,$A770))</f>
        <v/>
      </c>
      <c r="I770" s="13" t="str">
        <f>IF($A770="","",[1]!thsiFinD("ths_adjustment_nv_fund",I$3,$A770))</f>
        <v/>
      </c>
      <c r="J770" s="13" t="str">
        <f>IF($A770="","",[1]!thsiFinD("ths_adjustment_nv_fund",J$3,$A770))</f>
        <v/>
      </c>
      <c r="K770" s="13" t="str">
        <f>IF($A770="","",[1]!thsiFinD("ths_adjustment_nv_fund",K$3,$A770))</f>
        <v/>
      </c>
      <c r="L770" s="13" t="str">
        <f>IF($A770="","",[1]!thsiFinD("ths_adjustment_nv_fund",L$3,$A770))</f>
        <v/>
      </c>
      <c r="M770" s="13" t="str">
        <f>IF($A770="","",[1]!thsiFinD("ths_adjustment_nv_fund",M$3,$A770))</f>
        <v/>
      </c>
      <c r="N770" s="13" t="str">
        <f>IF($A770="","",[1]!thsiFinD("ths_adjustment_nv_fund",N$3,$A770))</f>
        <v/>
      </c>
      <c r="O770" s="13" t="str">
        <f>IF($A770="","",[1]!thsiFinD("ths_adjustment_nv_fund",O$3,$A770))</f>
        <v/>
      </c>
      <c r="P770" s="13" t="str">
        <f>IF($A770="","",[1]!thsiFinD("ths_adjustment_nv_fund",P$3,$A770))</f>
        <v/>
      </c>
      <c r="Q770" s="13" t="str">
        <f>IF($A770="","",[1]!thsiFinD("ths_adjustment_nv_fund",Q$3,$A770))</f>
        <v/>
      </c>
      <c r="R770" s="13" t="str">
        <f>IF($A770="","",[1]!thsiFinD("ths_adjustment_nv_fund",R$3,$A770))</f>
        <v/>
      </c>
      <c r="S770" s="13" t="str">
        <f>IF($A770="","",[1]!thsiFinD("ths_adjustment_nv_fund",S$3,$A770))</f>
        <v/>
      </c>
      <c r="T770" s="13" t="str">
        <f>IF($A770="","",[1]!thsiFinD("ths_adjustment_nv_fund",T$3,$A770))</f>
        <v/>
      </c>
      <c r="U770" s="13" t="str">
        <f>IF($A770="","",[1]!thsiFinD("ths_adjustment_nv_fund",U$3,$A770))</f>
        <v/>
      </c>
      <c r="V770" s="13" t="str">
        <f>IF($A770="","",[1]!thsiFinD("ths_adjustment_nv_fund",V$3,$A770))</f>
        <v/>
      </c>
      <c r="W770" s="13" t="str">
        <f>IF($A770="","",[1]!thsiFinD("ths_adjustment_nv_fund",W$3,$A770))</f>
        <v/>
      </c>
      <c r="X770" s="13" t="str">
        <f>IF($A770="","",[1]!thsiFinD("ths_adjustment_nv_fund",X$3,$A770))</f>
        <v/>
      </c>
      <c r="Y770" s="13" t="str">
        <f>IF($A770="","",[1]!thsiFinD("ths_adjustment_nv_fund",Y$3,$A770))</f>
        <v/>
      </c>
      <c r="Z770" s="13" t="str">
        <f>IF($A770="","",[1]!thsiFinD("ths_adjustment_nv_fund",Z$3,$A770))</f>
        <v/>
      </c>
      <c r="AA770" s="13" t="str">
        <f>IF($A770="","",[1]!thsiFinD("ths_adjustment_nv_fund",AA$3,$A770))</f>
        <v/>
      </c>
      <c r="AB770" s="13">
        <f>IF($A770="","",[1]!thsiFinD("ths_adjustment_nv_fund",AB$3,$A770))</f>
        <v/>
      </c>
      <c r="AC770" s="13">
        <f>IF($A770="","",[1]!thsiFinD("ths_adjustment_nv_fund",AC$3,$A770))</f>
        <v/>
      </c>
      <c r="AD770" s="13">
        <f>IF($A770="","",[1]!thsiFinD("ths_adjustment_nv_fund",AD$3,$A770))</f>
        <v/>
      </c>
      <c r="AE770" s="13">
        <f>IF($A770="","",[1]!thsiFinD("ths_adjustment_nv_fund",AE$3,$A770))</f>
        <v/>
      </c>
      <c r="AF770" s="13">
        <f>IF($A770="","",[1]!thsiFinD("ths_adjustment_nv_fund",AF$3,$A770))</f>
        <v/>
      </c>
      <c r="AG770" s="13">
        <f>IF($A770="","",[1]!thsiFinD("ths_adjustment_nv_fund",AG$3,$A770))</f>
        <v/>
      </c>
      <c r="AH770" s="13">
        <f>IF($A770="","",[1]!thsiFinD("ths_adjustment_nv_fund",AH$3,$A770))</f>
        <v/>
      </c>
      <c r="AI770" s="13">
        <f>IF($A770="","",[1]!thsiFinD("ths_adjustment_nv_fund",AI$3,$A770))</f>
        <v/>
      </c>
      <c r="AJ770" s="13">
        <f>IF($A770="","",[1]!thsiFinD("ths_adjustment_nv_fund",AJ$3,$A770))</f>
        <v/>
      </c>
      <c r="AK770" s="13">
        <f>IF($A770="","",[1]!thsiFinD("ths_adjustment_nv_fund",AK$3,$A770))</f>
        <v/>
      </c>
      <c r="AL770" s="13">
        <f>IF($A770="","",[1]!thsiFinD("ths_adjustment_nv_fund",AL$3,$A770))</f>
        <v/>
      </c>
    </row>
    <row r="771" spans="2:28">
      <c r="B771" s="13" t="str">
        <f>IF($A771="","",[1]!thsiFinD("ths_adjustment_nv_fund",B$3,$A771))</f>
        <v/>
      </c>
      <c r="C771" s="13" t="str">
        <f>IF($A771="","",[1]!thsiFinD("ths_adjustment_nv_fund",C$3,$A771))</f>
        <v/>
      </c>
      <c r="D771" s="13" t="str">
        <f>IF($A771="","",[1]!thsiFinD("ths_adjustment_nv_fund",D$3,$A771))</f>
        <v/>
      </c>
      <c r="E771" s="13" t="str">
        <f>IF($A771="","",[1]!thsiFinD("ths_adjustment_nv_fund",E$3,$A771))</f>
        <v/>
      </c>
      <c r="F771" s="13" t="str">
        <f>IF($A771="","",[1]!thsiFinD("ths_adjustment_nv_fund",F$3,$A771))</f>
        <v/>
      </c>
      <c r="G771" s="13" t="str">
        <f>IF($A771="","",[1]!thsiFinD("ths_adjustment_nv_fund",G$3,$A771))</f>
        <v/>
      </c>
      <c r="H771" s="13" t="str">
        <f>IF($A771="","",[1]!thsiFinD("ths_adjustment_nv_fund",H$3,$A771))</f>
        <v/>
      </c>
      <c r="I771" s="13" t="str">
        <f>IF($A771="","",[1]!thsiFinD("ths_adjustment_nv_fund",I$3,$A771))</f>
        <v/>
      </c>
      <c r="J771" s="13" t="str">
        <f>IF($A771="","",[1]!thsiFinD("ths_adjustment_nv_fund",J$3,$A771))</f>
        <v/>
      </c>
      <c r="K771" s="13" t="str">
        <f>IF($A771="","",[1]!thsiFinD("ths_adjustment_nv_fund",K$3,$A771))</f>
        <v/>
      </c>
      <c r="L771" s="13" t="str">
        <f>IF($A771="","",[1]!thsiFinD("ths_adjustment_nv_fund",L$3,$A771))</f>
        <v/>
      </c>
      <c r="M771" s="13" t="str">
        <f>IF($A771="","",[1]!thsiFinD("ths_adjustment_nv_fund",M$3,$A771))</f>
        <v/>
      </c>
      <c r="N771" s="13" t="str">
        <f>IF($A771="","",[1]!thsiFinD("ths_adjustment_nv_fund",N$3,$A771))</f>
        <v/>
      </c>
      <c r="O771" s="13" t="str">
        <f>IF($A771="","",[1]!thsiFinD("ths_adjustment_nv_fund",O$3,$A771))</f>
        <v/>
      </c>
      <c r="P771" s="13" t="str">
        <f>IF($A771="","",[1]!thsiFinD("ths_adjustment_nv_fund",P$3,$A771))</f>
        <v/>
      </c>
      <c r="Q771" s="13" t="str">
        <f>IF($A771="","",[1]!thsiFinD("ths_adjustment_nv_fund",Q$3,$A771))</f>
        <v/>
      </c>
      <c r="R771" s="13" t="str">
        <f>IF($A771="","",[1]!thsiFinD("ths_adjustment_nv_fund",R$3,$A771))</f>
        <v/>
      </c>
      <c r="S771" s="13" t="str">
        <f>IF($A771="","",[1]!thsiFinD("ths_adjustment_nv_fund",S$3,$A771))</f>
        <v/>
      </c>
      <c r="T771" s="13" t="str">
        <f>IF($A771="","",[1]!thsiFinD("ths_adjustment_nv_fund",T$3,$A771))</f>
        <v/>
      </c>
      <c r="U771" s="13" t="str">
        <f>IF($A771="","",[1]!thsiFinD("ths_adjustment_nv_fund",U$3,$A771))</f>
        <v/>
      </c>
      <c r="V771" s="13" t="str">
        <f>IF($A771="","",[1]!thsiFinD("ths_adjustment_nv_fund",V$3,$A771))</f>
        <v/>
      </c>
      <c r="W771" s="13" t="str">
        <f>IF($A771="","",[1]!thsiFinD("ths_adjustment_nv_fund",W$3,$A771))</f>
        <v/>
      </c>
      <c r="X771" s="13" t="str">
        <f>IF($A771="","",[1]!thsiFinD("ths_adjustment_nv_fund",X$3,$A771))</f>
        <v/>
      </c>
      <c r="Y771" s="13" t="str">
        <f>IF($A771="","",[1]!thsiFinD("ths_adjustment_nv_fund",Y$3,$A771))</f>
        <v/>
      </c>
      <c r="Z771" s="13" t="str">
        <f>IF($A771="","",[1]!thsiFinD("ths_adjustment_nv_fund",Z$3,$A771))</f>
        <v/>
      </c>
      <c r="AA771" s="13" t="str">
        <f>IF($A771="","",[1]!thsiFinD("ths_adjustment_nv_fund",AA$3,$A771))</f>
        <v/>
      </c>
      <c r="AB771" s="13">
        <f>IF($A771="","",[1]!thsiFinD("ths_adjustment_nv_fund",AB$3,$A771))</f>
        <v/>
      </c>
      <c r="AC771" s="13">
        <f>IF($A771="","",[1]!thsiFinD("ths_adjustment_nv_fund",AC$3,$A771))</f>
        <v/>
      </c>
      <c r="AD771" s="13">
        <f>IF($A771="","",[1]!thsiFinD("ths_adjustment_nv_fund",AD$3,$A771))</f>
        <v/>
      </c>
      <c r="AE771" s="13">
        <f>IF($A771="","",[1]!thsiFinD("ths_adjustment_nv_fund",AE$3,$A771))</f>
        <v/>
      </c>
      <c r="AF771" s="13">
        <f>IF($A771="","",[1]!thsiFinD("ths_adjustment_nv_fund",AF$3,$A771))</f>
        <v/>
      </c>
      <c r="AG771" s="13">
        <f>IF($A771="","",[1]!thsiFinD("ths_adjustment_nv_fund",AG$3,$A771))</f>
        <v/>
      </c>
      <c r="AH771" s="13">
        <f>IF($A771="","",[1]!thsiFinD("ths_adjustment_nv_fund",AH$3,$A771))</f>
        <v/>
      </c>
      <c r="AI771" s="13">
        <f>IF($A771="","",[1]!thsiFinD("ths_adjustment_nv_fund",AI$3,$A771))</f>
        <v/>
      </c>
      <c r="AJ771" s="13">
        <f>IF($A771="","",[1]!thsiFinD("ths_adjustment_nv_fund",AJ$3,$A771))</f>
        <v/>
      </c>
      <c r="AK771" s="13">
        <f>IF($A771="","",[1]!thsiFinD("ths_adjustment_nv_fund",AK$3,$A771))</f>
        <v/>
      </c>
      <c r="AL771" s="13">
        <f>IF($A771="","",[1]!thsiFinD("ths_adjustment_nv_fund",AL$3,$A771))</f>
        <v/>
      </c>
    </row>
    <row r="772" spans="2:28">
      <c r="B772" s="13" t="str">
        <f>IF($A772="","",[1]!thsiFinD("ths_adjustment_nv_fund",B$3,$A772))</f>
        <v/>
      </c>
      <c r="C772" s="13" t="str">
        <f>IF($A772="","",[1]!thsiFinD("ths_adjustment_nv_fund",C$3,$A772))</f>
        <v/>
      </c>
      <c r="D772" s="13" t="str">
        <f>IF($A772="","",[1]!thsiFinD("ths_adjustment_nv_fund",D$3,$A772))</f>
        <v/>
      </c>
      <c r="E772" s="13" t="str">
        <f>IF($A772="","",[1]!thsiFinD("ths_adjustment_nv_fund",E$3,$A772))</f>
        <v/>
      </c>
      <c r="F772" s="13" t="str">
        <f>IF($A772="","",[1]!thsiFinD("ths_adjustment_nv_fund",F$3,$A772))</f>
        <v/>
      </c>
      <c r="G772" s="13" t="str">
        <f>IF($A772="","",[1]!thsiFinD("ths_adjustment_nv_fund",G$3,$A772))</f>
        <v/>
      </c>
      <c r="H772" s="13" t="str">
        <f>IF($A772="","",[1]!thsiFinD("ths_adjustment_nv_fund",H$3,$A772))</f>
        <v/>
      </c>
      <c r="I772" s="13" t="str">
        <f>IF($A772="","",[1]!thsiFinD("ths_adjustment_nv_fund",I$3,$A772))</f>
        <v/>
      </c>
      <c r="J772" s="13" t="str">
        <f>IF($A772="","",[1]!thsiFinD("ths_adjustment_nv_fund",J$3,$A772))</f>
        <v/>
      </c>
      <c r="K772" s="13" t="str">
        <f>IF($A772="","",[1]!thsiFinD("ths_adjustment_nv_fund",K$3,$A772))</f>
        <v/>
      </c>
      <c r="L772" s="13" t="str">
        <f>IF($A772="","",[1]!thsiFinD("ths_adjustment_nv_fund",L$3,$A772))</f>
        <v/>
      </c>
      <c r="M772" s="13" t="str">
        <f>IF($A772="","",[1]!thsiFinD("ths_adjustment_nv_fund",M$3,$A772))</f>
        <v/>
      </c>
      <c r="N772" s="13" t="str">
        <f>IF($A772="","",[1]!thsiFinD("ths_adjustment_nv_fund",N$3,$A772))</f>
        <v/>
      </c>
      <c r="O772" s="13" t="str">
        <f>IF($A772="","",[1]!thsiFinD("ths_adjustment_nv_fund",O$3,$A772))</f>
        <v/>
      </c>
      <c r="P772" s="13" t="str">
        <f>IF($A772="","",[1]!thsiFinD("ths_adjustment_nv_fund",P$3,$A772))</f>
        <v/>
      </c>
      <c r="Q772" s="13" t="str">
        <f>IF($A772="","",[1]!thsiFinD("ths_adjustment_nv_fund",Q$3,$A772))</f>
        <v/>
      </c>
      <c r="R772" s="13" t="str">
        <f>IF($A772="","",[1]!thsiFinD("ths_adjustment_nv_fund",R$3,$A772))</f>
        <v/>
      </c>
      <c r="S772" s="13" t="str">
        <f>IF($A772="","",[1]!thsiFinD("ths_adjustment_nv_fund",S$3,$A772))</f>
        <v/>
      </c>
      <c r="T772" s="13" t="str">
        <f>IF($A772="","",[1]!thsiFinD("ths_adjustment_nv_fund",T$3,$A772))</f>
        <v/>
      </c>
      <c r="U772" s="13" t="str">
        <f>IF($A772="","",[1]!thsiFinD("ths_adjustment_nv_fund",U$3,$A772))</f>
        <v/>
      </c>
      <c r="V772" s="13" t="str">
        <f>IF($A772="","",[1]!thsiFinD("ths_adjustment_nv_fund",V$3,$A772))</f>
        <v/>
      </c>
      <c r="W772" s="13" t="str">
        <f>IF($A772="","",[1]!thsiFinD("ths_adjustment_nv_fund",W$3,$A772))</f>
        <v/>
      </c>
      <c r="X772" s="13" t="str">
        <f>IF($A772="","",[1]!thsiFinD("ths_adjustment_nv_fund",X$3,$A772))</f>
        <v/>
      </c>
      <c r="Y772" s="13" t="str">
        <f>IF($A772="","",[1]!thsiFinD("ths_adjustment_nv_fund",Y$3,$A772))</f>
        <v/>
      </c>
      <c r="Z772" s="13" t="str">
        <f>IF($A772="","",[1]!thsiFinD("ths_adjustment_nv_fund",Z$3,$A772))</f>
        <v/>
      </c>
      <c r="AA772" s="13" t="str">
        <f>IF($A772="","",[1]!thsiFinD("ths_adjustment_nv_fund",AA$3,$A772))</f>
        <v/>
      </c>
      <c r="AB772" s="13">
        <f>IF($A772="","",[1]!thsiFinD("ths_adjustment_nv_fund",AB$3,$A772))</f>
        <v/>
      </c>
      <c r="AC772" s="13">
        <f>IF($A772="","",[1]!thsiFinD("ths_adjustment_nv_fund",AC$3,$A772))</f>
        <v/>
      </c>
      <c r="AD772" s="13">
        <f>IF($A772="","",[1]!thsiFinD("ths_adjustment_nv_fund",AD$3,$A772))</f>
        <v/>
      </c>
      <c r="AE772" s="13">
        <f>IF($A772="","",[1]!thsiFinD("ths_adjustment_nv_fund",AE$3,$A772))</f>
        <v/>
      </c>
      <c r="AF772" s="13">
        <f>IF($A772="","",[1]!thsiFinD("ths_adjustment_nv_fund",AF$3,$A772))</f>
        <v/>
      </c>
      <c r="AG772" s="13">
        <f>IF($A772="","",[1]!thsiFinD("ths_adjustment_nv_fund",AG$3,$A772))</f>
        <v/>
      </c>
      <c r="AH772" s="13">
        <f>IF($A772="","",[1]!thsiFinD("ths_adjustment_nv_fund",AH$3,$A772))</f>
        <v/>
      </c>
      <c r="AI772" s="13">
        <f>IF($A772="","",[1]!thsiFinD("ths_adjustment_nv_fund",AI$3,$A772))</f>
        <v/>
      </c>
      <c r="AJ772" s="13">
        <f>IF($A772="","",[1]!thsiFinD("ths_adjustment_nv_fund",AJ$3,$A772))</f>
        <v/>
      </c>
      <c r="AK772" s="13">
        <f>IF($A772="","",[1]!thsiFinD("ths_adjustment_nv_fund",AK$3,$A772))</f>
        <v/>
      </c>
      <c r="AL772" s="13">
        <f>IF($A772="","",[1]!thsiFinD("ths_adjustment_nv_fund",AL$3,$A772))</f>
        <v/>
      </c>
    </row>
    <row r="773" spans="2:28">
      <c r="B773" s="13" t="str">
        <f>IF($A773="","",[1]!thsiFinD("ths_adjustment_nv_fund",B$3,$A773))</f>
        <v/>
      </c>
      <c r="C773" s="13" t="str">
        <f>IF($A773="","",[1]!thsiFinD("ths_adjustment_nv_fund",C$3,$A773))</f>
        <v/>
      </c>
      <c r="D773" s="13" t="str">
        <f>IF($A773="","",[1]!thsiFinD("ths_adjustment_nv_fund",D$3,$A773))</f>
        <v/>
      </c>
      <c r="E773" s="13" t="str">
        <f>IF($A773="","",[1]!thsiFinD("ths_adjustment_nv_fund",E$3,$A773))</f>
        <v/>
      </c>
      <c r="F773" s="13" t="str">
        <f>IF($A773="","",[1]!thsiFinD("ths_adjustment_nv_fund",F$3,$A773))</f>
        <v/>
      </c>
      <c r="G773" s="13" t="str">
        <f>IF($A773="","",[1]!thsiFinD("ths_adjustment_nv_fund",G$3,$A773))</f>
        <v/>
      </c>
      <c r="H773" s="13" t="str">
        <f>IF($A773="","",[1]!thsiFinD("ths_adjustment_nv_fund",H$3,$A773))</f>
        <v/>
      </c>
      <c r="I773" s="13" t="str">
        <f>IF($A773="","",[1]!thsiFinD("ths_adjustment_nv_fund",I$3,$A773))</f>
        <v/>
      </c>
      <c r="J773" s="13" t="str">
        <f>IF($A773="","",[1]!thsiFinD("ths_adjustment_nv_fund",J$3,$A773))</f>
        <v/>
      </c>
      <c r="K773" s="13" t="str">
        <f>IF($A773="","",[1]!thsiFinD("ths_adjustment_nv_fund",K$3,$A773))</f>
        <v/>
      </c>
      <c r="L773" s="13" t="str">
        <f>IF($A773="","",[1]!thsiFinD("ths_adjustment_nv_fund",L$3,$A773))</f>
        <v/>
      </c>
      <c r="M773" s="13" t="str">
        <f>IF($A773="","",[1]!thsiFinD("ths_adjustment_nv_fund",M$3,$A773))</f>
        <v/>
      </c>
      <c r="N773" s="13" t="str">
        <f>IF($A773="","",[1]!thsiFinD("ths_adjustment_nv_fund",N$3,$A773))</f>
        <v/>
      </c>
      <c r="O773" s="13" t="str">
        <f>IF($A773="","",[1]!thsiFinD("ths_adjustment_nv_fund",O$3,$A773))</f>
        <v/>
      </c>
      <c r="P773" s="13" t="str">
        <f>IF($A773="","",[1]!thsiFinD("ths_adjustment_nv_fund",P$3,$A773))</f>
        <v/>
      </c>
      <c r="Q773" s="13" t="str">
        <f>IF($A773="","",[1]!thsiFinD("ths_adjustment_nv_fund",Q$3,$A773))</f>
        <v/>
      </c>
      <c r="R773" s="13" t="str">
        <f>IF($A773="","",[1]!thsiFinD("ths_adjustment_nv_fund",R$3,$A773))</f>
        <v/>
      </c>
      <c r="S773" s="13" t="str">
        <f>IF($A773="","",[1]!thsiFinD("ths_adjustment_nv_fund",S$3,$A773))</f>
        <v/>
      </c>
      <c r="T773" s="13" t="str">
        <f>IF($A773="","",[1]!thsiFinD("ths_adjustment_nv_fund",T$3,$A773))</f>
        <v/>
      </c>
      <c r="U773" s="13" t="str">
        <f>IF($A773="","",[1]!thsiFinD("ths_adjustment_nv_fund",U$3,$A773))</f>
        <v/>
      </c>
      <c r="V773" s="13" t="str">
        <f>IF($A773="","",[1]!thsiFinD("ths_adjustment_nv_fund",V$3,$A773))</f>
        <v/>
      </c>
      <c r="W773" s="13" t="str">
        <f>IF($A773="","",[1]!thsiFinD("ths_adjustment_nv_fund",W$3,$A773))</f>
        <v/>
      </c>
      <c r="X773" s="13" t="str">
        <f>IF($A773="","",[1]!thsiFinD("ths_adjustment_nv_fund",X$3,$A773))</f>
        <v/>
      </c>
      <c r="Y773" s="13" t="str">
        <f>IF($A773="","",[1]!thsiFinD("ths_adjustment_nv_fund",Y$3,$A773))</f>
        <v/>
      </c>
      <c r="Z773" s="13" t="str">
        <f>IF($A773="","",[1]!thsiFinD("ths_adjustment_nv_fund",Z$3,$A773))</f>
        <v/>
      </c>
      <c r="AA773" s="13" t="str">
        <f>IF($A773="","",[1]!thsiFinD("ths_adjustment_nv_fund",AA$3,$A773))</f>
        <v/>
      </c>
      <c r="AB773" s="13">
        <f>IF($A773="","",[1]!thsiFinD("ths_adjustment_nv_fund",AB$3,$A773))</f>
        <v/>
      </c>
      <c r="AC773" s="13">
        <f>IF($A773="","",[1]!thsiFinD("ths_adjustment_nv_fund",AC$3,$A773))</f>
        <v/>
      </c>
      <c r="AD773" s="13">
        <f>IF($A773="","",[1]!thsiFinD("ths_adjustment_nv_fund",AD$3,$A773))</f>
        <v/>
      </c>
      <c r="AE773" s="13">
        <f>IF($A773="","",[1]!thsiFinD("ths_adjustment_nv_fund",AE$3,$A773))</f>
        <v/>
      </c>
      <c r="AF773" s="13">
        <f>IF($A773="","",[1]!thsiFinD("ths_adjustment_nv_fund",AF$3,$A773))</f>
        <v/>
      </c>
      <c r="AG773" s="13">
        <f>IF($A773="","",[1]!thsiFinD("ths_adjustment_nv_fund",AG$3,$A773))</f>
        <v/>
      </c>
      <c r="AH773" s="13">
        <f>IF($A773="","",[1]!thsiFinD("ths_adjustment_nv_fund",AH$3,$A773))</f>
        <v/>
      </c>
      <c r="AI773" s="13">
        <f>IF($A773="","",[1]!thsiFinD("ths_adjustment_nv_fund",AI$3,$A773))</f>
        <v/>
      </c>
      <c r="AJ773" s="13">
        <f>IF($A773="","",[1]!thsiFinD("ths_adjustment_nv_fund",AJ$3,$A773))</f>
        <v/>
      </c>
      <c r="AK773" s="13">
        <f>IF($A773="","",[1]!thsiFinD("ths_adjustment_nv_fund",AK$3,$A773))</f>
        <v/>
      </c>
      <c r="AL773" s="13">
        <f>IF($A773="","",[1]!thsiFinD("ths_adjustment_nv_fund",AL$3,$A773))</f>
        <v/>
      </c>
    </row>
    <row r="774" spans="2:28">
      <c r="B774" s="13" t="str">
        <f>IF($A774="","",[1]!thsiFinD("ths_adjustment_nv_fund",B$3,$A774))</f>
        <v/>
      </c>
      <c r="C774" s="13" t="str">
        <f>IF($A774="","",[1]!thsiFinD("ths_adjustment_nv_fund",C$3,$A774))</f>
        <v/>
      </c>
      <c r="D774" s="13" t="str">
        <f>IF($A774="","",[1]!thsiFinD("ths_adjustment_nv_fund",D$3,$A774))</f>
        <v/>
      </c>
      <c r="E774" s="13" t="str">
        <f>IF($A774="","",[1]!thsiFinD("ths_adjustment_nv_fund",E$3,$A774))</f>
        <v/>
      </c>
      <c r="F774" s="13" t="str">
        <f>IF($A774="","",[1]!thsiFinD("ths_adjustment_nv_fund",F$3,$A774))</f>
        <v/>
      </c>
      <c r="G774" s="13" t="str">
        <f>IF($A774="","",[1]!thsiFinD("ths_adjustment_nv_fund",G$3,$A774))</f>
        <v/>
      </c>
      <c r="H774" s="13" t="str">
        <f>IF($A774="","",[1]!thsiFinD("ths_adjustment_nv_fund",H$3,$A774))</f>
        <v/>
      </c>
      <c r="I774" s="13" t="str">
        <f>IF($A774="","",[1]!thsiFinD("ths_adjustment_nv_fund",I$3,$A774))</f>
        <v/>
      </c>
      <c r="J774" s="13" t="str">
        <f>IF($A774="","",[1]!thsiFinD("ths_adjustment_nv_fund",J$3,$A774))</f>
        <v/>
      </c>
      <c r="K774" s="13" t="str">
        <f>IF($A774="","",[1]!thsiFinD("ths_adjustment_nv_fund",K$3,$A774))</f>
        <v/>
      </c>
      <c r="L774" s="13" t="str">
        <f>IF($A774="","",[1]!thsiFinD("ths_adjustment_nv_fund",L$3,$A774))</f>
        <v/>
      </c>
      <c r="M774" s="13" t="str">
        <f>IF($A774="","",[1]!thsiFinD("ths_adjustment_nv_fund",M$3,$A774))</f>
        <v/>
      </c>
      <c r="N774" s="13" t="str">
        <f>IF($A774="","",[1]!thsiFinD("ths_adjustment_nv_fund",N$3,$A774))</f>
        <v/>
      </c>
      <c r="O774" s="13" t="str">
        <f>IF($A774="","",[1]!thsiFinD("ths_adjustment_nv_fund",O$3,$A774))</f>
        <v/>
      </c>
      <c r="P774" s="13" t="str">
        <f>IF($A774="","",[1]!thsiFinD("ths_adjustment_nv_fund",P$3,$A774))</f>
        <v/>
      </c>
      <c r="Q774" s="13" t="str">
        <f>IF($A774="","",[1]!thsiFinD("ths_adjustment_nv_fund",Q$3,$A774))</f>
        <v/>
      </c>
      <c r="R774" s="13" t="str">
        <f>IF($A774="","",[1]!thsiFinD("ths_adjustment_nv_fund",R$3,$A774))</f>
        <v/>
      </c>
      <c r="S774" s="13" t="str">
        <f>IF($A774="","",[1]!thsiFinD("ths_adjustment_nv_fund",S$3,$A774))</f>
        <v/>
      </c>
      <c r="T774" s="13" t="str">
        <f>IF($A774="","",[1]!thsiFinD("ths_adjustment_nv_fund",T$3,$A774))</f>
        <v/>
      </c>
      <c r="U774" s="13" t="str">
        <f>IF($A774="","",[1]!thsiFinD("ths_adjustment_nv_fund",U$3,$A774))</f>
        <v/>
      </c>
      <c r="V774" s="13" t="str">
        <f>IF($A774="","",[1]!thsiFinD("ths_adjustment_nv_fund",V$3,$A774))</f>
        <v/>
      </c>
      <c r="W774" s="13" t="str">
        <f>IF($A774="","",[1]!thsiFinD("ths_adjustment_nv_fund",W$3,$A774))</f>
        <v/>
      </c>
      <c r="X774" s="13" t="str">
        <f>IF($A774="","",[1]!thsiFinD("ths_adjustment_nv_fund",X$3,$A774))</f>
        <v/>
      </c>
      <c r="Y774" s="13" t="str">
        <f>IF($A774="","",[1]!thsiFinD("ths_adjustment_nv_fund",Y$3,$A774))</f>
        <v/>
      </c>
      <c r="Z774" s="13" t="str">
        <f>IF($A774="","",[1]!thsiFinD("ths_adjustment_nv_fund",Z$3,$A774))</f>
        <v/>
      </c>
      <c r="AA774" s="13" t="str">
        <f>IF($A774="","",[1]!thsiFinD("ths_adjustment_nv_fund",AA$3,$A774))</f>
        <v/>
      </c>
      <c r="AB774" s="13">
        <f>IF($A774="","",[1]!thsiFinD("ths_adjustment_nv_fund",AB$3,$A774))</f>
        <v/>
      </c>
      <c r="AC774" s="13">
        <f>IF($A774="","",[1]!thsiFinD("ths_adjustment_nv_fund",AC$3,$A774))</f>
        <v/>
      </c>
      <c r="AD774" s="13">
        <f>IF($A774="","",[1]!thsiFinD("ths_adjustment_nv_fund",AD$3,$A774))</f>
        <v/>
      </c>
      <c r="AE774" s="13">
        <f>IF($A774="","",[1]!thsiFinD("ths_adjustment_nv_fund",AE$3,$A774))</f>
        <v/>
      </c>
      <c r="AF774" s="13">
        <f>IF($A774="","",[1]!thsiFinD("ths_adjustment_nv_fund",AF$3,$A774))</f>
        <v/>
      </c>
      <c r="AG774" s="13">
        <f>IF($A774="","",[1]!thsiFinD("ths_adjustment_nv_fund",AG$3,$A774))</f>
        <v/>
      </c>
      <c r="AH774" s="13">
        <f>IF($A774="","",[1]!thsiFinD("ths_adjustment_nv_fund",AH$3,$A774))</f>
        <v/>
      </c>
      <c r="AI774" s="13">
        <f>IF($A774="","",[1]!thsiFinD("ths_adjustment_nv_fund",AI$3,$A774))</f>
        <v/>
      </c>
      <c r="AJ774" s="13">
        <f>IF($A774="","",[1]!thsiFinD("ths_adjustment_nv_fund",AJ$3,$A774))</f>
        <v/>
      </c>
      <c r="AK774" s="13">
        <f>IF($A774="","",[1]!thsiFinD("ths_adjustment_nv_fund",AK$3,$A774))</f>
        <v/>
      </c>
      <c r="AL774" s="13">
        <f>IF($A774="","",[1]!thsiFinD("ths_adjustment_nv_fund",AL$3,$A774))</f>
        <v/>
      </c>
    </row>
    <row r="775" spans="2:28">
      <c r="B775" s="13" t="str">
        <f>IF($A775="","",[1]!thsiFinD("ths_adjustment_nv_fund",B$3,$A775))</f>
        <v/>
      </c>
      <c r="C775" s="13" t="str">
        <f>IF($A775="","",[1]!thsiFinD("ths_adjustment_nv_fund",C$3,$A775))</f>
        <v/>
      </c>
      <c r="D775" s="13" t="str">
        <f>IF($A775="","",[1]!thsiFinD("ths_adjustment_nv_fund",D$3,$A775))</f>
        <v/>
      </c>
      <c r="E775" s="13" t="str">
        <f>IF($A775="","",[1]!thsiFinD("ths_adjustment_nv_fund",E$3,$A775))</f>
        <v/>
      </c>
      <c r="F775" s="13" t="str">
        <f>IF($A775="","",[1]!thsiFinD("ths_adjustment_nv_fund",F$3,$A775))</f>
        <v/>
      </c>
      <c r="G775" s="13" t="str">
        <f>IF($A775="","",[1]!thsiFinD("ths_adjustment_nv_fund",G$3,$A775))</f>
        <v/>
      </c>
      <c r="H775" s="13" t="str">
        <f>IF($A775="","",[1]!thsiFinD("ths_adjustment_nv_fund",H$3,$A775))</f>
        <v/>
      </c>
      <c r="I775" s="13" t="str">
        <f>IF($A775="","",[1]!thsiFinD("ths_adjustment_nv_fund",I$3,$A775))</f>
        <v/>
      </c>
      <c r="J775" s="13" t="str">
        <f>IF($A775="","",[1]!thsiFinD("ths_adjustment_nv_fund",J$3,$A775))</f>
        <v/>
      </c>
      <c r="K775" s="13" t="str">
        <f>IF($A775="","",[1]!thsiFinD("ths_adjustment_nv_fund",K$3,$A775))</f>
        <v/>
      </c>
      <c r="L775" s="13" t="str">
        <f>IF($A775="","",[1]!thsiFinD("ths_adjustment_nv_fund",L$3,$A775))</f>
        <v/>
      </c>
      <c r="M775" s="13" t="str">
        <f>IF($A775="","",[1]!thsiFinD("ths_adjustment_nv_fund",M$3,$A775))</f>
        <v/>
      </c>
      <c r="N775" s="13" t="str">
        <f>IF($A775="","",[1]!thsiFinD("ths_adjustment_nv_fund",N$3,$A775))</f>
        <v/>
      </c>
      <c r="O775" s="13" t="str">
        <f>IF($A775="","",[1]!thsiFinD("ths_adjustment_nv_fund",O$3,$A775))</f>
        <v/>
      </c>
      <c r="P775" s="13" t="str">
        <f>IF($A775="","",[1]!thsiFinD("ths_adjustment_nv_fund",P$3,$A775))</f>
        <v/>
      </c>
      <c r="Q775" s="13" t="str">
        <f>IF($A775="","",[1]!thsiFinD("ths_adjustment_nv_fund",Q$3,$A775))</f>
        <v/>
      </c>
      <c r="R775" s="13" t="str">
        <f>IF($A775="","",[1]!thsiFinD("ths_adjustment_nv_fund",R$3,$A775))</f>
        <v/>
      </c>
      <c r="S775" s="13" t="str">
        <f>IF($A775="","",[1]!thsiFinD("ths_adjustment_nv_fund",S$3,$A775))</f>
        <v/>
      </c>
      <c r="T775" s="13" t="str">
        <f>IF($A775="","",[1]!thsiFinD("ths_adjustment_nv_fund",T$3,$A775))</f>
        <v/>
      </c>
      <c r="U775" s="13" t="str">
        <f>IF($A775="","",[1]!thsiFinD("ths_adjustment_nv_fund",U$3,$A775))</f>
        <v/>
      </c>
      <c r="V775" s="13" t="str">
        <f>IF($A775="","",[1]!thsiFinD("ths_adjustment_nv_fund",V$3,$A775))</f>
        <v/>
      </c>
      <c r="W775" s="13" t="str">
        <f>IF($A775="","",[1]!thsiFinD("ths_adjustment_nv_fund",W$3,$A775))</f>
        <v/>
      </c>
      <c r="X775" s="13" t="str">
        <f>IF($A775="","",[1]!thsiFinD("ths_adjustment_nv_fund",X$3,$A775))</f>
        <v/>
      </c>
      <c r="Y775" s="13" t="str">
        <f>IF($A775="","",[1]!thsiFinD("ths_adjustment_nv_fund",Y$3,$A775))</f>
        <v/>
      </c>
      <c r="Z775" s="13" t="str">
        <f>IF($A775="","",[1]!thsiFinD("ths_adjustment_nv_fund",Z$3,$A775))</f>
        <v/>
      </c>
      <c r="AA775" s="13" t="str">
        <f>IF($A775="","",[1]!thsiFinD("ths_adjustment_nv_fund",AA$3,$A775))</f>
        <v/>
      </c>
      <c r="AB775" s="13">
        <f>IF($A775="","",[1]!thsiFinD("ths_adjustment_nv_fund",AB$3,$A775))</f>
        <v/>
      </c>
      <c r="AC775" s="13">
        <f>IF($A775="","",[1]!thsiFinD("ths_adjustment_nv_fund",AC$3,$A775))</f>
        <v/>
      </c>
      <c r="AD775" s="13">
        <f>IF($A775="","",[1]!thsiFinD("ths_adjustment_nv_fund",AD$3,$A775))</f>
        <v/>
      </c>
      <c r="AE775" s="13">
        <f>IF($A775="","",[1]!thsiFinD("ths_adjustment_nv_fund",AE$3,$A775))</f>
        <v/>
      </c>
      <c r="AF775" s="13">
        <f>IF($A775="","",[1]!thsiFinD("ths_adjustment_nv_fund",AF$3,$A775))</f>
        <v/>
      </c>
      <c r="AG775" s="13">
        <f>IF($A775="","",[1]!thsiFinD("ths_adjustment_nv_fund",AG$3,$A775))</f>
        <v/>
      </c>
      <c r="AH775" s="13">
        <f>IF($A775="","",[1]!thsiFinD("ths_adjustment_nv_fund",AH$3,$A775))</f>
        <v/>
      </c>
      <c r="AI775" s="13">
        <f>IF($A775="","",[1]!thsiFinD("ths_adjustment_nv_fund",AI$3,$A775))</f>
        <v/>
      </c>
      <c r="AJ775" s="13">
        <f>IF($A775="","",[1]!thsiFinD("ths_adjustment_nv_fund",AJ$3,$A775))</f>
        <v/>
      </c>
      <c r="AK775" s="13">
        <f>IF($A775="","",[1]!thsiFinD("ths_adjustment_nv_fund",AK$3,$A775))</f>
        <v/>
      </c>
      <c r="AL775" s="13">
        <f>IF($A775="","",[1]!thsiFinD("ths_adjustment_nv_fund",AL$3,$A775))</f>
        <v/>
      </c>
    </row>
    <row r="776" spans="2:28">
      <c r="B776" s="13" t="str">
        <f>IF($A776="","",[1]!thsiFinD("ths_adjustment_nv_fund",B$3,$A776))</f>
        <v/>
      </c>
      <c r="C776" s="13" t="str">
        <f>IF($A776="","",[1]!thsiFinD("ths_adjustment_nv_fund",C$3,$A776))</f>
        <v/>
      </c>
      <c r="D776" s="13" t="str">
        <f>IF($A776="","",[1]!thsiFinD("ths_adjustment_nv_fund",D$3,$A776))</f>
        <v/>
      </c>
      <c r="E776" s="13" t="str">
        <f>IF($A776="","",[1]!thsiFinD("ths_adjustment_nv_fund",E$3,$A776))</f>
        <v/>
      </c>
      <c r="F776" s="13" t="str">
        <f>IF($A776="","",[1]!thsiFinD("ths_adjustment_nv_fund",F$3,$A776))</f>
        <v/>
      </c>
      <c r="G776" s="13" t="str">
        <f>IF($A776="","",[1]!thsiFinD("ths_adjustment_nv_fund",G$3,$A776))</f>
        <v/>
      </c>
      <c r="H776" s="13" t="str">
        <f>IF($A776="","",[1]!thsiFinD("ths_adjustment_nv_fund",H$3,$A776))</f>
        <v/>
      </c>
      <c r="I776" s="13" t="str">
        <f>IF($A776="","",[1]!thsiFinD("ths_adjustment_nv_fund",I$3,$A776))</f>
        <v/>
      </c>
      <c r="J776" s="13" t="str">
        <f>IF($A776="","",[1]!thsiFinD("ths_adjustment_nv_fund",J$3,$A776))</f>
        <v/>
      </c>
      <c r="K776" s="13" t="str">
        <f>IF($A776="","",[1]!thsiFinD("ths_adjustment_nv_fund",K$3,$A776))</f>
        <v/>
      </c>
      <c r="L776" s="13" t="str">
        <f>IF($A776="","",[1]!thsiFinD("ths_adjustment_nv_fund",L$3,$A776))</f>
        <v/>
      </c>
      <c r="M776" s="13" t="str">
        <f>IF($A776="","",[1]!thsiFinD("ths_adjustment_nv_fund",M$3,$A776))</f>
        <v/>
      </c>
      <c r="N776" s="13" t="str">
        <f>IF($A776="","",[1]!thsiFinD("ths_adjustment_nv_fund",N$3,$A776))</f>
        <v/>
      </c>
      <c r="O776" s="13" t="str">
        <f>IF($A776="","",[1]!thsiFinD("ths_adjustment_nv_fund",O$3,$A776))</f>
        <v/>
      </c>
      <c r="P776" s="13" t="str">
        <f>IF($A776="","",[1]!thsiFinD("ths_adjustment_nv_fund",P$3,$A776))</f>
        <v/>
      </c>
      <c r="Q776" s="13" t="str">
        <f>IF($A776="","",[1]!thsiFinD("ths_adjustment_nv_fund",Q$3,$A776))</f>
        <v/>
      </c>
      <c r="R776" s="13" t="str">
        <f>IF($A776="","",[1]!thsiFinD("ths_adjustment_nv_fund",R$3,$A776))</f>
        <v/>
      </c>
      <c r="S776" s="13" t="str">
        <f>IF($A776="","",[1]!thsiFinD("ths_adjustment_nv_fund",S$3,$A776))</f>
        <v/>
      </c>
      <c r="T776" s="13" t="str">
        <f>IF($A776="","",[1]!thsiFinD("ths_adjustment_nv_fund",T$3,$A776))</f>
        <v/>
      </c>
      <c r="U776" s="13" t="str">
        <f>IF($A776="","",[1]!thsiFinD("ths_adjustment_nv_fund",U$3,$A776))</f>
        <v/>
      </c>
      <c r="V776" s="13" t="str">
        <f>IF($A776="","",[1]!thsiFinD("ths_adjustment_nv_fund",V$3,$A776))</f>
        <v/>
      </c>
      <c r="W776" s="13" t="str">
        <f>IF($A776="","",[1]!thsiFinD("ths_adjustment_nv_fund",W$3,$A776))</f>
        <v/>
      </c>
      <c r="X776" s="13" t="str">
        <f>IF($A776="","",[1]!thsiFinD("ths_adjustment_nv_fund",X$3,$A776))</f>
        <v/>
      </c>
      <c r="Y776" s="13" t="str">
        <f>IF($A776="","",[1]!thsiFinD("ths_adjustment_nv_fund",Y$3,$A776))</f>
        <v/>
      </c>
      <c r="Z776" s="13" t="str">
        <f>IF($A776="","",[1]!thsiFinD("ths_adjustment_nv_fund",Z$3,$A776))</f>
        <v/>
      </c>
      <c r="AA776" s="13" t="str">
        <f>IF($A776="","",[1]!thsiFinD("ths_adjustment_nv_fund",AA$3,$A776))</f>
        <v/>
      </c>
      <c r="AB776" s="13">
        <f>IF($A776="","",[1]!thsiFinD("ths_adjustment_nv_fund",AB$3,$A776))</f>
        <v/>
      </c>
      <c r="AC776" s="13">
        <f>IF($A776="","",[1]!thsiFinD("ths_adjustment_nv_fund",AC$3,$A776))</f>
        <v/>
      </c>
      <c r="AD776" s="13">
        <f>IF($A776="","",[1]!thsiFinD("ths_adjustment_nv_fund",AD$3,$A776))</f>
        <v/>
      </c>
      <c r="AE776" s="13">
        <f>IF($A776="","",[1]!thsiFinD("ths_adjustment_nv_fund",AE$3,$A776))</f>
        <v/>
      </c>
      <c r="AF776" s="13">
        <f>IF($A776="","",[1]!thsiFinD("ths_adjustment_nv_fund",AF$3,$A776))</f>
        <v/>
      </c>
      <c r="AG776" s="13">
        <f>IF($A776="","",[1]!thsiFinD("ths_adjustment_nv_fund",AG$3,$A776))</f>
        <v/>
      </c>
      <c r="AH776" s="13">
        <f>IF($A776="","",[1]!thsiFinD("ths_adjustment_nv_fund",AH$3,$A776))</f>
        <v/>
      </c>
      <c r="AI776" s="13">
        <f>IF($A776="","",[1]!thsiFinD("ths_adjustment_nv_fund",AI$3,$A776))</f>
        <v/>
      </c>
      <c r="AJ776" s="13">
        <f>IF($A776="","",[1]!thsiFinD("ths_adjustment_nv_fund",AJ$3,$A776))</f>
        <v/>
      </c>
      <c r="AK776" s="13">
        <f>IF($A776="","",[1]!thsiFinD("ths_adjustment_nv_fund",AK$3,$A776))</f>
        <v/>
      </c>
      <c r="AL776" s="13">
        <f>IF($A776="","",[1]!thsiFinD("ths_adjustment_nv_fund",AL$3,$A776))</f>
        <v/>
      </c>
    </row>
    <row r="777" spans="2:28">
      <c r="B777" s="13" t="str">
        <f>IF($A777="","",[1]!thsiFinD("ths_adjustment_nv_fund",B$3,$A777))</f>
        <v/>
      </c>
      <c r="C777" s="13" t="str">
        <f>IF($A777="","",[1]!thsiFinD("ths_adjustment_nv_fund",C$3,$A777))</f>
        <v/>
      </c>
      <c r="D777" s="13" t="str">
        <f>IF($A777="","",[1]!thsiFinD("ths_adjustment_nv_fund",D$3,$A777))</f>
        <v/>
      </c>
      <c r="E777" s="13" t="str">
        <f>IF($A777="","",[1]!thsiFinD("ths_adjustment_nv_fund",E$3,$A777))</f>
        <v/>
      </c>
      <c r="F777" s="13" t="str">
        <f>IF($A777="","",[1]!thsiFinD("ths_adjustment_nv_fund",F$3,$A777))</f>
        <v/>
      </c>
      <c r="G777" s="13" t="str">
        <f>IF($A777="","",[1]!thsiFinD("ths_adjustment_nv_fund",G$3,$A777))</f>
        <v/>
      </c>
      <c r="H777" s="13" t="str">
        <f>IF($A777="","",[1]!thsiFinD("ths_adjustment_nv_fund",H$3,$A777))</f>
        <v/>
      </c>
      <c r="I777" s="13" t="str">
        <f>IF($A777="","",[1]!thsiFinD("ths_adjustment_nv_fund",I$3,$A777))</f>
        <v/>
      </c>
      <c r="J777" s="13" t="str">
        <f>IF($A777="","",[1]!thsiFinD("ths_adjustment_nv_fund",J$3,$A777))</f>
        <v/>
      </c>
      <c r="K777" s="13" t="str">
        <f>IF($A777="","",[1]!thsiFinD("ths_adjustment_nv_fund",K$3,$A777))</f>
        <v/>
      </c>
      <c r="L777" s="13" t="str">
        <f>IF($A777="","",[1]!thsiFinD("ths_adjustment_nv_fund",L$3,$A777))</f>
        <v/>
      </c>
      <c r="M777" s="13" t="str">
        <f>IF($A777="","",[1]!thsiFinD("ths_adjustment_nv_fund",M$3,$A777))</f>
        <v/>
      </c>
      <c r="N777" s="13" t="str">
        <f>IF($A777="","",[1]!thsiFinD("ths_adjustment_nv_fund",N$3,$A777))</f>
        <v/>
      </c>
      <c r="O777" s="13" t="str">
        <f>IF($A777="","",[1]!thsiFinD("ths_adjustment_nv_fund",O$3,$A777))</f>
        <v/>
      </c>
      <c r="P777" s="13" t="str">
        <f>IF($A777="","",[1]!thsiFinD("ths_adjustment_nv_fund",P$3,$A777))</f>
        <v/>
      </c>
      <c r="Q777" s="13" t="str">
        <f>IF($A777="","",[1]!thsiFinD("ths_adjustment_nv_fund",Q$3,$A777))</f>
        <v/>
      </c>
      <c r="R777" s="13" t="str">
        <f>IF($A777="","",[1]!thsiFinD("ths_adjustment_nv_fund",R$3,$A777))</f>
        <v/>
      </c>
      <c r="S777" s="13" t="str">
        <f>IF($A777="","",[1]!thsiFinD("ths_adjustment_nv_fund",S$3,$A777))</f>
        <v/>
      </c>
      <c r="T777" s="13" t="str">
        <f>IF($A777="","",[1]!thsiFinD("ths_adjustment_nv_fund",T$3,$A777))</f>
        <v/>
      </c>
      <c r="U777" s="13" t="str">
        <f>IF($A777="","",[1]!thsiFinD("ths_adjustment_nv_fund",U$3,$A777))</f>
        <v/>
      </c>
      <c r="V777" s="13" t="str">
        <f>IF($A777="","",[1]!thsiFinD("ths_adjustment_nv_fund",V$3,$A777))</f>
        <v/>
      </c>
      <c r="W777" s="13" t="str">
        <f>IF($A777="","",[1]!thsiFinD("ths_adjustment_nv_fund",W$3,$A777))</f>
        <v/>
      </c>
      <c r="X777" s="13" t="str">
        <f>IF($A777="","",[1]!thsiFinD("ths_adjustment_nv_fund",X$3,$A777))</f>
        <v/>
      </c>
      <c r="Y777" s="13" t="str">
        <f>IF($A777="","",[1]!thsiFinD("ths_adjustment_nv_fund",Y$3,$A777))</f>
        <v/>
      </c>
      <c r="Z777" s="13" t="str">
        <f>IF($A777="","",[1]!thsiFinD("ths_adjustment_nv_fund",Z$3,$A777))</f>
        <v/>
      </c>
      <c r="AA777" s="13" t="str">
        <f>IF($A777="","",[1]!thsiFinD("ths_adjustment_nv_fund",AA$3,$A777))</f>
        <v/>
      </c>
      <c r="AB777" s="13">
        <f>IF($A777="","",[1]!thsiFinD("ths_adjustment_nv_fund",AB$3,$A777))</f>
        <v/>
      </c>
      <c r="AC777" s="13">
        <f>IF($A777="","",[1]!thsiFinD("ths_adjustment_nv_fund",AC$3,$A777))</f>
        <v/>
      </c>
      <c r="AD777" s="13">
        <f>IF($A777="","",[1]!thsiFinD("ths_adjustment_nv_fund",AD$3,$A777))</f>
        <v/>
      </c>
      <c r="AE777" s="13">
        <f>IF($A777="","",[1]!thsiFinD("ths_adjustment_nv_fund",AE$3,$A777))</f>
        <v/>
      </c>
      <c r="AF777" s="13">
        <f>IF($A777="","",[1]!thsiFinD("ths_adjustment_nv_fund",AF$3,$A777))</f>
        <v/>
      </c>
      <c r="AG777" s="13">
        <f>IF($A777="","",[1]!thsiFinD("ths_adjustment_nv_fund",AG$3,$A777))</f>
        <v/>
      </c>
      <c r="AH777" s="13">
        <f>IF($A777="","",[1]!thsiFinD("ths_adjustment_nv_fund",AH$3,$A777))</f>
        <v/>
      </c>
      <c r="AI777" s="13">
        <f>IF($A777="","",[1]!thsiFinD("ths_adjustment_nv_fund",AI$3,$A777))</f>
        <v/>
      </c>
      <c r="AJ777" s="13">
        <f>IF($A777="","",[1]!thsiFinD("ths_adjustment_nv_fund",AJ$3,$A777))</f>
        <v/>
      </c>
      <c r="AK777" s="13">
        <f>IF($A777="","",[1]!thsiFinD("ths_adjustment_nv_fund",AK$3,$A777))</f>
        <v/>
      </c>
      <c r="AL777" s="13">
        <f>IF($A777="","",[1]!thsiFinD("ths_adjustment_nv_fund",AL$3,$A777))</f>
        <v/>
      </c>
    </row>
    <row r="778" spans="2:28">
      <c r="B778" s="13" t="str">
        <f>IF($A778="","",[1]!thsiFinD("ths_adjustment_nv_fund",B$3,$A778))</f>
        <v/>
      </c>
      <c r="C778" s="13" t="str">
        <f>IF($A778="","",[1]!thsiFinD("ths_adjustment_nv_fund",C$3,$A778))</f>
        <v/>
      </c>
      <c r="D778" s="13" t="str">
        <f>IF($A778="","",[1]!thsiFinD("ths_adjustment_nv_fund",D$3,$A778))</f>
        <v/>
      </c>
      <c r="E778" s="13" t="str">
        <f>IF($A778="","",[1]!thsiFinD("ths_adjustment_nv_fund",E$3,$A778))</f>
        <v/>
      </c>
      <c r="F778" s="13" t="str">
        <f>IF($A778="","",[1]!thsiFinD("ths_adjustment_nv_fund",F$3,$A778))</f>
        <v/>
      </c>
      <c r="G778" s="13" t="str">
        <f>IF($A778="","",[1]!thsiFinD("ths_adjustment_nv_fund",G$3,$A778))</f>
        <v/>
      </c>
      <c r="H778" s="13" t="str">
        <f>IF($A778="","",[1]!thsiFinD("ths_adjustment_nv_fund",H$3,$A778))</f>
        <v/>
      </c>
      <c r="I778" s="13" t="str">
        <f>IF($A778="","",[1]!thsiFinD("ths_adjustment_nv_fund",I$3,$A778))</f>
        <v/>
      </c>
      <c r="J778" s="13" t="str">
        <f>IF($A778="","",[1]!thsiFinD("ths_adjustment_nv_fund",J$3,$A778))</f>
        <v/>
      </c>
      <c r="K778" s="13" t="str">
        <f>IF($A778="","",[1]!thsiFinD("ths_adjustment_nv_fund",K$3,$A778))</f>
        <v/>
      </c>
      <c r="L778" s="13" t="str">
        <f>IF($A778="","",[1]!thsiFinD("ths_adjustment_nv_fund",L$3,$A778))</f>
        <v/>
      </c>
      <c r="M778" s="13" t="str">
        <f>IF($A778="","",[1]!thsiFinD("ths_adjustment_nv_fund",M$3,$A778))</f>
        <v/>
      </c>
      <c r="N778" s="13" t="str">
        <f>IF($A778="","",[1]!thsiFinD("ths_adjustment_nv_fund",N$3,$A778))</f>
        <v/>
      </c>
      <c r="O778" s="13" t="str">
        <f>IF($A778="","",[1]!thsiFinD("ths_adjustment_nv_fund",O$3,$A778))</f>
        <v/>
      </c>
      <c r="P778" s="13" t="str">
        <f>IF($A778="","",[1]!thsiFinD("ths_adjustment_nv_fund",P$3,$A778))</f>
        <v/>
      </c>
      <c r="Q778" s="13" t="str">
        <f>IF($A778="","",[1]!thsiFinD("ths_adjustment_nv_fund",Q$3,$A778))</f>
        <v/>
      </c>
      <c r="R778" s="13" t="str">
        <f>IF($A778="","",[1]!thsiFinD("ths_adjustment_nv_fund",R$3,$A778))</f>
        <v/>
      </c>
      <c r="S778" s="13" t="str">
        <f>IF($A778="","",[1]!thsiFinD("ths_adjustment_nv_fund",S$3,$A778))</f>
        <v/>
      </c>
      <c r="T778" s="13" t="str">
        <f>IF($A778="","",[1]!thsiFinD("ths_adjustment_nv_fund",T$3,$A778))</f>
        <v/>
      </c>
      <c r="U778" s="13" t="str">
        <f>IF($A778="","",[1]!thsiFinD("ths_adjustment_nv_fund",U$3,$A778))</f>
        <v/>
      </c>
      <c r="V778" s="13" t="str">
        <f>IF($A778="","",[1]!thsiFinD("ths_adjustment_nv_fund",V$3,$A778))</f>
        <v/>
      </c>
      <c r="W778" s="13" t="str">
        <f>IF($A778="","",[1]!thsiFinD("ths_adjustment_nv_fund",W$3,$A778))</f>
        <v/>
      </c>
      <c r="X778" s="13" t="str">
        <f>IF($A778="","",[1]!thsiFinD("ths_adjustment_nv_fund",X$3,$A778))</f>
        <v/>
      </c>
      <c r="Y778" s="13" t="str">
        <f>IF($A778="","",[1]!thsiFinD("ths_adjustment_nv_fund",Y$3,$A778))</f>
        <v/>
      </c>
      <c r="Z778" s="13" t="str">
        <f>IF($A778="","",[1]!thsiFinD("ths_adjustment_nv_fund",Z$3,$A778))</f>
        <v/>
      </c>
      <c r="AA778" s="13" t="str">
        <f>IF($A778="","",[1]!thsiFinD("ths_adjustment_nv_fund",AA$3,$A778))</f>
        <v/>
      </c>
      <c r="AB778" s="13">
        <f>IF($A778="","",[1]!thsiFinD("ths_adjustment_nv_fund",AB$3,$A778))</f>
        <v/>
      </c>
      <c r="AC778" s="13">
        <f>IF($A778="","",[1]!thsiFinD("ths_adjustment_nv_fund",AC$3,$A778))</f>
        <v/>
      </c>
      <c r="AD778" s="13">
        <f>IF($A778="","",[1]!thsiFinD("ths_adjustment_nv_fund",AD$3,$A778))</f>
        <v/>
      </c>
      <c r="AE778" s="13">
        <f>IF($A778="","",[1]!thsiFinD("ths_adjustment_nv_fund",AE$3,$A778))</f>
        <v/>
      </c>
      <c r="AF778" s="13">
        <f>IF($A778="","",[1]!thsiFinD("ths_adjustment_nv_fund",AF$3,$A778))</f>
        <v/>
      </c>
      <c r="AG778" s="13">
        <f>IF($A778="","",[1]!thsiFinD("ths_adjustment_nv_fund",AG$3,$A778))</f>
        <v/>
      </c>
      <c r="AH778" s="13">
        <f>IF($A778="","",[1]!thsiFinD("ths_adjustment_nv_fund",AH$3,$A778))</f>
        <v/>
      </c>
      <c r="AI778" s="13">
        <f>IF($A778="","",[1]!thsiFinD("ths_adjustment_nv_fund",AI$3,$A778))</f>
        <v/>
      </c>
      <c r="AJ778" s="13">
        <f>IF($A778="","",[1]!thsiFinD("ths_adjustment_nv_fund",AJ$3,$A778))</f>
        <v/>
      </c>
      <c r="AK778" s="13">
        <f>IF($A778="","",[1]!thsiFinD("ths_adjustment_nv_fund",AK$3,$A778))</f>
        <v/>
      </c>
      <c r="AL778" s="13">
        <f>IF($A778="","",[1]!thsiFinD("ths_adjustment_nv_fund",AL$3,$A778))</f>
        <v/>
      </c>
    </row>
    <row r="779" spans="2:28">
      <c r="B779" s="13" t="str">
        <f>IF($A779="","",[1]!thsiFinD("ths_adjustment_nv_fund",B$3,$A779))</f>
        <v/>
      </c>
      <c r="C779" s="13" t="str">
        <f>IF($A779="","",[1]!thsiFinD("ths_adjustment_nv_fund",C$3,$A779))</f>
        <v/>
      </c>
      <c r="D779" s="13" t="str">
        <f>IF($A779="","",[1]!thsiFinD("ths_adjustment_nv_fund",D$3,$A779))</f>
        <v/>
      </c>
      <c r="E779" s="13" t="str">
        <f>IF($A779="","",[1]!thsiFinD("ths_adjustment_nv_fund",E$3,$A779))</f>
        <v/>
      </c>
      <c r="F779" s="13" t="str">
        <f>IF($A779="","",[1]!thsiFinD("ths_adjustment_nv_fund",F$3,$A779))</f>
        <v/>
      </c>
      <c r="G779" s="13" t="str">
        <f>IF($A779="","",[1]!thsiFinD("ths_adjustment_nv_fund",G$3,$A779))</f>
        <v/>
      </c>
      <c r="H779" s="13" t="str">
        <f>IF($A779="","",[1]!thsiFinD("ths_adjustment_nv_fund",H$3,$A779))</f>
        <v/>
      </c>
      <c r="I779" s="13" t="str">
        <f>IF($A779="","",[1]!thsiFinD("ths_adjustment_nv_fund",I$3,$A779))</f>
        <v/>
      </c>
      <c r="J779" s="13" t="str">
        <f>IF($A779="","",[1]!thsiFinD("ths_adjustment_nv_fund",J$3,$A779))</f>
        <v/>
      </c>
      <c r="K779" s="13" t="str">
        <f>IF($A779="","",[1]!thsiFinD("ths_adjustment_nv_fund",K$3,$A779))</f>
        <v/>
      </c>
      <c r="L779" s="13" t="str">
        <f>IF($A779="","",[1]!thsiFinD("ths_adjustment_nv_fund",L$3,$A779))</f>
        <v/>
      </c>
      <c r="M779" s="13" t="str">
        <f>IF($A779="","",[1]!thsiFinD("ths_adjustment_nv_fund",M$3,$A779))</f>
        <v/>
      </c>
      <c r="N779" s="13" t="str">
        <f>IF($A779="","",[1]!thsiFinD("ths_adjustment_nv_fund",N$3,$A779))</f>
        <v/>
      </c>
      <c r="O779" s="13" t="str">
        <f>IF($A779="","",[1]!thsiFinD("ths_adjustment_nv_fund",O$3,$A779))</f>
        <v/>
      </c>
      <c r="P779" s="13" t="str">
        <f>IF($A779="","",[1]!thsiFinD("ths_adjustment_nv_fund",P$3,$A779))</f>
        <v/>
      </c>
      <c r="Q779" s="13" t="str">
        <f>IF($A779="","",[1]!thsiFinD("ths_adjustment_nv_fund",Q$3,$A779))</f>
        <v/>
      </c>
      <c r="R779" s="13" t="str">
        <f>IF($A779="","",[1]!thsiFinD("ths_adjustment_nv_fund",R$3,$A779))</f>
        <v/>
      </c>
      <c r="S779" s="13" t="str">
        <f>IF($A779="","",[1]!thsiFinD("ths_adjustment_nv_fund",S$3,$A779))</f>
        <v/>
      </c>
      <c r="T779" s="13" t="str">
        <f>IF($A779="","",[1]!thsiFinD("ths_adjustment_nv_fund",T$3,$A779))</f>
        <v/>
      </c>
      <c r="U779" s="13" t="str">
        <f>IF($A779="","",[1]!thsiFinD("ths_adjustment_nv_fund",U$3,$A779))</f>
        <v/>
      </c>
      <c r="V779" s="13" t="str">
        <f>IF($A779="","",[1]!thsiFinD("ths_adjustment_nv_fund",V$3,$A779))</f>
        <v/>
      </c>
      <c r="W779" s="13" t="str">
        <f>IF($A779="","",[1]!thsiFinD("ths_adjustment_nv_fund",W$3,$A779))</f>
        <v/>
      </c>
      <c r="X779" s="13" t="str">
        <f>IF($A779="","",[1]!thsiFinD("ths_adjustment_nv_fund",X$3,$A779))</f>
        <v/>
      </c>
      <c r="Y779" s="13" t="str">
        <f>IF($A779="","",[1]!thsiFinD("ths_adjustment_nv_fund",Y$3,$A779))</f>
        <v/>
      </c>
      <c r="Z779" s="13" t="str">
        <f>IF($A779="","",[1]!thsiFinD("ths_adjustment_nv_fund",Z$3,$A779))</f>
        <v/>
      </c>
      <c r="AA779" s="13" t="str">
        <f>IF($A779="","",[1]!thsiFinD("ths_adjustment_nv_fund",AA$3,$A779))</f>
        <v/>
      </c>
      <c r="AB779" s="13">
        <f>IF($A779="","",[1]!thsiFinD("ths_adjustment_nv_fund",AB$3,$A779))</f>
        <v/>
      </c>
      <c r="AC779" s="13">
        <f>IF($A779="","",[1]!thsiFinD("ths_adjustment_nv_fund",AC$3,$A779))</f>
        <v/>
      </c>
      <c r="AD779" s="13">
        <f>IF($A779="","",[1]!thsiFinD("ths_adjustment_nv_fund",AD$3,$A779))</f>
        <v/>
      </c>
      <c r="AE779" s="13">
        <f>IF($A779="","",[1]!thsiFinD("ths_adjustment_nv_fund",AE$3,$A779))</f>
        <v/>
      </c>
      <c r="AF779" s="13">
        <f>IF($A779="","",[1]!thsiFinD("ths_adjustment_nv_fund",AF$3,$A779))</f>
        <v/>
      </c>
      <c r="AG779" s="13">
        <f>IF($A779="","",[1]!thsiFinD("ths_adjustment_nv_fund",AG$3,$A779))</f>
        <v/>
      </c>
      <c r="AH779" s="13">
        <f>IF($A779="","",[1]!thsiFinD("ths_adjustment_nv_fund",AH$3,$A779))</f>
        <v/>
      </c>
      <c r="AI779" s="13">
        <f>IF($A779="","",[1]!thsiFinD("ths_adjustment_nv_fund",AI$3,$A779))</f>
        <v/>
      </c>
      <c r="AJ779" s="13">
        <f>IF($A779="","",[1]!thsiFinD("ths_adjustment_nv_fund",AJ$3,$A779))</f>
        <v/>
      </c>
      <c r="AK779" s="13">
        <f>IF($A779="","",[1]!thsiFinD("ths_adjustment_nv_fund",AK$3,$A779))</f>
        <v/>
      </c>
      <c r="AL779" s="13">
        <f>IF($A779="","",[1]!thsiFinD("ths_adjustment_nv_fund",AL$3,$A779))</f>
        <v/>
      </c>
    </row>
    <row r="780" spans="2:28">
      <c r="B780" s="13" t="str">
        <f>IF($A780="","",[1]!thsiFinD("ths_adjustment_nv_fund",B$3,$A780))</f>
        <v/>
      </c>
      <c r="C780" s="13" t="str">
        <f>IF($A780="","",[1]!thsiFinD("ths_adjustment_nv_fund",C$3,$A780))</f>
        <v/>
      </c>
      <c r="D780" s="13" t="str">
        <f>IF($A780="","",[1]!thsiFinD("ths_adjustment_nv_fund",D$3,$A780))</f>
        <v/>
      </c>
      <c r="E780" s="13" t="str">
        <f>IF($A780="","",[1]!thsiFinD("ths_adjustment_nv_fund",E$3,$A780))</f>
        <v/>
      </c>
      <c r="F780" s="13" t="str">
        <f>IF($A780="","",[1]!thsiFinD("ths_adjustment_nv_fund",F$3,$A780))</f>
        <v/>
      </c>
      <c r="G780" s="13" t="str">
        <f>IF($A780="","",[1]!thsiFinD("ths_adjustment_nv_fund",G$3,$A780))</f>
        <v/>
      </c>
      <c r="H780" s="13" t="str">
        <f>IF($A780="","",[1]!thsiFinD("ths_adjustment_nv_fund",H$3,$A780))</f>
        <v/>
      </c>
      <c r="I780" s="13" t="str">
        <f>IF($A780="","",[1]!thsiFinD("ths_adjustment_nv_fund",I$3,$A780))</f>
        <v/>
      </c>
      <c r="J780" s="13" t="str">
        <f>IF($A780="","",[1]!thsiFinD("ths_adjustment_nv_fund",J$3,$A780))</f>
        <v/>
      </c>
      <c r="K780" s="13" t="str">
        <f>IF($A780="","",[1]!thsiFinD("ths_adjustment_nv_fund",K$3,$A780))</f>
        <v/>
      </c>
      <c r="L780" s="13" t="str">
        <f>IF($A780="","",[1]!thsiFinD("ths_adjustment_nv_fund",L$3,$A780))</f>
        <v/>
      </c>
      <c r="M780" s="13" t="str">
        <f>IF($A780="","",[1]!thsiFinD("ths_adjustment_nv_fund",M$3,$A780))</f>
        <v/>
      </c>
      <c r="N780" s="13" t="str">
        <f>IF($A780="","",[1]!thsiFinD("ths_adjustment_nv_fund",N$3,$A780))</f>
        <v/>
      </c>
      <c r="O780" s="13" t="str">
        <f>IF($A780="","",[1]!thsiFinD("ths_adjustment_nv_fund",O$3,$A780))</f>
        <v/>
      </c>
      <c r="P780" s="13" t="str">
        <f>IF($A780="","",[1]!thsiFinD("ths_adjustment_nv_fund",P$3,$A780))</f>
        <v/>
      </c>
      <c r="Q780" s="13" t="str">
        <f>IF($A780="","",[1]!thsiFinD("ths_adjustment_nv_fund",Q$3,$A780))</f>
        <v/>
      </c>
      <c r="R780" s="13" t="str">
        <f>IF($A780="","",[1]!thsiFinD("ths_adjustment_nv_fund",R$3,$A780))</f>
        <v/>
      </c>
      <c r="S780" s="13" t="str">
        <f>IF($A780="","",[1]!thsiFinD("ths_adjustment_nv_fund",S$3,$A780))</f>
        <v/>
      </c>
      <c r="T780" s="13" t="str">
        <f>IF($A780="","",[1]!thsiFinD("ths_adjustment_nv_fund",T$3,$A780))</f>
        <v/>
      </c>
      <c r="U780" s="13" t="str">
        <f>IF($A780="","",[1]!thsiFinD("ths_adjustment_nv_fund",U$3,$A780))</f>
        <v/>
      </c>
      <c r="V780" s="13" t="str">
        <f>IF($A780="","",[1]!thsiFinD("ths_adjustment_nv_fund",V$3,$A780))</f>
        <v/>
      </c>
      <c r="W780" s="13" t="str">
        <f>IF($A780="","",[1]!thsiFinD("ths_adjustment_nv_fund",W$3,$A780))</f>
        <v/>
      </c>
      <c r="X780" s="13" t="str">
        <f>IF($A780="","",[1]!thsiFinD("ths_adjustment_nv_fund",X$3,$A780))</f>
        <v/>
      </c>
      <c r="Y780" s="13" t="str">
        <f>IF($A780="","",[1]!thsiFinD("ths_adjustment_nv_fund",Y$3,$A780))</f>
        <v/>
      </c>
      <c r="Z780" s="13" t="str">
        <f>IF($A780="","",[1]!thsiFinD("ths_adjustment_nv_fund",Z$3,$A780))</f>
        <v/>
      </c>
      <c r="AA780" s="13" t="str">
        <f>IF($A780="","",[1]!thsiFinD("ths_adjustment_nv_fund",AA$3,$A780))</f>
        <v/>
      </c>
      <c r="AB780" s="13">
        <f>IF($A780="","",[1]!thsiFinD("ths_adjustment_nv_fund",AB$3,$A780))</f>
        <v/>
      </c>
      <c r="AC780" s="13">
        <f>IF($A780="","",[1]!thsiFinD("ths_adjustment_nv_fund",AC$3,$A780))</f>
        <v/>
      </c>
      <c r="AD780" s="13">
        <f>IF($A780="","",[1]!thsiFinD("ths_adjustment_nv_fund",AD$3,$A780))</f>
        <v/>
      </c>
      <c r="AE780" s="13">
        <f>IF($A780="","",[1]!thsiFinD("ths_adjustment_nv_fund",AE$3,$A780))</f>
        <v/>
      </c>
      <c r="AF780" s="13">
        <f>IF($A780="","",[1]!thsiFinD("ths_adjustment_nv_fund",AF$3,$A780))</f>
        <v/>
      </c>
      <c r="AG780" s="13">
        <f>IF($A780="","",[1]!thsiFinD("ths_adjustment_nv_fund",AG$3,$A780))</f>
        <v/>
      </c>
      <c r="AH780" s="13">
        <f>IF($A780="","",[1]!thsiFinD("ths_adjustment_nv_fund",AH$3,$A780))</f>
        <v/>
      </c>
      <c r="AI780" s="13">
        <f>IF($A780="","",[1]!thsiFinD("ths_adjustment_nv_fund",AI$3,$A780))</f>
        <v/>
      </c>
      <c r="AJ780" s="13">
        <f>IF($A780="","",[1]!thsiFinD("ths_adjustment_nv_fund",AJ$3,$A780))</f>
        <v/>
      </c>
      <c r="AK780" s="13">
        <f>IF($A780="","",[1]!thsiFinD("ths_adjustment_nv_fund",AK$3,$A780))</f>
        <v/>
      </c>
      <c r="AL780" s="13">
        <f>IF($A780="","",[1]!thsiFinD("ths_adjustment_nv_fund",AL$3,$A780))</f>
        <v/>
      </c>
    </row>
    <row r="781" spans="2:28">
      <c r="B781" s="13" t="str">
        <f>IF($A781="","",[1]!thsiFinD("ths_adjustment_nv_fund",B$3,$A781))</f>
        <v/>
      </c>
      <c r="C781" s="13" t="str">
        <f>IF($A781="","",[1]!thsiFinD("ths_adjustment_nv_fund",C$3,$A781))</f>
        <v/>
      </c>
      <c r="D781" s="13" t="str">
        <f>IF($A781="","",[1]!thsiFinD("ths_adjustment_nv_fund",D$3,$A781))</f>
        <v/>
      </c>
      <c r="E781" s="13" t="str">
        <f>IF($A781="","",[1]!thsiFinD("ths_adjustment_nv_fund",E$3,$A781))</f>
        <v/>
      </c>
      <c r="F781" s="13" t="str">
        <f>IF($A781="","",[1]!thsiFinD("ths_adjustment_nv_fund",F$3,$A781))</f>
        <v/>
      </c>
      <c r="G781" s="13" t="str">
        <f>IF($A781="","",[1]!thsiFinD("ths_adjustment_nv_fund",G$3,$A781))</f>
        <v/>
      </c>
      <c r="H781" s="13" t="str">
        <f>IF($A781="","",[1]!thsiFinD("ths_adjustment_nv_fund",H$3,$A781))</f>
        <v/>
      </c>
      <c r="I781" s="13" t="str">
        <f>IF($A781="","",[1]!thsiFinD("ths_adjustment_nv_fund",I$3,$A781))</f>
        <v/>
      </c>
      <c r="J781" s="13" t="str">
        <f>IF($A781="","",[1]!thsiFinD("ths_adjustment_nv_fund",J$3,$A781))</f>
        <v/>
      </c>
      <c r="K781" s="13" t="str">
        <f>IF($A781="","",[1]!thsiFinD("ths_adjustment_nv_fund",K$3,$A781))</f>
        <v/>
      </c>
      <c r="L781" s="13" t="str">
        <f>IF($A781="","",[1]!thsiFinD("ths_adjustment_nv_fund",L$3,$A781))</f>
        <v/>
      </c>
      <c r="M781" s="13" t="str">
        <f>IF($A781="","",[1]!thsiFinD("ths_adjustment_nv_fund",M$3,$A781))</f>
        <v/>
      </c>
      <c r="N781" s="13" t="str">
        <f>IF($A781="","",[1]!thsiFinD("ths_adjustment_nv_fund",N$3,$A781))</f>
        <v/>
      </c>
      <c r="O781" s="13" t="str">
        <f>IF($A781="","",[1]!thsiFinD("ths_adjustment_nv_fund",O$3,$A781))</f>
        <v/>
      </c>
      <c r="P781" s="13" t="str">
        <f>IF($A781="","",[1]!thsiFinD("ths_adjustment_nv_fund",P$3,$A781))</f>
        <v/>
      </c>
      <c r="Q781" s="13" t="str">
        <f>IF($A781="","",[1]!thsiFinD("ths_adjustment_nv_fund",Q$3,$A781))</f>
        <v/>
      </c>
      <c r="R781" s="13" t="str">
        <f>IF($A781="","",[1]!thsiFinD("ths_adjustment_nv_fund",R$3,$A781))</f>
        <v/>
      </c>
      <c r="S781" s="13" t="str">
        <f>IF($A781="","",[1]!thsiFinD("ths_adjustment_nv_fund",S$3,$A781))</f>
        <v/>
      </c>
      <c r="T781" s="13" t="str">
        <f>IF($A781="","",[1]!thsiFinD("ths_adjustment_nv_fund",T$3,$A781))</f>
        <v/>
      </c>
      <c r="U781" s="13" t="str">
        <f>IF($A781="","",[1]!thsiFinD("ths_adjustment_nv_fund",U$3,$A781))</f>
        <v/>
      </c>
      <c r="V781" s="13" t="str">
        <f>IF($A781="","",[1]!thsiFinD("ths_adjustment_nv_fund",V$3,$A781))</f>
        <v/>
      </c>
      <c r="W781" s="13" t="str">
        <f>IF($A781="","",[1]!thsiFinD("ths_adjustment_nv_fund",W$3,$A781))</f>
        <v/>
      </c>
      <c r="X781" s="13" t="str">
        <f>IF($A781="","",[1]!thsiFinD("ths_adjustment_nv_fund",X$3,$A781))</f>
        <v/>
      </c>
      <c r="Y781" s="13" t="str">
        <f>IF($A781="","",[1]!thsiFinD("ths_adjustment_nv_fund",Y$3,$A781))</f>
        <v/>
      </c>
      <c r="Z781" s="13" t="str">
        <f>IF($A781="","",[1]!thsiFinD("ths_adjustment_nv_fund",Z$3,$A781))</f>
        <v/>
      </c>
      <c r="AA781" s="13" t="str">
        <f>IF($A781="","",[1]!thsiFinD("ths_adjustment_nv_fund",AA$3,$A781))</f>
        <v/>
      </c>
      <c r="AB781" s="13">
        <f>IF($A781="","",[1]!thsiFinD("ths_adjustment_nv_fund",AB$3,$A781))</f>
        <v/>
      </c>
      <c r="AC781" s="13">
        <f>IF($A781="","",[1]!thsiFinD("ths_adjustment_nv_fund",AC$3,$A781))</f>
        <v/>
      </c>
      <c r="AD781" s="13">
        <f>IF($A781="","",[1]!thsiFinD("ths_adjustment_nv_fund",AD$3,$A781))</f>
        <v/>
      </c>
      <c r="AE781" s="13">
        <f>IF($A781="","",[1]!thsiFinD("ths_adjustment_nv_fund",AE$3,$A781))</f>
        <v/>
      </c>
      <c r="AF781" s="13">
        <f>IF($A781="","",[1]!thsiFinD("ths_adjustment_nv_fund",AF$3,$A781))</f>
        <v/>
      </c>
      <c r="AG781" s="13">
        <f>IF($A781="","",[1]!thsiFinD("ths_adjustment_nv_fund",AG$3,$A781))</f>
        <v/>
      </c>
      <c r="AH781" s="13">
        <f>IF($A781="","",[1]!thsiFinD("ths_adjustment_nv_fund",AH$3,$A781))</f>
        <v/>
      </c>
      <c r="AI781" s="13">
        <f>IF($A781="","",[1]!thsiFinD("ths_adjustment_nv_fund",AI$3,$A781))</f>
        <v/>
      </c>
      <c r="AJ781" s="13">
        <f>IF($A781="","",[1]!thsiFinD("ths_adjustment_nv_fund",AJ$3,$A781))</f>
        <v/>
      </c>
      <c r="AK781" s="13">
        <f>IF($A781="","",[1]!thsiFinD("ths_adjustment_nv_fund",AK$3,$A781))</f>
        <v/>
      </c>
      <c r="AL781" s="13">
        <f>IF($A781="","",[1]!thsiFinD("ths_adjustment_nv_fund",AL$3,$A781))</f>
        <v/>
      </c>
    </row>
    <row r="782" spans="2:28">
      <c r="B782" s="13" t="str">
        <f>IF($A782="","",[1]!thsiFinD("ths_adjustment_nv_fund",B$3,$A782))</f>
        <v/>
      </c>
      <c r="C782" s="13" t="str">
        <f>IF($A782="","",[1]!thsiFinD("ths_adjustment_nv_fund",C$3,$A782))</f>
        <v/>
      </c>
      <c r="D782" s="13" t="str">
        <f>IF($A782="","",[1]!thsiFinD("ths_adjustment_nv_fund",D$3,$A782))</f>
        <v/>
      </c>
      <c r="E782" s="13" t="str">
        <f>IF($A782="","",[1]!thsiFinD("ths_adjustment_nv_fund",E$3,$A782))</f>
        <v/>
      </c>
      <c r="F782" s="13" t="str">
        <f>IF($A782="","",[1]!thsiFinD("ths_adjustment_nv_fund",F$3,$A782))</f>
        <v/>
      </c>
      <c r="G782" s="13" t="str">
        <f>IF($A782="","",[1]!thsiFinD("ths_adjustment_nv_fund",G$3,$A782))</f>
        <v/>
      </c>
      <c r="H782" s="13" t="str">
        <f>IF($A782="","",[1]!thsiFinD("ths_adjustment_nv_fund",H$3,$A782))</f>
        <v/>
      </c>
      <c r="I782" s="13" t="str">
        <f>IF($A782="","",[1]!thsiFinD("ths_adjustment_nv_fund",I$3,$A782))</f>
        <v/>
      </c>
      <c r="J782" s="13" t="str">
        <f>IF($A782="","",[1]!thsiFinD("ths_adjustment_nv_fund",J$3,$A782))</f>
        <v/>
      </c>
      <c r="K782" s="13" t="str">
        <f>IF($A782="","",[1]!thsiFinD("ths_adjustment_nv_fund",K$3,$A782))</f>
        <v/>
      </c>
      <c r="L782" s="13" t="str">
        <f>IF($A782="","",[1]!thsiFinD("ths_adjustment_nv_fund",L$3,$A782))</f>
        <v/>
      </c>
      <c r="M782" s="13" t="str">
        <f>IF($A782="","",[1]!thsiFinD("ths_adjustment_nv_fund",M$3,$A782))</f>
        <v/>
      </c>
      <c r="N782" s="13" t="str">
        <f>IF($A782="","",[1]!thsiFinD("ths_adjustment_nv_fund",N$3,$A782))</f>
        <v/>
      </c>
      <c r="O782" s="13" t="str">
        <f>IF($A782="","",[1]!thsiFinD("ths_adjustment_nv_fund",O$3,$A782))</f>
        <v/>
      </c>
      <c r="P782" s="13" t="str">
        <f>IF($A782="","",[1]!thsiFinD("ths_adjustment_nv_fund",P$3,$A782))</f>
        <v/>
      </c>
      <c r="Q782" s="13" t="str">
        <f>IF($A782="","",[1]!thsiFinD("ths_adjustment_nv_fund",Q$3,$A782))</f>
        <v/>
      </c>
      <c r="R782" s="13" t="str">
        <f>IF($A782="","",[1]!thsiFinD("ths_adjustment_nv_fund",R$3,$A782))</f>
        <v/>
      </c>
      <c r="S782" s="13" t="str">
        <f>IF($A782="","",[1]!thsiFinD("ths_adjustment_nv_fund",S$3,$A782))</f>
        <v/>
      </c>
      <c r="T782" s="13" t="str">
        <f>IF($A782="","",[1]!thsiFinD("ths_adjustment_nv_fund",T$3,$A782))</f>
        <v/>
      </c>
      <c r="U782" s="13" t="str">
        <f>IF($A782="","",[1]!thsiFinD("ths_adjustment_nv_fund",U$3,$A782))</f>
        <v/>
      </c>
      <c r="V782" s="13" t="str">
        <f>IF($A782="","",[1]!thsiFinD("ths_adjustment_nv_fund",V$3,$A782))</f>
        <v/>
      </c>
      <c r="W782" s="13" t="str">
        <f>IF($A782="","",[1]!thsiFinD("ths_adjustment_nv_fund",W$3,$A782))</f>
        <v/>
      </c>
      <c r="X782" s="13" t="str">
        <f>IF($A782="","",[1]!thsiFinD("ths_adjustment_nv_fund",X$3,$A782))</f>
        <v/>
      </c>
      <c r="Y782" s="13" t="str">
        <f>IF($A782="","",[1]!thsiFinD("ths_adjustment_nv_fund",Y$3,$A782))</f>
        <v/>
      </c>
      <c r="Z782" s="13" t="str">
        <f>IF($A782="","",[1]!thsiFinD("ths_adjustment_nv_fund",Z$3,$A782))</f>
        <v/>
      </c>
      <c r="AA782" s="13" t="str">
        <f>IF($A782="","",[1]!thsiFinD("ths_adjustment_nv_fund",AA$3,$A782))</f>
        <v/>
      </c>
      <c r="AB782" s="13">
        <f>IF($A782="","",[1]!thsiFinD("ths_adjustment_nv_fund",AB$3,$A782))</f>
        <v/>
      </c>
      <c r="AC782" s="13">
        <f>IF($A782="","",[1]!thsiFinD("ths_adjustment_nv_fund",AC$3,$A782))</f>
        <v/>
      </c>
      <c r="AD782" s="13">
        <f>IF($A782="","",[1]!thsiFinD("ths_adjustment_nv_fund",AD$3,$A782))</f>
        <v/>
      </c>
      <c r="AE782" s="13">
        <f>IF($A782="","",[1]!thsiFinD("ths_adjustment_nv_fund",AE$3,$A782))</f>
        <v/>
      </c>
      <c r="AF782" s="13">
        <f>IF($A782="","",[1]!thsiFinD("ths_adjustment_nv_fund",AF$3,$A782))</f>
        <v/>
      </c>
      <c r="AG782" s="13">
        <f>IF($A782="","",[1]!thsiFinD("ths_adjustment_nv_fund",AG$3,$A782))</f>
        <v/>
      </c>
      <c r="AH782" s="13">
        <f>IF($A782="","",[1]!thsiFinD("ths_adjustment_nv_fund",AH$3,$A782))</f>
        <v/>
      </c>
      <c r="AI782" s="13">
        <f>IF($A782="","",[1]!thsiFinD("ths_adjustment_nv_fund",AI$3,$A782))</f>
        <v/>
      </c>
      <c r="AJ782" s="13">
        <f>IF($A782="","",[1]!thsiFinD("ths_adjustment_nv_fund",AJ$3,$A782))</f>
        <v/>
      </c>
      <c r="AK782" s="13">
        <f>IF($A782="","",[1]!thsiFinD("ths_adjustment_nv_fund",AK$3,$A782))</f>
        <v/>
      </c>
      <c r="AL782" s="13">
        <f>IF($A782="","",[1]!thsiFinD("ths_adjustment_nv_fund",AL$3,$A782))</f>
        <v/>
      </c>
    </row>
    <row r="783" spans="2:28">
      <c r="B783" s="13" t="str">
        <f>IF($A783="","",[1]!thsiFinD("ths_adjustment_nv_fund",B$3,$A783))</f>
        <v/>
      </c>
      <c r="C783" s="13" t="str">
        <f>IF($A783="","",[1]!thsiFinD("ths_adjustment_nv_fund",C$3,$A783))</f>
        <v/>
      </c>
      <c r="D783" s="13" t="str">
        <f>IF($A783="","",[1]!thsiFinD("ths_adjustment_nv_fund",D$3,$A783))</f>
        <v/>
      </c>
      <c r="E783" s="13" t="str">
        <f>IF($A783="","",[1]!thsiFinD("ths_adjustment_nv_fund",E$3,$A783))</f>
        <v/>
      </c>
      <c r="F783" s="13" t="str">
        <f>IF($A783="","",[1]!thsiFinD("ths_adjustment_nv_fund",F$3,$A783))</f>
        <v/>
      </c>
      <c r="G783" s="13" t="str">
        <f>IF($A783="","",[1]!thsiFinD("ths_adjustment_nv_fund",G$3,$A783))</f>
        <v/>
      </c>
      <c r="H783" s="13" t="str">
        <f>IF($A783="","",[1]!thsiFinD("ths_adjustment_nv_fund",H$3,$A783))</f>
        <v/>
      </c>
      <c r="I783" s="13" t="str">
        <f>IF($A783="","",[1]!thsiFinD("ths_adjustment_nv_fund",I$3,$A783))</f>
        <v/>
      </c>
      <c r="J783" s="13" t="str">
        <f>IF($A783="","",[1]!thsiFinD("ths_adjustment_nv_fund",J$3,$A783))</f>
        <v/>
      </c>
      <c r="K783" s="13" t="str">
        <f>IF($A783="","",[1]!thsiFinD("ths_adjustment_nv_fund",K$3,$A783))</f>
        <v/>
      </c>
      <c r="L783" s="13" t="str">
        <f>IF($A783="","",[1]!thsiFinD("ths_adjustment_nv_fund",L$3,$A783))</f>
        <v/>
      </c>
      <c r="M783" s="13" t="str">
        <f>IF($A783="","",[1]!thsiFinD("ths_adjustment_nv_fund",M$3,$A783))</f>
        <v/>
      </c>
      <c r="N783" s="13" t="str">
        <f>IF($A783="","",[1]!thsiFinD("ths_adjustment_nv_fund",N$3,$A783))</f>
        <v/>
      </c>
      <c r="O783" s="13" t="str">
        <f>IF($A783="","",[1]!thsiFinD("ths_adjustment_nv_fund",O$3,$A783))</f>
        <v/>
      </c>
      <c r="P783" s="13" t="str">
        <f>IF($A783="","",[1]!thsiFinD("ths_adjustment_nv_fund",P$3,$A783))</f>
        <v/>
      </c>
      <c r="Q783" s="13" t="str">
        <f>IF($A783="","",[1]!thsiFinD("ths_adjustment_nv_fund",Q$3,$A783))</f>
        <v/>
      </c>
      <c r="R783" s="13" t="str">
        <f>IF($A783="","",[1]!thsiFinD("ths_adjustment_nv_fund",R$3,$A783))</f>
        <v/>
      </c>
      <c r="S783" s="13" t="str">
        <f>IF($A783="","",[1]!thsiFinD("ths_adjustment_nv_fund",S$3,$A783))</f>
        <v/>
      </c>
      <c r="T783" s="13" t="str">
        <f>IF($A783="","",[1]!thsiFinD("ths_adjustment_nv_fund",T$3,$A783))</f>
        <v/>
      </c>
      <c r="U783" s="13" t="str">
        <f>IF($A783="","",[1]!thsiFinD("ths_adjustment_nv_fund",U$3,$A783))</f>
        <v/>
      </c>
      <c r="V783" s="13" t="str">
        <f>IF($A783="","",[1]!thsiFinD("ths_adjustment_nv_fund",V$3,$A783))</f>
        <v/>
      </c>
      <c r="W783" s="13" t="str">
        <f>IF($A783="","",[1]!thsiFinD("ths_adjustment_nv_fund",W$3,$A783))</f>
        <v/>
      </c>
      <c r="X783" s="13" t="str">
        <f>IF($A783="","",[1]!thsiFinD("ths_adjustment_nv_fund",X$3,$A783))</f>
        <v/>
      </c>
      <c r="Y783" s="13" t="str">
        <f>IF($A783="","",[1]!thsiFinD("ths_adjustment_nv_fund",Y$3,$A783))</f>
        <v/>
      </c>
      <c r="Z783" s="13" t="str">
        <f>IF($A783="","",[1]!thsiFinD("ths_adjustment_nv_fund",Z$3,$A783))</f>
        <v/>
      </c>
      <c r="AA783" s="13" t="str">
        <f>IF($A783="","",[1]!thsiFinD("ths_adjustment_nv_fund",AA$3,$A783))</f>
        <v/>
      </c>
      <c r="AB783" s="13">
        <f>IF($A783="","",[1]!thsiFinD("ths_adjustment_nv_fund",AB$3,$A783))</f>
        <v/>
      </c>
      <c r="AC783" s="13">
        <f>IF($A783="","",[1]!thsiFinD("ths_adjustment_nv_fund",AC$3,$A783))</f>
        <v/>
      </c>
      <c r="AD783" s="13">
        <f>IF($A783="","",[1]!thsiFinD("ths_adjustment_nv_fund",AD$3,$A783))</f>
        <v/>
      </c>
      <c r="AE783" s="13">
        <f>IF($A783="","",[1]!thsiFinD("ths_adjustment_nv_fund",AE$3,$A783))</f>
        <v/>
      </c>
      <c r="AF783" s="13">
        <f>IF($A783="","",[1]!thsiFinD("ths_adjustment_nv_fund",AF$3,$A783))</f>
        <v/>
      </c>
      <c r="AG783" s="13">
        <f>IF($A783="","",[1]!thsiFinD("ths_adjustment_nv_fund",AG$3,$A783))</f>
        <v/>
      </c>
      <c r="AH783" s="13">
        <f>IF($A783="","",[1]!thsiFinD("ths_adjustment_nv_fund",AH$3,$A783))</f>
        <v/>
      </c>
      <c r="AI783" s="13">
        <f>IF($A783="","",[1]!thsiFinD("ths_adjustment_nv_fund",AI$3,$A783))</f>
        <v/>
      </c>
      <c r="AJ783" s="13">
        <f>IF($A783="","",[1]!thsiFinD("ths_adjustment_nv_fund",AJ$3,$A783))</f>
        <v/>
      </c>
      <c r="AK783" s="13">
        <f>IF($A783="","",[1]!thsiFinD("ths_adjustment_nv_fund",AK$3,$A783))</f>
        <v/>
      </c>
      <c r="AL783" s="13">
        <f>IF($A783="","",[1]!thsiFinD("ths_adjustment_nv_fund",AL$3,$A783))</f>
        <v/>
      </c>
    </row>
    <row r="784" spans="2:28">
      <c r="B784" s="13" t="str">
        <f>IF($A784="","",[1]!thsiFinD("ths_adjustment_nv_fund",B$3,$A784))</f>
        <v/>
      </c>
      <c r="C784" s="13" t="str">
        <f>IF($A784="","",[1]!thsiFinD("ths_adjustment_nv_fund",C$3,$A784))</f>
        <v/>
      </c>
      <c r="D784" s="13" t="str">
        <f>IF($A784="","",[1]!thsiFinD("ths_adjustment_nv_fund",D$3,$A784))</f>
        <v/>
      </c>
      <c r="E784" s="13" t="str">
        <f>IF($A784="","",[1]!thsiFinD("ths_adjustment_nv_fund",E$3,$A784))</f>
        <v/>
      </c>
      <c r="F784" s="13" t="str">
        <f>IF($A784="","",[1]!thsiFinD("ths_adjustment_nv_fund",F$3,$A784))</f>
        <v/>
      </c>
      <c r="G784" s="13" t="str">
        <f>IF($A784="","",[1]!thsiFinD("ths_adjustment_nv_fund",G$3,$A784))</f>
        <v/>
      </c>
      <c r="H784" s="13" t="str">
        <f>IF($A784="","",[1]!thsiFinD("ths_adjustment_nv_fund",H$3,$A784))</f>
        <v/>
      </c>
      <c r="I784" s="13" t="str">
        <f>IF($A784="","",[1]!thsiFinD("ths_adjustment_nv_fund",I$3,$A784))</f>
        <v/>
      </c>
      <c r="J784" s="13" t="str">
        <f>IF($A784="","",[1]!thsiFinD("ths_adjustment_nv_fund",J$3,$A784))</f>
        <v/>
      </c>
      <c r="K784" s="13" t="str">
        <f>IF($A784="","",[1]!thsiFinD("ths_adjustment_nv_fund",K$3,$A784))</f>
        <v/>
      </c>
      <c r="L784" s="13" t="str">
        <f>IF($A784="","",[1]!thsiFinD("ths_adjustment_nv_fund",L$3,$A784))</f>
        <v/>
      </c>
      <c r="M784" s="13" t="str">
        <f>IF($A784="","",[1]!thsiFinD("ths_adjustment_nv_fund",M$3,$A784))</f>
        <v/>
      </c>
      <c r="N784" s="13" t="str">
        <f>IF($A784="","",[1]!thsiFinD("ths_adjustment_nv_fund",N$3,$A784))</f>
        <v/>
      </c>
      <c r="O784" s="13" t="str">
        <f>IF($A784="","",[1]!thsiFinD("ths_adjustment_nv_fund",O$3,$A784))</f>
        <v/>
      </c>
      <c r="P784" s="13" t="str">
        <f>IF($A784="","",[1]!thsiFinD("ths_adjustment_nv_fund",P$3,$A784))</f>
        <v/>
      </c>
      <c r="Q784" s="13" t="str">
        <f>IF($A784="","",[1]!thsiFinD("ths_adjustment_nv_fund",Q$3,$A784))</f>
        <v/>
      </c>
      <c r="R784" s="13" t="str">
        <f>IF($A784="","",[1]!thsiFinD("ths_adjustment_nv_fund",R$3,$A784))</f>
        <v/>
      </c>
      <c r="S784" s="13" t="str">
        <f>IF($A784="","",[1]!thsiFinD("ths_adjustment_nv_fund",S$3,$A784))</f>
        <v/>
      </c>
      <c r="T784" s="13" t="str">
        <f>IF($A784="","",[1]!thsiFinD("ths_adjustment_nv_fund",T$3,$A784))</f>
        <v/>
      </c>
      <c r="U784" s="13" t="str">
        <f>IF($A784="","",[1]!thsiFinD("ths_adjustment_nv_fund",U$3,$A784))</f>
        <v/>
      </c>
      <c r="V784" s="13" t="str">
        <f>IF($A784="","",[1]!thsiFinD("ths_adjustment_nv_fund",V$3,$A784))</f>
        <v/>
      </c>
      <c r="W784" s="13" t="str">
        <f>IF($A784="","",[1]!thsiFinD("ths_adjustment_nv_fund",W$3,$A784))</f>
        <v/>
      </c>
      <c r="X784" s="13" t="str">
        <f>IF($A784="","",[1]!thsiFinD("ths_adjustment_nv_fund",X$3,$A784))</f>
        <v/>
      </c>
      <c r="Y784" s="13" t="str">
        <f>IF($A784="","",[1]!thsiFinD("ths_adjustment_nv_fund",Y$3,$A784))</f>
        <v/>
      </c>
      <c r="Z784" s="13" t="str">
        <f>IF($A784="","",[1]!thsiFinD("ths_adjustment_nv_fund",Z$3,$A784))</f>
        <v/>
      </c>
      <c r="AA784" s="13" t="str">
        <f>IF($A784="","",[1]!thsiFinD("ths_adjustment_nv_fund",AA$3,$A784))</f>
        <v/>
      </c>
      <c r="AB784" s="13">
        <f>IF($A784="","",[1]!thsiFinD("ths_adjustment_nv_fund",AB$3,$A784))</f>
        <v/>
      </c>
      <c r="AC784" s="13">
        <f>IF($A784="","",[1]!thsiFinD("ths_adjustment_nv_fund",AC$3,$A784))</f>
        <v/>
      </c>
      <c r="AD784" s="13">
        <f>IF($A784="","",[1]!thsiFinD("ths_adjustment_nv_fund",AD$3,$A784))</f>
        <v/>
      </c>
      <c r="AE784" s="13">
        <f>IF($A784="","",[1]!thsiFinD("ths_adjustment_nv_fund",AE$3,$A784))</f>
        <v/>
      </c>
      <c r="AF784" s="13">
        <f>IF($A784="","",[1]!thsiFinD("ths_adjustment_nv_fund",AF$3,$A784))</f>
        <v/>
      </c>
      <c r="AG784" s="13">
        <f>IF($A784="","",[1]!thsiFinD("ths_adjustment_nv_fund",AG$3,$A784))</f>
        <v/>
      </c>
      <c r="AH784" s="13">
        <f>IF($A784="","",[1]!thsiFinD("ths_adjustment_nv_fund",AH$3,$A784))</f>
        <v/>
      </c>
      <c r="AI784" s="13">
        <f>IF($A784="","",[1]!thsiFinD("ths_adjustment_nv_fund",AI$3,$A784))</f>
        <v/>
      </c>
      <c r="AJ784" s="13">
        <f>IF($A784="","",[1]!thsiFinD("ths_adjustment_nv_fund",AJ$3,$A784))</f>
        <v/>
      </c>
      <c r="AK784" s="13">
        <f>IF($A784="","",[1]!thsiFinD("ths_adjustment_nv_fund",AK$3,$A784))</f>
        <v/>
      </c>
      <c r="AL784" s="13">
        <f>IF($A784="","",[1]!thsiFinD("ths_adjustment_nv_fund",AL$3,$A784))</f>
        <v/>
      </c>
    </row>
    <row r="785" spans="2:28">
      <c r="B785" s="13" t="str">
        <f>IF($A785="","",[1]!thsiFinD("ths_adjustment_nv_fund",B$3,$A785))</f>
        <v/>
      </c>
      <c r="C785" s="13" t="str">
        <f>IF($A785="","",[1]!thsiFinD("ths_adjustment_nv_fund",C$3,$A785))</f>
        <v/>
      </c>
      <c r="D785" s="13" t="str">
        <f>IF($A785="","",[1]!thsiFinD("ths_adjustment_nv_fund",D$3,$A785))</f>
        <v/>
      </c>
      <c r="E785" s="13" t="str">
        <f>IF($A785="","",[1]!thsiFinD("ths_adjustment_nv_fund",E$3,$A785))</f>
        <v/>
      </c>
      <c r="F785" s="13" t="str">
        <f>IF($A785="","",[1]!thsiFinD("ths_adjustment_nv_fund",F$3,$A785))</f>
        <v/>
      </c>
      <c r="G785" s="13" t="str">
        <f>IF($A785="","",[1]!thsiFinD("ths_adjustment_nv_fund",G$3,$A785))</f>
        <v/>
      </c>
      <c r="H785" s="13" t="str">
        <f>IF($A785="","",[1]!thsiFinD("ths_adjustment_nv_fund",H$3,$A785))</f>
        <v/>
      </c>
      <c r="I785" s="13" t="str">
        <f>IF($A785="","",[1]!thsiFinD("ths_adjustment_nv_fund",I$3,$A785))</f>
        <v/>
      </c>
      <c r="J785" s="13" t="str">
        <f>IF($A785="","",[1]!thsiFinD("ths_adjustment_nv_fund",J$3,$A785))</f>
        <v/>
      </c>
      <c r="K785" s="13" t="str">
        <f>IF($A785="","",[1]!thsiFinD("ths_adjustment_nv_fund",K$3,$A785))</f>
        <v/>
      </c>
      <c r="L785" s="13" t="str">
        <f>IF($A785="","",[1]!thsiFinD("ths_adjustment_nv_fund",L$3,$A785))</f>
        <v/>
      </c>
      <c r="M785" s="13" t="str">
        <f>IF($A785="","",[1]!thsiFinD("ths_adjustment_nv_fund",M$3,$A785))</f>
        <v/>
      </c>
      <c r="N785" s="13" t="str">
        <f>IF($A785="","",[1]!thsiFinD("ths_adjustment_nv_fund",N$3,$A785))</f>
        <v/>
      </c>
      <c r="O785" s="13" t="str">
        <f>IF($A785="","",[1]!thsiFinD("ths_adjustment_nv_fund",O$3,$A785))</f>
        <v/>
      </c>
      <c r="P785" s="13" t="str">
        <f>IF($A785="","",[1]!thsiFinD("ths_adjustment_nv_fund",P$3,$A785))</f>
        <v/>
      </c>
      <c r="Q785" s="13" t="str">
        <f>IF($A785="","",[1]!thsiFinD("ths_adjustment_nv_fund",Q$3,$A785))</f>
        <v/>
      </c>
      <c r="R785" s="13" t="str">
        <f>IF($A785="","",[1]!thsiFinD("ths_adjustment_nv_fund",R$3,$A785))</f>
        <v/>
      </c>
      <c r="S785" s="13" t="str">
        <f>IF($A785="","",[1]!thsiFinD("ths_adjustment_nv_fund",S$3,$A785))</f>
        <v/>
      </c>
      <c r="T785" s="13" t="str">
        <f>IF($A785="","",[1]!thsiFinD("ths_adjustment_nv_fund",T$3,$A785))</f>
        <v/>
      </c>
      <c r="U785" s="13" t="str">
        <f>IF($A785="","",[1]!thsiFinD("ths_adjustment_nv_fund",U$3,$A785))</f>
        <v/>
      </c>
      <c r="V785" s="13" t="str">
        <f>IF($A785="","",[1]!thsiFinD("ths_adjustment_nv_fund",V$3,$A785))</f>
        <v/>
      </c>
      <c r="W785" s="13" t="str">
        <f>IF($A785="","",[1]!thsiFinD("ths_adjustment_nv_fund",W$3,$A785))</f>
        <v/>
      </c>
      <c r="X785" s="13" t="str">
        <f>IF($A785="","",[1]!thsiFinD("ths_adjustment_nv_fund",X$3,$A785))</f>
        <v/>
      </c>
      <c r="Y785" s="13" t="str">
        <f>IF($A785="","",[1]!thsiFinD("ths_adjustment_nv_fund",Y$3,$A785))</f>
        <v/>
      </c>
      <c r="Z785" s="13" t="str">
        <f>IF($A785="","",[1]!thsiFinD("ths_adjustment_nv_fund",Z$3,$A785))</f>
        <v/>
      </c>
      <c r="AA785" s="13" t="str">
        <f>IF($A785="","",[1]!thsiFinD("ths_adjustment_nv_fund",AA$3,$A785))</f>
        <v/>
      </c>
      <c r="AB785" s="13">
        <f>IF($A785="","",[1]!thsiFinD("ths_adjustment_nv_fund",AB$3,$A785))</f>
        <v/>
      </c>
      <c r="AC785" s="13">
        <f>IF($A785="","",[1]!thsiFinD("ths_adjustment_nv_fund",AC$3,$A785))</f>
        <v/>
      </c>
      <c r="AD785" s="13">
        <f>IF($A785="","",[1]!thsiFinD("ths_adjustment_nv_fund",AD$3,$A785))</f>
        <v/>
      </c>
      <c r="AE785" s="13">
        <f>IF($A785="","",[1]!thsiFinD("ths_adjustment_nv_fund",AE$3,$A785))</f>
        <v/>
      </c>
      <c r="AF785" s="13">
        <f>IF($A785="","",[1]!thsiFinD("ths_adjustment_nv_fund",AF$3,$A785))</f>
        <v/>
      </c>
      <c r="AG785" s="13">
        <f>IF($A785="","",[1]!thsiFinD("ths_adjustment_nv_fund",AG$3,$A785))</f>
        <v/>
      </c>
      <c r="AH785" s="13">
        <f>IF($A785="","",[1]!thsiFinD("ths_adjustment_nv_fund",AH$3,$A785))</f>
        <v/>
      </c>
      <c r="AI785" s="13">
        <f>IF($A785="","",[1]!thsiFinD("ths_adjustment_nv_fund",AI$3,$A785))</f>
        <v/>
      </c>
      <c r="AJ785" s="13">
        <f>IF($A785="","",[1]!thsiFinD("ths_adjustment_nv_fund",AJ$3,$A785))</f>
        <v/>
      </c>
      <c r="AK785" s="13">
        <f>IF($A785="","",[1]!thsiFinD("ths_adjustment_nv_fund",AK$3,$A785))</f>
        <v/>
      </c>
      <c r="AL785" s="13">
        <f>IF($A785="","",[1]!thsiFinD("ths_adjustment_nv_fund",AL$3,$A785))</f>
        <v/>
      </c>
    </row>
    <row r="786" spans="2:28">
      <c r="B786" s="13" t="str">
        <f>IF($A786="","",[1]!thsiFinD("ths_adjustment_nv_fund",B$3,$A786))</f>
        <v/>
      </c>
      <c r="C786" s="13" t="str">
        <f>IF($A786="","",[1]!thsiFinD("ths_adjustment_nv_fund",C$3,$A786))</f>
        <v/>
      </c>
      <c r="D786" s="13" t="str">
        <f>IF($A786="","",[1]!thsiFinD("ths_adjustment_nv_fund",D$3,$A786))</f>
        <v/>
      </c>
      <c r="E786" s="13" t="str">
        <f>IF($A786="","",[1]!thsiFinD("ths_adjustment_nv_fund",E$3,$A786))</f>
        <v/>
      </c>
      <c r="F786" s="13" t="str">
        <f>IF($A786="","",[1]!thsiFinD("ths_adjustment_nv_fund",F$3,$A786))</f>
        <v/>
      </c>
      <c r="G786" s="13" t="str">
        <f>IF($A786="","",[1]!thsiFinD("ths_adjustment_nv_fund",G$3,$A786))</f>
        <v/>
      </c>
      <c r="H786" s="13" t="str">
        <f>IF($A786="","",[1]!thsiFinD("ths_adjustment_nv_fund",H$3,$A786))</f>
        <v/>
      </c>
      <c r="I786" s="13" t="str">
        <f>IF($A786="","",[1]!thsiFinD("ths_adjustment_nv_fund",I$3,$A786))</f>
        <v/>
      </c>
      <c r="J786" s="13" t="str">
        <f>IF($A786="","",[1]!thsiFinD("ths_adjustment_nv_fund",J$3,$A786))</f>
        <v/>
      </c>
      <c r="K786" s="13" t="str">
        <f>IF($A786="","",[1]!thsiFinD("ths_adjustment_nv_fund",K$3,$A786))</f>
        <v/>
      </c>
      <c r="L786" s="13" t="str">
        <f>IF($A786="","",[1]!thsiFinD("ths_adjustment_nv_fund",L$3,$A786))</f>
        <v/>
      </c>
      <c r="M786" s="13" t="str">
        <f>IF($A786="","",[1]!thsiFinD("ths_adjustment_nv_fund",M$3,$A786))</f>
        <v/>
      </c>
      <c r="N786" s="13" t="str">
        <f>IF($A786="","",[1]!thsiFinD("ths_adjustment_nv_fund",N$3,$A786))</f>
        <v/>
      </c>
      <c r="O786" s="13" t="str">
        <f>IF($A786="","",[1]!thsiFinD("ths_adjustment_nv_fund",O$3,$A786))</f>
        <v/>
      </c>
      <c r="P786" s="13" t="str">
        <f>IF($A786="","",[1]!thsiFinD("ths_adjustment_nv_fund",P$3,$A786))</f>
        <v/>
      </c>
      <c r="Q786" s="13" t="str">
        <f>IF($A786="","",[1]!thsiFinD("ths_adjustment_nv_fund",Q$3,$A786))</f>
        <v/>
      </c>
      <c r="R786" s="13" t="str">
        <f>IF($A786="","",[1]!thsiFinD("ths_adjustment_nv_fund",R$3,$A786))</f>
        <v/>
      </c>
      <c r="S786" s="13" t="str">
        <f>IF($A786="","",[1]!thsiFinD("ths_adjustment_nv_fund",S$3,$A786))</f>
        <v/>
      </c>
      <c r="T786" s="13" t="str">
        <f>IF($A786="","",[1]!thsiFinD("ths_adjustment_nv_fund",T$3,$A786))</f>
        <v/>
      </c>
      <c r="U786" s="13" t="str">
        <f>IF($A786="","",[1]!thsiFinD("ths_adjustment_nv_fund",U$3,$A786))</f>
        <v/>
      </c>
      <c r="V786" s="13" t="str">
        <f>IF($A786="","",[1]!thsiFinD("ths_adjustment_nv_fund",V$3,$A786))</f>
        <v/>
      </c>
      <c r="W786" s="13" t="str">
        <f>IF($A786="","",[1]!thsiFinD("ths_adjustment_nv_fund",W$3,$A786))</f>
        <v/>
      </c>
      <c r="X786" s="13" t="str">
        <f>IF($A786="","",[1]!thsiFinD("ths_adjustment_nv_fund",X$3,$A786))</f>
        <v/>
      </c>
      <c r="Y786" s="13" t="str">
        <f>IF($A786="","",[1]!thsiFinD("ths_adjustment_nv_fund",Y$3,$A786))</f>
        <v/>
      </c>
      <c r="Z786" s="13" t="str">
        <f>IF($A786="","",[1]!thsiFinD("ths_adjustment_nv_fund",Z$3,$A786))</f>
        <v/>
      </c>
      <c r="AA786" s="13" t="str">
        <f>IF($A786="","",[1]!thsiFinD("ths_adjustment_nv_fund",AA$3,$A786))</f>
        <v/>
      </c>
      <c r="AB786" s="13">
        <f>IF($A786="","",[1]!thsiFinD("ths_adjustment_nv_fund",AB$3,$A786))</f>
        <v/>
      </c>
      <c r="AC786" s="13">
        <f>IF($A786="","",[1]!thsiFinD("ths_adjustment_nv_fund",AC$3,$A786))</f>
        <v/>
      </c>
      <c r="AD786" s="13">
        <f>IF($A786="","",[1]!thsiFinD("ths_adjustment_nv_fund",AD$3,$A786))</f>
        <v/>
      </c>
      <c r="AE786" s="13">
        <f>IF($A786="","",[1]!thsiFinD("ths_adjustment_nv_fund",AE$3,$A786))</f>
        <v/>
      </c>
      <c r="AF786" s="13">
        <f>IF($A786="","",[1]!thsiFinD("ths_adjustment_nv_fund",AF$3,$A786))</f>
        <v/>
      </c>
      <c r="AG786" s="13">
        <f>IF($A786="","",[1]!thsiFinD("ths_adjustment_nv_fund",AG$3,$A786))</f>
        <v/>
      </c>
      <c r="AH786" s="13">
        <f>IF($A786="","",[1]!thsiFinD("ths_adjustment_nv_fund",AH$3,$A786))</f>
        <v/>
      </c>
      <c r="AI786" s="13">
        <f>IF($A786="","",[1]!thsiFinD("ths_adjustment_nv_fund",AI$3,$A786))</f>
        <v/>
      </c>
      <c r="AJ786" s="13">
        <f>IF($A786="","",[1]!thsiFinD("ths_adjustment_nv_fund",AJ$3,$A786))</f>
        <v/>
      </c>
      <c r="AK786" s="13">
        <f>IF($A786="","",[1]!thsiFinD("ths_adjustment_nv_fund",AK$3,$A786))</f>
        <v/>
      </c>
      <c r="AL786" s="13">
        <f>IF($A786="","",[1]!thsiFinD("ths_adjustment_nv_fund",AL$3,$A786))</f>
        <v/>
      </c>
    </row>
    <row r="787" spans="2:28">
      <c r="B787" s="13" t="str">
        <f>IF($A787="","",[1]!thsiFinD("ths_adjustment_nv_fund",B$3,$A787))</f>
        <v/>
      </c>
      <c r="C787" s="13" t="str">
        <f>IF($A787="","",[1]!thsiFinD("ths_adjustment_nv_fund",C$3,$A787))</f>
        <v/>
      </c>
      <c r="D787" s="13" t="str">
        <f>IF($A787="","",[1]!thsiFinD("ths_adjustment_nv_fund",D$3,$A787))</f>
        <v/>
      </c>
      <c r="E787" s="13" t="str">
        <f>IF($A787="","",[1]!thsiFinD("ths_adjustment_nv_fund",E$3,$A787))</f>
        <v/>
      </c>
      <c r="F787" s="13" t="str">
        <f>IF($A787="","",[1]!thsiFinD("ths_adjustment_nv_fund",F$3,$A787))</f>
        <v/>
      </c>
      <c r="G787" s="13" t="str">
        <f>IF($A787="","",[1]!thsiFinD("ths_adjustment_nv_fund",G$3,$A787))</f>
        <v/>
      </c>
      <c r="H787" s="13" t="str">
        <f>IF($A787="","",[1]!thsiFinD("ths_adjustment_nv_fund",H$3,$A787))</f>
        <v/>
      </c>
      <c r="I787" s="13" t="str">
        <f>IF($A787="","",[1]!thsiFinD("ths_adjustment_nv_fund",I$3,$A787))</f>
        <v/>
      </c>
      <c r="J787" s="13" t="str">
        <f>IF($A787="","",[1]!thsiFinD("ths_adjustment_nv_fund",J$3,$A787))</f>
        <v/>
      </c>
      <c r="K787" s="13" t="str">
        <f>IF($A787="","",[1]!thsiFinD("ths_adjustment_nv_fund",K$3,$A787))</f>
        <v/>
      </c>
      <c r="L787" s="13" t="str">
        <f>IF($A787="","",[1]!thsiFinD("ths_adjustment_nv_fund",L$3,$A787))</f>
        <v/>
      </c>
      <c r="M787" s="13" t="str">
        <f>IF($A787="","",[1]!thsiFinD("ths_adjustment_nv_fund",M$3,$A787))</f>
        <v/>
      </c>
      <c r="N787" s="13" t="str">
        <f>IF($A787="","",[1]!thsiFinD("ths_adjustment_nv_fund",N$3,$A787))</f>
        <v/>
      </c>
      <c r="O787" s="13" t="str">
        <f>IF($A787="","",[1]!thsiFinD("ths_adjustment_nv_fund",O$3,$A787))</f>
        <v/>
      </c>
      <c r="P787" s="13" t="str">
        <f>IF($A787="","",[1]!thsiFinD("ths_adjustment_nv_fund",P$3,$A787))</f>
        <v/>
      </c>
      <c r="Q787" s="13" t="str">
        <f>IF($A787="","",[1]!thsiFinD("ths_adjustment_nv_fund",Q$3,$A787))</f>
        <v/>
      </c>
      <c r="R787" s="13" t="str">
        <f>IF($A787="","",[1]!thsiFinD("ths_adjustment_nv_fund",R$3,$A787))</f>
        <v/>
      </c>
      <c r="S787" s="13" t="str">
        <f>IF($A787="","",[1]!thsiFinD("ths_adjustment_nv_fund",S$3,$A787))</f>
        <v/>
      </c>
      <c r="T787" s="13" t="str">
        <f>IF($A787="","",[1]!thsiFinD("ths_adjustment_nv_fund",T$3,$A787))</f>
        <v/>
      </c>
      <c r="U787" s="13" t="str">
        <f>IF($A787="","",[1]!thsiFinD("ths_adjustment_nv_fund",U$3,$A787))</f>
        <v/>
      </c>
      <c r="V787" s="13" t="str">
        <f>IF($A787="","",[1]!thsiFinD("ths_adjustment_nv_fund",V$3,$A787))</f>
        <v/>
      </c>
      <c r="W787" s="13" t="str">
        <f>IF($A787="","",[1]!thsiFinD("ths_adjustment_nv_fund",W$3,$A787))</f>
        <v/>
      </c>
      <c r="X787" s="13" t="str">
        <f>IF($A787="","",[1]!thsiFinD("ths_adjustment_nv_fund",X$3,$A787))</f>
        <v/>
      </c>
      <c r="Y787" s="13" t="str">
        <f>IF($A787="","",[1]!thsiFinD("ths_adjustment_nv_fund",Y$3,$A787))</f>
        <v/>
      </c>
      <c r="Z787" s="13" t="str">
        <f>IF($A787="","",[1]!thsiFinD("ths_adjustment_nv_fund",Z$3,$A787))</f>
        <v/>
      </c>
      <c r="AA787" s="13" t="str">
        <f>IF($A787="","",[1]!thsiFinD("ths_adjustment_nv_fund",AA$3,$A787))</f>
        <v/>
      </c>
      <c r="AB787" s="13">
        <f>IF($A787="","",[1]!thsiFinD("ths_adjustment_nv_fund",AB$3,$A787))</f>
        <v/>
      </c>
      <c r="AC787" s="13">
        <f>IF($A787="","",[1]!thsiFinD("ths_adjustment_nv_fund",AC$3,$A787))</f>
        <v/>
      </c>
      <c r="AD787" s="13">
        <f>IF($A787="","",[1]!thsiFinD("ths_adjustment_nv_fund",AD$3,$A787))</f>
        <v/>
      </c>
      <c r="AE787" s="13">
        <f>IF($A787="","",[1]!thsiFinD("ths_adjustment_nv_fund",AE$3,$A787))</f>
        <v/>
      </c>
      <c r="AF787" s="13">
        <f>IF($A787="","",[1]!thsiFinD("ths_adjustment_nv_fund",AF$3,$A787))</f>
        <v/>
      </c>
      <c r="AG787" s="13">
        <f>IF($A787="","",[1]!thsiFinD("ths_adjustment_nv_fund",AG$3,$A787))</f>
        <v/>
      </c>
      <c r="AH787" s="13">
        <f>IF($A787="","",[1]!thsiFinD("ths_adjustment_nv_fund",AH$3,$A787))</f>
        <v/>
      </c>
      <c r="AI787" s="13">
        <f>IF($A787="","",[1]!thsiFinD("ths_adjustment_nv_fund",AI$3,$A787))</f>
        <v/>
      </c>
      <c r="AJ787" s="13">
        <f>IF($A787="","",[1]!thsiFinD("ths_adjustment_nv_fund",AJ$3,$A787))</f>
        <v/>
      </c>
      <c r="AK787" s="13">
        <f>IF($A787="","",[1]!thsiFinD("ths_adjustment_nv_fund",AK$3,$A787))</f>
        <v/>
      </c>
      <c r="AL787" s="13">
        <f>IF($A787="","",[1]!thsiFinD("ths_adjustment_nv_fund",AL$3,$A787))</f>
        <v/>
      </c>
    </row>
    <row r="788" spans="2:28">
      <c r="B788" s="13" t="str">
        <f>IF($A788="","",[1]!thsiFinD("ths_adjustment_nv_fund",B$3,$A788))</f>
        <v/>
      </c>
      <c r="C788" s="13" t="str">
        <f>IF($A788="","",[1]!thsiFinD("ths_adjustment_nv_fund",C$3,$A788))</f>
        <v/>
      </c>
      <c r="D788" s="13" t="str">
        <f>IF($A788="","",[1]!thsiFinD("ths_adjustment_nv_fund",D$3,$A788))</f>
        <v/>
      </c>
      <c r="E788" s="13" t="str">
        <f>IF($A788="","",[1]!thsiFinD("ths_adjustment_nv_fund",E$3,$A788))</f>
        <v/>
      </c>
      <c r="F788" s="13" t="str">
        <f>IF($A788="","",[1]!thsiFinD("ths_adjustment_nv_fund",F$3,$A788))</f>
        <v/>
      </c>
      <c r="G788" s="13" t="str">
        <f>IF($A788="","",[1]!thsiFinD("ths_adjustment_nv_fund",G$3,$A788))</f>
        <v/>
      </c>
      <c r="H788" s="13" t="str">
        <f>IF($A788="","",[1]!thsiFinD("ths_adjustment_nv_fund",H$3,$A788))</f>
        <v/>
      </c>
      <c r="I788" s="13" t="str">
        <f>IF($A788="","",[1]!thsiFinD("ths_adjustment_nv_fund",I$3,$A788))</f>
        <v/>
      </c>
      <c r="J788" s="13" t="str">
        <f>IF($A788="","",[1]!thsiFinD("ths_adjustment_nv_fund",J$3,$A788))</f>
        <v/>
      </c>
      <c r="K788" s="13" t="str">
        <f>IF($A788="","",[1]!thsiFinD("ths_adjustment_nv_fund",K$3,$A788))</f>
        <v/>
      </c>
      <c r="L788" s="13" t="str">
        <f>IF($A788="","",[1]!thsiFinD("ths_adjustment_nv_fund",L$3,$A788))</f>
        <v/>
      </c>
      <c r="M788" s="13" t="str">
        <f>IF($A788="","",[1]!thsiFinD("ths_adjustment_nv_fund",M$3,$A788))</f>
        <v/>
      </c>
      <c r="N788" s="13" t="str">
        <f>IF($A788="","",[1]!thsiFinD("ths_adjustment_nv_fund",N$3,$A788))</f>
        <v/>
      </c>
      <c r="O788" s="13" t="str">
        <f>IF($A788="","",[1]!thsiFinD("ths_adjustment_nv_fund",O$3,$A788))</f>
        <v/>
      </c>
      <c r="P788" s="13" t="str">
        <f>IF($A788="","",[1]!thsiFinD("ths_adjustment_nv_fund",P$3,$A788))</f>
        <v/>
      </c>
      <c r="Q788" s="13" t="str">
        <f>IF($A788="","",[1]!thsiFinD("ths_adjustment_nv_fund",Q$3,$A788))</f>
        <v/>
      </c>
      <c r="R788" s="13" t="str">
        <f>IF($A788="","",[1]!thsiFinD("ths_adjustment_nv_fund",R$3,$A788))</f>
        <v/>
      </c>
      <c r="S788" s="13" t="str">
        <f>IF($A788="","",[1]!thsiFinD("ths_adjustment_nv_fund",S$3,$A788))</f>
        <v/>
      </c>
      <c r="T788" s="13" t="str">
        <f>IF($A788="","",[1]!thsiFinD("ths_adjustment_nv_fund",T$3,$A788))</f>
        <v/>
      </c>
      <c r="U788" s="13" t="str">
        <f>IF($A788="","",[1]!thsiFinD("ths_adjustment_nv_fund",U$3,$A788))</f>
        <v/>
      </c>
      <c r="V788" s="13" t="str">
        <f>IF($A788="","",[1]!thsiFinD("ths_adjustment_nv_fund",V$3,$A788))</f>
        <v/>
      </c>
      <c r="W788" s="13" t="str">
        <f>IF($A788="","",[1]!thsiFinD("ths_adjustment_nv_fund",W$3,$A788))</f>
        <v/>
      </c>
      <c r="X788" s="13" t="str">
        <f>IF($A788="","",[1]!thsiFinD("ths_adjustment_nv_fund",X$3,$A788))</f>
        <v/>
      </c>
      <c r="Y788" s="13" t="str">
        <f>IF($A788="","",[1]!thsiFinD("ths_adjustment_nv_fund",Y$3,$A788))</f>
        <v/>
      </c>
      <c r="Z788" s="13" t="str">
        <f>IF($A788="","",[1]!thsiFinD("ths_adjustment_nv_fund",Z$3,$A788))</f>
        <v/>
      </c>
      <c r="AA788" s="13" t="str">
        <f>IF($A788="","",[1]!thsiFinD("ths_adjustment_nv_fund",AA$3,$A788))</f>
        <v/>
      </c>
      <c r="AB788" s="13">
        <f>IF($A788="","",[1]!thsiFinD("ths_adjustment_nv_fund",AB$3,$A788))</f>
        <v/>
      </c>
      <c r="AC788" s="13">
        <f>IF($A788="","",[1]!thsiFinD("ths_adjustment_nv_fund",AC$3,$A788))</f>
        <v/>
      </c>
      <c r="AD788" s="13">
        <f>IF($A788="","",[1]!thsiFinD("ths_adjustment_nv_fund",AD$3,$A788))</f>
        <v/>
      </c>
      <c r="AE788" s="13">
        <f>IF($A788="","",[1]!thsiFinD("ths_adjustment_nv_fund",AE$3,$A788))</f>
        <v/>
      </c>
      <c r="AF788" s="13">
        <f>IF($A788="","",[1]!thsiFinD("ths_adjustment_nv_fund",AF$3,$A788))</f>
        <v/>
      </c>
      <c r="AG788" s="13">
        <f>IF($A788="","",[1]!thsiFinD("ths_adjustment_nv_fund",AG$3,$A788))</f>
        <v/>
      </c>
      <c r="AH788" s="13">
        <f>IF($A788="","",[1]!thsiFinD("ths_adjustment_nv_fund",AH$3,$A788))</f>
        <v/>
      </c>
      <c r="AI788" s="13">
        <f>IF($A788="","",[1]!thsiFinD("ths_adjustment_nv_fund",AI$3,$A788))</f>
        <v/>
      </c>
      <c r="AJ788" s="13">
        <f>IF($A788="","",[1]!thsiFinD("ths_adjustment_nv_fund",AJ$3,$A788))</f>
        <v/>
      </c>
      <c r="AK788" s="13">
        <f>IF($A788="","",[1]!thsiFinD("ths_adjustment_nv_fund",AK$3,$A788))</f>
        <v/>
      </c>
      <c r="AL788" s="13">
        <f>IF($A788="","",[1]!thsiFinD("ths_adjustment_nv_fund",AL$3,$A788))</f>
        <v/>
      </c>
    </row>
    <row r="789" spans="2:28">
      <c r="B789" s="13" t="str">
        <f>IF($A789="","",[1]!thsiFinD("ths_adjustment_nv_fund",B$3,$A789))</f>
        <v/>
      </c>
      <c r="C789" s="13" t="str">
        <f>IF($A789="","",[1]!thsiFinD("ths_adjustment_nv_fund",C$3,$A789))</f>
        <v/>
      </c>
      <c r="D789" s="13" t="str">
        <f>IF($A789="","",[1]!thsiFinD("ths_adjustment_nv_fund",D$3,$A789))</f>
        <v/>
      </c>
      <c r="E789" s="13" t="str">
        <f>IF($A789="","",[1]!thsiFinD("ths_adjustment_nv_fund",E$3,$A789))</f>
        <v/>
      </c>
      <c r="F789" s="13" t="str">
        <f>IF($A789="","",[1]!thsiFinD("ths_adjustment_nv_fund",F$3,$A789))</f>
        <v/>
      </c>
      <c r="G789" s="13" t="str">
        <f>IF($A789="","",[1]!thsiFinD("ths_adjustment_nv_fund",G$3,$A789))</f>
        <v/>
      </c>
      <c r="H789" s="13" t="str">
        <f>IF($A789="","",[1]!thsiFinD("ths_adjustment_nv_fund",H$3,$A789))</f>
        <v/>
      </c>
      <c r="I789" s="13" t="str">
        <f>IF($A789="","",[1]!thsiFinD("ths_adjustment_nv_fund",I$3,$A789))</f>
        <v/>
      </c>
      <c r="J789" s="13" t="str">
        <f>IF($A789="","",[1]!thsiFinD("ths_adjustment_nv_fund",J$3,$A789))</f>
        <v/>
      </c>
      <c r="K789" s="13" t="str">
        <f>IF($A789="","",[1]!thsiFinD("ths_adjustment_nv_fund",K$3,$A789))</f>
        <v/>
      </c>
      <c r="L789" s="13" t="str">
        <f>IF($A789="","",[1]!thsiFinD("ths_adjustment_nv_fund",L$3,$A789))</f>
        <v/>
      </c>
      <c r="M789" s="13" t="str">
        <f>IF($A789="","",[1]!thsiFinD("ths_adjustment_nv_fund",M$3,$A789))</f>
        <v/>
      </c>
      <c r="N789" s="13" t="str">
        <f>IF($A789="","",[1]!thsiFinD("ths_adjustment_nv_fund",N$3,$A789))</f>
        <v/>
      </c>
      <c r="O789" s="13" t="str">
        <f>IF($A789="","",[1]!thsiFinD("ths_adjustment_nv_fund",O$3,$A789))</f>
        <v/>
      </c>
      <c r="P789" s="13" t="str">
        <f>IF($A789="","",[1]!thsiFinD("ths_adjustment_nv_fund",P$3,$A789))</f>
        <v/>
      </c>
      <c r="Q789" s="13" t="str">
        <f>IF($A789="","",[1]!thsiFinD("ths_adjustment_nv_fund",Q$3,$A789))</f>
        <v/>
      </c>
      <c r="R789" s="13" t="str">
        <f>IF($A789="","",[1]!thsiFinD("ths_adjustment_nv_fund",R$3,$A789))</f>
        <v/>
      </c>
      <c r="S789" s="13" t="str">
        <f>IF($A789="","",[1]!thsiFinD("ths_adjustment_nv_fund",S$3,$A789))</f>
        <v/>
      </c>
      <c r="T789" s="13" t="str">
        <f>IF($A789="","",[1]!thsiFinD("ths_adjustment_nv_fund",T$3,$A789))</f>
        <v/>
      </c>
      <c r="U789" s="13" t="str">
        <f>IF($A789="","",[1]!thsiFinD("ths_adjustment_nv_fund",U$3,$A789))</f>
        <v/>
      </c>
      <c r="V789" s="13" t="str">
        <f>IF($A789="","",[1]!thsiFinD("ths_adjustment_nv_fund",V$3,$A789))</f>
        <v/>
      </c>
      <c r="W789" s="13" t="str">
        <f>IF($A789="","",[1]!thsiFinD("ths_adjustment_nv_fund",W$3,$A789))</f>
        <v/>
      </c>
      <c r="X789" s="13" t="str">
        <f>IF($A789="","",[1]!thsiFinD("ths_adjustment_nv_fund",X$3,$A789))</f>
        <v/>
      </c>
      <c r="Y789" s="13" t="str">
        <f>IF($A789="","",[1]!thsiFinD("ths_adjustment_nv_fund",Y$3,$A789))</f>
        <v/>
      </c>
      <c r="Z789" s="13" t="str">
        <f>IF($A789="","",[1]!thsiFinD("ths_adjustment_nv_fund",Z$3,$A789))</f>
        <v/>
      </c>
      <c r="AA789" s="13" t="str">
        <f>IF($A789="","",[1]!thsiFinD("ths_adjustment_nv_fund",AA$3,$A789))</f>
        <v/>
      </c>
      <c r="AB789" s="13">
        <f>IF($A789="","",[1]!thsiFinD("ths_adjustment_nv_fund",AB$3,$A789))</f>
        <v/>
      </c>
      <c r="AC789" s="13">
        <f>IF($A789="","",[1]!thsiFinD("ths_adjustment_nv_fund",AC$3,$A789))</f>
        <v/>
      </c>
      <c r="AD789" s="13">
        <f>IF($A789="","",[1]!thsiFinD("ths_adjustment_nv_fund",AD$3,$A789))</f>
        <v/>
      </c>
      <c r="AE789" s="13">
        <f>IF($A789="","",[1]!thsiFinD("ths_adjustment_nv_fund",AE$3,$A789))</f>
        <v/>
      </c>
      <c r="AF789" s="13">
        <f>IF($A789="","",[1]!thsiFinD("ths_adjustment_nv_fund",AF$3,$A789))</f>
        <v/>
      </c>
      <c r="AG789" s="13">
        <f>IF($A789="","",[1]!thsiFinD("ths_adjustment_nv_fund",AG$3,$A789))</f>
        <v/>
      </c>
      <c r="AH789" s="13">
        <f>IF($A789="","",[1]!thsiFinD("ths_adjustment_nv_fund",AH$3,$A789))</f>
        <v/>
      </c>
      <c r="AI789" s="13">
        <f>IF($A789="","",[1]!thsiFinD("ths_adjustment_nv_fund",AI$3,$A789))</f>
        <v/>
      </c>
      <c r="AJ789" s="13">
        <f>IF($A789="","",[1]!thsiFinD("ths_adjustment_nv_fund",AJ$3,$A789))</f>
        <v/>
      </c>
      <c r="AK789" s="13">
        <f>IF($A789="","",[1]!thsiFinD("ths_adjustment_nv_fund",AK$3,$A789))</f>
        <v/>
      </c>
      <c r="AL789" s="13">
        <f>IF($A789="","",[1]!thsiFinD("ths_adjustment_nv_fund",AL$3,$A789))</f>
        <v/>
      </c>
    </row>
    <row r="790" spans="2:28">
      <c r="B790" s="13" t="str">
        <f>IF($A790="","",[1]!thsiFinD("ths_adjustment_nv_fund",B$3,$A790))</f>
        <v/>
      </c>
      <c r="C790" s="13" t="str">
        <f>IF($A790="","",[1]!thsiFinD("ths_adjustment_nv_fund",C$3,$A790))</f>
        <v/>
      </c>
      <c r="D790" s="13" t="str">
        <f>IF($A790="","",[1]!thsiFinD("ths_adjustment_nv_fund",D$3,$A790))</f>
        <v/>
      </c>
      <c r="E790" s="13" t="str">
        <f>IF($A790="","",[1]!thsiFinD("ths_adjustment_nv_fund",E$3,$A790))</f>
        <v/>
      </c>
      <c r="F790" s="13" t="str">
        <f>IF($A790="","",[1]!thsiFinD("ths_adjustment_nv_fund",F$3,$A790))</f>
        <v/>
      </c>
      <c r="G790" s="13" t="str">
        <f>IF($A790="","",[1]!thsiFinD("ths_adjustment_nv_fund",G$3,$A790))</f>
        <v/>
      </c>
      <c r="H790" s="13" t="str">
        <f>IF($A790="","",[1]!thsiFinD("ths_adjustment_nv_fund",H$3,$A790))</f>
        <v/>
      </c>
      <c r="I790" s="13" t="str">
        <f>IF($A790="","",[1]!thsiFinD("ths_adjustment_nv_fund",I$3,$A790))</f>
        <v/>
      </c>
      <c r="J790" s="13" t="str">
        <f>IF($A790="","",[1]!thsiFinD("ths_adjustment_nv_fund",J$3,$A790))</f>
        <v/>
      </c>
      <c r="K790" s="13" t="str">
        <f>IF($A790="","",[1]!thsiFinD("ths_adjustment_nv_fund",K$3,$A790))</f>
        <v/>
      </c>
      <c r="L790" s="13" t="str">
        <f>IF($A790="","",[1]!thsiFinD("ths_adjustment_nv_fund",L$3,$A790))</f>
        <v/>
      </c>
      <c r="M790" s="13" t="str">
        <f>IF($A790="","",[1]!thsiFinD("ths_adjustment_nv_fund",M$3,$A790))</f>
        <v/>
      </c>
      <c r="N790" s="13" t="str">
        <f>IF($A790="","",[1]!thsiFinD("ths_adjustment_nv_fund",N$3,$A790))</f>
        <v/>
      </c>
      <c r="O790" s="13" t="str">
        <f>IF($A790="","",[1]!thsiFinD("ths_adjustment_nv_fund",O$3,$A790))</f>
        <v/>
      </c>
      <c r="P790" s="13" t="str">
        <f>IF($A790="","",[1]!thsiFinD("ths_adjustment_nv_fund",P$3,$A790))</f>
        <v/>
      </c>
      <c r="Q790" s="13" t="str">
        <f>IF($A790="","",[1]!thsiFinD("ths_adjustment_nv_fund",Q$3,$A790))</f>
        <v/>
      </c>
      <c r="R790" s="13" t="str">
        <f>IF($A790="","",[1]!thsiFinD("ths_adjustment_nv_fund",R$3,$A790))</f>
        <v/>
      </c>
      <c r="S790" s="13" t="str">
        <f>IF($A790="","",[1]!thsiFinD("ths_adjustment_nv_fund",S$3,$A790))</f>
        <v/>
      </c>
      <c r="T790" s="13" t="str">
        <f>IF($A790="","",[1]!thsiFinD("ths_adjustment_nv_fund",T$3,$A790))</f>
        <v/>
      </c>
      <c r="U790" s="13" t="str">
        <f>IF($A790="","",[1]!thsiFinD("ths_adjustment_nv_fund",U$3,$A790))</f>
        <v/>
      </c>
      <c r="V790" s="13" t="str">
        <f>IF($A790="","",[1]!thsiFinD("ths_adjustment_nv_fund",V$3,$A790))</f>
        <v/>
      </c>
      <c r="W790" s="13" t="str">
        <f>IF($A790="","",[1]!thsiFinD("ths_adjustment_nv_fund",W$3,$A790))</f>
        <v/>
      </c>
      <c r="X790" s="13" t="str">
        <f>IF($A790="","",[1]!thsiFinD("ths_adjustment_nv_fund",X$3,$A790))</f>
        <v/>
      </c>
      <c r="Y790" s="13" t="str">
        <f>IF($A790="","",[1]!thsiFinD("ths_adjustment_nv_fund",Y$3,$A790))</f>
        <v/>
      </c>
      <c r="Z790" s="13" t="str">
        <f>IF($A790="","",[1]!thsiFinD("ths_adjustment_nv_fund",Z$3,$A790))</f>
        <v/>
      </c>
      <c r="AA790" s="13" t="str">
        <f>IF($A790="","",[1]!thsiFinD("ths_adjustment_nv_fund",AA$3,$A790))</f>
        <v/>
      </c>
      <c r="AB790" s="13">
        <f>IF($A790="","",[1]!thsiFinD("ths_adjustment_nv_fund",AB$3,$A790))</f>
        <v/>
      </c>
      <c r="AC790" s="13">
        <f>IF($A790="","",[1]!thsiFinD("ths_adjustment_nv_fund",AC$3,$A790))</f>
        <v/>
      </c>
      <c r="AD790" s="13">
        <f>IF($A790="","",[1]!thsiFinD("ths_adjustment_nv_fund",AD$3,$A790))</f>
        <v/>
      </c>
      <c r="AE790" s="13">
        <f>IF($A790="","",[1]!thsiFinD("ths_adjustment_nv_fund",AE$3,$A790))</f>
        <v/>
      </c>
      <c r="AF790" s="13">
        <f>IF($A790="","",[1]!thsiFinD("ths_adjustment_nv_fund",AF$3,$A790))</f>
        <v/>
      </c>
      <c r="AG790" s="13">
        <f>IF($A790="","",[1]!thsiFinD("ths_adjustment_nv_fund",AG$3,$A790))</f>
        <v/>
      </c>
      <c r="AH790" s="13">
        <f>IF($A790="","",[1]!thsiFinD("ths_adjustment_nv_fund",AH$3,$A790))</f>
        <v/>
      </c>
      <c r="AI790" s="13">
        <f>IF($A790="","",[1]!thsiFinD("ths_adjustment_nv_fund",AI$3,$A790))</f>
        <v/>
      </c>
      <c r="AJ790" s="13">
        <f>IF($A790="","",[1]!thsiFinD("ths_adjustment_nv_fund",AJ$3,$A790))</f>
        <v/>
      </c>
      <c r="AK790" s="13">
        <f>IF($A790="","",[1]!thsiFinD("ths_adjustment_nv_fund",AK$3,$A790))</f>
        <v/>
      </c>
      <c r="AL790" s="13">
        <f>IF($A790="","",[1]!thsiFinD("ths_adjustment_nv_fund",AL$3,$A790))</f>
        <v/>
      </c>
    </row>
    <row r="791" spans="2:28">
      <c r="B791" s="13" t="str">
        <f>IF($A791="","",[1]!thsiFinD("ths_adjustment_nv_fund",B$3,$A791))</f>
        <v/>
      </c>
      <c r="C791" s="13" t="str">
        <f>IF($A791="","",[1]!thsiFinD("ths_adjustment_nv_fund",C$3,$A791))</f>
        <v/>
      </c>
      <c r="D791" s="13" t="str">
        <f>IF($A791="","",[1]!thsiFinD("ths_adjustment_nv_fund",D$3,$A791))</f>
        <v/>
      </c>
      <c r="E791" s="13" t="str">
        <f>IF($A791="","",[1]!thsiFinD("ths_adjustment_nv_fund",E$3,$A791))</f>
        <v/>
      </c>
      <c r="F791" s="13" t="str">
        <f>IF($A791="","",[1]!thsiFinD("ths_adjustment_nv_fund",F$3,$A791))</f>
        <v/>
      </c>
      <c r="G791" s="13" t="str">
        <f>IF($A791="","",[1]!thsiFinD("ths_adjustment_nv_fund",G$3,$A791))</f>
        <v/>
      </c>
      <c r="H791" s="13" t="str">
        <f>IF($A791="","",[1]!thsiFinD("ths_adjustment_nv_fund",H$3,$A791))</f>
        <v/>
      </c>
      <c r="I791" s="13" t="str">
        <f>IF($A791="","",[1]!thsiFinD("ths_adjustment_nv_fund",I$3,$A791))</f>
        <v/>
      </c>
      <c r="J791" s="13" t="str">
        <f>IF($A791="","",[1]!thsiFinD("ths_adjustment_nv_fund",J$3,$A791))</f>
        <v/>
      </c>
      <c r="K791" s="13" t="str">
        <f>IF($A791="","",[1]!thsiFinD("ths_adjustment_nv_fund",K$3,$A791))</f>
        <v/>
      </c>
      <c r="L791" s="13" t="str">
        <f>IF($A791="","",[1]!thsiFinD("ths_adjustment_nv_fund",L$3,$A791))</f>
        <v/>
      </c>
      <c r="M791" s="13" t="str">
        <f>IF($A791="","",[1]!thsiFinD("ths_adjustment_nv_fund",M$3,$A791))</f>
        <v/>
      </c>
      <c r="N791" s="13" t="str">
        <f>IF($A791="","",[1]!thsiFinD("ths_adjustment_nv_fund",N$3,$A791))</f>
        <v/>
      </c>
      <c r="O791" s="13" t="str">
        <f>IF($A791="","",[1]!thsiFinD("ths_adjustment_nv_fund",O$3,$A791))</f>
        <v/>
      </c>
      <c r="P791" s="13" t="str">
        <f>IF($A791="","",[1]!thsiFinD("ths_adjustment_nv_fund",P$3,$A791))</f>
        <v/>
      </c>
      <c r="Q791" s="13" t="str">
        <f>IF($A791="","",[1]!thsiFinD("ths_adjustment_nv_fund",Q$3,$A791))</f>
        <v/>
      </c>
      <c r="R791" s="13" t="str">
        <f>IF($A791="","",[1]!thsiFinD("ths_adjustment_nv_fund",R$3,$A791))</f>
        <v/>
      </c>
      <c r="S791" s="13" t="str">
        <f>IF($A791="","",[1]!thsiFinD("ths_adjustment_nv_fund",S$3,$A791))</f>
        <v/>
      </c>
      <c r="T791" s="13" t="str">
        <f>IF($A791="","",[1]!thsiFinD("ths_adjustment_nv_fund",T$3,$A791))</f>
        <v/>
      </c>
      <c r="U791" s="13" t="str">
        <f>IF($A791="","",[1]!thsiFinD("ths_adjustment_nv_fund",U$3,$A791))</f>
        <v/>
      </c>
      <c r="V791" s="13" t="str">
        <f>IF($A791="","",[1]!thsiFinD("ths_adjustment_nv_fund",V$3,$A791))</f>
        <v/>
      </c>
      <c r="W791" s="13" t="str">
        <f>IF($A791="","",[1]!thsiFinD("ths_adjustment_nv_fund",W$3,$A791))</f>
        <v/>
      </c>
      <c r="X791" s="13" t="str">
        <f>IF($A791="","",[1]!thsiFinD("ths_adjustment_nv_fund",X$3,$A791))</f>
        <v/>
      </c>
      <c r="Y791" s="13" t="str">
        <f>IF($A791="","",[1]!thsiFinD("ths_adjustment_nv_fund",Y$3,$A791))</f>
        <v/>
      </c>
      <c r="Z791" s="13" t="str">
        <f>IF($A791="","",[1]!thsiFinD("ths_adjustment_nv_fund",Z$3,$A791))</f>
        <v/>
      </c>
      <c r="AA791" s="13" t="str">
        <f>IF($A791="","",[1]!thsiFinD("ths_adjustment_nv_fund",AA$3,$A791))</f>
        <v/>
      </c>
      <c r="AB791" s="13">
        <f>IF($A791="","",[1]!thsiFinD("ths_adjustment_nv_fund",AB$3,$A791))</f>
        <v/>
      </c>
      <c r="AC791" s="13">
        <f>IF($A791="","",[1]!thsiFinD("ths_adjustment_nv_fund",AC$3,$A791))</f>
        <v/>
      </c>
      <c r="AD791" s="13">
        <f>IF($A791="","",[1]!thsiFinD("ths_adjustment_nv_fund",AD$3,$A791))</f>
        <v/>
      </c>
      <c r="AE791" s="13">
        <f>IF($A791="","",[1]!thsiFinD("ths_adjustment_nv_fund",AE$3,$A791))</f>
        <v/>
      </c>
      <c r="AF791" s="13">
        <f>IF($A791="","",[1]!thsiFinD("ths_adjustment_nv_fund",AF$3,$A791))</f>
        <v/>
      </c>
      <c r="AG791" s="13">
        <f>IF($A791="","",[1]!thsiFinD("ths_adjustment_nv_fund",AG$3,$A791))</f>
        <v/>
      </c>
      <c r="AH791" s="13">
        <f>IF($A791="","",[1]!thsiFinD("ths_adjustment_nv_fund",AH$3,$A791))</f>
        <v/>
      </c>
      <c r="AI791" s="13">
        <f>IF($A791="","",[1]!thsiFinD("ths_adjustment_nv_fund",AI$3,$A791))</f>
        <v/>
      </c>
      <c r="AJ791" s="13">
        <f>IF($A791="","",[1]!thsiFinD("ths_adjustment_nv_fund",AJ$3,$A791))</f>
        <v/>
      </c>
      <c r="AK791" s="13">
        <f>IF($A791="","",[1]!thsiFinD("ths_adjustment_nv_fund",AK$3,$A791))</f>
        <v/>
      </c>
      <c r="AL791" s="13">
        <f>IF($A791="","",[1]!thsiFinD("ths_adjustment_nv_fund",AL$3,$A791))</f>
        <v/>
      </c>
    </row>
    <row r="792" spans="2:28">
      <c r="B792" s="13" t="str">
        <f>IF($A792="","",[1]!thsiFinD("ths_adjustment_nv_fund",B$3,$A792))</f>
        <v/>
      </c>
      <c r="C792" s="13" t="str">
        <f>IF($A792="","",[1]!thsiFinD("ths_adjustment_nv_fund",C$3,$A792))</f>
        <v/>
      </c>
      <c r="D792" s="13" t="str">
        <f>IF($A792="","",[1]!thsiFinD("ths_adjustment_nv_fund",D$3,$A792))</f>
        <v/>
      </c>
      <c r="E792" s="13" t="str">
        <f>IF($A792="","",[1]!thsiFinD("ths_adjustment_nv_fund",E$3,$A792))</f>
        <v/>
      </c>
      <c r="F792" s="13" t="str">
        <f>IF($A792="","",[1]!thsiFinD("ths_adjustment_nv_fund",F$3,$A792))</f>
        <v/>
      </c>
      <c r="G792" s="13" t="str">
        <f>IF($A792="","",[1]!thsiFinD("ths_adjustment_nv_fund",G$3,$A792))</f>
        <v/>
      </c>
      <c r="H792" s="13" t="str">
        <f>IF($A792="","",[1]!thsiFinD("ths_adjustment_nv_fund",H$3,$A792))</f>
        <v/>
      </c>
      <c r="I792" s="13" t="str">
        <f>IF($A792="","",[1]!thsiFinD("ths_adjustment_nv_fund",I$3,$A792))</f>
        <v/>
      </c>
      <c r="J792" s="13" t="str">
        <f>IF($A792="","",[1]!thsiFinD("ths_adjustment_nv_fund",J$3,$A792))</f>
        <v/>
      </c>
      <c r="K792" s="13" t="str">
        <f>IF($A792="","",[1]!thsiFinD("ths_adjustment_nv_fund",K$3,$A792))</f>
        <v/>
      </c>
      <c r="L792" s="13" t="str">
        <f>IF($A792="","",[1]!thsiFinD("ths_adjustment_nv_fund",L$3,$A792))</f>
        <v/>
      </c>
      <c r="M792" s="13" t="str">
        <f>IF($A792="","",[1]!thsiFinD("ths_adjustment_nv_fund",M$3,$A792))</f>
        <v/>
      </c>
      <c r="N792" s="13" t="str">
        <f>IF($A792="","",[1]!thsiFinD("ths_adjustment_nv_fund",N$3,$A792))</f>
        <v/>
      </c>
      <c r="O792" s="13" t="str">
        <f>IF($A792="","",[1]!thsiFinD("ths_adjustment_nv_fund",O$3,$A792))</f>
        <v/>
      </c>
      <c r="P792" s="13" t="str">
        <f>IF($A792="","",[1]!thsiFinD("ths_adjustment_nv_fund",P$3,$A792))</f>
        <v/>
      </c>
      <c r="Q792" s="13" t="str">
        <f>IF($A792="","",[1]!thsiFinD("ths_adjustment_nv_fund",Q$3,$A792))</f>
        <v/>
      </c>
      <c r="R792" s="13" t="str">
        <f>IF($A792="","",[1]!thsiFinD("ths_adjustment_nv_fund",R$3,$A792))</f>
        <v/>
      </c>
      <c r="S792" s="13" t="str">
        <f>IF($A792="","",[1]!thsiFinD("ths_adjustment_nv_fund",S$3,$A792))</f>
        <v/>
      </c>
      <c r="T792" s="13" t="str">
        <f>IF($A792="","",[1]!thsiFinD("ths_adjustment_nv_fund",T$3,$A792))</f>
        <v/>
      </c>
      <c r="U792" s="13" t="str">
        <f>IF($A792="","",[1]!thsiFinD("ths_adjustment_nv_fund",U$3,$A792))</f>
        <v/>
      </c>
      <c r="V792" s="13" t="str">
        <f>IF($A792="","",[1]!thsiFinD("ths_adjustment_nv_fund",V$3,$A792))</f>
        <v/>
      </c>
      <c r="W792" s="13" t="str">
        <f>IF($A792="","",[1]!thsiFinD("ths_adjustment_nv_fund",W$3,$A792))</f>
        <v/>
      </c>
      <c r="X792" s="13" t="str">
        <f>IF($A792="","",[1]!thsiFinD("ths_adjustment_nv_fund",X$3,$A792))</f>
        <v/>
      </c>
      <c r="Y792" s="13" t="str">
        <f>IF($A792="","",[1]!thsiFinD("ths_adjustment_nv_fund",Y$3,$A792))</f>
        <v/>
      </c>
      <c r="Z792" s="13" t="str">
        <f>IF($A792="","",[1]!thsiFinD("ths_adjustment_nv_fund",Z$3,$A792))</f>
        <v/>
      </c>
      <c r="AA792" s="13" t="str">
        <f>IF($A792="","",[1]!thsiFinD("ths_adjustment_nv_fund",AA$3,$A792))</f>
        <v/>
      </c>
      <c r="AB792" s="13">
        <f>IF($A792="","",[1]!thsiFinD("ths_adjustment_nv_fund",AB$3,$A792))</f>
        <v/>
      </c>
      <c r="AC792" s="13">
        <f>IF($A792="","",[1]!thsiFinD("ths_adjustment_nv_fund",AC$3,$A792))</f>
        <v/>
      </c>
      <c r="AD792" s="13">
        <f>IF($A792="","",[1]!thsiFinD("ths_adjustment_nv_fund",AD$3,$A792))</f>
        <v/>
      </c>
      <c r="AE792" s="13">
        <f>IF($A792="","",[1]!thsiFinD("ths_adjustment_nv_fund",AE$3,$A792))</f>
        <v/>
      </c>
      <c r="AF792" s="13">
        <f>IF($A792="","",[1]!thsiFinD("ths_adjustment_nv_fund",AF$3,$A792))</f>
        <v/>
      </c>
      <c r="AG792" s="13">
        <f>IF($A792="","",[1]!thsiFinD("ths_adjustment_nv_fund",AG$3,$A792))</f>
        <v/>
      </c>
      <c r="AH792" s="13">
        <f>IF($A792="","",[1]!thsiFinD("ths_adjustment_nv_fund",AH$3,$A792))</f>
        <v/>
      </c>
      <c r="AI792" s="13">
        <f>IF($A792="","",[1]!thsiFinD("ths_adjustment_nv_fund",AI$3,$A792))</f>
        <v/>
      </c>
      <c r="AJ792" s="13">
        <f>IF($A792="","",[1]!thsiFinD("ths_adjustment_nv_fund",AJ$3,$A792))</f>
        <v/>
      </c>
      <c r="AK792" s="13">
        <f>IF($A792="","",[1]!thsiFinD("ths_adjustment_nv_fund",AK$3,$A792))</f>
        <v/>
      </c>
      <c r="AL792" s="13">
        <f>IF($A792="","",[1]!thsiFinD("ths_adjustment_nv_fund",AL$3,$A792))</f>
        <v/>
      </c>
    </row>
    <row r="793" spans="2:28">
      <c r="B793" s="13" t="str">
        <f>IF($A793="","",[1]!thsiFinD("ths_adjustment_nv_fund",B$3,$A793))</f>
        <v/>
      </c>
      <c r="C793" s="13" t="str">
        <f>IF($A793="","",[1]!thsiFinD("ths_adjustment_nv_fund",C$3,$A793))</f>
        <v/>
      </c>
      <c r="D793" s="13" t="str">
        <f>IF($A793="","",[1]!thsiFinD("ths_adjustment_nv_fund",D$3,$A793))</f>
        <v/>
      </c>
      <c r="E793" s="13" t="str">
        <f>IF($A793="","",[1]!thsiFinD("ths_adjustment_nv_fund",E$3,$A793))</f>
        <v/>
      </c>
      <c r="F793" s="13" t="str">
        <f>IF($A793="","",[1]!thsiFinD("ths_adjustment_nv_fund",F$3,$A793))</f>
        <v/>
      </c>
      <c r="G793" s="13" t="str">
        <f>IF($A793="","",[1]!thsiFinD("ths_adjustment_nv_fund",G$3,$A793))</f>
        <v/>
      </c>
      <c r="H793" s="13" t="str">
        <f>IF($A793="","",[1]!thsiFinD("ths_adjustment_nv_fund",H$3,$A793))</f>
        <v/>
      </c>
      <c r="I793" s="13" t="str">
        <f>IF($A793="","",[1]!thsiFinD("ths_adjustment_nv_fund",I$3,$A793))</f>
        <v/>
      </c>
      <c r="J793" s="13" t="str">
        <f>IF($A793="","",[1]!thsiFinD("ths_adjustment_nv_fund",J$3,$A793))</f>
        <v/>
      </c>
      <c r="K793" s="13" t="str">
        <f>IF($A793="","",[1]!thsiFinD("ths_adjustment_nv_fund",K$3,$A793))</f>
        <v/>
      </c>
      <c r="L793" s="13" t="str">
        <f>IF($A793="","",[1]!thsiFinD("ths_adjustment_nv_fund",L$3,$A793))</f>
        <v/>
      </c>
      <c r="M793" s="13" t="str">
        <f>IF($A793="","",[1]!thsiFinD("ths_adjustment_nv_fund",M$3,$A793))</f>
        <v/>
      </c>
      <c r="N793" s="13" t="str">
        <f>IF($A793="","",[1]!thsiFinD("ths_adjustment_nv_fund",N$3,$A793))</f>
        <v/>
      </c>
      <c r="O793" s="13" t="str">
        <f>IF($A793="","",[1]!thsiFinD("ths_adjustment_nv_fund",O$3,$A793))</f>
        <v/>
      </c>
      <c r="P793" s="13" t="str">
        <f>IF($A793="","",[1]!thsiFinD("ths_adjustment_nv_fund",P$3,$A793))</f>
        <v/>
      </c>
      <c r="Q793" s="13" t="str">
        <f>IF($A793="","",[1]!thsiFinD("ths_adjustment_nv_fund",Q$3,$A793))</f>
        <v/>
      </c>
      <c r="R793" s="13" t="str">
        <f>IF($A793="","",[1]!thsiFinD("ths_adjustment_nv_fund",R$3,$A793))</f>
        <v/>
      </c>
      <c r="S793" s="13" t="str">
        <f>IF($A793="","",[1]!thsiFinD("ths_adjustment_nv_fund",S$3,$A793))</f>
        <v/>
      </c>
      <c r="T793" s="13" t="str">
        <f>IF($A793="","",[1]!thsiFinD("ths_adjustment_nv_fund",T$3,$A793))</f>
        <v/>
      </c>
      <c r="U793" s="13" t="str">
        <f>IF($A793="","",[1]!thsiFinD("ths_adjustment_nv_fund",U$3,$A793))</f>
        <v/>
      </c>
      <c r="V793" s="13" t="str">
        <f>IF($A793="","",[1]!thsiFinD("ths_adjustment_nv_fund",V$3,$A793))</f>
        <v/>
      </c>
      <c r="W793" s="13" t="str">
        <f>IF($A793="","",[1]!thsiFinD("ths_adjustment_nv_fund",W$3,$A793))</f>
        <v/>
      </c>
      <c r="X793" s="13" t="str">
        <f>IF($A793="","",[1]!thsiFinD("ths_adjustment_nv_fund",X$3,$A793))</f>
        <v/>
      </c>
      <c r="Y793" s="13" t="str">
        <f>IF($A793="","",[1]!thsiFinD("ths_adjustment_nv_fund",Y$3,$A793))</f>
        <v/>
      </c>
      <c r="Z793" s="13" t="str">
        <f>IF($A793="","",[1]!thsiFinD("ths_adjustment_nv_fund",Z$3,$A793))</f>
        <v/>
      </c>
      <c r="AA793" s="13" t="str">
        <f>IF($A793="","",[1]!thsiFinD("ths_adjustment_nv_fund",AA$3,$A793))</f>
        <v/>
      </c>
      <c r="AB793" s="13">
        <f>IF($A793="","",[1]!thsiFinD("ths_adjustment_nv_fund",AB$3,$A793))</f>
        <v/>
      </c>
      <c r="AC793" s="13">
        <f>IF($A793="","",[1]!thsiFinD("ths_adjustment_nv_fund",AC$3,$A793))</f>
        <v/>
      </c>
      <c r="AD793" s="13">
        <f>IF($A793="","",[1]!thsiFinD("ths_adjustment_nv_fund",AD$3,$A793))</f>
        <v/>
      </c>
      <c r="AE793" s="13">
        <f>IF($A793="","",[1]!thsiFinD("ths_adjustment_nv_fund",AE$3,$A793))</f>
        <v/>
      </c>
      <c r="AF793" s="13">
        <f>IF($A793="","",[1]!thsiFinD("ths_adjustment_nv_fund",AF$3,$A793))</f>
        <v/>
      </c>
      <c r="AG793" s="13">
        <f>IF($A793="","",[1]!thsiFinD("ths_adjustment_nv_fund",AG$3,$A793))</f>
        <v/>
      </c>
      <c r="AH793" s="13">
        <f>IF($A793="","",[1]!thsiFinD("ths_adjustment_nv_fund",AH$3,$A793))</f>
        <v/>
      </c>
      <c r="AI793" s="13">
        <f>IF($A793="","",[1]!thsiFinD("ths_adjustment_nv_fund",AI$3,$A793))</f>
        <v/>
      </c>
      <c r="AJ793" s="13">
        <f>IF($A793="","",[1]!thsiFinD("ths_adjustment_nv_fund",AJ$3,$A793))</f>
        <v/>
      </c>
      <c r="AK793" s="13">
        <f>IF($A793="","",[1]!thsiFinD("ths_adjustment_nv_fund",AK$3,$A793))</f>
        <v/>
      </c>
      <c r="AL793" s="13">
        <f>IF($A793="","",[1]!thsiFinD("ths_adjustment_nv_fund",AL$3,$A793))</f>
        <v/>
      </c>
    </row>
    <row r="794" spans="2:28">
      <c r="B794" s="13" t="str">
        <f>IF($A794="","",[1]!thsiFinD("ths_adjustment_nv_fund",B$3,$A794))</f>
        <v/>
      </c>
      <c r="C794" s="13" t="str">
        <f>IF($A794="","",[1]!thsiFinD("ths_adjustment_nv_fund",C$3,$A794))</f>
        <v/>
      </c>
      <c r="D794" s="13" t="str">
        <f>IF($A794="","",[1]!thsiFinD("ths_adjustment_nv_fund",D$3,$A794))</f>
        <v/>
      </c>
      <c r="E794" s="13" t="str">
        <f>IF($A794="","",[1]!thsiFinD("ths_adjustment_nv_fund",E$3,$A794))</f>
        <v/>
      </c>
      <c r="F794" s="13" t="str">
        <f>IF($A794="","",[1]!thsiFinD("ths_adjustment_nv_fund",F$3,$A794))</f>
        <v/>
      </c>
      <c r="G794" s="13" t="str">
        <f>IF($A794="","",[1]!thsiFinD("ths_adjustment_nv_fund",G$3,$A794))</f>
        <v/>
      </c>
      <c r="H794" s="13" t="str">
        <f>IF($A794="","",[1]!thsiFinD("ths_adjustment_nv_fund",H$3,$A794))</f>
        <v/>
      </c>
      <c r="I794" s="13" t="str">
        <f>IF($A794="","",[1]!thsiFinD("ths_adjustment_nv_fund",I$3,$A794))</f>
        <v/>
      </c>
      <c r="J794" s="13" t="str">
        <f>IF($A794="","",[1]!thsiFinD("ths_adjustment_nv_fund",J$3,$A794))</f>
        <v/>
      </c>
      <c r="K794" s="13" t="str">
        <f>IF($A794="","",[1]!thsiFinD("ths_adjustment_nv_fund",K$3,$A794))</f>
        <v/>
      </c>
      <c r="L794" s="13" t="str">
        <f>IF($A794="","",[1]!thsiFinD("ths_adjustment_nv_fund",L$3,$A794))</f>
        <v/>
      </c>
      <c r="M794" s="13" t="str">
        <f>IF($A794="","",[1]!thsiFinD("ths_adjustment_nv_fund",M$3,$A794))</f>
        <v/>
      </c>
      <c r="N794" s="13" t="str">
        <f>IF($A794="","",[1]!thsiFinD("ths_adjustment_nv_fund",N$3,$A794))</f>
        <v/>
      </c>
      <c r="O794" s="13" t="str">
        <f>IF($A794="","",[1]!thsiFinD("ths_adjustment_nv_fund",O$3,$A794))</f>
        <v/>
      </c>
      <c r="P794" s="13" t="str">
        <f>IF($A794="","",[1]!thsiFinD("ths_adjustment_nv_fund",P$3,$A794))</f>
        <v/>
      </c>
      <c r="Q794" s="13" t="str">
        <f>IF($A794="","",[1]!thsiFinD("ths_adjustment_nv_fund",Q$3,$A794))</f>
        <v/>
      </c>
      <c r="R794" s="13" t="str">
        <f>IF($A794="","",[1]!thsiFinD("ths_adjustment_nv_fund",R$3,$A794))</f>
        <v/>
      </c>
      <c r="S794" s="13" t="str">
        <f>IF($A794="","",[1]!thsiFinD("ths_adjustment_nv_fund",S$3,$A794))</f>
        <v/>
      </c>
      <c r="T794" s="13" t="str">
        <f>IF($A794="","",[1]!thsiFinD("ths_adjustment_nv_fund",T$3,$A794))</f>
        <v/>
      </c>
      <c r="U794" s="13" t="str">
        <f>IF($A794="","",[1]!thsiFinD("ths_adjustment_nv_fund",U$3,$A794))</f>
        <v/>
      </c>
      <c r="V794" s="13" t="str">
        <f>IF($A794="","",[1]!thsiFinD("ths_adjustment_nv_fund",V$3,$A794))</f>
        <v/>
      </c>
      <c r="W794" s="13" t="str">
        <f>IF($A794="","",[1]!thsiFinD("ths_adjustment_nv_fund",W$3,$A794))</f>
        <v/>
      </c>
      <c r="X794" s="13" t="str">
        <f>IF($A794="","",[1]!thsiFinD("ths_adjustment_nv_fund",X$3,$A794))</f>
        <v/>
      </c>
      <c r="Y794" s="13" t="str">
        <f>IF($A794="","",[1]!thsiFinD("ths_adjustment_nv_fund",Y$3,$A794))</f>
        <v/>
      </c>
      <c r="Z794" s="13" t="str">
        <f>IF($A794="","",[1]!thsiFinD("ths_adjustment_nv_fund",Z$3,$A794))</f>
        <v/>
      </c>
      <c r="AA794" s="13" t="str">
        <f>IF($A794="","",[1]!thsiFinD("ths_adjustment_nv_fund",AA$3,$A794))</f>
        <v/>
      </c>
      <c r="AB794" s="13">
        <f>IF($A794="","",[1]!thsiFinD("ths_adjustment_nv_fund",AB$3,$A794))</f>
        <v/>
      </c>
      <c r="AC794" s="13">
        <f>IF($A794="","",[1]!thsiFinD("ths_adjustment_nv_fund",AC$3,$A794))</f>
        <v/>
      </c>
      <c r="AD794" s="13">
        <f>IF($A794="","",[1]!thsiFinD("ths_adjustment_nv_fund",AD$3,$A794))</f>
        <v/>
      </c>
      <c r="AE794" s="13">
        <f>IF($A794="","",[1]!thsiFinD("ths_adjustment_nv_fund",AE$3,$A794))</f>
        <v/>
      </c>
      <c r="AF794" s="13">
        <f>IF($A794="","",[1]!thsiFinD("ths_adjustment_nv_fund",AF$3,$A794))</f>
        <v/>
      </c>
      <c r="AG794" s="13">
        <f>IF($A794="","",[1]!thsiFinD("ths_adjustment_nv_fund",AG$3,$A794))</f>
        <v/>
      </c>
      <c r="AH794" s="13">
        <f>IF($A794="","",[1]!thsiFinD("ths_adjustment_nv_fund",AH$3,$A794))</f>
        <v/>
      </c>
      <c r="AI794" s="13">
        <f>IF($A794="","",[1]!thsiFinD("ths_adjustment_nv_fund",AI$3,$A794))</f>
        <v/>
      </c>
      <c r="AJ794" s="13">
        <f>IF($A794="","",[1]!thsiFinD("ths_adjustment_nv_fund",AJ$3,$A794))</f>
        <v/>
      </c>
      <c r="AK794" s="13">
        <f>IF($A794="","",[1]!thsiFinD("ths_adjustment_nv_fund",AK$3,$A794))</f>
        <v/>
      </c>
      <c r="AL794" s="13">
        <f>IF($A794="","",[1]!thsiFinD("ths_adjustment_nv_fund",AL$3,$A794))</f>
        <v/>
      </c>
    </row>
    <row r="795" spans="2:28">
      <c r="B795" s="13" t="str">
        <f>IF($A795="","",[1]!thsiFinD("ths_adjustment_nv_fund",B$3,$A795))</f>
        <v/>
      </c>
      <c r="C795" s="13" t="str">
        <f>IF($A795="","",[1]!thsiFinD("ths_adjustment_nv_fund",C$3,$A795))</f>
        <v/>
      </c>
      <c r="D795" s="13" t="str">
        <f>IF($A795="","",[1]!thsiFinD("ths_adjustment_nv_fund",D$3,$A795))</f>
        <v/>
      </c>
      <c r="E795" s="13" t="str">
        <f>IF($A795="","",[1]!thsiFinD("ths_adjustment_nv_fund",E$3,$A795))</f>
        <v/>
      </c>
      <c r="F795" s="13" t="str">
        <f>IF($A795="","",[1]!thsiFinD("ths_adjustment_nv_fund",F$3,$A795))</f>
        <v/>
      </c>
      <c r="G795" s="13" t="str">
        <f>IF($A795="","",[1]!thsiFinD("ths_adjustment_nv_fund",G$3,$A795))</f>
        <v/>
      </c>
      <c r="H795" s="13" t="str">
        <f>IF($A795="","",[1]!thsiFinD("ths_adjustment_nv_fund",H$3,$A795))</f>
        <v/>
      </c>
      <c r="I795" s="13" t="str">
        <f>IF($A795="","",[1]!thsiFinD("ths_adjustment_nv_fund",I$3,$A795))</f>
        <v/>
      </c>
      <c r="J795" s="13" t="str">
        <f>IF($A795="","",[1]!thsiFinD("ths_adjustment_nv_fund",J$3,$A795))</f>
        <v/>
      </c>
      <c r="K795" s="13" t="str">
        <f>IF($A795="","",[1]!thsiFinD("ths_adjustment_nv_fund",K$3,$A795))</f>
        <v/>
      </c>
      <c r="L795" s="13" t="str">
        <f>IF($A795="","",[1]!thsiFinD("ths_adjustment_nv_fund",L$3,$A795))</f>
        <v/>
      </c>
      <c r="M795" s="13" t="str">
        <f>IF($A795="","",[1]!thsiFinD("ths_adjustment_nv_fund",M$3,$A795))</f>
        <v/>
      </c>
      <c r="N795" s="13" t="str">
        <f>IF($A795="","",[1]!thsiFinD("ths_adjustment_nv_fund",N$3,$A795))</f>
        <v/>
      </c>
      <c r="O795" s="13" t="str">
        <f>IF($A795="","",[1]!thsiFinD("ths_adjustment_nv_fund",O$3,$A795))</f>
        <v/>
      </c>
      <c r="P795" s="13" t="str">
        <f>IF($A795="","",[1]!thsiFinD("ths_adjustment_nv_fund",P$3,$A795))</f>
        <v/>
      </c>
      <c r="Q795" s="13" t="str">
        <f>IF($A795="","",[1]!thsiFinD("ths_adjustment_nv_fund",Q$3,$A795))</f>
        <v/>
      </c>
      <c r="R795" s="13" t="str">
        <f>IF($A795="","",[1]!thsiFinD("ths_adjustment_nv_fund",R$3,$A795))</f>
        <v/>
      </c>
      <c r="S795" s="13" t="str">
        <f>IF($A795="","",[1]!thsiFinD("ths_adjustment_nv_fund",S$3,$A795))</f>
        <v/>
      </c>
      <c r="T795" s="13" t="str">
        <f>IF($A795="","",[1]!thsiFinD("ths_adjustment_nv_fund",T$3,$A795))</f>
        <v/>
      </c>
      <c r="U795" s="13" t="str">
        <f>IF($A795="","",[1]!thsiFinD("ths_adjustment_nv_fund",U$3,$A795))</f>
        <v/>
      </c>
      <c r="V795" s="13" t="str">
        <f>IF($A795="","",[1]!thsiFinD("ths_adjustment_nv_fund",V$3,$A795))</f>
        <v/>
      </c>
      <c r="W795" s="13" t="str">
        <f>IF($A795="","",[1]!thsiFinD("ths_adjustment_nv_fund",W$3,$A795))</f>
        <v/>
      </c>
      <c r="X795" s="13" t="str">
        <f>IF($A795="","",[1]!thsiFinD("ths_adjustment_nv_fund",X$3,$A795))</f>
        <v/>
      </c>
      <c r="Y795" s="13" t="str">
        <f>IF($A795="","",[1]!thsiFinD("ths_adjustment_nv_fund",Y$3,$A795))</f>
        <v/>
      </c>
      <c r="Z795" s="13" t="str">
        <f>IF($A795="","",[1]!thsiFinD("ths_adjustment_nv_fund",Z$3,$A795))</f>
        <v/>
      </c>
      <c r="AA795" s="13" t="str">
        <f>IF($A795="","",[1]!thsiFinD("ths_adjustment_nv_fund",AA$3,$A795))</f>
        <v/>
      </c>
      <c r="AB795" s="13">
        <f>IF($A795="","",[1]!thsiFinD("ths_adjustment_nv_fund",AB$3,$A795))</f>
        <v/>
      </c>
      <c r="AC795" s="13">
        <f>IF($A795="","",[1]!thsiFinD("ths_adjustment_nv_fund",AC$3,$A795))</f>
        <v/>
      </c>
      <c r="AD795" s="13">
        <f>IF($A795="","",[1]!thsiFinD("ths_adjustment_nv_fund",AD$3,$A795))</f>
        <v/>
      </c>
      <c r="AE795" s="13">
        <f>IF($A795="","",[1]!thsiFinD("ths_adjustment_nv_fund",AE$3,$A795))</f>
        <v/>
      </c>
      <c r="AF795" s="13">
        <f>IF($A795="","",[1]!thsiFinD("ths_adjustment_nv_fund",AF$3,$A795))</f>
        <v/>
      </c>
      <c r="AG795" s="13">
        <f>IF($A795="","",[1]!thsiFinD("ths_adjustment_nv_fund",AG$3,$A795))</f>
        <v/>
      </c>
      <c r="AH795" s="13">
        <f>IF($A795="","",[1]!thsiFinD("ths_adjustment_nv_fund",AH$3,$A795))</f>
        <v/>
      </c>
      <c r="AI795" s="13">
        <f>IF($A795="","",[1]!thsiFinD("ths_adjustment_nv_fund",AI$3,$A795))</f>
        <v/>
      </c>
      <c r="AJ795" s="13">
        <f>IF($A795="","",[1]!thsiFinD("ths_adjustment_nv_fund",AJ$3,$A795))</f>
        <v/>
      </c>
      <c r="AK795" s="13">
        <f>IF($A795="","",[1]!thsiFinD("ths_adjustment_nv_fund",AK$3,$A795))</f>
        <v/>
      </c>
      <c r="AL795" s="13">
        <f>IF($A795="","",[1]!thsiFinD("ths_adjustment_nv_fund",AL$3,$A795))</f>
        <v/>
      </c>
    </row>
    <row r="796" spans="2:28">
      <c r="B796" s="13" t="str">
        <f>IF($A796="","",[1]!thsiFinD("ths_adjustment_nv_fund",B$3,$A796))</f>
        <v/>
      </c>
      <c r="C796" s="13" t="str">
        <f>IF($A796="","",[1]!thsiFinD("ths_adjustment_nv_fund",C$3,$A796))</f>
        <v/>
      </c>
      <c r="D796" s="13" t="str">
        <f>IF($A796="","",[1]!thsiFinD("ths_adjustment_nv_fund",D$3,$A796))</f>
        <v/>
      </c>
      <c r="E796" s="13" t="str">
        <f>IF($A796="","",[1]!thsiFinD("ths_adjustment_nv_fund",E$3,$A796))</f>
        <v/>
      </c>
      <c r="F796" s="13" t="str">
        <f>IF($A796="","",[1]!thsiFinD("ths_adjustment_nv_fund",F$3,$A796))</f>
        <v/>
      </c>
      <c r="G796" s="13" t="str">
        <f>IF($A796="","",[1]!thsiFinD("ths_adjustment_nv_fund",G$3,$A796))</f>
        <v/>
      </c>
      <c r="H796" s="13" t="str">
        <f>IF($A796="","",[1]!thsiFinD("ths_adjustment_nv_fund",H$3,$A796))</f>
        <v/>
      </c>
      <c r="I796" s="13" t="str">
        <f>IF($A796="","",[1]!thsiFinD("ths_adjustment_nv_fund",I$3,$A796))</f>
        <v/>
      </c>
      <c r="J796" s="13" t="str">
        <f>IF($A796="","",[1]!thsiFinD("ths_adjustment_nv_fund",J$3,$A796))</f>
        <v/>
      </c>
      <c r="K796" s="13" t="str">
        <f>IF($A796="","",[1]!thsiFinD("ths_adjustment_nv_fund",K$3,$A796))</f>
        <v/>
      </c>
      <c r="L796" s="13" t="str">
        <f>IF($A796="","",[1]!thsiFinD("ths_adjustment_nv_fund",L$3,$A796))</f>
        <v/>
      </c>
      <c r="M796" s="13" t="str">
        <f>IF($A796="","",[1]!thsiFinD("ths_adjustment_nv_fund",M$3,$A796))</f>
        <v/>
      </c>
      <c r="N796" s="13" t="str">
        <f>IF($A796="","",[1]!thsiFinD("ths_adjustment_nv_fund",N$3,$A796))</f>
        <v/>
      </c>
      <c r="O796" s="13" t="str">
        <f>IF($A796="","",[1]!thsiFinD("ths_adjustment_nv_fund",O$3,$A796))</f>
        <v/>
      </c>
      <c r="P796" s="13" t="str">
        <f>IF($A796="","",[1]!thsiFinD("ths_adjustment_nv_fund",P$3,$A796))</f>
        <v/>
      </c>
      <c r="Q796" s="13" t="str">
        <f>IF($A796="","",[1]!thsiFinD("ths_adjustment_nv_fund",Q$3,$A796))</f>
        <v/>
      </c>
      <c r="R796" s="13" t="str">
        <f>IF($A796="","",[1]!thsiFinD("ths_adjustment_nv_fund",R$3,$A796))</f>
        <v/>
      </c>
      <c r="S796" s="13" t="str">
        <f>IF($A796="","",[1]!thsiFinD("ths_adjustment_nv_fund",S$3,$A796))</f>
        <v/>
      </c>
      <c r="T796" s="13" t="str">
        <f>IF($A796="","",[1]!thsiFinD("ths_adjustment_nv_fund",T$3,$A796))</f>
        <v/>
      </c>
      <c r="U796" s="13" t="str">
        <f>IF($A796="","",[1]!thsiFinD("ths_adjustment_nv_fund",U$3,$A796))</f>
        <v/>
      </c>
      <c r="V796" s="13" t="str">
        <f>IF($A796="","",[1]!thsiFinD("ths_adjustment_nv_fund",V$3,$A796))</f>
        <v/>
      </c>
      <c r="W796" s="13" t="str">
        <f>IF($A796="","",[1]!thsiFinD("ths_adjustment_nv_fund",W$3,$A796))</f>
        <v/>
      </c>
      <c r="X796" s="13" t="str">
        <f>IF($A796="","",[1]!thsiFinD("ths_adjustment_nv_fund",X$3,$A796))</f>
        <v/>
      </c>
      <c r="Y796" s="13" t="str">
        <f>IF($A796="","",[1]!thsiFinD("ths_adjustment_nv_fund",Y$3,$A796))</f>
        <v/>
      </c>
      <c r="Z796" s="13" t="str">
        <f>IF($A796="","",[1]!thsiFinD("ths_adjustment_nv_fund",Z$3,$A796))</f>
        <v/>
      </c>
      <c r="AA796" s="13" t="str">
        <f>IF($A796="","",[1]!thsiFinD("ths_adjustment_nv_fund",AA$3,$A796))</f>
        <v/>
      </c>
      <c r="AB796" s="13">
        <f>IF($A796="","",[1]!thsiFinD("ths_adjustment_nv_fund",AB$3,$A796))</f>
        <v/>
      </c>
      <c r="AC796" s="13">
        <f>IF($A796="","",[1]!thsiFinD("ths_adjustment_nv_fund",AC$3,$A796))</f>
        <v/>
      </c>
      <c r="AD796" s="13">
        <f>IF($A796="","",[1]!thsiFinD("ths_adjustment_nv_fund",AD$3,$A796))</f>
        <v/>
      </c>
      <c r="AE796" s="13">
        <f>IF($A796="","",[1]!thsiFinD("ths_adjustment_nv_fund",AE$3,$A796))</f>
        <v/>
      </c>
      <c r="AF796" s="13">
        <f>IF($A796="","",[1]!thsiFinD("ths_adjustment_nv_fund",AF$3,$A796))</f>
        <v/>
      </c>
      <c r="AG796" s="13">
        <f>IF($A796="","",[1]!thsiFinD("ths_adjustment_nv_fund",AG$3,$A796))</f>
        <v/>
      </c>
      <c r="AH796" s="13">
        <f>IF($A796="","",[1]!thsiFinD("ths_adjustment_nv_fund",AH$3,$A796))</f>
        <v/>
      </c>
      <c r="AI796" s="13">
        <f>IF($A796="","",[1]!thsiFinD("ths_adjustment_nv_fund",AI$3,$A796))</f>
        <v/>
      </c>
      <c r="AJ796" s="13">
        <f>IF($A796="","",[1]!thsiFinD("ths_adjustment_nv_fund",AJ$3,$A796))</f>
        <v/>
      </c>
      <c r="AK796" s="13">
        <f>IF($A796="","",[1]!thsiFinD("ths_adjustment_nv_fund",AK$3,$A796))</f>
        <v/>
      </c>
      <c r="AL796" s="13">
        <f>IF($A796="","",[1]!thsiFinD("ths_adjustment_nv_fund",AL$3,$A796))</f>
        <v/>
      </c>
    </row>
    <row r="797" spans="2:28">
      <c r="B797" s="13" t="str">
        <f>IF($A797="","",[1]!thsiFinD("ths_adjustment_nv_fund",B$3,$A797))</f>
        <v/>
      </c>
      <c r="C797" s="13" t="str">
        <f>IF($A797="","",[1]!thsiFinD("ths_adjustment_nv_fund",C$3,$A797))</f>
        <v/>
      </c>
      <c r="D797" s="13" t="str">
        <f>IF($A797="","",[1]!thsiFinD("ths_adjustment_nv_fund",D$3,$A797))</f>
        <v/>
      </c>
      <c r="E797" s="13" t="str">
        <f>IF($A797="","",[1]!thsiFinD("ths_adjustment_nv_fund",E$3,$A797))</f>
        <v/>
      </c>
      <c r="F797" s="13" t="str">
        <f>IF($A797="","",[1]!thsiFinD("ths_adjustment_nv_fund",F$3,$A797))</f>
        <v/>
      </c>
      <c r="G797" s="13" t="str">
        <f>IF($A797="","",[1]!thsiFinD("ths_adjustment_nv_fund",G$3,$A797))</f>
        <v/>
      </c>
      <c r="H797" s="13" t="str">
        <f>IF($A797="","",[1]!thsiFinD("ths_adjustment_nv_fund",H$3,$A797))</f>
        <v/>
      </c>
      <c r="I797" s="13" t="str">
        <f>IF($A797="","",[1]!thsiFinD("ths_adjustment_nv_fund",I$3,$A797))</f>
        <v/>
      </c>
      <c r="J797" s="13" t="str">
        <f>IF($A797="","",[1]!thsiFinD("ths_adjustment_nv_fund",J$3,$A797))</f>
        <v/>
      </c>
      <c r="K797" s="13" t="str">
        <f>IF($A797="","",[1]!thsiFinD("ths_adjustment_nv_fund",K$3,$A797))</f>
        <v/>
      </c>
      <c r="L797" s="13" t="str">
        <f>IF($A797="","",[1]!thsiFinD("ths_adjustment_nv_fund",L$3,$A797))</f>
        <v/>
      </c>
      <c r="M797" s="13" t="str">
        <f>IF($A797="","",[1]!thsiFinD("ths_adjustment_nv_fund",M$3,$A797))</f>
        <v/>
      </c>
      <c r="N797" s="13" t="str">
        <f>IF($A797="","",[1]!thsiFinD("ths_adjustment_nv_fund",N$3,$A797))</f>
        <v/>
      </c>
      <c r="O797" s="13" t="str">
        <f>IF($A797="","",[1]!thsiFinD("ths_adjustment_nv_fund",O$3,$A797))</f>
        <v/>
      </c>
      <c r="P797" s="13" t="str">
        <f>IF($A797="","",[1]!thsiFinD("ths_adjustment_nv_fund",P$3,$A797))</f>
        <v/>
      </c>
      <c r="Q797" s="13" t="str">
        <f>IF($A797="","",[1]!thsiFinD("ths_adjustment_nv_fund",Q$3,$A797))</f>
        <v/>
      </c>
      <c r="R797" s="13" t="str">
        <f>IF($A797="","",[1]!thsiFinD("ths_adjustment_nv_fund",R$3,$A797))</f>
        <v/>
      </c>
      <c r="S797" s="13" t="str">
        <f>IF($A797="","",[1]!thsiFinD("ths_adjustment_nv_fund",S$3,$A797))</f>
        <v/>
      </c>
      <c r="T797" s="13" t="str">
        <f>IF($A797="","",[1]!thsiFinD("ths_adjustment_nv_fund",T$3,$A797))</f>
        <v/>
      </c>
      <c r="U797" s="13" t="str">
        <f>IF($A797="","",[1]!thsiFinD("ths_adjustment_nv_fund",U$3,$A797))</f>
        <v/>
      </c>
      <c r="V797" s="13" t="str">
        <f>IF($A797="","",[1]!thsiFinD("ths_adjustment_nv_fund",V$3,$A797))</f>
        <v/>
      </c>
      <c r="W797" s="13" t="str">
        <f>IF($A797="","",[1]!thsiFinD("ths_adjustment_nv_fund",W$3,$A797))</f>
        <v/>
      </c>
      <c r="X797" s="13" t="str">
        <f>IF($A797="","",[1]!thsiFinD("ths_adjustment_nv_fund",X$3,$A797))</f>
        <v/>
      </c>
      <c r="Y797" s="13" t="str">
        <f>IF($A797="","",[1]!thsiFinD("ths_adjustment_nv_fund",Y$3,$A797))</f>
        <v/>
      </c>
      <c r="Z797" s="13" t="str">
        <f>IF($A797="","",[1]!thsiFinD("ths_adjustment_nv_fund",Z$3,$A797))</f>
        <v/>
      </c>
      <c r="AA797" s="13" t="str">
        <f>IF($A797="","",[1]!thsiFinD("ths_adjustment_nv_fund",AA$3,$A797))</f>
        <v/>
      </c>
      <c r="AB797" s="13">
        <f>IF($A797="","",[1]!thsiFinD("ths_adjustment_nv_fund",AB$3,$A797))</f>
        <v/>
      </c>
      <c r="AC797" s="13">
        <f>IF($A797="","",[1]!thsiFinD("ths_adjustment_nv_fund",AC$3,$A797))</f>
        <v/>
      </c>
      <c r="AD797" s="13">
        <f>IF($A797="","",[1]!thsiFinD("ths_adjustment_nv_fund",AD$3,$A797))</f>
        <v/>
      </c>
      <c r="AE797" s="13">
        <f>IF($A797="","",[1]!thsiFinD("ths_adjustment_nv_fund",AE$3,$A797))</f>
        <v/>
      </c>
      <c r="AF797" s="13">
        <f>IF($A797="","",[1]!thsiFinD("ths_adjustment_nv_fund",AF$3,$A797))</f>
        <v/>
      </c>
      <c r="AG797" s="13">
        <f>IF($A797="","",[1]!thsiFinD("ths_adjustment_nv_fund",AG$3,$A797))</f>
        <v/>
      </c>
      <c r="AH797" s="13">
        <f>IF($A797="","",[1]!thsiFinD("ths_adjustment_nv_fund",AH$3,$A797))</f>
        <v/>
      </c>
      <c r="AI797" s="13">
        <f>IF($A797="","",[1]!thsiFinD("ths_adjustment_nv_fund",AI$3,$A797))</f>
        <v/>
      </c>
      <c r="AJ797" s="13">
        <f>IF($A797="","",[1]!thsiFinD("ths_adjustment_nv_fund",AJ$3,$A797))</f>
        <v/>
      </c>
      <c r="AK797" s="13">
        <f>IF($A797="","",[1]!thsiFinD("ths_adjustment_nv_fund",AK$3,$A797))</f>
        <v/>
      </c>
      <c r="AL797" s="13">
        <f>IF($A797="","",[1]!thsiFinD("ths_adjustment_nv_fund",AL$3,$A797))</f>
        <v/>
      </c>
    </row>
    <row r="798" spans="2:28">
      <c r="B798" s="13" t="str">
        <f>IF($A798="","",[1]!thsiFinD("ths_adjustment_nv_fund",B$3,$A798))</f>
        <v/>
      </c>
      <c r="C798" s="13" t="str">
        <f>IF($A798="","",[1]!thsiFinD("ths_adjustment_nv_fund",C$3,$A798))</f>
        <v/>
      </c>
      <c r="D798" s="13" t="str">
        <f>IF($A798="","",[1]!thsiFinD("ths_adjustment_nv_fund",D$3,$A798))</f>
        <v/>
      </c>
      <c r="E798" s="13" t="str">
        <f>IF($A798="","",[1]!thsiFinD("ths_adjustment_nv_fund",E$3,$A798))</f>
        <v/>
      </c>
      <c r="F798" s="13" t="str">
        <f>IF($A798="","",[1]!thsiFinD("ths_adjustment_nv_fund",F$3,$A798))</f>
        <v/>
      </c>
      <c r="G798" s="13" t="str">
        <f>IF($A798="","",[1]!thsiFinD("ths_adjustment_nv_fund",G$3,$A798))</f>
        <v/>
      </c>
      <c r="H798" s="13" t="str">
        <f>IF($A798="","",[1]!thsiFinD("ths_adjustment_nv_fund",H$3,$A798))</f>
        <v/>
      </c>
      <c r="I798" s="13" t="str">
        <f>IF($A798="","",[1]!thsiFinD("ths_adjustment_nv_fund",I$3,$A798))</f>
        <v/>
      </c>
      <c r="J798" s="13" t="str">
        <f>IF($A798="","",[1]!thsiFinD("ths_adjustment_nv_fund",J$3,$A798))</f>
        <v/>
      </c>
      <c r="K798" s="13" t="str">
        <f>IF($A798="","",[1]!thsiFinD("ths_adjustment_nv_fund",K$3,$A798))</f>
        <v/>
      </c>
      <c r="L798" s="13" t="str">
        <f>IF($A798="","",[1]!thsiFinD("ths_adjustment_nv_fund",L$3,$A798))</f>
        <v/>
      </c>
      <c r="M798" s="13" t="str">
        <f>IF($A798="","",[1]!thsiFinD("ths_adjustment_nv_fund",M$3,$A798))</f>
        <v/>
      </c>
      <c r="N798" s="13" t="str">
        <f>IF($A798="","",[1]!thsiFinD("ths_adjustment_nv_fund",N$3,$A798))</f>
        <v/>
      </c>
      <c r="O798" s="13" t="str">
        <f>IF($A798="","",[1]!thsiFinD("ths_adjustment_nv_fund",O$3,$A798))</f>
        <v/>
      </c>
      <c r="P798" s="13" t="str">
        <f>IF($A798="","",[1]!thsiFinD("ths_adjustment_nv_fund",P$3,$A798))</f>
        <v/>
      </c>
      <c r="Q798" s="13" t="str">
        <f>IF($A798="","",[1]!thsiFinD("ths_adjustment_nv_fund",Q$3,$A798))</f>
        <v/>
      </c>
      <c r="R798" s="13" t="str">
        <f>IF($A798="","",[1]!thsiFinD("ths_adjustment_nv_fund",R$3,$A798))</f>
        <v/>
      </c>
      <c r="S798" s="13" t="str">
        <f>IF($A798="","",[1]!thsiFinD("ths_adjustment_nv_fund",S$3,$A798))</f>
        <v/>
      </c>
      <c r="T798" s="13" t="str">
        <f>IF($A798="","",[1]!thsiFinD("ths_adjustment_nv_fund",T$3,$A798))</f>
        <v/>
      </c>
      <c r="U798" s="13" t="str">
        <f>IF($A798="","",[1]!thsiFinD("ths_adjustment_nv_fund",U$3,$A798))</f>
        <v/>
      </c>
      <c r="V798" s="13" t="str">
        <f>IF($A798="","",[1]!thsiFinD("ths_adjustment_nv_fund",V$3,$A798))</f>
        <v/>
      </c>
      <c r="W798" s="13" t="str">
        <f>IF($A798="","",[1]!thsiFinD("ths_adjustment_nv_fund",W$3,$A798))</f>
        <v/>
      </c>
      <c r="X798" s="13" t="str">
        <f>IF($A798="","",[1]!thsiFinD("ths_adjustment_nv_fund",X$3,$A798))</f>
        <v/>
      </c>
      <c r="Y798" s="13" t="str">
        <f>IF($A798="","",[1]!thsiFinD("ths_adjustment_nv_fund",Y$3,$A798))</f>
        <v/>
      </c>
      <c r="Z798" s="13" t="str">
        <f>IF($A798="","",[1]!thsiFinD("ths_adjustment_nv_fund",Z$3,$A798))</f>
        <v/>
      </c>
      <c r="AA798" s="13" t="str">
        <f>IF($A798="","",[1]!thsiFinD("ths_adjustment_nv_fund",AA$3,$A798))</f>
        <v/>
      </c>
      <c r="AB798" s="13">
        <f>IF($A798="","",[1]!thsiFinD("ths_adjustment_nv_fund",AB$3,$A798))</f>
        <v/>
      </c>
      <c r="AC798" s="13">
        <f>IF($A798="","",[1]!thsiFinD("ths_adjustment_nv_fund",AC$3,$A798))</f>
        <v/>
      </c>
      <c r="AD798" s="13">
        <f>IF($A798="","",[1]!thsiFinD("ths_adjustment_nv_fund",AD$3,$A798))</f>
        <v/>
      </c>
      <c r="AE798" s="13">
        <f>IF($A798="","",[1]!thsiFinD("ths_adjustment_nv_fund",AE$3,$A798))</f>
        <v/>
      </c>
      <c r="AF798" s="13">
        <f>IF($A798="","",[1]!thsiFinD("ths_adjustment_nv_fund",AF$3,$A798))</f>
        <v/>
      </c>
      <c r="AG798" s="13">
        <f>IF($A798="","",[1]!thsiFinD("ths_adjustment_nv_fund",AG$3,$A798))</f>
        <v/>
      </c>
      <c r="AH798" s="13">
        <f>IF($A798="","",[1]!thsiFinD("ths_adjustment_nv_fund",AH$3,$A798))</f>
        <v/>
      </c>
      <c r="AI798" s="13">
        <f>IF($A798="","",[1]!thsiFinD("ths_adjustment_nv_fund",AI$3,$A798))</f>
        <v/>
      </c>
      <c r="AJ798" s="13">
        <f>IF($A798="","",[1]!thsiFinD("ths_adjustment_nv_fund",AJ$3,$A798))</f>
        <v/>
      </c>
      <c r="AK798" s="13">
        <f>IF($A798="","",[1]!thsiFinD("ths_adjustment_nv_fund",AK$3,$A798))</f>
        <v/>
      </c>
      <c r="AL798" s="13">
        <f>IF($A798="","",[1]!thsiFinD("ths_adjustment_nv_fund",AL$3,$A798))</f>
        <v/>
      </c>
    </row>
    <row r="799" spans="2:28">
      <c r="B799" s="13" t="str">
        <f>IF($A799="","",[1]!thsiFinD("ths_adjustment_nv_fund",B$3,$A799))</f>
        <v/>
      </c>
      <c r="C799" s="13" t="str">
        <f>IF($A799="","",[1]!thsiFinD("ths_adjustment_nv_fund",C$3,$A799))</f>
        <v/>
      </c>
      <c r="D799" s="13" t="str">
        <f>IF($A799="","",[1]!thsiFinD("ths_adjustment_nv_fund",D$3,$A799))</f>
        <v/>
      </c>
      <c r="E799" s="13" t="str">
        <f>IF($A799="","",[1]!thsiFinD("ths_adjustment_nv_fund",E$3,$A799))</f>
        <v/>
      </c>
      <c r="F799" s="13" t="str">
        <f>IF($A799="","",[1]!thsiFinD("ths_adjustment_nv_fund",F$3,$A799))</f>
        <v/>
      </c>
      <c r="G799" s="13" t="str">
        <f>IF($A799="","",[1]!thsiFinD("ths_adjustment_nv_fund",G$3,$A799))</f>
        <v/>
      </c>
      <c r="H799" s="13" t="str">
        <f>IF($A799="","",[1]!thsiFinD("ths_adjustment_nv_fund",H$3,$A799))</f>
        <v/>
      </c>
      <c r="I799" s="13" t="str">
        <f>IF($A799="","",[1]!thsiFinD("ths_adjustment_nv_fund",I$3,$A799))</f>
        <v/>
      </c>
      <c r="J799" s="13" t="str">
        <f>IF($A799="","",[1]!thsiFinD("ths_adjustment_nv_fund",J$3,$A799))</f>
        <v/>
      </c>
      <c r="K799" s="13" t="str">
        <f>IF($A799="","",[1]!thsiFinD("ths_adjustment_nv_fund",K$3,$A799))</f>
        <v/>
      </c>
      <c r="L799" s="13" t="str">
        <f>IF($A799="","",[1]!thsiFinD("ths_adjustment_nv_fund",L$3,$A799))</f>
        <v/>
      </c>
      <c r="M799" s="13" t="str">
        <f>IF($A799="","",[1]!thsiFinD("ths_adjustment_nv_fund",M$3,$A799))</f>
        <v/>
      </c>
      <c r="N799" s="13" t="str">
        <f>IF($A799="","",[1]!thsiFinD("ths_adjustment_nv_fund",N$3,$A799))</f>
        <v/>
      </c>
      <c r="O799" s="13" t="str">
        <f>IF($A799="","",[1]!thsiFinD("ths_adjustment_nv_fund",O$3,$A799))</f>
        <v/>
      </c>
      <c r="P799" s="13" t="str">
        <f>IF($A799="","",[1]!thsiFinD("ths_adjustment_nv_fund",P$3,$A799))</f>
        <v/>
      </c>
      <c r="Q799" s="13" t="str">
        <f>IF($A799="","",[1]!thsiFinD("ths_adjustment_nv_fund",Q$3,$A799))</f>
        <v/>
      </c>
      <c r="R799" s="13" t="str">
        <f>IF($A799="","",[1]!thsiFinD("ths_adjustment_nv_fund",R$3,$A799))</f>
        <v/>
      </c>
      <c r="S799" s="13" t="str">
        <f>IF($A799="","",[1]!thsiFinD("ths_adjustment_nv_fund",S$3,$A799))</f>
        <v/>
      </c>
      <c r="T799" s="13" t="str">
        <f>IF($A799="","",[1]!thsiFinD("ths_adjustment_nv_fund",T$3,$A799))</f>
        <v/>
      </c>
      <c r="U799" s="13" t="str">
        <f>IF($A799="","",[1]!thsiFinD("ths_adjustment_nv_fund",U$3,$A799))</f>
        <v/>
      </c>
      <c r="V799" s="13" t="str">
        <f>IF($A799="","",[1]!thsiFinD("ths_adjustment_nv_fund",V$3,$A799))</f>
        <v/>
      </c>
      <c r="W799" s="13" t="str">
        <f>IF($A799="","",[1]!thsiFinD("ths_adjustment_nv_fund",W$3,$A799))</f>
        <v/>
      </c>
      <c r="X799" s="13" t="str">
        <f>IF($A799="","",[1]!thsiFinD("ths_adjustment_nv_fund",X$3,$A799))</f>
        <v/>
      </c>
      <c r="Y799" s="13" t="str">
        <f>IF($A799="","",[1]!thsiFinD("ths_adjustment_nv_fund",Y$3,$A799))</f>
        <v/>
      </c>
      <c r="Z799" s="13" t="str">
        <f>IF($A799="","",[1]!thsiFinD("ths_adjustment_nv_fund",Z$3,$A799))</f>
        <v/>
      </c>
      <c r="AA799" s="13" t="str">
        <f>IF($A799="","",[1]!thsiFinD("ths_adjustment_nv_fund",AA$3,$A799))</f>
        <v/>
      </c>
      <c r="AB799" s="13">
        <f>IF($A799="","",[1]!thsiFinD("ths_adjustment_nv_fund",AB$3,$A799))</f>
        <v/>
      </c>
      <c r="AC799" s="13">
        <f>IF($A799="","",[1]!thsiFinD("ths_adjustment_nv_fund",AC$3,$A799))</f>
        <v/>
      </c>
      <c r="AD799" s="13">
        <f>IF($A799="","",[1]!thsiFinD("ths_adjustment_nv_fund",AD$3,$A799))</f>
        <v/>
      </c>
      <c r="AE799" s="13">
        <f>IF($A799="","",[1]!thsiFinD("ths_adjustment_nv_fund",AE$3,$A799))</f>
        <v/>
      </c>
      <c r="AF799" s="13">
        <f>IF($A799="","",[1]!thsiFinD("ths_adjustment_nv_fund",AF$3,$A799))</f>
        <v/>
      </c>
      <c r="AG799" s="13">
        <f>IF($A799="","",[1]!thsiFinD("ths_adjustment_nv_fund",AG$3,$A799))</f>
        <v/>
      </c>
      <c r="AH799" s="13">
        <f>IF($A799="","",[1]!thsiFinD("ths_adjustment_nv_fund",AH$3,$A799))</f>
        <v/>
      </c>
      <c r="AI799" s="13">
        <f>IF($A799="","",[1]!thsiFinD("ths_adjustment_nv_fund",AI$3,$A799))</f>
        <v/>
      </c>
      <c r="AJ799" s="13">
        <f>IF($A799="","",[1]!thsiFinD("ths_adjustment_nv_fund",AJ$3,$A799))</f>
        <v/>
      </c>
      <c r="AK799" s="13">
        <f>IF($A799="","",[1]!thsiFinD("ths_adjustment_nv_fund",AK$3,$A799))</f>
        <v/>
      </c>
      <c r="AL799" s="13">
        <f>IF($A799="","",[1]!thsiFinD("ths_adjustment_nv_fund",AL$3,$A799))</f>
        <v/>
      </c>
    </row>
    <row r="800" spans="2:28">
      <c r="B800" s="13" t="str">
        <f>IF($A800="","",[1]!thsiFinD("ths_adjustment_nv_fund",B$3,$A800))</f>
        <v/>
      </c>
      <c r="C800" s="13" t="str">
        <f>IF($A800="","",[1]!thsiFinD("ths_adjustment_nv_fund",C$3,$A800))</f>
        <v/>
      </c>
      <c r="D800" s="13" t="str">
        <f>IF($A800="","",[1]!thsiFinD("ths_adjustment_nv_fund",D$3,$A800))</f>
        <v/>
      </c>
      <c r="E800" s="13" t="str">
        <f>IF($A800="","",[1]!thsiFinD("ths_adjustment_nv_fund",E$3,$A800))</f>
        <v/>
      </c>
      <c r="F800" s="13" t="str">
        <f>IF($A800="","",[1]!thsiFinD("ths_adjustment_nv_fund",F$3,$A800))</f>
        <v/>
      </c>
      <c r="G800" s="13" t="str">
        <f>IF($A800="","",[1]!thsiFinD("ths_adjustment_nv_fund",G$3,$A800))</f>
        <v/>
      </c>
      <c r="H800" s="13" t="str">
        <f>IF($A800="","",[1]!thsiFinD("ths_adjustment_nv_fund",H$3,$A800))</f>
        <v/>
      </c>
      <c r="I800" s="13" t="str">
        <f>IF($A800="","",[1]!thsiFinD("ths_adjustment_nv_fund",I$3,$A800))</f>
        <v/>
      </c>
      <c r="J800" s="13" t="str">
        <f>IF($A800="","",[1]!thsiFinD("ths_adjustment_nv_fund",J$3,$A800))</f>
        <v/>
      </c>
      <c r="K800" s="13" t="str">
        <f>IF($A800="","",[1]!thsiFinD("ths_adjustment_nv_fund",K$3,$A800))</f>
        <v/>
      </c>
      <c r="L800" s="13" t="str">
        <f>IF($A800="","",[1]!thsiFinD("ths_adjustment_nv_fund",L$3,$A800))</f>
        <v/>
      </c>
      <c r="M800" s="13" t="str">
        <f>IF($A800="","",[1]!thsiFinD("ths_adjustment_nv_fund",M$3,$A800))</f>
        <v/>
      </c>
      <c r="N800" s="13" t="str">
        <f>IF($A800="","",[1]!thsiFinD("ths_adjustment_nv_fund",N$3,$A800))</f>
        <v/>
      </c>
      <c r="O800" s="13" t="str">
        <f>IF($A800="","",[1]!thsiFinD("ths_adjustment_nv_fund",O$3,$A800))</f>
        <v/>
      </c>
      <c r="P800" s="13" t="str">
        <f>IF($A800="","",[1]!thsiFinD("ths_adjustment_nv_fund",P$3,$A800))</f>
        <v/>
      </c>
      <c r="Q800" s="13" t="str">
        <f>IF($A800="","",[1]!thsiFinD("ths_adjustment_nv_fund",Q$3,$A800))</f>
        <v/>
      </c>
      <c r="R800" s="13" t="str">
        <f>IF($A800="","",[1]!thsiFinD("ths_adjustment_nv_fund",R$3,$A800))</f>
        <v/>
      </c>
      <c r="S800" s="13" t="str">
        <f>IF($A800="","",[1]!thsiFinD("ths_adjustment_nv_fund",S$3,$A800))</f>
        <v/>
      </c>
      <c r="T800" s="13" t="str">
        <f>IF($A800="","",[1]!thsiFinD("ths_adjustment_nv_fund",T$3,$A800))</f>
        <v/>
      </c>
      <c r="U800" s="13" t="str">
        <f>IF($A800="","",[1]!thsiFinD("ths_adjustment_nv_fund",U$3,$A800))</f>
        <v/>
      </c>
      <c r="V800" s="13" t="str">
        <f>IF($A800="","",[1]!thsiFinD("ths_adjustment_nv_fund",V$3,$A800))</f>
        <v/>
      </c>
      <c r="W800" s="13" t="str">
        <f>IF($A800="","",[1]!thsiFinD("ths_adjustment_nv_fund",W$3,$A800))</f>
        <v/>
      </c>
      <c r="X800" s="13" t="str">
        <f>IF($A800="","",[1]!thsiFinD("ths_adjustment_nv_fund",X$3,$A800))</f>
        <v/>
      </c>
      <c r="Y800" s="13" t="str">
        <f>IF($A800="","",[1]!thsiFinD("ths_adjustment_nv_fund",Y$3,$A800))</f>
        <v/>
      </c>
      <c r="Z800" s="13" t="str">
        <f>IF($A800="","",[1]!thsiFinD("ths_adjustment_nv_fund",Z$3,$A800))</f>
        <v/>
      </c>
      <c r="AA800" s="13" t="str">
        <f>IF($A800="","",[1]!thsiFinD("ths_adjustment_nv_fund",AA$3,$A800))</f>
        <v/>
      </c>
      <c r="AB800" s="13">
        <f>IF($A800="","",[1]!thsiFinD("ths_adjustment_nv_fund",AB$3,$A800))</f>
        <v/>
      </c>
      <c r="AC800" s="13">
        <f>IF($A800="","",[1]!thsiFinD("ths_adjustment_nv_fund",AC$3,$A800))</f>
        <v/>
      </c>
      <c r="AD800" s="13">
        <f>IF($A800="","",[1]!thsiFinD("ths_adjustment_nv_fund",AD$3,$A800))</f>
        <v/>
      </c>
      <c r="AE800" s="13">
        <f>IF($A800="","",[1]!thsiFinD("ths_adjustment_nv_fund",AE$3,$A800))</f>
        <v/>
      </c>
      <c r="AF800" s="13">
        <f>IF($A800="","",[1]!thsiFinD("ths_adjustment_nv_fund",AF$3,$A800))</f>
        <v/>
      </c>
      <c r="AG800" s="13">
        <f>IF($A800="","",[1]!thsiFinD("ths_adjustment_nv_fund",AG$3,$A800))</f>
        <v/>
      </c>
      <c r="AH800" s="13">
        <f>IF($A800="","",[1]!thsiFinD("ths_adjustment_nv_fund",AH$3,$A800))</f>
        <v/>
      </c>
      <c r="AI800" s="13">
        <f>IF($A800="","",[1]!thsiFinD("ths_adjustment_nv_fund",AI$3,$A800))</f>
        <v/>
      </c>
      <c r="AJ800" s="13">
        <f>IF($A800="","",[1]!thsiFinD("ths_adjustment_nv_fund",AJ$3,$A800))</f>
        <v/>
      </c>
      <c r="AK800" s="13">
        <f>IF($A800="","",[1]!thsiFinD("ths_adjustment_nv_fund",AK$3,$A800))</f>
        <v/>
      </c>
      <c r="AL800" s="13">
        <f>IF($A800="","",[1]!thsiFinD("ths_adjustment_nv_fund",AL$3,$A800))</f>
        <v/>
      </c>
    </row>
    <row r="801" spans="2:28">
      <c r="B801" s="13" t="str">
        <f>IF($A801="","",[1]!thsiFinD("ths_adjustment_nv_fund",B$3,$A801))</f>
        <v/>
      </c>
      <c r="C801" s="13" t="str">
        <f>IF($A801="","",[1]!thsiFinD("ths_adjustment_nv_fund",C$3,$A801))</f>
        <v/>
      </c>
      <c r="D801" s="13" t="str">
        <f>IF($A801="","",[1]!thsiFinD("ths_adjustment_nv_fund",D$3,$A801))</f>
        <v/>
      </c>
      <c r="E801" s="13" t="str">
        <f>IF($A801="","",[1]!thsiFinD("ths_adjustment_nv_fund",E$3,$A801))</f>
        <v/>
      </c>
      <c r="F801" s="13" t="str">
        <f>IF($A801="","",[1]!thsiFinD("ths_adjustment_nv_fund",F$3,$A801))</f>
        <v/>
      </c>
      <c r="G801" s="13" t="str">
        <f>IF($A801="","",[1]!thsiFinD("ths_adjustment_nv_fund",G$3,$A801))</f>
        <v/>
      </c>
      <c r="H801" s="13" t="str">
        <f>IF($A801="","",[1]!thsiFinD("ths_adjustment_nv_fund",H$3,$A801))</f>
        <v/>
      </c>
      <c r="I801" s="13" t="str">
        <f>IF($A801="","",[1]!thsiFinD("ths_adjustment_nv_fund",I$3,$A801))</f>
        <v/>
      </c>
      <c r="J801" s="13" t="str">
        <f>IF($A801="","",[1]!thsiFinD("ths_adjustment_nv_fund",J$3,$A801))</f>
        <v/>
      </c>
      <c r="K801" s="13" t="str">
        <f>IF($A801="","",[1]!thsiFinD("ths_adjustment_nv_fund",K$3,$A801))</f>
        <v/>
      </c>
      <c r="L801" s="13" t="str">
        <f>IF($A801="","",[1]!thsiFinD("ths_adjustment_nv_fund",L$3,$A801))</f>
        <v/>
      </c>
      <c r="M801" s="13" t="str">
        <f>IF($A801="","",[1]!thsiFinD("ths_adjustment_nv_fund",M$3,$A801))</f>
        <v/>
      </c>
      <c r="N801" s="13" t="str">
        <f>IF($A801="","",[1]!thsiFinD("ths_adjustment_nv_fund",N$3,$A801))</f>
        <v/>
      </c>
      <c r="O801" s="13" t="str">
        <f>IF($A801="","",[1]!thsiFinD("ths_adjustment_nv_fund",O$3,$A801))</f>
        <v/>
      </c>
      <c r="P801" s="13" t="str">
        <f>IF($A801="","",[1]!thsiFinD("ths_adjustment_nv_fund",P$3,$A801))</f>
        <v/>
      </c>
      <c r="Q801" s="13" t="str">
        <f>IF($A801="","",[1]!thsiFinD("ths_adjustment_nv_fund",Q$3,$A801))</f>
        <v/>
      </c>
      <c r="R801" s="13" t="str">
        <f>IF($A801="","",[1]!thsiFinD("ths_adjustment_nv_fund",R$3,$A801))</f>
        <v/>
      </c>
      <c r="S801" s="13" t="str">
        <f>IF($A801="","",[1]!thsiFinD("ths_adjustment_nv_fund",S$3,$A801))</f>
        <v/>
      </c>
      <c r="T801" s="13" t="str">
        <f>IF($A801="","",[1]!thsiFinD("ths_adjustment_nv_fund",T$3,$A801))</f>
        <v/>
      </c>
      <c r="U801" s="13" t="str">
        <f>IF($A801="","",[1]!thsiFinD("ths_adjustment_nv_fund",U$3,$A801))</f>
        <v/>
      </c>
      <c r="V801" s="13" t="str">
        <f>IF($A801="","",[1]!thsiFinD("ths_adjustment_nv_fund",V$3,$A801))</f>
        <v/>
      </c>
      <c r="W801" s="13" t="str">
        <f>IF($A801="","",[1]!thsiFinD("ths_adjustment_nv_fund",W$3,$A801))</f>
        <v/>
      </c>
      <c r="X801" s="13" t="str">
        <f>IF($A801="","",[1]!thsiFinD("ths_adjustment_nv_fund",X$3,$A801))</f>
        <v/>
      </c>
      <c r="Y801" s="13" t="str">
        <f>IF($A801="","",[1]!thsiFinD("ths_adjustment_nv_fund",Y$3,$A801))</f>
        <v/>
      </c>
      <c r="Z801" s="13" t="str">
        <f>IF($A801="","",[1]!thsiFinD("ths_adjustment_nv_fund",Z$3,$A801))</f>
        <v/>
      </c>
      <c r="AA801" s="13" t="str">
        <f>IF($A801="","",[1]!thsiFinD("ths_adjustment_nv_fund",AA$3,$A801))</f>
        <v/>
      </c>
      <c r="AB801" s="13">
        <f>IF($A801="","",[1]!thsiFinD("ths_adjustment_nv_fund",AB$3,$A801))</f>
        <v/>
      </c>
      <c r="AC801" s="13">
        <f>IF($A801="","",[1]!thsiFinD("ths_adjustment_nv_fund",AC$3,$A801))</f>
        <v/>
      </c>
      <c r="AD801" s="13">
        <f>IF($A801="","",[1]!thsiFinD("ths_adjustment_nv_fund",AD$3,$A801))</f>
        <v/>
      </c>
      <c r="AE801" s="13">
        <f>IF($A801="","",[1]!thsiFinD("ths_adjustment_nv_fund",AE$3,$A801))</f>
        <v/>
      </c>
      <c r="AF801" s="13">
        <f>IF($A801="","",[1]!thsiFinD("ths_adjustment_nv_fund",AF$3,$A801))</f>
        <v/>
      </c>
      <c r="AG801" s="13">
        <f>IF($A801="","",[1]!thsiFinD("ths_adjustment_nv_fund",AG$3,$A801))</f>
        <v/>
      </c>
      <c r="AH801" s="13">
        <f>IF($A801="","",[1]!thsiFinD("ths_adjustment_nv_fund",AH$3,$A801))</f>
        <v/>
      </c>
      <c r="AI801" s="13">
        <f>IF($A801="","",[1]!thsiFinD("ths_adjustment_nv_fund",AI$3,$A801))</f>
        <v/>
      </c>
      <c r="AJ801" s="13">
        <f>IF($A801="","",[1]!thsiFinD("ths_adjustment_nv_fund",AJ$3,$A801))</f>
        <v/>
      </c>
      <c r="AK801" s="13">
        <f>IF($A801="","",[1]!thsiFinD("ths_adjustment_nv_fund",AK$3,$A801))</f>
        <v/>
      </c>
      <c r="AL801" s="13">
        <f>IF($A801="","",[1]!thsiFinD("ths_adjustment_nv_fund",AL$3,$A801))</f>
        <v/>
      </c>
    </row>
    <row r="802" spans="2:28">
      <c r="B802" s="13" t="str">
        <f>IF($A802="","",[1]!thsiFinD("ths_adjustment_nv_fund",B$3,$A802))</f>
        <v/>
      </c>
      <c r="C802" s="13" t="str">
        <f>IF($A802="","",[1]!thsiFinD("ths_adjustment_nv_fund",C$3,$A802))</f>
        <v/>
      </c>
      <c r="D802" s="13" t="str">
        <f>IF($A802="","",[1]!thsiFinD("ths_adjustment_nv_fund",D$3,$A802))</f>
        <v/>
      </c>
      <c r="E802" s="13" t="str">
        <f>IF($A802="","",[1]!thsiFinD("ths_adjustment_nv_fund",E$3,$A802))</f>
        <v/>
      </c>
      <c r="F802" s="13" t="str">
        <f>IF($A802="","",[1]!thsiFinD("ths_adjustment_nv_fund",F$3,$A802))</f>
        <v/>
      </c>
      <c r="G802" s="13" t="str">
        <f>IF($A802="","",[1]!thsiFinD("ths_adjustment_nv_fund",G$3,$A802))</f>
        <v/>
      </c>
      <c r="H802" s="13" t="str">
        <f>IF($A802="","",[1]!thsiFinD("ths_adjustment_nv_fund",H$3,$A802))</f>
        <v/>
      </c>
      <c r="I802" s="13" t="str">
        <f>IF($A802="","",[1]!thsiFinD("ths_adjustment_nv_fund",I$3,$A802))</f>
        <v/>
      </c>
      <c r="J802" s="13" t="str">
        <f>IF($A802="","",[1]!thsiFinD("ths_adjustment_nv_fund",J$3,$A802))</f>
        <v/>
      </c>
      <c r="K802" s="13" t="str">
        <f>IF($A802="","",[1]!thsiFinD("ths_adjustment_nv_fund",K$3,$A802))</f>
        <v/>
      </c>
      <c r="L802" s="13" t="str">
        <f>IF($A802="","",[1]!thsiFinD("ths_adjustment_nv_fund",L$3,$A802))</f>
        <v/>
      </c>
      <c r="M802" s="13" t="str">
        <f>IF($A802="","",[1]!thsiFinD("ths_adjustment_nv_fund",M$3,$A802))</f>
        <v/>
      </c>
      <c r="N802" s="13" t="str">
        <f>IF($A802="","",[1]!thsiFinD("ths_adjustment_nv_fund",N$3,$A802))</f>
        <v/>
      </c>
      <c r="O802" s="13" t="str">
        <f>IF($A802="","",[1]!thsiFinD("ths_adjustment_nv_fund",O$3,$A802))</f>
        <v/>
      </c>
      <c r="P802" s="13" t="str">
        <f>IF($A802="","",[1]!thsiFinD("ths_adjustment_nv_fund",P$3,$A802))</f>
        <v/>
      </c>
      <c r="Q802" s="13" t="str">
        <f>IF($A802="","",[1]!thsiFinD("ths_adjustment_nv_fund",Q$3,$A802))</f>
        <v/>
      </c>
      <c r="R802" s="13" t="str">
        <f>IF($A802="","",[1]!thsiFinD("ths_adjustment_nv_fund",R$3,$A802))</f>
        <v/>
      </c>
      <c r="S802" s="13" t="str">
        <f>IF($A802="","",[1]!thsiFinD("ths_adjustment_nv_fund",S$3,$A802))</f>
        <v/>
      </c>
      <c r="T802" s="13" t="str">
        <f>IF($A802="","",[1]!thsiFinD("ths_adjustment_nv_fund",T$3,$A802))</f>
        <v/>
      </c>
      <c r="U802" s="13" t="str">
        <f>IF($A802="","",[1]!thsiFinD("ths_adjustment_nv_fund",U$3,$A802))</f>
        <v/>
      </c>
      <c r="V802" s="13" t="str">
        <f>IF($A802="","",[1]!thsiFinD("ths_adjustment_nv_fund",V$3,$A802))</f>
        <v/>
      </c>
      <c r="W802" s="13" t="str">
        <f>IF($A802="","",[1]!thsiFinD("ths_adjustment_nv_fund",W$3,$A802))</f>
        <v/>
      </c>
      <c r="X802" s="13" t="str">
        <f>IF($A802="","",[1]!thsiFinD("ths_adjustment_nv_fund",X$3,$A802))</f>
        <v/>
      </c>
      <c r="Y802" s="13" t="str">
        <f>IF($A802="","",[1]!thsiFinD("ths_adjustment_nv_fund",Y$3,$A802))</f>
        <v/>
      </c>
      <c r="Z802" s="13" t="str">
        <f>IF($A802="","",[1]!thsiFinD("ths_adjustment_nv_fund",Z$3,$A802))</f>
        <v/>
      </c>
      <c r="AA802" s="13" t="str">
        <f>IF($A802="","",[1]!thsiFinD("ths_adjustment_nv_fund",AA$3,$A802))</f>
        <v/>
      </c>
      <c r="AB802" s="13">
        <f>IF($A802="","",[1]!thsiFinD("ths_adjustment_nv_fund",AB$3,$A802))</f>
        <v/>
      </c>
      <c r="AC802" s="13">
        <f>IF($A802="","",[1]!thsiFinD("ths_adjustment_nv_fund",AC$3,$A802))</f>
        <v/>
      </c>
      <c r="AD802" s="13">
        <f>IF($A802="","",[1]!thsiFinD("ths_adjustment_nv_fund",AD$3,$A802))</f>
        <v/>
      </c>
      <c r="AE802" s="13">
        <f>IF($A802="","",[1]!thsiFinD("ths_adjustment_nv_fund",AE$3,$A802))</f>
        <v/>
      </c>
      <c r="AF802" s="13">
        <f>IF($A802="","",[1]!thsiFinD("ths_adjustment_nv_fund",AF$3,$A802))</f>
        <v/>
      </c>
      <c r="AG802" s="13">
        <f>IF($A802="","",[1]!thsiFinD("ths_adjustment_nv_fund",AG$3,$A802))</f>
        <v/>
      </c>
      <c r="AH802" s="13">
        <f>IF($A802="","",[1]!thsiFinD("ths_adjustment_nv_fund",AH$3,$A802))</f>
        <v/>
      </c>
      <c r="AI802" s="13">
        <f>IF($A802="","",[1]!thsiFinD("ths_adjustment_nv_fund",AI$3,$A802))</f>
        <v/>
      </c>
      <c r="AJ802" s="13">
        <f>IF($A802="","",[1]!thsiFinD("ths_adjustment_nv_fund",AJ$3,$A802))</f>
        <v/>
      </c>
      <c r="AK802" s="13">
        <f>IF($A802="","",[1]!thsiFinD("ths_adjustment_nv_fund",AK$3,$A802))</f>
        <v/>
      </c>
      <c r="AL802" s="13">
        <f>IF($A802="","",[1]!thsiFinD("ths_adjustment_nv_fund",AL$3,$A802))</f>
        <v/>
      </c>
    </row>
    <row r="803" spans="2:28">
      <c r="B803" s="13" t="str">
        <f>IF($A803="","",[1]!thsiFinD("ths_adjustment_nv_fund",B$3,$A803))</f>
        <v/>
      </c>
      <c r="C803" s="13" t="str">
        <f>IF($A803="","",[1]!thsiFinD("ths_adjustment_nv_fund",C$3,$A803))</f>
        <v/>
      </c>
      <c r="D803" s="13" t="str">
        <f>IF($A803="","",[1]!thsiFinD("ths_adjustment_nv_fund",D$3,$A803))</f>
        <v/>
      </c>
      <c r="E803" s="13" t="str">
        <f>IF($A803="","",[1]!thsiFinD("ths_adjustment_nv_fund",E$3,$A803))</f>
        <v/>
      </c>
      <c r="F803" s="13" t="str">
        <f>IF($A803="","",[1]!thsiFinD("ths_adjustment_nv_fund",F$3,$A803))</f>
        <v/>
      </c>
      <c r="G803" s="13" t="str">
        <f>IF($A803="","",[1]!thsiFinD("ths_adjustment_nv_fund",G$3,$A803))</f>
        <v/>
      </c>
      <c r="H803" s="13" t="str">
        <f>IF($A803="","",[1]!thsiFinD("ths_adjustment_nv_fund",H$3,$A803))</f>
        <v/>
      </c>
      <c r="I803" s="13" t="str">
        <f>IF($A803="","",[1]!thsiFinD("ths_adjustment_nv_fund",I$3,$A803))</f>
        <v/>
      </c>
      <c r="J803" s="13" t="str">
        <f>IF($A803="","",[1]!thsiFinD("ths_adjustment_nv_fund",J$3,$A803))</f>
        <v/>
      </c>
      <c r="K803" s="13" t="str">
        <f>IF($A803="","",[1]!thsiFinD("ths_adjustment_nv_fund",K$3,$A803))</f>
        <v/>
      </c>
      <c r="L803" s="13" t="str">
        <f>IF($A803="","",[1]!thsiFinD("ths_adjustment_nv_fund",L$3,$A803))</f>
        <v/>
      </c>
      <c r="M803" s="13" t="str">
        <f>IF($A803="","",[1]!thsiFinD("ths_adjustment_nv_fund",M$3,$A803))</f>
        <v/>
      </c>
      <c r="N803" s="13" t="str">
        <f>IF($A803="","",[1]!thsiFinD("ths_adjustment_nv_fund",N$3,$A803))</f>
        <v/>
      </c>
      <c r="O803" s="13" t="str">
        <f>IF($A803="","",[1]!thsiFinD("ths_adjustment_nv_fund",O$3,$A803))</f>
        <v/>
      </c>
      <c r="P803" s="13" t="str">
        <f>IF($A803="","",[1]!thsiFinD("ths_adjustment_nv_fund",P$3,$A803))</f>
        <v/>
      </c>
      <c r="Q803" s="13" t="str">
        <f>IF($A803="","",[1]!thsiFinD("ths_adjustment_nv_fund",Q$3,$A803))</f>
        <v/>
      </c>
      <c r="R803" s="13" t="str">
        <f>IF($A803="","",[1]!thsiFinD("ths_adjustment_nv_fund",R$3,$A803))</f>
        <v/>
      </c>
      <c r="S803" s="13" t="str">
        <f>IF($A803="","",[1]!thsiFinD("ths_adjustment_nv_fund",S$3,$A803))</f>
        <v/>
      </c>
      <c r="T803" s="13" t="str">
        <f>IF($A803="","",[1]!thsiFinD("ths_adjustment_nv_fund",T$3,$A803))</f>
        <v/>
      </c>
      <c r="U803" s="13" t="str">
        <f>IF($A803="","",[1]!thsiFinD("ths_adjustment_nv_fund",U$3,$A803))</f>
        <v/>
      </c>
      <c r="V803" s="13" t="str">
        <f>IF($A803="","",[1]!thsiFinD("ths_adjustment_nv_fund",V$3,$A803))</f>
        <v/>
      </c>
      <c r="W803" s="13" t="str">
        <f>IF($A803="","",[1]!thsiFinD("ths_adjustment_nv_fund",W$3,$A803))</f>
        <v/>
      </c>
      <c r="X803" s="13" t="str">
        <f>IF($A803="","",[1]!thsiFinD("ths_adjustment_nv_fund",X$3,$A803))</f>
        <v/>
      </c>
      <c r="Y803" s="13" t="str">
        <f>IF($A803="","",[1]!thsiFinD("ths_adjustment_nv_fund",Y$3,$A803))</f>
        <v/>
      </c>
      <c r="Z803" s="13" t="str">
        <f>IF($A803="","",[1]!thsiFinD("ths_adjustment_nv_fund",Z$3,$A803))</f>
        <v/>
      </c>
      <c r="AA803" s="13" t="str">
        <f>IF($A803="","",[1]!thsiFinD("ths_adjustment_nv_fund",AA$3,$A803))</f>
        <v/>
      </c>
      <c r="AB803" s="13">
        <f>IF($A803="","",[1]!thsiFinD("ths_adjustment_nv_fund",AB$3,$A803))</f>
        <v/>
      </c>
      <c r="AC803" s="13">
        <f>IF($A803="","",[1]!thsiFinD("ths_adjustment_nv_fund",AC$3,$A803))</f>
        <v/>
      </c>
      <c r="AD803" s="13">
        <f>IF($A803="","",[1]!thsiFinD("ths_adjustment_nv_fund",AD$3,$A803))</f>
        <v/>
      </c>
      <c r="AE803" s="13">
        <f>IF($A803="","",[1]!thsiFinD("ths_adjustment_nv_fund",AE$3,$A803))</f>
        <v/>
      </c>
      <c r="AF803" s="13">
        <f>IF($A803="","",[1]!thsiFinD("ths_adjustment_nv_fund",AF$3,$A803))</f>
        <v/>
      </c>
      <c r="AG803" s="13">
        <f>IF($A803="","",[1]!thsiFinD("ths_adjustment_nv_fund",AG$3,$A803))</f>
        <v/>
      </c>
      <c r="AH803" s="13">
        <f>IF($A803="","",[1]!thsiFinD("ths_adjustment_nv_fund",AH$3,$A803))</f>
        <v/>
      </c>
      <c r="AI803" s="13">
        <f>IF($A803="","",[1]!thsiFinD("ths_adjustment_nv_fund",AI$3,$A803))</f>
        <v/>
      </c>
      <c r="AJ803" s="13">
        <f>IF($A803="","",[1]!thsiFinD("ths_adjustment_nv_fund",AJ$3,$A803))</f>
        <v/>
      </c>
      <c r="AK803" s="13">
        <f>IF($A803="","",[1]!thsiFinD("ths_adjustment_nv_fund",AK$3,$A803))</f>
        <v/>
      </c>
      <c r="AL803" s="13">
        <f>IF($A803="","",[1]!thsiFinD("ths_adjustment_nv_fund",AL$3,$A803))</f>
        <v/>
      </c>
    </row>
    <row r="804" spans="2:28">
      <c r="B804" s="13" t="str">
        <f>IF($A804="","",[1]!thsiFinD("ths_adjustment_nv_fund",B$3,$A804))</f>
        <v/>
      </c>
      <c r="C804" s="13" t="str">
        <f>IF($A804="","",[1]!thsiFinD("ths_adjustment_nv_fund",C$3,$A804))</f>
        <v/>
      </c>
      <c r="D804" s="13" t="str">
        <f>IF($A804="","",[1]!thsiFinD("ths_adjustment_nv_fund",D$3,$A804))</f>
        <v/>
      </c>
      <c r="E804" s="13" t="str">
        <f>IF($A804="","",[1]!thsiFinD("ths_adjustment_nv_fund",E$3,$A804))</f>
        <v/>
      </c>
      <c r="F804" s="13" t="str">
        <f>IF($A804="","",[1]!thsiFinD("ths_adjustment_nv_fund",F$3,$A804))</f>
        <v/>
      </c>
      <c r="G804" s="13" t="str">
        <f>IF($A804="","",[1]!thsiFinD("ths_adjustment_nv_fund",G$3,$A804))</f>
        <v/>
      </c>
      <c r="H804" s="13" t="str">
        <f>IF($A804="","",[1]!thsiFinD("ths_adjustment_nv_fund",H$3,$A804))</f>
        <v/>
      </c>
      <c r="I804" s="13" t="str">
        <f>IF($A804="","",[1]!thsiFinD("ths_adjustment_nv_fund",I$3,$A804))</f>
        <v/>
      </c>
      <c r="J804" s="13" t="str">
        <f>IF($A804="","",[1]!thsiFinD("ths_adjustment_nv_fund",J$3,$A804))</f>
        <v/>
      </c>
      <c r="K804" s="13" t="str">
        <f>IF($A804="","",[1]!thsiFinD("ths_adjustment_nv_fund",K$3,$A804))</f>
        <v/>
      </c>
      <c r="L804" s="13" t="str">
        <f>IF($A804="","",[1]!thsiFinD("ths_adjustment_nv_fund",L$3,$A804))</f>
        <v/>
      </c>
      <c r="M804" s="13" t="str">
        <f>IF($A804="","",[1]!thsiFinD("ths_adjustment_nv_fund",M$3,$A804))</f>
        <v/>
      </c>
      <c r="N804" s="13" t="str">
        <f>IF($A804="","",[1]!thsiFinD("ths_adjustment_nv_fund",N$3,$A804))</f>
        <v/>
      </c>
      <c r="O804" s="13" t="str">
        <f>IF($A804="","",[1]!thsiFinD("ths_adjustment_nv_fund",O$3,$A804))</f>
        <v/>
      </c>
      <c r="P804" s="13" t="str">
        <f>IF($A804="","",[1]!thsiFinD("ths_adjustment_nv_fund",P$3,$A804))</f>
        <v/>
      </c>
      <c r="Q804" s="13" t="str">
        <f>IF($A804="","",[1]!thsiFinD("ths_adjustment_nv_fund",Q$3,$A804))</f>
        <v/>
      </c>
      <c r="R804" s="13" t="str">
        <f>IF($A804="","",[1]!thsiFinD("ths_adjustment_nv_fund",R$3,$A804))</f>
        <v/>
      </c>
      <c r="S804" s="13" t="str">
        <f>IF($A804="","",[1]!thsiFinD("ths_adjustment_nv_fund",S$3,$A804))</f>
        <v/>
      </c>
      <c r="T804" s="13" t="str">
        <f>IF($A804="","",[1]!thsiFinD("ths_adjustment_nv_fund",T$3,$A804))</f>
        <v/>
      </c>
      <c r="U804" s="13" t="str">
        <f>IF($A804="","",[1]!thsiFinD("ths_adjustment_nv_fund",U$3,$A804))</f>
        <v/>
      </c>
      <c r="V804" s="13" t="str">
        <f>IF($A804="","",[1]!thsiFinD("ths_adjustment_nv_fund",V$3,$A804))</f>
        <v/>
      </c>
      <c r="W804" s="13" t="str">
        <f>IF($A804="","",[1]!thsiFinD("ths_adjustment_nv_fund",W$3,$A804))</f>
        <v/>
      </c>
      <c r="X804" s="13" t="str">
        <f>IF($A804="","",[1]!thsiFinD("ths_adjustment_nv_fund",X$3,$A804))</f>
        <v/>
      </c>
      <c r="Y804" s="13" t="str">
        <f>IF($A804="","",[1]!thsiFinD("ths_adjustment_nv_fund",Y$3,$A804))</f>
        <v/>
      </c>
      <c r="Z804" s="13" t="str">
        <f>IF($A804="","",[1]!thsiFinD("ths_adjustment_nv_fund",Z$3,$A804))</f>
        <v/>
      </c>
      <c r="AA804" s="13" t="str">
        <f>IF($A804="","",[1]!thsiFinD("ths_adjustment_nv_fund",AA$3,$A804))</f>
        <v/>
      </c>
      <c r="AB804" s="13">
        <f>IF($A804="","",[1]!thsiFinD("ths_adjustment_nv_fund",AB$3,$A804))</f>
        <v/>
      </c>
      <c r="AC804" s="13">
        <f>IF($A804="","",[1]!thsiFinD("ths_adjustment_nv_fund",AC$3,$A804))</f>
        <v/>
      </c>
      <c r="AD804" s="13">
        <f>IF($A804="","",[1]!thsiFinD("ths_adjustment_nv_fund",AD$3,$A804))</f>
        <v/>
      </c>
      <c r="AE804" s="13">
        <f>IF($A804="","",[1]!thsiFinD("ths_adjustment_nv_fund",AE$3,$A804))</f>
        <v/>
      </c>
      <c r="AF804" s="13">
        <f>IF($A804="","",[1]!thsiFinD("ths_adjustment_nv_fund",AF$3,$A804))</f>
        <v/>
      </c>
      <c r="AG804" s="13">
        <f>IF($A804="","",[1]!thsiFinD("ths_adjustment_nv_fund",AG$3,$A804))</f>
        <v/>
      </c>
      <c r="AH804" s="13">
        <f>IF($A804="","",[1]!thsiFinD("ths_adjustment_nv_fund",AH$3,$A804))</f>
        <v/>
      </c>
      <c r="AI804" s="13">
        <f>IF($A804="","",[1]!thsiFinD("ths_adjustment_nv_fund",AI$3,$A804))</f>
        <v/>
      </c>
      <c r="AJ804" s="13">
        <f>IF($A804="","",[1]!thsiFinD("ths_adjustment_nv_fund",AJ$3,$A804))</f>
        <v/>
      </c>
      <c r="AK804" s="13">
        <f>IF($A804="","",[1]!thsiFinD("ths_adjustment_nv_fund",AK$3,$A804))</f>
        <v/>
      </c>
      <c r="AL804" s="13">
        <f>IF($A804="","",[1]!thsiFinD("ths_adjustment_nv_fund",AL$3,$A804))</f>
        <v/>
      </c>
    </row>
    <row r="805" spans="2:28">
      <c r="B805" s="13" t="str">
        <f>IF($A805="","",[1]!thsiFinD("ths_adjustment_nv_fund",B$3,$A805))</f>
        <v/>
      </c>
      <c r="C805" s="13" t="str">
        <f>IF($A805="","",[1]!thsiFinD("ths_adjustment_nv_fund",C$3,$A805))</f>
        <v/>
      </c>
      <c r="D805" s="13" t="str">
        <f>IF($A805="","",[1]!thsiFinD("ths_adjustment_nv_fund",D$3,$A805))</f>
        <v/>
      </c>
      <c r="E805" s="13" t="str">
        <f>IF($A805="","",[1]!thsiFinD("ths_adjustment_nv_fund",E$3,$A805))</f>
        <v/>
      </c>
      <c r="F805" s="13" t="str">
        <f>IF($A805="","",[1]!thsiFinD("ths_adjustment_nv_fund",F$3,$A805))</f>
        <v/>
      </c>
      <c r="G805" s="13" t="str">
        <f>IF($A805="","",[1]!thsiFinD("ths_adjustment_nv_fund",G$3,$A805))</f>
        <v/>
      </c>
      <c r="H805" s="13" t="str">
        <f>IF($A805="","",[1]!thsiFinD("ths_adjustment_nv_fund",H$3,$A805))</f>
        <v/>
      </c>
      <c r="I805" s="13" t="str">
        <f>IF($A805="","",[1]!thsiFinD("ths_adjustment_nv_fund",I$3,$A805))</f>
        <v/>
      </c>
      <c r="J805" s="13" t="str">
        <f>IF($A805="","",[1]!thsiFinD("ths_adjustment_nv_fund",J$3,$A805))</f>
        <v/>
      </c>
      <c r="K805" s="13" t="str">
        <f>IF($A805="","",[1]!thsiFinD("ths_adjustment_nv_fund",K$3,$A805))</f>
        <v/>
      </c>
      <c r="L805" s="13" t="str">
        <f>IF($A805="","",[1]!thsiFinD("ths_adjustment_nv_fund",L$3,$A805))</f>
        <v/>
      </c>
      <c r="M805" s="13" t="str">
        <f>IF($A805="","",[1]!thsiFinD("ths_adjustment_nv_fund",M$3,$A805))</f>
        <v/>
      </c>
      <c r="N805" s="13" t="str">
        <f>IF($A805="","",[1]!thsiFinD("ths_adjustment_nv_fund",N$3,$A805))</f>
        <v/>
      </c>
      <c r="O805" s="13" t="str">
        <f>IF($A805="","",[1]!thsiFinD("ths_adjustment_nv_fund",O$3,$A805))</f>
        <v/>
      </c>
      <c r="P805" s="13" t="str">
        <f>IF($A805="","",[1]!thsiFinD("ths_adjustment_nv_fund",P$3,$A805))</f>
        <v/>
      </c>
      <c r="Q805" s="13" t="str">
        <f>IF($A805="","",[1]!thsiFinD("ths_adjustment_nv_fund",Q$3,$A805))</f>
        <v/>
      </c>
      <c r="R805" s="13" t="str">
        <f>IF($A805="","",[1]!thsiFinD("ths_adjustment_nv_fund",R$3,$A805))</f>
        <v/>
      </c>
      <c r="S805" s="13" t="str">
        <f>IF($A805="","",[1]!thsiFinD("ths_adjustment_nv_fund",S$3,$A805))</f>
        <v/>
      </c>
      <c r="T805" s="13" t="str">
        <f>IF($A805="","",[1]!thsiFinD("ths_adjustment_nv_fund",T$3,$A805))</f>
        <v/>
      </c>
      <c r="U805" s="13" t="str">
        <f>IF($A805="","",[1]!thsiFinD("ths_adjustment_nv_fund",U$3,$A805))</f>
        <v/>
      </c>
      <c r="V805" s="13" t="str">
        <f>IF($A805="","",[1]!thsiFinD("ths_adjustment_nv_fund",V$3,$A805))</f>
        <v/>
      </c>
      <c r="W805" s="13" t="str">
        <f>IF($A805="","",[1]!thsiFinD("ths_adjustment_nv_fund",W$3,$A805))</f>
        <v/>
      </c>
      <c r="X805" s="13" t="str">
        <f>IF($A805="","",[1]!thsiFinD("ths_adjustment_nv_fund",X$3,$A805))</f>
        <v/>
      </c>
      <c r="Y805" s="13" t="str">
        <f>IF($A805="","",[1]!thsiFinD("ths_adjustment_nv_fund",Y$3,$A805))</f>
        <v/>
      </c>
      <c r="Z805" s="13" t="str">
        <f>IF($A805="","",[1]!thsiFinD("ths_adjustment_nv_fund",Z$3,$A805))</f>
        <v/>
      </c>
      <c r="AA805" s="13" t="str">
        <f>IF($A805="","",[1]!thsiFinD("ths_adjustment_nv_fund",AA$3,$A805))</f>
        <v/>
      </c>
      <c r="AB805" s="13">
        <f>IF($A805="","",[1]!thsiFinD("ths_adjustment_nv_fund",AB$3,$A805))</f>
        <v/>
      </c>
      <c r="AC805" s="13">
        <f>IF($A805="","",[1]!thsiFinD("ths_adjustment_nv_fund",AC$3,$A805))</f>
        <v/>
      </c>
      <c r="AD805" s="13">
        <f>IF($A805="","",[1]!thsiFinD("ths_adjustment_nv_fund",AD$3,$A805))</f>
        <v/>
      </c>
      <c r="AE805" s="13">
        <f>IF($A805="","",[1]!thsiFinD("ths_adjustment_nv_fund",AE$3,$A805))</f>
        <v/>
      </c>
      <c r="AF805" s="13">
        <f>IF($A805="","",[1]!thsiFinD("ths_adjustment_nv_fund",AF$3,$A805))</f>
        <v/>
      </c>
      <c r="AG805" s="13">
        <f>IF($A805="","",[1]!thsiFinD("ths_adjustment_nv_fund",AG$3,$A805))</f>
        <v/>
      </c>
      <c r="AH805" s="13">
        <f>IF($A805="","",[1]!thsiFinD("ths_adjustment_nv_fund",AH$3,$A805))</f>
        <v/>
      </c>
      <c r="AI805" s="13">
        <f>IF($A805="","",[1]!thsiFinD("ths_adjustment_nv_fund",AI$3,$A805))</f>
        <v/>
      </c>
      <c r="AJ805" s="13">
        <f>IF($A805="","",[1]!thsiFinD("ths_adjustment_nv_fund",AJ$3,$A805))</f>
        <v/>
      </c>
      <c r="AK805" s="13">
        <f>IF($A805="","",[1]!thsiFinD("ths_adjustment_nv_fund",AK$3,$A805))</f>
        <v/>
      </c>
      <c r="AL805" s="13">
        <f>IF($A805="","",[1]!thsiFinD("ths_adjustment_nv_fund",AL$3,$A805))</f>
        <v/>
      </c>
    </row>
    <row r="806" spans="2:28">
      <c r="B806" s="13" t="str">
        <f>IF($A806="","",[1]!thsiFinD("ths_adjustment_nv_fund",B$3,$A806))</f>
        <v/>
      </c>
      <c r="C806" s="13" t="str">
        <f>IF($A806="","",[1]!thsiFinD("ths_adjustment_nv_fund",C$3,$A806))</f>
        <v/>
      </c>
      <c r="D806" s="13" t="str">
        <f>IF($A806="","",[1]!thsiFinD("ths_adjustment_nv_fund",D$3,$A806))</f>
        <v/>
      </c>
      <c r="E806" s="13" t="str">
        <f>IF($A806="","",[1]!thsiFinD("ths_adjustment_nv_fund",E$3,$A806))</f>
        <v/>
      </c>
      <c r="F806" s="13" t="str">
        <f>IF($A806="","",[1]!thsiFinD("ths_adjustment_nv_fund",F$3,$A806))</f>
        <v/>
      </c>
      <c r="G806" s="13" t="str">
        <f>IF($A806="","",[1]!thsiFinD("ths_adjustment_nv_fund",G$3,$A806))</f>
        <v/>
      </c>
      <c r="H806" s="13" t="str">
        <f>IF($A806="","",[1]!thsiFinD("ths_adjustment_nv_fund",H$3,$A806))</f>
        <v/>
      </c>
      <c r="I806" s="13" t="str">
        <f>IF($A806="","",[1]!thsiFinD("ths_adjustment_nv_fund",I$3,$A806))</f>
        <v/>
      </c>
      <c r="J806" s="13" t="str">
        <f>IF($A806="","",[1]!thsiFinD("ths_adjustment_nv_fund",J$3,$A806))</f>
        <v/>
      </c>
      <c r="K806" s="13" t="str">
        <f>IF($A806="","",[1]!thsiFinD("ths_adjustment_nv_fund",K$3,$A806))</f>
        <v/>
      </c>
      <c r="L806" s="13" t="str">
        <f>IF($A806="","",[1]!thsiFinD("ths_adjustment_nv_fund",L$3,$A806))</f>
        <v/>
      </c>
      <c r="M806" s="13" t="str">
        <f>IF($A806="","",[1]!thsiFinD("ths_adjustment_nv_fund",M$3,$A806))</f>
        <v/>
      </c>
      <c r="N806" s="13" t="str">
        <f>IF($A806="","",[1]!thsiFinD("ths_adjustment_nv_fund",N$3,$A806))</f>
        <v/>
      </c>
      <c r="O806" s="13" t="str">
        <f>IF($A806="","",[1]!thsiFinD("ths_adjustment_nv_fund",O$3,$A806))</f>
        <v/>
      </c>
      <c r="P806" s="13" t="str">
        <f>IF($A806="","",[1]!thsiFinD("ths_adjustment_nv_fund",P$3,$A806))</f>
        <v/>
      </c>
      <c r="Q806" s="13" t="str">
        <f>IF($A806="","",[1]!thsiFinD("ths_adjustment_nv_fund",Q$3,$A806))</f>
        <v/>
      </c>
      <c r="R806" s="13" t="str">
        <f>IF($A806="","",[1]!thsiFinD("ths_adjustment_nv_fund",R$3,$A806))</f>
        <v/>
      </c>
      <c r="S806" s="13" t="str">
        <f>IF($A806="","",[1]!thsiFinD("ths_adjustment_nv_fund",S$3,$A806))</f>
        <v/>
      </c>
      <c r="T806" s="13" t="str">
        <f>IF($A806="","",[1]!thsiFinD("ths_adjustment_nv_fund",T$3,$A806))</f>
        <v/>
      </c>
      <c r="U806" s="13" t="str">
        <f>IF($A806="","",[1]!thsiFinD("ths_adjustment_nv_fund",U$3,$A806))</f>
        <v/>
      </c>
      <c r="V806" s="13" t="str">
        <f>IF($A806="","",[1]!thsiFinD("ths_adjustment_nv_fund",V$3,$A806))</f>
        <v/>
      </c>
      <c r="W806" s="13" t="str">
        <f>IF($A806="","",[1]!thsiFinD("ths_adjustment_nv_fund",W$3,$A806))</f>
        <v/>
      </c>
      <c r="X806" s="13" t="str">
        <f>IF($A806="","",[1]!thsiFinD("ths_adjustment_nv_fund",X$3,$A806))</f>
        <v/>
      </c>
      <c r="Y806" s="13" t="str">
        <f>IF($A806="","",[1]!thsiFinD("ths_adjustment_nv_fund",Y$3,$A806))</f>
        <v/>
      </c>
      <c r="Z806" s="13" t="str">
        <f>IF($A806="","",[1]!thsiFinD("ths_adjustment_nv_fund",Z$3,$A806))</f>
        <v/>
      </c>
      <c r="AA806" s="13" t="str">
        <f>IF($A806="","",[1]!thsiFinD("ths_adjustment_nv_fund",AA$3,$A806))</f>
        <v/>
      </c>
      <c r="AB806" s="13">
        <f>IF($A806="","",[1]!thsiFinD("ths_adjustment_nv_fund",AB$3,$A806))</f>
        <v/>
      </c>
      <c r="AC806" s="13">
        <f>IF($A806="","",[1]!thsiFinD("ths_adjustment_nv_fund",AC$3,$A806))</f>
        <v/>
      </c>
      <c r="AD806" s="13">
        <f>IF($A806="","",[1]!thsiFinD("ths_adjustment_nv_fund",AD$3,$A806))</f>
        <v/>
      </c>
      <c r="AE806" s="13">
        <f>IF($A806="","",[1]!thsiFinD("ths_adjustment_nv_fund",AE$3,$A806))</f>
        <v/>
      </c>
      <c r="AF806" s="13">
        <f>IF($A806="","",[1]!thsiFinD("ths_adjustment_nv_fund",AF$3,$A806))</f>
        <v/>
      </c>
      <c r="AG806" s="13">
        <f>IF($A806="","",[1]!thsiFinD("ths_adjustment_nv_fund",AG$3,$A806))</f>
        <v/>
      </c>
      <c r="AH806" s="13">
        <f>IF($A806="","",[1]!thsiFinD("ths_adjustment_nv_fund",AH$3,$A806))</f>
        <v/>
      </c>
      <c r="AI806" s="13">
        <f>IF($A806="","",[1]!thsiFinD("ths_adjustment_nv_fund",AI$3,$A806))</f>
        <v/>
      </c>
      <c r="AJ806" s="13">
        <f>IF($A806="","",[1]!thsiFinD("ths_adjustment_nv_fund",AJ$3,$A806))</f>
        <v/>
      </c>
      <c r="AK806" s="13">
        <f>IF($A806="","",[1]!thsiFinD("ths_adjustment_nv_fund",AK$3,$A806))</f>
        <v/>
      </c>
      <c r="AL806" s="13">
        <f>IF($A806="","",[1]!thsiFinD("ths_adjustment_nv_fund",AL$3,$A806))</f>
        <v/>
      </c>
    </row>
    <row r="807" spans="2:28">
      <c r="B807" s="13" t="str">
        <f>IF($A807="","",[1]!thsiFinD("ths_adjustment_nv_fund",B$3,$A807))</f>
        <v/>
      </c>
      <c r="C807" s="13" t="str">
        <f>IF($A807="","",[1]!thsiFinD("ths_adjustment_nv_fund",C$3,$A807))</f>
        <v/>
      </c>
      <c r="D807" s="13" t="str">
        <f>IF($A807="","",[1]!thsiFinD("ths_adjustment_nv_fund",D$3,$A807))</f>
        <v/>
      </c>
      <c r="E807" s="13" t="str">
        <f>IF($A807="","",[1]!thsiFinD("ths_adjustment_nv_fund",E$3,$A807))</f>
        <v/>
      </c>
      <c r="F807" s="13" t="str">
        <f>IF($A807="","",[1]!thsiFinD("ths_adjustment_nv_fund",F$3,$A807))</f>
        <v/>
      </c>
      <c r="G807" s="13" t="str">
        <f>IF($A807="","",[1]!thsiFinD("ths_adjustment_nv_fund",G$3,$A807))</f>
        <v/>
      </c>
      <c r="H807" s="13" t="str">
        <f>IF($A807="","",[1]!thsiFinD("ths_adjustment_nv_fund",H$3,$A807))</f>
        <v/>
      </c>
      <c r="I807" s="13" t="str">
        <f>IF($A807="","",[1]!thsiFinD("ths_adjustment_nv_fund",I$3,$A807))</f>
        <v/>
      </c>
      <c r="J807" s="13" t="str">
        <f>IF($A807="","",[1]!thsiFinD("ths_adjustment_nv_fund",J$3,$A807))</f>
        <v/>
      </c>
      <c r="K807" s="13" t="str">
        <f>IF($A807="","",[1]!thsiFinD("ths_adjustment_nv_fund",K$3,$A807))</f>
        <v/>
      </c>
      <c r="L807" s="13" t="str">
        <f>IF($A807="","",[1]!thsiFinD("ths_adjustment_nv_fund",L$3,$A807))</f>
        <v/>
      </c>
      <c r="M807" s="13" t="str">
        <f>IF($A807="","",[1]!thsiFinD("ths_adjustment_nv_fund",M$3,$A807))</f>
        <v/>
      </c>
      <c r="N807" s="13" t="str">
        <f>IF($A807="","",[1]!thsiFinD("ths_adjustment_nv_fund",N$3,$A807))</f>
        <v/>
      </c>
      <c r="O807" s="13" t="str">
        <f>IF($A807="","",[1]!thsiFinD("ths_adjustment_nv_fund",O$3,$A807))</f>
        <v/>
      </c>
      <c r="P807" s="13" t="str">
        <f>IF($A807="","",[1]!thsiFinD("ths_adjustment_nv_fund",P$3,$A807))</f>
        <v/>
      </c>
      <c r="Q807" s="13" t="str">
        <f>IF($A807="","",[1]!thsiFinD("ths_adjustment_nv_fund",Q$3,$A807))</f>
        <v/>
      </c>
      <c r="R807" s="13" t="str">
        <f>IF($A807="","",[1]!thsiFinD("ths_adjustment_nv_fund",R$3,$A807))</f>
        <v/>
      </c>
      <c r="S807" s="13" t="str">
        <f>IF($A807="","",[1]!thsiFinD("ths_adjustment_nv_fund",S$3,$A807))</f>
        <v/>
      </c>
      <c r="T807" s="13" t="str">
        <f>IF($A807="","",[1]!thsiFinD("ths_adjustment_nv_fund",T$3,$A807))</f>
        <v/>
      </c>
      <c r="U807" s="13" t="str">
        <f>IF($A807="","",[1]!thsiFinD("ths_adjustment_nv_fund",U$3,$A807))</f>
        <v/>
      </c>
      <c r="V807" s="13" t="str">
        <f>IF($A807="","",[1]!thsiFinD("ths_adjustment_nv_fund",V$3,$A807))</f>
        <v/>
      </c>
      <c r="W807" s="13" t="str">
        <f>IF($A807="","",[1]!thsiFinD("ths_adjustment_nv_fund",W$3,$A807))</f>
        <v/>
      </c>
      <c r="X807" s="13" t="str">
        <f>IF($A807="","",[1]!thsiFinD("ths_adjustment_nv_fund",X$3,$A807))</f>
        <v/>
      </c>
      <c r="Y807" s="13" t="str">
        <f>IF($A807="","",[1]!thsiFinD("ths_adjustment_nv_fund",Y$3,$A807))</f>
        <v/>
      </c>
      <c r="Z807" s="13" t="str">
        <f>IF($A807="","",[1]!thsiFinD("ths_adjustment_nv_fund",Z$3,$A807))</f>
        <v/>
      </c>
      <c r="AA807" s="13" t="str">
        <f>IF($A807="","",[1]!thsiFinD("ths_adjustment_nv_fund",AA$3,$A807))</f>
        <v/>
      </c>
      <c r="AB807" s="13">
        <f>IF($A807="","",[1]!thsiFinD("ths_adjustment_nv_fund",AB$3,$A807))</f>
        <v/>
      </c>
      <c r="AC807" s="13">
        <f>IF($A807="","",[1]!thsiFinD("ths_adjustment_nv_fund",AC$3,$A807))</f>
        <v/>
      </c>
      <c r="AD807" s="13">
        <f>IF($A807="","",[1]!thsiFinD("ths_adjustment_nv_fund",AD$3,$A807))</f>
        <v/>
      </c>
      <c r="AE807" s="13">
        <f>IF($A807="","",[1]!thsiFinD("ths_adjustment_nv_fund",AE$3,$A807))</f>
        <v/>
      </c>
      <c r="AF807" s="13">
        <f>IF($A807="","",[1]!thsiFinD("ths_adjustment_nv_fund",AF$3,$A807))</f>
        <v/>
      </c>
      <c r="AG807" s="13">
        <f>IF($A807="","",[1]!thsiFinD("ths_adjustment_nv_fund",AG$3,$A807))</f>
        <v/>
      </c>
      <c r="AH807" s="13">
        <f>IF($A807="","",[1]!thsiFinD("ths_adjustment_nv_fund",AH$3,$A807))</f>
        <v/>
      </c>
      <c r="AI807" s="13">
        <f>IF($A807="","",[1]!thsiFinD("ths_adjustment_nv_fund",AI$3,$A807))</f>
        <v/>
      </c>
      <c r="AJ807" s="13">
        <f>IF($A807="","",[1]!thsiFinD("ths_adjustment_nv_fund",AJ$3,$A807))</f>
        <v/>
      </c>
      <c r="AK807" s="13">
        <f>IF($A807="","",[1]!thsiFinD("ths_adjustment_nv_fund",AK$3,$A807))</f>
        <v/>
      </c>
      <c r="AL807" s="13">
        <f>IF($A807="","",[1]!thsiFinD("ths_adjustment_nv_fund",AL$3,$A807))</f>
        <v/>
      </c>
    </row>
    <row r="808" spans="2:28">
      <c r="B808" s="13" t="str">
        <f>IF($A808="","",[1]!thsiFinD("ths_adjustment_nv_fund",B$3,$A808))</f>
        <v/>
      </c>
      <c r="C808" s="13" t="str">
        <f>IF($A808="","",[1]!thsiFinD("ths_adjustment_nv_fund",C$3,$A808))</f>
        <v/>
      </c>
      <c r="D808" s="13" t="str">
        <f>IF($A808="","",[1]!thsiFinD("ths_adjustment_nv_fund",D$3,$A808))</f>
        <v/>
      </c>
      <c r="E808" s="13" t="str">
        <f>IF($A808="","",[1]!thsiFinD("ths_adjustment_nv_fund",E$3,$A808))</f>
        <v/>
      </c>
      <c r="F808" s="13" t="str">
        <f>IF($A808="","",[1]!thsiFinD("ths_adjustment_nv_fund",F$3,$A808))</f>
        <v/>
      </c>
      <c r="G808" s="13" t="str">
        <f>IF($A808="","",[1]!thsiFinD("ths_adjustment_nv_fund",G$3,$A808))</f>
        <v/>
      </c>
      <c r="H808" s="13" t="str">
        <f>IF($A808="","",[1]!thsiFinD("ths_adjustment_nv_fund",H$3,$A808))</f>
        <v/>
      </c>
      <c r="I808" s="13" t="str">
        <f>IF($A808="","",[1]!thsiFinD("ths_adjustment_nv_fund",I$3,$A808))</f>
        <v/>
      </c>
      <c r="J808" s="13" t="str">
        <f>IF($A808="","",[1]!thsiFinD("ths_adjustment_nv_fund",J$3,$A808))</f>
        <v/>
      </c>
      <c r="K808" s="13" t="str">
        <f>IF($A808="","",[1]!thsiFinD("ths_adjustment_nv_fund",K$3,$A808))</f>
        <v/>
      </c>
      <c r="L808" s="13" t="str">
        <f>IF($A808="","",[1]!thsiFinD("ths_adjustment_nv_fund",L$3,$A808))</f>
        <v/>
      </c>
      <c r="M808" s="13" t="str">
        <f>IF($A808="","",[1]!thsiFinD("ths_adjustment_nv_fund",M$3,$A808))</f>
        <v/>
      </c>
      <c r="N808" s="13" t="str">
        <f>IF($A808="","",[1]!thsiFinD("ths_adjustment_nv_fund",N$3,$A808))</f>
        <v/>
      </c>
      <c r="O808" s="13" t="str">
        <f>IF($A808="","",[1]!thsiFinD("ths_adjustment_nv_fund",O$3,$A808))</f>
        <v/>
      </c>
      <c r="P808" s="13" t="str">
        <f>IF($A808="","",[1]!thsiFinD("ths_adjustment_nv_fund",P$3,$A808))</f>
        <v/>
      </c>
      <c r="Q808" s="13" t="str">
        <f>IF($A808="","",[1]!thsiFinD("ths_adjustment_nv_fund",Q$3,$A808))</f>
        <v/>
      </c>
      <c r="R808" s="13" t="str">
        <f>IF($A808="","",[1]!thsiFinD("ths_adjustment_nv_fund",R$3,$A808))</f>
        <v/>
      </c>
      <c r="S808" s="13" t="str">
        <f>IF($A808="","",[1]!thsiFinD("ths_adjustment_nv_fund",S$3,$A808))</f>
        <v/>
      </c>
      <c r="T808" s="13" t="str">
        <f>IF($A808="","",[1]!thsiFinD("ths_adjustment_nv_fund",T$3,$A808))</f>
        <v/>
      </c>
      <c r="U808" s="13" t="str">
        <f>IF($A808="","",[1]!thsiFinD("ths_adjustment_nv_fund",U$3,$A808))</f>
        <v/>
      </c>
      <c r="V808" s="13" t="str">
        <f>IF($A808="","",[1]!thsiFinD("ths_adjustment_nv_fund",V$3,$A808))</f>
        <v/>
      </c>
      <c r="W808" s="13" t="str">
        <f>IF($A808="","",[1]!thsiFinD("ths_adjustment_nv_fund",W$3,$A808))</f>
        <v/>
      </c>
      <c r="X808" s="13" t="str">
        <f>IF($A808="","",[1]!thsiFinD("ths_adjustment_nv_fund",X$3,$A808))</f>
        <v/>
      </c>
      <c r="Y808" s="13" t="str">
        <f>IF($A808="","",[1]!thsiFinD("ths_adjustment_nv_fund",Y$3,$A808))</f>
        <v/>
      </c>
      <c r="Z808" s="13" t="str">
        <f>IF($A808="","",[1]!thsiFinD("ths_adjustment_nv_fund",Z$3,$A808))</f>
        <v/>
      </c>
      <c r="AA808" s="13" t="str">
        <f>IF($A808="","",[1]!thsiFinD("ths_adjustment_nv_fund",AA$3,$A808))</f>
        <v/>
      </c>
      <c r="AB808" s="13">
        <f>IF($A808="","",[1]!thsiFinD("ths_adjustment_nv_fund",AB$3,$A808))</f>
        <v/>
      </c>
      <c r="AC808" s="13">
        <f>IF($A808="","",[1]!thsiFinD("ths_adjustment_nv_fund",AC$3,$A808))</f>
        <v/>
      </c>
      <c r="AD808" s="13">
        <f>IF($A808="","",[1]!thsiFinD("ths_adjustment_nv_fund",AD$3,$A808))</f>
        <v/>
      </c>
      <c r="AE808" s="13">
        <f>IF($A808="","",[1]!thsiFinD("ths_adjustment_nv_fund",AE$3,$A808))</f>
        <v/>
      </c>
      <c r="AF808" s="13">
        <f>IF($A808="","",[1]!thsiFinD("ths_adjustment_nv_fund",AF$3,$A808))</f>
        <v/>
      </c>
      <c r="AG808" s="13">
        <f>IF($A808="","",[1]!thsiFinD("ths_adjustment_nv_fund",AG$3,$A808))</f>
        <v/>
      </c>
      <c r="AH808" s="13">
        <f>IF($A808="","",[1]!thsiFinD("ths_adjustment_nv_fund",AH$3,$A808))</f>
        <v/>
      </c>
      <c r="AI808" s="13">
        <f>IF($A808="","",[1]!thsiFinD("ths_adjustment_nv_fund",AI$3,$A808))</f>
        <v/>
      </c>
      <c r="AJ808" s="13">
        <f>IF($A808="","",[1]!thsiFinD("ths_adjustment_nv_fund",AJ$3,$A808))</f>
        <v/>
      </c>
      <c r="AK808" s="13">
        <f>IF($A808="","",[1]!thsiFinD("ths_adjustment_nv_fund",AK$3,$A808))</f>
        <v/>
      </c>
      <c r="AL808" s="13">
        <f>IF($A808="","",[1]!thsiFinD("ths_adjustment_nv_fund",AL$3,$A808))</f>
        <v/>
      </c>
    </row>
    <row r="809" spans="2:28">
      <c r="B809" s="13" t="str">
        <f>IF($A809="","",[1]!thsiFinD("ths_adjustment_nv_fund",B$3,$A809))</f>
        <v/>
      </c>
      <c r="C809" s="13" t="str">
        <f>IF($A809="","",[1]!thsiFinD("ths_adjustment_nv_fund",C$3,$A809))</f>
        <v/>
      </c>
      <c r="D809" s="13" t="str">
        <f>IF($A809="","",[1]!thsiFinD("ths_adjustment_nv_fund",D$3,$A809))</f>
        <v/>
      </c>
      <c r="E809" s="13" t="str">
        <f>IF($A809="","",[1]!thsiFinD("ths_adjustment_nv_fund",E$3,$A809))</f>
        <v/>
      </c>
      <c r="F809" s="13" t="str">
        <f>IF($A809="","",[1]!thsiFinD("ths_adjustment_nv_fund",F$3,$A809))</f>
        <v/>
      </c>
      <c r="G809" s="13" t="str">
        <f>IF($A809="","",[1]!thsiFinD("ths_adjustment_nv_fund",G$3,$A809))</f>
        <v/>
      </c>
      <c r="H809" s="13" t="str">
        <f>IF($A809="","",[1]!thsiFinD("ths_adjustment_nv_fund",H$3,$A809))</f>
        <v/>
      </c>
      <c r="I809" s="13" t="str">
        <f>IF($A809="","",[1]!thsiFinD("ths_adjustment_nv_fund",I$3,$A809))</f>
        <v/>
      </c>
      <c r="J809" s="13" t="str">
        <f>IF($A809="","",[1]!thsiFinD("ths_adjustment_nv_fund",J$3,$A809))</f>
        <v/>
      </c>
      <c r="K809" s="13" t="str">
        <f>IF($A809="","",[1]!thsiFinD("ths_adjustment_nv_fund",K$3,$A809))</f>
        <v/>
      </c>
      <c r="L809" s="13" t="str">
        <f>IF($A809="","",[1]!thsiFinD("ths_adjustment_nv_fund",L$3,$A809))</f>
        <v/>
      </c>
      <c r="M809" s="13" t="str">
        <f>IF($A809="","",[1]!thsiFinD("ths_adjustment_nv_fund",M$3,$A809))</f>
        <v/>
      </c>
      <c r="N809" s="13" t="str">
        <f>IF($A809="","",[1]!thsiFinD("ths_adjustment_nv_fund",N$3,$A809))</f>
        <v/>
      </c>
      <c r="O809" s="13" t="str">
        <f>IF($A809="","",[1]!thsiFinD("ths_adjustment_nv_fund",O$3,$A809))</f>
        <v/>
      </c>
      <c r="P809" s="13" t="str">
        <f>IF($A809="","",[1]!thsiFinD("ths_adjustment_nv_fund",P$3,$A809))</f>
        <v/>
      </c>
      <c r="Q809" s="13" t="str">
        <f>IF($A809="","",[1]!thsiFinD("ths_adjustment_nv_fund",Q$3,$A809))</f>
        <v/>
      </c>
      <c r="R809" s="13" t="str">
        <f>IF($A809="","",[1]!thsiFinD("ths_adjustment_nv_fund",R$3,$A809))</f>
        <v/>
      </c>
      <c r="S809" s="13" t="str">
        <f>IF($A809="","",[1]!thsiFinD("ths_adjustment_nv_fund",S$3,$A809))</f>
        <v/>
      </c>
      <c r="T809" s="13" t="str">
        <f>IF($A809="","",[1]!thsiFinD("ths_adjustment_nv_fund",T$3,$A809))</f>
        <v/>
      </c>
      <c r="U809" s="13" t="str">
        <f>IF($A809="","",[1]!thsiFinD("ths_adjustment_nv_fund",U$3,$A809))</f>
        <v/>
      </c>
      <c r="V809" s="13" t="str">
        <f>IF($A809="","",[1]!thsiFinD("ths_adjustment_nv_fund",V$3,$A809))</f>
        <v/>
      </c>
      <c r="W809" s="13" t="str">
        <f>IF($A809="","",[1]!thsiFinD("ths_adjustment_nv_fund",W$3,$A809))</f>
        <v/>
      </c>
      <c r="X809" s="13" t="str">
        <f>IF($A809="","",[1]!thsiFinD("ths_adjustment_nv_fund",X$3,$A809))</f>
        <v/>
      </c>
      <c r="Y809" s="13" t="str">
        <f>IF($A809="","",[1]!thsiFinD("ths_adjustment_nv_fund",Y$3,$A809))</f>
        <v/>
      </c>
      <c r="Z809" s="13" t="str">
        <f>IF($A809="","",[1]!thsiFinD("ths_adjustment_nv_fund",Z$3,$A809))</f>
        <v/>
      </c>
      <c r="AA809" s="13" t="str">
        <f>IF($A809="","",[1]!thsiFinD("ths_adjustment_nv_fund",AA$3,$A809))</f>
        <v/>
      </c>
      <c r="AB809" s="13">
        <f>IF($A809="","",[1]!thsiFinD("ths_adjustment_nv_fund",AB$3,$A809))</f>
        <v/>
      </c>
      <c r="AC809" s="13">
        <f>IF($A809="","",[1]!thsiFinD("ths_adjustment_nv_fund",AC$3,$A809))</f>
        <v/>
      </c>
      <c r="AD809" s="13">
        <f>IF($A809="","",[1]!thsiFinD("ths_adjustment_nv_fund",AD$3,$A809))</f>
        <v/>
      </c>
      <c r="AE809" s="13">
        <f>IF($A809="","",[1]!thsiFinD("ths_adjustment_nv_fund",AE$3,$A809))</f>
        <v/>
      </c>
      <c r="AF809" s="13">
        <f>IF($A809="","",[1]!thsiFinD("ths_adjustment_nv_fund",AF$3,$A809))</f>
        <v/>
      </c>
      <c r="AG809" s="13">
        <f>IF($A809="","",[1]!thsiFinD("ths_adjustment_nv_fund",AG$3,$A809))</f>
        <v/>
      </c>
      <c r="AH809" s="13">
        <f>IF($A809="","",[1]!thsiFinD("ths_adjustment_nv_fund",AH$3,$A809))</f>
        <v/>
      </c>
      <c r="AI809" s="13">
        <f>IF($A809="","",[1]!thsiFinD("ths_adjustment_nv_fund",AI$3,$A809))</f>
        <v/>
      </c>
      <c r="AJ809" s="13">
        <f>IF($A809="","",[1]!thsiFinD("ths_adjustment_nv_fund",AJ$3,$A809))</f>
        <v/>
      </c>
      <c r="AK809" s="13">
        <f>IF($A809="","",[1]!thsiFinD("ths_adjustment_nv_fund",AK$3,$A809))</f>
        <v/>
      </c>
      <c r="AL809" s="13">
        <f>IF($A809="","",[1]!thsiFinD("ths_adjustment_nv_fund",AL$3,$A809))</f>
        <v/>
      </c>
    </row>
    <row r="810" spans="2:28">
      <c r="B810" s="13" t="str">
        <f>IF($A810="","",[1]!thsiFinD("ths_adjustment_nv_fund",B$3,$A810))</f>
        <v/>
      </c>
      <c r="C810" s="13" t="str">
        <f>IF($A810="","",[1]!thsiFinD("ths_adjustment_nv_fund",C$3,$A810))</f>
        <v/>
      </c>
      <c r="D810" s="13" t="str">
        <f>IF($A810="","",[1]!thsiFinD("ths_adjustment_nv_fund",D$3,$A810))</f>
        <v/>
      </c>
      <c r="E810" s="13" t="str">
        <f>IF($A810="","",[1]!thsiFinD("ths_adjustment_nv_fund",E$3,$A810))</f>
        <v/>
      </c>
      <c r="F810" s="13" t="str">
        <f>IF($A810="","",[1]!thsiFinD("ths_adjustment_nv_fund",F$3,$A810))</f>
        <v/>
      </c>
      <c r="G810" s="13" t="str">
        <f>IF($A810="","",[1]!thsiFinD("ths_adjustment_nv_fund",G$3,$A810))</f>
        <v/>
      </c>
      <c r="H810" s="13" t="str">
        <f>IF($A810="","",[1]!thsiFinD("ths_adjustment_nv_fund",H$3,$A810))</f>
        <v/>
      </c>
      <c r="I810" s="13" t="str">
        <f>IF($A810="","",[1]!thsiFinD("ths_adjustment_nv_fund",I$3,$A810))</f>
        <v/>
      </c>
      <c r="J810" s="13" t="str">
        <f>IF($A810="","",[1]!thsiFinD("ths_adjustment_nv_fund",J$3,$A810))</f>
        <v/>
      </c>
      <c r="K810" s="13" t="str">
        <f>IF($A810="","",[1]!thsiFinD("ths_adjustment_nv_fund",K$3,$A810))</f>
        <v/>
      </c>
      <c r="L810" s="13" t="str">
        <f>IF($A810="","",[1]!thsiFinD("ths_adjustment_nv_fund",L$3,$A810))</f>
        <v/>
      </c>
      <c r="M810" s="13" t="str">
        <f>IF($A810="","",[1]!thsiFinD("ths_adjustment_nv_fund",M$3,$A810))</f>
        <v/>
      </c>
      <c r="N810" s="13" t="str">
        <f>IF($A810="","",[1]!thsiFinD("ths_adjustment_nv_fund",N$3,$A810))</f>
        <v/>
      </c>
      <c r="O810" s="13" t="str">
        <f>IF($A810="","",[1]!thsiFinD("ths_adjustment_nv_fund",O$3,$A810))</f>
        <v/>
      </c>
      <c r="P810" s="13" t="str">
        <f>IF($A810="","",[1]!thsiFinD("ths_adjustment_nv_fund",P$3,$A810))</f>
        <v/>
      </c>
      <c r="Q810" s="13" t="str">
        <f>IF($A810="","",[1]!thsiFinD("ths_adjustment_nv_fund",Q$3,$A810))</f>
        <v/>
      </c>
      <c r="R810" s="13" t="str">
        <f>IF($A810="","",[1]!thsiFinD("ths_adjustment_nv_fund",R$3,$A810))</f>
        <v/>
      </c>
      <c r="S810" s="13" t="str">
        <f>IF($A810="","",[1]!thsiFinD("ths_adjustment_nv_fund",S$3,$A810))</f>
        <v/>
      </c>
      <c r="T810" s="13" t="str">
        <f>IF($A810="","",[1]!thsiFinD("ths_adjustment_nv_fund",T$3,$A810))</f>
        <v/>
      </c>
      <c r="U810" s="13" t="str">
        <f>IF($A810="","",[1]!thsiFinD("ths_adjustment_nv_fund",U$3,$A810))</f>
        <v/>
      </c>
      <c r="V810" s="13" t="str">
        <f>IF($A810="","",[1]!thsiFinD("ths_adjustment_nv_fund",V$3,$A810))</f>
        <v/>
      </c>
      <c r="W810" s="13" t="str">
        <f>IF($A810="","",[1]!thsiFinD("ths_adjustment_nv_fund",W$3,$A810))</f>
        <v/>
      </c>
      <c r="X810" s="13" t="str">
        <f>IF($A810="","",[1]!thsiFinD("ths_adjustment_nv_fund",X$3,$A810))</f>
        <v/>
      </c>
      <c r="Y810" s="13" t="str">
        <f>IF($A810="","",[1]!thsiFinD("ths_adjustment_nv_fund",Y$3,$A810))</f>
        <v/>
      </c>
      <c r="Z810" s="13" t="str">
        <f>IF($A810="","",[1]!thsiFinD("ths_adjustment_nv_fund",Z$3,$A810))</f>
        <v/>
      </c>
      <c r="AA810" s="13" t="str">
        <f>IF($A810="","",[1]!thsiFinD("ths_adjustment_nv_fund",AA$3,$A810))</f>
        <v/>
      </c>
      <c r="AB810" s="13">
        <f>IF($A810="","",[1]!thsiFinD("ths_adjustment_nv_fund",AB$3,$A810))</f>
        <v/>
      </c>
      <c r="AC810" s="13">
        <f>IF($A810="","",[1]!thsiFinD("ths_adjustment_nv_fund",AC$3,$A810))</f>
        <v/>
      </c>
      <c r="AD810" s="13">
        <f>IF($A810="","",[1]!thsiFinD("ths_adjustment_nv_fund",AD$3,$A810))</f>
        <v/>
      </c>
      <c r="AE810" s="13">
        <f>IF($A810="","",[1]!thsiFinD("ths_adjustment_nv_fund",AE$3,$A810))</f>
        <v/>
      </c>
      <c r="AF810" s="13">
        <f>IF($A810="","",[1]!thsiFinD("ths_adjustment_nv_fund",AF$3,$A810))</f>
        <v/>
      </c>
      <c r="AG810" s="13">
        <f>IF($A810="","",[1]!thsiFinD("ths_adjustment_nv_fund",AG$3,$A810))</f>
        <v/>
      </c>
      <c r="AH810" s="13">
        <f>IF($A810="","",[1]!thsiFinD("ths_adjustment_nv_fund",AH$3,$A810))</f>
        <v/>
      </c>
      <c r="AI810" s="13">
        <f>IF($A810="","",[1]!thsiFinD("ths_adjustment_nv_fund",AI$3,$A810))</f>
        <v/>
      </c>
      <c r="AJ810" s="13">
        <f>IF($A810="","",[1]!thsiFinD("ths_adjustment_nv_fund",AJ$3,$A810))</f>
        <v/>
      </c>
      <c r="AK810" s="13">
        <f>IF($A810="","",[1]!thsiFinD("ths_adjustment_nv_fund",AK$3,$A810))</f>
        <v/>
      </c>
      <c r="AL810" s="13">
        <f>IF($A810="","",[1]!thsiFinD("ths_adjustment_nv_fund",AL$3,$A810))</f>
        <v/>
      </c>
    </row>
    <row r="811" spans="2:28">
      <c r="B811" s="13" t="str">
        <f>IF($A811="","",[1]!thsiFinD("ths_adjustment_nv_fund",B$3,$A811))</f>
        <v/>
      </c>
      <c r="C811" s="13" t="str">
        <f>IF($A811="","",[1]!thsiFinD("ths_adjustment_nv_fund",C$3,$A811))</f>
        <v/>
      </c>
      <c r="D811" s="13" t="str">
        <f>IF($A811="","",[1]!thsiFinD("ths_adjustment_nv_fund",D$3,$A811))</f>
        <v/>
      </c>
      <c r="E811" s="13" t="str">
        <f>IF($A811="","",[1]!thsiFinD("ths_adjustment_nv_fund",E$3,$A811))</f>
        <v/>
      </c>
      <c r="F811" s="13" t="str">
        <f>IF($A811="","",[1]!thsiFinD("ths_adjustment_nv_fund",F$3,$A811))</f>
        <v/>
      </c>
      <c r="G811" s="13" t="str">
        <f>IF($A811="","",[1]!thsiFinD("ths_adjustment_nv_fund",G$3,$A811))</f>
        <v/>
      </c>
      <c r="H811" s="13" t="str">
        <f>IF($A811="","",[1]!thsiFinD("ths_adjustment_nv_fund",H$3,$A811))</f>
        <v/>
      </c>
      <c r="I811" s="13" t="str">
        <f>IF($A811="","",[1]!thsiFinD("ths_adjustment_nv_fund",I$3,$A811))</f>
        <v/>
      </c>
      <c r="J811" s="13" t="str">
        <f>IF($A811="","",[1]!thsiFinD("ths_adjustment_nv_fund",J$3,$A811))</f>
        <v/>
      </c>
      <c r="K811" s="13" t="str">
        <f>IF($A811="","",[1]!thsiFinD("ths_adjustment_nv_fund",K$3,$A811))</f>
        <v/>
      </c>
      <c r="L811" s="13" t="str">
        <f>IF($A811="","",[1]!thsiFinD("ths_adjustment_nv_fund",L$3,$A811))</f>
        <v/>
      </c>
      <c r="M811" s="13" t="str">
        <f>IF($A811="","",[1]!thsiFinD("ths_adjustment_nv_fund",M$3,$A811))</f>
        <v/>
      </c>
      <c r="N811" s="13" t="str">
        <f>IF($A811="","",[1]!thsiFinD("ths_adjustment_nv_fund",N$3,$A811))</f>
        <v/>
      </c>
      <c r="O811" s="13" t="str">
        <f>IF($A811="","",[1]!thsiFinD("ths_adjustment_nv_fund",O$3,$A811))</f>
        <v/>
      </c>
      <c r="P811" s="13" t="str">
        <f>IF($A811="","",[1]!thsiFinD("ths_adjustment_nv_fund",P$3,$A811))</f>
        <v/>
      </c>
      <c r="Q811" s="13" t="str">
        <f>IF($A811="","",[1]!thsiFinD("ths_adjustment_nv_fund",Q$3,$A811))</f>
        <v/>
      </c>
      <c r="R811" s="13" t="str">
        <f>IF($A811="","",[1]!thsiFinD("ths_adjustment_nv_fund",R$3,$A811))</f>
        <v/>
      </c>
      <c r="S811" s="13" t="str">
        <f>IF($A811="","",[1]!thsiFinD("ths_adjustment_nv_fund",S$3,$A811))</f>
        <v/>
      </c>
      <c r="T811" s="13" t="str">
        <f>IF($A811="","",[1]!thsiFinD("ths_adjustment_nv_fund",T$3,$A811))</f>
        <v/>
      </c>
      <c r="U811" s="13" t="str">
        <f>IF($A811="","",[1]!thsiFinD("ths_adjustment_nv_fund",U$3,$A811))</f>
        <v/>
      </c>
      <c r="V811" s="13" t="str">
        <f>IF($A811="","",[1]!thsiFinD("ths_adjustment_nv_fund",V$3,$A811))</f>
        <v/>
      </c>
      <c r="W811" s="13" t="str">
        <f>IF($A811="","",[1]!thsiFinD("ths_adjustment_nv_fund",W$3,$A811))</f>
        <v/>
      </c>
      <c r="X811" s="13" t="str">
        <f>IF($A811="","",[1]!thsiFinD("ths_adjustment_nv_fund",X$3,$A811))</f>
        <v/>
      </c>
      <c r="Y811" s="13" t="str">
        <f>IF($A811="","",[1]!thsiFinD("ths_adjustment_nv_fund",Y$3,$A811))</f>
        <v/>
      </c>
      <c r="Z811" s="13" t="str">
        <f>IF($A811="","",[1]!thsiFinD("ths_adjustment_nv_fund",Z$3,$A811))</f>
        <v/>
      </c>
      <c r="AA811" s="13" t="str">
        <f>IF($A811="","",[1]!thsiFinD("ths_adjustment_nv_fund",AA$3,$A811))</f>
        <v/>
      </c>
      <c r="AB811" s="13">
        <f>IF($A811="","",[1]!thsiFinD("ths_adjustment_nv_fund",AB$3,$A811))</f>
        <v/>
      </c>
      <c r="AC811" s="13">
        <f>IF($A811="","",[1]!thsiFinD("ths_adjustment_nv_fund",AC$3,$A811))</f>
        <v/>
      </c>
      <c r="AD811" s="13">
        <f>IF($A811="","",[1]!thsiFinD("ths_adjustment_nv_fund",AD$3,$A811))</f>
        <v/>
      </c>
      <c r="AE811" s="13">
        <f>IF($A811="","",[1]!thsiFinD("ths_adjustment_nv_fund",AE$3,$A811))</f>
        <v/>
      </c>
      <c r="AF811" s="13">
        <f>IF($A811="","",[1]!thsiFinD("ths_adjustment_nv_fund",AF$3,$A811))</f>
        <v/>
      </c>
      <c r="AG811" s="13">
        <f>IF($A811="","",[1]!thsiFinD("ths_adjustment_nv_fund",AG$3,$A811))</f>
        <v/>
      </c>
      <c r="AH811" s="13">
        <f>IF($A811="","",[1]!thsiFinD("ths_adjustment_nv_fund",AH$3,$A811))</f>
        <v/>
      </c>
      <c r="AI811" s="13">
        <f>IF($A811="","",[1]!thsiFinD("ths_adjustment_nv_fund",AI$3,$A811))</f>
        <v/>
      </c>
      <c r="AJ811" s="13">
        <f>IF($A811="","",[1]!thsiFinD("ths_adjustment_nv_fund",AJ$3,$A811))</f>
        <v/>
      </c>
      <c r="AK811" s="13">
        <f>IF($A811="","",[1]!thsiFinD("ths_adjustment_nv_fund",AK$3,$A811))</f>
        <v/>
      </c>
      <c r="AL811" s="13">
        <f>IF($A811="","",[1]!thsiFinD("ths_adjustment_nv_fund",AL$3,$A811))</f>
        <v/>
      </c>
    </row>
    <row r="812" spans="2:28">
      <c r="B812" s="13" t="str">
        <f>IF($A812="","",[1]!thsiFinD("ths_adjustment_nv_fund",B$3,$A812))</f>
        <v/>
      </c>
      <c r="C812" s="13" t="str">
        <f>IF($A812="","",[1]!thsiFinD("ths_adjustment_nv_fund",C$3,$A812))</f>
        <v/>
      </c>
      <c r="D812" s="13" t="str">
        <f>IF($A812="","",[1]!thsiFinD("ths_adjustment_nv_fund",D$3,$A812))</f>
        <v/>
      </c>
      <c r="E812" s="13" t="str">
        <f>IF($A812="","",[1]!thsiFinD("ths_adjustment_nv_fund",E$3,$A812))</f>
        <v/>
      </c>
      <c r="F812" s="13" t="str">
        <f>IF($A812="","",[1]!thsiFinD("ths_adjustment_nv_fund",F$3,$A812))</f>
        <v/>
      </c>
      <c r="G812" s="13" t="str">
        <f>IF($A812="","",[1]!thsiFinD("ths_adjustment_nv_fund",G$3,$A812))</f>
        <v/>
      </c>
      <c r="H812" s="13" t="str">
        <f>IF($A812="","",[1]!thsiFinD("ths_adjustment_nv_fund",H$3,$A812))</f>
        <v/>
      </c>
      <c r="I812" s="13" t="str">
        <f>IF($A812="","",[1]!thsiFinD("ths_adjustment_nv_fund",I$3,$A812))</f>
        <v/>
      </c>
      <c r="J812" s="13" t="str">
        <f>IF($A812="","",[1]!thsiFinD("ths_adjustment_nv_fund",J$3,$A812))</f>
        <v/>
      </c>
      <c r="K812" s="13" t="str">
        <f>IF($A812="","",[1]!thsiFinD("ths_adjustment_nv_fund",K$3,$A812))</f>
        <v/>
      </c>
      <c r="L812" s="13" t="str">
        <f>IF($A812="","",[1]!thsiFinD("ths_adjustment_nv_fund",L$3,$A812))</f>
        <v/>
      </c>
      <c r="M812" s="13" t="str">
        <f>IF($A812="","",[1]!thsiFinD("ths_adjustment_nv_fund",M$3,$A812))</f>
        <v/>
      </c>
      <c r="N812" s="13" t="str">
        <f>IF($A812="","",[1]!thsiFinD("ths_adjustment_nv_fund",N$3,$A812))</f>
        <v/>
      </c>
      <c r="O812" s="13" t="str">
        <f>IF($A812="","",[1]!thsiFinD("ths_adjustment_nv_fund",O$3,$A812))</f>
        <v/>
      </c>
      <c r="P812" s="13" t="str">
        <f>IF($A812="","",[1]!thsiFinD("ths_adjustment_nv_fund",P$3,$A812))</f>
        <v/>
      </c>
      <c r="Q812" s="13" t="str">
        <f>IF($A812="","",[1]!thsiFinD("ths_adjustment_nv_fund",Q$3,$A812))</f>
        <v/>
      </c>
      <c r="R812" s="13" t="str">
        <f>IF($A812="","",[1]!thsiFinD("ths_adjustment_nv_fund",R$3,$A812))</f>
        <v/>
      </c>
      <c r="S812" s="13" t="str">
        <f>IF($A812="","",[1]!thsiFinD("ths_adjustment_nv_fund",S$3,$A812))</f>
        <v/>
      </c>
      <c r="T812" s="13" t="str">
        <f>IF($A812="","",[1]!thsiFinD("ths_adjustment_nv_fund",T$3,$A812))</f>
        <v/>
      </c>
      <c r="U812" s="13" t="str">
        <f>IF($A812="","",[1]!thsiFinD("ths_adjustment_nv_fund",U$3,$A812))</f>
        <v/>
      </c>
      <c r="V812" s="13" t="str">
        <f>IF($A812="","",[1]!thsiFinD("ths_adjustment_nv_fund",V$3,$A812))</f>
        <v/>
      </c>
      <c r="W812" s="13" t="str">
        <f>IF($A812="","",[1]!thsiFinD("ths_adjustment_nv_fund",W$3,$A812))</f>
        <v/>
      </c>
      <c r="X812" s="13" t="str">
        <f>IF($A812="","",[1]!thsiFinD("ths_adjustment_nv_fund",X$3,$A812))</f>
        <v/>
      </c>
      <c r="Y812" s="13" t="str">
        <f>IF($A812="","",[1]!thsiFinD("ths_adjustment_nv_fund",Y$3,$A812))</f>
        <v/>
      </c>
      <c r="Z812" s="13" t="str">
        <f>IF($A812="","",[1]!thsiFinD("ths_adjustment_nv_fund",Z$3,$A812))</f>
        <v/>
      </c>
      <c r="AA812" s="13" t="str">
        <f>IF($A812="","",[1]!thsiFinD("ths_adjustment_nv_fund",AA$3,$A812))</f>
        <v/>
      </c>
      <c r="AB812" s="13">
        <f>IF($A812="","",[1]!thsiFinD("ths_adjustment_nv_fund",AB$3,$A812))</f>
        <v/>
      </c>
      <c r="AC812" s="13">
        <f>IF($A812="","",[1]!thsiFinD("ths_adjustment_nv_fund",AC$3,$A812))</f>
        <v/>
      </c>
      <c r="AD812" s="13">
        <f>IF($A812="","",[1]!thsiFinD("ths_adjustment_nv_fund",AD$3,$A812))</f>
        <v/>
      </c>
      <c r="AE812" s="13">
        <f>IF($A812="","",[1]!thsiFinD("ths_adjustment_nv_fund",AE$3,$A812))</f>
        <v/>
      </c>
      <c r="AF812" s="13">
        <f>IF($A812="","",[1]!thsiFinD("ths_adjustment_nv_fund",AF$3,$A812))</f>
        <v/>
      </c>
      <c r="AG812" s="13">
        <f>IF($A812="","",[1]!thsiFinD("ths_adjustment_nv_fund",AG$3,$A812))</f>
        <v/>
      </c>
      <c r="AH812" s="13">
        <f>IF($A812="","",[1]!thsiFinD("ths_adjustment_nv_fund",AH$3,$A812))</f>
        <v/>
      </c>
      <c r="AI812" s="13">
        <f>IF($A812="","",[1]!thsiFinD("ths_adjustment_nv_fund",AI$3,$A812))</f>
        <v/>
      </c>
      <c r="AJ812" s="13">
        <f>IF($A812="","",[1]!thsiFinD("ths_adjustment_nv_fund",AJ$3,$A812))</f>
        <v/>
      </c>
      <c r="AK812" s="13">
        <f>IF($A812="","",[1]!thsiFinD("ths_adjustment_nv_fund",AK$3,$A812))</f>
        <v/>
      </c>
      <c r="AL812" s="13">
        <f>IF($A812="","",[1]!thsiFinD("ths_adjustment_nv_fund",AL$3,$A812))</f>
        <v/>
      </c>
    </row>
    <row r="813" spans="2:28">
      <c r="B813" s="13" t="str">
        <f>IF($A813="","",[1]!thsiFinD("ths_adjustment_nv_fund",B$3,$A813))</f>
        <v/>
      </c>
      <c r="C813" s="13" t="str">
        <f>IF($A813="","",[1]!thsiFinD("ths_adjustment_nv_fund",C$3,$A813))</f>
        <v/>
      </c>
      <c r="D813" s="13" t="str">
        <f>IF($A813="","",[1]!thsiFinD("ths_adjustment_nv_fund",D$3,$A813))</f>
        <v/>
      </c>
      <c r="E813" s="13" t="str">
        <f>IF($A813="","",[1]!thsiFinD("ths_adjustment_nv_fund",E$3,$A813))</f>
        <v/>
      </c>
      <c r="F813" s="13" t="str">
        <f>IF($A813="","",[1]!thsiFinD("ths_adjustment_nv_fund",F$3,$A813))</f>
        <v/>
      </c>
      <c r="G813" s="13" t="str">
        <f>IF($A813="","",[1]!thsiFinD("ths_adjustment_nv_fund",G$3,$A813))</f>
        <v/>
      </c>
      <c r="H813" s="13" t="str">
        <f>IF($A813="","",[1]!thsiFinD("ths_adjustment_nv_fund",H$3,$A813))</f>
        <v/>
      </c>
      <c r="I813" s="13" t="str">
        <f>IF($A813="","",[1]!thsiFinD("ths_adjustment_nv_fund",I$3,$A813))</f>
        <v/>
      </c>
      <c r="J813" s="13" t="str">
        <f>IF($A813="","",[1]!thsiFinD("ths_adjustment_nv_fund",J$3,$A813))</f>
        <v/>
      </c>
      <c r="K813" s="13" t="str">
        <f>IF($A813="","",[1]!thsiFinD("ths_adjustment_nv_fund",K$3,$A813))</f>
        <v/>
      </c>
      <c r="L813" s="13" t="str">
        <f>IF($A813="","",[1]!thsiFinD("ths_adjustment_nv_fund",L$3,$A813))</f>
        <v/>
      </c>
      <c r="M813" s="13" t="str">
        <f>IF($A813="","",[1]!thsiFinD("ths_adjustment_nv_fund",M$3,$A813))</f>
        <v/>
      </c>
      <c r="N813" s="13" t="str">
        <f>IF($A813="","",[1]!thsiFinD("ths_adjustment_nv_fund",N$3,$A813))</f>
        <v/>
      </c>
      <c r="O813" s="13" t="str">
        <f>IF($A813="","",[1]!thsiFinD("ths_adjustment_nv_fund",O$3,$A813))</f>
        <v/>
      </c>
      <c r="P813" s="13" t="str">
        <f>IF($A813="","",[1]!thsiFinD("ths_adjustment_nv_fund",P$3,$A813))</f>
        <v/>
      </c>
      <c r="Q813" s="13" t="str">
        <f>IF($A813="","",[1]!thsiFinD("ths_adjustment_nv_fund",Q$3,$A813))</f>
        <v/>
      </c>
      <c r="R813" s="13" t="str">
        <f>IF($A813="","",[1]!thsiFinD("ths_adjustment_nv_fund",R$3,$A813))</f>
        <v/>
      </c>
      <c r="S813" s="13" t="str">
        <f>IF($A813="","",[1]!thsiFinD("ths_adjustment_nv_fund",S$3,$A813))</f>
        <v/>
      </c>
      <c r="T813" s="13" t="str">
        <f>IF($A813="","",[1]!thsiFinD("ths_adjustment_nv_fund",T$3,$A813))</f>
        <v/>
      </c>
      <c r="U813" s="13" t="str">
        <f>IF($A813="","",[1]!thsiFinD("ths_adjustment_nv_fund",U$3,$A813))</f>
        <v/>
      </c>
      <c r="V813" s="13" t="str">
        <f>IF($A813="","",[1]!thsiFinD("ths_adjustment_nv_fund",V$3,$A813))</f>
        <v/>
      </c>
      <c r="W813" s="13" t="str">
        <f>IF($A813="","",[1]!thsiFinD("ths_adjustment_nv_fund",W$3,$A813))</f>
        <v/>
      </c>
      <c r="X813" s="13" t="str">
        <f>IF($A813="","",[1]!thsiFinD("ths_adjustment_nv_fund",X$3,$A813))</f>
        <v/>
      </c>
      <c r="Y813" s="13" t="str">
        <f>IF($A813="","",[1]!thsiFinD("ths_adjustment_nv_fund",Y$3,$A813))</f>
        <v/>
      </c>
      <c r="Z813" s="13" t="str">
        <f>IF($A813="","",[1]!thsiFinD("ths_adjustment_nv_fund",Z$3,$A813))</f>
        <v/>
      </c>
      <c r="AA813" s="13" t="str">
        <f>IF($A813="","",[1]!thsiFinD("ths_adjustment_nv_fund",AA$3,$A813))</f>
        <v/>
      </c>
      <c r="AB813" s="13">
        <f>IF($A813="","",[1]!thsiFinD("ths_adjustment_nv_fund",AB$3,$A813))</f>
        <v/>
      </c>
      <c r="AC813" s="13">
        <f>IF($A813="","",[1]!thsiFinD("ths_adjustment_nv_fund",AC$3,$A813))</f>
        <v/>
      </c>
      <c r="AD813" s="13">
        <f>IF($A813="","",[1]!thsiFinD("ths_adjustment_nv_fund",AD$3,$A813))</f>
        <v/>
      </c>
      <c r="AE813" s="13">
        <f>IF($A813="","",[1]!thsiFinD("ths_adjustment_nv_fund",AE$3,$A813))</f>
        <v/>
      </c>
      <c r="AF813" s="13">
        <f>IF($A813="","",[1]!thsiFinD("ths_adjustment_nv_fund",AF$3,$A813))</f>
        <v/>
      </c>
      <c r="AG813" s="13">
        <f>IF($A813="","",[1]!thsiFinD("ths_adjustment_nv_fund",AG$3,$A813))</f>
        <v/>
      </c>
      <c r="AH813" s="13">
        <f>IF($A813="","",[1]!thsiFinD("ths_adjustment_nv_fund",AH$3,$A813))</f>
        <v/>
      </c>
      <c r="AI813" s="13">
        <f>IF($A813="","",[1]!thsiFinD("ths_adjustment_nv_fund",AI$3,$A813))</f>
        <v/>
      </c>
      <c r="AJ813" s="13">
        <f>IF($A813="","",[1]!thsiFinD("ths_adjustment_nv_fund",AJ$3,$A813))</f>
        <v/>
      </c>
      <c r="AK813" s="13">
        <f>IF($A813="","",[1]!thsiFinD("ths_adjustment_nv_fund",AK$3,$A813))</f>
        <v/>
      </c>
      <c r="AL813" s="13">
        <f>IF($A813="","",[1]!thsiFinD("ths_adjustment_nv_fund",AL$3,$A813))</f>
        <v/>
      </c>
    </row>
    <row r="814" spans="2:28">
      <c r="B814" s="13" t="str">
        <f>IF($A814="","",[1]!thsiFinD("ths_adjustment_nv_fund",B$3,$A814))</f>
        <v/>
      </c>
      <c r="C814" s="13" t="str">
        <f>IF($A814="","",[1]!thsiFinD("ths_adjustment_nv_fund",C$3,$A814))</f>
        <v/>
      </c>
      <c r="D814" s="13" t="str">
        <f>IF($A814="","",[1]!thsiFinD("ths_adjustment_nv_fund",D$3,$A814))</f>
        <v/>
      </c>
      <c r="E814" s="13" t="str">
        <f>IF($A814="","",[1]!thsiFinD("ths_adjustment_nv_fund",E$3,$A814))</f>
        <v/>
      </c>
      <c r="F814" s="13" t="str">
        <f>IF($A814="","",[1]!thsiFinD("ths_adjustment_nv_fund",F$3,$A814))</f>
        <v/>
      </c>
      <c r="G814" s="13" t="str">
        <f>IF($A814="","",[1]!thsiFinD("ths_adjustment_nv_fund",G$3,$A814))</f>
        <v/>
      </c>
      <c r="H814" s="13" t="str">
        <f>IF($A814="","",[1]!thsiFinD("ths_adjustment_nv_fund",H$3,$A814))</f>
        <v/>
      </c>
      <c r="I814" s="13" t="str">
        <f>IF($A814="","",[1]!thsiFinD("ths_adjustment_nv_fund",I$3,$A814))</f>
        <v/>
      </c>
      <c r="J814" s="13" t="str">
        <f>IF($A814="","",[1]!thsiFinD("ths_adjustment_nv_fund",J$3,$A814))</f>
        <v/>
      </c>
      <c r="K814" s="13" t="str">
        <f>IF($A814="","",[1]!thsiFinD("ths_adjustment_nv_fund",K$3,$A814))</f>
        <v/>
      </c>
      <c r="L814" s="13" t="str">
        <f>IF($A814="","",[1]!thsiFinD("ths_adjustment_nv_fund",L$3,$A814))</f>
        <v/>
      </c>
      <c r="M814" s="13" t="str">
        <f>IF($A814="","",[1]!thsiFinD("ths_adjustment_nv_fund",M$3,$A814))</f>
        <v/>
      </c>
      <c r="N814" s="13" t="str">
        <f>IF($A814="","",[1]!thsiFinD("ths_adjustment_nv_fund",N$3,$A814))</f>
        <v/>
      </c>
      <c r="O814" s="13" t="str">
        <f>IF($A814="","",[1]!thsiFinD("ths_adjustment_nv_fund",O$3,$A814))</f>
        <v/>
      </c>
      <c r="P814" s="13" t="str">
        <f>IF($A814="","",[1]!thsiFinD("ths_adjustment_nv_fund",P$3,$A814))</f>
        <v/>
      </c>
      <c r="Q814" s="13" t="str">
        <f>IF($A814="","",[1]!thsiFinD("ths_adjustment_nv_fund",Q$3,$A814))</f>
        <v/>
      </c>
      <c r="R814" s="13" t="str">
        <f>IF($A814="","",[1]!thsiFinD("ths_adjustment_nv_fund",R$3,$A814))</f>
        <v/>
      </c>
      <c r="S814" s="13" t="str">
        <f>IF($A814="","",[1]!thsiFinD("ths_adjustment_nv_fund",S$3,$A814))</f>
        <v/>
      </c>
      <c r="T814" s="13" t="str">
        <f>IF($A814="","",[1]!thsiFinD("ths_adjustment_nv_fund",T$3,$A814))</f>
        <v/>
      </c>
      <c r="U814" s="13" t="str">
        <f>IF($A814="","",[1]!thsiFinD("ths_adjustment_nv_fund",U$3,$A814))</f>
        <v/>
      </c>
      <c r="V814" s="13" t="str">
        <f>IF($A814="","",[1]!thsiFinD("ths_adjustment_nv_fund",V$3,$A814))</f>
        <v/>
      </c>
      <c r="W814" s="13" t="str">
        <f>IF($A814="","",[1]!thsiFinD("ths_adjustment_nv_fund",W$3,$A814))</f>
        <v/>
      </c>
      <c r="X814" s="13" t="str">
        <f>IF($A814="","",[1]!thsiFinD("ths_adjustment_nv_fund",X$3,$A814))</f>
        <v/>
      </c>
      <c r="Y814" s="13" t="str">
        <f>IF($A814="","",[1]!thsiFinD("ths_adjustment_nv_fund",Y$3,$A814))</f>
        <v/>
      </c>
      <c r="Z814" s="13" t="str">
        <f>IF($A814="","",[1]!thsiFinD("ths_adjustment_nv_fund",Z$3,$A814))</f>
        <v/>
      </c>
      <c r="AA814" s="13" t="str">
        <f>IF($A814="","",[1]!thsiFinD("ths_adjustment_nv_fund",AA$3,$A814))</f>
        <v/>
      </c>
      <c r="AB814" s="13">
        <f>IF($A814="","",[1]!thsiFinD("ths_adjustment_nv_fund",AB$3,$A814))</f>
        <v/>
      </c>
      <c r="AC814" s="13">
        <f>IF($A814="","",[1]!thsiFinD("ths_adjustment_nv_fund",AC$3,$A814))</f>
        <v/>
      </c>
      <c r="AD814" s="13">
        <f>IF($A814="","",[1]!thsiFinD("ths_adjustment_nv_fund",AD$3,$A814))</f>
        <v/>
      </c>
      <c r="AE814" s="13">
        <f>IF($A814="","",[1]!thsiFinD("ths_adjustment_nv_fund",AE$3,$A814))</f>
        <v/>
      </c>
      <c r="AF814" s="13">
        <f>IF($A814="","",[1]!thsiFinD("ths_adjustment_nv_fund",AF$3,$A814))</f>
        <v/>
      </c>
      <c r="AG814" s="13">
        <f>IF($A814="","",[1]!thsiFinD("ths_adjustment_nv_fund",AG$3,$A814))</f>
        <v/>
      </c>
      <c r="AH814" s="13">
        <f>IF($A814="","",[1]!thsiFinD("ths_adjustment_nv_fund",AH$3,$A814))</f>
        <v/>
      </c>
      <c r="AI814" s="13">
        <f>IF($A814="","",[1]!thsiFinD("ths_adjustment_nv_fund",AI$3,$A814))</f>
        <v/>
      </c>
      <c r="AJ814" s="13">
        <f>IF($A814="","",[1]!thsiFinD("ths_adjustment_nv_fund",AJ$3,$A814))</f>
        <v/>
      </c>
      <c r="AK814" s="13">
        <f>IF($A814="","",[1]!thsiFinD("ths_adjustment_nv_fund",AK$3,$A814))</f>
        <v/>
      </c>
      <c r="AL814" s="13">
        <f>IF($A814="","",[1]!thsiFinD("ths_adjustment_nv_fund",AL$3,$A814))</f>
        <v/>
      </c>
    </row>
    <row r="815" spans="2:28">
      <c r="B815" s="13" t="str">
        <f>IF($A815="","",[1]!thsiFinD("ths_adjustment_nv_fund",B$3,$A815))</f>
        <v/>
      </c>
      <c r="C815" s="13" t="str">
        <f>IF($A815="","",[1]!thsiFinD("ths_adjustment_nv_fund",C$3,$A815))</f>
        <v/>
      </c>
      <c r="D815" s="13" t="str">
        <f>IF($A815="","",[1]!thsiFinD("ths_adjustment_nv_fund",D$3,$A815))</f>
        <v/>
      </c>
      <c r="E815" s="13" t="str">
        <f>IF($A815="","",[1]!thsiFinD("ths_adjustment_nv_fund",E$3,$A815))</f>
        <v/>
      </c>
      <c r="F815" s="13" t="str">
        <f>IF($A815="","",[1]!thsiFinD("ths_adjustment_nv_fund",F$3,$A815))</f>
        <v/>
      </c>
      <c r="G815" s="13" t="str">
        <f>IF($A815="","",[1]!thsiFinD("ths_adjustment_nv_fund",G$3,$A815))</f>
        <v/>
      </c>
      <c r="H815" s="13" t="str">
        <f>IF($A815="","",[1]!thsiFinD("ths_adjustment_nv_fund",H$3,$A815))</f>
        <v/>
      </c>
      <c r="I815" s="13" t="str">
        <f>IF($A815="","",[1]!thsiFinD("ths_adjustment_nv_fund",I$3,$A815))</f>
        <v/>
      </c>
      <c r="J815" s="13" t="str">
        <f>IF($A815="","",[1]!thsiFinD("ths_adjustment_nv_fund",J$3,$A815))</f>
        <v/>
      </c>
      <c r="K815" s="13" t="str">
        <f>IF($A815="","",[1]!thsiFinD("ths_adjustment_nv_fund",K$3,$A815))</f>
        <v/>
      </c>
      <c r="L815" s="13" t="str">
        <f>IF($A815="","",[1]!thsiFinD("ths_adjustment_nv_fund",L$3,$A815))</f>
        <v/>
      </c>
      <c r="M815" s="13" t="str">
        <f>IF($A815="","",[1]!thsiFinD("ths_adjustment_nv_fund",M$3,$A815))</f>
        <v/>
      </c>
      <c r="N815" s="13" t="str">
        <f>IF($A815="","",[1]!thsiFinD("ths_adjustment_nv_fund",N$3,$A815))</f>
        <v/>
      </c>
      <c r="O815" s="13" t="str">
        <f>IF($A815="","",[1]!thsiFinD("ths_adjustment_nv_fund",O$3,$A815))</f>
        <v/>
      </c>
      <c r="P815" s="13" t="str">
        <f>IF($A815="","",[1]!thsiFinD("ths_adjustment_nv_fund",P$3,$A815))</f>
        <v/>
      </c>
      <c r="Q815" s="13" t="str">
        <f>IF($A815="","",[1]!thsiFinD("ths_adjustment_nv_fund",Q$3,$A815))</f>
        <v/>
      </c>
      <c r="R815" s="13" t="str">
        <f>IF($A815="","",[1]!thsiFinD("ths_adjustment_nv_fund",R$3,$A815))</f>
        <v/>
      </c>
      <c r="S815" s="13" t="str">
        <f>IF($A815="","",[1]!thsiFinD("ths_adjustment_nv_fund",S$3,$A815))</f>
        <v/>
      </c>
      <c r="T815" s="13" t="str">
        <f>IF($A815="","",[1]!thsiFinD("ths_adjustment_nv_fund",T$3,$A815))</f>
        <v/>
      </c>
      <c r="U815" s="13" t="str">
        <f>IF($A815="","",[1]!thsiFinD("ths_adjustment_nv_fund",U$3,$A815))</f>
        <v/>
      </c>
      <c r="V815" s="13" t="str">
        <f>IF($A815="","",[1]!thsiFinD("ths_adjustment_nv_fund",V$3,$A815))</f>
        <v/>
      </c>
      <c r="W815" s="13" t="str">
        <f>IF($A815="","",[1]!thsiFinD("ths_adjustment_nv_fund",W$3,$A815))</f>
        <v/>
      </c>
      <c r="X815" s="13" t="str">
        <f>IF($A815="","",[1]!thsiFinD("ths_adjustment_nv_fund",X$3,$A815))</f>
        <v/>
      </c>
      <c r="Y815" s="13" t="str">
        <f>IF($A815="","",[1]!thsiFinD("ths_adjustment_nv_fund",Y$3,$A815))</f>
        <v/>
      </c>
      <c r="Z815" s="13" t="str">
        <f>IF($A815="","",[1]!thsiFinD("ths_adjustment_nv_fund",Z$3,$A815))</f>
        <v/>
      </c>
      <c r="AA815" s="13" t="str">
        <f>IF($A815="","",[1]!thsiFinD("ths_adjustment_nv_fund",AA$3,$A815))</f>
        <v/>
      </c>
      <c r="AB815" s="13">
        <f>IF($A815="","",[1]!thsiFinD("ths_adjustment_nv_fund",AB$3,$A815))</f>
        <v/>
      </c>
      <c r="AC815" s="13">
        <f>IF($A815="","",[1]!thsiFinD("ths_adjustment_nv_fund",AC$3,$A815))</f>
        <v/>
      </c>
      <c r="AD815" s="13">
        <f>IF($A815="","",[1]!thsiFinD("ths_adjustment_nv_fund",AD$3,$A815))</f>
        <v/>
      </c>
      <c r="AE815" s="13">
        <f>IF($A815="","",[1]!thsiFinD("ths_adjustment_nv_fund",AE$3,$A815))</f>
        <v/>
      </c>
      <c r="AF815" s="13">
        <f>IF($A815="","",[1]!thsiFinD("ths_adjustment_nv_fund",AF$3,$A815))</f>
        <v/>
      </c>
      <c r="AG815" s="13">
        <f>IF($A815="","",[1]!thsiFinD("ths_adjustment_nv_fund",AG$3,$A815))</f>
        <v/>
      </c>
      <c r="AH815" s="13">
        <f>IF($A815="","",[1]!thsiFinD("ths_adjustment_nv_fund",AH$3,$A815))</f>
        <v/>
      </c>
      <c r="AI815" s="13">
        <f>IF($A815="","",[1]!thsiFinD("ths_adjustment_nv_fund",AI$3,$A815))</f>
        <v/>
      </c>
      <c r="AJ815" s="13">
        <f>IF($A815="","",[1]!thsiFinD("ths_adjustment_nv_fund",AJ$3,$A815))</f>
        <v/>
      </c>
      <c r="AK815" s="13">
        <f>IF($A815="","",[1]!thsiFinD("ths_adjustment_nv_fund",AK$3,$A815))</f>
        <v/>
      </c>
      <c r="AL815" s="13">
        <f>IF($A815="","",[1]!thsiFinD("ths_adjustment_nv_fund",AL$3,$A815))</f>
        <v/>
      </c>
    </row>
    <row r="816" spans="2:28">
      <c r="B816" s="13" t="str">
        <f>IF($A816="","",[1]!thsiFinD("ths_adjustment_nv_fund",B$3,$A816))</f>
        <v/>
      </c>
      <c r="C816" s="13" t="str">
        <f>IF($A816="","",[1]!thsiFinD("ths_adjustment_nv_fund",C$3,$A816))</f>
        <v/>
      </c>
      <c r="D816" s="13" t="str">
        <f>IF($A816="","",[1]!thsiFinD("ths_adjustment_nv_fund",D$3,$A816))</f>
        <v/>
      </c>
      <c r="E816" s="13" t="str">
        <f>IF($A816="","",[1]!thsiFinD("ths_adjustment_nv_fund",E$3,$A816))</f>
        <v/>
      </c>
      <c r="F816" s="13" t="str">
        <f>IF($A816="","",[1]!thsiFinD("ths_adjustment_nv_fund",F$3,$A816))</f>
        <v/>
      </c>
      <c r="G816" s="13" t="str">
        <f>IF($A816="","",[1]!thsiFinD("ths_adjustment_nv_fund",G$3,$A816))</f>
        <v/>
      </c>
      <c r="H816" s="13" t="str">
        <f>IF($A816="","",[1]!thsiFinD("ths_adjustment_nv_fund",H$3,$A816))</f>
        <v/>
      </c>
      <c r="I816" s="13" t="str">
        <f>IF($A816="","",[1]!thsiFinD("ths_adjustment_nv_fund",I$3,$A816))</f>
        <v/>
      </c>
      <c r="J816" s="13" t="str">
        <f>IF($A816="","",[1]!thsiFinD("ths_adjustment_nv_fund",J$3,$A816))</f>
        <v/>
      </c>
      <c r="K816" s="13" t="str">
        <f>IF($A816="","",[1]!thsiFinD("ths_adjustment_nv_fund",K$3,$A816))</f>
        <v/>
      </c>
      <c r="L816" s="13" t="str">
        <f>IF($A816="","",[1]!thsiFinD("ths_adjustment_nv_fund",L$3,$A816))</f>
        <v/>
      </c>
      <c r="M816" s="13" t="str">
        <f>IF($A816="","",[1]!thsiFinD("ths_adjustment_nv_fund",M$3,$A816))</f>
        <v/>
      </c>
      <c r="N816" s="13" t="str">
        <f>IF($A816="","",[1]!thsiFinD("ths_adjustment_nv_fund",N$3,$A816))</f>
        <v/>
      </c>
      <c r="O816" s="13" t="str">
        <f>IF($A816="","",[1]!thsiFinD("ths_adjustment_nv_fund",O$3,$A816))</f>
        <v/>
      </c>
      <c r="P816" s="13" t="str">
        <f>IF($A816="","",[1]!thsiFinD("ths_adjustment_nv_fund",P$3,$A816))</f>
        <v/>
      </c>
      <c r="Q816" s="13" t="str">
        <f>IF($A816="","",[1]!thsiFinD("ths_adjustment_nv_fund",Q$3,$A816))</f>
        <v/>
      </c>
      <c r="R816" s="13" t="str">
        <f>IF($A816="","",[1]!thsiFinD("ths_adjustment_nv_fund",R$3,$A816))</f>
        <v/>
      </c>
      <c r="S816" s="13" t="str">
        <f>IF($A816="","",[1]!thsiFinD("ths_adjustment_nv_fund",S$3,$A816))</f>
        <v/>
      </c>
      <c r="T816" s="13" t="str">
        <f>IF($A816="","",[1]!thsiFinD("ths_adjustment_nv_fund",T$3,$A816))</f>
        <v/>
      </c>
      <c r="U816" s="13" t="str">
        <f>IF($A816="","",[1]!thsiFinD("ths_adjustment_nv_fund",U$3,$A816))</f>
        <v/>
      </c>
      <c r="V816" s="13" t="str">
        <f>IF($A816="","",[1]!thsiFinD("ths_adjustment_nv_fund",V$3,$A816))</f>
        <v/>
      </c>
      <c r="W816" s="13" t="str">
        <f>IF($A816="","",[1]!thsiFinD("ths_adjustment_nv_fund",W$3,$A816))</f>
        <v/>
      </c>
      <c r="X816" s="13" t="str">
        <f>IF($A816="","",[1]!thsiFinD("ths_adjustment_nv_fund",X$3,$A816))</f>
        <v/>
      </c>
      <c r="Y816" s="13" t="str">
        <f>IF($A816="","",[1]!thsiFinD("ths_adjustment_nv_fund",Y$3,$A816))</f>
        <v/>
      </c>
      <c r="Z816" s="13" t="str">
        <f>IF($A816="","",[1]!thsiFinD("ths_adjustment_nv_fund",Z$3,$A816))</f>
        <v/>
      </c>
      <c r="AA816" s="13" t="str">
        <f>IF($A816="","",[1]!thsiFinD("ths_adjustment_nv_fund",AA$3,$A816))</f>
        <v/>
      </c>
      <c r="AB816" s="13">
        <f>IF($A816="","",[1]!thsiFinD("ths_adjustment_nv_fund",AB$3,$A816))</f>
        <v/>
      </c>
      <c r="AC816" s="13">
        <f>IF($A816="","",[1]!thsiFinD("ths_adjustment_nv_fund",AC$3,$A816))</f>
        <v/>
      </c>
      <c r="AD816" s="13">
        <f>IF($A816="","",[1]!thsiFinD("ths_adjustment_nv_fund",AD$3,$A816))</f>
        <v/>
      </c>
      <c r="AE816" s="13">
        <f>IF($A816="","",[1]!thsiFinD("ths_adjustment_nv_fund",AE$3,$A816))</f>
        <v/>
      </c>
      <c r="AF816" s="13">
        <f>IF($A816="","",[1]!thsiFinD("ths_adjustment_nv_fund",AF$3,$A816))</f>
        <v/>
      </c>
      <c r="AG816" s="13">
        <f>IF($A816="","",[1]!thsiFinD("ths_adjustment_nv_fund",AG$3,$A816))</f>
        <v/>
      </c>
      <c r="AH816" s="13">
        <f>IF($A816="","",[1]!thsiFinD("ths_adjustment_nv_fund",AH$3,$A816))</f>
        <v/>
      </c>
      <c r="AI816" s="13">
        <f>IF($A816="","",[1]!thsiFinD("ths_adjustment_nv_fund",AI$3,$A816))</f>
        <v/>
      </c>
      <c r="AJ816" s="13">
        <f>IF($A816="","",[1]!thsiFinD("ths_adjustment_nv_fund",AJ$3,$A816))</f>
        <v/>
      </c>
      <c r="AK816" s="13">
        <f>IF($A816="","",[1]!thsiFinD("ths_adjustment_nv_fund",AK$3,$A816))</f>
        <v/>
      </c>
      <c r="AL816" s="13">
        <f>IF($A816="","",[1]!thsiFinD("ths_adjustment_nv_fund",AL$3,$A816))</f>
        <v/>
      </c>
    </row>
    <row r="817" spans="2:28">
      <c r="B817" s="13" t="str">
        <f>IF($A817="","",[1]!thsiFinD("ths_adjustment_nv_fund",B$3,$A817))</f>
        <v/>
      </c>
      <c r="C817" s="13" t="str">
        <f>IF($A817="","",[1]!thsiFinD("ths_adjustment_nv_fund",C$3,$A817))</f>
        <v/>
      </c>
      <c r="D817" s="13" t="str">
        <f>IF($A817="","",[1]!thsiFinD("ths_adjustment_nv_fund",D$3,$A817))</f>
        <v/>
      </c>
      <c r="E817" s="13" t="str">
        <f>IF($A817="","",[1]!thsiFinD("ths_adjustment_nv_fund",E$3,$A817))</f>
        <v/>
      </c>
      <c r="F817" s="13" t="str">
        <f>IF($A817="","",[1]!thsiFinD("ths_adjustment_nv_fund",F$3,$A817))</f>
        <v/>
      </c>
      <c r="G817" s="13" t="str">
        <f>IF($A817="","",[1]!thsiFinD("ths_adjustment_nv_fund",G$3,$A817))</f>
        <v/>
      </c>
      <c r="H817" s="13" t="str">
        <f>IF($A817="","",[1]!thsiFinD("ths_adjustment_nv_fund",H$3,$A817))</f>
        <v/>
      </c>
      <c r="I817" s="13" t="str">
        <f>IF($A817="","",[1]!thsiFinD("ths_adjustment_nv_fund",I$3,$A817))</f>
        <v/>
      </c>
      <c r="J817" s="13" t="str">
        <f>IF($A817="","",[1]!thsiFinD("ths_adjustment_nv_fund",J$3,$A817))</f>
        <v/>
      </c>
      <c r="K817" s="13" t="str">
        <f>IF($A817="","",[1]!thsiFinD("ths_adjustment_nv_fund",K$3,$A817))</f>
        <v/>
      </c>
      <c r="L817" s="13" t="str">
        <f>IF($A817="","",[1]!thsiFinD("ths_adjustment_nv_fund",L$3,$A817))</f>
        <v/>
      </c>
      <c r="M817" s="13" t="str">
        <f>IF($A817="","",[1]!thsiFinD("ths_adjustment_nv_fund",M$3,$A817))</f>
        <v/>
      </c>
      <c r="N817" s="13" t="str">
        <f>IF($A817="","",[1]!thsiFinD("ths_adjustment_nv_fund",N$3,$A817))</f>
        <v/>
      </c>
      <c r="O817" s="13" t="str">
        <f>IF($A817="","",[1]!thsiFinD("ths_adjustment_nv_fund",O$3,$A817))</f>
        <v/>
      </c>
      <c r="P817" s="13" t="str">
        <f>IF($A817="","",[1]!thsiFinD("ths_adjustment_nv_fund",P$3,$A817))</f>
        <v/>
      </c>
      <c r="Q817" s="13" t="str">
        <f>IF($A817="","",[1]!thsiFinD("ths_adjustment_nv_fund",Q$3,$A817))</f>
        <v/>
      </c>
      <c r="R817" s="13" t="str">
        <f>IF($A817="","",[1]!thsiFinD("ths_adjustment_nv_fund",R$3,$A817))</f>
        <v/>
      </c>
      <c r="S817" s="13" t="str">
        <f>IF($A817="","",[1]!thsiFinD("ths_adjustment_nv_fund",S$3,$A817))</f>
        <v/>
      </c>
      <c r="T817" s="13" t="str">
        <f>IF($A817="","",[1]!thsiFinD("ths_adjustment_nv_fund",T$3,$A817))</f>
        <v/>
      </c>
      <c r="U817" s="13" t="str">
        <f>IF($A817="","",[1]!thsiFinD("ths_adjustment_nv_fund",U$3,$A817))</f>
        <v/>
      </c>
      <c r="V817" s="13" t="str">
        <f>IF($A817="","",[1]!thsiFinD("ths_adjustment_nv_fund",V$3,$A817))</f>
        <v/>
      </c>
      <c r="W817" s="13" t="str">
        <f>IF($A817="","",[1]!thsiFinD("ths_adjustment_nv_fund",W$3,$A817))</f>
        <v/>
      </c>
      <c r="X817" s="13" t="str">
        <f>IF($A817="","",[1]!thsiFinD("ths_adjustment_nv_fund",X$3,$A817))</f>
        <v/>
      </c>
      <c r="Y817" s="13" t="str">
        <f>IF($A817="","",[1]!thsiFinD("ths_adjustment_nv_fund",Y$3,$A817))</f>
        <v/>
      </c>
      <c r="Z817" s="13" t="str">
        <f>IF($A817="","",[1]!thsiFinD("ths_adjustment_nv_fund",Z$3,$A817))</f>
        <v/>
      </c>
      <c r="AA817" s="13" t="str">
        <f>IF($A817="","",[1]!thsiFinD("ths_adjustment_nv_fund",AA$3,$A817))</f>
        <v/>
      </c>
      <c r="AB817" s="13">
        <f>IF($A817="","",[1]!thsiFinD("ths_adjustment_nv_fund",AB$3,$A817))</f>
        <v/>
      </c>
      <c r="AC817" s="13">
        <f>IF($A817="","",[1]!thsiFinD("ths_adjustment_nv_fund",AC$3,$A817))</f>
        <v/>
      </c>
      <c r="AD817" s="13">
        <f>IF($A817="","",[1]!thsiFinD("ths_adjustment_nv_fund",AD$3,$A817))</f>
        <v/>
      </c>
      <c r="AE817" s="13">
        <f>IF($A817="","",[1]!thsiFinD("ths_adjustment_nv_fund",AE$3,$A817))</f>
        <v/>
      </c>
      <c r="AF817" s="13">
        <f>IF($A817="","",[1]!thsiFinD("ths_adjustment_nv_fund",AF$3,$A817))</f>
        <v/>
      </c>
      <c r="AG817" s="13">
        <f>IF($A817="","",[1]!thsiFinD("ths_adjustment_nv_fund",AG$3,$A817))</f>
        <v/>
      </c>
      <c r="AH817" s="13">
        <f>IF($A817="","",[1]!thsiFinD("ths_adjustment_nv_fund",AH$3,$A817))</f>
        <v/>
      </c>
      <c r="AI817" s="13">
        <f>IF($A817="","",[1]!thsiFinD("ths_adjustment_nv_fund",AI$3,$A817))</f>
        <v/>
      </c>
      <c r="AJ817" s="13">
        <f>IF($A817="","",[1]!thsiFinD("ths_adjustment_nv_fund",AJ$3,$A817))</f>
        <v/>
      </c>
      <c r="AK817" s="13">
        <f>IF($A817="","",[1]!thsiFinD("ths_adjustment_nv_fund",AK$3,$A817))</f>
        <v/>
      </c>
      <c r="AL817" s="13">
        <f>IF($A817="","",[1]!thsiFinD("ths_adjustment_nv_fund",AL$3,$A817))</f>
        <v/>
      </c>
    </row>
    <row r="818" spans="2:28">
      <c r="B818" s="13" t="str">
        <f>IF($A818="","",[1]!thsiFinD("ths_adjustment_nv_fund",B$3,$A818))</f>
        <v/>
      </c>
      <c r="C818" s="13" t="str">
        <f>IF($A818="","",[1]!thsiFinD("ths_adjustment_nv_fund",C$3,$A818))</f>
        <v/>
      </c>
      <c r="D818" s="13" t="str">
        <f>IF($A818="","",[1]!thsiFinD("ths_adjustment_nv_fund",D$3,$A818))</f>
        <v/>
      </c>
      <c r="E818" s="13" t="str">
        <f>IF($A818="","",[1]!thsiFinD("ths_adjustment_nv_fund",E$3,$A818))</f>
        <v/>
      </c>
      <c r="F818" s="13" t="str">
        <f>IF($A818="","",[1]!thsiFinD("ths_adjustment_nv_fund",F$3,$A818))</f>
        <v/>
      </c>
      <c r="G818" s="13" t="str">
        <f>IF($A818="","",[1]!thsiFinD("ths_adjustment_nv_fund",G$3,$A818))</f>
        <v/>
      </c>
      <c r="H818" s="13" t="str">
        <f>IF($A818="","",[1]!thsiFinD("ths_adjustment_nv_fund",H$3,$A818))</f>
        <v/>
      </c>
      <c r="I818" s="13" t="str">
        <f>IF($A818="","",[1]!thsiFinD("ths_adjustment_nv_fund",I$3,$A818))</f>
        <v/>
      </c>
      <c r="J818" s="13" t="str">
        <f>IF($A818="","",[1]!thsiFinD("ths_adjustment_nv_fund",J$3,$A818))</f>
        <v/>
      </c>
      <c r="K818" s="13" t="str">
        <f>IF($A818="","",[1]!thsiFinD("ths_adjustment_nv_fund",K$3,$A818))</f>
        <v/>
      </c>
      <c r="L818" s="13" t="str">
        <f>IF($A818="","",[1]!thsiFinD("ths_adjustment_nv_fund",L$3,$A818))</f>
        <v/>
      </c>
      <c r="M818" s="13" t="str">
        <f>IF($A818="","",[1]!thsiFinD("ths_adjustment_nv_fund",M$3,$A818))</f>
        <v/>
      </c>
      <c r="N818" s="13" t="str">
        <f>IF($A818="","",[1]!thsiFinD("ths_adjustment_nv_fund",N$3,$A818))</f>
        <v/>
      </c>
      <c r="O818" s="13" t="str">
        <f>IF($A818="","",[1]!thsiFinD("ths_adjustment_nv_fund",O$3,$A818))</f>
        <v/>
      </c>
      <c r="P818" s="13" t="str">
        <f>IF($A818="","",[1]!thsiFinD("ths_adjustment_nv_fund",P$3,$A818))</f>
        <v/>
      </c>
      <c r="Q818" s="13" t="str">
        <f>IF($A818="","",[1]!thsiFinD("ths_adjustment_nv_fund",Q$3,$A818))</f>
        <v/>
      </c>
      <c r="R818" s="13" t="str">
        <f>IF($A818="","",[1]!thsiFinD("ths_adjustment_nv_fund",R$3,$A818))</f>
        <v/>
      </c>
      <c r="S818" s="13" t="str">
        <f>IF($A818="","",[1]!thsiFinD("ths_adjustment_nv_fund",S$3,$A818))</f>
        <v/>
      </c>
      <c r="T818" s="13" t="str">
        <f>IF($A818="","",[1]!thsiFinD("ths_adjustment_nv_fund",T$3,$A818))</f>
        <v/>
      </c>
      <c r="U818" s="13" t="str">
        <f>IF($A818="","",[1]!thsiFinD("ths_adjustment_nv_fund",U$3,$A818))</f>
        <v/>
      </c>
      <c r="V818" s="13" t="str">
        <f>IF($A818="","",[1]!thsiFinD("ths_adjustment_nv_fund",V$3,$A818))</f>
        <v/>
      </c>
      <c r="W818" s="13" t="str">
        <f>IF($A818="","",[1]!thsiFinD("ths_adjustment_nv_fund",W$3,$A818))</f>
        <v/>
      </c>
      <c r="X818" s="13" t="str">
        <f>IF($A818="","",[1]!thsiFinD("ths_adjustment_nv_fund",X$3,$A818))</f>
        <v/>
      </c>
      <c r="Y818" s="13" t="str">
        <f>IF($A818="","",[1]!thsiFinD("ths_adjustment_nv_fund",Y$3,$A818))</f>
        <v/>
      </c>
      <c r="Z818" s="13" t="str">
        <f>IF($A818="","",[1]!thsiFinD("ths_adjustment_nv_fund",Z$3,$A818))</f>
        <v/>
      </c>
      <c r="AA818" s="13" t="str">
        <f>IF($A818="","",[1]!thsiFinD("ths_adjustment_nv_fund",AA$3,$A818))</f>
        <v/>
      </c>
      <c r="AB818" s="13">
        <f>IF($A818="","",[1]!thsiFinD("ths_adjustment_nv_fund",AB$3,$A818))</f>
        <v/>
      </c>
      <c r="AC818" s="13">
        <f>IF($A818="","",[1]!thsiFinD("ths_adjustment_nv_fund",AC$3,$A818))</f>
        <v/>
      </c>
      <c r="AD818" s="13">
        <f>IF($A818="","",[1]!thsiFinD("ths_adjustment_nv_fund",AD$3,$A818))</f>
        <v/>
      </c>
      <c r="AE818" s="13">
        <f>IF($A818="","",[1]!thsiFinD("ths_adjustment_nv_fund",AE$3,$A818))</f>
        <v/>
      </c>
      <c r="AF818" s="13">
        <f>IF($A818="","",[1]!thsiFinD("ths_adjustment_nv_fund",AF$3,$A818))</f>
        <v/>
      </c>
      <c r="AG818" s="13">
        <f>IF($A818="","",[1]!thsiFinD("ths_adjustment_nv_fund",AG$3,$A818))</f>
        <v/>
      </c>
      <c r="AH818" s="13">
        <f>IF($A818="","",[1]!thsiFinD("ths_adjustment_nv_fund",AH$3,$A818))</f>
        <v/>
      </c>
      <c r="AI818" s="13">
        <f>IF($A818="","",[1]!thsiFinD("ths_adjustment_nv_fund",AI$3,$A818))</f>
        <v/>
      </c>
      <c r="AJ818" s="13">
        <f>IF($A818="","",[1]!thsiFinD("ths_adjustment_nv_fund",AJ$3,$A818))</f>
        <v/>
      </c>
      <c r="AK818" s="13">
        <f>IF($A818="","",[1]!thsiFinD("ths_adjustment_nv_fund",AK$3,$A818))</f>
        <v/>
      </c>
      <c r="AL818" s="13">
        <f>IF($A818="","",[1]!thsiFinD("ths_adjustment_nv_fund",AL$3,$A818))</f>
        <v/>
      </c>
    </row>
    <row r="819" spans="2:28">
      <c r="B819" s="13" t="str">
        <f>IF($A819="","",[1]!thsiFinD("ths_adjustment_nv_fund",B$3,$A819))</f>
        <v/>
      </c>
      <c r="C819" s="13" t="str">
        <f>IF($A819="","",[1]!thsiFinD("ths_adjustment_nv_fund",C$3,$A819))</f>
        <v/>
      </c>
      <c r="D819" s="13" t="str">
        <f>IF($A819="","",[1]!thsiFinD("ths_adjustment_nv_fund",D$3,$A819))</f>
        <v/>
      </c>
      <c r="E819" s="13" t="str">
        <f>IF($A819="","",[1]!thsiFinD("ths_adjustment_nv_fund",E$3,$A819))</f>
        <v/>
      </c>
      <c r="F819" s="13" t="str">
        <f>IF($A819="","",[1]!thsiFinD("ths_adjustment_nv_fund",F$3,$A819))</f>
        <v/>
      </c>
      <c r="G819" s="13" t="str">
        <f>IF($A819="","",[1]!thsiFinD("ths_adjustment_nv_fund",G$3,$A819))</f>
        <v/>
      </c>
      <c r="H819" s="13" t="str">
        <f>IF($A819="","",[1]!thsiFinD("ths_adjustment_nv_fund",H$3,$A819))</f>
        <v/>
      </c>
      <c r="I819" s="13" t="str">
        <f>IF($A819="","",[1]!thsiFinD("ths_adjustment_nv_fund",I$3,$A819))</f>
        <v/>
      </c>
      <c r="J819" s="13" t="str">
        <f>IF($A819="","",[1]!thsiFinD("ths_adjustment_nv_fund",J$3,$A819))</f>
        <v/>
      </c>
      <c r="K819" s="13" t="str">
        <f>IF($A819="","",[1]!thsiFinD("ths_adjustment_nv_fund",K$3,$A819))</f>
        <v/>
      </c>
      <c r="L819" s="13" t="str">
        <f>IF($A819="","",[1]!thsiFinD("ths_adjustment_nv_fund",L$3,$A819))</f>
        <v/>
      </c>
      <c r="M819" s="13" t="str">
        <f>IF($A819="","",[1]!thsiFinD("ths_adjustment_nv_fund",M$3,$A819))</f>
        <v/>
      </c>
      <c r="N819" s="13" t="str">
        <f>IF($A819="","",[1]!thsiFinD("ths_adjustment_nv_fund",N$3,$A819))</f>
        <v/>
      </c>
      <c r="O819" s="13" t="str">
        <f>IF($A819="","",[1]!thsiFinD("ths_adjustment_nv_fund",O$3,$A819))</f>
        <v/>
      </c>
      <c r="P819" s="13" t="str">
        <f>IF($A819="","",[1]!thsiFinD("ths_adjustment_nv_fund",P$3,$A819))</f>
        <v/>
      </c>
      <c r="Q819" s="13" t="str">
        <f>IF($A819="","",[1]!thsiFinD("ths_adjustment_nv_fund",Q$3,$A819))</f>
        <v/>
      </c>
      <c r="R819" s="13" t="str">
        <f>IF($A819="","",[1]!thsiFinD("ths_adjustment_nv_fund",R$3,$A819))</f>
        <v/>
      </c>
      <c r="S819" s="13" t="str">
        <f>IF($A819="","",[1]!thsiFinD("ths_adjustment_nv_fund",S$3,$A819))</f>
        <v/>
      </c>
      <c r="T819" s="13" t="str">
        <f>IF($A819="","",[1]!thsiFinD("ths_adjustment_nv_fund",T$3,$A819))</f>
        <v/>
      </c>
      <c r="U819" s="13" t="str">
        <f>IF($A819="","",[1]!thsiFinD("ths_adjustment_nv_fund",U$3,$A819))</f>
        <v/>
      </c>
      <c r="V819" s="13" t="str">
        <f>IF($A819="","",[1]!thsiFinD("ths_adjustment_nv_fund",V$3,$A819))</f>
        <v/>
      </c>
      <c r="W819" s="13" t="str">
        <f>IF($A819="","",[1]!thsiFinD("ths_adjustment_nv_fund",W$3,$A819))</f>
        <v/>
      </c>
      <c r="X819" s="13" t="str">
        <f>IF($A819="","",[1]!thsiFinD("ths_adjustment_nv_fund",X$3,$A819))</f>
        <v/>
      </c>
      <c r="Y819" s="13" t="str">
        <f>IF($A819="","",[1]!thsiFinD("ths_adjustment_nv_fund",Y$3,$A819))</f>
        <v/>
      </c>
      <c r="Z819" s="13" t="str">
        <f>IF($A819="","",[1]!thsiFinD("ths_adjustment_nv_fund",Z$3,$A819))</f>
        <v/>
      </c>
      <c r="AA819" s="13" t="str">
        <f>IF($A819="","",[1]!thsiFinD("ths_adjustment_nv_fund",AA$3,$A819))</f>
        <v/>
      </c>
      <c r="AB819" s="13">
        <f>IF($A819="","",[1]!thsiFinD("ths_adjustment_nv_fund",AB$3,$A819))</f>
        <v/>
      </c>
      <c r="AC819" s="13">
        <f>IF($A819="","",[1]!thsiFinD("ths_adjustment_nv_fund",AC$3,$A819))</f>
        <v/>
      </c>
      <c r="AD819" s="13">
        <f>IF($A819="","",[1]!thsiFinD("ths_adjustment_nv_fund",AD$3,$A819))</f>
        <v/>
      </c>
      <c r="AE819" s="13">
        <f>IF($A819="","",[1]!thsiFinD("ths_adjustment_nv_fund",AE$3,$A819))</f>
        <v/>
      </c>
      <c r="AF819" s="13">
        <f>IF($A819="","",[1]!thsiFinD("ths_adjustment_nv_fund",AF$3,$A819))</f>
        <v/>
      </c>
      <c r="AG819" s="13">
        <f>IF($A819="","",[1]!thsiFinD("ths_adjustment_nv_fund",AG$3,$A819))</f>
        <v/>
      </c>
      <c r="AH819" s="13">
        <f>IF($A819="","",[1]!thsiFinD("ths_adjustment_nv_fund",AH$3,$A819))</f>
        <v/>
      </c>
      <c r="AI819" s="13">
        <f>IF($A819="","",[1]!thsiFinD("ths_adjustment_nv_fund",AI$3,$A819))</f>
        <v/>
      </c>
      <c r="AJ819" s="13">
        <f>IF($A819="","",[1]!thsiFinD("ths_adjustment_nv_fund",AJ$3,$A819))</f>
        <v/>
      </c>
      <c r="AK819" s="13">
        <f>IF($A819="","",[1]!thsiFinD("ths_adjustment_nv_fund",AK$3,$A819))</f>
        <v/>
      </c>
      <c r="AL819" s="13">
        <f>IF($A819="","",[1]!thsiFinD("ths_adjustment_nv_fund",AL$3,$A819))</f>
        <v/>
      </c>
    </row>
    <row r="820" spans="2:28">
      <c r="B820" s="13" t="str">
        <f>IF($A820="","",[1]!thsiFinD("ths_adjustment_nv_fund",B$3,$A820))</f>
        <v/>
      </c>
      <c r="C820" s="13" t="str">
        <f>IF($A820="","",[1]!thsiFinD("ths_adjustment_nv_fund",C$3,$A820))</f>
        <v/>
      </c>
      <c r="D820" s="13" t="str">
        <f>IF($A820="","",[1]!thsiFinD("ths_adjustment_nv_fund",D$3,$A820))</f>
        <v/>
      </c>
      <c r="E820" s="13" t="str">
        <f>IF($A820="","",[1]!thsiFinD("ths_adjustment_nv_fund",E$3,$A820))</f>
        <v/>
      </c>
      <c r="F820" s="13" t="str">
        <f>IF($A820="","",[1]!thsiFinD("ths_adjustment_nv_fund",F$3,$A820))</f>
        <v/>
      </c>
      <c r="G820" s="13" t="str">
        <f>IF($A820="","",[1]!thsiFinD("ths_adjustment_nv_fund",G$3,$A820))</f>
        <v/>
      </c>
      <c r="H820" s="13" t="str">
        <f>IF($A820="","",[1]!thsiFinD("ths_adjustment_nv_fund",H$3,$A820))</f>
        <v/>
      </c>
      <c r="I820" s="13" t="str">
        <f>IF($A820="","",[1]!thsiFinD("ths_adjustment_nv_fund",I$3,$A820))</f>
        <v/>
      </c>
      <c r="J820" s="13" t="str">
        <f>IF($A820="","",[1]!thsiFinD("ths_adjustment_nv_fund",J$3,$A820))</f>
        <v/>
      </c>
      <c r="K820" s="13" t="str">
        <f>IF($A820="","",[1]!thsiFinD("ths_adjustment_nv_fund",K$3,$A820))</f>
        <v/>
      </c>
      <c r="L820" s="13" t="str">
        <f>IF($A820="","",[1]!thsiFinD("ths_adjustment_nv_fund",L$3,$A820))</f>
        <v/>
      </c>
      <c r="M820" s="13" t="str">
        <f>IF($A820="","",[1]!thsiFinD("ths_adjustment_nv_fund",M$3,$A820))</f>
        <v/>
      </c>
      <c r="N820" s="13" t="str">
        <f>IF($A820="","",[1]!thsiFinD("ths_adjustment_nv_fund",N$3,$A820))</f>
        <v/>
      </c>
      <c r="O820" s="13" t="str">
        <f>IF($A820="","",[1]!thsiFinD("ths_adjustment_nv_fund",O$3,$A820))</f>
        <v/>
      </c>
      <c r="P820" s="13" t="str">
        <f>IF($A820="","",[1]!thsiFinD("ths_adjustment_nv_fund",P$3,$A820))</f>
        <v/>
      </c>
      <c r="Q820" s="13" t="str">
        <f>IF($A820="","",[1]!thsiFinD("ths_adjustment_nv_fund",Q$3,$A820))</f>
        <v/>
      </c>
      <c r="R820" s="13" t="str">
        <f>IF($A820="","",[1]!thsiFinD("ths_adjustment_nv_fund",R$3,$A820))</f>
        <v/>
      </c>
      <c r="S820" s="13" t="str">
        <f>IF($A820="","",[1]!thsiFinD("ths_adjustment_nv_fund",S$3,$A820))</f>
        <v/>
      </c>
      <c r="T820" s="13" t="str">
        <f>IF($A820="","",[1]!thsiFinD("ths_adjustment_nv_fund",T$3,$A820))</f>
        <v/>
      </c>
      <c r="U820" s="13" t="str">
        <f>IF($A820="","",[1]!thsiFinD("ths_adjustment_nv_fund",U$3,$A820))</f>
        <v/>
      </c>
      <c r="V820" s="13" t="str">
        <f>IF($A820="","",[1]!thsiFinD("ths_adjustment_nv_fund",V$3,$A820))</f>
        <v/>
      </c>
      <c r="W820" s="13" t="str">
        <f>IF($A820="","",[1]!thsiFinD("ths_adjustment_nv_fund",W$3,$A820))</f>
        <v/>
      </c>
      <c r="X820" s="13" t="str">
        <f>IF($A820="","",[1]!thsiFinD("ths_adjustment_nv_fund",X$3,$A820))</f>
        <v/>
      </c>
      <c r="Y820" s="13" t="str">
        <f>IF($A820="","",[1]!thsiFinD("ths_adjustment_nv_fund",Y$3,$A820))</f>
        <v/>
      </c>
      <c r="Z820" s="13" t="str">
        <f>IF($A820="","",[1]!thsiFinD("ths_adjustment_nv_fund",Z$3,$A820))</f>
        <v/>
      </c>
      <c r="AA820" s="13" t="str">
        <f>IF($A820="","",[1]!thsiFinD("ths_adjustment_nv_fund",AA$3,$A820))</f>
        <v/>
      </c>
      <c r="AB820" s="13">
        <f>IF($A820="","",[1]!thsiFinD("ths_adjustment_nv_fund",AB$3,$A820))</f>
        <v/>
      </c>
      <c r="AC820" s="13">
        <f>IF($A820="","",[1]!thsiFinD("ths_adjustment_nv_fund",AC$3,$A820))</f>
        <v/>
      </c>
      <c r="AD820" s="13">
        <f>IF($A820="","",[1]!thsiFinD("ths_adjustment_nv_fund",AD$3,$A820))</f>
        <v/>
      </c>
      <c r="AE820" s="13">
        <f>IF($A820="","",[1]!thsiFinD("ths_adjustment_nv_fund",AE$3,$A820))</f>
        <v/>
      </c>
      <c r="AF820" s="13">
        <f>IF($A820="","",[1]!thsiFinD("ths_adjustment_nv_fund",AF$3,$A820))</f>
        <v/>
      </c>
      <c r="AG820" s="13">
        <f>IF($A820="","",[1]!thsiFinD("ths_adjustment_nv_fund",AG$3,$A820))</f>
        <v/>
      </c>
      <c r="AH820" s="13">
        <f>IF($A820="","",[1]!thsiFinD("ths_adjustment_nv_fund",AH$3,$A820))</f>
        <v/>
      </c>
      <c r="AI820" s="13">
        <f>IF($A820="","",[1]!thsiFinD("ths_adjustment_nv_fund",AI$3,$A820))</f>
        <v/>
      </c>
      <c r="AJ820" s="13">
        <f>IF($A820="","",[1]!thsiFinD("ths_adjustment_nv_fund",AJ$3,$A820))</f>
        <v/>
      </c>
      <c r="AK820" s="13">
        <f>IF($A820="","",[1]!thsiFinD("ths_adjustment_nv_fund",AK$3,$A820))</f>
        <v/>
      </c>
      <c r="AL820" s="13">
        <f>IF($A820="","",[1]!thsiFinD("ths_adjustment_nv_fund",AL$3,$A820))</f>
        <v/>
      </c>
    </row>
    <row r="821" spans="2:28">
      <c r="B821" s="13" t="str">
        <f>IF($A821="","",[1]!thsiFinD("ths_adjustment_nv_fund",B$3,$A821))</f>
        <v/>
      </c>
      <c r="C821" s="13" t="str">
        <f>IF($A821="","",[1]!thsiFinD("ths_adjustment_nv_fund",C$3,$A821))</f>
        <v/>
      </c>
      <c r="D821" s="13" t="str">
        <f>IF($A821="","",[1]!thsiFinD("ths_adjustment_nv_fund",D$3,$A821))</f>
        <v/>
      </c>
      <c r="E821" s="13" t="str">
        <f>IF($A821="","",[1]!thsiFinD("ths_adjustment_nv_fund",E$3,$A821))</f>
        <v/>
      </c>
      <c r="F821" s="13" t="str">
        <f>IF($A821="","",[1]!thsiFinD("ths_adjustment_nv_fund",F$3,$A821))</f>
        <v/>
      </c>
      <c r="G821" s="13" t="str">
        <f>IF($A821="","",[1]!thsiFinD("ths_adjustment_nv_fund",G$3,$A821))</f>
        <v/>
      </c>
      <c r="H821" s="13" t="str">
        <f>IF($A821="","",[1]!thsiFinD("ths_adjustment_nv_fund",H$3,$A821))</f>
        <v/>
      </c>
      <c r="I821" s="13" t="str">
        <f>IF($A821="","",[1]!thsiFinD("ths_adjustment_nv_fund",I$3,$A821))</f>
        <v/>
      </c>
      <c r="J821" s="13" t="str">
        <f>IF($A821="","",[1]!thsiFinD("ths_adjustment_nv_fund",J$3,$A821))</f>
        <v/>
      </c>
      <c r="K821" s="13" t="str">
        <f>IF($A821="","",[1]!thsiFinD("ths_adjustment_nv_fund",K$3,$A821))</f>
        <v/>
      </c>
      <c r="L821" s="13" t="str">
        <f>IF($A821="","",[1]!thsiFinD("ths_adjustment_nv_fund",L$3,$A821))</f>
        <v/>
      </c>
      <c r="M821" s="13" t="str">
        <f>IF($A821="","",[1]!thsiFinD("ths_adjustment_nv_fund",M$3,$A821))</f>
        <v/>
      </c>
      <c r="N821" s="13" t="str">
        <f>IF($A821="","",[1]!thsiFinD("ths_adjustment_nv_fund",N$3,$A821))</f>
        <v/>
      </c>
      <c r="O821" s="13" t="str">
        <f>IF($A821="","",[1]!thsiFinD("ths_adjustment_nv_fund",O$3,$A821))</f>
        <v/>
      </c>
      <c r="P821" s="13" t="str">
        <f>IF($A821="","",[1]!thsiFinD("ths_adjustment_nv_fund",P$3,$A821))</f>
        <v/>
      </c>
      <c r="Q821" s="13" t="str">
        <f>IF($A821="","",[1]!thsiFinD("ths_adjustment_nv_fund",Q$3,$A821))</f>
        <v/>
      </c>
      <c r="R821" s="13" t="str">
        <f>IF($A821="","",[1]!thsiFinD("ths_adjustment_nv_fund",R$3,$A821))</f>
        <v/>
      </c>
      <c r="S821" s="13" t="str">
        <f>IF($A821="","",[1]!thsiFinD("ths_adjustment_nv_fund",S$3,$A821))</f>
        <v/>
      </c>
      <c r="T821" s="13" t="str">
        <f>IF($A821="","",[1]!thsiFinD("ths_adjustment_nv_fund",T$3,$A821))</f>
        <v/>
      </c>
      <c r="U821" s="13" t="str">
        <f>IF($A821="","",[1]!thsiFinD("ths_adjustment_nv_fund",U$3,$A821))</f>
        <v/>
      </c>
      <c r="V821" s="13" t="str">
        <f>IF($A821="","",[1]!thsiFinD("ths_adjustment_nv_fund",V$3,$A821))</f>
        <v/>
      </c>
      <c r="W821" s="13" t="str">
        <f>IF($A821="","",[1]!thsiFinD("ths_adjustment_nv_fund",W$3,$A821))</f>
        <v/>
      </c>
      <c r="X821" s="13" t="str">
        <f>IF($A821="","",[1]!thsiFinD("ths_adjustment_nv_fund",X$3,$A821))</f>
        <v/>
      </c>
      <c r="Y821" s="13" t="str">
        <f>IF($A821="","",[1]!thsiFinD("ths_adjustment_nv_fund",Y$3,$A821))</f>
        <v/>
      </c>
      <c r="Z821" s="13" t="str">
        <f>IF($A821="","",[1]!thsiFinD("ths_adjustment_nv_fund",Z$3,$A821))</f>
        <v/>
      </c>
      <c r="AA821" s="13" t="str">
        <f>IF($A821="","",[1]!thsiFinD("ths_adjustment_nv_fund",AA$3,$A821))</f>
        <v/>
      </c>
      <c r="AB821" s="13">
        <f>IF($A821="","",[1]!thsiFinD("ths_adjustment_nv_fund",AB$3,$A821))</f>
        <v/>
      </c>
      <c r="AC821" s="13">
        <f>IF($A821="","",[1]!thsiFinD("ths_adjustment_nv_fund",AC$3,$A821))</f>
        <v/>
      </c>
      <c r="AD821" s="13">
        <f>IF($A821="","",[1]!thsiFinD("ths_adjustment_nv_fund",AD$3,$A821))</f>
        <v/>
      </c>
      <c r="AE821" s="13">
        <f>IF($A821="","",[1]!thsiFinD("ths_adjustment_nv_fund",AE$3,$A821))</f>
        <v/>
      </c>
      <c r="AF821" s="13">
        <f>IF($A821="","",[1]!thsiFinD("ths_adjustment_nv_fund",AF$3,$A821))</f>
        <v/>
      </c>
      <c r="AG821" s="13">
        <f>IF($A821="","",[1]!thsiFinD("ths_adjustment_nv_fund",AG$3,$A821))</f>
        <v/>
      </c>
      <c r="AH821" s="13">
        <f>IF($A821="","",[1]!thsiFinD("ths_adjustment_nv_fund",AH$3,$A821))</f>
        <v/>
      </c>
      <c r="AI821" s="13">
        <f>IF($A821="","",[1]!thsiFinD("ths_adjustment_nv_fund",AI$3,$A821))</f>
        <v/>
      </c>
      <c r="AJ821" s="13">
        <f>IF($A821="","",[1]!thsiFinD("ths_adjustment_nv_fund",AJ$3,$A821))</f>
        <v/>
      </c>
      <c r="AK821" s="13">
        <f>IF($A821="","",[1]!thsiFinD("ths_adjustment_nv_fund",AK$3,$A821))</f>
        <v/>
      </c>
      <c r="AL821" s="13">
        <f>IF($A821="","",[1]!thsiFinD("ths_adjustment_nv_fund",AL$3,$A821))</f>
        <v/>
      </c>
    </row>
    <row r="822" spans="2:28">
      <c r="B822" s="13" t="str">
        <f>IF($A822="","",[1]!thsiFinD("ths_adjustment_nv_fund",B$3,$A822))</f>
        <v/>
      </c>
      <c r="C822" s="13" t="str">
        <f>IF($A822="","",[1]!thsiFinD("ths_adjustment_nv_fund",C$3,$A822))</f>
        <v/>
      </c>
      <c r="D822" s="13" t="str">
        <f>IF($A822="","",[1]!thsiFinD("ths_adjustment_nv_fund",D$3,$A822))</f>
        <v/>
      </c>
      <c r="E822" s="13" t="str">
        <f>IF($A822="","",[1]!thsiFinD("ths_adjustment_nv_fund",E$3,$A822))</f>
        <v/>
      </c>
      <c r="F822" s="13" t="str">
        <f>IF($A822="","",[1]!thsiFinD("ths_adjustment_nv_fund",F$3,$A822))</f>
        <v/>
      </c>
      <c r="G822" s="13" t="str">
        <f>IF($A822="","",[1]!thsiFinD("ths_adjustment_nv_fund",G$3,$A822))</f>
        <v/>
      </c>
      <c r="H822" s="13" t="str">
        <f>IF($A822="","",[1]!thsiFinD("ths_adjustment_nv_fund",H$3,$A822))</f>
        <v/>
      </c>
      <c r="I822" s="13" t="str">
        <f>IF($A822="","",[1]!thsiFinD("ths_adjustment_nv_fund",I$3,$A822))</f>
        <v/>
      </c>
      <c r="J822" s="13" t="str">
        <f>IF($A822="","",[1]!thsiFinD("ths_adjustment_nv_fund",J$3,$A822))</f>
        <v/>
      </c>
      <c r="K822" s="13" t="str">
        <f>IF($A822="","",[1]!thsiFinD("ths_adjustment_nv_fund",K$3,$A822))</f>
        <v/>
      </c>
      <c r="L822" s="13" t="str">
        <f>IF($A822="","",[1]!thsiFinD("ths_adjustment_nv_fund",L$3,$A822))</f>
        <v/>
      </c>
      <c r="M822" s="13" t="str">
        <f>IF($A822="","",[1]!thsiFinD("ths_adjustment_nv_fund",M$3,$A822))</f>
        <v/>
      </c>
      <c r="N822" s="13" t="str">
        <f>IF($A822="","",[1]!thsiFinD("ths_adjustment_nv_fund",N$3,$A822))</f>
        <v/>
      </c>
      <c r="O822" s="13" t="str">
        <f>IF($A822="","",[1]!thsiFinD("ths_adjustment_nv_fund",O$3,$A822))</f>
        <v/>
      </c>
      <c r="P822" s="13" t="str">
        <f>IF($A822="","",[1]!thsiFinD("ths_adjustment_nv_fund",P$3,$A822))</f>
        <v/>
      </c>
      <c r="Q822" s="13" t="str">
        <f>IF($A822="","",[1]!thsiFinD("ths_adjustment_nv_fund",Q$3,$A822))</f>
        <v/>
      </c>
      <c r="R822" s="13" t="str">
        <f>IF($A822="","",[1]!thsiFinD("ths_adjustment_nv_fund",R$3,$A822))</f>
        <v/>
      </c>
      <c r="S822" s="13" t="str">
        <f>IF($A822="","",[1]!thsiFinD("ths_adjustment_nv_fund",S$3,$A822))</f>
        <v/>
      </c>
      <c r="T822" s="13" t="str">
        <f>IF($A822="","",[1]!thsiFinD("ths_adjustment_nv_fund",T$3,$A822))</f>
        <v/>
      </c>
      <c r="U822" s="13" t="str">
        <f>IF($A822="","",[1]!thsiFinD("ths_adjustment_nv_fund",U$3,$A822))</f>
        <v/>
      </c>
      <c r="V822" s="13" t="str">
        <f>IF($A822="","",[1]!thsiFinD("ths_adjustment_nv_fund",V$3,$A822))</f>
        <v/>
      </c>
      <c r="W822" s="13" t="str">
        <f>IF($A822="","",[1]!thsiFinD("ths_adjustment_nv_fund",W$3,$A822))</f>
        <v/>
      </c>
      <c r="X822" s="13" t="str">
        <f>IF($A822="","",[1]!thsiFinD("ths_adjustment_nv_fund",X$3,$A822))</f>
        <v/>
      </c>
      <c r="Y822" s="13" t="str">
        <f>IF($A822="","",[1]!thsiFinD("ths_adjustment_nv_fund",Y$3,$A822))</f>
        <v/>
      </c>
      <c r="Z822" s="13" t="str">
        <f>IF($A822="","",[1]!thsiFinD("ths_adjustment_nv_fund",Z$3,$A822))</f>
        <v/>
      </c>
      <c r="AA822" s="13" t="str">
        <f>IF($A822="","",[1]!thsiFinD("ths_adjustment_nv_fund",AA$3,$A822))</f>
        <v/>
      </c>
      <c r="AB822" s="13">
        <f>IF($A822="","",[1]!thsiFinD("ths_adjustment_nv_fund",AB$3,$A822))</f>
        <v/>
      </c>
      <c r="AC822" s="13">
        <f>IF($A822="","",[1]!thsiFinD("ths_adjustment_nv_fund",AC$3,$A822))</f>
        <v/>
      </c>
      <c r="AD822" s="13">
        <f>IF($A822="","",[1]!thsiFinD("ths_adjustment_nv_fund",AD$3,$A822))</f>
        <v/>
      </c>
      <c r="AE822" s="13">
        <f>IF($A822="","",[1]!thsiFinD("ths_adjustment_nv_fund",AE$3,$A822))</f>
        <v/>
      </c>
      <c r="AF822" s="13">
        <f>IF($A822="","",[1]!thsiFinD("ths_adjustment_nv_fund",AF$3,$A822))</f>
        <v/>
      </c>
      <c r="AG822" s="13">
        <f>IF($A822="","",[1]!thsiFinD("ths_adjustment_nv_fund",AG$3,$A822))</f>
        <v/>
      </c>
      <c r="AH822" s="13">
        <f>IF($A822="","",[1]!thsiFinD("ths_adjustment_nv_fund",AH$3,$A822))</f>
        <v/>
      </c>
      <c r="AI822" s="13">
        <f>IF($A822="","",[1]!thsiFinD("ths_adjustment_nv_fund",AI$3,$A822))</f>
        <v/>
      </c>
      <c r="AJ822" s="13">
        <f>IF($A822="","",[1]!thsiFinD("ths_adjustment_nv_fund",AJ$3,$A822))</f>
        <v/>
      </c>
      <c r="AK822" s="13">
        <f>IF($A822="","",[1]!thsiFinD("ths_adjustment_nv_fund",AK$3,$A822))</f>
        <v/>
      </c>
      <c r="AL822" s="13">
        <f>IF($A822="","",[1]!thsiFinD("ths_adjustment_nv_fund",AL$3,$A822))</f>
        <v/>
      </c>
    </row>
    <row r="823" spans="2:28">
      <c r="B823" s="13" t="str">
        <f>IF($A823="","",[1]!thsiFinD("ths_adjustment_nv_fund",B$3,$A823))</f>
        <v/>
      </c>
      <c r="C823" s="13" t="str">
        <f>IF($A823="","",[1]!thsiFinD("ths_adjustment_nv_fund",C$3,$A823))</f>
        <v/>
      </c>
      <c r="D823" s="13" t="str">
        <f>IF($A823="","",[1]!thsiFinD("ths_adjustment_nv_fund",D$3,$A823))</f>
        <v/>
      </c>
      <c r="E823" s="13" t="str">
        <f>IF($A823="","",[1]!thsiFinD("ths_adjustment_nv_fund",E$3,$A823))</f>
        <v/>
      </c>
      <c r="F823" s="13" t="str">
        <f>IF($A823="","",[1]!thsiFinD("ths_adjustment_nv_fund",F$3,$A823))</f>
        <v/>
      </c>
      <c r="G823" s="13" t="str">
        <f>IF($A823="","",[1]!thsiFinD("ths_adjustment_nv_fund",G$3,$A823))</f>
        <v/>
      </c>
      <c r="H823" s="13" t="str">
        <f>IF($A823="","",[1]!thsiFinD("ths_adjustment_nv_fund",H$3,$A823))</f>
        <v/>
      </c>
      <c r="I823" s="13" t="str">
        <f>IF($A823="","",[1]!thsiFinD("ths_adjustment_nv_fund",I$3,$A823))</f>
        <v/>
      </c>
      <c r="J823" s="13" t="str">
        <f>IF($A823="","",[1]!thsiFinD("ths_adjustment_nv_fund",J$3,$A823))</f>
        <v/>
      </c>
      <c r="K823" s="13" t="str">
        <f>IF($A823="","",[1]!thsiFinD("ths_adjustment_nv_fund",K$3,$A823))</f>
        <v/>
      </c>
      <c r="L823" s="13" t="str">
        <f>IF($A823="","",[1]!thsiFinD("ths_adjustment_nv_fund",L$3,$A823))</f>
        <v/>
      </c>
      <c r="M823" s="13" t="str">
        <f>IF($A823="","",[1]!thsiFinD("ths_adjustment_nv_fund",M$3,$A823))</f>
        <v/>
      </c>
      <c r="N823" s="13" t="str">
        <f>IF($A823="","",[1]!thsiFinD("ths_adjustment_nv_fund",N$3,$A823))</f>
        <v/>
      </c>
      <c r="O823" s="13" t="str">
        <f>IF($A823="","",[1]!thsiFinD("ths_adjustment_nv_fund",O$3,$A823))</f>
        <v/>
      </c>
      <c r="P823" s="13" t="str">
        <f>IF($A823="","",[1]!thsiFinD("ths_adjustment_nv_fund",P$3,$A823))</f>
        <v/>
      </c>
      <c r="Q823" s="13" t="str">
        <f>IF($A823="","",[1]!thsiFinD("ths_adjustment_nv_fund",Q$3,$A823))</f>
        <v/>
      </c>
      <c r="R823" s="13" t="str">
        <f>IF($A823="","",[1]!thsiFinD("ths_adjustment_nv_fund",R$3,$A823))</f>
        <v/>
      </c>
      <c r="S823" s="13" t="str">
        <f>IF($A823="","",[1]!thsiFinD("ths_adjustment_nv_fund",S$3,$A823))</f>
        <v/>
      </c>
      <c r="T823" s="13" t="str">
        <f>IF($A823="","",[1]!thsiFinD("ths_adjustment_nv_fund",T$3,$A823))</f>
        <v/>
      </c>
      <c r="U823" s="13" t="str">
        <f>IF($A823="","",[1]!thsiFinD("ths_adjustment_nv_fund",U$3,$A823))</f>
        <v/>
      </c>
      <c r="V823" s="13" t="str">
        <f>IF($A823="","",[1]!thsiFinD("ths_adjustment_nv_fund",V$3,$A823))</f>
        <v/>
      </c>
      <c r="W823" s="13" t="str">
        <f>IF($A823="","",[1]!thsiFinD("ths_adjustment_nv_fund",W$3,$A823))</f>
        <v/>
      </c>
      <c r="X823" s="13" t="str">
        <f>IF($A823="","",[1]!thsiFinD("ths_adjustment_nv_fund",X$3,$A823))</f>
        <v/>
      </c>
      <c r="Y823" s="13" t="str">
        <f>IF($A823="","",[1]!thsiFinD("ths_adjustment_nv_fund",Y$3,$A823))</f>
        <v/>
      </c>
      <c r="Z823" s="13" t="str">
        <f>IF($A823="","",[1]!thsiFinD("ths_adjustment_nv_fund",Z$3,$A823))</f>
        <v/>
      </c>
      <c r="AA823" s="13" t="str">
        <f>IF($A823="","",[1]!thsiFinD("ths_adjustment_nv_fund",AA$3,$A823))</f>
        <v/>
      </c>
      <c r="AB823" s="13">
        <f>IF($A823="","",[1]!thsiFinD("ths_adjustment_nv_fund",AB$3,$A823))</f>
        <v/>
      </c>
      <c r="AC823" s="13">
        <f>IF($A823="","",[1]!thsiFinD("ths_adjustment_nv_fund",AC$3,$A823))</f>
        <v/>
      </c>
      <c r="AD823" s="13">
        <f>IF($A823="","",[1]!thsiFinD("ths_adjustment_nv_fund",AD$3,$A823))</f>
        <v/>
      </c>
      <c r="AE823" s="13">
        <f>IF($A823="","",[1]!thsiFinD("ths_adjustment_nv_fund",AE$3,$A823))</f>
        <v/>
      </c>
      <c r="AF823" s="13">
        <f>IF($A823="","",[1]!thsiFinD("ths_adjustment_nv_fund",AF$3,$A823))</f>
        <v/>
      </c>
      <c r="AG823" s="13">
        <f>IF($A823="","",[1]!thsiFinD("ths_adjustment_nv_fund",AG$3,$A823))</f>
        <v/>
      </c>
      <c r="AH823" s="13">
        <f>IF($A823="","",[1]!thsiFinD("ths_adjustment_nv_fund",AH$3,$A823))</f>
        <v/>
      </c>
      <c r="AI823" s="13">
        <f>IF($A823="","",[1]!thsiFinD("ths_adjustment_nv_fund",AI$3,$A823))</f>
        <v/>
      </c>
      <c r="AJ823" s="13">
        <f>IF($A823="","",[1]!thsiFinD("ths_adjustment_nv_fund",AJ$3,$A823))</f>
        <v/>
      </c>
      <c r="AK823" s="13">
        <f>IF($A823="","",[1]!thsiFinD("ths_adjustment_nv_fund",AK$3,$A823))</f>
        <v/>
      </c>
      <c r="AL823" s="13">
        <f>IF($A823="","",[1]!thsiFinD("ths_adjustment_nv_fund",AL$3,$A823))</f>
        <v/>
      </c>
    </row>
    <row r="824" spans="2:28">
      <c r="B824" s="13" t="str">
        <f>IF($A824="","",[1]!thsiFinD("ths_adjustment_nv_fund",B$3,$A824))</f>
        <v/>
      </c>
      <c r="C824" s="13" t="str">
        <f>IF($A824="","",[1]!thsiFinD("ths_adjustment_nv_fund",C$3,$A824))</f>
        <v/>
      </c>
      <c r="D824" s="13" t="str">
        <f>IF($A824="","",[1]!thsiFinD("ths_adjustment_nv_fund",D$3,$A824))</f>
        <v/>
      </c>
      <c r="E824" s="13" t="str">
        <f>IF($A824="","",[1]!thsiFinD("ths_adjustment_nv_fund",E$3,$A824))</f>
        <v/>
      </c>
      <c r="F824" s="13" t="str">
        <f>IF($A824="","",[1]!thsiFinD("ths_adjustment_nv_fund",F$3,$A824))</f>
        <v/>
      </c>
      <c r="G824" s="13" t="str">
        <f>IF($A824="","",[1]!thsiFinD("ths_adjustment_nv_fund",G$3,$A824))</f>
        <v/>
      </c>
      <c r="H824" s="13" t="str">
        <f>IF($A824="","",[1]!thsiFinD("ths_adjustment_nv_fund",H$3,$A824))</f>
        <v/>
      </c>
      <c r="I824" s="13" t="str">
        <f>IF($A824="","",[1]!thsiFinD("ths_adjustment_nv_fund",I$3,$A824))</f>
        <v/>
      </c>
      <c r="J824" s="13" t="str">
        <f>IF($A824="","",[1]!thsiFinD("ths_adjustment_nv_fund",J$3,$A824))</f>
        <v/>
      </c>
      <c r="K824" s="13" t="str">
        <f>IF($A824="","",[1]!thsiFinD("ths_adjustment_nv_fund",K$3,$A824))</f>
        <v/>
      </c>
      <c r="L824" s="13" t="str">
        <f>IF($A824="","",[1]!thsiFinD("ths_adjustment_nv_fund",L$3,$A824))</f>
        <v/>
      </c>
      <c r="M824" s="13" t="str">
        <f>IF($A824="","",[1]!thsiFinD("ths_adjustment_nv_fund",M$3,$A824))</f>
        <v/>
      </c>
      <c r="N824" s="13" t="str">
        <f>IF($A824="","",[1]!thsiFinD("ths_adjustment_nv_fund",N$3,$A824))</f>
        <v/>
      </c>
      <c r="O824" s="13" t="str">
        <f>IF($A824="","",[1]!thsiFinD("ths_adjustment_nv_fund",O$3,$A824))</f>
        <v/>
      </c>
      <c r="P824" s="13" t="str">
        <f>IF($A824="","",[1]!thsiFinD("ths_adjustment_nv_fund",P$3,$A824))</f>
        <v/>
      </c>
      <c r="Q824" s="13" t="str">
        <f>IF($A824="","",[1]!thsiFinD("ths_adjustment_nv_fund",Q$3,$A824))</f>
        <v/>
      </c>
      <c r="R824" s="13" t="str">
        <f>IF($A824="","",[1]!thsiFinD("ths_adjustment_nv_fund",R$3,$A824))</f>
        <v/>
      </c>
      <c r="S824" s="13" t="str">
        <f>IF($A824="","",[1]!thsiFinD("ths_adjustment_nv_fund",S$3,$A824))</f>
        <v/>
      </c>
      <c r="T824" s="13" t="str">
        <f>IF($A824="","",[1]!thsiFinD("ths_adjustment_nv_fund",T$3,$A824))</f>
        <v/>
      </c>
      <c r="U824" s="13" t="str">
        <f>IF($A824="","",[1]!thsiFinD("ths_adjustment_nv_fund",U$3,$A824))</f>
        <v/>
      </c>
      <c r="V824" s="13" t="str">
        <f>IF($A824="","",[1]!thsiFinD("ths_adjustment_nv_fund",V$3,$A824))</f>
        <v/>
      </c>
      <c r="W824" s="13" t="str">
        <f>IF($A824="","",[1]!thsiFinD("ths_adjustment_nv_fund",W$3,$A824))</f>
        <v/>
      </c>
      <c r="X824" s="13" t="str">
        <f>IF($A824="","",[1]!thsiFinD("ths_adjustment_nv_fund",X$3,$A824))</f>
        <v/>
      </c>
      <c r="Y824" s="13" t="str">
        <f>IF($A824="","",[1]!thsiFinD("ths_adjustment_nv_fund",Y$3,$A824))</f>
        <v/>
      </c>
      <c r="Z824" s="13" t="str">
        <f>IF($A824="","",[1]!thsiFinD("ths_adjustment_nv_fund",Z$3,$A824))</f>
        <v/>
      </c>
      <c r="AA824" s="13" t="str">
        <f>IF($A824="","",[1]!thsiFinD("ths_adjustment_nv_fund",AA$3,$A824))</f>
        <v/>
      </c>
      <c r="AB824" s="13">
        <f>IF($A824="","",[1]!thsiFinD("ths_adjustment_nv_fund",AB$3,$A824))</f>
        <v/>
      </c>
      <c r="AC824" s="13">
        <f>IF($A824="","",[1]!thsiFinD("ths_adjustment_nv_fund",AC$3,$A824))</f>
        <v/>
      </c>
      <c r="AD824" s="13">
        <f>IF($A824="","",[1]!thsiFinD("ths_adjustment_nv_fund",AD$3,$A824))</f>
        <v/>
      </c>
      <c r="AE824" s="13">
        <f>IF($A824="","",[1]!thsiFinD("ths_adjustment_nv_fund",AE$3,$A824))</f>
        <v/>
      </c>
      <c r="AF824" s="13">
        <f>IF($A824="","",[1]!thsiFinD("ths_adjustment_nv_fund",AF$3,$A824))</f>
        <v/>
      </c>
      <c r="AG824" s="13">
        <f>IF($A824="","",[1]!thsiFinD("ths_adjustment_nv_fund",AG$3,$A824))</f>
        <v/>
      </c>
      <c r="AH824" s="13">
        <f>IF($A824="","",[1]!thsiFinD("ths_adjustment_nv_fund",AH$3,$A824))</f>
        <v/>
      </c>
      <c r="AI824" s="13">
        <f>IF($A824="","",[1]!thsiFinD("ths_adjustment_nv_fund",AI$3,$A824))</f>
        <v/>
      </c>
      <c r="AJ824" s="13">
        <f>IF($A824="","",[1]!thsiFinD("ths_adjustment_nv_fund",AJ$3,$A824))</f>
        <v/>
      </c>
      <c r="AK824" s="13">
        <f>IF($A824="","",[1]!thsiFinD("ths_adjustment_nv_fund",AK$3,$A824))</f>
        <v/>
      </c>
      <c r="AL824" s="13">
        <f>IF($A824="","",[1]!thsiFinD("ths_adjustment_nv_fund",AL$3,$A824))</f>
        <v/>
      </c>
    </row>
    <row r="825" spans="2:28">
      <c r="B825" s="13" t="str">
        <f>IF($A825="","",[1]!thsiFinD("ths_adjustment_nv_fund",B$3,$A825))</f>
        <v/>
      </c>
      <c r="C825" s="13" t="str">
        <f>IF($A825="","",[1]!thsiFinD("ths_adjustment_nv_fund",C$3,$A825))</f>
        <v/>
      </c>
      <c r="D825" s="13" t="str">
        <f>IF($A825="","",[1]!thsiFinD("ths_adjustment_nv_fund",D$3,$A825))</f>
        <v/>
      </c>
      <c r="E825" s="13" t="str">
        <f>IF($A825="","",[1]!thsiFinD("ths_adjustment_nv_fund",E$3,$A825))</f>
        <v/>
      </c>
      <c r="F825" s="13" t="str">
        <f>IF($A825="","",[1]!thsiFinD("ths_adjustment_nv_fund",F$3,$A825))</f>
        <v/>
      </c>
      <c r="G825" s="13" t="str">
        <f>IF($A825="","",[1]!thsiFinD("ths_adjustment_nv_fund",G$3,$A825))</f>
        <v/>
      </c>
      <c r="H825" s="13" t="str">
        <f>IF($A825="","",[1]!thsiFinD("ths_adjustment_nv_fund",H$3,$A825))</f>
        <v/>
      </c>
      <c r="I825" s="13" t="str">
        <f>IF($A825="","",[1]!thsiFinD("ths_adjustment_nv_fund",I$3,$A825))</f>
        <v/>
      </c>
      <c r="J825" s="13" t="str">
        <f>IF($A825="","",[1]!thsiFinD("ths_adjustment_nv_fund",J$3,$A825))</f>
        <v/>
      </c>
      <c r="K825" s="13" t="str">
        <f>IF($A825="","",[1]!thsiFinD("ths_adjustment_nv_fund",K$3,$A825))</f>
        <v/>
      </c>
      <c r="L825" s="13" t="str">
        <f>IF($A825="","",[1]!thsiFinD("ths_adjustment_nv_fund",L$3,$A825))</f>
        <v/>
      </c>
      <c r="M825" s="13" t="str">
        <f>IF($A825="","",[1]!thsiFinD("ths_adjustment_nv_fund",M$3,$A825))</f>
        <v/>
      </c>
      <c r="N825" s="13" t="str">
        <f>IF($A825="","",[1]!thsiFinD("ths_adjustment_nv_fund",N$3,$A825))</f>
        <v/>
      </c>
      <c r="O825" s="13" t="str">
        <f>IF($A825="","",[1]!thsiFinD("ths_adjustment_nv_fund",O$3,$A825))</f>
        <v/>
      </c>
      <c r="P825" s="13" t="str">
        <f>IF($A825="","",[1]!thsiFinD("ths_adjustment_nv_fund",P$3,$A825))</f>
        <v/>
      </c>
      <c r="Q825" s="13" t="str">
        <f>IF($A825="","",[1]!thsiFinD("ths_adjustment_nv_fund",Q$3,$A825))</f>
        <v/>
      </c>
      <c r="R825" s="13" t="str">
        <f>IF($A825="","",[1]!thsiFinD("ths_adjustment_nv_fund",R$3,$A825))</f>
        <v/>
      </c>
      <c r="S825" s="13" t="str">
        <f>IF($A825="","",[1]!thsiFinD("ths_adjustment_nv_fund",S$3,$A825))</f>
        <v/>
      </c>
      <c r="T825" s="13" t="str">
        <f>IF($A825="","",[1]!thsiFinD("ths_adjustment_nv_fund",T$3,$A825))</f>
        <v/>
      </c>
      <c r="U825" s="13" t="str">
        <f>IF($A825="","",[1]!thsiFinD("ths_adjustment_nv_fund",U$3,$A825))</f>
        <v/>
      </c>
      <c r="V825" s="13" t="str">
        <f>IF($A825="","",[1]!thsiFinD("ths_adjustment_nv_fund",V$3,$A825))</f>
        <v/>
      </c>
      <c r="W825" s="13" t="str">
        <f>IF($A825="","",[1]!thsiFinD("ths_adjustment_nv_fund",W$3,$A825))</f>
        <v/>
      </c>
      <c r="X825" s="13" t="str">
        <f>IF($A825="","",[1]!thsiFinD("ths_adjustment_nv_fund",X$3,$A825))</f>
        <v/>
      </c>
      <c r="Y825" s="13" t="str">
        <f>IF($A825="","",[1]!thsiFinD("ths_adjustment_nv_fund",Y$3,$A825))</f>
        <v/>
      </c>
      <c r="Z825" s="13" t="str">
        <f>IF($A825="","",[1]!thsiFinD("ths_adjustment_nv_fund",Z$3,$A825))</f>
        <v/>
      </c>
      <c r="AA825" s="13" t="str">
        <f>IF($A825="","",[1]!thsiFinD("ths_adjustment_nv_fund",AA$3,$A825))</f>
        <v/>
      </c>
      <c r="AB825" s="13">
        <f>IF($A825="","",[1]!thsiFinD("ths_adjustment_nv_fund",AB$3,$A825))</f>
        <v/>
      </c>
      <c r="AC825" s="13">
        <f>IF($A825="","",[1]!thsiFinD("ths_adjustment_nv_fund",AC$3,$A825))</f>
        <v/>
      </c>
      <c r="AD825" s="13">
        <f>IF($A825="","",[1]!thsiFinD("ths_adjustment_nv_fund",AD$3,$A825))</f>
        <v/>
      </c>
      <c r="AE825" s="13">
        <f>IF($A825="","",[1]!thsiFinD("ths_adjustment_nv_fund",AE$3,$A825))</f>
        <v/>
      </c>
      <c r="AF825" s="13">
        <f>IF($A825="","",[1]!thsiFinD("ths_adjustment_nv_fund",AF$3,$A825))</f>
        <v/>
      </c>
      <c r="AG825" s="13">
        <f>IF($A825="","",[1]!thsiFinD("ths_adjustment_nv_fund",AG$3,$A825))</f>
        <v/>
      </c>
      <c r="AH825" s="13">
        <f>IF($A825="","",[1]!thsiFinD("ths_adjustment_nv_fund",AH$3,$A825))</f>
        <v/>
      </c>
      <c r="AI825" s="13">
        <f>IF($A825="","",[1]!thsiFinD("ths_adjustment_nv_fund",AI$3,$A825))</f>
        <v/>
      </c>
      <c r="AJ825" s="13">
        <f>IF($A825="","",[1]!thsiFinD("ths_adjustment_nv_fund",AJ$3,$A825))</f>
        <v/>
      </c>
      <c r="AK825" s="13">
        <f>IF($A825="","",[1]!thsiFinD("ths_adjustment_nv_fund",AK$3,$A825))</f>
        <v/>
      </c>
      <c r="AL825" s="13">
        <f>IF($A825="","",[1]!thsiFinD("ths_adjustment_nv_fund",AL$3,$A825))</f>
        <v/>
      </c>
    </row>
    <row r="826" spans="2:28">
      <c r="B826" s="13" t="str">
        <f>IF($A826="","",[1]!thsiFinD("ths_adjustment_nv_fund",B$3,$A826))</f>
        <v/>
      </c>
      <c r="C826" s="13" t="str">
        <f>IF($A826="","",[1]!thsiFinD("ths_adjustment_nv_fund",C$3,$A826))</f>
        <v/>
      </c>
      <c r="D826" s="13" t="str">
        <f>IF($A826="","",[1]!thsiFinD("ths_adjustment_nv_fund",D$3,$A826))</f>
        <v/>
      </c>
      <c r="E826" s="13" t="str">
        <f>IF($A826="","",[1]!thsiFinD("ths_adjustment_nv_fund",E$3,$A826))</f>
        <v/>
      </c>
      <c r="F826" s="13" t="str">
        <f>IF($A826="","",[1]!thsiFinD("ths_adjustment_nv_fund",F$3,$A826))</f>
        <v/>
      </c>
      <c r="G826" s="13" t="str">
        <f>IF($A826="","",[1]!thsiFinD("ths_adjustment_nv_fund",G$3,$A826))</f>
        <v/>
      </c>
      <c r="H826" s="13" t="str">
        <f>IF($A826="","",[1]!thsiFinD("ths_adjustment_nv_fund",H$3,$A826))</f>
        <v/>
      </c>
      <c r="I826" s="13" t="str">
        <f>IF($A826="","",[1]!thsiFinD("ths_adjustment_nv_fund",I$3,$A826))</f>
        <v/>
      </c>
      <c r="J826" s="13" t="str">
        <f>IF($A826="","",[1]!thsiFinD("ths_adjustment_nv_fund",J$3,$A826))</f>
        <v/>
      </c>
      <c r="K826" s="13" t="str">
        <f>IF($A826="","",[1]!thsiFinD("ths_adjustment_nv_fund",K$3,$A826))</f>
        <v/>
      </c>
      <c r="L826" s="13" t="str">
        <f>IF($A826="","",[1]!thsiFinD("ths_adjustment_nv_fund",L$3,$A826))</f>
        <v/>
      </c>
      <c r="M826" s="13" t="str">
        <f>IF($A826="","",[1]!thsiFinD("ths_adjustment_nv_fund",M$3,$A826))</f>
        <v/>
      </c>
      <c r="N826" s="13" t="str">
        <f>IF($A826="","",[1]!thsiFinD("ths_adjustment_nv_fund",N$3,$A826))</f>
        <v/>
      </c>
      <c r="O826" s="13" t="str">
        <f>IF($A826="","",[1]!thsiFinD("ths_adjustment_nv_fund",O$3,$A826))</f>
        <v/>
      </c>
      <c r="P826" s="13" t="str">
        <f>IF($A826="","",[1]!thsiFinD("ths_adjustment_nv_fund",P$3,$A826))</f>
        <v/>
      </c>
      <c r="Q826" s="13" t="str">
        <f>IF($A826="","",[1]!thsiFinD("ths_adjustment_nv_fund",Q$3,$A826))</f>
        <v/>
      </c>
      <c r="R826" s="13" t="str">
        <f>IF($A826="","",[1]!thsiFinD("ths_adjustment_nv_fund",R$3,$A826))</f>
        <v/>
      </c>
      <c r="S826" s="13" t="str">
        <f>IF($A826="","",[1]!thsiFinD("ths_adjustment_nv_fund",S$3,$A826))</f>
        <v/>
      </c>
      <c r="T826" s="13" t="str">
        <f>IF($A826="","",[1]!thsiFinD("ths_adjustment_nv_fund",T$3,$A826))</f>
        <v/>
      </c>
      <c r="U826" s="13" t="str">
        <f>IF($A826="","",[1]!thsiFinD("ths_adjustment_nv_fund",U$3,$A826))</f>
        <v/>
      </c>
      <c r="V826" s="13" t="str">
        <f>IF($A826="","",[1]!thsiFinD("ths_adjustment_nv_fund",V$3,$A826))</f>
        <v/>
      </c>
      <c r="W826" s="13" t="str">
        <f>IF($A826="","",[1]!thsiFinD("ths_adjustment_nv_fund",W$3,$A826))</f>
        <v/>
      </c>
      <c r="X826" s="13" t="str">
        <f>IF($A826="","",[1]!thsiFinD("ths_adjustment_nv_fund",X$3,$A826))</f>
        <v/>
      </c>
      <c r="Y826" s="13" t="str">
        <f>IF($A826="","",[1]!thsiFinD("ths_adjustment_nv_fund",Y$3,$A826))</f>
        <v/>
      </c>
      <c r="Z826" s="13" t="str">
        <f>IF($A826="","",[1]!thsiFinD("ths_adjustment_nv_fund",Z$3,$A826))</f>
        <v/>
      </c>
      <c r="AA826" s="13" t="str">
        <f>IF($A826="","",[1]!thsiFinD("ths_adjustment_nv_fund",AA$3,$A826))</f>
        <v/>
      </c>
      <c r="AB826" s="13">
        <f>IF($A826="","",[1]!thsiFinD("ths_adjustment_nv_fund",AB$3,$A826))</f>
        <v/>
      </c>
      <c r="AC826" s="13">
        <f>IF($A826="","",[1]!thsiFinD("ths_adjustment_nv_fund",AC$3,$A826))</f>
        <v/>
      </c>
      <c r="AD826" s="13">
        <f>IF($A826="","",[1]!thsiFinD("ths_adjustment_nv_fund",AD$3,$A826))</f>
        <v/>
      </c>
      <c r="AE826" s="13">
        <f>IF($A826="","",[1]!thsiFinD("ths_adjustment_nv_fund",AE$3,$A826))</f>
        <v/>
      </c>
      <c r="AF826" s="13">
        <f>IF($A826="","",[1]!thsiFinD("ths_adjustment_nv_fund",AF$3,$A826))</f>
        <v/>
      </c>
      <c r="AG826" s="13">
        <f>IF($A826="","",[1]!thsiFinD("ths_adjustment_nv_fund",AG$3,$A826))</f>
        <v/>
      </c>
      <c r="AH826" s="13">
        <f>IF($A826="","",[1]!thsiFinD("ths_adjustment_nv_fund",AH$3,$A826))</f>
        <v/>
      </c>
      <c r="AI826" s="13">
        <f>IF($A826="","",[1]!thsiFinD("ths_adjustment_nv_fund",AI$3,$A826))</f>
        <v/>
      </c>
      <c r="AJ826" s="13">
        <f>IF($A826="","",[1]!thsiFinD("ths_adjustment_nv_fund",AJ$3,$A826))</f>
        <v/>
      </c>
      <c r="AK826" s="13">
        <f>IF($A826="","",[1]!thsiFinD("ths_adjustment_nv_fund",AK$3,$A826))</f>
        <v/>
      </c>
      <c r="AL826" s="13">
        <f>IF($A826="","",[1]!thsiFinD("ths_adjustment_nv_fund",AL$3,$A826))</f>
        <v/>
      </c>
    </row>
    <row r="827" spans="2:28">
      <c r="B827" s="13" t="str">
        <f>IF($A827="","",[1]!thsiFinD("ths_adjustment_nv_fund",B$3,$A827))</f>
        <v/>
      </c>
      <c r="C827" s="13" t="str">
        <f>IF($A827="","",[1]!thsiFinD("ths_adjustment_nv_fund",C$3,$A827))</f>
        <v/>
      </c>
      <c r="D827" s="13" t="str">
        <f>IF($A827="","",[1]!thsiFinD("ths_adjustment_nv_fund",D$3,$A827))</f>
        <v/>
      </c>
      <c r="E827" s="13" t="str">
        <f>IF($A827="","",[1]!thsiFinD("ths_adjustment_nv_fund",E$3,$A827))</f>
        <v/>
      </c>
      <c r="F827" s="13" t="str">
        <f>IF($A827="","",[1]!thsiFinD("ths_adjustment_nv_fund",F$3,$A827))</f>
        <v/>
      </c>
      <c r="G827" s="13" t="str">
        <f>IF($A827="","",[1]!thsiFinD("ths_adjustment_nv_fund",G$3,$A827))</f>
        <v/>
      </c>
      <c r="H827" s="13" t="str">
        <f>IF($A827="","",[1]!thsiFinD("ths_adjustment_nv_fund",H$3,$A827))</f>
        <v/>
      </c>
      <c r="I827" s="13" t="str">
        <f>IF($A827="","",[1]!thsiFinD("ths_adjustment_nv_fund",I$3,$A827))</f>
        <v/>
      </c>
      <c r="J827" s="13" t="str">
        <f>IF($A827="","",[1]!thsiFinD("ths_adjustment_nv_fund",J$3,$A827))</f>
        <v/>
      </c>
      <c r="K827" s="13" t="str">
        <f>IF($A827="","",[1]!thsiFinD("ths_adjustment_nv_fund",K$3,$A827))</f>
        <v/>
      </c>
      <c r="L827" s="13" t="str">
        <f>IF($A827="","",[1]!thsiFinD("ths_adjustment_nv_fund",L$3,$A827))</f>
        <v/>
      </c>
      <c r="M827" s="13" t="str">
        <f>IF($A827="","",[1]!thsiFinD("ths_adjustment_nv_fund",M$3,$A827))</f>
        <v/>
      </c>
      <c r="N827" s="13" t="str">
        <f>IF($A827="","",[1]!thsiFinD("ths_adjustment_nv_fund",N$3,$A827))</f>
        <v/>
      </c>
      <c r="O827" s="13" t="str">
        <f>IF($A827="","",[1]!thsiFinD("ths_adjustment_nv_fund",O$3,$A827))</f>
        <v/>
      </c>
      <c r="P827" s="13" t="str">
        <f>IF($A827="","",[1]!thsiFinD("ths_adjustment_nv_fund",P$3,$A827))</f>
        <v/>
      </c>
      <c r="Q827" s="13" t="str">
        <f>IF($A827="","",[1]!thsiFinD("ths_adjustment_nv_fund",Q$3,$A827))</f>
        <v/>
      </c>
      <c r="R827" s="13" t="str">
        <f>IF($A827="","",[1]!thsiFinD("ths_adjustment_nv_fund",R$3,$A827))</f>
        <v/>
      </c>
      <c r="S827" s="13" t="str">
        <f>IF($A827="","",[1]!thsiFinD("ths_adjustment_nv_fund",S$3,$A827))</f>
        <v/>
      </c>
      <c r="T827" s="13" t="str">
        <f>IF($A827="","",[1]!thsiFinD("ths_adjustment_nv_fund",T$3,$A827))</f>
        <v/>
      </c>
      <c r="U827" s="13" t="str">
        <f>IF($A827="","",[1]!thsiFinD("ths_adjustment_nv_fund",U$3,$A827))</f>
        <v/>
      </c>
      <c r="V827" s="13" t="str">
        <f>IF($A827="","",[1]!thsiFinD("ths_adjustment_nv_fund",V$3,$A827))</f>
        <v/>
      </c>
      <c r="W827" s="13" t="str">
        <f>IF($A827="","",[1]!thsiFinD("ths_adjustment_nv_fund",W$3,$A827))</f>
        <v/>
      </c>
      <c r="X827" s="13" t="str">
        <f>IF($A827="","",[1]!thsiFinD("ths_adjustment_nv_fund",X$3,$A827))</f>
        <v/>
      </c>
      <c r="Y827" s="13" t="str">
        <f>IF($A827="","",[1]!thsiFinD("ths_adjustment_nv_fund",Y$3,$A827))</f>
        <v/>
      </c>
      <c r="Z827" s="13" t="str">
        <f>IF($A827="","",[1]!thsiFinD("ths_adjustment_nv_fund",Z$3,$A827))</f>
        <v/>
      </c>
      <c r="AA827" s="13" t="str">
        <f>IF($A827="","",[1]!thsiFinD("ths_adjustment_nv_fund",AA$3,$A827))</f>
        <v/>
      </c>
      <c r="AB827" s="13">
        <f>IF($A827="","",[1]!thsiFinD("ths_adjustment_nv_fund",AB$3,$A827))</f>
        <v/>
      </c>
      <c r="AC827" s="13">
        <f>IF($A827="","",[1]!thsiFinD("ths_adjustment_nv_fund",AC$3,$A827))</f>
        <v/>
      </c>
      <c r="AD827" s="13">
        <f>IF($A827="","",[1]!thsiFinD("ths_adjustment_nv_fund",AD$3,$A827))</f>
        <v/>
      </c>
      <c r="AE827" s="13">
        <f>IF($A827="","",[1]!thsiFinD("ths_adjustment_nv_fund",AE$3,$A827))</f>
        <v/>
      </c>
      <c r="AF827" s="13">
        <f>IF($A827="","",[1]!thsiFinD("ths_adjustment_nv_fund",AF$3,$A827))</f>
        <v/>
      </c>
      <c r="AG827" s="13">
        <f>IF($A827="","",[1]!thsiFinD("ths_adjustment_nv_fund",AG$3,$A827))</f>
        <v/>
      </c>
      <c r="AH827" s="13">
        <f>IF($A827="","",[1]!thsiFinD("ths_adjustment_nv_fund",AH$3,$A827))</f>
        <v/>
      </c>
      <c r="AI827" s="13">
        <f>IF($A827="","",[1]!thsiFinD("ths_adjustment_nv_fund",AI$3,$A827))</f>
        <v/>
      </c>
      <c r="AJ827" s="13">
        <f>IF($A827="","",[1]!thsiFinD("ths_adjustment_nv_fund",AJ$3,$A827))</f>
        <v/>
      </c>
      <c r="AK827" s="13">
        <f>IF($A827="","",[1]!thsiFinD("ths_adjustment_nv_fund",AK$3,$A827))</f>
        <v/>
      </c>
      <c r="AL827" s="13">
        <f>IF($A827="","",[1]!thsiFinD("ths_adjustment_nv_fund",AL$3,$A827))</f>
        <v/>
      </c>
    </row>
    <row r="828" spans="2:28">
      <c r="B828" s="13" t="str">
        <f>IF($A828="","",[1]!thsiFinD("ths_adjustment_nv_fund",B$3,$A828))</f>
        <v/>
      </c>
      <c r="C828" s="13" t="str">
        <f>IF($A828="","",[1]!thsiFinD("ths_adjustment_nv_fund",C$3,$A828))</f>
        <v/>
      </c>
      <c r="D828" s="13" t="str">
        <f>IF($A828="","",[1]!thsiFinD("ths_adjustment_nv_fund",D$3,$A828))</f>
        <v/>
      </c>
      <c r="E828" s="13" t="str">
        <f>IF($A828="","",[1]!thsiFinD("ths_adjustment_nv_fund",E$3,$A828))</f>
        <v/>
      </c>
      <c r="F828" s="13" t="str">
        <f>IF($A828="","",[1]!thsiFinD("ths_adjustment_nv_fund",F$3,$A828))</f>
        <v/>
      </c>
      <c r="G828" s="13" t="str">
        <f>IF($A828="","",[1]!thsiFinD("ths_adjustment_nv_fund",G$3,$A828))</f>
        <v/>
      </c>
      <c r="H828" s="13" t="str">
        <f>IF($A828="","",[1]!thsiFinD("ths_adjustment_nv_fund",H$3,$A828))</f>
        <v/>
      </c>
      <c r="I828" s="13" t="str">
        <f>IF($A828="","",[1]!thsiFinD("ths_adjustment_nv_fund",I$3,$A828))</f>
        <v/>
      </c>
      <c r="J828" s="13" t="str">
        <f>IF($A828="","",[1]!thsiFinD("ths_adjustment_nv_fund",J$3,$A828))</f>
        <v/>
      </c>
      <c r="K828" s="13" t="str">
        <f>IF($A828="","",[1]!thsiFinD("ths_adjustment_nv_fund",K$3,$A828))</f>
        <v/>
      </c>
      <c r="L828" s="13" t="str">
        <f>IF($A828="","",[1]!thsiFinD("ths_adjustment_nv_fund",L$3,$A828))</f>
        <v/>
      </c>
      <c r="M828" s="13" t="str">
        <f>IF($A828="","",[1]!thsiFinD("ths_adjustment_nv_fund",M$3,$A828))</f>
        <v/>
      </c>
      <c r="N828" s="13" t="str">
        <f>IF($A828="","",[1]!thsiFinD("ths_adjustment_nv_fund",N$3,$A828))</f>
        <v/>
      </c>
      <c r="O828" s="13" t="str">
        <f>IF($A828="","",[1]!thsiFinD("ths_adjustment_nv_fund",O$3,$A828))</f>
        <v/>
      </c>
      <c r="P828" s="13" t="str">
        <f>IF($A828="","",[1]!thsiFinD("ths_adjustment_nv_fund",P$3,$A828))</f>
        <v/>
      </c>
      <c r="Q828" s="13" t="str">
        <f>IF($A828="","",[1]!thsiFinD("ths_adjustment_nv_fund",Q$3,$A828))</f>
        <v/>
      </c>
      <c r="R828" s="13" t="str">
        <f>IF($A828="","",[1]!thsiFinD("ths_adjustment_nv_fund",R$3,$A828))</f>
        <v/>
      </c>
      <c r="S828" s="13" t="str">
        <f>IF($A828="","",[1]!thsiFinD("ths_adjustment_nv_fund",S$3,$A828))</f>
        <v/>
      </c>
      <c r="T828" s="13" t="str">
        <f>IF($A828="","",[1]!thsiFinD("ths_adjustment_nv_fund",T$3,$A828))</f>
        <v/>
      </c>
      <c r="U828" s="13" t="str">
        <f>IF($A828="","",[1]!thsiFinD("ths_adjustment_nv_fund",U$3,$A828))</f>
        <v/>
      </c>
      <c r="V828" s="13" t="str">
        <f>IF($A828="","",[1]!thsiFinD("ths_adjustment_nv_fund",V$3,$A828))</f>
        <v/>
      </c>
      <c r="W828" s="13" t="str">
        <f>IF($A828="","",[1]!thsiFinD("ths_adjustment_nv_fund",W$3,$A828))</f>
        <v/>
      </c>
      <c r="X828" s="13" t="str">
        <f>IF($A828="","",[1]!thsiFinD("ths_adjustment_nv_fund",X$3,$A828))</f>
        <v/>
      </c>
      <c r="Y828" s="13" t="str">
        <f>IF($A828="","",[1]!thsiFinD("ths_adjustment_nv_fund",Y$3,$A828))</f>
        <v/>
      </c>
      <c r="Z828" s="13" t="str">
        <f>IF($A828="","",[1]!thsiFinD("ths_adjustment_nv_fund",Z$3,$A828))</f>
        <v/>
      </c>
      <c r="AA828" s="13" t="str">
        <f>IF($A828="","",[1]!thsiFinD("ths_adjustment_nv_fund",AA$3,$A828))</f>
        <v/>
      </c>
      <c r="AB828" s="13">
        <f>IF($A828="","",[1]!thsiFinD("ths_adjustment_nv_fund",AB$3,$A828))</f>
        <v/>
      </c>
      <c r="AC828" s="13">
        <f>IF($A828="","",[1]!thsiFinD("ths_adjustment_nv_fund",AC$3,$A828))</f>
        <v/>
      </c>
      <c r="AD828" s="13">
        <f>IF($A828="","",[1]!thsiFinD("ths_adjustment_nv_fund",AD$3,$A828))</f>
        <v/>
      </c>
      <c r="AE828" s="13">
        <f>IF($A828="","",[1]!thsiFinD("ths_adjustment_nv_fund",AE$3,$A828))</f>
        <v/>
      </c>
      <c r="AF828" s="13">
        <f>IF($A828="","",[1]!thsiFinD("ths_adjustment_nv_fund",AF$3,$A828))</f>
        <v/>
      </c>
      <c r="AG828" s="13">
        <f>IF($A828="","",[1]!thsiFinD("ths_adjustment_nv_fund",AG$3,$A828))</f>
        <v/>
      </c>
      <c r="AH828" s="13">
        <f>IF($A828="","",[1]!thsiFinD("ths_adjustment_nv_fund",AH$3,$A828))</f>
        <v/>
      </c>
      <c r="AI828" s="13">
        <f>IF($A828="","",[1]!thsiFinD("ths_adjustment_nv_fund",AI$3,$A828))</f>
        <v/>
      </c>
      <c r="AJ828" s="13">
        <f>IF($A828="","",[1]!thsiFinD("ths_adjustment_nv_fund",AJ$3,$A828))</f>
        <v/>
      </c>
      <c r="AK828" s="13">
        <f>IF($A828="","",[1]!thsiFinD("ths_adjustment_nv_fund",AK$3,$A828))</f>
        <v/>
      </c>
      <c r="AL828" s="13">
        <f>IF($A828="","",[1]!thsiFinD("ths_adjustment_nv_fund",AL$3,$A828))</f>
        <v/>
      </c>
    </row>
    <row r="829" spans="2:28">
      <c r="B829" s="13" t="str">
        <f>IF($A829="","",[1]!thsiFinD("ths_adjustment_nv_fund",B$3,$A829))</f>
        <v/>
      </c>
      <c r="C829" s="13" t="str">
        <f>IF($A829="","",[1]!thsiFinD("ths_adjustment_nv_fund",C$3,$A829))</f>
        <v/>
      </c>
      <c r="D829" s="13" t="str">
        <f>IF($A829="","",[1]!thsiFinD("ths_adjustment_nv_fund",D$3,$A829))</f>
        <v/>
      </c>
      <c r="E829" s="13" t="str">
        <f>IF($A829="","",[1]!thsiFinD("ths_adjustment_nv_fund",E$3,$A829))</f>
        <v/>
      </c>
      <c r="F829" s="13" t="str">
        <f>IF($A829="","",[1]!thsiFinD("ths_adjustment_nv_fund",F$3,$A829))</f>
        <v/>
      </c>
      <c r="G829" s="13" t="str">
        <f>IF($A829="","",[1]!thsiFinD("ths_adjustment_nv_fund",G$3,$A829))</f>
        <v/>
      </c>
      <c r="H829" s="13" t="str">
        <f>IF($A829="","",[1]!thsiFinD("ths_adjustment_nv_fund",H$3,$A829))</f>
        <v/>
      </c>
      <c r="I829" s="13" t="str">
        <f>IF($A829="","",[1]!thsiFinD("ths_adjustment_nv_fund",I$3,$A829))</f>
        <v/>
      </c>
      <c r="J829" s="13" t="str">
        <f>IF($A829="","",[1]!thsiFinD("ths_adjustment_nv_fund",J$3,$A829))</f>
        <v/>
      </c>
      <c r="K829" s="13" t="str">
        <f>IF($A829="","",[1]!thsiFinD("ths_adjustment_nv_fund",K$3,$A829))</f>
        <v/>
      </c>
      <c r="L829" s="13" t="str">
        <f>IF($A829="","",[1]!thsiFinD("ths_adjustment_nv_fund",L$3,$A829))</f>
        <v/>
      </c>
      <c r="M829" s="13" t="str">
        <f>IF($A829="","",[1]!thsiFinD("ths_adjustment_nv_fund",M$3,$A829))</f>
        <v/>
      </c>
      <c r="N829" s="13" t="str">
        <f>IF($A829="","",[1]!thsiFinD("ths_adjustment_nv_fund",N$3,$A829))</f>
        <v/>
      </c>
      <c r="O829" s="13" t="str">
        <f>IF($A829="","",[1]!thsiFinD("ths_adjustment_nv_fund",O$3,$A829))</f>
        <v/>
      </c>
      <c r="P829" s="13" t="str">
        <f>IF($A829="","",[1]!thsiFinD("ths_adjustment_nv_fund",P$3,$A829))</f>
        <v/>
      </c>
      <c r="Q829" s="13" t="str">
        <f>IF($A829="","",[1]!thsiFinD("ths_adjustment_nv_fund",Q$3,$A829))</f>
        <v/>
      </c>
      <c r="R829" s="13" t="str">
        <f>IF($A829="","",[1]!thsiFinD("ths_adjustment_nv_fund",R$3,$A829))</f>
        <v/>
      </c>
      <c r="S829" s="13" t="str">
        <f>IF($A829="","",[1]!thsiFinD("ths_adjustment_nv_fund",S$3,$A829))</f>
        <v/>
      </c>
      <c r="T829" s="13" t="str">
        <f>IF($A829="","",[1]!thsiFinD("ths_adjustment_nv_fund",T$3,$A829))</f>
        <v/>
      </c>
      <c r="U829" s="13" t="str">
        <f>IF($A829="","",[1]!thsiFinD("ths_adjustment_nv_fund",U$3,$A829))</f>
        <v/>
      </c>
      <c r="V829" s="13" t="str">
        <f>IF($A829="","",[1]!thsiFinD("ths_adjustment_nv_fund",V$3,$A829))</f>
        <v/>
      </c>
      <c r="W829" s="13" t="str">
        <f>IF($A829="","",[1]!thsiFinD("ths_adjustment_nv_fund",W$3,$A829))</f>
        <v/>
      </c>
      <c r="X829" s="13" t="str">
        <f>IF($A829="","",[1]!thsiFinD("ths_adjustment_nv_fund",X$3,$A829))</f>
        <v/>
      </c>
      <c r="Y829" s="13" t="str">
        <f>IF($A829="","",[1]!thsiFinD("ths_adjustment_nv_fund",Y$3,$A829))</f>
        <v/>
      </c>
      <c r="Z829" s="13" t="str">
        <f>IF($A829="","",[1]!thsiFinD("ths_adjustment_nv_fund",Z$3,$A829))</f>
        <v/>
      </c>
      <c r="AA829" s="13" t="str">
        <f>IF($A829="","",[1]!thsiFinD("ths_adjustment_nv_fund",AA$3,$A829))</f>
        <v/>
      </c>
      <c r="AB829" s="13">
        <f>IF($A829="","",[1]!thsiFinD("ths_adjustment_nv_fund",AB$3,$A829))</f>
        <v/>
      </c>
      <c r="AC829" s="13">
        <f>IF($A829="","",[1]!thsiFinD("ths_adjustment_nv_fund",AC$3,$A829))</f>
        <v/>
      </c>
      <c r="AD829" s="13">
        <f>IF($A829="","",[1]!thsiFinD("ths_adjustment_nv_fund",AD$3,$A829))</f>
        <v/>
      </c>
      <c r="AE829" s="13">
        <f>IF($A829="","",[1]!thsiFinD("ths_adjustment_nv_fund",AE$3,$A829))</f>
        <v/>
      </c>
      <c r="AF829" s="13">
        <f>IF($A829="","",[1]!thsiFinD("ths_adjustment_nv_fund",AF$3,$A829))</f>
        <v/>
      </c>
      <c r="AG829" s="13">
        <f>IF($A829="","",[1]!thsiFinD("ths_adjustment_nv_fund",AG$3,$A829))</f>
        <v/>
      </c>
      <c r="AH829" s="13">
        <f>IF($A829="","",[1]!thsiFinD("ths_adjustment_nv_fund",AH$3,$A829))</f>
        <v/>
      </c>
      <c r="AI829" s="13">
        <f>IF($A829="","",[1]!thsiFinD("ths_adjustment_nv_fund",AI$3,$A829))</f>
        <v/>
      </c>
      <c r="AJ829" s="13">
        <f>IF($A829="","",[1]!thsiFinD("ths_adjustment_nv_fund",AJ$3,$A829))</f>
        <v/>
      </c>
      <c r="AK829" s="13">
        <f>IF($A829="","",[1]!thsiFinD("ths_adjustment_nv_fund",AK$3,$A829))</f>
        <v/>
      </c>
      <c r="AL829" s="13">
        <f>IF($A829="","",[1]!thsiFinD("ths_adjustment_nv_fund",AL$3,$A829))</f>
        <v/>
      </c>
    </row>
    <row r="830" spans="2:28">
      <c r="B830" s="13" t="str">
        <f>IF($A830="","",[1]!thsiFinD("ths_adjustment_nv_fund",B$3,$A830))</f>
        <v/>
      </c>
      <c r="C830" s="13" t="str">
        <f>IF($A830="","",[1]!thsiFinD("ths_adjustment_nv_fund",C$3,$A830))</f>
        <v/>
      </c>
      <c r="D830" s="13" t="str">
        <f>IF($A830="","",[1]!thsiFinD("ths_adjustment_nv_fund",D$3,$A830))</f>
        <v/>
      </c>
      <c r="E830" s="13" t="str">
        <f>IF($A830="","",[1]!thsiFinD("ths_adjustment_nv_fund",E$3,$A830))</f>
        <v/>
      </c>
      <c r="F830" s="13" t="str">
        <f>IF($A830="","",[1]!thsiFinD("ths_adjustment_nv_fund",F$3,$A830))</f>
        <v/>
      </c>
      <c r="G830" s="13" t="str">
        <f>IF($A830="","",[1]!thsiFinD("ths_adjustment_nv_fund",G$3,$A830))</f>
        <v/>
      </c>
      <c r="H830" s="13" t="str">
        <f>IF($A830="","",[1]!thsiFinD("ths_adjustment_nv_fund",H$3,$A830))</f>
        <v/>
      </c>
      <c r="I830" s="13" t="str">
        <f>IF($A830="","",[1]!thsiFinD("ths_adjustment_nv_fund",I$3,$A830))</f>
        <v/>
      </c>
      <c r="J830" s="13" t="str">
        <f>IF($A830="","",[1]!thsiFinD("ths_adjustment_nv_fund",J$3,$A830))</f>
        <v/>
      </c>
      <c r="K830" s="13" t="str">
        <f>IF($A830="","",[1]!thsiFinD("ths_adjustment_nv_fund",K$3,$A830))</f>
        <v/>
      </c>
      <c r="L830" s="13" t="str">
        <f>IF($A830="","",[1]!thsiFinD("ths_adjustment_nv_fund",L$3,$A830))</f>
        <v/>
      </c>
      <c r="M830" s="13" t="str">
        <f>IF($A830="","",[1]!thsiFinD("ths_adjustment_nv_fund",M$3,$A830))</f>
        <v/>
      </c>
      <c r="N830" s="13" t="str">
        <f>IF($A830="","",[1]!thsiFinD("ths_adjustment_nv_fund",N$3,$A830))</f>
        <v/>
      </c>
      <c r="O830" s="13" t="str">
        <f>IF($A830="","",[1]!thsiFinD("ths_adjustment_nv_fund",O$3,$A830))</f>
        <v/>
      </c>
      <c r="P830" s="13" t="str">
        <f>IF($A830="","",[1]!thsiFinD("ths_adjustment_nv_fund",P$3,$A830))</f>
        <v/>
      </c>
      <c r="Q830" s="13" t="str">
        <f>IF($A830="","",[1]!thsiFinD("ths_adjustment_nv_fund",Q$3,$A830))</f>
        <v/>
      </c>
      <c r="R830" s="13" t="str">
        <f>IF($A830="","",[1]!thsiFinD("ths_adjustment_nv_fund",R$3,$A830))</f>
        <v/>
      </c>
      <c r="S830" s="13" t="str">
        <f>IF($A830="","",[1]!thsiFinD("ths_adjustment_nv_fund",S$3,$A830))</f>
        <v/>
      </c>
      <c r="T830" s="13" t="str">
        <f>IF($A830="","",[1]!thsiFinD("ths_adjustment_nv_fund",T$3,$A830))</f>
        <v/>
      </c>
      <c r="U830" s="13" t="str">
        <f>IF($A830="","",[1]!thsiFinD("ths_adjustment_nv_fund",U$3,$A830))</f>
        <v/>
      </c>
      <c r="V830" s="13" t="str">
        <f>IF($A830="","",[1]!thsiFinD("ths_adjustment_nv_fund",V$3,$A830))</f>
        <v/>
      </c>
      <c r="W830" s="13" t="str">
        <f>IF($A830="","",[1]!thsiFinD("ths_adjustment_nv_fund",W$3,$A830))</f>
        <v/>
      </c>
      <c r="X830" s="13" t="str">
        <f>IF($A830="","",[1]!thsiFinD("ths_adjustment_nv_fund",X$3,$A830))</f>
        <v/>
      </c>
      <c r="Y830" s="13" t="str">
        <f>IF($A830="","",[1]!thsiFinD("ths_adjustment_nv_fund",Y$3,$A830))</f>
        <v/>
      </c>
      <c r="Z830" s="13" t="str">
        <f>IF($A830="","",[1]!thsiFinD("ths_adjustment_nv_fund",Z$3,$A830))</f>
        <v/>
      </c>
      <c r="AA830" s="13" t="str">
        <f>IF($A830="","",[1]!thsiFinD("ths_adjustment_nv_fund",AA$3,$A830))</f>
        <v/>
      </c>
      <c r="AB830" s="13">
        <f>IF($A830="","",[1]!thsiFinD("ths_adjustment_nv_fund",AB$3,$A830))</f>
        <v/>
      </c>
      <c r="AC830" s="13">
        <f>IF($A830="","",[1]!thsiFinD("ths_adjustment_nv_fund",AC$3,$A830))</f>
        <v/>
      </c>
      <c r="AD830" s="13">
        <f>IF($A830="","",[1]!thsiFinD("ths_adjustment_nv_fund",AD$3,$A830))</f>
        <v/>
      </c>
      <c r="AE830" s="13">
        <f>IF($A830="","",[1]!thsiFinD("ths_adjustment_nv_fund",AE$3,$A830))</f>
        <v/>
      </c>
      <c r="AF830" s="13">
        <f>IF($A830="","",[1]!thsiFinD("ths_adjustment_nv_fund",AF$3,$A830))</f>
        <v/>
      </c>
      <c r="AG830" s="13">
        <f>IF($A830="","",[1]!thsiFinD("ths_adjustment_nv_fund",AG$3,$A830))</f>
        <v/>
      </c>
      <c r="AH830" s="13">
        <f>IF($A830="","",[1]!thsiFinD("ths_adjustment_nv_fund",AH$3,$A830))</f>
        <v/>
      </c>
      <c r="AI830" s="13">
        <f>IF($A830="","",[1]!thsiFinD("ths_adjustment_nv_fund",AI$3,$A830))</f>
        <v/>
      </c>
      <c r="AJ830" s="13">
        <f>IF($A830="","",[1]!thsiFinD("ths_adjustment_nv_fund",AJ$3,$A830))</f>
        <v/>
      </c>
      <c r="AK830" s="13">
        <f>IF($A830="","",[1]!thsiFinD("ths_adjustment_nv_fund",AK$3,$A830))</f>
        <v/>
      </c>
      <c r="AL830" s="13">
        <f>IF($A830="","",[1]!thsiFinD("ths_adjustment_nv_fund",AL$3,$A830))</f>
        <v/>
      </c>
    </row>
    <row r="831" spans="2:28">
      <c r="B831" s="13" t="str">
        <f>IF($A831="","",[1]!thsiFinD("ths_adjustment_nv_fund",B$3,$A831))</f>
        <v/>
      </c>
      <c r="C831" s="13" t="str">
        <f>IF($A831="","",[1]!thsiFinD("ths_adjustment_nv_fund",C$3,$A831))</f>
        <v/>
      </c>
      <c r="D831" s="13" t="str">
        <f>IF($A831="","",[1]!thsiFinD("ths_adjustment_nv_fund",D$3,$A831))</f>
        <v/>
      </c>
      <c r="E831" s="13" t="str">
        <f>IF($A831="","",[1]!thsiFinD("ths_adjustment_nv_fund",E$3,$A831))</f>
        <v/>
      </c>
      <c r="F831" s="13" t="str">
        <f>IF($A831="","",[1]!thsiFinD("ths_adjustment_nv_fund",F$3,$A831))</f>
        <v/>
      </c>
      <c r="G831" s="13" t="str">
        <f>IF($A831="","",[1]!thsiFinD("ths_adjustment_nv_fund",G$3,$A831))</f>
        <v/>
      </c>
      <c r="H831" s="13" t="str">
        <f>IF($A831="","",[1]!thsiFinD("ths_adjustment_nv_fund",H$3,$A831))</f>
        <v/>
      </c>
      <c r="I831" s="13" t="str">
        <f>IF($A831="","",[1]!thsiFinD("ths_adjustment_nv_fund",I$3,$A831))</f>
        <v/>
      </c>
      <c r="J831" s="13" t="str">
        <f>IF($A831="","",[1]!thsiFinD("ths_adjustment_nv_fund",J$3,$A831))</f>
        <v/>
      </c>
      <c r="K831" s="13" t="str">
        <f>IF($A831="","",[1]!thsiFinD("ths_adjustment_nv_fund",K$3,$A831))</f>
        <v/>
      </c>
      <c r="L831" s="13" t="str">
        <f>IF($A831="","",[1]!thsiFinD("ths_adjustment_nv_fund",L$3,$A831))</f>
        <v/>
      </c>
      <c r="M831" s="13" t="str">
        <f>IF($A831="","",[1]!thsiFinD("ths_adjustment_nv_fund",M$3,$A831))</f>
        <v/>
      </c>
      <c r="N831" s="13" t="str">
        <f>IF($A831="","",[1]!thsiFinD("ths_adjustment_nv_fund",N$3,$A831))</f>
        <v/>
      </c>
      <c r="O831" s="13" t="str">
        <f>IF($A831="","",[1]!thsiFinD("ths_adjustment_nv_fund",O$3,$A831))</f>
        <v/>
      </c>
      <c r="P831" s="13" t="str">
        <f>IF($A831="","",[1]!thsiFinD("ths_adjustment_nv_fund",P$3,$A831))</f>
        <v/>
      </c>
      <c r="Q831" s="13" t="str">
        <f>IF($A831="","",[1]!thsiFinD("ths_adjustment_nv_fund",Q$3,$A831))</f>
        <v/>
      </c>
      <c r="R831" s="13" t="str">
        <f>IF($A831="","",[1]!thsiFinD("ths_adjustment_nv_fund",R$3,$A831))</f>
        <v/>
      </c>
      <c r="S831" s="13" t="str">
        <f>IF($A831="","",[1]!thsiFinD("ths_adjustment_nv_fund",S$3,$A831))</f>
        <v/>
      </c>
      <c r="T831" s="13" t="str">
        <f>IF($A831="","",[1]!thsiFinD("ths_adjustment_nv_fund",T$3,$A831))</f>
        <v/>
      </c>
      <c r="U831" s="13" t="str">
        <f>IF($A831="","",[1]!thsiFinD("ths_adjustment_nv_fund",U$3,$A831))</f>
        <v/>
      </c>
      <c r="V831" s="13" t="str">
        <f>IF($A831="","",[1]!thsiFinD("ths_adjustment_nv_fund",V$3,$A831))</f>
        <v/>
      </c>
      <c r="W831" s="13" t="str">
        <f>IF($A831="","",[1]!thsiFinD("ths_adjustment_nv_fund",W$3,$A831))</f>
        <v/>
      </c>
      <c r="X831" s="13" t="str">
        <f>IF($A831="","",[1]!thsiFinD("ths_adjustment_nv_fund",X$3,$A831))</f>
        <v/>
      </c>
      <c r="Y831" s="13" t="str">
        <f>IF($A831="","",[1]!thsiFinD("ths_adjustment_nv_fund",Y$3,$A831))</f>
        <v/>
      </c>
      <c r="Z831" s="13" t="str">
        <f>IF($A831="","",[1]!thsiFinD("ths_adjustment_nv_fund",Z$3,$A831))</f>
        <v/>
      </c>
      <c r="AA831" s="13" t="str">
        <f>IF($A831="","",[1]!thsiFinD("ths_adjustment_nv_fund",AA$3,$A831))</f>
        <v/>
      </c>
      <c r="AB831" s="13">
        <f>IF($A831="","",[1]!thsiFinD("ths_adjustment_nv_fund",AB$3,$A831))</f>
        <v/>
      </c>
      <c r="AC831" s="13">
        <f>IF($A831="","",[1]!thsiFinD("ths_adjustment_nv_fund",AC$3,$A831))</f>
        <v/>
      </c>
      <c r="AD831" s="13">
        <f>IF($A831="","",[1]!thsiFinD("ths_adjustment_nv_fund",AD$3,$A831))</f>
        <v/>
      </c>
      <c r="AE831" s="13">
        <f>IF($A831="","",[1]!thsiFinD("ths_adjustment_nv_fund",AE$3,$A831))</f>
        <v/>
      </c>
      <c r="AF831" s="13">
        <f>IF($A831="","",[1]!thsiFinD("ths_adjustment_nv_fund",AF$3,$A831))</f>
        <v/>
      </c>
      <c r="AG831" s="13">
        <f>IF($A831="","",[1]!thsiFinD("ths_adjustment_nv_fund",AG$3,$A831))</f>
        <v/>
      </c>
      <c r="AH831" s="13">
        <f>IF($A831="","",[1]!thsiFinD("ths_adjustment_nv_fund",AH$3,$A831))</f>
        <v/>
      </c>
      <c r="AI831" s="13">
        <f>IF($A831="","",[1]!thsiFinD("ths_adjustment_nv_fund",AI$3,$A831))</f>
        <v/>
      </c>
      <c r="AJ831" s="13">
        <f>IF($A831="","",[1]!thsiFinD("ths_adjustment_nv_fund",AJ$3,$A831))</f>
        <v/>
      </c>
      <c r="AK831" s="13">
        <f>IF($A831="","",[1]!thsiFinD("ths_adjustment_nv_fund",AK$3,$A831))</f>
        <v/>
      </c>
      <c r="AL831" s="13">
        <f>IF($A831="","",[1]!thsiFinD("ths_adjustment_nv_fund",AL$3,$A831))</f>
        <v/>
      </c>
    </row>
    <row r="832" spans="2:28">
      <c r="B832" s="13" t="str">
        <f>IF($A832="","",[1]!thsiFinD("ths_adjustment_nv_fund",B$3,$A832))</f>
        <v/>
      </c>
      <c r="C832" s="13" t="str">
        <f>IF($A832="","",[1]!thsiFinD("ths_adjustment_nv_fund",C$3,$A832))</f>
        <v/>
      </c>
      <c r="D832" s="13" t="str">
        <f>IF($A832="","",[1]!thsiFinD("ths_adjustment_nv_fund",D$3,$A832))</f>
        <v/>
      </c>
      <c r="E832" s="13" t="str">
        <f>IF($A832="","",[1]!thsiFinD("ths_adjustment_nv_fund",E$3,$A832))</f>
        <v/>
      </c>
      <c r="F832" s="13" t="str">
        <f>IF($A832="","",[1]!thsiFinD("ths_adjustment_nv_fund",F$3,$A832))</f>
        <v/>
      </c>
      <c r="G832" s="13" t="str">
        <f>IF($A832="","",[1]!thsiFinD("ths_adjustment_nv_fund",G$3,$A832))</f>
        <v/>
      </c>
      <c r="H832" s="13" t="str">
        <f>IF($A832="","",[1]!thsiFinD("ths_adjustment_nv_fund",H$3,$A832))</f>
        <v/>
      </c>
      <c r="I832" s="13" t="str">
        <f>IF($A832="","",[1]!thsiFinD("ths_adjustment_nv_fund",I$3,$A832))</f>
        <v/>
      </c>
      <c r="J832" s="13" t="str">
        <f>IF($A832="","",[1]!thsiFinD("ths_adjustment_nv_fund",J$3,$A832))</f>
        <v/>
      </c>
      <c r="K832" s="13" t="str">
        <f>IF($A832="","",[1]!thsiFinD("ths_adjustment_nv_fund",K$3,$A832))</f>
        <v/>
      </c>
      <c r="L832" s="13" t="str">
        <f>IF($A832="","",[1]!thsiFinD("ths_adjustment_nv_fund",L$3,$A832))</f>
        <v/>
      </c>
      <c r="M832" s="13" t="str">
        <f>IF($A832="","",[1]!thsiFinD("ths_adjustment_nv_fund",M$3,$A832))</f>
        <v/>
      </c>
      <c r="N832" s="13" t="str">
        <f>IF($A832="","",[1]!thsiFinD("ths_adjustment_nv_fund",N$3,$A832))</f>
        <v/>
      </c>
      <c r="O832" s="13" t="str">
        <f>IF($A832="","",[1]!thsiFinD("ths_adjustment_nv_fund",O$3,$A832))</f>
        <v/>
      </c>
      <c r="P832" s="13" t="str">
        <f>IF($A832="","",[1]!thsiFinD("ths_adjustment_nv_fund",P$3,$A832))</f>
        <v/>
      </c>
      <c r="Q832" s="13" t="str">
        <f>IF($A832="","",[1]!thsiFinD("ths_adjustment_nv_fund",Q$3,$A832))</f>
        <v/>
      </c>
      <c r="R832" s="13" t="str">
        <f>IF($A832="","",[1]!thsiFinD("ths_adjustment_nv_fund",R$3,$A832))</f>
        <v/>
      </c>
      <c r="S832" s="13" t="str">
        <f>IF($A832="","",[1]!thsiFinD("ths_adjustment_nv_fund",S$3,$A832))</f>
        <v/>
      </c>
      <c r="T832" s="13" t="str">
        <f>IF($A832="","",[1]!thsiFinD("ths_adjustment_nv_fund",T$3,$A832))</f>
        <v/>
      </c>
      <c r="U832" s="13" t="str">
        <f>IF($A832="","",[1]!thsiFinD("ths_adjustment_nv_fund",U$3,$A832))</f>
        <v/>
      </c>
      <c r="V832" s="13" t="str">
        <f>IF($A832="","",[1]!thsiFinD("ths_adjustment_nv_fund",V$3,$A832))</f>
        <v/>
      </c>
      <c r="W832" s="13" t="str">
        <f>IF($A832="","",[1]!thsiFinD("ths_adjustment_nv_fund",W$3,$A832))</f>
        <v/>
      </c>
      <c r="X832" s="13" t="str">
        <f>IF($A832="","",[1]!thsiFinD("ths_adjustment_nv_fund",X$3,$A832))</f>
        <v/>
      </c>
      <c r="Y832" s="13" t="str">
        <f>IF($A832="","",[1]!thsiFinD("ths_adjustment_nv_fund",Y$3,$A832))</f>
        <v/>
      </c>
      <c r="Z832" s="13" t="str">
        <f>IF($A832="","",[1]!thsiFinD("ths_adjustment_nv_fund",Z$3,$A832))</f>
        <v/>
      </c>
      <c r="AA832" s="13" t="str">
        <f>IF($A832="","",[1]!thsiFinD("ths_adjustment_nv_fund",AA$3,$A832))</f>
        <v/>
      </c>
      <c r="AB832" s="13">
        <f>IF($A832="","",[1]!thsiFinD("ths_adjustment_nv_fund",AB$3,$A832))</f>
        <v/>
      </c>
      <c r="AC832" s="13">
        <f>IF($A832="","",[1]!thsiFinD("ths_adjustment_nv_fund",AC$3,$A832))</f>
        <v/>
      </c>
      <c r="AD832" s="13">
        <f>IF($A832="","",[1]!thsiFinD("ths_adjustment_nv_fund",AD$3,$A832))</f>
        <v/>
      </c>
      <c r="AE832" s="13">
        <f>IF($A832="","",[1]!thsiFinD("ths_adjustment_nv_fund",AE$3,$A832))</f>
        <v/>
      </c>
      <c r="AF832" s="13">
        <f>IF($A832="","",[1]!thsiFinD("ths_adjustment_nv_fund",AF$3,$A832))</f>
        <v/>
      </c>
      <c r="AG832" s="13">
        <f>IF($A832="","",[1]!thsiFinD("ths_adjustment_nv_fund",AG$3,$A832))</f>
        <v/>
      </c>
      <c r="AH832" s="13">
        <f>IF($A832="","",[1]!thsiFinD("ths_adjustment_nv_fund",AH$3,$A832))</f>
        <v/>
      </c>
      <c r="AI832" s="13">
        <f>IF($A832="","",[1]!thsiFinD("ths_adjustment_nv_fund",AI$3,$A832))</f>
        <v/>
      </c>
      <c r="AJ832" s="13">
        <f>IF($A832="","",[1]!thsiFinD("ths_adjustment_nv_fund",AJ$3,$A832))</f>
        <v/>
      </c>
      <c r="AK832" s="13">
        <f>IF($A832="","",[1]!thsiFinD("ths_adjustment_nv_fund",AK$3,$A832))</f>
        <v/>
      </c>
      <c r="AL832" s="13">
        <f>IF($A832="","",[1]!thsiFinD("ths_adjustment_nv_fund",AL$3,$A832))</f>
        <v/>
      </c>
    </row>
    <row r="833" spans="2:28">
      <c r="B833" s="13" t="str">
        <f>IF($A833="","",[1]!thsiFinD("ths_adjustment_nv_fund",B$3,$A833))</f>
        <v/>
      </c>
      <c r="C833" s="13" t="str">
        <f>IF($A833="","",[1]!thsiFinD("ths_adjustment_nv_fund",C$3,$A833))</f>
        <v/>
      </c>
      <c r="D833" s="13" t="str">
        <f>IF($A833="","",[1]!thsiFinD("ths_adjustment_nv_fund",D$3,$A833))</f>
        <v/>
      </c>
      <c r="E833" s="13" t="str">
        <f>IF($A833="","",[1]!thsiFinD("ths_adjustment_nv_fund",E$3,$A833))</f>
        <v/>
      </c>
      <c r="F833" s="13" t="str">
        <f>IF($A833="","",[1]!thsiFinD("ths_adjustment_nv_fund",F$3,$A833))</f>
        <v/>
      </c>
      <c r="G833" s="13" t="str">
        <f>IF($A833="","",[1]!thsiFinD("ths_adjustment_nv_fund",G$3,$A833))</f>
        <v/>
      </c>
      <c r="H833" s="13" t="str">
        <f>IF($A833="","",[1]!thsiFinD("ths_adjustment_nv_fund",H$3,$A833))</f>
        <v/>
      </c>
      <c r="I833" s="13" t="str">
        <f>IF($A833="","",[1]!thsiFinD("ths_adjustment_nv_fund",I$3,$A833))</f>
        <v/>
      </c>
      <c r="J833" s="13" t="str">
        <f>IF($A833="","",[1]!thsiFinD("ths_adjustment_nv_fund",J$3,$A833))</f>
        <v/>
      </c>
      <c r="K833" s="13" t="str">
        <f>IF($A833="","",[1]!thsiFinD("ths_adjustment_nv_fund",K$3,$A833))</f>
        <v/>
      </c>
      <c r="L833" s="13" t="str">
        <f>IF($A833="","",[1]!thsiFinD("ths_adjustment_nv_fund",L$3,$A833))</f>
        <v/>
      </c>
      <c r="M833" s="13" t="str">
        <f>IF($A833="","",[1]!thsiFinD("ths_adjustment_nv_fund",M$3,$A833))</f>
        <v/>
      </c>
      <c r="N833" s="13" t="str">
        <f>IF($A833="","",[1]!thsiFinD("ths_adjustment_nv_fund",N$3,$A833))</f>
        <v/>
      </c>
      <c r="O833" s="13" t="str">
        <f>IF($A833="","",[1]!thsiFinD("ths_adjustment_nv_fund",O$3,$A833))</f>
        <v/>
      </c>
      <c r="P833" s="13" t="str">
        <f>IF($A833="","",[1]!thsiFinD("ths_adjustment_nv_fund",P$3,$A833))</f>
        <v/>
      </c>
      <c r="Q833" s="13" t="str">
        <f>IF($A833="","",[1]!thsiFinD("ths_adjustment_nv_fund",Q$3,$A833))</f>
        <v/>
      </c>
      <c r="R833" s="13" t="str">
        <f>IF($A833="","",[1]!thsiFinD("ths_adjustment_nv_fund",R$3,$A833))</f>
        <v/>
      </c>
      <c r="S833" s="13" t="str">
        <f>IF($A833="","",[1]!thsiFinD("ths_adjustment_nv_fund",S$3,$A833))</f>
        <v/>
      </c>
      <c r="T833" s="13" t="str">
        <f>IF($A833="","",[1]!thsiFinD("ths_adjustment_nv_fund",T$3,$A833))</f>
        <v/>
      </c>
      <c r="U833" s="13" t="str">
        <f>IF($A833="","",[1]!thsiFinD("ths_adjustment_nv_fund",U$3,$A833))</f>
        <v/>
      </c>
      <c r="V833" s="13" t="str">
        <f>IF($A833="","",[1]!thsiFinD("ths_adjustment_nv_fund",V$3,$A833))</f>
        <v/>
      </c>
      <c r="W833" s="13" t="str">
        <f>IF($A833="","",[1]!thsiFinD("ths_adjustment_nv_fund",W$3,$A833))</f>
        <v/>
      </c>
      <c r="X833" s="13" t="str">
        <f>IF($A833="","",[1]!thsiFinD("ths_adjustment_nv_fund",X$3,$A833))</f>
        <v/>
      </c>
      <c r="Y833" s="13" t="str">
        <f>IF($A833="","",[1]!thsiFinD("ths_adjustment_nv_fund",Y$3,$A833))</f>
        <v/>
      </c>
      <c r="Z833" s="13" t="str">
        <f>IF($A833="","",[1]!thsiFinD("ths_adjustment_nv_fund",Z$3,$A833))</f>
        <v/>
      </c>
      <c r="AA833" s="13" t="str">
        <f>IF($A833="","",[1]!thsiFinD("ths_adjustment_nv_fund",AA$3,$A833))</f>
        <v/>
      </c>
      <c r="AB833" s="13">
        <f>IF($A833="","",[1]!thsiFinD("ths_adjustment_nv_fund",AB$3,$A833))</f>
        <v/>
      </c>
      <c r="AC833" s="13">
        <f>IF($A833="","",[1]!thsiFinD("ths_adjustment_nv_fund",AC$3,$A833))</f>
        <v/>
      </c>
      <c r="AD833" s="13">
        <f>IF($A833="","",[1]!thsiFinD("ths_adjustment_nv_fund",AD$3,$A833))</f>
        <v/>
      </c>
      <c r="AE833" s="13">
        <f>IF($A833="","",[1]!thsiFinD("ths_adjustment_nv_fund",AE$3,$A833))</f>
        <v/>
      </c>
      <c r="AF833" s="13">
        <f>IF($A833="","",[1]!thsiFinD("ths_adjustment_nv_fund",AF$3,$A833))</f>
        <v/>
      </c>
      <c r="AG833" s="13">
        <f>IF($A833="","",[1]!thsiFinD("ths_adjustment_nv_fund",AG$3,$A833))</f>
        <v/>
      </c>
      <c r="AH833" s="13">
        <f>IF($A833="","",[1]!thsiFinD("ths_adjustment_nv_fund",AH$3,$A833))</f>
        <v/>
      </c>
      <c r="AI833" s="13">
        <f>IF($A833="","",[1]!thsiFinD("ths_adjustment_nv_fund",AI$3,$A833))</f>
        <v/>
      </c>
      <c r="AJ833" s="13">
        <f>IF($A833="","",[1]!thsiFinD("ths_adjustment_nv_fund",AJ$3,$A833))</f>
        <v/>
      </c>
      <c r="AK833" s="13">
        <f>IF($A833="","",[1]!thsiFinD("ths_adjustment_nv_fund",AK$3,$A833))</f>
        <v/>
      </c>
      <c r="AL833" s="13">
        <f>IF($A833="","",[1]!thsiFinD("ths_adjustment_nv_fund",AL$3,$A833))</f>
        <v/>
      </c>
    </row>
    <row r="834" spans="2:28">
      <c r="B834" s="13" t="str">
        <f>IF($A834="","",[1]!thsiFinD("ths_adjustment_nv_fund",B$3,$A834))</f>
        <v/>
      </c>
      <c r="C834" s="13" t="str">
        <f>IF($A834="","",[1]!thsiFinD("ths_adjustment_nv_fund",C$3,$A834))</f>
        <v/>
      </c>
      <c r="D834" s="13" t="str">
        <f>IF($A834="","",[1]!thsiFinD("ths_adjustment_nv_fund",D$3,$A834))</f>
        <v/>
      </c>
      <c r="E834" s="13" t="str">
        <f>IF($A834="","",[1]!thsiFinD("ths_adjustment_nv_fund",E$3,$A834))</f>
        <v/>
      </c>
      <c r="F834" s="13" t="str">
        <f>IF($A834="","",[1]!thsiFinD("ths_adjustment_nv_fund",F$3,$A834))</f>
        <v/>
      </c>
      <c r="G834" s="13" t="str">
        <f>IF($A834="","",[1]!thsiFinD("ths_adjustment_nv_fund",G$3,$A834))</f>
        <v/>
      </c>
      <c r="H834" s="13" t="str">
        <f>IF($A834="","",[1]!thsiFinD("ths_adjustment_nv_fund",H$3,$A834))</f>
        <v/>
      </c>
      <c r="I834" s="13" t="str">
        <f>IF($A834="","",[1]!thsiFinD("ths_adjustment_nv_fund",I$3,$A834))</f>
        <v/>
      </c>
      <c r="J834" s="13" t="str">
        <f>IF($A834="","",[1]!thsiFinD("ths_adjustment_nv_fund",J$3,$A834))</f>
        <v/>
      </c>
      <c r="K834" s="13" t="str">
        <f>IF($A834="","",[1]!thsiFinD("ths_adjustment_nv_fund",K$3,$A834))</f>
        <v/>
      </c>
      <c r="L834" s="13" t="str">
        <f>IF($A834="","",[1]!thsiFinD("ths_adjustment_nv_fund",L$3,$A834))</f>
        <v/>
      </c>
      <c r="M834" s="13" t="str">
        <f>IF($A834="","",[1]!thsiFinD("ths_adjustment_nv_fund",M$3,$A834))</f>
        <v/>
      </c>
      <c r="N834" s="13" t="str">
        <f>IF($A834="","",[1]!thsiFinD("ths_adjustment_nv_fund",N$3,$A834))</f>
        <v/>
      </c>
      <c r="O834" s="13" t="str">
        <f>IF($A834="","",[1]!thsiFinD("ths_adjustment_nv_fund",O$3,$A834))</f>
        <v/>
      </c>
      <c r="P834" s="13" t="str">
        <f>IF($A834="","",[1]!thsiFinD("ths_adjustment_nv_fund",P$3,$A834))</f>
        <v/>
      </c>
      <c r="Q834" s="13" t="str">
        <f>IF($A834="","",[1]!thsiFinD("ths_adjustment_nv_fund",Q$3,$A834))</f>
        <v/>
      </c>
      <c r="R834" s="13" t="str">
        <f>IF($A834="","",[1]!thsiFinD("ths_adjustment_nv_fund",R$3,$A834))</f>
        <v/>
      </c>
      <c r="S834" s="13" t="str">
        <f>IF($A834="","",[1]!thsiFinD("ths_adjustment_nv_fund",S$3,$A834))</f>
        <v/>
      </c>
      <c r="T834" s="13" t="str">
        <f>IF($A834="","",[1]!thsiFinD("ths_adjustment_nv_fund",T$3,$A834))</f>
        <v/>
      </c>
      <c r="U834" s="13" t="str">
        <f>IF($A834="","",[1]!thsiFinD("ths_adjustment_nv_fund",U$3,$A834))</f>
        <v/>
      </c>
      <c r="V834" s="13" t="str">
        <f>IF($A834="","",[1]!thsiFinD("ths_adjustment_nv_fund",V$3,$A834))</f>
        <v/>
      </c>
      <c r="W834" s="13" t="str">
        <f>IF($A834="","",[1]!thsiFinD("ths_adjustment_nv_fund",W$3,$A834))</f>
        <v/>
      </c>
      <c r="X834" s="13" t="str">
        <f>IF($A834="","",[1]!thsiFinD("ths_adjustment_nv_fund",X$3,$A834))</f>
        <v/>
      </c>
      <c r="Y834" s="13" t="str">
        <f>IF($A834="","",[1]!thsiFinD("ths_adjustment_nv_fund",Y$3,$A834))</f>
        <v/>
      </c>
      <c r="Z834" s="13" t="str">
        <f>IF($A834="","",[1]!thsiFinD("ths_adjustment_nv_fund",Z$3,$A834))</f>
        <v/>
      </c>
      <c r="AA834" s="13" t="str">
        <f>IF($A834="","",[1]!thsiFinD("ths_adjustment_nv_fund",AA$3,$A834))</f>
        <v/>
      </c>
      <c r="AB834" s="13">
        <f>IF($A834="","",[1]!thsiFinD("ths_adjustment_nv_fund",AB$3,$A834))</f>
        <v/>
      </c>
      <c r="AC834" s="13">
        <f>IF($A834="","",[1]!thsiFinD("ths_adjustment_nv_fund",AC$3,$A834))</f>
        <v/>
      </c>
      <c r="AD834" s="13">
        <f>IF($A834="","",[1]!thsiFinD("ths_adjustment_nv_fund",AD$3,$A834))</f>
        <v/>
      </c>
      <c r="AE834" s="13">
        <f>IF($A834="","",[1]!thsiFinD("ths_adjustment_nv_fund",AE$3,$A834))</f>
        <v/>
      </c>
      <c r="AF834" s="13">
        <f>IF($A834="","",[1]!thsiFinD("ths_adjustment_nv_fund",AF$3,$A834))</f>
        <v/>
      </c>
      <c r="AG834" s="13">
        <f>IF($A834="","",[1]!thsiFinD("ths_adjustment_nv_fund",AG$3,$A834))</f>
        <v/>
      </c>
      <c r="AH834" s="13">
        <f>IF($A834="","",[1]!thsiFinD("ths_adjustment_nv_fund",AH$3,$A834))</f>
        <v/>
      </c>
      <c r="AI834" s="13">
        <f>IF($A834="","",[1]!thsiFinD("ths_adjustment_nv_fund",AI$3,$A834))</f>
        <v/>
      </c>
      <c r="AJ834" s="13">
        <f>IF($A834="","",[1]!thsiFinD("ths_adjustment_nv_fund",AJ$3,$A834))</f>
        <v/>
      </c>
      <c r="AK834" s="13">
        <f>IF($A834="","",[1]!thsiFinD("ths_adjustment_nv_fund",AK$3,$A834))</f>
        <v/>
      </c>
      <c r="AL834" s="13">
        <f>IF($A834="","",[1]!thsiFinD("ths_adjustment_nv_fund",AL$3,$A834))</f>
        <v/>
      </c>
    </row>
    <row r="835" spans="2:28">
      <c r="B835" s="13" t="str">
        <f>IF($A835="","",[1]!thsiFinD("ths_adjustment_nv_fund",B$3,$A835))</f>
        <v/>
      </c>
      <c r="C835" s="13" t="str">
        <f>IF($A835="","",[1]!thsiFinD("ths_adjustment_nv_fund",C$3,$A835))</f>
        <v/>
      </c>
      <c r="D835" s="13" t="str">
        <f>IF($A835="","",[1]!thsiFinD("ths_adjustment_nv_fund",D$3,$A835))</f>
        <v/>
      </c>
      <c r="E835" s="13" t="str">
        <f>IF($A835="","",[1]!thsiFinD("ths_adjustment_nv_fund",E$3,$A835))</f>
        <v/>
      </c>
      <c r="F835" s="13" t="str">
        <f>IF($A835="","",[1]!thsiFinD("ths_adjustment_nv_fund",F$3,$A835))</f>
        <v/>
      </c>
      <c r="G835" s="13" t="str">
        <f>IF($A835="","",[1]!thsiFinD("ths_adjustment_nv_fund",G$3,$A835))</f>
        <v/>
      </c>
      <c r="H835" s="13" t="str">
        <f>IF($A835="","",[1]!thsiFinD("ths_adjustment_nv_fund",H$3,$A835))</f>
        <v/>
      </c>
      <c r="I835" s="13" t="str">
        <f>IF($A835="","",[1]!thsiFinD("ths_adjustment_nv_fund",I$3,$A835))</f>
        <v/>
      </c>
      <c r="J835" s="13" t="str">
        <f>IF($A835="","",[1]!thsiFinD("ths_adjustment_nv_fund",J$3,$A835))</f>
        <v/>
      </c>
      <c r="K835" s="13" t="str">
        <f>IF($A835="","",[1]!thsiFinD("ths_adjustment_nv_fund",K$3,$A835))</f>
        <v/>
      </c>
      <c r="L835" s="13" t="str">
        <f>IF($A835="","",[1]!thsiFinD("ths_adjustment_nv_fund",L$3,$A835))</f>
        <v/>
      </c>
      <c r="M835" s="13" t="str">
        <f>IF($A835="","",[1]!thsiFinD("ths_adjustment_nv_fund",M$3,$A835))</f>
        <v/>
      </c>
      <c r="N835" s="13" t="str">
        <f>IF($A835="","",[1]!thsiFinD("ths_adjustment_nv_fund",N$3,$A835))</f>
        <v/>
      </c>
      <c r="O835" s="13" t="str">
        <f>IF($A835="","",[1]!thsiFinD("ths_adjustment_nv_fund",O$3,$A835))</f>
        <v/>
      </c>
      <c r="P835" s="13" t="str">
        <f>IF($A835="","",[1]!thsiFinD("ths_adjustment_nv_fund",P$3,$A835))</f>
        <v/>
      </c>
      <c r="Q835" s="13" t="str">
        <f>IF($A835="","",[1]!thsiFinD("ths_adjustment_nv_fund",Q$3,$A835))</f>
        <v/>
      </c>
      <c r="R835" s="13" t="str">
        <f>IF($A835="","",[1]!thsiFinD("ths_adjustment_nv_fund",R$3,$A835))</f>
        <v/>
      </c>
      <c r="S835" s="13" t="str">
        <f>IF($A835="","",[1]!thsiFinD("ths_adjustment_nv_fund",S$3,$A835))</f>
        <v/>
      </c>
      <c r="T835" s="13" t="str">
        <f>IF($A835="","",[1]!thsiFinD("ths_adjustment_nv_fund",T$3,$A835))</f>
        <v/>
      </c>
      <c r="U835" s="13" t="str">
        <f>IF($A835="","",[1]!thsiFinD("ths_adjustment_nv_fund",U$3,$A835))</f>
        <v/>
      </c>
      <c r="V835" s="13" t="str">
        <f>IF($A835="","",[1]!thsiFinD("ths_adjustment_nv_fund",V$3,$A835))</f>
        <v/>
      </c>
      <c r="W835" s="13" t="str">
        <f>IF($A835="","",[1]!thsiFinD("ths_adjustment_nv_fund",W$3,$A835))</f>
        <v/>
      </c>
      <c r="X835" s="13" t="str">
        <f>IF($A835="","",[1]!thsiFinD("ths_adjustment_nv_fund",X$3,$A835))</f>
        <v/>
      </c>
      <c r="Y835" s="13" t="str">
        <f>IF($A835="","",[1]!thsiFinD("ths_adjustment_nv_fund",Y$3,$A835))</f>
        <v/>
      </c>
      <c r="Z835" s="13" t="str">
        <f>IF($A835="","",[1]!thsiFinD("ths_adjustment_nv_fund",Z$3,$A835))</f>
        <v/>
      </c>
      <c r="AA835" s="13" t="str">
        <f>IF($A835="","",[1]!thsiFinD("ths_adjustment_nv_fund",AA$3,$A835))</f>
        <v/>
      </c>
      <c r="AB835" s="13">
        <f>IF($A835="","",[1]!thsiFinD("ths_adjustment_nv_fund",AB$3,$A835))</f>
        <v/>
      </c>
      <c r="AC835" s="13">
        <f>IF($A835="","",[1]!thsiFinD("ths_adjustment_nv_fund",AC$3,$A835))</f>
        <v/>
      </c>
      <c r="AD835" s="13">
        <f>IF($A835="","",[1]!thsiFinD("ths_adjustment_nv_fund",AD$3,$A835))</f>
        <v/>
      </c>
      <c r="AE835" s="13">
        <f>IF($A835="","",[1]!thsiFinD("ths_adjustment_nv_fund",AE$3,$A835))</f>
        <v/>
      </c>
      <c r="AF835" s="13">
        <f>IF($A835="","",[1]!thsiFinD("ths_adjustment_nv_fund",AF$3,$A835))</f>
        <v/>
      </c>
      <c r="AG835" s="13">
        <f>IF($A835="","",[1]!thsiFinD("ths_adjustment_nv_fund",AG$3,$A835))</f>
        <v/>
      </c>
      <c r="AH835" s="13">
        <f>IF($A835="","",[1]!thsiFinD("ths_adjustment_nv_fund",AH$3,$A835))</f>
        <v/>
      </c>
      <c r="AI835" s="13">
        <f>IF($A835="","",[1]!thsiFinD("ths_adjustment_nv_fund",AI$3,$A835))</f>
        <v/>
      </c>
      <c r="AJ835" s="13">
        <f>IF($A835="","",[1]!thsiFinD("ths_adjustment_nv_fund",AJ$3,$A835))</f>
        <v/>
      </c>
      <c r="AK835" s="13">
        <f>IF($A835="","",[1]!thsiFinD("ths_adjustment_nv_fund",AK$3,$A835))</f>
        <v/>
      </c>
      <c r="AL835" s="13">
        <f>IF($A835="","",[1]!thsiFinD("ths_adjustment_nv_fund",AL$3,$A835))</f>
        <v/>
      </c>
    </row>
    <row r="836" spans="2:28">
      <c r="B836" s="13" t="str">
        <f>IF($A836="","",[1]!thsiFinD("ths_adjustment_nv_fund",B$3,$A836))</f>
        <v/>
      </c>
      <c r="C836" s="13" t="str">
        <f>IF($A836="","",[1]!thsiFinD("ths_adjustment_nv_fund",C$3,$A836))</f>
        <v/>
      </c>
      <c r="D836" s="13" t="str">
        <f>IF($A836="","",[1]!thsiFinD("ths_adjustment_nv_fund",D$3,$A836))</f>
        <v/>
      </c>
      <c r="E836" s="13" t="str">
        <f>IF($A836="","",[1]!thsiFinD("ths_adjustment_nv_fund",E$3,$A836))</f>
        <v/>
      </c>
      <c r="F836" s="13" t="str">
        <f>IF($A836="","",[1]!thsiFinD("ths_adjustment_nv_fund",F$3,$A836))</f>
        <v/>
      </c>
      <c r="G836" s="13" t="str">
        <f>IF($A836="","",[1]!thsiFinD("ths_adjustment_nv_fund",G$3,$A836))</f>
        <v/>
      </c>
      <c r="H836" s="13" t="str">
        <f>IF($A836="","",[1]!thsiFinD("ths_adjustment_nv_fund",H$3,$A836))</f>
        <v/>
      </c>
      <c r="I836" s="13" t="str">
        <f>IF($A836="","",[1]!thsiFinD("ths_adjustment_nv_fund",I$3,$A836))</f>
        <v/>
      </c>
      <c r="J836" s="13" t="str">
        <f>IF($A836="","",[1]!thsiFinD("ths_adjustment_nv_fund",J$3,$A836))</f>
        <v/>
      </c>
      <c r="K836" s="13" t="str">
        <f>IF($A836="","",[1]!thsiFinD("ths_adjustment_nv_fund",K$3,$A836))</f>
        <v/>
      </c>
      <c r="L836" s="13" t="str">
        <f>IF($A836="","",[1]!thsiFinD("ths_adjustment_nv_fund",L$3,$A836))</f>
        <v/>
      </c>
      <c r="M836" s="13" t="str">
        <f>IF($A836="","",[1]!thsiFinD("ths_adjustment_nv_fund",M$3,$A836))</f>
        <v/>
      </c>
      <c r="N836" s="13" t="str">
        <f>IF($A836="","",[1]!thsiFinD("ths_adjustment_nv_fund",N$3,$A836))</f>
        <v/>
      </c>
      <c r="O836" s="13" t="str">
        <f>IF($A836="","",[1]!thsiFinD("ths_adjustment_nv_fund",O$3,$A836))</f>
        <v/>
      </c>
      <c r="P836" s="13" t="str">
        <f>IF($A836="","",[1]!thsiFinD("ths_adjustment_nv_fund",P$3,$A836))</f>
        <v/>
      </c>
      <c r="Q836" s="13" t="str">
        <f>IF($A836="","",[1]!thsiFinD("ths_adjustment_nv_fund",Q$3,$A836))</f>
        <v/>
      </c>
      <c r="R836" s="13" t="str">
        <f>IF($A836="","",[1]!thsiFinD("ths_adjustment_nv_fund",R$3,$A836))</f>
        <v/>
      </c>
      <c r="S836" s="13" t="str">
        <f>IF($A836="","",[1]!thsiFinD("ths_adjustment_nv_fund",S$3,$A836))</f>
        <v/>
      </c>
      <c r="T836" s="13" t="str">
        <f>IF($A836="","",[1]!thsiFinD("ths_adjustment_nv_fund",T$3,$A836))</f>
        <v/>
      </c>
      <c r="U836" s="13" t="str">
        <f>IF($A836="","",[1]!thsiFinD("ths_adjustment_nv_fund",U$3,$A836))</f>
        <v/>
      </c>
      <c r="V836" s="13" t="str">
        <f>IF($A836="","",[1]!thsiFinD("ths_adjustment_nv_fund",V$3,$A836))</f>
        <v/>
      </c>
      <c r="W836" s="13" t="str">
        <f>IF($A836="","",[1]!thsiFinD("ths_adjustment_nv_fund",W$3,$A836))</f>
        <v/>
      </c>
      <c r="X836" s="13" t="str">
        <f>IF($A836="","",[1]!thsiFinD("ths_adjustment_nv_fund",X$3,$A836))</f>
        <v/>
      </c>
      <c r="Y836" s="13" t="str">
        <f>IF($A836="","",[1]!thsiFinD("ths_adjustment_nv_fund",Y$3,$A836))</f>
        <v/>
      </c>
      <c r="Z836" s="13" t="str">
        <f>IF($A836="","",[1]!thsiFinD("ths_adjustment_nv_fund",Z$3,$A836))</f>
        <v/>
      </c>
      <c r="AA836" s="13" t="str">
        <f>IF($A836="","",[1]!thsiFinD("ths_adjustment_nv_fund",AA$3,$A836))</f>
        <v/>
      </c>
      <c r="AB836" s="13">
        <f>IF($A836="","",[1]!thsiFinD("ths_adjustment_nv_fund",AB$3,$A836))</f>
        <v/>
      </c>
      <c r="AC836" s="13">
        <f>IF($A836="","",[1]!thsiFinD("ths_adjustment_nv_fund",AC$3,$A836))</f>
        <v/>
      </c>
      <c r="AD836" s="13">
        <f>IF($A836="","",[1]!thsiFinD("ths_adjustment_nv_fund",AD$3,$A836))</f>
        <v/>
      </c>
      <c r="AE836" s="13">
        <f>IF($A836="","",[1]!thsiFinD("ths_adjustment_nv_fund",AE$3,$A836))</f>
        <v/>
      </c>
      <c r="AF836" s="13">
        <f>IF($A836="","",[1]!thsiFinD("ths_adjustment_nv_fund",AF$3,$A836))</f>
        <v/>
      </c>
      <c r="AG836" s="13">
        <f>IF($A836="","",[1]!thsiFinD("ths_adjustment_nv_fund",AG$3,$A836))</f>
        <v/>
      </c>
      <c r="AH836" s="13">
        <f>IF($A836="","",[1]!thsiFinD("ths_adjustment_nv_fund",AH$3,$A836))</f>
        <v/>
      </c>
      <c r="AI836" s="13">
        <f>IF($A836="","",[1]!thsiFinD("ths_adjustment_nv_fund",AI$3,$A836))</f>
        <v/>
      </c>
      <c r="AJ836" s="13">
        <f>IF($A836="","",[1]!thsiFinD("ths_adjustment_nv_fund",AJ$3,$A836))</f>
        <v/>
      </c>
      <c r="AK836" s="13">
        <f>IF($A836="","",[1]!thsiFinD("ths_adjustment_nv_fund",AK$3,$A836))</f>
        <v/>
      </c>
      <c r="AL836" s="13">
        <f>IF($A836="","",[1]!thsiFinD("ths_adjustment_nv_fund",AL$3,$A836))</f>
        <v/>
      </c>
    </row>
    <row r="837" spans="2:28">
      <c r="B837" s="13" t="str">
        <f>IF($A837="","",[1]!thsiFinD("ths_adjustment_nv_fund",B$3,$A837))</f>
        <v/>
      </c>
      <c r="C837" s="13" t="str">
        <f>IF($A837="","",[1]!thsiFinD("ths_adjustment_nv_fund",C$3,$A837))</f>
        <v/>
      </c>
      <c r="D837" s="13" t="str">
        <f>IF($A837="","",[1]!thsiFinD("ths_adjustment_nv_fund",D$3,$A837))</f>
        <v/>
      </c>
      <c r="E837" s="13" t="str">
        <f>IF($A837="","",[1]!thsiFinD("ths_adjustment_nv_fund",E$3,$A837))</f>
        <v/>
      </c>
      <c r="F837" s="13" t="str">
        <f>IF($A837="","",[1]!thsiFinD("ths_adjustment_nv_fund",F$3,$A837))</f>
        <v/>
      </c>
      <c r="G837" s="13" t="str">
        <f>IF($A837="","",[1]!thsiFinD("ths_adjustment_nv_fund",G$3,$A837))</f>
        <v/>
      </c>
      <c r="H837" s="13" t="str">
        <f>IF($A837="","",[1]!thsiFinD("ths_adjustment_nv_fund",H$3,$A837))</f>
        <v/>
      </c>
      <c r="I837" s="13" t="str">
        <f>IF($A837="","",[1]!thsiFinD("ths_adjustment_nv_fund",I$3,$A837))</f>
        <v/>
      </c>
      <c r="J837" s="13" t="str">
        <f>IF($A837="","",[1]!thsiFinD("ths_adjustment_nv_fund",J$3,$A837))</f>
        <v/>
      </c>
      <c r="K837" s="13" t="str">
        <f>IF($A837="","",[1]!thsiFinD("ths_adjustment_nv_fund",K$3,$A837))</f>
        <v/>
      </c>
      <c r="L837" s="13" t="str">
        <f>IF($A837="","",[1]!thsiFinD("ths_adjustment_nv_fund",L$3,$A837))</f>
        <v/>
      </c>
      <c r="M837" s="13" t="str">
        <f>IF($A837="","",[1]!thsiFinD("ths_adjustment_nv_fund",M$3,$A837))</f>
        <v/>
      </c>
      <c r="N837" s="13" t="str">
        <f>IF($A837="","",[1]!thsiFinD("ths_adjustment_nv_fund",N$3,$A837))</f>
        <v/>
      </c>
      <c r="O837" s="13" t="str">
        <f>IF($A837="","",[1]!thsiFinD("ths_adjustment_nv_fund",O$3,$A837))</f>
        <v/>
      </c>
      <c r="P837" s="13" t="str">
        <f>IF($A837="","",[1]!thsiFinD("ths_adjustment_nv_fund",P$3,$A837))</f>
        <v/>
      </c>
      <c r="Q837" s="13" t="str">
        <f>IF($A837="","",[1]!thsiFinD("ths_adjustment_nv_fund",Q$3,$A837))</f>
        <v/>
      </c>
      <c r="R837" s="13" t="str">
        <f>IF($A837="","",[1]!thsiFinD("ths_adjustment_nv_fund",R$3,$A837))</f>
        <v/>
      </c>
      <c r="S837" s="13" t="str">
        <f>IF($A837="","",[1]!thsiFinD("ths_adjustment_nv_fund",S$3,$A837))</f>
        <v/>
      </c>
      <c r="T837" s="13" t="str">
        <f>IF($A837="","",[1]!thsiFinD("ths_adjustment_nv_fund",T$3,$A837))</f>
        <v/>
      </c>
      <c r="U837" s="13" t="str">
        <f>IF($A837="","",[1]!thsiFinD("ths_adjustment_nv_fund",U$3,$A837))</f>
        <v/>
      </c>
      <c r="V837" s="13" t="str">
        <f>IF($A837="","",[1]!thsiFinD("ths_adjustment_nv_fund",V$3,$A837))</f>
        <v/>
      </c>
      <c r="W837" s="13" t="str">
        <f>IF($A837="","",[1]!thsiFinD("ths_adjustment_nv_fund",W$3,$A837))</f>
        <v/>
      </c>
      <c r="X837" s="13" t="str">
        <f>IF($A837="","",[1]!thsiFinD("ths_adjustment_nv_fund",X$3,$A837))</f>
        <v/>
      </c>
      <c r="Y837" s="13" t="str">
        <f>IF($A837="","",[1]!thsiFinD("ths_adjustment_nv_fund",Y$3,$A837))</f>
        <v/>
      </c>
      <c r="Z837" s="13" t="str">
        <f>IF($A837="","",[1]!thsiFinD("ths_adjustment_nv_fund",Z$3,$A837))</f>
        <v/>
      </c>
      <c r="AA837" s="13" t="str">
        <f>IF($A837="","",[1]!thsiFinD("ths_adjustment_nv_fund",AA$3,$A837))</f>
        <v/>
      </c>
      <c r="AB837" s="13">
        <f>IF($A837="","",[1]!thsiFinD("ths_adjustment_nv_fund",AB$3,$A837))</f>
        <v/>
      </c>
      <c r="AC837" s="13">
        <f>IF($A837="","",[1]!thsiFinD("ths_adjustment_nv_fund",AC$3,$A837))</f>
        <v/>
      </c>
      <c r="AD837" s="13">
        <f>IF($A837="","",[1]!thsiFinD("ths_adjustment_nv_fund",AD$3,$A837))</f>
        <v/>
      </c>
      <c r="AE837" s="13">
        <f>IF($A837="","",[1]!thsiFinD("ths_adjustment_nv_fund",AE$3,$A837))</f>
        <v/>
      </c>
      <c r="AF837" s="13">
        <f>IF($A837="","",[1]!thsiFinD("ths_adjustment_nv_fund",AF$3,$A837))</f>
        <v/>
      </c>
      <c r="AG837" s="13">
        <f>IF($A837="","",[1]!thsiFinD("ths_adjustment_nv_fund",AG$3,$A837))</f>
        <v/>
      </c>
      <c r="AH837" s="13">
        <f>IF($A837="","",[1]!thsiFinD("ths_adjustment_nv_fund",AH$3,$A837))</f>
        <v/>
      </c>
      <c r="AI837" s="13">
        <f>IF($A837="","",[1]!thsiFinD("ths_adjustment_nv_fund",AI$3,$A837))</f>
        <v/>
      </c>
      <c r="AJ837" s="13">
        <f>IF($A837="","",[1]!thsiFinD("ths_adjustment_nv_fund",AJ$3,$A837))</f>
        <v/>
      </c>
      <c r="AK837" s="13">
        <f>IF($A837="","",[1]!thsiFinD("ths_adjustment_nv_fund",AK$3,$A837))</f>
        <v/>
      </c>
      <c r="AL837" s="13">
        <f>IF($A837="","",[1]!thsiFinD("ths_adjustment_nv_fund",AL$3,$A837))</f>
        <v/>
      </c>
    </row>
    <row r="838" spans="2:28">
      <c r="B838" s="13" t="str">
        <f>IF($A838="","",[1]!thsiFinD("ths_adjustment_nv_fund",B$3,$A838))</f>
        <v/>
      </c>
      <c r="C838" s="13" t="str">
        <f>IF($A838="","",[1]!thsiFinD("ths_adjustment_nv_fund",C$3,$A838))</f>
        <v/>
      </c>
      <c r="D838" s="13" t="str">
        <f>IF($A838="","",[1]!thsiFinD("ths_adjustment_nv_fund",D$3,$A838))</f>
        <v/>
      </c>
      <c r="E838" s="13" t="str">
        <f>IF($A838="","",[1]!thsiFinD("ths_adjustment_nv_fund",E$3,$A838))</f>
        <v/>
      </c>
      <c r="F838" s="13" t="str">
        <f>IF($A838="","",[1]!thsiFinD("ths_adjustment_nv_fund",F$3,$A838))</f>
        <v/>
      </c>
      <c r="G838" s="13" t="str">
        <f>IF($A838="","",[1]!thsiFinD("ths_adjustment_nv_fund",G$3,$A838))</f>
        <v/>
      </c>
      <c r="H838" s="13" t="str">
        <f>IF($A838="","",[1]!thsiFinD("ths_adjustment_nv_fund",H$3,$A838))</f>
        <v/>
      </c>
      <c r="I838" s="13" t="str">
        <f>IF($A838="","",[1]!thsiFinD("ths_adjustment_nv_fund",I$3,$A838))</f>
        <v/>
      </c>
      <c r="J838" s="13" t="str">
        <f>IF($A838="","",[1]!thsiFinD("ths_adjustment_nv_fund",J$3,$A838))</f>
        <v/>
      </c>
      <c r="K838" s="13" t="str">
        <f>IF($A838="","",[1]!thsiFinD("ths_adjustment_nv_fund",K$3,$A838))</f>
        <v/>
      </c>
      <c r="L838" s="13" t="str">
        <f>IF($A838="","",[1]!thsiFinD("ths_adjustment_nv_fund",L$3,$A838))</f>
        <v/>
      </c>
      <c r="M838" s="13" t="str">
        <f>IF($A838="","",[1]!thsiFinD("ths_adjustment_nv_fund",M$3,$A838))</f>
        <v/>
      </c>
      <c r="N838" s="13" t="str">
        <f>IF($A838="","",[1]!thsiFinD("ths_adjustment_nv_fund",N$3,$A838))</f>
        <v/>
      </c>
      <c r="O838" s="13" t="str">
        <f>IF($A838="","",[1]!thsiFinD("ths_adjustment_nv_fund",O$3,$A838))</f>
        <v/>
      </c>
      <c r="P838" s="13" t="str">
        <f>IF($A838="","",[1]!thsiFinD("ths_adjustment_nv_fund",P$3,$A838))</f>
        <v/>
      </c>
      <c r="Q838" s="13" t="str">
        <f>IF($A838="","",[1]!thsiFinD("ths_adjustment_nv_fund",Q$3,$A838))</f>
        <v/>
      </c>
      <c r="R838" s="13" t="str">
        <f>IF($A838="","",[1]!thsiFinD("ths_adjustment_nv_fund",R$3,$A838))</f>
        <v/>
      </c>
      <c r="S838" s="13" t="str">
        <f>IF($A838="","",[1]!thsiFinD("ths_adjustment_nv_fund",S$3,$A838))</f>
        <v/>
      </c>
      <c r="T838" s="13" t="str">
        <f>IF($A838="","",[1]!thsiFinD("ths_adjustment_nv_fund",T$3,$A838))</f>
        <v/>
      </c>
      <c r="U838" s="13" t="str">
        <f>IF($A838="","",[1]!thsiFinD("ths_adjustment_nv_fund",U$3,$A838))</f>
        <v/>
      </c>
      <c r="V838" s="13" t="str">
        <f>IF($A838="","",[1]!thsiFinD("ths_adjustment_nv_fund",V$3,$A838))</f>
        <v/>
      </c>
      <c r="W838" s="13" t="str">
        <f>IF($A838="","",[1]!thsiFinD("ths_adjustment_nv_fund",W$3,$A838))</f>
        <v/>
      </c>
      <c r="X838" s="13" t="str">
        <f>IF($A838="","",[1]!thsiFinD("ths_adjustment_nv_fund",X$3,$A838))</f>
        <v/>
      </c>
      <c r="Y838" s="13" t="str">
        <f>IF($A838="","",[1]!thsiFinD("ths_adjustment_nv_fund",Y$3,$A838))</f>
        <v/>
      </c>
      <c r="Z838" s="13" t="str">
        <f>IF($A838="","",[1]!thsiFinD("ths_adjustment_nv_fund",Z$3,$A838))</f>
        <v/>
      </c>
      <c r="AA838" s="13" t="str">
        <f>IF($A838="","",[1]!thsiFinD("ths_adjustment_nv_fund",AA$3,$A838))</f>
        <v/>
      </c>
      <c r="AB838" s="13">
        <f>IF($A838="","",[1]!thsiFinD("ths_adjustment_nv_fund",AB$3,$A838))</f>
        <v/>
      </c>
      <c r="AC838" s="13">
        <f>IF($A838="","",[1]!thsiFinD("ths_adjustment_nv_fund",AC$3,$A838))</f>
        <v/>
      </c>
      <c r="AD838" s="13">
        <f>IF($A838="","",[1]!thsiFinD("ths_adjustment_nv_fund",AD$3,$A838))</f>
        <v/>
      </c>
      <c r="AE838" s="13">
        <f>IF($A838="","",[1]!thsiFinD("ths_adjustment_nv_fund",AE$3,$A838))</f>
        <v/>
      </c>
      <c r="AF838" s="13">
        <f>IF($A838="","",[1]!thsiFinD("ths_adjustment_nv_fund",AF$3,$A838))</f>
        <v/>
      </c>
      <c r="AG838" s="13">
        <f>IF($A838="","",[1]!thsiFinD("ths_adjustment_nv_fund",AG$3,$A838))</f>
        <v/>
      </c>
      <c r="AH838" s="13">
        <f>IF($A838="","",[1]!thsiFinD("ths_adjustment_nv_fund",AH$3,$A838))</f>
        <v/>
      </c>
      <c r="AI838" s="13">
        <f>IF($A838="","",[1]!thsiFinD("ths_adjustment_nv_fund",AI$3,$A838))</f>
        <v/>
      </c>
      <c r="AJ838" s="13">
        <f>IF($A838="","",[1]!thsiFinD("ths_adjustment_nv_fund",AJ$3,$A838))</f>
        <v/>
      </c>
      <c r="AK838" s="13">
        <f>IF($A838="","",[1]!thsiFinD("ths_adjustment_nv_fund",AK$3,$A838))</f>
        <v/>
      </c>
      <c r="AL838" s="13">
        <f>IF($A838="","",[1]!thsiFinD("ths_adjustment_nv_fund",AL$3,$A838))</f>
        <v/>
      </c>
    </row>
    <row r="839" spans="2:28">
      <c r="B839" s="13" t="str">
        <f>IF($A839="","",[1]!thsiFinD("ths_adjustment_nv_fund",B$3,$A839))</f>
        <v/>
      </c>
      <c r="C839" s="13" t="str">
        <f>IF($A839="","",[1]!thsiFinD("ths_adjustment_nv_fund",C$3,$A839))</f>
        <v/>
      </c>
      <c r="D839" s="13" t="str">
        <f>IF($A839="","",[1]!thsiFinD("ths_adjustment_nv_fund",D$3,$A839))</f>
        <v/>
      </c>
      <c r="E839" s="13" t="str">
        <f>IF($A839="","",[1]!thsiFinD("ths_adjustment_nv_fund",E$3,$A839))</f>
        <v/>
      </c>
      <c r="F839" s="13" t="str">
        <f>IF($A839="","",[1]!thsiFinD("ths_adjustment_nv_fund",F$3,$A839))</f>
        <v/>
      </c>
      <c r="G839" s="13" t="str">
        <f>IF($A839="","",[1]!thsiFinD("ths_adjustment_nv_fund",G$3,$A839))</f>
        <v/>
      </c>
      <c r="H839" s="13" t="str">
        <f>IF($A839="","",[1]!thsiFinD("ths_adjustment_nv_fund",H$3,$A839))</f>
        <v/>
      </c>
      <c r="I839" s="13" t="str">
        <f>IF($A839="","",[1]!thsiFinD("ths_adjustment_nv_fund",I$3,$A839))</f>
        <v/>
      </c>
      <c r="J839" s="13" t="str">
        <f>IF($A839="","",[1]!thsiFinD("ths_adjustment_nv_fund",J$3,$A839))</f>
        <v/>
      </c>
      <c r="K839" s="13" t="str">
        <f>IF($A839="","",[1]!thsiFinD("ths_adjustment_nv_fund",K$3,$A839))</f>
        <v/>
      </c>
      <c r="L839" s="13" t="str">
        <f>IF($A839="","",[1]!thsiFinD("ths_adjustment_nv_fund",L$3,$A839))</f>
        <v/>
      </c>
      <c r="M839" s="13" t="str">
        <f>IF($A839="","",[1]!thsiFinD("ths_adjustment_nv_fund",M$3,$A839))</f>
        <v/>
      </c>
      <c r="N839" s="13" t="str">
        <f>IF($A839="","",[1]!thsiFinD("ths_adjustment_nv_fund",N$3,$A839))</f>
        <v/>
      </c>
      <c r="O839" s="13" t="str">
        <f>IF($A839="","",[1]!thsiFinD("ths_adjustment_nv_fund",O$3,$A839))</f>
        <v/>
      </c>
      <c r="P839" s="13" t="str">
        <f>IF($A839="","",[1]!thsiFinD("ths_adjustment_nv_fund",P$3,$A839))</f>
        <v/>
      </c>
      <c r="Q839" s="13" t="str">
        <f>IF($A839="","",[1]!thsiFinD("ths_adjustment_nv_fund",Q$3,$A839))</f>
        <v/>
      </c>
      <c r="R839" s="13" t="str">
        <f>IF($A839="","",[1]!thsiFinD("ths_adjustment_nv_fund",R$3,$A839))</f>
        <v/>
      </c>
      <c r="S839" s="13" t="str">
        <f>IF($A839="","",[1]!thsiFinD("ths_adjustment_nv_fund",S$3,$A839))</f>
        <v/>
      </c>
      <c r="T839" s="13" t="str">
        <f>IF($A839="","",[1]!thsiFinD("ths_adjustment_nv_fund",T$3,$A839))</f>
        <v/>
      </c>
      <c r="U839" s="13" t="str">
        <f>IF($A839="","",[1]!thsiFinD("ths_adjustment_nv_fund",U$3,$A839))</f>
        <v/>
      </c>
      <c r="V839" s="13" t="str">
        <f>IF($A839="","",[1]!thsiFinD("ths_adjustment_nv_fund",V$3,$A839))</f>
        <v/>
      </c>
      <c r="W839" s="13" t="str">
        <f>IF($A839="","",[1]!thsiFinD("ths_adjustment_nv_fund",W$3,$A839))</f>
        <v/>
      </c>
      <c r="X839" s="13" t="str">
        <f>IF($A839="","",[1]!thsiFinD("ths_adjustment_nv_fund",X$3,$A839))</f>
        <v/>
      </c>
      <c r="Y839" s="13" t="str">
        <f>IF($A839="","",[1]!thsiFinD("ths_adjustment_nv_fund",Y$3,$A839))</f>
        <v/>
      </c>
      <c r="Z839" s="13" t="str">
        <f>IF($A839="","",[1]!thsiFinD("ths_adjustment_nv_fund",Z$3,$A839))</f>
        <v/>
      </c>
      <c r="AA839" s="13" t="str">
        <f>IF($A839="","",[1]!thsiFinD("ths_adjustment_nv_fund",AA$3,$A839))</f>
        <v/>
      </c>
      <c r="AB839" s="13">
        <f>IF($A839="","",[1]!thsiFinD("ths_adjustment_nv_fund",AB$3,$A839))</f>
        <v/>
      </c>
      <c r="AC839" s="13">
        <f>IF($A839="","",[1]!thsiFinD("ths_adjustment_nv_fund",AC$3,$A839))</f>
        <v/>
      </c>
      <c r="AD839" s="13">
        <f>IF($A839="","",[1]!thsiFinD("ths_adjustment_nv_fund",AD$3,$A839))</f>
        <v/>
      </c>
      <c r="AE839" s="13">
        <f>IF($A839="","",[1]!thsiFinD("ths_adjustment_nv_fund",AE$3,$A839))</f>
        <v/>
      </c>
      <c r="AF839" s="13">
        <f>IF($A839="","",[1]!thsiFinD("ths_adjustment_nv_fund",AF$3,$A839))</f>
        <v/>
      </c>
      <c r="AG839" s="13">
        <f>IF($A839="","",[1]!thsiFinD("ths_adjustment_nv_fund",AG$3,$A839))</f>
        <v/>
      </c>
      <c r="AH839" s="13">
        <f>IF($A839="","",[1]!thsiFinD("ths_adjustment_nv_fund",AH$3,$A839))</f>
        <v/>
      </c>
      <c r="AI839" s="13">
        <f>IF($A839="","",[1]!thsiFinD("ths_adjustment_nv_fund",AI$3,$A839))</f>
        <v/>
      </c>
      <c r="AJ839" s="13">
        <f>IF($A839="","",[1]!thsiFinD("ths_adjustment_nv_fund",AJ$3,$A839))</f>
        <v/>
      </c>
      <c r="AK839" s="13">
        <f>IF($A839="","",[1]!thsiFinD("ths_adjustment_nv_fund",AK$3,$A839))</f>
        <v/>
      </c>
      <c r="AL839" s="13">
        <f>IF($A839="","",[1]!thsiFinD("ths_adjustment_nv_fund",AL$3,$A839))</f>
        <v/>
      </c>
    </row>
    <row r="840" spans="2:28">
      <c r="B840" s="13" t="str">
        <f>IF($A840="","",[1]!thsiFinD("ths_adjustment_nv_fund",B$3,$A840))</f>
        <v/>
      </c>
      <c r="C840" s="13" t="str">
        <f>IF($A840="","",[1]!thsiFinD("ths_adjustment_nv_fund",C$3,$A840))</f>
        <v/>
      </c>
      <c r="D840" s="13" t="str">
        <f>IF($A840="","",[1]!thsiFinD("ths_adjustment_nv_fund",D$3,$A840))</f>
        <v/>
      </c>
      <c r="E840" s="13" t="str">
        <f>IF($A840="","",[1]!thsiFinD("ths_adjustment_nv_fund",E$3,$A840))</f>
        <v/>
      </c>
      <c r="F840" s="13" t="str">
        <f>IF($A840="","",[1]!thsiFinD("ths_adjustment_nv_fund",F$3,$A840))</f>
        <v/>
      </c>
      <c r="G840" s="13" t="str">
        <f>IF($A840="","",[1]!thsiFinD("ths_adjustment_nv_fund",G$3,$A840))</f>
        <v/>
      </c>
      <c r="H840" s="13" t="str">
        <f>IF($A840="","",[1]!thsiFinD("ths_adjustment_nv_fund",H$3,$A840))</f>
        <v/>
      </c>
      <c r="I840" s="13" t="str">
        <f>IF($A840="","",[1]!thsiFinD("ths_adjustment_nv_fund",I$3,$A840))</f>
        <v/>
      </c>
      <c r="J840" s="13" t="str">
        <f>IF($A840="","",[1]!thsiFinD("ths_adjustment_nv_fund",J$3,$A840))</f>
        <v/>
      </c>
      <c r="K840" s="13" t="str">
        <f>IF($A840="","",[1]!thsiFinD("ths_adjustment_nv_fund",K$3,$A840))</f>
        <v/>
      </c>
      <c r="L840" s="13" t="str">
        <f>IF($A840="","",[1]!thsiFinD("ths_adjustment_nv_fund",L$3,$A840))</f>
        <v/>
      </c>
      <c r="M840" s="13" t="str">
        <f>IF($A840="","",[1]!thsiFinD("ths_adjustment_nv_fund",M$3,$A840))</f>
        <v/>
      </c>
      <c r="N840" s="13" t="str">
        <f>IF($A840="","",[1]!thsiFinD("ths_adjustment_nv_fund",N$3,$A840))</f>
        <v/>
      </c>
      <c r="O840" s="13" t="str">
        <f>IF($A840="","",[1]!thsiFinD("ths_adjustment_nv_fund",O$3,$A840))</f>
        <v/>
      </c>
      <c r="P840" s="13" t="str">
        <f>IF($A840="","",[1]!thsiFinD("ths_adjustment_nv_fund",P$3,$A840))</f>
        <v/>
      </c>
      <c r="Q840" s="13" t="str">
        <f>IF($A840="","",[1]!thsiFinD("ths_adjustment_nv_fund",Q$3,$A840))</f>
        <v/>
      </c>
      <c r="R840" s="13" t="str">
        <f>IF($A840="","",[1]!thsiFinD("ths_adjustment_nv_fund",R$3,$A840))</f>
        <v/>
      </c>
      <c r="S840" s="13" t="str">
        <f>IF($A840="","",[1]!thsiFinD("ths_adjustment_nv_fund",S$3,$A840))</f>
        <v/>
      </c>
      <c r="T840" s="13" t="str">
        <f>IF($A840="","",[1]!thsiFinD("ths_adjustment_nv_fund",T$3,$A840))</f>
        <v/>
      </c>
      <c r="U840" s="13" t="str">
        <f>IF($A840="","",[1]!thsiFinD("ths_adjustment_nv_fund",U$3,$A840))</f>
        <v/>
      </c>
      <c r="V840" s="13" t="str">
        <f>IF($A840="","",[1]!thsiFinD("ths_adjustment_nv_fund",V$3,$A840))</f>
        <v/>
      </c>
      <c r="W840" s="13" t="str">
        <f>IF($A840="","",[1]!thsiFinD("ths_adjustment_nv_fund",W$3,$A840))</f>
        <v/>
      </c>
      <c r="X840" s="13" t="str">
        <f>IF($A840="","",[1]!thsiFinD("ths_adjustment_nv_fund",X$3,$A840))</f>
        <v/>
      </c>
      <c r="Y840" s="13" t="str">
        <f>IF($A840="","",[1]!thsiFinD("ths_adjustment_nv_fund",Y$3,$A840))</f>
        <v/>
      </c>
      <c r="Z840" s="13" t="str">
        <f>IF($A840="","",[1]!thsiFinD("ths_adjustment_nv_fund",Z$3,$A840))</f>
        <v/>
      </c>
      <c r="AA840" s="13" t="str">
        <f>IF($A840="","",[1]!thsiFinD("ths_adjustment_nv_fund",AA$3,$A840))</f>
        <v/>
      </c>
      <c r="AB840" s="13">
        <f>IF($A840="","",[1]!thsiFinD("ths_adjustment_nv_fund",AB$3,$A840))</f>
        <v/>
      </c>
      <c r="AC840" s="13">
        <f>IF($A840="","",[1]!thsiFinD("ths_adjustment_nv_fund",AC$3,$A840))</f>
        <v/>
      </c>
      <c r="AD840" s="13">
        <f>IF($A840="","",[1]!thsiFinD("ths_adjustment_nv_fund",AD$3,$A840))</f>
        <v/>
      </c>
      <c r="AE840" s="13">
        <f>IF($A840="","",[1]!thsiFinD("ths_adjustment_nv_fund",AE$3,$A840))</f>
        <v/>
      </c>
      <c r="AF840" s="13">
        <f>IF($A840="","",[1]!thsiFinD("ths_adjustment_nv_fund",AF$3,$A840))</f>
        <v/>
      </c>
      <c r="AG840" s="13">
        <f>IF($A840="","",[1]!thsiFinD("ths_adjustment_nv_fund",AG$3,$A840))</f>
        <v/>
      </c>
      <c r="AH840" s="13">
        <f>IF($A840="","",[1]!thsiFinD("ths_adjustment_nv_fund",AH$3,$A840))</f>
        <v/>
      </c>
      <c r="AI840" s="13">
        <f>IF($A840="","",[1]!thsiFinD("ths_adjustment_nv_fund",AI$3,$A840))</f>
        <v/>
      </c>
      <c r="AJ840" s="13">
        <f>IF($A840="","",[1]!thsiFinD("ths_adjustment_nv_fund",AJ$3,$A840))</f>
        <v/>
      </c>
      <c r="AK840" s="13">
        <f>IF($A840="","",[1]!thsiFinD("ths_adjustment_nv_fund",AK$3,$A840))</f>
        <v/>
      </c>
      <c r="AL840" s="13">
        <f>IF($A840="","",[1]!thsiFinD("ths_adjustment_nv_fund",AL$3,$A840))</f>
        <v/>
      </c>
    </row>
    <row r="841" spans="2:28">
      <c r="B841" s="13" t="str">
        <f>IF($A841="","",[1]!thsiFinD("ths_adjustment_nv_fund",B$3,$A841))</f>
        <v/>
      </c>
      <c r="C841" s="13" t="str">
        <f>IF($A841="","",[1]!thsiFinD("ths_adjustment_nv_fund",C$3,$A841))</f>
        <v/>
      </c>
      <c r="D841" s="13" t="str">
        <f>IF($A841="","",[1]!thsiFinD("ths_adjustment_nv_fund",D$3,$A841))</f>
        <v/>
      </c>
      <c r="E841" s="13" t="str">
        <f>IF($A841="","",[1]!thsiFinD("ths_adjustment_nv_fund",E$3,$A841))</f>
        <v/>
      </c>
      <c r="F841" s="13" t="str">
        <f>IF($A841="","",[1]!thsiFinD("ths_adjustment_nv_fund",F$3,$A841))</f>
        <v/>
      </c>
      <c r="G841" s="13" t="str">
        <f>IF($A841="","",[1]!thsiFinD("ths_adjustment_nv_fund",G$3,$A841))</f>
        <v/>
      </c>
      <c r="H841" s="13" t="str">
        <f>IF($A841="","",[1]!thsiFinD("ths_adjustment_nv_fund",H$3,$A841))</f>
        <v/>
      </c>
      <c r="I841" s="13" t="str">
        <f>IF($A841="","",[1]!thsiFinD("ths_adjustment_nv_fund",I$3,$A841))</f>
        <v/>
      </c>
      <c r="J841" s="13" t="str">
        <f>IF($A841="","",[1]!thsiFinD("ths_adjustment_nv_fund",J$3,$A841))</f>
        <v/>
      </c>
      <c r="K841" s="13" t="str">
        <f>IF($A841="","",[1]!thsiFinD("ths_adjustment_nv_fund",K$3,$A841))</f>
        <v/>
      </c>
      <c r="L841" s="13" t="str">
        <f>IF($A841="","",[1]!thsiFinD("ths_adjustment_nv_fund",L$3,$A841))</f>
        <v/>
      </c>
      <c r="M841" s="13" t="str">
        <f>IF($A841="","",[1]!thsiFinD("ths_adjustment_nv_fund",M$3,$A841))</f>
        <v/>
      </c>
      <c r="N841" s="13" t="str">
        <f>IF($A841="","",[1]!thsiFinD("ths_adjustment_nv_fund",N$3,$A841))</f>
        <v/>
      </c>
      <c r="O841" s="13" t="str">
        <f>IF($A841="","",[1]!thsiFinD("ths_adjustment_nv_fund",O$3,$A841))</f>
        <v/>
      </c>
      <c r="P841" s="13" t="str">
        <f>IF($A841="","",[1]!thsiFinD("ths_adjustment_nv_fund",P$3,$A841))</f>
        <v/>
      </c>
      <c r="Q841" s="13" t="str">
        <f>IF($A841="","",[1]!thsiFinD("ths_adjustment_nv_fund",Q$3,$A841))</f>
        <v/>
      </c>
      <c r="R841" s="13" t="str">
        <f>IF($A841="","",[1]!thsiFinD("ths_adjustment_nv_fund",R$3,$A841))</f>
        <v/>
      </c>
      <c r="S841" s="13" t="str">
        <f>IF($A841="","",[1]!thsiFinD("ths_adjustment_nv_fund",S$3,$A841))</f>
        <v/>
      </c>
      <c r="T841" s="13" t="str">
        <f>IF($A841="","",[1]!thsiFinD("ths_adjustment_nv_fund",T$3,$A841))</f>
        <v/>
      </c>
      <c r="U841" s="13" t="str">
        <f>IF($A841="","",[1]!thsiFinD("ths_adjustment_nv_fund",U$3,$A841))</f>
        <v/>
      </c>
      <c r="V841" s="13" t="str">
        <f>IF($A841="","",[1]!thsiFinD("ths_adjustment_nv_fund",V$3,$A841))</f>
        <v/>
      </c>
      <c r="W841" s="13" t="str">
        <f>IF($A841="","",[1]!thsiFinD("ths_adjustment_nv_fund",W$3,$A841))</f>
        <v/>
      </c>
      <c r="X841" s="13" t="str">
        <f>IF($A841="","",[1]!thsiFinD("ths_adjustment_nv_fund",X$3,$A841))</f>
        <v/>
      </c>
      <c r="Y841" s="13" t="str">
        <f>IF($A841="","",[1]!thsiFinD("ths_adjustment_nv_fund",Y$3,$A841))</f>
        <v/>
      </c>
      <c r="Z841" s="13" t="str">
        <f>IF($A841="","",[1]!thsiFinD("ths_adjustment_nv_fund",Z$3,$A841))</f>
        <v/>
      </c>
      <c r="AA841" s="13" t="str">
        <f>IF($A841="","",[1]!thsiFinD("ths_adjustment_nv_fund",AA$3,$A841))</f>
        <v/>
      </c>
      <c r="AB841" s="13">
        <f>IF($A841="","",[1]!thsiFinD("ths_adjustment_nv_fund",AB$3,$A841))</f>
        <v/>
      </c>
      <c r="AC841" s="13">
        <f>IF($A841="","",[1]!thsiFinD("ths_adjustment_nv_fund",AC$3,$A841))</f>
        <v/>
      </c>
      <c r="AD841" s="13">
        <f>IF($A841="","",[1]!thsiFinD("ths_adjustment_nv_fund",AD$3,$A841))</f>
        <v/>
      </c>
      <c r="AE841" s="13">
        <f>IF($A841="","",[1]!thsiFinD("ths_adjustment_nv_fund",AE$3,$A841))</f>
        <v/>
      </c>
      <c r="AF841" s="13">
        <f>IF($A841="","",[1]!thsiFinD("ths_adjustment_nv_fund",AF$3,$A841))</f>
        <v/>
      </c>
      <c r="AG841" s="13">
        <f>IF($A841="","",[1]!thsiFinD("ths_adjustment_nv_fund",AG$3,$A841))</f>
        <v/>
      </c>
      <c r="AH841" s="13">
        <f>IF($A841="","",[1]!thsiFinD("ths_adjustment_nv_fund",AH$3,$A841))</f>
        <v/>
      </c>
      <c r="AI841" s="13">
        <f>IF($A841="","",[1]!thsiFinD("ths_adjustment_nv_fund",AI$3,$A841))</f>
        <v/>
      </c>
      <c r="AJ841" s="13">
        <f>IF($A841="","",[1]!thsiFinD("ths_adjustment_nv_fund",AJ$3,$A841))</f>
        <v/>
      </c>
      <c r="AK841" s="13">
        <f>IF($A841="","",[1]!thsiFinD("ths_adjustment_nv_fund",AK$3,$A841))</f>
        <v/>
      </c>
      <c r="AL841" s="13">
        <f>IF($A841="","",[1]!thsiFinD("ths_adjustment_nv_fund",AL$3,$A841))</f>
        <v/>
      </c>
    </row>
    <row r="842" spans="2:28">
      <c r="B842" s="13" t="str">
        <f>IF($A842="","",[1]!thsiFinD("ths_adjustment_nv_fund",B$3,$A842))</f>
        <v/>
      </c>
      <c r="C842" s="13" t="str">
        <f>IF($A842="","",[1]!thsiFinD("ths_adjustment_nv_fund",C$3,$A842))</f>
        <v/>
      </c>
      <c r="D842" s="13" t="str">
        <f>IF($A842="","",[1]!thsiFinD("ths_adjustment_nv_fund",D$3,$A842))</f>
        <v/>
      </c>
      <c r="E842" s="13" t="str">
        <f>IF($A842="","",[1]!thsiFinD("ths_adjustment_nv_fund",E$3,$A842))</f>
        <v/>
      </c>
      <c r="F842" s="13" t="str">
        <f>IF($A842="","",[1]!thsiFinD("ths_adjustment_nv_fund",F$3,$A842))</f>
        <v/>
      </c>
      <c r="G842" s="13" t="str">
        <f>IF($A842="","",[1]!thsiFinD("ths_adjustment_nv_fund",G$3,$A842))</f>
        <v/>
      </c>
      <c r="H842" s="13" t="str">
        <f>IF($A842="","",[1]!thsiFinD("ths_adjustment_nv_fund",H$3,$A842))</f>
        <v/>
      </c>
      <c r="I842" s="13" t="str">
        <f>IF($A842="","",[1]!thsiFinD("ths_adjustment_nv_fund",I$3,$A842))</f>
        <v/>
      </c>
      <c r="J842" s="13" t="str">
        <f>IF($A842="","",[1]!thsiFinD("ths_adjustment_nv_fund",J$3,$A842))</f>
        <v/>
      </c>
      <c r="K842" s="13" t="str">
        <f>IF($A842="","",[1]!thsiFinD("ths_adjustment_nv_fund",K$3,$A842))</f>
        <v/>
      </c>
      <c r="L842" s="13" t="str">
        <f>IF($A842="","",[1]!thsiFinD("ths_adjustment_nv_fund",L$3,$A842))</f>
        <v/>
      </c>
      <c r="M842" s="13" t="str">
        <f>IF($A842="","",[1]!thsiFinD("ths_adjustment_nv_fund",M$3,$A842))</f>
        <v/>
      </c>
      <c r="N842" s="13" t="str">
        <f>IF($A842="","",[1]!thsiFinD("ths_adjustment_nv_fund",N$3,$A842))</f>
        <v/>
      </c>
      <c r="O842" s="13" t="str">
        <f>IF($A842="","",[1]!thsiFinD("ths_adjustment_nv_fund",O$3,$A842))</f>
        <v/>
      </c>
      <c r="P842" s="13" t="str">
        <f>IF($A842="","",[1]!thsiFinD("ths_adjustment_nv_fund",P$3,$A842))</f>
        <v/>
      </c>
      <c r="Q842" s="13" t="str">
        <f>IF($A842="","",[1]!thsiFinD("ths_adjustment_nv_fund",Q$3,$A842))</f>
        <v/>
      </c>
      <c r="R842" s="13" t="str">
        <f>IF($A842="","",[1]!thsiFinD("ths_adjustment_nv_fund",R$3,$A842))</f>
        <v/>
      </c>
      <c r="S842" s="13" t="str">
        <f>IF($A842="","",[1]!thsiFinD("ths_adjustment_nv_fund",S$3,$A842))</f>
        <v/>
      </c>
      <c r="T842" s="13" t="str">
        <f>IF($A842="","",[1]!thsiFinD("ths_adjustment_nv_fund",T$3,$A842))</f>
        <v/>
      </c>
      <c r="U842" s="13" t="str">
        <f>IF($A842="","",[1]!thsiFinD("ths_adjustment_nv_fund",U$3,$A842))</f>
        <v/>
      </c>
      <c r="V842" s="13" t="str">
        <f>IF($A842="","",[1]!thsiFinD("ths_adjustment_nv_fund",V$3,$A842))</f>
        <v/>
      </c>
      <c r="W842" s="13" t="str">
        <f>IF($A842="","",[1]!thsiFinD("ths_adjustment_nv_fund",W$3,$A842))</f>
        <v/>
      </c>
      <c r="X842" s="13" t="str">
        <f>IF($A842="","",[1]!thsiFinD("ths_adjustment_nv_fund",X$3,$A842))</f>
        <v/>
      </c>
      <c r="Y842" s="13" t="str">
        <f>IF($A842="","",[1]!thsiFinD("ths_adjustment_nv_fund",Y$3,$A842))</f>
        <v/>
      </c>
      <c r="Z842" s="13" t="str">
        <f>IF($A842="","",[1]!thsiFinD("ths_adjustment_nv_fund",Z$3,$A842))</f>
        <v/>
      </c>
      <c r="AA842" s="13" t="str">
        <f>IF($A842="","",[1]!thsiFinD("ths_adjustment_nv_fund",AA$3,$A842))</f>
        <v/>
      </c>
      <c r="AB842" s="13">
        <f>IF($A842="","",[1]!thsiFinD("ths_adjustment_nv_fund",AB$3,$A842))</f>
        <v/>
      </c>
      <c r="AC842" s="13">
        <f>IF($A842="","",[1]!thsiFinD("ths_adjustment_nv_fund",AC$3,$A842))</f>
        <v/>
      </c>
      <c r="AD842" s="13">
        <f>IF($A842="","",[1]!thsiFinD("ths_adjustment_nv_fund",AD$3,$A842))</f>
        <v/>
      </c>
      <c r="AE842" s="13">
        <f>IF($A842="","",[1]!thsiFinD("ths_adjustment_nv_fund",AE$3,$A842))</f>
        <v/>
      </c>
      <c r="AF842" s="13">
        <f>IF($A842="","",[1]!thsiFinD("ths_adjustment_nv_fund",AF$3,$A842))</f>
        <v/>
      </c>
      <c r="AG842" s="13">
        <f>IF($A842="","",[1]!thsiFinD("ths_adjustment_nv_fund",AG$3,$A842))</f>
        <v/>
      </c>
      <c r="AH842" s="13">
        <f>IF($A842="","",[1]!thsiFinD("ths_adjustment_nv_fund",AH$3,$A842))</f>
        <v/>
      </c>
      <c r="AI842" s="13">
        <f>IF($A842="","",[1]!thsiFinD("ths_adjustment_nv_fund",AI$3,$A842))</f>
        <v/>
      </c>
      <c r="AJ842" s="13">
        <f>IF($A842="","",[1]!thsiFinD("ths_adjustment_nv_fund",AJ$3,$A842))</f>
        <v/>
      </c>
      <c r="AK842" s="13">
        <f>IF($A842="","",[1]!thsiFinD("ths_adjustment_nv_fund",AK$3,$A842))</f>
        <v/>
      </c>
      <c r="AL842" s="13">
        <f>IF($A842="","",[1]!thsiFinD("ths_adjustment_nv_fund",AL$3,$A842))</f>
        <v/>
      </c>
    </row>
    <row r="843" spans="2:28">
      <c r="B843" s="13" t="str">
        <f>IF($A843="","",[1]!thsiFinD("ths_adjustment_nv_fund",B$3,$A843))</f>
        <v/>
      </c>
      <c r="C843" s="13" t="str">
        <f>IF($A843="","",[1]!thsiFinD("ths_adjustment_nv_fund",C$3,$A843))</f>
        <v/>
      </c>
      <c r="D843" s="13" t="str">
        <f>IF($A843="","",[1]!thsiFinD("ths_adjustment_nv_fund",D$3,$A843))</f>
        <v/>
      </c>
      <c r="E843" s="13" t="str">
        <f>IF($A843="","",[1]!thsiFinD("ths_adjustment_nv_fund",E$3,$A843))</f>
        <v/>
      </c>
      <c r="F843" s="13" t="str">
        <f>IF($A843="","",[1]!thsiFinD("ths_adjustment_nv_fund",F$3,$A843))</f>
        <v/>
      </c>
      <c r="G843" s="13" t="str">
        <f>IF($A843="","",[1]!thsiFinD("ths_adjustment_nv_fund",G$3,$A843))</f>
        <v/>
      </c>
      <c r="H843" s="13" t="str">
        <f>IF($A843="","",[1]!thsiFinD("ths_adjustment_nv_fund",H$3,$A843))</f>
        <v/>
      </c>
      <c r="I843" s="13" t="str">
        <f>IF($A843="","",[1]!thsiFinD("ths_adjustment_nv_fund",I$3,$A843))</f>
        <v/>
      </c>
      <c r="J843" s="13" t="str">
        <f>IF($A843="","",[1]!thsiFinD("ths_adjustment_nv_fund",J$3,$A843))</f>
        <v/>
      </c>
      <c r="K843" s="13" t="str">
        <f>IF($A843="","",[1]!thsiFinD("ths_adjustment_nv_fund",K$3,$A843))</f>
        <v/>
      </c>
      <c r="L843" s="13" t="str">
        <f>IF($A843="","",[1]!thsiFinD("ths_adjustment_nv_fund",L$3,$A843))</f>
        <v/>
      </c>
      <c r="M843" s="13" t="str">
        <f>IF($A843="","",[1]!thsiFinD("ths_adjustment_nv_fund",M$3,$A843))</f>
        <v/>
      </c>
      <c r="N843" s="13" t="str">
        <f>IF($A843="","",[1]!thsiFinD("ths_adjustment_nv_fund",N$3,$A843))</f>
        <v/>
      </c>
      <c r="O843" s="13" t="str">
        <f>IF($A843="","",[1]!thsiFinD("ths_adjustment_nv_fund",O$3,$A843))</f>
        <v/>
      </c>
      <c r="P843" s="13" t="str">
        <f>IF($A843="","",[1]!thsiFinD("ths_adjustment_nv_fund",P$3,$A843))</f>
        <v/>
      </c>
      <c r="Q843" s="13" t="str">
        <f>IF($A843="","",[1]!thsiFinD("ths_adjustment_nv_fund",Q$3,$A843))</f>
        <v/>
      </c>
      <c r="R843" s="13" t="str">
        <f>IF($A843="","",[1]!thsiFinD("ths_adjustment_nv_fund",R$3,$A843))</f>
        <v/>
      </c>
      <c r="S843" s="13" t="str">
        <f>IF($A843="","",[1]!thsiFinD("ths_adjustment_nv_fund",S$3,$A843))</f>
        <v/>
      </c>
      <c r="T843" s="13" t="str">
        <f>IF($A843="","",[1]!thsiFinD("ths_adjustment_nv_fund",T$3,$A843))</f>
        <v/>
      </c>
      <c r="U843" s="13" t="str">
        <f>IF($A843="","",[1]!thsiFinD("ths_adjustment_nv_fund",U$3,$A843))</f>
        <v/>
      </c>
      <c r="V843" s="13" t="str">
        <f>IF($A843="","",[1]!thsiFinD("ths_adjustment_nv_fund",V$3,$A843))</f>
        <v/>
      </c>
      <c r="W843" s="13" t="str">
        <f>IF($A843="","",[1]!thsiFinD("ths_adjustment_nv_fund",W$3,$A843))</f>
        <v/>
      </c>
      <c r="X843" s="13" t="str">
        <f>IF($A843="","",[1]!thsiFinD("ths_adjustment_nv_fund",X$3,$A843))</f>
        <v/>
      </c>
      <c r="Y843" s="13" t="str">
        <f>IF($A843="","",[1]!thsiFinD("ths_adjustment_nv_fund",Y$3,$A843))</f>
        <v/>
      </c>
      <c r="Z843" s="13" t="str">
        <f>IF($A843="","",[1]!thsiFinD("ths_adjustment_nv_fund",Z$3,$A843))</f>
        <v/>
      </c>
      <c r="AA843" s="13" t="str">
        <f>IF($A843="","",[1]!thsiFinD("ths_adjustment_nv_fund",AA$3,$A843))</f>
        <v/>
      </c>
      <c r="AB843" s="13">
        <f>IF($A843="","",[1]!thsiFinD("ths_adjustment_nv_fund",AB$3,$A843))</f>
        <v/>
      </c>
      <c r="AC843" s="13">
        <f>IF($A843="","",[1]!thsiFinD("ths_adjustment_nv_fund",AC$3,$A843))</f>
        <v/>
      </c>
      <c r="AD843" s="13">
        <f>IF($A843="","",[1]!thsiFinD("ths_adjustment_nv_fund",AD$3,$A843))</f>
        <v/>
      </c>
      <c r="AE843" s="13">
        <f>IF($A843="","",[1]!thsiFinD("ths_adjustment_nv_fund",AE$3,$A843))</f>
        <v/>
      </c>
      <c r="AF843" s="13">
        <f>IF($A843="","",[1]!thsiFinD("ths_adjustment_nv_fund",AF$3,$A843))</f>
        <v/>
      </c>
      <c r="AG843" s="13">
        <f>IF($A843="","",[1]!thsiFinD("ths_adjustment_nv_fund",AG$3,$A843))</f>
        <v/>
      </c>
      <c r="AH843" s="13">
        <f>IF($A843="","",[1]!thsiFinD("ths_adjustment_nv_fund",AH$3,$A843))</f>
        <v/>
      </c>
      <c r="AI843" s="13">
        <f>IF($A843="","",[1]!thsiFinD("ths_adjustment_nv_fund",AI$3,$A843))</f>
        <v/>
      </c>
      <c r="AJ843" s="13">
        <f>IF($A843="","",[1]!thsiFinD("ths_adjustment_nv_fund",AJ$3,$A843))</f>
        <v/>
      </c>
      <c r="AK843" s="13">
        <f>IF($A843="","",[1]!thsiFinD("ths_adjustment_nv_fund",AK$3,$A843))</f>
        <v/>
      </c>
      <c r="AL843" s="13">
        <f>IF($A843="","",[1]!thsiFinD("ths_adjustment_nv_fund",AL$3,$A843))</f>
        <v/>
      </c>
    </row>
    <row r="844" spans="2:28">
      <c r="B844" s="13" t="str">
        <f>IF($A844="","",[1]!thsiFinD("ths_adjustment_nv_fund",B$3,$A844))</f>
        <v/>
      </c>
      <c r="C844" s="13" t="str">
        <f>IF($A844="","",[1]!thsiFinD("ths_adjustment_nv_fund",C$3,$A844))</f>
        <v/>
      </c>
      <c r="D844" s="13" t="str">
        <f>IF($A844="","",[1]!thsiFinD("ths_adjustment_nv_fund",D$3,$A844))</f>
        <v/>
      </c>
      <c r="E844" s="13" t="str">
        <f>IF($A844="","",[1]!thsiFinD("ths_adjustment_nv_fund",E$3,$A844))</f>
        <v/>
      </c>
      <c r="F844" s="13" t="str">
        <f>IF($A844="","",[1]!thsiFinD("ths_adjustment_nv_fund",F$3,$A844))</f>
        <v/>
      </c>
      <c r="G844" s="13" t="str">
        <f>IF($A844="","",[1]!thsiFinD("ths_adjustment_nv_fund",G$3,$A844))</f>
        <v/>
      </c>
      <c r="H844" s="13" t="str">
        <f>IF($A844="","",[1]!thsiFinD("ths_adjustment_nv_fund",H$3,$A844))</f>
        <v/>
      </c>
      <c r="I844" s="13" t="str">
        <f>IF($A844="","",[1]!thsiFinD("ths_adjustment_nv_fund",I$3,$A844))</f>
        <v/>
      </c>
      <c r="J844" s="13" t="str">
        <f>IF($A844="","",[1]!thsiFinD("ths_adjustment_nv_fund",J$3,$A844))</f>
        <v/>
      </c>
      <c r="K844" s="13" t="str">
        <f>IF($A844="","",[1]!thsiFinD("ths_adjustment_nv_fund",K$3,$A844))</f>
        <v/>
      </c>
      <c r="L844" s="13" t="str">
        <f>IF($A844="","",[1]!thsiFinD("ths_adjustment_nv_fund",L$3,$A844))</f>
        <v/>
      </c>
      <c r="M844" s="13" t="str">
        <f>IF($A844="","",[1]!thsiFinD("ths_adjustment_nv_fund",M$3,$A844))</f>
        <v/>
      </c>
      <c r="N844" s="13" t="str">
        <f>IF($A844="","",[1]!thsiFinD("ths_adjustment_nv_fund",N$3,$A844))</f>
        <v/>
      </c>
      <c r="O844" s="13" t="str">
        <f>IF($A844="","",[1]!thsiFinD("ths_adjustment_nv_fund",O$3,$A844))</f>
        <v/>
      </c>
      <c r="P844" s="13" t="str">
        <f>IF($A844="","",[1]!thsiFinD("ths_adjustment_nv_fund",P$3,$A844))</f>
        <v/>
      </c>
      <c r="Q844" s="13" t="str">
        <f>IF($A844="","",[1]!thsiFinD("ths_adjustment_nv_fund",Q$3,$A844))</f>
        <v/>
      </c>
      <c r="R844" s="13" t="str">
        <f>IF($A844="","",[1]!thsiFinD("ths_adjustment_nv_fund",R$3,$A844))</f>
        <v/>
      </c>
      <c r="S844" s="13" t="str">
        <f>IF($A844="","",[1]!thsiFinD("ths_adjustment_nv_fund",S$3,$A844))</f>
        <v/>
      </c>
      <c r="T844" s="13" t="str">
        <f>IF($A844="","",[1]!thsiFinD("ths_adjustment_nv_fund",T$3,$A844))</f>
        <v/>
      </c>
      <c r="U844" s="13" t="str">
        <f>IF($A844="","",[1]!thsiFinD("ths_adjustment_nv_fund",U$3,$A844))</f>
        <v/>
      </c>
      <c r="V844" s="13" t="str">
        <f>IF($A844="","",[1]!thsiFinD("ths_adjustment_nv_fund",V$3,$A844))</f>
        <v/>
      </c>
      <c r="W844" s="13" t="str">
        <f>IF($A844="","",[1]!thsiFinD("ths_adjustment_nv_fund",W$3,$A844))</f>
        <v/>
      </c>
      <c r="X844" s="13" t="str">
        <f>IF($A844="","",[1]!thsiFinD("ths_adjustment_nv_fund",X$3,$A844))</f>
        <v/>
      </c>
      <c r="Y844" s="13" t="str">
        <f>IF($A844="","",[1]!thsiFinD("ths_adjustment_nv_fund",Y$3,$A844))</f>
        <v/>
      </c>
      <c r="Z844" s="13" t="str">
        <f>IF($A844="","",[1]!thsiFinD("ths_adjustment_nv_fund",Z$3,$A844))</f>
        <v/>
      </c>
      <c r="AA844" s="13" t="str">
        <f>IF($A844="","",[1]!thsiFinD("ths_adjustment_nv_fund",AA$3,$A844))</f>
        <v/>
      </c>
      <c r="AB844" s="13">
        <f>IF($A844="","",[1]!thsiFinD("ths_adjustment_nv_fund",AB$3,$A844))</f>
        <v/>
      </c>
      <c r="AC844" s="13">
        <f>IF($A844="","",[1]!thsiFinD("ths_adjustment_nv_fund",AC$3,$A844))</f>
        <v/>
      </c>
      <c r="AD844" s="13">
        <f>IF($A844="","",[1]!thsiFinD("ths_adjustment_nv_fund",AD$3,$A844))</f>
        <v/>
      </c>
      <c r="AE844" s="13">
        <f>IF($A844="","",[1]!thsiFinD("ths_adjustment_nv_fund",AE$3,$A844))</f>
        <v/>
      </c>
      <c r="AF844" s="13">
        <f>IF($A844="","",[1]!thsiFinD("ths_adjustment_nv_fund",AF$3,$A844))</f>
        <v/>
      </c>
      <c r="AG844" s="13">
        <f>IF($A844="","",[1]!thsiFinD("ths_adjustment_nv_fund",AG$3,$A844))</f>
        <v/>
      </c>
      <c r="AH844" s="13">
        <f>IF($A844="","",[1]!thsiFinD("ths_adjustment_nv_fund",AH$3,$A844))</f>
        <v/>
      </c>
      <c r="AI844" s="13">
        <f>IF($A844="","",[1]!thsiFinD("ths_adjustment_nv_fund",AI$3,$A844))</f>
        <v/>
      </c>
      <c r="AJ844" s="13">
        <f>IF($A844="","",[1]!thsiFinD("ths_adjustment_nv_fund",AJ$3,$A844))</f>
        <v/>
      </c>
      <c r="AK844" s="13">
        <f>IF($A844="","",[1]!thsiFinD("ths_adjustment_nv_fund",AK$3,$A844))</f>
        <v/>
      </c>
      <c r="AL844" s="13">
        <f>IF($A844="","",[1]!thsiFinD("ths_adjustment_nv_fund",AL$3,$A844))</f>
        <v/>
      </c>
    </row>
    <row r="845" spans="2:28">
      <c r="B845" s="13" t="str">
        <f>IF($A845="","",[1]!thsiFinD("ths_adjustment_nv_fund",B$3,$A845))</f>
        <v/>
      </c>
      <c r="C845" s="13" t="str">
        <f>IF($A845="","",[1]!thsiFinD("ths_adjustment_nv_fund",C$3,$A845))</f>
        <v/>
      </c>
      <c r="D845" s="13" t="str">
        <f>IF($A845="","",[1]!thsiFinD("ths_adjustment_nv_fund",D$3,$A845))</f>
        <v/>
      </c>
      <c r="E845" s="13" t="str">
        <f>IF($A845="","",[1]!thsiFinD("ths_adjustment_nv_fund",E$3,$A845))</f>
        <v/>
      </c>
      <c r="F845" s="13" t="str">
        <f>IF($A845="","",[1]!thsiFinD("ths_adjustment_nv_fund",F$3,$A845))</f>
        <v/>
      </c>
      <c r="G845" s="13" t="str">
        <f>IF($A845="","",[1]!thsiFinD("ths_adjustment_nv_fund",G$3,$A845))</f>
        <v/>
      </c>
      <c r="H845" s="13" t="str">
        <f>IF($A845="","",[1]!thsiFinD("ths_adjustment_nv_fund",H$3,$A845))</f>
        <v/>
      </c>
      <c r="I845" s="13" t="str">
        <f>IF($A845="","",[1]!thsiFinD("ths_adjustment_nv_fund",I$3,$A845))</f>
        <v/>
      </c>
      <c r="J845" s="13" t="str">
        <f>IF($A845="","",[1]!thsiFinD("ths_adjustment_nv_fund",J$3,$A845))</f>
        <v/>
      </c>
      <c r="K845" s="13" t="str">
        <f>IF($A845="","",[1]!thsiFinD("ths_adjustment_nv_fund",K$3,$A845))</f>
        <v/>
      </c>
      <c r="L845" s="13" t="str">
        <f>IF($A845="","",[1]!thsiFinD("ths_adjustment_nv_fund",L$3,$A845))</f>
        <v/>
      </c>
      <c r="M845" s="13" t="str">
        <f>IF($A845="","",[1]!thsiFinD("ths_adjustment_nv_fund",M$3,$A845))</f>
        <v/>
      </c>
      <c r="N845" s="13" t="str">
        <f>IF($A845="","",[1]!thsiFinD("ths_adjustment_nv_fund",N$3,$A845))</f>
        <v/>
      </c>
      <c r="O845" s="13" t="str">
        <f>IF($A845="","",[1]!thsiFinD("ths_adjustment_nv_fund",O$3,$A845))</f>
        <v/>
      </c>
      <c r="P845" s="13" t="str">
        <f>IF($A845="","",[1]!thsiFinD("ths_adjustment_nv_fund",P$3,$A845))</f>
        <v/>
      </c>
      <c r="Q845" s="13" t="str">
        <f>IF($A845="","",[1]!thsiFinD("ths_adjustment_nv_fund",Q$3,$A845))</f>
        <v/>
      </c>
      <c r="R845" s="13" t="str">
        <f>IF($A845="","",[1]!thsiFinD("ths_adjustment_nv_fund",R$3,$A845))</f>
        <v/>
      </c>
      <c r="S845" s="13" t="str">
        <f>IF($A845="","",[1]!thsiFinD("ths_adjustment_nv_fund",S$3,$A845))</f>
        <v/>
      </c>
      <c r="T845" s="13" t="str">
        <f>IF($A845="","",[1]!thsiFinD("ths_adjustment_nv_fund",T$3,$A845))</f>
        <v/>
      </c>
      <c r="U845" s="13" t="str">
        <f>IF($A845="","",[1]!thsiFinD("ths_adjustment_nv_fund",U$3,$A845))</f>
        <v/>
      </c>
      <c r="V845" s="13" t="str">
        <f>IF($A845="","",[1]!thsiFinD("ths_adjustment_nv_fund",V$3,$A845))</f>
        <v/>
      </c>
      <c r="W845" s="13" t="str">
        <f>IF($A845="","",[1]!thsiFinD("ths_adjustment_nv_fund",W$3,$A845))</f>
        <v/>
      </c>
      <c r="X845" s="13" t="str">
        <f>IF($A845="","",[1]!thsiFinD("ths_adjustment_nv_fund",X$3,$A845))</f>
        <v/>
      </c>
      <c r="Y845" s="13" t="str">
        <f>IF($A845="","",[1]!thsiFinD("ths_adjustment_nv_fund",Y$3,$A845))</f>
        <v/>
      </c>
      <c r="Z845" s="13" t="str">
        <f>IF($A845="","",[1]!thsiFinD("ths_adjustment_nv_fund",Z$3,$A845))</f>
        <v/>
      </c>
      <c r="AA845" s="13" t="str">
        <f>IF($A845="","",[1]!thsiFinD("ths_adjustment_nv_fund",AA$3,$A845))</f>
        <v/>
      </c>
      <c r="AB845" s="13">
        <f>IF($A845="","",[1]!thsiFinD("ths_adjustment_nv_fund",AB$3,$A845))</f>
        <v/>
      </c>
      <c r="AC845" s="13">
        <f>IF($A845="","",[1]!thsiFinD("ths_adjustment_nv_fund",AC$3,$A845))</f>
        <v/>
      </c>
      <c r="AD845" s="13">
        <f>IF($A845="","",[1]!thsiFinD("ths_adjustment_nv_fund",AD$3,$A845))</f>
        <v/>
      </c>
      <c r="AE845" s="13">
        <f>IF($A845="","",[1]!thsiFinD("ths_adjustment_nv_fund",AE$3,$A845))</f>
        <v/>
      </c>
      <c r="AF845" s="13">
        <f>IF($A845="","",[1]!thsiFinD("ths_adjustment_nv_fund",AF$3,$A845))</f>
        <v/>
      </c>
      <c r="AG845" s="13">
        <f>IF($A845="","",[1]!thsiFinD("ths_adjustment_nv_fund",AG$3,$A845))</f>
        <v/>
      </c>
      <c r="AH845" s="13">
        <f>IF($A845="","",[1]!thsiFinD("ths_adjustment_nv_fund",AH$3,$A845))</f>
        <v/>
      </c>
      <c r="AI845" s="13">
        <f>IF($A845="","",[1]!thsiFinD("ths_adjustment_nv_fund",AI$3,$A845))</f>
        <v/>
      </c>
      <c r="AJ845" s="13">
        <f>IF($A845="","",[1]!thsiFinD("ths_adjustment_nv_fund",AJ$3,$A845))</f>
        <v/>
      </c>
      <c r="AK845" s="13">
        <f>IF($A845="","",[1]!thsiFinD("ths_adjustment_nv_fund",AK$3,$A845))</f>
        <v/>
      </c>
      <c r="AL845" s="13">
        <f>IF($A845="","",[1]!thsiFinD("ths_adjustment_nv_fund",AL$3,$A845))</f>
        <v/>
      </c>
    </row>
    <row r="846" spans="2:28">
      <c r="B846" s="13" t="str">
        <f>IF($A846="","",[1]!thsiFinD("ths_adjustment_nv_fund",B$3,$A846))</f>
        <v/>
      </c>
      <c r="C846" s="13" t="str">
        <f>IF($A846="","",[1]!thsiFinD("ths_adjustment_nv_fund",C$3,$A846))</f>
        <v/>
      </c>
      <c r="D846" s="13" t="str">
        <f>IF($A846="","",[1]!thsiFinD("ths_adjustment_nv_fund",D$3,$A846))</f>
        <v/>
      </c>
      <c r="E846" s="13" t="str">
        <f>IF($A846="","",[1]!thsiFinD("ths_adjustment_nv_fund",E$3,$A846))</f>
        <v/>
      </c>
      <c r="F846" s="13" t="str">
        <f>IF($A846="","",[1]!thsiFinD("ths_adjustment_nv_fund",F$3,$A846))</f>
        <v/>
      </c>
      <c r="G846" s="13" t="str">
        <f>IF($A846="","",[1]!thsiFinD("ths_adjustment_nv_fund",G$3,$A846))</f>
        <v/>
      </c>
      <c r="H846" s="13" t="str">
        <f>IF($A846="","",[1]!thsiFinD("ths_adjustment_nv_fund",H$3,$A846))</f>
        <v/>
      </c>
      <c r="I846" s="13" t="str">
        <f>IF($A846="","",[1]!thsiFinD("ths_adjustment_nv_fund",I$3,$A846))</f>
        <v/>
      </c>
      <c r="J846" s="13" t="str">
        <f>IF($A846="","",[1]!thsiFinD("ths_adjustment_nv_fund",J$3,$A846))</f>
        <v/>
      </c>
      <c r="K846" s="13" t="str">
        <f>IF($A846="","",[1]!thsiFinD("ths_adjustment_nv_fund",K$3,$A846))</f>
        <v/>
      </c>
      <c r="L846" s="13" t="str">
        <f>IF($A846="","",[1]!thsiFinD("ths_adjustment_nv_fund",L$3,$A846))</f>
        <v/>
      </c>
      <c r="M846" s="13" t="str">
        <f>IF($A846="","",[1]!thsiFinD("ths_adjustment_nv_fund",M$3,$A846))</f>
        <v/>
      </c>
      <c r="N846" s="13" t="str">
        <f>IF($A846="","",[1]!thsiFinD("ths_adjustment_nv_fund",N$3,$A846))</f>
        <v/>
      </c>
      <c r="O846" s="13" t="str">
        <f>IF($A846="","",[1]!thsiFinD("ths_adjustment_nv_fund",O$3,$A846))</f>
        <v/>
      </c>
      <c r="P846" s="13" t="str">
        <f>IF($A846="","",[1]!thsiFinD("ths_adjustment_nv_fund",P$3,$A846))</f>
        <v/>
      </c>
      <c r="Q846" s="13" t="str">
        <f>IF($A846="","",[1]!thsiFinD("ths_adjustment_nv_fund",Q$3,$A846))</f>
        <v/>
      </c>
      <c r="R846" s="13" t="str">
        <f>IF($A846="","",[1]!thsiFinD("ths_adjustment_nv_fund",R$3,$A846))</f>
        <v/>
      </c>
      <c r="S846" s="13" t="str">
        <f>IF($A846="","",[1]!thsiFinD("ths_adjustment_nv_fund",S$3,$A846))</f>
        <v/>
      </c>
      <c r="T846" s="13" t="str">
        <f>IF($A846="","",[1]!thsiFinD("ths_adjustment_nv_fund",T$3,$A846))</f>
        <v/>
      </c>
      <c r="U846" s="13" t="str">
        <f>IF($A846="","",[1]!thsiFinD("ths_adjustment_nv_fund",U$3,$A846))</f>
        <v/>
      </c>
      <c r="V846" s="13" t="str">
        <f>IF($A846="","",[1]!thsiFinD("ths_adjustment_nv_fund",V$3,$A846))</f>
        <v/>
      </c>
      <c r="W846" s="13" t="str">
        <f>IF($A846="","",[1]!thsiFinD("ths_adjustment_nv_fund",W$3,$A846))</f>
        <v/>
      </c>
      <c r="X846" s="13" t="str">
        <f>IF($A846="","",[1]!thsiFinD("ths_adjustment_nv_fund",X$3,$A846))</f>
        <v/>
      </c>
      <c r="Y846" s="13" t="str">
        <f>IF($A846="","",[1]!thsiFinD("ths_adjustment_nv_fund",Y$3,$A846))</f>
        <v/>
      </c>
      <c r="Z846" s="13" t="str">
        <f>IF($A846="","",[1]!thsiFinD("ths_adjustment_nv_fund",Z$3,$A846))</f>
        <v/>
      </c>
      <c r="AA846" s="13" t="str">
        <f>IF($A846="","",[1]!thsiFinD("ths_adjustment_nv_fund",AA$3,$A846))</f>
        <v/>
      </c>
      <c r="AB846" s="13">
        <f>IF($A846="","",[1]!thsiFinD("ths_adjustment_nv_fund",AB$3,$A846))</f>
        <v/>
      </c>
      <c r="AC846" s="13">
        <f>IF($A846="","",[1]!thsiFinD("ths_adjustment_nv_fund",AC$3,$A846))</f>
        <v/>
      </c>
      <c r="AD846" s="13">
        <f>IF($A846="","",[1]!thsiFinD("ths_adjustment_nv_fund",AD$3,$A846))</f>
        <v/>
      </c>
      <c r="AE846" s="13">
        <f>IF($A846="","",[1]!thsiFinD("ths_adjustment_nv_fund",AE$3,$A846))</f>
        <v/>
      </c>
      <c r="AF846" s="13">
        <f>IF($A846="","",[1]!thsiFinD("ths_adjustment_nv_fund",AF$3,$A846))</f>
        <v/>
      </c>
      <c r="AG846" s="13">
        <f>IF($A846="","",[1]!thsiFinD("ths_adjustment_nv_fund",AG$3,$A846))</f>
        <v/>
      </c>
      <c r="AH846" s="13">
        <f>IF($A846="","",[1]!thsiFinD("ths_adjustment_nv_fund",AH$3,$A846))</f>
        <v/>
      </c>
      <c r="AI846" s="13">
        <f>IF($A846="","",[1]!thsiFinD("ths_adjustment_nv_fund",AI$3,$A846))</f>
        <v/>
      </c>
      <c r="AJ846" s="13">
        <f>IF($A846="","",[1]!thsiFinD("ths_adjustment_nv_fund",AJ$3,$A846))</f>
        <v/>
      </c>
      <c r="AK846" s="13">
        <f>IF($A846="","",[1]!thsiFinD("ths_adjustment_nv_fund",AK$3,$A846))</f>
        <v/>
      </c>
      <c r="AL846" s="13">
        <f>IF($A846="","",[1]!thsiFinD("ths_adjustment_nv_fund",AL$3,$A846))</f>
        <v/>
      </c>
    </row>
    <row r="847" spans="2:28">
      <c r="B847" s="13" t="str">
        <f>IF($A847="","",[1]!thsiFinD("ths_adjustment_nv_fund",B$3,$A847))</f>
        <v/>
      </c>
      <c r="C847" s="13" t="str">
        <f>IF($A847="","",[1]!thsiFinD("ths_adjustment_nv_fund",C$3,$A847))</f>
        <v/>
      </c>
      <c r="D847" s="13" t="str">
        <f>IF($A847="","",[1]!thsiFinD("ths_adjustment_nv_fund",D$3,$A847))</f>
        <v/>
      </c>
      <c r="E847" s="13" t="str">
        <f>IF($A847="","",[1]!thsiFinD("ths_adjustment_nv_fund",E$3,$A847))</f>
        <v/>
      </c>
      <c r="F847" s="13" t="str">
        <f>IF($A847="","",[1]!thsiFinD("ths_adjustment_nv_fund",F$3,$A847))</f>
        <v/>
      </c>
      <c r="G847" s="13" t="str">
        <f>IF($A847="","",[1]!thsiFinD("ths_adjustment_nv_fund",G$3,$A847))</f>
        <v/>
      </c>
      <c r="H847" s="13" t="str">
        <f>IF($A847="","",[1]!thsiFinD("ths_adjustment_nv_fund",H$3,$A847))</f>
        <v/>
      </c>
      <c r="I847" s="13" t="str">
        <f>IF($A847="","",[1]!thsiFinD("ths_adjustment_nv_fund",I$3,$A847))</f>
        <v/>
      </c>
      <c r="J847" s="13" t="str">
        <f>IF($A847="","",[1]!thsiFinD("ths_adjustment_nv_fund",J$3,$A847))</f>
        <v/>
      </c>
      <c r="K847" s="13" t="str">
        <f>IF($A847="","",[1]!thsiFinD("ths_adjustment_nv_fund",K$3,$A847))</f>
        <v/>
      </c>
      <c r="L847" s="13" t="str">
        <f>IF($A847="","",[1]!thsiFinD("ths_adjustment_nv_fund",L$3,$A847))</f>
        <v/>
      </c>
      <c r="M847" s="13" t="str">
        <f>IF($A847="","",[1]!thsiFinD("ths_adjustment_nv_fund",M$3,$A847))</f>
        <v/>
      </c>
      <c r="N847" s="13" t="str">
        <f>IF($A847="","",[1]!thsiFinD("ths_adjustment_nv_fund",N$3,$A847))</f>
        <v/>
      </c>
      <c r="O847" s="13" t="str">
        <f>IF($A847="","",[1]!thsiFinD("ths_adjustment_nv_fund",O$3,$A847))</f>
        <v/>
      </c>
      <c r="P847" s="13" t="str">
        <f>IF($A847="","",[1]!thsiFinD("ths_adjustment_nv_fund",P$3,$A847))</f>
        <v/>
      </c>
      <c r="Q847" s="13" t="str">
        <f>IF($A847="","",[1]!thsiFinD("ths_adjustment_nv_fund",Q$3,$A847))</f>
        <v/>
      </c>
      <c r="R847" s="13" t="str">
        <f>IF($A847="","",[1]!thsiFinD("ths_adjustment_nv_fund",R$3,$A847))</f>
        <v/>
      </c>
      <c r="S847" s="13" t="str">
        <f>IF($A847="","",[1]!thsiFinD("ths_adjustment_nv_fund",S$3,$A847))</f>
        <v/>
      </c>
      <c r="T847" s="13" t="str">
        <f>IF($A847="","",[1]!thsiFinD("ths_adjustment_nv_fund",T$3,$A847))</f>
        <v/>
      </c>
      <c r="U847" s="13" t="str">
        <f>IF($A847="","",[1]!thsiFinD("ths_adjustment_nv_fund",U$3,$A847))</f>
        <v/>
      </c>
      <c r="V847" s="13" t="str">
        <f>IF($A847="","",[1]!thsiFinD("ths_adjustment_nv_fund",V$3,$A847))</f>
        <v/>
      </c>
      <c r="W847" s="13" t="str">
        <f>IF($A847="","",[1]!thsiFinD("ths_adjustment_nv_fund",W$3,$A847))</f>
        <v/>
      </c>
      <c r="X847" s="13" t="str">
        <f>IF($A847="","",[1]!thsiFinD("ths_adjustment_nv_fund",X$3,$A847))</f>
        <v/>
      </c>
      <c r="Y847" s="13" t="str">
        <f>IF($A847="","",[1]!thsiFinD("ths_adjustment_nv_fund",Y$3,$A847))</f>
        <v/>
      </c>
      <c r="Z847" s="13" t="str">
        <f>IF($A847="","",[1]!thsiFinD("ths_adjustment_nv_fund",Z$3,$A847))</f>
        <v/>
      </c>
      <c r="AA847" s="13" t="str">
        <f>IF($A847="","",[1]!thsiFinD("ths_adjustment_nv_fund",AA$3,$A847))</f>
        <v/>
      </c>
      <c r="AB847" s="13">
        <f>IF($A847="","",[1]!thsiFinD("ths_adjustment_nv_fund",AB$3,$A847))</f>
        <v/>
      </c>
      <c r="AC847" s="13">
        <f>IF($A847="","",[1]!thsiFinD("ths_adjustment_nv_fund",AC$3,$A847))</f>
        <v/>
      </c>
      <c r="AD847" s="13">
        <f>IF($A847="","",[1]!thsiFinD("ths_adjustment_nv_fund",AD$3,$A847))</f>
        <v/>
      </c>
      <c r="AE847" s="13">
        <f>IF($A847="","",[1]!thsiFinD("ths_adjustment_nv_fund",AE$3,$A847))</f>
        <v/>
      </c>
      <c r="AF847" s="13">
        <f>IF($A847="","",[1]!thsiFinD("ths_adjustment_nv_fund",AF$3,$A847))</f>
        <v/>
      </c>
      <c r="AG847" s="13">
        <f>IF($A847="","",[1]!thsiFinD("ths_adjustment_nv_fund",AG$3,$A847))</f>
        <v/>
      </c>
      <c r="AH847" s="13">
        <f>IF($A847="","",[1]!thsiFinD("ths_adjustment_nv_fund",AH$3,$A847))</f>
        <v/>
      </c>
      <c r="AI847" s="13">
        <f>IF($A847="","",[1]!thsiFinD("ths_adjustment_nv_fund",AI$3,$A847))</f>
        <v/>
      </c>
      <c r="AJ847" s="13">
        <f>IF($A847="","",[1]!thsiFinD("ths_adjustment_nv_fund",AJ$3,$A847))</f>
        <v/>
      </c>
      <c r="AK847" s="13">
        <f>IF($A847="","",[1]!thsiFinD("ths_adjustment_nv_fund",AK$3,$A847))</f>
        <v/>
      </c>
      <c r="AL847" s="13">
        <f>IF($A847="","",[1]!thsiFinD("ths_adjustment_nv_fund",AL$3,$A847))</f>
        <v/>
      </c>
    </row>
    <row r="848" spans="2:28">
      <c r="B848" s="13" t="str">
        <f>IF($A848="","",[1]!thsiFinD("ths_adjustment_nv_fund",B$3,$A848))</f>
        <v/>
      </c>
      <c r="C848" s="13" t="str">
        <f>IF($A848="","",[1]!thsiFinD("ths_adjustment_nv_fund",C$3,$A848))</f>
        <v/>
      </c>
      <c r="D848" s="13" t="str">
        <f>IF($A848="","",[1]!thsiFinD("ths_adjustment_nv_fund",D$3,$A848))</f>
        <v/>
      </c>
      <c r="E848" s="13" t="str">
        <f>IF($A848="","",[1]!thsiFinD("ths_adjustment_nv_fund",E$3,$A848))</f>
        <v/>
      </c>
      <c r="F848" s="13" t="str">
        <f>IF($A848="","",[1]!thsiFinD("ths_adjustment_nv_fund",F$3,$A848))</f>
        <v/>
      </c>
      <c r="G848" s="13" t="str">
        <f>IF($A848="","",[1]!thsiFinD("ths_adjustment_nv_fund",G$3,$A848))</f>
        <v/>
      </c>
      <c r="H848" s="13" t="str">
        <f>IF($A848="","",[1]!thsiFinD("ths_adjustment_nv_fund",H$3,$A848))</f>
        <v/>
      </c>
      <c r="I848" s="13" t="str">
        <f>IF($A848="","",[1]!thsiFinD("ths_adjustment_nv_fund",I$3,$A848))</f>
        <v/>
      </c>
      <c r="J848" s="13" t="str">
        <f>IF($A848="","",[1]!thsiFinD("ths_adjustment_nv_fund",J$3,$A848))</f>
        <v/>
      </c>
      <c r="K848" s="13" t="str">
        <f>IF($A848="","",[1]!thsiFinD("ths_adjustment_nv_fund",K$3,$A848))</f>
        <v/>
      </c>
      <c r="L848" s="13" t="str">
        <f>IF($A848="","",[1]!thsiFinD("ths_adjustment_nv_fund",L$3,$A848))</f>
        <v/>
      </c>
      <c r="M848" s="13" t="str">
        <f>IF($A848="","",[1]!thsiFinD("ths_adjustment_nv_fund",M$3,$A848))</f>
        <v/>
      </c>
      <c r="N848" s="13" t="str">
        <f>IF($A848="","",[1]!thsiFinD("ths_adjustment_nv_fund",N$3,$A848))</f>
        <v/>
      </c>
      <c r="O848" s="13" t="str">
        <f>IF($A848="","",[1]!thsiFinD("ths_adjustment_nv_fund",O$3,$A848))</f>
        <v/>
      </c>
      <c r="P848" s="13" t="str">
        <f>IF($A848="","",[1]!thsiFinD("ths_adjustment_nv_fund",P$3,$A848))</f>
        <v/>
      </c>
      <c r="Q848" s="13" t="str">
        <f>IF($A848="","",[1]!thsiFinD("ths_adjustment_nv_fund",Q$3,$A848))</f>
        <v/>
      </c>
      <c r="R848" s="13" t="str">
        <f>IF($A848="","",[1]!thsiFinD("ths_adjustment_nv_fund",R$3,$A848))</f>
        <v/>
      </c>
      <c r="S848" s="13" t="str">
        <f>IF($A848="","",[1]!thsiFinD("ths_adjustment_nv_fund",S$3,$A848))</f>
        <v/>
      </c>
      <c r="T848" s="13" t="str">
        <f>IF($A848="","",[1]!thsiFinD("ths_adjustment_nv_fund",T$3,$A848))</f>
        <v/>
      </c>
      <c r="U848" s="13" t="str">
        <f>IF($A848="","",[1]!thsiFinD("ths_adjustment_nv_fund",U$3,$A848))</f>
        <v/>
      </c>
      <c r="V848" s="13" t="str">
        <f>IF($A848="","",[1]!thsiFinD("ths_adjustment_nv_fund",V$3,$A848))</f>
        <v/>
      </c>
      <c r="W848" s="13" t="str">
        <f>IF($A848="","",[1]!thsiFinD("ths_adjustment_nv_fund",W$3,$A848))</f>
        <v/>
      </c>
      <c r="X848" s="13" t="str">
        <f>IF($A848="","",[1]!thsiFinD("ths_adjustment_nv_fund",X$3,$A848))</f>
        <v/>
      </c>
      <c r="Y848" s="13" t="str">
        <f>IF($A848="","",[1]!thsiFinD("ths_adjustment_nv_fund",Y$3,$A848))</f>
        <v/>
      </c>
      <c r="Z848" s="13" t="str">
        <f>IF($A848="","",[1]!thsiFinD("ths_adjustment_nv_fund",Z$3,$A848))</f>
        <v/>
      </c>
      <c r="AA848" s="13" t="str">
        <f>IF($A848="","",[1]!thsiFinD("ths_adjustment_nv_fund",AA$3,$A848))</f>
        <v/>
      </c>
      <c r="AB848" s="13">
        <f>IF($A848="","",[1]!thsiFinD("ths_adjustment_nv_fund",AB$3,$A848))</f>
        <v/>
      </c>
      <c r="AC848" s="13">
        <f>IF($A848="","",[1]!thsiFinD("ths_adjustment_nv_fund",AC$3,$A848))</f>
        <v/>
      </c>
      <c r="AD848" s="13">
        <f>IF($A848="","",[1]!thsiFinD("ths_adjustment_nv_fund",AD$3,$A848))</f>
        <v/>
      </c>
      <c r="AE848" s="13">
        <f>IF($A848="","",[1]!thsiFinD("ths_adjustment_nv_fund",AE$3,$A848))</f>
        <v/>
      </c>
      <c r="AF848" s="13">
        <f>IF($A848="","",[1]!thsiFinD("ths_adjustment_nv_fund",AF$3,$A848))</f>
        <v/>
      </c>
      <c r="AG848" s="13">
        <f>IF($A848="","",[1]!thsiFinD("ths_adjustment_nv_fund",AG$3,$A848))</f>
        <v/>
      </c>
      <c r="AH848" s="13">
        <f>IF($A848="","",[1]!thsiFinD("ths_adjustment_nv_fund",AH$3,$A848))</f>
        <v/>
      </c>
      <c r="AI848" s="13">
        <f>IF($A848="","",[1]!thsiFinD("ths_adjustment_nv_fund",AI$3,$A848))</f>
        <v/>
      </c>
      <c r="AJ848" s="13">
        <f>IF($A848="","",[1]!thsiFinD("ths_adjustment_nv_fund",AJ$3,$A848))</f>
        <v/>
      </c>
      <c r="AK848" s="13">
        <f>IF($A848="","",[1]!thsiFinD("ths_adjustment_nv_fund",AK$3,$A848))</f>
        <v/>
      </c>
      <c r="AL848" s="13">
        <f>IF($A848="","",[1]!thsiFinD("ths_adjustment_nv_fund",AL$3,$A848))</f>
        <v/>
      </c>
    </row>
    <row r="849" spans="2:28">
      <c r="B849" s="13" t="str">
        <f>IF($A849="","",[1]!thsiFinD("ths_adjustment_nv_fund",B$3,$A849))</f>
        <v/>
      </c>
      <c r="C849" s="13" t="str">
        <f>IF($A849="","",[1]!thsiFinD("ths_adjustment_nv_fund",C$3,$A849))</f>
        <v/>
      </c>
      <c r="D849" s="13" t="str">
        <f>IF($A849="","",[1]!thsiFinD("ths_adjustment_nv_fund",D$3,$A849))</f>
        <v/>
      </c>
      <c r="E849" s="13" t="str">
        <f>IF($A849="","",[1]!thsiFinD("ths_adjustment_nv_fund",E$3,$A849))</f>
        <v/>
      </c>
      <c r="F849" s="13" t="str">
        <f>IF($A849="","",[1]!thsiFinD("ths_adjustment_nv_fund",F$3,$A849))</f>
        <v/>
      </c>
      <c r="G849" s="13" t="str">
        <f>IF($A849="","",[1]!thsiFinD("ths_adjustment_nv_fund",G$3,$A849))</f>
        <v/>
      </c>
      <c r="H849" s="13" t="str">
        <f>IF($A849="","",[1]!thsiFinD("ths_adjustment_nv_fund",H$3,$A849))</f>
        <v/>
      </c>
      <c r="I849" s="13" t="str">
        <f>IF($A849="","",[1]!thsiFinD("ths_adjustment_nv_fund",I$3,$A849))</f>
        <v/>
      </c>
      <c r="J849" s="13" t="str">
        <f>IF($A849="","",[1]!thsiFinD("ths_adjustment_nv_fund",J$3,$A849))</f>
        <v/>
      </c>
      <c r="K849" s="13" t="str">
        <f>IF($A849="","",[1]!thsiFinD("ths_adjustment_nv_fund",K$3,$A849))</f>
        <v/>
      </c>
      <c r="L849" s="13" t="str">
        <f>IF($A849="","",[1]!thsiFinD("ths_adjustment_nv_fund",L$3,$A849))</f>
        <v/>
      </c>
      <c r="M849" s="13" t="str">
        <f>IF($A849="","",[1]!thsiFinD("ths_adjustment_nv_fund",M$3,$A849))</f>
        <v/>
      </c>
      <c r="N849" s="13" t="str">
        <f>IF($A849="","",[1]!thsiFinD("ths_adjustment_nv_fund",N$3,$A849))</f>
        <v/>
      </c>
      <c r="O849" s="13" t="str">
        <f>IF($A849="","",[1]!thsiFinD("ths_adjustment_nv_fund",O$3,$A849))</f>
        <v/>
      </c>
      <c r="P849" s="13" t="str">
        <f>IF($A849="","",[1]!thsiFinD("ths_adjustment_nv_fund",P$3,$A849))</f>
        <v/>
      </c>
      <c r="Q849" s="13" t="str">
        <f>IF($A849="","",[1]!thsiFinD("ths_adjustment_nv_fund",Q$3,$A849))</f>
        <v/>
      </c>
      <c r="R849" s="13" t="str">
        <f>IF($A849="","",[1]!thsiFinD("ths_adjustment_nv_fund",R$3,$A849))</f>
        <v/>
      </c>
      <c r="S849" s="13" t="str">
        <f>IF($A849="","",[1]!thsiFinD("ths_adjustment_nv_fund",S$3,$A849))</f>
        <v/>
      </c>
      <c r="T849" s="13" t="str">
        <f>IF($A849="","",[1]!thsiFinD("ths_adjustment_nv_fund",T$3,$A849))</f>
        <v/>
      </c>
      <c r="U849" s="13" t="str">
        <f>IF($A849="","",[1]!thsiFinD("ths_adjustment_nv_fund",U$3,$A849))</f>
        <v/>
      </c>
      <c r="V849" s="13" t="str">
        <f>IF($A849="","",[1]!thsiFinD("ths_adjustment_nv_fund",V$3,$A849))</f>
        <v/>
      </c>
      <c r="W849" s="13" t="str">
        <f>IF($A849="","",[1]!thsiFinD("ths_adjustment_nv_fund",W$3,$A849))</f>
        <v/>
      </c>
      <c r="X849" s="13" t="str">
        <f>IF($A849="","",[1]!thsiFinD("ths_adjustment_nv_fund",X$3,$A849))</f>
        <v/>
      </c>
      <c r="Y849" s="13" t="str">
        <f>IF($A849="","",[1]!thsiFinD("ths_adjustment_nv_fund",Y$3,$A849))</f>
        <v/>
      </c>
      <c r="Z849" s="13" t="str">
        <f>IF($A849="","",[1]!thsiFinD("ths_adjustment_nv_fund",Z$3,$A849))</f>
        <v/>
      </c>
      <c r="AA849" s="13" t="str">
        <f>IF($A849="","",[1]!thsiFinD("ths_adjustment_nv_fund",AA$3,$A849))</f>
        <v/>
      </c>
      <c r="AB849" s="13">
        <f>IF($A849="","",[1]!thsiFinD("ths_adjustment_nv_fund",AB$3,$A849))</f>
        <v/>
      </c>
      <c r="AC849" s="13">
        <f>IF($A849="","",[1]!thsiFinD("ths_adjustment_nv_fund",AC$3,$A849))</f>
        <v/>
      </c>
      <c r="AD849" s="13">
        <f>IF($A849="","",[1]!thsiFinD("ths_adjustment_nv_fund",AD$3,$A849))</f>
        <v/>
      </c>
      <c r="AE849" s="13">
        <f>IF($A849="","",[1]!thsiFinD("ths_adjustment_nv_fund",AE$3,$A849))</f>
        <v/>
      </c>
      <c r="AF849" s="13">
        <f>IF($A849="","",[1]!thsiFinD("ths_adjustment_nv_fund",AF$3,$A849))</f>
        <v/>
      </c>
      <c r="AG849" s="13">
        <f>IF($A849="","",[1]!thsiFinD("ths_adjustment_nv_fund",AG$3,$A849))</f>
        <v/>
      </c>
      <c r="AH849" s="13">
        <f>IF($A849="","",[1]!thsiFinD("ths_adjustment_nv_fund",AH$3,$A849))</f>
        <v/>
      </c>
      <c r="AI849" s="13">
        <f>IF($A849="","",[1]!thsiFinD("ths_adjustment_nv_fund",AI$3,$A849))</f>
        <v/>
      </c>
      <c r="AJ849" s="13">
        <f>IF($A849="","",[1]!thsiFinD("ths_adjustment_nv_fund",AJ$3,$A849))</f>
        <v/>
      </c>
      <c r="AK849" s="13">
        <f>IF($A849="","",[1]!thsiFinD("ths_adjustment_nv_fund",AK$3,$A849))</f>
        <v/>
      </c>
      <c r="AL849" s="13">
        <f>IF($A849="","",[1]!thsiFinD("ths_adjustment_nv_fund",AL$3,$A849))</f>
        <v/>
      </c>
    </row>
    <row r="850" spans="2:28">
      <c r="B850" s="13" t="str">
        <f>IF($A850="","",[1]!thsiFinD("ths_adjustment_nv_fund",B$3,$A850))</f>
        <v/>
      </c>
      <c r="C850" s="13" t="str">
        <f>IF($A850="","",[1]!thsiFinD("ths_adjustment_nv_fund",C$3,$A850))</f>
        <v/>
      </c>
      <c r="D850" s="13" t="str">
        <f>IF($A850="","",[1]!thsiFinD("ths_adjustment_nv_fund",D$3,$A850))</f>
        <v/>
      </c>
      <c r="E850" s="13" t="str">
        <f>IF($A850="","",[1]!thsiFinD("ths_adjustment_nv_fund",E$3,$A850))</f>
        <v/>
      </c>
      <c r="F850" s="13" t="str">
        <f>IF($A850="","",[1]!thsiFinD("ths_adjustment_nv_fund",F$3,$A850))</f>
        <v/>
      </c>
      <c r="G850" s="13" t="str">
        <f>IF($A850="","",[1]!thsiFinD("ths_adjustment_nv_fund",G$3,$A850))</f>
        <v/>
      </c>
      <c r="H850" s="13" t="str">
        <f>IF($A850="","",[1]!thsiFinD("ths_adjustment_nv_fund",H$3,$A850))</f>
        <v/>
      </c>
      <c r="I850" s="13" t="str">
        <f>IF($A850="","",[1]!thsiFinD("ths_adjustment_nv_fund",I$3,$A850))</f>
        <v/>
      </c>
      <c r="J850" s="13" t="str">
        <f>IF($A850="","",[1]!thsiFinD("ths_adjustment_nv_fund",J$3,$A850))</f>
        <v/>
      </c>
      <c r="K850" s="13" t="str">
        <f>IF($A850="","",[1]!thsiFinD("ths_adjustment_nv_fund",K$3,$A850))</f>
        <v/>
      </c>
      <c r="L850" s="13" t="str">
        <f>IF($A850="","",[1]!thsiFinD("ths_adjustment_nv_fund",L$3,$A850))</f>
        <v/>
      </c>
      <c r="M850" s="13" t="str">
        <f>IF($A850="","",[1]!thsiFinD("ths_adjustment_nv_fund",M$3,$A850))</f>
        <v/>
      </c>
      <c r="N850" s="13" t="str">
        <f>IF($A850="","",[1]!thsiFinD("ths_adjustment_nv_fund",N$3,$A850))</f>
        <v/>
      </c>
      <c r="O850" s="13" t="str">
        <f>IF($A850="","",[1]!thsiFinD("ths_adjustment_nv_fund",O$3,$A850))</f>
        <v/>
      </c>
      <c r="P850" s="13" t="str">
        <f>IF($A850="","",[1]!thsiFinD("ths_adjustment_nv_fund",P$3,$A850))</f>
        <v/>
      </c>
      <c r="Q850" s="13" t="str">
        <f>IF($A850="","",[1]!thsiFinD("ths_adjustment_nv_fund",Q$3,$A850))</f>
        <v/>
      </c>
      <c r="R850" s="13" t="str">
        <f>IF($A850="","",[1]!thsiFinD("ths_adjustment_nv_fund",R$3,$A850))</f>
        <v/>
      </c>
      <c r="S850" s="13" t="str">
        <f>IF($A850="","",[1]!thsiFinD("ths_adjustment_nv_fund",S$3,$A850))</f>
        <v/>
      </c>
      <c r="T850" s="13" t="str">
        <f>IF($A850="","",[1]!thsiFinD("ths_adjustment_nv_fund",T$3,$A850))</f>
        <v/>
      </c>
      <c r="U850" s="13" t="str">
        <f>IF($A850="","",[1]!thsiFinD("ths_adjustment_nv_fund",U$3,$A850))</f>
        <v/>
      </c>
      <c r="V850" s="13" t="str">
        <f>IF($A850="","",[1]!thsiFinD("ths_adjustment_nv_fund",V$3,$A850))</f>
        <v/>
      </c>
      <c r="W850" s="13" t="str">
        <f>IF($A850="","",[1]!thsiFinD("ths_adjustment_nv_fund",W$3,$A850))</f>
        <v/>
      </c>
      <c r="X850" s="13" t="str">
        <f>IF($A850="","",[1]!thsiFinD("ths_adjustment_nv_fund",X$3,$A850))</f>
        <v/>
      </c>
      <c r="Y850" s="13" t="str">
        <f>IF($A850="","",[1]!thsiFinD("ths_adjustment_nv_fund",Y$3,$A850))</f>
        <v/>
      </c>
      <c r="Z850" s="13" t="str">
        <f>IF($A850="","",[1]!thsiFinD("ths_adjustment_nv_fund",Z$3,$A850))</f>
        <v/>
      </c>
      <c r="AA850" s="13" t="str">
        <f>IF($A850="","",[1]!thsiFinD("ths_adjustment_nv_fund",AA$3,$A850))</f>
        <v/>
      </c>
      <c r="AB850" s="13">
        <f>IF($A850="","",[1]!thsiFinD("ths_adjustment_nv_fund",AB$3,$A850))</f>
        <v/>
      </c>
      <c r="AC850" s="13">
        <f>IF($A850="","",[1]!thsiFinD("ths_adjustment_nv_fund",AC$3,$A850))</f>
        <v/>
      </c>
      <c r="AD850" s="13">
        <f>IF($A850="","",[1]!thsiFinD("ths_adjustment_nv_fund",AD$3,$A850))</f>
        <v/>
      </c>
      <c r="AE850" s="13">
        <f>IF($A850="","",[1]!thsiFinD("ths_adjustment_nv_fund",AE$3,$A850))</f>
        <v/>
      </c>
      <c r="AF850" s="13">
        <f>IF($A850="","",[1]!thsiFinD("ths_adjustment_nv_fund",AF$3,$A850))</f>
        <v/>
      </c>
      <c r="AG850" s="13">
        <f>IF($A850="","",[1]!thsiFinD("ths_adjustment_nv_fund",AG$3,$A850))</f>
        <v/>
      </c>
      <c r="AH850" s="13">
        <f>IF($A850="","",[1]!thsiFinD("ths_adjustment_nv_fund",AH$3,$A850))</f>
        <v/>
      </c>
      <c r="AI850" s="13">
        <f>IF($A850="","",[1]!thsiFinD("ths_adjustment_nv_fund",AI$3,$A850))</f>
        <v/>
      </c>
      <c r="AJ850" s="13">
        <f>IF($A850="","",[1]!thsiFinD("ths_adjustment_nv_fund",AJ$3,$A850))</f>
        <v/>
      </c>
      <c r="AK850" s="13">
        <f>IF($A850="","",[1]!thsiFinD("ths_adjustment_nv_fund",AK$3,$A850))</f>
        <v/>
      </c>
      <c r="AL850" s="13">
        <f>IF($A850="","",[1]!thsiFinD("ths_adjustment_nv_fund",AL$3,$A850))</f>
        <v/>
      </c>
    </row>
    <row r="851" spans="2:28">
      <c r="B851" s="13" t="str">
        <f>IF($A851="","",[1]!thsiFinD("ths_adjustment_nv_fund",B$3,$A851))</f>
        <v/>
      </c>
      <c r="C851" s="13" t="str">
        <f>IF($A851="","",[1]!thsiFinD("ths_adjustment_nv_fund",C$3,$A851))</f>
        <v/>
      </c>
      <c r="D851" s="13" t="str">
        <f>IF($A851="","",[1]!thsiFinD("ths_adjustment_nv_fund",D$3,$A851))</f>
        <v/>
      </c>
      <c r="E851" s="13" t="str">
        <f>IF($A851="","",[1]!thsiFinD("ths_adjustment_nv_fund",E$3,$A851))</f>
        <v/>
      </c>
      <c r="F851" s="13" t="str">
        <f>IF($A851="","",[1]!thsiFinD("ths_adjustment_nv_fund",F$3,$A851))</f>
        <v/>
      </c>
      <c r="G851" s="13" t="str">
        <f>IF($A851="","",[1]!thsiFinD("ths_adjustment_nv_fund",G$3,$A851))</f>
        <v/>
      </c>
      <c r="H851" s="13" t="str">
        <f>IF($A851="","",[1]!thsiFinD("ths_adjustment_nv_fund",H$3,$A851))</f>
        <v/>
      </c>
      <c r="I851" s="13" t="str">
        <f>IF($A851="","",[1]!thsiFinD("ths_adjustment_nv_fund",I$3,$A851))</f>
        <v/>
      </c>
      <c r="J851" s="13" t="str">
        <f>IF($A851="","",[1]!thsiFinD("ths_adjustment_nv_fund",J$3,$A851))</f>
        <v/>
      </c>
      <c r="K851" s="13" t="str">
        <f>IF($A851="","",[1]!thsiFinD("ths_adjustment_nv_fund",K$3,$A851))</f>
        <v/>
      </c>
      <c r="L851" s="13" t="str">
        <f>IF($A851="","",[1]!thsiFinD("ths_adjustment_nv_fund",L$3,$A851))</f>
        <v/>
      </c>
      <c r="M851" s="13" t="str">
        <f>IF($A851="","",[1]!thsiFinD("ths_adjustment_nv_fund",M$3,$A851))</f>
        <v/>
      </c>
      <c r="N851" s="13" t="str">
        <f>IF($A851="","",[1]!thsiFinD("ths_adjustment_nv_fund",N$3,$A851))</f>
        <v/>
      </c>
      <c r="O851" s="13" t="str">
        <f>IF($A851="","",[1]!thsiFinD("ths_adjustment_nv_fund",O$3,$A851))</f>
        <v/>
      </c>
      <c r="P851" s="13" t="str">
        <f>IF($A851="","",[1]!thsiFinD("ths_adjustment_nv_fund",P$3,$A851))</f>
        <v/>
      </c>
      <c r="Q851" s="13" t="str">
        <f>IF($A851="","",[1]!thsiFinD("ths_adjustment_nv_fund",Q$3,$A851))</f>
        <v/>
      </c>
      <c r="R851" s="13" t="str">
        <f>IF($A851="","",[1]!thsiFinD("ths_adjustment_nv_fund",R$3,$A851))</f>
        <v/>
      </c>
      <c r="S851" s="13" t="str">
        <f>IF($A851="","",[1]!thsiFinD("ths_adjustment_nv_fund",S$3,$A851))</f>
        <v/>
      </c>
      <c r="T851" s="13" t="str">
        <f>IF($A851="","",[1]!thsiFinD("ths_adjustment_nv_fund",T$3,$A851))</f>
        <v/>
      </c>
      <c r="U851" s="13" t="str">
        <f>IF($A851="","",[1]!thsiFinD("ths_adjustment_nv_fund",U$3,$A851))</f>
        <v/>
      </c>
      <c r="V851" s="13" t="str">
        <f>IF($A851="","",[1]!thsiFinD("ths_adjustment_nv_fund",V$3,$A851))</f>
        <v/>
      </c>
      <c r="W851" s="13" t="str">
        <f>IF($A851="","",[1]!thsiFinD("ths_adjustment_nv_fund",W$3,$A851))</f>
        <v/>
      </c>
      <c r="X851" s="13" t="str">
        <f>IF($A851="","",[1]!thsiFinD("ths_adjustment_nv_fund",X$3,$A851))</f>
        <v/>
      </c>
      <c r="Y851" s="13" t="str">
        <f>IF($A851="","",[1]!thsiFinD("ths_adjustment_nv_fund",Y$3,$A851))</f>
        <v/>
      </c>
      <c r="Z851" s="13" t="str">
        <f>IF($A851="","",[1]!thsiFinD("ths_adjustment_nv_fund",Z$3,$A851))</f>
        <v/>
      </c>
      <c r="AA851" s="13" t="str">
        <f>IF($A851="","",[1]!thsiFinD("ths_adjustment_nv_fund",AA$3,$A851))</f>
        <v/>
      </c>
      <c r="AB851" s="13">
        <f>IF($A851="","",[1]!thsiFinD("ths_adjustment_nv_fund",AB$3,$A851))</f>
        <v/>
      </c>
      <c r="AC851" s="13">
        <f>IF($A851="","",[1]!thsiFinD("ths_adjustment_nv_fund",AC$3,$A851))</f>
        <v/>
      </c>
      <c r="AD851" s="13">
        <f>IF($A851="","",[1]!thsiFinD("ths_adjustment_nv_fund",AD$3,$A851))</f>
        <v/>
      </c>
      <c r="AE851" s="13">
        <f>IF($A851="","",[1]!thsiFinD("ths_adjustment_nv_fund",AE$3,$A851))</f>
        <v/>
      </c>
      <c r="AF851" s="13">
        <f>IF($A851="","",[1]!thsiFinD("ths_adjustment_nv_fund",AF$3,$A851))</f>
        <v/>
      </c>
      <c r="AG851" s="13">
        <f>IF($A851="","",[1]!thsiFinD("ths_adjustment_nv_fund",AG$3,$A851))</f>
        <v/>
      </c>
      <c r="AH851" s="13">
        <f>IF($A851="","",[1]!thsiFinD("ths_adjustment_nv_fund",AH$3,$A851))</f>
        <v/>
      </c>
      <c r="AI851" s="13">
        <f>IF($A851="","",[1]!thsiFinD("ths_adjustment_nv_fund",AI$3,$A851))</f>
        <v/>
      </c>
      <c r="AJ851" s="13">
        <f>IF($A851="","",[1]!thsiFinD("ths_adjustment_nv_fund",AJ$3,$A851))</f>
        <v/>
      </c>
      <c r="AK851" s="13">
        <f>IF($A851="","",[1]!thsiFinD("ths_adjustment_nv_fund",AK$3,$A851))</f>
        <v/>
      </c>
      <c r="AL851" s="13">
        <f>IF($A851="","",[1]!thsiFinD("ths_adjustment_nv_fund",AL$3,$A851))</f>
        <v/>
      </c>
    </row>
    <row r="852" spans="2:28">
      <c r="B852" s="13" t="str">
        <f>IF($A852="","",[1]!thsiFinD("ths_adjustment_nv_fund",B$3,$A852))</f>
        <v/>
      </c>
      <c r="C852" s="13" t="str">
        <f>IF($A852="","",[1]!thsiFinD("ths_adjustment_nv_fund",C$3,$A852))</f>
        <v/>
      </c>
      <c r="D852" s="13" t="str">
        <f>IF($A852="","",[1]!thsiFinD("ths_adjustment_nv_fund",D$3,$A852))</f>
        <v/>
      </c>
      <c r="E852" s="13" t="str">
        <f>IF($A852="","",[1]!thsiFinD("ths_adjustment_nv_fund",E$3,$A852))</f>
        <v/>
      </c>
      <c r="F852" s="13" t="str">
        <f>IF($A852="","",[1]!thsiFinD("ths_adjustment_nv_fund",F$3,$A852))</f>
        <v/>
      </c>
      <c r="G852" s="13" t="str">
        <f>IF($A852="","",[1]!thsiFinD("ths_adjustment_nv_fund",G$3,$A852))</f>
        <v/>
      </c>
      <c r="H852" s="13" t="str">
        <f>IF($A852="","",[1]!thsiFinD("ths_adjustment_nv_fund",H$3,$A852))</f>
        <v/>
      </c>
      <c r="I852" s="13" t="str">
        <f>IF($A852="","",[1]!thsiFinD("ths_adjustment_nv_fund",I$3,$A852))</f>
        <v/>
      </c>
      <c r="J852" s="13" t="str">
        <f>IF($A852="","",[1]!thsiFinD("ths_adjustment_nv_fund",J$3,$A852))</f>
        <v/>
      </c>
      <c r="K852" s="13" t="str">
        <f>IF($A852="","",[1]!thsiFinD("ths_adjustment_nv_fund",K$3,$A852))</f>
        <v/>
      </c>
      <c r="L852" s="13" t="str">
        <f>IF($A852="","",[1]!thsiFinD("ths_adjustment_nv_fund",L$3,$A852))</f>
        <v/>
      </c>
      <c r="M852" s="13" t="str">
        <f>IF($A852="","",[1]!thsiFinD("ths_adjustment_nv_fund",M$3,$A852))</f>
        <v/>
      </c>
      <c r="N852" s="13" t="str">
        <f>IF($A852="","",[1]!thsiFinD("ths_adjustment_nv_fund",N$3,$A852))</f>
        <v/>
      </c>
      <c r="O852" s="13" t="str">
        <f>IF($A852="","",[1]!thsiFinD("ths_adjustment_nv_fund",O$3,$A852))</f>
        <v/>
      </c>
      <c r="P852" s="13" t="str">
        <f>IF($A852="","",[1]!thsiFinD("ths_adjustment_nv_fund",P$3,$A852))</f>
        <v/>
      </c>
      <c r="Q852" s="13" t="str">
        <f>IF($A852="","",[1]!thsiFinD("ths_adjustment_nv_fund",Q$3,$A852))</f>
        <v/>
      </c>
      <c r="R852" s="13" t="str">
        <f>IF($A852="","",[1]!thsiFinD("ths_adjustment_nv_fund",R$3,$A852))</f>
        <v/>
      </c>
      <c r="S852" s="13" t="str">
        <f>IF($A852="","",[1]!thsiFinD("ths_adjustment_nv_fund",S$3,$A852))</f>
        <v/>
      </c>
      <c r="T852" s="13" t="str">
        <f>IF($A852="","",[1]!thsiFinD("ths_adjustment_nv_fund",T$3,$A852))</f>
        <v/>
      </c>
      <c r="U852" s="13" t="str">
        <f>IF($A852="","",[1]!thsiFinD("ths_adjustment_nv_fund",U$3,$A852))</f>
        <v/>
      </c>
      <c r="V852" s="13" t="str">
        <f>IF($A852="","",[1]!thsiFinD("ths_adjustment_nv_fund",V$3,$A852))</f>
        <v/>
      </c>
      <c r="W852" s="13" t="str">
        <f>IF($A852="","",[1]!thsiFinD("ths_adjustment_nv_fund",W$3,$A852))</f>
        <v/>
      </c>
      <c r="X852" s="13" t="str">
        <f>IF($A852="","",[1]!thsiFinD("ths_adjustment_nv_fund",X$3,$A852))</f>
        <v/>
      </c>
      <c r="Y852" s="13" t="str">
        <f>IF($A852="","",[1]!thsiFinD("ths_adjustment_nv_fund",Y$3,$A852))</f>
        <v/>
      </c>
      <c r="Z852" s="13" t="str">
        <f>IF($A852="","",[1]!thsiFinD("ths_adjustment_nv_fund",Z$3,$A852))</f>
        <v/>
      </c>
      <c r="AA852" s="13" t="str">
        <f>IF($A852="","",[1]!thsiFinD("ths_adjustment_nv_fund",AA$3,$A852))</f>
        <v/>
      </c>
      <c r="AB852" s="13">
        <f>IF($A852="","",[1]!thsiFinD("ths_adjustment_nv_fund",AB$3,$A852))</f>
        <v/>
      </c>
      <c r="AC852" s="13">
        <f>IF($A852="","",[1]!thsiFinD("ths_adjustment_nv_fund",AC$3,$A852))</f>
        <v/>
      </c>
      <c r="AD852" s="13">
        <f>IF($A852="","",[1]!thsiFinD("ths_adjustment_nv_fund",AD$3,$A852))</f>
        <v/>
      </c>
      <c r="AE852" s="13">
        <f>IF($A852="","",[1]!thsiFinD("ths_adjustment_nv_fund",AE$3,$A852))</f>
        <v/>
      </c>
      <c r="AF852" s="13">
        <f>IF($A852="","",[1]!thsiFinD("ths_adjustment_nv_fund",AF$3,$A852))</f>
        <v/>
      </c>
      <c r="AG852" s="13">
        <f>IF($A852="","",[1]!thsiFinD("ths_adjustment_nv_fund",AG$3,$A852))</f>
        <v/>
      </c>
      <c r="AH852" s="13">
        <f>IF($A852="","",[1]!thsiFinD("ths_adjustment_nv_fund",AH$3,$A852))</f>
        <v/>
      </c>
      <c r="AI852" s="13">
        <f>IF($A852="","",[1]!thsiFinD("ths_adjustment_nv_fund",AI$3,$A852))</f>
        <v/>
      </c>
      <c r="AJ852" s="13">
        <f>IF($A852="","",[1]!thsiFinD("ths_adjustment_nv_fund",AJ$3,$A852))</f>
        <v/>
      </c>
      <c r="AK852" s="13">
        <f>IF($A852="","",[1]!thsiFinD("ths_adjustment_nv_fund",AK$3,$A852))</f>
        <v/>
      </c>
      <c r="AL852" s="13">
        <f>IF($A852="","",[1]!thsiFinD("ths_adjustment_nv_fund",AL$3,$A852))</f>
        <v/>
      </c>
    </row>
    <row r="853" spans="2:28">
      <c r="B853" s="13" t="str">
        <f>IF($A853="","",[1]!thsiFinD("ths_adjustment_nv_fund",B$3,$A853))</f>
        <v/>
      </c>
      <c r="C853" s="13" t="str">
        <f>IF($A853="","",[1]!thsiFinD("ths_adjustment_nv_fund",C$3,$A853))</f>
        <v/>
      </c>
      <c r="D853" s="13" t="str">
        <f>IF($A853="","",[1]!thsiFinD("ths_adjustment_nv_fund",D$3,$A853))</f>
        <v/>
      </c>
      <c r="E853" s="13" t="str">
        <f>IF($A853="","",[1]!thsiFinD("ths_adjustment_nv_fund",E$3,$A853))</f>
        <v/>
      </c>
      <c r="F853" s="13" t="str">
        <f>IF($A853="","",[1]!thsiFinD("ths_adjustment_nv_fund",F$3,$A853))</f>
        <v/>
      </c>
      <c r="G853" s="13" t="str">
        <f>IF($A853="","",[1]!thsiFinD("ths_adjustment_nv_fund",G$3,$A853))</f>
        <v/>
      </c>
      <c r="H853" s="13" t="str">
        <f>IF($A853="","",[1]!thsiFinD("ths_adjustment_nv_fund",H$3,$A853))</f>
        <v/>
      </c>
      <c r="I853" s="13" t="str">
        <f>IF($A853="","",[1]!thsiFinD("ths_adjustment_nv_fund",I$3,$A853))</f>
        <v/>
      </c>
      <c r="J853" s="13" t="str">
        <f>IF($A853="","",[1]!thsiFinD("ths_adjustment_nv_fund",J$3,$A853))</f>
        <v/>
      </c>
      <c r="K853" s="13" t="str">
        <f>IF($A853="","",[1]!thsiFinD("ths_adjustment_nv_fund",K$3,$A853))</f>
        <v/>
      </c>
      <c r="L853" s="13" t="str">
        <f>IF($A853="","",[1]!thsiFinD("ths_adjustment_nv_fund",L$3,$A853))</f>
        <v/>
      </c>
      <c r="M853" s="13" t="str">
        <f>IF($A853="","",[1]!thsiFinD("ths_adjustment_nv_fund",M$3,$A853))</f>
        <v/>
      </c>
      <c r="N853" s="13" t="str">
        <f>IF($A853="","",[1]!thsiFinD("ths_adjustment_nv_fund",N$3,$A853))</f>
        <v/>
      </c>
      <c r="O853" s="13" t="str">
        <f>IF($A853="","",[1]!thsiFinD("ths_adjustment_nv_fund",O$3,$A853))</f>
        <v/>
      </c>
      <c r="P853" s="13" t="str">
        <f>IF($A853="","",[1]!thsiFinD("ths_adjustment_nv_fund",P$3,$A853))</f>
        <v/>
      </c>
      <c r="Q853" s="13" t="str">
        <f>IF($A853="","",[1]!thsiFinD("ths_adjustment_nv_fund",Q$3,$A853))</f>
        <v/>
      </c>
      <c r="R853" s="13" t="str">
        <f>IF($A853="","",[1]!thsiFinD("ths_adjustment_nv_fund",R$3,$A853))</f>
        <v/>
      </c>
      <c r="S853" s="13" t="str">
        <f>IF($A853="","",[1]!thsiFinD("ths_adjustment_nv_fund",S$3,$A853))</f>
        <v/>
      </c>
      <c r="T853" s="13" t="str">
        <f>IF($A853="","",[1]!thsiFinD("ths_adjustment_nv_fund",T$3,$A853))</f>
        <v/>
      </c>
      <c r="U853" s="13" t="str">
        <f>IF($A853="","",[1]!thsiFinD("ths_adjustment_nv_fund",U$3,$A853))</f>
        <v/>
      </c>
      <c r="V853" s="13" t="str">
        <f>IF($A853="","",[1]!thsiFinD("ths_adjustment_nv_fund",V$3,$A853))</f>
        <v/>
      </c>
      <c r="W853" s="13" t="str">
        <f>IF($A853="","",[1]!thsiFinD("ths_adjustment_nv_fund",W$3,$A853))</f>
        <v/>
      </c>
      <c r="X853" s="13" t="str">
        <f>IF($A853="","",[1]!thsiFinD("ths_adjustment_nv_fund",X$3,$A853))</f>
        <v/>
      </c>
      <c r="Y853" s="13" t="str">
        <f>IF($A853="","",[1]!thsiFinD("ths_adjustment_nv_fund",Y$3,$A853))</f>
        <v/>
      </c>
      <c r="Z853" s="13" t="str">
        <f>IF($A853="","",[1]!thsiFinD("ths_adjustment_nv_fund",Z$3,$A853))</f>
        <v/>
      </c>
      <c r="AA853" s="13" t="str">
        <f>IF($A853="","",[1]!thsiFinD("ths_adjustment_nv_fund",AA$3,$A853))</f>
        <v/>
      </c>
      <c r="AB853" s="13">
        <f>IF($A853="","",[1]!thsiFinD("ths_adjustment_nv_fund",AB$3,$A853))</f>
        <v/>
      </c>
      <c r="AC853" s="13">
        <f>IF($A853="","",[1]!thsiFinD("ths_adjustment_nv_fund",AC$3,$A853))</f>
        <v/>
      </c>
      <c r="AD853" s="13">
        <f>IF($A853="","",[1]!thsiFinD("ths_adjustment_nv_fund",AD$3,$A853))</f>
        <v/>
      </c>
      <c r="AE853" s="13">
        <f>IF($A853="","",[1]!thsiFinD("ths_adjustment_nv_fund",AE$3,$A853))</f>
        <v/>
      </c>
      <c r="AF853" s="13">
        <f>IF($A853="","",[1]!thsiFinD("ths_adjustment_nv_fund",AF$3,$A853))</f>
        <v/>
      </c>
      <c r="AG853" s="13">
        <f>IF($A853="","",[1]!thsiFinD("ths_adjustment_nv_fund",AG$3,$A853))</f>
        <v/>
      </c>
      <c r="AH853" s="13">
        <f>IF($A853="","",[1]!thsiFinD("ths_adjustment_nv_fund",AH$3,$A853))</f>
        <v/>
      </c>
      <c r="AI853" s="13">
        <f>IF($A853="","",[1]!thsiFinD("ths_adjustment_nv_fund",AI$3,$A853))</f>
        <v/>
      </c>
      <c r="AJ853" s="13">
        <f>IF($A853="","",[1]!thsiFinD("ths_adjustment_nv_fund",AJ$3,$A853))</f>
        <v/>
      </c>
      <c r="AK853" s="13">
        <f>IF($A853="","",[1]!thsiFinD("ths_adjustment_nv_fund",AK$3,$A853))</f>
        <v/>
      </c>
      <c r="AL853" s="13">
        <f>IF($A853="","",[1]!thsiFinD("ths_adjustment_nv_fund",AL$3,$A853))</f>
        <v/>
      </c>
    </row>
    <row r="854" spans="2:28">
      <c r="B854" s="13" t="str">
        <f>IF($A854="","",[1]!thsiFinD("ths_adjustment_nv_fund",B$3,$A854))</f>
        <v/>
      </c>
      <c r="C854" s="13" t="str">
        <f>IF($A854="","",[1]!thsiFinD("ths_adjustment_nv_fund",C$3,$A854))</f>
        <v/>
      </c>
      <c r="D854" s="13" t="str">
        <f>IF($A854="","",[1]!thsiFinD("ths_adjustment_nv_fund",D$3,$A854))</f>
        <v/>
      </c>
      <c r="E854" s="13" t="str">
        <f>IF($A854="","",[1]!thsiFinD("ths_adjustment_nv_fund",E$3,$A854))</f>
        <v/>
      </c>
      <c r="F854" s="13" t="str">
        <f>IF($A854="","",[1]!thsiFinD("ths_adjustment_nv_fund",F$3,$A854))</f>
        <v/>
      </c>
      <c r="G854" s="13" t="str">
        <f>IF($A854="","",[1]!thsiFinD("ths_adjustment_nv_fund",G$3,$A854))</f>
        <v/>
      </c>
      <c r="H854" s="13" t="str">
        <f>IF($A854="","",[1]!thsiFinD("ths_adjustment_nv_fund",H$3,$A854))</f>
        <v/>
      </c>
      <c r="I854" s="13" t="str">
        <f>IF($A854="","",[1]!thsiFinD("ths_adjustment_nv_fund",I$3,$A854))</f>
        <v/>
      </c>
      <c r="J854" s="13" t="str">
        <f>IF($A854="","",[1]!thsiFinD("ths_adjustment_nv_fund",J$3,$A854))</f>
        <v/>
      </c>
      <c r="K854" s="13" t="str">
        <f>IF($A854="","",[1]!thsiFinD("ths_adjustment_nv_fund",K$3,$A854))</f>
        <v/>
      </c>
      <c r="L854" s="13" t="str">
        <f>IF($A854="","",[1]!thsiFinD("ths_adjustment_nv_fund",L$3,$A854))</f>
        <v/>
      </c>
      <c r="M854" s="13" t="str">
        <f>IF($A854="","",[1]!thsiFinD("ths_adjustment_nv_fund",M$3,$A854))</f>
        <v/>
      </c>
      <c r="N854" s="13" t="str">
        <f>IF($A854="","",[1]!thsiFinD("ths_adjustment_nv_fund",N$3,$A854))</f>
        <v/>
      </c>
      <c r="O854" s="13" t="str">
        <f>IF($A854="","",[1]!thsiFinD("ths_adjustment_nv_fund",O$3,$A854))</f>
        <v/>
      </c>
      <c r="P854" s="13" t="str">
        <f>IF($A854="","",[1]!thsiFinD("ths_adjustment_nv_fund",P$3,$A854))</f>
        <v/>
      </c>
      <c r="Q854" s="13" t="str">
        <f>IF($A854="","",[1]!thsiFinD("ths_adjustment_nv_fund",Q$3,$A854))</f>
        <v/>
      </c>
      <c r="R854" s="13" t="str">
        <f>IF($A854="","",[1]!thsiFinD("ths_adjustment_nv_fund",R$3,$A854))</f>
        <v/>
      </c>
      <c r="S854" s="13" t="str">
        <f>IF($A854="","",[1]!thsiFinD("ths_adjustment_nv_fund",S$3,$A854))</f>
        <v/>
      </c>
      <c r="T854" s="13" t="str">
        <f>IF($A854="","",[1]!thsiFinD("ths_adjustment_nv_fund",T$3,$A854))</f>
        <v/>
      </c>
      <c r="U854" s="13" t="str">
        <f>IF($A854="","",[1]!thsiFinD("ths_adjustment_nv_fund",U$3,$A854))</f>
        <v/>
      </c>
      <c r="V854" s="13" t="str">
        <f>IF($A854="","",[1]!thsiFinD("ths_adjustment_nv_fund",V$3,$A854))</f>
        <v/>
      </c>
      <c r="W854" s="13" t="str">
        <f>IF($A854="","",[1]!thsiFinD("ths_adjustment_nv_fund",W$3,$A854))</f>
        <v/>
      </c>
      <c r="X854" s="13" t="str">
        <f>IF($A854="","",[1]!thsiFinD("ths_adjustment_nv_fund",X$3,$A854))</f>
        <v/>
      </c>
      <c r="Y854" s="13" t="str">
        <f>IF($A854="","",[1]!thsiFinD("ths_adjustment_nv_fund",Y$3,$A854))</f>
        <v/>
      </c>
      <c r="Z854" s="13" t="str">
        <f>IF($A854="","",[1]!thsiFinD("ths_adjustment_nv_fund",Z$3,$A854))</f>
        <v/>
      </c>
      <c r="AA854" s="13" t="str">
        <f>IF($A854="","",[1]!thsiFinD("ths_adjustment_nv_fund",AA$3,$A854))</f>
        <v/>
      </c>
      <c r="AB854" s="13">
        <f>IF($A854="","",[1]!thsiFinD("ths_adjustment_nv_fund",AB$3,$A854))</f>
        <v/>
      </c>
      <c r="AC854" s="13">
        <f>IF($A854="","",[1]!thsiFinD("ths_adjustment_nv_fund",AC$3,$A854))</f>
        <v/>
      </c>
      <c r="AD854" s="13">
        <f>IF($A854="","",[1]!thsiFinD("ths_adjustment_nv_fund",AD$3,$A854))</f>
        <v/>
      </c>
      <c r="AE854" s="13">
        <f>IF($A854="","",[1]!thsiFinD("ths_adjustment_nv_fund",AE$3,$A854))</f>
        <v/>
      </c>
      <c r="AF854" s="13">
        <f>IF($A854="","",[1]!thsiFinD("ths_adjustment_nv_fund",AF$3,$A854))</f>
        <v/>
      </c>
      <c r="AG854" s="13">
        <f>IF($A854="","",[1]!thsiFinD("ths_adjustment_nv_fund",AG$3,$A854))</f>
        <v/>
      </c>
      <c r="AH854" s="13">
        <f>IF($A854="","",[1]!thsiFinD("ths_adjustment_nv_fund",AH$3,$A854))</f>
        <v/>
      </c>
      <c r="AI854" s="13">
        <f>IF($A854="","",[1]!thsiFinD("ths_adjustment_nv_fund",AI$3,$A854))</f>
        <v/>
      </c>
      <c r="AJ854" s="13">
        <f>IF($A854="","",[1]!thsiFinD("ths_adjustment_nv_fund",AJ$3,$A854))</f>
        <v/>
      </c>
      <c r="AK854" s="13">
        <f>IF($A854="","",[1]!thsiFinD("ths_adjustment_nv_fund",AK$3,$A854))</f>
        <v/>
      </c>
      <c r="AL854" s="13">
        <f>IF($A854="","",[1]!thsiFinD("ths_adjustment_nv_fund",AL$3,$A854))</f>
        <v/>
      </c>
    </row>
    <row r="855" spans="2:28">
      <c r="B855" s="13" t="str">
        <f>IF($A855="","",[1]!thsiFinD("ths_adjustment_nv_fund",B$3,$A855))</f>
        <v/>
      </c>
      <c r="C855" s="13" t="str">
        <f>IF($A855="","",[1]!thsiFinD("ths_adjustment_nv_fund",C$3,$A855))</f>
        <v/>
      </c>
      <c r="D855" s="13" t="str">
        <f>IF($A855="","",[1]!thsiFinD("ths_adjustment_nv_fund",D$3,$A855))</f>
        <v/>
      </c>
      <c r="E855" s="13" t="str">
        <f>IF($A855="","",[1]!thsiFinD("ths_adjustment_nv_fund",E$3,$A855))</f>
        <v/>
      </c>
      <c r="F855" s="13" t="str">
        <f>IF($A855="","",[1]!thsiFinD("ths_adjustment_nv_fund",F$3,$A855))</f>
        <v/>
      </c>
      <c r="G855" s="13" t="str">
        <f>IF($A855="","",[1]!thsiFinD("ths_adjustment_nv_fund",G$3,$A855))</f>
        <v/>
      </c>
      <c r="H855" s="13" t="str">
        <f>IF($A855="","",[1]!thsiFinD("ths_adjustment_nv_fund",H$3,$A855))</f>
        <v/>
      </c>
      <c r="I855" s="13" t="str">
        <f>IF($A855="","",[1]!thsiFinD("ths_adjustment_nv_fund",I$3,$A855))</f>
        <v/>
      </c>
      <c r="J855" s="13" t="str">
        <f>IF($A855="","",[1]!thsiFinD("ths_adjustment_nv_fund",J$3,$A855))</f>
        <v/>
      </c>
      <c r="K855" s="13" t="str">
        <f>IF($A855="","",[1]!thsiFinD("ths_adjustment_nv_fund",K$3,$A855))</f>
        <v/>
      </c>
      <c r="L855" s="13" t="str">
        <f>IF($A855="","",[1]!thsiFinD("ths_adjustment_nv_fund",L$3,$A855))</f>
        <v/>
      </c>
      <c r="M855" s="13" t="str">
        <f>IF($A855="","",[1]!thsiFinD("ths_adjustment_nv_fund",M$3,$A855))</f>
        <v/>
      </c>
      <c r="N855" s="13" t="str">
        <f>IF($A855="","",[1]!thsiFinD("ths_adjustment_nv_fund",N$3,$A855))</f>
        <v/>
      </c>
      <c r="O855" s="13" t="str">
        <f>IF($A855="","",[1]!thsiFinD("ths_adjustment_nv_fund",O$3,$A855))</f>
        <v/>
      </c>
      <c r="P855" s="13" t="str">
        <f>IF($A855="","",[1]!thsiFinD("ths_adjustment_nv_fund",P$3,$A855))</f>
        <v/>
      </c>
      <c r="Q855" s="13" t="str">
        <f>IF($A855="","",[1]!thsiFinD("ths_adjustment_nv_fund",Q$3,$A855))</f>
        <v/>
      </c>
      <c r="R855" s="13" t="str">
        <f>IF($A855="","",[1]!thsiFinD("ths_adjustment_nv_fund",R$3,$A855))</f>
        <v/>
      </c>
      <c r="S855" s="13" t="str">
        <f>IF($A855="","",[1]!thsiFinD("ths_adjustment_nv_fund",S$3,$A855))</f>
        <v/>
      </c>
      <c r="T855" s="13" t="str">
        <f>IF($A855="","",[1]!thsiFinD("ths_adjustment_nv_fund",T$3,$A855))</f>
        <v/>
      </c>
      <c r="U855" s="13" t="str">
        <f>IF($A855="","",[1]!thsiFinD("ths_adjustment_nv_fund",U$3,$A855))</f>
        <v/>
      </c>
      <c r="V855" s="13" t="str">
        <f>IF($A855="","",[1]!thsiFinD("ths_adjustment_nv_fund",V$3,$A855))</f>
        <v/>
      </c>
      <c r="W855" s="13" t="str">
        <f>IF($A855="","",[1]!thsiFinD("ths_adjustment_nv_fund",W$3,$A855))</f>
        <v/>
      </c>
      <c r="X855" s="13" t="str">
        <f>IF($A855="","",[1]!thsiFinD("ths_adjustment_nv_fund",X$3,$A855))</f>
        <v/>
      </c>
      <c r="Y855" s="13" t="str">
        <f>IF($A855="","",[1]!thsiFinD("ths_adjustment_nv_fund",Y$3,$A855))</f>
        <v/>
      </c>
      <c r="Z855" s="13" t="str">
        <f>IF($A855="","",[1]!thsiFinD("ths_adjustment_nv_fund",Z$3,$A855))</f>
        <v/>
      </c>
      <c r="AA855" s="13" t="str">
        <f>IF($A855="","",[1]!thsiFinD("ths_adjustment_nv_fund",AA$3,$A855))</f>
        <v/>
      </c>
      <c r="AB855" s="13">
        <f>IF($A855="","",[1]!thsiFinD("ths_adjustment_nv_fund",AB$3,$A855))</f>
        <v/>
      </c>
      <c r="AC855" s="13">
        <f>IF($A855="","",[1]!thsiFinD("ths_adjustment_nv_fund",AC$3,$A855))</f>
        <v/>
      </c>
      <c r="AD855" s="13">
        <f>IF($A855="","",[1]!thsiFinD("ths_adjustment_nv_fund",AD$3,$A855))</f>
        <v/>
      </c>
      <c r="AE855" s="13">
        <f>IF($A855="","",[1]!thsiFinD("ths_adjustment_nv_fund",AE$3,$A855))</f>
        <v/>
      </c>
      <c r="AF855" s="13">
        <f>IF($A855="","",[1]!thsiFinD("ths_adjustment_nv_fund",AF$3,$A855))</f>
        <v/>
      </c>
      <c r="AG855" s="13">
        <f>IF($A855="","",[1]!thsiFinD("ths_adjustment_nv_fund",AG$3,$A855))</f>
        <v/>
      </c>
      <c r="AH855" s="13">
        <f>IF($A855="","",[1]!thsiFinD("ths_adjustment_nv_fund",AH$3,$A855))</f>
        <v/>
      </c>
      <c r="AI855" s="13">
        <f>IF($A855="","",[1]!thsiFinD("ths_adjustment_nv_fund",AI$3,$A855))</f>
        <v/>
      </c>
      <c r="AJ855" s="13">
        <f>IF($A855="","",[1]!thsiFinD("ths_adjustment_nv_fund",AJ$3,$A855))</f>
        <v/>
      </c>
      <c r="AK855" s="13">
        <f>IF($A855="","",[1]!thsiFinD("ths_adjustment_nv_fund",AK$3,$A855))</f>
        <v/>
      </c>
      <c r="AL855" s="13">
        <f>IF($A855="","",[1]!thsiFinD("ths_adjustment_nv_fund",AL$3,$A855))</f>
        <v/>
      </c>
    </row>
    <row r="856" spans="2:28">
      <c r="B856" s="13" t="str">
        <f>IF($A856="","",[1]!thsiFinD("ths_adjustment_nv_fund",B$3,$A856))</f>
        <v/>
      </c>
      <c r="C856" s="13" t="str">
        <f>IF($A856="","",[1]!thsiFinD("ths_adjustment_nv_fund",C$3,$A856))</f>
        <v/>
      </c>
      <c r="D856" s="13" t="str">
        <f>IF($A856="","",[1]!thsiFinD("ths_adjustment_nv_fund",D$3,$A856))</f>
        <v/>
      </c>
      <c r="E856" s="13" t="str">
        <f>IF($A856="","",[1]!thsiFinD("ths_adjustment_nv_fund",E$3,$A856))</f>
        <v/>
      </c>
      <c r="F856" s="13" t="str">
        <f>IF($A856="","",[1]!thsiFinD("ths_adjustment_nv_fund",F$3,$A856))</f>
        <v/>
      </c>
      <c r="G856" s="13" t="str">
        <f>IF($A856="","",[1]!thsiFinD("ths_adjustment_nv_fund",G$3,$A856))</f>
        <v/>
      </c>
      <c r="H856" s="13" t="str">
        <f>IF($A856="","",[1]!thsiFinD("ths_adjustment_nv_fund",H$3,$A856))</f>
        <v/>
      </c>
      <c r="I856" s="13" t="str">
        <f>IF($A856="","",[1]!thsiFinD("ths_adjustment_nv_fund",I$3,$A856))</f>
        <v/>
      </c>
      <c r="J856" s="13" t="str">
        <f>IF($A856="","",[1]!thsiFinD("ths_adjustment_nv_fund",J$3,$A856))</f>
        <v/>
      </c>
      <c r="K856" s="13" t="str">
        <f>IF($A856="","",[1]!thsiFinD("ths_adjustment_nv_fund",K$3,$A856))</f>
        <v/>
      </c>
      <c r="L856" s="13" t="str">
        <f>IF($A856="","",[1]!thsiFinD("ths_adjustment_nv_fund",L$3,$A856))</f>
        <v/>
      </c>
      <c r="M856" s="13" t="str">
        <f>IF($A856="","",[1]!thsiFinD("ths_adjustment_nv_fund",M$3,$A856))</f>
        <v/>
      </c>
      <c r="N856" s="13" t="str">
        <f>IF($A856="","",[1]!thsiFinD("ths_adjustment_nv_fund",N$3,$A856))</f>
        <v/>
      </c>
      <c r="O856" s="13" t="str">
        <f>IF($A856="","",[1]!thsiFinD("ths_adjustment_nv_fund",O$3,$A856))</f>
        <v/>
      </c>
      <c r="P856" s="13" t="str">
        <f>IF($A856="","",[1]!thsiFinD("ths_adjustment_nv_fund",P$3,$A856))</f>
        <v/>
      </c>
      <c r="Q856" s="13" t="str">
        <f>IF($A856="","",[1]!thsiFinD("ths_adjustment_nv_fund",Q$3,$A856))</f>
        <v/>
      </c>
      <c r="R856" s="13" t="str">
        <f>IF($A856="","",[1]!thsiFinD("ths_adjustment_nv_fund",R$3,$A856))</f>
        <v/>
      </c>
      <c r="S856" s="13" t="str">
        <f>IF($A856="","",[1]!thsiFinD("ths_adjustment_nv_fund",S$3,$A856))</f>
        <v/>
      </c>
      <c r="T856" s="13" t="str">
        <f>IF($A856="","",[1]!thsiFinD("ths_adjustment_nv_fund",T$3,$A856))</f>
        <v/>
      </c>
      <c r="U856" s="13" t="str">
        <f>IF($A856="","",[1]!thsiFinD("ths_adjustment_nv_fund",U$3,$A856))</f>
        <v/>
      </c>
      <c r="V856" s="13" t="str">
        <f>IF($A856="","",[1]!thsiFinD("ths_adjustment_nv_fund",V$3,$A856))</f>
        <v/>
      </c>
      <c r="W856" s="13" t="str">
        <f>IF($A856="","",[1]!thsiFinD("ths_adjustment_nv_fund",W$3,$A856))</f>
        <v/>
      </c>
      <c r="X856" s="13" t="str">
        <f>IF($A856="","",[1]!thsiFinD("ths_adjustment_nv_fund",X$3,$A856))</f>
        <v/>
      </c>
      <c r="Y856" s="13" t="str">
        <f>IF($A856="","",[1]!thsiFinD("ths_adjustment_nv_fund",Y$3,$A856))</f>
        <v/>
      </c>
      <c r="Z856" s="13" t="str">
        <f>IF($A856="","",[1]!thsiFinD("ths_adjustment_nv_fund",Z$3,$A856))</f>
        <v/>
      </c>
      <c r="AA856" s="13" t="str">
        <f>IF($A856="","",[1]!thsiFinD("ths_adjustment_nv_fund",AA$3,$A856))</f>
        <v/>
      </c>
      <c r="AB856" s="13">
        <f>IF($A856="","",[1]!thsiFinD("ths_adjustment_nv_fund",AB$3,$A856))</f>
        <v/>
      </c>
      <c r="AC856" s="13">
        <f>IF($A856="","",[1]!thsiFinD("ths_adjustment_nv_fund",AC$3,$A856))</f>
        <v/>
      </c>
      <c r="AD856" s="13">
        <f>IF($A856="","",[1]!thsiFinD("ths_adjustment_nv_fund",AD$3,$A856))</f>
        <v/>
      </c>
      <c r="AE856" s="13">
        <f>IF($A856="","",[1]!thsiFinD("ths_adjustment_nv_fund",AE$3,$A856))</f>
        <v/>
      </c>
      <c r="AF856" s="13">
        <f>IF($A856="","",[1]!thsiFinD("ths_adjustment_nv_fund",AF$3,$A856))</f>
        <v/>
      </c>
      <c r="AG856" s="13">
        <f>IF($A856="","",[1]!thsiFinD("ths_adjustment_nv_fund",AG$3,$A856))</f>
        <v/>
      </c>
      <c r="AH856" s="13">
        <f>IF($A856="","",[1]!thsiFinD("ths_adjustment_nv_fund",AH$3,$A856))</f>
        <v/>
      </c>
      <c r="AI856" s="13">
        <f>IF($A856="","",[1]!thsiFinD("ths_adjustment_nv_fund",AI$3,$A856))</f>
        <v/>
      </c>
      <c r="AJ856" s="13">
        <f>IF($A856="","",[1]!thsiFinD("ths_adjustment_nv_fund",AJ$3,$A856))</f>
        <v/>
      </c>
      <c r="AK856" s="13">
        <f>IF($A856="","",[1]!thsiFinD("ths_adjustment_nv_fund",AK$3,$A856))</f>
        <v/>
      </c>
      <c r="AL856" s="13">
        <f>IF($A856="","",[1]!thsiFinD("ths_adjustment_nv_fund",AL$3,$A856))</f>
        <v/>
      </c>
    </row>
    <row r="857" spans="2:28">
      <c r="B857" s="13" t="str">
        <f>IF($A857="","",[1]!thsiFinD("ths_adjustment_nv_fund",B$3,$A857))</f>
        <v/>
      </c>
      <c r="C857" s="13" t="str">
        <f>IF($A857="","",[1]!thsiFinD("ths_adjustment_nv_fund",C$3,$A857))</f>
        <v/>
      </c>
      <c r="D857" s="13" t="str">
        <f>IF($A857="","",[1]!thsiFinD("ths_adjustment_nv_fund",D$3,$A857))</f>
        <v/>
      </c>
      <c r="E857" s="13" t="str">
        <f>IF($A857="","",[1]!thsiFinD("ths_adjustment_nv_fund",E$3,$A857))</f>
        <v/>
      </c>
      <c r="F857" s="13" t="str">
        <f>IF($A857="","",[1]!thsiFinD("ths_adjustment_nv_fund",F$3,$A857))</f>
        <v/>
      </c>
      <c r="G857" s="13" t="str">
        <f>IF($A857="","",[1]!thsiFinD("ths_adjustment_nv_fund",G$3,$A857))</f>
        <v/>
      </c>
      <c r="H857" s="13" t="str">
        <f>IF($A857="","",[1]!thsiFinD("ths_adjustment_nv_fund",H$3,$A857))</f>
        <v/>
      </c>
      <c r="I857" s="13" t="str">
        <f>IF($A857="","",[1]!thsiFinD("ths_adjustment_nv_fund",I$3,$A857))</f>
        <v/>
      </c>
      <c r="J857" s="13" t="str">
        <f>IF($A857="","",[1]!thsiFinD("ths_adjustment_nv_fund",J$3,$A857))</f>
        <v/>
      </c>
      <c r="K857" s="13" t="str">
        <f>IF($A857="","",[1]!thsiFinD("ths_adjustment_nv_fund",K$3,$A857))</f>
        <v/>
      </c>
      <c r="L857" s="13" t="str">
        <f>IF($A857="","",[1]!thsiFinD("ths_adjustment_nv_fund",L$3,$A857))</f>
        <v/>
      </c>
      <c r="M857" s="13" t="str">
        <f>IF($A857="","",[1]!thsiFinD("ths_adjustment_nv_fund",M$3,$A857))</f>
        <v/>
      </c>
      <c r="N857" s="13" t="str">
        <f>IF($A857="","",[1]!thsiFinD("ths_adjustment_nv_fund",N$3,$A857))</f>
        <v/>
      </c>
      <c r="O857" s="13" t="str">
        <f>IF($A857="","",[1]!thsiFinD("ths_adjustment_nv_fund",O$3,$A857))</f>
        <v/>
      </c>
      <c r="P857" s="13" t="str">
        <f>IF($A857="","",[1]!thsiFinD("ths_adjustment_nv_fund",P$3,$A857))</f>
        <v/>
      </c>
      <c r="Q857" s="13" t="str">
        <f>IF($A857="","",[1]!thsiFinD("ths_adjustment_nv_fund",Q$3,$A857))</f>
        <v/>
      </c>
      <c r="R857" s="13" t="str">
        <f>IF($A857="","",[1]!thsiFinD("ths_adjustment_nv_fund",R$3,$A857))</f>
        <v/>
      </c>
      <c r="S857" s="13" t="str">
        <f>IF($A857="","",[1]!thsiFinD("ths_adjustment_nv_fund",S$3,$A857))</f>
        <v/>
      </c>
      <c r="T857" s="13" t="str">
        <f>IF($A857="","",[1]!thsiFinD("ths_adjustment_nv_fund",T$3,$A857))</f>
        <v/>
      </c>
      <c r="U857" s="13" t="str">
        <f>IF($A857="","",[1]!thsiFinD("ths_adjustment_nv_fund",U$3,$A857))</f>
        <v/>
      </c>
      <c r="V857" s="13" t="str">
        <f>IF($A857="","",[1]!thsiFinD("ths_adjustment_nv_fund",V$3,$A857))</f>
        <v/>
      </c>
      <c r="W857" s="13" t="str">
        <f>IF($A857="","",[1]!thsiFinD("ths_adjustment_nv_fund",W$3,$A857))</f>
        <v/>
      </c>
      <c r="X857" s="13" t="str">
        <f>IF($A857="","",[1]!thsiFinD("ths_adjustment_nv_fund",X$3,$A857))</f>
        <v/>
      </c>
      <c r="Y857" s="13" t="str">
        <f>IF($A857="","",[1]!thsiFinD("ths_adjustment_nv_fund",Y$3,$A857))</f>
        <v/>
      </c>
      <c r="Z857" s="13" t="str">
        <f>IF($A857="","",[1]!thsiFinD("ths_adjustment_nv_fund",Z$3,$A857))</f>
        <v/>
      </c>
      <c r="AA857" s="13" t="str">
        <f>IF($A857="","",[1]!thsiFinD("ths_adjustment_nv_fund",AA$3,$A857))</f>
        <v/>
      </c>
      <c r="AB857" s="13">
        <f>IF($A857="","",[1]!thsiFinD("ths_adjustment_nv_fund",AB$3,$A857))</f>
        <v/>
      </c>
      <c r="AC857" s="13">
        <f>IF($A857="","",[1]!thsiFinD("ths_adjustment_nv_fund",AC$3,$A857))</f>
        <v/>
      </c>
      <c r="AD857" s="13">
        <f>IF($A857="","",[1]!thsiFinD("ths_adjustment_nv_fund",AD$3,$A857))</f>
        <v/>
      </c>
      <c r="AE857" s="13">
        <f>IF($A857="","",[1]!thsiFinD("ths_adjustment_nv_fund",AE$3,$A857))</f>
        <v/>
      </c>
      <c r="AF857" s="13">
        <f>IF($A857="","",[1]!thsiFinD("ths_adjustment_nv_fund",AF$3,$A857))</f>
        <v/>
      </c>
      <c r="AG857" s="13">
        <f>IF($A857="","",[1]!thsiFinD("ths_adjustment_nv_fund",AG$3,$A857))</f>
        <v/>
      </c>
      <c r="AH857" s="13">
        <f>IF($A857="","",[1]!thsiFinD("ths_adjustment_nv_fund",AH$3,$A857))</f>
        <v/>
      </c>
      <c r="AI857" s="13">
        <f>IF($A857="","",[1]!thsiFinD("ths_adjustment_nv_fund",AI$3,$A857))</f>
        <v/>
      </c>
      <c r="AJ857" s="13">
        <f>IF($A857="","",[1]!thsiFinD("ths_adjustment_nv_fund",AJ$3,$A857))</f>
        <v/>
      </c>
      <c r="AK857" s="13">
        <f>IF($A857="","",[1]!thsiFinD("ths_adjustment_nv_fund",AK$3,$A857))</f>
        <v/>
      </c>
      <c r="AL857" s="13">
        <f>IF($A857="","",[1]!thsiFinD("ths_adjustment_nv_fund",AL$3,$A857))</f>
        <v/>
      </c>
    </row>
    <row r="858" spans="2:28">
      <c r="B858" s="13" t="str">
        <f>IF($A858="","",[1]!thsiFinD("ths_adjustment_nv_fund",B$3,$A858))</f>
        <v/>
      </c>
      <c r="C858" s="13" t="str">
        <f>IF($A858="","",[1]!thsiFinD("ths_adjustment_nv_fund",C$3,$A858))</f>
        <v/>
      </c>
      <c r="D858" s="13" t="str">
        <f>IF($A858="","",[1]!thsiFinD("ths_adjustment_nv_fund",D$3,$A858))</f>
        <v/>
      </c>
      <c r="E858" s="13" t="str">
        <f>IF($A858="","",[1]!thsiFinD("ths_adjustment_nv_fund",E$3,$A858))</f>
        <v/>
      </c>
      <c r="F858" s="13" t="str">
        <f>IF($A858="","",[1]!thsiFinD("ths_adjustment_nv_fund",F$3,$A858))</f>
        <v/>
      </c>
      <c r="G858" s="13" t="str">
        <f>IF($A858="","",[1]!thsiFinD("ths_adjustment_nv_fund",G$3,$A858))</f>
        <v/>
      </c>
      <c r="H858" s="13" t="str">
        <f>IF($A858="","",[1]!thsiFinD("ths_adjustment_nv_fund",H$3,$A858))</f>
        <v/>
      </c>
      <c r="I858" s="13" t="str">
        <f>IF($A858="","",[1]!thsiFinD("ths_adjustment_nv_fund",I$3,$A858))</f>
        <v/>
      </c>
      <c r="J858" s="13" t="str">
        <f>IF($A858="","",[1]!thsiFinD("ths_adjustment_nv_fund",J$3,$A858))</f>
        <v/>
      </c>
      <c r="K858" s="13" t="str">
        <f>IF($A858="","",[1]!thsiFinD("ths_adjustment_nv_fund",K$3,$A858))</f>
        <v/>
      </c>
      <c r="L858" s="13" t="str">
        <f>IF($A858="","",[1]!thsiFinD("ths_adjustment_nv_fund",L$3,$A858))</f>
        <v/>
      </c>
      <c r="M858" s="13" t="str">
        <f>IF($A858="","",[1]!thsiFinD("ths_adjustment_nv_fund",M$3,$A858))</f>
        <v/>
      </c>
      <c r="N858" s="13" t="str">
        <f>IF($A858="","",[1]!thsiFinD("ths_adjustment_nv_fund",N$3,$A858))</f>
        <v/>
      </c>
      <c r="O858" s="13" t="str">
        <f>IF($A858="","",[1]!thsiFinD("ths_adjustment_nv_fund",O$3,$A858))</f>
        <v/>
      </c>
      <c r="P858" s="13" t="str">
        <f>IF($A858="","",[1]!thsiFinD("ths_adjustment_nv_fund",P$3,$A858))</f>
        <v/>
      </c>
      <c r="Q858" s="13" t="str">
        <f>IF($A858="","",[1]!thsiFinD("ths_adjustment_nv_fund",Q$3,$A858))</f>
        <v/>
      </c>
      <c r="R858" s="13" t="str">
        <f>IF($A858="","",[1]!thsiFinD("ths_adjustment_nv_fund",R$3,$A858))</f>
        <v/>
      </c>
      <c r="S858" s="13" t="str">
        <f>IF($A858="","",[1]!thsiFinD("ths_adjustment_nv_fund",S$3,$A858))</f>
        <v/>
      </c>
      <c r="T858" s="13" t="str">
        <f>IF($A858="","",[1]!thsiFinD("ths_adjustment_nv_fund",T$3,$A858))</f>
        <v/>
      </c>
      <c r="U858" s="13" t="str">
        <f>IF($A858="","",[1]!thsiFinD("ths_adjustment_nv_fund",U$3,$A858))</f>
        <v/>
      </c>
      <c r="V858" s="13" t="str">
        <f>IF($A858="","",[1]!thsiFinD("ths_adjustment_nv_fund",V$3,$A858))</f>
        <v/>
      </c>
      <c r="W858" s="13" t="str">
        <f>IF($A858="","",[1]!thsiFinD("ths_adjustment_nv_fund",W$3,$A858))</f>
        <v/>
      </c>
      <c r="X858" s="13" t="str">
        <f>IF($A858="","",[1]!thsiFinD("ths_adjustment_nv_fund",X$3,$A858))</f>
        <v/>
      </c>
      <c r="Y858" s="13" t="str">
        <f>IF($A858="","",[1]!thsiFinD("ths_adjustment_nv_fund",Y$3,$A858))</f>
        <v/>
      </c>
      <c r="Z858" s="13" t="str">
        <f>IF($A858="","",[1]!thsiFinD("ths_adjustment_nv_fund",Z$3,$A858))</f>
        <v/>
      </c>
      <c r="AA858" s="13" t="str">
        <f>IF($A858="","",[1]!thsiFinD("ths_adjustment_nv_fund",AA$3,$A858))</f>
        <v/>
      </c>
      <c r="AB858" s="13">
        <f>IF($A858="","",[1]!thsiFinD("ths_adjustment_nv_fund",AB$3,$A858))</f>
        <v/>
      </c>
      <c r="AC858" s="13">
        <f>IF($A858="","",[1]!thsiFinD("ths_adjustment_nv_fund",AC$3,$A858))</f>
        <v/>
      </c>
      <c r="AD858" s="13">
        <f>IF($A858="","",[1]!thsiFinD("ths_adjustment_nv_fund",AD$3,$A858))</f>
        <v/>
      </c>
      <c r="AE858" s="13">
        <f>IF($A858="","",[1]!thsiFinD("ths_adjustment_nv_fund",AE$3,$A858))</f>
        <v/>
      </c>
      <c r="AF858" s="13">
        <f>IF($A858="","",[1]!thsiFinD("ths_adjustment_nv_fund",AF$3,$A858))</f>
        <v/>
      </c>
      <c r="AG858" s="13">
        <f>IF($A858="","",[1]!thsiFinD("ths_adjustment_nv_fund",AG$3,$A858))</f>
        <v/>
      </c>
      <c r="AH858" s="13">
        <f>IF($A858="","",[1]!thsiFinD("ths_adjustment_nv_fund",AH$3,$A858))</f>
        <v/>
      </c>
      <c r="AI858" s="13">
        <f>IF($A858="","",[1]!thsiFinD("ths_adjustment_nv_fund",AI$3,$A858))</f>
        <v/>
      </c>
      <c r="AJ858" s="13">
        <f>IF($A858="","",[1]!thsiFinD("ths_adjustment_nv_fund",AJ$3,$A858))</f>
        <v/>
      </c>
      <c r="AK858" s="13">
        <f>IF($A858="","",[1]!thsiFinD("ths_adjustment_nv_fund",AK$3,$A858))</f>
        <v/>
      </c>
      <c r="AL858" s="13">
        <f>IF($A858="","",[1]!thsiFinD("ths_adjustment_nv_fund",AL$3,$A858))</f>
        <v/>
      </c>
    </row>
    <row r="859" spans="2:28">
      <c r="B859" s="13" t="str">
        <f>IF($A859="","",[1]!thsiFinD("ths_adjustment_nv_fund",B$3,$A859))</f>
        <v/>
      </c>
      <c r="C859" s="13" t="str">
        <f>IF($A859="","",[1]!thsiFinD("ths_adjustment_nv_fund",C$3,$A859))</f>
        <v/>
      </c>
      <c r="D859" s="13" t="str">
        <f>IF($A859="","",[1]!thsiFinD("ths_adjustment_nv_fund",D$3,$A859))</f>
        <v/>
      </c>
      <c r="E859" s="13" t="str">
        <f>IF($A859="","",[1]!thsiFinD("ths_adjustment_nv_fund",E$3,$A859))</f>
        <v/>
      </c>
      <c r="F859" s="13" t="str">
        <f>IF($A859="","",[1]!thsiFinD("ths_adjustment_nv_fund",F$3,$A859))</f>
        <v/>
      </c>
      <c r="G859" s="13" t="str">
        <f>IF($A859="","",[1]!thsiFinD("ths_adjustment_nv_fund",G$3,$A859))</f>
        <v/>
      </c>
      <c r="H859" s="13" t="str">
        <f>IF($A859="","",[1]!thsiFinD("ths_adjustment_nv_fund",H$3,$A859))</f>
        <v/>
      </c>
      <c r="I859" s="13" t="str">
        <f>IF($A859="","",[1]!thsiFinD("ths_adjustment_nv_fund",I$3,$A859))</f>
        <v/>
      </c>
      <c r="J859" s="13" t="str">
        <f>IF($A859="","",[1]!thsiFinD("ths_adjustment_nv_fund",J$3,$A859))</f>
        <v/>
      </c>
      <c r="K859" s="13" t="str">
        <f>IF($A859="","",[1]!thsiFinD("ths_adjustment_nv_fund",K$3,$A859))</f>
        <v/>
      </c>
      <c r="L859" s="13" t="str">
        <f>IF($A859="","",[1]!thsiFinD("ths_adjustment_nv_fund",L$3,$A859))</f>
        <v/>
      </c>
      <c r="M859" s="13" t="str">
        <f>IF($A859="","",[1]!thsiFinD("ths_adjustment_nv_fund",M$3,$A859))</f>
        <v/>
      </c>
      <c r="N859" s="13" t="str">
        <f>IF($A859="","",[1]!thsiFinD("ths_adjustment_nv_fund",N$3,$A859))</f>
        <v/>
      </c>
      <c r="O859" s="13" t="str">
        <f>IF($A859="","",[1]!thsiFinD("ths_adjustment_nv_fund",O$3,$A859))</f>
        <v/>
      </c>
      <c r="P859" s="13" t="str">
        <f>IF($A859="","",[1]!thsiFinD("ths_adjustment_nv_fund",P$3,$A859))</f>
        <v/>
      </c>
      <c r="Q859" s="13" t="str">
        <f>IF($A859="","",[1]!thsiFinD("ths_adjustment_nv_fund",Q$3,$A859))</f>
        <v/>
      </c>
      <c r="R859" s="13" t="str">
        <f>IF($A859="","",[1]!thsiFinD("ths_adjustment_nv_fund",R$3,$A859))</f>
        <v/>
      </c>
      <c r="S859" s="13" t="str">
        <f>IF($A859="","",[1]!thsiFinD("ths_adjustment_nv_fund",S$3,$A859))</f>
        <v/>
      </c>
      <c r="T859" s="13" t="str">
        <f>IF($A859="","",[1]!thsiFinD("ths_adjustment_nv_fund",T$3,$A859))</f>
        <v/>
      </c>
      <c r="U859" s="13" t="str">
        <f>IF($A859="","",[1]!thsiFinD("ths_adjustment_nv_fund",U$3,$A859))</f>
        <v/>
      </c>
      <c r="V859" s="13" t="str">
        <f>IF($A859="","",[1]!thsiFinD("ths_adjustment_nv_fund",V$3,$A859))</f>
        <v/>
      </c>
      <c r="W859" s="13" t="str">
        <f>IF($A859="","",[1]!thsiFinD("ths_adjustment_nv_fund",W$3,$A859))</f>
        <v/>
      </c>
      <c r="X859" s="13" t="str">
        <f>IF($A859="","",[1]!thsiFinD("ths_adjustment_nv_fund",X$3,$A859))</f>
        <v/>
      </c>
      <c r="Y859" s="13" t="str">
        <f>IF($A859="","",[1]!thsiFinD("ths_adjustment_nv_fund",Y$3,$A859))</f>
        <v/>
      </c>
      <c r="Z859" s="13" t="str">
        <f>IF($A859="","",[1]!thsiFinD("ths_adjustment_nv_fund",Z$3,$A859))</f>
        <v/>
      </c>
      <c r="AA859" s="13" t="str">
        <f>IF($A859="","",[1]!thsiFinD("ths_adjustment_nv_fund",AA$3,$A859))</f>
        <v/>
      </c>
      <c r="AB859" s="13">
        <f>IF($A859="","",[1]!thsiFinD("ths_adjustment_nv_fund",AB$3,$A859))</f>
        <v/>
      </c>
      <c r="AC859" s="13">
        <f>IF($A859="","",[1]!thsiFinD("ths_adjustment_nv_fund",AC$3,$A859))</f>
        <v/>
      </c>
      <c r="AD859" s="13">
        <f>IF($A859="","",[1]!thsiFinD("ths_adjustment_nv_fund",AD$3,$A859))</f>
        <v/>
      </c>
      <c r="AE859" s="13">
        <f>IF($A859="","",[1]!thsiFinD("ths_adjustment_nv_fund",AE$3,$A859))</f>
        <v/>
      </c>
      <c r="AF859" s="13">
        <f>IF($A859="","",[1]!thsiFinD("ths_adjustment_nv_fund",AF$3,$A859))</f>
        <v/>
      </c>
      <c r="AG859" s="13">
        <f>IF($A859="","",[1]!thsiFinD("ths_adjustment_nv_fund",AG$3,$A859))</f>
        <v/>
      </c>
      <c r="AH859" s="13">
        <f>IF($A859="","",[1]!thsiFinD("ths_adjustment_nv_fund",AH$3,$A859))</f>
        <v/>
      </c>
      <c r="AI859" s="13">
        <f>IF($A859="","",[1]!thsiFinD("ths_adjustment_nv_fund",AI$3,$A859))</f>
        <v/>
      </c>
      <c r="AJ859" s="13">
        <f>IF($A859="","",[1]!thsiFinD("ths_adjustment_nv_fund",AJ$3,$A859))</f>
        <v/>
      </c>
      <c r="AK859" s="13">
        <f>IF($A859="","",[1]!thsiFinD("ths_adjustment_nv_fund",AK$3,$A859))</f>
        <v/>
      </c>
      <c r="AL859" s="13">
        <f>IF($A859="","",[1]!thsiFinD("ths_adjustment_nv_fund",AL$3,$A859))</f>
        <v/>
      </c>
    </row>
    <row r="860" spans="2:28">
      <c r="B860" s="13" t="str">
        <f>IF($A860="","",[1]!thsiFinD("ths_adjustment_nv_fund",B$3,$A860))</f>
        <v/>
      </c>
      <c r="C860" s="13" t="str">
        <f>IF($A860="","",[1]!thsiFinD("ths_adjustment_nv_fund",C$3,$A860))</f>
        <v/>
      </c>
      <c r="D860" s="13" t="str">
        <f>IF($A860="","",[1]!thsiFinD("ths_adjustment_nv_fund",D$3,$A860))</f>
        <v/>
      </c>
      <c r="E860" s="13" t="str">
        <f>IF($A860="","",[1]!thsiFinD("ths_adjustment_nv_fund",E$3,$A860))</f>
        <v/>
      </c>
      <c r="F860" s="13" t="str">
        <f>IF($A860="","",[1]!thsiFinD("ths_adjustment_nv_fund",F$3,$A860))</f>
        <v/>
      </c>
      <c r="G860" s="13" t="str">
        <f>IF($A860="","",[1]!thsiFinD("ths_adjustment_nv_fund",G$3,$A860))</f>
        <v/>
      </c>
      <c r="H860" s="13" t="str">
        <f>IF($A860="","",[1]!thsiFinD("ths_adjustment_nv_fund",H$3,$A860))</f>
        <v/>
      </c>
      <c r="I860" s="13" t="str">
        <f>IF($A860="","",[1]!thsiFinD("ths_adjustment_nv_fund",I$3,$A860))</f>
        <v/>
      </c>
      <c r="J860" s="13" t="str">
        <f>IF($A860="","",[1]!thsiFinD("ths_adjustment_nv_fund",J$3,$A860))</f>
        <v/>
      </c>
      <c r="K860" s="13" t="str">
        <f>IF($A860="","",[1]!thsiFinD("ths_adjustment_nv_fund",K$3,$A860))</f>
        <v/>
      </c>
      <c r="L860" s="13" t="str">
        <f>IF($A860="","",[1]!thsiFinD("ths_adjustment_nv_fund",L$3,$A860))</f>
        <v/>
      </c>
      <c r="M860" s="13" t="str">
        <f>IF($A860="","",[1]!thsiFinD("ths_adjustment_nv_fund",M$3,$A860))</f>
        <v/>
      </c>
      <c r="N860" s="13" t="str">
        <f>IF($A860="","",[1]!thsiFinD("ths_adjustment_nv_fund",N$3,$A860))</f>
        <v/>
      </c>
      <c r="O860" s="13" t="str">
        <f>IF($A860="","",[1]!thsiFinD("ths_adjustment_nv_fund",O$3,$A860))</f>
        <v/>
      </c>
      <c r="P860" s="13" t="str">
        <f>IF($A860="","",[1]!thsiFinD("ths_adjustment_nv_fund",P$3,$A860))</f>
        <v/>
      </c>
      <c r="Q860" s="13" t="str">
        <f>IF($A860="","",[1]!thsiFinD("ths_adjustment_nv_fund",Q$3,$A860))</f>
        <v/>
      </c>
      <c r="R860" s="13" t="str">
        <f>IF($A860="","",[1]!thsiFinD("ths_adjustment_nv_fund",R$3,$A860))</f>
        <v/>
      </c>
      <c r="S860" s="13" t="str">
        <f>IF($A860="","",[1]!thsiFinD("ths_adjustment_nv_fund",S$3,$A860))</f>
        <v/>
      </c>
      <c r="T860" s="13" t="str">
        <f>IF($A860="","",[1]!thsiFinD("ths_adjustment_nv_fund",T$3,$A860))</f>
        <v/>
      </c>
      <c r="U860" s="13" t="str">
        <f>IF($A860="","",[1]!thsiFinD("ths_adjustment_nv_fund",U$3,$A860))</f>
        <v/>
      </c>
      <c r="V860" s="13" t="str">
        <f>IF($A860="","",[1]!thsiFinD("ths_adjustment_nv_fund",V$3,$A860))</f>
        <v/>
      </c>
      <c r="W860" s="13" t="str">
        <f>IF($A860="","",[1]!thsiFinD("ths_adjustment_nv_fund",W$3,$A860))</f>
        <v/>
      </c>
      <c r="X860" s="13" t="str">
        <f>IF($A860="","",[1]!thsiFinD("ths_adjustment_nv_fund",X$3,$A860))</f>
        <v/>
      </c>
      <c r="Y860" s="13" t="str">
        <f>IF($A860="","",[1]!thsiFinD("ths_adjustment_nv_fund",Y$3,$A860))</f>
        <v/>
      </c>
      <c r="Z860" s="13" t="str">
        <f>IF($A860="","",[1]!thsiFinD("ths_adjustment_nv_fund",Z$3,$A860))</f>
        <v/>
      </c>
      <c r="AA860" s="13" t="str">
        <f>IF($A860="","",[1]!thsiFinD("ths_adjustment_nv_fund",AA$3,$A860))</f>
        <v/>
      </c>
      <c r="AB860" s="13">
        <f>IF($A860="","",[1]!thsiFinD("ths_adjustment_nv_fund",AB$3,$A860))</f>
        <v/>
      </c>
      <c r="AC860" s="13">
        <f>IF($A860="","",[1]!thsiFinD("ths_adjustment_nv_fund",AC$3,$A860))</f>
        <v/>
      </c>
      <c r="AD860" s="13">
        <f>IF($A860="","",[1]!thsiFinD("ths_adjustment_nv_fund",AD$3,$A860))</f>
        <v/>
      </c>
      <c r="AE860" s="13">
        <f>IF($A860="","",[1]!thsiFinD("ths_adjustment_nv_fund",AE$3,$A860))</f>
        <v/>
      </c>
      <c r="AF860" s="13">
        <f>IF($A860="","",[1]!thsiFinD("ths_adjustment_nv_fund",AF$3,$A860))</f>
        <v/>
      </c>
      <c r="AG860" s="13">
        <f>IF($A860="","",[1]!thsiFinD("ths_adjustment_nv_fund",AG$3,$A860))</f>
        <v/>
      </c>
      <c r="AH860" s="13">
        <f>IF($A860="","",[1]!thsiFinD("ths_adjustment_nv_fund",AH$3,$A860))</f>
        <v/>
      </c>
      <c r="AI860" s="13">
        <f>IF($A860="","",[1]!thsiFinD("ths_adjustment_nv_fund",AI$3,$A860))</f>
        <v/>
      </c>
      <c r="AJ860" s="13">
        <f>IF($A860="","",[1]!thsiFinD("ths_adjustment_nv_fund",AJ$3,$A860))</f>
        <v/>
      </c>
      <c r="AK860" s="13">
        <f>IF($A860="","",[1]!thsiFinD("ths_adjustment_nv_fund",AK$3,$A860))</f>
        <v/>
      </c>
      <c r="AL860" s="13">
        <f>IF($A860="","",[1]!thsiFinD("ths_adjustment_nv_fund",AL$3,$A860))</f>
        <v/>
      </c>
    </row>
    <row r="861" spans="2:28">
      <c r="B861" s="13" t="str">
        <f>IF($A861="","",[1]!thsiFinD("ths_adjustment_nv_fund",B$3,$A861))</f>
        <v/>
      </c>
      <c r="C861" s="13" t="str">
        <f>IF($A861="","",[1]!thsiFinD("ths_adjustment_nv_fund",C$3,$A861))</f>
        <v/>
      </c>
      <c r="D861" s="13" t="str">
        <f>IF($A861="","",[1]!thsiFinD("ths_adjustment_nv_fund",D$3,$A861))</f>
        <v/>
      </c>
      <c r="E861" s="13" t="str">
        <f>IF($A861="","",[1]!thsiFinD("ths_adjustment_nv_fund",E$3,$A861))</f>
        <v/>
      </c>
      <c r="F861" s="13" t="str">
        <f>IF($A861="","",[1]!thsiFinD("ths_adjustment_nv_fund",F$3,$A861))</f>
        <v/>
      </c>
      <c r="G861" s="13" t="str">
        <f>IF($A861="","",[1]!thsiFinD("ths_adjustment_nv_fund",G$3,$A861))</f>
        <v/>
      </c>
      <c r="H861" s="13" t="str">
        <f>IF($A861="","",[1]!thsiFinD("ths_adjustment_nv_fund",H$3,$A861))</f>
        <v/>
      </c>
      <c r="I861" s="13" t="str">
        <f>IF($A861="","",[1]!thsiFinD("ths_adjustment_nv_fund",I$3,$A861))</f>
        <v/>
      </c>
      <c r="J861" s="13" t="str">
        <f>IF($A861="","",[1]!thsiFinD("ths_adjustment_nv_fund",J$3,$A861))</f>
        <v/>
      </c>
      <c r="K861" s="13" t="str">
        <f>IF($A861="","",[1]!thsiFinD("ths_adjustment_nv_fund",K$3,$A861))</f>
        <v/>
      </c>
      <c r="L861" s="13" t="str">
        <f>IF($A861="","",[1]!thsiFinD("ths_adjustment_nv_fund",L$3,$A861))</f>
        <v/>
      </c>
      <c r="M861" s="13" t="str">
        <f>IF($A861="","",[1]!thsiFinD("ths_adjustment_nv_fund",M$3,$A861))</f>
        <v/>
      </c>
      <c r="N861" s="13" t="str">
        <f>IF($A861="","",[1]!thsiFinD("ths_adjustment_nv_fund",N$3,$A861))</f>
        <v/>
      </c>
      <c r="O861" s="13" t="str">
        <f>IF($A861="","",[1]!thsiFinD("ths_adjustment_nv_fund",O$3,$A861))</f>
        <v/>
      </c>
      <c r="P861" s="13" t="str">
        <f>IF($A861="","",[1]!thsiFinD("ths_adjustment_nv_fund",P$3,$A861))</f>
        <v/>
      </c>
      <c r="Q861" s="13" t="str">
        <f>IF($A861="","",[1]!thsiFinD("ths_adjustment_nv_fund",Q$3,$A861))</f>
        <v/>
      </c>
      <c r="R861" s="13" t="str">
        <f>IF($A861="","",[1]!thsiFinD("ths_adjustment_nv_fund",R$3,$A861))</f>
        <v/>
      </c>
      <c r="S861" s="13" t="str">
        <f>IF($A861="","",[1]!thsiFinD("ths_adjustment_nv_fund",S$3,$A861))</f>
        <v/>
      </c>
      <c r="T861" s="13" t="str">
        <f>IF($A861="","",[1]!thsiFinD("ths_adjustment_nv_fund",T$3,$A861))</f>
        <v/>
      </c>
      <c r="U861" s="13" t="str">
        <f>IF($A861="","",[1]!thsiFinD("ths_adjustment_nv_fund",U$3,$A861))</f>
        <v/>
      </c>
      <c r="V861" s="13" t="str">
        <f>IF($A861="","",[1]!thsiFinD("ths_adjustment_nv_fund",V$3,$A861))</f>
        <v/>
      </c>
      <c r="W861" s="13" t="str">
        <f>IF($A861="","",[1]!thsiFinD("ths_adjustment_nv_fund",W$3,$A861))</f>
        <v/>
      </c>
      <c r="X861" s="13" t="str">
        <f>IF($A861="","",[1]!thsiFinD("ths_adjustment_nv_fund",X$3,$A861))</f>
        <v/>
      </c>
      <c r="Y861" s="13" t="str">
        <f>IF($A861="","",[1]!thsiFinD("ths_adjustment_nv_fund",Y$3,$A861))</f>
        <v/>
      </c>
      <c r="Z861" s="13" t="str">
        <f>IF($A861="","",[1]!thsiFinD("ths_adjustment_nv_fund",Z$3,$A861))</f>
        <v/>
      </c>
      <c r="AA861" s="13" t="str">
        <f>IF($A861="","",[1]!thsiFinD("ths_adjustment_nv_fund",AA$3,$A861))</f>
        <v/>
      </c>
      <c r="AB861" s="13">
        <f>IF($A861="","",[1]!thsiFinD("ths_adjustment_nv_fund",AB$3,$A861))</f>
        <v/>
      </c>
      <c r="AC861" s="13">
        <f>IF($A861="","",[1]!thsiFinD("ths_adjustment_nv_fund",AC$3,$A861))</f>
        <v/>
      </c>
      <c r="AD861" s="13">
        <f>IF($A861="","",[1]!thsiFinD("ths_adjustment_nv_fund",AD$3,$A861))</f>
        <v/>
      </c>
      <c r="AE861" s="13">
        <f>IF($A861="","",[1]!thsiFinD("ths_adjustment_nv_fund",AE$3,$A861))</f>
        <v/>
      </c>
      <c r="AF861" s="13">
        <f>IF($A861="","",[1]!thsiFinD("ths_adjustment_nv_fund",AF$3,$A861))</f>
        <v/>
      </c>
      <c r="AG861" s="13">
        <f>IF($A861="","",[1]!thsiFinD("ths_adjustment_nv_fund",AG$3,$A861))</f>
        <v/>
      </c>
      <c r="AH861" s="13">
        <f>IF($A861="","",[1]!thsiFinD("ths_adjustment_nv_fund",AH$3,$A861))</f>
        <v/>
      </c>
      <c r="AI861" s="13">
        <f>IF($A861="","",[1]!thsiFinD("ths_adjustment_nv_fund",AI$3,$A861))</f>
        <v/>
      </c>
      <c r="AJ861" s="13">
        <f>IF($A861="","",[1]!thsiFinD("ths_adjustment_nv_fund",AJ$3,$A861))</f>
        <v/>
      </c>
      <c r="AK861" s="13">
        <f>IF($A861="","",[1]!thsiFinD("ths_adjustment_nv_fund",AK$3,$A861))</f>
        <v/>
      </c>
      <c r="AL861" s="13">
        <f>IF($A861="","",[1]!thsiFinD("ths_adjustment_nv_fund",AL$3,$A861))</f>
        <v/>
      </c>
    </row>
    <row r="862" spans="2:28">
      <c r="B862" s="13" t="str">
        <f>IF($A862="","",[1]!thsiFinD("ths_adjustment_nv_fund",B$3,$A862))</f>
        <v/>
      </c>
      <c r="C862" s="13" t="str">
        <f>IF($A862="","",[1]!thsiFinD("ths_adjustment_nv_fund",C$3,$A862))</f>
        <v/>
      </c>
      <c r="D862" s="13" t="str">
        <f>IF($A862="","",[1]!thsiFinD("ths_adjustment_nv_fund",D$3,$A862))</f>
        <v/>
      </c>
      <c r="E862" s="13" t="str">
        <f>IF($A862="","",[1]!thsiFinD("ths_adjustment_nv_fund",E$3,$A862))</f>
        <v/>
      </c>
      <c r="F862" s="13" t="str">
        <f>IF($A862="","",[1]!thsiFinD("ths_adjustment_nv_fund",F$3,$A862))</f>
        <v/>
      </c>
      <c r="G862" s="13" t="str">
        <f>IF($A862="","",[1]!thsiFinD("ths_adjustment_nv_fund",G$3,$A862))</f>
        <v/>
      </c>
      <c r="H862" s="13" t="str">
        <f>IF($A862="","",[1]!thsiFinD("ths_adjustment_nv_fund",H$3,$A862))</f>
        <v/>
      </c>
      <c r="I862" s="13" t="str">
        <f>IF($A862="","",[1]!thsiFinD("ths_adjustment_nv_fund",I$3,$A862))</f>
        <v/>
      </c>
      <c r="J862" s="13" t="str">
        <f>IF($A862="","",[1]!thsiFinD("ths_adjustment_nv_fund",J$3,$A862))</f>
        <v/>
      </c>
      <c r="K862" s="13" t="str">
        <f>IF($A862="","",[1]!thsiFinD("ths_adjustment_nv_fund",K$3,$A862))</f>
        <v/>
      </c>
      <c r="L862" s="13" t="str">
        <f>IF($A862="","",[1]!thsiFinD("ths_adjustment_nv_fund",L$3,$A862))</f>
        <v/>
      </c>
      <c r="M862" s="13" t="str">
        <f>IF($A862="","",[1]!thsiFinD("ths_adjustment_nv_fund",M$3,$A862))</f>
        <v/>
      </c>
      <c r="N862" s="13" t="str">
        <f>IF($A862="","",[1]!thsiFinD("ths_adjustment_nv_fund",N$3,$A862))</f>
        <v/>
      </c>
      <c r="O862" s="13" t="str">
        <f>IF($A862="","",[1]!thsiFinD("ths_adjustment_nv_fund",O$3,$A862))</f>
        <v/>
      </c>
      <c r="P862" s="13" t="str">
        <f>IF($A862="","",[1]!thsiFinD("ths_adjustment_nv_fund",P$3,$A862))</f>
        <v/>
      </c>
      <c r="Q862" s="13" t="str">
        <f>IF($A862="","",[1]!thsiFinD("ths_adjustment_nv_fund",Q$3,$A862))</f>
        <v/>
      </c>
      <c r="R862" s="13" t="str">
        <f>IF($A862="","",[1]!thsiFinD("ths_adjustment_nv_fund",R$3,$A862))</f>
        <v/>
      </c>
      <c r="S862" s="13" t="str">
        <f>IF($A862="","",[1]!thsiFinD("ths_adjustment_nv_fund",S$3,$A862))</f>
        <v/>
      </c>
      <c r="T862" s="13" t="str">
        <f>IF($A862="","",[1]!thsiFinD("ths_adjustment_nv_fund",T$3,$A862))</f>
        <v/>
      </c>
      <c r="U862" s="13" t="str">
        <f>IF($A862="","",[1]!thsiFinD("ths_adjustment_nv_fund",U$3,$A862))</f>
        <v/>
      </c>
      <c r="V862" s="13" t="str">
        <f>IF($A862="","",[1]!thsiFinD("ths_adjustment_nv_fund",V$3,$A862))</f>
        <v/>
      </c>
      <c r="W862" s="13" t="str">
        <f>IF($A862="","",[1]!thsiFinD("ths_adjustment_nv_fund",W$3,$A862))</f>
        <v/>
      </c>
      <c r="X862" s="13" t="str">
        <f>IF($A862="","",[1]!thsiFinD("ths_adjustment_nv_fund",X$3,$A862))</f>
        <v/>
      </c>
      <c r="Y862" s="13" t="str">
        <f>IF($A862="","",[1]!thsiFinD("ths_adjustment_nv_fund",Y$3,$A862))</f>
        <v/>
      </c>
      <c r="Z862" s="13" t="str">
        <f>IF($A862="","",[1]!thsiFinD("ths_adjustment_nv_fund",Z$3,$A862))</f>
        <v/>
      </c>
      <c r="AA862" s="13" t="str">
        <f>IF($A862="","",[1]!thsiFinD("ths_adjustment_nv_fund",AA$3,$A862))</f>
        <v/>
      </c>
      <c r="AB862" s="13">
        <f>IF($A862="","",[1]!thsiFinD("ths_adjustment_nv_fund",AB$3,$A862))</f>
        <v/>
      </c>
      <c r="AC862" s="13">
        <f>IF($A862="","",[1]!thsiFinD("ths_adjustment_nv_fund",AC$3,$A862))</f>
        <v/>
      </c>
      <c r="AD862" s="13">
        <f>IF($A862="","",[1]!thsiFinD("ths_adjustment_nv_fund",AD$3,$A862))</f>
        <v/>
      </c>
      <c r="AE862" s="13">
        <f>IF($A862="","",[1]!thsiFinD("ths_adjustment_nv_fund",AE$3,$A862))</f>
        <v/>
      </c>
      <c r="AF862" s="13">
        <f>IF($A862="","",[1]!thsiFinD("ths_adjustment_nv_fund",AF$3,$A862))</f>
        <v/>
      </c>
      <c r="AG862" s="13">
        <f>IF($A862="","",[1]!thsiFinD("ths_adjustment_nv_fund",AG$3,$A862))</f>
        <v/>
      </c>
      <c r="AH862" s="13">
        <f>IF($A862="","",[1]!thsiFinD("ths_adjustment_nv_fund",AH$3,$A862))</f>
        <v/>
      </c>
      <c r="AI862" s="13">
        <f>IF($A862="","",[1]!thsiFinD("ths_adjustment_nv_fund",AI$3,$A862))</f>
        <v/>
      </c>
      <c r="AJ862" s="13">
        <f>IF($A862="","",[1]!thsiFinD("ths_adjustment_nv_fund",AJ$3,$A862))</f>
        <v/>
      </c>
      <c r="AK862" s="13">
        <f>IF($A862="","",[1]!thsiFinD("ths_adjustment_nv_fund",AK$3,$A862))</f>
        <v/>
      </c>
      <c r="AL862" s="13">
        <f>IF($A862="","",[1]!thsiFinD("ths_adjustment_nv_fund",AL$3,$A862))</f>
        <v/>
      </c>
    </row>
    <row r="863" spans="2:28">
      <c r="B863" s="13" t="str">
        <f>IF($A863="","",[1]!thsiFinD("ths_adjustment_nv_fund",B$3,$A863))</f>
        <v/>
      </c>
      <c r="C863" s="13" t="str">
        <f>IF($A863="","",[1]!thsiFinD("ths_adjustment_nv_fund",C$3,$A863))</f>
        <v/>
      </c>
      <c r="D863" s="13" t="str">
        <f>IF($A863="","",[1]!thsiFinD("ths_adjustment_nv_fund",D$3,$A863))</f>
        <v/>
      </c>
      <c r="E863" s="13" t="str">
        <f>IF($A863="","",[1]!thsiFinD("ths_adjustment_nv_fund",E$3,$A863))</f>
        <v/>
      </c>
      <c r="F863" s="13" t="str">
        <f>IF($A863="","",[1]!thsiFinD("ths_adjustment_nv_fund",F$3,$A863))</f>
        <v/>
      </c>
      <c r="G863" s="13" t="str">
        <f>IF($A863="","",[1]!thsiFinD("ths_adjustment_nv_fund",G$3,$A863))</f>
        <v/>
      </c>
      <c r="H863" s="13" t="str">
        <f>IF($A863="","",[1]!thsiFinD("ths_adjustment_nv_fund",H$3,$A863))</f>
        <v/>
      </c>
      <c r="I863" s="13" t="str">
        <f>IF($A863="","",[1]!thsiFinD("ths_adjustment_nv_fund",I$3,$A863))</f>
        <v/>
      </c>
      <c r="J863" s="13" t="str">
        <f>IF($A863="","",[1]!thsiFinD("ths_adjustment_nv_fund",J$3,$A863))</f>
        <v/>
      </c>
      <c r="K863" s="13" t="str">
        <f>IF($A863="","",[1]!thsiFinD("ths_adjustment_nv_fund",K$3,$A863))</f>
        <v/>
      </c>
      <c r="L863" s="13" t="str">
        <f>IF($A863="","",[1]!thsiFinD("ths_adjustment_nv_fund",L$3,$A863))</f>
        <v/>
      </c>
      <c r="M863" s="13" t="str">
        <f>IF($A863="","",[1]!thsiFinD("ths_adjustment_nv_fund",M$3,$A863))</f>
        <v/>
      </c>
      <c r="N863" s="13" t="str">
        <f>IF($A863="","",[1]!thsiFinD("ths_adjustment_nv_fund",N$3,$A863))</f>
        <v/>
      </c>
      <c r="O863" s="13" t="str">
        <f>IF($A863="","",[1]!thsiFinD("ths_adjustment_nv_fund",O$3,$A863))</f>
        <v/>
      </c>
      <c r="P863" s="13" t="str">
        <f>IF($A863="","",[1]!thsiFinD("ths_adjustment_nv_fund",P$3,$A863))</f>
        <v/>
      </c>
      <c r="Q863" s="13" t="str">
        <f>IF($A863="","",[1]!thsiFinD("ths_adjustment_nv_fund",Q$3,$A863))</f>
        <v/>
      </c>
      <c r="R863" s="13" t="str">
        <f>IF($A863="","",[1]!thsiFinD("ths_adjustment_nv_fund",R$3,$A863))</f>
        <v/>
      </c>
      <c r="S863" s="13" t="str">
        <f>IF($A863="","",[1]!thsiFinD("ths_adjustment_nv_fund",S$3,$A863))</f>
        <v/>
      </c>
      <c r="T863" s="13" t="str">
        <f>IF($A863="","",[1]!thsiFinD("ths_adjustment_nv_fund",T$3,$A863))</f>
        <v/>
      </c>
      <c r="U863" s="13" t="str">
        <f>IF($A863="","",[1]!thsiFinD("ths_adjustment_nv_fund",U$3,$A863))</f>
        <v/>
      </c>
      <c r="V863" s="13" t="str">
        <f>IF($A863="","",[1]!thsiFinD("ths_adjustment_nv_fund",V$3,$A863))</f>
        <v/>
      </c>
      <c r="W863" s="13" t="str">
        <f>IF($A863="","",[1]!thsiFinD("ths_adjustment_nv_fund",W$3,$A863))</f>
        <v/>
      </c>
      <c r="X863" s="13" t="str">
        <f>IF($A863="","",[1]!thsiFinD("ths_adjustment_nv_fund",X$3,$A863))</f>
        <v/>
      </c>
      <c r="Y863" s="13" t="str">
        <f>IF($A863="","",[1]!thsiFinD("ths_adjustment_nv_fund",Y$3,$A863))</f>
        <v/>
      </c>
      <c r="Z863" s="13" t="str">
        <f>IF($A863="","",[1]!thsiFinD("ths_adjustment_nv_fund",Z$3,$A863))</f>
        <v/>
      </c>
      <c r="AA863" s="13" t="str">
        <f>IF($A863="","",[1]!thsiFinD("ths_adjustment_nv_fund",AA$3,$A863))</f>
        <v/>
      </c>
      <c r="AB863" s="13">
        <f>IF($A863="","",[1]!thsiFinD("ths_adjustment_nv_fund",AB$3,$A863))</f>
        <v/>
      </c>
      <c r="AC863" s="13">
        <f>IF($A863="","",[1]!thsiFinD("ths_adjustment_nv_fund",AC$3,$A863))</f>
        <v/>
      </c>
      <c r="AD863" s="13">
        <f>IF($A863="","",[1]!thsiFinD("ths_adjustment_nv_fund",AD$3,$A863))</f>
        <v/>
      </c>
      <c r="AE863" s="13">
        <f>IF($A863="","",[1]!thsiFinD("ths_adjustment_nv_fund",AE$3,$A863))</f>
        <v/>
      </c>
      <c r="AF863" s="13">
        <f>IF($A863="","",[1]!thsiFinD("ths_adjustment_nv_fund",AF$3,$A863))</f>
        <v/>
      </c>
      <c r="AG863" s="13">
        <f>IF($A863="","",[1]!thsiFinD("ths_adjustment_nv_fund",AG$3,$A863))</f>
        <v/>
      </c>
      <c r="AH863" s="13">
        <f>IF($A863="","",[1]!thsiFinD("ths_adjustment_nv_fund",AH$3,$A863))</f>
        <v/>
      </c>
      <c r="AI863" s="13">
        <f>IF($A863="","",[1]!thsiFinD("ths_adjustment_nv_fund",AI$3,$A863))</f>
        <v/>
      </c>
      <c r="AJ863" s="13">
        <f>IF($A863="","",[1]!thsiFinD("ths_adjustment_nv_fund",AJ$3,$A863))</f>
        <v/>
      </c>
      <c r="AK863" s="13">
        <f>IF($A863="","",[1]!thsiFinD("ths_adjustment_nv_fund",AK$3,$A863))</f>
        <v/>
      </c>
      <c r="AL863" s="13">
        <f>IF($A863="","",[1]!thsiFinD("ths_adjustment_nv_fund",AL$3,$A863))</f>
        <v/>
      </c>
    </row>
    <row r="864" spans="2:28">
      <c r="B864" s="13" t="str">
        <f>IF($A864="","",[1]!thsiFinD("ths_adjustment_nv_fund",B$3,$A864))</f>
        <v/>
      </c>
      <c r="C864" s="13" t="str">
        <f>IF($A864="","",[1]!thsiFinD("ths_adjustment_nv_fund",C$3,$A864))</f>
        <v/>
      </c>
      <c r="D864" s="13" t="str">
        <f>IF($A864="","",[1]!thsiFinD("ths_adjustment_nv_fund",D$3,$A864))</f>
        <v/>
      </c>
      <c r="E864" s="13" t="str">
        <f>IF($A864="","",[1]!thsiFinD("ths_adjustment_nv_fund",E$3,$A864))</f>
        <v/>
      </c>
      <c r="F864" s="13" t="str">
        <f>IF($A864="","",[1]!thsiFinD("ths_adjustment_nv_fund",F$3,$A864))</f>
        <v/>
      </c>
      <c r="G864" s="13" t="str">
        <f>IF($A864="","",[1]!thsiFinD("ths_adjustment_nv_fund",G$3,$A864))</f>
        <v/>
      </c>
      <c r="H864" s="13" t="str">
        <f>IF($A864="","",[1]!thsiFinD("ths_adjustment_nv_fund",H$3,$A864))</f>
        <v/>
      </c>
      <c r="I864" s="13" t="str">
        <f>IF($A864="","",[1]!thsiFinD("ths_adjustment_nv_fund",I$3,$A864))</f>
        <v/>
      </c>
      <c r="J864" s="13" t="str">
        <f>IF($A864="","",[1]!thsiFinD("ths_adjustment_nv_fund",J$3,$A864))</f>
        <v/>
      </c>
      <c r="K864" s="13" t="str">
        <f>IF($A864="","",[1]!thsiFinD("ths_adjustment_nv_fund",K$3,$A864))</f>
        <v/>
      </c>
      <c r="L864" s="13" t="str">
        <f>IF($A864="","",[1]!thsiFinD("ths_adjustment_nv_fund",L$3,$A864))</f>
        <v/>
      </c>
      <c r="M864" s="13" t="str">
        <f>IF($A864="","",[1]!thsiFinD("ths_adjustment_nv_fund",M$3,$A864))</f>
        <v/>
      </c>
      <c r="N864" s="13" t="str">
        <f>IF($A864="","",[1]!thsiFinD("ths_adjustment_nv_fund",N$3,$A864))</f>
        <v/>
      </c>
      <c r="O864" s="13" t="str">
        <f>IF($A864="","",[1]!thsiFinD("ths_adjustment_nv_fund",O$3,$A864))</f>
        <v/>
      </c>
      <c r="P864" s="13" t="str">
        <f>IF($A864="","",[1]!thsiFinD("ths_adjustment_nv_fund",P$3,$A864))</f>
        <v/>
      </c>
      <c r="Q864" s="13" t="str">
        <f>IF($A864="","",[1]!thsiFinD("ths_adjustment_nv_fund",Q$3,$A864))</f>
        <v/>
      </c>
      <c r="R864" s="13" t="str">
        <f>IF($A864="","",[1]!thsiFinD("ths_adjustment_nv_fund",R$3,$A864))</f>
        <v/>
      </c>
      <c r="S864" s="13" t="str">
        <f>IF($A864="","",[1]!thsiFinD("ths_adjustment_nv_fund",S$3,$A864))</f>
        <v/>
      </c>
      <c r="T864" s="13" t="str">
        <f>IF($A864="","",[1]!thsiFinD("ths_adjustment_nv_fund",T$3,$A864))</f>
        <v/>
      </c>
      <c r="U864" s="13" t="str">
        <f>IF($A864="","",[1]!thsiFinD("ths_adjustment_nv_fund",U$3,$A864))</f>
        <v/>
      </c>
      <c r="V864" s="13" t="str">
        <f>IF($A864="","",[1]!thsiFinD("ths_adjustment_nv_fund",V$3,$A864))</f>
        <v/>
      </c>
      <c r="W864" s="13" t="str">
        <f>IF($A864="","",[1]!thsiFinD("ths_adjustment_nv_fund",W$3,$A864))</f>
        <v/>
      </c>
      <c r="X864" s="13" t="str">
        <f>IF($A864="","",[1]!thsiFinD("ths_adjustment_nv_fund",X$3,$A864))</f>
        <v/>
      </c>
      <c r="Y864" s="13" t="str">
        <f>IF($A864="","",[1]!thsiFinD("ths_adjustment_nv_fund",Y$3,$A864))</f>
        <v/>
      </c>
      <c r="Z864" s="13" t="str">
        <f>IF($A864="","",[1]!thsiFinD("ths_adjustment_nv_fund",Z$3,$A864))</f>
        <v/>
      </c>
      <c r="AA864" s="13" t="str">
        <f>IF($A864="","",[1]!thsiFinD("ths_adjustment_nv_fund",AA$3,$A864))</f>
        <v/>
      </c>
      <c r="AB864" s="13">
        <f>IF($A864="","",[1]!thsiFinD("ths_adjustment_nv_fund",AB$3,$A864))</f>
        <v/>
      </c>
      <c r="AC864" s="13">
        <f>IF($A864="","",[1]!thsiFinD("ths_adjustment_nv_fund",AC$3,$A864))</f>
        <v/>
      </c>
      <c r="AD864" s="13">
        <f>IF($A864="","",[1]!thsiFinD("ths_adjustment_nv_fund",AD$3,$A864))</f>
        <v/>
      </c>
      <c r="AE864" s="13">
        <f>IF($A864="","",[1]!thsiFinD("ths_adjustment_nv_fund",AE$3,$A864))</f>
        <v/>
      </c>
      <c r="AF864" s="13">
        <f>IF($A864="","",[1]!thsiFinD("ths_adjustment_nv_fund",AF$3,$A864))</f>
        <v/>
      </c>
      <c r="AG864" s="13">
        <f>IF($A864="","",[1]!thsiFinD("ths_adjustment_nv_fund",AG$3,$A864))</f>
        <v/>
      </c>
      <c r="AH864" s="13">
        <f>IF($A864="","",[1]!thsiFinD("ths_adjustment_nv_fund",AH$3,$A864))</f>
        <v/>
      </c>
      <c r="AI864" s="13">
        <f>IF($A864="","",[1]!thsiFinD("ths_adjustment_nv_fund",AI$3,$A864))</f>
        <v/>
      </c>
      <c r="AJ864" s="13">
        <f>IF($A864="","",[1]!thsiFinD("ths_adjustment_nv_fund",AJ$3,$A864))</f>
        <v/>
      </c>
      <c r="AK864" s="13">
        <f>IF($A864="","",[1]!thsiFinD("ths_adjustment_nv_fund",AK$3,$A864))</f>
        <v/>
      </c>
      <c r="AL864" s="13">
        <f>IF($A864="","",[1]!thsiFinD("ths_adjustment_nv_fund",AL$3,$A864))</f>
        <v/>
      </c>
    </row>
    <row r="865" spans="2:28">
      <c r="B865" s="13" t="str">
        <f>IF($A865="","",[1]!thsiFinD("ths_adjustment_nv_fund",B$3,$A865))</f>
        <v/>
      </c>
      <c r="C865" s="13" t="str">
        <f>IF($A865="","",[1]!thsiFinD("ths_adjustment_nv_fund",C$3,$A865))</f>
        <v/>
      </c>
      <c r="D865" s="13" t="str">
        <f>IF($A865="","",[1]!thsiFinD("ths_adjustment_nv_fund",D$3,$A865))</f>
        <v/>
      </c>
      <c r="E865" s="13" t="str">
        <f>IF($A865="","",[1]!thsiFinD("ths_adjustment_nv_fund",E$3,$A865))</f>
        <v/>
      </c>
      <c r="F865" s="13" t="str">
        <f>IF($A865="","",[1]!thsiFinD("ths_adjustment_nv_fund",F$3,$A865))</f>
        <v/>
      </c>
      <c r="G865" s="13" t="str">
        <f>IF($A865="","",[1]!thsiFinD("ths_adjustment_nv_fund",G$3,$A865))</f>
        <v/>
      </c>
      <c r="H865" s="13" t="str">
        <f>IF($A865="","",[1]!thsiFinD("ths_adjustment_nv_fund",H$3,$A865))</f>
        <v/>
      </c>
      <c r="I865" s="13" t="str">
        <f>IF($A865="","",[1]!thsiFinD("ths_adjustment_nv_fund",I$3,$A865))</f>
        <v/>
      </c>
      <c r="J865" s="13" t="str">
        <f>IF($A865="","",[1]!thsiFinD("ths_adjustment_nv_fund",J$3,$A865))</f>
        <v/>
      </c>
      <c r="K865" s="13" t="str">
        <f>IF($A865="","",[1]!thsiFinD("ths_adjustment_nv_fund",K$3,$A865))</f>
        <v/>
      </c>
      <c r="L865" s="13" t="str">
        <f>IF($A865="","",[1]!thsiFinD("ths_adjustment_nv_fund",L$3,$A865))</f>
        <v/>
      </c>
      <c r="M865" s="13" t="str">
        <f>IF($A865="","",[1]!thsiFinD("ths_adjustment_nv_fund",M$3,$A865))</f>
        <v/>
      </c>
      <c r="N865" s="13" t="str">
        <f>IF($A865="","",[1]!thsiFinD("ths_adjustment_nv_fund",N$3,$A865))</f>
        <v/>
      </c>
      <c r="O865" s="13" t="str">
        <f>IF($A865="","",[1]!thsiFinD("ths_adjustment_nv_fund",O$3,$A865))</f>
        <v/>
      </c>
      <c r="P865" s="13" t="str">
        <f>IF($A865="","",[1]!thsiFinD("ths_adjustment_nv_fund",P$3,$A865))</f>
        <v/>
      </c>
      <c r="Q865" s="13" t="str">
        <f>IF($A865="","",[1]!thsiFinD("ths_adjustment_nv_fund",Q$3,$A865))</f>
        <v/>
      </c>
      <c r="R865" s="13" t="str">
        <f>IF($A865="","",[1]!thsiFinD("ths_adjustment_nv_fund",R$3,$A865))</f>
        <v/>
      </c>
      <c r="S865" s="13" t="str">
        <f>IF($A865="","",[1]!thsiFinD("ths_adjustment_nv_fund",S$3,$A865))</f>
        <v/>
      </c>
      <c r="T865" s="13" t="str">
        <f>IF($A865="","",[1]!thsiFinD("ths_adjustment_nv_fund",T$3,$A865))</f>
        <v/>
      </c>
      <c r="U865" s="13" t="str">
        <f>IF($A865="","",[1]!thsiFinD("ths_adjustment_nv_fund",U$3,$A865))</f>
        <v/>
      </c>
      <c r="V865" s="13" t="str">
        <f>IF($A865="","",[1]!thsiFinD("ths_adjustment_nv_fund",V$3,$A865))</f>
        <v/>
      </c>
      <c r="W865" s="13" t="str">
        <f>IF($A865="","",[1]!thsiFinD("ths_adjustment_nv_fund",W$3,$A865))</f>
        <v/>
      </c>
      <c r="X865" s="13" t="str">
        <f>IF($A865="","",[1]!thsiFinD("ths_adjustment_nv_fund",X$3,$A865))</f>
        <v/>
      </c>
      <c r="Y865" s="13" t="str">
        <f>IF($A865="","",[1]!thsiFinD("ths_adjustment_nv_fund",Y$3,$A865))</f>
        <v/>
      </c>
      <c r="Z865" s="13" t="str">
        <f>IF($A865="","",[1]!thsiFinD("ths_adjustment_nv_fund",Z$3,$A865))</f>
        <v/>
      </c>
      <c r="AA865" s="13" t="str">
        <f>IF($A865="","",[1]!thsiFinD("ths_adjustment_nv_fund",AA$3,$A865))</f>
        <v/>
      </c>
      <c r="AB865" s="13">
        <f>IF($A865="","",[1]!thsiFinD("ths_adjustment_nv_fund",AB$3,$A865))</f>
        <v/>
      </c>
      <c r="AC865" s="13">
        <f>IF($A865="","",[1]!thsiFinD("ths_adjustment_nv_fund",AC$3,$A865))</f>
        <v/>
      </c>
      <c r="AD865" s="13">
        <f>IF($A865="","",[1]!thsiFinD("ths_adjustment_nv_fund",AD$3,$A865))</f>
        <v/>
      </c>
      <c r="AE865" s="13">
        <f>IF($A865="","",[1]!thsiFinD("ths_adjustment_nv_fund",AE$3,$A865))</f>
        <v/>
      </c>
      <c r="AF865" s="13">
        <f>IF($A865="","",[1]!thsiFinD("ths_adjustment_nv_fund",AF$3,$A865))</f>
        <v/>
      </c>
      <c r="AG865" s="13">
        <f>IF($A865="","",[1]!thsiFinD("ths_adjustment_nv_fund",AG$3,$A865))</f>
        <v/>
      </c>
      <c r="AH865" s="13">
        <f>IF($A865="","",[1]!thsiFinD("ths_adjustment_nv_fund",AH$3,$A865))</f>
        <v/>
      </c>
      <c r="AI865" s="13">
        <f>IF($A865="","",[1]!thsiFinD("ths_adjustment_nv_fund",AI$3,$A865))</f>
        <v/>
      </c>
      <c r="AJ865" s="13">
        <f>IF($A865="","",[1]!thsiFinD("ths_adjustment_nv_fund",AJ$3,$A865))</f>
        <v/>
      </c>
      <c r="AK865" s="13">
        <f>IF($A865="","",[1]!thsiFinD("ths_adjustment_nv_fund",AK$3,$A865))</f>
        <v/>
      </c>
      <c r="AL865" s="13">
        <f>IF($A865="","",[1]!thsiFinD("ths_adjustment_nv_fund",AL$3,$A865))</f>
        <v/>
      </c>
    </row>
    <row r="866" spans="2:28">
      <c r="B866" s="13" t="str">
        <f>IF($A866="","",[1]!thsiFinD("ths_adjustment_nv_fund",B$3,$A866))</f>
        <v/>
      </c>
      <c r="C866" s="13" t="str">
        <f>IF($A866="","",[1]!thsiFinD("ths_adjustment_nv_fund",C$3,$A866))</f>
        <v/>
      </c>
      <c r="D866" s="13" t="str">
        <f>IF($A866="","",[1]!thsiFinD("ths_adjustment_nv_fund",D$3,$A866))</f>
        <v/>
      </c>
      <c r="E866" s="13" t="str">
        <f>IF($A866="","",[1]!thsiFinD("ths_adjustment_nv_fund",E$3,$A866))</f>
        <v/>
      </c>
      <c r="F866" s="13" t="str">
        <f>IF($A866="","",[1]!thsiFinD("ths_adjustment_nv_fund",F$3,$A866))</f>
        <v/>
      </c>
      <c r="G866" s="13" t="str">
        <f>IF($A866="","",[1]!thsiFinD("ths_adjustment_nv_fund",G$3,$A866))</f>
        <v/>
      </c>
      <c r="H866" s="13" t="str">
        <f>IF($A866="","",[1]!thsiFinD("ths_adjustment_nv_fund",H$3,$A866))</f>
        <v/>
      </c>
      <c r="I866" s="13" t="str">
        <f>IF($A866="","",[1]!thsiFinD("ths_adjustment_nv_fund",I$3,$A866))</f>
        <v/>
      </c>
      <c r="J866" s="13" t="str">
        <f>IF($A866="","",[1]!thsiFinD("ths_adjustment_nv_fund",J$3,$A866))</f>
        <v/>
      </c>
      <c r="K866" s="13" t="str">
        <f>IF($A866="","",[1]!thsiFinD("ths_adjustment_nv_fund",K$3,$A866))</f>
        <v/>
      </c>
      <c r="L866" s="13" t="str">
        <f>IF($A866="","",[1]!thsiFinD("ths_adjustment_nv_fund",L$3,$A866))</f>
        <v/>
      </c>
      <c r="M866" s="13" t="str">
        <f>IF($A866="","",[1]!thsiFinD("ths_adjustment_nv_fund",M$3,$A866))</f>
        <v/>
      </c>
      <c r="N866" s="13" t="str">
        <f>IF($A866="","",[1]!thsiFinD("ths_adjustment_nv_fund",N$3,$A866))</f>
        <v/>
      </c>
      <c r="O866" s="13" t="str">
        <f>IF($A866="","",[1]!thsiFinD("ths_adjustment_nv_fund",O$3,$A866))</f>
        <v/>
      </c>
      <c r="P866" s="13" t="str">
        <f>IF($A866="","",[1]!thsiFinD("ths_adjustment_nv_fund",P$3,$A866))</f>
        <v/>
      </c>
      <c r="Q866" s="13" t="str">
        <f>IF($A866="","",[1]!thsiFinD("ths_adjustment_nv_fund",Q$3,$A866))</f>
        <v/>
      </c>
      <c r="R866" s="13" t="str">
        <f>IF($A866="","",[1]!thsiFinD("ths_adjustment_nv_fund",R$3,$A866))</f>
        <v/>
      </c>
      <c r="S866" s="13" t="str">
        <f>IF($A866="","",[1]!thsiFinD("ths_adjustment_nv_fund",S$3,$A866))</f>
        <v/>
      </c>
      <c r="T866" s="13" t="str">
        <f>IF($A866="","",[1]!thsiFinD("ths_adjustment_nv_fund",T$3,$A866))</f>
        <v/>
      </c>
      <c r="U866" s="13" t="str">
        <f>IF($A866="","",[1]!thsiFinD("ths_adjustment_nv_fund",U$3,$A866))</f>
        <v/>
      </c>
      <c r="V866" s="13" t="str">
        <f>IF($A866="","",[1]!thsiFinD("ths_adjustment_nv_fund",V$3,$A866))</f>
        <v/>
      </c>
      <c r="W866" s="13" t="str">
        <f>IF($A866="","",[1]!thsiFinD("ths_adjustment_nv_fund",W$3,$A866))</f>
        <v/>
      </c>
      <c r="X866" s="13" t="str">
        <f>IF($A866="","",[1]!thsiFinD("ths_adjustment_nv_fund",X$3,$A866))</f>
        <v/>
      </c>
      <c r="Y866" s="13" t="str">
        <f>IF($A866="","",[1]!thsiFinD("ths_adjustment_nv_fund",Y$3,$A866))</f>
        <v/>
      </c>
      <c r="Z866" s="13" t="str">
        <f>IF($A866="","",[1]!thsiFinD("ths_adjustment_nv_fund",Z$3,$A866))</f>
        <v/>
      </c>
      <c r="AA866" s="13" t="str">
        <f>IF($A866="","",[1]!thsiFinD("ths_adjustment_nv_fund",AA$3,$A866))</f>
        <v/>
      </c>
      <c r="AB866" s="13">
        <f>IF($A866="","",[1]!thsiFinD("ths_adjustment_nv_fund",AB$3,$A866))</f>
        <v/>
      </c>
      <c r="AC866" s="13">
        <f>IF($A866="","",[1]!thsiFinD("ths_adjustment_nv_fund",AC$3,$A866))</f>
        <v/>
      </c>
      <c r="AD866" s="13">
        <f>IF($A866="","",[1]!thsiFinD("ths_adjustment_nv_fund",AD$3,$A866))</f>
        <v/>
      </c>
      <c r="AE866" s="13">
        <f>IF($A866="","",[1]!thsiFinD("ths_adjustment_nv_fund",AE$3,$A866))</f>
        <v/>
      </c>
      <c r="AF866" s="13">
        <f>IF($A866="","",[1]!thsiFinD("ths_adjustment_nv_fund",AF$3,$A866))</f>
        <v/>
      </c>
      <c r="AG866" s="13">
        <f>IF($A866="","",[1]!thsiFinD("ths_adjustment_nv_fund",AG$3,$A866))</f>
        <v/>
      </c>
      <c r="AH866" s="13">
        <f>IF($A866="","",[1]!thsiFinD("ths_adjustment_nv_fund",AH$3,$A866))</f>
        <v/>
      </c>
      <c r="AI866" s="13">
        <f>IF($A866="","",[1]!thsiFinD("ths_adjustment_nv_fund",AI$3,$A866))</f>
        <v/>
      </c>
      <c r="AJ866" s="13">
        <f>IF($A866="","",[1]!thsiFinD("ths_adjustment_nv_fund",AJ$3,$A866))</f>
        <v/>
      </c>
      <c r="AK866" s="13">
        <f>IF($A866="","",[1]!thsiFinD("ths_adjustment_nv_fund",AK$3,$A866))</f>
        <v/>
      </c>
      <c r="AL866" s="13">
        <f>IF($A866="","",[1]!thsiFinD("ths_adjustment_nv_fund",AL$3,$A866))</f>
        <v/>
      </c>
    </row>
    <row r="867" spans="2:28">
      <c r="B867" s="13" t="str">
        <f>IF($A867="","",[1]!thsiFinD("ths_adjustment_nv_fund",B$3,$A867))</f>
        <v/>
      </c>
      <c r="C867" s="13" t="str">
        <f>IF($A867="","",[1]!thsiFinD("ths_adjustment_nv_fund",C$3,$A867))</f>
        <v/>
      </c>
      <c r="D867" s="13" t="str">
        <f>IF($A867="","",[1]!thsiFinD("ths_adjustment_nv_fund",D$3,$A867))</f>
        <v/>
      </c>
      <c r="E867" s="13" t="str">
        <f>IF($A867="","",[1]!thsiFinD("ths_adjustment_nv_fund",E$3,$A867))</f>
        <v/>
      </c>
      <c r="F867" s="13" t="str">
        <f>IF($A867="","",[1]!thsiFinD("ths_adjustment_nv_fund",F$3,$A867))</f>
        <v/>
      </c>
      <c r="G867" s="13" t="str">
        <f>IF($A867="","",[1]!thsiFinD("ths_adjustment_nv_fund",G$3,$A867))</f>
        <v/>
      </c>
      <c r="H867" s="13" t="str">
        <f>IF($A867="","",[1]!thsiFinD("ths_adjustment_nv_fund",H$3,$A867))</f>
        <v/>
      </c>
      <c r="I867" s="13" t="str">
        <f>IF($A867="","",[1]!thsiFinD("ths_adjustment_nv_fund",I$3,$A867))</f>
        <v/>
      </c>
      <c r="J867" s="13" t="str">
        <f>IF($A867="","",[1]!thsiFinD("ths_adjustment_nv_fund",J$3,$A867))</f>
        <v/>
      </c>
      <c r="K867" s="13" t="str">
        <f>IF($A867="","",[1]!thsiFinD("ths_adjustment_nv_fund",K$3,$A867))</f>
        <v/>
      </c>
      <c r="L867" s="13" t="str">
        <f>IF($A867="","",[1]!thsiFinD("ths_adjustment_nv_fund",L$3,$A867))</f>
        <v/>
      </c>
      <c r="M867" s="13" t="str">
        <f>IF($A867="","",[1]!thsiFinD("ths_adjustment_nv_fund",M$3,$A867))</f>
        <v/>
      </c>
      <c r="N867" s="13" t="str">
        <f>IF($A867="","",[1]!thsiFinD("ths_adjustment_nv_fund",N$3,$A867))</f>
        <v/>
      </c>
      <c r="O867" s="13" t="str">
        <f>IF($A867="","",[1]!thsiFinD("ths_adjustment_nv_fund",O$3,$A867))</f>
        <v/>
      </c>
      <c r="P867" s="13" t="str">
        <f>IF($A867="","",[1]!thsiFinD("ths_adjustment_nv_fund",P$3,$A867))</f>
        <v/>
      </c>
      <c r="Q867" s="13" t="str">
        <f>IF($A867="","",[1]!thsiFinD("ths_adjustment_nv_fund",Q$3,$A867))</f>
        <v/>
      </c>
      <c r="R867" s="13" t="str">
        <f>IF($A867="","",[1]!thsiFinD("ths_adjustment_nv_fund",R$3,$A867))</f>
        <v/>
      </c>
      <c r="S867" s="13" t="str">
        <f>IF($A867="","",[1]!thsiFinD("ths_adjustment_nv_fund",S$3,$A867))</f>
        <v/>
      </c>
      <c r="T867" s="13" t="str">
        <f>IF($A867="","",[1]!thsiFinD("ths_adjustment_nv_fund",T$3,$A867))</f>
        <v/>
      </c>
      <c r="U867" s="13" t="str">
        <f>IF($A867="","",[1]!thsiFinD("ths_adjustment_nv_fund",U$3,$A867))</f>
        <v/>
      </c>
      <c r="V867" s="13" t="str">
        <f>IF($A867="","",[1]!thsiFinD("ths_adjustment_nv_fund",V$3,$A867))</f>
        <v/>
      </c>
      <c r="W867" s="13" t="str">
        <f>IF($A867="","",[1]!thsiFinD("ths_adjustment_nv_fund",W$3,$A867))</f>
        <v/>
      </c>
      <c r="X867" s="13" t="str">
        <f>IF($A867="","",[1]!thsiFinD("ths_adjustment_nv_fund",X$3,$A867))</f>
        <v/>
      </c>
      <c r="Y867" s="13" t="str">
        <f>IF($A867="","",[1]!thsiFinD("ths_adjustment_nv_fund",Y$3,$A867))</f>
        <v/>
      </c>
      <c r="Z867" s="13" t="str">
        <f>IF($A867="","",[1]!thsiFinD("ths_adjustment_nv_fund",Z$3,$A867))</f>
        <v/>
      </c>
      <c r="AA867" s="13" t="str">
        <f>IF($A867="","",[1]!thsiFinD("ths_adjustment_nv_fund",AA$3,$A867))</f>
        <v/>
      </c>
      <c r="AB867" s="13">
        <f>IF($A867="","",[1]!thsiFinD("ths_adjustment_nv_fund",AB$3,$A867))</f>
        <v/>
      </c>
      <c r="AC867" s="13">
        <f>IF($A867="","",[1]!thsiFinD("ths_adjustment_nv_fund",AC$3,$A867))</f>
        <v/>
      </c>
      <c r="AD867" s="13">
        <f>IF($A867="","",[1]!thsiFinD("ths_adjustment_nv_fund",AD$3,$A867))</f>
        <v/>
      </c>
      <c r="AE867" s="13">
        <f>IF($A867="","",[1]!thsiFinD("ths_adjustment_nv_fund",AE$3,$A867))</f>
        <v/>
      </c>
      <c r="AF867" s="13">
        <f>IF($A867="","",[1]!thsiFinD("ths_adjustment_nv_fund",AF$3,$A867))</f>
        <v/>
      </c>
      <c r="AG867" s="13">
        <f>IF($A867="","",[1]!thsiFinD("ths_adjustment_nv_fund",AG$3,$A867))</f>
        <v/>
      </c>
      <c r="AH867" s="13">
        <f>IF($A867="","",[1]!thsiFinD("ths_adjustment_nv_fund",AH$3,$A867))</f>
        <v/>
      </c>
      <c r="AI867" s="13">
        <f>IF($A867="","",[1]!thsiFinD("ths_adjustment_nv_fund",AI$3,$A867))</f>
        <v/>
      </c>
      <c r="AJ867" s="13">
        <f>IF($A867="","",[1]!thsiFinD("ths_adjustment_nv_fund",AJ$3,$A867))</f>
        <v/>
      </c>
      <c r="AK867" s="13">
        <f>IF($A867="","",[1]!thsiFinD("ths_adjustment_nv_fund",AK$3,$A867))</f>
        <v/>
      </c>
      <c r="AL867" s="13">
        <f>IF($A867="","",[1]!thsiFinD("ths_adjustment_nv_fund",AL$3,$A867))</f>
        <v/>
      </c>
    </row>
    <row r="868" spans="2:28">
      <c r="B868" s="13" t="str">
        <f>IF($A868="","",[1]!thsiFinD("ths_adjustment_nv_fund",B$3,$A868))</f>
        <v/>
      </c>
      <c r="C868" s="13" t="str">
        <f>IF($A868="","",[1]!thsiFinD("ths_adjustment_nv_fund",C$3,$A868))</f>
        <v/>
      </c>
      <c r="D868" s="13" t="str">
        <f>IF($A868="","",[1]!thsiFinD("ths_adjustment_nv_fund",D$3,$A868))</f>
        <v/>
      </c>
      <c r="E868" s="13" t="str">
        <f>IF($A868="","",[1]!thsiFinD("ths_adjustment_nv_fund",E$3,$A868))</f>
        <v/>
      </c>
      <c r="F868" s="13" t="str">
        <f>IF($A868="","",[1]!thsiFinD("ths_adjustment_nv_fund",F$3,$A868))</f>
        <v/>
      </c>
      <c r="G868" s="13" t="str">
        <f>IF($A868="","",[1]!thsiFinD("ths_adjustment_nv_fund",G$3,$A868))</f>
        <v/>
      </c>
      <c r="H868" s="13" t="str">
        <f>IF($A868="","",[1]!thsiFinD("ths_adjustment_nv_fund",H$3,$A868))</f>
        <v/>
      </c>
      <c r="I868" s="13" t="str">
        <f>IF($A868="","",[1]!thsiFinD("ths_adjustment_nv_fund",I$3,$A868))</f>
        <v/>
      </c>
      <c r="J868" s="13" t="str">
        <f>IF($A868="","",[1]!thsiFinD("ths_adjustment_nv_fund",J$3,$A868))</f>
        <v/>
      </c>
      <c r="K868" s="13" t="str">
        <f>IF($A868="","",[1]!thsiFinD("ths_adjustment_nv_fund",K$3,$A868))</f>
        <v/>
      </c>
      <c r="L868" s="13" t="str">
        <f>IF($A868="","",[1]!thsiFinD("ths_adjustment_nv_fund",L$3,$A868))</f>
        <v/>
      </c>
      <c r="M868" s="13" t="str">
        <f>IF($A868="","",[1]!thsiFinD("ths_adjustment_nv_fund",M$3,$A868))</f>
        <v/>
      </c>
      <c r="N868" s="13" t="str">
        <f>IF($A868="","",[1]!thsiFinD("ths_adjustment_nv_fund",N$3,$A868))</f>
        <v/>
      </c>
      <c r="O868" s="13" t="str">
        <f>IF($A868="","",[1]!thsiFinD("ths_adjustment_nv_fund",O$3,$A868))</f>
        <v/>
      </c>
      <c r="P868" s="13" t="str">
        <f>IF($A868="","",[1]!thsiFinD("ths_adjustment_nv_fund",P$3,$A868))</f>
        <v/>
      </c>
      <c r="Q868" s="13" t="str">
        <f>IF($A868="","",[1]!thsiFinD("ths_adjustment_nv_fund",Q$3,$A868))</f>
        <v/>
      </c>
      <c r="R868" s="13" t="str">
        <f>IF($A868="","",[1]!thsiFinD("ths_adjustment_nv_fund",R$3,$A868))</f>
        <v/>
      </c>
      <c r="S868" s="13" t="str">
        <f>IF($A868="","",[1]!thsiFinD("ths_adjustment_nv_fund",S$3,$A868))</f>
        <v/>
      </c>
      <c r="T868" s="13" t="str">
        <f>IF($A868="","",[1]!thsiFinD("ths_adjustment_nv_fund",T$3,$A868))</f>
        <v/>
      </c>
      <c r="U868" s="13" t="str">
        <f>IF($A868="","",[1]!thsiFinD("ths_adjustment_nv_fund",U$3,$A868))</f>
        <v/>
      </c>
      <c r="V868" s="13" t="str">
        <f>IF($A868="","",[1]!thsiFinD("ths_adjustment_nv_fund",V$3,$A868))</f>
        <v/>
      </c>
      <c r="W868" s="13" t="str">
        <f>IF($A868="","",[1]!thsiFinD("ths_adjustment_nv_fund",W$3,$A868))</f>
        <v/>
      </c>
      <c r="X868" s="13" t="str">
        <f>IF($A868="","",[1]!thsiFinD("ths_adjustment_nv_fund",X$3,$A868))</f>
        <v/>
      </c>
      <c r="Y868" s="13" t="str">
        <f>IF($A868="","",[1]!thsiFinD("ths_adjustment_nv_fund",Y$3,$A868))</f>
        <v/>
      </c>
      <c r="Z868" s="13" t="str">
        <f>IF($A868="","",[1]!thsiFinD("ths_adjustment_nv_fund",Z$3,$A868))</f>
        <v/>
      </c>
      <c r="AA868" s="13" t="str">
        <f>IF($A868="","",[1]!thsiFinD("ths_adjustment_nv_fund",AA$3,$A868))</f>
        <v/>
      </c>
      <c r="AB868" s="13">
        <f>IF($A868="","",[1]!thsiFinD("ths_adjustment_nv_fund",AB$3,$A868))</f>
        <v/>
      </c>
      <c r="AC868" s="13">
        <f>IF($A868="","",[1]!thsiFinD("ths_adjustment_nv_fund",AC$3,$A868))</f>
        <v/>
      </c>
      <c r="AD868" s="13">
        <f>IF($A868="","",[1]!thsiFinD("ths_adjustment_nv_fund",AD$3,$A868))</f>
        <v/>
      </c>
      <c r="AE868" s="13">
        <f>IF($A868="","",[1]!thsiFinD("ths_adjustment_nv_fund",AE$3,$A868))</f>
        <v/>
      </c>
      <c r="AF868" s="13">
        <f>IF($A868="","",[1]!thsiFinD("ths_adjustment_nv_fund",AF$3,$A868))</f>
        <v/>
      </c>
      <c r="AG868" s="13">
        <f>IF($A868="","",[1]!thsiFinD("ths_adjustment_nv_fund",AG$3,$A868))</f>
        <v/>
      </c>
      <c r="AH868" s="13">
        <f>IF($A868="","",[1]!thsiFinD("ths_adjustment_nv_fund",AH$3,$A868))</f>
        <v/>
      </c>
      <c r="AI868" s="13">
        <f>IF($A868="","",[1]!thsiFinD("ths_adjustment_nv_fund",AI$3,$A868))</f>
        <v/>
      </c>
      <c r="AJ868" s="13">
        <f>IF($A868="","",[1]!thsiFinD("ths_adjustment_nv_fund",AJ$3,$A868))</f>
        <v/>
      </c>
      <c r="AK868" s="13">
        <f>IF($A868="","",[1]!thsiFinD("ths_adjustment_nv_fund",AK$3,$A868))</f>
        <v/>
      </c>
      <c r="AL868" s="13">
        <f>IF($A868="","",[1]!thsiFinD("ths_adjustment_nv_fund",AL$3,$A868))</f>
        <v/>
      </c>
    </row>
    <row r="869" spans="2:28">
      <c r="B869" s="13" t="str">
        <f>IF($A869="","",[1]!thsiFinD("ths_adjustment_nv_fund",B$3,$A869))</f>
        <v/>
      </c>
      <c r="C869" s="13" t="str">
        <f>IF($A869="","",[1]!thsiFinD("ths_adjustment_nv_fund",C$3,$A869))</f>
        <v/>
      </c>
      <c r="D869" s="13" t="str">
        <f>IF($A869="","",[1]!thsiFinD("ths_adjustment_nv_fund",D$3,$A869))</f>
        <v/>
      </c>
      <c r="E869" s="13" t="str">
        <f>IF($A869="","",[1]!thsiFinD("ths_adjustment_nv_fund",E$3,$A869))</f>
        <v/>
      </c>
      <c r="F869" s="13" t="str">
        <f>IF($A869="","",[1]!thsiFinD("ths_adjustment_nv_fund",F$3,$A869))</f>
        <v/>
      </c>
      <c r="G869" s="13" t="str">
        <f>IF($A869="","",[1]!thsiFinD("ths_adjustment_nv_fund",G$3,$A869))</f>
        <v/>
      </c>
      <c r="H869" s="13" t="str">
        <f>IF($A869="","",[1]!thsiFinD("ths_adjustment_nv_fund",H$3,$A869))</f>
        <v/>
      </c>
      <c r="I869" s="13" t="str">
        <f>IF($A869="","",[1]!thsiFinD("ths_adjustment_nv_fund",I$3,$A869))</f>
        <v/>
      </c>
      <c r="J869" s="13" t="str">
        <f>IF($A869="","",[1]!thsiFinD("ths_adjustment_nv_fund",J$3,$A869))</f>
        <v/>
      </c>
      <c r="K869" s="13" t="str">
        <f>IF($A869="","",[1]!thsiFinD("ths_adjustment_nv_fund",K$3,$A869))</f>
        <v/>
      </c>
      <c r="L869" s="13" t="str">
        <f>IF($A869="","",[1]!thsiFinD("ths_adjustment_nv_fund",L$3,$A869))</f>
        <v/>
      </c>
      <c r="M869" s="13" t="str">
        <f>IF($A869="","",[1]!thsiFinD("ths_adjustment_nv_fund",M$3,$A869))</f>
        <v/>
      </c>
      <c r="N869" s="13" t="str">
        <f>IF($A869="","",[1]!thsiFinD("ths_adjustment_nv_fund",N$3,$A869))</f>
        <v/>
      </c>
      <c r="O869" s="13" t="str">
        <f>IF($A869="","",[1]!thsiFinD("ths_adjustment_nv_fund",O$3,$A869))</f>
        <v/>
      </c>
      <c r="P869" s="13" t="str">
        <f>IF($A869="","",[1]!thsiFinD("ths_adjustment_nv_fund",P$3,$A869))</f>
        <v/>
      </c>
      <c r="Q869" s="13" t="str">
        <f>IF($A869="","",[1]!thsiFinD("ths_adjustment_nv_fund",Q$3,$A869))</f>
        <v/>
      </c>
      <c r="R869" s="13" t="str">
        <f>IF($A869="","",[1]!thsiFinD("ths_adjustment_nv_fund",R$3,$A869))</f>
        <v/>
      </c>
      <c r="S869" s="13" t="str">
        <f>IF($A869="","",[1]!thsiFinD("ths_adjustment_nv_fund",S$3,$A869))</f>
        <v/>
      </c>
      <c r="T869" s="13" t="str">
        <f>IF($A869="","",[1]!thsiFinD("ths_adjustment_nv_fund",T$3,$A869))</f>
        <v/>
      </c>
      <c r="U869" s="13" t="str">
        <f>IF($A869="","",[1]!thsiFinD("ths_adjustment_nv_fund",U$3,$A869))</f>
        <v/>
      </c>
      <c r="V869" s="13" t="str">
        <f>IF($A869="","",[1]!thsiFinD("ths_adjustment_nv_fund",V$3,$A869))</f>
        <v/>
      </c>
      <c r="W869" s="13" t="str">
        <f>IF($A869="","",[1]!thsiFinD("ths_adjustment_nv_fund",W$3,$A869))</f>
        <v/>
      </c>
      <c r="X869" s="13" t="str">
        <f>IF($A869="","",[1]!thsiFinD("ths_adjustment_nv_fund",X$3,$A869))</f>
        <v/>
      </c>
      <c r="Y869" s="13" t="str">
        <f>IF($A869="","",[1]!thsiFinD("ths_adjustment_nv_fund",Y$3,$A869))</f>
        <v/>
      </c>
      <c r="Z869" s="13" t="str">
        <f>IF($A869="","",[1]!thsiFinD("ths_adjustment_nv_fund",Z$3,$A869))</f>
        <v/>
      </c>
      <c r="AA869" s="13" t="str">
        <f>IF($A869="","",[1]!thsiFinD("ths_adjustment_nv_fund",AA$3,$A869))</f>
        <v/>
      </c>
      <c r="AB869" s="13">
        <f>IF($A869="","",[1]!thsiFinD("ths_adjustment_nv_fund",AB$3,$A869))</f>
        <v/>
      </c>
      <c r="AC869" s="13">
        <f>IF($A869="","",[1]!thsiFinD("ths_adjustment_nv_fund",AC$3,$A869))</f>
        <v/>
      </c>
      <c r="AD869" s="13">
        <f>IF($A869="","",[1]!thsiFinD("ths_adjustment_nv_fund",AD$3,$A869))</f>
        <v/>
      </c>
      <c r="AE869" s="13">
        <f>IF($A869="","",[1]!thsiFinD("ths_adjustment_nv_fund",AE$3,$A869))</f>
        <v/>
      </c>
      <c r="AF869" s="13">
        <f>IF($A869="","",[1]!thsiFinD("ths_adjustment_nv_fund",AF$3,$A869))</f>
        <v/>
      </c>
      <c r="AG869" s="13">
        <f>IF($A869="","",[1]!thsiFinD("ths_adjustment_nv_fund",AG$3,$A869))</f>
        <v/>
      </c>
      <c r="AH869" s="13">
        <f>IF($A869="","",[1]!thsiFinD("ths_adjustment_nv_fund",AH$3,$A869))</f>
        <v/>
      </c>
      <c r="AI869" s="13">
        <f>IF($A869="","",[1]!thsiFinD("ths_adjustment_nv_fund",AI$3,$A869))</f>
        <v/>
      </c>
      <c r="AJ869" s="13">
        <f>IF($A869="","",[1]!thsiFinD("ths_adjustment_nv_fund",AJ$3,$A869))</f>
        <v/>
      </c>
      <c r="AK869" s="13">
        <f>IF($A869="","",[1]!thsiFinD("ths_adjustment_nv_fund",AK$3,$A869))</f>
        <v/>
      </c>
      <c r="AL869" s="13">
        <f>IF($A869="","",[1]!thsiFinD("ths_adjustment_nv_fund",AL$3,$A869))</f>
        <v/>
      </c>
    </row>
    <row r="870" spans="2:28">
      <c r="B870" s="13" t="str">
        <f>IF($A870="","",[1]!thsiFinD("ths_adjustment_nv_fund",B$3,$A870))</f>
        <v/>
      </c>
      <c r="C870" s="13" t="str">
        <f>IF($A870="","",[1]!thsiFinD("ths_adjustment_nv_fund",C$3,$A870))</f>
        <v/>
      </c>
      <c r="D870" s="13" t="str">
        <f>IF($A870="","",[1]!thsiFinD("ths_adjustment_nv_fund",D$3,$A870))</f>
        <v/>
      </c>
      <c r="E870" s="13" t="str">
        <f>IF($A870="","",[1]!thsiFinD("ths_adjustment_nv_fund",E$3,$A870))</f>
        <v/>
      </c>
      <c r="F870" s="13" t="str">
        <f>IF($A870="","",[1]!thsiFinD("ths_adjustment_nv_fund",F$3,$A870))</f>
        <v/>
      </c>
      <c r="G870" s="13" t="str">
        <f>IF($A870="","",[1]!thsiFinD("ths_adjustment_nv_fund",G$3,$A870))</f>
        <v/>
      </c>
      <c r="H870" s="13" t="str">
        <f>IF($A870="","",[1]!thsiFinD("ths_adjustment_nv_fund",H$3,$A870))</f>
        <v/>
      </c>
      <c r="I870" s="13" t="str">
        <f>IF($A870="","",[1]!thsiFinD("ths_adjustment_nv_fund",I$3,$A870))</f>
        <v/>
      </c>
      <c r="J870" s="13" t="str">
        <f>IF($A870="","",[1]!thsiFinD("ths_adjustment_nv_fund",J$3,$A870))</f>
        <v/>
      </c>
      <c r="K870" s="13" t="str">
        <f>IF($A870="","",[1]!thsiFinD("ths_adjustment_nv_fund",K$3,$A870))</f>
        <v/>
      </c>
      <c r="L870" s="13" t="str">
        <f>IF($A870="","",[1]!thsiFinD("ths_adjustment_nv_fund",L$3,$A870))</f>
        <v/>
      </c>
      <c r="M870" s="13" t="str">
        <f>IF($A870="","",[1]!thsiFinD("ths_adjustment_nv_fund",M$3,$A870))</f>
        <v/>
      </c>
      <c r="N870" s="13" t="str">
        <f>IF($A870="","",[1]!thsiFinD("ths_adjustment_nv_fund",N$3,$A870))</f>
        <v/>
      </c>
      <c r="O870" s="13" t="str">
        <f>IF($A870="","",[1]!thsiFinD("ths_adjustment_nv_fund",O$3,$A870))</f>
        <v/>
      </c>
      <c r="P870" s="13" t="str">
        <f>IF($A870="","",[1]!thsiFinD("ths_adjustment_nv_fund",P$3,$A870))</f>
        <v/>
      </c>
      <c r="Q870" s="13" t="str">
        <f>IF($A870="","",[1]!thsiFinD("ths_adjustment_nv_fund",Q$3,$A870))</f>
        <v/>
      </c>
      <c r="R870" s="13" t="str">
        <f>IF($A870="","",[1]!thsiFinD("ths_adjustment_nv_fund",R$3,$A870))</f>
        <v/>
      </c>
      <c r="S870" s="13" t="str">
        <f>IF($A870="","",[1]!thsiFinD("ths_adjustment_nv_fund",S$3,$A870))</f>
        <v/>
      </c>
      <c r="T870" s="13" t="str">
        <f>IF($A870="","",[1]!thsiFinD("ths_adjustment_nv_fund",T$3,$A870))</f>
        <v/>
      </c>
      <c r="U870" s="13" t="str">
        <f>IF($A870="","",[1]!thsiFinD("ths_adjustment_nv_fund",U$3,$A870))</f>
        <v/>
      </c>
      <c r="V870" s="13" t="str">
        <f>IF($A870="","",[1]!thsiFinD("ths_adjustment_nv_fund",V$3,$A870))</f>
        <v/>
      </c>
      <c r="W870" s="13" t="str">
        <f>IF($A870="","",[1]!thsiFinD("ths_adjustment_nv_fund",W$3,$A870))</f>
        <v/>
      </c>
      <c r="X870" s="13" t="str">
        <f>IF($A870="","",[1]!thsiFinD("ths_adjustment_nv_fund",X$3,$A870))</f>
        <v/>
      </c>
      <c r="Y870" s="13" t="str">
        <f>IF($A870="","",[1]!thsiFinD("ths_adjustment_nv_fund",Y$3,$A870))</f>
        <v/>
      </c>
      <c r="Z870" s="13" t="str">
        <f>IF($A870="","",[1]!thsiFinD("ths_adjustment_nv_fund",Z$3,$A870))</f>
        <v/>
      </c>
      <c r="AA870" s="13" t="str">
        <f>IF($A870="","",[1]!thsiFinD("ths_adjustment_nv_fund",AA$3,$A870))</f>
        <v/>
      </c>
      <c r="AB870" s="13">
        <f>IF($A870="","",[1]!thsiFinD("ths_adjustment_nv_fund",AB$3,$A870))</f>
        <v/>
      </c>
      <c r="AC870" s="13">
        <f>IF($A870="","",[1]!thsiFinD("ths_adjustment_nv_fund",AC$3,$A870))</f>
        <v/>
      </c>
      <c r="AD870" s="13">
        <f>IF($A870="","",[1]!thsiFinD("ths_adjustment_nv_fund",AD$3,$A870))</f>
        <v/>
      </c>
      <c r="AE870" s="13">
        <f>IF($A870="","",[1]!thsiFinD("ths_adjustment_nv_fund",AE$3,$A870))</f>
        <v/>
      </c>
      <c r="AF870" s="13">
        <f>IF($A870="","",[1]!thsiFinD("ths_adjustment_nv_fund",AF$3,$A870))</f>
        <v/>
      </c>
      <c r="AG870" s="13">
        <f>IF($A870="","",[1]!thsiFinD("ths_adjustment_nv_fund",AG$3,$A870))</f>
        <v/>
      </c>
      <c r="AH870" s="13">
        <f>IF($A870="","",[1]!thsiFinD("ths_adjustment_nv_fund",AH$3,$A870))</f>
        <v/>
      </c>
      <c r="AI870" s="13">
        <f>IF($A870="","",[1]!thsiFinD("ths_adjustment_nv_fund",AI$3,$A870))</f>
        <v/>
      </c>
      <c r="AJ870" s="13">
        <f>IF($A870="","",[1]!thsiFinD("ths_adjustment_nv_fund",AJ$3,$A870))</f>
        <v/>
      </c>
      <c r="AK870" s="13">
        <f>IF($A870="","",[1]!thsiFinD("ths_adjustment_nv_fund",AK$3,$A870))</f>
        <v/>
      </c>
      <c r="AL870" s="13">
        <f>IF($A870="","",[1]!thsiFinD("ths_adjustment_nv_fund",AL$3,$A870))</f>
        <v/>
      </c>
    </row>
    <row r="871" spans="2:28">
      <c r="B871" s="13" t="str">
        <f>IF($A871="","",[1]!thsiFinD("ths_adjustment_nv_fund",B$3,$A871))</f>
        <v/>
      </c>
      <c r="C871" s="13" t="str">
        <f>IF($A871="","",[1]!thsiFinD("ths_adjustment_nv_fund",C$3,$A871))</f>
        <v/>
      </c>
      <c r="D871" s="13" t="str">
        <f>IF($A871="","",[1]!thsiFinD("ths_adjustment_nv_fund",D$3,$A871))</f>
        <v/>
      </c>
      <c r="E871" s="13" t="str">
        <f>IF($A871="","",[1]!thsiFinD("ths_adjustment_nv_fund",E$3,$A871))</f>
        <v/>
      </c>
      <c r="F871" s="13" t="str">
        <f>IF($A871="","",[1]!thsiFinD("ths_adjustment_nv_fund",F$3,$A871))</f>
        <v/>
      </c>
      <c r="G871" s="13" t="str">
        <f>IF($A871="","",[1]!thsiFinD("ths_adjustment_nv_fund",G$3,$A871))</f>
        <v/>
      </c>
      <c r="H871" s="13" t="str">
        <f>IF($A871="","",[1]!thsiFinD("ths_adjustment_nv_fund",H$3,$A871))</f>
        <v/>
      </c>
      <c r="I871" s="13" t="str">
        <f>IF($A871="","",[1]!thsiFinD("ths_adjustment_nv_fund",I$3,$A871))</f>
        <v/>
      </c>
      <c r="J871" s="13" t="str">
        <f>IF($A871="","",[1]!thsiFinD("ths_adjustment_nv_fund",J$3,$A871))</f>
        <v/>
      </c>
      <c r="K871" s="13" t="str">
        <f>IF($A871="","",[1]!thsiFinD("ths_adjustment_nv_fund",K$3,$A871))</f>
        <v/>
      </c>
      <c r="L871" s="13" t="str">
        <f>IF($A871="","",[1]!thsiFinD("ths_adjustment_nv_fund",L$3,$A871))</f>
        <v/>
      </c>
      <c r="M871" s="13" t="str">
        <f>IF($A871="","",[1]!thsiFinD("ths_adjustment_nv_fund",M$3,$A871))</f>
        <v/>
      </c>
      <c r="N871" s="13" t="str">
        <f>IF($A871="","",[1]!thsiFinD("ths_adjustment_nv_fund",N$3,$A871))</f>
        <v/>
      </c>
      <c r="O871" s="13" t="str">
        <f>IF($A871="","",[1]!thsiFinD("ths_adjustment_nv_fund",O$3,$A871))</f>
        <v/>
      </c>
      <c r="P871" s="13" t="str">
        <f>IF($A871="","",[1]!thsiFinD("ths_adjustment_nv_fund",P$3,$A871))</f>
        <v/>
      </c>
      <c r="Q871" s="13" t="str">
        <f>IF($A871="","",[1]!thsiFinD("ths_adjustment_nv_fund",Q$3,$A871))</f>
        <v/>
      </c>
      <c r="R871" s="13" t="str">
        <f>IF($A871="","",[1]!thsiFinD("ths_adjustment_nv_fund",R$3,$A871))</f>
        <v/>
      </c>
      <c r="S871" s="13" t="str">
        <f>IF($A871="","",[1]!thsiFinD("ths_adjustment_nv_fund",S$3,$A871))</f>
        <v/>
      </c>
      <c r="T871" s="13" t="str">
        <f>IF($A871="","",[1]!thsiFinD("ths_adjustment_nv_fund",T$3,$A871))</f>
        <v/>
      </c>
      <c r="U871" s="13" t="str">
        <f>IF($A871="","",[1]!thsiFinD("ths_adjustment_nv_fund",U$3,$A871))</f>
        <v/>
      </c>
      <c r="V871" s="13" t="str">
        <f>IF($A871="","",[1]!thsiFinD("ths_adjustment_nv_fund",V$3,$A871))</f>
        <v/>
      </c>
      <c r="W871" s="13" t="str">
        <f>IF($A871="","",[1]!thsiFinD("ths_adjustment_nv_fund",W$3,$A871))</f>
        <v/>
      </c>
      <c r="X871" s="13" t="str">
        <f>IF($A871="","",[1]!thsiFinD("ths_adjustment_nv_fund",X$3,$A871))</f>
        <v/>
      </c>
      <c r="Y871" s="13" t="str">
        <f>IF($A871="","",[1]!thsiFinD("ths_adjustment_nv_fund",Y$3,$A871))</f>
        <v/>
      </c>
      <c r="Z871" s="13" t="str">
        <f>IF($A871="","",[1]!thsiFinD("ths_adjustment_nv_fund",Z$3,$A871))</f>
        <v/>
      </c>
      <c r="AA871" s="13" t="str">
        <f>IF($A871="","",[1]!thsiFinD("ths_adjustment_nv_fund",AA$3,$A871))</f>
        <v/>
      </c>
      <c r="AB871" s="13">
        <f>IF($A871="","",[1]!thsiFinD("ths_adjustment_nv_fund",AB$3,$A871))</f>
        <v/>
      </c>
      <c r="AC871" s="13">
        <f>IF($A871="","",[1]!thsiFinD("ths_adjustment_nv_fund",AC$3,$A871))</f>
        <v/>
      </c>
      <c r="AD871" s="13">
        <f>IF($A871="","",[1]!thsiFinD("ths_adjustment_nv_fund",AD$3,$A871))</f>
        <v/>
      </c>
      <c r="AE871" s="13">
        <f>IF($A871="","",[1]!thsiFinD("ths_adjustment_nv_fund",AE$3,$A871))</f>
        <v/>
      </c>
      <c r="AF871" s="13">
        <f>IF($A871="","",[1]!thsiFinD("ths_adjustment_nv_fund",AF$3,$A871))</f>
        <v/>
      </c>
      <c r="AG871" s="13">
        <f>IF($A871="","",[1]!thsiFinD("ths_adjustment_nv_fund",AG$3,$A871))</f>
        <v/>
      </c>
      <c r="AH871" s="13">
        <f>IF($A871="","",[1]!thsiFinD("ths_adjustment_nv_fund",AH$3,$A871))</f>
        <v/>
      </c>
      <c r="AI871" s="13">
        <f>IF($A871="","",[1]!thsiFinD("ths_adjustment_nv_fund",AI$3,$A871))</f>
        <v/>
      </c>
      <c r="AJ871" s="13">
        <f>IF($A871="","",[1]!thsiFinD("ths_adjustment_nv_fund",AJ$3,$A871))</f>
        <v/>
      </c>
      <c r="AK871" s="13">
        <f>IF($A871="","",[1]!thsiFinD("ths_adjustment_nv_fund",AK$3,$A871))</f>
        <v/>
      </c>
      <c r="AL871" s="13">
        <f>IF($A871="","",[1]!thsiFinD("ths_adjustment_nv_fund",AL$3,$A871))</f>
        <v/>
      </c>
    </row>
    <row r="872" spans="2:28">
      <c r="B872" s="13" t="str">
        <f>IF($A872="","",[1]!thsiFinD("ths_adjustment_nv_fund",B$3,$A872))</f>
        <v/>
      </c>
      <c r="C872" s="13" t="str">
        <f>IF($A872="","",[1]!thsiFinD("ths_adjustment_nv_fund",C$3,$A872))</f>
        <v/>
      </c>
      <c r="D872" s="13" t="str">
        <f>IF($A872="","",[1]!thsiFinD("ths_adjustment_nv_fund",D$3,$A872))</f>
        <v/>
      </c>
      <c r="E872" s="13" t="str">
        <f>IF($A872="","",[1]!thsiFinD("ths_adjustment_nv_fund",E$3,$A872))</f>
        <v/>
      </c>
      <c r="F872" s="13" t="str">
        <f>IF($A872="","",[1]!thsiFinD("ths_adjustment_nv_fund",F$3,$A872))</f>
        <v/>
      </c>
      <c r="G872" s="13" t="str">
        <f>IF($A872="","",[1]!thsiFinD("ths_adjustment_nv_fund",G$3,$A872))</f>
        <v/>
      </c>
      <c r="H872" s="13" t="str">
        <f>IF($A872="","",[1]!thsiFinD("ths_adjustment_nv_fund",H$3,$A872))</f>
        <v/>
      </c>
      <c r="I872" s="13" t="str">
        <f>IF($A872="","",[1]!thsiFinD("ths_adjustment_nv_fund",I$3,$A872))</f>
        <v/>
      </c>
      <c r="J872" s="13" t="str">
        <f>IF($A872="","",[1]!thsiFinD("ths_adjustment_nv_fund",J$3,$A872))</f>
        <v/>
      </c>
      <c r="K872" s="13" t="str">
        <f>IF($A872="","",[1]!thsiFinD("ths_adjustment_nv_fund",K$3,$A872))</f>
        <v/>
      </c>
      <c r="L872" s="13" t="str">
        <f>IF($A872="","",[1]!thsiFinD("ths_adjustment_nv_fund",L$3,$A872))</f>
        <v/>
      </c>
      <c r="M872" s="13" t="str">
        <f>IF($A872="","",[1]!thsiFinD("ths_adjustment_nv_fund",M$3,$A872))</f>
        <v/>
      </c>
      <c r="N872" s="13" t="str">
        <f>IF($A872="","",[1]!thsiFinD("ths_adjustment_nv_fund",N$3,$A872))</f>
        <v/>
      </c>
      <c r="O872" s="13" t="str">
        <f>IF($A872="","",[1]!thsiFinD("ths_adjustment_nv_fund",O$3,$A872))</f>
        <v/>
      </c>
      <c r="P872" s="13" t="str">
        <f>IF($A872="","",[1]!thsiFinD("ths_adjustment_nv_fund",P$3,$A872))</f>
        <v/>
      </c>
      <c r="Q872" s="13" t="str">
        <f>IF($A872="","",[1]!thsiFinD("ths_adjustment_nv_fund",Q$3,$A872))</f>
        <v/>
      </c>
      <c r="R872" s="13" t="str">
        <f>IF($A872="","",[1]!thsiFinD("ths_adjustment_nv_fund",R$3,$A872))</f>
        <v/>
      </c>
      <c r="S872" s="13" t="str">
        <f>IF($A872="","",[1]!thsiFinD("ths_adjustment_nv_fund",S$3,$A872))</f>
        <v/>
      </c>
      <c r="T872" s="13" t="str">
        <f>IF($A872="","",[1]!thsiFinD("ths_adjustment_nv_fund",T$3,$A872))</f>
        <v/>
      </c>
      <c r="U872" s="13" t="str">
        <f>IF($A872="","",[1]!thsiFinD("ths_adjustment_nv_fund",U$3,$A872))</f>
        <v/>
      </c>
      <c r="V872" s="13" t="str">
        <f>IF($A872="","",[1]!thsiFinD("ths_adjustment_nv_fund",V$3,$A872))</f>
        <v/>
      </c>
      <c r="W872" s="13" t="str">
        <f>IF($A872="","",[1]!thsiFinD("ths_adjustment_nv_fund",W$3,$A872))</f>
        <v/>
      </c>
      <c r="X872" s="13" t="str">
        <f>IF($A872="","",[1]!thsiFinD("ths_adjustment_nv_fund",X$3,$A872))</f>
        <v/>
      </c>
      <c r="Y872" s="13" t="str">
        <f>IF($A872="","",[1]!thsiFinD("ths_adjustment_nv_fund",Y$3,$A872))</f>
        <v/>
      </c>
      <c r="Z872" s="13" t="str">
        <f>IF($A872="","",[1]!thsiFinD("ths_adjustment_nv_fund",Z$3,$A872))</f>
        <v/>
      </c>
      <c r="AA872" s="13" t="str">
        <f>IF($A872="","",[1]!thsiFinD("ths_adjustment_nv_fund",AA$3,$A872))</f>
        <v/>
      </c>
      <c r="AB872" s="13">
        <f>IF($A872="","",[1]!thsiFinD("ths_adjustment_nv_fund",AB$3,$A872))</f>
        <v/>
      </c>
      <c r="AC872" s="13">
        <f>IF($A872="","",[1]!thsiFinD("ths_adjustment_nv_fund",AC$3,$A872))</f>
        <v/>
      </c>
      <c r="AD872" s="13">
        <f>IF($A872="","",[1]!thsiFinD("ths_adjustment_nv_fund",AD$3,$A872))</f>
        <v/>
      </c>
      <c r="AE872" s="13">
        <f>IF($A872="","",[1]!thsiFinD("ths_adjustment_nv_fund",AE$3,$A872))</f>
        <v/>
      </c>
      <c r="AF872" s="13">
        <f>IF($A872="","",[1]!thsiFinD("ths_adjustment_nv_fund",AF$3,$A872))</f>
        <v/>
      </c>
      <c r="AG872" s="13">
        <f>IF($A872="","",[1]!thsiFinD("ths_adjustment_nv_fund",AG$3,$A872))</f>
        <v/>
      </c>
      <c r="AH872" s="13">
        <f>IF($A872="","",[1]!thsiFinD("ths_adjustment_nv_fund",AH$3,$A872))</f>
        <v/>
      </c>
      <c r="AI872" s="13">
        <f>IF($A872="","",[1]!thsiFinD("ths_adjustment_nv_fund",AI$3,$A872))</f>
        <v/>
      </c>
      <c r="AJ872" s="13">
        <f>IF($A872="","",[1]!thsiFinD("ths_adjustment_nv_fund",AJ$3,$A872))</f>
        <v/>
      </c>
      <c r="AK872" s="13">
        <f>IF($A872="","",[1]!thsiFinD("ths_adjustment_nv_fund",AK$3,$A872))</f>
        <v/>
      </c>
      <c r="AL872" s="13">
        <f>IF($A872="","",[1]!thsiFinD("ths_adjustment_nv_fund",AL$3,$A872))</f>
        <v/>
      </c>
    </row>
    <row r="873" spans="2:28">
      <c r="B873" s="13" t="str">
        <f>IF($A873="","",[1]!thsiFinD("ths_adjustment_nv_fund",B$3,$A873))</f>
        <v/>
      </c>
      <c r="C873" s="13" t="str">
        <f>IF($A873="","",[1]!thsiFinD("ths_adjustment_nv_fund",C$3,$A873))</f>
        <v/>
      </c>
      <c r="D873" s="13" t="str">
        <f>IF($A873="","",[1]!thsiFinD("ths_adjustment_nv_fund",D$3,$A873))</f>
        <v/>
      </c>
      <c r="E873" s="13" t="str">
        <f>IF($A873="","",[1]!thsiFinD("ths_adjustment_nv_fund",E$3,$A873))</f>
        <v/>
      </c>
      <c r="F873" s="13" t="str">
        <f>IF($A873="","",[1]!thsiFinD("ths_adjustment_nv_fund",F$3,$A873))</f>
        <v/>
      </c>
      <c r="G873" s="13" t="str">
        <f>IF($A873="","",[1]!thsiFinD("ths_adjustment_nv_fund",G$3,$A873))</f>
        <v/>
      </c>
      <c r="H873" s="13" t="str">
        <f>IF($A873="","",[1]!thsiFinD("ths_adjustment_nv_fund",H$3,$A873))</f>
        <v/>
      </c>
      <c r="I873" s="13" t="str">
        <f>IF($A873="","",[1]!thsiFinD("ths_adjustment_nv_fund",I$3,$A873))</f>
        <v/>
      </c>
      <c r="J873" s="13" t="str">
        <f>IF($A873="","",[1]!thsiFinD("ths_adjustment_nv_fund",J$3,$A873))</f>
        <v/>
      </c>
      <c r="K873" s="13" t="str">
        <f>IF($A873="","",[1]!thsiFinD("ths_adjustment_nv_fund",K$3,$A873))</f>
        <v/>
      </c>
      <c r="L873" s="13" t="str">
        <f>IF($A873="","",[1]!thsiFinD("ths_adjustment_nv_fund",L$3,$A873))</f>
        <v/>
      </c>
      <c r="M873" s="13" t="str">
        <f>IF($A873="","",[1]!thsiFinD("ths_adjustment_nv_fund",M$3,$A873))</f>
        <v/>
      </c>
      <c r="N873" s="13" t="str">
        <f>IF($A873="","",[1]!thsiFinD("ths_adjustment_nv_fund",N$3,$A873))</f>
        <v/>
      </c>
      <c r="O873" s="13" t="str">
        <f>IF($A873="","",[1]!thsiFinD("ths_adjustment_nv_fund",O$3,$A873))</f>
        <v/>
      </c>
      <c r="P873" s="13" t="str">
        <f>IF($A873="","",[1]!thsiFinD("ths_adjustment_nv_fund",P$3,$A873))</f>
        <v/>
      </c>
      <c r="Q873" s="13" t="str">
        <f>IF($A873="","",[1]!thsiFinD("ths_adjustment_nv_fund",Q$3,$A873))</f>
        <v/>
      </c>
      <c r="R873" s="13" t="str">
        <f>IF($A873="","",[1]!thsiFinD("ths_adjustment_nv_fund",R$3,$A873))</f>
        <v/>
      </c>
      <c r="S873" s="13" t="str">
        <f>IF($A873="","",[1]!thsiFinD("ths_adjustment_nv_fund",S$3,$A873))</f>
        <v/>
      </c>
      <c r="T873" s="13" t="str">
        <f>IF($A873="","",[1]!thsiFinD("ths_adjustment_nv_fund",T$3,$A873))</f>
        <v/>
      </c>
      <c r="U873" s="13" t="str">
        <f>IF($A873="","",[1]!thsiFinD("ths_adjustment_nv_fund",U$3,$A873))</f>
        <v/>
      </c>
      <c r="V873" s="13" t="str">
        <f>IF($A873="","",[1]!thsiFinD("ths_adjustment_nv_fund",V$3,$A873))</f>
        <v/>
      </c>
      <c r="W873" s="13" t="str">
        <f>IF($A873="","",[1]!thsiFinD("ths_adjustment_nv_fund",W$3,$A873))</f>
        <v/>
      </c>
      <c r="X873" s="13" t="str">
        <f>IF($A873="","",[1]!thsiFinD("ths_adjustment_nv_fund",X$3,$A873))</f>
        <v/>
      </c>
      <c r="Y873" s="13" t="str">
        <f>IF($A873="","",[1]!thsiFinD("ths_adjustment_nv_fund",Y$3,$A873))</f>
        <v/>
      </c>
      <c r="Z873" s="13" t="str">
        <f>IF($A873="","",[1]!thsiFinD("ths_adjustment_nv_fund",Z$3,$A873))</f>
        <v/>
      </c>
      <c r="AA873" s="13" t="str">
        <f>IF($A873="","",[1]!thsiFinD("ths_adjustment_nv_fund",AA$3,$A873))</f>
        <v/>
      </c>
      <c r="AB873" s="13">
        <f>IF($A873="","",[1]!thsiFinD("ths_adjustment_nv_fund",AB$3,$A873))</f>
        <v/>
      </c>
      <c r="AC873" s="13">
        <f>IF($A873="","",[1]!thsiFinD("ths_adjustment_nv_fund",AC$3,$A873))</f>
        <v/>
      </c>
      <c r="AD873" s="13">
        <f>IF($A873="","",[1]!thsiFinD("ths_adjustment_nv_fund",AD$3,$A873))</f>
        <v/>
      </c>
      <c r="AE873" s="13">
        <f>IF($A873="","",[1]!thsiFinD("ths_adjustment_nv_fund",AE$3,$A873))</f>
        <v/>
      </c>
      <c r="AF873" s="13">
        <f>IF($A873="","",[1]!thsiFinD("ths_adjustment_nv_fund",AF$3,$A873))</f>
        <v/>
      </c>
      <c r="AG873" s="13">
        <f>IF($A873="","",[1]!thsiFinD("ths_adjustment_nv_fund",AG$3,$A873))</f>
        <v/>
      </c>
      <c r="AH873" s="13">
        <f>IF($A873="","",[1]!thsiFinD("ths_adjustment_nv_fund",AH$3,$A873))</f>
        <v/>
      </c>
      <c r="AI873" s="13">
        <f>IF($A873="","",[1]!thsiFinD("ths_adjustment_nv_fund",AI$3,$A873))</f>
        <v/>
      </c>
      <c r="AJ873" s="13">
        <f>IF($A873="","",[1]!thsiFinD("ths_adjustment_nv_fund",AJ$3,$A873))</f>
        <v/>
      </c>
      <c r="AK873" s="13">
        <f>IF($A873="","",[1]!thsiFinD("ths_adjustment_nv_fund",AK$3,$A873))</f>
        <v/>
      </c>
      <c r="AL873" s="13">
        <f>IF($A873="","",[1]!thsiFinD("ths_adjustment_nv_fund",AL$3,$A873))</f>
        <v/>
      </c>
    </row>
    <row r="874" spans="2:28">
      <c r="B874" s="13" t="str">
        <f>IF($A874="","",[1]!thsiFinD("ths_adjustment_nv_fund",B$3,$A874))</f>
        <v/>
      </c>
      <c r="C874" s="13" t="str">
        <f>IF($A874="","",[1]!thsiFinD("ths_adjustment_nv_fund",C$3,$A874))</f>
        <v/>
      </c>
      <c r="D874" s="13" t="str">
        <f>IF($A874="","",[1]!thsiFinD("ths_adjustment_nv_fund",D$3,$A874))</f>
        <v/>
      </c>
      <c r="E874" s="13" t="str">
        <f>IF($A874="","",[1]!thsiFinD("ths_adjustment_nv_fund",E$3,$A874))</f>
        <v/>
      </c>
      <c r="F874" s="13" t="str">
        <f>IF($A874="","",[1]!thsiFinD("ths_adjustment_nv_fund",F$3,$A874))</f>
        <v/>
      </c>
      <c r="G874" s="13" t="str">
        <f>IF($A874="","",[1]!thsiFinD("ths_adjustment_nv_fund",G$3,$A874))</f>
        <v/>
      </c>
      <c r="H874" s="13" t="str">
        <f>IF($A874="","",[1]!thsiFinD("ths_adjustment_nv_fund",H$3,$A874))</f>
        <v/>
      </c>
      <c r="I874" s="13" t="str">
        <f>IF($A874="","",[1]!thsiFinD("ths_adjustment_nv_fund",I$3,$A874))</f>
        <v/>
      </c>
      <c r="J874" s="13" t="str">
        <f>IF($A874="","",[1]!thsiFinD("ths_adjustment_nv_fund",J$3,$A874))</f>
        <v/>
      </c>
      <c r="K874" s="13" t="str">
        <f>IF($A874="","",[1]!thsiFinD("ths_adjustment_nv_fund",K$3,$A874))</f>
        <v/>
      </c>
      <c r="L874" s="13" t="str">
        <f>IF($A874="","",[1]!thsiFinD("ths_adjustment_nv_fund",L$3,$A874))</f>
        <v/>
      </c>
      <c r="M874" s="13" t="str">
        <f>IF($A874="","",[1]!thsiFinD("ths_adjustment_nv_fund",M$3,$A874))</f>
        <v/>
      </c>
      <c r="N874" s="13" t="str">
        <f>IF($A874="","",[1]!thsiFinD("ths_adjustment_nv_fund",N$3,$A874))</f>
        <v/>
      </c>
      <c r="O874" s="13" t="str">
        <f>IF($A874="","",[1]!thsiFinD("ths_adjustment_nv_fund",O$3,$A874))</f>
        <v/>
      </c>
      <c r="P874" s="13" t="str">
        <f>IF($A874="","",[1]!thsiFinD("ths_adjustment_nv_fund",P$3,$A874))</f>
        <v/>
      </c>
      <c r="Q874" s="13" t="str">
        <f>IF($A874="","",[1]!thsiFinD("ths_adjustment_nv_fund",Q$3,$A874))</f>
        <v/>
      </c>
      <c r="R874" s="13" t="str">
        <f>IF($A874="","",[1]!thsiFinD("ths_adjustment_nv_fund",R$3,$A874))</f>
        <v/>
      </c>
      <c r="S874" s="13" t="str">
        <f>IF($A874="","",[1]!thsiFinD("ths_adjustment_nv_fund",S$3,$A874))</f>
        <v/>
      </c>
      <c r="T874" s="13" t="str">
        <f>IF($A874="","",[1]!thsiFinD("ths_adjustment_nv_fund",T$3,$A874))</f>
        <v/>
      </c>
      <c r="U874" s="13" t="str">
        <f>IF($A874="","",[1]!thsiFinD("ths_adjustment_nv_fund",U$3,$A874))</f>
        <v/>
      </c>
      <c r="V874" s="13" t="str">
        <f>IF($A874="","",[1]!thsiFinD("ths_adjustment_nv_fund",V$3,$A874))</f>
        <v/>
      </c>
      <c r="W874" s="13" t="str">
        <f>IF($A874="","",[1]!thsiFinD("ths_adjustment_nv_fund",W$3,$A874))</f>
        <v/>
      </c>
      <c r="X874" s="13" t="str">
        <f>IF($A874="","",[1]!thsiFinD("ths_adjustment_nv_fund",X$3,$A874))</f>
        <v/>
      </c>
      <c r="Y874" s="13" t="str">
        <f>IF($A874="","",[1]!thsiFinD("ths_adjustment_nv_fund",Y$3,$A874))</f>
        <v/>
      </c>
      <c r="Z874" s="13" t="str">
        <f>IF($A874="","",[1]!thsiFinD("ths_adjustment_nv_fund",Z$3,$A874))</f>
        <v/>
      </c>
      <c r="AA874" s="13" t="str">
        <f>IF($A874="","",[1]!thsiFinD("ths_adjustment_nv_fund",AA$3,$A874))</f>
        <v/>
      </c>
      <c r="AB874" s="13">
        <f>IF($A874="","",[1]!thsiFinD("ths_adjustment_nv_fund",AB$3,$A874))</f>
        <v/>
      </c>
      <c r="AC874" s="13">
        <f>IF($A874="","",[1]!thsiFinD("ths_adjustment_nv_fund",AC$3,$A874))</f>
        <v/>
      </c>
      <c r="AD874" s="13">
        <f>IF($A874="","",[1]!thsiFinD("ths_adjustment_nv_fund",AD$3,$A874))</f>
        <v/>
      </c>
      <c r="AE874" s="13">
        <f>IF($A874="","",[1]!thsiFinD("ths_adjustment_nv_fund",AE$3,$A874))</f>
        <v/>
      </c>
      <c r="AF874" s="13">
        <f>IF($A874="","",[1]!thsiFinD("ths_adjustment_nv_fund",AF$3,$A874))</f>
        <v/>
      </c>
      <c r="AG874" s="13">
        <f>IF($A874="","",[1]!thsiFinD("ths_adjustment_nv_fund",AG$3,$A874))</f>
        <v/>
      </c>
      <c r="AH874" s="13">
        <f>IF($A874="","",[1]!thsiFinD("ths_adjustment_nv_fund",AH$3,$A874))</f>
        <v/>
      </c>
      <c r="AI874" s="13">
        <f>IF($A874="","",[1]!thsiFinD("ths_adjustment_nv_fund",AI$3,$A874))</f>
        <v/>
      </c>
      <c r="AJ874" s="13">
        <f>IF($A874="","",[1]!thsiFinD("ths_adjustment_nv_fund",AJ$3,$A874))</f>
        <v/>
      </c>
      <c r="AK874" s="13">
        <f>IF($A874="","",[1]!thsiFinD("ths_adjustment_nv_fund",AK$3,$A874))</f>
        <v/>
      </c>
      <c r="AL874" s="13">
        <f>IF($A874="","",[1]!thsiFinD("ths_adjustment_nv_fund",AL$3,$A874))</f>
        <v/>
      </c>
    </row>
    <row r="875" spans="2:28">
      <c r="B875" s="13" t="str">
        <f>IF($A875="","",[1]!thsiFinD("ths_adjustment_nv_fund",B$3,$A875))</f>
        <v/>
      </c>
      <c r="C875" s="13" t="str">
        <f>IF($A875="","",[1]!thsiFinD("ths_adjustment_nv_fund",C$3,$A875))</f>
        <v/>
      </c>
      <c r="D875" s="13" t="str">
        <f>IF($A875="","",[1]!thsiFinD("ths_adjustment_nv_fund",D$3,$A875))</f>
        <v/>
      </c>
      <c r="E875" s="13" t="str">
        <f>IF($A875="","",[1]!thsiFinD("ths_adjustment_nv_fund",E$3,$A875))</f>
        <v/>
      </c>
      <c r="F875" s="13" t="str">
        <f>IF($A875="","",[1]!thsiFinD("ths_adjustment_nv_fund",F$3,$A875))</f>
        <v/>
      </c>
      <c r="G875" s="13" t="str">
        <f>IF($A875="","",[1]!thsiFinD("ths_adjustment_nv_fund",G$3,$A875))</f>
        <v/>
      </c>
      <c r="H875" s="13" t="str">
        <f>IF($A875="","",[1]!thsiFinD("ths_adjustment_nv_fund",H$3,$A875))</f>
        <v/>
      </c>
      <c r="I875" s="13" t="str">
        <f>IF($A875="","",[1]!thsiFinD("ths_adjustment_nv_fund",I$3,$A875))</f>
        <v/>
      </c>
      <c r="J875" s="13" t="str">
        <f>IF($A875="","",[1]!thsiFinD("ths_adjustment_nv_fund",J$3,$A875))</f>
        <v/>
      </c>
      <c r="K875" s="13" t="str">
        <f>IF($A875="","",[1]!thsiFinD("ths_adjustment_nv_fund",K$3,$A875))</f>
        <v/>
      </c>
      <c r="L875" s="13" t="str">
        <f>IF($A875="","",[1]!thsiFinD("ths_adjustment_nv_fund",L$3,$A875))</f>
        <v/>
      </c>
      <c r="M875" s="13" t="str">
        <f>IF($A875="","",[1]!thsiFinD("ths_adjustment_nv_fund",M$3,$A875))</f>
        <v/>
      </c>
      <c r="N875" s="13" t="str">
        <f>IF($A875="","",[1]!thsiFinD("ths_adjustment_nv_fund",N$3,$A875))</f>
        <v/>
      </c>
      <c r="O875" s="13" t="str">
        <f>IF($A875="","",[1]!thsiFinD("ths_adjustment_nv_fund",O$3,$A875))</f>
        <v/>
      </c>
      <c r="P875" s="13" t="str">
        <f>IF($A875="","",[1]!thsiFinD("ths_adjustment_nv_fund",P$3,$A875))</f>
        <v/>
      </c>
      <c r="Q875" s="13" t="str">
        <f>IF($A875="","",[1]!thsiFinD("ths_adjustment_nv_fund",Q$3,$A875))</f>
        <v/>
      </c>
      <c r="R875" s="13" t="str">
        <f>IF($A875="","",[1]!thsiFinD("ths_adjustment_nv_fund",R$3,$A875))</f>
        <v/>
      </c>
      <c r="S875" s="13" t="str">
        <f>IF($A875="","",[1]!thsiFinD("ths_adjustment_nv_fund",S$3,$A875))</f>
        <v/>
      </c>
      <c r="T875" s="13" t="str">
        <f>IF($A875="","",[1]!thsiFinD("ths_adjustment_nv_fund",T$3,$A875))</f>
        <v/>
      </c>
      <c r="U875" s="13" t="str">
        <f>IF($A875="","",[1]!thsiFinD("ths_adjustment_nv_fund",U$3,$A875))</f>
        <v/>
      </c>
      <c r="V875" s="13" t="str">
        <f>IF($A875="","",[1]!thsiFinD("ths_adjustment_nv_fund",V$3,$A875))</f>
        <v/>
      </c>
      <c r="W875" s="13" t="str">
        <f>IF($A875="","",[1]!thsiFinD("ths_adjustment_nv_fund",W$3,$A875))</f>
        <v/>
      </c>
      <c r="X875" s="13" t="str">
        <f>IF($A875="","",[1]!thsiFinD("ths_adjustment_nv_fund",X$3,$A875))</f>
        <v/>
      </c>
      <c r="Y875" s="13" t="str">
        <f>IF($A875="","",[1]!thsiFinD("ths_adjustment_nv_fund",Y$3,$A875))</f>
        <v/>
      </c>
      <c r="Z875" s="13" t="str">
        <f>IF($A875="","",[1]!thsiFinD("ths_adjustment_nv_fund",Z$3,$A875))</f>
        <v/>
      </c>
      <c r="AA875" s="13" t="str">
        <f>IF($A875="","",[1]!thsiFinD("ths_adjustment_nv_fund",AA$3,$A875))</f>
        <v/>
      </c>
      <c r="AB875" s="13">
        <f>IF($A875="","",[1]!thsiFinD("ths_adjustment_nv_fund",AB$3,$A875))</f>
        <v/>
      </c>
      <c r="AC875" s="13">
        <f>IF($A875="","",[1]!thsiFinD("ths_adjustment_nv_fund",AC$3,$A875))</f>
        <v/>
      </c>
      <c r="AD875" s="13">
        <f>IF($A875="","",[1]!thsiFinD("ths_adjustment_nv_fund",AD$3,$A875))</f>
        <v/>
      </c>
      <c r="AE875" s="13">
        <f>IF($A875="","",[1]!thsiFinD("ths_adjustment_nv_fund",AE$3,$A875))</f>
        <v/>
      </c>
      <c r="AF875" s="13">
        <f>IF($A875="","",[1]!thsiFinD("ths_adjustment_nv_fund",AF$3,$A875))</f>
        <v/>
      </c>
      <c r="AG875" s="13">
        <f>IF($A875="","",[1]!thsiFinD("ths_adjustment_nv_fund",AG$3,$A875))</f>
        <v/>
      </c>
      <c r="AH875" s="13">
        <f>IF($A875="","",[1]!thsiFinD("ths_adjustment_nv_fund",AH$3,$A875))</f>
        <v/>
      </c>
      <c r="AI875" s="13">
        <f>IF($A875="","",[1]!thsiFinD("ths_adjustment_nv_fund",AI$3,$A875))</f>
        <v/>
      </c>
      <c r="AJ875" s="13">
        <f>IF($A875="","",[1]!thsiFinD("ths_adjustment_nv_fund",AJ$3,$A875))</f>
        <v/>
      </c>
      <c r="AK875" s="13">
        <f>IF($A875="","",[1]!thsiFinD("ths_adjustment_nv_fund",AK$3,$A875))</f>
        <v/>
      </c>
      <c r="AL875" s="13">
        <f>IF($A875="","",[1]!thsiFinD("ths_adjustment_nv_fund",AL$3,$A875))</f>
        <v/>
      </c>
    </row>
    <row r="876" spans="2:28">
      <c r="B876" s="13" t="str">
        <f>IF($A876="","",[1]!thsiFinD("ths_adjustment_nv_fund",B$3,$A876))</f>
        <v/>
      </c>
      <c r="C876" s="13" t="str">
        <f>IF($A876="","",[1]!thsiFinD("ths_adjustment_nv_fund",C$3,$A876))</f>
        <v/>
      </c>
      <c r="D876" s="13" t="str">
        <f>IF($A876="","",[1]!thsiFinD("ths_adjustment_nv_fund",D$3,$A876))</f>
        <v/>
      </c>
      <c r="E876" s="13" t="str">
        <f>IF($A876="","",[1]!thsiFinD("ths_adjustment_nv_fund",E$3,$A876))</f>
        <v/>
      </c>
      <c r="F876" s="13" t="str">
        <f>IF($A876="","",[1]!thsiFinD("ths_adjustment_nv_fund",F$3,$A876))</f>
        <v/>
      </c>
      <c r="G876" s="13" t="str">
        <f>IF($A876="","",[1]!thsiFinD("ths_adjustment_nv_fund",G$3,$A876))</f>
        <v/>
      </c>
      <c r="H876" s="13" t="str">
        <f>IF($A876="","",[1]!thsiFinD("ths_adjustment_nv_fund",H$3,$A876))</f>
        <v/>
      </c>
      <c r="I876" s="13" t="str">
        <f>IF($A876="","",[1]!thsiFinD("ths_adjustment_nv_fund",I$3,$A876))</f>
        <v/>
      </c>
      <c r="J876" s="13" t="str">
        <f>IF($A876="","",[1]!thsiFinD("ths_adjustment_nv_fund",J$3,$A876))</f>
        <v/>
      </c>
      <c r="K876" s="13" t="str">
        <f>IF($A876="","",[1]!thsiFinD("ths_adjustment_nv_fund",K$3,$A876))</f>
        <v/>
      </c>
      <c r="L876" s="13" t="str">
        <f>IF($A876="","",[1]!thsiFinD("ths_adjustment_nv_fund",L$3,$A876))</f>
        <v/>
      </c>
      <c r="M876" s="13" t="str">
        <f>IF($A876="","",[1]!thsiFinD("ths_adjustment_nv_fund",M$3,$A876))</f>
        <v/>
      </c>
      <c r="N876" s="13" t="str">
        <f>IF($A876="","",[1]!thsiFinD("ths_adjustment_nv_fund",N$3,$A876))</f>
        <v/>
      </c>
      <c r="O876" s="13" t="str">
        <f>IF($A876="","",[1]!thsiFinD("ths_adjustment_nv_fund",O$3,$A876))</f>
        <v/>
      </c>
      <c r="P876" s="13" t="str">
        <f>IF($A876="","",[1]!thsiFinD("ths_adjustment_nv_fund",P$3,$A876))</f>
        <v/>
      </c>
      <c r="Q876" s="13" t="str">
        <f>IF($A876="","",[1]!thsiFinD("ths_adjustment_nv_fund",Q$3,$A876))</f>
        <v/>
      </c>
      <c r="R876" s="13" t="str">
        <f>IF($A876="","",[1]!thsiFinD("ths_adjustment_nv_fund",R$3,$A876))</f>
        <v/>
      </c>
      <c r="S876" s="13" t="str">
        <f>IF($A876="","",[1]!thsiFinD("ths_adjustment_nv_fund",S$3,$A876))</f>
        <v/>
      </c>
      <c r="T876" s="13" t="str">
        <f>IF($A876="","",[1]!thsiFinD("ths_adjustment_nv_fund",T$3,$A876))</f>
        <v/>
      </c>
      <c r="U876" s="13" t="str">
        <f>IF($A876="","",[1]!thsiFinD("ths_adjustment_nv_fund",U$3,$A876))</f>
        <v/>
      </c>
      <c r="V876" s="13" t="str">
        <f>IF($A876="","",[1]!thsiFinD("ths_adjustment_nv_fund",V$3,$A876))</f>
        <v/>
      </c>
      <c r="W876" s="13" t="str">
        <f>IF($A876="","",[1]!thsiFinD("ths_adjustment_nv_fund",W$3,$A876))</f>
        <v/>
      </c>
      <c r="X876" s="13" t="str">
        <f>IF($A876="","",[1]!thsiFinD("ths_adjustment_nv_fund",X$3,$A876))</f>
        <v/>
      </c>
      <c r="Y876" s="13" t="str">
        <f>IF($A876="","",[1]!thsiFinD("ths_adjustment_nv_fund",Y$3,$A876))</f>
        <v/>
      </c>
      <c r="Z876" s="13" t="str">
        <f>IF($A876="","",[1]!thsiFinD("ths_adjustment_nv_fund",Z$3,$A876))</f>
        <v/>
      </c>
      <c r="AA876" s="13" t="str">
        <f>IF($A876="","",[1]!thsiFinD("ths_adjustment_nv_fund",AA$3,$A876))</f>
        <v/>
      </c>
      <c r="AB876" s="13">
        <f>IF($A876="","",[1]!thsiFinD("ths_adjustment_nv_fund",AB$3,$A876))</f>
        <v/>
      </c>
      <c r="AC876" s="13">
        <f>IF($A876="","",[1]!thsiFinD("ths_adjustment_nv_fund",AC$3,$A876))</f>
        <v/>
      </c>
      <c r="AD876" s="13">
        <f>IF($A876="","",[1]!thsiFinD("ths_adjustment_nv_fund",AD$3,$A876))</f>
        <v/>
      </c>
      <c r="AE876" s="13">
        <f>IF($A876="","",[1]!thsiFinD("ths_adjustment_nv_fund",AE$3,$A876))</f>
        <v/>
      </c>
      <c r="AF876" s="13">
        <f>IF($A876="","",[1]!thsiFinD("ths_adjustment_nv_fund",AF$3,$A876))</f>
        <v/>
      </c>
      <c r="AG876" s="13">
        <f>IF($A876="","",[1]!thsiFinD("ths_adjustment_nv_fund",AG$3,$A876))</f>
        <v/>
      </c>
      <c r="AH876" s="13">
        <f>IF($A876="","",[1]!thsiFinD("ths_adjustment_nv_fund",AH$3,$A876))</f>
        <v/>
      </c>
      <c r="AI876" s="13">
        <f>IF($A876="","",[1]!thsiFinD("ths_adjustment_nv_fund",AI$3,$A876))</f>
        <v/>
      </c>
      <c r="AJ876" s="13">
        <f>IF($A876="","",[1]!thsiFinD("ths_adjustment_nv_fund",AJ$3,$A876))</f>
        <v/>
      </c>
      <c r="AK876" s="13">
        <f>IF($A876="","",[1]!thsiFinD("ths_adjustment_nv_fund",AK$3,$A876))</f>
        <v/>
      </c>
      <c r="AL876" s="13">
        <f>IF($A876="","",[1]!thsiFinD("ths_adjustment_nv_fund",AL$3,$A876))</f>
        <v/>
      </c>
    </row>
    <row r="877" spans="2:28">
      <c r="B877" s="13" t="str">
        <f>IF($A877="","",[1]!thsiFinD("ths_adjustment_nv_fund",B$3,$A877))</f>
        <v/>
      </c>
      <c r="C877" s="13" t="str">
        <f>IF($A877="","",[1]!thsiFinD("ths_adjustment_nv_fund",C$3,$A877))</f>
        <v/>
      </c>
      <c r="D877" s="13" t="str">
        <f>IF($A877="","",[1]!thsiFinD("ths_adjustment_nv_fund",D$3,$A877))</f>
        <v/>
      </c>
      <c r="E877" s="13" t="str">
        <f>IF($A877="","",[1]!thsiFinD("ths_adjustment_nv_fund",E$3,$A877))</f>
        <v/>
      </c>
      <c r="F877" s="13" t="str">
        <f>IF($A877="","",[1]!thsiFinD("ths_adjustment_nv_fund",F$3,$A877))</f>
        <v/>
      </c>
      <c r="G877" s="13" t="str">
        <f>IF($A877="","",[1]!thsiFinD("ths_adjustment_nv_fund",G$3,$A877))</f>
        <v/>
      </c>
      <c r="H877" s="13" t="str">
        <f>IF($A877="","",[1]!thsiFinD("ths_adjustment_nv_fund",H$3,$A877))</f>
        <v/>
      </c>
      <c r="I877" s="13" t="str">
        <f>IF($A877="","",[1]!thsiFinD("ths_adjustment_nv_fund",I$3,$A877))</f>
        <v/>
      </c>
      <c r="J877" s="13" t="str">
        <f>IF($A877="","",[1]!thsiFinD("ths_adjustment_nv_fund",J$3,$A877))</f>
        <v/>
      </c>
      <c r="K877" s="13" t="str">
        <f>IF($A877="","",[1]!thsiFinD("ths_adjustment_nv_fund",K$3,$A877))</f>
        <v/>
      </c>
      <c r="L877" s="13" t="str">
        <f>IF($A877="","",[1]!thsiFinD("ths_adjustment_nv_fund",L$3,$A877))</f>
        <v/>
      </c>
      <c r="M877" s="13" t="str">
        <f>IF($A877="","",[1]!thsiFinD("ths_adjustment_nv_fund",M$3,$A877))</f>
        <v/>
      </c>
      <c r="N877" s="13" t="str">
        <f>IF($A877="","",[1]!thsiFinD("ths_adjustment_nv_fund",N$3,$A877))</f>
        <v/>
      </c>
      <c r="O877" s="13" t="str">
        <f>IF($A877="","",[1]!thsiFinD("ths_adjustment_nv_fund",O$3,$A877))</f>
        <v/>
      </c>
      <c r="P877" s="13" t="str">
        <f>IF($A877="","",[1]!thsiFinD("ths_adjustment_nv_fund",P$3,$A877))</f>
        <v/>
      </c>
      <c r="Q877" s="13" t="str">
        <f>IF($A877="","",[1]!thsiFinD("ths_adjustment_nv_fund",Q$3,$A877))</f>
        <v/>
      </c>
      <c r="R877" s="13" t="str">
        <f>IF($A877="","",[1]!thsiFinD("ths_adjustment_nv_fund",R$3,$A877))</f>
        <v/>
      </c>
      <c r="S877" s="13" t="str">
        <f>IF($A877="","",[1]!thsiFinD("ths_adjustment_nv_fund",S$3,$A877))</f>
        <v/>
      </c>
      <c r="T877" s="13" t="str">
        <f>IF($A877="","",[1]!thsiFinD("ths_adjustment_nv_fund",T$3,$A877))</f>
        <v/>
      </c>
      <c r="U877" s="13" t="str">
        <f>IF($A877="","",[1]!thsiFinD("ths_adjustment_nv_fund",U$3,$A877))</f>
        <v/>
      </c>
      <c r="V877" s="13" t="str">
        <f>IF($A877="","",[1]!thsiFinD("ths_adjustment_nv_fund",V$3,$A877))</f>
        <v/>
      </c>
      <c r="W877" s="13" t="str">
        <f>IF($A877="","",[1]!thsiFinD("ths_adjustment_nv_fund",W$3,$A877))</f>
        <v/>
      </c>
      <c r="X877" s="13" t="str">
        <f>IF($A877="","",[1]!thsiFinD("ths_adjustment_nv_fund",X$3,$A877))</f>
        <v/>
      </c>
      <c r="Y877" s="13" t="str">
        <f>IF($A877="","",[1]!thsiFinD("ths_adjustment_nv_fund",Y$3,$A877))</f>
        <v/>
      </c>
      <c r="Z877" s="13" t="str">
        <f>IF($A877="","",[1]!thsiFinD("ths_adjustment_nv_fund",Z$3,$A877))</f>
        <v/>
      </c>
      <c r="AA877" s="13" t="str">
        <f>IF($A877="","",[1]!thsiFinD("ths_adjustment_nv_fund",AA$3,$A877))</f>
        <v/>
      </c>
      <c r="AB877" s="13">
        <f>IF($A877="","",[1]!thsiFinD("ths_adjustment_nv_fund",AB$3,$A877))</f>
        <v/>
      </c>
      <c r="AC877" s="13">
        <f>IF($A877="","",[1]!thsiFinD("ths_adjustment_nv_fund",AC$3,$A877))</f>
        <v/>
      </c>
      <c r="AD877" s="13">
        <f>IF($A877="","",[1]!thsiFinD("ths_adjustment_nv_fund",AD$3,$A877))</f>
        <v/>
      </c>
      <c r="AE877" s="13">
        <f>IF($A877="","",[1]!thsiFinD("ths_adjustment_nv_fund",AE$3,$A877))</f>
        <v/>
      </c>
      <c r="AF877" s="13">
        <f>IF($A877="","",[1]!thsiFinD("ths_adjustment_nv_fund",AF$3,$A877))</f>
        <v/>
      </c>
      <c r="AG877" s="13">
        <f>IF($A877="","",[1]!thsiFinD("ths_adjustment_nv_fund",AG$3,$A877))</f>
        <v/>
      </c>
      <c r="AH877" s="13">
        <f>IF($A877="","",[1]!thsiFinD("ths_adjustment_nv_fund",AH$3,$A877))</f>
        <v/>
      </c>
      <c r="AI877" s="13">
        <f>IF($A877="","",[1]!thsiFinD("ths_adjustment_nv_fund",AI$3,$A877))</f>
        <v/>
      </c>
      <c r="AJ877" s="13">
        <f>IF($A877="","",[1]!thsiFinD("ths_adjustment_nv_fund",AJ$3,$A877))</f>
        <v/>
      </c>
      <c r="AK877" s="13">
        <f>IF($A877="","",[1]!thsiFinD("ths_adjustment_nv_fund",AK$3,$A877))</f>
        <v/>
      </c>
      <c r="AL877" s="13">
        <f>IF($A877="","",[1]!thsiFinD("ths_adjustment_nv_fund",AL$3,$A877))</f>
        <v/>
      </c>
    </row>
    <row r="878" spans="2:28">
      <c r="B878" s="13" t="str">
        <f>IF($A878="","",[1]!thsiFinD("ths_adjustment_nv_fund",B$3,$A878))</f>
        <v/>
      </c>
      <c r="C878" s="13" t="str">
        <f>IF($A878="","",[1]!thsiFinD("ths_adjustment_nv_fund",C$3,$A878))</f>
        <v/>
      </c>
      <c r="D878" s="13" t="str">
        <f>IF($A878="","",[1]!thsiFinD("ths_adjustment_nv_fund",D$3,$A878))</f>
        <v/>
      </c>
      <c r="E878" s="13" t="str">
        <f>IF($A878="","",[1]!thsiFinD("ths_adjustment_nv_fund",E$3,$A878))</f>
        <v/>
      </c>
      <c r="F878" s="13" t="str">
        <f>IF($A878="","",[1]!thsiFinD("ths_adjustment_nv_fund",F$3,$A878))</f>
        <v/>
      </c>
      <c r="G878" s="13" t="str">
        <f>IF($A878="","",[1]!thsiFinD("ths_adjustment_nv_fund",G$3,$A878))</f>
        <v/>
      </c>
      <c r="H878" s="13" t="str">
        <f>IF($A878="","",[1]!thsiFinD("ths_adjustment_nv_fund",H$3,$A878))</f>
        <v/>
      </c>
      <c r="I878" s="13" t="str">
        <f>IF($A878="","",[1]!thsiFinD("ths_adjustment_nv_fund",I$3,$A878))</f>
        <v/>
      </c>
      <c r="J878" s="13" t="str">
        <f>IF($A878="","",[1]!thsiFinD("ths_adjustment_nv_fund",J$3,$A878))</f>
        <v/>
      </c>
      <c r="K878" s="13" t="str">
        <f>IF($A878="","",[1]!thsiFinD("ths_adjustment_nv_fund",K$3,$A878))</f>
        <v/>
      </c>
      <c r="L878" s="13" t="str">
        <f>IF($A878="","",[1]!thsiFinD("ths_adjustment_nv_fund",L$3,$A878))</f>
        <v/>
      </c>
      <c r="M878" s="13" t="str">
        <f>IF($A878="","",[1]!thsiFinD("ths_adjustment_nv_fund",M$3,$A878))</f>
        <v/>
      </c>
      <c r="N878" s="13" t="str">
        <f>IF($A878="","",[1]!thsiFinD("ths_adjustment_nv_fund",N$3,$A878))</f>
        <v/>
      </c>
      <c r="O878" s="13" t="str">
        <f>IF($A878="","",[1]!thsiFinD("ths_adjustment_nv_fund",O$3,$A878))</f>
        <v/>
      </c>
      <c r="P878" s="13" t="str">
        <f>IF($A878="","",[1]!thsiFinD("ths_adjustment_nv_fund",P$3,$A878))</f>
        <v/>
      </c>
      <c r="Q878" s="13" t="str">
        <f>IF($A878="","",[1]!thsiFinD("ths_adjustment_nv_fund",Q$3,$A878))</f>
        <v/>
      </c>
      <c r="R878" s="13" t="str">
        <f>IF($A878="","",[1]!thsiFinD("ths_adjustment_nv_fund",R$3,$A878))</f>
        <v/>
      </c>
      <c r="S878" s="13" t="str">
        <f>IF($A878="","",[1]!thsiFinD("ths_adjustment_nv_fund",S$3,$A878))</f>
        <v/>
      </c>
      <c r="T878" s="13" t="str">
        <f>IF($A878="","",[1]!thsiFinD("ths_adjustment_nv_fund",T$3,$A878))</f>
        <v/>
      </c>
      <c r="U878" s="13" t="str">
        <f>IF($A878="","",[1]!thsiFinD("ths_adjustment_nv_fund",U$3,$A878))</f>
        <v/>
      </c>
      <c r="V878" s="13" t="str">
        <f>IF($A878="","",[1]!thsiFinD("ths_adjustment_nv_fund",V$3,$A878))</f>
        <v/>
      </c>
      <c r="W878" s="13" t="str">
        <f>IF($A878="","",[1]!thsiFinD("ths_adjustment_nv_fund",W$3,$A878))</f>
        <v/>
      </c>
      <c r="X878" s="13" t="str">
        <f>IF($A878="","",[1]!thsiFinD("ths_adjustment_nv_fund",X$3,$A878))</f>
        <v/>
      </c>
      <c r="Y878" s="13" t="str">
        <f>IF($A878="","",[1]!thsiFinD("ths_adjustment_nv_fund",Y$3,$A878))</f>
        <v/>
      </c>
      <c r="Z878" s="13" t="str">
        <f>IF($A878="","",[1]!thsiFinD("ths_adjustment_nv_fund",Z$3,$A878))</f>
        <v/>
      </c>
      <c r="AA878" s="13" t="str">
        <f>IF($A878="","",[1]!thsiFinD("ths_adjustment_nv_fund",AA$3,$A878))</f>
        <v/>
      </c>
      <c r="AB878" s="13">
        <f>IF($A878="","",[1]!thsiFinD("ths_adjustment_nv_fund",AB$3,$A878))</f>
        <v/>
      </c>
      <c r="AC878" s="13">
        <f>IF($A878="","",[1]!thsiFinD("ths_adjustment_nv_fund",AC$3,$A878))</f>
        <v/>
      </c>
      <c r="AD878" s="13">
        <f>IF($A878="","",[1]!thsiFinD("ths_adjustment_nv_fund",AD$3,$A878))</f>
        <v/>
      </c>
      <c r="AE878" s="13">
        <f>IF($A878="","",[1]!thsiFinD("ths_adjustment_nv_fund",AE$3,$A878))</f>
        <v/>
      </c>
      <c r="AF878" s="13">
        <f>IF($A878="","",[1]!thsiFinD("ths_adjustment_nv_fund",AF$3,$A878))</f>
        <v/>
      </c>
      <c r="AG878" s="13">
        <f>IF($A878="","",[1]!thsiFinD("ths_adjustment_nv_fund",AG$3,$A878))</f>
        <v/>
      </c>
      <c r="AH878" s="13">
        <f>IF($A878="","",[1]!thsiFinD("ths_adjustment_nv_fund",AH$3,$A878))</f>
        <v/>
      </c>
      <c r="AI878" s="13">
        <f>IF($A878="","",[1]!thsiFinD("ths_adjustment_nv_fund",AI$3,$A878))</f>
        <v/>
      </c>
      <c r="AJ878" s="13">
        <f>IF($A878="","",[1]!thsiFinD("ths_adjustment_nv_fund",AJ$3,$A878))</f>
        <v/>
      </c>
      <c r="AK878" s="13">
        <f>IF($A878="","",[1]!thsiFinD("ths_adjustment_nv_fund",AK$3,$A878))</f>
        <v/>
      </c>
      <c r="AL878" s="13">
        <f>IF($A878="","",[1]!thsiFinD("ths_adjustment_nv_fund",AL$3,$A878))</f>
        <v/>
      </c>
    </row>
    <row r="879" spans="2:28">
      <c r="B879" s="13" t="str">
        <f>IF($A879="","",[1]!thsiFinD("ths_adjustment_nv_fund",B$3,$A879))</f>
        <v/>
      </c>
      <c r="C879" s="13" t="str">
        <f>IF($A879="","",[1]!thsiFinD("ths_adjustment_nv_fund",C$3,$A879))</f>
        <v/>
      </c>
      <c r="D879" s="13" t="str">
        <f>IF($A879="","",[1]!thsiFinD("ths_adjustment_nv_fund",D$3,$A879))</f>
        <v/>
      </c>
      <c r="E879" s="13" t="str">
        <f>IF($A879="","",[1]!thsiFinD("ths_adjustment_nv_fund",E$3,$A879))</f>
        <v/>
      </c>
      <c r="F879" s="13" t="str">
        <f>IF($A879="","",[1]!thsiFinD("ths_adjustment_nv_fund",F$3,$A879))</f>
        <v/>
      </c>
      <c r="G879" s="13" t="str">
        <f>IF($A879="","",[1]!thsiFinD("ths_adjustment_nv_fund",G$3,$A879))</f>
        <v/>
      </c>
      <c r="H879" s="13" t="str">
        <f>IF($A879="","",[1]!thsiFinD("ths_adjustment_nv_fund",H$3,$A879))</f>
        <v/>
      </c>
      <c r="I879" s="13" t="str">
        <f>IF($A879="","",[1]!thsiFinD("ths_adjustment_nv_fund",I$3,$A879))</f>
        <v/>
      </c>
      <c r="J879" s="13" t="str">
        <f>IF($A879="","",[1]!thsiFinD("ths_adjustment_nv_fund",J$3,$A879))</f>
        <v/>
      </c>
      <c r="K879" s="13" t="str">
        <f>IF($A879="","",[1]!thsiFinD("ths_adjustment_nv_fund",K$3,$A879))</f>
        <v/>
      </c>
      <c r="L879" s="13" t="str">
        <f>IF($A879="","",[1]!thsiFinD("ths_adjustment_nv_fund",L$3,$A879))</f>
        <v/>
      </c>
      <c r="M879" s="13" t="str">
        <f>IF($A879="","",[1]!thsiFinD("ths_adjustment_nv_fund",M$3,$A879))</f>
        <v/>
      </c>
      <c r="N879" s="13" t="str">
        <f>IF($A879="","",[1]!thsiFinD("ths_adjustment_nv_fund",N$3,$A879))</f>
        <v/>
      </c>
      <c r="O879" s="13" t="str">
        <f>IF($A879="","",[1]!thsiFinD("ths_adjustment_nv_fund",O$3,$A879))</f>
        <v/>
      </c>
      <c r="P879" s="13" t="str">
        <f>IF($A879="","",[1]!thsiFinD("ths_adjustment_nv_fund",P$3,$A879))</f>
        <v/>
      </c>
      <c r="Q879" s="13" t="str">
        <f>IF($A879="","",[1]!thsiFinD("ths_adjustment_nv_fund",Q$3,$A879))</f>
        <v/>
      </c>
      <c r="R879" s="13" t="str">
        <f>IF($A879="","",[1]!thsiFinD("ths_adjustment_nv_fund",R$3,$A879))</f>
        <v/>
      </c>
      <c r="S879" s="13" t="str">
        <f>IF($A879="","",[1]!thsiFinD("ths_adjustment_nv_fund",S$3,$A879))</f>
        <v/>
      </c>
      <c r="T879" s="13" t="str">
        <f>IF($A879="","",[1]!thsiFinD("ths_adjustment_nv_fund",T$3,$A879))</f>
        <v/>
      </c>
      <c r="U879" s="13" t="str">
        <f>IF($A879="","",[1]!thsiFinD("ths_adjustment_nv_fund",U$3,$A879))</f>
        <v/>
      </c>
      <c r="V879" s="13" t="str">
        <f>IF($A879="","",[1]!thsiFinD("ths_adjustment_nv_fund",V$3,$A879))</f>
        <v/>
      </c>
      <c r="W879" s="13" t="str">
        <f>IF($A879="","",[1]!thsiFinD("ths_adjustment_nv_fund",W$3,$A879))</f>
        <v/>
      </c>
      <c r="X879" s="13" t="str">
        <f>IF($A879="","",[1]!thsiFinD("ths_adjustment_nv_fund",X$3,$A879))</f>
        <v/>
      </c>
      <c r="Y879" s="13" t="str">
        <f>IF($A879="","",[1]!thsiFinD("ths_adjustment_nv_fund",Y$3,$A879))</f>
        <v/>
      </c>
      <c r="Z879" s="13" t="str">
        <f>IF($A879="","",[1]!thsiFinD("ths_adjustment_nv_fund",Z$3,$A879))</f>
        <v/>
      </c>
      <c r="AA879" s="13" t="str">
        <f>IF($A879="","",[1]!thsiFinD("ths_adjustment_nv_fund",AA$3,$A879))</f>
        <v/>
      </c>
      <c r="AB879" s="13">
        <f>IF($A879="","",[1]!thsiFinD("ths_adjustment_nv_fund",AB$3,$A879))</f>
        <v/>
      </c>
      <c r="AC879" s="13">
        <f>IF($A879="","",[1]!thsiFinD("ths_adjustment_nv_fund",AC$3,$A879))</f>
        <v/>
      </c>
      <c r="AD879" s="13">
        <f>IF($A879="","",[1]!thsiFinD("ths_adjustment_nv_fund",AD$3,$A879))</f>
        <v/>
      </c>
      <c r="AE879" s="13">
        <f>IF($A879="","",[1]!thsiFinD("ths_adjustment_nv_fund",AE$3,$A879))</f>
        <v/>
      </c>
      <c r="AF879" s="13">
        <f>IF($A879="","",[1]!thsiFinD("ths_adjustment_nv_fund",AF$3,$A879))</f>
        <v/>
      </c>
      <c r="AG879" s="13">
        <f>IF($A879="","",[1]!thsiFinD("ths_adjustment_nv_fund",AG$3,$A879))</f>
        <v/>
      </c>
      <c r="AH879" s="13">
        <f>IF($A879="","",[1]!thsiFinD("ths_adjustment_nv_fund",AH$3,$A879))</f>
        <v/>
      </c>
      <c r="AI879" s="13">
        <f>IF($A879="","",[1]!thsiFinD("ths_adjustment_nv_fund",AI$3,$A879))</f>
        <v/>
      </c>
      <c r="AJ879" s="13">
        <f>IF($A879="","",[1]!thsiFinD("ths_adjustment_nv_fund",AJ$3,$A879))</f>
        <v/>
      </c>
      <c r="AK879" s="13">
        <f>IF($A879="","",[1]!thsiFinD("ths_adjustment_nv_fund",AK$3,$A879))</f>
        <v/>
      </c>
      <c r="AL879" s="13">
        <f>IF($A879="","",[1]!thsiFinD("ths_adjustment_nv_fund",AL$3,$A879))</f>
        <v/>
      </c>
    </row>
    <row r="880" spans="2:28">
      <c r="B880" s="13" t="str">
        <f>IF($A880="","",[1]!thsiFinD("ths_adjustment_nv_fund",B$3,$A880))</f>
        <v/>
      </c>
      <c r="C880" s="13" t="str">
        <f>IF($A880="","",[1]!thsiFinD("ths_adjustment_nv_fund",C$3,$A880))</f>
        <v/>
      </c>
      <c r="D880" s="13" t="str">
        <f>IF($A880="","",[1]!thsiFinD("ths_adjustment_nv_fund",D$3,$A880))</f>
        <v/>
      </c>
      <c r="E880" s="13" t="str">
        <f>IF($A880="","",[1]!thsiFinD("ths_adjustment_nv_fund",E$3,$A880))</f>
        <v/>
      </c>
      <c r="F880" s="13" t="str">
        <f>IF($A880="","",[1]!thsiFinD("ths_adjustment_nv_fund",F$3,$A880))</f>
        <v/>
      </c>
      <c r="G880" s="13" t="str">
        <f>IF($A880="","",[1]!thsiFinD("ths_adjustment_nv_fund",G$3,$A880))</f>
        <v/>
      </c>
      <c r="H880" s="13" t="str">
        <f>IF($A880="","",[1]!thsiFinD("ths_adjustment_nv_fund",H$3,$A880))</f>
        <v/>
      </c>
      <c r="I880" s="13" t="str">
        <f>IF($A880="","",[1]!thsiFinD("ths_adjustment_nv_fund",I$3,$A880))</f>
        <v/>
      </c>
      <c r="J880" s="13" t="str">
        <f>IF($A880="","",[1]!thsiFinD("ths_adjustment_nv_fund",J$3,$A880))</f>
        <v/>
      </c>
      <c r="K880" s="13" t="str">
        <f>IF($A880="","",[1]!thsiFinD("ths_adjustment_nv_fund",K$3,$A880))</f>
        <v/>
      </c>
      <c r="L880" s="13" t="str">
        <f>IF($A880="","",[1]!thsiFinD("ths_adjustment_nv_fund",L$3,$A880))</f>
        <v/>
      </c>
      <c r="M880" s="13" t="str">
        <f>IF($A880="","",[1]!thsiFinD("ths_adjustment_nv_fund",M$3,$A880))</f>
        <v/>
      </c>
      <c r="N880" s="13" t="str">
        <f>IF($A880="","",[1]!thsiFinD("ths_adjustment_nv_fund",N$3,$A880))</f>
        <v/>
      </c>
      <c r="O880" s="13" t="str">
        <f>IF($A880="","",[1]!thsiFinD("ths_adjustment_nv_fund",O$3,$A880))</f>
        <v/>
      </c>
      <c r="P880" s="13" t="str">
        <f>IF($A880="","",[1]!thsiFinD("ths_adjustment_nv_fund",P$3,$A880))</f>
        <v/>
      </c>
      <c r="Q880" s="13" t="str">
        <f>IF($A880="","",[1]!thsiFinD("ths_adjustment_nv_fund",Q$3,$A880))</f>
        <v/>
      </c>
      <c r="R880" s="13" t="str">
        <f>IF($A880="","",[1]!thsiFinD("ths_adjustment_nv_fund",R$3,$A880))</f>
        <v/>
      </c>
      <c r="S880" s="13" t="str">
        <f>IF($A880="","",[1]!thsiFinD("ths_adjustment_nv_fund",S$3,$A880))</f>
        <v/>
      </c>
      <c r="T880" s="13" t="str">
        <f>IF($A880="","",[1]!thsiFinD("ths_adjustment_nv_fund",T$3,$A880))</f>
        <v/>
      </c>
      <c r="U880" s="13" t="str">
        <f>IF($A880="","",[1]!thsiFinD("ths_adjustment_nv_fund",U$3,$A880))</f>
        <v/>
      </c>
      <c r="V880" s="13" t="str">
        <f>IF($A880="","",[1]!thsiFinD("ths_adjustment_nv_fund",V$3,$A880))</f>
        <v/>
      </c>
      <c r="W880" s="13" t="str">
        <f>IF($A880="","",[1]!thsiFinD("ths_adjustment_nv_fund",W$3,$A880))</f>
        <v/>
      </c>
      <c r="X880" s="13" t="str">
        <f>IF($A880="","",[1]!thsiFinD("ths_adjustment_nv_fund",X$3,$A880))</f>
        <v/>
      </c>
      <c r="Y880" s="13" t="str">
        <f>IF($A880="","",[1]!thsiFinD("ths_adjustment_nv_fund",Y$3,$A880))</f>
        <v/>
      </c>
      <c r="Z880" s="13" t="str">
        <f>IF($A880="","",[1]!thsiFinD("ths_adjustment_nv_fund",Z$3,$A880))</f>
        <v/>
      </c>
      <c r="AA880" s="13" t="str">
        <f>IF($A880="","",[1]!thsiFinD("ths_adjustment_nv_fund",AA$3,$A880))</f>
        <v/>
      </c>
      <c r="AB880" s="13">
        <f>IF($A880="","",[1]!thsiFinD("ths_adjustment_nv_fund",AB$3,$A880))</f>
        <v/>
      </c>
      <c r="AC880" s="13">
        <f>IF($A880="","",[1]!thsiFinD("ths_adjustment_nv_fund",AC$3,$A880))</f>
        <v/>
      </c>
      <c r="AD880" s="13">
        <f>IF($A880="","",[1]!thsiFinD("ths_adjustment_nv_fund",AD$3,$A880))</f>
        <v/>
      </c>
      <c r="AE880" s="13">
        <f>IF($A880="","",[1]!thsiFinD("ths_adjustment_nv_fund",AE$3,$A880))</f>
        <v/>
      </c>
      <c r="AF880" s="13">
        <f>IF($A880="","",[1]!thsiFinD("ths_adjustment_nv_fund",AF$3,$A880))</f>
        <v/>
      </c>
      <c r="AG880" s="13">
        <f>IF($A880="","",[1]!thsiFinD("ths_adjustment_nv_fund",AG$3,$A880))</f>
        <v/>
      </c>
      <c r="AH880" s="13">
        <f>IF($A880="","",[1]!thsiFinD("ths_adjustment_nv_fund",AH$3,$A880))</f>
        <v/>
      </c>
      <c r="AI880" s="13">
        <f>IF($A880="","",[1]!thsiFinD("ths_adjustment_nv_fund",AI$3,$A880))</f>
        <v/>
      </c>
      <c r="AJ880" s="13">
        <f>IF($A880="","",[1]!thsiFinD("ths_adjustment_nv_fund",AJ$3,$A880))</f>
        <v/>
      </c>
      <c r="AK880" s="13">
        <f>IF($A880="","",[1]!thsiFinD("ths_adjustment_nv_fund",AK$3,$A880))</f>
        <v/>
      </c>
      <c r="AL880" s="13">
        <f>IF($A880="","",[1]!thsiFinD("ths_adjustment_nv_fund",AL$3,$A880))</f>
        <v/>
      </c>
    </row>
    <row r="881" spans="2:28">
      <c r="B881" s="13" t="str">
        <f>IF($A881="","",[1]!thsiFinD("ths_adjustment_nv_fund",B$3,$A881))</f>
        <v/>
      </c>
      <c r="C881" s="13" t="str">
        <f>IF($A881="","",[1]!thsiFinD("ths_adjustment_nv_fund",C$3,$A881))</f>
        <v/>
      </c>
      <c r="D881" s="13" t="str">
        <f>IF($A881="","",[1]!thsiFinD("ths_adjustment_nv_fund",D$3,$A881))</f>
        <v/>
      </c>
      <c r="E881" s="13" t="str">
        <f>IF($A881="","",[1]!thsiFinD("ths_adjustment_nv_fund",E$3,$A881))</f>
        <v/>
      </c>
      <c r="F881" s="13" t="str">
        <f>IF($A881="","",[1]!thsiFinD("ths_adjustment_nv_fund",F$3,$A881))</f>
        <v/>
      </c>
      <c r="G881" s="13" t="str">
        <f>IF($A881="","",[1]!thsiFinD("ths_adjustment_nv_fund",G$3,$A881))</f>
        <v/>
      </c>
      <c r="H881" s="13" t="str">
        <f>IF($A881="","",[1]!thsiFinD("ths_adjustment_nv_fund",H$3,$A881))</f>
        <v/>
      </c>
      <c r="I881" s="13" t="str">
        <f>IF($A881="","",[1]!thsiFinD("ths_adjustment_nv_fund",I$3,$A881))</f>
        <v/>
      </c>
      <c r="J881" s="13" t="str">
        <f>IF($A881="","",[1]!thsiFinD("ths_adjustment_nv_fund",J$3,$A881))</f>
        <v/>
      </c>
      <c r="K881" s="13" t="str">
        <f>IF($A881="","",[1]!thsiFinD("ths_adjustment_nv_fund",K$3,$A881))</f>
        <v/>
      </c>
      <c r="L881" s="13" t="str">
        <f>IF($A881="","",[1]!thsiFinD("ths_adjustment_nv_fund",L$3,$A881))</f>
        <v/>
      </c>
      <c r="M881" s="13" t="str">
        <f>IF($A881="","",[1]!thsiFinD("ths_adjustment_nv_fund",M$3,$A881))</f>
        <v/>
      </c>
      <c r="N881" s="13" t="str">
        <f>IF($A881="","",[1]!thsiFinD("ths_adjustment_nv_fund",N$3,$A881))</f>
        <v/>
      </c>
      <c r="O881" s="13" t="str">
        <f>IF($A881="","",[1]!thsiFinD("ths_adjustment_nv_fund",O$3,$A881))</f>
        <v/>
      </c>
      <c r="P881" s="13" t="str">
        <f>IF($A881="","",[1]!thsiFinD("ths_adjustment_nv_fund",P$3,$A881))</f>
        <v/>
      </c>
      <c r="Q881" s="13" t="str">
        <f>IF($A881="","",[1]!thsiFinD("ths_adjustment_nv_fund",Q$3,$A881))</f>
        <v/>
      </c>
      <c r="R881" s="13" t="str">
        <f>IF($A881="","",[1]!thsiFinD("ths_adjustment_nv_fund",R$3,$A881))</f>
        <v/>
      </c>
      <c r="S881" s="13" t="str">
        <f>IF($A881="","",[1]!thsiFinD("ths_adjustment_nv_fund",S$3,$A881))</f>
        <v/>
      </c>
      <c r="T881" s="13" t="str">
        <f>IF($A881="","",[1]!thsiFinD("ths_adjustment_nv_fund",T$3,$A881))</f>
        <v/>
      </c>
      <c r="U881" s="13" t="str">
        <f>IF($A881="","",[1]!thsiFinD("ths_adjustment_nv_fund",U$3,$A881))</f>
        <v/>
      </c>
      <c r="V881" s="13" t="str">
        <f>IF($A881="","",[1]!thsiFinD("ths_adjustment_nv_fund",V$3,$A881))</f>
        <v/>
      </c>
      <c r="W881" s="13" t="str">
        <f>IF($A881="","",[1]!thsiFinD("ths_adjustment_nv_fund",W$3,$A881))</f>
        <v/>
      </c>
      <c r="X881" s="13" t="str">
        <f>IF($A881="","",[1]!thsiFinD("ths_adjustment_nv_fund",X$3,$A881))</f>
        <v/>
      </c>
      <c r="Y881" s="13" t="str">
        <f>IF($A881="","",[1]!thsiFinD("ths_adjustment_nv_fund",Y$3,$A881))</f>
        <v/>
      </c>
      <c r="Z881" s="13" t="str">
        <f>IF($A881="","",[1]!thsiFinD("ths_adjustment_nv_fund",Z$3,$A881))</f>
        <v/>
      </c>
      <c r="AA881" s="13" t="str">
        <f>IF($A881="","",[1]!thsiFinD("ths_adjustment_nv_fund",AA$3,$A881))</f>
        <v/>
      </c>
      <c r="AB881" s="13">
        <f>IF($A881="","",[1]!thsiFinD("ths_adjustment_nv_fund",AB$3,$A881))</f>
        <v/>
      </c>
      <c r="AC881" s="13">
        <f>IF($A881="","",[1]!thsiFinD("ths_adjustment_nv_fund",AC$3,$A881))</f>
        <v/>
      </c>
      <c r="AD881" s="13">
        <f>IF($A881="","",[1]!thsiFinD("ths_adjustment_nv_fund",AD$3,$A881))</f>
        <v/>
      </c>
      <c r="AE881" s="13">
        <f>IF($A881="","",[1]!thsiFinD("ths_adjustment_nv_fund",AE$3,$A881))</f>
        <v/>
      </c>
      <c r="AF881" s="13">
        <f>IF($A881="","",[1]!thsiFinD("ths_adjustment_nv_fund",AF$3,$A881))</f>
        <v/>
      </c>
      <c r="AG881" s="13">
        <f>IF($A881="","",[1]!thsiFinD("ths_adjustment_nv_fund",AG$3,$A881))</f>
        <v/>
      </c>
      <c r="AH881" s="13">
        <f>IF($A881="","",[1]!thsiFinD("ths_adjustment_nv_fund",AH$3,$A881))</f>
        <v/>
      </c>
      <c r="AI881" s="13">
        <f>IF($A881="","",[1]!thsiFinD("ths_adjustment_nv_fund",AI$3,$A881))</f>
        <v/>
      </c>
      <c r="AJ881" s="13">
        <f>IF($A881="","",[1]!thsiFinD("ths_adjustment_nv_fund",AJ$3,$A881))</f>
        <v/>
      </c>
      <c r="AK881" s="13">
        <f>IF($A881="","",[1]!thsiFinD("ths_adjustment_nv_fund",AK$3,$A881))</f>
        <v/>
      </c>
      <c r="AL881" s="13">
        <f>IF($A881="","",[1]!thsiFinD("ths_adjustment_nv_fund",AL$3,$A881))</f>
        <v/>
      </c>
    </row>
    <row r="882" spans="2:28">
      <c r="B882" s="13" t="str">
        <f>IF($A882="","",[1]!thsiFinD("ths_adjustment_nv_fund",B$3,$A882))</f>
        <v/>
      </c>
      <c r="C882" s="13" t="str">
        <f>IF($A882="","",[1]!thsiFinD("ths_adjustment_nv_fund",C$3,$A882))</f>
        <v/>
      </c>
      <c r="D882" s="13" t="str">
        <f>IF($A882="","",[1]!thsiFinD("ths_adjustment_nv_fund",D$3,$A882))</f>
        <v/>
      </c>
      <c r="E882" s="13" t="str">
        <f>IF($A882="","",[1]!thsiFinD("ths_adjustment_nv_fund",E$3,$A882))</f>
        <v/>
      </c>
      <c r="F882" s="13" t="str">
        <f>IF($A882="","",[1]!thsiFinD("ths_adjustment_nv_fund",F$3,$A882))</f>
        <v/>
      </c>
      <c r="G882" s="13" t="str">
        <f>IF($A882="","",[1]!thsiFinD("ths_adjustment_nv_fund",G$3,$A882))</f>
        <v/>
      </c>
      <c r="H882" s="13" t="str">
        <f>IF($A882="","",[1]!thsiFinD("ths_adjustment_nv_fund",H$3,$A882))</f>
        <v/>
      </c>
      <c r="I882" s="13" t="str">
        <f>IF($A882="","",[1]!thsiFinD("ths_adjustment_nv_fund",I$3,$A882))</f>
        <v/>
      </c>
      <c r="J882" s="13" t="str">
        <f>IF($A882="","",[1]!thsiFinD("ths_adjustment_nv_fund",J$3,$A882))</f>
        <v/>
      </c>
      <c r="K882" s="13" t="str">
        <f>IF($A882="","",[1]!thsiFinD("ths_adjustment_nv_fund",K$3,$A882))</f>
        <v/>
      </c>
      <c r="L882" s="13" t="str">
        <f>IF($A882="","",[1]!thsiFinD("ths_adjustment_nv_fund",L$3,$A882))</f>
        <v/>
      </c>
      <c r="M882" s="13" t="str">
        <f>IF($A882="","",[1]!thsiFinD("ths_adjustment_nv_fund",M$3,$A882))</f>
        <v/>
      </c>
      <c r="N882" s="13" t="str">
        <f>IF($A882="","",[1]!thsiFinD("ths_adjustment_nv_fund",N$3,$A882))</f>
        <v/>
      </c>
      <c r="O882" s="13" t="str">
        <f>IF($A882="","",[1]!thsiFinD("ths_adjustment_nv_fund",O$3,$A882))</f>
        <v/>
      </c>
      <c r="P882" s="13" t="str">
        <f>IF($A882="","",[1]!thsiFinD("ths_adjustment_nv_fund",P$3,$A882))</f>
        <v/>
      </c>
      <c r="Q882" s="13" t="str">
        <f>IF($A882="","",[1]!thsiFinD("ths_adjustment_nv_fund",Q$3,$A882))</f>
        <v/>
      </c>
      <c r="R882" s="13" t="str">
        <f>IF($A882="","",[1]!thsiFinD("ths_adjustment_nv_fund",R$3,$A882))</f>
        <v/>
      </c>
      <c r="S882" s="13" t="str">
        <f>IF($A882="","",[1]!thsiFinD("ths_adjustment_nv_fund",S$3,$A882))</f>
        <v/>
      </c>
      <c r="T882" s="13" t="str">
        <f>IF($A882="","",[1]!thsiFinD("ths_adjustment_nv_fund",T$3,$A882))</f>
        <v/>
      </c>
      <c r="U882" s="13" t="str">
        <f>IF($A882="","",[1]!thsiFinD("ths_adjustment_nv_fund",U$3,$A882))</f>
        <v/>
      </c>
      <c r="V882" s="13" t="str">
        <f>IF($A882="","",[1]!thsiFinD("ths_adjustment_nv_fund",V$3,$A882))</f>
        <v/>
      </c>
      <c r="W882" s="13" t="str">
        <f>IF($A882="","",[1]!thsiFinD("ths_adjustment_nv_fund",W$3,$A882))</f>
        <v/>
      </c>
      <c r="X882" s="13" t="str">
        <f>IF($A882="","",[1]!thsiFinD("ths_adjustment_nv_fund",X$3,$A882))</f>
        <v/>
      </c>
      <c r="Y882" s="13" t="str">
        <f>IF($A882="","",[1]!thsiFinD("ths_adjustment_nv_fund",Y$3,$A882))</f>
        <v/>
      </c>
      <c r="Z882" s="13" t="str">
        <f>IF($A882="","",[1]!thsiFinD("ths_adjustment_nv_fund",Z$3,$A882))</f>
        <v/>
      </c>
      <c r="AA882" s="13" t="str">
        <f>IF($A882="","",[1]!thsiFinD("ths_adjustment_nv_fund",AA$3,$A882))</f>
        <v/>
      </c>
      <c r="AB882" s="13">
        <f>IF($A882="","",[1]!thsiFinD("ths_adjustment_nv_fund",AB$3,$A882))</f>
        <v/>
      </c>
      <c r="AC882" s="13">
        <f>IF($A882="","",[1]!thsiFinD("ths_adjustment_nv_fund",AC$3,$A882))</f>
        <v/>
      </c>
      <c r="AD882" s="13">
        <f>IF($A882="","",[1]!thsiFinD("ths_adjustment_nv_fund",AD$3,$A882))</f>
        <v/>
      </c>
      <c r="AE882" s="13">
        <f>IF($A882="","",[1]!thsiFinD("ths_adjustment_nv_fund",AE$3,$A882))</f>
        <v/>
      </c>
      <c r="AF882" s="13">
        <f>IF($A882="","",[1]!thsiFinD("ths_adjustment_nv_fund",AF$3,$A882))</f>
        <v/>
      </c>
      <c r="AG882" s="13">
        <f>IF($A882="","",[1]!thsiFinD("ths_adjustment_nv_fund",AG$3,$A882))</f>
        <v/>
      </c>
      <c r="AH882" s="13">
        <f>IF($A882="","",[1]!thsiFinD("ths_adjustment_nv_fund",AH$3,$A882))</f>
        <v/>
      </c>
      <c r="AI882" s="13">
        <f>IF($A882="","",[1]!thsiFinD("ths_adjustment_nv_fund",AI$3,$A882))</f>
        <v/>
      </c>
      <c r="AJ882" s="13">
        <f>IF($A882="","",[1]!thsiFinD("ths_adjustment_nv_fund",AJ$3,$A882))</f>
        <v/>
      </c>
      <c r="AK882" s="13">
        <f>IF($A882="","",[1]!thsiFinD("ths_adjustment_nv_fund",AK$3,$A882))</f>
        <v/>
      </c>
      <c r="AL882" s="13">
        <f>IF($A882="","",[1]!thsiFinD("ths_adjustment_nv_fund",AL$3,$A882))</f>
        <v/>
      </c>
    </row>
    <row r="883" spans="2:28">
      <c r="B883" s="13" t="str">
        <f>IF($A883="","",[1]!thsiFinD("ths_adjustment_nv_fund",B$3,$A883))</f>
        <v/>
      </c>
      <c r="C883" s="13" t="str">
        <f>IF($A883="","",[1]!thsiFinD("ths_adjustment_nv_fund",C$3,$A883))</f>
        <v/>
      </c>
      <c r="D883" s="13" t="str">
        <f>IF($A883="","",[1]!thsiFinD("ths_adjustment_nv_fund",D$3,$A883))</f>
        <v/>
      </c>
      <c r="E883" s="13" t="str">
        <f>IF($A883="","",[1]!thsiFinD("ths_adjustment_nv_fund",E$3,$A883))</f>
        <v/>
      </c>
      <c r="F883" s="13" t="str">
        <f>IF($A883="","",[1]!thsiFinD("ths_adjustment_nv_fund",F$3,$A883))</f>
        <v/>
      </c>
      <c r="G883" s="13" t="str">
        <f>IF($A883="","",[1]!thsiFinD("ths_adjustment_nv_fund",G$3,$A883))</f>
        <v/>
      </c>
      <c r="H883" s="13" t="str">
        <f>IF($A883="","",[1]!thsiFinD("ths_adjustment_nv_fund",H$3,$A883))</f>
        <v/>
      </c>
      <c r="I883" s="13" t="str">
        <f>IF($A883="","",[1]!thsiFinD("ths_adjustment_nv_fund",I$3,$A883))</f>
        <v/>
      </c>
      <c r="J883" s="13" t="str">
        <f>IF($A883="","",[1]!thsiFinD("ths_adjustment_nv_fund",J$3,$A883))</f>
        <v/>
      </c>
      <c r="K883" s="13" t="str">
        <f>IF($A883="","",[1]!thsiFinD("ths_adjustment_nv_fund",K$3,$A883))</f>
        <v/>
      </c>
      <c r="L883" s="13" t="str">
        <f>IF($A883="","",[1]!thsiFinD("ths_adjustment_nv_fund",L$3,$A883))</f>
        <v/>
      </c>
      <c r="M883" s="13" t="str">
        <f>IF($A883="","",[1]!thsiFinD("ths_adjustment_nv_fund",M$3,$A883))</f>
        <v/>
      </c>
      <c r="N883" s="13" t="str">
        <f>IF($A883="","",[1]!thsiFinD("ths_adjustment_nv_fund",N$3,$A883))</f>
        <v/>
      </c>
      <c r="O883" s="13" t="str">
        <f>IF($A883="","",[1]!thsiFinD("ths_adjustment_nv_fund",O$3,$A883))</f>
        <v/>
      </c>
      <c r="P883" s="13" t="str">
        <f>IF($A883="","",[1]!thsiFinD("ths_adjustment_nv_fund",P$3,$A883))</f>
        <v/>
      </c>
      <c r="Q883" s="13" t="str">
        <f>IF($A883="","",[1]!thsiFinD("ths_adjustment_nv_fund",Q$3,$A883))</f>
        <v/>
      </c>
      <c r="R883" s="13" t="str">
        <f>IF($A883="","",[1]!thsiFinD("ths_adjustment_nv_fund",R$3,$A883))</f>
        <v/>
      </c>
      <c r="S883" s="13" t="str">
        <f>IF($A883="","",[1]!thsiFinD("ths_adjustment_nv_fund",S$3,$A883))</f>
        <v/>
      </c>
      <c r="T883" s="13" t="str">
        <f>IF($A883="","",[1]!thsiFinD("ths_adjustment_nv_fund",T$3,$A883))</f>
        <v/>
      </c>
      <c r="U883" s="13" t="str">
        <f>IF($A883="","",[1]!thsiFinD("ths_adjustment_nv_fund",U$3,$A883))</f>
        <v/>
      </c>
      <c r="V883" s="13" t="str">
        <f>IF($A883="","",[1]!thsiFinD("ths_adjustment_nv_fund",V$3,$A883))</f>
        <v/>
      </c>
      <c r="W883" s="13" t="str">
        <f>IF($A883="","",[1]!thsiFinD("ths_adjustment_nv_fund",W$3,$A883))</f>
        <v/>
      </c>
      <c r="X883" s="13" t="str">
        <f>IF($A883="","",[1]!thsiFinD("ths_adjustment_nv_fund",X$3,$A883))</f>
        <v/>
      </c>
      <c r="Y883" s="13" t="str">
        <f>IF($A883="","",[1]!thsiFinD("ths_adjustment_nv_fund",Y$3,$A883))</f>
        <v/>
      </c>
      <c r="Z883" s="13" t="str">
        <f>IF($A883="","",[1]!thsiFinD("ths_adjustment_nv_fund",Z$3,$A883))</f>
        <v/>
      </c>
      <c r="AA883" s="13" t="str">
        <f>IF($A883="","",[1]!thsiFinD("ths_adjustment_nv_fund",AA$3,$A883))</f>
        <v/>
      </c>
      <c r="AB883" s="13">
        <f>IF($A883="","",[1]!thsiFinD("ths_adjustment_nv_fund",AB$3,$A883))</f>
        <v/>
      </c>
      <c r="AC883" s="13">
        <f>IF($A883="","",[1]!thsiFinD("ths_adjustment_nv_fund",AC$3,$A883))</f>
        <v/>
      </c>
      <c r="AD883" s="13">
        <f>IF($A883="","",[1]!thsiFinD("ths_adjustment_nv_fund",AD$3,$A883))</f>
        <v/>
      </c>
      <c r="AE883" s="13">
        <f>IF($A883="","",[1]!thsiFinD("ths_adjustment_nv_fund",AE$3,$A883))</f>
        <v/>
      </c>
      <c r="AF883" s="13">
        <f>IF($A883="","",[1]!thsiFinD("ths_adjustment_nv_fund",AF$3,$A883))</f>
        <v/>
      </c>
      <c r="AG883" s="13">
        <f>IF($A883="","",[1]!thsiFinD("ths_adjustment_nv_fund",AG$3,$A883))</f>
        <v/>
      </c>
      <c r="AH883" s="13">
        <f>IF($A883="","",[1]!thsiFinD("ths_adjustment_nv_fund",AH$3,$A883))</f>
        <v/>
      </c>
      <c r="AI883" s="13">
        <f>IF($A883="","",[1]!thsiFinD("ths_adjustment_nv_fund",AI$3,$A883))</f>
        <v/>
      </c>
      <c r="AJ883" s="13">
        <f>IF($A883="","",[1]!thsiFinD("ths_adjustment_nv_fund",AJ$3,$A883))</f>
        <v/>
      </c>
      <c r="AK883" s="13">
        <f>IF($A883="","",[1]!thsiFinD("ths_adjustment_nv_fund",AK$3,$A883))</f>
        <v/>
      </c>
      <c r="AL883" s="13">
        <f>IF($A883="","",[1]!thsiFinD("ths_adjustment_nv_fund",AL$3,$A883))</f>
        <v/>
      </c>
    </row>
    <row r="884" spans="2:28">
      <c r="B884" s="13" t="str">
        <f>IF($A884="","",[1]!thsiFinD("ths_adjustment_nv_fund",B$3,$A884))</f>
        <v/>
      </c>
      <c r="C884" s="13" t="str">
        <f>IF($A884="","",[1]!thsiFinD("ths_adjustment_nv_fund",C$3,$A884))</f>
        <v/>
      </c>
      <c r="D884" s="13" t="str">
        <f>IF($A884="","",[1]!thsiFinD("ths_adjustment_nv_fund",D$3,$A884))</f>
        <v/>
      </c>
      <c r="E884" s="13" t="str">
        <f>IF($A884="","",[1]!thsiFinD("ths_adjustment_nv_fund",E$3,$A884))</f>
        <v/>
      </c>
      <c r="F884" s="13" t="str">
        <f>IF($A884="","",[1]!thsiFinD("ths_adjustment_nv_fund",F$3,$A884))</f>
        <v/>
      </c>
      <c r="G884" s="13" t="str">
        <f>IF($A884="","",[1]!thsiFinD("ths_adjustment_nv_fund",G$3,$A884))</f>
        <v/>
      </c>
      <c r="H884" s="13" t="str">
        <f>IF($A884="","",[1]!thsiFinD("ths_adjustment_nv_fund",H$3,$A884))</f>
        <v/>
      </c>
      <c r="I884" s="13" t="str">
        <f>IF($A884="","",[1]!thsiFinD("ths_adjustment_nv_fund",I$3,$A884))</f>
        <v/>
      </c>
      <c r="J884" s="13" t="str">
        <f>IF($A884="","",[1]!thsiFinD("ths_adjustment_nv_fund",J$3,$A884))</f>
        <v/>
      </c>
      <c r="K884" s="13" t="str">
        <f>IF($A884="","",[1]!thsiFinD("ths_adjustment_nv_fund",K$3,$A884))</f>
        <v/>
      </c>
      <c r="L884" s="13" t="str">
        <f>IF($A884="","",[1]!thsiFinD("ths_adjustment_nv_fund",L$3,$A884))</f>
        <v/>
      </c>
      <c r="M884" s="13" t="str">
        <f>IF($A884="","",[1]!thsiFinD("ths_adjustment_nv_fund",M$3,$A884))</f>
        <v/>
      </c>
      <c r="N884" s="13" t="str">
        <f>IF($A884="","",[1]!thsiFinD("ths_adjustment_nv_fund",N$3,$A884))</f>
        <v/>
      </c>
      <c r="O884" s="13" t="str">
        <f>IF($A884="","",[1]!thsiFinD("ths_adjustment_nv_fund",O$3,$A884))</f>
        <v/>
      </c>
      <c r="P884" s="13" t="str">
        <f>IF($A884="","",[1]!thsiFinD("ths_adjustment_nv_fund",P$3,$A884))</f>
        <v/>
      </c>
      <c r="Q884" s="13" t="str">
        <f>IF($A884="","",[1]!thsiFinD("ths_adjustment_nv_fund",Q$3,$A884))</f>
        <v/>
      </c>
      <c r="R884" s="13" t="str">
        <f>IF($A884="","",[1]!thsiFinD("ths_adjustment_nv_fund",R$3,$A884))</f>
        <v/>
      </c>
      <c r="S884" s="13" t="str">
        <f>IF($A884="","",[1]!thsiFinD("ths_adjustment_nv_fund",S$3,$A884))</f>
        <v/>
      </c>
      <c r="T884" s="13" t="str">
        <f>IF($A884="","",[1]!thsiFinD("ths_adjustment_nv_fund",T$3,$A884))</f>
        <v/>
      </c>
      <c r="U884" s="13" t="str">
        <f>IF($A884="","",[1]!thsiFinD("ths_adjustment_nv_fund",U$3,$A884))</f>
        <v/>
      </c>
      <c r="V884" s="13" t="str">
        <f>IF($A884="","",[1]!thsiFinD("ths_adjustment_nv_fund",V$3,$A884))</f>
        <v/>
      </c>
      <c r="W884" s="13" t="str">
        <f>IF($A884="","",[1]!thsiFinD("ths_adjustment_nv_fund",W$3,$A884))</f>
        <v/>
      </c>
      <c r="X884" s="13" t="str">
        <f>IF($A884="","",[1]!thsiFinD("ths_adjustment_nv_fund",X$3,$A884))</f>
        <v/>
      </c>
      <c r="Y884" s="13" t="str">
        <f>IF($A884="","",[1]!thsiFinD("ths_adjustment_nv_fund",Y$3,$A884))</f>
        <v/>
      </c>
      <c r="Z884" s="13" t="str">
        <f>IF($A884="","",[1]!thsiFinD("ths_adjustment_nv_fund",Z$3,$A884))</f>
        <v/>
      </c>
      <c r="AA884" s="13" t="str">
        <f>IF($A884="","",[1]!thsiFinD("ths_adjustment_nv_fund",AA$3,$A884))</f>
        <v/>
      </c>
      <c r="AB884" s="13">
        <f>IF($A884="","",[1]!thsiFinD("ths_adjustment_nv_fund",AB$3,$A884))</f>
        <v/>
      </c>
      <c r="AC884" s="13">
        <f>IF($A884="","",[1]!thsiFinD("ths_adjustment_nv_fund",AC$3,$A884))</f>
        <v/>
      </c>
      <c r="AD884" s="13">
        <f>IF($A884="","",[1]!thsiFinD("ths_adjustment_nv_fund",AD$3,$A884))</f>
        <v/>
      </c>
      <c r="AE884" s="13">
        <f>IF($A884="","",[1]!thsiFinD("ths_adjustment_nv_fund",AE$3,$A884))</f>
        <v/>
      </c>
      <c r="AF884" s="13">
        <f>IF($A884="","",[1]!thsiFinD("ths_adjustment_nv_fund",AF$3,$A884))</f>
        <v/>
      </c>
      <c r="AG884" s="13">
        <f>IF($A884="","",[1]!thsiFinD("ths_adjustment_nv_fund",AG$3,$A884))</f>
        <v/>
      </c>
      <c r="AH884" s="13">
        <f>IF($A884="","",[1]!thsiFinD("ths_adjustment_nv_fund",AH$3,$A884))</f>
        <v/>
      </c>
      <c r="AI884" s="13">
        <f>IF($A884="","",[1]!thsiFinD("ths_adjustment_nv_fund",AI$3,$A884))</f>
        <v/>
      </c>
      <c r="AJ884" s="13">
        <f>IF($A884="","",[1]!thsiFinD("ths_adjustment_nv_fund",AJ$3,$A884))</f>
        <v/>
      </c>
      <c r="AK884" s="13">
        <f>IF($A884="","",[1]!thsiFinD("ths_adjustment_nv_fund",AK$3,$A884))</f>
        <v/>
      </c>
      <c r="AL884" s="13">
        <f>IF($A884="","",[1]!thsiFinD("ths_adjustment_nv_fund",AL$3,$A884))</f>
        <v/>
      </c>
    </row>
    <row r="885" spans="2:28">
      <c r="B885" s="13" t="str">
        <f>IF($A885="","",[1]!thsiFinD("ths_adjustment_nv_fund",B$3,$A885))</f>
        <v/>
      </c>
      <c r="C885" s="13" t="str">
        <f>IF($A885="","",[1]!thsiFinD("ths_adjustment_nv_fund",C$3,$A885))</f>
        <v/>
      </c>
      <c r="D885" s="13" t="str">
        <f>IF($A885="","",[1]!thsiFinD("ths_adjustment_nv_fund",D$3,$A885))</f>
        <v/>
      </c>
      <c r="E885" s="13" t="str">
        <f>IF($A885="","",[1]!thsiFinD("ths_adjustment_nv_fund",E$3,$A885))</f>
        <v/>
      </c>
      <c r="F885" s="13" t="str">
        <f>IF($A885="","",[1]!thsiFinD("ths_adjustment_nv_fund",F$3,$A885))</f>
        <v/>
      </c>
      <c r="G885" s="13" t="str">
        <f>IF($A885="","",[1]!thsiFinD("ths_adjustment_nv_fund",G$3,$A885))</f>
        <v/>
      </c>
      <c r="H885" s="13" t="str">
        <f>IF($A885="","",[1]!thsiFinD("ths_adjustment_nv_fund",H$3,$A885))</f>
        <v/>
      </c>
      <c r="I885" s="13" t="str">
        <f>IF($A885="","",[1]!thsiFinD("ths_adjustment_nv_fund",I$3,$A885))</f>
        <v/>
      </c>
      <c r="J885" s="13" t="str">
        <f>IF($A885="","",[1]!thsiFinD("ths_adjustment_nv_fund",J$3,$A885))</f>
        <v/>
      </c>
      <c r="K885" s="13" t="str">
        <f>IF($A885="","",[1]!thsiFinD("ths_adjustment_nv_fund",K$3,$A885))</f>
        <v/>
      </c>
      <c r="L885" s="13" t="str">
        <f>IF($A885="","",[1]!thsiFinD("ths_adjustment_nv_fund",L$3,$A885))</f>
        <v/>
      </c>
      <c r="M885" s="13" t="str">
        <f>IF($A885="","",[1]!thsiFinD("ths_adjustment_nv_fund",M$3,$A885))</f>
        <v/>
      </c>
      <c r="N885" s="13" t="str">
        <f>IF($A885="","",[1]!thsiFinD("ths_adjustment_nv_fund",N$3,$A885))</f>
        <v/>
      </c>
      <c r="O885" s="13" t="str">
        <f>IF($A885="","",[1]!thsiFinD("ths_adjustment_nv_fund",O$3,$A885))</f>
        <v/>
      </c>
      <c r="P885" s="13" t="str">
        <f>IF($A885="","",[1]!thsiFinD("ths_adjustment_nv_fund",P$3,$A885))</f>
        <v/>
      </c>
      <c r="Q885" s="13" t="str">
        <f>IF($A885="","",[1]!thsiFinD("ths_adjustment_nv_fund",Q$3,$A885))</f>
        <v/>
      </c>
      <c r="R885" s="13" t="str">
        <f>IF($A885="","",[1]!thsiFinD("ths_adjustment_nv_fund",R$3,$A885))</f>
        <v/>
      </c>
      <c r="S885" s="13" t="str">
        <f>IF($A885="","",[1]!thsiFinD("ths_adjustment_nv_fund",S$3,$A885))</f>
        <v/>
      </c>
      <c r="T885" s="13" t="str">
        <f>IF($A885="","",[1]!thsiFinD("ths_adjustment_nv_fund",T$3,$A885))</f>
        <v/>
      </c>
      <c r="U885" s="13" t="str">
        <f>IF($A885="","",[1]!thsiFinD("ths_adjustment_nv_fund",U$3,$A885))</f>
        <v/>
      </c>
      <c r="V885" s="13" t="str">
        <f>IF($A885="","",[1]!thsiFinD("ths_adjustment_nv_fund",V$3,$A885))</f>
        <v/>
      </c>
      <c r="W885" s="13" t="str">
        <f>IF($A885="","",[1]!thsiFinD("ths_adjustment_nv_fund",W$3,$A885))</f>
        <v/>
      </c>
      <c r="X885" s="13" t="str">
        <f>IF($A885="","",[1]!thsiFinD("ths_adjustment_nv_fund",X$3,$A885))</f>
        <v/>
      </c>
      <c r="Y885" s="13" t="str">
        <f>IF($A885="","",[1]!thsiFinD("ths_adjustment_nv_fund",Y$3,$A885))</f>
        <v/>
      </c>
      <c r="Z885" s="13" t="str">
        <f>IF($A885="","",[1]!thsiFinD("ths_adjustment_nv_fund",Z$3,$A885))</f>
        <v/>
      </c>
      <c r="AA885" s="13" t="str">
        <f>IF($A885="","",[1]!thsiFinD("ths_adjustment_nv_fund",AA$3,$A885))</f>
        <v/>
      </c>
      <c r="AB885" s="13">
        <f>IF($A885="","",[1]!thsiFinD("ths_adjustment_nv_fund",AB$3,$A885))</f>
        <v/>
      </c>
      <c r="AC885" s="13">
        <f>IF($A885="","",[1]!thsiFinD("ths_adjustment_nv_fund",AC$3,$A885))</f>
        <v/>
      </c>
      <c r="AD885" s="13">
        <f>IF($A885="","",[1]!thsiFinD("ths_adjustment_nv_fund",AD$3,$A885))</f>
        <v/>
      </c>
      <c r="AE885" s="13">
        <f>IF($A885="","",[1]!thsiFinD("ths_adjustment_nv_fund",AE$3,$A885))</f>
        <v/>
      </c>
      <c r="AF885" s="13">
        <f>IF($A885="","",[1]!thsiFinD("ths_adjustment_nv_fund",AF$3,$A885))</f>
        <v/>
      </c>
      <c r="AG885" s="13">
        <f>IF($A885="","",[1]!thsiFinD("ths_adjustment_nv_fund",AG$3,$A885))</f>
        <v/>
      </c>
      <c r="AH885" s="13">
        <f>IF($A885="","",[1]!thsiFinD("ths_adjustment_nv_fund",AH$3,$A885))</f>
        <v/>
      </c>
      <c r="AI885" s="13">
        <f>IF($A885="","",[1]!thsiFinD("ths_adjustment_nv_fund",AI$3,$A885))</f>
        <v/>
      </c>
      <c r="AJ885" s="13">
        <f>IF($A885="","",[1]!thsiFinD("ths_adjustment_nv_fund",AJ$3,$A885))</f>
        <v/>
      </c>
      <c r="AK885" s="13">
        <f>IF($A885="","",[1]!thsiFinD("ths_adjustment_nv_fund",AK$3,$A885))</f>
        <v/>
      </c>
      <c r="AL885" s="13">
        <f>IF($A885="","",[1]!thsiFinD("ths_adjustment_nv_fund",AL$3,$A885))</f>
        <v/>
      </c>
    </row>
    <row r="886" spans="2:28">
      <c r="B886" s="13" t="str">
        <f>IF($A886="","",[1]!thsiFinD("ths_adjustment_nv_fund",B$3,$A886))</f>
        <v/>
      </c>
      <c r="C886" s="13" t="str">
        <f>IF($A886="","",[1]!thsiFinD("ths_adjustment_nv_fund",C$3,$A886))</f>
        <v/>
      </c>
      <c r="D886" s="13" t="str">
        <f>IF($A886="","",[1]!thsiFinD("ths_adjustment_nv_fund",D$3,$A886))</f>
        <v/>
      </c>
      <c r="E886" s="13" t="str">
        <f>IF($A886="","",[1]!thsiFinD("ths_adjustment_nv_fund",E$3,$A886))</f>
        <v/>
      </c>
      <c r="F886" s="13" t="str">
        <f>IF($A886="","",[1]!thsiFinD("ths_adjustment_nv_fund",F$3,$A886))</f>
        <v/>
      </c>
      <c r="G886" s="13" t="str">
        <f>IF($A886="","",[1]!thsiFinD("ths_adjustment_nv_fund",G$3,$A886))</f>
        <v/>
      </c>
      <c r="H886" s="13" t="str">
        <f>IF($A886="","",[1]!thsiFinD("ths_adjustment_nv_fund",H$3,$A886))</f>
        <v/>
      </c>
      <c r="I886" s="13" t="str">
        <f>IF($A886="","",[1]!thsiFinD("ths_adjustment_nv_fund",I$3,$A886))</f>
        <v/>
      </c>
      <c r="J886" s="13" t="str">
        <f>IF($A886="","",[1]!thsiFinD("ths_adjustment_nv_fund",J$3,$A886))</f>
        <v/>
      </c>
      <c r="K886" s="13" t="str">
        <f>IF($A886="","",[1]!thsiFinD("ths_adjustment_nv_fund",K$3,$A886))</f>
        <v/>
      </c>
      <c r="L886" s="13" t="str">
        <f>IF($A886="","",[1]!thsiFinD("ths_adjustment_nv_fund",L$3,$A886))</f>
        <v/>
      </c>
      <c r="M886" s="13" t="str">
        <f>IF($A886="","",[1]!thsiFinD("ths_adjustment_nv_fund",M$3,$A886))</f>
        <v/>
      </c>
      <c r="N886" s="13" t="str">
        <f>IF($A886="","",[1]!thsiFinD("ths_adjustment_nv_fund",N$3,$A886))</f>
        <v/>
      </c>
      <c r="O886" s="13" t="str">
        <f>IF($A886="","",[1]!thsiFinD("ths_adjustment_nv_fund",O$3,$A886))</f>
        <v/>
      </c>
      <c r="P886" s="13" t="str">
        <f>IF($A886="","",[1]!thsiFinD("ths_adjustment_nv_fund",P$3,$A886))</f>
        <v/>
      </c>
      <c r="Q886" s="13" t="str">
        <f>IF($A886="","",[1]!thsiFinD("ths_adjustment_nv_fund",Q$3,$A886))</f>
        <v/>
      </c>
      <c r="R886" s="13" t="str">
        <f>IF($A886="","",[1]!thsiFinD("ths_adjustment_nv_fund",R$3,$A886))</f>
        <v/>
      </c>
      <c r="S886" s="13" t="str">
        <f>IF($A886="","",[1]!thsiFinD("ths_adjustment_nv_fund",S$3,$A886))</f>
        <v/>
      </c>
      <c r="T886" s="13" t="str">
        <f>IF($A886="","",[1]!thsiFinD("ths_adjustment_nv_fund",T$3,$A886))</f>
        <v/>
      </c>
      <c r="U886" s="13" t="str">
        <f>IF($A886="","",[1]!thsiFinD("ths_adjustment_nv_fund",U$3,$A886))</f>
        <v/>
      </c>
      <c r="V886" s="13" t="str">
        <f>IF($A886="","",[1]!thsiFinD("ths_adjustment_nv_fund",V$3,$A886))</f>
        <v/>
      </c>
      <c r="W886" s="13" t="str">
        <f>IF($A886="","",[1]!thsiFinD("ths_adjustment_nv_fund",W$3,$A886))</f>
        <v/>
      </c>
      <c r="X886" s="13" t="str">
        <f>IF($A886="","",[1]!thsiFinD("ths_adjustment_nv_fund",X$3,$A886))</f>
        <v/>
      </c>
      <c r="Y886" s="13" t="str">
        <f>IF($A886="","",[1]!thsiFinD("ths_adjustment_nv_fund",Y$3,$A886))</f>
        <v/>
      </c>
      <c r="Z886" s="13" t="str">
        <f>IF($A886="","",[1]!thsiFinD("ths_adjustment_nv_fund",Z$3,$A886))</f>
        <v/>
      </c>
      <c r="AA886" s="13" t="str">
        <f>IF($A886="","",[1]!thsiFinD("ths_adjustment_nv_fund",AA$3,$A886))</f>
        <v/>
      </c>
      <c r="AB886" s="13">
        <f>IF($A886="","",[1]!thsiFinD("ths_adjustment_nv_fund",AB$3,$A886))</f>
        <v/>
      </c>
      <c r="AC886" s="13">
        <f>IF($A886="","",[1]!thsiFinD("ths_adjustment_nv_fund",AC$3,$A886))</f>
        <v/>
      </c>
      <c r="AD886" s="13">
        <f>IF($A886="","",[1]!thsiFinD("ths_adjustment_nv_fund",AD$3,$A886))</f>
        <v/>
      </c>
      <c r="AE886" s="13">
        <f>IF($A886="","",[1]!thsiFinD("ths_adjustment_nv_fund",AE$3,$A886))</f>
        <v/>
      </c>
      <c r="AF886" s="13">
        <f>IF($A886="","",[1]!thsiFinD("ths_adjustment_nv_fund",AF$3,$A886))</f>
        <v/>
      </c>
      <c r="AG886" s="13">
        <f>IF($A886="","",[1]!thsiFinD("ths_adjustment_nv_fund",AG$3,$A886))</f>
        <v/>
      </c>
      <c r="AH886" s="13">
        <f>IF($A886="","",[1]!thsiFinD("ths_adjustment_nv_fund",AH$3,$A886))</f>
        <v/>
      </c>
      <c r="AI886" s="13">
        <f>IF($A886="","",[1]!thsiFinD("ths_adjustment_nv_fund",AI$3,$A886))</f>
        <v/>
      </c>
      <c r="AJ886" s="13">
        <f>IF($A886="","",[1]!thsiFinD("ths_adjustment_nv_fund",AJ$3,$A886))</f>
        <v/>
      </c>
      <c r="AK886" s="13">
        <f>IF($A886="","",[1]!thsiFinD("ths_adjustment_nv_fund",AK$3,$A886))</f>
        <v/>
      </c>
      <c r="AL886" s="13">
        <f>IF($A886="","",[1]!thsiFinD("ths_adjustment_nv_fund",AL$3,$A886))</f>
        <v/>
      </c>
    </row>
    <row r="887" spans="2:28">
      <c r="B887" s="13" t="str">
        <f>IF($A887="","",[1]!thsiFinD("ths_adjustment_nv_fund",B$3,$A887))</f>
        <v/>
      </c>
      <c r="C887" s="13" t="str">
        <f>IF($A887="","",[1]!thsiFinD("ths_adjustment_nv_fund",C$3,$A887))</f>
        <v/>
      </c>
      <c r="D887" s="13" t="str">
        <f>IF($A887="","",[1]!thsiFinD("ths_adjustment_nv_fund",D$3,$A887))</f>
        <v/>
      </c>
      <c r="E887" s="13" t="str">
        <f>IF($A887="","",[1]!thsiFinD("ths_adjustment_nv_fund",E$3,$A887))</f>
        <v/>
      </c>
      <c r="F887" s="13" t="str">
        <f>IF($A887="","",[1]!thsiFinD("ths_adjustment_nv_fund",F$3,$A887))</f>
        <v/>
      </c>
      <c r="G887" s="13" t="str">
        <f>IF($A887="","",[1]!thsiFinD("ths_adjustment_nv_fund",G$3,$A887))</f>
        <v/>
      </c>
      <c r="H887" s="13" t="str">
        <f>IF($A887="","",[1]!thsiFinD("ths_adjustment_nv_fund",H$3,$A887))</f>
        <v/>
      </c>
      <c r="I887" s="13" t="str">
        <f>IF($A887="","",[1]!thsiFinD("ths_adjustment_nv_fund",I$3,$A887))</f>
        <v/>
      </c>
      <c r="J887" s="13" t="str">
        <f>IF($A887="","",[1]!thsiFinD("ths_adjustment_nv_fund",J$3,$A887))</f>
        <v/>
      </c>
      <c r="K887" s="13" t="str">
        <f>IF($A887="","",[1]!thsiFinD("ths_adjustment_nv_fund",K$3,$A887))</f>
        <v/>
      </c>
      <c r="L887" s="13" t="str">
        <f>IF($A887="","",[1]!thsiFinD("ths_adjustment_nv_fund",L$3,$A887))</f>
        <v/>
      </c>
      <c r="M887" s="13" t="str">
        <f>IF($A887="","",[1]!thsiFinD("ths_adjustment_nv_fund",M$3,$A887))</f>
        <v/>
      </c>
      <c r="N887" s="13" t="str">
        <f>IF($A887="","",[1]!thsiFinD("ths_adjustment_nv_fund",N$3,$A887))</f>
        <v/>
      </c>
      <c r="O887" s="13" t="str">
        <f>IF($A887="","",[1]!thsiFinD("ths_adjustment_nv_fund",O$3,$A887))</f>
        <v/>
      </c>
      <c r="P887" s="13" t="str">
        <f>IF($A887="","",[1]!thsiFinD("ths_adjustment_nv_fund",P$3,$A887))</f>
        <v/>
      </c>
      <c r="Q887" s="13" t="str">
        <f>IF($A887="","",[1]!thsiFinD("ths_adjustment_nv_fund",Q$3,$A887))</f>
        <v/>
      </c>
      <c r="R887" s="13" t="str">
        <f>IF($A887="","",[1]!thsiFinD("ths_adjustment_nv_fund",R$3,$A887))</f>
        <v/>
      </c>
      <c r="S887" s="13" t="str">
        <f>IF($A887="","",[1]!thsiFinD("ths_adjustment_nv_fund",S$3,$A887))</f>
        <v/>
      </c>
      <c r="T887" s="13" t="str">
        <f>IF($A887="","",[1]!thsiFinD("ths_adjustment_nv_fund",T$3,$A887))</f>
        <v/>
      </c>
      <c r="U887" s="13" t="str">
        <f>IF($A887="","",[1]!thsiFinD("ths_adjustment_nv_fund",U$3,$A887))</f>
        <v/>
      </c>
      <c r="V887" s="13" t="str">
        <f>IF($A887="","",[1]!thsiFinD("ths_adjustment_nv_fund",V$3,$A887))</f>
        <v/>
      </c>
      <c r="W887" s="13" t="str">
        <f>IF($A887="","",[1]!thsiFinD("ths_adjustment_nv_fund",W$3,$A887))</f>
        <v/>
      </c>
      <c r="X887" s="13" t="str">
        <f>IF($A887="","",[1]!thsiFinD("ths_adjustment_nv_fund",X$3,$A887))</f>
        <v/>
      </c>
      <c r="Y887" s="13" t="str">
        <f>IF($A887="","",[1]!thsiFinD("ths_adjustment_nv_fund",Y$3,$A887))</f>
        <v/>
      </c>
      <c r="Z887" s="13" t="str">
        <f>IF($A887="","",[1]!thsiFinD("ths_adjustment_nv_fund",Z$3,$A887))</f>
        <v/>
      </c>
      <c r="AA887" s="13" t="str">
        <f>IF($A887="","",[1]!thsiFinD("ths_adjustment_nv_fund",AA$3,$A887))</f>
        <v/>
      </c>
      <c r="AB887" s="13">
        <f>IF($A887="","",[1]!thsiFinD("ths_adjustment_nv_fund",AB$3,$A887))</f>
        <v/>
      </c>
      <c r="AC887" s="13">
        <f>IF($A887="","",[1]!thsiFinD("ths_adjustment_nv_fund",AC$3,$A887))</f>
        <v/>
      </c>
      <c r="AD887" s="13">
        <f>IF($A887="","",[1]!thsiFinD("ths_adjustment_nv_fund",AD$3,$A887))</f>
        <v/>
      </c>
      <c r="AE887" s="13">
        <f>IF($A887="","",[1]!thsiFinD("ths_adjustment_nv_fund",AE$3,$A887))</f>
        <v/>
      </c>
      <c r="AF887" s="13">
        <f>IF($A887="","",[1]!thsiFinD("ths_adjustment_nv_fund",AF$3,$A887))</f>
        <v/>
      </c>
      <c r="AG887" s="13">
        <f>IF($A887="","",[1]!thsiFinD("ths_adjustment_nv_fund",AG$3,$A887))</f>
        <v/>
      </c>
      <c r="AH887" s="13">
        <f>IF($A887="","",[1]!thsiFinD("ths_adjustment_nv_fund",AH$3,$A887))</f>
        <v/>
      </c>
      <c r="AI887" s="13">
        <f>IF($A887="","",[1]!thsiFinD("ths_adjustment_nv_fund",AI$3,$A887))</f>
        <v/>
      </c>
      <c r="AJ887" s="13">
        <f>IF($A887="","",[1]!thsiFinD("ths_adjustment_nv_fund",AJ$3,$A887))</f>
        <v/>
      </c>
      <c r="AK887" s="13">
        <f>IF($A887="","",[1]!thsiFinD("ths_adjustment_nv_fund",AK$3,$A887))</f>
        <v/>
      </c>
      <c r="AL887" s="13">
        <f>IF($A887="","",[1]!thsiFinD("ths_adjustment_nv_fund",AL$3,$A887))</f>
        <v/>
      </c>
    </row>
    <row r="888" spans="2:28">
      <c r="B888" s="13" t="str">
        <f>IF($A888="","",[1]!thsiFinD("ths_adjustment_nv_fund",B$3,$A888))</f>
        <v/>
      </c>
      <c r="C888" s="13" t="str">
        <f>IF($A888="","",[1]!thsiFinD("ths_adjustment_nv_fund",C$3,$A888))</f>
        <v/>
      </c>
      <c r="D888" s="13" t="str">
        <f>IF($A888="","",[1]!thsiFinD("ths_adjustment_nv_fund",D$3,$A888))</f>
        <v/>
      </c>
      <c r="E888" s="13" t="str">
        <f>IF($A888="","",[1]!thsiFinD("ths_adjustment_nv_fund",E$3,$A888))</f>
        <v/>
      </c>
      <c r="F888" s="13" t="str">
        <f>IF($A888="","",[1]!thsiFinD("ths_adjustment_nv_fund",F$3,$A888))</f>
        <v/>
      </c>
      <c r="G888" s="13" t="str">
        <f>IF($A888="","",[1]!thsiFinD("ths_adjustment_nv_fund",G$3,$A888))</f>
        <v/>
      </c>
      <c r="H888" s="13" t="str">
        <f>IF($A888="","",[1]!thsiFinD("ths_adjustment_nv_fund",H$3,$A888))</f>
        <v/>
      </c>
      <c r="I888" s="13" t="str">
        <f>IF($A888="","",[1]!thsiFinD("ths_adjustment_nv_fund",I$3,$A888))</f>
        <v/>
      </c>
      <c r="J888" s="13" t="str">
        <f>IF($A888="","",[1]!thsiFinD("ths_adjustment_nv_fund",J$3,$A888))</f>
        <v/>
      </c>
      <c r="K888" s="13" t="str">
        <f>IF($A888="","",[1]!thsiFinD("ths_adjustment_nv_fund",K$3,$A888))</f>
        <v/>
      </c>
      <c r="L888" s="13" t="str">
        <f>IF($A888="","",[1]!thsiFinD("ths_adjustment_nv_fund",L$3,$A888))</f>
        <v/>
      </c>
      <c r="M888" s="13" t="str">
        <f>IF($A888="","",[1]!thsiFinD("ths_adjustment_nv_fund",M$3,$A888))</f>
        <v/>
      </c>
      <c r="N888" s="13" t="str">
        <f>IF($A888="","",[1]!thsiFinD("ths_adjustment_nv_fund",N$3,$A888))</f>
        <v/>
      </c>
      <c r="O888" s="13" t="str">
        <f>IF($A888="","",[1]!thsiFinD("ths_adjustment_nv_fund",O$3,$A888))</f>
        <v/>
      </c>
      <c r="P888" s="13" t="str">
        <f>IF($A888="","",[1]!thsiFinD("ths_adjustment_nv_fund",P$3,$A888))</f>
        <v/>
      </c>
      <c r="Q888" s="13" t="str">
        <f>IF($A888="","",[1]!thsiFinD("ths_adjustment_nv_fund",Q$3,$A888))</f>
        <v/>
      </c>
      <c r="R888" s="13" t="str">
        <f>IF($A888="","",[1]!thsiFinD("ths_adjustment_nv_fund",R$3,$A888))</f>
        <v/>
      </c>
      <c r="S888" s="13" t="str">
        <f>IF($A888="","",[1]!thsiFinD("ths_adjustment_nv_fund",S$3,$A888))</f>
        <v/>
      </c>
      <c r="T888" s="13" t="str">
        <f>IF($A888="","",[1]!thsiFinD("ths_adjustment_nv_fund",T$3,$A888))</f>
        <v/>
      </c>
      <c r="U888" s="13" t="str">
        <f>IF($A888="","",[1]!thsiFinD("ths_adjustment_nv_fund",U$3,$A888))</f>
        <v/>
      </c>
      <c r="V888" s="13" t="str">
        <f>IF($A888="","",[1]!thsiFinD("ths_adjustment_nv_fund",V$3,$A888))</f>
        <v/>
      </c>
      <c r="W888" s="13" t="str">
        <f>IF($A888="","",[1]!thsiFinD("ths_adjustment_nv_fund",W$3,$A888))</f>
        <v/>
      </c>
      <c r="X888" s="13" t="str">
        <f>IF($A888="","",[1]!thsiFinD("ths_adjustment_nv_fund",X$3,$A888))</f>
        <v/>
      </c>
      <c r="Y888" s="13" t="str">
        <f>IF($A888="","",[1]!thsiFinD("ths_adjustment_nv_fund",Y$3,$A888))</f>
        <v/>
      </c>
      <c r="Z888" s="13" t="str">
        <f>IF($A888="","",[1]!thsiFinD("ths_adjustment_nv_fund",Z$3,$A888))</f>
        <v/>
      </c>
      <c r="AA888" s="13" t="str">
        <f>IF($A888="","",[1]!thsiFinD("ths_adjustment_nv_fund",AA$3,$A888))</f>
        <v/>
      </c>
      <c r="AB888" s="13">
        <f>IF($A888="","",[1]!thsiFinD("ths_adjustment_nv_fund",AB$3,$A888))</f>
        <v/>
      </c>
      <c r="AC888" s="13">
        <f>IF($A888="","",[1]!thsiFinD("ths_adjustment_nv_fund",AC$3,$A888))</f>
        <v/>
      </c>
      <c r="AD888" s="13">
        <f>IF($A888="","",[1]!thsiFinD("ths_adjustment_nv_fund",AD$3,$A888))</f>
        <v/>
      </c>
      <c r="AE888" s="13">
        <f>IF($A888="","",[1]!thsiFinD("ths_adjustment_nv_fund",AE$3,$A888))</f>
        <v/>
      </c>
      <c r="AF888" s="13">
        <f>IF($A888="","",[1]!thsiFinD("ths_adjustment_nv_fund",AF$3,$A888))</f>
        <v/>
      </c>
      <c r="AG888" s="13">
        <f>IF($A888="","",[1]!thsiFinD("ths_adjustment_nv_fund",AG$3,$A888))</f>
        <v/>
      </c>
      <c r="AH888" s="13">
        <f>IF($A888="","",[1]!thsiFinD("ths_adjustment_nv_fund",AH$3,$A888))</f>
        <v/>
      </c>
      <c r="AI888" s="13">
        <f>IF($A888="","",[1]!thsiFinD("ths_adjustment_nv_fund",AI$3,$A888))</f>
        <v/>
      </c>
      <c r="AJ888" s="13">
        <f>IF($A888="","",[1]!thsiFinD("ths_adjustment_nv_fund",AJ$3,$A888))</f>
        <v/>
      </c>
      <c r="AK888" s="13">
        <f>IF($A888="","",[1]!thsiFinD("ths_adjustment_nv_fund",AK$3,$A888))</f>
        <v/>
      </c>
      <c r="AL888" s="13">
        <f>IF($A888="","",[1]!thsiFinD("ths_adjustment_nv_fund",AL$3,$A888))</f>
        <v/>
      </c>
    </row>
    <row r="889" spans="2:28">
      <c r="B889" s="13" t="str">
        <f>IF($A889="","",[1]!thsiFinD("ths_adjustment_nv_fund",B$3,$A889))</f>
        <v/>
      </c>
      <c r="C889" s="13" t="str">
        <f>IF($A889="","",[1]!thsiFinD("ths_adjustment_nv_fund",C$3,$A889))</f>
        <v/>
      </c>
      <c r="D889" s="13" t="str">
        <f>IF($A889="","",[1]!thsiFinD("ths_adjustment_nv_fund",D$3,$A889))</f>
        <v/>
      </c>
      <c r="E889" s="13" t="str">
        <f>IF($A889="","",[1]!thsiFinD("ths_adjustment_nv_fund",E$3,$A889))</f>
        <v/>
      </c>
      <c r="F889" s="13" t="str">
        <f>IF($A889="","",[1]!thsiFinD("ths_adjustment_nv_fund",F$3,$A889))</f>
        <v/>
      </c>
      <c r="G889" s="13" t="str">
        <f>IF($A889="","",[1]!thsiFinD("ths_adjustment_nv_fund",G$3,$A889))</f>
        <v/>
      </c>
      <c r="H889" s="13" t="str">
        <f>IF($A889="","",[1]!thsiFinD("ths_adjustment_nv_fund",H$3,$A889))</f>
        <v/>
      </c>
      <c r="I889" s="13" t="str">
        <f>IF($A889="","",[1]!thsiFinD("ths_adjustment_nv_fund",I$3,$A889))</f>
        <v/>
      </c>
      <c r="J889" s="13" t="str">
        <f>IF($A889="","",[1]!thsiFinD("ths_adjustment_nv_fund",J$3,$A889))</f>
        <v/>
      </c>
      <c r="K889" s="13" t="str">
        <f>IF($A889="","",[1]!thsiFinD("ths_adjustment_nv_fund",K$3,$A889))</f>
        <v/>
      </c>
      <c r="L889" s="13" t="str">
        <f>IF($A889="","",[1]!thsiFinD("ths_adjustment_nv_fund",L$3,$A889))</f>
        <v/>
      </c>
      <c r="M889" s="13" t="str">
        <f>IF($A889="","",[1]!thsiFinD("ths_adjustment_nv_fund",M$3,$A889))</f>
        <v/>
      </c>
      <c r="N889" s="13" t="str">
        <f>IF($A889="","",[1]!thsiFinD("ths_adjustment_nv_fund",N$3,$A889))</f>
        <v/>
      </c>
      <c r="O889" s="13" t="str">
        <f>IF($A889="","",[1]!thsiFinD("ths_adjustment_nv_fund",O$3,$A889))</f>
        <v/>
      </c>
      <c r="P889" s="13" t="str">
        <f>IF($A889="","",[1]!thsiFinD("ths_adjustment_nv_fund",P$3,$A889))</f>
        <v/>
      </c>
      <c r="Q889" s="13" t="str">
        <f>IF($A889="","",[1]!thsiFinD("ths_adjustment_nv_fund",Q$3,$A889))</f>
        <v/>
      </c>
      <c r="R889" s="13" t="str">
        <f>IF($A889="","",[1]!thsiFinD("ths_adjustment_nv_fund",R$3,$A889))</f>
        <v/>
      </c>
      <c r="S889" s="13" t="str">
        <f>IF($A889="","",[1]!thsiFinD("ths_adjustment_nv_fund",S$3,$A889))</f>
        <v/>
      </c>
      <c r="T889" s="13" t="str">
        <f>IF($A889="","",[1]!thsiFinD("ths_adjustment_nv_fund",T$3,$A889))</f>
        <v/>
      </c>
      <c r="U889" s="13" t="str">
        <f>IF($A889="","",[1]!thsiFinD("ths_adjustment_nv_fund",U$3,$A889))</f>
        <v/>
      </c>
      <c r="V889" s="13" t="str">
        <f>IF($A889="","",[1]!thsiFinD("ths_adjustment_nv_fund",V$3,$A889))</f>
        <v/>
      </c>
      <c r="W889" s="13" t="str">
        <f>IF($A889="","",[1]!thsiFinD("ths_adjustment_nv_fund",W$3,$A889))</f>
        <v/>
      </c>
      <c r="X889" s="13" t="str">
        <f>IF($A889="","",[1]!thsiFinD("ths_adjustment_nv_fund",X$3,$A889))</f>
        <v/>
      </c>
      <c r="Y889" s="13" t="str">
        <f>IF($A889="","",[1]!thsiFinD("ths_adjustment_nv_fund",Y$3,$A889))</f>
        <v/>
      </c>
      <c r="Z889" s="13" t="str">
        <f>IF($A889="","",[1]!thsiFinD("ths_adjustment_nv_fund",Z$3,$A889))</f>
        <v/>
      </c>
      <c r="AA889" s="13" t="str">
        <f>IF($A889="","",[1]!thsiFinD("ths_adjustment_nv_fund",AA$3,$A889))</f>
        <v/>
      </c>
      <c r="AB889" s="13">
        <f>IF($A889="","",[1]!thsiFinD("ths_adjustment_nv_fund",AB$3,$A889))</f>
        <v/>
      </c>
      <c r="AC889" s="13">
        <f>IF($A889="","",[1]!thsiFinD("ths_adjustment_nv_fund",AC$3,$A889))</f>
        <v/>
      </c>
      <c r="AD889" s="13">
        <f>IF($A889="","",[1]!thsiFinD("ths_adjustment_nv_fund",AD$3,$A889))</f>
        <v/>
      </c>
      <c r="AE889" s="13">
        <f>IF($A889="","",[1]!thsiFinD("ths_adjustment_nv_fund",AE$3,$A889))</f>
        <v/>
      </c>
      <c r="AF889" s="13">
        <f>IF($A889="","",[1]!thsiFinD("ths_adjustment_nv_fund",AF$3,$A889))</f>
        <v/>
      </c>
      <c r="AG889" s="13">
        <f>IF($A889="","",[1]!thsiFinD("ths_adjustment_nv_fund",AG$3,$A889))</f>
        <v/>
      </c>
      <c r="AH889" s="13">
        <f>IF($A889="","",[1]!thsiFinD("ths_adjustment_nv_fund",AH$3,$A889))</f>
        <v/>
      </c>
      <c r="AI889" s="13">
        <f>IF($A889="","",[1]!thsiFinD("ths_adjustment_nv_fund",AI$3,$A889))</f>
        <v/>
      </c>
      <c r="AJ889" s="13">
        <f>IF($A889="","",[1]!thsiFinD("ths_adjustment_nv_fund",AJ$3,$A889))</f>
        <v/>
      </c>
      <c r="AK889" s="13">
        <f>IF($A889="","",[1]!thsiFinD("ths_adjustment_nv_fund",AK$3,$A889))</f>
        <v/>
      </c>
      <c r="AL889" s="13">
        <f>IF($A889="","",[1]!thsiFinD("ths_adjustment_nv_fund",AL$3,$A889))</f>
        <v/>
      </c>
    </row>
    <row r="890" spans="2:28">
      <c r="B890" s="13" t="str">
        <f>IF($A890="","",[1]!thsiFinD("ths_adjustment_nv_fund",B$3,$A890))</f>
        <v/>
      </c>
      <c r="C890" s="13" t="str">
        <f>IF($A890="","",[1]!thsiFinD("ths_adjustment_nv_fund",C$3,$A890))</f>
        <v/>
      </c>
      <c r="D890" s="13" t="str">
        <f>IF($A890="","",[1]!thsiFinD("ths_adjustment_nv_fund",D$3,$A890))</f>
        <v/>
      </c>
      <c r="E890" s="13" t="str">
        <f>IF($A890="","",[1]!thsiFinD("ths_adjustment_nv_fund",E$3,$A890))</f>
        <v/>
      </c>
      <c r="F890" s="13" t="str">
        <f>IF($A890="","",[1]!thsiFinD("ths_adjustment_nv_fund",F$3,$A890))</f>
        <v/>
      </c>
      <c r="G890" s="13" t="str">
        <f>IF($A890="","",[1]!thsiFinD("ths_adjustment_nv_fund",G$3,$A890))</f>
        <v/>
      </c>
      <c r="H890" s="13" t="str">
        <f>IF($A890="","",[1]!thsiFinD("ths_adjustment_nv_fund",H$3,$A890))</f>
        <v/>
      </c>
      <c r="I890" s="13" t="str">
        <f>IF($A890="","",[1]!thsiFinD("ths_adjustment_nv_fund",I$3,$A890))</f>
        <v/>
      </c>
      <c r="J890" s="13" t="str">
        <f>IF($A890="","",[1]!thsiFinD("ths_adjustment_nv_fund",J$3,$A890))</f>
        <v/>
      </c>
      <c r="K890" s="13" t="str">
        <f>IF($A890="","",[1]!thsiFinD("ths_adjustment_nv_fund",K$3,$A890))</f>
        <v/>
      </c>
      <c r="L890" s="13" t="str">
        <f>IF($A890="","",[1]!thsiFinD("ths_adjustment_nv_fund",L$3,$A890))</f>
        <v/>
      </c>
      <c r="M890" s="13" t="str">
        <f>IF($A890="","",[1]!thsiFinD("ths_adjustment_nv_fund",M$3,$A890))</f>
        <v/>
      </c>
      <c r="N890" s="13" t="str">
        <f>IF($A890="","",[1]!thsiFinD("ths_adjustment_nv_fund",N$3,$A890))</f>
        <v/>
      </c>
      <c r="O890" s="13" t="str">
        <f>IF($A890="","",[1]!thsiFinD("ths_adjustment_nv_fund",O$3,$A890))</f>
        <v/>
      </c>
      <c r="P890" s="13" t="str">
        <f>IF($A890="","",[1]!thsiFinD("ths_adjustment_nv_fund",P$3,$A890))</f>
        <v/>
      </c>
      <c r="Q890" s="13" t="str">
        <f>IF($A890="","",[1]!thsiFinD("ths_adjustment_nv_fund",Q$3,$A890))</f>
        <v/>
      </c>
      <c r="R890" s="13" t="str">
        <f>IF($A890="","",[1]!thsiFinD("ths_adjustment_nv_fund",R$3,$A890))</f>
        <v/>
      </c>
      <c r="S890" s="13" t="str">
        <f>IF($A890="","",[1]!thsiFinD("ths_adjustment_nv_fund",S$3,$A890))</f>
        <v/>
      </c>
      <c r="T890" s="13" t="str">
        <f>IF($A890="","",[1]!thsiFinD("ths_adjustment_nv_fund",T$3,$A890))</f>
        <v/>
      </c>
      <c r="U890" s="13" t="str">
        <f>IF($A890="","",[1]!thsiFinD("ths_adjustment_nv_fund",U$3,$A890))</f>
        <v/>
      </c>
      <c r="V890" s="13" t="str">
        <f>IF($A890="","",[1]!thsiFinD("ths_adjustment_nv_fund",V$3,$A890))</f>
        <v/>
      </c>
      <c r="W890" s="13" t="str">
        <f>IF($A890="","",[1]!thsiFinD("ths_adjustment_nv_fund",W$3,$A890))</f>
        <v/>
      </c>
      <c r="X890" s="13" t="str">
        <f>IF($A890="","",[1]!thsiFinD("ths_adjustment_nv_fund",X$3,$A890))</f>
        <v/>
      </c>
      <c r="Y890" s="13" t="str">
        <f>IF($A890="","",[1]!thsiFinD("ths_adjustment_nv_fund",Y$3,$A890))</f>
        <v/>
      </c>
      <c r="Z890" s="13" t="str">
        <f>IF($A890="","",[1]!thsiFinD("ths_adjustment_nv_fund",Z$3,$A890))</f>
        <v/>
      </c>
      <c r="AA890" s="13" t="str">
        <f>IF($A890="","",[1]!thsiFinD("ths_adjustment_nv_fund",AA$3,$A890))</f>
        <v/>
      </c>
      <c r="AB890" s="13">
        <f>IF($A890="","",[1]!thsiFinD("ths_adjustment_nv_fund",AB$3,$A890))</f>
        <v/>
      </c>
      <c r="AC890" s="13">
        <f>IF($A890="","",[1]!thsiFinD("ths_adjustment_nv_fund",AC$3,$A890))</f>
        <v/>
      </c>
      <c r="AD890" s="13">
        <f>IF($A890="","",[1]!thsiFinD("ths_adjustment_nv_fund",AD$3,$A890))</f>
        <v/>
      </c>
      <c r="AE890" s="13">
        <f>IF($A890="","",[1]!thsiFinD("ths_adjustment_nv_fund",AE$3,$A890))</f>
        <v/>
      </c>
      <c r="AF890" s="13">
        <f>IF($A890="","",[1]!thsiFinD("ths_adjustment_nv_fund",AF$3,$A890))</f>
        <v/>
      </c>
      <c r="AG890" s="13">
        <f>IF($A890="","",[1]!thsiFinD("ths_adjustment_nv_fund",AG$3,$A890))</f>
        <v/>
      </c>
      <c r="AH890" s="13">
        <f>IF($A890="","",[1]!thsiFinD("ths_adjustment_nv_fund",AH$3,$A890))</f>
        <v/>
      </c>
      <c r="AI890" s="13">
        <f>IF($A890="","",[1]!thsiFinD("ths_adjustment_nv_fund",AI$3,$A890))</f>
        <v/>
      </c>
      <c r="AJ890" s="13">
        <f>IF($A890="","",[1]!thsiFinD("ths_adjustment_nv_fund",AJ$3,$A890))</f>
        <v/>
      </c>
      <c r="AK890" s="13">
        <f>IF($A890="","",[1]!thsiFinD("ths_adjustment_nv_fund",AK$3,$A890))</f>
        <v/>
      </c>
      <c r="AL890" s="13">
        <f>IF($A890="","",[1]!thsiFinD("ths_adjustment_nv_fund",AL$3,$A890))</f>
        <v/>
      </c>
    </row>
    <row r="891" spans="2:28">
      <c r="B891" s="13" t="str">
        <f>IF($A891="","",[1]!thsiFinD("ths_adjustment_nv_fund",B$3,$A891))</f>
        <v/>
      </c>
      <c r="C891" s="13" t="str">
        <f>IF($A891="","",[1]!thsiFinD("ths_adjustment_nv_fund",C$3,$A891))</f>
        <v/>
      </c>
      <c r="D891" s="13" t="str">
        <f>IF($A891="","",[1]!thsiFinD("ths_adjustment_nv_fund",D$3,$A891))</f>
        <v/>
      </c>
      <c r="E891" s="13" t="str">
        <f>IF($A891="","",[1]!thsiFinD("ths_adjustment_nv_fund",E$3,$A891))</f>
        <v/>
      </c>
      <c r="F891" s="13" t="str">
        <f>IF($A891="","",[1]!thsiFinD("ths_adjustment_nv_fund",F$3,$A891))</f>
        <v/>
      </c>
      <c r="G891" s="13" t="str">
        <f>IF($A891="","",[1]!thsiFinD("ths_adjustment_nv_fund",G$3,$A891))</f>
        <v/>
      </c>
      <c r="H891" s="13" t="str">
        <f>IF($A891="","",[1]!thsiFinD("ths_adjustment_nv_fund",H$3,$A891))</f>
        <v/>
      </c>
      <c r="I891" s="13" t="str">
        <f>IF($A891="","",[1]!thsiFinD("ths_adjustment_nv_fund",I$3,$A891))</f>
        <v/>
      </c>
      <c r="J891" s="13" t="str">
        <f>IF($A891="","",[1]!thsiFinD("ths_adjustment_nv_fund",J$3,$A891))</f>
        <v/>
      </c>
      <c r="K891" s="13" t="str">
        <f>IF($A891="","",[1]!thsiFinD("ths_adjustment_nv_fund",K$3,$A891))</f>
        <v/>
      </c>
      <c r="L891" s="13" t="str">
        <f>IF($A891="","",[1]!thsiFinD("ths_adjustment_nv_fund",L$3,$A891))</f>
        <v/>
      </c>
      <c r="M891" s="13" t="str">
        <f>IF($A891="","",[1]!thsiFinD("ths_adjustment_nv_fund",M$3,$A891))</f>
        <v/>
      </c>
      <c r="N891" s="13" t="str">
        <f>IF($A891="","",[1]!thsiFinD("ths_adjustment_nv_fund",N$3,$A891))</f>
        <v/>
      </c>
      <c r="O891" s="13" t="str">
        <f>IF($A891="","",[1]!thsiFinD("ths_adjustment_nv_fund",O$3,$A891))</f>
        <v/>
      </c>
      <c r="P891" s="13" t="str">
        <f>IF($A891="","",[1]!thsiFinD("ths_adjustment_nv_fund",P$3,$A891))</f>
        <v/>
      </c>
      <c r="Q891" s="13" t="str">
        <f>IF($A891="","",[1]!thsiFinD("ths_adjustment_nv_fund",Q$3,$A891))</f>
        <v/>
      </c>
      <c r="R891" s="13" t="str">
        <f>IF($A891="","",[1]!thsiFinD("ths_adjustment_nv_fund",R$3,$A891))</f>
        <v/>
      </c>
      <c r="S891" s="13" t="str">
        <f>IF($A891="","",[1]!thsiFinD("ths_adjustment_nv_fund",S$3,$A891))</f>
        <v/>
      </c>
      <c r="T891" s="13" t="str">
        <f>IF($A891="","",[1]!thsiFinD("ths_adjustment_nv_fund",T$3,$A891))</f>
        <v/>
      </c>
      <c r="U891" s="13" t="str">
        <f>IF($A891="","",[1]!thsiFinD("ths_adjustment_nv_fund",U$3,$A891))</f>
        <v/>
      </c>
      <c r="V891" s="13" t="str">
        <f>IF($A891="","",[1]!thsiFinD("ths_adjustment_nv_fund",V$3,$A891))</f>
        <v/>
      </c>
      <c r="W891" s="13" t="str">
        <f>IF($A891="","",[1]!thsiFinD("ths_adjustment_nv_fund",W$3,$A891))</f>
        <v/>
      </c>
      <c r="X891" s="13" t="str">
        <f>IF($A891="","",[1]!thsiFinD("ths_adjustment_nv_fund",X$3,$A891))</f>
        <v/>
      </c>
      <c r="Y891" s="13" t="str">
        <f>IF($A891="","",[1]!thsiFinD("ths_adjustment_nv_fund",Y$3,$A891))</f>
        <v/>
      </c>
      <c r="Z891" s="13" t="str">
        <f>IF($A891="","",[1]!thsiFinD("ths_adjustment_nv_fund",Z$3,$A891))</f>
        <v/>
      </c>
      <c r="AA891" s="13" t="str">
        <f>IF($A891="","",[1]!thsiFinD("ths_adjustment_nv_fund",AA$3,$A891))</f>
        <v/>
      </c>
      <c r="AB891" s="13">
        <f>IF($A891="","",[1]!thsiFinD("ths_adjustment_nv_fund",AB$3,$A891))</f>
        <v/>
      </c>
      <c r="AC891" s="13">
        <f>IF($A891="","",[1]!thsiFinD("ths_adjustment_nv_fund",AC$3,$A891))</f>
        <v/>
      </c>
      <c r="AD891" s="13">
        <f>IF($A891="","",[1]!thsiFinD("ths_adjustment_nv_fund",AD$3,$A891))</f>
        <v/>
      </c>
      <c r="AE891" s="13">
        <f>IF($A891="","",[1]!thsiFinD("ths_adjustment_nv_fund",AE$3,$A891))</f>
        <v/>
      </c>
      <c r="AF891" s="13">
        <f>IF($A891="","",[1]!thsiFinD("ths_adjustment_nv_fund",AF$3,$A891))</f>
        <v/>
      </c>
      <c r="AG891" s="13">
        <f>IF($A891="","",[1]!thsiFinD("ths_adjustment_nv_fund",AG$3,$A891))</f>
        <v/>
      </c>
      <c r="AH891" s="13">
        <f>IF($A891="","",[1]!thsiFinD("ths_adjustment_nv_fund",AH$3,$A891))</f>
        <v/>
      </c>
      <c r="AI891" s="13">
        <f>IF($A891="","",[1]!thsiFinD("ths_adjustment_nv_fund",AI$3,$A891))</f>
        <v/>
      </c>
      <c r="AJ891" s="13">
        <f>IF($A891="","",[1]!thsiFinD("ths_adjustment_nv_fund",AJ$3,$A891))</f>
        <v/>
      </c>
      <c r="AK891" s="13">
        <f>IF($A891="","",[1]!thsiFinD("ths_adjustment_nv_fund",AK$3,$A891))</f>
        <v/>
      </c>
      <c r="AL891" s="13">
        <f>IF($A891="","",[1]!thsiFinD("ths_adjustment_nv_fund",AL$3,$A891))</f>
        <v/>
      </c>
    </row>
    <row r="892" spans="2:28">
      <c r="B892" s="13" t="str">
        <f>IF($A892="","",[1]!thsiFinD("ths_adjustment_nv_fund",B$3,$A892))</f>
        <v/>
      </c>
      <c r="C892" s="13" t="str">
        <f>IF($A892="","",[1]!thsiFinD("ths_adjustment_nv_fund",C$3,$A892))</f>
        <v/>
      </c>
      <c r="D892" s="13" t="str">
        <f>IF($A892="","",[1]!thsiFinD("ths_adjustment_nv_fund",D$3,$A892))</f>
        <v/>
      </c>
      <c r="E892" s="13" t="str">
        <f>IF($A892="","",[1]!thsiFinD("ths_adjustment_nv_fund",E$3,$A892))</f>
        <v/>
      </c>
      <c r="F892" s="13" t="str">
        <f>IF($A892="","",[1]!thsiFinD("ths_adjustment_nv_fund",F$3,$A892))</f>
        <v/>
      </c>
      <c r="G892" s="13" t="str">
        <f>IF($A892="","",[1]!thsiFinD("ths_adjustment_nv_fund",G$3,$A892))</f>
        <v/>
      </c>
      <c r="H892" s="13" t="str">
        <f>IF($A892="","",[1]!thsiFinD("ths_adjustment_nv_fund",H$3,$A892))</f>
        <v/>
      </c>
      <c r="I892" s="13" t="str">
        <f>IF($A892="","",[1]!thsiFinD("ths_adjustment_nv_fund",I$3,$A892))</f>
        <v/>
      </c>
      <c r="J892" s="13" t="str">
        <f>IF($A892="","",[1]!thsiFinD("ths_adjustment_nv_fund",J$3,$A892))</f>
        <v/>
      </c>
      <c r="K892" s="13" t="str">
        <f>IF($A892="","",[1]!thsiFinD("ths_adjustment_nv_fund",K$3,$A892))</f>
        <v/>
      </c>
      <c r="L892" s="13" t="str">
        <f>IF($A892="","",[1]!thsiFinD("ths_adjustment_nv_fund",L$3,$A892))</f>
        <v/>
      </c>
      <c r="M892" s="13" t="str">
        <f>IF($A892="","",[1]!thsiFinD("ths_adjustment_nv_fund",M$3,$A892))</f>
        <v/>
      </c>
      <c r="N892" s="13" t="str">
        <f>IF($A892="","",[1]!thsiFinD("ths_adjustment_nv_fund",N$3,$A892))</f>
        <v/>
      </c>
      <c r="O892" s="13" t="str">
        <f>IF($A892="","",[1]!thsiFinD("ths_adjustment_nv_fund",O$3,$A892))</f>
        <v/>
      </c>
      <c r="P892" s="13" t="str">
        <f>IF($A892="","",[1]!thsiFinD("ths_adjustment_nv_fund",P$3,$A892))</f>
        <v/>
      </c>
      <c r="Q892" s="13" t="str">
        <f>IF($A892="","",[1]!thsiFinD("ths_adjustment_nv_fund",Q$3,$A892))</f>
        <v/>
      </c>
      <c r="R892" s="13" t="str">
        <f>IF($A892="","",[1]!thsiFinD("ths_adjustment_nv_fund",R$3,$A892))</f>
        <v/>
      </c>
      <c r="S892" s="13" t="str">
        <f>IF($A892="","",[1]!thsiFinD("ths_adjustment_nv_fund",S$3,$A892))</f>
        <v/>
      </c>
      <c r="T892" s="13" t="str">
        <f>IF($A892="","",[1]!thsiFinD("ths_adjustment_nv_fund",T$3,$A892))</f>
        <v/>
      </c>
      <c r="U892" s="13" t="str">
        <f>IF($A892="","",[1]!thsiFinD("ths_adjustment_nv_fund",U$3,$A892))</f>
        <v/>
      </c>
      <c r="V892" s="13" t="str">
        <f>IF($A892="","",[1]!thsiFinD("ths_adjustment_nv_fund",V$3,$A892))</f>
        <v/>
      </c>
      <c r="W892" s="13" t="str">
        <f>IF($A892="","",[1]!thsiFinD("ths_adjustment_nv_fund",W$3,$A892))</f>
        <v/>
      </c>
      <c r="X892" s="13" t="str">
        <f>IF($A892="","",[1]!thsiFinD("ths_adjustment_nv_fund",X$3,$A892))</f>
        <v/>
      </c>
      <c r="Y892" s="13" t="str">
        <f>IF($A892="","",[1]!thsiFinD("ths_adjustment_nv_fund",Y$3,$A892))</f>
        <v/>
      </c>
      <c r="Z892" s="13" t="str">
        <f>IF($A892="","",[1]!thsiFinD("ths_adjustment_nv_fund",Z$3,$A892))</f>
        <v/>
      </c>
      <c r="AA892" s="13" t="str">
        <f>IF($A892="","",[1]!thsiFinD("ths_adjustment_nv_fund",AA$3,$A892))</f>
        <v/>
      </c>
      <c r="AB892" s="13">
        <f>IF($A892="","",[1]!thsiFinD("ths_adjustment_nv_fund",AB$3,$A892))</f>
        <v/>
      </c>
      <c r="AC892" s="13">
        <f>IF($A892="","",[1]!thsiFinD("ths_adjustment_nv_fund",AC$3,$A892))</f>
        <v/>
      </c>
      <c r="AD892" s="13">
        <f>IF($A892="","",[1]!thsiFinD("ths_adjustment_nv_fund",AD$3,$A892))</f>
        <v/>
      </c>
      <c r="AE892" s="13">
        <f>IF($A892="","",[1]!thsiFinD("ths_adjustment_nv_fund",AE$3,$A892))</f>
        <v/>
      </c>
      <c r="AF892" s="13">
        <f>IF($A892="","",[1]!thsiFinD("ths_adjustment_nv_fund",AF$3,$A892))</f>
        <v/>
      </c>
      <c r="AG892" s="13">
        <f>IF($A892="","",[1]!thsiFinD("ths_adjustment_nv_fund",AG$3,$A892))</f>
        <v/>
      </c>
      <c r="AH892" s="13">
        <f>IF($A892="","",[1]!thsiFinD("ths_adjustment_nv_fund",AH$3,$A892))</f>
        <v/>
      </c>
      <c r="AI892" s="13">
        <f>IF($A892="","",[1]!thsiFinD("ths_adjustment_nv_fund",AI$3,$A892))</f>
        <v/>
      </c>
      <c r="AJ892" s="13">
        <f>IF($A892="","",[1]!thsiFinD("ths_adjustment_nv_fund",AJ$3,$A892))</f>
        <v/>
      </c>
      <c r="AK892" s="13">
        <f>IF($A892="","",[1]!thsiFinD("ths_adjustment_nv_fund",AK$3,$A892))</f>
        <v/>
      </c>
      <c r="AL892" s="13">
        <f>IF($A892="","",[1]!thsiFinD("ths_adjustment_nv_fund",AL$3,$A892))</f>
        <v/>
      </c>
    </row>
    <row r="893" spans="2:28">
      <c r="B893" s="13" t="str">
        <f>IF($A893="","",[1]!thsiFinD("ths_adjustment_nv_fund",B$3,$A893))</f>
        <v/>
      </c>
      <c r="C893" s="13" t="str">
        <f>IF($A893="","",[1]!thsiFinD("ths_adjustment_nv_fund",C$3,$A893))</f>
        <v/>
      </c>
      <c r="D893" s="13" t="str">
        <f>IF($A893="","",[1]!thsiFinD("ths_adjustment_nv_fund",D$3,$A893))</f>
        <v/>
      </c>
      <c r="E893" s="13" t="str">
        <f>IF($A893="","",[1]!thsiFinD("ths_adjustment_nv_fund",E$3,$A893))</f>
        <v/>
      </c>
      <c r="F893" s="13" t="str">
        <f>IF($A893="","",[1]!thsiFinD("ths_adjustment_nv_fund",F$3,$A893))</f>
        <v/>
      </c>
      <c r="G893" s="13" t="str">
        <f>IF($A893="","",[1]!thsiFinD("ths_adjustment_nv_fund",G$3,$A893))</f>
        <v/>
      </c>
      <c r="H893" s="13" t="str">
        <f>IF($A893="","",[1]!thsiFinD("ths_adjustment_nv_fund",H$3,$A893))</f>
        <v/>
      </c>
      <c r="I893" s="13" t="str">
        <f>IF($A893="","",[1]!thsiFinD("ths_adjustment_nv_fund",I$3,$A893))</f>
        <v/>
      </c>
      <c r="J893" s="13" t="str">
        <f>IF($A893="","",[1]!thsiFinD("ths_adjustment_nv_fund",J$3,$A893))</f>
        <v/>
      </c>
      <c r="K893" s="13" t="str">
        <f>IF($A893="","",[1]!thsiFinD("ths_adjustment_nv_fund",K$3,$A893))</f>
        <v/>
      </c>
      <c r="L893" s="13" t="str">
        <f>IF($A893="","",[1]!thsiFinD("ths_adjustment_nv_fund",L$3,$A893))</f>
        <v/>
      </c>
      <c r="M893" s="13" t="str">
        <f>IF($A893="","",[1]!thsiFinD("ths_adjustment_nv_fund",M$3,$A893))</f>
        <v/>
      </c>
      <c r="N893" s="13" t="str">
        <f>IF($A893="","",[1]!thsiFinD("ths_adjustment_nv_fund",N$3,$A893))</f>
        <v/>
      </c>
      <c r="O893" s="13" t="str">
        <f>IF($A893="","",[1]!thsiFinD("ths_adjustment_nv_fund",O$3,$A893))</f>
        <v/>
      </c>
      <c r="P893" s="13" t="str">
        <f>IF($A893="","",[1]!thsiFinD("ths_adjustment_nv_fund",P$3,$A893))</f>
        <v/>
      </c>
      <c r="Q893" s="13" t="str">
        <f>IF($A893="","",[1]!thsiFinD("ths_adjustment_nv_fund",Q$3,$A893))</f>
        <v/>
      </c>
      <c r="R893" s="13" t="str">
        <f>IF($A893="","",[1]!thsiFinD("ths_adjustment_nv_fund",R$3,$A893))</f>
        <v/>
      </c>
      <c r="S893" s="13" t="str">
        <f>IF($A893="","",[1]!thsiFinD("ths_adjustment_nv_fund",S$3,$A893))</f>
        <v/>
      </c>
      <c r="T893" s="13" t="str">
        <f>IF($A893="","",[1]!thsiFinD("ths_adjustment_nv_fund",T$3,$A893))</f>
        <v/>
      </c>
      <c r="U893" s="13" t="str">
        <f>IF($A893="","",[1]!thsiFinD("ths_adjustment_nv_fund",U$3,$A893))</f>
        <v/>
      </c>
      <c r="V893" s="13" t="str">
        <f>IF($A893="","",[1]!thsiFinD("ths_adjustment_nv_fund",V$3,$A893))</f>
        <v/>
      </c>
      <c r="W893" s="13" t="str">
        <f>IF($A893="","",[1]!thsiFinD("ths_adjustment_nv_fund",W$3,$A893))</f>
        <v/>
      </c>
      <c r="X893" s="13" t="str">
        <f>IF($A893="","",[1]!thsiFinD("ths_adjustment_nv_fund",X$3,$A893))</f>
        <v/>
      </c>
      <c r="Y893" s="13" t="str">
        <f>IF($A893="","",[1]!thsiFinD("ths_adjustment_nv_fund",Y$3,$A893))</f>
        <v/>
      </c>
      <c r="Z893" s="13" t="str">
        <f>IF($A893="","",[1]!thsiFinD("ths_adjustment_nv_fund",Z$3,$A893))</f>
        <v/>
      </c>
      <c r="AA893" s="13" t="str">
        <f>IF($A893="","",[1]!thsiFinD("ths_adjustment_nv_fund",AA$3,$A893))</f>
        <v/>
      </c>
      <c r="AB893" s="13">
        <f>IF($A893="","",[1]!thsiFinD("ths_adjustment_nv_fund",AB$3,$A893))</f>
        <v/>
      </c>
      <c r="AC893" s="13">
        <f>IF($A893="","",[1]!thsiFinD("ths_adjustment_nv_fund",AC$3,$A893))</f>
        <v/>
      </c>
      <c r="AD893" s="13">
        <f>IF($A893="","",[1]!thsiFinD("ths_adjustment_nv_fund",AD$3,$A893))</f>
        <v/>
      </c>
      <c r="AE893" s="13">
        <f>IF($A893="","",[1]!thsiFinD("ths_adjustment_nv_fund",AE$3,$A893))</f>
        <v/>
      </c>
      <c r="AF893" s="13">
        <f>IF($A893="","",[1]!thsiFinD("ths_adjustment_nv_fund",AF$3,$A893))</f>
        <v/>
      </c>
      <c r="AG893" s="13">
        <f>IF($A893="","",[1]!thsiFinD("ths_adjustment_nv_fund",AG$3,$A893))</f>
        <v/>
      </c>
      <c r="AH893" s="13">
        <f>IF($A893="","",[1]!thsiFinD("ths_adjustment_nv_fund",AH$3,$A893))</f>
        <v/>
      </c>
      <c r="AI893" s="13">
        <f>IF($A893="","",[1]!thsiFinD("ths_adjustment_nv_fund",AI$3,$A893))</f>
        <v/>
      </c>
      <c r="AJ893" s="13">
        <f>IF($A893="","",[1]!thsiFinD("ths_adjustment_nv_fund",AJ$3,$A893))</f>
        <v/>
      </c>
      <c r="AK893" s="13">
        <f>IF($A893="","",[1]!thsiFinD("ths_adjustment_nv_fund",AK$3,$A893))</f>
        <v/>
      </c>
      <c r="AL893" s="13">
        <f>IF($A893="","",[1]!thsiFinD("ths_adjustment_nv_fund",AL$3,$A893))</f>
        <v/>
      </c>
    </row>
    <row r="894" spans="2:28">
      <c r="B894" s="13" t="str">
        <f>IF($A894="","",[1]!thsiFinD("ths_adjustment_nv_fund",B$3,$A894))</f>
        <v/>
      </c>
      <c r="C894" s="13" t="str">
        <f>IF($A894="","",[1]!thsiFinD("ths_adjustment_nv_fund",C$3,$A894))</f>
        <v/>
      </c>
      <c r="D894" s="13" t="str">
        <f>IF($A894="","",[1]!thsiFinD("ths_adjustment_nv_fund",D$3,$A894))</f>
        <v/>
      </c>
      <c r="E894" s="13" t="str">
        <f>IF($A894="","",[1]!thsiFinD("ths_adjustment_nv_fund",E$3,$A894))</f>
        <v/>
      </c>
      <c r="F894" s="13" t="str">
        <f>IF($A894="","",[1]!thsiFinD("ths_adjustment_nv_fund",F$3,$A894))</f>
        <v/>
      </c>
      <c r="G894" s="13" t="str">
        <f>IF($A894="","",[1]!thsiFinD("ths_adjustment_nv_fund",G$3,$A894))</f>
        <v/>
      </c>
      <c r="H894" s="13" t="str">
        <f>IF($A894="","",[1]!thsiFinD("ths_adjustment_nv_fund",H$3,$A894))</f>
        <v/>
      </c>
      <c r="I894" s="13" t="str">
        <f>IF($A894="","",[1]!thsiFinD("ths_adjustment_nv_fund",I$3,$A894))</f>
        <v/>
      </c>
      <c r="J894" s="13" t="str">
        <f>IF($A894="","",[1]!thsiFinD("ths_adjustment_nv_fund",J$3,$A894))</f>
        <v/>
      </c>
      <c r="K894" s="13" t="str">
        <f>IF($A894="","",[1]!thsiFinD("ths_adjustment_nv_fund",K$3,$A894))</f>
        <v/>
      </c>
      <c r="L894" s="13" t="str">
        <f>IF($A894="","",[1]!thsiFinD("ths_adjustment_nv_fund",L$3,$A894))</f>
        <v/>
      </c>
      <c r="M894" s="13" t="str">
        <f>IF($A894="","",[1]!thsiFinD("ths_adjustment_nv_fund",M$3,$A894))</f>
        <v/>
      </c>
      <c r="N894" s="13" t="str">
        <f>IF($A894="","",[1]!thsiFinD("ths_adjustment_nv_fund",N$3,$A894))</f>
        <v/>
      </c>
      <c r="O894" s="13" t="str">
        <f>IF($A894="","",[1]!thsiFinD("ths_adjustment_nv_fund",O$3,$A894))</f>
        <v/>
      </c>
      <c r="P894" s="13" t="str">
        <f>IF($A894="","",[1]!thsiFinD("ths_adjustment_nv_fund",P$3,$A894))</f>
        <v/>
      </c>
      <c r="Q894" s="13" t="str">
        <f>IF($A894="","",[1]!thsiFinD("ths_adjustment_nv_fund",Q$3,$A894))</f>
        <v/>
      </c>
      <c r="R894" s="13" t="str">
        <f>IF($A894="","",[1]!thsiFinD("ths_adjustment_nv_fund",R$3,$A894))</f>
        <v/>
      </c>
      <c r="S894" s="13" t="str">
        <f>IF($A894="","",[1]!thsiFinD("ths_adjustment_nv_fund",S$3,$A894))</f>
        <v/>
      </c>
      <c r="T894" s="13" t="str">
        <f>IF($A894="","",[1]!thsiFinD("ths_adjustment_nv_fund",T$3,$A894))</f>
        <v/>
      </c>
      <c r="U894" s="13" t="str">
        <f>IF($A894="","",[1]!thsiFinD("ths_adjustment_nv_fund",U$3,$A894))</f>
        <v/>
      </c>
      <c r="V894" s="13" t="str">
        <f>IF($A894="","",[1]!thsiFinD("ths_adjustment_nv_fund",V$3,$A894))</f>
        <v/>
      </c>
      <c r="W894" s="13" t="str">
        <f>IF($A894="","",[1]!thsiFinD("ths_adjustment_nv_fund",W$3,$A894))</f>
        <v/>
      </c>
      <c r="X894" s="13" t="str">
        <f>IF($A894="","",[1]!thsiFinD("ths_adjustment_nv_fund",X$3,$A894))</f>
        <v/>
      </c>
      <c r="Y894" s="13" t="str">
        <f>IF($A894="","",[1]!thsiFinD("ths_adjustment_nv_fund",Y$3,$A894))</f>
        <v/>
      </c>
      <c r="Z894" s="13" t="str">
        <f>IF($A894="","",[1]!thsiFinD("ths_adjustment_nv_fund",Z$3,$A894))</f>
        <v/>
      </c>
      <c r="AA894" s="13" t="str">
        <f>IF($A894="","",[1]!thsiFinD("ths_adjustment_nv_fund",AA$3,$A894))</f>
        <v/>
      </c>
      <c r="AB894" s="13">
        <f>IF($A894="","",[1]!thsiFinD("ths_adjustment_nv_fund",AB$3,$A894))</f>
        <v/>
      </c>
      <c r="AC894" s="13">
        <f>IF($A894="","",[1]!thsiFinD("ths_adjustment_nv_fund",AC$3,$A894))</f>
        <v/>
      </c>
      <c r="AD894" s="13">
        <f>IF($A894="","",[1]!thsiFinD("ths_adjustment_nv_fund",AD$3,$A894))</f>
        <v/>
      </c>
      <c r="AE894" s="13">
        <f>IF($A894="","",[1]!thsiFinD("ths_adjustment_nv_fund",AE$3,$A894))</f>
        <v/>
      </c>
      <c r="AF894" s="13">
        <f>IF($A894="","",[1]!thsiFinD("ths_adjustment_nv_fund",AF$3,$A894))</f>
        <v/>
      </c>
      <c r="AG894" s="13">
        <f>IF($A894="","",[1]!thsiFinD("ths_adjustment_nv_fund",AG$3,$A894))</f>
        <v/>
      </c>
      <c r="AH894" s="13">
        <f>IF($A894="","",[1]!thsiFinD("ths_adjustment_nv_fund",AH$3,$A894))</f>
        <v/>
      </c>
      <c r="AI894" s="13">
        <f>IF($A894="","",[1]!thsiFinD("ths_adjustment_nv_fund",AI$3,$A894))</f>
        <v/>
      </c>
      <c r="AJ894" s="13">
        <f>IF($A894="","",[1]!thsiFinD("ths_adjustment_nv_fund",AJ$3,$A894))</f>
        <v/>
      </c>
      <c r="AK894" s="13">
        <f>IF($A894="","",[1]!thsiFinD("ths_adjustment_nv_fund",AK$3,$A894))</f>
        <v/>
      </c>
      <c r="AL894" s="13">
        <f>IF($A894="","",[1]!thsiFinD("ths_adjustment_nv_fund",AL$3,$A894))</f>
        <v/>
      </c>
    </row>
    <row r="895" spans="2:28">
      <c r="B895" s="13" t="str">
        <f>IF($A895="","",[1]!thsiFinD("ths_adjustment_nv_fund",B$3,$A895))</f>
        <v/>
      </c>
      <c r="C895" s="13" t="str">
        <f>IF($A895="","",[1]!thsiFinD("ths_adjustment_nv_fund",C$3,$A895))</f>
        <v/>
      </c>
      <c r="D895" s="13" t="str">
        <f>IF($A895="","",[1]!thsiFinD("ths_adjustment_nv_fund",D$3,$A895))</f>
        <v/>
      </c>
      <c r="E895" s="13" t="str">
        <f>IF($A895="","",[1]!thsiFinD("ths_adjustment_nv_fund",E$3,$A895))</f>
        <v/>
      </c>
      <c r="F895" s="13" t="str">
        <f>IF($A895="","",[1]!thsiFinD("ths_adjustment_nv_fund",F$3,$A895))</f>
        <v/>
      </c>
      <c r="G895" s="13" t="str">
        <f>IF($A895="","",[1]!thsiFinD("ths_adjustment_nv_fund",G$3,$A895))</f>
        <v/>
      </c>
      <c r="H895" s="13" t="str">
        <f>IF($A895="","",[1]!thsiFinD("ths_adjustment_nv_fund",H$3,$A895))</f>
        <v/>
      </c>
      <c r="I895" s="13" t="str">
        <f>IF($A895="","",[1]!thsiFinD("ths_adjustment_nv_fund",I$3,$A895))</f>
        <v/>
      </c>
      <c r="J895" s="13" t="str">
        <f>IF($A895="","",[1]!thsiFinD("ths_adjustment_nv_fund",J$3,$A895))</f>
        <v/>
      </c>
      <c r="K895" s="13" t="str">
        <f>IF($A895="","",[1]!thsiFinD("ths_adjustment_nv_fund",K$3,$A895))</f>
        <v/>
      </c>
      <c r="L895" s="13" t="str">
        <f>IF($A895="","",[1]!thsiFinD("ths_adjustment_nv_fund",L$3,$A895))</f>
        <v/>
      </c>
      <c r="M895" s="13" t="str">
        <f>IF($A895="","",[1]!thsiFinD("ths_adjustment_nv_fund",M$3,$A895))</f>
        <v/>
      </c>
      <c r="N895" s="13" t="str">
        <f>IF($A895="","",[1]!thsiFinD("ths_adjustment_nv_fund",N$3,$A895))</f>
        <v/>
      </c>
      <c r="O895" s="13" t="str">
        <f>IF($A895="","",[1]!thsiFinD("ths_adjustment_nv_fund",O$3,$A895))</f>
        <v/>
      </c>
      <c r="P895" s="13" t="str">
        <f>IF($A895="","",[1]!thsiFinD("ths_adjustment_nv_fund",P$3,$A895))</f>
        <v/>
      </c>
      <c r="Q895" s="13" t="str">
        <f>IF($A895="","",[1]!thsiFinD("ths_adjustment_nv_fund",Q$3,$A895))</f>
        <v/>
      </c>
      <c r="R895" s="13" t="str">
        <f>IF($A895="","",[1]!thsiFinD("ths_adjustment_nv_fund",R$3,$A895))</f>
        <v/>
      </c>
      <c r="S895" s="13" t="str">
        <f>IF($A895="","",[1]!thsiFinD("ths_adjustment_nv_fund",S$3,$A895))</f>
        <v/>
      </c>
      <c r="T895" s="13" t="str">
        <f>IF($A895="","",[1]!thsiFinD("ths_adjustment_nv_fund",T$3,$A895))</f>
        <v/>
      </c>
      <c r="U895" s="13" t="str">
        <f>IF($A895="","",[1]!thsiFinD("ths_adjustment_nv_fund",U$3,$A895))</f>
        <v/>
      </c>
      <c r="V895" s="13" t="str">
        <f>IF($A895="","",[1]!thsiFinD("ths_adjustment_nv_fund",V$3,$A895))</f>
        <v/>
      </c>
      <c r="W895" s="13" t="str">
        <f>IF($A895="","",[1]!thsiFinD("ths_adjustment_nv_fund",W$3,$A895))</f>
        <v/>
      </c>
      <c r="X895" s="13" t="str">
        <f>IF($A895="","",[1]!thsiFinD("ths_adjustment_nv_fund",X$3,$A895))</f>
        <v/>
      </c>
      <c r="Y895" s="13" t="str">
        <f>IF($A895="","",[1]!thsiFinD("ths_adjustment_nv_fund",Y$3,$A895))</f>
        <v/>
      </c>
      <c r="Z895" s="13" t="str">
        <f>IF($A895="","",[1]!thsiFinD("ths_adjustment_nv_fund",Z$3,$A895))</f>
        <v/>
      </c>
      <c r="AA895" s="13" t="str">
        <f>IF($A895="","",[1]!thsiFinD("ths_adjustment_nv_fund",AA$3,$A895))</f>
        <v/>
      </c>
      <c r="AB895" s="13">
        <f>IF($A895="","",[1]!thsiFinD("ths_adjustment_nv_fund",AB$3,$A895))</f>
        <v/>
      </c>
      <c r="AC895" s="13">
        <f>IF($A895="","",[1]!thsiFinD("ths_adjustment_nv_fund",AC$3,$A895))</f>
        <v/>
      </c>
      <c r="AD895" s="13">
        <f>IF($A895="","",[1]!thsiFinD("ths_adjustment_nv_fund",AD$3,$A895))</f>
        <v/>
      </c>
      <c r="AE895" s="13">
        <f>IF($A895="","",[1]!thsiFinD("ths_adjustment_nv_fund",AE$3,$A895))</f>
        <v/>
      </c>
      <c r="AF895" s="13">
        <f>IF($A895="","",[1]!thsiFinD("ths_adjustment_nv_fund",AF$3,$A895))</f>
        <v/>
      </c>
      <c r="AG895" s="13">
        <f>IF($A895="","",[1]!thsiFinD("ths_adjustment_nv_fund",AG$3,$A895))</f>
        <v/>
      </c>
      <c r="AH895" s="13">
        <f>IF($A895="","",[1]!thsiFinD("ths_adjustment_nv_fund",AH$3,$A895))</f>
        <v/>
      </c>
      <c r="AI895" s="13">
        <f>IF($A895="","",[1]!thsiFinD("ths_adjustment_nv_fund",AI$3,$A895))</f>
        <v/>
      </c>
      <c r="AJ895" s="13">
        <f>IF($A895="","",[1]!thsiFinD("ths_adjustment_nv_fund",AJ$3,$A895))</f>
        <v/>
      </c>
      <c r="AK895" s="13">
        <f>IF($A895="","",[1]!thsiFinD("ths_adjustment_nv_fund",AK$3,$A895))</f>
        <v/>
      </c>
      <c r="AL895" s="13">
        <f>IF($A895="","",[1]!thsiFinD("ths_adjustment_nv_fund",AL$3,$A895))</f>
        <v/>
      </c>
    </row>
    <row r="896" spans="2:28">
      <c r="B896" s="13" t="str">
        <f>IF($A896="","",[1]!thsiFinD("ths_adjustment_nv_fund",B$3,$A896))</f>
        <v/>
      </c>
      <c r="C896" s="13" t="str">
        <f>IF($A896="","",[1]!thsiFinD("ths_adjustment_nv_fund",C$3,$A896))</f>
        <v/>
      </c>
      <c r="D896" s="13" t="str">
        <f>IF($A896="","",[1]!thsiFinD("ths_adjustment_nv_fund",D$3,$A896))</f>
        <v/>
      </c>
      <c r="E896" s="13" t="str">
        <f>IF($A896="","",[1]!thsiFinD("ths_adjustment_nv_fund",E$3,$A896))</f>
        <v/>
      </c>
      <c r="F896" s="13" t="str">
        <f>IF($A896="","",[1]!thsiFinD("ths_adjustment_nv_fund",F$3,$A896))</f>
        <v/>
      </c>
      <c r="G896" s="13" t="str">
        <f>IF($A896="","",[1]!thsiFinD("ths_adjustment_nv_fund",G$3,$A896))</f>
        <v/>
      </c>
      <c r="H896" s="13" t="str">
        <f>IF($A896="","",[1]!thsiFinD("ths_adjustment_nv_fund",H$3,$A896))</f>
        <v/>
      </c>
      <c r="I896" s="13" t="str">
        <f>IF($A896="","",[1]!thsiFinD("ths_adjustment_nv_fund",I$3,$A896))</f>
        <v/>
      </c>
      <c r="J896" s="13" t="str">
        <f>IF($A896="","",[1]!thsiFinD("ths_adjustment_nv_fund",J$3,$A896))</f>
        <v/>
      </c>
      <c r="K896" s="13" t="str">
        <f>IF($A896="","",[1]!thsiFinD("ths_adjustment_nv_fund",K$3,$A896))</f>
        <v/>
      </c>
      <c r="L896" s="13" t="str">
        <f>IF($A896="","",[1]!thsiFinD("ths_adjustment_nv_fund",L$3,$A896))</f>
        <v/>
      </c>
      <c r="M896" s="13" t="str">
        <f>IF($A896="","",[1]!thsiFinD("ths_adjustment_nv_fund",M$3,$A896))</f>
        <v/>
      </c>
      <c r="N896" s="13" t="str">
        <f>IF($A896="","",[1]!thsiFinD("ths_adjustment_nv_fund",N$3,$A896))</f>
        <v/>
      </c>
      <c r="O896" s="13" t="str">
        <f>IF($A896="","",[1]!thsiFinD("ths_adjustment_nv_fund",O$3,$A896))</f>
        <v/>
      </c>
      <c r="P896" s="13" t="str">
        <f>IF($A896="","",[1]!thsiFinD("ths_adjustment_nv_fund",P$3,$A896))</f>
        <v/>
      </c>
      <c r="Q896" s="13" t="str">
        <f>IF($A896="","",[1]!thsiFinD("ths_adjustment_nv_fund",Q$3,$A896))</f>
        <v/>
      </c>
      <c r="R896" s="13" t="str">
        <f>IF($A896="","",[1]!thsiFinD("ths_adjustment_nv_fund",R$3,$A896))</f>
        <v/>
      </c>
      <c r="S896" s="13" t="str">
        <f>IF($A896="","",[1]!thsiFinD("ths_adjustment_nv_fund",S$3,$A896))</f>
        <v/>
      </c>
      <c r="T896" s="13" t="str">
        <f>IF($A896="","",[1]!thsiFinD("ths_adjustment_nv_fund",T$3,$A896))</f>
        <v/>
      </c>
      <c r="U896" s="13" t="str">
        <f>IF($A896="","",[1]!thsiFinD("ths_adjustment_nv_fund",U$3,$A896))</f>
        <v/>
      </c>
      <c r="V896" s="13" t="str">
        <f>IF($A896="","",[1]!thsiFinD("ths_adjustment_nv_fund",V$3,$A896))</f>
        <v/>
      </c>
      <c r="W896" s="13" t="str">
        <f>IF($A896="","",[1]!thsiFinD("ths_adjustment_nv_fund",W$3,$A896))</f>
        <v/>
      </c>
      <c r="X896" s="13" t="str">
        <f>IF($A896="","",[1]!thsiFinD("ths_adjustment_nv_fund",X$3,$A896))</f>
        <v/>
      </c>
      <c r="Y896" s="13" t="str">
        <f>IF($A896="","",[1]!thsiFinD("ths_adjustment_nv_fund",Y$3,$A896))</f>
        <v/>
      </c>
      <c r="Z896" s="13" t="str">
        <f>IF($A896="","",[1]!thsiFinD("ths_adjustment_nv_fund",Z$3,$A896))</f>
        <v/>
      </c>
      <c r="AA896" s="13" t="str">
        <f>IF($A896="","",[1]!thsiFinD("ths_adjustment_nv_fund",AA$3,$A896))</f>
        <v/>
      </c>
      <c r="AB896" s="13">
        <f>IF($A896="","",[1]!thsiFinD("ths_adjustment_nv_fund",AB$3,$A896))</f>
        <v/>
      </c>
      <c r="AC896" s="13">
        <f>IF($A896="","",[1]!thsiFinD("ths_adjustment_nv_fund",AC$3,$A896))</f>
        <v/>
      </c>
      <c r="AD896" s="13">
        <f>IF($A896="","",[1]!thsiFinD("ths_adjustment_nv_fund",AD$3,$A896))</f>
        <v/>
      </c>
      <c r="AE896" s="13">
        <f>IF($A896="","",[1]!thsiFinD("ths_adjustment_nv_fund",AE$3,$A896))</f>
        <v/>
      </c>
      <c r="AF896" s="13">
        <f>IF($A896="","",[1]!thsiFinD("ths_adjustment_nv_fund",AF$3,$A896))</f>
        <v/>
      </c>
      <c r="AG896" s="13">
        <f>IF($A896="","",[1]!thsiFinD("ths_adjustment_nv_fund",AG$3,$A896))</f>
        <v/>
      </c>
      <c r="AH896" s="13">
        <f>IF($A896="","",[1]!thsiFinD("ths_adjustment_nv_fund",AH$3,$A896))</f>
        <v/>
      </c>
      <c r="AI896" s="13">
        <f>IF($A896="","",[1]!thsiFinD("ths_adjustment_nv_fund",AI$3,$A896))</f>
        <v/>
      </c>
      <c r="AJ896" s="13">
        <f>IF($A896="","",[1]!thsiFinD("ths_adjustment_nv_fund",AJ$3,$A896))</f>
        <v/>
      </c>
      <c r="AK896" s="13">
        <f>IF($A896="","",[1]!thsiFinD("ths_adjustment_nv_fund",AK$3,$A896))</f>
        <v/>
      </c>
      <c r="AL896" s="13">
        <f>IF($A896="","",[1]!thsiFinD("ths_adjustment_nv_fund",AL$3,$A896))</f>
        <v/>
      </c>
    </row>
    <row r="897" spans="2:28">
      <c r="B897" s="13" t="str">
        <f>IF($A897="","",[1]!thsiFinD("ths_adjustment_nv_fund",B$3,$A897))</f>
        <v/>
      </c>
      <c r="C897" s="13" t="str">
        <f>IF($A897="","",[1]!thsiFinD("ths_adjustment_nv_fund",C$3,$A897))</f>
        <v/>
      </c>
      <c r="D897" s="13" t="str">
        <f>IF($A897="","",[1]!thsiFinD("ths_adjustment_nv_fund",D$3,$A897))</f>
        <v/>
      </c>
      <c r="E897" s="13" t="str">
        <f>IF($A897="","",[1]!thsiFinD("ths_adjustment_nv_fund",E$3,$A897))</f>
        <v/>
      </c>
      <c r="F897" s="13" t="str">
        <f>IF($A897="","",[1]!thsiFinD("ths_adjustment_nv_fund",F$3,$A897))</f>
        <v/>
      </c>
      <c r="G897" s="13" t="str">
        <f>IF($A897="","",[1]!thsiFinD("ths_adjustment_nv_fund",G$3,$A897))</f>
        <v/>
      </c>
      <c r="H897" s="13" t="str">
        <f>IF($A897="","",[1]!thsiFinD("ths_adjustment_nv_fund",H$3,$A897))</f>
        <v/>
      </c>
      <c r="I897" s="13" t="str">
        <f>IF($A897="","",[1]!thsiFinD("ths_adjustment_nv_fund",I$3,$A897))</f>
        <v/>
      </c>
      <c r="J897" s="13" t="str">
        <f>IF($A897="","",[1]!thsiFinD("ths_adjustment_nv_fund",J$3,$A897))</f>
        <v/>
      </c>
      <c r="K897" s="13" t="str">
        <f>IF($A897="","",[1]!thsiFinD("ths_adjustment_nv_fund",K$3,$A897))</f>
        <v/>
      </c>
      <c r="L897" s="13" t="str">
        <f>IF($A897="","",[1]!thsiFinD("ths_adjustment_nv_fund",L$3,$A897))</f>
        <v/>
      </c>
      <c r="M897" s="13" t="str">
        <f>IF($A897="","",[1]!thsiFinD("ths_adjustment_nv_fund",M$3,$A897))</f>
        <v/>
      </c>
      <c r="N897" s="13" t="str">
        <f>IF($A897="","",[1]!thsiFinD("ths_adjustment_nv_fund",N$3,$A897))</f>
        <v/>
      </c>
      <c r="O897" s="13" t="str">
        <f>IF($A897="","",[1]!thsiFinD("ths_adjustment_nv_fund",O$3,$A897))</f>
        <v/>
      </c>
      <c r="P897" s="13" t="str">
        <f>IF($A897="","",[1]!thsiFinD("ths_adjustment_nv_fund",P$3,$A897))</f>
        <v/>
      </c>
      <c r="Q897" s="13" t="str">
        <f>IF($A897="","",[1]!thsiFinD("ths_adjustment_nv_fund",Q$3,$A897))</f>
        <v/>
      </c>
      <c r="R897" s="13" t="str">
        <f>IF($A897="","",[1]!thsiFinD("ths_adjustment_nv_fund",R$3,$A897))</f>
        <v/>
      </c>
      <c r="S897" s="13" t="str">
        <f>IF($A897="","",[1]!thsiFinD("ths_adjustment_nv_fund",S$3,$A897))</f>
        <v/>
      </c>
      <c r="T897" s="13" t="str">
        <f>IF($A897="","",[1]!thsiFinD("ths_adjustment_nv_fund",T$3,$A897))</f>
        <v/>
      </c>
      <c r="U897" s="13" t="str">
        <f>IF($A897="","",[1]!thsiFinD("ths_adjustment_nv_fund",U$3,$A897))</f>
        <v/>
      </c>
      <c r="V897" s="13" t="str">
        <f>IF($A897="","",[1]!thsiFinD("ths_adjustment_nv_fund",V$3,$A897))</f>
        <v/>
      </c>
      <c r="W897" s="13" t="str">
        <f>IF($A897="","",[1]!thsiFinD("ths_adjustment_nv_fund",W$3,$A897))</f>
        <v/>
      </c>
      <c r="X897" s="13" t="str">
        <f>IF($A897="","",[1]!thsiFinD("ths_adjustment_nv_fund",X$3,$A897))</f>
        <v/>
      </c>
      <c r="Y897" s="13" t="str">
        <f>IF($A897="","",[1]!thsiFinD("ths_adjustment_nv_fund",Y$3,$A897))</f>
        <v/>
      </c>
      <c r="Z897" s="13" t="str">
        <f>IF($A897="","",[1]!thsiFinD("ths_adjustment_nv_fund",Z$3,$A897))</f>
        <v/>
      </c>
      <c r="AA897" s="13" t="str">
        <f>IF($A897="","",[1]!thsiFinD("ths_adjustment_nv_fund",AA$3,$A897))</f>
        <v/>
      </c>
      <c r="AB897" s="13">
        <f>IF($A897="","",[1]!thsiFinD("ths_adjustment_nv_fund",AB$3,$A897))</f>
        <v/>
      </c>
      <c r="AC897" s="13">
        <f>IF($A897="","",[1]!thsiFinD("ths_adjustment_nv_fund",AC$3,$A897))</f>
        <v/>
      </c>
      <c r="AD897" s="13">
        <f>IF($A897="","",[1]!thsiFinD("ths_adjustment_nv_fund",AD$3,$A897))</f>
        <v/>
      </c>
      <c r="AE897" s="13">
        <f>IF($A897="","",[1]!thsiFinD("ths_adjustment_nv_fund",AE$3,$A897))</f>
        <v/>
      </c>
      <c r="AF897" s="13">
        <f>IF($A897="","",[1]!thsiFinD("ths_adjustment_nv_fund",AF$3,$A897))</f>
        <v/>
      </c>
      <c r="AG897" s="13">
        <f>IF($A897="","",[1]!thsiFinD("ths_adjustment_nv_fund",AG$3,$A897))</f>
        <v/>
      </c>
      <c r="AH897" s="13">
        <f>IF($A897="","",[1]!thsiFinD("ths_adjustment_nv_fund",AH$3,$A897))</f>
        <v/>
      </c>
      <c r="AI897" s="13">
        <f>IF($A897="","",[1]!thsiFinD("ths_adjustment_nv_fund",AI$3,$A897))</f>
        <v/>
      </c>
      <c r="AJ897" s="13">
        <f>IF($A897="","",[1]!thsiFinD("ths_adjustment_nv_fund",AJ$3,$A897))</f>
        <v/>
      </c>
      <c r="AK897" s="13">
        <f>IF($A897="","",[1]!thsiFinD("ths_adjustment_nv_fund",AK$3,$A897))</f>
        <v/>
      </c>
      <c r="AL897" s="13">
        <f>IF($A897="","",[1]!thsiFinD("ths_adjustment_nv_fund",AL$3,$A897))</f>
        <v/>
      </c>
    </row>
    <row r="898" spans="2:28">
      <c r="B898" s="13" t="str">
        <f>IF($A898="","",[1]!thsiFinD("ths_adjustment_nv_fund",B$3,$A898))</f>
        <v/>
      </c>
      <c r="C898" s="13" t="str">
        <f>IF($A898="","",[1]!thsiFinD("ths_adjustment_nv_fund",C$3,$A898))</f>
        <v/>
      </c>
      <c r="D898" s="13" t="str">
        <f>IF($A898="","",[1]!thsiFinD("ths_adjustment_nv_fund",D$3,$A898))</f>
        <v/>
      </c>
      <c r="E898" s="13" t="str">
        <f>IF($A898="","",[1]!thsiFinD("ths_adjustment_nv_fund",E$3,$A898))</f>
        <v/>
      </c>
      <c r="F898" s="13" t="str">
        <f>IF($A898="","",[1]!thsiFinD("ths_adjustment_nv_fund",F$3,$A898))</f>
        <v/>
      </c>
      <c r="G898" s="13" t="str">
        <f>IF($A898="","",[1]!thsiFinD("ths_adjustment_nv_fund",G$3,$A898))</f>
        <v/>
      </c>
      <c r="H898" s="13" t="str">
        <f>IF($A898="","",[1]!thsiFinD("ths_adjustment_nv_fund",H$3,$A898))</f>
        <v/>
      </c>
      <c r="I898" s="13" t="str">
        <f>IF($A898="","",[1]!thsiFinD("ths_adjustment_nv_fund",I$3,$A898))</f>
        <v/>
      </c>
      <c r="J898" s="13" t="str">
        <f>IF($A898="","",[1]!thsiFinD("ths_adjustment_nv_fund",J$3,$A898))</f>
        <v/>
      </c>
      <c r="K898" s="13" t="str">
        <f>IF($A898="","",[1]!thsiFinD("ths_adjustment_nv_fund",K$3,$A898))</f>
        <v/>
      </c>
      <c r="L898" s="13" t="str">
        <f>IF($A898="","",[1]!thsiFinD("ths_adjustment_nv_fund",L$3,$A898))</f>
        <v/>
      </c>
      <c r="M898" s="13" t="str">
        <f>IF($A898="","",[1]!thsiFinD("ths_adjustment_nv_fund",M$3,$A898))</f>
        <v/>
      </c>
      <c r="N898" s="13" t="str">
        <f>IF($A898="","",[1]!thsiFinD("ths_adjustment_nv_fund",N$3,$A898))</f>
        <v/>
      </c>
      <c r="O898" s="13" t="str">
        <f>IF($A898="","",[1]!thsiFinD("ths_adjustment_nv_fund",O$3,$A898))</f>
        <v/>
      </c>
      <c r="P898" s="13" t="str">
        <f>IF($A898="","",[1]!thsiFinD("ths_adjustment_nv_fund",P$3,$A898))</f>
        <v/>
      </c>
      <c r="Q898" s="13" t="str">
        <f>IF($A898="","",[1]!thsiFinD("ths_adjustment_nv_fund",Q$3,$A898))</f>
        <v/>
      </c>
      <c r="R898" s="13" t="str">
        <f>IF($A898="","",[1]!thsiFinD("ths_adjustment_nv_fund",R$3,$A898))</f>
        <v/>
      </c>
      <c r="S898" s="13" t="str">
        <f>IF($A898="","",[1]!thsiFinD("ths_adjustment_nv_fund",S$3,$A898))</f>
        <v/>
      </c>
      <c r="T898" s="13" t="str">
        <f>IF($A898="","",[1]!thsiFinD("ths_adjustment_nv_fund",T$3,$A898))</f>
        <v/>
      </c>
      <c r="U898" s="13" t="str">
        <f>IF($A898="","",[1]!thsiFinD("ths_adjustment_nv_fund",U$3,$A898))</f>
        <v/>
      </c>
      <c r="V898" s="13" t="str">
        <f>IF($A898="","",[1]!thsiFinD("ths_adjustment_nv_fund",V$3,$A898))</f>
        <v/>
      </c>
      <c r="W898" s="13" t="str">
        <f>IF($A898="","",[1]!thsiFinD("ths_adjustment_nv_fund",W$3,$A898))</f>
        <v/>
      </c>
      <c r="X898" s="13" t="str">
        <f>IF($A898="","",[1]!thsiFinD("ths_adjustment_nv_fund",X$3,$A898))</f>
        <v/>
      </c>
      <c r="Y898" s="13" t="str">
        <f>IF($A898="","",[1]!thsiFinD("ths_adjustment_nv_fund",Y$3,$A898))</f>
        <v/>
      </c>
      <c r="Z898" s="13" t="str">
        <f>IF($A898="","",[1]!thsiFinD("ths_adjustment_nv_fund",Z$3,$A898))</f>
        <v/>
      </c>
      <c r="AA898" s="13" t="str">
        <f>IF($A898="","",[1]!thsiFinD("ths_adjustment_nv_fund",AA$3,$A898))</f>
        <v/>
      </c>
      <c r="AB898" s="13">
        <f>IF($A898="","",[1]!thsiFinD("ths_adjustment_nv_fund",AB$3,$A898))</f>
        <v/>
      </c>
      <c r="AC898" s="13">
        <f>IF($A898="","",[1]!thsiFinD("ths_adjustment_nv_fund",AC$3,$A898))</f>
        <v/>
      </c>
      <c r="AD898" s="13">
        <f>IF($A898="","",[1]!thsiFinD("ths_adjustment_nv_fund",AD$3,$A898))</f>
        <v/>
      </c>
      <c r="AE898" s="13">
        <f>IF($A898="","",[1]!thsiFinD("ths_adjustment_nv_fund",AE$3,$A898))</f>
        <v/>
      </c>
      <c r="AF898" s="13">
        <f>IF($A898="","",[1]!thsiFinD("ths_adjustment_nv_fund",AF$3,$A898))</f>
        <v/>
      </c>
      <c r="AG898" s="13">
        <f>IF($A898="","",[1]!thsiFinD("ths_adjustment_nv_fund",AG$3,$A898))</f>
        <v/>
      </c>
      <c r="AH898" s="13">
        <f>IF($A898="","",[1]!thsiFinD("ths_adjustment_nv_fund",AH$3,$A898))</f>
        <v/>
      </c>
      <c r="AI898" s="13">
        <f>IF($A898="","",[1]!thsiFinD("ths_adjustment_nv_fund",AI$3,$A898))</f>
        <v/>
      </c>
      <c r="AJ898" s="13">
        <f>IF($A898="","",[1]!thsiFinD("ths_adjustment_nv_fund",AJ$3,$A898))</f>
        <v/>
      </c>
      <c r="AK898" s="13">
        <f>IF($A898="","",[1]!thsiFinD("ths_adjustment_nv_fund",AK$3,$A898))</f>
        <v/>
      </c>
      <c r="AL898" s="13">
        <f>IF($A898="","",[1]!thsiFinD("ths_adjustment_nv_fund",AL$3,$A898))</f>
        <v/>
      </c>
    </row>
    <row r="899" spans="2:28">
      <c r="B899" s="13" t="str">
        <f>IF($A899="","",[1]!thsiFinD("ths_adjustment_nv_fund",B$3,$A899))</f>
        <v/>
      </c>
      <c r="C899" s="13" t="str">
        <f>IF($A899="","",[1]!thsiFinD("ths_adjustment_nv_fund",C$3,$A899))</f>
        <v/>
      </c>
      <c r="D899" s="13" t="str">
        <f>IF($A899="","",[1]!thsiFinD("ths_adjustment_nv_fund",D$3,$A899))</f>
        <v/>
      </c>
      <c r="E899" s="13" t="str">
        <f>IF($A899="","",[1]!thsiFinD("ths_adjustment_nv_fund",E$3,$A899))</f>
        <v/>
      </c>
      <c r="F899" s="13" t="str">
        <f>IF($A899="","",[1]!thsiFinD("ths_adjustment_nv_fund",F$3,$A899))</f>
        <v/>
      </c>
      <c r="G899" s="13" t="str">
        <f>IF($A899="","",[1]!thsiFinD("ths_adjustment_nv_fund",G$3,$A899))</f>
        <v/>
      </c>
      <c r="H899" s="13" t="str">
        <f>IF($A899="","",[1]!thsiFinD("ths_adjustment_nv_fund",H$3,$A899))</f>
        <v/>
      </c>
      <c r="I899" s="13" t="str">
        <f>IF($A899="","",[1]!thsiFinD("ths_adjustment_nv_fund",I$3,$A899))</f>
        <v/>
      </c>
      <c r="J899" s="13" t="str">
        <f>IF($A899="","",[1]!thsiFinD("ths_adjustment_nv_fund",J$3,$A899))</f>
        <v/>
      </c>
      <c r="K899" s="13" t="str">
        <f>IF($A899="","",[1]!thsiFinD("ths_adjustment_nv_fund",K$3,$A899))</f>
        <v/>
      </c>
      <c r="L899" s="13" t="str">
        <f>IF($A899="","",[1]!thsiFinD("ths_adjustment_nv_fund",L$3,$A899))</f>
        <v/>
      </c>
      <c r="M899" s="13" t="str">
        <f>IF($A899="","",[1]!thsiFinD("ths_adjustment_nv_fund",M$3,$A899))</f>
        <v/>
      </c>
      <c r="N899" s="13" t="str">
        <f>IF($A899="","",[1]!thsiFinD("ths_adjustment_nv_fund",N$3,$A899))</f>
        <v/>
      </c>
      <c r="O899" s="13" t="str">
        <f>IF($A899="","",[1]!thsiFinD("ths_adjustment_nv_fund",O$3,$A899))</f>
        <v/>
      </c>
      <c r="P899" s="13" t="str">
        <f>IF($A899="","",[1]!thsiFinD("ths_adjustment_nv_fund",P$3,$A899))</f>
        <v/>
      </c>
      <c r="Q899" s="13" t="str">
        <f>IF($A899="","",[1]!thsiFinD("ths_adjustment_nv_fund",Q$3,$A899))</f>
        <v/>
      </c>
      <c r="R899" s="13" t="str">
        <f>IF($A899="","",[1]!thsiFinD("ths_adjustment_nv_fund",R$3,$A899))</f>
        <v/>
      </c>
      <c r="S899" s="13" t="str">
        <f>IF($A899="","",[1]!thsiFinD("ths_adjustment_nv_fund",S$3,$A899))</f>
        <v/>
      </c>
      <c r="T899" s="13" t="str">
        <f>IF($A899="","",[1]!thsiFinD("ths_adjustment_nv_fund",T$3,$A899))</f>
        <v/>
      </c>
      <c r="U899" s="13" t="str">
        <f>IF($A899="","",[1]!thsiFinD("ths_adjustment_nv_fund",U$3,$A899))</f>
        <v/>
      </c>
      <c r="V899" s="13" t="str">
        <f>IF($A899="","",[1]!thsiFinD("ths_adjustment_nv_fund",V$3,$A899))</f>
        <v/>
      </c>
      <c r="W899" s="13" t="str">
        <f>IF($A899="","",[1]!thsiFinD("ths_adjustment_nv_fund",W$3,$A899))</f>
        <v/>
      </c>
      <c r="X899" s="13" t="str">
        <f>IF($A899="","",[1]!thsiFinD("ths_adjustment_nv_fund",X$3,$A899))</f>
        <v/>
      </c>
      <c r="Y899" s="13" t="str">
        <f>IF($A899="","",[1]!thsiFinD("ths_adjustment_nv_fund",Y$3,$A899))</f>
        <v/>
      </c>
      <c r="Z899" s="13" t="str">
        <f>IF($A899="","",[1]!thsiFinD("ths_adjustment_nv_fund",Z$3,$A899))</f>
        <v/>
      </c>
      <c r="AA899" s="13" t="str">
        <f>IF($A899="","",[1]!thsiFinD("ths_adjustment_nv_fund",AA$3,$A899))</f>
        <v/>
      </c>
      <c r="AB899" s="13">
        <f>IF($A899="","",[1]!thsiFinD("ths_adjustment_nv_fund",AB$3,$A899))</f>
        <v/>
      </c>
      <c r="AC899" s="13">
        <f>IF($A899="","",[1]!thsiFinD("ths_adjustment_nv_fund",AC$3,$A899))</f>
        <v/>
      </c>
      <c r="AD899" s="13">
        <f>IF($A899="","",[1]!thsiFinD("ths_adjustment_nv_fund",AD$3,$A899))</f>
        <v/>
      </c>
      <c r="AE899" s="13">
        <f>IF($A899="","",[1]!thsiFinD("ths_adjustment_nv_fund",AE$3,$A899))</f>
        <v/>
      </c>
      <c r="AF899" s="13">
        <f>IF($A899="","",[1]!thsiFinD("ths_adjustment_nv_fund",AF$3,$A899))</f>
        <v/>
      </c>
      <c r="AG899" s="13">
        <f>IF($A899="","",[1]!thsiFinD("ths_adjustment_nv_fund",AG$3,$A899))</f>
        <v/>
      </c>
      <c r="AH899" s="13">
        <f>IF($A899="","",[1]!thsiFinD("ths_adjustment_nv_fund",AH$3,$A899))</f>
        <v/>
      </c>
      <c r="AI899" s="13">
        <f>IF($A899="","",[1]!thsiFinD("ths_adjustment_nv_fund",AI$3,$A899))</f>
        <v/>
      </c>
      <c r="AJ899" s="13">
        <f>IF($A899="","",[1]!thsiFinD("ths_adjustment_nv_fund",AJ$3,$A899))</f>
        <v/>
      </c>
      <c r="AK899" s="13">
        <f>IF($A899="","",[1]!thsiFinD("ths_adjustment_nv_fund",AK$3,$A899))</f>
        <v/>
      </c>
      <c r="AL899" s="13">
        <f>IF($A899="","",[1]!thsiFinD("ths_adjustment_nv_fund",AL$3,$A899))</f>
        <v/>
      </c>
    </row>
    <row r="900" spans="2:28">
      <c r="B900" s="13" t="str">
        <f>IF($A900="","",[1]!thsiFinD("ths_adjustment_nv_fund",B$3,$A900))</f>
        <v/>
      </c>
      <c r="C900" s="13" t="str">
        <f>IF($A900="","",[1]!thsiFinD("ths_adjustment_nv_fund",C$3,$A900))</f>
        <v/>
      </c>
      <c r="D900" s="13" t="str">
        <f>IF($A900="","",[1]!thsiFinD("ths_adjustment_nv_fund",D$3,$A900))</f>
        <v/>
      </c>
      <c r="E900" s="13" t="str">
        <f>IF($A900="","",[1]!thsiFinD("ths_adjustment_nv_fund",E$3,$A900))</f>
        <v/>
      </c>
      <c r="F900" s="13" t="str">
        <f>IF($A900="","",[1]!thsiFinD("ths_adjustment_nv_fund",F$3,$A900))</f>
        <v/>
      </c>
      <c r="G900" s="13" t="str">
        <f>IF($A900="","",[1]!thsiFinD("ths_adjustment_nv_fund",G$3,$A900))</f>
        <v/>
      </c>
      <c r="H900" s="13" t="str">
        <f>IF($A900="","",[1]!thsiFinD("ths_adjustment_nv_fund",H$3,$A900))</f>
        <v/>
      </c>
      <c r="I900" s="13" t="str">
        <f>IF($A900="","",[1]!thsiFinD("ths_adjustment_nv_fund",I$3,$A900))</f>
        <v/>
      </c>
      <c r="J900" s="13" t="str">
        <f>IF($A900="","",[1]!thsiFinD("ths_adjustment_nv_fund",J$3,$A900))</f>
        <v/>
      </c>
      <c r="K900" s="13" t="str">
        <f>IF($A900="","",[1]!thsiFinD("ths_adjustment_nv_fund",K$3,$A900))</f>
        <v/>
      </c>
      <c r="L900" s="13" t="str">
        <f>IF($A900="","",[1]!thsiFinD("ths_adjustment_nv_fund",L$3,$A900))</f>
        <v/>
      </c>
      <c r="M900" s="13" t="str">
        <f>IF($A900="","",[1]!thsiFinD("ths_adjustment_nv_fund",M$3,$A900))</f>
        <v/>
      </c>
      <c r="N900" s="13" t="str">
        <f>IF($A900="","",[1]!thsiFinD("ths_adjustment_nv_fund",N$3,$A900))</f>
        <v/>
      </c>
      <c r="O900" s="13" t="str">
        <f>IF($A900="","",[1]!thsiFinD("ths_adjustment_nv_fund",O$3,$A900))</f>
        <v/>
      </c>
      <c r="P900" s="13" t="str">
        <f>IF($A900="","",[1]!thsiFinD("ths_adjustment_nv_fund",P$3,$A900))</f>
        <v/>
      </c>
      <c r="Q900" s="13" t="str">
        <f>IF($A900="","",[1]!thsiFinD("ths_adjustment_nv_fund",Q$3,$A900))</f>
        <v/>
      </c>
      <c r="R900" s="13" t="str">
        <f>IF($A900="","",[1]!thsiFinD("ths_adjustment_nv_fund",R$3,$A900))</f>
        <v/>
      </c>
      <c r="S900" s="13" t="str">
        <f>IF($A900="","",[1]!thsiFinD("ths_adjustment_nv_fund",S$3,$A900))</f>
        <v/>
      </c>
      <c r="T900" s="13" t="str">
        <f>IF($A900="","",[1]!thsiFinD("ths_adjustment_nv_fund",T$3,$A900))</f>
        <v/>
      </c>
      <c r="U900" s="13" t="str">
        <f>IF($A900="","",[1]!thsiFinD("ths_adjustment_nv_fund",U$3,$A900))</f>
        <v/>
      </c>
      <c r="V900" s="13" t="str">
        <f>IF($A900="","",[1]!thsiFinD("ths_adjustment_nv_fund",V$3,$A900))</f>
        <v/>
      </c>
      <c r="W900" s="13" t="str">
        <f>IF($A900="","",[1]!thsiFinD("ths_adjustment_nv_fund",W$3,$A900))</f>
        <v/>
      </c>
      <c r="X900" s="13" t="str">
        <f>IF($A900="","",[1]!thsiFinD("ths_adjustment_nv_fund",X$3,$A900))</f>
        <v/>
      </c>
      <c r="Y900" s="13" t="str">
        <f>IF($A900="","",[1]!thsiFinD("ths_adjustment_nv_fund",Y$3,$A900))</f>
        <v/>
      </c>
      <c r="Z900" s="13" t="str">
        <f>IF($A900="","",[1]!thsiFinD("ths_adjustment_nv_fund",Z$3,$A900))</f>
        <v/>
      </c>
      <c r="AA900" s="13" t="str">
        <f>IF($A900="","",[1]!thsiFinD("ths_adjustment_nv_fund",AA$3,$A900))</f>
        <v/>
      </c>
      <c r="AB900" s="13">
        <f>IF($A900="","",[1]!thsiFinD("ths_adjustment_nv_fund",AB$3,$A900))</f>
        <v/>
      </c>
      <c r="AC900" s="13">
        <f>IF($A900="","",[1]!thsiFinD("ths_adjustment_nv_fund",AC$3,$A900))</f>
        <v/>
      </c>
      <c r="AD900" s="13">
        <f>IF($A900="","",[1]!thsiFinD("ths_adjustment_nv_fund",AD$3,$A900))</f>
        <v/>
      </c>
      <c r="AE900" s="13">
        <f>IF($A900="","",[1]!thsiFinD("ths_adjustment_nv_fund",AE$3,$A900))</f>
        <v/>
      </c>
      <c r="AF900" s="13">
        <f>IF($A900="","",[1]!thsiFinD("ths_adjustment_nv_fund",AF$3,$A900))</f>
        <v/>
      </c>
      <c r="AG900" s="13">
        <f>IF($A900="","",[1]!thsiFinD("ths_adjustment_nv_fund",AG$3,$A900))</f>
        <v/>
      </c>
      <c r="AH900" s="13">
        <f>IF($A900="","",[1]!thsiFinD("ths_adjustment_nv_fund",AH$3,$A900))</f>
        <v/>
      </c>
      <c r="AI900" s="13">
        <f>IF($A900="","",[1]!thsiFinD("ths_adjustment_nv_fund",AI$3,$A900))</f>
        <v/>
      </c>
      <c r="AJ900" s="13">
        <f>IF($A900="","",[1]!thsiFinD("ths_adjustment_nv_fund",AJ$3,$A900))</f>
        <v/>
      </c>
      <c r="AK900" s="13">
        <f>IF($A900="","",[1]!thsiFinD("ths_adjustment_nv_fund",AK$3,$A900))</f>
        <v/>
      </c>
      <c r="AL900" s="13">
        <f>IF($A900="","",[1]!thsiFinD("ths_adjustment_nv_fund",AL$3,$A900))</f>
        <v/>
      </c>
    </row>
    <row r="901" spans="2:28">
      <c r="B901" s="13" t="str">
        <f>IF($A901="","",[1]!thsiFinD("ths_adjustment_nv_fund",B$3,$A901))</f>
        <v/>
      </c>
      <c r="C901" s="13" t="str">
        <f>IF($A901="","",[1]!thsiFinD("ths_adjustment_nv_fund",C$3,$A901))</f>
        <v/>
      </c>
      <c r="D901" s="13" t="str">
        <f>IF($A901="","",[1]!thsiFinD("ths_adjustment_nv_fund",D$3,$A901))</f>
        <v/>
      </c>
      <c r="E901" s="13" t="str">
        <f>IF($A901="","",[1]!thsiFinD("ths_adjustment_nv_fund",E$3,$A901))</f>
        <v/>
      </c>
      <c r="F901" s="13" t="str">
        <f>IF($A901="","",[1]!thsiFinD("ths_adjustment_nv_fund",F$3,$A901))</f>
        <v/>
      </c>
      <c r="G901" s="13" t="str">
        <f>IF($A901="","",[1]!thsiFinD("ths_adjustment_nv_fund",G$3,$A901))</f>
        <v/>
      </c>
      <c r="H901" s="13" t="str">
        <f>IF($A901="","",[1]!thsiFinD("ths_adjustment_nv_fund",H$3,$A901))</f>
        <v/>
      </c>
      <c r="I901" s="13" t="str">
        <f>IF($A901="","",[1]!thsiFinD("ths_adjustment_nv_fund",I$3,$A901))</f>
        <v/>
      </c>
      <c r="J901" s="13" t="str">
        <f>IF($A901="","",[1]!thsiFinD("ths_adjustment_nv_fund",J$3,$A901))</f>
        <v/>
      </c>
      <c r="K901" s="13" t="str">
        <f>IF($A901="","",[1]!thsiFinD("ths_adjustment_nv_fund",K$3,$A901))</f>
        <v/>
      </c>
      <c r="L901" s="13" t="str">
        <f>IF($A901="","",[1]!thsiFinD("ths_adjustment_nv_fund",L$3,$A901))</f>
        <v/>
      </c>
      <c r="M901" s="13" t="str">
        <f>IF($A901="","",[1]!thsiFinD("ths_adjustment_nv_fund",M$3,$A901))</f>
        <v/>
      </c>
      <c r="N901" s="13" t="str">
        <f>IF($A901="","",[1]!thsiFinD("ths_adjustment_nv_fund",N$3,$A901))</f>
        <v/>
      </c>
      <c r="O901" s="13" t="str">
        <f>IF($A901="","",[1]!thsiFinD("ths_adjustment_nv_fund",O$3,$A901))</f>
        <v/>
      </c>
      <c r="P901" s="13" t="str">
        <f>IF($A901="","",[1]!thsiFinD("ths_adjustment_nv_fund",P$3,$A901))</f>
        <v/>
      </c>
      <c r="Q901" s="13" t="str">
        <f>IF($A901="","",[1]!thsiFinD("ths_adjustment_nv_fund",Q$3,$A901))</f>
        <v/>
      </c>
      <c r="R901" s="13" t="str">
        <f>IF($A901="","",[1]!thsiFinD("ths_adjustment_nv_fund",R$3,$A901))</f>
        <v/>
      </c>
      <c r="S901" s="13" t="str">
        <f>IF($A901="","",[1]!thsiFinD("ths_adjustment_nv_fund",S$3,$A901))</f>
        <v/>
      </c>
      <c r="T901" s="13" t="str">
        <f>IF($A901="","",[1]!thsiFinD("ths_adjustment_nv_fund",T$3,$A901))</f>
        <v/>
      </c>
      <c r="U901" s="13" t="str">
        <f>IF($A901="","",[1]!thsiFinD("ths_adjustment_nv_fund",U$3,$A901))</f>
        <v/>
      </c>
      <c r="V901" s="13" t="str">
        <f>IF($A901="","",[1]!thsiFinD("ths_adjustment_nv_fund",V$3,$A901))</f>
        <v/>
      </c>
      <c r="W901" s="13" t="str">
        <f>IF($A901="","",[1]!thsiFinD("ths_adjustment_nv_fund",W$3,$A901))</f>
        <v/>
      </c>
      <c r="X901" s="13" t="str">
        <f>IF($A901="","",[1]!thsiFinD("ths_adjustment_nv_fund",X$3,$A901))</f>
        <v/>
      </c>
      <c r="Y901" s="13" t="str">
        <f>IF($A901="","",[1]!thsiFinD("ths_adjustment_nv_fund",Y$3,$A901))</f>
        <v/>
      </c>
      <c r="Z901" s="13" t="str">
        <f>IF($A901="","",[1]!thsiFinD("ths_adjustment_nv_fund",Z$3,$A901))</f>
        <v/>
      </c>
      <c r="AA901" s="13" t="str">
        <f>IF($A901="","",[1]!thsiFinD("ths_adjustment_nv_fund",AA$3,$A901))</f>
        <v/>
      </c>
      <c r="AB901" s="13">
        <f>IF($A901="","",[1]!thsiFinD("ths_adjustment_nv_fund",AB$3,$A901))</f>
        <v/>
      </c>
      <c r="AC901" s="13">
        <f>IF($A901="","",[1]!thsiFinD("ths_adjustment_nv_fund",AC$3,$A901))</f>
        <v/>
      </c>
      <c r="AD901" s="13">
        <f>IF($A901="","",[1]!thsiFinD("ths_adjustment_nv_fund",AD$3,$A901))</f>
        <v/>
      </c>
      <c r="AE901" s="13">
        <f>IF($A901="","",[1]!thsiFinD("ths_adjustment_nv_fund",AE$3,$A901))</f>
        <v/>
      </c>
      <c r="AF901" s="13">
        <f>IF($A901="","",[1]!thsiFinD("ths_adjustment_nv_fund",AF$3,$A901))</f>
        <v/>
      </c>
      <c r="AG901" s="13">
        <f>IF($A901="","",[1]!thsiFinD("ths_adjustment_nv_fund",AG$3,$A901))</f>
        <v/>
      </c>
      <c r="AH901" s="13">
        <f>IF($A901="","",[1]!thsiFinD("ths_adjustment_nv_fund",AH$3,$A901))</f>
        <v/>
      </c>
      <c r="AI901" s="13">
        <f>IF($A901="","",[1]!thsiFinD("ths_adjustment_nv_fund",AI$3,$A901))</f>
        <v/>
      </c>
      <c r="AJ901" s="13">
        <f>IF($A901="","",[1]!thsiFinD("ths_adjustment_nv_fund",AJ$3,$A901))</f>
        <v/>
      </c>
      <c r="AK901" s="13">
        <f>IF($A901="","",[1]!thsiFinD("ths_adjustment_nv_fund",AK$3,$A901))</f>
        <v/>
      </c>
      <c r="AL901" s="13">
        <f>IF($A901="","",[1]!thsiFinD("ths_adjustment_nv_fund",AL$3,$A901))</f>
        <v/>
      </c>
    </row>
    <row r="902" spans="2:28">
      <c r="B902" s="13" t="str">
        <f>IF($A902="","",[1]!thsiFinD("ths_adjustment_nv_fund",B$3,$A902))</f>
        <v/>
      </c>
      <c r="C902" s="13" t="str">
        <f>IF($A902="","",[1]!thsiFinD("ths_adjustment_nv_fund",C$3,$A902))</f>
        <v/>
      </c>
      <c r="D902" s="13" t="str">
        <f>IF($A902="","",[1]!thsiFinD("ths_adjustment_nv_fund",D$3,$A902))</f>
        <v/>
      </c>
      <c r="E902" s="13" t="str">
        <f>IF($A902="","",[1]!thsiFinD("ths_adjustment_nv_fund",E$3,$A902))</f>
        <v/>
      </c>
      <c r="F902" s="13" t="str">
        <f>IF($A902="","",[1]!thsiFinD("ths_adjustment_nv_fund",F$3,$A902))</f>
        <v/>
      </c>
      <c r="G902" s="13" t="str">
        <f>IF($A902="","",[1]!thsiFinD("ths_adjustment_nv_fund",G$3,$A902))</f>
        <v/>
      </c>
      <c r="H902" s="13" t="str">
        <f>IF($A902="","",[1]!thsiFinD("ths_adjustment_nv_fund",H$3,$A902))</f>
        <v/>
      </c>
      <c r="I902" s="13" t="str">
        <f>IF($A902="","",[1]!thsiFinD("ths_adjustment_nv_fund",I$3,$A902))</f>
        <v/>
      </c>
      <c r="J902" s="13" t="str">
        <f>IF($A902="","",[1]!thsiFinD("ths_adjustment_nv_fund",J$3,$A902))</f>
        <v/>
      </c>
      <c r="K902" s="13" t="str">
        <f>IF($A902="","",[1]!thsiFinD("ths_adjustment_nv_fund",K$3,$A902))</f>
        <v/>
      </c>
      <c r="L902" s="13" t="str">
        <f>IF($A902="","",[1]!thsiFinD("ths_adjustment_nv_fund",L$3,$A902))</f>
        <v/>
      </c>
      <c r="M902" s="13" t="str">
        <f>IF($A902="","",[1]!thsiFinD("ths_adjustment_nv_fund",M$3,$A902))</f>
        <v/>
      </c>
      <c r="N902" s="13" t="str">
        <f>IF($A902="","",[1]!thsiFinD("ths_adjustment_nv_fund",N$3,$A902))</f>
        <v/>
      </c>
      <c r="O902" s="13" t="str">
        <f>IF($A902="","",[1]!thsiFinD("ths_adjustment_nv_fund",O$3,$A902))</f>
        <v/>
      </c>
      <c r="P902" s="13" t="str">
        <f>IF($A902="","",[1]!thsiFinD("ths_adjustment_nv_fund",P$3,$A902))</f>
        <v/>
      </c>
      <c r="Q902" s="13" t="str">
        <f>IF($A902="","",[1]!thsiFinD("ths_adjustment_nv_fund",Q$3,$A902))</f>
        <v/>
      </c>
      <c r="R902" s="13" t="str">
        <f>IF($A902="","",[1]!thsiFinD("ths_adjustment_nv_fund",R$3,$A902))</f>
        <v/>
      </c>
      <c r="S902" s="13" t="str">
        <f>IF($A902="","",[1]!thsiFinD("ths_adjustment_nv_fund",S$3,$A902))</f>
        <v/>
      </c>
      <c r="T902" s="13" t="str">
        <f>IF($A902="","",[1]!thsiFinD("ths_adjustment_nv_fund",T$3,$A902))</f>
        <v/>
      </c>
      <c r="U902" s="13" t="str">
        <f>IF($A902="","",[1]!thsiFinD("ths_adjustment_nv_fund",U$3,$A902))</f>
        <v/>
      </c>
      <c r="V902" s="13" t="str">
        <f>IF($A902="","",[1]!thsiFinD("ths_adjustment_nv_fund",V$3,$A902))</f>
        <v/>
      </c>
      <c r="W902" s="13" t="str">
        <f>IF($A902="","",[1]!thsiFinD("ths_adjustment_nv_fund",W$3,$A902))</f>
        <v/>
      </c>
      <c r="X902" s="13" t="str">
        <f>IF($A902="","",[1]!thsiFinD("ths_adjustment_nv_fund",X$3,$A902))</f>
        <v/>
      </c>
      <c r="Y902" s="13" t="str">
        <f>IF($A902="","",[1]!thsiFinD("ths_adjustment_nv_fund",Y$3,$A902))</f>
        <v/>
      </c>
      <c r="Z902" s="13" t="str">
        <f>IF($A902="","",[1]!thsiFinD("ths_adjustment_nv_fund",Z$3,$A902))</f>
        <v/>
      </c>
      <c r="AA902" s="13" t="str">
        <f>IF($A902="","",[1]!thsiFinD("ths_adjustment_nv_fund",AA$3,$A902))</f>
        <v/>
      </c>
      <c r="AB902" s="13">
        <f>IF($A902="","",[1]!thsiFinD("ths_adjustment_nv_fund",AB$3,$A902))</f>
        <v/>
      </c>
      <c r="AC902" s="13">
        <f>IF($A902="","",[1]!thsiFinD("ths_adjustment_nv_fund",AC$3,$A902))</f>
        <v/>
      </c>
      <c r="AD902" s="13">
        <f>IF($A902="","",[1]!thsiFinD("ths_adjustment_nv_fund",AD$3,$A902))</f>
        <v/>
      </c>
      <c r="AE902" s="13">
        <f>IF($A902="","",[1]!thsiFinD("ths_adjustment_nv_fund",AE$3,$A902))</f>
        <v/>
      </c>
      <c r="AF902" s="13">
        <f>IF($A902="","",[1]!thsiFinD("ths_adjustment_nv_fund",AF$3,$A902))</f>
        <v/>
      </c>
      <c r="AG902" s="13">
        <f>IF($A902="","",[1]!thsiFinD("ths_adjustment_nv_fund",AG$3,$A902))</f>
        <v/>
      </c>
      <c r="AH902" s="13">
        <f>IF($A902="","",[1]!thsiFinD("ths_adjustment_nv_fund",AH$3,$A902))</f>
        <v/>
      </c>
      <c r="AI902" s="13">
        <f>IF($A902="","",[1]!thsiFinD("ths_adjustment_nv_fund",AI$3,$A902))</f>
        <v/>
      </c>
      <c r="AJ902" s="13">
        <f>IF($A902="","",[1]!thsiFinD("ths_adjustment_nv_fund",AJ$3,$A902))</f>
        <v/>
      </c>
      <c r="AK902" s="13">
        <f>IF($A902="","",[1]!thsiFinD("ths_adjustment_nv_fund",AK$3,$A902))</f>
        <v/>
      </c>
      <c r="AL902" s="13">
        <f>IF($A902="","",[1]!thsiFinD("ths_adjustment_nv_fund",AL$3,$A902))</f>
        <v/>
      </c>
    </row>
    <row r="903" spans="2:28">
      <c r="B903" s="13" t="str">
        <f>IF($A903="","",[1]!thsiFinD("ths_adjustment_nv_fund",B$3,$A903))</f>
        <v/>
      </c>
      <c r="C903" s="13" t="str">
        <f>IF($A903="","",[1]!thsiFinD("ths_adjustment_nv_fund",C$3,$A903))</f>
        <v/>
      </c>
      <c r="D903" s="13" t="str">
        <f>IF($A903="","",[1]!thsiFinD("ths_adjustment_nv_fund",D$3,$A903))</f>
        <v/>
      </c>
      <c r="E903" s="13" t="str">
        <f>IF($A903="","",[1]!thsiFinD("ths_adjustment_nv_fund",E$3,$A903))</f>
        <v/>
      </c>
      <c r="F903" s="13" t="str">
        <f>IF($A903="","",[1]!thsiFinD("ths_adjustment_nv_fund",F$3,$A903))</f>
        <v/>
      </c>
      <c r="G903" s="13" t="str">
        <f>IF($A903="","",[1]!thsiFinD("ths_adjustment_nv_fund",G$3,$A903))</f>
        <v/>
      </c>
      <c r="H903" s="13" t="str">
        <f>IF($A903="","",[1]!thsiFinD("ths_adjustment_nv_fund",H$3,$A903))</f>
        <v/>
      </c>
      <c r="I903" s="13" t="str">
        <f>IF($A903="","",[1]!thsiFinD("ths_adjustment_nv_fund",I$3,$A903))</f>
        <v/>
      </c>
      <c r="J903" s="13" t="str">
        <f>IF($A903="","",[1]!thsiFinD("ths_adjustment_nv_fund",J$3,$A903))</f>
        <v/>
      </c>
      <c r="K903" s="13" t="str">
        <f>IF($A903="","",[1]!thsiFinD("ths_adjustment_nv_fund",K$3,$A903))</f>
        <v/>
      </c>
      <c r="L903" s="13" t="str">
        <f>IF($A903="","",[1]!thsiFinD("ths_adjustment_nv_fund",L$3,$A903))</f>
        <v/>
      </c>
      <c r="M903" s="13" t="str">
        <f>IF($A903="","",[1]!thsiFinD("ths_adjustment_nv_fund",M$3,$A903))</f>
        <v/>
      </c>
      <c r="N903" s="13" t="str">
        <f>IF($A903="","",[1]!thsiFinD("ths_adjustment_nv_fund",N$3,$A903))</f>
        <v/>
      </c>
      <c r="O903" s="13" t="str">
        <f>IF($A903="","",[1]!thsiFinD("ths_adjustment_nv_fund",O$3,$A903))</f>
        <v/>
      </c>
      <c r="P903" s="13" t="str">
        <f>IF($A903="","",[1]!thsiFinD("ths_adjustment_nv_fund",P$3,$A903))</f>
        <v/>
      </c>
      <c r="Q903" s="13" t="str">
        <f>IF($A903="","",[1]!thsiFinD("ths_adjustment_nv_fund",Q$3,$A903))</f>
        <v/>
      </c>
      <c r="R903" s="13" t="str">
        <f>IF($A903="","",[1]!thsiFinD("ths_adjustment_nv_fund",R$3,$A903))</f>
        <v/>
      </c>
      <c r="S903" s="13" t="str">
        <f>IF($A903="","",[1]!thsiFinD("ths_adjustment_nv_fund",S$3,$A903))</f>
        <v/>
      </c>
      <c r="T903" s="13" t="str">
        <f>IF($A903="","",[1]!thsiFinD("ths_adjustment_nv_fund",T$3,$A903))</f>
        <v/>
      </c>
      <c r="U903" s="13" t="str">
        <f>IF($A903="","",[1]!thsiFinD("ths_adjustment_nv_fund",U$3,$A903))</f>
        <v/>
      </c>
      <c r="V903" s="13" t="str">
        <f>IF($A903="","",[1]!thsiFinD("ths_adjustment_nv_fund",V$3,$A903))</f>
        <v/>
      </c>
      <c r="W903" s="13" t="str">
        <f>IF($A903="","",[1]!thsiFinD("ths_adjustment_nv_fund",W$3,$A903))</f>
        <v/>
      </c>
      <c r="X903" s="13" t="str">
        <f>IF($A903="","",[1]!thsiFinD("ths_adjustment_nv_fund",X$3,$A903))</f>
        <v/>
      </c>
      <c r="Y903" s="13" t="str">
        <f>IF($A903="","",[1]!thsiFinD("ths_adjustment_nv_fund",Y$3,$A903))</f>
        <v/>
      </c>
      <c r="Z903" s="13" t="str">
        <f>IF($A903="","",[1]!thsiFinD("ths_adjustment_nv_fund",Z$3,$A903))</f>
        <v/>
      </c>
      <c r="AA903" s="13" t="str">
        <f>IF($A903="","",[1]!thsiFinD("ths_adjustment_nv_fund",AA$3,$A903))</f>
        <v/>
      </c>
      <c r="AB903" s="13">
        <f>IF($A903="","",[1]!thsiFinD("ths_adjustment_nv_fund",AB$3,$A903))</f>
        <v/>
      </c>
      <c r="AC903" s="13">
        <f>IF($A903="","",[1]!thsiFinD("ths_adjustment_nv_fund",AC$3,$A903))</f>
        <v/>
      </c>
      <c r="AD903" s="13">
        <f>IF($A903="","",[1]!thsiFinD("ths_adjustment_nv_fund",AD$3,$A903))</f>
        <v/>
      </c>
      <c r="AE903" s="13">
        <f>IF($A903="","",[1]!thsiFinD("ths_adjustment_nv_fund",AE$3,$A903))</f>
        <v/>
      </c>
      <c r="AF903" s="13">
        <f>IF($A903="","",[1]!thsiFinD("ths_adjustment_nv_fund",AF$3,$A903))</f>
        <v/>
      </c>
      <c r="AG903" s="13">
        <f>IF($A903="","",[1]!thsiFinD("ths_adjustment_nv_fund",AG$3,$A903))</f>
        <v/>
      </c>
      <c r="AH903" s="13">
        <f>IF($A903="","",[1]!thsiFinD("ths_adjustment_nv_fund",AH$3,$A903))</f>
        <v/>
      </c>
      <c r="AI903" s="13">
        <f>IF($A903="","",[1]!thsiFinD("ths_adjustment_nv_fund",AI$3,$A903))</f>
        <v/>
      </c>
      <c r="AJ903" s="13">
        <f>IF($A903="","",[1]!thsiFinD("ths_adjustment_nv_fund",AJ$3,$A903))</f>
        <v/>
      </c>
      <c r="AK903" s="13">
        <f>IF($A903="","",[1]!thsiFinD("ths_adjustment_nv_fund",AK$3,$A903))</f>
        <v/>
      </c>
      <c r="AL903" s="13">
        <f>IF($A903="","",[1]!thsiFinD("ths_adjustment_nv_fund",AL$3,$A903))</f>
        <v/>
      </c>
    </row>
    <row r="904" spans="2:28">
      <c r="B904" s="13" t="str">
        <f>IF($A904="","",[1]!thsiFinD("ths_adjustment_nv_fund",B$3,$A904))</f>
        <v/>
      </c>
      <c r="C904" s="13" t="str">
        <f>IF($A904="","",[1]!thsiFinD("ths_adjustment_nv_fund",C$3,$A904))</f>
        <v/>
      </c>
      <c r="D904" s="13" t="str">
        <f>IF($A904="","",[1]!thsiFinD("ths_adjustment_nv_fund",D$3,$A904))</f>
        <v/>
      </c>
      <c r="E904" s="13" t="str">
        <f>IF($A904="","",[1]!thsiFinD("ths_adjustment_nv_fund",E$3,$A904))</f>
        <v/>
      </c>
      <c r="F904" s="13" t="str">
        <f>IF($A904="","",[1]!thsiFinD("ths_adjustment_nv_fund",F$3,$A904))</f>
        <v/>
      </c>
      <c r="G904" s="13" t="str">
        <f>IF($A904="","",[1]!thsiFinD("ths_adjustment_nv_fund",G$3,$A904))</f>
        <v/>
      </c>
      <c r="H904" s="13" t="str">
        <f>IF($A904="","",[1]!thsiFinD("ths_adjustment_nv_fund",H$3,$A904))</f>
        <v/>
      </c>
      <c r="I904" s="13" t="str">
        <f>IF($A904="","",[1]!thsiFinD("ths_adjustment_nv_fund",I$3,$A904))</f>
        <v/>
      </c>
      <c r="J904" s="13" t="str">
        <f>IF($A904="","",[1]!thsiFinD("ths_adjustment_nv_fund",J$3,$A904))</f>
        <v/>
      </c>
      <c r="K904" s="13" t="str">
        <f>IF($A904="","",[1]!thsiFinD("ths_adjustment_nv_fund",K$3,$A904))</f>
        <v/>
      </c>
      <c r="L904" s="13" t="str">
        <f>IF($A904="","",[1]!thsiFinD("ths_adjustment_nv_fund",L$3,$A904))</f>
        <v/>
      </c>
      <c r="M904" s="13" t="str">
        <f>IF($A904="","",[1]!thsiFinD("ths_adjustment_nv_fund",M$3,$A904))</f>
        <v/>
      </c>
      <c r="N904" s="13" t="str">
        <f>IF($A904="","",[1]!thsiFinD("ths_adjustment_nv_fund",N$3,$A904))</f>
        <v/>
      </c>
      <c r="O904" s="13" t="str">
        <f>IF($A904="","",[1]!thsiFinD("ths_adjustment_nv_fund",O$3,$A904))</f>
        <v/>
      </c>
      <c r="P904" s="13" t="str">
        <f>IF($A904="","",[1]!thsiFinD("ths_adjustment_nv_fund",P$3,$A904))</f>
        <v/>
      </c>
      <c r="Q904" s="13" t="str">
        <f>IF($A904="","",[1]!thsiFinD("ths_adjustment_nv_fund",Q$3,$A904))</f>
        <v/>
      </c>
      <c r="R904" s="13" t="str">
        <f>IF($A904="","",[1]!thsiFinD("ths_adjustment_nv_fund",R$3,$A904))</f>
        <v/>
      </c>
      <c r="S904" s="13" t="str">
        <f>IF($A904="","",[1]!thsiFinD("ths_adjustment_nv_fund",S$3,$A904))</f>
        <v/>
      </c>
      <c r="T904" s="13" t="str">
        <f>IF($A904="","",[1]!thsiFinD("ths_adjustment_nv_fund",T$3,$A904))</f>
        <v/>
      </c>
      <c r="U904" s="13" t="str">
        <f>IF($A904="","",[1]!thsiFinD("ths_adjustment_nv_fund",U$3,$A904))</f>
        <v/>
      </c>
      <c r="V904" s="13" t="str">
        <f>IF($A904="","",[1]!thsiFinD("ths_adjustment_nv_fund",V$3,$A904))</f>
        <v/>
      </c>
      <c r="W904" s="13" t="str">
        <f>IF($A904="","",[1]!thsiFinD("ths_adjustment_nv_fund",W$3,$A904))</f>
        <v/>
      </c>
      <c r="X904" s="13" t="str">
        <f>IF($A904="","",[1]!thsiFinD("ths_adjustment_nv_fund",X$3,$A904))</f>
        <v/>
      </c>
      <c r="Y904" s="13" t="str">
        <f>IF($A904="","",[1]!thsiFinD("ths_adjustment_nv_fund",Y$3,$A904))</f>
        <v/>
      </c>
      <c r="Z904" s="13" t="str">
        <f>IF($A904="","",[1]!thsiFinD("ths_adjustment_nv_fund",Z$3,$A904))</f>
        <v/>
      </c>
      <c r="AA904" s="13" t="str">
        <f>IF($A904="","",[1]!thsiFinD("ths_adjustment_nv_fund",AA$3,$A904))</f>
        <v/>
      </c>
      <c r="AB904" s="13">
        <f>IF($A904="","",[1]!thsiFinD("ths_adjustment_nv_fund",AB$3,$A904))</f>
        <v/>
      </c>
      <c r="AC904" s="13">
        <f>IF($A904="","",[1]!thsiFinD("ths_adjustment_nv_fund",AC$3,$A904))</f>
        <v/>
      </c>
      <c r="AD904" s="13">
        <f>IF($A904="","",[1]!thsiFinD("ths_adjustment_nv_fund",AD$3,$A904))</f>
        <v/>
      </c>
      <c r="AE904" s="13">
        <f>IF($A904="","",[1]!thsiFinD("ths_adjustment_nv_fund",AE$3,$A904))</f>
        <v/>
      </c>
      <c r="AF904" s="13">
        <f>IF($A904="","",[1]!thsiFinD("ths_adjustment_nv_fund",AF$3,$A904))</f>
        <v/>
      </c>
      <c r="AG904" s="13">
        <f>IF($A904="","",[1]!thsiFinD("ths_adjustment_nv_fund",AG$3,$A904))</f>
        <v/>
      </c>
      <c r="AH904" s="13">
        <f>IF($A904="","",[1]!thsiFinD("ths_adjustment_nv_fund",AH$3,$A904))</f>
        <v/>
      </c>
      <c r="AI904" s="13">
        <f>IF($A904="","",[1]!thsiFinD("ths_adjustment_nv_fund",AI$3,$A904))</f>
        <v/>
      </c>
      <c r="AJ904" s="13">
        <f>IF($A904="","",[1]!thsiFinD("ths_adjustment_nv_fund",AJ$3,$A904))</f>
        <v/>
      </c>
      <c r="AK904" s="13">
        <f>IF($A904="","",[1]!thsiFinD("ths_adjustment_nv_fund",AK$3,$A904))</f>
        <v/>
      </c>
      <c r="AL904" s="13">
        <f>IF($A904="","",[1]!thsiFinD("ths_adjustment_nv_fund",AL$3,$A904))</f>
        <v/>
      </c>
    </row>
    <row r="905" spans="2:28">
      <c r="B905" s="13" t="str">
        <f>IF($A905="","",[1]!thsiFinD("ths_adjustment_nv_fund",B$3,$A905))</f>
        <v/>
      </c>
      <c r="C905" s="13" t="str">
        <f>IF($A905="","",[1]!thsiFinD("ths_adjustment_nv_fund",C$3,$A905))</f>
        <v/>
      </c>
      <c r="D905" s="13" t="str">
        <f>IF($A905="","",[1]!thsiFinD("ths_adjustment_nv_fund",D$3,$A905))</f>
        <v/>
      </c>
      <c r="E905" s="13" t="str">
        <f>IF($A905="","",[1]!thsiFinD("ths_adjustment_nv_fund",E$3,$A905))</f>
        <v/>
      </c>
      <c r="F905" s="13" t="str">
        <f>IF($A905="","",[1]!thsiFinD("ths_adjustment_nv_fund",F$3,$A905))</f>
        <v/>
      </c>
      <c r="G905" s="13" t="str">
        <f>IF($A905="","",[1]!thsiFinD("ths_adjustment_nv_fund",G$3,$A905))</f>
        <v/>
      </c>
      <c r="H905" s="13" t="str">
        <f>IF($A905="","",[1]!thsiFinD("ths_adjustment_nv_fund",H$3,$A905))</f>
        <v/>
      </c>
      <c r="I905" s="13" t="str">
        <f>IF($A905="","",[1]!thsiFinD("ths_adjustment_nv_fund",I$3,$A905))</f>
        <v/>
      </c>
      <c r="J905" s="13" t="str">
        <f>IF($A905="","",[1]!thsiFinD("ths_adjustment_nv_fund",J$3,$A905))</f>
        <v/>
      </c>
      <c r="K905" s="13" t="str">
        <f>IF($A905="","",[1]!thsiFinD("ths_adjustment_nv_fund",K$3,$A905))</f>
        <v/>
      </c>
      <c r="L905" s="13" t="str">
        <f>IF($A905="","",[1]!thsiFinD("ths_adjustment_nv_fund",L$3,$A905))</f>
        <v/>
      </c>
      <c r="M905" s="13" t="str">
        <f>IF($A905="","",[1]!thsiFinD("ths_adjustment_nv_fund",M$3,$A905))</f>
        <v/>
      </c>
      <c r="N905" s="13" t="str">
        <f>IF($A905="","",[1]!thsiFinD("ths_adjustment_nv_fund",N$3,$A905))</f>
        <v/>
      </c>
      <c r="O905" s="13" t="str">
        <f>IF($A905="","",[1]!thsiFinD("ths_adjustment_nv_fund",O$3,$A905))</f>
        <v/>
      </c>
      <c r="P905" s="13" t="str">
        <f>IF($A905="","",[1]!thsiFinD("ths_adjustment_nv_fund",P$3,$A905))</f>
        <v/>
      </c>
      <c r="Q905" s="13" t="str">
        <f>IF($A905="","",[1]!thsiFinD("ths_adjustment_nv_fund",Q$3,$A905))</f>
        <v/>
      </c>
      <c r="R905" s="13" t="str">
        <f>IF($A905="","",[1]!thsiFinD("ths_adjustment_nv_fund",R$3,$A905))</f>
        <v/>
      </c>
      <c r="S905" s="13" t="str">
        <f>IF($A905="","",[1]!thsiFinD("ths_adjustment_nv_fund",S$3,$A905))</f>
        <v/>
      </c>
      <c r="T905" s="13" t="str">
        <f>IF($A905="","",[1]!thsiFinD("ths_adjustment_nv_fund",T$3,$A905))</f>
        <v/>
      </c>
      <c r="U905" s="13" t="str">
        <f>IF($A905="","",[1]!thsiFinD("ths_adjustment_nv_fund",U$3,$A905))</f>
        <v/>
      </c>
      <c r="V905" s="13" t="str">
        <f>IF($A905="","",[1]!thsiFinD("ths_adjustment_nv_fund",V$3,$A905))</f>
        <v/>
      </c>
      <c r="W905" s="13" t="str">
        <f>IF($A905="","",[1]!thsiFinD("ths_adjustment_nv_fund",W$3,$A905))</f>
        <v/>
      </c>
      <c r="X905" s="13" t="str">
        <f>IF($A905="","",[1]!thsiFinD("ths_adjustment_nv_fund",X$3,$A905))</f>
        <v/>
      </c>
      <c r="Y905" s="13" t="str">
        <f>IF($A905="","",[1]!thsiFinD("ths_adjustment_nv_fund",Y$3,$A905))</f>
        <v/>
      </c>
      <c r="Z905" s="13" t="str">
        <f>IF($A905="","",[1]!thsiFinD("ths_adjustment_nv_fund",Z$3,$A905))</f>
        <v/>
      </c>
      <c r="AA905" s="13" t="str">
        <f>IF($A905="","",[1]!thsiFinD("ths_adjustment_nv_fund",AA$3,$A905))</f>
        <v/>
      </c>
      <c r="AB905" s="13">
        <f>IF($A905="","",[1]!thsiFinD("ths_adjustment_nv_fund",AB$3,$A905))</f>
        <v/>
      </c>
      <c r="AC905" s="13">
        <f>IF($A905="","",[1]!thsiFinD("ths_adjustment_nv_fund",AC$3,$A905))</f>
        <v/>
      </c>
      <c r="AD905" s="13">
        <f>IF($A905="","",[1]!thsiFinD("ths_adjustment_nv_fund",AD$3,$A905))</f>
        <v/>
      </c>
      <c r="AE905" s="13">
        <f>IF($A905="","",[1]!thsiFinD("ths_adjustment_nv_fund",AE$3,$A905))</f>
        <v/>
      </c>
      <c r="AF905" s="13">
        <f>IF($A905="","",[1]!thsiFinD("ths_adjustment_nv_fund",AF$3,$A905))</f>
        <v/>
      </c>
      <c r="AG905" s="13">
        <f>IF($A905="","",[1]!thsiFinD("ths_adjustment_nv_fund",AG$3,$A905))</f>
        <v/>
      </c>
      <c r="AH905" s="13">
        <f>IF($A905="","",[1]!thsiFinD("ths_adjustment_nv_fund",AH$3,$A905))</f>
        <v/>
      </c>
      <c r="AI905" s="13">
        <f>IF($A905="","",[1]!thsiFinD("ths_adjustment_nv_fund",AI$3,$A905))</f>
        <v/>
      </c>
      <c r="AJ905" s="13">
        <f>IF($A905="","",[1]!thsiFinD("ths_adjustment_nv_fund",AJ$3,$A905))</f>
        <v/>
      </c>
      <c r="AK905" s="13">
        <f>IF($A905="","",[1]!thsiFinD("ths_adjustment_nv_fund",AK$3,$A905))</f>
        <v/>
      </c>
      <c r="AL905" s="13">
        <f>IF($A905="","",[1]!thsiFinD("ths_adjustment_nv_fund",AL$3,$A905))</f>
        <v/>
      </c>
    </row>
    <row r="906" spans="2:28">
      <c r="B906" s="13" t="str">
        <f>IF($A906="","",[1]!thsiFinD("ths_adjustment_nv_fund",B$3,$A906))</f>
        <v/>
      </c>
      <c r="C906" s="13" t="str">
        <f>IF($A906="","",[1]!thsiFinD("ths_adjustment_nv_fund",C$3,$A906))</f>
        <v/>
      </c>
      <c r="D906" s="13" t="str">
        <f>IF($A906="","",[1]!thsiFinD("ths_adjustment_nv_fund",D$3,$A906))</f>
        <v/>
      </c>
      <c r="E906" s="13" t="str">
        <f>IF($A906="","",[1]!thsiFinD("ths_adjustment_nv_fund",E$3,$A906))</f>
        <v/>
      </c>
      <c r="F906" s="13" t="str">
        <f>IF($A906="","",[1]!thsiFinD("ths_adjustment_nv_fund",F$3,$A906))</f>
        <v/>
      </c>
      <c r="G906" s="13" t="str">
        <f>IF($A906="","",[1]!thsiFinD("ths_adjustment_nv_fund",G$3,$A906))</f>
        <v/>
      </c>
      <c r="H906" s="13" t="str">
        <f>IF($A906="","",[1]!thsiFinD("ths_adjustment_nv_fund",H$3,$A906))</f>
        <v/>
      </c>
      <c r="I906" s="13" t="str">
        <f>IF($A906="","",[1]!thsiFinD("ths_adjustment_nv_fund",I$3,$A906))</f>
        <v/>
      </c>
      <c r="J906" s="13" t="str">
        <f>IF($A906="","",[1]!thsiFinD("ths_adjustment_nv_fund",J$3,$A906))</f>
        <v/>
      </c>
      <c r="K906" s="13" t="str">
        <f>IF($A906="","",[1]!thsiFinD("ths_adjustment_nv_fund",K$3,$A906))</f>
        <v/>
      </c>
      <c r="L906" s="13" t="str">
        <f>IF($A906="","",[1]!thsiFinD("ths_adjustment_nv_fund",L$3,$A906))</f>
        <v/>
      </c>
      <c r="M906" s="13" t="str">
        <f>IF($A906="","",[1]!thsiFinD("ths_adjustment_nv_fund",M$3,$A906))</f>
        <v/>
      </c>
      <c r="N906" s="13" t="str">
        <f>IF($A906="","",[1]!thsiFinD("ths_adjustment_nv_fund",N$3,$A906))</f>
        <v/>
      </c>
      <c r="O906" s="13" t="str">
        <f>IF($A906="","",[1]!thsiFinD("ths_adjustment_nv_fund",O$3,$A906))</f>
        <v/>
      </c>
      <c r="P906" s="13" t="str">
        <f>IF($A906="","",[1]!thsiFinD("ths_adjustment_nv_fund",P$3,$A906))</f>
        <v/>
      </c>
      <c r="Q906" s="13" t="str">
        <f>IF($A906="","",[1]!thsiFinD("ths_adjustment_nv_fund",Q$3,$A906))</f>
        <v/>
      </c>
      <c r="R906" s="13" t="str">
        <f>IF($A906="","",[1]!thsiFinD("ths_adjustment_nv_fund",R$3,$A906))</f>
        <v/>
      </c>
      <c r="S906" s="13" t="str">
        <f>IF($A906="","",[1]!thsiFinD("ths_adjustment_nv_fund",S$3,$A906))</f>
        <v/>
      </c>
      <c r="T906" s="13" t="str">
        <f>IF($A906="","",[1]!thsiFinD("ths_adjustment_nv_fund",T$3,$A906))</f>
        <v/>
      </c>
      <c r="U906" s="13" t="str">
        <f>IF($A906="","",[1]!thsiFinD("ths_adjustment_nv_fund",U$3,$A906))</f>
        <v/>
      </c>
      <c r="V906" s="13" t="str">
        <f>IF($A906="","",[1]!thsiFinD("ths_adjustment_nv_fund",V$3,$A906))</f>
        <v/>
      </c>
      <c r="W906" s="13" t="str">
        <f>IF($A906="","",[1]!thsiFinD("ths_adjustment_nv_fund",W$3,$A906))</f>
        <v/>
      </c>
      <c r="X906" s="13" t="str">
        <f>IF($A906="","",[1]!thsiFinD("ths_adjustment_nv_fund",X$3,$A906))</f>
        <v/>
      </c>
      <c r="Y906" s="13" t="str">
        <f>IF($A906="","",[1]!thsiFinD("ths_adjustment_nv_fund",Y$3,$A906))</f>
        <v/>
      </c>
      <c r="Z906" s="13" t="str">
        <f>IF($A906="","",[1]!thsiFinD("ths_adjustment_nv_fund",Z$3,$A906))</f>
        <v/>
      </c>
      <c r="AA906" s="13" t="str">
        <f>IF($A906="","",[1]!thsiFinD("ths_adjustment_nv_fund",AA$3,$A906))</f>
        <v/>
      </c>
      <c r="AB906" s="13">
        <f>IF($A906="","",[1]!thsiFinD("ths_adjustment_nv_fund",AB$3,$A906))</f>
        <v/>
      </c>
      <c r="AC906" s="13">
        <f>IF($A906="","",[1]!thsiFinD("ths_adjustment_nv_fund",AC$3,$A906))</f>
        <v/>
      </c>
      <c r="AD906" s="13">
        <f>IF($A906="","",[1]!thsiFinD("ths_adjustment_nv_fund",AD$3,$A906))</f>
        <v/>
      </c>
      <c r="AE906" s="13">
        <f>IF($A906="","",[1]!thsiFinD("ths_adjustment_nv_fund",AE$3,$A906))</f>
        <v/>
      </c>
      <c r="AF906" s="13">
        <f>IF($A906="","",[1]!thsiFinD("ths_adjustment_nv_fund",AF$3,$A906))</f>
        <v/>
      </c>
      <c r="AG906" s="13">
        <f>IF($A906="","",[1]!thsiFinD("ths_adjustment_nv_fund",AG$3,$A906))</f>
        <v/>
      </c>
      <c r="AH906" s="13">
        <f>IF($A906="","",[1]!thsiFinD("ths_adjustment_nv_fund",AH$3,$A906))</f>
        <v/>
      </c>
      <c r="AI906" s="13">
        <f>IF($A906="","",[1]!thsiFinD("ths_adjustment_nv_fund",AI$3,$A906))</f>
        <v/>
      </c>
      <c r="AJ906" s="13">
        <f>IF($A906="","",[1]!thsiFinD("ths_adjustment_nv_fund",AJ$3,$A906))</f>
        <v/>
      </c>
      <c r="AK906" s="13">
        <f>IF($A906="","",[1]!thsiFinD("ths_adjustment_nv_fund",AK$3,$A906))</f>
        <v/>
      </c>
      <c r="AL906" s="13">
        <f>IF($A906="","",[1]!thsiFinD("ths_adjustment_nv_fund",AL$3,$A906))</f>
        <v/>
      </c>
    </row>
    <row r="907" spans="2:28">
      <c r="B907" s="13" t="str">
        <f>IF($A907="","",[1]!thsiFinD("ths_adjustment_nv_fund",B$3,$A907))</f>
        <v/>
      </c>
      <c r="C907" s="13" t="str">
        <f>IF($A907="","",[1]!thsiFinD("ths_adjustment_nv_fund",C$3,$A907))</f>
        <v/>
      </c>
      <c r="D907" s="13" t="str">
        <f>IF($A907="","",[1]!thsiFinD("ths_adjustment_nv_fund",D$3,$A907))</f>
        <v/>
      </c>
      <c r="E907" s="13" t="str">
        <f>IF($A907="","",[1]!thsiFinD("ths_adjustment_nv_fund",E$3,$A907))</f>
        <v/>
      </c>
      <c r="F907" s="13" t="str">
        <f>IF($A907="","",[1]!thsiFinD("ths_adjustment_nv_fund",F$3,$A907))</f>
        <v/>
      </c>
      <c r="G907" s="13" t="str">
        <f>IF($A907="","",[1]!thsiFinD("ths_adjustment_nv_fund",G$3,$A907))</f>
        <v/>
      </c>
      <c r="H907" s="13" t="str">
        <f>IF($A907="","",[1]!thsiFinD("ths_adjustment_nv_fund",H$3,$A907))</f>
        <v/>
      </c>
      <c r="I907" s="13" t="str">
        <f>IF($A907="","",[1]!thsiFinD("ths_adjustment_nv_fund",I$3,$A907))</f>
        <v/>
      </c>
      <c r="J907" s="13" t="str">
        <f>IF($A907="","",[1]!thsiFinD("ths_adjustment_nv_fund",J$3,$A907))</f>
        <v/>
      </c>
      <c r="K907" s="13" t="str">
        <f>IF($A907="","",[1]!thsiFinD("ths_adjustment_nv_fund",K$3,$A907))</f>
        <v/>
      </c>
      <c r="L907" s="13" t="str">
        <f>IF($A907="","",[1]!thsiFinD("ths_adjustment_nv_fund",L$3,$A907))</f>
        <v/>
      </c>
      <c r="M907" s="13" t="str">
        <f>IF($A907="","",[1]!thsiFinD("ths_adjustment_nv_fund",M$3,$A907))</f>
        <v/>
      </c>
      <c r="N907" s="13" t="str">
        <f>IF($A907="","",[1]!thsiFinD("ths_adjustment_nv_fund",N$3,$A907))</f>
        <v/>
      </c>
      <c r="O907" s="13" t="str">
        <f>IF($A907="","",[1]!thsiFinD("ths_adjustment_nv_fund",O$3,$A907))</f>
        <v/>
      </c>
      <c r="P907" s="13" t="str">
        <f>IF($A907="","",[1]!thsiFinD("ths_adjustment_nv_fund",P$3,$A907))</f>
        <v/>
      </c>
      <c r="Q907" s="13" t="str">
        <f>IF($A907="","",[1]!thsiFinD("ths_adjustment_nv_fund",Q$3,$A907))</f>
        <v/>
      </c>
      <c r="R907" s="13" t="str">
        <f>IF($A907="","",[1]!thsiFinD("ths_adjustment_nv_fund",R$3,$A907))</f>
        <v/>
      </c>
      <c r="S907" s="13" t="str">
        <f>IF($A907="","",[1]!thsiFinD("ths_adjustment_nv_fund",S$3,$A907))</f>
        <v/>
      </c>
      <c r="T907" s="13" t="str">
        <f>IF($A907="","",[1]!thsiFinD("ths_adjustment_nv_fund",T$3,$A907))</f>
        <v/>
      </c>
      <c r="U907" s="13" t="str">
        <f>IF($A907="","",[1]!thsiFinD("ths_adjustment_nv_fund",U$3,$A907))</f>
        <v/>
      </c>
      <c r="V907" s="13" t="str">
        <f>IF($A907="","",[1]!thsiFinD("ths_adjustment_nv_fund",V$3,$A907))</f>
        <v/>
      </c>
      <c r="W907" s="13" t="str">
        <f>IF($A907="","",[1]!thsiFinD("ths_adjustment_nv_fund",W$3,$A907))</f>
        <v/>
      </c>
      <c r="X907" s="13" t="str">
        <f>IF($A907="","",[1]!thsiFinD("ths_adjustment_nv_fund",X$3,$A907))</f>
        <v/>
      </c>
      <c r="Y907" s="13" t="str">
        <f>IF($A907="","",[1]!thsiFinD("ths_adjustment_nv_fund",Y$3,$A907))</f>
        <v/>
      </c>
      <c r="Z907" s="13" t="str">
        <f>IF($A907="","",[1]!thsiFinD("ths_adjustment_nv_fund",Z$3,$A907))</f>
        <v/>
      </c>
      <c r="AA907" s="13" t="str">
        <f>IF($A907="","",[1]!thsiFinD("ths_adjustment_nv_fund",AA$3,$A907))</f>
        <v/>
      </c>
      <c r="AB907" s="13">
        <f>IF($A907="","",[1]!thsiFinD("ths_adjustment_nv_fund",AB$3,$A907))</f>
        <v/>
      </c>
      <c r="AC907" s="13">
        <f>IF($A907="","",[1]!thsiFinD("ths_adjustment_nv_fund",AC$3,$A907))</f>
        <v/>
      </c>
      <c r="AD907" s="13">
        <f>IF($A907="","",[1]!thsiFinD("ths_adjustment_nv_fund",AD$3,$A907))</f>
        <v/>
      </c>
      <c r="AE907" s="13">
        <f>IF($A907="","",[1]!thsiFinD("ths_adjustment_nv_fund",AE$3,$A907))</f>
        <v/>
      </c>
      <c r="AF907" s="13">
        <f>IF($A907="","",[1]!thsiFinD("ths_adjustment_nv_fund",AF$3,$A907))</f>
        <v/>
      </c>
      <c r="AG907" s="13">
        <f>IF($A907="","",[1]!thsiFinD("ths_adjustment_nv_fund",AG$3,$A907))</f>
        <v/>
      </c>
      <c r="AH907" s="13">
        <f>IF($A907="","",[1]!thsiFinD("ths_adjustment_nv_fund",AH$3,$A907))</f>
        <v/>
      </c>
      <c r="AI907" s="13">
        <f>IF($A907="","",[1]!thsiFinD("ths_adjustment_nv_fund",AI$3,$A907))</f>
        <v/>
      </c>
      <c r="AJ907" s="13">
        <f>IF($A907="","",[1]!thsiFinD("ths_adjustment_nv_fund",AJ$3,$A907))</f>
        <v/>
      </c>
      <c r="AK907" s="13">
        <f>IF($A907="","",[1]!thsiFinD("ths_adjustment_nv_fund",AK$3,$A907))</f>
        <v/>
      </c>
      <c r="AL907" s="13">
        <f>IF($A907="","",[1]!thsiFinD("ths_adjustment_nv_fund",AL$3,$A907))</f>
        <v/>
      </c>
    </row>
    <row r="908" spans="2:28">
      <c r="B908" s="13" t="str">
        <f>IF($A908="","",[1]!thsiFinD("ths_adjustment_nv_fund",B$3,$A908))</f>
        <v/>
      </c>
      <c r="C908" s="13" t="str">
        <f>IF($A908="","",[1]!thsiFinD("ths_adjustment_nv_fund",C$3,$A908))</f>
        <v/>
      </c>
      <c r="D908" s="13" t="str">
        <f>IF($A908="","",[1]!thsiFinD("ths_adjustment_nv_fund",D$3,$A908))</f>
        <v/>
      </c>
      <c r="E908" s="13" t="str">
        <f>IF($A908="","",[1]!thsiFinD("ths_adjustment_nv_fund",E$3,$A908))</f>
        <v/>
      </c>
      <c r="F908" s="13" t="str">
        <f>IF($A908="","",[1]!thsiFinD("ths_adjustment_nv_fund",F$3,$A908))</f>
        <v/>
      </c>
      <c r="G908" s="13" t="str">
        <f>IF($A908="","",[1]!thsiFinD("ths_adjustment_nv_fund",G$3,$A908))</f>
        <v/>
      </c>
      <c r="H908" s="13" t="str">
        <f>IF($A908="","",[1]!thsiFinD("ths_adjustment_nv_fund",H$3,$A908))</f>
        <v/>
      </c>
      <c r="I908" s="13" t="str">
        <f>IF($A908="","",[1]!thsiFinD("ths_adjustment_nv_fund",I$3,$A908))</f>
        <v/>
      </c>
      <c r="J908" s="13" t="str">
        <f>IF($A908="","",[1]!thsiFinD("ths_adjustment_nv_fund",J$3,$A908))</f>
        <v/>
      </c>
      <c r="K908" s="13" t="str">
        <f>IF($A908="","",[1]!thsiFinD("ths_adjustment_nv_fund",K$3,$A908))</f>
        <v/>
      </c>
      <c r="L908" s="13" t="str">
        <f>IF($A908="","",[1]!thsiFinD("ths_adjustment_nv_fund",L$3,$A908))</f>
        <v/>
      </c>
      <c r="M908" s="13" t="str">
        <f>IF($A908="","",[1]!thsiFinD("ths_adjustment_nv_fund",M$3,$A908))</f>
        <v/>
      </c>
      <c r="N908" s="13" t="str">
        <f>IF($A908="","",[1]!thsiFinD("ths_adjustment_nv_fund",N$3,$A908))</f>
        <v/>
      </c>
      <c r="O908" s="13" t="str">
        <f>IF($A908="","",[1]!thsiFinD("ths_adjustment_nv_fund",O$3,$A908))</f>
        <v/>
      </c>
      <c r="P908" s="13" t="str">
        <f>IF($A908="","",[1]!thsiFinD("ths_adjustment_nv_fund",P$3,$A908))</f>
        <v/>
      </c>
      <c r="Q908" s="13" t="str">
        <f>IF($A908="","",[1]!thsiFinD("ths_adjustment_nv_fund",Q$3,$A908))</f>
        <v/>
      </c>
      <c r="R908" s="13" t="str">
        <f>IF($A908="","",[1]!thsiFinD("ths_adjustment_nv_fund",R$3,$A908))</f>
        <v/>
      </c>
      <c r="S908" s="13" t="str">
        <f>IF($A908="","",[1]!thsiFinD("ths_adjustment_nv_fund",S$3,$A908))</f>
        <v/>
      </c>
      <c r="T908" s="13" t="str">
        <f>IF($A908="","",[1]!thsiFinD("ths_adjustment_nv_fund",T$3,$A908))</f>
        <v/>
      </c>
      <c r="U908" s="13" t="str">
        <f>IF($A908="","",[1]!thsiFinD("ths_adjustment_nv_fund",U$3,$A908))</f>
        <v/>
      </c>
      <c r="V908" s="13" t="str">
        <f>IF($A908="","",[1]!thsiFinD("ths_adjustment_nv_fund",V$3,$A908))</f>
        <v/>
      </c>
      <c r="W908" s="13" t="str">
        <f>IF($A908="","",[1]!thsiFinD("ths_adjustment_nv_fund",W$3,$A908))</f>
        <v/>
      </c>
      <c r="X908" s="13" t="str">
        <f>IF($A908="","",[1]!thsiFinD("ths_adjustment_nv_fund",X$3,$A908))</f>
        <v/>
      </c>
      <c r="Y908" s="13" t="str">
        <f>IF($A908="","",[1]!thsiFinD("ths_adjustment_nv_fund",Y$3,$A908))</f>
        <v/>
      </c>
      <c r="Z908" s="13" t="str">
        <f>IF($A908="","",[1]!thsiFinD("ths_adjustment_nv_fund",Z$3,$A908))</f>
        <v/>
      </c>
      <c r="AA908" s="13" t="str">
        <f>IF($A908="","",[1]!thsiFinD("ths_adjustment_nv_fund",AA$3,$A908))</f>
        <v/>
      </c>
      <c r="AB908" s="13">
        <f>IF($A908="","",[1]!thsiFinD("ths_adjustment_nv_fund",AB$3,$A908))</f>
        <v/>
      </c>
      <c r="AC908" s="13">
        <f>IF($A908="","",[1]!thsiFinD("ths_adjustment_nv_fund",AC$3,$A908))</f>
        <v/>
      </c>
      <c r="AD908" s="13">
        <f>IF($A908="","",[1]!thsiFinD("ths_adjustment_nv_fund",AD$3,$A908))</f>
        <v/>
      </c>
      <c r="AE908" s="13">
        <f>IF($A908="","",[1]!thsiFinD("ths_adjustment_nv_fund",AE$3,$A908))</f>
        <v/>
      </c>
      <c r="AF908" s="13">
        <f>IF($A908="","",[1]!thsiFinD("ths_adjustment_nv_fund",AF$3,$A908))</f>
        <v/>
      </c>
      <c r="AG908" s="13">
        <f>IF($A908="","",[1]!thsiFinD("ths_adjustment_nv_fund",AG$3,$A908))</f>
        <v/>
      </c>
      <c r="AH908" s="13">
        <f>IF($A908="","",[1]!thsiFinD("ths_adjustment_nv_fund",AH$3,$A908))</f>
        <v/>
      </c>
      <c r="AI908" s="13">
        <f>IF($A908="","",[1]!thsiFinD("ths_adjustment_nv_fund",AI$3,$A908))</f>
        <v/>
      </c>
      <c r="AJ908" s="13">
        <f>IF($A908="","",[1]!thsiFinD("ths_adjustment_nv_fund",AJ$3,$A908))</f>
        <v/>
      </c>
      <c r="AK908" s="13">
        <f>IF($A908="","",[1]!thsiFinD("ths_adjustment_nv_fund",AK$3,$A908))</f>
        <v/>
      </c>
      <c r="AL908" s="13">
        <f>IF($A908="","",[1]!thsiFinD("ths_adjustment_nv_fund",AL$3,$A908))</f>
        <v/>
      </c>
    </row>
    <row r="909" spans="2:28">
      <c r="B909" s="13" t="str">
        <f>IF($A909="","",[1]!thsiFinD("ths_adjustment_nv_fund",B$3,$A909))</f>
        <v/>
      </c>
      <c r="C909" s="13" t="str">
        <f>IF($A909="","",[1]!thsiFinD("ths_adjustment_nv_fund",C$3,$A909))</f>
        <v/>
      </c>
      <c r="D909" s="13" t="str">
        <f>IF($A909="","",[1]!thsiFinD("ths_adjustment_nv_fund",D$3,$A909))</f>
        <v/>
      </c>
      <c r="E909" s="13" t="str">
        <f>IF($A909="","",[1]!thsiFinD("ths_adjustment_nv_fund",E$3,$A909))</f>
        <v/>
      </c>
      <c r="F909" s="13" t="str">
        <f>IF($A909="","",[1]!thsiFinD("ths_adjustment_nv_fund",F$3,$A909))</f>
        <v/>
      </c>
      <c r="G909" s="13" t="str">
        <f>IF($A909="","",[1]!thsiFinD("ths_adjustment_nv_fund",G$3,$A909))</f>
        <v/>
      </c>
      <c r="H909" s="13" t="str">
        <f>IF($A909="","",[1]!thsiFinD("ths_adjustment_nv_fund",H$3,$A909))</f>
        <v/>
      </c>
      <c r="I909" s="13" t="str">
        <f>IF($A909="","",[1]!thsiFinD("ths_adjustment_nv_fund",I$3,$A909))</f>
        <v/>
      </c>
      <c r="J909" s="13" t="str">
        <f>IF($A909="","",[1]!thsiFinD("ths_adjustment_nv_fund",J$3,$A909))</f>
        <v/>
      </c>
      <c r="K909" s="13" t="str">
        <f>IF($A909="","",[1]!thsiFinD("ths_adjustment_nv_fund",K$3,$A909))</f>
        <v/>
      </c>
      <c r="L909" s="13" t="str">
        <f>IF($A909="","",[1]!thsiFinD("ths_adjustment_nv_fund",L$3,$A909))</f>
        <v/>
      </c>
      <c r="M909" s="13" t="str">
        <f>IF($A909="","",[1]!thsiFinD("ths_adjustment_nv_fund",M$3,$A909))</f>
        <v/>
      </c>
      <c r="N909" s="13" t="str">
        <f>IF($A909="","",[1]!thsiFinD("ths_adjustment_nv_fund",N$3,$A909))</f>
        <v/>
      </c>
      <c r="O909" s="13" t="str">
        <f>IF($A909="","",[1]!thsiFinD("ths_adjustment_nv_fund",O$3,$A909))</f>
        <v/>
      </c>
      <c r="P909" s="13" t="str">
        <f>IF($A909="","",[1]!thsiFinD("ths_adjustment_nv_fund",P$3,$A909))</f>
        <v/>
      </c>
      <c r="Q909" s="13" t="str">
        <f>IF($A909="","",[1]!thsiFinD("ths_adjustment_nv_fund",Q$3,$A909))</f>
        <v/>
      </c>
      <c r="R909" s="13" t="str">
        <f>IF($A909="","",[1]!thsiFinD("ths_adjustment_nv_fund",R$3,$A909))</f>
        <v/>
      </c>
      <c r="S909" s="13" t="str">
        <f>IF($A909="","",[1]!thsiFinD("ths_adjustment_nv_fund",S$3,$A909))</f>
        <v/>
      </c>
      <c r="T909" s="13" t="str">
        <f>IF($A909="","",[1]!thsiFinD("ths_adjustment_nv_fund",T$3,$A909))</f>
        <v/>
      </c>
      <c r="U909" s="13" t="str">
        <f>IF($A909="","",[1]!thsiFinD("ths_adjustment_nv_fund",U$3,$A909))</f>
        <v/>
      </c>
      <c r="V909" s="13" t="str">
        <f>IF($A909="","",[1]!thsiFinD("ths_adjustment_nv_fund",V$3,$A909))</f>
        <v/>
      </c>
      <c r="W909" s="13" t="str">
        <f>IF($A909="","",[1]!thsiFinD("ths_adjustment_nv_fund",W$3,$A909))</f>
        <v/>
      </c>
      <c r="X909" s="13" t="str">
        <f>IF($A909="","",[1]!thsiFinD("ths_adjustment_nv_fund",X$3,$A909))</f>
        <v/>
      </c>
      <c r="Y909" s="13" t="str">
        <f>IF($A909="","",[1]!thsiFinD("ths_adjustment_nv_fund",Y$3,$A909))</f>
        <v/>
      </c>
      <c r="Z909" s="13" t="str">
        <f>IF($A909="","",[1]!thsiFinD("ths_adjustment_nv_fund",Z$3,$A909))</f>
        <v/>
      </c>
      <c r="AA909" s="13" t="str">
        <f>IF($A909="","",[1]!thsiFinD("ths_adjustment_nv_fund",AA$3,$A909))</f>
        <v/>
      </c>
      <c r="AB909" s="13">
        <f>IF($A909="","",[1]!thsiFinD("ths_adjustment_nv_fund",AB$3,$A909))</f>
        <v/>
      </c>
      <c r="AC909" s="13">
        <f>IF($A909="","",[1]!thsiFinD("ths_adjustment_nv_fund",AC$3,$A909))</f>
        <v/>
      </c>
      <c r="AD909" s="13">
        <f>IF($A909="","",[1]!thsiFinD("ths_adjustment_nv_fund",AD$3,$A909))</f>
        <v/>
      </c>
      <c r="AE909" s="13">
        <f>IF($A909="","",[1]!thsiFinD("ths_adjustment_nv_fund",AE$3,$A909))</f>
        <v/>
      </c>
      <c r="AF909" s="13">
        <f>IF($A909="","",[1]!thsiFinD("ths_adjustment_nv_fund",AF$3,$A909))</f>
        <v/>
      </c>
      <c r="AG909" s="13">
        <f>IF($A909="","",[1]!thsiFinD("ths_adjustment_nv_fund",AG$3,$A909))</f>
        <v/>
      </c>
      <c r="AH909" s="13">
        <f>IF($A909="","",[1]!thsiFinD("ths_adjustment_nv_fund",AH$3,$A909))</f>
        <v/>
      </c>
      <c r="AI909" s="13">
        <f>IF($A909="","",[1]!thsiFinD("ths_adjustment_nv_fund",AI$3,$A909))</f>
        <v/>
      </c>
      <c r="AJ909" s="13">
        <f>IF($A909="","",[1]!thsiFinD("ths_adjustment_nv_fund",AJ$3,$A909))</f>
        <v/>
      </c>
      <c r="AK909" s="13">
        <f>IF($A909="","",[1]!thsiFinD("ths_adjustment_nv_fund",AK$3,$A909))</f>
        <v/>
      </c>
      <c r="AL909" s="13">
        <f>IF($A909="","",[1]!thsiFinD("ths_adjustment_nv_fund",AL$3,$A909))</f>
        <v/>
      </c>
    </row>
    <row r="910" spans="2:28">
      <c r="B910" s="13" t="str">
        <f>IF($A910="","",[1]!thsiFinD("ths_adjustment_nv_fund",B$3,$A910))</f>
        <v/>
      </c>
      <c r="C910" s="13" t="str">
        <f>IF($A910="","",[1]!thsiFinD("ths_adjustment_nv_fund",C$3,$A910))</f>
        <v/>
      </c>
      <c r="D910" s="13" t="str">
        <f>IF($A910="","",[1]!thsiFinD("ths_adjustment_nv_fund",D$3,$A910))</f>
        <v/>
      </c>
      <c r="E910" s="13" t="str">
        <f>IF($A910="","",[1]!thsiFinD("ths_adjustment_nv_fund",E$3,$A910))</f>
        <v/>
      </c>
      <c r="F910" s="13" t="str">
        <f>IF($A910="","",[1]!thsiFinD("ths_adjustment_nv_fund",F$3,$A910))</f>
        <v/>
      </c>
      <c r="G910" s="13" t="str">
        <f>IF($A910="","",[1]!thsiFinD("ths_adjustment_nv_fund",G$3,$A910))</f>
        <v/>
      </c>
      <c r="H910" s="13" t="str">
        <f>IF($A910="","",[1]!thsiFinD("ths_adjustment_nv_fund",H$3,$A910))</f>
        <v/>
      </c>
      <c r="I910" s="13" t="str">
        <f>IF($A910="","",[1]!thsiFinD("ths_adjustment_nv_fund",I$3,$A910))</f>
        <v/>
      </c>
      <c r="J910" s="13" t="str">
        <f>IF($A910="","",[1]!thsiFinD("ths_adjustment_nv_fund",J$3,$A910))</f>
        <v/>
      </c>
      <c r="K910" s="13" t="str">
        <f>IF($A910="","",[1]!thsiFinD("ths_adjustment_nv_fund",K$3,$A910))</f>
        <v/>
      </c>
      <c r="L910" s="13" t="str">
        <f>IF($A910="","",[1]!thsiFinD("ths_adjustment_nv_fund",L$3,$A910))</f>
        <v/>
      </c>
      <c r="M910" s="13" t="str">
        <f>IF($A910="","",[1]!thsiFinD("ths_adjustment_nv_fund",M$3,$A910))</f>
        <v/>
      </c>
      <c r="N910" s="13" t="str">
        <f>IF($A910="","",[1]!thsiFinD("ths_adjustment_nv_fund",N$3,$A910))</f>
        <v/>
      </c>
      <c r="O910" s="13" t="str">
        <f>IF($A910="","",[1]!thsiFinD("ths_adjustment_nv_fund",O$3,$A910))</f>
        <v/>
      </c>
      <c r="P910" s="13" t="str">
        <f>IF($A910="","",[1]!thsiFinD("ths_adjustment_nv_fund",P$3,$A910))</f>
        <v/>
      </c>
      <c r="Q910" s="13" t="str">
        <f>IF($A910="","",[1]!thsiFinD("ths_adjustment_nv_fund",Q$3,$A910))</f>
        <v/>
      </c>
      <c r="R910" s="13" t="str">
        <f>IF($A910="","",[1]!thsiFinD("ths_adjustment_nv_fund",R$3,$A910))</f>
        <v/>
      </c>
      <c r="S910" s="13" t="str">
        <f>IF($A910="","",[1]!thsiFinD("ths_adjustment_nv_fund",S$3,$A910))</f>
        <v/>
      </c>
      <c r="T910" s="13" t="str">
        <f>IF($A910="","",[1]!thsiFinD("ths_adjustment_nv_fund",T$3,$A910))</f>
        <v/>
      </c>
      <c r="U910" s="13" t="str">
        <f>IF($A910="","",[1]!thsiFinD("ths_adjustment_nv_fund",U$3,$A910))</f>
        <v/>
      </c>
      <c r="V910" s="13" t="str">
        <f>IF($A910="","",[1]!thsiFinD("ths_adjustment_nv_fund",V$3,$A910))</f>
        <v/>
      </c>
      <c r="W910" s="13" t="str">
        <f>IF($A910="","",[1]!thsiFinD("ths_adjustment_nv_fund",W$3,$A910))</f>
        <v/>
      </c>
      <c r="X910" s="13" t="str">
        <f>IF($A910="","",[1]!thsiFinD("ths_adjustment_nv_fund",X$3,$A910))</f>
        <v/>
      </c>
      <c r="Y910" s="13" t="str">
        <f>IF($A910="","",[1]!thsiFinD("ths_adjustment_nv_fund",Y$3,$A910))</f>
        <v/>
      </c>
      <c r="Z910" s="13" t="str">
        <f>IF($A910="","",[1]!thsiFinD("ths_adjustment_nv_fund",Z$3,$A910))</f>
        <v/>
      </c>
      <c r="AA910" s="13" t="str">
        <f>IF($A910="","",[1]!thsiFinD("ths_adjustment_nv_fund",AA$3,$A910))</f>
        <v/>
      </c>
      <c r="AB910" s="13">
        <f>IF($A910="","",[1]!thsiFinD("ths_adjustment_nv_fund",AB$3,$A910))</f>
        <v/>
      </c>
      <c r="AC910" s="13">
        <f>IF($A910="","",[1]!thsiFinD("ths_adjustment_nv_fund",AC$3,$A910))</f>
        <v/>
      </c>
      <c r="AD910" s="13">
        <f>IF($A910="","",[1]!thsiFinD("ths_adjustment_nv_fund",AD$3,$A910))</f>
        <v/>
      </c>
      <c r="AE910" s="13">
        <f>IF($A910="","",[1]!thsiFinD("ths_adjustment_nv_fund",AE$3,$A910))</f>
        <v/>
      </c>
      <c r="AF910" s="13">
        <f>IF($A910="","",[1]!thsiFinD("ths_adjustment_nv_fund",AF$3,$A910))</f>
        <v/>
      </c>
      <c r="AG910" s="13">
        <f>IF($A910="","",[1]!thsiFinD("ths_adjustment_nv_fund",AG$3,$A910))</f>
        <v/>
      </c>
      <c r="AH910" s="13">
        <f>IF($A910="","",[1]!thsiFinD("ths_adjustment_nv_fund",AH$3,$A910))</f>
        <v/>
      </c>
      <c r="AI910" s="13">
        <f>IF($A910="","",[1]!thsiFinD("ths_adjustment_nv_fund",AI$3,$A910))</f>
        <v/>
      </c>
      <c r="AJ910" s="13">
        <f>IF($A910="","",[1]!thsiFinD("ths_adjustment_nv_fund",AJ$3,$A910))</f>
        <v/>
      </c>
      <c r="AK910" s="13">
        <f>IF($A910="","",[1]!thsiFinD("ths_adjustment_nv_fund",AK$3,$A910))</f>
        <v/>
      </c>
      <c r="AL910" s="13">
        <f>IF($A910="","",[1]!thsiFinD("ths_adjustment_nv_fund",AL$3,$A910))</f>
        <v/>
      </c>
    </row>
    <row r="911" spans="2:28">
      <c r="B911" s="13" t="str">
        <f>IF($A911="","",[1]!thsiFinD("ths_adjustment_nv_fund",B$3,$A911))</f>
        <v/>
      </c>
      <c r="C911" s="13" t="str">
        <f>IF($A911="","",[1]!thsiFinD("ths_adjustment_nv_fund",C$3,$A911))</f>
        <v/>
      </c>
      <c r="D911" s="13" t="str">
        <f>IF($A911="","",[1]!thsiFinD("ths_adjustment_nv_fund",D$3,$A911))</f>
        <v/>
      </c>
      <c r="E911" s="13" t="str">
        <f>IF($A911="","",[1]!thsiFinD("ths_adjustment_nv_fund",E$3,$A911))</f>
        <v/>
      </c>
      <c r="F911" s="13" t="str">
        <f>IF($A911="","",[1]!thsiFinD("ths_adjustment_nv_fund",F$3,$A911))</f>
        <v/>
      </c>
      <c r="G911" s="13" t="str">
        <f>IF($A911="","",[1]!thsiFinD("ths_adjustment_nv_fund",G$3,$A911))</f>
        <v/>
      </c>
      <c r="H911" s="13" t="str">
        <f>IF($A911="","",[1]!thsiFinD("ths_adjustment_nv_fund",H$3,$A911))</f>
        <v/>
      </c>
      <c r="I911" s="13" t="str">
        <f>IF($A911="","",[1]!thsiFinD("ths_adjustment_nv_fund",I$3,$A911))</f>
        <v/>
      </c>
      <c r="J911" s="13" t="str">
        <f>IF($A911="","",[1]!thsiFinD("ths_adjustment_nv_fund",J$3,$A911))</f>
        <v/>
      </c>
      <c r="K911" s="13" t="str">
        <f>IF($A911="","",[1]!thsiFinD("ths_adjustment_nv_fund",K$3,$A911))</f>
        <v/>
      </c>
      <c r="L911" s="13" t="str">
        <f>IF($A911="","",[1]!thsiFinD("ths_adjustment_nv_fund",L$3,$A911))</f>
        <v/>
      </c>
      <c r="M911" s="13" t="str">
        <f>IF($A911="","",[1]!thsiFinD("ths_adjustment_nv_fund",M$3,$A911))</f>
        <v/>
      </c>
      <c r="N911" s="13" t="str">
        <f>IF($A911="","",[1]!thsiFinD("ths_adjustment_nv_fund",N$3,$A911))</f>
        <v/>
      </c>
      <c r="O911" s="13" t="str">
        <f>IF($A911="","",[1]!thsiFinD("ths_adjustment_nv_fund",O$3,$A911))</f>
        <v/>
      </c>
      <c r="P911" s="13" t="str">
        <f>IF($A911="","",[1]!thsiFinD("ths_adjustment_nv_fund",P$3,$A911))</f>
        <v/>
      </c>
      <c r="Q911" s="13" t="str">
        <f>IF($A911="","",[1]!thsiFinD("ths_adjustment_nv_fund",Q$3,$A911))</f>
        <v/>
      </c>
      <c r="R911" s="13" t="str">
        <f>IF($A911="","",[1]!thsiFinD("ths_adjustment_nv_fund",R$3,$A911))</f>
        <v/>
      </c>
      <c r="S911" s="13" t="str">
        <f>IF($A911="","",[1]!thsiFinD("ths_adjustment_nv_fund",S$3,$A911))</f>
        <v/>
      </c>
      <c r="T911" s="13" t="str">
        <f>IF($A911="","",[1]!thsiFinD("ths_adjustment_nv_fund",T$3,$A911))</f>
        <v/>
      </c>
      <c r="U911" s="13" t="str">
        <f>IF($A911="","",[1]!thsiFinD("ths_adjustment_nv_fund",U$3,$A911))</f>
        <v/>
      </c>
      <c r="V911" s="13" t="str">
        <f>IF($A911="","",[1]!thsiFinD("ths_adjustment_nv_fund",V$3,$A911))</f>
        <v/>
      </c>
      <c r="W911" s="13" t="str">
        <f>IF($A911="","",[1]!thsiFinD("ths_adjustment_nv_fund",W$3,$A911))</f>
        <v/>
      </c>
      <c r="X911" s="13" t="str">
        <f>IF($A911="","",[1]!thsiFinD("ths_adjustment_nv_fund",X$3,$A911))</f>
        <v/>
      </c>
      <c r="Y911" s="13" t="str">
        <f>IF($A911="","",[1]!thsiFinD("ths_adjustment_nv_fund",Y$3,$A911))</f>
        <v/>
      </c>
      <c r="Z911" s="13" t="str">
        <f>IF($A911="","",[1]!thsiFinD("ths_adjustment_nv_fund",Z$3,$A911))</f>
        <v/>
      </c>
      <c r="AA911" s="13" t="str">
        <f>IF($A911="","",[1]!thsiFinD("ths_adjustment_nv_fund",AA$3,$A911))</f>
        <v/>
      </c>
      <c r="AB911" s="13">
        <f>IF($A911="","",[1]!thsiFinD("ths_adjustment_nv_fund",AB$3,$A911))</f>
        <v/>
      </c>
      <c r="AC911" s="13">
        <f>IF($A911="","",[1]!thsiFinD("ths_adjustment_nv_fund",AC$3,$A911))</f>
        <v/>
      </c>
      <c r="AD911" s="13">
        <f>IF($A911="","",[1]!thsiFinD("ths_adjustment_nv_fund",AD$3,$A911))</f>
        <v/>
      </c>
      <c r="AE911" s="13">
        <f>IF($A911="","",[1]!thsiFinD("ths_adjustment_nv_fund",AE$3,$A911))</f>
        <v/>
      </c>
      <c r="AF911" s="13">
        <f>IF($A911="","",[1]!thsiFinD("ths_adjustment_nv_fund",AF$3,$A911))</f>
        <v/>
      </c>
      <c r="AG911" s="13">
        <f>IF($A911="","",[1]!thsiFinD("ths_adjustment_nv_fund",AG$3,$A911))</f>
        <v/>
      </c>
      <c r="AH911" s="13">
        <f>IF($A911="","",[1]!thsiFinD("ths_adjustment_nv_fund",AH$3,$A911))</f>
        <v/>
      </c>
      <c r="AI911" s="13">
        <f>IF($A911="","",[1]!thsiFinD("ths_adjustment_nv_fund",AI$3,$A911))</f>
        <v/>
      </c>
      <c r="AJ911" s="13">
        <f>IF($A911="","",[1]!thsiFinD("ths_adjustment_nv_fund",AJ$3,$A911))</f>
        <v/>
      </c>
      <c r="AK911" s="13">
        <f>IF($A911="","",[1]!thsiFinD("ths_adjustment_nv_fund",AK$3,$A911))</f>
        <v/>
      </c>
      <c r="AL911" s="13">
        <f>IF($A911="","",[1]!thsiFinD("ths_adjustment_nv_fund",AL$3,$A911))</f>
        <v/>
      </c>
    </row>
    <row r="912" spans="2:28">
      <c r="B912" s="13" t="str">
        <f>IF($A912="","",[1]!thsiFinD("ths_adjustment_nv_fund",B$3,$A912))</f>
        <v/>
      </c>
      <c r="C912" s="13" t="str">
        <f>IF($A912="","",[1]!thsiFinD("ths_adjustment_nv_fund",C$3,$A912))</f>
        <v/>
      </c>
      <c r="D912" s="13" t="str">
        <f>IF($A912="","",[1]!thsiFinD("ths_adjustment_nv_fund",D$3,$A912))</f>
        <v/>
      </c>
      <c r="E912" s="13" t="str">
        <f>IF($A912="","",[1]!thsiFinD("ths_adjustment_nv_fund",E$3,$A912))</f>
        <v/>
      </c>
      <c r="F912" s="13" t="str">
        <f>IF($A912="","",[1]!thsiFinD("ths_adjustment_nv_fund",F$3,$A912))</f>
        <v/>
      </c>
      <c r="G912" s="13" t="str">
        <f>IF($A912="","",[1]!thsiFinD("ths_adjustment_nv_fund",G$3,$A912))</f>
        <v/>
      </c>
      <c r="H912" s="13" t="str">
        <f>IF($A912="","",[1]!thsiFinD("ths_adjustment_nv_fund",H$3,$A912))</f>
        <v/>
      </c>
      <c r="I912" s="13" t="str">
        <f>IF($A912="","",[1]!thsiFinD("ths_adjustment_nv_fund",I$3,$A912))</f>
        <v/>
      </c>
      <c r="J912" s="13" t="str">
        <f>IF($A912="","",[1]!thsiFinD("ths_adjustment_nv_fund",J$3,$A912))</f>
        <v/>
      </c>
      <c r="K912" s="13" t="str">
        <f>IF($A912="","",[1]!thsiFinD("ths_adjustment_nv_fund",K$3,$A912))</f>
        <v/>
      </c>
      <c r="L912" s="13" t="str">
        <f>IF($A912="","",[1]!thsiFinD("ths_adjustment_nv_fund",L$3,$A912))</f>
        <v/>
      </c>
      <c r="M912" s="13" t="str">
        <f>IF($A912="","",[1]!thsiFinD("ths_adjustment_nv_fund",M$3,$A912))</f>
        <v/>
      </c>
      <c r="N912" s="13" t="str">
        <f>IF($A912="","",[1]!thsiFinD("ths_adjustment_nv_fund",N$3,$A912))</f>
        <v/>
      </c>
      <c r="O912" s="13" t="str">
        <f>IF($A912="","",[1]!thsiFinD("ths_adjustment_nv_fund",O$3,$A912))</f>
        <v/>
      </c>
      <c r="P912" s="13" t="str">
        <f>IF($A912="","",[1]!thsiFinD("ths_adjustment_nv_fund",P$3,$A912))</f>
        <v/>
      </c>
      <c r="Q912" s="13" t="str">
        <f>IF($A912="","",[1]!thsiFinD("ths_adjustment_nv_fund",Q$3,$A912))</f>
        <v/>
      </c>
      <c r="R912" s="13" t="str">
        <f>IF($A912="","",[1]!thsiFinD("ths_adjustment_nv_fund",R$3,$A912))</f>
        <v/>
      </c>
      <c r="S912" s="13" t="str">
        <f>IF($A912="","",[1]!thsiFinD("ths_adjustment_nv_fund",S$3,$A912))</f>
        <v/>
      </c>
      <c r="T912" s="13" t="str">
        <f>IF($A912="","",[1]!thsiFinD("ths_adjustment_nv_fund",T$3,$A912))</f>
        <v/>
      </c>
      <c r="U912" s="13" t="str">
        <f>IF($A912="","",[1]!thsiFinD("ths_adjustment_nv_fund",U$3,$A912))</f>
        <v/>
      </c>
      <c r="V912" s="13" t="str">
        <f>IF($A912="","",[1]!thsiFinD("ths_adjustment_nv_fund",V$3,$A912))</f>
        <v/>
      </c>
      <c r="W912" s="13" t="str">
        <f>IF($A912="","",[1]!thsiFinD("ths_adjustment_nv_fund",W$3,$A912))</f>
        <v/>
      </c>
      <c r="X912" s="13" t="str">
        <f>IF($A912="","",[1]!thsiFinD("ths_adjustment_nv_fund",X$3,$A912))</f>
        <v/>
      </c>
      <c r="Y912" s="13" t="str">
        <f>IF($A912="","",[1]!thsiFinD("ths_adjustment_nv_fund",Y$3,$A912))</f>
        <v/>
      </c>
      <c r="Z912" s="13" t="str">
        <f>IF($A912="","",[1]!thsiFinD("ths_adjustment_nv_fund",Z$3,$A912))</f>
        <v/>
      </c>
      <c r="AA912" s="13" t="str">
        <f>IF($A912="","",[1]!thsiFinD("ths_adjustment_nv_fund",AA$3,$A912))</f>
        <v/>
      </c>
      <c r="AB912" s="13">
        <f>IF($A912="","",[1]!thsiFinD("ths_adjustment_nv_fund",AB$3,$A912))</f>
        <v/>
      </c>
      <c r="AC912" s="13">
        <f>IF($A912="","",[1]!thsiFinD("ths_adjustment_nv_fund",AC$3,$A912))</f>
        <v/>
      </c>
      <c r="AD912" s="13">
        <f>IF($A912="","",[1]!thsiFinD("ths_adjustment_nv_fund",AD$3,$A912))</f>
        <v/>
      </c>
      <c r="AE912" s="13">
        <f>IF($A912="","",[1]!thsiFinD("ths_adjustment_nv_fund",AE$3,$A912))</f>
        <v/>
      </c>
      <c r="AF912" s="13">
        <f>IF($A912="","",[1]!thsiFinD("ths_adjustment_nv_fund",AF$3,$A912))</f>
        <v/>
      </c>
      <c r="AG912" s="13">
        <f>IF($A912="","",[1]!thsiFinD("ths_adjustment_nv_fund",AG$3,$A912))</f>
        <v/>
      </c>
      <c r="AH912" s="13">
        <f>IF($A912="","",[1]!thsiFinD("ths_adjustment_nv_fund",AH$3,$A912))</f>
        <v/>
      </c>
      <c r="AI912" s="13">
        <f>IF($A912="","",[1]!thsiFinD("ths_adjustment_nv_fund",AI$3,$A912))</f>
        <v/>
      </c>
      <c r="AJ912" s="13">
        <f>IF($A912="","",[1]!thsiFinD("ths_adjustment_nv_fund",AJ$3,$A912))</f>
        <v/>
      </c>
      <c r="AK912" s="13">
        <f>IF($A912="","",[1]!thsiFinD("ths_adjustment_nv_fund",AK$3,$A912))</f>
        <v/>
      </c>
      <c r="AL912" s="13">
        <f>IF($A912="","",[1]!thsiFinD("ths_adjustment_nv_fund",AL$3,$A912))</f>
        <v/>
      </c>
    </row>
    <row r="913" spans="2:28">
      <c r="B913" s="13" t="str">
        <f>IF($A913="","",[1]!thsiFinD("ths_adjustment_nv_fund",B$3,$A913))</f>
        <v/>
      </c>
      <c r="C913" s="13" t="str">
        <f>IF($A913="","",[1]!thsiFinD("ths_adjustment_nv_fund",C$3,$A913))</f>
        <v/>
      </c>
      <c r="D913" s="13" t="str">
        <f>IF($A913="","",[1]!thsiFinD("ths_adjustment_nv_fund",D$3,$A913))</f>
        <v/>
      </c>
      <c r="E913" s="13" t="str">
        <f>IF($A913="","",[1]!thsiFinD("ths_adjustment_nv_fund",E$3,$A913))</f>
        <v/>
      </c>
      <c r="F913" s="13" t="str">
        <f>IF($A913="","",[1]!thsiFinD("ths_adjustment_nv_fund",F$3,$A913))</f>
        <v/>
      </c>
      <c r="G913" s="13" t="str">
        <f>IF($A913="","",[1]!thsiFinD("ths_adjustment_nv_fund",G$3,$A913))</f>
        <v/>
      </c>
      <c r="H913" s="13" t="str">
        <f>IF($A913="","",[1]!thsiFinD("ths_adjustment_nv_fund",H$3,$A913))</f>
        <v/>
      </c>
      <c r="I913" s="13" t="str">
        <f>IF($A913="","",[1]!thsiFinD("ths_adjustment_nv_fund",I$3,$A913))</f>
        <v/>
      </c>
      <c r="J913" s="13" t="str">
        <f>IF($A913="","",[1]!thsiFinD("ths_adjustment_nv_fund",J$3,$A913))</f>
        <v/>
      </c>
      <c r="K913" s="13" t="str">
        <f>IF($A913="","",[1]!thsiFinD("ths_adjustment_nv_fund",K$3,$A913))</f>
        <v/>
      </c>
      <c r="L913" s="13" t="str">
        <f>IF($A913="","",[1]!thsiFinD("ths_adjustment_nv_fund",L$3,$A913))</f>
        <v/>
      </c>
      <c r="M913" s="13" t="str">
        <f>IF($A913="","",[1]!thsiFinD("ths_adjustment_nv_fund",M$3,$A913))</f>
        <v/>
      </c>
      <c r="N913" s="13" t="str">
        <f>IF($A913="","",[1]!thsiFinD("ths_adjustment_nv_fund",N$3,$A913))</f>
        <v/>
      </c>
      <c r="O913" s="13" t="str">
        <f>IF($A913="","",[1]!thsiFinD("ths_adjustment_nv_fund",O$3,$A913))</f>
        <v/>
      </c>
      <c r="P913" s="13" t="str">
        <f>IF($A913="","",[1]!thsiFinD("ths_adjustment_nv_fund",P$3,$A913))</f>
        <v/>
      </c>
      <c r="Q913" s="13" t="str">
        <f>IF($A913="","",[1]!thsiFinD("ths_adjustment_nv_fund",Q$3,$A913))</f>
        <v/>
      </c>
      <c r="R913" s="13" t="str">
        <f>IF($A913="","",[1]!thsiFinD("ths_adjustment_nv_fund",R$3,$A913))</f>
        <v/>
      </c>
      <c r="S913" s="13" t="str">
        <f>IF($A913="","",[1]!thsiFinD("ths_adjustment_nv_fund",S$3,$A913))</f>
        <v/>
      </c>
      <c r="T913" s="13" t="str">
        <f>IF($A913="","",[1]!thsiFinD("ths_adjustment_nv_fund",T$3,$A913))</f>
        <v/>
      </c>
      <c r="U913" s="13" t="str">
        <f>IF($A913="","",[1]!thsiFinD("ths_adjustment_nv_fund",U$3,$A913))</f>
        <v/>
      </c>
      <c r="V913" s="13" t="str">
        <f>IF($A913="","",[1]!thsiFinD("ths_adjustment_nv_fund",V$3,$A913))</f>
        <v/>
      </c>
      <c r="W913" s="13" t="str">
        <f>IF($A913="","",[1]!thsiFinD("ths_adjustment_nv_fund",W$3,$A913))</f>
        <v/>
      </c>
      <c r="X913" s="13" t="str">
        <f>IF($A913="","",[1]!thsiFinD("ths_adjustment_nv_fund",X$3,$A913))</f>
        <v/>
      </c>
      <c r="Y913" s="13" t="str">
        <f>IF($A913="","",[1]!thsiFinD("ths_adjustment_nv_fund",Y$3,$A913))</f>
        <v/>
      </c>
      <c r="Z913" s="13" t="str">
        <f>IF($A913="","",[1]!thsiFinD("ths_adjustment_nv_fund",Z$3,$A913))</f>
        <v/>
      </c>
      <c r="AA913" s="13" t="str">
        <f>IF($A913="","",[1]!thsiFinD("ths_adjustment_nv_fund",AA$3,$A913))</f>
        <v/>
      </c>
      <c r="AB913" s="13">
        <f>IF($A913="","",[1]!thsiFinD("ths_adjustment_nv_fund",AB$3,$A913))</f>
        <v/>
      </c>
      <c r="AC913" s="13">
        <f>IF($A913="","",[1]!thsiFinD("ths_adjustment_nv_fund",AC$3,$A913))</f>
        <v/>
      </c>
      <c r="AD913" s="13">
        <f>IF($A913="","",[1]!thsiFinD("ths_adjustment_nv_fund",AD$3,$A913))</f>
        <v/>
      </c>
      <c r="AE913" s="13">
        <f>IF($A913="","",[1]!thsiFinD("ths_adjustment_nv_fund",AE$3,$A913))</f>
        <v/>
      </c>
      <c r="AF913" s="13">
        <f>IF($A913="","",[1]!thsiFinD("ths_adjustment_nv_fund",AF$3,$A913))</f>
        <v/>
      </c>
      <c r="AG913" s="13">
        <f>IF($A913="","",[1]!thsiFinD("ths_adjustment_nv_fund",AG$3,$A913))</f>
        <v/>
      </c>
      <c r="AH913" s="13">
        <f>IF($A913="","",[1]!thsiFinD("ths_adjustment_nv_fund",AH$3,$A913))</f>
        <v/>
      </c>
      <c r="AI913" s="13">
        <f>IF($A913="","",[1]!thsiFinD("ths_adjustment_nv_fund",AI$3,$A913))</f>
        <v/>
      </c>
      <c r="AJ913" s="13">
        <f>IF($A913="","",[1]!thsiFinD("ths_adjustment_nv_fund",AJ$3,$A913))</f>
        <v/>
      </c>
      <c r="AK913" s="13">
        <f>IF($A913="","",[1]!thsiFinD("ths_adjustment_nv_fund",AK$3,$A913))</f>
        <v/>
      </c>
      <c r="AL913" s="13">
        <f>IF($A913="","",[1]!thsiFinD("ths_adjustment_nv_fund",AL$3,$A913))</f>
        <v/>
      </c>
    </row>
    <row r="914" spans="2:28">
      <c r="B914" s="13" t="str">
        <f>IF($A914="","",[1]!thsiFinD("ths_adjustment_nv_fund",B$3,$A914))</f>
        <v/>
      </c>
      <c r="C914" s="13" t="str">
        <f>IF($A914="","",[1]!thsiFinD("ths_adjustment_nv_fund",C$3,$A914))</f>
        <v/>
      </c>
      <c r="D914" s="13" t="str">
        <f>IF($A914="","",[1]!thsiFinD("ths_adjustment_nv_fund",D$3,$A914))</f>
        <v/>
      </c>
      <c r="E914" s="13" t="str">
        <f>IF($A914="","",[1]!thsiFinD("ths_adjustment_nv_fund",E$3,$A914))</f>
        <v/>
      </c>
      <c r="F914" s="13" t="str">
        <f>IF($A914="","",[1]!thsiFinD("ths_adjustment_nv_fund",F$3,$A914))</f>
        <v/>
      </c>
      <c r="G914" s="13" t="str">
        <f>IF($A914="","",[1]!thsiFinD("ths_adjustment_nv_fund",G$3,$A914))</f>
        <v/>
      </c>
      <c r="H914" s="13" t="str">
        <f>IF($A914="","",[1]!thsiFinD("ths_adjustment_nv_fund",H$3,$A914))</f>
        <v/>
      </c>
      <c r="I914" s="13" t="str">
        <f>IF($A914="","",[1]!thsiFinD("ths_adjustment_nv_fund",I$3,$A914))</f>
        <v/>
      </c>
      <c r="J914" s="13" t="str">
        <f>IF($A914="","",[1]!thsiFinD("ths_adjustment_nv_fund",J$3,$A914))</f>
        <v/>
      </c>
      <c r="K914" s="13" t="str">
        <f>IF($A914="","",[1]!thsiFinD("ths_adjustment_nv_fund",K$3,$A914))</f>
        <v/>
      </c>
      <c r="L914" s="13" t="str">
        <f>IF($A914="","",[1]!thsiFinD("ths_adjustment_nv_fund",L$3,$A914))</f>
        <v/>
      </c>
      <c r="M914" s="13" t="str">
        <f>IF($A914="","",[1]!thsiFinD("ths_adjustment_nv_fund",M$3,$A914))</f>
        <v/>
      </c>
      <c r="N914" s="13" t="str">
        <f>IF($A914="","",[1]!thsiFinD("ths_adjustment_nv_fund",N$3,$A914))</f>
        <v/>
      </c>
      <c r="O914" s="13" t="str">
        <f>IF($A914="","",[1]!thsiFinD("ths_adjustment_nv_fund",O$3,$A914))</f>
        <v/>
      </c>
      <c r="P914" s="13" t="str">
        <f>IF($A914="","",[1]!thsiFinD("ths_adjustment_nv_fund",P$3,$A914))</f>
        <v/>
      </c>
      <c r="Q914" s="13" t="str">
        <f>IF($A914="","",[1]!thsiFinD("ths_adjustment_nv_fund",Q$3,$A914))</f>
        <v/>
      </c>
      <c r="R914" s="13" t="str">
        <f>IF($A914="","",[1]!thsiFinD("ths_adjustment_nv_fund",R$3,$A914))</f>
        <v/>
      </c>
      <c r="S914" s="13" t="str">
        <f>IF($A914="","",[1]!thsiFinD("ths_adjustment_nv_fund",S$3,$A914))</f>
        <v/>
      </c>
      <c r="T914" s="13" t="str">
        <f>IF($A914="","",[1]!thsiFinD("ths_adjustment_nv_fund",T$3,$A914))</f>
        <v/>
      </c>
      <c r="U914" s="13" t="str">
        <f>IF($A914="","",[1]!thsiFinD("ths_adjustment_nv_fund",U$3,$A914))</f>
        <v/>
      </c>
      <c r="V914" s="13" t="str">
        <f>IF($A914="","",[1]!thsiFinD("ths_adjustment_nv_fund",V$3,$A914))</f>
        <v/>
      </c>
      <c r="W914" s="13" t="str">
        <f>IF($A914="","",[1]!thsiFinD("ths_adjustment_nv_fund",W$3,$A914))</f>
        <v/>
      </c>
      <c r="X914" s="13" t="str">
        <f>IF($A914="","",[1]!thsiFinD("ths_adjustment_nv_fund",X$3,$A914))</f>
        <v/>
      </c>
      <c r="Y914" s="13" t="str">
        <f>IF($A914="","",[1]!thsiFinD("ths_adjustment_nv_fund",Y$3,$A914))</f>
        <v/>
      </c>
      <c r="Z914" s="13" t="str">
        <f>IF($A914="","",[1]!thsiFinD("ths_adjustment_nv_fund",Z$3,$A914))</f>
        <v/>
      </c>
      <c r="AA914" s="13" t="str">
        <f>IF($A914="","",[1]!thsiFinD("ths_adjustment_nv_fund",AA$3,$A914))</f>
        <v/>
      </c>
      <c r="AB914" s="13">
        <f>IF($A914="","",[1]!thsiFinD("ths_adjustment_nv_fund",AB$3,$A914))</f>
        <v/>
      </c>
      <c r="AC914" s="13">
        <f>IF($A914="","",[1]!thsiFinD("ths_adjustment_nv_fund",AC$3,$A914))</f>
        <v/>
      </c>
      <c r="AD914" s="13">
        <f>IF($A914="","",[1]!thsiFinD("ths_adjustment_nv_fund",AD$3,$A914))</f>
        <v/>
      </c>
      <c r="AE914" s="13">
        <f>IF($A914="","",[1]!thsiFinD("ths_adjustment_nv_fund",AE$3,$A914))</f>
        <v/>
      </c>
      <c r="AF914" s="13">
        <f>IF($A914="","",[1]!thsiFinD("ths_adjustment_nv_fund",AF$3,$A914))</f>
        <v/>
      </c>
      <c r="AG914" s="13">
        <f>IF($A914="","",[1]!thsiFinD("ths_adjustment_nv_fund",AG$3,$A914))</f>
        <v/>
      </c>
      <c r="AH914" s="13">
        <f>IF($A914="","",[1]!thsiFinD("ths_adjustment_nv_fund",AH$3,$A914))</f>
        <v/>
      </c>
      <c r="AI914" s="13">
        <f>IF($A914="","",[1]!thsiFinD("ths_adjustment_nv_fund",AI$3,$A914))</f>
        <v/>
      </c>
      <c r="AJ914" s="13">
        <f>IF($A914="","",[1]!thsiFinD("ths_adjustment_nv_fund",AJ$3,$A914))</f>
        <v/>
      </c>
      <c r="AK914" s="13">
        <f>IF($A914="","",[1]!thsiFinD("ths_adjustment_nv_fund",AK$3,$A914))</f>
        <v/>
      </c>
      <c r="AL914" s="13">
        <f>IF($A914="","",[1]!thsiFinD("ths_adjustment_nv_fund",AL$3,$A914))</f>
        <v/>
      </c>
    </row>
    <row r="915" spans="2:28">
      <c r="B915" s="13" t="str">
        <f>IF($A915="","",[1]!thsiFinD("ths_adjustment_nv_fund",B$3,$A915))</f>
        <v/>
      </c>
      <c r="C915" s="13" t="str">
        <f>IF($A915="","",[1]!thsiFinD("ths_adjustment_nv_fund",C$3,$A915))</f>
        <v/>
      </c>
      <c r="D915" s="13" t="str">
        <f>IF($A915="","",[1]!thsiFinD("ths_adjustment_nv_fund",D$3,$A915))</f>
        <v/>
      </c>
      <c r="E915" s="13" t="str">
        <f>IF($A915="","",[1]!thsiFinD("ths_adjustment_nv_fund",E$3,$A915))</f>
        <v/>
      </c>
      <c r="F915" s="13" t="str">
        <f>IF($A915="","",[1]!thsiFinD("ths_adjustment_nv_fund",F$3,$A915))</f>
        <v/>
      </c>
      <c r="G915" s="13" t="str">
        <f>IF($A915="","",[1]!thsiFinD("ths_adjustment_nv_fund",G$3,$A915))</f>
        <v/>
      </c>
      <c r="H915" s="13" t="str">
        <f>IF($A915="","",[1]!thsiFinD("ths_adjustment_nv_fund",H$3,$A915))</f>
        <v/>
      </c>
      <c r="I915" s="13" t="str">
        <f>IF($A915="","",[1]!thsiFinD("ths_adjustment_nv_fund",I$3,$A915))</f>
        <v/>
      </c>
      <c r="J915" s="13" t="str">
        <f>IF($A915="","",[1]!thsiFinD("ths_adjustment_nv_fund",J$3,$A915))</f>
        <v/>
      </c>
      <c r="K915" s="13" t="str">
        <f>IF($A915="","",[1]!thsiFinD("ths_adjustment_nv_fund",K$3,$A915))</f>
        <v/>
      </c>
      <c r="L915" s="13" t="str">
        <f>IF($A915="","",[1]!thsiFinD("ths_adjustment_nv_fund",L$3,$A915))</f>
        <v/>
      </c>
      <c r="M915" s="13" t="str">
        <f>IF($A915="","",[1]!thsiFinD("ths_adjustment_nv_fund",M$3,$A915))</f>
        <v/>
      </c>
      <c r="N915" s="13" t="str">
        <f>IF($A915="","",[1]!thsiFinD("ths_adjustment_nv_fund",N$3,$A915))</f>
        <v/>
      </c>
      <c r="O915" s="13" t="str">
        <f>IF($A915="","",[1]!thsiFinD("ths_adjustment_nv_fund",O$3,$A915))</f>
        <v/>
      </c>
      <c r="P915" s="13" t="str">
        <f>IF($A915="","",[1]!thsiFinD("ths_adjustment_nv_fund",P$3,$A915))</f>
        <v/>
      </c>
      <c r="Q915" s="13" t="str">
        <f>IF($A915="","",[1]!thsiFinD("ths_adjustment_nv_fund",Q$3,$A915))</f>
        <v/>
      </c>
      <c r="R915" s="13" t="str">
        <f>IF($A915="","",[1]!thsiFinD("ths_adjustment_nv_fund",R$3,$A915))</f>
        <v/>
      </c>
      <c r="S915" s="13" t="str">
        <f>IF($A915="","",[1]!thsiFinD("ths_adjustment_nv_fund",S$3,$A915))</f>
        <v/>
      </c>
      <c r="T915" s="13" t="str">
        <f>IF($A915="","",[1]!thsiFinD("ths_adjustment_nv_fund",T$3,$A915))</f>
        <v/>
      </c>
      <c r="U915" s="13" t="str">
        <f>IF($A915="","",[1]!thsiFinD("ths_adjustment_nv_fund",U$3,$A915))</f>
        <v/>
      </c>
      <c r="V915" s="13" t="str">
        <f>IF($A915="","",[1]!thsiFinD("ths_adjustment_nv_fund",V$3,$A915))</f>
        <v/>
      </c>
      <c r="W915" s="13" t="str">
        <f>IF($A915="","",[1]!thsiFinD("ths_adjustment_nv_fund",W$3,$A915))</f>
        <v/>
      </c>
      <c r="X915" s="13" t="str">
        <f>IF($A915="","",[1]!thsiFinD("ths_adjustment_nv_fund",X$3,$A915))</f>
        <v/>
      </c>
      <c r="Y915" s="13" t="str">
        <f>IF($A915="","",[1]!thsiFinD("ths_adjustment_nv_fund",Y$3,$A915))</f>
        <v/>
      </c>
      <c r="Z915" s="13" t="str">
        <f>IF($A915="","",[1]!thsiFinD("ths_adjustment_nv_fund",Z$3,$A915))</f>
        <v/>
      </c>
      <c r="AA915" s="13" t="str">
        <f>IF($A915="","",[1]!thsiFinD("ths_adjustment_nv_fund",AA$3,$A915))</f>
        <v/>
      </c>
      <c r="AB915" s="13">
        <f>IF($A915="","",[1]!thsiFinD("ths_adjustment_nv_fund",AB$3,$A915))</f>
        <v/>
      </c>
      <c r="AC915" s="13">
        <f>IF($A915="","",[1]!thsiFinD("ths_adjustment_nv_fund",AC$3,$A915))</f>
        <v/>
      </c>
      <c r="AD915" s="13">
        <f>IF($A915="","",[1]!thsiFinD("ths_adjustment_nv_fund",AD$3,$A915))</f>
        <v/>
      </c>
      <c r="AE915" s="13">
        <f>IF($A915="","",[1]!thsiFinD("ths_adjustment_nv_fund",AE$3,$A915))</f>
        <v/>
      </c>
      <c r="AF915" s="13">
        <f>IF($A915="","",[1]!thsiFinD("ths_adjustment_nv_fund",AF$3,$A915))</f>
        <v/>
      </c>
      <c r="AG915" s="13">
        <f>IF($A915="","",[1]!thsiFinD("ths_adjustment_nv_fund",AG$3,$A915))</f>
        <v/>
      </c>
      <c r="AH915" s="13">
        <f>IF($A915="","",[1]!thsiFinD("ths_adjustment_nv_fund",AH$3,$A915))</f>
        <v/>
      </c>
      <c r="AI915" s="13">
        <f>IF($A915="","",[1]!thsiFinD("ths_adjustment_nv_fund",AI$3,$A915))</f>
        <v/>
      </c>
      <c r="AJ915" s="13">
        <f>IF($A915="","",[1]!thsiFinD("ths_adjustment_nv_fund",AJ$3,$A915))</f>
        <v/>
      </c>
      <c r="AK915" s="13">
        <f>IF($A915="","",[1]!thsiFinD("ths_adjustment_nv_fund",AK$3,$A915))</f>
        <v/>
      </c>
      <c r="AL915" s="13">
        <f>IF($A915="","",[1]!thsiFinD("ths_adjustment_nv_fund",AL$3,$A915))</f>
        <v/>
      </c>
    </row>
    <row r="916" spans="2:28">
      <c r="B916" s="13" t="str">
        <f>IF($A916="","",[1]!thsiFinD("ths_adjustment_nv_fund",B$3,$A916))</f>
        <v/>
      </c>
      <c r="C916" s="13" t="str">
        <f>IF($A916="","",[1]!thsiFinD("ths_adjustment_nv_fund",C$3,$A916))</f>
        <v/>
      </c>
      <c r="D916" s="13" t="str">
        <f>IF($A916="","",[1]!thsiFinD("ths_adjustment_nv_fund",D$3,$A916))</f>
        <v/>
      </c>
      <c r="E916" s="13" t="str">
        <f>IF($A916="","",[1]!thsiFinD("ths_adjustment_nv_fund",E$3,$A916))</f>
        <v/>
      </c>
      <c r="F916" s="13" t="str">
        <f>IF($A916="","",[1]!thsiFinD("ths_adjustment_nv_fund",F$3,$A916))</f>
        <v/>
      </c>
      <c r="G916" s="13" t="str">
        <f>IF($A916="","",[1]!thsiFinD("ths_adjustment_nv_fund",G$3,$A916))</f>
        <v/>
      </c>
      <c r="H916" s="13" t="str">
        <f>IF($A916="","",[1]!thsiFinD("ths_adjustment_nv_fund",H$3,$A916))</f>
        <v/>
      </c>
      <c r="I916" s="13" t="str">
        <f>IF($A916="","",[1]!thsiFinD("ths_adjustment_nv_fund",I$3,$A916))</f>
        <v/>
      </c>
      <c r="J916" s="13" t="str">
        <f>IF($A916="","",[1]!thsiFinD("ths_adjustment_nv_fund",J$3,$A916))</f>
        <v/>
      </c>
      <c r="K916" s="13" t="str">
        <f>IF($A916="","",[1]!thsiFinD("ths_adjustment_nv_fund",K$3,$A916))</f>
        <v/>
      </c>
      <c r="L916" s="13" t="str">
        <f>IF($A916="","",[1]!thsiFinD("ths_adjustment_nv_fund",L$3,$A916))</f>
        <v/>
      </c>
      <c r="M916" s="13" t="str">
        <f>IF($A916="","",[1]!thsiFinD("ths_adjustment_nv_fund",M$3,$A916))</f>
        <v/>
      </c>
      <c r="N916" s="13" t="str">
        <f>IF($A916="","",[1]!thsiFinD("ths_adjustment_nv_fund",N$3,$A916))</f>
        <v/>
      </c>
      <c r="O916" s="13" t="str">
        <f>IF($A916="","",[1]!thsiFinD("ths_adjustment_nv_fund",O$3,$A916))</f>
        <v/>
      </c>
      <c r="P916" s="13" t="str">
        <f>IF($A916="","",[1]!thsiFinD("ths_adjustment_nv_fund",P$3,$A916))</f>
        <v/>
      </c>
      <c r="Q916" s="13" t="str">
        <f>IF($A916="","",[1]!thsiFinD("ths_adjustment_nv_fund",Q$3,$A916))</f>
        <v/>
      </c>
      <c r="R916" s="13" t="str">
        <f>IF($A916="","",[1]!thsiFinD("ths_adjustment_nv_fund",R$3,$A916))</f>
        <v/>
      </c>
      <c r="S916" s="13" t="str">
        <f>IF($A916="","",[1]!thsiFinD("ths_adjustment_nv_fund",S$3,$A916))</f>
        <v/>
      </c>
      <c r="T916" s="13" t="str">
        <f>IF($A916="","",[1]!thsiFinD("ths_adjustment_nv_fund",T$3,$A916))</f>
        <v/>
      </c>
      <c r="U916" s="13" t="str">
        <f>IF($A916="","",[1]!thsiFinD("ths_adjustment_nv_fund",U$3,$A916))</f>
        <v/>
      </c>
      <c r="V916" s="13" t="str">
        <f>IF($A916="","",[1]!thsiFinD("ths_adjustment_nv_fund",V$3,$A916))</f>
        <v/>
      </c>
      <c r="W916" s="13" t="str">
        <f>IF($A916="","",[1]!thsiFinD("ths_adjustment_nv_fund",W$3,$A916))</f>
        <v/>
      </c>
      <c r="X916" s="13" t="str">
        <f>IF($A916="","",[1]!thsiFinD("ths_adjustment_nv_fund",X$3,$A916))</f>
        <v/>
      </c>
      <c r="Y916" s="13" t="str">
        <f>IF($A916="","",[1]!thsiFinD("ths_adjustment_nv_fund",Y$3,$A916))</f>
        <v/>
      </c>
      <c r="Z916" s="13" t="str">
        <f>IF($A916="","",[1]!thsiFinD("ths_adjustment_nv_fund",Z$3,$A916))</f>
        <v/>
      </c>
      <c r="AA916" s="13" t="str">
        <f>IF($A916="","",[1]!thsiFinD("ths_adjustment_nv_fund",AA$3,$A916))</f>
        <v/>
      </c>
      <c r="AB916" s="13">
        <f>IF($A916="","",[1]!thsiFinD("ths_adjustment_nv_fund",AB$3,$A916))</f>
        <v/>
      </c>
      <c r="AC916" s="13">
        <f>IF($A916="","",[1]!thsiFinD("ths_adjustment_nv_fund",AC$3,$A916))</f>
        <v/>
      </c>
      <c r="AD916" s="13">
        <f>IF($A916="","",[1]!thsiFinD("ths_adjustment_nv_fund",AD$3,$A916))</f>
        <v/>
      </c>
      <c r="AE916" s="13">
        <f>IF($A916="","",[1]!thsiFinD("ths_adjustment_nv_fund",AE$3,$A916))</f>
        <v/>
      </c>
      <c r="AF916" s="13">
        <f>IF($A916="","",[1]!thsiFinD("ths_adjustment_nv_fund",AF$3,$A916))</f>
        <v/>
      </c>
      <c r="AG916" s="13">
        <f>IF($A916="","",[1]!thsiFinD("ths_adjustment_nv_fund",AG$3,$A916))</f>
        <v/>
      </c>
      <c r="AH916" s="13">
        <f>IF($A916="","",[1]!thsiFinD("ths_adjustment_nv_fund",AH$3,$A916))</f>
        <v/>
      </c>
      <c r="AI916" s="13">
        <f>IF($A916="","",[1]!thsiFinD("ths_adjustment_nv_fund",AI$3,$A916))</f>
        <v/>
      </c>
      <c r="AJ916" s="13">
        <f>IF($A916="","",[1]!thsiFinD("ths_adjustment_nv_fund",AJ$3,$A916))</f>
        <v/>
      </c>
      <c r="AK916" s="13">
        <f>IF($A916="","",[1]!thsiFinD("ths_adjustment_nv_fund",AK$3,$A916))</f>
        <v/>
      </c>
      <c r="AL916" s="13">
        <f>IF($A916="","",[1]!thsiFinD("ths_adjustment_nv_fund",AL$3,$A916))</f>
        <v/>
      </c>
    </row>
    <row r="917" spans="2:28">
      <c r="B917" s="13" t="str">
        <f>IF($A917="","",[1]!thsiFinD("ths_adjustment_nv_fund",B$3,$A917))</f>
        <v/>
      </c>
      <c r="C917" s="13" t="str">
        <f>IF($A917="","",[1]!thsiFinD("ths_adjustment_nv_fund",C$3,$A917))</f>
        <v/>
      </c>
      <c r="D917" s="13" t="str">
        <f>IF($A917="","",[1]!thsiFinD("ths_adjustment_nv_fund",D$3,$A917))</f>
        <v/>
      </c>
      <c r="E917" s="13" t="str">
        <f>IF($A917="","",[1]!thsiFinD("ths_adjustment_nv_fund",E$3,$A917))</f>
        <v/>
      </c>
      <c r="F917" s="13" t="str">
        <f>IF($A917="","",[1]!thsiFinD("ths_adjustment_nv_fund",F$3,$A917))</f>
        <v/>
      </c>
      <c r="G917" s="13" t="str">
        <f>IF($A917="","",[1]!thsiFinD("ths_adjustment_nv_fund",G$3,$A917))</f>
        <v/>
      </c>
      <c r="H917" s="13" t="str">
        <f>IF($A917="","",[1]!thsiFinD("ths_adjustment_nv_fund",H$3,$A917))</f>
        <v/>
      </c>
      <c r="I917" s="13" t="str">
        <f>IF($A917="","",[1]!thsiFinD("ths_adjustment_nv_fund",I$3,$A917))</f>
        <v/>
      </c>
      <c r="J917" s="13" t="str">
        <f>IF($A917="","",[1]!thsiFinD("ths_adjustment_nv_fund",J$3,$A917))</f>
        <v/>
      </c>
      <c r="K917" s="13" t="str">
        <f>IF($A917="","",[1]!thsiFinD("ths_adjustment_nv_fund",K$3,$A917))</f>
        <v/>
      </c>
      <c r="L917" s="13" t="str">
        <f>IF($A917="","",[1]!thsiFinD("ths_adjustment_nv_fund",L$3,$A917))</f>
        <v/>
      </c>
      <c r="M917" s="13" t="str">
        <f>IF($A917="","",[1]!thsiFinD("ths_adjustment_nv_fund",M$3,$A917))</f>
        <v/>
      </c>
      <c r="N917" s="13" t="str">
        <f>IF($A917="","",[1]!thsiFinD("ths_adjustment_nv_fund",N$3,$A917))</f>
        <v/>
      </c>
      <c r="O917" s="13" t="str">
        <f>IF($A917="","",[1]!thsiFinD("ths_adjustment_nv_fund",O$3,$A917))</f>
        <v/>
      </c>
      <c r="P917" s="13" t="str">
        <f>IF($A917="","",[1]!thsiFinD("ths_adjustment_nv_fund",P$3,$A917))</f>
        <v/>
      </c>
      <c r="Q917" s="13" t="str">
        <f>IF($A917="","",[1]!thsiFinD("ths_adjustment_nv_fund",Q$3,$A917))</f>
        <v/>
      </c>
      <c r="R917" s="13" t="str">
        <f>IF($A917="","",[1]!thsiFinD("ths_adjustment_nv_fund",R$3,$A917))</f>
        <v/>
      </c>
      <c r="S917" s="13" t="str">
        <f>IF($A917="","",[1]!thsiFinD("ths_adjustment_nv_fund",S$3,$A917))</f>
        <v/>
      </c>
      <c r="T917" s="13" t="str">
        <f>IF($A917="","",[1]!thsiFinD("ths_adjustment_nv_fund",T$3,$A917))</f>
        <v/>
      </c>
      <c r="U917" s="13" t="str">
        <f>IF($A917="","",[1]!thsiFinD("ths_adjustment_nv_fund",U$3,$A917))</f>
        <v/>
      </c>
      <c r="V917" s="13" t="str">
        <f>IF($A917="","",[1]!thsiFinD("ths_adjustment_nv_fund",V$3,$A917))</f>
        <v/>
      </c>
      <c r="W917" s="13" t="str">
        <f>IF($A917="","",[1]!thsiFinD("ths_adjustment_nv_fund",W$3,$A917))</f>
        <v/>
      </c>
      <c r="X917" s="13" t="str">
        <f>IF($A917="","",[1]!thsiFinD("ths_adjustment_nv_fund",X$3,$A917))</f>
        <v/>
      </c>
      <c r="Y917" s="13" t="str">
        <f>IF($A917="","",[1]!thsiFinD("ths_adjustment_nv_fund",Y$3,$A917))</f>
        <v/>
      </c>
      <c r="Z917" s="13" t="str">
        <f>IF($A917="","",[1]!thsiFinD("ths_adjustment_nv_fund",Z$3,$A917))</f>
        <v/>
      </c>
      <c r="AA917" s="13" t="str">
        <f>IF($A917="","",[1]!thsiFinD("ths_adjustment_nv_fund",AA$3,$A917))</f>
        <v/>
      </c>
      <c r="AB917" s="13">
        <f>IF($A917="","",[1]!thsiFinD("ths_adjustment_nv_fund",AB$3,$A917))</f>
        <v/>
      </c>
      <c r="AC917" s="13">
        <f>IF($A917="","",[1]!thsiFinD("ths_adjustment_nv_fund",AC$3,$A917))</f>
        <v/>
      </c>
      <c r="AD917" s="13">
        <f>IF($A917="","",[1]!thsiFinD("ths_adjustment_nv_fund",AD$3,$A917))</f>
        <v/>
      </c>
      <c r="AE917" s="13">
        <f>IF($A917="","",[1]!thsiFinD("ths_adjustment_nv_fund",AE$3,$A917))</f>
        <v/>
      </c>
      <c r="AF917" s="13">
        <f>IF($A917="","",[1]!thsiFinD("ths_adjustment_nv_fund",AF$3,$A917))</f>
        <v/>
      </c>
      <c r="AG917" s="13">
        <f>IF($A917="","",[1]!thsiFinD("ths_adjustment_nv_fund",AG$3,$A917))</f>
        <v/>
      </c>
      <c r="AH917" s="13">
        <f>IF($A917="","",[1]!thsiFinD("ths_adjustment_nv_fund",AH$3,$A917))</f>
        <v/>
      </c>
      <c r="AI917" s="13">
        <f>IF($A917="","",[1]!thsiFinD("ths_adjustment_nv_fund",AI$3,$A917))</f>
        <v/>
      </c>
      <c r="AJ917" s="13">
        <f>IF($A917="","",[1]!thsiFinD("ths_adjustment_nv_fund",AJ$3,$A917))</f>
        <v/>
      </c>
      <c r="AK917" s="13">
        <f>IF($A917="","",[1]!thsiFinD("ths_adjustment_nv_fund",AK$3,$A917))</f>
        <v/>
      </c>
      <c r="AL917" s="13">
        <f>IF($A917="","",[1]!thsiFinD("ths_adjustment_nv_fund",AL$3,$A917))</f>
        <v/>
      </c>
    </row>
    <row r="918" spans="2:28">
      <c r="B918" s="13" t="str">
        <f>IF($A918="","",[1]!thsiFinD("ths_adjustment_nv_fund",B$3,$A918))</f>
        <v/>
      </c>
      <c r="C918" s="13" t="str">
        <f>IF($A918="","",[1]!thsiFinD("ths_adjustment_nv_fund",C$3,$A918))</f>
        <v/>
      </c>
      <c r="D918" s="13" t="str">
        <f>IF($A918="","",[1]!thsiFinD("ths_adjustment_nv_fund",D$3,$A918))</f>
        <v/>
      </c>
      <c r="E918" s="13" t="str">
        <f>IF($A918="","",[1]!thsiFinD("ths_adjustment_nv_fund",E$3,$A918))</f>
        <v/>
      </c>
      <c r="F918" s="13" t="str">
        <f>IF($A918="","",[1]!thsiFinD("ths_adjustment_nv_fund",F$3,$A918))</f>
        <v/>
      </c>
      <c r="G918" s="13" t="str">
        <f>IF($A918="","",[1]!thsiFinD("ths_adjustment_nv_fund",G$3,$A918))</f>
        <v/>
      </c>
      <c r="H918" s="13" t="str">
        <f>IF($A918="","",[1]!thsiFinD("ths_adjustment_nv_fund",H$3,$A918))</f>
        <v/>
      </c>
      <c r="I918" s="13" t="str">
        <f>IF($A918="","",[1]!thsiFinD("ths_adjustment_nv_fund",I$3,$A918))</f>
        <v/>
      </c>
      <c r="J918" s="13" t="str">
        <f>IF($A918="","",[1]!thsiFinD("ths_adjustment_nv_fund",J$3,$A918))</f>
        <v/>
      </c>
      <c r="K918" s="13" t="str">
        <f>IF($A918="","",[1]!thsiFinD("ths_adjustment_nv_fund",K$3,$A918))</f>
        <v/>
      </c>
      <c r="L918" s="13" t="str">
        <f>IF($A918="","",[1]!thsiFinD("ths_adjustment_nv_fund",L$3,$A918))</f>
        <v/>
      </c>
      <c r="M918" s="13" t="str">
        <f>IF($A918="","",[1]!thsiFinD("ths_adjustment_nv_fund",M$3,$A918))</f>
        <v/>
      </c>
      <c r="N918" s="13" t="str">
        <f>IF($A918="","",[1]!thsiFinD("ths_adjustment_nv_fund",N$3,$A918))</f>
        <v/>
      </c>
      <c r="O918" s="13" t="str">
        <f>IF($A918="","",[1]!thsiFinD("ths_adjustment_nv_fund",O$3,$A918))</f>
        <v/>
      </c>
      <c r="P918" s="13" t="str">
        <f>IF($A918="","",[1]!thsiFinD("ths_adjustment_nv_fund",P$3,$A918))</f>
        <v/>
      </c>
      <c r="Q918" s="13" t="str">
        <f>IF($A918="","",[1]!thsiFinD("ths_adjustment_nv_fund",Q$3,$A918))</f>
        <v/>
      </c>
      <c r="R918" s="13" t="str">
        <f>IF($A918="","",[1]!thsiFinD("ths_adjustment_nv_fund",R$3,$A918))</f>
        <v/>
      </c>
      <c r="S918" s="13" t="str">
        <f>IF($A918="","",[1]!thsiFinD("ths_adjustment_nv_fund",S$3,$A918))</f>
        <v/>
      </c>
      <c r="T918" s="13" t="str">
        <f>IF($A918="","",[1]!thsiFinD("ths_adjustment_nv_fund",T$3,$A918))</f>
        <v/>
      </c>
      <c r="U918" s="13" t="str">
        <f>IF($A918="","",[1]!thsiFinD("ths_adjustment_nv_fund",U$3,$A918))</f>
        <v/>
      </c>
      <c r="V918" s="13" t="str">
        <f>IF($A918="","",[1]!thsiFinD("ths_adjustment_nv_fund",V$3,$A918))</f>
        <v/>
      </c>
      <c r="W918" s="13" t="str">
        <f>IF($A918="","",[1]!thsiFinD("ths_adjustment_nv_fund",W$3,$A918))</f>
        <v/>
      </c>
      <c r="X918" s="13" t="str">
        <f>IF($A918="","",[1]!thsiFinD("ths_adjustment_nv_fund",X$3,$A918))</f>
        <v/>
      </c>
      <c r="Y918" s="13" t="str">
        <f>IF($A918="","",[1]!thsiFinD("ths_adjustment_nv_fund",Y$3,$A918))</f>
        <v/>
      </c>
      <c r="Z918" s="13" t="str">
        <f>IF($A918="","",[1]!thsiFinD("ths_adjustment_nv_fund",Z$3,$A918))</f>
        <v/>
      </c>
      <c r="AA918" s="13" t="str">
        <f>IF($A918="","",[1]!thsiFinD("ths_adjustment_nv_fund",AA$3,$A918))</f>
        <v/>
      </c>
      <c r="AB918" s="13">
        <f>IF($A918="","",[1]!thsiFinD("ths_adjustment_nv_fund",AB$3,$A918))</f>
        <v/>
      </c>
      <c r="AC918" s="13">
        <f>IF($A918="","",[1]!thsiFinD("ths_adjustment_nv_fund",AC$3,$A918))</f>
        <v/>
      </c>
      <c r="AD918" s="13">
        <f>IF($A918="","",[1]!thsiFinD("ths_adjustment_nv_fund",AD$3,$A918))</f>
        <v/>
      </c>
      <c r="AE918" s="13">
        <f>IF($A918="","",[1]!thsiFinD("ths_adjustment_nv_fund",AE$3,$A918))</f>
        <v/>
      </c>
      <c r="AF918" s="13">
        <f>IF($A918="","",[1]!thsiFinD("ths_adjustment_nv_fund",AF$3,$A918))</f>
        <v/>
      </c>
      <c r="AG918" s="13">
        <f>IF($A918="","",[1]!thsiFinD("ths_adjustment_nv_fund",AG$3,$A918))</f>
        <v/>
      </c>
      <c r="AH918" s="13">
        <f>IF($A918="","",[1]!thsiFinD("ths_adjustment_nv_fund",AH$3,$A918))</f>
        <v/>
      </c>
      <c r="AI918" s="13">
        <f>IF($A918="","",[1]!thsiFinD("ths_adjustment_nv_fund",AI$3,$A918))</f>
        <v/>
      </c>
      <c r="AJ918" s="13">
        <f>IF($A918="","",[1]!thsiFinD("ths_adjustment_nv_fund",AJ$3,$A918))</f>
        <v/>
      </c>
      <c r="AK918" s="13">
        <f>IF($A918="","",[1]!thsiFinD("ths_adjustment_nv_fund",AK$3,$A918))</f>
        <v/>
      </c>
      <c r="AL918" s="13">
        <f>IF($A918="","",[1]!thsiFinD("ths_adjustment_nv_fund",AL$3,$A918))</f>
        <v/>
      </c>
    </row>
    <row r="919" spans="2:28">
      <c r="B919" s="13" t="str">
        <f>IF($A919="","",[1]!thsiFinD("ths_adjustment_nv_fund",B$3,$A919))</f>
        <v/>
      </c>
      <c r="C919" s="13" t="str">
        <f>IF($A919="","",[1]!thsiFinD("ths_adjustment_nv_fund",C$3,$A919))</f>
        <v/>
      </c>
      <c r="D919" s="13" t="str">
        <f>IF($A919="","",[1]!thsiFinD("ths_adjustment_nv_fund",D$3,$A919))</f>
        <v/>
      </c>
      <c r="E919" s="13" t="str">
        <f>IF($A919="","",[1]!thsiFinD("ths_adjustment_nv_fund",E$3,$A919))</f>
        <v/>
      </c>
      <c r="F919" s="13" t="str">
        <f>IF($A919="","",[1]!thsiFinD("ths_adjustment_nv_fund",F$3,$A919))</f>
        <v/>
      </c>
      <c r="G919" s="13" t="str">
        <f>IF($A919="","",[1]!thsiFinD("ths_adjustment_nv_fund",G$3,$A919))</f>
        <v/>
      </c>
      <c r="H919" s="13" t="str">
        <f>IF($A919="","",[1]!thsiFinD("ths_adjustment_nv_fund",H$3,$A919))</f>
        <v/>
      </c>
      <c r="I919" s="13" t="str">
        <f>IF($A919="","",[1]!thsiFinD("ths_adjustment_nv_fund",I$3,$A919))</f>
        <v/>
      </c>
      <c r="J919" s="13" t="str">
        <f>IF($A919="","",[1]!thsiFinD("ths_adjustment_nv_fund",J$3,$A919))</f>
        <v/>
      </c>
      <c r="K919" s="13" t="str">
        <f>IF($A919="","",[1]!thsiFinD("ths_adjustment_nv_fund",K$3,$A919))</f>
        <v/>
      </c>
      <c r="L919" s="13" t="str">
        <f>IF($A919="","",[1]!thsiFinD("ths_adjustment_nv_fund",L$3,$A919))</f>
        <v/>
      </c>
      <c r="M919" s="13" t="str">
        <f>IF($A919="","",[1]!thsiFinD("ths_adjustment_nv_fund",M$3,$A919))</f>
        <v/>
      </c>
      <c r="N919" s="13" t="str">
        <f>IF($A919="","",[1]!thsiFinD("ths_adjustment_nv_fund",N$3,$A919))</f>
        <v/>
      </c>
      <c r="O919" s="13" t="str">
        <f>IF($A919="","",[1]!thsiFinD("ths_adjustment_nv_fund",O$3,$A919))</f>
        <v/>
      </c>
      <c r="P919" s="13" t="str">
        <f>IF($A919="","",[1]!thsiFinD("ths_adjustment_nv_fund",P$3,$A919))</f>
        <v/>
      </c>
      <c r="Q919" s="13" t="str">
        <f>IF($A919="","",[1]!thsiFinD("ths_adjustment_nv_fund",Q$3,$A919))</f>
        <v/>
      </c>
      <c r="R919" s="13" t="str">
        <f>IF($A919="","",[1]!thsiFinD("ths_adjustment_nv_fund",R$3,$A919))</f>
        <v/>
      </c>
      <c r="S919" s="13" t="str">
        <f>IF($A919="","",[1]!thsiFinD("ths_adjustment_nv_fund",S$3,$A919))</f>
        <v/>
      </c>
      <c r="T919" s="13" t="str">
        <f>IF($A919="","",[1]!thsiFinD("ths_adjustment_nv_fund",T$3,$A919))</f>
        <v/>
      </c>
      <c r="U919" s="13" t="str">
        <f>IF($A919="","",[1]!thsiFinD("ths_adjustment_nv_fund",U$3,$A919))</f>
        <v/>
      </c>
      <c r="V919" s="13" t="str">
        <f>IF($A919="","",[1]!thsiFinD("ths_adjustment_nv_fund",V$3,$A919))</f>
        <v/>
      </c>
      <c r="W919" s="13" t="str">
        <f>IF($A919="","",[1]!thsiFinD("ths_adjustment_nv_fund",W$3,$A919))</f>
        <v/>
      </c>
      <c r="X919" s="13" t="str">
        <f>IF($A919="","",[1]!thsiFinD("ths_adjustment_nv_fund",X$3,$A919))</f>
        <v/>
      </c>
      <c r="Y919" s="13" t="str">
        <f>IF($A919="","",[1]!thsiFinD("ths_adjustment_nv_fund",Y$3,$A919))</f>
        <v/>
      </c>
      <c r="Z919" s="13" t="str">
        <f>IF($A919="","",[1]!thsiFinD("ths_adjustment_nv_fund",Z$3,$A919))</f>
        <v/>
      </c>
      <c r="AA919" s="13" t="str">
        <f>IF($A919="","",[1]!thsiFinD("ths_adjustment_nv_fund",AA$3,$A919))</f>
        <v/>
      </c>
      <c r="AB919" s="13">
        <f>IF($A919="","",[1]!thsiFinD("ths_adjustment_nv_fund",AB$3,$A919))</f>
        <v/>
      </c>
      <c r="AC919" s="13">
        <f>IF($A919="","",[1]!thsiFinD("ths_adjustment_nv_fund",AC$3,$A919))</f>
        <v/>
      </c>
      <c r="AD919" s="13">
        <f>IF($A919="","",[1]!thsiFinD("ths_adjustment_nv_fund",AD$3,$A919))</f>
        <v/>
      </c>
      <c r="AE919" s="13">
        <f>IF($A919="","",[1]!thsiFinD("ths_adjustment_nv_fund",AE$3,$A919))</f>
        <v/>
      </c>
      <c r="AF919" s="13">
        <f>IF($A919="","",[1]!thsiFinD("ths_adjustment_nv_fund",AF$3,$A919))</f>
        <v/>
      </c>
      <c r="AG919" s="13">
        <f>IF($A919="","",[1]!thsiFinD("ths_adjustment_nv_fund",AG$3,$A919))</f>
        <v/>
      </c>
      <c r="AH919" s="13">
        <f>IF($A919="","",[1]!thsiFinD("ths_adjustment_nv_fund",AH$3,$A919))</f>
        <v/>
      </c>
      <c r="AI919" s="13">
        <f>IF($A919="","",[1]!thsiFinD("ths_adjustment_nv_fund",AI$3,$A919))</f>
        <v/>
      </c>
      <c r="AJ919" s="13">
        <f>IF($A919="","",[1]!thsiFinD("ths_adjustment_nv_fund",AJ$3,$A919))</f>
        <v/>
      </c>
      <c r="AK919" s="13">
        <f>IF($A919="","",[1]!thsiFinD("ths_adjustment_nv_fund",AK$3,$A919))</f>
        <v/>
      </c>
      <c r="AL919" s="13">
        <f>IF($A919="","",[1]!thsiFinD("ths_adjustment_nv_fund",AL$3,$A919))</f>
        <v/>
      </c>
    </row>
    <row r="920" spans="2:28">
      <c r="B920" s="13" t="str">
        <f>IF($A920="","",[1]!thsiFinD("ths_adjustment_nv_fund",B$3,$A920))</f>
        <v/>
      </c>
      <c r="C920" s="13" t="str">
        <f>IF($A920="","",[1]!thsiFinD("ths_adjustment_nv_fund",C$3,$A920))</f>
        <v/>
      </c>
      <c r="D920" s="13" t="str">
        <f>IF($A920="","",[1]!thsiFinD("ths_adjustment_nv_fund",D$3,$A920))</f>
        <v/>
      </c>
      <c r="E920" s="13" t="str">
        <f>IF($A920="","",[1]!thsiFinD("ths_adjustment_nv_fund",E$3,$A920))</f>
        <v/>
      </c>
      <c r="F920" s="13" t="str">
        <f>IF($A920="","",[1]!thsiFinD("ths_adjustment_nv_fund",F$3,$A920))</f>
        <v/>
      </c>
      <c r="G920" s="13" t="str">
        <f>IF($A920="","",[1]!thsiFinD("ths_adjustment_nv_fund",G$3,$A920))</f>
        <v/>
      </c>
      <c r="H920" s="13" t="str">
        <f>IF($A920="","",[1]!thsiFinD("ths_adjustment_nv_fund",H$3,$A920))</f>
        <v/>
      </c>
      <c r="I920" s="13" t="str">
        <f>IF($A920="","",[1]!thsiFinD("ths_adjustment_nv_fund",I$3,$A920))</f>
        <v/>
      </c>
      <c r="J920" s="13" t="str">
        <f>IF($A920="","",[1]!thsiFinD("ths_adjustment_nv_fund",J$3,$A920))</f>
        <v/>
      </c>
      <c r="K920" s="13" t="str">
        <f>IF($A920="","",[1]!thsiFinD("ths_adjustment_nv_fund",K$3,$A920))</f>
        <v/>
      </c>
      <c r="L920" s="13" t="str">
        <f>IF($A920="","",[1]!thsiFinD("ths_adjustment_nv_fund",L$3,$A920))</f>
        <v/>
      </c>
      <c r="M920" s="13" t="str">
        <f>IF($A920="","",[1]!thsiFinD("ths_adjustment_nv_fund",M$3,$A920))</f>
        <v/>
      </c>
      <c r="N920" s="13" t="str">
        <f>IF($A920="","",[1]!thsiFinD("ths_adjustment_nv_fund",N$3,$A920))</f>
        <v/>
      </c>
      <c r="O920" s="13" t="str">
        <f>IF($A920="","",[1]!thsiFinD("ths_adjustment_nv_fund",O$3,$A920))</f>
        <v/>
      </c>
      <c r="P920" s="13" t="str">
        <f>IF($A920="","",[1]!thsiFinD("ths_adjustment_nv_fund",P$3,$A920))</f>
        <v/>
      </c>
      <c r="Q920" s="13" t="str">
        <f>IF($A920="","",[1]!thsiFinD("ths_adjustment_nv_fund",Q$3,$A920))</f>
        <v/>
      </c>
      <c r="R920" s="13" t="str">
        <f>IF($A920="","",[1]!thsiFinD("ths_adjustment_nv_fund",R$3,$A920))</f>
        <v/>
      </c>
      <c r="S920" s="13" t="str">
        <f>IF($A920="","",[1]!thsiFinD("ths_adjustment_nv_fund",S$3,$A920))</f>
        <v/>
      </c>
      <c r="T920" s="13" t="str">
        <f>IF($A920="","",[1]!thsiFinD("ths_adjustment_nv_fund",T$3,$A920))</f>
        <v/>
      </c>
      <c r="U920" s="13" t="str">
        <f>IF($A920="","",[1]!thsiFinD("ths_adjustment_nv_fund",U$3,$A920))</f>
        <v/>
      </c>
      <c r="V920" s="13" t="str">
        <f>IF($A920="","",[1]!thsiFinD("ths_adjustment_nv_fund",V$3,$A920))</f>
        <v/>
      </c>
      <c r="W920" s="13" t="str">
        <f>IF($A920="","",[1]!thsiFinD("ths_adjustment_nv_fund",W$3,$A920))</f>
        <v/>
      </c>
      <c r="X920" s="13" t="str">
        <f>IF($A920="","",[1]!thsiFinD("ths_adjustment_nv_fund",X$3,$A920))</f>
        <v/>
      </c>
      <c r="Y920" s="13" t="str">
        <f>IF($A920="","",[1]!thsiFinD("ths_adjustment_nv_fund",Y$3,$A920))</f>
        <v/>
      </c>
      <c r="Z920" s="13" t="str">
        <f>IF($A920="","",[1]!thsiFinD("ths_adjustment_nv_fund",Z$3,$A920))</f>
        <v/>
      </c>
      <c r="AA920" s="13" t="str">
        <f>IF($A920="","",[1]!thsiFinD("ths_adjustment_nv_fund",AA$3,$A920))</f>
        <v/>
      </c>
      <c r="AB920" s="13">
        <f>IF($A920="","",[1]!thsiFinD("ths_adjustment_nv_fund",AB$3,$A920))</f>
        <v/>
      </c>
      <c r="AC920" s="13">
        <f>IF($A920="","",[1]!thsiFinD("ths_adjustment_nv_fund",AC$3,$A920))</f>
        <v/>
      </c>
      <c r="AD920" s="13">
        <f>IF($A920="","",[1]!thsiFinD("ths_adjustment_nv_fund",AD$3,$A920))</f>
        <v/>
      </c>
      <c r="AE920" s="13">
        <f>IF($A920="","",[1]!thsiFinD("ths_adjustment_nv_fund",AE$3,$A920))</f>
        <v/>
      </c>
      <c r="AF920" s="13">
        <f>IF($A920="","",[1]!thsiFinD("ths_adjustment_nv_fund",AF$3,$A920))</f>
        <v/>
      </c>
      <c r="AG920" s="13">
        <f>IF($A920="","",[1]!thsiFinD("ths_adjustment_nv_fund",AG$3,$A920))</f>
        <v/>
      </c>
      <c r="AH920" s="13">
        <f>IF($A920="","",[1]!thsiFinD("ths_adjustment_nv_fund",AH$3,$A920))</f>
        <v/>
      </c>
      <c r="AI920" s="13">
        <f>IF($A920="","",[1]!thsiFinD("ths_adjustment_nv_fund",AI$3,$A920))</f>
        <v/>
      </c>
      <c r="AJ920" s="13">
        <f>IF($A920="","",[1]!thsiFinD("ths_adjustment_nv_fund",AJ$3,$A920))</f>
        <v/>
      </c>
      <c r="AK920" s="13">
        <f>IF($A920="","",[1]!thsiFinD("ths_adjustment_nv_fund",AK$3,$A920))</f>
        <v/>
      </c>
      <c r="AL920" s="13">
        <f>IF($A920="","",[1]!thsiFinD("ths_adjustment_nv_fund",AL$3,$A920))</f>
        <v/>
      </c>
    </row>
    <row r="921" spans="2:28">
      <c r="B921" s="13" t="str">
        <f>IF($A921="","",[1]!thsiFinD("ths_adjustment_nv_fund",B$3,$A921))</f>
        <v/>
      </c>
      <c r="C921" s="13" t="str">
        <f>IF($A921="","",[1]!thsiFinD("ths_adjustment_nv_fund",C$3,$A921))</f>
        <v/>
      </c>
      <c r="D921" s="13" t="str">
        <f>IF($A921="","",[1]!thsiFinD("ths_adjustment_nv_fund",D$3,$A921))</f>
        <v/>
      </c>
      <c r="E921" s="13" t="str">
        <f>IF($A921="","",[1]!thsiFinD("ths_adjustment_nv_fund",E$3,$A921))</f>
        <v/>
      </c>
      <c r="F921" s="13" t="str">
        <f>IF($A921="","",[1]!thsiFinD("ths_adjustment_nv_fund",F$3,$A921))</f>
        <v/>
      </c>
      <c r="G921" s="13" t="str">
        <f>IF($A921="","",[1]!thsiFinD("ths_adjustment_nv_fund",G$3,$A921))</f>
        <v/>
      </c>
      <c r="H921" s="13" t="str">
        <f>IF($A921="","",[1]!thsiFinD("ths_adjustment_nv_fund",H$3,$A921))</f>
        <v/>
      </c>
      <c r="I921" s="13" t="str">
        <f>IF($A921="","",[1]!thsiFinD("ths_adjustment_nv_fund",I$3,$A921))</f>
        <v/>
      </c>
      <c r="J921" s="13" t="str">
        <f>IF($A921="","",[1]!thsiFinD("ths_adjustment_nv_fund",J$3,$A921))</f>
        <v/>
      </c>
      <c r="K921" s="13" t="str">
        <f>IF($A921="","",[1]!thsiFinD("ths_adjustment_nv_fund",K$3,$A921))</f>
        <v/>
      </c>
      <c r="L921" s="13" t="str">
        <f>IF($A921="","",[1]!thsiFinD("ths_adjustment_nv_fund",L$3,$A921))</f>
        <v/>
      </c>
      <c r="M921" s="13" t="str">
        <f>IF($A921="","",[1]!thsiFinD("ths_adjustment_nv_fund",M$3,$A921))</f>
        <v/>
      </c>
      <c r="N921" s="13" t="str">
        <f>IF($A921="","",[1]!thsiFinD("ths_adjustment_nv_fund",N$3,$A921))</f>
        <v/>
      </c>
      <c r="O921" s="13" t="str">
        <f>IF($A921="","",[1]!thsiFinD("ths_adjustment_nv_fund",O$3,$A921))</f>
        <v/>
      </c>
      <c r="P921" s="13" t="str">
        <f>IF($A921="","",[1]!thsiFinD("ths_adjustment_nv_fund",P$3,$A921))</f>
        <v/>
      </c>
      <c r="Q921" s="13" t="str">
        <f>IF($A921="","",[1]!thsiFinD("ths_adjustment_nv_fund",Q$3,$A921))</f>
        <v/>
      </c>
      <c r="R921" s="13" t="str">
        <f>IF($A921="","",[1]!thsiFinD("ths_adjustment_nv_fund",R$3,$A921))</f>
        <v/>
      </c>
      <c r="S921" s="13" t="str">
        <f>IF($A921="","",[1]!thsiFinD("ths_adjustment_nv_fund",S$3,$A921))</f>
        <v/>
      </c>
      <c r="T921" s="13" t="str">
        <f>IF($A921="","",[1]!thsiFinD("ths_adjustment_nv_fund",T$3,$A921))</f>
        <v/>
      </c>
      <c r="U921" s="13" t="str">
        <f>IF($A921="","",[1]!thsiFinD("ths_adjustment_nv_fund",U$3,$A921))</f>
        <v/>
      </c>
      <c r="V921" s="13" t="str">
        <f>IF($A921="","",[1]!thsiFinD("ths_adjustment_nv_fund",V$3,$A921))</f>
        <v/>
      </c>
      <c r="W921" s="13" t="str">
        <f>IF($A921="","",[1]!thsiFinD("ths_adjustment_nv_fund",W$3,$A921))</f>
        <v/>
      </c>
      <c r="X921" s="13" t="str">
        <f>IF($A921="","",[1]!thsiFinD("ths_adjustment_nv_fund",X$3,$A921))</f>
        <v/>
      </c>
      <c r="Y921" s="13" t="str">
        <f>IF($A921="","",[1]!thsiFinD("ths_adjustment_nv_fund",Y$3,$A921))</f>
        <v/>
      </c>
      <c r="Z921" s="13" t="str">
        <f>IF($A921="","",[1]!thsiFinD("ths_adjustment_nv_fund",Z$3,$A921))</f>
        <v/>
      </c>
      <c r="AA921" s="13" t="str">
        <f>IF($A921="","",[1]!thsiFinD("ths_adjustment_nv_fund",AA$3,$A921))</f>
        <v/>
      </c>
      <c r="AB921" s="13">
        <f>IF($A921="","",[1]!thsiFinD("ths_adjustment_nv_fund",AB$3,$A921))</f>
        <v/>
      </c>
      <c r="AC921" s="13">
        <f>IF($A921="","",[1]!thsiFinD("ths_adjustment_nv_fund",AC$3,$A921))</f>
        <v/>
      </c>
      <c r="AD921" s="13">
        <f>IF($A921="","",[1]!thsiFinD("ths_adjustment_nv_fund",AD$3,$A921))</f>
        <v/>
      </c>
      <c r="AE921" s="13">
        <f>IF($A921="","",[1]!thsiFinD("ths_adjustment_nv_fund",AE$3,$A921))</f>
        <v/>
      </c>
      <c r="AF921" s="13">
        <f>IF($A921="","",[1]!thsiFinD("ths_adjustment_nv_fund",AF$3,$A921))</f>
        <v/>
      </c>
      <c r="AG921" s="13">
        <f>IF($A921="","",[1]!thsiFinD("ths_adjustment_nv_fund",AG$3,$A921))</f>
        <v/>
      </c>
      <c r="AH921" s="13">
        <f>IF($A921="","",[1]!thsiFinD("ths_adjustment_nv_fund",AH$3,$A921))</f>
        <v/>
      </c>
      <c r="AI921" s="13">
        <f>IF($A921="","",[1]!thsiFinD("ths_adjustment_nv_fund",AI$3,$A921))</f>
        <v/>
      </c>
      <c r="AJ921" s="13">
        <f>IF($A921="","",[1]!thsiFinD("ths_adjustment_nv_fund",AJ$3,$A921))</f>
        <v/>
      </c>
      <c r="AK921" s="13">
        <f>IF($A921="","",[1]!thsiFinD("ths_adjustment_nv_fund",AK$3,$A921))</f>
        <v/>
      </c>
      <c r="AL921" s="13">
        <f>IF($A921="","",[1]!thsiFinD("ths_adjustment_nv_fund",AL$3,$A921))</f>
        <v/>
      </c>
    </row>
    <row r="922" spans="2:28">
      <c r="B922" s="13" t="str">
        <f>IF($A922="","",[1]!thsiFinD("ths_adjustment_nv_fund",B$3,$A922))</f>
        <v/>
      </c>
      <c r="C922" s="13" t="str">
        <f>IF($A922="","",[1]!thsiFinD("ths_adjustment_nv_fund",C$3,$A922))</f>
        <v/>
      </c>
      <c r="D922" s="13" t="str">
        <f>IF($A922="","",[1]!thsiFinD("ths_adjustment_nv_fund",D$3,$A922))</f>
        <v/>
      </c>
      <c r="E922" s="13" t="str">
        <f>IF($A922="","",[1]!thsiFinD("ths_adjustment_nv_fund",E$3,$A922))</f>
        <v/>
      </c>
      <c r="F922" s="13" t="str">
        <f>IF($A922="","",[1]!thsiFinD("ths_adjustment_nv_fund",F$3,$A922))</f>
        <v/>
      </c>
      <c r="G922" s="13" t="str">
        <f>IF($A922="","",[1]!thsiFinD("ths_adjustment_nv_fund",G$3,$A922))</f>
        <v/>
      </c>
      <c r="H922" s="13" t="str">
        <f>IF($A922="","",[1]!thsiFinD("ths_adjustment_nv_fund",H$3,$A922))</f>
        <v/>
      </c>
      <c r="I922" s="13" t="str">
        <f>IF($A922="","",[1]!thsiFinD("ths_adjustment_nv_fund",I$3,$A922))</f>
        <v/>
      </c>
      <c r="J922" s="13" t="str">
        <f>IF($A922="","",[1]!thsiFinD("ths_adjustment_nv_fund",J$3,$A922))</f>
        <v/>
      </c>
      <c r="K922" s="13" t="str">
        <f>IF($A922="","",[1]!thsiFinD("ths_adjustment_nv_fund",K$3,$A922))</f>
        <v/>
      </c>
      <c r="L922" s="13" t="str">
        <f>IF($A922="","",[1]!thsiFinD("ths_adjustment_nv_fund",L$3,$A922))</f>
        <v/>
      </c>
      <c r="M922" s="13" t="str">
        <f>IF($A922="","",[1]!thsiFinD("ths_adjustment_nv_fund",M$3,$A922))</f>
        <v/>
      </c>
      <c r="N922" s="13" t="str">
        <f>IF($A922="","",[1]!thsiFinD("ths_adjustment_nv_fund",N$3,$A922))</f>
        <v/>
      </c>
      <c r="O922" s="13" t="str">
        <f>IF($A922="","",[1]!thsiFinD("ths_adjustment_nv_fund",O$3,$A922))</f>
        <v/>
      </c>
      <c r="P922" s="13" t="str">
        <f>IF($A922="","",[1]!thsiFinD("ths_adjustment_nv_fund",P$3,$A922))</f>
        <v/>
      </c>
      <c r="Q922" s="13" t="str">
        <f>IF($A922="","",[1]!thsiFinD("ths_adjustment_nv_fund",Q$3,$A922))</f>
        <v/>
      </c>
      <c r="R922" s="13" t="str">
        <f>IF($A922="","",[1]!thsiFinD("ths_adjustment_nv_fund",R$3,$A922))</f>
        <v/>
      </c>
      <c r="S922" s="13" t="str">
        <f>IF($A922="","",[1]!thsiFinD("ths_adjustment_nv_fund",S$3,$A922))</f>
        <v/>
      </c>
      <c r="T922" s="13" t="str">
        <f>IF($A922="","",[1]!thsiFinD("ths_adjustment_nv_fund",T$3,$A922))</f>
        <v/>
      </c>
      <c r="U922" s="13" t="str">
        <f>IF($A922="","",[1]!thsiFinD("ths_adjustment_nv_fund",U$3,$A922))</f>
        <v/>
      </c>
      <c r="V922" s="13" t="str">
        <f>IF($A922="","",[1]!thsiFinD("ths_adjustment_nv_fund",V$3,$A922))</f>
        <v/>
      </c>
      <c r="W922" s="13" t="str">
        <f>IF($A922="","",[1]!thsiFinD("ths_adjustment_nv_fund",W$3,$A922))</f>
        <v/>
      </c>
      <c r="X922" s="13" t="str">
        <f>IF($A922="","",[1]!thsiFinD("ths_adjustment_nv_fund",X$3,$A922))</f>
        <v/>
      </c>
      <c r="Y922" s="13" t="str">
        <f>IF($A922="","",[1]!thsiFinD("ths_adjustment_nv_fund",Y$3,$A922))</f>
        <v/>
      </c>
      <c r="Z922" s="13" t="str">
        <f>IF($A922="","",[1]!thsiFinD("ths_adjustment_nv_fund",Z$3,$A922))</f>
        <v/>
      </c>
      <c r="AA922" s="13" t="str">
        <f>IF($A922="","",[1]!thsiFinD("ths_adjustment_nv_fund",AA$3,$A922))</f>
        <v/>
      </c>
      <c r="AB922" s="13">
        <f>IF($A922="","",[1]!thsiFinD("ths_adjustment_nv_fund",AB$3,$A922))</f>
        <v/>
      </c>
      <c r="AC922" s="13">
        <f>IF($A922="","",[1]!thsiFinD("ths_adjustment_nv_fund",AC$3,$A922))</f>
        <v/>
      </c>
      <c r="AD922" s="13">
        <f>IF($A922="","",[1]!thsiFinD("ths_adjustment_nv_fund",AD$3,$A922))</f>
        <v/>
      </c>
      <c r="AE922" s="13">
        <f>IF($A922="","",[1]!thsiFinD("ths_adjustment_nv_fund",AE$3,$A922))</f>
        <v/>
      </c>
      <c r="AF922" s="13">
        <f>IF($A922="","",[1]!thsiFinD("ths_adjustment_nv_fund",AF$3,$A922))</f>
        <v/>
      </c>
      <c r="AG922" s="13">
        <f>IF($A922="","",[1]!thsiFinD("ths_adjustment_nv_fund",AG$3,$A922))</f>
        <v/>
      </c>
      <c r="AH922" s="13">
        <f>IF($A922="","",[1]!thsiFinD("ths_adjustment_nv_fund",AH$3,$A922))</f>
        <v/>
      </c>
      <c r="AI922" s="13">
        <f>IF($A922="","",[1]!thsiFinD("ths_adjustment_nv_fund",AI$3,$A922))</f>
        <v/>
      </c>
      <c r="AJ922" s="13">
        <f>IF($A922="","",[1]!thsiFinD("ths_adjustment_nv_fund",AJ$3,$A922))</f>
        <v/>
      </c>
      <c r="AK922" s="13">
        <f>IF($A922="","",[1]!thsiFinD("ths_adjustment_nv_fund",AK$3,$A922))</f>
        <v/>
      </c>
      <c r="AL922" s="13">
        <f>IF($A922="","",[1]!thsiFinD("ths_adjustment_nv_fund",AL$3,$A922))</f>
        <v/>
      </c>
    </row>
    <row r="923" spans="2:28">
      <c r="B923" s="13" t="str">
        <f>IF($A923="","",[1]!thsiFinD("ths_adjustment_nv_fund",B$3,$A923))</f>
        <v/>
      </c>
      <c r="C923" s="13" t="str">
        <f>IF($A923="","",[1]!thsiFinD("ths_adjustment_nv_fund",C$3,$A923))</f>
        <v/>
      </c>
      <c r="D923" s="13" t="str">
        <f>IF($A923="","",[1]!thsiFinD("ths_adjustment_nv_fund",D$3,$A923))</f>
        <v/>
      </c>
      <c r="E923" s="13" t="str">
        <f>IF($A923="","",[1]!thsiFinD("ths_adjustment_nv_fund",E$3,$A923))</f>
        <v/>
      </c>
      <c r="F923" s="13" t="str">
        <f>IF($A923="","",[1]!thsiFinD("ths_adjustment_nv_fund",F$3,$A923))</f>
        <v/>
      </c>
      <c r="G923" s="13" t="str">
        <f>IF($A923="","",[1]!thsiFinD("ths_adjustment_nv_fund",G$3,$A923))</f>
        <v/>
      </c>
      <c r="H923" s="13" t="str">
        <f>IF($A923="","",[1]!thsiFinD("ths_adjustment_nv_fund",H$3,$A923))</f>
        <v/>
      </c>
      <c r="I923" s="13" t="str">
        <f>IF($A923="","",[1]!thsiFinD("ths_adjustment_nv_fund",I$3,$A923))</f>
        <v/>
      </c>
      <c r="J923" s="13" t="str">
        <f>IF($A923="","",[1]!thsiFinD("ths_adjustment_nv_fund",J$3,$A923))</f>
        <v/>
      </c>
      <c r="K923" s="13" t="str">
        <f>IF($A923="","",[1]!thsiFinD("ths_adjustment_nv_fund",K$3,$A923))</f>
        <v/>
      </c>
      <c r="L923" s="13" t="str">
        <f>IF($A923="","",[1]!thsiFinD("ths_adjustment_nv_fund",L$3,$A923))</f>
        <v/>
      </c>
      <c r="M923" s="13" t="str">
        <f>IF($A923="","",[1]!thsiFinD("ths_adjustment_nv_fund",M$3,$A923))</f>
        <v/>
      </c>
      <c r="N923" s="13" t="str">
        <f>IF($A923="","",[1]!thsiFinD("ths_adjustment_nv_fund",N$3,$A923))</f>
        <v/>
      </c>
      <c r="O923" s="13" t="str">
        <f>IF($A923="","",[1]!thsiFinD("ths_adjustment_nv_fund",O$3,$A923))</f>
        <v/>
      </c>
      <c r="P923" s="13" t="str">
        <f>IF($A923="","",[1]!thsiFinD("ths_adjustment_nv_fund",P$3,$A923))</f>
        <v/>
      </c>
      <c r="Q923" s="13" t="str">
        <f>IF($A923="","",[1]!thsiFinD("ths_adjustment_nv_fund",Q$3,$A923))</f>
        <v/>
      </c>
      <c r="R923" s="13" t="str">
        <f>IF($A923="","",[1]!thsiFinD("ths_adjustment_nv_fund",R$3,$A923))</f>
        <v/>
      </c>
      <c r="S923" s="13" t="str">
        <f>IF($A923="","",[1]!thsiFinD("ths_adjustment_nv_fund",S$3,$A923))</f>
        <v/>
      </c>
      <c r="T923" s="13" t="str">
        <f>IF($A923="","",[1]!thsiFinD("ths_adjustment_nv_fund",T$3,$A923))</f>
        <v/>
      </c>
      <c r="U923" s="13" t="str">
        <f>IF($A923="","",[1]!thsiFinD("ths_adjustment_nv_fund",U$3,$A923))</f>
        <v/>
      </c>
      <c r="V923" s="13" t="str">
        <f>IF($A923="","",[1]!thsiFinD("ths_adjustment_nv_fund",V$3,$A923))</f>
        <v/>
      </c>
      <c r="W923" s="13" t="str">
        <f>IF($A923="","",[1]!thsiFinD("ths_adjustment_nv_fund",W$3,$A923))</f>
        <v/>
      </c>
      <c r="X923" s="13" t="str">
        <f>IF($A923="","",[1]!thsiFinD("ths_adjustment_nv_fund",X$3,$A923))</f>
        <v/>
      </c>
      <c r="Y923" s="13" t="str">
        <f>IF($A923="","",[1]!thsiFinD("ths_adjustment_nv_fund",Y$3,$A923))</f>
        <v/>
      </c>
      <c r="Z923" s="13" t="str">
        <f>IF($A923="","",[1]!thsiFinD("ths_adjustment_nv_fund",Z$3,$A923))</f>
        <v/>
      </c>
      <c r="AA923" s="13" t="str">
        <f>IF($A923="","",[1]!thsiFinD("ths_adjustment_nv_fund",AA$3,$A923))</f>
        <v/>
      </c>
      <c r="AB923" s="13">
        <f>IF($A923="","",[1]!thsiFinD("ths_adjustment_nv_fund",AB$3,$A923))</f>
        <v/>
      </c>
      <c r="AC923" s="13">
        <f>IF($A923="","",[1]!thsiFinD("ths_adjustment_nv_fund",AC$3,$A923))</f>
        <v/>
      </c>
      <c r="AD923" s="13">
        <f>IF($A923="","",[1]!thsiFinD("ths_adjustment_nv_fund",AD$3,$A923))</f>
        <v/>
      </c>
      <c r="AE923" s="13">
        <f>IF($A923="","",[1]!thsiFinD("ths_adjustment_nv_fund",AE$3,$A923))</f>
        <v/>
      </c>
      <c r="AF923" s="13">
        <f>IF($A923="","",[1]!thsiFinD("ths_adjustment_nv_fund",AF$3,$A923))</f>
        <v/>
      </c>
      <c r="AG923" s="13">
        <f>IF($A923="","",[1]!thsiFinD("ths_adjustment_nv_fund",AG$3,$A923))</f>
        <v/>
      </c>
      <c r="AH923" s="13">
        <f>IF($A923="","",[1]!thsiFinD("ths_adjustment_nv_fund",AH$3,$A923))</f>
        <v/>
      </c>
      <c r="AI923" s="13">
        <f>IF($A923="","",[1]!thsiFinD("ths_adjustment_nv_fund",AI$3,$A923))</f>
        <v/>
      </c>
      <c r="AJ923" s="13">
        <f>IF($A923="","",[1]!thsiFinD("ths_adjustment_nv_fund",AJ$3,$A923))</f>
        <v/>
      </c>
      <c r="AK923" s="13">
        <f>IF($A923="","",[1]!thsiFinD("ths_adjustment_nv_fund",AK$3,$A923))</f>
        <v/>
      </c>
      <c r="AL923" s="13">
        <f>IF($A923="","",[1]!thsiFinD("ths_adjustment_nv_fund",AL$3,$A923))</f>
        <v/>
      </c>
    </row>
    <row r="924" spans="2:28">
      <c r="B924" s="13" t="str">
        <f>IF($A924="","",[1]!thsiFinD("ths_adjustment_nv_fund",B$3,$A924))</f>
        <v/>
      </c>
      <c r="C924" s="13" t="str">
        <f>IF($A924="","",[1]!thsiFinD("ths_adjustment_nv_fund",C$3,$A924))</f>
        <v/>
      </c>
      <c r="D924" s="13" t="str">
        <f>IF($A924="","",[1]!thsiFinD("ths_adjustment_nv_fund",D$3,$A924))</f>
        <v/>
      </c>
      <c r="E924" s="13" t="str">
        <f>IF($A924="","",[1]!thsiFinD("ths_adjustment_nv_fund",E$3,$A924))</f>
        <v/>
      </c>
      <c r="F924" s="13" t="str">
        <f>IF($A924="","",[1]!thsiFinD("ths_adjustment_nv_fund",F$3,$A924))</f>
        <v/>
      </c>
      <c r="G924" s="13" t="str">
        <f>IF($A924="","",[1]!thsiFinD("ths_adjustment_nv_fund",G$3,$A924))</f>
        <v/>
      </c>
      <c r="H924" s="13" t="str">
        <f>IF($A924="","",[1]!thsiFinD("ths_adjustment_nv_fund",H$3,$A924))</f>
        <v/>
      </c>
      <c r="I924" s="13" t="str">
        <f>IF($A924="","",[1]!thsiFinD("ths_adjustment_nv_fund",I$3,$A924))</f>
        <v/>
      </c>
      <c r="J924" s="13" t="str">
        <f>IF($A924="","",[1]!thsiFinD("ths_adjustment_nv_fund",J$3,$A924))</f>
        <v/>
      </c>
      <c r="K924" s="13" t="str">
        <f>IF($A924="","",[1]!thsiFinD("ths_adjustment_nv_fund",K$3,$A924))</f>
        <v/>
      </c>
      <c r="L924" s="13" t="str">
        <f>IF($A924="","",[1]!thsiFinD("ths_adjustment_nv_fund",L$3,$A924))</f>
        <v/>
      </c>
      <c r="M924" s="13" t="str">
        <f>IF($A924="","",[1]!thsiFinD("ths_adjustment_nv_fund",M$3,$A924))</f>
        <v/>
      </c>
      <c r="N924" s="13" t="str">
        <f>IF($A924="","",[1]!thsiFinD("ths_adjustment_nv_fund",N$3,$A924))</f>
        <v/>
      </c>
      <c r="O924" s="13" t="str">
        <f>IF($A924="","",[1]!thsiFinD("ths_adjustment_nv_fund",O$3,$A924))</f>
        <v/>
      </c>
      <c r="P924" s="13" t="str">
        <f>IF($A924="","",[1]!thsiFinD("ths_adjustment_nv_fund",P$3,$A924))</f>
        <v/>
      </c>
      <c r="Q924" s="13" t="str">
        <f>IF($A924="","",[1]!thsiFinD("ths_adjustment_nv_fund",Q$3,$A924))</f>
        <v/>
      </c>
      <c r="R924" s="13" t="str">
        <f>IF($A924="","",[1]!thsiFinD("ths_adjustment_nv_fund",R$3,$A924))</f>
        <v/>
      </c>
      <c r="S924" s="13" t="str">
        <f>IF($A924="","",[1]!thsiFinD("ths_adjustment_nv_fund",S$3,$A924))</f>
        <v/>
      </c>
      <c r="T924" s="13" t="str">
        <f>IF($A924="","",[1]!thsiFinD("ths_adjustment_nv_fund",T$3,$A924))</f>
        <v/>
      </c>
      <c r="U924" s="13" t="str">
        <f>IF($A924="","",[1]!thsiFinD("ths_adjustment_nv_fund",U$3,$A924))</f>
        <v/>
      </c>
      <c r="V924" s="13" t="str">
        <f>IF($A924="","",[1]!thsiFinD("ths_adjustment_nv_fund",V$3,$A924))</f>
        <v/>
      </c>
      <c r="W924" s="13" t="str">
        <f>IF($A924="","",[1]!thsiFinD("ths_adjustment_nv_fund",W$3,$A924))</f>
        <v/>
      </c>
      <c r="X924" s="13" t="str">
        <f>IF($A924="","",[1]!thsiFinD("ths_adjustment_nv_fund",X$3,$A924))</f>
        <v/>
      </c>
      <c r="Y924" s="13" t="str">
        <f>IF($A924="","",[1]!thsiFinD("ths_adjustment_nv_fund",Y$3,$A924))</f>
        <v/>
      </c>
      <c r="Z924" s="13" t="str">
        <f>IF($A924="","",[1]!thsiFinD("ths_adjustment_nv_fund",Z$3,$A924))</f>
        <v/>
      </c>
      <c r="AA924" s="13" t="str">
        <f>IF($A924="","",[1]!thsiFinD("ths_adjustment_nv_fund",AA$3,$A924))</f>
        <v/>
      </c>
      <c r="AB924" s="13">
        <f>IF($A924="","",[1]!thsiFinD("ths_adjustment_nv_fund",AB$3,$A924))</f>
        <v/>
      </c>
      <c r="AC924" s="13">
        <f>IF($A924="","",[1]!thsiFinD("ths_adjustment_nv_fund",AC$3,$A924))</f>
        <v/>
      </c>
      <c r="AD924" s="13">
        <f>IF($A924="","",[1]!thsiFinD("ths_adjustment_nv_fund",AD$3,$A924))</f>
        <v/>
      </c>
      <c r="AE924" s="13">
        <f>IF($A924="","",[1]!thsiFinD("ths_adjustment_nv_fund",AE$3,$A924))</f>
        <v/>
      </c>
      <c r="AF924" s="13">
        <f>IF($A924="","",[1]!thsiFinD("ths_adjustment_nv_fund",AF$3,$A924))</f>
        <v/>
      </c>
      <c r="AG924" s="13">
        <f>IF($A924="","",[1]!thsiFinD("ths_adjustment_nv_fund",AG$3,$A924))</f>
        <v/>
      </c>
      <c r="AH924" s="13">
        <f>IF($A924="","",[1]!thsiFinD("ths_adjustment_nv_fund",AH$3,$A924))</f>
        <v/>
      </c>
      <c r="AI924" s="13">
        <f>IF($A924="","",[1]!thsiFinD("ths_adjustment_nv_fund",AI$3,$A924))</f>
        <v/>
      </c>
      <c r="AJ924" s="13">
        <f>IF($A924="","",[1]!thsiFinD("ths_adjustment_nv_fund",AJ$3,$A924))</f>
        <v/>
      </c>
      <c r="AK924" s="13">
        <f>IF($A924="","",[1]!thsiFinD("ths_adjustment_nv_fund",AK$3,$A924))</f>
        <v/>
      </c>
      <c r="AL924" s="13">
        <f>IF($A924="","",[1]!thsiFinD("ths_adjustment_nv_fund",AL$3,$A924))</f>
        <v/>
      </c>
    </row>
    <row r="925" spans="2:28">
      <c r="B925" s="13" t="str">
        <f>IF($A925="","",[1]!thsiFinD("ths_adjustment_nv_fund",B$3,$A925))</f>
        <v/>
      </c>
      <c r="C925" s="13" t="str">
        <f>IF($A925="","",[1]!thsiFinD("ths_adjustment_nv_fund",C$3,$A925))</f>
        <v/>
      </c>
      <c r="D925" s="13" t="str">
        <f>IF($A925="","",[1]!thsiFinD("ths_adjustment_nv_fund",D$3,$A925))</f>
        <v/>
      </c>
      <c r="E925" s="13" t="str">
        <f>IF($A925="","",[1]!thsiFinD("ths_adjustment_nv_fund",E$3,$A925))</f>
        <v/>
      </c>
      <c r="F925" s="13" t="str">
        <f>IF($A925="","",[1]!thsiFinD("ths_adjustment_nv_fund",F$3,$A925))</f>
        <v/>
      </c>
      <c r="G925" s="13" t="str">
        <f>IF($A925="","",[1]!thsiFinD("ths_adjustment_nv_fund",G$3,$A925))</f>
        <v/>
      </c>
      <c r="H925" s="13" t="str">
        <f>IF($A925="","",[1]!thsiFinD("ths_adjustment_nv_fund",H$3,$A925))</f>
        <v/>
      </c>
      <c r="I925" s="13" t="str">
        <f>IF($A925="","",[1]!thsiFinD("ths_adjustment_nv_fund",I$3,$A925))</f>
        <v/>
      </c>
      <c r="J925" s="13" t="str">
        <f>IF($A925="","",[1]!thsiFinD("ths_adjustment_nv_fund",J$3,$A925))</f>
        <v/>
      </c>
      <c r="K925" s="13" t="str">
        <f>IF($A925="","",[1]!thsiFinD("ths_adjustment_nv_fund",K$3,$A925))</f>
        <v/>
      </c>
      <c r="L925" s="13" t="str">
        <f>IF($A925="","",[1]!thsiFinD("ths_adjustment_nv_fund",L$3,$A925))</f>
        <v/>
      </c>
      <c r="M925" s="13" t="str">
        <f>IF($A925="","",[1]!thsiFinD("ths_adjustment_nv_fund",M$3,$A925))</f>
        <v/>
      </c>
      <c r="N925" s="13" t="str">
        <f>IF($A925="","",[1]!thsiFinD("ths_adjustment_nv_fund",N$3,$A925))</f>
        <v/>
      </c>
      <c r="O925" s="13" t="str">
        <f>IF($A925="","",[1]!thsiFinD("ths_adjustment_nv_fund",O$3,$A925))</f>
        <v/>
      </c>
      <c r="P925" s="13" t="str">
        <f>IF($A925="","",[1]!thsiFinD("ths_adjustment_nv_fund",P$3,$A925))</f>
        <v/>
      </c>
      <c r="Q925" s="13" t="str">
        <f>IF($A925="","",[1]!thsiFinD("ths_adjustment_nv_fund",Q$3,$A925))</f>
        <v/>
      </c>
      <c r="R925" s="13" t="str">
        <f>IF($A925="","",[1]!thsiFinD("ths_adjustment_nv_fund",R$3,$A925))</f>
        <v/>
      </c>
      <c r="S925" s="13" t="str">
        <f>IF($A925="","",[1]!thsiFinD("ths_adjustment_nv_fund",S$3,$A925))</f>
        <v/>
      </c>
      <c r="T925" s="13" t="str">
        <f>IF($A925="","",[1]!thsiFinD("ths_adjustment_nv_fund",T$3,$A925))</f>
        <v/>
      </c>
      <c r="U925" s="13" t="str">
        <f>IF($A925="","",[1]!thsiFinD("ths_adjustment_nv_fund",U$3,$A925))</f>
        <v/>
      </c>
      <c r="V925" s="13" t="str">
        <f>IF($A925="","",[1]!thsiFinD("ths_adjustment_nv_fund",V$3,$A925))</f>
        <v/>
      </c>
      <c r="W925" s="13" t="str">
        <f>IF($A925="","",[1]!thsiFinD("ths_adjustment_nv_fund",W$3,$A925))</f>
        <v/>
      </c>
      <c r="X925" s="13" t="str">
        <f>IF($A925="","",[1]!thsiFinD("ths_adjustment_nv_fund",X$3,$A925))</f>
        <v/>
      </c>
      <c r="Y925" s="13" t="str">
        <f>IF($A925="","",[1]!thsiFinD("ths_adjustment_nv_fund",Y$3,$A925))</f>
        <v/>
      </c>
      <c r="Z925" s="13" t="str">
        <f>IF($A925="","",[1]!thsiFinD("ths_adjustment_nv_fund",Z$3,$A925))</f>
        <v/>
      </c>
      <c r="AA925" s="13" t="str">
        <f>IF($A925="","",[1]!thsiFinD("ths_adjustment_nv_fund",AA$3,$A925))</f>
        <v/>
      </c>
      <c r="AB925" s="13">
        <f>IF($A925="","",[1]!thsiFinD("ths_adjustment_nv_fund",AB$3,$A925))</f>
        <v/>
      </c>
      <c r="AC925" s="13">
        <f>IF($A925="","",[1]!thsiFinD("ths_adjustment_nv_fund",AC$3,$A925))</f>
        <v/>
      </c>
      <c r="AD925" s="13">
        <f>IF($A925="","",[1]!thsiFinD("ths_adjustment_nv_fund",AD$3,$A925))</f>
        <v/>
      </c>
      <c r="AE925" s="13">
        <f>IF($A925="","",[1]!thsiFinD("ths_adjustment_nv_fund",AE$3,$A925))</f>
        <v/>
      </c>
      <c r="AF925" s="13">
        <f>IF($A925="","",[1]!thsiFinD("ths_adjustment_nv_fund",AF$3,$A925))</f>
        <v/>
      </c>
      <c r="AG925" s="13">
        <f>IF($A925="","",[1]!thsiFinD("ths_adjustment_nv_fund",AG$3,$A925))</f>
        <v/>
      </c>
      <c r="AH925" s="13">
        <f>IF($A925="","",[1]!thsiFinD("ths_adjustment_nv_fund",AH$3,$A925))</f>
        <v/>
      </c>
      <c r="AI925" s="13">
        <f>IF($A925="","",[1]!thsiFinD("ths_adjustment_nv_fund",AI$3,$A925))</f>
        <v/>
      </c>
      <c r="AJ925" s="13">
        <f>IF($A925="","",[1]!thsiFinD("ths_adjustment_nv_fund",AJ$3,$A925))</f>
        <v/>
      </c>
      <c r="AK925" s="13">
        <f>IF($A925="","",[1]!thsiFinD("ths_adjustment_nv_fund",AK$3,$A925))</f>
        <v/>
      </c>
      <c r="AL925" s="13">
        <f>IF($A925="","",[1]!thsiFinD("ths_adjustment_nv_fund",AL$3,$A925))</f>
        <v/>
      </c>
    </row>
    <row r="926" spans="2:28">
      <c r="B926" s="13" t="str">
        <f>IF($A926="","",[1]!thsiFinD("ths_adjustment_nv_fund",B$3,$A926))</f>
        <v/>
      </c>
      <c r="C926" s="13" t="str">
        <f>IF($A926="","",[1]!thsiFinD("ths_adjustment_nv_fund",C$3,$A926))</f>
        <v/>
      </c>
      <c r="D926" s="13" t="str">
        <f>IF($A926="","",[1]!thsiFinD("ths_adjustment_nv_fund",D$3,$A926))</f>
        <v/>
      </c>
      <c r="E926" s="13" t="str">
        <f>IF($A926="","",[1]!thsiFinD("ths_adjustment_nv_fund",E$3,$A926))</f>
        <v/>
      </c>
      <c r="F926" s="13" t="str">
        <f>IF($A926="","",[1]!thsiFinD("ths_adjustment_nv_fund",F$3,$A926))</f>
        <v/>
      </c>
      <c r="G926" s="13" t="str">
        <f>IF($A926="","",[1]!thsiFinD("ths_adjustment_nv_fund",G$3,$A926))</f>
        <v/>
      </c>
      <c r="H926" s="13" t="str">
        <f>IF($A926="","",[1]!thsiFinD("ths_adjustment_nv_fund",H$3,$A926))</f>
        <v/>
      </c>
      <c r="I926" s="13" t="str">
        <f>IF($A926="","",[1]!thsiFinD("ths_adjustment_nv_fund",I$3,$A926))</f>
        <v/>
      </c>
      <c r="J926" s="13" t="str">
        <f>IF($A926="","",[1]!thsiFinD("ths_adjustment_nv_fund",J$3,$A926))</f>
        <v/>
      </c>
      <c r="K926" s="13" t="str">
        <f>IF($A926="","",[1]!thsiFinD("ths_adjustment_nv_fund",K$3,$A926))</f>
        <v/>
      </c>
      <c r="L926" s="13" t="str">
        <f>IF($A926="","",[1]!thsiFinD("ths_adjustment_nv_fund",L$3,$A926))</f>
        <v/>
      </c>
      <c r="M926" s="13" t="str">
        <f>IF($A926="","",[1]!thsiFinD("ths_adjustment_nv_fund",M$3,$A926))</f>
        <v/>
      </c>
      <c r="N926" s="13" t="str">
        <f>IF($A926="","",[1]!thsiFinD("ths_adjustment_nv_fund",N$3,$A926))</f>
        <v/>
      </c>
      <c r="O926" s="13" t="str">
        <f>IF($A926="","",[1]!thsiFinD("ths_adjustment_nv_fund",O$3,$A926))</f>
        <v/>
      </c>
      <c r="P926" s="13" t="str">
        <f>IF($A926="","",[1]!thsiFinD("ths_adjustment_nv_fund",P$3,$A926))</f>
        <v/>
      </c>
      <c r="Q926" s="13" t="str">
        <f>IF($A926="","",[1]!thsiFinD("ths_adjustment_nv_fund",Q$3,$A926))</f>
        <v/>
      </c>
      <c r="R926" s="13" t="str">
        <f>IF($A926="","",[1]!thsiFinD("ths_adjustment_nv_fund",R$3,$A926))</f>
        <v/>
      </c>
      <c r="S926" s="13" t="str">
        <f>IF($A926="","",[1]!thsiFinD("ths_adjustment_nv_fund",S$3,$A926))</f>
        <v/>
      </c>
      <c r="T926" s="13" t="str">
        <f>IF($A926="","",[1]!thsiFinD("ths_adjustment_nv_fund",T$3,$A926))</f>
        <v/>
      </c>
      <c r="U926" s="13" t="str">
        <f>IF($A926="","",[1]!thsiFinD("ths_adjustment_nv_fund",U$3,$A926))</f>
        <v/>
      </c>
      <c r="V926" s="13" t="str">
        <f>IF($A926="","",[1]!thsiFinD("ths_adjustment_nv_fund",V$3,$A926))</f>
        <v/>
      </c>
      <c r="W926" s="13" t="str">
        <f>IF($A926="","",[1]!thsiFinD("ths_adjustment_nv_fund",W$3,$A926))</f>
        <v/>
      </c>
      <c r="X926" s="13" t="str">
        <f>IF($A926="","",[1]!thsiFinD("ths_adjustment_nv_fund",X$3,$A926))</f>
        <v/>
      </c>
      <c r="Y926" s="13" t="str">
        <f>IF($A926="","",[1]!thsiFinD("ths_adjustment_nv_fund",Y$3,$A926))</f>
        <v/>
      </c>
      <c r="Z926" s="13" t="str">
        <f>IF($A926="","",[1]!thsiFinD("ths_adjustment_nv_fund",Z$3,$A926))</f>
        <v/>
      </c>
      <c r="AA926" s="13" t="str">
        <f>IF($A926="","",[1]!thsiFinD("ths_adjustment_nv_fund",AA$3,$A926))</f>
        <v/>
      </c>
      <c r="AB926" s="13">
        <f>IF($A926="","",[1]!thsiFinD("ths_adjustment_nv_fund",AB$3,$A926))</f>
        <v/>
      </c>
      <c r="AC926" s="13">
        <f>IF($A926="","",[1]!thsiFinD("ths_adjustment_nv_fund",AC$3,$A926))</f>
        <v/>
      </c>
      <c r="AD926" s="13">
        <f>IF($A926="","",[1]!thsiFinD("ths_adjustment_nv_fund",AD$3,$A926))</f>
        <v/>
      </c>
      <c r="AE926" s="13">
        <f>IF($A926="","",[1]!thsiFinD("ths_adjustment_nv_fund",AE$3,$A926))</f>
        <v/>
      </c>
      <c r="AF926" s="13">
        <f>IF($A926="","",[1]!thsiFinD("ths_adjustment_nv_fund",AF$3,$A926))</f>
        <v/>
      </c>
      <c r="AG926" s="13">
        <f>IF($A926="","",[1]!thsiFinD("ths_adjustment_nv_fund",AG$3,$A926))</f>
        <v/>
      </c>
      <c r="AH926" s="13">
        <f>IF($A926="","",[1]!thsiFinD("ths_adjustment_nv_fund",AH$3,$A926))</f>
        <v/>
      </c>
      <c r="AI926" s="13">
        <f>IF($A926="","",[1]!thsiFinD("ths_adjustment_nv_fund",AI$3,$A926))</f>
        <v/>
      </c>
      <c r="AJ926" s="13">
        <f>IF($A926="","",[1]!thsiFinD("ths_adjustment_nv_fund",AJ$3,$A926))</f>
        <v/>
      </c>
      <c r="AK926" s="13">
        <f>IF($A926="","",[1]!thsiFinD("ths_adjustment_nv_fund",AK$3,$A926))</f>
        <v/>
      </c>
      <c r="AL926" s="13">
        <f>IF($A926="","",[1]!thsiFinD("ths_adjustment_nv_fund",AL$3,$A926))</f>
        <v/>
      </c>
    </row>
    <row r="927" spans="2:28">
      <c r="B927" s="13" t="str">
        <f>IF($A927="","",[1]!thsiFinD("ths_adjustment_nv_fund",B$3,$A927))</f>
        <v/>
      </c>
      <c r="C927" s="13" t="str">
        <f>IF($A927="","",[1]!thsiFinD("ths_adjustment_nv_fund",C$3,$A927))</f>
        <v/>
      </c>
      <c r="D927" s="13" t="str">
        <f>IF($A927="","",[1]!thsiFinD("ths_adjustment_nv_fund",D$3,$A927))</f>
        <v/>
      </c>
      <c r="E927" s="13" t="str">
        <f>IF($A927="","",[1]!thsiFinD("ths_adjustment_nv_fund",E$3,$A927))</f>
        <v/>
      </c>
      <c r="F927" s="13" t="str">
        <f>IF($A927="","",[1]!thsiFinD("ths_adjustment_nv_fund",F$3,$A927))</f>
        <v/>
      </c>
      <c r="G927" s="13" t="str">
        <f>IF($A927="","",[1]!thsiFinD("ths_adjustment_nv_fund",G$3,$A927))</f>
        <v/>
      </c>
      <c r="H927" s="13" t="str">
        <f>IF($A927="","",[1]!thsiFinD("ths_adjustment_nv_fund",H$3,$A927))</f>
        <v/>
      </c>
      <c r="I927" s="13" t="str">
        <f>IF($A927="","",[1]!thsiFinD("ths_adjustment_nv_fund",I$3,$A927))</f>
        <v/>
      </c>
      <c r="J927" s="13" t="str">
        <f>IF($A927="","",[1]!thsiFinD("ths_adjustment_nv_fund",J$3,$A927))</f>
        <v/>
      </c>
      <c r="K927" s="13" t="str">
        <f>IF($A927="","",[1]!thsiFinD("ths_adjustment_nv_fund",K$3,$A927))</f>
        <v/>
      </c>
      <c r="L927" s="13" t="str">
        <f>IF($A927="","",[1]!thsiFinD("ths_adjustment_nv_fund",L$3,$A927))</f>
        <v/>
      </c>
      <c r="M927" s="13" t="str">
        <f>IF($A927="","",[1]!thsiFinD("ths_adjustment_nv_fund",M$3,$A927))</f>
        <v/>
      </c>
      <c r="N927" s="13" t="str">
        <f>IF($A927="","",[1]!thsiFinD("ths_adjustment_nv_fund",N$3,$A927))</f>
        <v/>
      </c>
      <c r="O927" s="13" t="str">
        <f>IF($A927="","",[1]!thsiFinD("ths_adjustment_nv_fund",O$3,$A927))</f>
        <v/>
      </c>
      <c r="P927" s="13" t="str">
        <f>IF($A927="","",[1]!thsiFinD("ths_adjustment_nv_fund",P$3,$A927))</f>
        <v/>
      </c>
      <c r="Q927" s="13" t="str">
        <f>IF($A927="","",[1]!thsiFinD("ths_adjustment_nv_fund",Q$3,$A927))</f>
        <v/>
      </c>
      <c r="R927" s="13" t="str">
        <f>IF($A927="","",[1]!thsiFinD("ths_adjustment_nv_fund",R$3,$A927))</f>
        <v/>
      </c>
      <c r="S927" s="13" t="str">
        <f>IF($A927="","",[1]!thsiFinD("ths_adjustment_nv_fund",S$3,$A927))</f>
        <v/>
      </c>
      <c r="T927" s="13" t="str">
        <f>IF($A927="","",[1]!thsiFinD("ths_adjustment_nv_fund",T$3,$A927))</f>
        <v/>
      </c>
      <c r="U927" s="13" t="str">
        <f>IF($A927="","",[1]!thsiFinD("ths_adjustment_nv_fund",U$3,$A927))</f>
        <v/>
      </c>
      <c r="V927" s="13" t="str">
        <f>IF($A927="","",[1]!thsiFinD("ths_adjustment_nv_fund",V$3,$A927))</f>
        <v/>
      </c>
      <c r="W927" s="13" t="str">
        <f>IF($A927="","",[1]!thsiFinD("ths_adjustment_nv_fund",W$3,$A927))</f>
        <v/>
      </c>
      <c r="X927" s="13" t="str">
        <f>IF($A927="","",[1]!thsiFinD("ths_adjustment_nv_fund",X$3,$A927))</f>
        <v/>
      </c>
      <c r="Y927" s="13" t="str">
        <f>IF($A927="","",[1]!thsiFinD("ths_adjustment_nv_fund",Y$3,$A927))</f>
        <v/>
      </c>
      <c r="Z927" s="13" t="str">
        <f>IF($A927="","",[1]!thsiFinD("ths_adjustment_nv_fund",Z$3,$A927))</f>
        <v/>
      </c>
      <c r="AA927" s="13" t="str">
        <f>IF($A927="","",[1]!thsiFinD("ths_adjustment_nv_fund",AA$3,$A927))</f>
        <v/>
      </c>
      <c r="AB927" s="13">
        <f>IF($A927="","",[1]!thsiFinD("ths_adjustment_nv_fund",AB$3,$A927))</f>
        <v/>
      </c>
      <c r="AC927" s="13">
        <f>IF($A927="","",[1]!thsiFinD("ths_adjustment_nv_fund",AC$3,$A927))</f>
        <v/>
      </c>
      <c r="AD927" s="13">
        <f>IF($A927="","",[1]!thsiFinD("ths_adjustment_nv_fund",AD$3,$A927))</f>
        <v/>
      </c>
      <c r="AE927" s="13">
        <f>IF($A927="","",[1]!thsiFinD("ths_adjustment_nv_fund",AE$3,$A927))</f>
        <v/>
      </c>
      <c r="AF927" s="13">
        <f>IF($A927="","",[1]!thsiFinD("ths_adjustment_nv_fund",AF$3,$A927))</f>
        <v/>
      </c>
      <c r="AG927" s="13">
        <f>IF($A927="","",[1]!thsiFinD("ths_adjustment_nv_fund",AG$3,$A927))</f>
        <v/>
      </c>
      <c r="AH927" s="13">
        <f>IF($A927="","",[1]!thsiFinD("ths_adjustment_nv_fund",AH$3,$A927))</f>
        <v/>
      </c>
      <c r="AI927" s="13">
        <f>IF($A927="","",[1]!thsiFinD("ths_adjustment_nv_fund",AI$3,$A927))</f>
        <v/>
      </c>
      <c r="AJ927" s="13">
        <f>IF($A927="","",[1]!thsiFinD("ths_adjustment_nv_fund",AJ$3,$A927))</f>
        <v/>
      </c>
      <c r="AK927" s="13">
        <f>IF($A927="","",[1]!thsiFinD("ths_adjustment_nv_fund",AK$3,$A927))</f>
        <v/>
      </c>
      <c r="AL927" s="13">
        <f>IF($A927="","",[1]!thsiFinD("ths_adjustment_nv_fund",AL$3,$A927))</f>
        <v/>
      </c>
    </row>
    <row r="928" spans="2:28">
      <c r="B928" s="13" t="str">
        <f>IF($A928="","",[1]!thsiFinD("ths_adjustment_nv_fund",B$3,$A928))</f>
        <v/>
      </c>
      <c r="C928" s="13" t="str">
        <f>IF($A928="","",[1]!thsiFinD("ths_adjustment_nv_fund",C$3,$A928))</f>
        <v/>
      </c>
      <c r="D928" s="13" t="str">
        <f>IF($A928="","",[1]!thsiFinD("ths_adjustment_nv_fund",D$3,$A928))</f>
        <v/>
      </c>
      <c r="E928" s="13" t="str">
        <f>IF($A928="","",[1]!thsiFinD("ths_adjustment_nv_fund",E$3,$A928))</f>
        <v/>
      </c>
      <c r="F928" s="13" t="str">
        <f>IF($A928="","",[1]!thsiFinD("ths_adjustment_nv_fund",F$3,$A928))</f>
        <v/>
      </c>
      <c r="G928" s="13" t="str">
        <f>IF($A928="","",[1]!thsiFinD("ths_adjustment_nv_fund",G$3,$A928))</f>
        <v/>
      </c>
      <c r="H928" s="13" t="str">
        <f>IF($A928="","",[1]!thsiFinD("ths_adjustment_nv_fund",H$3,$A928))</f>
        <v/>
      </c>
      <c r="I928" s="13" t="str">
        <f>IF($A928="","",[1]!thsiFinD("ths_adjustment_nv_fund",I$3,$A928))</f>
        <v/>
      </c>
      <c r="J928" s="13" t="str">
        <f>IF($A928="","",[1]!thsiFinD("ths_adjustment_nv_fund",J$3,$A928))</f>
        <v/>
      </c>
      <c r="K928" s="13" t="str">
        <f>IF($A928="","",[1]!thsiFinD("ths_adjustment_nv_fund",K$3,$A928))</f>
        <v/>
      </c>
      <c r="L928" s="13" t="str">
        <f>IF($A928="","",[1]!thsiFinD("ths_adjustment_nv_fund",L$3,$A928))</f>
        <v/>
      </c>
      <c r="M928" s="13" t="str">
        <f>IF($A928="","",[1]!thsiFinD("ths_adjustment_nv_fund",M$3,$A928))</f>
        <v/>
      </c>
      <c r="N928" s="13" t="str">
        <f>IF($A928="","",[1]!thsiFinD("ths_adjustment_nv_fund",N$3,$A928))</f>
        <v/>
      </c>
      <c r="O928" s="13" t="str">
        <f>IF($A928="","",[1]!thsiFinD("ths_adjustment_nv_fund",O$3,$A928))</f>
        <v/>
      </c>
      <c r="P928" s="13" t="str">
        <f>IF($A928="","",[1]!thsiFinD("ths_adjustment_nv_fund",P$3,$A928))</f>
        <v/>
      </c>
      <c r="Q928" s="13" t="str">
        <f>IF($A928="","",[1]!thsiFinD("ths_adjustment_nv_fund",Q$3,$A928))</f>
        <v/>
      </c>
      <c r="R928" s="13" t="str">
        <f>IF($A928="","",[1]!thsiFinD("ths_adjustment_nv_fund",R$3,$A928))</f>
        <v/>
      </c>
      <c r="S928" s="13" t="str">
        <f>IF($A928="","",[1]!thsiFinD("ths_adjustment_nv_fund",S$3,$A928))</f>
        <v/>
      </c>
      <c r="T928" s="13" t="str">
        <f>IF($A928="","",[1]!thsiFinD("ths_adjustment_nv_fund",T$3,$A928))</f>
        <v/>
      </c>
      <c r="U928" s="13" t="str">
        <f>IF($A928="","",[1]!thsiFinD("ths_adjustment_nv_fund",U$3,$A928))</f>
        <v/>
      </c>
      <c r="V928" s="13" t="str">
        <f>IF($A928="","",[1]!thsiFinD("ths_adjustment_nv_fund",V$3,$A928))</f>
        <v/>
      </c>
      <c r="W928" s="13" t="str">
        <f>IF($A928="","",[1]!thsiFinD("ths_adjustment_nv_fund",W$3,$A928))</f>
        <v/>
      </c>
      <c r="X928" s="13" t="str">
        <f>IF($A928="","",[1]!thsiFinD("ths_adjustment_nv_fund",X$3,$A928))</f>
        <v/>
      </c>
      <c r="Y928" s="13" t="str">
        <f>IF($A928="","",[1]!thsiFinD("ths_adjustment_nv_fund",Y$3,$A928))</f>
        <v/>
      </c>
      <c r="Z928" s="13" t="str">
        <f>IF($A928="","",[1]!thsiFinD("ths_adjustment_nv_fund",Z$3,$A928))</f>
        <v/>
      </c>
      <c r="AA928" s="13" t="str">
        <f>IF($A928="","",[1]!thsiFinD("ths_adjustment_nv_fund",AA$3,$A928))</f>
        <v/>
      </c>
      <c r="AB928" s="13">
        <f>IF($A928="","",[1]!thsiFinD("ths_adjustment_nv_fund",AB$3,$A928))</f>
        <v/>
      </c>
      <c r="AC928" s="13">
        <f>IF($A928="","",[1]!thsiFinD("ths_adjustment_nv_fund",AC$3,$A928))</f>
        <v/>
      </c>
      <c r="AD928" s="13">
        <f>IF($A928="","",[1]!thsiFinD("ths_adjustment_nv_fund",AD$3,$A928))</f>
        <v/>
      </c>
      <c r="AE928" s="13">
        <f>IF($A928="","",[1]!thsiFinD("ths_adjustment_nv_fund",AE$3,$A928))</f>
        <v/>
      </c>
      <c r="AF928" s="13">
        <f>IF($A928="","",[1]!thsiFinD("ths_adjustment_nv_fund",AF$3,$A928))</f>
        <v/>
      </c>
      <c r="AG928" s="13">
        <f>IF($A928="","",[1]!thsiFinD("ths_adjustment_nv_fund",AG$3,$A928))</f>
        <v/>
      </c>
      <c r="AH928" s="13">
        <f>IF($A928="","",[1]!thsiFinD("ths_adjustment_nv_fund",AH$3,$A928))</f>
        <v/>
      </c>
      <c r="AI928" s="13">
        <f>IF($A928="","",[1]!thsiFinD("ths_adjustment_nv_fund",AI$3,$A928))</f>
        <v/>
      </c>
      <c r="AJ928" s="13">
        <f>IF($A928="","",[1]!thsiFinD("ths_adjustment_nv_fund",AJ$3,$A928))</f>
        <v/>
      </c>
      <c r="AK928" s="13">
        <f>IF($A928="","",[1]!thsiFinD("ths_adjustment_nv_fund",AK$3,$A928))</f>
        <v/>
      </c>
      <c r="AL928" s="13">
        <f>IF($A928="","",[1]!thsiFinD("ths_adjustment_nv_fund",AL$3,$A928))</f>
        <v/>
      </c>
    </row>
    <row r="929" spans="2:28">
      <c r="B929" s="13" t="str">
        <f>IF($A929="","",[1]!thsiFinD("ths_adjustment_nv_fund",B$3,$A929))</f>
        <v/>
      </c>
      <c r="C929" s="13" t="str">
        <f>IF($A929="","",[1]!thsiFinD("ths_adjustment_nv_fund",C$3,$A929))</f>
        <v/>
      </c>
      <c r="D929" s="13" t="str">
        <f>IF($A929="","",[1]!thsiFinD("ths_adjustment_nv_fund",D$3,$A929))</f>
        <v/>
      </c>
      <c r="E929" s="13" t="str">
        <f>IF($A929="","",[1]!thsiFinD("ths_adjustment_nv_fund",E$3,$A929))</f>
        <v/>
      </c>
      <c r="F929" s="13" t="str">
        <f>IF($A929="","",[1]!thsiFinD("ths_adjustment_nv_fund",F$3,$A929))</f>
        <v/>
      </c>
      <c r="G929" s="13" t="str">
        <f>IF($A929="","",[1]!thsiFinD("ths_adjustment_nv_fund",G$3,$A929))</f>
        <v/>
      </c>
      <c r="H929" s="13" t="str">
        <f>IF($A929="","",[1]!thsiFinD("ths_adjustment_nv_fund",H$3,$A929))</f>
        <v/>
      </c>
      <c r="I929" s="13" t="str">
        <f>IF($A929="","",[1]!thsiFinD("ths_adjustment_nv_fund",I$3,$A929))</f>
        <v/>
      </c>
      <c r="J929" s="13" t="str">
        <f>IF($A929="","",[1]!thsiFinD("ths_adjustment_nv_fund",J$3,$A929))</f>
        <v/>
      </c>
      <c r="K929" s="13" t="str">
        <f>IF($A929="","",[1]!thsiFinD("ths_adjustment_nv_fund",K$3,$A929))</f>
        <v/>
      </c>
      <c r="L929" s="13" t="str">
        <f>IF($A929="","",[1]!thsiFinD("ths_adjustment_nv_fund",L$3,$A929))</f>
        <v/>
      </c>
      <c r="M929" s="13" t="str">
        <f>IF($A929="","",[1]!thsiFinD("ths_adjustment_nv_fund",M$3,$A929))</f>
        <v/>
      </c>
      <c r="N929" s="13" t="str">
        <f>IF($A929="","",[1]!thsiFinD("ths_adjustment_nv_fund",N$3,$A929))</f>
        <v/>
      </c>
      <c r="O929" s="13" t="str">
        <f>IF($A929="","",[1]!thsiFinD("ths_adjustment_nv_fund",O$3,$A929))</f>
        <v/>
      </c>
      <c r="P929" s="13" t="str">
        <f>IF($A929="","",[1]!thsiFinD("ths_adjustment_nv_fund",P$3,$A929))</f>
        <v/>
      </c>
      <c r="Q929" s="13" t="str">
        <f>IF($A929="","",[1]!thsiFinD("ths_adjustment_nv_fund",Q$3,$A929))</f>
        <v/>
      </c>
      <c r="R929" s="13" t="str">
        <f>IF($A929="","",[1]!thsiFinD("ths_adjustment_nv_fund",R$3,$A929))</f>
        <v/>
      </c>
      <c r="S929" s="13" t="str">
        <f>IF($A929="","",[1]!thsiFinD("ths_adjustment_nv_fund",S$3,$A929))</f>
        <v/>
      </c>
      <c r="T929" s="13" t="str">
        <f>IF($A929="","",[1]!thsiFinD("ths_adjustment_nv_fund",T$3,$A929))</f>
        <v/>
      </c>
      <c r="U929" s="13" t="str">
        <f>IF($A929="","",[1]!thsiFinD("ths_adjustment_nv_fund",U$3,$A929))</f>
        <v/>
      </c>
      <c r="V929" s="13" t="str">
        <f>IF($A929="","",[1]!thsiFinD("ths_adjustment_nv_fund",V$3,$A929))</f>
        <v/>
      </c>
      <c r="W929" s="13" t="str">
        <f>IF($A929="","",[1]!thsiFinD("ths_adjustment_nv_fund",W$3,$A929))</f>
        <v/>
      </c>
      <c r="X929" s="13" t="str">
        <f>IF($A929="","",[1]!thsiFinD("ths_adjustment_nv_fund",X$3,$A929))</f>
        <v/>
      </c>
      <c r="Y929" s="13" t="str">
        <f>IF($A929="","",[1]!thsiFinD("ths_adjustment_nv_fund",Y$3,$A929))</f>
        <v/>
      </c>
      <c r="Z929" s="13" t="str">
        <f>IF($A929="","",[1]!thsiFinD("ths_adjustment_nv_fund",Z$3,$A929))</f>
        <v/>
      </c>
      <c r="AA929" s="13" t="str">
        <f>IF($A929="","",[1]!thsiFinD("ths_adjustment_nv_fund",AA$3,$A929))</f>
        <v/>
      </c>
      <c r="AB929" s="13">
        <f>IF($A929="","",[1]!thsiFinD("ths_adjustment_nv_fund",AB$3,$A929))</f>
        <v/>
      </c>
      <c r="AC929" s="13">
        <f>IF($A929="","",[1]!thsiFinD("ths_adjustment_nv_fund",AC$3,$A929))</f>
        <v/>
      </c>
      <c r="AD929" s="13">
        <f>IF($A929="","",[1]!thsiFinD("ths_adjustment_nv_fund",AD$3,$A929))</f>
        <v/>
      </c>
      <c r="AE929" s="13">
        <f>IF($A929="","",[1]!thsiFinD("ths_adjustment_nv_fund",AE$3,$A929))</f>
        <v/>
      </c>
      <c r="AF929" s="13">
        <f>IF($A929="","",[1]!thsiFinD("ths_adjustment_nv_fund",AF$3,$A929))</f>
        <v/>
      </c>
      <c r="AG929" s="13">
        <f>IF($A929="","",[1]!thsiFinD("ths_adjustment_nv_fund",AG$3,$A929))</f>
        <v/>
      </c>
      <c r="AH929" s="13">
        <f>IF($A929="","",[1]!thsiFinD("ths_adjustment_nv_fund",AH$3,$A929))</f>
        <v/>
      </c>
      <c r="AI929" s="13">
        <f>IF($A929="","",[1]!thsiFinD("ths_adjustment_nv_fund",AI$3,$A929))</f>
        <v/>
      </c>
      <c r="AJ929" s="13">
        <f>IF($A929="","",[1]!thsiFinD("ths_adjustment_nv_fund",AJ$3,$A929))</f>
        <v/>
      </c>
      <c r="AK929" s="13">
        <f>IF($A929="","",[1]!thsiFinD("ths_adjustment_nv_fund",AK$3,$A929))</f>
        <v/>
      </c>
      <c r="AL929" s="13">
        <f>IF($A929="","",[1]!thsiFinD("ths_adjustment_nv_fund",AL$3,$A929))</f>
        <v/>
      </c>
    </row>
    <row r="930" spans="2:28">
      <c r="B930" s="13" t="str">
        <f>IF($A930="","",[1]!thsiFinD("ths_adjustment_nv_fund",B$3,$A930))</f>
        <v/>
      </c>
      <c r="C930" s="13" t="str">
        <f>IF($A930="","",[1]!thsiFinD("ths_adjustment_nv_fund",C$3,$A930))</f>
        <v/>
      </c>
      <c r="D930" s="13" t="str">
        <f>IF($A930="","",[1]!thsiFinD("ths_adjustment_nv_fund",D$3,$A930))</f>
        <v/>
      </c>
      <c r="E930" s="13" t="str">
        <f>IF($A930="","",[1]!thsiFinD("ths_adjustment_nv_fund",E$3,$A930))</f>
        <v/>
      </c>
      <c r="F930" s="13" t="str">
        <f>IF($A930="","",[1]!thsiFinD("ths_adjustment_nv_fund",F$3,$A930))</f>
        <v/>
      </c>
      <c r="G930" s="13" t="str">
        <f>IF($A930="","",[1]!thsiFinD("ths_adjustment_nv_fund",G$3,$A930))</f>
        <v/>
      </c>
      <c r="H930" s="13" t="str">
        <f>IF($A930="","",[1]!thsiFinD("ths_adjustment_nv_fund",H$3,$A930))</f>
        <v/>
      </c>
      <c r="I930" s="13" t="str">
        <f>IF($A930="","",[1]!thsiFinD("ths_adjustment_nv_fund",I$3,$A930))</f>
        <v/>
      </c>
      <c r="J930" s="13" t="str">
        <f>IF($A930="","",[1]!thsiFinD("ths_adjustment_nv_fund",J$3,$A930))</f>
        <v/>
      </c>
      <c r="K930" s="13" t="str">
        <f>IF($A930="","",[1]!thsiFinD("ths_adjustment_nv_fund",K$3,$A930))</f>
        <v/>
      </c>
      <c r="L930" s="13" t="str">
        <f>IF($A930="","",[1]!thsiFinD("ths_adjustment_nv_fund",L$3,$A930))</f>
        <v/>
      </c>
      <c r="M930" s="13" t="str">
        <f>IF($A930="","",[1]!thsiFinD("ths_adjustment_nv_fund",M$3,$A930))</f>
        <v/>
      </c>
      <c r="N930" s="13" t="str">
        <f>IF($A930="","",[1]!thsiFinD("ths_adjustment_nv_fund",N$3,$A930))</f>
        <v/>
      </c>
      <c r="O930" s="13" t="str">
        <f>IF($A930="","",[1]!thsiFinD("ths_adjustment_nv_fund",O$3,$A930))</f>
        <v/>
      </c>
      <c r="P930" s="13" t="str">
        <f>IF($A930="","",[1]!thsiFinD("ths_adjustment_nv_fund",P$3,$A930))</f>
        <v/>
      </c>
      <c r="Q930" s="13" t="str">
        <f>IF($A930="","",[1]!thsiFinD("ths_adjustment_nv_fund",Q$3,$A930))</f>
        <v/>
      </c>
      <c r="R930" s="13" t="str">
        <f>IF($A930="","",[1]!thsiFinD("ths_adjustment_nv_fund",R$3,$A930))</f>
        <v/>
      </c>
      <c r="S930" s="13" t="str">
        <f>IF($A930="","",[1]!thsiFinD("ths_adjustment_nv_fund",S$3,$A930))</f>
        <v/>
      </c>
      <c r="T930" s="13" t="str">
        <f>IF($A930="","",[1]!thsiFinD("ths_adjustment_nv_fund",T$3,$A930))</f>
        <v/>
      </c>
      <c r="U930" s="13" t="str">
        <f>IF($A930="","",[1]!thsiFinD("ths_adjustment_nv_fund",U$3,$A930))</f>
        <v/>
      </c>
      <c r="V930" s="13" t="str">
        <f>IF($A930="","",[1]!thsiFinD("ths_adjustment_nv_fund",V$3,$A930))</f>
        <v/>
      </c>
      <c r="W930" s="13" t="str">
        <f>IF($A930="","",[1]!thsiFinD("ths_adjustment_nv_fund",W$3,$A930))</f>
        <v/>
      </c>
      <c r="X930" s="13" t="str">
        <f>IF($A930="","",[1]!thsiFinD("ths_adjustment_nv_fund",X$3,$A930))</f>
        <v/>
      </c>
      <c r="Y930" s="13" t="str">
        <f>IF($A930="","",[1]!thsiFinD("ths_adjustment_nv_fund",Y$3,$A930))</f>
        <v/>
      </c>
      <c r="Z930" s="13" t="str">
        <f>IF($A930="","",[1]!thsiFinD("ths_adjustment_nv_fund",Z$3,$A930))</f>
        <v/>
      </c>
      <c r="AA930" s="13" t="str">
        <f>IF($A930="","",[1]!thsiFinD("ths_adjustment_nv_fund",AA$3,$A930))</f>
        <v/>
      </c>
      <c r="AB930" s="13">
        <f>IF($A930="","",[1]!thsiFinD("ths_adjustment_nv_fund",AB$3,$A930))</f>
        <v/>
      </c>
      <c r="AC930" s="13">
        <f>IF($A930="","",[1]!thsiFinD("ths_adjustment_nv_fund",AC$3,$A930))</f>
        <v/>
      </c>
      <c r="AD930" s="13">
        <f>IF($A930="","",[1]!thsiFinD("ths_adjustment_nv_fund",AD$3,$A930))</f>
        <v/>
      </c>
      <c r="AE930" s="13">
        <f>IF($A930="","",[1]!thsiFinD("ths_adjustment_nv_fund",AE$3,$A930))</f>
        <v/>
      </c>
      <c r="AF930" s="13">
        <f>IF($A930="","",[1]!thsiFinD("ths_adjustment_nv_fund",AF$3,$A930))</f>
        <v/>
      </c>
      <c r="AG930" s="13">
        <f>IF($A930="","",[1]!thsiFinD("ths_adjustment_nv_fund",AG$3,$A930))</f>
        <v/>
      </c>
      <c r="AH930" s="13">
        <f>IF($A930="","",[1]!thsiFinD("ths_adjustment_nv_fund",AH$3,$A930))</f>
        <v/>
      </c>
      <c r="AI930" s="13">
        <f>IF($A930="","",[1]!thsiFinD("ths_adjustment_nv_fund",AI$3,$A930))</f>
        <v/>
      </c>
      <c r="AJ930" s="13">
        <f>IF($A930="","",[1]!thsiFinD("ths_adjustment_nv_fund",AJ$3,$A930))</f>
        <v/>
      </c>
      <c r="AK930" s="13">
        <f>IF($A930="","",[1]!thsiFinD("ths_adjustment_nv_fund",AK$3,$A930))</f>
        <v/>
      </c>
      <c r="AL930" s="13">
        <f>IF($A930="","",[1]!thsiFinD("ths_adjustment_nv_fund",AL$3,$A930))</f>
        <v/>
      </c>
    </row>
    <row r="931" spans="2:28">
      <c r="B931" s="13" t="str">
        <f>IF($A931="","",[1]!thsiFinD("ths_adjustment_nv_fund",B$3,$A931))</f>
        <v/>
      </c>
      <c r="C931" s="13" t="str">
        <f>IF($A931="","",[1]!thsiFinD("ths_adjustment_nv_fund",C$3,$A931))</f>
        <v/>
      </c>
      <c r="D931" s="13" t="str">
        <f>IF($A931="","",[1]!thsiFinD("ths_adjustment_nv_fund",D$3,$A931))</f>
        <v/>
      </c>
      <c r="E931" s="13" t="str">
        <f>IF($A931="","",[1]!thsiFinD("ths_adjustment_nv_fund",E$3,$A931))</f>
        <v/>
      </c>
      <c r="F931" s="13" t="str">
        <f>IF($A931="","",[1]!thsiFinD("ths_adjustment_nv_fund",F$3,$A931))</f>
        <v/>
      </c>
      <c r="G931" s="13" t="str">
        <f>IF($A931="","",[1]!thsiFinD("ths_adjustment_nv_fund",G$3,$A931))</f>
        <v/>
      </c>
      <c r="H931" s="13" t="str">
        <f>IF($A931="","",[1]!thsiFinD("ths_adjustment_nv_fund",H$3,$A931))</f>
        <v/>
      </c>
      <c r="I931" s="13" t="str">
        <f>IF($A931="","",[1]!thsiFinD("ths_adjustment_nv_fund",I$3,$A931))</f>
        <v/>
      </c>
      <c r="J931" s="13" t="str">
        <f>IF($A931="","",[1]!thsiFinD("ths_adjustment_nv_fund",J$3,$A931))</f>
        <v/>
      </c>
      <c r="K931" s="13" t="str">
        <f>IF($A931="","",[1]!thsiFinD("ths_adjustment_nv_fund",K$3,$A931))</f>
        <v/>
      </c>
      <c r="L931" s="13" t="str">
        <f>IF($A931="","",[1]!thsiFinD("ths_adjustment_nv_fund",L$3,$A931))</f>
        <v/>
      </c>
      <c r="M931" s="13" t="str">
        <f>IF($A931="","",[1]!thsiFinD("ths_adjustment_nv_fund",M$3,$A931))</f>
        <v/>
      </c>
      <c r="N931" s="13" t="str">
        <f>IF($A931="","",[1]!thsiFinD("ths_adjustment_nv_fund",N$3,$A931))</f>
        <v/>
      </c>
      <c r="O931" s="13" t="str">
        <f>IF($A931="","",[1]!thsiFinD("ths_adjustment_nv_fund",O$3,$A931))</f>
        <v/>
      </c>
      <c r="P931" s="13" t="str">
        <f>IF($A931="","",[1]!thsiFinD("ths_adjustment_nv_fund",P$3,$A931))</f>
        <v/>
      </c>
      <c r="Q931" s="13" t="str">
        <f>IF($A931="","",[1]!thsiFinD("ths_adjustment_nv_fund",Q$3,$A931))</f>
        <v/>
      </c>
      <c r="R931" s="13" t="str">
        <f>IF($A931="","",[1]!thsiFinD("ths_adjustment_nv_fund",R$3,$A931))</f>
        <v/>
      </c>
      <c r="S931" s="13" t="str">
        <f>IF($A931="","",[1]!thsiFinD("ths_adjustment_nv_fund",S$3,$A931))</f>
        <v/>
      </c>
      <c r="T931" s="13" t="str">
        <f>IF($A931="","",[1]!thsiFinD("ths_adjustment_nv_fund",T$3,$A931))</f>
        <v/>
      </c>
      <c r="U931" s="13" t="str">
        <f>IF($A931="","",[1]!thsiFinD("ths_adjustment_nv_fund",U$3,$A931))</f>
        <v/>
      </c>
      <c r="V931" s="13" t="str">
        <f>IF($A931="","",[1]!thsiFinD("ths_adjustment_nv_fund",V$3,$A931))</f>
        <v/>
      </c>
      <c r="W931" s="13" t="str">
        <f>IF($A931="","",[1]!thsiFinD("ths_adjustment_nv_fund",W$3,$A931))</f>
        <v/>
      </c>
      <c r="X931" s="13" t="str">
        <f>IF($A931="","",[1]!thsiFinD("ths_adjustment_nv_fund",X$3,$A931))</f>
        <v/>
      </c>
      <c r="Y931" s="13" t="str">
        <f>IF($A931="","",[1]!thsiFinD("ths_adjustment_nv_fund",Y$3,$A931))</f>
        <v/>
      </c>
      <c r="Z931" s="13" t="str">
        <f>IF($A931="","",[1]!thsiFinD("ths_adjustment_nv_fund",Z$3,$A931))</f>
        <v/>
      </c>
      <c r="AA931" s="13" t="str">
        <f>IF($A931="","",[1]!thsiFinD("ths_adjustment_nv_fund",AA$3,$A931))</f>
        <v/>
      </c>
      <c r="AB931" s="13">
        <f>IF($A931="","",[1]!thsiFinD("ths_adjustment_nv_fund",AB$3,$A931))</f>
        <v/>
      </c>
      <c r="AC931" s="13">
        <f>IF($A931="","",[1]!thsiFinD("ths_adjustment_nv_fund",AC$3,$A931))</f>
        <v/>
      </c>
      <c r="AD931" s="13">
        <f>IF($A931="","",[1]!thsiFinD("ths_adjustment_nv_fund",AD$3,$A931))</f>
        <v/>
      </c>
      <c r="AE931" s="13">
        <f>IF($A931="","",[1]!thsiFinD("ths_adjustment_nv_fund",AE$3,$A931))</f>
        <v/>
      </c>
      <c r="AF931" s="13">
        <f>IF($A931="","",[1]!thsiFinD("ths_adjustment_nv_fund",AF$3,$A931))</f>
        <v/>
      </c>
      <c r="AG931" s="13">
        <f>IF($A931="","",[1]!thsiFinD("ths_adjustment_nv_fund",AG$3,$A931))</f>
        <v/>
      </c>
      <c r="AH931" s="13">
        <f>IF($A931="","",[1]!thsiFinD("ths_adjustment_nv_fund",AH$3,$A931))</f>
        <v/>
      </c>
      <c r="AI931" s="13">
        <f>IF($A931="","",[1]!thsiFinD("ths_adjustment_nv_fund",AI$3,$A931))</f>
        <v/>
      </c>
      <c r="AJ931" s="13">
        <f>IF($A931="","",[1]!thsiFinD("ths_adjustment_nv_fund",AJ$3,$A931))</f>
        <v/>
      </c>
      <c r="AK931" s="13">
        <f>IF($A931="","",[1]!thsiFinD("ths_adjustment_nv_fund",AK$3,$A931))</f>
        <v/>
      </c>
      <c r="AL931" s="13">
        <f>IF($A931="","",[1]!thsiFinD("ths_adjustment_nv_fund",AL$3,$A931))</f>
        <v/>
      </c>
    </row>
    <row r="932" spans="2:28">
      <c r="B932" s="13" t="str">
        <f>IF($A932="","",[1]!thsiFinD("ths_adjustment_nv_fund",B$3,$A932))</f>
        <v/>
      </c>
      <c r="C932" s="13" t="str">
        <f>IF($A932="","",[1]!thsiFinD("ths_adjustment_nv_fund",C$3,$A932))</f>
        <v/>
      </c>
      <c r="D932" s="13" t="str">
        <f>IF($A932="","",[1]!thsiFinD("ths_adjustment_nv_fund",D$3,$A932))</f>
        <v/>
      </c>
      <c r="E932" s="13" t="str">
        <f>IF($A932="","",[1]!thsiFinD("ths_adjustment_nv_fund",E$3,$A932))</f>
        <v/>
      </c>
      <c r="F932" s="13" t="str">
        <f>IF($A932="","",[1]!thsiFinD("ths_adjustment_nv_fund",F$3,$A932))</f>
        <v/>
      </c>
      <c r="G932" s="13" t="str">
        <f>IF($A932="","",[1]!thsiFinD("ths_adjustment_nv_fund",G$3,$A932))</f>
        <v/>
      </c>
      <c r="H932" s="13" t="str">
        <f>IF($A932="","",[1]!thsiFinD("ths_adjustment_nv_fund",H$3,$A932))</f>
        <v/>
      </c>
      <c r="I932" s="13" t="str">
        <f>IF($A932="","",[1]!thsiFinD("ths_adjustment_nv_fund",I$3,$A932))</f>
        <v/>
      </c>
      <c r="J932" s="13" t="str">
        <f>IF($A932="","",[1]!thsiFinD("ths_adjustment_nv_fund",J$3,$A932))</f>
        <v/>
      </c>
      <c r="K932" s="13" t="str">
        <f>IF($A932="","",[1]!thsiFinD("ths_adjustment_nv_fund",K$3,$A932))</f>
        <v/>
      </c>
      <c r="L932" s="13" t="str">
        <f>IF($A932="","",[1]!thsiFinD("ths_adjustment_nv_fund",L$3,$A932))</f>
        <v/>
      </c>
      <c r="M932" s="13" t="str">
        <f>IF($A932="","",[1]!thsiFinD("ths_adjustment_nv_fund",M$3,$A932))</f>
        <v/>
      </c>
      <c r="N932" s="13" t="str">
        <f>IF($A932="","",[1]!thsiFinD("ths_adjustment_nv_fund",N$3,$A932))</f>
        <v/>
      </c>
      <c r="O932" s="13" t="str">
        <f>IF($A932="","",[1]!thsiFinD("ths_adjustment_nv_fund",O$3,$A932))</f>
        <v/>
      </c>
      <c r="P932" s="13" t="str">
        <f>IF($A932="","",[1]!thsiFinD("ths_adjustment_nv_fund",P$3,$A932))</f>
        <v/>
      </c>
      <c r="Q932" s="13" t="str">
        <f>IF($A932="","",[1]!thsiFinD("ths_adjustment_nv_fund",Q$3,$A932))</f>
        <v/>
      </c>
      <c r="R932" s="13" t="str">
        <f>IF($A932="","",[1]!thsiFinD("ths_adjustment_nv_fund",R$3,$A932))</f>
        <v/>
      </c>
      <c r="S932" s="13" t="str">
        <f>IF($A932="","",[1]!thsiFinD("ths_adjustment_nv_fund",S$3,$A932))</f>
        <v/>
      </c>
      <c r="T932" s="13" t="str">
        <f>IF($A932="","",[1]!thsiFinD("ths_adjustment_nv_fund",T$3,$A932))</f>
        <v/>
      </c>
      <c r="U932" s="13" t="str">
        <f>IF($A932="","",[1]!thsiFinD("ths_adjustment_nv_fund",U$3,$A932))</f>
        <v/>
      </c>
      <c r="V932" s="13" t="str">
        <f>IF($A932="","",[1]!thsiFinD("ths_adjustment_nv_fund",V$3,$A932))</f>
        <v/>
      </c>
      <c r="W932" s="13" t="str">
        <f>IF($A932="","",[1]!thsiFinD("ths_adjustment_nv_fund",W$3,$A932))</f>
        <v/>
      </c>
      <c r="X932" s="13" t="str">
        <f>IF($A932="","",[1]!thsiFinD("ths_adjustment_nv_fund",X$3,$A932))</f>
        <v/>
      </c>
      <c r="Y932" s="13" t="str">
        <f>IF($A932="","",[1]!thsiFinD("ths_adjustment_nv_fund",Y$3,$A932))</f>
        <v/>
      </c>
      <c r="Z932" s="13" t="str">
        <f>IF($A932="","",[1]!thsiFinD("ths_adjustment_nv_fund",Z$3,$A932))</f>
        <v/>
      </c>
      <c r="AA932" s="13" t="str">
        <f>IF($A932="","",[1]!thsiFinD("ths_adjustment_nv_fund",AA$3,$A932))</f>
        <v/>
      </c>
      <c r="AB932" s="13">
        <f>IF($A932="","",[1]!thsiFinD("ths_adjustment_nv_fund",AB$3,$A932))</f>
        <v/>
      </c>
      <c r="AC932" s="13">
        <f>IF($A932="","",[1]!thsiFinD("ths_adjustment_nv_fund",AC$3,$A932))</f>
        <v/>
      </c>
      <c r="AD932" s="13">
        <f>IF($A932="","",[1]!thsiFinD("ths_adjustment_nv_fund",AD$3,$A932))</f>
        <v/>
      </c>
      <c r="AE932" s="13">
        <f>IF($A932="","",[1]!thsiFinD("ths_adjustment_nv_fund",AE$3,$A932))</f>
        <v/>
      </c>
      <c r="AF932" s="13">
        <f>IF($A932="","",[1]!thsiFinD("ths_adjustment_nv_fund",AF$3,$A932))</f>
        <v/>
      </c>
      <c r="AG932" s="13">
        <f>IF($A932="","",[1]!thsiFinD("ths_adjustment_nv_fund",AG$3,$A932))</f>
        <v/>
      </c>
      <c r="AH932" s="13">
        <f>IF($A932="","",[1]!thsiFinD("ths_adjustment_nv_fund",AH$3,$A932))</f>
        <v/>
      </c>
      <c r="AI932" s="13">
        <f>IF($A932="","",[1]!thsiFinD("ths_adjustment_nv_fund",AI$3,$A932))</f>
        <v/>
      </c>
      <c r="AJ932" s="13">
        <f>IF($A932="","",[1]!thsiFinD("ths_adjustment_nv_fund",AJ$3,$A932))</f>
        <v/>
      </c>
      <c r="AK932" s="13">
        <f>IF($A932="","",[1]!thsiFinD("ths_adjustment_nv_fund",AK$3,$A932))</f>
        <v/>
      </c>
      <c r="AL932" s="13">
        <f>IF($A932="","",[1]!thsiFinD("ths_adjustment_nv_fund",AL$3,$A932))</f>
        <v/>
      </c>
    </row>
    <row r="933" spans="2:28">
      <c r="B933" s="13" t="str">
        <f>IF($A933="","",[1]!thsiFinD("ths_adjustment_nv_fund",B$3,$A933))</f>
        <v/>
      </c>
      <c r="C933" s="13" t="str">
        <f>IF($A933="","",[1]!thsiFinD("ths_adjustment_nv_fund",C$3,$A933))</f>
        <v/>
      </c>
      <c r="D933" s="13" t="str">
        <f>IF($A933="","",[1]!thsiFinD("ths_adjustment_nv_fund",D$3,$A933))</f>
        <v/>
      </c>
      <c r="E933" s="13" t="str">
        <f>IF($A933="","",[1]!thsiFinD("ths_adjustment_nv_fund",E$3,$A933))</f>
        <v/>
      </c>
      <c r="F933" s="13" t="str">
        <f>IF($A933="","",[1]!thsiFinD("ths_adjustment_nv_fund",F$3,$A933))</f>
        <v/>
      </c>
      <c r="G933" s="13" t="str">
        <f>IF($A933="","",[1]!thsiFinD("ths_adjustment_nv_fund",G$3,$A933))</f>
        <v/>
      </c>
      <c r="H933" s="13" t="str">
        <f>IF($A933="","",[1]!thsiFinD("ths_adjustment_nv_fund",H$3,$A933))</f>
        <v/>
      </c>
      <c r="I933" s="13" t="str">
        <f>IF($A933="","",[1]!thsiFinD("ths_adjustment_nv_fund",I$3,$A933))</f>
        <v/>
      </c>
      <c r="J933" s="13" t="str">
        <f>IF($A933="","",[1]!thsiFinD("ths_adjustment_nv_fund",J$3,$A933))</f>
        <v/>
      </c>
      <c r="K933" s="13" t="str">
        <f>IF($A933="","",[1]!thsiFinD("ths_adjustment_nv_fund",K$3,$A933))</f>
        <v/>
      </c>
      <c r="L933" s="13" t="str">
        <f>IF($A933="","",[1]!thsiFinD("ths_adjustment_nv_fund",L$3,$A933))</f>
        <v/>
      </c>
      <c r="M933" s="13" t="str">
        <f>IF($A933="","",[1]!thsiFinD("ths_adjustment_nv_fund",M$3,$A933))</f>
        <v/>
      </c>
      <c r="N933" s="13" t="str">
        <f>IF($A933="","",[1]!thsiFinD("ths_adjustment_nv_fund",N$3,$A933))</f>
        <v/>
      </c>
      <c r="O933" s="13" t="str">
        <f>IF($A933="","",[1]!thsiFinD("ths_adjustment_nv_fund",O$3,$A933))</f>
        <v/>
      </c>
      <c r="P933" s="13" t="str">
        <f>IF($A933="","",[1]!thsiFinD("ths_adjustment_nv_fund",P$3,$A933))</f>
        <v/>
      </c>
      <c r="Q933" s="13" t="str">
        <f>IF($A933="","",[1]!thsiFinD("ths_adjustment_nv_fund",Q$3,$A933))</f>
        <v/>
      </c>
      <c r="R933" s="13" t="str">
        <f>IF($A933="","",[1]!thsiFinD("ths_adjustment_nv_fund",R$3,$A933))</f>
        <v/>
      </c>
      <c r="S933" s="13" t="str">
        <f>IF($A933="","",[1]!thsiFinD("ths_adjustment_nv_fund",S$3,$A933))</f>
        <v/>
      </c>
      <c r="T933" s="13" t="str">
        <f>IF($A933="","",[1]!thsiFinD("ths_adjustment_nv_fund",T$3,$A933))</f>
        <v/>
      </c>
      <c r="U933" s="13" t="str">
        <f>IF($A933="","",[1]!thsiFinD("ths_adjustment_nv_fund",U$3,$A933))</f>
        <v/>
      </c>
      <c r="V933" s="13" t="str">
        <f>IF($A933="","",[1]!thsiFinD("ths_adjustment_nv_fund",V$3,$A933))</f>
        <v/>
      </c>
      <c r="W933" s="13" t="str">
        <f>IF($A933="","",[1]!thsiFinD("ths_adjustment_nv_fund",W$3,$A933))</f>
        <v/>
      </c>
      <c r="X933" s="13" t="str">
        <f>IF($A933="","",[1]!thsiFinD("ths_adjustment_nv_fund",X$3,$A933))</f>
        <v/>
      </c>
      <c r="Y933" s="13" t="str">
        <f>IF($A933="","",[1]!thsiFinD("ths_adjustment_nv_fund",Y$3,$A933))</f>
        <v/>
      </c>
      <c r="Z933" s="13" t="str">
        <f>IF($A933="","",[1]!thsiFinD("ths_adjustment_nv_fund",Z$3,$A933))</f>
        <v/>
      </c>
      <c r="AA933" s="13" t="str">
        <f>IF($A933="","",[1]!thsiFinD("ths_adjustment_nv_fund",AA$3,$A933))</f>
        <v/>
      </c>
      <c r="AB933" s="13">
        <f>IF($A933="","",[1]!thsiFinD("ths_adjustment_nv_fund",AB$3,$A933))</f>
        <v/>
      </c>
      <c r="AC933" s="13">
        <f>IF($A933="","",[1]!thsiFinD("ths_adjustment_nv_fund",AC$3,$A933))</f>
        <v/>
      </c>
      <c r="AD933" s="13">
        <f>IF($A933="","",[1]!thsiFinD("ths_adjustment_nv_fund",AD$3,$A933))</f>
        <v/>
      </c>
      <c r="AE933" s="13">
        <f>IF($A933="","",[1]!thsiFinD("ths_adjustment_nv_fund",AE$3,$A933))</f>
        <v/>
      </c>
      <c r="AF933" s="13">
        <f>IF($A933="","",[1]!thsiFinD("ths_adjustment_nv_fund",AF$3,$A933))</f>
        <v/>
      </c>
      <c r="AG933" s="13">
        <f>IF($A933="","",[1]!thsiFinD("ths_adjustment_nv_fund",AG$3,$A933))</f>
        <v/>
      </c>
      <c r="AH933" s="13">
        <f>IF($A933="","",[1]!thsiFinD("ths_adjustment_nv_fund",AH$3,$A933))</f>
        <v/>
      </c>
      <c r="AI933" s="13">
        <f>IF($A933="","",[1]!thsiFinD("ths_adjustment_nv_fund",AI$3,$A933))</f>
        <v/>
      </c>
      <c r="AJ933" s="13">
        <f>IF($A933="","",[1]!thsiFinD("ths_adjustment_nv_fund",AJ$3,$A933))</f>
        <v/>
      </c>
      <c r="AK933" s="13">
        <f>IF($A933="","",[1]!thsiFinD("ths_adjustment_nv_fund",AK$3,$A933))</f>
        <v/>
      </c>
      <c r="AL933" s="13">
        <f>IF($A933="","",[1]!thsiFinD("ths_adjustment_nv_fund",AL$3,$A933))</f>
        <v/>
      </c>
    </row>
    <row r="934" spans="2:28">
      <c r="B934" s="13" t="str">
        <f>IF($A934="","",[1]!thsiFinD("ths_adjustment_nv_fund",B$3,$A934))</f>
        <v/>
      </c>
      <c r="C934" s="13" t="str">
        <f>IF($A934="","",[1]!thsiFinD("ths_adjustment_nv_fund",C$3,$A934))</f>
        <v/>
      </c>
      <c r="D934" s="13" t="str">
        <f>IF($A934="","",[1]!thsiFinD("ths_adjustment_nv_fund",D$3,$A934))</f>
        <v/>
      </c>
      <c r="E934" s="13" t="str">
        <f>IF($A934="","",[1]!thsiFinD("ths_adjustment_nv_fund",E$3,$A934))</f>
        <v/>
      </c>
      <c r="F934" s="13" t="str">
        <f>IF($A934="","",[1]!thsiFinD("ths_adjustment_nv_fund",F$3,$A934))</f>
        <v/>
      </c>
      <c r="G934" s="13" t="str">
        <f>IF($A934="","",[1]!thsiFinD("ths_adjustment_nv_fund",G$3,$A934))</f>
        <v/>
      </c>
      <c r="H934" s="13" t="str">
        <f>IF($A934="","",[1]!thsiFinD("ths_adjustment_nv_fund",H$3,$A934))</f>
        <v/>
      </c>
      <c r="I934" s="13" t="str">
        <f>IF($A934="","",[1]!thsiFinD("ths_adjustment_nv_fund",I$3,$A934))</f>
        <v/>
      </c>
      <c r="J934" s="13" t="str">
        <f>IF($A934="","",[1]!thsiFinD("ths_adjustment_nv_fund",J$3,$A934))</f>
        <v/>
      </c>
      <c r="K934" s="13" t="str">
        <f>IF($A934="","",[1]!thsiFinD("ths_adjustment_nv_fund",K$3,$A934))</f>
        <v/>
      </c>
      <c r="L934" s="13" t="str">
        <f>IF($A934="","",[1]!thsiFinD("ths_adjustment_nv_fund",L$3,$A934))</f>
        <v/>
      </c>
      <c r="M934" s="13" t="str">
        <f>IF($A934="","",[1]!thsiFinD("ths_adjustment_nv_fund",M$3,$A934))</f>
        <v/>
      </c>
      <c r="N934" s="13" t="str">
        <f>IF($A934="","",[1]!thsiFinD("ths_adjustment_nv_fund",N$3,$A934))</f>
        <v/>
      </c>
      <c r="O934" s="13" t="str">
        <f>IF($A934="","",[1]!thsiFinD("ths_adjustment_nv_fund",O$3,$A934))</f>
        <v/>
      </c>
      <c r="P934" s="13" t="str">
        <f>IF($A934="","",[1]!thsiFinD("ths_adjustment_nv_fund",P$3,$A934))</f>
        <v/>
      </c>
      <c r="Q934" s="13" t="str">
        <f>IF($A934="","",[1]!thsiFinD("ths_adjustment_nv_fund",Q$3,$A934))</f>
        <v/>
      </c>
      <c r="R934" s="13" t="str">
        <f>IF($A934="","",[1]!thsiFinD("ths_adjustment_nv_fund",R$3,$A934))</f>
        <v/>
      </c>
      <c r="S934" s="13" t="str">
        <f>IF($A934="","",[1]!thsiFinD("ths_adjustment_nv_fund",S$3,$A934))</f>
        <v/>
      </c>
      <c r="T934" s="13" t="str">
        <f>IF($A934="","",[1]!thsiFinD("ths_adjustment_nv_fund",T$3,$A934))</f>
        <v/>
      </c>
      <c r="U934" s="13" t="str">
        <f>IF($A934="","",[1]!thsiFinD("ths_adjustment_nv_fund",U$3,$A934))</f>
        <v/>
      </c>
      <c r="V934" s="13" t="str">
        <f>IF($A934="","",[1]!thsiFinD("ths_adjustment_nv_fund",V$3,$A934))</f>
        <v/>
      </c>
      <c r="W934" s="13" t="str">
        <f>IF($A934="","",[1]!thsiFinD("ths_adjustment_nv_fund",W$3,$A934))</f>
        <v/>
      </c>
      <c r="X934" s="13" t="str">
        <f>IF($A934="","",[1]!thsiFinD("ths_adjustment_nv_fund",X$3,$A934))</f>
        <v/>
      </c>
      <c r="Y934" s="13" t="str">
        <f>IF($A934="","",[1]!thsiFinD("ths_adjustment_nv_fund",Y$3,$A934))</f>
        <v/>
      </c>
      <c r="Z934" s="13" t="str">
        <f>IF($A934="","",[1]!thsiFinD("ths_adjustment_nv_fund",Z$3,$A934))</f>
        <v/>
      </c>
      <c r="AA934" s="13" t="str">
        <f>IF($A934="","",[1]!thsiFinD("ths_adjustment_nv_fund",AA$3,$A934))</f>
        <v/>
      </c>
      <c r="AB934" s="13">
        <f>IF($A934="","",[1]!thsiFinD("ths_adjustment_nv_fund",AB$3,$A934))</f>
        <v/>
      </c>
      <c r="AC934" s="13">
        <f>IF($A934="","",[1]!thsiFinD("ths_adjustment_nv_fund",AC$3,$A934))</f>
        <v/>
      </c>
      <c r="AD934" s="13">
        <f>IF($A934="","",[1]!thsiFinD("ths_adjustment_nv_fund",AD$3,$A934))</f>
        <v/>
      </c>
      <c r="AE934" s="13">
        <f>IF($A934="","",[1]!thsiFinD("ths_adjustment_nv_fund",AE$3,$A934))</f>
        <v/>
      </c>
      <c r="AF934" s="13">
        <f>IF($A934="","",[1]!thsiFinD("ths_adjustment_nv_fund",AF$3,$A934))</f>
        <v/>
      </c>
      <c r="AG934" s="13">
        <f>IF($A934="","",[1]!thsiFinD("ths_adjustment_nv_fund",AG$3,$A934))</f>
        <v/>
      </c>
      <c r="AH934" s="13">
        <f>IF($A934="","",[1]!thsiFinD("ths_adjustment_nv_fund",AH$3,$A934))</f>
        <v/>
      </c>
      <c r="AI934" s="13">
        <f>IF($A934="","",[1]!thsiFinD("ths_adjustment_nv_fund",AI$3,$A934))</f>
        <v/>
      </c>
      <c r="AJ934" s="13">
        <f>IF($A934="","",[1]!thsiFinD("ths_adjustment_nv_fund",AJ$3,$A934))</f>
        <v/>
      </c>
      <c r="AK934" s="13">
        <f>IF($A934="","",[1]!thsiFinD("ths_adjustment_nv_fund",AK$3,$A934))</f>
        <v/>
      </c>
      <c r="AL934" s="13">
        <f>IF($A934="","",[1]!thsiFinD("ths_adjustment_nv_fund",AL$3,$A934))</f>
        <v/>
      </c>
    </row>
    <row r="935" spans="2:28">
      <c r="B935" s="13" t="str">
        <f>IF($A935="","",[1]!thsiFinD("ths_adjustment_nv_fund",B$3,$A935))</f>
        <v/>
      </c>
      <c r="C935" s="13" t="str">
        <f>IF($A935="","",[1]!thsiFinD("ths_adjustment_nv_fund",C$3,$A935))</f>
        <v/>
      </c>
      <c r="D935" s="13" t="str">
        <f>IF($A935="","",[1]!thsiFinD("ths_adjustment_nv_fund",D$3,$A935))</f>
        <v/>
      </c>
      <c r="E935" s="13" t="str">
        <f>IF($A935="","",[1]!thsiFinD("ths_adjustment_nv_fund",E$3,$A935))</f>
        <v/>
      </c>
      <c r="F935" s="13" t="str">
        <f>IF($A935="","",[1]!thsiFinD("ths_adjustment_nv_fund",F$3,$A935))</f>
        <v/>
      </c>
      <c r="G935" s="13" t="str">
        <f>IF($A935="","",[1]!thsiFinD("ths_adjustment_nv_fund",G$3,$A935))</f>
        <v/>
      </c>
      <c r="H935" s="13" t="str">
        <f>IF($A935="","",[1]!thsiFinD("ths_adjustment_nv_fund",H$3,$A935))</f>
        <v/>
      </c>
      <c r="I935" s="13" t="str">
        <f>IF($A935="","",[1]!thsiFinD("ths_adjustment_nv_fund",I$3,$A935))</f>
        <v/>
      </c>
      <c r="J935" s="13" t="str">
        <f>IF($A935="","",[1]!thsiFinD("ths_adjustment_nv_fund",J$3,$A935))</f>
        <v/>
      </c>
      <c r="K935" s="13" t="str">
        <f>IF($A935="","",[1]!thsiFinD("ths_adjustment_nv_fund",K$3,$A935))</f>
        <v/>
      </c>
      <c r="L935" s="13" t="str">
        <f>IF($A935="","",[1]!thsiFinD("ths_adjustment_nv_fund",L$3,$A935))</f>
        <v/>
      </c>
      <c r="M935" s="13" t="str">
        <f>IF($A935="","",[1]!thsiFinD("ths_adjustment_nv_fund",M$3,$A935))</f>
        <v/>
      </c>
      <c r="N935" s="13" t="str">
        <f>IF($A935="","",[1]!thsiFinD("ths_adjustment_nv_fund",N$3,$A935))</f>
        <v/>
      </c>
      <c r="O935" s="13" t="str">
        <f>IF($A935="","",[1]!thsiFinD("ths_adjustment_nv_fund",O$3,$A935))</f>
        <v/>
      </c>
      <c r="P935" s="13" t="str">
        <f>IF($A935="","",[1]!thsiFinD("ths_adjustment_nv_fund",P$3,$A935))</f>
        <v/>
      </c>
      <c r="Q935" s="13" t="str">
        <f>IF($A935="","",[1]!thsiFinD("ths_adjustment_nv_fund",Q$3,$A935))</f>
        <v/>
      </c>
      <c r="R935" s="13" t="str">
        <f>IF($A935="","",[1]!thsiFinD("ths_adjustment_nv_fund",R$3,$A935))</f>
        <v/>
      </c>
      <c r="S935" s="13" t="str">
        <f>IF($A935="","",[1]!thsiFinD("ths_adjustment_nv_fund",S$3,$A935))</f>
        <v/>
      </c>
      <c r="T935" s="13" t="str">
        <f>IF($A935="","",[1]!thsiFinD("ths_adjustment_nv_fund",T$3,$A935))</f>
        <v/>
      </c>
      <c r="U935" s="13" t="str">
        <f>IF($A935="","",[1]!thsiFinD("ths_adjustment_nv_fund",U$3,$A935))</f>
        <v/>
      </c>
      <c r="V935" s="13" t="str">
        <f>IF($A935="","",[1]!thsiFinD("ths_adjustment_nv_fund",V$3,$A935))</f>
        <v/>
      </c>
      <c r="W935" s="13" t="str">
        <f>IF($A935="","",[1]!thsiFinD("ths_adjustment_nv_fund",W$3,$A935))</f>
        <v/>
      </c>
      <c r="X935" s="13" t="str">
        <f>IF($A935="","",[1]!thsiFinD("ths_adjustment_nv_fund",X$3,$A935))</f>
        <v/>
      </c>
      <c r="Y935" s="13" t="str">
        <f>IF($A935="","",[1]!thsiFinD("ths_adjustment_nv_fund",Y$3,$A935))</f>
        <v/>
      </c>
      <c r="Z935" s="13" t="str">
        <f>IF($A935="","",[1]!thsiFinD("ths_adjustment_nv_fund",Z$3,$A935))</f>
        <v/>
      </c>
      <c r="AA935" s="13" t="str">
        <f>IF($A935="","",[1]!thsiFinD("ths_adjustment_nv_fund",AA$3,$A935))</f>
        <v/>
      </c>
      <c r="AB935" s="13">
        <f>IF($A935="","",[1]!thsiFinD("ths_adjustment_nv_fund",AB$3,$A935))</f>
        <v/>
      </c>
      <c r="AC935" s="13">
        <f>IF($A935="","",[1]!thsiFinD("ths_adjustment_nv_fund",AC$3,$A935))</f>
        <v/>
      </c>
      <c r="AD935" s="13">
        <f>IF($A935="","",[1]!thsiFinD("ths_adjustment_nv_fund",AD$3,$A935))</f>
        <v/>
      </c>
      <c r="AE935" s="13">
        <f>IF($A935="","",[1]!thsiFinD("ths_adjustment_nv_fund",AE$3,$A935))</f>
        <v/>
      </c>
      <c r="AF935" s="13">
        <f>IF($A935="","",[1]!thsiFinD("ths_adjustment_nv_fund",AF$3,$A935))</f>
        <v/>
      </c>
      <c r="AG935" s="13">
        <f>IF($A935="","",[1]!thsiFinD("ths_adjustment_nv_fund",AG$3,$A935))</f>
        <v/>
      </c>
      <c r="AH935" s="13">
        <f>IF($A935="","",[1]!thsiFinD("ths_adjustment_nv_fund",AH$3,$A935))</f>
        <v/>
      </c>
      <c r="AI935" s="13">
        <f>IF($A935="","",[1]!thsiFinD("ths_adjustment_nv_fund",AI$3,$A935))</f>
        <v/>
      </c>
      <c r="AJ935" s="13">
        <f>IF($A935="","",[1]!thsiFinD("ths_adjustment_nv_fund",AJ$3,$A935))</f>
        <v/>
      </c>
      <c r="AK935" s="13">
        <f>IF($A935="","",[1]!thsiFinD("ths_adjustment_nv_fund",AK$3,$A935))</f>
        <v/>
      </c>
      <c r="AL935" s="13">
        <f>IF($A935="","",[1]!thsiFinD("ths_adjustment_nv_fund",AL$3,$A935))</f>
        <v/>
      </c>
    </row>
    <row r="936" spans="2:28">
      <c r="B936" s="13" t="str">
        <f>IF($A936="","",[1]!thsiFinD("ths_adjustment_nv_fund",B$3,$A936))</f>
        <v/>
      </c>
      <c r="C936" s="13" t="str">
        <f>IF($A936="","",[1]!thsiFinD("ths_adjustment_nv_fund",C$3,$A936))</f>
        <v/>
      </c>
      <c r="D936" s="13" t="str">
        <f>IF($A936="","",[1]!thsiFinD("ths_adjustment_nv_fund",D$3,$A936))</f>
        <v/>
      </c>
      <c r="E936" s="13" t="str">
        <f>IF($A936="","",[1]!thsiFinD("ths_adjustment_nv_fund",E$3,$A936))</f>
        <v/>
      </c>
      <c r="F936" s="13" t="str">
        <f>IF($A936="","",[1]!thsiFinD("ths_adjustment_nv_fund",F$3,$A936))</f>
        <v/>
      </c>
      <c r="G936" s="13" t="str">
        <f>IF($A936="","",[1]!thsiFinD("ths_adjustment_nv_fund",G$3,$A936))</f>
        <v/>
      </c>
      <c r="H936" s="13" t="str">
        <f>IF($A936="","",[1]!thsiFinD("ths_adjustment_nv_fund",H$3,$A936))</f>
        <v/>
      </c>
      <c r="I936" s="13" t="str">
        <f>IF($A936="","",[1]!thsiFinD("ths_adjustment_nv_fund",I$3,$A936))</f>
        <v/>
      </c>
      <c r="J936" s="13" t="str">
        <f>IF($A936="","",[1]!thsiFinD("ths_adjustment_nv_fund",J$3,$A936))</f>
        <v/>
      </c>
      <c r="K936" s="13" t="str">
        <f>IF($A936="","",[1]!thsiFinD("ths_adjustment_nv_fund",K$3,$A936))</f>
        <v/>
      </c>
      <c r="L936" s="13" t="str">
        <f>IF($A936="","",[1]!thsiFinD("ths_adjustment_nv_fund",L$3,$A936))</f>
        <v/>
      </c>
      <c r="M936" s="13" t="str">
        <f>IF($A936="","",[1]!thsiFinD("ths_adjustment_nv_fund",M$3,$A936))</f>
        <v/>
      </c>
      <c r="N936" s="13" t="str">
        <f>IF($A936="","",[1]!thsiFinD("ths_adjustment_nv_fund",N$3,$A936))</f>
        <v/>
      </c>
      <c r="O936" s="13" t="str">
        <f>IF($A936="","",[1]!thsiFinD("ths_adjustment_nv_fund",O$3,$A936))</f>
        <v/>
      </c>
      <c r="P936" s="13" t="str">
        <f>IF($A936="","",[1]!thsiFinD("ths_adjustment_nv_fund",P$3,$A936))</f>
        <v/>
      </c>
      <c r="Q936" s="13" t="str">
        <f>IF($A936="","",[1]!thsiFinD("ths_adjustment_nv_fund",Q$3,$A936))</f>
        <v/>
      </c>
      <c r="R936" s="13" t="str">
        <f>IF($A936="","",[1]!thsiFinD("ths_adjustment_nv_fund",R$3,$A936))</f>
        <v/>
      </c>
      <c r="S936" s="13" t="str">
        <f>IF($A936="","",[1]!thsiFinD("ths_adjustment_nv_fund",S$3,$A936))</f>
        <v/>
      </c>
      <c r="T936" s="13" t="str">
        <f>IF($A936="","",[1]!thsiFinD("ths_adjustment_nv_fund",T$3,$A936))</f>
        <v/>
      </c>
      <c r="U936" s="13" t="str">
        <f>IF($A936="","",[1]!thsiFinD("ths_adjustment_nv_fund",U$3,$A936))</f>
        <v/>
      </c>
      <c r="V936" s="13" t="str">
        <f>IF($A936="","",[1]!thsiFinD("ths_adjustment_nv_fund",V$3,$A936))</f>
        <v/>
      </c>
      <c r="W936" s="13" t="str">
        <f>IF($A936="","",[1]!thsiFinD("ths_adjustment_nv_fund",W$3,$A936))</f>
        <v/>
      </c>
      <c r="X936" s="13" t="str">
        <f>IF($A936="","",[1]!thsiFinD("ths_adjustment_nv_fund",X$3,$A936))</f>
        <v/>
      </c>
      <c r="Y936" s="13" t="str">
        <f>IF($A936="","",[1]!thsiFinD("ths_adjustment_nv_fund",Y$3,$A936))</f>
        <v/>
      </c>
      <c r="Z936" s="13" t="str">
        <f>IF($A936="","",[1]!thsiFinD("ths_adjustment_nv_fund",Z$3,$A936))</f>
        <v/>
      </c>
      <c r="AA936" s="13" t="str">
        <f>IF($A936="","",[1]!thsiFinD("ths_adjustment_nv_fund",AA$3,$A936))</f>
        <v/>
      </c>
      <c r="AB936" s="13">
        <f>IF($A936="","",[1]!thsiFinD("ths_adjustment_nv_fund",AB$3,$A936))</f>
        <v/>
      </c>
      <c r="AC936" s="13">
        <f>IF($A936="","",[1]!thsiFinD("ths_adjustment_nv_fund",AC$3,$A936))</f>
        <v/>
      </c>
      <c r="AD936" s="13">
        <f>IF($A936="","",[1]!thsiFinD("ths_adjustment_nv_fund",AD$3,$A936))</f>
        <v/>
      </c>
      <c r="AE936" s="13">
        <f>IF($A936="","",[1]!thsiFinD("ths_adjustment_nv_fund",AE$3,$A936))</f>
        <v/>
      </c>
      <c r="AF936" s="13">
        <f>IF($A936="","",[1]!thsiFinD("ths_adjustment_nv_fund",AF$3,$A936))</f>
        <v/>
      </c>
      <c r="AG936" s="13">
        <f>IF($A936="","",[1]!thsiFinD("ths_adjustment_nv_fund",AG$3,$A936))</f>
        <v/>
      </c>
      <c r="AH936" s="13">
        <f>IF($A936="","",[1]!thsiFinD("ths_adjustment_nv_fund",AH$3,$A936))</f>
        <v/>
      </c>
      <c r="AI936" s="13">
        <f>IF($A936="","",[1]!thsiFinD("ths_adjustment_nv_fund",AI$3,$A936))</f>
        <v/>
      </c>
      <c r="AJ936" s="13">
        <f>IF($A936="","",[1]!thsiFinD("ths_adjustment_nv_fund",AJ$3,$A936))</f>
        <v/>
      </c>
      <c r="AK936" s="13">
        <f>IF($A936="","",[1]!thsiFinD("ths_adjustment_nv_fund",AK$3,$A936))</f>
        <v/>
      </c>
      <c r="AL936" s="13">
        <f>IF($A936="","",[1]!thsiFinD("ths_adjustment_nv_fund",AL$3,$A936))</f>
        <v/>
      </c>
    </row>
    <row r="937" spans="2:28">
      <c r="B937" s="13" t="str">
        <f>IF($A937="","",[1]!thsiFinD("ths_adjustment_nv_fund",B$3,$A937))</f>
        <v/>
      </c>
      <c r="C937" s="13" t="str">
        <f>IF($A937="","",[1]!thsiFinD("ths_adjustment_nv_fund",C$3,$A937))</f>
        <v/>
      </c>
      <c r="D937" s="13" t="str">
        <f>IF($A937="","",[1]!thsiFinD("ths_adjustment_nv_fund",D$3,$A937))</f>
        <v/>
      </c>
      <c r="E937" s="13" t="str">
        <f>IF($A937="","",[1]!thsiFinD("ths_adjustment_nv_fund",E$3,$A937))</f>
        <v/>
      </c>
      <c r="F937" s="13" t="str">
        <f>IF($A937="","",[1]!thsiFinD("ths_adjustment_nv_fund",F$3,$A937))</f>
        <v/>
      </c>
      <c r="G937" s="13" t="str">
        <f>IF($A937="","",[1]!thsiFinD("ths_adjustment_nv_fund",G$3,$A937))</f>
        <v/>
      </c>
      <c r="H937" s="13" t="str">
        <f>IF($A937="","",[1]!thsiFinD("ths_adjustment_nv_fund",H$3,$A937))</f>
        <v/>
      </c>
      <c r="I937" s="13" t="str">
        <f>IF($A937="","",[1]!thsiFinD("ths_adjustment_nv_fund",I$3,$A937))</f>
        <v/>
      </c>
      <c r="J937" s="13" t="str">
        <f>IF($A937="","",[1]!thsiFinD("ths_adjustment_nv_fund",J$3,$A937))</f>
        <v/>
      </c>
      <c r="K937" s="13" t="str">
        <f>IF($A937="","",[1]!thsiFinD("ths_adjustment_nv_fund",K$3,$A937))</f>
        <v/>
      </c>
      <c r="L937" s="13" t="str">
        <f>IF($A937="","",[1]!thsiFinD("ths_adjustment_nv_fund",L$3,$A937))</f>
        <v/>
      </c>
      <c r="M937" s="13" t="str">
        <f>IF($A937="","",[1]!thsiFinD("ths_adjustment_nv_fund",M$3,$A937))</f>
        <v/>
      </c>
      <c r="N937" s="13" t="str">
        <f>IF($A937="","",[1]!thsiFinD("ths_adjustment_nv_fund",N$3,$A937))</f>
        <v/>
      </c>
      <c r="O937" s="13" t="str">
        <f>IF($A937="","",[1]!thsiFinD("ths_adjustment_nv_fund",O$3,$A937))</f>
        <v/>
      </c>
      <c r="P937" s="13" t="str">
        <f>IF($A937="","",[1]!thsiFinD("ths_adjustment_nv_fund",P$3,$A937))</f>
        <v/>
      </c>
      <c r="Q937" s="13" t="str">
        <f>IF($A937="","",[1]!thsiFinD("ths_adjustment_nv_fund",Q$3,$A937))</f>
        <v/>
      </c>
      <c r="R937" s="13" t="str">
        <f>IF($A937="","",[1]!thsiFinD("ths_adjustment_nv_fund",R$3,$A937))</f>
        <v/>
      </c>
      <c r="S937" s="13" t="str">
        <f>IF($A937="","",[1]!thsiFinD("ths_adjustment_nv_fund",S$3,$A937))</f>
        <v/>
      </c>
      <c r="T937" s="13" t="str">
        <f>IF($A937="","",[1]!thsiFinD("ths_adjustment_nv_fund",T$3,$A937))</f>
        <v/>
      </c>
      <c r="U937" s="13" t="str">
        <f>IF($A937="","",[1]!thsiFinD("ths_adjustment_nv_fund",U$3,$A937))</f>
        <v/>
      </c>
      <c r="V937" s="13" t="str">
        <f>IF($A937="","",[1]!thsiFinD("ths_adjustment_nv_fund",V$3,$A937))</f>
        <v/>
      </c>
      <c r="W937" s="13" t="str">
        <f>IF($A937="","",[1]!thsiFinD("ths_adjustment_nv_fund",W$3,$A937))</f>
        <v/>
      </c>
      <c r="X937" s="13" t="str">
        <f>IF($A937="","",[1]!thsiFinD("ths_adjustment_nv_fund",X$3,$A937))</f>
        <v/>
      </c>
      <c r="Y937" s="13" t="str">
        <f>IF($A937="","",[1]!thsiFinD("ths_adjustment_nv_fund",Y$3,$A937))</f>
        <v/>
      </c>
      <c r="Z937" s="13" t="str">
        <f>IF($A937="","",[1]!thsiFinD("ths_adjustment_nv_fund",Z$3,$A937))</f>
        <v/>
      </c>
      <c r="AA937" s="13" t="str">
        <f>IF($A937="","",[1]!thsiFinD("ths_adjustment_nv_fund",AA$3,$A937))</f>
        <v/>
      </c>
      <c r="AB937" s="13">
        <f>IF($A937="","",[1]!thsiFinD("ths_adjustment_nv_fund",AB$3,$A937))</f>
        <v/>
      </c>
      <c r="AC937" s="13">
        <f>IF($A937="","",[1]!thsiFinD("ths_adjustment_nv_fund",AC$3,$A937))</f>
        <v/>
      </c>
      <c r="AD937" s="13">
        <f>IF($A937="","",[1]!thsiFinD("ths_adjustment_nv_fund",AD$3,$A937))</f>
        <v/>
      </c>
      <c r="AE937" s="13">
        <f>IF($A937="","",[1]!thsiFinD("ths_adjustment_nv_fund",AE$3,$A937))</f>
        <v/>
      </c>
      <c r="AF937" s="13">
        <f>IF($A937="","",[1]!thsiFinD("ths_adjustment_nv_fund",AF$3,$A937))</f>
        <v/>
      </c>
      <c r="AG937" s="13">
        <f>IF($A937="","",[1]!thsiFinD("ths_adjustment_nv_fund",AG$3,$A937))</f>
        <v/>
      </c>
      <c r="AH937" s="13">
        <f>IF($A937="","",[1]!thsiFinD("ths_adjustment_nv_fund",AH$3,$A937))</f>
        <v/>
      </c>
      <c r="AI937" s="13">
        <f>IF($A937="","",[1]!thsiFinD("ths_adjustment_nv_fund",AI$3,$A937))</f>
        <v/>
      </c>
      <c r="AJ937" s="13">
        <f>IF($A937="","",[1]!thsiFinD("ths_adjustment_nv_fund",AJ$3,$A937))</f>
        <v/>
      </c>
      <c r="AK937" s="13">
        <f>IF($A937="","",[1]!thsiFinD("ths_adjustment_nv_fund",AK$3,$A937))</f>
        <v/>
      </c>
      <c r="AL937" s="13">
        <f>IF($A937="","",[1]!thsiFinD("ths_adjustment_nv_fund",AL$3,$A937))</f>
        <v/>
      </c>
    </row>
    <row r="938" spans="2:28">
      <c r="B938" s="13" t="str">
        <f>IF($A938="","",[1]!thsiFinD("ths_adjustment_nv_fund",B$3,$A938))</f>
        <v/>
      </c>
      <c r="C938" s="13" t="str">
        <f>IF($A938="","",[1]!thsiFinD("ths_adjustment_nv_fund",C$3,$A938))</f>
        <v/>
      </c>
      <c r="D938" s="13" t="str">
        <f>IF($A938="","",[1]!thsiFinD("ths_adjustment_nv_fund",D$3,$A938))</f>
        <v/>
      </c>
      <c r="E938" s="13" t="str">
        <f>IF($A938="","",[1]!thsiFinD("ths_adjustment_nv_fund",E$3,$A938))</f>
        <v/>
      </c>
      <c r="F938" s="13" t="str">
        <f>IF($A938="","",[1]!thsiFinD("ths_adjustment_nv_fund",F$3,$A938))</f>
        <v/>
      </c>
      <c r="G938" s="13" t="str">
        <f>IF($A938="","",[1]!thsiFinD("ths_adjustment_nv_fund",G$3,$A938))</f>
        <v/>
      </c>
      <c r="H938" s="13" t="str">
        <f>IF($A938="","",[1]!thsiFinD("ths_adjustment_nv_fund",H$3,$A938))</f>
        <v/>
      </c>
      <c r="I938" s="13" t="str">
        <f>IF($A938="","",[1]!thsiFinD("ths_adjustment_nv_fund",I$3,$A938))</f>
        <v/>
      </c>
      <c r="J938" s="13" t="str">
        <f>IF($A938="","",[1]!thsiFinD("ths_adjustment_nv_fund",J$3,$A938))</f>
        <v/>
      </c>
      <c r="K938" s="13" t="str">
        <f>IF($A938="","",[1]!thsiFinD("ths_adjustment_nv_fund",K$3,$A938))</f>
        <v/>
      </c>
      <c r="L938" s="13" t="str">
        <f>IF($A938="","",[1]!thsiFinD("ths_adjustment_nv_fund",L$3,$A938))</f>
        <v/>
      </c>
      <c r="M938" s="13" t="str">
        <f>IF($A938="","",[1]!thsiFinD("ths_adjustment_nv_fund",M$3,$A938))</f>
        <v/>
      </c>
      <c r="N938" s="13" t="str">
        <f>IF($A938="","",[1]!thsiFinD("ths_adjustment_nv_fund",N$3,$A938))</f>
        <v/>
      </c>
      <c r="O938" s="13" t="str">
        <f>IF($A938="","",[1]!thsiFinD("ths_adjustment_nv_fund",O$3,$A938))</f>
        <v/>
      </c>
      <c r="P938" s="13" t="str">
        <f>IF($A938="","",[1]!thsiFinD("ths_adjustment_nv_fund",P$3,$A938))</f>
        <v/>
      </c>
      <c r="Q938" s="13" t="str">
        <f>IF($A938="","",[1]!thsiFinD("ths_adjustment_nv_fund",Q$3,$A938))</f>
        <v/>
      </c>
      <c r="R938" s="13" t="str">
        <f>IF($A938="","",[1]!thsiFinD("ths_adjustment_nv_fund",R$3,$A938))</f>
        <v/>
      </c>
      <c r="S938" s="13" t="str">
        <f>IF($A938="","",[1]!thsiFinD("ths_adjustment_nv_fund",S$3,$A938))</f>
        <v/>
      </c>
      <c r="T938" s="13" t="str">
        <f>IF($A938="","",[1]!thsiFinD("ths_adjustment_nv_fund",T$3,$A938))</f>
        <v/>
      </c>
      <c r="U938" s="13" t="str">
        <f>IF($A938="","",[1]!thsiFinD("ths_adjustment_nv_fund",U$3,$A938))</f>
        <v/>
      </c>
      <c r="V938" s="13" t="str">
        <f>IF($A938="","",[1]!thsiFinD("ths_adjustment_nv_fund",V$3,$A938))</f>
        <v/>
      </c>
      <c r="W938" s="13" t="str">
        <f>IF($A938="","",[1]!thsiFinD("ths_adjustment_nv_fund",W$3,$A938))</f>
        <v/>
      </c>
      <c r="X938" s="13" t="str">
        <f>IF($A938="","",[1]!thsiFinD("ths_adjustment_nv_fund",X$3,$A938))</f>
        <v/>
      </c>
      <c r="Y938" s="13" t="str">
        <f>IF($A938="","",[1]!thsiFinD("ths_adjustment_nv_fund",Y$3,$A938))</f>
        <v/>
      </c>
      <c r="Z938" s="13" t="str">
        <f>IF($A938="","",[1]!thsiFinD("ths_adjustment_nv_fund",Z$3,$A938))</f>
        <v/>
      </c>
      <c r="AA938" s="13" t="str">
        <f>IF($A938="","",[1]!thsiFinD("ths_adjustment_nv_fund",AA$3,$A938))</f>
        <v/>
      </c>
      <c r="AB938" s="13">
        <f>IF($A938="","",[1]!thsiFinD("ths_adjustment_nv_fund",AB$3,$A938))</f>
        <v/>
      </c>
      <c r="AC938" s="13">
        <f>IF($A938="","",[1]!thsiFinD("ths_adjustment_nv_fund",AC$3,$A938))</f>
        <v/>
      </c>
      <c r="AD938" s="13">
        <f>IF($A938="","",[1]!thsiFinD("ths_adjustment_nv_fund",AD$3,$A938))</f>
        <v/>
      </c>
      <c r="AE938" s="13">
        <f>IF($A938="","",[1]!thsiFinD("ths_adjustment_nv_fund",AE$3,$A938))</f>
        <v/>
      </c>
      <c r="AF938" s="13">
        <f>IF($A938="","",[1]!thsiFinD("ths_adjustment_nv_fund",AF$3,$A938))</f>
        <v/>
      </c>
      <c r="AG938" s="13">
        <f>IF($A938="","",[1]!thsiFinD("ths_adjustment_nv_fund",AG$3,$A938))</f>
        <v/>
      </c>
      <c r="AH938" s="13">
        <f>IF($A938="","",[1]!thsiFinD("ths_adjustment_nv_fund",AH$3,$A938))</f>
        <v/>
      </c>
      <c r="AI938" s="13">
        <f>IF($A938="","",[1]!thsiFinD("ths_adjustment_nv_fund",AI$3,$A938))</f>
        <v/>
      </c>
      <c r="AJ938" s="13">
        <f>IF($A938="","",[1]!thsiFinD("ths_adjustment_nv_fund",AJ$3,$A938))</f>
        <v/>
      </c>
      <c r="AK938" s="13">
        <f>IF($A938="","",[1]!thsiFinD("ths_adjustment_nv_fund",AK$3,$A938))</f>
        <v/>
      </c>
      <c r="AL938" s="13">
        <f>IF($A938="","",[1]!thsiFinD("ths_adjustment_nv_fund",AL$3,$A938))</f>
        <v/>
      </c>
    </row>
    <row r="939" spans="2:28">
      <c r="B939" s="13" t="str">
        <f>IF($A939="","",[1]!thsiFinD("ths_adjustment_nv_fund",B$3,$A939))</f>
        <v/>
      </c>
      <c r="C939" s="13" t="str">
        <f>IF($A939="","",[1]!thsiFinD("ths_adjustment_nv_fund",C$3,$A939))</f>
        <v/>
      </c>
      <c r="D939" s="13" t="str">
        <f>IF($A939="","",[1]!thsiFinD("ths_adjustment_nv_fund",D$3,$A939))</f>
        <v/>
      </c>
      <c r="E939" s="13" t="str">
        <f>IF($A939="","",[1]!thsiFinD("ths_adjustment_nv_fund",E$3,$A939))</f>
        <v/>
      </c>
      <c r="F939" s="13" t="str">
        <f>IF($A939="","",[1]!thsiFinD("ths_adjustment_nv_fund",F$3,$A939))</f>
        <v/>
      </c>
      <c r="G939" s="13" t="str">
        <f>IF($A939="","",[1]!thsiFinD("ths_adjustment_nv_fund",G$3,$A939))</f>
        <v/>
      </c>
      <c r="H939" s="13" t="str">
        <f>IF($A939="","",[1]!thsiFinD("ths_adjustment_nv_fund",H$3,$A939))</f>
        <v/>
      </c>
      <c r="I939" s="13" t="str">
        <f>IF($A939="","",[1]!thsiFinD("ths_adjustment_nv_fund",I$3,$A939))</f>
        <v/>
      </c>
      <c r="J939" s="13" t="str">
        <f>IF($A939="","",[1]!thsiFinD("ths_adjustment_nv_fund",J$3,$A939))</f>
        <v/>
      </c>
      <c r="K939" s="13" t="str">
        <f>IF($A939="","",[1]!thsiFinD("ths_adjustment_nv_fund",K$3,$A939))</f>
        <v/>
      </c>
      <c r="L939" s="13" t="str">
        <f>IF($A939="","",[1]!thsiFinD("ths_adjustment_nv_fund",L$3,$A939))</f>
        <v/>
      </c>
      <c r="M939" s="13" t="str">
        <f>IF($A939="","",[1]!thsiFinD("ths_adjustment_nv_fund",M$3,$A939))</f>
        <v/>
      </c>
      <c r="N939" s="13" t="str">
        <f>IF($A939="","",[1]!thsiFinD("ths_adjustment_nv_fund",N$3,$A939))</f>
        <v/>
      </c>
      <c r="O939" s="13" t="str">
        <f>IF($A939="","",[1]!thsiFinD("ths_adjustment_nv_fund",O$3,$A939))</f>
        <v/>
      </c>
      <c r="P939" s="13" t="str">
        <f>IF($A939="","",[1]!thsiFinD("ths_adjustment_nv_fund",P$3,$A939))</f>
        <v/>
      </c>
      <c r="Q939" s="13" t="str">
        <f>IF($A939="","",[1]!thsiFinD("ths_adjustment_nv_fund",Q$3,$A939))</f>
        <v/>
      </c>
      <c r="R939" s="13" t="str">
        <f>IF($A939="","",[1]!thsiFinD("ths_adjustment_nv_fund",R$3,$A939))</f>
        <v/>
      </c>
      <c r="S939" s="13" t="str">
        <f>IF($A939="","",[1]!thsiFinD("ths_adjustment_nv_fund",S$3,$A939))</f>
        <v/>
      </c>
      <c r="T939" s="13" t="str">
        <f>IF($A939="","",[1]!thsiFinD("ths_adjustment_nv_fund",T$3,$A939))</f>
        <v/>
      </c>
      <c r="U939" s="13" t="str">
        <f>IF($A939="","",[1]!thsiFinD("ths_adjustment_nv_fund",U$3,$A939))</f>
        <v/>
      </c>
      <c r="V939" s="13" t="str">
        <f>IF($A939="","",[1]!thsiFinD("ths_adjustment_nv_fund",V$3,$A939))</f>
        <v/>
      </c>
      <c r="W939" s="13" t="str">
        <f>IF($A939="","",[1]!thsiFinD("ths_adjustment_nv_fund",W$3,$A939))</f>
        <v/>
      </c>
      <c r="X939" s="13" t="str">
        <f>IF($A939="","",[1]!thsiFinD("ths_adjustment_nv_fund",X$3,$A939))</f>
        <v/>
      </c>
      <c r="Y939" s="13" t="str">
        <f>IF($A939="","",[1]!thsiFinD("ths_adjustment_nv_fund",Y$3,$A939))</f>
        <v/>
      </c>
      <c r="Z939" s="13" t="str">
        <f>IF($A939="","",[1]!thsiFinD("ths_adjustment_nv_fund",Z$3,$A939))</f>
        <v/>
      </c>
      <c r="AA939" s="13" t="str">
        <f>IF($A939="","",[1]!thsiFinD("ths_adjustment_nv_fund",AA$3,$A939))</f>
        <v/>
      </c>
      <c r="AB939" s="13">
        <f>IF($A939="","",[1]!thsiFinD("ths_adjustment_nv_fund",AB$3,$A939))</f>
        <v/>
      </c>
      <c r="AC939" s="13">
        <f>IF($A939="","",[1]!thsiFinD("ths_adjustment_nv_fund",AC$3,$A939))</f>
        <v/>
      </c>
      <c r="AD939" s="13">
        <f>IF($A939="","",[1]!thsiFinD("ths_adjustment_nv_fund",AD$3,$A939))</f>
        <v/>
      </c>
      <c r="AE939" s="13">
        <f>IF($A939="","",[1]!thsiFinD("ths_adjustment_nv_fund",AE$3,$A939))</f>
        <v/>
      </c>
      <c r="AF939" s="13">
        <f>IF($A939="","",[1]!thsiFinD("ths_adjustment_nv_fund",AF$3,$A939))</f>
        <v/>
      </c>
      <c r="AG939" s="13">
        <f>IF($A939="","",[1]!thsiFinD("ths_adjustment_nv_fund",AG$3,$A939))</f>
        <v/>
      </c>
      <c r="AH939" s="13">
        <f>IF($A939="","",[1]!thsiFinD("ths_adjustment_nv_fund",AH$3,$A939))</f>
        <v/>
      </c>
      <c r="AI939" s="13">
        <f>IF($A939="","",[1]!thsiFinD("ths_adjustment_nv_fund",AI$3,$A939))</f>
        <v/>
      </c>
      <c r="AJ939" s="13">
        <f>IF($A939="","",[1]!thsiFinD("ths_adjustment_nv_fund",AJ$3,$A939))</f>
        <v/>
      </c>
      <c r="AK939" s="13">
        <f>IF($A939="","",[1]!thsiFinD("ths_adjustment_nv_fund",AK$3,$A939))</f>
        <v/>
      </c>
      <c r="AL939" s="13">
        <f>IF($A939="","",[1]!thsiFinD("ths_adjustment_nv_fund",AL$3,$A939))</f>
        <v/>
      </c>
    </row>
    <row r="940" spans="2:28">
      <c r="B940" s="13" t="str">
        <f>IF($A940="","",[1]!thsiFinD("ths_adjustment_nv_fund",B$3,$A940))</f>
        <v/>
      </c>
      <c r="C940" s="13" t="str">
        <f>IF($A940="","",[1]!thsiFinD("ths_adjustment_nv_fund",C$3,$A940))</f>
        <v/>
      </c>
      <c r="D940" s="13" t="str">
        <f>IF($A940="","",[1]!thsiFinD("ths_adjustment_nv_fund",D$3,$A940))</f>
        <v/>
      </c>
      <c r="E940" s="13" t="str">
        <f>IF($A940="","",[1]!thsiFinD("ths_adjustment_nv_fund",E$3,$A940))</f>
        <v/>
      </c>
      <c r="F940" s="13" t="str">
        <f>IF($A940="","",[1]!thsiFinD("ths_adjustment_nv_fund",F$3,$A940))</f>
        <v/>
      </c>
      <c r="G940" s="13" t="str">
        <f>IF($A940="","",[1]!thsiFinD("ths_adjustment_nv_fund",G$3,$A940))</f>
        <v/>
      </c>
      <c r="H940" s="13" t="str">
        <f>IF($A940="","",[1]!thsiFinD("ths_adjustment_nv_fund",H$3,$A940))</f>
        <v/>
      </c>
      <c r="I940" s="13" t="str">
        <f>IF($A940="","",[1]!thsiFinD("ths_adjustment_nv_fund",I$3,$A940))</f>
        <v/>
      </c>
      <c r="J940" s="13" t="str">
        <f>IF($A940="","",[1]!thsiFinD("ths_adjustment_nv_fund",J$3,$A940))</f>
        <v/>
      </c>
      <c r="K940" s="13" t="str">
        <f>IF($A940="","",[1]!thsiFinD("ths_adjustment_nv_fund",K$3,$A940))</f>
        <v/>
      </c>
      <c r="L940" s="13" t="str">
        <f>IF($A940="","",[1]!thsiFinD("ths_adjustment_nv_fund",L$3,$A940))</f>
        <v/>
      </c>
      <c r="M940" s="13" t="str">
        <f>IF($A940="","",[1]!thsiFinD("ths_adjustment_nv_fund",M$3,$A940))</f>
        <v/>
      </c>
      <c r="N940" s="13" t="str">
        <f>IF($A940="","",[1]!thsiFinD("ths_adjustment_nv_fund",N$3,$A940))</f>
        <v/>
      </c>
      <c r="O940" s="13" t="str">
        <f>IF($A940="","",[1]!thsiFinD("ths_adjustment_nv_fund",O$3,$A940))</f>
        <v/>
      </c>
      <c r="P940" s="13" t="str">
        <f>IF($A940="","",[1]!thsiFinD("ths_adjustment_nv_fund",P$3,$A940))</f>
        <v/>
      </c>
      <c r="Q940" s="13" t="str">
        <f>IF($A940="","",[1]!thsiFinD("ths_adjustment_nv_fund",Q$3,$A940))</f>
        <v/>
      </c>
      <c r="R940" s="13" t="str">
        <f>IF($A940="","",[1]!thsiFinD("ths_adjustment_nv_fund",R$3,$A940))</f>
        <v/>
      </c>
      <c r="S940" s="13" t="str">
        <f>IF($A940="","",[1]!thsiFinD("ths_adjustment_nv_fund",S$3,$A940))</f>
        <v/>
      </c>
      <c r="T940" s="13" t="str">
        <f>IF($A940="","",[1]!thsiFinD("ths_adjustment_nv_fund",T$3,$A940))</f>
        <v/>
      </c>
      <c r="U940" s="13" t="str">
        <f>IF($A940="","",[1]!thsiFinD("ths_adjustment_nv_fund",U$3,$A940))</f>
        <v/>
      </c>
      <c r="V940" s="13" t="str">
        <f>IF($A940="","",[1]!thsiFinD("ths_adjustment_nv_fund",V$3,$A940))</f>
        <v/>
      </c>
      <c r="W940" s="13" t="str">
        <f>IF($A940="","",[1]!thsiFinD("ths_adjustment_nv_fund",W$3,$A940))</f>
        <v/>
      </c>
      <c r="X940" s="13" t="str">
        <f>IF($A940="","",[1]!thsiFinD("ths_adjustment_nv_fund",X$3,$A940))</f>
        <v/>
      </c>
      <c r="Y940" s="13" t="str">
        <f>IF($A940="","",[1]!thsiFinD("ths_adjustment_nv_fund",Y$3,$A940))</f>
        <v/>
      </c>
      <c r="Z940" s="13" t="str">
        <f>IF($A940="","",[1]!thsiFinD("ths_adjustment_nv_fund",Z$3,$A940))</f>
        <v/>
      </c>
      <c r="AA940" s="13" t="str">
        <f>IF($A940="","",[1]!thsiFinD("ths_adjustment_nv_fund",AA$3,$A940))</f>
        <v/>
      </c>
      <c r="AB940" s="13">
        <f>IF($A940="","",[1]!thsiFinD("ths_adjustment_nv_fund",AB$3,$A940))</f>
        <v/>
      </c>
      <c r="AC940" s="13">
        <f>IF($A940="","",[1]!thsiFinD("ths_adjustment_nv_fund",AC$3,$A940))</f>
        <v/>
      </c>
      <c r="AD940" s="13">
        <f>IF($A940="","",[1]!thsiFinD("ths_adjustment_nv_fund",AD$3,$A940))</f>
        <v/>
      </c>
      <c r="AE940" s="13">
        <f>IF($A940="","",[1]!thsiFinD("ths_adjustment_nv_fund",AE$3,$A940))</f>
        <v/>
      </c>
      <c r="AF940" s="13">
        <f>IF($A940="","",[1]!thsiFinD("ths_adjustment_nv_fund",AF$3,$A940))</f>
        <v/>
      </c>
      <c r="AG940" s="13">
        <f>IF($A940="","",[1]!thsiFinD("ths_adjustment_nv_fund",AG$3,$A940))</f>
        <v/>
      </c>
      <c r="AH940" s="13">
        <f>IF($A940="","",[1]!thsiFinD("ths_adjustment_nv_fund",AH$3,$A940))</f>
        <v/>
      </c>
      <c r="AI940" s="13">
        <f>IF($A940="","",[1]!thsiFinD("ths_adjustment_nv_fund",AI$3,$A940))</f>
        <v/>
      </c>
      <c r="AJ940" s="13">
        <f>IF($A940="","",[1]!thsiFinD("ths_adjustment_nv_fund",AJ$3,$A940))</f>
        <v/>
      </c>
      <c r="AK940" s="13">
        <f>IF($A940="","",[1]!thsiFinD("ths_adjustment_nv_fund",AK$3,$A940))</f>
        <v/>
      </c>
      <c r="AL940" s="13">
        <f>IF($A940="","",[1]!thsiFinD("ths_adjustment_nv_fund",AL$3,$A940))</f>
        <v/>
      </c>
    </row>
    <row r="941" spans="2:28">
      <c r="B941" s="13" t="str">
        <f>IF($A941="","",[1]!thsiFinD("ths_adjustment_nv_fund",B$3,$A941))</f>
        <v/>
      </c>
      <c r="C941" s="13" t="str">
        <f>IF($A941="","",[1]!thsiFinD("ths_adjustment_nv_fund",C$3,$A941))</f>
        <v/>
      </c>
      <c r="D941" s="13" t="str">
        <f>IF($A941="","",[1]!thsiFinD("ths_adjustment_nv_fund",D$3,$A941))</f>
        <v/>
      </c>
      <c r="E941" s="13" t="str">
        <f>IF($A941="","",[1]!thsiFinD("ths_adjustment_nv_fund",E$3,$A941))</f>
        <v/>
      </c>
      <c r="F941" s="13" t="str">
        <f>IF($A941="","",[1]!thsiFinD("ths_adjustment_nv_fund",F$3,$A941))</f>
        <v/>
      </c>
      <c r="G941" s="13" t="str">
        <f>IF($A941="","",[1]!thsiFinD("ths_adjustment_nv_fund",G$3,$A941))</f>
        <v/>
      </c>
      <c r="H941" s="13" t="str">
        <f>IF($A941="","",[1]!thsiFinD("ths_adjustment_nv_fund",H$3,$A941))</f>
        <v/>
      </c>
      <c r="I941" s="13" t="str">
        <f>IF($A941="","",[1]!thsiFinD("ths_adjustment_nv_fund",I$3,$A941))</f>
        <v/>
      </c>
      <c r="J941" s="13" t="str">
        <f>IF($A941="","",[1]!thsiFinD("ths_adjustment_nv_fund",J$3,$A941))</f>
        <v/>
      </c>
      <c r="K941" s="13" t="str">
        <f>IF($A941="","",[1]!thsiFinD("ths_adjustment_nv_fund",K$3,$A941))</f>
        <v/>
      </c>
      <c r="L941" s="13" t="str">
        <f>IF($A941="","",[1]!thsiFinD("ths_adjustment_nv_fund",L$3,$A941))</f>
        <v/>
      </c>
      <c r="M941" s="13" t="str">
        <f>IF($A941="","",[1]!thsiFinD("ths_adjustment_nv_fund",M$3,$A941))</f>
        <v/>
      </c>
      <c r="N941" s="13" t="str">
        <f>IF($A941="","",[1]!thsiFinD("ths_adjustment_nv_fund",N$3,$A941))</f>
        <v/>
      </c>
      <c r="O941" s="13" t="str">
        <f>IF($A941="","",[1]!thsiFinD("ths_adjustment_nv_fund",O$3,$A941))</f>
        <v/>
      </c>
      <c r="P941" s="13" t="str">
        <f>IF($A941="","",[1]!thsiFinD("ths_adjustment_nv_fund",P$3,$A941))</f>
        <v/>
      </c>
      <c r="Q941" s="13" t="str">
        <f>IF($A941="","",[1]!thsiFinD("ths_adjustment_nv_fund",Q$3,$A941))</f>
        <v/>
      </c>
      <c r="R941" s="13" t="str">
        <f>IF($A941="","",[1]!thsiFinD("ths_adjustment_nv_fund",R$3,$A941))</f>
        <v/>
      </c>
      <c r="S941" s="13" t="str">
        <f>IF($A941="","",[1]!thsiFinD("ths_adjustment_nv_fund",S$3,$A941))</f>
        <v/>
      </c>
      <c r="T941" s="13" t="str">
        <f>IF($A941="","",[1]!thsiFinD("ths_adjustment_nv_fund",T$3,$A941))</f>
        <v/>
      </c>
      <c r="U941" s="13" t="str">
        <f>IF($A941="","",[1]!thsiFinD("ths_adjustment_nv_fund",U$3,$A941))</f>
        <v/>
      </c>
      <c r="V941" s="13" t="str">
        <f>IF($A941="","",[1]!thsiFinD("ths_adjustment_nv_fund",V$3,$A941))</f>
        <v/>
      </c>
      <c r="W941" s="13" t="str">
        <f>IF($A941="","",[1]!thsiFinD("ths_adjustment_nv_fund",W$3,$A941))</f>
        <v/>
      </c>
      <c r="X941" s="13" t="str">
        <f>IF($A941="","",[1]!thsiFinD("ths_adjustment_nv_fund",X$3,$A941))</f>
        <v/>
      </c>
      <c r="Y941" s="13" t="str">
        <f>IF($A941="","",[1]!thsiFinD("ths_adjustment_nv_fund",Y$3,$A941))</f>
        <v/>
      </c>
      <c r="Z941" s="13" t="str">
        <f>IF($A941="","",[1]!thsiFinD("ths_adjustment_nv_fund",Z$3,$A941))</f>
        <v/>
      </c>
      <c r="AA941" s="13" t="str">
        <f>IF($A941="","",[1]!thsiFinD("ths_adjustment_nv_fund",AA$3,$A941))</f>
        <v/>
      </c>
      <c r="AB941" s="13">
        <f>IF($A941="","",[1]!thsiFinD("ths_adjustment_nv_fund",AB$3,$A941))</f>
        <v/>
      </c>
      <c r="AC941" s="13">
        <f>IF($A941="","",[1]!thsiFinD("ths_adjustment_nv_fund",AC$3,$A941))</f>
        <v/>
      </c>
      <c r="AD941" s="13">
        <f>IF($A941="","",[1]!thsiFinD("ths_adjustment_nv_fund",AD$3,$A941))</f>
        <v/>
      </c>
      <c r="AE941" s="13">
        <f>IF($A941="","",[1]!thsiFinD("ths_adjustment_nv_fund",AE$3,$A941))</f>
        <v/>
      </c>
      <c r="AF941" s="13">
        <f>IF($A941="","",[1]!thsiFinD("ths_adjustment_nv_fund",AF$3,$A941))</f>
        <v/>
      </c>
      <c r="AG941" s="13">
        <f>IF($A941="","",[1]!thsiFinD("ths_adjustment_nv_fund",AG$3,$A941))</f>
        <v/>
      </c>
      <c r="AH941" s="13">
        <f>IF($A941="","",[1]!thsiFinD("ths_adjustment_nv_fund",AH$3,$A941))</f>
        <v/>
      </c>
      <c r="AI941" s="13">
        <f>IF($A941="","",[1]!thsiFinD("ths_adjustment_nv_fund",AI$3,$A941))</f>
        <v/>
      </c>
      <c r="AJ941" s="13">
        <f>IF($A941="","",[1]!thsiFinD("ths_adjustment_nv_fund",AJ$3,$A941))</f>
        <v/>
      </c>
      <c r="AK941" s="13">
        <f>IF($A941="","",[1]!thsiFinD("ths_adjustment_nv_fund",AK$3,$A941))</f>
        <v/>
      </c>
      <c r="AL941" s="13">
        <f>IF($A941="","",[1]!thsiFinD("ths_adjustment_nv_fund",AL$3,$A941))</f>
        <v/>
      </c>
    </row>
    <row r="942" spans="2:28">
      <c r="B942" s="13" t="str">
        <f>IF($A942="","",[1]!thsiFinD("ths_adjustment_nv_fund",B$3,$A942))</f>
        <v/>
      </c>
      <c r="C942" s="13" t="str">
        <f>IF($A942="","",[1]!thsiFinD("ths_adjustment_nv_fund",C$3,$A942))</f>
        <v/>
      </c>
      <c r="D942" s="13" t="str">
        <f>IF($A942="","",[1]!thsiFinD("ths_adjustment_nv_fund",D$3,$A942))</f>
        <v/>
      </c>
      <c r="E942" s="13" t="str">
        <f>IF($A942="","",[1]!thsiFinD("ths_adjustment_nv_fund",E$3,$A942))</f>
        <v/>
      </c>
      <c r="F942" s="13" t="str">
        <f>IF($A942="","",[1]!thsiFinD("ths_adjustment_nv_fund",F$3,$A942))</f>
        <v/>
      </c>
      <c r="G942" s="13" t="str">
        <f>IF($A942="","",[1]!thsiFinD("ths_adjustment_nv_fund",G$3,$A942))</f>
        <v/>
      </c>
      <c r="H942" s="13" t="str">
        <f>IF($A942="","",[1]!thsiFinD("ths_adjustment_nv_fund",H$3,$A942))</f>
        <v/>
      </c>
      <c r="I942" s="13" t="str">
        <f>IF($A942="","",[1]!thsiFinD("ths_adjustment_nv_fund",I$3,$A942))</f>
        <v/>
      </c>
      <c r="J942" s="13" t="str">
        <f>IF($A942="","",[1]!thsiFinD("ths_adjustment_nv_fund",J$3,$A942))</f>
        <v/>
      </c>
      <c r="K942" s="13" t="str">
        <f>IF($A942="","",[1]!thsiFinD("ths_adjustment_nv_fund",K$3,$A942))</f>
        <v/>
      </c>
      <c r="L942" s="13" t="str">
        <f>IF($A942="","",[1]!thsiFinD("ths_adjustment_nv_fund",L$3,$A942))</f>
        <v/>
      </c>
      <c r="M942" s="13" t="str">
        <f>IF($A942="","",[1]!thsiFinD("ths_adjustment_nv_fund",M$3,$A942))</f>
        <v/>
      </c>
      <c r="N942" s="13" t="str">
        <f>IF($A942="","",[1]!thsiFinD("ths_adjustment_nv_fund",N$3,$A942))</f>
        <v/>
      </c>
      <c r="O942" s="13" t="str">
        <f>IF($A942="","",[1]!thsiFinD("ths_adjustment_nv_fund",O$3,$A942))</f>
        <v/>
      </c>
      <c r="P942" s="13" t="str">
        <f>IF($A942="","",[1]!thsiFinD("ths_adjustment_nv_fund",P$3,$A942))</f>
        <v/>
      </c>
      <c r="Q942" s="13" t="str">
        <f>IF($A942="","",[1]!thsiFinD("ths_adjustment_nv_fund",Q$3,$A942))</f>
        <v/>
      </c>
      <c r="R942" s="13" t="str">
        <f>IF($A942="","",[1]!thsiFinD("ths_adjustment_nv_fund",R$3,$A942))</f>
        <v/>
      </c>
      <c r="S942" s="13" t="str">
        <f>IF($A942="","",[1]!thsiFinD("ths_adjustment_nv_fund",S$3,$A942))</f>
        <v/>
      </c>
      <c r="T942" s="13" t="str">
        <f>IF($A942="","",[1]!thsiFinD("ths_adjustment_nv_fund",T$3,$A942))</f>
        <v/>
      </c>
      <c r="U942" s="13" t="str">
        <f>IF($A942="","",[1]!thsiFinD("ths_adjustment_nv_fund",U$3,$A942))</f>
        <v/>
      </c>
      <c r="V942" s="13" t="str">
        <f>IF($A942="","",[1]!thsiFinD("ths_adjustment_nv_fund",V$3,$A942))</f>
        <v/>
      </c>
      <c r="W942" s="13" t="str">
        <f>IF($A942="","",[1]!thsiFinD("ths_adjustment_nv_fund",W$3,$A942))</f>
        <v/>
      </c>
      <c r="X942" s="13" t="str">
        <f>IF($A942="","",[1]!thsiFinD("ths_adjustment_nv_fund",X$3,$A942))</f>
        <v/>
      </c>
      <c r="Y942" s="13" t="str">
        <f>IF($A942="","",[1]!thsiFinD("ths_adjustment_nv_fund",Y$3,$A942))</f>
        <v/>
      </c>
      <c r="Z942" s="13" t="str">
        <f>IF($A942="","",[1]!thsiFinD("ths_adjustment_nv_fund",Z$3,$A942))</f>
        <v/>
      </c>
      <c r="AA942" s="13" t="str">
        <f>IF($A942="","",[1]!thsiFinD("ths_adjustment_nv_fund",AA$3,$A942))</f>
        <v/>
      </c>
      <c r="AB942" s="13">
        <f>IF($A942="","",[1]!thsiFinD("ths_adjustment_nv_fund",AB$3,$A942))</f>
        <v/>
      </c>
      <c r="AC942" s="13">
        <f>IF($A942="","",[1]!thsiFinD("ths_adjustment_nv_fund",AC$3,$A942))</f>
        <v/>
      </c>
      <c r="AD942" s="13">
        <f>IF($A942="","",[1]!thsiFinD("ths_adjustment_nv_fund",AD$3,$A942))</f>
        <v/>
      </c>
      <c r="AE942" s="13">
        <f>IF($A942="","",[1]!thsiFinD("ths_adjustment_nv_fund",AE$3,$A942))</f>
        <v/>
      </c>
      <c r="AF942" s="13">
        <f>IF($A942="","",[1]!thsiFinD("ths_adjustment_nv_fund",AF$3,$A942))</f>
        <v/>
      </c>
      <c r="AG942" s="13">
        <f>IF($A942="","",[1]!thsiFinD("ths_adjustment_nv_fund",AG$3,$A942))</f>
        <v/>
      </c>
      <c r="AH942" s="13">
        <f>IF($A942="","",[1]!thsiFinD("ths_adjustment_nv_fund",AH$3,$A942))</f>
        <v/>
      </c>
      <c r="AI942" s="13">
        <f>IF($A942="","",[1]!thsiFinD("ths_adjustment_nv_fund",AI$3,$A942))</f>
        <v/>
      </c>
      <c r="AJ942" s="13">
        <f>IF($A942="","",[1]!thsiFinD("ths_adjustment_nv_fund",AJ$3,$A942))</f>
        <v/>
      </c>
      <c r="AK942" s="13">
        <f>IF($A942="","",[1]!thsiFinD("ths_adjustment_nv_fund",AK$3,$A942))</f>
        <v/>
      </c>
      <c r="AL942" s="13">
        <f>IF($A942="","",[1]!thsiFinD("ths_adjustment_nv_fund",AL$3,$A942))</f>
        <v/>
      </c>
    </row>
    <row r="943" spans="2:28">
      <c r="B943" s="13" t="str">
        <f>IF($A943="","",[1]!thsiFinD("ths_adjustment_nv_fund",B$3,$A943))</f>
        <v/>
      </c>
      <c r="C943" s="13" t="str">
        <f>IF($A943="","",[1]!thsiFinD("ths_adjustment_nv_fund",C$3,$A943))</f>
        <v/>
      </c>
      <c r="D943" s="13" t="str">
        <f>IF($A943="","",[1]!thsiFinD("ths_adjustment_nv_fund",D$3,$A943))</f>
        <v/>
      </c>
      <c r="E943" s="13" t="str">
        <f>IF($A943="","",[1]!thsiFinD("ths_adjustment_nv_fund",E$3,$A943))</f>
        <v/>
      </c>
      <c r="F943" s="13" t="str">
        <f>IF($A943="","",[1]!thsiFinD("ths_adjustment_nv_fund",F$3,$A943))</f>
        <v/>
      </c>
      <c r="G943" s="13" t="str">
        <f>IF($A943="","",[1]!thsiFinD("ths_adjustment_nv_fund",G$3,$A943))</f>
        <v/>
      </c>
      <c r="H943" s="13" t="str">
        <f>IF($A943="","",[1]!thsiFinD("ths_adjustment_nv_fund",H$3,$A943))</f>
        <v/>
      </c>
      <c r="I943" s="13" t="str">
        <f>IF($A943="","",[1]!thsiFinD("ths_adjustment_nv_fund",I$3,$A943))</f>
        <v/>
      </c>
      <c r="J943" s="13" t="str">
        <f>IF($A943="","",[1]!thsiFinD("ths_adjustment_nv_fund",J$3,$A943))</f>
        <v/>
      </c>
      <c r="K943" s="13" t="str">
        <f>IF($A943="","",[1]!thsiFinD("ths_adjustment_nv_fund",K$3,$A943))</f>
        <v/>
      </c>
      <c r="L943" s="13" t="str">
        <f>IF($A943="","",[1]!thsiFinD("ths_adjustment_nv_fund",L$3,$A943))</f>
        <v/>
      </c>
      <c r="M943" s="13" t="str">
        <f>IF($A943="","",[1]!thsiFinD("ths_adjustment_nv_fund",M$3,$A943))</f>
        <v/>
      </c>
      <c r="N943" s="13" t="str">
        <f>IF($A943="","",[1]!thsiFinD("ths_adjustment_nv_fund",N$3,$A943))</f>
        <v/>
      </c>
      <c r="O943" s="13" t="str">
        <f>IF($A943="","",[1]!thsiFinD("ths_adjustment_nv_fund",O$3,$A943))</f>
        <v/>
      </c>
      <c r="P943" s="13" t="str">
        <f>IF($A943="","",[1]!thsiFinD("ths_adjustment_nv_fund",P$3,$A943))</f>
        <v/>
      </c>
      <c r="Q943" s="13" t="str">
        <f>IF($A943="","",[1]!thsiFinD("ths_adjustment_nv_fund",Q$3,$A943))</f>
        <v/>
      </c>
      <c r="R943" s="13" t="str">
        <f>IF($A943="","",[1]!thsiFinD("ths_adjustment_nv_fund",R$3,$A943))</f>
        <v/>
      </c>
      <c r="S943" s="13" t="str">
        <f>IF($A943="","",[1]!thsiFinD("ths_adjustment_nv_fund",S$3,$A943))</f>
        <v/>
      </c>
      <c r="T943" s="13" t="str">
        <f>IF($A943="","",[1]!thsiFinD("ths_adjustment_nv_fund",T$3,$A943))</f>
        <v/>
      </c>
      <c r="U943" s="13" t="str">
        <f>IF($A943="","",[1]!thsiFinD("ths_adjustment_nv_fund",U$3,$A943))</f>
        <v/>
      </c>
      <c r="V943" s="13" t="str">
        <f>IF($A943="","",[1]!thsiFinD("ths_adjustment_nv_fund",V$3,$A943))</f>
        <v/>
      </c>
      <c r="W943" s="13" t="str">
        <f>IF($A943="","",[1]!thsiFinD("ths_adjustment_nv_fund",W$3,$A943))</f>
        <v/>
      </c>
      <c r="X943" s="13" t="str">
        <f>IF($A943="","",[1]!thsiFinD("ths_adjustment_nv_fund",X$3,$A943))</f>
        <v/>
      </c>
      <c r="Y943" s="13" t="str">
        <f>IF($A943="","",[1]!thsiFinD("ths_adjustment_nv_fund",Y$3,$A943))</f>
        <v/>
      </c>
      <c r="Z943" s="13" t="str">
        <f>IF($A943="","",[1]!thsiFinD("ths_adjustment_nv_fund",Z$3,$A943))</f>
        <v/>
      </c>
      <c r="AA943" s="13" t="str">
        <f>IF($A943="","",[1]!thsiFinD("ths_adjustment_nv_fund",AA$3,$A943))</f>
        <v/>
      </c>
      <c r="AB943" s="13">
        <f>IF($A943="","",[1]!thsiFinD("ths_adjustment_nv_fund",AB$3,$A943))</f>
        <v/>
      </c>
      <c r="AC943" s="13">
        <f>IF($A943="","",[1]!thsiFinD("ths_adjustment_nv_fund",AC$3,$A943))</f>
        <v/>
      </c>
      <c r="AD943" s="13">
        <f>IF($A943="","",[1]!thsiFinD("ths_adjustment_nv_fund",AD$3,$A943))</f>
        <v/>
      </c>
      <c r="AE943" s="13">
        <f>IF($A943="","",[1]!thsiFinD("ths_adjustment_nv_fund",AE$3,$A943))</f>
        <v/>
      </c>
      <c r="AF943" s="13">
        <f>IF($A943="","",[1]!thsiFinD("ths_adjustment_nv_fund",AF$3,$A943))</f>
        <v/>
      </c>
      <c r="AG943" s="13">
        <f>IF($A943="","",[1]!thsiFinD("ths_adjustment_nv_fund",AG$3,$A943))</f>
        <v/>
      </c>
      <c r="AH943" s="13">
        <f>IF($A943="","",[1]!thsiFinD("ths_adjustment_nv_fund",AH$3,$A943))</f>
        <v/>
      </c>
      <c r="AI943" s="13">
        <f>IF($A943="","",[1]!thsiFinD("ths_adjustment_nv_fund",AI$3,$A943))</f>
        <v/>
      </c>
      <c r="AJ943" s="13">
        <f>IF($A943="","",[1]!thsiFinD("ths_adjustment_nv_fund",AJ$3,$A943))</f>
        <v/>
      </c>
      <c r="AK943" s="13">
        <f>IF($A943="","",[1]!thsiFinD("ths_adjustment_nv_fund",AK$3,$A943))</f>
        <v/>
      </c>
      <c r="AL943" s="13">
        <f>IF($A943="","",[1]!thsiFinD("ths_adjustment_nv_fund",AL$3,$A943))</f>
        <v/>
      </c>
    </row>
    <row r="944" spans="2:28">
      <c r="B944" s="13" t="str">
        <f>IF($A944="","",[1]!thsiFinD("ths_adjustment_nv_fund",B$3,$A944))</f>
        <v/>
      </c>
      <c r="C944" s="13" t="str">
        <f>IF($A944="","",[1]!thsiFinD("ths_adjustment_nv_fund",C$3,$A944))</f>
        <v/>
      </c>
      <c r="D944" s="13" t="str">
        <f>IF($A944="","",[1]!thsiFinD("ths_adjustment_nv_fund",D$3,$A944))</f>
        <v/>
      </c>
      <c r="E944" s="13" t="str">
        <f>IF($A944="","",[1]!thsiFinD("ths_adjustment_nv_fund",E$3,$A944))</f>
        <v/>
      </c>
      <c r="F944" s="13" t="str">
        <f>IF($A944="","",[1]!thsiFinD("ths_adjustment_nv_fund",F$3,$A944))</f>
        <v/>
      </c>
      <c r="G944" s="13" t="str">
        <f>IF($A944="","",[1]!thsiFinD("ths_adjustment_nv_fund",G$3,$A944))</f>
        <v/>
      </c>
      <c r="H944" s="13" t="str">
        <f>IF($A944="","",[1]!thsiFinD("ths_adjustment_nv_fund",H$3,$A944))</f>
        <v/>
      </c>
      <c r="I944" s="13" t="str">
        <f>IF($A944="","",[1]!thsiFinD("ths_adjustment_nv_fund",I$3,$A944))</f>
        <v/>
      </c>
      <c r="J944" s="13" t="str">
        <f>IF($A944="","",[1]!thsiFinD("ths_adjustment_nv_fund",J$3,$A944))</f>
        <v/>
      </c>
      <c r="K944" s="13" t="str">
        <f>IF($A944="","",[1]!thsiFinD("ths_adjustment_nv_fund",K$3,$A944))</f>
        <v/>
      </c>
      <c r="L944" s="13" t="str">
        <f>IF($A944="","",[1]!thsiFinD("ths_adjustment_nv_fund",L$3,$A944))</f>
        <v/>
      </c>
      <c r="M944" s="13" t="str">
        <f>IF($A944="","",[1]!thsiFinD("ths_adjustment_nv_fund",M$3,$A944))</f>
        <v/>
      </c>
      <c r="N944" s="13" t="str">
        <f>IF($A944="","",[1]!thsiFinD("ths_adjustment_nv_fund",N$3,$A944))</f>
        <v/>
      </c>
      <c r="O944" s="13" t="str">
        <f>IF($A944="","",[1]!thsiFinD("ths_adjustment_nv_fund",O$3,$A944))</f>
        <v/>
      </c>
      <c r="P944" s="13" t="str">
        <f>IF($A944="","",[1]!thsiFinD("ths_adjustment_nv_fund",P$3,$A944))</f>
        <v/>
      </c>
      <c r="Q944" s="13" t="str">
        <f>IF($A944="","",[1]!thsiFinD("ths_adjustment_nv_fund",Q$3,$A944))</f>
        <v/>
      </c>
      <c r="R944" s="13" t="str">
        <f>IF($A944="","",[1]!thsiFinD("ths_adjustment_nv_fund",R$3,$A944))</f>
        <v/>
      </c>
      <c r="S944" s="13" t="str">
        <f>IF($A944="","",[1]!thsiFinD("ths_adjustment_nv_fund",S$3,$A944))</f>
        <v/>
      </c>
      <c r="T944" s="13" t="str">
        <f>IF($A944="","",[1]!thsiFinD("ths_adjustment_nv_fund",T$3,$A944))</f>
        <v/>
      </c>
      <c r="U944" s="13" t="str">
        <f>IF($A944="","",[1]!thsiFinD("ths_adjustment_nv_fund",U$3,$A944))</f>
        <v/>
      </c>
      <c r="V944" s="13" t="str">
        <f>IF($A944="","",[1]!thsiFinD("ths_adjustment_nv_fund",V$3,$A944))</f>
        <v/>
      </c>
      <c r="W944" s="13" t="str">
        <f>IF($A944="","",[1]!thsiFinD("ths_adjustment_nv_fund",W$3,$A944))</f>
        <v/>
      </c>
      <c r="X944" s="13" t="str">
        <f>IF($A944="","",[1]!thsiFinD("ths_adjustment_nv_fund",X$3,$A944))</f>
        <v/>
      </c>
      <c r="Y944" s="13" t="str">
        <f>IF($A944="","",[1]!thsiFinD("ths_adjustment_nv_fund",Y$3,$A944))</f>
        <v/>
      </c>
      <c r="Z944" s="13" t="str">
        <f>IF($A944="","",[1]!thsiFinD("ths_adjustment_nv_fund",Z$3,$A944))</f>
        <v/>
      </c>
      <c r="AA944" s="13" t="str">
        <f>IF($A944="","",[1]!thsiFinD("ths_adjustment_nv_fund",AA$3,$A944))</f>
        <v/>
      </c>
      <c r="AB944" s="13">
        <f>IF($A944="","",[1]!thsiFinD("ths_adjustment_nv_fund",AB$3,$A944))</f>
        <v/>
      </c>
      <c r="AC944" s="13">
        <f>IF($A944="","",[1]!thsiFinD("ths_adjustment_nv_fund",AC$3,$A944))</f>
        <v/>
      </c>
      <c r="AD944" s="13">
        <f>IF($A944="","",[1]!thsiFinD("ths_adjustment_nv_fund",AD$3,$A944))</f>
        <v/>
      </c>
      <c r="AE944" s="13">
        <f>IF($A944="","",[1]!thsiFinD("ths_adjustment_nv_fund",AE$3,$A944))</f>
        <v/>
      </c>
      <c r="AF944" s="13">
        <f>IF($A944="","",[1]!thsiFinD("ths_adjustment_nv_fund",AF$3,$A944))</f>
        <v/>
      </c>
      <c r="AG944" s="13">
        <f>IF($A944="","",[1]!thsiFinD("ths_adjustment_nv_fund",AG$3,$A944))</f>
        <v/>
      </c>
      <c r="AH944" s="13">
        <f>IF($A944="","",[1]!thsiFinD("ths_adjustment_nv_fund",AH$3,$A944))</f>
        <v/>
      </c>
      <c r="AI944" s="13">
        <f>IF($A944="","",[1]!thsiFinD("ths_adjustment_nv_fund",AI$3,$A944))</f>
        <v/>
      </c>
      <c r="AJ944" s="13">
        <f>IF($A944="","",[1]!thsiFinD("ths_adjustment_nv_fund",AJ$3,$A944))</f>
        <v/>
      </c>
      <c r="AK944" s="13">
        <f>IF($A944="","",[1]!thsiFinD("ths_adjustment_nv_fund",AK$3,$A944))</f>
        <v/>
      </c>
      <c r="AL944" s="13">
        <f>IF($A944="","",[1]!thsiFinD("ths_adjustment_nv_fund",AL$3,$A944))</f>
        <v/>
      </c>
    </row>
    <row r="945" spans="2:28">
      <c r="B945" s="13" t="str">
        <f>IF($A945="","",[1]!thsiFinD("ths_adjustment_nv_fund",B$3,$A945))</f>
        <v/>
      </c>
      <c r="C945" s="13" t="str">
        <f>IF($A945="","",[1]!thsiFinD("ths_adjustment_nv_fund",C$3,$A945))</f>
        <v/>
      </c>
      <c r="D945" s="13" t="str">
        <f>IF($A945="","",[1]!thsiFinD("ths_adjustment_nv_fund",D$3,$A945))</f>
        <v/>
      </c>
      <c r="E945" s="13" t="str">
        <f>IF($A945="","",[1]!thsiFinD("ths_adjustment_nv_fund",E$3,$A945))</f>
        <v/>
      </c>
      <c r="F945" s="13" t="str">
        <f>IF($A945="","",[1]!thsiFinD("ths_adjustment_nv_fund",F$3,$A945))</f>
        <v/>
      </c>
      <c r="G945" s="13" t="str">
        <f>IF($A945="","",[1]!thsiFinD("ths_adjustment_nv_fund",G$3,$A945))</f>
        <v/>
      </c>
      <c r="H945" s="13" t="str">
        <f>IF($A945="","",[1]!thsiFinD("ths_adjustment_nv_fund",H$3,$A945))</f>
        <v/>
      </c>
      <c r="I945" s="13" t="str">
        <f>IF($A945="","",[1]!thsiFinD("ths_adjustment_nv_fund",I$3,$A945))</f>
        <v/>
      </c>
      <c r="J945" s="13" t="str">
        <f>IF($A945="","",[1]!thsiFinD("ths_adjustment_nv_fund",J$3,$A945))</f>
        <v/>
      </c>
      <c r="K945" s="13" t="str">
        <f>IF($A945="","",[1]!thsiFinD("ths_adjustment_nv_fund",K$3,$A945))</f>
        <v/>
      </c>
      <c r="L945" s="13" t="str">
        <f>IF($A945="","",[1]!thsiFinD("ths_adjustment_nv_fund",L$3,$A945))</f>
        <v/>
      </c>
      <c r="M945" s="13" t="str">
        <f>IF($A945="","",[1]!thsiFinD("ths_adjustment_nv_fund",M$3,$A945))</f>
        <v/>
      </c>
      <c r="N945" s="13" t="str">
        <f>IF($A945="","",[1]!thsiFinD("ths_adjustment_nv_fund",N$3,$A945))</f>
        <v/>
      </c>
      <c r="O945" s="13" t="str">
        <f>IF($A945="","",[1]!thsiFinD("ths_adjustment_nv_fund",O$3,$A945))</f>
        <v/>
      </c>
      <c r="P945" s="13" t="str">
        <f>IF($A945="","",[1]!thsiFinD("ths_adjustment_nv_fund",P$3,$A945))</f>
        <v/>
      </c>
      <c r="Q945" s="13" t="str">
        <f>IF($A945="","",[1]!thsiFinD("ths_adjustment_nv_fund",Q$3,$A945))</f>
        <v/>
      </c>
      <c r="R945" s="13" t="str">
        <f>IF($A945="","",[1]!thsiFinD("ths_adjustment_nv_fund",R$3,$A945))</f>
        <v/>
      </c>
      <c r="S945" s="13" t="str">
        <f>IF($A945="","",[1]!thsiFinD("ths_adjustment_nv_fund",S$3,$A945))</f>
        <v/>
      </c>
      <c r="T945" s="13" t="str">
        <f>IF($A945="","",[1]!thsiFinD("ths_adjustment_nv_fund",T$3,$A945))</f>
        <v/>
      </c>
      <c r="U945" s="13" t="str">
        <f>IF($A945="","",[1]!thsiFinD("ths_adjustment_nv_fund",U$3,$A945))</f>
        <v/>
      </c>
      <c r="V945" s="13" t="str">
        <f>IF($A945="","",[1]!thsiFinD("ths_adjustment_nv_fund",V$3,$A945))</f>
        <v/>
      </c>
      <c r="W945" s="13" t="str">
        <f>IF($A945="","",[1]!thsiFinD("ths_adjustment_nv_fund",W$3,$A945))</f>
        <v/>
      </c>
      <c r="X945" s="13" t="str">
        <f>IF($A945="","",[1]!thsiFinD("ths_adjustment_nv_fund",X$3,$A945))</f>
        <v/>
      </c>
      <c r="Y945" s="13" t="str">
        <f>IF($A945="","",[1]!thsiFinD("ths_adjustment_nv_fund",Y$3,$A945))</f>
        <v/>
      </c>
      <c r="Z945" s="13" t="str">
        <f>IF($A945="","",[1]!thsiFinD("ths_adjustment_nv_fund",Z$3,$A945))</f>
        <v/>
      </c>
      <c r="AA945" s="13" t="str">
        <f>IF($A945="","",[1]!thsiFinD("ths_adjustment_nv_fund",AA$3,$A945))</f>
        <v/>
      </c>
      <c r="AB945" s="13">
        <f>IF($A945="","",[1]!thsiFinD("ths_adjustment_nv_fund",AB$3,$A945))</f>
        <v/>
      </c>
      <c r="AC945" s="13">
        <f>IF($A945="","",[1]!thsiFinD("ths_adjustment_nv_fund",AC$3,$A945))</f>
        <v/>
      </c>
      <c r="AD945" s="13">
        <f>IF($A945="","",[1]!thsiFinD("ths_adjustment_nv_fund",AD$3,$A945))</f>
        <v/>
      </c>
      <c r="AE945" s="13">
        <f>IF($A945="","",[1]!thsiFinD("ths_adjustment_nv_fund",AE$3,$A945))</f>
        <v/>
      </c>
      <c r="AF945" s="13">
        <f>IF($A945="","",[1]!thsiFinD("ths_adjustment_nv_fund",AF$3,$A945))</f>
        <v/>
      </c>
      <c r="AG945" s="13">
        <f>IF($A945="","",[1]!thsiFinD("ths_adjustment_nv_fund",AG$3,$A945))</f>
        <v/>
      </c>
      <c r="AH945" s="13">
        <f>IF($A945="","",[1]!thsiFinD("ths_adjustment_nv_fund",AH$3,$A945))</f>
        <v/>
      </c>
      <c r="AI945" s="13">
        <f>IF($A945="","",[1]!thsiFinD("ths_adjustment_nv_fund",AI$3,$A945))</f>
        <v/>
      </c>
      <c r="AJ945" s="13">
        <f>IF($A945="","",[1]!thsiFinD("ths_adjustment_nv_fund",AJ$3,$A945))</f>
        <v/>
      </c>
      <c r="AK945" s="13">
        <f>IF($A945="","",[1]!thsiFinD("ths_adjustment_nv_fund",AK$3,$A945))</f>
        <v/>
      </c>
      <c r="AL945" s="13">
        <f>IF($A945="","",[1]!thsiFinD("ths_adjustment_nv_fund",AL$3,$A945))</f>
        <v/>
      </c>
    </row>
    <row r="946" spans="2:28">
      <c r="B946" s="13" t="str">
        <f>IF($A946="","",[1]!thsiFinD("ths_adjustment_nv_fund",B$3,$A946))</f>
        <v/>
      </c>
      <c r="C946" s="13" t="str">
        <f>IF($A946="","",[1]!thsiFinD("ths_adjustment_nv_fund",C$3,$A946))</f>
        <v/>
      </c>
      <c r="D946" s="13" t="str">
        <f>IF($A946="","",[1]!thsiFinD("ths_adjustment_nv_fund",D$3,$A946))</f>
        <v/>
      </c>
      <c r="E946" s="13" t="str">
        <f>IF($A946="","",[1]!thsiFinD("ths_adjustment_nv_fund",E$3,$A946))</f>
        <v/>
      </c>
      <c r="F946" s="13" t="str">
        <f>IF($A946="","",[1]!thsiFinD("ths_adjustment_nv_fund",F$3,$A946))</f>
        <v/>
      </c>
      <c r="G946" s="13" t="str">
        <f>IF($A946="","",[1]!thsiFinD("ths_adjustment_nv_fund",G$3,$A946))</f>
        <v/>
      </c>
      <c r="H946" s="13" t="str">
        <f>IF($A946="","",[1]!thsiFinD("ths_adjustment_nv_fund",H$3,$A946))</f>
        <v/>
      </c>
      <c r="I946" s="13" t="str">
        <f>IF($A946="","",[1]!thsiFinD("ths_adjustment_nv_fund",I$3,$A946))</f>
        <v/>
      </c>
      <c r="J946" s="13" t="str">
        <f>IF($A946="","",[1]!thsiFinD("ths_adjustment_nv_fund",J$3,$A946))</f>
        <v/>
      </c>
      <c r="K946" s="13" t="str">
        <f>IF($A946="","",[1]!thsiFinD("ths_adjustment_nv_fund",K$3,$A946))</f>
        <v/>
      </c>
      <c r="L946" s="13" t="str">
        <f>IF($A946="","",[1]!thsiFinD("ths_adjustment_nv_fund",L$3,$A946))</f>
        <v/>
      </c>
      <c r="M946" s="13" t="str">
        <f>IF($A946="","",[1]!thsiFinD("ths_adjustment_nv_fund",M$3,$A946))</f>
        <v/>
      </c>
      <c r="N946" s="13" t="str">
        <f>IF($A946="","",[1]!thsiFinD("ths_adjustment_nv_fund",N$3,$A946))</f>
        <v/>
      </c>
      <c r="O946" s="13" t="str">
        <f>IF($A946="","",[1]!thsiFinD("ths_adjustment_nv_fund",O$3,$A946))</f>
        <v/>
      </c>
      <c r="P946" s="13" t="str">
        <f>IF($A946="","",[1]!thsiFinD("ths_adjustment_nv_fund",P$3,$A946))</f>
        <v/>
      </c>
      <c r="Q946" s="13" t="str">
        <f>IF($A946="","",[1]!thsiFinD("ths_adjustment_nv_fund",Q$3,$A946))</f>
        <v/>
      </c>
      <c r="R946" s="13" t="str">
        <f>IF($A946="","",[1]!thsiFinD("ths_adjustment_nv_fund",R$3,$A946))</f>
        <v/>
      </c>
      <c r="S946" s="13" t="str">
        <f>IF($A946="","",[1]!thsiFinD("ths_adjustment_nv_fund",S$3,$A946))</f>
        <v/>
      </c>
      <c r="T946" s="13" t="str">
        <f>IF($A946="","",[1]!thsiFinD("ths_adjustment_nv_fund",T$3,$A946))</f>
        <v/>
      </c>
      <c r="U946" s="13" t="str">
        <f>IF($A946="","",[1]!thsiFinD("ths_adjustment_nv_fund",U$3,$A946))</f>
        <v/>
      </c>
      <c r="V946" s="13" t="str">
        <f>IF($A946="","",[1]!thsiFinD("ths_adjustment_nv_fund",V$3,$A946))</f>
        <v/>
      </c>
      <c r="W946" s="13" t="str">
        <f>IF($A946="","",[1]!thsiFinD("ths_adjustment_nv_fund",W$3,$A946))</f>
        <v/>
      </c>
      <c r="X946" s="13" t="str">
        <f>IF($A946="","",[1]!thsiFinD("ths_adjustment_nv_fund",X$3,$A946))</f>
        <v/>
      </c>
      <c r="Y946" s="13" t="str">
        <f>IF($A946="","",[1]!thsiFinD("ths_adjustment_nv_fund",Y$3,$A946))</f>
        <v/>
      </c>
      <c r="Z946" s="13" t="str">
        <f>IF($A946="","",[1]!thsiFinD("ths_adjustment_nv_fund",Z$3,$A946))</f>
        <v/>
      </c>
      <c r="AA946" s="13" t="str">
        <f>IF($A946="","",[1]!thsiFinD("ths_adjustment_nv_fund",AA$3,$A946))</f>
        <v/>
      </c>
      <c r="AB946" s="13">
        <f>IF($A946="","",[1]!thsiFinD("ths_adjustment_nv_fund",AB$3,$A946))</f>
        <v/>
      </c>
      <c r="AC946" s="13">
        <f>IF($A946="","",[1]!thsiFinD("ths_adjustment_nv_fund",AC$3,$A946))</f>
        <v/>
      </c>
      <c r="AD946" s="13">
        <f>IF($A946="","",[1]!thsiFinD("ths_adjustment_nv_fund",AD$3,$A946))</f>
        <v/>
      </c>
      <c r="AE946" s="13">
        <f>IF($A946="","",[1]!thsiFinD("ths_adjustment_nv_fund",AE$3,$A946))</f>
        <v/>
      </c>
      <c r="AF946" s="13">
        <f>IF($A946="","",[1]!thsiFinD("ths_adjustment_nv_fund",AF$3,$A946))</f>
        <v/>
      </c>
      <c r="AG946" s="13">
        <f>IF($A946="","",[1]!thsiFinD("ths_adjustment_nv_fund",AG$3,$A946))</f>
        <v/>
      </c>
      <c r="AH946" s="13">
        <f>IF($A946="","",[1]!thsiFinD("ths_adjustment_nv_fund",AH$3,$A946))</f>
        <v/>
      </c>
      <c r="AI946" s="13">
        <f>IF($A946="","",[1]!thsiFinD("ths_adjustment_nv_fund",AI$3,$A946))</f>
        <v/>
      </c>
      <c r="AJ946" s="13">
        <f>IF($A946="","",[1]!thsiFinD("ths_adjustment_nv_fund",AJ$3,$A946))</f>
        <v/>
      </c>
      <c r="AK946" s="13">
        <f>IF($A946="","",[1]!thsiFinD("ths_adjustment_nv_fund",AK$3,$A946))</f>
        <v/>
      </c>
      <c r="AL946" s="13">
        <f>IF($A946="","",[1]!thsiFinD("ths_adjustment_nv_fund",AL$3,$A946))</f>
        <v/>
      </c>
    </row>
    <row r="947" spans="2:28">
      <c r="B947" s="13" t="str">
        <f>IF($A947="","",[1]!thsiFinD("ths_adjustment_nv_fund",B$3,$A947))</f>
        <v/>
      </c>
      <c r="C947" s="13" t="str">
        <f>IF($A947="","",[1]!thsiFinD("ths_adjustment_nv_fund",C$3,$A947))</f>
        <v/>
      </c>
      <c r="D947" s="13" t="str">
        <f>IF($A947="","",[1]!thsiFinD("ths_adjustment_nv_fund",D$3,$A947))</f>
        <v/>
      </c>
      <c r="E947" s="13" t="str">
        <f>IF($A947="","",[1]!thsiFinD("ths_adjustment_nv_fund",E$3,$A947))</f>
        <v/>
      </c>
      <c r="F947" s="13" t="str">
        <f>IF($A947="","",[1]!thsiFinD("ths_adjustment_nv_fund",F$3,$A947))</f>
        <v/>
      </c>
      <c r="G947" s="13" t="str">
        <f>IF($A947="","",[1]!thsiFinD("ths_adjustment_nv_fund",G$3,$A947))</f>
        <v/>
      </c>
      <c r="H947" s="13" t="str">
        <f>IF($A947="","",[1]!thsiFinD("ths_adjustment_nv_fund",H$3,$A947))</f>
        <v/>
      </c>
      <c r="I947" s="13" t="str">
        <f>IF($A947="","",[1]!thsiFinD("ths_adjustment_nv_fund",I$3,$A947))</f>
        <v/>
      </c>
      <c r="J947" s="13" t="str">
        <f>IF($A947="","",[1]!thsiFinD("ths_adjustment_nv_fund",J$3,$A947))</f>
        <v/>
      </c>
      <c r="K947" s="13" t="str">
        <f>IF($A947="","",[1]!thsiFinD("ths_adjustment_nv_fund",K$3,$A947))</f>
        <v/>
      </c>
      <c r="L947" s="13" t="str">
        <f>IF($A947="","",[1]!thsiFinD("ths_adjustment_nv_fund",L$3,$A947))</f>
        <v/>
      </c>
      <c r="M947" s="13" t="str">
        <f>IF($A947="","",[1]!thsiFinD("ths_adjustment_nv_fund",M$3,$A947))</f>
        <v/>
      </c>
      <c r="N947" s="13" t="str">
        <f>IF($A947="","",[1]!thsiFinD("ths_adjustment_nv_fund",N$3,$A947))</f>
        <v/>
      </c>
      <c r="O947" s="13" t="str">
        <f>IF($A947="","",[1]!thsiFinD("ths_adjustment_nv_fund",O$3,$A947))</f>
        <v/>
      </c>
      <c r="P947" s="13" t="str">
        <f>IF($A947="","",[1]!thsiFinD("ths_adjustment_nv_fund",P$3,$A947))</f>
        <v/>
      </c>
      <c r="Q947" s="13" t="str">
        <f>IF($A947="","",[1]!thsiFinD("ths_adjustment_nv_fund",Q$3,$A947))</f>
        <v/>
      </c>
      <c r="R947" s="13" t="str">
        <f>IF($A947="","",[1]!thsiFinD("ths_adjustment_nv_fund",R$3,$A947))</f>
        <v/>
      </c>
      <c r="S947" s="13" t="str">
        <f>IF($A947="","",[1]!thsiFinD("ths_adjustment_nv_fund",S$3,$A947))</f>
        <v/>
      </c>
      <c r="T947" s="13" t="str">
        <f>IF($A947="","",[1]!thsiFinD("ths_adjustment_nv_fund",T$3,$A947))</f>
        <v/>
      </c>
      <c r="U947" s="13" t="str">
        <f>IF($A947="","",[1]!thsiFinD("ths_adjustment_nv_fund",U$3,$A947))</f>
        <v/>
      </c>
      <c r="V947" s="13" t="str">
        <f>IF($A947="","",[1]!thsiFinD("ths_adjustment_nv_fund",V$3,$A947))</f>
        <v/>
      </c>
      <c r="W947" s="13" t="str">
        <f>IF($A947="","",[1]!thsiFinD("ths_adjustment_nv_fund",W$3,$A947))</f>
        <v/>
      </c>
      <c r="X947" s="13" t="str">
        <f>IF($A947="","",[1]!thsiFinD("ths_adjustment_nv_fund",X$3,$A947))</f>
        <v/>
      </c>
      <c r="Y947" s="13" t="str">
        <f>IF($A947="","",[1]!thsiFinD("ths_adjustment_nv_fund",Y$3,$A947))</f>
        <v/>
      </c>
      <c r="Z947" s="13" t="str">
        <f>IF($A947="","",[1]!thsiFinD("ths_adjustment_nv_fund",Z$3,$A947))</f>
        <v/>
      </c>
      <c r="AA947" s="13" t="str">
        <f>IF($A947="","",[1]!thsiFinD("ths_adjustment_nv_fund",AA$3,$A947))</f>
        <v/>
      </c>
      <c r="AB947" s="13">
        <f>IF($A947="","",[1]!thsiFinD("ths_adjustment_nv_fund",AB$3,$A947))</f>
        <v/>
      </c>
      <c r="AC947" s="13">
        <f>IF($A947="","",[1]!thsiFinD("ths_adjustment_nv_fund",AC$3,$A947))</f>
        <v/>
      </c>
      <c r="AD947" s="13">
        <f>IF($A947="","",[1]!thsiFinD("ths_adjustment_nv_fund",AD$3,$A947))</f>
        <v/>
      </c>
      <c r="AE947" s="13">
        <f>IF($A947="","",[1]!thsiFinD("ths_adjustment_nv_fund",AE$3,$A947))</f>
        <v/>
      </c>
      <c r="AF947" s="13">
        <f>IF($A947="","",[1]!thsiFinD("ths_adjustment_nv_fund",AF$3,$A947))</f>
        <v/>
      </c>
      <c r="AG947" s="13">
        <f>IF($A947="","",[1]!thsiFinD("ths_adjustment_nv_fund",AG$3,$A947))</f>
        <v/>
      </c>
      <c r="AH947" s="13">
        <f>IF($A947="","",[1]!thsiFinD("ths_adjustment_nv_fund",AH$3,$A947))</f>
        <v/>
      </c>
      <c r="AI947" s="13">
        <f>IF($A947="","",[1]!thsiFinD("ths_adjustment_nv_fund",AI$3,$A947))</f>
        <v/>
      </c>
      <c r="AJ947" s="13">
        <f>IF($A947="","",[1]!thsiFinD("ths_adjustment_nv_fund",AJ$3,$A947))</f>
        <v/>
      </c>
      <c r="AK947" s="13">
        <f>IF($A947="","",[1]!thsiFinD("ths_adjustment_nv_fund",AK$3,$A947))</f>
        <v/>
      </c>
      <c r="AL947" s="13">
        <f>IF($A947="","",[1]!thsiFinD("ths_adjustment_nv_fund",AL$3,$A947))</f>
        <v/>
      </c>
    </row>
    <row r="948" spans="2:28">
      <c r="B948" s="13" t="str">
        <f>IF($A948="","",[1]!thsiFinD("ths_adjustment_nv_fund",B$3,$A948))</f>
        <v/>
      </c>
      <c r="C948" s="13" t="str">
        <f>IF($A948="","",[1]!thsiFinD("ths_adjustment_nv_fund",C$3,$A948))</f>
        <v/>
      </c>
      <c r="D948" s="13" t="str">
        <f>IF($A948="","",[1]!thsiFinD("ths_adjustment_nv_fund",D$3,$A948))</f>
        <v/>
      </c>
      <c r="E948" s="13" t="str">
        <f>IF($A948="","",[1]!thsiFinD("ths_adjustment_nv_fund",E$3,$A948))</f>
        <v/>
      </c>
      <c r="F948" s="13" t="str">
        <f>IF($A948="","",[1]!thsiFinD("ths_adjustment_nv_fund",F$3,$A948))</f>
        <v/>
      </c>
      <c r="G948" s="13" t="str">
        <f>IF($A948="","",[1]!thsiFinD("ths_adjustment_nv_fund",G$3,$A948))</f>
        <v/>
      </c>
      <c r="H948" s="13" t="str">
        <f>IF($A948="","",[1]!thsiFinD("ths_adjustment_nv_fund",H$3,$A948))</f>
        <v/>
      </c>
      <c r="I948" s="13" t="str">
        <f>IF($A948="","",[1]!thsiFinD("ths_adjustment_nv_fund",I$3,$A948))</f>
        <v/>
      </c>
      <c r="J948" s="13" t="str">
        <f>IF($A948="","",[1]!thsiFinD("ths_adjustment_nv_fund",J$3,$A948))</f>
        <v/>
      </c>
      <c r="K948" s="13" t="str">
        <f>IF($A948="","",[1]!thsiFinD("ths_adjustment_nv_fund",K$3,$A948))</f>
        <v/>
      </c>
      <c r="L948" s="13" t="str">
        <f>IF($A948="","",[1]!thsiFinD("ths_adjustment_nv_fund",L$3,$A948))</f>
        <v/>
      </c>
      <c r="M948" s="13" t="str">
        <f>IF($A948="","",[1]!thsiFinD("ths_adjustment_nv_fund",M$3,$A948))</f>
        <v/>
      </c>
      <c r="N948" s="13" t="str">
        <f>IF($A948="","",[1]!thsiFinD("ths_adjustment_nv_fund",N$3,$A948))</f>
        <v/>
      </c>
      <c r="O948" s="13" t="str">
        <f>IF($A948="","",[1]!thsiFinD("ths_adjustment_nv_fund",O$3,$A948))</f>
        <v/>
      </c>
      <c r="P948" s="13" t="str">
        <f>IF($A948="","",[1]!thsiFinD("ths_adjustment_nv_fund",P$3,$A948))</f>
        <v/>
      </c>
      <c r="Q948" s="13" t="str">
        <f>IF($A948="","",[1]!thsiFinD("ths_adjustment_nv_fund",Q$3,$A948))</f>
        <v/>
      </c>
      <c r="R948" s="13" t="str">
        <f>IF($A948="","",[1]!thsiFinD("ths_adjustment_nv_fund",R$3,$A948))</f>
        <v/>
      </c>
      <c r="S948" s="13" t="str">
        <f>IF($A948="","",[1]!thsiFinD("ths_adjustment_nv_fund",S$3,$A948))</f>
        <v/>
      </c>
      <c r="T948" s="13" t="str">
        <f>IF($A948="","",[1]!thsiFinD("ths_adjustment_nv_fund",T$3,$A948))</f>
        <v/>
      </c>
      <c r="U948" s="13" t="str">
        <f>IF($A948="","",[1]!thsiFinD("ths_adjustment_nv_fund",U$3,$A948))</f>
        <v/>
      </c>
      <c r="V948" s="13" t="str">
        <f>IF($A948="","",[1]!thsiFinD("ths_adjustment_nv_fund",V$3,$A948))</f>
        <v/>
      </c>
      <c r="W948" s="13" t="str">
        <f>IF($A948="","",[1]!thsiFinD("ths_adjustment_nv_fund",W$3,$A948))</f>
        <v/>
      </c>
      <c r="X948" s="13" t="str">
        <f>IF($A948="","",[1]!thsiFinD("ths_adjustment_nv_fund",X$3,$A948))</f>
        <v/>
      </c>
      <c r="Y948" s="13" t="str">
        <f>IF($A948="","",[1]!thsiFinD("ths_adjustment_nv_fund",Y$3,$A948))</f>
        <v/>
      </c>
      <c r="Z948" s="13" t="str">
        <f>IF($A948="","",[1]!thsiFinD("ths_adjustment_nv_fund",Z$3,$A948))</f>
        <v/>
      </c>
      <c r="AA948" s="13" t="str">
        <f>IF($A948="","",[1]!thsiFinD("ths_adjustment_nv_fund",AA$3,$A948))</f>
        <v/>
      </c>
      <c r="AB948" s="13">
        <f>IF($A948="","",[1]!thsiFinD("ths_adjustment_nv_fund",AB$3,$A948))</f>
        <v/>
      </c>
      <c r="AC948" s="13">
        <f>IF($A948="","",[1]!thsiFinD("ths_adjustment_nv_fund",AC$3,$A948))</f>
        <v/>
      </c>
      <c r="AD948" s="13">
        <f>IF($A948="","",[1]!thsiFinD("ths_adjustment_nv_fund",AD$3,$A948))</f>
        <v/>
      </c>
      <c r="AE948" s="13">
        <f>IF($A948="","",[1]!thsiFinD("ths_adjustment_nv_fund",AE$3,$A948))</f>
        <v/>
      </c>
      <c r="AF948" s="13">
        <f>IF($A948="","",[1]!thsiFinD("ths_adjustment_nv_fund",AF$3,$A948))</f>
        <v/>
      </c>
      <c r="AG948" s="13">
        <f>IF($A948="","",[1]!thsiFinD("ths_adjustment_nv_fund",AG$3,$A948))</f>
        <v/>
      </c>
      <c r="AH948" s="13">
        <f>IF($A948="","",[1]!thsiFinD("ths_adjustment_nv_fund",AH$3,$A948))</f>
        <v/>
      </c>
      <c r="AI948" s="13">
        <f>IF($A948="","",[1]!thsiFinD("ths_adjustment_nv_fund",AI$3,$A948))</f>
        <v/>
      </c>
      <c r="AJ948" s="13">
        <f>IF($A948="","",[1]!thsiFinD("ths_adjustment_nv_fund",AJ$3,$A948))</f>
        <v/>
      </c>
      <c r="AK948" s="13">
        <f>IF($A948="","",[1]!thsiFinD("ths_adjustment_nv_fund",AK$3,$A948))</f>
        <v/>
      </c>
      <c r="AL948" s="13">
        <f>IF($A948="","",[1]!thsiFinD("ths_adjustment_nv_fund",AL$3,$A948))</f>
        <v/>
      </c>
    </row>
    <row r="949" spans="2:28">
      <c r="B949" s="13" t="str">
        <f>IF($A949="","",[1]!thsiFinD("ths_adjustment_nv_fund",B$3,$A949))</f>
        <v/>
      </c>
      <c r="C949" s="13" t="str">
        <f>IF($A949="","",[1]!thsiFinD("ths_adjustment_nv_fund",C$3,$A949))</f>
        <v/>
      </c>
      <c r="D949" s="13" t="str">
        <f>IF($A949="","",[1]!thsiFinD("ths_adjustment_nv_fund",D$3,$A949))</f>
        <v/>
      </c>
      <c r="E949" s="13" t="str">
        <f>IF($A949="","",[1]!thsiFinD("ths_adjustment_nv_fund",E$3,$A949))</f>
        <v/>
      </c>
      <c r="F949" s="13" t="str">
        <f>IF($A949="","",[1]!thsiFinD("ths_adjustment_nv_fund",F$3,$A949))</f>
        <v/>
      </c>
      <c r="G949" s="13" t="str">
        <f>IF($A949="","",[1]!thsiFinD("ths_adjustment_nv_fund",G$3,$A949))</f>
        <v/>
      </c>
      <c r="H949" s="13" t="str">
        <f>IF($A949="","",[1]!thsiFinD("ths_adjustment_nv_fund",H$3,$A949))</f>
        <v/>
      </c>
      <c r="I949" s="13" t="str">
        <f>IF($A949="","",[1]!thsiFinD("ths_adjustment_nv_fund",I$3,$A949))</f>
        <v/>
      </c>
      <c r="J949" s="13" t="str">
        <f>IF($A949="","",[1]!thsiFinD("ths_adjustment_nv_fund",J$3,$A949))</f>
        <v/>
      </c>
      <c r="K949" s="13" t="str">
        <f>IF($A949="","",[1]!thsiFinD("ths_adjustment_nv_fund",K$3,$A949))</f>
        <v/>
      </c>
      <c r="L949" s="13" t="str">
        <f>IF($A949="","",[1]!thsiFinD("ths_adjustment_nv_fund",L$3,$A949))</f>
        <v/>
      </c>
      <c r="M949" s="13" t="str">
        <f>IF($A949="","",[1]!thsiFinD("ths_adjustment_nv_fund",M$3,$A949))</f>
        <v/>
      </c>
      <c r="N949" s="13" t="str">
        <f>IF($A949="","",[1]!thsiFinD("ths_adjustment_nv_fund",N$3,$A949))</f>
        <v/>
      </c>
      <c r="O949" s="13" t="str">
        <f>IF($A949="","",[1]!thsiFinD("ths_adjustment_nv_fund",O$3,$A949))</f>
        <v/>
      </c>
      <c r="P949" s="13" t="str">
        <f>IF($A949="","",[1]!thsiFinD("ths_adjustment_nv_fund",P$3,$A949))</f>
        <v/>
      </c>
      <c r="Q949" s="13" t="str">
        <f>IF($A949="","",[1]!thsiFinD("ths_adjustment_nv_fund",Q$3,$A949))</f>
        <v/>
      </c>
      <c r="R949" s="13" t="str">
        <f>IF($A949="","",[1]!thsiFinD("ths_adjustment_nv_fund",R$3,$A949))</f>
        <v/>
      </c>
      <c r="S949" s="13" t="str">
        <f>IF($A949="","",[1]!thsiFinD("ths_adjustment_nv_fund",S$3,$A949))</f>
        <v/>
      </c>
      <c r="T949" s="13" t="str">
        <f>IF($A949="","",[1]!thsiFinD("ths_adjustment_nv_fund",T$3,$A949))</f>
        <v/>
      </c>
      <c r="U949" s="13" t="str">
        <f>IF($A949="","",[1]!thsiFinD("ths_adjustment_nv_fund",U$3,$A949))</f>
        <v/>
      </c>
      <c r="V949" s="13" t="str">
        <f>IF($A949="","",[1]!thsiFinD("ths_adjustment_nv_fund",V$3,$A949))</f>
        <v/>
      </c>
      <c r="W949" s="13" t="str">
        <f>IF($A949="","",[1]!thsiFinD("ths_adjustment_nv_fund",W$3,$A949))</f>
        <v/>
      </c>
      <c r="X949" s="13" t="str">
        <f>IF($A949="","",[1]!thsiFinD("ths_adjustment_nv_fund",X$3,$A949))</f>
        <v/>
      </c>
      <c r="Y949" s="13" t="str">
        <f>IF($A949="","",[1]!thsiFinD("ths_adjustment_nv_fund",Y$3,$A949))</f>
        <v/>
      </c>
      <c r="Z949" s="13" t="str">
        <f>IF($A949="","",[1]!thsiFinD("ths_adjustment_nv_fund",Z$3,$A949))</f>
        <v/>
      </c>
      <c r="AA949" s="13" t="str">
        <f>IF($A949="","",[1]!thsiFinD("ths_adjustment_nv_fund",AA$3,$A949))</f>
        <v/>
      </c>
      <c r="AB949" s="13">
        <f>IF($A949="","",[1]!thsiFinD("ths_adjustment_nv_fund",AB$3,$A949))</f>
        <v/>
      </c>
      <c r="AC949" s="13">
        <f>IF($A949="","",[1]!thsiFinD("ths_adjustment_nv_fund",AC$3,$A949))</f>
        <v/>
      </c>
      <c r="AD949" s="13">
        <f>IF($A949="","",[1]!thsiFinD("ths_adjustment_nv_fund",AD$3,$A949))</f>
        <v/>
      </c>
      <c r="AE949" s="13">
        <f>IF($A949="","",[1]!thsiFinD("ths_adjustment_nv_fund",AE$3,$A949))</f>
        <v/>
      </c>
      <c r="AF949" s="13">
        <f>IF($A949="","",[1]!thsiFinD("ths_adjustment_nv_fund",AF$3,$A949))</f>
        <v/>
      </c>
      <c r="AG949" s="13">
        <f>IF($A949="","",[1]!thsiFinD("ths_adjustment_nv_fund",AG$3,$A949))</f>
        <v/>
      </c>
      <c r="AH949" s="13">
        <f>IF($A949="","",[1]!thsiFinD("ths_adjustment_nv_fund",AH$3,$A949))</f>
        <v/>
      </c>
      <c r="AI949" s="13">
        <f>IF($A949="","",[1]!thsiFinD("ths_adjustment_nv_fund",AI$3,$A949))</f>
        <v/>
      </c>
      <c r="AJ949" s="13">
        <f>IF($A949="","",[1]!thsiFinD("ths_adjustment_nv_fund",AJ$3,$A949))</f>
        <v/>
      </c>
      <c r="AK949" s="13">
        <f>IF($A949="","",[1]!thsiFinD("ths_adjustment_nv_fund",AK$3,$A949))</f>
        <v/>
      </c>
      <c r="AL949" s="13">
        <f>IF($A949="","",[1]!thsiFinD("ths_adjustment_nv_fund",AL$3,$A949))</f>
        <v/>
      </c>
    </row>
    <row r="950" spans="2:28">
      <c r="B950" s="13" t="str">
        <f>IF($A950="","",[1]!thsiFinD("ths_adjustment_nv_fund",B$3,$A950))</f>
        <v/>
      </c>
      <c r="C950" s="13" t="str">
        <f>IF($A950="","",[1]!thsiFinD("ths_adjustment_nv_fund",C$3,$A950))</f>
        <v/>
      </c>
      <c r="D950" s="13" t="str">
        <f>IF($A950="","",[1]!thsiFinD("ths_adjustment_nv_fund",D$3,$A950))</f>
        <v/>
      </c>
      <c r="E950" s="13" t="str">
        <f>IF($A950="","",[1]!thsiFinD("ths_adjustment_nv_fund",E$3,$A950))</f>
        <v/>
      </c>
      <c r="F950" s="13" t="str">
        <f>IF($A950="","",[1]!thsiFinD("ths_adjustment_nv_fund",F$3,$A950))</f>
        <v/>
      </c>
      <c r="G950" s="13" t="str">
        <f>IF($A950="","",[1]!thsiFinD("ths_adjustment_nv_fund",G$3,$A950))</f>
        <v/>
      </c>
      <c r="H950" s="13" t="str">
        <f>IF($A950="","",[1]!thsiFinD("ths_adjustment_nv_fund",H$3,$A950))</f>
        <v/>
      </c>
      <c r="I950" s="13" t="str">
        <f>IF($A950="","",[1]!thsiFinD("ths_adjustment_nv_fund",I$3,$A950))</f>
        <v/>
      </c>
      <c r="J950" s="13" t="str">
        <f>IF($A950="","",[1]!thsiFinD("ths_adjustment_nv_fund",J$3,$A950))</f>
        <v/>
      </c>
      <c r="K950" s="13" t="str">
        <f>IF($A950="","",[1]!thsiFinD("ths_adjustment_nv_fund",K$3,$A950))</f>
        <v/>
      </c>
      <c r="L950" s="13" t="str">
        <f>IF($A950="","",[1]!thsiFinD("ths_adjustment_nv_fund",L$3,$A950))</f>
        <v/>
      </c>
      <c r="M950" s="13" t="str">
        <f>IF($A950="","",[1]!thsiFinD("ths_adjustment_nv_fund",M$3,$A950))</f>
        <v/>
      </c>
      <c r="N950" s="13" t="str">
        <f>IF($A950="","",[1]!thsiFinD("ths_adjustment_nv_fund",N$3,$A950))</f>
        <v/>
      </c>
      <c r="O950" s="13" t="str">
        <f>IF($A950="","",[1]!thsiFinD("ths_adjustment_nv_fund",O$3,$A950))</f>
        <v/>
      </c>
      <c r="P950" s="13" t="str">
        <f>IF($A950="","",[1]!thsiFinD("ths_adjustment_nv_fund",P$3,$A950))</f>
        <v/>
      </c>
      <c r="Q950" s="13" t="str">
        <f>IF($A950="","",[1]!thsiFinD("ths_adjustment_nv_fund",Q$3,$A950))</f>
        <v/>
      </c>
      <c r="R950" s="13" t="str">
        <f>IF($A950="","",[1]!thsiFinD("ths_adjustment_nv_fund",R$3,$A950))</f>
        <v/>
      </c>
      <c r="S950" s="13" t="str">
        <f>IF($A950="","",[1]!thsiFinD("ths_adjustment_nv_fund",S$3,$A950))</f>
        <v/>
      </c>
      <c r="T950" s="13" t="str">
        <f>IF($A950="","",[1]!thsiFinD("ths_adjustment_nv_fund",T$3,$A950))</f>
        <v/>
      </c>
      <c r="U950" s="13" t="str">
        <f>IF($A950="","",[1]!thsiFinD("ths_adjustment_nv_fund",U$3,$A950))</f>
        <v/>
      </c>
      <c r="V950" s="13" t="str">
        <f>IF($A950="","",[1]!thsiFinD("ths_adjustment_nv_fund",V$3,$A950))</f>
        <v/>
      </c>
      <c r="W950" s="13" t="str">
        <f>IF($A950="","",[1]!thsiFinD("ths_adjustment_nv_fund",W$3,$A950))</f>
        <v/>
      </c>
      <c r="X950" s="13" t="str">
        <f>IF($A950="","",[1]!thsiFinD("ths_adjustment_nv_fund",X$3,$A950))</f>
        <v/>
      </c>
      <c r="Y950" s="13" t="str">
        <f>IF($A950="","",[1]!thsiFinD("ths_adjustment_nv_fund",Y$3,$A950))</f>
        <v/>
      </c>
      <c r="Z950" s="13" t="str">
        <f>IF($A950="","",[1]!thsiFinD("ths_adjustment_nv_fund",Z$3,$A950))</f>
        <v/>
      </c>
      <c r="AA950" s="13" t="str">
        <f>IF($A950="","",[1]!thsiFinD("ths_adjustment_nv_fund",AA$3,$A950))</f>
        <v/>
      </c>
      <c r="AB950" s="13">
        <f>IF($A950="","",[1]!thsiFinD("ths_adjustment_nv_fund",AB$3,$A950))</f>
        <v/>
      </c>
      <c r="AC950" s="13">
        <f>IF($A950="","",[1]!thsiFinD("ths_adjustment_nv_fund",AC$3,$A950))</f>
        <v/>
      </c>
      <c r="AD950" s="13">
        <f>IF($A950="","",[1]!thsiFinD("ths_adjustment_nv_fund",AD$3,$A950))</f>
        <v/>
      </c>
      <c r="AE950" s="13">
        <f>IF($A950="","",[1]!thsiFinD("ths_adjustment_nv_fund",AE$3,$A950))</f>
        <v/>
      </c>
      <c r="AF950" s="13">
        <f>IF($A950="","",[1]!thsiFinD("ths_adjustment_nv_fund",AF$3,$A950))</f>
        <v/>
      </c>
      <c r="AG950" s="13">
        <f>IF($A950="","",[1]!thsiFinD("ths_adjustment_nv_fund",AG$3,$A950))</f>
        <v/>
      </c>
      <c r="AH950" s="13">
        <f>IF($A950="","",[1]!thsiFinD("ths_adjustment_nv_fund",AH$3,$A950))</f>
        <v/>
      </c>
      <c r="AI950" s="13">
        <f>IF($A950="","",[1]!thsiFinD("ths_adjustment_nv_fund",AI$3,$A950))</f>
        <v/>
      </c>
      <c r="AJ950" s="13">
        <f>IF($A950="","",[1]!thsiFinD("ths_adjustment_nv_fund",AJ$3,$A950))</f>
        <v/>
      </c>
      <c r="AK950" s="13">
        <f>IF($A950="","",[1]!thsiFinD("ths_adjustment_nv_fund",AK$3,$A950))</f>
        <v/>
      </c>
      <c r="AL950" s="13">
        <f>IF($A950="","",[1]!thsiFinD("ths_adjustment_nv_fund",AL$3,$A950))</f>
        <v/>
      </c>
    </row>
    <row r="951" spans="2:28">
      <c r="B951" s="13" t="str">
        <f>IF($A951="","",[1]!thsiFinD("ths_adjustment_nv_fund",B$3,$A951))</f>
        <v/>
      </c>
      <c r="C951" s="13" t="str">
        <f>IF($A951="","",[1]!thsiFinD("ths_adjustment_nv_fund",C$3,$A951))</f>
        <v/>
      </c>
      <c r="D951" s="13" t="str">
        <f>IF($A951="","",[1]!thsiFinD("ths_adjustment_nv_fund",D$3,$A951))</f>
        <v/>
      </c>
      <c r="E951" s="13" t="str">
        <f>IF($A951="","",[1]!thsiFinD("ths_adjustment_nv_fund",E$3,$A951))</f>
        <v/>
      </c>
      <c r="F951" s="13" t="str">
        <f>IF($A951="","",[1]!thsiFinD("ths_adjustment_nv_fund",F$3,$A951))</f>
        <v/>
      </c>
      <c r="G951" s="13" t="str">
        <f>IF($A951="","",[1]!thsiFinD("ths_adjustment_nv_fund",G$3,$A951))</f>
        <v/>
      </c>
      <c r="H951" s="13" t="str">
        <f>IF($A951="","",[1]!thsiFinD("ths_adjustment_nv_fund",H$3,$A951))</f>
        <v/>
      </c>
      <c r="I951" s="13" t="str">
        <f>IF($A951="","",[1]!thsiFinD("ths_adjustment_nv_fund",I$3,$A951))</f>
        <v/>
      </c>
      <c r="J951" s="13" t="str">
        <f>IF($A951="","",[1]!thsiFinD("ths_adjustment_nv_fund",J$3,$A951))</f>
        <v/>
      </c>
      <c r="K951" s="13" t="str">
        <f>IF($A951="","",[1]!thsiFinD("ths_adjustment_nv_fund",K$3,$A951))</f>
        <v/>
      </c>
      <c r="L951" s="13" t="str">
        <f>IF($A951="","",[1]!thsiFinD("ths_adjustment_nv_fund",L$3,$A951))</f>
        <v/>
      </c>
      <c r="M951" s="13" t="str">
        <f>IF($A951="","",[1]!thsiFinD("ths_adjustment_nv_fund",M$3,$A951))</f>
        <v/>
      </c>
      <c r="N951" s="13" t="str">
        <f>IF($A951="","",[1]!thsiFinD("ths_adjustment_nv_fund",N$3,$A951))</f>
        <v/>
      </c>
      <c r="O951" s="13" t="str">
        <f>IF($A951="","",[1]!thsiFinD("ths_adjustment_nv_fund",O$3,$A951))</f>
        <v/>
      </c>
      <c r="P951" s="13" t="str">
        <f>IF($A951="","",[1]!thsiFinD("ths_adjustment_nv_fund",P$3,$A951))</f>
        <v/>
      </c>
      <c r="Q951" s="13" t="str">
        <f>IF($A951="","",[1]!thsiFinD("ths_adjustment_nv_fund",Q$3,$A951))</f>
        <v/>
      </c>
      <c r="R951" s="13" t="str">
        <f>IF($A951="","",[1]!thsiFinD("ths_adjustment_nv_fund",R$3,$A951))</f>
        <v/>
      </c>
      <c r="S951" s="13" t="str">
        <f>IF($A951="","",[1]!thsiFinD("ths_adjustment_nv_fund",S$3,$A951))</f>
        <v/>
      </c>
      <c r="T951" s="13" t="str">
        <f>IF($A951="","",[1]!thsiFinD("ths_adjustment_nv_fund",T$3,$A951))</f>
        <v/>
      </c>
      <c r="U951" s="13" t="str">
        <f>IF($A951="","",[1]!thsiFinD("ths_adjustment_nv_fund",U$3,$A951))</f>
        <v/>
      </c>
      <c r="V951" s="13" t="str">
        <f>IF($A951="","",[1]!thsiFinD("ths_adjustment_nv_fund",V$3,$A951))</f>
        <v/>
      </c>
      <c r="W951" s="13" t="str">
        <f>IF($A951="","",[1]!thsiFinD("ths_adjustment_nv_fund",W$3,$A951))</f>
        <v/>
      </c>
      <c r="X951" s="13" t="str">
        <f>IF($A951="","",[1]!thsiFinD("ths_adjustment_nv_fund",X$3,$A951))</f>
        <v/>
      </c>
      <c r="Y951" s="13" t="str">
        <f>IF($A951="","",[1]!thsiFinD("ths_adjustment_nv_fund",Y$3,$A951))</f>
        <v/>
      </c>
      <c r="Z951" s="13" t="str">
        <f>IF($A951="","",[1]!thsiFinD("ths_adjustment_nv_fund",Z$3,$A951))</f>
        <v/>
      </c>
      <c r="AA951" s="13" t="str">
        <f>IF($A951="","",[1]!thsiFinD("ths_adjustment_nv_fund",AA$3,$A951))</f>
        <v/>
      </c>
      <c r="AB951" s="13">
        <f>IF($A951="","",[1]!thsiFinD("ths_adjustment_nv_fund",AB$3,$A951))</f>
        <v/>
      </c>
      <c r="AC951" s="13">
        <f>IF($A951="","",[1]!thsiFinD("ths_adjustment_nv_fund",AC$3,$A951))</f>
        <v/>
      </c>
      <c r="AD951" s="13">
        <f>IF($A951="","",[1]!thsiFinD("ths_adjustment_nv_fund",AD$3,$A951))</f>
        <v/>
      </c>
      <c r="AE951" s="13">
        <f>IF($A951="","",[1]!thsiFinD("ths_adjustment_nv_fund",AE$3,$A951))</f>
        <v/>
      </c>
      <c r="AF951" s="13">
        <f>IF($A951="","",[1]!thsiFinD("ths_adjustment_nv_fund",AF$3,$A951))</f>
        <v/>
      </c>
      <c r="AG951" s="13">
        <f>IF($A951="","",[1]!thsiFinD("ths_adjustment_nv_fund",AG$3,$A951))</f>
        <v/>
      </c>
      <c r="AH951" s="13">
        <f>IF($A951="","",[1]!thsiFinD("ths_adjustment_nv_fund",AH$3,$A951))</f>
        <v/>
      </c>
      <c r="AI951" s="13">
        <f>IF($A951="","",[1]!thsiFinD("ths_adjustment_nv_fund",AI$3,$A951))</f>
        <v/>
      </c>
      <c r="AJ951" s="13">
        <f>IF($A951="","",[1]!thsiFinD("ths_adjustment_nv_fund",AJ$3,$A951))</f>
        <v/>
      </c>
      <c r="AK951" s="13">
        <f>IF($A951="","",[1]!thsiFinD("ths_adjustment_nv_fund",AK$3,$A951))</f>
        <v/>
      </c>
      <c r="AL951" s="13">
        <f>IF($A951="","",[1]!thsiFinD("ths_adjustment_nv_fund",AL$3,$A951))</f>
        <v/>
      </c>
    </row>
    <row r="952" spans="2:28">
      <c r="B952" s="13" t="str">
        <f>IF($A952="","",[1]!thsiFinD("ths_adjustment_nv_fund",B$3,$A952))</f>
        <v/>
      </c>
      <c r="C952" s="13" t="str">
        <f>IF($A952="","",[1]!thsiFinD("ths_adjustment_nv_fund",C$3,$A952))</f>
        <v/>
      </c>
      <c r="D952" s="13" t="str">
        <f>IF($A952="","",[1]!thsiFinD("ths_adjustment_nv_fund",D$3,$A952))</f>
        <v/>
      </c>
      <c r="E952" s="13" t="str">
        <f>IF($A952="","",[1]!thsiFinD("ths_adjustment_nv_fund",E$3,$A952))</f>
        <v/>
      </c>
      <c r="F952" s="13" t="str">
        <f>IF($A952="","",[1]!thsiFinD("ths_adjustment_nv_fund",F$3,$A952))</f>
        <v/>
      </c>
      <c r="G952" s="13" t="str">
        <f>IF($A952="","",[1]!thsiFinD("ths_adjustment_nv_fund",G$3,$A952))</f>
        <v/>
      </c>
      <c r="H952" s="13" t="str">
        <f>IF($A952="","",[1]!thsiFinD("ths_adjustment_nv_fund",H$3,$A952))</f>
        <v/>
      </c>
      <c r="I952" s="13" t="str">
        <f>IF($A952="","",[1]!thsiFinD("ths_adjustment_nv_fund",I$3,$A952))</f>
        <v/>
      </c>
      <c r="J952" s="13" t="str">
        <f>IF($A952="","",[1]!thsiFinD("ths_adjustment_nv_fund",J$3,$A952))</f>
        <v/>
      </c>
      <c r="K952" s="13" t="str">
        <f>IF($A952="","",[1]!thsiFinD("ths_adjustment_nv_fund",K$3,$A952))</f>
        <v/>
      </c>
      <c r="L952" s="13" t="str">
        <f>IF($A952="","",[1]!thsiFinD("ths_adjustment_nv_fund",L$3,$A952))</f>
        <v/>
      </c>
      <c r="M952" s="13" t="str">
        <f>IF($A952="","",[1]!thsiFinD("ths_adjustment_nv_fund",M$3,$A952))</f>
        <v/>
      </c>
      <c r="N952" s="13" t="str">
        <f>IF($A952="","",[1]!thsiFinD("ths_adjustment_nv_fund",N$3,$A952))</f>
        <v/>
      </c>
      <c r="O952" s="13" t="str">
        <f>IF($A952="","",[1]!thsiFinD("ths_adjustment_nv_fund",O$3,$A952))</f>
        <v/>
      </c>
      <c r="P952" s="13" t="str">
        <f>IF($A952="","",[1]!thsiFinD("ths_adjustment_nv_fund",P$3,$A952))</f>
        <v/>
      </c>
      <c r="Q952" s="13" t="str">
        <f>IF($A952="","",[1]!thsiFinD("ths_adjustment_nv_fund",Q$3,$A952))</f>
        <v/>
      </c>
      <c r="R952" s="13" t="str">
        <f>IF($A952="","",[1]!thsiFinD("ths_adjustment_nv_fund",R$3,$A952))</f>
        <v/>
      </c>
      <c r="S952" s="13" t="str">
        <f>IF($A952="","",[1]!thsiFinD("ths_adjustment_nv_fund",S$3,$A952))</f>
        <v/>
      </c>
      <c r="T952" s="13" t="str">
        <f>IF($A952="","",[1]!thsiFinD("ths_adjustment_nv_fund",T$3,$A952))</f>
        <v/>
      </c>
      <c r="U952" s="13" t="str">
        <f>IF($A952="","",[1]!thsiFinD("ths_adjustment_nv_fund",U$3,$A952))</f>
        <v/>
      </c>
      <c r="V952" s="13" t="str">
        <f>IF($A952="","",[1]!thsiFinD("ths_adjustment_nv_fund",V$3,$A952))</f>
        <v/>
      </c>
      <c r="W952" s="13" t="str">
        <f>IF($A952="","",[1]!thsiFinD("ths_adjustment_nv_fund",W$3,$A952))</f>
        <v/>
      </c>
      <c r="X952" s="13" t="str">
        <f>IF($A952="","",[1]!thsiFinD("ths_adjustment_nv_fund",X$3,$A952))</f>
        <v/>
      </c>
      <c r="Y952" s="13" t="str">
        <f>IF($A952="","",[1]!thsiFinD("ths_adjustment_nv_fund",Y$3,$A952))</f>
        <v/>
      </c>
      <c r="Z952" s="13" t="str">
        <f>IF($A952="","",[1]!thsiFinD("ths_adjustment_nv_fund",Z$3,$A952))</f>
        <v/>
      </c>
      <c r="AA952" s="13" t="str">
        <f>IF($A952="","",[1]!thsiFinD("ths_adjustment_nv_fund",AA$3,$A952))</f>
        <v/>
      </c>
      <c r="AB952" s="13">
        <f>IF($A952="","",[1]!thsiFinD("ths_adjustment_nv_fund",AB$3,$A952))</f>
        <v/>
      </c>
      <c r="AC952" s="13">
        <f>IF($A952="","",[1]!thsiFinD("ths_adjustment_nv_fund",AC$3,$A952))</f>
        <v/>
      </c>
      <c r="AD952" s="13">
        <f>IF($A952="","",[1]!thsiFinD("ths_adjustment_nv_fund",AD$3,$A952))</f>
        <v/>
      </c>
      <c r="AE952" s="13">
        <f>IF($A952="","",[1]!thsiFinD("ths_adjustment_nv_fund",AE$3,$A952))</f>
        <v/>
      </c>
      <c r="AF952" s="13">
        <f>IF($A952="","",[1]!thsiFinD("ths_adjustment_nv_fund",AF$3,$A952))</f>
        <v/>
      </c>
      <c r="AG952" s="13">
        <f>IF($A952="","",[1]!thsiFinD("ths_adjustment_nv_fund",AG$3,$A952))</f>
        <v/>
      </c>
      <c r="AH952" s="13">
        <f>IF($A952="","",[1]!thsiFinD("ths_adjustment_nv_fund",AH$3,$A952))</f>
        <v/>
      </c>
      <c r="AI952" s="13">
        <f>IF($A952="","",[1]!thsiFinD("ths_adjustment_nv_fund",AI$3,$A952))</f>
        <v/>
      </c>
      <c r="AJ952" s="13">
        <f>IF($A952="","",[1]!thsiFinD("ths_adjustment_nv_fund",AJ$3,$A952))</f>
        <v/>
      </c>
      <c r="AK952" s="13">
        <f>IF($A952="","",[1]!thsiFinD("ths_adjustment_nv_fund",AK$3,$A952))</f>
        <v/>
      </c>
      <c r="AL952" s="13">
        <f>IF($A952="","",[1]!thsiFinD("ths_adjustment_nv_fund",AL$3,$A952))</f>
        <v/>
      </c>
    </row>
    <row r="953" spans="2:28">
      <c r="B953" s="13" t="str">
        <f>IF($A953="","",[1]!thsiFinD("ths_adjustment_nv_fund",B$3,$A953))</f>
        <v/>
      </c>
      <c r="C953" s="13" t="str">
        <f>IF($A953="","",[1]!thsiFinD("ths_adjustment_nv_fund",C$3,$A953))</f>
        <v/>
      </c>
      <c r="D953" s="13" t="str">
        <f>IF($A953="","",[1]!thsiFinD("ths_adjustment_nv_fund",D$3,$A953))</f>
        <v/>
      </c>
      <c r="E953" s="13" t="str">
        <f>IF($A953="","",[1]!thsiFinD("ths_adjustment_nv_fund",E$3,$A953))</f>
        <v/>
      </c>
      <c r="F953" s="13" t="str">
        <f>IF($A953="","",[1]!thsiFinD("ths_adjustment_nv_fund",F$3,$A953))</f>
        <v/>
      </c>
      <c r="G953" s="13" t="str">
        <f>IF($A953="","",[1]!thsiFinD("ths_adjustment_nv_fund",G$3,$A953))</f>
        <v/>
      </c>
      <c r="H953" s="13" t="str">
        <f>IF($A953="","",[1]!thsiFinD("ths_adjustment_nv_fund",H$3,$A953))</f>
        <v/>
      </c>
      <c r="I953" s="13" t="str">
        <f>IF($A953="","",[1]!thsiFinD("ths_adjustment_nv_fund",I$3,$A953))</f>
        <v/>
      </c>
      <c r="J953" s="13" t="str">
        <f>IF($A953="","",[1]!thsiFinD("ths_adjustment_nv_fund",J$3,$A953))</f>
        <v/>
      </c>
      <c r="K953" s="13" t="str">
        <f>IF($A953="","",[1]!thsiFinD("ths_adjustment_nv_fund",K$3,$A953))</f>
        <v/>
      </c>
      <c r="L953" s="13" t="str">
        <f>IF($A953="","",[1]!thsiFinD("ths_adjustment_nv_fund",L$3,$A953))</f>
        <v/>
      </c>
      <c r="M953" s="13" t="str">
        <f>IF($A953="","",[1]!thsiFinD("ths_adjustment_nv_fund",M$3,$A953))</f>
        <v/>
      </c>
      <c r="N953" s="13" t="str">
        <f>IF($A953="","",[1]!thsiFinD("ths_adjustment_nv_fund",N$3,$A953))</f>
        <v/>
      </c>
      <c r="O953" s="13" t="str">
        <f>IF($A953="","",[1]!thsiFinD("ths_adjustment_nv_fund",O$3,$A953))</f>
        <v/>
      </c>
      <c r="P953" s="13" t="str">
        <f>IF($A953="","",[1]!thsiFinD("ths_adjustment_nv_fund",P$3,$A953))</f>
        <v/>
      </c>
      <c r="Q953" s="13" t="str">
        <f>IF($A953="","",[1]!thsiFinD("ths_adjustment_nv_fund",Q$3,$A953))</f>
        <v/>
      </c>
      <c r="R953" s="13" t="str">
        <f>IF($A953="","",[1]!thsiFinD("ths_adjustment_nv_fund",R$3,$A953))</f>
        <v/>
      </c>
      <c r="S953" s="13" t="str">
        <f>IF($A953="","",[1]!thsiFinD("ths_adjustment_nv_fund",S$3,$A953))</f>
        <v/>
      </c>
      <c r="T953" s="13" t="str">
        <f>IF($A953="","",[1]!thsiFinD("ths_adjustment_nv_fund",T$3,$A953))</f>
        <v/>
      </c>
      <c r="U953" s="13" t="str">
        <f>IF($A953="","",[1]!thsiFinD("ths_adjustment_nv_fund",U$3,$A953))</f>
        <v/>
      </c>
      <c r="V953" s="13" t="str">
        <f>IF($A953="","",[1]!thsiFinD("ths_adjustment_nv_fund",V$3,$A953))</f>
        <v/>
      </c>
      <c r="W953" s="13" t="str">
        <f>IF($A953="","",[1]!thsiFinD("ths_adjustment_nv_fund",W$3,$A953))</f>
        <v/>
      </c>
      <c r="X953" s="13" t="str">
        <f>IF($A953="","",[1]!thsiFinD("ths_adjustment_nv_fund",X$3,$A953))</f>
        <v/>
      </c>
      <c r="Y953" s="13" t="str">
        <f>IF($A953="","",[1]!thsiFinD("ths_adjustment_nv_fund",Y$3,$A953))</f>
        <v/>
      </c>
      <c r="Z953" s="13" t="str">
        <f>IF($A953="","",[1]!thsiFinD("ths_adjustment_nv_fund",Z$3,$A953))</f>
        <v/>
      </c>
      <c r="AA953" s="13" t="str">
        <f>IF($A953="","",[1]!thsiFinD("ths_adjustment_nv_fund",AA$3,$A953))</f>
        <v/>
      </c>
      <c r="AB953" s="13">
        <f>IF($A953="","",[1]!thsiFinD("ths_adjustment_nv_fund",AB$3,$A953))</f>
        <v/>
      </c>
      <c r="AC953" s="13">
        <f>IF($A953="","",[1]!thsiFinD("ths_adjustment_nv_fund",AC$3,$A953))</f>
        <v/>
      </c>
      <c r="AD953" s="13">
        <f>IF($A953="","",[1]!thsiFinD("ths_adjustment_nv_fund",AD$3,$A953))</f>
        <v/>
      </c>
      <c r="AE953" s="13">
        <f>IF($A953="","",[1]!thsiFinD("ths_adjustment_nv_fund",AE$3,$A953))</f>
        <v/>
      </c>
      <c r="AF953" s="13">
        <f>IF($A953="","",[1]!thsiFinD("ths_adjustment_nv_fund",AF$3,$A953))</f>
        <v/>
      </c>
      <c r="AG953" s="13">
        <f>IF($A953="","",[1]!thsiFinD("ths_adjustment_nv_fund",AG$3,$A953))</f>
        <v/>
      </c>
      <c r="AH953" s="13">
        <f>IF($A953="","",[1]!thsiFinD("ths_adjustment_nv_fund",AH$3,$A953))</f>
        <v/>
      </c>
      <c r="AI953" s="13">
        <f>IF($A953="","",[1]!thsiFinD("ths_adjustment_nv_fund",AI$3,$A953))</f>
        <v/>
      </c>
      <c r="AJ953" s="13">
        <f>IF($A953="","",[1]!thsiFinD("ths_adjustment_nv_fund",AJ$3,$A953))</f>
        <v/>
      </c>
      <c r="AK953" s="13">
        <f>IF($A953="","",[1]!thsiFinD("ths_adjustment_nv_fund",AK$3,$A953))</f>
        <v/>
      </c>
      <c r="AL953" s="13">
        <f>IF($A953="","",[1]!thsiFinD("ths_adjustment_nv_fund",AL$3,$A953))</f>
        <v/>
      </c>
    </row>
    <row r="954" spans="2:28">
      <c r="B954" s="13" t="str">
        <f>IF($A954="","",[1]!thsiFinD("ths_adjustment_nv_fund",B$3,$A954))</f>
        <v/>
      </c>
      <c r="C954" s="13" t="str">
        <f>IF($A954="","",[1]!thsiFinD("ths_adjustment_nv_fund",C$3,$A954))</f>
        <v/>
      </c>
      <c r="D954" s="13" t="str">
        <f>IF($A954="","",[1]!thsiFinD("ths_adjustment_nv_fund",D$3,$A954))</f>
        <v/>
      </c>
      <c r="E954" s="13" t="str">
        <f>IF($A954="","",[1]!thsiFinD("ths_adjustment_nv_fund",E$3,$A954))</f>
        <v/>
      </c>
      <c r="F954" s="13" t="str">
        <f>IF($A954="","",[1]!thsiFinD("ths_adjustment_nv_fund",F$3,$A954))</f>
        <v/>
      </c>
      <c r="G954" s="13" t="str">
        <f>IF($A954="","",[1]!thsiFinD("ths_adjustment_nv_fund",G$3,$A954))</f>
        <v/>
      </c>
      <c r="H954" s="13" t="str">
        <f>IF($A954="","",[1]!thsiFinD("ths_adjustment_nv_fund",H$3,$A954))</f>
        <v/>
      </c>
      <c r="I954" s="13" t="str">
        <f>IF($A954="","",[1]!thsiFinD("ths_adjustment_nv_fund",I$3,$A954))</f>
        <v/>
      </c>
      <c r="J954" s="13" t="str">
        <f>IF($A954="","",[1]!thsiFinD("ths_adjustment_nv_fund",J$3,$A954))</f>
        <v/>
      </c>
      <c r="K954" s="13" t="str">
        <f>IF($A954="","",[1]!thsiFinD("ths_adjustment_nv_fund",K$3,$A954))</f>
        <v/>
      </c>
      <c r="L954" s="13" t="str">
        <f>IF($A954="","",[1]!thsiFinD("ths_adjustment_nv_fund",L$3,$A954))</f>
        <v/>
      </c>
      <c r="M954" s="13" t="str">
        <f>IF($A954="","",[1]!thsiFinD("ths_adjustment_nv_fund",M$3,$A954))</f>
        <v/>
      </c>
      <c r="N954" s="13" t="str">
        <f>IF($A954="","",[1]!thsiFinD("ths_adjustment_nv_fund",N$3,$A954))</f>
        <v/>
      </c>
      <c r="O954" s="13" t="str">
        <f>IF($A954="","",[1]!thsiFinD("ths_adjustment_nv_fund",O$3,$A954))</f>
        <v/>
      </c>
      <c r="P954" s="13" t="str">
        <f>IF($A954="","",[1]!thsiFinD("ths_adjustment_nv_fund",P$3,$A954))</f>
        <v/>
      </c>
      <c r="Q954" s="13" t="str">
        <f>IF($A954="","",[1]!thsiFinD("ths_adjustment_nv_fund",Q$3,$A954))</f>
        <v/>
      </c>
      <c r="R954" s="13" t="str">
        <f>IF($A954="","",[1]!thsiFinD("ths_adjustment_nv_fund",R$3,$A954))</f>
        <v/>
      </c>
      <c r="S954" s="13" t="str">
        <f>IF($A954="","",[1]!thsiFinD("ths_adjustment_nv_fund",S$3,$A954))</f>
        <v/>
      </c>
      <c r="T954" s="13" t="str">
        <f>IF($A954="","",[1]!thsiFinD("ths_adjustment_nv_fund",T$3,$A954))</f>
        <v/>
      </c>
      <c r="U954" s="13" t="str">
        <f>IF($A954="","",[1]!thsiFinD("ths_adjustment_nv_fund",U$3,$A954))</f>
        <v/>
      </c>
      <c r="V954" s="13" t="str">
        <f>IF($A954="","",[1]!thsiFinD("ths_adjustment_nv_fund",V$3,$A954))</f>
        <v/>
      </c>
      <c r="W954" s="13" t="str">
        <f>IF($A954="","",[1]!thsiFinD("ths_adjustment_nv_fund",W$3,$A954))</f>
        <v/>
      </c>
      <c r="X954" s="13" t="str">
        <f>IF($A954="","",[1]!thsiFinD("ths_adjustment_nv_fund",X$3,$A954))</f>
        <v/>
      </c>
      <c r="Y954" s="13" t="str">
        <f>IF($A954="","",[1]!thsiFinD("ths_adjustment_nv_fund",Y$3,$A954))</f>
        <v/>
      </c>
      <c r="Z954" s="13" t="str">
        <f>IF($A954="","",[1]!thsiFinD("ths_adjustment_nv_fund",Z$3,$A954))</f>
        <v/>
      </c>
      <c r="AA954" s="13" t="str">
        <f>IF($A954="","",[1]!thsiFinD("ths_adjustment_nv_fund",AA$3,$A954))</f>
        <v/>
      </c>
      <c r="AB954" s="13">
        <f>IF($A954="","",[1]!thsiFinD("ths_adjustment_nv_fund",AB$3,$A954))</f>
        <v/>
      </c>
      <c r="AC954" s="13">
        <f>IF($A954="","",[1]!thsiFinD("ths_adjustment_nv_fund",AC$3,$A954))</f>
        <v/>
      </c>
      <c r="AD954" s="13">
        <f>IF($A954="","",[1]!thsiFinD("ths_adjustment_nv_fund",AD$3,$A954))</f>
        <v/>
      </c>
      <c r="AE954" s="13">
        <f>IF($A954="","",[1]!thsiFinD("ths_adjustment_nv_fund",AE$3,$A954))</f>
        <v/>
      </c>
      <c r="AF954" s="13">
        <f>IF($A954="","",[1]!thsiFinD("ths_adjustment_nv_fund",AF$3,$A954))</f>
        <v/>
      </c>
      <c r="AG954" s="13">
        <f>IF($A954="","",[1]!thsiFinD("ths_adjustment_nv_fund",AG$3,$A954))</f>
        <v/>
      </c>
      <c r="AH954" s="13">
        <f>IF($A954="","",[1]!thsiFinD("ths_adjustment_nv_fund",AH$3,$A954))</f>
        <v/>
      </c>
      <c r="AI954" s="13">
        <f>IF($A954="","",[1]!thsiFinD("ths_adjustment_nv_fund",AI$3,$A954))</f>
        <v/>
      </c>
      <c r="AJ954" s="13">
        <f>IF($A954="","",[1]!thsiFinD("ths_adjustment_nv_fund",AJ$3,$A954))</f>
        <v/>
      </c>
      <c r="AK954" s="13">
        <f>IF($A954="","",[1]!thsiFinD("ths_adjustment_nv_fund",AK$3,$A954))</f>
        <v/>
      </c>
      <c r="AL954" s="13">
        <f>IF($A954="","",[1]!thsiFinD("ths_adjustment_nv_fund",AL$3,$A954))</f>
        <v/>
      </c>
    </row>
    <row r="955" spans="2:28">
      <c r="B955" s="13" t="str">
        <f>IF($A955="","",[1]!thsiFinD("ths_adjustment_nv_fund",B$3,$A955))</f>
        <v/>
      </c>
      <c r="C955" s="13" t="str">
        <f>IF($A955="","",[1]!thsiFinD("ths_adjustment_nv_fund",C$3,$A955))</f>
        <v/>
      </c>
      <c r="D955" s="13" t="str">
        <f>IF($A955="","",[1]!thsiFinD("ths_adjustment_nv_fund",D$3,$A955))</f>
        <v/>
      </c>
      <c r="E955" s="13" t="str">
        <f>IF($A955="","",[1]!thsiFinD("ths_adjustment_nv_fund",E$3,$A955))</f>
        <v/>
      </c>
      <c r="F955" s="13" t="str">
        <f>IF($A955="","",[1]!thsiFinD("ths_adjustment_nv_fund",F$3,$A955))</f>
        <v/>
      </c>
      <c r="G955" s="13" t="str">
        <f>IF($A955="","",[1]!thsiFinD("ths_adjustment_nv_fund",G$3,$A955))</f>
        <v/>
      </c>
      <c r="H955" s="13" t="str">
        <f>IF($A955="","",[1]!thsiFinD("ths_adjustment_nv_fund",H$3,$A955))</f>
        <v/>
      </c>
      <c r="I955" s="13" t="str">
        <f>IF($A955="","",[1]!thsiFinD("ths_adjustment_nv_fund",I$3,$A955))</f>
        <v/>
      </c>
      <c r="J955" s="13" t="str">
        <f>IF($A955="","",[1]!thsiFinD("ths_adjustment_nv_fund",J$3,$A955))</f>
        <v/>
      </c>
      <c r="K955" s="13" t="str">
        <f>IF($A955="","",[1]!thsiFinD("ths_adjustment_nv_fund",K$3,$A955))</f>
        <v/>
      </c>
      <c r="L955" s="13" t="str">
        <f>IF($A955="","",[1]!thsiFinD("ths_adjustment_nv_fund",L$3,$A955))</f>
        <v/>
      </c>
      <c r="M955" s="13" t="str">
        <f>IF($A955="","",[1]!thsiFinD("ths_adjustment_nv_fund",M$3,$A955))</f>
        <v/>
      </c>
      <c r="N955" s="13" t="str">
        <f>IF($A955="","",[1]!thsiFinD("ths_adjustment_nv_fund",N$3,$A955))</f>
        <v/>
      </c>
      <c r="O955" s="13" t="str">
        <f>IF($A955="","",[1]!thsiFinD("ths_adjustment_nv_fund",O$3,$A955))</f>
        <v/>
      </c>
      <c r="P955" s="13" t="str">
        <f>IF($A955="","",[1]!thsiFinD("ths_adjustment_nv_fund",P$3,$A955))</f>
        <v/>
      </c>
      <c r="Q955" s="13" t="str">
        <f>IF($A955="","",[1]!thsiFinD("ths_adjustment_nv_fund",Q$3,$A955))</f>
        <v/>
      </c>
      <c r="R955" s="13" t="str">
        <f>IF($A955="","",[1]!thsiFinD("ths_adjustment_nv_fund",R$3,$A955))</f>
        <v/>
      </c>
      <c r="S955" s="13" t="str">
        <f>IF($A955="","",[1]!thsiFinD("ths_adjustment_nv_fund",S$3,$A955))</f>
        <v/>
      </c>
      <c r="T955" s="13" t="str">
        <f>IF($A955="","",[1]!thsiFinD("ths_adjustment_nv_fund",T$3,$A955))</f>
        <v/>
      </c>
      <c r="U955" s="13" t="str">
        <f>IF($A955="","",[1]!thsiFinD("ths_adjustment_nv_fund",U$3,$A955))</f>
        <v/>
      </c>
      <c r="V955" s="13" t="str">
        <f>IF($A955="","",[1]!thsiFinD("ths_adjustment_nv_fund",V$3,$A955))</f>
        <v/>
      </c>
      <c r="W955" s="13" t="str">
        <f>IF($A955="","",[1]!thsiFinD("ths_adjustment_nv_fund",W$3,$A955))</f>
        <v/>
      </c>
      <c r="X955" s="13" t="str">
        <f>IF($A955="","",[1]!thsiFinD("ths_adjustment_nv_fund",X$3,$A955))</f>
        <v/>
      </c>
      <c r="Y955" s="13" t="str">
        <f>IF($A955="","",[1]!thsiFinD("ths_adjustment_nv_fund",Y$3,$A955))</f>
        <v/>
      </c>
      <c r="Z955" s="13" t="str">
        <f>IF($A955="","",[1]!thsiFinD("ths_adjustment_nv_fund",Z$3,$A955))</f>
        <v/>
      </c>
      <c r="AA955" s="13" t="str">
        <f>IF($A955="","",[1]!thsiFinD("ths_adjustment_nv_fund",AA$3,$A955))</f>
        <v/>
      </c>
      <c r="AB955" s="13">
        <f>IF($A955="","",[1]!thsiFinD("ths_adjustment_nv_fund",AB$3,$A955))</f>
        <v/>
      </c>
      <c r="AC955" s="13">
        <f>IF($A955="","",[1]!thsiFinD("ths_adjustment_nv_fund",AC$3,$A955))</f>
        <v/>
      </c>
      <c r="AD955" s="13">
        <f>IF($A955="","",[1]!thsiFinD("ths_adjustment_nv_fund",AD$3,$A955))</f>
        <v/>
      </c>
      <c r="AE955" s="13">
        <f>IF($A955="","",[1]!thsiFinD("ths_adjustment_nv_fund",AE$3,$A955))</f>
        <v/>
      </c>
      <c r="AF955" s="13">
        <f>IF($A955="","",[1]!thsiFinD("ths_adjustment_nv_fund",AF$3,$A955))</f>
        <v/>
      </c>
      <c r="AG955" s="13">
        <f>IF($A955="","",[1]!thsiFinD("ths_adjustment_nv_fund",AG$3,$A955))</f>
        <v/>
      </c>
      <c r="AH955" s="13">
        <f>IF($A955="","",[1]!thsiFinD("ths_adjustment_nv_fund",AH$3,$A955))</f>
        <v/>
      </c>
      <c r="AI955" s="13">
        <f>IF($A955="","",[1]!thsiFinD("ths_adjustment_nv_fund",AI$3,$A955))</f>
        <v/>
      </c>
      <c r="AJ955" s="13">
        <f>IF($A955="","",[1]!thsiFinD("ths_adjustment_nv_fund",AJ$3,$A955))</f>
        <v/>
      </c>
      <c r="AK955" s="13">
        <f>IF($A955="","",[1]!thsiFinD("ths_adjustment_nv_fund",AK$3,$A955))</f>
        <v/>
      </c>
      <c r="AL955" s="13">
        <f>IF($A955="","",[1]!thsiFinD("ths_adjustment_nv_fund",AL$3,$A955))</f>
        <v/>
      </c>
    </row>
    <row r="956" spans="2:28">
      <c r="B956" s="13" t="str">
        <f>IF($A956="","",[1]!thsiFinD("ths_adjustment_nv_fund",B$3,$A956))</f>
        <v/>
      </c>
      <c r="C956" s="13" t="str">
        <f>IF($A956="","",[1]!thsiFinD("ths_adjustment_nv_fund",C$3,$A956))</f>
        <v/>
      </c>
      <c r="D956" s="13" t="str">
        <f>IF($A956="","",[1]!thsiFinD("ths_adjustment_nv_fund",D$3,$A956))</f>
        <v/>
      </c>
      <c r="E956" s="13" t="str">
        <f>IF($A956="","",[1]!thsiFinD("ths_adjustment_nv_fund",E$3,$A956))</f>
        <v/>
      </c>
      <c r="F956" s="13" t="str">
        <f>IF($A956="","",[1]!thsiFinD("ths_adjustment_nv_fund",F$3,$A956))</f>
        <v/>
      </c>
      <c r="G956" s="13" t="str">
        <f>IF($A956="","",[1]!thsiFinD("ths_adjustment_nv_fund",G$3,$A956))</f>
        <v/>
      </c>
      <c r="H956" s="13" t="str">
        <f>IF($A956="","",[1]!thsiFinD("ths_adjustment_nv_fund",H$3,$A956))</f>
        <v/>
      </c>
      <c r="I956" s="13" t="str">
        <f>IF($A956="","",[1]!thsiFinD("ths_adjustment_nv_fund",I$3,$A956))</f>
        <v/>
      </c>
      <c r="J956" s="13" t="str">
        <f>IF($A956="","",[1]!thsiFinD("ths_adjustment_nv_fund",J$3,$A956))</f>
        <v/>
      </c>
      <c r="K956" s="13" t="str">
        <f>IF($A956="","",[1]!thsiFinD("ths_adjustment_nv_fund",K$3,$A956))</f>
        <v/>
      </c>
      <c r="L956" s="13" t="str">
        <f>IF($A956="","",[1]!thsiFinD("ths_adjustment_nv_fund",L$3,$A956))</f>
        <v/>
      </c>
      <c r="M956" s="13" t="str">
        <f>IF($A956="","",[1]!thsiFinD("ths_adjustment_nv_fund",M$3,$A956))</f>
        <v/>
      </c>
      <c r="N956" s="13" t="str">
        <f>IF($A956="","",[1]!thsiFinD("ths_adjustment_nv_fund",N$3,$A956))</f>
        <v/>
      </c>
      <c r="O956" s="13" t="str">
        <f>IF($A956="","",[1]!thsiFinD("ths_adjustment_nv_fund",O$3,$A956))</f>
        <v/>
      </c>
      <c r="P956" s="13" t="str">
        <f>IF($A956="","",[1]!thsiFinD("ths_adjustment_nv_fund",P$3,$A956))</f>
        <v/>
      </c>
      <c r="Q956" s="13" t="str">
        <f>IF($A956="","",[1]!thsiFinD("ths_adjustment_nv_fund",Q$3,$A956))</f>
        <v/>
      </c>
      <c r="R956" s="13" t="str">
        <f>IF($A956="","",[1]!thsiFinD("ths_adjustment_nv_fund",R$3,$A956))</f>
        <v/>
      </c>
      <c r="S956" s="13" t="str">
        <f>IF($A956="","",[1]!thsiFinD("ths_adjustment_nv_fund",S$3,$A956))</f>
        <v/>
      </c>
      <c r="T956" s="13" t="str">
        <f>IF($A956="","",[1]!thsiFinD("ths_adjustment_nv_fund",T$3,$A956))</f>
        <v/>
      </c>
      <c r="U956" s="13" t="str">
        <f>IF($A956="","",[1]!thsiFinD("ths_adjustment_nv_fund",U$3,$A956))</f>
        <v/>
      </c>
      <c r="V956" s="13" t="str">
        <f>IF($A956="","",[1]!thsiFinD("ths_adjustment_nv_fund",V$3,$A956))</f>
        <v/>
      </c>
      <c r="W956" s="13" t="str">
        <f>IF($A956="","",[1]!thsiFinD("ths_adjustment_nv_fund",W$3,$A956))</f>
        <v/>
      </c>
      <c r="X956" s="13" t="str">
        <f>IF($A956="","",[1]!thsiFinD("ths_adjustment_nv_fund",X$3,$A956))</f>
        <v/>
      </c>
      <c r="Y956" s="13" t="str">
        <f>IF($A956="","",[1]!thsiFinD("ths_adjustment_nv_fund",Y$3,$A956))</f>
        <v/>
      </c>
      <c r="Z956" s="13" t="str">
        <f>IF($A956="","",[1]!thsiFinD("ths_adjustment_nv_fund",Z$3,$A956))</f>
        <v/>
      </c>
      <c r="AA956" s="13" t="str">
        <f>IF($A956="","",[1]!thsiFinD("ths_adjustment_nv_fund",AA$3,$A956))</f>
        <v/>
      </c>
      <c r="AB956" s="13">
        <f>IF($A956="","",[1]!thsiFinD("ths_adjustment_nv_fund",AB$3,$A956))</f>
        <v/>
      </c>
      <c r="AC956" s="13">
        <f>IF($A956="","",[1]!thsiFinD("ths_adjustment_nv_fund",AC$3,$A956))</f>
        <v/>
      </c>
      <c r="AD956" s="13">
        <f>IF($A956="","",[1]!thsiFinD("ths_adjustment_nv_fund",AD$3,$A956))</f>
        <v/>
      </c>
      <c r="AE956" s="13">
        <f>IF($A956="","",[1]!thsiFinD("ths_adjustment_nv_fund",AE$3,$A956))</f>
        <v/>
      </c>
      <c r="AF956" s="13">
        <f>IF($A956="","",[1]!thsiFinD("ths_adjustment_nv_fund",AF$3,$A956))</f>
        <v/>
      </c>
      <c r="AG956" s="13">
        <f>IF($A956="","",[1]!thsiFinD("ths_adjustment_nv_fund",AG$3,$A956))</f>
        <v/>
      </c>
      <c r="AH956" s="13">
        <f>IF($A956="","",[1]!thsiFinD("ths_adjustment_nv_fund",AH$3,$A956))</f>
        <v/>
      </c>
      <c r="AI956" s="13">
        <f>IF($A956="","",[1]!thsiFinD("ths_adjustment_nv_fund",AI$3,$A956))</f>
        <v/>
      </c>
      <c r="AJ956" s="13">
        <f>IF($A956="","",[1]!thsiFinD("ths_adjustment_nv_fund",AJ$3,$A956))</f>
        <v/>
      </c>
      <c r="AK956" s="13">
        <f>IF($A956="","",[1]!thsiFinD("ths_adjustment_nv_fund",AK$3,$A956))</f>
        <v/>
      </c>
      <c r="AL956" s="13">
        <f>IF($A956="","",[1]!thsiFinD("ths_adjustment_nv_fund",AL$3,$A956))</f>
        <v/>
      </c>
    </row>
    <row r="957" spans="2:28">
      <c r="B957" s="13" t="str">
        <f>IF($A957="","",[1]!thsiFinD("ths_adjustment_nv_fund",B$3,$A957))</f>
        <v/>
      </c>
      <c r="C957" s="13" t="str">
        <f>IF($A957="","",[1]!thsiFinD("ths_adjustment_nv_fund",C$3,$A957))</f>
        <v/>
      </c>
      <c r="D957" s="13" t="str">
        <f>IF($A957="","",[1]!thsiFinD("ths_adjustment_nv_fund",D$3,$A957))</f>
        <v/>
      </c>
      <c r="E957" s="13" t="str">
        <f>IF($A957="","",[1]!thsiFinD("ths_adjustment_nv_fund",E$3,$A957))</f>
        <v/>
      </c>
      <c r="F957" s="13" t="str">
        <f>IF($A957="","",[1]!thsiFinD("ths_adjustment_nv_fund",F$3,$A957))</f>
        <v/>
      </c>
      <c r="G957" s="13" t="str">
        <f>IF($A957="","",[1]!thsiFinD("ths_adjustment_nv_fund",G$3,$A957))</f>
        <v/>
      </c>
      <c r="H957" s="13" t="str">
        <f>IF($A957="","",[1]!thsiFinD("ths_adjustment_nv_fund",H$3,$A957))</f>
        <v/>
      </c>
      <c r="I957" s="13" t="str">
        <f>IF($A957="","",[1]!thsiFinD("ths_adjustment_nv_fund",I$3,$A957))</f>
        <v/>
      </c>
      <c r="J957" s="13" t="str">
        <f>IF($A957="","",[1]!thsiFinD("ths_adjustment_nv_fund",J$3,$A957))</f>
        <v/>
      </c>
      <c r="K957" s="13" t="str">
        <f>IF($A957="","",[1]!thsiFinD("ths_adjustment_nv_fund",K$3,$A957))</f>
        <v/>
      </c>
      <c r="L957" s="13" t="str">
        <f>IF($A957="","",[1]!thsiFinD("ths_adjustment_nv_fund",L$3,$A957))</f>
        <v/>
      </c>
      <c r="M957" s="13" t="str">
        <f>IF($A957="","",[1]!thsiFinD("ths_adjustment_nv_fund",M$3,$A957))</f>
        <v/>
      </c>
      <c r="N957" s="13" t="str">
        <f>IF($A957="","",[1]!thsiFinD("ths_adjustment_nv_fund",N$3,$A957))</f>
        <v/>
      </c>
      <c r="O957" s="13" t="str">
        <f>IF($A957="","",[1]!thsiFinD("ths_adjustment_nv_fund",O$3,$A957))</f>
        <v/>
      </c>
      <c r="P957" s="13" t="str">
        <f>IF($A957="","",[1]!thsiFinD("ths_adjustment_nv_fund",P$3,$A957))</f>
        <v/>
      </c>
      <c r="Q957" s="13" t="str">
        <f>IF($A957="","",[1]!thsiFinD("ths_adjustment_nv_fund",Q$3,$A957))</f>
        <v/>
      </c>
      <c r="R957" s="13" t="str">
        <f>IF($A957="","",[1]!thsiFinD("ths_adjustment_nv_fund",R$3,$A957))</f>
        <v/>
      </c>
      <c r="S957" s="13" t="str">
        <f>IF($A957="","",[1]!thsiFinD("ths_adjustment_nv_fund",S$3,$A957))</f>
        <v/>
      </c>
      <c r="T957" s="13" t="str">
        <f>IF($A957="","",[1]!thsiFinD("ths_adjustment_nv_fund",T$3,$A957))</f>
        <v/>
      </c>
      <c r="U957" s="13" t="str">
        <f>IF($A957="","",[1]!thsiFinD("ths_adjustment_nv_fund",U$3,$A957))</f>
        <v/>
      </c>
      <c r="V957" s="13" t="str">
        <f>IF($A957="","",[1]!thsiFinD("ths_adjustment_nv_fund",V$3,$A957))</f>
        <v/>
      </c>
      <c r="W957" s="13" t="str">
        <f>IF($A957="","",[1]!thsiFinD("ths_adjustment_nv_fund",W$3,$A957))</f>
        <v/>
      </c>
      <c r="X957" s="13" t="str">
        <f>IF($A957="","",[1]!thsiFinD("ths_adjustment_nv_fund",X$3,$A957))</f>
        <v/>
      </c>
      <c r="Y957" s="13" t="str">
        <f>IF($A957="","",[1]!thsiFinD("ths_adjustment_nv_fund",Y$3,$A957))</f>
        <v/>
      </c>
      <c r="Z957" s="13" t="str">
        <f>IF($A957="","",[1]!thsiFinD("ths_adjustment_nv_fund",Z$3,$A957))</f>
        <v/>
      </c>
      <c r="AA957" s="13" t="str">
        <f>IF($A957="","",[1]!thsiFinD("ths_adjustment_nv_fund",AA$3,$A957))</f>
        <v/>
      </c>
      <c r="AB957" s="13">
        <f>IF($A957="","",[1]!thsiFinD("ths_adjustment_nv_fund",AB$3,$A957))</f>
        <v/>
      </c>
      <c r="AC957" s="13">
        <f>IF($A957="","",[1]!thsiFinD("ths_adjustment_nv_fund",AC$3,$A957))</f>
        <v/>
      </c>
      <c r="AD957" s="13">
        <f>IF($A957="","",[1]!thsiFinD("ths_adjustment_nv_fund",AD$3,$A957))</f>
        <v/>
      </c>
      <c r="AE957" s="13">
        <f>IF($A957="","",[1]!thsiFinD("ths_adjustment_nv_fund",AE$3,$A957))</f>
        <v/>
      </c>
      <c r="AF957" s="13">
        <f>IF($A957="","",[1]!thsiFinD("ths_adjustment_nv_fund",AF$3,$A957))</f>
        <v/>
      </c>
      <c r="AG957" s="13">
        <f>IF($A957="","",[1]!thsiFinD("ths_adjustment_nv_fund",AG$3,$A957))</f>
        <v/>
      </c>
      <c r="AH957" s="13">
        <f>IF($A957="","",[1]!thsiFinD("ths_adjustment_nv_fund",AH$3,$A957))</f>
        <v/>
      </c>
      <c r="AI957" s="13">
        <f>IF($A957="","",[1]!thsiFinD("ths_adjustment_nv_fund",AI$3,$A957))</f>
        <v/>
      </c>
      <c r="AJ957" s="13">
        <f>IF($A957="","",[1]!thsiFinD("ths_adjustment_nv_fund",AJ$3,$A957))</f>
        <v/>
      </c>
      <c r="AK957" s="13">
        <f>IF($A957="","",[1]!thsiFinD("ths_adjustment_nv_fund",AK$3,$A957))</f>
        <v/>
      </c>
      <c r="AL957" s="13">
        <f>IF($A957="","",[1]!thsiFinD("ths_adjustment_nv_fund",AL$3,$A957))</f>
        <v/>
      </c>
    </row>
    <row r="958" spans="2:28">
      <c r="B958" s="13" t="str">
        <f>IF($A958="","",[1]!thsiFinD("ths_adjustment_nv_fund",B$3,$A958))</f>
        <v/>
      </c>
      <c r="C958" s="13" t="str">
        <f>IF($A958="","",[1]!thsiFinD("ths_adjustment_nv_fund",C$3,$A958))</f>
        <v/>
      </c>
      <c r="D958" s="13" t="str">
        <f>IF($A958="","",[1]!thsiFinD("ths_adjustment_nv_fund",D$3,$A958))</f>
        <v/>
      </c>
      <c r="E958" s="13" t="str">
        <f>IF($A958="","",[1]!thsiFinD("ths_adjustment_nv_fund",E$3,$A958))</f>
        <v/>
      </c>
      <c r="F958" s="13" t="str">
        <f>IF($A958="","",[1]!thsiFinD("ths_adjustment_nv_fund",F$3,$A958))</f>
        <v/>
      </c>
      <c r="G958" s="13" t="str">
        <f>IF($A958="","",[1]!thsiFinD("ths_adjustment_nv_fund",G$3,$A958))</f>
        <v/>
      </c>
      <c r="H958" s="13" t="str">
        <f>IF($A958="","",[1]!thsiFinD("ths_adjustment_nv_fund",H$3,$A958))</f>
        <v/>
      </c>
      <c r="I958" s="13" t="str">
        <f>IF($A958="","",[1]!thsiFinD("ths_adjustment_nv_fund",I$3,$A958))</f>
        <v/>
      </c>
      <c r="J958" s="13" t="str">
        <f>IF($A958="","",[1]!thsiFinD("ths_adjustment_nv_fund",J$3,$A958))</f>
        <v/>
      </c>
      <c r="K958" s="13" t="str">
        <f>IF($A958="","",[1]!thsiFinD("ths_adjustment_nv_fund",K$3,$A958))</f>
        <v/>
      </c>
      <c r="L958" s="13" t="str">
        <f>IF($A958="","",[1]!thsiFinD("ths_adjustment_nv_fund",L$3,$A958))</f>
        <v/>
      </c>
      <c r="M958" s="13" t="str">
        <f>IF($A958="","",[1]!thsiFinD("ths_adjustment_nv_fund",M$3,$A958))</f>
        <v/>
      </c>
      <c r="N958" s="13" t="str">
        <f>IF($A958="","",[1]!thsiFinD("ths_adjustment_nv_fund",N$3,$A958))</f>
        <v/>
      </c>
      <c r="O958" s="13" t="str">
        <f>IF($A958="","",[1]!thsiFinD("ths_adjustment_nv_fund",O$3,$A958))</f>
        <v/>
      </c>
      <c r="P958" s="13" t="str">
        <f>IF($A958="","",[1]!thsiFinD("ths_adjustment_nv_fund",P$3,$A958))</f>
        <v/>
      </c>
      <c r="Q958" s="13" t="str">
        <f>IF($A958="","",[1]!thsiFinD("ths_adjustment_nv_fund",Q$3,$A958))</f>
        <v/>
      </c>
      <c r="R958" s="13" t="str">
        <f>IF($A958="","",[1]!thsiFinD("ths_adjustment_nv_fund",R$3,$A958))</f>
        <v/>
      </c>
      <c r="S958" s="13" t="str">
        <f>IF($A958="","",[1]!thsiFinD("ths_adjustment_nv_fund",S$3,$A958))</f>
        <v/>
      </c>
      <c r="T958" s="13" t="str">
        <f>IF($A958="","",[1]!thsiFinD("ths_adjustment_nv_fund",T$3,$A958))</f>
        <v/>
      </c>
      <c r="U958" s="13" t="str">
        <f>IF($A958="","",[1]!thsiFinD("ths_adjustment_nv_fund",U$3,$A958))</f>
        <v/>
      </c>
      <c r="V958" s="13" t="str">
        <f>IF($A958="","",[1]!thsiFinD("ths_adjustment_nv_fund",V$3,$A958))</f>
        <v/>
      </c>
      <c r="W958" s="13" t="str">
        <f>IF($A958="","",[1]!thsiFinD("ths_adjustment_nv_fund",W$3,$A958))</f>
        <v/>
      </c>
      <c r="X958" s="13" t="str">
        <f>IF($A958="","",[1]!thsiFinD("ths_adjustment_nv_fund",X$3,$A958))</f>
        <v/>
      </c>
      <c r="Y958" s="13" t="str">
        <f>IF($A958="","",[1]!thsiFinD("ths_adjustment_nv_fund",Y$3,$A958))</f>
        <v/>
      </c>
      <c r="Z958" s="13" t="str">
        <f>IF($A958="","",[1]!thsiFinD("ths_adjustment_nv_fund",Z$3,$A958))</f>
        <v/>
      </c>
      <c r="AA958" s="13" t="str">
        <f>IF($A958="","",[1]!thsiFinD("ths_adjustment_nv_fund",AA$3,$A958))</f>
        <v/>
      </c>
      <c r="AB958" s="13">
        <f>IF($A958="","",[1]!thsiFinD("ths_adjustment_nv_fund",AB$3,$A958))</f>
        <v/>
      </c>
      <c r="AC958" s="13">
        <f>IF($A958="","",[1]!thsiFinD("ths_adjustment_nv_fund",AC$3,$A958))</f>
        <v/>
      </c>
      <c r="AD958" s="13">
        <f>IF($A958="","",[1]!thsiFinD("ths_adjustment_nv_fund",AD$3,$A958))</f>
        <v/>
      </c>
      <c r="AE958" s="13">
        <f>IF($A958="","",[1]!thsiFinD("ths_adjustment_nv_fund",AE$3,$A958))</f>
        <v/>
      </c>
      <c r="AF958" s="13">
        <f>IF($A958="","",[1]!thsiFinD("ths_adjustment_nv_fund",AF$3,$A958))</f>
        <v/>
      </c>
      <c r="AG958" s="13">
        <f>IF($A958="","",[1]!thsiFinD("ths_adjustment_nv_fund",AG$3,$A958))</f>
        <v/>
      </c>
      <c r="AH958" s="13">
        <f>IF($A958="","",[1]!thsiFinD("ths_adjustment_nv_fund",AH$3,$A958))</f>
        <v/>
      </c>
      <c r="AI958" s="13">
        <f>IF($A958="","",[1]!thsiFinD("ths_adjustment_nv_fund",AI$3,$A958))</f>
        <v/>
      </c>
      <c r="AJ958" s="13">
        <f>IF($A958="","",[1]!thsiFinD("ths_adjustment_nv_fund",AJ$3,$A958))</f>
        <v/>
      </c>
      <c r="AK958" s="13">
        <f>IF($A958="","",[1]!thsiFinD("ths_adjustment_nv_fund",AK$3,$A958))</f>
        <v/>
      </c>
      <c r="AL958" s="13">
        <f>IF($A958="","",[1]!thsiFinD("ths_adjustment_nv_fund",AL$3,$A958))</f>
        <v/>
      </c>
    </row>
    <row r="959" spans="2:28">
      <c r="B959" s="13" t="str">
        <f>IF($A959="","",[1]!thsiFinD("ths_adjustment_nv_fund",B$3,$A959))</f>
        <v/>
      </c>
      <c r="C959" s="13" t="str">
        <f>IF($A959="","",[1]!thsiFinD("ths_adjustment_nv_fund",C$3,$A959))</f>
        <v/>
      </c>
      <c r="D959" s="13" t="str">
        <f>IF($A959="","",[1]!thsiFinD("ths_adjustment_nv_fund",D$3,$A959))</f>
        <v/>
      </c>
      <c r="E959" s="13" t="str">
        <f>IF($A959="","",[1]!thsiFinD("ths_adjustment_nv_fund",E$3,$A959))</f>
        <v/>
      </c>
      <c r="F959" s="13" t="str">
        <f>IF($A959="","",[1]!thsiFinD("ths_adjustment_nv_fund",F$3,$A959))</f>
        <v/>
      </c>
      <c r="G959" s="13" t="str">
        <f>IF($A959="","",[1]!thsiFinD("ths_adjustment_nv_fund",G$3,$A959))</f>
        <v/>
      </c>
      <c r="H959" s="13" t="str">
        <f>IF($A959="","",[1]!thsiFinD("ths_adjustment_nv_fund",H$3,$A959))</f>
        <v/>
      </c>
      <c r="I959" s="13" t="str">
        <f>IF($A959="","",[1]!thsiFinD("ths_adjustment_nv_fund",I$3,$A959))</f>
        <v/>
      </c>
      <c r="J959" s="13" t="str">
        <f>IF($A959="","",[1]!thsiFinD("ths_adjustment_nv_fund",J$3,$A959))</f>
        <v/>
      </c>
      <c r="K959" s="13" t="str">
        <f>IF($A959="","",[1]!thsiFinD("ths_adjustment_nv_fund",K$3,$A959))</f>
        <v/>
      </c>
      <c r="L959" s="13" t="str">
        <f>IF($A959="","",[1]!thsiFinD("ths_adjustment_nv_fund",L$3,$A959))</f>
        <v/>
      </c>
      <c r="M959" s="13" t="str">
        <f>IF($A959="","",[1]!thsiFinD("ths_adjustment_nv_fund",M$3,$A959))</f>
        <v/>
      </c>
      <c r="N959" s="13" t="str">
        <f>IF($A959="","",[1]!thsiFinD("ths_adjustment_nv_fund",N$3,$A959))</f>
        <v/>
      </c>
      <c r="O959" s="13" t="str">
        <f>IF($A959="","",[1]!thsiFinD("ths_adjustment_nv_fund",O$3,$A959))</f>
        <v/>
      </c>
      <c r="P959" s="13" t="str">
        <f>IF($A959="","",[1]!thsiFinD("ths_adjustment_nv_fund",P$3,$A959))</f>
        <v/>
      </c>
      <c r="Q959" s="13" t="str">
        <f>IF($A959="","",[1]!thsiFinD("ths_adjustment_nv_fund",Q$3,$A959))</f>
        <v/>
      </c>
      <c r="R959" s="13" t="str">
        <f>IF($A959="","",[1]!thsiFinD("ths_adjustment_nv_fund",R$3,$A959))</f>
        <v/>
      </c>
      <c r="S959" s="13" t="str">
        <f>IF($A959="","",[1]!thsiFinD("ths_adjustment_nv_fund",S$3,$A959))</f>
        <v/>
      </c>
      <c r="T959" s="13" t="str">
        <f>IF($A959="","",[1]!thsiFinD("ths_adjustment_nv_fund",T$3,$A959))</f>
        <v/>
      </c>
      <c r="U959" s="13" t="str">
        <f>IF($A959="","",[1]!thsiFinD("ths_adjustment_nv_fund",U$3,$A959))</f>
        <v/>
      </c>
      <c r="V959" s="13" t="str">
        <f>IF($A959="","",[1]!thsiFinD("ths_adjustment_nv_fund",V$3,$A959))</f>
        <v/>
      </c>
      <c r="W959" s="13" t="str">
        <f>IF($A959="","",[1]!thsiFinD("ths_adjustment_nv_fund",W$3,$A959))</f>
        <v/>
      </c>
      <c r="X959" s="13" t="str">
        <f>IF($A959="","",[1]!thsiFinD("ths_adjustment_nv_fund",X$3,$A959))</f>
        <v/>
      </c>
      <c r="Y959" s="13" t="str">
        <f>IF($A959="","",[1]!thsiFinD("ths_adjustment_nv_fund",Y$3,$A959))</f>
        <v/>
      </c>
      <c r="Z959" s="13" t="str">
        <f>IF($A959="","",[1]!thsiFinD("ths_adjustment_nv_fund",Z$3,$A959))</f>
        <v/>
      </c>
      <c r="AA959" s="13" t="str">
        <f>IF($A959="","",[1]!thsiFinD("ths_adjustment_nv_fund",AA$3,$A959))</f>
        <v/>
      </c>
      <c r="AB959" s="13">
        <f>IF($A959="","",[1]!thsiFinD("ths_adjustment_nv_fund",AB$3,$A959))</f>
        <v/>
      </c>
      <c r="AC959" s="13">
        <f>IF($A959="","",[1]!thsiFinD("ths_adjustment_nv_fund",AC$3,$A959))</f>
        <v/>
      </c>
      <c r="AD959" s="13">
        <f>IF($A959="","",[1]!thsiFinD("ths_adjustment_nv_fund",AD$3,$A959))</f>
        <v/>
      </c>
      <c r="AE959" s="13">
        <f>IF($A959="","",[1]!thsiFinD("ths_adjustment_nv_fund",AE$3,$A959))</f>
        <v/>
      </c>
      <c r="AF959" s="13">
        <f>IF($A959="","",[1]!thsiFinD("ths_adjustment_nv_fund",AF$3,$A959))</f>
        <v/>
      </c>
      <c r="AG959" s="13">
        <f>IF($A959="","",[1]!thsiFinD("ths_adjustment_nv_fund",AG$3,$A959))</f>
        <v/>
      </c>
      <c r="AH959" s="13">
        <f>IF($A959="","",[1]!thsiFinD("ths_adjustment_nv_fund",AH$3,$A959))</f>
        <v/>
      </c>
      <c r="AI959" s="13">
        <f>IF($A959="","",[1]!thsiFinD("ths_adjustment_nv_fund",AI$3,$A959))</f>
        <v/>
      </c>
      <c r="AJ959" s="13">
        <f>IF($A959="","",[1]!thsiFinD("ths_adjustment_nv_fund",AJ$3,$A959))</f>
        <v/>
      </c>
      <c r="AK959" s="13">
        <f>IF($A959="","",[1]!thsiFinD("ths_adjustment_nv_fund",AK$3,$A959))</f>
        <v/>
      </c>
      <c r="AL959" s="13">
        <f>IF($A959="","",[1]!thsiFinD("ths_adjustment_nv_fund",AL$3,$A959))</f>
        <v/>
      </c>
    </row>
    <row r="960" spans="2:28">
      <c r="B960" s="13" t="str">
        <f>IF($A960="","",[1]!thsiFinD("ths_adjustment_nv_fund",B$3,$A960))</f>
        <v/>
      </c>
      <c r="C960" s="13" t="str">
        <f>IF($A960="","",[1]!thsiFinD("ths_adjustment_nv_fund",C$3,$A960))</f>
        <v/>
      </c>
      <c r="D960" s="13" t="str">
        <f>IF($A960="","",[1]!thsiFinD("ths_adjustment_nv_fund",D$3,$A960))</f>
        <v/>
      </c>
      <c r="E960" s="13" t="str">
        <f>IF($A960="","",[1]!thsiFinD("ths_adjustment_nv_fund",E$3,$A960))</f>
        <v/>
      </c>
      <c r="F960" s="13" t="str">
        <f>IF($A960="","",[1]!thsiFinD("ths_adjustment_nv_fund",F$3,$A960))</f>
        <v/>
      </c>
      <c r="G960" s="13" t="str">
        <f>IF($A960="","",[1]!thsiFinD("ths_adjustment_nv_fund",G$3,$A960))</f>
        <v/>
      </c>
      <c r="H960" s="13" t="str">
        <f>IF($A960="","",[1]!thsiFinD("ths_adjustment_nv_fund",H$3,$A960))</f>
        <v/>
      </c>
      <c r="I960" s="13" t="str">
        <f>IF($A960="","",[1]!thsiFinD("ths_adjustment_nv_fund",I$3,$A960))</f>
        <v/>
      </c>
      <c r="J960" s="13" t="str">
        <f>IF($A960="","",[1]!thsiFinD("ths_adjustment_nv_fund",J$3,$A960))</f>
        <v/>
      </c>
      <c r="K960" s="13" t="str">
        <f>IF($A960="","",[1]!thsiFinD("ths_adjustment_nv_fund",K$3,$A960))</f>
        <v/>
      </c>
      <c r="L960" s="13" t="str">
        <f>IF($A960="","",[1]!thsiFinD("ths_adjustment_nv_fund",L$3,$A960))</f>
        <v/>
      </c>
      <c r="M960" s="13" t="str">
        <f>IF($A960="","",[1]!thsiFinD("ths_adjustment_nv_fund",M$3,$A960))</f>
        <v/>
      </c>
      <c r="N960" s="13" t="str">
        <f>IF($A960="","",[1]!thsiFinD("ths_adjustment_nv_fund",N$3,$A960))</f>
        <v/>
      </c>
      <c r="O960" s="13" t="str">
        <f>IF($A960="","",[1]!thsiFinD("ths_adjustment_nv_fund",O$3,$A960))</f>
        <v/>
      </c>
      <c r="P960" s="13" t="str">
        <f>IF($A960="","",[1]!thsiFinD("ths_adjustment_nv_fund",P$3,$A960))</f>
        <v/>
      </c>
      <c r="Q960" s="13" t="str">
        <f>IF($A960="","",[1]!thsiFinD("ths_adjustment_nv_fund",Q$3,$A960))</f>
        <v/>
      </c>
      <c r="R960" s="13" t="str">
        <f>IF($A960="","",[1]!thsiFinD("ths_adjustment_nv_fund",R$3,$A960))</f>
        <v/>
      </c>
      <c r="S960" s="13" t="str">
        <f>IF($A960="","",[1]!thsiFinD("ths_adjustment_nv_fund",S$3,$A960))</f>
        <v/>
      </c>
      <c r="T960" s="13" t="str">
        <f>IF($A960="","",[1]!thsiFinD("ths_adjustment_nv_fund",T$3,$A960))</f>
        <v/>
      </c>
      <c r="U960" s="13" t="str">
        <f>IF($A960="","",[1]!thsiFinD("ths_adjustment_nv_fund",U$3,$A960))</f>
        <v/>
      </c>
      <c r="V960" s="13" t="str">
        <f>IF($A960="","",[1]!thsiFinD("ths_adjustment_nv_fund",V$3,$A960))</f>
        <v/>
      </c>
      <c r="W960" s="13" t="str">
        <f>IF($A960="","",[1]!thsiFinD("ths_adjustment_nv_fund",W$3,$A960))</f>
        <v/>
      </c>
      <c r="X960" s="13" t="str">
        <f>IF($A960="","",[1]!thsiFinD("ths_adjustment_nv_fund",X$3,$A960))</f>
        <v/>
      </c>
      <c r="Y960" s="13" t="str">
        <f>IF($A960="","",[1]!thsiFinD("ths_adjustment_nv_fund",Y$3,$A960))</f>
        <v/>
      </c>
      <c r="Z960" s="13" t="str">
        <f>IF($A960="","",[1]!thsiFinD("ths_adjustment_nv_fund",Z$3,$A960))</f>
        <v/>
      </c>
      <c r="AA960" s="13" t="str">
        <f>IF($A960="","",[1]!thsiFinD("ths_adjustment_nv_fund",AA$3,$A960))</f>
        <v/>
      </c>
      <c r="AB960" s="13">
        <f>IF($A960="","",[1]!thsiFinD("ths_adjustment_nv_fund",AB$3,$A960))</f>
        <v/>
      </c>
      <c r="AC960" s="13">
        <f>IF($A960="","",[1]!thsiFinD("ths_adjustment_nv_fund",AC$3,$A960))</f>
        <v/>
      </c>
      <c r="AD960" s="13">
        <f>IF($A960="","",[1]!thsiFinD("ths_adjustment_nv_fund",AD$3,$A960))</f>
        <v/>
      </c>
      <c r="AE960" s="13">
        <f>IF($A960="","",[1]!thsiFinD("ths_adjustment_nv_fund",AE$3,$A960))</f>
        <v/>
      </c>
      <c r="AF960" s="13">
        <f>IF($A960="","",[1]!thsiFinD("ths_adjustment_nv_fund",AF$3,$A960))</f>
        <v/>
      </c>
      <c r="AG960" s="13">
        <f>IF($A960="","",[1]!thsiFinD("ths_adjustment_nv_fund",AG$3,$A960))</f>
        <v/>
      </c>
      <c r="AH960" s="13">
        <f>IF($A960="","",[1]!thsiFinD("ths_adjustment_nv_fund",AH$3,$A960))</f>
        <v/>
      </c>
      <c r="AI960" s="13">
        <f>IF($A960="","",[1]!thsiFinD("ths_adjustment_nv_fund",AI$3,$A960))</f>
        <v/>
      </c>
      <c r="AJ960" s="13">
        <f>IF($A960="","",[1]!thsiFinD("ths_adjustment_nv_fund",AJ$3,$A960))</f>
        <v/>
      </c>
      <c r="AK960" s="13">
        <f>IF($A960="","",[1]!thsiFinD("ths_adjustment_nv_fund",AK$3,$A960))</f>
        <v/>
      </c>
      <c r="AL960" s="13">
        <f>IF($A960="","",[1]!thsiFinD("ths_adjustment_nv_fund",AL$3,$A960))</f>
        <v/>
      </c>
    </row>
    <row r="961" spans="2:28">
      <c r="B961" s="13" t="str">
        <f>IF($A961="","",[1]!thsiFinD("ths_adjustment_nv_fund",B$3,$A961))</f>
        <v/>
      </c>
      <c r="C961" s="13" t="str">
        <f>IF($A961="","",[1]!thsiFinD("ths_adjustment_nv_fund",C$3,$A961))</f>
        <v/>
      </c>
      <c r="D961" s="13" t="str">
        <f>IF($A961="","",[1]!thsiFinD("ths_adjustment_nv_fund",D$3,$A961))</f>
        <v/>
      </c>
      <c r="E961" s="13" t="str">
        <f>IF($A961="","",[1]!thsiFinD("ths_adjustment_nv_fund",E$3,$A961))</f>
        <v/>
      </c>
      <c r="F961" s="13" t="str">
        <f>IF($A961="","",[1]!thsiFinD("ths_adjustment_nv_fund",F$3,$A961))</f>
        <v/>
      </c>
      <c r="G961" s="13" t="str">
        <f>IF($A961="","",[1]!thsiFinD("ths_adjustment_nv_fund",G$3,$A961))</f>
        <v/>
      </c>
      <c r="H961" s="13" t="str">
        <f>IF($A961="","",[1]!thsiFinD("ths_adjustment_nv_fund",H$3,$A961))</f>
        <v/>
      </c>
      <c r="I961" s="13" t="str">
        <f>IF($A961="","",[1]!thsiFinD("ths_adjustment_nv_fund",I$3,$A961))</f>
        <v/>
      </c>
      <c r="J961" s="13" t="str">
        <f>IF($A961="","",[1]!thsiFinD("ths_adjustment_nv_fund",J$3,$A961))</f>
        <v/>
      </c>
      <c r="K961" s="13" t="str">
        <f>IF($A961="","",[1]!thsiFinD("ths_adjustment_nv_fund",K$3,$A961))</f>
        <v/>
      </c>
      <c r="L961" s="13" t="str">
        <f>IF($A961="","",[1]!thsiFinD("ths_adjustment_nv_fund",L$3,$A961))</f>
        <v/>
      </c>
      <c r="M961" s="13" t="str">
        <f>IF($A961="","",[1]!thsiFinD("ths_adjustment_nv_fund",M$3,$A961))</f>
        <v/>
      </c>
      <c r="N961" s="13" t="str">
        <f>IF($A961="","",[1]!thsiFinD("ths_adjustment_nv_fund",N$3,$A961))</f>
        <v/>
      </c>
      <c r="O961" s="13" t="str">
        <f>IF($A961="","",[1]!thsiFinD("ths_adjustment_nv_fund",O$3,$A961))</f>
        <v/>
      </c>
      <c r="P961" s="13" t="str">
        <f>IF($A961="","",[1]!thsiFinD("ths_adjustment_nv_fund",P$3,$A961))</f>
        <v/>
      </c>
      <c r="Q961" s="13" t="str">
        <f>IF($A961="","",[1]!thsiFinD("ths_adjustment_nv_fund",Q$3,$A961))</f>
        <v/>
      </c>
      <c r="R961" s="13" t="str">
        <f>IF($A961="","",[1]!thsiFinD("ths_adjustment_nv_fund",R$3,$A961))</f>
        <v/>
      </c>
      <c r="S961" s="13" t="str">
        <f>IF($A961="","",[1]!thsiFinD("ths_adjustment_nv_fund",S$3,$A961))</f>
        <v/>
      </c>
      <c r="T961" s="13" t="str">
        <f>IF($A961="","",[1]!thsiFinD("ths_adjustment_nv_fund",T$3,$A961))</f>
        <v/>
      </c>
      <c r="U961" s="13" t="str">
        <f>IF($A961="","",[1]!thsiFinD("ths_adjustment_nv_fund",U$3,$A961))</f>
        <v/>
      </c>
      <c r="V961" s="13" t="str">
        <f>IF($A961="","",[1]!thsiFinD("ths_adjustment_nv_fund",V$3,$A961))</f>
        <v/>
      </c>
      <c r="W961" s="13" t="str">
        <f>IF($A961="","",[1]!thsiFinD("ths_adjustment_nv_fund",W$3,$A961))</f>
        <v/>
      </c>
      <c r="X961" s="13" t="str">
        <f>IF($A961="","",[1]!thsiFinD("ths_adjustment_nv_fund",X$3,$A961))</f>
        <v/>
      </c>
      <c r="Y961" s="13" t="str">
        <f>IF($A961="","",[1]!thsiFinD("ths_adjustment_nv_fund",Y$3,$A961))</f>
        <v/>
      </c>
      <c r="Z961" s="13" t="str">
        <f>IF($A961="","",[1]!thsiFinD("ths_adjustment_nv_fund",Z$3,$A961))</f>
        <v/>
      </c>
      <c r="AA961" s="13" t="str">
        <f>IF($A961="","",[1]!thsiFinD("ths_adjustment_nv_fund",AA$3,$A961))</f>
        <v/>
      </c>
      <c r="AB961" s="13">
        <f>IF($A961="","",[1]!thsiFinD("ths_adjustment_nv_fund",AB$3,$A961))</f>
        <v/>
      </c>
      <c r="AC961" s="13">
        <f>IF($A961="","",[1]!thsiFinD("ths_adjustment_nv_fund",AC$3,$A961))</f>
        <v/>
      </c>
      <c r="AD961" s="13">
        <f>IF($A961="","",[1]!thsiFinD("ths_adjustment_nv_fund",AD$3,$A961))</f>
        <v/>
      </c>
      <c r="AE961" s="13">
        <f>IF($A961="","",[1]!thsiFinD("ths_adjustment_nv_fund",AE$3,$A961))</f>
        <v/>
      </c>
      <c r="AF961" s="13">
        <f>IF($A961="","",[1]!thsiFinD("ths_adjustment_nv_fund",AF$3,$A961))</f>
        <v/>
      </c>
      <c r="AG961" s="13">
        <f>IF($A961="","",[1]!thsiFinD("ths_adjustment_nv_fund",AG$3,$A961))</f>
        <v/>
      </c>
      <c r="AH961" s="13">
        <f>IF($A961="","",[1]!thsiFinD("ths_adjustment_nv_fund",AH$3,$A961))</f>
        <v/>
      </c>
      <c r="AI961" s="13">
        <f>IF($A961="","",[1]!thsiFinD("ths_adjustment_nv_fund",AI$3,$A961))</f>
        <v/>
      </c>
      <c r="AJ961" s="13">
        <f>IF($A961="","",[1]!thsiFinD("ths_adjustment_nv_fund",AJ$3,$A961))</f>
        <v/>
      </c>
      <c r="AK961" s="13">
        <f>IF($A961="","",[1]!thsiFinD("ths_adjustment_nv_fund",AK$3,$A961))</f>
        <v/>
      </c>
      <c r="AL961" s="13">
        <f>IF($A961="","",[1]!thsiFinD("ths_adjustment_nv_fund",AL$3,$A961))</f>
        <v/>
      </c>
    </row>
    <row r="962" spans="2:28">
      <c r="B962" s="13" t="str">
        <f>IF($A962="","",[1]!thsiFinD("ths_adjustment_nv_fund",B$3,$A962))</f>
        <v/>
      </c>
      <c r="C962" s="13" t="str">
        <f>IF($A962="","",[1]!thsiFinD("ths_adjustment_nv_fund",C$3,$A962))</f>
        <v/>
      </c>
      <c r="D962" s="13" t="str">
        <f>IF($A962="","",[1]!thsiFinD("ths_adjustment_nv_fund",D$3,$A962))</f>
        <v/>
      </c>
      <c r="E962" s="13" t="str">
        <f>IF($A962="","",[1]!thsiFinD("ths_adjustment_nv_fund",E$3,$A962))</f>
        <v/>
      </c>
      <c r="F962" s="13" t="str">
        <f>IF($A962="","",[1]!thsiFinD("ths_adjustment_nv_fund",F$3,$A962))</f>
        <v/>
      </c>
      <c r="G962" s="13" t="str">
        <f>IF($A962="","",[1]!thsiFinD("ths_adjustment_nv_fund",G$3,$A962))</f>
        <v/>
      </c>
      <c r="H962" s="13" t="str">
        <f>IF($A962="","",[1]!thsiFinD("ths_adjustment_nv_fund",H$3,$A962))</f>
        <v/>
      </c>
      <c r="I962" s="13" t="str">
        <f>IF($A962="","",[1]!thsiFinD("ths_adjustment_nv_fund",I$3,$A962))</f>
        <v/>
      </c>
      <c r="J962" s="13" t="str">
        <f>IF($A962="","",[1]!thsiFinD("ths_adjustment_nv_fund",J$3,$A962))</f>
        <v/>
      </c>
      <c r="K962" s="13" t="str">
        <f>IF($A962="","",[1]!thsiFinD("ths_adjustment_nv_fund",K$3,$A962))</f>
        <v/>
      </c>
      <c r="L962" s="13" t="str">
        <f>IF($A962="","",[1]!thsiFinD("ths_adjustment_nv_fund",L$3,$A962))</f>
        <v/>
      </c>
      <c r="M962" s="13" t="str">
        <f>IF($A962="","",[1]!thsiFinD("ths_adjustment_nv_fund",M$3,$A962))</f>
        <v/>
      </c>
      <c r="N962" s="13" t="str">
        <f>IF($A962="","",[1]!thsiFinD("ths_adjustment_nv_fund",N$3,$A962))</f>
        <v/>
      </c>
      <c r="O962" s="13" t="str">
        <f>IF($A962="","",[1]!thsiFinD("ths_adjustment_nv_fund",O$3,$A962))</f>
        <v/>
      </c>
      <c r="P962" s="13" t="str">
        <f>IF($A962="","",[1]!thsiFinD("ths_adjustment_nv_fund",P$3,$A962))</f>
        <v/>
      </c>
      <c r="Q962" s="13" t="str">
        <f>IF($A962="","",[1]!thsiFinD("ths_adjustment_nv_fund",Q$3,$A962))</f>
        <v/>
      </c>
      <c r="R962" s="13" t="str">
        <f>IF($A962="","",[1]!thsiFinD("ths_adjustment_nv_fund",R$3,$A962))</f>
        <v/>
      </c>
      <c r="S962" s="13" t="str">
        <f>IF($A962="","",[1]!thsiFinD("ths_adjustment_nv_fund",S$3,$A962))</f>
        <v/>
      </c>
      <c r="T962" s="13" t="str">
        <f>IF($A962="","",[1]!thsiFinD("ths_adjustment_nv_fund",T$3,$A962))</f>
        <v/>
      </c>
      <c r="U962" s="13" t="str">
        <f>IF($A962="","",[1]!thsiFinD("ths_adjustment_nv_fund",U$3,$A962))</f>
        <v/>
      </c>
      <c r="V962" s="13" t="str">
        <f>IF($A962="","",[1]!thsiFinD("ths_adjustment_nv_fund",V$3,$A962))</f>
        <v/>
      </c>
      <c r="W962" s="13" t="str">
        <f>IF($A962="","",[1]!thsiFinD("ths_adjustment_nv_fund",W$3,$A962))</f>
        <v/>
      </c>
      <c r="X962" s="13" t="str">
        <f>IF($A962="","",[1]!thsiFinD("ths_adjustment_nv_fund",X$3,$A962))</f>
        <v/>
      </c>
      <c r="Y962" s="13" t="str">
        <f>IF($A962="","",[1]!thsiFinD("ths_adjustment_nv_fund",Y$3,$A962))</f>
        <v/>
      </c>
      <c r="Z962" s="13" t="str">
        <f>IF($A962="","",[1]!thsiFinD("ths_adjustment_nv_fund",Z$3,$A962))</f>
        <v/>
      </c>
      <c r="AA962" s="13" t="str">
        <f>IF($A962="","",[1]!thsiFinD("ths_adjustment_nv_fund",AA$3,$A962))</f>
        <v/>
      </c>
      <c r="AB962" s="13">
        <f>IF($A962="","",[1]!thsiFinD("ths_adjustment_nv_fund",AB$3,$A962))</f>
        <v/>
      </c>
      <c r="AC962" s="13">
        <f>IF($A962="","",[1]!thsiFinD("ths_adjustment_nv_fund",AC$3,$A962))</f>
        <v/>
      </c>
      <c r="AD962" s="13">
        <f>IF($A962="","",[1]!thsiFinD("ths_adjustment_nv_fund",AD$3,$A962))</f>
        <v/>
      </c>
      <c r="AE962" s="13">
        <f>IF($A962="","",[1]!thsiFinD("ths_adjustment_nv_fund",AE$3,$A962))</f>
        <v/>
      </c>
      <c r="AF962" s="13">
        <f>IF($A962="","",[1]!thsiFinD("ths_adjustment_nv_fund",AF$3,$A962))</f>
        <v/>
      </c>
      <c r="AG962" s="13">
        <f>IF($A962="","",[1]!thsiFinD("ths_adjustment_nv_fund",AG$3,$A962))</f>
        <v/>
      </c>
      <c r="AH962" s="13">
        <f>IF($A962="","",[1]!thsiFinD("ths_adjustment_nv_fund",AH$3,$A962))</f>
        <v/>
      </c>
      <c r="AI962" s="13">
        <f>IF($A962="","",[1]!thsiFinD("ths_adjustment_nv_fund",AI$3,$A962))</f>
        <v/>
      </c>
      <c r="AJ962" s="13">
        <f>IF($A962="","",[1]!thsiFinD("ths_adjustment_nv_fund",AJ$3,$A962))</f>
        <v/>
      </c>
      <c r="AK962" s="13">
        <f>IF($A962="","",[1]!thsiFinD("ths_adjustment_nv_fund",AK$3,$A962))</f>
        <v/>
      </c>
      <c r="AL962" s="13">
        <f>IF($A962="","",[1]!thsiFinD("ths_adjustment_nv_fund",AL$3,$A962))</f>
        <v/>
      </c>
    </row>
    <row r="963" spans="2:28">
      <c r="B963" s="13" t="str">
        <f>IF($A963="","",[1]!thsiFinD("ths_adjustment_nv_fund",B$3,$A963))</f>
        <v/>
      </c>
      <c r="C963" s="13" t="str">
        <f>IF($A963="","",[1]!thsiFinD("ths_adjustment_nv_fund",C$3,$A963))</f>
        <v/>
      </c>
      <c r="D963" s="13" t="str">
        <f>IF($A963="","",[1]!thsiFinD("ths_adjustment_nv_fund",D$3,$A963))</f>
        <v/>
      </c>
      <c r="E963" s="13" t="str">
        <f>IF($A963="","",[1]!thsiFinD("ths_adjustment_nv_fund",E$3,$A963))</f>
        <v/>
      </c>
      <c r="F963" s="13" t="str">
        <f>IF($A963="","",[1]!thsiFinD("ths_adjustment_nv_fund",F$3,$A963))</f>
        <v/>
      </c>
      <c r="G963" s="13" t="str">
        <f>IF($A963="","",[1]!thsiFinD("ths_adjustment_nv_fund",G$3,$A963))</f>
        <v/>
      </c>
      <c r="H963" s="13" t="str">
        <f>IF($A963="","",[1]!thsiFinD("ths_adjustment_nv_fund",H$3,$A963))</f>
        <v/>
      </c>
      <c r="I963" s="13" t="str">
        <f>IF($A963="","",[1]!thsiFinD("ths_adjustment_nv_fund",I$3,$A963))</f>
        <v/>
      </c>
      <c r="J963" s="13" t="str">
        <f>IF($A963="","",[1]!thsiFinD("ths_adjustment_nv_fund",J$3,$A963))</f>
        <v/>
      </c>
      <c r="K963" s="13" t="str">
        <f>IF($A963="","",[1]!thsiFinD("ths_adjustment_nv_fund",K$3,$A963))</f>
        <v/>
      </c>
      <c r="L963" s="13" t="str">
        <f>IF($A963="","",[1]!thsiFinD("ths_adjustment_nv_fund",L$3,$A963))</f>
        <v/>
      </c>
      <c r="M963" s="13" t="str">
        <f>IF($A963="","",[1]!thsiFinD("ths_adjustment_nv_fund",M$3,$A963))</f>
        <v/>
      </c>
      <c r="N963" s="13" t="str">
        <f>IF($A963="","",[1]!thsiFinD("ths_adjustment_nv_fund",N$3,$A963))</f>
        <v/>
      </c>
      <c r="O963" s="13" t="str">
        <f>IF($A963="","",[1]!thsiFinD("ths_adjustment_nv_fund",O$3,$A963))</f>
        <v/>
      </c>
      <c r="P963" s="13" t="str">
        <f>IF($A963="","",[1]!thsiFinD("ths_adjustment_nv_fund",P$3,$A963))</f>
        <v/>
      </c>
      <c r="Q963" s="13" t="str">
        <f>IF($A963="","",[1]!thsiFinD("ths_adjustment_nv_fund",Q$3,$A963))</f>
        <v/>
      </c>
      <c r="R963" s="13" t="str">
        <f>IF($A963="","",[1]!thsiFinD("ths_adjustment_nv_fund",R$3,$A963))</f>
        <v/>
      </c>
      <c r="S963" s="13" t="str">
        <f>IF($A963="","",[1]!thsiFinD("ths_adjustment_nv_fund",S$3,$A963))</f>
        <v/>
      </c>
      <c r="T963" s="13" t="str">
        <f>IF($A963="","",[1]!thsiFinD("ths_adjustment_nv_fund",T$3,$A963))</f>
        <v/>
      </c>
      <c r="U963" s="13" t="str">
        <f>IF($A963="","",[1]!thsiFinD("ths_adjustment_nv_fund",U$3,$A963))</f>
        <v/>
      </c>
      <c r="V963" s="13" t="str">
        <f>IF($A963="","",[1]!thsiFinD("ths_adjustment_nv_fund",V$3,$A963))</f>
        <v/>
      </c>
      <c r="W963" s="13" t="str">
        <f>IF($A963="","",[1]!thsiFinD("ths_adjustment_nv_fund",W$3,$A963))</f>
        <v/>
      </c>
      <c r="X963" s="13" t="str">
        <f>IF($A963="","",[1]!thsiFinD("ths_adjustment_nv_fund",X$3,$A963))</f>
        <v/>
      </c>
      <c r="Y963" s="13" t="str">
        <f>IF($A963="","",[1]!thsiFinD("ths_adjustment_nv_fund",Y$3,$A963))</f>
        <v/>
      </c>
      <c r="Z963" s="13" t="str">
        <f>IF($A963="","",[1]!thsiFinD("ths_adjustment_nv_fund",Z$3,$A963))</f>
        <v/>
      </c>
      <c r="AA963" s="13" t="str">
        <f>IF($A963="","",[1]!thsiFinD("ths_adjustment_nv_fund",AA$3,$A963))</f>
        <v/>
      </c>
      <c r="AB963" s="13">
        <f>IF($A963="","",[1]!thsiFinD("ths_adjustment_nv_fund",AB$3,$A963))</f>
        <v/>
      </c>
      <c r="AC963" s="13">
        <f>IF($A963="","",[1]!thsiFinD("ths_adjustment_nv_fund",AC$3,$A963))</f>
        <v/>
      </c>
      <c r="AD963" s="13">
        <f>IF($A963="","",[1]!thsiFinD("ths_adjustment_nv_fund",AD$3,$A963))</f>
        <v/>
      </c>
      <c r="AE963" s="13">
        <f>IF($A963="","",[1]!thsiFinD("ths_adjustment_nv_fund",AE$3,$A963))</f>
        <v/>
      </c>
      <c r="AF963" s="13">
        <f>IF($A963="","",[1]!thsiFinD("ths_adjustment_nv_fund",AF$3,$A963))</f>
        <v/>
      </c>
      <c r="AG963" s="13">
        <f>IF($A963="","",[1]!thsiFinD("ths_adjustment_nv_fund",AG$3,$A963))</f>
        <v/>
      </c>
      <c r="AH963" s="13">
        <f>IF($A963="","",[1]!thsiFinD("ths_adjustment_nv_fund",AH$3,$A963))</f>
        <v/>
      </c>
      <c r="AI963" s="13">
        <f>IF($A963="","",[1]!thsiFinD("ths_adjustment_nv_fund",AI$3,$A963))</f>
        <v/>
      </c>
      <c r="AJ963" s="13">
        <f>IF($A963="","",[1]!thsiFinD("ths_adjustment_nv_fund",AJ$3,$A963))</f>
        <v/>
      </c>
      <c r="AK963" s="13">
        <f>IF($A963="","",[1]!thsiFinD("ths_adjustment_nv_fund",AK$3,$A963))</f>
        <v/>
      </c>
      <c r="AL963" s="13">
        <f>IF($A963="","",[1]!thsiFinD("ths_adjustment_nv_fund",AL$3,$A963))</f>
        <v/>
      </c>
    </row>
    <row r="964" spans="2:28">
      <c r="B964" s="13" t="str">
        <f>IF($A964="","",[1]!thsiFinD("ths_adjustment_nv_fund",B$3,$A964))</f>
        <v/>
      </c>
      <c r="C964" s="13" t="str">
        <f>IF($A964="","",[1]!thsiFinD("ths_adjustment_nv_fund",C$3,$A964))</f>
        <v/>
      </c>
      <c r="D964" s="13" t="str">
        <f>IF($A964="","",[1]!thsiFinD("ths_adjustment_nv_fund",D$3,$A964))</f>
        <v/>
      </c>
      <c r="E964" s="13" t="str">
        <f>IF($A964="","",[1]!thsiFinD("ths_adjustment_nv_fund",E$3,$A964))</f>
        <v/>
      </c>
      <c r="F964" s="13" t="str">
        <f>IF($A964="","",[1]!thsiFinD("ths_adjustment_nv_fund",F$3,$A964))</f>
        <v/>
      </c>
      <c r="G964" s="13" t="str">
        <f>IF($A964="","",[1]!thsiFinD("ths_adjustment_nv_fund",G$3,$A964))</f>
        <v/>
      </c>
      <c r="H964" s="13" t="str">
        <f>IF($A964="","",[1]!thsiFinD("ths_adjustment_nv_fund",H$3,$A964))</f>
        <v/>
      </c>
      <c r="I964" s="13" t="str">
        <f>IF($A964="","",[1]!thsiFinD("ths_adjustment_nv_fund",I$3,$A964))</f>
        <v/>
      </c>
      <c r="J964" s="13" t="str">
        <f>IF($A964="","",[1]!thsiFinD("ths_adjustment_nv_fund",J$3,$A964))</f>
        <v/>
      </c>
      <c r="K964" s="13" t="str">
        <f>IF($A964="","",[1]!thsiFinD("ths_adjustment_nv_fund",K$3,$A964))</f>
        <v/>
      </c>
      <c r="L964" s="13" t="str">
        <f>IF($A964="","",[1]!thsiFinD("ths_adjustment_nv_fund",L$3,$A964))</f>
        <v/>
      </c>
      <c r="M964" s="13" t="str">
        <f>IF($A964="","",[1]!thsiFinD("ths_adjustment_nv_fund",M$3,$A964))</f>
        <v/>
      </c>
      <c r="N964" s="13" t="str">
        <f>IF($A964="","",[1]!thsiFinD("ths_adjustment_nv_fund",N$3,$A964))</f>
        <v/>
      </c>
      <c r="O964" s="13" t="str">
        <f>IF($A964="","",[1]!thsiFinD("ths_adjustment_nv_fund",O$3,$A964))</f>
        <v/>
      </c>
      <c r="P964" s="13" t="str">
        <f>IF($A964="","",[1]!thsiFinD("ths_adjustment_nv_fund",P$3,$A964))</f>
        <v/>
      </c>
      <c r="Q964" s="13" t="str">
        <f>IF($A964="","",[1]!thsiFinD("ths_adjustment_nv_fund",Q$3,$A964))</f>
        <v/>
      </c>
      <c r="R964" s="13" t="str">
        <f>IF($A964="","",[1]!thsiFinD("ths_adjustment_nv_fund",R$3,$A964))</f>
        <v/>
      </c>
      <c r="S964" s="13" t="str">
        <f>IF($A964="","",[1]!thsiFinD("ths_adjustment_nv_fund",S$3,$A964))</f>
        <v/>
      </c>
      <c r="T964" s="13" t="str">
        <f>IF($A964="","",[1]!thsiFinD("ths_adjustment_nv_fund",T$3,$A964))</f>
        <v/>
      </c>
      <c r="U964" s="13" t="str">
        <f>IF($A964="","",[1]!thsiFinD("ths_adjustment_nv_fund",U$3,$A964))</f>
        <v/>
      </c>
      <c r="V964" s="13" t="str">
        <f>IF($A964="","",[1]!thsiFinD("ths_adjustment_nv_fund",V$3,$A964))</f>
        <v/>
      </c>
      <c r="W964" s="13" t="str">
        <f>IF($A964="","",[1]!thsiFinD("ths_adjustment_nv_fund",W$3,$A964))</f>
        <v/>
      </c>
      <c r="X964" s="13" t="str">
        <f>IF($A964="","",[1]!thsiFinD("ths_adjustment_nv_fund",X$3,$A964))</f>
        <v/>
      </c>
      <c r="Y964" s="13" t="str">
        <f>IF($A964="","",[1]!thsiFinD("ths_adjustment_nv_fund",Y$3,$A964))</f>
        <v/>
      </c>
      <c r="Z964" s="13" t="str">
        <f>IF($A964="","",[1]!thsiFinD("ths_adjustment_nv_fund",Z$3,$A964))</f>
        <v/>
      </c>
      <c r="AA964" s="13" t="str">
        <f>IF($A964="","",[1]!thsiFinD("ths_adjustment_nv_fund",AA$3,$A964))</f>
        <v/>
      </c>
      <c r="AB964" s="13">
        <f>IF($A964="","",[1]!thsiFinD("ths_adjustment_nv_fund",AB$3,$A964))</f>
        <v/>
      </c>
      <c r="AC964" s="13">
        <f>IF($A964="","",[1]!thsiFinD("ths_adjustment_nv_fund",AC$3,$A964))</f>
        <v/>
      </c>
      <c r="AD964" s="13">
        <f>IF($A964="","",[1]!thsiFinD("ths_adjustment_nv_fund",AD$3,$A964))</f>
        <v/>
      </c>
      <c r="AE964" s="13">
        <f>IF($A964="","",[1]!thsiFinD("ths_adjustment_nv_fund",AE$3,$A964))</f>
        <v/>
      </c>
      <c r="AF964" s="13">
        <f>IF($A964="","",[1]!thsiFinD("ths_adjustment_nv_fund",AF$3,$A964))</f>
        <v/>
      </c>
      <c r="AG964" s="13">
        <f>IF($A964="","",[1]!thsiFinD("ths_adjustment_nv_fund",AG$3,$A964))</f>
        <v/>
      </c>
      <c r="AH964" s="13">
        <f>IF($A964="","",[1]!thsiFinD("ths_adjustment_nv_fund",AH$3,$A964))</f>
        <v/>
      </c>
      <c r="AI964" s="13">
        <f>IF($A964="","",[1]!thsiFinD("ths_adjustment_nv_fund",AI$3,$A964))</f>
        <v/>
      </c>
      <c r="AJ964" s="13">
        <f>IF($A964="","",[1]!thsiFinD("ths_adjustment_nv_fund",AJ$3,$A964))</f>
        <v/>
      </c>
      <c r="AK964" s="13">
        <f>IF($A964="","",[1]!thsiFinD("ths_adjustment_nv_fund",AK$3,$A964))</f>
        <v/>
      </c>
      <c r="AL964" s="13">
        <f>IF($A964="","",[1]!thsiFinD("ths_adjustment_nv_fund",AL$3,$A964))</f>
        <v/>
      </c>
    </row>
    <row r="965" spans="2:28">
      <c r="B965" s="13" t="str">
        <f>IF($A965="","",[1]!thsiFinD("ths_adjustment_nv_fund",B$3,$A965))</f>
        <v/>
      </c>
      <c r="C965" s="13" t="str">
        <f>IF($A965="","",[1]!thsiFinD("ths_adjustment_nv_fund",C$3,$A965))</f>
        <v/>
      </c>
      <c r="D965" s="13" t="str">
        <f>IF($A965="","",[1]!thsiFinD("ths_adjustment_nv_fund",D$3,$A965))</f>
        <v/>
      </c>
      <c r="E965" s="13" t="str">
        <f>IF($A965="","",[1]!thsiFinD("ths_adjustment_nv_fund",E$3,$A965))</f>
        <v/>
      </c>
      <c r="F965" s="13" t="str">
        <f>IF($A965="","",[1]!thsiFinD("ths_adjustment_nv_fund",F$3,$A965))</f>
        <v/>
      </c>
      <c r="G965" s="13" t="str">
        <f>IF($A965="","",[1]!thsiFinD("ths_adjustment_nv_fund",G$3,$A965))</f>
        <v/>
      </c>
      <c r="H965" s="13" t="str">
        <f>IF($A965="","",[1]!thsiFinD("ths_adjustment_nv_fund",H$3,$A965))</f>
        <v/>
      </c>
      <c r="I965" s="13" t="str">
        <f>IF($A965="","",[1]!thsiFinD("ths_adjustment_nv_fund",I$3,$A965))</f>
        <v/>
      </c>
      <c r="J965" s="13" t="str">
        <f>IF($A965="","",[1]!thsiFinD("ths_adjustment_nv_fund",J$3,$A965))</f>
        <v/>
      </c>
      <c r="K965" s="13" t="str">
        <f>IF($A965="","",[1]!thsiFinD("ths_adjustment_nv_fund",K$3,$A965))</f>
        <v/>
      </c>
      <c r="L965" s="13" t="str">
        <f>IF($A965="","",[1]!thsiFinD("ths_adjustment_nv_fund",L$3,$A965))</f>
        <v/>
      </c>
      <c r="M965" s="13" t="str">
        <f>IF($A965="","",[1]!thsiFinD("ths_adjustment_nv_fund",M$3,$A965))</f>
        <v/>
      </c>
      <c r="N965" s="13" t="str">
        <f>IF($A965="","",[1]!thsiFinD("ths_adjustment_nv_fund",N$3,$A965))</f>
        <v/>
      </c>
      <c r="O965" s="13" t="str">
        <f>IF($A965="","",[1]!thsiFinD("ths_adjustment_nv_fund",O$3,$A965))</f>
        <v/>
      </c>
      <c r="P965" s="13" t="str">
        <f>IF($A965="","",[1]!thsiFinD("ths_adjustment_nv_fund",P$3,$A965))</f>
        <v/>
      </c>
      <c r="Q965" s="13" t="str">
        <f>IF($A965="","",[1]!thsiFinD("ths_adjustment_nv_fund",Q$3,$A965))</f>
        <v/>
      </c>
      <c r="R965" s="13" t="str">
        <f>IF($A965="","",[1]!thsiFinD("ths_adjustment_nv_fund",R$3,$A965))</f>
        <v/>
      </c>
      <c r="S965" s="13" t="str">
        <f>IF($A965="","",[1]!thsiFinD("ths_adjustment_nv_fund",S$3,$A965))</f>
        <v/>
      </c>
      <c r="T965" s="13" t="str">
        <f>IF($A965="","",[1]!thsiFinD("ths_adjustment_nv_fund",T$3,$A965))</f>
        <v/>
      </c>
      <c r="U965" s="13" t="str">
        <f>IF($A965="","",[1]!thsiFinD("ths_adjustment_nv_fund",U$3,$A965))</f>
        <v/>
      </c>
      <c r="V965" s="13" t="str">
        <f>IF($A965="","",[1]!thsiFinD("ths_adjustment_nv_fund",V$3,$A965))</f>
        <v/>
      </c>
      <c r="W965" s="13" t="str">
        <f>IF($A965="","",[1]!thsiFinD("ths_adjustment_nv_fund",W$3,$A965))</f>
        <v/>
      </c>
      <c r="X965" s="13" t="str">
        <f>IF($A965="","",[1]!thsiFinD("ths_adjustment_nv_fund",X$3,$A965))</f>
        <v/>
      </c>
      <c r="Y965" s="13" t="str">
        <f>IF($A965="","",[1]!thsiFinD("ths_adjustment_nv_fund",Y$3,$A965))</f>
        <v/>
      </c>
      <c r="Z965" s="13" t="str">
        <f>IF($A965="","",[1]!thsiFinD("ths_adjustment_nv_fund",Z$3,$A965))</f>
        <v/>
      </c>
      <c r="AA965" s="13" t="str">
        <f>IF($A965="","",[1]!thsiFinD("ths_adjustment_nv_fund",AA$3,$A965))</f>
        <v/>
      </c>
      <c r="AB965" s="13">
        <f>IF($A965="","",[1]!thsiFinD("ths_adjustment_nv_fund",AB$3,$A965))</f>
        <v/>
      </c>
      <c r="AC965" s="13">
        <f>IF($A965="","",[1]!thsiFinD("ths_adjustment_nv_fund",AC$3,$A965))</f>
        <v/>
      </c>
      <c r="AD965" s="13">
        <f>IF($A965="","",[1]!thsiFinD("ths_adjustment_nv_fund",AD$3,$A965))</f>
        <v/>
      </c>
      <c r="AE965" s="13">
        <f>IF($A965="","",[1]!thsiFinD("ths_adjustment_nv_fund",AE$3,$A965))</f>
        <v/>
      </c>
      <c r="AF965" s="13">
        <f>IF($A965="","",[1]!thsiFinD("ths_adjustment_nv_fund",AF$3,$A965))</f>
        <v/>
      </c>
      <c r="AG965" s="13">
        <f>IF($A965="","",[1]!thsiFinD("ths_adjustment_nv_fund",AG$3,$A965))</f>
        <v/>
      </c>
      <c r="AH965" s="13">
        <f>IF($A965="","",[1]!thsiFinD("ths_adjustment_nv_fund",AH$3,$A965))</f>
        <v/>
      </c>
      <c r="AI965" s="13">
        <f>IF($A965="","",[1]!thsiFinD("ths_adjustment_nv_fund",AI$3,$A965))</f>
        <v/>
      </c>
      <c r="AJ965" s="13">
        <f>IF($A965="","",[1]!thsiFinD("ths_adjustment_nv_fund",AJ$3,$A965))</f>
        <v/>
      </c>
      <c r="AK965" s="13">
        <f>IF($A965="","",[1]!thsiFinD("ths_adjustment_nv_fund",AK$3,$A965))</f>
        <v/>
      </c>
      <c r="AL965" s="13">
        <f>IF($A965="","",[1]!thsiFinD("ths_adjustment_nv_fund",AL$3,$A965))</f>
        <v/>
      </c>
    </row>
    <row r="966" spans="2:28">
      <c r="B966" s="13" t="str">
        <f>IF($A966="","",[1]!thsiFinD("ths_adjustment_nv_fund",B$3,$A966))</f>
        <v/>
      </c>
      <c r="C966" s="13" t="str">
        <f>IF($A966="","",[1]!thsiFinD("ths_adjustment_nv_fund",C$3,$A966))</f>
        <v/>
      </c>
      <c r="D966" s="13" t="str">
        <f>IF($A966="","",[1]!thsiFinD("ths_adjustment_nv_fund",D$3,$A966))</f>
        <v/>
      </c>
      <c r="E966" s="13" t="str">
        <f>IF($A966="","",[1]!thsiFinD("ths_adjustment_nv_fund",E$3,$A966))</f>
        <v/>
      </c>
      <c r="F966" s="13" t="str">
        <f>IF($A966="","",[1]!thsiFinD("ths_adjustment_nv_fund",F$3,$A966))</f>
        <v/>
      </c>
      <c r="G966" s="13" t="str">
        <f>IF($A966="","",[1]!thsiFinD("ths_adjustment_nv_fund",G$3,$A966))</f>
        <v/>
      </c>
      <c r="H966" s="13" t="str">
        <f>IF($A966="","",[1]!thsiFinD("ths_adjustment_nv_fund",H$3,$A966))</f>
        <v/>
      </c>
      <c r="I966" s="13" t="str">
        <f>IF($A966="","",[1]!thsiFinD("ths_adjustment_nv_fund",I$3,$A966))</f>
        <v/>
      </c>
      <c r="J966" s="13" t="str">
        <f>IF($A966="","",[1]!thsiFinD("ths_adjustment_nv_fund",J$3,$A966))</f>
        <v/>
      </c>
      <c r="K966" s="13" t="str">
        <f>IF($A966="","",[1]!thsiFinD("ths_adjustment_nv_fund",K$3,$A966))</f>
        <v/>
      </c>
      <c r="L966" s="13" t="str">
        <f>IF($A966="","",[1]!thsiFinD("ths_adjustment_nv_fund",L$3,$A966))</f>
        <v/>
      </c>
      <c r="M966" s="13" t="str">
        <f>IF($A966="","",[1]!thsiFinD("ths_adjustment_nv_fund",M$3,$A966))</f>
        <v/>
      </c>
      <c r="N966" s="13" t="str">
        <f>IF($A966="","",[1]!thsiFinD("ths_adjustment_nv_fund",N$3,$A966))</f>
        <v/>
      </c>
      <c r="O966" s="13" t="str">
        <f>IF($A966="","",[1]!thsiFinD("ths_adjustment_nv_fund",O$3,$A966))</f>
        <v/>
      </c>
      <c r="P966" s="13" t="str">
        <f>IF($A966="","",[1]!thsiFinD("ths_adjustment_nv_fund",P$3,$A966))</f>
        <v/>
      </c>
      <c r="Q966" s="13" t="str">
        <f>IF($A966="","",[1]!thsiFinD("ths_adjustment_nv_fund",Q$3,$A966))</f>
        <v/>
      </c>
      <c r="R966" s="13" t="str">
        <f>IF($A966="","",[1]!thsiFinD("ths_adjustment_nv_fund",R$3,$A966))</f>
        <v/>
      </c>
      <c r="S966" s="13" t="str">
        <f>IF($A966="","",[1]!thsiFinD("ths_adjustment_nv_fund",S$3,$A966))</f>
        <v/>
      </c>
      <c r="T966" s="13" t="str">
        <f>IF($A966="","",[1]!thsiFinD("ths_adjustment_nv_fund",T$3,$A966))</f>
        <v/>
      </c>
      <c r="U966" s="13" t="str">
        <f>IF($A966="","",[1]!thsiFinD("ths_adjustment_nv_fund",U$3,$A966))</f>
        <v/>
      </c>
      <c r="V966" s="13" t="str">
        <f>IF($A966="","",[1]!thsiFinD("ths_adjustment_nv_fund",V$3,$A966))</f>
        <v/>
      </c>
      <c r="W966" s="13" t="str">
        <f>IF($A966="","",[1]!thsiFinD("ths_adjustment_nv_fund",W$3,$A966))</f>
        <v/>
      </c>
      <c r="X966" s="13" t="str">
        <f>IF($A966="","",[1]!thsiFinD("ths_adjustment_nv_fund",X$3,$A966))</f>
        <v/>
      </c>
      <c r="Y966" s="13" t="str">
        <f>IF($A966="","",[1]!thsiFinD("ths_adjustment_nv_fund",Y$3,$A966))</f>
        <v/>
      </c>
      <c r="Z966" s="13" t="str">
        <f>IF($A966="","",[1]!thsiFinD("ths_adjustment_nv_fund",Z$3,$A966))</f>
        <v/>
      </c>
      <c r="AA966" s="13" t="str">
        <f>IF($A966="","",[1]!thsiFinD("ths_adjustment_nv_fund",AA$3,$A966))</f>
        <v/>
      </c>
      <c r="AB966" s="13">
        <f>IF($A966="","",[1]!thsiFinD("ths_adjustment_nv_fund",AB$3,$A966))</f>
        <v/>
      </c>
      <c r="AC966" s="13">
        <f>IF($A966="","",[1]!thsiFinD("ths_adjustment_nv_fund",AC$3,$A966))</f>
        <v/>
      </c>
      <c r="AD966" s="13">
        <f>IF($A966="","",[1]!thsiFinD("ths_adjustment_nv_fund",AD$3,$A966))</f>
        <v/>
      </c>
      <c r="AE966" s="13">
        <f>IF($A966="","",[1]!thsiFinD("ths_adjustment_nv_fund",AE$3,$A966))</f>
        <v/>
      </c>
      <c r="AF966" s="13">
        <f>IF($A966="","",[1]!thsiFinD("ths_adjustment_nv_fund",AF$3,$A966))</f>
        <v/>
      </c>
      <c r="AG966" s="13">
        <f>IF($A966="","",[1]!thsiFinD("ths_adjustment_nv_fund",AG$3,$A966))</f>
        <v/>
      </c>
      <c r="AH966" s="13">
        <f>IF($A966="","",[1]!thsiFinD("ths_adjustment_nv_fund",AH$3,$A966))</f>
        <v/>
      </c>
      <c r="AI966" s="13">
        <f>IF($A966="","",[1]!thsiFinD("ths_adjustment_nv_fund",AI$3,$A966))</f>
        <v/>
      </c>
      <c r="AJ966" s="13">
        <f>IF($A966="","",[1]!thsiFinD("ths_adjustment_nv_fund",AJ$3,$A966))</f>
        <v/>
      </c>
      <c r="AK966" s="13">
        <f>IF($A966="","",[1]!thsiFinD("ths_adjustment_nv_fund",AK$3,$A966))</f>
        <v/>
      </c>
      <c r="AL966" s="13">
        <f>IF($A966="","",[1]!thsiFinD("ths_adjustment_nv_fund",AL$3,$A966))</f>
        <v/>
      </c>
    </row>
    <row r="967" spans="2:28">
      <c r="B967" s="13" t="str">
        <f>IF($A967="","",[1]!thsiFinD("ths_adjustment_nv_fund",B$3,$A967))</f>
        <v/>
      </c>
      <c r="C967" s="13" t="str">
        <f>IF($A967="","",[1]!thsiFinD("ths_adjustment_nv_fund",C$3,$A967))</f>
        <v/>
      </c>
      <c r="D967" s="13" t="str">
        <f>IF($A967="","",[1]!thsiFinD("ths_adjustment_nv_fund",D$3,$A967))</f>
        <v/>
      </c>
      <c r="E967" s="13" t="str">
        <f>IF($A967="","",[1]!thsiFinD("ths_adjustment_nv_fund",E$3,$A967))</f>
        <v/>
      </c>
      <c r="F967" s="13" t="str">
        <f>IF($A967="","",[1]!thsiFinD("ths_adjustment_nv_fund",F$3,$A967))</f>
        <v/>
      </c>
      <c r="G967" s="13" t="str">
        <f>IF($A967="","",[1]!thsiFinD("ths_adjustment_nv_fund",G$3,$A967))</f>
        <v/>
      </c>
      <c r="H967" s="13" t="str">
        <f>IF($A967="","",[1]!thsiFinD("ths_adjustment_nv_fund",H$3,$A967))</f>
        <v/>
      </c>
      <c r="I967" s="13" t="str">
        <f>IF($A967="","",[1]!thsiFinD("ths_adjustment_nv_fund",I$3,$A967))</f>
        <v/>
      </c>
      <c r="J967" s="13" t="str">
        <f>IF($A967="","",[1]!thsiFinD("ths_adjustment_nv_fund",J$3,$A967))</f>
        <v/>
      </c>
      <c r="K967" s="13" t="str">
        <f>IF($A967="","",[1]!thsiFinD("ths_adjustment_nv_fund",K$3,$A967))</f>
        <v/>
      </c>
      <c r="L967" s="13" t="str">
        <f>IF($A967="","",[1]!thsiFinD("ths_adjustment_nv_fund",L$3,$A967))</f>
        <v/>
      </c>
      <c r="M967" s="13" t="str">
        <f>IF($A967="","",[1]!thsiFinD("ths_adjustment_nv_fund",M$3,$A967))</f>
        <v/>
      </c>
      <c r="N967" s="13" t="str">
        <f>IF($A967="","",[1]!thsiFinD("ths_adjustment_nv_fund",N$3,$A967))</f>
        <v/>
      </c>
      <c r="O967" s="13" t="str">
        <f>IF($A967="","",[1]!thsiFinD("ths_adjustment_nv_fund",O$3,$A967))</f>
        <v/>
      </c>
      <c r="P967" s="13" t="str">
        <f>IF($A967="","",[1]!thsiFinD("ths_adjustment_nv_fund",P$3,$A967))</f>
        <v/>
      </c>
      <c r="Q967" s="13" t="str">
        <f>IF($A967="","",[1]!thsiFinD("ths_adjustment_nv_fund",Q$3,$A967))</f>
        <v/>
      </c>
      <c r="R967" s="13" t="str">
        <f>IF($A967="","",[1]!thsiFinD("ths_adjustment_nv_fund",R$3,$A967))</f>
        <v/>
      </c>
      <c r="S967" s="13" t="str">
        <f>IF($A967="","",[1]!thsiFinD("ths_adjustment_nv_fund",S$3,$A967))</f>
        <v/>
      </c>
      <c r="T967" s="13" t="str">
        <f>IF($A967="","",[1]!thsiFinD("ths_adjustment_nv_fund",T$3,$A967))</f>
        <v/>
      </c>
      <c r="U967" s="13" t="str">
        <f>IF($A967="","",[1]!thsiFinD("ths_adjustment_nv_fund",U$3,$A967))</f>
        <v/>
      </c>
      <c r="V967" s="13" t="str">
        <f>IF($A967="","",[1]!thsiFinD("ths_adjustment_nv_fund",V$3,$A967))</f>
        <v/>
      </c>
      <c r="W967" s="13" t="str">
        <f>IF($A967="","",[1]!thsiFinD("ths_adjustment_nv_fund",W$3,$A967))</f>
        <v/>
      </c>
      <c r="X967" s="13" t="str">
        <f>IF($A967="","",[1]!thsiFinD("ths_adjustment_nv_fund",X$3,$A967))</f>
        <v/>
      </c>
      <c r="Y967" s="13" t="str">
        <f>IF($A967="","",[1]!thsiFinD("ths_adjustment_nv_fund",Y$3,$A967))</f>
        <v/>
      </c>
      <c r="Z967" s="13" t="str">
        <f>IF($A967="","",[1]!thsiFinD("ths_adjustment_nv_fund",Z$3,$A967))</f>
        <v/>
      </c>
      <c r="AA967" s="13" t="str">
        <f>IF($A967="","",[1]!thsiFinD("ths_adjustment_nv_fund",AA$3,$A967))</f>
        <v/>
      </c>
      <c r="AB967" s="13">
        <f>IF($A967="","",[1]!thsiFinD("ths_adjustment_nv_fund",AB$3,$A967))</f>
        <v/>
      </c>
      <c r="AC967" s="13">
        <f>IF($A967="","",[1]!thsiFinD("ths_adjustment_nv_fund",AC$3,$A967))</f>
        <v/>
      </c>
      <c r="AD967" s="13">
        <f>IF($A967="","",[1]!thsiFinD("ths_adjustment_nv_fund",AD$3,$A967))</f>
        <v/>
      </c>
      <c r="AE967" s="13">
        <f>IF($A967="","",[1]!thsiFinD("ths_adjustment_nv_fund",AE$3,$A967))</f>
        <v/>
      </c>
      <c r="AF967" s="13">
        <f>IF($A967="","",[1]!thsiFinD("ths_adjustment_nv_fund",AF$3,$A967))</f>
        <v/>
      </c>
      <c r="AG967" s="13">
        <f>IF($A967="","",[1]!thsiFinD("ths_adjustment_nv_fund",AG$3,$A967))</f>
        <v/>
      </c>
      <c r="AH967" s="13">
        <f>IF($A967="","",[1]!thsiFinD("ths_adjustment_nv_fund",AH$3,$A967))</f>
        <v/>
      </c>
      <c r="AI967" s="13">
        <f>IF($A967="","",[1]!thsiFinD("ths_adjustment_nv_fund",AI$3,$A967))</f>
        <v/>
      </c>
      <c r="AJ967" s="13">
        <f>IF($A967="","",[1]!thsiFinD("ths_adjustment_nv_fund",AJ$3,$A967))</f>
        <v/>
      </c>
      <c r="AK967" s="13">
        <f>IF($A967="","",[1]!thsiFinD("ths_adjustment_nv_fund",AK$3,$A967))</f>
        <v/>
      </c>
      <c r="AL967" s="13">
        <f>IF($A967="","",[1]!thsiFinD("ths_adjustment_nv_fund",AL$3,$A967))</f>
        <v/>
      </c>
    </row>
    <row r="968" spans="2:28">
      <c r="B968" s="13" t="str">
        <f>IF($A968="","",[1]!thsiFinD("ths_adjustment_nv_fund",B$3,$A968))</f>
        <v/>
      </c>
      <c r="C968" s="13" t="str">
        <f>IF($A968="","",[1]!thsiFinD("ths_adjustment_nv_fund",C$3,$A968))</f>
        <v/>
      </c>
      <c r="D968" s="13" t="str">
        <f>IF($A968="","",[1]!thsiFinD("ths_adjustment_nv_fund",D$3,$A968))</f>
        <v/>
      </c>
      <c r="E968" s="13" t="str">
        <f>IF($A968="","",[1]!thsiFinD("ths_adjustment_nv_fund",E$3,$A968))</f>
        <v/>
      </c>
      <c r="F968" s="13" t="str">
        <f>IF($A968="","",[1]!thsiFinD("ths_adjustment_nv_fund",F$3,$A968))</f>
        <v/>
      </c>
      <c r="G968" s="13" t="str">
        <f>IF($A968="","",[1]!thsiFinD("ths_adjustment_nv_fund",G$3,$A968))</f>
        <v/>
      </c>
      <c r="H968" s="13" t="str">
        <f>IF($A968="","",[1]!thsiFinD("ths_adjustment_nv_fund",H$3,$A968))</f>
        <v/>
      </c>
      <c r="I968" s="13" t="str">
        <f>IF($A968="","",[1]!thsiFinD("ths_adjustment_nv_fund",I$3,$A968))</f>
        <v/>
      </c>
      <c r="J968" s="13" t="str">
        <f>IF($A968="","",[1]!thsiFinD("ths_adjustment_nv_fund",J$3,$A968))</f>
        <v/>
      </c>
      <c r="K968" s="13" t="str">
        <f>IF($A968="","",[1]!thsiFinD("ths_adjustment_nv_fund",K$3,$A968))</f>
        <v/>
      </c>
      <c r="L968" s="13" t="str">
        <f>IF($A968="","",[1]!thsiFinD("ths_adjustment_nv_fund",L$3,$A968))</f>
        <v/>
      </c>
      <c r="M968" s="13" t="str">
        <f>IF($A968="","",[1]!thsiFinD("ths_adjustment_nv_fund",M$3,$A968))</f>
        <v/>
      </c>
      <c r="N968" s="13" t="str">
        <f>IF($A968="","",[1]!thsiFinD("ths_adjustment_nv_fund",N$3,$A968))</f>
        <v/>
      </c>
      <c r="O968" s="13" t="str">
        <f>IF($A968="","",[1]!thsiFinD("ths_adjustment_nv_fund",O$3,$A968))</f>
        <v/>
      </c>
      <c r="P968" s="13" t="str">
        <f>IF($A968="","",[1]!thsiFinD("ths_adjustment_nv_fund",P$3,$A968))</f>
        <v/>
      </c>
      <c r="Q968" s="13" t="str">
        <f>IF($A968="","",[1]!thsiFinD("ths_adjustment_nv_fund",Q$3,$A968))</f>
        <v/>
      </c>
      <c r="R968" s="13" t="str">
        <f>IF($A968="","",[1]!thsiFinD("ths_adjustment_nv_fund",R$3,$A968))</f>
        <v/>
      </c>
      <c r="S968" s="13" t="str">
        <f>IF($A968="","",[1]!thsiFinD("ths_adjustment_nv_fund",S$3,$A968))</f>
        <v/>
      </c>
      <c r="T968" s="13" t="str">
        <f>IF($A968="","",[1]!thsiFinD("ths_adjustment_nv_fund",T$3,$A968))</f>
        <v/>
      </c>
      <c r="U968" s="13" t="str">
        <f>IF($A968="","",[1]!thsiFinD("ths_adjustment_nv_fund",U$3,$A968))</f>
        <v/>
      </c>
      <c r="V968" s="13" t="str">
        <f>IF($A968="","",[1]!thsiFinD("ths_adjustment_nv_fund",V$3,$A968))</f>
        <v/>
      </c>
      <c r="W968" s="13" t="str">
        <f>IF($A968="","",[1]!thsiFinD("ths_adjustment_nv_fund",W$3,$A968))</f>
        <v/>
      </c>
      <c r="X968" s="13" t="str">
        <f>IF($A968="","",[1]!thsiFinD("ths_adjustment_nv_fund",X$3,$A968))</f>
        <v/>
      </c>
      <c r="Y968" s="13" t="str">
        <f>IF($A968="","",[1]!thsiFinD("ths_adjustment_nv_fund",Y$3,$A968))</f>
        <v/>
      </c>
      <c r="Z968" s="13" t="str">
        <f>IF($A968="","",[1]!thsiFinD("ths_adjustment_nv_fund",Z$3,$A968))</f>
        <v/>
      </c>
      <c r="AA968" s="13" t="str">
        <f>IF($A968="","",[1]!thsiFinD("ths_adjustment_nv_fund",AA$3,$A968))</f>
        <v/>
      </c>
      <c r="AB968" s="13">
        <f>IF($A968="","",[1]!thsiFinD("ths_adjustment_nv_fund",AB$3,$A968))</f>
        <v/>
      </c>
      <c r="AC968" s="13">
        <f>IF($A968="","",[1]!thsiFinD("ths_adjustment_nv_fund",AC$3,$A968))</f>
        <v/>
      </c>
      <c r="AD968" s="13">
        <f>IF($A968="","",[1]!thsiFinD("ths_adjustment_nv_fund",AD$3,$A968))</f>
        <v/>
      </c>
      <c r="AE968" s="13">
        <f>IF($A968="","",[1]!thsiFinD("ths_adjustment_nv_fund",AE$3,$A968))</f>
        <v/>
      </c>
      <c r="AF968" s="13">
        <f>IF($A968="","",[1]!thsiFinD("ths_adjustment_nv_fund",AF$3,$A968))</f>
        <v/>
      </c>
      <c r="AG968" s="13">
        <f>IF($A968="","",[1]!thsiFinD("ths_adjustment_nv_fund",AG$3,$A968))</f>
        <v/>
      </c>
      <c r="AH968" s="13">
        <f>IF($A968="","",[1]!thsiFinD("ths_adjustment_nv_fund",AH$3,$A968))</f>
        <v/>
      </c>
      <c r="AI968" s="13">
        <f>IF($A968="","",[1]!thsiFinD("ths_adjustment_nv_fund",AI$3,$A968))</f>
        <v/>
      </c>
      <c r="AJ968" s="13">
        <f>IF($A968="","",[1]!thsiFinD("ths_adjustment_nv_fund",AJ$3,$A968))</f>
        <v/>
      </c>
      <c r="AK968" s="13">
        <f>IF($A968="","",[1]!thsiFinD("ths_adjustment_nv_fund",AK$3,$A968))</f>
        <v/>
      </c>
      <c r="AL968" s="13">
        <f>IF($A968="","",[1]!thsiFinD("ths_adjustment_nv_fund",AL$3,$A968))</f>
        <v/>
      </c>
    </row>
    <row r="969" spans="2:28">
      <c r="B969" s="13" t="str">
        <f>IF($A969="","",[1]!thsiFinD("ths_adjustment_nv_fund",B$3,$A969))</f>
        <v/>
      </c>
      <c r="C969" s="13" t="str">
        <f>IF($A969="","",[1]!thsiFinD("ths_adjustment_nv_fund",C$3,$A969))</f>
        <v/>
      </c>
      <c r="D969" s="13" t="str">
        <f>IF($A969="","",[1]!thsiFinD("ths_adjustment_nv_fund",D$3,$A969))</f>
        <v/>
      </c>
      <c r="E969" s="13" t="str">
        <f>IF($A969="","",[1]!thsiFinD("ths_adjustment_nv_fund",E$3,$A969))</f>
        <v/>
      </c>
      <c r="F969" s="13" t="str">
        <f>IF($A969="","",[1]!thsiFinD("ths_adjustment_nv_fund",F$3,$A969))</f>
        <v/>
      </c>
      <c r="G969" s="13" t="str">
        <f>IF($A969="","",[1]!thsiFinD("ths_adjustment_nv_fund",G$3,$A969))</f>
        <v/>
      </c>
      <c r="H969" s="13" t="str">
        <f>IF($A969="","",[1]!thsiFinD("ths_adjustment_nv_fund",H$3,$A969))</f>
        <v/>
      </c>
      <c r="I969" s="13" t="str">
        <f>IF($A969="","",[1]!thsiFinD("ths_adjustment_nv_fund",I$3,$A969))</f>
        <v/>
      </c>
      <c r="J969" s="13" t="str">
        <f>IF($A969="","",[1]!thsiFinD("ths_adjustment_nv_fund",J$3,$A969))</f>
        <v/>
      </c>
      <c r="K969" s="13" t="str">
        <f>IF($A969="","",[1]!thsiFinD("ths_adjustment_nv_fund",K$3,$A969))</f>
        <v/>
      </c>
      <c r="L969" s="13" t="str">
        <f>IF($A969="","",[1]!thsiFinD("ths_adjustment_nv_fund",L$3,$A969))</f>
        <v/>
      </c>
      <c r="M969" s="13" t="str">
        <f>IF($A969="","",[1]!thsiFinD("ths_adjustment_nv_fund",M$3,$A969))</f>
        <v/>
      </c>
      <c r="N969" s="13" t="str">
        <f>IF($A969="","",[1]!thsiFinD("ths_adjustment_nv_fund",N$3,$A969))</f>
        <v/>
      </c>
      <c r="O969" s="13" t="str">
        <f>IF($A969="","",[1]!thsiFinD("ths_adjustment_nv_fund",O$3,$A969))</f>
        <v/>
      </c>
      <c r="P969" s="13" t="str">
        <f>IF($A969="","",[1]!thsiFinD("ths_adjustment_nv_fund",P$3,$A969))</f>
        <v/>
      </c>
      <c r="Q969" s="13" t="str">
        <f>IF($A969="","",[1]!thsiFinD("ths_adjustment_nv_fund",Q$3,$A969))</f>
        <v/>
      </c>
      <c r="R969" s="13" t="str">
        <f>IF($A969="","",[1]!thsiFinD("ths_adjustment_nv_fund",R$3,$A969))</f>
        <v/>
      </c>
      <c r="S969" s="13" t="str">
        <f>IF($A969="","",[1]!thsiFinD("ths_adjustment_nv_fund",S$3,$A969))</f>
        <v/>
      </c>
      <c r="T969" s="13" t="str">
        <f>IF($A969="","",[1]!thsiFinD("ths_adjustment_nv_fund",T$3,$A969))</f>
        <v/>
      </c>
      <c r="U969" s="13" t="str">
        <f>IF($A969="","",[1]!thsiFinD("ths_adjustment_nv_fund",U$3,$A969))</f>
        <v/>
      </c>
      <c r="V969" s="13" t="str">
        <f>IF($A969="","",[1]!thsiFinD("ths_adjustment_nv_fund",V$3,$A969))</f>
        <v/>
      </c>
      <c r="W969" s="13" t="str">
        <f>IF($A969="","",[1]!thsiFinD("ths_adjustment_nv_fund",W$3,$A969))</f>
        <v/>
      </c>
      <c r="X969" s="13" t="str">
        <f>IF($A969="","",[1]!thsiFinD("ths_adjustment_nv_fund",X$3,$A969))</f>
        <v/>
      </c>
      <c r="Y969" s="13" t="str">
        <f>IF($A969="","",[1]!thsiFinD("ths_adjustment_nv_fund",Y$3,$A969))</f>
        <v/>
      </c>
      <c r="Z969" s="13" t="str">
        <f>IF($A969="","",[1]!thsiFinD("ths_adjustment_nv_fund",Z$3,$A969))</f>
        <v/>
      </c>
      <c r="AA969" s="13" t="str">
        <f>IF($A969="","",[1]!thsiFinD("ths_adjustment_nv_fund",AA$3,$A969))</f>
        <v/>
      </c>
      <c r="AB969" s="13">
        <f>IF($A969="","",[1]!thsiFinD("ths_adjustment_nv_fund",AB$3,$A969))</f>
        <v/>
      </c>
      <c r="AC969" s="13">
        <f>IF($A969="","",[1]!thsiFinD("ths_adjustment_nv_fund",AC$3,$A969))</f>
        <v/>
      </c>
      <c r="AD969" s="13">
        <f>IF($A969="","",[1]!thsiFinD("ths_adjustment_nv_fund",AD$3,$A969))</f>
        <v/>
      </c>
      <c r="AE969" s="13">
        <f>IF($A969="","",[1]!thsiFinD("ths_adjustment_nv_fund",AE$3,$A969))</f>
        <v/>
      </c>
      <c r="AF969" s="13">
        <f>IF($A969="","",[1]!thsiFinD("ths_adjustment_nv_fund",AF$3,$A969))</f>
        <v/>
      </c>
      <c r="AG969" s="13">
        <f>IF($A969="","",[1]!thsiFinD("ths_adjustment_nv_fund",AG$3,$A969))</f>
        <v/>
      </c>
      <c r="AH969" s="13">
        <f>IF($A969="","",[1]!thsiFinD("ths_adjustment_nv_fund",AH$3,$A969))</f>
        <v/>
      </c>
      <c r="AI969" s="13">
        <f>IF($A969="","",[1]!thsiFinD("ths_adjustment_nv_fund",AI$3,$A969))</f>
        <v/>
      </c>
      <c r="AJ969" s="13">
        <f>IF($A969="","",[1]!thsiFinD("ths_adjustment_nv_fund",AJ$3,$A969))</f>
        <v/>
      </c>
      <c r="AK969" s="13">
        <f>IF($A969="","",[1]!thsiFinD("ths_adjustment_nv_fund",AK$3,$A969))</f>
        <v/>
      </c>
      <c r="AL969" s="13">
        <f>IF($A969="","",[1]!thsiFinD("ths_adjustment_nv_fund",AL$3,$A969))</f>
        <v/>
      </c>
    </row>
    <row r="970" spans="2:28">
      <c r="B970" s="13" t="str">
        <f>IF($A970="","",[1]!thsiFinD("ths_adjustment_nv_fund",B$3,$A970))</f>
        <v/>
      </c>
      <c r="C970" s="13" t="str">
        <f>IF($A970="","",[1]!thsiFinD("ths_adjustment_nv_fund",C$3,$A970))</f>
        <v/>
      </c>
      <c r="D970" s="13" t="str">
        <f>IF($A970="","",[1]!thsiFinD("ths_adjustment_nv_fund",D$3,$A970))</f>
        <v/>
      </c>
      <c r="E970" s="13" t="str">
        <f>IF($A970="","",[1]!thsiFinD("ths_adjustment_nv_fund",E$3,$A970))</f>
        <v/>
      </c>
      <c r="F970" s="13" t="str">
        <f>IF($A970="","",[1]!thsiFinD("ths_adjustment_nv_fund",F$3,$A970))</f>
        <v/>
      </c>
      <c r="G970" s="13" t="str">
        <f>IF($A970="","",[1]!thsiFinD("ths_adjustment_nv_fund",G$3,$A970))</f>
        <v/>
      </c>
      <c r="H970" s="13" t="str">
        <f>IF($A970="","",[1]!thsiFinD("ths_adjustment_nv_fund",H$3,$A970))</f>
        <v/>
      </c>
      <c r="I970" s="13" t="str">
        <f>IF($A970="","",[1]!thsiFinD("ths_adjustment_nv_fund",I$3,$A970))</f>
        <v/>
      </c>
      <c r="J970" s="13" t="str">
        <f>IF($A970="","",[1]!thsiFinD("ths_adjustment_nv_fund",J$3,$A970))</f>
        <v/>
      </c>
      <c r="K970" s="13" t="str">
        <f>IF($A970="","",[1]!thsiFinD("ths_adjustment_nv_fund",K$3,$A970))</f>
        <v/>
      </c>
      <c r="L970" s="13" t="str">
        <f>IF($A970="","",[1]!thsiFinD("ths_adjustment_nv_fund",L$3,$A970))</f>
        <v/>
      </c>
      <c r="M970" s="13" t="str">
        <f>IF($A970="","",[1]!thsiFinD("ths_adjustment_nv_fund",M$3,$A970))</f>
        <v/>
      </c>
      <c r="N970" s="13" t="str">
        <f>IF($A970="","",[1]!thsiFinD("ths_adjustment_nv_fund",N$3,$A970))</f>
        <v/>
      </c>
      <c r="O970" s="13" t="str">
        <f>IF($A970="","",[1]!thsiFinD("ths_adjustment_nv_fund",O$3,$A970))</f>
        <v/>
      </c>
      <c r="P970" s="13" t="str">
        <f>IF($A970="","",[1]!thsiFinD("ths_adjustment_nv_fund",P$3,$A970))</f>
        <v/>
      </c>
      <c r="Q970" s="13" t="str">
        <f>IF($A970="","",[1]!thsiFinD("ths_adjustment_nv_fund",Q$3,$A970))</f>
        <v/>
      </c>
      <c r="R970" s="13" t="str">
        <f>IF($A970="","",[1]!thsiFinD("ths_adjustment_nv_fund",R$3,$A970))</f>
        <v/>
      </c>
      <c r="S970" s="13" t="str">
        <f>IF($A970="","",[1]!thsiFinD("ths_adjustment_nv_fund",S$3,$A970))</f>
        <v/>
      </c>
      <c r="T970" s="13" t="str">
        <f>IF($A970="","",[1]!thsiFinD("ths_adjustment_nv_fund",T$3,$A970))</f>
        <v/>
      </c>
      <c r="U970" s="13" t="str">
        <f>IF($A970="","",[1]!thsiFinD("ths_adjustment_nv_fund",U$3,$A970))</f>
        <v/>
      </c>
      <c r="V970" s="13" t="str">
        <f>IF($A970="","",[1]!thsiFinD("ths_adjustment_nv_fund",V$3,$A970))</f>
        <v/>
      </c>
      <c r="W970" s="13" t="str">
        <f>IF($A970="","",[1]!thsiFinD("ths_adjustment_nv_fund",W$3,$A970))</f>
        <v/>
      </c>
      <c r="X970" s="13" t="str">
        <f>IF($A970="","",[1]!thsiFinD("ths_adjustment_nv_fund",X$3,$A970))</f>
        <v/>
      </c>
      <c r="Y970" s="13" t="str">
        <f>IF($A970="","",[1]!thsiFinD("ths_adjustment_nv_fund",Y$3,$A970))</f>
        <v/>
      </c>
      <c r="Z970" s="13" t="str">
        <f>IF($A970="","",[1]!thsiFinD("ths_adjustment_nv_fund",Z$3,$A970))</f>
        <v/>
      </c>
      <c r="AA970" s="13" t="str">
        <f>IF($A970="","",[1]!thsiFinD("ths_adjustment_nv_fund",AA$3,$A970))</f>
        <v/>
      </c>
      <c r="AB970" s="13">
        <f>IF($A970="","",[1]!thsiFinD("ths_adjustment_nv_fund",AB$3,$A970))</f>
        <v/>
      </c>
      <c r="AC970" s="13">
        <f>IF($A970="","",[1]!thsiFinD("ths_adjustment_nv_fund",AC$3,$A970))</f>
        <v/>
      </c>
      <c r="AD970" s="13">
        <f>IF($A970="","",[1]!thsiFinD("ths_adjustment_nv_fund",AD$3,$A970))</f>
        <v/>
      </c>
      <c r="AE970" s="13">
        <f>IF($A970="","",[1]!thsiFinD("ths_adjustment_nv_fund",AE$3,$A970))</f>
        <v/>
      </c>
      <c r="AF970" s="13">
        <f>IF($A970="","",[1]!thsiFinD("ths_adjustment_nv_fund",AF$3,$A970))</f>
        <v/>
      </c>
      <c r="AG970" s="13">
        <f>IF($A970="","",[1]!thsiFinD("ths_adjustment_nv_fund",AG$3,$A970))</f>
        <v/>
      </c>
      <c r="AH970" s="13">
        <f>IF($A970="","",[1]!thsiFinD("ths_adjustment_nv_fund",AH$3,$A970))</f>
        <v/>
      </c>
      <c r="AI970" s="13">
        <f>IF($A970="","",[1]!thsiFinD("ths_adjustment_nv_fund",AI$3,$A970))</f>
        <v/>
      </c>
      <c r="AJ970" s="13">
        <f>IF($A970="","",[1]!thsiFinD("ths_adjustment_nv_fund",AJ$3,$A970))</f>
        <v/>
      </c>
      <c r="AK970" s="13">
        <f>IF($A970="","",[1]!thsiFinD("ths_adjustment_nv_fund",AK$3,$A970))</f>
        <v/>
      </c>
      <c r="AL970" s="13">
        <f>IF($A970="","",[1]!thsiFinD("ths_adjustment_nv_fund",AL$3,$A970))</f>
        <v/>
      </c>
    </row>
    <row r="971" spans="2:28">
      <c r="B971" s="13" t="str">
        <f>IF($A971="","",[1]!thsiFinD("ths_adjustment_nv_fund",B$3,$A971))</f>
        <v/>
      </c>
      <c r="C971" s="13" t="str">
        <f>IF($A971="","",[1]!thsiFinD("ths_adjustment_nv_fund",C$3,$A971))</f>
        <v/>
      </c>
      <c r="D971" s="13" t="str">
        <f>IF($A971="","",[1]!thsiFinD("ths_adjustment_nv_fund",D$3,$A971))</f>
        <v/>
      </c>
      <c r="E971" s="13" t="str">
        <f>IF($A971="","",[1]!thsiFinD("ths_adjustment_nv_fund",E$3,$A971))</f>
        <v/>
      </c>
      <c r="F971" s="13" t="str">
        <f>IF($A971="","",[1]!thsiFinD("ths_adjustment_nv_fund",F$3,$A971))</f>
        <v/>
      </c>
      <c r="G971" s="13" t="str">
        <f>IF($A971="","",[1]!thsiFinD("ths_adjustment_nv_fund",G$3,$A971))</f>
        <v/>
      </c>
      <c r="H971" s="13" t="str">
        <f>IF($A971="","",[1]!thsiFinD("ths_adjustment_nv_fund",H$3,$A971))</f>
        <v/>
      </c>
      <c r="I971" s="13" t="str">
        <f>IF($A971="","",[1]!thsiFinD("ths_adjustment_nv_fund",I$3,$A971))</f>
        <v/>
      </c>
      <c r="J971" s="13" t="str">
        <f>IF($A971="","",[1]!thsiFinD("ths_adjustment_nv_fund",J$3,$A971))</f>
        <v/>
      </c>
      <c r="K971" s="13" t="str">
        <f>IF($A971="","",[1]!thsiFinD("ths_adjustment_nv_fund",K$3,$A971))</f>
        <v/>
      </c>
      <c r="L971" s="13" t="str">
        <f>IF($A971="","",[1]!thsiFinD("ths_adjustment_nv_fund",L$3,$A971))</f>
        <v/>
      </c>
      <c r="M971" s="13" t="str">
        <f>IF($A971="","",[1]!thsiFinD("ths_adjustment_nv_fund",M$3,$A971))</f>
        <v/>
      </c>
      <c r="N971" s="13" t="str">
        <f>IF($A971="","",[1]!thsiFinD("ths_adjustment_nv_fund",N$3,$A971))</f>
        <v/>
      </c>
      <c r="O971" s="13" t="str">
        <f>IF($A971="","",[1]!thsiFinD("ths_adjustment_nv_fund",O$3,$A971))</f>
        <v/>
      </c>
      <c r="P971" s="13" t="str">
        <f>IF($A971="","",[1]!thsiFinD("ths_adjustment_nv_fund",P$3,$A971))</f>
        <v/>
      </c>
      <c r="Q971" s="13" t="str">
        <f>IF($A971="","",[1]!thsiFinD("ths_adjustment_nv_fund",Q$3,$A971))</f>
        <v/>
      </c>
      <c r="R971" s="13" t="str">
        <f>IF($A971="","",[1]!thsiFinD("ths_adjustment_nv_fund",R$3,$A971))</f>
        <v/>
      </c>
      <c r="S971" s="13" t="str">
        <f>IF($A971="","",[1]!thsiFinD("ths_adjustment_nv_fund",S$3,$A971))</f>
        <v/>
      </c>
      <c r="T971" s="13" t="str">
        <f>IF($A971="","",[1]!thsiFinD("ths_adjustment_nv_fund",T$3,$A971))</f>
        <v/>
      </c>
      <c r="U971" s="13" t="str">
        <f>IF($A971="","",[1]!thsiFinD("ths_adjustment_nv_fund",U$3,$A971))</f>
        <v/>
      </c>
      <c r="V971" s="13" t="str">
        <f>IF($A971="","",[1]!thsiFinD("ths_adjustment_nv_fund",V$3,$A971))</f>
        <v/>
      </c>
      <c r="W971" s="13" t="str">
        <f>IF($A971="","",[1]!thsiFinD("ths_adjustment_nv_fund",W$3,$A971))</f>
        <v/>
      </c>
      <c r="X971" s="13" t="str">
        <f>IF($A971="","",[1]!thsiFinD("ths_adjustment_nv_fund",X$3,$A971))</f>
        <v/>
      </c>
      <c r="Y971" s="13" t="str">
        <f>IF($A971="","",[1]!thsiFinD("ths_adjustment_nv_fund",Y$3,$A971))</f>
        <v/>
      </c>
      <c r="Z971" s="13" t="str">
        <f>IF($A971="","",[1]!thsiFinD("ths_adjustment_nv_fund",Z$3,$A971))</f>
        <v/>
      </c>
      <c r="AA971" s="13" t="str">
        <f>IF($A971="","",[1]!thsiFinD("ths_adjustment_nv_fund",AA$3,$A971))</f>
        <v/>
      </c>
      <c r="AB971" s="13">
        <f>IF($A971="","",[1]!thsiFinD("ths_adjustment_nv_fund",AB$3,$A971))</f>
        <v/>
      </c>
      <c r="AC971" s="13">
        <f>IF($A971="","",[1]!thsiFinD("ths_adjustment_nv_fund",AC$3,$A971))</f>
        <v/>
      </c>
      <c r="AD971" s="13">
        <f>IF($A971="","",[1]!thsiFinD("ths_adjustment_nv_fund",AD$3,$A971))</f>
        <v/>
      </c>
      <c r="AE971" s="13">
        <f>IF($A971="","",[1]!thsiFinD("ths_adjustment_nv_fund",AE$3,$A971))</f>
        <v/>
      </c>
      <c r="AF971" s="13">
        <f>IF($A971="","",[1]!thsiFinD("ths_adjustment_nv_fund",AF$3,$A971))</f>
        <v/>
      </c>
      <c r="AG971" s="13">
        <f>IF($A971="","",[1]!thsiFinD("ths_adjustment_nv_fund",AG$3,$A971))</f>
        <v/>
      </c>
      <c r="AH971" s="13">
        <f>IF($A971="","",[1]!thsiFinD("ths_adjustment_nv_fund",AH$3,$A971))</f>
        <v/>
      </c>
      <c r="AI971" s="13">
        <f>IF($A971="","",[1]!thsiFinD("ths_adjustment_nv_fund",AI$3,$A971))</f>
        <v/>
      </c>
      <c r="AJ971" s="13">
        <f>IF($A971="","",[1]!thsiFinD("ths_adjustment_nv_fund",AJ$3,$A971))</f>
        <v/>
      </c>
      <c r="AK971" s="13">
        <f>IF($A971="","",[1]!thsiFinD("ths_adjustment_nv_fund",AK$3,$A971))</f>
        <v/>
      </c>
      <c r="AL971" s="13">
        <f>IF($A971="","",[1]!thsiFinD("ths_adjustment_nv_fund",AL$3,$A971))</f>
        <v/>
      </c>
    </row>
    <row r="972" spans="2:28">
      <c r="B972" s="13" t="str">
        <f>IF($A972="","",[1]!thsiFinD("ths_adjustment_nv_fund",B$3,$A972))</f>
        <v/>
      </c>
      <c r="C972" s="13" t="str">
        <f>IF($A972="","",[1]!thsiFinD("ths_adjustment_nv_fund",C$3,$A972))</f>
        <v/>
      </c>
      <c r="D972" s="13" t="str">
        <f>IF($A972="","",[1]!thsiFinD("ths_adjustment_nv_fund",D$3,$A972))</f>
        <v/>
      </c>
      <c r="E972" s="13" t="str">
        <f>IF($A972="","",[1]!thsiFinD("ths_adjustment_nv_fund",E$3,$A972))</f>
        <v/>
      </c>
      <c r="F972" s="13" t="str">
        <f>IF($A972="","",[1]!thsiFinD("ths_adjustment_nv_fund",F$3,$A972))</f>
        <v/>
      </c>
      <c r="G972" s="13" t="str">
        <f>IF($A972="","",[1]!thsiFinD("ths_adjustment_nv_fund",G$3,$A972))</f>
        <v/>
      </c>
      <c r="H972" s="13" t="str">
        <f>IF($A972="","",[1]!thsiFinD("ths_adjustment_nv_fund",H$3,$A972))</f>
        <v/>
      </c>
      <c r="I972" s="13" t="str">
        <f>IF($A972="","",[1]!thsiFinD("ths_adjustment_nv_fund",I$3,$A972))</f>
        <v/>
      </c>
      <c r="J972" s="13" t="str">
        <f>IF($A972="","",[1]!thsiFinD("ths_adjustment_nv_fund",J$3,$A972))</f>
        <v/>
      </c>
      <c r="K972" s="13" t="str">
        <f>IF($A972="","",[1]!thsiFinD("ths_adjustment_nv_fund",K$3,$A972))</f>
        <v/>
      </c>
      <c r="L972" s="13" t="str">
        <f>IF($A972="","",[1]!thsiFinD("ths_adjustment_nv_fund",L$3,$A972))</f>
        <v/>
      </c>
      <c r="M972" s="13" t="str">
        <f>IF($A972="","",[1]!thsiFinD("ths_adjustment_nv_fund",M$3,$A972))</f>
        <v/>
      </c>
      <c r="N972" s="13" t="str">
        <f>IF($A972="","",[1]!thsiFinD("ths_adjustment_nv_fund",N$3,$A972))</f>
        <v/>
      </c>
      <c r="O972" s="13" t="str">
        <f>IF($A972="","",[1]!thsiFinD("ths_adjustment_nv_fund",O$3,$A972))</f>
        <v/>
      </c>
      <c r="P972" s="13" t="str">
        <f>IF($A972="","",[1]!thsiFinD("ths_adjustment_nv_fund",P$3,$A972))</f>
        <v/>
      </c>
      <c r="Q972" s="13" t="str">
        <f>IF($A972="","",[1]!thsiFinD("ths_adjustment_nv_fund",Q$3,$A972))</f>
        <v/>
      </c>
      <c r="R972" s="13" t="str">
        <f>IF($A972="","",[1]!thsiFinD("ths_adjustment_nv_fund",R$3,$A972))</f>
        <v/>
      </c>
      <c r="S972" s="13" t="str">
        <f>IF($A972="","",[1]!thsiFinD("ths_adjustment_nv_fund",S$3,$A972))</f>
        <v/>
      </c>
      <c r="T972" s="13" t="str">
        <f>IF($A972="","",[1]!thsiFinD("ths_adjustment_nv_fund",T$3,$A972))</f>
        <v/>
      </c>
      <c r="U972" s="13" t="str">
        <f>IF($A972="","",[1]!thsiFinD("ths_adjustment_nv_fund",U$3,$A972))</f>
        <v/>
      </c>
      <c r="V972" s="13" t="str">
        <f>IF($A972="","",[1]!thsiFinD("ths_adjustment_nv_fund",V$3,$A972))</f>
        <v/>
      </c>
      <c r="W972" s="13" t="str">
        <f>IF($A972="","",[1]!thsiFinD("ths_adjustment_nv_fund",W$3,$A972))</f>
        <v/>
      </c>
      <c r="X972" s="13" t="str">
        <f>IF($A972="","",[1]!thsiFinD("ths_adjustment_nv_fund",X$3,$A972))</f>
        <v/>
      </c>
      <c r="Y972" s="13" t="str">
        <f>IF($A972="","",[1]!thsiFinD("ths_adjustment_nv_fund",Y$3,$A972))</f>
        <v/>
      </c>
      <c r="Z972" s="13" t="str">
        <f>IF($A972="","",[1]!thsiFinD("ths_adjustment_nv_fund",Z$3,$A972))</f>
        <v/>
      </c>
      <c r="AA972" s="13" t="str">
        <f>IF($A972="","",[1]!thsiFinD("ths_adjustment_nv_fund",AA$3,$A972))</f>
        <v/>
      </c>
      <c r="AB972" s="13">
        <f>IF($A972="","",[1]!thsiFinD("ths_adjustment_nv_fund",AB$3,$A972))</f>
        <v/>
      </c>
      <c r="AC972" s="13">
        <f>IF($A972="","",[1]!thsiFinD("ths_adjustment_nv_fund",AC$3,$A972))</f>
        <v/>
      </c>
      <c r="AD972" s="13">
        <f>IF($A972="","",[1]!thsiFinD("ths_adjustment_nv_fund",AD$3,$A972))</f>
        <v/>
      </c>
      <c r="AE972" s="13">
        <f>IF($A972="","",[1]!thsiFinD("ths_adjustment_nv_fund",AE$3,$A972))</f>
        <v/>
      </c>
      <c r="AF972" s="13">
        <f>IF($A972="","",[1]!thsiFinD("ths_adjustment_nv_fund",AF$3,$A972))</f>
        <v/>
      </c>
      <c r="AG972" s="13">
        <f>IF($A972="","",[1]!thsiFinD("ths_adjustment_nv_fund",AG$3,$A972))</f>
        <v/>
      </c>
      <c r="AH972" s="13">
        <f>IF($A972="","",[1]!thsiFinD("ths_adjustment_nv_fund",AH$3,$A972))</f>
        <v/>
      </c>
      <c r="AI972" s="13">
        <f>IF($A972="","",[1]!thsiFinD("ths_adjustment_nv_fund",AI$3,$A972))</f>
        <v/>
      </c>
      <c r="AJ972" s="13">
        <f>IF($A972="","",[1]!thsiFinD("ths_adjustment_nv_fund",AJ$3,$A972))</f>
        <v/>
      </c>
      <c r="AK972" s="13">
        <f>IF($A972="","",[1]!thsiFinD("ths_adjustment_nv_fund",AK$3,$A972))</f>
        <v/>
      </c>
      <c r="AL972" s="13">
        <f>IF($A972="","",[1]!thsiFinD("ths_adjustment_nv_fund",AL$3,$A972))</f>
        <v/>
      </c>
    </row>
    <row r="973" spans="2:28">
      <c r="B973" s="13" t="str">
        <f>IF($A973="","",[1]!thsiFinD("ths_adjustment_nv_fund",B$3,$A973))</f>
        <v/>
      </c>
      <c r="C973" s="13" t="str">
        <f>IF($A973="","",[1]!thsiFinD("ths_adjustment_nv_fund",C$3,$A973))</f>
        <v/>
      </c>
      <c r="D973" s="13" t="str">
        <f>IF($A973="","",[1]!thsiFinD("ths_adjustment_nv_fund",D$3,$A973))</f>
        <v/>
      </c>
      <c r="E973" s="13" t="str">
        <f>IF($A973="","",[1]!thsiFinD("ths_adjustment_nv_fund",E$3,$A973))</f>
        <v/>
      </c>
      <c r="F973" s="13" t="str">
        <f>IF($A973="","",[1]!thsiFinD("ths_adjustment_nv_fund",F$3,$A973))</f>
        <v/>
      </c>
      <c r="G973" s="13" t="str">
        <f>IF($A973="","",[1]!thsiFinD("ths_adjustment_nv_fund",G$3,$A973))</f>
        <v/>
      </c>
      <c r="H973" s="13" t="str">
        <f>IF($A973="","",[1]!thsiFinD("ths_adjustment_nv_fund",H$3,$A973))</f>
        <v/>
      </c>
      <c r="I973" s="13" t="str">
        <f>IF($A973="","",[1]!thsiFinD("ths_adjustment_nv_fund",I$3,$A973))</f>
        <v/>
      </c>
      <c r="J973" s="13" t="str">
        <f>IF($A973="","",[1]!thsiFinD("ths_adjustment_nv_fund",J$3,$A973))</f>
        <v/>
      </c>
      <c r="K973" s="13" t="str">
        <f>IF($A973="","",[1]!thsiFinD("ths_adjustment_nv_fund",K$3,$A973))</f>
        <v/>
      </c>
      <c r="L973" s="13" t="str">
        <f>IF($A973="","",[1]!thsiFinD("ths_adjustment_nv_fund",L$3,$A973))</f>
        <v/>
      </c>
      <c r="M973" s="13" t="str">
        <f>IF($A973="","",[1]!thsiFinD("ths_adjustment_nv_fund",M$3,$A973))</f>
        <v/>
      </c>
      <c r="N973" s="13" t="str">
        <f>IF($A973="","",[1]!thsiFinD("ths_adjustment_nv_fund",N$3,$A973))</f>
        <v/>
      </c>
      <c r="O973" s="13" t="str">
        <f>IF($A973="","",[1]!thsiFinD("ths_adjustment_nv_fund",O$3,$A973))</f>
        <v/>
      </c>
      <c r="P973" s="13" t="str">
        <f>IF($A973="","",[1]!thsiFinD("ths_adjustment_nv_fund",P$3,$A973))</f>
        <v/>
      </c>
      <c r="Q973" s="13" t="str">
        <f>IF($A973="","",[1]!thsiFinD("ths_adjustment_nv_fund",Q$3,$A973))</f>
        <v/>
      </c>
      <c r="R973" s="13" t="str">
        <f>IF($A973="","",[1]!thsiFinD("ths_adjustment_nv_fund",R$3,$A973))</f>
        <v/>
      </c>
      <c r="S973" s="13" t="str">
        <f>IF($A973="","",[1]!thsiFinD("ths_adjustment_nv_fund",S$3,$A973))</f>
        <v/>
      </c>
      <c r="T973" s="13" t="str">
        <f>IF($A973="","",[1]!thsiFinD("ths_adjustment_nv_fund",T$3,$A973))</f>
        <v/>
      </c>
      <c r="U973" s="13" t="str">
        <f>IF($A973="","",[1]!thsiFinD("ths_adjustment_nv_fund",U$3,$A973))</f>
        <v/>
      </c>
      <c r="V973" s="13" t="str">
        <f>IF($A973="","",[1]!thsiFinD("ths_adjustment_nv_fund",V$3,$A973))</f>
        <v/>
      </c>
      <c r="W973" s="13" t="str">
        <f>IF($A973="","",[1]!thsiFinD("ths_adjustment_nv_fund",W$3,$A973))</f>
        <v/>
      </c>
      <c r="X973" s="13" t="str">
        <f>IF($A973="","",[1]!thsiFinD("ths_adjustment_nv_fund",X$3,$A973))</f>
        <v/>
      </c>
      <c r="Y973" s="13" t="str">
        <f>IF($A973="","",[1]!thsiFinD("ths_adjustment_nv_fund",Y$3,$A973))</f>
        <v/>
      </c>
      <c r="Z973" s="13" t="str">
        <f>IF($A973="","",[1]!thsiFinD("ths_adjustment_nv_fund",Z$3,$A973))</f>
        <v/>
      </c>
      <c r="AA973" s="13" t="str">
        <f>IF($A973="","",[1]!thsiFinD("ths_adjustment_nv_fund",AA$3,$A973))</f>
        <v/>
      </c>
      <c r="AB973" s="13">
        <f>IF($A973="","",[1]!thsiFinD("ths_adjustment_nv_fund",AB$3,$A973))</f>
        <v/>
      </c>
      <c r="AC973" s="13">
        <f>IF($A973="","",[1]!thsiFinD("ths_adjustment_nv_fund",AC$3,$A973))</f>
        <v/>
      </c>
      <c r="AD973" s="13">
        <f>IF($A973="","",[1]!thsiFinD("ths_adjustment_nv_fund",AD$3,$A973))</f>
        <v/>
      </c>
      <c r="AE973" s="13">
        <f>IF($A973="","",[1]!thsiFinD("ths_adjustment_nv_fund",AE$3,$A973))</f>
        <v/>
      </c>
      <c r="AF973" s="13">
        <f>IF($A973="","",[1]!thsiFinD("ths_adjustment_nv_fund",AF$3,$A973))</f>
        <v/>
      </c>
      <c r="AG973" s="13">
        <f>IF($A973="","",[1]!thsiFinD("ths_adjustment_nv_fund",AG$3,$A973))</f>
        <v/>
      </c>
      <c r="AH973" s="13">
        <f>IF($A973="","",[1]!thsiFinD("ths_adjustment_nv_fund",AH$3,$A973))</f>
        <v/>
      </c>
      <c r="AI973" s="13">
        <f>IF($A973="","",[1]!thsiFinD("ths_adjustment_nv_fund",AI$3,$A973))</f>
        <v/>
      </c>
      <c r="AJ973" s="13">
        <f>IF($A973="","",[1]!thsiFinD("ths_adjustment_nv_fund",AJ$3,$A973))</f>
        <v/>
      </c>
      <c r="AK973" s="13">
        <f>IF($A973="","",[1]!thsiFinD("ths_adjustment_nv_fund",AK$3,$A973))</f>
        <v/>
      </c>
      <c r="AL973" s="13">
        <f>IF($A973="","",[1]!thsiFinD("ths_adjustment_nv_fund",AL$3,$A973))</f>
        <v/>
      </c>
    </row>
    <row r="974" spans="2:28">
      <c r="B974" s="13" t="str">
        <f>IF($A974="","",[1]!thsiFinD("ths_adjustment_nv_fund",B$3,$A974))</f>
        <v/>
      </c>
      <c r="C974" s="13" t="str">
        <f>IF($A974="","",[1]!thsiFinD("ths_adjustment_nv_fund",C$3,$A974))</f>
        <v/>
      </c>
      <c r="D974" s="13" t="str">
        <f>IF($A974="","",[1]!thsiFinD("ths_adjustment_nv_fund",D$3,$A974))</f>
        <v/>
      </c>
      <c r="E974" s="13" t="str">
        <f>IF($A974="","",[1]!thsiFinD("ths_adjustment_nv_fund",E$3,$A974))</f>
        <v/>
      </c>
      <c r="F974" s="13" t="str">
        <f>IF($A974="","",[1]!thsiFinD("ths_adjustment_nv_fund",F$3,$A974))</f>
        <v/>
      </c>
      <c r="G974" s="13" t="str">
        <f>IF($A974="","",[1]!thsiFinD("ths_adjustment_nv_fund",G$3,$A974))</f>
        <v/>
      </c>
      <c r="H974" s="13" t="str">
        <f>IF($A974="","",[1]!thsiFinD("ths_adjustment_nv_fund",H$3,$A974))</f>
        <v/>
      </c>
      <c r="I974" s="13" t="str">
        <f>IF($A974="","",[1]!thsiFinD("ths_adjustment_nv_fund",I$3,$A974))</f>
        <v/>
      </c>
      <c r="J974" s="13" t="str">
        <f>IF($A974="","",[1]!thsiFinD("ths_adjustment_nv_fund",J$3,$A974))</f>
        <v/>
      </c>
      <c r="K974" s="13" t="str">
        <f>IF($A974="","",[1]!thsiFinD("ths_adjustment_nv_fund",K$3,$A974))</f>
        <v/>
      </c>
      <c r="L974" s="13" t="str">
        <f>IF($A974="","",[1]!thsiFinD("ths_adjustment_nv_fund",L$3,$A974))</f>
        <v/>
      </c>
      <c r="M974" s="13" t="str">
        <f>IF($A974="","",[1]!thsiFinD("ths_adjustment_nv_fund",M$3,$A974))</f>
        <v/>
      </c>
      <c r="N974" s="13" t="str">
        <f>IF($A974="","",[1]!thsiFinD("ths_adjustment_nv_fund",N$3,$A974))</f>
        <v/>
      </c>
      <c r="O974" s="13" t="str">
        <f>IF($A974="","",[1]!thsiFinD("ths_adjustment_nv_fund",O$3,$A974))</f>
        <v/>
      </c>
      <c r="P974" s="13" t="str">
        <f>IF($A974="","",[1]!thsiFinD("ths_adjustment_nv_fund",P$3,$A974))</f>
        <v/>
      </c>
      <c r="Q974" s="13" t="str">
        <f>IF($A974="","",[1]!thsiFinD("ths_adjustment_nv_fund",Q$3,$A974))</f>
        <v/>
      </c>
      <c r="R974" s="13" t="str">
        <f>IF($A974="","",[1]!thsiFinD("ths_adjustment_nv_fund",R$3,$A974))</f>
        <v/>
      </c>
      <c r="S974" s="13" t="str">
        <f>IF($A974="","",[1]!thsiFinD("ths_adjustment_nv_fund",S$3,$A974))</f>
        <v/>
      </c>
      <c r="T974" s="13" t="str">
        <f>IF($A974="","",[1]!thsiFinD("ths_adjustment_nv_fund",T$3,$A974))</f>
        <v/>
      </c>
      <c r="U974" s="13" t="str">
        <f>IF($A974="","",[1]!thsiFinD("ths_adjustment_nv_fund",U$3,$A974))</f>
        <v/>
      </c>
      <c r="V974" s="13" t="str">
        <f>IF($A974="","",[1]!thsiFinD("ths_adjustment_nv_fund",V$3,$A974))</f>
        <v/>
      </c>
      <c r="W974" s="13" t="str">
        <f>IF($A974="","",[1]!thsiFinD("ths_adjustment_nv_fund",W$3,$A974))</f>
        <v/>
      </c>
      <c r="X974" s="13" t="str">
        <f>IF($A974="","",[1]!thsiFinD("ths_adjustment_nv_fund",X$3,$A974))</f>
        <v/>
      </c>
      <c r="Y974" s="13" t="str">
        <f>IF($A974="","",[1]!thsiFinD("ths_adjustment_nv_fund",Y$3,$A974))</f>
        <v/>
      </c>
      <c r="Z974" s="13" t="str">
        <f>IF($A974="","",[1]!thsiFinD("ths_adjustment_nv_fund",Z$3,$A974))</f>
        <v/>
      </c>
      <c r="AA974" s="13" t="str">
        <f>IF($A974="","",[1]!thsiFinD("ths_adjustment_nv_fund",AA$3,$A974))</f>
        <v/>
      </c>
      <c r="AB974" s="13">
        <f>IF($A974="","",[1]!thsiFinD("ths_adjustment_nv_fund",AB$3,$A974))</f>
        <v/>
      </c>
      <c r="AC974" s="13">
        <f>IF($A974="","",[1]!thsiFinD("ths_adjustment_nv_fund",AC$3,$A974))</f>
        <v/>
      </c>
      <c r="AD974" s="13">
        <f>IF($A974="","",[1]!thsiFinD("ths_adjustment_nv_fund",AD$3,$A974))</f>
        <v/>
      </c>
      <c r="AE974" s="13">
        <f>IF($A974="","",[1]!thsiFinD("ths_adjustment_nv_fund",AE$3,$A974))</f>
        <v/>
      </c>
      <c r="AF974" s="13">
        <f>IF($A974="","",[1]!thsiFinD("ths_adjustment_nv_fund",AF$3,$A974))</f>
        <v/>
      </c>
      <c r="AG974" s="13">
        <f>IF($A974="","",[1]!thsiFinD("ths_adjustment_nv_fund",AG$3,$A974))</f>
        <v/>
      </c>
      <c r="AH974" s="13">
        <f>IF($A974="","",[1]!thsiFinD("ths_adjustment_nv_fund",AH$3,$A974))</f>
        <v/>
      </c>
      <c r="AI974" s="13">
        <f>IF($A974="","",[1]!thsiFinD("ths_adjustment_nv_fund",AI$3,$A974))</f>
        <v/>
      </c>
      <c r="AJ974" s="13">
        <f>IF($A974="","",[1]!thsiFinD("ths_adjustment_nv_fund",AJ$3,$A974))</f>
        <v/>
      </c>
      <c r="AK974" s="13">
        <f>IF($A974="","",[1]!thsiFinD("ths_adjustment_nv_fund",AK$3,$A974))</f>
        <v/>
      </c>
      <c r="AL974" s="13">
        <f>IF($A974="","",[1]!thsiFinD("ths_adjustment_nv_fund",AL$3,$A974))</f>
        <v/>
      </c>
    </row>
    <row r="975" spans="2:28">
      <c r="B975" s="13" t="str">
        <f>IF($A975="","",[1]!thsiFinD("ths_adjustment_nv_fund",B$3,$A975))</f>
        <v/>
      </c>
      <c r="C975" s="13" t="str">
        <f>IF($A975="","",[1]!thsiFinD("ths_adjustment_nv_fund",C$3,$A975))</f>
        <v/>
      </c>
      <c r="D975" s="13" t="str">
        <f>IF($A975="","",[1]!thsiFinD("ths_adjustment_nv_fund",D$3,$A975))</f>
        <v/>
      </c>
      <c r="E975" s="13" t="str">
        <f>IF($A975="","",[1]!thsiFinD("ths_adjustment_nv_fund",E$3,$A975))</f>
        <v/>
      </c>
      <c r="F975" s="13" t="str">
        <f>IF($A975="","",[1]!thsiFinD("ths_adjustment_nv_fund",F$3,$A975))</f>
        <v/>
      </c>
      <c r="G975" s="13" t="str">
        <f>IF($A975="","",[1]!thsiFinD("ths_adjustment_nv_fund",G$3,$A975))</f>
        <v/>
      </c>
      <c r="H975" s="13" t="str">
        <f>IF($A975="","",[1]!thsiFinD("ths_adjustment_nv_fund",H$3,$A975))</f>
        <v/>
      </c>
      <c r="I975" s="13" t="str">
        <f>IF($A975="","",[1]!thsiFinD("ths_adjustment_nv_fund",I$3,$A975))</f>
        <v/>
      </c>
      <c r="J975" s="13" t="str">
        <f>IF($A975="","",[1]!thsiFinD("ths_adjustment_nv_fund",J$3,$A975))</f>
        <v/>
      </c>
      <c r="K975" s="13" t="str">
        <f>IF($A975="","",[1]!thsiFinD("ths_adjustment_nv_fund",K$3,$A975))</f>
        <v/>
      </c>
      <c r="L975" s="13" t="str">
        <f>IF($A975="","",[1]!thsiFinD("ths_adjustment_nv_fund",L$3,$A975))</f>
        <v/>
      </c>
      <c r="M975" s="13" t="str">
        <f>IF($A975="","",[1]!thsiFinD("ths_adjustment_nv_fund",M$3,$A975))</f>
        <v/>
      </c>
      <c r="N975" s="13" t="str">
        <f>IF($A975="","",[1]!thsiFinD("ths_adjustment_nv_fund",N$3,$A975))</f>
        <v/>
      </c>
      <c r="O975" s="13" t="str">
        <f>IF($A975="","",[1]!thsiFinD("ths_adjustment_nv_fund",O$3,$A975))</f>
        <v/>
      </c>
      <c r="P975" s="13" t="str">
        <f>IF($A975="","",[1]!thsiFinD("ths_adjustment_nv_fund",P$3,$A975))</f>
        <v/>
      </c>
      <c r="Q975" s="13" t="str">
        <f>IF($A975="","",[1]!thsiFinD("ths_adjustment_nv_fund",Q$3,$A975))</f>
        <v/>
      </c>
      <c r="R975" s="13" t="str">
        <f>IF($A975="","",[1]!thsiFinD("ths_adjustment_nv_fund",R$3,$A975))</f>
        <v/>
      </c>
      <c r="S975" s="13" t="str">
        <f>IF($A975="","",[1]!thsiFinD("ths_adjustment_nv_fund",S$3,$A975))</f>
        <v/>
      </c>
      <c r="T975" s="13" t="str">
        <f>IF($A975="","",[1]!thsiFinD("ths_adjustment_nv_fund",T$3,$A975))</f>
        <v/>
      </c>
      <c r="U975" s="13" t="str">
        <f>IF($A975="","",[1]!thsiFinD("ths_adjustment_nv_fund",U$3,$A975))</f>
        <v/>
      </c>
      <c r="V975" s="13" t="str">
        <f>IF($A975="","",[1]!thsiFinD("ths_adjustment_nv_fund",V$3,$A975))</f>
        <v/>
      </c>
      <c r="W975" s="13" t="str">
        <f>IF($A975="","",[1]!thsiFinD("ths_adjustment_nv_fund",W$3,$A975))</f>
        <v/>
      </c>
      <c r="X975" s="13" t="str">
        <f>IF($A975="","",[1]!thsiFinD("ths_adjustment_nv_fund",X$3,$A975))</f>
        <v/>
      </c>
      <c r="Y975" s="13" t="str">
        <f>IF($A975="","",[1]!thsiFinD("ths_adjustment_nv_fund",Y$3,$A975))</f>
        <v/>
      </c>
      <c r="Z975" s="13" t="str">
        <f>IF($A975="","",[1]!thsiFinD("ths_adjustment_nv_fund",Z$3,$A975))</f>
        <v/>
      </c>
      <c r="AA975" s="13" t="str">
        <f>IF($A975="","",[1]!thsiFinD("ths_adjustment_nv_fund",AA$3,$A975))</f>
        <v/>
      </c>
      <c r="AB975" s="13">
        <f>IF($A975="","",[1]!thsiFinD("ths_adjustment_nv_fund",AB$3,$A975))</f>
        <v/>
      </c>
      <c r="AC975" s="13">
        <f>IF($A975="","",[1]!thsiFinD("ths_adjustment_nv_fund",AC$3,$A975))</f>
        <v/>
      </c>
      <c r="AD975" s="13">
        <f>IF($A975="","",[1]!thsiFinD("ths_adjustment_nv_fund",AD$3,$A975))</f>
        <v/>
      </c>
      <c r="AE975" s="13">
        <f>IF($A975="","",[1]!thsiFinD("ths_adjustment_nv_fund",AE$3,$A975))</f>
        <v/>
      </c>
      <c r="AF975" s="13">
        <f>IF($A975="","",[1]!thsiFinD("ths_adjustment_nv_fund",AF$3,$A975))</f>
        <v/>
      </c>
      <c r="AG975" s="13">
        <f>IF($A975="","",[1]!thsiFinD("ths_adjustment_nv_fund",AG$3,$A975))</f>
        <v/>
      </c>
      <c r="AH975" s="13">
        <f>IF($A975="","",[1]!thsiFinD("ths_adjustment_nv_fund",AH$3,$A975))</f>
        <v/>
      </c>
      <c r="AI975" s="13">
        <f>IF($A975="","",[1]!thsiFinD("ths_adjustment_nv_fund",AI$3,$A975))</f>
        <v/>
      </c>
      <c r="AJ975" s="13">
        <f>IF($A975="","",[1]!thsiFinD("ths_adjustment_nv_fund",AJ$3,$A975))</f>
        <v/>
      </c>
      <c r="AK975" s="13">
        <f>IF($A975="","",[1]!thsiFinD("ths_adjustment_nv_fund",AK$3,$A975))</f>
        <v/>
      </c>
      <c r="AL975" s="13">
        <f>IF($A975="","",[1]!thsiFinD("ths_adjustment_nv_fund",AL$3,$A975))</f>
        <v/>
      </c>
    </row>
    <row r="976" spans="2:28">
      <c r="B976" s="13" t="str">
        <f>IF($A976="","",[1]!thsiFinD("ths_adjustment_nv_fund",B$3,$A976))</f>
        <v/>
      </c>
      <c r="C976" s="13" t="str">
        <f>IF($A976="","",[1]!thsiFinD("ths_adjustment_nv_fund",C$3,$A976))</f>
        <v/>
      </c>
      <c r="D976" s="13" t="str">
        <f>IF($A976="","",[1]!thsiFinD("ths_adjustment_nv_fund",D$3,$A976))</f>
        <v/>
      </c>
      <c r="E976" s="13" t="str">
        <f>IF($A976="","",[1]!thsiFinD("ths_adjustment_nv_fund",E$3,$A976))</f>
        <v/>
      </c>
      <c r="F976" s="13" t="str">
        <f>IF($A976="","",[1]!thsiFinD("ths_adjustment_nv_fund",F$3,$A976))</f>
        <v/>
      </c>
      <c r="G976" s="13" t="str">
        <f>IF($A976="","",[1]!thsiFinD("ths_adjustment_nv_fund",G$3,$A976))</f>
        <v/>
      </c>
      <c r="H976" s="13" t="str">
        <f>IF($A976="","",[1]!thsiFinD("ths_adjustment_nv_fund",H$3,$A976))</f>
        <v/>
      </c>
      <c r="I976" s="13" t="str">
        <f>IF($A976="","",[1]!thsiFinD("ths_adjustment_nv_fund",I$3,$A976))</f>
        <v/>
      </c>
      <c r="J976" s="13" t="str">
        <f>IF($A976="","",[1]!thsiFinD("ths_adjustment_nv_fund",J$3,$A976))</f>
        <v/>
      </c>
      <c r="K976" s="13" t="str">
        <f>IF($A976="","",[1]!thsiFinD("ths_adjustment_nv_fund",K$3,$A976))</f>
        <v/>
      </c>
      <c r="L976" s="13" t="str">
        <f>IF($A976="","",[1]!thsiFinD("ths_adjustment_nv_fund",L$3,$A976))</f>
        <v/>
      </c>
      <c r="M976" s="13" t="str">
        <f>IF($A976="","",[1]!thsiFinD("ths_adjustment_nv_fund",M$3,$A976))</f>
        <v/>
      </c>
      <c r="N976" s="13" t="str">
        <f>IF($A976="","",[1]!thsiFinD("ths_adjustment_nv_fund",N$3,$A976))</f>
        <v/>
      </c>
      <c r="O976" s="13" t="str">
        <f>IF($A976="","",[1]!thsiFinD("ths_adjustment_nv_fund",O$3,$A976))</f>
        <v/>
      </c>
      <c r="P976" s="13" t="str">
        <f>IF($A976="","",[1]!thsiFinD("ths_adjustment_nv_fund",P$3,$A976))</f>
        <v/>
      </c>
      <c r="Q976" s="13" t="str">
        <f>IF($A976="","",[1]!thsiFinD("ths_adjustment_nv_fund",Q$3,$A976))</f>
        <v/>
      </c>
      <c r="R976" s="13" t="str">
        <f>IF($A976="","",[1]!thsiFinD("ths_adjustment_nv_fund",R$3,$A976))</f>
        <v/>
      </c>
      <c r="S976" s="13" t="str">
        <f>IF($A976="","",[1]!thsiFinD("ths_adjustment_nv_fund",S$3,$A976))</f>
        <v/>
      </c>
      <c r="T976" s="13" t="str">
        <f>IF($A976="","",[1]!thsiFinD("ths_adjustment_nv_fund",T$3,$A976))</f>
        <v/>
      </c>
      <c r="U976" s="13" t="str">
        <f>IF($A976="","",[1]!thsiFinD("ths_adjustment_nv_fund",U$3,$A976))</f>
        <v/>
      </c>
      <c r="V976" s="13" t="str">
        <f>IF($A976="","",[1]!thsiFinD("ths_adjustment_nv_fund",V$3,$A976))</f>
        <v/>
      </c>
      <c r="W976" s="13" t="str">
        <f>IF($A976="","",[1]!thsiFinD("ths_adjustment_nv_fund",W$3,$A976))</f>
        <v/>
      </c>
      <c r="X976" s="13" t="str">
        <f>IF($A976="","",[1]!thsiFinD("ths_adjustment_nv_fund",X$3,$A976))</f>
        <v/>
      </c>
      <c r="Y976" s="13" t="str">
        <f>IF($A976="","",[1]!thsiFinD("ths_adjustment_nv_fund",Y$3,$A976))</f>
        <v/>
      </c>
      <c r="Z976" s="13" t="str">
        <f>IF($A976="","",[1]!thsiFinD("ths_adjustment_nv_fund",Z$3,$A976))</f>
        <v/>
      </c>
      <c r="AA976" s="13" t="str">
        <f>IF($A976="","",[1]!thsiFinD("ths_adjustment_nv_fund",AA$3,$A976))</f>
        <v/>
      </c>
      <c r="AB976" s="13">
        <f>IF($A976="","",[1]!thsiFinD("ths_adjustment_nv_fund",AB$3,$A976))</f>
        <v/>
      </c>
      <c r="AC976" s="13">
        <f>IF($A976="","",[1]!thsiFinD("ths_adjustment_nv_fund",AC$3,$A976))</f>
        <v/>
      </c>
      <c r="AD976" s="13">
        <f>IF($A976="","",[1]!thsiFinD("ths_adjustment_nv_fund",AD$3,$A976))</f>
        <v/>
      </c>
      <c r="AE976" s="13">
        <f>IF($A976="","",[1]!thsiFinD("ths_adjustment_nv_fund",AE$3,$A976))</f>
        <v/>
      </c>
      <c r="AF976" s="13">
        <f>IF($A976="","",[1]!thsiFinD("ths_adjustment_nv_fund",AF$3,$A976))</f>
        <v/>
      </c>
      <c r="AG976" s="13">
        <f>IF($A976="","",[1]!thsiFinD("ths_adjustment_nv_fund",AG$3,$A976))</f>
        <v/>
      </c>
      <c r="AH976" s="13">
        <f>IF($A976="","",[1]!thsiFinD("ths_adjustment_nv_fund",AH$3,$A976))</f>
        <v/>
      </c>
      <c r="AI976" s="13">
        <f>IF($A976="","",[1]!thsiFinD("ths_adjustment_nv_fund",AI$3,$A976))</f>
        <v/>
      </c>
      <c r="AJ976" s="13">
        <f>IF($A976="","",[1]!thsiFinD("ths_adjustment_nv_fund",AJ$3,$A976))</f>
        <v/>
      </c>
      <c r="AK976" s="13">
        <f>IF($A976="","",[1]!thsiFinD("ths_adjustment_nv_fund",AK$3,$A976))</f>
        <v/>
      </c>
      <c r="AL976" s="13">
        <f>IF($A976="","",[1]!thsiFinD("ths_adjustment_nv_fund",AL$3,$A976))</f>
        <v/>
      </c>
    </row>
    <row r="977" spans="2:28">
      <c r="B977" s="13" t="str">
        <f>IF($A977="","",[1]!thsiFinD("ths_adjustment_nv_fund",B$3,$A977))</f>
        <v/>
      </c>
      <c r="C977" s="13" t="str">
        <f>IF($A977="","",[1]!thsiFinD("ths_adjustment_nv_fund",C$3,$A977))</f>
        <v/>
      </c>
      <c r="D977" s="13" t="str">
        <f>IF($A977="","",[1]!thsiFinD("ths_adjustment_nv_fund",D$3,$A977))</f>
        <v/>
      </c>
      <c r="E977" s="13" t="str">
        <f>IF($A977="","",[1]!thsiFinD("ths_adjustment_nv_fund",E$3,$A977))</f>
        <v/>
      </c>
      <c r="F977" s="13" t="str">
        <f>IF($A977="","",[1]!thsiFinD("ths_adjustment_nv_fund",F$3,$A977))</f>
        <v/>
      </c>
      <c r="G977" s="13" t="str">
        <f>IF($A977="","",[1]!thsiFinD("ths_adjustment_nv_fund",G$3,$A977))</f>
        <v/>
      </c>
      <c r="H977" s="13" t="str">
        <f>IF($A977="","",[1]!thsiFinD("ths_adjustment_nv_fund",H$3,$A977))</f>
        <v/>
      </c>
      <c r="I977" s="13" t="str">
        <f>IF($A977="","",[1]!thsiFinD("ths_adjustment_nv_fund",I$3,$A977))</f>
        <v/>
      </c>
      <c r="J977" s="13" t="str">
        <f>IF($A977="","",[1]!thsiFinD("ths_adjustment_nv_fund",J$3,$A977))</f>
        <v/>
      </c>
      <c r="K977" s="13" t="str">
        <f>IF($A977="","",[1]!thsiFinD("ths_adjustment_nv_fund",K$3,$A977))</f>
        <v/>
      </c>
      <c r="L977" s="13" t="str">
        <f>IF($A977="","",[1]!thsiFinD("ths_adjustment_nv_fund",L$3,$A977))</f>
        <v/>
      </c>
      <c r="M977" s="13" t="str">
        <f>IF($A977="","",[1]!thsiFinD("ths_adjustment_nv_fund",M$3,$A977))</f>
        <v/>
      </c>
      <c r="N977" s="13" t="str">
        <f>IF($A977="","",[1]!thsiFinD("ths_adjustment_nv_fund",N$3,$A977))</f>
        <v/>
      </c>
      <c r="O977" s="13" t="str">
        <f>IF($A977="","",[1]!thsiFinD("ths_adjustment_nv_fund",O$3,$A977))</f>
        <v/>
      </c>
      <c r="P977" s="13" t="str">
        <f>IF($A977="","",[1]!thsiFinD("ths_adjustment_nv_fund",P$3,$A977))</f>
        <v/>
      </c>
      <c r="Q977" s="13" t="str">
        <f>IF($A977="","",[1]!thsiFinD("ths_adjustment_nv_fund",Q$3,$A977))</f>
        <v/>
      </c>
      <c r="R977" s="13" t="str">
        <f>IF($A977="","",[1]!thsiFinD("ths_adjustment_nv_fund",R$3,$A977))</f>
        <v/>
      </c>
      <c r="S977" s="13" t="str">
        <f>IF($A977="","",[1]!thsiFinD("ths_adjustment_nv_fund",S$3,$A977))</f>
        <v/>
      </c>
      <c r="T977" s="13" t="str">
        <f>IF($A977="","",[1]!thsiFinD("ths_adjustment_nv_fund",T$3,$A977))</f>
        <v/>
      </c>
      <c r="U977" s="13" t="str">
        <f>IF($A977="","",[1]!thsiFinD("ths_adjustment_nv_fund",U$3,$A977))</f>
        <v/>
      </c>
      <c r="V977" s="13" t="str">
        <f>IF($A977="","",[1]!thsiFinD("ths_adjustment_nv_fund",V$3,$A977))</f>
        <v/>
      </c>
      <c r="W977" s="13" t="str">
        <f>IF($A977="","",[1]!thsiFinD("ths_adjustment_nv_fund",W$3,$A977))</f>
        <v/>
      </c>
      <c r="X977" s="13" t="str">
        <f>IF($A977="","",[1]!thsiFinD("ths_adjustment_nv_fund",X$3,$A977))</f>
        <v/>
      </c>
      <c r="Y977" s="13" t="str">
        <f>IF($A977="","",[1]!thsiFinD("ths_adjustment_nv_fund",Y$3,$A977))</f>
        <v/>
      </c>
      <c r="Z977" s="13" t="str">
        <f>IF($A977="","",[1]!thsiFinD("ths_adjustment_nv_fund",Z$3,$A977))</f>
        <v/>
      </c>
      <c r="AA977" s="13" t="str">
        <f>IF($A977="","",[1]!thsiFinD("ths_adjustment_nv_fund",AA$3,$A977))</f>
        <v/>
      </c>
      <c r="AB977" s="13">
        <f>IF($A977="","",[1]!thsiFinD("ths_adjustment_nv_fund",AB$3,$A977))</f>
        <v/>
      </c>
      <c r="AC977" s="13">
        <f>IF($A977="","",[1]!thsiFinD("ths_adjustment_nv_fund",AC$3,$A977))</f>
        <v/>
      </c>
      <c r="AD977" s="13">
        <f>IF($A977="","",[1]!thsiFinD("ths_adjustment_nv_fund",AD$3,$A977))</f>
        <v/>
      </c>
      <c r="AE977" s="13">
        <f>IF($A977="","",[1]!thsiFinD("ths_adjustment_nv_fund",AE$3,$A977))</f>
        <v/>
      </c>
      <c r="AF977" s="13">
        <f>IF($A977="","",[1]!thsiFinD("ths_adjustment_nv_fund",AF$3,$A977))</f>
        <v/>
      </c>
      <c r="AG977" s="13">
        <f>IF($A977="","",[1]!thsiFinD("ths_adjustment_nv_fund",AG$3,$A977))</f>
        <v/>
      </c>
      <c r="AH977" s="13">
        <f>IF($A977="","",[1]!thsiFinD("ths_adjustment_nv_fund",AH$3,$A977))</f>
        <v/>
      </c>
      <c r="AI977" s="13">
        <f>IF($A977="","",[1]!thsiFinD("ths_adjustment_nv_fund",AI$3,$A977))</f>
        <v/>
      </c>
      <c r="AJ977" s="13">
        <f>IF($A977="","",[1]!thsiFinD("ths_adjustment_nv_fund",AJ$3,$A977))</f>
        <v/>
      </c>
      <c r="AK977" s="13">
        <f>IF($A977="","",[1]!thsiFinD("ths_adjustment_nv_fund",AK$3,$A977))</f>
        <v/>
      </c>
      <c r="AL977" s="13">
        <f>IF($A977="","",[1]!thsiFinD("ths_adjustment_nv_fund",AL$3,$A977))</f>
        <v/>
      </c>
    </row>
    <row r="978" spans="2:28">
      <c r="B978" s="13" t="str">
        <f>IF($A978="","",[1]!thsiFinD("ths_adjustment_nv_fund",B$3,$A978))</f>
        <v/>
      </c>
      <c r="C978" s="13" t="str">
        <f>IF($A978="","",[1]!thsiFinD("ths_adjustment_nv_fund",C$3,$A978))</f>
        <v/>
      </c>
      <c r="D978" s="13" t="str">
        <f>IF($A978="","",[1]!thsiFinD("ths_adjustment_nv_fund",D$3,$A978))</f>
        <v/>
      </c>
      <c r="E978" s="13" t="str">
        <f>IF($A978="","",[1]!thsiFinD("ths_adjustment_nv_fund",E$3,$A978))</f>
        <v/>
      </c>
      <c r="F978" s="13" t="str">
        <f>IF($A978="","",[1]!thsiFinD("ths_adjustment_nv_fund",F$3,$A978))</f>
        <v/>
      </c>
      <c r="G978" s="13" t="str">
        <f>IF($A978="","",[1]!thsiFinD("ths_adjustment_nv_fund",G$3,$A978))</f>
        <v/>
      </c>
      <c r="H978" s="13" t="str">
        <f>IF($A978="","",[1]!thsiFinD("ths_adjustment_nv_fund",H$3,$A978))</f>
        <v/>
      </c>
      <c r="I978" s="13" t="str">
        <f>IF($A978="","",[1]!thsiFinD("ths_adjustment_nv_fund",I$3,$A978))</f>
        <v/>
      </c>
      <c r="J978" s="13" t="str">
        <f>IF($A978="","",[1]!thsiFinD("ths_adjustment_nv_fund",J$3,$A978))</f>
        <v/>
      </c>
      <c r="K978" s="13" t="str">
        <f>IF($A978="","",[1]!thsiFinD("ths_adjustment_nv_fund",K$3,$A978))</f>
        <v/>
      </c>
      <c r="L978" s="13" t="str">
        <f>IF($A978="","",[1]!thsiFinD("ths_adjustment_nv_fund",L$3,$A978))</f>
        <v/>
      </c>
      <c r="M978" s="13" t="str">
        <f>IF($A978="","",[1]!thsiFinD("ths_adjustment_nv_fund",M$3,$A978))</f>
        <v/>
      </c>
      <c r="N978" s="13" t="str">
        <f>IF($A978="","",[1]!thsiFinD("ths_adjustment_nv_fund",N$3,$A978))</f>
        <v/>
      </c>
      <c r="O978" s="13" t="str">
        <f>IF($A978="","",[1]!thsiFinD("ths_adjustment_nv_fund",O$3,$A978))</f>
        <v/>
      </c>
      <c r="P978" s="13" t="str">
        <f>IF($A978="","",[1]!thsiFinD("ths_adjustment_nv_fund",P$3,$A978))</f>
        <v/>
      </c>
      <c r="Q978" s="13" t="str">
        <f>IF($A978="","",[1]!thsiFinD("ths_adjustment_nv_fund",Q$3,$A978))</f>
        <v/>
      </c>
      <c r="R978" s="13" t="str">
        <f>IF($A978="","",[1]!thsiFinD("ths_adjustment_nv_fund",R$3,$A978))</f>
        <v/>
      </c>
      <c r="S978" s="13" t="str">
        <f>IF($A978="","",[1]!thsiFinD("ths_adjustment_nv_fund",S$3,$A978))</f>
        <v/>
      </c>
      <c r="T978" s="13" t="str">
        <f>IF($A978="","",[1]!thsiFinD("ths_adjustment_nv_fund",T$3,$A978))</f>
        <v/>
      </c>
      <c r="U978" s="13" t="str">
        <f>IF($A978="","",[1]!thsiFinD("ths_adjustment_nv_fund",U$3,$A978))</f>
        <v/>
      </c>
      <c r="V978" s="13" t="str">
        <f>IF($A978="","",[1]!thsiFinD("ths_adjustment_nv_fund",V$3,$A978))</f>
        <v/>
      </c>
      <c r="W978" s="13" t="str">
        <f>IF($A978="","",[1]!thsiFinD("ths_adjustment_nv_fund",W$3,$A978))</f>
        <v/>
      </c>
      <c r="X978" s="13" t="str">
        <f>IF($A978="","",[1]!thsiFinD("ths_adjustment_nv_fund",X$3,$A978))</f>
        <v/>
      </c>
      <c r="Y978" s="13" t="str">
        <f>IF($A978="","",[1]!thsiFinD("ths_adjustment_nv_fund",Y$3,$A978))</f>
        <v/>
      </c>
      <c r="Z978" s="13" t="str">
        <f>IF($A978="","",[1]!thsiFinD("ths_adjustment_nv_fund",Z$3,$A978))</f>
        <v/>
      </c>
      <c r="AA978" s="13" t="str">
        <f>IF($A978="","",[1]!thsiFinD("ths_adjustment_nv_fund",AA$3,$A978))</f>
        <v/>
      </c>
      <c r="AB978" s="13">
        <f>IF($A978="","",[1]!thsiFinD("ths_adjustment_nv_fund",AB$3,$A978))</f>
        <v/>
      </c>
      <c r="AC978" s="13">
        <f>IF($A978="","",[1]!thsiFinD("ths_adjustment_nv_fund",AC$3,$A978))</f>
        <v/>
      </c>
      <c r="AD978" s="13">
        <f>IF($A978="","",[1]!thsiFinD("ths_adjustment_nv_fund",AD$3,$A978))</f>
        <v/>
      </c>
      <c r="AE978" s="13">
        <f>IF($A978="","",[1]!thsiFinD("ths_adjustment_nv_fund",AE$3,$A978))</f>
        <v/>
      </c>
      <c r="AF978" s="13">
        <f>IF($A978="","",[1]!thsiFinD("ths_adjustment_nv_fund",AF$3,$A978))</f>
        <v/>
      </c>
      <c r="AG978" s="13">
        <f>IF($A978="","",[1]!thsiFinD("ths_adjustment_nv_fund",AG$3,$A978))</f>
        <v/>
      </c>
      <c r="AH978" s="13">
        <f>IF($A978="","",[1]!thsiFinD("ths_adjustment_nv_fund",AH$3,$A978))</f>
        <v/>
      </c>
      <c r="AI978" s="13">
        <f>IF($A978="","",[1]!thsiFinD("ths_adjustment_nv_fund",AI$3,$A978))</f>
        <v/>
      </c>
      <c r="AJ978" s="13">
        <f>IF($A978="","",[1]!thsiFinD("ths_adjustment_nv_fund",AJ$3,$A978))</f>
        <v/>
      </c>
      <c r="AK978" s="13">
        <f>IF($A978="","",[1]!thsiFinD("ths_adjustment_nv_fund",AK$3,$A978))</f>
        <v/>
      </c>
      <c r="AL978" s="13">
        <f>IF($A978="","",[1]!thsiFinD("ths_adjustment_nv_fund",AL$3,$A978))</f>
        <v/>
      </c>
    </row>
    <row r="979" spans="2:28">
      <c r="B979" s="13" t="str">
        <f>IF($A979="","",[1]!thsiFinD("ths_adjustment_nv_fund",B$3,$A979))</f>
        <v/>
      </c>
      <c r="C979" s="13" t="str">
        <f>IF($A979="","",[1]!thsiFinD("ths_adjustment_nv_fund",C$3,$A979))</f>
        <v/>
      </c>
      <c r="D979" s="13" t="str">
        <f>IF($A979="","",[1]!thsiFinD("ths_adjustment_nv_fund",D$3,$A979))</f>
        <v/>
      </c>
      <c r="E979" s="13" t="str">
        <f>IF($A979="","",[1]!thsiFinD("ths_adjustment_nv_fund",E$3,$A979))</f>
        <v/>
      </c>
      <c r="F979" s="13" t="str">
        <f>IF($A979="","",[1]!thsiFinD("ths_adjustment_nv_fund",F$3,$A979))</f>
        <v/>
      </c>
      <c r="G979" s="13" t="str">
        <f>IF($A979="","",[1]!thsiFinD("ths_adjustment_nv_fund",G$3,$A979))</f>
        <v/>
      </c>
      <c r="H979" s="13" t="str">
        <f>IF($A979="","",[1]!thsiFinD("ths_adjustment_nv_fund",H$3,$A979))</f>
        <v/>
      </c>
      <c r="I979" s="13" t="str">
        <f>IF($A979="","",[1]!thsiFinD("ths_adjustment_nv_fund",I$3,$A979))</f>
        <v/>
      </c>
      <c r="J979" s="13" t="str">
        <f>IF($A979="","",[1]!thsiFinD("ths_adjustment_nv_fund",J$3,$A979))</f>
        <v/>
      </c>
      <c r="K979" s="13" t="str">
        <f>IF($A979="","",[1]!thsiFinD("ths_adjustment_nv_fund",K$3,$A979))</f>
        <v/>
      </c>
      <c r="L979" s="13" t="str">
        <f>IF($A979="","",[1]!thsiFinD("ths_adjustment_nv_fund",L$3,$A979))</f>
        <v/>
      </c>
      <c r="M979" s="13" t="str">
        <f>IF($A979="","",[1]!thsiFinD("ths_adjustment_nv_fund",M$3,$A979))</f>
        <v/>
      </c>
      <c r="N979" s="13" t="str">
        <f>IF($A979="","",[1]!thsiFinD("ths_adjustment_nv_fund",N$3,$A979))</f>
        <v/>
      </c>
      <c r="O979" s="13" t="str">
        <f>IF($A979="","",[1]!thsiFinD("ths_adjustment_nv_fund",O$3,$A979))</f>
        <v/>
      </c>
      <c r="P979" s="13" t="str">
        <f>IF($A979="","",[1]!thsiFinD("ths_adjustment_nv_fund",P$3,$A979))</f>
        <v/>
      </c>
      <c r="Q979" s="13" t="str">
        <f>IF($A979="","",[1]!thsiFinD("ths_adjustment_nv_fund",Q$3,$A979))</f>
        <v/>
      </c>
      <c r="R979" s="13" t="str">
        <f>IF($A979="","",[1]!thsiFinD("ths_adjustment_nv_fund",R$3,$A979))</f>
        <v/>
      </c>
      <c r="S979" s="13" t="str">
        <f>IF($A979="","",[1]!thsiFinD("ths_adjustment_nv_fund",S$3,$A979))</f>
        <v/>
      </c>
      <c r="T979" s="13" t="str">
        <f>IF($A979="","",[1]!thsiFinD("ths_adjustment_nv_fund",T$3,$A979))</f>
        <v/>
      </c>
      <c r="U979" s="13" t="str">
        <f>IF($A979="","",[1]!thsiFinD("ths_adjustment_nv_fund",U$3,$A979))</f>
        <v/>
      </c>
      <c r="V979" s="13" t="str">
        <f>IF($A979="","",[1]!thsiFinD("ths_adjustment_nv_fund",V$3,$A979))</f>
        <v/>
      </c>
      <c r="W979" s="13" t="str">
        <f>IF($A979="","",[1]!thsiFinD("ths_adjustment_nv_fund",W$3,$A979))</f>
        <v/>
      </c>
      <c r="X979" s="13" t="str">
        <f>IF($A979="","",[1]!thsiFinD("ths_adjustment_nv_fund",X$3,$A979))</f>
        <v/>
      </c>
      <c r="Y979" s="13" t="str">
        <f>IF($A979="","",[1]!thsiFinD("ths_adjustment_nv_fund",Y$3,$A979))</f>
        <v/>
      </c>
      <c r="Z979" s="13" t="str">
        <f>IF($A979="","",[1]!thsiFinD("ths_adjustment_nv_fund",Z$3,$A979))</f>
        <v/>
      </c>
      <c r="AA979" s="13" t="str">
        <f>IF($A979="","",[1]!thsiFinD("ths_adjustment_nv_fund",AA$3,$A979))</f>
        <v/>
      </c>
      <c r="AB979" s="13">
        <f>IF($A979="","",[1]!thsiFinD("ths_adjustment_nv_fund",AB$3,$A979))</f>
        <v/>
      </c>
      <c r="AC979" s="13">
        <f>IF($A979="","",[1]!thsiFinD("ths_adjustment_nv_fund",AC$3,$A979))</f>
        <v/>
      </c>
      <c r="AD979" s="13">
        <f>IF($A979="","",[1]!thsiFinD("ths_adjustment_nv_fund",AD$3,$A979))</f>
        <v/>
      </c>
      <c r="AE979" s="13">
        <f>IF($A979="","",[1]!thsiFinD("ths_adjustment_nv_fund",AE$3,$A979))</f>
        <v/>
      </c>
      <c r="AF979" s="13">
        <f>IF($A979="","",[1]!thsiFinD("ths_adjustment_nv_fund",AF$3,$A979))</f>
        <v/>
      </c>
      <c r="AG979" s="13">
        <f>IF($A979="","",[1]!thsiFinD("ths_adjustment_nv_fund",AG$3,$A979))</f>
        <v/>
      </c>
      <c r="AH979" s="13">
        <f>IF($A979="","",[1]!thsiFinD("ths_adjustment_nv_fund",AH$3,$A979))</f>
        <v/>
      </c>
      <c r="AI979" s="13">
        <f>IF($A979="","",[1]!thsiFinD("ths_adjustment_nv_fund",AI$3,$A979))</f>
        <v/>
      </c>
      <c r="AJ979" s="13">
        <f>IF($A979="","",[1]!thsiFinD("ths_adjustment_nv_fund",AJ$3,$A979))</f>
        <v/>
      </c>
      <c r="AK979" s="13">
        <f>IF($A979="","",[1]!thsiFinD("ths_adjustment_nv_fund",AK$3,$A979))</f>
        <v/>
      </c>
      <c r="AL979" s="13">
        <f>IF($A979="","",[1]!thsiFinD("ths_adjustment_nv_fund",AL$3,$A979))</f>
        <v/>
      </c>
    </row>
    <row r="980" spans="2:28">
      <c r="B980" s="13" t="str">
        <f>IF($A980="","",[1]!thsiFinD("ths_adjustment_nv_fund",B$3,$A980))</f>
        <v/>
      </c>
      <c r="C980" s="13" t="str">
        <f>IF($A980="","",[1]!thsiFinD("ths_adjustment_nv_fund",C$3,$A980))</f>
        <v/>
      </c>
      <c r="D980" s="13" t="str">
        <f>IF($A980="","",[1]!thsiFinD("ths_adjustment_nv_fund",D$3,$A980))</f>
        <v/>
      </c>
      <c r="E980" s="13" t="str">
        <f>IF($A980="","",[1]!thsiFinD("ths_adjustment_nv_fund",E$3,$A980))</f>
        <v/>
      </c>
      <c r="F980" s="13" t="str">
        <f>IF($A980="","",[1]!thsiFinD("ths_adjustment_nv_fund",F$3,$A980))</f>
        <v/>
      </c>
      <c r="G980" s="13" t="str">
        <f>IF($A980="","",[1]!thsiFinD("ths_adjustment_nv_fund",G$3,$A980))</f>
        <v/>
      </c>
      <c r="H980" s="13" t="str">
        <f>IF($A980="","",[1]!thsiFinD("ths_adjustment_nv_fund",H$3,$A980))</f>
        <v/>
      </c>
      <c r="I980" s="13" t="str">
        <f>IF($A980="","",[1]!thsiFinD("ths_adjustment_nv_fund",I$3,$A980))</f>
        <v/>
      </c>
      <c r="J980" s="13" t="str">
        <f>IF($A980="","",[1]!thsiFinD("ths_adjustment_nv_fund",J$3,$A980))</f>
        <v/>
      </c>
      <c r="K980" s="13" t="str">
        <f>IF($A980="","",[1]!thsiFinD("ths_adjustment_nv_fund",K$3,$A980))</f>
        <v/>
      </c>
      <c r="L980" s="13" t="str">
        <f>IF($A980="","",[1]!thsiFinD("ths_adjustment_nv_fund",L$3,$A980))</f>
        <v/>
      </c>
      <c r="M980" s="13" t="str">
        <f>IF($A980="","",[1]!thsiFinD("ths_adjustment_nv_fund",M$3,$A980))</f>
        <v/>
      </c>
      <c r="N980" s="13" t="str">
        <f>IF($A980="","",[1]!thsiFinD("ths_adjustment_nv_fund",N$3,$A980))</f>
        <v/>
      </c>
      <c r="O980" s="13" t="str">
        <f>IF($A980="","",[1]!thsiFinD("ths_adjustment_nv_fund",O$3,$A980))</f>
        <v/>
      </c>
      <c r="P980" s="13" t="str">
        <f>IF($A980="","",[1]!thsiFinD("ths_adjustment_nv_fund",P$3,$A980))</f>
        <v/>
      </c>
      <c r="Q980" s="13" t="str">
        <f>IF($A980="","",[1]!thsiFinD("ths_adjustment_nv_fund",Q$3,$A980))</f>
        <v/>
      </c>
      <c r="R980" s="13" t="str">
        <f>IF($A980="","",[1]!thsiFinD("ths_adjustment_nv_fund",R$3,$A980))</f>
        <v/>
      </c>
      <c r="S980" s="13" t="str">
        <f>IF($A980="","",[1]!thsiFinD("ths_adjustment_nv_fund",S$3,$A980))</f>
        <v/>
      </c>
      <c r="T980" s="13" t="str">
        <f>IF($A980="","",[1]!thsiFinD("ths_adjustment_nv_fund",T$3,$A980))</f>
        <v/>
      </c>
      <c r="U980" s="13" t="str">
        <f>IF($A980="","",[1]!thsiFinD("ths_adjustment_nv_fund",U$3,$A980))</f>
        <v/>
      </c>
      <c r="V980" s="13" t="str">
        <f>IF($A980="","",[1]!thsiFinD("ths_adjustment_nv_fund",V$3,$A980))</f>
        <v/>
      </c>
      <c r="W980" s="13" t="str">
        <f>IF($A980="","",[1]!thsiFinD("ths_adjustment_nv_fund",W$3,$A980))</f>
        <v/>
      </c>
      <c r="X980" s="13" t="str">
        <f>IF($A980="","",[1]!thsiFinD("ths_adjustment_nv_fund",X$3,$A980))</f>
        <v/>
      </c>
      <c r="Y980" s="13" t="str">
        <f>IF($A980="","",[1]!thsiFinD("ths_adjustment_nv_fund",Y$3,$A980))</f>
        <v/>
      </c>
      <c r="Z980" s="13" t="str">
        <f>IF($A980="","",[1]!thsiFinD("ths_adjustment_nv_fund",Z$3,$A980))</f>
        <v/>
      </c>
      <c r="AA980" s="13" t="str">
        <f>IF($A980="","",[1]!thsiFinD("ths_adjustment_nv_fund",AA$3,$A980))</f>
        <v/>
      </c>
      <c r="AB980" s="13">
        <f>IF($A980="","",[1]!thsiFinD("ths_adjustment_nv_fund",AB$3,$A980))</f>
        <v/>
      </c>
      <c r="AC980" s="13">
        <f>IF($A980="","",[1]!thsiFinD("ths_adjustment_nv_fund",AC$3,$A980))</f>
        <v/>
      </c>
      <c r="AD980" s="13">
        <f>IF($A980="","",[1]!thsiFinD("ths_adjustment_nv_fund",AD$3,$A980))</f>
        <v/>
      </c>
      <c r="AE980" s="13">
        <f>IF($A980="","",[1]!thsiFinD("ths_adjustment_nv_fund",AE$3,$A980))</f>
        <v/>
      </c>
      <c r="AF980" s="13">
        <f>IF($A980="","",[1]!thsiFinD("ths_adjustment_nv_fund",AF$3,$A980))</f>
        <v/>
      </c>
      <c r="AG980" s="13">
        <f>IF($A980="","",[1]!thsiFinD("ths_adjustment_nv_fund",AG$3,$A980))</f>
        <v/>
      </c>
      <c r="AH980" s="13">
        <f>IF($A980="","",[1]!thsiFinD("ths_adjustment_nv_fund",AH$3,$A980))</f>
        <v/>
      </c>
      <c r="AI980" s="13">
        <f>IF($A980="","",[1]!thsiFinD("ths_adjustment_nv_fund",AI$3,$A980))</f>
        <v/>
      </c>
      <c r="AJ980" s="13">
        <f>IF($A980="","",[1]!thsiFinD("ths_adjustment_nv_fund",AJ$3,$A980))</f>
        <v/>
      </c>
      <c r="AK980" s="13">
        <f>IF($A980="","",[1]!thsiFinD("ths_adjustment_nv_fund",AK$3,$A980))</f>
        <v/>
      </c>
      <c r="AL980" s="13">
        <f>IF($A980="","",[1]!thsiFinD("ths_adjustment_nv_fund",AL$3,$A980))</f>
        <v/>
      </c>
    </row>
    <row r="981" spans="2:28">
      <c r="B981" s="13" t="str">
        <f>IF($A981="","",[1]!thsiFinD("ths_adjustment_nv_fund",B$3,$A981))</f>
        <v/>
      </c>
      <c r="C981" s="13" t="str">
        <f>IF($A981="","",[1]!thsiFinD("ths_adjustment_nv_fund",C$3,$A981))</f>
        <v/>
      </c>
      <c r="D981" s="13" t="str">
        <f>IF($A981="","",[1]!thsiFinD("ths_adjustment_nv_fund",D$3,$A981))</f>
        <v/>
      </c>
      <c r="E981" s="13" t="str">
        <f>IF($A981="","",[1]!thsiFinD("ths_adjustment_nv_fund",E$3,$A981))</f>
        <v/>
      </c>
      <c r="F981" s="13" t="str">
        <f>IF($A981="","",[1]!thsiFinD("ths_adjustment_nv_fund",F$3,$A981))</f>
        <v/>
      </c>
      <c r="G981" s="13" t="str">
        <f>IF($A981="","",[1]!thsiFinD("ths_adjustment_nv_fund",G$3,$A981))</f>
        <v/>
      </c>
      <c r="H981" s="13" t="str">
        <f>IF($A981="","",[1]!thsiFinD("ths_adjustment_nv_fund",H$3,$A981))</f>
        <v/>
      </c>
      <c r="I981" s="13" t="str">
        <f>IF($A981="","",[1]!thsiFinD("ths_adjustment_nv_fund",I$3,$A981))</f>
        <v/>
      </c>
      <c r="J981" s="13" t="str">
        <f>IF($A981="","",[1]!thsiFinD("ths_adjustment_nv_fund",J$3,$A981))</f>
        <v/>
      </c>
      <c r="K981" s="13" t="str">
        <f>IF($A981="","",[1]!thsiFinD("ths_adjustment_nv_fund",K$3,$A981))</f>
        <v/>
      </c>
      <c r="L981" s="13" t="str">
        <f>IF($A981="","",[1]!thsiFinD("ths_adjustment_nv_fund",L$3,$A981))</f>
        <v/>
      </c>
      <c r="M981" s="13" t="str">
        <f>IF($A981="","",[1]!thsiFinD("ths_adjustment_nv_fund",M$3,$A981))</f>
        <v/>
      </c>
      <c r="N981" s="13" t="str">
        <f>IF($A981="","",[1]!thsiFinD("ths_adjustment_nv_fund",N$3,$A981))</f>
        <v/>
      </c>
      <c r="O981" s="13" t="str">
        <f>IF($A981="","",[1]!thsiFinD("ths_adjustment_nv_fund",O$3,$A981))</f>
        <v/>
      </c>
      <c r="P981" s="13" t="str">
        <f>IF($A981="","",[1]!thsiFinD("ths_adjustment_nv_fund",P$3,$A981))</f>
        <v/>
      </c>
      <c r="Q981" s="13" t="str">
        <f>IF($A981="","",[1]!thsiFinD("ths_adjustment_nv_fund",Q$3,$A981))</f>
        <v/>
      </c>
      <c r="R981" s="13" t="str">
        <f>IF($A981="","",[1]!thsiFinD("ths_adjustment_nv_fund",R$3,$A981))</f>
        <v/>
      </c>
      <c r="S981" s="13" t="str">
        <f>IF($A981="","",[1]!thsiFinD("ths_adjustment_nv_fund",S$3,$A981))</f>
        <v/>
      </c>
      <c r="T981" s="13" t="str">
        <f>IF($A981="","",[1]!thsiFinD("ths_adjustment_nv_fund",T$3,$A981))</f>
        <v/>
      </c>
      <c r="U981" s="13" t="str">
        <f>IF($A981="","",[1]!thsiFinD("ths_adjustment_nv_fund",U$3,$A981))</f>
        <v/>
      </c>
      <c r="V981" s="13" t="str">
        <f>IF($A981="","",[1]!thsiFinD("ths_adjustment_nv_fund",V$3,$A981))</f>
        <v/>
      </c>
      <c r="W981" s="13" t="str">
        <f>IF($A981="","",[1]!thsiFinD("ths_adjustment_nv_fund",W$3,$A981))</f>
        <v/>
      </c>
      <c r="X981" s="13" t="str">
        <f>IF($A981="","",[1]!thsiFinD("ths_adjustment_nv_fund",X$3,$A981))</f>
        <v/>
      </c>
      <c r="Y981" s="13" t="str">
        <f>IF($A981="","",[1]!thsiFinD("ths_adjustment_nv_fund",Y$3,$A981))</f>
        <v/>
      </c>
      <c r="Z981" s="13" t="str">
        <f>IF($A981="","",[1]!thsiFinD("ths_adjustment_nv_fund",Z$3,$A981))</f>
        <v/>
      </c>
      <c r="AA981" s="13" t="str">
        <f>IF($A981="","",[1]!thsiFinD("ths_adjustment_nv_fund",AA$3,$A981))</f>
        <v/>
      </c>
      <c r="AB981" s="13">
        <f>IF($A981="","",[1]!thsiFinD("ths_adjustment_nv_fund",AB$3,$A981))</f>
        <v/>
      </c>
      <c r="AC981" s="13">
        <f>IF($A981="","",[1]!thsiFinD("ths_adjustment_nv_fund",AC$3,$A981))</f>
        <v/>
      </c>
      <c r="AD981" s="13">
        <f>IF($A981="","",[1]!thsiFinD("ths_adjustment_nv_fund",AD$3,$A981))</f>
        <v/>
      </c>
      <c r="AE981" s="13">
        <f>IF($A981="","",[1]!thsiFinD("ths_adjustment_nv_fund",AE$3,$A981))</f>
        <v/>
      </c>
      <c r="AF981" s="13">
        <f>IF($A981="","",[1]!thsiFinD("ths_adjustment_nv_fund",AF$3,$A981))</f>
        <v/>
      </c>
      <c r="AG981" s="13">
        <f>IF($A981="","",[1]!thsiFinD("ths_adjustment_nv_fund",AG$3,$A981))</f>
        <v/>
      </c>
      <c r="AH981" s="13">
        <f>IF($A981="","",[1]!thsiFinD("ths_adjustment_nv_fund",AH$3,$A981))</f>
        <v/>
      </c>
      <c r="AI981" s="13">
        <f>IF($A981="","",[1]!thsiFinD("ths_adjustment_nv_fund",AI$3,$A981))</f>
        <v/>
      </c>
      <c r="AJ981" s="13">
        <f>IF($A981="","",[1]!thsiFinD("ths_adjustment_nv_fund",AJ$3,$A981))</f>
        <v/>
      </c>
      <c r="AK981" s="13">
        <f>IF($A981="","",[1]!thsiFinD("ths_adjustment_nv_fund",AK$3,$A981))</f>
        <v/>
      </c>
      <c r="AL981" s="13">
        <f>IF($A981="","",[1]!thsiFinD("ths_adjustment_nv_fund",AL$3,$A981))</f>
        <v/>
      </c>
    </row>
    <row r="982" spans="2:28">
      <c r="B982" s="13" t="str">
        <f>IF($A982="","",[1]!thsiFinD("ths_adjustment_nv_fund",B$3,$A982))</f>
        <v/>
      </c>
      <c r="C982" s="13" t="str">
        <f>IF($A982="","",[1]!thsiFinD("ths_adjustment_nv_fund",C$3,$A982))</f>
        <v/>
      </c>
      <c r="D982" s="13" t="str">
        <f>IF($A982="","",[1]!thsiFinD("ths_adjustment_nv_fund",D$3,$A982))</f>
        <v/>
      </c>
      <c r="E982" s="13" t="str">
        <f>IF($A982="","",[1]!thsiFinD("ths_adjustment_nv_fund",E$3,$A982))</f>
        <v/>
      </c>
      <c r="F982" s="13" t="str">
        <f>IF($A982="","",[1]!thsiFinD("ths_adjustment_nv_fund",F$3,$A982))</f>
        <v/>
      </c>
      <c r="G982" s="13" t="str">
        <f>IF($A982="","",[1]!thsiFinD("ths_adjustment_nv_fund",G$3,$A982))</f>
        <v/>
      </c>
      <c r="H982" s="13" t="str">
        <f>IF($A982="","",[1]!thsiFinD("ths_adjustment_nv_fund",H$3,$A982))</f>
        <v/>
      </c>
      <c r="I982" s="13" t="str">
        <f>IF($A982="","",[1]!thsiFinD("ths_adjustment_nv_fund",I$3,$A982))</f>
        <v/>
      </c>
      <c r="J982" s="13" t="str">
        <f>IF($A982="","",[1]!thsiFinD("ths_adjustment_nv_fund",J$3,$A982))</f>
        <v/>
      </c>
      <c r="K982" s="13" t="str">
        <f>IF($A982="","",[1]!thsiFinD("ths_adjustment_nv_fund",K$3,$A982))</f>
        <v/>
      </c>
      <c r="L982" s="13" t="str">
        <f>IF($A982="","",[1]!thsiFinD("ths_adjustment_nv_fund",L$3,$A982))</f>
        <v/>
      </c>
      <c r="M982" s="13" t="str">
        <f>IF($A982="","",[1]!thsiFinD("ths_adjustment_nv_fund",M$3,$A982))</f>
        <v/>
      </c>
      <c r="N982" s="13" t="str">
        <f>IF($A982="","",[1]!thsiFinD("ths_adjustment_nv_fund",N$3,$A982))</f>
        <v/>
      </c>
      <c r="O982" s="13" t="str">
        <f>IF($A982="","",[1]!thsiFinD("ths_adjustment_nv_fund",O$3,$A982))</f>
        <v/>
      </c>
      <c r="P982" s="13" t="str">
        <f>IF($A982="","",[1]!thsiFinD("ths_adjustment_nv_fund",P$3,$A982))</f>
        <v/>
      </c>
      <c r="Q982" s="13" t="str">
        <f>IF($A982="","",[1]!thsiFinD("ths_adjustment_nv_fund",Q$3,$A982))</f>
        <v/>
      </c>
      <c r="R982" s="13" t="str">
        <f>IF($A982="","",[1]!thsiFinD("ths_adjustment_nv_fund",R$3,$A982))</f>
        <v/>
      </c>
      <c r="S982" s="13" t="str">
        <f>IF($A982="","",[1]!thsiFinD("ths_adjustment_nv_fund",S$3,$A982))</f>
        <v/>
      </c>
      <c r="T982" s="13" t="str">
        <f>IF($A982="","",[1]!thsiFinD("ths_adjustment_nv_fund",T$3,$A982))</f>
        <v/>
      </c>
      <c r="U982" s="13" t="str">
        <f>IF($A982="","",[1]!thsiFinD("ths_adjustment_nv_fund",U$3,$A982))</f>
        <v/>
      </c>
      <c r="V982" s="13" t="str">
        <f>IF($A982="","",[1]!thsiFinD("ths_adjustment_nv_fund",V$3,$A982))</f>
        <v/>
      </c>
      <c r="W982" s="13" t="str">
        <f>IF($A982="","",[1]!thsiFinD("ths_adjustment_nv_fund",W$3,$A982))</f>
        <v/>
      </c>
      <c r="X982" s="13" t="str">
        <f>IF($A982="","",[1]!thsiFinD("ths_adjustment_nv_fund",X$3,$A982))</f>
        <v/>
      </c>
      <c r="Y982" s="13" t="str">
        <f>IF($A982="","",[1]!thsiFinD("ths_adjustment_nv_fund",Y$3,$A982))</f>
        <v/>
      </c>
      <c r="Z982" s="13" t="str">
        <f>IF($A982="","",[1]!thsiFinD("ths_adjustment_nv_fund",Z$3,$A982))</f>
        <v/>
      </c>
      <c r="AA982" s="13" t="str">
        <f>IF($A982="","",[1]!thsiFinD("ths_adjustment_nv_fund",AA$3,$A982))</f>
        <v/>
      </c>
      <c r="AB982" s="13">
        <f>IF($A982="","",[1]!thsiFinD("ths_adjustment_nv_fund",AB$3,$A982))</f>
        <v/>
      </c>
      <c r="AC982" s="13">
        <f>IF($A982="","",[1]!thsiFinD("ths_adjustment_nv_fund",AC$3,$A982))</f>
        <v/>
      </c>
      <c r="AD982" s="13">
        <f>IF($A982="","",[1]!thsiFinD("ths_adjustment_nv_fund",AD$3,$A982))</f>
        <v/>
      </c>
      <c r="AE982" s="13">
        <f>IF($A982="","",[1]!thsiFinD("ths_adjustment_nv_fund",AE$3,$A982))</f>
        <v/>
      </c>
      <c r="AF982" s="13">
        <f>IF($A982="","",[1]!thsiFinD("ths_adjustment_nv_fund",AF$3,$A982))</f>
        <v/>
      </c>
      <c r="AG982" s="13">
        <f>IF($A982="","",[1]!thsiFinD("ths_adjustment_nv_fund",AG$3,$A982))</f>
        <v/>
      </c>
      <c r="AH982" s="13">
        <f>IF($A982="","",[1]!thsiFinD("ths_adjustment_nv_fund",AH$3,$A982))</f>
        <v/>
      </c>
      <c r="AI982" s="13">
        <f>IF($A982="","",[1]!thsiFinD("ths_adjustment_nv_fund",AI$3,$A982))</f>
        <v/>
      </c>
      <c r="AJ982" s="13">
        <f>IF($A982="","",[1]!thsiFinD("ths_adjustment_nv_fund",AJ$3,$A982))</f>
        <v/>
      </c>
      <c r="AK982" s="13">
        <f>IF($A982="","",[1]!thsiFinD("ths_adjustment_nv_fund",AK$3,$A982))</f>
        <v/>
      </c>
      <c r="AL982" s="13">
        <f>IF($A982="","",[1]!thsiFinD("ths_adjustment_nv_fund",AL$3,$A982))</f>
        <v/>
      </c>
    </row>
    <row r="983" spans="2:28">
      <c r="B983" s="13" t="str">
        <f>IF($A983="","",[1]!thsiFinD("ths_adjustment_nv_fund",B$3,$A983))</f>
        <v/>
      </c>
      <c r="C983" s="13" t="str">
        <f>IF($A983="","",[1]!thsiFinD("ths_adjustment_nv_fund",C$3,$A983))</f>
        <v/>
      </c>
      <c r="D983" s="13" t="str">
        <f>IF($A983="","",[1]!thsiFinD("ths_adjustment_nv_fund",D$3,$A983))</f>
        <v/>
      </c>
      <c r="E983" s="13" t="str">
        <f>IF($A983="","",[1]!thsiFinD("ths_adjustment_nv_fund",E$3,$A983))</f>
        <v/>
      </c>
      <c r="F983" s="13" t="str">
        <f>IF($A983="","",[1]!thsiFinD("ths_adjustment_nv_fund",F$3,$A983))</f>
        <v/>
      </c>
      <c r="G983" s="13" t="str">
        <f>IF($A983="","",[1]!thsiFinD("ths_adjustment_nv_fund",G$3,$A983))</f>
        <v/>
      </c>
      <c r="H983" s="13" t="str">
        <f>IF($A983="","",[1]!thsiFinD("ths_adjustment_nv_fund",H$3,$A983))</f>
        <v/>
      </c>
      <c r="I983" s="13" t="str">
        <f>IF($A983="","",[1]!thsiFinD("ths_adjustment_nv_fund",I$3,$A983))</f>
        <v/>
      </c>
      <c r="J983" s="13" t="str">
        <f>IF($A983="","",[1]!thsiFinD("ths_adjustment_nv_fund",J$3,$A983))</f>
        <v/>
      </c>
      <c r="K983" s="13" t="str">
        <f>IF($A983="","",[1]!thsiFinD("ths_adjustment_nv_fund",K$3,$A983))</f>
        <v/>
      </c>
      <c r="L983" s="13" t="str">
        <f>IF($A983="","",[1]!thsiFinD("ths_adjustment_nv_fund",L$3,$A983))</f>
        <v/>
      </c>
      <c r="M983" s="13" t="str">
        <f>IF($A983="","",[1]!thsiFinD("ths_adjustment_nv_fund",M$3,$A983))</f>
        <v/>
      </c>
      <c r="N983" s="13" t="str">
        <f>IF($A983="","",[1]!thsiFinD("ths_adjustment_nv_fund",N$3,$A983))</f>
        <v/>
      </c>
      <c r="O983" s="13" t="str">
        <f>IF($A983="","",[1]!thsiFinD("ths_adjustment_nv_fund",O$3,$A983))</f>
        <v/>
      </c>
      <c r="P983" s="13" t="str">
        <f>IF($A983="","",[1]!thsiFinD("ths_adjustment_nv_fund",P$3,$A983))</f>
        <v/>
      </c>
      <c r="Q983" s="13" t="str">
        <f>IF($A983="","",[1]!thsiFinD("ths_adjustment_nv_fund",Q$3,$A983))</f>
        <v/>
      </c>
      <c r="R983" s="13" t="str">
        <f>IF($A983="","",[1]!thsiFinD("ths_adjustment_nv_fund",R$3,$A983))</f>
        <v/>
      </c>
      <c r="S983" s="13" t="str">
        <f>IF($A983="","",[1]!thsiFinD("ths_adjustment_nv_fund",S$3,$A983))</f>
        <v/>
      </c>
      <c r="T983" s="13" t="str">
        <f>IF($A983="","",[1]!thsiFinD("ths_adjustment_nv_fund",T$3,$A983))</f>
        <v/>
      </c>
      <c r="U983" s="13" t="str">
        <f>IF($A983="","",[1]!thsiFinD("ths_adjustment_nv_fund",U$3,$A983))</f>
        <v/>
      </c>
      <c r="V983" s="13" t="str">
        <f>IF($A983="","",[1]!thsiFinD("ths_adjustment_nv_fund",V$3,$A983))</f>
        <v/>
      </c>
      <c r="W983" s="13" t="str">
        <f>IF($A983="","",[1]!thsiFinD("ths_adjustment_nv_fund",W$3,$A983))</f>
        <v/>
      </c>
      <c r="X983" s="13" t="str">
        <f>IF($A983="","",[1]!thsiFinD("ths_adjustment_nv_fund",X$3,$A983))</f>
        <v/>
      </c>
      <c r="Y983" s="13" t="str">
        <f>IF($A983="","",[1]!thsiFinD("ths_adjustment_nv_fund",Y$3,$A983))</f>
        <v/>
      </c>
      <c r="Z983" s="13" t="str">
        <f>IF($A983="","",[1]!thsiFinD("ths_adjustment_nv_fund",Z$3,$A983))</f>
        <v/>
      </c>
      <c r="AA983" s="13" t="str">
        <f>IF($A983="","",[1]!thsiFinD("ths_adjustment_nv_fund",AA$3,$A983))</f>
        <v/>
      </c>
      <c r="AB983" s="13">
        <f>IF($A983="","",[1]!thsiFinD("ths_adjustment_nv_fund",AB$3,$A983))</f>
        <v/>
      </c>
      <c r="AC983" s="13">
        <f>IF($A983="","",[1]!thsiFinD("ths_adjustment_nv_fund",AC$3,$A983))</f>
        <v/>
      </c>
      <c r="AD983" s="13">
        <f>IF($A983="","",[1]!thsiFinD("ths_adjustment_nv_fund",AD$3,$A983))</f>
        <v/>
      </c>
      <c r="AE983" s="13">
        <f>IF($A983="","",[1]!thsiFinD("ths_adjustment_nv_fund",AE$3,$A983))</f>
        <v/>
      </c>
      <c r="AF983" s="13">
        <f>IF($A983="","",[1]!thsiFinD("ths_adjustment_nv_fund",AF$3,$A983))</f>
        <v/>
      </c>
      <c r="AG983" s="13">
        <f>IF($A983="","",[1]!thsiFinD("ths_adjustment_nv_fund",AG$3,$A983))</f>
        <v/>
      </c>
      <c r="AH983" s="13">
        <f>IF($A983="","",[1]!thsiFinD("ths_adjustment_nv_fund",AH$3,$A983))</f>
        <v/>
      </c>
      <c r="AI983" s="13">
        <f>IF($A983="","",[1]!thsiFinD("ths_adjustment_nv_fund",AI$3,$A983))</f>
        <v/>
      </c>
      <c r="AJ983" s="13">
        <f>IF($A983="","",[1]!thsiFinD("ths_adjustment_nv_fund",AJ$3,$A983))</f>
        <v/>
      </c>
      <c r="AK983" s="13">
        <f>IF($A983="","",[1]!thsiFinD("ths_adjustment_nv_fund",AK$3,$A983))</f>
        <v/>
      </c>
      <c r="AL983" s="13">
        <f>IF($A983="","",[1]!thsiFinD("ths_adjustment_nv_fund",AL$3,$A983))</f>
        <v/>
      </c>
    </row>
    <row r="984" spans="2:28">
      <c r="B984" s="13" t="str">
        <f>IF($A984="","",[1]!thsiFinD("ths_adjustment_nv_fund",B$3,$A984))</f>
        <v/>
      </c>
      <c r="C984" s="13" t="str">
        <f>IF($A984="","",[1]!thsiFinD("ths_adjustment_nv_fund",C$3,$A984))</f>
        <v/>
      </c>
      <c r="D984" s="13" t="str">
        <f>IF($A984="","",[1]!thsiFinD("ths_adjustment_nv_fund",D$3,$A984))</f>
        <v/>
      </c>
      <c r="E984" s="13" t="str">
        <f>IF($A984="","",[1]!thsiFinD("ths_adjustment_nv_fund",E$3,$A984))</f>
        <v/>
      </c>
      <c r="F984" s="13" t="str">
        <f>IF($A984="","",[1]!thsiFinD("ths_adjustment_nv_fund",F$3,$A984))</f>
        <v/>
      </c>
      <c r="G984" s="13" t="str">
        <f>IF($A984="","",[1]!thsiFinD("ths_adjustment_nv_fund",G$3,$A984))</f>
        <v/>
      </c>
      <c r="H984" s="13" t="str">
        <f>IF($A984="","",[1]!thsiFinD("ths_adjustment_nv_fund",H$3,$A984))</f>
        <v/>
      </c>
      <c r="I984" s="13" t="str">
        <f>IF($A984="","",[1]!thsiFinD("ths_adjustment_nv_fund",I$3,$A984))</f>
        <v/>
      </c>
      <c r="J984" s="13" t="str">
        <f>IF($A984="","",[1]!thsiFinD("ths_adjustment_nv_fund",J$3,$A984))</f>
        <v/>
      </c>
      <c r="K984" s="13" t="str">
        <f>IF($A984="","",[1]!thsiFinD("ths_adjustment_nv_fund",K$3,$A984))</f>
        <v/>
      </c>
      <c r="L984" s="13" t="str">
        <f>IF($A984="","",[1]!thsiFinD("ths_adjustment_nv_fund",L$3,$A984))</f>
        <v/>
      </c>
      <c r="M984" s="13" t="str">
        <f>IF($A984="","",[1]!thsiFinD("ths_adjustment_nv_fund",M$3,$A984))</f>
        <v/>
      </c>
      <c r="N984" s="13" t="str">
        <f>IF($A984="","",[1]!thsiFinD("ths_adjustment_nv_fund",N$3,$A984))</f>
        <v/>
      </c>
      <c r="O984" s="13" t="str">
        <f>IF($A984="","",[1]!thsiFinD("ths_adjustment_nv_fund",O$3,$A984))</f>
        <v/>
      </c>
      <c r="P984" s="13" t="str">
        <f>IF($A984="","",[1]!thsiFinD("ths_adjustment_nv_fund",P$3,$A984))</f>
        <v/>
      </c>
      <c r="Q984" s="13" t="str">
        <f>IF($A984="","",[1]!thsiFinD("ths_adjustment_nv_fund",Q$3,$A984))</f>
        <v/>
      </c>
      <c r="R984" s="13" t="str">
        <f>IF($A984="","",[1]!thsiFinD("ths_adjustment_nv_fund",R$3,$A984))</f>
        <v/>
      </c>
      <c r="S984" s="13" t="str">
        <f>IF($A984="","",[1]!thsiFinD("ths_adjustment_nv_fund",S$3,$A984))</f>
        <v/>
      </c>
      <c r="T984" s="13" t="str">
        <f>IF($A984="","",[1]!thsiFinD("ths_adjustment_nv_fund",T$3,$A984))</f>
        <v/>
      </c>
      <c r="U984" s="13" t="str">
        <f>IF($A984="","",[1]!thsiFinD("ths_adjustment_nv_fund",U$3,$A984))</f>
        <v/>
      </c>
      <c r="V984" s="13" t="str">
        <f>IF($A984="","",[1]!thsiFinD("ths_adjustment_nv_fund",V$3,$A984))</f>
        <v/>
      </c>
      <c r="W984" s="13" t="str">
        <f>IF($A984="","",[1]!thsiFinD("ths_adjustment_nv_fund",W$3,$A984))</f>
        <v/>
      </c>
      <c r="X984" s="13" t="str">
        <f>IF($A984="","",[1]!thsiFinD("ths_adjustment_nv_fund",X$3,$A984))</f>
        <v/>
      </c>
      <c r="Y984" s="13" t="str">
        <f>IF($A984="","",[1]!thsiFinD("ths_adjustment_nv_fund",Y$3,$A984))</f>
        <v/>
      </c>
      <c r="Z984" s="13" t="str">
        <f>IF($A984="","",[1]!thsiFinD("ths_adjustment_nv_fund",Z$3,$A984))</f>
        <v/>
      </c>
      <c r="AA984" s="13" t="str">
        <f>IF($A984="","",[1]!thsiFinD("ths_adjustment_nv_fund",AA$3,$A984))</f>
        <v/>
      </c>
      <c r="AB984" s="13">
        <f>IF($A984="","",[1]!thsiFinD("ths_adjustment_nv_fund",AB$3,$A984))</f>
        <v/>
      </c>
      <c r="AC984" s="13">
        <f>IF($A984="","",[1]!thsiFinD("ths_adjustment_nv_fund",AC$3,$A984))</f>
        <v/>
      </c>
      <c r="AD984" s="13">
        <f>IF($A984="","",[1]!thsiFinD("ths_adjustment_nv_fund",AD$3,$A984))</f>
        <v/>
      </c>
      <c r="AE984" s="13">
        <f>IF($A984="","",[1]!thsiFinD("ths_adjustment_nv_fund",AE$3,$A984))</f>
        <v/>
      </c>
      <c r="AF984" s="13">
        <f>IF($A984="","",[1]!thsiFinD("ths_adjustment_nv_fund",AF$3,$A984))</f>
        <v/>
      </c>
      <c r="AG984" s="13">
        <f>IF($A984="","",[1]!thsiFinD("ths_adjustment_nv_fund",AG$3,$A984))</f>
        <v/>
      </c>
      <c r="AH984" s="13">
        <f>IF($A984="","",[1]!thsiFinD("ths_adjustment_nv_fund",AH$3,$A984))</f>
        <v/>
      </c>
      <c r="AI984" s="13">
        <f>IF($A984="","",[1]!thsiFinD("ths_adjustment_nv_fund",AI$3,$A984))</f>
        <v/>
      </c>
      <c r="AJ984" s="13">
        <f>IF($A984="","",[1]!thsiFinD("ths_adjustment_nv_fund",AJ$3,$A984))</f>
        <v/>
      </c>
      <c r="AK984" s="13">
        <f>IF($A984="","",[1]!thsiFinD("ths_adjustment_nv_fund",AK$3,$A984))</f>
        <v/>
      </c>
      <c r="AL984" s="13">
        <f>IF($A984="","",[1]!thsiFinD("ths_adjustment_nv_fund",AL$3,$A984))</f>
        <v/>
      </c>
    </row>
    <row r="985" spans="2:28">
      <c r="B985" s="13" t="str">
        <f>IF($A985="","",[1]!thsiFinD("ths_adjustment_nv_fund",B$3,$A985))</f>
        <v/>
      </c>
      <c r="C985" s="13" t="str">
        <f>IF($A985="","",[1]!thsiFinD("ths_adjustment_nv_fund",C$3,$A985))</f>
        <v/>
      </c>
      <c r="D985" s="13" t="str">
        <f>IF($A985="","",[1]!thsiFinD("ths_adjustment_nv_fund",D$3,$A985))</f>
        <v/>
      </c>
      <c r="E985" s="13" t="str">
        <f>IF($A985="","",[1]!thsiFinD("ths_adjustment_nv_fund",E$3,$A985))</f>
        <v/>
      </c>
      <c r="F985" s="13" t="str">
        <f>IF($A985="","",[1]!thsiFinD("ths_adjustment_nv_fund",F$3,$A985))</f>
        <v/>
      </c>
      <c r="G985" s="13" t="str">
        <f>IF($A985="","",[1]!thsiFinD("ths_adjustment_nv_fund",G$3,$A985))</f>
        <v/>
      </c>
      <c r="H985" s="13" t="str">
        <f>IF($A985="","",[1]!thsiFinD("ths_adjustment_nv_fund",H$3,$A985))</f>
        <v/>
      </c>
      <c r="I985" s="13" t="str">
        <f>IF($A985="","",[1]!thsiFinD("ths_adjustment_nv_fund",I$3,$A985))</f>
        <v/>
      </c>
      <c r="J985" s="13" t="str">
        <f>IF($A985="","",[1]!thsiFinD("ths_adjustment_nv_fund",J$3,$A985))</f>
        <v/>
      </c>
      <c r="K985" s="13" t="str">
        <f>IF($A985="","",[1]!thsiFinD("ths_adjustment_nv_fund",K$3,$A985))</f>
        <v/>
      </c>
      <c r="L985" s="13" t="str">
        <f>IF($A985="","",[1]!thsiFinD("ths_adjustment_nv_fund",L$3,$A985))</f>
        <v/>
      </c>
      <c r="M985" s="13" t="str">
        <f>IF($A985="","",[1]!thsiFinD("ths_adjustment_nv_fund",M$3,$A985))</f>
        <v/>
      </c>
      <c r="N985" s="13" t="str">
        <f>IF($A985="","",[1]!thsiFinD("ths_adjustment_nv_fund",N$3,$A985))</f>
        <v/>
      </c>
      <c r="O985" s="13" t="str">
        <f>IF($A985="","",[1]!thsiFinD("ths_adjustment_nv_fund",O$3,$A985))</f>
        <v/>
      </c>
      <c r="P985" s="13" t="str">
        <f>IF($A985="","",[1]!thsiFinD("ths_adjustment_nv_fund",P$3,$A985))</f>
        <v/>
      </c>
      <c r="Q985" s="13" t="str">
        <f>IF($A985="","",[1]!thsiFinD("ths_adjustment_nv_fund",Q$3,$A985))</f>
        <v/>
      </c>
      <c r="R985" s="13" t="str">
        <f>IF($A985="","",[1]!thsiFinD("ths_adjustment_nv_fund",R$3,$A985))</f>
        <v/>
      </c>
      <c r="S985" s="13" t="str">
        <f>IF($A985="","",[1]!thsiFinD("ths_adjustment_nv_fund",S$3,$A985))</f>
        <v/>
      </c>
      <c r="T985" s="13" t="str">
        <f>IF($A985="","",[1]!thsiFinD("ths_adjustment_nv_fund",T$3,$A985))</f>
        <v/>
      </c>
      <c r="U985" s="13" t="str">
        <f>IF($A985="","",[1]!thsiFinD("ths_adjustment_nv_fund",U$3,$A985))</f>
        <v/>
      </c>
      <c r="V985" s="13" t="str">
        <f>IF($A985="","",[1]!thsiFinD("ths_adjustment_nv_fund",V$3,$A985))</f>
        <v/>
      </c>
      <c r="W985" s="13" t="str">
        <f>IF($A985="","",[1]!thsiFinD("ths_adjustment_nv_fund",W$3,$A985))</f>
        <v/>
      </c>
      <c r="X985" s="13" t="str">
        <f>IF($A985="","",[1]!thsiFinD("ths_adjustment_nv_fund",X$3,$A985))</f>
        <v/>
      </c>
      <c r="Y985" s="13" t="str">
        <f>IF($A985="","",[1]!thsiFinD("ths_adjustment_nv_fund",Y$3,$A985))</f>
        <v/>
      </c>
      <c r="Z985" s="13" t="str">
        <f>IF($A985="","",[1]!thsiFinD("ths_adjustment_nv_fund",Z$3,$A985))</f>
        <v/>
      </c>
      <c r="AA985" s="13" t="str">
        <f>IF($A985="","",[1]!thsiFinD("ths_adjustment_nv_fund",AA$3,$A985))</f>
        <v/>
      </c>
      <c r="AB985" s="13">
        <f>IF($A985="","",[1]!thsiFinD("ths_adjustment_nv_fund",AB$3,$A985))</f>
        <v/>
      </c>
      <c r="AC985" s="13">
        <f>IF($A985="","",[1]!thsiFinD("ths_adjustment_nv_fund",AC$3,$A985))</f>
        <v/>
      </c>
      <c r="AD985" s="13">
        <f>IF($A985="","",[1]!thsiFinD("ths_adjustment_nv_fund",AD$3,$A985))</f>
        <v/>
      </c>
      <c r="AE985" s="13">
        <f>IF($A985="","",[1]!thsiFinD("ths_adjustment_nv_fund",AE$3,$A985))</f>
        <v/>
      </c>
      <c r="AF985" s="13">
        <f>IF($A985="","",[1]!thsiFinD("ths_adjustment_nv_fund",AF$3,$A985))</f>
        <v/>
      </c>
      <c r="AG985" s="13">
        <f>IF($A985="","",[1]!thsiFinD("ths_adjustment_nv_fund",AG$3,$A985))</f>
        <v/>
      </c>
      <c r="AH985" s="13">
        <f>IF($A985="","",[1]!thsiFinD("ths_adjustment_nv_fund",AH$3,$A985))</f>
        <v/>
      </c>
      <c r="AI985" s="13">
        <f>IF($A985="","",[1]!thsiFinD("ths_adjustment_nv_fund",AI$3,$A985))</f>
        <v/>
      </c>
      <c r="AJ985" s="13">
        <f>IF($A985="","",[1]!thsiFinD("ths_adjustment_nv_fund",AJ$3,$A985))</f>
        <v/>
      </c>
      <c r="AK985" s="13">
        <f>IF($A985="","",[1]!thsiFinD("ths_adjustment_nv_fund",AK$3,$A985))</f>
        <v/>
      </c>
      <c r="AL985" s="13">
        <f>IF($A985="","",[1]!thsiFinD("ths_adjustment_nv_fund",AL$3,$A985))</f>
        <v/>
      </c>
    </row>
    <row r="986" spans="2:28">
      <c r="B986" s="13" t="str">
        <f>IF($A986="","",[1]!thsiFinD("ths_adjustment_nv_fund",B$3,$A986))</f>
        <v/>
      </c>
      <c r="C986" s="13" t="str">
        <f>IF($A986="","",[1]!thsiFinD("ths_adjustment_nv_fund",C$3,$A986))</f>
        <v/>
      </c>
      <c r="D986" s="13" t="str">
        <f>IF($A986="","",[1]!thsiFinD("ths_adjustment_nv_fund",D$3,$A986))</f>
        <v/>
      </c>
      <c r="E986" s="13" t="str">
        <f>IF($A986="","",[1]!thsiFinD("ths_adjustment_nv_fund",E$3,$A986))</f>
        <v/>
      </c>
      <c r="F986" s="13" t="str">
        <f>IF($A986="","",[1]!thsiFinD("ths_adjustment_nv_fund",F$3,$A986))</f>
        <v/>
      </c>
      <c r="G986" s="13" t="str">
        <f>IF($A986="","",[1]!thsiFinD("ths_adjustment_nv_fund",G$3,$A986))</f>
        <v/>
      </c>
      <c r="H986" s="13" t="str">
        <f>IF($A986="","",[1]!thsiFinD("ths_adjustment_nv_fund",H$3,$A986))</f>
        <v/>
      </c>
      <c r="I986" s="13" t="str">
        <f>IF($A986="","",[1]!thsiFinD("ths_adjustment_nv_fund",I$3,$A986))</f>
        <v/>
      </c>
      <c r="J986" s="13" t="str">
        <f>IF($A986="","",[1]!thsiFinD("ths_adjustment_nv_fund",J$3,$A986))</f>
        <v/>
      </c>
      <c r="K986" s="13" t="str">
        <f>IF($A986="","",[1]!thsiFinD("ths_adjustment_nv_fund",K$3,$A986))</f>
        <v/>
      </c>
      <c r="L986" s="13" t="str">
        <f>IF($A986="","",[1]!thsiFinD("ths_adjustment_nv_fund",L$3,$A986))</f>
        <v/>
      </c>
      <c r="M986" s="13" t="str">
        <f>IF($A986="","",[1]!thsiFinD("ths_adjustment_nv_fund",M$3,$A986))</f>
        <v/>
      </c>
      <c r="N986" s="13" t="str">
        <f>IF($A986="","",[1]!thsiFinD("ths_adjustment_nv_fund",N$3,$A986))</f>
        <v/>
      </c>
      <c r="O986" s="13" t="str">
        <f>IF($A986="","",[1]!thsiFinD("ths_adjustment_nv_fund",O$3,$A986))</f>
        <v/>
      </c>
      <c r="P986" s="13" t="str">
        <f>IF($A986="","",[1]!thsiFinD("ths_adjustment_nv_fund",P$3,$A986))</f>
        <v/>
      </c>
      <c r="Q986" s="13" t="str">
        <f>IF($A986="","",[1]!thsiFinD("ths_adjustment_nv_fund",Q$3,$A986))</f>
        <v/>
      </c>
      <c r="R986" s="13" t="str">
        <f>IF($A986="","",[1]!thsiFinD("ths_adjustment_nv_fund",R$3,$A986))</f>
        <v/>
      </c>
      <c r="S986" s="13" t="str">
        <f>IF($A986="","",[1]!thsiFinD("ths_adjustment_nv_fund",S$3,$A986))</f>
        <v/>
      </c>
      <c r="T986" s="13" t="str">
        <f>IF($A986="","",[1]!thsiFinD("ths_adjustment_nv_fund",T$3,$A986))</f>
        <v/>
      </c>
      <c r="U986" s="13" t="str">
        <f>IF($A986="","",[1]!thsiFinD("ths_adjustment_nv_fund",U$3,$A986))</f>
        <v/>
      </c>
      <c r="V986" s="13" t="str">
        <f>IF($A986="","",[1]!thsiFinD("ths_adjustment_nv_fund",V$3,$A986))</f>
        <v/>
      </c>
      <c r="W986" s="13" t="str">
        <f>IF($A986="","",[1]!thsiFinD("ths_adjustment_nv_fund",W$3,$A986))</f>
        <v/>
      </c>
      <c r="X986" s="13" t="str">
        <f>IF($A986="","",[1]!thsiFinD("ths_adjustment_nv_fund",X$3,$A986))</f>
        <v/>
      </c>
      <c r="Y986" s="13" t="str">
        <f>IF($A986="","",[1]!thsiFinD("ths_adjustment_nv_fund",Y$3,$A986))</f>
        <v/>
      </c>
      <c r="Z986" s="13" t="str">
        <f>IF($A986="","",[1]!thsiFinD("ths_adjustment_nv_fund",Z$3,$A986))</f>
        <v/>
      </c>
      <c r="AA986" s="13" t="str">
        <f>IF($A986="","",[1]!thsiFinD("ths_adjustment_nv_fund",AA$3,$A986))</f>
        <v/>
      </c>
      <c r="AB986" s="13">
        <f>IF($A986="","",[1]!thsiFinD("ths_adjustment_nv_fund",AB$3,$A986))</f>
        <v/>
      </c>
      <c r="AC986" s="13">
        <f>IF($A986="","",[1]!thsiFinD("ths_adjustment_nv_fund",AC$3,$A986))</f>
        <v/>
      </c>
      <c r="AD986" s="13">
        <f>IF($A986="","",[1]!thsiFinD("ths_adjustment_nv_fund",AD$3,$A986))</f>
        <v/>
      </c>
      <c r="AE986" s="13">
        <f>IF($A986="","",[1]!thsiFinD("ths_adjustment_nv_fund",AE$3,$A986))</f>
        <v/>
      </c>
      <c r="AF986" s="13">
        <f>IF($A986="","",[1]!thsiFinD("ths_adjustment_nv_fund",AF$3,$A986))</f>
        <v/>
      </c>
      <c r="AG986" s="13">
        <f>IF($A986="","",[1]!thsiFinD("ths_adjustment_nv_fund",AG$3,$A986))</f>
        <v/>
      </c>
      <c r="AH986" s="13">
        <f>IF($A986="","",[1]!thsiFinD("ths_adjustment_nv_fund",AH$3,$A986))</f>
        <v/>
      </c>
      <c r="AI986" s="13">
        <f>IF($A986="","",[1]!thsiFinD("ths_adjustment_nv_fund",AI$3,$A986))</f>
        <v/>
      </c>
      <c r="AJ986" s="13">
        <f>IF($A986="","",[1]!thsiFinD("ths_adjustment_nv_fund",AJ$3,$A986))</f>
        <v/>
      </c>
      <c r="AK986" s="13">
        <f>IF($A986="","",[1]!thsiFinD("ths_adjustment_nv_fund",AK$3,$A986))</f>
        <v/>
      </c>
      <c r="AL986" s="13">
        <f>IF($A986="","",[1]!thsiFinD("ths_adjustment_nv_fund",AL$3,$A986))</f>
        <v/>
      </c>
    </row>
    <row r="987" spans="2:28">
      <c r="B987" s="13" t="str">
        <f>IF($A987="","",[1]!thsiFinD("ths_adjustment_nv_fund",B$3,$A987))</f>
        <v/>
      </c>
      <c r="C987" s="13" t="str">
        <f>IF($A987="","",[1]!thsiFinD("ths_adjustment_nv_fund",C$3,$A987))</f>
        <v/>
      </c>
      <c r="D987" s="13" t="str">
        <f>IF($A987="","",[1]!thsiFinD("ths_adjustment_nv_fund",D$3,$A987))</f>
        <v/>
      </c>
      <c r="E987" s="13" t="str">
        <f>IF($A987="","",[1]!thsiFinD("ths_adjustment_nv_fund",E$3,$A987))</f>
        <v/>
      </c>
      <c r="F987" s="13" t="str">
        <f>IF($A987="","",[1]!thsiFinD("ths_adjustment_nv_fund",F$3,$A987))</f>
        <v/>
      </c>
      <c r="G987" s="13" t="str">
        <f>IF($A987="","",[1]!thsiFinD("ths_adjustment_nv_fund",G$3,$A987))</f>
        <v/>
      </c>
      <c r="H987" s="13" t="str">
        <f>IF($A987="","",[1]!thsiFinD("ths_adjustment_nv_fund",H$3,$A987))</f>
        <v/>
      </c>
      <c r="I987" s="13" t="str">
        <f>IF($A987="","",[1]!thsiFinD("ths_adjustment_nv_fund",I$3,$A987))</f>
        <v/>
      </c>
      <c r="J987" s="13" t="str">
        <f>IF($A987="","",[1]!thsiFinD("ths_adjustment_nv_fund",J$3,$A987))</f>
        <v/>
      </c>
      <c r="K987" s="13" t="str">
        <f>IF($A987="","",[1]!thsiFinD("ths_adjustment_nv_fund",K$3,$A987))</f>
        <v/>
      </c>
      <c r="L987" s="13" t="str">
        <f>IF($A987="","",[1]!thsiFinD("ths_adjustment_nv_fund",L$3,$A987))</f>
        <v/>
      </c>
      <c r="M987" s="13" t="str">
        <f>IF($A987="","",[1]!thsiFinD("ths_adjustment_nv_fund",M$3,$A987))</f>
        <v/>
      </c>
      <c r="N987" s="13" t="str">
        <f>IF($A987="","",[1]!thsiFinD("ths_adjustment_nv_fund",N$3,$A987))</f>
        <v/>
      </c>
      <c r="O987" s="13" t="str">
        <f>IF($A987="","",[1]!thsiFinD("ths_adjustment_nv_fund",O$3,$A987))</f>
        <v/>
      </c>
      <c r="P987" s="13" t="str">
        <f>IF($A987="","",[1]!thsiFinD("ths_adjustment_nv_fund",P$3,$A987))</f>
        <v/>
      </c>
      <c r="Q987" s="13" t="str">
        <f>IF($A987="","",[1]!thsiFinD("ths_adjustment_nv_fund",Q$3,$A987))</f>
        <v/>
      </c>
      <c r="R987" s="13" t="str">
        <f>IF($A987="","",[1]!thsiFinD("ths_adjustment_nv_fund",R$3,$A987))</f>
        <v/>
      </c>
      <c r="S987" s="13" t="str">
        <f>IF($A987="","",[1]!thsiFinD("ths_adjustment_nv_fund",S$3,$A987))</f>
        <v/>
      </c>
      <c r="T987" s="13" t="str">
        <f>IF($A987="","",[1]!thsiFinD("ths_adjustment_nv_fund",T$3,$A987))</f>
        <v/>
      </c>
      <c r="U987" s="13" t="str">
        <f>IF($A987="","",[1]!thsiFinD("ths_adjustment_nv_fund",U$3,$A987))</f>
        <v/>
      </c>
      <c r="V987" s="13" t="str">
        <f>IF($A987="","",[1]!thsiFinD("ths_adjustment_nv_fund",V$3,$A987))</f>
        <v/>
      </c>
      <c r="W987" s="13" t="str">
        <f>IF($A987="","",[1]!thsiFinD("ths_adjustment_nv_fund",W$3,$A987))</f>
        <v/>
      </c>
      <c r="X987" s="13" t="str">
        <f>IF($A987="","",[1]!thsiFinD("ths_adjustment_nv_fund",X$3,$A987))</f>
        <v/>
      </c>
      <c r="Y987" s="13" t="str">
        <f>IF($A987="","",[1]!thsiFinD("ths_adjustment_nv_fund",Y$3,$A987))</f>
        <v/>
      </c>
      <c r="Z987" s="13" t="str">
        <f>IF($A987="","",[1]!thsiFinD("ths_adjustment_nv_fund",Z$3,$A987))</f>
        <v/>
      </c>
      <c r="AA987" s="13" t="str">
        <f>IF($A987="","",[1]!thsiFinD("ths_adjustment_nv_fund",AA$3,$A987))</f>
        <v/>
      </c>
      <c r="AB987" s="13">
        <f>IF($A987="","",[1]!thsiFinD("ths_adjustment_nv_fund",AB$3,$A987))</f>
        <v/>
      </c>
      <c r="AC987" s="13">
        <f>IF($A987="","",[1]!thsiFinD("ths_adjustment_nv_fund",AC$3,$A987))</f>
        <v/>
      </c>
      <c r="AD987" s="13">
        <f>IF($A987="","",[1]!thsiFinD("ths_adjustment_nv_fund",AD$3,$A987))</f>
        <v/>
      </c>
      <c r="AE987" s="13">
        <f>IF($A987="","",[1]!thsiFinD("ths_adjustment_nv_fund",AE$3,$A987))</f>
        <v/>
      </c>
      <c r="AF987" s="13">
        <f>IF($A987="","",[1]!thsiFinD("ths_adjustment_nv_fund",AF$3,$A987))</f>
        <v/>
      </c>
      <c r="AG987" s="13">
        <f>IF($A987="","",[1]!thsiFinD("ths_adjustment_nv_fund",AG$3,$A987))</f>
        <v/>
      </c>
      <c r="AH987" s="13">
        <f>IF($A987="","",[1]!thsiFinD("ths_adjustment_nv_fund",AH$3,$A987))</f>
        <v/>
      </c>
      <c r="AI987" s="13">
        <f>IF($A987="","",[1]!thsiFinD("ths_adjustment_nv_fund",AI$3,$A987))</f>
        <v/>
      </c>
      <c r="AJ987" s="13">
        <f>IF($A987="","",[1]!thsiFinD("ths_adjustment_nv_fund",AJ$3,$A987))</f>
        <v/>
      </c>
      <c r="AK987" s="13">
        <f>IF($A987="","",[1]!thsiFinD("ths_adjustment_nv_fund",AK$3,$A987))</f>
        <v/>
      </c>
      <c r="AL987" s="13">
        <f>IF($A987="","",[1]!thsiFinD("ths_adjustment_nv_fund",AL$3,$A987))</f>
        <v/>
      </c>
    </row>
    <row r="988" spans="2:28">
      <c r="B988" s="13" t="str">
        <f>IF($A988="","",[1]!thsiFinD("ths_adjustment_nv_fund",B$3,$A988))</f>
        <v/>
      </c>
      <c r="C988" s="13" t="str">
        <f>IF($A988="","",[1]!thsiFinD("ths_adjustment_nv_fund",C$3,$A988))</f>
        <v/>
      </c>
      <c r="D988" s="13" t="str">
        <f>IF($A988="","",[1]!thsiFinD("ths_adjustment_nv_fund",D$3,$A988))</f>
        <v/>
      </c>
      <c r="E988" s="13" t="str">
        <f>IF($A988="","",[1]!thsiFinD("ths_adjustment_nv_fund",E$3,$A988))</f>
        <v/>
      </c>
      <c r="F988" s="13" t="str">
        <f>IF($A988="","",[1]!thsiFinD("ths_adjustment_nv_fund",F$3,$A988))</f>
        <v/>
      </c>
      <c r="G988" s="13" t="str">
        <f>IF($A988="","",[1]!thsiFinD("ths_adjustment_nv_fund",G$3,$A988))</f>
        <v/>
      </c>
      <c r="H988" s="13" t="str">
        <f>IF($A988="","",[1]!thsiFinD("ths_adjustment_nv_fund",H$3,$A988))</f>
        <v/>
      </c>
      <c r="I988" s="13" t="str">
        <f>IF($A988="","",[1]!thsiFinD("ths_adjustment_nv_fund",I$3,$A988))</f>
        <v/>
      </c>
      <c r="J988" s="13" t="str">
        <f>IF($A988="","",[1]!thsiFinD("ths_adjustment_nv_fund",J$3,$A988))</f>
        <v/>
      </c>
      <c r="K988" s="13" t="str">
        <f>IF($A988="","",[1]!thsiFinD("ths_adjustment_nv_fund",K$3,$A988))</f>
        <v/>
      </c>
      <c r="L988" s="13" t="str">
        <f>IF($A988="","",[1]!thsiFinD("ths_adjustment_nv_fund",L$3,$A988))</f>
        <v/>
      </c>
      <c r="M988" s="13" t="str">
        <f>IF($A988="","",[1]!thsiFinD("ths_adjustment_nv_fund",M$3,$A988))</f>
        <v/>
      </c>
      <c r="N988" s="13" t="str">
        <f>IF($A988="","",[1]!thsiFinD("ths_adjustment_nv_fund",N$3,$A988))</f>
        <v/>
      </c>
      <c r="O988" s="13" t="str">
        <f>IF($A988="","",[1]!thsiFinD("ths_adjustment_nv_fund",O$3,$A988))</f>
        <v/>
      </c>
      <c r="P988" s="13" t="str">
        <f>IF($A988="","",[1]!thsiFinD("ths_adjustment_nv_fund",P$3,$A988))</f>
        <v/>
      </c>
      <c r="Q988" s="13" t="str">
        <f>IF($A988="","",[1]!thsiFinD("ths_adjustment_nv_fund",Q$3,$A988))</f>
        <v/>
      </c>
      <c r="R988" s="13" t="str">
        <f>IF($A988="","",[1]!thsiFinD("ths_adjustment_nv_fund",R$3,$A988))</f>
        <v/>
      </c>
      <c r="S988" s="13" t="str">
        <f>IF($A988="","",[1]!thsiFinD("ths_adjustment_nv_fund",S$3,$A988))</f>
        <v/>
      </c>
      <c r="T988" s="13" t="str">
        <f>IF($A988="","",[1]!thsiFinD("ths_adjustment_nv_fund",T$3,$A988))</f>
        <v/>
      </c>
      <c r="U988" s="13" t="str">
        <f>IF($A988="","",[1]!thsiFinD("ths_adjustment_nv_fund",U$3,$A988))</f>
        <v/>
      </c>
      <c r="V988" s="13" t="str">
        <f>IF($A988="","",[1]!thsiFinD("ths_adjustment_nv_fund",V$3,$A988))</f>
        <v/>
      </c>
      <c r="W988" s="13" t="str">
        <f>IF($A988="","",[1]!thsiFinD("ths_adjustment_nv_fund",W$3,$A988))</f>
        <v/>
      </c>
      <c r="X988" s="13" t="str">
        <f>IF($A988="","",[1]!thsiFinD("ths_adjustment_nv_fund",X$3,$A988))</f>
        <v/>
      </c>
      <c r="Y988" s="13" t="str">
        <f>IF($A988="","",[1]!thsiFinD("ths_adjustment_nv_fund",Y$3,$A988))</f>
        <v/>
      </c>
      <c r="Z988" s="13" t="str">
        <f>IF($A988="","",[1]!thsiFinD("ths_adjustment_nv_fund",Z$3,$A988))</f>
        <v/>
      </c>
      <c r="AA988" s="13" t="str">
        <f>IF($A988="","",[1]!thsiFinD("ths_adjustment_nv_fund",AA$3,$A988))</f>
        <v/>
      </c>
      <c r="AB988" s="13">
        <f>IF($A988="","",[1]!thsiFinD("ths_adjustment_nv_fund",AB$3,$A988))</f>
        <v/>
      </c>
      <c r="AC988" s="13">
        <f>IF($A988="","",[1]!thsiFinD("ths_adjustment_nv_fund",AC$3,$A988))</f>
        <v/>
      </c>
      <c r="AD988" s="13">
        <f>IF($A988="","",[1]!thsiFinD("ths_adjustment_nv_fund",AD$3,$A988))</f>
        <v/>
      </c>
      <c r="AE988" s="13">
        <f>IF($A988="","",[1]!thsiFinD("ths_adjustment_nv_fund",AE$3,$A988))</f>
        <v/>
      </c>
      <c r="AF988" s="13">
        <f>IF($A988="","",[1]!thsiFinD("ths_adjustment_nv_fund",AF$3,$A988))</f>
        <v/>
      </c>
      <c r="AG988" s="13">
        <f>IF($A988="","",[1]!thsiFinD("ths_adjustment_nv_fund",AG$3,$A988))</f>
        <v/>
      </c>
      <c r="AH988" s="13">
        <f>IF($A988="","",[1]!thsiFinD("ths_adjustment_nv_fund",AH$3,$A988))</f>
        <v/>
      </c>
      <c r="AI988" s="13">
        <f>IF($A988="","",[1]!thsiFinD("ths_adjustment_nv_fund",AI$3,$A988))</f>
        <v/>
      </c>
      <c r="AJ988" s="13">
        <f>IF($A988="","",[1]!thsiFinD("ths_adjustment_nv_fund",AJ$3,$A988))</f>
        <v/>
      </c>
      <c r="AK988" s="13">
        <f>IF($A988="","",[1]!thsiFinD("ths_adjustment_nv_fund",AK$3,$A988))</f>
        <v/>
      </c>
      <c r="AL988" s="13">
        <f>IF($A988="","",[1]!thsiFinD("ths_adjustment_nv_fund",AL$3,$A988))</f>
        <v/>
      </c>
    </row>
    <row r="989" spans="2:28">
      <c r="B989" s="13" t="str">
        <f>IF($A989="","",[1]!thsiFinD("ths_adjustment_nv_fund",B$3,$A989))</f>
        <v/>
      </c>
      <c r="C989" s="13" t="str">
        <f>IF($A989="","",[1]!thsiFinD("ths_adjustment_nv_fund",C$3,$A989))</f>
        <v/>
      </c>
      <c r="D989" s="13" t="str">
        <f>IF($A989="","",[1]!thsiFinD("ths_adjustment_nv_fund",D$3,$A989))</f>
        <v/>
      </c>
      <c r="E989" s="13" t="str">
        <f>IF($A989="","",[1]!thsiFinD("ths_adjustment_nv_fund",E$3,$A989))</f>
        <v/>
      </c>
      <c r="F989" s="13" t="str">
        <f>IF($A989="","",[1]!thsiFinD("ths_adjustment_nv_fund",F$3,$A989))</f>
        <v/>
      </c>
      <c r="G989" s="13" t="str">
        <f>IF($A989="","",[1]!thsiFinD("ths_adjustment_nv_fund",G$3,$A989))</f>
        <v/>
      </c>
      <c r="H989" s="13" t="str">
        <f>IF($A989="","",[1]!thsiFinD("ths_adjustment_nv_fund",H$3,$A989))</f>
        <v/>
      </c>
      <c r="I989" s="13" t="str">
        <f>IF($A989="","",[1]!thsiFinD("ths_adjustment_nv_fund",I$3,$A989))</f>
        <v/>
      </c>
      <c r="J989" s="13" t="str">
        <f>IF($A989="","",[1]!thsiFinD("ths_adjustment_nv_fund",J$3,$A989))</f>
        <v/>
      </c>
      <c r="K989" s="13" t="str">
        <f>IF($A989="","",[1]!thsiFinD("ths_adjustment_nv_fund",K$3,$A989))</f>
        <v/>
      </c>
      <c r="L989" s="13" t="str">
        <f>IF($A989="","",[1]!thsiFinD("ths_adjustment_nv_fund",L$3,$A989))</f>
        <v/>
      </c>
      <c r="M989" s="13" t="str">
        <f>IF($A989="","",[1]!thsiFinD("ths_adjustment_nv_fund",M$3,$A989))</f>
        <v/>
      </c>
      <c r="N989" s="13" t="str">
        <f>IF($A989="","",[1]!thsiFinD("ths_adjustment_nv_fund",N$3,$A989))</f>
        <v/>
      </c>
      <c r="O989" s="13" t="str">
        <f>IF($A989="","",[1]!thsiFinD("ths_adjustment_nv_fund",O$3,$A989))</f>
        <v/>
      </c>
      <c r="P989" s="13" t="str">
        <f>IF($A989="","",[1]!thsiFinD("ths_adjustment_nv_fund",P$3,$A989))</f>
        <v/>
      </c>
      <c r="Q989" s="13" t="str">
        <f>IF($A989="","",[1]!thsiFinD("ths_adjustment_nv_fund",Q$3,$A989))</f>
        <v/>
      </c>
      <c r="R989" s="13" t="str">
        <f>IF($A989="","",[1]!thsiFinD("ths_adjustment_nv_fund",R$3,$A989))</f>
        <v/>
      </c>
      <c r="S989" s="13" t="str">
        <f>IF($A989="","",[1]!thsiFinD("ths_adjustment_nv_fund",S$3,$A989))</f>
        <v/>
      </c>
      <c r="T989" s="13" t="str">
        <f>IF($A989="","",[1]!thsiFinD("ths_adjustment_nv_fund",T$3,$A989))</f>
        <v/>
      </c>
      <c r="U989" s="13" t="str">
        <f>IF($A989="","",[1]!thsiFinD("ths_adjustment_nv_fund",U$3,$A989))</f>
        <v/>
      </c>
      <c r="V989" s="13" t="str">
        <f>IF($A989="","",[1]!thsiFinD("ths_adjustment_nv_fund",V$3,$A989))</f>
        <v/>
      </c>
      <c r="W989" s="13" t="str">
        <f>IF($A989="","",[1]!thsiFinD("ths_adjustment_nv_fund",W$3,$A989))</f>
        <v/>
      </c>
      <c r="X989" s="13" t="str">
        <f>IF($A989="","",[1]!thsiFinD("ths_adjustment_nv_fund",X$3,$A989))</f>
        <v/>
      </c>
      <c r="Y989" s="13" t="str">
        <f>IF($A989="","",[1]!thsiFinD("ths_adjustment_nv_fund",Y$3,$A989))</f>
        <v/>
      </c>
      <c r="Z989" s="13" t="str">
        <f>IF($A989="","",[1]!thsiFinD("ths_adjustment_nv_fund",Z$3,$A989))</f>
        <v/>
      </c>
      <c r="AA989" s="13" t="str">
        <f>IF($A989="","",[1]!thsiFinD("ths_adjustment_nv_fund",AA$3,$A989))</f>
        <v/>
      </c>
      <c r="AB989" s="13">
        <f>IF($A989="","",[1]!thsiFinD("ths_adjustment_nv_fund",AB$3,$A989))</f>
        <v/>
      </c>
      <c r="AC989" s="13">
        <f>IF($A989="","",[1]!thsiFinD("ths_adjustment_nv_fund",AC$3,$A989))</f>
        <v/>
      </c>
      <c r="AD989" s="13">
        <f>IF($A989="","",[1]!thsiFinD("ths_adjustment_nv_fund",AD$3,$A989))</f>
        <v/>
      </c>
      <c r="AE989" s="13">
        <f>IF($A989="","",[1]!thsiFinD("ths_adjustment_nv_fund",AE$3,$A989))</f>
        <v/>
      </c>
      <c r="AF989" s="13">
        <f>IF($A989="","",[1]!thsiFinD("ths_adjustment_nv_fund",AF$3,$A989))</f>
        <v/>
      </c>
      <c r="AG989" s="13">
        <f>IF($A989="","",[1]!thsiFinD("ths_adjustment_nv_fund",AG$3,$A989))</f>
        <v/>
      </c>
      <c r="AH989" s="13">
        <f>IF($A989="","",[1]!thsiFinD("ths_adjustment_nv_fund",AH$3,$A989))</f>
        <v/>
      </c>
      <c r="AI989" s="13">
        <f>IF($A989="","",[1]!thsiFinD("ths_adjustment_nv_fund",AI$3,$A989))</f>
        <v/>
      </c>
      <c r="AJ989" s="13">
        <f>IF($A989="","",[1]!thsiFinD("ths_adjustment_nv_fund",AJ$3,$A989))</f>
        <v/>
      </c>
      <c r="AK989" s="13">
        <f>IF($A989="","",[1]!thsiFinD("ths_adjustment_nv_fund",AK$3,$A989))</f>
        <v/>
      </c>
      <c r="AL989" s="13">
        <f>IF($A989="","",[1]!thsiFinD("ths_adjustment_nv_fund",AL$3,$A989))</f>
        <v/>
      </c>
    </row>
    <row r="990" spans="2:28">
      <c r="B990" s="13" t="str">
        <f>IF($A990="","",[1]!thsiFinD("ths_adjustment_nv_fund",B$3,$A990))</f>
        <v/>
      </c>
      <c r="C990" s="13" t="str">
        <f>IF($A990="","",[1]!thsiFinD("ths_adjustment_nv_fund",C$3,$A990))</f>
        <v/>
      </c>
      <c r="D990" s="13" t="str">
        <f>IF($A990="","",[1]!thsiFinD("ths_adjustment_nv_fund",D$3,$A990))</f>
        <v/>
      </c>
      <c r="E990" s="13" t="str">
        <f>IF($A990="","",[1]!thsiFinD("ths_adjustment_nv_fund",E$3,$A990))</f>
        <v/>
      </c>
      <c r="F990" s="13" t="str">
        <f>IF($A990="","",[1]!thsiFinD("ths_adjustment_nv_fund",F$3,$A990))</f>
        <v/>
      </c>
      <c r="G990" s="13" t="str">
        <f>IF($A990="","",[1]!thsiFinD("ths_adjustment_nv_fund",G$3,$A990))</f>
        <v/>
      </c>
      <c r="H990" s="13" t="str">
        <f>IF($A990="","",[1]!thsiFinD("ths_adjustment_nv_fund",H$3,$A990))</f>
        <v/>
      </c>
      <c r="I990" s="13" t="str">
        <f>IF($A990="","",[1]!thsiFinD("ths_adjustment_nv_fund",I$3,$A990))</f>
        <v/>
      </c>
      <c r="J990" s="13" t="str">
        <f>IF($A990="","",[1]!thsiFinD("ths_adjustment_nv_fund",J$3,$A990))</f>
        <v/>
      </c>
      <c r="K990" s="13" t="str">
        <f>IF($A990="","",[1]!thsiFinD("ths_adjustment_nv_fund",K$3,$A990))</f>
        <v/>
      </c>
      <c r="L990" s="13" t="str">
        <f>IF($A990="","",[1]!thsiFinD("ths_adjustment_nv_fund",L$3,$A990))</f>
        <v/>
      </c>
      <c r="M990" s="13" t="str">
        <f>IF($A990="","",[1]!thsiFinD("ths_adjustment_nv_fund",M$3,$A990))</f>
        <v/>
      </c>
      <c r="N990" s="13" t="str">
        <f>IF($A990="","",[1]!thsiFinD("ths_adjustment_nv_fund",N$3,$A990))</f>
        <v/>
      </c>
      <c r="O990" s="13" t="str">
        <f>IF($A990="","",[1]!thsiFinD("ths_adjustment_nv_fund",O$3,$A990))</f>
        <v/>
      </c>
      <c r="P990" s="13" t="str">
        <f>IF($A990="","",[1]!thsiFinD("ths_adjustment_nv_fund",P$3,$A990))</f>
        <v/>
      </c>
      <c r="Q990" s="13" t="str">
        <f>IF($A990="","",[1]!thsiFinD("ths_adjustment_nv_fund",Q$3,$A990))</f>
        <v/>
      </c>
      <c r="R990" s="13" t="str">
        <f>IF($A990="","",[1]!thsiFinD("ths_adjustment_nv_fund",R$3,$A990))</f>
        <v/>
      </c>
      <c r="S990" s="13" t="str">
        <f>IF($A990="","",[1]!thsiFinD("ths_adjustment_nv_fund",S$3,$A990))</f>
        <v/>
      </c>
      <c r="T990" s="13" t="str">
        <f>IF($A990="","",[1]!thsiFinD("ths_adjustment_nv_fund",T$3,$A990))</f>
        <v/>
      </c>
      <c r="U990" s="13" t="str">
        <f>IF($A990="","",[1]!thsiFinD("ths_adjustment_nv_fund",U$3,$A990))</f>
        <v/>
      </c>
      <c r="V990" s="13" t="str">
        <f>IF($A990="","",[1]!thsiFinD("ths_adjustment_nv_fund",V$3,$A990))</f>
        <v/>
      </c>
      <c r="W990" s="13" t="str">
        <f>IF($A990="","",[1]!thsiFinD("ths_adjustment_nv_fund",W$3,$A990))</f>
        <v/>
      </c>
      <c r="X990" s="13" t="str">
        <f>IF($A990="","",[1]!thsiFinD("ths_adjustment_nv_fund",X$3,$A990))</f>
        <v/>
      </c>
      <c r="Y990" s="13" t="str">
        <f>IF($A990="","",[1]!thsiFinD("ths_adjustment_nv_fund",Y$3,$A990))</f>
        <v/>
      </c>
      <c r="Z990" s="13" t="str">
        <f>IF($A990="","",[1]!thsiFinD("ths_adjustment_nv_fund",Z$3,$A990))</f>
        <v/>
      </c>
      <c r="AA990" s="13" t="str">
        <f>IF($A990="","",[1]!thsiFinD("ths_adjustment_nv_fund",AA$3,$A990))</f>
        <v/>
      </c>
      <c r="AB990" s="13">
        <f>IF($A990="","",[1]!thsiFinD("ths_adjustment_nv_fund",AB$3,$A990))</f>
        <v/>
      </c>
      <c r="AC990" s="13">
        <f>IF($A990="","",[1]!thsiFinD("ths_adjustment_nv_fund",AC$3,$A990))</f>
        <v/>
      </c>
      <c r="AD990" s="13">
        <f>IF($A990="","",[1]!thsiFinD("ths_adjustment_nv_fund",AD$3,$A990))</f>
        <v/>
      </c>
      <c r="AE990" s="13">
        <f>IF($A990="","",[1]!thsiFinD("ths_adjustment_nv_fund",AE$3,$A990))</f>
        <v/>
      </c>
      <c r="AF990" s="13">
        <f>IF($A990="","",[1]!thsiFinD("ths_adjustment_nv_fund",AF$3,$A990))</f>
        <v/>
      </c>
      <c r="AG990" s="13">
        <f>IF($A990="","",[1]!thsiFinD("ths_adjustment_nv_fund",AG$3,$A990))</f>
        <v/>
      </c>
      <c r="AH990" s="13">
        <f>IF($A990="","",[1]!thsiFinD("ths_adjustment_nv_fund",AH$3,$A990))</f>
        <v/>
      </c>
      <c r="AI990" s="13">
        <f>IF($A990="","",[1]!thsiFinD("ths_adjustment_nv_fund",AI$3,$A990))</f>
        <v/>
      </c>
      <c r="AJ990" s="13">
        <f>IF($A990="","",[1]!thsiFinD("ths_adjustment_nv_fund",AJ$3,$A990))</f>
        <v/>
      </c>
      <c r="AK990" s="13">
        <f>IF($A990="","",[1]!thsiFinD("ths_adjustment_nv_fund",AK$3,$A990))</f>
        <v/>
      </c>
      <c r="AL990" s="13">
        <f>IF($A990="","",[1]!thsiFinD("ths_adjustment_nv_fund",AL$3,$A990))</f>
        <v/>
      </c>
    </row>
    <row r="991" spans="2:28">
      <c r="B991" s="13" t="str">
        <f>IF($A991="","",[1]!thsiFinD("ths_adjustment_nv_fund",B$3,$A991))</f>
        <v/>
      </c>
      <c r="C991" s="13" t="str">
        <f>IF($A991="","",[1]!thsiFinD("ths_adjustment_nv_fund",C$3,$A991))</f>
        <v/>
      </c>
      <c r="D991" s="13" t="str">
        <f>IF($A991="","",[1]!thsiFinD("ths_adjustment_nv_fund",D$3,$A991))</f>
        <v/>
      </c>
      <c r="E991" s="13" t="str">
        <f>IF($A991="","",[1]!thsiFinD("ths_adjustment_nv_fund",E$3,$A991))</f>
        <v/>
      </c>
      <c r="F991" s="13" t="str">
        <f>IF($A991="","",[1]!thsiFinD("ths_adjustment_nv_fund",F$3,$A991))</f>
        <v/>
      </c>
      <c r="G991" s="13" t="str">
        <f>IF($A991="","",[1]!thsiFinD("ths_adjustment_nv_fund",G$3,$A991))</f>
        <v/>
      </c>
      <c r="H991" s="13" t="str">
        <f>IF($A991="","",[1]!thsiFinD("ths_adjustment_nv_fund",H$3,$A991))</f>
        <v/>
      </c>
      <c r="I991" s="13" t="str">
        <f>IF($A991="","",[1]!thsiFinD("ths_adjustment_nv_fund",I$3,$A991))</f>
        <v/>
      </c>
      <c r="J991" s="13" t="str">
        <f>IF($A991="","",[1]!thsiFinD("ths_adjustment_nv_fund",J$3,$A991))</f>
        <v/>
      </c>
      <c r="K991" s="13" t="str">
        <f>IF($A991="","",[1]!thsiFinD("ths_adjustment_nv_fund",K$3,$A991))</f>
        <v/>
      </c>
      <c r="L991" s="13" t="str">
        <f>IF($A991="","",[1]!thsiFinD("ths_adjustment_nv_fund",L$3,$A991))</f>
        <v/>
      </c>
      <c r="M991" s="13" t="str">
        <f>IF($A991="","",[1]!thsiFinD("ths_adjustment_nv_fund",M$3,$A991))</f>
        <v/>
      </c>
      <c r="N991" s="13" t="str">
        <f>IF($A991="","",[1]!thsiFinD("ths_adjustment_nv_fund",N$3,$A991))</f>
        <v/>
      </c>
      <c r="O991" s="13" t="str">
        <f>IF($A991="","",[1]!thsiFinD("ths_adjustment_nv_fund",O$3,$A991))</f>
        <v/>
      </c>
      <c r="P991" s="13" t="str">
        <f>IF($A991="","",[1]!thsiFinD("ths_adjustment_nv_fund",P$3,$A991))</f>
        <v/>
      </c>
      <c r="Q991" s="13" t="str">
        <f>IF($A991="","",[1]!thsiFinD("ths_adjustment_nv_fund",Q$3,$A991))</f>
        <v/>
      </c>
      <c r="R991" s="13" t="str">
        <f>IF($A991="","",[1]!thsiFinD("ths_adjustment_nv_fund",R$3,$A991))</f>
        <v/>
      </c>
      <c r="S991" s="13" t="str">
        <f>IF($A991="","",[1]!thsiFinD("ths_adjustment_nv_fund",S$3,$A991))</f>
        <v/>
      </c>
      <c r="T991" s="13" t="str">
        <f>IF($A991="","",[1]!thsiFinD("ths_adjustment_nv_fund",T$3,$A991))</f>
        <v/>
      </c>
      <c r="U991" s="13" t="str">
        <f>IF($A991="","",[1]!thsiFinD("ths_adjustment_nv_fund",U$3,$A991))</f>
        <v/>
      </c>
      <c r="V991" s="13" t="str">
        <f>IF($A991="","",[1]!thsiFinD("ths_adjustment_nv_fund",V$3,$A991))</f>
        <v/>
      </c>
      <c r="W991" s="13" t="str">
        <f>IF($A991="","",[1]!thsiFinD("ths_adjustment_nv_fund",W$3,$A991))</f>
        <v/>
      </c>
      <c r="X991" s="13" t="str">
        <f>IF($A991="","",[1]!thsiFinD("ths_adjustment_nv_fund",X$3,$A991))</f>
        <v/>
      </c>
      <c r="Y991" s="13" t="str">
        <f>IF($A991="","",[1]!thsiFinD("ths_adjustment_nv_fund",Y$3,$A991))</f>
        <v/>
      </c>
      <c r="Z991" s="13" t="str">
        <f>IF($A991="","",[1]!thsiFinD("ths_adjustment_nv_fund",Z$3,$A991))</f>
        <v/>
      </c>
      <c r="AA991" s="13" t="str">
        <f>IF($A991="","",[1]!thsiFinD("ths_adjustment_nv_fund",AA$3,$A991))</f>
        <v/>
      </c>
      <c r="AB991" s="13">
        <f>IF($A991="","",[1]!thsiFinD("ths_adjustment_nv_fund",AB$3,$A991))</f>
        <v/>
      </c>
      <c r="AC991" s="13">
        <f>IF($A991="","",[1]!thsiFinD("ths_adjustment_nv_fund",AC$3,$A991))</f>
        <v/>
      </c>
      <c r="AD991" s="13">
        <f>IF($A991="","",[1]!thsiFinD("ths_adjustment_nv_fund",AD$3,$A991))</f>
        <v/>
      </c>
      <c r="AE991" s="13">
        <f>IF($A991="","",[1]!thsiFinD("ths_adjustment_nv_fund",AE$3,$A991))</f>
        <v/>
      </c>
      <c r="AF991" s="13">
        <f>IF($A991="","",[1]!thsiFinD("ths_adjustment_nv_fund",AF$3,$A991))</f>
        <v/>
      </c>
      <c r="AG991" s="13">
        <f>IF($A991="","",[1]!thsiFinD("ths_adjustment_nv_fund",AG$3,$A991))</f>
        <v/>
      </c>
      <c r="AH991" s="13">
        <f>IF($A991="","",[1]!thsiFinD("ths_adjustment_nv_fund",AH$3,$A991))</f>
        <v/>
      </c>
      <c r="AI991" s="13">
        <f>IF($A991="","",[1]!thsiFinD("ths_adjustment_nv_fund",AI$3,$A991))</f>
        <v/>
      </c>
      <c r="AJ991" s="13">
        <f>IF($A991="","",[1]!thsiFinD("ths_adjustment_nv_fund",AJ$3,$A991))</f>
        <v/>
      </c>
      <c r="AK991" s="13">
        <f>IF($A991="","",[1]!thsiFinD("ths_adjustment_nv_fund",AK$3,$A991))</f>
        <v/>
      </c>
      <c r="AL991" s="13">
        <f>IF($A991="","",[1]!thsiFinD("ths_adjustment_nv_fund",AL$3,$A991))</f>
        <v/>
      </c>
    </row>
    <row r="992" spans="2:28">
      <c r="B992" s="13" t="str">
        <f>IF($A992="","",[1]!thsiFinD("ths_adjustment_nv_fund",B$3,$A992))</f>
        <v/>
      </c>
      <c r="C992" s="13" t="str">
        <f>IF($A992="","",[1]!thsiFinD("ths_adjustment_nv_fund",C$3,$A992))</f>
        <v/>
      </c>
      <c r="D992" s="13" t="str">
        <f>IF($A992="","",[1]!thsiFinD("ths_adjustment_nv_fund",D$3,$A992))</f>
        <v/>
      </c>
      <c r="E992" s="13" t="str">
        <f>IF($A992="","",[1]!thsiFinD("ths_adjustment_nv_fund",E$3,$A992))</f>
        <v/>
      </c>
      <c r="F992" s="13" t="str">
        <f>IF($A992="","",[1]!thsiFinD("ths_adjustment_nv_fund",F$3,$A992))</f>
        <v/>
      </c>
      <c r="G992" s="13" t="str">
        <f>IF($A992="","",[1]!thsiFinD("ths_adjustment_nv_fund",G$3,$A992))</f>
        <v/>
      </c>
      <c r="H992" s="13" t="str">
        <f>IF($A992="","",[1]!thsiFinD("ths_adjustment_nv_fund",H$3,$A992))</f>
        <v/>
      </c>
      <c r="I992" s="13" t="str">
        <f>IF($A992="","",[1]!thsiFinD("ths_adjustment_nv_fund",I$3,$A992))</f>
        <v/>
      </c>
      <c r="J992" s="13" t="str">
        <f>IF($A992="","",[1]!thsiFinD("ths_adjustment_nv_fund",J$3,$A992))</f>
        <v/>
      </c>
      <c r="K992" s="13" t="str">
        <f>IF($A992="","",[1]!thsiFinD("ths_adjustment_nv_fund",K$3,$A992))</f>
        <v/>
      </c>
      <c r="L992" s="13" t="str">
        <f>IF($A992="","",[1]!thsiFinD("ths_adjustment_nv_fund",L$3,$A992))</f>
        <v/>
      </c>
      <c r="M992" s="13" t="str">
        <f>IF($A992="","",[1]!thsiFinD("ths_adjustment_nv_fund",M$3,$A992))</f>
        <v/>
      </c>
      <c r="N992" s="13" t="str">
        <f>IF($A992="","",[1]!thsiFinD("ths_adjustment_nv_fund",N$3,$A992))</f>
        <v/>
      </c>
      <c r="O992" s="13" t="str">
        <f>IF($A992="","",[1]!thsiFinD("ths_adjustment_nv_fund",O$3,$A992))</f>
        <v/>
      </c>
      <c r="P992" s="13" t="str">
        <f>IF($A992="","",[1]!thsiFinD("ths_adjustment_nv_fund",P$3,$A992))</f>
        <v/>
      </c>
      <c r="Q992" s="13" t="str">
        <f>IF($A992="","",[1]!thsiFinD("ths_adjustment_nv_fund",Q$3,$A992))</f>
        <v/>
      </c>
      <c r="R992" s="13" t="str">
        <f>IF($A992="","",[1]!thsiFinD("ths_adjustment_nv_fund",R$3,$A992))</f>
        <v/>
      </c>
      <c r="S992" s="13" t="str">
        <f>IF($A992="","",[1]!thsiFinD("ths_adjustment_nv_fund",S$3,$A992))</f>
        <v/>
      </c>
      <c r="T992" s="13" t="str">
        <f>IF($A992="","",[1]!thsiFinD("ths_adjustment_nv_fund",T$3,$A992))</f>
        <v/>
      </c>
      <c r="U992" s="13" t="str">
        <f>IF($A992="","",[1]!thsiFinD("ths_adjustment_nv_fund",U$3,$A992))</f>
        <v/>
      </c>
      <c r="V992" s="13" t="str">
        <f>IF($A992="","",[1]!thsiFinD("ths_adjustment_nv_fund",V$3,$A992))</f>
        <v/>
      </c>
      <c r="W992" s="13" t="str">
        <f>IF($A992="","",[1]!thsiFinD("ths_adjustment_nv_fund",W$3,$A992))</f>
        <v/>
      </c>
      <c r="X992" s="13" t="str">
        <f>IF($A992="","",[1]!thsiFinD("ths_adjustment_nv_fund",X$3,$A992))</f>
        <v/>
      </c>
      <c r="Y992" s="13" t="str">
        <f>IF($A992="","",[1]!thsiFinD("ths_adjustment_nv_fund",Y$3,$A992))</f>
        <v/>
      </c>
      <c r="Z992" s="13" t="str">
        <f>IF($A992="","",[1]!thsiFinD("ths_adjustment_nv_fund",Z$3,$A992))</f>
        <v/>
      </c>
      <c r="AA992" s="13" t="str">
        <f>IF($A992="","",[1]!thsiFinD("ths_adjustment_nv_fund",AA$3,$A992))</f>
        <v/>
      </c>
      <c r="AB992" s="13">
        <f>IF($A992="","",[1]!thsiFinD("ths_adjustment_nv_fund",AB$3,$A992))</f>
        <v/>
      </c>
      <c r="AC992" s="13">
        <f>IF($A992="","",[1]!thsiFinD("ths_adjustment_nv_fund",AC$3,$A992))</f>
        <v/>
      </c>
      <c r="AD992" s="13">
        <f>IF($A992="","",[1]!thsiFinD("ths_adjustment_nv_fund",AD$3,$A992))</f>
        <v/>
      </c>
      <c r="AE992" s="13">
        <f>IF($A992="","",[1]!thsiFinD("ths_adjustment_nv_fund",AE$3,$A992))</f>
        <v/>
      </c>
      <c r="AF992" s="13">
        <f>IF($A992="","",[1]!thsiFinD("ths_adjustment_nv_fund",AF$3,$A992))</f>
        <v/>
      </c>
      <c r="AG992" s="13">
        <f>IF($A992="","",[1]!thsiFinD("ths_adjustment_nv_fund",AG$3,$A992))</f>
        <v/>
      </c>
      <c r="AH992" s="13">
        <f>IF($A992="","",[1]!thsiFinD("ths_adjustment_nv_fund",AH$3,$A992))</f>
        <v/>
      </c>
      <c r="AI992" s="13">
        <f>IF($A992="","",[1]!thsiFinD("ths_adjustment_nv_fund",AI$3,$A992))</f>
        <v/>
      </c>
      <c r="AJ992" s="13">
        <f>IF($A992="","",[1]!thsiFinD("ths_adjustment_nv_fund",AJ$3,$A992))</f>
        <v/>
      </c>
      <c r="AK992" s="13">
        <f>IF($A992="","",[1]!thsiFinD("ths_adjustment_nv_fund",AK$3,$A992))</f>
        <v/>
      </c>
      <c r="AL992" s="13">
        <f>IF($A992="","",[1]!thsiFinD("ths_adjustment_nv_fund",AL$3,$A992))</f>
        <v/>
      </c>
    </row>
    <row r="993" spans="2:28">
      <c r="B993" s="13" t="str">
        <f>IF($A993="","",[1]!thsiFinD("ths_adjustment_nv_fund",B$3,$A993))</f>
        <v/>
      </c>
      <c r="C993" s="13" t="str">
        <f>IF($A993="","",[1]!thsiFinD("ths_adjustment_nv_fund",C$3,$A993))</f>
        <v/>
      </c>
      <c r="D993" s="13" t="str">
        <f>IF($A993="","",[1]!thsiFinD("ths_adjustment_nv_fund",D$3,$A993))</f>
        <v/>
      </c>
      <c r="E993" s="13" t="str">
        <f>IF($A993="","",[1]!thsiFinD("ths_adjustment_nv_fund",E$3,$A993))</f>
        <v/>
      </c>
      <c r="F993" s="13" t="str">
        <f>IF($A993="","",[1]!thsiFinD("ths_adjustment_nv_fund",F$3,$A993))</f>
        <v/>
      </c>
      <c r="G993" s="13" t="str">
        <f>IF($A993="","",[1]!thsiFinD("ths_adjustment_nv_fund",G$3,$A993))</f>
        <v/>
      </c>
      <c r="H993" s="13" t="str">
        <f>IF($A993="","",[1]!thsiFinD("ths_adjustment_nv_fund",H$3,$A993))</f>
        <v/>
      </c>
      <c r="I993" s="13" t="str">
        <f>IF($A993="","",[1]!thsiFinD("ths_adjustment_nv_fund",I$3,$A993))</f>
        <v/>
      </c>
      <c r="J993" s="13" t="str">
        <f>IF($A993="","",[1]!thsiFinD("ths_adjustment_nv_fund",J$3,$A993))</f>
        <v/>
      </c>
      <c r="K993" s="13" t="str">
        <f>IF($A993="","",[1]!thsiFinD("ths_adjustment_nv_fund",K$3,$A993))</f>
        <v/>
      </c>
      <c r="L993" s="13" t="str">
        <f>IF($A993="","",[1]!thsiFinD("ths_adjustment_nv_fund",L$3,$A993))</f>
        <v/>
      </c>
      <c r="M993" s="13" t="str">
        <f>IF($A993="","",[1]!thsiFinD("ths_adjustment_nv_fund",M$3,$A993))</f>
        <v/>
      </c>
      <c r="N993" s="13" t="str">
        <f>IF($A993="","",[1]!thsiFinD("ths_adjustment_nv_fund",N$3,$A993))</f>
        <v/>
      </c>
      <c r="O993" s="13" t="str">
        <f>IF($A993="","",[1]!thsiFinD("ths_adjustment_nv_fund",O$3,$A993))</f>
        <v/>
      </c>
      <c r="P993" s="13" t="str">
        <f>IF($A993="","",[1]!thsiFinD("ths_adjustment_nv_fund",P$3,$A993))</f>
        <v/>
      </c>
      <c r="Q993" s="13" t="str">
        <f>IF($A993="","",[1]!thsiFinD("ths_adjustment_nv_fund",Q$3,$A993))</f>
        <v/>
      </c>
      <c r="R993" s="13" t="str">
        <f>IF($A993="","",[1]!thsiFinD("ths_adjustment_nv_fund",R$3,$A993))</f>
        <v/>
      </c>
      <c r="S993" s="13" t="str">
        <f>IF($A993="","",[1]!thsiFinD("ths_adjustment_nv_fund",S$3,$A993))</f>
        <v/>
      </c>
      <c r="T993" s="13" t="str">
        <f>IF($A993="","",[1]!thsiFinD("ths_adjustment_nv_fund",T$3,$A993))</f>
        <v/>
      </c>
      <c r="U993" s="13" t="str">
        <f>IF($A993="","",[1]!thsiFinD("ths_adjustment_nv_fund",U$3,$A993))</f>
        <v/>
      </c>
      <c r="V993" s="13" t="str">
        <f>IF($A993="","",[1]!thsiFinD("ths_adjustment_nv_fund",V$3,$A993))</f>
        <v/>
      </c>
      <c r="W993" s="13" t="str">
        <f>IF($A993="","",[1]!thsiFinD("ths_adjustment_nv_fund",W$3,$A993))</f>
        <v/>
      </c>
      <c r="X993" s="13" t="str">
        <f>IF($A993="","",[1]!thsiFinD("ths_adjustment_nv_fund",X$3,$A993))</f>
        <v/>
      </c>
      <c r="Y993" s="13" t="str">
        <f>IF($A993="","",[1]!thsiFinD("ths_adjustment_nv_fund",Y$3,$A993))</f>
        <v/>
      </c>
      <c r="Z993" s="13" t="str">
        <f>IF($A993="","",[1]!thsiFinD("ths_adjustment_nv_fund",Z$3,$A993))</f>
        <v/>
      </c>
      <c r="AA993" s="13" t="str">
        <f>IF($A993="","",[1]!thsiFinD("ths_adjustment_nv_fund",AA$3,$A993))</f>
        <v/>
      </c>
      <c r="AB993" s="13">
        <f>IF($A993="","",[1]!thsiFinD("ths_adjustment_nv_fund",AB$3,$A993))</f>
        <v/>
      </c>
      <c r="AC993" s="13">
        <f>IF($A993="","",[1]!thsiFinD("ths_adjustment_nv_fund",AC$3,$A993))</f>
        <v/>
      </c>
      <c r="AD993" s="13">
        <f>IF($A993="","",[1]!thsiFinD("ths_adjustment_nv_fund",AD$3,$A993))</f>
        <v/>
      </c>
      <c r="AE993" s="13">
        <f>IF($A993="","",[1]!thsiFinD("ths_adjustment_nv_fund",AE$3,$A993))</f>
        <v/>
      </c>
      <c r="AF993" s="13">
        <f>IF($A993="","",[1]!thsiFinD("ths_adjustment_nv_fund",AF$3,$A993))</f>
        <v/>
      </c>
      <c r="AG993" s="13">
        <f>IF($A993="","",[1]!thsiFinD("ths_adjustment_nv_fund",AG$3,$A993))</f>
        <v/>
      </c>
      <c r="AH993" s="13">
        <f>IF($A993="","",[1]!thsiFinD("ths_adjustment_nv_fund",AH$3,$A993))</f>
        <v/>
      </c>
      <c r="AI993" s="13">
        <f>IF($A993="","",[1]!thsiFinD("ths_adjustment_nv_fund",AI$3,$A993))</f>
        <v/>
      </c>
      <c r="AJ993" s="13">
        <f>IF($A993="","",[1]!thsiFinD("ths_adjustment_nv_fund",AJ$3,$A993))</f>
        <v/>
      </c>
      <c r="AK993" s="13">
        <f>IF($A993="","",[1]!thsiFinD("ths_adjustment_nv_fund",AK$3,$A993))</f>
        <v/>
      </c>
      <c r="AL993" s="13">
        <f>IF($A993="","",[1]!thsiFinD("ths_adjustment_nv_fund",AL$3,$A993))</f>
        <v/>
      </c>
    </row>
    <row r="994" spans="2:28">
      <c r="B994" s="13" t="str">
        <f>IF($A994="","",[1]!thsiFinD("ths_adjustment_nv_fund",B$3,$A994))</f>
        <v/>
      </c>
      <c r="C994" s="13" t="str">
        <f>IF($A994="","",[1]!thsiFinD("ths_adjustment_nv_fund",C$3,$A994))</f>
        <v/>
      </c>
      <c r="D994" s="13" t="str">
        <f>IF($A994="","",[1]!thsiFinD("ths_adjustment_nv_fund",D$3,$A994))</f>
        <v/>
      </c>
      <c r="E994" s="13" t="str">
        <f>IF($A994="","",[1]!thsiFinD("ths_adjustment_nv_fund",E$3,$A994))</f>
        <v/>
      </c>
      <c r="F994" s="13" t="str">
        <f>IF($A994="","",[1]!thsiFinD("ths_adjustment_nv_fund",F$3,$A994))</f>
        <v/>
      </c>
      <c r="G994" s="13" t="str">
        <f>IF($A994="","",[1]!thsiFinD("ths_adjustment_nv_fund",G$3,$A994))</f>
        <v/>
      </c>
      <c r="H994" s="13" t="str">
        <f>IF($A994="","",[1]!thsiFinD("ths_adjustment_nv_fund",H$3,$A994))</f>
        <v/>
      </c>
      <c r="I994" s="13" t="str">
        <f>IF($A994="","",[1]!thsiFinD("ths_adjustment_nv_fund",I$3,$A994))</f>
        <v/>
      </c>
      <c r="J994" s="13" t="str">
        <f>IF($A994="","",[1]!thsiFinD("ths_adjustment_nv_fund",J$3,$A994))</f>
        <v/>
      </c>
      <c r="K994" s="13" t="str">
        <f>IF($A994="","",[1]!thsiFinD("ths_adjustment_nv_fund",K$3,$A994))</f>
        <v/>
      </c>
      <c r="L994" s="13" t="str">
        <f>IF($A994="","",[1]!thsiFinD("ths_adjustment_nv_fund",L$3,$A994))</f>
        <v/>
      </c>
      <c r="M994" s="13" t="str">
        <f>IF($A994="","",[1]!thsiFinD("ths_adjustment_nv_fund",M$3,$A994))</f>
        <v/>
      </c>
      <c r="N994" s="13" t="str">
        <f>IF($A994="","",[1]!thsiFinD("ths_adjustment_nv_fund",N$3,$A994))</f>
        <v/>
      </c>
      <c r="O994" s="13" t="str">
        <f>IF($A994="","",[1]!thsiFinD("ths_adjustment_nv_fund",O$3,$A994))</f>
        <v/>
      </c>
      <c r="P994" s="13" t="str">
        <f>IF($A994="","",[1]!thsiFinD("ths_adjustment_nv_fund",P$3,$A994))</f>
        <v/>
      </c>
      <c r="Q994" s="13" t="str">
        <f>IF($A994="","",[1]!thsiFinD("ths_adjustment_nv_fund",Q$3,$A994))</f>
        <v/>
      </c>
      <c r="R994" s="13" t="str">
        <f>IF($A994="","",[1]!thsiFinD("ths_adjustment_nv_fund",R$3,$A994))</f>
        <v/>
      </c>
      <c r="S994" s="13" t="str">
        <f>IF($A994="","",[1]!thsiFinD("ths_adjustment_nv_fund",S$3,$A994))</f>
        <v/>
      </c>
      <c r="T994" s="13" t="str">
        <f>IF($A994="","",[1]!thsiFinD("ths_adjustment_nv_fund",T$3,$A994))</f>
        <v/>
      </c>
      <c r="U994" s="13" t="str">
        <f>IF($A994="","",[1]!thsiFinD("ths_adjustment_nv_fund",U$3,$A994))</f>
        <v/>
      </c>
      <c r="V994" s="13" t="str">
        <f>IF($A994="","",[1]!thsiFinD("ths_adjustment_nv_fund",V$3,$A994))</f>
        <v/>
      </c>
      <c r="W994" s="13" t="str">
        <f>IF($A994="","",[1]!thsiFinD("ths_adjustment_nv_fund",W$3,$A994))</f>
        <v/>
      </c>
      <c r="X994" s="13" t="str">
        <f>IF($A994="","",[1]!thsiFinD("ths_adjustment_nv_fund",X$3,$A994))</f>
        <v/>
      </c>
      <c r="Y994" s="13" t="str">
        <f>IF($A994="","",[1]!thsiFinD("ths_adjustment_nv_fund",Y$3,$A994))</f>
        <v/>
      </c>
      <c r="Z994" s="13" t="str">
        <f>IF($A994="","",[1]!thsiFinD("ths_adjustment_nv_fund",Z$3,$A994))</f>
        <v/>
      </c>
      <c r="AA994" s="13" t="str">
        <f>IF($A994="","",[1]!thsiFinD("ths_adjustment_nv_fund",AA$3,$A994))</f>
        <v/>
      </c>
      <c r="AB994" s="13">
        <f>IF($A994="","",[1]!thsiFinD("ths_adjustment_nv_fund",AB$3,$A994))</f>
        <v/>
      </c>
      <c r="AC994" s="13">
        <f>IF($A994="","",[1]!thsiFinD("ths_adjustment_nv_fund",AC$3,$A994))</f>
        <v/>
      </c>
      <c r="AD994" s="13">
        <f>IF($A994="","",[1]!thsiFinD("ths_adjustment_nv_fund",AD$3,$A994))</f>
        <v/>
      </c>
      <c r="AE994" s="13">
        <f>IF($A994="","",[1]!thsiFinD("ths_adjustment_nv_fund",AE$3,$A994))</f>
        <v/>
      </c>
      <c r="AF994" s="13">
        <f>IF($A994="","",[1]!thsiFinD("ths_adjustment_nv_fund",AF$3,$A994))</f>
        <v/>
      </c>
      <c r="AG994" s="13">
        <f>IF($A994="","",[1]!thsiFinD("ths_adjustment_nv_fund",AG$3,$A994))</f>
        <v/>
      </c>
      <c r="AH994" s="13">
        <f>IF($A994="","",[1]!thsiFinD("ths_adjustment_nv_fund",AH$3,$A994))</f>
        <v/>
      </c>
      <c r="AI994" s="13">
        <f>IF($A994="","",[1]!thsiFinD("ths_adjustment_nv_fund",AI$3,$A994))</f>
        <v/>
      </c>
      <c r="AJ994" s="13">
        <f>IF($A994="","",[1]!thsiFinD("ths_adjustment_nv_fund",AJ$3,$A994))</f>
        <v/>
      </c>
      <c r="AK994" s="13">
        <f>IF($A994="","",[1]!thsiFinD("ths_adjustment_nv_fund",AK$3,$A994))</f>
        <v/>
      </c>
      <c r="AL994" s="13">
        <f>IF($A994="","",[1]!thsiFinD("ths_adjustment_nv_fund",AL$3,$A994))</f>
        <v/>
      </c>
    </row>
    <row r="995" spans="2:28">
      <c r="B995" s="13" t="str">
        <f>IF($A995="","",[1]!thsiFinD("ths_adjustment_nv_fund",B$3,$A995))</f>
        <v/>
      </c>
      <c r="C995" s="13" t="str">
        <f>IF($A995="","",[1]!thsiFinD("ths_adjustment_nv_fund",C$3,$A995))</f>
        <v/>
      </c>
      <c r="D995" s="13" t="str">
        <f>IF($A995="","",[1]!thsiFinD("ths_adjustment_nv_fund",D$3,$A995))</f>
        <v/>
      </c>
      <c r="E995" s="13" t="str">
        <f>IF($A995="","",[1]!thsiFinD("ths_adjustment_nv_fund",E$3,$A995))</f>
        <v/>
      </c>
      <c r="F995" s="13" t="str">
        <f>IF($A995="","",[1]!thsiFinD("ths_adjustment_nv_fund",F$3,$A995))</f>
        <v/>
      </c>
      <c r="G995" s="13" t="str">
        <f>IF($A995="","",[1]!thsiFinD("ths_adjustment_nv_fund",G$3,$A995))</f>
        <v/>
      </c>
      <c r="H995" s="13" t="str">
        <f>IF($A995="","",[1]!thsiFinD("ths_adjustment_nv_fund",H$3,$A995))</f>
        <v/>
      </c>
      <c r="I995" s="13" t="str">
        <f>IF($A995="","",[1]!thsiFinD("ths_adjustment_nv_fund",I$3,$A995))</f>
        <v/>
      </c>
      <c r="J995" s="13" t="str">
        <f>IF($A995="","",[1]!thsiFinD("ths_adjustment_nv_fund",J$3,$A995))</f>
        <v/>
      </c>
      <c r="K995" s="13" t="str">
        <f>IF($A995="","",[1]!thsiFinD("ths_adjustment_nv_fund",K$3,$A995))</f>
        <v/>
      </c>
      <c r="L995" s="13" t="str">
        <f>IF($A995="","",[1]!thsiFinD("ths_adjustment_nv_fund",L$3,$A995))</f>
        <v/>
      </c>
      <c r="M995" s="13" t="str">
        <f>IF($A995="","",[1]!thsiFinD("ths_adjustment_nv_fund",M$3,$A995))</f>
        <v/>
      </c>
      <c r="N995" s="13" t="str">
        <f>IF($A995="","",[1]!thsiFinD("ths_adjustment_nv_fund",N$3,$A995))</f>
        <v/>
      </c>
      <c r="O995" s="13" t="str">
        <f>IF($A995="","",[1]!thsiFinD("ths_adjustment_nv_fund",O$3,$A995))</f>
        <v/>
      </c>
      <c r="P995" s="13" t="str">
        <f>IF($A995="","",[1]!thsiFinD("ths_adjustment_nv_fund",P$3,$A995))</f>
        <v/>
      </c>
      <c r="Q995" s="13" t="str">
        <f>IF($A995="","",[1]!thsiFinD("ths_adjustment_nv_fund",Q$3,$A995))</f>
        <v/>
      </c>
      <c r="R995" s="13" t="str">
        <f>IF($A995="","",[1]!thsiFinD("ths_adjustment_nv_fund",R$3,$A995))</f>
        <v/>
      </c>
      <c r="S995" s="13" t="str">
        <f>IF($A995="","",[1]!thsiFinD("ths_adjustment_nv_fund",S$3,$A995))</f>
        <v/>
      </c>
      <c r="T995" s="13" t="str">
        <f>IF($A995="","",[1]!thsiFinD("ths_adjustment_nv_fund",T$3,$A995))</f>
        <v/>
      </c>
      <c r="U995" s="13" t="str">
        <f>IF($A995="","",[1]!thsiFinD("ths_adjustment_nv_fund",U$3,$A995))</f>
        <v/>
      </c>
      <c r="V995" s="13" t="str">
        <f>IF($A995="","",[1]!thsiFinD("ths_adjustment_nv_fund",V$3,$A995))</f>
        <v/>
      </c>
      <c r="W995" s="13" t="str">
        <f>IF($A995="","",[1]!thsiFinD("ths_adjustment_nv_fund",W$3,$A995))</f>
        <v/>
      </c>
      <c r="X995" s="13" t="str">
        <f>IF($A995="","",[1]!thsiFinD("ths_adjustment_nv_fund",X$3,$A995))</f>
        <v/>
      </c>
      <c r="Y995" s="13" t="str">
        <f>IF($A995="","",[1]!thsiFinD("ths_adjustment_nv_fund",Y$3,$A995))</f>
        <v/>
      </c>
      <c r="Z995" s="13" t="str">
        <f>IF($A995="","",[1]!thsiFinD("ths_adjustment_nv_fund",Z$3,$A995))</f>
        <v/>
      </c>
      <c r="AA995" s="13" t="str">
        <f>IF($A995="","",[1]!thsiFinD("ths_adjustment_nv_fund",AA$3,$A995))</f>
        <v/>
      </c>
      <c r="AB995" s="13">
        <f>IF($A995="","",[1]!thsiFinD("ths_adjustment_nv_fund",AB$3,$A995))</f>
        <v/>
      </c>
      <c r="AC995" s="13">
        <f>IF($A995="","",[1]!thsiFinD("ths_adjustment_nv_fund",AC$3,$A995))</f>
        <v/>
      </c>
      <c r="AD995" s="13">
        <f>IF($A995="","",[1]!thsiFinD("ths_adjustment_nv_fund",AD$3,$A995))</f>
        <v/>
      </c>
      <c r="AE995" s="13">
        <f>IF($A995="","",[1]!thsiFinD("ths_adjustment_nv_fund",AE$3,$A995))</f>
        <v/>
      </c>
      <c r="AF995" s="13">
        <f>IF($A995="","",[1]!thsiFinD("ths_adjustment_nv_fund",AF$3,$A995))</f>
        <v/>
      </c>
      <c r="AG995" s="13">
        <f>IF($A995="","",[1]!thsiFinD("ths_adjustment_nv_fund",AG$3,$A995))</f>
        <v/>
      </c>
      <c r="AH995" s="13">
        <f>IF($A995="","",[1]!thsiFinD("ths_adjustment_nv_fund",AH$3,$A995))</f>
        <v/>
      </c>
      <c r="AI995" s="13">
        <f>IF($A995="","",[1]!thsiFinD("ths_adjustment_nv_fund",AI$3,$A995))</f>
        <v/>
      </c>
      <c r="AJ995" s="13">
        <f>IF($A995="","",[1]!thsiFinD("ths_adjustment_nv_fund",AJ$3,$A995))</f>
        <v/>
      </c>
      <c r="AK995" s="13">
        <f>IF($A995="","",[1]!thsiFinD("ths_adjustment_nv_fund",AK$3,$A995))</f>
        <v/>
      </c>
      <c r="AL995" s="13">
        <f>IF($A995="","",[1]!thsiFinD("ths_adjustment_nv_fund",AL$3,$A995))</f>
        <v/>
      </c>
    </row>
    <row r="996" spans="2:28">
      <c r="B996" s="13" t="str">
        <f>IF($A996="","",[1]!thsiFinD("ths_adjustment_nv_fund",B$3,$A996))</f>
        <v/>
      </c>
      <c r="C996" s="13" t="str">
        <f>IF($A996="","",[1]!thsiFinD("ths_adjustment_nv_fund",C$3,$A996))</f>
        <v/>
      </c>
      <c r="D996" s="13" t="str">
        <f>IF($A996="","",[1]!thsiFinD("ths_adjustment_nv_fund",D$3,$A996))</f>
        <v/>
      </c>
      <c r="E996" s="13" t="str">
        <f>IF($A996="","",[1]!thsiFinD("ths_adjustment_nv_fund",E$3,$A996))</f>
        <v/>
      </c>
      <c r="F996" s="13" t="str">
        <f>IF($A996="","",[1]!thsiFinD("ths_adjustment_nv_fund",F$3,$A996))</f>
        <v/>
      </c>
      <c r="G996" s="13" t="str">
        <f>IF($A996="","",[1]!thsiFinD("ths_adjustment_nv_fund",G$3,$A996))</f>
        <v/>
      </c>
      <c r="H996" s="13" t="str">
        <f>IF($A996="","",[1]!thsiFinD("ths_adjustment_nv_fund",H$3,$A996))</f>
        <v/>
      </c>
      <c r="I996" s="13" t="str">
        <f>IF($A996="","",[1]!thsiFinD("ths_adjustment_nv_fund",I$3,$A996))</f>
        <v/>
      </c>
      <c r="J996" s="13" t="str">
        <f>IF($A996="","",[1]!thsiFinD("ths_adjustment_nv_fund",J$3,$A996))</f>
        <v/>
      </c>
      <c r="K996" s="13" t="str">
        <f>IF($A996="","",[1]!thsiFinD("ths_adjustment_nv_fund",K$3,$A996))</f>
        <v/>
      </c>
      <c r="L996" s="13" t="str">
        <f>IF($A996="","",[1]!thsiFinD("ths_adjustment_nv_fund",L$3,$A996))</f>
        <v/>
      </c>
      <c r="M996" s="13" t="str">
        <f>IF($A996="","",[1]!thsiFinD("ths_adjustment_nv_fund",M$3,$A996))</f>
        <v/>
      </c>
      <c r="N996" s="13" t="str">
        <f>IF($A996="","",[1]!thsiFinD("ths_adjustment_nv_fund",N$3,$A996))</f>
        <v/>
      </c>
      <c r="O996" s="13" t="str">
        <f>IF($A996="","",[1]!thsiFinD("ths_adjustment_nv_fund",O$3,$A996))</f>
        <v/>
      </c>
      <c r="P996" s="13" t="str">
        <f>IF($A996="","",[1]!thsiFinD("ths_adjustment_nv_fund",P$3,$A996))</f>
        <v/>
      </c>
      <c r="Q996" s="13" t="str">
        <f>IF($A996="","",[1]!thsiFinD("ths_adjustment_nv_fund",Q$3,$A996))</f>
        <v/>
      </c>
      <c r="R996" s="13" t="str">
        <f>IF($A996="","",[1]!thsiFinD("ths_adjustment_nv_fund",R$3,$A996))</f>
        <v/>
      </c>
      <c r="S996" s="13" t="str">
        <f>IF($A996="","",[1]!thsiFinD("ths_adjustment_nv_fund",S$3,$A996))</f>
        <v/>
      </c>
      <c r="T996" s="13" t="str">
        <f>IF($A996="","",[1]!thsiFinD("ths_adjustment_nv_fund",T$3,$A996))</f>
        <v/>
      </c>
      <c r="U996" s="13" t="str">
        <f>IF($A996="","",[1]!thsiFinD("ths_adjustment_nv_fund",U$3,$A996))</f>
        <v/>
      </c>
      <c r="V996" s="13" t="str">
        <f>IF($A996="","",[1]!thsiFinD("ths_adjustment_nv_fund",V$3,$A996))</f>
        <v/>
      </c>
      <c r="W996" s="13" t="str">
        <f>IF($A996="","",[1]!thsiFinD("ths_adjustment_nv_fund",W$3,$A996))</f>
        <v/>
      </c>
      <c r="X996" s="13" t="str">
        <f>IF($A996="","",[1]!thsiFinD("ths_adjustment_nv_fund",X$3,$A996))</f>
        <v/>
      </c>
      <c r="Y996" s="13" t="str">
        <f>IF($A996="","",[1]!thsiFinD("ths_adjustment_nv_fund",Y$3,$A996))</f>
        <v/>
      </c>
      <c r="Z996" s="13" t="str">
        <f>IF($A996="","",[1]!thsiFinD("ths_adjustment_nv_fund",Z$3,$A996))</f>
        <v/>
      </c>
      <c r="AA996" s="13" t="str">
        <f>IF($A996="","",[1]!thsiFinD("ths_adjustment_nv_fund",AA$3,$A996))</f>
        <v/>
      </c>
      <c r="AB996" s="13">
        <f>IF($A996="","",[1]!thsiFinD("ths_adjustment_nv_fund",AB$3,$A996))</f>
        <v/>
      </c>
      <c r="AC996" s="13">
        <f>IF($A996="","",[1]!thsiFinD("ths_adjustment_nv_fund",AC$3,$A996))</f>
        <v/>
      </c>
      <c r="AD996" s="13">
        <f>IF($A996="","",[1]!thsiFinD("ths_adjustment_nv_fund",AD$3,$A996))</f>
        <v/>
      </c>
      <c r="AE996" s="13">
        <f>IF($A996="","",[1]!thsiFinD("ths_adjustment_nv_fund",AE$3,$A996))</f>
        <v/>
      </c>
      <c r="AF996" s="13">
        <f>IF($A996="","",[1]!thsiFinD("ths_adjustment_nv_fund",AF$3,$A996))</f>
        <v/>
      </c>
      <c r="AG996" s="13">
        <f>IF($A996="","",[1]!thsiFinD("ths_adjustment_nv_fund",AG$3,$A996))</f>
        <v/>
      </c>
      <c r="AH996" s="13">
        <f>IF($A996="","",[1]!thsiFinD("ths_adjustment_nv_fund",AH$3,$A996))</f>
        <v/>
      </c>
      <c r="AI996" s="13">
        <f>IF($A996="","",[1]!thsiFinD("ths_adjustment_nv_fund",AI$3,$A996))</f>
        <v/>
      </c>
      <c r="AJ996" s="13">
        <f>IF($A996="","",[1]!thsiFinD("ths_adjustment_nv_fund",AJ$3,$A996))</f>
        <v/>
      </c>
      <c r="AK996" s="13">
        <f>IF($A996="","",[1]!thsiFinD("ths_adjustment_nv_fund",AK$3,$A996))</f>
        <v/>
      </c>
      <c r="AL996" s="13">
        <f>IF($A996="","",[1]!thsiFinD("ths_adjustment_nv_fund",AL$3,$A996))</f>
        <v/>
      </c>
    </row>
    <row r="997" spans="2:28">
      <c r="B997" s="13" t="str">
        <f>IF($A997="","",[1]!thsiFinD("ths_adjustment_nv_fund",B$3,$A997))</f>
        <v/>
      </c>
      <c r="C997" s="13" t="str">
        <f>IF($A997="","",[1]!thsiFinD("ths_adjustment_nv_fund",C$3,$A997))</f>
        <v/>
      </c>
      <c r="D997" s="13" t="str">
        <f>IF($A997="","",[1]!thsiFinD("ths_adjustment_nv_fund",D$3,$A997))</f>
        <v/>
      </c>
      <c r="E997" s="13" t="str">
        <f>IF($A997="","",[1]!thsiFinD("ths_adjustment_nv_fund",E$3,$A997))</f>
        <v/>
      </c>
      <c r="F997" s="13" t="str">
        <f>IF($A997="","",[1]!thsiFinD("ths_adjustment_nv_fund",F$3,$A997))</f>
        <v/>
      </c>
      <c r="G997" s="13" t="str">
        <f>IF($A997="","",[1]!thsiFinD("ths_adjustment_nv_fund",G$3,$A997))</f>
        <v/>
      </c>
      <c r="H997" s="13" t="str">
        <f>IF($A997="","",[1]!thsiFinD("ths_adjustment_nv_fund",H$3,$A997))</f>
        <v/>
      </c>
      <c r="I997" s="13" t="str">
        <f>IF($A997="","",[1]!thsiFinD("ths_adjustment_nv_fund",I$3,$A997))</f>
        <v/>
      </c>
      <c r="J997" s="13" t="str">
        <f>IF($A997="","",[1]!thsiFinD("ths_adjustment_nv_fund",J$3,$A997))</f>
        <v/>
      </c>
      <c r="K997" s="13" t="str">
        <f>IF($A997="","",[1]!thsiFinD("ths_adjustment_nv_fund",K$3,$A997))</f>
        <v/>
      </c>
      <c r="L997" s="13" t="str">
        <f>IF($A997="","",[1]!thsiFinD("ths_adjustment_nv_fund",L$3,$A997))</f>
        <v/>
      </c>
      <c r="M997" s="13" t="str">
        <f>IF($A997="","",[1]!thsiFinD("ths_adjustment_nv_fund",M$3,$A997))</f>
        <v/>
      </c>
      <c r="N997" s="13" t="str">
        <f>IF($A997="","",[1]!thsiFinD("ths_adjustment_nv_fund",N$3,$A997))</f>
        <v/>
      </c>
      <c r="O997" s="13" t="str">
        <f>IF($A997="","",[1]!thsiFinD("ths_adjustment_nv_fund",O$3,$A997))</f>
        <v/>
      </c>
      <c r="P997" s="13" t="str">
        <f>IF($A997="","",[1]!thsiFinD("ths_adjustment_nv_fund",P$3,$A997))</f>
        <v/>
      </c>
      <c r="Q997" s="13" t="str">
        <f>IF($A997="","",[1]!thsiFinD("ths_adjustment_nv_fund",Q$3,$A997))</f>
        <v/>
      </c>
      <c r="R997" s="13" t="str">
        <f>IF($A997="","",[1]!thsiFinD("ths_adjustment_nv_fund",R$3,$A997))</f>
        <v/>
      </c>
      <c r="S997" s="13" t="str">
        <f>IF($A997="","",[1]!thsiFinD("ths_adjustment_nv_fund",S$3,$A997))</f>
        <v/>
      </c>
      <c r="T997" s="13" t="str">
        <f>IF($A997="","",[1]!thsiFinD("ths_adjustment_nv_fund",T$3,$A997))</f>
        <v/>
      </c>
      <c r="U997" s="13" t="str">
        <f>IF($A997="","",[1]!thsiFinD("ths_adjustment_nv_fund",U$3,$A997))</f>
        <v/>
      </c>
      <c r="V997" s="13" t="str">
        <f>IF($A997="","",[1]!thsiFinD("ths_adjustment_nv_fund",V$3,$A997))</f>
        <v/>
      </c>
      <c r="W997" s="13" t="str">
        <f>IF($A997="","",[1]!thsiFinD("ths_adjustment_nv_fund",W$3,$A997))</f>
        <v/>
      </c>
      <c r="X997" s="13" t="str">
        <f>IF($A997="","",[1]!thsiFinD("ths_adjustment_nv_fund",X$3,$A997))</f>
        <v/>
      </c>
      <c r="Y997" s="13" t="str">
        <f>IF($A997="","",[1]!thsiFinD("ths_adjustment_nv_fund",Y$3,$A997))</f>
        <v/>
      </c>
      <c r="Z997" s="13" t="str">
        <f>IF($A997="","",[1]!thsiFinD("ths_adjustment_nv_fund",Z$3,$A997))</f>
        <v/>
      </c>
      <c r="AA997" s="13" t="str">
        <f>IF($A997="","",[1]!thsiFinD("ths_adjustment_nv_fund",AA$3,$A997))</f>
        <v/>
      </c>
      <c r="AB997" s="13">
        <f>IF($A997="","",[1]!thsiFinD("ths_adjustment_nv_fund",AB$3,$A997))</f>
        <v/>
      </c>
      <c r="AC997" s="13">
        <f>IF($A997="","",[1]!thsiFinD("ths_adjustment_nv_fund",AC$3,$A997))</f>
        <v/>
      </c>
      <c r="AD997" s="13">
        <f>IF($A997="","",[1]!thsiFinD("ths_adjustment_nv_fund",AD$3,$A997))</f>
        <v/>
      </c>
      <c r="AE997" s="13">
        <f>IF($A997="","",[1]!thsiFinD("ths_adjustment_nv_fund",AE$3,$A997))</f>
        <v/>
      </c>
      <c r="AF997" s="13">
        <f>IF($A997="","",[1]!thsiFinD("ths_adjustment_nv_fund",AF$3,$A997))</f>
        <v/>
      </c>
      <c r="AG997" s="13">
        <f>IF($A997="","",[1]!thsiFinD("ths_adjustment_nv_fund",AG$3,$A997))</f>
        <v/>
      </c>
      <c r="AH997" s="13">
        <f>IF($A997="","",[1]!thsiFinD("ths_adjustment_nv_fund",AH$3,$A997))</f>
        <v/>
      </c>
      <c r="AI997" s="13">
        <f>IF($A997="","",[1]!thsiFinD("ths_adjustment_nv_fund",AI$3,$A997))</f>
        <v/>
      </c>
      <c r="AJ997" s="13">
        <f>IF($A997="","",[1]!thsiFinD("ths_adjustment_nv_fund",AJ$3,$A997))</f>
        <v/>
      </c>
      <c r="AK997" s="13">
        <f>IF($A997="","",[1]!thsiFinD("ths_adjustment_nv_fund",AK$3,$A997))</f>
        <v/>
      </c>
      <c r="AL997" s="13">
        <f>IF($A997="","",[1]!thsiFinD("ths_adjustment_nv_fund",AL$3,$A997))</f>
        <v/>
      </c>
    </row>
    <row r="998" spans="2:28">
      <c r="B998" s="13" t="str">
        <f>IF($A998="","",[1]!thsiFinD("ths_adjustment_nv_fund",B$3,$A998))</f>
        <v/>
      </c>
      <c r="C998" s="13" t="str">
        <f>IF($A998="","",[1]!thsiFinD("ths_adjustment_nv_fund",C$3,$A998))</f>
        <v/>
      </c>
      <c r="D998" s="13" t="str">
        <f>IF($A998="","",[1]!thsiFinD("ths_adjustment_nv_fund",D$3,$A998))</f>
        <v/>
      </c>
      <c r="E998" s="13" t="str">
        <f>IF($A998="","",[1]!thsiFinD("ths_adjustment_nv_fund",E$3,$A998))</f>
        <v/>
      </c>
      <c r="F998" s="13" t="str">
        <f>IF($A998="","",[1]!thsiFinD("ths_adjustment_nv_fund",F$3,$A998))</f>
        <v/>
      </c>
      <c r="G998" s="13" t="str">
        <f>IF($A998="","",[1]!thsiFinD("ths_adjustment_nv_fund",G$3,$A998))</f>
        <v/>
      </c>
      <c r="H998" s="13" t="str">
        <f>IF($A998="","",[1]!thsiFinD("ths_adjustment_nv_fund",H$3,$A998))</f>
        <v/>
      </c>
      <c r="I998" s="13" t="str">
        <f>IF($A998="","",[1]!thsiFinD("ths_adjustment_nv_fund",I$3,$A998))</f>
        <v/>
      </c>
      <c r="J998" s="13" t="str">
        <f>IF($A998="","",[1]!thsiFinD("ths_adjustment_nv_fund",J$3,$A998))</f>
        <v/>
      </c>
      <c r="K998" s="13" t="str">
        <f>IF($A998="","",[1]!thsiFinD("ths_adjustment_nv_fund",K$3,$A998))</f>
        <v/>
      </c>
      <c r="L998" s="13" t="str">
        <f>IF($A998="","",[1]!thsiFinD("ths_adjustment_nv_fund",L$3,$A998))</f>
        <v/>
      </c>
      <c r="M998" s="13" t="str">
        <f>IF($A998="","",[1]!thsiFinD("ths_adjustment_nv_fund",M$3,$A998))</f>
        <v/>
      </c>
      <c r="N998" s="13" t="str">
        <f>IF($A998="","",[1]!thsiFinD("ths_adjustment_nv_fund",N$3,$A998))</f>
        <v/>
      </c>
      <c r="O998" s="13" t="str">
        <f>IF($A998="","",[1]!thsiFinD("ths_adjustment_nv_fund",O$3,$A998))</f>
        <v/>
      </c>
      <c r="P998" s="13" t="str">
        <f>IF($A998="","",[1]!thsiFinD("ths_adjustment_nv_fund",P$3,$A998))</f>
        <v/>
      </c>
      <c r="Q998" s="13" t="str">
        <f>IF($A998="","",[1]!thsiFinD("ths_adjustment_nv_fund",Q$3,$A998))</f>
        <v/>
      </c>
      <c r="R998" s="13" t="str">
        <f>IF($A998="","",[1]!thsiFinD("ths_adjustment_nv_fund",R$3,$A998))</f>
        <v/>
      </c>
      <c r="S998" s="13" t="str">
        <f>IF($A998="","",[1]!thsiFinD("ths_adjustment_nv_fund",S$3,$A998))</f>
        <v/>
      </c>
      <c r="T998" s="13" t="str">
        <f>IF($A998="","",[1]!thsiFinD("ths_adjustment_nv_fund",T$3,$A998))</f>
        <v/>
      </c>
      <c r="U998" s="13" t="str">
        <f>IF($A998="","",[1]!thsiFinD("ths_adjustment_nv_fund",U$3,$A998))</f>
        <v/>
      </c>
      <c r="V998" s="13" t="str">
        <f>IF($A998="","",[1]!thsiFinD("ths_adjustment_nv_fund",V$3,$A998))</f>
        <v/>
      </c>
      <c r="W998" s="13" t="str">
        <f>IF($A998="","",[1]!thsiFinD("ths_adjustment_nv_fund",W$3,$A998))</f>
        <v/>
      </c>
      <c r="X998" s="13" t="str">
        <f>IF($A998="","",[1]!thsiFinD("ths_adjustment_nv_fund",X$3,$A998))</f>
        <v/>
      </c>
      <c r="Y998" s="13" t="str">
        <f>IF($A998="","",[1]!thsiFinD("ths_adjustment_nv_fund",Y$3,$A998))</f>
        <v/>
      </c>
      <c r="Z998" s="13" t="str">
        <f>IF($A998="","",[1]!thsiFinD("ths_adjustment_nv_fund",Z$3,$A998))</f>
        <v/>
      </c>
      <c r="AA998" s="13" t="str">
        <f>IF($A998="","",[1]!thsiFinD("ths_adjustment_nv_fund",AA$3,$A998))</f>
        <v/>
      </c>
      <c r="AB998" s="13">
        <f>IF($A998="","",[1]!thsiFinD("ths_adjustment_nv_fund",AB$3,$A998))</f>
        <v/>
      </c>
      <c r="AC998" s="13">
        <f>IF($A998="","",[1]!thsiFinD("ths_adjustment_nv_fund",AC$3,$A998))</f>
        <v/>
      </c>
      <c r="AD998" s="13">
        <f>IF($A998="","",[1]!thsiFinD("ths_adjustment_nv_fund",AD$3,$A998))</f>
        <v/>
      </c>
      <c r="AE998" s="13">
        <f>IF($A998="","",[1]!thsiFinD("ths_adjustment_nv_fund",AE$3,$A998))</f>
        <v/>
      </c>
      <c r="AF998" s="13">
        <f>IF($A998="","",[1]!thsiFinD("ths_adjustment_nv_fund",AF$3,$A998))</f>
        <v/>
      </c>
      <c r="AG998" s="13">
        <f>IF($A998="","",[1]!thsiFinD("ths_adjustment_nv_fund",AG$3,$A998))</f>
        <v/>
      </c>
      <c r="AH998" s="13">
        <f>IF($A998="","",[1]!thsiFinD("ths_adjustment_nv_fund",AH$3,$A998))</f>
        <v/>
      </c>
      <c r="AI998" s="13">
        <f>IF($A998="","",[1]!thsiFinD("ths_adjustment_nv_fund",AI$3,$A998))</f>
        <v/>
      </c>
      <c r="AJ998" s="13">
        <f>IF($A998="","",[1]!thsiFinD("ths_adjustment_nv_fund",AJ$3,$A998))</f>
        <v/>
      </c>
      <c r="AK998" s="13">
        <f>IF($A998="","",[1]!thsiFinD("ths_adjustment_nv_fund",AK$3,$A998))</f>
        <v/>
      </c>
      <c r="AL998" s="13">
        <f>IF($A998="","",[1]!thsiFinD("ths_adjustment_nv_fund",AL$3,$A998))</f>
        <v/>
      </c>
    </row>
    <row r="999" spans="2:28">
      <c r="B999" s="13" t="str">
        <f>IF($A999="","",[1]!thsiFinD("ths_adjustment_nv_fund",B$3,$A999))</f>
        <v/>
      </c>
      <c r="C999" s="13" t="str">
        <f>IF($A999="","",[1]!thsiFinD("ths_adjustment_nv_fund",C$3,$A999))</f>
        <v/>
      </c>
      <c r="D999" s="13" t="str">
        <f>IF($A999="","",[1]!thsiFinD("ths_adjustment_nv_fund",D$3,$A999))</f>
        <v/>
      </c>
      <c r="E999" s="13" t="str">
        <f>IF($A999="","",[1]!thsiFinD("ths_adjustment_nv_fund",E$3,$A999))</f>
        <v/>
      </c>
      <c r="F999" s="13" t="str">
        <f>IF($A999="","",[1]!thsiFinD("ths_adjustment_nv_fund",F$3,$A999))</f>
        <v/>
      </c>
      <c r="G999" s="13" t="str">
        <f>IF($A999="","",[1]!thsiFinD("ths_adjustment_nv_fund",G$3,$A999))</f>
        <v/>
      </c>
      <c r="H999" s="13" t="str">
        <f>IF($A999="","",[1]!thsiFinD("ths_adjustment_nv_fund",H$3,$A999))</f>
        <v/>
      </c>
      <c r="I999" s="13" t="str">
        <f>IF($A999="","",[1]!thsiFinD("ths_adjustment_nv_fund",I$3,$A999))</f>
        <v/>
      </c>
      <c r="J999" s="13" t="str">
        <f>IF($A999="","",[1]!thsiFinD("ths_adjustment_nv_fund",J$3,$A999))</f>
        <v/>
      </c>
      <c r="K999" s="13" t="str">
        <f>IF($A999="","",[1]!thsiFinD("ths_adjustment_nv_fund",K$3,$A999))</f>
        <v/>
      </c>
      <c r="L999" s="13" t="str">
        <f>IF($A999="","",[1]!thsiFinD("ths_adjustment_nv_fund",L$3,$A999))</f>
        <v/>
      </c>
      <c r="M999" s="13" t="str">
        <f>IF($A999="","",[1]!thsiFinD("ths_adjustment_nv_fund",M$3,$A999))</f>
        <v/>
      </c>
      <c r="N999" s="13" t="str">
        <f>IF($A999="","",[1]!thsiFinD("ths_adjustment_nv_fund",N$3,$A999))</f>
        <v/>
      </c>
      <c r="O999" s="13" t="str">
        <f>IF($A999="","",[1]!thsiFinD("ths_adjustment_nv_fund",O$3,$A999))</f>
        <v/>
      </c>
      <c r="P999" s="13" t="str">
        <f>IF($A999="","",[1]!thsiFinD("ths_adjustment_nv_fund",P$3,$A999))</f>
        <v/>
      </c>
      <c r="Q999" s="13" t="str">
        <f>IF($A999="","",[1]!thsiFinD("ths_adjustment_nv_fund",Q$3,$A999))</f>
        <v/>
      </c>
      <c r="R999" s="13" t="str">
        <f>IF($A999="","",[1]!thsiFinD("ths_adjustment_nv_fund",R$3,$A999))</f>
        <v/>
      </c>
      <c r="S999" s="13" t="str">
        <f>IF($A999="","",[1]!thsiFinD("ths_adjustment_nv_fund",S$3,$A999))</f>
        <v/>
      </c>
      <c r="T999" s="13" t="str">
        <f>IF($A999="","",[1]!thsiFinD("ths_adjustment_nv_fund",T$3,$A999))</f>
        <v/>
      </c>
      <c r="U999" s="13" t="str">
        <f>IF($A999="","",[1]!thsiFinD("ths_adjustment_nv_fund",U$3,$A999))</f>
        <v/>
      </c>
      <c r="V999" s="13" t="str">
        <f>IF($A999="","",[1]!thsiFinD("ths_adjustment_nv_fund",V$3,$A999))</f>
        <v/>
      </c>
      <c r="W999" s="13" t="str">
        <f>IF($A999="","",[1]!thsiFinD("ths_adjustment_nv_fund",W$3,$A999))</f>
        <v/>
      </c>
      <c r="X999" s="13" t="str">
        <f>IF($A999="","",[1]!thsiFinD("ths_adjustment_nv_fund",X$3,$A999))</f>
        <v/>
      </c>
      <c r="Y999" s="13" t="str">
        <f>IF($A999="","",[1]!thsiFinD("ths_adjustment_nv_fund",Y$3,$A999))</f>
        <v/>
      </c>
      <c r="Z999" s="13" t="str">
        <f>IF($A999="","",[1]!thsiFinD("ths_adjustment_nv_fund",Z$3,$A999))</f>
        <v/>
      </c>
      <c r="AA999" s="13" t="str">
        <f>IF($A999="","",[1]!thsiFinD("ths_adjustment_nv_fund",AA$3,$A999))</f>
        <v/>
      </c>
      <c r="AB999" s="13">
        <f>IF($A999="","",[1]!thsiFinD("ths_adjustment_nv_fund",AB$3,$A999))</f>
        <v/>
      </c>
      <c r="AC999" s="13">
        <f>IF($A999="","",[1]!thsiFinD("ths_adjustment_nv_fund",AC$3,$A999))</f>
        <v/>
      </c>
      <c r="AD999" s="13">
        <f>IF($A999="","",[1]!thsiFinD("ths_adjustment_nv_fund",AD$3,$A999))</f>
        <v/>
      </c>
      <c r="AE999" s="13">
        <f>IF($A999="","",[1]!thsiFinD("ths_adjustment_nv_fund",AE$3,$A999))</f>
        <v/>
      </c>
      <c r="AF999" s="13">
        <f>IF($A999="","",[1]!thsiFinD("ths_adjustment_nv_fund",AF$3,$A999))</f>
        <v/>
      </c>
      <c r="AG999" s="13">
        <f>IF($A999="","",[1]!thsiFinD("ths_adjustment_nv_fund",AG$3,$A999))</f>
        <v/>
      </c>
      <c r="AH999" s="13">
        <f>IF($A999="","",[1]!thsiFinD("ths_adjustment_nv_fund",AH$3,$A999))</f>
        <v/>
      </c>
      <c r="AI999" s="13">
        <f>IF($A999="","",[1]!thsiFinD("ths_adjustment_nv_fund",AI$3,$A999))</f>
        <v/>
      </c>
      <c r="AJ999" s="13">
        <f>IF($A999="","",[1]!thsiFinD("ths_adjustment_nv_fund",AJ$3,$A999))</f>
        <v/>
      </c>
      <c r="AK999" s="13">
        <f>IF($A999="","",[1]!thsiFinD("ths_adjustment_nv_fund",AK$3,$A999))</f>
        <v/>
      </c>
      <c r="AL999" s="13">
        <f>IF($A999="","",[1]!thsiFinD("ths_adjustment_nv_fund",AL$3,$A999))</f>
        <v/>
      </c>
    </row>
    <row r="1000" spans="2:28">
      <c r="B1000" s="13" t="str">
        <f>IF($A1000="","",[1]!thsiFinD("ths_adjustment_nv_fund",B$3,$A1000))</f>
        <v/>
      </c>
      <c r="C1000" s="13" t="str">
        <f>IF($A1000="","",[1]!thsiFinD("ths_adjustment_nv_fund",C$3,$A1000))</f>
        <v/>
      </c>
      <c r="D1000" s="13" t="str">
        <f>IF($A1000="","",[1]!thsiFinD("ths_adjustment_nv_fund",D$3,$A1000))</f>
        <v/>
      </c>
      <c r="E1000" s="13" t="str">
        <f>IF($A1000="","",[1]!thsiFinD("ths_adjustment_nv_fund",E$3,$A1000))</f>
        <v/>
      </c>
      <c r="F1000" s="13" t="str">
        <f>IF($A1000="","",[1]!thsiFinD("ths_adjustment_nv_fund",F$3,$A1000))</f>
        <v/>
      </c>
      <c r="G1000" s="13" t="str">
        <f>IF($A1000="","",[1]!thsiFinD("ths_adjustment_nv_fund",G$3,$A1000))</f>
        <v/>
      </c>
      <c r="H1000" s="13" t="str">
        <f>IF($A1000="","",[1]!thsiFinD("ths_adjustment_nv_fund",H$3,$A1000))</f>
        <v/>
      </c>
      <c r="I1000" s="13" t="str">
        <f>IF($A1000="","",[1]!thsiFinD("ths_adjustment_nv_fund",I$3,$A1000))</f>
        <v/>
      </c>
      <c r="J1000" s="13" t="str">
        <f>IF($A1000="","",[1]!thsiFinD("ths_adjustment_nv_fund",J$3,$A1000))</f>
        <v/>
      </c>
      <c r="K1000" s="13" t="str">
        <f>IF($A1000="","",[1]!thsiFinD("ths_adjustment_nv_fund",K$3,$A1000))</f>
        <v/>
      </c>
      <c r="L1000" s="13" t="str">
        <f>IF($A1000="","",[1]!thsiFinD("ths_adjustment_nv_fund",L$3,$A1000))</f>
        <v/>
      </c>
      <c r="M1000" s="13" t="str">
        <f>IF($A1000="","",[1]!thsiFinD("ths_adjustment_nv_fund",M$3,$A1000))</f>
        <v/>
      </c>
      <c r="N1000" s="13" t="str">
        <f>IF($A1000="","",[1]!thsiFinD("ths_adjustment_nv_fund",N$3,$A1000))</f>
        <v/>
      </c>
      <c r="O1000" s="13" t="str">
        <f>IF($A1000="","",[1]!thsiFinD("ths_adjustment_nv_fund",O$3,$A1000))</f>
        <v/>
      </c>
      <c r="P1000" s="13" t="str">
        <f>IF($A1000="","",[1]!thsiFinD("ths_adjustment_nv_fund",P$3,$A1000))</f>
        <v/>
      </c>
      <c r="Q1000" s="13" t="str">
        <f>IF($A1000="","",[1]!thsiFinD("ths_adjustment_nv_fund",Q$3,$A1000))</f>
        <v/>
      </c>
      <c r="R1000" s="13" t="str">
        <f>IF($A1000="","",[1]!thsiFinD("ths_adjustment_nv_fund",R$3,$A1000))</f>
        <v/>
      </c>
      <c r="S1000" s="13" t="str">
        <f>IF($A1000="","",[1]!thsiFinD("ths_adjustment_nv_fund",S$3,$A1000))</f>
        <v/>
      </c>
      <c r="T1000" s="13" t="str">
        <f>IF($A1000="","",[1]!thsiFinD("ths_adjustment_nv_fund",T$3,$A1000))</f>
        <v/>
      </c>
      <c r="U1000" s="13" t="str">
        <f>IF($A1000="","",[1]!thsiFinD("ths_adjustment_nv_fund",U$3,$A1000))</f>
        <v/>
      </c>
      <c r="V1000" s="13" t="str">
        <f>IF($A1000="","",[1]!thsiFinD("ths_adjustment_nv_fund",V$3,$A1000))</f>
        <v/>
      </c>
      <c r="W1000" s="13" t="str">
        <f>IF($A1000="","",[1]!thsiFinD("ths_adjustment_nv_fund",W$3,$A1000))</f>
        <v/>
      </c>
      <c r="X1000" s="13" t="str">
        <f>IF($A1000="","",[1]!thsiFinD("ths_adjustment_nv_fund",X$3,$A1000))</f>
        <v/>
      </c>
      <c r="Y1000" s="13" t="str">
        <f>IF($A1000="","",[1]!thsiFinD("ths_adjustment_nv_fund",Y$3,$A1000))</f>
        <v/>
      </c>
      <c r="Z1000" s="13" t="str">
        <f>IF($A1000="","",[1]!thsiFinD("ths_adjustment_nv_fund",Z$3,$A1000))</f>
        <v/>
      </c>
      <c r="AA1000" s="13" t="str">
        <f>IF($A1000="","",[1]!thsiFinD("ths_adjustment_nv_fund",AA$3,$A1000))</f>
        <v/>
      </c>
      <c r="AB1000" s="13">
        <f>IF($A1000="","",[1]!thsiFinD("ths_adjustment_nv_fund",AB$3,$A1000))</f>
        <v/>
      </c>
      <c r="AC1000" s="13">
        <f>IF($A1000="","",[1]!thsiFinD("ths_adjustment_nv_fund",AC$3,$A1000))</f>
        <v/>
      </c>
      <c r="AD1000" s="13">
        <f>IF($A1000="","",[1]!thsiFinD("ths_adjustment_nv_fund",AD$3,$A1000))</f>
        <v/>
      </c>
      <c r="AE1000" s="13">
        <f>IF($A1000="","",[1]!thsiFinD("ths_adjustment_nv_fund",AE$3,$A1000))</f>
        <v/>
      </c>
      <c r="AF1000" s="13">
        <f>IF($A1000="","",[1]!thsiFinD("ths_adjustment_nv_fund",AF$3,$A1000))</f>
        <v/>
      </c>
      <c r="AG1000" s="13">
        <f>IF($A1000="","",[1]!thsiFinD("ths_adjustment_nv_fund",AG$3,$A1000))</f>
        <v/>
      </c>
      <c r="AH1000" s="13">
        <f>IF($A1000="","",[1]!thsiFinD("ths_adjustment_nv_fund",AH$3,$A1000))</f>
        <v/>
      </c>
      <c r="AI1000" s="13">
        <f>IF($A1000="","",[1]!thsiFinD("ths_adjustment_nv_fund",AI$3,$A1000))</f>
        <v/>
      </c>
      <c r="AJ1000" s="13">
        <f>IF($A1000="","",[1]!thsiFinD("ths_adjustment_nv_fund",AJ$3,$A1000))</f>
        <v/>
      </c>
      <c r="AK1000" s="13">
        <f>IF($A1000="","",[1]!thsiFinD("ths_adjustment_nv_fund",AK$3,$A1000))</f>
        <v/>
      </c>
      <c r="AL1000" s="13">
        <f>IF($A1000="","",[1]!thsiFinD("ths_adjustment_nv_fund",AL$3,$A1000))</f>
        <v/>
      </c>
    </row>
  </sheetData>
  <mergeCells count="1">
    <mergeCell ref="A1:D1"/>
  </mergeCells>
  <phoneticPr fontId="3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V1002"/>
  <sheetViews>
    <sheetView showGridLines="0" workbookViewId="0">
      <pane ySplit="4" topLeftCell="A35" activePane="bottomLeft" state="frozen"/>
      <selection pane="bottomLeft" activeCell="T61" sqref="T61"/>
    </sheetView>
  </sheetViews>
  <sheetFormatPr defaultColWidth="9.453125" defaultRowHeight="12.5"/>
  <cols>
    <col min="1" max="1" width="13.1796875" customWidth="1"/>
    <col min="22" max="22" width="14.81640625" customWidth="1"/>
  </cols>
  <sheetData>
    <row r="1" spans="1:22" ht="18.75" customHeight="1">
      <c r="A1" s="166" t="s">
        <v>63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22" ht="13.5" customHeight="1">
      <c r="A2" s="166"/>
      <c r="B2" s="166"/>
      <c r="C2" s="166"/>
      <c r="D2" s="166"/>
      <c r="E2" s="166"/>
      <c r="F2" s="166"/>
      <c r="G2" s="166"/>
      <c r="H2" s="166"/>
      <c r="I2" s="166"/>
      <c r="J2" s="166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  <c r="T3" s="14" t="inlineStr">
        <is>
          <t>组合 20-80</t>
        </is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  <c r="T4" s="1" t="inlineStr">
        <is>
          <t>净值</t>
        </is>
      </c>
      <c r="U4" s="1" t="inlineStr">
        <is>
          <t>日收益</t>
        </is>
      </c>
      <c r="V4" s="1" t="inlineStr">
        <is>
          <t>回撤</t>
        </is>
      </c>
    </row>
    <row r="5" spans="1:22" ht="14">
      <c r="A5" s="15">
        <f>IF('实盘净值数据(iFinD）'!A5="","",'实盘净值数据(iFinD）'!A5)</f>
        <v>46191</v>
      </c>
      <c r="B5" s="13" t="str">
        <f>IF(OR((ROW()-1)&lt;6,'实盘净值数据(iFinD）'!$A5="",'实盘净值数据(iFinD）'!$B5=""),"",SUMPRODUCT(实盘持仓初始配置!$B$4:$X$4,'实盘净值数据(iFinD）'!$B5:$X5/'实盘净值数据(iFinD）'!$B$6:$X$6)*(1-实盘持仓初始配置!$Z$4)^(('实盘净值数据(iFinD）'!$A5-'实盘净值数据(iFinD）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）'!$A5="",'实盘净值数据(iFinD）'!$B5=""),"",SUMPRODUCT(实盘持仓初始配置!$B$6:$X$6,'实盘净值数据(iFinD）'!$B5:$X5/'实盘净值数据(iFinD）'!$B$7:$X$7)*(1-实盘持仓初始配置!$Z$6)^(('实盘净值数据(iFinD）'!$A5-'实盘净值数据(iFinD）'!$A$7)/365))</f>
        <v/>
      </c>
      <c r="I5" s="16"/>
      <c r="J5" s="16" t="str">
        <f>IF(H5="","",H5/MAX(H$5:H5)-1)</f>
        <v/>
      </c>
      <c r="K5" s="13" t="str">
        <f>IF(OR((ROW()-1)&lt;8,'实盘净值数据(iFinD）'!$A5="",'实盘净值数据(iFinD）'!$B5=""),"",SUMPRODUCT(实盘持仓初始配置!$B$7:$X$7,'实盘净值数据(iFinD）'!$B5:$X5/'实盘净值数据(iFinD）'!$B$8:$X$8)*(1-实盘持仓初始配置!$Z$7)^(('实盘净值数据(iFinD）'!$A5-'实盘净值数据(iFinD）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）'!$A5="",'实盘净值数据(iFinD）'!$B5=""),"",SUMPRODUCT(实盘持仓初始配置!$B$9:$X$9,'实盘净值数据(iFinD）'!$B5:$X5/'实盘净值数据(iFinD）'!$B$8:$X$8)*(1-实盘持仓初始配置!$Z$9)^(('实盘净值数据(iFinD）'!$A5-'实盘净值数据(iFinD）'!$A$8)/365))</f>
        <v/>
      </c>
      <c r="R5" s="16"/>
      <c r="S5" s="16" t="str">
        <f>IF(Q5="","",Q5/MAX(Q$5:Q5)-1)</f>
        <v/>
      </c>
      <c r="T5" s="13"/>
      <c r="U5" s="16"/>
      <c r="V5" s="16"/>
    </row>
    <row r="6" spans="1:22" ht="14">
      <c r="A6" s="15">
        <f>IF('实盘净值数据(iFinD）'!A6="","",'实盘净值数据(iFinD）'!A6)</f>
        <v>46195</v>
      </c>
      <c r="B6" s="13">
        <v>1</v>
      </c>
      <c r="C6" s="16" t="str">
        <f>IF(OR(B5="",'实盘净值数据(iFinD）'!$A6="",'实盘净值数据(iFinD）'!$B6=""),"",(SUMPRODUCT(实盘持仓初始配置!$B$4:$X$4,'实盘净值数据(iFinD）'!$B5:$X5/'实盘净值数据(iFinD）'!$B$6:$X$6,'实盘净值数据(iFinD）'!$B6:$X6/'实盘净值数据(iFinD）'!$B5:$X5)/SUMPRODUCT(实盘持仓初始配置!$B$4:$X$4,'实盘净值数据(iFinD）'!$B5:$X5/'实盘净值数据(iFinD）'!$B$6:$X$6))*(1-实盘持仓初始配置!$Z$4)^(('实盘净值数据(iFinD）'!$A6-'实盘净值数据(iFinD）'!$A5)/365)-1)</f>
        <v/>
      </c>
      <c r="D6" s="16">
        <f>IF(B6="","",B6/MAX(B$5:B6)-1)</f>
        <v>0</v>
      </c>
      <c r="E6" s="13">
        <f>IF(OR((ROW()-1)&lt;5,'实盘净值数据(iFinD）'!$A6="",'实盘净值数据(iFinD）'!$B6=""),"",SUMPRODUCT(实盘持仓初始配置!$B$5:$X$5,'实盘净值数据(iFinD）'!$B6:$X6/'实盘净值数据(iFinD）'!$B$5:$X$5)*(1-实盘持仓初始配置!$Z$5)^(('实盘净值数据(iFinD）'!$A6-'实盘净值数据(iFinD）'!$A$5)/365))</f>
        <v>1.0234374728432394</v>
      </c>
      <c r="F6" s="16">
        <f>IF(OR(E5="",'实盘净值数据(iFinD）'!$A6="",'实盘净值数据(iFinD）'!$B6=""),"",(SUMPRODUCT(实盘持仓初始配置!$B$5:$X$5,'实盘净值数据(iFinD）'!$B5:$X5/'实盘净值数据(iFinD）'!$B$5:$X$5,'实盘净值数据(iFinD）'!$B6:$X6/'实盘净值数据(iFinD）'!$B5:$X5)/SUMPRODUCT(实盘持仓初始配置!$B$5:$X$5,'实盘净值数据(iFinD）'!$B5:$X5/'实盘净值数据(iFinD）'!$B$5:$X$5))*(1-实盘持仓初始配置!$Z$5)^(('实盘净值数据(iFinD）'!$A6-'实盘净值数据(iFinD）'!$A5)/365)-1)</f>
        <v>2.3437472843239604E-2</v>
      </c>
      <c r="G6" s="16">
        <f>IF(E6="","",E6/MAX(E$5:E6)-1)</f>
        <v>0</v>
      </c>
      <c r="H6" s="13" t="str">
        <f>IF(OR((ROW()-1)&lt;7,'实盘净值数据(iFinD）'!$A6="",'实盘净值数据(iFinD）'!$B6=""),"",SUMPRODUCT(实盘持仓初始配置!$B$6:$X$6,'实盘净值数据(iFinD）'!$B6:$X6/'实盘净值数据(iFinD）'!$B$7:$X$7)*(1-实盘持仓初始配置!$Z$6)^(('实盘净值数据(iFinD）'!$A6-'实盘净值数据(iFinD）'!$A$7)/365))</f>
        <v/>
      </c>
      <c r="I6" s="16" t="str">
        <f>IF(OR(H5="",'实盘净值数据(iFinD）'!$A6="",'实盘净值数据(iFinD）'!$B6=""),"",(SUMPRODUCT(实盘持仓初始配置!$B$6:$X$6,'实盘净值数据(iFinD）'!$B5:$X5/'实盘净值数据(iFinD）'!$B$7:$X$7,'实盘净值数据(iFinD）'!$B6:$X6/'实盘净值数据(iFinD）'!$B5:$X5)/SUMPRODUCT(实盘持仓初始配置!$B$6:$X$6,'实盘净值数据(iFinD）'!$B5:$X5/'实盘净值数据(iFinD）'!$B$7:$X$7))*(1-实盘持仓初始配置!$Z$6)^(('实盘净值数据(iFinD）'!$A6-'实盘净值数据(iFinD）'!$A5)/365)-1)</f>
        <v/>
      </c>
      <c r="J6" s="16" t="str">
        <f>IF(H6="","",H6/MAX(H$5:H6)-1)</f>
        <v/>
      </c>
      <c r="K6" s="13" t="str">
        <f>IF(OR((ROW()-1)&lt;8,'实盘净值数据(iFinD）'!$A6="",'实盘净值数据(iFinD）'!$B6=""),"",SUMPRODUCT(实盘持仓初始配置!$B$7:$X$7,'实盘净值数据(iFinD）'!$B6:$X6/'实盘净值数据(iFinD）'!$B$8:$X$8)*(1-实盘持仓初始配置!$Z$7)^(('实盘净值数据(iFinD）'!$A6-'实盘净值数据(iFinD）'!$A$8)/365))</f>
        <v/>
      </c>
      <c r="L6" s="16" t="str">
        <f>IF(OR(K5="",'实盘净值数据(iFinD）'!$A6="",'实盘净值数据(iFinD）'!$B6=""),"",(SUMPRODUCT(实盘持仓初始配置!$B$7:$X$7,'实盘净值数据(iFinD）'!$B5:$X5/'实盘净值数据(iFinD）'!$B$8:$X$8,'实盘净值数据(iFinD）'!$B6:$X6/'实盘净值数据(iFinD）'!$B5:$X5)/SUMPRODUCT(实盘持仓初始配置!$B$7:$X$7,'实盘净值数据(iFinD）'!$B5:$X5/'实盘净值数据(iFinD）'!$B$8:$X$8))*(1-实盘持仓初始配置!$Z$7)^(('实盘净值数据(iFinD）'!$A6-'实盘净值数据(iFinD）'!$A5)/365)-1)</f>
        <v/>
      </c>
      <c r="M6" s="16" t="str">
        <f>IF(K6="","",K6/MAX(K$5:K6)-1)</f>
        <v/>
      </c>
      <c r="N6" s="13">
        <f>IF(OR((ROW()-1)&lt;5,'实盘净值数据(iFinD）'!$A6="",'实盘净值数据(iFinD）'!$B6=""),"",SUMPRODUCT(实盘持仓初始配置!$B$8:$X$8,'实盘净值数据(iFinD）'!$B6:$X6/'实盘净值数据(iFinD）'!$B$5:$X$5)*(1-实盘持仓初始配置!$Z$8)^(('实盘净值数据(iFinD）'!$A6-'实盘净值数据(iFinD）'!$A$5)/365))</f>
        <v>1.0008955316407739</v>
      </c>
      <c r="O6" s="16">
        <f>IF(OR(N5="",'实盘净值数据(iFinD）'!$A6="",'实盘净值数据(iFinD）'!$B6=""),"",(SUMPRODUCT(实盘持仓初始配置!$B$8:$X$8,'实盘净值数据(iFinD）'!$B5:$X5/'实盘净值数据(iFinD）'!$B$5:$X$5,'实盘净值数据(iFinD）'!$B6:$X6/'实盘净值数据(iFinD）'!$B5:$X5)/SUMPRODUCT(实盘持仓初始配置!$B$8:$X$8,'实盘净值数据(iFinD）'!$B5:$X5/'实盘净值数据(iFinD）'!$B$5:$X$5))*(1-实盘持仓初始配置!$Z$8)^(('实盘净值数据(iFinD）'!$A6-'实盘净值数据(iFinD）'!$A5)/365)-1)</f>
        <v>8.9553164077393888E-4</v>
      </c>
      <c r="P6" s="16">
        <f>IF(N6="","",N6/MAX(N$5:N6)-1)</f>
        <v>0</v>
      </c>
      <c r="Q6" s="13" t="str">
        <f>IF(OR((ROW()-1)&lt;8,'实盘净值数据(iFinD）'!$A6="",'实盘净值数据(iFinD）'!$B6=""),"",SUMPRODUCT(实盘持仓初始配置!$B$9:$X$9,'实盘净值数据(iFinD）'!$B6:$X6/'实盘净值数据(iFinD）'!$B$8:$X$8)*(1-实盘持仓初始配置!$Z$9)^(('实盘净值数据(iFinD）'!$A6-'实盘净值数据(iFinD）'!$A$8)/365))</f>
        <v/>
      </c>
      <c r="R6" s="16" t="str">
        <f>IF(OR(Q5="",'实盘净值数据(iFinD）'!$A6="",'实盘净值数据(iFinD）'!$B6=""),"",(SUMPRODUCT(实盘持仓初始配置!$B$9:$X$9,'实盘净值数据(iFinD）'!$B5:$X5/'实盘净值数据(iFinD）'!$B$8:$X$8,'实盘净值数据(iFinD）'!$B6:$X6/'实盘净值数据(iFinD）'!$B5:$X5)/SUMPRODUCT(实盘持仓初始配置!$B$9:$X$9,'实盘净值数据(iFinD）'!$B5:$X5/'实盘净值数据(iFinD）'!$B$8:$X$8))*(1-实盘持仓初始配置!$Z$9)^(('实盘净值数据(iFinD）'!$A6-'实盘净值数据(iFinD）'!$A5)/365)-1)</f>
        <v/>
      </c>
      <c r="S6" s="16" t="str">
        <f>IF(Q6="","",Q6/MAX(Q$5:Q6)-1)</f>
        <v/>
      </c>
      <c r="T6" s="13"/>
      <c r="U6" s="16"/>
      <c r="V6" s="16"/>
    </row>
    <row r="7" spans="1:22" ht="14">
      <c r="A7" s="15">
        <f>IF('实盘净值数据(iFinD）'!A7="","",'实盘净值数据(iFinD）'!A7)</f>
        <v>46196</v>
      </c>
      <c r="B7" s="13">
        <f>IF(OR((ROW()-1)&lt;6,'实盘净值数据(iFinD）'!$A7="",'实盘净值数据(iFinD）'!$B7=""),"",SUMPRODUCT(实盘持仓初始配置!$B$4:$X$4,'实盘净值数据(iFinD）'!$B7:$X7/'实盘净值数据(iFinD）'!$B$6:$X$6)*(1-实盘持仓初始配置!$Z$4)^(('实盘净值数据(iFinD）'!$A7-'实盘净值数据(iFinD）'!$A$6)/365))</f>
        <v>0.98042318811773688</v>
      </c>
      <c r="C7" s="16">
        <f>IF(OR(B6="",'实盘净值数据(iFinD）'!$A7="",'实盘净值数据(iFinD）'!$B7=""),"",(SUMPRODUCT(实盘持仓初始配置!$B$4:$X$4,'实盘净值数据(iFinD）'!$B6:$X6/'实盘净值数据(iFinD）'!$B$6:$X$6,'实盘净值数据(iFinD）'!$B7:$X7/'实盘净值数据(iFinD）'!$B6:$X6)/SUMPRODUCT(实盘持仓初始配置!$B$4:$X$4,'实盘净值数据(iFinD）'!$B6:$X6/'实盘净值数据(iFinD）'!$B$6:$X$6))*(1-实盘持仓初始配置!$Z$4)^(('实盘净值数据(iFinD）'!$A7-'实盘净值数据(iFinD）'!$A6)/365)-1)</f>
        <v>-1.9576811882263012E-2</v>
      </c>
      <c r="D7" s="16">
        <f>IF(B7="","",B7/MAX(B$5:B7)-1)</f>
        <v>-1.9576811882263123E-2</v>
      </c>
      <c r="E7" s="13">
        <f>IF(OR((ROW()-1)&lt;5,'实盘净值数据(iFinD）'!$A7="",'实盘净值数据(iFinD）'!$B7=""),"",SUMPRODUCT(实盘持仓初始配置!$B$5:$X$5,'实盘净值数据(iFinD）'!$B7:$X7/'实盘净值数据(iFinD）'!$B$5:$X$5)*(1-实盘持仓初始配置!$Z$5)^(('实盘净值数据(iFinD）'!$A7-'实盘净值数据(iFinD）'!$A$5)/365))</f>
        <v>1.0033378905556949</v>
      </c>
      <c r="F7" s="16">
        <f>IF(OR(E6="",'实盘净值数据(iFinD）'!$A7="",'实盘净值数据(iFinD）'!$B7=""),"",(SUMPRODUCT(实盘持仓初始配置!$B$5:$X$5,'实盘净值数据(iFinD）'!$B6:$X6/'实盘净值数据(iFinD）'!$B$5:$X$5,'实盘净值数据(iFinD）'!$B7:$X7/'实盘净值数据(iFinD）'!$B6:$X6)/SUMPRODUCT(实盘持仓初始配置!$B$5:$X$5,'实盘净值数据(iFinD）'!$B6:$X6/'实盘净值数据(iFinD）'!$B$5:$X$5))*(1-实盘持仓初始配置!$Z$5)^(('实盘净值数据(iFinD）'!$A7-'实盘净值数据(iFinD）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）'!$A7="",'实盘净值数据(iFinD）'!$B7=""),"",(SUMPRODUCT(实盘持仓初始配置!$B$6:$X$6,'实盘净值数据(iFinD）'!$B6:$X6/'实盘净值数据(iFinD）'!$B$7:$X$7,'实盘净值数据(iFinD）'!$B7:$X7/'实盘净值数据(iFinD）'!$B6:$X6)/SUMPRODUCT(实盘持仓初始配置!$B$6:$X$6,'实盘净值数据(iFinD）'!$B6:$X6/'实盘净值数据(iFinD）'!$B$7:$X$7))*(1-实盘持仓初始配置!$Z$6)^(('实盘净值数据(iFinD）'!$A7-'实盘净值数据(iFinD）'!$A6)/365)-1)</f>
        <v/>
      </c>
      <c r="J7" s="16">
        <f>IF(H7="","",H7/MAX(H$5:H7)-1)</f>
        <v>0</v>
      </c>
      <c r="K7" s="13" t="str">
        <f>IF(OR((ROW()-1)&lt;8,'实盘净值数据(iFinD）'!$A7="",'实盘净值数据(iFinD）'!$B7=""),"",SUMPRODUCT(实盘持仓初始配置!$B$7:$X$7,'实盘净值数据(iFinD）'!$B7:$X7/'实盘净值数据(iFinD）'!$B$8:$X$8)*(1-实盘持仓初始配置!$Z$7)^(('实盘净值数据(iFinD）'!$A7-'实盘净值数据(iFinD）'!$A$8)/365))</f>
        <v/>
      </c>
      <c r="L7" s="16" t="str">
        <f>IF(OR(K6="",'实盘净值数据(iFinD）'!$A7="",'实盘净值数据(iFinD）'!$B7=""),"",(SUMPRODUCT(实盘持仓初始配置!$B$7:$X$7,'实盘净值数据(iFinD）'!$B6:$X6/'实盘净值数据(iFinD）'!$B$8:$X$8,'实盘净值数据(iFinD）'!$B7:$X7/'实盘净值数据(iFinD）'!$B6:$X6)/SUMPRODUCT(实盘持仓初始配置!$B$7:$X$7,'实盘净值数据(iFinD）'!$B6:$X6/'实盘净值数据(iFinD）'!$B$8:$X$8))*(1-实盘持仓初始配置!$Z$7)^(('实盘净值数据(iFinD）'!$A7-'实盘净值数据(iFinD）'!$A6)/365)-1)</f>
        <v/>
      </c>
      <c r="M7" s="16" t="str">
        <f>IF(K7="","",K7/MAX(K$5:K7)-1)</f>
        <v/>
      </c>
      <c r="N7" s="13">
        <f>IF(OR((ROW()-1)&lt;5,'实盘净值数据(iFinD）'!$A7="",'实盘净值数据(iFinD）'!$B7=""),"",SUMPRODUCT(实盘持仓初始配置!$B$8:$X$8,'实盘净值数据(iFinD）'!$B7:$X7/'实盘净值数据(iFinD）'!$B$5:$X$5)*(1-实盘持仓初始配置!$Z$8)^(('实盘净值数据(iFinD）'!$A7-'实盘净值数据(iFinD）'!$A$5)/365))</f>
        <v>0.99782263840516405</v>
      </c>
      <c r="O7" s="16">
        <f>IF(OR(N6="",'实盘净值数据(iFinD）'!$A7="",'实盘净值数据(iFinD）'!$B7=""),"",(SUMPRODUCT(实盘持仓初始配置!$B$8:$X$8,'实盘净值数据(iFinD）'!$B6:$X6/'实盘净值数据(iFinD）'!$B$5:$X$5,'实盘净值数据(iFinD）'!$B7:$X7/'实盘净值数据(iFinD）'!$B6:$X6)/SUMPRODUCT(实盘持仓初始配置!$B$8:$X$8,'实盘净值数据(iFinD）'!$B6:$X6/'实盘净值数据(iFinD）'!$B$5:$X$5))*(1-实盘持仓初始配置!$Z$8)^(('实盘净值数据(iFinD）'!$A7-'实盘净值数据(iFinD）'!$A6)/365)-1)</f>
        <v>-3.0701438246729662E-3</v>
      </c>
      <c r="P7" s="16">
        <f>IF(N7="","",N7/MAX(N$5:N7)-1)</f>
        <v>-3.0701438246731882E-3</v>
      </c>
      <c r="Q7" s="13" t="str">
        <f>IF(OR((ROW()-1)&lt;8,'实盘净值数据(iFinD）'!$A7="",'实盘净值数据(iFinD）'!$B7=""),"",SUMPRODUCT(实盘持仓初始配置!$B$9:$X$9,'实盘净值数据(iFinD）'!$B7:$X7/'实盘净值数据(iFinD）'!$B$8:$X$8)*(1-实盘持仓初始配置!$Z$9)^(('实盘净值数据(iFinD）'!$A7-'实盘净值数据(iFinD）'!$A$8)/365))</f>
        <v/>
      </c>
      <c r="R7" s="16" t="str">
        <f>IF(OR(Q6="",'实盘净值数据(iFinD）'!$A7="",'实盘净值数据(iFinD）'!$B7=""),"",(SUMPRODUCT(实盘持仓初始配置!$B$9:$X$9,'实盘净值数据(iFinD）'!$B6:$X6/'实盘净值数据(iFinD）'!$B$8:$X$8,'实盘净值数据(iFinD）'!$B7:$X7/'实盘净值数据(iFinD）'!$B6:$X6)/SUMPRODUCT(实盘持仓初始配置!$B$9:$X$9,'实盘净值数据(iFinD）'!$B6:$X6/'实盘净值数据(iFinD）'!$B$8:$X$8))*(1-实盘持仓初始配置!$Z$9)^(('实盘净值数据(iFinD）'!$A7-'实盘净值数据(iFinD）'!$A6)/365)-1)</f>
        <v/>
      </c>
      <c r="S7" s="16" t="str">
        <f>IF(Q7="","",Q7/MAX(Q$5:Q7)-1)</f>
        <v/>
      </c>
      <c r="T7" s="13"/>
      <c r="U7" s="16"/>
      <c r="V7" s="16"/>
    </row>
    <row r="8" spans="1:22" ht="14">
      <c r="A8" s="15">
        <f>IF('实盘净值数据(iFinD）'!A8="","",'实盘净值数据(iFinD）'!A8)</f>
        <v>46197</v>
      </c>
      <c r="B8" s="13">
        <f>IF(OR((ROW()-1)&lt;6,'实盘净值数据(iFinD）'!$A8="",'实盘净值数据(iFinD）'!$B8=""),"",SUMPRODUCT(实盘持仓初始配置!$B$4:$X$4,'实盘净值数据(iFinD）'!$B8:$X8/'实盘净值数据(iFinD）'!$B$6:$X$6)*(1-实盘持仓初始配置!$Z$4)^(('实盘净值数据(iFinD）'!$A8-'实盘净值数据(iFinD）'!$A$6)/365))</f>
        <v>1.0160197208922743</v>
      </c>
      <c r="C8" s="16">
        <f>IF(OR(B7="",'实盘净值数据(iFinD）'!$A8="",'实盘净值数据(iFinD）'!$B8=""),"",(SUMPRODUCT(实盘持仓初始配置!$B$4:$X$4,'实盘净值数据(iFinD）'!$B7:$X7/'实盘净值数据(iFinD）'!$B$6:$X$6,'实盘净值数据(iFinD）'!$B8:$X8/'实盘净值数据(iFinD）'!$B7:$X7)/SUMPRODUCT(实盘持仓初始配置!$B$4:$X$4,'实盘净值数据(iFinD）'!$B7:$X7/'实盘净值数据(iFinD）'!$B$6:$X$6))*(1-实盘持仓初始配置!$Z$4)^(('实盘净值数据(iFinD）'!$A8-'实盘净值数据(iFinD）'!$A7)/365)-1)</f>
        <v>3.6307314235271448E-2</v>
      </c>
      <c r="D8" s="16">
        <f>IF(B8="","",B8/MAX(B$5:B8)-1)</f>
        <v>0</v>
      </c>
      <c r="E8" s="13">
        <f>IF(OR((ROW()-1)&lt;5,'实盘净值数据(iFinD）'!$A8="",'实盘净值数据(iFinD）'!$B8=""),"",SUMPRODUCT(实盘持仓初始配置!$B$5:$X$5,'实盘净值数据(iFinD）'!$B8:$X8/'实盘净值数据(iFinD）'!$B$5:$X$5)*(1-实盘持仓初始配置!$Z$5)^(('实盘净值数据(iFinD）'!$A8-'实盘净值数据(iFinD）'!$A$5)/365))</f>
        <v>1.0397126768191969</v>
      </c>
      <c r="F8" s="16">
        <f>IF(OR(E7="",'实盘净值数据(iFinD）'!$A8="",'实盘净值数据(iFinD）'!$B8=""),"",(SUMPRODUCT(实盘持仓初始配置!$B$5:$X$5,'实盘净值数据(iFinD）'!$B7:$X7/'实盘净值数据(iFinD）'!$B$5:$X$5,'实盘净值数据(iFinD）'!$B8:$X8/'实盘净值数据(iFinD）'!$B7:$X7)/SUMPRODUCT(实盘持仓初始配置!$B$5:$X$5,'实盘净值数据(iFinD）'!$B7:$X7/'实盘净值数据(iFinD）'!$B$5:$X$5))*(1-实盘持仓初始配置!$Z$5)^(('实盘净值数据(iFinD）'!$A8-'实盘净值数据(iFinD）'!$A7)/365)-1)</f>
        <v>3.6253775129887478E-2</v>
      </c>
      <c r="G8" s="16">
        <f>IF(E8="","",E8/MAX(E$5:E8)-1)</f>
        <v>0</v>
      </c>
      <c r="H8" s="13">
        <f>IF(OR((ROW()-1)&lt;7,'实盘净值数据(iFinD）'!$A8="",'实盘净值数据(iFinD）'!$B8=""),"",SUMPRODUCT(实盘持仓初始配置!$B$6:$X$6,'实盘净值数据(iFinD）'!$B8:$X8/'实盘净值数据(iFinD）'!$B$7:$X$7)*(1-实盘持仓初始配置!$Z$6)^(('实盘净值数据(iFinD）'!$A8-'实盘净值数据(iFinD）'!$A$7)/365))</f>
        <v>1.039202963297934</v>
      </c>
      <c r="I8" s="16">
        <f>IF(OR(H7="",'实盘净值数据(iFinD）'!$A8="",'实盘净值数据(iFinD）'!$B8=""),"",(SUMPRODUCT(实盘持仓初始配置!$B$6:$X$6,'实盘净值数据(iFinD）'!$B7:$X7/'实盘净值数据(iFinD）'!$B$7:$X$7,'实盘净值数据(iFinD）'!$B8:$X8/'实盘净值数据(iFinD）'!$B7:$X7)/SUMPRODUCT(实盘持仓初始配置!$B$6:$X$6,'实盘净值数据(iFinD）'!$B7:$X7/'实盘净值数据(iFinD）'!$B$7:$X$7))*(1-实盘持仓初始配置!$Z$6)^(('实盘净值数据(iFinD）'!$A8-'实盘净值数据(iFinD）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）'!$A8="",'实盘净值数据(iFinD）'!$B8=""),"",(SUMPRODUCT(实盘持仓初始配置!$B$7:$X$7,'实盘净值数据(iFinD）'!$B7:$X7/'实盘净值数据(iFinD）'!$B$8:$X$8,'实盘净值数据(iFinD）'!$B8:$X8/'实盘净值数据(iFinD）'!$B7:$X7)/SUMPRODUCT(实盘持仓初始配置!$B$7:$X$7,'实盘净值数据(iFinD）'!$B7:$X7/'实盘净值数据(iFinD）'!$B$8:$X$8))*(1-实盘持仓初始配置!$Z$7)^(('实盘净值数据(iFinD）'!$A8-'实盘净值数据(iFinD）'!$A7)/365)-1)</f>
        <v/>
      </c>
      <c r="M8" s="16">
        <f>IF(K8="","",K8/MAX(K$5:K8)-1)</f>
        <v>0</v>
      </c>
      <c r="N8" s="13">
        <f>IF(OR((ROW()-1)&lt;5,'实盘净值数据(iFinD）'!$A8="",'实盘净值数据(iFinD）'!$B8=""),"",SUMPRODUCT(实盘持仓初始配置!$B$8:$X$8,'实盘净值数据(iFinD）'!$B8:$X8/'实盘净值数据(iFinD）'!$B$5:$X$5)*(1-实盘持仓初始配置!$Z$8)^(('实盘净值数据(iFinD）'!$A8-'实盘净值数据(iFinD）'!$A$5)/365))</f>
        <v>0.99977056884376803</v>
      </c>
      <c r="O8" s="16">
        <f>IF(OR(N7="",'实盘净值数据(iFinD）'!$A8="",'实盘净值数据(iFinD）'!$B8=""),"",(SUMPRODUCT(实盘持仓初始配置!$B$8:$X$8,'实盘净值数据(iFinD）'!$B7:$X7/'实盘净值数据(iFinD）'!$B$5:$X$5,'实盘净值数据(iFinD）'!$B8:$X8/'实盘净值数据(iFinD）'!$B7:$X7)/SUMPRODUCT(实盘持仓初始配置!$B$8:$X$8,'实盘净值数据(iFinD）'!$B7:$X7/'实盘净值数据(iFinD）'!$B$5:$X$5))*(1-实盘持仓初始配置!$Z$8)^(('实盘净值数据(iFinD）'!$A8-'实盘净值数据(iFinD）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）'!$A8="",'实盘净值数据(iFinD）'!$B8=""),"",(SUMPRODUCT(实盘持仓初始配置!$B$9:$X$9,'实盘净值数据(iFinD）'!$B7:$X7/'实盘净值数据(iFinD）'!$B$8:$X$8,'实盘净值数据(iFinD）'!$B8:$X8/'实盘净值数据(iFinD）'!$B7:$X7)/SUMPRODUCT(实盘持仓初始配置!$B$9:$X$9,'实盘净值数据(iFinD）'!$B7:$X7/'实盘净值数据(iFinD）'!$B$8:$X$8))*(1-实盘持仓初始配置!$Z$9)^(('实盘净值数据(iFinD）'!$A8-'实盘净值数据(iFinD）'!$A7)/365)-1)</f>
        <v/>
      </c>
      <c r="S8" s="16">
        <f>IF(Q8="","",Q8/MAX(Q$5:Q8)-1)</f>
        <v>0</v>
      </c>
      <c r="T8" s="13"/>
      <c r="U8" s="16"/>
      <c r="V8" s="16"/>
    </row>
    <row r="9" spans="1:22" ht="14">
      <c r="A9" s="15">
        <f>IF('实盘净值数据(iFinD）'!A9="","",'实盘净值数据(iFinD）'!A9)</f>
        <v>46198</v>
      </c>
      <c r="B9" s="13">
        <f>IF(OR((ROW()-1)&lt;6,'实盘净值数据(iFinD）'!$A9="",'实盘净值数据(iFinD）'!$B9=""),"",SUMPRODUCT(实盘持仓初始配置!$B$4:$X$4,'实盘净值数据(iFinD）'!$B9:$X9/'实盘净值数据(iFinD）'!$B$6:$X$6)*(1-实盘持仓初始配置!$Z$4)^(('实盘净值数据(iFinD）'!$A9-'实盘净值数据(iFinD）'!$A$6)/365))</f>
        <v>1.0494431551246099</v>
      </c>
      <c r="C9" s="16">
        <f>IF(OR(B8="",'实盘净值数据(iFinD）'!$A9="",'实盘净值数据(iFinD）'!$B9=""),"",(SUMPRODUCT(实盘持仓初始配置!$B$4:$X$4,'实盘净值数据(iFinD）'!$B8:$X8/'实盘净值数据(iFinD）'!$B$6:$X$6,'实盘净值数据(iFinD）'!$B9:$X9/'实盘净值数据(iFinD）'!$B8:$X8)/SUMPRODUCT(实盘持仓初始配置!$B$4:$X$4,'实盘净值数据(iFinD）'!$B8:$X8/'实盘净值数据(iFinD）'!$B$6:$X$6))*(1-实盘持仓初始配置!$Z$4)^(('实盘净值数据(iFinD）'!$A9-'实盘净值数据(iFinD）'!$A8)/365)-1)</f>
        <v>3.2896442406632698E-2</v>
      </c>
      <c r="D9" s="16">
        <f>IF(B9="","",B9/MAX(B$5:B9)-1)</f>
        <v>0</v>
      </c>
      <c r="E9" s="13">
        <f>IF(OR((ROW()-1)&lt;5,'实盘净值数据(iFinD）'!$A9="",'实盘净值数据(iFinD）'!$B9=""),"",SUMPRODUCT(实盘持仓初始配置!$B$5:$X$5,'实盘净值数据(iFinD）'!$B9:$X9/'实盘净值数据(iFinD）'!$B$5:$X$5)*(1-实盘持仓初始配置!$Z$5)^(('实盘净值数据(iFinD）'!$A9-'实盘净值数据(iFinD）'!$A$5)/365))</f>
        <v>1.0739445334901312</v>
      </c>
      <c r="F9" s="16">
        <f>IF(OR(E8="",'实盘净值数据(iFinD）'!$A9="",'实盘净值数据(iFinD）'!$B9=""),"",(SUMPRODUCT(实盘持仓初始配置!$B$5:$X$5,'实盘净值数据(iFinD）'!$B8:$X8/'实盘净值数据(iFinD）'!$B$5:$X$5,'实盘净值数据(iFinD）'!$B9:$X9/'实盘净值数据(iFinD）'!$B8:$X8)/SUMPRODUCT(实盘持仓初始配置!$B$5:$X$5,'实盘净值数据(iFinD）'!$B8:$X8/'实盘净值数据(iFinD）'!$B$5:$X$5))*(1-实盘持仓初始配置!$Z$5)^(('实盘净值数据(iFinD）'!$A9-'实盘净值数据(iFinD）'!$A8)/365)-1)</f>
        <v>3.2924342882554747E-2</v>
      </c>
      <c r="G9" s="16">
        <f>IF(E9="","",E9/MAX(E$5:E9)-1)</f>
        <v>0</v>
      </c>
      <c r="H9" s="13">
        <f>IF(OR((ROW()-1)&lt;7,'实盘净值数据(iFinD）'!$A9="",'实盘净值数据(iFinD）'!$B9=""),"",SUMPRODUCT(实盘持仓初始配置!$B$6:$X$6,'实盘净值数据(iFinD）'!$B9:$X9/'实盘净值数据(iFinD）'!$B$7:$X$7)*(1-实盘持仓初始配置!$Z$6)^(('实盘净值数据(iFinD）'!$A9-'实盘净值数据(iFinD）'!$A$7)/365))</f>
        <v>1.0741076445723305</v>
      </c>
      <c r="I9" s="16">
        <f>IF(OR(H8="",'实盘净值数据(iFinD）'!$A9="",'实盘净值数据(iFinD）'!$B9=""),"",(SUMPRODUCT(实盘持仓初始配置!$B$6:$X$6,'实盘净值数据(iFinD）'!$B8:$X8/'实盘净值数据(iFinD）'!$B$7:$X$7,'实盘净值数据(iFinD）'!$B9:$X9/'实盘净值数据(iFinD）'!$B8:$X8)/SUMPRODUCT(实盘持仓初始配置!$B$6:$X$6,'实盘净值数据(iFinD）'!$B8:$X8/'实盘净值数据(iFinD）'!$B$7:$X$7))*(1-实盘持仓初始配置!$Z$6)^(('实盘净值数据(iFinD）'!$A9-'实盘净值数据(iFinD）'!$A8)/365)-1)</f>
        <v>3.3587934702982158E-2</v>
      </c>
      <c r="J9" s="16">
        <f>IF(H9="","",H9/MAX(H$5:H9)-1)</f>
        <v>0</v>
      </c>
      <c r="K9" s="13">
        <f>IF(OR((ROW()-1)&lt;8,'实盘净值数据(iFinD）'!$A9="",'实盘净值数据(iFinD）'!$B9=""),"",SUMPRODUCT(实盘持仓初始配置!$B$7:$X$7,'实盘净值数据(iFinD）'!$B9:$X9/'实盘净值数据(iFinD）'!$B$8:$X$8)*(1-实盘持仓初始配置!$Z$7)^(('实盘净值数据(iFinD）'!$A9-'实盘净值数据(iFinD）'!$A$8)/365))</f>
        <v>1.0014141946107082</v>
      </c>
      <c r="L9" s="16">
        <f>IF(OR(K8="",'实盘净值数据(iFinD）'!$A9="",'实盘净值数据(iFinD）'!$B9=""),"",(SUMPRODUCT(实盘持仓初始配置!$B$7:$X$7,'实盘净值数据(iFinD）'!$B8:$X8/'实盘净值数据(iFinD）'!$B$8:$X$8,'实盘净值数据(iFinD）'!$B9:$X9/'实盘净值数据(iFinD）'!$B8:$X8)/SUMPRODUCT(实盘持仓初始配置!$B$7:$X$7,'实盘净值数据(iFinD）'!$B8:$X8/'实盘净值数据(iFinD）'!$B$8:$X$8))*(1-实盘持仓初始配置!$Z$7)^(('实盘净值数据(iFinD）'!$A9-'实盘净值数据(iFinD）'!$A8)/365)-1)</f>
        <v>1.4141946107082415E-3</v>
      </c>
      <c r="M9" s="16">
        <f>IF(K9="","",K9/MAX(K$5:K9)-1)</f>
        <v>0</v>
      </c>
      <c r="N9" s="13">
        <f>IF(OR((ROW()-1)&lt;5,'实盘净值数据(iFinD）'!$A9="",'实盘净值数据(iFinD）'!$B9=""),"",SUMPRODUCT(实盘持仓初始配置!$B$8:$X$8,'实盘净值数据(iFinD）'!$B9:$X9/'实盘净值数据(iFinD）'!$B$5:$X$5)*(1-实盘持仓初始配置!$Z$8)^(('实盘净值数据(iFinD）'!$A9-'实盘净值数据(iFinD）'!$A$5)/365))</f>
        <v>1.0012779820956512</v>
      </c>
      <c r="O9" s="16">
        <f>IF(OR(N8="",'实盘净值数据(iFinD）'!$A9="",'实盘净值数据(iFinD）'!$B9=""),"",(SUMPRODUCT(实盘持仓初始配置!$B$8:$X$8,'实盘净值数据(iFinD）'!$B8:$X8/'实盘净值数据(iFinD）'!$B$5:$X$5,'实盘净值数据(iFinD）'!$B9:$X9/'实盘净值数据(iFinD）'!$B8:$X8)/SUMPRODUCT(实盘持仓初始配置!$B$8:$X$8,'实盘净值数据(iFinD）'!$B8:$X8/'实盘净值数据(iFinD）'!$B$5:$X$5))*(1-实盘持仓初始配置!$Z$8)^(('实盘净值数据(iFinD）'!$A9-'实盘净值数据(iFinD）'!$A8)/365)-1)</f>
        <v>1.5077591788150713E-3</v>
      </c>
      <c r="P9" s="16">
        <f>IF(N9="","",N9/MAX(N$5:N9)-1)</f>
        <v>0</v>
      </c>
      <c r="Q9" s="13">
        <f>IF(OR((ROW()-1)&lt;8,'实盘净值数据(iFinD）'!$A9="",'实盘净值数据(iFinD）'!$B9=""),"",SUMPRODUCT(实盘持仓初始配置!$B$9:$X$9,'实盘净值数据(iFinD）'!$B9:$X9/'实盘净值数据(iFinD）'!$B$8:$X$8)*(1-实盘持仓初始配置!$Z$9)^(('实盘净值数据(iFinD）'!$A9-'实盘净值数据(iFinD）'!$A$8)/365))</f>
        <v>1.0039732082294279</v>
      </c>
      <c r="R9" s="16">
        <f>IF(OR(Q8="",'实盘净值数据(iFinD）'!$A9="",'实盘净值数据(iFinD）'!$B9=""),"",(SUMPRODUCT(实盘持仓初始配置!$B$9:$X$9,'实盘净值数据(iFinD）'!$B8:$X8/'实盘净值数据(iFinD）'!$B$8:$X$8,'实盘净值数据(iFinD）'!$B9:$X9/'实盘净值数据(iFinD）'!$B8:$X8)/SUMPRODUCT(实盘持仓初始配置!$B$9:$X$9,'实盘净值数据(iFinD）'!$B8:$X8/'实盘净值数据(iFinD）'!$B$8:$X$8))*(1-实盘持仓初始配置!$Z$9)^(('实盘净值数据(iFinD）'!$A9-'实盘净值数据(iFinD）'!$A8)/365)-1)</f>
        <v>3.973208229428149E-3</v>
      </c>
      <c r="S9" s="16">
        <f>IF(Q9="","",Q9/MAX(Q$5:Q9)-1)</f>
        <v>0</v>
      </c>
      <c r="T9" s="13"/>
      <c r="U9" s="16"/>
      <c r="V9" s="16"/>
    </row>
    <row r="10" spans="1:22" ht="14">
      <c r="A10" s="15">
        <f>IF('实盘净值数据(iFinD）'!A10="","",'实盘净值数据(iFinD）'!A10)</f>
        <v>46199</v>
      </c>
      <c r="B10" s="13">
        <f>IF(OR((ROW()-1)&lt;6,'实盘净值数据(iFinD）'!$A10="",'实盘净值数据(iFinD）'!$B10=""),"",SUMPRODUCT(实盘持仓初始配置!$B$4:$X$4,'实盘净值数据(iFinD）'!$B10:$X10/'实盘净值数据(iFinD）'!$B$6:$X$6)*(1-实盘持仓初始配置!$Z$4)^(('实盘净值数据(iFinD）'!$A10-'实盘净值数据(iFinD）'!$A$6)/365))</f>
        <v>1.0194457362958647</v>
      </c>
      <c r="C10" s="16">
        <f>IF(OR(B9="",'实盘净值数据(iFinD）'!$A10="",'实盘净值数据(iFinD）'!$B10=""),"",(SUMPRODUCT(实盘持仓初始配置!$B$4:$X$4,'实盘净值数据(iFinD）'!$B9:$X9/'实盘净值数据(iFinD）'!$B$6:$X$6,'实盘净值数据(iFinD）'!$B10:$X10/'实盘净值数据(iFinD）'!$B9:$X9)/SUMPRODUCT(实盘持仓初始配置!$B$4:$X$4,'实盘净值数据(iFinD）'!$B9:$X9/'实盘净值数据(iFinD）'!$B$6:$X$6))*(1-实盘持仓初始配置!$Z$4)^(('实盘净值数据(iFinD）'!$A10-'实盘净值数据(iFinD）'!$A9)/365)-1)</f>
        <v>-2.8584129290150306E-2</v>
      </c>
      <c r="D10" s="16">
        <f>IF(B10="","",B10/MAX(B$5:B10)-1)</f>
        <v>-2.8584129290150528E-2</v>
      </c>
      <c r="E10" s="13">
        <f>IF(OR((ROW()-1)&lt;5,'实盘净值数据(iFinD）'!$A10="",'实盘净值数据(iFinD）'!$B10=""),"",SUMPRODUCT(实盘持仓初始配置!$B$5:$X$5,'实盘净值数据(iFinD）'!$B10:$X10/'实盘净值数据(iFinD）'!$B$5:$X$5)*(1-实盘持仓初始配置!$Z$5)^(('实盘净值数据(iFinD）'!$A10-'实盘净值数据(iFinD）'!$A$5)/365))</f>
        <v>1.0431451846332738</v>
      </c>
      <c r="F10" s="16">
        <f>IF(OR(E9="",'实盘净值数据(iFinD）'!$A10="",'实盘净值数据(iFinD）'!$B10=""),"",(SUMPRODUCT(实盘持仓初始配置!$B$5:$X$5,'实盘净值数据(iFinD）'!$B9:$X9/'实盘净值数据(iFinD）'!$B$5:$X$5,'实盘净值数据(iFinD）'!$B10:$X10/'实盘净值数据(iFinD）'!$B9:$X9)/SUMPRODUCT(实盘持仓初始配置!$B$5:$X$5,'实盘净值数据(iFinD）'!$B9:$X9/'实盘净值数据(iFinD）'!$B$5:$X$5))*(1-实盘持仓初始配置!$Z$5)^(('实盘净值数据(iFinD）'!$A10-'实盘净值数据(iFinD）'!$A9)/365)-1)</f>
        <v>-2.8678714678834649E-2</v>
      </c>
      <c r="G10" s="16">
        <f>IF(E10="","",E10/MAX(E$5:E10)-1)</f>
        <v>-2.8678714678834427E-2</v>
      </c>
      <c r="H10" s="13">
        <f>IF(OR((ROW()-1)&lt;7,'实盘净值数据(iFinD）'!$A10="",'实盘净值数据(iFinD）'!$B10=""),"",SUMPRODUCT(实盘持仓初始配置!$B$6:$X$6,'实盘净值数据(iFinD）'!$B10:$X10/'实盘净值数据(iFinD）'!$B$7:$X$7)*(1-实盘持仓初始配置!$Z$6)^(('实盘净值数据(iFinD）'!$A10-'实盘净值数据(iFinD）'!$A$7)/365))</f>
        <v>1.050645670240649</v>
      </c>
      <c r="I10" s="16">
        <f>IF(OR(H9="",'实盘净值数据(iFinD）'!$A10="",'实盘净值数据(iFinD）'!$B10=""),"",(SUMPRODUCT(实盘持仓初始配置!$B$6:$X$6,'实盘净值数据(iFinD）'!$B9:$X9/'实盘净值数据(iFinD）'!$B$7:$X$7,'实盘净值数据(iFinD）'!$B10:$X10/'实盘净值数据(iFinD）'!$B9:$X9)/SUMPRODUCT(实盘持仓初始配置!$B$6:$X$6,'实盘净值数据(iFinD）'!$B9:$X9/'实盘净值数据(iFinD）'!$B$7:$X$7))*(1-实盘持仓初始配置!$Z$6)^(('实盘净值数据(iFinD）'!$A10-'实盘净值数据(iFinD）'!$A9)/365)-1)</f>
        <v>-2.1843224420047047E-2</v>
      </c>
      <c r="J10" s="16">
        <f>IF(H10="","",H10/MAX(H$5:H10)-1)</f>
        <v>-2.1843224420047047E-2</v>
      </c>
      <c r="K10" s="13">
        <f>IF(OR((ROW()-1)&lt;8,'实盘净值数据(iFinD）'!$A10="",'实盘净值数据(iFinD）'!$B10=""),"",SUMPRODUCT(实盘持仓初始配置!$B$7:$X$7,'实盘净值数据(iFinD）'!$B10:$X10/'实盘净值数据(iFinD）'!$B$8:$X$8)*(1-实盘持仓初始配置!$Z$7)^(('实盘净值数据(iFinD）'!$A10-'实盘净值数据(iFinD）'!$A$8)/365))</f>
        <v>0.999482233533317</v>
      </c>
      <c r="L10" s="16">
        <f>IF(OR(K9="",'实盘净值数据(iFinD）'!$A10="",'实盘净值数据(iFinD）'!$B10=""),"",(SUMPRODUCT(实盘持仓初始配置!$B$7:$X$7,'实盘净值数据(iFinD）'!$B9:$X9/'实盘净值数据(iFinD）'!$B$8:$X$8,'实盘净值数据(iFinD）'!$B10:$X10/'实盘净值数据(iFinD）'!$B9:$X9)/SUMPRODUCT(实盘持仓初始配置!$B$7:$X$7,'实盘净值数据(iFinD）'!$B9:$X9/'实盘净值数据(iFinD）'!$B$8:$X$8))*(1-实盘持仓初始配置!$Z$7)^(('实盘净值数据(iFinD）'!$A10-'实盘净值数据(iFinD）'!$A9)/365)-1)</f>
        <v>-1.9292327668097853E-3</v>
      </c>
      <c r="M10" s="16">
        <f>IF(K10="","",K10/MAX(K$5:K10)-1)</f>
        <v>-1.9292327668095632E-3</v>
      </c>
      <c r="N10" s="13">
        <f>IF(OR((ROW()-1)&lt;5,'实盘净值数据(iFinD）'!$A10="",'实盘净值数据(iFinD）'!$B10=""),"",SUMPRODUCT(实盘持仓初始配置!$B$8:$X$8,'实盘净值数据(iFinD）'!$B10:$X10/'实盘净值数据(iFinD）'!$B$5:$X$5)*(1-实盘持仓初始配置!$Z$8)^(('实盘净值数据(iFinD）'!$A10-'实盘净值数据(iFinD）'!$A$5)/365))</f>
        <v>0.99892980064356218</v>
      </c>
      <c r="O10" s="16">
        <f>IF(OR(N9="",'实盘净值数据(iFinD）'!$A10="",'实盘净值数据(iFinD）'!$B10=""),"",(SUMPRODUCT(实盘持仓初始配置!$B$8:$X$8,'实盘净值数据(iFinD）'!$B9:$X9/'实盘净值数据(iFinD）'!$B$5:$X$5,'实盘净值数据(iFinD）'!$B10:$X10/'实盘净值数据(iFinD）'!$B9:$X9)/SUMPRODUCT(实盘持仓初始配置!$B$8:$X$8,'实盘净值数据(iFinD）'!$B9:$X9/'实盘净值数据(iFinD）'!$B$5:$X$5))*(1-实盘持仓初始配置!$Z$8)^(('实盘净值数据(iFinD）'!$A10-'实盘净值数据(iFinD）'!$A9)/365)-1)</f>
        <v>-2.3451843484805224E-3</v>
      </c>
      <c r="P10" s="16">
        <f>IF(N10="","",N10/MAX(N$5:N10)-1)</f>
        <v>-2.3451843484806334E-3</v>
      </c>
      <c r="Q10" s="13">
        <f>IF(OR((ROW()-1)&lt;8,'实盘净值数据(iFinD）'!$A10="",'实盘净值数据(iFinD）'!$B10=""),"",SUMPRODUCT(实盘持仓初始配置!$B$9:$X$9,'实盘净值数据(iFinD）'!$B10:$X10/'实盘净值数据(iFinD）'!$B$8:$X$8)*(1-实盘持仓初始配置!$Z$9)^(('实盘净值数据(iFinD）'!$A10-'实盘净值数据(iFinD）'!$A$8)/365))</f>
        <v>0.99720804304745392</v>
      </c>
      <c r="R10" s="16">
        <f>IF(OR(Q9="",'实盘净值数据(iFinD）'!$A10="",'实盘净值数据(iFinD）'!$B10=""),"",(SUMPRODUCT(实盘持仓初始配置!$B$9:$X$9,'实盘净值数据(iFinD）'!$B9:$X9/'实盘净值数据(iFinD）'!$B$8:$X$8,'实盘净值数据(iFinD）'!$B10:$X10/'实盘净值数据(iFinD）'!$B9:$X9)/SUMPRODUCT(实盘持仓初始配置!$B$9:$X$9,'实盘净值数据(iFinD）'!$B9:$X9/'实盘净值数据(iFinD）'!$B$8:$X$8))*(1-实盘持仓初始配置!$Z$9)^(('实盘净值数据(iFinD）'!$A10-'实盘净值数据(iFinD）'!$A9)/365)-1)</f>
        <v>-6.7383921468430197E-3</v>
      </c>
      <c r="S10" s="16">
        <f>IF(Q10="","",Q10/MAX(Q$5:Q10)-1)</f>
        <v>-6.7383921468430197E-3</v>
      </c>
      <c r="T10" s="13"/>
      <c r="U10" s="16"/>
      <c r="V10" s="16"/>
    </row>
    <row r="11" spans="1:22" ht="14">
      <c r="A11" s="15">
        <f>IF('实盘净值数据(iFinD）'!A11="","",'实盘净值数据(iFinD）'!A11)</f>
        <v>46202</v>
      </c>
      <c r="B11" s="13">
        <f>IF(OR((ROW()-1)&lt;6,'实盘净值数据(iFinD）'!$A11="",'实盘净值数据(iFinD）'!$B11=""),"",SUMPRODUCT(实盘持仓初始配置!$B$4:$X$4,'实盘净值数据(iFinD）'!$B11:$X11/'实盘净值数据(iFinD）'!$B$6:$X$6)*(1-实盘持仓初始配置!$Z$4)^(('实盘净值数据(iFinD）'!$A11-'实盘净值数据(iFinD）'!$A$6)/365))</f>
        <v>1.0294386648056562</v>
      </c>
      <c r="C11" s="16">
        <f>IF(OR(B10="",'实盘净值数据(iFinD）'!$A11="",'实盘净值数据(iFinD）'!$B11=""),"",(SUMPRODUCT(实盘持仓初始配置!$B$4:$X$4,'实盘净值数据(iFinD）'!$B10:$X10/'实盘净值数据(iFinD）'!$B$6:$X$6,'实盘净值数据(iFinD）'!$B11:$X11/'实盘净值数据(iFinD）'!$B10:$X10)/SUMPRODUCT(实盘持仓初始配置!$B$4:$X$4,'实盘净值数据(iFinD）'!$B10:$X10/'实盘净值数据(iFinD）'!$B$6:$X$6))*(1-实盘持仓初始配置!$Z$4)^(('实盘净值数据(iFinD）'!$A11-'实盘净值数据(iFinD）'!$A10)/365)-1)</f>
        <v>9.8023152719246553E-3</v>
      </c>
      <c r="D11" s="16">
        <f>IF(B11="","",B11/MAX(B$5:B11)-1)</f>
        <v>-1.906200466530128E-2</v>
      </c>
      <c r="E11" s="13">
        <f>IF(OR((ROW()-1)&lt;5,'实盘净值数据(iFinD）'!$A11="",'实盘净值数据(iFinD）'!$B11=""),"",SUMPRODUCT(实盘持仓初始配置!$B$5:$X$5,'实盘净值数据(iFinD）'!$B11:$X11/'实盘净值数据(iFinD）'!$B$5:$X$5)*(1-实盘持仓初始配置!$Z$5)^(('实盘净值数据(iFinD）'!$A11-'实盘净值数据(iFinD）'!$A$5)/365))</f>
        <v>1.0532583926143868</v>
      </c>
      <c r="F11" s="16">
        <f>IF(OR(E10="",'实盘净值数据(iFinD）'!$A11="",'实盘净值数据(iFinD）'!$B11=""),"",(SUMPRODUCT(实盘持仓初始配置!$B$5:$X$5,'实盘净值数据(iFinD）'!$B10:$X10/'实盘净值数据(iFinD）'!$B$5:$X$5,'实盘净值数据(iFinD）'!$B11:$X11/'实盘净值数据(iFinD）'!$B10:$X10)/SUMPRODUCT(实盘持仓初始配置!$B$5:$X$5,'实盘净值数据(iFinD）'!$B10:$X10/'实盘净值数据(iFinD）'!$B$5:$X$5))*(1-实盘持仓初始配置!$Z$5)^(('实盘净值数据(iFinD）'!$A11-'实盘净值数据(iFinD）'!$A10)/365)-1)</f>
        <v>9.6949189145405512E-3</v>
      </c>
      <c r="G11" s="16">
        <f>IF(E11="","",E11/MAX(E$5:E11)-1)</f>
        <v>-1.9261833577678411E-2</v>
      </c>
      <c r="H11" s="13">
        <f>IF(OR((ROW()-1)&lt;7,'实盘净值数据(iFinD）'!$A11="",'实盘净值数据(iFinD）'!$B11=""),"",SUMPRODUCT(实盘持仓初始配置!$B$6:$X$6,'实盘净值数据(iFinD）'!$B11:$X11/'实盘净值数据(iFinD）'!$B$7:$X$7)*(1-实盘持仓初始配置!$Z$6)^(('实盘净值数据(iFinD）'!$A11-'实盘净值数据(iFinD）'!$A$7)/365))</f>
        <v>1.0685098764526948</v>
      </c>
      <c r="I11" s="16">
        <f>IF(OR(H10="",'实盘净值数据(iFinD）'!$A11="",'实盘净值数据(iFinD）'!$B11=""),"",(SUMPRODUCT(实盘持仓初始配置!$B$6:$X$6,'实盘净值数据(iFinD）'!$B10:$X10/'实盘净值数据(iFinD）'!$B$7:$X$7,'实盘净值数据(iFinD）'!$B11:$X11/'实盘净值数据(iFinD）'!$B10:$X10)/SUMPRODUCT(实盘持仓初始配置!$B$6:$X$6,'实盘净值数据(iFinD）'!$B10:$X10/'实盘净值数据(iFinD）'!$B$7:$X$7))*(1-实盘持仓初始配置!$Z$6)^(('实盘净值数据(iFinD）'!$A11-'实盘净值数据(iFinD）'!$A10)/365)-1)</f>
        <v>1.7003074126745288E-2</v>
      </c>
      <c r="J11" s="16">
        <f>IF(H11="","",H11/MAX(H$5:H11)-1)</f>
        <v>-5.2115522572828699E-3</v>
      </c>
      <c r="K11" s="13">
        <f>IF(OR((ROW()-1)&lt;8,'实盘净值数据(iFinD）'!$A11="",'实盘净值数据(iFinD）'!$B11=""),"",SUMPRODUCT(实盘持仓初始配置!$B$7:$X$7,'实盘净值数据(iFinD）'!$B11:$X11/'实盘净值数据(iFinD）'!$B$8:$X$8)*(1-实盘持仓初始配置!$Z$7)^(('实盘净值数据(iFinD）'!$A11-'实盘净值数据(iFinD）'!$A$8)/365))</f>
        <v>1.0013813603515529</v>
      </c>
      <c r="L11" s="16">
        <f>IF(OR(K10="",'实盘净值数据(iFinD）'!$A11="",'实盘净值数据(iFinD）'!$B11=""),"",(SUMPRODUCT(实盘持仓初始配置!$B$7:$X$7,'实盘净值数据(iFinD）'!$B10:$X10/'实盘净值数据(iFinD）'!$B$8:$X$8,'实盘净值数据(iFinD）'!$B11:$X11/'实盘净值数据(iFinD）'!$B10:$X10)/SUMPRODUCT(实盘持仓初始配置!$B$7:$X$7,'实盘净值数据(iFinD）'!$B10:$X10/'实盘净值数据(iFinD）'!$B$8:$X$8))*(1-实盘持仓初始配置!$Z$7)^(('实盘净值数据(iFinD）'!$A11-'实盘净值数据(iFinD）'!$A10)/365)-1)</f>
        <v>1.9001106318041749E-3</v>
      </c>
      <c r="M11" s="16">
        <f>IF(K11="","",K11/MAX(K$5:K11)-1)</f>
        <v>-3.2787890697050237E-5</v>
      </c>
      <c r="N11" s="13">
        <f>IF(OR((ROW()-1)&lt;5,'实盘净值数据(iFinD）'!$A11="",'实盘净值数据(iFinD）'!$B11=""),"",SUMPRODUCT(实盘持仓初始配置!$B$8:$X$8,'实盘净值数据(iFinD）'!$B11:$X11/'实盘净值数据(iFinD）'!$B$5:$X$5)*(1-实盘持仓初始配置!$Z$8)^(('实盘净值数据(iFinD）'!$A11-'实盘净值数据(iFinD）'!$A$5)/365))</f>
        <v>1.0005210497548791</v>
      </c>
      <c r="O11" s="16">
        <f>IF(OR(N10="",'实盘净值数据(iFinD）'!$A11="",'实盘净值数据(iFinD）'!$B11=""),"",(SUMPRODUCT(实盘持仓初始配置!$B$8:$X$8,'实盘净值数据(iFinD）'!$B10:$X10/'实盘净值数据(iFinD）'!$B$5:$X$5,'实盘净值数据(iFinD）'!$B11:$X11/'实盘净值数据(iFinD）'!$B10:$X10)/SUMPRODUCT(实盘持仓初始配置!$B$8:$X$8,'实盘净值数据(iFinD）'!$B10:$X10/'实盘净值数据(iFinD）'!$B$5:$X$5))*(1-实盘持仓初始配置!$Z$8)^(('实盘净值数据(iFinD）'!$A11-'实盘净值数据(iFinD）'!$A10)/365)-1)</f>
        <v>1.5929538895442796E-3</v>
      </c>
      <c r="P11" s="16">
        <f>IF(N11="","",N11/MAX(N$5:N11)-1)</f>
        <v>-7.5596622946594305E-4</v>
      </c>
      <c r="Q11" s="13">
        <f>IF(OR((ROW()-1)&lt;8,'实盘净值数据(iFinD）'!$A11="",'实盘净值数据(iFinD）'!$B11=""),"",SUMPRODUCT(实盘持仓初始配置!$B$9:$X$9,'实盘净值数据(iFinD）'!$B11:$X11/'实盘净值数据(iFinD）'!$B$8:$X$8)*(1-实盘持仓初始配置!$Z$9)^(('实盘净值数据(iFinD）'!$A11-'实盘净值数据(iFinD）'!$A$8)/365))</f>
        <v>1.0009806053834995</v>
      </c>
      <c r="R11" s="16">
        <f>IF(OR(Q10="",'实盘净值数据(iFinD）'!$A11="",'实盘净值数据(iFinD）'!$B11=""),"",(SUMPRODUCT(实盘持仓初始配置!$B$9:$X$9,'实盘净值数据(iFinD）'!$B10:$X10/'实盘净值数据(iFinD）'!$B$8:$X$8,'实盘净值数据(iFinD）'!$B11:$X11/'实盘净值数据(iFinD）'!$B10:$X10)/SUMPRODUCT(实盘持仓初始配置!$B$9:$X$9,'实盘净值数据(iFinD）'!$B10:$X10/'实盘净值数据(iFinD）'!$B$8:$X$8))*(1-实盘持仓初始配置!$Z$9)^(('实盘净值数据(iFinD）'!$A11-'实盘净值数据(iFinD）'!$A10)/365)-1)</f>
        <v>3.7831246572348487E-3</v>
      </c>
      <c r="S11" s="16">
        <f>IF(Q11="","",Q11/MAX(Q$5:Q11)-1)</f>
        <v>-2.9807596670892167E-3</v>
      </c>
      <c r="T11" s="13"/>
      <c r="U11" s="16"/>
      <c r="V11" s="16"/>
    </row>
    <row r="12" spans="1:22">
      <c r="A12" s="15">
        <f>IF('实盘净值数据(iFinD）'!A12="","",'实盘净值数据(iFinD）'!A12)</f>
        <v>46203</v>
      </c>
      <c r="B12" s="13">
        <f>IF(OR((ROW()-1)&lt;6,'实盘净值数据(iFinD）'!$A12="",'实盘净值数据(iFinD）'!$B12=""),"",SUMPRODUCT(实盘持仓初始配置!$B$4:$X$4,'实盘净值数据(iFinD）'!$B12:$X12/'实盘净值数据(iFinD）'!$B$6:$X$6)*(1-实盘持仓初始配置!$Z$4)^(('实盘净值数据(iFinD）'!$A12-'实盘净值数据(iFinD）'!$A$6)/365))</f>
        <v>1.0748479117145109</v>
      </c>
      <c r="C12" s="16">
        <f>IF(OR(B11="",'实盘净值数据(iFinD）'!$A12="",'实盘净值数据(iFinD）'!$B12=""),"",(SUMPRODUCT(实盘持仓初始配置!$B$4:$X$4,'实盘净值数据(iFinD）'!$B11:$X11/'实盘净值数据(iFinD）'!$B$6:$X$6,'实盘净值数据(iFinD）'!$B12:$X12/'实盘净值数据(iFinD）'!$B11:$X11)/SUMPRODUCT(实盘持仓初始配置!$B$4:$X$4,'实盘净值数据(iFinD）'!$B11:$X11/'实盘净值数据(iFinD）'!$B$6:$X$6))*(1-实盘持仓初始配置!$Z$4)^(('实盘净值数据(iFinD）'!$A12-'实盘净值数据(iFinD）'!$A11)/365)-1)</f>
        <v>4.4110687174769625E-2</v>
      </c>
      <c r="D12" s="16">
        <f>IF(B12="","",B12/MAX(B$5:B12)-1)</f>
        <v>0</v>
      </c>
      <c r="E12" s="13">
        <f>IF(OR((ROW()-1)&lt;5,'实盘净值数据(iFinD）'!$A12="",'实盘净值数据(iFinD）'!$B12=""),"",SUMPRODUCT(实盘持仓初始配置!$B$5:$X$5,'实盘净值数据(iFinD）'!$B12:$X12/'实盘净值数据(iFinD）'!$B$5:$X$5)*(1-实盘持仓初始配置!$Z$5)^(('实盘净值数据(iFinD）'!$A12-'实盘净值数据(iFinD）'!$A$5)/365))</f>
        <v>1.0997368712958928</v>
      </c>
      <c r="F12" s="16">
        <f>IF(OR(E11="",'实盘净值数据(iFinD）'!$A12="",'实盘净值数据(iFinD）'!$B12=""),"",(SUMPRODUCT(实盘持仓初始配置!$B$5:$X$5,'实盘净值数据(iFinD）'!$B11:$X11/'实盘净值数据(iFinD）'!$B$5:$X$5,'实盘净值数据(iFinD）'!$B12:$X12/'实盘净值数据(iFinD）'!$B11:$X11)/SUMPRODUCT(实盘持仓初始配置!$B$5:$X$5,'实盘净值数据(iFinD）'!$B11:$X11/'实盘净值数据(iFinD）'!$B$5:$X$5))*(1-实盘持仓初始配置!$Z$5)^(('实盘净值数据(iFinD）'!$A12-'实盘净值数据(iFinD）'!$A11)/365)-1)</f>
        <v>4.412827755033355E-2</v>
      </c>
      <c r="G12" s="16">
        <f>IF(E12="","",E12/MAX(E$5:E12)-1)</f>
        <v>0</v>
      </c>
      <c r="H12" s="13">
        <f>IF(OR((ROW()-1)&lt;7,'实盘净值数据(iFinD）'!$A12="",'实盘净值数据(iFinD）'!$B12=""),"",SUMPRODUCT(实盘持仓初始配置!$B$6:$X$6,'实盘净值数据(iFinD）'!$B12:$X12/'实盘净值数据(iFinD）'!$B$7:$X$7)*(1-实盘持仓初始配置!$Z$6)^(('实盘净值数据(iFinD）'!$A12-'实盘净值数据(iFinD）'!$A$7)/365))</f>
        <v>1.1117066956825354</v>
      </c>
      <c r="I12" s="16">
        <f>IF(OR(H11="",'实盘净值数据(iFinD）'!$A12="",'实盘净值数据(iFinD）'!$B12=""),"",(SUMPRODUCT(实盘持仓初始配置!$B$6:$X$6,'实盘净值数据(iFinD）'!$B11:$X11/'实盘净值数据(iFinD）'!$B$7:$X$7,'实盘净值数据(iFinD）'!$B12:$X12/'实盘净值数据(iFinD）'!$B11:$X11)/SUMPRODUCT(实盘持仓初始配置!$B$6:$X$6,'实盘净值数据(iFinD）'!$B11:$X11/'实盘净值数据(iFinD）'!$B$7:$X$7))*(1-实盘持仓初始配置!$Z$6)^(('实盘净值数据(iFinD）'!$A12-'实盘净值数据(iFinD）'!$A11)/365)-1)</f>
        <v>4.042715952542042E-2</v>
      </c>
      <c r="J12" s="16">
        <f>IF(H12="","",H12/MAX(H$5:H12)-1)</f>
        <v>0</v>
      </c>
      <c r="K12" s="13">
        <f>IF(OR((ROW()-1)&lt;8,'实盘净值数据(iFinD）'!$A12="",'实盘净值数据(iFinD）'!$B12=""),"",SUMPRODUCT(实盘持仓初始配置!$B$7:$X$7,'实盘净值数据(iFinD）'!$B12:$X12/'实盘净值数据(iFinD）'!$B$8:$X$8)*(1-实盘持仓初始配置!$Z$7)^(('实盘净值数据(iFinD）'!$A12-'实盘净值数据(iFinD）'!$A$8)/365))</f>
        <v>1.0032719936317975</v>
      </c>
      <c r="L12" s="16">
        <f>IF(OR(K11="",'实盘净值数据(iFinD）'!$A12="",'实盘净值数据(iFinD）'!$B12=""),"",(SUMPRODUCT(实盘持仓初始配置!$B$7:$X$7,'实盘净值数据(iFinD）'!$B11:$X11/'实盘净值数据(iFinD）'!$B$8:$X$8,'实盘净值数据(iFinD）'!$B12:$X12/'实盘净值数据(iFinD）'!$B11:$X11)/SUMPRODUCT(实盘持仓初始配置!$B$7:$X$7,'实盘净值数据(iFinD）'!$B11:$X11/'实盘净值数据(iFinD）'!$B$8:$X$8))*(1-实盘持仓初始配置!$Z$7)^(('实盘净值数据(iFinD）'!$A12-'实盘净值数据(iFinD）'!$A11)/365)-1)</f>
        <v>1.888025237039237E-3</v>
      </c>
      <c r="M12" s="16">
        <f>IF(K12="","",K12/MAX(K$5:K12)-1)</f>
        <v>0</v>
      </c>
      <c r="N12" s="13">
        <f>IF(OR((ROW()-1)&lt;5,'实盘净值数据(iFinD）'!$A12="",'实盘净值数据(iFinD）'!$B12=""),"",SUMPRODUCT(实盘持仓初始配置!$B$8:$X$8,'实盘净值数据(iFinD）'!$B12:$X12/'实盘净值数据(iFinD）'!$B$5:$X$5)*(1-实盘持仓初始配置!$Z$8)^(('实盘净值数据(iFinD）'!$A12-'实盘净值数据(iFinD）'!$A$5)/365))</f>
        <v>1.0027101391424882</v>
      </c>
      <c r="O12" s="16">
        <f>IF(OR(N11="",'实盘净值数据(iFinD）'!$A12="",'实盘净值数据(iFinD）'!$B12=""),"",(SUMPRODUCT(实盘持仓初始配置!$B$8:$X$8,'实盘净值数据(iFinD）'!$B11:$X11/'实盘净值数据(iFinD）'!$B$5:$X$5,'实盘净值数据(iFinD）'!$B12:$X12/'实盘净值数据(iFinD）'!$B11:$X11)/SUMPRODUCT(实盘持仓初始配置!$B$8:$X$8,'实盘净值数据(iFinD）'!$B11:$X11/'实盘净值数据(iFinD）'!$B$5:$X$5))*(1-实盘持仓初始配置!$Z$8)^(('实盘净值数据(iFinD）'!$A12-'实盘净值数据(iFinD）'!$A11)/365)-1)</f>
        <v>2.1879493571328457E-3</v>
      </c>
      <c r="P12" s="16">
        <f>IF(N12="","",N12/MAX(N$5:N12)-1)</f>
        <v>0</v>
      </c>
      <c r="Q12" s="13">
        <f>IF(OR((ROW()-1)&lt;8,'实盘净值数据(iFinD）'!$A12="",'实盘净值数据(iFinD）'!$B12=""),"",SUMPRODUCT(实盘持仓初始配置!$B$9:$X$9,'实盘净值数据(iFinD）'!$B12:$X12/'实盘净值数据(iFinD）'!$B$8:$X$8)*(1-实盘持仓初始配置!$Z$9)^(('实盘净值数据(iFinD）'!$A12-'实盘净值数据(iFinD）'!$A$8)/365))</f>
        <v>1.0087618711402628</v>
      </c>
      <c r="R12" s="16">
        <f>IF(OR(Q11="",'实盘净值数据(iFinD）'!$A12="",'实盘净值数据(iFinD）'!$B12=""),"",(SUMPRODUCT(实盘持仓初始配置!$B$9:$X$9,'实盘净值数据(iFinD）'!$B11:$X11/'实盘净值数据(iFinD）'!$B$8:$X$8,'实盘净值数据(iFinD）'!$B12:$X12/'实盘净值数据(iFinD）'!$B11:$X11)/SUMPRODUCT(实盘持仓初始配置!$B$9:$X$9,'实盘净值数据(iFinD）'!$B11:$X11/'实盘净值数据(iFinD）'!$B$8:$X$8))*(1-实盘持仓初始配置!$Z$9)^(('实盘净值数据(iFinD）'!$A12-'实盘净值数据(iFinD）'!$A11)/365)-1)</f>
        <v>7.7736428807049229E-3</v>
      </c>
      <c r="S12" s="16">
        <f>IF(Q12="","",Q12/MAX(Q$5:Q12)-1)</f>
        <v>0</v>
      </c>
      <c r="T12" s="13"/>
      <c r="U12" s="16"/>
      <c r="V12" s="16"/>
    </row>
    <row r="13" spans="1:22">
      <c r="A13" s="15">
        <f>IF('实盘净值数据(iFinD）'!A13="","",'实盘净值数据(iFinD）'!A13)</f>
        <v>46204</v>
      </c>
      <c r="B13" s="13">
        <f>IF(OR((ROW()-1)&lt;6,'实盘净值数据(iFinD）'!$A13="",'实盘净值数据(iFinD）'!$B13=""),"",SUMPRODUCT(实盘持仓初始配置!$B$4:$X$4,'实盘净值数据(iFinD）'!$B13:$X13/'实盘净值数据(iFinD）'!$B$6:$X$6)*(1-实盘持仓初始配置!$Z$4)^(('实盘净值数据(iFinD）'!$A13-'实盘净值数据(iFinD）'!$A$6)/365))</f>
        <v>1.0416673271387726</v>
      </c>
      <c r="C13" s="16">
        <f>IF(OR(B12="",'实盘净值数据(iFinD）'!$A13="",'实盘净值数据(iFinD）'!$B13=""),"",(SUMPRODUCT(实盘持仓初始配置!$B$4:$X$4,'实盘净值数据(iFinD）'!$B12:$X12/'实盘净值数据(iFinD）'!$B$6:$X$6,'实盘净值数据(iFinD）'!$B13:$X13/'实盘净值数据(iFinD）'!$B12:$X12)/SUMPRODUCT(实盘持仓初始配置!$B$4:$X$4,'实盘净值数据(iFinD）'!$B12:$X12/'实盘净值数据(iFinD）'!$B$6:$X$6))*(1-实盘持仓初始配置!$Z$4)^(('实盘净值数据(iFinD）'!$A13-'实盘净值数据(iFinD）'!$A12)/365)-1)</f>
        <v>-3.0870027483991924E-2</v>
      </c>
      <c r="D13" s="16">
        <f>IF(B13="","",B13/MAX(B$5:B13)-1)</f>
        <v>-3.0870027483991924E-2</v>
      </c>
      <c r="E13" s="13">
        <f>IF(OR((ROW()-1)&lt;5,'实盘净值数据(iFinD）'!$A13="",'实盘净值数据(iFinD）'!$B13=""),"",SUMPRODUCT(实盘持仓初始配置!$B$5:$X$5,'实盘净值数据(iFinD）'!$B13:$X13/'实盘净值数据(iFinD）'!$B$5:$X$5)*(1-实盘持仓初始配置!$Z$5)^(('实盘净值数据(iFinD）'!$A13-'实盘净值数据(iFinD）'!$A$5)/365))</f>
        <v>1.0657543280201871</v>
      </c>
      <c r="F13" s="16">
        <f>IF(OR(E12="",'实盘净值数据(iFinD）'!$A13="",'实盘净值数据(iFinD）'!$B13=""),"",(SUMPRODUCT(实盘持仓初始配置!$B$5:$X$5,'实盘净值数据(iFinD）'!$B12:$X12/'实盘净值数据(iFinD）'!$B$5:$X$5,'实盘净值数据(iFinD）'!$B13:$X13/'实盘净值数据(iFinD）'!$B12:$X12)/SUMPRODUCT(实盘持仓初始配置!$B$5:$X$5,'实盘净值数据(iFinD）'!$B12:$X12/'实盘净值数据(iFinD）'!$B$5:$X$5))*(1-实盘持仓初始配置!$Z$5)^(('实盘净值数据(iFinD）'!$A13-'实盘净值数据(iFinD）'!$A12)/365)-1)</f>
        <v>-3.0900612830832896E-2</v>
      </c>
      <c r="G13" s="16">
        <f>IF(E13="","",E13/MAX(E$5:E13)-1)</f>
        <v>-3.0900612830832785E-2</v>
      </c>
      <c r="H13" s="13">
        <f>IF(OR((ROW()-1)&lt;7,'实盘净值数据(iFinD）'!$A13="",'实盘净值数据(iFinD）'!$B13=""),"",SUMPRODUCT(实盘持仓初始配置!$B$6:$X$6,'实盘净值数据(iFinD）'!$B13:$X13/'实盘净值数据(iFinD）'!$B$7:$X$7)*(1-实盘持仓初始配置!$Z$6)^(('实盘净值数据(iFinD）'!$A13-'实盘净值数据(iFinD）'!$A$7)/365))</f>
        <v>1.0836174881519127</v>
      </c>
      <c r="I13" s="16">
        <f>IF(OR(H12="",'实盘净值数据(iFinD）'!$A13="",'实盘净值数据(iFinD）'!$B13=""),"",(SUMPRODUCT(实盘持仓初始配置!$B$6:$X$6,'实盘净值数据(iFinD）'!$B12:$X12/'实盘净值数据(iFinD）'!$B$7:$X$7,'实盘净值数据(iFinD）'!$B13:$X13/'实盘净值数据(iFinD）'!$B12:$X12)/SUMPRODUCT(实盘持仓初始配置!$B$6:$X$6,'实盘净值数据(iFinD）'!$B12:$X12/'实盘净值数据(iFinD）'!$B$7:$X$7))*(1-实盘持仓初始配置!$Z$6)^(('实盘净值数据(iFinD）'!$A13-'实盘净值数据(iFinD）'!$A12)/365)-1)</f>
        <v>-2.5266743143412818E-2</v>
      </c>
      <c r="J13" s="16">
        <f>IF(H13="","",H13/MAX(H$5:H13)-1)</f>
        <v>-2.5266743143412707E-2</v>
      </c>
      <c r="K13" s="13">
        <f>IF(OR((ROW()-1)&lt;8,'实盘净值数据(iFinD）'!$A13="",'实盘净值数据(iFinD）'!$B13=""),"",SUMPRODUCT(实盘持仓初始配置!$B$7:$X$7,'实盘净值数据(iFinD）'!$B13:$X13/'实盘净值数据(iFinD）'!$B$8:$X$8)*(1-实盘持仓初始配置!$Z$7)^(('实盘净值数据(iFinD）'!$A13-'实盘净值数据(iFinD）'!$A$8)/365))</f>
        <v>1.0008642071384042</v>
      </c>
      <c r="L13" s="16">
        <f>IF(OR(K12="",'实盘净值数据(iFinD）'!$A13="",'实盘净值数据(iFinD）'!$B13=""),"",(SUMPRODUCT(实盘持仓初始配置!$B$7:$X$7,'实盘净值数据(iFinD）'!$B12:$X12/'实盘净值数据(iFinD）'!$B$8:$X$8,'实盘净值数据(iFinD）'!$B13:$X13/'实盘净值数据(iFinD）'!$B12:$X12)/SUMPRODUCT(实盘持仓初始配置!$B$7:$X$7,'实盘净值数据(iFinD）'!$B12:$X12/'实盘净值数据(iFinD）'!$B$8:$X$8))*(1-实盘持仓初始配置!$Z$7)^(('实盘净值数据(iFinD）'!$A13-'实盘净值数据(iFinD）'!$A12)/365)-1)</f>
        <v>-2.3999339248743645E-3</v>
      </c>
      <c r="M13" s="16">
        <f>IF(K13="","",K13/MAX(K$5:K13)-1)</f>
        <v>-2.3999339248744755E-3</v>
      </c>
      <c r="N13" s="13">
        <f>IF(OR((ROW()-1)&lt;5,'实盘净值数据(iFinD）'!$A13="",'实盘净值数据(iFinD）'!$B13=""),"",SUMPRODUCT(实盘持仓初始配置!$B$8:$X$8,'实盘净值数据(iFinD）'!$B13:$X13/'实盘净值数据(iFinD）'!$B$5:$X$5)*(1-实盘持仓初始配置!$Z$8)^(('实盘净值数据(iFinD）'!$A13-'实盘净值数据(iFinD）'!$A$5)/365))</f>
        <v>0.99998436731801976</v>
      </c>
      <c r="O13" s="16">
        <f>IF(OR(N12="",'实盘净值数据(iFinD）'!$A13="",'实盘净值数据(iFinD）'!$B13=""),"",(SUMPRODUCT(实盘持仓初始配置!$B$8:$X$8,'实盘净值数据(iFinD）'!$B12:$X12/'实盘净值数据(iFinD）'!$B$5:$X$5,'实盘净值数据(iFinD）'!$B13:$X13/'实盘净值数据(iFinD）'!$B12:$X12)/SUMPRODUCT(实盘持仓初始配置!$B$8:$X$8,'实盘净值数据(iFinD）'!$B12:$X12/'实盘净值数据(iFinD）'!$B$5:$X$5))*(1-实盘持仓初始配置!$Z$8)^(('实盘净值数据(iFinD）'!$A13-'实盘净值数据(iFinD）'!$A12)/365)-1)</f>
        <v>-2.7184045698385173E-3</v>
      </c>
      <c r="P13" s="16">
        <f>IF(N13="","",N13/MAX(N$5:N13)-1)</f>
        <v>-2.7184045698386283E-3</v>
      </c>
      <c r="Q13" s="13">
        <f>IF(OR((ROW()-1)&lt;8,'实盘净值数据(iFinD）'!$A13="",'实盘净值数据(iFinD）'!$B13=""),"",SUMPRODUCT(实盘持仓初始配置!$B$9:$X$9,'实盘净值数据(iFinD）'!$B13:$X13/'实盘净值数据(iFinD）'!$B$8:$X$8)*(1-实盘持仓初始配置!$Z$9)^(('实盘净值数据(iFinD）'!$A13-'实盘净值数据(iFinD）'!$A$8)/365))</f>
        <v>1.0039155476418373</v>
      </c>
      <c r="R13" s="16">
        <f>IF(OR(Q12="",'实盘净值数据(iFinD）'!$A13="",'实盘净值数据(iFinD）'!$B13=""),"",(SUMPRODUCT(实盘持仓初始配置!$B$9:$X$9,'实盘净值数据(iFinD）'!$B12:$X12/'实盘净值数据(iFinD）'!$B$8:$X$8,'实盘净值数据(iFinD）'!$B13:$X13/'实盘净值数据(iFinD）'!$B12:$X12)/SUMPRODUCT(实盘持仓初始配置!$B$9:$X$9,'实盘净值数据(iFinD）'!$B12:$X12/'实盘净值数据(iFinD）'!$B$8:$X$8))*(1-实盘持仓初始配置!$Z$9)^(('实盘净值数据(iFinD）'!$A13-'实盘净值数据(iFinD）'!$A12)/365)-1)</f>
        <v>-4.8042294589777379E-3</v>
      </c>
      <c r="S13" s="16">
        <f>IF(Q13="","",Q13/MAX(Q$5:Q13)-1)</f>
        <v>-4.8042294589777379E-3</v>
      </c>
      <c r="T13" s="13"/>
      <c r="U13" s="16"/>
      <c r="V13" s="16"/>
    </row>
    <row r="14" spans="1:22">
      <c r="A14" s="15">
        <f>IF('实盘净值数据(iFinD）'!A14="","",'实盘净值数据(iFinD）'!A14)</f>
        <v>46205</v>
      </c>
      <c r="B14" s="13">
        <f>IF(OR((ROW()-1)&lt;6,'实盘净值数据(iFinD）'!$A14="",'实盘净值数据(iFinD）'!$B14=""),"",SUMPRODUCT(实盘持仓初始配置!$B$4:$X$4,'实盘净值数据(iFinD）'!$B14:$X14/'实盘净值数据(iFinD）'!$B$6:$X$6)*(1-实盘持仓初始配置!$Z$4)^(('实盘净值数据(iFinD）'!$A14-'实盘净值数据(iFinD）'!$A$6)/365))</f>
        <v>0.9502400516447862</v>
      </c>
      <c r="C14" s="16">
        <f>IF(OR(B13="",'实盘净值数据(iFinD）'!$A14="",'实盘净值数据(iFinD）'!$B14=""),"",(SUMPRODUCT(实盘持仓初始配置!$B$4:$X$4,'实盘净值数据(iFinD）'!$B13:$X13/'实盘净值数据(iFinD）'!$B$6:$X$6,'实盘净值数据(iFinD）'!$B14:$X14/'实盘净值数据(iFinD）'!$B13:$X13)/SUMPRODUCT(实盘持仓初始配置!$B$4:$X$4,'实盘净值数据(iFinD）'!$B13:$X13/'实盘净值数据(iFinD）'!$B$6:$X$6))*(1-实盘持仓初始配置!$Z$4)^(('实盘净值数据(iFinD）'!$A14-'实盘净值数据(iFinD）'!$A13)/365)-1)</f>
        <v>-8.7770128823294269E-2</v>
      </c>
      <c r="D14" s="16">
        <f>IF(B14="","",B14/MAX(B$5:B14)-1)</f>
        <v>-0.1159306900182373</v>
      </c>
      <c r="E14" s="13">
        <f>IF(OR((ROW()-1)&lt;5,'实盘净值数据(iFinD）'!$A14="",'实盘净值数据(iFinD）'!$B14=""),"",SUMPRODUCT(实盘持仓初始配置!$B$5:$X$5,'实盘净值数据(iFinD）'!$B14:$X14/'实盘净值数据(iFinD）'!$B$5:$X$5)*(1-实盘持仓初始配置!$Z$5)^(('实盘净值数据(iFinD）'!$A14-'实盘净值数据(iFinD）'!$A$5)/365))</f>
        <v>0.97222777037242381</v>
      </c>
      <c r="F14" s="16">
        <f>IF(OR(E13="",'实盘净值数据(iFinD）'!$A14="",'实盘净值数据(iFinD）'!$B14=""),"",(SUMPRODUCT(实盘持仓初始配置!$B$5:$X$5,'实盘净值数据(iFinD）'!$B13:$X13/'实盘净值数据(iFinD）'!$B$5:$X$5,'实盘净值数据(iFinD）'!$B14:$X14/'实盘净值数据(iFinD）'!$B13:$X13)/SUMPRODUCT(实盘持仓初始配置!$B$5:$X$5,'实盘净值数据(iFinD）'!$B13:$X13/'实盘净值数据(iFinD）'!$B$5:$X$5))*(1-实盘持仓初始配置!$Z$5)^(('实盘净值数据(iFinD）'!$A14-'实盘净值数据(iFinD）'!$A13)/365)-1)</f>
        <v>-8.7756207212880244E-2</v>
      </c>
      <c r="G14" s="16">
        <f>IF(E14="","",E14/MAX(E$5:E14)-1)</f>
        <v>-0.1159450994611253</v>
      </c>
      <c r="H14" s="13">
        <f>IF(OR((ROW()-1)&lt;7,'实盘净值数据(iFinD）'!$A14="",'实盘净值数据(iFinD）'!$B14=""),"",SUMPRODUCT(实盘持仓初始配置!$B$6:$X$6,'实盘净值数据(iFinD）'!$B14:$X14/'实盘净值数据(iFinD）'!$B$7:$X$7)*(1-实盘持仓初始配置!$Z$6)^(('实盘净值数据(iFinD）'!$A14-'实盘净值数据(iFinD）'!$A$7)/365))</f>
        <v>0.9917522529182049</v>
      </c>
      <c r="I14" s="16">
        <f>IF(OR(H13="",'实盘净值数据(iFinD）'!$A14="",'实盘净值数据(iFinD）'!$B14=""),"",(SUMPRODUCT(实盘持仓初始配置!$B$6:$X$6,'实盘净值数据(iFinD）'!$B13:$X13/'实盘净值数据(iFinD）'!$B$7:$X$7,'实盘净值数据(iFinD）'!$B14:$X14/'实盘净值数据(iFinD）'!$B13:$X13)/SUMPRODUCT(实盘持仓初始配置!$B$6:$X$6,'实盘净值数据(iFinD）'!$B13:$X13/'实盘净值数据(iFinD）'!$B$7:$X$7))*(1-实盘持仓初始配置!$Z$6)^(('实盘净值数据(iFinD）'!$A14-'实盘净值数据(iFinD）'!$A13)/365)-1)</f>
        <v>-8.477644209155577E-2</v>
      </c>
      <c r="J14" s="16">
        <f>IF(H14="","",H14/MAX(H$5:H14)-1)</f>
        <v>-0.10790116064802879</v>
      </c>
      <c r="K14" s="13">
        <f>IF(OR('实盘净值数据(iFinD）'!$A14="",'实盘净值数据(iFinD）'!$B14=""),"",分期持仓明细!$AB$9*SUMPRODUCT(分期持仓明细!$B$9:$Y$9,'实盘净值数据(iFinD）'!$B14:$Y14/'实盘净值数据(iFinD）'!$B$13:$Y$13)*(1-实盘持仓初始配置!$Z$7)^(('实盘净值数据(iFinD）'!$A14-'实盘净值数据(iFinD）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）'!$A14="",'实盘净值数据(iFinD）'!$B14=""),"",分期持仓明细!$AB$11*SUMPRODUCT(分期持仓明细!$B$11:$Y$11,'实盘净值数据(iFinD）'!$B14:$Y14/'实盘净值数据(iFinD）'!$B$13:$Y$13)*(1-实盘持仓初始配置!$Z$8)^(('实盘净值数据(iFinD）'!$A14-'实盘净值数据(iFinD）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）'!$A14="",'实盘净值数据(iFinD）'!$B14=""),"",分期持仓明细!$AB$13*SUMPRODUCT(分期持仓明细!$B$13:$Y$13,'实盘净值数据(iFinD）'!$B14:$Y14/'实盘净值数据(iFinD）'!$B$13:$Y$13)*(1-实盘持仓初始配置!$Z$9)^(('实盘净值数据(iFinD）'!$A14-'实盘净值数据(iFinD）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  <c r="T14" s="13"/>
      <c r="U14" s="16"/>
      <c r="V14" s="16"/>
    </row>
    <row r="15" spans="1:22">
      <c r="A15" s="15">
        <f>IF('实盘净值数据(iFinD）'!A15="","",'实盘净值数据(iFinD）'!A15)</f>
        <v>46206</v>
      </c>
      <c r="B15" s="13">
        <f>IF(OR((ROW()-1)&lt;6,'实盘净值数据(iFinD）'!$A15="",'实盘净值数据(iFinD）'!$B15=""),"",SUMPRODUCT(实盘持仓初始配置!$B$4:$X$4,'实盘净值数据(iFinD）'!$B15:$X15/'实盘净值数据(iFinD）'!$B$6:$X$6)*(1-实盘持仓初始配置!$Z$4)^(('实盘净值数据(iFinD）'!$A15-'实盘净值数据(iFinD）'!$A$6)/365))</f>
        <v>0.94321899538470466</v>
      </c>
      <c r="C15" s="16">
        <f>IF(OR(B14="",'实盘净值数据(iFinD）'!$A15="",'实盘净值数据(iFinD）'!$B15=""),"",(SUMPRODUCT(实盘持仓初始配置!$B$4:$X$4,'实盘净值数据(iFinD）'!$B14:$X14/'实盘净值数据(iFinD）'!$B$6:$X$6,'实盘净值数据(iFinD）'!$B15:$X15/'实盘净值数据(iFinD）'!$B14:$X14)/SUMPRODUCT(实盘持仓初始配置!$B$4:$X$4,'实盘净值数据(iFinD）'!$B14:$X14/'实盘净值数据(iFinD）'!$B$6:$X$6))*(1-实盘持仓初始配置!$Z$4)^(('实盘净值数据(iFinD）'!$A15-'实盘净值数据(iFinD）'!$A14)/365)-1)</f>
        <v>-7.3887185116313647E-3</v>
      </c>
      <c r="D15" s="16">
        <f>IF(B15="","",B15/MAX(B$5:B15)-1)</f>
        <v>-0.12246282929446495</v>
      </c>
      <c r="E15" s="13">
        <f>IF(OR((ROW()-1)&lt;5,'实盘净值数据(iFinD）'!$A15="",'实盘净值数据(iFinD）'!$B15=""),"",SUMPRODUCT(实盘持仓初始配置!$B$5:$X$5,'实盘净值数据(iFinD）'!$B15:$X15/'实盘净值数据(iFinD）'!$B$5:$X$5)*(1-实盘持仓初始配置!$Z$5)^(('实盘净值数据(iFinD）'!$A15-'实盘净值数据(iFinD）'!$A$5)/365))</f>
        <v>0.9650764877591137</v>
      </c>
      <c r="F15" s="16">
        <f>IF(OR(E14="",'实盘净值数据(iFinD）'!$A15="",'实盘净值数据(iFinD）'!$B15=""),"",(SUMPRODUCT(实盘持仓初始配置!$B$5:$X$5,'实盘净值数据(iFinD）'!$B14:$X14/'实盘净值数据(iFinD）'!$B$5:$X$5,'实盘净值数据(iFinD）'!$B15:$X15/'实盘净值数据(iFinD）'!$B14:$X14)/SUMPRODUCT(实盘持仓初始配置!$B$5:$X$5,'实盘净值数据(iFinD）'!$B14:$X14/'实盘净值数据(iFinD）'!$B$5:$X$5))*(1-实盘持仓初始配置!$Z$5)^(('实盘净值数据(iFinD）'!$A15-'实盘净值数据(iFinD）'!$A14)/365)-1)</f>
        <v>-7.3555629979286108E-3</v>
      </c>
      <c r="G15" s="16">
        <f>IF(E15="","",E15/MAX(E$5:E15)-1)</f>
        <v>-0.12244782097566653</v>
      </c>
      <c r="H15" s="13">
        <f>IF(OR((ROW()-1)&lt;7,'实盘净值数据(iFinD）'!$A15="",'实盘净值数据(iFinD）'!$B15=""),"",SUMPRODUCT(实盘持仓初始配置!$B$6:$X$6,'实盘净值数据(iFinD）'!$B15:$X15/'实盘净值数据(iFinD）'!$B$7:$X$7)*(1-实盘持仓初始配置!$Z$6)^(('实盘净值数据(iFinD）'!$A15-'实盘净值数据(iFinD）'!$A$7)/365))</f>
        <v>0.98876258967330444</v>
      </c>
      <c r="I15" s="16">
        <f>IF(OR(H14="",'实盘净值数据(iFinD）'!$A15="",'实盘净值数据(iFinD）'!$B15=""),"",(SUMPRODUCT(实盘持仓初始配置!$B$6:$X$6,'实盘净值数据(iFinD）'!$B14:$X14/'实盘净值数据(iFinD）'!$B$7:$X$7,'实盘净值数据(iFinD）'!$B15:$X15/'实盘净值数据(iFinD）'!$B14:$X14)/SUMPRODUCT(实盘持仓初始配置!$B$6:$X$6,'实盘净值数据(iFinD）'!$B14:$X14/'实盘净值数据(iFinD）'!$B$7:$X$7))*(1-实盘持仓初始配置!$Z$6)^(('实盘净值数据(iFinD）'!$A15-'实盘净值数据(iFinD）'!$A14)/365)-1)</f>
        <v>-3.0145262953558127E-3</v>
      </c>
      <c r="J15" s="16">
        <f>IF(H15="","",H15/MAX(H$5:H15)-1)</f>
        <v>-0.1105904160573119</v>
      </c>
      <c r="K15" s="13">
        <f>IF(OR('实盘净值数据(iFinD）'!$A15="",'实盘净值数据(iFinD）'!$B15=""),"",分期持仓明细!$AB$9*SUMPRODUCT(分期持仓明细!$B$9:$Y$9,'实盘净值数据(iFinD）'!$B15:$Y15/'实盘净值数据(iFinD）'!$B$13:$Y$13)*(1-实盘持仓初始配置!$Z$7)^(('实盘净值数据(iFinD）'!$A15-'实盘净值数据(iFinD）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）'!$A15="",'实盘净值数据(iFinD）'!$B15=""),"",分期持仓明细!$AB$11*SUMPRODUCT(分期持仓明细!$B$11:$Y$11,'实盘净值数据(iFinD）'!$B15:$Y15/'实盘净值数据(iFinD）'!$B$13:$Y$13)*(1-实盘持仓初始配置!$Z$8)^(('实盘净值数据(iFinD）'!$A15-'实盘净值数据(iFinD）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）'!$A15="",'实盘净值数据(iFinD）'!$B15=""),"",分期持仓明细!$AB$13*SUMPRODUCT(分期持仓明细!$B$13:$Y$13,'实盘净值数据(iFinD）'!$B15:$Y15/'实盘净值数据(iFinD）'!$B$13:$Y$13)*(1-实盘持仓初始配置!$Z$9)^(('实盘净值数据(iFinD）'!$A15-'实盘净值数据(iFinD）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  <c r="T15" s="13"/>
      <c r="U15" s="16"/>
      <c r="V15" s="16"/>
    </row>
    <row r="16" spans="1:22">
      <c r="A16" s="15">
        <f>IF('实盘净值数据(iFinD）'!A16="","",'实盘净值数据(iFinD）'!A16)</f>
        <v>46209</v>
      </c>
      <c r="B16" s="13">
        <f>IF(OR((ROW()-1)&lt;6,'实盘净值数据(iFinD）'!$A16="",'实盘净值数据(iFinD）'!$B16=""),"",SUMPRODUCT(实盘持仓初始配置!$B$4:$X$4,'实盘净值数据(iFinD）'!$B16:$X16/'实盘净值数据(iFinD）'!$B$6:$X$6)*(1-实盘持仓初始配置!$Z$4)^(('实盘净值数据(iFinD）'!$A16-'实盘净值数据(iFinD）'!$A$6)/365))</f>
        <v>0.92459185139429301</v>
      </c>
      <c r="C16" s="16">
        <f>IF(OR(B15="",'实盘净值数据(iFinD）'!$A16="",'实盘净值数据(iFinD）'!$B16=""),"",(SUMPRODUCT(实盘持仓初始配置!$B$4:$X$4,'实盘净值数据(iFinD）'!$B15:$X15/'实盘净值数据(iFinD）'!$B$6:$X$6,'实盘净值数据(iFinD）'!$B16:$X16/'实盘净值数据(iFinD）'!$B15:$X15)/SUMPRODUCT(实盘持仓初始配置!$B$4:$X$4,'实盘净值数据(iFinD）'!$B15:$X15/'实盘净值数据(iFinD）'!$B$6:$X$6))*(1-实盘持仓初始配置!$Z$4)^(('实盘净值数据(iFinD）'!$A16-'实盘净值数据(iFinD）'!$A15)/365)-1)</f>
        <v>-1.9748482676405832E-2</v>
      </c>
      <c r="D16" s="16">
        <f>IF(B16="","",B16/MAX(B$5:B16)-1)</f>
        <v>-0.13979285690804522</v>
      </c>
      <c r="E16" s="13">
        <f>IF(OR((ROW()-1)&lt;5,'实盘净值数据(iFinD）'!$A16="",'实盘净值数据(iFinD）'!$B16=""),"",SUMPRODUCT(实盘持仓初始配置!$B$5:$X$5,'实盘净值数据(iFinD）'!$B16:$X16/'实盘净值数据(iFinD）'!$B$5:$X$5)*(1-实盘持仓初始配置!$Z$5)^(('实盘净值数据(iFinD）'!$A16-'实盘净值数据(iFinD）'!$A$5)/365))</f>
        <v>0.94597775731161959</v>
      </c>
      <c r="F16" s="16">
        <f>IF(OR(E15="",'实盘净值数据(iFinD）'!$A16="",'实盘净值数据(iFinD）'!$B16=""),"",(SUMPRODUCT(实盘持仓初始配置!$B$5:$X$5,'实盘净值数据(iFinD）'!$B15:$X15/'实盘净值数据(iFinD）'!$B$5:$X$5,'实盘净值数据(iFinD）'!$B16:$X16/'实盘净值数据(iFinD）'!$B15:$X15)/SUMPRODUCT(实盘持仓初始配置!$B$5:$X$5,'实盘净值数据(iFinD）'!$B15:$X15/'实盘净值数据(iFinD）'!$B$5:$X$5))*(1-实盘持仓初始配置!$Z$5)^(('实盘净值数据(iFinD）'!$A16-'实盘净值数据(iFinD）'!$A15)/365)-1)</f>
        <v>-1.9789861932955177E-2</v>
      </c>
      <c r="G16" s="16">
        <f>IF(E16="","",E16/MAX(E$5:E16)-1)</f>
        <v>-0.13981445743752197</v>
      </c>
      <c r="H16" s="13">
        <f>IF(OR((ROW()-1)&lt;7,'实盘净值数据(iFinD）'!$A16="",'实盘净值数据(iFinD）'!$B16=""),"",SUMPRODUCT(实盘持仓初始配置!$B$6:$X$6,'实盘净值数据(iFinD）'!$B16:$X16/'实盘净值数据(iFinD）'!$B$7:$X$7)*(1-实盘持仓初始配置!$Z$6)^(('实盘净值数据(iFinD）'!$A16-'实盘净值数据(iFinD）'!$A$7)/365))</f>
        <v>0.97195202442112383</v>
      </c>
      <c r="I16" s="16">
        <f>IF(OR(H15="",'实盘净值数据(iFinD）'!$A16="",'实盘净值数据(iFinD）'!$B16=""),"",(SUMPRODUCT(实盘持仓初始配置!$B$6:$X$6,'实盘净值数据(iFinD）'!$B15:$X15/'实盘净值数据(iFinD）'!$B$7:$X$7,'实盘净值数据(iFinD）'!$B16:$X16/'实盘净值数据(iFinD）'!$B15:$X15)/SUMPRODUCT(实盘持仓初始配置!$B$6:$X$6,'实盘净值数据(iFinD）'!$B15:$X15/'实盘净值数据(iFinD）'!$B$7:$X$7))*(1-实盘持仓初始配置!$Z$6)^(('实盘净值数据(iFinD）'!$A16-'实盘净值数据(iFinD）'!$A15)/365)-1)</f>
        <v>-1.7001619425887737E-2</v>
      </c>
      <c r="J16" s="16">
        <f>IF(H16="","",H16/MAX(H$5:H16)-1)</f>
        <v>-0.12571181931724251</v>
      </c>
      <c r="K16" s="13">
        <f>IF(OR('实盘净值数据(iFinD）'!$A16="",'实盘净值数据(iFinD）'!$B16=""),"",分期持仓明细!$AB$9*SUMPRODUCT(分期持仓明细!$B$9:$Y$9,'实盘净值数据(iFinD）'!$B16:$Y16/'实盘净值数据(iFinD）'!$B$13:$Y$13)*(1-实盘持仓初始配置!$Z$7)^(('实盘净值数据(iFinD）'!$A16-'实盘净值数据(iFinD）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）'!$A16="",'实盘净值数据(iFinD）'!$B16=""),"",分期持仓明细!$AB$11*SUMPRODUCT(分期持仓明细!$B$11:$Y$11,'实盘净值数据(iFinD）'!$B16:$Y16/'实盘净值数据(iFinD）'!$B$13:$Y$13)*(1-实盘持仓初始配置!$Z$8)^(('实盘净值数据(iFinD）'!$A16-'实盘净值数据(iFinD）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）'!$A16="",'实盘净值数据(iFinD）'!$B16=""),"",分期持仓明细!$AB$13*SUMPRODUCT(分期持仓明细!$B$13:$Y$13,'实盘净值数据(iFinD）'!$B16:$Y16/'实盘净值数据(iFinD）'!$B$13:$Y$13)*(1-实盘持仓初始配置!$Z$9)^(('实盘净值数据(iFinD）'!$A16-'实盘净值数据(iFinD）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  <c r="T16" s="13"/>
      <c r="U16" s="16"/>
      <c r="V16" s="16"/>
    </row>
    <row r="17" spans="1:19">
      <c r="A17" s="15">
        <f>IF('实盘净值数据(iFinD）'!A17="","",'实盘净值数据(iFinD）'!A17)</f>
        <v>46210</v>
      </c>
      <c r="B17" s="13">
        <f>IF(OR((ROW()-1)&lt;6,'实盘净值数据(iFinD）'!$A17="",'实盘净值数据(iFinD）'!$B17=""),"",SUMPRODUCT(实盘持仓初始配置!$B$4:$X$4,'实盘净值数据(iFinD）'!$B17:$X17/'实盘净值数据(iFinD）'!$B$6:$X$6)*(1-实盘持仓初始配置!$Z$4)^(('实盘净值数据(iFinD）'!$A17-'实盘净值数据(iFinD）'!$A$6)/365))</f>
        <v>0.93094051945631884</v>
      </c>
      <c r="C17" s="16">
        <f>IF(OR(B16="",'实盘净值数据(iFinD）'!$A17="",'实盘净值数据(iFinD）'!$B17=""),"",(SUMPRODUCT(实盘持仓初始配置!$B$4:$X$4,'实盘净值数据(iFinD）'!$B16:$X16/'实盘净值数据(iFinD）'!$B$6:$X$6,'实盘净值数据(iFinD）'!$B17:$X17/'实盘净值数据(iFinD）'!$B16:$X16)/SUMPRODUCT(实盘持仓初始配置!$B$4:$X$4,'实盘净值数据(iFinD）'!$B16:$X16/'实盘净值数据(iFinD）'!$B$6:$X$6))*(1-实盘持仓初始配置!$Z$4)^(('实盘净值数据(iFinD）'!$A17-'实盘净值数据(iFinD）'!$A16)/365)-1)</f>
        <v>6.8664546983105978E-3</v>
      </c>
      <c r="D17" s="16">
        <f>IF(B17="","",B17/MAX(B$5:B17)-1)</f>
        <v>-0.13388628352884135</v>
      </c>
      <c r="E17" s="13">
        <f>IF(OR((ROW()-1)&lt;5,'实盘净值数据(iFinD）'!$A17="",'实盘净值数据(iFinD）'!$B17=""),"",SUMPRODUCT(实盘持仓初始配置!$B$5:$X$5,'实盘净值数据(iFinD）'!$B17:$X17/'实盘净值数据(iFinD）'!$B$5:$X$5)*(1-实盘持仓初始配置!$Z$5)^(('实盘净值数据(iFinD）'!$A17-'实盘净值数据(iFinD）'!$A$5)/365))</f>
        <v>0.95247542928901296</v>
      </c>
      <c r="F17" s="16">
        <f>IF(OR(E16="",'实盘净值数据(iFinD）'!$A17="",'实盘净值数据(iFinD）'!$B17=""),"",(SUMPRODUCT(实盘持仓初始配置!$B$5:$X$5,'实盘净值数据(iFinD）'!$B16:$X16/'实盘净值数据(iFinD）'!$B$5:$X$5,'实盘净值数据(iFinD）'!$B17:$X17/'实盘净值数据(iFinD）'!$B16:$X16)/SUMPRODUCT(实盘持仓初始配置!$B$5:$X$5,'实盘净值数据(iFinD）'!$B16:$X16/'实盘净值数据(iFinD）'!$B$5:$X$5))*(1-实盘持仓初始配置!$Z$5)^(('实盘净值数据(iFinD）'!$A17-'实盘净值数据(iFinD）'!$A16)/365)-1)</f>
        <v>6.8687365291326685E-3</v>
      </c>
      <c r="G17" s="16">
        <f>IF(E17="","",E17/MAX(E$5:E17)-1)</f>
        <v>-0.13390606957949125</v>
      </c>
      <c r="H17" s="13">
        <f>IF(OR((ROW()-1)&lt;7,'实盘净值数据(iFinD）'!$A17="",'实盘净值数据(iFinD）'!$B17=""),"",SUMPRODUCT(实盘持仓初始配置!$B$6:$X$6,'实盘净值数据(iFinD）'!$B17:$X17/'实盘净值数据(iFinD）'!$B$7:$X$7)*(1-实盘持仓初始配置!$Z$6)^(('实盘净值数据(iFinD）'!$A17-'实盘净值数据(iFinD）'!$A$7)/365))</f>
        <v>0.97477427077798739</v>
      </c>
      <c r="I17" s="16">
        <f>IF(OR(H16="",'实盘净值数据(iFinD）'!$A17="",'实盘净值数据(iFinD）'!$B17=""),"",(SUMPRODUCT(实盘持仓初始配置!$B$6:$X$6,'实盘净值数据(iFinD）'!$B16:$X16/'实盘净值数据(iFinD）'!$B$7:$X$7,'实盘净值数据(iFinD）'!$B17:$X17/'实盘净值数据(iFinD）'!$B16:$X16)/SUMPRODUCT(实盘持仓初始配置!$B$6:$X$6,'实盘净值数据(iFinD）'!$B16:$X16/'实盘净值数据(iFinD）'!$B$7:$X$7))*(1-实盘持仓初始配置!$Z$6)^(('实盘净值数据(iFinD）'!$A17-'实盘净值数据(iFinD）'!$A16)/365)-1)</f>
        <v>2.903688953726391E-3</v>
      </c>
      <c r="J17" s="16">
        <f>IF(H17="","",H17/MAX(H$5:H17)-1)</f>
        <v>-0.12317315838462051</v>
      </c>
      <c r="K17" s="13">
        <f>IF(OR('实盘净值数据(iFinD）'!$A17="",'实盘净值数据(iFinD）'!$B17=""),"",分期持仓明细!$AB$9*SUMPRODUCT(分期持仓明细!$B$9:$Y$9,'实盘净值数据(iFinD）'!$B17:$Y17/'实盘净值数据(iFinD）'!$B$13:$Y$13)*(1-实盘持仓初始配置!$Z$7)^(('实盘净值数据(iFinD）'!$A17-'实盘净值数据(iFinD）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）'!$A17="",'实盘净值数据(iFinD）'!$B17=""),"",分期持仓明细!$AB$11*SUMPRODUCT(分期持仓明细!$B$11:$Y$11,'实盘净值数据(iFinD）'!$B17:$Y17/'实盘净值数据(iFinD）'!$B$13:$Y$13)*(1-实盘持仓初始配置!$Z$8)^(('实盘净值数据(iFinD）'!$A17-'实盘净值数据(iFinD）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）'!$A17="",'实盘净值数据(iFinD）'!$B17=""),"",分期持仓明细!$AB$13*SUMPRODUCT(分期持仓明细!$B$13:$Y$13,'实盘净值数据(iFinD）'!$B17:$Y17/'实盘净值数据(iFinD）'!$B$13:$Y$13)*(1-实盘持仓初始配置!$Z$9)^(('实盘净值数据(iFinD）'!$A17-'实盘净值数据(iFinD）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  <c r="T17" s="13"/>
      <c r="U17" s="16"/>
      <c r="V17" s="16"/>
    </row>
    <row r="18" spans="1:19">
      <c r="A18" s="15">
        <f>IF('实盘净值数据(iFinD）'!A18="","",'实盘净值数据(iFinD）'!A18)</f>
        <v>46211</v>
      </c>
      <c r="B18" s="13">
        <f>IF(OR((ROW()-1)&lt;6,'实盘净值数据(iFinD）'!$A18="",'实盘净值数据(iFinD）'!$B18=""),"",SUMPRODUCT(实盘持仓初始配置!$B$4:$X$4,'实盘净值数据(iFinD）'!$B18:$X18/'实盘净值数据(iFinD）'!$B$6:$X$6)*(1-实盘持仓初始配置!$Z$4)^(('实盘净值数据(iFinD）'!$A18-'实盘净值数据(iFinD）'!$A$6)/365))</f>
        <v>0.93624162720445936</v>
      </c>
      <c r="C18" s="16">
        <f>IF(OR(B17="",'实盘净值数据(iFinD）'!$A18="",'实盘净值数据(iFinD）'!$B18=""),"",(SUMPRODUCT(实盘持仓初始配置!$B$4:$X$4,'实盘净值数据(iFinD）'!$B17:$X17/'实盘净值数据(iFinD）'!$B$6:$X$6,'实盘净值数据(iFinD）'!$B18:$X18/'实盘净值数据(iFinD）'!$B17:$X17)/SUMPRODUCT(实盘持仓初始配置!$B$4:$X$4,'实盘净值数据(iFinD）'!$B17:$X17/'实盘净值数据(iFinD）'!$B$6:$X$6))*(1-实盘持仓初始配置!$Z$4)^(('实盘净值数据(iFinD）'!$A18-'实盘净值数据(iFinD）'!$A17)/365)-1)</f>
        <v>5.6943570908660757E-3</v>
      </c>
      <c r="D18" s="16">
        <f>IF(B18="","",B18/MAX(B$5:B18)-1)</f>
        <v>-0.12895432274595753</v>
      </c>
      <c r="E18" s="13">
        <f>IF(OR((ROW()-1)&lt;5,'实盘净值数据(iFinD）'!$A18="",'实盘净值数据(iFinD）'!$B18=""),"",SUMPRODUCT(实盘持仓初始配置!$B$5:$X$5,'实盘净值数据(iFinD）'!$B18:$X18/'实盘净值数据(iFinD）'!$B$5:$X$5)*(1-实盘持仓初始配置!$Z$5)^(('实盘净值数据(iFinD）'!$A18-'实盘净值数据(iFinD）'!$A$5)/365))</f>
        <v>0.9578161514912864</v>
      </c>
      <c r="F18" s="16">
        <f>IF(OR(E17="",'实盘净值数据(iFinD）'!$A18="",'实盘净值数据(iFinD）'!$B18=""),"",(SUMPRODUCT(实盘持仓初始配置!$B$5:$X$5,'实盘净值数据(iFinD）'!$B17:$X17/'实盘净值数据(iFinD）'!$B$5:$X$5,'实盘净值数据(iFinD）'!$B18:$X18/'实盘净值数据(iFinD）'!$B17:$X17)/SUMPRODUCT(实盘持仓初始配置!$B$5:$X$5,'实盘净值数据(iFinD）'!$B17:$X17/'实盘净值数据(iFinD）'!$B$5:$X$5))*(1-实盘持仓初始配置!$Z$5)^(('实盘净值数据(iFinD）'!$A18-'实盘净值数据(iFinD）'!$A17)/365)-1)</f>
        <v>5.6072020737165662E-3</v>
      </c>
      <c r="G18" s="16">
        <f>IF(E18="","",E18/MAX(E$5:E18)-1)</f>
        <v>-0.12904970589680409</v>
      </c>
      <c r="H18" s="13">
        <f>IF(OR((ROW()-1)&lt;7,'实盘净值数据(iFinD）'!$A18="",'实盘净值数据(iFinD）'!$B18=""),"",SUMPRODUCT(实盘持仓初始配置!$B$6:$X$6,'实盘净值数据(iFinD）'!$B18:$X18/'实盘净值数据(iFinD）'!$B$7:$X$7)*(1-实盘持仓初始配置!$Z$6)^(('实盘净值数据(iFinD）'!$A18-'实盘净值数据(iFinD）'!$A$7)/365))</f>
        <v>0.98001297325673131</v>
      </c>
      <c r="I18" s="16">
        <f>IF(OR(H17="",'实盘净值数据(iFinD）'!$A18="",'实盘净值数据(iFinD）'!$B18=""),"",(SUMPRODUCT(实盘持仓初始配置!$B$6:$X$6,'实盘净值数据(iFinD）'!$B17:$X17/'实盘净值数据(iFinD）'!$B$7:$X$7,'实盘净值数据(iFinD）'!$B18:$X18/'实盘净值数据(iFinD）'!$B17:$X17)/SUMPRODUCT(实盘持仓初始配置!$B$6:$X$6,'实盘净值数据(iFinD）'!$B17:$X17/'实盘净值数据(iFinD）'!$B$7:$X$7))*(1-实盘持仓初始配置!$Z$6)^(('实盘净值数据(iFinD）'!$A18-'实盘净值数据(iFinD）'!$A17)/365)-1)</f>
        <v>5.3742724195651181E-3</v>
      </c>
      <c r="J18" s="16">
        <f>IF(H18="","",H18/MAX(H$5:H18)-1)</f>
        <v>-0.11846085207299251</v>
      </c>
      <c r="K18" s="13">
        <f>IF(OR('实盘净值数据(iFinD）'!$A18="",'实盘净值数据(iFinD）'!$B18=""),"",分期持仓明细!$AB$14*SUMPRODUCT(分期持仓明细!$B$14:$Y$14,'实盘净值数据(iFinD）'!$B18:$Y18/'实盘净值数据(iFinD）'!$B$17:$Y$17)*(1-实盘持仓初始配置!$Z$7)^(('实盘净值数据(iFinD）'!$A18-'实盘净值数据(iFinD）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）'!$A18="",'实盘净值数据(iFinD）'!$B18=""),"",分期持仓明细!$AB$15*SUMPRODUCT(分期持仓明细!$B$15:$Y$15,'实盘净值数据(iFinD）'!$B18:$Y18/'实盘净值数据(iFinD）'!$B$17:$Y$17)*(1-实盘持仓初始配置!$Z$8)^(('实盘净值数据(iFinD）'!$A18-'实盘净值数据(iFinD）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）'!$A18="",'实盘净值数据(iFinD）'!$B18=""),"",分期持仓明细!$AB$16*SUMPRODUCT(分期持仓明细!$B$16:$Y$16,'实盘净值数据(iFinD）'!$B18:$Y18/'实盘净值数据(iFinD）'!$B$17:$Y$17)*(1-实盘持仓初始配置!$Z$9)^(('实盘净值数据(iFinD）'!$A18-'实盘净值数据(iFinD）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  <c r="T18" s="13"/>
      <c r="U18" s="16"/>
      <c r="V18" s="16"/>
    </row>
    <row r="19" spans="1:19">
      <c r="A19" s="15">
        <f>IF('实盘净值数据(iFinD）'!A19="","",'实盘净值数据(iFinD）'!A19)</f>
        <v>46212</v>
      </c>
      <c r="B19" s="13">
        <f>IF(OR((ROW()-1)&lt;6,'实盘净值数据(iFinD）'!$A19="",'实盘净值数据(iFinD）'!$B19=""),"",SUMPRODUCT(实盘持仓初始配置!$B$4:$X$4,'实盘净值数据(iFinD）'!$B19:$X19/'实盘净值数据(iFinD）'!$B$6:$X$6)*(1-实盘持仓初始配置!$Z$4)^(('实盘净值数据(iFinD）'!$A19-'实盘净值数据(iFinD）'!$A$6)/365))</f>
        <v>1.000119640739735</v>
      </c>
      <c r="C19" s="16">
        <f>IF(OR(B18="",'实盘净值数据(iFinD）'!$A19="",'实盘净值数据(iFinD）'!$B19=""),"",(SUMPRODUCT(实盘持仓初始配置!$B$4:$X$4,'实盘净值数据(iFinD）'!$B18:$X18/'实盘净值数据(iFinD）'!$B$6:$X$6,'实盘净值数据(iFinD）'!$B19:$X19/'实盘净值数据(iFinD）'!$B18:$X18)/SUMPRODUCT(实盘持仓初始配置!$B$4:$X$4,'实盘净值数据(iFinD）'!$B18:$X18/'实盘净值数据(iFinD）'!$B$6:$X$6))*(1-实盘持仓初始配置!$Z$4)^(('实盘净值数据(iFinD）'!$A19-'实盘净值数据(iFinD）'!$A18)/365)-1)</f>
        <v>6.8228127952406625E-2</v>
      </c>
      <c r="D19" s="16">
        <f>IF(B19="","",B19/MAX(B$5:B19)-1)</f>
        <v>-6.952450682587763E-2</v>
      </c>
      <c r="E19" s="13">
        <f>IF(OR((ROW()-1)&lt;5,'实盘净值数据(iFinD）'!$A19="",'实盘净值数据(iFinD）'!$B19=""),"",SUMPRODUCT(实盘持仓初始配置!$B$5:$X$5,'实盘净值数据(iFinD）'!$B19:$X19/'实盘净值数据(iFinD）'!$B$5:$X$5)*(1-实盘持仓初始配置!$Z$5)^(('实盘净值数据(iFinD）'!$A19-'实盘净值数据(iFinD）'!$A$5)/365))</f>
        <v>1.0231939223043951</v>
      </c>
      <c r="F19" s="16">
        <f>IF(OR(E18="",'实盘净值数据(iFinD）'!$A19="",'实盘净值数据(iFinD）'!$B19=""),"",(SUMPRODUCT(实盘持仓初始配置!$B$5:$X$5,'实盘净值数据(iFinD）'!$B18:$X18/'实盘净值数据(iFinD）'!$B$5:$X$5,'实盘净值数据(iFinD）'!$B19:$X19/'实盘净值数据(iFinD）'!$B18:$X18)/SUMPRODUCT(实盘持仓初始配置!$B$5:$X$5,'实盘净值数据(iFinD）'!$B18:$X18/'实盘净值数据(iFinD）'!$B$5:$X$5))*(1-实盘持仓初始配置!$Z$5)^(('实盘净值数据(iFinD）'!$A19-'实盘净值数据(iFinD）'!$A18)/365)-1)</f>
        <v>6.8257118770985281E-2</v>
      </c>
      <c r="G19" s="16">
        <f>IF(E19="","",E19/MAX(E$5:E19)-1)</f>
        <v>-6.9601148228577658E-2</v>
      </c>
      <c r="H19" s="13">
        <f>IF(OR((ROW()-1)&lt;7,'实盘净值数据(iFinD）'!$A19="",'实盘净值数据(iFinD）'!$B19=""),"",SUMPRODUCT(实盘持仓初始配置!$B$6:$X$6,'实盘净值数据(iFinD）'!$B19:$X19/'实盘净值数据(iFinD）'!$B$7:$X$7)*(1-实盘持仓初始配置!$Z$6)^(('实盘净值数据(iFinD）'!$A19-'实盘净值数据(iFinD）'!$A$7)/365))</f>
        <v>1.0473336640835054</v>
      </c>
      <c r="I19" s="16">
        <f>IF(OR(H18="",'实盘净值数据(iFinD）'!$A19="",'实盘净值数据(iFinD）'!$B19=""),"",(SUMPRODUCT(实盘持仓初始配置!$B$6:$X$6,'实盘净值数据(iFinD）'!$B18:$X18/'实盘净值数据(iFinD）'!$B$7:$X$7,'实盘净值数据(iFinD）'!$B19:$X19/'实盘净值数据(iFinD）'!$B18:$X18)/SUMPRODUCT(实盘持仓初始配置!$B$6:$X$6,'实盘净值数据(iFinD）'!$B18:$X18/'实盘净值数据(iFinD）'!$B$7:$X$7))*(1-实盘持仓初始配置!$Z$6)^(('实盘净值数据(iFinD）'!$A19-'实盘净值数据(iFinD）'!$A18)/365)-1)</f>
        <v>6.8693673108282782E-2</v>
      </c>
      <c r="J19" s="16">
        <f>IF(H19="","",H19/MAX(H$5:H19)-1)</f>
        <v>-5.7904690013140581E-2</v>
      </c>
      <c r="K19" s="13">
        <f>IF(OR('实盘净值数据(iFinD）'!$A19="",'实盘净值数据(iFinD）'!$B19=""),"",分期持仓明细!$AB$14*SUMPRODUCT(分期持仓明细!$B$14:$Y$14,'实盘净值数据(iFinD）'!$B19:$Y19/'实盘净值数据(iFinD）'!$B$17:$Y$17)*(1-实盘持仓初始配置!$Z$7)^(('实盘净值数据(iFinD）'!$A19-'实盘净值数据(iFinD）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）'!$A19="",'实盘净值数据(iFinD）'!$B19=""),"",分期持仓明细!$AB$15*SUMPRODUCT(分期持仓明细!$B$15:$Y$15,'实盘净值数据(iFinD）'!$B19:$Y19/'实盘净值数据(iFinD）'!$B$17:$Y$17)*(1-实盘持仓初始配置!$Z$8)^(('实盘净值数据(iFinD）'!$A19-'实盘净值数据(iFinD）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）'!$A19="",'实盘净值数据(iFinD）'!$B19=""),"",分期持仓明细!$AB$16*SUMPRODUCT(分期持仓明细!$B$16:$Y$16,'实盘净值数据(iFinD）'!$B19:$Y19/'实盘净值数据(iFinD）'!$B$17:$Y$17)*(1-实盘持仓初始配置!$Z$9)^(('实盘净值数据(iFinD）'!$A19-'实盘净值数据(iFinD）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  <c r="T19" s="13"/>
      <c r="U19" s="16"/>
      <c r="V19" s="16"/>
    </row>
    <row r="20" spans="1:19">
      <c r="A20" s="15">
        <f>IF('实盘净值数据(iFinD）'!A20="","",'实盘净值数据(iFinD）'!A20)</f>
        <v>46213</v>
      </c>
      <c r="B20" s="13">
        <f>IF(OR((ROW()-1)&lt;6,'实盘净值数据(iFinD）'!$A20="",'实盘净值数据(iFinD）'!$B20=""),"",SUMPRODUCT(实盘持仓初始配置!$B$4:$X$4,'实盘净值数据(iFinD）'!$B20:$X20/'实盘净值数据(iFinD）'!$B$6:$X$6)*(1-实盘持仓初始配置!$Z$4)^(('实盘净值数据(iFinD）'!$A20-'实盘净值数据(iFinD）'!$A$6)/365))</f>
        <v>0.95179417704073732</v>
      </c>
      <c r="C20" s="16">
        <f>IF(OR(B19="",'实盘净值数据(iFinD）'!$A20="",'实盘净值数据(iFinD）'!$B20=""),"",(SUMPRODUCT(实盘持仓初始配置!$B$4:$X$4,'实盘净值数据(iFinD）'!$B19:$X19/'实盘净值数据(iFinD）'!$B$6:$X$6,'实盘净值数据(iFinD）'!$B20:$X20/'实盘净值数据(iFinD）'!$B19:$X19)/SUMPRODUCT(实盘持仓初始配置!$B$4:$X$4,'实盘净值数据(iFinD）'!$B19:$X19/'实盘净值数据(iFinD）'!$B$6:$X$6))*(1-实盘持仓初始配置!$Z$4)^(('实盘净值数据(iFinD）'!$A20-'实盘净值数据(iFinD）'!$A19)/365)-1)</f>
        <v>-4.8319682696416288E-2</v>
      </c>
      <c r="D20" s="16">
        <f>IF(B20="","",B20/MAX(B$5:B20)-1)</f>
        <v>-0.11448478741284263</v>
      </c>
      <c r="E20" s="13">
        <f>IF(OR((ROW()-1)&lt;5,'实盘净值数据(iFinD）'!$A20="",'实盘净值数据(iFinD）'!$B20=""),"",SUMPRODUCT(实盘持仓初始配置!$B$5:$X$5,'实盘净值数据(iFinD）'!$B20:$X20/'实盘净值数据(iFinD）'!$B$5:$X$5)*(1-实盘持仓初始配置!$Z$5)^(('实盘净值数据(iFinD）'!$A20-'实盘净值数据(iFinD）'!$A$5)/365))</f>
        <v>0.9737422822209042</v>
      </c>
      <c r="F20" s="16">
        <f>IF(OR(E19="",'实盘净值数据(iFinD）'!$A20="",'实盘净值数据(iFinD）'!$B20=""),"",(SUMPRODUCT(实盘持仓初始配置!$B$5:$X$5,'实盘净值数据(iFinD）'!$B19:$X19/'实盘净值数据(iFinD）'!$B$5:$X$5,'实盘净值数据(iFinD）'!$B20:$X20/'实盘净值数据(iFinD）'!$B19:$X19)/SUMPRODUCT(实盘持仓初始配置!$B$5:$X$5,'实盘净值数据(iFinD）'!$B19:$X19/'实盘净值数据(iFinD）'!$B$5:$X$5))*(1-实盘持仓初始配置!$Z$5)^(('实盘净值数据(iFinD）'!$A20-'实盘净值数据(iFinD）'!$A19)/365)-1)</f>
        <v>-4.833066245362172E-2</v>
      </c>
      <c r="G20" s="16">
        <f>IF(E20="","",E20/MAX(E$5:E20)-1)</f>
        <v>-0.1145679410807795</v>
      </c>
      <c r="H20" s="13">
        <f>IF(OR((ROW()-1)&lt;7,'实盘净值数据(iFinD）'!$A20="",'实盘净值数据(iFinD）'!$B20=""),"",SUMPRODUCT(实盘持仓初始配置!$B$6:$X$6,'实盘净值数据(iFinD）'!$B20:$X20/'实盘净值数据(iFinD）'!$B$7:$X$7)*(1-实盘持仓初始配置!$Z$6)^(('实盘净值数据(iFinD）'!$A20-'实盘净值数据(iFinD）'!$A$7)/365))</f>
        <v>0.99344026231902305</v>
      </c>
      <c r="I20" s="16">
        <f>IF(OR(H19="",'实盘净值数据(iFinD）'!$A20="",'实盘净值数据(iFinD）'!$B20=""),"",(SUMPRODUCT(实盘持仓初始配置!$B$6:$X$6,'实盘净值数据(iFinD）'!$B19:$X19/'实盘净值数据(iFinD）'!$B$7:$X$7,'实盘净值数据(iFinD）'!$B20:$X20/'实盘净值数据(iFinD）'!$B19:$X19)/SUMPRODUCT(实盘持仓初始配置!$B$6:$X$6,'实盘净值数据(iFinD）'!$B19:$X19/'实盘净值数据(iFinD）'!$B$7:$X$7))*(1-实盘持仓初始配置!$Z$6)^(('实盘净值数据(iFinD）'!$A20-'实盘净值数据(iFinD）'!$A19)/365)-1)</f>
        <v>-5.1457719361711729E-2</v>
      </c>
      <c r="J20" s="16">
        <f>IF(H20="","",H20/MAX(H$5:H20)-1)</f>
        <v>-0.10638276608642927</v>
      </c>
      <c r="K20" s="13">
        <f>IF(OR('实盘净值数据(iFinD）'!$A20="",'实盘净值数据(iFinD）'!$B20=""),"",分期持仓明细!$AB$14*SUMPRODUCT(分期持仓明细!$B$14:$Y$14,'实盘净值数据(iFinD）'!$B20:$Y20/'实盘净值数据(iFinD）'!$B$17:$Y$17)*(1-实盘持仓初始配置!$Z$7)^(('实盘净值数据(iFinD）'!$A20-'实盘净值数据(iFinD）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）'!$A20="",'实盘净值数据(iFinD）'!$B20=""),"",分期持仓明细!$AB$15*SUMPRODUCT(分期持仓明细!$B$15:$Y$15,'实盘净值数据(iFinD）'!$B20:$Y20/'实盘净值数据(iFinD）'!$B$17:$Y$17)*(1-实盘持仓初始配置!$Z$8)^(('实盘净值数据(iFinD）'!$A20-'实盘净值数据(iFinD）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）'!$A20="",'实盘净值数据(iFinD）'!$B20=""),"",分期持仓明细!$AB$16*SUMPRODUCT(分期持仓明细!$B$16:$Y$16,'实盘净值数据(iFinD）'!$B20:$Y20/'实盘净值数据(iFinD）'!$B$17:$Y$17)*(1-实盘持仓初始配置!$Z$9)^(('实盘净值数据(iFinD）'!$A20-'实盘净值数据(iFinD）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  <c r="T20" s="13"/>
      <c r="U20" s="16"/>
      <c r="V20" s="16"/>
    </row>
    <row r="21" spans="1:19">
      <c r="A21" s="15">
        <f>IF('实盘净值数据(iFinD）'!A21="","",'实盘净值数据(iFinD）'!A21)</f>
        <v>46216</v>
      </c>
      <c r="B21" s="13">
        <f>IF(OR('实盘净值数据(iFinD）'!$A21="",'实盘净值数据(iFinD）'!$B21=""),"",分期持仓明细!$AB$17*SUMPRODUCT(分期持仓明细!$B$17:$Y$17,'实盘净值数据(iFinD）'!$B21:$Y21/'实盘净值数据(iFinD）'!$B$20:$Y$20)*(1-实盘持仓初始配置!$Z$4)^(('实盘净值数据(iFinD）'!$A21-'实盘净值数据(iFinD）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）'!$A21="",'实盘净值数据(iFinD）'!$B21=""),"",分期持仓明细!$AB$18*SUMPRODUCT(分期持仓明细!$B$18:$Y$18,'实盘净值数据(iFinD）'!$B21:$Y21/'实盘净值数据(iFinD）'!$B$20:$Y$20)*(1-实盘持仓初始配置!$Z$5)^(('实盘净值数据(iFinD）'!$A21-'实盘净值数据(iFinD）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）'!$A21="",'实盘净值数据(iFinD）'!$B21=""),"",分期持仓明细!$AB$19*SUMPRODUCT(分期持仓明细!$B$19:$Y$19,'实盘净值数据(iFinD）'!$B21:$Y21/'实盘净值数据(iFinD）'!$B$20:$Y$20)*(1-实盘持仓初始配置!$Z$6)^(('实盘净值数据(iFinD）'!$A21-'实盘净值数据(iFinD）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）'!$A21="",'实盘净值数据(iFinD）'!$B21=""),"",分期持仓明细!$AB$14*SUMPRODUCT(分期持仓明细!$B$14:$Y$14,'实盘净值数据(iFinD）'!$B21:$Y21/'实盘净值数据(iFinD）'!$B$17:$Y$17)*(1-实盘持仓初始配置!$Z$7)^(('实盘净值数据(iFinD）'!$A21-'实盘净值数据(iFinD）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）'!$A21="",'实盘净值数据(iFinD）'!$B21=""),"",分期持仓明细!$AB$15*SUMPRODUCT(分期持仓明细!$B$15:$Y$15,'实盘净值数据(iFinD）'!$B21:$Y21/'实盘净值数据(iFinD）'!$B$17:$Y$17)*(1-实盘持仓初始配置!$Z$8)^(('实盘净值数据(iFinD）'!$A21-'实盘净值数据(iFinD）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）'!$A21="",'实盘净值数据(iFinD）'!$B21=""),"",分期持仓明细!$AB$16*SUMPRODUCT(分期持仓明细!$B$16:$Y$16,'实盘净值数据(iFinD）'!$B21:$Y21/'实盘净值数据(iFinD）'!$B$17:$Y$17)*(1-实盘持仓初始配置!$Z$9)^(('实盘净值数据(iFinD）'!$A21-'实盘净值数据(iFinD）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  <c r="T21" s="13"/>
      <c r="U21" s="16"/>
      <c r="V21" s="16"/>
    </row>
    <row r="22" spans="1:19">
      <c r="A22" s="15">
        <f>IF('实盘净值数据(iFinD）'!A22="","",'实盘净值数据(iFinD）'!A22)</f>
        <v>46217</v>
      </c>
      <c r="B22" s="13">
        <f>IF(OR('实盘净值数据(iFinD）'!$A22="",'实盘净值数据(iFinD）'!$B22=""),"",分期持仓明细!$AB$17*SUMPRODUCT(分期持仓明细!$B$17:$Y$17,'实盘净值数据(iFinD）'!$B22:$Y22/'实盘净值数据(iFinD）'!$B$20:$Y$20)*(1-实盘持仓初始配置!$Z$4)^(('实盘净值数据(iFinD）'!$A22-'实盘净值数据(iFinD）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）'!$A22="",'实盘净值数据(iFinD）'!$B22=""),"",分期持仓明细!$AB$18*SUMPRODUCT(分期持仓明细!$B$18:$Y$18,'实盘净值数据(iFinD）'!$B22:$Y22/'实盘净值数据(iFinD）'!$B$20:$Y$20)*(1-实盘持仓初始配置!$Z$5)^(('实盘净值数据(iFinD）'!$A22-'实盘净值数据(iFinD）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）'!$A22="",'实盘净值数据(iFinD）'!$B22=""),"",分期持仓明细!$AB$19*SUMPRODUCT(分期持仓明细!$B$19:$Y$19,'实盘净值数据(iFinD）'!$B22:$Y22/'实盘净值数据(iFinD）'!$B$20:$Y$20)*(1-实盘持仓初始配置!$Z$6)^(('实盘净值数据(iFinD）'!$A22-'实盘净值数据(iFinD）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）'!$A22="",'实盘净值数据(iFinD）'!$B22=""),"",分期持仓明细!$AB$14*SUMPRODUCT(分期持仓明细!$B$14:$Y$14,'实盘净值数据(iFinD）'!$B22:$Y22/'实盘净值数据(iFinD）'!$B$17:$Y$17)*(1-实盘持仓初始配置!$Z$7)^(('实盘净值数据(iFinD）'!$A22-'实盘净值数据(iFinD）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）'!$A22="",'实盘净值数据(iFinD）'!$B22=""),"",分期持仓明细!$AB$15*SUMPRODUCT(分期持仓明细!$B$15:$Y$15,'实盘净值数据(iFinD）'!$B22:$Y22/'实盘净值数据(iFinD）'!$B$17:$Y$17)*(1-实盘持仓初始配置!$Z$8)^(('实盘净值数据(iFinD）'!$A22-'实盘净值数据(iFinD）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）'!$A22="",'实盘净值数据(iFinD）'!$B22=""),"",分期持仓明细!$AB$16*SUMPRODUCT(分期持仓明细!$B$16:$Y$16,'实盘净值数据(iFinD）'!$B22:$Y22/'实盘净值数据(iFinD）'!$B$17:$Y$17)*(1-实盘持仓初始配置!$Z$9)^(('实盘净值数据(iFinD）'!$A22-'实盘净值数据(iFinD）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  <c r="T22" s="13"/>
      <c r="U22" s="16"/>
      <c r="V22" s="16"/>
    </row>
    <row r="23" spans="1:19">
      <c r="A23" s="15">
        <f>IF('实盘净值数据(iFinD）'!A23="","",'实盘净值数据(iFinD）'!A23)</f>
        <v>46218</v>
      </c>
      <c r="B23" s="13">
        <f>IF(OR('实盘净值数据(iFinD）'!$A23="",'实盘净值数据(iFinD）'!$B23=""),"",分期持仓明细!$AB$17*SUMPRODUCT(分期持仓明细!$B$17:$Y$17,'实盘净值数据(iFinD）'!$B23:$Y23/'实盘净值数据(iFinD）'!$B$20:$Y$20)*(1-实盘持仓初始配置!$Z$4)^(('实盘净值数据(iFinD）'!$A23-'实盘净值数据(iFinD）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）'!$A23="",'实盘净值数据(iFinD）'!$B23=""),"",分期持仓明细!$AB$18*SUMPRODUCT(分期持仓明细!$B$18:$Y$18,'实盘净值数据(iFinD）'!$B23:$Y23/'实盘净值数据(iFinD）'!$B$20:$Y$20)*(1-实盘持仓初始配置!$Z$5)^(('实盘净值数据(iFinD）'!$A23-'实盘净值数据(iFinD）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）'!$A23="",'实盘净值数据(iFinD）'!$B23=""),"",分期持仓明细!$AB$19*SUMPRODUCT(分期持仓明细!$B$19:$Y$19,'实盘净值数据(iFinD）'!$B23:$Y23/'实盘净值数据(iFinD）'!$B$20:$Y$20)*(1-实盘持仓初始配置!$Z$6)^(('实盘净值数据(iFinD）'!$A23-'实盘净值数据(iFinD）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）'!$A23="",'实盘净值数据(iFinD）'!$B23=""),"",分期持仓明细!$AB$14*SUMPRODUCT(分期持仓明细!$B$14:$Y$14,'实盘净值数据(iFinD）'!$B23:$Y23/'实盘净值数据(iFinD）'!$B$17:$Y$17)*(1-实盘持仓初始配置!$Z$7)^(('实盘净值数据(iFinD）'!$A23-'实盘净值数据(iFinD）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）'!$A23="",'实盘净值数据(iFinD）'!$B23=""),"",分期持仓明细!$AB$15*SUMPRODUCT(分期持仓明细!$B$15:$Y$15,'实盘净值数据(iFinD）'!$B23:$Y23/'实盘净值数据(iFinD）'!$B$17:$Y$17)*(1-实盘持仓初始配置!$Z$8)^(('实盘净值数据(iFinD）'!$A23-'实盘净值数据(iFinD）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）'!$A23="",'实盘净值数据(iFinD）'!$B23=""),"",分期持仓明细!$AB$16*SUMPRODUCT(分期持仓明细!$B$16:$Y$16,'实盘净值数据(iFinD）'!$B23:$Y23/'实盘净值数据(iFinD）'!$B$17:$Y$17)*(1-实盘持仓初始配置!$Z$9)^(('实盘净值数据(iFinD）'!$A23-'实盘净值数据(iFinD）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  <c r="T23" s="13"/>
      <c r="U23" s="16"/>
      <c r="V23" s="16"/>
    </row>
    <row r="24" spans="1:19">
      <c r="A24" s="15">
        <f>IF('实盘净值数据(iFinD）'!A24="","",'实盘净值数据(iFinD）'!A24)</f>
        <v>46219</v>
      </c>
      <c r="B24" s="13">
        <f>IF(OR('实盘净值数据(iFinD）'!$A24="",'实盘净值数据(iFinD）'!$B24=""),"",分期持仓明细!$AB$17*SUMPRODUCT(分期持仓明细!$B$17:$Y$17,'实盘净值数据(iFinD）'!$B24:$Y24/'实盘净值数据(iFinD）'!$B$20:$Y$20)*(1-实盘持仓初始配置!$Z$4)^(('实盘净值数据(iFinD）'!$A24-'实盘净值数据(iFinD）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）'!$A24="",'实盘净值数据(iFinD）'!$B24=""),"",分期持仓明细!$AB$18*SUMPRODUCT(分期持仓明细!$B$18:$Y$18,'实盘净值数据(iFinD）'!$B24:$Y24/'实盘净值数据(iFinD）'!$B$20:$Y$20)*(1-实盘持仓初始配置!$Z$5)^(('实盘净值数据(iFinD）'!$A24-'实盘净值数据(iFinD）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）'!$A24="",'实盘净值数据(iFinD）'!$B24=""),"",分期持仓明细!$AB$19*SUMPRODUCT(分期持仓明细!$B$19:$Y$19,'实盘净值数据(iFinD）'!$B24:$Y24/'实盘净值数据(iFinD）'!$B$20:$Y$20)*(1-实盘持仓初始配置!$Z$6)^(('实盘净值数据(iFinD）'!$A24-'实盘净值数据(iFinD）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）'!$A24="",'实盘净值数据(iFinD）'!$B24=""),"",分期持仓明细!$AB$14*SUMPRODUCT(分期持仓明细!$B$14:$Y$14,'实盘净值数据(iFinD）'!$B24:$Y24/'实盘净值数据(iFinD）'!$B$17:$Y$17)*(1-实盘持仓初始配置!$Z$7)^(('实盘净值数据(iFinD）'!$A24-'实盘净值数据(iFinD）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）'!$A24="",'实盘净值数据(iFinD）'!$B24=""),"",分期持仓明细!$AB$15*SUMPRODUCT(分期持仓明细!$B$15:$Y$15,'实盘净值数据(iFinD）'!$B24:$Y24/'实盘净值数据(iFinD）'!$B$17:$Y$17)*(1-实盘持仓初始配置!$Z$8)^(('实盘净值数据(iFinD）'!$A24-'实盘净值数据(iFinD）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）'!$A24="",'实盘净值数据(iFinD）'!$B24=""),"",分期持仓明细!$AB$16*SUMPRODUCT(分期持仓明细!$B$16:$Y$16,'实盘净值数据(iFinD）'!$B24:$Y24/'实盘净值数据(iFinD）'!$B$17:$Y$17)*(1-实盘持仓初始配置!$Z$9)^(('实盘净值数据(iFinD）'!$A24-'实盘净值数据(iFinD）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  <c r="T24" s="13"/>
      <c r="U24" s="16"/>
      <c r="V24" s="16"/>
    </row>
    <row r="25" spans="1:19">
      <c r="A25" s="15">
        <f>IF('实盘净值数据(iFinD）'!A25="","",'实盘净值数据(iFinD）'!A25)</f>
        <v>46220</v>
      </c>
      <c r="B25" s="13">
        <f>IF(OR('实盘净值数据(iFinD）'!$A25="",'实盘净值数据(iFinD）'!$B25=""),"",分期持仓明细!$AB$17*SUMPRODUCT(分期持仓明细!$B$17:$Y$17,'实盘净值数据(iFinD）'!$B25:$Y25/'实盘净值数据(iFinD）'!$B$20:$Y$20)*(1-实盘持仓初始配置!$Z$4)^(('实盘净值数据(iFinD）'!$A25-'实盘净值数据(iFinD）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）'!$A25="",'实盘净值数据(iFinD）'!$B25=""),"",分期持仓明细!$AB$18*SUMPRODUCT(分期持仓明细!$B$18:$Y$18,'实盘净值数据(iFinD）'!$B25:$Y25/'实盘净值数据(iFinD）'!$B$20:$Y$20)*(1-实盘持仓初始配置!$Z$5)^(('实盘净值数据(iFinD）'!$A25-'实盘净值数据(iFinD）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）'!$A25="",'实盘净值数据(iFinD）'!$B25=""),"",分期持仓明细!$AB$19*SUMPRODUCT(分期持仓明细!$B$19:$Y$19,'实盘净值数据(iFinD）'!$B25:$Y25/'实盘净值数据(iFinD）'!$B$20:$Y$20)*(1-实盘持仓初始配置!$Z$6)^(('实盘净值数据(iFinD）'!$A25-'实盘净值数据(iFinD）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）'!$A25="",'实盘净值数据(iFinD）'!$B25=""),"",分期持仓明细!$AB$20*SUMPRODUCT(分期持仓明细!$B$20:$Y$20,'实盘净值数据(iFinD）'!$B25:$Y25/'实盘净值数据(iFinD）'!$B$25:$Y$25)*(1-实盘持仓初始配置!$Z$7)^(('实盘净值数据(iFinD）'!$A25-'实盘净值数据(iFinD）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）'!$A25="",'实盘净值数据(iFinD）'!$B25=""),"",分期持仓明细!$AB$21*SUMPRODUCT(分期持仓明细!$B$21:$Y$21,'实盘净值数据(iFinD）'!$B25:$Y25/'实盘净值数据(iFinD）'!$B$25:$Y$25)*(1-实盘持仓初始配置!$Z$8)^(('实盘净值数据(iFinD）'!$A25-'实盘净值数据(iFinD）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）'!$A25="",'实盘净值数据(iFinD）'!$B25=""),"",分期持仓明细!$AB$22*SUMPRODUCT(分期持仓明细!$B$22:$Y$22,'实盘净值数据(iFinD）'!$B25:$Y25/'实盘净值数据(iFinD）'!$B$25:$Y$25)*(1-实盘持仓初始配置!$Z$9)^(('实盘净值数据(iFinD）'!$A25-'实盘净值数据(iFinD）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  <c r="T25" s="13"/>
      <c r="U25" s="16"/>
      <c r="V25" s="16"/>
    </row>
    <row r="26" spans="1:19">
      <c r="A26" s="15">
        <f>IF('实盘净值数据(iFinD）'!A26="","",'实盘净值数据(iFinD）'!A26)</f>
        <v>46223</v>
      </c>
      <c r="B26" s="13">
        <f>IF(OR('实盘净值数据(iFinD）'!$A26="",'实盘净值数据(iFinD）'!$B26=""),"",分期持仓明细!$AB$17*SUMPRODUCT(分期持仓明细!$B$17:$Y$17,'实盘净值数据(iFinD）'!$B26:$Y26/'实盘净值数据(iFinD）'!$B$20:$Y$20)*(1-实盘持仓初始配置!$Z$4)^(('实盘净值数据(iFinD）'!$A26-'实盘净值数据(iFinD）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）'!$A26="",'实盘净值数据(iFinD）'!$B26=""),"",分期持仓明细!$AB$18*SUMPRODUCT(分期持仓明细!$B$18:$Y$18,'实盘净值数据(iFinD）'!$B26:$Y26/'实盘净值数据(iFinD）'!$B$20:$Y$20)*(1-实盘持仓初始配置!$Z$5)^(('实盘净值数据(iFinD）'!$A26-'实盘净值数据(iFinD）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）'!$A26="",'实盘净值数据(iFinD）'!$B26=""),"",分期持仓明细!$AB$19*SUMPRODUCT(分期持仓明细!$B$19:$Y$19,'实盘净值数据(iFinD）'!$B26:$Y26/'实盘净值数据(iFinD）'!$B$20:$Y$20)*(1-实盘持仓初始配置!$Z$6)^(('实盘净值数据(iFinD）'!$A26-'实盘净值数据(iFinD）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）'!$A26="",'实盘净值数据(iFinD）'!$B26=""),"",分期持仓明细!$AB$20*SUMPRODUCT(分期持仓明细!$B$20:$Y$20,'实盘净值数据(iFinD）'!$B26:$Y26/'实盘净值数据(iFinD）'!$B$25:$Y$25)*(1-实盘持仓初始配置!$Z$7)^(('实盘净值数据(iFinD）'!$A26-'实盘净值数据(iFinD）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）'!$A26="",'实盘净值数据(iFinD）'!$B26=""),"",分期持仓明细!$AB$21*SUMPRODUCT(分期持仓明细!$B$21:$Y$21,'实盘净值数据(iFinD）'!$B26:$Y26/'实盘净值数据(iFinD）'!$B$25:$Y$25)*(1-实盘持仓初始配置!$Z$8)^(('实盘净值数据(iFinD）'!$A26-'实盘净值数据(iFinD）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）'!$A26="",'实盘净值数据(iFinD）'!$B26=""),"",分期持仓明细!$AB$22*SUMPRODUCT(分期持仓明细!$B$22:$Y$22,'实盘净值数据(iFinD）'!$B26:$Y26/'实盘净值数据(iFinD）'!$B$25:$Y$25)*(1-实盘持仓初始配置!$Z$9)^(('实盘净值数据(iFinD）'!$A26-'实盘净值数据(iFinD）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  <c r="T26" s="13"/>
      <c r="U26" s="16"/>
      <c r="V26" s="16"/>
    </row>
    <row r="27" spans="1:19">
      <c r="A27" s="15">
        <f>IF('实盘净值数据(iFinD）'!A27="","",'实盘净值数据(iFinD）'!A27)</f>
        <v>46224</v>
      </c>
      <c r="B27" s="13">
        <f>IF(OR('实盘净值数据(iFinD）'!$A27="",'实盘净值数据(iFinD）'!$B27=""),"",分期持仓明细!$AB$17*SUMPRODUCT(分期持仓明细!$B$17:$Y$17,'实盘净值数据(iFinD）'!$B27:$Y27/'实盘净值数据(iFinD）'!$B$20:$Y$20)*(1-实盘持仓初始配置!$Z$4)^(('实盘净值数据(iFinD）'!$A27-'实盘净值数据(iFinD）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）'!$A27="",'实盘净值数据(iFinD）'!$B27=""),"",分期持仓明细!$AB$18*SUMPRODUCT(分期持仓明细!$B$18:$Y$18,'实盘净值数据(iFinD）'!$B27:$Y27/'实盘净值数据(iFinD）'!$B$20:$Y$20)*(1-实盘持仓初始配置!$Z$5)^(('实盘净值数据(iFinD）'!$A27-'实盘净值数据(iFinD）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）'!$A27="",'实盘净值数据(iFinD）'!$B27=""),"",分期持仓明细!$AB$19*SUMPRODUCT(分期持仓明细!$B$19:$Y$19,'实盘净值数据(iFinD）'!$B27:$Y27/'实盘净值数据(iFinD）'!$B$20:$Y$20)*(1-实盘持仓初始配置!$Z$6)^(('实盘净值数据(iFinD）'!$A27-'实盘净值数据(iFinD）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）'!$A27="",'实盘净值数据(iFinD）'!$B27=""),"",分期持仓明细!$AB$20*SUMPRODUCT(分期持仓明细!$B$20:$Y$20,'实盘净值数据(iFinD）'!$B27:$Y27/'实盘净值数据(iFinD）'!$B$25:$Y$25)*(1-实盘持仓初始配置!$Z$7)^(('实盘净值数据(iFinD）'!$A27-'实盘净值数据(iFinD）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）'!$A27="",'实盘净值数据(iFinD）'!$B27=""),"",分期持仓明细!$AB$21*SUMPRODUCT(分期持仓明细!$B$21:$Y$21,'实盘净值数据(iFinD）'!$B27:$Y27/'实盘净值数据(iFinD）'!$B$25:$Y$25)*(1-实盘持仓初始配置!$Z$8)^(('实盘净值数据(iFinD）'!$A27-'实盘净值数据(iFinD）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）'!$A27="",'实盘净值数据(iFinD）'!$B27=""),"",分期持仓明细!$AB$22*SUMPRODUCT(分期持仓明细!$B$22:$Y$22,'实盘净值数据(iFinD）'!$B27:$Y27/'实盘净值数据(iFinD）'!$B$25:$Y$25)*(1-实盘持仓初始配置!$Z$9)^(('实盘净值数据(iFinD）'!$A27-'实盘净值数据(iFinD）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  <c r="T27" s="13"/>
      <c r="U27" s="16"/>
      <c r="V27" s="16"/>
    </row>
    <row r="28" spans="1:19">
      <c r="A28" s="15">
        <f>IF('实盘净值数据(iFinD）'!A28="","",'实盘净值数据(iFinD）'!A28)</f>
        <v>46225</v>
      </c>
      <c r="B28" s="13">
        <f>IF(OR('实盘净值数据(iFinD）'!$A28="",'实盘净值数据(iFinD）'!$B28=""),"",分期持仓明细!$AB$17*SUMPRODUCT(分期持仓明细!$B$17:$Y$17,'实盘净值数据(iFinD）'!$B28:$Y28/'实盘净值数据(iFinD）'!$B$20:$Y$20)*(1-实盘持仓初始配置!$Z$4)^(('实盘净值数据(iFinD）'!$A28-'实盘净值数据(iFinD）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）'!$A28="",'实盘净值数据(iFinD）'!$B28=""),"",分期持仓明细!$AB$18*SUMPRODUCT(分期持仓明细!$B$18:$Y$18,'实盘净值数据(iFinD）'!$B28:$Y28/'实盘净值数据(iFinD）'!$B$20:$Y$20)*(1-实盘持仓初始配置!$Z$5)^(('实盘净值数据(iFinD）'!$A28-'实盘净值数据(iFinD）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）'!$A28="",'实盘净值数据(iFinD）'!$B28=""),"",分期持仓明细!$AB$19*SUMPRODUCT(分期持仓明细!$B$19:$Y$19,'实盘净值数据(iFinD）'!$B28:$Y28/'实盘净值数据(iFinD）'!$B$20:$Y$20)*(1-实盘持仓初始配置!$Z$6)^(('实盘净值数据(iFinD）'!$A28-'实盘净值数据(iFinD）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）'!$A28="",'实盘净值数据(iFinD）'!$B28=""),"",分期持仓明细!$AB$20*SUMPRODUCT(分期持仓明细!$B$20:$Y$20,'实盘净值数据(iFinD）'!$B28:$Y28/'实盘净值数据(iFinD）'!$B$25:$Y$25)*(1-实盘持仓初始配置!$Z$7)^(('实盘净值数据(iFinD）'!$A28-'实盘净值数据(iFinD）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）'!$A28="",'实盘净值数据(iFinD）'!$B28=""),"",分期持仓明细!$AB$21*SUMPRODUCT(分期持仓明细!$B$21:$Y$21,'实盘净值数据(iFinD）'!$B28:$Y28/'实盘净值数据(iFinD）'!$B$25:$Y$25)*(1-实盘持仓初始配置!$Z$8)^(('实盘净值数据(iFinD）'!$A28-'实盘净值数据(iFinD）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）'!$A28="",'实盘净值数据(iFinD）'!$B28=""),"",分期持仓明细!$AB$22*SUMPRODUCT(分期持仓明细!$B$22:$Y$22,'实盘净值数据(iFinD）'!$B28:$Y28/'实盘净值数据(iFinD）'!$B$25:$Y$25)*(1-实盘持仓初始配置!$Z$9)^(('实盘净值数据(iFinD）'!$A28-'实盘净值数据(iFinD）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  <c r="T28" s="13"/>
      <c r="U28" s="16"/>
      <c r="V28" s="16"/>
    </row>
    <row r="29" spans="1:19">
      <c r="A29" s="15">
        <f>IF('实盘净值数据(iFinD）'!A29="","",'实盘净值数据(iFinD）'!A29)</f>
        <v>46226</v>
      </c>
      <c r="B29" s="13">
        <f>IF(OR('实盘净值数据(iFinD）'!$A29="",'实盘净值数据(iFinD）'!$B29=""),"",分期持仓明细!$AB$17*SUMPRODUCT(分期持仓明细!$B$17:$Y$17,'实盘净值数据(iFinD）'!$B29:$Y29/'实盘净值数据(iFinD）'!$B$20:$Y$20)*(1-实盘持仓初始配置!$Z$4)^(('实盘净值数据(iFinD）'!$A29-'实盘净值数据(iFinD）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）'!$A29="",'实盘净值数据(iFinD）'!$B29=""),"",分期持仓明细!$AB$18*SUMPRODUCT(分期持仓明细!$B$18:$Y$18,'实盘净值数据(iFinD）'!$B29:$Y29/'实盘净值数据(iFinD）'!$B$20:$Y$20)*(1-实盘持仓初始配置!$Z$5)^(('实盘净值数据(iFinD）'!$A29-'实盘净值数据(iFinD）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）'!$A29="",'实盘净值数据(iFinD）'!$B29=""),"",分期持仓明细!$AB$19*SUMPRODUCT(分期持仓明细!$B$19:$Y$19,'实盘净值数据(iFinD）'!$B29:$Y29/'实盘净值数据(iFinD）'!$B$20:$Y$20)*(1-实盘持仓初始配置!$Z$6)^(('实盘净值数据(iFinD）'!$A29-'实盘净值数据(iFinD）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）'!$A29="",'实盘净值数据(iFinD）'!$B29=""),"",分期持仓明细!$AB$20*SUMPRODUCT(分期持仓明细!$B$20:$Y$20,'实盘净值数据(iFinD）'!$B29:$Y29/'实盘净值数据(iFinD）'!$B$25:$Y$25)*(1-实盘持仓初始配置!$Z$7)^(('实盘净值数据(iFinD）'!$A29-'实盘净值数据(iFinD）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）'!$A29="",'实盘净值数据(iFinD）'!$B29=""),"",分期持仓明细!$AB$21*SUMPRODUCT(分期持仓明细!$B$21:$Y$21,'实盘净值数据(iFinD）'!$B29:$Y29/'实盘净值数据(iFinD）'!$B$25:$Y$25)*(1-实盘持仓初始配置!$Z$8)^(('实盘净值数据(iFinD）'!$A29-'实盘净值数据(iFinD）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）'!$A29="",'实盘净值数据(iFinD）'!$B29=""),"",分期持仓明细!$AB$22*SUMPRODUCT(分期持仓明细!$B$22:$Y$22,'实盘净值数据(iFinD）'!$B29:$Y29/'实盘净值数据(iFinD）'!$B$25:$Y$25)*(1-实盘持仓初始配置!$Z$9)^(('实盘净值数据(iFinD）'!$A29-'实盘净值数据(iFinD）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  <c r="T29" s="13"/>
      <c r="U29" s="16"/>
      <c r="V29" s="16"/>
    </row>
    <row r="30" spans="1:19">
      <c r="A30" s="15">
        <f>IF('实盘净值数据(iFinD）'!A30="","",'实盘净值数据(iFinD）'!A30)</f>
        <v>46227</v>
      </c>
      <c r="B30" s="13">
        <f>IF(OR('实盘净值数据(iFinD）'!$A30="",'实盘净值数据(iFinD）'!$B30=""),"",分期持仓明细!$AB$17*SUMPRODUCT(分期持仓明细!$B$17:$Y$17,'实盘净值数据(iFinD）'!$B30:$Y30/'实盘净值数据(iFinD）'!$B$20:$Y$20)*(1-实盘持仓初始配置!$Z$4)^(('实盘净值数据(iFinD）'!$A30-'实盘净值数据(iFinD）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）'!$A30="",'实盘净值数据(iFinD）'!$B30=""),"",分期持仓明细!$AB$18*SUMPRODUCT(分期持仓明细!$B$18:$Y$18,'实盘净值数据(iFinD）'!$B30:$Y30/'实盘净值数据(iFinD）'!$B$20:$Y$20)*(1-实盘持仓初始配置!$Z$5)^(('实盘净值数据(iFinD）'!$A30-'实盘净值数据(iFinD）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）'!$A30="",'实盘净值数据(iFinD）'!$B30=""),"",分期持仓明细!$AB$19*SUMPRODUCT(分期持仓明细!$B$19:$Y$19,'实盘净值数据(iFinD）'!$B30:$Y30/'实盘净值数据(iFinD）'!$B$20:$Y$20)*(1-实盘持仓初始配置!$Z$6)^(('实盘净值数据(iFinD）'!$A30-'实盘净值数据(iFinD）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）'!$A30="",'实盘净值数据(iFinD）'!$B30=""),"",分期持仓明细!$AB$20*SUMPRODUCT(分期持仓明细!$B$20:$Y$20,'实盘净值数据(iFinD）'!$B30:$Y30/'实盘净值数据(iFinD）'!$B$25:$Y$25)*(1-实盘持仓初始配置!$Z$7)^(('实盘净值数据(iFinD）'!$A30-'实盘净值数据(iFinD）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）'!$A30="",'实盘净值数据(iFinD）'!$B30=""),"",分期持仓明细!$AB$21*SUMPRODUCT(分期持仓明细!$B$21:$Y$21,'实盘净值数据(iFinD）'!$B30:$Y30/'实盘净值数据(iFinD）'!$B$25:$Y$25)*(1-实盘持仓初始配置!$Z$8)^(('实盘净值数据(iFinD）'!$A30-'实盘净值数据(iFinD）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）'!$A30="",'实盘净值数据(iFinD）'!$B30=""),"",分期持仓明细!$AB$22*SUMPRODUCT(分期持仓明细!$B$22:$Y$22,'实盘净值数据(iFinD）'!$B30:$Y30/'实盘净值数据(iFinD）'!$B$25:$Y$25)*(1-实盘持仓初始配置!$Z$9)^(('实盘净值数据(iFinD）'!$A30-'实盘净值数据(iFinD）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  <c r="T30" s="13"/>
      <c r="U30" s="16"/>
      <c r="V30" s="16"/>
    </row>
    <row r="31" spans="1:19">
      <c r="A31" s="15">
        <f>IF('实盘净值数据(iFinD）'!A31="","",'实盘净值数据(iFinD）'!A31)</f>
        <v>46230</v>
      </c>
      <c r="B31" s="13">
        <f>IF(OR('实盘净值数据(iFinD）'!$A31="",'实盘净值数据(iFinD）'!$B31=""),"",分期持仓明细!$AB$17*SUMPRODUCT(分期持仓明细!$B$17:$Y$17,'实盘净值数据(iFinD）'!$B31:$Y31/'实盘净值数据(iFinD）'!$B$20:$Y$20)*(1-实盘持仓初始配置!$Z$4)^(('实盘净值数据(iFinD）'!$A31-'实盘净值数据(iFinD）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）'!$A31="",'实盘净值数据(iFinD）'!$B31=""),"",分期持仓明细!$AB$18*SUMPRODUCT(分期持仓明细!$B$18:$Y$18,'实盘净值数据(iFinD）'!$B31:$Y31/'实盘净值数据(iFinD）'!$B$20:$Y$20)*(1-实盘持仓初始配置!$Z$5)^(('实盘净值数据(iFinD）'!$A31-'实盘净值数据(iFinD）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）'!$A31="",'实盘净值数据(iFinD）'!$B31=""),"",分期持仓明细!$AB$19*SUMPRODUCT(分期持仓明细!$B$19:$Y$19,'实盘净值数据(iFinD）'!$B31:$Y31/'实盘净值数据(iFinD）'!$B$20:$Y$20)*(1-实盘持仓初始配置!$Z$6)^(('实盘净值数据(iFinD）'!$A31-'实盘净值数据(iFinD）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）'!$A31="",'实盘净值数据(iFinD）'!$B31=""),"",分期持仓明细!$AB$20*SUMPRODUCT(分期持仓明细!$B$20:$Y$20,'实盘净值数据(iFinD）'!$B31:$Y31/'实盘净值数据(iFinD）'!$B$25:$Y$25)*(1-实盘持仓初始配置!$Z$7)^(('实盘净值数据(iFinD）'!$A31-'实盘净值数据(iFinD）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）'!$A31="",'实盘净值数据(iFinD）'!$B31=""),"",分期持仓明细!$AB$21*SUMPRODUCT(分期持仓明细!$B$21:$Y$21,'实盘净值数据(iFinD）'!$B31:$Y31/'实盘净值数据(iFinD）'!$B$25:$Y$25)*(1-实盘持仓初始配置!$Z$8)^(('实盘净值数据(iFinD）'!$A31-'实盘净值数据(iFinD）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）'!$A31="",'实盘净值数据(iFinD）'!$B31=""),"",分期持仓明细!$AB$22*SUMPRODUCT(分期持仓明细!$B$22:$Y$22,'实盘净值数据(iFinD）'!$B31:$Y31/'实盘净值数据(iFinD）'!$B$25:$Y$25)*(1-实盘持仓初始配置!$Z$9)^(('实盘净值数据(iFinD）'!$A31-'实盘净值数据(iFinD）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  <c r="T31" s="13"/>
      <c r="U31" s="16"/>
      <c r="V31" s="16"/>
    </row>
    <row r="32" spans="1:19">
      <c r="A32" s="15">
        <f>IF('实盘净值数据(iFinD）'!A32="","",'实盘净值数据(iFinD）'!A32)</f>
        <v>46231</v>
      </c>
      <c r="B32" s="13">
        <f>IF(OR('实盘净值数据(iFinD）'!$A32="",'实盘净值数据(iFinD）'!$B32=""),"",分期持仓明细!$AB$17*SUMPRODUCT(分期持仓明细!$B$17:$Y$17,'实盘净值数据(iFinD）'!$B32:$Y32/'实盘净值数据(iFinD）'!$B$20:$Y$20)*(1-实盘持仓初始配置!$Z$4)^(('实盘净值数据(iFinD）'!$A32-'实盘净值数据(iFinD）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）'!$A32="",'实盘净值数据(iFinD）'!$B32=""),"",分期持仓明细!$AB$18*SUMPRODUCT(分期持仓明细!$B$18:$Y$18,'实盘净值数据(iFinD）'!$B32:$Y32/'实盘净值数据(iFinD）'!$B$20:$Y$20)*(1-实盘持仓初始配置!$Z$5)^(('实盘净值数据(iFinD）'!$A32-'实盘净值数据(iFinD）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）'!$A32="",'实盘净值数据(iFinD）'!$B32=""),"",分期持仓明细!$AB$19*SUMPRODUCT(分期持仓明细!$B$19:$Y$19,'实盘净值数据(iFinD）'!$B32:$Y32/'实盘净值数据(iFinD）'!$B$20:$Y$20)*(1-实盘持仓初始配置!$Z$6)^(('实盘净值数据(iFinD）'!$A32-'实盘净值数据(iFinD）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）'!$A32="",'实盘净值数据(iFinD）'!$B32=""),"",分期持仓明细!$AB$20*SUMPRODUCT(分期持仓明细!$B$20:$Y$20,'实盘净值数据(iFinD）'!$B32:$Y32/'实盘净值数据(iFinD）'!$B$25:$Y$25)*(1-实盘持仓初始配置!$Z$7)^(('实盘净值数据(iFinD）'!$A32-'实盘净值数据(iFinD）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）'!$A32="",'实盘净值数据(iFinD）'!$B32=""),"",分期持仓明细!$AB$21*SUMPRODUCT(分期持仓明细!$B$21:$Y$21,'实盘净值数据(iFinD）'!$B32:$Y32/'实盘净值数据(iFinD）'!$B$25:$Y$25)*(1-实盘持仓初始配置!$Z$8)^(('实盘净值数据(iFinD）'!$A32-'实盘净值数据(iFinD）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）'!$A32="",'实盘净值数据(iFinD）'!$B32=""),"",分期持仓明细!$AB$22*SUMPRODUCT(分期持仓明细!$B$22:$Y$22,'实盘净值数据(iFinD）'!$B32:$Y32/'实盘净值数据(iFinD）'!$B$25:$Y$25)*(1-实盘持仓初始配置!$Z$9)^(('实盘净值数据(iFinD）'!$A32-'实盘净值数据(iFinD）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  <c r="T32" s="13"/>
      <c r="U32" s="16"/>
      <c r="V32" s="16"/>
    </row>
    <row r="33" spans="1:19">
      <c r="A33" s="15">
        <f>IF('实盘净值数据(iFinD）'!A33="","",'实盘净值数据(iFinD）'!A33)</f>
        <v>46232</v>
      </c>
      <c r="B33" s="13">
        <f>IF(OR('实盘净值数据(iFinD）'!$A33="",'实盘净值数据(iFinD）'!$B33=""),"",分期持仓明细!$AB$17*SUMPRODUCT(分期持仓明细!$B$17:$Y$17,'实盘净值数据(iFinD）'!$B33:$Y33/'实盘净值数据(iFinD）'!$B$20:$Y$20)*(1-实盘持仓初始配置!$Z$4)^(('实盘净值数据(iFinD）'!$A33-'实盘净值数据(iFinD）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）'!$A33="",'实盘净值数据(iFinD）'!$B33=""),"",分期持仓明细!$AB$18*SUMPRODUCT(分期持仓明细!$B$18:$Y$18,'实盘净值数据(iFinD）'!$B33:$Y33/'实盘净值数据(iFinD）'!$B$20:$Y$20)*(1-实盘持仓初始配置!$Z$5)^(('实盘净值数据(iFinD）'!$A33-'实盘净值数据(iFinD）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）'!$A33="",'实盘净值数据(iFinD）'!$B33=""),"",分期持仓明细!$AB$19*SUMPRODUCT(分期持仓明细!$B$19:$Y$19,'实盘净值数据(iFinD）'!$B33:$Y33/'实盘净值数据(iFinD）'!$B$20:$Y$20)*(1-实盘持仓初始配置!$Z$6)^(('实盘净值数据(iFinD）'!$A33-'实盘净值数据(iFinD）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）'!$A33="",'实盘净值数据(iFinD）'!$B33=""),"",分期持仓明细!$AB$20*SUMPRODUCT(分期持仓明细!$B$20:$Y$20,'实盘净值数据(iFinD）'!$B33:$Y33/'实盘净值数据(iFinD）'!$B$25:$Y$25)*(1-实盘持仓初始配置!$Z$7)^(('实盘净值数据(iFinD）'!$A33-'实盘净值数据(iFinD）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）'!$A33="",'实盘净值数据(iFinD）'!$B33=""),"",分期持仓明细!$AB$21*SUMPRODUCT(分期持仓明细!$B$21:$Y$21,'实盘净值数据(iFinD）'!$B33:$Y33/'实盘净值数据(iFinD）'!$B$25:$Y$25)*(1-实盘持仓初始配置!$Z$8)^(('实盘净值数据(iFinD）'!$A33-'实盘净值数据(iFinD）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）'!$A33="",'实盘净值数据(iFinD）'!$B33=""),"",分期持仓明细!$AB$22*SUMPRODUCT(分期持仓明细!$B$22:$Y$22,'实盘净值数据(iFinD）'!$B33:$Y33/'实盘净值数据(iFinD）'!$B$25:$Y$25)*(1-实盘持仓初始配置!$Z$9)^(('实盘净值数据(iFinD）'!$A33-'实盘净值数据(iFinD）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  <c r="T33" s="13"/>
      <c r="U33" s="16"/>
      <c r="V33" s="16"/>
    </row>
    <row r="34" spans="1:19">
      <c r="A34" s="15">
        <f>IF('实盘净值数据(iFinD）'!A34="","",'实盘净值数据(iFinD）'!A34)</f>
        <v>46233</v>
      </c>
      <c r="B34" s="13">
        <f>IF(OR('实盘净值数据(iFinD）'!$A34="",'实盘净值数据(iFinD）'!$B34=""),"",分期持仓明细!$AB$17*SUMPRODUCT(分期持仓明细!$B$17:$Y$17,'实盘净值数据(iFinD）'!$B34:$Y34/'实盘净值数据(iFinD）'!$B$20:$Y$20)*(1-实盘持仓初始配置!$Z$4)^(('实盘净值数据(iFinD）'!$A34-'实盘净值数据(iFinD）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）'!$A34="",'实盘净值数据(iFinD）'!$B34=""),"",分期持仓明细!$AB$18*SUMPRODUCT(分期持仓明细!$B$18:$Y$18,'实盘净值数据(iFinD）'!$B34:$Y34/'实盘净值数据(iFinD）'!$B$20:$Y$20)*(1-实盘持仓初始配置!$Z$5)^(('实盘净值数据(iFinD）'!$A34-'实盘净值数据(iFinD）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）'!$A34="",'实盘净值数据(iFinD）'!$B34=""),"",分期持仓明细!$AB$19*SUMPRODUCT(分期持仓明细!$B$19:$Y$19,'实盘净值数据(iFinD）'!$B34:$Y34/'实盘净值数据(iFinD）'!$B$20:$Y$20)*(1-实盘持仓初始配置!$Z$6)^(('实盘净值数据(iFinD）'!$A34-'实盘净值数据(iFinD）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）'!$A34="",'实盘净值数据(iFinD）'!$B34=""),"",分期持仓明细!$AB$20*SUMPRODUCT(分期持仓明细!$B$20:$Y$20,'实盘净值数据(iFinD）'!$B34:$Y34/'实盘净值数据(iFinD）'!$B$25:$Y$25)*(1-实盘持仓初始配置!$Z$7)^(('实盘净值数据(iFinD）'!$A34-'实盘净值数据(iFinD）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）'!$A34="",'实盘净值数据(iFinD）'!$B34=""),"",分期持仓明细!$AB$21*SUMPRODUCT(分期持仓明细!$B$21:$Y$21,'实盘净值数据(iFinD）'!$B34:$Y34/'实盘净值数据(iFinD）'!$B$25:$Y$25)*(1-实盘持仓初始配置!$Z$8)^(('实盘净值数据(iFinD）'!$A34-'实盘净值数据(iFinD）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）'!$A34="",'实盘净值数据(iFinD）'!$B34=""),"",分期持仓明细!$AB$22*SUMPRODUCT(分期持仓明细!$B$22:$Y$22,'实盘净值数据(iFinD）'!$B34:$Y34/'实盘净值数据(iFinD）'!$B$25:$Y$25)*(1-实盘持仓初始配置!$Z$9)^(('实盘净值数据(iFinD）'!$A34-'实盘净值数据(iFinD）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  <c r="T34" s="13"/>
      <c r="U34" s="16"/>
      <c r="V34" s="16"/>
    </row>
    <row r="35" spans="1:19">
      <c r="A35" s="15">
        <f>IF('实盘净值数据(iFinD）'!A35="","",'实盘净值数据(iFinD）'!A35)</f>
        <v>46234</v>
      </c>
      <c r="B35" s="13">
        <f>IF(OR('实盘净值数据(iFinD）'!$A35="",'实盘净值数据(iFinD）'!$B35=""),"",分期持仓明细!$AB$17*SUMPRODUCT(分期持仓明细!$B$17:$Y$17,'实盘净值数据(iFinD）'!$B35:$Y35/'实盘净值数据(iFinD）'!$B$20:$Y$20)*(1-实盘持仓初始配置!$Z$4)^(('实盘净值数据(iFinD）'!$A35-'实盘净值数据(iFinD）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）'!$A35="",'实盘净值数据(iFinD）'!$B35=""),"",分期持仓明细!$AB$18*SUMPRODUCT(分期持仓明细!$B$18:$Y$18,'实盘净值数据(iFinD）'!$B35:$Y35/'实盘净值数据(iFinD）'!$B$20:$Y$20)*(1-实盘持仓初始配置!$Z$5)^(('实盘净值数据(iFinD）'!$A35-'实盘净值数据(iFinD）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）'!$A35="",'实盘净值数据(iFinD）'!$B35=""),"",分期持仓明细!$AB$19*SUMPRODUCT(分期持仓明细!$B$19:$Y$19,'实盘净值数据(iFinD）'!$B35:$Y35/'实盘净值数据(iFinD）'!$B$20:$Y$20)*(1-实盘持仓初始配置!$Z$6)^(('实盘净值数据(iFinD）'!$A35-'实盘净值数据(iFinD）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）'!$A35="",'实盘净值数据(iFinD）'!$B35=""),"",分期持仓明细!$AB$20*SUMPRODUCT(分期持仓明细!$B$20:$Y$20,'实盘净值数据(iFinD）'!$B35:$Y35/'实盘净值数据(iFinD）'!$B$25:$Y$25)*(1-实盘持仓初始配置!$Z$7)^(('实盘净值数据(iFinD）'!$A35-'实盘净值数据(iFinD）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）'!$A35="",'实盘净值数据(iFinD）'!$B35=""),"",分期持仓明细!$AB$21*SUMPRODUCT(分期持仓明细!$B$21:$Y$21,'实盘净值数据(iFinD）'!$B35:$Y35/'实盘净值数据(iFinD）'!$B$25:$Y$25)*(1-实盘持仓初始配置!$Z$8)^(('实盘净值数据(iFinD）'!$A35-'实盘净值数据(iFinD）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）'!$A35="",'实盘净值数据(iFinD）'!$B35=""),"",分期持仓明细!$AB$22*SUMPRODUCT(分期持仓明细!$B$22:$Y$22,'实盘净值数据(iFinD）'!$B35:$Y35/'实盘净值数据(iFinD）'!$B$25:$Y$25)*(1-实盘持仓初始配置!$Z$9)^(('实盘净值数据(iFinD）'!$A35-'实盘净值数据(iFinD）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  <c r="T35" s="13"/>
      <c r="U35" s="16"/>
      <c r="V35" s="16"/>
    </row>
    <row r="36" spans="1:19">
      <c r="A36" s="15">
        <f>IF('实盘净值数据(iFinD）'!A36="","",'实盘净值数据(iFinD）'!A36)</f>
        <v>46237</v>
      </c>
      <c r="B36" s="13">
        <f>IF(OR('实盘净值数据(iFinD）'!$A36="",'实盘净值数据(iFinD）'!$B36=""),"",分期持仓明细!$AB$17*SUMPRODUCT(分期持仓明细!$B$17:$Y$17,'实盘净值数据(iFinD）'!$B36:$Y36/'实盘净值数据(iFinD）'!$B$20:$Y$20)*(1-实盘持仓初始配置!$Z$4)^(('实盘净值数据(iFinD）'!$A36-'实盘净值数据(iFinD）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）'!$A36="",'实盘净值数据(iFinD）'!$B36=""),"",分期持仓明细!$AB$18*SUMPRODUCT(分期持仓明细!$B$18:$Y$18,'实盘净值数据(iFinD）'!$B36:$Y36/'实盘净值数据(iFinD）'!$B$20:$Y$20)*(1-实盘持仓初始配置!$Z$5)^(('实盘净值数据(iFinD）'!$A36-'实盘净值数据(iFinD）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）'!$A36="",'实盘净值数据(iFinD）'!$B36=""),"",分期持仓明细!$AB$19*SUMPRODUCT(分期持仓明细!$B$19:$Y$19,'实盘净值数据(iFinD）'!$B36:$Y36/'实盘净值数据(iFinD）'!$B$20:$Y$20)*(1-实盘持仓初始配置!$Z$6)^(('实盘净值数据(iFinD）'!$A36-'实盘净值数据(iFinD）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）'!$A36="",'实盘净值数据(iFinD）'!$B36=""),"",分期持仓明细!$AB$20*SUMPRODUCT(分期持仓明细!$B$20:$Y$20,'实盘净值数据(iFinD）'!$B36:$Y36/'实盘净值数据(iFinD）'!$B$25:$Y$25)*(1-实盘持仓初始配置!$Z$7)^(('实盘净值数据(iFinD）'!$A36-'实盘净值数据(iFinD）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）'!$A36="",'实盘净值数据(iFinD）'!$B36=""),"",分期持仓明细!$AB$21*SUMPRODUCT(分期持仓明细!$B$21:$Y$21,'实盘净值数据(iFinD）'!$B36:$Y36/'实盘净值数据(iFinD）'!$B$25:$Y$25)*(1-实盘持仓初始配置!$Z$8)^(('实盘净值数据(iFinD）'!$A36-'实盘净值数据(iFinD）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）'!$A36="",'实盘净值数据(iFinD）'!$B36=""),"",分期持仓明细!$AB$22*SUMPRODUCT(分期持仓明细!$B$22:$Y$22,'实盘净值数据(iFinD）'!$B36:$Y36/'实盘净值数据(iFinD）'!$B$25:$Y$25)*(1-实盘持仓初始配置!$Z$9)^(('实盘净值数据(iFinD）'!$A36-'实盘净值数据(iFinD）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  <c r="T36" s="13"/>
      <c r="U36" s="16"/>
      <c r="V36" s="16"/>
    </row>
    <row r="37" spans="1:19">
      <c r="A37" s="15">
        <f>IF('实盘净值数据(iFinD）'!A37="","",'实盘净值数据(iFinD）'!A37)</f>
        <v>46238</v>
      </c>
      <c r="B37" s="13">
        <f>IF(OR('实盘净值数据(iFinD）'!$A37="",'实盘净值数据(iFinD）'!$B37=""),"",分期持仓明细!$AB$17*SUMPRODUCT(分期持仓明细!$B$17:$Y$17,'实盘净值数据(iFinD）'!$B37:$Y37/'实盘净值数据(iFinD）'!$B$20:$Y$20)*(1-实盘持仓初始配置!$Z$4)^(('实盘净值数据(iFinD）'!$A37-'实盘净值数据(iFinD）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）'!$A37="",'实盘净值数据(iFinD）'!$B37=""),"",分期持仓明细!$AB$18*SUMPRODUCT(分期持仓明细!$B$18:$Y$18,'实盘净值数据(iFinD）'!$B37:$Y37/'实盘净值数据(iFinD）'!$B$20:$Y$20)*(1-实盘持仓初始配置!$Z$5)^(('实盘净值数据(iFinD）'!$A37-'实盘净值数据(iFinD）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）'!$A37="",'实盘净值数据(iFinD）'!$B37=""),"",分期持仓明细!$AB$19*SUMPRODUCT(分期持仓明细!$B$19:$Y$19,'实盘净值数据(iFinD）'!$B37:$Y37/'实盘净值数据(iFinD）'!$B$20:$Y$20)*(1-实盘持仓初始配置!$Z$6)^(('实盘净值数据(iFinD）'!$A37-'实盘净值数据(iFinD）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）'!$A37="",'实盘净值数据(iFinD）'!$B37=""),"",分期持仓明细!$AB$20*SUMPRODUCT(分期持仓明细!$B$20:$Y$20,'实盘净值数据(iFinD）'!$B37:$Y37/'实盘净值数据(iFinD）'!$B$25:$Y$25)*(1-实盘持仓初始配置!$Z$7)^(('实盘净值数据(iFinD）'!$A37-'实盘净值数据(iFinD）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）'!$A37="",'实盘净值数据(iFinD）'!$B37=""),"",分期持仓明细!$AB$21*SUMPRODUCT(分期持仓明细!$B$21:$Y$21,'实盘净值数据(iFinD）'!$B37:$Y37/'实盘净值数据(iFinD）'!$B$25:$Y$25)*(1-实盘持仓初始配置!$Z$8)^(('实盘净值数据(iFinD）'!$A37-'实盘净值数据(iFinD）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）'!$A37="",'实盘净值数据(iFinD）'!$B37=""),"",分期持仓明细!$AB$22*SUMPRODUCT(分期持仓明细!$B$22:$Y$22,'实盘净值数据(iFinD）'!$B37:$Y37/'实盘净值数据(iFinD）'!$B$25:$Y$25)*(1-实盘持仓初始配置!$Z$9)^(('实盘净值数据(iFinD）'!$A37-'实盘净值数据(iFinD）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  <c r="T37" s="13"/>
      <c r="U37" s="16"/>
      <c r="V37" s="16"/>
    </row>
    <row r="38" spans="1:19">
      <c r="A38" s="15">
        <f>IF('实盘净值数据(iFinD）'!A38="","",'实盘净值数据(iFinD）'!A38)</f>
        <v>46239</v>
      </c>
      <c r="B38" s="13">
        <f>IF(OR('实盘净值数据(iFinD）'!$A38="",'实盘净值数据(iFinD）'!$B38=""),"",分期持仓明细!$AB$17*SUMPRODUCT(分期持仓明细!$B$17:$Y$17,'实盘净值数据(iFinD）'!$B38:$Y38/'实盘净值数据(iFinD）'!$B$20:$Y$20)*(1-实盘持仓初始配置!$Z$4)^(('实盘净值数据(iFinD）'!$A38-'实盘净值数据(iFinD）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）'!$A38="",'实盘净值数据(iFinD）'!$B38=""),"",分期持仓明细!$AB$18*SUMPRODUCT(分期持仓明细!$B$18:$Y$18,'实盘净值数据(iFinD）'!$B38:$Y38/'实盘净值数据(iFinD）'!$B$20:$Y$20)*(1-实盘持仓初始配置!$Z$5)^(('实盘净值数据(iFinD）'!$A38-'实盘净值数据(iFinD）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）'!$A38="",'实盘净值数据(iFinD）'!$B38=""),"",分期持仓明细!$AB$19*SUMPRODUCT(分期持仓明细!$B$19:$Y$19,'实盘净值数据(iFinD）'!$B38:$Y38/'实盘净值数据(iFinD）'!$B$20:$Y$20)*(1-实盘持仓初始配置!$Z$6)^(('实盘净值数据(iFinD）'!$A38-'实盘净值数据(iFinD）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）'!$A38="",'实盘净值数据(iFinD）'!$B38=""),"",分期持仓明细!$AB$20*SUMPRODUCT(分期持仓明细!$B$20:$Y$20,'实盘净值数据(iFinD）'!$B38:$Y38/'实盘净值数据(iFinD）'!$B$25:$Y$25)*(1-实盘持仓初始配置!$Z$7)^(('实盘净值数据(iFinD）'!$A38-'实盘净值数据(iFinD）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）'!$A38="",'实盘净值数据(iFinD）'!$B38=""),"",分期持仓明细!$AB$21*SUMPRODUCT(分期持仓明细!$B$21:$Y$21,'实盘净值数据(iFinD）'!$B38:$Y38/'实盘净值数据(iFinD）'!$B$25:$Y$25)*(1-实盘持仓初始配置!$Z$8)^(('实盘净值数据(iFinD）'!$A38-'实盘净值数据(iFinD）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）'!$A38="",'实盘净值数据(iFinD）'!$B38=""),"",分期持仓明细!$AB$22*SUMPRODUCT(分期持仓明细!$B$22:$Y$22,'实盘净值数据(iFinD）'!$B38:$Y38/'实盘净值数据(iFinD）'!$B$25:$Y$25)*(1-实盘持仓初始配置!$Z$9)^(('实盘净值数据(iFinD）'!$A38-'实盘净值数据(iFinD）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  <c r="T38" s="13"/>
      <c r="U38" s="16"/>
      <c r="V38" s="16"/>
    </row>
    <row r="39" spans="1:19">
      <c r="A39" s="15">
        <f>IF('实盘净值数据(iFinD）'!A39="","",'实盘净值数据(iFinD）'!A39)</f>
        <v>46240</v>
      </c>
      <c r="B39" s="13">
        <f>IF(OR('实盘净值数据(iFinD）'!$A39="",'实盘净值数据(iFinD）'!$B39=""),"",分期持仓明细!$AB$17*SUMPRODUCT(分期持仓明细!$B$17:$Y$17,'实盘净值数据(iFinD）'!$B39:$Y39/'实盘净值数据(iFinD）'!$B$20:$Y$20)*(1-实盘持仓初始配置!$Z$4)^(('实盘净值数据(iFinD）'!$A39-'实盘净值数据(iFinD）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）'!$A39="",'实盘净值数据(iFinD）'!$B39=""),"",分期持仓明细!$AB$18*SUMPRODUCT(分期持仓明细!$B$18:$Y$18,'实盘净值数据(iFinD）'!$B39:$Y39/'实盘净值数据(iFinD）'!$B$20:$Y$20)*(1-实盘持仓初始配置!$Z$5)^(('实盘净值数据(iFinD）'!$A39-'实盘净值数据(iFinD）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）'!$A39="",'实盘净值数据(iFinD）'!$B39=""),"",分期持仓明细!$AB$19*SUMPRODUCT(分期持仓明细!$B$19:$Y$19,'实盘净值数据(iFinD）'!$B39:$Y39/'实盘净值数据(iFinD）'!$B$20:$Y$20)*(1-实盘持仓初始配置!$Z$6)^(('实盘净值数据(iFinD）'!$A39-'实盘净值数据(iFinD）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）'!$A39="",'实盘净值数据(iFinD）'!$B39=""),"",分期持仓明细!$AB$20*SUMPRODUCT(分期持仓明细!$B$20:$Y$20,'实盘净值数据(iFinD）'!$B39:$Y39/'实盘净值数据(iFinD）'!$B$25:$Y$25)*(1-实盘持仓初始配置!$Z$7)^(('实盘净值数据(iFinD）'!$A39-'实盘净值数据(iFinD）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）'!$A39="",'实盘净值数据(iFinD）'!$B39=""),"",分期持仓明细!$AB$21*SUMPRODUCT(分期持仓明细!$B$21:$Y$21,'实盘净值数据(iFinD）'!$B39:$Y39/'实盘净值数据(iFinD）'!$B$25:$Y$25)*(1-实盘持仓初始配置!$Z$8)^(('实盘净值数据(iFinD）'!$A39-'实盘净值数据(iFinD）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）'!$A39="",'实盘净值数据(iFinD）'!$B39=""),"",分期持仓明细!$AB$22*SUMPRODUCT(分期持仓明细!$B$22:$Y$22,'实盘净值数据(iFinD）'!$B39:$Y39/'实盘净值数据(iFinD）'!$B$25:$Y$25)*(1-实盘持仓初始配置!$Z$9)^(('实盘净值数据(iFinD）'!$A39-'实盘净值数据(iFinD）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  <c r="T39" s="13"/>
      <c r="U39" s="16"/>
      <c r="V39" s="16"/>
    </row>
    <row r="40" spans="1:19">
      <c r="A40" s="15">
        <f>IF('实盘净值数据(iFinD）'!A40="","",'实盘净值数据(iFinD）'!A40)</f>
        <v>46241</v>
      </c>
      <c r="B40" s="13">
        <f>IF(OR('实盘净值数据(iFinD）'!$A40="",'实盘净值数据(iFinD）'!$B40=""),"",分期持仓明细!$AB$17*SUMPRODUCT(分期持仓明细!$B$17:$Y$17,'实盘净值数据(iFinD）'!$B40:$Y40/'实盘净值数据(iFinD）'!$B$20:$Y$20)*(1-实盘持仓初始配置!$Z$4)^(('实盘净值数据(iFinD）'!$A40-'实盘净值数据(iFinD）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）'!$A40="",'实盘净值数据(iFinD）'!$B40=""),"",分期持仓明细!$AB$18*SUMPRODUCT(分期持仓明细!$B$18:$Y$18,'实盘净值数据(iFinD）'!$B40:$Y40/'实盘净值数据(iFinD）'!$B$20:$Y$20)*(1-实盘持仓初始配置!$Z$5)^(('实盘净值数据(iFinD）'!$A40-'实盘净值数据(iFinD）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）'!$A40="",'实盘净值数据(iFinD）'!$B40=""),"",分期持仓明细!$AB$19*SUMPRODUCT(分期持仓明细!$B$19:$Y$19,'实盘净值数据(iFinD）'!$B40:$Y40/'实盘净值数据(iFinD）'!$B$20:$Y$20)*(1-实盘持仓初始配置!$Z$6)^(('实盘净值数据(iFinD）'!$A40-'实盘净值数据(iFinD）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）'!$A40="",'实盘净值数据(iFinD）'!$B40=""),"",分期持仓明细!$AB$20*SUMPRODUCT(分期持仓明细!$B$20:$Y$20,'实盘净值数据(iFinD）'!$B40:$Y40/'实盘净值数据(iFinD）'!$B$25:$Y$25)*(1-实盘持仓初始配置!$Z$7)^(('实盘净值数据(iFinD）'!$A40-'实盘净值数据(iFinD）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）'!$A40="",'实盘净值数据(iFinD）'!$B40=""),"",分期持仓明细!$AB$21*SUMPRODUCT(分期持仓明细!$B$21:$Y$21,'实盘净值数据(iFinD）'!$B40:$Y40/'实盘净值数据(iFinD）'!$B$25:$Y$25)*(1-实盘持仓初始配置!$Z$8)^(('实盘净值数据(iFinD）'!$A40-'实盘净值数据(iFinD）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）'!$A40="",'实盘净值数据(iFinD）'!$B40=""),"",分期持仓明细!$AB$22*SUMPRODUCT(分期持仓明细!$B$22:$Y$22,'实盘净值数据(iFinD）'!$B40:$Y40/'实盘净值数据(iFinD）'!$B$25:$Y$25)*(1-实盘持仓初始配置!$Z$9)^(('实盘净值数据(iFinD）'!$A40-'实盘净值数据(iFinD）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  <c r="T40" s="13"/>
      <c r="U40" s="16"/>
      <c r="V40" s="16"/>
    </row>
    <row r="41" spans="1:19">
      <c r="A41" s="15">
        <f>IF('实盘净值数据(iFinD）'!A41="","",'实盘净值数据(iFinD）'!A41)</f>
        <v>46244</v>
      </c>
      <c r="B41" s="13">
        <f>IF(OR('实盘净值数据(iFinD）'!$A41="",'实盘净值数据(iFinD）'!$B41=""),"",分期持仓明细!$AB$17*SUMPRODUCT(分期持仓明细!$B$17:$Y$17,'实盘净值数据(iFinD）'!$B41:$Y41/'实盘净值数据(iFinD）'!$B$20:$Y$20)*(1-实盘持仓初始配置!$Z$4)^(('实盘净值数据(iFinD）'!$A41-'实盘净值数据(iFinD）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）'!$A41="",'实盘净值数据(iFinD）'!$B41=""),"",分期持仓明细!$AB$18*SUMPRODUCT(分期持仓明细!$B$18:$Y$18,'实盘净值数据(iFinD）'!$B41:$Y41/'实盘净值数据(iFinD）'!$B$20:$Y$20)*(1-实盘持仓初始配置!$Z$5)^(('实盘净值数据(iFinD）'!$A41-'实盘净值数据(iFinD）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）'!$A41="",'实盘净值数据(iFinD）'!$B41=""),"",分期持仓明细!$AB$19*SUMPRODUCT(分期持仓明细!$B$19:$Y$19,'实盘净值数据(iFinD）'!$B41:$Y41/'实盘净值数据(iFinD）'!$B$20:$Y$20)*(1-实盘持仓初始配置!$Z$6)^(('实盘净值数据(iFinD）'!$A41-'实盘净值数据(iFinD）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）'!$A41="",'实盘净值数据(iFinD）'!$B41=""),"",分期持仓明细!$AB$20*SUMPRODUCT(分期持仓明细!$B$20:$Y$20,'实盘净值数据(iFinD）'!$B41:$Y41/'实盘净值数据(iFinD）'!$B$25:$Y$25)*(1-实盘持仓初始配置!$Z$7)^(('实盘净值数据(iFinD）'!$A41-'实盘净值数据(iFinD）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）'!$A41="",'实盘净值数据(iFinD）'!$B41=""),"",分期持仓明细!$AB$21*SUMPRODUCT(分期持仓明细!$B$21:$Y$21,'实盘净值数据(iFinD）'!$B41:$Y41/'实盘净值数据(iFinD）'!$B$25:$Y$25)*(1-实盘持仓初始配置!$Z$8)^(('实盘净值数据(iFinD）'!$A41-'实盘净值数据(iFinD）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）'!$A41="",'实盘净值数据(iFinD）'!$B41=""),"",分期持仓明细!$AB$22*SUMPRODUCT(分期持仓明细!$B$22:$Y$22,'实盘净值数据(iFinD）'!$B41:$Y41/'实盘净值数据(iFinD）'!$B$25:$Y$25)*(1-实盘持仓初始配置!$Z$9)^(('实盘净值数据(iFinD）'!$A41-'实盘净值数据(iFinD）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  <c r="T41" s="13"/>
      <c r="U41" s="16"/>
      <c r="V41" s="16"/>
    </row>
    <row r="42" spans="1:19">
      <c r="A42" s="15">
        <f>IF('实盘净值数据(iFinD）'!A42="","",'实盘净值数据(iFinD）'!A42)</f>
        <v>46245</v>
      </c>
      <c r="B42" s="13">
        <f>IF(OR('实盘净值数据(iFinD）'!$A42="",'实盘净值数据(iFinD）'!$B42=""),"",分期持仓明细!$AB$17*SUMPRODUCT(分期持仓明细!$B$17:$Y$17,'实盘净值数据(iFinD）'!$B42:$Y42/'实盘净值数据(iFinD）'!$B$20:$Y$20)*(1-实盘持仓初始配置!$Z$4)^(('实盘净值数据(iFinD）'!$A42-'实盘净值数据(iFinD）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）'!$A42="",'实盘净值数据(iFinD）'!$B42=""),"",分期持仓明细!$AB$18*SUMPRODUCT(分期持仓明细!$B$18:$Y$18,'实盘净值数据(iFinD）'!$B42:$Y42/'实盘净值数据(iFinD）'!$B$20:$Y$20)*(1-实盘持仓初始配置!$Z$5)^(('实盘净值数据(iFinD）'!$A42-'实盘净值数据(iFinD）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）'!$A42="",'实盘净值数据(iFinD）'!$B42=""),"",分期持仓明细!$AB$19*SUMPRODUCT(分期持仓明细!$B$19:$Y$19,'实盘净值数据(iFinD）'!$B42:$Y42/'实盘净值数据(iFinD）'!$B$20:$Y$20)*(1-实盘持仓初始配置!$Z$6)^(('实盘净值数据(iFinD）'!$A42-'实盘净值数据(iFinD）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）'!$A42="",'实盘净值数据(iFinD）'!$B42=""),"",分期持仓明细!$AB$20*SUMPRODUCT(分期持仓明细!$B$20:$Y$20,'实盘净值数据(iFinD）'!$B42:$Y42/'实盘净值数据(iFinD）'!$B$25:$Y$25)*(1-实盘持仓初始配置!$Z$7)^(('实盘净值数据(iFinD）'!$A42-'实盘净值数据(iFinD）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）'!$A42="",'实盘净值数据(iFinD）'!$B42=""),"",分期持仓明细!$AB$21*SUMPRODUCT(分期持仓明细!$B$21:$Y$21,'实盘净值数据(iFinD）'!$B42:$Y42/'实盘净值数据(iFinD）'!$B$25:$Y$25)*(1-实盘持仓初始配置!$Z$8)^(('实盘净值数据(iFinD）'!$A42-'实盘净值数据(iFinD）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）'!$A42="",'实盘净值数据(iFinD）'!$B42=""),"",分期持仓明细!$AB$22*SUMPRODUCT(分期持仓明细!$B$22:$Y$22,'实盘净值数据(iFinD）'!$B42:$Y42/'实盘净值数据(iFinD）'!$B$25:$Y$25)*(1-实盘持仓初始配置!$Z$9)^(('实盘净值数据(iFinD）'!$A42-'实盘净值数据(iFinD）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  <c r="T42" s="13"/>
      <c r="U42" s="16"/>
      <c r="V42" s="16"/>
    </row>
    <row r="43" spans="1:19">
      <c r="A43" s="15">
        <f>IF('实盘净值数据(iFinD）'!A43="","",'实盘净值数据(iFinD）'!A43)</f>
        <v>46246</v>
      </c>
      <c r="B43" s="13">
        <f>IF(OR('实盘净值数据(iFinD）'!$A43="",'实盘净值数据(iFinD）'!$B43=""),"",分期持仓明细!$AB$17*SUMPRODUCT(分期持仓明细!$B$17:$Y$17,'实盘净值数据(iFinD）'!$B43:$Y43/'实盘净值数据(iFinD）'!$B$20:$Y$20)*(1-实盘持仓初始配置!$Z$4)^(('实盘净值数据(iFinD）'!$A43-'实盘净值数据(iFinD）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）'!$A43="",'实盘净值数据(iFinD）'!$B43=""),"",分期持仓明细!$AB$18*SUMPRODUCT(分期持仓明细!$B$18:$Y$18,'实盘净值数据(iFinD）'!$B43:$Y43/'实盘净值数据(iFinD）'!$B$20:$Y$20)*(1-实盘持仓初始配置!$Z$5)^(('实盘净值数据(iFinD）'!$A43-'实盘净值数据(iFinD）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）'!$A43="",'实盘净值数据(iFinD）'!$B43=""),"",分期持仓明细!$AB$19*SUMPRODUCT(分期持仓明细!$B$19:$Y$19,'实盘净值数据(iFinD）'!$B43:$Y43/'实盘净值数据(iFinD）'!$B$20:$Y$20)*(1-实盘持仓初始配置!$Z$6)^(('实盘净值数据(iFinD）'!$A43-'实盘净值数据(iFinD）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）'!$A43="",'实盘净值数据(iFinD）'!$B43=""),"",分期持仓明细!$AB$20*SUMPRODUCT(分期持仓明细!$B$20:$Y$20,'实盘净值数据(iFinD）'!$B43:$Y43/'实盘净值数据(iFinD）'!$B$25:$Y$25)*(1-实盘持仓初始配置!$Z$7)^(('实盘净值数据(iFinD）'!$A43-'实盘净值数据(iFinD）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）'!$A43="",'实盘净值数据(iFinD）'!$B43=""),"",分期持仓明细!$AB$21*SUMPRODUCT(分期持仓明细!$B$21:$Y$21,'实盘净值数据(iFinD）'!$B43:$Y43/'实盘净值数据(iFinD）'!$B$25:$Y$25)*(1-实盘持仓初始配置!$Z$8)^(('实盘净值数据(iFinD）'!$A43-'实盘净值数据(iFinD）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）'!$A43="",'实盘净值数据(iFinD）'!$B43=""),"",分期持仓明细!$AB$22*SUMPRODUCT(分期持仓明细!$B$22:$Y$22,'实盘净值数据(iFinD）'!$B43:$Y43/'实盘净值数据(iFinD）'!$B$25:$Y$25)*(1-实盘持仓初始配置!$Z$9)^(('实盘净值数据(iFinD）'!$A43-'实盘净值数据(iFinD）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  <c r="T43" s="13"/>
      <c r="U43" s="16"/>
      <c r="V43" s="16"/>
    </row>
    <row r="44" spans="1:19">
      <c r="A44" s="15">
        <f>IF('实盘净值数据(iFinD）'!A44="","",'实盘净值数据(iFinD）'!A44)</f>
        <v>46247</v>
      </c>
      <c r="B44" s="13">
        <f>IF(OR('实盘净值数据(iFinD）'!$A44="",'实盘净值数据(iFinD）'!$B44=""),"",分期持仓明细!$AB$17*SUMPRODUCT(分期持仓明细!$B$17:$Y$17,'实盘净值数据(iFinD）'!$B44:$Y44/'实盘净值数据(iFinD）'!$B$20:$Y$20)*(1-实盘持仓初始配置!$Z$4)^(('实盘净值数据(iFinD）'!$A44-'实盘净值数据(iFinD）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）'!$A44="",'实盘净值数据(iFinD）'!$B44=""),"",分期持仓明细!$AB$18*SUMPRODUCT(分期持仓明细!$B$18:$Y$18,'实盘净值数据(iFinD）'!$B44:$Y44/'实盘净值数据(iFinD）'!$B$20:$Y$20)*(1-实盘持仓初始配置!$Z$5)^(('实盘净值数据(iFinD）'!$A44-'实盘净值数据(iFinD）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）'!$A44="",'实盘净值数据(iFinD）'!$B44=""),"",分期持仓明细!$AB$19*SUMPRODUCT(分期持仓明细!$B$19:$Y$19,'实盘净值数据(iFinD）'!$B44:$Y44/'实盘净值数据(iFinD）'!$B$20:$Y$20)*(1-实盘持仓初始配置!$Z$6)^(('实盘净值数据(iFinD）'!$A44-'实盘净值数据(iFinD）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）'!$A44="",'实盘净值数据(iFinD）'!$B44=""),"",分期持仓明细!$AB$20*SUMPRODUCT(分期持仓明细!$B$20:$Y$20,'实盘净值数据(iFinD）'!$B44:$Y44/'实盘净值数据(iFinD）'!$B$25:$Y$25)*(1-实盘持仓初始配置!$Z$7)^(('实盘净值数据(iFinD）'!$A44-'实盘净值数据(iFinD）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）'!$A44="",'实盘净值数据(iFinD）'!$B44=""),"",分期持仓明细!$AB$21*SUMPRODUCT(分期持仓明细!$B$21:$Y$21,'实盘净值数据(iFinD）'!$B44:$Y44/'实盘净值数据(iFinD）'!$B$25:$Y$25)*(1-实盘持仓初始配置!$Z$8)^(('实盘净值数据(iFinD）'!$A44-'实盘净值数据(iFinD）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）'!$A44="",'实盘净值数据(iFinD）'!$B44=""),"",分期持仓明细!$AB$22*SUMPRODUCT(分期持仓明细!$B$22:$Y$22,'实盘净值数据(iFinD）'!$B44:$Y44/'实盘净值数据(iFinD）'!$B$25:$Y$25)*(1-实盘持仓初始配置!$Z$9)^(('实盘净值数据(iFinD）'!$A44-'实盘净值数据(iFinD）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  <c r="T44" s="13"/>
      <c r="U44" s="16"/>
      <c r="V44" s="16"/>
    </row>
    <row r="45" spans="1:19">
      <c r="A45" s="15">
        <f>IF('实盘净值数据(iFinD）'!A45="","",'实盘净值数据(iFinD）'!A45)</f>
        <v>46248</v>
      </c>
      <c r="B45" s="13">
        <f>IF(OR('实盘净值数据(iFinD）'!$A45="",'实盘净值数据(iFinD）'!$B45=""),"",分期持仓明细!$AB$17*SUMPRODUCT(分期持仓明细!$B$17:$Y$17,'实盘净值数据(iFinD）'!$B45:$Y45/'实盘净值数据(iFinD）'!$B$20:$Y$20)*(1-实盘持仓初始配置!$Z$4)^(('实盘净值数据(iFinD）'!$A45-'实盘净值数据(iFinD）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）'!$A45="",'实盘净值数据(iFinD）'!$B45=""),"",分期持仓明细!$AB$18*SUMPRODUCT(分期持仓明细!$B$18:$Y$18,'实盘净值数据(iFinD）'!$B45:$Y45/'实盘净值数据(iFinD）'!$B$20:$Y$20)*(1-实盘持仓初始配置!$Z$5)^(('实盘净值数据(iFinD）'!$A45-'实盘净值数据(iFinD）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）'!$A45="",'实盘净值数据(iFinD）'!$B45=""),"",分期持仓明细!$AB$19*SUMPRODUCT(分期持仓明细!$B$19:$Y$19,'实盘净值数据(iFinD）'!$B45:$Y45/'实盘净值数据(iFinD）'!$B$20:$Y$20)*(1-实盘持仓初始配置!$Z$6)^(('实盘净值数据(iFinD）'!$A45-'实盘净值数据(iFinD）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）'!$A45="",'实盘净值数据(iFinD）'!$B45=""),"",分期持仓明细!$AB$20*SUMPRODUCT(分期持仓明细!$B$20:$Y$20,'实盘净值数据(iFinD）'!$B45:$Y45/'实盘净值数据(iFinD）'!$B$25:$Y$25)*(1-实盘持仓初始配置!$Z$7)^(('实盘净值数据(iFinD）'!$A45-'实盘净值数据(iFinD）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）'!$A45="",'实盘净值数据(iFinD）'!$B45=""),"",分期持仓明细!$AB$21*SUMPRODUCT(分期持仓明细!$B$21:$Y$21,'实盘净值数据(iFinD）'!$B45:$Y45/'实盘净值数据(iFinD）'!$B$25:$Y$25)*(1-实盘持仓初始配置!$Z$8)^(('实盘净值数据(iFinD）'!$A45-'实盘净值数据(iFinD）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）'!$A45="",'实盘净值数据(iFinD）'!$B45=""),"",分期持仓明细!$AB$22*SUMPRODUCT(分期持仓明细!$B$22:$Y$22,'实盘净值数据(iFinD）'!$B45:$Y45/'实盘净值数据(iFinD）'!$B$25:$Y$25)*(1-实盘持仓初始配置!$Z$9)^(('实盘净值数据(iFinD）'!$A45-'实盘净值数据(iFinD）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  <c r="T45" s="13"/>
      <c r="U45" s="16"/>
      <c r="V45" s="16"/>
    </row>
    <row r="46" spans="1:19">
      <c r="A46" s="15">
        <f>IF('实盘净值数据(iFinD）'!A46="","",'实盘净值数据(iFinD）'!A46)</f>
        <v>46251</v>
      </c>
      <c r="B46" s="13">
        <f>IF(OR('实盘净值数据(iFinD）'!$A46="",'实盘净值数据(iFinD）'!$B46=""),"",分期持仓明细!$AB$17*SUMPRODUCT(分期持仓明细!$B$17:$Y$17,'实盘净值数据(iFinD）'!$B46:$Y46/'实盘净值数据(iFinD）'!$B$20:$Y$20)*(1-实盘持仓初始配置!$Z$4)^(('实盘净值数据(iFinD）'!$A46-'实盘净值数据(iFinD）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）'!$A46="",'实盘净值数据(iFinD）'!$B46=""),"",分期持仓明细!$AB$18*SUMPRODUCT(分期持仓明细!$B$18:$Y$18,'实盘净值数据(iFinD）'!$B46:$Y46/'实盘净值数据(iFinD）'!$B$20:$Y$20)*(1-实盘持仓初始配置!$Z$5)^(('实盘净值数据(iFinD）'!$A46-'实盘净值数据(iFinD）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）'!$A46="",'实盘净值数据(iFinD）'!$B46=""),"",分期持仓明细!$AB$19*SUMPRODUCT(分期持仓明细!$B$19:$Y$19,'实盘净值数据(iFinD）'!$B46:$Y46/'实盘净值数据(iFinD）'!$B$20:$Y$20)*(1-实盘持仓初始配置!$Z$6)^(('实盘净值数据(iFinD）'!$A46-'实盘净值数据(iFinD）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）'!$A46="",'实盘净值数据(iFinD）'!$B46=""),"",分期持仓明细!$AB$20*SUMPRODUCT(分期持仓明细!$B$20:$Y$20,'实盘净值数据(iFinD）'!$B46:$Y46/'实盘净值数据(iFinD）'!$B$25:$Y$25)*(1-实盘持仓初始配置!$Z$7)^(('实盘净值数据(iFinD）'!$A46-'实盘净值数据(iFinD）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）'!$A46="",'实盘净值数据(iFinD）'!$B46=""),"",分期持仓明细!$AB$21*SUMPRODUCT(分期持仓明细!$B$21:$Y$21,'实盘净值数据(iFinD）'!$B46:$Y46/'实盘净值数据(iFinD）'!$B$25:$Y$25)*(1-实盘持仓初始配置!$Z$8)^(('实盘净值数据(iFinD）'!$A46-'实盘净值数据(iFinD）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）'!$A46="",'实盘净值数据(iFinD）'!$B46=""),"",分期持仓明细!$AB$22*SUMPRODUCT(分期持仓明细!$B$22:$Y$22,'实盘净值数据(iFinD）'!$B46:$Y46/'实盘净值数据(iFinD）'!$B$25:$Y$25)*(1-实盘持仓初始配置!$Z$9)^(('实盘净值数据(iFinD）'!$A46-'实盘净值数据(iFinD）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  <c r="T46" s="13"/>
      <c r="U46" s="16"/>
      <c r="V46" s="16"/>
    </row>
    <row r="47" spans="1:19">
      <c r="A47" s="15">
        <f>IF('实盘净值数据(iFinD）'!A47="","",'实盘净值数据(iFinD）'!A47)</f>
        <v>46252</v>
      </c>
      <c r="B47" s="13">
        <f>IF(OR('实盘净值数据(iFinD）'!$A47="",'实盘净值数据(iFinD）'!$B47=""),"",分期持仓明细!$AB$17*SUMPRODUCT(分期持仓明细!$B$17:$Y$17,'实盘净值数据(iFinD）'!$B47:$Y47/'实盘净值数据(iFinD）'!$B$20:$Y$20)*(1-实盘持仓初始配置!$Z$4)^(('实盘净值数据(iFinD）'!$A47-'实盘净值数据(iFinD）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）'!$A47="",'实盘净值数据(iFinD）'!$B47=""),"",分期持仓明细!$AB$18*SUMPRODUCT(分期持仓明细!$B$18:$Y$18,'实盘净值数据(iFinD）'!$B47:$Y47/'实盘净值数据(iFinD）'!$B$20:$Y$20)*(1-实盘持仓初始配置!$Z$5)^(('实盘净值数据(iFinD）'!$A47-'实盘净值数据(iFinD）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）'!$A47="",'实盘净值数据(iFinD）'!$B47=""),"",分期持仓明细!$AB$19*SUMPRODUCT(分期持仓明细!$B$19:$Y$19,'实盘净值数据(iFinD）'!$B47:$Y47/'实盘净值数据(iFinD）'!$B$20:$Y$20)*(1-实盘持仓初始配置!$Z$6)^(('实盘净值数据(iFinD）'!$A47-'实盘净值数据(iFinD）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）'!$A47="",'实盘净值数据(iFinD）'!$B47=""),"",分期持仓明细!$AB$20*SUMPRODUCT(分期持仓明细!$B$20:$Y$20,'实盘净值数据(iFinD）'!$B47:$Y47/'实盘净值数据(iFinD）'!$B$25:$Y$25)*(1-实盘持仓初始配置!$Z$7)^(('实盘净值数据(iFinD）'!$A47-'实盘净值数据(iFinD）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）'!$A47="",'实盘净值数据(iFinD）'!$B47=""),"",分期持仓明细!$AB$21*SUMPRODUCT(分期持仓明细!$B$21:$Y$21,'实盘净值数据(iFinD）'!$B47:$Y47/'实盘净值数据(iFinD）'!$B$25:$Y$25)*(1-实盘持仓初始配置!$Z$8)^(('实盘净值数据(iFinD）'!$A47-'实盘净值数据(iFinD）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）'!$A47="",'实盘净值数据(iFinD）'!$B47=""),"",分期持仓明细!$AB$22*SUMPRODUCT(分期持仓明细!$B$22:$Y$22,'实盘净值数据(iFinD）'!$B47:$Y47/'实盘净值数据(iFinD）'!$B$25:$Y$25)*(1-实盘持仓初始配置!$Z$9)^(('实盘净值数据(iFinD）'!$A47-'实盘净值数据(iFinD）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  <c r="T47" s="13"/>
      <c r="U47" s="16"/>
      <c r="V47" s="16"/>
    </row>
    <row r="48" spans="1:19">
      <c r="A48" s="15">
        <f>IF('实盘净值数据(iFinD）'!A48="","",'实盘净值数据(iFinD）'!A48)</f>
        <v>46253</v>
      </c>
      <c r="B48" s="13">
        <f>IF(OR('实盘净值数据(iFinD）'!$A48="",'实盘净值数据(iFinD）'!$B48=""),"",分期持仓明细!$AB$17*SUMPRODUCT(分期持仓明细!$B$17:$Y$17,'实盘净值数据(iFinD）'!$B48:$Y48/'实盘净值数据(iFinD）'!$B$20:$Y$20)*(1-实盘持仓初始配置!$Z$4)^(('实盘净值数据(iFinD）'!$A48-'实盘净值数据(iFinD）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）'!$A48="",'实盘净值数据(iFinD）'!$B48=""),"",分期持仓明细!$AB$18*SUMPRODUCT(分期持仓明细!$B$18:$Y$18,'实盘净值数据(iFinD）'!$B48:$Y48/'实盘净值数据(iFinD）'!$B$20:$Y$20)*(1-实盘持仓初始配置!$Z$5)^(('实盘净值数据(iFinD）'!$A48-'实盘净值数据(iFinD）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）'!$A48="",'实盘净值数据(iFinD）'!$B48=""),"",分期持仓明细!$AB$19*SUMPRODUCT(分期持仓明细!$B$19:$Y$19,'实盘净值数据(iFinD）'!$B48:$Y48/'实盘净值数据(iFinD）'!$B$20:$Y$20)*(1-实盘持仓初始配置!$Z$6)^(('实盘净值数据(iFinD）'!$A48-'实盘净值数据(iFinD）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）'!$A48="",'实盘净值数据(iFinD）'!$B48=""),"",分期持仓明细!$AB$20*SUMPRODUCT(分期持仓明细!$B$20:$Y$20,'实盘净值数据(iFinD）'!$B48:$Y48/'实盘净值数据(iFinD）'!$B$25:$Y$25)*(1-实盘持仓初始配置!$Z$7)^(('实盘净值数据(iFinD）'!$A48-'实盘净值数据(iFinD）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）'!$A48="",'实盘净值数据(iFinD）'!$B48=""),"",分期持仓明细!$AB$21*SUMPRODUCT(分期持仓明细!$B$21:$Y$21,'实盘净值数据(iFinD）'!$B48:$Y48/'实盘净值数据(iFinD）'!$B$25:$Y$25)*(1-实盘持仓初始配置!$Z$8)^(('实盘净值数据(iFinD）'!$A48-'实盘净值数据(iFinD）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）'!$A48="",'实盘净值数据(iFinD）'!$B48=""),"",分期持仓明细!$AB$22*SUMPRODUCT(分期持仓明细!$B$22:$Y$22,'实盘净值数据(iFinD）'!$B48:$Y48/'实盘净值数据(iFinD）'!$B$25:$Y$25)*(1-实盘持仓初始配置!$Z$9)^(('实盘净值数据(iFinD）'!$A48-'实盘净值数据(iFinD）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  <c r="T48" s="13"/>
      <c r="U48" s="16"/>
      <c r="V48" s="16"/>
    </row>
    <row r="49" spans="1:19">
      <c r="A49" s="15">
        <f>IF('实盘净值数据(iFinD）'!A49="","",'实盘净值数据(iFinD）'!A49)</f>
        <v>46254</v>
      </c>
      <c r="B49" s="13">
        <f>IF(OR('实盘净值数据(iFinD）'!$A49="",'实盘净值数据(iFinD）'!$B49=""),"",分期持仓明细!$AB$17*SUMPRODUCT(分期持仓明细!$B$17:$Y$17,'实盘净值数据(iFinD）'!$B49:$Y49/'实盘净值数据(iFinD）'!$B$20:$Y$20)*(1-实盘持仓初始配置!$Z$4)^(('实盘净值数据(iFinD）'!$A49-'实盘净值数据(iFinD）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）'!$A49="",'实盘净值数据(iFinD）'!$B49=""),"",分期持仓明细!$AB$18*SUMPRODUCT(分期持仓明细!$B$18:$Y$18,'实盘净值数据(iFinD）'!$B49:$Y49/'实盘净值数据(iFinD）'!$B$20:$Y$20)*(1-实盘持仓初始配置!$Z$5)^(('实盘净值数据(iFinD）'!$A49-'实盘净值数据(iFinD）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）'!$A49="",'实盘净值数据(iFinD）'!$B49=""),"",分期持仓明细!$AB$19*SUMPRODUCT(分期持仓明细!$B$19:$Y$19,'实盘净值数据(iFinD）'!$B49:$Y49/'实盘净值数据(iFinD）'!$B$20:$Y$20)*(1-实盘持仓初始配置!$Z$6)^(('实盘净值数据(iFinD）'!$A49-'实盘净值数据(iFinD）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）'!$A49="",'实盘净值数据(iFinD）'!$B49=""),"",分期持仓明细!$AB$20*SUMPRODUCT(分期持仓明细!$B$20:$Y$20,'实盘净值数据(iFinD）'!$B49:$Y49/'实盘净值数据(iFinD）'!$B$25:$Y$25)*(1-实盘持仓初始配置!$Z$7)^(('实盘净值数据(iFinD）'!$A49-'实盘净值数据(iFinD）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）'!$A49="",'实盘净值数据(iFinD）'!$B49=""),"",分期持仓明细!$AB$21*SUMPRODUCT(分期持仓明细!$B$21:$Y$21,'实盘净值数据(iFinD）'!$B49:$Y49/'实盘净值数据(iFinD）'!$B$25:$Y$25)*(1-实盘持仓初始配置!$Z$8)^(('实盘净值数据(iFinD）'!$A49-'实盘净值数据(iFinD）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）'!$A49="",'实盘净值数据(iFinD）'!$B49=""),"",分期持仓明细!$AB$22*SUMPRODUCT(分期持仓明细!$B$22:$Y$22,'实盘净值数据(iFinD）'!$B49:$Y49/'实盘净值数据(iFinD）'!$B$25:$Y$25)*(1-实盘持仓初始配置!$Z$9)^(('实盘净值数据(iFinD）'!$A49-'实盘净值数据(iFinD）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  <c r="T49" s="13"/>
      <c r="U49" s="16"/>
      <c r="V49" s="16"/>
    </row>
    <row r="50" spans="1:19">
      <c r="A50" s="15">
        <f>IF('实盘净值数据(iFinD）'!A50="","",'实盘净值数据(iFinD）'!A50)</f>
        <v>46255</v>
      </c>
      <c r="B50" s="13">
        <f>IF(OR('实盘净值数据(iFinD）'!$A50="",'实盘净值数据(iFinD）'!$B50=""),"",分期持仓明细!$AB$17*SUMPRODUCT(分期持仓明细!$B$17:$Y$17,'实盘净值数据(iFinD）'!$B50:$Y50/'实盘净值数据(iFinD）'!$B$20:$Y$20)*(1-实盘持仓初始配置!$Z$4)^(('实盘净值数据(iFinD）'!$A50-'实盘净值数据(iFinD）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）'!$A50="",'实盘净值数据(iFinD）'!$B50=""),"",分期持仓明细!$AB$18*SUMPRODUCT(分期持仓明细!$B$18:$Y$18,'实盘净值数据(iFinD）'!$B50:$Y50/'实盘净值数据(iFinD）'!$B$20:$Y$20)*(1-实盘持仓初始配置!$Z$5)^(('实盘净值数据(iFinD）'!$A50-'实盘净值数据(iFinD）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）'!$A50="",'实盘净值数据(iFinD）'!$B50=""),"",分期持仓明细!$AB$19*SUMPRODUCT(分期持仓明细!$B$19:$Y$19,'实盘净值数据(iFinD）'!$B50:$Y50/'实盘净值数据(iFinD）'!$B$20:$Y$20)*(1-实盘持仓初始配置!$Z$6)^(('实盘净值数据(iFinD）'!$A50-'实盘净值数据(iFinD）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）'!$A50="",'实盘净值数据(iFinD）'!$B50=""),"",分期持仓明细!$AB$20*SUMPRODUCT(分期持仓明细!$B$20:$Y$20,'实盘净值数据(iFinD）'!$B50:$Y50/'实盘净值数据(iFinD）'!$B$25:$Y$25)*(1-实盘持仓初始配置!$Z$7)^(('实盘净值数据(iFinD）'!$A50-'实盘净值数据(iFinD）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）'!$A50="",'实盘净值数据(iFinD）'!$B50=""),"",分期持仓明细!$AB$21*SUMPRODUCT(分期持仓明细!$B$21:$Y$21,'实盘净值数据(iFinD）'!$B50:$Y50/'实盘净值数据(iFinD）'!$B$25:$Y$25)*(1-实盘持仓初始配置!$Z$8)^(('实盘净值数据(iFinD）'!$A50-'实盘净值数据(iFinD）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）'!$A50="",'实盘净值数据(iFinD）'!$B50=""),"",分期持仓明细!$AB$22*SUMPRODUCT(分期持仓明细!$B$22:$Y$22,'实盘净值数据(iFinD）'!$B50:$Y50/'实盘净值数据(iFinD）'!$B$25:$Y$25)*(1-实盘持仓初始配置!$Z$9)^(('实盘净值数据(iFinD）'!$A50-'实盘净值数据(iFinD）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  <c r="T50" s="13"/>
      <c r="U50" s="16"/>
      <c r="V50" s="16"/>
    </row>
    <row r="51" spans="1:19">
      <c r="A51" s="15">
        <f>IF('实盘净值数据(iFinD）'!A51="","",'实盘净值数据(iFinD）'!A51)</f>
        <v>46258</v>
      </c>
      <c r="B51" s="13">
        <f>IF(OR('实盘净值数据(iFinD）'!$A51="",'实盘净值数据(iFinD）'!$B51=""),"",分期持仓明细!$AB$17*SUMPRODUCT(分期持仓明细!$B$17:$Y$17,'实盘净值数据(iFinD）'!$B51:$Y51/'实盘净值数据(iFinD）'!$B$20:$Y$20)*(1-实盘持仓初始配置!$Z$4)^(('实盘净值数据(iFinD）'!$A51-'实盘净值数据(iFinD）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）'!$A51="",'实盘净值数据(iFinD）'!$B51=""),"",分期持仓明细!$AB$18*SUMPRODUCT(分期持仓明细!$B$18:$Y$18,'实盘净值数据(iFinD）'!$B51:$Y51/'实盘净值数据(iFinD）'!$B$20:$Y$20)*(1-实盘持仓初始配置!$Z$5)^(('实盘净值数据(iFinD）'!$A51-'实盘净值数据(iFinD）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）'!$A51="",'实盘净值数据(iFinD）'!$B51=""),"",分期持仓明细!$AB$19*SUMPRODUCT(分期持仓明细!$B$19:$Y$19,'实盘净值数据(iFinD）'!$B51:$Y51/'实盘净值数据(iFinD）'!$B$20:$Y$20)*(1-实盘持仓初始配置!$Z$6)^(('实盘净值数据(iFinD）'!$A51-'实盘净值数据(iFinD）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）'!$A51="",'实盘净值数据(iFinD）'!$B51=""),"",分期持仓明细!$AB$20*SUMPRODUCT(分期持仓明细!$B$20:$Y$20,'实盘净值数据(iFinD）'!$B51:$Y51/'实盘净值数据(iFinD）'!$B$25:$Y$25)*(1-实盘持仓初始配置!$Z$7)^(('实盘净值数据(iFinD）'!$A51-'实盘净值数据(iFinD）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）'!$A51="",'实盘净值数据(iFinD）'!$B51=""),"",分期持仓明细!$AB$21*SUMPRODUCT(分期持仓明细!$B$21:$Y$21,'实盘净值数据(iFinD）'!$B51:$Y51/'实盘净值数据(iFinD）'!$B$25:$Y$25)*(1-实盘持仓初始配置!$Z$8)^(('实盘净值数据(iFinD）'!$A51-'实盘净值数据(iFinD）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）'!$A51="",'实盘净值数据(iFinD）'!$B51=""),"",分期持仓明细!$AB$22*SUMPRODUCT(分期持仓明细!$B$22:$Y$22,'实盘净值数据(iFinD）'!$B51:$Y51/'实盘净值数据(iFinD）'!$B$25:$Y$25)*(1-实盘持仓初始配置!$Z$9)^(('实盘净值数据(iFinD）'!$A51-'实盘净值数据(iFinD）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  <c r="T51" s="13"/>
      <c r="U51" s="16"/>
      <c r="V51" s="16"/>
    </row>
    <row r="52" spans="1:19">
      <c r="A52" s="15">
        <f>IF('实盘净值数据(iFinD）'!A52="","",'实盘净值数据(iFinD）'!A52)</f>
        <v>46259</v>
      </c>
      <c r="B52" s="13">
        <f>IF(OR('实盘净值数据(iFinD）'!$A52="",'实盘净值数据(iFinD）'!$B52=""),"",分期持仓明细!$AB$17*SUMPRODUCT(分期持仓明细!$B$17:$Y$17,'实盘净值数据(iFinD）'!$B52:$Y52/'实盘净值数据(iFinD）'!$B$20:$Y$20)*(1-实盘持仓初始配置!$Z$4)^(('实盘净值数据(iFinD）'!$A52-'实盘净值数据(iFinD）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）'!$A52="",'实盘净值数据(iFinD）'!$B52=""),"",分期持仓明细!$AB$18*SUMPRODUCT(分期持仓明细!$B$18:$Y$18,'实盘净值数据(iFinD）'!$B52:$Y52/'实盘净值数据(iFinD）'!$B$20:$Y$20)*(1-实盘持仓初始配置!$Z$5)^(('实盘净值数据(iFinD）'!$A52-'实盘净值数据(iFinD）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）'!$A52="",'实盘净值数据(iFinD）'!$B52=""),"",分期持仓明细!$AB$19*SUMPRODUCT(分期持仓明细!$B$19:$Y$19,'实盘净值数据(iFinD）'!$B52:$Y52/'实盘净值数据(iFinD）'!$B$20:$Y$20)*(1-实盘持仓初始配置!$Z$6)^(('实盘净值数据(iFinD）'!$A52-'实盘净值数据(iFinD）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）'!$A52="",'实盘净值数据(iFinD）'!$B52=""),"",分期持仓明细!$AB$20*SUMPRODUCT(分期持仓明细!$B$20:$Y$20,'实盘净值数据(iFinD）'!$B52:$Y52/'实盘净值数据(iFinD）'!$B$25:$Y$25)*(1-实盘持仓初始配置!$Z$7)^(('实盘净值数据(iFinD）'!$A52-'实盘净值数据(iFinD）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）'!$A52="",'实盘净值数据(iFinD）'!$B52=""),"",分期持仓明细!$AB$21*SUMPRODUCT(分期持仓明细!$B$21:$Y$21,'实盘净值数据(iFinD）'!$B52:$Y52/'实盘净值数据(iFinD）'!$B$25:$Y$25)*(1-实盘持仓初始配置!$Z$8)^(('实盘净值数据(iFinD）'!$A52-'实盘净值数据(iFinD）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）'!$A52="",'实盘净值数据(iFinD）'!$B52=""),"",分期持仓明细!$AB$22*SUMPRODUCT(分期持仓明细!$B$22:$Y$22,'实盘净值数据(iFinD）'!$B52:$Y52/'实盘净值数据(iFinD）'!$B$25:$Y$25)*(1-实盘持仓初始配置!$Z$9)^(('实盘净值数据(iFinD）'!$A52-'实盘净值数据(iFinD）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  <c r="T52" s="13"/>
      <c r="U52" s="16"/>
      <c r="V52" s="16"/>
    </row>
    <row r="53" spans="1:19">
      <c r="A53" s="15">
        <f>IF('实盘净值数据(iFinD）'!A53="","",'实盘净值数据(iFinD）'!A53)</f>
        <v>46260</v>
      </c>
      <c r="B53" s="13">
        <f>IF(OR('实盘净值数据(iFinD）'!$A53="",'实盘净值数据(iFinD）'!$B53=""),"",分期持仓明细!$AB$17*SUMPRODUCT(分期持仓明细!$B$17:$Y$17,'实盘净值数据(iFinD）'!$B53:$Y53/'实盘净值数据(iFinD）'!$B$20:$Y$20)*(1-实盘持仓初始配置!$Z$4)^(('实盘净值数据(iFinD）'!$A53-'实盘净值数据(iFinD）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）'!$A53="",'实盘净值数据(iFinD）'!$B53=""),"",分期持仓明细!$AB$18*SUMPRODUCT(分期持仓明细!$B$18:$Y$18,'实盘净值数据(iFinD）'!$B53:$Y53/'实盘净值数据(iFinD）'!$B$20:$Y$20)*(1-实盘持仓初始配置!$Z$5)^(('实盘净值数据(iFinD）'!$A53-'实盘净值数据(iFinD）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）'!$A53="",'实盘净值数据(iFinD）'!$B53=""),"",分期持仓明细!$AB$19*SUMPRODUCT(分期持仓明细!$B$19:$Y$19,'实盘净值数据(iFinD）'!$B53:$Y53/'实盘净值数据(iFinD）'!$B$20:$Y$20)*(1-实盘持仓初始配置!$Z$6)^(('实盘净值数据(iFinD）'!$A53-'实盘净值数据(iFinD）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）'!$A53="",'实盘净值数据(iFinD）'!$B53=""),"",分期持仓明细!$AB$20*SUMPRODUCT(分期持仓明细!$B$20:$Y$20,'实盘净值数据(iFinD）'!$B53:$Y53/'实盘净值数据(iFinD）'!$B$25:$Y$25)*(1-实盘持仓初始配置!$Z$7)^(('实盘净值数据(iFinD）'!$A53-'实盘净值数据(iFinD）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）'!$A53="",'实盘净值数据(iFinD）'!$B53=""),"",分期持仓明细!$AB$21*SUMPRODUCT(分期持仓明细!$B$21:$Y$21,'实盘净值数据(iFinD）'!$B53:$Y53/'实盘净值数据(iFinD）'!$B$25:$Y$25)*(1-实盘持仓初始配置!$Z$8)^(('实盘净值数据(iFinD）'!$A53-'实盘净值数据(iFinD）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）'!$A53="",'实盘净值数据(iFinD）'!$B53=""),"",分期持仓明细!$AB$22*SUMPRODUCT(分期持仓明细!$B$22:$Y$22,'实盘净值数据(iFinD）'!$B53:$Y53/'实盘净值数据(iFinD）'!$B$25:$Y$25)*(1-实盘持仓初始配置!$Z$9)^(('实盘净值数据(iFinD）'!$A53-'实盘净值数据(iFinD）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  <c r="T53" s="13"/>
      <c r="U53" s="16"/>
      <c r="V53" s="16"/>
    </row>
    <row r="54" spans="1:19">
      <c r="A54" s="15">
        <f>IF('实盘净值数据(iFinD）'!A54="","",'实盘净值数据(iFinD）'!A54)</f>
        <v>46261</v>
      </c>
      <c r="B54" s="13">
        <f>IF(OR('实盘净值数据(iFinD）'!$A54="",'实盘净值数据(iFinD）'!$B54=""),"",分期持仓明细!$AB$17*SUMPRODUCT(分期持仓明细!$B$17:$Y$17,'实盘净值数据(iFinD）'!$B54:$Y54/'实盘净值数据(iFinD）'!$B$20:$Y$20)*(1-实盘持仓初始配置!$Z$4)^(('实盘净值数据(iFinD）'!$A54-'实盘净值数据(iFinD）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）'!$A54="",'实盘净值数据(iFinD）'!$B54=""),"",分期持仓明细!$AB$18*SUMPRODUCT(分期持仓明细!$B$18:$Y$18,'实盘净值数据(iFinD）'!$B54:$Y54/'实盘净值数据(iFinD）'!$B$20:$Y$20)*(1-实盘持仓初始配置!$Z$5)^(('实盘净值数据(iFinD）'!$A54-'实盘净值数据(iFinD）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）'!$A54="",'实盘净值数据(iFinD）'!$B54=""),"",分期持仓明细!$AB$19*SUMPRODUCT(分期持仓明细!$B$19:$Y$19,'实盘净值数据(iFinD）'!$B54:$Y54/'实盘净值数据(iFinD）'!$B$20:$Y$20)*(1-实盘持仓初始配置!$Z$6)^(('实盘净值数据(iFinD）'!$A54-'实盘净值数据(iFinD）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）'!$A54="",'实盘净值数据(iFinD）'!$B54=""),"",分期持仓明细!$AB$20*SUMPRODUCT(分期持仓明细!$B$20:$Y$20,'实盘净值数据(iFinD）'!$B54:$Y54/'实盘净值数据(iFinD）'!$B$25:$Y$25)*(1-实盘持仓初始配置!$Z$7)^(('实盘净值数据(iFinD）'!$A54-'实盘净值数据(iFinD）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）'!$A54="",'实盘净值数据(iFinD）'!$B54=""),"",分期持仓明细!$AB$21*SUMPRODUCT(分期持仓明细!$B$21:$Y$21,'实盘净值数据(iFinD）'!$B54:$Y54/'实盘净值数据(iFinD）'!$B$25:$Y$25)*(1-实盘持仓初始配置!$Z$8)^(('实盘净值数据(iFinD）'!$A54-'实盘净值数据(iFinD）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）'!$A54="",'实盘净值数据(iFinD）'!$B54=""),"",分期持仓明细!$AB$22*SUMPRODUCT(分期持仓明细!$B$22:$Y$22,'实盘净值数据(iFinD）'!$B54:$Y54/'实盘净值数据(iFinD）'!$B$25:$Y$25)*(1-实盘持仓初始配置!$Z$9)^(('实盘净值数据(iFinD）'!$A54-'实盘净值数据(iFinD）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  <c r="T54" s="13"/>
      <c r="U54" s="16"/>
      <c r="V54" s="16"/>
    </row>
    <row r="55" spans="1:19">
      <c r="A55" s="15">
        <f>IF('实盘净值数据(iFinD）'!A55="","",'实盘净值数据(iFinD）'!A55)</f>
        <v>46262</v>
      </c>
      <c r="B55" s="13">
        <f>IF(OR('实盘净值数据(iFinD）'!$A55="",'实盘净值数据(iFinD）'!$B55=""),"",分期持仓明细!$AB$17*SUMPRODUCT(分期持仓明细!$B$17:$Y$17,'实盘净值数据(iFinD）'!$B55:$Y55/'实盘净值数据(iFinD）'!$B$20:$Y$20)*(1-实盘持仓初始配置!$Z$4)^(('实盘净值数据(iFinD）'!$A55-'实盘净值数据(iFinD）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）'!$A55="",'实盘净值数据(iFinD）'!$B55=""),"",分期持仓明细!$AB$18*SUMPRODUCT(分期持仓明细!$B$18:$Y$18,'实盘净值数据(iFinD）'!$B55:$Y55/'实盘净值数据(iFinD）'!$B$20:$Y$20)*(1-实盘持仓初始配置!$Z$5)^(('实盘净值数据(iFinD）'!$A55-'实盘净值数据(iFinD）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）'!$A55="",'实盘净值数据(iFinD）'!$B55=""),"",分期持仓明细!$AB$19*SUMPRODUCT(分期持仓明细!$B$19:$Y$19,'实盘净值数据(iFinD）'!$B55:$Y55/'实盘净值数据(iFinD）'!$B$20:$Y$20)*(1-实盘持仓初始配置!$Z$6)^(('实盘净值数据(iFinD）'!$A55-'实盘净值数据(iFinD）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）'!$A55="",'实盘净值数据(iFinD）'!$B55=""),"",分期持仓明细!$AB$20*SUMPRODUCT(分期持仓明细!$B$20:$Y$20,'实盘净值数据(iFinD）'!$B55:$Y55/'实盘净值数据(iFinD）'!$B$25:$Y$25)*(1-实盘持仓初始配置!$Z$7)^(('实盘净值数据(iFinD）'!$A55-'实盘净值数据(iFinD）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）'!$A55="",'实盘净值数据(iFinD）'!$B55=""),"",分期持仓明细!$AB$21*SUMPRODUCT(分期持仓明细!$B$21:$Y$21,'实盘净值数据(iFinD）'!$B55:$Y55/'实盘净值数据(iFinD）'!$B$25:$Y$25)*(1-实盘持仓初始配置!$Z$8)^(('实盘净值数据(iFinD）'!$A55-'实盘净值数据(iFinD）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）'!$A55="",'实盘净值数据(iFinD）'!$B55=""),"",分期持仓明细!$AB$22*SUMPRODUCT(分期持仓明细!$B$22:$Y$22,'实盘净值数据(iFinD）'!$B55:$Y55/'实盘净值数据(iFinD）'!$B$25:$Y$25)*(1-实盘持仓初始配置!$Z$9)^(('实盘净值数据(iFinD）'!$A55-'实盘净值数据(iFinD）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  <c r="T55" s="13"/>
      <c r="U55" s="16"/>
      <c r="V55" s="16"/>
    </row>
    <row r="56" spans="1:19">
      <c r="A56" s="15">
        <f>IF('实盘净值数据(iFinD）'!A56="","",'实盘净值数据(iFinD）'!A56)</f>
        <v>46265</v>
      </c>
      <c r="B56" s="13">
        <f>IF(OR('实盘净值数据(iFinD）'!$A56="",'实盘净值数据(iFinD）'!$B56=""),"",分期持仓明细!$AB$17*SUMPRODUCT(分期持仓明细!$B$17:$Y$17,'实盘净值数据(iFinD）'!$B56:$Y56/'实盘净值数据(iFinD）'!$B$20:$Y$20)*(1-实盘持仓初始配置!$Z$4)^(('实盘净值数据(iFinD）'!$A56-'实盘净值数据(iFinD）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）'!$A56="",'实盘净值数据(iFinD）'!$B56=""),"",分期持仓明细!$AB$18*SUMPRODUCT(分期持仓明细!$B$18:$Y$18,'实盘净值数据(iFinD）'!$B56:$Y56/'实盘净值数据(iFinD）'!$B$20:$Y$20)*(1-实盘持仓初始配置!$Z$5)^(('实盘净值数据(iFinD）'!$A56-'实盘净值数据(iFinD）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）'!$A56="",'实盘净值数据(iFinD）'!$B56=""),"",分期持仓明细!$AB$19*SUMPRODUCT(分期持仓明细!$B$19:$Y$19,'实盘净值数据(iFinD）'!$B56:$Y56/'实盘净值数据(iFinD）'!$B$20:$Y$20)*(1-实盘持仓初始配置!$Z$6)^(('实盘净值数据(iFinD）'!$A56-'实盘净值数据(iFinD）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）'!$A56="",'实盘净值数据(iFinD）'!$B56=""),"",分期持仓明细!$AB$20*SUMPRODUCT(分期持仓明细!$B$20:$Y$20,'实盘净值数据(iFinD）'!$B56:$Y56/'实盘净值数据(iFinD）'!$B$25:$Y$25)*(1-实盘持仓初始配置!$Z$7)^(('实盘净值数据(iFinD）'!$A56-'实盘净值数据(iFinD）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）'!$A56="",'实盘净值数据(iFinD）'!$B56=""),"",分期持仓明细!$AB$21*SUMPRODUCT(分期持仓明细!$B$21:$Y$21,'实盘净值数据(iFinD）'!$B56:$Y56/'实盘净值数据(iFinD）'!$B$25:$Y$25)*(1-实盘持仓初始配置!$Z$8)^(('实盘净值数据(iFinD）'!$A56-'实盘净值数据(iFinD）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）'!$A56="",'实盘净值数据(iFinD）'!$B56=""),"",分期持仓明细!$AB$22*SUMPRODUCT(分期持仓明细!$B$22:$Y$22,'实盘净值数据(iFinD）'!$B56:$Y56/'实盘净值数据(iFinD）'!$B$25:$Y$25)*(1-实盘持仓初始配置!$Z$9)^(('实盘净值数据(iFinD）'!$A56-'实盘净值数据(iFinD）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  <c r="T56" s="13"/>
      <c r="U56" s="16"/>
      <c r="V56" s="16"/>
    </row>
    <row r="57" spans="1:19">
      <c r="A57" s="15">
        <f>IF('实盘净值数据(iFinD）'!A57="","",'实盘净值数据(iFinD）'!A57)</f>
        <v>46266</v>
      </c>
      <c r="B57" s="13">
        <f>IF(OR('实盘净值数据(iFinD）'!$A57="",'实盘净值数据(iFinD）'!$B57=""),"",分期持仓明细!$AB$17*SUMPRODUCT(分期持仓明细!$B$17:$Y$17,'实盘净值数据(iFinD）'!$B57:$Y57/'实盘净值数据(iFinD）'!$B$20:$Y$20)*(1-实盘持仓初始配置!$Z$4)^(('实盘净值数据(iFinD）'!$A57-'实盘净值数据(iFinD）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）'!$A57="",'实盘净值数据(iFinD）'!$B57=""),"",分期持仓明细!$AB$18*SUMPRODUCT(分期持仓明细!$B$18:$Y$18,'实盘净值数据(iFinD）'!$B57:$Y57/'实盘净值数据(iFinD）'!$B$20:$Y$20)*(1-实盘持仓初始配置!$Z$5)^(('实盘净值数据(iFinD）'!$A57-'实盘净值数据(iFinD）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）'!$A57="",'实盘净值数据(iFinD）'!$B57=""),"",分期持仓明细!$AB$19*SUMPRODUCT(分期持仓明细!$B$19:$Y$19,'实盘净值数据(iFinD）'!$B57:$Y57/'实盘净值数据(iFinD）'!$B$20:$Y$20)*(1-实盘持仓初始配置!$Z$6)^(('实盘净值数据(iFinD）'!$A57-'实盘净值数据(iFinD）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）'!$A57="",'实盘净值数据(iFinD）'!$B57=""),"",分期持仓明细!$AB$20*SUMPRODUCT(分期持仓明细!$B$20:$Y$20,'实盘净值数据(iFinD）'!$B57:$Y57/'实盘净值数据(iFinD）'!$B$25:$Y$25)*(1-实盘持仓初始配置!$Z$7)^(('实盘净值数据(iFinD）'!$A57-'实盘净值数据(iFinD）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）'!$A57="",'实盘净值数据(iFinD）'!$B57=""),"",分期持仓明细!$AB$21*SUMPRODUCT(分期持仓明细!$B$21:$Y$21,'实盘净值数据(iFinD）'!$B57:$Y57/'实盘净值数据(iFinD）'!$B$25:$Y$25)*(1-实盘持仓初始配置!$Z$8)^(('实盘净值数据(iFinD）'!$A57-'实盘净值数据(iFinD）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）'!$A57="",'实盘净值数据(iFinD）'!$B57=""),"",分期持仓明细!$AB$22*SUMPRODUCT(分期持仓明细!$B$22:$Y$22,'实盘净值数据(iFinD）'!$B57:$Y57/'实盘净值数据(iFinD）'!$B$25:$Y$25)*(1-实盘持仓初始配置!$Z$9)^(('实盘净值数据(iFinD）'!$A57-'实盘净值数据(iFinD）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  <c r="T57" s="13"/>
      <c r="U57" s="16"/>
      <c r="V57" s="16"/>
    </row>
    <row r="58" spans="1:19">
      <c r="A58" s="15">
        <f>IF('实盘净值数据(iFinD）'!A58="","",'实盘净值数据(iFinD）'!A58)</f>
        <v>46267</v>
      </c>
      <c r="B58" s="13">
        <f>IF(OR('实盘净值数据(iFinD）'!$A58="",'实盘净值数据(iFinD）'!$B58=""),"",分期持仓明细!$AB$17*SUMPRODUCT(分期持仓明细!$B$17:$Y$17,'实盘净值数据(iFinD）'!$B58:$Y58/'实盘净值数据(iFinD）'!$B$20:$Y$20)*(1-实盘持仓初始配置!$Z$4)^(('实盘净值数据(iFinD）'!$A58-'实盘净值数据(iFinD）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）'!$A58="",'实盘净值数据(iFinD）'!$B58=""),"",分期持仓明细!$AB$18*SUMPRODUCT(分期持仓明细!$B$18:$Y$18,'实盘净值数据(iFinD）'!$B58:$Y58/'实盘净值数据(iFinD）'!$B$20:$Y$20)*(1-实盘持仓初始配置!$Z$5)^(('实盘净值数据(iFinD）'!$A58-'实盘净值数据(iFinD）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）'!$A58="",'实盘净值数据(iFinD）'!$B58=""),"",分期持仓明细!$AB$19*SUMPRODUCT(分期持仓明细!$B$19:$Y$19,'实盘净值数据(iFinD）'!$B58:$Y58/'实盘净值数据(iFinD）'!$B$20:$Y$20)*(1-实盘持仓初始配置!$Z$6)^(('实盘净值数据(iFinD）'!$A58-'实盘净值数据(iFinD）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）'!$A58="",'实盘净值数据(iFinD）'!$B58=""),"",分期持仓明细!$AB$20*SUMPRODUCT(分期持仓明细!$B$20:$Y$20,'实盘净值数据(iFinD）'!$B58:$Y58/'实盘净值数据(iFinD）'!$B$25:$Y$25)*(1-实盘持仓初始配置!$Z$7)^(('实盘净值数据(iFinD）'!$A58-'实盘净值数据(iFinD）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）'!$A58="",'实盘净值数据(iFinD）'!$B58=""),"",分期持仓明细!$AB$21*SUMPRODUCT(分期持仓明细!$B$21:$Y$21,'实盘净值数据(iFinD）'!$B58:$Y58/'实盘净值数据(iFinD）'!$B$25:$Y$25)*(1-实盘持仓初始配置!$Z$8)^(('实盘净值数据(iFinD）'!$A58-'实盘净值数据(iFinD）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）'!$A58="",'实盘净值数据(iFinD）'!$B58=""),"",分期持仓明细!$AB$22*SUMPRODUCT(分期持仓明细!$B$22:$Y$22,'实盘净值数据(iFinD）'!$B58:$Y58/'实盘净值数据(iFinD）'!$B$25:$Y$25)*(1-实盘持仓初始配置!$Z$9)^(('实盘净值数据(iFinD）'!$A58-'实盘净值数据(iFinD）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  <c r="T58" s="13"/>
      <c r="U58" s="16"/>
      <c r="V58" s="16"/>
    </row>
    <row r="59" spans="1:19">
      <c r="A59" s="15">
        <f>IF('实盘净值数据(iFinD）'!A59="","",'实盘净值数据(iFinD）'!A59)</f>
        <v>46268</v>
      </c>
      <c r="B59" s="13">
        <f>IF(OR('实盘净值数据(iFinD）'!$A59="",'实盘净值数据(iFinD）'!$B59=""),"",分期持仓明细!$AB$17*SUMPRODUCT(分期持仓明细!$B$17:$Y$17,'实盘净值数据(iFinD）'!$B59:$Y59/'实盘净值数据(iFinD）'!$B$20:$Y$20)*(1-实盘持仓初始配置!$Z$4)^(('实盘净值数据(iFinD）'!$A59-'实盘净值数据(iFinD）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）'!$A59="",'实盘净值数据(iFinD）'!$B59=""),"",分期持仓明细!$AB$18*SUMPRODUCT(分期持仓明细!$B$18:$Y$18,'实盘净值数据(iFinD）'!$B59:$Y59/'实盘净值数据(iFinD）'!$B$20:$Y$20)*(1-实盘持仓初始配置!$Z$5)^(('实盘净值数据(iFinD）'!$A59-'实盘净值数据(iFinD）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）'!$A59="",'实盘净值数据(iFinD）'!$B59=""),"",分期持仓明细!$AB$19*SUMPRODUCT(分期持仓明细!$B$19:$Y$19,'实盘净值数据(iFinD）'!$B59:$Y59/'实盘净值数据(iFinD）'!$B$20:$Y$20)*(1-实盘持仓初始配置!$Z$6)^(('实盘净值数据(iFinD）'!$A59-'实盘净值数据(iFinD）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）'!$A59="",'实盘净值数据(iFinD）'!$B59=""),"",分期持仓明细!$AB$20*SUMPRODUCT(分期持仓明细!$B$20:$Y$20,'实盘净值数据(iFinD）'!$B59:$Y59/'实盘净值数据(iFinD）'!$B$25:$Y$25)*(1-实盘持仓初始配置!$Z$7)^(('实盘净值数据(iFinD）'!$A59-'实盘净值数据(iFinD）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）'!$A59="",'实盘净值数据(iFinD）'!$B59=""),"",分期持仓明细!$AB$21*SUMPRODUCT(分期持仓明细!$B$21:$Y$21,'实盘净值数据(iFinD）'!$B59:$Y59/'实盘净值数据(iFinD）'!$B$25:$Y$25)*(1-实盘持仓初始配置!$Z$8)^(('实盘净值数据(iFinD）'!$A59-'实盘净值数据(iFinD）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）'!$A59="",'实盘净值数据(iFinD）'!$B59=""),"",分期持仓明细!$AB$22*SUMPRODUCT(分期持仓明细!$B$22:$Y$22,'实盘净值数据(iFinD）'!$B59:$Y59/'实盘净值数据(iFinD）'!$B$25:$Y$25)*(1-实盘持仓初始配置!$Z$9)^(('实盘净值数据(iFinD）'!$A59-'实盘净值数据(iFinD）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  <c r="T59" s="13"/>
      <c r="U59" s="16"/>
      <c r="V59" s="16"/>
    </row>
    <row r="60" spans="1:19">
      <c r="A60" s="15">
        <f>IF('实盘净值数据(iFinD）'!A60="","",'实盘净值数据(iFinD）'!A60)</f>
        <v>46269</v>
      </c>
      <c r="B60" s="13">
        <f>IF(OR('实盘净值数据(iFinD）'!$A60="",'实盘净值数据(iFinD）'!$B60=""),"",分期持仓明细!$AB$17*SUMPRODUCT(分期持仓明细!$B$17:$Y$17,'实盘净值数据(iFinD）'!$B60:$Y60/'实盘净值数据(iFinD）'!$B$20:$Y$20)*(1-实盘持仓初始配置!$Z$4)^(('实盘净值数据(iFinD）'!$A60-'实盘净值数据(iFinD）'!$A$6)/365))</f>
        <v>0.76892611058517346</v>
      </c>
      <c r="C60" s="16">
        <f t="shared" ref="C60:C123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）'!$A60="",'实盘净值数据(iFinD）'!$B60=""),"",分期持仓明细!$AB$18*SUMPRODUCT(分期持仓明细!$B$18:$Y$18,'实盘净值数据(iFinD）'!$B60:$Y60/'实盘净值数据(iFinD）'!$B$20:$Y$20)*(1-实盘持仓初始配置!$Z$5)^(('实盘净值数据(iFinD）'!$A60-'实盘净值数据(iFinD）'!$A$5)/365))</f>
        <v>0.78689307916126394</v>
      </c>
      <c r="F60" s="16">
        <f t="shared" ref="F60:F123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）'!$A60="",'实盘净值数据(iFinD）'!$B60=""),"",分期持仓明细!$AB$19*SUMPRODUCT(分期持仓明细!$B$19:$Y$19,'实盘净值数据(iFinD）'!$B60:$Y60/'实盘净值数据(iFinD）'!$B$20:$Y$20)*(1-实盘持仓初始配置!$Z$6)^(('实盘净值数据(iFinD）'!$A60-'实盘净值数据(iFinD）'!$A$7)/365))</f>
        <v>0.78467341959258174</v>
      </c>
      <c r="I60" s="16">
        <f t="shared" ref="I60:I123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）'!$A60="",'实盘净值数据(iFinD）'!$B60=""),"",分期持仓明细!$AB$20*SUMPRODUCT(分期持仓明细!$B$20:$Y$20,'实盘净值数据(iFinD）'!$B60:$Y60/'实盘净值数据(iFinD）'!$B$25:$Y$25)*(1-实盘持仓初始配置!$Z$7)^(('实盘净值数据(iFinD）'!$A60-'实盘净值数据(iFinD）'!$A$8)/365))</f>
        <v>0.98996201248663152</v>
      </c>
      <c r="L60" s="16">
        <f t="shared" ref="L60:L123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）'!$A60="",'实盘净值数据(iFinD）'!$B60=""),"",分期持仓明细!$AB$21*SUMPRODUCT(分期持仓明细!$B$21:$Y$21,'实盘净值数据(iFinD）'!$B60:$Y60/'实盘净值数据(iFinD）'!$B$25:$Y$25)*(1-实盘持仓初始配置!$Z$8)^(('实盘净值数据(iFinD）'!$A60-'实盘净值数据(iFinD）'!$A$5)/365))</f>
        <v>0.98992443341714009</v>
      </c>
      <c r="O60" s="16">
        <f t="shared" ref="O60:O123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）'!$A60="",'实盘净值数据(iFinD）'!$B60=""),"",分期持仓明细!$AB$22*SUMPRODUCT(分期持仓明细!$B$22:$Y$22,'实盘净值数据(iFinD）'!$B60:$Y60/'实盘净值数据(iFinD）'!$B$25:$Y$25)*(1-实盘持仓初始配置!$Z$9)^(('实盘净值数据(iFinD）'!$A60-'实盘净值数据(iFinD）'!$A$8)/365))</f>
        <v>0.95353177722050331</v>
      </c>
      <c r="R60" s="16">
        <f t="shared" ref="R60:R123" si="11">IF(OR(Q59="",Q60=""),"",Q60/Q59-1)</f>
        <v>-5.0361644454975929E-3</v>
      </c>
      <c r="S60" s="16">
        <f>IF(Q60="","",Q60/MAX(Q$5:Q60)-1)</f>
        <v>-5.475037816142847E-2</v>
      </c>
      <c r="T60" s="13"/>
      <c r="U60" s="16"/>
      <c r="V60" s="16"/>
    </row>
    <row r="61" spans="1:19">
      <c r="A61" s="15">
        <f>IF('实盘净值数据(iFinD）'!A61="","",'实盘净值数据(iFinD）'!A61)</f>
        <v>46272</v>
      </c>
      <c r="B61" s="13">
        <f>IF(OR('实盘净值数据(iFinD）'!$A61="",'实盘净值数据(iFinD）'!$B61=""),"",分期持仓明细!$AB$17*SUMPRODUCT(分期持仓明细!$B$17:$Y$17,'实盘净值数据(iFinD）'!$B61:$Y61/'实盘净值数据(iFinD）'!$B$20:$Y$20)*(1-实盘持仓初始配置!$Z$4)^(('实盘净值数据(iFinD）'!$A61-'实盘净值数据(iFinD）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）'!$A61="",'实盘净值数据(iFinD）'!$B61=""),"",分期持仓明细!$AB$18*SUMPRODUCT(分期持仓明细!$B$18:$Y$18,'实盘净值数据(iFinD）'!$B61:$Y61/'实盘净值数据(iFinD）'!$B$20:$Y$20)*(1-实盘持仓初始配置!$Z$5)^(('实盘净值数据(iFinD）'!$A61-'实盘净值数据(iFinD）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）'!$A61="",'实盘净值数据(iFinD）'!$B61=""),"",分期持仓明细!$AB$19*SUMPRODUCT(分期持仓明细!$B$19:$Y$19,'实盘净值数据(iFinD）'!$B61:$Y61/'实盘净值数据(iFinD）'!$B$20:$Y$20)*(1-实盘持仓初始配置!$Z$6)^(('实盘净值数据(iFinD）'!$A61-'实盘净值数据(iFinD）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）'!$A61="",'实盘净值数据(iFinD）'!$B61=""),"",分期持仓明细!$AB$20*SUMPRODUCT(分期持仓明细!$B$20:$Y$20,'实盘净值数据(iFinD）'!$B61:$Y61/'实盘净值数据(iFinD）'!$B$25:$Y$25)*(1-实盘持仓初始配置!$Z$7)^(('实盘净值数据(iFinD）'!$A61-'实盘净值数据(iFinD）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）'!$A61="",'实盘净值数据(iFinD）'!$B61=""),"",分期持仓明细!$AB$21*SUMPRODUCT(分期持仓明细!$B$21:$Y$21,'实盘净值数据(iFinD）'!$B61:$Y61/'实盘净值数据(iFinD）'!$B$25:$Y$25)*(1-实盘持仓初始配置!$Z$8)^(('实盘净值数据(iFinD）'!$A61-'实盘净值数据(iFinD）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）'!$A61="",'实盘净值数据(iFinD）'!$B61=""),"",分期持仓明细!$AB$22*SUMPRODUCT(分期持仓明细!$B$22:$Y$22,'实盘净值数据(iFinD）'!$B61:$Y61/'实盘净值数据(iFinD）'!$B$25:$Y$25)*(1-实盘持仓初始配置!$Z$9)^(('实盘净值数据(iFinD）'!$A61-'实盘净值数据(iFinD）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  <c r="T61" s="13"/>
      <c r="U61" s="16"/>
      <c r="V61" s="16"/>
    </row>
    <row r="62" spans="1:19">
      <c r="A62" s="15">
        <f>IF('实盘净值数据(iFinD）'!A62="","",'实盘净值数据(iFinD）'!A62)</f>
        <v>46273</v>
      </c>
      <c r="B62" s="13">
        <f>IF(OR('实盘净值数据(iFinD）'!$A62="",'实盘净值数据(iFinD）'!$B62=""),"",分期持仓明细!$AB$17*SUMPRODUCT(分期持仓明细!$B$17:$Y$17,'实盘净值数据(iFinD）'!$B62:$Y62/'实盘净值数据(iFinD）'!$B$20:$Y$20)*(1-实盘持仓初始配置!$Z$4)^(('实盘净值数据(iFinD）'!$A62-'实盘净值数据(iFinD）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）'!$A62="",'实盘净值数据(iFinD）'!$B62=""),"",分期持仓明细!$AB$18*SUMPRODUCT(分期持仓明细!$B$18:$Y$18,'实盘净值数据(iFinD）'!$B62:$Y62/'实盘净值数据(iFinD）'!$B$20:$Y$20)*(1-实盘持仓初始配置!$Z$5)^(('实盘净值数据(iFinD）'!$A62-'实盘净值数据(iFinD）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）'!$A62="",'实盘净值数据(iFinD）'!$B62=""),"",分期持仓明细!$AB$19*SUMPRODUCT(分期持仓明细!$B$19:$Y$19,'实盘净值数据(iFinD）'!$B62:$Y62/'实盘净值数据(iFinD）'!$B$20:$Y$20)*(1-实盘持仓初始配置!$Z$6)^(('实盘净值数据(iFinD）'!$A62-'实盘净值数据(iFinD）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）'!$A62="",'实盘净值数据(iFinD）'!$B62=""),"",分期持仓明细!$AB$20*SUMPRODUCT(分期持仓明细!$B$20:$Y$20,'实盘净值数据(iFinD）'!$B62:$Y62/'实盘净值数据(iFinD）'!$B$25:$Y$25)*(1-实盘持仓初始配置!$Z$7)^(('实盘净值数据(iFinD）'!$A62-'实盘净值数据(iFinD）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）'!$A62="",'实盘净值数据(iFinD）'!$B62=""),"",分期持仓明细!$AB$21*SUMPRODUCT(分期持仓明细!$B$21:$Y$21,'实盘净值数据(iFinD）'!$B62:$Y62/'实盘净值数据(iFinD）'!$B$25:$Y$25)*(1-实盘持仓初始配置!$Z$8)^(('实盘净值数据(iFinD）'!$A62-'实盘净值数据(iFinD）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）'!$A62="",'实盘净值数据(iFinD）'!$B62=""),"",分期持仓明细!$AB$22*SUMPRODUCT(分期持仓明细!$B$22:$Y$22,'实盘净值数据(iFinD）'!$B62:$Y62/'实盘净值数据(iFinD）'!$B$25:$Y$25)*(1-实盘持仓初始配置!$Z$9)^(('实盘净值数据(iFinD）'!$A62-'实盘净值数据(iFinD）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  <c r="T62" s="13"/>
      <c r="U62" s="16"/>
      <c r="V62" s="16"/>
    </row>
    <row r="63" spans="1:19">
      <c r="A63" s="15">
        <f>IF('实盘净值数据(iFinD）'!A63="","",'实盘净值数据(iFinD）'!A63)</f>
        <v>46274</v>
      </c>
      <c r="B63" s="13">
        <f>IF(OR('实盘净值数据(iFinD）'!$A63="",'实盘净值数据(iFinD）'!$B63=""),"",分期持仓明细!$AB$17*SUMPRODUCT(分期持仓明细!$B$17:$Y$17,'实盘净值数据(iFinD）'!$B63:$Y63/'实盘净值数据(iFinD）'!$B$20:$Y$20)*(1-实盘持仓初始配置!$Z$4)^(('实盘净值数据(iFinD）'!$A63-'实盘净值数据(iFinD）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）'!$A63="",'实盘净值数据(iFinD）'!$B63=""),"",分期持仓明细!$AB$18*SUMPRODUCT(分期持仓明细!$B$18:$Y$18,'实盘净值数据(iFinD）'!$B63:$Y63/'实盘净值数据(iFinD）'!$B$20:$Y$20)*(1-实盘持仓初始配置!$Z$5)^(('实盘净值数据(iFinD）'!$A63-'实盘净值数据(iFinD）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）'!$A63="",'实盘净值数据(iFinD）'!$B63=""),"",分期持仓明细!$AB$19*SUMPRODUCT(分期持仓明细!$B$19:$Y$19,'实盘净值数据(iFinD）'!$B63:$Y63/'实盘净值数据(iFinD）'!$B$20:$Y$20)*(1-实盘持仓初始配置!$Z$6)^(('实盘净值数据(iFinD）'!$A63-'实盘净值数据(iFinD）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）'!$A63="",'实盘净值数据(iFinD）'!$B63=""),"",分期持仓明细!$AB$20*SUMPRODUCT(分期持仓明细!$B$20:$Y$20,'实盘净值数据(iFinD）'!$B63:$Y63/'实盘净值数据(iFinD）'!$B$25:$Y$25)*(1-实盘持仓初始配置!$Z$7)^(('实盘净值数据(iFinD）'!$A63-'实盘净值数据(iFinD）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）'!$A63="",'实盘净值数据(iFinD）'!$B63=""),"",分期持仓明细!$AB$21*SUMPRODUCT(分期持仓明细!$B$21:$Y$21,'实盘净值数据(iFinD）'!$B63:$Y63/'实盘净值数据(iFinD）'!$B$25:$Y$25)*(1-实盘持仓初始配置!$Z$8)^(('实盘净值数据(iFinD）'!$A63-'实盘净值数据(iFinD）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）'!$A63="",'实盘净值数据(iFinD）'!$B63=""),"",分期持仓明细!$AB$22*SUMPRODUCT(分期持仓明细!$B$22:$Y$22,'实盘净值数据(iFinD）'!$B63:$Y63/'实盘净值数据(iFinD）'!$B$25:$Y$25)*(1-实盘持仓初始配置!$Z$9)^(('实盘净值数据(iFinD）'!$A63-'实盘净值数据(iFinD）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  <c r="T63" s="13"/>
      <c r="U63" s="16"/>
      <c r="V63" s="16"/>
    </row>
    <row r="64" spans="1:19">
      <c r="A64" s="15">
        <f>IF('实盘净值数据(iFinD）'!A64="","",'实盘净值数据(iFinD）'!A64)</f>
        <v>46275</v>
      </c>
      <c r="B64" s="13">
        <f>IF(OR('实盘净值数据(iFinD）'!$A64="",'实盘净值数据(iFinD）'!$B64=""),"",分期持仓明细!$AB$17*SUMPRODUCT(分期持仓明细!$B$17:$Y$17,'实盘净值数据(iFinD）'!$B64:$Y64/'实盘净值数据(iFinD）'!$B$20:$Y$20)*(1-实盘持仓初始配置!$Z$4)^(('实盘净值数据(iFinD）'!$A64-'实盘净值数据(iFinD）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）'!$A64="",'实盘净值数据(iFinD）'!$B64=""),"",分期持仓明细!$AB$18*SUMPRODUCT(分期持仓明细!$B$18:$Y$18,'实盘净值数据(iFinD）'!$B64:$Y64/'实盘净值数据(iFinD）'!$B$20:$Y$20)*(1-实盘持仓初始配置!$Z$5)^(('实盘净值数据(iFinD）'!$A64-'实盘净值数据(iFinD）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）'!$A64="",'实盘净值数据(iFinD）'!$B64=""),"",分期持仓明细!$AB$19*SUMPRODUCT(分期持仓明细!$B$19:$Y$19,'实盘净值数据(iFinD）'!$B64:$Y64/'实盘净值数据(iFinD）'!$B$20:$Y$20)*(1-实盘持仓初始配置!$Z$6)^(('实盘净值数据(iFinD）'!$A64-'实盘净值数据(iFinD）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）'!$A64="",'实盘净值数据(iFinD）'!$B64=""),"",分期持仓明细!$AB$20*SUMPRODUCT(分期持仓明细!$B$20:$Y$20,'实盘净值数据(iFinD）'!$B64:$Y64/'实盘净值数据(iFinD）'!$B$25:$Y$25)*(1-实盘持仓初始配置!$Z$7)^(('实盘净值数据(iFinD）'!$A64-'实盘净值数据(iFinD）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）'!$A64="",'实盘净值数据(iFinD）'!$B64=""),"",分期持仓明细!$AB$21*SUMPRODUCT(分期持仓明细!$B$21:$Y$21,'实盘净值数据(iFinD）'!$B64:$Y64/'实盘净值数据(iFinD）'!$B$25:$Y$25)*(1-实盘持仓初始配置!$Z$8)^(('实盘净值数据(iFinD）'!$A64-'实盘净值数据(iFinD）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）'!$A64="",'实盘净值数据(iFinD）'!$B64=""),"",分期持仓明细!$AB$22*SUMPRODUCT(分期持仓明细!$B$22:$Y$22,'实盘净值数据(iFinD）'!$B64:$Y64/'实盘净值数据(iFinD）'!$B$25:$Y$25)*(1-实盘持仓初始配置!$Z$9)^(('实盘净值数据(iFinD）'!$A64-'实盘净值数据(iFinD）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  <c r="T64" s="13"/>
      <c r="U64" s="16"/>
      <c r="V64" s="16"/>
    </row>
    <row r="65" spans="1:19">
      <c r="A65" s="15">
        <f>IF('实盘净值数据(iFinD）'!A65="","",'实盘净值数据(iFinD）'!A65)</f>
        <v>46276</v>
      </c>
      <c r="B65" s="13">
        <f>IF(OR('实盘净值数据(iFinD）'!$A65="",'实盘净值数据(iFinD）'!$B65=""),"",分期持仓明细!$AB$17*SUMPRODUCT(分期持仓明细!$B$17:$Y$17,'实盘净值数据(iFinD）'!$B65:$Y65/'实盘净值数据(iFinD）'!$B$20:$Y$20)*(1-实盘持仓初始配置!$Z$4)^(('实盘净值数据(iFinD）'!$A65-'实盘净值数据(iFinD）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）'!$A65="",'实盘净值数据(iFinD）'!$B65=""),"",分期持仓明细!$AB$18*SUMPRODUCT(分期持仓明细!$B$18:$Y$18,'实盘净值数据(iFinD）'!$B65:$Y65/'实盘净值数据(iFinD）'!$B$20:$Y$20)*(1-实盘持仓初始配置!$Z$5)^(('实盘净值数据(iFinD）'!$A65-'实盘净值数据(iFinD）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）'!$A65="",'实盘净值数据(iFinD）'!$B65=""),"",分期持仓明细!$AB$19*SUMPRODUCT(分期持仓明细!$B$19:$Y$19,'实盘净值数据(iFinD）'!$B65:$Y65/'实盘净值数据(iFinD）'!$B$20:$Y$20)*(1-实盘持仓初始配置!$Z$6)^(('实盘净值数据(iFinD）'!$A65-'实盘净值数据(iFinD）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）'!$A65="",'实盘净值数据(iFinD）'!$B65="",'实盘净值数据(iFinD）'!$Z65="",'实盘净值数据(iFinD）'!$AA65=""),"",分期持仓明细!$AB$23*(SUMPRODUCT(分期持仓明细!$B$23:$Y$23,'实盘净值数据(iFinD）'!$B65:$Y65/'实盘净值数据(iFinD）'!$B$65:$Y$65)+SUMPRODUCT(分期持仓明细!$AC$23:$AD$23,'实盘净值数据(iFinD）'!$Z65:$AA65/'实盘净值数据(iFinD）'!$Z$65:$AA$65))*(1-实盘持仓初始配置!$Z$7)^(('实盘净值数据(iFinD）'!$A65-'实盘净值数据(iFinD）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）'!$A65="",'实盘净值数据(iFinD）'!$B65="",'实盘净值数据(iFinD）'!$Z65="",'实盘净值数据(iFinD）'!$AA65=""),"",分期持仓明细!$AB$24*(SUMPRODUCT(分期持仓明细!$B$24:$Y$24,'实盘净值数据(iFinD）'!$B65:$Y65/'实盘净值数据(iFinD）'!$B$65:$Y$65)+SUMPRODUCT(分期持仓明细!$AC$24:$AD$24,'实盘净值数据(iFinD）'!$Z65:$AA65/'实盘净值数据(iFinD）'!$Z$65:$AA$65))*(1-实盘持仓初始配置!$Z$8)^(('实盘净值数据(iFinD）'!$A65-'实盘净值数据(iFinD）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）'!$A65="",'实盘净值数据(iFinD）'!$B65="",'实盘净值数据(iFinD）'!$Z65="",'实盘净值数据(iFinD）'!$AA65=""),"",分期持仓明细!$AB$25*(SUMPRODUCT(分期持仓明细!$B$25:$Y$25,'实盘净值数据(iFinD）'!$B65:$Y65/'实盘净值数据(iFinD）'!$B$65:$Y$65)+SUMPRODUCT(分期持仓明细!$AC$25:$AD$25,'实盘净值数据(iFinD）'!$Z65:$AA65/'实盘净值数据(iFinD）'!$Z$65:$AA$65))*(1-实盘持仓初始配置!$Z$9)^(('实盘净值数据(iFinD）'!$A65-'实盘净值数据(iFinD）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  <c r="T65" s="13"/>
      <c r="U65" s="16"/>
      <c r="V65" s="16"/>
    </row>
    <row r="66" spans="1:19">
      <c r="A66" s="15">
        <f>IF('实盘净值数据(iFinD）'!A66="","",'实盘净值数据(iFinD）'!A66)</f>
        <v>46279</v>
      </c>
      <c r="B66" s="13">
        <f>IF(OR('实盘净值数据(iFinD）'!$A66="",'实盘净值数据(iFinD）'!$B66=""),"",分期持仓明细!$AB$17*SUMPRODUCT(分期持仓明细!$B$17:$Y$17,'实盘净值数据(iFinD）'!$B66:$Y66/'实盘净值数据(iFinD）'!$B$20:$Y$20)*(1-实盘持仓初始配置!$Z$4)^(('实盘净值数据(iFinD）'!$A66-'实盘净值数据(iFinD）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）'!$A66="",'实盘净值数据(iFinD）'!$B66=""),"",分期持仓明细!$AB$18*SUMPRODUCT(分期持仓明细!$B$18:$Y$18,'实盘净值数据(iFinD）'!$B66:$Y66/'实盘净值数据(iFinD）'!$B$20:$Y$20)*(1-实盘持仓初始配置!$Z$5)^(('实盘净值数据(iFinD）'!$A66-'实盘净值数据(iFinD）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）'!$A66="",'实盘净值数据(iFinD）'!$B66=""),"",分期持仓明细!$AB$19*SUMPRODUCT(分期持仓明细!$B$19:$Y$19,'实盘净值数据(iFinD）'!$B66:$Y66/'实盘净值数据(iFinD）'!$B$20:$Y$20)*(1-实盘持仓初始配置!$Z$6)^(('实盘净值数据(iFinD）'!$A66-'实盘净值数据(iFinD）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）'!$A66="",'实盘净值数据(iFinD）'!$B66="",'实盘净值数据(iFinD）'!$Z66="",'实盘净值数据(iFinD）'!$AA66=""),"",分期持仓明细!$AB$23*(SUMPRODUCT(分期持仓明细!$B$23:$Y$23,'实盘净值数据(iFinD）'!$B66:$Y66/'实盘净值数据(iFinD）'!$B$65:$Y$65)+SUMPRODUCT(分期持仓明细!$AC$23:$AD$23,'实盘净值数据(iFinD）'!$Z66:$AA66/'实盘净值数据(iFinD）'!$Z$65:$AA$65))*(1-实盘持仓初始配置!$Z$7)^(('实盘净值数据(iFinD）'!$A66-'实盘净值数据(iFinD）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）'!$A66="",'实盘净值数据(iFinD）'!$B66="",'实盘净值数据(iFinD）'!$Z66="",'实盘净值数据(iFinD）'!$AA66=""),"",分期持仓明细!$AB$24*(SUMPRODUCT(分期持仓明细!$B$24:$Y$24,'实盘净值数据(iFinD）'!$B66:$Y66/'实盘净值数据(iFinD）'!$B$65:$Y$65)+SUMPRODUCT(分期持仓明细!$AC$24:$AD$24,'实盘净值数据(iFinD）'!$Z66:$AA66/'实盘净值数据(iFinD）'!$Z$65:$AA$65))*(1-实盘持仓初始配置!$Z$8)^(('实盘净值数据(iFinD）'!$A66-'实盘净值数据(iFinD）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）'!$A66="",'实盘净值数据(iFinD）'!$B66="",'实盘净值数据(iFinD）'!$Z66="",'实盘净值数据(iFinD）'!$AA66=""),"",分期持仓明细!$AB$25*(SUMPRODUCT(分期持仓明细!$B$25:$Y$25,'实盘净值数据(iFinD）'!$B66:$Y66/'实盘净值数据(iFinD）'!$B$65:$Y$65)+SUMPRODUCT(分期持仓明细!$AC$25:$AD$25,'实盘净值数据(iFinD）'!$Z66:$AA66/'实盘净值数据(iFinD）'!$Z$65:$AA$65))*(1-实盘持仓初始配置!$Z$9)^(('实盘净值数据(iFinD）'!$A66-'实盘净值数据(iFinD）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  <c r="T66" s="13"/>
      <c r="U66" s="16"/>
      <c r="V66" s="16"/>
    </row>
    <row r="67" spans="1:19">
      <c r="A67" s="15">
        <f>IF('实盘净值数据(iFinD）'!A67="","",'实盘净值数据(iFinD）'!A67)</f>
        <v>46280</v>
      </c>
      <c r="B67" s="13">
        <f>IF(OR('实盘净值数据(iFinD）'!$A67="",'实盘净值数据(iFinD）'!$B67=""),"",分期持仓明细!$AB$17*SUMPRODUCT(分期持仓明细!$B$17:$Y$17,'实盘净值数据(iFinD）'!$B67:$Y67/'实盘净值数据(iFinD）'!$B$20:$Y$20)*(1-实盘持仓初始配置!$Z$4)^(('实盘净值数据(iFinD）'!$A67-'实盘净值数据(iFinD）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）'!$A67="",'实盘净值数据(iFinD）'!$B67=""),"",分期持仓明细!$AB$18*SUMPRODUCT(分期持仓明细!$B$18:$Y$18,'实盘净值数据(iFinD）'!$B67:$Y67/'实盘净值数据(iFinD）'!$B$20:$Y$20)*(1-实盘持仓初始配置!$Z$5)^(('实盘净值数据(iFinD）'!$A67-'实盘净值数据(iFinD）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）'!$A67="",'实盘净值数据(iFinD）'!$B67=""),"",分期持仓明细!$AB$19*SUMPRODUCT(分期持仓明细!$B$19:$Y$19,'实盘净值数据(iFinD）'!$B67:$Y67/'实盘净值数据(iFinD）'!$B$20:$Y$20)*(1-实盘持仓初始配置!$Z$6)^(('实盘净值数据(iFinD）'!$A67-'实盘净值数据(iFinD）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）'!$A67="",'实盘净值数据(iFinD）'!$B67="",'实盘净值数据(iFinD）'!$Z67="",'实盘净值数据(iFinD）'!$AA67=""),"",分期持仓明细!$AB$23*(SUMPRODUCT(分期持仓明细!$B$23:$Y$23,'实盘净值数据(iFinD）'!$B67:$Y67/'实盘净值数据(iFinD）'!$B$65:$Y$65)+SUMPRODUCT(分期持仓明细!$AC$23:$AD$23,'实盘净值数据(iFinD）'!$Z67:$AA67/'实盘净值数据(iFinD）'!$Z$65:$AA$65))*(1-实盘持仓初始配置!$Z$7)^(('实盘净值数据(iFinD）'!$A67-'实盘净值数据(iFinD）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）'!$A67="",'实盘净值数据(iFinD）'!$B67="",'实盘净值数据(iFinD）'!$Z67="",'实盘净值数据(iFinD）'!$AA67=""),"",分期持仓明细!$AB$24*(SUMPRODUCT(分期持仓明细!$B$24:$Y$24,'实盘净值数据(iFinD）'!$B67:$Y67/'实盘净值数据(iFinD）'!$B$65:$Y$65)+SUMPRODUCT(分期持仓明细!$AC$24:$AD$24,'实盘净值数据(iFinD）'!$Z67:$AA67/'实盘净值数据(iFinD）'!$Z$65:$AA$65))*(1-实盘持仓初始配置!$Z$8)^(('实盘净值数据(iFinD）'!$A67-'实盘净值数据(iFinD）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）'!$A67="",'实盘净值数据(iFinD）'!$B67="",'实盘净值数据(iFinD）'!$Z67="",'实盘净值数据(iFinD）'!$AA67=""),"",分期持仓明细!$AB$25*(SUMPRODUCT(分期持仓明细!$B$25:$Y$25,'实盘净值数据(iFinD）'!$B67:$Y67/'实盘净值数据(iFinD）'!$B$65:$Y$65)+SUMPRODUCT(分期持仓明细!$AC$25:$AD$25,'实盘净值数据(iFinD）'!$Z67:$AA67/'实盘净值数据(iFinD）'!$Z$65:$AA$65))*(1-实盘持仓初始配置!$Z$9)^(('实盘净值数据(iFinD）'!$A67-'实盘净值数据(iFinD）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  <c r="T67" s="13"/>
      <c r="U67" s="16"/>
      <c r="V67" s="16"/>
    </row>
    <row r="68" spans="1:19">
      <c r="A68" s="15">
        <f>IF('实盘净值数据(iFinD）'!A68="","",'实盘净值数据(iFinD）'!A68)</f>
        <v>46281</v>
      </c>
      <c r="B68" s="13">
        <f>IF(OR('实盘净值数据(iFinD）'!$A68="",'实盘净值数据(iFinD）'!$B68=""),"",分期持仓明细!$AB$17*SUMPRODUCT(分期持仓明细!$B$17:$Y$17,'实盘净值数据(iFinD）'!$B68:$Y68/'实盘净值数据(iFinD）'!$B$20:$Y$20)*(1-实盘持仓初始配置!$Z$4)^(('实盘净值数据(iFinD）'!$A68-'实盘净值数据(iFinD）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）'!$A68="",'实盘净值数据(iFinD）'!$B68=""),"",分期持仓明细!$AB$18*SUMPRODUCT(分期持仓明细!$B$18:$Y$18,'实盘净值数据(iFinD）'!$B68:$Y68/'实盘净值数据(iFinD）'!$B$20:$Y$20)*(1-实盘持仓初始配置!$Z$5)^(('实盘净值数据(iFinD）'!$A68-'实盘净值数据(iFinD）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）'!$A68="",'实盘净值数据(iFinD）'!$B68=""),"",分期持仓明细!$AB$19*SUMPRODUCT(分期持仓明细!$B$19:$Y$19,'实盘净值数据(iFinD）'!$B68:$Y68/'实盘净值数据(iFinD）'!$B$20:$Y$20)*(1-实盘持仓初始配置!$Z$6)^(('实盘净值数据(iFinD）'!$A68-'实盘净值数据(iFinD）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）'!$A68="",'实盘净值数据(iFinD）'!$B68="",'实盘净值数据(iFinD）'!$Z68="",'实盘净值数据(iFinD）'!$AA68=""),"",分期持仓明细!$AB$23*(SUMPRODUCT(分期持仓明细!$B$23:$Y$23,'实盘净值数据(iFinD）'!$B68:$Y68/'实盘净值数据(iFinD）'!$B$65:$Y$65)+SUMPRODUCT(分期持仓明细!$AC$23:$AD$23,'实盘净值数据(iFinD）'!$Z68:$AA68/'实盘净值数据(iFinD）'!$Z$65:$AA$65))*(1-实盘持仓初始配置!$Z$7)^(('实盘净值数据(iFinD）'!$A68-'实盘净值数据(iFinD）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）'!$A68="",'实盘净值数据(iFinD）'!$B68="",'实盘净值数据(iFinD）'!$Z68="",'实盘净值数据(iFinD）'!$AA68=""),"",分期持仓明细!$AB$24*(SUMPRODUCT(分期持仓明细!$B$24:$Y$24,'实盘净值数据(iFinD）'!$B68:$Y68/'实盘净值数据(iFinD）'!$B$65:$Y$65)+SUMPRODUCT(分期持仓明细!$AC$24:$AD$24,'实盘净值数据(iFinD）'!$Z68:$AA68/'实盘净值数据(iFinD）'!$Z$65:$AA$65))*(1-实盘持仓初始配置!$Z$8)^(('实盘净值数据(iFinD）'!$A68-'实盘净值数据(iFinD）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）'!$A68="",'实盘净值数据(iFinD）'!$B68="",'实盘净值数据(iFinD）'!$Z68="",'实盘净值数据(iFinD）'!$AA68=""),"",分期持仓明细!$AB$25*(SUMPRODUCT(分期持仓明细!$B$25:$Y$25,'实盘净值数据(iFinD）'!$B68:$Y68/'实盘净值数据(iFinD）'!$B$65:$Y$65)+SUMPRODUCT(分期持仓明细!$AC$25:$AD$25,'实盘净值数据(iFinD）'!$Z68:$AA68/'实盘净值数据(iFinD）'!$Z$65:$AA$65))*(1-实盘持仓初始配置!$Z$9)^(('实盘净值数据(iFinD）'!$A68-'实盘净值数据(iFinD）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  <c r="T68" s="13"/>
      <c r="U68" s="16"/>
      <c r="V68" s="16"/>
    </row>
    <row r="69" spans="1:19">
      <c r="A69" s="15">
        <f>IF('实盘净值数据(iFinD）'!A69="","",'实盘净值数据(iFinD）'!A69)</f>
        <v>46282</v>
      </c>
      <c r="B69" s="13">
        <f>IF(OR('实盘净值数据(iFinD）'!$A69="",'实盘净值数据(iFinD）'!$B69=""),"",分期持仓明细!$AB$17*SUMPRODUCT(分期持仓明细!$B$17:$Y$17,'实盘净值数据(iFinD）'!$B69:$Y69/'实盘净值数据(iFinD）'!$B$20:$Y$20)*(1-实盘持仓初始配置!$Z$4)^(('实盘净值数据(iFinD）'!$A69-'实盘净值数据(iFinD）'!$A$6)/365))</f>
        <v>0.83371509917059772</v>
      </c>
      <c r="C69" s="16">
        <f t="shared" si="6"/>
        <v>2.4337095185218427E-3</v>
      </c>
      <c r="D69" s="16">
        <f>IF(B69="","",B69/MAX(B$5:B69)-1)</f>
        <v>-0.22434133230931019</v>
      </c>
      <c r="E69" s="13">
        <f>IF(OR('实盘净值数据(iFinD）'!$A69="",'实盘净值数据(iFinD）'!$B69=""),"",分期持仓明细!$AB$18*SUMPRODUCT(分期持仓明细!$B$18:$Y$18,'实盘净值数据(iFinD）'!$B69:$Y69/'实盘净值数据(iFinD）'!$B$20:$Y$20)*(1-实盘持仓初始配置!$Z$5)^(('实盘净值数据(iFinD）'!$A69-'实盘净值数据(iFinD）'!$A$5)/365))</f>
        <v>0.85341019296825349</v>
      </c>
      <c r="F69" s="16">
        <f t="shared" si="7"/>
        <v>2.4304990855630315E-3</v>
      </c>
      <c r="G69" s="16">
        <f>IF(E69="","",E69/MAX(E$5:E69)-1)</f>
        <v>-0.223986923378659</v>
      </c>
      <c r="H69" s="13">
        <f>IF(OR('实盘净值数据(iFinD）'!$A69="",'实盘净值数据(iFinD）'!$B69=""),"",分期持仓明细!$AB$19*SUMPRODUCT(分期持仓明细!$B$19:$Y$19,'实盘净值数据(iFinD）'!$B69:$Y69/'实盘净值数据(iFinD）'!$B$20:$Y$20)*(1-实盘持仓初始配置!$Z$6)^(('实盘净值数据(iFinD）'!$A69-'实盘净值数据(iFinD）'!$A$7)/365))</f>
        <v>0.84306322011820267</v>
      </c>
      <c r="I69" s="16">
        <f t="shared" si="8"/>
        <v>1.3419175220781288E-3</v>
      </c>
      <c r="J69" s="16">
        <f>IF(H69="","",H69/MAX(H$5:H69)-1)</f>
        <v>-0.24164959751312676</v>
      </c>
      <c r="K69" s="13">
        <f>IF(OR('实盘净值数据(iFinD）'!$A69="",'实盘净值数据(iFinD）'!$B69="",'实盘净值数据(iFinD）'!$Z69="",'实盘净值数据(iFinD）'!$AA69=""),"",分期持仓明细!$AB$23*(SUMPRODUCT(分期持仓明细!$B$23:$Y$23,'实盘净值数据(iFinD）'!$B69:$Y69/'实盘净值数据(iFinD）'!$B$65:$Y$65)+SUMPRODUCT(分期持仓明细!$AC$23:$AD$23,'实盘净值数据(iFinD）'!$Z69:$AA69/'实盘净值数据(iFinD）'!$Z$65:$AA$65))*(1-实盘持仓初始配置!$Z$7)^(('实盘净值数据(iFinD）'!$A69-'实盘净值数据(iFinD）'!$A$8)/365))</f>
        <v>0.9920690677556997</v>
      </c>
      <c r="L69" s="16">
        <f t="shared" si="9"/>
        <v>4.400171590313029E-5</v>
      </c>
      <c r="M69" s="16">
        <f>IF(K69="","",K69/MAX(K$5:K69)-1)</f>
        <v>-1.116638952069593E-2</v>
      </c>
      <c r="N69" s="13">
        <f>IF(OR('实盘净值数据(iFinD）'!$A69="",'实盘净值数据(iFinD）'!$B69="",'实盘净值数据(iFinD）'!$Z69="",'实盘净值数据(iFinD）'!$AA69=""),"",分期持仓明细!$AB$24*(SUMPRODUCT(分期持仓明细!$B$24:$Y$24,'实盘净值数据(iFinD）'!$B69:$Y69/'实盘净值数据(iFinD）'!$B$65:$Y$65)+SUMPRODUCT(分期持仓明细!$AC$24:$AD$24,'实盘净值数据(iFinD）'!$Z69:$AA69/'实盘净值数据(iFinD）'!$Z$65:$AA$65))*(1-实盘持仓初始配置!$Z$8)^(('实盘净值数据(iFinD）'!$A69-'实盘净值数据(iFinD）'!$A$5)/365))</f>
        <v>0.99300440953847791</v>
      </c>
      <c r="O69" s="16">
        <f t="shared" si="10"/>
        <v>1.5436163577353668E-4</v>
      </c>
      <c r="P69" s="16">
        <f>IF(N69="","",N69/MAX(N$5:N69)-1)</f>
        <v>-9.679496820796607E-3</v>
      </c>
      <c r="Q69" s="13">
        <f>IF(OR('实盘净值数据(iFinD）'!$A69="",'实盘净值数据(iFinD）'!$B69="",'实盘净值数据(iFinD）'!$Z69="",'实盘净值数据(iFinD）'!$AA69=""),"",分期持仓明细!$AB$25*(SUMPRODUCT(分期持仓明细!$B$25:$Y$25,'实盘净值数据(iFinD）'!$B69:$Y69/'实盘净值数据(iFinD）'!$B$65:$Y$65)+SUMPRODUCT(分期持仓明细!$AC$25:$AD$25,'实盘净值数据(iFinD）'!$Z69:$AA69/'实盘净值数据(iFinD）'!$Z$65:$AA$65))*(1-实盘持仓初始配置!$Z$9)^(('实盘净值数据(iFinD）'!$A69-'实盘净值数据(iFinD）'!$A$8)/365))</f>
        <v>0.96089764676308576</v>
      </c>
      <c r="R69" s="16">
        <f t="shared" si="11"/>
        <v>1.2451613777830772E-5</v>
      </c>
      <c r="S69" s="16">
        <f>IF(Q69="","",Q69/MAX(Q$5:Q69)-1)</f>
        <v>-4.7448486849600457E-2</v>
      </c>
      <c r="T69" s="13">
        <v>1</v>
      </c>
      <c r="U69" s="16">
        <f>IF(OR(T68="",T69=""),"",T69/T68-1)</f>
        <v/>
      </c>
      <c r="V69" s="16">
        <f>IF(T69="","",T69/MAX(T$5:T69)-1)</f>
        <v>0</v>
      </c>
    </row>
    <row r="70" spans="1:19">
      <c r="A70" s="15">
        <f>IF('实盘净值数据(iFinD）'!A70="","",'实盘净值数据(iFinD）'!A70)</f>
        <v>46283</v>
      </c>
      <c r="B70" s="13">
        <f>IF(OR('实盘净值数据(iFinD）'!$A70="",'实盘净值数据(iFinD）'!$B70=""),"",分期持仓明细!$AB$17*SUMPRODUCT(分期持仓明细!$B$17:$Y$17,'实盘净值数据(iFinD）'!$B70:$Y70/'实盘净值数据(iFinD）'!$B$20:$Y$20)*(1-实盘持仓初始配置!$Z$4)^(('实盘净值数据(iFinD）'!$A70-'实盘净值数据(iFinD）'!$A$6)/365))</f>
        <v>0.8580285234359244</v>
      </c>
      <c r="C70" s="16">
        <f t="shared" si="6"/>
        <v>2.9162749108795571E-2</v>
      </c>
      <c r="D70" s="16">
        <f>IF(B70="","",B70/MAX(B$5:B70)-1)</f>
        <v>-0.20172099318938397</v>
      </c>
      <c r="E70" s="13">
        <f>IF(OR('实盘净值数据(iFinD）'!$A70="",'实盘净值数据(iFinD）'!$B70=""),"",分期持仓明细!$AB$18*SUMPRODUCT(分期持仓明细!$B$18:$Y$18,'实盘净值数据(iFinD）'!$B70:$Y70/'实盘净值数据(iFinD）'!$B$20:$Y$20)*(1-实盘持仓初始配置!$Z$5)^(('实盘净值数据(iFinD）'!$A70-'实盘净值数据(iFinD）'!$A$5)/365))</f>
        <v>0.87831302693431956</v>
      </c>
      <c r="F70" s="16">
        <f t="shared" si="7"/>
        <v>2.9180380280497076E-2</v>
      </c>
      <c r="G70" s="16">
        <f>IF(E70="","",E70/MAX(E$5:E70)-1)</f>
        <v>-0.20134256670020967</v>
      </c>
      <c r="H70" s="13">
        <f>IF(OR('实盘净值数据(iFinD）'!$A70="",'实盘净值数据(iFinD）'!$B70=""),"",分期持仓明细!$AB$19*SUMPRODUCT(分期持仓明细!$B$19:$Y$19,'实盘净值数据(iFinD）'!$B70:$Y70/'实盘净值数据(iFinD）'!$B$20:$Y$20)*(1-实盘持仓初始配置!$Z$6)^(('实盘净值数据(iFinD）'!$A70-'实盘净值数据(iFinD）'!$A$7)/365))</f>
        <v>0.86909518292519927</v>
      </c>
      <c r="I70" s="16">
        <f t="shared" si="8"/>
        <v>3.0877830020086483E-2</v>
      </c>
      <c r="J70" s="16">
        <f>IF(H70="","",H70/MAX(H$5:H70)-1)</f>
        <v>-0.2182333826894729</v>
      </c>
      <c r="K70" s="13">
        <f>IF(OR('实盘净值数据(iFinD）'!$A70="",'实盘净值数据(iFinD）'!$B70="",'实盘净值数据(iFinD）'!$Z70="",'实盘净值数据(iFinD）'!$AA70=""),"",分期持仓明细!$AB$23*(SUMPRODUCT(分期持仓明细!$B$23:$Y$23,'实盘净值数据(iFinD）'!$B70:$Y70/'实盘净值数据(iFinD）'!$B$65:$Y$65)+SUMPRODUCT(分期持仓明细!$AC$23:$AD$23,'实盘净值数据(iFinD）'!$Z70:$AA70/'实盘净值数据(iFinD）'!$Z$65:$AA$65))*(1-实盘持仓初始配置!$Z$7)^(('实盘净值数据(iFinD）'!$A70-'实盘净值数据(iFinD）'!$A$8)/365))</f>
        <v>0.99564029457706782</v>
      </c>
      <c r="L70" s="16">
        <f t="shared" si="9"/>
        <v>3.599776404123789E-3</v>
      </c>
      <c r="M70" s="16">
        <f>IF(K70="","",K70/MAX(K$5:K70)-1)</f>
        <v>-7.6068096220879289E-3</v>
      </c>
      <c r="N70" s="13">
        <f>IF(OR('实盘净值数据(iFinD）'!$A70="",'实盘净值数据(iFinD）'!$B70="",'实盘净值数据(iFinD）'!$Z70="",'实盘净值数据(iFinD）'!$AA70=""),"",分期持仓明细!$AB$24*(SUMPRODUCT(分期持仓明细!$B$24:$Y$24,'实盘净值数据(iFinD）'!$B70:$Y70/'实盘净值数据(iFinD）'!$B$65:$Y$65)+SUMPRODUCT(分期持仓明细!$AC$24:$AD$24,'实盘净值数据(iFinD）'!$Z70:$AA70/'实盘净值数据(iFinD）'!$Z$65:$AA$65))*(1-实盘持仓初始配置!$Z$8)^(('实盘净值数据(iFinD）'!$A70-'实盘净值数据(iFinD）'!$A$5)/365))</f>
        <v>0.99657917386980865</v>
      </c>
      <c r="O70" s="16">
        <f t="shared" si="10"/>
        <v>3.5999480938782025E-3</v>
      </c>
      <c r="P70" s="16">
        <f>IF(N70="","",N70/MAX(N$5:N70)-1)</f>
        <v>-6.1143944130481742E-3</v>
      </c>
      <c r="Q70" s="13">
        <f>IF(OR('实盘净值数据(iFinD）'!$A70="",'实盘净值数据(iFinD）'!$B70="",'实盘净值数据(iFinD）'!$Z70="",'实盘净值数据(iFinD）'!$AA70=""),"",分期持仓明细!$AB$25*(SUMPRODUCT(分期持仓明细!$B$25:$Y$25,'实盘净值数据(iFinD）'!$B70:$Y70/'实盘净值数据(iFinD）'!$B$65:$Y$65)+SUMPRODUCT(分期持仓明细!$AC$25:$AD$25,'实盘净值数据(iFinD）'!$Z70:$AA70/'实盘净值数据(iFinD）'!$Z$65:$AA$65))*(1-实盘持仓初始配置!$Z$9)^(('实盘净值数据(iFinD）'!$A70-'实盘净值数据(iFinD）'!$A$8)/365))</f>
        <v>0.96971928915972971</v>
      </c>
      <c r="R70" s="16">
        <f t="shared" si="11"/>
        <v>9.1806264968603557E-3</v>
      </c>
      <c r="S70" s="16">
        <f>IF(Q70="","",Q70/MAX(Q$5:Q70)-1)</f>
        <v>-3.8703467188347385E-2</v>
      </c>
      <c r="T70" s="13">
        <f>IF(OR('实盘净值数据(iFinD）'!$A70="",'实盘净值数据(iFinD）'!$B70="",'实盘净值数据(iFinD）'!$Z70="",'实盘净值数据(iFinD）'!$AA70="",'实盘净值数据(iFinD）'!$AB70="",'实盘净值数据(iFinD）'!$AL70=""),"",(SUMPRODUCT(分期持仓明细!$B$26:$Y$26,'实盘净值数据(iFinD）'!$B70:$Y70/'实盘净值数据(iFinD）'!$B$69:$Y$69)+SUMPRODUCT(分期持仓明细!$AC$26:$AD$26,'实盘净值数据(iFinD）'!$Z70:$AA70/'实盘净值数据(iFinD）'!$Z$69:$AA$69)+SUMPRODUCT(分期持仓明细!$AE$26:$AO$26,'实盘净值数据(iFinD）'!$AB70:$AL70/'实盘净值数据(iFinD）'!$AB$69:$AL$69))*(1-实盘持仓初始配置!$Z$10)^(('实盘净值数据(iFinD）'!$A70-'实盘净值数据(iFinD）'!$A$69)/365))</f>
        <v>1.00281971910982</v>
      </c>
      <c r="U70" s="16">
        <f>IF(OR(T69="",T70=""),"",T70/T69-1)</f>
        <v>0.00281971910981915</v>
      </c>
      <c r="V70" s="16">
        <f>IF(T70="","",T70/MAX(T$5:T70)-1)</f>
        <v>0</v>
      </c>
    </row>
    <row r="71" spans="1:19">
      <c r="A71" s="15">
        <f>IF('实盘净值数据(iFinD）'!A71="","",'实盘净值数据(iFinD）'!A71)</f>
        <v>46286</v>
      </c>
      <c r="B71" s="13">
        <f>IF(OR('实盘净值数据(iFinD）'!$A71="",'实盘净值数据(iFinD）'!$B71=""),"",分期持仓明细!$AB$17*SUMPRODUCT(分期持仓明细!$B$17:$Y$17,'实盘净值数据(iFinD）'!$B71:$Y71/'实盘净值数据(iFinD）'!$B$20:$Y$20)*(1-实盘持仓初始配置!$Z$4)^(('实盘净值数据(iFinD）'!$A71-'实盘净值数据(iFinD）'!$A$6)/365))</f>
        <v>0.85764383509009423</v>
      </c>
      <c r="C71" s="16">
        <f t="shared" si="6"/>
        <v>-4.4833981076719542E-4</v>
      </c>
      <c r="D71" s="16">
        <f>IF(B71="","",B71/MAX(B$5:B71)-1)</f>
        <v>-0.20207889344823693</v>
      </c>
      <c r="E71" s="13">
        <f>IF(OR('实盘净值数据(iFinD）'!$A71="",'实盘净值数据(iFinD）'!$B71=""),"",分期持仓明细!$AB$18*SUMPRODUCT(分期持仓明细!$B$18:$Y$18,'实盘净值数据(iFinD）'!$B71:$Y71/'实盘净值数据(iFinD）'!$B$20:$Y$20)*(1-实盘持仓初始配置!$Z$5)^(('实盘净值数据(iFinD）'!$A71-'实盘净值数据(iFinD）'!$A$5)/365))</f>
        <v>0.87795480907096701</v>
      </c>
      <c r="F71" s="16">
        <f t="shared" si="7"/>
        <v>-4.0784760372147844E-4</v>
      </c>
      <c r="G71" s="16">
        <f>IF(E71="","",E71/MAX(E$5:E71)-1)</f>
        <v>-0.20166829722057544</v>
      </c>
      <c r="H71" s="13">
        <f>IF(OR('实盘净值数据(iFinD）'!$A71="",'实盘净值数据(iFinD）'!$B71=""),"",分期持仓明细!$AB$19*SUMPRODUCT(分期持仓明细!$B$19:$Y$19,'实盘净值数据(iFinD）'!$B71:$Y71/'实盘净值数据(iFinD）'!$B$20:$Y$20)*(1-实盘持仓初始配置!$Z$6)^(('实盘净值数据(iFinD）'!$A71-'实盘净值数据(iFinD）'!$A$7)/365))</f>
        <v>0.86863658068922478</v>
      </c>
      <c r="I71" s="16">
        <f t="shared" si="8"/>
        <v>-5.276778021378048E-4</v>
      </c>
      <c r="J71" s="16">
        <f>IF(H71="","",H71/MAX(H$5:H71)-1)</f>
        <v>-0.21864590357988001</v>
      </c>
      <c r="K71" s="13">
        <f>IF(OR('实盘净值数据(iFinD）'!$A71="",'实盘净值数据(iFinD）'!$B71="",'实盘净值数据(iFinD）'!$Z71="",'实盘净值数据(iFinD）'!$AA71=""),"",分期持仓明细!$AB$23*(SUMPRODUCT(分期持仓明细!$B$23:$Y$23,'实盘净值数据(iFinD）'!$B71:$Y71/'实盘净值数据(iFinD）'!$B$65:$Y$65)+SUMPRODUCT(分期持仓明细!$AC$23:$AD$23,'实盘净值数据(iFinD）'!$Z71:$AA71/'实盘净值数据(iFinD）'!$Z$65:$AA$65))*(1-实盘持仓初始配置!$Z$7)^(('实盘净值数据(iFinD）'!$A71-'实盘净值数据(iFinD）'!$A$8)/365))</f>
        <v>0.99605292923285249</v>
      </c>
      <c r="L71" s="16">
        <f t="shared" si="9"/>
        <v>4.1444149863378854E-4</v>
      </c>
      <c r="M71" s="16">
        <f>IF(K71="","",K71/MAX(K$5:K71)-1)</f>
        <v>-7.1955207010337974E-3</v>
      </c>
      <c r="N71" s="13">
        <f>IF(OR('实盘净值数据(iFinD）'!$A71="",'实盘净值数据(iFinD）'!$B71="",'实盘净值数据(iFinD）'!$Z71="",'实盘净值数据(iFinD）'!$AA71=""),"",分期持仓明细!$AB$24*(SUMPRODUCT(分期持仓明细!$B$24:$Y$24,'实盘净值数据(iFinD）'!$B71:$Y71/'实盘净值数据(iFinD）'!$B$65:$Y$65)+SUMPRODUCT(分期持仓明细!$AC$24:$AD$24,'实盘净值数据(iFinD）'!$Z71:$AA71/'实盘净值数据(iFinD）'!$Z$65:$AA$65))*(1-实盘持仓初始配置!$Z$8)^(('实盘净值数据(iFinD）'!$A71-'实盘净值数据(iFinD）'!$A$5)/365))</f>
        <v>0.99696346679824355</v>
      </c>
      <c r="O71" s="16">
        <f t="shared" si="10"/>
        <v>3.856120401779517E-4</v>
      </c>
      <c r="P71" s="16">
        <f>IF(N71="","",N71/MAX(N$5:N71)-1)</f>
        <v>-5.7311401569741793E-3</v>
      </c>
      <c r="Q71" s="13">
        <f>IF(OR('实盘净值数据(iFinD）'!$A71="",'实盘净值数据(iFinD）'!$B71="",'实盘净值数据(iFinD）'!$Z71="",'实盘净值数据(iFinD）'!$AA71=""),"",分期持仓明细!$AB$25*(SUMPRODUCT(分期持仓明细!$B$25:$Y$25,'实盘净值数据(iFinD）'!$B71:$Y71/'实盘净值数据(iFinD）'!$B$65:$Y$65)+SUMPRODUCT(分期持仓明细!$AC$25:$AD$25,'实盘净值数据(iFinD）'!$Z71:$AA71/'实盘净值数据(iFinD）'!$Z$65:$AA$65))*(1-实盘持仓初始配置!$Z$9)^(('实盘净值数据(iFinD）'!$A71-'实盘净值数据(iFinD）'!$A$8)/365))</f>
        <v>0.97058693117180483</v>
      </c>
      <c r="R71" s="16">
        <f t="shared" si="11"/>
        <v>8.9473523087990614E-4</v>
      </c>
      <c r="S71" s="16">
        <f>IF(Q71="","",Q71/MAX(Q$5:Q71)-1)</f>
        <v>-3.7843361313118051E-2</v>
      </c>
      <c r="T71" s="13">
        <f>IF(OR('实盘净值数据(iFinD）'!$A71="",'实盘净值数据(iFinD）'!$B71="",'实盘净值数据(iFinD）'!$Z71="",'实盘净值数据(iFinD）'!$AA71="",'实盘净值数据(iFinD）'!$AB71="",'实盘净值数据(iFinD）'!$AL71=""),"",(SUMPRODUCT(分期持仓明细!$B$26:$Y$26,'实盘净值数据(iFinD）'!$B71:$Y71/'实盘净值数据(iFinD）'!$B$69:$Y$69)+SUMPRODUCT(分期持仓明细!$AC$26:$AD$26,'实盘净值数据(iFinD）'!$Z71:$AA71/'实盘净值数据(iFinD）'!$Z$69:$AA$69)+SUMPRODUCT(分期持仓明细!$AE$26:$AO$26,'实盘净值数据(iFinD）'!$AB71:$AL71/'实盘净值数据(iFinD）'!$AB$69:$AL$69))*(1-实盘持仓初始配置!$Z$10)^(('实盘净值数据(iFinD）'!$A71-'实盘净值数据(iFinD）'!$A$69)/365))</f>
        <v>1.00396154841636</v>
      </c>
      <c r="U71" s="16">
        <f>IF(OR(T70="",T71=""),"",T71/T70-1)</f>
        <v>0.00113861872157228</v>
      </c>
      <c r="V71" s="16">
        <f>IF(T71="","",T71/MAX(T$5:T71)-1)</f>
        <v>0</v>
      </c>
    </row>
    <row r="72" spans="1:19">
      <c r="A72" s="15">
        <f>IF('实盘净值数据(iFinD）'!A72="","",'实盘净值数据(iFinD）'!A72)</f>
        <v>46287</v>
      </c>
      <c r="B72" s="13">
        <f>IF(OR('实盘净值数据(iFinD）'!$A72="",'实盘净值数据(iFinD）'!$B72=""),"",分期持仓明细!$AB$17*SUMPRODUCT(分期持仓明细!$B$17:$Y$17,'实盘净值数据(iFinD）'!$B72:$Y72/'实盘净值数据(iFinD）'!$B$20:$Y$20)*(1-实盘持仓初始配置!$Z$4)^(('实盘净值数据(iFinD）'!$A72-'实盘净值数据(iFinD）'!$A$6)/365))</f>
        <v>0.85760832317246516</v>
      </c>
      <c r="C72" s="16">
        <f t="shared" si="6"/>
        <v>-4.1406369609475746E-5</v>
      </c>
      <c r="D72" s="16">
        <f>IF(B72="","",B72/MAX(B$5:B72)-1)</f>
        <v>-0.2021119324644941</v>
      </c>
      <c r="E72" s="13">
        <f>IF(OR('实盘净值数据(iFinD）'!$A72="",'实盘净值数据(iFinD）'!$B72=""),"",分期持仓明细!$AB$18*SUMPRODUCT(分期持仓明细!$B$18:$Y$18,'实盘净值数据(iFinD）'!$B72:$Y72/'实盘净值数据(iFinD）'!$B$20:$Y$20)*(1-实盘持仓初始配置!$Z$5)^(('实盘净值数据(iFinD）'!$A72-'实盘净值数据(iFinD）'!$A$5)/365))</f>
        <v>0.87792577069982314</v>
      </c>
      <c r="F72" s="16">
        <f t="shared" si="7"/>
        <v>-3.3075018034955939E-5</v>
      </c>
      <c r="G72" s="16">
        <f>IF(E72="","",E72/MAX(E$5:E72)-1)</f>
        <v>-0.20169470205604267</v>
      </c>
      <c r="H72" s="13">
        <f>IF(OR('实盘净值数据(iFinD）'!$A72="",'实盘净值数据(iFinD）'!$B72=""),"",分期持仓明细!$AB$19*SUMPRODUCT(分期持仓明细!$B$19:$Y$19,'实盘净值数据(iFinD）'!$B72:$Y72/'实盘净值数据(iFinD）'!$B$20:$Y$20)*(1-实盘持仓初始配置!$Z$6)^(('实盘净值数据(iFinD）'!$A72-'实盘净值数据(iFinD）'!$A$7)/365))</f>
        <v>0.86860061360190854</v>
      </c>
      <c r="I72" s="16">
        <f t="shared" si="8"/>
        <v>-4.1406369609364724E-5</v>
      </c>
      <c r="J72" s="16">
        <f>IF(H72="","",H72/MAX(H$5:H72)-1)</f>
        <v>-0.21867825661639217</v>
      </c>
      <c r="K72" s="13">
        <f>IF(OR('实盘净值数据(iFinD）'!$A72="",'实盘净值数据(iFinD）'!$B72="",'实盘净值数据(iFinD）'!$Z72="",'实盘净值数据(iFinD）'!$AA72=""),"",分期持仓明细!$AB$23*(SUMPRODUCT(分期持仓明细!$B$23:$Y$23,'实盘净值数据(iFinD）'!$B72:$Y72/'实盘净值数据(iFinD）'!$B$65:$Y$65)+SUMPRODUCT(分期持仓明细!$AC$23:$AD$23,'实盘净值数据(iFinD）'!$Z72:$AA72/'实盘净值数据(iFinD）'!$Z$65:$AA$65))*(1-实盘持仓初始配置!$Z$7)^(('实盘净值数据(iFinD）'!$A72-'实盘净值数据(iFinD）'!$A$8)/365))</f>
        <v>0.99603101038321196</v>
      </c>
      <c r="L72" s="16">
        <f t="shared" si="9"/>
        <v>-2.2005707726258095E-5</v>
      </c>
      <c r="M72" s="16">
        <f>IF(K72="","",K72/MAX(K$5:K72)-1)</f>
        <v>-7.2173680662345197E-3</v>
      </c>
      <c r="N72" s="13">
        <f>IF(OR('实盘净值数据(iFinD）'!$A72="",'实盘净值数据(iFinD）'!$B72="",'实盘净值数据(iFinD）'!$Z72="",'实盘净值数据(iFinD）'!$AA72=""),"",分期持仓明细!$AB$24*(SUMPRODUCT(分期持仓明细!$B$24:$Y$24,'实盘净值数据(iFinD）'!$B72:$Y72/'实盘净值数据(iFinD）'!$B$65:$Y$65)+SUMPRODUCT(分期持仓明细!$AC$24:$AD$24,'实盘净值数据(iFinD）'!$Z72:$AA72/'实盘净值数据(iFinD）'!$Z$65:$AA$65))*(1-实盘持仓初始配置!$Z$8)^(('实盘净值数据(iFinD）'!$A72-'实盘净值数据(iFinD）'!$A$5)/365))</f>
        <v>0.99694977560164078</v>
      </c>
      <c r="O72" s="16">
        <f t="shared" si="10"/>
        <v>-1.373289700046243E-5</v>
      </c>
      <c r="P72" s="16">
        <f>IF(N72="","",N72/MAX(N$5:N72)-1)</f>
        <v>-5.7447943488171394E-3</v>
      </c>
      <c r="Q72" s="13">
        <f>IF(OR('实盘净值数据(iFinD）'!$A72="",'实盘净值数据(iFinD）'!$B72="",'实盘净值数据(iFinD）'!$Z72="",'实盘净值数据(iFinD）'!$AA72=""),"",分期持仓明细!$AB$25*(SUMPRODUCT(分期持仓明细!$B$25:$Y$25,'实盘净值数据(iFinD）'!$B72:$Y72/'实盘净值数据(iFinD）'!$B$65:$Y$65)+SUMPRODUCT(分期持仓明细!$AC$25:$AD$25,'实盘净值数据(iFinD）'!$Z72:$AA72/'实盘净值数据(iFinD）'!$Z$65:$AA$65))*(1-实盘持仓初始配置!$Z$9)^(('实盘净值数据(iFinD）'!$A72-'实盘净值数据(iFinD）'!$A$8)/365))</f>
        <v>0.97055482899155188</v>
      </c>
      <c r="R72" s="16">
        <f t="shared" si="11"/>
        <v>-3.3075018034955939E-5</v>
      </c>
      <c r="S72" s="16">
        <f>IF(Q72="","",Q72/MAX(Q$5:Q72)-1)</f>
        <v>-3.7875184661295025E-2</v>
      </c>
      <c r="T72" s="13">
        <f>IF(OR('实盘净值数据(iFinD）'!$A72="",'实盘净值数据(iFinD）'!$B72="",'实盘净值数据(iFinD）'!$Z72="",'实盘净值数据(iFinD）'!$AA72="",'实盘净值数据(iFinD）'!$AB72="",'实盘净值数据(iFinD）'!$AL72=""),"",(SUMPRODUCT(分期持仓明细!$B$26:$Y$26,'实盘净值数据(iFinD）'!$B72:$Y72/'实盘净值数据(iFinD）'!$B$69:$Y$69)+SUMPRODUCT(分期持仓明细!$AC$26:$AD$26,'实盘净值数据(iFinD）'!$Z72:$AA72/'实盘净值数据(iFinD）'!$Z$69:$AA$69)+SUMPRODUCT(分期持仓明细!$AE$26:$AO$26,'实盘净值数据(iFinD）'!$AB72:$AL72/'实盘净值数据(iFinD）'!$AB$69:$AL$69))*(1-实盘持仓初始配置!$Z$10)^(('实盘净值数据(iFinD）'!$A72-'实盘净值数据(iFinD）'!$A$69)/365))</f>
        <v>1.00393945553196</v>
      </c>
      <c r="U72" s="16">
        <f>IF(OR(T71="",T72=""),"",T72/T71-1)</f>
        <v>-2.20057077264801e-05</v>
      </c>
      <c r="V72" s="16">
        <f>IF(T72="","",T72/MAX(T$5:T72)-1)</f>
        <v>-2.20057077264801e-05</v>
      </c>
    </row>
    <row r="73" spans="1:19">
      <c r="A73" s="15" t="str">
        <f>IF('实盘净值数据(iFinD）'!A73="","",'实盘净值数据(iFinD）'!A73)</f>
        <v/>
      </c>
      <c r="B73" s="13" t="str">
        <f>IF(OR('实盘净值数据(iFinD）'!$A73="",'实盘净值数据(iFinD）'!$B73=""),"",分期持仓明细!$AB$17*SUMPRODUCT(分期持仓明细!$B$17:$Y$17,'实盘净值数据(iFinD）'!$B73:$Y73/'实盘净值数据(iFinD）'!$B$20:$Y$20)*(1-实盘持仓初始配置!$Z$4)^(('实盘净值数据(iFinD）'!$A73-'实盘净值数据(iFinD）'!$A$6)/365))</f>
        <v/>
      </c>
      <c r="C73" s="16" t="str">
        <f t="shared" si="6"/>
        <v/>
      </c>
      <c r="D73" s="16" t="str">
        <f>IF(B73="","",B73/MAX(B$5:B73)-1)</f>
        <v/>
      </c>
      <c r="E73" s="13" t="str">
        <f>IF(OR('实盘净值数据(iFinD）'!$A73="",'实盘净值数据(iFinD）'!$B73=""),"",分期持仓明细!$AB$18*SUMPRODUCT(分期持仓明细!$B$18:$Y$18,'实盘净值数据(iFinD）'!$B73:$Y73/'实盘净值数据(iFinD）'!$B$20:$Y$20)*(1-实盘持仓初始配置!$Z$5)^(('实盘净值数据(iFinD）'!$A73-'实盘净值数据(iFinD）'!$A$5)/365))</f>
        <v/>
      </c>
      <c r="F73" s="16" t="str">
        <f t="shared" si="7"/>
        <v/>
      </c>
      <c r="G73" s="16" t="str">
        <f>IF(E73="","",E73/MAX(E$5:E73)-1)</f>
        <v/>
      </c>
      <c r="H73" s="13" t="str">
        <f>IF(OR('实盘净值数据(iFinD）'!$A73="",'实盘净值数据(iFinD）'!$B73=""),"",分期持仓明细!$AB$19*SUMPRODUCT(分期持仓明细!$B$19:$Y$19,'实盘净值数据(iFinD）'!$B73:$Y73/'实盘净值数据(iFinD）'!$B$20:$Y$20)*(1-实盘持仓初始配置!$Z$6)^(('实盘净值数据(iFinD）'!$A73-'实盘净值数据(iFinD）'!$A$7)/365))</f>
        <v/>
      </c>
      <c r="I73" s="16" t="str">
        <f t="shared" si="8"/>
        <v/>
      </c>
      <c r="J73" s="16" t="str">
        <f>IF(H73="","",H73/MAX(H$5:H73)-1)</f>
        <v/>
      </c>
      <c r="K73" s="13" t="str">
        <f>IF(OR('实盘净值数据(iFinD）'!$A73="",'实盘净值数据(iFinD）'!$B73="",'实盘净值数据(iFinD）'!$Z73="",'实盘净值数据(iFinD）'!$AA73=""),"",分期持仓明细!$AB$23*(SUMPRODUCT(分期持仓明细!$B$23:$Y$23,'实盘净值数据(iFinD）'!$B73:$Y73/'实盘净值数据(iFinD）'!$B$65:$Y$65)+SUMPRODUCT(分期持仓明细!$AC$23:$AD$23,'实盘净值数据(iFinD）'!$Z73:$AA73/'实盘净值数据(iFinD）'!$Z$65:$AA$65))*(1-实盘持仓初始配置!$Z$7)^(('实盘净值数据(iFinD）'!$A73-'实盘净值数据(iFinD）'!$A$8)/365))</f>
        <v/>
      </c>
      <c r="L73" s="16" t="str">
        <f t="shared" si="9"/>
        <v/>
      </c>
      <c r="M73" s="16" t="str">
        <f>IF(K73="","",K73/MAX(K$5:K73)-1)</f>
        <v/>
      </c>
      <c r="N73" s="13" t="str">
        <f>IF(OR('实盘净值数据(iFinD）'!$A73="",'实盘净值数据(iFinD）'!$B73="",'实盘净值数据(iFinD）'!$Z73="",'实盘净值数据(iFinD）'!$AA73=""),"",分期持仓明细!$AB$24*(SUMPRODUCT(分期持仓明细!$B$24:$Y$24,'实盘净值数据(iFinD）'!$B73:$Y73/'实盘净值数据(iFinD）'!$B$65:$Y$65)+SUMPRODUCT(分期持仓明细!$AC$24:$AD$24,'实盘净值数据(iFinD）'!$Z73:$AA73/'实盘净值数据(iFinD）'!$Z$65:$AA$65))*(1-实盘持仓初始配置!$Z$8)^(('实盘净值数据(iFinD）'!$A73-'实盘净值数据(iFinD）'!$A$5)/365))</f>
        <v/>
      </c>
      <c r="O73" s="16" t="str">
        <f t="shared" si="10"/>
        <v/>
      </c>
      <c r="P73" s="16" t="str">
        <f>IF(N73="","",N73/MAX(N$5:N73)-1)</f>
        <v/>
      </c>
      <c r="Q73" s="13" t="str">
        <f>IF(OR('实盘净值数据(iFinD）'!$A73="",'实盘净值数据(iFinD）'!$B73="",'实盘净值数据(iFinD）'!$Z73="",'实盘净值数据(iFinD）'!$AA73=""),"",分期持仓明细!$AB$25*(SUMPRODUCT(分期持仓明细!$B$25:$Y$25,'实盘净值数据(iFinD）'!$B73:$Y73/'实盘净值数据(iFinD）'!$B$65:$Y$65)+SUMPRODUCT(分期持仓明细!$AC$25:$AD$25,'实盘净值数据(iFinD）'!$Z73:$AA73/'实盘净值数据(iFinD）'!$Z$65:$AA$65))*(1-实盘持仓初始配置!$Z$9)^(('实盘净值数据(iFinD）'!$A73-'实盘净值数据(iFinD）'!$A$8)/365))</f>
        <v/>
      </c>
      <c r="R73" s="16" t="str">
        <f t="shared" si="11"/>
        <v/>
      </c>
      <c r="S73" s="16" t="str">
        <f>IF(Q73="","",Q73/MAX(Q$5:Q73)-1)</f>
        <v/>
      </c>
      <c r="T73" s="13">
        <f>IF(OR('实盘净值数据(iFinD）'!$A73="",'实盘净值数据(iFinD）'!$B73="",'实盘净值数据(iFinD）'!$Z73="",'实盘净值数据(iFinD）'!$AA73="",'实盘净值数据(iFinD）'!$AB73="",'实盘净值数据(iFinD）'!$AL73=""),"",(SUMPRODUCT(分期持仓明细!$B$26:$Y$26,'实盘净值数据(iFinD）'!$B73:$Y73/'实盘净值数据(iFinD）'!$B$69:$Y$69)+SUMPRODUCT(分期持仓明细!$AC$26:$AD$26,'实盘净值数据(iFinD）'!$Z73:$AA73/'实盘净值数据(iFinD）'!$Z$69:$AA$69)+SUMPRODUCT(分期持仓明细!$AE$26:$AO$26,'实盘净值数据(iFinD）'!$AB73:$AL73/'实盘净值数据(iFinD）'!$AB$69:$AL$69))*(1-实盘持仓初始配置!$Z$10)^(('实盘净值数据(iFinD）'!$A73-'实盘净值数据(iFinD）'!$A$69)/365))</f>
        <v/>
      </c>
      <c r="U73" s="16">
        <f>IF(OR(T72="",T73=""),"",T73/T72-1)</f>
        <v/>
      </c>
      <c r="V73" s="16">
        <f>IF(T73="","",T73/MAX(T$5:T73)-1)</f>
        <v/>
      </c>
    </row>
    <row r="74" spans="1:19">
      <c r="A74" s="15" t="str">
        <f>IF('实盘净值数据(iFinD）'!A74="","",'实盘净值数据(iFinD）'!A74)</f>
        <v/>
      </c>
      <c r="B74" s="13" t="str">
        <f>IF(OR('实盘净值数据(iFinD）'!$A74="",'实盘净值数据(iFinD）'!$B74=""),"",分期持仓明细!$AB$17*SUMPRODUCT(分期持仓明细!$B$17:$Y$17,'实盘净值数据(iFinD）'!$B74:$Y74/'实盘净值数据(iFinD）'!$B$20:$Y$20)*(1-实盘持仓初始配置!$Z$4)^(('实盘净值数据(iFinD）'!$A74-'实盘净值数据(iFinD）'!$A$6)/365))</f>
        <v/>
      </c>
      <c r="C74" s="16" t="str">
        <f t="shared" si="6"/>
        <v/>
      </c>
      <c r="D74" s="16" t="str">
        <f>IF(B74="","",B74/MAX(B$5:B74)-1)</f>
        <v/>
      </c>
      <c r="E74" s="13" t="str">
        <f>IF(OR('实盘净值数据(iFinD）'!$A74="",'实盘净值数据(iFinD）'!$B74=""),"",分期持仓明细!$AB$18*SUMPRODUCT(分期持仓明细!$B$18:$Y$18,'实盘净值数据(iFinD）'!$B74:$Y74/'实盘净值数据(iFinD）'!$B$20:$Y$20)*(1-实盘持仓初始配置!$Z$5)^(('实盘净值数据(iFinD）'!$A74-'实盘净值数据(iFinD）'!$A$5)/365))</f>
        <v/>
      </c>
      <c r="F74" s="16" t="str">
        <f t="shared" si="7"/>
        <v/>
      </c>
      <c r="G74" s="16" t="str">
        <f>IF(E74="","",E74/MAX(E$5:E74)-1)</f>
        <v/>
      </c>
      <c r="H74" s="13" t="str">
        <f>IF(OR('实盘净值数据(iFinD）'!$A74="",'实盘净值数据(iFinD）'!$B74=""),"",分期持仓明细!$AB$19*SUMPRODUCT(分期持仓明细!$B$19:$Y$19,'实盘净值数据(iFinD）'!$B74:$Y74/'实盘净值数据(iFinD）'!$B$20:$Y$20)*(1-实盘持仓初始配置!$Z$6)^(('实盘净值数据(iFinD）'!$A74-'实盘净值数据(iFinD）'!$A$7)/365))</f>
        <v/>
      </c>
      <c r="I74" s="16" t="str">
        <f t="shared" si="8"/>
        <v/>
      </c>
      <c r="J74" s="16" t="str">
        <f>IF(H74="","",H74/MAX(H$5:H74)-1)</f>
        <v/>
      </c>
      <c r="K74" s="13" t="str">
        <f>IF(OR('实盘净值数据(iFinD）'!$A74="",'实盘净值数据(iFinD）'!$B74="",'实盘净值数据(iFinD）'!$Z74="",'实盘净值数据(iFinD）'!$AA74=""),"",分期持仓明细!$AB$23*(SUMPRODUCT(分期持仓明细!$B$23:$Y$23,'实盘净值数据(iFinD）'!$B74:$Y74/'实盘净值数据(iFinD）'!$B$65:$Y$65)+SUMPRODUCT(分期持仓明细!$AC$23:$AD$23,'实盘净值数据(iFinD）'!$Z74:$AA74/'实盘净值数据(iFinD）'!$Z$65:$AA$65))*(1-实盘持仓初始配置!$Z$7)^(('实盘净值数据(iFinD）'!$A74-'实盘净值数据(iFinD）'!$A$8)/365))</f>
        <v/>
      </c>
      <c r="L74" s="16" t="str">
        <f t="shared" si="9"/>
        <v/>
      </c>
      <c r="M74" s="16" t="str">
        <f>IF(K74="","",K74/MAX(K$5:K74)-1)</f>
        <v/>
      </c>
      <c r="N74" s="13" t="str">
        <f>IF(OR('实盘净值数据(iFinD）'!$A74="",'实盘净值数据(iFinD）'!$B74="",'实盘净值数据(iFinD）'!$Z74="",'实盘净值数据(iFinD）'!$AA74=""),"",分期持仓明细!$AB$24*(SUMPRODUCT(分期持仓明细!$B$24:$Y$24,'实盘净值数据(iFinD）'!$B74:$Y74/'实盘净值数据(iFinD）'!$B$65:$Y$65)+SUMPRODUCT(分期持仓明细!$AC$24:$AD$24,'实盘净值数据(iFinD）'!$Z74:$AA74/'实盘净值数据(iFinD）'!$Z$65:$AA$65))*(1-实盘持仓初始配置!$Z$8)^(('实盘净值数据(iFinD）'!$A74-'实盘净值数据(iFinD）'!$A$5)/365))</f>
        <v/>
      </c>
      <c r="O74" s="16" t="str">
        <f t="shared" si="10"/>
        <v/>
      </c>
      <c r="P74" s="16" t="str">
        <f>IF(N74="","",N74/MAX(N$5:N74)-1)</f>
        <v/>
      </c>
      <c r="Q74" s="13" t="str">
        <f>IF(OR('实盘净值数据(iFinD）'!$A74="",'实盘净值数据(iFinD）'!$B74="",'实盘净值数据(iFinD）'!$Z74="",'实盘净值数据(iFinD）'!$AA74=""),"",分期持仓明细!$AB$25*(SUMPRODUCT(分期持仓明细!$B$25:$Y$25,'实盘净值数据(iFinD）'!$B74:$Y74/'实盘净值数据(iFinD）'!$B$65:$Y$65)+SUMPRODUCT(分期持仓明细!$AC$25:$AD$25,'实盘净值数据(iFinD）'!$Z74:$AA74/'实盘净值数据(iFinD）'!$Z$65:$AA$65))*(1-实盘持仓初始配置!$Z$9)^(('实盘净值数据(iFinD）'!$A74-'实盘净值数据(iFinD）'!$A$8)/365))</f>
        <v/>
      </c>
      <c r="R74" s="16" t="str">
        <f t="shared" si="11"/>
        <v/>
      </c>
      <c r="S74" s="16" t="str">
        <f>IF(Q74="","",Q74/MAX(Q$5:Q74)-1)</f>
        <v/>
      </c>
      <c r="T74" s="13">
        <f>IF(OR('实盘净值数据(iFinD）'!$A74="",'实盘净值数据(iFinD）'!$B74="",'实盘净值数据(iFinD）'!$Z74="",'实盘净值数据(iFinD）'!$AA74="",'实盘净值数据(iFinD）'!$AB74="",'实盘净值数据(iFinD）'!$AL74=""),"",(SUMPRODUCT(分期持仓明细!$B$26:$Y$26,'实盘净值数据(iFinD）'!$B74:$Y74/'实盘净值数据(iFinD）'!$B$69:$Y$69)+SUMPRODUCT(分期持仓明细!$AC$26:$AD$26,'实盘净值数据(iFinD）'!$Z74:$AA74/'实盘净值数据(iFinD）'!$Z$69:$AA$69)+SUMPRODUCT(分期持仓明细!$AE$26:$AO$26,'实盘净值数据(iFinD）'!$AB74:$AL74/'实盘净值数据(iFinD）'!$AB$69:$AL$69))*(1-实盘持仓初始配置!$Z$10)^(('实盘净值数据(iFinD）'!$A74-'实盘净值数据(iFinD）'!$A$69)/365))</f>
        <v/>
      </c>
      <c r="U74" s="16">
        <f>IF(OR(T73="",T74=""),"",T74/T73-1)</f>
        <v/>
      </c>
      <c r="V74" s="16">
        <f>IF(T74="","",T74/MAX(T$5:T74)-1)</f>
        <v/>
      </c>
    </row>
    <row r="75" spans="1:19">
      <c r="A75" s="15" t="str">
        <f>IF('实盘净值数据(iFinD）'!A75="","",'实盘净值数据(iFinD）'!A75)</f>
        <v/>
      </c>
      <c r="B75" s="13" t="str">
        <f>IF(OR('实盘净值数据(iFinD）'!$A75="",'实盘净值数据(iFinD）'!$B75=""),"",分期持仓明细!$AB$17*SUMPRODUCT(分期持仓明细!$B$17:$Y$17,'实盘净值数据(iFinD）'!$B75:$Y75/'实盘净值数据(iFinD）'!$B$20:$Y$20)*(1-实盘持仓初始配置!$Z$4)^(('实盘净值数据(iFinD）'!$A75-'实盘净值数据(iFinD）'!$A$6)/365))</f>
        <v/>
      </c>
      <c r="C75" s="16" t="str">
        <f t="shared" si="6"/>
        <v/>
      </c>
      <c r="D75" s="16" t="str">
        <f>IF(B75="","",B75/MAX(B$5:B75)-1)</f>
        <v/>
      </c>
      <c r="E75" s="13" t="str">
        <f>IF(OR('实盘净值数据(iFinD）'!$A75="",'实盘净值数据(iFinD）'!$B75=""),"",分期持仓明细!$AB$18*SUMPRODUCT(分期持仓明细!$B$18:$Y$18,'实盘净值数据(iFinD）'!$B75:$Y75/'实盘净值数据(iFinD）'!$B$20:$Y$20)*(1-实盘持仓初始配置!$Z$5)^(('实盘净值数据(iFinD）'!$A75-'实盘净值数据(iFinD）'!$A$5)/365))</f>
        <v/>
      </c>
      <c r="F75" s="16" t="str">
        <f t="shared" si="7"/>
        <v/>
      </c>
      <c r="G75" s="16" t="str">
        <f>IF(E75="","",E75/MAX(E$5:E75)-1)</f>
        <v/>
      </c>
      <c r="H75" s="13" t="str">
        <f>IF(OR('实盘净值数据(iFinD）'!$A75="",'实盘净值数据(iFinD）'!$B75=""),"",分期持仓明细!$AB$19*SUMPRODUCT(分期持仓明细!$B$19:$Y$19,'实盘净值数据(iFinD）'!$B75:$Y75/'实盘净值数据(iFinD）'!$B$20:$Y$20)*(1-实盘持仓初始配置!$Z$6)^(('实盘净值数据(iFinD）'!$A75-'实盘净值数据(iFinD）'!$A$7)/365))</f>
        <v/>
      </c>
      <c r="I75" s="16" t="str">
        <f t="shared" si="8"/>
        <v/>
      </c>
      <c r="J75" s="16" t="str">
        <f>IF(H75="","",H75/MAX(H$5:H75)-1)</f>
        <v/>
      </c>
      <c r="K75" s="13" t="str">
        <f>IF(OR('实盘净值数据(iFinD）'!$A75="",'实盘净值数据(iFinD）'!$B75="",'实盘净值数据(iFinD）'!$Z75="",'实盘净值数据(iFinD）'!$AA75=""),"",分期持仓明细!$AB$23*(SUMPRODUCT(分期持仓明细!$B$23:$Y$23,'实盘净值数据(iFinD）'!$B75:$Y75/'实盘净值数据(iFinD）'!$B$65:$Y$65)+SUMPRODUCT(分期持仓明细!$AC$23:$AD$23,'实盘净值数据(iFinD）'!$Z75:$AA75/'实盘净值数据(iFinD）'!$Z$65:$AA$65))*(1-实盘持仓初始配置!$Z$7)^(('实盘净值数据(iFinD）'!$A75-'实盘净值数据(iFinD）'!$A$8)/365))</f>
        <v/>
      </c>
      <c r="L75" s="16" t="str">
        <f t="shared" si="9"/>
        <v/>
      </c>
      <c r="M75" s="16" t="str">
        <f>IF(K75="","",K75/MAX(K$5:K75)-1)</f>
        <v/>
      </c>
      <c r="N75" s="13" t="str">
        <f>IF(OR('实盘净值数据(iFinD）'!$A75="",'实盘净值数据(iFinD）'!$B75="",'实盘净值数据(iFinD）'!$Z75="",'实盘净值数据(iFinD）'!$AA75=""),"",分期持仓明细!$AB$24*(SUMPRODUCT(分期持仓明细!$B$24:$Y$24,'实盘净值数据(iFinD）'!$B75:$Y75/'实盘净值数据(iFinD）'!$B$65:$Y$65)+SUMPRODUCT(分期持仓明细!$AC$24:$AD$24,'实盘净值数据(iFinD）'!$Z75:$AA75/'实盘净值数据(iFinD）'!$Z$65:$AA$65))*(1-实盘持仓初始配置!$Z$8)^(('实盘净值数据(iFinD）'!$A75-'实盘净值数据(iFinD）'!$A$5)/365))</f>
        <v/>
      </c>
      <c r="O75" s="16" t="str">
        <f t="shared" si="10"/>
        <v/>
      </c>
      <c r="P75" s="16" t="str">
        <f>IF(N75="","",N75/MAX(N$5:N75)-1)</f>
        <v/>
      </c>
      <c r="Q75" s="13" t="str">
        <f>IF(OR('实盘净值数据(iFinD）'!$A75="",'实盘净值数据(iFinD）'!$B75="",'实盘净值数据(iFinD）'!$Z75="",'实盘净值数据(iFinD）'!$AA75=""),"",分期持仓明细!$AB$25*(SUMPRODUCT(分期持仓明细!$B$25:$Y$25,'实盘净值数据(iFinD）'!$B75:$Y75/'实盘净值数据(iFinD）'!$B$65:$Y$65)+SUMPRODUCT(分期持仓明细!$AC$25:$AD$25,'实盘净值数据(iFinD）'!$Z75:$AA75/'实盘净值数据(iFinD）'!$Z$65:$AA$65))*(1-实盘持仓初始配置!$Z$9)^(('实盘净值数据(iFinD）'!$A75-'实盘净值数据(iFinD）'!$A$8)/365))</f>
        <v/>
      </c>
      <c r="R75" s="16" t="str">
        <f t="shared" si="11"/>
        <v/>
      </c>
      <c r="S75" s="16" t="str">
        <f>IF(Q75="","",Q75/MAX(Q$5:Q75)-1)</f>
        <v/>
      </c>
      <c r="T75" s="13">
        <f>IF(OR('实盘净值数据(iFinD）'!$A75="",'实盘净值数据(iFinD）'!$B75="",'实盘净值数据(iFinD）'!$Z75="",'实盘净值数据(iFinD）'!$AA75="",'实盘净值数据(iFinD）'!$AB75="",'实盘净值数据(iFinD）'!$AL75=""),"",(SUMPRODUCT(分期持仓明细!$B$26:$Y$26,'实盘净值数据(iFinD）'!$B75:$Y75/'实盘净值数据(iFinD）'!$B$69:$Y$69)+SUMPRODUCT(分期持仓明细!$AC$26:$AD$26,'实盘净值数据(iFinD）'!$Z75:$AA75/'实盘净值数据(iFinD）'!$Z$69:$AA$69)+SUMPRODUCT(分期持仓明细!$AE$26:$AO$26,'实盘净值数据(iFinD）'!$AB75:$AL75/'实盘净值数据(iFinD）'!$AB$69:$AL$69))*(1-实盘持仓初始配置!$Z$10)^(('实盘净值数据(iFinD）'!$A75-'实盘净值数据(iFinD）'!$A$69)/365))</f>
        <v/>
      </c>
      <c r="U75" s="16">
        <f>IF(OR(T74="",T75=""),"",T75/T74-1)</f>
        <v/>
      </c>
      <c r="V75" s="16">
        <f>IF(T75="","",T75/MAX(T$5:T75)-1)</f>
        <v/>
      </c>
    </row>
    <row r="76" spans="1:19">
      <c r="A76" s="15" t="str">
        <f>IF('实盘净值数据(iFinD）'!A76="","",'实盘净值数据(iFinD）'!A76)</f>
        <v/>
      </c>
      <c r="B76" s="13" t="str">
        <f>IF(OR('实盘净值数据(iFinD）'!$A76="",'实盘净值数据(iFinD）'!$B76=""),"",分期持仓明细!$AB$17*SUMPRODUCT(分期持仓明细!$B$17:$Y$17,'实盘净值数据(iFinD）'!$B76:$Y76/'实盘净值数据(iFinD）'!$B$20:$Y$20)*(1-实盘持仓初始配置!$Z$4)^(('实盘净值数据(iFinD）'!$A76-'实盘净值数据(iFinD）'!$A$6)/365))</f>
        <v/>
      </c>
      <c r="C76" s="16" t="str">
        <f t="shared" si="6"/>
        <v/>
      </c>
      <c r="D76" s="16" t="str">
        <f>IF(B76="","",B76/MAX(B$5:B76)-1)</f>
        <v/>
      </c>
      <c r="E76" s="13" t="str">
        <f>IF(OR('实盘净值数据(iFinD）'!$A76="",'实盘净值数据(iFinD）'!$B76=""),"",分期持仓明细!$AB$18*SUMPRODUCT(分期持仓明细!$B$18:$Y$18,'实盘净值数据(iFinD）'!$B76:$Y76/'实盘净值数据(iFinD）'!$B$20:$Y$20)*(1-实盘持仓初始配置!$Z$5)^(('实盘净值数据(iFinD）'!$A76-'实盘净值数据(iFinD）'!$A$5)/365))</f>
        <v/>
      </c>
      <c r="F76" s="16" t="str">
        <f t="shared" si="7"/>
        <v/>
      </c>
      <c r="G76" s="16" t="str">
        <f>IF(E76="","",E76/MAX(E$5:E76)-1)</f>
        <v/>
      </c>
      <c r="H76" s="13" t="str">
        <f>IF(OR('实盘净值数据(iFinD）'!$A76="",'实盘净值数据(iFinD）'!$B76=""),"",分期持仓明细!$AB$19*SUMPRODUCT(分期持仓明细!$B$19:$Y$19,'实盘净值数据(iFinD）'!$B76:$Y76/'实盘净值数据(iFinD）'!$B$20:$Y$20)*(1-实盘持仓初始配置!$Z$6)^(('实盘净值数据(iFinD）'!$A76-'实盘净值数据(iFinD）'!$A$7)/365))</f>
        <v/>
      </c>
      <c r="I76" s="16" t="str">
        <f t="shared" si="8"/>
        <v/>
      </c>
      <c r="J76" s="16" t="str">
        <f>IF(H76="","",H76/MAX(H$5:H76)-1)</f>
        <v/>
      </c>
      <c r="K76" s="13" t="str">
        <f>IF(OR('实盘净值数据(iFinD）'!$A76="",'实盘净值数据(iFinD）'!$B76="",'实盘净值数据(iFinD）'!$Z76="",'实盘净值数据(iFinD）'!$AA76=""),"",分期持仓明细!$AB$23*(SUMPRODUCT(分期持仓明细!$B$23:$Y$23,'实盘净值数据(iFinD）'!$B76:$Y76/'实盘净值数据(iFinD）'!$B$65:$Y$65)+SUMPRODUCT(分期持仓明细!$AC$23:$AD$23,'实盘净值数据(iFinD）'!$Z76:$AA76/'实盘净值数据(iFinD）'!$Z$65:$AA$65))*(1-实盘持仓初始配置!$Z$7)^(('实盘净值数据(iFinD）'!$A76-'实盘净值数据(iFinD）'!$A$8)/365))</f>
        <v/>
      </c>
      <c r="L76" s="16" t="str">
        <f t="shared" si="9"/>
        <v/>
      </c>
      <c r="M76" s="16" t="str">
        <f>IF(K76="","",K76/MAX(K$5:K76)-1)</f>
        <v/>
      </c>
      <c r="N76" s="13" t="str">
        <f>IF(OR('实盘净值数据(iFinD）'!$A76="",'实盘净值数据(iFinD）'!$B76="",'实盘净值数据(iFinD）'!$Z76="",'实盘净值数据(iFinD）'!$AA76=""),"",分期持仓明细!$AB$24*(SUMPRODUCT(分期持仓明细!$B$24:$Y$24,'实盘净值数据(iFinD）'!$B76:$Y76/'实盘净值数据(iFinD）'!$B$65:$Y$65)+SUMPRODUCT(分期持仓明细!$AC$24:$AD$24,'实盘净值数据(iFinD）'!$Z76:$AA76/'实盘净值数据(iFinD）'!$Z$65:$AA$65))*(1-实盘持仓初始配置!$Z$8)^(('实盘净值数据(iFinD）'!$A76-'实盘净值数据(iFinD）'!$A$5)/365))</f>
        <v/>
      </c>
      <c r="O76" s="16" t="str">
        <f t="shared" si="10"/>
        <v/>
      </c>
      <c r="P76" s="16" t="str">
        <f>IF(N76="","",N76/MAX(N$5:N76)-1)</f>
        <v/>
      </c>
      <c r="Q76" s="13" t="str">
        <f>IF(OR('实盘净值数据(iFinD）'!$A76="",'实盘净值数据(iFinD）'!$B76="",'实盘净值数据(iFinD）'!$Z76="",'实盘净值数据(iFinD）'!$AA76=""),"",分期持仓明细!$AB$25*(SUMPRODUCT(分期持仓明细!$B$25:$Y$25,'实盘净值数据(iFinD）'!$B76:$Y76/'实盘净值数据(iFinD）'!$B$65:$Y$65)+SUMPRODUCT(分期持仓明细!$AC$25:$AD$25,'实盘净值数据(iFinD）'!$Z76:$AA76/'实盘净值数据(iFinD）'!$Z$65:$AA$65))*(1-实盘持仓初始配置!$Z$9)^(('实盘净值数据(iFinD）'!$A76-'实盘净值数据(iFinD）'!$A$8)/365))</f>
        <v/>
      </c>
      <c r="R76" s="16" t="str">
        <f t="shared" si="11"/>
        <v/>
      </c>
      <c r="S76" s="16" t="str">
        <f>IF(Q76="","",Q76/MAX(Q$5:Q76)-1)</f>
        <v/>
      </c>
      <c r="T76" s="13">
        <f>IF(OR('实盘净值数据(iFinD）'!$A76="",'实盘净值数据(iFinD）'!$B76="",'实盘净值数据(iFinD）'!$Z76="",'实盘净值数据(iFinD）'!$AA76="",'实盘净值数据(iFinD）'!$AB76="",'实盘净值数据(iFinD）'!$AL76=""),"",(SUMPRODUCT(分期持仓明细!$B$26:$Y$26,'实盘净值数据(iFinD）'!$B76:$Y76/'实盘净值数据(iFinD）'!$B$69:$Y$69)+SUMPRODUCT(分期持仓明细!$AC$26:$AD$26,'实盘净值数据(iFinD）'!$Z76:$AA76/'实盘净值数据(iFinD）'!$Z$69:$AA$69)+SUMPRODUCT(分期持仓明细!$AE$26:$AO$26,'实盘净值数据(iFinD）'!$AB76:$AL76/'实盘净值数据(iFinD）'!$AB$69:$AL$69))*(1-实盘持仓初始配置!$Z$10)^(('实盘净值数据(iFinD）'!$A76-'实盘净值数据(iFinD）'!$A$69)/365))</f>
        <v/>
      </c>
      <c r="U76" s="16">
        <f>IF(OR(T75="",T76=""),"",T76/T75-1)</f>
        <v/>
      </c>
      <c r="V76" s="16">
        <f>IF(T76="","",T76/MAX(T$5:T76)-1)</f>
        <v/>
      </c>
    </row>
    <row r="77" spans="1:19">
      <c r="A77" s="15" t="str">
        <f>IF('实盘净值数据(iFinD）'!A77="","",'实盘净值数据(iFinD）'!A77)</f>
        <v/>
      </c>
      <c r="B77" s="13" t="str">
        <f>IF(OR('实盘净值数据(iFinD）'!$A77="",'实盘净值数据(iFinD）'!$B77=""),"",分期持仓明细!$AB$17*SUMPRODUCT(分期持仓明细!$B$17:$Y$17,'实盘净值数据(iFinD）'!$B77:$Y77/'实盘净值数据(iFinD）'!$B$20:$Y$20)*(1-实盘持仓初始配置!$Z$4)^(('实盘净值数据(iFinD）'!$A77-'实盘净值数据(iFinD）'!$A$6)/365))</f>
        <v/>
      </c>
      <c r="C77" s="16" t="str">
        <f t="shared" si="6"/>
        <v/>
      </c>
      <c r="D77" s="16" t="str">
        <f>IF(B77="","",B77/MAX(B$5:B77)-1)</f>
        <v/>
      </c>
      <c r="E77" s="13" t="str">
        <f>IF(OR('实盘净值数据(iFinD）'!$A77="",'实盘净值数据(iFinD）'!$B77=""),"",分期持仓明细!$AB$18*SUMPRODUCT(分期持仓明细!$B$18:$Y$18,'实盘净值数据(iFinD）'!$B77:$Y77/'实盘净值数据(iFinD）'!$B$20:$Y$20)*(1-实盘持仓初始配置!$Z$5)^(('实盘净值数据(iFinD）'!$A77-'实盘净值数据(iFinD）'!$A$5)/365))</f>
        <v/>
      </c>
      <c r="F77" s="16" t="str">
        <f t="shared" si="7"/>
        <v/>
      </c>
      <c r="G77" s="16" t="str">
        <f>IF(E77="","",E77/MAX(E$5:E77)-1)</f>
        <v/>
      </c>
      <c r="H77" s="13" t="str">
        <f>IF(OR('实盘净值数据(iFinD）'!$A77="",'实盘净值数据(iFinD）'!$B77=""),"",分期持仓明细!$AB$19*SUMPRODUCT(分期持仓明细!$B$19:$Y$19,'实盘净值数据(iFinD）'!$B77:$Y77/'实盘净值数据(iFinD）'!$B$20:$Y$20)*(1-实盘持仓初始配置!$Z$6)^(('实盘净值数据(iFinD）'!$A77-'实盘净值数据(iFinD）'!$A$7)/365))</f>
        <v/>
      </c>
      <c r="I77" s="16" t="str">
        <f t="shared" si="8"/>
        <v/>
      </c>
      <c r="J77" s="16" t="str">
        <f>IF(H77="","",H77/MAX(H$5:H77)-1)</f>
        <v/>
      </c>
      <c r="K77" s="13" t="str">
        <f>IF(OR('实盘净值数据(iFinD）'!$A77="",'实盘净值数据(iFinD）'!$B77="",'实盘净值数据(iFinD）'!$Z77="",'实盘净值数据(iFinD）'!$AA77=""),"",分期持仓明细!$AB$23*(SUMPRODUCT(分期持仓明细!$B$23:$Y$23,'实盘净值数据(iFinD）'!$B77:$Y77/'实盘净值数据(iFinD）'!$B$65:$Y$65)+SUMPRODUCT(分期持仓明细!$AC$23:$AD$23,'实盘净值数据(iFinD）'!$Z77:$AA77/'实盘净值数据(iFinD）'!$Z$65:$AA$65))*(1-实盘持仓初始配置!$Z$7)^(('实盘净值数据(iFinD）'!$A77-'实盘净值数据(iFinD）'!$A$8)/365))</f>
        <v/>
      </c>
      <c r="L77" s="16" t="str">
        <f t="shared" si="9"/>
        <v/>
      </c>
      <c r="M77" s="16" t="str">
        <f>IF(K77="","",K77/MAX(K$5:K77)-1)</f>
        <v/>
      </c>
      <c r="N77" s="13" t="str">
        <f>IF(OR('实盘净值数据(iFinD）'!$A77="",'实盘净值数据(iFinD）'!$B77="",'实盘净值数据(iFinD）'!$Z77="",'实盘净值数据(iFinD）'!$AA77=""),"",分期持仓明细!$AB$24*(SUMPRODUCT(分期持仓明细!$B$24:$Y$24,'实盘净值数据(iFinD）'!$B77:$Y77/'实盘净值数据(iFinD）'!$B$65:$Y$65)+SUMPRODUCT(分期持仓明细!$AC$24:$AD$24,'实盘净值数据(iFinD）'!$Z77:$AA77/'实盘净值数据(iFinD）'!$Z$65:$AA$65))*(1-实盘持仓初始配置!$Z$8)^(('实盘净值数据(iFinD）'!$A77-'实盘净值数据(iFinD）'!$A$5)/365))</f>
        <v/>
      </c>
      <c r="O77" s="16" t="str">
        <f t="shared" si="10"/>
        <v/>
      </c>
      <c r="P77" s="16" t="str">
        <f>IF(N77="","",N77/MAX(N$5:N77)-1)</f>
        <v/>
      </c>
      <c r="Q77" s="13" t="str">
        <f>IF(OR('实盘净值数据(iFinD）'!$A77="",'实盘净值数据(iFinD）'!$B77="",'实盘净值数据(iFinD）'!$Z77="",'实盘净值数据(iFinD）'!$AA77=""),"",分期持仓明细!$AB$25*(SUMPRODUCT(分期持仓明细!$B$25:$Y$25,'实盘净值数据(iFinD）'!$B77:$Y77/'实盘净值数据(iFinD）'!$B$65:$Y$65)+SUMPRODUCT(分期持仓明细!$AC$25:$AD$25,'实盘净值数据(iFinD）'!$Z77:$AA77/'实盘净值数据(iFinD）'!$Z$65:$AA$65))*(1-实盘持仓初始配置!$Z$9)^(('实盘净值数据(iFinD）'!$A77-'实盘净值数据(iFinD）'!$A$8)/365))</f>
        <v/>
      </c>
      <c r="R77" s="16" t="str">
        <f t="shared" si="11"/>
        <v/>
      </c>
      <c r="S77" s="16" t="str">
        <f>IF(Q77="","",Q77/MAX(Q$5:Q77)-1)</f>
        <v/>
      </c>
      <c r="T77" s="13">
        <f>IF(OR('实盘净值数据(iFinD）'!$A77="",'实盘净值数据(iFinD）'!$B77="",'实盘净值数据(iFinD）'!$Z77="",'实盘净值数据(iFinD）'!$AA77="",'实盘净值数据(iFinD）'!$AB77="",'实盘净值数据(iFinD）'!$AL77=""),"",(SUMPRODUCT(分期持仓明细!$B$26:$Y$26,'实盘净值数据(iFinD）'!$B77:$Y77/'实盘净值数据(iFinD）'!$B$69:$Y$69)+SUMPRODUCT(分期持仓明细!$AC$26:$AD$26,'实盘净值数据(iFinD）'!$Z77:$AA77/'实盘净值数据(iFinD）'!$Z$69:$AA$69)+SUMPRODUCT(分期持仓明细!$AE$26:$AO$26,'实盘净值数据(iFinD）'!$AB77:$AL77/'实盘净值数据(iFinD）'!$AB$69:$AL$69))*(1-实盘持仓初始配置!$Z$10)^(('实盘净值数据(iFinD）'!$A77-'实盘净值数据(iFinD）'!$A$69)/365))</f>
        <v/>
      </c>
      <c r="U77" s="16">
        <f>IF(OR(T76="",T77=""),"",T77/T76-1)</f>
        <v/>
      </c>
      <c r="V77" s="16">
        <f>IF(T77="","",T77/MAX(T$5:T77)-1)</f>
        <v/>
      </c>
    </row>
    <row r="78" spans="1:19">
      <c r="A78" s="15" t="str">
        <f>IF('实盘净值数据(iFinD）'!A78="","",'实盘净值数据(iFinD）'!A78)</f>
        <v/>
      </c>
      <c r="B78" s="13" t="str">
        <f>IF(OR('实盘净值数据(iFinD）'!$A78="",'实盘净值数据(iFinD）'!$B78=""),"",分期持仓明细!$AB$17*SUMPRODUCT(分期持仓明细!$B$17:$Y$17,'实盘净值数据(iFinD）'!$B78:$Y78/'实盘净值数据(iFinD）'!$B$20:$Y$20)*(1-实盘持仓初始配置!$Z$4)^(('实盘净值数据(iFinD）'!$A78-'实盘净值数据(iFinD）'!$A$6)/365))</f>
        <v/>
      </c>
      <c r="C78" s="16" t="str">
        <f t="shared" si="6"/>
        <v/>
      </c>
      <c r="D78" s="16" t="str">
        <f>IF(B78="","",B78/MAX(B$5:B78)-1)</f>
        <v/>
      </c>
      <c r="E78" s="13" t="str">
        <f>IF(OR('实盘净值数据(iFinD）'!$A78="",'实盘净值数据(iFinD）'!$B78=""),"",分期持仓明细!$AB$18*SUMPRODUCT(分期持仓明细!$B$18:$Y$18,'实盘净值数据(iFinD）'!$B78:$Y78/'实盘净值数据(iFinD）'!$B$20:$Y$20)*(1-实盘持仓初始配置!$Z$5)^(('实盘净值数据(iFinD）'!$A78-'实盘净值数据(iFinD）'!$A$5)/365))</f>
        <v/>
      </c>
      <c r="F78" s="16" t="str">
        <f t="shared" si="7"/>
        <v/>
      </c>
      <c r="G78" s="16" t="str">
        <f>IF(E78="","",E78/MAX(E$5:E78)-1)</f>
        <v/>
      </c>
      <c r="H78" s="13" t="str">
        <f>IF(OR('实盘净值数据(iFinD）'!$A78="",'实盘净值数据(iFinD）'!$B78=""),"",分期持仓明细!$AB$19*SUMPRODUCT(分期持仓明细!$B$19:$Y$19,'实盘净值数据(iFinD）'!$B78:$Y78/'实盘净值数据(iFinD）'!$B$20:$Y$20)*(1-实盘持仓初始配置!$Z$6)^(('实盘净值数据(iFinD）'!$A78-'实盘净值数据(iFinD）'!$A$7)/365))</f>
        <v/>
      </c>
      <c r="I78" s="16" t="str">
        <f t="shared" si="8"/>
        <v/>
      </c>
      <c r="J78" s="16" t="str">
        <f>IF(H78="","",H78/MAX(H$5:H78)-1)</f>
        <v/>
      </c>
      <c r="K78" s="13" t="str">
        <f>IF(OR('实盘净值数据(iFinD）'!$A78="",'实盘净值数据(iFinD）'!$B78="",'实盘净值数据(iFinD）'!$Z78="",'实盘净值数据(iFinD）'!$AA78=""),"",分期持仓明细!$AB$23*(SUMPRODUCT(分期持仓明细!$B$23:$Y$23,'实盘净值数据(iFinD）'!$B78:$Y78/'实盘净值数据(iFinD）'!$B$65:$Y$65)+SUMPRODUCT(分期持仓明细!$AC$23:$AD$23,'实盘净值数据(iFinD）'!$Z78:$AA78/'实盘净值数据(iFinD）'!$Z$65:$AA$65))*(1-实盘持仓初始配置!$Z$7)^(('实盘净值数据(iFinD）'!$A78-'实盘净值数据(iFinD）'!$A$8)/365))</f>
        <v/>
      </c>
      <c r="L78" s="16" t="str">
        <f t="shared" si="9"/>
        <v/>
      </c>
      <c r="M78" s="16" t="str">
        <f>IF(K78="","",K78/MAX(K$5:K78)-1)</f>
        <v/>
      </c>
      <c r="N78" s="13" t="str">
        <f>IF(OR('实盘净值数据(iFinD）'!$A78="",'实盘净值数据(iFinD）'!$B78="",'实盘净值数据(iFinD）'!$Z78="",'实盘净值数据(iFinD）'!$AA78=""),"",分期持仓明细!$AB$24*(SUMPRODUCT(分期持仓明细!$B$24:$Y$24,'实盘净值数据(iFinD）'!$B78:$Y78/'实盘净值数据(iFinD）'!$B$65:$Y$65)+SUMPRODUCT(分期持仓明细!$AC$24:$AD$24,'实盘净值数据(iFinD）'!$Z78:$AA78/'实盘净值数据(iFinD）'!$Z$65:$AA$65))*(1-实盘持仓初始配置!$Z$8)^(('实盘净值数据(iFinD）'!$A78-'实盘净值数据(iFinD）'!$A$5)/365))</f>
        <v/>
      </c>
      <c r="O78" s="16" t="str">
        <f t="shared" si="10"/>
        <v/>
      </c>
      <c r="P78" s="16" t="str">
        <f>IF(N78="","",N78/MAX(N$5:N78)-1)</f>
        <v/>
      </c>
      <c r="Q78" s="13" t="str">
        <f>IF(OR('实盘净值数据(iFinD）'!$A78="",'实盘净值数据(iFinD）'!$B78="",'实盘净值数据(iFinD）'!$Z78="",'实盘净值数据(iFinD）'!$AA78=""),"",分期持仓明细!$AB$25*(SUMPRODUCT(分期持仓明细!$B$25:$Y$25,'实盘净值数据(iFinD）'!$B78:$Y78/'实盘净值数据(iFinD）'!$B$65:$Y$65)+SUMPRODUCT(分期持仓明细!$AC$25:$AD$25,'实盘净值数据(iFinD）'!$Z78:$AA78/'实盘净值数据(iFinD）'!$Z$65:$AA$65))*(1-实盘持仓初始配置!$Z$9)^(('实盘净值数据(iFinD）'!$A78-'实盘净值数据(iFinD）'!$A$8)/365))</f>
        <v/>
      </c>
      <c r="R78" s="16" t="str">
        <f t="shared" si="11"/>
        <v/>
      </c>
      <c r="S78" s="16" t="str">
        <f>IF(Q78="","",Q78/MAX(Q$5:Q78)-1)</f>
        <v/>
      </c>
      <c r="T78" s="13">
        <f>IF(OR('实盘净值数据(iFinD）'!$A78="",'实盘净值数据(iFinD）'!$B78="",'实盘净值数据(iFinD）'!$Z78="",'实盘净值数据(iFinD）'!$AA78="",'实盘净值数据(iFinD）'!$AB78="",'实盘净值数据(iFinD）'!$AL78=""),"",(SUMPRODUCT(分期持仓明细!$B$26:$Y$26,'实盘净值数据(iFinD）'!$B78:$Y78/'实盘净值数据(iFinD）'!$B$69:$Y$69)+SUMPRODUCT(分期持仓明细!$AC$26:$AD$26,'实盘净值数据(iFinD）'!$Z78:$AA78/'实盘净值数据(iFinD）'!$Z$69:$AA$69)+SUMPRODUCT(分期持仓明细!$AE$26:$AO$26,'实盘净值数据(iFinD）'!$AB78:$AL78/'实盘净值数据(iFinD）'!$AB$69:$AL$69))*(1-实盘持仓初始配置!$Z$10)^(('实盘净值数据(iFinD）'!$A78-'实盘净值数据(iFinD）'!$A$69)/365))</f>
        <v/>
      </c>
      <c r="U78" s="16">
        <f>IF(OR(T77="",T78=""),"",T78/T77-1)</f>
        <v/>
      </c>
      <c r="V78" s="16">
        <f>IF(T78="","",T78/MAX(T$5:T78)-1)</f>
        <v/>
      </c>
    </row>
    <row r="79" spans="1:19">
      <c r="A79" s="15" t="str">
        <f>IF('实盘净值数据(iFinD）'!A79="","",'实盘净值数据(iFinD）'!A79)</f>
        <v/>
      </c>
      <c r="B79" s="13" t="str">
        <f>IF(OR('实盘净值数据(iFinD）'!$A79="",'实盘净值数据(iFinD）'!$B79=""),"",分期持仓明细!$AB$17*SUMPRODUCT(分期持仓明细!$B$17:$Y$17,'实盘净值数据(iFinD）'!$B79:$Y79/'实盘净值数据(iFinD）'!$B$20:$Y$20)*(1-实盘持仓初始配置!$Z$4)^(('实盘净值数据(iFinD）'!$A79-'实盘净值数据(iFinD）'!$A$6)/365))</f>
        <v/>
      </c>
      <c r="C79" s="16" t="str">
        <f t="shared" si="6"/>
        <v/>
      </c>
      <c r="D79" s="16" t="str">
        <f>IF(B79="","",B79/MAX(B$5:B79)-1)</f>
        <v/>
      </c>
      <c r="E79" s="13" t="str">
        <f>IF(OR('实盘净值数据(iFinD）'!$A79="",'实盘净值数据(iFinD）'!$B79=""),"",分期持仓明细!$AB$18*SUMPRODUCT(分期持仓明细!$B$18:$Y$18,'实盘净值数据(iFinD）'!$B79:$Y79/'实盘净值数据(iFinD）'!$B$20:$Y$20)*(1-实盘持仓初始配置!$Z$5)^(('实盘净值数据(iFinD）'!$A79-'实盘净值数据(iFinD）'!$A$5)/365))</f>
        <v/>
      </c>
      <c r="F79" s="16" t="str">
        <f t="shared" si="7"/>
        <v/>
      </c>
      <c r="G79" s="16" t="str">
        <f>IF(E79="","",E79/MAX(E$5:E79)-1)</f>
        <v/>
      </c>
      <c r="H79" s="13" t="str">
        <f>IF(OR('实盘净值数据(iFinD）'!$A79="",'实盘净值数据(iFinD）'!$B79=""),"",分期持仓明细!$AB$19*SUMPRODUCT(分期持仓明细!$B$19:$Y$19,'实盘净值数据(iFinD）'!$B79:$Y79/'实盘净值数据(iFinD）'!$B$20:$Y$20)*(1-实盘持仓初始配置!$Z$6)^(('实盘净值数据(iFinD）'!$A79-'实盘净值数据(iFinD）'!$A$7)/365))</f>
        <v/>
      </c>
      <c r="I79" s="16" t="str">
        <f t="shared" si="8"/>
        <v/>
      </c>
      <c r="J79" s="16" t="str">
        <f>IF(H79="","",H79/MAX(H$5:H79)-1)</f>
        <v/>
      </c>
      <c r="K79" s="13" t="str">
        <f>IF(OR('实盘净值数据(iFinD）'!$A79="",'实盘净值数据(iFinD）'!$B79="",'实盘净值数据(iFinD）'!$Z79="",'实盘净值数据(iFinD）'!$AA79=""),"",分期持仓明细!$AB$23*(SUMPRODUCT(分期持仓明细!$B$23:$Y$23,'实盘净值数据(iFinD）'!$B79:$Y79/'实盘净值数据(iFinD）'!$B$65:$Y$65)+SUMPRODUCT(分期持仓明细!$AC$23:$AD$23,'实盘净值数据(iFinD）'!$Z79:$AA79/'实盘净值数据(iFinD）'!$Z$65:$AA$65))*(1-实盘持仓初始配置!$Z$7)^(('实盘净值数据(iFinD）'!$A79-'实盘净值数据(iFinD）'!$A$8)/365))</f>
        <v/>
      </c>
      <c r="L79" s="16" t="str">
        <f t="shared" si="9"/>
        <v/>
      </c>
      <c r="M79" s="16" t="str">
        <f>IF(K79="","",K79/MAX(K$5:K79)-1)</f>
        <v/>
      </c>
      <c r="N79" s="13" t="str">
        <f>IF(OR('实盘净值数据(iFinD）'!$A79="",'实盘净值数据(iFinD）'!$B79="",'实盘净值数据(iFinD）'!$Z79="",'实盘净值数据(iFinD）'!$AA79=""),"",分期持仓明细!$AB$24*(SUMPRODUCT(分期持仓明细!$B$24:$Y$24,'实盘净值数据(iFinD）'!$B79:$Y79/'实盘净值数据(iFinD）'!$B$65:$Y$65)+SUMPRODUCT(分期持仓明细!$AC$24:$AD$24,'实盘净值数据(iFinD）'!$Z79:$AA79/'实盘净值数据(iFinD）'!$Z$65:$AA$65))*(1-实盘持仓初始配置!$Z$8)^(('实盘净值数据(iFinD）'!$A79-'实盘净值数据(iFinD）'!$A$5)/365))</f>
        <v/>
      </c>
      <c r="O79" s="16" t="str">
        <f t="shared" si="10"/>
        <v/>
      </c>
      <c r="P79" s="16" t="str">
        <f>IF(N79="","",N79/MAX(N$5:N79)-1)</f>
        <v/>
      </c>
      <c r="Q79" s="13" t="str">
        <f>IF(OR('实盘净值数据(iFinD）'!$A79="",'实盘净值数据(iFinD）'!$B79="",'实盘净值数据(iFinD）'!$Z79="",'实盘净值数据(iFinD）'!$AA79=""),"",分期持仓明细!$AB$25*(SUMPRODUCT(分期持仓明细!$B$25:$Y$25,'实盘净值数据(iFinD）'!$B79:$Y79/'实盘净值数据(iFinD）'!$B$65:$Y$65)+SUMPRODUCT(分期持仓明细!$AC$25:$AD$25,'实盘净值数据(iFinD）'!$Z79:$AA79/'实盘净值数据(iFinD）'!$Z$65:$AA$65))*(1-实盘持仓初始配置!$Z$9)^(('实盘净值数据(iFinD）'!$A79-'实盘净值数据(iFinD）'!$A$8)/365))</f>
        <v/>
      </c>
      <c r="R79" s="16" t="str">
        <f t="shared" si="11"/>
        <v/>
      </c>
      <c r="S79" s="16" t="str">
        <f>IF(Q79="","",Q79/MAX(Q$5:Q79)-1)</f>
        <v/>
      </c>
      <c r="T79" s="13">
        <f>IF(OR('实盘净值数据(iFinD）'!$A79="",'实盘净值数据(iFinD）'!$B79="",'实盘净值数据(iFinD）'!$Z79="",'实盘净值数据(iFinD）'!$AA79="",'实盘净值数据(iFinD）'!$AB79="",'实盘净值数据(iFinD）'!$AL79=""),"",(SUMPRODUCT(分期持仓明细!$B$26:$Y$26,'实盘净值数据(iFinD）'!$B79:$Y79/'实盘净值数据(iFinD）'!$B$69:$Y$69)+SUMPRODUCT(分期持仓明细!$AC$26:$AD$26,'实盘净值数据(iFinD）'!$Z79:$AA79/'实盘净值数据(iFinD）'!$Z$69:$AA$69)+SUMPRODUCT(分期持仓明细!$AE$26:$AO$26,'实盘净值数据(iFinD）'!$AB79:$AL79/'实盘净值数据(iFinD）'!$AB$69:$AL$69))*(1-实盘持仓初始配置!$Z$10)^(('实盘净值数据(iFinD）'!$A79-'实盘净值数据(iFinD）'!$A$69)/365))</f>
        <v/>
      </c>
      <c r="U79" s="16">
        <f>IF(OR(T78="",T79=""),"",T79/T78-1)</f>
        <v/>
      </c>
      <c r="V79" s="16">
        <f>IF(T79="","",T79/MAX(T$5:T79)-1)</f>
        <v/>
      </c>
    </row>
    <row r="80" spans="1:19">
      <c r="A80" s="15" t="str">
        <f>IF('实盘净值数据(iFinD）'!A80="","",'实盘净值数据(iFinD）'!A80)</f>
        <v/>
      </c>
      <c r="B80" s="13" t="str">
        <f>IF(OR('实盘净值数据(iFinD）'!$A80="",'实盘净值数据(iFinD）'!$B80=""),"",分期持仓明细!$AB$17*SUMPRODUCT(分期持仓明细!$B$17:$Y$17,'实盘净值数据(iFinD）'!$B80:$Y80/'实盘净值数据(iFinD）'!$B$20:$Y$20)*(1-实盘持仓初始配置!$Z$4)^(('实盘净值数据(iFinD）'!$A80-'实盘净值数据(iFinD）'!$A$6)/365))</f>
        <v/>
      </c>
      <c r="C80" s="16" t="str">
        <f t="shared" si="6"/>
        <v/>
      </c>
      <c r="D80" s="16" t="str">
        <f>IF(B80="","",B80/MAX(B$5:B80)-1)</f>
        <v/>
      </c>
      <c r="E80" s="13" t="str">
        <f>IF(OR('实盘净值数据(iFinD）'!$A80="",'实盘净值数据(iFinD）'!$B80=""),"",分期持仓明细!$AB$18*SUMPRODUCT(分期持仓明细!$B$18:$Y$18,'实盘净值数据(iFinD）'!$B80:$Y80/'实盘净值数据(iFinD）'!$B$20:$Y$20)*(1-实盘持仓初始配置!$Z$5)^(('实盘净值数据(iFinD）'!$A80-'实盘净值数据(iFinD）'!$A$5)/365))</f>
        <v/>
      </c>
      <c r="F80" s="16" t="str">
        <f t="shared" si="7"/>
        <v/>
      </c>
      <c r="G80" s="16" t="str">
        <f>IF(E80="","",E80/MAX(E$5:E80)-1)</f>
        <v/>
      </c>
      <c r="H80" s="13" t="str">
        <f>IF(OR('实盘净值数据(iFinD）'!$A80="",'实盘净值数据(iFinD）'!$B80=""),"",分期持仓明细!$AB$19*SUMPRODUCT(分期持仓明细!$B$19:$Y$19,'实盘净值数据(iFinD）'!$B80:$Y80/'实盘净值数据(iFinD）'!$B$20:$Y$20)*(1-实盘持仓初始配置!$Z$6)^(('实盘净值数据(iFinD）'!$A80-'实盘净值数据(iFinD）'!$A$7)/365))</f>
        <v/>
      </c>
      <c r="I80" s="16" t="str">
        <f t="shared" si="8"/>
        <v/>
      </c>
      <c r="J80" s="16" t="str">
        <f>IF(H80="","",H80/MAX(H$5:H80)-1)</f>
        <v/>
      </c>
      <c r="K80" s="13" t="str">
        <f>IF(OR('实盘净值数据(iFinD）'!$A80="",'实盘净值数据(iFinD）'!$B80="",'实盘净值数据(iFinD）'!$Z80="",'实盘净值数据(iFinD）'!$AA80=""),"",分期持仓明细!$AB$23*(SUMPRODUCT(分期持仓明细!$B$23:$Y$23,'实盘净值数据(iFinD）'!$B80:$Y80/'实盘净值数据(iFinD）'!$B$65:$Y$65)+SUMPRODUCT(分期持仓明细!$AC$23:$AD$23,'实盘净值数据(iFinD）'!$Z80:$AA80/'实盘净值数据(iFinD）'!$Z$65:$AA$65))*(1-实盘持仓初始配置!$Z$7)^(('实盘净值数据(iFinD）'!$A80-'实盘净值数据(iFinD）'!$A$8)/365))</f>
        <v/>
      </c>
      <c r="L80" s="16" t="str">
        <f t="shared" si="9"/>
        <v/>
      </c>
      <c r="M80" s="16" t="str">
        <f>IF(K80="","",K80/MAX(K$5:K80)-1)</f>
        <v/>
      </c>
      <c r="N80" s="13" t="str">
        <f>IF(OR('实盘净值数据(iFinD）'!$A80="",'实盘净值数据(iFinD）'!$B80="",'实盘净值数据(iFinD）'!$Z80="",'实盘净值数据(iFinD）'!$AA80=""),"",分期持仓明细!$AB$24*(SUMPRODUCT(分期持仓明细!$B$24:$Y$24,'实盘净值数据(iFinD）'!$B80:$Y80/'实盘净值数据(iFinD）'!$B$65:$Y$65)+SUMPRODUCT(分期持仓明细!$AC$24:$AD$24,'实盘净值数据(iFinD）'!$Z80:$AA80/'实盘净值数据(iFinD）'!$Z$65:$AA$65))*(1-实盘持仓初始配置!$Z$8)^(('实盘净值数据(iFinD）'!$A80-'实盘净值数据(iFinD）'!$A$5)/365))</f>
        <v/>
      </c>
      <c r="O80" s="16" t="str">
        <f t="shared" si="10"/>
        <v/>
      </c>
      <c r="P80" s="16" t="str">
        <f>IF(N80="","",N80/MAX(N$5:N80)-1)</f>
        <v/>
      </c>
      <c r="Q80" s="13" t="str">
        <f>IF(OR('实盘净值数据(iFinD）'!$A80="",'实盘净值数据(iFinD）'!$B80="",'实盘净值数据(iFinD）'!$Z80="",'实盘净值数据(iFinD）'!$AA80=""),"",分期持仓明细!$AB$25*(SUMPRODUCT(分期持仓明细!$B$25:$Y$25,'实盘净值数据(iFinD）'!$B80:$Y80/'实盘净值数据(iFinD）'!$B$65:$Y$65)+SUMPRODUCT(分期持仓明细!$AC$25:$AD$25,'实盘净值数据(iFinD）'!$Z80:$AA80/'实盘净值数据(iFinD）'!$Z$65:$AA$65))*(1-实盘持仓初始配置!$Z$9)^(('实盘净值数据(iFinD）'!$A80-'实盘净值数据(iFinD）'!$A$8)/365))</f>
        <v/>
      </c>
      <c r="R80" s="16" t="str">
        <f t="shared" si="11"/>
        <v/>
      </c>
      <c r="S80" s="16" t="str">
        <f>IF(Q80="","",Q80/MAX(Q$5:Q80)-1)</f>
        <v/>
      </c>
      <c r="T80" s="13">
        <f>IF(OR('实盘净值数据(iFinD）'!$A80="",'实盘净值数据(iFinD）'!$B80="",'实盘净值数据(iFinD）'!$Z80="",'实盘净值数据(iFinD）'!$AA80="",'实盘净值数据(iFinD）'!$AB80="",'实盘净值数据(iFinD）'!$AL80=""),"",(SUMPRODUCT(分期持仓明细!$B$26:$Y$26,'实盘净值数据(iFinD）'!$B80:$Y80/'实盘净值数据(iFinD）'!$B$69:$Y$69)+SUMPRODUCT(分期持仓明细!$AC$26:$AD$26,'实盘净值数据(iFinD）'!$Z80:$AA80/'实盘净值数据(iFinD）'!$Z$69:$AA$69)+SUMPRODUCT(分期持仓明细!$AE$26:$AO$26,'实盘净值数据(iFinD）'!$AB80:$AL80/'实盘净值数据(iFinD）'!$AB$69:$AL$69))*(1-实盘持仓初始配置!$Z$10)^(('实盘净值数据(iFinD）'!$A80-'实盘净值数据(iFinD）'!$A$69)/365))</f>
        <v/>
      </c>
      <c r="U80" s="16">
        <f>IF(OR(T79="",T80=""),"",T80/T79-1)</f>
        <v/>
      </c>
      <c r="V80" s="16">
        <f>IF(T80="","",T80/MAX(T$5:T80)-1)</f>
        <v/>
      </c>
    </row>
    <row r="81" spans="1:19">
      <c r="A81" s="15" t="str">
        <f>IF('实盘净值数据(iFinD）'!A81="","",'实盘净值数据(iFinD）'!A81)</f>
        <v/>
      </c>
      <c r="B81" s="13" t="str">
        <f>IF(OR('实盘净值数据(iFinD）'!$A81="",'实盘净值数据(iFinD）'!$B81=""),"",分期持仓明细!$AB$17*SUMPRODUCT(分期持仓明细!$B$17:$Y$17,'实盘净值数据(iFinD）'!$B81:$Y81/'实盘净值数据(iFinD）'!$B$20:$Y$20)*(1-实盘持仓初始配置!$Z$4)^(('实盘净值数据(iFinD）'!$A81-'实盘净值数据(iFinD）'!$A$6)/365))</f>
        <v/>
      </c>
      <c r="C81" s="16" t="str">
        <f t="shared" si="6"/>
        <v/>
      </c>
      <c r="D81" s="16" t="str">
        <f>IF(B81="","",B81/MAX(B$5:B81)-1)</f>
        <v/>
      </c>
      <c r="E81" s="13" t="str">
        <f>IF(OR('实盘净值数据(iFinD）'!$A81="",'实盘净值数据(iFinD）'!$B81=""),"",分期持仓明细!$AB$18*SUMPRODUCT(分期持仓明细!$B$18:$Y$18,'实盘净值数据(iFinD）'!$B81:$Y81/'实盘净值数据(iFinD）'!$B$20:$Y$20)*(1-实盘持仓初始配置!$Z$5)^(('实盘净值数据(iFinD）'!$A81-'实盘净值数据(iFinD）'!$A$5)/365))</f>
        <v/>
      </c>
      <c r="F81" s="16" t="str">
        <f t="shared" si="7"/>
        <v/>
      </c>
      <c r="G81" s="16" t="str">
        <f>IF(E81="","",E81/MAX(E$5:E81)-1)</f>
        <v/>
      </c>
      <c r="H81" s="13" t="str">
        <f>IF(OR('实盘净值数据(iFinD）'!$A81="",'实盘净值数据(iFinD）'!$B81=""),"",分期持仓明细!$AB$19*SUMPRODUCT(分期持仓明细!$B$19:$Y$19,'实盘净值数据(iFinD）'!$B81:$Y81/'实盘净值数据(iFinD）'!$B$20:$Y$20)*(1-实盘持仓初始配置!$Z$6)^(('实盘净值数据(iFinD）'!$A81-'实盘净值数据(iFinD）'!$A$7)/365))</f>
        <v/>
      </c>
      <c r="I81" s="16" t="str">
        <f t="shared" si="8"/>
        <v/>
      </c>
      <c r="J81" s="16" t="str">
        <f>IF(H81="","",H81/MAX(H$5:H81)-1)</f>
        <v/>
      </c>
      <c r="K81" s="13" t="str">
        <f>IF(OR('实盘净值数据(iFinD）'!$A81="",'实盘净值数据(iFinD）'!$B81="",'实盘净值数据(iFinD）'!$Z81="",'实盘净值数据(iFinD）'!$AA81=""),"",分期持仓明细!$AB$23*(SUMPRODUCT(分期持仓明细!$B$23:$Y$23,'实盘净值数据(iFinD）'!$B81:$Y81/'实盘净值数据(iFinD）'!$B$65:$Y$65)+SUMPRODUCT(分期持仓明细!$AC$23:$AD$23,'实盘净值数据(iFinD）'!$Z81:$AA81/'实盘净值数据(iFinD）'!$Z$65:$AA$65))*(1-实盘持仓初始配置!$Z$7)^(('实盘净值数据(iFinD）'!$A81-'实盘净值数据(iFinD）'!$A$8)/365))</f>
        <v/>
      </c>
      <c r="L81" s="16" t="str">
        <f t="shared" si="9"/>
        <v/>
      </c>
      <c r="M81" s="16" t="str">
        <f>IF(K81="","",K81/MAX(K$5:K81)-1)</f>
        <v/>
      </c>
      <c r="N81" s="13" t="str">
        <f>IF(OR('实盘净值数据(iFinD）'!$A81="",'实盘净值数据(iFinD）'!$B81="",'实盘净值数据(iFinD）'!$Z81="",'实盘净值数据(iFinD）'!$AA81=""),"",分期持仓明细!$AB$24*(SUMPRODUCT(分期持仓明细!$B$24:$Y$24,'实盘净值数据(iFinD）'!$B81:$Y81/'实盘净值数据(iFinD）'!$B$65:$Y$65)+SUMPRODUCT(分期持仓明细!$AC$24:$AD$24,'实盘净值数据(iFinD）'!$Z81:$AA81/'实盘净值数据(iFinD）'!$Z$65:$AA$65))*(1-实盘持仓初始配置!$Z$8)^(('实盘净值数据(iFinD）'!$A81-'实盘净值数据(iFinD）'!$A$5)/365))</f>
        <v/>
      </c>
      <c r="O81" s="16" t="str">
        <f t="shared" si="10"/>
        <v/>
      </c>
      <c r="P81" s="16" t="str">
        <f>IF(N81="","",N81/MAX(N$5:N81)-1)</f>
        <v/>
      </c>
      <c r="Q81" s="13" t="str">
        <f>IF(OR('实盘净值数据(iFinD）'!$A81="",'实盘净值数据(iFinD）'!$B81="",'实盘净值数据(iFinD）'!$Z81="",'实盘净值数据(iFinD）'!$AA81=""),"",分期持仓明细!$AB$25*(SUMPRODUCT(分期持仓明细!$B$25:$Y$25,'实盘净值数据(iFinD）'!$B81:$Y81/'实盘净值数据(iFinD）'!$B$65:$Y$65)+SUMPRODUCT(分期持仓明细!$AC$25:$AD$25,'实盘净值数据(iFinD）'!$Z81:$AA81/'实盘净值数据(iFinD）'!$Z$65:$AA$65))*(1-实盘持仓初始配置!$Z$9)^(('实盘净值数据(iFinD）'!$A81-'实盘净值数据(iFinD）'!$A$8)/365))</f>
        <v/>
      </c>
      <c r="R81" s="16" t="str">
        <f t="shared" si="11"/>
        <v/>
      </c>
      <c r="S81" s="16" t="str">
        <f>IF(Q81="","",Q81/MAX(Q$5:Q81)-1)</f>
        <v/>
      </c>
      <c r="T81" s="13">
        <f>IF(OR('实盘净值数据(iFinD）'!$A81="",'实盘净值数据(iFinD）'!$B81="",'实盘净值数据(iFinD）'!$Z81="",'实盘净值数据(iFinD）'!$AA81="",'实盘净值数据(iFinD）'!$AB81="",'实盘净值数据(iFinD）'!$AL81=""),"",(SUMPRODUCT(分期持仓明细!$B$26:$Y$26,'实盘净值数据(iFinD）'!$B81:$Y81/'实盘净值数据(iFinD）'!$B$69:$Y$69)+SUMPRODUCT(分期持仓明细!$AC$26:$AD$26,'实盘净值数据(iFinD）'!$Z81:$AA81/'实盘净值数据(iFinD）'!$Z$69:$AA$69)+SUMPRODUCT(分期持仓明细!$AE$26:$AO$26,'实盘净值数据(iFinD）'!$AB81:$AL81/'实盘净值数据(iFinD）'!$AB$69:$AL$69))*(1-实盘持仓初始配置!$Z$10)^(('实盘净值数据(iFinD）'!$A81-'实盘净值数据(iFinD）'!$A$69)/365))</f>
        <v/>
      </c>
      <c r="U81" s="16">
        <f>IF(OR(T80="",T81=""),"",T81/T80-1)</f>
        <v/>
      </c>
      <c r="V81" s="16">
        <f>IF(T81="","",T81/MAX(T$5:T81)-1)</f>
        <v/>
      </c>
    </row>
    <row r="82" spans="1:19">
      <c r="A82" s="15" t="str">
        <f>IF('实盘净值数据(iFinD）'!A82="","",'实盘净值数据(iFinD）'!A82)</f>
        <v/>
      </c>
      <c r="B82" s="13" t="str">
        <f>IF(OR('实盘净值数据(iFinD）'!$A82="",'实盘净值数据(iFinD）'!$B82=""),"",分期持仓明细!$AB$17*SUMPRODUCT(分期持仓明细!$B$17:$Y$17,'实盘净值数据(iFinD）'!$B82:$Y82/'实盘净值数据(iFinD）'!$B$20:$Y$20)*(1-实盘持仓初始配置!$Z$4)^(('实盘净值数据(iFinD）'!$A82-'实盘净值数据(iFinD）'!$A$6)/365))</f>
        <v/>
      </c>
      <c r="C82" s="16" t="str">
        <f t="shared" si="6"/>
        <v/>
      </c>
      <c r="D82" s="16" t="str">
        <f>IF(B82="","",B82/MAX(B$5:B82)-1)</f>
        <v/>
      </c>
      <c r="E82" s="13" t="str">
        <f>IF(OR('实盘净值数据(iFinD）'!$A82="",'实盘净值数据(iFinD）'!$B82=""),"",分期持仓明细!$AB$18*SUMPRODUCT(分期持仓明细!$B$18:$Y$18,'实盘净值数据(iFinD）'!$B82:$Y82/'实盘净值数据(iFinD）'!$B$20:$Y$20)*(1-实盘持仓初始配置!$Z$5)^(('实盘净值数据(iFinD）'!$A82-'实盘净值数据(iFinD）'!$A$5)/365))</f>
        <v/>
      </c>
      <c r="F82" s="16" t="str">
        <f t="shared" si="7"/>
        <v/>
      </c>
      <c r="G82" s="16" t="str">
        <f>IF(E82="","",E82/MAX(E$5:E82)-1)</f>
        <v/>
      </c>
      <c r="H82" s="13" t="str">
        <f>IF(OR('实盘净值数据(iFinD）'!$A82="",'实盘净值数据(iFinD）'!$B82=""),"",分期持仓明细!$AB$19*SUMPRODUCT(分期持仓明细!$B$19:$Y$19,'实盘净值数据(iFinD）'!$B82:$Y82/'实盘净值数据(iFinD）'!$B$20:$Y$20)*(1-实盘持仓初始配置!$Z$6)^(('实盘净值数据(iFinD）'!$A82-'实盘净值数据(iFinD）'!$A$7)/365))</f>
        <v/>
      </c>
      <c r="I82" s="16" t="str">
        <f t="shared" si="8"/>
        <v/>
      </c>
      <c r="J82" s="16" t="str">
        <f>IF(H82="","",H82/MAX(H$5:H82)-1)</f>
        <v/>
      </c>
      <c r="K82" s="13" t="str">
        <f>IF(OR('实盘净值数据(iFinD）'!$A82="",'实盘净值数据(iFinD）'!$B82="",'实盘净值数据(iFinD）'!$Z82="",'实盘净值数据(iFinD）'!$AA82=""),"",分期持仓明细!$AB$23*(SUMPRODUCT(分期持仓明细!$B$23:$Y$23,'实盘净值数据(iFinD）'!$B82:$Y82/'实盘净值数据(iFinD）'!$B$65:$Y$65)+SUMPRODUCT(分期持仓明细!$AC$23:$AD$23,'实盘净值数据(iFinD）'!$Z82:$AA82/'实盘净值数据(iFinD）'!$Z$65:$AA$65))*(1-实盘持仓初始配置!$Z$7)^(('实盘净值数据(iFinD）'!$A82-'实盘净值数据(iFinD）'!$A$8)/365))</f>
        <v/>
      </c>
      <c r="L82" s="16" t="str">
        <f t="shared" si="9"/>
        <v/>
      </c>
      <c r="M82" s="16" t="str">
        <f>IF(K82="","",K82/MAX(K$5:K82)-1)</f>
        <v/>
      </c>
      <c r="N82" s="13" t="str">
        <f>IF(OR('实盘净值数据(iFinD）'!$A82="",'实盘净值数据(iFinD）'!$B82="",'实盘净值数据(iFinD）'!$Z82="",'实盘净值数据(iFinD）'!$AA82=""),"",分期持仓明细!$AB$24*(SUMPRODUCT(分期持仓明细!$B$24:$Y$24,'实盘净值数据(iFinD）'!$B82:$Y82/'实盘净值数据(iFinD）'!$B$65:$Y$65)+SUMPRODUCT(分期持仓明细!$AC$24:$AD$24,'实盘净值数据(iFinD）'!$Z82:$AA82/'实盘净值数据(iFinD）'!$Z$65:$AA$65))*(1-实盘持仓初始配置!$Z$8)^(('实盘净值数据(iFinD）'!$A82-'实盘净值数据(iFinD）'!$A$5)/365))</f>
        <v/>
      </c>
      <c r="O82" s="16" t="str">
        <f t="shared" si="10"/>
        <v/>
      </c>
      <c r="P82" s="16" t="str">
        <f>IF(N82="","",N82/MAX(N$5:N82)-1)</f>
        <v/>
      </c>
      <c r="Q82" s="13" t="str">
        <f>IF(OR('实盘净值数据(iFinD）'!$A82="",'实盘净值数据(iFinD）'!$B82="",'实盘净值数据(iFinD）'!$Z82="",'实盘净值数据(iFinD）'!$AA82=""),"",分期持仓明细!$AB$25*(SUMPRODUCT(分期持仓明细!$B$25:$Y$25,'实盘净值数据(iFinD）'!$B82:$Y82/'实盘净值数据(iFinD）'!$B$65:$Y$65)+SUMPRODUCT(分期持仓明细!$AC$25:$AD$25,'实盘净值数据(iFinD）'!$Z82:$AA82/'实盘净值数据(iFinD）'!$Z$65:$AA$65))*(1-实盘持仓初始配置!$Z$9)^(('实盘净值数据(iFinD）'!$A82-'实盘净值数据(iFinD）'!$A$8)/365))</f>
        <v/>
      </c>
      <c r="R82" s="16" t="str">
        <f t="shared" si="11"/>
        <v/>
      </c>
      <c r="S82" s="16" t="str">
        <f>IF(Q82="","",Q82/MAX(Q$5:Q82)-1)</f>
        <v/>
      </c>
      <c r="T82" s="13">
        <f>IF(OR('实盘净值数据(iFinD）'!$A82="",'实盘净值数据(iFinD）'!$B82="",'实盘净值数据(iFinD）'!$Z82="",'实盘净值数据(iFinD）'!$AA82="",'实盘净值数据(iFinD）'!$AB82="",'实盘净值数据(iFinD）'!$AL82=""),"",(SUMPRODUCT(分期持仓明细!$B$26:$Y$26,'实盘净值数据(iFinD）'!$B82:$Y82/'实盘净值数据(iFinD）'!$B$69:$Y$69)+SUMPRODUCT(分期持仓明细!$AC$26:$AD$26,'实盘净值数据(iFinD）'!$Z82:$AA82/'实盘净值数据(iFinD）'!$Z$69:$AA$69)+SUMPRODUCT(分期持仓明细!$AE$26:$AO$26,'实盘净值数据(iFinD）'!$AB82:$AL82/'实盘净值数据(iFinD）'!$AB$69:$AL$69))*(1-实盘持仓初始配置!$Z$10)^(('实盘净值数据(iFinD）'!$A82-'实盘净值数据(iFinD）'!$A$69)/365))</f>
        <v/>
      </c>
      <c r="U82" s="16">
        <f>IF(OR(T81="",T82=""),"",T82/T81-1)</f>
        <v/>
      </c>
      <c r="V82" s="16">
        <f>IF(T82="","",T82/MAX(T$5:T82)-1)</f>
        <v/>
      </c>
    </row>
    <row r="83" spans="1:19">
      <c r="A83" s="15" t="str">
        <f>IF('实盘净值数据(iFinD）'!A83="","",'实盘净值数据(iFinD）'!A83)</f>
        <v/>
      </c>
      <c r="B83" s="13" t="str">
        <f>IF(OR('实盘净值数据(iFinD）'!$A83="",'实盘净值数据(iFinD）'!$B83=""),"",分期持仓明细!$AB$17*SUMPRODUCT(分期持仓明细!$B$17:$Y$17,'实盘净值数据(iFinD）'!$B83:$Y83/'实盘净值数据(iFinD）'!$B$20:$Y$20)*(1-实盘持仓初始配置!$Z$4)^(('实盘净值数据(iFinD）'!$A83-'实盘净值数据(iFinD）'!$A$6)/365))</f>
        <v/>
      </c>
      <c r="C83" s="16" t="str">
        <f t="shared" si="6"/>
        <v/>
      </c>
      <c r="D83" s="16" t="str">
        <f>IF(B83="","",B83/MAX(B$5:B83)-1)</f>
        <v/>
      </c>
      <c r="E83" s="13" t="str">
        <f>IF(OR('实盘净值数据(iFinD）'!$A83="",'实盘净值数据(iFinD）'!$B83=""),"",分期持仓明细!$AB$18*SUMPRODUCT(分期持仓明细!$B$18:$Y$18,'实盘净值数据(iFinD）'!$B83:$Y83/'实盘净值数据(iFinD）'!$B$20:$Y$20)*(1-实盘持仓初始配置!$Z$5)^(('实盘净值数据(iFinD）'!$A83-'实盘净值数据(iFinD）'!$A$5)/365))</f>
        <v/>
      </c>
      <c r="F83" s="16" t="str">
        <f t="shared" si="7"/>
        <v/>
      </c>
      <c r="G83" s="16" t="str">
        <f>IF(E83="","",E83/MAX(E$5:E83)-1)</f>
        <v/>
      </c>
      <c r="H83" s="13" t="str">
        <f>IF(OR('实盘净值数据(iFinD）'!$A83="",'实盘净值数据(iFinD）'!$B83=""),"",分期持仓明细!$AB$19*SUMPRODUCT(分期持仓明细!$B$19:$Y$19,'实盘净值数据(iFinD）'!$B83:$Y83/'实盘净值数据(iFinD）'!$B$20:$Y$20)*(1-实盘持仓初始配置!$Z$6)^(('实盘净值数据(iFinD）'!$A83-'实盘净值数据(iFinD）'!$A$7)/365))</f>
        <v/>
      </c>
      <c r="I83" s="16" t="str">
        <f t="shared" si="8"/>
        <v/>
      </c>
      <c r="J83" s="16" t="str">
        <f>IF(H83="","",H83/MAX(H$5:H83)-1)</f>
        <v/>
      </c>
      <c r="K83" s="13" t="str">
        <f>IF(OR('实盘净值数据(iFinD）'!$A83="",'实盘净值数据(iFinD）'!$B83="",'实盘净值数据(iFinD）'!$Z83="",'实盘净值数据(iFinD）'!$AA83=""),"",分期持仓明细!$AB$23*(SUMPRODUCT(分期持仓明细!$B$23:$Y$23,'实盘净值数据(iFinD）'!$B83:$Y83/'实盘净值数据(iFinD）'!$B$65:$Y$65)+SUMPRODUCT(分期持仓明细!$AC$23:$AD$23,'实盘净值数据(iFinD）'!$Z83:$AA83/'实盘净值数据(iFinD）'!$Z$65:$AA$65))*(1-实盘持仓初始配置!$Z$7)^(('实盘净值数据(iFinD）'!$A83-'实盘净值数据(iFinD）'!$A$8)/365))</f>
        <v/>
      </c>
      <c r="L83" s="16" t="str">
        <f t="shared" si="9"/>
        <v/>
      </c>
      <c r="M83" s="16" t="str">
        <f>IF(K83="","",K83/MAX(K$5:K83)-1)</f>
        <v/>
      </c>
      <c r="N83" s="13" t="str">
        <f>IF(OR('实盘净值数据(iFinD）'!$A83="",'实盘净值数据(iFinD）'!$B83="",'实盘净值数据(iFinD）'!$Z83="",'实盘净值数据(iFinD）'!$AA83=""),"",分期持仓明细!$AB$24*(SUMPRODUCT(分期持仓明细!$B$24:$Y$24,'实盘净值数据(iFinD）'!$B83:$Y83/'实盘净值数据(iFinD）'!$B$65:$Y$65)+SUMPRODUCT(分期持仓明细!$AC$24:$AD$24,'实盘净值数据(iFinD）'!$Z83:$AA83/'实盘净值数据(iFinD）'!$Z$65:$AA$65))*(1-实盘持仓初始配置!$Z$8)^(('实盘净值数据(iFinD）'!$A83-'实盘净值数据(iFinD）'!$A$5)/365))</f>
        <v/>
      </c>
      <c r="O83" s="16" t="str">
        <f t="shared" si="10"/>
        <v/>
      </c>
      <c r="P83" s="16" t="str">
        <f>IF(N83="","",N83/MAX(N$5:N83)-1)</f>
        <v/>
      </c>
      <c r="Q83" s="13" t="str">
        <f>IF(OR('实盘净值数据(iFinD）'!$A83="",'实盘净值数据(iFinD）'!$B83="",'实盘净值数据(iFinD）'!$Z83="",'实盘净值数据(iFinD）'!$AA83=""),"",分期持仓明细!$AB$25*(SUMPRODUCT(分期持仓明细!$B$25:$Y$25,'实盘净值数据(iFinD）'!$B83:$Y83/'实盘净值数据(iFinD）'!$B$65:$Y$65)+SUMPRODUCT(分期持仓明细!$AC$25:$AD$25,'实盘净值数据(iFinD）'!$Z83:$AA83/'实盘净值数据(iFinD）'!$Z$65:$AA$65))*(1-实盘持仓初始配置!$Z$9)^(('实盘净值数据(iFinD）'!$A83-'实盘净值数据(iFinD）'!$A$8)/365))</f>
        <v/>
      </c>
      <c r="R83" s="16" t="str">
        <f t="shared" si="11"/>
        <v/>
      </c>
      <c r="S83" s="16" t="str">
        <f>IF(Q83="","",Q83/MAX(Q$5:Q83)-1)</f>
        <v/>
      </c>
      <c r="T83" s="13">
        <f>IF(OR('实盘净值数据(iFinD）'!$A83="",'实盘净值数据(iFinD）'!$B83="",'实盘净值数据(iFinD）'!$Z83="",'实盘净值数据(iFinD）'!$AA83="",'实盘净值数据(iFinD）'!$AB83="",'实盘净值数据(iFinD）'!$AL83=""),"",(SUMPRODUCT(分期持仓明细!$B$26:$Y$26,'实盘净值数据(iFinD）'!$B83:$Y83/'实盘净值数据(iFinD）'!$B$69:$Y$69)+SUMPRODUCT(分期持仓明细!$AC$26:$AD$26,'实盘净值数据(iFinD）'!$Z83:$AA83/'实盘净值数据(iFinD）'!$Z$69:$AA$69)+SUMPRODUCT(分期持仓明细!$AE$26:$AO$26,'实盘净值数据(iFinD）'!$AB83:$AL83/'实盘净值数据(iFinD）'!$AB$69:$AL$69))*(1-实盘持仓初始配置!$Z$10)^(('实盘净值数据(iFinD）'!$A83-'实盘净值数据(iFinD）'!$A$69)/365))</f>
        <v/>
      </c>
      <c r="U83" s="16">
        <f>IF(OR(T82="",T83=""),"",T83/T82-1)</f>
        <v/>
      </c>
      <c r="V83" s="16">
        <f>IF(T83="","",T83/MAX(T$5:T83)-1)</f>
        <v/>
      </c>
    </row>
    <row r="84" spans="1:19">
      <c r="A84" s="15" t="str">
        <f>IF('实盘净值数据(iFinD）'!A84="","",'实盘净值数据(iFinD）'!A84)</f>
        <v/>
      </c>
      <c r="B84" s="13" t="str">
        <f>IF(OR('实盘净值数据(iFinD）'!$A84="",'实盘净值数据(iFinD）'!$B84=""),"",分期持仓明细!$AB$17*SUMPRODUCT(分期持仓明细!$B$17:$Y$17,'实盘净值数据(iFinD）'!$B84:$Y84/'实盘净值数据(iFinD）'!$B$20:$Y$20)*(1-实盘持仓初始配置!$Z$4)^(('实盘净值数据(iFinD）'!$A84-'实盘净值数据(iFinD）'!$A$6)/365))</f>
        <v/>
      </c>
      <c r="C84" s="16" t="str">
        <f t="shared" si="6"/>
        <v/>
      </c>
      <c r="D84" s="16" t="str">
        <f>IF(B84="","",B84/MAX(B$5:B84)-1)</f>
        <v/>
      </c>
      <c r="E84" s="13" t="str">
        <f>IF(OR('实盘净值数据(iFinD）'!$A84="",'实盘净值数据(iFinD）'!$B84=""),"",分期持仓明细!$AB$18*SUMPRODUCT(分期持仓明细!$B$18:$Y$18,'实盘净值数据(iFinD）'!$B84:$Y84/'实盘净值数据(iFinD）'!$B$20:$Y$20)*(1-实盘持仓初始配置!$Z$5)^(('实盘净值数据(iFinD）'!$A84-'实盘净值数据(iFinD）'!$A$5)/365))</f>
        <v/>
      </c>
      <c r="F84" s="16" t="str">
        <f t="shared" si="7"/>
        <v/>
      </c>
      <c r="G84" s="16" t="str">
        <f>IF(E84="","",E84/MAX(E$5:E84)-1)</f>
        <v/>
      </c>
      <c r="H84" s="13" t="str">
        <f>IF(OR('实盘净值数据(iFinD）'!$A84="",'实盘净值数据(iFinD）'!$B84=""),"",分期持仓明细!$AB$19*SUMPRODUCT(分期持仓明细!$B$19:$Y$19,'实盘净值数据(iFinD）'!$B84:$Y84/'实盘净值数据(iFinD）'!$B$20:$Y$20)*(1-实盘持仓初始配置!$Z$6)^(('实盘净值数据(iFinD）'!$A84-'实盘净值数据(iFinD）'!$A$7)/365))</f>
        <v/>
      </c>
      <c r="I84" s="16" t="str">
        <f t="shared" si="8"/>
        <v/>
      </c>
      <c r="J84" s="16" t="str">
        <f>IF(H84="","",H84/MAX(H$5:H84)-1)</f>
        <v/>
      </c>
      <c r="K84" s="13" t="str">
        <f>IF(OR('实盘净值数据(iFinD）'!$A84="",'实盘净值数据(iFinD）'!$B84="",'实盘净值数据(iFinD）'!$Z84="",'实盘净值数据(iFinD）'!$AA84=""),"",分期持仓明细!$AB$23*(SUMPRODUCT(分期持仓明细!$B$23:$Y$23,'实盘净值数据(iFinD）'!$B84:$Y84/'实盘净值数据(iFinD）'!$B$65:$Y$65)+SUMPRODUCT(分期持仓明细!$AC$23:$AD$23,'实盘净值数据(iFinD）'!$Z84:$AA84/'实盘净值数据(iFinD）'!$Z$65:$AA$65))*(1-实盘持仓初始配置!$Z$7)^(('实盘净值数据(iFinD）'!$A84-'实盘净值数据(iFinD）'!$A$8)/365))</f>
        <v/>
      </c>
      <c r="L84" s="16" t="str">
        <f t="shared" si="9"/>
        <v/>
      </c>
      <c r="M84" s="16" t="str">
        <f>IF(K84="","",K84/MAX(K$5:K84)-1)</f>
        <v/>
      </c>
      <c r="N84" s="13" t="str">
        <f>IF(OR('实盘净值数据(iFinD）'!$A84="",'实盘净值数据(iFinD）'!$B84="",'实盘净值数据(iFinD）'!$Z84="",'实盘净值数据(iFinD）'!$AA84=""),"",分期持仓明细!$AB$24*(SUMPRODUCT(分期持仓明细!$B$24:$Y$24,'实盘净值数据(iFinD）'!$B84:$Y84/'实盘净值数据(iFinD）'!$B$65:$Y$65)+SUMPRODUCT(分期持仓明细!$AC$24:$AD$24,'实盘净值数据(iFinD）'!$Z84:$AA84/'实盘净值数据(iFinD）'!$Z$65:$AA$65))*(1-实盘持仓初始配置!$Z$8)^(('实盘净值数据(iFinD）'!$A84-'实盘净值数据(iFinD）'!$A$5)/365))</f>
        <v/>
      </c>
      <c r="O84" s="16" t="str">
        <f t="shared" si="10"/>
        <v/>
      </c>
      <c r="P84" s="16" t="str">
        <f>IF(N84="","",N84/MAX(N$5:N84)-1)</f>
        <v/>
      </c>
      <c r="Q84" s="13" t="str">
        <f>IF(OR('实盘净值数据(iFinD）'!$A84="",'实盘净值数据(iFinD）'!$B84="",'实盘净值数据(iFinD）'!$Z84="",'实盘净值数据(iFinD）'!$AA84=""),"",分期持仓明细!$AB$25*(SUMPRODUCT(分期持仓明细!$B$25:$Y$25,'实盘净值数据(iFinD）'!$B84:$Y84/'实盘净值数据(iFinD）'!$B$65:$Y$65)+SUMPRODUCT(分期持仓明细!$AC$25:$AD$25,'实盘净值数据(iFinD）'!$Z84:$AA84/'实盘净值数据(iFinD）'!$Z$65:$AA$65))*(1-实盘持仓初始配置!$Z$9)^(('实盘净值数据(iFinD）'!$A84-'实盘净值数据(iFinD）'!$A$8)/365))</f>
        <v/>
      </c>
      <c r="R84" s="16" t="str">
        <f t="shared" si="11"/>
        <v/>
      </c>
      <c r="S84" s="16" t="str">
        <f>IF(Q84="","",Q84/MAX(Q$5:Q84)-1)</f>
        <v/>
      </c>
      <c r="T84" s="13">
        <f>IF(OR('实盘净值数据(iFinD）'!$A84="",'实盘净值数据(iFinD）'!$B84="",'实盘净值数据(iFinD）'!$Z84="",'实盘净值数据(iFinD）'!$AA84="",'实盘净值数据(iFinD）'!$AB84="",'实盘净值数据(iFinD）'!$AL84=""),"",(SUMPRODUCT(分期持仓明细!$B$26:$Y$26,'实盘净值数据(iFinD）'!$B84:$Y84/'实盘净值数据(iFinD）'!$B$69:$Y$69)+SUMPRODUCT(分期持仓明细!$AC$26:$AD$26,'实盘净值数据(iFinD）'!$Z84:$AA84/'实盘净值数据(iFinD）'!$Z$69:$AA$69)+SUMPRODUCT(分期持仓明细!$AE$26:$AO$26,'实盘净值数据(iFinD）'!$AB84:$AL84/'实盘净值数据(iFinD）'!$AB$69:$AL$69))*(1-实盘持仓初始配置!$Z$10)^(('实盘净值数据(iFinD）'!$A84-'实盘净值数据(iFinD）'!$A$69)/365))</f>
        <v/>
      </c>
      <c r="U84" s="16">
        <f>IF(OR(T83="",T84=""),"",T84/T83-1)</f>
        <v/>
      </c>
      <c r="V84" s="16">
        <f>IF(T84="","",T84/MAX(T$5:T84)-1)</f>
        <v/>
      </c>
    </row>
    <row r="85" spans="1:19">
      <c r="A85" s="15" t="str">
        <f>IF('实盘净值数据(iFinD）'!A85="","",'实盘净值数据(iFinD）'!A85)</f>
        <v/>
      </c>
      <c r="B85" s="13" t="str">
        <f>IF(OR('实盘净值数据(iFinD）'!$A85="",'实盘净值数据(iFinD）'!$B85=""),"",分期持仓明细!$AB$17*SUMPRODUCT(分期持仓明细!$B$17:$Y$17,'实盘净值数据(iFinD）'!$B85:$Y85/'实盘净值数据(iFinD）'!$B$20:$Y$20)*(1-实盘持仓初始配置!$Z$4)^(('实盘净值数据(iFinD）'!$A85-'实盘净值数据(iFinD）'!$A$6)/365))</f>
        <v/>
      </c>
      <c r="C85" s="16" t="str">
        <f t="shared" si="6"/>
        <v/>
      </c>
      <c r="D85" s="16" t="str">
        <f>IF(B85="","",B85/MAX(B$5:B85)-1)</f>
        <v/>
      </c>
      <c r="E85" s="13" t="str">
        <f>IF(OR('实盘净值数据(iFinD）'!$A85="",'实盘净值数据(iFinD）'!$B85=""),"",分期持仓明细!$AB$18*SUMPRODUCT(分期持仓明细!$B$18:$Y$18,'实盘净值数据(iFinD）'!$B85:$Y85/'实盘净值数据(iFinD）'!$B$20:$Y$20)*(1-实盘持仓初始配置!$Z$5)^(('实盘净值数据(iFinD）'!$A85-'实盘净值数据(iFinD）'!$A$5)/365))</f>
        <v/>
      </c>
      <c r="F85" s="16" t="str">
        <f t="shared" si="7"/>
        <v/>
      </c>
      <c r="G85" s="16" t="str">
        <f>IF(E85="","",E85/MAX(E$5:E85)-1)</f>
        <v/>
      </c>
      <c r="H85" s="13" t="str">
        <f>IF(OR('实盘净值数据(iFinD）'!$A85="",'实盘净值数据(iFinD）'!$B85=""),"",分期持仓明细!$AB$19*SUMPRODUCT(分期持仓明细!$B$19:$Y$19,'实盘净值数据(iFinD）'!$B85:$Y85/'实盘净值数据(iFinD）'!$B$20:$Y$20)*(1-实盘持仓初始配置!$Z$6)^(('实盘净值数据(iFinD）'!$A85-'实盘净值数据(iFinD）'!$A$7)/365))</f>
        <v/>
      </c>
      <c r="I85" s="16" t="str">
        <f t="shared" si="8"/>
        <v/>
      </c>
      <c r="J85" s="16" t="str">
        <f>IF(H85="","",H85/MAX(H$5:H85)-1)</f>
        <v/>
      </c>
      <c r="K85" s="13" t="str">
        <f>IF(OR('实盘净值数据(iFinD）'!$A85="",'实盘净值数据(iFinD）'!$B85="",'实盘净值数据(iFinD）'!$Z85="",'实盘净值数据(iFinD）'!$AA85=""),"",分期持仓明细!$AB$23*(SUMPRODUCT(分期持仓明细!$B$23:$Y$23,'实盘净值数据(iFinD）'!$B85:$Y85/'实盘净值数据(iFinD）'!$B$65:$Y$65)+SUMPRODUCT(分期持仓明细!$AC$23:$AD$23,'实盘净值数据(iFinD）'!$Z85:$AA85/'实盘净值数据(iFinD）'!$Z$65:$AA$65))*(1-实盘持仓初始配置!$Z$7)^(('实盘净值数据(iFinD）'!$A85-'实盘净值数据(iFinD）'!$A$8)/365))</f>
        <v/>
      </c>
      <c r="L85" s="16" t="str">
        <f t="shared" si="9"/>
        <v/>
      </c>
      <c r="M85" s="16" t="str">
        <f>IF(K85="","",K85/MAX(K$5:K85)-1)</f>
        <v/>
      </c>
      <c r="N85" s="13" t="str">
        <f>IF(OR('实盘净值数据(iFinD）'!$A85="",'实盘净值数据(iFinD）'!$B85="",'实盘净值数据(iFinD）'!$Z85="",'实盘净值数据(iFinD）'!$AA85=""),"",分期持仓明细!$AB$24*(SUMPRODUCT(分期持仓明细!$B$24:$Y$24,'实盘净值数据(iFinD）'!$B85:$Y85/'实盘净值数据(iFinD）'!$B$65:$Y$65)+SUMPRODUCT(分期持仓明细!$AC$24:$AD$24,'实盘净值数据(iFinD）'!$Z85:$AA85/'实盘净值数据(iFinD）'!$Z$65:$AA$65))*(1-实盘持仓初始配置!$Z$8)^(('实盘净值数据(iFinD）'!$A85-'实盘净值数据(iFinD）'!$A$5)/365))</f>
        <v/>
      </c>
      <c r="O85" s="16" t="str">
        <f t="shared" si="10"/>
        <v/>
      </c>
      <c r="P85" s="16" t="str">
        <f>IF(N85="","",N85/MAX(N$5:N85)-1)</f>
        <v/>
      </c>
      <c r="Q85" s="13" t="str">
        <f>IF(OR('实盘净值数据(iFinD）'!$A85="",'实盘净值数据(iFinD）'!$B85="",'实盘净值数据(iFinD）'!$Z85="",'实盘净值数据(iFinD）'!$AA85=""),"",分期持仓明细!$AB$25*(SUMPRODUCT(分期持仓明细!$B$25:$Y$25,'实盘净值数据(iFinD）'!$B85:$Y85/'实盘净值数据(iFinD）'!$B$65:$Y$65)+SUMPRODUCT(分期持仓明细!$AC$25:$AD$25,'实盘净值数据(iFinD）'!$Z85:$AA85/'实盘净值数据(iFinD）'!$Z$65:$AA$65))*(1-实盘持仓初始配置!$Z$9)^(('实盘净值数据(iFinD）'!$A85-'实盘净值数据(iFinD）'!$A$8)/365))</f>
        <v/>
      </c>
      <c r="R85" s="16" t="str">
        <f t="shared" si="11"/>
        <v/>
      </c>
      <c r="S85" s="16" t="str">
        <f>IF(Q85="","",Q85/MAX(Q$5:Q85)-1)</f>
        <v/>
      </c>
      <c r="T85" s="13">
        <f>IF(OR('实盘净值数据(iFinD）'!$A85="",'实盘净值数据(iFinD）'!$B85="",'实盘净值数据(iFinD）'!$Z85="",'实盘净值数据(iFinD）'!$AA85="",'实盘净值数据(iFinD）'!$AB85="",'实盘净值数据(iFinD）'!$AL85=""),"",(SUMPRODUCT(分期持仓明细!$B$26:$Y$26,'实盘净值数据(iFinD）'!$B85:$Y85/'实盘净值数据(iFinD）'!$B$69:$Y$69)+SUMPRODUCT(分期持仓明细!$AC$26:$AD$26,'实盘净值数据(iFinD）'!$Z85:$AA85/'实盘净值数据(iFinD）'!$Z$69:$AA$69)+SUMPRODUCT(分期持仓明细!$AE$26:$AO$26,'实盘净值数据(iFinD）'!$AB85:$AL85/'实盘净值数据(iFinD）'!$AB$69:$AL$69))*(1-实盘持仓初始配置!$Z$10)^(('实盘净值数据(iFinD）'!$A85-'实盘净值数据(iFinD）'!$A$69)/365))</f>
        <v/>
      </c>
      <c r="U85" s="16">
        <f>IF(OR(T84="",T85=""),"",T85/T84-1)</f>
        <v/>
      </c>
      <c r="V85" s="16">
        <f>IF(T85="","",T85/MAX(T$5:T85)-1)</f>
        <v/>
      </c>
    </row>
    <row r="86" spans="1:19">
      <c r="A86" s="15" t="str">
        <f>IF('实盘净值数据(iFinD）'!A86="","",'实盘净值数据(iFinD）'!A86)</f>
        <v/>
      </c>
      <c r="B86" s="13" t="str">
        <f>IF(OR('实盘净值数据(iFinD）'!$A86="",'实盘净值数据(iFinD）'!$B86=""),"",分期持仓明细!$AB$17*SUMPRODUCT(分期持仓明细!$B$17:$Y$17,'实盘净值数据(iFinD）'!$B86:$Y86/'实盘净值数据(iFinD）'!$B$20:$Y$20)*(1-实盘持仓初始配置!$Z$4)^(('实盘净值数据(iFinD）'!$A86-'实盘净值数据(iFinD）'!$A$6)/365))</f>
        <v/>
      </c>
      <c r="C86" s="16" t="str">
        <f t="shared" si="6"/>
        <v/>
      </c>
      <c r="D86" s="16" t="str">
        <f>IF(B86="","",B86/MAX(B$5:B86)-1)</f>
        <v/>
      </c>
      <c r="E86" s="13" t="str">
        <f>IF(OR('实盘净值数据(iFinD）'!$A86="",'实盘净值数据(iFinD）'!$B86=""),"",分期持仓明细!$AB$18*SUMPRODUCT(分期持仓明细!$B$18:$Y$18,'实盘净值数据(iFinD）'!$B86:$Y86/'实盘净值数据(iFinD）'!$B$20:$Y$20)*(1-实盘持仓初始配置!$Z$5)^(('实盘净值数据(iFinD）'!$A86-'实盘净值数据(iFinD）'!$A$5)/365))</f>
        <v/>
      </c>
      <c r="F86" s="16" t="str">
        <f t="shared" si="7"/>
        <v/>
      </c>
      <c r="G86" s="16" t="str">
        <f>IF(E86="","",E86/MAX(E$5:E86)-1)</f>
        <v/>
      </c>
      <c r="H86" s="13" t="str">
        <f>IF(OR('实盘净值数据(iFinD）'!$A86="",'实盘净值数据(iFinD）'!$B86=""),"",分期持仓明细!$AB$19*SUMPRODUCT(分期持仓明细!$B$19:$Y$19,'实盘净值数据(iFinD）'!$B86:$Y86/'实盘净值数据(iFinD）'!$B$20:$Y$20)*(1-实盘持仓初始配置!$Z$6)^(('实盘净值数据(iFinD）'!$A86-'实盘净值数据(iFinD）'!$A$7)/365))</f>
        <v/>
      </c>
      <c r="I86" s="16" t="str">
        <f t="shared" si="8"/>
        <v/>
      </c>
      <c r="J86" s="16" t="str">
        <f>IF(H86="","",H86/MAX(H$5:H86)-1)</f>
        <v/>
      </c>
      <c r="K86" s="13" t="str">
        <f>IF(OR('实盘净值数据(iFinD）'!$A86="",'实盘净值数据(iFinD）'!$B86="",'实盘净值数据(iFinD）'!$Z86="",'实盘净值数据(iFinD）'!$AA86=""),"",分期持仓明细!$AB$23*(SUMPRODUCT(分期持仓明细!$B$23:$Y$23,'实盘净值数据(iFinD）'!$B86:$Y86/'实盘净值数据(iFinD）'!$B$65:$Y$65)+SUMPRODUCT(分期持仓明细!$AC$23:$AD$23,'实盘净值数据(iFinD）'!$Z86:$AA86/'实盘净值数据(iFinD）'!$Z$65:$AA$65))*(1-实盘持仓初始配置!$Z$7)^(('实盘净值数据(iFinD）'!$A86-'实盘净值数据(iFinD）'!$A$8)/365))</f>
        <v/>
      </c>
      <c r="L86" s="16" t="str">
        <f t="shared" si="9"/>
        <v/>
      </c>
      <c r="M86" s="16" t="str">
        <f>IF(K86="","",K86/MAX(K$5:K86)-1)</f>
        <v/>
      </c>
      <c r="N86" s="13" t="str">
        <f>IF(OR('实盘净值数据(iFinD）'!$A86="",'实盘净值数据(iFinD）'!$B86="",'实盘净值数据(iFinD）'!$Z86="",'实盘净值数据(iFinD）'!$AA86=""),"",分期持仓明细!$AB$24*(SUMPRODUCT(分期持仓明细!$B$24:$Y$24,'实盘净值数据(iFinD）'!$B86:$Y86/'实盘净值数据(iFinD）'!$B$65:$Y$65)+SUMPRODUCT(分期持仓明细!$AC$24:$AD$24,'实盘净值数据(iFinD）'!$Z86:$AA86/'实盘净值数据(iFinD）'!$Z$65:$AA$65))*(1-实盘持仓初始配置!$Z$8)^(('实盘净值数据(iFinD）'!$A86-'实盘净值数据(iFinD）'!$A$5)/365))</f>
        <v/>
      </c>
      <c r="O86" s="16" t="str">
        <f t="shared" si="10"/>
        <v/>
      </c>
      <c r="P86" s="16" t="str">
        <f>IF(N86="","",N86/MAX(N$5:N86)-1)</f>
        <v/>
      </c>
      <c r="Q86" s="13" t="str">
        <f>IF(OR('实盘净值数据(iFinD）'!$A86="",'实盘净值数据(iFinD）'!$B86="",'实盘净值数据(iFinD）'!$Z86="",'实盘净值数据(iFinD）'!$AA86=""),"",分期持仓明细!$AB$25*(SUMPRODUCT(分期持仓明细!$B$25:$Y$25,'实盘净值数据(iFinD）'!$B86:$Y86/'实盘净值数据(iFinD）'!$B$65:$Y$65)+SUMPRODUCT(分期持仓明细!$AC$25:$AD$25,'实盘净值数据(iFinD）'!$Z86:$AA86/'实盘净值数据(iFinD）'!$Z$65:$AA$65))*(1-实盘持仓初始配置!$Z$9)^(('实盘净值数据(iFinD）'!$A86-'实盘净值数据(iFinD）'!$A$8)/365))</f>
        <v/>
      </c>
      <c r="R86" s="16" t="str">
        <f t="shared" si="11"/>
        <v/>
      </c>
      <c r="S86" s="16" t="str">
        <f>IF(Q86="","",Q86/MAX(Q$5:Q86)-1)</f>
        <v/>
      </c>
      <c r="T86" s="13">
        <f>IF(OR('实盘净值数据(iFinD）'!$A86="",'实盘净值数据(iFinD）'!$B86="",'实盘净值数据(iFinD）'!$Z86="",'实盘净值数据(iFinD）'!$AA86="",'实盘净值数据(iFinD）'!$AB86="",'实盘净值数据(iFinD）'!$AL86=""),"",(SUMPRODUCT(分期持仓明细!$B$26:$Y$26,'实盘净值数据(iFinD）'!$B86:$Y86/'实盘净值数据(iFinD）'!$B$69:$Y$69)+SUMPRODUCT(分期持仓明细!$AC$26:$AD$26,'实盘净值数据(iFinD）'!$Z86:$AA86/'实盘净值数据(iFinD）'!$Z$69:$AA$69)+SUMPRODUCT(分期持仓明细!$AE$26:$AO$26,'实盘净值数据(iFinD）'!$AB86:$AL86/'实盘净值数据(iFinD）'!$AB$69:$AL$69))*(1-实盘持仓初始配置!$Z$10)^(('实盘净值数据(iFinD）'!$A86-'实盘净值数据(iFinD）'!$A$69)/365))</f>
        <v/>
      </c>
      <c r="U86" s="16">
        <f>IF(OR(T85="",T86=""),"",T86/T85-1)</f>
        <v/>
      </c>
      <c r="V86" s="16">
        <f>IF(T86="","",T86/MAX(T$5:T86)-1)</f>
        <v/>
      </c>
    </row>
    <row r="87" spans="1:19">
      <c r="A87" s="15" t="str">
        <f>IF('实盘净值数据(iFinD）'!A87="","",'实盘净值数据(iFinD）'!A87)</f>
        <v/>
      </c>
      <c r="B87" s="13" t="str">
        <f>IF(OR('实盘净值数据(iFinD）'!$A87="",'实盘净值数据(iFinD）'!$B87=""),"",分期持仓明细!$AB$17*SUMPRODUCT(分期持仓明细!$B$17:$Y$17,'实盘净值数据(iFinD）'!$B87:$Y87/'实盘净值数据(iFinD）'!$B$20:$Y$20)*(1-实盘持仓初始配置!$Z$4)^(('实盘净值数据(iFinD）'!$A87-'实盘净值数据(iFinD）'!$A$6)/365))</f>
        <v/>
      </c>
      <c r="C87" s="16" t="str">
        <f t="shared" si="6"/>
        <v/>
      </c>
      <c r="D87" s="16" t="str">
        <f>IF(B87="","",B87/MAX(B$5:B87)-1)</f>
        <v/>
      </c>
      <c r="E87" s="13" t="str">
        <f>IF(OR('实盘净值数据(iFinD）'!$A87="",'实盘净值数据(iFinD）'!$B87=""),"",分期持仓明细!$AB$18*SUMPRODUCT(分期持仓明细!$B$18:$Y$18,'实盘净值数据(iFinD）'!$B87:$Y87/'实盘净值数据(iFinD）'!$B$20:$Y$20)*(1-实盘持仓初始配置!$Z$5)^(('实盘净值数据(iFinD）'!$A87-'实盘净值数据(iFinD）'!$A$5)/365))</f>
        <v/>
      </c>
      <c r="F87" s="16" t="str">
        <f t="shared" si="7"/>
        <v/>
      </c>
      <c r="G87" s="16" t="str">
        <f>IF(E87="","",E87/MAX(E$5:E87)-1)</f>
        <v/>
      </c>
      <c r="H87" s="13" t="str">
        <f>IF(OR('实盘净值数据(iFinD）'!$A87="",'实盘净值数据(iFinD）'!$B87=""),"",分期持仓明细!$AB$19*SUMPRODUCT(分期持仓明细!$B$19:$Y$19,'实盘净值数据(iFinD）'!$B87:$Y87/'实盘净值数据(iFinD）'!$B$20:$Y$20)*(1-实盘持仓初始配置!$Z$6)^(('实盘净值数据(iFinD）'!$A87-'实盘净值数据(iFinD）'!$A$7)/365))</f>
        <v/>
      </c>
      <c r="I87" s="16" t="str">
        <f t="shared" si="8"/>
        <v/>
      </c>
      <c r="J87" s="16" t="str">
        <f>IF(H87="","",H87/MAX(H$5:H87)-1)</f>
        <v/>
      </c>
      <c r="K87" s="13" t="str">
        <f>IF(OR('实盘净值数据(iFinD）'!$A87="",'实盘净值数据(iFinD）'!$B87="",'实盘净值数据(iFinD）'!$Z87="",'实盘净值数据(iFinD）'!$AA87=""),"",分期持仓明细!$AB$23*(SUMPRODUCT(分期持仓明细!$B$23:$Y$23,'实盘净值数据(iFinD）'!$B87:$Y87/'实盘净值数据(iFinD）'!$B$65:$Y$65)+SUMPRODUCT(分期持仓明细!$AC$23:$AD$23,'实盘净值数据(iFinD）'!$Z87:$AA87/'实盘净值数据(iFinD）'!$Z$65:$AA$65))*(1-实盘持仓初始配置!$Z$7)^(('实盘净值数据(iFinD）'!$A87-'实盘净值数据(iFinD）'!$A$8)/365))</f>
        <v/>
      </c>
      <c r="L87" s="16" t="str">
        <f t="shared" si="9"/>
        <v/>
      </c>
      <c r="M87" s="16" t="str">
        <f>IF(K87="","",K87/MAX(K$5:K87)-1)</f>
        <v/>
      </c>
      <c r="N87" s="13" t="str">
        <f>IF(OR('实盘净值数据(iFinD）'!$A87="",'实盘净值数据(iFinD）'!$B87="",'实盘净值数据(iFinD）'!$Z87="",'实盘净值数据(iFinD）'!$AA87=""),"",分期持仓明细!$AB$24*(SUMPRODUCT(分期持仓明细!$B$24:$Y$24,'实盘净值数据(iFinD）'!$B87:$Y87/'实盘净值数据(iFinD）'!$B$65:$Y$65)+SUMPRODUCT(分期持仓明细!$AC$24:$AD$24,'实盘净值数据(iFinD）'!$Z87:$AA87/'实盘净值数据(iFinD）'!$Z$65:$AA$65))*(1-实盘持仓初始配置!$Z$8)^(('实盘净值数据(iFinD）'!$A87-'实盘净值数据(iFinD）'!$A$5)/365))</f>
        <v/>
      </c>
      <c r="O87" s="16" t="str">
        <f t="shared" si="10"/>
        <v/>
      </c>
      <c r="P87" s="16" t="str">
        <f>IF(N87="","",N87/MAX(N$5:N87)-1)</f>
        <v/>
      </c>
      <c r="Q87" s="13" t="str">
        <f>IF(OR('实盘净值数据(iFinD）'!$A87="",'实盘净值数据(iFinD）'!$B87="",'实盘净值数据(iFinD）'!$Z87="",'实盘净值数据(iFinD）'!$AA87=""),"",分期持仓明细!$AB$25*(SUMPRODUCT(分期持仓明细!$B$25:$Y$25,'实盘净值数据(iFinD）'!$B87:$Y87/'实盘净值数据(iFinD）'!$B$65:$Y$65)+SUMPRODUCT(分期持仓明细!$AC$25:$AD$25,'实盘净值数据(iFinD）'!$Z87:$AA87/'实盘净值数据(iFinD）'!$Z$65:$AA$65))*(1-实盘持仓初始配置!$Z$9)^(('实盘净值数据(iFinD）'!$A87-'实盘净值数据(iFinD）'!$A$8)/365))</f>
        <v/>
      </c>
      <c r="R87" s="16" t="str">
        <f t="shared" si="11"/>
        <v/>
      </c>
      <c r="S87" s="16" t="str">
        <f>IF(Q87="","",Q87/MAX(Q$5:Q87)-1)</f>
        <v/>
      </c>
      <c r="T87" s="13">
        <f>IF(OR('实盘净值数据(iFinD）'!$A87="",'实盘净值数据(iFinD）'!$B87="",'实盘净值数据(iFinD）'!$Z87="",'实盘净值数据(iFinD）'!$AA87="",'实盘净值数据(iFinD）'!$AB87="",'实盘净值数据(iFinD）'!$AL87=""),"",(SUMPRODUCT(分期持仓明细!$B$26:$Y$26,'实盘净值数据(iFinD）'!$B87:$Y87/'实盘净值数据(iFinD）'!$B$69:$Y$69)+SUMPRODUCT(分期持仓明细!$AC$26:$AD$26,'实盘净值数据(iFinD）'!$Z87:$AA87/'实盘净值数据(iFinD）'!$Z$69:$AA$69)+SUMPRODUCT(分期持仓明细!$AE$26:$AO$26,'实盘净值数据(iFinD）'!$AB87:$AL87/'实盘净值数据(iFinD）'!$AB$69:$AL$69))*(1-实盘持仓初始配置!$Z$10)^(('实盘净值数据(iFinD）'!$A87-'实盘净值数据(iFinD）'!$A$69)/365))</f>
        <v/>
      </c>
      <c r="U87" s="16">
        <f>IF(OR(T86="",T87=""),"",T87/T86-1)</f>
        <v/>
      </c>
      <c r="V87" s="16">
        <f>IF(T87="","",T87/MAX(T$5:T87)-1)</f>
        <v/>
      </c>
    </row>
    <row r="88" spans="1:19">
      <c r="A88" s="15" t="str">
        <f>IF('实盘净值数据(iFinD）'!A88="","",'实盘净值数据(iFinD）'!A88)</f>
        <v/>
      </c>
      <c r="B88" s="13" t="str">
        <f>IF(OR('实盘净值数据(iFinD）'!$A88="",'实盘净值数据(iFinD）'!$B88=""),"",分期持仓明细!$AB$17*SUMPRODUCT(分期持仓明细!$B$17:$Y$17,'实盘净值数据(iFinD）'!$B88:$Y88/'实盘净值数据(iFinD）'!$B$20:$Y$20)*(1-实盘持仓初始配置!$Z$4)^(('实盘净值数据(iFinD）'!$A88-'实盘净值数据(iFinD）'!$A$6)/365))</f>
        <v/>
      </c>
      <c r="C88" s="16" t="str">
        <f t="shared" si="6"/>
        <v/>
      </c>
      <c r="D88" s="16" t="str">
        <f>IF(B88="","",B88/MAX(B$5:B88)-1)</f>
        <v/>
      </c>
      <c r="E88" s="13" t="str">
        <f>IF(OR('实盘净值数据(iFinD）'!$A88="",'实盘净值数据(iFinD）'!$B88=""),"",分期持仓明细!$AB$18*SUMPRODUCT(分期持仓明细!$B$18:$Y$18,'实盘净值数据(iFinD）'!$B88:$Y88/'实盘净值数据(iFinD）'!$B$20:$Y$20)*(1-实盘持仓初始配置!$Z$5)^(('实盘净值数据(iFinD）'!$A88-'实盘净值数据(iFinD）'!$A$5)/365))</f>
        <v/>
      </c>
      <c r="F88" s="16" t="str">
        <f t="shared" si="7"/>
        <v/>
      </c>
      <c r="G88" s="16" t="str">
        <f>IF(E88="","",E88/MAX(E$5:E88)-1)</f>
        <v/>
      </c>
      <c r="H88" s="13" t="str">
        <f>IF(OR('实盘净值数据(iFinD）'!$A88="",'实盘净值数据(iFinD）'!$B88=""),"",分期持仓明细!$AB$19*SUMPRODUCT(分期持仓明细!$B$19:$Y$19,'实盘净值数据(iFinD）'!$B88:$Y88/'实盘净值数据(iFinD）'!$B$20:$Y$20)*(1-实盘持仓初始配置!$Z$6)^(('实盘净值数据(iFinD）'!$A88-'实盘净值数据(iFinD）'!$A$7)/365))</f>
        <v/>
      </c>
      <c r="I88" s="16" t="str">
        <f t="shared" si="8"/>
        <v/>
      </c>
      <c r="J88" s="16" t="str">
        <f>IF(H88="","",H88/MAX(H$5:H88)-1)</f>
        <v/>
      </c>
      <c r="K88" s="13" t="str">
        <f>IF(OR('实盘净值数据(iFinD）'!$A88="",'实盘净值数据(iFinD）'!$B88="",'实盘净值数据(iFinD）'!$Z88="",'实盘净值数据(iFinD）'!$AA88=""),"",分期持仓明细!$AB$23*(SUMPRODUCT(分期持仓明细!$B$23:$Y$23,'实盘净值数据(iFinD）'!$B88:$Y88/'实盘净值数据(iFinD）'!$B$65:$Y$65)+SUMPRODUCT(分期持仓明细!$AC$23:$AD$23,'实盘净值数据(iFinD）'!$Z88:$AA88/'实盘净值数据(iFinD）'!$Z$65:$AA$65))*(1-实盘持仓初始配置!$Z$7)^(('实盘净值数据(iFinD）'!$A88-'实盘净值数据(iFinD）'!$A$8)/365))</f>
        <v/>
      </c>
      <c r="L88" s="16" t="str">
        <f t="shared" si="9"/>
        <v/>
      </c>
      <c r="M88" s="16" t="str">
        <f>IF(K88="","",K88/MAX(K$5:K88)-1)</f>
        <v/>
      </c>
      <c r="N88" s="13" t="str">
        <f>IF(OR('实盘净值数据(iFinD）'!$A88="",'实盘净值数据(iFinD）'!$B88="",'实盘净值数据(iFinD）'!$Z88="",'实盘净值数据(iFinD）'!$AA88=""),"",分期持仓明细!$AB$24*(SUMPRODUCT(分期持仓明细!$B$24:$Y$24,'实盘净值数据(iFinD）'!$B88:$Y88/'实盘净值数据(iFinD）'!$B$65:$Y$65)+SUMPRODUCT(分期持仓明细!$AC$24:$AD$24,'实盘净值数据(iFinD）'!$Z88:$AA88/'实盘净值数据(iFinD）'!$Z$65:$AA$65))*(1-实盘持仓初始配置!$Z$8)^(('实盘净值数据(iFinD）'!$A88-'实盘净值数据(iFinD）'!$A$5)/365))</f>
        <v/>
      </c>
      <c r="O88" s="16" t="str">
        <f t="shared" si="10"/>
        <v/>
      </c>
      <c r="P88" s="16" t="str">
        <f>IF(N88="","",N88/MAX(N$5:N88)-1)</f>
        <v/>
      </c>
      <c r="Q88" s="13" t="str">
        <f>IF(OR('实盘净值数据(iFinD）'!$A88="",'实盘净值数据(iFinD）'!$B88="",'实盘净值数据(iFinD）'!$Z88="",'实盘净值数据(iFinD）'!$AA88=""),"",分期持仓明细!$AB$25*(SUMPRODUCT(分期持仓明细!$B$25:$Y$25,'实盘净值数据(iFinD）'!$B88:$Y88/'实盘净值数据(iFinD）'!$B$65:$Y$65)+SUMPRODUCT(分期持仓明细!$AC$25:$AD$25,'实盘净值数据(iFinD）'!$Z88:$AA88/'实盘净值数据(iFinD）'!$Z$65:$AA$65))*(1-实盘持仓初始配置!$Z$9)^(('实盘净值数据(iFinD）'!$A88-'实盘净值数据(iFinD）'!$A$8)/365))</f>
        <v/>
      </c>
      <c r="R88" s="16" t="str">
        <f t="shared" si="11"/>
        <v/>
      </c>
      <c r="S88" s="16" t="str">
        <f>IF(Q88="","",Q88/MAX(Q$5:Q88)-1)</f>
        <v/>
      </c>
      <c r="T88" s="13">
        <f>IF(OR('实盘净值数据(iFinD）'!$A88="",'实盘净值数据(iFinD）'!$B88="",'实盘净值数据(iFinD）'!$Z88="",'实盘净值数据(iFinD）'!$AA88="",'实盘净值数据(iFinD）'!$AB88="",'实盘净值数据(iFinD）'!$AL88=""),"",(SUMPRODUCT(分期持仓明细!$B$26:$Y$26,'实盘净值数据(iFinD）'!$B88:$Y88/'实盘净值数据(iFinD）'!$B$69:$Y$69)+SUMPRODUCT(分期持仓明细!$AC$26:$AD$26,'实盘净值数据(iFinD）'!$Z88:$AA88/'实盘净值数据(iFinD）'!$Z$69:$AA$69)+SUMPRODUCT(分期持仓明细!$AE$26:$AO$26,'实盘净值数据(iFinD）'!$AB88:$AL88/'实盘净值数据(iFinD）'!$AB$69:$AL$69))*(1-实盘持仓初始配置!$Z$10)^(('实盘净值数据(iFinD）'!$A88-'实盘净值数据(iFinD）'!$A$69)/365))</f>
        <v/>
      </c>
      <c r="U88" s="16">
        <f>IF(OR(T87="",T88=""),"",T88/T87-1)</f>
        <v/>
      </c>
      <c r="V88" s="16">
        <f>IF(T88="","",T88/MAX(T$5:T88)-1)</f>
        <v/>
      </c>
    </row>
    <row r="89" spans="1:19">
      <c r="A89" s="15" t="str">
        <f>IF('实盘净值数据(iFinD）'!A89="","",'实盘净值数据(iFinD）'!A89)</f>
        <v/>
      </c>
      <c r="B89" s="13" t="str">
        <f>IF(OR('实盘净值数据(iFinD）'!$A89="",'实盘净值数据(iFinD）'!$B89=""),"",分期持仓明细!$AB$17*SUMPRODUCT(分期持仓明细!$B$17:$Y$17,'实盘净值数据(iFinD）'!$B89:$Y89/'实盘净值数据(iFinD）'!$B$20:$Y$20)*(1-实盘持仓初始配置!$Z$4)^(('实盘净值数据(iFinD）'!$A89-'实盘净值数据(iFinD）'!$A$6)/365))</f>
        <v/>
      </c>
      <c r="C89" s="16" t="str">
        <f t="shared" si="6"/>
        <v/>
      </c>
      <c r="D89" s="16" t="str">
        <f>IF(B89="","",B89/MAX(B$5:B89)-1)</f>
        <v/>
      </c>
      <c r="E89" s="13" t="str">
        <f>IF(OR('实盘净值数据(iFinD）'!$A89="",'实盘净值数据(iFinD）'!$B89=""),"",分期持仓明细!$AB$18*SUMPRODUCT(分期持仓明细!$B$18:$Y$18,'实盘净值数据(iFinD）'!$B89:$Y89/'实盘净值数据(iFinD）'!$B$20:$Y$20)*(1-实盘持仓初始配置!$Z$5)^(('实盘净值数据(iFinD）'!$A89-'实盘净值数据(iFinD）'!$A$5)/365))</f>
        <v/>
      </c>
      <c r="F89" s="16" t="str">
        <f t="shared" si="7"/>
        <v/>
      </c>
      <c r="G89" s="16" t="str">
        <f>IF(E89="","",E89/MAX(E$5:E89)-1)</f>
        <v/>
      </c>
      <c r="H89" s="13" t="str">
        <f>IF(OR('实盘净值数据(iFinD）'!$A89="",'实盘净值数据(iFinD）'!$B89=""),"",分期持仓明细!$AB$19*SUMPRODUCT(分期持仓明细!$B$19:$Y$19,'实盘净值数据(iFinD）'!$B89:$Y89/'实盘净值数据(iFinD）'!$B$20:$Y$20)*(1-实盘持仓初始配置!$Z$6)^(('实盘净值数据(iFinD）'!$A89-'实盘净值数据(iFinD）'!$A$7)/365))</f>
        <v/>
      </c>
      <c r="I89" s="16" t="str">
        <f t="shared" si="8"/>
        <v/>
      </c>
      <c r="J89" s="16" t="str">
        <f>IF(H89="","",H89/MAX(H$5:H89)-1)</f>
        <v/>
      </c>
      <c r="K89" s="13" t="str">
        <f>IF(OR('实盘净值数据(iFinD）'!$A89="",'实盘净值数据(iFinD）'!$B89="",'实盘净值数据(iFinD）'!$Z89="",'实盘净值数据(iFinD）'!$AA89=""),"",分期持仓明细!$AB$23*(SUMPRODUCT(分期持仓明细!$B$23:$Y$23,'实盘净值数据(iFinD）'!$B89:$Y89/'实盘净值数据(iFinD）'!$B$65:$Y$65)+SUMPRODUCT(分期持仓明细!$AC$23:$AD$23,'实盘净值数据(iFinD）'!$Z89:$AA89/'实盘净值数据(iFinD）'!$Z$65:$AA$65))*(1-实盘持仓初始配置!$Z$7)^(('实盘净值数据(iFinD）'!$A89-'实盘净值数据(iFinD）'!$A$8)/365))</f>
        <v/>
      </c>
      <c r="L89" s="16" t="str">
        <f t="shared" si="9"/>
        <v/>
      </c>
      <c r="M89" s="16" t="str">
        <f>IF(K89="","",K89/MAX(K$5:K89)-1)</f>
        <v/>
      </c>
      <c r="N89" s="13" t="str">
        <f>IF(OR('实盘净值数据(iFinD）'!$A89="",'实盘净值数据(iFinD）'!$B89="",'实盘净值数据(iFinD）'!$Z89="",'实盘净值数据(iFinD）'!$AA89=""),"",分期持仓明细!$AB$24*(SUMPRODUCT(分期持仓明细!$B$24:$Y$24,'实盘净值数据(iFinD）'!$B89:$Y89/'实盘净值数据(iFinD）'!$B$65:$Y$65)+SUMPRODUCT(分期持仓明细!$AC$24:$AD$24,'实盘净值数据(iFinD）'!$Z89:$AA89/'实盘净值数据(iFinD）'!$Z$65:$AA$65))*(1-实盘持仓初始配置!$Z$8)^(('实盘净值数据(iFinD）'!$A89-'实盘净值数据(iFinD）'!$A$5)/365))</f>
        <v/>
      </c>
      <c r="O89" s="16" t="str">
        <f t="shared" si="10"/>
        <v/>
      </c>
      <c r="P89" s="16" t="str">
        <f>IF(N89="","",N89/MAX(N$5:N89)-1)</f>
        <v/>
      </c>
      <c r="Q89" s="13" t="str">
        <f>IF(OR('实盘净值数据(iFinD）'!$A89="",'实盘净值数据(iFinD）'!$B89="",'实盘净值数据(iFinD）'!$Z89="",'实盘净值数据(iFinD）'!$AA89=""),"",分期持仓明细!$AB$25*(SUMPRODUCT(分期持仓明细!$B$25:$Y$25,'实盘净值数据(iFinD）'!$B89:$Y89/'实盘净值数据(iFinD）'!$B$65:$Y$65)+SUMPRODUCT(分期持仓明细!$AC$25:$AD$25,'实盘净值数据(iFinD）'!$Z89:$AA89/'实盘净值数据(iFinD）'!$Z$65:$AA$65))*(1-实盘持仓初始配置!$Z$9)^(('实盘净值数据(iFinD）'!$A89-'实盘净值数据(iFinD）'!$A$8)/365))</f>
        <v/>
      </c>
      <c r="R89" s="16" t="str">
        <f t="shared" si="11"/>
        <v/>
      </c>
      <c r="S89" s="16" t="str">
        <f>IF(Q89="","",Q89/MAX(Q$5:Q89)-1)</f>
        <v/>
      </c>
      <c r="T89" s="13">
        <f>IF(OR('实盘净值数据(iFinD）'!$A89="",'实盘净值数据(iFinD）'!$B89="",'实盘净值数据(iFinD）'!$Z89="",'实盘净值数据(iFinD）'!$AA89="",'实盘净值数据(iFinD）'!$AB89="",'实盘净值数据(iFinD）'!$AL89=""),"",(SUMPRODUCT(分期持仓明细!$B$26:$Y$26,'实盘净值数据(iFinD）'!$B89:$Y89/'实盘净值数据(iFinD）'!$B$69:$Y$69)+SUMPRODUCT(分期持仓明细!$AC$26:$AD$26,'实盘净值数据(iFinD）'!$Z89:$AA89/'实盘净值数据(iFinD）'!$Z$69:$AA$69)+SUMPRODUCT(分期持仓明细!$AE$26:$AO$26,'实盘净值数据(iFinD）'!$AB89:$AL89/'实盘净值数据(iFinD）'!$AB$69:$AL$69))*(1-实盘持仓初始配置!$Z$10)^(('实盘净值数据(iFinD）'!$A89-'实盘净值数据(iFinD）'!$A$69)/365))</f>
        <v/>
      </c>
      <c r="U89" s="16">
        <f>IF(OR(T88="",T89=""),"",T89/T88-1)</f>
        <v/>
      </c>
      <c r="V89" s="16">
        <f>IF(T89="","",T89/MAX(T$5:T89)-1)</f>
        <v/>
      </c>
    </row>
    <row r="90" spans="1:19">
      <c r="A90" s="15" t="str">
        <f>IF('实盘净值数据(iFinD）'!A90="","",'实盘净值数据(iFinD）'!A90)</f>
        <v/>
      </c>
      <c r="B90" s="13" t="str">
        <f>IF(OR('实盘净值数据(iFinD）'!$A90="",'实盘净值数据(iFinD）'!$B90=""),"",分期持仓明细!$AB$17*SUMPRODUCT(分期持仓明细!$B$17:$Y$17,'实盘净值数据(iFinD）'!$B90:$Y90/'实盘净值数据(iFinD）'!$B$20:$Y$20)*(1-实盘持仓初始配置!$Z$4)^(('实盘净值数据(iFinD）'!$A90-'实盘净值数据(iFinD）'!$A$6)/365))</f>
        <v/>
      </c>
      <c r="C90" s="16" t="str">
        <f t="shared" si="6"/>
        <v/>
      </c>
      <c r="D90" s="16" t="str">
        <f>IF(B90="","",B90/MAX(B$5:B90)-1)</f>
        <v/>
      </c>
      <c r="E90" s="13" t="str">
        <f>IF(OR('实盘净值数据(iFinD）'!$A90="",'实盘净值数据(iFinD）'!$B90=""),"",分期持仓明细!$AB$18*SUMPRODUCT(分期持仓明细!$B$18:$Y$18,'实盘净值数据(iFinD）'!$B90:$Y90/'实盘净值数据(iFinD）'!$B$20:$Y$20)*(1-实盘持仓初始配置!$Z$5)^(('实盘净值数据(iFinD）'!$A90-'实盘净值数据(iFinD）'!$A$5)/365))</f>
        <v/>
      </c>
      <c r="F90" s="16" t="str">
        <f t="shared" si="7"/>
        <v/>
      </c>
      <c r="G90" s="16" t="str">
        <f>IF(E90="","",E90/MAX(E$5:E90)-1)</f>
        <v/>
      </c>
      <c r="H90" s="13" t="str">
        <f>IF(OR('实盘净值数据(iFinD）'!$A90="",'实盘净值数据(iFinD）'!$B90=""),"",分期持仓明细!$AB$19*SUMPRODUCT(分期持仓明细!$B$19:$Y$19,'实盘净值数据(iFinD）'!$B90:$Y90/'实盘净值数据(iFinD）'!$B$20:$Y$20)*(1-实盘持仓初始配置!$Z$6)^(('实盘净值数据(iFinD）'!$A90-'实盘净值数据(iFinD）'!$A$7)/365))</f>
        <v/>
      </c>
      <c r="I90" s="16" t="str">
        <f t="shared" si="8"/>
        <v/>
      </c>
      <c r="J90" s="16" t="str">
        <f>IF(H90="","",H90/MAX(H$5:H90)-1)</f>
        <v/>
      </c>
      <c r="K90" s="13" t="str">
        <f>IF(OR('实盘净值数据(iFinD）'!$A90="",'实盘净值数据(iFinD）'!$B90="",'实盘净值数据(iFinD）'!$Z90="",'实盘净值数据(iFinD）'!$AA90=""),"",分期持仓明细!$AB$23*(SUMPRODUCT(分期持仓明细!$B$23:$Y$23,'实盘净值数据(iFinD）'!$B90:$Y90/'实盘净值数据(iFinD）'!$B$65:$Y$65)+SUMPRODUCT(分期持仓明细!$AC$23:$AD$23,'实盘净值数据(iFinD）'!$Z90:$AA90/'实盘净值数据(iFinD）'!$Z$65:$AA$65))*(1-实盘持仓初始配置!$Z$7)^(('实盘净值数据(iFinD）'!$A90-'实盘净值数据(iFinD）'!$A$8)/365))</f>
        <v/>
      </c>
      <c r="L90" s="16" t="str">
        <f t="shared" si="9"/>
        <v/>
      </c>
      <c r="M90" s="16" t="str">
        <f>IF(K90="","",K90/MAX(K$5:K90)-1)</f>
        <v/>
      </c>
      <c r="N90" s="13" t="str">
        <f>IF(OR('实盘净值数据(iFinD）'!$A90="",'实盘净值数据(iFinD）'!$B90="",'实盘净值数据(iFinD）'!$Z90="",'实盘净值数据(iFinD）'!$AA90=""),"",分期持仓明细!$AB$24*(SUMPRODUCT(分期持仓明细!$B$24:$Y$24,'实盘净值数据(iFinD）'!$B90:$Y90/'实盘净值数据(iFinD）'!$B$65:$Y$65)+SUMPRODUCT(分期持仓明细!$AC$24:$AD$24,'实盘净值数据(iFinD）'!$Z90:$AA90/'实盘净值数据(iFinD）'!$Z$65:$AA$65))*(1-实盘持仓初始配置!$Z$8)^(('实盘净值数据(iFinD）'!$A90-'实盘净值数据(iFinD）'!$A$5)/365))</f>
        <v/>
      </c>
      <c r="O90" s="16" t="str">
        <f t="shared" si="10"/>
        <v/>
      </c>
      <c r="P90" s="16" t="str">
        <f>IF(N90="","",N90/MAX(N$5:N90)-1)</f>
        <v/>
      </c>
      <c r="Q90" s="13" t="str">
        <f>IF(OR('实盘净值数据(iFinD）'!$A90="",'实盘净值数据(iFinD）'!$B90="",'实盘净值数据(iFinD）'!$Z90="",'实盘净值数据(iFinD）'!$AA90=""),"",分期持仓明细!$AB$25*(SUMPRODUCT(分期持仓明细!$B$25:$Y$25,'实盘净值数据(iFinD）'!$B90:$Y90/'实盘净值数据(iFinD）'!$B$65:$Y$65)+SUMPRODUCT(分期持仓明细!$AC$25:$AD$25,'实盘净值数据(iFinD）'!$Z90:$AA90/'实盘净值数据(iFinD）'!$Z$65:$AA$65))*(1-实盘持仓初始配置!$Z$9)^(('实盘净值数据(iFinD）'!$A90-'实盘净值数据(iFinD）'!$A$8)/365))</f>
        <v/>
      </c>
      <c r="R90" s="16" t="str">
        <f t="shared" si="11"/>
        <v/>
      </c>
      <c r="S90" s="16" t="str">
        <f>IF(Q90="","",Q90/MAX(Q$5:Q90)-1)</f>
        <v/>
      </c>
      <c r="T90" s="13">
        <f>IF(OR('实盘净值数据(iFinD）'!$A90="",'实盘净值数据(iFinD）'!$B90="",'实盘净值数据(iFinD）'!$Z90="",'实盘净值数据(iFinD）'!$AA90="",'实盘净值数据(iFinD）'!$AB90="",'实盘净值数据(iFinD）'!$AL90=""),"",(SUMPRODUCT(分期持仓明细!$B$26:$Y$26,'实盘净值数据(iFinD）'!$B90:$Y90/'实盘净值数据(iFinD）'!$B$69:$Y$69)+SUMPRODUCT(分期持仓明细!$AC$26:$AD$26,'实盘净值数据(iFinD）'!$Z90:$AA90/'实盘净值数据(iFinD）'!$Z$69:$AA$69)+SUMPRODUCT(分期持仓明细!$AE$26:$AO$26,'实盘净值数据(iFinD）'!$AB90:$AL90/'实盘净值数据(iFinD）'!$AB$69:$AL$69))*(1-实盘持仓初始配置!$Z$10)^(('实盘净值数据(iFinD）'!$A90-'实盘净值数据(iFinD）'!$A$69)/365))</f>
        <v/>
      </c>
      <c r="U90" s="16">
        <f>IF(OR(T89="",T90=""),"",T90/T89-1)</f>
        <v/>
      </c>
      <c r="V90" s="16">
        <f>IF(T90="","",T90/MAX(T$5:T90)-1)</f>
        <v/>
      </c>
    </row>
    <row r="91" spans="1:19">
      <c r="A91" s="15" t="str">
        <f>IF('实盘净值数据(iFinD）'!A91="","",'实盘净值数据(iFinD）'!A91)</f>
        <v/>
      </c>
      <c r="B91" s="13" t="str">
        <f>IF(OR('实盘净值数据(iFinD）'!$A91="",'实盘净值数据(iFinD）'!$B91=""),"",分期持仓明细!$AB$17*SUMPRODUCT(分期持仓明细!$B$17:$Y$17,'实盘净值数据(iFinD）'!$B91:$Y91/'实盘净值数据(iFinD）'!$B$20:$Y$20)*(1-实盘持仓初始配置!$Z$4)^(('实盘净值数据(iFinD）'!$A91-'实盘净值数据(iFinD）'!$A$6)/365))</f>
        <v/>
      </c>
      <c r="C91" s="16" t="str">
        <f t="shared" si="6"/>
        <v/>
      </c>
      <c r="D91" s="16" t="str">
        <f>IF(B91="","",B91/MAX(B$5:B91)-1)</f>
        <v/>
      </c>
      <c r="E91" s="13" t="str">
        <f>IF(OR('实盘净值数据(iFinD）'!$A91="",'实盘净值数据(iFinD）'!$B91=""),"",分期持仓明细!$AB$18*SUMPRODUCT(分期持仓明细!$B$18:$Y$18,'实盘净值数据(iFinD）'!$B91:$Y91/'实盘净值数据(iFinD）'!$B$20:$Y$20)*(1-实盘持仓初始配置!$Z$5)^(('实盘净值数据(iFinD）'!$A91-'实盘净值数据(iFinD）'!$A$5)/365))</f>
        <v/>
      </c>
      <c r="F91" s="16" t="str">
        <f t="shared" si="7"/>
        <v/>
      </c>
      <c r="G91" s="16" t="str">
        <f>IF(E91="","",E91/MAX(E$5:E91)-1)</f>
        <v/>
      </c>
      <c r="H91" s="13" t="str">
        <f>IF(OR('实盘净值数据(iFinD）'!$A91="",'实盘净值数据(iFinD）'!$B91=""),"",分期持仓明细!$AB$19*SUMPRODUCT(分期持仓明细!$B$19:$Y$19,'实盘净值数据(iFinD）'!$B91:$Y91/'实盘净值数据(iFinD）'!$B$20:$Y$20)*(1-实盘持仓初始配置!$Z$6)^(('实盘净值数据(iFinD）'!$A91-'实盘净值数据(iFinD）'!$A$7)/365))</f>
        <v/>
      </c>
      <c r="I91" s="16" t="str">
        <f t="shared" si="8"/>
        <v/>
      </c>
      <c r="J91" s="16" t="str">
        <f>IF(H91="","",H91/MAX(H$5:H91)-1)</f>
        <v/>
      </c>
      <c r="K91" s="13" t="str">
        <f>IF(OR('实盘净值数据(iFinD）'!$A91="",'实盘净值数据(iFinD）'!$B91="",'实盘净值数据(iFinD）'!$Z91="",'实盘净值数据(iFinD）'!$AA91=""),"",分期持仓明细!$AB$23*(SUMPRODUCT(分期持仓明细!$B$23:$Y$23,'实盘净值数据(iFinD）'!$B91:$Y91/'实盘净值数据(iFinD）'!$B$65:$Y$65)+SUMPRODUCT(分期持仓明细!$AC$23:$AD$23,'实盘净值数据(iFinD）'!$Z91:$AA91/'实盘净值数据(iFinD）'!$Z$65:$AA$65))*(1-实盘持仓初始配置!$Z$7)^(('实盘净值数据(iFinD）'!$A91-'实盘净值数据(iFinD）'!$A$8)/365))</f>
        <v/>
      </c>
      <c r="L91" s="16" t="str">
        <f t="shared" si="9"/>
        <v/>
      </c>
      <c r="M91" s="16" t="str">
        <f>IF(K91="","",K91/MAX(K$5:K91)-1)</f>
        <v/>
      </c>
      <c r="N91" s="13" t="str">
        <f>IF(OR('实盘净值数据(iFinD）'!$A91="",'实盘净值数据(iFinD）'!$B91="",'实盘净值数据(iFinD）'!$Z91="",'实盘净值数据(iFinD）'!$AA91=""),"",分期持仓明细!$AB$24*(SUMPRODUCT(分期持仓明细!$B$24:$Y$24,'实盘净值数据(iFinD）'!$B91:$Y91/'实盘净值数据(iFinD）'!$B$65:$Y$65)+SUMPRODUCT(分期持仓明细!$AC$24:$AD$24,'实盘净值数据(iFinD）'!$Z91:$AA91/'实盘净值数据(iFinD）'!$Z$65:$AA$65))*(1-实盘持仓初始配置!$Z$8)^(('实盘净值数据(iFinD）'!$A91-'实盘净值数据(iFinD）'!$A$5)/365))</f>
        <v/>
      </c>
      <c r="O91" s="16" t="str">
        <f t="shared" si="10"/>
        <v/>
      </c>
      <c r="P91" s="16" t="str">
        <f>IF(N91="","",N91/MAX(N$5:N91)-1)</f>
        <v/>
      </c>
      <c r="Q91" s="13" t="str">
        <f>IF(OR('实盘净值数据(iFinD）'!$A91="",'实盘净值数据(iFinD）'!$B91="",'实盘净值数据(iFinD）'!$Z91="",'实盘净值数据(iFinD）'!$AA91=""),"",分期持仓明细!$AB$25*(SUMPRODUCT(分期持仓明细!$B$25:$Y$25,'实盘净值数据(iFinD）'!$B91:$Y91/'实盘净值数据(iFinD）'!$B$65:$Y$65)+SUMPRODUCT(分期持仓明细!$AC$25:$AD$25,'实盘净值数据(iFinD）'!$Z91:$AA91/'实盘净值数据(iFinD）'!$Z$65:$AA$65))*(1-实盘持仓初始配置!$Z$9)^(('实盘净值数据(iFinD）'!$A91-'实盘净值数据(iFinD）'!$A$8)/365))</f>
        <v/>
      </c>
      <c r="R91" s="16" t="str">
        <f t="shared" si="11"/>
        <v/>
      </c>
      <c r="S91" s="16" t="str">
        <f>IF(Q91="","",Q91/MAX(Q$5:Q91)-1)</f>
        <v/>
      </c>
      <c r="T91" s="13">
        <f>IF(OR('实盘净值数据(iFinD）'!$A91="",'实盘净值数据(iFinD）'!$B91="",'实盘净值数据(iFinD）'!$Z91="",'实盘净值数据(iFinD）'!$AA91="",'实盘净值数据(iFinD）'!$AB91="",'实盘净值数据(iFinD）'!$AL91=""),"",(SUMPRODUCT(分期持仓明细!$B$26:$Y$26,'实盘净值数据(iFinD）'!$B91:$Y91/'实盘净值数据(iFinD）'!$B$69:$Y$69)+SUMPRODUCT(分期持仓明细!$AC$26:$AD$26,'实盘净值数据(iFinD）'!$Z91:$AA91/'实盘净值数据(iFinD）'!$Z$69:$AA$69)+SUMPRODUCT(分期持仓明细!$AE$26:$AO$26,'实盘净值数据(iFinD）'!$AB91:$AL91/'实盘净值数据(iFinD）'!$AB$69:$AL$69))*(1-实盘持仓初始配置!$Z$10)^(('实盘净值数据(iFinD）'!$A91-'实盘净值数据(iFinD）'!$A$69)/365))</f>
        <v/>
      </c>
      <c r="U91" s="16">
        <f>IF(OR(T90="",T91=""),"",T91/T90-1)</f>
        <v/>
      </c>
      <c r="V91" s="16">
        <f>IF(T91="","",T91/MAX(T$5:T91)-1)</f>
        <v/>
      </c>
    </row>
    <row r="92" spans="1:19">
      <c r="A92" s="15" t="str">
        <f>IF('实盘净值数据(iFinD）'!A92="","",'实盘净值数据(iFinD）'!A92)</f>
        <v/>
      </c>
      <c r="B92" s="13" t="str">
        <f>IF(OR('实盘净值数据(iFinD）'!$A92="",'实盘净值数据(iFinD）'!$B92=""),"",分期持仓明细!$AB$17*SUMPRODUCT(分期持仓明细!$B$17:$Y$17,'实盘净值数据(iFinD）'!$B92:$Y92/'实盘净值数据(iFinD）'!$B$20:$Y$20)*(1-实盘持仓初始配置!$Z$4)^(('实盘净值数据(iFinD）'!$A92-'实盘净值数据(iFinD）'!$A$6)/365))</f>
        <v/>
      </c>
      <c r="C92" s="16" t="str">
        <f t="shared" si="6"/>
        <v/>
      </c>
      <c r="D92" s="16" t="str">
        <f>IF(B92="","",B92/MAX(B$5:B92)-1)</f>
        <v/>
      </c>
      <c r="E92" s="13" t="str">
        <f>IF(OR('实盘净值数据(iFinD）'!$A92="",'实盘净值数据(iFinD）'!$B92=""),"",分期持仓明细!$AB$18*SUMPRODUCT(分期持仓明细!$B$18:$Y$18,'实盘净值数据(iFinD）'!$B92:$Y92/'实盘净值数据(iFinD）'!$B$20:$Y$20)*(1-实盘持仓初始配置!$Z$5)^(('实盘净值数据(iFinD）'!$A92-'实盘净值数据(iFinD）'!$A$5)/365))</f>
        <v/>
      </c>
      <c r="F92" s="16" t="str">
        <f t="shared" si="7"/>
        <v/>
      </c>
      <c r="G92" s="16" t="str">
        <f>IF(E92="","",E92/MAX(E$5:E92)-1)</f>
        <v/>
      </c>
      <c r="H92" s="13" t="str">
        <f>IF(OR('实盘净值数据(iFinD）'!$A92="",'实盘净值数据(iFinD）'!$B92=""),"",分期持仓明细!$AB$19*SUMPRODUCT(分期持仓明细!$B$19:$Y$19,'实盘净值数据(iFinD）'!$B92:$Y92/'实盘净值数据(iFinD）'!$B$20:$Y$20)*(1-实盘持仓初始配置!$Z$6)^(('实盘净值数据(iFinD）'!$A92-'实盘净值数据(iFinD）'!$A$7)/365))</f>
        <v/>
      </c>
      <c r="I92" s="16" t="str">
        <f t="shared" si="8"/>
        <v/>
      </c>
      <c r="J92" s="16" t="str">
        <f>IF(H92="","",H92/MAX(H$5:H92)-1)</f>
        <v/>
      </c>
      <c r="K92" s="13" t="str">
        <f>IF(OR('实盘净值数据(iFinD）'!$A92="",'实盘净值数据(iFinD）'!$B92="",'实盘净值数据(iFinD）'!$Z92="",'实盘净值数据(iFinD）'!$AA92=""),"",分期持仓明细!$AB$23*(SUMPRODUCT(分期持仓明细!$B$23:$Y$23,'实盘净值数据(iFinD）'!$B92:$Y92/'实盘净值数据(iFinD）'!$B$65:$Y$65)+SUMPRODUCT(分期持仓明细!$AC$23:$AD$23,'实盘净值数据(iFinD）'!$Z92:$AA92/'实盘净值数据(iFinD）'!$Z$65:$AA$65))*(1-实盘持仓初始配置!$Z$7)^(('实盘净值数据(iFinD）'!$A92-'实盘净值数据(iFinD）'!$A$8)/365))</f>
        <v/>
      </c>
      <c r="L92" s="16" t="str">
        <f t="shared" si="9"/>
        <v/>
      </c>
      <c r="M92" s="16" t="str">
        <f>IF(K92="","",K92/MAX(K$5:K92)-1)</f>
        <v/>
      </c>
      <c r="N92" s="13" t="str">
        <f>IF(OR('实盘净值数据(iFinD）'!$A92="",'实盘净值数据(iFinD）'!$B92="",'实盘净值数据(iFinD）'!$Z92="",'实盘净值数据(iFinD）'!$AA92=""),"",分期持仓明细!$AB$24*(SUMPRODUCT(分期持仓明细!$B$24:$Y$24,'实盘净值数据(iFinD）'!$B92:$Y92/'实盘净值数据(iFinD）'!$B$65:$Y$65)+SUMPRODUCT(分期持仓明细!$AC$24:$AD$24,'实盘净值数据(iFinD）'!$Z92:$AA92/'实盘净值数据(iFinD）'!$Z$65:$AA$65))*(1-实盘持仓初始配置!$Z$8)^(('实盘净值数据(iFinD）'!$A92-'实盘净值数据(iFinD）'!$A$5)/365))</f>
        <v/>
      </c>
      <c r="O92" s="16" t="str">
        <f t="shared" si="10"/>
        <v/>
      </c>
      <c r="P92" s="16" t="str">
        <f>IF(N92="","",N92/MAX(N$5:N92)-1)</f>
        <v/>
      </c>
      <c r="Q92" s="13" t="str">
        <f>IF(OR('实盘净值数据(iFinD）'!$A92="",'实盘净值数据(iFinD）'!$B92="",'实盘净值数据(iFinD）'!$Z92="",'实盘净值数据(iFinD）'!$AA92=""),"",分期持仓明细!$AB$25*(SUMPRODUCT(分期持仓明细!$B$25:$Y$25,'实盘净值数据(iFinD）'!$B92:$Y92/'实盘净值数据(iFinD）'!$B$65:$Y$65)+SUMPRODUCT(分期持仓明细!$AC$25:$AD$25,'实盘净值数据(iFinD）'!$Z92:$AA92/'实盘净值数据(iFinD）'!$Z$65:$AA$65))*(1-实盘持仓初始配置!$Z$9)^(('实盘净值数据(iFinD）'!$A92-'实盘净值数据(iFinD）'!$A$8)/365))</f>
        <v/>
      </c>
      <c r="R92" s="16" t="str">
        <f t="shared" si="11"/>
        <v/>
      </c>
      <c r="S92" s="16" t="str">
        <f>IF(Q92="","",Q92/MAX(Q$5:Q92)-1)</f>
        <v/>
      </c>
      <c r="T92" s="13">
        <f>IF(OR('实盘净值数据(iFinD）'!$A92="",'实盘净值数据(iFinD）'!$B92="",'实盘净值数据(iFinD）'!$Z92="",'实盘净值数据(iFinD）'!$AA92="",'实盘净值数据(iFinD）'!$AB92="",'实盘净值数据(iFinD）'!$AL92=""),"",(SUMPRODUCT(分期持仓明细!$B$26:$Y$26,'实盘净值数据(iFinD）'!$B92:$Y92/'实盘净值数据(iFinD）'!$B$69:$Y$69)+SUMPRODUCT(分期持仓明细!$AC$26:$AD$26,'实盘净值数据(iFinD）'!$Z92:$AA92/'实盘净值数据(iFinD）'!$Z$69:$AA$69)+SUMPRODUCT(分期持仓明细!$AE$26:$AO$26,'实盘净值数据(iFinD）'!$AB92:$AL92/'实盘净值数据(iFinD）'!$AB$69:$AL$69))*(1-实盘持仓初始配置!$Z$10)^(('实盘净值数据(iFinD）'!$A92-'实盘净值数据(iFinD）'!$A$69)/365))</f>
        <v/>
      </c>
      <c r="U92" s="16">
        <f>IF(OR(T91="",T92=""),"",T92/T91-1)</f>
        <v/>
      </c>
      <c r="V92" s="16">
        <f>IF(T92="","",T92/MAX(T$5:T92)-1)</f>
        <v/>
      </c>
    </row>
    <row r="93" spans="1:19">
      <c r="A93" s="15" t="str">
        <f>IF('实盘净值数据(iFinD）'!A93="","",'实盘净值数据(iFinD）'!A93)</f>
        <v/>
      </c>
      <c r="B93" s="13" t="str">
        <f>IF(OR('实盘净值数据(iFinD）'!$A93="",'实盘净值数据(iFinD）'!$B93=""),"",分期持仓明细!$AB$17*SUMPRODUCT(分期持仓明细!$B$17:$Y$17,'实盘净值数据(iFinD）'!$B93:$Y93/'实盘净值数据(iFinD）'!$B$20:$Y$20)*(1-实盘持仓初始配置!$Z$4)^(('实盘净值数据(iFinD）'!$A93-'实盘净值数据(iFinD）'!$A$6)/365))</f>
        <v/>
      </c>
      <c r="C93" s="16" t="str">
        <f t="shared" si="6"/>
        <v/>
      </c>
      <c r="D93" s="16" t="str">
        <f>IF(B93="","",B93/MAX(B$5:B93)-1)</f>
        <v/>
      </c>
      <c r="E93" s="13" t="str">
        <f>IF(OR('实盘净值数据(iFinD）'!$A93="",'实盘净值数据(iFinD）'!$B93=""),"",分期持仓明细!$AB$18*SUMPRODUCT(分期持仓明细!$B$18:$Y$18,'实盘净值数据(iFinD）'!$B93:$Y93/'实盘净值数据(iFinD）'!$B$20:$Y$20)*(1-实盘持仓初始配置!$Z$5)^(('实盘净值数据(iFinD）'!$A93-'实盘净值数据(iFinD）'!$A$5)/365))</f>
        <v/>
      </c>
      <c r="F93" s="16" t="str">
        <f t="shared" si="7"/>
        <v/>
      </c>
      <c r="G93" s="16" t="str">
        <f>IF(E93="","",E93/MAX(E$5:E93)-1)</f>
        <v/>
      </c>
      <c r="H93" s="13" t="str">
        <f>IF(OR('实盘净值数据(iFinD）'!$A93="",'实盘净值数据(iFinD）'!$B93=""),"",分期持仓明细!$AB$19*SUMPRODUCT(分期持仓明细!$B$19:$Y$19,'实盘净值数据(iFinD）'!$B93:$Y93/'实盘净值数据(iFinD）'!$B$20:$Y$20)*(1-实盘持仓初始配置!$Z$6)^(('实盘净值数据(iFinD）'!$A93-'实盘净值数据(iFinD）'!$A$7)/365))</f>
        <v/>
      </c>
      <c r="I93" s="16" t="str">
        <f t="shared" si="8"/>
        <v/>
      </c>
      <c r="J93" s="16" t="str">
        <f>IF(H93="","",H93/MAX(H$5:H93)-1)</f>
        <v/>
      </c>
      <c r="K93" s="13" t="str">
        <f>IF(OR('实盘净值数据(iFinD）'!$A93="",'实盘净值数据(iFinD）'!$B93="",'实盘净值数据(iFinD）'!$Z93="",'实盘净值数据(iFinD）'!$AA93=""),"",分期持仓明细!$AB$23*(SUMPRODUCT(分期持仓明细!$B$23:$Y$23,'实盘净值数据(iFinD）'!$B93:$Y93/'实盘净值数据(iFinD）'!$B$65:$Y$65)+SUMPRODUCT(分期持仓明细!$AC$23:$AD$23,'实盘净值数据(iFinD）'!$Z93:$AA93/'实盘净值数据(iFinD）'!$Z$65:$AA$65))*(1-实盘持仓初始配置!$Z$7)^(('实盘净值数据(iFinD）'!$A93-'实盘净值数据(iFinD）'!$A$8)/365))</f>
        <v/>
      </c>
      <c r="L93" s="16" t="str">
        <f t="shared" si="9"/>
        <v/>
      </c>
      <c r="M93" s="16" t="str">
        <f>IF(K93="","",K93/MAX(K$5:K93)-1)</f>
        <v/>
      </c>
      <c r="N93" s="13" t="str">
        <f>IF(OR('实盘净值数据(iFinD）'!$A93="",'实盘净值数据(iFinD）'!$B93="",'实盘净值数据(iFinD）'!$Z93="",'实盘净值数据(iFinD）'!$AA93=""),"",分期持仓明细!$AB$24*(SUMPRODUCT(分期持仓明细!$B$24:$Y$24,'实盘净值数据(iFinD）'!$B93:$Y93/'实盘净值数据(iFinD）'!$B$65:$Y$65)+SUMPRODUCT(分期持仓明细!$AC$24:$AD$24,'实盘净值数据(iFinD）'!$Z93:$AA93/'实盘净值数据(iFinD）'!$Z$65:$AA$65))*(1-实盘持仓初始配置!$Z$8)^(('实盘净值数据(iFinD）'!$A93-'实盘净值数据(iFinD）'!$A$5)/365))</f>
        <v/>
      </c>
      <c r="O93" s="16" t="str">
        <f t="shared" si="10"/>
        <v/>
      </c>
      <c r="P93" s="16" t="str">
        <f>IF(N93="","",N93/MAX(N$5:N93)-1)</f>
        <v/>
      </c>
      <c r="Q93" s="13" t="str">
        <f>IF(OR('实盘净值数据(iFinD）'!$A93="",'实盘净值数据(iFinD）'!$B93="",'实盘净值数据(iFinD）'!$Z93="",'实盘净值数据(iFinD）'!$AA93=""),"",分期持仓明细!$AB$25*(SUMPRODUCT(分期持仓明细!$B$25:$Y$25,'实盘净值数据(iFinD）'!$B93:$Y93/'实盘净值数据(iFinD）'!$B$65:$Y$65)+SUMPRODUCT(分期持仓明细!$AC$25:$AD$25,'实盘净值数据(iFinD）'!$Z93:$AA93/'实盘净值数据(iFinD）'!$Z$65:$AA$65))*(1-实盘持仓初始配置!$Z$9)^(('实盘净值数据(iFinD）'!$A93-'实盘净值数据(iFinD）'!$A$8)/365))</f>
        <v/>
      </c>
      <c r="R93" s="16" t="str">
        <f t="shared" si="11"/>
        <v/>
      </c>
      <c r="S93" s="16" t="str">
        <f>IF(Q93="","",Q93/MAX(Q$5:Q93)-1)</f>
        <v/>
      </c>
      <c r="T93" s="13">
        <f>IF(OR('实盘净值数据(iFinD）'!$A93="",'实盘净值数据(iFinD）'!$B93="",'实盘净值数据(iFinD）'!$Z93="",'实盘净值数据(iFinD）'!$AA93="",'实盘净值数据(iFinD）'!$AB93="",'实盘净值数据(iFinD）'!$AL93=""),"",(SUMPRODUCT(分期持仓明细!$B$26:$Y$26,'实盘净值数据(iFinD）'!$B93:$Y93/'实盘净值数据(iFinD）'!$B$69:$Y$69)+SUMPRODUCT(分期持仓明细!$AC$26:$AD$26,'实盘净值数据(iFinD）'!$Z93:$AA93/'实盘净值数据(iFinD）'!$Z$69:$AA$69)+SUMPRODUCT(分期持仓明细!$AE$26:$AO$26,'实盘净值数据(iFinD）'!$AB93:$AL93/'实盘净值数据(iFinD）'!$AB$69:$AL$69))*(1-实盘持仓初始配置!$Z$10)^(('实盘净值数据(iFinD）'!$A93-'实盘净值数据(iFinD）'!$A$69)/365))</f>
        <v/>
      </c>
      <c r="U93" s="16">
        <f>IF(OR(T92="",T93=""),"",T93/T92-1)</f>
        <v/>
      </c>
      <c r="V93" s="16">
        <f>IF(T93="","",T93/MAX(T$5:T93)-1)</f>
        <v/>
      </c>
    </row>
    <row r="94" spans="1:19">
      <c r="A94" s="15" t="str">
        <f>IF('实盘净值数据(iFinD）'!A94="","",'实盘净值数据(iFinD）'!A94)</f>
        <v/>
      </c>
      <c r="B94" s="13" t="str">
        <f>IF(OR('实盘净值数据(iFinD）'!$A94="",'实盘净值数据(iFinD）'!$B94=""),"",分期持仓明细!$AB$17*SUMPRODUCT(分期持仓明细!$B$17:$Y$17,'实盘净值数据(iFinD）'!$B94:$Y94/'实盘净值数据(iFinD）'!$B$20:$Y$20)*(1-实盘持仓初始配置!$Z$4)^(('实盘净值数据(iFinD）'!$A94-'实盘净值数据(iFinD）'!$A$6)/365))</f>
        <v/>
      </c>
      <c r="C94" s="16" t="str">
        <f t="shared" si="6"/>
        <v/>
      </c>
      <c r="D94" s="16" t="str">
        <f>IF(B94="","",B94/MAX(B$5:B94)-1)</f>
        <v/>
      </c>
      <c r="E94" s="13" t="str">
        <f>IF(OR('实盘净值数据(iFinD）'!$A94="",'实盘净值数据(iFinD）'!$B94=""),"",分期持仓明细!$AB$18*SUMPRODUCT(分期持仓明细!$B$18:$Y$18,'实盘净值数据(iFinD）'!$B94:$Y94/'实盘净值数据(iFinD）'!$B$20:$Y$20)*(1-实盘持仓初始配置!$Z$5)^(('实盘净值数据(iFinD）'!$A94-'实盘净值数据(iFinD）'!$A$5)/365))</f>
        <v/>
      </c>
      <c r="F94" s="16" t="str">
        <f t="shared" si="7"/>
        <v/>
      </c>
      <c r="G94" s="16" t="str">
        <f>IF(E94="","",E94/MAX(E$5:E94)-1)</f>
        <v/>
      </c>
      <c r="H94" s="13" t="str">
        <f>IF(OR('实盘净值数据(iFinD）'!$A94="",'实盘净值数据(iFinD）'!$B94=""),"",分期持仓明细!$AB$19*SUMPRODUCT(分期持仓明细!$B$19:$Y$19,'实盘净值数据(iFinD）'!$B94:$Y94/'实盘净值数据(iFinD）'!$B$20:$Y$20)*(1-实盘持仓初始配置!$Z$6)^(('实盘净值数据(iFinD）'!$A94-'实盘净值数据(iFinD）'!$A$7)/365))</f>
        <v/>
      </c>
      <c r="I94" s="16" t="str">
        <f t="shared" si="8"/>
        <v/>
      </c>
      <c r="J94" s="16" t="str">
        <f>IF(H94="","",H94/MAX(H$5:H94)-1)</f>
        <v/>
      </c>
      <c r="K94" s="13" t="str">
        <f>IF(OR('实盘净值数据(iFinD）'!$A94="",'实盘净值数据(iFinD）'!$B94="",'实盘净值数据(iFinD）'!$Z94="",'实盘净值数据(iFinD）'!$AA94=""),"",分期持仓明细!$AB$23*(SUMPRODUCT(分期持仓明细!$B$23:$Y$23,'实盘净值数据(iFinD）'!$B94:$Y94/'实盘净值数据(iFinD）'!$B$65:$Y$65)+SUMPRODUCT(分期持仓明细!$AC$23:$AD$23,'实盘净值数据(iFinD）'!$Z94:$AA94/'实盘净值数据(iFinD）'!$Z$65:$AA$65))*(1-实盘持仓初始配置!$Z$7)^(('实盘净值数据(iFinD）'!$A94-'实盘净值数据(iFinD）'!$A$8)/365))</f>
        <v/>
      </c>
      <c r="L94" s="16" t="str">
        <f t="shared" si="9"/>
        <v/>
      </c>
      <c r="M94" s="16" t="str">
        <f>IF(K94="","",K94/MAX(K$5:K94)-1)</f>
        <v/>
      </c>
      <c r="N94" s="13" t="str">
        <f>IF(OR('实盘净值数据(iFinD）'!$A94="",'实盘净值数据(iFinD）'!$B94="",'实盘净值数据(iFinD）'!$Z94="",'实盘净值数据(iFinD）'!$AA94=""),"",分期持仓明细!$AB$24*(SUMPRODUCT(分期持仓明细!$B$24:$Y$24,'实盘净值数据(iFinD）'!$B94:$Y94/'实盘净值数据(iFinD）'!$B$65:$Y$65)+SUMPRODUCT(分期持仓明细!$AC$24:$AD$24,'实盘净值数据(iFinD）'!$Z94:$AA94/'实盘净值数据(iFinD）'!$Z$65:$AA$65))*(1-实盘持仓初始配置!$Z$8)^(('实盘净值数据(iFinD）'!$A94-'实盘净值数据(iFinD）'!$A$5)/365))</f>
        <v/>
      </c>
      <c r="O94" s="16" t="str">
        <f t="shared" si="10"/>
        <v/>
      </c>
      <c r="P94" s="16" t="str">
        <f>IF(N94="","",N94/MAX(N$5:N94)-1)</f>
        <v/>
      </c>
      <c r="Q94" s="13" t="str">
        <f>IF(OR('实盘净值数据(iFinD）'!$A94="",'实盘净值数据(iFinD）'!$B94="",'实盘净值数据(iFinD）'!$Z94="",'实盘净值数据(iFinD）'!$AA94=""),"",分期持仓明细!$AB$25*(SUMPRODUCT(分期持仓明细!$B$25:$Y$25,'实盘净值数据(iFinD）'!$B94:$Y94/'实盘净值数据(iFinD）'!$B$65:$Y$65)+SUMPRODUCT(分期持仓明细!$AC$25:$AD$25,'实盘净值数据(iFinD）'!$Z94:$AA94/'实盘净值数据(iFinD）'!$Z$65:$AA$65))*(1-实盘持仓初始配置!$Z$9)^(('实盘净值数据(iFinD）'!$A94-'实盘净值数据(iFinD）'!$A$8)/365))</f>
        <v/>
      </c>
      <c r="R94" s="16" t="str">
        <f t="shared" si="11"/>
        <v/>
      </c>
      <c r="S94" s="16" t="str">
        <f>IF(Q94="","",Q94/MAX(Q$5:Q94)-1)</f>
        <v/>
      </c>
      <c r="T94" s="13">
        <f>IF(OR('实盘净值数据(iFinD）'!$A94="",'实盘净值数据(iFinD）'!$B94="",'实盘净值数据(iFinD）'!$Z94="",'实盘净值数据(iFinD）'!$AA94="",'实盘净值数据(iFinD）'!$AB94="",'实盘净值数据(iFinD）'!$AL94=""),"",(SUMPRODUCT(分期持仓明细!$B$26:$Y$26,'实盘净值数据(iFinD）'!$B94:$Y94/'实盘净值数据(iFinD）'!$B$69:$Y$69)+SUMPRODUCT(分期持仓明细!$AC$26:$AD$26,'实盘净值数据(iFinD）'!$Z94:$AA94/'实盘净值数据(iFinD）'!$Z$69:$AA$69)+SUMPRODUCT(分期持仓明细!$AE$26:$AO$26,'实盘净值数据(iFinD）'!$AB94:$AL94/'实盘净值数据(iFinD）'!$AB$69:$AL$69))*(1-实盘持仓初始配置!$Z$10)^(('实盘净值数据(iFinD）'!$A94-'实盘净值数据(iFinD）'!$A$69)/365))</f>
        <v/>
      </c>
      <c r="U94" s="16">
        <f>IF(OR(T93="",T94=""),"",T94/T93-1)</f>
        <v/>
      </c>
      <c r="V94" s="16">
        <f>IF(T94="","",T94/MAX(T$5:T94)-1)</f>
        <v/>
      </c>
    </row>
    <row r="95" spans="1:19">
      <c r="A95" s="15" t="str">
        <f>IF('实盘净值数据(iFinD）'!A95="","",'实盘净值数据(iFinD）'!A95)</f>
        <v/>
      </c>
      <c r="B95" s="13" t="str">
        <f>IF(OR('实盘净值数据(iFinD）'!$A95="",'实盘净值数据(iFinD）'!$B95=""),"",分期持仓明细!$AB$17*SUMPRODUCT(分期持仓明细!$B$17:$Y$17,'实盘净值数据(iFinD）'!$B95:$Y95/'实盘净值数据(iFinD）'!$B$20:$Y$20)*(1-实盘持仓初始配置!$Z$4)^(('实盘净值数据(iFinD）'!$A95-'实盘净值数据(iFinD）'!$A$6)/365))</f>
        <v/>
      </c>
      <c r="C95" s="16" t="str">
        <f t="shared" si="6"/>
        <v/>
      </c>
      <c r="D95" s="16" t="str">
        <f>IF(B95="","",B95/MAX(B$5:B95)-1)</f>
        <v/>
      </c>
      <c r="E95" s="13" t="str">
        <f>IF(OR('实盘净值数据(iFinD）'!$A95="",'实盘净值数据(iFinD）'!$B95=""),"",分期持仓明细!$AB$18*SUMPRODUCT(分期持仓明细!$B$18:$Y$18,'实盘净值数据(iFinD）'!$B95:$Y95/'实盘净值数据(iFinD）'!$B$20:$Y$20)*(1-实盘持仓初始配置!$Z$5)^(('实盘净值数据(iFinD）'!$A95-'实盘净值数据(iFinD）'!$A$5)/365))</f>
        <v/>
      </c>
      <c r="F95" s="16" t="str">
        <f t="shared" si="7"/>
        <v/>
      </c>
      <c r="G95" s="16" t="str">
        <f>IF(E95="","",E95/MAX(E$5:E95)-1)</f>
        <v/>
      </c>
      <c r="H95" s="13" t="str">
        <f>IF(OR('实盘净值数据(iFinD）'!$A95="",'实盘净值数据(iFinD）'!$B95=""),"",分期持仓明细!$AB$19*SUMPRODUCT(分期持仓明细!$B$19:$Y$19,'实盘净值数据(iFinD）'!$B95:$Y95/'实盘净值数据(iFinD）'!$B$20:$Y$20)*(1-实盘持仓初始配置!$Z$6)^(('实盘净值数据(iFinD）'!$A95-'实盘净值数据(iFinD）'!$A$7)/365))</f>
        <v/>
      </c>
      <c r="I95" s="16" t="str">
        <f t="shared" si="8"/>
        <v/>
      </c>
      <c r="J95" s="16" t="str">
        <f>IF(H95="","",H95/MAX(H$5:H95)-1)</f>
        <v/>
      </c>
      <c r="K95" s="13" t="str">
        <f>IF(OR('实盘净值数据(iFinD）'!$A95="",'实盘净值数据(iFinD）'!$B95="",'实盘净值数据(iFinD）'!$Z95="",'实盘净值数据(iFinD）'!$AA95=""),"",分期持仓明细!$AB$23*(SUMPRODUCT(分期持仓明细!$B$23:$Y$23,'实盘净值数据(iFinD）'!$B95:$Y95/'实盘净值数据(iFinD）'!$B$65:$Y$65)+SUMPRODUCT(分期持仓明细!$AC$23:$AD$23,'实盘净值数据(iFinD）'!$Z95:$AA95/'实盘净值数据(iFinD）'!$Z$65:$AA$65))*(1-实盘持仓初始配置!$Z$7)^(('实盘净值数据(iFinD）'!$A95-'实盘净值数据(iFinD）'!$A$8)/365))</f>
        <v/>
      </c>
      <c r="L95" s="16" t="str">
        <f t="shared" si="9"/>
        <v/>
      </c>
      <c r="M95" s="16" t="str">
        <f>IF(K95="","",K95/MAX(K$5:K95)-1)</f>
        <v/>
      </c>
      <c r="N95" s="13" t="str">
        <f>IF(OR('实盘净值数据(iFinD）'!$A95="",'实盘净值数据(iFinD）'!$B95="",'实盘净值数据(iFinD）'!$Z95="",'实盘净值数据(iFinD）'!$AA95=""),"",分期持仓明细!$AB$24*(SUMPRODUCT(分期持仓明细!$B$24:$Y$24,'实盘净值数据(iFinD）'!$B95:$Y95/'实盘净值数据(iFinD）'!$B$65:$Y$65)+SUMPRODUCT(分期持仓明细!$AC$24:$AD$24,'实盘净值数据(iFinD）'!$Z95:$AA95/'实盘净值数据(iFinD）'!$Z$65:$AA$65))*(1-实盘持仓初始配置!$Z$8)^(('实盘净值数据(iFinD）'!$A95-'实盘净值数据(iFinD）'!$A$5)/365))</f>
        <v/>
      </c>
      <c r="O95" s="16" t="str">
        <f t="shared" si="10"/>
        <v/>
      </c>
      <c r="P95" s="16" t="str">
        <f>IF(N95="","",N95/MAX(N$5:N95)-1)</f>
        <v/>
      </c>
      <c r="Q95" s="13" t="str">
        <f>IF(OR('实盘净值数据(iFinD）'!$A95="",'实盘净值数据(iFinD）'!$B95="",'实盘净值数据(iFinD）'!$Z95="",'实盘净值数据(iFinD）'!$AA95=""),"",分期持仓明细!$AB$25*(SUMPRODUCT(分期持仓明细!$B$25:$Y$25,'实盘净值数据(iFinD）'!$B95:$Y95/'实盘净值数据(iFinD）'!$B$65:$Y$65)+SUMPRODUCT(分期持仓明细!$AC$25:$AD$25,'实盘净值数据(iFinD）'!$Z95:$AA95/'实盘净值数据(iFinD）'!$Z$65:$AA$65))*(1-实盘持仓初始配置!$Z$9)^(('实盘净值数据(iFinD）'!$A95-'实盘净值数据(iFinD）'!$A$8)/365))</f>
        <v/>
      </c>
      <c r="R95" s="16" t="str">
        <f t="shared" si="11"/>
        <v/>
      </c>
      <c r="S95" s="16" t="str">
        <f>IF(Q95="","",Q95/MAX(Q$5:Q95)-1)</f>
        <v/>
      </c>
      <c r="T95" s="13">
        <f>IF(OR('实盘净值数据(iFinD）'!$A95="",'实盘净值数据(iFinD）'!$B95="",'实盘净值数据(iFinD）'!$Z95="",'实盘净值数据(iFinD）'!$AA95="",'实盘净值数据(iFinD）'!$AB95="",'实盘净值数据(iFinD）'!$AL95=""),"",(SUMPRODUCT(分期持仓明细!$B$26:$Y$26,'实盘净值数据(iFinD）'!$B95:$Y95/'实盘净值数据(iFinD）'!$B$69:$Y$69)+SUMPRODUCT(分期持仓明细!$AC$26:$AD$26,'实盘净值数据(iFinD）'!$Z95:$AA95/'实盘净值数据(iFinD）'!$Z$69:$AA$69)+SUMPRODUCT(分期持仓明细!$AE$26:$AO$26,'实盘净值数据(iFinD）'!$AB95:$AL95/'实盘净值数据(iFinD）'!$AB$69:$AL$69))*(1-实盘持仓初始配置!$Z$10)^(('实盘净值数据(iFinD）'!$A95-'实盘净值数据(iFinD）'!$A$69)/365))</f>
        <v/>
      </c>
      <c r="U95" s="16">
        <f>IF(OR(T94="",T95=""),"",T95/T94-1)</f>
        <v/>
      </c>
      <c r="V95" s="16">
        <f>IF(T95="","",T95/MAX(T$5:T95)-1)</f>
        <v/>
      </c>
    </row>
    <row r="96" spans="1:19">
      <c r="A96" s="15" t="str">
        <f>IF('实盘净值数据(iFinD）'!A96="","",'实盘净值数据(iFinD）'!A96)</f>
        <v/>
      </c>
      <c r="B96" s="13" t="str">
        <f>IF(OR('实盘净值数据(iFinD）'!$A96="",'实盘净值数据(iFinD）'!$B96=""),"",分期持仓明细!$AB$17*SUMPRODUCT(分期持仓明细!$B$17:$Y$17,'实盘净值数据(iFinD）'!$B96:$Y96/'实盘净值数据(iFinD）'!$B$20:$Y$20)*(1-实盘持仓初始配置!$Z$4)^(('实盘净值数据(iFinD）'!$A96-'实盘净值数据(iFinD）'!$A$6)/365))</f>
        <v/>
      </c>
      <c r="C96" s="16" t="str">
        <f t="shared" si="6"/>
        <v/>
      </c>
      <c r="D96" s="16" t="str">
        <f>IF(B96="","",B96/MAX(B$5:B96)-1)</f>
        <v/>
      </c>
      <c r="E96" s="13" t="str">
        <f>IF(OR('实盘净值数据(iFinD）'!$A96="",'实盘净值数据(iFinD）'!$B96=""),"",分期持仓明细!$AB$18*SUMPRODUCT(分期持仓明细!$B$18:$Y$18,'实盘净值数据(iFinD）'!$B96:$Y96/'实盘净值数据(iFinD）'!$B$20:$Y$20)*(1-实盘持仓初始配置!$Z$5)^(('实盘净值数据(iFinD）'!$A96-'实盘净值数据(iFinD）'!$A$5)/365))</f>
        <v/>
      </c>
      <c r="F96" s="16" t="str">
        <f t="shared" si="7"/>
        <v/>
      </c>
      <c r="G96" s="16" t="str">
        <f>IF(E96="","",E96/MAX(E$5:E96)-1)</f>
        <v/>
      </c>
      <c r="H96" s="13" t="str">
        <f>IF(OR('实盘净值数据(iFinD）'!$A96="",'实盘净值数据(iFinD）'!$B96=""),"",分期持仓明细!$AB$19*SUMPRODUCT(分期持仓明细!$B$19:$Y$19,'实盘净值数据(iFinD）'!$B96:$Y96/'实盘净值数据(iFinD）'!$B$20:$Y$20)*(1-实盘持仓初始配置!$Z$6)^(('实盘净值数据(iFinD）'!$A96-'实盘净值数据(iFinD）'!$A$7)/365))</f>
        <v/>
      </c>
      <c r="I96" s="16" t="str">
        <f t="shared" si="8"/>
        <v/>
      </c>
      <c r="J96" s="16" t="str">
        <f>IF(H96="","",H96/MAX(H$5:H96)-1)</f>
        <v/>
      </c>
      <c r="K96" s="13" t="str">
        <f>IF(OR('实盘净值数据(iFinD）'!$A96="",'实盘净值数据(iFinD）'!$B96="",'实盘净值数据(iFinD）'!$Z96="",'实盘净值数据(iFinD）'!$AA96=""),"",分期持仓明细!$AB$23*(SUMPRODUCT(分期持仓明细!$B$23:$Y$23,'实盘净值数据(iFinD）'!$B96:$Y96/'实盘净值数据(iFinD）'!$B$65:$Y$65)+SUMPRODUCT(分期持仓明细!$AC$23:$AD$23,'实盘净值数据(iFinD）'!$Z96:$AA96/'实盘净值数据(iFinD）'!$Z$65:$AA$65))*(1-实盘持仓初始配置!$Z$7)^(('实盘净值数据(iFinD）'!$A96-'实盘净值数据(iFinD）'!$A$8)/365))</f>
        <v/>
      </c>
      <c r="L96" s="16" t="str">
        <f t="shared" si="9"/>
        <v/>
      </c>
      <c r="M96" s="16" t="str">
        <f>IF(K96="","",K96/MAX(K$5:K96)-1)</f>
        <v/>
      </c>
      <c r="N96" s="13" t="str">
        <f>IF(OR('实盘净值数据(iFinD）'!$A96="",'实盘净值数据(iFinD）'!$B96="",'实盘净值数据(iFinD）'!$Z96="",'实盘净值数据(iFinD）'!$AA96=""),"",分期持仓明细!$AB$24*(SUMPRODUCT(分期持仓明细!$B$24:$Y$24,'实盘净值数据(iFinD）'!$B96:$Y96/'实盘净值数据(iFinD）'!$B$65:$Y$65)+SUMPRODUCT(分期持仓明细!$AC$24:$AD$24,'实盘净值数据(iFinD）'!$Z96:$AA96/'实盘净值数据(iFinD）'!$Z$65:$AA$65))*(1-实盘持仓初始配置!$Z$8)^(('实盘净值数据(iFinD）'!$A96-'实盘净值数据(iFinD）'!$A$5)/365))</f>
        <v/>
      </c>
      <c r="O96" s="16" t="str">
        <f t="shared" si="10"/>
        <v/>
      </c>
      <c r="P96" s="16" t="str">
        <f>IF(N96="","",N96/MAX(N$5:N96)-1)</f>
        <v/>
      </c>
      <c r="Q96" s="13" t="str">
        <f>IF(OR('实盘净值数据(iFinD）'!$A96="",'实盘净值数据(iFinD）'!$B96="",'实盘净值数据(iFinD）'!$Z96="",'实盘净值数据(iFinD）'!$AA96=""),"",分期持仓明细!$AB$25*(SUMPRODUCT(分期持仓明细!$B$25:$Y$25,'实盘净值数据(iFinD）'!$B96:$Y96/'实盘净值数据(iFinD）'!$B$65:$Y$65)+SUMPRODUCT(分期持仓明细!$AC$25:$AD$25,'实盘净值数据(iFinD）'!$Z96:$AA96/'实盘净值数据(iFinD）'!$Z$65:$AA$65))*(1-实盘持仓初始配置!$Z$9)^(('实盘净值数据(iFinD）'!$A96-'实盘净值数据(iFinD）'!$A$8)/365))</f>
        <v/>
      </c>
      <c r="R96" s="16" t="str">
        <f t="shared" si="11"/>
        <v/>
      </c>
      <c r="S96" s="16" t="str">
        <f>IF(Q96="","",Q96/MAX(Q$5:Q96)-1)</f>
        <v/>
      </c>
      <c r="T96" s="13">
        <f>IF(OR('实盘净值数据(iFinD）'!$A96="",'实盘净值数据(iFinD）'!$B96="",'实盘净值数据(iFinD）'!$Z96="",'实盘净值数据(iFinD）'!$AA96="",'实盘净值数据(iFinD）'!$AB96="",'实盘净值数据(iFinD）'!$AL96=""),"",(SUMPRODUCT(分期持仓明细!$B$26:$Y$26,'实盘净值数据(iFinD）'!$B96:$Y96/'实盘净值数据(iFinD）'!$B$69:$Y$69)+SUMPRODUCT(分期持仓明细!$AC$26:$AD$26,'实盘净值数据(iFinD）'!$Z96:$AA96/'实盘净值数据(iFinD）'!$Z$69:$AA$69)+SUMPRODUCT(分期持仓明细!$AE$26:$AO$26,'实盘净值数据(iFinD）'!$AB96:$AL96/'实盘净值数据(iFinD）'!$AB$69:$AL$69))*(1-实盘持仓初始配置!$Z$10)^(('实盘净值数据(iFinD）'!$A96-'实盘净值数据(iFinD）'!$A$69)/365))</f>
        <v/>
      </c>
      <c r="U96" s="16">
        <f>IF(OR(T95="",T96=""),"",T96/T95-1)</f>
        <v/>
      </c>
      <c r="V96" s="16">
        <f>IF(T96="","",T96/MAX(T$5:T96)-1)</f>
        <v/>
      </c>
    </row>
    <row r="97" spans="1:19">
      <c r="A97" s="15" t="str">
        <f>IF('实盘净值数据(iFinD）'!A97="","",'实盘净值数据(iFinD）'!A97)</f>
        <v/>
      </c>
      <c r="B97" s="13" t="str">
        <f>IF(OR('实盘净值数据(iFinD）'!$A97="",'实盘净值数据(iFinD）'!$B97=""),"",分期持仓明细!$AB$17*SUMPRODUCT(分期持仓明细!$B$17:$Y$17,'实盘净值数据(iFinD）'!$B97:$Y97/'实盘净值数据(iFinD）'!$B$20:$Y$20)*(1-实盘持仓初始配置!$Z$4)^(('实盘净值数据(iFinD）'!$A97-'实盘净值数据(iFinD）'!$A$6)/365))</f>
        <v/>
      </c>
      <c r="C97" s="16" t="str">
        <f t="shared" si="6"/>
        <v/>
      </c>
      <c r="D97" s="16" t="str">
        <f>IF(B97="","",B97/MAX(B$5:B97)-1)</f>
        <v/>
      </c>
      <c r="E97" s="13" t="str">
        <f>IF(OR('实盘净值数据(iFinD）'!$A97="",'实盘净值数据(iFinD）'!$B97=""),"",分期持仓明细!$AB$18*SUMPRODUCT(分期持仓明细!$B$18:$Y$18,'实盘净值数据(iFinD）'!$B97:$Y97/'实盘净值数据(iFinD）'!$B$20:$Y$20)*(1-实盘持仓初始配置!$Z$5)^(('实盘净值数据(iFinD）'!$A97-'实盘净值数据(iFinD）'!$A$5)/365))</f>
        <v/>
      </c>
      <c r="F97" s="16" t="str">
        <f t="shared" si="7"/>
        <v/>
      </c>
      <c r="G97" s="16" t="str">
        <f>IF(E97="","",E97/MAX(E$5:E97)-1)</f>
        <v/>
      </c>
      <c r="H97" s="13" t="str">
        <f>IF(OR('实盘净值数据(iFinD）'!$A97="",'实盘净值数据(iFinD）'!$B97=""),"",分期持仓明细!$AB$19*SUMPRODUCT(分期持仓明细!$B$19:$Y$19,'实盘净值数据(iFinD）'!$B97:$Y97/'实盘净值数据(iFinD）'!$B$20:$Y$20)*(1-实盘持仓初始配置!$Z$6)^(('实盘净值数据(iFinD）'!$A97-'实盘净值数据(iFinD）'!$A$7)/365))</f>
        <v/>
      </c>
      <c r="I97" s="16" t="str">
        <f t="shared" si="8"/>
        <v/>
      </c>
      <c r="J97" s="16" t="str">
        <f>IF(H97="","",H97/MAX(H$5:H97)-1)</f>
        <v/>
      </c>
      <c r="K97" s="13" t="str">
        <f>IF(OR('实盘净值数据(iFinD）'!$A97="",'实盘净值数据(iFinD）'!$B97="",'实盘净值数据(iFinD）'!$Z97="",'实盘净值数据(iFinD）'!$AA97=""),"",分期持仓明细!$AB$23*(SUMPRODUCT(分期持仓明细!$B$23:$Y$23,'实盘净值数据(iFinD）'!$B97:$Y97/'实盘净值数据(iFinD）'!$B$65:$Y$65)+SUMPRODUCT(分期持仓明细!$AC$23:$AD$23,'实盘净值数据(iFinD）'!$Z97:$AA97/'实盘净值数据(iFinD）'!$Z$65:$AA$65))*(1-实盘持仓初始配置!$Z$7)^(('实盘净值数据(iFinD）'!$A97-'实盘净值数据(iFinD）'!$A$8)/365))</f>
        <v/>
      </c>
      <c r="L97" s="16" t="str">
        <f t="shared" si="9"/>
        <v/>
      </c>
      <c r="M97" s="16" t="str">
        <f>IF(K97="","",K97/MAX(K$5:K97)-1)</f>
        <v/>
      </c>
      <c r="N97" s="13" t="str">
        <f>IF(OR('实盘净值数据(iFinD）'!$A97="",'实盘净值数据(iFinD）'!$B97="",'实盘净值数据(iFinD）'!$Z97="",'实盘净值数据(iFinD）'!$AA97=""),"",分期持仓明细!$AB$24*(SUMPRODUCT(分期持仓明细!$B$24:$Y$24,'实盘净值数据(iFinD）'!$B97:$Y97/'实盘净值数据(iFinD）'!$B$65:$Y$65)+SUMPRODUCT(分期持仓明细!$AC$24:$AD$24,'实盘净值数据(iFinD）'!$Z97:$AA97/'实盘净值数据(iFinD）'!$Z$65:$AA$65))*(1-实盘持仓初始配置!$Z$8)^(('实盘净值数据(iFinD）'!$A97-'实盘净值数据(iFinD）'!$A$5)/365))</f>
        <v/>
      </c>
      <c r="O97" s="16" t="str">
        <f t="shared" si="10"/>
        <v/>
      </c>
      <c r="P97" s="16" t="str">
        <f>IF(N97="","",N97/MAX(N$5:N97)-1)</f>
        <v/>
      </c>
      <c r="Q97" s="13" t="str">
        <f>IF(OR('实盘净值数据(iFinD）'!$A97="",'实盘净值数据(iFinD）'!$B97="",'实盘净值数据(iFinD）'!$Z97="",'实盘净值数据(iFinD）'!$AA97=""),"",分期持仓明细!$AB$25*(SUMPRODUCT(分期持仓明细!$B$25:$Y$25,'实盘净值数据(iFinD）'!$B97:$Y97/'实盘净值数据(iFinD）'!$B$65:$Y$65)+SUMPRODUCT(分期持仓明细!$AC$25:$AD$25,'实盘净值数据(iFinD）'!$Z97:$AA97/'实盘净值数据(iFinD）'!$Z$65:$AA$65))*(1-实盘持仓初始配置!$Z$9)^(('实盘净值数据(iFinD）'!$A97-'实盘净值数据(iFinD）'!$A$8)/365))</f>
        <v/>
      </c>
      <c r="R97" s="16" t="str">
        <f t="shared" si="11"/>
        <v/>
      </c>
      <c r="S97" s="16" t="str">
        <f>IF(Q97="","",Q97/MAX(Q$5:Q97)-1)</f>
        <v/>
      </c>
      <c r="T97" s="13">
        <f>IF(OR('实盘净值数据(iFinD）'!$A97="",'实盘净值数据(iFinD）'!$B97="",'实盘净值数据(iFinD）'!$Z97="",'实盘净值数据(iFinD）'!$AA97="",'实盘净值数据(iFinD）'!$AB97="",'实盘净值数据(iFinD）'!$AL97=""),"",(SUMPRODUCT(分期持仓明细!$B$26:$Y$26,'实盘净值数据(iFinD）'!$B97:$Y97/'实盘净值数据(iFinD）'!$B$69:$Y$69)+SUMPRODUCT(分期持仓明细!$AC$26:$AD$26,'实盘净值数据(iFinD）'!$Z97:$AA97/'实盘净值数据(iFinD）'!$Z$69:$AA$69)+SUMPRODUCT(分期持仓明细!$AE$26:$AO$26,'实盘净值数据(iFinD）'!$AB97:$AL97/'实盘净值数据(iFinD）'!$AB$69:$AL$69))*(1-实盘持仓初始配置!$Z$10)^(('实盘净值数据(iFinD）'!$A97-'实盘净值数据(iFinD）'!$A$69)/365))</f>
        <v/>
      </c>
      <c r="U97" s="16">
        <f>IF(OR(T96="",T97=""),"",T97/T96-1)</f>
        <v/>
      </c>
      <c r="V97" s="16">
        <f>IF(T97="","",T97/MAX(T$5:T97)-1)</f>
        <v/>
      </c>
    </row>
    <row r="98" spans="1:19">
      <c r="A98" s="15" t="str">
        <f>IF('实盘净值数据(iFinD）'!A98="","",'实盘净值数据(iFinD）'!A98)</f>
        <v/>
      </c>
      <c r="B98" s="13" t="str">
        <f>IF(OR('实盘净值数据(iFinD）'!$A98="",'实盘净值数据(iFinD）'!$B98=""),"",分期持仓明细!$AB$17*SUMPRODUCT(分期持仓明细!$B$17:$Y$17,'实盘净值数据(iFinD）'!$B98:$Y98/'实盘净值数据(iFinD）'!$B$20:$Y$20)*(1-实盘持仓初始配置!$Z$4)^(('实盘净值数据(iFinD）'!$A98-'实盘净值数据(iFinD）'!$A$6)/365))</f>
        <v/>
      </c>
      <c r="C98" s="16" t="str">
        <f t="shared" si="6"/>
        <v/>
      </c>
      <c r="D98" s="16" t="str">
        <f>IF(B98="","",B98/MAX(B$5:B98)-1)</f>
        <v/>
      </c>
      <c r="E98" s="13" t="str">
        <f>IF(OR('实盘净值数据(iFinD）'!$A98="",'实盘净值数据(iFinD）'!$B98=""),"",分期持仓明细!$AB$18*SUMPRODUCT(分期持仓明细!$B$18:$Y$18,'实盘净值数据(iFinD）'!$B98:$Y98/'实盘净值数据(iFinD）'!$B$20:$Y$20)*(1-实盘持仓初始配置!$Z$5)^(('实盘净值数据(iFinD）'!$A98-'实盘净值数据(iFinD）'!$A$5)/365))</f>
        <v/>
      </c>
      <c r="F98" s="16" t="str">
        <f t="shared" si="7"/>
        <v/>
      </c>
      <c r="G98" s="16" t="str">
        <f>IF(E98="","",E98/MAX(E$5:E98)-1)</f>
        <v/>
      </c>
      <c r="H98" s="13" t="str">
        <f>IF(OR('实盘净值数据(iFinD）'!$A98="",'实盘净值数据(iFinD）'!$B98=""),"",分期持仓明细!$AB$19*SUMPRODUCT(分期持仓明细!$B$19:$Y$19,'实盘净值数据(iFinD）'!$B98:$Y98/'实盘净值数据(iFinD）'!$B$20:$Y$20)*(1-实盘持仓初始配置!$Z$6)^(('实盘净值数据(iFinD）'!$A98-'实盘净值数据(iFinD）'!$A$7)/365))</f>
        <v/>
      </c>
      <c r="I98" s="16" t="str">
        <f t="shared" si="8"/>
        <v/>
      </c>
      <c r="J98" s="16" t="str">
        <f>IF(H98="","",H98/MAX(H$5:H98)-1)</f>
        <v/>
      </c>
      <c r="K98" s="13" t="str">
        <f>IF(OR('实盘净值数据(iFinD）'!$A98="",'实盘净值数据(iFinD）'!$B98="",'实盘净值数据(iFinD）'!$Z98="",'实盘净值数据(iFinD）'!$AA98=""),"",分期持仓明细!$AB$23*(SUMPRODUCT(分期持仓明细!$B$23:$Y$23,'实盘净值数据(iFinD）'!$B98:$Y98/'实盘净值数据(iFinD）'!$B$65:$Y$65)+SUMPRODUCT(分期持仓明细!$AC$23:$AD$23,'实盘净值数据(iFinD）'!$Z98:$AA98/'实盘净值数据(iFinD）'!$Z$65:$AA$65))*(1-实盘持仓初始配置!$Z$7)^(('实盘净值数据(iFinD）'!$A98-'实盘净值数据(iFinD）'!$A$8)/365))</f>
        <v/>
      </c>
      <c r="L98" s="16" t="str">
        <f t="shared" si="9"/>
        <v/>
      </c>
      <c r="M98" s="16" t="str">
        <f>IF(K98="","",K98/MAX(K$5:K98)-1)</f>
        <v/>
      </c>
      <c r="N98" s="13" t="str">
        <f>IF(OR('实盘净值数据(iFinD）'!$A98="",'实盘净值数据(iFinD）'!$B98="",'实盘净值数据(iFinD）'!$Z98="",'实盘净值数据(iFinD）'!$AA98=""),"",分期持仓明细!$AB$24*(SUMPRODUCT(分期持仓明细!$B$24:$Y$24,'实盘净值数据(iFinD）'!$B98:$Y98/'实盘净值数据(iFinD）'!$B$65:$Y$65)+SUMPRODUCT(分期持仓明细!$AC$24:$AD$24,'实盘净值数据(iFinD）'!$Z98:$AA98/'实盘净值数据(iFinD）'!$Z$65:$AA$65))*(1-实盘持仓初始配置!$Z$8)^(('实盘净值数据(iFinD）'!$A98-'实盘净值数据(iFinD）'!$A$5)/365))</f>
        <v/>
      </c>
      <c r="O98" s="16" t="str">
        <f t="shared" si="10"/>
        <v/>
      </c>
      <c r="P98" s="16" t="str">
        <f>IF(N98="","",N98/MAX(N$5:N98)-1)</f>
        <v/>
      </c>
      <c r="Q98" s="13" t="str">
        <f>IF(OR('实盘净值数据(iFinD）'!$A98="",'实盘净值数据(iFinD）'!$B98="",'实盘净值数据(iFinD）'!$Z98="",'实盘净值数据(iFinD）'!$AA98=""),"",分期持仓明细!$AB$25*(SUMPRODUCT(分期持仓明细!$B$25:$Y$25,'实盘净值数据(iFinD）'!$B98:$Y98/'实盘净值数据(iFinD）'!$B$65:$Y$65)+SUMPRODUCT(分期持仓明细!$AC$25:$AD$25,'实盘净值数据(iFinD）'!$Z98:$AA98/'实盘净值数据(iFinD）'!$Z$65:$AA$65))*(1-实盘持仓初始配置!$Z$9)^(('实盘净值数据(iFinD）'!$A98-'实盘净值数据(iFinD）'!$A$8)/365))</f>
        <v/>
      </c>
      <c r="R98" s="16" t="str">
        <f t="shared" si="11"/>
        <v/>
      </c>
      <c r="S98" s="16" t="str">
        <f>IF(Q98="","",Q98/MAX(Q$5:Q98)-1)</f>
        <v/>
      </c>
      <c r="T98" s="13">
        <f>IF(OR('实盘净值数据(iFinD）'!$A98="",'实盘净值数据(iFinD）'!$B98="",'实盘净值数据(iFinD）'!$Z98="",'实盘净值数据(iFinD）'!$AA98="",'实盘净值数据(iFinD）'!$AB98="",'实盘净值数据(iFinD）'!$AL98=""),"",(SUMPRODUCT(分期持仓明细!$B$26:$Y$26,'实盘净值数据(iFinD）'!$B98:$Y98/'实盘净值数据(iFinD）'!$B$69:$Y$69)+SUMPRODUCT(分期持仓明细!$AC$26:$AD$26,'实盘净值数据(iFinD）'!$Z98:$AA98/'实盘净值数据(iFinD）'!$Z$69:$AA$69)+SUMPRODUCT(分期持仓明细!$AE$26:$AO$26,'实盘净值数据(iFinD）'!$AB98:$AL98/'实盘净值数据(iFinD）'!$AB$69:$AL$69))*(1-实盘持仓初始配置!$Z$10)^(('实盘净值数据(iFinD）'!$A98-'实盘净值数据(iFinD）'!$A$69)/365))</f>
        <v/>
      </c>
      <c r="U98" s="16">
        <f>IF(OR(T97="",T98=""),"",T98/T97-1)</f>
        <v/>
      </c>
      <c r="V98" s="16">
        <f>IF(T98="","",T98/MAX(T$5:T98)-1)</f>
        <v/>
      </c>
    </row>
    <row r="99" spans="1:19">
      <c r="A99" s="15" t="str">
        <f>IF('实盘净值数据(iFinD）'!A99="","",'实盘净值数据(iFinD）'!A99)</f>
        <v/>
      </c>
      <c r="B99" s="13" t="str">
        <f>IF(OR('实盘净值数据(iFinD）'!$A99="",'实盘净值数据(iFinD）'!$B99=""),"",分期持仓明细!$AB$17*SUMPRODUCT(分期持仓明细!$B$17:$Y$17,'实盘净值数据(iFinD）'!$B99:$Y99/'实盘净值数据(iFinD）'!$B$20:$Y$20)*(1-实盘持仓初始配置!$Z$4)^(('实盘净值数据(iFinD）'!$A99-'实盘净值数据(iFinD）'!$A$6)/365))</f>
        <v/>
      </c>
      <c r="C99" s="16" t="str">
        <f t="shared" si="6"/>
        <v/>
      </c>
      <c r="D99" s="16" t="str">
        <f>IF(B99="","",B99/MAX(B$5:B99)-1)</f>
        <v/>
      </c>
      <c r="E99" s="13" t="str">
        <f>IF(OR('实盘净值数据(iFinD）'!$A99="",'实盘净值数据(iFinD）'!$B99=""),"",分期持仓明细!$AB$18*SUMPRODUCT(分期持仓明细!$B$18:$Y$18,'实盘净值数据(iFinD）'!$B99:$Y99/'实盘净值数据(iFinD）'!$B$20:$Y$20)*(1-实盘持仓初始配置!$Z$5)^(('实盘净值数据(iFinD）'!$A99-'实盘净值数据(iFinD）'!$A$5)/365))</f>
        <v/>
      </c>
      <c r="F99" s="16" t="str">
        <f t="shared" si="7"/>
        <v/>
      </c>
      <c r="G99" s="16" t="str">
        <f>IF(E99="","",E99/MAX(E$5:E99)-1)</f>
        <v/>
      </c>
      <c r="H99" s="13" t="str">
        <f>IF(OR('实盘净值数据(iFinD）'!$A99="",'实盘净值数据(iFinD）'!$B99=""),"",分期持仓明细!$AB$19*SUMPRODUCT(分期持仓明细!$B$19:$Y$19,'实盘净值数据(iFinD）'!$B99:$Y99/'实盘净值数据(iFinD）'!$B$20:$Y$20)*(1-实盘持仓初始配置!$Z$6)^(('实盘净值数据(iFinD）'!$A99-'实盘净值数据(iFinD）'!$A$7)/365))</f>
        <v/>
      </c>
      <c r="I99" s="16" t="str">
        <f t="shared" si="8"/>
        <v/>
      </c>
      <c r="J99" s="16" t="str">
        <f>IF(H99="","",H99/MAX(H$5:H99)-1)</f>
        <v/>
      </c>
      <c r="K99" s="13" t="str">
        <f>IF(OR('实盘净值数据(iFinD）'!$A99="",'实盘净值数据(iFinD）'!$B99="",'实盘净值数据(iFinD）'!$Z99="",'实盘净值数据(iFinD）'!$AA99=""),"",分期持仓明细!$AB$23*(SUMPRODUCT(分期持仓明细!$B$23:$Y$23,'实盘净值数据(iFinD）'!$B99:$Y99/'实盘净值数据(iFinD）'!$B$65:$Y$65)+SUMPRODUCT(分期持仓明细!$AC$23:$AD$23,'实盘净值数据(iFinD）'!$Z99:$AA99/'实盘净值数据(iFinD）'!$Z$65:$AA$65))*(1-实盘持仓初始配置!$Z$7)^(('实盘净值数据(iFinD）'!$A99-'实盘净值数据(iFinD）'!$A$8)/365))</f>
        <v/>
      </c>
      <c r="L99" s="16" t="str">
        <f t="shared" si="9"/>
        <v/>
      </c>
      <c r="M99" s="16" t="str">
        <f>IF(K99="","",K99/MAX(K$5:K99)-1)</f>
        <v/>
      </c>
      <c r="N99" s="13" t="str">
        <f>IF(OR('实盘净值数据(iFinD）'!$A99="",'实盘净值数据(iFinD）'!$B99="",'实盘净值数据(iFinD）'!$Z99="",'实盘净值数据(iFinD）'!$AA99=""),"",分期持仓明细!$AB$24*(SUMPRODUCT(分期持仓明细!$B$24:$Y$24,'实盘净值数据(iFinD）'!$B99:$Y99/'实盘净值数据(iFinD）'!$B$65:$Y$65)+SUMPRODUCT(分期持仓明细!$AC$24:$AD$24,'实盘净值数据(iFinD）'!$Z99:$AA99/'实盘净值数据(iFinD）'!$Z$65:$AA$65))*(1-实盘持仓初始配置!$Z$8)^(('实盘净值数据(iFinD）'!$A99-'实盘净值数据(iFinD）'!$A$5)/365))</f>
        <v/>
      </c>
      <c r="O99" s="16" t="str">
        <f t="shared" si="10"/>
        <v/>
      </c>
      <c r="P99" s="16" t="str">
        <f>IF(N99="","",N99/MAX(N$5:N99)-1)</f>
        <v/>
      </c>
      <c r="Q99" s="13" t="str">
        <f>IF(OR('实盘净值数据(iFinD）'!$A99="",'实盘净值数据(iFinD）'!$B99="",'实盘净值数据(iFinD）'!$Z99="",'实盘净值数据(iFinD）'!$AA99=""),"",分期持仓明细!$AB$25*(SUMPRODUCT(分期持仓明细!$B$25:$Y$25,'实盘净值数据(iFinD）'!$B99:$Y99/'实盘净值数据(iFinD）'!$B$65:$Y$65)+SUMPRODUCT(分期持仓明细!$AC$25:$AD$25,'实盘净值数据(iFinD）'!$Z99:$AA99/'实盘净值数据(iFinD）'!$Z$65:$AA$65))*(1-实盘持仓初始配置!$Z$9)^(('实盘净值数据(iFinD）'!$A99-'实盘净值数据(iFinD）'!$A$8)/365))</f>
        <v/>
      </c>
      <c r="R99" s="16" t="str">
        <f t="shared" si="11"/>
        <v/>
      </c>
      <c r="S99" s="16" t="str">
        <f>IF(Q99="","",Q99/MAX(Q$5:Q99)-1)</f>
        <v/>
      </c>
      <c r="T99" s="13">
        <f>IF(OR('实盘净值数据(iFinD）'!$A99="",'实盘净值数据(iFinD）'!$B99="",'实盘净值数据(iFinD）'!$Z99="",'实盘净值数据(iFinD）'!$AA99="",'实盘净值数据(iFinD）'!$AB99="",'实盘净值数据(iFinD）'!$AL99=""),"",(SUMPRODUCT(分期持仓明细!$B$26:$Y$26,'实盘净值数据(iFinD）'!$B99:$Y99/'实盘净值数据(iFinD）'!$B$69:$Y$69)+SUMPRODUCT(分期持仓明细!$AC$26:$AD$26,'实盘净值数据(iFinD）'!$Z99:$AA99/'实盘净值数据(iFinD）'!$Z$69:$AA$69)+SUMPRODUCT(分期持仓明细!$AE$26:$AO$26,'实盘净值数据(iFinD）'!$AB99:$AL99/'实盘净值数据(iFinD）'!$AB$69:$AL$69))*(1-实盘持仓初始配置!$Z$10)^(('实盘净值数据(iFinD）'!$A99-'实盘净值数据(iFinD）'!$A$69)/365))</f>
        <v/>
      </c>
      <c r="U99" s="16">
        <f>IF(OR(T98="",T99=""),"",T99/T98-1)</f>
        <v/>
      </c>
      <c r="V99" s="16">
        <f>IF(T99="","",T99/MAX(T$5:T99)-1)</f>
        <v/>
      </c>
    </row>
    <row r="100" spans="1:19">
      <c r="A100" s="15" t="str">
        <f>IF('实盘净值数据(iFinD）'!A100="","",'实盘净值数据(iFinD）'!A100)</f>
        <v/>
      </c>
      <c r="B100" s="13" t="str">
        <f>IF(OR('实盘净值数据(iFinD）'!$A100="",'实盘净值数据(iFinD）'!$B100=""),"",分期持仓明细!$AB$17*SUMPRODUCT(分期持仓明细!$B$17:$Y$17,'实盘净值数据(iFinD）'!$B100:$Y100/'实盘净值数据(iFinD）'!$B$20:$Y$20)*(1-实盘持仓初始配置!$Z$4)^(('实盘净值数据(iFinD）'!$A100-'实盘净值数据(iFinD）'!$A$6)/365))</f>
        <v/>
      </c>
      <c r="C100" s="16" t="str">
        <f t="shared" si="6"/>
        <v/>
      </c>
      <c r="D100" s="16" t="str">
        <f>IF(B100="","",B100/MAX(B$5:B100)-1)</f>
        <v/>
      </c>
      <c r="E100" s="13" t="str">
        <f>IF(OR('实盘净值数据(iFinD）'!$A100="",'实盘净值数据(iFinD）'!$B100=""),"",分期持仓明细!$AB$18*SUMPRODUCT(分期持仓明细!$B$18:$Y$18,'实盘净值数据(iFinD）'!$B100:$Y100/'实盘净值数据(iFinD）'!$B$20:$Y$20)*(1-实盘持仓初始配置!$Z$5)^(('实盘净值数据(iFinD）'!$A100-'实盘净值数据(iFinD）'!$A$5)/365))</f>
        <v/>
      </c>
      <c r="F100" s="16" t="str">
        <f t="shared" si="7"/>
        <v/>
      </c>
      <c r="G100" s="16" t="str">
        <f>IF(E100="","",E100/MAX(E$5:E100)-1)</f>
        <v/>
      </c>
      <c r="H100" s="13" t="str">
        <f>IF(OR('实盘净值数据(iFinD）'!$A100="",'实盘净值数据(iFinD）'!$B100=""),"",分期持仓明细!$AB$19*SUMPRODUCT(分期持仓明细!$B$19:$Y$19,'实盘净值数据(iFinD）'!$B100:$Y100/'实盘净值数据(iFinD）'!$B$20:$Y$20)*(1-实盘持仓初始配置!$Z$6)^(('实盘净值数据(iFinD）'!$A100-'实盘净值数据(iFinD）'!$A$7)/365))</f>
        <v/>
      </c>
      <c r="I100" s="16" t="str">
        <f t="shared" si="8"/>
        <v/>
      </c>
      <c r="J100" s="16" t="str">
        <f>IF(H100="","",H100/MAX(H$5:H100)-1)</f>
        <v/>
      </c>
      <c r="K100" s="13" t="str">
        <f>IF(OR('实盘净值数据(iFinD）'!$A100="",'实盘净值数据(iFinD）'!$B100="",'实盘净值数据(iFinD）'!$Z100="",'实盘净值数据(iFinD）'!$AA100=""),"",分期持仓明细!$AB$23*(SUMPRODUCT(分期持仓明细!$B$23:$Y$23,'实盘净值数据(iFinD）'!$B100:$Y100/'实盘净值数据(iFinD）'!$B$65:$Y$65)+SUMPRODUCT(分期持仓明细!$AC$23:$AD$23,'实盘净值数据(iFinD）'!$Z100:$AA100/'实盘净值数据(iFinD）'!$Z$65:$AA$65))*(1-实盘持仓初始配置!$Z$7)^(('实盘净值数据(iFinD）'!$A100-'实盘净值数据(iFinD）'!$A$8)/365))</f>
        <v/>
      </c>
      <c r="L100" s="16" t="str">
        <f t="shared" si="9"/>
        <v/>
      </c>
      <c r="M100" s="16" t="str">
        <f>IF(K100="","",K100/MAX(K$5:K100)-1)</f>
        <v/>
      </c>
      <c r="N100" s="13" t="str">
        <f>IF(OR('实盘净值数据(iFinD）'!$A100="",'实盘净值数据(iFinD）'!$B100="",'实盘净值数据(iFinD）'!$Z100="",'实盘净值数据(iFinD）'!$AA100=""),"",分期持仓明细!$AB$24*(SUMPRODUCT(分期持仓明细!$B$24:$Y$24,'实盘净值数据(iFinD）'!$B100:$Y100/'实盘净值数据(iFinD）'!$B$65:$Y$65)+SUMPRODUCT(分期持仓明细!$AC$24:$AD$24,'实盘净值数据(iFinD）'!$Z100:$AA100/'实盘净值数据(iFinD）'!$Z$65:$AA$65))*(1-实盘持仓初始配置!$Z$8)^(('实盘净值数据(iFinD）'!$A100-'实盘净值数据(iFinD）'!$A$5)/365))</f>
        <v/>
      </c>
      <c r="O100" s="16" t="str">
        <f t="shared" si="10"/>
        <v/>
      </c>
      <c r="P100" s="16" t="str">
        <f>IF(N100="","",N100/MAX(N$5:N100)-1)</f>
        <v/>
      </c>
      <c r="Q100" s="13" t="str">
        <f>IF(OR('实盘净值数据(iFinD）'!$A100="",'实盘净值数据(iFinD）'!$B100="",'实盘净值数据(iFinD）'!$Z100="",'实盘净值数据(iFinD）'!$AA100=""),"",分期持仓明细!$AB$25*(SUMPRODUCT(分期持仓明细!$B$25:$Y$25,'实盘净值数据(iFinD）'!$B100:$Y100/'实盘净值数据(iFinD）'!$B$65:$Y$65)+SUMPRODUCT(分期持仓明细!$AC$25:$AD$25,'实盘净值数据(iFinD）'!$Z100:$AA100/'实盘净值数据(iFinD）'!$Z$65:$AA$65))*(1-实盘持仓初始配置!$Z$9)^(('实盘净值数据(iFinD）'!$A100-'实盘净值数据(iFinD）'!$A$8)/365))</f>
        <v/>
      </c>
      <c r="R100" s="16" t="str">
        <f t="shared" si="11"/>
        <v/>
      </c>
      <c r="S100" s="16" t="str">
        <f>IF(Q100="","",Q100/MAX(Q$5:Q100)-1)</f>
        <v/>
      </c>
      <c r="T100" s="13">
        <f>IF(OR('实盘净值数据(iFinD）'!$A100="",'实盘净值数据(iFinD）'!$B100="",'实盘净值数据(iFinD）'!$Z100="",'实盘净值数据(iFinD）'!$AA100="",'实盘净值数据(iFinD）'!$AB100="",'实盘净值数据(iFinD）'!$AL100=""),"",(SUMPRODUCT(分期持仓明细!$B$26:$Y$26,'实盘净值数据(iFinD）'!$B100:$Y100/'实盘净值数据(iFinD）'!$B$69:$Y$69)+SUMPRODUCT(分期持仓明细!$AC$26:$AD$26,'实盘净值数据(iFinD）'!$Z100:$AA100/'实盘净值数据(iFinD）'!$Z$69:$AA$69)+SUMPRODUCT(分期持仓明细!$AE$26:$AO$26,'实盘净值数据(iFinD）'!$AB100:$AL100/'实盘净值数据(iFinD）'!$AB$69:$AL$69))*(1-实盘持仓初始配置!$Z$10)^(('实盘净值数据(iFinD）'!$A100-'实盘净值数据(iFinD）'!$A$69)/365))</f>
        <v/>
      </c>
      <c r="U100" s="16">
        <f>IF(OR(T99="",T100=""),"",T100/T99-1)</f>
        <v/>
      </c>
      <c r="V100" s="16">
        <f>IF(T100="","",T100/MAX(T$5:T100)-1)</f>
        <v/>
      </c>
    </row>
    <row r="101" spans="1:19">
      <c r="A101" s="15" t="str">
        <f>IF('实盘净值数据(iFinD）'!A101="","",'实盘净值数据(iFinD）'!A101)</f>
        <v/>
      </c>
      <c r="B101" s="13" t="str">
        <f>IF(OR('实盘净值数据(iFinD）'!$A101="",'实盘净值数据(iFinD）'!$B101=""),"",分期持仓明细!$AB$17*SUMPRODUCT(分期持仓明细!$B$17:$Y$17,'实盘净值数据(iFinD）'!$B101:$Y101/'实盘净值数据(iFinD）'!$B$20:$Y$20)*(1-实盘持仓初始配置!$Z$4)^(('实盘净值数据(iFinD）'!$A101-'实盘净值数据(iFinD）'!$A$6)/365))</f>
        <v/>
      </c>
      <c r="C101" s="16" t="str">
        <f t="shared" si="6"/>
        <v/>
      </c>
      <c r="D101" s="16" t="str">
        <f>IF(B101="","",B101/MAX(B$5:B101)-1)</f>
        <v/>
      </c>
      <c r="E101" s="13" t="str">
        <f>IF(OR('实盘净值数据(iFinD）'!$A101="",'实盘净值数据(iFinD）'!$B101=""),"",分期持仓明细!$AB$18*SUMPRODUCT(分期持仓明细!$B$18:$Y$18,'实盘净值数据(iFinD）'!$B101:$Y101/'实盘净值数据(iFinD）'!$B$20:$Y$20)*(1-实盘持仓初始配置!$Z$5)^(('实盘净值数据(iFinD）'!$A101-'实盘净值数据(iFinD）'!$A$5)/365))</f>
        <v/>
      </c>
      <c r="F101" s="16" t="str">
        <f t="shared" si="7"/>
        <v/>
      </c>
      <c r="G101" s="16" t="str">
        <f>IF(E101="","",E101/MAX(E$5:E101)-1)</f>
        <v/>
      </c>
      <c r="H101" s="13" t="str">
        <f>IF(OR('实盘净值数据(iFinD）'!$A101="",'实盘净值数据(iFinD）'!$B101=""),"",分期持仓明细!$AB$19*SUMPRODUCT(分期持仓明细!$B$19:$Y$19,'实盘净值数据(iFinD）'!$B101:$Y101/'实盘净值数据(iFinD）'!$B$20:$Y$20)*(1-实盘持仓初始配置!$Z$6)^(('实盘净值数据(iFinD）'!$A101-'实盘净值数据(iFinD）'!$A$7)/365))</f>
        <v/>
      </c>
      <c r="I101" s="16" t="str">
        <f t="shared" si="8"/>
        <v/>
      </c>
      <c r="J101" s="16" t="str">
        <f>IF(H101="","",H101/MAX(H$5:H101)-1)</f>
        <v/>
      </c>
      <c r="K101" s="13" t="str">
        <f>IF(OR('实盘净值数据(iFinD）'!$A101="",'实盘净值数据(iFinD）'!$B101="",'实盘净值数据(iFinD）'!$Z101="",'实盘净值数据(iFinD）'!$AA101=""),"",分期持仓明细!$AB$23*(SUMPRODUCT(分期持仓明细!$B$23:$Y$23,'实盘净值数据(iFinD）'!$B101:$Y101/'实盘净值数据(iFinD）'!$B$65:$Y$65)+SUMPRODUCT(分期持仓明细!$AC$23:$AD$23,'实盘净值数据(iFinD）'!$Z101:$AA101/'实盘净值数据(iFinD）'!$Z$65:$AA$65))*(1-实盘持仓初始配置!$Z$7)^(('实盘净值数据(iFinD）'!$A101-'实盘净值数据(iFinD）'!$A$8)/365))</f>
        <v/>
      </c>
      <c r="L101" s="16" t="str">
        <f t="shared" si="9"/>
        <v/>
      </c>
      <c r="M101" s="16" t="str">
        <f>IF(K101="","",K101/MAX(K$5:K101)-1)</f>
        <v/>
      </c>
      <c r="N101" s="13" t="str">
        <f>IF(OR('实盘净值数据(iFinD）'!$A101="",'实盘净值数据(iFinD）'!$B101="",'实盘净值数据(iFinD）'!$Z101="",'实盘净值数据(iFinD）'!$AA101=""),"",分期持仓明细!$AB$24*(SUMPRODUCT(分期持仓明细!$B$24:$Y$24,'实盘净值数据(iFinD）'!$B101:$Y101/'实盘净值数据(iFinD）'!$B$65:$Y$65)+SUMPRODUCT(分期持仓明细!$AC$24:$AD$24,'实盘净值数据(iFinD）'!$Z101:$AA101/'实盘净值数据(iFinD）'!$Z$65:$AA$65))*(1-实盘持仓初始配置!$Z$8)^(('实盘净值数据(iFinD）'!$A101-'实盘净值数据(iFinD）'!$A$5)/365))</f>
        <v/>
      </c>
      <c r="O101" s="16" t="str">
        <f t="shared" si="10"/>
        <v/>
      </c>
      <c r="P101" s="16" t="str">
        <f>IF(N101="","",N101/MAX(N$5:N101)-1)</f>
        <v/>
      </c>
      <c r="Q101" s="13" t="str">
        <f>IF(OR('实盘净值数据(iFinD）'!$A101="",'实盘净值数据(iFinD）'!$B101="",'实盘净值数据(iFinD）'!$Z101="",'实盘净值数据(iFinD）'!$AA101=""),"",分期持仓明细!$AB$25*(SUMPRODUCT(分期持仓明细!$B$25:$Y$25,'实盘净值数据(iFinD）'!$B101:$Y101/'实盘净值数据(iFinD）'!$B$65:$Y$65)+SUMPRODUCT(分期持仓明细!$AC$25:$AD$25,'实盘净值数据(iFinD）'!$Z101:$AA101/'实盘净值数据(iFinD）'!$Z$65:$AA$65))*(1-实盘持仓初始配置!$Z$9)^(('实盘净值数据(iFinD）'!$A101-'实盘净值数据(iFinD）'!$A$8)/365))</f>
        <v/>
      </c>
      <c r="R101" s="16" t="str">
        <f t="shared" si="11"/>
        <v/>
      </c>
      <c r="S101" s="16" t="str">
        <f>IF(Q101="","",Q101/MAX(Q$5:Q101)-1)</f>
        <v/>
      </c>
      <c r="T101" s="13">
        <f>IF(OR('实盘净值数据(iFinD）'!$A101="",'实盘净值数据(iFinD）'!$B101="",'实盘净值数据(iFinD）'!$Z101="",'实盘净值数据(iFinD）'!$AA101="",'实盘净值数据(iFinD）'!$AB101="",'实盘净值数据(iFinD）'!$AL101=""),"",(SUMPRODUCT(分期持仓明细!$B$26:$Y$26,'实盘净值数据(iFinD）'!$B101:$Y101/'实盘净值数据(iFinD）'!$B$69:$Y$69)+SUMPRODUCT(分期持仓明细!$AC$26:$AD$26,'实盘净值数据(iFinD）'!$Z101:$AA101/'实盘净值数据(iFinD）'!$Z$69:$AA$69)+SUMPRODUCT(分期持仓明细!$AE$26:$AO$26,'实盘净值数据(iFinD）'!$AB101:$AL101/'实盘净值数据(iFinD）'!$AB$69:$AL$69))*(1-实盘持仓初始配置!$Z$10)^(('实盘净值数据(iFinD）'!$A101-'实盘净值数据(iFinD）'!$A$69)/365))</f>
        <v/>
      </c>
      <c r="U101" s="16">
        <f>IF(OR(T100="",T101=""),"",T101/T100-1)</f>
        <v/>
      </c>
      <c r="V101" s="16">
        <f>IF(T101="","",T101/MAX(T$5:T101)-1)</f>
        <v/>
      </c>
    </row>
    <row r="102" spans="1:19">
      <c r="A102" s="15" t="str">
        <f>IF('实盘净值数据(iFinD）'!A102="","",'实盘净值数据(iFinD）'!A102)</f>
        <v/>
      </c>
      <c r="B102" s="13" t="str">
        <f>IF(OR('实盘净值数据(iFinD）'!$A102="",'实盘净值数据(iFinD）'!$B102=""),"",分期持仓明细!$AB$17*SUMPRODUCT(分期持仓明细!$B$17:$Y$17,'实盘净值数据(iFinD）'!$B102:$Y102/'实盘净值数据(iFinD）'!$B$20:$Y$20)*(1-实盘持仓初始配置!$Z$4)^(('实盘净值数据(iFinD）'!$A102-'实盘净值数据(iFinD）'!$A$6)/365))</f>
        <v/>
      </c>
      <c r="C102" s="16" t="str">
        <f t="shared" si="6"/>
        <v/>
      </c>
      <c r="D102" s="16" t="str">
        <f>IF(B102="","",B102/MAX(B$5:B102)-1)</f>
        <v/>
      </c>
      <c r="E102" s="13" t="str">
        <f>IF(OR('实盘净值数据(iFinD）'!$A102="",'实盘净值数据(iFinD）'!$B102=""),"",分期持仓明细!$AB$18*SUMPRODUCT(分期持仓明细!$B$18:$Y$18,'实盘净值数据(iFinD）'!$B102:$Y102/'实盘净值数据(iFinD）'!$B$20:$Y$20)*(1-实盘持仓初始配置!$Z$5)^(('实盘净值数据(iFinD）'!$A102-'实盘净值数据(iFinD）'!$A$5)/365))</f>
        <v/>
      </c>
      <c r="F102" s="16" t="str">
        <f t="shared" si="7"/>
        <v/>
      </c>
      <c r="G102" s="16" t="str">
        <f>IF(E102="","",E102/MAX(E$5:E102)-1)</f>
        <v/>
      </c>
      <c r="H102" s="13" t="str">
        <f>IF(OR('实盘净值数据(iFinD）'!$A102="",'实盘净值数据(iFinD）'!$B102=""),"",分期持仓明细!$AB$19*SUMPRODUCT(分期持仓明细!$B$19:$Y$19,'实盘净值数据(iFinD）'!$B102:$Y102/'实盘净值数据(iFinD）'!$B$20:$Y$20)*(1-实盘持仓初始配置!$Z$6)^(('实盘净值数据(iFinD）'!$A102-'实盘净值数据(iFinD）'!$A$7)/365))</f>
        <v/>
      </c>
      <c r="I102" s="16" t="str">
        <f t="shared" si="8"/>
        <v/>
      </c>
      <c r="J102" s="16" t="str">
        <f>IF(H102="","",H102/MAX(H$5:H102)-1)</f>
        <v/>
      </c>
      <c r="K102" s="13" t="str">
        <f>IF(OR('实盘净值数据(iFinD）'!$A102="",'实盘净值数据(iFinD）'!$B102="",'实盘净值数据(iFinD）'!$Z102="",'实盘净值数据(iFinD）'!$AA102=""),"",分期持仓明细!$AB$23*(SUMPRODUCT(分期持仓明细!$B$23:$Y$23,'实盘净值数据(iFinD）'!$B102:$Y102/'实盘净值数据(iFinD）'!$B$65:$Y$65)+SUMPRODUCT(分期持仓明细!$AC$23:$AD$23,'实盘净值数据(iFinD）'!$Z102:$AA102/'实盘净值数据(iFinD）'!$Z$65:$AA$65))*(1-实盘持仓初始配置!$Z$7)^(('实盘净值数据(iFinD）'!$A102-'实盘净值数据(iFinD）'!$A$8)/365))</f>
        <v/>
      </c>
      <c r="L102" s="16" t="str">
        <f t="shared" si="9"/>
        <v/>
      </c>
      <c r="M102" s="16" t="str">
        <f>IF(K102="","",K102/MAX(K$5:K102)-1)</f>
        <v/>
      </c>
      <c r="N102" s="13" t="str">
        <f>IF(OR('实盘净值数据(iFinD）'!$A102="",'实盘净值数据(iFinD）'!$B102="",'实盘净值数据(iFinD）'!$Z102="",'实盘净值数据(iFinD）'!$AA102=""),"",分期持仓明细!$AB$24*(SUMPRODUCT(分期持仓明细!$B$24:$Y$24,'实盘净值数据(iFinD）'!$B102:$Y102/'实盘净值数据(iFinD）'!$B$65:$Y$65)+SUMPRODUCT(分期持仓明细!$AC$24:$AD$24,'实盘净值数据(iFinD）'!$Z102:$AA102/'实盘净值数据(iFinD）'!$Z$65:$AA$65))*(1-实盘持仓初始配置!$Z$8)^(('实盘净值数据(iFinD）'!$A102-'实盘净值数据(iFinD）'!$A$5)/365))</f>
        <v/>
      </c>
      <c r="O102" s="16" t="str">
        <f t="shared" si="10"/>
        <v/>
      </c>
      <c r="P102" s="16" t="str">
        <f>IF(N102="","",N102/MAX(N$5:N102)-1)</f>
        <v/>
      </c>
      <c r="Q102" s="13" t="str">
        <f>IF(OR('实盘净值数据(iFinD）'!$A102="",'实盘净值数据(iFinD）'!$B102="",'实盘净值数据(iFinD）'!$Z102="",'实盘净值数据(iFinD）'!$AA102=""),"",分期持仓明细!$AB$25*(SUMPRODUCT(分期持仓明细!$B$25:$Y$25,'实盘净值数据(iFinD）'!$B102:$Y102/'实盘净值数据(iFinD）'!$B$65:$Y$65)+SUMPRODUCT(分期持仓明细!$AC$25:$AD$25,'实盘净值数据(iFinD）'!$Z102:$AA102/'实盘净值数据(iFinD）'!$Z$65:$AA$65))*(1-实盘持仓初始配置!$Z$9)^(('实盘净值数据(iFinD）'!$A102-'实盘净值数据(iFinD）'!$A$8)/365))</f>
        <v/>
      </c>
      <c r="R102" s="16" t="str">
        <f t="shared" si="11"/>
        <v/>
      </c>
      <c r="S102" s="16" t="str">
        <f>IF(Q102="","",Q102/MAX(Q$5:Q102)-1)</f>
        <v/>
      </c>
      <c r="T102" s="13">
        <f>IF(OR('实盘净值数据(iFinD）'!$A102="",'实盘净值数据(iFinD）'!$B102="",'实盘净值数据(iFinD）'!$Z102="",'实盘净值数据(iFinD）'!$AA102="",'实盘净值数据(iFinD）'!$AB102="",'实盘净值数据(iFinD）'!$AL102=""),"",(SUMPRODUCT(分期持仓明细!$B$26:$Y$26,'实盘净值数据(iFinD）'!$B102:$Y102/'实盘净值数据(iFinD）'!$B$69:$Y$69)+SUMPRODUCT(分期持仓明细!$AC$26:$AD$26,'实盘净值数据(iFinD）'!$Z102:$AA102/'实盘净值数据(iFinD）'!$Z$69:$AA$69)+SUMPRODUCT(分期持仓明细!$AE$26:$AO$26,'实盘净值数据(iFinD）'!$AB102:$AL102/'实盘净值数据(iFinD）'!$AB$69:$AL$69))*(1-实盘持仓初始配置!$Z$10)^(('实盘净值数据(iFinD）'!$A102-'实盘净值数据(iFinD）'!$A$69)/365))</f>
        <v/>
      </c>
      <c r="U102" s="16">
        <f>IF(OR(T101="",T102=""),"",T102/T101-1)</f>
        <v/>
      </c>
      <c r="V102" s="16">
        <f>IF(T102="","",T102/MAX(T$5:T102)-1)</f>
        <v/>
      </c>
    </row>
    <row r="103" spans="1:19">
      <c r="A103" s="15" t="str">
        <f>IF('实盘净值数据(iFinD）'!A103="","",'实盘净值数据(iFinD）'!A103)</f>
        <v/>
      </c>
      <c r="B103" s="13" t="str">
        <f>IF(OR('实盘净值数据(iFinD）'!$A103="",'实盘净值数据(iFinD）'!$B103=""),"",分期持仓明细!$AB$17*SUMPRODUCT(分期持仓明细!$B$17:$Y$17,'实盘净值数据(iFinD）'!$B103:$Y103/'实盘净值数据(iFinD）'!$B$20:$Y$20)*(1-实盘持仓初始配置!$Z$4)^(('实盘净值数据(iFinD）'!$A103-'实盘净值数据(iFinD）'!$A$6)/365))</f>
        <v/>
      </c>
      <c r="C103" s="16" t="str">
        <f t="shared" si="6"/>
        <v/>
      </c>
      <c r="D103" s="16" t="str">
        <f>IF(B103="","",B103/MAX(B$5:B103)-1)</f>
        <v/>
      </c>
      <c r="E103" s="13" t="str">
        <f>IF(OR('实盘净值数据(iFinD）'!$A103="",'实盘净值数据(iFinD）'!$B103=""),"",分期持仓明细!$AB$18*SUMPRODUCT(分期持仓明细!$B$18:$Y$18,'实盘净值数据(iFinD）'!$B103:$Y103/'实盘净值数据(iFinD）'!$B$20:$Y$20)*(1-实盘持仓初始配置!$Z$5)^(('实盘净值数据(iFinD）'!$A103-'实盘净值数据(iFinD）'!$A$5)/365))</f>
        <v/>
      </c>
      <c r="F103" s="16" t="str">
        <f t="shared" si="7"/>
        <v/>
      </c>
      <c r="G103" s="16" t="str">
        <f>IF(E103="","",E103/MAX(E$5:E103)-1)</f>
        <v/>
      </c>
      <c r="H103" s="13" t="str">
        <f>IF(OR('实盘净值数据(iFinD）'!$A103="",'实盘净值数据(iFinD）'!$B103=""),"",分期持仓明细!$AB$19*SUMPRODUCT(分期持仓明细!$B$19:$Y$19,'实盘净值数据(iFinD）'!$B103:$Y103/'实盘净值数据(iFinD）'!$B$20:$Y$20)*(1-实盘持仓初始配置!$Z$6)^(('实盘净值数据(iFinD）'!$A103-'实盘净值数据(iFinD）'!$A$7)/365))</f>
        <v/>
      </c>
      <c r="I103" s="16" t="str">
        <f t="shared" si="8"/>
        <v/>
      </c>
      <c r="J103" s="16" t="str">
        <f>IF(H103="","",H103/MAX(H$5:H103)-1)</f>
        <v/>
      </c>
      <c r="K103" s="13" t="str">
        <f>IF(OR('实盘净值数据(iFinD）'!$A103="",'实盘净值数据(iFinD）'!$B103="",'实盘净值数据(iFinD）'!$Z103="",'实盘净值数据(iFinD）'!$AA103=""),"",分期持仓明细!$AB$23*(SUMPRODUCT(分期持仓明细!$B$23:$Y$23,'实盘净值数据(iFinD）'!$B103:$Y103/'实盘净值数据(iFinD）'!$B$65:$Y$65)+SUMPRODUCT(分期持仓明细!$AC$23:$AD$23,'实盘净值数据(iFinD）'!$Z103:$AA103/'实盘净值数据(iFinD）'!$Z$65:$AA$65))*(1-实盘持仓初始配置!$Z$7)^(('实盘净值数据(iFinD）'!$A103-'实盘净值数据(iFinD）'!$A$8)/365))</f>
        <v/>
      </c>
      <c r="L103" s="16" t="str">
        <f t="shared" si="9"/>
        <v/>
      </c>
      <c r="M103" s="16" t="str">
        <f>IF(K103="","",K103/MAX(K$5:K103)-1)</f>
        <v/>
      </c>
      <c r="N103" s="13" t="str">
        <f>IF(OR('实盘净值数据(iFinD）'!$A103="",'实盘净值数据(iFinD）'!$B103="",'实盘净值数据(iFinD）'!$Z103="",'实盘净值数据(iFinD）'!$AA103=""),"",分期持仓明细!$AB$24*(SUMPRODUCT(分期持仓明细!$B$24:$Y$24,'实盘净值数据(iFinD）'!$B103:$Y103/'实盘净值数据(iFinD）'!$B$65:$Y$65)+SUMPRODUCT(分期持仓明细!$AC$24:$AD$24,'实盘净值数据(iFinD）'!$Z103:$AA103/'实盘净值数据(iFinD）'!$Z$65:$AA$65))*(1-实盘持仓初始配置!$Z$8)^(('实盘净值数据(iFinD）'!$A103-'实盘净值数据(iFinD）'!$A$5)/365))</f>
        <v/>
      </c>
      <c r="O103" s="16" t="str">
        <f t="shared" si="10"/>
        <v/>
      </c>
      <c r="P103" s="16" t="str">
        <f>IF(N103="","",N103/MAX(N$5:N103)-1)</f>
        <v/>
      </c>
      <c r="Q103" s="13" t="str">
        <f>IF(OR('实盘净值数据(iFinD）'!$A103="",'实盘净值数据(iFinD）'!$B103="",'实盘净值数据(iFinD）'!$Z103="",'实盘净值数据(iFinD）'!$AA103=""),"",分期持仓明细!$AB$25*(SUMPRODUCT(分期持仓明细!$B$25:$Y$25,'实盘净值数据(iFinD）'!$B103:$Y103/'实盘净值数据(iFinD）'!$B$65:$Y$65)+SUMPRODUCT(分期持仓明细!$AC$25:$AD$25,'实盘净值数据(iFinD）'!$Z103:$AA103/'实盘净值数据(iFinD）'!$Z$65:$AA$65))*(1-实盘持仓初始配置!$Z$9)^(('实盘净值数据(iFinD）'!$A103-'实盘净值数据(iFinD）'!$A$8)/365))</f>
        <v/>
      </c>
      <c r="R103" s="16" t="str">
        <f t="shared" si="11"/>
        <v/>
      </c>
      <c r="S103" s="16" t="str">
        <f>IF(Q103="","",Q103/MAX(Q$5:Q103)-1)</f>
        <v/>
      </c>
      <c r="T103" s="13">
        <f>IF(OR('实盘净值数据(iFinD）'!$A103="",'实盘净值数据(iFinD）'!$B103="",'实盘净值数据(iFinD）'!$Z103="",'实盘净值数据(iFinD）'!$AA103="",'实盘净值数据(iFinD）'!$AB103="",'实盘净值数据(iFinD）'!$AL103=""),"",(SUMPRODUCT(分期持仓明细!$B$26:$Y$26,'实盘净值数据(iFinD）'!$B103:$Y103/'实盘净值数据(iFinD）'!$B$69:$Y$69)+SUMPRODUCT(分期持仓明细!$AC$26:$AD$26,'实盘净值数据(iFinD）'!$Z103:$AA103/'实盘净值数据(iFinD）'!$Z$69:$AA$69)+SUMPRODUCT(分期持仓明细!$AE$26:$AO$26,'实盘净值数据(iFinD）'!$AB103:$AL103/'实盘净值数据(iFinD）'!$AB$69:$AL$69))*(1-实盘持仓初始配置!$Z$10)^(('实盘净值数据(iFinD）'!$A103-'实盘净值数据(iFinD）'!$A$69)/365))</f>
        <v/>
      </c>
      <c r="U103" s="16">
        <f>IF(OR(T102="",T103=""),"",T103/T102-1)</f>
        <v/>
      </c>
      <c r="V103" s="16">
        <f>IF(T103="","",T103/MAX(T$5:T103)-1)</f>
        <v/>
      </c>
    </row>
    <row r="104" spans="1:19">
      <c r="A104" s="15" t="str">
        <f>IF('实盘净值数据(iFinD）'!A104="","",'实盘净值数据(iFinD）'!A104)</f>
        <v/>
      </c>
      <c r="B104" s="13" t="str">
        <f>IF(OR('实盘净值数据(iFinD）'!$A104="",'实盘净值数据(iFinD）'!$B104=""),"",分期持仓明细!$AB$17*SUMPRODUCT(分期持仓明细!$B$17:$Y$17,'实盘净值数据(iFinD）'!$B104:$Y104/'实盘净值数据(iFinD）'!$B$20:$Y$20)*(1-实盘持仓初始配置!$Z$4)^(('实盘净值数据(iFinD）'!$A104-'实盘净值数据(iFinD）'!$A$6)/365))</f>
        <v/>
      </c>
      <c r="C104" s="16" t="str">
        <f t="shared" si="6"/>
        <v/>
      </c>
      <c r="D104" s="16" t="str">
        <f>IF(B104="","",B104/MAX(B$5:B104)-1)</f>
        <v/>
      </c>
      <c r="E104" s="13" t="str">
        <f>IF(OR('实盘净值数据(iFinD）'!$A104="",'实盘净值数据(iFinD）'!$B104=""),"",分期持仓明细!$AB$18*SUMPRODUCT(分期持仓明细!$B$18:$Y$18,'实盘净值数据(iFinD）'!$B104:$Y104/'实盘净值数据(iFinD）'!$B$20:$Y$20)*(1-实盘持仓初始配置!$Z$5)^(('实盘净值数据(iFinD）'!$A104-'实盘净值数据(iFinD）'!$A$5)/365))</f>
        <v/>
      </c>
      <c r="F104" s="16" t="str">
        <f t="shared" si="7"/>
        <v/>
      </c>
      <c r="G104" s="16" t="str">
        <f>IF(E104="","",E104/MAX(E$5:E104)-1)</f>
        <v/>
      </c>
      <c r="H104" s="13" t="str">
        <f>IF(OR('实盘净值数据(iFinD）'!$A104="",'实盘净值数据(iFinD）'!$B104=""),"",分期持仓明细!$AB$19*SUMPRODUCT(分期持仓明细!$B$19:$Y$19,'实盘净值数据(iFinD）'!$B104:$Y104/'实盘净值数据(iFinD）'!$B$20:$Y$20)*(1-实盘持仓初始配置!$Z$6)^(('实盘净值数据(iFinD）'!$A104-'实盘净值数据(iFinD）'!$A$7)/365))</f>
        <v/>
      </c>
      <c r="I104" s="16" t="str">
        <f t="shared" si="8"/>
        <v/>
      </c>
      <c r="J104" s="16" t="str">
        <f>IF(H104="","",H104/MAX(H$5:H104)-1)</f>
        <v/>
      </c>
      <c r="K104" s="13" t="str">
        <f>IF(OR('实盘净值数据(iFinD）'!$A104="",'实盘净值数据(iFinD）'!$B104="",'实盘净值数据(iFinD）'!$Z104="",'实盘净值数据(iFinD）'!$AA104=""),"",分期持仓明细!$AB$23*(SUMPRODUCT(分期持仓明细!$B$23:$Y$23,'实盘净值数据(iFinD）'!$B104:$Y104/'实盘净值数据(iFinD）'!$B$65:$Y$65)+SUMPRODUCT(分期持仓明细!$AC$23:$AD$23,'实盘净值数据(iFinD）'!$Z104:$AA104/'实盘净值数据(iFinD）'!$Z$65:$AA$65))*(1-实盘持仓初始配置!$Z$7)^(('实盘净值数据(iFinD）'!$A104-'实盘净值数据(iFinD）'!$A$8)/365))</f>
        <v/>
      </c>
      <c r="L104" s="16" t="str">
        <f t="shared" si="9"/>
        <v/>
      </c>
      <c r="M104" s="16" t="str">
        <f>IF(K104="","",K104/MAX(K$5:K104)-1)</f>
        <v/>
      </c>
      <c r="N104" s="13" t="str">
        <f>IF(OR('实盘净值数据(iFinD）'!$A104="",'实盘净值数据(iFinD）'!$B104="",'实盘净值数据(iFinD）'!$Z104="",'实盘净值数据(iFinD）'!$AA104=""),"",分期持仓明细!$AB$24*(SUMPRODUCT(分期持仓明细!$B$24:$Y$24,'实盘净值数据(iFinD）'!$B104:$Y104/'实盘净值数据(iFinD）'!$B$65:$Y$65)+SUMPRODUCT(分期持仓明细!$AC$24:$AD$24,'实盘净值数据(iFinD）'!$Z104:$AA104/'实盘净值数据(iFinD）'!$Z$65:$AA$65))*(1-实盘持仓初始配置!$Z$8)^(('实盘净值数据(iFinD）'!$A104-'实盘净值数据(iFinD）'!$A$5)/365))</f>
        <v/>
      </c>
      <c r="O104" s="16" t="str">
        <f t="shared" si="10"/>
        <v/>
      </c>
      <c r="P104" s="16" t="str">
        <f>IF(N104="","",N104/MAX(N$5:N104)-1)</f>
        <v/>
      </c>
      <c r="Q104" s="13" t="str">
        <f>IF(OR('实盘净值数据(iFinD）'!$A104="",'实盘净值数据(iFinD）'!$B104="",'实盘净值数据(iFinD）'!$Z104="",'实盘净值数据(iFinD）'!$AA104=""),"",分期持仓明细!$AB$25*(SUMPRODUCT(分期持仓明细!$B$25:$Y$25,'实盘净值数据(iFinD）'!$B104:$Y104/'实盘净值数据(iFinD）'!$B$65:$Y$65)+SUMPRODUCT(分期持仓明细!$AC$25:$AD$25,'实盘净值数据(iFinD）'!$Z104:$AA104/'实盘净值数据(iFinD）'!$Z$65:$AA$65))*(1-实盘持仓初始配置!$Z$9)^(('实盘净值数据(iFinD）'!$A104-'实盘净值数据(iFinD）'!$A$8)/365))</f>
        <v/>
      </c>
      <c r="R104" s="16" t="str">
        <f t="shared" si="11"/>
        <v/>
      </c>
      <c r="S104" s="16" t="str">
        <f>IF(Q104="","",Q104/MAX(Q$5:Q104)-1)</f>
        <v/>
      </c>
      <c r="T104" s="13">
        <f>IF(OR('实盘净值数据(iFinD）'!$A104="",'实盘净值数据(iFinD）'!$B104="",'实盘净值数据(iFinD）'!$Z104="",'实盘净值数据(iFinD）'!$AA104="",'实盘净值数据(iFinD）'!$AB104="",'实盘净值数据(iFinD）'!$AL104=""),"",(SUMPRODUCT(分期持仓明细!$B$26:$Y$26,'实盘净值数据(iFinD）'!$B104:$Y104/'实盘净值数据(iFinD）'!$B$69:$Y$69)+SUMPRODUCT(分期持仓明细!$AC$26:$AD$26,'实盘净值数据(iFinD）'!$Z104:$AA104/'实盘净值数据(iFinD）'!$Z$69:$AA$69)+SUMPRODUCT(分期持仓明细!$AE$26:$AO$26,'实盘净值数据(iFinD）'!$AB104:$AL104/'实盘净值数据(iFinD）'!$AB$69:$AL$69))*(1-实盘持仓初始配置!$Z$10)^(('实盘净值数据(iFinD）'!$A104-'实盘净值数据(iFinD）'!$A$69)/365))</f>
        <v/>
      </c>
      <c r="U104" s="16">
        <f>IF(OR(T103="",T104=""),"",T104/T103-1)</f>
        <v/>
      </c>
      <c r="V104" s="16">
        <f>IF(T104="","",T104/MAX(T$5:T104)-1)</f>
        <v/>
      </c>
    </row>
    <row r="105" spans="1:19">
      <c r="A105" s="15" t="str">
        <f>IF('实盘净值数据(iFinD）'!A105="","",'实盘净值数据(iFinD）'!A105)</f>
        <v/>
      </c>
      <c r="B105" s="13" t="str">
        <f>IF(OR('实盘净值数据(iFinD）'!$A105="",'实盘净值数据(iFinD）'!$B105=""),"",分期持仓明细!$AB$17*SUMPRODUCT(分期持仓明细!$B$17:$Y$17,'实盘净值数据(iFinD）'!$B105:$Y105/'实盘净值数据(iFinD）'!$B$20:$Y$20)*(1-实盘持仓初始配置!$Z$4)^(('实盘净值数据(iFinD）'!$A105-'实盘净值数据(iFinD）'!$A$6)/365))</f>
        <v/>
      </c>
      <c r="C105" s="16" t="str">
        <f t="shared" si="6"/>
        <v/>
      </c>
      <c r="D105" s="16" t="str">
        <f>IF(B105="","",B105/MAX(B$5:B105)-1)</f>
        <v/>
      </c>
      <c r="E105" s="13" t="str">
        <f>IF(OR('实盘净值数据(iFinD）'!$A105="",'实盘净值数据(iFinD）'!$B105=""),"",分期持仓明细!$AB$18*SUMPRODUCT(分期持仓明细!$B$18:$Y$18,'实盘净值数据(iFinD）'!$B105:$Y105/'实盘净值数据(iFinD）'!$B$20:$Y$20)*(1-实盘持仓初始配置!$Z$5)^(('实盘净值数据(iFinD）'!$A105-'实盘净值数据(iFinD）'!$A$5)/365))</f>
        <v/>
      </c>
      <c r="F105" s="16" t="str">
        <f t="shared" si="7"/>
        <v/>
      </c>
      <c r="G105" s="16" t="str">
        <f>IF(E105="","",E105/MAX(E$5:E105)-1)</f>
        <v/>
      </c>
      <c r="H105" s="13" t="str">
        <f>IF(OR('实盘净值数据(iFinD）'!$A105="",'实盘净值数据(iFinD）'!$B105=""),"",分期持仓明细!$AB$19*SUMPRODUCT(分期持仓明细!$B$19:$Y$19,'实盘净值数据(iFinD）'!$B105:$Y105/'实盘净值数据(iFinD）'!$B$20:$Y$20)*(1-实盘持仓初始配置!$Z$6)^(('实盘净值数据(iFinD）'!$A105-'实盘净值数据(iFinD）'!$A$7)/365))</f>
        <v/>
      </c>
      <c r="I105" s="16" t="str">
        <f t="shared" si="8"/>
        <v/>
      </c>
      <c r="J105" s="16" t="str">
        <f>IF(H105="","",H105/MAX(H$5:H105)-1)</f>
        <v/>
      </c>
      <c r="K105" s="13" t="str">
        <f>IF(OR('实盘净值数据(iFinD）'!$A105="",'实盘净值数据(iFinD）'!$B105="",'实盘净值数据(iFinD）'!$Z105="",'实盘净值数据(iFinD）'!$AA105=""),"",分期持仓明细!$AB$23*(SUMPRODUCT(分期持仓明细!$B$23:$Y$23,'实盘净值数据(iFinD）'!$B105:$Y105/'实盘净值数据(iFinD）'!$B$65:$Y$65)+SUMPRODUCT(分期持仓明细!$AC$23:$AD$23,'实盘净值数据(iFinD）'!$Z105:$AA105/'实盘净值数据(iFinD）'!$Z$65:$AA$65))*(1-实盘持仓初始配置!$Z$7)^(('实盘净值数据(iFinD）'!$A105-'实盘净值数据(iFinD）'!$A$8)/365))</f>
        <v/>
      </c>
      <c r="L105" s="16" t="str">
        <f t="shared" si="9"/>
        <v/>
      </c>
      <c r="M105" s="16" t="str">
        <f>IF(K105="","",K105/MAX(K$5:K105)-1)</f>
        <v/>
      </c>
      <c r="N105" s="13" t="str">
        <f>IF(OR('实盘净值数据(iFinD）'!$A105="",'实盘净值数据(iFinD）'!$B105="",'实盘净值数据(iFinD）'!$Z105="",'实盘净值数据(iFinD）'!$AA105=""),"",分期持仓明细!$AB$24*(SUMPRODUCT(分期持仓明细!$B$24:$Y$24,'实盘净值数据(iFinD）'!$B105:$Y105/'实盘净值数据(iFinD）'!$B$65:$Y$65)+SUMPRODUCT(分期持仓明细!$AC$24:$AD$24,'实盘净值数据(iFinD）'!$Z105:$AA105/'实盘净值数据(iFinD）'!$Z$65:$AA$65))*(1-实盘持仓初始配置!$Z$8)^(('实盘净值数据(iFinD）'!$A105-'实盘净值数据(iFinD）'!$A$5)/365))</f>
        <v/>
      </c>
      <c r="O105" s="16" t="str">
        <f t="shared" si="10"/>
        <v/>
      </c>
      <c r="P105" s="16" t="str">
        <f>IF(N105="","",N105/MAX(N$5:N105)-1)</f>
        <v/>
      </c>
      <c r="Q105" s="13" t="str">
        <f>IF(OR('实盘净值数据(iFinD）'!$A105="",'实盘净值数据(iFinD）'!$B105="",'实盘净值数据(iFinD）'!$Z105="",'实盘净值数据(iFinD）'!$AA105=""),"",分期持仓明细!$AB$25*(SUMPRODUCT(分期持仓明细!$B$25:$Y$25,'实盘净值数据(iFinD）'!$B105:$Y105/'实盘净值数据(iFinD）'!$B$65:$Y$65)+SUMPRODUCT(分期持仓明细!$AC$25:$AD$25,'实盘净值数据(iFinD）'!$Z105:$AA105/'实盘净值数据(iFinD）'!$Z$65:$AA$65))*(1-实盘持仓初始配置!$Z$9)^(('实盘净值数据(iFinD）'!$A105-'实盘净值数据(iFinD）'!$A$8)/365))</f>
        <v/>
      </c>
      <c r="R105" s="16" t="str">
        <f t="shared" si="11"/>
        <v/>
      </c>
      <c r="S105" s="16" t="str">
        <f>IF(Q105="","",Q105/MAX(Q$5:Q105)-1)</f>
        <v/>
      </c>
      <c r="T105" s="13">
        <f>IF(OR('实盘净值数据(iFinD）'!$A105="",'实盘净值数据(iFinD）'!$B105="",'实盘净值数据(iFinD）'!$Z105="",'实盘净值数据(iFinD）'!$AA105="",'实盘净值数据(iFinD）'!$AB105="",'实盘净值数据(iFinD）'!$AL105=""),"",(SUMPRODUCT(分期持仓明细!$B$26:$Y$26,'实盘净值数据(iFinD）'!$B105:$Y105/'实盘净值数据(iFinD）'!$B$69:$Y$69)+SUMPRODUCT(分期持仓明细!$AC$26:$AD$26,'实盘净值数据(iFinD）'!$Z105:$AA105/'实盘净值数据(iFinD）'!$Z$69:$AA$69)+SUMPRODUCT(分期持仓明细!$AE$26:$AO$26,'实盘净值数据(iFinD）'!$AB105:$AL105/'实盘净值数据(iFinD）'!$AB$69:$AL$69))*(1-实盘持仓初始配置!$Z$10)^(('实盘净值数据(iFinD）'!$A105-'实盘净值数据(iFinD）'!$A$69)/365))</f>
        <v/>
      </c>
      <c r="U105" s="16">
        <f>IF(OR(T104="",T105=""),"",T105/T104-1)</f>
        <v/>
      </c>
      <c r="V105" s="16">
        <f>IF(T105="","",T105/MAX(T$5:T105)-1)</f>
        <v/>
      </c>
    </row>
    <row r="106" spans="1:19">
      <c r="A106" s="15" t="str">
        <f>IF('实盘净值数据(iFinD）'!A106="","",'实盘净值数据(iFinD）'!A106)</f>
        <v/>
      </c>
      <c r="B106" s="13" t="str">
        <f>IF(OR('实盘净值数据(iFinD）'!$A106="",'实盘净值数据(iFinD）'!$B106=""),"",分期持仓明细!$AB$17*SUMPRODUCT(分期持仓明细!$B$17:$Y$17,'实盘净值数据(iFinD）'!$B106:$Y106/'实盘净值数据(iFinD）'!$B$20:$Y$20)*(1-实盘持仓初始配置!$Z$4)^(('实盘净值数据(iFinD）'!$A106-'实盘净值数据(iFinD）'!$A$6)/365))</f>
        <v/>
      </c>
      <c r="C106" s="16" t="str">
        <f t="shared" si="6"/>
        <v/>
      </c>
      <c r="D106" s="16" t="str">
        <f>IF(B106="","",B106/MAX(B$5:B106)-1)</f>
        <v/>
      </c>
      <c r="E106" s="13" t="str">
        <f>IF(OR('实盘净值数据(iFinD）'!$A106="",'实盘净值数据(iFinD）'!$B106=""),"",分期持仓明细!$AB$18*SUMPRODUCT(分期持仓明细!$B$18:$Y$18,'实盘净值数据(iFinD）'!$B106:$Y106/'实盘净值数据(iFinD）'!$B$20:$Y$20)*(1-实盘持仓初始配置!$Z$5)^(('实盘净值数据(iFinD）'!$A106-'实盘净值数据(iFinD）'!$A$5)/365))</f>
        <v/>
      </c>
      <c r="F106" s="16" t="str">
        <f t="shared" si="7"/>
        <v/>
      </c>
      <c r="G106" s="16" t="str">
        <f>IF(E106="","",E106/MAX(E$5:E106)-1)</f>
        <v/>
      </c>
      <c r="H106" s="13" t="str">
        <f>IF(OR('实盘净值数据(iFinD）'!$A106="",'实盘净值数据(iFinD）'!$B106=""),"",分期持仓明细!$AB$19*SUMPRODUCT(分期持仓明细!$B$19:$Y$19,'实盘净值数据(iFinD）'!$B106:$Y106/'实盘净值数据(iFinD）'!$B$20:$Y$20)*(1-实盘持仓初始配置!$Z$6)^(('实盘净值数据(iFinD）'!$A106-'实盘净值数据(iFinD）'!$A$7)/365))</f>
        <v/>
      </c>
      <c r="I106" s="16" t="str">
        <f t="shared" si="8"/>
        <v/>
      </c>
      <c r="J106" s="16" t="str">
        <f>IF(H106="","",H106/MAX(H$5:H106)-1)</f>
        <v/>
      </c>
      <c r="K106" s="13" t="str">
        <f>IF(OR('实盘净值数据(iFinD）'!$A106="",'实盘净值数据(iFinD）'!$B106="",'实盘净值数据(iFinD）'!$Z106="",'实盘净值数据(iFinD）'!$AA106=""),"",分期持仓明细!$AB$23*(SUMPRODUCT(分期持仓明细!$B$23:$Y$23,'实盘净值数据(iFinD）'!$B106:$Y106/'实盘净值数据(iFinD）'!$B$65:$Y$65)+SUMPRODUCT(分期持仓明细!$AC$23:$AD$23,'实盘净值数据(iFinD）'!$Z106:$AA106/'实盘净值数据(iFinD）'!$Z$65:$AA$65))*(1-实盘持仓初始配置!$Z$7)^(('实盘净值数据(iFinD）'!$A106-'实盘净值数据(iFinD）'!$A$8)/365))</f>
        <v/>
      </c>
      <c r="L106" s="16" t="str">
        <f t="shared" si="9"/>
        <v/>
      </c>
      <c r="M106" s="16" t="str">
        <f>IF(K106="","",K106/MAX(K$5:K106)-1)</f>
        <v/>
      </c>
      <c r="N106" s="13" t="str">
        <f>IF(OR('实盘净值数据(iFinD）'!$A106="",'实盘净值数据(iFinD）'!$B106="",'实盘净值数据(iFinD）'!$Z106="",'实盘净值数据(iFinD）'!$AA106=""),"",分期持仓明细!$AB$24*(SUMPRODUCT(分期持仓明细!$B$24:$Y$24,'实盘净值数据(iFinD）'!$B106:$Y106/'实盘净值数据(iFinD）'!$B$65:$Y$65)+SUMPRODUCT(分期持仓明细!$AC$24:$AD$24,'实盘净值数据(iFinD）'!$Z106:$AA106/'实盘净值数据(iFinD）'!$Z$65:$AA$65))*(1-实盘持仓初始配置!$Z$8)^(('实盘净值数据(iFinD）'!$A106-'实盘净值数据(iFinD）'!$A$5)/365))</f>
        <v/>
      </c>
      <c r="O106" s="16" t="str">
        <f t="shared" si="10"/>
        <v/>
      </c>
      <c r="P106" s="16" t="str">
        <f>IF(N106="","",N106/MAX(N$5:N106)-1)</f>
        <v/>
      </c>
      <c r="Q106" s="13" t="str">
        <f>IF(OR('实盘净值数据(iFinD）'!$A106="",'实盘净值数据(iFinD）'!$B106="",'实盘净值数据(iFinD）'!$Z106="",'实盘净值数据(iFinD）'!$AA106=""),"",分期持仓明细!$AB$25*(SUMPRODUCT(分期持仓明细!$B$25:$Y$25,'实盘净值数据(iFinD）'!$B106:$Y106/'实盘净值数据(iFinD）'!$B$65:$Y$65)+SUMPRODUCT(分期持仓明细!$AC$25:$AD$25,'实盘净值数据(iFinD）'!$Z106:$AA106/'实盘净值数据(iFinD）'!$Z$65:$AA$65))*(1-实盘持仓初始配置!$Z$9)^(('实盘净值数据(iFinD）'!$A106-'实盘净值数据(iFinD）'!$A$8)/365))</f>
        <v/>
      </c>
      <c r="R106" s="16" t="str">
        <f t="shared" si="11"/>
        <v/>
      </c>
      <c r="S106" s="16" t="str">
        <f>IF(Q106="","",Q106/MAX(Q$5:Q106)-1)</f>
        <v/>
      </c>
      <c r="T106" s="13">
        <f>IF(OR('实盘净值数据(iFinD）'!$A106="",'实盘净值数据(iFinD）'!$B106="",'实盘净值数据(iFinD）'!$Z106="",'实盘净值数据(iFinD）'!$AA106="",'实盘净值数据(iFinD）'!$AB106="",'实盘净值数据(iFinD）'!$AL106=""),"",(SUMPRODUCT(分期持仓明细!$B$26:$Y$26,'实盘净值数据(iFinD）'!$B106:$Y106/'实盘净值数据(iFinD）'!$B$69:$Y$69)+SUMPRODUCT(分期持仓明细!$AC$26:$AD$26,'实盘净值数据(iFinD）'!$Z106:$AA106/'实盘净值数据(iFinD）'!$Z$69:$AA$69)+SUMPRODUCT(分期持仓明细!$AE$26:$AO$26,'实盘净值数据(iFinD）'!$AB106:$AL106/'实盘净值数据(iFinD）'!$AB$69:$AL$69))*(1-实盘持仓初始配置!$Z$10)^(('实盘净值数据(iFinD）'!$A106-'实盘净值数据(iFinD）'!$A$69)/365))</f>
        <v/>
      </c>
      <c r="U106" s="16">
        <f>IF(OR(T105="",T106=""),"",T106/T105-1)</f>
        <v/>
      </c>
      <c r="V106" s="16">
        <f>IF(T106="","",T106/MAX(T$5:T106)-1)</f>
        <v/>
      </c>
    </row>
    <row r="107" spans="1:19">
      <c r="A107" s="15" t="str">
        <f>IF('实盘净值数据(iFinD）'!A107="","",'实盘净值数据(iFinD）'!A107)</f>
        <v/>
      </c>
      <c r="B107" s="13" t="str">
        <f>IF(OR('实盘净值数据(iFinD）'!$A107="",'实盘净值数据(iFinD）'!$B107=""),"",分期持仓明细!$AB$17*SUMPRODUCT(分期持仓明细!$B$17:$Y$17,'实盘净值数据(iFinD）'!$B107:$Y107/'实盘净值数据(iFinD）'!$B$20:$Y$20)*(1-实盘持仓初始配置!$Z$4)^(('实盘净值数据(iFinD）'!$A107-'实盘净值数据(iFinD）'!$A$6)/365))</f>
        <v/>
      </c>
      <c r="C107" s="16" t="str">
        <f t="shared" si="6"/>
        <v/>
      </c>
      <c r="D107" s="16" t="str">
        <f>IF(B107="","",B107/MAX(B$5:B107)-1)</f>
        <v/>
      </c>
      <c r="E107" s="13" t="str">
        <f>IF(OR('实盘净值数据(iFinD）'!$A107="",'实盘净值数据(iFinD）'!$B107=""),"",分期持仓明细!$AB$18*SUMPRODUCT(分期持仓明细!$B$18:$Y$18,'实盘净值数据(iFinD）'!$B107:$Y107/'实盘净值数据(iFinD）'!$B$20:$Y$20)*(1-实盘持仓初始配置!$Z$5)^(('实盘净值数据(iFinD）'!$A107-'实盘净值数据(iFinD）'!$A$5)/365))</f>
        <v/>
      </c>
      <c r="F107" s="16" t="str">
        <f t="shared" si="7"/>
        <v/>
      </c>
      <c r="G107" s="16" t="str">
        <f>IF(E107="","",E107/MAX(E$5:E107)-1)</f>
        <v/>
      </c>
      <c r="H107" s="13" t="str">
        <f>IF(OR('实盘净值数据(iFinD）'!$A107="",'实盘净值数据(iFinD）'!$B107=""),"",分期持仓明细!$AB$19*SUMPRODUCT(分期持仓明细!$B$19:$Y$19,'实盘净值数据(iFinD）'!$B107:$Y107/'实盘净值数据(iFinD）'!$B$20:$Y$20)*(1-实盘持仓初始配置!$Z$6)^(('实盘净值数据(iFinD）'!$A107-'实盘净值数据(iFinD）'!$A$7)/365))</f>
        <v/>
      </c>
      <c r="I107" s="16" t="str">
        <f t="shared" si="8"/>
        <v/>
      </c>
      <c r="J107" s="16" t="str">
        <f>IF(H107="","",H107/MAX(H$5:H107)-1)</f>
        <v/>
      </c>
      <c r="K107" s="13" t="str">
        <f>IF(OR('实盘净值数据(iFinD）'!$A107="",'实盘净值数据(iFinD）'!$B107="",'实盘净值数据(iFinD）'!$Z107="",'实盘净值数据(iFinD）'!$AA107=""),"",分期持仓明细!$AB$23*(SUMPRODUCT(分期持仓明细!$B$23:$Y$23,'实盘净值数据(iFinD）'!$B107:$Y107/'实盘净值数据(iFinD）'!$B$65:$Y$65)+SUMPRODUCT(分期持仓明细!$AC$23:$AD$23,'实盘净值数据(iFinD）'!$Z107:$AA107/'实盘净值数据(iFinD）'!$Z$65:$AA$65))*(1-实盘持仓初始配置!$Z$7)^(('实盘净值数据(iFinD）'!$A107-'实盘净值数据(iFinD）'!$A$8)/365))</f>
        <v/>
      </c>
      <c r="L107" s="16" t="str">
        <f t="shared" si="9"/>
        <v/>
      </c>
      <c r="M107" s="16" t="str">
        <f>IF(K107="","",K107/MAX(K$5:K107)-1)</f>
        <v/>
      </c>
      <c r="N107" s="13" t="str">
        <f>IF(OR('实盘净值数据(iFinD）'!$A107="",'实盘净值数据(iFinD）'!$B107="",'实盘净值数据(iFinD）'!$Z107="",'实盘净值数据(iFinD）'!$AA107=""),"",分期持仓明细!$AB$24*(SUMPRODUCT(分期持仓明细!$B$24:$Y$24,'实盘净值数据(iFinD）'!$B107:$Y107/'实盘净值数据(iFinD）'!$B$65:$Y$65)+SUMPRODUCT(分期持仓明细!$AC$24:$AD$24,'实盘净值数据(iFinD）'!$Z107:$AA107/'实盘净值数据(iFinD）'!$Z$65:$AA$65))*(1-实盘持仓初始配置!$Z$8)^(('实盘净值数据(iFinD）'!$A107-'实盘净值数据(iFinD）'!$A$5)/365))</f>
        <v/>
      </c>
      <c r="O107" s="16" t="str">
        <f t="shared" si="10"/>
        <v/>
      </c>
      <c r="P107" s="16" t="str">
        <f>IF(N107="","",N107/MAX(N$5:N107)-1)</f>
        <v/>
      </c>
      <c r="Q107" s="13" t="str">
        <f>IF(OR('实盘净值数据(iFinD）'!$A107="",'实盘净值数据(iFinD）'!$B107="",'实盘净值数据(iFinD）'!$Z107="",'实盘净值数据(iFinD）'!$AA107=""),"",分期持仓明细!$AB$25*(SUMPRODUCT(分期持仓明细!$B$25:$Y$25,'实盘净值数据(iFinD）'!$B107:$Y107/'实盘净值数据(iFinD）'!$B$65:$Y$65)+SUMPRODUCT(分期持仓明细!$AC$25:$AD$25,'实盘净值数据(iFinD）'!$Z107:$AA107/'实盘净值数据(iFinD）'!$Z$65:$AA$65))*(1-实盘持仓初始配置!$Z$9)^(('实盘净值数据(iFinD）'!$A107-'实盘净值数据(iFinD）'!$A$8)/365))</f>
        <v/>
      </c>
      <c r="R107" s="16" t="str">
        <f t="shared" si="11"/>
        <v/>
      </c>
      <c r="S107" s="16" t="str">
        <f>IF(Q107="","",Q107/MAX(Q$5:Q107)-1)</f>
        <v/>
      </c>
      <c r="T107" s="13">
        <f>IF(OR('实盘净值数据(iFinD）'!$A107="",'实盘净值数据(iFinD）'!$B107="",'实盘净值数据(iFinD）'!$Z107="",'实盘净值数据(iFinD）'!$AA107="",'实盘净值数据(iFinD）'!$AB107="",'实盘净值数据(iFinD）'!$AL107=""),"",(SUMPRODUCT(分期持仓明细!$B$26:$Y$26,'实盘净值数据(iFinD）'!$B107:$Y107/'实盘净值数据(iFinD）'!$B$69:$Y$69)+SUMPRODUCT(分期持仓明细!$AC$26:$AD$26,'实盘净值数据(iFinD）'!$Z107:$AA107/'实盘净值数据(iFinD）'!$Z$69:$AA$69)+SUMPRODUCT(分期持仓明细!$AE$26:$AO$26,'实盘净值数据(iFinD）'!$AB107:$AL107/'实盘净值数据(iFinD）'!$AB$69:$AL$69))*(1-实盘持仓初始配置!$Z$10)^(('实盘净值数据(iFinD）'!$A107-'实盘净值数据(iFinD）'!$A$69)/365))</f>
        <v/>
      </c>
      <c r="U107" s="16">
        <f>IF(OR(T106="",T107=""),"",T107/T106-1)</f>
        <v/>
      </c>
      <c r="V107" s="16">
        <f>IF(T107="","",T107/MAX(T$5:T107)-1)</f>
        <v/>
      </c>
    </row>
    <row r="108" spans="1:19">
      <c r="A108" s="15" t="str">
        <f>IF('实盘净值数据(iFinD）'!A108="","",'实盘净值数据(iFinD）'!A108)</f>
        <v/>
      </c>
      <c r="B108" s="13" t="str">
        <f>IF(OR('实盘净值数据(iFinD）'!$A108="",'实盘净值数据(iFinD）'!$B108=""),"",分期持仓明细!$AB$17*SUMPRODUCT(分期持仓明细!$B$17:$Y$17,'实盘净值数据(iFinD）'!$B108:$Y108/'实盘净值数据(iFinD）'!$B$20:$Y$20)*(1-实盘持仓初始配置!$Z$4)^(('实盘净值数据(iFinD）'!$A108-'实盘净值数据(iFinD）'!$A$6)/365))</f>
        <v/>
      </c>
      <c r="C108" s="16" t="str">
        <f t="shared" si="6"/>
        <v/>
      </c>
      <c r="D108" s="16" t="str">
        <f>IF(B108="","",B108/MAX(B$5:B108)-1)</f>
        <v/>
      </c>
      <c r="E108" s="13" t="str">
        <f>IF(OR('实盘净值数据(iFinD）'!$A108="",'实盘净值数据(iFinD）'!$B108=""),"",分期持仓明细!$AB$18*SUMPRODUCT(分期持仓明细!$B$18:$Y$18,'实盘净值数据(iFinD）'!$B108:$Y108/'实盘净值数据(iFinD）'!$B$20:$Y$20)*(1-实盘持仓初始配置!$Z$5)^(('实盘净值数据(iFinD）'!$A108-'实盘净值数据(iFinD）'!$A$5)/365))</f>
        <v/>
      </c>
      <c r="F108" s="16" t="str">
        <f t="shared" si="7"/>
        <v/>
      </c>
      <c r="G108" s="16" t="str">
        <f>IF(E108="","",E108/MAX(E$5:E108)-1)</f>
        <v/>
      </c>
      <c r="H108" s="13" t="str">
        <f>IF(OR('实盘净值数据(iFinD）'!$A108="",'实盘净值数据(iFinD）'!$B108=""),"",分期持仓明细!$AB$19*SUMPRODUCT(分期持仓明细!$B$19:$Y$19,'实盘净值数据(iFinD）'!$B108:$Y108/'实盘净值数据(iFinD）'!$B$20:$Y$20)*(1-实盘持仓初始配置!$Z$6)^(('实盘净值数据(iFinD）'!$A108-'实盘净值数据(iFinD）'!$A$7)/365))</f>
        <v/>
      </c>
      <c r="I108" s="16" t="str">
        <f t="shared" si="8"/>
        <v/>
      </c>
      <c r="J108" s="16" t="str">
        <f>IF(H108="","",H108/MAX(H$5:H108)-1)</f>
        <v/>
      </c>
      <c r="K108" s="13" t="str">
        <f>IF(OR('实盘净值数据(iFinD）'!$A108="",'实盘净值数据(iFinD）'!$B108="",'实盘净值数据(iFinD）'!$Z108="",'实盘净值数据(iFinD）'!$AA108=""),"",分期持仓明细!$AB$23*(SUMPRODUCT(分期持仓明细!$B$23:$Y$23,'实盘净值数据(iFinD）'!$B108:$Y108/'实盘净值数据(iFinD）'!$B$65:$Y$65)+SUMPRODUCT(分期持仓明细!$AC$23:$AD$23,'实盘净值数据(iFinD）'!$Z108:$AA108/'实盘净值数据(iFinD）'!$Z$65:$AA$65))*(1-实盘持仓初始配置!$Z$7)^(('实盘净值数据(iFinD）'!$A108-'实盘净值数据(iFinD）'!$A$8)/365))</f>
        <v/>
      </c>
      <c r="L108" s="16" t="str">
        <f t="shared" si="9"/>
        <v/>
      </c>
      <c r="M108" s="16" t="str">
        <f>IF(K108="","",K108/MAX(K$5:K108)-1)</f>
        <v/>
      </c>
      <c r="N108" s="13" t="str">
        <f>IF(OR('实盘净值数据(iFinD）'!$A108="",'实盘净值数据(iFinD）'!$B108="",'实盘净值数据(iFinD）'!$Z108="",'实盘净值数据(iFinD）'!$AA108=""),"",分期持仓明细!$AB$24*(SUMPRODUCT(分期持仓明细!$B$24:$Y$24,'实盘净值数据(iFinD）'!$B108:$Y108/'实盘净值数据(iFinD）'!$B$65:$Y$65)+SUMPRODUCT(分期持仓明细!$AC$24:$AD$24,'实盘净值数据(iFinD）'!$Z108:$AA108/'实盘净值数据(iFinD）'!$Z$65:$AA$65))*(1-实盘持仓初始配置!$Z$8)^(('实盘净值数据(iFinD）'!$A108-'实盘净值数据(iFinD）'!$A$5)/365))</f>
        <v/>
      </c>
      <c r="O108" s="16" t="str">
        <f t="shared" si="10"/>
        <v/>
      </c>
      <c r="P108" s="16" t="str">
        <f>IF(N108="","",N108/MAX(N$5:N108)-1)</f>
        <v/>
      </c>
      <c r="Q108" s="13" t="str">
        <f>IF(OR('实盘净值数据(iFinD）'!$A108="",'实盘净值数据(iFinD）'!$B108="",'实盘净值数据(iFinD）'!$Z108="",'实盘净值数据(iFinD）'!$AA108=""),"",分期持仓明细!$AB$25*(SUMPRODUCT(分期持仓明细!$B$25:$Y$25,'实盘净值数据(iFinD）'!$B108:$Y108/'实盘净值数据(iFinD）'!$B$65:$Y$65)+SUMPRODUCT(分期持仓明细!$AC$25:$AD$25,'实盘净值数据(iFinD）'!$Z108:$AA108/'实盘净值数据(iFinD）'!$Z$65:$AA$65))*(1-实盘持仓初始配置!$Z$9)^(('实盘净值数据(iFinD）'!$A108-'实盘净值数据(iFinD）'!$A$8)/365))</f>
        <v/>
      </c>
      <c r="R108" s="16" t="str">
        <f t="shared" si="11"/>
        <v/>
      </c>
      <c r="S108" s="16" t="str">
        <f>IF(Q108="","",Q108/MAX(Q$5:Q108)-1)</f>
        <v/>
      </c>
      <c r="T108" s="13">
        <f>IF(OR('实盘净值数据(iFinD）'!$A108="",'实盘净值数据(iFinD）'!$B108="",'实盘净值数据(iFinD）'!$Z108="",'实盘净值数据(iFinD）'!$AA108="",'实盘净值数据(iFinD）'!$AB108="",'实盘净值数据(iFinD）'!$AL108=""),"",(SUMPRODUCT(分期持仓明细!$B$26:$Y$26,'实盘净值数据(iFinD）'!$B108:$Y108/'实盘净值数据(iFinD）'!$B$69:$Y$69)+SUMPRODUCT(分期持仓明细!$AC$26:$AD$26,'实盘净值数据(iFinD）'!$Z108:$AA108/'实盘净值数据(iFinD）'!$Z$69:$AA$69)+SUMPRODUCT(分期持仓明细!$AE$26:$AO$26,'实盘净值数据(iFinD）'!$AB108:$AL108/'实盘净值数据(iFinD）'!$AB$69:$AL$69))*(1-实盘持仓初始配置!$Z$10)^(('实盘净值数据(iFinD）'!$A108-'实盘净值数据(iFinD）'!$A$69)/365))</f>
        <v/>
      </c>
      <c r="U108" s="16">
        <f>IF(OR(T107="",T108=""),"",T108/T107-1)</f>
        <v/>
      </c>
      <c r="V108" s="16">
        <f>IF(T108="","",T108/MAX(T$5:T108)-1)</f>
        <v/>
      </c>
    </row>
    <row r="109" spans="1:19">
      <c r="A109" s="15" t="str">
        <f>IF('实盘净值数据(iFinD）'!A109="","",'实盘净值数据(iFinD）'!A109)</f>
        <v/>
      </c>
      <c r="B109" s="13" t="str">
        <f>IF(OR('实盘净值数据(iFinD）'!$A109="",'实盘净值数据(iFinD）'!$B109=""),"",分期持仓明细!$AB$17*SUMPRODUCT(分期持仓明细!$B$17:$Y$17,'实盘净值数据(iFinD）'!$B109:$Y109/'实盘净值数据(iFinD）'!$B$20:$Y$20)*(1-实盘持仓初始配置!$Z$4)^(('实盘净值数据(iFinD）'!$A109-'实盘净值数据(iFinD）'!$A$6)/365))</f>
        <v/>
      </c>
      <c r="C109" s="16" t="str">
        <f t="shared" si="6"/>
        <v/>
      </c>
      <c r="D109" s="16" t="str">
        <f>IF(B109="","",B109/MAX(B$5:B109)-1)</f>
        <v/>
      </c>
      <c r="E109" s="13" t="str">
        <f>IF(OR('实盘净值数据(iFinD）'!$A109="",'实盘净值数据(iFinD）'!$B109=""),"",分期持仓明细!$AB$18*SUMPRODUCT(分期持仓明细!$B$18:$Y$18,'实盘净值数据(iFinD）'!$B109:$Y109/'实盘净值数据(iFinD）'!$B$20:$Y$20)*(1-实盘持仓初始配置!$Z$5)^(('实盘净值数据(iFinD）'!$A109-'实盘净值数据(iFinD）'!$A$5)/365))</f>
        <v/>
      </c>
      <c r="F109" s="16" t="str">
        <f t="shared" si="7"/>
        <v/>
      </c>
      <c r="G109" s="16" t="str">
        <f>IF(E109="","",E109/MAX(E$5:E109)-1)</f>
        <v/>
      </c>
      <c r="H109" s="13" t="str">
        <f>IF(OR('实盘净值数据(iFinD）'!$A109="",'实盘净值数据(iFinD）'!$B109=""),"",分期持仓明细!$AB$19*SUMPRODUCT(分期持仓明细!$B$19:$Y$19,'实盘净值数据(iFinD）'!$B109:$Y109/'实盘净值数据(iFinD）'!$B$20:$Y$20)*(1-实盘持仓初始配置!$Z$6)^(('实盘净值数据(iFinD）'!$A109-'实盘净值数据(iFinD）'!$A$7)/365))</f>
        <v/>
      </c>
      <c r="I109" s="16" t="str">
        <f t="shared" si="8"/>
        <v/>
      </c>
      <c r="J109" s="16" t="str">
        <f>IF(H109="","",H109/MAX(H$5:H109)-1)</f>
        <v/>
      </c>
      <c r="K109" s="13" t="str">
        <f>IF(OR('实盘净值数据(iFinD）'!$A109="",'实盘净值数据(iFinD）'!$B109="",'实盘净值数据(iFinD）'!$Z109="",'实盘净值数据(iFinD）'!$AA109=""),"",分期持仓明细!$AB$23*(SUMPRODUCT(分期持仓明细!$B$23:$Y$23,'实盘净值数据(iFinD）'!$B109:$Y109/'实盘净值数据(iFinD）'!$B$65:$Y$65)+SUMPRODUCT(分期持仓明细!$AC$23:$AD$23,'实盘净值数据(iFinD）'!$Z109:$AA109/'实盘净值数据(iFinD）'!$Z$65:$AA$65))*(1-实盘持仓初始配置!$Z$7)^(('实盘净值数据(iFinD）'!$A109-'实盘净值数据(iFinD）'!$A$8)/365))</f>
        <v/>
      </c>
      <c r="L109" s="16" t="str">
        <f t="shared" si="9"/>
        <v/>
      </c>
      <c r="M109" s="16" t="str">
        <f>IF(K109="","",K109/MAX(K$5:K109)-1)</f>
        <v/>
      </c>
      <c r="N109" s="13" t="str">
        <f>IF(OR('实盘净值数据(iFinD）'!$A109="",'实盘净值数据(iFinD）'!$B109="",'实盘净值数据(iFinD）'!$Z109="",'实盘净值数据(iFinD）'!$AA109=""),"",分期持仓明细!$AB$24*(SUMPRODUCT(分期持仓明细!$B$24:$Y$24,'实盘净值数据(iFinD）'!$B109:$Y109/'实盘净值数据(iFinD）'!$B$65:$Y$65)+SUMPRODUCT(分期持仓明细!$AC$24:$AD$24,'实盘净值数据(iFinD）'!$Z109:$AA109/'实盘净值数据(iFinD）'!$Z$65:$AA$65))*(1-实盘持仓初始配置!$Z$8)^(('实盘净值数据(iFinD）'!$A109-'实盘净值数据(iFinD）'!$A$5)/365))</f>
        <v/>
      </c>
      <c r="O109" s="16" t="str">
        <f t="shared" si="10"/>
        <v/>
      </c>
      <c r="P109" s="16" t="str">
        <f>IF(N109="","",N109/MAX(N$5:N109)-1)</f>
        <v/>
      </c>
      <c r="Q109" s="13" t="str">
        <f>IF(OR('实盘净值数据(iFinD）'!$A109="",'实盘净值数据(iFinD）'!$B109="",'实盘净值数据(iFinD）'!$Z109="",'实盘净值数据(iFinD）'!$AA109=""),"",分期持仓明细!$AB$25*(SUMPRODUCT(分期持仓明细!$B$25:$Y$25,'实盘净值数据(iFinD）'!$B109:$Y109/'实盘净值数据(iFinD）'!$B$65:$Y$65)+SUMPRODUCT(分期持仓明细!$AC$25:$AD$25,'实盘净值数据(iFinD）'!$Z109:$AA109/'实盘净值数据(iFinD）'!$Z$65:$AA$65))*(1-实盘持仓初始配置!$Z$9)^(('实盘净值数据(iFinD）'!$A109-'实盘净值数据(iFinD）'!$A$8)/365))</f>
        <v/>
      </c>
      <c r="R109" s="16" t="str">
        <f t="shared" si="11"/>
        <v/>
      </c>
      <c r="S109" s="16" t="str">
        <f>IF(Q109="","",Q109/MAX(Q$5:Q109)-1)</f>
        <v/>
      </c>
      <c r="T109" s="13">
        <f>IF(OR('实盘净值数据(iFinD）'!$A109="",'实盘净值数据(iFinD）'!$B109="",'实盘净值数据(iFinD）'!$Z109="",'实盘净值数据(iFinD）'!$AA109="",'实盘净值数据(iFinD）'!$AB109="",'实盘净值数据(iFinD）'!$AL109=""),"",(SUMPRODUCT(分期持仓明细!$B$26:$Y$26,'实盘净值数据(iFinD）'!$B109:$Y109/'实盘净值数据(iFinD）'!$B$69:$Y$69)+SUMPRODUCT(分期持仓明细!$AC$26:$AD$26,'实盘净值数据(iFinD）'!$Z109:$AA109/'实盘净值数据(iFinD）'!$Z$69:$AA$69)+SUMPRODUCT(分期持仓明细!$AE$26:$AO$26,'实盘净值数据(iFinD）'!$AB109:$AL109/'实盘净值数据(iFinD）'!$AB$69:$AL$69))*(1-实盘持仓初始配置!$Z$10)^(('实盘净值数据(iFinD）'!$A109-'实盘净值数据(iFinD）'!$A$69)/365))</f>
        <v/>
      </c>
      <c r="U109" s="16">
        <f>IF(OR(T108="",T109=""),"",T109/T108-1)</f>
        <v/>
      </c>
      <c r="V109" s="16">
        <f>IF(T109="","",T109/MAX(T$5:T109)-1)</f>
        <v/>
      </c>
    </row>
    <row r="110" spans="1:19">
      <c r="A110" s="15" t="str">
        <f>IF('实盘净值数据(iFinD）'!A110="","",'实盘净值数据(iFinD）'!A110)</f>
        <v/>
      </c>
      <c r="B110" s="13" t="str">
        <f>IF(OR('实盘净值数据(iFinD）'!$A110="",'实盘净值数据(iFinD）'!$B110=""),"",分期持仓明细!$AB$17*SUMPRODUCT(分期持仓明细!$B$17:$Y$17,'实盘净值数据(iFinD）'!$B110:$Y110/'实盘净值数据(iFinD）'!$B$20:$Y$20)*(1-实盘持仓初始配置!$Z$4)^(('实盘净值数据(iFinD）'!$A110-'实盘净值数据(iFinD）'!$A$6)/365))</f>
        <v/>
      </c>
      <c r="C110" s="16" t="str">
        <f t="shared" si="6"/>
        <v/>
      </c>
      <c r="D110" s="16" t="str">
        <f>IF(B110="","",B110/MAX(B$5:B110)-1)</f>
        <v/>
      </c>
      <c r="E110" s="13" t="str">
        <f>IF(OR('实盘净值数据(iFinD）'!$A110="",'实盘净值数据(iFinD）'!$B110=""),"",分期持仓明细!$AB$18*SUMPRODUCT(分期持仓明细!$B$18:$Y$18,'实盘净值数据(iFinD）'!$B110:$Y110/'实盘净值数据(iFinD）'!$B$20:$Y$20)*(1-实盘持仓初始配置!$Z$5)^(('实盘净值数据(iFinD）'!$A110-'实盘净值数据(iFinD）'!$A$5)/365))</f>
        <v/>
      </c>
      <c r="F110" s="16" t="str">
        <f t="shared" si="7"/>
        <v/>
      </c>
      <c r="G110" s="16" t="str">
        <f>IF(E110="","",E110/MAX(E$5:E110)-1)</f>
        <v/>
      </c>
      <c r="H110" s="13" t="str">
        <f>IF(OR('实盘净值数据(iFinD）'!$A110="",'实盘净值数据(iFinD）'!$B110=""),"",分期持仓明细!$AB$19*SUMPRODUCT(分期持仓明细!$B$19:$Y$19,'实盘净值数据(iFinD）'!$B110:$Y110/'实盘净值数据(iFinD）'!$B$20:$Y$20)*(1-实盘持仓初始配置!$Z$6)^(('实盘净值数据(iFinD）'!$A110-'实盘净值数据(iFinD）'!$A$7)/365))</f>
        <v/>
      </c>
      <c r="I110" s="16" t="str">
        <f t="shared" si="8"/>
        <v/>
      </c>
      <c r="J110" s="16" t="str">
        <f>IF(H110="","",H110/MAX(H$5:H110)-1)</f>
        <v/>
      </c>
      <c r="K110" s="13" t="str">
        <f>IF(OR('实盘净值数据(iFinD）'!$A110="",'实盘净值数据(iFinD）'!$B110="",'实盘净值数据(iFinD）'!$Z110="",'实盘净值数据(iFinD）'!$AA110=""),"",分期持仓明细!$AB$23*(SUMPRODUCT(分期持仓明细!$B$23:$Y$23,'实盘净值数据(iFinD）'!$B110:$Y110/'实盘净值数据(iFinD）'!$B$65:$Y$65)+SUMPRODUCT(分期持仓明细!$AC$23:$AD$23,'实盘净值数据(iFinD）'!$Z110:$AA110/'实盘净值数据(iFinD）'!$Z$65:$AA$65))*(1-实盘持仓初始配置!$Z$7)^(('实盘净值数据(iFinD）'!$A110-'实盘净值数据(iFinD）'!$A$8)/365))</f>
        <v/>
      </c>
      <c r="L110" s="16" t="str">
        <f t="shared" si="9"/>
        <v/>
      </c>
      <c r="M110" s="16" t="str">
        <f>IF(K110="","",K110/MAX(K$5:K110)-1)</f>
        <v/>
      </c>
      <c r="N110" s="13" t="str">
        <f>IF(OR('实盘净值数据(iFinD）'!$A110="",'实盘净值数据(iFinD）'!$B110="",'实盘净值数据(iFinD）'!$Z110="",'实盘净值数据(iFinD）'!$AA110=""),"",分期持仓明细!$AB$24*(SUMPRODUCT(分期持仓明细!$B$24:$Y$24,'实盘净值数据(iFinD）'!$B110:$Y110/'实盘净值数据(iFinD）'!$B$65:$Y$65)+SUMPRODUCT(分期持仓明细!$AC$24:$AD$24,'实盘净值数据(iFinD）'!$Z110:$AA110/'实盘净值数据(iFinD）'!$Z$65:$AA$65))*(1-实盘持仓初始配置!$Z$8)^(('实盘净值数据(iFinD）'!$A110-'实盘净值数据(iFinD）'!$A$5)/365))</f>
        <v/>
      </c>
      <c r="O110" s="16" t="str">
        <f t="shared" si="10"/>
        <v/>
      </c>
      <c r="P110" s="16" t="str">
        <f>IF(N110="","",N110/MAX(N$5:N110)-1)</f>
        <v/>
      </c>
      <c r="Q110" s="13" t="str">
        <f>IF(OR('实盘净值数据(iFinD）'!$A110="",'实盘净值数据(iFinD）'!$B110="",'实盘净值数据(iFinD）'!$Z110="",'实盘净值数据(iFinD）'!$AA110=""),"",分期持仓明细!$AB$25*(SUMPRODUCT(分期持仓明细!$B$25:$Y$25,'实盘净值数据(iFinD）'!$B110:$Y110/'实盘净值数据(iFinD）'!$B$65:$Y$65)+SUMPRODUCT(分期持仓明细!$AC$25:$AD$25,'实盘净值数据(iFinD）'!$Z110:$AA110/'实盘净值数据(iFinD）'!$Z$65:$AA$65))*(1-实盘持仓初始配置!$Z$9)^(('实盘净值数据(iFinD）'!$A110-'实盘净值数据(iFinD）'!$A$8)/365))</f>
        <v/>
      </c>
      <c r="R110" s="16" t="str">
        <f t="shared" si="11"/>
        <v/>
      </c>
      <c r="S110" s="16" t="str">
        <f>IF(Q110="","",Q110/MAX(Q$5:Q110)-1)</f>
        <v/>
      </c>
      <c r="T110" s="13">
        <f>IF(OR('实盘净值数据(iFinD）'!$A110="",'实盘净值数据(iFinD）'!$B110="",'实盘净值数据(iFinD）'!$Z110="",'实盘净值数据(iFinD）'!$AA110="",'实盘净值数据(iFinD）'!$AB110="",'实盘净值数据(iFinD）'!$AL110=""),"",(SUMPRODUCT(分期持仓明细!$B$26:$Y$26,'实盘净值数据(iFinD）'!$B110:$Y110/'实盘净值数据(iFinD）'!$B$69:$Y$69)+SUMPRODUCT(分期持仓明细!$AC$26:$AD$26,'实盘净值数据(iFinD）'!$Z110:$AA110/'实盘净值数据(iFinD）'!$Z$69:$AA$69)+SUMPRODUCT(分期持仓明细!$AE$26:$AO$26,'实盘净值数据(iFinD）'!$AB110:$AL110/'实盘净值数据(iFinD）'!$AB$69:$AL$69))*(1-实盘持仓初始配置!$Z$10)^(('实盘净值数据(iFinD）'!$A110-'实盘净值数据(iFinD）'!$A$69)/365))</f>
        <v/>
      </c>
      <c r="U110" s="16">
        <f>IF(OR(T109="",T110=""),"",T110/T109-1)</f>
        <v/>
      </c>
      <c r="V110" s="16">
        <f>IF(T110="","",T110/MAX(T$5:T110)-1)</f>
        <v/>
      </c>
    </row>
    <row r="111" spans="1:19">
      <c r="A111" s="15" t="str">
        <f>IF('实盘净值数据(iFinD）'!A111="","",'实盘净值数据(iFinD）'!A111)</f>
        <v/>
      </c>
      <c r="B111" s="13" t="str">
        <f>IF(OR('实盘净值数据(iFinD）'!$A111="",'实盘净值数据(iFinD）'!$B111=""),"",分期持仓明细!$AB$17*SUMPRODUCT(分期持仓明细!$B$17:$Y$17,'实盘净值数据(iFinD）'!$B111:$Y111/'实盘净值数据(iFinD）'!$B$20:$Y$20)*(1-实盘持仓初始配置!$Z$4)^(('实盘净值数据(iFinD）'!$A111-'实盘净值数据(iFinD）'!$A$6)/365))</f>
        <v/>
      </c>
      <c r="C111" s="16" t="str">
        <f t="shared" si="6"/>
        <v/>
      </c>
      <c r="D111" s="16" t="str">
        <f>IF(B111="","",B111/MAX(B$5:B111)-1)</f>
        <v/>
      </c>
      <c r="E111" s="13" t="str">
        <f>IF(OR('实盘净值数据(iFinD）'!$A111="",'实盘净值数据(iFinD）'!$B111=""),"",分期持仓明细!$AB$18*SUMPRODUCT(分期持仓明细!$B$18:$Y$18,'实盘净值数据(iFinD）'!$B111:$Y111/'实盘净值数据(iFinD）'!$B$20:$Y$20)*(1-实盘持仓初始配置!$Z$5)^(('实盘净值数据(iFinD）'!$A111-'实盘净值数据(iFinD）'!$A$5)/365))</f>
        <v/>
      </c>
      <c r="F111" s="16" t="str">
        <f t="shared" si="7"/>
        <v/>
      </c>
      <c r="G111" s="16" t="str">
        <f>IF(E111="","",E111/MAX(E$5:E111)-1)</f>
        <v/>
      </c>
      <c r="H111" s="13" t="str">
        <f>IF(OR('实盘净值数据(iFinD）'!$A111="",'实盘净值数据(iFinD）'!$B111=""),"",分期持仓明细!$AB$19*SUMPRODUCT(分期持仓明细!$B$19:$Y$19,'实盘净值数据(iFinD）'!$B111:$Y111/'实盘净值数据(iFinD）'!$B$20:$Y$20)*(1-实盘持仓初始配置!$Z$6)^(('实盘净值数据(iFinD）'!$A111-'实盘净值数据(iFinD）'!$A$7)/365))</f>
        <v/>
      </c>
      <c r="I111" s="16" t="str">
        <f t="shared" si="8"/>
        <v/>
      </c>
      <c r="J111" s="16" t="str">
        <f>IF(H111="","",H111/MAX(H$5:H111)-1)</f>
        <v/>
      </c>
      <c r="K111" s="13" t="str">
        <f>IF(OR('实盘净值数据(iFinD）'!$A111="",'实盘净值数据(iFinD）'!$B111="",'实盘净值数据(iFinD）'!$Z111="",'实盘净值数据(iFinD）'!$AA111=""),"",分期持仓明细!$AB$23*(SUMPRODUCT(分期持仓明细!$B$23:$Y$23,'实盘净值数据(iFinD）'!$B111:$Y111/'实盘净值数据(iFinD）'!$B$65:$Y$65)+SUMPRODUCT(分期持仓明细!$AC$23:$AD$23,'实盘净值数据(iFinD）'!$Z111:$AA111/'实盘净值数据(iFinD）'!$Z$65:$AA$65))*(1-实盘持仓初始配置!$Z$7)^(('实盘净值数据(iFinD）'!$A111-'实盘净值数据(iFinD）'!$A$8)/365))</f>
        <v/>
      </c>
      <c r="L111" s="16" t="str">
        <f t="shared" si="9"/>
        <v/>
      </c>
      <c r="M111" s="16" t="str">
        <f>IF(K111="","",K111/MAX(K$5:K111)-1)</f>
        <v/>
      </c>
      <c r="N111" s="13" t="str">
        <f>IF(OR('实盘净值数据(iFinD）'!$A111="",'实盘净值数据(iFinD）'!$B111="",'实盘净值数据(iFinD）'!$Z111="",'实盘净值数据(iFinD）'!$AA111=""),"",分期持仓明细!$AB$24*(SUMPRODUCT(分期持仓明细!$B$24:$Y$24,'实盘净值数据(iFinD）'!$B111:$Y111/'实盘净值数据(iFinD）'!$B$65:$Y$65)+SUMPRODUCT(分期持仓明细!$AC$24:$AD$24,'实盘净值数据(iFinD）'!$Z111:$AA111/'实盘净值数据(iFinD）'!$Z$65:$AA$65))*(1-实盘持仓初始配置!$Z$8)^(('实盘净值数据(iFinD）'!$A111-'实盘净值数据(iFinD）'!$A$5)/365))</f>
        <v/>
      </c>
      <c r="O111" s="16" t="str">
        <f t="shared" si="10"/>
        <v/>
      </c>
      <c r="P111" s="16" t="str">
        <f>IF(N111="","",N111/MAX(N$5:N111)-1)</f>
        <v/>
      </c>
      <c r="Q111" s="13" t="str">
        <f>IF(OR('实盘净值数据(iFinD）'!$A111="",'实盘净值数据(iFinD）'!$B111="",'实盘净值数据(iFinD）'!$Z111="",'实盘净值数据(iFinD）'!$AA111=""),"",分期持仓明细!$AB$25*(SUMPRODUCT(分期持仓明细!$B$25:$Y$25,'实盘净值数据(iFinD）'!$B111:$Y111/'实盘净值数据(iFinD）'!$B$65:$Y$65)+SUMPRODUCT(分期持仓明细!$AC$25:$AD$25,'实盘净值数据(iFinD）'!$Z111:$AA111/'实盘净值数据(iFinD）'!$Z$65:$AA$65))*(1-实盘持仓初始配置!$Z$9)^(('实盘净值数据(iFinD）'!$A111-'实盘净值数据(iFinD）'!$A$8)/365))</f>
        <v/>
      </c>
      <c r="R111" s="16" t="str">
        <f t="shared" si="11"/>
        <v/>
      </c>
      <c r="S111" s="16" t="str">
        <f>IF(Q111="","",Q111/MAX(Q$5:Q111)-1)</f>
        <v/>
      </c>
      <c r="T111" s="13">
        <f>IF(OR('实盘净值数据(iFinD）'!$A111="",'实盘净值数据(iFinD）'!$B111="",'实盘净值数据(iFinD）'!$Z111="",'实盘净值数据(iFinD）'!$AA111="",'实盘净值数据(iFinD）'!$AB111="",'实盘净值数据(iFinD）'!$AL111=""),"",(SUMPRODUCT(分期持仓明细!$B$26:$Y$26,'实盘净值数据(iFinD）'!$B111:$Y111/'实盘净值数据(iFinD）'!$B$69:$Y$69)+SUMPRODUCT(分期持仓明细!$AC$26:$AD$26,'实盘净值数据(iFinD）'!$Z111:$AA111/'实盘净值数据(iFinD）'!$Z$69:$AA$69)+SUMPRODUCT(分期持仓明细!$AE$26:$AO$26,'实盘净值数据(iFinD）'!$AB111:$AL111/'实盘净值数据(iFinD）'!$AB$69:$AL$69))*(1-实盘持仓初始配置!$Z$10)^(('实盘净值数据(iFinD）'!$A111-'实盘净值数据(iFinD）'!$A$69)/365))</f>
        <v/>
      </c>
      <c r="U111" s="16">
        <f>IF(OR(T110="",T111=""),"",T111/T110-1)</f>
        <v/>
      </c>
      <c r="V111" s="16">
        <f>IF(T111="","",T111/MAX(T$5:T111)-1)</f>
        <v/>
      </c>
    </row>
    <row r="112" spans="1:19">
      <c r="A112" s="15" t="str">
        <f>IF('实盘净值数据(iFinD）'!A112="","",'实盘净值数据(iFinD）'!A112)</f>
        <v/>
      </c>
      <c r="B112" s="13" t="str">
        <f>IF(OR('实盘净值数据(iFinD）'!$A112="",'实盘净值数据(iFinD）'!$B112=""),"",分期持仓明细!$AB$17*SUMPRODUCT(分期持仓明细!$B$17:$Y$17,'实盘净值数据(iFinD）'!$B112:$Y112/'实盘净值数据(iFinD）'!$B$20:$Y$20)*(1-实盘持仓初始配置!$Z$4)^(('实盘净值数据(iFinD）'!$A112-'实盘净值数据(iFinD）'!$A$6)/365))</f>
        <v/>
      </c>
      <c r="C112" s="16" t="str">
        <f t="shared" si="6"/>
        <v/>
      </c>
      <c r="D112" s="16" t="str">
        <f>IF(B112="","",B112/MAX(B$5:B112)-1)</f>
        <v/>
      </c>
      <c r="E112" s="13" t="str">
        <f>IF(OR('实盘净值数据(iFinD）'!$A112="",'实盘净值数据(iFinD）'!$B112=""),"",分期持仓明细!$AB$18*SUMPRODUCT(分期持仓明细!$B$18:$Y$18,'实盘净值数据(iFinD）'!$B112:$Y112/'实盘净值数据(iFinD）'!$B$20:$Y$20)*(1-实盘持仓初始配置!$Z$5)^(('实盘净值数据(iFinD）'!$A112-'实盘净值数据(iFinD）'!$A$5)/365))</f>
        <v/>
      </c>
      <c r="F112" s="16" t="str">
        <f t="shared" si="7"/>
        <v/>
      </c>
      <c r="G112" s="16" t="str">
        <f>IF(E112="","",E112/MAX(E$5:E112)-1)</f>
        <v/>
      </c>
      <c r="H112" s="13" t="str">
        <f>IF(OR('实盘净值数据(iFinD）'!$A112="",'实盘净值数据(iFinD）'!$B112=""),"",分期持仓明细!$AB$19*SUMPRODUCT(分期持仓明细!$B$19:$Y$19,'实盘净值数据(iFinD）'!$B112:$Y112/'实盘净值数据(iFinD）'!$B$20:$Y$20)*(1-实盘持仓初始配置!$Z$6)^(('实盘净值数据(iFinD）'!$A112-'实盘净值数据(iFinD）'!$A$7)/365))</f>
        <v/>
      </c>
      <c r="I112" s="16" t="str">
        <f t="shared" si="8"/>
        <v/>
      </c>
      <c r="J112" s="16" t="str">
        <f>IF(H112="","",H112/MAX(H$5:H112)-1)</f>
        <v/>
      </c>
      <c r="K112" s="13" t="str">
        <f>IF(OR('实盘净值数据(iFinD）'!$A112="",'实盘净值数据(iFinD）'!$B112="",'实盘净值数据(iFinD）'!$Z112="",'实盘净值数据(iFinD）'!$AA112=""),"",分期持仓明细!$AB$23*(SUMPRODUCT(分期持仓明细!$B$23:$Y$23,'实盘净值数据(iFinD）'!$B112:$Y112/'实盘净值数据(iFinD）'!$B$65:$Y$65)+SUMPRODUCT(分期持仓明细!$AC$23:$AD$23,'实盘净值数据(iFinD）'!$Z112:$AA112/'实盘净值数据(iFinD）'!$Z$65:$AA$65))*(1-实盘持仓初始配置!$Z$7)^(('实盘净值数据(iFinD）'!$A112-'实盘净值数据(iFinD）'!$A$8)/365))</f>
        <v/>
      </c>
      <c r="L112" s="16" t="str">
        <f t="shared" si="9"/>
        <v/>
      </c>
      <c r="M112" s="16" t="str">
        <f>IF(K112="","",K112/MAX(K$5:K112)-1)</f>
        <v/>
      </c>
      <c r="N112" s="13" t="str">
        <f>IF(OR('实盘净值数据(iFinD）'!$A112="",'实盘净值数据(iFinD）'!$B112="",'实盘净值数据(iFinD）'!$Z112="",'实盘净值数据(iFinD）'!$AA112=""),"",分期持仓明细!$AB$24*(SUMPRODUCT(分期持仓明细!$B$24:$Y$24,'实盘净值数据(iFinD）'!$B112:$Y112/'实盘净值数据(iFinD）'!$B$65:$Y$65)+SUMPRODUCT(分期持仓明细!$AC$24:$AD$24,'实盘净值数据(iFinD）'!$Z112:$AA112/'实盘净值数据(iFinD）'!$Z$65:$AA$65))*(1-实盘持仓初始配置!$Z$8)^(('实盘净值数据(iFinD）'!$A112-'实盘净值数据(iFinD）'!$A$5)/365))</f>
        <v/>
      </c>
      <c r="O112" s="16" t="str">
        <f t="shared" si="10"/>
        <v/>
      </c>
      <c r="P112" s="16" t="str">
        <f>IF(N112="","",N112/MAX(N$5:N112)-1)</f>
        <v/>
      </c>
      <c r="Q112" s="13" t="str">
        <f>IF(OR('实盘净值数据(iFinD）'!$A112="",'实盘净值数据(iFinD）'!$B112="",'实盘净值数据(iFinD）'!$Z112="",'实盘净值数据(iFinD）'!$AA112=""),"",分期持仓明细!$AB$25*(SUMPRODUCT(分期持仓明细!$B$25:$Y$25,'实盘净值数据(iFinD）'!$B112:$Y112/'实盘净值数据(iFinD）'!$B$65:$Y$65)+SUMPRODUCT(分期持仓明细!$AC$25:$AD$25,'实盘净值数据(iFinD）'!$Z112:$AA112/'实盘净值数据(iFinD）'!$Z$65:$AA$65))*(1-实盘持仓初始配置!$Z$9)^(('实盘净值数据(iFinD）'!$A112-'实盘净值数据(iFinD）'!$A$8)/365))</f>
        <v/>
      </c>
      <c r="R112" s="16" t="str">
        <f t="shared" si="11"/>
        <v/>
      </c>
      <c r="S112" s="16" t="str">
        <f>IF(Q112="","",Q112/MAX(Q$5:Q112)-1)</f>
        <v/>
      </c>
      <c r="T112" s="13">
        <f>IF(OR('实盘净值数据(iFinD）'!$A112="",'实盘净值数据(iFinD）'!$B112="",'实盘净值数据(iFinD）'!$Z112="",'实盘净值数据(iFinD）'!$AA112="",'实盘净值数据(iFinD）'!$AB112="",'实盘净值数据(iFinD）'!$AL112=""),"",(SUMPRODUCT(分期持仓明细!$B$26:$Y$26,'实盘净值数据(iFinD）'!$B112:$Y112/'实盘净值数据(iFinD）'!$B$69:$Y$69)+SUMPRODUCT(分期持仓明细!$AC$26:$AD$26,'实盘净值数据(iFinD）'!$Z112:$AA112/'实盘净值数据(iFinD）'!$Z$69:$AA$69)+SUMPRODUCT(分期持仓明细!$AE$26:$AO$26,'实盘净值数据(iFinD）'!$AB112:$AL112/'实盘净值数据(iFinD）'!$AB$69:$AL$69))*(1-实盘持仓初始配置!$Z$10)^(('实盘净值数据(iFinD）'!$A112-'实盘净值数据(iFinD）'!$A$69)/365))</f>
        <v/>
      </c>
      <c r="U112" s="16">
        <f>IF(OR(T111="",T112=""),"",T112/T111-1)</f>
        <v/>
      </c>
      <c r="V112" s="16">
        <f>IF(T112="","",T112/MAX(T$5:T112)-1)</f>
        <v/>
      </c>
    </row>
    <row r="113" spans="1:19">
      <c r="A113" s="15" t="str">
        <f>IF('实盘净值数据(iFinD）'!A113="","",'实盘净值数据(iFinD）'!A113)</f>
        <v/>
      </c>
      <c r="B113" s="13" t="str">
        <f>IF(OR('实盘净值数据(iFinD）'!$A113="",'实盘净值数据(iFinD）'!$B113=""),"",分期持仓明细!$AB$17*SUMPRODUCT(分期持仓明细!$B$17:$Y$17,'实盘净值数据(iFinD）'!$B113:$Y113/'实盘净值数据(iFinD）'!$B$20:$Y$20)*(1-实盘持仓初始配置!$Z$4)^(('实盘净值数据(iFinD）'!$A113-'实盘净值数据(iFinD）'!$A$6)/365))</f>
        <v/>
      </c>
      <c r="C113" s="16" t="str">
        <f t="shared" si="6"/>
        <v/>
      </c>
      <c r="D113" s="16" t="str">
        <f>IF(B113="","",B113/MAX(B$5:B113)-1)</f>
        <v/>
      </c>
      <c r="E113" s="13" t="str">
        <f>IF(OR('实盘净值数据(iFinD）'!$A113="",'实盘净值数据(iFinD）'!$B113=""),"",分期持仓明细!$AB$18*SUMPRODUCT(分期持仓明细!$B$18:$Y$18,'实盘净值数据(iFinD）'!$B113:$Y113/'实盘净值数据(iFinD）'!$B$20:$Y$20)*(1-实盘持仓初始配置!$Z$5)^(('实盘净值数据(iFinD）'!$A113-'实盘净值数据(iFinD）'!$A$5)/365))</f>
        <v/>
      </c>
      <c r="F113" s="16" t="str">
        <f t="shared" si="7"/>
        <v/>
      </c>
      <c r="G113" s="16" t="str">
        <f>IF(E113="","",E113/MAX(E$5:E113)-1)</f>
        <v/>
      </c>
      <c r="H113" s="13" t="str">
        <f>IF(OR('实盘净值数据(iFinD）'!$A113="",'实盘净值数据(iFinD）'!$B113=""),"",分期持仓明细!$AB$19*SUMPRODUCT(分期持仓明细!$B$19:$Y$19,'实盘净值数据(iFinD）'!$B113:$Y113/'实盘净值数据(iFinD）'!$B$20:$Y$20)*(1-实盘持仓初始配置!$Z$6)^(('实盘净值数据(iFinD）'!$A113-'实盘净值数据(iFinD）'!$A$7)/365))</f>
        <v/>
      </c>
      <c r="I113" s="16" t="str">
        <f t="shared" si="8"/>
        <v/>
      </c>
      <c r="J113" s="16" t="str">
        <f>IF(H113="","",H113/MAX(H$5:H113)-1)</f>
        <v/>
      </c>
      <c r="K113" s="13" t="str">
        <f>IF(OR('实盘净值数据(iFinD）'!$A113="",'实盘净值数据(iFinD）'!$B113="",'实盘净值数据(iFinD）'!$Z113="",'实盘净值数据(iFinD）'!$AA113=""),"",分期持仓明细!$AB$23*(SUMPRODUCT(分期持仓明细!$B$23:$Y$23,'实盘净值数据(iFinD）'!$B113:$Y113/'实盘净值数据(iFinD）'!$B$65:$Y$65)+SUMPRODUCT(分期持仓明细!$AC$23:$AD$23,'实盘净值数据(iFinD）'!$Z113:$AA113/'实盘净值数据(iFinD）'!$Z$65:$AA$65))*(1-实盘持仓初始配置!$Z$7)^(('实盘净值数据(iFinD）'!$A113-'实盘净值数据(iFinD）'!$A$8)/365))</f>
        <v/>
      </c>
      <c r="L113" s="16" t="str">
        <f t="shared" si="9"/>
        <v/>
      </c>
      <c r="M113" s="16" t="str">
        <f>IF(K113="","",K113/MAX(K$5:K113)-1)</f>
        <v/>
      </c>
      <c r="N113" s="13" t="str">
        <f>IF(OR('实盘净值数据(iFinD）'!$A113="",'实盘净值数据(iFinD）'!$B113="",'实盘净值数据(iFinD）'!$Z113="",'实盘净值数据(iFinD）'!$AA113=""),"",分期持仓明细!$AB$24*(SUMPRODUCT(分期持仓明细!$B$24:$Y$24,'实盘净值数据(iFinD）'!$B113:$Y113/'实盘净值数据(iFinD）'!$B$65:$Y$65)+SUMPRODUCT(分期持仓明细!$AC$24:$AD$24,'实盘净值数据(iFinD）'!$Z113:$AA113/'实盘净值数据(iFinD）'!$Z$65:$AA$65))*(1-实盘持仓初始配置!$Z$8)^(('实盘净值数据(iFinD）'!$A113-'实盘净值数据(iFinD）'!$A$5)/365))</f>
        <v/>
      </c>
      <c r="O113" s="16" t="str">
        <f t="shared" si="10"/>
        <v/>
      </c>
      <c r="P113" s="16" t="str">
        <f>IF(N113="","",N113/MAX(N$5:N113)-1)</f>
        <v/>
      </c>
      <c r="Q113" s="13" t="str">
        <f>IF(OR('实盘净值数据(iFinD）'!$A113="",'实盘净值数据(iFinD）'!$B113="",'实盘净值数据(iFinD）'!$Z113="",'实盘净值数据(iFinD）'!$AA113=""),"",分期持仓明细!$AB$25*(SUMPRODUCT(分期持仓明细!$B$25:$Y$25,'实盘净值数据(iFinD）'!$B113:$Y113/'实盘净值数据(iFinD）'!$B$65:$Y$65)+SUMPRODUCT(分期持仓明细!$AC$25:$AD$25,'实盘净值数据(iFinD）'!$Z113:$AA113/'实盘净值数据(iFinD）'!$Z$65:$AA$65))*(1-实盘持仓初始配置!$Z$9)^(('实盘净值数据(iFinD）'!$A113-'实盘净值数据(iFinD）'!$A$8)/365))</f>
        <v/>
      </c>
      <c r="R113" s="16" t="str">
        <f t="shared" si="11"/>
        <v/>
      </c>
      <c r="S113" s="16" t="str">
        <f>IF(Q113="","",Q113/MAX(Q$5:Q113)-1)</f>
        <v/>
      </c>
      <c r="T113" s="13">
        <f>IF(OR('实盘净值数据(iFinD）'!$A113="",'实盘净值数据(iFinD）'!$B113="",'实盘净值数据(iFinD）'!$Z113="",'实盘净值数据(iFinD）'!$AA113="",'实盘净值数据(iFinD）'!$AB113="",'实盘净值数据(iFinD）'!$AL113=""),"",(SUMPRODUCT(分期持仓明细!$B$26:$Y$26,'实盘净值数据(iFinD）'!$B113:$Y113/'实盘净值数据(iFinD）'!$B$69:$Y$69)+SUMPRODUCT(分期持仓明细!$AC$26:$AD$26,'实盘净值数据(iFinD）'!$Z113:$AA113/'实盘净值数据(iFinD）'!$Z$69:$AA$69)+SUMPRODUCT(分期持仓明细!$AE$26:$AO$26,'实盘净值数据(iFinD）'!$AB113:$AL113/'实盘净值数据(iFinD）'!$AB$69:$AL$69))*(1-实盘持仓初始配置!$Z$10)^(('实盘净值数据(iFinD）'!$A113-'实盘净值数据(iFinD）'!$A$69)/365))</f>
        <v/>
      </c>
      <c r="U113" s="16">
        <f>IF(OR(T112="",T113=""),"",T113/T112-1)</f>
        <v/>
      </c>
      <c r="V113" s="16">
        <f>IF(T113="","",T113/MAX(T$5:T113)-1)</f>
        <v/>
      </c>
    </row>
    <row r="114" spans="1:19">
      <c r="A114" s="15" t="str">
        <f>IF('实盘净值数据(iFinD）'!A114="","",'实盘净值数据(iFinD）'!A114)</f>
        <v/>
      </c>
      <c r="B114" s="13" t="str">
        <f>IF(OR('实盘净值数据(iFinD）'!$A114="",'实盘净值数据(iFinD）'!$B114=""),"",分期持仓明细!$AB$17*SUMPRODUCT(分期持仓明细!$B$17:$Y$17,'实盘净值数据(iFinD）'!$B114:$Y114/'实盘净值数据(iFinD）'!$B$20:$Y$20)*(1-实盘持仓初始配置!$Z$4)^(('实盘净值数据(iFinD）'!$A114-'实盘净值数据(iFinD）'!$A$6)/365))</f>
        <v/>
      </c>
      <c r="C114" s="16" t="str">
        <f t="shared" si="6"/>
        <v/>
      </c>
      <c r="D114" s="16" t="str">
        <f>IF(B114="","",B114/MAX(B$5:B114)-1)</f>
        <v/>
      </c>
      <c r="E114" s="13" t="str">
        <f>IF(OR('实盘净值数据(iFinD）'!$A114="",'实盘净值数据(iFinD）'!$B114=""),"",分期持仓明细!$AB$18*SUMPRODUCT(分期持仓明细!$B$18:$Y$18,'实盘净值数据(iFinD）'!$B114:$Y114/'实盘净值数据(iFinD）'!$B$20:$Y$20)*(1-实盘持仓初始配置!$Z$5)^(('实盘净值数据(iFinD）'!$A114-'实盘净值数据(iFinD）'!$A$5)/365))</f>
        <v/>
      </c>
      <c r="F114" s="16" t="str">
        <f t="shared" si="7"/>
        <v/>
      </c>
      <c r="G114" s="16" t="str">
        <f>IF(E114="","",E114/MAX(E$5:E114)-1)</f>
        <v/>
      </c>
      <c r="H114" s="13" t="str">
        <f>IF(OR('实盘净值数据(iFinD）'!$A114="",'实盘净值数据(iFinD）'!$B114=""),"",分期持仓明细!$AB$19*SUMPRODUCT(分期持仓明细!$B$19:$Y$19,'实盘净值数据(iFinD）'!$B114:$Y114/'实盘净值数据(iFinD）'!$B$20:$Y$20)*(1-实盘持仓初始配置!$Z$6)^(('实盘净值数据(iFinD）'!$A114-'实盘净值数据(iFinD）'!$A$7)/365))</f>
        <v/>
      </c>
      <c r="I114" s="16" t="str">
        <f t="shared" si="8"/>
        <v/>
      </c>
      <c r="J114" s="16" t="str">
        <f>IF(H114="","",H114/MAX(H$5:H114)-1)</f>
        <v/>
      </c>
      <c r="K114" s="13" t="str">
        <f>IF(OR('实盘净值数据(iFinD）'!$A114="",'实盘净值数据(iFinD）'!$B114="",'实盘净值数据(iFinD）'!$Z114="",'实盘净值数据(iFinD）'!$AA114=""),"",分期持仓明细!$AB$23*(SUMPRODUCT(分期持仓明细!$B$23:$Y$23,'实盘净值数据(iFinD）'!$B114:$Y114/'实盘净值数据(iFinD）'!$B$65:$Y$65)+SUMPRODUCT(分期持仓明细!$AC$23:$AD$23,'实盘净值数据(iFinD）'!$Z114:$AA114/'实盘净值数据(iFinD）'!$Z$65:$AA$65))*(1-实盘持仓初始配置!$Z$7)^(('实盘净值数据(iFinD）'!$A114-'实盘净值数据(iFinD）'!$A$8)/365))</f>
        <v/>
      </c>
      <c r="L114" s="16" t="str">
        <f t="shared" si="9"/>
        <v/>
      </c>
      <c r="M114" s="16" t="str">
        <f>IF(K114="","",K114/MAX(K$5:K114)-1)</f>
        <v/>
      </c>
      <c r="N114" s="13" t="str">
        <f>IF(OR('实盘净值数据(iFinD）'!$A114="",'实盘净值数据(iFinD）'!$B114="",'实盘净值数据(iFinD）'!$Z114="",'实盘净值数据(iFinD）'!$AA114=""),"",分期持仓明细!$AB$24*(SUMPRODUCT(分期持仓明细!$B$24:$Y$24,'实盘净值数据(iFinD）'!$B114:$Y114/'实盘净值数据(iFinD）'!$B$65:$Y$65)+SUMPRODUCT(分期持仓明细!$AC$24:$AD$24,'实盘净值数据(iFinD）'!$Z114:$AA114/'实盘净值数据(iFinD）'!$Z$65:$AA$65))*(1-实盘持仓初始配置!$Z$8)^(('实盘净值数据(iFinD）'!$A114-'实盘净值数据(iFinD）'!$A$5)/365))</f>
        <v/>
      </c>
      <c r="O114" s="16" t="str">
        <f t="shared" si="10"/>
        <v/>
      </c>
      <c r="P114" s="16" t="str">
        <f>IF(N114="","",N114/MAX(N$5:N114)-1)</f>
        <v/>
      </c>
      <c r="Q114" s="13" t="str">
        <f>IF(OR('实盘净值数据(iFinD）'!$A114="",'实盘净值数据(iFinD）'!$B114="",'实盘净值数据(iFinD）'!$Z114="",'实盘净值数据(iFinD）'!$AA114=""),"",分期持仓明细!$AB$25*(SUMPRODUCT(分期持仓明细!$B$25:$Y$25,'实盘净值数据(iFinD）'!$B114:$Y114/'实盘净值数据(iFinD）'!$B$65:$Y$65)+SUMPRODUCT(分期持仓明细!$AC$25:$AD$25,'实盘净值数据(iFinD）'!$Z114:$AA114/'实盘净值数据(iFinD）'!$Z$65:$AA$65))*(1-实盘持仓初始配置!$Z$9)^(('实盘净值数据(iFinD）'!$A114-'实盘净值数据(iFinD）'!$A$8)/365))</f>
        <v/>
      </c>
      <c r="R114" s="16" t="str">
        <f t="shared" si="11"/>
        <v/>
      </c>
      <c r="S114" s="16" t="str">
        <f>IF(Q114="","",Q114/MAX(Q$5:Q114)-1)</f>
        <v/>
      </c>
      <c r="T114" s="13">
        <f>IF(OR('实盘净值数据(iFinD）'!$A114="",'实盘净值数据(iFinD）'!$B114="",'实盘净值数据(iFinD）'!$Z114="",'实盘净值数据(iFinD）'!$AA114="",'实盘净值数据(iFinD）'!$AB114="",'实盘净值数据(iFinD）'!$AL114=""),"",(SUMPRODUCT(分期持仓明细!$B$26:$Y$26,'实盘净值数据(iFinD）'!$B114:$Y114/'实盘净值数据(iFinD）'!$B$69:$Y$69)+SUMPRODUCT(分期持仓明细!$AC$26:$AD$26,'实盘净值数据(iFinD）'!$Z114:$AA114/'实盘净值数据(iFinD）'!$Z$69:$AA$69)+SUMPRODUCT(分期持仓明细!$AE$26:$AO$26,'实盘净值数据(iFinD）'!$AB114:$AL114/'实盘净值数据(iFinD）'!$AB$69:$AL$69))*(1-实盘持仓初始配置!$Z$10)^(('实盘净值数据(iFinD）'!$A114-'实盘净值数据(iFinD）'!$A$69)/365))</f>
        <v/>
      </c>
      <c r="U114" s="16">
        <f>IF(OR(T113="",T114=""),"",T114/T113-1)</f>
        <v/>
      </c>
      <c r="V114" s="16">
        <f>IF(T114="","",T114/MAX(T$5:T114)-1)</f>
        <v/>
      </c>
    </row>
    <row r="115" spans="1:19">
      <c r="A115" s="15" t="str">
        <f>IF('实盘净值数据(iFinD）'!A115="","",'实盘净值数据(iFinD）'!A115)</f>
        <v/>
      </c>
      <c r="B115" s="13" t="str">
        <f>IF(OR('实盘净值数据(iFinD）'!$A115="",'实盘净值数据(iFinD）'!$B115=""),"",分期持仓明细!$AB$17*SUMPRODUCT(分期持仓明细!$B$17:$Y$17,'实盘净值数据(iFinD）'!$B115:$Y115/'实盘净值数据(iFinD）'!$B$20:$Y$20)*(1-实盘持仓初始配置!$Z$4)^(('实盘净值数据(iFinD）'!$A115-'实盘净值数据(iFinD）'!$A$6)/365))</f>
        <v/>
      </c>
      <c r="C115" s="16" t="str">
        <f t="shared" si="6"/>
        <v/>
      </c>
      <c r="D115" s="16" t="str">
        <f>IF(B115="","",B115/MAX(B$5:B115)-1)</f>
        <v/>
      </c>
      <c r="E115" s="13" t="str">
        <f>IF(OR('实盘净值数据(iFinD）'!$A115="",'实盘净值数据(iFinD）'!$B115=""),"",分期持仓明细!$AB$18*SUMPRODUCT(分期持仓明细!$B$18:$Y$18,'实盘净值数据(iFinD）'!$B115:$Y115/'实盘净值数据(iFinD）'!$B$20:$Y$20)*(1-实盘持仓初始配置!$Z$5)^(('实盘净值数据(iFinD）'!$A115-'实盘净值数据(iFinD）'!$A$5)/365))</f>
        <v/>
      </c>
      <c r="F115" s="16" t="str">
        <f t="shared" si="7"/>
        <v/>
      </c>
      <c r="G115" s="16" t="str">
        <f>IF(E115="","",E115/MAX(E$5:E115)-1)</f>
        <v/>
      </c>
      <c r="H115" s="13" t="str">
        <f>IF(OR('实盘净值数据(iFinD）'!$A115="",'实盘净值数据(iFinD）'!$B115=""),"",分期持仓明细!$AB$19*SUMPRODUCT(分期持仓明细!$B$19:$Y$19,'实盘净值数据(iFinD）'!$B115:$Y115/'实盘净值数据(iFinD）'!$B$20:$Y$20)*(1-实盘持仓初始配置!$Z$6)^(('实盘净值数据(iFinD）'!$A115-'实盘净值数据(iFinD）'!$A$7)/365))</f>
        <v/>
      </c>
      <c r="I115" s="16" t="str">
        <f t="shared" si="8"/>
        <v/>
      </c>
      <c r="J115" s="16" t="str">
        <f>IF(H115="","",H115/MAX(H$5:H115)-1)</f>
        <v/>
      </c>
      <c r="K115" s="13" t="str">
        <f>IF(OR('实盘净值数据(iFinD）'!$A115="",'实盘净值数据(iFinD）'!$B115="",'实盘净值数据(iFinD）'!$Z115="",'实盘净值数据(iFinD）'!$AA115=""),"",分期持仓明细!$AB$23*(SUMPRODUCT(分期持仓明细!$B$23:$Y$23,'实盘净值数据(iFinD）'!$B115:$Y115/'实盘净值数据(iFinD）'!$B$65:$Y$65)+SUMPRODUCT(分期持仓明细!$AC$23:$AD$23,'实盘净值数据(iFinD）'!$Z115:$AA115/'实盘净值数据(iFinD）'!$Z$65:$AA$65))*(1-实盘持仓初始配置!$Z$7)^(('实盘净值数据(iFinD）'!$A115-'实盘净值数据(iFinD）'!$A$8)/365))</f>
        <v/>
      </c>
      <c r="L115" s="16" t="str">
        <f t="shared" si="9"/>
        <v/>
      </c>
      <c r="M115" s="16" t="str">
        <f>IF(K115="","",K115/MAX(K$5:K115)-1)</f>
        <v/>
      </c>
      <c r="N115" s="13" t="str">
        <f>IF(OR('实盘净值数据(iFinD）'!$A115="",'实盘净值数据(iFinD）'!$B115="",'实盘净值数据(iFinD）'!$Z115="",'实盘净值数据(iFinD）'!$AA115=""),"",分期持仓明细!$AB$24*(SUMPRODUCT(分期持仓明细!$B$24:$Y$24,'实盘净值数据(iFinD）'!$B115:$Y115/'实盘净值数据(iFinD）'!$B$65:$Y$65)+SUMPRODUCT(分期持仓明细!$AC$24:$AD$24,'实盘净值数据(iFinD）'!$Z115:$AA115/'实盘净值数据(iFinD）'!$Z$65:$AA$65))*(1-实盘持仓初始配置!$Z$8)^(('实盘净值数据(iFinD）'!$A115-'实盘净值数据(iFinD）'!$A$5)/365))</f>
        <v/>
      </c>
      <c r="O115" s="16" t="str">
        <f t="shared" si="10"/>
        <v/>
      </c>
      <c r="P115" s="16" t="str">
        <f>IF(N115="","",N115/MAX(N$5:N115)-1)</f>
        <v/>
      </c>
      <c r="Q115" s="13" t="str">
        <f>IF(OR('实盘净值数据(iFinD）'!$A115="",'实盘净值数据(iFinD）'!$B115="",'实盘净值数据(iFinD）'!$Z115="",'实盘净值数据(iFinD）'!$AA115=""),"",分期持仓明细!$AB$25*(SUMPRODUCT(分期持仓明细!$B$25:$Y$25,'实盘净值数据(iFinD）'!$B115:$Y115/'实盘净值数据(iFinD）'!$B$65:$Y$65)+SUMPRODUCT(分期持仓明细!$AC$25:$AD$25,'实盘净值数据(iFinD）'!$Z115:$AA115/'实盘净值数据(iFinD）'!$Z$65:$AA$65))*(1-实盘持仓初始配置!$Z$9)^(('实盘净值数据(iFinD）'!$A115-'实盘净值数据(iFinD）'!$A$8)/365))</f>
        <v/>
      </c>
      <c r="R115" s="16" t="str">
        <f t="shared" si="11"/>
        <v/>
      </c>
      <c r="S115" s="16" t="str">
        <f>IF(Q115="","",Q115/MAX(Q$5:Q115)-1)</f>
        <v/>
      </c>
      <c r="T115" s="13">
        <f>IF(OR('实盘净值数据(iFinD）'!$A115="",'实盘净值数据(iFinD）'!$B115="",'实盘净值数据(iFinD）'!$Z115="",'实盘净值数据(iFinD）'!$AA115="",'实盘净值数据(iFinD）'!$AB115="",'实盘净值数据(iFinD）'!$AL115=""),"",(SUMPRODUCT(分期持仓明细!$B$26:$Y$26,'实盘净值数据(iFinD）'!$B115:$Y115/'实盘净值数据(iFinD）'!$B$69:$Y$69)+SUMPRODUCT(分期持仓明细!$AC$26:$AD$26,'实盘净值数据(iFinD）'!$Z115:$AA115/'实盘净值数据(iFinD）'!$Z$69:$AA$69)+SUMPRODUCT(分期持仓明细!$AE$26:$AO$26,'实盘净值数据(iFinD）'!$AB115:$AL115/'实盘净值数据(iFinD）'!$AB$69:$AL$69))*(1-实盘持仓初始配置!$Z$10)^(('实盘净值数据(iFinD）'!$A115-'实盘净值数据(iFinD）'!$A$69)/365))</f>
        <v/>
      </c>
      <c r="U115" s="16">
        <f>IF(OR(T114="",T115=""),"",T115/T114-1)</f>
        <v/>
      </c>
      <c r="V115" s="16">
        <f>IF(T115="","",T115/MAX(T$5:T115)-1)</f>
        <v/>
      </c>
    </row>
    <row r="116" spans="1:19">
      <c r="A116" s="15" t="str">
        <f>IF('实盘净值数据(iFinD）'!A116="","",'实盘净值数据(iFinD）'!A116)</f>
        <v/>
      </c>
      <c r="B116" s="13" t="str">
        <f>IF(OR('实盘净值数据(iFinD）'!$A116="",'实盘净值数据(iFinD）'!$B116=""),"",分期持仓明细!$AB$17*SUMPRODUCT(分期持仓明细!$B$17:$Y$17,'实盘净值数据(iFinD）'!$B116:$Y116/'实盘净值数据(iFinD）'!$B$20:$Y$20)*(1-实盘持仓初始配置!$Z$4)^(('实盘净值数据(iFinD）'!$A116-'实盘净值数据(iFinD）'!$A$6)/365))</f>
        <v/>
      </c>
      <c r="C116" s="16" t="str">
        <f t="shared" si="6"/>
        <v/>
      </c>
      <c r="D116" s="16" t="str">
        <f>IF(B116="","",B116/MAX(B$5:B116)-1)</f>
        <v/>
      </c>
      <c r="E116" s="13" t="str">
        <f>IF(OR('实盘净值数据(iFinD）'!$A116="",'实盘净值数据(iFinD）'!$B116=""),"",分期持仓明细!$AB$18*SUMPRODUCT(分期持仓明细!$B$18:$Y$18,'实盘净值数据(iFinD）'!$B116:$Y116/'实盘净值数据(iFinD）'!$B$20:$Y$20)*(1-实盘持仓初始配置!$Z$5)^(('实盘净值数据(iFinD）'!$A116-'实盘净值数据(iFinD）'!$A$5)/365))</f>
        <v/>
      </c>
      <c r="F116" s="16" t="str">
        <f t="shared" si="7"/>
        <v/>
      </c>
      <c r="G116" s="16" t="str">
        <f>IF(E116="","",E116/MAX(E$5:E116)-1)</f>
        <v/>
      </c>
      <c r="H116" s="13" t="str">
        <f>IF(OR('实盘净值数据(iFinD）'!$A116="",'实盘净值数据(iFinD）'!$B116=""),"",分期持仓明细!$AB$19*SUMPRODUCT(分期持仓明细!$B$19:$Y$19,'实盘净值数据(iFinD）'!$B116:$Y116/'实盘净值数据(iFinD）'!$B$20:$Y$20)*(1-实盘持仓初始配置!$Z$6)^(('实盘净值数据(iFinD）'!$A116-'实盘净值数据(iFinD）'!$A$7)/365))</f>
        <v/>
      </c>
      <c r="I116" s="16" t="str">
        <f t="shared" si="8"/>
        <v/>
      </c>
      <c r="J116" s="16" t="str">
        <f>IF(H116="","",H116/MAX(H$5:H116)-1)</f>
        <v/>
      </c>
      <c r="K116" s="13" t="str">
        <f>IF(OR('实盘净值数据(iFinD）'!$A116="",'实盘净值数据(iFinD）'!$B116="",'实盘净值数据(iFinD）'!$Z116="",'实盘净值数据(iFinD）'!$AA116=""),"",分期持仓明细!$AB$23*(SUMPRODUCT(分期持仓明细!$B$23:$Y$23,'实盘净值数据(iFinD）'!$B116:$Y116/'实盘净值数据(iFinD）'!$B$65:$Y$65)+SUMPRODUCT(分期持仓明细!$AC$23:$AD$23,'实盘净值数据(iFinD）'!$Z116:$AA116/'实盘净值数据(iFinD）'!$Z$65:$AA$65))*(1-实盘持仓初始配置!$Z$7)^(('实盘净值数据(iFinD）'!$A116-'实盘净值数据(iFinD）'!$A$8)/365))</f>
        <v/>
      </c>
      <c r="L116" s="16" t="str">
        <f t="shared" si="9"/>
        <v/>
      </c>
      <c r="M116" s="16" t="str">
        <f>IF(K116="","",K116/MAX(K$5:K116)-1)</f>
        <v/>
      </c>
      <c r="N116" s="13" t="str">
        <f>IF(OR('实盘净值数据(iFinD）'!$A116="",'实盘净值数据(iFinD）'!$B116="",'实盘净值数据(iFinD）'!$Z116="",'实盘净值数据(iFinD）'!$AA116=""),"",分期持仓明细!$AB$24*(SUMPRODUCT(分期持仓明细!$B$24:$Y$24,'实盘净值数据(iFinD）'!$B116:$Y116/'实盘净值数据(iFinD）'!$B$65:$Y$65)+SUMPRODUCT(分期持仓明细!$AC$24:$AD$24,'实盘净值数据(iFinD）'!$Z116:$AA116/'实盘净值数据(iFinD）'!$Z$65:$AA$65))*(1-实盘持仓初始配置!$Z$8)^(('实盘净值数据(iFinD）'!$A116-'实盘净值数据(iFinD）'!$A$5)/365))</f>
        <v/>
      </c>
      <c r="O116" s="16" t="str">
        <f t="shared" si="10"/>
        <v/>
      </c>
      <c r="P116" s="16" t="str">
        <f>IF(N116="","",N116/MAX(N$5:N116)-1)</f>
        <v/>
      </c>
      <c r="Q116" s="13" t="str">
        <f>IF(OR('实盘净值数据(iFinD）'!$A116="",'实盘净值数据(iFinD）'!$B116="",'实盘净值数据(iFinD）'!$Z116="",'实盘净值数据(iFinD）'!$AA116=""),"",分期持仓明细!$AB$25*(SUMPRODUCT(分期持仓明细!$B$25:$Y$25,'实盘净值数据(iFinD）'!$B116:$Y116/'实盘净值数据(iFinD）'!$B$65:$Y$65)+SUMPRODUCT(分期持仓明细!$AC$25:$AD$25,'实盘净值数据(iFinD）'!$Z116:$AA116/'实盘净值数据(iFinD）'!$Z$65:$AA$65))*(1-实盘持仓初始配置!$Z$9)^(('实盘净值数据(iFinD）'!$A116-'实盘净值数据(iFinD）'!$A$8)/365))</f>
        <v/>
      </c>
      <c r="R116" s="16" t="str">
        <f t="shared" si="11"/>
        <v/>
      </c>
      <c r="S116" s="16" t="str">
        <f>IF(Q116="","",Q116/MAX(Q$5:Q116)-1)</f>
        <v/>
      </c>
      <c r="T116" s="13">
        <f>IF(OR('实盘净值数据(iFinD）'!$A116="",'实盘净值数据(iFinD）'!$B116="",'实盘净值数据(iFinD）'!$Z116="",'实盘净值数据(iFinD）'!$AA116="",'实盘净值数据(iFinD）'!$AB116="",'实盘净值数据(iFinD）'!$AL116=""),"",(SUMPRODUCT(分期持仓明细!$B$26:$Y$26,'实盘净值数据(iFinD）'!$B116:$Y116/'实盘净值数据(iFinD）'!$B$69:$Y$69)+SUMPRODUCT(分期持仓明细!$AC$26:$AD$26,'实盘净值数据(iFinD）'!$Z116:$AA116/'实盘净值数据(iFinD）'!$Z$69:$AA$69)+SUMPRODUCT(分期持仓明细!$AE$26:$AO$26,'实盘净值数据(iFinD）'!$AB116:$AL116/'实盘净值数据(iFinD）'!$AB$69:$AL$69))*(1-实盘持仓初始配置!$Z$10)^(('实盘净值数据(iFinD）'!$A116-'实盘净值数据(iFinD）'!$A$69)/365))</f>
        <v/>
      </c>
      <c r="U116" s="16">
        <f>IF(OR(T115="",T116=""),"",T116/T115-1)</f>
        <v/>
      </c>
      <c r="V116" s="16">
        <f>IF(T116="","",T116/MAX(T$5:T116)-1)</f>
        <v/>
      </c>
    </row>
    <row r="117" spans="1:19">
      <c r="A117" s="15" t="str">
        <f>IF('实盘净值数据(iFinD）'!A117="","",'实盘净值数据(iFinD）'!A117)</f>
        <v/>
      </c>
      <c r="B117" s="13" t="str">
        <f>IF(OR('实盘净值数据(iFinD）'!$A117="",'实盘净值数据(iFinD）'!$B117=""),"",分期持仓明细!$AB$17*SUMPRODUCT(分期持仓明细!$B$17:$Y$17,'实盘净值数据(iFinD）'!$B117:$Y117/'实盘净值数据(iFinD）'!$B$20:$Y$20)*(1-实盘持仓初始配置!$Z$4)^(('实盘净值数据(iFinD）'!$A117-'实盘净值数据(iFinD）'!$A$6)/365))</f>
        <v/>
      </c>
      <c r="C117" s="16" t="str">
        <f t="shared" si="6"/>
        <v/>
      </c>
      <c r="D117" s="16" t="str">
        <f>IF(B117="","",B117/MAX(B$5:B117)-1)</f>
        <v/>
      </c>
      <c r="E117" s="13" t="str">
        <f>IF(OR('实盘净值数据(iFinD）'!$A117="",'实盘净值数据(iFinD）'!$B117=""),"",分期持仓明细!$AB$18*SUMPRODUCT(分期持仓明细!$B$18:$Y$18,'实盘净值数据(iFinD）'!$B117:$Y117/'实盘净值数据(iFinD）'!$B$20:$Y$20)*(1-实盘持仓初始配置!$Z$5)^(('实盘净值数据(iFinD）'!$A117-'实盘净值数据(iFinD）'!$A$5)/365))</f>
        <v/>
      </c>
      <c r="F117" s="16" t="str">
        <f t="shared" si="7"/>
        <v/>
      </c>
      <c r="G117" s="16" t="str">
        <f>IF(E117="","",E117/MAX(E$5:E117)-1)</f>
        <v/>
      </c>
      <c r="H117" s="13" t="str">
        <f>IF(OR('实盘净值数据(iFinD）'!$A117="",'实盘净值数据(iFinD）'!$B117=""),"",分期持仓明细!$AB$19*SUMPRODUCT(分期持仓明细!$B$19:$Y$19,'实盘净值数据(iFinD）'!$B117:$Y117/'实盘净值数据(iFinD）'!$B$20:$Y$20)*(1-实盘持仓初始配置!$Z$6)^(('实盘净值数据(iFinD）'!$A117-'实盘净值数据(iFinD）'!$A$7)/365))</f>
        <v/>
      </c>
      <c r="I117" s="16" t="str">
        <f t="shared" si="8"/>
        <v/>
      </c>
      <c r="J117" s="16" t="str">
        <f>IF(H117="","",H117/MAX(H$5:H117)-1)</f>
        <v/>
      </c>
      <c r="K117" s="13" t="str">
        <f>IF(OR('实盘净值数据(iFinD）'!$A117="",'实盘净值数据(iFinD）'!$B117="",'实盘净值数据(iFinD）'!$Z117="",'实盘净值数据(iFinD）'!$AA117=""),"",分期持仓明细!$AB$23*(SUMPRODUCT(分期持仓明细!$B$23:$Y$23,'实盘净值数据(iFinD）'!$B117:$Y117/'实盘净值数据(iFinD）'!$B$65:$Y$65)+SUMPRODUCT(分期持仓明细!$AC$23:$AD$23,'实盘净值数据(iFinD）'!$Z117:$AA117/'实盘净值数据(iFinD）'!$Z$65:$AA$65))*(1-实盘持仓初始配置!$Z$7)^(('实盘净值数据(iFinD）'!$A117-'实盘净值数据(iFinD）'!$A$8)/365))</f>
        <v/>
      </c>
      <c r="L117" s="16" t="str">
        <f t="shared" si="9"/>
        <v/>
      </c>
      <c r="M117" s="16" t="str">
        <f>IF(K117="","",K117/MAX(K$5:K117)-1)</f>
        <v/>
      </c>
      <c r="N117" s="13" t="str">
        <f>IF(OR('实盘净值数据(iFinD）'!$A117="",'实盘净值数据(iFinD）'!$B117="",'实盘净值数据(iFinD）'!$Z117="",'实盘净值数据(iFinD）'!$AA117=""),"",分期持仓明细!$AB$24*(SUMPRODUCT(分期持仓明细!$B$24:$Y$24,'实盘净值数据(iFinD）'!$B117:$Y117/'实盘净值数据(iFinD）'!$B$65:$Y$65)+SUMPRODUCT(分期持仓明细!$AC$24:$AD$24,'实盘净值数据(iFinD）'!$Z117:$AA117/'实盘净值数据(iFinD）'!$Z$65:$AA$65))*(1-实盘持仓初始配置!$Z$8)^(('实盘净值数据(iFinD）'!$A117-'实盘净值数据(iFinD）'!$A$5)/365))</f>
        <v/>
      </c>
      <c r="O117" s="16" t="str">
        <f t="shared" si="10"/>
        <v/>
      </c>
      <c r="P117" s="16" t="str">
        <f>IF(N117="","",N117/MAX(N$5:N117)-1)</f>
        <v/>
      </c>
      <c r="Q117" s="13" t="str">
        <f>IF(OR('实盘净值数据(iFinD）'!$A117="",'实盘净值数据(iFinD）'!$B117="",'实盘净值数据(iFinD）'!$Z117="",'实盘净值数据(iFinD）'!$AA117=""),"",分期持仓明细!$AB$25*(SUMPRODUCT(分期持仓明细!$B$25:$Y$25,'实盘净值数据(iFinD）'!$B117:$Y117/'实盘净值数据(iFinD）'!$B$65:$Y$65)+SUMPRODUCT(分期持仓明细!$AC$25:$AD$25,'实盘净值数据(iFinD）'!$Z117:$AA117/'实盘净值数据(iFinD）'!$Z$65:$AA$65))*(1-实盘持仓初始配置!$Z$9)^(('实盘净值数据(iFinD）'!$A117-'实盘净值数据(iFinD）'!$A$8)/365))</f>
        <v/>
      </c>
      <c r="R117" s="16" t="str">
        <f t="shared" si="11"/>
        <v/>
      </c>
      <c r="S117" s="16" t="str">
        <f>IF(Q117="","",Q117/MAX(Q$5:Q117)-1)</f>
        <v/>
      </c>
      <c r="T117" s="13">
        <f>IF(OR('实盘净值数据(iFinD）'!$A117="",'实盘净值数据(iFinD）'!$B117="",'实盘净值数据(iFinD）'!$Z117="",'实盘净值数据(iFinD）'!$AA117="",'实盘净值数据(iFinD）'!$AB117="",'实盘净值数据(iFinD）'!$AL117=""),"",(SUMPRODUCT(分期持仓明细!$B$26:$Y$26,'实盘净值数据(iFinD）'!$B117:$Y117/'实盘净值数据(iFinD）'!$B$69:$Y$69)+SUMPRODUCT(分期持仓明细!$AC$26:$AD$26,'实盘净值数据(iFinD）'!$Z117:$AA117/'实盘净值数据(iFinD）'!$Z$69:$AA$69)+SUMPRODUCT(分期持仓明细!$AE$26:$AO$26,'实盘净值数据(iFinD）'!$AB117:$AL117/'实盘净值数据(iFinD）'!$AB$69:$AL$69))*(1-实盘持仓初始配置!$Z$10)^(('实盘净值数据(iFinD）'!$A117-'实盘净值数据(iFinD）'!$A$69)/365))</f>
        <v/>
      </c>
      <c r="U117" s="16">
        <f>IF(OR(T116="",T117=""),"",T117/T116-1)</f>
        <v/>
      </c>
      <c r="V117" s="16">
        <f>IF(T117="","",T117/MAX(T$5:T117)-1)</f>
        <v/>
      </c>
    </row>
    <row r="118" spans="1:19">
      <c r="A118" s="15" t="str">
        <f>IF('实盘净值数据(iFinD）'!A118="","",'实盘净值数据(iFinD）'!A118)</f>
        <v/>
      </c>
      <c r="B118" s="13" t="str">
        <f>IF(OR('实盘净值数据(iFinD）'!$A118="",'实盘净值数据(iFinD）'!$B118=""),"",分期持仓明细!$AB$17*SUMPRODUCT(分期持仓明细!$B$17:$Y$17,'实盘净值数据(iFinD）'!$B118:$Y118/'实盘净值数据(iFinD）'!$B$20:$Y$20)*(1-实盘持仓初始配置!$Z$4)^(('实盘净值数据(iFinD）'!$A118-'实盘净值数据(iFinD）'!$A$6)/365))</f>
        <v/>
      </c>
      <c r="C118" s="16" t="str">
        <f t="shared" si="6"/>
        <v/>
      </c>
      <c r="D118" s="16" t="str">
        <f>IF(B118="","",B118/MAX(B$5:B118)-1)</f>
        <v/>
      </c>
      <c r="E118" s="13" t="str">
        <f>IF(OR('实盘净值数据(iFinD）'!$A118="",'实盘净值数据(iFinD）'!$B118=""),"",分期持仓明细!$AB$18*SUMPRODUCT(分期持仓明细!$B$18:$Y$18,'实盘净值数据(iFinD）'!$B118:$Y118/'实盘净值数据(iFinD）'!$B$20:$Y$20)*(1-实盘持仓初始配置!$Z$5)^(('实盘净值数据(iFinD）'!$A118-'实盘净值数据(iFinD）'!$A$5)/365))</f>
        <v/>
      </c>
      <c r="F118" s="16" t="str">
        <f t="shared" si="7"/>
        <v/>
      </c>
      <c r="G118" s="16" t="str">
        <f>IF(E118="","",E118/MAX(E$5:E118)-1)</f>
        <v/>
      </c>
      <c r="H118" s="13" t="str">
        <f>IF(OR('实盘净值数据(iFinD）'!$A118="",'实盘净值数据(iFinD）'!$B118=""),"",分期持仓明细!$AB$19*SUMPRODUCT(分期持仓明细!$B$19:$Y$19,'实盘净值数据(iFinD）'!$B118:$Y118/'实盘净值数据(iFinD）'!$B$20:$Y$20)*(1-实盘持仓初始配置!$Z$6)^(('实盘净值数据(iFinD）'!$A118-'实盘净值数据(iFinD）'!$A$7)/365))</f>
        <v/>
      </c>
      <c r="I118" s="16" t="str">
        <f t="shared" si="8"/>
        <v/>
      </c>
      <c r="J118" s="16" t="str">
        <f>IF(H118="","",H118/MAX(H$5:H118)-1)</f>
        <v/>
      </c>
      <c r="K118" s="13" t="str">
        <f>IF(OR('实盘净值数据(iFinD）'!$A118="",'实盘净值数据(iFinD）'!$B118="",'实盘净值数据(iFinD）'!$Z118="",'实盘净值数据(iFinD）'!$AA118=""),"",分期持仓明细!$AB$23*(SUMPRODUCT(分期持仓明细!$B$23:$Y$23,'实盘净值数据(iFinD）'!$B118:$Y118/'实盘净值数据(iFinD）'!$B$65:$Y$65)+SUMPRODUCT(分期持仓明细!$AC$23:$AD$23,'实盘净值数据(iFinD）'!$Z118:$AA118/'实盘净值数据(iFinD）'!$Z$65:$AA$65))*(1-实盘持仓初始配置!$Z$7)^(('实盘净值数据(iFinD）'!$A118-'实盘净值数据(iFinD）'!$A$8)/365))</f>
        <v/>
      </c>
      <c r="L118" s="16" t="str">
        <f t="shared" si="9"/>
        <v/>
      </c>
      <c r="M118" s="16" t="str">
        <f>IF(K118="","",K118/MAX(K$5:K118)-1)</f>
        <v/>
      </c>
      <c r="N118" s="13" t="str">
        <f>IF(OR('实盘净值数据(iFinD）'!$A118="",'实盘净值数据(iFinD）'!$B118="",'实盘净值数据(iFinD）'!$Z118="",'实盘净值数据(iFinD）'!$AA118=""),"",分期持仓明细!$AB$24*(SUMPRODUCT(分期持仓明细!$B$24:$Y$24,'实盘净值数据(iFinD）'!$B118:$Y118/'实盘净值数据(iFinD）'!$B$65:$Y$65)+SUMPRODUCT(分期持仓明细!$AC$24:$AD$24,'实盘净值数据(iFinD）'!$Z118:$AA118/'实盘净值数据(iFinD）'!$Z$65:$AA$65))*(1-实盘持仓初始配置!$Z$8)^(('实盘净值数据(iFinD）'!$A118-'实盘净值数据(iFinD）'!$A$5)/365))</f>
        <v/>
      </c>
      <c r="O118" s="16" t="str">
        <f t="shared" si="10"/>
        <v/>
      </c>
      <c r="P118" s="16" t="str">
        <f>IF(N118="","",N118/MAX(N$5:N118)-1)</f>
        <v/>
      </c>
      <c r="Q118" s="13" t="str">
        <f>IF(OR('实盘净值数据(iFinD）'!$A118="",'实盘净值数据(iFinD）'!$B118="",'实盘净值数据(iFinD）'!$Z118="",'实盘净值数据(iFinD）'!$AA118=""),"",分期持仓明细!$AB$25*(SUMPRODUCT(分期持仓明细!$B$25:$Y$25,'实盘净值数据(iFinD）'!$B118:$Y118/'实盘净值数据(iFinD）'!$B$65:$Y$65)+SUMPRODUCT(分期持仓明细!$AC$25:$AD$25,'实盘净值数据(iFinD）'!$Z118:$AA118/'实盘净值数据(iFinD）'!$Z$65:$AA$65))*(1-实盘持仓初始配置!$Z$9)^(('实盘净值数据(iFinD）'!$A118-'实盘净值数据(iFinD）'!$A$8)/365))</f>
        <v/>
      </c>
      <c r="R118" s="16" t="str">
        <f t="shared" si="11"/>
        <v/>
      </c>
      <c r="S118" s="16" t="str">
        <f>IF(Q118="","",Q118/MAX(Q$5:Q118)-1)</f>
        <v/>
      </c>
      <c r="T118" s="13">
        <f>IF(OR('实盘净值数据(iFinD）'!$A118="",'实盘净值数据(iFinD）'!$B118="",'实盘净值数据(iFinD）'!$Z118="",'实盘净值数据(iFinD）'!$AA118="",'实盘净值数据(iFinD）'!$AB118="",'实盘净值数据(iFinD）'!$AL118=""),"",(SUMPRODUCT(分期持仓明细!$B$26:$Y$26,'实盘净值数据(iFinD）'!$B118:$Y118/'实盘净值数据(iFinD）'!$B$69:$Y$69)+SUMPRODUCT(分期持仓明细!$AC$26:$AD$26,'实盘净值数据(iFinD）'!$Z118:$AA118/'实盘净值数据(iFinD）'!$Z$69:$AA$69)+SUMPRODUCT(分期持仓明细!$AE$26:$AO$26,'实盘净值数据(iFinD）'!$AB118:$AL118/'实盘净值数据(iFinD）'!$AB$69:$AL$69))*(1-实盘持仓初始配置!$Z$10)^(('实盘净值数据(iFinD）'!$A118-'实盘净值数据(iFinD）'!$A$69)/365))</f>
        <v/>
      </c>
      <c r="U118" s="16">
        <f>IF(OR(T117="",T118=""),"",T118/T117-1)</f>
        <v/>
      </c>
      <c r="V118" s="16">
        <f>IF(T118="","",T118/MAX(T$5:T118)-1)</f>
        <v/>
      </c>
    </row>
    <row r="119" spans="1:19">
      <c r="A119" s="15" t="str">
        <f>IF('实盘净值数据(iFinD）'!A119="","",'实盘净值数据(iFinD）'!A119)</f>
        <v/>
      </c>
      <c r="B119" s="13" t="str">
        <f>IF(OR('实盘净值数据(iFinD）'!$A119="",'实盘净值数据(iFinD）'!$B119=""),"",分期持仓明细!$AB$17*SUMPRODUCT(分期持仓明细!$B$17:$Y$17,'实盘净值数据(iFinD）'!$B119:$Y119/'实盘净值数据(iFinD）'!$B$20:$Y$20)*(1-实盘持仓初始配置!$Z$4)^(('实盘净值数据(iFinD）'!$A119-'实盘净值数据(iFinD）'!$A$6)/365))</f>
        <v/>
      </c>
      <c r="C119" s="16" t="str">
        <f t="shared" si="6"/>
        <v/>
      </c>
      <c r="D119" s="16" t="str">
        <f>IF(B119="","",B119/MAX(B$5:B119)-1)</f>
        <v/>
      </c>
      <c r="E119" s="13" t="str">
        <f>IF(OR('实盘净值数据(iFinD）'!$A119="",'实盘净值数据(iFinD）'!$B119=""),"",分期持仓明细!$AB$18*SUMPRODUCT(分期持仓明细!$B$18:$Y$18,'实盘净值数据(iFinD）'!$B119:$Y119/'实盘净值数据(iFinD）'!$B$20:$Y$20)*(1-实盘持仓初始配置!$Z$5)^(('实盘净值数据(iFinD）'!$A119-'实盘净值数据(iFinD）'!$A$5)/365))</f>
        <v/>
      </c>
      <c r="F119" s="16" t="str">
        <f t="shared" si="7"/>
        <v/>
      </c>
      <c r="G119" s="16" t="str">
        <f>IF(E119="","",E119/MAX(E$5:E119)-1)</f>
        <v/>
      </c>
      <c r="H119" s="13" t="str">
        <f>IF(OR('实盘净值数据(iFinD）'!$A119="",'实盘净值数据(iFinD）'!$B119=""),"",分期持仓明细!$AB$19*SUMPRODUCT(分期持仓明细!$B$19:$Y$19,'实盘净值数据(iFinD）'!$B119:$Y119/'实盘净值数据(iFinD）'!$B$20:$Y$20)*(1-实盘持仓初始配置!$Z$6)^(('实盘净值数据(iFinD）'!$A119-'实盘净值数据(iFinD）'!$A$7)/365))</f>
        <v/>
      </c>
      <c r="I119" s="16" t="str">
        <f t="shared" si="8"/>
        <v/>
      </c>
      <c r="J119" s="16" t="str">
        <f>IF(H119="","",H119/MAX(H$5:H119)-1)</f>
        <v/>
      </c>
      <c r="K119" s="13" t="str">
        <f>IF(OR('实盘净值数据(iFinD）'!$A119="",'实盘净值数据(iFinD）'!$B119="",'实盘净值数据(iFinD）'!$Z119="",'实盘净值数据(iFinD）'!$AA119=""),"",分期持仓明细!$AB$23*(SUMPRODUCT(分期持仓明细!$B$23:$Y$23,'实盘净值数据(iFinD）'!$B119:$Y119/'实盘净值数据(iFinD）'!$B$65:$Y$65)+SUMPRODUCT(分期持仓明细!$AC$23:$AD$23,'实盘净值数据(iFinD）'!$Z119:$AA119/'实盘净值数据(iFinD）'!$Z$65:$AA$65))*(1-实盘持仓初始配置!$Z$7)^(('实盘净值数据(iFinD）'!$A119-'实盘净值数据(iFinD）'!$A$8)/365))</f>
        <v/>
      </c>
      <c r="L119" s="16" t="str">
        <f t="shared" si="9"/>
        <v/>
      </c>
      <c r="M119" s="16" t="str">
        <f>IF(K119="","",K119/MAX(K$5:K119)-1)</f>
        <v/>
      </c>
      <c r="N119" s="13" t="str">
        <f>IF(OR('实盘净值数据(iFinD）'!$A119="",'实盘净值数据(iFinD）'!$B119="",'实盘净值数据(iFinD）'!$Z119="",'实盘净值数据(iFinD）'!$AA119=""),"",分期持仓明细!$AB$24*(SUMPRODUCT(分期持仓明细!$B$24:$Y$24,'实盘净值数据(iFinD）'!$B119:$Y119/'实盘净值数据(iFinD）'!$B$65:$Y$65)+SUMPRODUCT(分期持仓明细!$AC$24:$AD$24,'实盘净值数据(iFinD）'!$Z119:$AA119/'实盘净值数据(iFinD）'!$Z$65:$AA$65))*(1-实盘持仓初始配置!$Z$8)^(('实盘净值数据(iFinD）'!$A119-'实盘净值数据(iFinD）'!$A$5)/365))</f>
        <v/>
      </c>
      <c r="O119" s="16" t="str">
        <f t="shared" si="10"/>
        <v/>
      </c>
      <c r="P119" s="16" t="str">
        <f>IF(N119="","",N119/MAX(N$5:N119)-1)</f>
        <v/>
      </c>
      <c r="Q119" s="13" t="str">
        <f>IF(OR('实盘净值数据(iFinD）'!$A119="",'实盘净值数据(iFinD）'!$B119="",'实盘净值数据(iFinD）'!$Z119="",'实盘净值数据(iFinD）'!$AA119=""),"",分期持仓明细!$AB$25*(SUMPRODUCT(分期持仓明细!$B$25:$Y$25,'实盘净值数据(iFinD）'!$B119:$Y119/'实盘净值数据(iFinD）'!$B$65:$Y$65)+SUMPRODUCT(分期持仓明细!$AC$25:$AD$25,'实盘净值数据(iFinD）'!$Z119:$AA119/'实盘净值数据(iFinD）'!$Z$65:$AA$65))*(1-实盘持仓初始配置!$Z$9)^(('实盘净值数据(iFinD）'!$A119-'实盘净值数据(iFinD）'!$A$8)/365))</f>
        <v/>
      </c>
      <c r="R119" s="16" t="str">
        <f t="shared" si="11"/>
        <v/>
      </c>
      <c r="S119" s="16" t="str">
        <f>IF(Q119="","",Q119/MAX(Q$5:Q119)-1)</f>
        <v/>
      </c>
      <c r="T119" s="13">
        <f>IF(OR('实盘净值数据(iFinD）'!$A119="",'实盘净值数据(iFinD）'!$B119="",'实盘净值数据(iFinD）'!$Z119="",'实盘净值数据(iFinD）'!$AA119="",'实盘净值数据(iFinD）'!$AB119="",'实盘净值数据(iFinD）'!$AL119=""),"",(SUMPRODUCT(分期持仓明细!$B$26:$Y$26,'实盘净值数据(iFinD）'!$B119:$Y119/'实盘净值数据(iFinD）'!$B$69:$Y$69)+SUMPRODUCT(分期持仓明细!$AC$26:$AD$26,'实盘净值数据(iFinD）'!$Z119:$AA119/'实盘净值数据(iFinD）'!$Z$69:$AA$69)+SUMPRODUCT(分期持仓明细!$AE$26:$AO$26,'实盘净值数据(iFinD）'!$AB119:$AL119/'实盘净值数据(iFinD）'!$AB$69:$AL$69))*(1-实盘持仓初始配置!$Z$10)^(('实盘净值数据(iFinD）'!$A119-'实盘净值数据(iFinD）'!$A$69)/365))</f>
        <v/>
      </c>
      <c r="U119" s="16">
        <f>IF(OR(T118="",T119=""),"",T119/T118-1)</f>
        <v/>
      </c>
      <c r="V119" s="16">
        <f>IF(T119="","",T119/MAX(T$5:T119)-1)</f>
        <v/>
      </c>
    </row>
    <row r="120" spans="1:19">
      <c r="A120" s="15" t="str">
        <f>IF('实盘净值数据(iFinD）'!A120="","",'实盘净值数据(iFinD）'!A120)</f>
        <v/>
      </c>
      <c r="B120" s="13" t="str">
        <f>IF(OR('实盘净值数据(iFinD）'!$A120="",'实盘净值数据(iFinD）'!$B120=""),"",分期持仓明细!$AB$17*SUMPRODUCT(分期持仓明细!$B$17:$Y$17,'实盘净值数据(iFinD）'!$B120:$Y120/'实盘净值数据(iFinD）'!$B$20:$Y$20)*(1-实盘持仓初始配置!$Z$4)^(('实盘净值数据(iFinD）'!$A120-'实盘净值数据(iFinD）'!$A$6)/365))</f>
        <v/>
      </c>
      <c r="C120" s="16" t="str">
        <f t="shared" si="6"/>
        <v/>
      </c>
      <c r="D120" s="16" t="str">
        <f>IF(B120="","",B120/MAX(B$5:B120)-1)</f>
        <v/>
      </c>
      <c r="E120" s="13" t="str">
        <f>IF(OR('实盘净值数据(iFinD）'!$A120="",'实盘净值数据(iFinD）'!$B120=""),"",分期持仓明细!$AB$18*SUMPRODUCT(分期持仓明细!$B$18:$Y$18,'实盘净值数据(iFinD）'!$B120:$Y120/'实盘净值数据(iFinD）'!$B$20:$Y$20)*(1-实盘持仓初始配置!$Z$5)^(('实盘净值数据(iFinD）'!$A120-'实盘净值数据(iFinD）'!$A$5)/365))</f>
        <v/>
      </c>
      <c r="F120" s="16" t="str">
        <f t="shared" si="7"/>
        <v/>
      </c>
      <c r="G120" s="16" t="str">
        <f>IF(E120="","",E120/MAX(E$5:E120)-1)</f>
        <v/>
      </c>
      <c r="H120" s="13" t="str">
        <f>IF(OR('实盘净值数据(iFinD）'!$A120="",'实盘净值数据(iFinD）'!$B120=""),"",分期持仓明细!$AB$19*SUMPRODUCT(分期持仓明细!$B$19:$Y$19,'实盘净值数据(iFinD）'!$B120:$Y120/'实盘净值数据(iFinD）'!$B$20:$Y$20)*(1-实盘持仓初始配置!$Z$6)^(('实盘净值数据(iFinD）'!$A120-'实盘净值数据(iFinD）'!$A$7)/365))</f>
        <v/>
      </c>
      <c r="I120" s="16" t="str">
        <f t="shared" si="8"/>
        <v/>
      </c>
      <c r="J120" s="16" t="str">
        <f>IF(H120="","",H120/MAX(H$5:H120)-1)</f>
        <v/>
      </c>
      <c r="K120" s="13" t="str">
        <f>IF(OR('实盘净值数据(iFinD）'!$A120="",'实盘净值数据(iFinD）'!$B120="",'实盘净值数据(iFinD）'!$Z120="",'实盘净值数据(iFinD）'!$AA120=""),"",分期持仓明细!$AB$23*(SUMPRODUCT(分期持仓明细!$B$23:$Y$23,'实盘净值数据(iFinD）'!$B120:$Y120/'实盘净值数据(iFinD）'!$B$65:$Y$65)+SUMPRODUCT(分期持仓明细!$AC$23:$AD$23,'实盘净值数据(iFinD）'!$Z120:$AA120/'实盘净值数据(iFinD）'!$Z$65:$AA$65))*(1-实盘持仓初始配置!$Z$7)^(('实盘净值数据(iFinD）'!$A120-'实盘净值数据(iFinD）'!$A$8)/365))</f>
        <v/>
      </c>
      <c r="L120" s="16" t="str">
        <f t="shared" si="9"/>
        <v/>
      </c>
      <c r="M120" s="16" t="str">
        <f>IF(K120="","",K120/MAX(K$5:K120)-1)</f>
        <v/>
      </c>
      <c r="N120" s="13" t="str">
        <f>IF(OR('实盘净值数据(iFinD）'!$A120="",'实盘净值数据(iFinD）'!$B120="",'实盘净值数据(iFinD）'!$Z120="",'实盘净值数据(iFinD）'!$AA120=""),"",分期持仓明细!$AB$24*(SUMPRODUCT(分期持仓明细!$B$24:$Y$24,'实盘净值数据(iFinD）'!$B120:$Y120/'实盘净值数据(iFinD）'!$B$65:$Y$65)+SUMPRODUCT(分期持仓明细!$AC$24:$AD$24,'实盘净值数据(iFinD）'!$Z120:$AA120/'实盘净值数据(iFinD）'!$Z$65:$AA$65))*(1-实盘持仓初始配置!$Z$8)^(('实盘净值数据(iFinD）'!$A120-'实盘净值数据(iFinD）'!$A$5)/365))</f>
        <v/>
      </c>
      <c r="O120" s="16" t="str">
        <f t="shared" si="10"/>
        <v/>
      </c>
      <c r="P120" s="16" t="str">
        <f>IF(N120="","",N120/MAX(N$5:N120)-1)</f>
        <v/>
      </c>
      <c r="Q120" s="13" t="str">
        <f>IF(OR('实盘净值数据(iFinD）'!$A120="",'实盘净值数据(iFinD）'!$B120="",'实盘净值数据(iFinD）'!$Z120="",'实盘净值数据(iFinD）'!$AA120=""),"",分期持仓明细!$AB$25*(SUMPRODUCT(分期持仓明细!$B$25:$Y$25,'实盘净值数据(iFinD）'!$B120:$Y120/'实盘净值数据(iFinD）'!$B$65:$Y$65)+SUMPRODUCT(分期持仓明细!$AC$25:$AD$25,'实盘净值数据(iFinD）'!$Z120:$AA120/'实盘净值数据(iFinD）'!$Z$65:$AA$65))*(1-实盘持仓初始配置!$Z$9)^(('实盘净值数据(iFinD）'!$A120-'实盘净值数据(iFinD）'!$A$8)/365))</f>
        <v/>
      </c>
      <c r="R120" s="16" t="str">
        <f t="shared" si="11"/>
        <v/>
      </c>
      <c r="S120" s="16" t="str">
        <f>IF(Q120="","",Q120/MAX(Q$5:Q120)-1)</f>
        <v/>
      </c>
      <c r="T120" s="13">
        <f>IF(OR('实盘净值数据(iFinD）'!$A120="",'实盘净值数据(iFinD）'!$B120="",'实盘净值数据(iFinD）'!$Z120="",'实盘净值数据(iFinD）'!$AA120="",'实盘净值数据(iFinD）'!$AB120="",'实盘净值数据(iFinD）'!$AL120=""),"",(SUMPRODUCT(分期持仓明细!$B$26:$Y$26,'实盘净值数据(iFinD）'!$B120:$Y120/'实盘净值数据(iFinD）'!$B$69:$Y$69)+SUMPRODUCT(分期持仓明细!$AC$26:$AD$26,'实盘净值数据(iFinD）'!$Z120:$AA120/'实盘净值数据(iFinD）'!$Z$69:$AA$69)+SUMPRODUCT(分期持仓明细!$AE$26:$AO$26,'实盘净值数据(iFinD）'!$AB120:$AL120/'实盘净值数据(iFinD）'!$AB$69:$AL$69))*(1-实盘持仓初始配置!$Z$10)^(('实盘净值数据(iFinD）'!$A120-'实盘净值数据(iFinD）'!$A$69)/365))</f>
        <v/>
      </c>
      <c r="U120" s="16">
        <f>IF(OR(T119="",T120=""),"",T120/T119-1)</f>
        <v/>
      </c>
      <c r="V120" s="16">
        <f>IF(T120="","",T120/MAX(T$5:T120)-1)</f>
        <v/>
      </c>
    </row>
    <row r="121" spans="1:19">
      <c r="A121" s="15" t="str">
        <f>IF('实盘净值数据(iFinD）'!A121="","",'实盘净值数据(iFinD）'!A121)</f>
        <v/>
      </c>
      <c r="B121" s="13" t="str">
        <f>IF(OR('实盘净值数据(iFinD）'!$A121="",'实盘净值数据(iFinD）'!$B121=""),"",分期持仓明细!$AB$17*SUMPRODUCT(分期持仓明细!$B$17:$Y$17,'实盘净值数据(iFinD）'!$B121:$Y121/'实盘净值数据(iFinD）'!$B$20:$Y$20)*(1-实盘持仓初始配置!$Z$4)^(('实盘净值数据(iFinD）'!$A121-'实盘净值数据(iFinD）'!$A$6)/365))</f>
        <v/>
      </c>
      <c r="C121" s="16" t="str">
        <f t="shared" si="6"/>
        <v/>
      </c>
      <c r="D121" s="16" t="str">
        <f>IF(B121="","",B121/MAX(B$5:B121)-1)</f>
        <v/>
      </c>
      <c r="E121" s="13" t="str">
        <f>IF(OR('实盘净值数据(iFinD）'!$A121="",'实盘净值数据(iFinD）'!$B121=""),"",分期持仓明细!$AB$18*SUMPRODUCT(分期持仓明细!$B$18:$Y$18,'实盘净值数据(iFinD）'!$B121:$Y121/'实盘净值数据(iFinD）'!$B$20:$Y$20)*(1-实盘持仓初始配置!$Z$5)^(('实盘净值数据(iFinD）'!$A121-'实盘净值数据(iFinD）'!$A$5)/365))</f>
        <v/>
      </c>
      <c r="F121" s="16" t="str">
        <f t="shared" si="7"/>
        <v/>
      </c>
      <c r="G121" s="16" t="str">
        <f>IF(E121="","",E121/MAX(E$5:E121)-1)</f>
        <v/>
      </c>
      <c r="H121" s="13" t="str">
        <f>IF(OR('实盘净值数据(iFinD）'!$A121="",'实盘净值数据(iFinD）'!$B121=""),"",分期持仓明细!$AB$19*SUMPRODUCT(分期持仓明细!$B$19:$Y$19,'实盘净值数据(iFinD）'!$B121:$Y121/'实盘净值数据(iFinD）'!$B$20:$Y$20)*(1-实盘持仓初始配置!$Z$6)^(('实盘净值数据(iFinD）'!$A121-'实盘净值数据(iFinD）'!$A$7)/365))</f>
        <v/>
      </c>
      <c r="I121" s="16" t="str">
        <f t="shared" si="8"/>
        <v/>
      </c>
      <c r="J121" s="16" t="str">
        <f>IF(H121="","",H121/MAX(H$5:H121)-1)</f>
        <v/>
      </c>
      <c r="K121" s="13" t="str">
        <f>IF(OR('实盘净值数据(iFinD）'!$A121="",'实盘净值数据(iFinD）'!$B121="",'实盘净值数据(iFinD）'!$Z121="",'实盘净值数据(iFinD）'!$AA121=""),"",分期持仓明细!$AB$23*(SUMPRODUCT(分期持仓明细!$B$23:$Y$23,'实盘净值数据(iFinD）'!$B121:$Y121/'实盘净值数据(iFinD）'!$B$65:$Y$65)+SUMPRODUCT(分期持仓明细!$AC$23:$AD$23,'实盘净值数据(iFinD）'!$Z121:$AA121/'实盘净值数据(iFinD）'!$Z$65:$AA$65))*(1-实盘持仓初始配置!$Z$7)^(('实盘净值数据(iFinD）'!$A121-'实盘净值数据(iFinD）'!$A$8)/365))</f>
        <v/>
      </c>
      <c r="L121" s="16" t="str">
        <f t="shared" si="9"/>
        <v/>
      </c>
      <c r="M121" s="16" t="str">
        <f>IF(K121="","",K121/MAX(K$5:K121)-1)</f>
        <v/>
      </c>
      <c r="N121" s="13" t="str">
        <f>IF(OR('实盘净值数据(iFinD）'!$A121="",'实盘净值数据(iFinD）'!$B121="",'实盘净值数据(iFinD）'!$Z121="",'实盘净值数据(iFinD）'!$AA121=""),"",分期持仓明细!$AB$24*(SUMPRODUCT(分期持仓明细!$B$24:$Y$24,'实盘净值数据(iFinD）'!$B121:$Y121/'实盘净值数据(iFinD）'!$B$65:$Y$65)+SUMPRODUCT(分期持仓明细!$AC$24:$AD$24,'实盘净值数据(iFinD）'!$Z121:$AA121/'实盘净值数据(iFinD）'!$Z$65:$AA$65))*(1-实盘持仓初始配置!$Z$8)^(('实盘净值数据(iFinD）'!$A121-'实盘净值数据(iFinD）'!$A$5)/365))</f>
        <v/>
      </c>
      <c r="O121" s="16" t="str">
        <f t="shared" si="10"/>
        <v/>
      </c>
      <c r="P121" s="16" t="str">
        <f>IF(N121="","",N121/MAX(N$5:N121)-1)</f>
        <v/>
      </c>
      <c r="Q121" s="13" t="str">
        <f>IF(OR('实盘净值数据(iFinD）'!$A121="",'实盘净值数据(iFinD）'!$B121="",'实盘净值数据(iFinD）'!$Z121="",'实盘净值数据(iFinD）'!$AA121=""),"",分期持仓明细!$AB$25*(SUMPRODUCT(分期持仓明细!$B$25:$Y$25,'实盘净值数据(iFinD）'!$B121:$Y121/'实盘净值数据(iFinD）'!$B$65:$Y$65)+SUMPRODUCT(分期持仓明细!$AC$25:$AD$25,'实盘净值数据(iFinD）'!$Z121:$AA121/'实盘净值数据(iFinD）'!$Z$65:$AA$65))*(1-实盘持仓初始配置!$Z$9)^(('实盘净值数据(iFinD）'!$A121-'实盘净值数据(iFinD）'!$A$8)/365))</f>
        <v/>
      </c>
      <c r="R121" s="16" t="str">
        <f t="shared" si="11"/>
        <v/>
      </c>
      <c r="S121" s="16" t="str">
        <f>IF(Q121="","",Q121/MAX(Q$5:Q121)-1)</f>
        <v/>
      </c>
      <c r="T121" s="13">
        <f>IF(OR('实盘净值数据(iFinD）'!$A121="",'实盘净值数据(iFinD）'!$B121="",'实盘净值数据(iFinD）'!$Z121="",'实盘净值数据(iFinD）'!$AA121="",'实盘净值数据(iFinD）'!$AB121="",'实盘净值数据(iFinD）'!$AL121=""),"",(SUMPRODUCT(分期持仓明细!$B$26:$Y$26,'实盘净值数据(iFinD）'!$B121:$Y121/'实盘净值数据(iFinD）'!$B$69:$Y$69)+SUMPRODUCT(分期持仓明细!$AC$26:$AD$26,'实盘净值数据(iFinD）'!$Z121:$AA121/'实盘净值数据(iFinD）'!$Z$69:$AA$69)+SUMPRODUCT(分期持仓明细!$AE$26:$AO$26,'实盘净值数据(iFinD）'!$AB121:$AL121/'实盘净值数据(iFinD）'!$AB$69:$AL$69))*(1-实盘持仓初始配置!$Z$10)^(('实盘净值数据(iFinD）'!$A121-'实盘净值数据(iFinD）'!$A$69)/365))</f>
        <v/>
      </c>
      <c r="U121" s="16">
        <f>IF(OR(T120="",T121=""),"",T121/T120-1)</f>
        <v/>
      </c>
      <c r="V121" s="16">
        <f>IF(T121="","",T121/MAX(T$5:T121)-1)</f>
        <v/>
      </c>
    </row>
    <row r="122" spans="1:19">
      <c r="A122" s="15" t="str">
        <f>IF('实盘净值数据(iFinD）'!A122="","",'实盘净值数据(iFinD）'!A122)</f>
        <v/>
      </c>
      <c r="B122" s="13" t="str">
        <f>IF(OR('实盘净值数据(iFinD）'!$A122="",'实盘净值数据(iFinD）'!$B122=""),"",分期持仓明细!$AB$17*SUMPRODUCT(分期持仓明细!$B$17:$Y$17,'实盘净值数据(iFinD）'!$B122:$Y122/'实盘净值数据(iFinD）'!$B$20:$Y$20)*(1-实盘持仓初始配置!$Z$4)^(('实盘净值数据(iFinD）'!$A122-'实盘净值数据(iFinD）'!$A$6)/365))</f>
        <v/>
      </c>
      <c r="C122" s="16" t="str">
        <f t="shared" si="6"/>
        <v/>
      </c>
      <c r="D122" s="16" t="str">
        <f>IF(B122="","",B122/MAX(B$5:B122)-1)</f>
        <v/>
      </c>
      <c r="E122" s="13" t="str">
        <f>IF(OR('实盘净值数据(iFinD）'!$A122="",'实盘净值数据(iFinD）'!$B122=""),"",分期持仓明细!$AB$18*SUMPRODUCT(分期持仓明细!$B$18:$Y$18,'实盘净值数据(iFinD）'!$B122:$Y122/'实盘净值数据(iFinD）'!$B$20:$Y$20)*(1-实盘持仓初始配置!$Z$5)^(('实盘净值数据(iFinD）'!$A122-'实盘净值数据(iFinD）'!$A$5)/365))</f>
        <v/>
      </c>
      <c r="F122" s="16" t="str">
        <f t="shared" si="7"/>
        <v/>
      </c>
      <c r="G122" s="16" t="str">
        <f>IF(E122="","",E122/MAX(E$5:E122)-1)</f>
        <v/>
      </c>
      <c r="H122" s="13" t="str">
        <f>IF(OR('实盘净值数据(iFinD）'!$A122="",'实盘净值数据(iFinD）'!$B122=""),"",分期持仓明细!$AB$19*SUMPRODUCT(分期持仓明细!$B$19:$Y$19,'实盘净值数据(iFinD）'!$B122:$Y122/'实盘净值数据(iFinD）'!$B$20:$Y$20)*(1-实盘持仓初始配置!$Z$6)^(('实盘净值数据(iFinD）'!$A122-'实盘净值数据(iFinD）'!$A$7)/365))</f>
        <v/>
      </c>
      <c r="I122" s="16" t="str">
        <f t="shared" si="8"/>
        <v/>
      </c>
      <c r="J122" s="16" t="str">
        <f>IF(H122="","",H122/MAX(H$5:H122)-1)</f>
        <v/>
      </c>
      <c r="K122" s="13" t="str">
        <f>IF(OR('实盘净值数据(iFinD）'!$A122="",'实盘净值数据(iFinD）'!$B122="",'实盘净值数据(iFinD）'!$Z122="",'实盘净值数据(iFinD）'!$AA122=""),"",分期持仓明细!$AB$23*(SUMPRODUCT(分期持仓明细!$B$23:$Y$23,'实盘净值数据(iFinD）'!$B122:$Y122/'实盘净值数据(iFinD）'!$B$65:$Y$65)+SUMPRODUCT(分期持仓明细!$AC$23:$AD$23,'实盘净值数据(iFinD）'!$Z122:$AA122/'实盘净值数据(iFinD）'!$Z$65:$AA$65))*(1-实盘持仓初始配置!$Z$7)^(('实盘净值数据(iFinD）'!$A122-'实盘净值数据(iFinD）'!$A$8)/365))</f>
        <v/>
      </c>
      <c r="L122" s="16" t="str">
        <f t="shared" si="9"/>
        <v/>
      </c>
      <c r="M122" s="16" t="str">
        <f>IF(K122="","",K122/MAX(K$5:K122)-1)</f>
        <v/>
      </c>
      <c r="N122" s="13" t="str">
        <f>IF(OR('实盘净值数据(iFinD）'!$A122="",'实盘净值数据(iFinD）'!$B122="",'实盘净值数据(iFinD）'!$Z122="",'实盘净值数据(iFinD）'!$AA122=""),"",分期持仓明细!$AB$24*(SUMPRODUCT(分期持仓明细!$B$24:$Y$24,'实盘净值数据(iFinD）'!$B122:$Y122/'实盘净值数据(iFinD）'!$B$65:$Y$65)+SUMPRODUCT(分期持仓明细!$AC$24:$AD$24,'实盘净值数据(iFinD）'!$Z122:$AA122/'实盘净值数据(iFinD）'!$Z$65:$AA$65))*(1-实盘持仓初始配置!$Z$8)^(('实盘净值数据(iFinD）'!$A122-'实盘净值数据(iFinD）'!$A$5)/365))</f>
        <v/>
      </c>
      <c r="O122" s="16" t="str">
        <f t="shared" si="10"/>
        <v/>
      </c>
      <c r="P122" s="16" t="str">
        <f>IF(N122="","",N122/MAX(N$5:N122)-1)</f>
        <v/>
      </c>
      <c r="Q122" s="13" t="str">
        <f>IF(OR('实盘净值数据(iFinD）'!$A122="",'实盘净值数据(iFinD）'!$B122="",'实盘净值数据(iFinD）'!$Z122="",'实盘净值数据(iFinD）'!$AA122=""),"",分期持仓明细!$AB$25*(SUMPRODUCT(分期持仓明细!$B$25:$Y$25,'实盘净值数据(iFinD）'!$B122:$Y122/'实盘净值数据(iFinD）'!$B$65:$Y$65)+SUMPRODUCT(分期持仓明细!$AC$25:$AD$25,'实盘净值数据(iFinD）'!$Z122:$AA122/'实盘净值数据(iFinD）'!$Z$65:$AA$65))*(1-实盘持仓初始配置!$Z$9)^(('实盘净值数据(iFinD）'!$A122-'实盘净值数据(iFinD）'!$A$8)/365))</f>
        <v/>
      </c>
      <c r="R122" s="16" t="str">
        <f t="shared" si="11"/>
        <v/>
      </c>
      <c r="S122" s="16" t="str">
        <f>IF(Q122="","",Q122/MAX(Q$5:Q122)-1)</f>
        <v/>
      </c>
      <c r="T122" s="13">
        <f>IF(OR('实盘净值数据(iFinD）'!$A122="",'实盘净值数据(iFinD）'!$B122="",'实盘净值数据(iFinD）'!$Z122="",'实盘净值数据(iFinD）'!$AA122="",'实盘净值数据(iFinD）'!$AB122="",'实盘净值数据(iFinD）'!$AL122=""),"",(SUMPRODUCT(分期持仓明细!$B$26:$Y$26,'实盘净值数据(iFinD）'!$B122:$Y122/'实盘净值数据(iFinD）'!$B$69:$Y$69)+SUMPRODUCT(分期持仓明细!$AC$26:$AD$26,'实盘净值数据(iFinD）'!$Z122:$AA122/'实盘净值数据(iFinD）'!$Z$69:$AA$69)+SUMPRODUCT(分期持仓明细!$AE$26:$AO$26,'实盘净值数据(iFinD）'!$AB122:$AL122/'实盘净值数据(iFinD）'!$AB$69:$AL$69))*(1-实盘持仓初始配置!$Z$10)^(('实盘净值数据(iFinD）'!$A122-'实盘净值数据(iFinD）'!$A$69)/365))</f>
        <v/>
      </c>
      <c r="U122" s="16">
        <f>IF(OR(T121="",T122=""),"",T122/T121-1)</f>
        <v/>
      </c>
      <c r="V122" s="16">
        <f>IF(T122="","",T122/MAX(T$5:T122)-1)</f>
        <v/>
      </c>
    </row>
    <row r="123" spans="1:19">
      <c r="A123" s="15" t="str">
        <f>IF('实盘净值数据(iFinD）'!A123="","",'实盘净值数据(iFinD）'!A123)</f>
        <v/>
      </c>
      <c r="B123" s="13" t="str">
        <f>IF(OR('实盘净值数据(iFinD）'!$A123="",'实盘净值数据(iFinD）'!$B123=""),"",分期持仓明细!$AB$17*SUMPRODUCT(分期持仓明细!$B$17:$Y$17,'实盘净值数据(iFinD）'!$B123:$Y123/'实盘净值数据(iFinD）'!$B$20:$Y$20)*(1-实盘持仓初始配置!$Z$4)^(('实盘净值数据(iFinD）'!$A123-'实盘净值数据(iFinD）'!$A$6)/365))</f>
        <v/>
      </c>
      <c r="C123" s="16" t="str">
        <f t="shared" si="6"/>
        <v/>
      </c>
      <c r="D123" s="16" t="str">
        <f>IF(B123="","",B123/MAX(B$5:B123)-1)</f>
        <v/>
      </c>
      <c r="E123" s="13" t="str">
        <f>IF(OR('实盘净值数据(iFinD）'!$A123="",'实盘净值数据(iFinD）'!$B123=""),"",分期持仓明细!$AB$18*SUMPRODUCT(分期持仓明细!$B$18:$Y$18,'实盘净值数据(iFinD）'!$B123:$Y123/'实盘净值数据(iFinD）'!$B$20:$Y$20)*(1-实盘持仓初始配置!$Z$5)^(('实盘净值数据(iFinD）'!$A123-'实盘净值数据(iFinD）'!$A$5)/365))</f>
        <v/>
      </c>
      <c r="F123" s="16" t="str">
        <f t="shared" si="7"/>
        <v/>
      </c>
      <c r="G123" s="16" t="str">
        <f>IF(E123="","",E123/MAX(E$5:E123)-1)</f>
        <v/>
      </c>
      <c r="H123" s="13" t="str">
        <f>IF(OR('实盘净值数据(iFinD）'!$A123="",'实盘净值数据(iFinD）'!$B123=""),"",分期持仓明细!$AB$19*SUMPRODUCT(分期持仓明细!$B$19:$Y$19,'实盘净值数据(iFinD）'!$B123:$Y123/'实盘净值数据(iFinD）'!$B$20:$Y$20)*(1-实盘持仓初始配置!$Z$6)^(('实盘净值数据(iFinD）'!$A123-'实盘净值数据(iFinD）'!$A$7)/365))</f>
        <v/>
      </c>
      <c r="I123" s="16" t="str">
        <f t="shared" si="8"/>
        <v/>
      </c>
      <c r="J123" s="16" t="str">
        <f>IF(H123="","",H123/MAX(H$5:H123)-1)</f>
        <v/>
      </c>
      <c r="K123" s="13" t="str">
        <f>IF(OR('实盘净值数据(iFinD）'!$A123="",'实盘净值数据(iFinD）'!$B123="",'实盘净值数据(iFinD）'!$Z123="",'实盘净值数据(iFinD）'!$AA123=""),"",分期持仓明细!$AB$23*(SUMPRODUCT(分期持仓明细!$B$23:$Y$23,'实盘净值数据(iFinD）'!$B123:$Y123/'实盘净值数据(iFinD）'!$B$65:$Y$65)+SUMPRODUCT(分期持仓明细!$AC$23:$AD$23,'实盘净值数据(iFinD）'!$Z123:$AA123/'实盘净值数据(iFinD）'!$Z$65:$AA$65))*(1-实盘持仓初始配置!$Z$7)^(('实盘净值数据(iFinD）'!$A123-'实盘净值数据(iFinD）'!$A$8)/365))</f>
        <v/>
      </c>
      <c r="L123" s="16" t="str">
        <f t="shared" si="9"/>
        <v/>
      </c>
      <c r="M123" s="16" t="str">
        <f>IF(K123="","",K123/MAX(K$5:K123)-1)</f>
        <v/>
      </c>
      <c r="N123" s="13" t="str">
        <f>IF(OR('实盘净值数据(iFinD）'!$A123="",'实盘净值数据(iFinD）'!$B123="",'实盘净值数据(iFinD）'!$Z123="",'实盘净值数据(iFinD）'!$AA123=""),"",分期持仓明细!$AB$24*(SUMPRODUCT(分期持仓明细!$B$24:$Y$24,'实盘净值数据(iFinD）'!$B123:$Y123/'实盘净值数据(iFinD）'!$B$65:$Y$65)+SUMPRODUCT(分期持仓明细!$AC$24:$AD$24,'实盘净值数据(iFinD）'!$Z123:$AA123/'实盘净值数据(iFinD）'!$Z$65:$AA$65))*(1-实盘持仓初始配置!$Z$8)^(('实盘净值数据(iFinD）'!$A123-'实盘净值数据(iFinD）'!$A$5)/365))</f>
        <v/>
      </c>
      <c r="O123" s="16" t="str">
        <f t="shared" si="10"/>
        <v/>
      </c>
      <c r="P123" s="16" t="str">
        <f>IF(N123="","",N123/MAX(N$5:N123)-1)</f>
        <v/>
      </c>
      <c r="Q123" s="13" t="str">
        <f>IF(OR('实盘净值数据(iFinD）'!$A123="",'实盘净值数据(iFinD）'!$B123="",'实盘净值数据(iFinD）'!$Z123="",'实盘净值数据(iFinD）'!$AA123=""),"",分期持仓明细!$AB$25*(SUMPRODUCT(分期持仓明细!$B$25:$Y$25,'实盘净值数据(iFinD）'!$B123:$Y123/'实盘净值数据(iFinD）'!$B$65:$Y$65)+SUMPRODUCT(分期持仓明细!$AC$25:$AD$25,'实盘净值数据(iFinD）'!$Z123:$AA123/'实盘净值数据(iFinD）'!$Z$65:$AA$65))*(1-实盘持仓初始配置!$Z$9)^(('实盘净值数据(iFinD）'!$A123-'实盘净值数据(iFinD）'!$A$8)/365))</f>
        <v/>
      </c>
      <c r="R123" s="16" t="str">
        <f t="shared" si="11"/>
        <v/>
      </c>
      <c r="S123" s="16" t="str">
        <f>IF(Q123="","",Q123/MAX(Q$5:Q123)-1)</f>
        <v/>
      </c>
      <c r="T123" s="13">
        <f>IF(OR('实盘净值数据(iFinD）'!$A123="",'实盘净值数据(iFinD）'!$B123="",'实盘净值数据(iFinD）'!$Z123="",'实盘净值数据(iFinD）'!$AA123="",'实盘净值数据(iFinD）'!$AB123="",'实盘净值数据(iFinD）'!$AL123=""),"",(SUMPRODUCT(分期持仓明细!$B$26:$Y$26,'实盘净值数据(iFinD）'!$B123:$Y123/'实盘净值数据(iFinD）'!$B$69:$Y$69)+SUMPRODUCT(分期持仓明细!$AC$26:$AD$26,'实盘净值数据(iFinD）'!$Z123:$AA123/'实盘净值数据(iFinD）'!$Z$69:$AA$69)+SUMPRODUCT(分期持仓明细!$AE$26:$AO$26,'实盘净值数据(iFinD）'!$AB123:$AL123/'实盘净值数据(iFinD）'!$AB$69:$AL$69))*(1-实盘持仓初始配置!$Z$10)^(('实盘净值数据(iFinD）'!$A123-'实盘净值数据(iFinD）'!$A$69)/365))</f>
        <v/>
      </c>
      <c r="U123" s="16">
        <f>IF(OR(T122="",T123=""),"",T123/T122-1)</f>
        <v/>
      </c>
      <c r="V123" s="16">
        <f>IF(T123="","",T123/MAX(T$5:T123)-1)</f>
        <v/>
      </c>
    </row>
    <row r="124" spans="1:19">
      <c r="A124" s="15" t="str">
        <f>IF('实盘净值数据(iFinD）'!A124="","",'实盘净值数据(iFinD）'!A124)</f>
        <v/>
      </c>
      <c r="B124" s="13" t="str">
        <f>IF(OR('实盘净值数据(iFinD）'!$A124="",'实盘净值数据(iFinD）'!$B124=""),"",分期持仓明细!$AB$17*SUMPRODUCT(分期持仓明细!$B$17:$Y$17,'实盘净值数据(iFinD）'!$B124:$Y124/'实盘净值数据(iFinD）'!$B$20:$Y$20)*(1-实盘持仓初始配置!$Z$4)^(('实盘净值数据(iFinD）'!$A124-'实盘净值数据(iFinD）'!$A$6)/365))</f>
        <v/>
      </c>
      <c r="C124" s="16" t="str">
        <f t="shared" ref="C124:C187" si="12">IF(OR(B123="",B124=""),"",B124/B123-1)</f>
        <v/>
      </c>
      <c r="D124" s="16" t="str">
        <f>IF(B124="","",B124/MAX(B$5:B124)-1)</f>
        <v/>
      </c>
      <c r="E124" s="13" t="str">
        <f>IF(OR('实盘净值数据(iFinD）'!$A124="",'实盘净值数据(iFinD）'!$B124=""),"",分期持仓明细!$AB$18*SUMPRODUCT(分期持仓明细!$B$18:$Y$18,'实盘净值数据(iFinD）'!$B124:$Y124/'实盘净值数据(iFinD）'!$B$20:$Y$20)*(1-实盘持仓初始配置!$Z$5)^(('实盘净值数据(iFinD）'!$A124-'实盘净值数据(iFinD）'!$A$5)/365))</f>
        <v/>
      </c>
      <c r="F124" s="16" t="str">
        <f t="shared" ref="F124:F187" si="13">IF(OR(E123="",E124=""),"",E124/E123-1)</f>
        <v/>
      </c>
      <c r="G124" s="16" t="str">
        <f>IF(E124="","",E124/MAX(E$5:E124)-1)</f>
        <v/>
      </c>
      <c r="H124" s="13" t="str">
        <f>IF(OR('实盘净值数据(iFinD）'!$A124="",'实盘净值数据(iFinD）'!$B124=""),"",分期持仓明细!$AB$19*SUMPRODUCT(分期持仓明细!$B$19:$Y$19,'实盘净值数据(iFinD）'!$B124:$Y124/'实盘净值数据(iFinD）'!$B$20:$Y$20)*(1-实盘持仓初始配置!$Z$6)^(('实盘净值数据(iFinD）'!$A124-'实盘净值数据(iFinD）'!$A$7)/365))</f>
        <v/>
      </c>
      <c r="I124" s="16" t="str">
        <f t="shared" ref="I124:I187" si="14">IF(OR(H123="",H124=""),"",H124/H123-1)</f>
        <v/>
      </c>
      <c r="J124" s="16" t="str">
        <f>IF(H124="","",H124/MAX(H$5:H124)-1)</f>
        <v/>
      </c>
      <c r="K124" s="13" t="str">
        <f>IF(OR('实盘净值数据(iFinD）'!$A124="",'实盘净值数据(iFinD）'!$B124="",'实盘净值数据(iFinD）'!$Z124="",'实盘净值数据(iFinD）'!$AA124=""),"",分期持仓明细!$AB$23*(SUMPRODUCT(分期持仓明细!$B$23:$Y$23,'实盘净值数据(iFinD）'!$B124:$Y124/'实盘净值数据(iFinD）'!$B$65:$Y$65)+SUMPRODUCT(分期持仓明细!$AC$23:$AD$23,'实盘净值数据(iFinD）'!$Z124:$AA124/'实盘净值数据(iFinD）'!$Z$65:$AA$65))*(1-实盘持仓初始配置!$Z$7)^(('实盘净值数据(iFinD）'!$A124-'实盘净值数据(iFinD）'!$A$8)/365))</f>
        <v/>
      </c>
      <c r="L124" s="16" t="str">
        <f t="shared" ref="L124:L187" si="15">IF(OR(K123="",K124=""),"",K124/K123-1)</f>
        <v/>
      </c>
      <c r="M124" s="16" t="str">
        <f>IF(K124="","",K124/MAX(K$5:K124)-1)</f>
        <v/>
      </c>
      <c r="N124" s="13" t="str">
        <f>IF(OR('实盘净值数据(iFinD）'!$A124="",'实盘净值数据(iFinD）'!$B124="",'实盘净值数据(iFinD）'!$Z124="",'实盘净值数据(iFinD）'!$AA124=""),"",分期持仓明细!$AB$24*(SUMPRODUCT(分期持仓明细!$B$24:$Y$24,'实盘净值数据(iFinD）'!$B124:$Y124/'实盘净值数据(iFinD）'!$B$65:$Y$65)+SUMPRODUCT(分期持仓明细!$AC$24:$AD$24,'实盘净值数据(iFinD）'!$Z124:$AA124/'实盘净值数据(iFinD）'!$Z$65:$AA$65))*(1-实盘持仓初始配置!$Z$8)^(('实盘净值数据(iFinD）'!$A124-'实盘净值数据(iFinD）'!$A$5)/365))</f>
        <v/>
      </c>
      <c r="O124" s="16" t="str">
        <f t="shared" ref="O124:O187" si="16">IF(OR(N123="",N124=""),"",N124/N123-1)</f>
        <v/>
      </c>
      <c r="P124" s="16" t="str">
        <f>IF(N124="","",N124/MAX(N$5:N124)-1)</f>
        <v/>
      </c>
      <c r="Q124" s="13" t="str">
        <f>IF(OR('实盘净值数据(iFinD）'!$A124="",'实盘净值数据(iFinD）'!$B124="",'实盘净值数据(iFinD）'!$Z124="",'实盘净值数据(iFinD）'!$AA124=""),"",分期持仓明细!$AB$25*(SUMPRODUCT(分期持仓明细!$B$25:$Y$25,'实盘净值数据(iFinD）'!$B124:$Y124/'实盘净值数据(iFinD）'!$B$65:$Y$65)+SUMPRODUCT(分期持仓明细!$AC$25:$AD$25,'实盘净值数据(iFinD）'!$Z124:$AA124/'实盘净值数据(iFinD）'!$Z$65:$AA$65))*(1-实盘持仓初始配置!$Z$9)^(('实盘净值数据(iFinD）'!$A124-'实盘净值数据(iFinD）'!$A$8)/365))</f>
        <v/>
      </c>
      <c r="R124" s="16" t="str">
        <f t="shared" ref="R124:R187" si="17">IF(OR(Q123="",Q124=""),"",Q124/Q123-1)</f>
        <v/>
      </c>
      <c r="S124" s="16" t="str">
        <f>IF(Q124="","",Q124/MAX(Q$5:Q124)-1)</f>
        <v/>
      </c>
      <c r="T124" s="13">
        <f>IF(OR('实盘净值数据(iFinD）'!$A124="",'实盘净值数据(iFinD）'!$B124="",'实盘净值数据(iFinD）'!$Z124="",'实盘净值数据(iFinD）'!$AA124="",'实盘净值数据(iFinD）'!$AB124="",'实盘净值数据(iFinD）'!$AL124=""),"",(SUMPRODUCT(分期持仓明细!$B$26:$Y$26,'实盘净值数据(iFinD）'!$B124:$Y124/'实盘净值数据(iFinD）'!$B$69:$Y$69)+SUMPRODUCT(分期持仓明细!$AC$26:$AD$26,'实盘净值数据(iFinD）'!$Z124:$AA124/'实盘净值数据(iFinD）'!$Z$69:$AA$69)+SUMPRODUCT(分期持仓明细!$AE$26:$AO$26,'实盘净值数据(iFinD）'!$AB124:$AL124/'实盘净值数据(iFinD）'!$AB$69:$AL$69))*(1-实盘持仓初始配置!$Z$10)^(('实盘净值数据(iFinD）'!$A124-'实盘净值数据(iFinD）'!$A$69)/365))</f>
        <v/>
      </c>
      <c r="U124" s="16">
        <f>IF(OR(T123="",T124=""),"",T124/T123-1)</f>
        <v/>
      </c>
      <c r="V124" s="16">
        <f>IF(T124="","",T124/MAX(T$5:T124)-1)</f>
        <v/>
      </c>
    </row>
    <row r="125" spans="1:19">
      <c r="A125" s="15" t="str">
        <f>IF('实盘净值数据(iFinD）'!A125="","",'实盘净值数据(iFinD）'!A125)</f>
        <v/>
      </c>
      <c r="B125" s="13" t="str">
        <f>IF(OR('实盘净值数据(iFinD）'!$A125="",'实盘净值数据(iFinD）'!$B125=""),"",分期持仓明细!$AB$17*SUMPRODUCT(分期持仓明细!$B$17:$Y$17,'实盘净值数据(iFinD）'!$B125:$Y125/'实盘净值数据(iFinD）'!$B$20:$Y$20)*(1-实盘持仓初始配置!$Z$4)^(('实盘净值数据(iFinD）'!$A125-'实盘净值数据(iFinD）'!$A$6)/365))</f>
        <v/>
      </c>
      <c r="C125" s="16" t="str">
        <f t="shared" si="12"/>
        <v/>
      </c>
      <c r="D125" s="16" t="str">
        <f>IF(B125="","",B125/MAX(B$5:B125)-1)</f>
        <v/>
      </c>
      <c r="E125" s="13" t="str">
        <f>IF(OR('实盘净值数据(iFinD）'!$A125="",'实盘净值数据(iFinD）'!$B125=""),"",分期持仓明细!$AB$18*SUMPRODUCT(分期持仓明细!$B$18:$Y$18,'实盘净值数据(iFinD）'!$B125:$Y125/'实盘净值数据(iFinD）'!$B$20:$Y$20)*(1-实盘持仓初始配置!$Z$5)^(('实盘净值数据(iFinD）'!$A125-'实盘净值数据(iFinD）'!$A$5)/365))</f>
        <v/>
      </c>
      <c r="F125" s="16" t="str">
        <f t="shared" si="13"/>
        <v/>
      </c>
      <c r="G125" s="16" t="str">
        <f>IF(E125="","",E125/MAX(E$5:E125)-1)</f>
        <v/>
      </c>
      <c r="H125" s="13" t="str">
        <f>IF(OR('实盘净值数据(iFinD）'!$A125="",'实盘净值数据(iFinD）'!$B125=""),"",分期持仓明细!$AB$19*SUMPRODUCT(分期持仓明细!$B$19:$Y$19,'实盘净值数据(iFinD）'!$B125:$Y125/'实盘净值数据(iFinD）'!$B$20:$Y$20)*(1-实盘持仓初始配置!$Z$6)^(('实盘净值数据(iFinD）'!$A125-'实盘净值数据(iFinD）'!$A$7)/365))</f>
        <v/>
      </c>
      <c r="I125" s="16" t="str">
        <f t="shared" si="14"/>
        <v/>
      </c>
      <c r="J125" s="16" t="str">
        <f>IF(H125="","",H125/MAX(H$5:H125)-1)</f>
        <v/>
      </c>
      <c r="K125" s="13" t="str">
        <f>IF(OR('实盘净值数据(iFinD）'!$A125="",'实盘净值数据(iFinD）'!$B125="",'实盘净值数据(iFinD）'!$Z125="",'实盘净值数据(iFinD）'!$AA125=""),"",分期持仓明细!$AB$23*(SUMPRODUCT(分期持仓明细!$B$23:$Y$23,'实盘净值数据(iFinD）'!$B125:$Y125/'实盘净值数据(iFinD）'!$B$65:$Y$65)+SUMPRODUCT(分期持仓明细!$AC$23:$AD$23,'实盘净值数据(iFinD）'!$Z125:$AA125/'实盘净值数据(iFinD）'!$Z$65:$AA$65))*(1-实盘持仓初始配置!$Z$7)^(('实盘净值数据(iFinD）'!$A125-'实盘净值数据(iFinD）'!$A$8)/365))</f>
        <v/>
      </c>
      <c r="L125" s="16" t="str">
        <f t="shared" si="15"/>
        <v/>
      </c>
      <c r="M125" s="16" t="str">
        <f>IF(K125="","",K125/MAX(K$5:K125)-1)</f>
        <v/>
      </c>
      <c r="N125" s="13" t="str">
        <f>IF(OR('实盘净值数据(iFinD）'!$A125="",'实盘净值数据(iFinD）'!$B125="",'实盘净值数据(iFinD）'!$Z125="",'实盘净值数据(iFinD）'!$AA125=""),"",分期持仓明细!$AB$24*(SUMPRODUCT(分期持仓明细!$B$24:$Y$24,'实盘净值数据(iFinD）'!$B125:$Y125/'实盘净值数据(iFinD）'!$B$65:$Y$65)+SUMPRODUCT(分期持仓明细!$AC$24:$AD$24,'实盘净值数据(iFinD）'!$Z125:$AA125/'实盘净值数据(iFinD）'!$Z$65:$AA$65))*(1-实盘持仓初始配置!$Z$8)^(('实盘净值数据(iFinD）'!$A125-'实盘净值数据(iFinD）'!$A$5)/365))</f>
        <v/>
      </c>
      <c r="O125" s="16" t="str">
        <f t="shared" si="16"/>
        <v/>
      </c>
      <c r="P125" s="16" t="str">
        <f>IF(N125="","",N125/MAX(N$5:N125)-1)</f>
        <v/>
      </c>
      <c r="Q125" s="13" t="str">
        <f>IF(OR('实盘净值数据(iFinD）'!$A125="",'实盘净值数据(iFinD）'!$B125="",'实盘净值数据(iFinD）'!$Z125="",'实盘净值数据(iFinD）'!$AA125=""),"",分期持仓明细!$AB$25*(SUMPRODUCT(分期持仓明细!$B$25:$Y$25,'实盘净值数据(iFinD）'!$B125:$Y125/'实盘净值数据(iFinD）'!$B$65:$Y$65)+SUMPRODUCT(分期持仓明细!$AC$25:$AD$25,'实盘净值数据(iFinD）'!$Z125:$AA125/'实盘净值数据(iFinD）'!$Z$65:$AA$65))*(1-实盘持仓初始配置!$Z$9)^(('实盘净值数据(iFinD）'!$A125-'实盘净值数据(iFinD）'!$A$8)/365))</f>
        <v/>
      </c>
      <c r="R125" s="16" t="str">
        <f t="shared" si="17"/>
        <v/>
      </c>
      <c r="S125" s="16" t="str">
        <f>IF(Q125="","",Q125/MAX(Q$5:Q125)-1)</f>
        <v/>
      </c>
      <c r="T125" s="13">
        <f>IF(OR('实盘净值数据(iFinD）'!$A125="",'实盘净值数据(iFinD）'!$B125="",'实盘净值数据(iFinD）'!$Z125="",'实盘净值数据(iFinD）'!$AA125="",'实盘净值数据(iFinD）'!$AB125="",'实盘净值数据(iFinD）'!$AL125=""),"",(SUMPRODUCT(分期持仓明细!$B$26:$Y$26,'实盘净值数据(iFinD）'!$B125:$Y125/'实盘净值数据(iFinD）'!$B$69:$Y$69)+SUMPRODUCT(分期持仓明细!$AC$26:$AD$26,'实盘净值数据(iFinD）'!$Z125:$AA125/'实盘净值数据(iFinD）'!$Z$69:$AA$69)+SUMPRODUCT(分期持仓明细!$AE$26:$AO$26,'实盘净值数据(iFinD）'!$AB125:$AL125/'实盘净值数据(iFinD）'!$AB$69:$AL$69))*(1-实盘持仓初始配置!$Z$10)^(('实盘净值数据(iFinD）'!$A125-'实盘净值数据(iFinD）'!$A$69)/365))</f>
        <v/>
      </c>
      <c r="U125" s="16">
        <f>IF(OR(T124="",T125=""),"",T125/T124-1)</f>
        <v/>
      </c>
      <c r="V125" s="16">
        <f>IF(T125="","",T125/MAX(T$5:T125)-1)</f>
        <v/>
      </c>
    </row>
    <row r="126" spans="1:19">
      <c r="A126" s="15" t="str">
        <f>IF('实盘净值数据(iFinD）'!A126="","",'实盘净值数据(iFinD）'!A126)</f>
        <v/>
      </c>
      <c r="B126" s="13" t="str">
        <f>IF(OR('实盘净值数据(iFinD）'!$A126="",'实盘净值数据(iFinD）'!$B126=""),"",分期持仓明细!$AB$17*SUMPRODUCT(分期持仓明细!$B$17:$Y$17,'实盘净值数据(iFinD）'!$B126:$Y126/'实盘净值数据(iFinD）'!$B$20:$Y$20)*(1-实盘持仓初始配置!$Z$4)^(('实盘净值数据(iFinD）'!$A126-'实盘净值数据(iFinD）'!$A$6)/365))</f>
        <v/>
      </c>
      <c r="C126" s="16" t="str">
        <f t="shared" si="12"/>
        <v/>
      </c>
      <c r="D126" s="16" t="str">
        <f>IF(B126="","",B126/MAX(B$5:B126)-1)</f>
        <v/>
      </c>
      <c r="E126" s="13" t="str">
        <f>IF(OR('实盘净值数据(iFinD）'!$A126="",'实盘净值数据(iFinD）'!$B126=""),"",分期持仓明细!$AB$18*SUMPRODUCT(分期持仓明细!$B$18:$Y$18,'实盘净值数据(iFinD）'!$B126:$Y126/'实盘净值数据(iFinD）'!$B$20:$Y$20)*(1-实盘持仓初始配置!$Z$5)^(('实盘净值数据(iFinD）'!$A126-'实盘净值数据(iFinD）'!$A$5)/365))</f>
        <v/>
      </c>
      <c r="F126" s="16" t="str">
        <f t="shared" si="13"/>
        <v/>
      </c>
      <c r="G126" s="16" t="str">
        <f>IF(E126="","",E126/MAX(E$5:E126)-1)</f>
        <v/>
      </c>
      <c r="H126" s="13" t="str">
        <f>IF(OR('实盘净值数据(iFinD）'!$A126="",'实盘净值数据(iFinD）'!$B126=""),"",分期持仓明细!$AB$19*SUMPRODUCT(分期持仓明细!$B$19:$Y$19,'实盘净值数据(iFinD）'!$B126:$Y126/'实盘净值数据(iFinD）'!$B$20:$Y$20)*(1-实盘持仓初始配置!$Z$6)^(('实盘净值数据(iFinD）'!$A126-'实盘净值数据(iFinD）'!$A$7)/365))</f>
        <v/>
      </c>
      <c r="I126" s="16" t="str">
        <f t="shared" si="14"/>
        <v/>
      </c>
      <c r="J126" s="16" t="str">
        <f>IF(H126="","",H126/MAX(H$5:H126)-1)</f>
        <v/>
      </c>
      <c r="K126" s="13" t="str">
        <f>IF(OR('实盘净值数据(iFinD）'!$A126="",'实盘净值数据(iFinD）'!$B126="",'实盘净值数据(iFinD）'!$Z126="",'实盘净值数据(iFinD）'!$AA126=""),"",分期持仓明细!$AB$23*(SUMPRODUCT(分期持仓明细!$B$23:$Y$23,'实盘净值数据(iFinD）'!$B126:$Y126/'实盘净值数据(iFinD）'!$B$65:$Y$65)+SUMPRODUCT(分期持仓明细!$AC$23:$AD$23,'实盘净值数据(iFinD）'!$Z126:$AA126/'实盘净值数据(iFinD）'!$Z$65:$AA$65))*(1-实盘持仓初始配置!$Z$7)^(('实盘净值数据(iFinD）'!$A126-'实盘净值数据(iFinD）'!$A$8)/365))</f>
        <v/>
      </c>
      <c r="L126" s="16" t="str">
        <f t="shared" si="15"/>
        <v/>
      </c>
      <c r="M126" s="16" t="str">
        <f>IF(K126="","",K126/MAX(K$5:K126)-1)</f>
        <v/>
      </c>
      <c r="N126" s="13" t="str">
        <f>IF(OR('实盘净值数据(iFinD）'!$A126="",'实盘净值数据(iFinD）'!$B126="",'实盘净值数据(iFinD）'!$Z126="",'实盘净值数据(iFinD）'!$AA126=""),"",分期持仓明细!$AB$24*(SUMPRODUCT(分期持仓明细!$B$24:$Y$24,'实盘净值数据(iFinD）'!$B126:$Y126/'实盘净值数据(iFinD）'!$B$65:$Y$65)+SUMPRODUCT(分期持仓明细!$AC$24:$AD$24,'实盘净值数据(iFinD）'!$Z126:$AA126/'实盘净值数据(iFinD）'!$Z$65:$AA$65))*(1-实盘持仓初始配置!$Z$8)^(('实盘净值数据(iFinD）'!$A126-'实盘净值数据(iFinD）'!$A$5)/365))</f>
        <v/>
      </c>
      <c r="O126" s="16" t="str">
        <f t="shared" si="16"/>
        <v/>
      </c>
      <c r="P126" s="16" t="str">
        <f>IF(N126="","",N126/MAX(N$5:N126)-1)</f>
        <v/>
      </c>
      <c r="Q126" s="13" t="str">
        <f>IF(OR('实盘净值数据(iFinD）'!$A126="",'实盘净值数据(iFinD）'!$B126="",'实盘净值数据(iFinD）'!$Z126="",'实盘净值数据(iFinD）'!$AA126=""),"",分期持仓明细!$AB$25*(SUMPRODUCT(分期持仓明细!$B$25:$Y$25,'实盘净值数据(iFinD）'!$B126:$Y126/'实盘净值数据(iFinD）'!$B$65:$Y$65)+SUMPRODUCT(分期持仓明细!$AC$25:$AD$25,'实盘净值数据(iFinD）'!$Z126:$AA126/'实盘净值数据(iFinD）'!$Z$65:$AA$65))*(1-实盘持仓初始配置!$Z$9)^(('实盘净值数据(iFinD）'!$A126-'实盘净值数据(iFinD）'!$A$8)/365))</f>
        <v/>
      </c>
      <c r="R126" s="16" t="str">
        <f t="shared" si="17"/>
        <v/>
      </c>
      <c r="S126" s="16" t="str">
        <f>IF(Q126="","",Q126/MAX(Q$5:Q126)-1)</f>
        <v/>
      </c>
      <c r="T126" s="13">
        <f>IF(OR('实盘净值数据(iFinD）'!$A126="",'实盘净值数据(iFinD）'!$B126="",'实盘净值数据(iFinD）'!$Z126="",'实盘净值数据(iFinD）'!$AA126="",'实盘净值数据(iFinD）'!$AB126="",'实盘净值数据(iFinD）'!$AL126=""),"",(SUMPRODUCT(分期持仓明细!$B$26:$Y$26,'实盘净值数据(iFinD）'!$B126:$Y126/'实盘净值数据(iFinD）'!$B$69:$Y$69)+SUMPRODUCT(分期持仓明细!$AC$26:$AD$26,'实盘净值数据(iFinD）'!$Z126:$AA126/'实盘净值数据(iFinD）'!$Z$69:$AA$69)+SUMPRODUCT(分期持仓明细!$AE$26:$AO$26,'实盘净值数据(iFinD）'!$AB126:$AL126/'实盘净值数据(iFinD）'!$AB$69:$AL$69))*(1-实盘持仓初始配置!$Z$10)^(('实盘净值数据(iFinD）'!$A126-'实盘净值数据(iFinD）'!$A$69)/365))</f>
        <v/>
      </c>
      <c r="U126" s="16">
        <f>IF(OR(T125="",T126=""),"",T126/T125-1)</f>
        <v/>
      </c>
      <c r="V126" s="16">
        <f>IF(T126="","",T126/MAX(T$5:T126)-1)</f>
        <v/>
      </c>
    </row>
    <row r="127" spans="1:19">
      <c r="A127" s="15" t="str">
        <f>IF('实盘净值数据(iFinD）'!A127="","",'实盘净值数据(iFinD）'!A127)</f>
        <v/>
      </c>
      <c r="B127" s="13" t="str">
        <f>IF(OR('实盘净值数据(iFinD）'!$A127="",'实盘净值数据(iFinD）'!$B127=""),"",分期持仓明细!$AB$17*SUMPRODUCT(分期持仓明细!$B$17:$Y$17,'实盘净值数据(iFinD）'!$B127:$Y127/'实盘净值数据(iFinD）'!$B$20:$Y$20)*(1-实盘持仓初始配置!$Z$4)^(('实盘净值数据(iFinD）'!$A127-'实盘净值数据(iFinD）'!$A$6)/365))</f>
        <v/>
      </c>
      <c r="C127" s="16" t="str">
        <f t="shared" si="12"/>
        <v/>
      </c>
      <c r="D127" s="16" t="str">
        <f>IF(B127="","",B127/MAX(B$5:B127)-1)</f>
        <v/>
      </c>
      <c r="E127" s="13" t="str">
        <f>IF(OR('实盘净值数据(iFinD）'!$A127="",'实盘净值数据(iFinD）'!$B127=""),"",分期持仓明细!$AB$18*SUMPRODUCT(分期持仓明细!$B$18:$Y$18,'实盘净值数据(iFinD）'!$B127:$Y127/'实盘净值数据(iFinD）'!$B$20:$Y$20)*(1-实盘持仓初始配置!$Z$5)^(('实盘净值数据(iFinD）'!$A127-'实盘净值数据(iFinD）'!$A$5)/365))</f>
        <v/>
      </c>
      <c r="F127" s="16" t="str">
        <f t="shared" si="13"/>
        <v/>
      </c>
      <c r="G127" s="16" t="str">
        <f>IF(E127="","",E127/MAX(E$5:E127)-1)</f>
        <v/>
      </c>
      <c r="H127" s="13" t="str">
        <f>IF(OR('实盘净值数据(iFinD）'!$A127="",'实盘净值数据(iFinD）'!$B127=""),"",分期持仓明细!$AB$19*SUMPRODUCT(分期持仓明细!$B$19:$Y$19,'实盘净值数据(iFinD）'!$B127:$Y127/'实盘净值数据(iFinD）'!$B$20:$Y$20)*(1-实盘持仓初始配置!$Z$6)^(('实盘净值数据(iFinD）'!$A127-'实盘净值数据(iFinD）'!$A$7)/365))</f>
        <v/>
      </c>
      <c r="I127" s="16" t="str">
        <f t="shared" si="14"/>
        <v/>
      </c>
      <c r="J127" s="16" t="str">
        <f>IF(H127="","",H127/MAX(H$5:H127)-1)</f>
        <v/>
      </c>
      <c r="K127" s="13" t="str">
        <f>IF(OR('实盘净值数据(iFinD）'!$A127="",'实盘净值数据(iFinD）'!$B127="",'实盘净值数据(iFinD）'!$Z127="",'实盘净值数据(iFinD）'!$AA127=""),"",分期持仓明细!$AB$23*(SUMPRODUCT(分期持仓明细!$B$23:$Y$23,'实盘净值数据(iFinD）'!$B127:$Y127/'实盘净值数据(iFinD）'!$B$65:$Y$65)+SUMPRODUCT(分期持仓明细!$AC$23:$AD$23,'实盘净值数据(iFinD）'!$Z127:$AA127/'实盘净值数据(iFinD）'!$Z$65:$AA$65))*(1-实盘持仓初始配置!$Z$7)^(('实盘净值数据(iFinD）'!$A127-'实盘净值数据(iFinD）'!$A$8)/365))</f>
        <v/>
      </c>
      <c r="L127" s="16" t="str">
        <f t="shared" si="15"/>
        <v/>
      </c>
      <c r="M127" s="16" t="str">
        <f>IF(K127="","",K127/MAX(K$5:K127)-1)</f>
        <v/>
      </c>
      <c r="N127" s="13" t="str">
        <f>IF(OR('实盘净值数据(iFinD）'!$A127="",'实盘净值数据(iFinD）'!$B127="",'实盘净值数据(iFinD）'!$Z127="",'实盘净值数据(iFinD）'!$AA127=""),"",分期持仓明细!$AB$24*(SUMPRODUCT(分期持仓明细!$B$24:$Y$24,'实盘净值数据(iFinD）'!$B127:$Y127/'实盘净值数据(iFinD）'!$B$65:$Y$65)+SUMPRODUCT(分期持仓明细!$AC$24:$AD$24,'实盘净值数据(iFinD）'!$Z127:$AA127/'实盘净值数据(iFinD）'!$Z$65:$AA$65))*(1-实盘持仓初始配置!$Z$8)^(('实盘净值数据(iFinD）'!$A127-'实盘净值数据(iFinD）'!$A$5)/365))</f>
        <v/>
      </c>
      <c r="O127" s="16" t="str">
        <f t="shared" si="16"/>
        <v/>
      </c>
      <c r="P127" s="16" t="str">
        <f>IF(N127="","",N127/MAX(N$5:N127)-1)</f>
        <v/>
      </c>
      <c r="Q127" s="13" t="str">
        <f>IF(OR('实盘净值数据(iFinD）'!$A127="",'实盘净值数据(iFinD）'!$B127="",'实盘净值数据(iFinD）'!$Z127="",'实盘净值数据(iFinD）'!$AA127=""),"",分期持仓明细!$AB$25*(SUMPRODUCT(分期持仓明细!$B$25:$Y$25,'实盘净值数据(iFinD）'!$B127:$Y127/'实盘净值数据(iFinD）'!$B$65:$Y$65)+SUMPRODUCT(分期持仓明细!$AC$25:$AD$25,'实盘净值数据(iFinD）'!$Z127:$AA127/'实盘净值数据(iFinD）'!$Z$65:$AA$65))*(1-实盘持仓初始配置!$Z$9)^(('实盘净值数据(iFinD）'!$A127-'实盘净值数据(iFinD）'!$A$8)/365))</f>
        <v/>
      </c>
      <c r="R127" s="16" t="str">
        <f t="shared" si="17"/>
        <v/>
      </c>
      <c r="S127" s="16" t="str">
        <f>IF(Q127="","",Q127/MAX(Q$5:Q127)-1)</f>
        <v/>
      </c>
      <c r="T127" s="13">
        <f>IF(OR('实盘净值数据(iFinD）'!$A127="",'实盘净值数据(iFinD）'!$B127="",'实盘净值数据(iFinD）'!$Z127="",'实盘净值数据(iFinD）'!$AA127="",'实盘净值数据(iFinD）'!$AB127="",'实盘净值数据(iFinD）'!$AL127=""),"",(SUMPRODUCT(分期持仓明细!$B$26:$Y$26,'实盘净值数据(iFinD）'!$B127:$Y127/'实盘净值数据(iFinD）'!$B$69:$Y$69)+SUMPRODUCT(分期持仓明细!$AC$26:$AD$26,'实盘净值数据(iFinD）'!$Z127:$AA127/'实盘净值数据(iFinD）'!$Z$69:$AA$69)+SUMPRODUCT(分期持仓明细!$AE$26:$AO$26,'实盘净值数据(iFinD）'!$AB127:$AL127/'实盘净值数据(iFinD）'!$AB$69:$AL$69))*(1-实盘持仓初始配置!$Z$10)^(('实盘净值数据(iFinD）'!$A127-'实盘净值数据(iFinD）'!$A$69)/365))</f>
        <v/>
      </c>
      <c r="U127" s="16">
        <f>IF(OR(T126="",T127=""),"",T127/T126-1)</f>
        <v/>
      </c>
      <c r="V127" s="16">
        <f>IF(T127="","",T127/MAX(T$5:T127)-1)</f>
        <v/>
      </c>
    </row>
    <row r="128" spans="1:19">
      <c r="A128" s="15" t="str">
        <f>IF('实盘净值数据(iFinD）'!A128="","",'实盘净值数据(iFinD）'!A128)</f>
        <v/>
      </c>
      <c r="B128" s="13" t="str">
        <f>IF(OR('实盘净值数据(iFinD）'!$A128="",'实盘净值数据(iFinD）'!$B128=""),"",分期持仓明细!$AB$17*SUMPRODUCT(分期持仓明细!$B$17:$Y$17,'实盘净值数据(iFinD）'!$B128:$Y128/'实盘净值数据(iFinD）'!$B$20:$Y$20)*(1-实盘持仓初始配置!$Z$4)^(('实盘净值数据(iFinD）'!$A128-'实盘净值数据(iFinD）'!$A$6)/365))</f>
        <v/>
      </c>
      <c r="C128" s="16" t="str">
        <f t="shared" si="12"/>
        <v/>
      </c>
      <c r="D128" s="16" t="str">
        <f>IF(B128="","",B128/MAX(B$5:B128)-1)</f>
        <v/>
      </c>
      <c r="E128" s="13" t="str">
        <f>IF(OR('实盘净值数据(iFinD）'!$A128="",'实盘净值数据(iFinD）'!$B128=""),"",分期持仓明细!$AB$18*SUMPRODUCT(分期持仓明细!$B$18:$Y$18,'实盘净值数据(iFinD）'!$B128:$Y128/'实盘净值数据(iFinD）'!$B$20:$Y$20)*(1-实盘持仓初始配置!$Z$5)^(('实盘净值数据(iFinD）'!$A128-'实盘净值数据(iFinD）'!$A$5)/365))</f>
        <v/>
      </c>
      <c r="F128" s="16" t="str">
        <f t="shared" si="13"/>
        <v/>
      </c>
      <c r="G128" s="16" t="str">
        <f>IF(E128="","",E128/MAX(E$5:E128)-1)</f>
        <v/>
      </c>
      <c r="H128" s="13" t="str">
        <f>IF(OR('实盘净值数据(iFinD）'!$A128="",'实盘净值数据(iFinD）'!$B128=""),"",分期持仓明细!$AB$19*SUMPRODUCT(分期持仓明细!$B$19:$Y$19,'实盘净值数据(iFinD）'!$B128:$Y128/'实盘净值数据(iFinD）'!$B$20:$Y$20)*(1-实盘持仓初始配置!$Z$6)^(('实盘净值数据(iFinD）'!$A128-'实盘净值数据(iFinD）'!$A$7)/365))</f>
        <v/>
      </c>
      <c r="I128" s="16" t="str">
        <f t="shared" si="14"/>
        <v/>
      </c>
      <c r="J128" s="16" t="str">
        <f>IF(H128="","",H128/MAX(H$5:H128)-1)</f>
        <v/>
      </c>
      <c r="K128" s="13" t="str">
        <f>IF(OR('实盘净值数据(iFinD）'!$A128="",'实盘净值数据(iFinD）'!$B128="",'实盘净值数据(iFinD）'!$Z128="",'实盘净值数据(iFinD）'!$AA128=""),"",分期持仓明细!$AB$23*(SUMPRODUCT(分期持仓明细!$B$23:$Y$23,'实盘净值数据(iFinD）'!$B128:$Y128/'实盘净值数据(iFinD）'!$B$65:$Y$65)+SUMPRODUCT(分期持仓明细!$AC$23:$AD$23,'实盘净值数据(iFinD）'!$Z128:$AA128/'实盘净值数据(iFinD）'!$Z$65:$AA$65))*(1-实盘持仓初始配置!$Z$7)^(('实盘净值数据(iFinD）'!$A128-'实盘净值数据(iFinD）'!$A$8)/365))</f>
        <v/>
      </c>
      <c r="L128" s="16" t="str">
        <f t="shared" si="15"/>
        <v/>
      </c>
      <c r="M128" s="16" t="str">
        <f>IF(K128="","",K128/MAX(K$5:K128)-1)</f>
        <v/>
      </c>
      <c r="N128" s="13" t="str">
        <f>IF(OR('实盘净值数据(iFinD）'!$A128="",'实盘净值数据(iFinD）'!$B128="",'实盘净值数据(iFinD）'!$Z128="",'实盘净值数据(iFinD）'!$AA128=""),"",分期持仓明细!$AB$24*(SUMPRODUCT(分期持仓明细!$B$24:$Y$24,'实盘净值数据(iFinD）'!$B128:$Y128/'实盘净值数据(iFinD）'!$B$65:$Y$65)+SUMPRODUCT(分期持仓明细!$AC$24:$AD$24,'实盘净值数据(iFinD）'!$Z128:$AA128/'实盘净值数据(iFinD）'!$Z$65:$AA$65))*(1-实盘持仓初始配置!$Z$8)^(('实盘净值数据(iFinD）'!$A128-'实盘净值数据(iFinD）'!$A$5)/365))</f>
        <v/>
      </c>
      <c r="O128" s="16" t="str">
        <f t="shared" si="16"/>
        <v/>
      </c>
      <c r="P128" s="16" t="str">
        <f>IF(N128="","",N128/MAX(N$5:N128)-1)</f>
        <v/>
      </c>
      <c r="Q128" s="13" t="str">
        <f>IF(OR('实盘净值数据(iFinD）'!$A128="",'实盘净值数据(iFinD）'!$B128="",'实盘净值数据(iFinD）'!$Z128="",'实盘净值数据(iFinD）'!$AA128=""),"",分期持仓明细!$AB$25*(SUMPRODUCT(分期持仓明细!$B$25:$Y$25,'实盘净值数据(iFinD）'!$B128:$Y128/'实盘净值数据(iFinD）'!$B$65:$Y$65)+SUMPRODUCT(分期持仓明细!$AC$25:$AD$25,'实盘净值数据(iFinD）'!$Z128:$AA128/'实盘净值数据(iFinD）'!$Z$65:$AA$65))*(1-实盘持仓初始配置!$Z$9)^(('实盘净值数据(iFinD）'!$A128-'实盘净值数据(iFinD）'!$A$8)/365))</f>
        <v/>
      </c>
      <c r="R128" s="16" t="str">
        <f t="shared" si="17"/>
        <v/>
      </c>
      <c r="S128" s="16" t="str">
        <f>IF(Q128="","",Q128/MAX(Q$5:Q128)-1)</f>
        <v/>
      </c>
      <c r="T128" s="13">
        <f>IF(OR('实盘净值数据(iFinD）'!$A128="",'实盘净值数据(iFinD）'!$B128="",'实盘净值数据(iFinD）'!$Z128="",'实盘净值数据(iFinD）'!$AA128="",'实盘净值数据(iFinD）'!$AB128="",'实盘净值数据(iFinD）'!$AL128=""),"",(SUMPRODUCT(分期持仓明细!$B$26:$Y$26,'实盘净值数据(iFinD）'!$B128:$Y128/'实盘净值数据(iFinD）'!$B$69:$Y$69)+SUMPRODUCT(分期持仓明细!$AC$26:$AD$26,'实盘净值数据(iFinD）'!$Z128:$AA128/'实盘净值数据(iFinD）'!$Z$69:$AA$69)+SUMPRODUCT(分期持仓明细!$AE$26:$AO$26,'实盘净值数据(iFinD）'!$AB128:$AL128/'实盘净值数据(iFinD）'!$AB$69:$AL$69))*(1-实盘持仓初始配置!$Z$10)^(('实盘净值数据(iFinD）'!$A128-'实盘净值数据(iFinD）'!$A$69)/365))</f>
        <v/>
      </c>
      <c r="U128" s="16">
        <f>IF(OR(T127="",T128=""),"",T128/T127-1)</f>
        <v/>
      </c>
      <c r="V128" s="16">
        <f>IF(T128="","",T128/MAX(T$5:T128)-1)</f>
        <v/>
      </c>
    </row>
    <row r="129" spans="1:19">
      <c r="A129" s="15" t="str">
        <f>IF('实盘净值数据(iFinD）'!A129="","",'实盘净值数据(iFinD）'!A129)</f>
        <v/>
      </c>
      <c r="B129" s="13" t="str">
        <f>IF(OR('实盘净值数据(iFinD）'!$A129="",'实盘净值数据(iFinD）'!$B129=""),"",分期持仓明细!$AB$17*SUMPRODUCT(分期持仓明细!$B$17:$Y$17,'实盘净值数据(iFinD）'!$B129:$Y129/'实盘净值数据(iFinD）'!$B$20:$Y$20)*(1-实盘持仓初始配置!$Z$4)^(('实盘净值数据(iFinD）'!$A129-'实盘净值数据(iFinD）'!$A$6)/365))</f>
        <v/>
      </c>
      <c r="C129" s="16" t="str">
        <f t="shared" si="12"/>
        <v/>
      </c>
      <c r="D129" s="16" t="str">
        <f>IF(B129="","",B129/MAX(B$5:B129)-1)</f>
        <v/>
      </c>
      <c r="E129" s="13" t="str">
        <f>IF(OR('实盘净值数据(iFinD）'!$A129="",'实盘净值数据(iFinD）'!$B129=""),"",分期持仓明细!$AB$18*SUMPRODUCT(分期持仓明细!$B$18:$Y$18,'实盘净值数据(iFinD）'!$B129:$Y129/'实盘净值数据(iFinD）'!$B$20:$Y$20)*(1-实盘持仓初始配置!$Z$5)^(('实盘净值数据(iFinD）'!$A129-'实盘净值数据(iFinD）'!$A$5)/365))</f>
        <v/>
      </c>
      <c r="F129" s="16" t="str">
        <f t="shared" si="13"/>
        <v/>
      </c>
      <c r="G129" s="16" t="str">
        <f>IF(E129="","",E129/MAX(E$5:E129)-1)</f>
        <v/>
      </c>
      <c r="H129" s="13" t="str">
        <f>IF(OR('实盘净值数据(iFinD）'!$A129="",'实盘净值数据(iFinD）'!$B129=""),"",分期持仓明细!$AB$19*SUMPRODUCT(分期持仓明细!$B$19:$Y$19,'实盘净值数据(iFinD）'!$B129:$Y129/'实盘净值数据(iFinD）'!$B$20:$Y$20)*(1-实盘持仓初始配置!$Z$6)^(('实盘净值数据(iFinD）'!$A129-'实盘净值数据(iFinD）'!$A$7)/365))</f>
        <v/>
      </c>
      <c r="I129" s="16" t="str">
        <f t="shared" si="14"/>
        <v/>
      </c>
      <c r="J129" s="16" t="str">
        <f>IF(H129="","",H129/MAX(H$5:H129)-1)</f>
        <v/>
      </c>
      <c r="K129" s="13" t="str">
        <f>IF(OR('实盘净值数据(iFinD）'!$A129="",'实盘净值数据(iFinD）'!$B129="",'实盘净值数据(iFinD）'!$Z129="",'实盘净值数据(iFinD）'!$AA129=""),"",分期持仓明细!$AB$23*(SUMPRODUCT(分期持仓明细!$B$23:$Y$23,'实盘净值数据(iFinD）'!$B129:$Y129/'实盘净值数据(iFinD）'!$B$65:$Y$65)+SUMPRODUCT(分期持仓明细!$AC$23:$AD$23,'实盘净值数据(iFinD）'!$Z129:$AA129/'实盘净值数据(iFinD）'!$Z$65:$AA$65))*(1-实盘持仓初始配置!$Z$7)^(('实盘净值数据(iFinD）'!$A129-'实盘净值数据(iFinD）'!$A$8)/365))</f>
        <v/>
      </c>
      <c r="L129" s="16" t="str">
        <f t="shared" si="15"/>
        <v/>
      </c>
      <c r="M129" s="16" t="str">
        <f>IF(K129="","",K129/MAX(K$5:K129)-1)</f>
        <v/>
      </c>
      <c r="N129" s="13" t="str">
        <f>IF(OR('实盘净值数据(iFinD）'!$A129="",'实盘净值数据(iFinD）'!$B129="",'实盘净值数据(iFinD）'!$Z129="",'实盘净值数据(iFinD）'!$AA129=""),"",分期持仓明细!$AB$24*(SUMPRODUCT(分期持仓明细!$B$24:$Y$24,'实盘净值数据(iFinD）'!$B129:$Y129/'实盘净值数据(iFinD）'!$B$65:$Y$65)+SUMPRODUCT(分期持仓明细!$AC$24:$AD$24,'实盘净值数据(iFinD）'!$Z129:$AA129/'实盘净值数据(iFinD）'!$Z$65:$AA$65))*(1-实盘持仓初始配置!$Z$8)^(('实盘净值数据(iFinD）'!$A129-'实盘净值数据(iFinD）'!$A$5)/365))</f>
        <v/>
      </c>
      <c r="O129" s="16" t="str">
        <f t="shared" si="16"/>
        <v/>
      </c>
      <c r="P129" s="16" t="str">
        <f>IF(N129="","",N129/MAX(N$5:N129)-1)</f>
        <v/>
      </c>
      <c r="Q129" s="13" t="str">
        <f>IF(OR('实盘净值数据(iFinD）'!$A129="",'实盘净值数据(iFinD）'!$B129="",'实盘净值数据(iFinD）'!$Z129="",'实盘净值数据(iFinD）'!$AA129=""),"",分期持仓明细!$AB$25*(SUMPRODUCT(分期持仓明细!$B$25:$Y$25,'实盘净值数据(iFinD）'!$B129:$Y129/'实盘净值数据(iFinD）'!$B$65:$Y$65)+SUMPRODUCT(分期持仓明细!$AC$25:$AD$25,'实盘净值数据(iFinD）'!$Z129:$AA129/'实盘净值数据(iFinD）'!$Z$65:$AA$65))*(1-实盘持仓初始配置!$Z$9)^(('实盘净值数据(iFinD）'!$A129-'实盘净值数据(iFinD）'!$A$8)/365))</f>
        <v/>
      </c>
      <c r="R129" s="16" t="str">
        <f t="shared" si="17"/>
        <v/>
      </c>
      <c r="S129" s="16" t="str">
        <f>IF(Q129="","",Q129/MAX(Q$5:Q129)-1)</f>
        <v/>
      </c>
      <c r="T129" s="13">
        <f>IF(OR('实盘净值数据(iFinD）'!$A129="",'实盘净值数据(iFinD）'!$B129="",'实盘净值数据(iFinD）'!$Z129="",'实盘净值数据(iFinD）'!$AA129="",'实盘净值数据(iFinD）'!$AB129="",'实盘净值数据(iFinD）'!$AL129=""),"",(SUMPRODUCT(分期持仓明细!$B$26:$Y$26,'实盘净值数据(iFinD）'!$B129:$Y129/'实盘净值数据(iFinD）'!$B$69:$Y$69)+SUMPRODUCT(分期持仓明细!$AC$26:$AD$26,'实盘净值数据(iFinD）'!$Z129:$AA129/'实盘净值数据(iFinD）'!$Z$69:$AA$69)+SUMPRODUCT(分期持仓明细!$AE$26:$AO$26,'实盘净值数据(iFinD）'!$AB129:$AL129/'实盘净值数据(iFinD）'!$AB$69:$AL$69))*(1-实盘持仓初始配置!$Z$10)^(('实盘净值数据(iFinD）'!$A129-'实盘净值数据(iFinD）'!$A$69)/365))</f>
        <v/>
      </c>
      <c r="U129" s="16">
        <f>IF(OR(T128="",T129=""),"",T129/T128-1)</f>
        <v/>
      </c>
      <c r="V129" s="16">
        <f>IF(T129="","",T129/MAX(T$5:T129)-1)</f>
        <v/>
      </c>
    </row>
    <row r="130" spans="1:19">
      <c r="A130" s="15" t="str">
        <f>IF('实盘净值数据(iFinD）'!A130="","",'实盘净值数据(iFinD）'!A130)</f>
        <v/>
      </c>
      <c r="B130" s="13" t="str">
        <f>IF(OR('实盘净值数据(iFinD）'!$A130="",'实盘净值数据(iFinD）'!$B130=""),"",分期持仓明细!$AB$17*SUMPRODUCT(分期持仓明细!$B$17:$Y$17,'实盘净值数据(iFinD）'!$B130:$Y130/'实盘净值数据(iFinD）'!$B$20:$Y$20)*(1-实盘持仓初始配置!$Z$4)^(('实盘净值数据(iFinD）'!$A130-'实盘净值数据(iFinD）'!$A$6)/365))</f>
        <v/>
      </c>
      <c r="C130" s="16" t="str">
        <f t="shared" si="12"/>
        <v/>
      </c>
      <c r="D130" s="16" t="str">
        <f>IF(B130="","",B130/MAX(B$5:B130)-1)</f>
        <v/>
      </c>
      <c r="E130" s="13" t="str">
        <f>IF(OR('实盘净值数据(iFinD）'!$A130="",'实盘净值数据(iFinD）'!$B130=""),"",分期持仓明细!$AB$18*SUMPRODUCT(分期持仓明细!$B$18:$Y$18,'实盘净值数据(iFinD）'!$B130:$Y130/'实盘净值数据(iFinD）'!$B$20:$Y$20)*(1-实盘持仓初始配置!$Z$5)^(('实盘净值数据(iFinD）'!$A130-'实盘净值数据(iFinD）'!$A$5)/365))</f>
        <v/>
      </c>
      <c r="F130" s="16" t="str">
        <f t="shared" si="13"/>
        <v/>
      </c>
      <c r="G130" s="16" t="str">
        <f>IF(E130="","",E130/MAX(E$5:E130)-1)</f>
        <v/>
      </c>
      <c r="H130" s="13" t="str">
        <f>IF(OR('实盘净值数据(iFinD）'!$A130="",'实盘净值数据(iFinD）'!$B130=""),"",分期持仓明细!$AB$19*SUMPRODUCT(分期持仓明细!$B$19:$Y$19,'实盘净值数据(iFinD）'!$B130:$Y130/'实盘净值数据(iFinD）'!$B$20:$Y$20)*(1-实盘持仓初始配置!$Z$6)^(('实盘净值数据(iFinD）'!$A130-'实盘净值数据(iFinD）'!$A$7)/365))</f>
        <v/>
      </c>
      <c r="I130" s="16" t="str">
        <f t="shared" si="14"/>
        <v/>
      </c>
      <c r="J130" s="16" t="str">
        <f>IF(H130="","",H130/MAX(H$5:H130)-1)</f>
        <v/>
      </c>
      <c r="K130" s="13" t="str">
        <f>IF(OR('实盘净值数据(iFinD）'!$A130="",'实盘净值数据(iFinD）'!$B130="",'实盘净值数据(iFinD）'!$Z130="",'实盘净值数据(iFinD）'!$AA130=""),"",分期持仓明细!$AB$23*(SUMPRODUCT(分期持仓明细!$B$23:$Y$23,'实盘净值数据(iFinD）'!$B130:$Y130/'实盘净值数据(iFinD）'!$B$65:$Y$65)+SUMPRODUCT(分期持仓明细!$AC$23:$AD$23,'实盘净值数据(iFinD）'!$Z130:$AA130/'实盘净值数据(iFinD）'!$Z$65:$AA$65))*(1-实盘持仓初始配置!$Z$7)^(('实盘净值数据(iFinD）'!$A130-'实盘净值数据(iFinD）'!$A$8)/365))</f>
        <v/>
      </c>
      <c r="L130" s="16" t="str">
        <f t="shared" si="15"/>
        <v/>
      </c>
      <c r="M130" s="16" t="str">
        <f>IF(K130="","",K130/MAX(K$5:K130)-1)</f>
        <v/>
      </c>
      <c r="N130" s="13" t="str">
        <f>IF(OR('实盘净值数据(iFinD）'!$A130="",'实盘净值数据(iFinD）'!$B130="",'实盘净值数据(iFinD）'!$Z130="",'实盘净值数据(iFinD）'!$AA130=""),"",分期持仓明细!$AB$24*(SUMPRODUCT(分期持仓明细!$B$24:$Y$24,'实盘净值数据(iFinD）'!$B130:$Y130/'实盘净值数据(iFinD）'!$B$65:$Y$65)+SUMPRODUCT(分期持仓明细!$AC$24:$AD$24,'实盘净值数据(iFinD）'!$Z130:$AA130/'实盘净值数据(iFinD）'!$Z$65:$AA$65))*(1-实盘持仓初始配置!$Z$8)^(('实盘净值数据(iFinD）'!$A130-'实盘净值数据(iFinD）'!$A$5)/365))</f>
        <v/>
      </c>
      <c r="O130" s="16" t="str">
        <f t="shared" si="16"/>
        <v/>
      </c>
      <c r="P130" s="16" t="str">
        <f>IF(N130="","",N130/MAX(N$5:N130)-1)</f>
        <v/>
      </c>
      <c r="Q130" s="13" t="str">
        <f>IF(OR('实盘净值数据(iFinD）'!$A130="",'实盘净值数据(iFinD）'!$B130="",'实盘净值数据(iFinD）'!$Z130="",'实盘净值数据(iFinD）'!$AA130=""),"",分期持仓明细!$AB$25*(SUMPRODUCT(分期持仓明细!$B$25:$Y$25,'实盘净值数据(iFinD）'!$B130:$Y130/'实盘净值数据(iFinD）'!$B$65:$Y$65)+SUMPRODUCT(分期持仓明细!$AC$25:$AD$25,'实盘净值数据(iFinD）'!$Z130:$AA130/'实盘净值数据(iFinD）'!$Z$65:$AA$65))*(1-实盘持仓初始配置!$Z$9)^(('实盘净值数据(iFinD）'!$A130-'实盘净值数据(iFinD）'!$A$8)/365))</f>
        <v/>
      </c>
      <c r="R130" s="16" t="str">
        <f t="shared" si="17"/>
        <v/>
      </c>
      <c r="S130" s="16" t="str">
        <f>IF(Q130="","",Q130/MAX(Q$5:Q130)-1)</f>
        <v/>
      </c>
      <c r="T130" s="13">
        <f>IF(OR('实盘净值数据(iFinD）'!$A130="",'实盘净值数据(iFinD）'!$B130="",'实盘净值数据(iFinD）'!$Z130="",'实盘净值数据(iFinD）'!$AA130="",'实盘净值数据(iFinD）'!$AB130="",'实盘净值数据(iFinD）'!$AL130=""),"",(SUMPRODUCT(分期持仓明细!$B$26:$Y$26,'实盘净值数据(iFinD）'!$B130:$Y130/'实盘净值数据(iFinD）'!$B$69:$Y$69)+SUMPRODUCT(分期持仓明细!$AC$26:$AD$26,'实盘净值数据(iFinD）'!$Z130:$AA130/'实盘净值数据(iFinD）'!$Z$69:$AA$69)+SUMPRODUCT(分期持仓明细!$AE$26:$AO$26,'实盘净值数据(iFinD）'!$AB130:$AL130/'实盘净值数据(iFinD）'!$AB$69:$AL$69))*(1-实盘持仓初始配置!$Z$10)^(('实盘净值数据(iFinD）'!$A130-'实盘净值数据(iFinD）'!$A$69)/365))</f>
        <v/>
      </c>
      <c r="U130" s="16">
        <f>IF(OR(T129="",T130=""),"",T130/T129-1)</f>
        <v/>
      </c>
      <c r="V130" s="16">
        <f>IF(T130="","",T130/MAX(T$5:T130)-1)</f>
        <v/>
      </c>
    </row>
    <row r="131" spans="1:19">
      <c r="A131" s="15" t="str">
        <f>IF('实盘净值数据(iFinD）'!A131="","",'实盘净值数据(iFinD）'!A131)</f>
        <v/>
      </c>
      <c r="B131" s="13" t="str">
        <f>IF(OR('实盘净值数据(iFinD）'!$A131="",'实盘净值数据(iFinD）'!$B131=""),"",分期持仓明细!$AB$17*SUMPRODUCT(分期持仓明细!$B$17:$Y$17,'实盘净值数据(iFinD）'!$B131:$Y131/'实盘净值数据(iFinD）'!$B$20:$Y$20)*(1-实盘持仓初始配置!$Z$4)^(('实盘净值数据(iFinD）'!$A131-'实盘净值数据(iFinD）'!$A$6)/365))</f>
        <v/>
      </c>
      <c r="C131" s="16" t="str">
        <f t="shared" si="12"/>
        <v/>
      </c>
      <c r="D131" s="16" t="str">
        <f>IF(B131="","",B131/MAX(B$5:B131)-1)</f>
        <v/>
      </c>
      <c r="E131" s="13" t="str">
        <f>IF(OR('实盘净值数据(iFinD）'!$A131="",'实盘净值数据(iFinD）'!$B131=""),"",分期持仓明细!$AB$18*SUMPRODUCT(分期持仓明细!$B$18:$Y$18,'实盘净值数据(iFinD）'!$B131:$Y131/'实盘净值数据(iFinD）'!$B$20:$Y$20)*(1-实盘持仓初始配置!$Z$5)^(('实盘净值数据(iFinD）'!$A131-'实盘净值数据(iFinD）'!$A$5)/365))</f>
        <v/>
      </c>
      <c r="F131" s="16" t="str">
        <f t="shared" si="13"/>
        <v/>
      </c>
      <c r="G131" s="16" t="str">
        <f>IF(E131="","",E131/MAX(E$5:E131)-1)</f>
        <v/>
      </c>
      <c r="H131" s="13" t="str">
        <f>IF(OR('实盘净值数据(iFinD）'!$A131="",'实盘净值数据(iFinD）'!$B131=""),"",分期持仓明细!$AB$19*SUMPRODUCT(分期持仓明细!$B$19:$Y$19,'实盘净值数据(iFinD）'!$B131:$Y131/'实盘净值数据(iFinD）'!$B$20:$Y$20)*(1-实盘持仓初始配置!$Z$6)^(('实盘净值数据(iFinD）'!$A131-'实盘净值数据(iFinD）'!$A$7)/365))</f>
        <v/>
      </c>
      <c r="I131" s="16" t="str">
        <f t="shared" si="14"/>
        <v/>
      </c>
      <c r="J131" s="16" t="str">
        <f>IF(H131="","",H131/MAX(H$5:H131)-1)</f>
        <v/>
      </c>
      <c r="K131" s="13" t="str">
        <f>IF(OR('实盘净值数据(iFinD）'!$A131="",'实盘净值数据(iFinD）'!$B131="",'实盘净值数据(iFinD）'!$Z131="",'实盘净值数据(iFinD）'!$AA131=""),"",分期持仓明细!$AB$23*(SUMPRODUCT(分期持仓明细!$B$23:$Y$23,'实盘净值数据(iFinD）'!$B131:$Y131/'实盘净值数据(iFinD）'!$B$65:$Y$65)+SUMPRODUCT(分期持仓明细!$AC$23:$AD$23,'实盘净值数据(iFinD）'!$Z131:$AA131/'实盘净值数据(iFinD）'!$Z$65:$AA$65))*(1-实盘持仓初始配置!$Z$7)^(('实盘净值数据(iFinD）'!$A131-'实盘净值数据(iFinD）'!$A$8)/365))</f>
        <v/>
      </c>
      <c r="L131" s="16" t="str">
        <f t="shared" si="15"/>
        <v/>
      </c>
      <c r="M131" s="16" t="str">
        <f>IF(K131="","",K131/MAX(K$5:K131)-1)</f>
        <v/>
      </c>
      <c r="N131" s="13" t="str">
        <f>IF(OR('实盘净值数据(iFinD）'!$A131="",'实盘净值数据(iFinD）'!$B131="",'实盘净值数据(iFinD）'!$Z131="",'实盘净值数据(iFinD）'!$AA131=""),"",分期持仓明细!$AB$24*(SUMPRODUCT(分期持仓明细!$B$24:$Y$24,'实盘净值数据(iFinD）'!$B131:$Y131/'实盘净值数据(iFinD）'!$B$65:$Y$65)+SUMPRODUCT(分期持仓明细!$AC$24:$AD$24,'实盘净值数据(iFinD）'!$Z131:$AA131/'实盘净值数据(iFinD）'!$Z$65:$AA$65))*(1-实盘持仓初始配置!$Z$8)^(('实盘净值数据(iFinD）'!$A131-'实盘净值数据(iFinD）'!$A$5)/365))</f>
        <v/>
      </c>
      <c r="O131" s="16" t="str">
        <f t="shared" si="16"/>
        <v/>
      </c>
      <c r="P131" s="16" t="str">
        <f>IF(N131="","",N131/MAX(N$5:N131)-1)</f>
        <v/>
      </c>
      <c r="Q131" s="13" t="str">
        <f>IF(OR('实盘净值数据(iFinD）'!$A131="",'实盘净值数据(iFinD）'!$B131="",'实盘净值数据(iFinD）'!$Z131="",'实盘净值数据(iFinD）'!$AA131=""),"",分期持仓明细!$AB$25*(SUMPRODUCT(分期持仓明细!$B$25:$Y$25,'实盘净值数据(iFinD）'!$B131:$Y131/'实盘净值数据(iFinD）'!$B$65:$Y$65)+SUMPRODUCT(分期持仓明细!$AC$25:$AD$25,'实盘净值数据(iFinD）'!$Z131:$AA131/'实盘净值数据(iFinD）'!$Z$65:$AA$65))*(1-实盘持仓初始配置!$Z$9)^(('实盘净值数据(iFinD）'!$A131-'实盘净值数据(iFinD）'!$A$8)/365))</f>
        <v/>
      </c>
      <c r="R131" s="16" t="str">
        <f t="shared" si="17"/>
        <v/>
      </c>
      <c r="S131" s="16" t="str">
        <f>IF(Q131="","",Q131/MAX(Q$5:Q131)-1)</f>
        <v/>
      </c>
      <c r="T131" s="13">
        <f>IF(OR('实盘净值数据(iFinD）'!$A131="",'实盘净值数据(iFinD）'!$B131="",'实盘净值数据(iFinD）'!$Z131="",'实盘净值数据(iFinD）'!$AA131="",'实盘净值数据(iFinD）'!$AB131="",'实盘净值数据(iFinD）'!$AL131=""),"",(SUMPRODUCT(分期持仓明细!$B$26:$Y$26,'实盘净值数据(iFinD）'!$B131:$Y131/'实盘净值数据(iFinD）'!$B$69:$Y$69)+SUMPRODUCT(分期持仓明细!$AC$26:$AD$26,'实盘净值数据(iFinD）'!$Z131:$AA131/'实盘净值数据(iFinD）'!$Z$69:$AA$69)+SUMPRODUCT(分期持仓明细!$AE$26:$AO$26,'实盘净值数据(iFinD）'!$AB131:$AL131/'实盘净值数据(iFinD）'!$AB$69:$AL$69))*(1-实盘持仓初始配置!$Z$10)^(('实盘净值数据(iFinD）'!$A131-'实盘净值数据(iFinD）'!$A$69)/365))</f>
        <v/>
      </c>
      <c r="U131" s="16">
        <f>IF(OR(T130="",T131=""),"",T131/T130-1)</f>
        <v/>
      </c>
      <c r="V131" s="16">
        <f>IF(T131="","",T131/MAX(T$5:T131)-1)</f>
        <v/>
      </c>
    </row>
    <row r="132" spans="1:19">
      <c r="A132" s="15" t="str">
        <f>IF('实盘净值数据(iFinD）'!A132="","",'实盘净值数据(iFinD）'!A132)</f>
        <v/>
      </c>
      <c r="B132" s="13" t="str">
        <f>IF(OR('实盘净值数据(iFinD）'!$A132="",'实盘净值数据(iFinD）'!$B132=""),"",分期持仓明细!$AB$17*SUMPRODUCT(分期持仓明细!$B$17:$Y$17,'实盘净值数据(iFinD）'!$B132:$Y132/'实盘净值数据(iFinD）'!$B$20:$Y$20)*(1-实盘持仓初始配置!$Z$4)^(('实盘净值数据(iFinD）'!$A132-'实盘净值数据(iFinD）'!$A$6)/365))</f>
        <v/>
      </c>
      <c r="C132" s="16" t="str">
        <f t="shared" si="12"/>
        <v/>
      </c>
      <c r="D132" s="16" t="str">
        <f>IF(B132="","",B132/MAX(B$5:B132)-1)</f>
        <v/>
      </c>
      <c r="E132" s="13" t="str">
        <f>IF(OR('实盘净值数据(iFinD）'!$A132="",'实盘净值数据(iFinD）'!$B132=""),"",分期持仓明细!$AB$18*SUMPRODUCT(分期持仓明细!$B$18:$Y$18,'实盘净值数据(iFinD）'!$B132:$Y132/'实盘净值数据(iFinD）'!$B$20:$Y$20)*(1-实盘持仓初始配置!$Z$5)^(('实盘净值数据(iFinD）'!$A132-'实盘净值数据(iFinD）'!$A$5)/365))</f>
        <v/>
      </c>
      <c r="F132" s="16" t="str">
        <f t="shared" si="13"/>
        <v/>
      </c>
      <c r="G132" s="16" t="str">
        <f>IF(E132="","",E132/MAX(E$5:E132)-1)</f>
        <v/>
      </c>
      <c r="H132" s="13" t="str">
        <f>IF(OR('实盘净值数据(iFinD）'!$A132="",'实盘净值数据(iFinD）'!$B132=""),"",分期持仓明细!$AB$19*SUMPRODUCT(分期持仓明细!$B$19:$Y$19,'实盘净值数据(iFinD）'!$B132:$Y132/'实盘净值数据(iFinD）'!$B$20:$Y$20)*(1-实盘持仓初始配置!$Z$6)^(('实盘净值数据(iFinD）'!$A132-'实盘净值数据(iFinD）'!$A$7)/365))</f>
        <v/>
      </c>
      <c r="I132" s="16" t="str">
        <f t="shared" si="14"/>
        <v/>
      </c>
      <c r="J132" s="16" t="str">
        <f>IF(H132="","",H132/MAX(H$5:H132)-1)</f>
        <v/>
      </c>
      <c r="K132" s="13" t="str">
        <f>IF(OR('实盘净值数据(iFinD）'!$A132="",'实盘净值数据(iFinD）'!$B132="",'实盘净值数据(iFinD）'!$Z132="",'实盘净值数据(iFinD）'!$AA132=""),"",分期持仓明细!$AB$23*(SUMPRODUCT(分期持仓明细!$B$23:$Y$23,'实盘净值数据(iFinD）'!$B132:$Y132/'实盘净值数据(iFinD）'!$B$65:$Y$65)+SUMPRODUCT(分期持仓明细!$AC$23:$AD$23,'实盘净值数据(iFinD）'!$Z132:$AA132/'实盘净值数据(iFinD）'!$Z$65:$AA$65))*(1-实盘持仓初始配置!$Z$7)^(('实盘净值数据(iFinD）'!$A132-'实盘净值数据(iFinD）'!$A$8)/365))</f>
        <v/>
      </c>
      <c r="L132" s="16" t="str">
        <f t="shared" si="15"/>
        <v/>
      </c>
      <c r="M132" s="16" t="str">
        <f>IF(K132="","",K132/MAX(K$5:K132)-1)</f>
        <v/>
      </c>
      <c r="N132" s="13" t="str">
        <f>IF(OR('实盘净值数据(iFinD）'!$A132="",'实盘净值数据(iFinD）'!$B132="",'实盘净值数据(iFinD）'!$Z132="",'实盘净值数据(iFinD）'!$AA132=""),"",分期持仓明细!$AB$24*(SUMPRODUCT(分期持仓明细!$B$24:$Y$24,'实盘净值数据(iFinD）'!$B132:$Y132/'实盘净值数据(iFinD）'!$B$65:$Y$65)+SUMPRODUCT(分期持仓明细!$AC$24:$AD$24,'实盘净值数据(iFinD）'!$Z132:$AA132/'实盘净值数据(iFinD）'!$Z$65:$AA$65))*(1-实盘持仓初始配置!$Z$8)^(('实盘净值数据(iFinD）'!$A132-'实盘净值数据(iFinD）'!$A$5)/365))</f>
        <v/>
      </c>
      <c r="O132" s="16" t="str">
        <f t="shared" si="16"/>
        <v/>
      </c>
      <c r="P132" s="16" t="str">
        <f>IF(N132="","",N132/MAX(N$5:N132)-1)</f>
        <v/>
      </c>
      <c r="Q132" s="13" t="str">
        <f>IF(OR('实盘净值数据(iFinD）'!$A132="",'实盘净值数据(iFinD）'!$B132="",'实盘净值数据(iFinD）'!$Z132="",'实盘净值数据(iFinD）'!$AA132=""),"",分期持仓明细!$AB$25*(SUMPRODUCT(分期持仓明细!$B$25:$Y$25,'实盘净值数据(iFinD）'!$B132:$Y132/'实盘净值数据(iFinD）'!$B$65:$Y$65)+SUMPRODUCT(分期持仓明细!$AC$25:$AD$25,'实盘净值数据(iFinD）'!$Z132:$AA132/'实盘净值数据(iFinD）'!$Z$65:$AA$65))*(1-实盘持仓初始配置!$Z$9)^(('实盘净值数据(iFinD）'!$A132-'实盘净值数据(iFinD）'!$A$8)/365))</f>
        <v/>
      </c>
      <c r="R132" s="16" t="str">
        <f t="shared" si="17"/>
        <v/>
      </c>
      <c r="S132" s="16" t="str">
        <f>IF(Q132="","",Q132/MAX(Q$5:Q132)-1)</f>
        <v/>
      </c>
      <c r="T132" s="13">
        <f>IF(OR('实盘净值数据(iFinD）'!$A132="",'实盘净值数据(iFinD）'!$B132="",'实盘净值数据(iFinD）'!$Z132="",'实盘净值数据(iFinD）'!$AA132="",'实盘净值数据(iFinD）'!$AB132="",'实盘净值数据(iFinD）'!$AL132=""),"",(SUMPRODUCT(分期持仓明细!$B$26:$Y$26,'实盘净值数据(iFinD）'!$B132:$Y132/'实盘净值数据(iFinD）'!$B$69:$Y$69)+SUMPRODUCT(分期持仓明细!$AC$26:$AD$26,'实盘净值数据(iFinD）'!$Z132:$AA132/'实盘净值数据(iFinD）'!$Z$69:$AA$69)+SUMPRODUCT(分期持仓明细!$AE$26:$AO$26,'实盘净值数据(iFinD）'!$AB132:$AL132/'实盘净值数据(iFinD）'!$AB$69:$AL$69))*(1-实盘持仓初始配置!$Z$10)^(('实盘净值数据(iFinD）'!$A132-'实盘净值数据(iFinD）'!$A$69)/365))</f>
        <v/>
      </c>
      <c r="U132" s="16">
        <f>IF(OR(T131="",T132=""),"",T132/T131-1)</f>
        <v/>
      </c>
      <c r="V132" s="16">
        <f>IF(T132="","",T132/MAX(T$5:T132)-1)</f>
        <v/>
      </c>
    </row>
    <row r="133" spans="1:19">
      <c r="A133" s="15" t="str">
        <f>IF('实盘净值数据(iFinD）'!A133="","",'实盘净值数据(iFinD）'!A133)</f>
        <v/>
      </c>
      <c r="B133" s="13" t="str">
        <f>IF(OR('实盘净值数据(iFinD）'!$A133="",'实盘净值数据(iFinD）'!$B133=""),"",分期持仓明细!$AB$17*SUMPRODUCT(分期持仓明细!$B$17:$Y$17,'实盘净值数据(iFinD）'!$B133:$Y133/'实盘净值数据(iFinD）'!$B$20:$Y$20)*(1-实盘持仓初始配置!$Z$4)^(('实盘净值数据(iFinD）'!$A133-'实盘净值数据(iFinD）'!$A$6)/365))</f>
        <v/>
      </c>
      <c r="C133" s="16" t="str">
        <f t="shared" si="12"/>
        <v/>
      </c>
      <c r="D133" s="16" t="str">
        <f>IF(B133="","",B133/MAX(B$5:B133)-1)</f>
        <v/>
      </c>
      <c r="E133" s="13" t="str">
        <f>IF(OR('实盘净值数据(iFinD）'!$A133="",'实盘净值数据(iFinD）'!$B133=""),"",分期持仓明细!$AB$18*SUMPRODUCT(分期持仓明细!$B$18:$Y$18,'实盘净值数据(iFinD）'!$B133:$Y133/'实盘净值数据(iFinD）'!$B$20:$Y$20)*(1-实盘持仓初始配置!$Z$5)^(('实盘净值数据(iFinD）'!$A133-'实盘净值数据(iFinD）'!$A$5)/365))</f>
        <v/>
      </c>
      <c r="F133" s="16" t="str">
        <f t="shared" si="13"/>
        <v/>
      </c>
      <c r="G133" s="16" t="str">
        <f>IF(E133="","",E133/MAX(E$5:E133)-1)</f>
        <v/>
      </c>
      <c r="H133" s="13" t="str">
        <f>IF(OR('实盘净值数据(iFinD）'!$A133="",'实盘净值数据(iFinD）'!$B133=""),"",分期持仓明细!$AB$19*SUMPRODUCT(分期持仓明细!$B$19:$Y$19,'实盘净值数据(iFinD）'!$B133:$Y133/'实盘净值数据(iFinD）'!$B$20:$Y$20)*(1-实盘持仓初始配置!$Z$6)^(('实盘净值数据(iFinD）'!$A133-'实盘净值数据(iFinD）'!$A$7)/365))</f>
        <v/>
      </c>
      <c r="I133" s="16" t="str">
        <f t="shared" si="14"/>
        <v/>
      </c>
      <c r="J133" s="16" t="str">
        <f>IF(H133="","",H133/MAX(H$5:H133)-1)</f>
        <v/>
      </c>
      <c r="K133" s="13" t="str">
        <f>IF(OR('实盘净值数据(iFinD）'!$A133="",'实盘净值数据(iFinD）'!$B133="",'实盘净值数据(iFinD）'!$Z133="",'实盘净值数据(iFinD）'!$AA133=""),"",分期持仓明细!$AB$23*(SUMPRODUCT(分期持仓明细!$B$23:$Y$23,'实盘净值数据(iFinD）'!$B133:$Y133/'实盘净值数据(iFinD）'!$B$65:$Y$65)+SUMPRODUCT(分期持仓明细!$AC$23:$AD$23,'实盘净值数据(iFinD）'!$Z133:$AA133/'实盘净值数据(iFinD）'!$Z$65:$AA$65))*(1-实盘持仓初始配置!$Z$7)^(('实盘净值数据(iFinD）'!$A133-'实盘净值数据(iFinD）'!$A$8)/365))</f>
        <v/>
      </c>
      <c r="L133" s="16" t="str">
        <f t="shared" si="15"/>
        <v/>
      </c>
      <c r="M133" s="16" t="str">
        <f>IF(K133="","",K133/MAX(K$5:K133)-1)</f>
        <v/>
      </c>
      <c r="N133" s="13" t="str">
        <f>IF(OR('实盘净值数据(iFinD）'!$A133="",'实盘净值数据(iFinD）'!$B133="",'实盘净值数据(iFinD）'!$Z133="",'实盘净值数据(iFinD）'!$AA133=""),"",分期持仓明细!$AB$24*(SUMPRODUCT(分期持仓明细!$B$24:$Y$24,'实盘净值数据(iFinD）'!$B133:$Y133/'实盘净值数据(iFinD）'!$B$65:$Y$65)+SUMPRODUCT(分期持仓明细!$AC$24:$AD$24,'实盘净值数据(iFinD）'!$Z133:$AA133/'实盘净值数据(iFinD）'!$Z$65:$AA$65))*(1-实盘持仓初始配置!$Z$8)^(('实盘净值数据(iFinD）'!$A133-'实盘净值数据(iFinD）'!$A$5)/365))</f>
        <v/>
      </c>
      <c r="O133" s="16" t="str">
        <f t="shared" si="16"/>
        <v/>
      </c>
      <c r="P133" s="16" t="str">
        <f>IF(N133="","",N133/MAX(N$5:N133)-1)</f>
        <v/>
      </c>
      <c r="Q133" s="13" t="str">
        <f>IF(OR('实盘净值数据(iFinD）'!$A133="",'实盘净值数据(iFinD）'!$B133="",'实盘净值数据(iFinD）'!$Z133="",'实盘净值数据(iFinD）'!$AA133=""),"",分期持仓明细!$AB$25*(SUMPRODUCT(分期持仓明细!$B$25:$Y$25,'实盘净值数据(iFinD）'!$B133:$Y133/'实盘净值数据(iFinD）'!$B$65:$Y$65)+SUMPRODUCT(分期持仓明细!$AC$25:$AD$25,'实盘净值数据(iFinD）'!$Z133:$AA133/'实盘净值数据(iFinD）'!$Z$65:$AA$65))*(1-实盘持仓初始配置!$Z$9)^(('实盘净值数据(iFinD）'!$A133-'实盘净值数据(iFinD）'!$A$8)/365))</f>
        <v/>
      </c>
      <c r="R133" s="16" t="str">
        <f t="shared" si="17"/>
        <v/>
      </c>
      <c r="S133" s="16" t="str">
        <f>IF(Q133="","",Q133/MAX(Q$5:Q133)-1)</f>
        <v/>
      </c>
      <c r="T133" s="13">
        <f>IF(OR('实盘净值数据(iFinD）'!$A133="",'实盘净值数据(iFinD）'!$B133="",'实盘净值数据(iFinD）'!$Z133="",'实盘净值数据(iFinD）'!$AA133="",'实盘净值数据(iFinD）'!$AB133="",'实盘净值数据(iFinD）'!$AL133=""),"",(SUMPRODUCT(分期持仓明细!$B$26:$Y$26,'实盘净值数据(iFinD）'!$B133:$Y133/'实盘净值数据(iFinD）'!$B$69:$Y$69)+SUMPRODUCT(分期持仓明细!$AC$26:$AD$26,'实盘净值数据(iFinD）'!$Z133:$AA133/'实盘净值数据(iFinD）'!$Z$69:$AA$69)+SUMPRODUCT(分期持仓明细!$AE$26:$AO$26,'实盘净值数据(iFinD）'!$AB133:$AL133/'实盘净值数据(iFinD）'!$AB$69:$AL$69))*(1-实盘持仓初始配置!$Z$10)^(('实盘净值数据(iFinD）'!$A133-'实盘净值数据(iFinD）'!$A$69)/365))</f>
        <v/>
      </c>
      <c r="U133" s="16">
        <f>IF(OR(T132="",T133=""),"",T133/T132-1)</f>
        <v/>
      </c>
      <c r="V133" s="16">
        <f>IF(T133="","",T133/MAX(T$5:T133)-1)</f>
        <v/>
      </c>
    </row>
    <row r="134" spans="1:19">
      <c r="A134" s="15" t="str">
        <f>IF('实盘净值数据(iFinD）'!A134="","",'实盘净值数据(iFinD）'!A134)</f>
        <v/>
      </c>
      <c r="B134" s="13" t="str">
        <f>IF(OR('实盘净值数据(iFinD）'!$A134="",'实盘净值数据(iFinD）'!$B134=""),"",分期持仓明细!$AB$17*SUMPRODUCT(分期持仓明细!$B$17:$Y$17,'实盘净值数据(iFinD）'!$B134:$Y134/'实盘净值数据(iFinD）'!$B$20:$Y$20)*(1-实盘持仓初始配置!$Z$4)^(('实盘净值数据(iFinD）'!$A134-'实盘净值数据(iFinD）'!$A$6)/365))</f>
        <v/>
      </c>
      <c r="C134" s="16" t="str">
        <f t="shared" si="12"/>
        <v/>
      </c>
      <c r="D134" s="16" t="str">
        <f>IF(B134="","",B134/MAX(B$5:B134)-1)</f>
        <v/>
      </c>
      <c r="E134" s="13" t="str">
        <f>IF(OR('实盘净值数据(iFinD）'!$A134="",'实盘净值数据(iFinD）'!$B134=""),"",分期持仓明细!$AB$18*SUMPRODUCT(分期持仓明细!$B$18:$Y$18,'实盘净值数据(iFinD）'!$B134:$Y134/'实盘净值数据(iFinD）'!$B$20:$Y$20)*(1-实盘持仓初始配置!$Z$5)^(('实盘净值数据(iFinD）'!$A134-'实盘净值数据(iFinD）'!$A$5)/365))</f>
        <v/>
      </c>
      <c r="F134" s="16" t="str">
        <f t="shared" si="13"/>
        <v/>
      </c>
      <c r="G134" s="16" t="str">
        <f>IF(E134="","",E134/MAX(E$5:E134)-1)</f>
        <v/>
      </c>
      <c r="H134" s="13" t="str">
        <f>IF(OR('实盘净值数据(iFinD）'!$A134="",'实盘净值数据(iFinD）'!$B134=""),"",分期持仓明细!$AB$19*SUMPRODUCT(分期持仓明细!$B$19:$Y$19,'实盘净值数据(iFinD）'!$B134:$Y134/'实盘净值数据(iFinD）'!$B$20:$Y$20)*(1-实盘持仓初始配置!$Z$6)^(('实盘净值数据(iFinD）'!$A134-'实盘净值数据(iFinD）'!$A$7)/365))</f>
        <v/>
      </c>
      <c r="I134" s="16" t="str">
        <f t="shared" si="14"/>
        <v/>
      </c>
      <c r="J134" s="16" t="str">
        <f>IF(H134="","",H134/MAX(H$5:H134)-1)</f>
        <v/>
      </c>
      <c r="K134" s="13" t="str">
        <f>IF(OR('实盘净值数据(iFinD）'!$A134="",'实盘净值数据(iFinD）'!$B134="",'实盘净值数据(iFinD）'!$Z134="",'实盘净值数据(iFinD）'!$AA134=""),"",分期持仓明细!$AB$23*(SUMPRODUCT(分期持仓明细!$B$23:$Y$23,'实盘净值数据(iFinD）'!$B134:$Y134/'实盘净值数据(iFinD）'!$B$65:$Y$65)+SUMPRODUCT(分期持仓明细!$AC$23:$AD$23,'实盘净值数据(iFinD）'!$Z134:$AA134/'实盘净值数据(iFinD）'!$Z$65:$AA$65))*(1-实盘持仓初始配置!$Z$7)^(('实盘净值数据(iFinD）'!$A134-'实盘净值数据(iFinD）'!$A$8)/365))</f>
        <v/>
      </c>
      <c r="L134" s="16" t="str">
        <f t="shared" si="15"/>
        <v/>
      </c>
      <c r="M134" s="16" t="str">
        <f>IF(K134="","",K134/MAX(K$5:K134)-1)</f>
        <v/>
      </c>
      <c r="N134" s="13" t="str">
        <f>IF(OR('实盘净值数据(iFinD）'!$A134="",'实盘净值数据(iFinD）'!$B134="",'实盘净值数据(iFinD）'!$Z134="",'实盘净值数据(iFinD）'!$AA134=""),"",分期持仓明细!$AB$24*(SUMPRODUCT(分期持仓明细!$B$24:$Y$24,'实盘净值数据(iFinD）'!$B134:$Y134/'实盘净值数据(iFinD）'!$B$65:$Y$65)+SUMPRODUCT(分期持仓明细!$AC$24:$AD$24,'实盘净值数据(iFinD）'!$Z134:$AA134/'实盘净值数据(iFinD）'!$Z$65:$AA$65))*(1-实盘持仓初始配置!$Z$8)^(('实盘净值数据(iFinD）'!$A134-'实盘净值数据(iFinD）'!$A$5)/365))</f>
        <v/>
      </c>
      <c r="O134" s="16" t="str">
        <f t="shared" si="16"/>
        <v/>
      </c>
      <c r="P134" s="16" t="str">
        <f>IF(N134="","",N134/MAX(N$5:N134)-1)</f>
        <v/>
      </c>
      <c r="Q134" s="13" t="str">
        <f>IF(OR('实盘净值数据(iFinD）'!$A134="",'实盘净值数据(iFinD）'!$B134="",'实盘净值数据(iFinD）'!$Z134="",'实盘净值数据(iFinD）'!$AA134=""),"",分期持仓明细!$AB$25*(SUMPRODUCT(分期持仓明细!$B$25:$Y$25,'实盘净值数据(iFinD）'!$B134:$Y134/'实盘净值数据(iFinD）'!$B$65:$Y$65)+SUMPRODUCT(分期持仓明细!$AC$25:$AD$25,'实盘净值数据(iFinD）'!$Z134:$AA134/'实盘净值数据(iFinD）'!$Z$65:$AA$65))*(1-实盘持仓初始配置!$Z$9)^(('实盘净值数据(iFinD）'!$A134-'实盘净值数据(iFinD）'!$A$8)/365))</f>
        <v/>
      </c>
      <c r="R134" s="16" t="str">
        <f t="shared" si="17"/>
        <v/>
      </c>
      <c r="S134" s="16" t="str">
        <f>IF(Q134="","",Q134/MAX(Q$5:Q134)-1)</f>
        <v/>
      </c>
      <c r="T134" s="13">
        <f>IF(OR('实盘净值数据(iFinD）'!$A134="",'实盘净值数据(iFinD）'!$B134="",'实盘净值数据(iFinD）'!$Z134="",'实盘净值数据(iFinD）'!$AA134="",'实盘净值数据(iFinD）'!$AB134="",'实盘净值数据(iFinD）'!$AL134=""),"",(SUMPRODUCT(分期持仓明细!$B$26:$Y$26,'实盘净值数据(iFinD）'!$B134:$Y134/'实盘净值数据(iFinD）'!$B$69:$Y$69)+SUMPRODUCT(分期持仓明细!$AC$26:$AD$26,'实盘净值数据(iFinD）'!$Z134:$AA134/'实盘净值数据(iFinD）'!$Z$69:$AA$69)+SUMPRODUCT(分期持仓明细!$AE$26:$AO$26,'实盘净值数据(iFinD）'!$AB134:$AL134/'实盘净值数据(iFinD）'!$AB$69:$AL$69))*(1-实盘持仓初始配置!$Z$10)^(('实盘净值数据(iFinD）'!$A134-'实盘净值数据(iFinD）'!$A$69)/365))</f>
        <v/>
      </c>
      <c r="U134" s="16">
        <f>IF(OR(T133="",T134=""),"",T134/T133-1)</f>
        <v/>
      </c>
      <c r="V134" s="16">
        <f>IF(T134="","",T134/MAX(T$5:T134)-1)</f>
        <v/>
      </c>
    </row>
    <row r="135" spans="1:19">
      <c r="A135" s="15" t="str">
        <f>IF('实盘净值数据(iFinD）'!A135="","",'实盘净值数据(iFinD）'!A135)</f>
        <v/>
      </c>
      <c r="B135" s="13" t="str">
        <f>IF(OR('实盘净值数据(iFinD）'!$A135="",'实盘净值数据(iFinD）'!$B135=""),"",分期持仓明细!$AB$17*SUMPRODUCT(分期持仓明细!$B$17:$Y$17,'实盘净值数据(iFinD）'!$B135:$Y135/'实盘净值数据(iFinD）'!$B$20:$Y$20)*(1-实盘持仓初始配置!$Z$4)^(('实盘净值数据(iFinD）'!$A135-'实盘净值数据(iFinD）'!$A$6)/365))</f>
        <v/>
      </c>
      <c r="C135" s="16" t="str">
        <f t="shared" si="12"/>
        <v/>
      </c>
      <c r="D135" s="16" t="str">
        <f>IF(B135="","",B135/MAX(B$5:B135)-1)</f>
        <v/>
      </c>
      <c r="E135" s="13" t="str">
        <f>IF(OR('实盘净值数据(iFinD）'!$A135="",'实盘净值数据(iFinD）'!$B135=""),"",分期持仓明细!$AB$18*SUMPRODUCT(分期持仓明细!$B$18:$Y$18,'实盘净值数据(iFinD）'!$B135:$Y135/'实盘净值数据(iFinD）'!$B$20:$Y$20)*(1-实盘持仓初始配置!$Z$5)^(('实盘净值数据(iFinD）'!$A135-'实盘净值数据(iFinD）'!$A$5)/365))</f>
        <v/>
      </c>
      <c r="F135" s="16" t="str">
        <f t="shared" si="13"/>
        <v/>
      </c>
      <c r="G135" s="16" t="str">
        <f>IF(E135="","",E135/MAX(E$5:E135)-1)</f>
        <v/>
      </c>
      <c r="H135" s="13" t="str">
        <f>IF(OR('实盘净值数据(iFinD）'!$A135="",'实盘净值数据(iFinD）'!$B135=""),"",分期持仓明细!$AB$19*SUMPRODUCT(分期持仓明细!$B$19:$Y$19,'实盘净值数据(iFinD）'!$B135:$Y135/'实盘净值数据(iFinD）'!$B$20:$Y$20)*(1-实盘持仓初始配置!$Z$6)^(('实盘净值数据(iFinD）'!$A135-'实盘净值数据(iFinD）'!$A$7)/365))</f>
        <v/>
      </c>
      <c r="I135" s="16" t="str">
        <f t="shared" si="14"/>
        <v/>
      </c>
      <c r="J135" s="16" t="str">
        <f>IF(H135="","",H135/MAX(H$5:H135)-1)</f>
        <v/>
      </c>
      <c r="K135" s="13" t="str">
        <f>IF(OR('实盘净值数据(iFinD）'!$A135="",'实盘净值数据(iFinD）'!$B135="",'实盘净值数据(iFinD）'!$Z135="",'实盘净值数据(iFinD）'!$AA135=""),"",分期持仓明细!$AB$23*(SUMPRODUCT(分期持仓明细!$B$23:$Y$23,'实盘净值数据(iFinD）'!$B135:$Y135/'实盘净值数据(iFinD）'!$B$65:$Y$65)+SUMPRODUCT(分期持仓明细!$AC$23:$AD$23,'实盘净值数据(iFinD）'!$Z135:$AA135/'实盘净值数据(iFinD）'!$Z$65:$AA$65))*(1-实盘持仓初始配置!$Z$7)^(('实盘净值数据(iFinD）'!$A135-'实盘净值数据(iFinD）'!$A$8)/365))</f>
        <v/>
      </c>
      <c r="L135" s="16" t="str">
        <f t="shared" si="15"/>
        <v/>
      </c>
      <c r="M135" s="16" t="str">
        <f>IF(K135="","",K135/MAX(K$5:K135)-1)</f>
        <v/>
      </c>
      <c r="N135" s="13" t="str">
        <f>IF(OR('实盘净值数据(iFinD）'!$A135="",'实盘净值数据(iFinD）'!$B135="",'实盘净值数据(iFinD）'!$Z135="",'实盘净值数据(iFinD）'!$AA135=""),"",分期持仓明细!$AB$24*(SUMPRODUCT(分期持仓明细!$B$24:$Y$24,'实盘净值数据(iFinD）'!$B135:$Y135/'实盘净值数据(iFinD）'!$B$65:$Y$65)+SUMPRODUCT(分期持仓明细!$AC$24:$AD$24,'实盘净值数据(iFinD）'!$Z135:$AA135/'实盘净值数据(iFinD）'!$Z$65:$AA$65))*(1-实盘持仓初始配置!$Z$8)^(('实盘净值数据(iFinD）'!$A135-'实盘净值数据(iFinD）'!$A$5)/365))</f>
        <v/>
      </c>
      <c r="O135" s="16" t="str">
        <f t="shared" si="16"/>
        <v/>
      </c>
      <c r="P135" s="16" t="str">
        <f>IF(N135="","",N135/MAX(N$5:N135)-1)</f>
        <v/>
      </c>
      <c r="Q135" s="13" t="str">
        <f>IF(OR('实盘净值数据(iFinD）'!$A135="",'实盘净值数据(iFinD）'!$B135="",'实盘净值数据(iFinD）'!$Z135="",'实盘净值数据(iFinD）'!$AA135=""),"",分期持仓明细!$AB$25*(SUMPRODUCT(分期持仓明细!$B$25:$Y$25,'实盘净值数据(iFinD）'!$B135:$Y135/'实盘净值数据(iFinD）'!$B$65:$Y$65)+SUMPRODUCT(分期持仓明细!$AC$25:$AD$25,'实盘净值数据(iFinD）'!$Z135:$AA135/'实盘净值数据(iFinD）'!$Z$65:$AA$65))*(1-实盘持仓初始配置!$Z$9)^(('实盘净值数据(iFinD）'!$A135-'实盘净值数据(iFinD）'!$A$8)/365))</f>
        <v/>
      </c>
      <c r="R135" s="16" t="str">
        <f t="shared" si="17"/>
        <v/>
      </c>
      <c r="S135" s="16" t="str">
        <f>IF(Q135="","",Q135/MAX(Q$5:Q135)-1)</f>
        <v/>
      </c>
      <c r="T135" s="13">
        <f>IF(OR('实盘净值数据(iFinD）'!$A135="",'实盘净值数据(iFinD）'!$B135="",'实盘净值数据(iFinD）'!$Z135="",'实盘净值数据(iFinD）'!$AA135="",'实盘净值数据(iFinD）'!$AB135="",'实盘净值数据(iFinD）'!$AL135=""),"",(SUMPRODUCT(分期持仓明细!$B$26:$Y$26,'实盘净值数据(iFinD）'!$B135:$Y135/'实盘净值数据(iFinD）'!$B$69:$Y$69)+SUMPRODUCT(分期持仓明细!$AC$26:$AD$26,'实盘净值数据(iFinD）'!$Z135:$AA135/'实盘净值数据(iFinD）'!$Z$69:$AA$69)+SUMPRODUCT(分期持仓明细!$AE$26:$AO$26,'实盘净值数据(iFinD）'!$AB135:$AL135/'实盘净值数据(iFinD）'!$AB$69:$AL$69))*(1-实盘持仓初始配置!$Z$10)^(('实盘净值数据(iFinD）'!$A135-'实盘净值数据(iFinD）'!$A$69)/365))</f>
        <v/>
      </c>
      <c r="U135" s="16">
        <f>IF(OR(T134="",T135=""),"",T135/T134-1)</f>
        <v/>
      </c>
      <c r="V135" s="16">
        <f>IF(T135="","",T135/MAX(T$5:T135)-1)</f>
        <v/>
      </c>
    </row>
    <row r="136" spans="1:19">
      <c r="A136" s="15" t="str">
        <f>IF('实盘净值数据(iFinD）'!A136="","",'实盘净值数据(iFinD）'!A136)</f>
        <v/>
      </c>
      <c r="B136" s="13" t="str">
        <f>IF(OR('实盘净值数据(iFinD）'!$A136="",'实盘净值数据(iFinD）'!$B136=""),"",分期持仓明细!$AB$17*SUMPRODUCT(分期持仓明细!$B$17:$Y$17,'实盘净值数据(iFinD）'!$B136:$Y136/'实盘净值数据(iFinD）'!$B$20:$Y$20)*(1-实盘持仓初始配置!$Z$4)^(('实盘净值数据(iFinD）'!$A136-'实盘净值数据(iFinD）'!$A$6)/365))</f>
        <v/>
      </c>
      <c r="C136" s="16" t="str">
        <f t="shared" si="12"/>
        <v/>
      </c>
      <c r="D136" s="16" t="str">
        <f>IF(B136="","",B136/MAX(B$5:B136)-1)</f>
        <v/>
      </c>
      <c r="E136" s="13" t="str">
        <f>IF(OR('实盘净值数据(iFinD）'!$A136="",'实盘净值数据(iFinD）'!$B136=""),"",分期持仓明细!$AB$18*SUMPRODUCT(分期持仓明细!$B$18:$Y$18,'实盘净值数据(iFinD）'!$B136:$Y136/'实盘净值数据(iFinD）'!$B$20:$Y$20)*(1-实盘持仓初始配置!$Z$5)^(('实盘净值数据(iFinD）'!$A136-'实盘净值数据(iFinD）'!$A$5)/365))</f>
        <v/>
      </c>
      <c r="F136" s="16" t="str">
        <f t="shared" si="13"/>
        <v/>
      </c>
      <c r="G136" s="16" t="str">
        <f>IF(E136="","",E136/MAX(E$5:E136)-1)</f>
        <v/>
      </c>
      <c r="H136" s="13" t="str">
        <f>IF(OR('实盘净值数据(iFinD）'!$A136="",'实盘净值数据(iFinD）'!$B136=""),"",分期持仓明细!$AB$19*SUMPRODUCT(分期持仓明细!$B$19:$Y$19,'实盘净值数据(iFinD）'!$B136:$Y136/'实盘净值数据(iFinD）'!$B$20:$Y$20)*(1-实盘持仓初始配置!$Z$6)^(('实盘净值数据(iFinD）'!$A136-'实盘净值数据(iFinD）'!$A$7)/365))</f>
        <v/>
      </c>
      <c r="I136" s="16" t="str">
        <f t="shared" si="14"/>
        <v/>
      </c>
      <c r="J136" s="16" t="str">
        <f>IF(H136="","",H136/MAX(H$5:H136)-1)</f>
        <v/>
      </c>
      <c r="K136" s="13" t="str">
        <f>IF(OR('实盘净值数据(iFinD）'!$A136="",'实盘净值数据(iFinD）'!$B136="",'实盘净值数据(iFinD）'!$Z136="",'实盘净值数据(iFinD）'!$AA136=""),"",分期持仓明细!$AB$23*(SUMPRODUCT(分期持仓明细!$B$23:$Y$23,'实盘净值数据(iFinD）'!$B136:$Y136/'实盘净值数据(iFinD）'!$B$65:$Y$65)+SUMPRODUCT(分期持仓明细!$AC$23:$AD$23,'实盘净值数据(iFinD）'!$Z136:$AA136/'实盘净值数据(iFinD）'!$Z$65:$AA$65))*(1-实盘持仓初始配置!$Z$7)^(('实盘净值数据(iFinD）'!$A136-'实盘净值数据(iFinD）'!$A$8)/365))</f>
        <v/>
      </c>
      <c r="L136" s="16" t="str">
        <f t="shared" si="15"/>
        <v/>
      </c>
      <c r="M136" s="16" t="str">
        <f>IF(K136="","",K136/MAX(K$5:K136)-1)</f>
        <v/>
      </c>
      <c r="N136" s="13" t="str">
        <f>IF(OR('实盘净值数据(iFinD）'!$A136="",'实盘净值数据(iFinD）'!$B136="",'实盘净值数据(iFinD）'!$Z136="",'实盘净值数据(iFinD）'!$AA136=""),"",分期持仓明细!$AB$24*(SUMPRODUCT(分期持仓明细!$B$24:$Y$24,'实盘净值数据(iFinD）'!$B136:$Y136/'实盘净值数据(iFinD）'!$B$65:$Y$65)+SUMPRODUCT(分期持仓明细!$AC$24:$AD$24,'实盘净值数据(iFinD）'!$Z136:$AA136/'实盘净值数据(iFinD）'!$Z$65:$AA$65))*(1-实盘持仓初始配置!$Z$8)^(('实盘净值数据(iFinD）'!$A136-'实盘净值数据(iFinD）'!$A$5)/365))</f>
        <v/>
      </c>
      <c r="O136" s="16" t="str">
        <f t="shared" si="16"/>
        <v/>
      </c>
      <c r="P136" s="16" t="str">
        <f>IF(N136="","",N136/MAX(N$5:N136)-1)</f>
        <v/>
      </c>
      <c r="Q136" s="13" t="str">
        <f>IF(OR('实盘净值数据(iFinD）'!$A136="",'实盘净值数据(iFinD）'!$B136="",'实盘净值数据(iFinD）'!$Z136="",'实盘净值数据(iFinD）'!$AA136=""),"",分期持仓明细!$AB$25*(SUMPRODUCT(分期持仓明细!$B$25:$Y$25,'实盘净值数据(iFinD）'!$B136:$Y136/'实盘净值数据(iFinD）'!$B$65:$Y$65)+SUMPRODUCT(分期持仓明细!$AC$25:$AD$25,'实盘净值数据(iFinD）'!$Z136:$AA136/'实盘净值数据(iFinD）'!$Z$65:$AA$65))*(1-实盘持仓初始配置!$Z$9)^(('实盘净值数据(iFinD）'!$A136-'实盘净值数据(iFinD）'!$A$8)/365))</f>
        <v/>
      </c>
      <c r="R136" s="16" t="str">
        <f t="shared" si="17"/>
        <v/>
      </c>
      <c r="S136" s="16" t="str">
        <f>IF(Q136="","",Q136/MAX(Q$5:Q136)-1)</f>
        <v/>
      </c>
      <c r="T136" s="13">
        <f>IF(OR('实盘净值数据(iFinD）'!$A136="",'实盘净值数据(iFinD）'!$B136="",'实盘净值数据(iFinD）'!$Z136="",'实盘净值数据(iFinD）'!$AA136="",'实盘净值数据(iFinD）'!$AB136="",'实盘净值数据(iFinD）'!$AL136=""),"",(SUMPRODUCT(分期持仓明细!$B$26:$Y$26,'实盘净值数据(iFinD）'!$B136:$Y136/'实盘净值数据(iFinD）'!$B$69:$Y$69)+SUMPRODUCT(分期持仓明细!$AC$26:$AD$26,'实盘净值数据(iFinD）'!$Z136:$AA136/'实盘净值数据(iFinD）'!$Z$69:$AA$69)+SUMPRODUCT(分期持仓明细!$AE$26:$AO$26,'实盘净值数据(iFinD）'!$AB136:$AL136/'实盘净值数据(iFinD）'!$AB$69:$AL$69))*(1-实盘持仓初始配置!$Z$10)^(('实盘净值数据(iFinD）'!$A136-'实盘净值数据(iFinD）'!$A$69)/365))</f>
        <v/>
      </c>
      <c r="U136" s="16">
        <f>IF(OR(T135="",T136=""),"",T136/T135-1)</f>
        <v/>
      </c>
      <c r="V136" s="16">
        <f>IF(T136="","",T136/MAX(T$5:T136)-1)</f>
        <v/>
      </c>
    </row>
    <row r="137" spans="1:19">
      <c r="A137" s="15" t="str">
        <f>IF('实盘净值数据(iFinD）'!A137="","",'实盘净值数据(iFinD）'!A137)</f>
        <v/>
      </c>
      <c r="B137" s="13" t="str">
        <f>IF(OR('实盘净值数据(iFinD）'!$A137="",'实盘净值数据(iFinD）'!$B137=""),"",分期持仓明细!$AB$17*SUMPRODUCT(分期持仓明细!$B$17:$Y$17,'实盘净值数据(iFinD）'!$B137:$Y137/'实盘净值数据(iFinD）'!$B$20:$Y$20)*(1-实盘持仓初始配置!$Z$4)^(('实盘净值数据(iFinD）'!$A137-'实盘净值数据(iFinD）'!$A$6)/365))</f>
        <v/>
      </c>
      <c r="C137" s="16" t="str">
        <f t="shared" si="12"/>
        <v/>
      </c>
      <c r="D137" s="16" t="str">
        <f>IF(B137="","",B137/MAX(B$5:B137)-1)</f>
        <v/>
      </c>
      <c r="E137" s="13" t="str">
        <f>IF(OR('实盘净值数据(iFinD）'!$A137="",'实盘净值数据(iFinD）'!$B137=""),"",分期持仓明细!$AB$18*SUMPRODUCT(分期持仓明细!$B$18:$Y$18,'实盘净值数据(iFinD）'!$B137:$Y137/'实盘净值数据(iFinD）'!$B$20:$Y$20)*(1-实盘持仓初始配置!$Z$5)^(('实盘净值数据(iFinD）'!$A137-'实盘净值数据(iFinD）'!$A$5)/365))</f>
        <v/>
      </c>
      <c r="F137" s="16" t="str">
        <f t="shared" si="13"/>
        <v/>
      </c>
      <c r="G137" s="16" t="str">
        <f>IF(E137="","",E137/MAX(E$5:E137)-1)</f>
        <v/>
      </c>
      <c r="H137" s="13" t="str">
        <f>IF(OR('实盘净值数据(iFinD）'!$A137="",'实盘净值数据(iFinD）'!$B137=""),"",分期持仓明细!$AB$19*SUMPRODUCT(分期持仓明细!$B$19:$Y$19,'实盘净值数据(iFinD）'!$B137:$Y137/'实盘净值数据(iFinD）'!$B$20:$Y$20)*(1-实盘持仓初始配置!$Z$6)^(('实盘净值数据(iFinD）'!$A137-'实盘净值数据(iFinD）'!$A$7)/365))</f>
        <v/>
      </c>
      <c r="I137" s="16" t="str">
        <f t="shared" si="14"/>
        <v/>
      </c>
      <c r="J137" s="16" t="str">
        <f>IF(H137="","",H137/MAX(H$5:H137)-1)</f>
        <v/>
      </c>
      <c r="K137" s="13" t="str">
        <f>IF(OR('实盘净值数据(iFinD）'!$A137="",'实盘净值数据(iFinD）'!$B137="",'实盘净值数据(iFinD）'!$Z137="",'实盘净值数据(iFinD）'!$AA137=""),"",分期持仓明细!$AB$23*(SUMPRODUCT(分期持仓明细!$B$23:$Y$23,'实盘净值数据(iFinD）'!$B137:$Y137/'实盘净值数据(iFinD）'!$B$65:$Y$65)+SUMPRODUCT(分期持仓明细!$AC$23:$AD$23,'实盘净值数据(iFinD）'!$Z137:$AA137/'实盘净值数据(iFinD）'!$Z$65:$AA$65))*(1-实盘持仓初始配置!$Z$7)^(('实盘净值数据(iFinD）'!$A137-'实盘净值数据(iFinD）'!$A$8)/365))</f>
        <v/>
      </c>
      <c r="L137" s="16" t="str">
        <f t="shared" si="15"/>
        <v/>
      </c>
      <c r="M137" s="16" t="str">
        <f>IF(K137="","",K137/MAX(K$5:K137)-1)</f>
        <v/>
      </c>
      <c r="N137" s="13" t="str">
        <f>IF(OR('实盘净值数据(iFinD）'!$A137="",'实盘净值数据(iFinD）'!$B137="",'实盘净值数据(iFinD）'!$Z137="",'实盘净值数据(iFinD）'!$AA137=""),"",分期持仓明细!$AB$24*(SUMPRODUCT(分期持仓明细!$B$24:$Y$24,'实盘净值数据(iFinD）'!$B137:$Y137/'实盘净值数据(iFinD）'!$B$65:$Y$65)+SUMPRODUCT(分期持仓明细!$AC$24:$AD$24,'实盘净值数据(iFinD）'!$Z137:$AA137/'实盘净值数据(iFinD）'!$Z$65:$AA$65))*(1-实盘持仓初始配置!$Z$8)^(('实盘净值数据(iFinD）'!$A137-'实盘净值数据(iFinD）'!$A$5)/365))</f>
        <v/>
      </c>
      <c r="O137" s="16" t="str">
        <f t="shared" si="16"/>
        <v/>
      </c>
      <c r="P137" s="16" t="str">
        <f>IF(N137="","",N137/MAX(N$5:N137)-1)</f>
        <v/>
      </c>
      <c r="Q137" s="13" t="str">
        <f>IF(OR('实盘净值数据(iFinD）'!$A137="",'实盘净值数据(iFinD）'!$B137="",'实盘净值数据(iFinD）'!$Z137="",'实盘净值数据(iFinD）'!$AA137=""),"",分期持仓明细!$AB$25*(SUMPRODUCT(分期持仓明细!$B$25:$Y$25,'实盘净值数据(iFinD）'!$B137:$Y137/'实盘净值数据(iFinD）'!$B$65:$Y$65)+SUMPRODUCT(分期持仓明细!$AC$25:$AD$25,'实盘净值数据(iFinD）'!$Z137:$AA137/'实盘净值数据(iFinD）'!$Z$65:$AA$65))*(1-实盘持仓初始配置!$Z$9)^(('实盘净值数据(iFinD）'!$A137-'实盘净值数据(iFinD）'!$A$8)/365))</f>
        <v/>
      </c>
      <c r="R137" s="16" t="str">
        <f t="shared" si="17"/>
        <v/>
      </c>
      <c r="S137" s="16" t="str">
        <f>IF(Q137="","",Q137/MAX(Q$5:Q137)-1)</f>
        <v/>
      </c>
      <c r="T137" s="13">
        <f>IF(OR('实盘净值数据(iFinD）'!$A137="",'实盘净值数据(iFinD）'!$B137="",'实盘净值数据(iFinD）'!$Z137="",'实盘净值数据(iFinD）'!$AA137="",'实盘净值数据(iFinD）'!$AB137="",'实盘净值数据(iFinD）'!$AL137=""),"",(SUMPRODUCT(分期持仓明细!$B$26:$Y$26,'实盘净值数据(iFinD）'!$B137:$Y137/'实盘净值数据(iFinD）'!$B$69:$Y$69)+SUMPRODUCT(分期持仓明细!$AC$26:$AD$26,'实盘净值数据(iFinD）'!$Z137:$AA137/'实盘净值数据(iFinD）'!$Z$69:$AA$69)+SUMPRODUCT(分期持仓明细!$AE$26:$AO$26,'实盘净值数据(iFinD）'!$AB137:$AL137/'实盘净值数据(iFinD）'!$AB$69:$AL$69))*(1-实盘持仓初始配置!$Z$10)^(('实盘净值数据(iFinD）'!$A137-'实盘净值数据(iFinD）'!$A$69)/365))</f>
        <v/>
      </c>
      <c r="U137" s="16">
        <f>IF(OR(T136="",T137=""),"",T137/T136-1)</f>
        <v/>
      </c>
      <c r="V137" s="16">
        <f>IF(T137="","",T137/MAX(T$5:T137)-1)</f>
        <v/>
      </c>
    </row>
    <row r="138" spans="1:19">
      <c r="A138" s="15" t="str">
        <f>IF('实盘净值数据(iFinD）'!A138="","",'实盘净值数据(iFinD）'!A138)</f>
        <v/>
      </c>
      <c r="B138" s="13" t="str">
        <f>IF(OR('实盘净值数据(iFinD）'!$A138="",'实盘净值数据(iFinD）'!$B138=""),"",分期持仓明细!$AB$17*SUMPRODUCT(分期持仓明细!$B$17:$Y$17,'实盘净值数据(iFinD）'!$B138:$Y138/'实盘净值数据(iFinD）'!$B$20:$Y$20)*(1-实盘持仓初始配置!$Z$4)^(('实盘净值数据(iFinD）'!$A138-'实盘净值数据(iFinD）'!$A$6)/365))</f>
        <v/>
      </c>
      <c r="C138" s="16" t="str">
        <f t="shared" si="12"/>
        <v/>
      </c>
      <c r="D138" s="16" t="str">
        <f>IF(B138="","",B138/MAX(B$5:B138)-1)</f>
        <v/>
      </c>
      <c r="E138" s="13" t="str">
        <f>IF(OR('实盘净值数据(iFinD）'!$A138="",'实盘净值数据(iFinD）'!$B138=""),"",分期持仓明细!$AB$18*SUMPRODUCT(分期持仓明细!$B$18:$Y$18,'实盘净值数据(iFinD）'!$B138:$Y138/'实盘净值数据(iFinD）'!$B$20:$Y$20)*(1-实盘持仓初始配置!$Z$5)^(('实盘净值数据(iFinD）'!$A138-'实盘净值数据(iFinD）'!$A$5)/365))</f>
        <v/>
      </c>
      <c r="F138" s="16" t="str">
        <f t="shared" si="13"/>
        <v/>
      </c>
      <c r="G138" s="16" t="str">
        <f>IF(E138="","",E138/MAX(E$5:E138)-1)</f>
        <v/>
      </c>
      <c r="H138" s="13" t="str">
        <f>IF(OR('实盘净值数据(iFinD）'!$A138="",'实盘净值数据(iFinD）'!$B138=""),"",分期持仓明细!$AB$19*SUMPRODUCT(分期持仓明细!$B$19:$Y$19,'实盘净值数据(iFinD）'!$B138:$Y138/'实盘净值数据(iFinD）'!$B$20:$Y$20)*(1-实盘持仓初始配置!$Z$6)^(('实盘净值数据(iFinD）'!$A138-'实盘净值数据(iFinD）'!$A$7)/365))</f>
        <v/>
      </c>
      <c r="I138" s="16" t="str">
        <f t="shared" si="14"/>
        <v/>
      </c>
      <c r="J138" s="16" t="str">
        <f>IF(H138="","",H138/MAX(H$5:H138)-1)</f>
        <v/>
      </c>
      <c r="K138" s="13" t="str">
        <f>IF(OR('实盘净值数据(iFinD）'!$A138="",'实盘净值数据(iFinD）'!$B138="",'实盘净值数据(iFinD）'!$Z138="",'实盘净值数据(iFinD）'!$AA138=""),"",分期持仓明细!$AB$23*(SUMPRODUCT(分期持仓明细!$B$23:$Y$23,'实盘净值数据(iFinD）'!$B138:$Y138/'实盘净值数据(iFinD）'!$B$65:$Y$65)+SUMPRODUCT(分期持仓明细!$AC$23:$AD$23,'实盘净值数据(iFinD）'!$Z138:$AA138/'实盘净值数据(iFinD）'!$Z$65:$AA$65))*(1-实盘持仓初始配置!$Z$7)^(('实盘净值数据(iFinD）'!$A138-'实盘净值数据(iFinD）'!$A$8)/365))</f>
        <v/>
      </c>
      <c r="L138" s="16" t="str">
        <f t="shared" si="15"/>
        <v/>
      </c>
      <c r="M138" s="16" t="str">
        <f>IF(K138="","",K138/MAX(K$5:K138)-1)</f>
        <v/>
      </c>
      <c r="N138" s="13" t="str">
        <f>IF(OR('实盘净值数据(iFinD）'!$A138="",'实盘净值数据(iFinD）'!$B138="",'实盘净值数据(iFinD）'!$Z138="",'实盘净值数据(iFinD）'!$AA138=""),"",分期持仓明细!$AB$24*(SUMPRODUCT(分期持仓明细!$B$24:$Y$24,'实盘净值数据(iFinD）'!$B138:$Y138/'实盘净值数据(iFinD）'!$B$65:$Y$65)+SUMPRODUCT(分期持仓明细!$AC$24:$AD$24,'实盘净值数据(iFinD）'!$Z138:$AA138/'实盘净值数据(iFinD）'!$Z$65:$AA$65))*(1-实盘持仓初始配置!$Z$8)^(('实盘净值数据(iFinD）'!$A138-'实盘净值数据(iFinD）'!$A$5)/365))</f>
        <v/>
      </c>
      <c r="O138" s="16" t="str">
        <f t="shared" si="16"/>
        <v/>
      </c>
      <c r="P138" s="16" t="str">
        <f>IF(N138="","",N138/MAX(N$5:N138)-1)</f>
        <v/>
      </c>
      <c r="Q138" s="13" t="str">
        <f>IF(OR('实盘净值数据(iFinD）'!$A138="",'实盘净值数据(iFinD）'!$B138="",'实盘净值数据(iFinD）'!$Z138="",'实盘净值数据(iFinD）'!$AA138=""),"",分期持仓明细!$AB$25*(SUMPRODUCT(分期持仓明细!$B$25:$Y$25,'实盘净值数据(iFinD）'!$B138:$Y138/'实盘净值数据(iFinD）'!$B$65:$Y$65)+SUMPRODUCT(分期持仓明细!$AC$25:$AD$25,'实盘净值数据(iFinD）'!$Z138:$AA138/'实盘净值数据(iFinD）'!$Z$65:$AA$65))*(1-实盘持仓初始配置!$Z$9)^(('实盘净值数据(iFinD）'!$A138-'实盘净值数据(iFinD）'!$A$8)/365))</f>
        <v/>
      </c>
      <c r="R138" s="16" t="str">
        <f t="shared" si="17"/>
        <v/>
      </c>
      <c r="S138" s="16" t="str">
        <f>IF(Q138="","",Q138/MAX(Q$5:Q138)-1)</f>
        <v/>
      </c>
      <c r="T138" s="13">
        <f>IF(OR('实盘净值数据(iFinD）'!$A138="",'实盘净值数据(iFinD）'!$B138="",'实盘净值数据(iFinD）'!$Z138="",'实盘净值数据(iFinD）'!$AA138="",'实盘净值数据(iFinD）'!$AB138="",'实盘净值数据(iFinD）'!$AL138=""),"",(SUMPRODUCT(分期持仓明细!$B$26:$Y$26,'实盘净值数据(iFinD）'!$B138:$Y138/'实盘净值数据(iFinD）'!$B$69:$Y$69)+SUMPRODUCT(分期持仓明细!$AC$26:$AD$26,'实盘净值数据(iFinD）'!$Z138:$AA138/'实盘净值数据(iFinD）'!$Z$69:$AA$69)+SUMPRODUCT(分期持仓明细!$AE$26:$AO$26,'实盘净值数据(iFinD）'!$AB138:$AL138/'实盘净值数据(iFinD）'!$AB$69:$AL$69))*(1-实盘持仓初始配置!$Z$10)^(('实盘净值数据(iFinD）'!$A138-'实盘净值数据(iFinD）'!$A$69)/365))</f>
        <v/>
      </c>
      <c r="U138" s="16">
        <f>IF(OR(T137="",T138=""),"",T138/T137-1)</f>
        <v/>
      </c>
      <c r="V138" s="16">
        <f>IF(T138="","",T138/MAX(T$5:T138)-1)</f>
        <v/>
      </c>
    </row>
    <row r="139" spans="1:19">
      <c r="A139" s="15" t="str">
        <f>IF('实盘净值数据(iFinD）'!A139="","",'实盘净值数据(iFinD）'!A139)</f>
        <v/>
      </c>
      <c r="B139" s="13" t="str">
        <f>IF(OR('实盘净值数据(iFinD）'!$A139="",'实盘净值数据(iFinD）'!$B139=""),"",分期持仓明细!$AB$17*SUMPRODUCT(分期持仓明细!$B$17:$Y$17,'实盘净值数据(iFinD）'!$B139:$Y139/'实盘净值数据(iFinD）'!$B$20:$Y$20)*(1-实盘持仓初始配置!$Z$4)^(('实盘净值数据(iFinD）'!$A139-'实盘净值数据(iFinD）'!$A$6)/365))</f>
        <v/>
      </c>
      <c r="C139" s="16" t="str">
        <f t="shared" si="12"/>
        <v/>
      </c>
      <c r="D139" s="16" t="str">
        <f>IF(B139="","",B139/MAX(B$5:B139)-1)</f>
        <v/>
      </c>
      <c r="E139" s="13" t="str">
        <f>IF(OR('实盘净值数据(iFinD）'!$A139="",'实盘净值数据(iFinD）'!$B139=""),"",分期持仓明细!$AB$18*SUMPRODUCT(分期持仓明细!$B$18:$Y$18,'实盘净值数据(iFinD）'!$B139:$Y139/'实盘净值数据(iFinD）'!$B$20:$Y$20)*(1-实盘持仓初始配置!$Z$5)^(('实盘净值数据(iFinD）'!$A139-'实盘净值数据(iFinD）'!$A$5)/365))</f>
        <v/>
      </c>
      <c r="F139" s="16" t="str">
        <f t="shared" si="13"/>
        <v/>
      </c>
      <c r="G139" s="16" t="str">
        <f>IF(E139="","",E139/MAX(E$5:E139)-1)</f>
        <v/>
      </c>
      <c r="H139" s="13" t="str">
        <f>IF(OR('实盘净值数据(iFinD）'!$A139="",'实盘净值数据(iFinD）'!$B139=""),"",分期持仓明细!$AB$19*SUMPRODUCT(分期持仓明细!$B$19:$Y$19,'实盘净值数据(iFinD）'!$B139:$Y139/'实盘净值数据(iFinD）'!$B$20:$Y$20)*(1-实盘持仓初始配置!$Z$6)^(('实盘净值数据(iFinD）'!$A139-'实盘净值数据(iFinD）'!$A$7)/365))</f>
        <v/>
      </c>
      <c r="I139" s="16" t="str">
        <f t="shared" si="14"/>
        <v/>
      </c>
      <c r="J139" s="16" t="str">
        <f>IF(H139="","",H139/MAX(H$5:H139)-1)</f>
        <v/>
      </c>
      <c r="K139" s="13" t="str">
        <f>IF(OR('实盘净值数据(iFinD）'!$A139="",'实盘净值数据(iFinD）'!$B139="",'实盘净值数据(iFinD）'!$Z139="",'实盘净值数据(iFinD）'!$AA139=""),"",分期持仓明细!$AB$23*(SUMPRODUCT(分期持仓明细!$B$23:$Y$23,'实盘净值数据(iFinD）'!$B139:$Y139/'实盘净值数据(iFinD）'!$B$65:$Y$65)+SUMPRODUCT(分期持仓明细!$AC$23:$AD$23,'实盘净值数据(iFinD）'!$Z139:$AA139/'实盘净值数据(iFinD）'!$Z$65:$AA$65))*(1-实盘持仓初始配置!$Z$7)^(('实盘净值数据(iFinD）'!$A139-'实盘净值数据(iFinD）'!$A$8)/365))</f>
        <v/>
      </c>
      <c r="L139" s="16" t="str">
        <f t="shared" si="15"/>
        <v/>
      </c>
      <c r="M139" s="16" t="str">
        <f>IF(K139="","",K139/MAX(K$5:K139)-1)</f>
        <v/>
      </c>
      <c r="N139" s="13" t="str">
        <f>IF(OR('实盘净值数据(iFinD）'!$A139="",'实盘净值数据(iFinD）'!$B139="",'实盘净值数据(iFinD）'!$Z139="",'实盘净值数据(iFinD）'!$AA139=""),"",分期持仓明细!$AB$24*(SUMPRODUCT(分期持仓明细!$B$24:$Y$24,'实盘净值数据(iFinD）'!$B139:$Y139/'实盘净值数据(iFinD）'!$B$65:$Y$65)+SUMPRODUCT(分期持仓明细!$AC$24:$AD$24,'实盘净值数据(iFinD）'!$Z139:$AA139/'实盘净值数据(iFinD）'!$Z$65:$AA$65))*(1-实盘持仓初始配置!$Z$8)^(('实盘净值数据(iFinD）'!$A139-'实盘净值数据(iFinD）'!$A$5)/365))</f>
        <v/>
      </c>
      <c r="O139" s="16" t="str">
        <f t="shared" si="16"/>
        <v/>
      </c>
      <c r="P139" s="16" t="str">
        <f>IF(N139="","",N139/MAX(N$5:N139)-1)</f>
        <v/>
      </c>
      <c r="Q139" s="13" t="str">
        <f>IF(OR('实盘净值数据(iFinD）'!$A139="",'实盘净值数据(iFinD）'!$B139="",'实盘净值数据(iFinD）'!$Z139="",'实盘净值数据(iFinD）'!$AA139=""),"",分期持仓明细!$AB$25*(SUMPRODUCT(分期持仓明细!$B$25:$Y$25,'实盘净值数据(iFinD）'!$B139:$Y139/'实盘净值数据(iFinD）'!$B$65:$Y$65)+SUMPRODUCT(分期持仓明细!$AC$25:$AD$25,'实盘净值数据(iFinD）'!$Z139:$AA139/'实盘净值数据(iFinD）'!$Z$65:$AA$65))*(1-实盘持仓初始配置!$Z$9)^(('实盘净值数据(iFinD）'!$A139-'实盘净值数据(iFinD）'!$A$8)/365))</f>
        <v/>
      </c>
      <c r="R139" s="16" t="str">
        <f t="shared" si="17"/>
        <v/>
      </c>
      <c r="S139" s="16" t="str">
        <f>IF(Q139="","",Q139/MAX(Q$5:Q139)-1)</f>
        <v/>
      </c>
      <c r="T139" s="13">
        <f>IF(OR('实盘净值数据(iFinD）'!$A139="",'实盘净值数据(iFinD）'!$B139="",'实盘净值数据(iFinD）'!$Z139="",'实盘净值数据(iFinD）'!$AA139="",'实盘净值数据(iFinD）'!$AB139="",'实盘净值数据(iFinD）'!$AL139=""),"",(SUMPRODUCT(分期持仓明细!$B$26:$Y$26,'实盘净值数据(iFinD）'!$B139:$Y139/'实盘净值数据(iFinD）'!$B$69:$Y$69)+SUMPRODUCT(分期持仓明细!$AC$26:$AD$26,'实盘净值数据(iFinD）'!$Z139:$AA139/'实盘净值数据(iFinD）'!$Z$69:$AA$69)+SUMPRODUCT(分期持仓明细!$AE$26:$AO$26,'实盘净值数据(iFinD）'!$AB139:$AL139/'实盘净值数据(iFinD）'!$AB$69:$AL$69))*(1-实盘持仓初始配置!$Z$10)^(('实盘净值数据(iFinD）'!$A139-'实盘净值数据(iFinD）'!$A$69)/365))</f>
        <v/>
      </c>
      <c r="U139" s="16">
        <f>IF(OR(T138="",T139=""),"",T139/T138-1)</f>
        <v/>
      </c>
      <c r="V139" s="16">
        <f>IF(T139="","",T139/MAX(T$5:T139)-1)</f>
        <v/>
      </c>
    </row>
    <row r="140" spans="1:19">
      <c r="A140" s="15" t="str">
        <f>IF('实盘净值数据(iFinD）'!A140="","",'实盘净值数据(iFinD）'!A140)</f>
        <v/>
      </c>
      <c r="B140" s="13" t="str">
        <f>IF(OR('实盘净值数据(iFinD）'!$A140="",'实盘净值数据(iFinD）'!$B140=""),"",分期持仓明细!$AB$17*SUMPRODUCT(分期持仓明细!$B$17:$Y$17,'实盘净值数据(iFinD）'!$B140:$Y140/'实盘净值数据(iFinD）'!$B$20:$Y$20)*(1-实盘持仓初始配置!$Z$4)^(('实盘净值数据(iFinD）'!$A140-'实盘净值数据(iFinD）'!$A$6)/365))</f>
        <v/>
      </c>
      <c r="C140" s="16" t="str">
        <f t="shared" si="12"/>
        <v/>
      </c>
      <c r="D140" s="16" t="str">
        <f>IF(B140="","",B140/MAX(B$5:B140)-1)</f>
        <v/>
      </c>
      <c r="E140" s="13" t="str">
        <f>IF(OR('实盘净值数据(iFinD）'!$A140="",'实盘净值数据(iFinD）'!$B140=""),"",分期持仓明细!$AB$18*SUMPRODUCT(分期持仓明细!$B$18:$Y$18,'实盘净值数据(iFinD）'!$B140:$Y140/'实盘净值数据(iFinD）'!$B$20:$Y$20)*(1-实盘持仓初始配置!$Z$5)^(('实盘净值数据(iFinD）'!$A140-'实盘净值数据(iFinD）'!$A$5)/365))</f>
        <v/>
      </c>
      <c r="F140" s="16" t="str">
        <f t="shared" si="13"/>
        <v/>
      </c>
      <c r="G140" s="16" t="str">
        <f>IF(E140="","",E140/MAX(E$5:E140)-1)</f>
        <v/>
      </c>
      <c r="H140" s="13" t="str">
        <f>IF(OR('实盘净值数据(iFinD）'!$A140="",'实盘净值数据(iFinD）'!$B140=""),"",分期持仓明细!$AB$19*SUMPRODUCT(分期持仓明细!$B$19:$Y$19,'实盘净值数据(iFinD）'!$B140:$Y140/'实盘净值数据(iFinD）'!$B$20:$Y$20)*(1-实盘持仓初始配置!$Z$6)^(('实盘净值数据(iFinD）'!$A140-'实盘净值数据(iFinD）'!$A$7)/365))</f>
        <v/>
      </c>
      <c r="I140" s="16" t="str">
        <f t="shared" si="14"/>
        <v/>
      </c>
      <c r="J140" s="16" t="str">
        <f>IF(H140="","",H140/MAX(H$5:H140)-1)</f>
        <v/>
      </c>
      <c r="K140" s="13" t="str">
        <f>IF(OR('实盘净值数据(iFinD）'!$A140="",'实盘净值数据(iFinD）'!$B140="",'实盘净值数据(iFinD）'!$Z140="",'实盘净值数据(iFinD）'!$AA140=""),"",分期持仓明细!$AB$23*(SUMPRODUCT(分期持仓明细!$B$23:$Y$23,'实盘净值数据(iFinD）'!$B140:$Y140/'实盘净值数据(iFinD）'!$B$65:$Y$65)+SUMPRODUCT(分期持仓明细!$AC$23:$AD$23,'实盘净值数据(iFinD）'!$Z140:$AA140/'实盘净值数据(iFinD）'!$Z$65:$AA$65))*(1-实盘持仓初始配置!$Z$7)^(('实盘净值数据(iFinD）'!$A140-'实盘净值数据(iFinD）'!$A$8)/365))</f>
        <v/>
      </c>
      <c r="L140" s="16" t="str">
        <f t="shared" si="15"/>
        <v/>
      </c>
      <c r="M140" s="16" t="str">
        <f>IF(K140="","",K140/MAX(K$5:K140)-1)</f>
        <v/>
      </c>
      <c r="N140" s="13" t="str">
        <f>IF(OR('实盘净值数据(iFinD）'!$A140="",'实盘净值数据(iFinD）'!$B140="",'实盘净值数据(iFinD）'!$Z140="",'实盘净值数据(iFinD）'!$AA140=""),"",分期持仓明细!$AB$24*(SUMPRODUCT(分期持仓明细!$B$24:$Y$24,'实盘净值数据(iFinD）'!$B140:$Y140/'实盘净值数据(iFinD）'!$B$65:$Y$65)+SUMPRODUCT(分期持仓明细!$AC$24:$AD$24,'实盘净值数据(iFinD）'!$Z140:$AA140/'实盘净值数据(iFinD）'!$Z$65:$AA$65))*(1-实盘持仓初始配置!$Z$8)^(('实盘净值数据(iFinD）'!$A140-'实盘净值数据(iFinD）'!$A$5)/365))</f>
        <v/>
      </c>
      <c r="O140" s="16" t="str">
        <f t="shared" si="16"/>
        <v/>
      </c>
      <c r="P140" s="16" t="str">
        <f>IF(N140="","",N140/MAX(N$5:N140)-1)</f>
        <v/>
      </c>
      <c r="Q140" s="13" t="str">
        <f>IF(OR('实盘净值数据(iFinD）'!$A140="",'实盘净值数据(iFinD）'!$B140="",'实盘净值数据(iFinD）'!$Z140="",'实盘净值数据(iFinD）'!$AA140=""),"",分期持仓明细!$AB$25*(SUMPRODUCT(分期持仓明细!$B$25:$Y$25,'实盘净值数据(iFinD）'!$B140:$Y140/'实盘净值数据(iFinD）'!$B$65:$Y$65)+SUMPRODUCT(分期持仓明细!$AC$25:$AD$25,'实盘净值数据(iFinD）'!$Z140:$AA140/'实盘净值数据(iFinD）'!$Z$65:$AA$65))*(1-实盘持仓初始配置!$Z$9)^(('实盘净值数据(iFinD）'!$A140-'实盘净值数据(iFinD）'!$A$8)/365))</f>
        <v/>
      </c>
      <c r="R140" s="16" t="str">
        <f t="shared" si="17"/>
        <v/>
      </c>
      <c r="S140" s="16" t="str">
        <f>IF(Q140="","",Q140/MAX(Q$5:Q140)-1)</f>
        <v/>
      </c>
      <c r="T140" s="13">
        <f>IF(OR('实盘净值数据(iFinD）'!$A140="",'实盘净值数据(iFinD）'!$B140="",'实盘净值数据(iFinD）'!$Z140="",'实盘净值数据(iFinD）'!$AA140="",'实盘净值数据(iFinD）'!$AB140="",'实盘净值数据(iFinD）'!$AL140=""),"",(SUMPRODUCT(分期持仓明细!$B$26:$Y$26,'实盘净值数据(iFinD）'!$B140:$Y140/'实盘净值数据(iFinD）'!$B$69:$Y$69)+SUMPRODUCT(分期持仓明细!$AC$26:$AD$26,'实盘净值数据(iFinD）'!$Z140:$AA140/'实盘净值数据(iFinD）'!$Z$69:$AA$69)+SUMPRODUCT(分期持仓明细!$AE$26:$AO$26,'实盘净值数据(iFinD）'!$AB140:$AL140/'实盘净值数据(iFinD）'!$AB$69:$AL$69))*(1-实盘持仓初始配置!$Z$10)^(('实盘净值数据(iFinD）'!$A140-'实盘净值数据(iFinD）'!$A$69)/365))</f>
        <v/>
      </c>
      <c r="U140" s="16">
        <f>IF(OR(T139="",T140=""),"",T140/T139-1)</f>
        <v/>
      </c>
      <c r="V140" s="16">
        <f>IF(T140="","",T140/MAX(T$5:T140)-1)</f>
        <v/>
      </c>
    </row>
    <row r="141" spans="1:19">
      <c r="A141" s="15" t="str">
        <f>IF('实盘净值数据(iFinD）'!A141="","",'实盘净值数据(iFinD）'!A141)</f>
        <v/>
      </c>
      <c r="B141" s="13" t="str">
        <f>IF(OR('实盘净值数据(iFinD）'!$A141="",'实盘净值数据(iFinD）'!$B141=""),"",分期持仓明细!$AB$17*SUMPRODUCT(分期持仓明细!$B$17:$Y$17,'实盘净值数据(iFinD）'!$B141:$Y141/'实盘净值数据(iFinD）'!$B$20:$Y$20)*(1-实盘持仓初始配置!$Z$4)^(('实盘净值数据(iFinD）'!$A141-'实盘净值数据(iFinD）'!$A$6)/365))</f>
        <v/>
      </c>
      <c r="C141" s="16" t="str">
        <f t="shared" si="12"/>
        <v/>
      </c>
      <c r="D141" s="16" t="str">
        <f>IF(B141="","",B141/MAX(B$5:B141)-1)</f>
        <v/>
      </c>
      <c r="E141" s="13" t="str">
        <f>IF(OR('实盘净值数据(iFinD）'!$A141="",'实盘净值数据(iFinD）'!$B141=""),"",分期持仓明细!$AB$18*SUMPRODUCT(分期持仓明细!$B$18:$Y$18,'实盘净值数据(iFinD）'!$B141:$Y141/'实盘净值数据(iFinD）'!$B$20:$Y$20)*(1-实盘持仓初始配置!$Z$5)^(('实盘净值数据(iFinD）'!$A141-'实盘净值数据(iFinD）'!$A$5)/365))</f>
        <v/>
      </c>
      <c r="F141" s="16" t="str">
        <f t="shared" si="13"/>
        <v/>
      </c>
      <c r="G141" s="16" t="str">
        <f>IF(E141="","",E141/MAX(E$5:E141)-1)</f>
        <v/>
      </c>
      <c r="H141" s="13" t="str">
        <f>IF(OR('实盘净值数据(iFinD）'!$A141="",'实盘净值数据(iFinD）'!$B141=""),"",分期持仓明细!$AB$19*SUMPRODUCT(分期持仓明细!$B$19:$Y$19,'实盘净值数据(iFinD）'!$B141:$Y141/'实盘净值数据(iFinD）'!$B$20:$Y$20)*(1-实盘持仓初始配置!$Z$6)^(('实盘净值数据(iFinD）'!$A141-'实盘净值数据(iFinD）'!$A$7)/365))</f>
        <v/>
      </c>
      <c r="I141" s="16" t="str">
        <f t="shared" si="14"/>
        <v/>
      </c>
      <c r="J141" s="16" t="str">
        <f>IF(H141="","",H141/MAX(H$5:H141)-1)</f>
        <v/>
      </c>
      <c r="K141" s="13" t="str">
        <f>IF(OR('实盘净值数据(iFinD）'!$A141="",'实盘净值数据(iFinD）'!$B141="",'实盘净值数据(iFinD）'!$Z141="",'实盘净值数据(iFinD）'!$AA141=""),"",分期持仓明细!$AB$23*(SUMPRODUCT(分期持仓明细!$B$23:$Y$23,'实盘净值数据(iFinD）'!$B141:$Y141/'实盘净值数据(iFinD）'!$B$65:$Y$65)+SUMPRODUCT(分期持仓明细!$AC$23:$AD$23,'实盘净值数据(iFinD）'!$Z141:$AA141/'实盘净值数据(iFinD）'!$Z$65:$AA$65))*(1-实盘持仓初始配置!$Z$7)^(('实盘净值数据(iFinD）'!$A141-'实盘净值数据(iFinD）'!$A$8)/365))</f>
        <v/>
      </c>
      <c r="L141" s="16" t="str">
        <f t="shared" si="15"/>
        <v/>
      </c>
      <c r="M141" s="16" t="str">
        <f>IF(K141="","",K141/MAX(K$5:K141)-1)</f>
        <v/>
      </c>
      <c r="N141" s="13" t="str">
        <f>IF(OR('实盘净值数据(iFinD）'!$A141="",'实盘净值数据(iFinD）'!$B141="",'实盘净值数据(iFinD）'!$Z141="",'实盘净值数据(iFinD）'!$AA141=""),"",分期持仓明细!$AB$24*(SUMPRODUCT(分期持仓明细!$B$24:$Y$24,'实盘净值数据(iFinD）'!$B141:$Y141/'实盘净值数据(iFinD）'!$B$65:$Y$65)+SUMPRODUCT(分期持仓明细!$AC$24:$AD$24,'实盘净值数据(iFinD）'!$Z141:$AA141/'实盘净值数据(iFinD）'!$Z$65:$AA$65))*(1-实盘持仓初始配置!$Z$8)^(('实盘净值数据(iFinD）'!$A141-'实盘净值数据(iFinD）'!$A$5)/365))</f>
        <v/>
      </c>
      <c r="O141" s="16" t="str">
        <f t="shared" si="16"/>
        <v/>
      </c>
      <c r="P141" s="16" t="str">
        <f>IF(N141="","",N141/MAX(N$5:N141)-1)</f>
        <v/>
      </c>
      <c r="Q141" s="13" t="str">
        <f>IF(OR('实盘净值数据(iFinD）'!$A141="",'实盘净值数据(iFinD）'!$B141="",'实盘净值数据(iFinD）'!$Z141="",'实盘净值数据(iFinD）'!$AA141=""),"",分期持仓明细!$AB$25*(SUMPRODUCT(分期持仓明细!$B$25:$Y$25,'实盘净值数据(iFinD）'!$B141:$Y141/'实盘净值数据(iFinD）'!$B$65:$Y$65)+SUMPRODUCT(分期持仓明细!$AC$25:$AD$25,'实盘净值数据(iFinD）'!$Z141:$AA141/'实盘净值数据(iFinD）'!$Z$65:$AA$65))*(1-实盘持仓初始配置!$Z$9)^(('实盘净值数据(iFinD）'!$A141-'实盘净值数据(iFinD）'!$A$8)/365))</f>
        <v/>
      </c>
      <c r="R141" s="16" t="str">
        <f t="shared" si="17"/>
        <v/>
      </c>
      <c r="S141" s="16" t="str">
        <f>IF(Q141="","",Q141/MAX(Q$5:Q141)-1)</f>
        <v/>
      </c>
      <c r="T141" s="13">
        <f>IF(OR('实盘净值数据(iFinD）'!$A141="",'实盘净值数据(iFinD）'!$B141="",'实盘净值数据(iFinD）'!$Z141="",'实盘净值数据(iFinD）'!$AA141="",'实盘净值数据(iFinD）'!$AB141="",'实盘净值数据(iFinD）'!$AL141=""),"",(SUMPRODUCT(分期持仓明细!$B$26:$Y$26,'实盘净值数据(iFinD）'!$B141:$Y141/'实盘净值数据(iFinD）'!$B$69:$Y$69)+SUMPRODUCT(分期持仓明细!$AC$26:$AD$26,'实盘净值数据(iFinD）'!$Z141:$AA141/'实盘净值数据(iFinD）'!$Z$69:$AA$69)+SUMPRODUCT(分期持仓明细!$AE$26:$AO$26,'实盘净值数据(iFinD）'!$AB141:$AL141/'实盘净值数据(iFinD）'!$AB$69:$AL$69))*(1-实盘持仓初始配置!$Z$10)^(('实盘净值数据(iFinD）'!$A141-'实盘净值数据(iFinD）'!$A$69)/365))</f>
        <v/>
      </c>
      <c r="U141" s="16">
        <f>IF(OR(T140="",T141=""),"",T141/T140-1)</f>
        <v/>
      </c>
      <c r="V141" s="16">
        <f>IF(T141="","",T141/MAX(T$5:T141)-1)</f>
        <v/>
      </c>
    </row>
    <row r="142" spans="1:19">
      <c r="A142" s="15" t="str">
        <f>IF('实盘净值数据(iFinD）'!A142="","",'实盘净值数据(iFinD）'!A142)</f>
        <v/>
      </c>
      <c r="B142" s="13" t="str">
        <f>IF(OR('实盘净值数据(iFinD）'!$A142="",'实盘净值数据(iFinD）'!$B142=""),"",分期持仓明细!$AB$17*SUMPRODUCT(分期持仓明细!$B$17:$Y$17,'实盘净值数据(iFinD）'!$B142:$Y142/'实盘净值数据(iFinD）'!$B$20:$Y$20)*(1-实盘持仓初始配置!$Z$4)^(('实盘净值数据(iFinD）'!$A142-'实盘净值数据(iFinD）'!$A$6)/365))</f>
        <v/>
      </c>
      <c r="C142" s="16" t="str">
        <f t="shared" si="12"/>
        <v/>
      </c>
      <c r="D142" s="16" t="str">
        <f>IF(B142="","",B142/MAX(B$5:B142)-1)</f>
        <v/>
      </c>
      <c r="E142" s="13" t="str">
        <f>IF(OR('实盘净值数据(iFinD）'!$A142="",'实盘净值数据(iFinD）'!$B142=""),"",分期持仓明细!$AB$18*SUMPRODUCT(分期持仓明细!$B$18:$Y$18,'实盘净值数据(iFinD）'!$B142:$Y142/'实盘净值数据(iFinD）'!$B$20:$Y$20)*(1-实盘持仓初始配置!$Z$5)^(('实盘净值数据(iFinD）'!$A142-'实盘净值数据(iFinD）'!$A$5)/365))</f>
        <v/>
      </c>
      <c r="F142" s="16" t="str">
        <f t="shared" si="13"/>
        <v/>
      </c>
      <c r="G142" s="16" t="str">
        <f>IF(E142="","",E142/MAX(E$5:E142)-1)</f>
        <v/>
      </c>
      <c r="H142" s="13" t="str">
        <f>IF(OR('实盘净值数据(iFinD）'!$A142="",'实盘净值数据(iFinD）'!$B142=""),"",分期持仓明细!$AB$19*SUMPRODUCT(分期持仓明细!$B$19:$Y$19,'实盘净值数据(iFinD）'!$B142:$Y142/'实盘净值数据(iFinD）'!$B$20:$Y$20)*(1-实盘持仓初始配置!$Z$6)^(('实盘净值数据(iFinD）'!$A142-'实盘净值数据(iFinD）'!$A$7)/365))</f>
        <v/>
      </c>
      <c r="I142" s="16" t="str">
        <f t="shared" si="14"/>
        <v/>
      </c>
      <c r="J142" s="16" t="str">
        <f>IF(H142="","",H142/MAX(H$5:H142)-1)</f>
        <v/>
      </c>
      <c r="K142" s="13" t="str">
        <f>IF(OR('实盘净值数据(iFinD）'!$A142="",'实盘净值数据(iFinD）'!$B142="",'实盘净值数据(iFinD）'!$Z142="",'实盘净值数据(iFinD）'!$AA142=""),"",分期持仓明细!$AB$23*(SUMPRODUCT(分期持仓明细!$B$23:$Y$23,'实盘净值数据(iFinD）'!$B142:$Y142/'实盘净值数据(iFinD）'!$B$65:$Y$65)+SUMPRODUCT(分期持仓明细!$AC$23:$AD$23,'实盘净值数据(iFinD）'!$Z142:$AA142/'实盘净值数据(iFinD）'!$Z$65:$AA$65))*(1-实盘持仓初始配置!$Z$7)^(('实盘净值数据(iFinD）'!$A142-'实盘净值数据(iFinD）'!$A$8)/365))</f>
        <v/>
      </c>
      <c r="L142" s="16" t="str">
        <f t="shared" si="15"/>
        <v/>
      </c>
      <c r="M142" s="16" t="str">
        <f>IF(K142="","",K142/MAX(K$5:K142)-1)</f>
        <v/>
      </c>
      <c r="N142" s="13" t="str">
        <f>IF(OR('实盘净值数据(iFinD）'!$A142="",'实盘净值数据(iFinD）'!$B142="",'实盘净值数据(iFinD）'!$Z142="",'实盘净值数据(iFinD）'!$AA142=""),"",分期持仓明细!$AB$24*(SUMPRODUCT(分期持仓明细!$B$24:$Y$24,'实盘净值数据(iFinD）'!$B142:$Y142/'实盘净值数据(iFinD）'!$B$65:$Y$65)+SUMPRODUCT(分期持仓明细!$AC$24:$AD$24,'实盘净值数据(iFinD）'!$Z142:$AA142/'实盘净值数据(iFinD）'!$Z$65:$AA$65))*(1-实盘持仓初始配置!$Z$8)^(('实盘净值数据(iFinD）'!$A142-'实盘净值数据(iFinD）'!$A$5)/365))</f>
        <v/>
      </c>
      <c r="O142" s="16" t="str">
        <f t="shared" si="16"/>
        <v/>
      </c>
      <c r="P142" s="16" t="str">
        <f>IF(N142="","",N142/MAX(N$5:N142)-1)</f>
        <v/>
      </c>
      <c r="Q142" s="13" t="str">
        <f>IF(OR('实盘净值数据(iFinD）'!$A142="",'实盘净值数据(iFinD）'!$B142="",'实盘净值数据(iFinD）'!$Z142="",'实盘净值数据(iFinD）'!$AA142=""),"",分期持仓明细!$AB$25*(SUMPRODUCT(分期持仓明细!$B$25:$Y$25,'实盘净值数据(iFinD）'!$B142:$Y142/'实盘净值数据(iFinD）'!$B$65:$Y$65)+SUMPRODUCT(分期持仓明细!$AC$25:$AD$25,'实盘净值数据(iFinD）'!$Z142:$AA142/'实盘净值数据(iFinD）'!$Z$65:$AA$65))*(1-实盘持仓初始配置!$Z$9)^(('实盘净值数据(iFinD）'!$A142-'实盘净值数据(iFinD）'!$A$8)/365))</f>
        <v/>
      </c>
      <c r="R142" s="16" t="str">
        <f t="shared" si="17"/>
        <v/>
      </c>
      <c r="S142" s="16" t="str">
        <f>IF(Q142="","",Q142/MAX(Q$5:Q142)-1)</f>
        <v/>
      </c>
      <c r="T142" s="13">
        <f>IF(OR('实盘净值数据(iFinD）'!$A142="",'实盘净值数据(iFinD）'!$B142="",'实盘净值数据(iFinD）'!$Z142="",'实盘净值数据(iFinD）'!$AA142="",'实盘净值数据(iFinD）'!$AB142="",'实盘净值数据(iFinD）'!$AL142=""),"",(SUMPRODUCT(分期持仓明细!$B$26:$Y$26,'实盘净值数据(iFinD）'!$B142:$Y142/'实盘净值数据(iFinD）'!$B$69:$Y$69)+SUMPRODUCT(分期持仓明细!$AC$26:$AD$26,'实盘净值数据(iFinD）'!$Z142:$AA142/'实盘净值数据(iFinD）'!$Z$69:$AA$69)+SUMPRODUCT(分期持仓明细!$AE$26:$AO$26,'实盘净值数据(iFinD）'!$AB142:$AL142/'实盘净值数据(iFinD）'!$AB$69:$AL$69))*(1-实盘持仓初始配置!$Z$10)^(('实盘净值数据(iFinD）'!$A142-'实盘净值数据(iFinD）'!$A$69)/365))</f>
        <v/>
      </c>
      <c r="U142" s="16">
        <f>IF(OR(T141="",T142=""),"",T142/T141-1)</f>
        <v/>
      </c>
      <c r="V142" s="16">
        <f>IF(T142="","",T142/MAX(T$5:T142)-1)</f>
        <v/>
      </c>
    </row>
    <row r="143" spans="1:19">
      <c r="A143" s="15" t="str">
        <f>IF('实盘净值数据(iFinD）'!A143="","",'实盘净值数据(iFinD）'!A143)</f>
        <v/>
      </c>
      <c r="B143" s="13" t="str">
        <f>IF(OR('实盘净值数据(iFinD）'!$A143="",'实盘净值数据(iFinD）'!$B143=""),"",分期持仓明细!$AB$17*SUMPRODUCT(分期持仓明细!$B$17:$Y$17,'实盘净值数据(iFinD）'!$B143:$Y143/'实盘净值数据(iFinD）'!$B$20:$Y$20)*(1-实盘持仓初始配置!$Z$4)^(('实盘净值数据(iFinD）'!$A143-'实盘净值数据(iFinD）'!$A$6)/365))</f>
        <v/>
      </c>
      <c r="C143" s="16" t="str">
        <f t="shared" si="12"/>
        <v/>
      </c>
      <c r="D143" s="16" t="str">
        <f>IF(B143="","",B143/MAX(B$5:B143)-1)</f>
        <v/>
      </c>
      <c r="E143" s="13" t="str">
        <f>IF(OR('实盘净值数据(iFinD）'!$A143="",'实盘净值数据(iFinD）'!$B143=""),"",分期持仓明细!$AB$18*SUMPRODUCT(分期持仓明细!$B$18:$Y$18,'实盘净值数据(iFinD）'!$B143:$Y143/'实盘净值数据(iFinD）'!$B$20:$Y$20)*(1-实盘持仓初始配置!$Z$5)^(('实盘净值数据(iFinD）'!$A143-'实盘净值数据(iFinD）'!$A$5)/365))</f>
        <v/>
      </c>
      <c r="F143" s="16" t="str">
        <f t="shared" si="13"/>
        <v/>
      </c>
      <c r="G143" s="16" t="str">
        <f>IF(E143="","",E143/MAX(E$5:E143)-1)</f>
        <v/>
      </c>
      <c r="H143" s="13" t="str">
        <f>IF(OR('实盘净值数据(iFinD）'!$A143="",'实盘净值数据(iFinD）'!$B143=""),"",分期持仓明细!$AB$19*SUMPRODUCT(分期持仓明细!$B$19:$Y$19,'实盘净值数据(iFinD）'!$B143:$Y143/'实盘净值数据(iFinD）'!$B$20:$Y$20)*(1-实盘持仓初始配置!$Z$6)^(('实盘净值数据(iFinD）'!$A143-'实盘净值数据(iFinD）'!$A$7)/365))</f>
        <v/>
      </c>
      <c r="I143" s="16" t="str">
        <f t="shared" si="14"/>
        <v/>
      </c>
      <c r="J143" s="16" t="str">
        <f>IF(H143="","",H143/MAX(H$5:H143)-1)</f>
        <v/>
      </c>
      <c r="K143" s="13" t="str">
        <f>IF(OR('实盘净值数据(iFinD）'!$A143="",'实盘净值数据(iFinD）'!$B143="",'实盘净值数据(iFinD）'!$Z143="",'实盘净值数据(iFinD）'!$AA143=""),"",分期持仓明细!$AB$23*(SUMPRODUCT(分期持仓明细!$B$23:$Y$23,'实盘净值数据(iFinD）'!$B143:$Y143/'实盘净值数据(iFinD）'!$B$65:$Y$65)+SUMPRODUCT(分期持仓明细!$AC$23:$AD$23,'实盘净值数据(iFinD）'!$Z143:$AA143/'实盘净值数据(iFinD）'!$Z$65:$AA$65))*(1-实盘持仓初始配置!$Z$7)^(('实盘净值数据(iFinD）'!$A143-'实盘净值数据(iFinD）'!$A$8)/365))</f>
        <v/>
      </c>
      <c r="L143" s="16" t="str">
        <f t="shared" si="15"/>
        <v/>
      </c>
      <c r="M143" s="16" t="str">
        <f>IF(K143="","",K143/MAX(K$5:K143)-1)</f>
        <v/>
      </c>
      <c r="N143" s="13" t="str">
        <f>IF(OR('实盘净值数据(iFinD）'!$A143="",'实盘净值数据(iFinD）'!$B143="",'实盘净值数据(iFinD）'!$Z143="",'实盘净值数据(iFinD）'!$AA143=""),"",分期持仓明细!$AB$24*(SUMPRODUCT(分期持仓明细!$B$24:$Y$24,'实盘净值数据(iFinD）'!$B143:$Y143/'实盘净值数据(iFinD）'!$B$65:$Y$65)+SUMPRODUCT(分期持仓明细!$AC$24:$AD$24,'实盘净值数据(iFinD）'!$Z143:$AA143/'实盘净值数据(iFinD）'!$Z$65:$AA$65))*(1-实盘持仓初始配置!$Z$8)^(('实盘净值数据(iFinD）'!$A143-'实盘净值数据(iFinD）'!$A$5)/365))</f>
        <v/>
      </c>
      <c r="O143" s="16" t="str">
        <f t="shared" si="16"/>
        <v/>
      </c>
      <c r="P143" s="16" t="str">
        <f>IF(N143="","",N143/MAX(N$5:N143)-1)</f>
        <v/>
      </c>
      <c r="Q143" s="13" t="str">
        <f>IF(OR('实盘净值数据(iFinD）'!$A143="",'实盘净值数据(iFinD）'!$B143="",'实盘净值数据(iFinD）'!$Z143="",'实盘净值数据(iFinD）'!$AA143=""),"",分期持仓明细!$AB$25*(SUMPRODUCT(分期持仓明细!$B$25:$Y$25,'实盘净值数据(iFinD）'!$B143:$Y143/'实盘净值数据(iFinD）'!$B$65:$Y$65)+SUMPRODUCT(分期持仓明细!$AC$25:$AD$25,'实盘净值数据(iFinD）'!$Z143:$AA143/'实盘净值数据(iFinD）'!$Z$65:$AA$65))*(1-实盘持仓初始配置!$Z$9)^(('实盘净值数据(iFinD）'!$A143-'实盘净值数据(iFinD）'!$A$8)/365))</f>
        <v/>
      </c>
      <c r="R143" s="16" t="str">
        <f t="shared" si="17"/>
        <v/>
      </c>
      <c r="S143" s="16" t="str">
        <f>IF(Q143="","",Q143/MAX(Q$5:Q143)-1)</f>
        <v/>
      </c>
      <c r="T143" s="13">
        <f>IF(OR('实盘净值数据(iFinD）'!$A143="",'实盘净值数据(iFinD）'!$B143="",'实盘净值数据(iFinD）'!$Z143="",'实盘净值数据(iFinD）'!$AA143="",'实盘净值数据(iFinD）'!$AB143="",'实盘净值数据(iFinD）'!$AL143=""),"",(SUMPRODUCT(分期持仓明细!$B$26:$Y$26,'实盘净值数据(iFinD）'!$B143:$Y143/'实盘净值数据(iFinD）'!$B$69:$Y$69)+SUMPRODUCT(分期持仓明细!$AC$26:$AD$26,'实盘净值数据(iFinD）'!$Z143:$AA143/'实盘净值数据(iFinD）'!$Z$69:$AA$69)+SUMPRODUCT(分期持仓明细!$AE$26:$AO$26,'实盘净值数据(iFinD）'!$AB143:$AL143/'实盘净值数据(iFinD）'!$AB$69:$AL$69))*(1-实盘持仓初始配置!$Z$10)^(('实盘净值数据(iFinD）'!$A143-'实盘净值数据(iFinD）'!$A$69)/365))</f>
        <v/>
      </c>
      <c r="U143" s="16">
        <f>IF(OR(T142="",T143=""),"",T143/T142-1)</f>
        <v/>
      </c>
      <c r="V143" s="16">
        <f>IF(T143="","",T143/MAX(T$5:T143)-1)</f>
        <v/>
      </c>
    </row>
    <row r="144" spans="1:19">
      <c r="A144" s="15" t="str">
        <f>IF('实盘净值数据(iFinD）'!A144="","",'实盘净值数据(iFinD）'!A144)</f>
        <v/>
      </c>
      <c r="B144" s="13" t="str">
        <f>IF(OR('实盘净值数据(iFinD）'!$A144="",'实盘净值数据(iFinD）'!$B144=""),"",分期持仓明细!$AB$17*SUMPRODUCT(分期持仓明细!$B$17:$Y$17,'实盘净值数据(iFinD）'!$B144:$Y144/'实盘净值数据(iFinD）'!$B$20:$Y$20)*(1-实盘持仓初始配置!$Z$4)^(('实盘净值数据(iFinD）'!$A144-'实盘净值数据(iFinD）'!$A$6)/365))</f>
        <v/>
      </c>
      <c r="C144" s="16" t="str">
        <f t="shared" si="12"/>
        <v/>
      </c>
      <c r="D144" s="16" t="str">
        <f>IF(B144="","",B144/MAX(B$5:B144)-1)</f>
        <v/>
      </c>
      <c r="E144" s="13" t="str">
        <f>IF(OR('实盘净值数据(iFinD）'!$A144="",'实盘净值数据(iFinD）'!$B144=""),"",分期持仓明细!$AB$18*SUMPRODUCT(分期持仓明细!$B$18:$Y$18,'实盘净值数据(iFinD）'!$B144:$Y144/'实盘净值数据(iFinD）'!$B$20:$Y$20)*(1-实盘持仓初始配置!$Z$5)^(('实盘净值数据(iFinD）'!$A144-'实盘净值数据(iFinD）'!$A$5)/365))</f>
        <v/>
      </c>
      <c r="F144" s="16" t="str">
        <f t="shared" si="13"/>
        <v/>
      </c>
      <c r="G144" s="16" t="str">
        <f>IF(E144="","",E144/MAX(E$5:E144)-1)</f>
        <v/>
      </c>
      <c r="H144" s="13" t="str">
        <f>IF(OR('实盘净值数据(iFinD）'!$A144="",'实盘净值数据(iFinD）'!$B144=""),"",分期持仓明细!$AB$19*SUMPRODUCT(分期持仓明细!$B$19:$Y$19,'实盘净值数据(iFinD）'!$B144:$Y144/'实盘净值数据(iFinD）'!$B$20:$Y$20)*(1-实盘持仓初始配置!$Z$6)^(('实盘净值数据(iFinD）'!$A144-'实盘净值数据(iFinD）'!$A$7)/365))</f>
        <v/>
      </c>
      <c r="I144" s="16" t="str">
        <f t="shared" si="14"/>
        <v/>
      </c>
      <c r="J144" s="16" t="str">
        <f>IF(H144="","",H144/MAX(H$5:H144)-1)</f>
        <v/>
      </c>
      <c r="K144" s="13" t="str">
        <f>IF(OR('实盘净值数据(iFinD）'!$A144="",'实盘净值数据(iFinD）'!$B144="",'实盘净值数据(iFinD）'!$Z144="",'实盘净值数据(iFinD）'!$AA144=""),"",分期持仓明细!$AB$23*(SUMPRODUCT(分期持仓明细!$B$23:$Y$23,'实盘净值数据(iFinD）'!$B144:$Y144/'实盘净值数据(iFinD）'!$B$65:$Y$65)+SUMPRODUCT(分期持仓明细!$AC$23:$AD$23,'实盘净值数据(iFinD）'!$Z144:$AA144/'实盘净值数据(iFinD）'!$Z$65:$AA$65))*(1-实盘持仓初始配置!$Z$7)^(('实盘净值数据(iFinD）'!$A144-'实盘净值数据(iFinD）'!$A$8)/365))</f>
        <v/>
      </c>
      <c r="L144" s="16" t="str">
        <f t="shared" si="15"/>
        <v/>
      </c>
      <c r="M144" s="16" t="str">
        <f>IF(K144="","",K144/MAX(K$5:K144)-1)</f>
        <v/>
      </c>
      <c r="N144" s="13" t="str">
        <f>IF(OR('实盘净值数据(iFinD）'!$A144="",'实盘净值数据(iFinD）'!$B144="",'实盘净值数据(iFinD）'!$Z144="",'实盘净值数据(iFinD）'!$AA144=""),"",分期持仓明细!$AB$24*(SUMPRODUCT(分期持仓明细!$B$24:$Y$24,'实盘净值数据(iFinD）'!$B144:$Y144/'实盘净值数据(iFinD）'!$B$65:$Y$65)+SUMPRODUCT(分期持仓明细!$AC$24:$AD$24,'实盘净值数据(iFinD）'!$Z144:$AA144/'实盘净值数据(iFinD）'!$Z$65:$AA$65))*(1-实盘持仓初始配置!$Z$8)^(('实盘净值数据(iFinD）'!$A144-'实盘净值数据(iFinD）'!$A$5)/365))</f>
        <v/>
      </c>
      <c r="O144" s="16" t="str">
        <f t="shared" si="16"/>
        <v/>
      </c>
      <c r="P144" s="16" t="str">
        <f>IF(N144="","",N144/MAX(N$5:N144)-1)</f>
        <v/>
      </c>
      <c r="Q144" s="13" t="str">
        <f>IF(OR('实盘净值数据(iFinD）'!$A144="",'实盘净值数据(iFinD）'!$B144="",'实盘净值数据(iFinD）'!$Z144="",'实盘净值数据(iFinD）'!$AA144=""),"",分期持仓明细!$AB$25*(SUMPRODUCT(分期持仓明细!$B$25:$Y$25,'实盘净值数据(iFinD）'!$B144:$Y144/'实盘净值数据(iFinD）'!$B$65:$Y$65)+SUMPRODUCT(分期持仓明细!$AC$25:$AD$25,'实盘净值数据(iFinD）'!$Z144:$AA144/'实盘净值数据(iFinD）'!$Z$65:$AA$65))*(1-实盘持仓初始配置!$Z$9)^(('实盘净值数据(iFinD）'!$A144-'实盘净值数据(iFinD）'!$A$8)/365))</f>
        <v/>
      </c>
      <c r="R144" s="16" t="str">
        <f t="shared" si="17"/>
        <v/>
      </c>
      <c r="S144" s="16" t="str">
        <f>IF(Q144="","",Q144/MAX(Q$5:Q144)-1)</f>
        <v/>
      </c>
      <c r="T144" s="13">
        <f>IF(OR('实盘净值数据(iFinD）'!$A144="",'实盘净值数据(iFinD）'!$B144="",'实盘净值数据(iFinD）'!$Z144="",'实盘净值数据(iFinD）'!$AA144="",'实盘净值数据(iFinD）'!$AB144="",'实盘净值数据(iFinD）'!$AL144=""),"",(SUMPRODUCT(分期持仓明细!$B$26:$Y$26,'实盘净值数据(iFinD）'!$B144:$Y144/'实盘净值数据(iFinD）'!$B$69:$Y$69)+SUMPRODUCT(分期持仓明细!$AC$26:$AD$26,'实盘净值数据(iFinD）'!$Z144:$AA144/'实盘净值数据(iFinD）'!$Z$69:$AA$69)+SUMPRODUCT(分期持仓明细!$AE$26:$AO$26,'实盘净值数据(iFinD）'!$AB144:$AL144/'实盘净值数据(iFinD）'!$AB$69:$AL$69))*(1-实盘持仓初始配置!$Z$10)^(('实盘净值数据(iFinD）'!$A144-'实盘净值数据(iFinD）'!$A$69)/365))</f>
        <v/>
      </c>
      <c r="U144" s="16">
        <f>IF(OR(T143="",T144=""),"",T144/T143-1)</f>
        <v/>
      </c>
      <c r="V144" s="16">
        <f>IF(T144="","",T144/MAX(T$5:T144)-1)</f>
        <v/>
      </c>
    </row>
    <row r="145" spans="1:19">
      <c r="A145" s="15" t="str">
        <f>IF('实盘净值数据(iFinD）'!A145="","",'实盘净值数据(iFinD）'!A145)</f>
        <v/>
      </c>
      <c r="B145" s="13" t="str">
        <f>IF(OR('实盘净值数据(iFinD）'!$A145="",'实盘净值数据(iFinD）'!$B145=""),"",分期持仓明细!$AB$17*SUMPRODUCT(分期持仓明细!$B$17:$Y$17,'实盘净值数据(iFinD）'!$B145:$Y145/'实盘净值数据(iFinD）'!$B$20:$Y$20)*(1-实盘持仓初始配置!$Z$4)^(('实盘净值数据(iFinD）'!$A145-'实盘净值数据(iFinD）'!$A$6)/365))</f>
        <v/>
      </c>
      <c r="C145" s="16" t="str">
        <f t="shared" si="12"/>
        <v/>
      </c>
      <c r="D145" s="16" t="str">
        <f>IF(B145="","",B145/MAX(B$5:B145)-1)</f>
        <v/>
      </c>
      <c r="E145" s="13" t="str">
        <f>IF(OR('实盘净值数据(iFinD）'!$A145="",'实盘净值数据(iFinD）'!$B145=""),"",分期持仓明细!$AB$18*SUMPRODUCT(分期持仓明细!$B$18:$Y$18,'实盘净值数据(iFinD）'!$B145:$Y145/'实盘净值数据(iFinD）'!$B$20:$Y$20)*(1-实盘持仓初始配置!$Z$5)^(('实盘净值数据(iFinD）'!$A145-'实盘净值数据(iFinD）'!$A$5)/365))</f>
        <v/>
      </c>
      <c r="F145" s="16" t="str">
        <f t="shared" si="13"/>
        <v/>
      </c>
      <c r="G145" s="16" t="str">
        <f>IF(E145="","",E145/MAX(E$5:E145)-1)</f>
        <v/>
      </c>
      <c r="H145" s="13" t="str">
        <f>IF(OR('实盘净值数据(iFinD）'!$A145="",'实盘净值数据(iFinD）'!$B145=""),"",分期持仓明细!$AB$19*SUMPRODUCT(分期持仓明细!$B$19:$Y$19,'实盘净值数据(iFinD）'!$B145:$Y145/'实盘净值数据(iFinD）'!$B$20:$Y$20)*(1-实盘持仓初始配置!$Z$6)^(('实盘净值数据(iFinD）'!$A145-'实盘净值数据(iFinD）'!$A$7)/365))</f>
        <v/>
      </c>
      <c r="I145" s="16" t="str">
        <f t="shared" si="14"/>
        <v/>
      </c>
      <c r="J145" s="16" t="str">
        <f>IF(H145="","",H145/MAX(H$5:H145)-1)</f>
        <v/>
      </c>
      <c r="K145" s="13" t="str">
        <f>IF(OR('实盘净值数据(iFinD）'!$A145="",'实盘净值数据(iFinD）'!$B145="",'实盘净值数据(iFinD）'!$Z145="",'实盘净值数据(iFinD）'!$AA145=""),"",分期持仓明细!$AB$23*(SUMPRODUCT(分期持仓明细!$B$23:$Y$23,'实盘净值数据(iFinD）'!$B145:$Y145/'实盘净值数据(iFinD）'!$B$65:$Y$65)+SUMPRODUCT(分期持仓明细!$AC$23:$AD$23,'实盘净值数据(iFinD）'!$Z145:$AA145/'实盘净值数据(iFinD）'!$Z$65:$AA$65))*(1-实盘持仓初始配置!$Z$7)^(('实盘净值数据(iFinD）'!$A145-'实盘净值数据(iFinD）'!$A$8)/365))</f>
        <v/>
      </c>
      <c r="L145" s="16" t="str">
        <f t="shared" si="15"/>
        <v/>
      </c>
      <c r="M145" s="16" t="str">
        <f>IF(K145="","",K145/MAX(K$5:K145)-1)</f>
        <v/>
      </c>
      <c r="N145" s="13" t="str">
        <f>IF(OR('实盘净值数据(iFinD）'!$A145="",'实盘净值数据(iFinD）'!$B145="",'实盘净值数据(iFinD）'!$Z145="",'实盘净值数据(iFinD）'!$AA145=""),"",分期持仓明细!$AB$24*(SUMPRODUCT(分期持仓明细!$B$24:$Y$24,'实盘净值数据(iFinD）'!$B145:$Y145/'实盘净值数据(iFinD）'!$B$65:$Y$65)+SUMPRODUCT(分期持仓明细!$AC$24:$AD$24,'实盘净值数据(iFinD）'!$Z145:$AA145/'实盘净值数据(iFinD）'!$Z$65:$AA$65))*(1-实盘持仓初始配置!$Z$8)^(('实盘净值数据(iFinD）'!$A145-'实盘净值数据(iFinD）'!$A$5)/365))</f>
        <v/>
      </c>
      <c r="O145" s="16" t="str">
        <f t="shared" si="16"/>
        <v/>
      </c>
      <c r="P145" s="16" t="str">
        <f>IF(N145="","",N145/MAX(N$5:N145)-1)</f>
        <v/>
      </c>
      <c r="Q145" s="13" t="str">
        <f>IF(OR('实盘净值数据(iFinD）'!$A145="",'实盘净值数据(iFinD）'!$B145="",'实盘净值数据(iFinD）'!$Z145="",'实盘净值数据(iFinD）'!$AA145=""),"",分期持仓明细!$AB$25*(SUMPRODUCT(分期持仓明细!$B$25:$Y$25,'实盘净值数据(iFinD）'!$B145:$Y145/'实盘净值数据(iFinD）'!$B$65:$Y$65)+SUMPRODUCT(分期持仓明细!$AC$25:$AD$25,'实盘净值数据(iFinD）'!$Z145:$AA145/'实盘净值数据(iFinD）'!$Z$65:$AA$65))*(1-实盘持仓初始配置!$Z$9)^(('实盘净值数据(iFinD）'!$A145-'实盘净值数据(iFinD）'!$A$8)/365))</f>
        <v/>
      </c>
      <c r="R145" s="16" t="str">
        <f t="shared" si="17"/>
        <v/>
      </c>
      <c r="S145" s="16" t="str">
        <f>IF(Q145="","",Q145/MAX(Q$5:Q145)-1)</f>
        <v/>
      </c>
      <c r="T145" s="13">
        <f>IF(OR('实盘净值数据(iFinD）'!$A145="",'实盘净值数据(iFinD）'!$B145="",'实盘净值数据(iFinD）'!$Z145="",'实盘净值数据(iFinD）'!$AA145="",'实盘净值数据(iFinD）'!$AB145="",'实盘净值数据(iFinD）'!$AL145=""),"",(SUMPRODUCT(分期持仓明细!$B$26:$Y$26,'实盘净值数据(iFinD）'!$B145:$Y145/'实盘净值数据(iFinD）'!$B$69:$Y$69)+SUMPRODUCT(分期持仓明细!$AC$26:$AD$26,'实盘净值数据(iFinD）'!$Z145:$AA145/'实盘净值数据(iFinD）'!$Z$69:$AA$69)+SUMPRODUCT(分期持仓明细!$AE$26:$AO$26,'实盘净值数据(iFinD）'!$AB145:$AL145/'实盘净值数据(iFinD）'!$AB$69:$AL$69))*(1-实盘持仓初始配置!$Z$10)^(('实盘净值数据(iFinD）'!$A145-'实盘净值数据(iFinD）'!$A$69)/365))</f>
        <v/>
      </c>
      <c r="U145" s="16">
        <f>IF(OR(T144="",T145=""),"",T145/T144-1)</f>
        <v/>
      </c>
      <c r="V145" s="16">
        <f>IF(T145="","",T145/MAX(T$5:T145)-1)</f>
        <v/>
      </c>
    </row>
    <row r="146" spans="1:19">
      <c r="A146" s="15" t="str">
        <f>IF('实盘净值数据(iFinD）'!A146="","",'实盘净值数据(iFinD）'!A146)</f>
        <v/>
      </c>
      <c r="B146" s="13" t="str">
        <f>IF(OR('实盘净值数据(iFinD）'!$A146="",'实盘净值数据(iFinD）'!$B146=""),"",分期持仓明细!$AB$17*SUMPRODUCT(分期持仓明细!$B$17:$Y$17,'实盘净值数据(iFinD）'!$B146:$Y146/'实盘净值数据(iFinD）'!$B$20:$Y$20)*(1-实盘持仓初始配置!$Z$4)^(('实盘净值数据(iFinD）'!$A146-'实盘净值数据(iFinD）'!$A$6)/365))</f>
        <v/>
      </c>
      <c r="C146" s="16" t="str">
        <f t="shared" si="12"/>
        <v/>
      </c>
      <c r="D146" s="16" t="str">
        <f>IF(B146="","",B146/MAX(B$5:B146)-1)</f>
        <v/>
      </c>
      <c r="E146" s="13" t="str">
        <f>IF(OR('实盘净值数据(iFinD）'!$A146="",'实盘净值数据(iFinD）'!$B146=""),"",分期持仓明细!$AB$18*SUMPRODUCT(分期持仓明细!$B$18:$Y$18,'实盘净值数据(iFinD）'!$B146:$Y146/'实盘净值数据(iFinD）'!$B$20:$Y$20)*(1-实盘持仓初始配置!$Z$5)^(('实盘净值数据(iFinD）'!$A146-'实盘净值数据(iFinD）'!$A$5)/365))</f>
        <v/>
      </c>
      <c r="F146" s="16" t="str">
        <f t="shared" si="13"/>
        <v/>
      </c>
      <c r="G146" s="16" t="str">
        <f>IF(E146="","",E146/MAX(E$5:E146)-1)</f>
        <v/>
      </c>
      <c r="H146" s="13" t="str">
        <f>IF(OR('实盘净值数据(iFinD）'!$A146="",'实盘净值数据(iFinD）'!$B146=""),"",分期持仓明细!$AB$19*SUMPRODUCT(分期持仓明细!$B$19:$Y$19,'实盘净值数据(iFinD）'!$B146:$Y146/'实盘净值数据(iFinD）'!$B$20:$Y$20)*(1-实盘持仓初始配置!$Z$6)^(('实盘净值数据(iFinD）'!$A146-'实盘净值数据(iFinD）'!$A$7)/365))</f>
        <v/>
      </c>
      <c r="I146" s="16" t="str">
        <f t="shared" si="14"/>
        <v/>
      </c>
      <c r="J146" s="16" t="str">
        <f>IF(H146="","",H146/MAX(H$5:H146)-1)</f>
        <v/>
      </c>
      <c r="K146" s="13" t="str">
        <f>IF(OR('实盘净值数据(iFinD）'!$A146="",'实盘净值数据(iFinD）'!$B146="",'实盘净值数据(iFinD）'!$Z146="",'实盘净值数据(iFinD）'!$AA146=""),"",分期持仓明细!$AB$23*(SUMPRODUCT(分期持仓明细!$B$23:$Y$23,'实盘净值数据(iFinD）'!$B146:$Y146/'实盘净值数据(iFinD）'!$B$65:$Y$65)+SUMPRODUCT(分期持仓明细!$AC$23:$AD$23,'实盘净值数据(iFinD）'!$Z146:$AA146/'实盘净值数据(iFinD）'!$Z$65:$AA$65))*(1-实盘持仓初始配置!$Z$7)^(('实盘净值数据(iFinD）'!$A146-'实盘净值数据(iFinD）'!$A$8)/365))</f>
        <v/>
      </c>
      <c r="L146" s="16" t="str">
        <f t="shared" si="15"/>
        <v/>
      </c>
      <c r="M146" s="16" t="str">
        <f>IF(K146="","",K146/MAX(K$5:K146)-1)</f>
        <v/>
      </c>
      <c r="N146" s="13" t="str">
        <f>IF(OR('实盘净值数据(iFinD）'!$A146="",'实盘净值数据(iFinD）'!$B146="",'实盘净值数据(iFinD）'!$Z146="",'实盘净值数据(iFinD）'!$AA146=""),"",分期持仓明细!$AB$24*(SUMPRODUCT(分期持仓明细!$B$24:$Y$24,'实盘净值数据(iFinD）'!$B146:$Y146/'实盘净值数据(iFinD）'!$B$65:$Y$65)+SUMPRODUCT(分期持仓明细!$AC$24:$AD$24,'实盘净值数据(iFinD）'!$Z146:$AA146/'实盘净值数据(iFinD）'!$Z$65:$AA$65))*(1-实盘持仓初始配置!$Z$8)^(('实盘净值数据(iFinD）'!$A146-'实盘净值数据(iFinD）'!$A$5)/365))</f>
        <v/>
      </c>
      <c r="O146" s="16" t="str">
        <f t="shared" si="16"/>
        <v/>
      </c>
      <c r="P146" s="16" t="str">
        <f>IF(N146="","",N146/MAX(N$5:N146)-1)</f>
        <v/>
      </c>
      <c r="Q146" s="13" t="str">
        <f>IF(OR('实盘净值数据(iFinD）'!$A146="",'实盘净值数据(iFinD）'!$B146="",'实盘净值数据(iFinD）'!$Z146="",'实盘净值数据(iFinD）'!$AA146=""),"",分期持仓明细!$AB$25*(SUMPRODUCT(分期持仓明细!$B$25:$Y$25,'实盘净值数据(iFinD）'!$B146:$Y146/'实盘净值数据(iFinD）'!$B$65:$Y$65)+SUMPRODUCT(分期持仓明细!$AC$25:$AD$25,'实盘净值数据(iFinD）'!$Z146:$AA146/'实盘净值数据(iFinD）'!$Z$65:$AA$65))*(1-实盘持仓初始配置!$Z$9)^(('实盘净值数据(iFinD）'!$A146-'实盘净值数据(iFinD）'!$A$8)/365))</f>
        <v/>
      </c>
      <c r="R146" s="16" t="str">
        <f t="shared" si="17"/>
        <v/>
      </c>
      <c r="S146" s="16" t="str">
        <f>IF(Q146="","",Q146/MAX(Q$5:Q146)-1)</f>
        <v/>
      </c>
      <c r="T146" s="13">
        <f>IF(OR('实盘净值数据(iFinD）'!$A146="",'实盘净值数据(iFinD）'!$B146="",'实盘净值数据(iFinD）'!$Z146="",'实盘净值数据(iFinD）'!$AA146="",'实盘净值数据(iFinD）'!$AB146="",'实盘净值数据(iFinD）'!$AL146=""),"",(SUMPRODUCT(分期持仓明细!$B$26:$Y$26,'实盘净值数据(iFinD）'!$B146:$Y146/'实盘净值数据(iFinD）'!$B$69:$Y$69)+SUMPRODUCT(分期持仓明细!$AC$26:$AD$26,'实盘净值数据(iFinD）'!$Z146:$AA146/'实盘净值数据(iFinD）'!$Z$69:$AA$69)+SUMPRODUCT(分期持仓明细!$AE$26:$AO$26,'实盘净值数据(iFinD）'!$AB146:$AL146/'实盘净值数据(iFinD）'!$AB$69:$AL$69))*(1-实盘持仓初始配置!$Z$10)^(('实盘净值数据(iFinD）'!$A146-'实盘净值数据(iFinD）'!$A$69)/365))</f>
        <v/>
      </c>
      <c r="U146" s="16">
        <f>IF(OR(T145="",T146=""),"",T146/T145-1)</f>
        <v/>
      </c>
      <c r="V146" s="16">
        <f>IF(T146="","",T146/MAX(T$5:T146)-1)</f>
        <v/>
      </c>
    </row>
    <row r="147" spans="1:19">
      <c r="A147" s="15" t="str">
        <f>IF('实盘净值数据(iFinD）'!A147="","",'实盘净值数据(iFinD）'!A147)</f>
        <v/>
      </c>
      <c r="B147" s="13" t="str">
        <f>IF(OR('实盘净值数据(iFinD）'!$A147="",'实盘净值数据(iFinD）'!$B147=""),"",分期持仓明细!$AB$17*SUMPRODUCT(分期持仓明细!$B$17:$Y$17,'实盘净值数据(iFinD）'!$B147:$Y147/'实盘净值数据(iFinD）'!$B$20:$Y$20)*(1-实盘持仓初始配置!$Z$4)^(('实盘净值数据(iFinD）'!$A147-'实盘净值数据(iFinD）'!$A$6)/365))</f>
        <v/>
      </c>
      <c r="C147" s="16" t="str">
        <f t="shared" si="12"/>
        <v/>
      </c>
      <c r="D147" s="16" t="str">
        <f>IF(B147="","",B147/MAX(B$5:B147)-1)</f>
        <v/>
      </c>
      <c r="E147" s="13" t="str">
        <f>IF(OR('实盘净值数据(iFinD）'!$A147="",'实盘净值数据(iFinD）'!$B147=""),"",分期持仓明细!$AB$18*SUMPRODUCT(分期持仓明细!$B$18:$Y$18,'实盘净值数据(iFinD）'!$B147:$Y147/'实盘净值数据(iFinD）'!$B$20:$Y$20)*(1-实盘持仓初始配置!$Z$5)^(('实盘净值数据(iFinD）'!$A147-'实盘净值数据(iFinD）'!$A$5)/365))</f>
        <v/>
      </c>
      <c r="F147" s="16" t="str">
        <f t="shared" si="13"/>
        <v/>
      </c>
      <c r="G147" s="16" t="str">
        <f>IF(E147="","",E147/MAX(E$5:E147)-1)</f>
        <v/>
      </c>
      <c r="H147" s="13" t="str">
        <f>IF(OR('实盘净值数据(iFinD）'!$A147="",'实盘净值数据(iFinD）'!$B147=""),"",分期持仓明细!$AB$19*SUMPRODUCT(分期持仓明细!$B$19:$Y$19,'实盘净值数据(iFinD）'!$B147:$Y147/'实盘净值数据(iFinD）'!$B$20:$Y$20)*(1-实盘持仓初始配置!$Z$6)^(('实盘净值数据(iFinD）'!$A147-'实盘净值数据(iFinD）'!$A$7)/365))</f>
        <v/>
      </c>
      <c r="I147" s="16" t="str">
        <f t="shared" si="14"/>
        <v/>
      </c>
      <c r="J147" s="16" t="str">
        <f>IF(H147="","",H147/MAX(H$5:H147)-1)</f>
        <v/>
      </c>
      <c r="K147" s="13" t="str">
        <f>IF(OR('实盘净值数据(iFinD）'!$A147="",'实盘净值数据(iFinD）'!$B147="",'实盘净值数据(iFinD）'!$Z147="",'实盘净值数据(iFinD）'!$AA147=""),"",分期持仓明细!$AB$23*(SUMPRODUCT(分期持仓明细!$B$23:$Y$23,'实盘净值数据(iFinD）'!$B147:$Y147/'实盘净值数据(iFinD）'!$B$65:$Y$65)+SUMPRODUCT(分期持仓明细!$AC$23:$AD$23,'实盘净值数据(iFinD）'!$Z147:$AA147/'实盘净值数据(iFinD）'!$Z$65:$AA$65))*(1-实盘持仓初始配置!$Z$7)^(('实盘净值数据(iFinD）'!$A147-'实盘净值数据(iFinD）'!$A$8)/365))</f>
        <v/>
      </c>
      <c r="L147" s="16" t="str">
        <f t="shared" si="15"/>
        <v/>
      </c>
      <c r="M147" s="16" t="str">
        <f>IF(K147="","",K147/MAX(K$5:K147)-1)</f>
        <v/>
      </c>
      <c r="N147" s="13" t="str">
        <f>IF(OR('实盘净值数据(iFinD）'!$A147="",'实盘净值数据(iFinD）'!$B147="",'实盘净值数据(iFinD）'!$Z147="",'实盘净值数据(iFinD）'!$AA147=""),"",分期持仓明细!$AB$24*(SUMPRODUCT(分期持仓明细!$B$24:$Y$24,'实盘净值数据(iFinD）'!$B147:$Y147/'实盘净值数据(iFinD）'!$B$65:$Y$65)+SUMPRODUCT(分期持仓明细!$AC$24:$AD$24,'实盘净值数据(iFinD）'!$Z147:$AA147/'实盘净值数据(iFinD）'!$Z$65:$AA$65))*(1-实盘持仓初始配置!$Z$8)^(('实盘净值数据(iFinD）'!$A147-'实盘净值数据(iFinD）'!$A$5)/365))</f>
        <v/>
      </c>
      <c r="O147" s="16" t="str">
        <f t="shared" si="16"/>
        <v/>
      </c>
      <c r="P147" s="16" t="str">
        <f>IF(N147="","",N147/MAX(N$5:N147)-1)</f>
        <v/>
      </c>
      <c r="Q147" s="13" t="str">
        <f>IF(OR('实盘净值数据(iFinD）'!$A147="",'实盘净值数据(iFinD）'!$B147="",'实盘净值数据(iFinD）'!$Z147="",'实盘净值数据(iFinD）'!$AA147=""),"",分期持仓明细!$AB$25*(SUMPRODUCT(分期持仓明细!$B$25:$Y$25,'实盘净值数据(iFinD）'!$B147:$Y147/'实盘净值数据(iFinD）'!$B$65:$Y$65)+SUMPRODUCT(分期持仓明细!$AC$25:$AD$25,'实盘净值数据(iFinD）'!$Z147:$AA147/'实盘净值数据(iFinD）'!$Z$65:$AA$65))*(1-实盘持仓初始配置!$Z$9)^(('实盘净值数据(iFinD）'!$A147-'实盘净值数据(iFinD）'!$A$8)/365))</f>
        <v/>
      </c>
      <c r="R147" s="16" t="str">
        <f t="shared" si="17"/>
        <v/>
      </c>
      <c r="S147" s="16" t="str">
        <f>IF(Q147="","",Q147/MAX(Q$5:Q147)-1)</f>
        <v/>
      </c>
      <c r="T147" s="13">
        <f>IF(OR('实盘净值数据(iFinD）'!$A147="",'实盘净值数据(iFinD）'!$B147="",'实盘净值数据(iFinD）'!$Z147="",'实盘净值数据(iFinD）'!$AA147="",'实盘净值数据(iFinD）'!$AB147="",'实盘净值数据(iFinD）'!$AL147=""),"",(SUMPRODUCT(分期持仓明细!$B$26:$Y$26,'实盘净值数据(iFinD）'!$B147:$Y147/'实盘净值数据(iFinD）'!$B$69:$Y$69)+SUMPRODUCT(分期持仓明细!$AC$26:$AD$26,'实盘净值数据(iFinD）'!$Z147:$AA147/'实盘净值数据(iFinD）'!$Z$69:$AA$69)+SUMPRODUCT(分期持仓明细!$AE$26:$AO$26,'实盘净值数据(iFinD）'!$AB147:$AL147/'实盘净值数据(iFinD）'!$AB$69:$AL$69))*(1-实盘持仓初始配置!$Z$10)^(('实盘净值数据(iFinD）'!$A147-'实盘净值数据(iFinD）'!$A$69)/365))</f>
        <v/>
      </c>
      <c r="U147" s="16">
        <f>IF(OR(T146="",T147=""),"",T147/T146-1)</f>
        <v/>
      </c>
      <c r="V147" s="16">
        <f>IF(T147="","",T147/MAX(T$5:T147)-1)</f>
        <v/>
      </c>
    </row>
    <row r="148" spans="1:19">
      <c r="A148" s="15" t="str">
        <f>IF('实盘净值数据(iFinD）'!A148="","",'实盘净值数据(iFinD）'!A148)</f>
        <v/>
      </c>
      <c r="B148" s="13" t="str">
        <f>IF(OR('实盘净值数据(iFinD）'!$A148="",'实盘净值数据(iFinD）'!$B148=""),"",分期持仓明细!$AB$17*SUMPRODUCT(分期持仓明细!$B$17:$Y$17,'实盘净值数据(iFinD）'!$B148:$Y148/'实盘净值数据(iFinD）'!$B$20:$Y$20)*(1-实盘持仓初始配置!$Z$4)^(('实盘净值数据(iFinD）'!$A148-'实盘净值数据(iFinD）'!$A$6)/365))</f>
        <v/>
      </c>
      <c r="C148" s="16" t="str">
        <f t="shared" si="12"/>
        <v/>
      </c>
      <c r="D148" s="16" t="str">
        <f>IF(B148="","",B148/MAX(B$5:B148)-1)</f>
        <v/>
      </c>
      <c r="E148" s="13" t="str">
        <f>IF(OR('实盘净值数据(iFinD）'!$A148="",'实盘净值数据(iFinD）'!$B148=""),"",分期持仓明细!$AB$18*SUMPRODUCT(分期持仓明细!$B$18:$Y$18,'实盘净值数据(iFinD）'!$B148:$Y148/'实盘净值数据(iFinD）'!$B$20:$Y$20)*(1-实盘持仓初始配置!$Z$5)^(('实盘净值数据(iFinD）'!$A148-'实盘净值数据(iFinD）'!$A$5)/365))</f>
        <v/>
      </c>
      <c r="F148" s="16" t="str">
        <f t="shared" si="13"/>
        <v/>
      </c>
      <c r="G148" s="16" t="str">
        <f>IF(E148="","",E148/MAX(E$5:E148)-1)</f>
        <v/>
      </c>
      <c r="H148" s="13" t="str">
        <f>IF(OR('实盘净值数据(iFinD）'!$A148="",'实盘净值数据(iFinD）'!$B148=""),"",分期持仓明细!$AB$19*SUMPRODUCT(分期持仓明细!$B$19:$Y$19,'实盘净值数据(iFinD）'!$B148:$Y148/'实盘净值数据(iFinD）'!$B$20:$Y$20)*(1-实盘持仓初始配置!$Z$6)^(('实盘净值数据(iFinD）'!$A148-'实盘净值数据(iFinD）'!$A$7)/365))</f>
        <v/>
      </c>
      <c r="I148" s="16" t="str">
        <f t="shared" si="14"/>
        <v/>
      </c>
      <c r="J148" s="16" t="str">
        <f>IF(H148="","",H148/MAX(H$5:H148)-1)</f>
        <v/>
      </c>
      <c r="K148" s="13" t="str">
        <f>IF(OR('实盘净值数据(iFinD）'!$A148="",'实盘净值数据(iFinD）'!$B148="",'实盘净值数据(iFinD）'!$Z148="",'实盘净值数据(iFinD）'!$AA148=""),"",分期持仓明细!$AB$23*(SUMPRODUCT(分期持仓明细!$B$23:$Y$23,'实盘净值数据(iFinD）'!$B148:$Y148/'实盘净值数据(iFinD）'!$B$65:$Y$65)+SUMPRODUCT(分期持仓明细!$AC$23:$AD$23,'实盘净值数据(iFinD）'!$Z148:$AA148/'实盘净值数据(iFinD）'!$Z$65:$AA$65))*(1-实盘持仓初始配置!$Z$7)^(('实盘净值数据(iFinD）'!$A148-'实盘净值数据(iFinD）'!$A$8)/365))</f>
        <v/>
      </c>
      <c r="L148" s="16" t="str">
        <f t="shared" si="15"/>
        <v/>
      </c>
      <c r="M148" s="16" t="str">
        <f>IF(K148="","",K148/MAX(K$5:K148)-1)</f>
        <v/>
      </c>
      <c r="N148" s="13" t="str">
        <f>IF(OR('实盘净值数据(iFinD）'!$A148="",'实盘净值数据(iFinD）'!$B148="",'实盘净值数据(iFinD）'!$Z148="",'实盘净值数据(iFinD）'!$AA148=""),"",分期持仓明细!$AB$24*(SUMPRODUCT(分期持仓明细!$B$24:$Y$24,'实盘净值数据(iFinD）'!$B148:$Y148/'实盘净值数据(iFinD）'!$B$65:$Y$65)+SUMPRODUCT(分期持仓明细!$AC$24:$AD$24,'实盘净值数据(iFinD）'!$Z148:$AA148/'实盘净值数据(iFinD）'!$Z$65:$AA$65))*(1-实盘持仓初始配置!$Z$8)^(('实盘净值数据(iFinD）'!$A148-'实盘净值数据(iFinD）'!$A$5)/365))</f>
        <v/>
      </c>
      <c r="O148" s="16" t="str">
        <f t="shared" si="16"/>
        <v/>
      </c>
      <c r="P148" s="16" t="str">
        <f>IF(N148="","",N148/MAX(N$5:N148)-1)</f>
        <v/>
      </c>
      <c r="Q148" s="13" t="str">
        <f>IF(OR('实盘净值数据(iFinD）'!$A148="",'实盘净值数据(iFinD）'!$B148="",'实盘净值数据(iFinD）'!$Z148="",'实盘净值数据(iFinD）'!$AA148=""),"",分期持仓明细!$AB$25*(SUMPRODUCT(分期持仓明细!$B$25:$Y$25,'实盘净值数据(iFinD）'!$B148:$Y148/'实盘净值数据(iFinD）'!$B$65:$Y$65)+SUMPRODUCT(分期持仓明细!$AC$25:$AD$25,'实盘净值数据(iFinD）'!$Z148:$AA148/'实盘净值数据(iFinD）'!$Z$65:$AA$65))*(1-实盘持仓初始配置!$Z$9)^(('实盘净值数据(iFinD）'!$A148-'实盘净值数据(iFinD）'!$A$8)/365))</f>
        <v/>
      </c>
      <c r="R148" s="16" t="str">
        <f t="shared" si="17"/>
        <v/>
      </c>
      <c r="S148" s="16" t="str">
        <f>IF(Q148="","",Q148/MAX(Q$5:Q148)-1)</f>
        <v/>
      </c>
      <c r="T148" s="13">
        <f>IF(OR('实盘净值数据(iFinD）'!$A148="",'实盘净值数据(iFinD）'!$B148="",'实盘净值数据(iFinD）'!$Z148="",'实盘净值数据(iFinD）'!$AA148="",'实盘净值数据(iFinD）'!$AB148="",'实盘净值数据(iFinD）'!$AL148=""),"",(SUMPRODUCT(分期持仓明细!$B$26:$Y$26,'实盘净值数据(iFinD）'!$B148:$Y148/'实盘净值数据(iFinD）'!$B$69:$Y$69)+SUMPRODUCT(分期持仓明细!$AC$26:$AD$26,'实盘净值数据(iFinD）'!$Z148:$AA148/'实盘净值数据(iFinD）'!$Z$69:$AA$69)+SUMPRODUCT(分期持仓明细!$AE$26:$AO$26,'实盘净值数据(iFinD）'!$AB148:$AL148/'实盘净值数据(iFinD）'!$AB$69:$AL$69))*(1-实盘持仓初始配置!$Z$10)^(('实盘净值数据(iFinD）'!$A148-'实盘净值数据(iFinD）'!$A$69)/365))</f>
        <v/>
      </c>
      <c r="U148" s="16">
        <f>IF(OR(T147="",T148=""),"",T148/T147-1)</f>
        <v/>
      </c>
      <c r="V148" s="16">
        <f>IF(T148="","",T148/MAX(T$5:T148)-1)</f>
        <v/>
      </c>
    </row>
    <row r="149" spans="1:19">
      <c r="A149" s="15" t="str">
        <f>IF('实盘净值数据(iFinD）'!A149="","",'实盘净值数据(iFinD）'!A149)</f>
        <v/>
      </c>
      <c r="B149" s="13" t="str">
        <f>IF(OR('实盘净值数据(iFinD）'!$A149="",'实盘净值数据(iFinD）'!$B149=""),"",分期持仓明细!$AB$17*SUMPRODUCT(分期持仓明细!$B$17:$Y$17,'实盘净值数据(iFinD）'!$B149:$Y149/'实盘净值数据(iFinD）'!$B$20:$Y$20)*(1-实盘持仓初始配置!$Z$4)^(('实盘净值数据(iFinD）'!$A149-'实盘净值数据(iFinD）'!$A$6)/365))</f>
        <v/>
      </c>
      <c r="C149" s="16" t="str">
        <f t="shared" si="12"/>
        <v/>
      </c>
      <c r="D149" s="16" t="str">
        <f>IF(B149="","",B149/MAX(B$5:B149)-1)</f>
        <v/>
      </c>
      <c r="E149" s="13" t="str">
        <f>IF(OR('实盘净值数据(iFinD）'!$A149="",'实盘净值数据(iFinD）'!$B149=""),"",分期持仓明细!$AB$18*SUMPRODUCT(分期持仓明细!$B$18:$Y$18,'实盘净值数据(iFinD）'!$B149:$Y149/'实盘净值数据(iFinD）'!$B$20:$Y$20)*(1-实盘持仓初始配置!$Z$5)^(('实盘净值数据(iFinD）'!$A149-'实盘净值数据(iFinD）'!$A$5)/365))</f>
        <v/>
      </c>
      <c r="F149" s="16" t="str">
        <f t="shared" si="13"/>
        <v/>
      </c>
      <c r="G149" s="16" t="str">
        <f>IF(E149="","",E149/MAX(E$5:E149)-1)</f>
        <v/>
      </c>
      <c r="H149" s="13" t="str">
        <f>IF(OR('实盘净值数据(iFinD）'!$A149="",'实盘净值数据(iFinD）'!$B149=""),"",分期持仓明细!$AB$19*SUMPRODUCT(分期持仓明细!$B$19:$Y$19,'实盘净值数据(iFinD）'!$B149:$Y149/'实盘净值数据(iFinD）'!$B$20:$Y$20)*(1-实盘持仓初始配置!$Z$6)^(('实盘净值数据(iFinD）'!$A149-'实盘净值数据(iFinD）'!$A$7)/365))</f>
        <v/>
      </c>
      <c r="I149" s="16" t="str">
        <f t="shared" si="14"/>
        <v/>
      </c>
      <c r="J149" s="16" t="str">
        <f>IF(H149="","",H149/MAX(H$5:H149)-1)</f>
        <v/>
      </c>
      <c r="K149" s="13" t="str">
        <f>IF(OR('实盘净值数据(iFinD）'!$A149="",'实盘净值数据(iFinD）'!$B149="",'实盘净值数据(iFinD）'!$Z149="",'实盘净值数据(iFinD）'!$AA149=""),"",分期持仓明细!$AB$23*(SUMPRODUCT(分期持仓明细!$B$23:$Y$23,'实盘净值数据(iFinD）'!$B149:$Y149/'实盘净值数据(iFinD）'!$B$65:$Y$65)+SUMPRODUCT(分期持仓明细!$AC$23:$AD$23,'实盘净值数据(iFinD）'!$Z149:$AA149/'实盘净值数据(iFinD）'!$Z$65:$AA$65))*(1-实盘持仓初始配置!$Z$7)^(('实盘净值数据(iFinD）'!$A149-'实盘净值数据(iFinD）'!$A$8)/365))</f>
        <v/>
      </c>
      <c r="L149" s="16" t="str">
        <f t="shared" si="15"/>
        <v/>
      </c>
      <c r="M149" s="16" t="str">
        <f>IF(K149="","",K149/MAX(K$5:K149)-1)</f>
        <v/>
      </c>
      <c r="N149" s="13" t="str">
        <f>IF(OR('实盘净值数据(iFinD）'!$A149="",'实盘净值数据(iFinD）'!$B149="",'实盘净值数据(iFinD）'!$Z149="",'实盘净值数据(iFinD）'!$AA149=""),"",分期持仓明细!$AB$24*(SUMPRODUCT(分期持仓明细!$B$24:$Y$24,'实盘净值数据(iFinD）'!$B149:$Y149/'实盘净值数据(iFinD）'!$B$65:$Y$65)+SUMPRODUCT(分期持仓明细!$AC$24:$AD$24,'实盘净值数据(iFinD）'!$Z149:$AA149/'实盘净值数据(iFinD）'!$Z$65:$AA$65))*(1-实盘持仓初始配置!$Z$8)^(('实盘净值数据(iFinD）'!$A149-'实盘净值数据(iFinD）'!$A$5)/365))</f>
        <v/>
      </c>
      <c r="O149" s="16" t="str">
        <f t="shared" si="16"/>
        <v/>
      </c>
      <c r="P149" s="16" t="str">
        <f>IF(N149="","",N149/MAX(N$5:N149)-1)</f>
        <v/>
      </c>
      <c r="Q149" s="13" t="str">
        <f>IF(OR('实盘净值数据(iFinD）'!$A149="",'实盘净值数据(iFinD）'!$B149="",'实盘净值数据(iFinD）'!$Z149="",'实盘净值数据(iFinD）'!$AA149=""),"",分期持仓明细!$AB$25*(SUMPRODUCT(分期持仓明细!$B$25:$Y$25,'实盘净值数据(iFinD）'!$B149:$Y149/'实盘净值数据(iFinD）'!$B$65:$Y$65)+SUMPRODUCT(分期持仓明细!$AC$25:$AD$25,'实盘净值数据(iFinD）'!$Z149:$AA149/'实盘净值数据(iFinD）'!$Z$65:$AA$65))*(1-实盘持仓初始配置!$Z$9)^(('实盘净值数据(iFinD）'!$A149-'实盘净值数据(iFinD）'!$A$8)/365))</f>
        <v/>
      </c>
      <c r="R149" s="16" t="str">
        <f t="shared" si="17"/>
        <v/>
      </c>
      <c r="S149" s="16" t="str">
        <f>IF(Q149="","",Q149/MAX(Q$5:Q149)-1)</f>
        <v/>
      </c>
      <c r="T149" s="13">
        <f>IF(OR('实盘净值数据(iFinD）'!$A149="",'实盘净值数据(iFinD）'!$B149="",'实盘净值数据(iFinD）'!$Z149="",'实盘净值数据(iFinD）'!$AA149="",'实盘净值数据(iFinD）'!$AB149="",'实盘净值数据(iFinD）'!$AL149=""),"",(SUMPRODUCT(分期持仓明细!$B$26:$Y$26,'实盘净值数据(iFinD）'!$B149:$Y149/'实盘净值数据(iFinD）'!$B$69:$Y$69)+SUMPRODUCT(分期持仓明细!$AC$26:$AD$26,'实盘净值数据(iFinD）'!$Z149:$AA149/'实盘净值数据(iFinD）'!$Z$69:$AA$69)+SUMPRODUCT(分期持仓明细!$AE$26:$AO$26,'实盘净值数据(iFinD）'!$AB149:$AL149/'实盘净值数据(iFinD）'!$AB$69:$AL$69))*(1-实盘持仓初始配置!$Z$10)^(('实盘净值数据(iFinD）'!$A149-'实盘净值数据(iFinD）'!$A$69)/365))</f>
        <v/>
      </c>
      <c r="U149" s="16">
        <f>IF(OR(T148="",T149=""),"",T149/T148-1)</f>
        <v/>
      </c>
      <c r="V149" s="16">
        <f>IF(T149="","",T149/MAX(T$5:T149)-1)</f>
        <v/>
      </c>
    </row>
    <row r="150" spans="1:19">
      <c r="A150" s="15" t="str">
        <f>IF('实盘净值数据(iFinD）'!A150="","",'实盘净值数据(iFinD）'!A150)</f>
        <v/>
      </c>
      <c r="B150" s="13" t="str">
        <f>IF(OR('实盘净值数据(iFinD）'!$A150="",'实盘净值数据(iFinD）'!$B150=""),"",分期持仓明细!$AB$17*SUMPRODUCT(分期持仓明细!$B$17:$Y$17,'实盘净值数据(iFinD）'!$B150:$Y150/'实盘净值数据(iFinD）'!$B$20:$Y$20)*(1-实盘持仓初始配置!$Z$4)^(('实盘净值数据(iFinD）'!$A150-'实盘净值数据(iFinD）'!$A$6)/365))</f>
        <v/>
      </c>
      <c r="C150" s="16" t="str">
        <f t="shared" si="12"/>
        <v/>
      </c>
      <c r="D150" s="16" t="str">
        <f>IF(B150="","",B150/MAX(B$5:B150)-1)</f>
        <v/>
      </c>
      <c r="E150" s="13" t="str">
        <f>IF(OR('实盘净值数据(iFinD）'!$A150="",'实盘净值数据(iFinD）'!$B150=""),"",分期持仓明细!$AB$18*SUMPRODUCT(分期持仓明细!$B$18:$Y$18,'实盘净值数据(iFinD）'!$B150:$Y150/'实盘净值数据(iFinD）'!$B$20:$Y$20)*(1-实盘持仓初始配置!$Z$5)^(('实盘净值数据(iFinD）'!$A150-'实盘净值数据(iFinD）'!$A$5)/365))</f>
        <v/>
      </c>
      <c r="F150" s="16" t="str">
        <f t="shared" si="13"/>
        <v/>
      </c>
      <c r="G150" s="16" t="str">
        <f>IF(E150="","",E150/MAX(E$5:E150)-1)</f>
        <v/>
      </c>
      <c r="H150" s="13" t="str">
        <f>IF(OR('实盘净值数据(iFinD）'!$A150="",'实盘净值数据(iFinD）'!$B150=""),"",分期持仓明细!$AB$19*SUMPRODUCT(分期持仓明细!$B$19:$Y$19,'实盘净值数据(iFinD）'!$B150:$Y150/'实盘净值数据(iFinD）'!$B$20:$Y$20)*(1-实盘持仓初始配置!$Z$6)^(('实盘净值数据(iFinD）'!$A150-'实盘净值数据(iFinD）'!$A$7)/365))</f>
        <v/>
      </c>
      <c r="I150" s="16" t="str">
        <f t="shared" si="14"/>
        <v/>
      </c>
      <c r="J150" s="16" t="str">
        <f>IF(H150="","",H150/MAX(H$5:H150)-1)</f>
        <v/>
      </c>
      <c r="K150" s="13" t="str">
        <f>IF(OR('实盘净值数据(iFinD）'!$A150="",'实盘净值数据(iFinD）'!$B150="",'实盘净值数据(iFinD）'!$Z150="",'实盘净值数据(iFinD）'!$AA150=""),"",分期持仓明细!$AB$23*(SUMPRODUCT(分期持仓明细!$B$23:$Y$23,'实盘净值数据(iFinD）'!$B150:$Y150/'实盘净值数据(iFinD）'!$B$65:$Y$65)+SUMPRODUCT(分期持仓明细!$AC$23:$AD$23,'实盘净值数据(iFinD）'!$Z150:$AA150/'实盘净值数据(iFinD）'!$Z$65:$AA$65))*(1-实盘持仓初始配置!$Z$7)^(('实盘净值数据(iFinD）'!$A150-'实盘净值数据(iFinD）'!$A$8)/365))</f>
        <v/>
      </c>
      <c r="L150" s="16" t="str">
        <f t="shared" si="15"/>
        <v/>
      </c>
      <c r="M150" s="16" t="str">
        <f>IF(K150="","",K150/MAX(K$5:K150)-1)</f>
        <v/>
      </c>
      <c r="N150" s="13" t="str">
        <f>IF(OR('实盘净值数据(iFinD）'!$A150="",'实盘净值数据(iFinD）'!$B150="",'实盘净值数据(iFinD）'!$Z150="",'实盘净值数据(iFinD）'!$AA150=""),"",分期持仓明细!$AB$24*(SUMPRODUCT(分期持仓明细!$B$24:$Y$24,'实盘净值数据(iFinD）'!$B150:$Y150/'实盘净值数据(iFinD）'!$B$65:$Y$65)+SUMPRODUCT(分期持仓明细!$AC$24:$AD$24,'实盘净值数据(iFinD）'!$Z150:$AA150/'实盘净值数据(iFinD）'!$Z$65:$AA$65))*(1-实盘持仓初始配置!$Z$8)^(('实盘净值数据(iFinD）'!$A150-'实盘净值数据(iFinD）'!$A$5)/365))</f>
        <v/>
      </c>
      <c r="O150" s="16" t="str">
        <f t="shared" si="16"/>
        <v/>
      </c>
      <c r="P150" s="16" t="str">
        <f>IF(N150="","",N150/MAX(N$5:N150)-1)</f>
        <v/>
      </c>
      <c r="Q150" s="13" t="str">
        <f>IF(OR('实盘净值数据(iFinD）'!$A150="",'实盘净值数据(iFinD）'!$B150="",'实盘净值数据(iFinD）'!$Z150="",'实盘净值数据(iFinD）'!$AA150=""),"",分期持仓明细!$AB$25*(SUMPRODUCT(分期持仓明细!$B$25:$Y$25,'实盘净值数据(iFinD）'!$B150:$Y150/'实盘净值数据(iFinD）'!$B$65:$Y$65)+SUMPRODUCT(分期持仓明细!$AC$25:$AD$25,'实盘净值数据(iFinD）'!$Z150:$AA150/'实盘净值数据(iFinD）'!$Z$65:$AA$65))*(1-实盘持仓初始配置!$Z$9)^(('实盘净值数据(iFinD）'!$A150-'实盘净值数据(iFinD）'!$A$8)/365))</f>
        <v/>
      </c>
      <c r="R150" s="16" t="str">
        <f t="shared" si="17"/>
        <v/>
      </c>
      <c r="S150" s="16" t="str">
        <f>IF(Q150="","",Q150/MAX(Q$5:Q150)-1)</f>
        <v/>
      </c>
      <c r="T150" s="13">
        <f>IF(OR('实盘净值数据(iFinD）'!$A150="",'实盘净值数据(iFinD）'!$B150="",'实盘净值数据(iFinD）'!$Z150="",'实盘净值数据(iFinD）'!$AA150="",'实盘净值数据(iFinD）'!$AB150="",'实盘净值数据(iFinD）'!$AL150=""),"",(SUMPRODUCT(分期持仓明细!$B$26:$Y$26,'实盘净值数据(iFinD）'!$B150:$Y150/'实盘净值数据(iFinD）'!$B$69:$Y$69)+SUMPRODUCT(分期持仓明细!$AC$26:$AD$26,'实盘净值数据(iFinD）'!$Z150:$AA150/'实盘净值数据(iFinD）'!$Z$69:$AA$69)+SUMPRODUCT(分期持仓明细!$AE$26:$AO$26,'实盘净值数据(iFinD）'!$AB150:$AL150/'实盘净值数据(iFinD）'!$AB$69:$AL$69))*(1-实盘持仓初始配置!$Z$10)^(('实盘净值数据(iFinD）'!$A150-'实盘净值数据(iFinD）'!$A$69)/365))</f>
        <v/>
      </c>
      <c r="U150" s="16">
        <f>IF(OR(T149="",T150=""),"",T150/T149-1)</f>
        <v/>
      </c>
      <c r="V150" s="16">
        <f>IF(T150="","",T150/MAX(T$5:T150)-1)</f>
        <v/>
      </c>
    </row>
    <row r="151" spans="1:19">
      <c r="A151" s="15" t="str">
        <f>IF('实盘净值数据(iFinD）'!A151="","",'实盘净值数据(iFinD）'!A151)</f>
        <v/>
      </c>
      <c r="B151" s="13" t="str">
        <f>IF(OR('实盘净值数据(iFinD）'!$A151="",'实盘净值数据(iFinD）'!$B151=""),"",分期持仓明细!$AB$17*SUMPRODUCT(分期持仓明细!$B$17:$Y$17,'实盘净值数据(iFinD）'!$B151:$Y151/'实盘净值数据(iFinD）'!$B$20:$Y$20)*(1-实盘持仓初始配置!$Z$4)^(('实盘净值数据(iFinD）'!$A151-'实盘净值数据(iFinD）'!$A$6)/365))</f>
        <v/>
      </c>
      <c r="C151" s="16" t="str">
        <f t="shared" si="12"/>
        <v/>
      </c>
      <c r="D151" s="16" t="str">
        <f>IF(B151="","",B151/MAX(B$5:B151)-1)</f>
        <v/>
      </c>
      <c r="E151" s="13" t="str">
        <f>IF(OR('实盘净值数据(iFinD）'!$A151="",'实盘净值数据(iFinD）'!$B151=""),"",分期持仓明细!$AB$18*SUMPRODUCT(分期持仓明细!$B$18:$Y$18,'实盘净值数据(iFinD）'!$B151:$Y151/'实盘净值数据(iFinD）'!$B$20:$Y$20)*(1-实盘持仓初始配置!$Z$5)^(('实盘净值数据(iFinD）'!$A151-'实盘净值数据(iFinD）'!$A$5)/365))</f>
        <v/>
      </c>
      <c r="F151" s="16" t="str">
        <f t="shared" si="13"/>
        <v/>
      </c>
      <c r="G151" s="16" t="str">
        <f>IF(E151="","",E151/MAX(E$5:E151)-1)</f>
        <v/>
      </c>
      <c r="H151" s="13" t="str">
        <f>IF(OR('实盘净值数据(iFinD）'!$A151="",'实盘净值数据(iFinD）'!$B151=""),"",分期持仓明细!$AB$19*SUMPRODUCT(分期持仓明细!$B$19:$Y$19,'实盘净值数据(iFinD）'!$B151:$Y151/'实盘净值数据(iFinD）'!$B$20:$Y$20)*(1-实盘持仓初始配置!$Z$6)^(('实盘净值数据(iFinD）'!$A151-'实盘净值数据(iFinD）'!$A$7)/365))</f>
        <v/>
      </c>
      <c r="I151" s="16" t="str">
        <f t="shared" si="14"/>
        <v/>
      </c>
      <c r="J151" s="16" t="str">
        <f>IF(H151="","",H151/MAX(H$5:H151)-1)</f>
        <v/>
      </c>
      <c r="K151" s="13" t="str">
        <f>IF(OR('实盘净值数据(iFinD）'!$A151="",'实盘净值数据(iFinD）'!$B151="",'实盘净值数据(iFinD）'!$Z151="",'实盘净值数据(iFinD）'!$AA151=""),"",分期持仓明细!$AB$23*(SUMPRODUCT(分期持仓明细!$B$23:$Y$23,'实盘净值数据(iFinD）'!$B151:$Y151/'实盘净值数据(iFinD）'!$B$65:$Y$65)+SUMPRODUCT(分期持仓明细!$AC$23:$AD$23,'实盘净值数据(iFinD）'!$Z151:$AA151/'实盘净值数据(iFinD）'!$Z$65:$AA$65))*(1-实盘持仓初始配置!$Z$7)^(('实盘净值数据(iFinD）'!$A151-'实盘净值数据(iFinD）'!$A$8)/365))</f>
        <v/>
      </c>
      <c r="L151" s="16" t="str">
        <f t="shared" si="15"/>
        <v/>
      </c>
      <c r="M151" s="16" t="str">
        <f>IF(K151="","",K151/MAX(K$5:K151)-1)</f>
        <v/>
      </c>
      <c r="N151" s="13" t="str">
        <f>IF(OR('实盘净值数据(iFinD）'!$A151="",'实盘净值数据(iFinD）'!$B151="",'实盘净值数据(iFinD）'!$Z151="",'实盘净值数据(iFinD）'!$AA151=""),"",分期持仓明细!$AB$24*(SUMPRODUCT(分期持仓明细!$B$24:$Y$24,'实盘净值数据(iFinD）'!$B151:$Y151/'实盘净值数据(iFinD）'!$B$65:$Y$65)+SUMPRODUCT(分期持仓明细!$AC$24:$AD$24,'实盘净值数据(iFinD）'!$Z151:$AA151/'实盘净值数据(iFinD）'!$Z$65:$AA$65))*(1-实盘持仓初始配置!$Z$8)^(('实盘净值数据(iFinD）'!$A151-'实盘净值数据(iFinD）'!$A$5)/365))</f>
        <v/>
      </c>
      <c r="O151" s="16" t="str">
        <f t="shared" si="16"/>
        <v/>
      </c>
      <c r="P151" s="16" t="str">
        <f>IF(N151="","",N151/MAX(N$5:N151)-1)</f>
        <v/>
      </c>
      <c r="Q151" s="13" t="str">
        <f>IF(OR('实盘净值数据(iFinD）'!$A151="",'实盘净值数据(iFinD）'!$B151="",'实盘净值数据(iFinD）'!$Z151="",'实盘净值数据(iFinD）'!$AA151=""),"",分期持仓明细!$AB$25*(SUMPRODUCT(分期持仓明细!$B$25:$Y$25,'实盘净值数据(iFinD）'!$B151:$Y151/'实盘净值数据(iFinD）'!$B$65:$Y$65)+SUMPRODUCT(分期持仓明细!$AC$25:$AD$25,'实盘净值数据(iFinD）'!$Z151:$AA151/'实盘净值数据(iFinD）'!$Z$65:$AA$65))*(1-实盘持仓初始配置!$Z$9)^(('实盘净值数据(iFinD）'!$A151-'实盘净值数据(iFinD）'!$A$8)/365))</f>
        <v/>
      </c>
      <c r="R151" s="16" t="str">
        <f t="shared" si="17"/>
        <v/>
      </c>
      <c r="S151" s="16" t="str">
        <f>IF(Q151="","",Q151/MAX(Q$5:Q151)-1)</f>
        <v/>
      </c>
      <c r="T151" s="13">
        <f>IF(OR('实盘净值数据(iFinD）'!$A151="",'实盘净值数据(iFinD）'!$B151="",'实盘净值数据(iFinD）'!$Z151="",'实盘净值数据(iFinD）'!$AA151="",'实盘净值数据(iFinD）'!$AB151="",'实盘净值数据(iFinD）'!$AL151=""),"",(SUMPRODUCT(分期持仓明细!$B$26:$Y$26,'实盘净值数据(iFinD）'!$B151:$Y151/'实盘净值数据(iFinD）'!$B$69:$Y$69)+SUMPRODUCT(分期持仓明细!$AC$26:$AD$26,'实盘净值数据(iFinD）'!$Z151:$AA151/'实盘净值数据(iFinD）'!$Z$69:$AA$69)+SUMPRODUCT(分期持仓明细!$AE$26:$AO$26,'实盘净值数据(iFinD）'!$AB151:$AL151/'实盘净值数据(iFinD）'!$AB$69:$AL$69))*(1-实盘持仓初始配置!$Z$10)^(('实盘净值数据(iFinD）'!$A151-'实盘净值数据(iFinD）'!$A$69)/365))</f>
        <v/>
      </c>
      <c r="U151" s="16">
        <f>IF(OR(T150="",T151=""),"",T151/T150-1)</f>
        <v/>
      </c>
      <c r="V151" s="16">
        <f>IF(T151="","",T151/MAX(T$5:T151)-1)</f>
        <v/>
      </c>
    </row>
    <row r="152" spans="1:19">
      <c r="A152" s="15" t="str">
        <f>IF('实盘净值数据(iFinD）'!A152="","",'实盘净值数据(iFinD）'!A152)</f>
        <v/>
      </c>
      <c r="B152" s="13" t="str">
        <f>IF(OR('实盘净值数据(iFinD）'!$A152="",'实盘净值数据(iFinD）'!$B152=""),"",分期持仓明细!$AB$17*SUMPRODUCT(分期持仓明细!$B$17:$Y$17,'实盘净值数据(iFinD）'!$B152:$Y152/'实盘净值数据(iFinD）'!$B$20:$Y$20)*(1-实盘持仓初始配置!$Z$4)^(('实盘净值数据(iFinD）'!$A152-'实盘净值数据(iFinD）'!$A$6)/365))</f>
        <v/>
      </c>
      <c r="C152" s="16" t="str">
        <f t="shared" si="12"/>
        <v/>
      </c>
      <c r="D152" s="16" t="str">
        <f>IF(B152="","",B152/MAX(B$5:B152)-1)</f>
        <v/>
      </c>
      <c r="E152" s="13" t="str">
        <f>IF(OR('实盘净值数据(iFinD）'!$A152="",'实盘净值数据(iFinD）'!$B152=""),"",分期持仓明细!$AB$18*SUMPRODUCT(分期持仓明细!$B$18:$Y$18,'实盘净值数据(iFinD）'!$B152:$Y152/'实盘净值数据(iFinD）'!$B$20:$Y$20)*(1-实盘持仓初始配置!$Z$5)^(('实盘净值数据(iFinD）'!$A152-'实盘净值数据(iFinD）'!$A$5)/365))</f>
        <v/>
      </c>
      <c r="F152" s="16" t="str">
        <f t="shared" si="13"/>
        <v/>
      </c>
      <c r="G152" s="16" t="str">
        <f>IF(E152="","",E152/MAX(E$5:E152)-1)</f>
        <v/>
      </c>
      <c r="H152" s="13" t="str">
        <f>IF(OR('实盘净值数据(iFinD）'!$A152="",'实盘净值数据(iFinD）'!$B152=""),"",分期持仓明细!$AB$19*SUMPRODUCT(分期持仓明细!$B$19:$Y$19,'实盘净值数据(iFinD）'!$B152:$Y152/'实盘净值数据(iFinD）'!$B$20:$Y$20)*(1-实盘持仓初始配置!$Z$6)^(('实盘净值数据(iFinD）'!$A152-'实盘净值数据(iFinD）'!$A$7)/365))</f>
        <v/>
      </c>
      <c r="I152" s="16" t="str">
        <f t="shared" si="14"/>
        <v/>
      </c>
      <c r="J152" s="16" t="str">
        <f>IF(H152="","",H152/MAX(H$5:H152)-1)</f>
        <v/>
      </c>
      <c r="K152" s="13" t="str">
        <f>IF(OR('实盘净值数据(iFinD）'!$A152="",'实盘净值数据(iFinD）'!$B152="",'实盘净值数据(iFinD）'!$Z152="",'实盘净值数据(iFinD）'!$AA152=""),"",分期持仓明细!$AB$23*(SUMPRODUCT(分期持仓明细!$B$23:$Y$23,'实盘净值数据(iFinD）'!$B152:$Y152/'实盘净值数据(iFinD）'!$B$65:$Y$65)+SUMPRODUCT(分期持仓明细!$AC$23:$AD$23,'实盘净值数据(iFinD）'!$Z152:$AA152/'实盘净值数据(iFinD）'!$Z$65:$AA$65))*(1-实盘持仓初始配置!$Z$7)^(('实盘净值数据(iFinD）'!$A152-'实盘净值数据(iFinD）'!$A$8)/365))</f>
        <v/>
      </c>
      <c r="L152" s="16" t="str">
        <f t="shared" si="15"/>
        <v/>
      </c>
      <c r="M152" s="16" t="str">
        <f>IF(K152="","",K152/MAX(K$5:K152)-1)</f>
        <v/>
      </c>
      <c r="N152" s="13" t="str">
        <f>IF(OR('实盘净值数据(iFinD）'!$A152="",'实盘净值数据(iFinD）'!$B152="",'实盘净值数据(iFinD）'!$Z152="",'实盘净值数据(iFinD）'!$AA152=""),"",分期持仓明细!$AB$24*(SUMPRODUCT(分期持仓明细!$B$24:$Y$24,'实盘净值数据(iFinD）'!$B152:$Y152/'实盘净值数据(iFinD）'!$B$65:$Y$65)+SUMPRODUCT(分期持仓明细!$AC$24:$AD$24,'实盘净值数据(iFinD）'!$Z152:$AA152/'实盘净值数据(iFinD）'!$Z$65:$AA$65))*(1-实盘持仓初始配置!$Z$8)^(('实盘净值数据(iFinD）'!$A152-'实盘净值数据(iFinD）'!$A$5)/365))</f>
        <v/>
      </c>
      <c r="O152" s="16" t="str">
        <f t="shared" si="16"/>
        <v/>
      </c>
      <c r="P152" s="16" t="str">
        <f>IF(N152="","",N152/MAX(N$5:N152)-1)</f>
        <v/>
      </c>
      <c r="Q152" s="13" t="str">
        <f>IF(OR('实盘净值数据(iFinD）'!$A152="",'实盘净值数据(iFinD）'!$B152="",'实盘净值数据(iFinD）'!$Z152="",'实盘净值数据(iFinD）'!$AA152=""),"",分期持仓明细!$AB$25*(SUMPRODUCT(分期持仓明细!$B$25:$Y$25,'实盘净值数据(iFinD）'!$B152:$Y152/'实盘净值数据(iFinD）'!$B$65:$Y$65)+SUMPRODUCT(分期持仓明细!$AC$25:$AD$25,'实盘净值数据(iFinD）'!$Z152:$AA152/'实盘净值数据(iFinD）'!$Z$65:$AA$65))*(1-实盘持仓初始配置!$Z$9)^(('实盘净值数据(iFinD）'!$A152-'实盘净值数据(iFinD）'!$A$8)/365))</f>
        <v/>
      </c>
      <c r="R152" s="16" t="str">
        <f t="shared" si="17"/>
        <v/>
      </c>
      <c r="S152" s="16" t="str">
        <f>IF(Q152="","",Q152/MAX(Q$5:Q152)-1)</f>
        <v/>
      </c>
      <c r="T152" s="13">
        <f>IF(OR('实盘净值数据(iFinD）'!$A152="",'实盘净值数据(iFinD）'!$B152="",'实盘净值数据(iFinD）'!$Z152="",'实盘净值数据(iFinD）'!$AA152="",'实盘净值数据(iFinD）'!$AB152="",'实盘净值数据(iFinD）'!$AL152=""),"",(SUMPRODUCT(分期持仓明细!$B$26:$Y$26,'实盘净值数据(iFinD）'!$B152:$Y152/'实盘净值数据(iFinD）'!$B$69:$Y$69)+SUMPRODUCT(分期持仓明细!$AC$26:$AD$26,'实盘净值数据(iFinD）'!$Z152:$AA152/'实盘净值数据(iFinD）'!$Z$69:$AA$69)+SUMPRODUCT(分期持仓明细!$AE$26:$AO$26,'实盘净值数据(iFinD）'!$AB152:$AL152/'实盘净值数据(iFinD）'!$AB$69:$AL$69))*(1-实盘持仓初始配置!$Z$10)^(('实盘净值数据(iFinD）'!$A152-'实盘净值数据(iFinD）'!$A$69)/365))</f>
        <v/>
      </c>
      <c r="U152" s="16">
        <f>IF(OR(T151="",T152=""),"",T152/T151-1)</f>
        <v/>
      </c>
      <c r="V152" s="16">
        <f>IF(T152="","",T152/MAX(T$5:T152)-1)</f>
        <v/>
      </c>
    </row>
    <row r="153" spans="1:19">
      <c r="A153" s="15" t="str">
        <f>IF('实盘净值数据(iFinD）'!A153="","",'实盘净值数据(iFinD）'!A153)</f>
        <v/>
      </c>
      <c r="B153" s="13" t="str">
        <f>IF(OR('实盘净值数据(iFinD）'!$A153="",'实盘净值数据(iFinD）'!$B153=""),"",分期持仓明细!$AB$17*SUMPRODUCT(分期持仓明细!$B$17:$Y$17,'实盘净值数据(iFinD）'!$B153:$Y153/'实盘净值数据(iFinD）'!$B$20:$Y$20)*(1-实盘持仓初始配置!$Z$4)^(('实盘净值数据(iFinD）'!$A153-'实盘净值数据(iFinD）'!$A$6)/365))</f>
        <v/>
      </c>
      <c r="C153" s="16" t="str">
        <f t="shared" si="12"/>
        <v/>
      </c>
      <c r="D153" s="16" t="str">
        <f>IF(B153="","",B153/MAX(B$5:B153)-1)</f>
        <v/>
      </c>
      <c r="E153" s="13" t="str">
        <f>IF(OR('实盘净值数据(iFinD）'!$A153="",'实盘净值数据(iFinD）'!$B153=""),"",分期持仓明细!$AB$18*SUMPRODUCT(分期持仓明细!$B$18:$Y$18,'实盘净值数据(iFinD）'!$B153:$Y153/'实盘净值数据(iFinD）'!$B$20:$Y$20)*(1-实盘持仓初始配置!$Z$5)^(('实盘净值数据(iFinD）'!$A153-'实盘净值数据(iFinD）'!$A$5)/365))</f>
        <v/>
      </c>
      <c r="F153" s="16" t="str">
        <f t="shared" si="13"/>
        <v/>
      </c>
      <c r="G153" s="16" t="str">
        <f>IF(E153="","",E153/MAX(E$5:E153)-1)</f>
        <v/>
      </c>
      <c r="H153" s="13" t="str">
        <f>IF(OR('实盘净值数据(iFinD）'!$A153="",'实盘净值数据(iFinD）'!$B153=""),"",分期持仓明细!$AB$19*SUMPRODUCT(分期持仓明细!$B$19:$Y$19,'实盘净值数据(iFinD）'!$B153:$Y153/'实盘净值数据(iFinD）'!$B$20:$Y$20)*(1-实盘持仓初始配置!$Z$6)^(('实盘净值数据(iFinD）'!$A153-'实盘净值数据(iFinD）'!$A$7)/365))</f>
        <v/>
      </c>
      <c r="I153" s="16" t="str">
        <f t="shared" si="14"/>
        <v/>
      </c>
      <c r="J153" s="16" t="str">
        <f>IF(H153="","",H153/MAX(H$5:H153)-1)</f>
        <v/>
      </c>
      <c r="K153" s="13" t="str">
        <f>IF(OR('实盘净值数据(iFinD）'!$A153="",'实盘净值数据(iFinD）'!$B153="",'实盘净值数据(iFinD）'!$Z153="",'实盘净值数据(iFinD）'!$AA153=""),"",分期持仓明细!$AB$23*(SUMPRODUCT(分期持仓明细!$B$23:$Y$23,'实盘净值数据(iFinD）'!$B153:$Y153/'实盘净值数据(iFinD）'!$B$65:$Y$65)+SUMPRODUCT(分期持仓明细!$AC$23:$AD$23,'实盘净值数据(iFinD）'!$Z153:$AA153/'实盘净值数据(iFinD）'!$Z$65:$AA$65))*(1-实盘持仓初始配置!$Z$7)^(('实盘净值数据(iFinD）'!$A153-'实盘净值数据(iFinD）'!$A$8)/365))</f>
        <v/>
      </c>
      <c r="L153" s="16" t="str">
        <f t="shared" si="15"/>
        <v/>
      </c>
      <c r="M153" s="16" t="str">
        <f>IF(K153="","",K153/MAX(K$5:K153)-1)</f>
        <v/>
      </c>
      <c r="N153" s="13" t="str">
        <f>IF(OR('实盘净值数据(iFinD）'!$A153="",'实盘净值数据(iFinD）'!$B153="",'实盘净值数据(iFinD）'!$Z153="",'实盘净值数据(iFinD）'!$AA153=""),"",分期持仓明细!$AB$24*(SUMPRODUCT(分期持仓明细!$B$24:$Y$24,'实盘净值数据(iFinD）'!$B153:$Y153/'实盘净值数据(iFinD）'!$B$65:$Y$65)+SUMPRODUCT(分期持仓明细!$AC$24:$AD$24,'实盘净值数据(iFinD）'!$Z153:$AA153/'实盘净值数据(iFinD）'!$Z$65:$AA$65))*(1-实盘持仓初始配置!$Z$8)^(('实盘净值数据(iFinD）'!$A153-'实盘净值数据(iFinD）'!$A$5)/365))</f>
        <v/>
      </c>
      <c r="O153" s="16" t="str">
        <f t="shared" si="16"/>
        <v/>
      </c>
      <c r="P153" s="16" t="str">
        <f>IF(N153="","",N153/MAX(N$5:N153)-1)</f>
        <v/>
      </c>
      <c r="Q153" s="13" t="str">
        <f>IF(OR('实盘净值数据(iFinD）'!$A153="",'实盘净值数据(iFinD）'!$B153="",'实盘净值数据(iFinD）'!$Z153="",'实盘净值数据(iFinD）'!$AA153=""),"",分期持仓明细!$AB$25*(SUMPRODUCT(分期持仓明细!$B$25:$Y$25,'实盘净值数据(iFinD）'!$B153:$Y153/'实盘净值数据(iFinD）'!$B$65:$Y$65)+SUMPRODUCT(分期持仓明细!$AC$25:$AD$25,'实盘净值数据(iFinD）'!$Z153:$AA153/'实盘净值数据(iFinD）'!$Z$65:$AA$65))*(1-实盘持仓初始配置!$Z$9)^(('实盘净值数据(iFinD）'!$A153-'实盘净值数据(iFinD）'!$A$8)/365))</f>
        <v/>
      </c>
      <c r="R153" s="16" t="str">
        <f t="shared" si="17"/>
        <v/>
      </c>
      <c r="S153" s="16" t="str">
        <f>IF(Q153="","",Q153/MAX(Q$5:Q153)-1)</f>
        <v/>
      </c>
      <c r="T153" s="13">
        <f>IF(OR('实盘净值数据(iFinD）'!$A153="",'实盘净值数据(iFinD）'!$B153="",'实盘净值数据(iFinD）'!$Z153="",'实盘净值数据(iFinD）'!$AA153="",'实盘净值数据(iFinD）'!$AB153="",'实盘净值数据(iFinD）'!$AL153=""),"",(SUMPRODUCT(分期持仓明细!$B$26:$Y$26,'实盘净值数据(iFinD）'!$B153:$Y153/'实盘净值数据(iFinD）'!$B$69:$Y$69)+SUMPRODUCT(分期持仓明细!$AC$26:$AD$26,'实盘净值数据(iFinD）'!$Z153:$AA153/'实盘净值数据(iFinD）'!$Z$69:$AA$69)+SUMPRODUCT(分期持仓明细!$AE$26:$AO$26,'实盘净值数据(iFinD）'!$AB153:$AL153/'实盘净值数据(iFinD）'!$AB$69:$AL$69))*(1-实盘持仓初始配置!$Z$10)^(('实盘净值数据(iFinD）'!$A153-'实盘净值数据(iFinD）'!$A$69)/365))</f>
        <v/>
      </c>
      <c r="U153" s="16">
        <f>IF(OR(T152="",T153=""),"",T153/T152-1)</f>
        <v/>
      </c>
      <c r="V153" s="16">
        <f>IF(T153="","",T153/MAX(T$5:T153)-1)</f>
        <v/>
      </c>
    </row>
    <row r="154" spans="1:19">
      <c r="A154" s="15" t="str">
        <f>IF('实盘净值数据(iFinD）'!A154="","",'实盘净值数据(iFinD）'!A154)</f>
        <v/>
      </c>
      <c r="B154" s="13" t="str">
        <f>IF(OR('实盘净值数据(iFinD）'!$A154="",'实盘净值数据(iFinD）'!$B154=""),"",分期持仓明细!$AB$17*SUMPRODUCT(分期持仓明细!$B$17:$Y$17,'实盘净值数据(iFinD）'!$B154:$Y154/'实盘净值数据(iFinD）'!$B$20:$Y$20)*(1-实盘持仓初始配置!$Z$4)^(('实盘净值数据(iFinD）'!$A154-'实盘净值数据(iFinD）'!$A$6)/365))</f>
        <v/>
      </c>
      <c r="C154" s="16" t="str">
        <f t="shared" si="12"/>
        <v/>
      </c>
      <c r="D154" s="16" t="str">
        <f>IF(B154="","",B154/MAX(B$5:B154)-1)</f>
        <v/>
      </c>
      <c r="E154" s="13" t="str">
        <f>IF(OR('实盘净值数据(iFinD）'!$A154="",'实盘净值数据(iFinD）'!$B154=""),"",分期持仓明细!$AB$18*SUMPRODUCT(分期持仓明细!$B$18:$Y$18,'实盘净值数据(iFinD）'!$B154:$Y154/'实盘净值数据(iFinD）'!$B$20:$Y$20)*(1-实盘持仓初始配置!$Z$5)^(('实盘净值数据(iFinD）'!$A154-'实盘净值数据(iFinD）'!$A$5)/365))</f>
        <v/>
      </c>
      <c r="F154" s="16" t="str">
        <f t="shared" si="13"/>
        <v/>
      </c>
      <c r="G154" s="16" t="str">
        <f>IF(E154="","",E154/MAX(E$5:E154)-1)</f>
        <v/>
      </c>
      <c r="H154" s="13" t="str">
        <f>IF(OR('实盘净值数据(iFinD）'!$A154="",'实盘净值数据(iFinD）'!$B154=""),"",分期持仓明细!$AB$19*SUMPRODUCT(分期持仓明细!$B$19:$Y$19,'实盘净值数据(iFinD）'!$B154:$Y154/'实盘净值数据(iFinD）'!$B$20:$Y$20)*(1-实盘持仓初始配置!$Z$6)^(('实盘净值数据(iFinD）'!$A154-'实盘净值数据(iFinD）'!$A$7)/365))</f>
        <v/>
      </c>
      <c r="I154" s="16" t="str">
        <f t="shared" si="14"/>
        <v/>
      </c>
      <c r="J154" s="16" t="str">
        <f>IF(H154="","",H154/MAX(H$5:H154)-1)</f>
        <v/>
      </c>
      <c r="K154" s="13" t="str">
        <f>IF(OR('实盘净值数据(iFinD）'!$A154="",'实盘净值数据(iFinD）'!$B154="",'实盘净值数据(iFinD）'!$Z154="",'实盘净值数据(iFinD）'!$AA154=""),"",分期持仓明细!$AB$23*(SUMPRODUCT(分期持仓明细!$B$23:$Y$23,'实盘净值数据(iFinD）'!$B154:$Y154/'实盘净值数据(iFinD）'!$B$65:$Y$65)+SUMPRODUCT(分期持仓明细!$AC$23:$AD$23,'实盘净值数据(iFinD）'!$Z154:$AA154/'实盘净值数据(iFinD）'!$Z$65:$AA$65))*(1-实盘持仓初始配置!$Z$7)^(('实盘净值数据(iFinD）'!$A154-'实盘净值数据(iFinD）'!$A$8)/365))</f>
        <v/>
      </c>
      <c r="L154" s="16" t="str">
        <f t="shared" si="15"/>
        <v/>
      </c>
      <c r="M154" s="16" t="str">
        <f>IF(K154="","",K154/MAX(K$5:K154)-1)</f>
        <v/>
      </c>
      <c r="N154" s="13" t="str">
        <f>IF(OR('实盘净值数据(iFinD）'!$A154="",'实盘净值数据(iFinD）'!$B154="",'实盘净值数据(iFinD）'!$Z154="",'实盘净值数据(iFinD）'!$AA154=""),"",分期持仓明细!$AB$24*(SUMPRODUCT(分期持仓明细!$B$24:$Y$24,'实盘净值数据(iFinD）'!$B154:$Y154/'实盘净值数据(iFinD）'!$B$65:$Y$65)+SUMPRODUCT(分期持仓明细!$AC$24:$AD$24,'实盘净值数据(iFinD）'!$Z154:$AA154/'实盘净值数据(iFinD）'!$Z$65:$AA$65))*(1-实盘持仓初始配置!$Z$8)^(('实盘净值数据(iFinD）'!$A154-'实盘净值数据(iFinD）'!$A$5)/365))</f>
        <v/>
      </c>
      <c r="O154" s="16" t="str">
        <f t="shared" si="16"/>
        <v/>
      </c>
      <c r="P154" s="16" t="str">
        <f>IF(N154="","",N154/MAX(N$5:N154)-1)</f>
        <v/>
      </c>
      <c r="Q154" s="13" t="str">
        <f>IF(OR('实盘净值数据(iFinD）'!$A154="",'实盘净值数据(iFinD）'!$B154="",'实盘净值数据(iFinD）'!$Z154="",'实盘净值数据(iFinD）'!$AA154=""),"",分期持仓明细!$AB$25*(SUMPRODUCT(分期持仓明细!$B$25:$Y$25,'实盘净值数据(iFinD）'!$B154:$Y154/'实盘净值数据(iFinD）'!$B$65:$Y$65)+SUMPRODUCT(分期持仓明细!$AC$25:$AD$25,'实盘净值数据(iFinD）'!$Z154:$AA154/'实盘净值数据(iFinD）'!$Z$65:$AA$65))*(1-实盘持仓初始配置!$Z$9)^(('实盘净值数据(iFinD）'!$A154-'实盘净值数据(iFinD）'!$A$8)/365))</f>
        <v/>
      </c>
      <c r="R154" s="16" t="str">
        <f t="shared" si="17"/>
        <v/>
      </c>
      <c r="S154" s="16" t="str">
        <f>IF(Q154="","",Q154/MAX(Q$5:Q154)-1)</f>
        <v/>
      </c>
      <c r="T154" s="13">
        <f>IF(OR('实盘净值数据(iFinD）'!$A154="",'实盘净值数据(iFinD）'!$B154="",'实盘净值数据(iFinD）'!$Z154="",'实盘净值数据(iFinD）'!$AA154="",'实盘净值数据(iFinD）'!$AB154="",'实盘净值数据(iFinD）'!$AL154=""),"",(SUMPRODUCT(分期持仓明细!$B$26:$Y$26,'实盘净值数据(iFinD）'!$B154:$Y154/'实盘净值数据(iFinD）'!$B$69:$Y$69)+SUMPRODUCT(分期持仓明细!$AC$26:$AD$26,'实盘净值数据(iFinD）'!$Z154:$AA154/'实盘净值数据(iFinD）'!$Z$69:$AA$69)+SUMPRODUCT(分期持仓明细!$AE$26:$AO$26,'实盘净值数据(iFinD）'!$AB154:$AL154/'实盘净值数据(iFinD）'!$AB$69:$AL$69))*(1-实盘持仓初始配置!$Z$10)^(('实盘净值数据(iFinD）'!$A154-'实盘净值数据(iFinD）'!$A$69)/365))</f>
        <v/>
      </c>
      <c r="U154" s="16">
        <f>IF(OR(T153="",T154=""),"",T154/T153-1)</f>
        <v/>
      </c>
      <c r="V154" s="16">
        <f>IF(T154="","",T154/MAX(T$5:T154)-1)</f>
        <v/>
      </c>
    </row>
    <row r="155" spans="1:19">
      <c r="A155" s="15" t="str">
        <f>IF('实盘净值数据(iFinD）'!A155="","",'实盘净值数据(iFinD）'!A155)</f>
        <v/>
      </c>
      <c r="B155" s="13" t="str">
        <f>IF(OR('实盘净值数据(iFinD）'!$A155="",'实盘净值数据(iFinD）'!$B155=""),"",分期持仓明细!$AB$17*SUMPRODUCT(分期持仓明细!$B$17:$Y$17,'实盘净值数据(iFinD）'!$B155:$Y155/'实盘净值数据(iFinD）'!$B$20:$Y$20)*(1-实盘持仓初始配置!$Z$4)^(('实盘净值数据(iFinD）'!$A155-'实盘净值数据(iFinD）'!$A$6)/365))</f>
        <v/>
      </c>
      <c r="C155" s="16" t="str">
        <f t="shared" si="12"/>
        <v/>
      </c>
      <c r="D155" s="16" t="str">
        <f>IF(B155="","",B155/MAX(B$5:B155)-1)</f>
        <v/>
      </c>
      <c r="E155" s="13" t="str">
        <f>IF(OR('实盘净值数据(iFinD）'!$A155="",'实盘净值数据(iFinD）'!$B155=""),"",分期持仓明细!$AB$18*SUMPRODUCT(分期持仓明细!$B$18:$Y$18,'实盘净值数据(iFinD）'!$B155:$Y155/'实盘净值数据(iFinD）'!$B$20:$Y$20)*(1-实盘持仓初始配置!$Z$5)^(('实盘净值数据(iFinD）'!$A155-'实盘净值数据(iFinD）'!$A$5)/365))</f>
        <v/>
      </c>
      <c r="F155" s="16" t="str">
        <f t="shared" si="13"/>
        <v/>
      </c>
      <c r="G155" s="16" t="str">
        <f>IF(E155="","",E155/MAX(E$5:E155)-1)</f>
        <v/>
      </c>
      <c r="H155" s="13" t="str">
        <f>IF(OR('实盘净值数据(iFinD）'!$A155="",'实盘净值数据(iFinD）'!$B155=""),"",分期持仓明细!$AB$19*SUMPRODUCT(分期持仓明细!$B$19:$Y$19,'实盘净值数据(iFinD）'!$B155:$Y155/'实盘净值数据(iFinD）'!$B$20:$Y$20)*(1-实盘持仓初始配置!$Z$6)^(('实盘净值数据(iFinD）'!$A155-'实盘净值数据(iFinD）'!$A$7)/365))</f>
        <v/>
      </c>
      <c r="I155" s="16" t="str">
        <f t="shared" si="14"/>
        <v/>
      </c>
      <c r="J155" s="16" t="str">
        <f>IF(H155="","",H155/MAX(H$5:H155)-1)</f>
        <v/>
      </c>
      <c r="K155" s="13" t="str">
        <f>IF(OR('实盘净值数据(iFinD）'!$A155="",'实盘净值数据(iFinD）'!$B155="",'实盘净值数据(iFinD）'!$Z155="",'实盘净值数据(iFinD）'!$AA155=""),"",分期持仓明细!$AB$23*(SUMPRODUCT(分期持仓明细!$B$23:$Y$23,'实盘净值数据(iFinD）'!$B155:$Y155/'实盘净值数据(iFinD）'!$B$65:$Y$65)+SUMPRODUCT(分期持仓明细!$AC$23:$AD$23,'实盘净值数据(iFinD）'!$Z155:$AA155/'实盘净值数据(iFinD）'!$Z$65:$AA$65))*(1-实盘持仓初始配置!$Z$7)^(('实盘净值数据(iFinD）'!$A155-'实盘净值数据(iFinD）'!$A$8)/365))</f>
        <v/>
      </c>
      <c r="L155" s="16" t="str">
        <f t="shared" si="15"/>
        <v/>
      </c>
      <c r="M155" s="16" t="str">
        <f>IF(K155="","",K155/MAX(K$5:K155)-1)</f>
        <v/>
      </c>
      <c r="N155" s="13" t="str">
        <f>IF(OR('实盘净值数据(iFinD）'!$A155="",'实盘净值数据(iFinD）'!$B155="",'实盘净值数据(iFinD）'!$Z155="",'实盘净值数据(iFinD）'!$AA155=""),"",分期持仓明细!$AB$24*(SUMPRODUCT(分期持仓明细!$B$24:$Y$24,'实盘净值数据(iFinD）'!$B155:$Y155/'实盘净值数据(iFinD）'!$B$65:$Y$65)+SUMPRODUCT(分期持仓明细!$AC$24:$AD$24,'实盘净值数据(iFinD）'!$Z155:$AA155/'实盘净值数据(iFinD）'!$Z$65:$AA$65))*(1-实盘持仓初始配置!$Z$8)^(('实盘净值数据(iFinD）'!$A155-'实盘净值数据(iFinD）'!$A$5)/365))</f>
        <v/>
      </c>
      <c r="O155" s="16" t="str">
        <f t="shared" si="16"/>
        <v/>
      </c>
      <c r="P155" s="16" t="str">
        <f>IF(N155="","",N155/MAX(N$5:N155)-1)</f>
        <v/>
      </c>
      <c r="Q155" s="13" t="str">
        <f>IF(OR('实盘净值数据(iFinD）'!$A155="",'实盘净值数据(iFinD）'!$B155="",'实盘净值数据(iFinD）'!$Z155="",'实盘净值数据(iFinD）'!$AA155=""),"",分期持仓明细!$AB$25*(SUMPRODUCT(分期持仓明细!$B$25:$Y$25,'实盘净值数据(iFinD）'!$B155:$Y155/'实盘净值数据(iFinD）'!$B$65:$Y$65)+SUMPRODUCT(分期持仓明细!$AC$25:$AD$25,'实盘净值数据(iFinD）'!$Z155:$AA155/'实盘净值数据(iFinD）'!$Z$65:$AA$65))*(1-实盘持仓初始配置!$Z$9)^(('实盘净值数据(iFinD）'!$A155-'实盘净值数据(iFinD）'!$A$8)/365))</f>
        <v/>
      </c>
      <c r="R155" s="16" t="str">
        <f t="shared" si="17"/>
        <v/>
      </c>
      <c r="S155" s="16" t="str">
        <f>IF(Q155="","",Q155/MAX(Q$5:Q155)-1)</f>
        <v/>
      </c>
      <c r="T155" s="13">
        <f>IF(OR('实盘净值数据(iFinD）'!$A155="",'实盘净值数据(iFinD）'!$B155="",'实盘净值数据(iFinD）'!$Z155="",'实盘净值数据(iFinD）'!$AA155="",'实盘净值数据(iFinD）'!$AB155="",'实盘净值数据(iFinD）'!$AL155=""),"",(SUMPRODUCT(分期持仓明细!$B$26:$Y$26,'实盘净值数据(iFinD）'!$B155:$Y155/'实盘净值数据(iFinD）'!$B$69:$Y$69)+SUMPRODUCT(分期持仓明细!$AC$26:$AD$26,'实盘净值数据(iFinD）'!$Z155:$AA155/'实盘净值数据(iFinD）'!$Z$69:$AA$69)+SUMPRODUCT(分期持仓明细!$AE$26:$AO$26,'实盘净值数据(iFinD）'!$AB155:$AL155/'实盘净值数据(iFinD）'!$AB$69:$AL$69))*(1-实盘持仓初始配置!$Z$10)^(('实盘净值数据(iFinD）'!$A155-'实盘净值数据(iFinD）'!$A$69)/365))</f>
        <v/>
      </c>
      <c r="U155" s="16">
        <f>IF(OR(T154="",T155=""),"",T155/T154-1)</f>
        <v/>
      </c>
      <c r="V155" s="16">
        <f>IF(T155="","",T155/MAX(T$5:T155)-1)</f>
        <v/>
      </c>
    </row>
    <row r="156" spans="1:19">
      <c r="A156" s="15" t="str">
        <f>IF('实盘净值数据(iFinD）'!A156="","",'实盘净值数据(iFinD）'!A156)</f>
        <v/>
      </c>
      <c r="B156" s="13" t="str">
        <f>IF(OR('实盘净值数据(iFinD）'!$A156="",'实盘净值数据(iFinD）'!$B156=""),"",分期持仓明细!$AB$17*SUMPRODUCT(分期持仓明细!$B$17:$Y$17,'实盘净值数据(iFinD）'!$B156:$Y156/'实盘净值数据(iFinD）'!$B$20:$Y$20)*(1-实盘持仓初始配置!$Z$4)^(('实盘净值数据(iFinD）'!$A156-'实盘净值数据(iFinD）'!$A$6)/365))</f>
        <v/>
      </c>
      <c r="C156" s="16" t="str">
        <f t="shared" si="12"/>
        <v/>
      </c>
      <c r="D156" s="16" t="str">
        <f>IF(B156="","",B156/MAX(B$5:B156)-1)</f>
        <v/>
      </c>
      <c r="E156" s="13" t="str">
        <f>IF(OR('实盘净值数据(iFinD）'!$A156="",'实盘净值数据(iFinD）'!$B156=""),"",分期持仓明细!$AB$18*SUMPRODUCT(分期持仓明细!$B$18:$Y$18,'实盘净值数据(iFinD）'!$B156:$Y156/'实盘净值数据(iFinD）'!$B$20:$Y$20)*(1-实盘持仓初始配置!$Z$5)^(('实盘净值数据(iFinD）'!$A156-'实盘净值数据(iFinD）'!$A$5)/365))</f>
        <v/>
      </c>
      <c r="F156" s="16" t="str">
        <f t="shared" si="13"/>
        <v/>
      </c>
      <c r="G156" s="16" t="str">
        <f>IF(E156="","",E156/MAX(E$5:E156)-1)</f>
        <v/>
      </c>
      <c r="H156" s="13" t="str">
        <f>IF(OR('实盘净值数据(iFinD）'!$A156="",'实盘净值数据(iFinD）'!$B156=""),"",分期持仓明细!$AB$19*SUMPRODUCT(分期持仓明细!$B$19:$Y$19,'实盘净值数据(iFinD）'!$B156:$Y156/'实盘净值数据(iFinD）'!$B$20:$Y$20)*(1-实盘持仓初始配置!$Z$6)^(('实盘净值数据(iFinD）'!$A156-'实盘净值数据(iFinD）'!$A$7)/365))</f>
        <v/>
      </c>
      <c r="I156" s="16" t="str">
        <f t="shared" si="14"/>
        <v/>
      </c>
      <c r="J156" s="16" t="str">
        <f>IF(H156="","",H156/MAX(H$5:H156)-1)</f>
        <v/>
      </c>
      <c r="K156" s="13" t="str">
        <f>IF(OR('实盘净值数据(iFinD）'!$A156="",'实盘净值数据(iFinD）'!$B156="",'实盘净值数据(iFinD）'!$Z156="",'实盘净值数据(iFinD）'!$AA156=""),"",分期持仓明细!$AB$23*(SUMPRODUCT(分期持仓明细!$B$23:$Y$23,'实盘净值数据(iFinD）'!$B156:$Y156/'实盘净值数据(iFinD）'!$B$65:$Y$65)+SUMPRODUCT(分期持仓明细!$AC$23:$AD$23,'实盘净值数据(iFinD）'!$Z156:$AA156/'实盘净值数据(iFinD）'!$Z$65:$AA$65))*(1-实盘持仓初始配置!$Z$7)^(('实盘净值数据(iFinD）'!$A156-'实盘净值数据(iFinD）'!$A$8)/365))</f>
        <v/>
      </c>
      <c r="L156" s="16" t="str">
        <f t="shared" si="15"/>
        <v/>
      </c>
      <c r="M156" s="16" t="str">
        <f>IF(K156="","",K156/MAX(K$5:K156)-1)</f>
        <v/>
      </c>
      <c r="N156" s="13" t="str">
        <f>IF(OR('实盘净值数据(iFinD）'!$A156="",'实盘净值数据(iFinD）'!$B156="",'实盘净值数据(iFinD）'!$Z156="",'实盘净值数据(iFinD）'!$AA156=""),"",分期持仓明细!$AB$24*(SUMPRODUCT(分期持仓明细!$B$24:$Y$24,'实盘净值数据(iFinD）'!$B156:$Y156/'实盘净值数据(iFinD）'!$B$65:$Y$65)+SUMPRODUCT(分期持仓明细!$AC$24:$AD$24,'实盘净值数据(iFinD）'!$Z156:$AA156/'实盘净值数据(iFinD）'!$Z$65:$AA$65))*(1-实盘持仓初始配置!$Z$8)^(('实盘净值数据(iFinD）'!$A156-'实盘净值数据(iFinD）'!$A$5)/365))</f>
        <v/>
      </c>
      <c r="O156" s="16" t="str">
        <f t="shared" si="16"/>
        <v/>
      </c>
      <c r="P156" s="16" t="str">
        <f>IF(N156="","",N156/MAX(N$5:N156)-1)</f>
        <v/>
      </c>
      <c r="Q156" s="13" t="str">
        <f>IF(OR('实盘净值数据(iFinD）'!$A156="",'实盘净值数据(iFinD）'!$B156="",'实盘净值数据(iFinD）'!$Z156="",'实盘净值数据(iFinD）'!$AA156=""),"",分期持仓明细!$AB$25*(SUMPRODUCT(分期持仓明细!$B$25:$Y$25,'实盘净值数据(iFinD）'!$B156:$Y156/'实盘净值数据(iFinD）'!$B$65:$Y$65)+SUMPRODUCT(分期持仓明细!$AC$25:$AD$25,'实盘净值数据(iFinD）'!$Z156:$AA156/'实盘净值数据(iFinD）'!$Z$65:$AA$65))*(1-实盘持仓初始配置!$Z$9)^(('实盘净值数据(iFinD）'!$A156-'实盘净值数据(iFinD）'!$A$8)/365))</f>
        <v/>
      </c>
      <c r="R156" s="16" t="str">
        <f t="shared" si="17"/>
        <v/>
      </c>
      <c r="S156" s="16" t="str">
        <f>IF(Q156="","",Q156/MAX(Q$5:Q156)-1)</f>
        <v/>
      </c>
      <c r="T156" s="13">
        <f>IF(OR('实盘净值数据(iFinD）'!$A156="",'实盘净值数据(iFinD）'!$B156="",'实盘净值数据(iFinD）'!$Z156="",'实盘净值数据(iFinD）'!$AA156="",'实盘净值数据(iFinD）'!$AB156="",'实盘净值数据(iFinD）'!$AL156=""),"",(SUMPRODUCT(分期持仓明细!$B$26:$Y$26,'实盘净值数据(iFinD）'!$B156:$Y156/'实盘净值数据(iFinD）'!$B$69:$Y$69)+SUMPRODUCT(分期持仓明细!$AC$26:$AD$26,'实盘净值数据(iFinD）'!$Z156:$AA156/'实盘净值数据(iFinD）'!$Z$69:$AA$69)+SUMPRODUCT(分期持仓明细!$AE$26:$AO$26,'实盘净值数据(iFinD）'!$AB156:$AL156/'实盘净值数据(iFinD）'!$AB$69:$AL$69))*(1-实盘持仓初始配置!$Z$10)^(('实盘净值数据(iFinD）'!$A156-'实盘净值数据(iFinD）'!$A$69)/365))</f>
        <v/>
      </c>
      <c r="U156" s="16">
        <f>IF(OR(T155="",T156=""),"",T156/T155-1)</f>
        <v/>
      </c>
      <c r="V156" s="16">
        <f>IF(T156="","",T156/MAX(T$5:T156)-1)</f>
        <v/>
      </c>
    </row>
    <row r="157" spans="1:19">
      <c r="A157" s="15" t="str">
        <f>IF('实盘净值数据(iFinD）'!A157="","",'实盘净值数据(iFinD）'!A157)</f>
        <v/>
      </c>
      <c r="B157" s="13" t="str">
        <f>IF(OR('实盘净值数据(iFinD）'!$A157="",'实盘净值数据(iFinD）'!$B157=""),"",分期持仓明细!$AB$17*SUMPRODUCT(分期持仓明细!$B$17:$Y$17,'实盘净值数据(iFinD）'!$B157:$Y157/'实盘净值数据(iFinD）'!$B$20:$Y$20)*(1-实盘持仓初始配置!$Z$4)^(('实盘净值数据(iFinD）'!$A157-'实盘净值数据(iFinD）'!$A$6)/365))</f>
        <v/>
      </c>
      <c r="C157" s="16" t="str">
        <f t="shared" si="12"/>
        <v/>
      </c>
      <c r="D157" s="16" t="str">
        <f>IF(B157="","",B157/MAX(B$5:B157)-1)</f>
        <v/>
      </c>
      <c r="E157" s="13" t="str">
        <f>IF(OR('实盘净值数据(iFinD）'!$A157="",'实盘净值数据(iFinD）'!$B157=""),"",分期持仓明细!$AB$18*SUMPRODUCT(分期持仓明细!$B$18:$Y$18,'实盘净值数据(iFinD）'!$B157:$Y157/'实盘净值数据(iFinD）'!$B$20:$Y$20)*(1-实盘持仓初始配置!$Z$5)^(('实盘净值数据(iFinD）'!$A157-'实盘净值数据(iFinD）'!$A$5)/365))</f>
        <v/>
      </c>
      <c r="F157" s="16" t="str">
        <f t="shared" si="13"/>
        <v/>
      </c>
      <c r="G157" s="16" t="str">
        <f>IF(E157="","",E157/MAX(E$5:E157)-1)</f>
        <v/>
      </c>
      <c r="H157" s="13" t="str">
        <f>IF(OR('实盘净值数据(iFinD）'!$A157="",'实盘净值数据(iFinD）'!$B157=""),"",分期持仓明细!$AB$19*SUMPRODUCT(分期持仓明细!$B$19:$Y$19,'实盘净值数据(iFinD）'!$B157:$Y157/'实盘净值数据(iFinD）'!$B$20:$Y$20)*(1-实盘持仓初始配置!$Z$6)^(('实盘净值数据(iFinD）'!$A157-'实盘净值数据(iFinD）'!$A$7)/365))</f>
        <v/>
      </c>
      <c r="I157" s="16" t="str">
        <f t="shared" si="14"/>
        <v/>
      </c>
      <c r="J157" s="16" t="str">
        <f>IF(H157="","",H157/MAX(H$5:H157)-1)</f>
        <v/>
      </c>
      <c r="K157" s="13" t="str">
        <f>IF(OR('实盘净值数据(iFinD）'!$A157="",'实盘净值数据(iFinD）'!$B157="",'实盘净值数据(iFinD）'!$Z157="",'实盘净值数据(iFinD）'!$AA157=""),"",分期持仓明细!$AB$23*(SUMPRODUCT(分期持仓明细!$B$23:$Y$23,'实盘净值数据(iFinD）'!$B157:$Y157/'实盘净值数据(iFinD）'!$B$65:$Y$65)+SUMPRODUCT(分期持仓明细!$AC$23:$AD$23,'实盘净值数据(iFinD）'!$Z157:$AA157/'实盘净值数据(iFinD）'!$Z$65:$AA$65))*(1-实盘持仓初始配置!$Z$7)^(('实盘净值数据(iFinD）'!$A157-'实盘净值数据(iFinD）'!$A$8)/365))</f>
        <v/>
      </c>
      <c r="L157" s="16" t="str">
        <f t="shared" si="15"/>
        <v/>
      </c>
      <c r="M157" s="16" t="str">
        <f>IF(K157="","",K157/MAX(K$5:K157)-1)</f>
        <v/>
      </c>
      <c r="N157" s="13" t="str">
        <f>IF(OR('实盘净值数据(iFinD）'!$A157="",'实盘净值数据(iFinD）'!$B157="",'实盘净值数据(iFinD）'!$Z157="",'实盘净值数据(iFinD）'!$AA157=""),"",分期持仓明细!$AB$24*(SUMPRODUCT(分期持仓明细!$B$24:$Y$24,'实盘净值数据(iFinD）'!$B157:$Y157/'实盘净值数据(iFinD）'!$B$65:$Y$65)+SUMPRODUCT(分期持仓明细!$AC$24:$AD$24,'实盘净值数据(iFinD）'!$Z157:$AA157/'实盘净值数据(iFinD）'!$Z$65:$AA$65))*(1-实盘持仓初始配置!$Z$8)^(('实盘净值数据(iFinD）'!$A157-'实盘净值数据(iFinD）'!$A$5)/365))</f>
        <v/>
      </c>
      <c r="O157" s="16" t="str">
        <f t="shared" si="16"/>
        <v/>
      </c>
      <c r="P157" s="16" t="str">
        <f>IF(N157="","",N157/MAX(N$5:N157)-1)</f>
        <v/>
      </c>
      <c r="Q157" s="13" t="str">
        <f>IF(OR('实盘净值数据(iFinD）'!$A157="",'实盘净值数据(iFinD）'!$B157="",'实盘净值数据(iFinD）'!$Z157="",'实盘净值数据(iFinD）'!$AA157=""),"",分期持仓明细!$AB$25*(SUMPRODUCT(分期持仓明细!$B$25:$Y$25,'实盘净值数据(iFinD）'!$B157:$Y157/'实盘净值数据(iFinD）'!$B$65:$Y$65)+SUMPRODUCT(分期持仓明细!$AC$25:$AD$25,'实盘净值数据(iFinD）'!$Z157:$AA157/'实盘净值数据(iFinD）'!$Z$65:$AA$65))*(1-实盘持仓初始配置!$Z$9)^(('实盘净值数据(iFinD）'!$A157-'实盘净值数据(iFinD）'!$A$8)/365))</f>
        <v/>
      </c>
      <c r="R157" s="16" t="str">
        <f t="shared" si="17"/>
        <v/>
      </c>
      <c r="S157" s="16" t="str">
        <f>IF(Q157="","",Q157/MAX(Q$5:Q157)-1)</f>
        <v/>
      </c>
      <c r="T157" s="13">
        <f>IF(OR('实盘净值数据(iFinD）'!$A157="",'实盘净值数据(iFinD）'!$B157="",'实盘净值数据(iFinD）'!$Z157="",'实盘净值数据(iFinD）'!$AA157="",'实盘净值数据(iFinD）'!$AB157="",'实盘净值数据(iFinD）'!$AL157=""),"",(SUMPRODUCT(分期持仓明细!$B$26:$Y$26,'实盘净值数据(iFinD）'!$B157:$Y157/'实盘净值数据(iFinD）'!$B$69:$Y$69)+SUMPRODUCT(分期持仓明细!$AC$26:$AD$26,'实盘净值数据(iFinD）'!$Z157:$AA157/'实盘净值数据(iFinD）'!$Z$69:$AA$69)+SUMPRODUCT(分期持仓明细!$AE$26:$AO$26,'实盘净值数据(iFinD）'!$AB157:$AL157/'实盘净值数据(iFinD）'!$AB$69:$AL$69))*(1-实盘持仓初始配置!$Z$10)^(('实盘净值数据(iFinD）'!$A157-'实盘净值数据(iFinD）'!$A$69)/365))</f>
        <v/>
      </c>
      <c r="U157" s="16">
        <f>IF(OR(T156="",T157=""),"",T157/T156-1)</f>
        <v/>
      </c>
      <c r="V157" s="16">
        <f>IF(T157="","",T157/MAX(T$5:T157)-1)</f>
        <v/>
      </c>
    </row>
    <row r="158" spans="1:19">
      <c r="A158" s="15" t="str">
        <f>IF('实盘净值数据(iFinD）'!A158="","",'实盘净值数据(iFinD）'!A158)</f>
        <v/>
      </c>
      <c r="B158" s="13" t="str">
        <f>IF(OR('实盘净值数据(iFinD）'!$A158="",'实盘净值数据(iFinD）'!$B158=""),"",分期持仓明细!$AB$17*SUMPRODUCT(分期持仓明细!$B$17:$Y$17,'实盘净值数据(iFinD）'!$B158:$Y158/'实盘净值数据(iFinD）'!$B$20:$Y$20)*(1-实盘持仓初始配置!$Z$4)^(('实盘净值数据(iFinD）'!$A158-'实盘净值数据(iFinD）'!$A$6)/365))</f>
        <v/>
      </c>
      <c r="C158" s="16" t="str">
        <f t="shared" si="12"/>
        <v/>
      </c>
      <c r="D158" s="16" t="str">
        <f>IF(B158="","",B158/MAX(B$5:B158)-1)</f>
        <v/>
      </c>
      <c r="E158" s="13" t="str">
        <f>IF(OR('实盘净值数据(iFinD）'!$A158="",'实盘净值数据(iFinD）'!$B158=""),"",分期持仓明细!$AB$18*SUMPRODUCT(分期持仓明细!$B$18:$Y$18,'实盘净值数据(iFinD）'!$B158:$Y158/'实盘净值数据(iFinD）'!$B$20:$Y$20)*(1-实盘持仓初始配置!$Z$5)^(('实盘净值数据(iFinD）'!$A158-'实盘净值数据(iFinD）'!$A$5)/365))</f>
        <v/>
      </c>
      <c r="F158" s="16" t="str">
        <f t="shared" si="13"/>
        <v/>
      </c>
      <c r="G158" s="16" t="str">
        <f>IF(E158="","",E158/MAX(E$5:E158)-1)</f>
        <v/>
      </c>
      <c r="H158" s="13" t="str">
        <f>IF(OR('实盘净值数据(iFinD）'!$A158="",'实盘净值数据(iFinD）'!$B158=""),"",分期持仓明细!$AB$19*SUMPRODUCT(分期持仓明细!$B$19:$Y$19,'实盘净值数据(iFinD）'!$B158:$Y158/'实盘净值数据(iFinD）'!$B$20:$Y$20)*(1-实盘持仓初始配置!$Z$6)^(('实盘净值数据(iFinD）'!$A158-'实盘净值数据(iFinD）'!$A$7)/365))</f>
        <v/>
      </c>
      <c r="I158" s="16" t="str">
        <f t="shared" si="14"/>
        <v/>
      </c>
      <c r="J158" s="16" t="str">
        <f>IF(H158="","",H158/MAX(H$5:H158)-1)</f>
        <v/>
      </c>
      <c r="K158" s="13" t="str">
        <f>IF(OR('实盘净值数据(iFinD）'!$A158="",'实盘净值数据(iFinD）'!$B158="",'实盘净值数据(iFinD）'!$Z158="",'实盘净值数据(iFinD）'!$AA158=""),"",分期持仓明细!$AB$23*(SUMPRODUCT(分期持仓明细!$B$23:$Y$23,'实盘净值数据(iFinD）'!$B158:$Y158/'实盘净值数据(iFinD）'!$B$65:$Y$65)+SUMPRODUCT(分期持仓明细!$AC$23:$AD$23,'实盘净值数据(iFinD）'!$Z158:$AA158/'实盘净值数据(iFinD）'!$Z$65:$AA$65))*(1-实盘持仓初始配置!$Z$7)^(('实盘净值数据(iFinD）'!$A158-'实盘净值数据(iFinD）'!$A$8)/365))</f>
        <v/>
      </c>
      <c r="L158" s="16" t="str">
        <f t="shared" si="15"/>
        <v/>
      </c>
      <c r="M158" s="16" t="str">
        <f>IF(K158="","",K158/MAX(K$5:K158)-1)</f>
        <v/>
      </c>
      <c r="N158" s="13" t="str">
        <f>IF(OR('实盘净值数据(iFinD）'!$A158="",'实盘净值数据(iFinD）'!$B158="",'实盘净值数据(iFinD）'!$Z158="",'实盘净值数据(iFinD）'!$AA158=""),"",分期持仓明细!$AB$24*(SUMPRODUCT(分期持仓明细!$B$24:$Y$24,'实盘净值数据(iFinD）'!$B158:$Y158/'实盘净值数据(iFinD）'!$B$65:$Y$65)+SUMPRODUCT(分期持仓明细!$AC$24:$AD$24,'实盘净值数据(iFinD）'!$Z158:$AA158/'实盘净值数据(iFinD）'!$Z$65:$AA$65))*(1-实盘持仓初始配置!$Z$8)^(('实盘净值数据(iFinD）'!$A158-'实盘净值数据(iFinD）'!$A$5)/365))</f>
        <v/>
      </c>
      <c r="O158" s="16" t="str">
        <f t="shared" si="16"/>
        <v/>
      </c>
      <c r="P158" s="16" t="str">
        <f>IF(N158="","",N158/MAX(N$5:N158)-1)</f>
        <v/>
      </c>
      <c r="Q158" s="13" t="str">
        <f>IF(OR('实盘净值数据(iFinD）'!$A158="",'实盘净值数据(iFinD）'!$B158="",'实盘净值数据(iFinD）'!$Z158="",'实盘净值数据(iFinD）'!$AA158=""),"",分期持仓明细!$AB$25*(SUMPRODUCT(分期持仓明细!$B$25:$Y$25,'实盘净值数据(iFinD）'!$B158:$Y158/'实盘净值数据(iFinD）'!$B$65:$Y$65)+SUMPRODUCT(分期持仓明细!$AC$25:$AD$25,'实盘净值数据(iFinD）'!$Z158:$AA158/'实盘净值数据(iFinD）'!$Z$65:$AA$65))*(1-实盘持仓初始配置!$Z$9)^(('实盘净值数据(iFinD）'!$A158-'实盘净值数据(iFinD）'!$A$8)/365))</f>
        <v/>
      </c>
      <c r="R158" s="16" t="str">
        <f t="shared" si="17"/>
        <v/>
      </c>
      <c r="S158" s="16" t="str">
        <f>IF(Q158="","",Q158/MAX(Q$5:Q158)-1)</f>
        <v/>
      </c>
      <c r="T158" s="13">
        <f>IF(OR('实盘净值数据(iFinD）'!$A158="",'实盘净值数据(iFinD）'!$B158="",'实盘净值数据(iFinD）'!$Z158="",'实盘净值数据(iFinD）'!$AA158="",'实盘净值数据(iFinD）'!$AB158="",'实盘净值数据(iFinD）'!$AL158=""),"",(SUMPRODUCT(分期持仓明细!$B$26:$Y$26,'实盘净值数据(iFinD）'!$B158:$Y158/'实盘净值数据(iFinD）'!$B$69:$Y$69)+SUMPRODUCT(分期持仓明细!$AC$26:$AD$26,'实盘净值数据(iFinD）'!$Z158:$AA158/'实盘净值数据(iFinD）'!$Z$69:$AA$69)+SUMPRODUCT(分期持仓明细!$AE$26:$AO$26,'实盘净值数据(iFinD）'!$AB158:$AL158/'实盘净值数据(iFinD）'!$AB$69:$AL$69))*(1-实盘持仓初始配置!$Z$10)^(('实盘净值数据(iFinD）'!$A158-'实盘净值数据(iFinD）'!$A$69)/365))</f>
        <v/>
      </c>
      <c r="U158" s="16">
        <f>IF(OR(T157="",T158=""),"",T158/T157-1)</f>
        <v/>
      </c>
      <c r="V158" s="16">
        <f>IF(T158="","",T158/MAX(T$5:T158)-1)</f>
        <v/>
      </c>
    </row>
    <row r="159" spans="1:19">
      <c r="A159" s="15" t="str">
        <f>IF('实盘净值数据(iFinD）'!A159="","",'实盘净值数据(iFinD）'!A159)</f>
        <v/>
      </c>
      <c r="B159" s="13" t="str">
        <f>IF(OR('实盘净值数据(iFinD）'!$A159="",'实盘净值数据(iFinD）'!$B159=""),"",分期持仓明细!$AB$17*SUMPRODUCT(分期持仓明细!$B$17:$Y$17,'实盘净值数据(iFinD）'!$B159:$Y159/'实盘净值数据(iFinD）'!$B$20:$Y$20)*(1-实盘持仓初始配置!$Z$4)^(('实盘净值数据(iFinD）'!$A159-'实盘净值数据(iFinD）'!$A$6)/365))</f>
        <v/>
      </c>
      <c r="C159" s="16" t="str">
        <f t="shared" si="12"/>
        <v/>
      </c>
      <c r="D159" s="16" t="str">
        <f>IF(B159="","",B159/MAX(B$5:B159)-1)</f>
        <v/>
      </c>
      <c r="E159" s="13" t="str">
        <f>IF(OR('实盘净值数据(iFinD）'!$A159="",'实盘净值数据(iFinD）'!$B159=""),"",分期持仓明细!$AB$18*SUMPRODUCT(分期持仓明细!$B$18:$Y$18,'实盘净值数据(iFinD）'!$B159:$Y159/'实盘净值数据(iFinD）'!$B$20:$Y$20)*(1-实盘持仓初始配置!$Z$5)^(('实盘净值数据(iFinD）'!$A159-'实盘净值数据(iFinD）'!$A$5)/365))</f>
        <v/>
      </c>
      <c r="F159" s="16" t="str">
        <f t="shared" si="13"/>
        <v/>
      </c>
      <c r="G159" s="16" t="str">
        <f>IF(E159="","",E159/MAX(E$5:E159)-1)</f>
        <v/>
      </c>
      <c r="H159" s="13" t="str">
        <f>IF(OR('实盘净值数据(iFinD）'!$A159="",'实盘净值数据(iFinD）'!$B159=""),"",分期持仓明细!$AB$19*SUMPRODUCT(分期持仓明细!$B$19:$Y$19,'实盘净值数据(iFinD）'!$B159:$Y159/'实盘净值数据(iFinD）'!$B$20:$Y$20)*(1-实盘持仓初始配置!$Z$6)^(('实盘净值数据(iFinD）'!$A159-'实盘净值数据(iFinD）'!$A$7)/365))</f>
        <v/>
      </c>
      <c r="I159" s="16" t="str">
        <f t="shared" si="14"/>
        <v/>
      </c>
      <c r="J159" s="16" t="str">
        <f>IF(H159="","",H159/MAX(H$5:H159)-1)</f>
        <v/>
      </c>
      <c r="K159" s="13" t="str">
        <f>IF(OR('实盘净值数据(iFinD）'!$A159="",'实盘净值数据(iFinD）'!$B159="",'实盘净值数据(iFinD）'!$Z159="",'实盘净值数据(iFinD）'!$AA159=""),"",分期持仓明细!$AB$23*(SUMPRODUCT(分期持仓明细!$B$23:$Y$23,'实盘净值数据(iFinD）'!$B159:$Y159/'实盘净值数据(iFinD）'!$B$65:$Y$65)+SUMPRODUCT(分期持仓明细!$AC$23:$AD$23,'实盘净值数据(iFinD）'!$Z159:$AA159/'实盘净值数据(iFinD）'!$Z$65:$AA$65))*(1-实盘持仓初始配置!$Z$7)^(('实盘净值数据(iFinD）'!$A159-'实盘净值数据(iFinD）'!$A$8)/365))</f>
        <v/>
      </c>
      <c r="L159" s="16" t="str">
        <f t="shared" si="15"/>
        <v/>
      </c>
      <c r="M159" s="16" t="str">
        <f>IF(K159="","",K159/MAX(K$5:K159)-1)</f>
        <v/>
      </c>
      <c r="N159" s="13" t="str">
        <f>IF(OR('实盘净值数据(iFinD）'!$A159="",'实盘净值数据(iFinD）'!$B159="",'实盘净值数据(iFinD）'!$Z159="",'实盘净值数据(iFinD）'!$AA159=""),"",分期持仓明细!$AB$24*(SUMPRODUCT(分期持仓明细!$B$24:$Y$24,'实盘净值数据(iFinD）'!$B159:$Y159/'实盘净值数据(iFinD）'!$B$65:$Y$65)+SUMPRODUCT(分期持仓明细!$AC$24:$AD$24,'实盘净值数据(iFinD）'!$Z159:$AA159/'实盘净值数据(iFinD）'!$Z$65:$AA$65))*(1-实盘持仓初始配置!$Z$8)^(('实盘净值数据(iFinD）'!$A159-'实盘净值数据(iFinD）'!$A$5)/365))</f>
        <v/>
      </c>
      <c r="O159" s="16" t="str">
        <f t="shared" si="16"/>
        <v/>
      </c>
      <c r="P159" s="16" t="str">
        <f>IF(N159="","",N159/MAX(N$5:N159)-1)</f>
        <v/>
      </c>
      <c r="Q159" s="13" t="str">
        <f>IF(OR('实盘净值数据(iFinD）'!$A159="",'实盘净值数据(iFinD）'!$B159="",'实盘净值数据(iFinD）'!$Z159="",'实盘净值数据(iFinD）'!$AA159=""),"",分期持仓明细!$AB$25*(SUMPRODUCT(分期持仓明细!$B$25:$Y$25,'实盘净值数据(iFinD）'!$B159:$Y159/'实盘净值数据(iFinD）'!$B$65:$Y$65)+SUMPRODUCT(分期持仓明细!$AC$25:$AD$25,'实盘净值数据(iFinD）'!$Z159:$AA159/'实盘净值数据(iFinD）'!$Z$65:$AA$65))*(1-实盘持仓初始配置!$Z$9)^(('实盘净值数据(iFinD）'!$A159-'实盘净值数据(iFinD）'!$A$8)/365))</f>
        <v/>
      </c>
      <c r="R159" s="16" t="str">
        <f t="shared" si="17"/>
        <v/>
      </c>
      <c r="S159" s="16" t="str">
        <f>IF(Q159="","",Q159/MAX(Q$5:Q159)-1)</f>
        <v/>
      </c>
      <c r="T159" s="13">
        <f>IF(OR('实盘净值数据(iFinD）'!$A159="",'实盘净值数据(iFinD）'!$B159="",'实盘净值数据(iFinD）'!$Z159="",'实盘净值数据(iFinD）'!$AA159="",'实盘净值数据(iFinD）'!$AB159="",'实盘净值数据(iFinD）'!$AL159=""),"",(SUMPRODUCT(分期持仓明细!$B$26:$Y$26,'实盘净值数据(iFinD）'!$B159:$Y159/'实盘净值数据(iFinD）'!$B$69:$Y$69)+SUMPRODUCT(分期持仓明细!$AC$26:$AD$26,'实盘净值数据(iFinD）'!$Z159:$AA159/'实盘净值数据(iFinD）'!$Z$69:$AA$69)+SUMPRODUCT(分期持仓明细!$AE$26:$AO$26,'实盘净值数据(iFinD）'!$AB159:$AL159/'实盘净值数据(iFinD）'!$AB$69:$AL$69))*(1-实盘持仓初始配置!$Z$10)^(('实盘净值数据(iFinD）'!$A159-'实盘净值数据(iFinD）'!$A$69)/365))</f>
        <v/>
      </c>
      <c r="U159" s="16">
        <f>IF(OR(T158="",T159=""),"",T159/T158-1)</f>
        <v/>
      </c>
      <c r="V159" s="16">
        <f>IF(T159="","",T159/MAX(T$5:T159)-1)</f>
        <v/>
      </c>
    </row>
    <row r="160" spans="1:19">
      <c r="A160" s="15" t="str">
        <f>IF('实盘净值数据(iFinD）'!A160="","",'实盘净值数据(iFinD）'!A160)</f>
        <v/>
      </c>
      <c r="B160" s="13" t="str">
        <f>IF(OR('实盘净值数据(iFinD）'!$A160="",'实盘净值数据(iFinD）'!$B160=""),"",分期持仓明细!$AB$17*SUMPRODUCT(分期持仓明细!$B$17:$Y$17,'实盘净值数据(iFinD）'!$B160:$Y160/'实盘净值数据(iFinD）'!$B$20:$Y$20)*(1-实盘持仓初始配置!$Z$4)^(('实盘净值数据(iFinD）'!$A160-'实盘净值数据(iFinD）'!$A$6)/365))</f>
        <v/>
      </c>
      <c r="C160" s="16" t="str">
        <f t="shared" si="12"/>
        <v/>
      </c>
      <c r="D160" s="16" t="str">
        <f>IF(B160="","",B160/MAX(B$5:B160)-1)</f>
        <v/>
      </c>
      <c r="E160" s="13" t="str">
        <f>IF(OR('实盘净值数据(iFinD）'!$A160="",'实盘净值数据(iFinD）'!$B160=""),"",分期持仓明细!$AB$18*SUMPRODUCT(分期持仓明细!$B$18:$Y$18,'实盘净值数据(iFinD）'!$B160:$Y160/'实盘净值数据(iFinD）'!$B$20:$Y$20)*(1-实盘持仓初始配置!$Z$5)^(('实盘净值数据(iFinD）'!$A160-'实盘净值数据(iFinD）'!$A$5)/365))</f>
        <v/>
      </c>
      <c r="F160" s="16" t="str">
        <f t="shared" si="13"/>
        <v/>
      </c>
      <c r="G160" s="16" t="str">
        <f>IF(E160="","",E160/MAX(E$5:E160)-1)</f>
        <v/>
      </c>
      <c r="H160" s="13" t="str">
        <f>IF(OR('实盘净值数据(iFinD）'!$A160="",'实盘净值数据(iFinD）'!$B160=""),"",分期持仓明细!$AB$19*SUMPRODUCT(分期持仓明细!$B$19:$Y$19,'实盘净值数据(iFinD）'!$B160:$Y160/'实盘净值数据(iFinD）'!$B$20:$Y$20)*(1-实盘持仓初始配置!$Z$6)^(('实盘净值数据(iFinD）'!$A160-'实盘净值数据(iFinD）'!$A$7)/365))</f>
        <v/>
      </c>
      <c r="I160" s="16" t="str">
        <f t="shared" si="14"/>
        <v/>
      </c>
      <c r="J160" s="16" t="str">
        <f>IF(H160="","",H160/MAX(H$5:H160)-1)</f>
        <v/>
      </c>
      <c r="K160" s="13" t="str">
        <f>IF(OR('实盘净值数据(iFinD）'!$A160="",'实盘净值数据(iFinD）'!$B160="",'实盘净值数据(iFinD）'!$Z160="",'实盘净值数据(iFinD）'!$AA160=""),"",分期持仓明细!$AB$23*(SUMPRODUCT(分期持仓明细!$B$23:$Y$23,'实盘净值数据(iFinD）'!$B160:$Y160/'实盘净值数据(iFinD）'!$B$65:$Y$65)+SUMPRODUCT(分期持仓明细!$AC$23:$AD$23,'实盘净值数据(iFinD）'!$Z160:$AA160/'实盘净值数据(iFinD）'!$Z$65:$AA$65))*(1-实盘持仓初始配置!$Z$7)^(('实盘净值数据(iFinD）'!$A160-'实盘净值数据(iFinD）'!$A$8)/365))</f>
        <v/>
      </c>
      <c r="L160" s="16" t="str">
        <f t="shared" si="15"/>
        <v/>
      </c>
      <c r="M160" s="16" t="str">
        <f>IF(K160="","",K160/MAX(K$5:K160)-1)</f>
        <v/>
      </c>
      <c r="N160" s="13" t="str">
        <f>IF(OR('实盘净值数据(iFinD）'!$A160="",'实盘净值数据(iFinD）'!$B160="",'实盘净值数据(iFinD）'!$Z160="",'实盘净值数据(iFinD）'!$AA160=""),"",分期持仓明细!$AB$24*(SUMPRODUCT(分期持仓明细!$B$24:$Y$24,'实盘净值数据(iFinD）'!$B160:$Y160/'实盘净值数据(iFinD）'!$B$65:$Y$65)+SUMPRODUCT(分期持仓明细!$AC$24:$AD$24,'实盘净值数据(iFinD）'!$Z160:$AA160/'实盘净值数据(iFinD）'!$Z$65:$AA$65))*(1-实盘持仓初始配置!$Z$8)^(('实盘净值数据(iFinD）'!$A160-'实盘净值数据(iFinD）'!$A$5)/365))</f>
        <v/>
      </c>
      <c r="O160" s="16" t="str">
        <f t="shared" si="16"/>
        <v/>
      </c>
      <c r="P160" s="16" t="str">
        <f>IF(N160="","",N160/MAX(N$5:N160)-1)</f>
        <v/>
      </c>
      <c r="Q160" s="13" t="str">
        <f>IF(OR('实盘净值数据(iFinD）'!$A160="",'实盘净值数据(iFinD）'!$B160="",'实盘净值数据(iFinD）'!$Z160="",'实盘净值数据(iFinD）'!$AA160=""),"",分期持仓明细!$AB$25*(SUMPRODUCT(分期持仓明细!$B$25:$Y$25,'实盘净值数据(iFinD）'!$B160:$Y160/'实盘净值数据(iFinD）'!$B$65:$Y$65)+SUMPRODUCT(分期持仓明细!$AC$25:$AD$25,'实盘净值数据(iFinD）'!$Z160:$AA160/'实盘净值数据(iFinD）'!$Z$65:$AA$65))*(1-实盘持仓初始配置!$Z$9)^(('实盘净值数据(iFinD）'!$A160-'实盘净值数据(iFinD）'!$A$8)/365))</f>
        <v/>
      </c>
      <c r="R160" s="16" t="str">
        <f t="shared" si="17"/>
        <v/>
      </c>
      <c r="S160" s="16" t="str">
        <f>IF(Q160="","",Q160/MAX(Q$5:Q160)-1)</f>
        <v/>
      </c>
      <c r="T160" s="13">
        <f>IF(OR('实盘净值数据(iFinD）'!$A160="",'实盘净值数据(iFinD）'!$B160="",'实盘净值数据(iFinD）'!$Z160="",'实盘净值数据(iFinD）'!$AA160="",'实盘净值数据(iFinD）'!$AB160="",'实盘净值数据(iFinD）'!$AL160=""),"",(SUMPRODUCT(分期持仓明细!$B$26:$Y$26,'实盘净值数据(iFinD）'!$B160:$Y160/'实盘净值数据(iFinD）'!$B$69:$Y$69)+SUMPRODUCT(分期持仓明细!$AC$26:$AD$26,'实盘净值数据(iFinD）'!$Z160:$AA160/'实盘净值数据(iFinD）'!$Z$69:$AA$69)+SUMPRODUCT(分期持仓明细!$AE$26:$AO$26,'实盘净值数据(iFinD）'!$AB160:$AL160/'实盘净值数据(iFinD）'!$AB$69:$AL$69))*(1-实盘持仓初始配置!$Z$10)^(('实盘净值数据(iFinD）'!$A160-'实盘净值数据(iFinD）'!$A$69)/365))</f>
        <v/>
      </c>
      <c r="U160" s="16">
        <f>IF(OR(T159="",T160=""),"",T160/T159-1)</f>
        <v/>
      </c>
      <c r="V160" s="16">
        <f>IF(T160="","",T160/MAX(T$5:T160)-1)</f>
        <v/>
      </c>
    </row>
    <row r="161" spans="1:19">
      <c r="A161" s="15" t="str">
        <f>IF('实盘净值数据(iFinD）'!A161="","",'实盘净值数据(iFinD）'!A161)</f>
        <v/>
      </c>
      <c r="B161" s="13" t="str">
        <f>IF(OR('实盘净值数据(iFinD）'!$A161="",'实盘净值数据(iFinD）'!$B161=""),"",分期持仓明细!$AB$17*SUMPRODUCT(分期持仓明细!$B$17:$Y$17,'实盘净值数据(iFinD）'!$B161:$Y161/'实盘净值数据(iFinD）'!$B$20:$Y$20)*(1-实盘持仓初始配置!$Z$4)^(('实盘净值数据(iFinD）'!$A161-'实盘净值数据(iFinD）'!$A$6)/365))</f>
        <v/>
      </c>
      <c r="C161" s="16" t="str">
        <f t="shared" si="12"/>
        <v/>
      </c>
      <c r="D161" s="16" t="str">
        <f>IF(B161="","",B161/MAX(B$5:B161)-1)</f>
        <v/>
      </c>
      <c r="E161" s="13" t="str">
        <f>IF(OR('实盘净值数据(iFinD）'!$A161="",'实盘净值数据(iFinD）'!$B161=""),"",分期持仓明细!$AB$18*SUMPRODUCT(分期持仓明细!$B$18:$Y$18,'实盘净值数据(iFinD）'!$B161:$Y161/'实盘净值数据(iFinD）'!$B$20:$Y$20)*(1-实盘持仓初始配置!$Z$5)^(('实盘净值数据(iFinD）'!$A161-'实盘净值数据(iFinD）'!$A$5)/365))</f>
        <v/>
      </c>
      <c r="F161" s="16" t="str">
        <f t="shared" si="13"/>
        <v/>
      </c>
      <c r="G161" s="16" t="str">
        <f>IF(E161="","",E161/MAX(E$5:E161)-1)</f>
        <v/>
      </c>
      <c r="H161" s="13" t="str">
        <f>IF(OR('实盘净值数据(iFinD）'!$A161="",'实盘净值数据(iFinD）'!$B161=""),"",分期持仓明细!$AB$19*SUMPRODUCT(分期持仓明细!$B$19:$Y$19,'实盘净值数据(iFinD）'!$B161:$Y161/'实盘净值数据(iFinD）'!$B$20:$Y$20)*(1-实盘持仓初始配置!$Z$6)^(('实盘净值数据(iFinD）'!$A161-'实盘净值数据(iFinD）'!$A$7)/365))</f>
        <v/>
      </c>
      <c r="I161" s="16" t="str">
        <f t="shared" si="14"/>
        <v/>
      </c>
      <c r="J161" s="16" t="str">
        <f>IF(H161="","",H161/MAX(H$5:H161)-1)</f>
        <v/>
      </c>
      <c r="K161" s="13" t="str">
        <f>IF(OR('实盘净值数据(iFinD）'!$A161="",'实盘净值数据(iFinD）'!$B161="",'实盘净值数据(iFinD）'!$Z161="",'实盘净值数据(iFinD）'!$AA161=""),"",分期持仓明细!$AB$23*(SUMPRODUCT(分期持仓明细!$B$23:$Y$23,'实盘净值数据(iFinD）'!$B161:$Y161/'实盘净值数据(iFinD）'!$B$65:$Y$65)+SUMPRODUCT(分期持仓明细!$AC$23:$AD$23,'实盘净值数据(iFinD）'!$Z161:$AA161/'实盘净值数据(iFinD）'!$Z$65:$AA$65))*(1-实盘持仓初始配置!$Z$7)^(('实盘净值数据(iFinD）'!$A161-'实盘净值数据(iFinD）'!$A$8)/365))</f>
        <v/>
      </c>
      <c r="L161" s="16" t="str">
        <f t="shared" si="15"/>
        <v/>
      </c>
      <c r="M161" s="16" t="str">
        <f>IF(K161="","",K161/MAX(K$5:K161)-1)</f>
        <v/>
      </c>
      <c r="N161" s="13" t="str">
        <f>IF(OR('实盘净值数据(iFinD）'!$A161="",'实盘净值数据(iFinD）'!$B161="",'实盘净值数据(iFinD）'!$Z161="",'实盘净值数据(iFinD）'!$AA161=""),"",分期持仓明细!$AB$24*(SUMPRODUCT(分期持仓明细!$B$24:$Y$24,'实盘净值数据(iFinD）'!$B161:$Y161/'实盘净值数据(iFinD）'!$B$65:$Y$65)+SUMPRODUCT(分期持仓明细!$AC$24:$AD$24,'实盘净值数据(iFinD）'!$Z161:$AA161/'实盘净值数据(iFinD）'!$Z$65:$AA$65))*(1-实盘持仓初始配置!$Z$8)^(('实盘净值数据(iFinD）'!$A161-'实盘净值数据(iFinD）'!$A$5)/365))</f>
        <v/>
      </c>
      <c r="O161" s="16" t="str">
        <f t="shared" si="16"/>
        <v/>
      </c>
      <c r="P161" s="16" t="str">
        <f>IF(N161="","",N161/MAX(N$5:N161)-1)</f>
        <v/>
      </c>
      <c r="Q161" s="13" t="str">
        <f>IF(OR('实盘净值数据(iFinD）'!$A161="",'实盘净值数据(iFinD）'!$B161="",'实盘净值数据(iFinD）'!$Z161="",'实盘净值数据(iFinD）'!$AA161=""),"",分期持仓明细!$AB$25*(SUMPRODUCT(分期持仓明细!$B$25:$Y$25,'实盘净值数据(iFinD）'!$B161:$Y161/'实盘净值数据(iFinD）'!$B$65:$Y$65)+SUMPRODUCT(分期持仓明细!$AC$25:$AD$25,'实盘净值数据(iFinD）'!$Z161:$AA161/'实盘净值数据(iFinD）'!$Z$65:$AA$65))*(1-实盘持仓初始配置!$Z$9)^(('实盘净值数据(iFinD）'!$A161-'实盘净值数据(iFinD）'!$A$8)/365))</f>
        <v/>
      </c>
      <c r="R161" s="16" t="str">
        <f t="shared" si="17"/>
        <v/>
      </c>
      <c r="S161" s="16" t="str">
        <f>IF(Q161="","",Q161/MAX(Q$5:Q161)-1)</f>
        <v/>
      </c>
      <c r="T161" s="13">
        <f>IF(OR('实盘净值数据(iFinD）'!$A161="",'实盘净值数据(iFinD）'!$B161="",'实盘净值数据(iFinD）'!$Z161="",'实盘净值数据(iFinD）'!$AA161="",'实盘净值数据(iFinD）'!$AB161="",'实盘净值数据(iFinD）'!$AL161=""),"",(SUMPRODUCT(分期持仓明细!$B$26:$Y$26,'实盘净值数据(iFinD）'!$B161:$Y161/'实盘净值数据(iFinD）'!$B$69:$Y$69)+SUMPRODUCT(分期持仓明细!$AC$26:$AD$26,'实盘净值数据(iFinD）'!$Z161:$AA161/'实盘净值数据(iFinD）'!$Z$69:$AA$69)+SUMPRODUCT(分期持仓明细!$AE$26:$AO$26,'实盘净值数据(iFinD）'!$AB161:$AL161/'实盘净值数据(iFinD）'!$AB$69:$AL$69))*(1-实盘持仓初始配置!$Z$10)^(('实盘净值数据(iFinD）'!$A161-'实盘净值数据(iFinD）'!$A$69)/365))</f>
        <v/>
      </c>
      <c r="U161" s="16">
        <f>IF(OR(T160="",T161=""),"",T161/T160-1)</f>
        <v/>
      </c>
      <c r="V161" s="16">
        <f>IF(T161="","",T161/MAX(T$5:T161)-1)</f>
        <v/>
      </c>
    </row>
    <row r="162" spans="1:19">
      <c r="A162" s="15" t="str">
        <f>IF('实盘净值数据(iFinD）'!A162="","",'实盘净值数据(iFinD）'!A162)</f>
        <v/>
      </c>
      <c r="B162" s="13" t="str">
        <f>IF(OR('实盘净值数据(iFinD）'!$A162="",'实盘净值数据(iFinD）'!$B162=""),"",分期持仓明细!$AB$17*SUMPRODUCT(分期持仓明细!$B$17:$Y$17,'实盘净值数据(iFinD）'!$B162:$Y162/'实盘净值数据(iFinD）'!$B$20:$Y$20)*(1-实盘持仓初始配置!$Z$4)^(('实盘净值数据(iFinD）'!$A162-'实盘净值数据(iFinD）'!$A$6)/365))</f>
        <v/>
      </c>
      <c r="C162" s="16" t="str">
        <f t="shared" si="12"/>
        <v/>
      </c>
      <c r="D162" s="16" t="str">
        <f>IF(B162="","",B162/MAX(B$5:B162)-1)</f>
        <v/>
      </c>
      <c r="E162" s="13" t="str">
        <f>IF(OR('实盘净值数据(iFinD）'!$A162="",'实盘净值数据(iFinD）'!$B162=""),"",分期持仓明细!$AB$18*SUMPRODUCT(分期持仓明细!$B$18:$Y$18,'实盘净值数据(iFinD）'!$B162:$Y162/'实盘净值数据(iFinD）'!$B$20:$Y$20)*(1-实盘持仓初始配置!$Z$5)^(('实盘净值数据(iFinD）'!$A162-'实盘净值数据(iFinD）'!$A$5)/365))</f>
        <v/>
      </c>
      <c r="F162" s="16" t="str">
        <f t="shared" si="13"/>
        <v/>
      </c>
      <c r="G162" s="16" t="str">
        <f>IF(E162="","",E162/MAX(E$5:E162)-1)</f>
        <v/>
      </c>
      <c r="H162" s="13" t="str">
        <f>IF(OR('实盘净值数据(iFinD）'!$A162="",'实盘净值数据(iFinD）'!$B162=""),"",分期持仓明细!$AB$19*SUMPRODUCT(分期持仓明细!$B$19:$Y$19,'实盘净值数据(iFinD）'!$B162:$Y162/'实盘净值数据(iFinD）'!$B$20:$Y$20)*(1-实盘持仓初始配置!$Z$6)^(('实盘净值数据(iFinD）'!$A162-'实盘净值数据(iFinD）'!$A$7)/365))</f>
        <v/>
      </c>
      <c r="I162" s="16" t="str">
        <f t="shared" si="14"/>
        <v/>
      </c>
      <c r="J162" s="16" t="str">
        <f>IF(H162="","",H162/MAX(H$5:H162)-1)</f>
        <v/>
      </c>
      <c r="K162" s="13" t="str">
        <f>IF(OR('实盘净值数据(iFinD）'!$A162="",'实盘净值数据(iFinD）'!$B162="",'实盘净值数据(iFinD）'!$Z162="",'实盘净值数据(iFinD）'!$AA162=""),"",分期持仓明细!$AB$23*(SUMPRODUCT(分期持仓明细!$B$23:$Y$23,'实盘净值数据(iFinD）'!$B162:$Y162/'实盘净值数据(iFinD）'!$B$65:$Y$65)+SUMPRODUCT(分期持仓明细!$AC$23:$AD$23,'实盘净值数据(iFinD）'!$Z162:$AA162/'实盘净值数据(iFinD）'!$Z$65:$AA$65))*(1-实盘持仓初始配置!$Z$7)^(('实盘净值数据(iFinD）'!$A162-'实盘净值数据(iFinD）'!$A$8)/365))</f>
        <v/>
      </c>
      <c r="L162" s="16" t="str">
        <f t="shared" si="15"/>
        <v/>
      </c>
      <c r="M162" s="16" t="str">
        <f>IF(K162="","",K162/MAX(K$5:K162)-1)</f>
        <v/>
      </c>
      <c r="N162" s="13" t="str">
        <f>IF(OR('实盘净值数据(iFinD）'!$A162="",'实盘净值数据(iFinD）'!$B162="",'实盘净值数据(iFinD）'!$Z162="",'实盘净值数据(iFinD）'!$AA162=""),"",分期持仓明细!$AB$24*(SUMPRODUCT(分期持仓明细!$B$24:$Y$24,'实盘净值数据(iFinD）'!$B162:$Y162/'实盘净值数据(iFinD）'!$B$65:$Y$65)+SUMPRODUCT(分期持仓明细!$AC$24:$AD$24,'实盘净值数据(iFinD）'!$Z162:$AA162/'实盘净值数据(iFinD）'!$Z$65:$AA$65))*(1-实盘持仓初始配置!$Z$8)^(('实盘净值数据(iFinD）'!$A162-'实盘净值数据(iFinD）'!$A$5)/365))</f>
        <v/>
      </c>
      <c r="O162" s="16" t="str">
        <f t="shared" si="16"/>
        <v/>
      </c>
      <c r="P162" s="16" t="str">
        <f>IF(N162="","",N162/MAX(N$5:N162)-1)</f>
        <v/>
      </c>
      <c r="Q162" s="13" t="str">
        <f>IF(OR('实盘净值数据(iFinD）'!$A162="",'实盘净值数据(iFinD）'!$B162="",'实盘净值数据(iFinD）'!$Z162="",'实盘净值数据(iFinD）'!$AA162=""),"",分期持仓明细!$AB$25*(SUMPRODUCT(分期持仓明细!$B$25:$Y$25,'实盘净值数据(iFinD）'!$B162:$Y162/'实盘净值数据(iFinD）'!$B$65:$Y$65)+SUMPRODUCT(分期持仓明细!$AC$25:$AD$25,'实盘净值数据(iFinD）'!$Z162:$AA162/'实盘净值数据(iFinD）'!$Z$65:$AA$65))*(1-实盘持仓初始配置!$Z$9)^(('实盘净值数据(iFinD）'!$A162-'实盘净值数据(iFinD）'!$A$8)/365))</f>
        <v/>
      </c>
      <c r="R162" s="16" t="str">
        <f t="shared" si="17"/>
        <v/>
      </c>
      <c r="S162" s="16" t="str">
        <f>IF(Q162="","",Q162/MAX(Q$5:Q162)-1)</f>
        <v/>
      </c>
      <c r="T162" s="13">
        <f>IF(OR('实盘净值数据(iFinD）'!$A162="",'实盘净值数据(iFinD）'!$B162="",'实盘净值数据(iFinD）'!$Z162="",'实盘净值数据(iFinD）'!$AA162="",'实盘净值数据(iFinD）'!$AB162="",'实盘净值数据(iFinD）'!$AL162=""),"",(SUMPRODUCT(分期持仓明细!$B$26:$Y$26,'实盘净值数据(iFinD）'!$B162:$Y162/'实盘净值数据(iFinD）'!$B$69:$Y$69)+SUMPRODUCT(分期持仓明细!$AC$26:$AD$26,'实盘净值数据(iFinD）'!$Z162:$AA162/'实盘净值数据(iFinD）'!$Z$69:$AA$69)+SUMPRODUCT(分期持仓明细!$AE$26:$AO$26,'实盘净值数据(iFinD）'!$AB162:$AL162/'实盘净值数据(iFinD）'!$AB$69:$AL$69))*(1-实盘持仓初始配置!$Z$10)^(('实盘净值数据(iFinD）'!$A162-'实盘净值数据(iFinD）'!$A$69)/365))</f>
        <v/>
      </c>
      <c r="U162" s="16">
        <f>IF(OR(T161="",T162=""),"",T162/T161-1)</f>
        <v/>
      </c>
      <c r="V162" s="16">
        <f>IF(T162="","",T162/MAX(T$5:T162)-1)</f>
        <v/>
      </c>
    </row>
    <row r="163" spans="1:19">
      <c r="A163" s="15" t="str">
        <f>IF('实盘净值数据(iFinD）'!A163="","",'实盘净值数据(iFinD）'!A163)</f>
        <v/>
      </c>
      <c r="B163" s="13" t="str">
        <f>IF(OR('实盘净值数据(iFinD）'!$A163="",'实盘净值数据(iFinD）'!$B163=""),"",分期持仓明细!$AB$17*SUMPRODUCT(分期持仓明细!$B$17:$Y$17,'实盘净值数据(iFinD）'!$B163:$Y163/'实盘净值数据(iFinD）'!$B$20:$Y$20)*(1-实盘持仓初始配置!$Z$4)^(('实盘净值数据(iFinD）'!$A163-'实盘净值数据(iFinD）'!$A$6)/365))</f>
        <v/>
      </c>
      <c r="C163" s="16" t="str">
        <f t="shared" si="12"/>
        <v/>
      </c>
      <c r="D163" s="16" t="str">
        <f>IF(B163="","",B163/MAX(B$5:B163)-1)</f>
        <v/>
      </c>
      <c r="E163" s="13" t="str">
        <f>IF(OR('实盘净值数据(iFinD）'!$A163="",'实盘净值数据(iFinD）'!$B163=""),"",分期持仓明细!$AB$18*SUMPRODUCT(分期持仓明细!$B$18:$Y$18,'实盘净值数据(iFinD）'!$B163:$Y163/'实盘净值数据(iFinD）'!$B$20:$Y$20)*(1-实盘持仓初始配置!$Z$5)^(('实盘净值数据(iFinD）'!$A163-'实盘净值数据(iFinD）'!$A$5)/365))</f>
        <v/>
      </c>
      <c r="F163" s="16" t="str">
        <f t="shared" si="13"/>
        <v/>
      </c>
      <c r="G163" s="16" t="str">
        <f>IF(E163="","",E163/MAX(E$5:E163)-1)</f>
        <v/>
      </c>
      <c r="H163" s="13" t="str">
        <f>IF(OR('实盘净值数据(iFinD）'!$A163="",'实盘净值数据(iFinD）'!$B163=""),"",分期持仓明细!$AB$19*SUMPRODUCT(分期持仓明细!$B$19:$Y$19,'实盘净值数据(iFinD）'!$B163:$Y163/'实盘净值数据(iFinD）'!$B$20:$Y$20)*(1-实盘持仓初始配置!$Z$6)^(('实盘净值数据(iFinD）'!$A163-'实盘净值数据(iFinD）'!$A$7)/365))</f>
        <v/>
      </c>
      <c r="I163" s="16" t="str">
        <f t="shared" si="14"/>
        <v/>
      </c>
      <c r="J163" s="16" t="str">
        <f>IF(H163="","",H163/MAX(H$5:H163)-1)</f>
        <v/>
      </c>
      <c r="K163" s="13" t="str">
        <f>IF(OR('实盘净值数据(iFinD）'!$A163="",'实盘净值数据(iFinD）'!$B163="",'实盘净值数据(iFinD）'!$Z163="",'实盘净值数据(iFinD）'!$AA163=""),"",分期持仓明细!$AB$23*(SUMPRODUCT(分期持仓明细!$B$23:$Y$23,'实盘净值数据(iFinD）'!$B163:$Y163/'实盘净值数据(iFinD）'!$B$65:$Y$65)+SUMPRODUCT(分期持仓明细!$AC$23:$AD$23,'实盘净值数据(iFinD）'!$Z163:$AA163/'实盘净值数据(iFinD）'!$Z$65:$AA$65))*(1-实盘持仓初始配置!$Z$7)^(('实盘净值数据(iFinD）'!$A163-'实盘净值数据(iFinD）'!$A$8)/365))</f>
        <v/>
      </c>
      <c r="L163" s="16" t="str">
        <f t="shared" si="15"/>
        <v/>
      </c>
      <c r="M163" s="16" t="str">
        <f>IF(K163="","",K163/MAX(K$5:K163)-1)</f>
        <v/>
      </c>
      <c r="N163" s="13" t="str">
        <f>IF(OR('实盘净值数据(iFinD）'!$A163="",'实盘净值数据(iFinD）'!$B163="",'实盘净值数据(iFinD）'!$Z163="",'实盘净值数据(iFinD）'!$AA163=""),"",分期持仓明细!$AB$24*(SUMPRODUCT(分期持仓明细!$B$24:$Y$24,'实盘净值数据(iFinD）'!$B163:$Y163/'实盘净值数据(iFinD）'!$B$65:$Y$65)+SUMPRODUCT(分期持仓明细!$AC$24:$AD$24,'实盘净值数据(iFinD）'!$Z163:$AA163/'实盘净值数据(iFinD）'!$Z$65:$AA$65))*(1-实盘持仓初始配置!$Z$8)^(('实盘净值数据(iFinD）'!$A163-'实盘净值数据(iFinD）'!$A$5)/365))</f>
        <v/>
      </c>
      <c r="O163" s="16" t="str">
        <f t="shared" si="16"/>
        <v/>
      </c>
      <c r="P163" s="16" t="str">
        <f>IF(N163="","",N163/MAX(N$5:N163)-1)</f>
        <v/>
      </c>
      <c r="Q163" s="13" t="str">
        <f>IF(OR('实盘净值数据(iFinD）'!$A163="",'实盘净值数据(iFinD）'!$B163="",'实盘净值数据(iFinD）'!$Z163="",'实盘净值数据(iFinD）'!$AA163=""),"",分期持仓明细!$AB$25*(SUMPRODUCT(分期持仓明细!$B$25:$Y$25,'实盘净值数据(iFinD）'!$B163:$Y163/'实盘净值数据(iFinD）'!$B$65:$Y$65)+SUMPRODUCT(分期持仓明细!$AC$25:$AD$25,'实盘净值数据(iFinD）'!$Z163:$AA163/'实盘净值数据(iFinD）'!$Z$65:$AA$65))*(1-实盘持仓初始配置!$Z$9)^(('实盘净值数据(iFinD）'!$A163-'实盘净值数据(iFinD）'!$A$8)/365))</f>
        <v/>
      </c>
      <c r="R163" s="16" t="str">
        <f t="shared" si="17"/>
        <v/>
      </c>
      <c r="S163" s="16" t="str">
        <f>IF(Q163="","",Q163/MAX(Q$5:Q163)-1)</f>
        <v/>
      </c>
      <c r="T163" s="13">
        <f>IF(OR('实盘净值数据(iFinD）'!$A163="",'实盘净值数据(iFinD）'!$B163="",'实盘净值数据(iFinD）'!$Z163="",'实盘净值数据(iFinD）'!$AA163="",'实盘净值数据(iFinD）'!$AB163="",'实盘净值数据(iFinD）'!$AL163=""),"",(SUMPRODUCT(分期持仓明细!$B$26:$Y$26,'实盘净值数据(iFinD）'!$B163:$Y163/'实盘净值数据(iFinD）'!$B$69:$Y$69)+SUMPRODUCT(分期持仓明细!$AC$26:$AD$26,'实盘净值数据(iFinD）'!$Z163:$AA163/'实盘净值数据(iFinD）'!$Z$69:$AA$69)+SUMPRODUCT(分期持仓明细!$AE$26:$AO$26,'实盘净值数据(iFinD）'!$AB163:$AL163/'实盘净值数据(iFinD）'!$AB$69:$AL$69))*(1-实盘持仓初始配置!$Z$10)^(('实盘净值数据(iFinD）'!$A163-'实盘净值数据(iFinD）'!$A$69)/365))</f>
        <v/>
      </c>
      <c r="U163" s="16">
        <f>IF(OR(T162="",T163=""),"",T163/T162-1)</f>
        <v/>
      </c>
      <c r="V163" s="16">
        <f>IF(T163="","",T163/MAX(T$5:T163)-1)</f>
        <v/>
      </c>
    </row>
    <row r="164" spans="1:19">
      <c r="A164" s="15" t="str">
        <f>IF('实盘净值数据(iFinD）'!A164="","",'实盘净值数据(iFinD）'!A164)</f>
        <v/>
      </c>
      <c r="B164" s="13" t="str">
        <f>IF(OR('实盘净值数据(iFinD）'!$A164="",'实盘净值数据(iFinD）'!$B164=""),"",分期持仓明细!$AB$17*SUMPRODUCT(分期持仓明细!$B$17:$Y$17,'实盘净值数据(iFinD）'!$B164:$Y164/'实盘净值数据(iFinD）'!$B$20:$Y$20)*(1-实盘持仓初始配置!$Z$4)^(('实盘净值数据(iFinD）'!$A164-'实盘净值数据(iFinD）'!$A$6)/365))</f>
        <v/>
      </c>
      <c r="C164" s="16" t="str">
        <f t="shared" si="12"/>
        <v/>
      </c>
      <c r="D164" s="16" t="str">
        <f>IF(B164="","",B164/MAX(B$5:B164)-1)</f>
        <v/>
      </c>
      <c r="E164" s="13" t="str">
        <f>IF(OR('实盘净值数据(iFinD）'!$A164="",'实盘净值数据(iFinD）'!$B164=""),"",分期持仓明细!$AB$18*SUMPRODUCT(分期持仓明细!$B$18:$Y$18,'实盘净值数据(iFinD）'!$B164:$Y164/'实盘净值数据(iFinD）'!$B$20:$Y$20)*(1-实盘持仓初始配置!$Z$5)^(('实盘净值数据(iFinD）'!$A164-'实盘净值数据(iFinD）'!$A$5)/365))</f>
        <v/>
      </c>
      <c r="F164" s="16" t="str">
        <f t="shared" si="13"/>
        <v/>
      </c>
      <c r="G164" s="16" t="str">
        <f>IF(E164="","",E164/MAX(E$5:E164)-1)</f>
        <v/>
      </c>
      <c r="H164" s="13" t="str">
        <f>IF(OR('实盘净值数据(iFinD）'!$A164="",'实盘净值数据(iFinD）'!$B164=""),"",分期持仓明细!$AB$19*SUMPRODUCT(分期持仓明细!$B$19:$Y$19,'实盘净值数据(iFinD）'!$B164:$Y164/'实盘净值数据(iFinD）'!$B$20:$Y$20)*(1-实盘持仓初始配置!$Z$6)^(('实盘净值数据(iFinD）'!$A164-'实盘净值数据(iFinD）'!$A$7)/365))</f>
        <v/>
      </c>
      <c r="I164" s="16" t="str">
        <f t="shared" si="14"/>
        <v/>
      </c>
      <c r="J164" s="16" t="str">
        <f>IF(H164="","",H164/MAX(H$5:H164)-1)</f>
        <v/>
      </c>
      <c r="K164" s="13" t="str">
        <f>IF(OR('实盘净值数据(iFinD）'!$A164="",'实盘净值数据(iFinD）'!$B164="",'实盘净值数据(iFinD）'!$Z164="",'实盘净值数据(iFinD）'!$AA164=""),"",分期持仓明细!$AB$23*(SUMPRODUCT(分期持仓明细!$B$23:$Y$23,'实盘净值数据(iFinD）'!$B164:$Y164/'实盘净值数据(iFinD）'!$B$65:$Y$65)+SUMPRODUCT(分期持仓明细!$AC$23:$AD$23,'实盘净值数据(iFinD）'!$Z164:$AA164/'实盘净值数据(iFinD）'!$Z$65:$AA$65))*(1-实盘持仓初始配置!$Z$7)^(('实盘净值数据(iFinD）'!$A164-'实盘净值数据(iFinD）'!$A$8)/365))</f>
        <v/>
      </c>
      <c r="L164" s="16" t="str">
        <f t="shared" si="15"/>
        <v/>
      </c>
      <c r="M164" s="16" t="str">
        <f>IF(K164="","",K164/MAX(K$5:K164)-1)</f>
        <v/>
      </c>
      <c r="N164" s="13" t="str">
        <f>IF(OR('实盘净值数据(iFinD）'!$A164="",'实盘净值数据(iFinD）'!$B164="",'实盘净值数据(iFinD）'!$Z164="",'实盘净值数据(iFinD）'!$AA164=""),"",分期持仓明细!$AB$24*(SUMPRODUCT(分期持仓明细!$B$24:$Y$24,'实盘净值数据(iFinD）'!$B164:$Y164/'实盘净值数据(iFinD）'!$B$65:$Y$65)+SUMPRODUCT(分期持仓明细!$AC$24:$AD$24,'实盘净值数据(iFinD）'!$Z164:$AA164/'实盘净值数据(iFinD）'!$Z$65:$AA$65))*(1-实盘持仓初始配置!$Z$8)^(('实盘净值数据(iFinD）'!$A164-'实盘净值数据(iFinD）'!$A$5)/365))</f>
        <v/>
      </c>
      <c r="O164" s="16" t="str">
        <f t="shared" si="16"/>
        <v/>
      </c>
      <c r="P164" s="16" t="str">
        <f>IF(N164="","",N164/MAX(N$5:N164)-1)</f>
        <v/>
      </c>
      <c r="Q164" s="13" t="str">
        <f>IF(OR('实盘净值数据(iFinD）'!$A164="",'实盘净值数据(iFinD）'!$B164="",'实盘净值数据(iFinD）'!$Z164="",'实盘净值数据(iFinD）'!$AA164=""),"",分期持仓明细!$AB$25*(SUMPRODUCT(分期持仓明细!$B$25:$Y$25,'实盘净值数据(iFinD）'!$B164:$Y164/'实盘净值数据(iFinD）'!$B$65:$Y$65)+SUMPRODUCT(分期持仓明细!$AC$25:$AD$25,'实盘净值数据(iFinD）'!$Z164:$AA164/'实盘净值数据(iFinD）'!$Z$65:$AA$65))*(1-实盘持仓初始配置!$Z$9)^(('实盘净值数据(iFinD）'!$A164-'实盘净值数据(iFinD）'!$A$8)/365))</f>
        <v/>
      </c>
      <c r="R164" s="16" t="str">
        <f t="shared" si="17"/>
        <v/>
      </c>
      <c r="S164" s="16" t="str">
        <f>IF(Q164="","",Q164/MAX(Q$5:Q164)-1)</f>
        <v/>
      </c>
      <c r="T164" s="13">
        <f>IF(OR('实盘净值数据(iFinD）'!$A164="",'实盘净值数据(iFinD）'!$B164="",'实盘净值数据(iFinD）'!$Z164="",'实盘净值数据(iFinD）'!$AA164="",'实盘净值数据(iFinD）'!$AB164="",'实盘净值数据(iFinD）'!$AL164=""),"",(SUMPRODUCT(分期持仓明细!$B$26:$Y$26,'实盘净值数据(iFinD）'!$B164:$Y164/'实盘净值数据(iFinD）'!$B$69:$Y$69)+SUMPRODUCT(分期持仓明细!$AC$26:$AD$26,'实盘净值数据(iFinD）'!$Z164:$AA164/'实盘净值数据(iFinD）'!$Z$69:$AA$69)+SUMPRODUCT(分期持仓明细!$AE$26:$AO$26,'实盘净值数据(iFinD）'!$AB164:$AL164/'实盘净值数据(iFinD）'!$AB$69:$AL$69))*(1-实盘持仓初始配置!$Z$10)^(('实盘净值数据(iFinD）'!$A164-'实盘净值数据(iFinD）'!$A$69)/365))</f>
        <v/>
      </c>
      <c r="U164" s="16">
        <f>IF(OR(T163="",T164=""),"",T164/T163-1)</f>
        <v/>
      </c>
      <c r="V164" s="16">
        <f>IF(T164="","",T164/MAX(T$5:T164)-1)</f>
        <v/>
      </c>
    </row>
    <row r="165" spans="1:19">
      <c r="A165" s="15" t="str">
        <f>IF('实盘净值数据(iFinD）'!A165="","",'实盘净值数据(iFinD）'!A165)</f>
        <v/>
      </c>
      <c r="B165" s="13" t="str">
        <f>IF(OR('实盘净值数据(iFinD）'!$A165="",'实盘净值数据(iFinD）'!$B165=""),"",分期持仓明细!$AB$17*SUMPRODUCT(分期持仓明细!$B$17:$Y$17,'实盘净值数据(iFinD）'!$B165:$Y165/'实盘净值数据(iFinD）'!$B$20:$Y$20)*(1-实盘持仓初始配置!$Z$4)^(('实盘净值数据(iFinD）'!$A165-'实盘净值数据(iFinD）'!$A$6)/365))</f>
        <v/>
      </c>
      <c r="C165" s="16" t="str">
        <f t="shared" si="12"/>
        <v/>
      </c>
      <c r="D165" s="16" t="str">
        <f>IF(B165="","",B165/MAX(B$5:B165)-1)</f>
        <v/>
      </c>
      <c r="E165" s="13" t="str">
        <f>IF(OR('实盘净值数据(iFinD）'!$A165="",'实盘净值数据(iFinD）'!$B165=""),"",分期持仓明细!$AB$18*SUMPRODUCT(分期持仓明细!$B$18:$Y$18,'实盘净值数据(iFinD）'!$B165:$Y165/'实盘净值数据(iFinD）'!$B$20:$Y$20)*(1-实盘持仓初始配置!$Z$5)^(('实盘净值数据(iFinD）'!$A165-'实盘净值数据(iFinD）'!$A$5)/365))</f>
        <v/>
      </c>
      <c r="F165" s="16" t="str">
        <f t="shared" si="13"/>
        <v/>
      </c>
      <c r="G165" s="16" t="str">
        <f>IF(E165="","",E165/MAX(E$5:E165)-1)</f>
        <v/>
      </c>
      <c r="H165" s="13" t="str">
        <f>IF(OR('实盘净值数据(iFinD）'!$A165="",'实盘净值数据(iFinD）'!$B165=""),"",分期持仓明细!$AB$19*SUMPRODUCT(分期持仓明细!$B$19:$Y$19,'实盘净值数据(iFinD）'!$B165:$Y165/'实盘净值数据(iFinD）'!$B$20:$Y$20)*(1-实盘持仓初始配置!$Z$6)^(('实盘净值数据(iFinD）'!$A165-'实盘净值数据(iFinD）'!$A$7)/365))</f>
        <v/>
      </c>
      <c r="I165" s="16" t="str">
        <f t="shared" si="14"/>
        <v/>
      </c>
      <c r="J165" s="16" t="str">
        <f>IF(H165="","",H165/MAX(H$5:H165)-1)</f>
        <v/>
      </c>
      <c r="K165" s="13" t="str">
        <f>IF(OR('实盘净值数据(iFinD）'!$A165="",'实盘净值数据(iFinD）'!$B165="",'实盘净值数据(iFinD）'!$Z165="",'实盘净值数据(iFinD）'!$AA165=""),"",分期持仓明细!$AB$23*(SUMPRODUCT(分期持仓明细!$B$23:$Y$23,'实盘净值数据(iFinD）'!$B165:$Y165/'实盘净值数据(iFinD）'!$B$65:$Y$65)+SUMPRODUCT(分期持仓明细!$AC$23:$AD$23,'实盘净值数据(iFinD）'!$Z165:$AA165/'实盘净值数据(iFinD）'!$Z$65:$AA$65))*(1-实盘持仓初始配置!$Z$7)^(('实盘净值数据(iFinD）'!$A165-'实盘净值数据(iFinD）'!$A$8)/365))</f>
        <v/>
      </c>
      <c r="L165" s="16" t="str">
        <f t="shared" si="15"/>
        <v/>
      </c>
      <c r="M165" s="16" t="str">
        <f>IF(K165="","",K165/MAX(K$5:K165)-1)</f>
        <v/>
      </c>
      <c r="N165" s="13" t="str">
        <f>IF(OR('实盘净值数据(iFinD）'!$A165="",'实盘净值数据(iFinD）'!$B165="",'实盘净值数据(iFinD）'!$Z165="",'实盘净值数据(iFinD）'!$AA165=""),"",分期持仓明细!$AB$24*(SUMPRODUCT(分期持仓明细!$B$24:$Y$24,'实盘净值数据(iFinD）'!$B165:$Y165/'实盘净值数据(iFinD）'!$B$65:$Y$65)+SUMPRODUCT(分期持仓明细!$AC$24:$AD$24,'实盘净值数据(iFinD）'!$Z165:$AA165/'实盘净值数据(iFinD）'!$Z$65:$AA$65))*(1-实盘持仓初始配置!$Z$8)^(('实盘净值数据(iFinD）'!$A165-'实盘净值数据(iFinD）'!$A$5)/365))</f>
        <v/>
      </c>
      <c r="O165" s="16" t="str">
        <f t="shared" si="16"/>
        <v/>
      </c>
      <c r="P165" s="16" t="str">
        <f>IF(N165="","",N165/MAX(N$5:N165)-1)</f>
        <v/>
      </c>
      <c r="Q165" s="13" t="str">
        <f>IF(OR('实盘净值数据(iFinD）'!$A165="",'实盘净值数据(iFinD）'!$B165="",'实盘净值数据(iFinD）'!$Z165="",'实盘净值数据(iFinD）'!$AA165=""),"",分期持仓明细!$AB$25*(SUMPRODUCT(分期持仓明细!$B$25:$Y$25,'实盘净值数据(iFinD）'!$B165:$Y165/'实盘净值数据(iFinD）'!$B$65:$Y$65)+SUMPRODUCT(分期持仓明细!$AC$25:$AD$25,'实盘净值数据(iFinD）'!$Z165:$AA165/'实盘净值数据(iFinD）'!$Z$65:$AA$65))*(1-实盘持仓初始配置!$Z$9)^(('实盘净值数据(iFinD）'!$A165-'实盘净值数据(iFinD）'!$A$8)/365))</f>
        <v/>
      </c>
      <c r="R165" s="16" t="str">
        <f t="shared" si="17"/>
        <v/>
      </c>
      <c r="S165" s="16" t="str">
        <f>IF(Q165="","",Q165/MAX(Q$5:Q165)-1)</f>
        <v/>
      </c>
      <c r="T165" s="13">
        <f>IF(OR('实盘净值数据(iFinD）'!$A165="",'实盘净值数据(iFinD）'!$B165="",'实盘净值数据(iFinD）'!$Z165="",'实盘净值数据(iFinD）'!$AA165="",'实盘净值数据(iFinD）'!$AB165="",'实盘净值数据(iFinD）'!$AL165=""),"",(SUMPRODUCT(分期持仓明细!$B$26:$Y$26,'实盘净值数据(iFinD）'!$B165:$Y165/'实盘净值数据(iFinD）'!$B$69:$Y$69)+SUMPRODUCT(分期持仓明细!$AC$26:$AD$26,'实盘净值数据(iFinD）'!$Z165:$AA165/'实盘净值数据(iFinD）'!$Z$69:$AA$69)+SUMPRODUCT(分期持仓明细!$AE$26:$AO$26,'实盘净值数据(iFinD）'!$AB165:$AL165/'实盘净值数据(iFinD）'!$AB$69:$AL$69))*(1-实盘持仓初始配置!$Z$10)^(('实盘净值数据(iFinD）'!$A165-'实盘净值数据(iFinD）'!$A$69)/365))</f>
        <v/>
      </c>
      <c r="U165" s="16">
        <f>IF(OR(T164="",T165=""),"",T165/T164-1)</f>
        <v/>
      </c>
      <c r="V165" s="16">
        <f>IF(T165="","",T165/MAX(T$5:T165)-1)</f>
        <v/>
      </c>
    </row>
    <row r="166" spans="1:19">
      <c r="A166" s="15" t="str">
        <f>IF('实盘净值数据(iFinD）'!A166="","",'实盘净值数据(iFinD）'!A166)</f>
        <v/>
      </c>
      <c r="B166" s="13" t="str">
        <f>IF(OR('实盘净值数据(iFinD）'!$A166="",'实盘净值数据(iFinD）'!$B166=""),"",分期持仓明细!$AB$17*SUMPRODUCT(分期持仓明细!$B$17:$Y$17,'实盘净值数据(iFinD）'!$B166:$Y166/'实盘净值数据(iFinD）'!$B$20:$Y$20)*(1-实盘持仓初始配置!$Z$4)^(('实盘净值数据(iFinD）'!$A166-'实盘净值数据(iFinD）'!$A$6)/365))</f>
        <v/>
      </c>
      <c r="C166" s="16" t="str">
        <f t="shared" si="12"/>
        <v/>
      </c>
      <c r="D166" s="16" t="str">
        <f>IF(B166="","",B166/MAX(B$5:B166)-1)</f>
        <v/>
      </c>
      <c r="E166" s="13" t="str">
        <f>IF(OR('实盘净值数据(iFinD）'!$A166="",'实盘净值数据(iFinD）'!$B166=""),"",分期持仓明细!$AB$18*SUMPRODUCT(分期持仓明细!$B$18:$Y$18,'实盘净值数据(iFinD）'!$B166:$Y166/'实盘净值数据(iFinD）'!$B$20:$Y$20)*(1-实盘持仓初始配置!$Z$5)^(('实盘净值数据(iFinD）'!$A166-'实盘净值数据(iFinD）'!$A$5)/365))</f>
        <v/>
      </c>
      <c r="F166" s="16" t="str">
        <f t="shared" si="13"/>
        <v/>
      </c>
      <c r="G166" s="16" t="str">
        <f>IF(E166="","",E166/MAX(E$5:E166)-1)</f>
        <v/>
      </c>
      <c r="H166" s="13" t="str">
        <f>IF(OR('实盘净值数据(iFinD）'!$A166="",'实盘净值数据(iFinD）'!$B166=""),"",分期持仓明细!$AB$19*SUMPRODUCT(分期持仓明细!$B$19:$Y$19,'实盘净值数据(iFinD）'!$B166:$Y166/'实盘净值数据(iFinD）'!$B$20:$Y$20)*(1-实盘持仓初始配置!$Z$6)^(('实盘净值数据(iFinD）'!$A166-'实盘净值数据(iFinD）'!$A$7)/365))</f>
        <v/>
      </c>
      <c r="I166" s="16" t="str">
        <f t="shared" si="14"/>
        <v/>
      </c>
      <c r="J166" s="16" t="str">
        <f>IF(H166="","",H166/MAX(H$5:H166)-1)</f>
        <v/>
      </c>
      <c r="K166" s="13" t="str">
        <f>IF(OR('实盘净值数据(iFinD）'!$A166="",'实盘净值数据(iFinD）'!$B166="",'实盘净值数据(iFinD）'!$Z166="",'实盘净值数据(iFinD）'!$AA166=""),"",分期持仓明细!$AB$23*(SUMPRODUCT(分期持仓明细!$B$23:$Y$23,'实盘净值数据(iFinD）'!$B166:$Y166/'实盘净值数据(iFinD）'!$B$65:$Y$65)+SUMPRODUCT(分期持仓明细!$AC$23:$AD$23,'实盘净值数据(iFinD）'!$Z166:$AA166/'实盘净值数据(iFinD）'!$Z$65:$AA$65))*(1-实盘持仓初始配置!$Z$7)^(('实盘净值数据(iFinD）'!$A166-'实盘净值数据(iFinD）'!$A$8)/365))</f>
        <v/>
      </c>
      <c r="L166" s="16" t="str">
        <f t="shared" si="15"/>
        <v/>
      </c>
      <c r="M166" s="16" t="str">
        <f>IF(K166="","",K166/MAX(K$5:K166)-1)</f>
        <v/>
      </c>
      <c r="N166" s="13" t="str">
        <f>IF(OR('实盘净值数据(iFinD）'!$A166="",'实盘净值数据(iFinD）'!$B166="",'实盘净值数据(iFinD）'!$Z166="",'实盘净值数据(iFinD）'!$AA166=""),"",分期持仓明细!$AB$24*(SUMPRODUCT(分期持仓明细!$B$24:$Y$24,'实盘净值数据(iFinD）'!$B166:$Y166/'实盘净值数据(iFinD）'!$B$65:$Y$65)+SUMPRODUCT(分期持仓明细!$AC$24:$AD$24,'实盘净值数据(iFinD）'!$Z166:$AA166/'实盘净值数据(iFinD）'!$Z$65:$AA$65))*(1-实盘持仓初始配置!$Z$8)^(('实盘净值数据(iFinD）'!$A166-'实盘净值数据(iFinD）'!$A$5)/365))</f>
        <v/>
      </c>
      <c r="O166" s="16" t="str">
        <f t="shared" si="16"/>
        <v/>
      </c>
      <c r="P166" s="16" t="str">
        <f>IF(N166="","",N166/MAX(N$5:N166)-1)</f>
        <v/>
      </c>
      <c r="Q166" s="13" t="str">
        <f>IF(OR('实盘净值数据(iFinD）'!$A166="",'实盘净值数据(iFinD）'!$B166="",'实盘净值数据(iFinD）'!$Z166="",'实盘净值数据(iFinD）'!$AA166=""),"",分期持仓明细!$AB$25*(SUMPRODUCT(分期持仓明细!$B$25:$Y$25,'实盘净值数据(iFinD）'!$B166:$Y166/'实盘净值数据(iFinD）'!$B$65:$Y$65)+SUMPRODUCT(分期持仓明细!$AC$25:$AD$25,'实盘净值数据(iFinD）'!$Z166:$AA166/'实盘净值数据(iFinD）'!$Z$65:$AA$65))*(1-实盘持仓初始配置!$Z$9)^(('实盘净值数据(iFinD）'!$A166-'实盘净值数据(iFinD）'!$A$8)/365))</f>
        <v/>
      </c>
      <c r="R166" s="16" t="str">
        <f t="shared" si="17"/>
        <v/>
      </c>
      <c r="S166" s="16" t="str">
        <f>IF(Q166="","",Q166/MAX(Q$5:Q166)-1)</f>
        <v/>
      </c>
      <c r="T166" s="13">
        <f>IF(OR('实盘净值数据(iFinD）'!$A166="",'实盘净值数据(iFinD）'!$B166="",'实盘净值数据(iFinD）'!$Z166="",'实盘净值数据(iFinD）'!$AA166="",'实盘净值数据(iFinD）'!$AB166="",'实盘净值数据(iFinD）'!$AL166=""),"",(SUMPRODUCT(分期持仓明细!$B$26:$Y$26,'实盘净值数据(iFinD）'!$B166:$Y166/'实盘净值数据(iFinD）'!$B$69:$Y$69)+SUMPRODUCT(分期持仓明细!$AC$26:$AD$26,'实盘净值数据(iFinD）'!$Z166:$AA166/'实盘净值数据(iFinD）'!$Z$69:$AA$69)+SUMPRODUCT(分期持仓明细!$AE$26:$AO$26,'实盘净值数据(iFinD）'!$AB166:$AL166/'实盘净值数据(iFinD）'!$AB$69:$AL$69))*(1-实盘持仓初始配置!$Z$10)^(('实盘净值数据(iFinD）'!$A166-'实盘净值数据(iFinD）'!$A$69)/365))</f>
        <v/>
      </c>
      <c r="U166" s="16">
        <f>IF(OR(T165="",T166=""),"",T166/T165-1)</f>
        <v/>
      </c>
      <c r="V166" s="16">
        <f>IF(T166="","",T166/MAX(T$5:T166)-1)</f>
        <v/>
      </c>
    </row>
    <row r="167" spans="1:19">
      <c r="A167" s="15" t="str">
        <f>IF('实盘净值数据(iFinD）'!A167="","",'实盘净值数据(iFinD）'!A167)</f>
        <v/>
      </c>
      <c r="B167" s="13" t="str">
        <f>IF(OR('实盘净值数据(iFinD）'!$A167="",'实盘净值数据(iFinD）'!$B167=""),"",分期持仓明细!$AB$17*SUMPRODUCT(分期持仓明细!$B$17:$Y$17,'实盘净值数据(iFinD）'!$B167:$Y167/'实盘净值数据(iFinD）'!$B$20:$Y$20)*(1-实盘持仓初始配置!$Z$4)^(('实盘净值数据(iFinD）'!$A167-'实盘净值数据(iFinD）'!$A$6)/365))</f>
        <v/>
      </c>
      <c r="C167" s="16" t="str">
        <f t="shared" si="12"/>
        <v/>
      </c>
      <c r="D167" s="16" t="str">
        <f>IF(B167="","",B167/MAX(B$5:B167)-1)</f>
        <v/>
      </c>
      <c r="E167" s="13" t="str">
        <f>IF(OR('实盘净值数据(iFinD）'!$A167="",'实盘净值数据(iFinD）'!$B167=""),"",分期持仓明细!$AB$18*SUMPRODUCT(分期持仓明细!$B$18:$Y$18,'实盘净值数据(iFinD）'!$B167:$Y167/'实盘净值数据(iFinD）'!$B$20:$Y$20)*(1-实盘持仓初始配置!$Z$5)^(('实盘净值数据(iFinD）'!$A167-'实盘净值数据(iFinD）'!$A$5)/365))</f>
        <v/>
      </c>
      <c r="F167" s="16" t="str">
        <f t="shared" si="13"/>
        <v/>
      </c>
      <c r="G167" s="16" t="str">
        <f>IF(E167="","",E167/MAX(E$5:E167)-1)</f>
        <v/>
      </c>
      <c r="H167" s="13" t="str">
        <f>IF(OR('实盘净值数据(iFinD）'!$A167="",'实盘净值数据(iFinD）'!$B167=""),"",分期持仓明细!$AB$19*SUMPRODUCT(分期持仓明细!$B$19:$Y$19,'实盘净值数据(iFinD）'!$B167:$Y167/'实盘净值数据(iFinD）'!$B$20:$Y$20)*(1-实盘持仓初始配置!$Z$6)^(('实盘净值数据(iFinD）'!$A167-'实盘净值数据(iFinD）'!$A$7)/365))</f>
        <v/>
      </c>
      <c r="I167" s="16" t="str">
        <f t="shared" si="14"/>
        <v/>
      </c>
      <c r="J167" s="16" t="str">
        <f>IF(H167="","",H167/MAX(H$5:H167)-1)</f>
        <v/>
      </c>
      <c r="K167" s="13" t="str">
        <f>IF(OR('实盘净值数据(iFinD）'!$A167="",'实盘净值数据(iFinD）'!$B167="",'实盘净值数据(iFinD）'!$Z167="",'实盘净值数据(iFinD）'!$AA167=""),"",分期持仓明细!$AB$23*(SUMPRODUCT(分期持仓明细!$B$23:$Y$23,'实盘净值数据(iFinD）'!$B167:$Y167/'实盘净值数据(iFinD）'!$B$65:$Y$65)+SUMPRODUCT(分期持仓明细!$AC$23:$AD$23,'实盘净值数据(iFinD）'!$Z167:$AA167/'实盘净值数据(iFinD）'!$Z$65:$AA$65))*(1-实盘持仓初始配置!$Z$7)^(('实盘净值数据(iFinD）'!$A167-'实盘净值数据(iFinD）'!$A$8)/365))</f>
        <v/>
      </c>
      <c r="L167" s="16" t="str">
        <f t="shared" si="15"/>
        <v/>
      </c>
      <c r="M167" s="16" t="str">
        <f>IF(K167="","",K167/MAX(K$5:K167)-1)</f>
        <v/>
      </c>
      <c r="N167" s="13" t="str">
        <f>IF(OR('实盘净值数据(iFinD）'!$A167="",'实盘净值数据(iFinD）'!$B167="",'实盘净值数据(iFinD）'!$Z167="",'实盘净值数据(iFinD）'!$AA167=""),"",分期持仓明细!$AB$24*(SUMPRODUCT(分期持仓明细!$B$24:$Y$24,'实盘净值数据(iFinD）'!$B167:$Y167/'实盘净值数据(iFinD）'!$B$65:$Y$65)+SUMPRODUCT(分期持仓明细!$AC$24:$AD$24,'实盘净值数据(iFinD）'!$Z167:$AA167/'实盘净值数据(iFinD）'!$Z$65:$AA$65))*(1-实盘持仓初始配置!$Z$8)^(('实盘净值数据(iFinD）'!$A167-'实盘净值数据(iFinD）'!$A$5)/365))</f>
        <v/>
      </c>
      <c r="O167" s="16" t="str">
        <f t="shared" si="16"/>
        <v/>
      </c>
      <c r="P167" s="16" t="str">
        <f>IF(N167="","",N167/MAX(N$5:N167)-1)</f>
        <v/>
      </c>
      <c r="Q167" s="13" t="str">
        <f>IF(OR('实盘净值数据(iFinD）'!$A167="",'实盘净值数据(iFinD）'!$B167="",'实盘净值数据(iFinD）'!$Z167="",'实盘净值数据(iFinD）'!$AA167=""),"",分期持仓明细!$AB$25*(SUMPRODUCT(分期持仓明细!$B$25:$Y$25,'实盘净值数据(iFinD）'!$B167:$Y167/'实盘净值数据(iFinD）'!$B$65:$Y$65)+SUMPRODUCT(分期持仓明细!$AC$25:$AD$25,'实盘净值数据(iFinD）'!$Z167:$AA167/'实盘净值数据(iFinD）'!$Z$65:$AA$65))*(1-实盘持仓初始配置!$Z$9)^(('实盘净值数据(iFinD）'!$A167-'实盘净值数据(iFinD）'!$A$8)/365))</f>
        <v/>
      </c>
      <c r="R167" s="16" t="str">
        <f t="shared" si="17"/>
        <v/>
      </c>
      <c r="S167" s="16" t="str">
        <f>IF(Q167="","",Q167/MAX(Q$5:Q167)-1)</f>
        <v/>
      </c>
      <c r="T167" s="13">
        <f>IF(OR('实盘净值数据(iFinD）'!$A167="",'实盘净值数据(iFinD）'!$B167="",'实盘净值数据(iFinD）'!$Z167="",'实盘净值数据(iFinD）'!$AA167="",'实盘净值数据(iFinD）'!$AB167="",'实盘净值数据(iFinD）'!$AL167=""),"",(SUMPRODUCT(分期持仓明细!$B$26:$Y$26,'实盘净值数据(iFinD）'!$B167:$Y167/'实盘净值数据(iFinD）'!$B$69:$Y$69)+SUMPRODUCT(分期持仓明细!$AC$26:$AD$26,'实盘净值数据(iFinD）'!$Z167:$AA167/'实盘净值数据(iFinD）'!$Z$69:$AA$69)+SUMPRODUCT(分期持仓明细!$AE$26:$AO$26,'实盘净值数据(iFinD）'!$AB167:$AL167/'实盘净值数据(iFinD）'!$AB$69:$AL$69))*(1-实盘持仓初始配置!$Z$10)^(('实盘净值数据(iFinD）'!$A167-'实盘净值数据(iFinD）'!$A$69)/365))</f>
        <v/>
      </c>
      <c r="U167" s="16">
        <f>IF(OR(T166="",T167=""),"",T167/T166-1)</f>
        <v/>
      </c>
      <c r="V167" s="16">
        <f>IF(T167="","",T167/MAX(T$5:T167)-1)</f>
        <v/>
      </c>
    </row>
    <row r="168" spans="1:19">
      <c r="A168" s="15" t="str">
        <f>IF('实盘净值数据(iFinD）'!A168="","",'实盘净值数据(iFinD）'!A168)</f>
        <v/>
      </c>
      <c r="B168" s="13" t="str">
        <f>IF(OR('实盘净值数据(iFinD）'!$A168="",'实盘净值数据(iFinD）'!$B168=""),"",分期持仓明细!$AB$17*SUMPRODUCT(分期持仓明细!$B$17:$Y$17,'实盘净值数据(iFinD）'!$B168:$Y168/'实盘净值数据(iFinD）'!$B$20:$Y$20)*(1-实盘持仓初始配置!$Z$4)^(('实盘净值数据(iFinD）'!$A168-'实盘净值数据(iFinD）'!$A$6)/365))</f>
        <v/>
      </c>
      <c r="C168" s="16" t="str">
        <f t="shared" si="12"/>
        <v/>
      </c>
      <c r="D168" s="16" t="str">
        <f>IF(B168="","",B168/MAX(B$5:B168)-1)</f>
        <v/>
      </c>
      <c r="E168" s="13" t="str">
        <f>IF(OR('实盘净值数据(iFinD）'!$A168="",'实盘净值数据(iFinD）'!$B168=""),"",分期持仓明细!$AB$18*SUMPRODUCT(分期持仓明细!$B$18:$Y$18,'实盘净值数据(iFinD）'!$B168:$Y168/'实盘净值数据(iFinD）'!$B$20:$Y$20)*(1-实盘持仓初始配置!$Z$5)^(('实盘净值数据(iFinD）'!$A168-'实盘净值数据(iFinD）'!$A$5)/365))</f>
        <v/>
      </c>
      <c r="F168" s="16" t="str">
        <f t="shared" si="13"/>
        <v/>
      </c>
      <c r="G168" s="16" t="str">
        <f>IF(E168="","",E168/MAX(E$5:E168)-1)</f>
        <v/>
      </c>
      <c r="H168" s="13" t="str">
        <f>IF(OR('实盘净值数据(iFinD）'!$A168="",'实盘净值数据(iFinD）'!$B168=""),"",分期持仓明细!$AB$19*SUMPRODUCT(分期持仓明细!$B$19:$Y$19,'实盘净值数据(iFinD）'!$B168:$Y168/'实盘净值数据(iFinD）'!$B$20:$Y$20)*(1-实盘持仓初始配置!$Z$6)^(('实盘净值数据(iFinD）'!$A168-'实盘净值数据(iFinD）'!$A$7)/365))</f>
        <v/>
      </c>
      <c r="I168" s="16" t="str">
        <f t="shared" si="14"/>
        <v/>
      </c>
      <c r="J168" s="16" t="str">
        <f>IF(H168="","",H168/MAX(H$5:H168)-1)</f>
        <v/>
      </c>
      <c r="K168" s="13" t="str">
        <f>IF(OR('实盘净值数据(iFinD）'!$A168="",'实盘净值数据(iFinD）'!$B168="",'实盘净值数据(iFinD）'!$Z168="",'实盘净值数据(iFinD）'!$AA168=""),"",分期持仓明细!$AB$23*(SUMPRODUCT(分期持仓明细!$B$23:$Y$23,'实盘净值数据(iFinD）'!$B168:$Y168/'实盘净值数据(iFinD）'!$B$65:$Y$65)+SUMPRODUCT(分期持仓明细!$AC$23:$AD$23,'实盘净值数据(iFinD）'!$Z168:$AA168/'实盘净值数据(iFinD）'!$Z$65:$AA$65))*(1-实盘持仓初始配置!$Z$7)^(('实盘净值数据(iFinD）'!$A168-'实盘净值数据(iFinD）'!$A$8)/365))</f>
        <v/>
      </c>
      <c r="L168" s="16" t="str">
        <f t="shared" si="15"/>
        <v/>
      </c>
      <c r="M168" s="16" t="str">
        <f>IF(K168="","",K168/MAX(K$5:K168)-1)</f>
        <v/>
      </c>
      <c r="N168" s="13" t="str">
        <f>IF(OR('实盘净值数据(iFinD）'!$A168="",'实盘净值数据(iFinD）'!$B168="",'实盘净值数据(iFinD）'!$Z168="",'实盘净值数据(iFinD）'!$AA168=""),"",分期持仓明细!$AB$24*(SUMPRODUCT(分期持仓明细!$B$24:$Y$24,'实盘净值数据(iFinD）'!$B168:$Y168/'实盘净值数据(iFinD）'!$B$65:$Y$65)+SUMPRODUCT(分期持仓明细!$AC$24:$AD$24,'实盘净值数据(iFinD）'!$Z168:$AA168/'实盘净值数据(iFinD）'!$Z$65:$AA$65))*(1-实盘持仓初始配置!$Z$8)^(('实盘净值数据(iFinD）'!$A168-'实盘净值数据(iFinD）'!$A$5)/365))</f>
        <v/>
      </c>
      <c r="O168" s="16" t="str">
        <f t="shared" si="16"/>
        <v/>
      </c>
      <c r="P168" s="16" t="str">
        <f>IF(N168="","",N168/MAX(N$5:N168)-1)</f>
        <v/>
      </c>
      <c r="Q168" s="13" t="str">
        <f>IF(OR('实盘净值数据(iFinD）'!$A168="",'实盘净值数据(iFinD）'!$B168="",'实盘净值数据(iFinD）'!$Z168="",'实盘净值数据(iFinD）'!$AA168=""),"",分期持仓明细!$AB$25*(SUMPRODUCT(分期持仓明细!$B$25:$Y$25,'实盘净值数据(iFinD）'!$B168:$Y168/'实盘净值数据(iFinD）'!$B$65:$Y$65)+SUMPRODUCT(分期持仓明细!$AC$25:$AD$25,'实盘净值数据(iFinD）'!$Z168:$AA168/'实盘净值数据(iFinD）'!$Z$65:$AA$65))*(1-实盘持仓初始配置!$Z$9)^(('实盘净值数据(iFinD）'!$A168-'实盘净值数据(iFinD）'!$A$8)/365))</f>
        <v/>
      </c>
      <c r="R168" s="16" t="str">
        <f t="shared" si="17"/>
        <v/>
      </c>
      <c r="S168" s="16" t="str">
        <f>IF(Q168="","",Q168/MAX(Q$5:Q168)-1)</f>
        <v/>
      </c>
      <c r="T168" s="13">
        <f>IF(OR('实盘净值数据(iFinD）'!$A168="",'实盘净值数据(iFinD）'!$B168="",'实盘净值数据(iFinD）'!$Z168="",'实盘净值数据(iFinD）'!$AA168="",'实盘净值数据(iFinD）'!$AB168="",'实盘净值数据(iFinD）'!$AL168=""),"",(SUMPRODUCT(分期持仓明细!$B$26:$Y$26,'实盘净值数据(iFinD）'!$B168:$Y168/'实盘净值数据(iFinD）'!$B$69:$Y$69)+SUMPRODUCT(分期持仓明细!$AC$26:$AD$26,'实盘净值数据(iFinD）'!$Z168:$AA168/'实盘净值数据(iFinD）'!$Z$69:$AA$69)+SUMPRODUCT(分期持仓明细!$AE$26:$AO$26,'实盘净值数据(iFinD）'!$AB168:$AL168/'实盘净值数据(iFinD）'!$AB$69:$AL$69))*(1-实盘持仓初始配置!$Z$10)^(('实盘净值数据(iFinD）'!$A168-'实盘净值数据(iFinD）'!$A$69)/365))</f>
        <v/>
      </c>
      <c r="U168" s="16">
        <f>IF(OR(T167="",T168=""),"",T168/T167-1)</f>
        <v/>
      </c>
      <c r="V168" s="16">
        <f>IF(T168="","",T168/MAX(T$5:T168)-1)</f>
        <v/>
      </c>
    </row>
    <row r="169" spans="1:19">
      <c r="A169" s="15" t="str">
        <f>IF('实盘净值数据(iFinD）'!A169="","",'实盘净值数据(iFinD）'!A169)</f>
        <v/>
      </c>
      <c r="B169" s="13" t="str">
        <f>IF(OR('实盘净值数据(iFinD）'!$A169="",'实盘净值数据(iFinD）'!$B169=""),"",分期持仓明细!$AB$17*SUMPRODUCT(分期持仓明细!$B$17:$Y$17,'实盘净值数据(iFinD）'!$B169:$Y169/'实盘净值数据(iFinD）'!$B$20:$Y$20)*(1-实盘持仓初始配置!$Z$4)^(('实盘净值数据(iFinD）'!$A169-'实盘净值数据(iFinD）'!$A$6)/365))</f>
        <v/>
      </c>
      <c r="C169" s="16" t="str">
        <f t="shared" si="12"/>
        <v/>
      </c>
      <c r="D169" s="16" t="str">
        <f>IF(B169="","",B169/MAX(B$5:B169)-1)</f>
        <v/>
      </c>
      <c r="E169" s="13" t="str">
        <f>IF(OR('实盘净值数据(iFinD）'!$A169="",'实盘净值数据(iFinD）'!$B169=""),"",分期持仓明细!$AB$18*SUMPRODUCT(分期持仓明细!$B$18:$Y$18,'实盘净值数据(iFinD）'!$B169:$Y169/'实盘净值数据(iFinD）'!$B$20:$Y$20)*(1-实盘持仓初始配置!$Z$5)^(('实盘净值数据(iFinD）'!$A169-'实盘净值数据(iFinD）'!$A$5)/365))</f>
        <v/>
      </c>
      <c r="F169" s="16" t="str">
        <f t="shared" si="13"/>
        <v/>
      </c>
      <c r="G169" s="16" t="str">
        <f>IF(E169="","",E169/MAX(E$5:E169)-1)</f>
        <v/>
      </c>
      <c r="H169" s="13" t="str">
        <f>IF(OR('实盘净值数据(iFinD）'!$A169="",'实盘净值数据(iFinD）'!$B169=""),"",分期持仓明细!$AB$19*SUMPRODUCT(分期持仓明细!$B$19:$Y$19,'实盘净值数据(iFinD）'!$B169:$Y169/'实盘净值数据(iFinD）'!$B$20:$Y$20)*(1-实盘持仓初始配置!$Z$6)^(('实盘净值数据(iFinD）'!$A169-'实盘净值数据(iFinD）'!$A$7)/365))</f>
        <v/>
      </c>
      <c r="I169" s="16" t="str">
        <f t="shared" si="14"/>
        <v/>
      </c>
      <c r="J169" s="16" t="str">
        <f>IF(H169="","",H169/MAX(H$5:H169)-1)</f>
        <v/>
      </c>
      <c r="K169" s="13" t="str">
        <f>IF(OR('实盘净值数据(iFinD）'!$A169="",'实盘净值数据(iFinD）'!$B169="",'实盘净值数据(iFinD）'!$Z169="",'实盘净值数据(iFinD）'!$AA169=""),"",分期持仓明细!$AB$23*(SUMPRODUCT(分期持仓明细!$B$23:$Y$23,'实盘净值数据(iFinD）'!$B169:$Y169/'实盘净值数据(iFinD）'!$B$65:$Y$65)+SUMPRODUCT(分期持仓明细!$AC$23:$AD$23,'实盘净值数据(iFinD）'!$Z169:$AA169/'实盘净值数据(iFinD）'!$Z$65:$AA$65))*(1-实盘持仓初始配置!$Z$7)^(('实盘净值数据(iFinD）'!$A169-'实盘净值数据(iFinD）'!$A$8)/365))</f>
        <v/>
      </c>
      <c r="L169" s="16" t="str">
        <f t="shared" si="15"/>
        <v/>
      </c>
      <c r="M169" s="16" t="str">
        <f>IF(K169="","",K169/MAX(K$5:K169)-1)</f>
        <v/>
      </c>
      <c r="N169" s="13" t="str">
        <f>IF(OR('实盘净值数据(iFinD）'!$A169="",'实盘净值数据(iFinD）'!$B169="",'实盘净值数据(iFinD）'!$Z169="",'实盘净值数据(iFinD）'!$AA169=""),"",分期持仓明细!$AB$24*(SUMPRODUCT(分期持仓明细!$B$24:$Y$24,'实盘净值数据(iFinD）'!$B169:$Y169/'实盘净值数据(iFinD）'!$B$65:$Y$65)+SUMPRODUCT(分期持仓明细!$AC$24:$AD$24,'实盘净值数据(iFinD）'!$Z169:$AA169/'实盘净值数据(iFinD）'!$Z$65:$AA$65))*(1-实盘持仓初始配置!$Z$8)^(('实盘净值数据(iFinD）'!$A169-'实盘净值数据(iFinD）'!$A$5)/365))</f>
        <v/>
      </c>
      <c r="O169" s="16" t="str">
        <f t="shared" si="16"/>
        <v/>
      </c>
      <c r="P169" s="16" t="str">
        <f>IF(N169="","",N169/MAX(N$5:N169)-1)</f>
        <v/>
      </c>
      <c r="Q169" s="13" t="str">
        <f>IF(OR('实盘净值数据(iFinD）'!$A169="",'实盘净值数据(iFinD）'!$B169="",'实盘净值数据(iFinD）'!$Z169="",'实盘净值数据(iFinD）'!$AA169=""),"",分期持仓明细!$AB$25*(SUMPRODUCT(分期持仓明细!$B$25:$Y$25,'实盘净值数据(iFinD）'!$B169:$Y169/'实盘净值数据(iFinD）'!$B$65:$Y$65)+SUMPRODUCT(分期持仓明细!$AC$25:$AD$25,'实盘净值数据(iFinD）'!$Z169:$AA169/'实盘净值数据(iFinD）'!$Z$65:$AA$65))*(1-实盘持仓初始配置!$Z$9)^(('实盘净值数据(iFinD）'!$A169-'实盘净值数据(iFinD）'!$A$8)/365))</f>
        <v/>
      </c>
      <c r="R169" s="16" t="str">
        <f t="shared" si="17"/>
        <v/>
      </c>
      <c r="S169" s="16" t="str">
        <f>IF(Q169="","",Q169/MAX(Q$5:Q169)-1)</f>
        <v/>
      </c>
      <c r="T169" s="13">
        <f>IF(OR('实盘净值数据(iFinD）'!$A169="",'实盘净值数据(iFinD）'!$B169="",'实盘净值数据(iFinD）'!$Z169="",'实盘净值数据(iFinD）'!$AA169="",'实盘净值数据(iFinD）'!$AB169="",'实盘净值数据(iFinD）'!$AL169=""),"",(SUMPRODUCT(分期持仓明细!$B$26:$Y$26,'实盘净值数据(iFinD）'!$B169:$Y169/'实盘净值数据(iFinD）'!$B$69:$Y$69)+SUMPRODUCT(分期持仓明细!$AC$26:$AD$26,'实盘净值数据(iFinD）'!$Z169:$AA169/'实盘净值数据(iFinD）'!$Z$69:$AA$69)+SUMPRODUCT(分期持仓明细!$AE$26:$AO$26,'实盘净值数据(iFinD）'!$AB169:$AL169/'实盘净值数据(iFinD）'!$AB$69:$AL$69))*(1-实盘持仓初始配置!$Z$10)^(('实盘净值数据(iFinD）'!$A169-'实盘净值数据(iFinD）'!$A$69)/365))</f>
        <v/>
      </c>
      <c r="U169" s="16">
        <f>IF(OR(T168="",T169=""),"",T169/T168-1)</f>
        <v/>
      </c>
      <c r="V169" s="16">
        <f>IF(T169="","",T169/MAX(T$5:T169)-1)</f>
        <v/>
      </c>
    </row>
    <row r="170" spans="1:19">
      <c r="A170" s="15" t="str">
        <f>IF('实盘净值数据(iFinD）'!A170="","",'实盘净值数据(iFinD）'!A170)</f>
        <v/>
      </c>
      <c r="B170" s="13" t="str">
        <f>IF(OR('实盘净值数据(iFinD）'!$A170="",'实盘净值数据(iFinD）'!$B170=""),"",分期持仓明细!$AB$17*SUMPRODUCT(分期持仓明细!$B$17:$Y$17,'实盘净值数据(iFinD）'!$B170:$Y170/'实盘净值数据(iFinD）'!$B$20:$Y$20)*(1-实盘持仓初始配置!$Z$4)^(('实盘净值数据(iFinD）'!$A170-'实盘净值数据(iFinD）'!$A$6)/365))</f>
        <v/>
      </c>
      <c r="C170" s="16" t="str">
        <f t="shared" si="12"/>
        <v/>
      </c>
      <c r="D170" s="16" t="str">
        <f>IF(B170="","",B170/MAX(B$5:B170)-1)</f>
        <v/>
      </c>
      <c r="E170" s="13" t="str">
        <f>IF(OR('实盘净值数据(iFinD）'!$A170="",'实盘净值数据(iFinD）'!$B170=""),"",分期持仓明细!$AB$18*SUMPRODUCT(分期持仓明细!$B$18:$Y$18,'实盘净值数据(iFinD）'!$B170:$Y170/'实盘净值数据(iFinD）'!$B$20:$Y$20)*(1-实盘持仓初始配置!$Z$5)^(('实盘净值数据(iFinD）'!$A170-'实盘净值数据(iFinD）'!$A$5)/365))</f>
        <v/>
      </c>
      <c r="F170" s="16" t="str">
        <f t="shared" si="13"/>
        <v/>
      </c>
      <c r="G170" s="16" t="str">
        <f>IF(E170="","",E170/MAX(E$5:E170)-1)</f>
        <v/>
      </c>
      <c r="H170" s="13" t="str">
        <f>IF(OR('实盘净值数据(iFinD）'!$A170="",'实盘净值数据(iFinD）'!$B170=""),"",分期持仓明细!$AB$19*SUMPRODUCT(分期持仓明细!$B$19:$Y$19,'实盘净值数据(iFinD）'!$B170:$Y170/'实盘净值数据(iFinD）'!$B$20:$Y$20)*(1-实盘持仓初始配置!$Z$6)^(('实盘净值数据(iFinD）'!$A170-'实盘净值数据(iFinD）'!$A$7)/365))</f>
        <v/>
      </c>
      <c r="I170" s="16" t="str">
        <f t="shared" si="14"/>
        <v/>
      </c>
      <c r="J170" s="16" t="str">
        <f>IF(H170="","",H170/MAX(H$5:H170)-1)</f>
        <v/>
      </c>
      <c r="K170" s="13" t="str">
        <f>IF(OR('实盘净值数据(iFinD）'!$A170="",'实盘净值数据(iFinD）'!$B170="",'实盘净值数据(iFinD）'!$Z170="",'实盘净值数据(iFinD）'!$AA170=""),"",分期持仓明细!$AB$23*(SUMPRODUCT(分期持仓明细!$B$23:$Y$23,'实盘净值数据(iFinD）'!$B170:$Y170/'实盘净值数据(iFinD）'!$B$65:$Y$65)+SUMPRODUCT(分期持仓明细!$AC$23:$AD$23,'实盘净值数据(iFinD）'!$Z170:$AA170/'实盘净值数据(iFinD）'!$Z$65:$AA$65))*(1-实盘持仓初始配置!$Z$7)^(('实盘净值数据(iFinD）'!$A170-'实盘净值数据(iFinD）'!$A$8)/365))</f>
        <v/>
      </c>
      <c r="L170" s="16" t="str">
        <f t="shared" si="15"/>
        <v/>
      </c>
      <c r="M170" s="16" t="str">
        <f>IF(K170="","",K170/MAX(K$5:K170)-1)</f>
        <v/>
      </c>
      <c r="N170" s="13" t="str">
        <f>IF(OR('实盘净值数据(iFinD）'!$A170="",'实盘净值数据(iFinD）'!$B170="",'实盘净值数据(iFinD）'!$Z170="",'实盘净值数据(iFinD）'!$AA170=""),"",分期持仓明细!$AB$24*(SUMPRODUCT(分期持仓明细!$B$24:$Y$24,'实盘净值数据(iFinD）'!$B170:$Y170/'实盘净值数据(iFinD）'!$B$65:$Y$65)+SUMPRODUCT(分期持仓明细!$AC$24:$AD$24,'实盘净值数据(iFinD）'!$Z170:$AA170/'实盘净值数据(iFinD）'!$Z$65:$AA$65))*(1-实盘持仓初始配置!$Z$8)^(('实盘净值数据(iFinD）'!$A170-'实盘净值数据(iFinD）'!$A$5)/365))</f>
        <v/>
      </c>
      <c r="O170" s="16" t="str">
        <f t="shared" si="16"/>
        <v/>
      </c>
      <c r="P170" s="16" t="str">
        <f>IF(N170="","",N170/MAX(N$5:N170)-1)</f>
        <v/>
      </c>
      <c r="Q170" s="13" t="str">
        <f>IF(OR('实盘净值数据(iFinD）'!$A170="",'实盘净值数据(iFinD）'!$B170="",'实盘净值数据(iFinD）'!$Z170="",'实盘净值数据(iFinD）'!$AA170=""),"",分期持仓明细!$AB$25*(SUMPRODUCT(分期持仓明细!$B$25:$Y$25,'实盘净值数据(iFinD）'!$B170:$Y170/'实盘净值数据(iFinD）'!$B$65:$Y$65)+SUMPRODUCT(分期持仓明细!$AC$25:$AD$25,'实盘净值数据(iFinD）'!$Z170:$AA170/'实盘净值数据(iFinD）'!$Z$65:$AA$65))*(1-实盘持仓初始配置!$Z$9)^(('实盘净值数据(iFinD）'!$A170-'实盘净值数据(iFinD）'!$A$8)/365))</f>
        <v/>
      </c>
      <c r="R170" s="16" t="str">
        <f t="shared" si="17"/>
        <v/>
      </c>
      <c r="S170" s="16" t="str">
        <f>IF(Q170="","",Q170/MAX(Q$5:Q170)-1)</f>
        <v/>
      </c>
      <c r="T170" s="13">
        <f>IF(OR('实盘净值数据(iFinD）'!$A170="",'实盘净值数据(iFinD）'!$B170="",'实盘净值数据(iFinD）'!$Z170="",'实盘净值数据(iFinD）'!$AA170="",'实盘净值数据(iFinD）'!$AB170="",'实盘净值数据(iFinD）'!$AL170=""),"",(SUMPRODUCT(分期持仓明细!$B$26:$Y$26,'实盘净值数据(iFinD）'!$B170:$Y170/'实盘净值数据(iFinD）'!$B$69:$Y$69)+SUMPRODUCT(分期持仓明细!$AC$26:$AD$26,'实盘净值数据(iFinD）'!$Z170:$AA170/'实盘净值数据(iFinD）'!$Z$69:$AA$69)+SUMPRODUCT(分期持仓明细!$AE$26:$AO$26,'实盘净值数据(iFinD）'!$AB170:$AL170/'实盘净值数据(iFinD）'!$AB$69:$AL$69))*(1-实盘持仓初始配置!$Z$10)^(('实盘净值数据(iFinD）'!$A170-'实盘净值数据(iFinD）'!$A$69)/365))</f>
        <v/>
      </c>
      <c r="U170" s="16">
        <f>IF(OR(T169="",T170=""),"",T170/T169-1)</f>
        <v/>
      </c>
      <c r="V170" s="16">
        <f>IF(T170="","",T170/MAX(T$5:T170)-1)</f>
        <v/>
      </c>
    </row>
    <row r="171" spans="1:19">
      <c r="A171" s="15" t="str">
        <f>IF('实盘净值数据(iFinD）'!A171="","",'实盘净值数据(iFinD）'!A171)</f>
        <v/>
      </c>
      <c r="B171" s="13" t="str">
        <f>IF(OR('实盘净值数据(iFinD）'!$A171="",'实盘净值数据(iFinD）'!$B171=""),"",分期持仓明细!$AB$17*SUMPRODUCT(分期持仓明细!$B$17:$Y$17,'实盘净值数据(iFinD）'!$B171:$Y171/'实盘净值数据(iFinD）'!$B$20:$Y$20)*(1-实盘持仓初始配置!$Z$4)^(('实盘净值数据(iFinD）'!$A171-'实盘净值数据(iFinD）'!$A$6)/365))</f>
        <v/>
      </c>
      <c r="C171" s="16" t="str">
        <f t="shared" si="12"/>
        <v/>
      </c>
      <c r="D171" s="16" t="str">
        <f>IF(B171="","",B171/MAX(B$5:B171)-1)</f>
        <v/>
      </c>
      <c r="E171" s="13" t="str">
        <f>IF(OR('实盘净值数据(iFinD）'!$A171="",'实盘净值数据(iFinD）'!$B171=""),"",分期持仓明细!$AB$18*SUMPRODUCT(分期持仓明细!$B$18:$Y$18,'实盘净值数据(iFinD）'!$B171:$Y171/'实盘净值数据(iFinD）'!$B$20:$Y$20)*(1-实盘持仓初始配置!$Z$5)^(('实盘净值数据(iFinD）'!$A171-'实盘净值数据(iFinD）'!$A$5)/365))</f>
        <v/>
      </c>
      <c r="F171" s="16" t="str">
        <f t="shared" si="13"/>
        <v/>
      </c>
      <c r="G171" s="16" t="str">
        <f>IF(E171="","",E171/MAX(E$5:E171)-1)</f>
        <v/>
      </c>
      <c r="H171" s="13" t="str">
        <f>IF(OR('实盘净值数据(iFinD）'!$A171="",'实盘净值数据(iFinD）'!$B171=""),"",分期持仓明细!$AB$19*SUMPRODUCT(分期持仓明细!$B$19:$Y$19,'实盘净值数据(iFinD）'!$B171:$Y171/'实盘净值数据(iFinD）'!$B$20:$Y$20)*(1-实盘持仓初始配置!$Z$6)^(('实盘净值数据(iFinD）'!$A171-'实盘净值数据(iFinD）'!$A$7)/365))</f>
        <v/>
      </c>
      <c r="I171" s="16" t="str">
        <f t="shared" si="14"/>
        <v/>
      </c>
      <c r="J171" s="16" t="str">
        <f>IF(H171="","",H171/MAX(H$5:H171)-1)</f>
        <v/>
      </c>
      <c r="K171" s="13" t="str">
        <f>IF(OR('实盘净值数据(iFinD）'!$A171="",'实盘净值数据(iFinD）'!$B171="",'实盘净值数据(iFinD）'!$Z171="",'实盘净值数据(iFinD）'!$AA171=""),"",分期持仓明细!$AB$23*(SUMPRODUCT(分期持仓明细!$B$23:$Y$23,'实盘净值数据(iFinD）'!$B171:$Y171/'实盘净值数据(iFinD）'!$B$65:$Y$65)+SUMPRODUCT(分期持仓明细!$AC$23:$AD$23,'实盘净值数据(iFinD）'!$Z171:$AA171/'实盘净值数据(iFinD）'!$Z$65:$AA$65))*(1-实盘持仓初始配置!$Z$7)^(('实盘净值数据(iFinD）'!$A171-'实盘净值数据(iFinD）'!$A$8)/365))</f>
        <v/>
      </c>
      <c r="L171" s="16" t="str">
        <f t="shared" si="15"/>
        <v/>
      </c>
      <c r="M171" s="16" t="str">
        <f>IF(K171="","",K171/MAX(K$5:K171)-1)</f>
        <v/>
      </c>
      <c r="N171" s="13" t="str">
        <f>IF(OR('实盘净值数据(iFinD）'!$A171="",'实盘净值数据(iFinD）'!$B171="",'实盘净值数据(iFinD）'!$Z171="",'实盘净值数据(iFinD）'!$AA171=""),"",分期持仓明细!$AB$24*(SUMPRODUCT(分期持仓明细!$B$24:$Y$24,'实盘净值数据(iFinD）'!$B171:$Y171/'实盘净值数据(iFinD）'!$B$65:$Y$65)+SUMPRODUCT(分期持仓明细!$AC$24:$AD$24,'实盘净值数据(iFinD）'!$Z171:$AA171/'实盘净值数据(iFinD）'!$Z$65:$AA$65))*(1-实盘持仓初始配置!$Z$8)^(('实盘净值数据(iFinD）'!$A171-'实盘净值数据(iFinD）'!$A$5)/365))</f>
        <v/>
      </c>
      <c r="O171" s="16" t="str">
        <f t="shared" si="16"/>
        <v/>
      </c>
      <c r="P171" s="16" t="str">
        <f>IF(N171="","",N171/MAX(N$5:N171)-1)</f>
        <v/>
      </c>
      <c r="Q171" s="13" t="str">
        <f>IF(OR('实盘净值数据(iFinD）'!$A171="",'实盘净值数据(iFinD）'!$B171="",'实盘净值数据(iFinD）'!$Z171="",'实盘净值数据(iFinD）'!$AA171=""),"",分期持仓明细!$AB$25*(SUMPRODUCT(分期持仓明细!$B$25:$Y$25,'实盘净值数据(iFinD）'!$B171:$Y171/'实盘净值数据(iFinD）'!$B$65:$Y$65)+SUMPRODUCT(分期持仓明细!$AC$25:$AD$25,'实盘净值数据(iFinD）'!$Z171:$AA171/'实盘净值数据(iFinD）'!$Z$65:$AA$65))*(1-实盘持仓初始配置!$Z$9)^(('实盘净值数据(iFinD）'!$A171-'实盘净值数据(iFinD）'!$A$8)/365))</f>
        <v/>
      </c>
      <c r="R171" s="16" t="str">
        <f t="shared" si="17"/>
        <v/>
      </c>
      <c r="S171" s="16" t="str">
        <f>IF(Q171="","",Q171/MAX(Q$5:Q171)-1)</f>
        <v/>
      </c>
      <c r="T171" s="13">
        <f>IF(OR('实盘净值数据(iFinD）'!$A171="",'实盘净值数据(iFinD）'!$B171="",'实盘净值数据(iFinD）'!$Z171="",'实盘净值数据(iFinD）'!$AA171="",'实盘净值数据(iFinD）'!$AB171="",'实盘净值数据(iFinD）'!$AL171=""),"",(SUMPRODUCT(分期持仓明细!$B$26:$Y$26,'实盘净值数据(iFinD）'!$B171:$Y171/'实盘净值数据(iFinD）'!$B$69:$Y$69)+SUMPRODUCT(分期持仓明细!$AC$26:$AD$26,'实盘净值数据(iFinD）'!$Z171:$AA171/'实盘净值数据(iFinD）'!$Z$69:$AA$69)+SUMPRODUCT(分期持仓明细!$AE$26:$AO$26,'实盘净值数据(iFinD）'!$AB171:$AL171/'实盘净值数据(iFinD）'!$AB$69:$AL$69))*(1-实盘持仓初始配置!$Z$10)^(('实盘净值数据(iFinD）'!$A171-'实盘净值数据(iFinD）'!$A$69)/365))</f>
        <v/>
      </c>
      <c r="U171" s="16">
        <f>IF(OR(T170="",T171=""),"",T171/T170-1)</f>
        <v/>
      </c>
      <c r="V171" s="16">
        <f>IF(T171="","",T171/MAX(T$5:T171)-1)</f>
        <v/>
      </c>
    </row>
    <row r="172" spans="1:19">
      <c r="A172" s="15" t="str">
        <f>IF('实盘净值数据(iFinD）'!A172="","",'实盘净值数据(iFinD）'!A172)</f>
        <v/>
      </c>
      <c r="B172" s="13" t="str">
        <f>IF(OR('实盘净值数据(iFinD）'!$A172="",'实盘净值数据(iFinD）'!$B172=""),"",分期持仓明细!$AB$17*SUMPRODUCT(分期持仓明细!$B$17:$Y$17,'实盘净值数据(iFinD）'!$B172:$Y172/'实盘净值数据(iFinD）'!$B$20:$Y$20)*(1-实盘持仓初始配置!$Z$4)^(('实盘净值数据(iFinD）'!$A172-'实盘净值数据(iFinD）'!$A$6)/365))</f>
        <v/>
      </c>
      <c r="C172" s="16" t="str">
        <f t="shared" si="12"/>
        <v/>
      </c>
      <c r="D172" s="16" t="str">
        <f>IF(B172="","",B172/MAX(B$5:B172)-1)</f>
        <v/>
      </c>
      <c r="E172" s="13" t="str">
        <f>IF(OR('实盘净值数据(iFinD）'!$A172="",'实盘净值数据(iFinD）'!$B172=""),"",分期持仓明细!$AB$18*SUMPRODUCT(分期持仓明细!$B$18:$Y$18,'实盘净值数据(iFinD）'!$B172:$Y172/'实盘净值数据(iFinD）'!$B$20:$Y$20)*(1-实盘持仓初始配置!$Z$5)^(('实盘净值数据(iFinD）'!$A172-'实盘净值数据(iFinD）'!$A$5)/365))</f>
        <v/>
      </c>
      <c r="F172" s="16" t="str">
        <f t="shared" si="13"/>
        <v/>
      </c>
      <c r="G172" s="16" t="str">
        <f>IF(E172="","",E172/MAX(E$5:E172)-1)</f>
        <v/>
      </c>
      <c r="H172" s="13" t="str">
        <f>IF(OR('实盘净值数据(iFinD）'!$A172="",'实盘净值数据(iFinD）'!$B172=""),"",分期持仓明细!$AB$19*SUMPRODUCT(分期持仓明细!$B$19:$Y$19,'实盘净值数据(iFinD）'!$B172:$Y172/'实盘净值数据(iFinD）'!$B$20:$Y$20)*(1-实盘持仓初始配置!$Z$6)^(('实盘净值数据(iFinD）'!$A172-'实盘净值数据(iFinD）'!$A$7)/365))</f>
        <v/>
      </c>
      <c r="I172" s="16" t="str">
        <f t="shared" si="14"/>
        <v/>
      </c>
      <c r="J172" s="16" t="str">
        <f>IF(H172="","",H172/MAX(H$5:H172)-1)</f>
        <v/>
      </c>
      <c r="K172" s="13" t="str">
        <f>IF(OR('实盘净值数据(iFinD）'!$A172="",'实盘净值数据(iFinD）'!$B172="",'实盘净值数据(iFinD）'!$Z172="",'实盘净值数据(iFinD）'!$AA172=""),"",分期持仓明细!$AB$23*(SUMPRODUCT(分期持仓明细!$B$23:$Y$23,'实盘净值数据(iFinD）'!$B172:$Y172/'实盘净值数据(iFinD）'!$B$65:$Y$65)+SUMPRODUCT(分期持仓明细!$AC$23:$AD$23,'实盘净值数据(iFinD）'!$Z172:$AA172/'实盘净值数据(iFinD）'!$Z$65:$AA$65))*(1-实盘持仓初始配置!$Z$7)^(('实盘净值数据(iFinD）'!$A172-'实盘净值数据(iFinD）'!$A$8)/365))</f>
        <v/>
      </c>
      <c r="L172" s="16" t="str">
        <f t="shared" si="15"/>
        <v/>
      </c>
      <c r="M172" s="16" t="str">
        <f>IF(K172="","",K172/MAX(K$5:K172)-1)</f>
        <v/>
      </c>
      <c r="N172" s="13" t="str">
        <f>IF(OR('实盘净值数据(iFinD）'!$A172="",'实盘净值数据(iFinD）'!$B172="",'实盘净值数据(iFinD）'!$Z172="",'实盘净值数据(iFinD）'!$AA172=""),"",分期持仓明细!$AB$24*(SUMPRODUCT(分期持仓明细!$B$24:$Y$24,'实盘净值数据(iFinD）'!$B172:$Y172/'实盘净值数据(iFinD）'!$B$65:$Y$65)+SUMPRODUCT(分期持仓明细!$AC$24:$AD$24,'实盘净值数据(iFinD）'!$Z172:$AA172/'实盘净值数据(iFinD）'!$Z$65:$AA$65))*(1-实盘持仓初始配置!$Z$8)^(('实盘净值数据(iFinD）'!$A172-'实盘净值数据(iFinD）'!$A$5)/365))</f>
        <v/>
      </c>
      <c r="O172" s="16" t="str">
        <f t="shared" si="16"/>
        <v/>
      </c>
      <c r="P172" s="16" t="str">
        <f>IF(N172="","",N172/MAX(N$5:N172)-1)</f>
        <v/>
      </c>
      <c r="Q172" s="13" t="str">
        <f>IF(OR('实盘净值数据(iFinD）'!$A172="",'实盘净值数据(iFinD）'!$B172="",'实盘净值数据(iFinD）'!$Z172="",'实盘净值数据(iFinD）'!$AA172=""),"",分期持仓明细!$AB$25*(SUMPRODUCT(分期持仓明细!$B$25:$Y$25,'实盘净值数据(iFinD）'!$B172:$Y172/'实盘净值数据(iFinD）'!$B$65:$Y$65)+SUMPRODUCT(分期持仓明细!$AC$25:$AD$25,'实盘净值数据(iFinD）'!$Z172:$AA172/'实盘净值数据(iFinD）'!$Z$65:$AA$65))*(1-实盘持仓初始配置!$Z$9)^(('实盘净值数据(iFinD）'!$A172-'实盘净值数据(iFinD）'!$A$8)/365))</f>
        <v/>
      </c>
      <c r="R172" s="16" t="str">
        <f t="shared" si="17"/>
        <v/>
      </c>
      <c r="S172" s="16" t="str">
        <f>IF(Q172="","",Q172/MAX(Q$5:Q172)-1)</f>
        <v/>
      </c>
      <c r="T172" s="13">
        <f>IF(OR('实盘净值数据(iFinD）'!$A172="",'实盘净值数据(iFinD）'!$B172="",'实盘净值数据(iFinD）'!$Z172="",'实盘净值数据(iFinD）'!$AA172="",'实盘净值数据(iFinD）'!$AB172="",'实盘净值数据(iFinD）'!$AL172=""),"",(SUMPRODUCT(分期持仓明细!$B$26:$Y$26,'实盘净值数据(iFinD）'!$B172:$Y172/'实盘净值数据(iFinD）'!$B$69:$Y$69)+SUMPRODUCT(分期持仓明细!$AC$26:$AD$26,'实盘净值数据(iFinD）'!$Z172:$AA172/'实盘净值数据(iFinD）'!$Z$69:$AA$69)+SUMPRODUCT(分期持仓明细!$AE$26:$AO$26,'实盘净值数据(iFinD）'!$AB172:$AL172/'实盘净值数据(iFinD）'!$AB$69:$AL$69))*(1-实盘持仓初始配置!$Z$10)^(('实盘净值数据(iFinD）'!$A172-'实盘净值数据(iFinD）'!$A$69)/365))</f>
        <v/>
      </c>
      <c r="U172" s="16">
        <f>IF(OR(T171="",T172=""),"",T172/T171-1)</f>
        <v/>
      </c>
      <c r="V172" s="16">
        <f>IF(T172="","",T172/MAX(T$5:T172)-1)</f>
        <v/>
      </c>
    </row>
    <row r="173" spans="1:19">
      <c r="A173" s="15" t="str">
        <f>IF('实盘净值数据(iFinD）'!A173="","",'实盘净值数据(iFinD）'!A173)</f>
        <v/>
      </c>
      <c r="B173" s="13" t="str">
        <f>IF(OR('实盘净值数据(iFinD）'!$A173="",'实盘净值数据(iFinD）'!$B173=""),"",分期持仓明细!$AB$17*SUMPRODUCT(分期持仓明细!$B$17:$Y$17,'实盘净值数据(iFinD）'!$B173:$Y173/'实盘净值数据(iFinD）'!$B$20:$Y$20)*(1-实盘持仓初始配置!$Z$4)^(('实盘净值数据(iFinD）'!$A173-'实盘净值数据(iFinD）'!$A$6)/365))</f>
        <v/>
      </c>
      <c r="C173" s="16" t="str">
        <f t="shared" si="12"/>
        <v/>
      </c>
      <c r="D173" s="16" t="str">
        <f>IF(B173="","",B173/MAX(B$5:B173)-1)</f>
        <v/>
      </c>
      <c r="E173" s="13" t="str">
        <f>IF(OR('实盘净值数据(iFinD）'!$A173="",'实盘净值数据(iFinD）'!$B173=""),"",分期持仓明细!$AB$18*SUMPRODUCT(分期持仓明细!$B$18:$Y$18,'实盘净值数据(iFinD）'!$B173:$Y173/'实盘净值数据(iFinD）'!$B$20:$Y$20)*(1-实盘持仓初始配置!$Z$5)^(('实盘净值数据(iFinD）'!$A173-'实盘净值数据(iFinD）'!$A$5)/365))</f>
        <v/>
      </c>
      <c r="F173" s="16" t="str">
        <f t="shared" si="13"/>
        <v/>
      </c>
      <c r="G173" s="16" t="str">
        <f>IF(E173="","",E173/MAX(E$5:E173)-1)</f>
        <v/>
      </c>
      <c r="H173" s="13" t="str">
        <f>IF(OR('实盘净值数据(iFinD）'!$A173="",'实盘净值数据(iFinD）'!$B173=""),"",分期持仓明细!$AB$19*SUMPRODUCT(分期持仓明细!$B$19:$Y$19,'实盘净值数据(iFinD）'!$B173:$Y173/'实盘净值数据(iFinD）'!$B$20:$Y$20)*(1-实盘持仓初始配置!$Z$6)^(('实盘净值数据(iFinD）'!$A173-'实盘净值数据(iFinD）'!$A$7)/365))</f>
        <v/>
      </c>
      <c r="I173" s="16" t="str">
        <f t="shared" si="14"/>
        <v/>
      </c>
      <c r="J173" s="16" t="str">
        <f>IF(H173="","",H173/MAX(H$5:H173)-1)</f>
        <v/>
      </c>
      <c r="K173" s="13" t="str">
        <f>IF(OR('实盘净值数据(iFinD）'!$A173="",'实盘净值数据(iFinD）'!$B173="",'实盘净值数据(iFinD）'!$Z173="",'实盘净值数据(iFinD）'!$AA173=""),"",分期持仓明细!$AB$23*(SUMPRODUCT(分期持仓明细!$B$23:$Y$23,'实盘净值数据(iFinD）'!$B173:$Y173/'实盘净值数据(iFinD）'!$B$65:$Y$65)+SUMPRODUCT(分期持仓明细!$AC$23:$AD$23,'实盘净值数据(iFinD）'!$Z173:$AA173/'实盘净值数据(iFinD）'!$Z$65:$AA$65))*(1-实盘持仓初始配置!$Z$7)^(('实盘净值数据(iFinD）'!$A173-'实盘净值数据(iFinD）'!$A$8)/365))</f>
        <v/>
      </c>
      <c r="L173" s="16" t="str">
        <f t="shared" si="15"/>
        <v/>
      </c>
      <c r="M173" s="16" t="str">
        <f>IF(K173="","",K173/MAX(K$5:K173)-1)</f>
        <v/>
      </c>
      <c r="N173" s="13" t="str">
        <f>IF(OR('实盘净值数据(iFinD）'!$A173="",'实盘净值数据(iFinD）'!$B173="",'实盘净值数据(iFinD）'!$Z173="",'实盘净值数据(iFinD）'!$AA173=""),"",分期持仓明细!$AB$24*(SUMPRODUCT(分期持仓明细!$B$24:$Y$24,'实盘净值数据(iFinD）'!$B173:$Y173/'实盘净值数据(iFinD）'!$B$65:$Y$65)+SUMPRODUCT(分期持仓明细!$AC$24:$AD$24,'实盘净值数据(iFinD）'!$Z173:$AA173/'实盘净值数据(iFinD）'!$Z$65:$AA$65))*(1-实盘持仓初始配置!$Z$8)^(('实盘净值数据(iFinD）'!$A173-'实盘净值数据(iFinD）'!$A$5)/365))</f>
        <v/>
      </c>
      <c r="O173" s="16" t="str">
        <f t="shared" si="16"/>
        <v/>
      </c>
      <c r="P173" s="16" t="str">
        <f>IF(N173="","",N173/MAX(N$5:N173)-1)</f>
        <v/>
      </c>
      <c r="Q173" s="13" t="str">
        <f>IF(OR('实盘净值数据(iFinD）'!$A173="",'实盘净值数据(iFinD）'!$B173="",'实盘净值数据(iFinD）'!$Z173="",'实盘净值数据(iFinD）'!$AA173=""),"",分期持仓明细!$AB$25*(SUMPRODUCT(分期持仓明细!$B$25:$Y$25,'实盘净值数据(iFinD）'!$B173:$Y173/'实盘净值数据(iFinD）'!$B$65:$Y$65)+SUMPRODUCT(分期持仓明细!$AC$25:$AD$25,'实盘净值数据(iFinD）'!$Z173:$AA173/'实盘净值数据(iFinD）'!$Z$65:$AA$65))*(1-实盘持仓初始配置!$Z$9)^(('实盘净值数据(iFinD）'!$A173-'实盘净值数据(iFinD）'!$A$8)/365))</f>
        <v/>
      </c>
      <c r="R173" s="16" t="str">
        <f t="shared" si="17"/>
        <v/>
      </c>
      <c r="S173" s="16" t="str">
        <f>IF(Q173="","",Q173/MAX(Q$5:Q173)-1)</f>
        <v/>
      </c>
      <c r="T173" s="13">
        <f>IF(OR('实盘净值数据(iFinD）'!$A173="",'实盘净值数据(iFinD）'!$B173="",'实盘净值数据(iFinD）'!$Z173="",'实盘净值数据(iFinD）'!$AA173="",'实盘净值数据(iFinD）'!$AB173="",'实盘净值数据(iFinD）'!$AL173=""),"",(SUMPRODUCT(分期持仓明细!$B$26:$Y$26,'实盘净值数据(iFinD）'!$B173:$Y173/'实盘净值数据(iFinD）'!$B$69:$Y$69)+SUMPRODUCT(分期持仓明细!$AC$26:$AD$26,'实盘净值数据(iFinD）'!$Z173:$AA173/'实盘净值数据(iFinD）'!$Z$69:$AA$69)+SUMPRODUCT(分期持仓明细!$AE$26:$AO$26,'实盘净值数据(iFinD）'!$AB173:$AL173/'实盘净值数据(iFinD）'!$AB$69:$AL$69))*(1-实盘持仓初始配置!$Z$10)^(('实盘净值数据(iFinD）'!$A173-'实盘净值数据(iFinD）'!$A$69)/365))</f>
        <v/>
      </c>
      <c r="U173" s="16">
        <f>IF(OR(T172="",T173=""),"",T173/T172-1)</f>
        <v/>
      </c>
      <c r="V173" s="16">
        <f>IF(T173="","",T173/MAX(T$5:T173)-1)</f>
        <v/>
      </c>
    </row>
    <row r="174" spans="1:19">
      <c r="A174" s="15" t="str">
        <f>IF('实盘净值数据(iFinD）'!A174="","",'实盘净值数据(iFinD）'!A174)</f>
        <v/>
      </c>
      <c r="B174" s="13" t="str">
        <f>IF(OR('实盘净值数据(iFinD）'!$A174="",'实盘净值数据(iFinD）'!$B174=""),"",分期持仓明细!$AB$17*SUMPRODUCT(分期持仓明细!$B$17:$Y$17,'实盘净值数据(iFinD）'!$B174:$Y174/'实盘净值数据(iFinD）'!$B$20:$Y$20)*(1-实盘持仓初始配置!$Z$4)^(('实盘净值数据(iFinD）'!$A174-'实盘净值数据(iFinD）'!$A$6)/365))</f>
        <v/>
      </c>
      <c r="C174" s="16" t="str">
        <f t="shared" si="12"/>
        <v/>
      </c>
      <c r="D174" s="16" t="str">
        <f>IF(B174="","",B174/MAX(B$5:B174)-1)</f>
        <v/>
      </c>
      <c r="E174" s="13" t="str">
        <f>IF(OR('实盘净值数据(iFinD）'!$A174="",'实盘净值数据(iFinD）'!$B174=""),"",分期持仓明细!$AB$18*SUMPRODUCT(分期持仓明细!$B$18:$Y$18,'实盘净值数据(iFinD）'!$B174:$Y174/'实盘净值数据(iFinD）'!$B$20:$Y$20)*(1-实盘持仓初始配置!$Z$5)^(('实盘净值数据(iFinD）'!$A174-'实盘净值数据(iFinD）'!$A$5)/365))</f>
        <v/>
      </c>
      <c r="F174" s="16" t="str">
        <f t="shared" si="13"/>
        <v/>
      </c>
      <c r="G174" s="16" t="str">
        <f>IF(E174="","",E174/MAX(E$5:E174)-1)</f>
        <v/>
      </c>
      <c r="H174" s="13" t="str">
        <f>IF(OR('实盘净值数据(iFinD）'!$A174="",'实盘净值数据(iFinD）'!$B174=""),"",分期持仓明细!$AB$19*SUMPRODUCT(分期持仓明细!$B$19:$Y$19,'实盘净值数据(iFinD）'!$B174:$Y174/'实盘净值数据(iFinD）'!$B$20:$Y$20)*(1-实盘持仓初始配置!$Z$6)^(('实盘净值数据(iFinD）'!$A174-'实盘净值数据(iFinD）'!$A$7)/365))</f>
        <v/>
      </c>
      <c r="I174" s="16" t="str">
        <f t="shared" si="14"/>
        <v/>
      </c>
      <c r="J174" s="16" t="str">
        <f>IF(H174="","",H174/MAX(H$5:H174)-1)</f>
        <v/>
      </c>
      <c r="K174" s="13" t="str">
        <f>IF(OR('实盘净值数据(iFinD）'!$A174="",'实盘净值数据(iFinD）'!$B174="",'实盘净值数据(iFinD）'!$Z174="",'实盘净值数据(iFinD）'!$AA174=""),"",分期持仓明细!$AB$23*(SUMPRODUCT(分期持仓明细!$B$23:$Y$23,'实盘净值数据(iFinD）'!$B174:$Y174/'实盘净值数据(iFinD）'!$B$65:$Y$65)+SUMPRODUCT(分期持仓明细!$AC$23:$AD$23,'实盘净值数据(iFinD）'!$Z174:$AA174/'实盘净值数据(iFinD）'!$Z$65:$AA$65))*(1-实盘持仓初始配置!$Z$7)^(('实盘净值数据(iFinD）'!$A174-'实盘净值数据(iFinD）'!$A$8)/365))</f>
        <v/>
      </c>
      <c r="L174" s="16" t="str">
        <f t="shared" si="15"/>
        <v/>
      </c>
      <c r="M174" s="16" t="str">
        <f>IF(K174="","",K174/MAX(K$5:K174)-1)</f>
        <v/>
      </c>
      <c r="N174" s="13" t="str">
        <f>IF(OR('实盘净值数据(iFinD）'!$A174="",'实盘净值数据(iFinD）'!$B174="",'实盘净值数据(iFinD）'!$Z174="",'实盘净值数据(iFinD）'!$AA174=""),"",分期持仓明细!$AB$24*(SUMPRODUCT(分期持仓明细!$B$24:$Y$24,'实盘净值数据(iFinD）'!$B174:$Y174/'实盘净值数据(iFinD）'!$B$65:$Y$65)+SUMPRODUCT(分期持仓明细!$AC$24:$AD$24,'实盘净值数据(iFinD）'!$Z174:$AA174/'实盘净值数据(iFinD）'!$Z$65:$AA$65))*(1-实盘持仓初始配置!$Z$8)^(('实盘净值数据(iFinD）'!$A174-'实盘净值数据(iFinD）'!$A$5)/365))</f>
        <v/>
      </c>
      <c r="O174" s="16" t="str">
        <f t="shared" si="16"/>
        <v/>
      </c>
      <c r="P174" s="16" t="str">
        <f>IF(N174="","",N174/MAX(N$5:N174)-1)</f>
        <v/>
      </c>
      <c r="Q174" s="13" t="str">
        <f>IF(OR('实盘净值数据(iFinD）'!$A174="",'实盘净值数据(iFinD）'!$B174="",'实盘净值数据(iFinD）'!$Z174="",'实盘净值数据(iFinD）'!$AA174=""),"",分期持仓明细!$AB$25*(SUMPRODUCT(分期持仓明细!$B$25:$Y$25,'实盘净值数据(iFinD）'!$B174:$Y174/'实盘净值数据(iFinD）'!$B$65:$Y$65)+SUMPRODUCT(分期持仓明细!$AC$25:$AD$25,'实盘净值数据(iFinD）'!$Z174:$AA174/'实盘净值数据(iFinD）'!$Z$65:$AA$65))*(1-实盘持仓初始配置!$Z$9)^(('实盘净值数据(iFinD）'!$A174-'实盘净值数据(iFinD）'!$A$8)/365))</f>
        <v/>
      </c>
      <c r="R174" s="16" t="str">
        <f t="shared" si="17"/>
        <v/>
      </c>
      <c r="S174" s="16" t="str">
        <f>IF(Q174="","",Q174/MAX(Q$5:Q174)-1)</f>
        <v/>
      </c>
      <c r="T174" s="13">
        <f>IF(OR('实盘净值数据(iFinD）'!$A174="",'实盘净值数据(iFinD）'!$B174="",'实盘净值数据(iFinD）'!$Z174="",'实盘净值数据(iFinD）'!$AA174="",'实盘净值数据(iFinD）'!$AB174="",'实盘净值数据(iFinD）'!$AL174=""),"",(SUMPRODUCT(分期持仓明细!$B$26:$Y$26,'实盘净值数据(iFinD）'!$B174:$Y174/'实盘净值数据(iFinD）'!$B$69:$Y$69)+SUMPRODUCT(分期持仓明细!$AC$26:$AD$26,'实盘净值数据(iFinD）'!$Z174:$AA174/'实盘净值数据(iFinD）'!$Z$69:$AA$69)+SUMPRODUCT(分期持仓明细!$AE$26:$AO$26,'实盘净值数据(iFinD）'!$AB174:$AL174/'实盘净值数据(iFinD）'!$AB$69:$AL$69))*(1-实盘持仓初始配置!$Z$10)^(('实盘净值数据(iFinD）'!$A174-'实盘净值数据(iFinD）'!$A$69)/365))</f>
        <v/>
      </c>
      <c r="U174" s="16">
        <f>IF(OR(T173="",T174=""),"",T174/T173-1)</f>
        <v/>
      </c>
      <c r="V174" s="16">
        <f>IF(T174="","",T174/MAX(T$5:T174)-1)</f>
        <v/>
      </c>
    </row>
    <row r="175" spans="1:19">
      <c r="A175" s="15" t="str">
        <f>IF('实盘净值数据(iFinD）'!A175="","",'实盘净值数据(iFinD）'!A175)</f>
        <v/>
      </c>
      <c r="B175" s="13" t="str">
        <f>IF(OR('实盘净值数据(iFinD）'!$A175="",'实盘净值数据(iFinD）'!$B175=""),"",分期持仓明细!$AB$17*SUMPRODUCT(分期持仓明细!$B$17:$Y$17,'实盘净值数据(iFinD）'!$B175:$Y175/'实盘净值数据(iFinD）'!$B$20:$Y$20)*(1-实盘持仓初始配置!$Z$4)^(('实盘净值数据(iFinD）'!$A175-'实盘净值数据(iFinD）'!$A$6)/365))</f>
        <v/>
      </c>
      <c r="C175" s="16" t="str">
        <f t="shared" si="12"/>
        <v/>
      </c>
      <c r="D175" s="16" t="str">
        <f>IF(B175="","",B175/MAX(B$5:B175)-1)</f>
        <v/>
      </c>
      <c r="E175" s="13" t="str">
        <f>IF(OR('实盘净值数据(iFinD）'!$A175="",'实盘净值数据(iFinD）'!$B175=""),"",分期持仓明细!$AB$18*SUMPRODUCT(分期持仓明细!$B$18:$Y$18,'实盘净值数据(iFinD）'!$B175:$Y175/'实盘净值数据(iFinD）'!$B$20:$Y$20)*(1-实盘持仓初始配置!$Z$5)^(('实盘净值数据(iFinD）'!$A175-'实盘净值数据(iFinD）'!$A$5)/365))</f>
        <v/>
      </c>
      <c r="F175" s="16" t="str">
        <f t="shared" si="13"/>
        <v/>
      </c>
      <c r="G175" s="16" t="str">
        <f>IF(E175="","",E175/MAX(E$5:E175)-1)</f>
        <v/>
      </c>
      <c r="H175" s="13" t="str">
        <f>IF(OR('实盘净值数据(iFinD）'!$A175="",'实盘净值数据(iFinD）'!$B175=""),"",分期持仓明细!$AB$19*SUMPRODUCT(分期持仓明细!$B$19:$Y$19,'实盘净值数据(iFinD）'!$B175:$Y175/'实盘净值数据(iFinD）'!$B$20:$Y$20)*(1-实盘持仓初始配置!$Z$6)^(('实盘净值数据(iFinD）'!$A175-'实盘净值数据(iFinD）'!$A$7)/365))</f>
        <v/>
      </c>
      <c r="I175" s="16" t="str">
        <f t="shared" si="14"/>
        <v/>
      </c>
      <c r="J175" s="16" t="str">
        <f>IF(H175="","",H175/MAX(H$5:H175)-1)</f>
        <v/>
      </c>
      <c r="K175" s="13" t="str">
        <f>IF(OR('实盘净值数据(iFinD）'!$A175="",'实盘净值数据(iFinD）'!$B175="",'实盘净值数据(iFinD）'!$Z175="",'实盘净值数据(iFinD）'!$AA175=""),"",分期持仓明细!$AB$23*(SUMPRODUCT(分期持仓明细!$B$23:$Y$23,'实盘净值数据(iFinD）'!$B175:$Y175/'实盘净值数据(iFinD）'!$B$65:$Y$65)+SUMPRODUCT(分期持仓明细!$AC$23:$AD$23,'实盘净值数据(iFinD）'!$Z175:$AA175/'实盘净值数据(iFinD）'!$Z$65:$AA$65))*(1-实盘持仓初始配置!$Z$7)^(('实盘净值数据(iFinD）'!$A175-'实盘净值数据(iFinD）'!$A$8)/365))</f>
        <v/>
      </c>
      <c r="L175" s="16" t="str">
        <f t="shared" si="15"/>
        <v/>
      </c>
      <c r="M175" s="16" t="str">
        <f>IF(K175="","",K175/MAX(K$5:K175)-1)</f>
        <v/>
      </c>
      <c r="N175" s="13" t="str">
        <f>IF(OR('实盘净值数据(iFinD）'!$A175="",'实盘净值数据(iFinD）'!$B175="",'实盘净值数据(iFinD）'!$Z175="",'实盘净值数据(iFinD）'!$AA175=""),"",分期持仓明细!$AB$24*(SUMPRODUCT(分期持仓明细!$B$24:$Y$24,'实盘净值数据(iFinD）'!$B175:$Y175/'实盘净值数据(iFinD）'!$B$65:$Y$65)+SUMPRODUCT(分期持仓明细!$AC$24:$AD$24,'实盘净值数据(iFinD）'!$Z175:$AA175/'实盘净值数据(iFinD）'!$Z$65:$AA$65))*(1-实盘持仓初始配置!$Z$8)^(('实盘净值数据(iFinD）'!$A175-'实盘净值数据(iFinD）'!$A$5)/365))</f>
        <v/>
      </c>
      <c r="O175" s="16" t="str">
        <f t="shared" si="16"/>
        <v/>
      </c>
      <c r="P175" s="16" t="str">
        <f>IF(N175="","",N175/MAX(N$5:N175)-1)</f>
        <v/>
      </c>
      <c r="Q175" s="13" t="str">
        <f>IF(OR('实盘净值数据(iFinD）'!$A175="",'实盘净值数据(iFinD）'!$B175="",'实盘净值数据(iFinD）'!$Z175="",'实盘净值数据(iFinD）'!$AA175=""),"",分期持仓明细!$AB$25*(SUMPRODUCT(分期持仓明细!$B$25:$Y$25,'实盘净值数据(iFinD）'!$B175:$Y175/'实盘净值数据(iFinD）'!$B$65:$Y$65)+SUMPRODUCT(分期持仓明细!$AC$25:$AD$25,'实盘净值数据(iFinD）'!$Z175:$AA175/'实盘净值数据(iFinD）'!$Z$65:$AA$65))*(1-实盘持仓初始配置!$Z$9)^(('实盘净值数据(iFinD）'!$A175-'实盘净值数据(iFinD）'!$A$8)/365))</f>
        <v/>
      </c>
      <c r="R175" s="16" t="str">
        <f t="shared" si="17"/>
        <v/>
      </c>
      <c r="S175" s="16" t="str">
        <f>IF(Q175="","",Q175/MAX(Q$5:Q175)-1)</f>
        <v/>
      </c>
      <c r="T175" s="13">
        <f>IF(OR('实盘净值数据(iFinD）'!$A175="",'实盘净值数据(iFinD）'!$B175="",'实盘净值数据(iFinD）'!$Z175="",'实盘净值数据(iFinD）'!$AA175="",'实盘净值数据(iFinD）'!$AB175="",'实盘净值数据(iFinD）'!$AL175=""),"",(SUMPRODUCT(分期持仓明细!$B$26:$Y$26,'实盘净值数据(iFinD）'!$B175:$Y175/'实盘净值数据(iFinD）'!$B$69:$Y$69)+SUMPRODUCT(分期持仓明细!$AC$26:$AD$26,'实盘净值数据(iFinD）'!$Z175:$AA175/'实盘净值数据(iFinD）'!$Z$69:$AA$69)+SUMPRODUCT(分期持仓明细!$AE$26:$AO$26,'实盘净值数据(iFinD）'!$AB175:$AL175/'实盘净值数据(iFinD）'!$AB$69:$AL$69))*(1-实盘持仓初始配置!$Z$10)^(('实盘净值数据(iFinD）'!$A175-'实盘净值数据(iFinD）'!$A$69)/365))</f>
        <v/>
      </c>
      <c r="U175" s="16">
        <f>IF(OR(T174="",T175=""),"",T175/T174-1)</f>
        <v/>
      </c>
      <c r="V175" s="16">
        <f>IF(T175="","",T175/MAX(T$5:T175)-1)</f>
        <v/>
      </c>
    </row>
    <row r="176" spans="1:19">
      <c r="A176" s="15" t="str">
        <f>IF('实盘净值数据(iFinD）'!A176="","",'实盘净值数据(iFinD）'!A176)</f>
        <v/>
      </c>
      <c r="B176" s="13" t="str">
        <f>IF(OR('实盘净值数据(iFinD）'!$A176="",'实盘净值数据(iFinD）'!$B176=""),"",分期持仓明细!$AB$17*SUMPRODUCT(分期持仓明细!$B$17:$Y$17,'实盘净值数据(iFinD）'!$B176:$Y176/'实盘净值数据(iFinD）'!$B$20:$Y$20)*(1-实盘持仓初始配置!$Z$4)^(('实盘净值数据(iFinD）'!$A176-'实盘净值数据(iFinD）'!$A$6)/365))</f>
        <v/>
      </c>
      <c r="C176" s="16" t="str">
        <f t="shared" si="12"/>
        <v/>
      </c>
      <c r="D176" s="16" t="str">
        <f>IF(B176="","",B176/MAX(B$5:B176)-1)</f>
        <v/>
      </c>
      <c r="E176" s="13" t="str">
        <f>IF(OR('实盘净值数据(iFinD）'!$A176="",'实盘净值数据(iFinD）'!$B176=""),"",分期持仓明细!$AB$18*SUMPRODUCT(分期持仓明细!$B$18:$Y$18,'实盘净值数据(iFinD）'!$B176:$Y176/'实盘净值数据(iFinD）'!$B$20:$Y$20)*(1-实盘持仓初始配置!$Z$5)^(('实盘净值数据(iFinD）'!$A176-'实盘净值数据(iFinD）'!$A$5)/365))</f>
        <v/>
      </c>
      <c r="F176" s="16" t="str">
        <f t="shared" si="13"/>
        <v/>
      </c>
      <c r="G176" s="16" t="str">
        <f>IF(E176="","",E176/MAX(E$5:E176)-1)</f>
        <v/>
      </c>
      <c r="H176" s="13" t="str">
        <f>IF(OR('实盘净值数据(iFinD）'!$A176="",'实盘净值数据(iFinD）'!$B176=""),"",分期持仓明细!$AB$19*SUMPRODUCT(分期持仓明细!$B$19:$Y$19,'实盘净值数据(iFinD）'!$B176:$Y176/'实盘净值数据(iFinD）'!$B$20:$Y$20)*(1-实盘持仓初始配置!$Z$6)^(('实盘净值数据(iFinD）'!$A176-'实盘净值数据(iFinD）'!$A$7)/365))</f>
        <v/>
      </c>
      <c r="I176" s="16" t="str">
        <f t="shared" si="14"/>
        <v/>
      </c>
      <c r="J176" s="16" t="str">
        <f>IF(H176="","",H176/MAX(H$5:H176)-1)</f>
        <v/>
      </c>
      <c r="K176" s="13" t="str">
        <f>IF(OR('实盘净值数据(iFinD）'!$A176="",'实盘净值数据(iFinD）'!$B176="",'实盘净值数据(iFinD）'!$Z176="",'实盘净值数据(iFinD）'!$AA176=""),"",分期持仓明细!$AB$23*(SUMPRODUCT(分期持仓明细!$B$23:$Y$23,'实盘净值数据(iFinD）'!$B176:$Y176/'实盘净值数据(iFinD）'!$B$65:$Y$65)+SUMPRODUCT(分期持仓明细!$AC$23:$AD$23,'实盘净值数据(iFinD）'!$Z176:$AA176/'实盘净值数据(iFinD）'!$Z$65:$AA$65))*(1-实盘持仓初始配置!$Z$7)^(('实盘净值数据(iFinD）'!$A176-'实盘净值数据(iFinD）'!$A$8)/365))</f>
        <v/>
      </c>
      <c r="L176" s="16" t="str">
        <f t="shared" si="15"/>
        <v/>
      </c>
      <c r="M176" s="16" t="str">
        <f>IF(K176="","",K176/MAX(K$5:K176)-1)</f>
        <v/>
      </c>
      <c r="N176" s="13" t="str">
        <f>IF(OR('实盘净值数据(iFinD）'!$A176="",'实盘净值数据(iFinD）'!$B176="",'实盘净值数据(iFinD）'!$Z176="",'实盘净值数据(iFinD）'!$AA176=""),"",分期持仓明细!$AB$24*(SUMPRODUCT(分期持仓明细!$B$24:$Y$24,'实盘净值数据(iFinD）'!$B176:$Y176/'实盘净值数据(iFinD）'!$B$65:$Y$65)+SUMPRODUCT(分期持仓明细!$AC$24:$AD$24,'实盘净值数据(iFinD）'!$Z176:$AA176/'实盘净值数据(iFinD）'!$Z$65:$AA$65))*(1-实盘持仓初始配置!$Z$8)^(('实盘净值数据(iFinD）'!$A176-'实盘净值数据(iFinD）'!$A$5)/365))</f>
        <v/>
      </c>
      <c r="O176" s="16" t="str">
        <f t="shared" si="16"/>
        <v/>
      </c>
      <c r="P176" s="16" t="str">
        <f>IF(N176="","",N176/MAX(N$5:N176)-1)</f>
        <v/>
      </c>
      <c r="Q176" s="13" t="str">
        <f>IF(OR('实盘净值数据(iFinD）'!$A176="",'实盘净值数据(iFinD）'!$B176="",'实盘净值数据(iFinD）'!$Z176="",'实盘净值数据(iFinD）'!$AA176=""),"",分期持仓明细!$AB$25*(SUMPRODUCT(分期持仓明细!$B$25:$Y$25,'实盘净值数据(iFinD）'!$B176:$Y176/'实盘净值数据(iFinD）'!$B$65:$Y$65)+SUMPRODUCT(分期持仓明细!$AC$25:$AD$25,'实盘净值数据(iFinD）'!$Z176:$AA176/'实盘净值数据(iFinD）'!$Z$65:$AA$65))*(1-实盘持仓初始配置!$Z$9)^(('实盘净值数据(iFinD）'!$A176-'实盘净值数据(iFinD）'!$A$8)/365))</f>
        <v/>
      </c>
      <c r="R176" s="16" t="str">
        <f t="shared" si="17"/>
        <v/>
      </c>
      <c r="S176" s="16" t="str">
        <f>IF(Q176="","",Q176/MAX(Q$5:Q176)-1)</f>
        <v/>
      </c>
      <c r="T176" s="13">
        <f>IF(OR('实盘净值数据(iFinD）'!$A176="",'实盘净值数据(iFinD）'!$B176="",'实盘净值数据(iFinD）'!$Z176="",'实盘净值数据(iFinD）'!$AA176="",'实盘净值数据(iFinD）'!$AB176="",'实盘净值数据(iFinD）'!$AL176=""),"",(SUMPRODUCT(分期持仓明细!$B$26:$Y$26,'实盘净值数据(iFinD）'!$B176:$Y176/'实盘净值数据(iFinD）'!$B$69:$Y$69)+SUMPRODUCT(分期持仓明细!$AC$26:$AD$26,'实盘净值数据(iFinD）'!$Z176:$AA176/'实盘净值数据(iFinD）'!$Z$69:$AA$69)+SUMPRODUCT(分期持仓明细!$AE$26:$AO$26,'实盘净值数据(iFinD）'!$AB176:$AL176/'实盘净值数据(iFinD）'!$AB$69:$AL$69))*(1-实盘持仓初始配置!$Z$10)^(('实盘净值数据(iFinD）'!$A176-'实盘净值数据(iFinD）'!$A$69)/365))</f>
        <v/>
      </c>
      <c r="U176" s="16">
        <f>IF(OR(T175="",T176=""),"",T176/T175-1)</f>
        <v/>
      </c>
      <c r="V176" s="16">
        <f>IF(T176="","",T176/MAX(T$5:T176)-1)</f>
        <v/>
      </c>
    </row>
    <row r="177" spans="1:19">
      <c r="A177" s="15" t="str">
        <f>IF('实盘净值数据(iFinD）'!A177="","",'实盘净值数据(iFinD）'!A177)</f>
        <v/>
      </c>
      <c r="B177" s="13" t="str">
        <f>IF(OR('实盘净值数据(iFinD）'!$A177="",'实盘净值数据(iFinD）'!$B177=""),"",分期持仓明细!$AB$17*SUMPRODUCT(分期持仓明细!$B$17:$Y$17,'实盘净值数据(iFinD）'!$B177:$Y177/'实盘净值数据(iFinD）'!$B$20:$Y$20)*(1-实盘持仓初始配置!$Z$4)^(('实盘净值数据(iFinD）'!$A177-'实盘净值数据(iFinD）'!$A$6)/365))</f>
        <v/>
      </c>
      <c r="C177" s="16" t="str">
        <f t="shared" si="12"/>
        <v/>
      </c>
      <c r="D177" s="16" t="str">
        <f>IF(B177="","",B177/MAX(B$5:B177)-1)</f>
        <v/>
      </c>
      <c r="E177" s="13" t="str">
        <f>IF(OR('实盘净值数据(iFinD）'!$A177="",'实盘净值数据(iFinD）'!$B177=""),"",分期持仓明细!$AB$18*SUMPRODUCT(分期持仓明细!$B$18:$Y$18,'实盘净值数据(iFinD）'!$B177:$Y177/'实盘净值数据(iFinD）'!$B$20:$Y$20)*(1-实盘持仓初始配置!$Z$5)^(('实盘净值数据(iFinD）'!$A177-'实盘净值数据(iFinD）'!$A$5)/365))</f>
        <v/>
      </c>
      <c r="F177" s="16" t="str">
        <f t="shared" si="13"/>
        <v/>
      </c>
      <c r="G177" s="16" t="str">
        <f>IF(E177="","",E177/MAX(E$5:E177)-1)</f>
        <v/>
      </c>
      <c r="H177" s="13" t="str">
        <f>IF(OR('实盘净值数据(iFinD）'!$A177="",'实盘净值数据(iFinD）'!$B177=""),"",分期持仓明细!$AB$19*SUMPRODUCT(分期持仓明细!$B$19:$Y$19,'实盘净值数据(iFinD）'!$B177:$Y177/'实盘净值数据(iFinD）'!$B$20:$Y$20)*(1-实盘持仓初始配置!$Z$6)^(('实盘净值数据(iFinD）'!$A177-'实盘净值数据(iFinD）'!$A$7)/365))</f>
        <v/>
      </c>
      <c r="I177" s="16" t="str">
        <f t="shared" si="14"/>
        <v/>
      </c>
      <c r="J177" s="16" t="str">
        <f>IF(H177="","",H177/MAX(H$5:H177)-1)</f>
        <v/>
      </c>
      <c r="K177" s="13" t="str">
        <f>IF(OR('实盘净值数据(iFinD）'!$A177="",'实盘净值数据(iFinD）'!$B177="",'实盘净值数据(iFinD）'!$Z177="",'实盘净值数据(iFinD）'!$AA177=""),"",分期持仓明细!$AB$23*(SUMPRODUCT(分期持仓明细!$B$23:$Y$23,'实盘净值数据(iFinD）'!$B177:$Y177/'实盘净值数据(iFinD）'!$B$65:$Y$65)+SUMPRODUCT(分期持仓明细!$AC$23:$AD$23,'实盘净值数据(iFinD）'!$Z177:$AA177/'实盘净值数据(iFinD）'!$Z$65:$AA$65))*(1-实盘持仓初始配置!$Z$7)^(('实盘净值数据(iFinD）'!$A177-'实盘净值数据(iFinD）'!$A$8)/365))</f>
        <v/>
      </c>
      <c r="L177" s="16" t="str">
        <f t="shared" si="15"/>
        <v/>
      </c>
      <c r="M177" s="16" t="str">
        <f>IF(K177="","",K177/MAX(K$5:K177)-1)</f>
        <v/>
      </c>
      <c r="N177" s="13" t="str">
        <f>IF(OR('实盘净值数据(iFinD）'!$A177="",'实盘净值数据(iFinD）'!$B177="",'实盘净值数据(iFinD）'!$Z177="",'实盘净值数据(iFinD）'!$AA177=""),"",分期持仓明细!$AB$24*(SUMPRODUCT(分期持仓明细!$B$24:$Y$24,'实盘净值数据(iFinD）'!$B177:$Y177/'实盘净值数据(iFinD）'!$B$65:$Y$65)+SUMPRODUCT(分期持仓明细!$AC$24:$AD$24,'实盘净值数据(iFinD）'!$Z177:$AA177/'实盘净值数据(iFinD）'!$Z$65:$AA$65))*(1-实盘持仓初始配置!$Z$8)^(('实盘净值数据(iFinD）'!$A177-'实盘净值数据(iFinD）'!$A$5)/365))</f>
        <v/>
      </c>
      <c r="O177" s="16" t="str">
        <f t="shared" si="16"/>
        <v/>
      </c>
      <c r="P177" s="16" t="str">
        <f>IF(N177="","",N177/MAX(N$5:N177)-1)</f>
        <v/>
      </c>
      <c r="Q177" s="13" t="str">
        <f>IF(OR('实盘净值数据(iFinD）'!$A177="",'实盘净值数据(iFinD）'!$B177="",'实盘净值数据(iFinD）'!$Z177="",'实盘净值数据(iFinD）'!$AA177=""),"",分期持仓明细!$AB$25*(SUMPRODUCT(分期持仓明细!$B$25:$Y$25,'实盘净值数据(iFinD）'!$B177:$Y177/'实盘净值数据(iFinD）'!$B$65:$Y$65)+SUMPRODUCT(分期持仓明细!$AC$25:$AD$25,'实盘净值数据(iFinD）'!$Z177:$AA177/'实盘净值数据(iFinD）'!$Z$65:$AA$65))*(1-实盘持仓初始配置!$Z$9)^(('实盘净值数据(iFinD）'!$A177-'实盘净值数据(iFinD）'!$A$8)/365))</f>
        <v/>
      </c>
      <c r="R177" s="16" t="str">
        <f t="shared" si="17"/>
        <v/>
      </c>
      <c r="S177" s="16" t="str">
        <f>IF(Q177="","",Q177/MAX(Q$5:Q177)-1)</f>
        <v/>
      </c>
      <c r="T177" s="13">
        <f>IF(OR('实盘净值数据(iFinD）'!$A177="",'实盘净值数据(iFinD）'!$B177="",'实盘净值数据(iFinD）'!$Z177="",'实盘净值数据(iFinD）'!$AA177="",'实盘净值数据(iFinD）'!$AB177="",'实盘净值数据(iFinD）'!$AL177=""),"",(SUMPRODUCT(分期持仓明细!$B$26:$Y$26,'实盘净值数据(iFinD）'!$B177:$Y177/'实盘净值数据(iFinD）'!$B$69:$Y$69)+SUMPRODUCT(分期持仓明细!$AC$26:$AD$26,'实盘净值数据(iFinD）'!$Z177:$AA177/'实盘净值数据(iFinD）'!$Z$69:$AA$69)+SUMPRODUCT(分期持仓明细!$AE$26:$AO$26,'实盘净值数据(iFinD）'!$AB177:$AL177/'实盘净值数据(iFinD）'!$AB$69:$AL$69))*(1-实盘持仓初始配置!$Z$10)^(('实盘净值数据(iFinD）'!$A177-'实盘净值数据(iFinD）'!$A$69)/365))</f>
        <v/>
      </c>
      <c r="U177" s="16">
        <f>IF(OR(T176="",T177=""),"",T177/T176-1)</f>
        <v/>
      </c>
      <c r="V177" s="16">
        <f>IF(T177="","",T177/MAX(T$5:T177)-1)</f>
        <v/>
      </c>
    </row>
    <row r="178" spans="1:19">
      <c r="A178" s="15" t="str">
        <f>IF('实盘净值数据(iFinD）'!A178="","",'实盘净值数据(iFinD）'!A178)</f>
        <v/>
      </c>
      <c r="B178" s="13" t="str">
        <f>IF(OR('实盘净值数据(iFinD）'!$A178="",'实盘净值数据(iFinD）'!$B178=""),"",分期持仓明细!$AB$17*SUMPRODUCT(分期持仓明细!$B$17:$Y$17,'实盘净值数据(iFinD）'!$B178:$Y178/'实盘净值数据(iFinD）'!$B$20:$Y$20)*(1-实盘持仓初始配置!$Z$4)^(('实盘净值数据(iFinD）'!$A178-'实盘净值数据(iFinD）'!$A$6)/365))</f>
        <v/>
      </c>
      <c r="C178" s="16" t="str">
        <f t="shared" si="12"/>
        <v/>
      </c>
      <c r="D178" s="16" t="str">
        <f>IF(B178="","",B178/MAX(B$5:B178)-1)</f>
        <v/>
      </c>
      <c r="E178" s="13" t="str">
        <f>IF(OR('实盘净值数据(iFinD）'!$A178="",'实盘净值数据(iFinD）'!$B178=""),"",分期持仓明细!$AB$18*SUMPRODUCT(分期持仓明细!$B$18:$Y$18,'实盘净值数据(iFinD）'!$B178:$Y178/'实盘净值数据(iFinD）'!$B$20:$Y$20)*(1-实盘持仓初始配置!$Z$5)^(('实盘净值数据(iFinD）'!$A178-'实盘净值数据(iFinD）'!$A$5)/365))</f>
        <v/>
      </c>
      <c r="F178" s="16" t="str">
        <f t="shared" si="13"/>
        <v/>
      </c>
      <c r="G178" s="16" t="str">
        <f>IF(E178="","",E178/MAX(E$5:E178)-1)</f>
        <v/>
      </c>
      <c r="H178" s="13" t="str">
        <f>IF(OR('实盘净值数据(iFinD）'!$A178="",'实盘净值数据(iFinD）'!$B178=""),"",分期持仓明细!$AB$19*SUMPRODUCT(分期持仓明细!$B$19:$Y$19,'实盘净值数据(iFinD）'!$B178:$Y178/'实盘净值数据(iFinD）'!$B$20:$Y$20)*(1-实盘持仓初始配置!$Z$6)^(('实盘净值数据(iFinD）'!$A178-'实盘净值数据(iFinD）'!$A$7)/365))</f>
        <v/>
      </c>
      <c r="I178" s="16" t="str">
        <f t="shared" si="14"/>
        <v/>
      </c>
      <c r="J178" s="16" t="str">
        <f>IF(H178="","",H178/MAX(H$5:H178)-1)</f>
        <v/>
      </c>
      <c r="K178" s="13" t="str">
        <f>IF(OR('实盘净值数据(iFinD）'!$A178="",'实盘净值数据(iFinD）'!$B178="",'实盘净值数据(iFinD）'!$Z178="",'实盘净值数据(iFinD）'!$AA178=""),"",分期持仓明细!$AB$23*(SUMPRODUCT(分期持仓明细!$B$23:$Y$23,'实盘净值数据(iFinD）'!$B178:$Y178/'实盘净值数据(iFinD）'!$B$65:$Y$65)+SUMPRODUCT(分期持仓明细!$AC$23:$AD$23,'实盘净值数据(iFinD）'!$Z178:$AA178/'实盘净值数据(iFinD）'!$Z$65:$AA$65))*(1-实盘持仓初始配置!$Z$7)^(('实盘净值数据(iFinD）'!$A178-'实盘净值数据(iFinD）'!$A$8)/365))</f>
        <v/>
      </c>
      <c r="L178" s="16" t="str">
        <f t="shared" si="15"/>
        <v/>
      </c>
      <c r="M178" s="16" t="str">
        <f>IF(K178="","",K178/MAX(K$5:K178)-1)</f>
        <v/>
      </c>
      <c r="N178" s="13" t="str">
        <f>IF(OR('实盘净值数据(iFinD）'!$A178="",'实盘净值数据(iFinD）'!$B178="",'实盘净值数据(iFinD）'!$Z178="",'实盘净值数据(iFinD）'!$AA178=""),"",分期持仓明细!$AB$24*(SUMPRODUCT(分期持仓明细!$B$24:$Y$24,'实盘净值数据(iFinD）'!$B178:$Y178/'实盘净值数据(iFinD）'!$B$65:$Y$65)+SUMPRODUCT(分期持仓明细!$AC$24:$AD$24,'实盘净值数据(iFinD）'!$Z178:$AA178/'实盘净值数据(iFinD）'!$Z$65:$AA$65))*(1-实盘持仓初始配置!$Z$8)^(('实盘净值数据(iFinD）'!$A178-'实盘净值数据(iFinD）'!$A$5)/365))</f>
        <v/>
      </c>
      <c r="O178" s="16" t="str">
        <f t="shared" si="16"/>
        <v/>
      </c>
      <c r="P178" s="16" t="str">
        <f>IF(N178="","",N178/MAX(N$5:N178)-1)</f>
        <v/>
      </c>
      <c r="Q178" s="13" t="str">
        <f>IF(OR('实盘净值数据(iFinD）'!$A178="",'实盘净值数据(iFinD）'!$B178="",'实盘净值数据(iFinD）'!$Z178="",'实盘净值数据(iFinD）'!$AA178=""),"",分期持仓明细!$AB$25*(SUMPRODUCT(分期持仓明细!$B$25:$Y$25,'实盘净值数据(iFinD）'!$B178:$Y178/'实盘净值数据(iFinD）'!$B$65:$Y$65)+SUMPRODUCT(分期持仓明细!$AC$25:$AD$25,'实盘净值数据(iFinD）'!$Z178:$AA178/'实盘净值数据(iFinD）'!$Z$65:$AA$65))*(1-实盘持仓初始配置!$Z$9)^(('实盘净值数据(iFinD）'!$A178-'实盘净值数据(iFinD）'!$A$8)/365))</f>
        <v/>
      </c>
      <c r="R178" s="16" t="str">
        <f t="shared" si="17"/>
        <v/>
      </c>
      <c r="S178" s="16" t="str">
        <f>IF(Q178="","",Q178/MAX(Q$5:Q178)-1)</f>
        <v/>
      </c>
      <c r="T178" s="13">
        <f>IF(OR('实盘净值数据(iFinD）'!$A178="",'实盘净值数据(iFinD）'!$B178="",'实盘净值数据(iFinD）'!$Z178="",'实盘净值数据(iFinD）'!$AA178="",'实盘净值数据(iFinD）'!$AB178="",'实盘净值数据(iFinD）'!$AL178=""),"",(SUMPRODUCT(分期持仓明细!$B$26:$Y$26,'实盘净值数据(iFinD）'!$B178:$Y178/'实盘净值数据(iFinD）'!$B$69:$Y$69)+SUMPRODUCT(分期持仓明细!$AC$26:$AD$26,'实盘净值数据(iFinD）'!$Z178:$AA178/'实盘净值数据(iFinD）'!$Z$69:$AA$69)+SUMPRODUCT(分期持仓明细!$AE$26:$AO$26,'实盘净值数据(iFinD）'!$AB178:$AL178/'实盘净值数据(iFinD）'!$AB$69:$AL$69))*(1-实盘持仓初始配置!$Z$10)^(('实盘净值数据(iFinD）'!$A178-'实盘净值数据(iFinD）'!$A$69)/365))</f>
        <v/>
      </c>
      <c r="U178" s="16">
        <f>IF(OR(T177="",T178=""),"",T178/T177-1)</f>
        <v/>
      </c>
      <c r="V178" s="16">
        <f>IF(T178="","",T178/MAX(T$5:T178)-1)</f>
        <v/>
      </c>
    </row>
    <row r="179" spans="1:19">
      <c r="A179" s="15" t="str">
        <f>IF('实盘净值数据(iFinD）'!A179="","",'实盘净值数据(iFinD）'!A179)</f>
        <v/>
      </c>
      <c r="B179" s="13" t="str">
        <f>IF(OR('实盘净值数据(iFinD）'!$A179="",'实盘净值数据(iFinD）'!$B179=""),"",分期持仓明细!$AB$17*SUMPRODUCT(分期持仓明细!$B$17:$Y$17,'实盘净值数据(iFinD）'!$B179:$Y179/'实盘净值数据(iFinD）'!$B$20:$Y$20)*(1-实盘持仓初始配置!$Z$4)^(('实盘净值数据(iFinD）'!$A179-'实盘净值数据(iFinD）'!$A$6)/365))</f>
        <v/>
      </c>
      <c r="C179" s="16" t="str">
        <f t="shared" si="12"/>
        <v/>
      </c>
      <c r="D179" s="16" t="str">
        <f>IF(B179="","",B179/MAX(B$5:B179)-1)</f>
        <v/>
      </c>
      <c r="E179" s="13" t="str">
        <f>IF(OR('实盘净值数据(iFinD）'!$A179="",'实盘净值数据(iFinD）'!$B179=""),"",分期持仓明细!$AB$18*SUMPRODUCT(分期持仓明细!$B$18:$Y$18,'实盘净值数据(iFinD）'!$B179:$Y179/'实盘净值数据(iFinD）'!$B$20:$Y$20)*(1-实盘持仓初始配置!$Z$5)^(('实盘净值数据(iFinD）'!$A179-'实盘净值数据(iFinD）'!$A$5)/365))</f>
        <v/>
      </c>
      <c r="F179" s="16" t="str">
        <f t="shared" si="13"/>
        <v/>
      </c>
      <c r="G179" s="16" t="str">
        <f>IF(E179="","",E179/MAX(E$5:E179)-1)</f>
        <v/>
      </c>
      <c r="H179" s="13" t="str">
        <f>IF(OR('实盘净值数据(iFinD）'!$A179="",'实盘净值数据(iFinD）'!$B179=""),"",分期持仓明细!$AB$19*SUMPRODUCT(分期持仓明细!$B$19:$Y$19,'实盘净值数据(iFinD）'!$B179:$Y179/'实盘净值数据(iFinD）'!$B$20:$Y$20)*(1-实盘持仓初始配置!$Z$6)^(('实盘净值数据(iFinD）'!$A179-'实盘净值数据(iFinD）'!$A$7)/365))</f>
        <v/>
      </c>
      <c r="I179" s="16" t="str">
        <f t="shared" si="14"/>
        <v/>
      </c>
      <c r="J179" s="16" t="str">
        <f>IF(H179="","",H179/MAX(H$5:H179)-1)</f>
        <v/>
      </c>
      <c r="K179" s="13" t="str">
        <f>IF(OR('实盘净值数据(iFinD）'!$A179="",'实盘净值数据(iFinD）'!$B179="",'实盘净值数据(iFinD）'!$Z179="",'实盘净值数据(iFinD）'!$AA179=""),"",分期持仓明细!$AB$23*(SUMPRODUCT(分期持仓明细!$B$23:$Y$23,'实盘净值数据(iFinD）'!$B179:$Y179/'实盘净值数据(iFinD）'!$B$65:$Y$65)+SUMPRODUCT(分期持仓明细!$AC$23:$AD$23,'实盘净值数据(iFinD）'!$Z179:$AA179/'实盘净值数据(iFinD）'!$Z$65:$AA$65))*(1-实盘持仓初始配置!$Z$7)^(('实盘净值数据(iFinD）'!$A179-'实盘净值数据(iFinD）'!$A$8)/365))</f>
        <v/>
      </c>
      <c r="L179" s="16" t="str">
        <f t="shared" si="15"/>
        <v/>
      </c>
      <c r="M179" s="16" t="str">
        <f>IF(K179="","",K179/MAX(K$5:K179)-1)</f>
        <v/>
      </c>
      <c r="N179" s="13" t="str">
        <f>IF(OR('实盘净值数据(iFinD）'!$A179="",'实盘净值数据(iFinD）'!$B179="",'实盘净值数据(iFinD）'!$Z179="",'实盘净值数据(iFinD）'!$AA179=""),"",分期持仓明细!$AB$24*(SUMPRODUCT(分期持仓明细!$B$24:$Y$24,'实盘净值数据(iFinD）'!$B179:$Y179/'实盘净值数据(iFinD）'!$B$65:$Y$65)+SUMPRODUCT(分期持仓明细!$AC$24:$AD$24,'实盘净值数据(iFinD）'!$Z179:$AA179/'实盘净值数据(iFinD）'!$Z$65:$AA$65))*(1-实盘持仓初始配置!$Z$8)^(('实盘净值数据(iFinD）'!$A179-'实盘净值数据(iFinD）'!$A$5)/365))</f>
        <v/>
      </c>
      <c r="O179" s="16" t="str">
        <f t="shared" si="16"/>
        <v/>
      </c>
      <c r="P179" s="16" t="str">
        <f>IF(N179="","",N179/MAX(N$5:N179)-1)</f>
        <v/>
      </c>
      <c r="Q179" s="13" t="str">
        <f>IF(OR('实盘净值数据(iFinD）'!$A179="",'实盘净值数据(iFinD）'!$B179="",'实盘净值数据(iFinD）'!$Z179="",'实盘净值数据(iFinD）'!$AA179=""),"",分期持仓明细!$AB$25*(SUMPRODUCT(分期持仓明细!$B$25:$Y$25,'实盘净值数据(iFinD）'!$B179:$Y179/'实盘净值数据(iFinD）'!$B$65:$Y$65)+SUMPRODUCT(分期持仓明细!$AC$25:$AD$25,'实盘净值数据(iFinD）'!$Z179:$AA179/'实盘净值数据(iFinD）'!$Z$65:$AA$65))*(1-实盘持仓初始配置!$Z$9)^(('实盘净值数据(iFinD）'!$A179-'实盘净值数据(iFinD）'!$A$8)/365))</f>
        <v/>
      </c>
      <c r="R179" s="16" t="str">
        <f t="shared" si="17"/>
        <v/>
      </c>
      <c r="S179" s="16" t="str">
        <f>IF(Q179="","",Q179/MAX(Q$5:Q179)-1)</f>
        <v/>
      </c>
      <c r="T179" s="13">
        <f>IF(OR('实盘净值数据(iFinD）'!$A179="",'实盘净值数据(iFinD）'!$B179="",'实盘净值数据(iFinD）'!$Z179="",'实盘净值数据(iFinD）'!$AA179="",'实盘净值数据(iFinD）'!$AB179="",'实盘净值数据(iFinD）'!$AL179=""),"",(SUMPRODUCT(分期持仓明细!$B$26:$Y$26,'实盘净值数据(iFinD）'!$B179:$Y179/'实盘净值数据(iFinD）'!$B$69:$Y$69)+SUMPRODUCT(分期持仓明细!$AC$26:$AD$26,'实盘净值数据(iFinD）'!$Z179:$AA179/'实盘净值数据(iFinD）'!$Z$69:$AA$69)+SUMPRODUCT(分期持仓明细!$AE$26:$AO$26,'实盘净值数据(iFinD）'!$AB179:$AL179/'实盘净值数据(iFinD）'!$AB$69:$AL$69))*(1-实盘持仓初始配置!$Z$10)^(('实盘净值数据(iFinD）'!$A179-'实盘净值数据(iFinD）'!$A$69)/365))</f>
        <v/>
      </c>
      <c r="U179" s="16">
        <f>IF(OR(T178="",T179=""),"",T179/T178-1)</f>
        <v/>
      </c>
      <c r="V179" s="16">
        <f>IF(T179="","",T179/MAX(T$5:T179)-1)</f>
        <v/>
      </c>
    </row>
    <row r="180" spans="1:19">
      <c r="A180" s="15" t="str">
        <f>IF('实盘净值数据(iFinD）'!A180="","",'实盘净值数据(iFinD）'!A180)</f>
        <v/>
      </c>
      <c r="B180" s="13" t="str">
        <f>IF(OR('实盘净值数据(iFinD）'!$A180="",'实盘净值数据(iFinD）'!$B180=""),"",分期持仓明细!$AB$17*SUMPRODUCT(分期持仓明细!$B$17:$Y$17,'实盘净值数据(iFinD）'!$B180:$Y180/'实盘净值数据(iFinD）'!$B$20:$Y$20)*(1-实盘持仓初始配置!$Z$4)^(('实盘净值数据(iFinD）'!$A180-'实盘净值数据(iFinD）'!$A$6)/365))</f>
        <v/>
      </c>
      <c r="C180" s="16" t="str">
        <f t="shared" si="12"/>
        <v/>
      </c>
      <c r="D180" s="16" t="str">
        <f>IF(B180="","",B180/MAX(B$5:B180)-1)</f>
        <v/>
      </c>
      <c r="E180" s="13" t="str">
        <f>IF(OR('实盘净值数据(iFinD）'!$A180="",'实盘净值数据(iFinD）'!$B180=""),"",分期持仓明细!$AB$18*SUMPRODUCT(分期持仓明细!$B$18:$Y$18,'实盘净值数据(iFinD）'!$B180:$Y180/'实盘净值数据(iFinD）'!$B$20:$Y$20)*(1-实盘持仓初始配置!$Z$5)^(('实盘净值数据(iFinD）'!$A180-'实盘净值数据(iFinD）'!$A$5)/365))</f>
        <v/>
      </c>
      <c r="F180" s="16" t="str">
        <f t="shared" si="13"/>
        <v/>
      </c>
      <c r="G180" s="16" t="str">
        <f>IF(E180="","",E180/MAX(E$5:E180)-1)</f>
        <v/>
      </c>
      <c r="H180" s="13" t="str">
        <f>IF(OR('实盘净值数据(iFinD）'!$A180="",'实盘净值数据(iFinD）'!$B180=""),"",分期持仓明细!$AB$19*SUMPRODUCT(分期持仓明细!$B$19:$Y$19,'实盘净值数据(iFinD）'!$B180:$Y180/'实盘净值数据(iFinD）'!$B$20:$Y$20)*(1-实盘持仓初始配置!$Z$6)^(('实盘净值数据(iFinD）'!$A180-'实盘净值数据(iFinD）'!$A$7)/365))</f>
        <v/>
      </c>
      <c r="I180" s="16" t="str">
        <f t="shared" si="14"/>
        <v/>
      </c>
      <c r="J180" s="16" t="str">
        <f>IF(H180="","",H180/MAX(H$5:H180)-1)</f>
        <v/>
      </c>
      <c r="K180" s="13" t="str">
        <f>IF(OR('实盘净值数据(iFinD）'!$A180="",'实盘净值数据(iFinD）'!$B180="",'实盘净值数据(iFinD）'!$Z180="",'实盘净值数据(iFinD）'!$AA180=""),"",分期持仓明细!$AB$23*(SUMPRODUCT(分期持仓明细!$B$23:$Y$23,'实盘净值数据(iFinD）'!$B180:$Y180/'实盘净值数据(iFinD）'!$B$65:$Y$65)+SUMPRODUCT(分期持仓明细!$AC$23:$AD$23,'实盘净值数据(iFinD）'!$Z180:$AA180/'实盘净值数据(iFinD）'!$Z$65:$AA$65))*(1-实盘持仓初始配置!$Z$7)^(('实盘净值数据(iFinD）'!$A180-'实盘净值数据(iFinD）'!$A$8)/365))</f>
        <v/>
      </c>
      <c r="L180" s="16" t="str">
        <f t="shared" si="15"/>
        <v/>
      </c>
      <c r="M180" s="16" t="str">
        <f>IF(K180="","",K180/MAX(K$5:K180)-1)</f>
        <v/>
      </c>
      <c r="N180" s="13" t="str">
        <f>IF(OR('实盘净值数据(iFinD）'!$A180="",'实盘净值数据(iFinD）'!$B180="",'实盘净值数据(iFinD）'!$Z180="",'实盘净值数据(iFinD）'!$AA180=""),"",分期持仓明细!$AB$24*(SUMPRODUCT(分期持仓明细!$B$24:$Y$24,'实盘净值数据(iFinD）'!$B180:$Y180/'实盘净值数据(iFinD）'!$B$65:$Y$65)+SUMPRODUCT(分期持仓明细!$AC$24:$AD$24,'实盘净值数据(iFinD）'!$Z180:$AA180/'实盘净值数据(iFinD）'!$Z$65:$AA$65))*(1-实盘持仓初始配置!$Z$8)^(('实盘净值数据(iFinD）'!$A180-'实盘净值数据(iFinD）'!$A$5)/365))</f>
        <v/>
      </c>
      <c r="O180" s="16" t="str">
        <f t="shared" si="16"/>
        <v/>
      </c>
      <c r="P180" s="16" t="str">
        <f>IF(N180="","",N180/MAX(N$5:N180)-1)</f>
        <v/>
      </c>
      <c r="Q180" s="13" t="str">
        <f>IF(OR('实盘净值数据(iFinD）'!$A180="",'实盘净值数据(iFinD）'!$B180="",'实盘净值数据(iFinD）'!$Z180="",'实盘净值数据(iFinD）'!$AA180=""),"",分期持仓明细!$AB$25*(SUMPRODUCT(分期持仓明细!$B$25:$Y$25,'实盘净值数据(iFinD）'!$B180:$Y180/'实盘净值数据(iFinD）'!$B$65:$Y$65)+SUMPRODUCT(分期持仓明细!$AC$25:$AD$25,'实盘净值数据(iFinD）'!$Z180:$AA180/'实盘净值数据(iFinD）'!$Z$65:$AA$65))*(1-实盘持仓初始配置!$Z$9)^(('实盘净值数据(iFinD）'!$A180-'实盘净值数据(iFinD）'!$A$8)/365))</f>
        <v/>
      </c>
      <c r="R180" s="16" t="str">
        <f t="shared" si="17"/>
        <v/>
      </c>
      <c r="S180" s="16" t="str">
        <f>IF(Q180="","",Q180/MAX(Q$5:Q180)-1)</f>
        <v/>
      </c>
      <c r="T180" s="13">
        <f>IF(OR('实盘净值数据(iFinD）'!$A180="",'实盘净值数据(iFinD）'!$B180="",'实盘净值数据(iFinD）'!$Z180="",'实盘净值数据(iFinD）'!$AA180="",'实盘净值数据(iFinD）'!$AB180="",'实盘净值数据(iFinD）'!$AL180=""),"",(SUMPRODUCT(分期持仓明细!$B$26:$Y$26,'实盘净值数据(iFinD）'!$B180:$Y180/'实盘净值数据(iFinD）'!$B$69:$Y$69)+SUMPRODUCT(分期持仓明细!$AC$26:$AD$26,'实盘净值数据(iFinD）'!$Z180:$AA180/'实盘净值数据(iFinD）'!$Z$69:$AA$69)+SUMPRODUCT(分期持仓明细!$AE$26:$AO$26,'实盘净值数据(iFinD）'!$AB180:$AL180/'实盘净值数据(iFinD）'!$AB$69:$AL$69))*(1-实盘持仓初始配置!$Z$10)^(('实盘净值数据(iFinD）'!$A180-'实盘净值数据(iFinD）'!$A$69)/365))</f>
        <v/>
      </c>
      <c r="U180" s="16">
        <f>IF(OR(T179="",T180=""),"",T180/T179-1)</f>
        <v/>
      </c>
      <c r="V180" s="16">
        <f>IF(T180="","",T180/MAX(T$5:T180)-1)</f>
        <v/>
      </c>
    </row>
    <row r="181" spans="1:19">
      <c r="A181" s="15" t="str">
        <f>IF('实盘净值数据(iFinD）'!A181="","",'实盘净值数据(iFinD）'!A181)</f>
        <v/>
      </c>
      <c r="B181" s="13" t="str">
        <f>IF(OR('实盘净值数据(iFinD）'!$A181="",'实盘净值数据(iFinD）'!$B181=""),"",分期持仓明细!$AB$17*SUMPRODUCT(分期持仓明细!$B$17:$Y$17,'实盘净值数据(iFinD）'!$B181:$Y181/'实盘净值数据(iFinD）'!$B$20:$Y$20)*(1-实盘持仓初始配置!$Z$4)^(('实盘净值数据(iFinD）'!$A181-'实盘净值数据(iFinD）'!$A$6)/365))</f>
        <v/>
      </c>
      <c r="C181" s="16" t="str">
        <f t="shared" si="12"/>
        <v/>
      </c>
      <c r="D181" s="16" t="str">
        <f>IF(B181="","",B181/MAX(B$5:B181)-1)</f>
        <v/>
      </c>
      <c r="E181" s="13" t="str">
        <f>IF(OR('实盘净值数据(iFinD）'!$A181="",'实盘净值数据(iFinD）'!$B181=""),"",分期持仓明细!$AB$18*SUMPRODUCT(分期持仓明细!$B$18:$Y$18,'实盘净值数据(iFinD）'!$B181:$Y181/'实盘净值数据(iFinD）'!$B$20:$Y$20)*(1-实盘持仓初始配置!$Z$5)^(('实盘净值数据(iFinD）'!$A181-'实盘净值数据(iFinD）'!$A$5)/365))</f>
        <v/>
      </c>
      <c r="F181" s="16" t="str">
        <f t="shared" si="13"/>
        <v/>
      </c>
      <c r="G181" s="16" t="str">
        <f>IF(E181="","",E181/MAX(E$5:E181)-1)</f>
        <v/>
      </c>
      <c r="H181" s="13" t="str">
        <f>IF(OR('实盘净值数据(iFinD）'!$A181="",'实盘净值数据(iFinD）'!$B181=""),"",分期持仓明细!$AB$19*SUMPRODUCT(分期持仓明细!$B$19:$Y$19,'实盘净值数据(iFinD）'!$B181:$Y181/'实盘净值数据(iFinD）'!$B$20:$Y$20)*(1-实盘持仓初始配置!$Z$6)^(('实盘净值数据(iFinD）'!$A181-'实盘净值数据(iFinD）'!$A$7)/365))</f>
        <v/>
      </c>
      <c r="I181" s="16" t="str">
        <f t="shared" si="14"/>
        <v/>
      </c>
      <c r="J181" s="16" t="str">
        <f>IF(H181="","",H181/MAX(H$5:H181)-1)</f>
        <v/>
      </c>
      <c r="K181" s="13" t="str">
        <f>IF(OR('实盘净值数据(iFinD）'!$A181="",'实盘净值数据(iFinD）'!$B181="",'实盘净值数据(iFinD）'!$Z181="",'实盘净值数据(iFinD）'!$AA181=""),"",分期持仓明细!$AB$23*(SUMPRODUCT(分期持仓明细!$B$23:$Y$23,'实盘净值数据(iFinD）'!$B181:$Y181/'实盘净值数据(iFinD）'!$B$65:$Y$65)+SUMPRODUCT(分期持仓明细!$AC$23:$AD$23,'实盘净值数据(iFinD）'!$Z181:$AA181/'实盘净值数据(iFinD）'!$Z$65:$AA$65))*(1-实盘持仓初始配置!$Z$7)^(('实盘净值数据(iFinD）'!$A181-'实盘净值数据(iFinD）'!$A$8)/365))</f>
        <v/>
      </c>
      <c r="L181" s="16" t="str">
        <f t="shared" si="15"/>
        <v/>
      </c>
      <c r="M181" s="16" t="str">
        <f>IF(K181="","",K181/MAX(K$5:K181)-1)</f>
        <v/>
      </c>
      <c r="N181" s="13" t="str">
        <f>IF(OR('实盘净值数据(iFinD）'!$A181="",'实盘净值数据(iFinD）'!$B181="",'实盘净值数据(iFinD）'!$Z181="",'实盘净值数据(iFinD）'!$AA181=""),"",分期持仓明细!$AB$24*(SUMPRODUCT(分期持仓明细!$B$24:$Y$24,'实盘净值数据(iFinD）'!$B181:$Y181/'实盘净值数据(iFinD）'!$B$65:$Y$65)+SUMPRODUCT(分期持仓明细!$AC$24:$AD$24,'实盘净值数据(iFinD）'!$Z181:$AA181/'实盘净值数据(iFinD）'!$Z$65:$AA$65))*(1-实盘持仓初始配置!$Z$8)^(('实盘净值数据(iFinD）'!$A181-'实盘净值数据(iFinD）'!$A$5)/365))</f>
        <v/>
      </c>
      <c r="O181" s="16" t="str">
        <f t="shared" si="16"/>
        <v/>
      </c>
      <c r="P181" s="16" t="str">
        <f>IF(N181="","",N181/MAX(N$5:N181)-1)</f>
        <v/>
      </c>
      <c r="Q181" s="13" t="str">
        <f>IF(OR('实盘净值数据(iFinD）'!$A181="",'实盘净值数据(iFinD）'!$B181="",'实盘净值数据(iFinD）'!$Z181="",'实盘净值数据(iFinD）'!$AA181=""),"",分期持仓明细!$AB$25*(SUMPRODUCT(分期持仓明细!$B$25:$Y$25,'实盘净值数据(iFinD）'!$B181:$Y181/'实盘净值数据(iFinD）'!$B$65:$Y$65)+SUMPRODUCT(分期持仓明细!$AC$25:$AD$25,'实盘净值数据(iFinD）'!$Z181:$AA181/'实盘净值数据(iFinD）'!$Z$65:$AA$65))*(1-实盘持仓初始配置!$Z$9)^(('实盘净值数据(iFinD）'!$A181-'实盘净值数据(iFinD）'!$A$8)/365))</f>
        <v/>
      </c>
      <c r="R181" s="16" t="str">
        <f t="shared" si="17"/>
        <v/>
      </c>
      <c r="S181" s="16" t="str">
        <f>IF(Q181="","",Q181/MAX(Q$5:Q181)-1)</f>
        <v/>
      </c>
      <c r="T181" s="13">
        <f>IF(OR('实盘净值数据(iFinD）'!$A181="",'实盘净值数据(iFinD）'!$B181="",'实盘净值数据(iFinD）'!$Z181="",'实盘净值数据(iFinD）'!$AA181="",'实盘净值数据(iFinD）'!$AB181="",'实盘净值数据(iFinD）'!$AL181=""),"",(SUMPRODUCT(分期持仓明细!$B$26:$Y$26,'实盘净值数据(iFinD）'!$B181:$Y181/'实盘净值数据(iFinD）'!$B$69:$Y$69)+SUMPRODUCT(分期持仓明细!$AC$26:$AD$26,'实盘净值数据(iFinD）'!$Z181:$AA181/'实盘净值数据(iFinD）'!$Z$69:$AA$69)+SUMPRODUCT(分期持仓明细!$AE$26:$AO$26,'实盘净值数据(iFinD）'!$AB181:$AL181/'实盘净值数据(iFinD）'!$AB$69:$AL$69))*(1-实盘持仓初始配置!$Z$10)^(('实盘净值数据(iFinD）'!$A181-'实盘净值数据(iFinD）'!$A$69)/365))</f>
        <v/>
      </c>
      <c r="U181" s="16">
        <f>IF(OR(T180="",T181=""),"",T181/T180-1)</f>
        <v/>
      </c>
      <c r="V181" s="16">
        <f>IF(T181="","",T181/MAX(T$5:T181)-1)</f>
        <v/>
      </c>
    </row>
    <row r="182" spans="1:19">
      <c r="A182" s="15" t="str">
        <f>IF('实盘净值数据(iFinD）'!A182="","",'实盘净值数据(iFinD）'!A182)</f>
        <v/>
      </c>
      <c r="B182" s="13" t="str">
        <f>IF(OR('实盘净值数据(iFinD）'!$A182="",'实盘净值数据(iFinD）'!$B182=""),"",分期持仓明细!$AB$17*SUMPRODUCT(分期持仓明细!$B$17:$Y$17,'实盘净值数据(iFinD）'!$B182:$Y182/'实盘净值数据(iFinD）'!$B$20:$Y$20)*(1-实盘持仓初始配置!$Z$4)^(('实盘净值数据(iFinD）'!$A182-'实盘净值数据(iFinD）'!$A$6)/365))</f>
        <v/>
      </c>
      <c r="C182" s="16" t="str">
        <f t="shared" si="12"/>
        <v/>
      </c>
      <c r="D182" s="16" t="str">
        <f>IF(B182="","",B182/MAX(B$5:B182)-1)</f>
        <v/>
      </c>
      <c r="E182" s="13" t="str">
        <f>IF(OR('实盘净值数据(iFinD）'!$A182="",'实盘净值数据(iFinD）'!$B182=""),"",分期持仓明细!$AB$18*SUMPRODUCT(分期持仓明细!$B$18:$Y$18,'实盘净值数据(iFinD）'!$B182:$Y182/'实盘净值数据(iFinD）'!$B$20:$Y$20)*(1-实盘持仓初始配置!$Z$5)^(('实盘净值数据(iFinD）'!$A182-'实盘净值数据(iFinD）'!$A$5)/365))</f>
        <v/>
      </c>
      <c r="F182" s="16" t="str">
        <f t="shared" si="13"/>
        <v/>
      </c>
      <c r="G182" s="16" t="str">
        <f>IF(E182="","",E182/MAX(E$5:E182)-1)</f>
        <v/>
      </c>
      <c r="H182" s="13" t="str">
        <f>IF(OR('实盘净值数据(iFinD）'!$A182="",'实盘净值数据(iFinD）'!$B182=""),"",分期持仓明细!$AB$19*SUMPRODUCT(分期持仓明细!$B$19:$Y$19,'实盘净值数据(iFinD）'!$B182:$Y182/'实盘净值数据(iFinD）'!$B$20:$Y$20)*(1-实盘持仓初始配置!$Z$6)^(('实盘净值数据(iFinD）'!$A182-'实盘净值数据(iFinD）'!$A$7)/365))</f>
        <v/>
      </c>
      <c r="I182" s="16" t="str">
        <f t="shared" si="14"/>
        <v/>
      </c>
      <c r="J182" s="16" t="str">
        <f>IF(H182="","",H182/MAX(H$5:H182)-1)</f>
        <v/>
      </c>
      <c r="K182" s="13" t="str">
        <f>IF(OR('实盘净值数据(iFinD）'!$A182="",'实盘净值数据(iFinD）'!$B182="",'实盘净值数据(iFinD）'!$Z182="",'实盘净值数据(iFinD）'!$AA182=""),"",分期持仓明细!$AB$23*(SUMPRODUCT(分期持仓明细!$B$23:$Y$23,'实盘净值数据(iFinD）'!$B182:$Y182/'实盘净值数据(iFinD）'!$B$65:$Y$65)+SUMPRODUCT(分期持仓明细!$AC$23:$AD$23,'实盘净值数据(iFinD）'!$Z182:$AA182/'实盘净值数据(iFinD）'!$Z$65:$AA$65))*(1-实盘持仓初始配置!$Z$7)^(('实盘净值数据(iFinD）'!$A182-'实盘净值数据(iFinD）'!$A$8)/365))</f>
        <v/>
      </c>
      <c r="L182" s="16" t="str">
        <f t="shared" si="15"/>
        <v/>
      </c>
      <c r="M182" s="16" t="str">
        <f>IF(K182="","",K182/MAX(K$5:K182)-1)</f>
        <v/>
      </c>
      <c r="N182" s="13" t="str">
        <f>IF(OR('实盘净值数据(iFinD）'!$A182="",'实盘净值数据(iFinD）'!$B182="",'实盘净值数据(iFinD）'!$Z182="",'实盘净值数据(iFinD）'!$AA182=""),"",分期持仓明细!$AB$24*(SUMPRODUCT(分期持仓明细!$B$24:$Y$24,'实盘净值数据(iFinD）'!$B182:$Y182/'实盘净值数据(iFinD）'!$B$65:$Y$65)+SUMPRODUCT(分期持仓明细!$AC$24:$AD$24,'实盘净值数据(iFinD）'!$Z182:$AA182/'实盘净值数据(iFinD）'!$Z$65:$AA$65))*(1-实盘持仓初始配置!$Z$8)^(('实盘净值数据(iFinD）'!$A182-'实盘净值数据(iFinD）'!$A$5)/365))</f>
        <v/>
      </c>
      <c r="O182" s="16" t="str">
        <f t="shared" si="16"/>
        <v/>
      </c>
      <c r="P182" s="16" t="str">
        <f>IF(N182="","",N182/MAX(N$5:N182)-1)</f>
        <v/>
      </c>
      <c r="Q182" s="13" t="str">
        <f>IF(OR('实盘净值数据(iFinD）'!$A182="",'实盘净值数据(iFinD）'!$B182="",'实盘净值数据(iFinD）'!$Z182="",'实盘净值数据(iFinD）'!$AA182=""),"",分期持仓明细!$AB$25*(SUMPRODUCT(分期持仓明细!$B$25:$Y$25,'实盘净值数据(iFinD）'!$B182:$Y182/'实盘净值数据(iFinD）'!$B$65:$Y$65)+SUMPRODUCT(分期持仓明细!$AC$25:$AD$25,'实盘净值数据(iFinD）'!$Z182:$AA182/'实盘净值数据(iFinD）'!$Z$65:$AA$65))*(1-实盘持仓初始配置!$Z$9)^(('实盘净值数据(iFinD）'!$A182-'实盘净值数据(iFinD）'!$A$8)/365))</f>
        <v/>
      </c>
      <c r="R182" s="16" t="str">
        <f t="shared" si="17"/>
        <v/>
      </c>
      <c r="S182" s="16" t="str">
        <f>IF(Q182="","",Q182/MAX(Q$5:Q182)-1)</f>
        <v/>
      </c>
      <c r="T182" s="13">
        <f>IF(OR('实盘净值数据(iFinD）'!$A182="",'实盘净值数据(iFinD）'!$B182="",'实盘净值数据(iFinD）'!$Z182="",'实盘净值数据(iFinD）'!$AA182="",'实盘净值数据(iFinD）'!$AB182="",'实盘净值数据(iFinD）'!$AL182=""),"",(SUMPRODUCT(分期持仓明细!$B$26:$Y$26,'实盘净值数据(iFinD）'!$B182:$Y182/'实盘净值数据(iFinD）'!$B$69:$Y$69)+SUMPRODUCT(分期持仓明细!$AC$26:$AD$26,'实盘净值数据(iFinD）'!$Z182:$AA182/'实盘净值数据(iFinD）'!$Z$69:$AA$69)+SUMPRODUCT(分期持仓明细!$AE$26:$AO$26,'实盘净值数据(iFinD）'!$AB182:$AL182/'实盘净值数据(iFinD）'!$AB$69:$AL$69))*(1-实盘持仓初始配置!$Z$10)^(('实盘净值数据(iFinD）'!$A182-'实盘净值数据(iFinD）'!$A$69)/365))</f>
        <v/>
      </c>
      <c r="U182" s="16">
        <f>IF(OR(T181="",T182=""),"",T182/T181-1)</f>
        <v/>
      </c>
      <c r="V182" s="16">
        <f>IF(T182="","",T182/MAX(T$5:T182)-1)</f>
        <v/>
      </c>
    </row>
    <row r="183" spans="1:19">
      <c r="A183" s="15" t="str">
        <f>IF('实盘净值数据(iFinD）'!A183="","",'实盘净值数据(iFinD）'!A183)</f>
        <v/>
      </c>
      <c r="B183" s="13" t="str">
        <f>IF(OR('实盘净值数据(iFinD）'!$A183="",'实盘净值数据(iFinD）'!$B183=""),"",分期持仓明细!$AB$17*SUMPRODUCT(分期持仓明细!$B$17:$Y$17,'实盘净值数据(iFinD）'!$B183:$Y183/'实盘净值数据(iFinD）'!$B$20:$Y$20)*(1-实盘持仓初始配置!$Z$4)^(('实盘净值数据(iFinD）'!$A183-'实盘净值数据(iFinD）'!$A$6)/365))</f>
        <v/>
      </c>
      <c r="C183" s="16" t="str">
        <f t="shared" si="12"/>
        <v/>
      </c>
      <c r="D183" s="16" t="str">
        <f>IF(B183="","",B183/MAX(B$5:B183)-1)</f>
        <v/>
      </c>
      <c r="E183" s="13" t="str">
        <f>IF(OR('实盘净值数据(iFinD）'!$A183="",'实盘净值数据(iFinD）'!$B183=""),"",分期持仓明细!$AB$18*SUMPRODUCT(分期持仓明细!$B$18:$Y$18,'实盘净值数据(iFinD）'!$B183:$Y183/'实盘净值数据(iFinD）'!$B$20:$Y$20)*(1-实盘持仓初始配置!$Z$5)^(('实盘净值数据(iFinD）'!$A183-'实盘净值数据(iFinD）'!$A$5)/365))</f>
        <v/>
      </c>
      <c r="F183" s="16" t="str">
        <f t="shared" si="13"/>
        <v/>
      </c>
      <c r="G183" s="16" t="str">
        <f>IF(E183="","",E183/MAX(E$5:E183)-1)</f>
        <v/>
      </c>
      <c r="H183" s="13" t="str">
        <f>IF(OR('实盘净值数据(iFinD）'!$A183="",'实盘净值数据(iFinD）'!$B183=""),"",分期持仓明细!$AB$19*SUMPRODUCT(分期持仓明细!$B$19:$Y$19,'实盘净值数据(iFinD）'!$B183:$Y183/'实盘净值数据(iFinD）'!$B$20:$Y$20)*(1-实盘持仓初始配置!$Z$6)^(('实盘净值数据(iFinD）'!$A183-'实盘净值数据(iFinD）'!$A$7)/365))</f>
        <v/>
      </c>
      <c r="I183" s="16" t="str">
        <f t="shared" si="14"/>
        <v/>
      </c>
      <c r="J183" s="16" t="str">
        <f>IF(H183="","",H183/MAX(H$5:H183)-1)</f>
        <v/>
      </c>
      <c r="K183" s="13" t="str">
        <f>IF(OR('实盘净值数据(iFinD）'!$A183="",'实盘净值数据(iFinD）'!$B183="",'实盘净值数据(iFinD）'!$Z183="",'实盘净值数据(iFinD）'!$AA183=""),"",分期持仓明细!$AB$23*(SUMPRODUCT(分期持仓明细!$B$23:$Y$23,'实盘净值数据(iFinD）'!$B183:$Y183/'实盘净值数据(iFinD）'!$B$65:$Y$65)+SUMPRODUCT(分期持仓明细!$AC$23:$AD$23,'实盘净值数据(iFinD）'!$Z183:$AA183/'实盘净值数据(iFinD）'!$Z$65:$AA$65))*(1-实盘持仓初始配置!$Z$7)^(('实盘净值数据(iFinD）'!$A183-'实盘净值数据(iFinD）'!$A$8)/365))</f>
        <v/>
      </c>
      <c r="L183" s="16" t="str">
        <f t="shared" si="15"/>
        <v/>
      </c>
      <c r="M183" s="16" t="str">
        <f>IF(K183="","",K183/MAX(K$5:K183)-1)</f>
        <v/>
      </c>
      <c r="N183" s="13" t="str">
        <f>IF(OR('实盘净值数据(iFinD）'!$A183="",'实盘净值数据(iFinD）'!$B183="",'实盘净值数据(iFinD）'!$Z183="",'实盘净值数据(iFinD）'!$AA183=""),"",分期持仓明细!$AB$24*(SUMPRODUCT(分期持仓明细!$B$24:$Y$24,'实盘净值数据(iFinD）'!$B183:$Y183/'实盘净值数据(iFinD）'!$B$65:$Y$65)+SUMPRODUCT(分期持仓明细!$AC$24:$AD$24,'实盘净值数据(iFinD）'!$Z183:$AA183/'实盘净值数据(iFinD）'!$Z$65:$AA$65))*(1-实盘持仓初始配置!$Z$8)^(('实盘净值数据(iFinD）'!$A183-'实盘净值数据(iFinD）'!$A$5)/365))</f>
        <v/>
      </c>
      <c r="O183" s="16" t="str">
        <f t="shared" si="16"/>
        <v/>
      </c>
      <c r="P183" s="16" t="str">
        <f>IF(N183="","",N183/MAX(N$5:N183)-1)</f>
        <v/>
      </c>
      <c r="Q183" s="13" t="str">
        <f>IF(OR('实盘净值数据(iFinD）'!$A183="",'实盘净值数据(iFinD）'!$B183="",'实盘净值数据(iFinD）'!$Z183="",'实盘净值数据(iFinD）'!$AA183=""),"",分期持仓明细!$AB$25*(SUMPRODUCT(分期持仓明细!$B$25:$Y$25,'实盘净值数据(iFinD）'!$B183:$Y183/'实盘净值数据(iFinD）'!$B$65:$Y$65)+SUMPRODUCT(分期持仓明细!$AC$25:$AD$25,'实盘净值数据(iFinD）'!$Z183:$AA183/'实盘净值数据(iFinD）'!$Z$65:$AA$65))*(1-实盘持仓初始配置!$Z$9)^(('实盘净值数据(iFinD）'!$A183-'实盘净值数据(iFinD）'!$A$8)/365))</f>
        <v/>
      </c>
      <c r="R183" s="16" t="str">
        <f t="shared" si="17"/>
        <v/>
      </c>
      <c r="S183" s="16" t="str">
        <f>IF(Q183="","",Q183/MAX(Q$5:Q183)-1)</f>
        <v/>
      </c>
      <c r="T183" s="13">
        <f>IF(OR('实盘净值数据(iFinD）'!$A183="",'实盘净值数据(iFinD）'!$B183="",'实盘净值数据(iFinD）'!$Z183="",'实盘净值数据(iFinD）'!$AA183="",'实盘净值数据(iFinD）'!$AB183="",'实盘净值数据(iFinD）'!$AL183=""),"",(SUMPRODUCT(分期持仓明细!$B$26:$Y$26,'实盘净值数据(iFinD）'!$B183:$Y183/'实盘净值数据(iFinD）'!$B$69:$Y$69)+SUMPRODUCT(分期持仓明细!$AC$26:$AD$26,'实盘净值数据(iFinD）'!$Z183:$AA183/'实盘净值数据(iFinD）'!$Z$69:$AA$69)+SUMPRODUCT(分期持仓明细!$AE$26:$AO$26,'实盘净值数据(iFinD）'!$AB183:$AL183/'实盘净值数据(iFinD）'!$AB$69:$AL$69))*(1-实盘持仓初始配置!$Z$10)^(('实盘净值数据(iFinD）'!$A183-'实盘净值数据(iFinD）'!$A$69)/365))</f>
        <v/>
      </c>
      <c r="U183" s="16">
        <f>IF(OR(T182="",T183=""),"",T183/T182-1)</f>
        <v/>
      </c>
      <c r="V183" s="16">
        <f>IF(T183="","",T183/MAX(T$5:T183)-1)</f>
        <v/>
      </c>
    </row>
    <row r="184" spans="1:19">
      <c r="A184" s="15" t="str">
        <f>IF('实盘净值数据(iFinD）'!A184="","",'实盘净值数据(iFinD）'!A184)</f>
        <v/>
      </c>
      <c r="B184" s="13" t="str">
        <f>IF(OR('实盘净值数据(iFinD）'!$A184="",'实盘净值数据(iFinD）'!$B184=""),"",分期持仓明细!$AB$17*SUMPRODUCT(分期持仓明细!$B$17:$Y$17,'实盘净值数据(iFinD）'!$B184:$Y184/'实盘净值数据(iFinD）'!$B$20:$Y$20)*(1-实盘持仓初始配置!$Z$4)^(('实盘净值数据(iFinD）'!$A184-'实盘净值数据(iFinD）'!$A$6)/365))</f>
        <v/>
      </c>
      <c r="C184" s="16" t="str">
        <f t="shared" si="12"/>
        <v/>
      </c>
      <c r="D184" s="16" t="str">
        <f>IF(B184="","",B184/MAX(B$5:B184)-1)</f>
        <v/>
      </c>
      <c r="E184" s="13" t="str">
        <f>IF(OR('实盘净值数据(iFinD）'!$A184="",'实盘净值数据(iFinD）'!$B184=""),"",分期持仓明细!$AB$18*SUMPRODUCT(分期持仓明细!$B$18:$Y$18,'实盘净值数据(iFinD）'!$B184:$Y184/'实盘净值数据(iFinD）'!$B$20:$Y$20)*(1-实盘持仓初始配置!$Z$5)^(('实盘净值数据(iFinD）'!$A184-'实盘净值数据(iFinD）'!$A$5)/365))</f>
        <v/>
      </c>
      <c r="F184" s="16" t="str">
        <f t="shared" si="13"/>
        <v/>
      </c>
      <c r="G184" s="16" t="str">
        <f>IF(E184="","",E184/MAX(E$5:E184)-1)</f>
        <v/>
      </c>
      <c r="H184" s="13" t="str">
        <f>IF(OR('实盘净值数据(iFinD）'!$A184="",'实盘净值数据(iFinD）'!$B184=""),"",分期持仓明细!$AB$19*SUMPRODUCT(分期持仓明细!$B$19:$Y$19,'实盘净值数据(iFinD）'!$B184:$Y184/'实盘净值数据(iFinD）'!$B$20:$Y$20)*(1-实盘持仓初始配置!$Z$6)^(('实盘净值数据(iFinD）'!$A184-'实盘净值数据(iFinD）'!$A$7)/365))</f>
        <v/>
      </c>
      <c r="I184" s="16" t="str">
        <f t="shared" si="14"/>
        <v/>
      </c>
      <c r="J184" s="16" t="str">
        <f>IF(H184="","",H184/MAX(H$5:H184)-1)</f>
        <v/>
      </c>
      <c r="K184" s="13" t="str">
        <f>IF(OR('实盘净值数据(iFinD）'!$A184="",'实盘净值数据(iFinD）'!$B184="",'实盘净值数据(iFinD）'!$Z184="",'实盘净值数据(iFinD）'!$AA184=""),"",分期持仓明细!$AB$23*(SUMPRODUCT(分期持仓明细!$B$23:$Y$23,'实盘净值数据(iFinD）'!$B184:$Y184/'实盘净值数据(iFinD）'!$B$65:$Y$65)+SUMPRODUCT(分期持仓明细!$AC$23:$AD$23,'实盘净值数据(iFinD）'!$Z184:$AA184/'实盘净值数据(iFinD）'!$Z$65:$AA$65))*(1-实盘持仓初始配置!$Z$7)^(('实盘净值数据(iFinD）'!$A184-'实盘净值数据(iFinD）'!$A$8)/365))</f>
        <v/>
      </c>
      <c r="L184" s="16" t="str">
        <f t="shared" si="15"/>
        <v/>
      </c>
      <c r="M184" s="16" t="str">
        <f>IF(K184="","",K184/MAX(K$5:K184)-1)</f>
        <v/>
      </c>
      <c r="N184" s="13" t="str">
        <f>IF(OR('实盘净值数据(iFinD）'!$A184="",'实盘净值数据(iFinD）'!$B184="",'实盘净值数据(iFinD）'!$Z184="",'实盘净值数据(iFinD）'!$AA184=""),"",分期持仓明细!$AB$24*(SUMPRODUCT(分期持仓明细!$B$24:$Y$24,'实盘净值数据(iFinD）'!$B184:$Y184/'实盘净值数据(iFinD）'!$B$65:$Y$65)+SUMPRODUCT(分期持仓明细!$AC$24:$AD$24,'实盘净值数据(iFinD）'!$Z184:$AA184/'实盘净值数据(iFinD）'!$Z$65:$AA$65))*(1-实盘持仓初始配置!$Z$8)^(('实盘净值数据(iFinD）'!$A184-'实盘净值数据(iFinD）'!$A$5)/365))</f>
        <v/>
      </c>
      <c r="O184" s="16" t="str">
        <f t="shared" si="16"/>
        <v/>
      </c>
      <c r="P184" s="16" t="str">
        <f>IF(N184="","",N184/MAX(N$5:N184)-1)</f>
        <v/>
      </c>
      <c r="Q184" s="13" t="str">
        <f>IF(OR('实盘净值数据(iFinD）'!$A184="",'实盘净值数据(iFinD）'!$B184="",'实盘净值数据(iFinD）'!$Z184="",'实盘净值数据(iFinD）'!$AA184=""),"",分期持仓明细!$AB$25*(SUMPRODUCT(分期持仓明细!$B$25:$Y$25,'实盘净值数据(iFinD）'!$B184:$Y184/'实盘净值数据(iFinD）'!$B$65:$Y$65)+SUMPRODUCT(分期持仓明细!$AC$25:$AD$25,'实盘净值数据(iFinD）'!$Z184:$AA184/'实盘净值数据(iFinD）'!$Z$65:$AA$65))*(1-实盘持仓初始配置!$Z$9)^(('实盘净值数据(iFinD）'!$A184-'实盘净值数据(iFinD）'!$A$8)/365))</f>
        <v/>
      </c>
      <c r="R184" s="16" t="str">
        <f t="shared" si="17"/>
        <v/>
      </c>
      <c r="S184" s="16" t="str">
        <f>IF(Q184="","",Q184/MAX(Q$5:Q184)-1)</f>
        <v/>
      </c>
      <c r="T184" s="13">
        <f>IF(OR('实盘净值数据(iFinD）'!$A184="",'实盘净值数据(iFinD）'!$B184="",'实盘净值数据(iFinD）'!$Z184="",'实盘净值数据(iFinD）'!$AA184="",'实盘净值数据(iFinD）'!$AB184="",'实盘净值数据(iFinD）'!$AL184=""),"",(SUMPRODUCT(分期持仓明细!$B$26:$Y$26,'实盘净值数据(iFinD）'!$B184:$Y184/'实盘净值数据(iFinD）'!$B$69:$Y$69)+SUMPRODUCT(分期持仓明细!$AC$26:$AD$26,'实盘净值数据(iFinD）'!$Z184:$AA184/'实盘净值数据(iFinD）'!$Z$69:$AA$69)+SUMPRODUCT(分期持仓明细!$AE$26:$AO$26,'实盘净值数据(iFinD）'!$AB184:$AL184/'实盘净值数据(iFinD）'!$AB$69:$AL$69))*(1-实盘持仓初始配置!$Z$10)^(('实盘净值数据(iFinD）'!$A184-'实盘净值数据(iFinD）'!$A$69)/365))</f>
        <v/>
      </c>
      <c r="U184" s="16">
        <f>IF(OR(T183="",T184=""),"",T184/T183-1)</f>
        <v/>
      </c>
      <c r="V184" s="16">
        <f>IF(T184="","",T184/MAX(T$5:T184)-1)</f>
        <v/>
      </c>
    </row>
    <row r="185" spans="1:19">
      <c r="A185" s="15" t="str">
        <f>IF('实盘净值数据(iFinD）'!A185="","",'实盘净值数据(iFinD）'!A185)</f>
        <v/>
      </c>
      <c r="B185" s="13" t="str">
        <f>IF(OR('实盘净值数据(iFinD）'!$A185="",'实盘净值数据(iFinD）'!$B185=""),"",分期持仓明细!$AB$17*SUMPRODUCT(分期持仓明细!$B$17:$Y$17,'实盘净值数据(iFinD）'!$B185:$Y185/'实盘净值数据(iFinD）'!$B$20:$Y$20)*(1-实盘持仓初始配置!$Z$4)^(('实盘净值数据(iFinD）'!$A185-'实盘净值数据(iFinD）'!$A$6)/365))</f>
        <v/>
      </c>
      <c r="C185" s="16" t="str">
        <f t="shared" si="12"/>
        <v/>
      </c>
      <c r="D185" s="16" t="str">
        <f>IF(B185="","",B185/MAX(B$5:B185)-1)</f>
        <v/>
      </c>
      <c r="E185" s="13" t="str">
        <f>IF(OR('实盘净值数据(iFinD）'!$A185="",'实盘净值数据(iFinD）'!$B185=""),"",分期持仓明细!$AB$18*SUMPRODUCT(分期持仓明细!$B$18:$Y$18,'实盘净值数据(iFinD）'!$B185:$Y185/'实盘净值数据(iFinD）'!$B$20:$Y$20)*(1-实盘持仓初始配置!$Z$5)^(('实盘净值数据(iFinD）'!$A185-'实盘净值数据(iFinD）'!$A$5)/365))</f>
        <v/>
      </c>
      <c r="F185" s="16" t="str">
        <f t="shared" si="13"/>
        <v/>
      </c>
      <c r="G185" s="16" t="str">
        <f>IF(E185="","",E185/MAX(E$5:E185)-1)</f>
        <v/>
      </c>
      <c r="H185" s="13" t="str">
        <f>IF(OR('实盘净值数据(iFinD）'!$A185="",'实盘净值数据(iFinD）'!$B185=""),"",分期持仓明细!$AB$19*SUMPRODUCT(分期持仓明细!$B$19:$Y$19,'实盘净值数据(iFinD）'!$B185:$Y185/'实盘净值数据(iFinD）'!$B$20:$Y$20)*(1-实盘持仓初始配置!$Z$6)^(('实盘净值数据(iFinD）'!$A185-'实盘净值数据(iFinD）'!$A$7)/365))</f>
        <v/>
      </c>
      <c r="I185" s="16" t="str">
        <f t="shared" si="14"/>
        <v/>
      </c>
      <c r="J185" s="16" t="str">
        <f>IF(H185="","",H185/MAX(H$5:H185)-1)</f>
        <v/>
      </c>
      <c r="K185" s="13" t="str">
        <f>IF(OR('实盘净值数据(iFinD）'!$A185="",'实盘净值数据(iFinD）'!$B185="",'实盘净值数据(iFinD）'!$Z185="",'实盘净值数据(iFinD）'!$AA185=""),"",分期持仓明细!$AB$23*(SUMPRODUCT(分期持仓明细!$B$23:$Y$23,'实盘净值数据(iFinD）'!$B185:$Y185/'实盘净值数据(iFinD）'!$B$65:$Y$65)+SUMPRODUCT(分期持仓明细!$AC$23:$AD$23,'实盘净值数据(iFinD）'!$Z185:$AA185/'实盘净值数据(iFinD）'!$Z$65:$AA$65))*(1-实盘持仓初始配置!$Z$7)^(('实盘净值数据(iFinD）'!$A185-'实盘净值数据(iFinD）'!$A$8)/365))</f>
        <v/>
      </c>
      <c r="L185" s="16" t="str">
        <f t="shared" si="15"/>
        <v/>
      </c>
      <c r="M185" s="16" t="str">
        <f>IF(K185="","",K185/MAX(K$5:K185)-1)</f>
        <v/>
      </c>
      <c r="N185" s="13" t="str">
        <f>IF(OR('实盘净值数据(iFinD）'!$A185="",'实盘净值数据(iFinD）'!$B185="",'实盘净值数据(iFinD）'!$Z185="",'实盘净值数据(iFinD）'!$AA185=""),"",分期持仓明细!$AB$24*(SUMPRODUCT(分期持仓明细!$B$24:$Y$24,'实盘净值数据(iFinD）'!$B185:$Y185/'实盘净值数据(iFinD）'!$B$65:$Y$65)+SUMPRODUCT(分期持仓明细!$AC$24:$AD$24,'实盘净值数据(iFinD）'!$Z185:$AA185/'实盘净值数据(iFinD）'!$Z$65:$AA$65))*(1-实盘持仓初始配置!$Z$8)^(('实盘净值数据(iFinD）'!$A185-'实盘净值数据(iFinD）'!$A$5)/365))</f>
        <v/>
      </c>
      <c r="O185" s="16" t="str">
        <f t="shared" si="16"/>
        <v/>
      </c>
      <c r="P185" s="16" t="str">
        <f>IF(N185="","",N185/MAX(N$5:N185)-1)</f>
        <v/>
      </c>
      <c r="Q185" s="13" t="str">
        <f>IF(OR('实盘净值数据(iFinD）'!$A185="",'实盘净值数据(iFinD）'!$B185="",'实盘净值数据(iFinD）'!$Z185="",'实盘净值数据(iFinD）'!$AA185=""),"",分期持仓明细!$AB$25*(SUMPRODUCT(分期持仓明细!$B$25:$Y$25,'实盘净值数据(iFinD）'!$B185:$Y185/'实盘净值数据(iFinD）'!$B$65:$Y$65)+SUMPRODUCT(分期持仓明细!$AC$25:$AD$25,'实盘净值数据(iFinD）'!$Z185:$AA185/'实盘净值数据(iFinD）'!$Z$65:$AA$65))*(1-实盘持仓初始配置!$Z$9)^(('实盘净值数据(iFinD）'!$A185-'实盘净值数据(iFinD）'!$A$8)/365))</f>
        <v/>
      </c>
      <c r="R185" s="16" t="str">
        <f t="shared" si="17"/>
        <v/>
      </c>
      <c r="S185" s="16" t="str">
        <f>IF(Q185="","",Q185/MAX(Q$5:Q185)-1)</f>
        <v/>
      </c>
      <c r="T185" s="13">
        <f>IF(OR('实盘净值数据(iFinD）'!$A185="",'实盘净值数据(iFinD）'!$B185="",'实盘净值数据(iFinD）'!$Z185="",'实盘净值数据(iFinD）'!$AA185="",'实盘净值数据(iFinD）'!$AB185="",'实盘净值数据(iFinD）'!$AL185=""),"",(SUMPRODUCT(分期持仓明细!$B$26:$Y$26,'实盘净值数据(iFinD）'!$B185:$Y185/'实盘净值数据(iFinD）'!$B$69:$Y$69)+SUMPRODUCT(分期持仓明细!$AC$26:$AD$26,'实盘净值数据(iFinD）'!$Z185:$AA185/'实盘净值数据(iFinD）'!$Z$69:$AA$69)+SUMPRODUCT(分期持仓明细!$AE$26:$AO$26,'实盘净值数据(iFinD）'!$AB185:$AL185/'实盘净值数据(iFinD）'!$AB$69:$AL$69))*(1-实盘持仓初始配置!$Z$10)^(('实盘净值数据(iFinD）'!$A185-'实盘净值数据(iFinD）'!$A$69)/365))</f>
        <v/>
      </c>
      <c r="U185" s="16">
        <f>IF(OR(T184="",T185=""),"",T185/T184-1)</f>
        <v/>
      </c>
      <c r="V185" s="16">
        <f>IF(T185="","",T185/MAX(T$5:T185)-1)</f>
        <v/>
      </c>
    </row>
    <row r="186" spans="1:19">
      <c r="A186" s="15" t="str">
        <f>IF('实盘净值数据(iFinD）'!A186="","",'实盘净值数据(iFinD）'!A186)</f>
        <v/>
      </c>
      <c r="B186" s="13" t="str">
        <f>IF(OR('实盘净值数据(iFinD）'!$A186="",'实盘净值数据(iFinD）'!$B186=""),"",分期持仓明细!$AB$17*SUMPRODUCT(分期持仓明细!$B$17:$Y$17,'实盘净值数据(iFinD）'!$B186:$Y186/'实盘净值数据(iFinD）'!$B$20:$Y$20)*(1-实盘持仓初始配置!$Z$4)^(('实盘净值数据(iFinD）'!$A186-'实盘净值数据(iFinD）'!$A$6)/365))</f>
        <v/>
      </c>
      <c r="C186" s="16" t="str">
        <f t="shared" si="12"/>
        <v/>
      </c>
      <c r="D186" s="16" t="str">
        <f>IF(B186="","",B186/MAX(B$5:B186)-1)</f>
        <v/>
      </c>
      <c r="E186" s="13" t="str">
        <f>IF(OR('实盘净值数据(iFinD）'!$A186="",'实盘净值数据(iFinD）'!$B186=""),"",分期持仓明细!$AB$18*SUMPRODUCT(分期持仓明细!$B$18:$Y$18,'实盘净值数据(iFinD）'!$B186:$Y186/'实盘净值数据(iFinD）'!$B$20:$Y$20)*(1-实盘持仓初始配置!$Z$5)^(('实盘净值数据(iFinD）'!$A186-'实盘净值数据(iFinD）'!$A$5)/365))</f>
        <v/>
      </c>
      <c r="F186" s="16" t="str">
        <f t="shared" si="13"/>
        <v/>
      </c>
      <c r="G186" s="16" t="str">
        <f>IF(E186="","",E186/MAX(E$5:E186)-1)</f>
        <v/>
      </c>
      <c r="H186" s="13" t="str">
        <f>IF(OR('实盘净值数据(iFinD）'!$A186="",'实盘净值数据(iFinD）'!$B186=""),"",分期持仓明细!$AB$19*SUMPRODUCT(分期持仓明细!$B$19:$Y$19,'实盘净值数据(iFinD）'!$B186:$Y186/'实盘净值数据(iFinD）'!$B$20:$Y$20)*(1-实盘持仓初始配置!$Z$6)^(('实盘净值数据(iFinD）'!$A186-'实盘净值数据(iFinD）'!$A$7)/365))</f>
        <v/>
      </c>
      <c r="I186" s="16" t="str">
        <f t="shared" si="14"/>
        <v/>
      </c>
      <c r="J186" s="16" t="str">
        <f>IF(H186="","",H186/MAX(H$5:H186)-1)</f>
        <v/>
      </c>
      <c r="K186" s="13" t="str">
        <f>IF(OR('实盘净值数据(iFinD）'!$A186="",'实盘净值数据(iFinD）'!$B186="",'实盘净值数据(iFinD）'!$Z186="",'实盘净值数据(iFinD）'!$AA186=""),"",分期持仓明细!$AB$23*(SUMPRODUCT(分期持仓明细!$B$23:$Y$23,'实盘净值数据(iFinD）'!$B186:$Y186/'实盘净值数据(iFinD）'!$B$65:$Y$65)+SUMPRODUCT(分期持仓明细!$AC$23:$AD$23,'实盘净值数据(iFinD）'!$Z186:$AA186/'实盘净值数据(iFinD）'!$Z$65:$AA$65))*(1-实盘持仓初始配置!$Z$7)^(('实盘净值数据(iFinD）'!$A186-'实盘净值数据(iFinD）'!$A$8)/365))</f>
        <v/>
      </c>
      <c r="L186" s="16" t="str">
        <f t="shared" si="15"/>
        <v/>
      </c>
      <c r="M186" s="16" t="str">
        <f>IF(K186="","",K186/MAX(K$5:K186)-1)</f>
        <v/>
      </c>
      <c r="N186" s="13" t="str">
        <f>IF(OR('实盘净值数据(iFinD）'!$A186="",'实盘净值数据(iFinD）'!$B186="",'实盘净值数据(iFinD）'!$Z186="",'实盘净值数据(iFinD）'!$AA186=""),"",分期持仓明细!$AB$24*(SUMPRODUCT(分期持仓明细!$B$24:$Y$24,'实盘净值数据(iFinD）'!$B186:$Y186/'实盘净值数据(iFinD）'!$B$65:$Y$65)+SUMPRODUCT(分期持仓明细!$AC$24:$AD$24,'实盘净值数据(iFinD）'!$Z186:$AA186/'实盘净值数据(iFinD）'!$Z$65:$AA$65))*(1-实盘持仓初始配置!$Z$8)^(('实盘净值数据(iFinD）'!$A186-'实盘净值数据(iFinD）'!$A$5)/365))</f>
        <v/>
      </c>
      <c r="O186" s="16" t="str">
        <f t="shared" si="16"/>
        <v/>
      </c>
      <c r="P186" s="16" t="str">
        <f>IF(N186="","",N186/MAX(N$5:N186)-1)</f>
        <v/>
      </c>
      <c r="Q186" s="13" t="str">
        <f>IF(OR('实盘净值数据(iFinD）'!$A186="",'实盘净值数据(iFinD）'!$B186="",'实盘净值数据(iFinD）'!$Z186="",'实盘净值数据(iFinD）'!$AA186=""),"",分期持仓明细!$AB$25*(SUMPRODUCT(分期持仓明细!$B$25:$Y$25,'实盘净值数据(iFinD）'!$B186:$Y186/'实盘净值数据(iFinD）'!$B$65:$Y$65)+SUMPRODUCT(分期持仓明细!$AC$25:$AD$25,'实盘净值数据(iFinD）'!$Z186:$AA186/'实盘净值数据(iFinD）'!$Z$65:$AA$65))*(1-实盘持仓初始配置!$Z$9)^(('实盘净值数据(iFinD）'!$A186-'实盘净值数据(iFinD）'!$A$8)/365))</f>
        <v/>
      </c>
      <c r="R186" s="16" t="str">
        <f t="shared" si="17"/>
        <v/>
      </c>
      <c r="S186" s="16" t="str">
        <f>IF(Q186="","",Q186/MAX(Q$5:Q186)-1)</f>
        <v/>
      </c>
      <c r="T186" s="13">
        <f>IF(OR('实盘净值数据(iFinD）'!$A186="",'实盘净值数据(iFinD）'!$B186="",'实盘净值数据(iFinD）'!$Z186="",'实盘净值数据(iFinD）'!$AA186="",'实盘净值数据(iFinD）'!$AB186="",'实盘净值数据(iFinD）'!$AL186=""),"",(SUMPRODUCT(分期持仓明细!$B$26:$Y$26,'实盘净值数据(iFinD）'!$B186:$Y186/'实盘净值数据(iFinD）'!$B$69:$Y$69)+SUMPRODUCT(分期持仓明细!$AC$26:$AD$26,'实盘净值数据(iFinD）'!$Z186:$AA186/'实盘净值数据(iFinD）'!$Z$69:$AA$69)+SUMPRODUCT(分期持仓明细!$AE$26:$AO$26,'实盘净值数据(iFinD）'!$AB186:$AL186/'实盘净值数据(iFinD）'!$AB$69:$AL$69))*(1-实盘持仓初始配置!$Z$10)^(('实盘净值数据(iFinD）'!$A186-'实盘净值数据(iFinD）'!$A$69)/365))</f>
        <v/>
      </c>
      <c r="U186" s="16">
        <f>IF(OR(T185="",T186=""),"",T186/T185-1)</f>
        <v/>
      </c>
      <c r="V186" s="16">
        <f>IF(T186="","",T186/MAX(T$5:T186)-1)</f>
        <v/>
      </c>
    </row>
    <row r="187" spans="1:19">
      <c r="A187" s="15" t="str">
        <f>IF('实盘净值数据(iFinD）'!A187="","",'实盘净值数据(iFinD）'!A187)</f>
        <v/>
      </c>
      <c r="B187" s="13" t="str">
        <f>IF(OR('实盘净值数据(iFinD）'!$A187="",'实盘净值数据(iFinD）'!$B187=""),"",分期持仓明细!$AB$17*SUMPRODUCT(分期持仓明细!$B$17:$Y$17,'实盘净值数据(iFinD）'!$B187:$Y187/'实盘净值数据(iFinD）'!$B$20:$Y$20)*(1-实盘持仓初始配置!$Z$4)^(('实盘净值数据(iFinD）'!$A187-'实盘净值数据(iFinD）'!$A$6)/365))</f>
        <v/>
      </c>
      <c r="C187" s="16" t="str">
        <f t="shared" si="12"/>
        <v/>
      </c>
      <c r="D187" s="16" t="str">
        <f>IF(B187="","",B187/MAX(B$5:B187)-1)</f>
        <v/>
      </c>
      <c r="E187" s="13" t="str">
        <f>IF(OR('实盘净值数据(iFinD）'!$A187="",'实盘净值数据(iFinD）'!$B187=""),"",分期持仓明细!$AB$18*SUMPRODUCT(分期持仓明细!$B$18:$Y$18,'实盘净值数据(iFinD）'!$B187:$Y187/'实盘净值数据(iFinD）'!$B$20:$Y$20)*(1-实盘持仓初始配置!$Z$5)^(('实盘净值数据(iFinD）'!$A187-'实盘净值数据(iFinD）'!$A$5)/365))</f>
        <v/>
      </c>
      <c r="F187" s="16" t="str">
        <f t="shared" si="13"/>
        <v/>
      </c>
      <c r="G187" s="16" t="str">
        <f>IF(E187="","",E187/MAX(E$5:E187)-1)</f>
        <v/>
      </c>
      <c r="H187" s="13" t="str">
        <f>IF(OR('实盘净值数据(iFinD）'!$A187="",'实盘净值数据(iFinD）'!$B187=""),"",分期持仓明细!$AB$19*SUMPRODUCT(分期持仓明细!$B$19:$Y$19,'实盘净值数据(iFinD）'!$B187:$Y187/'实盘净值数据(iFinD）'!$B$20:$Y$20)*(1-实盘持仓初始配置!$Z$6)^(('实盘净值数据(iFinD）'!$A187-'实盘净值数据(iFinD）'!$A$7)/365))</f>
        <v/>
      </c>
      <c r="I187" s="16" t="str">
        <f t="shared" si="14"/>
        <v/>
      </c>
      <c r="J187" s="16" t="str">
        <f>IF(H187="","",H187/MAX(H$5:H187)-1)</f>
        <v/>
      </c>
      <c r="K187" s="13" t="str">
        <f>IF(OR('实盘净值数据(iFinD）'!$A187="",'实盘净值数据(iFinD）'!$B187="",'实盘净值数据(iFinD）'!$Z187="",'实盘净值数据(iFinD）'!$AA187=""),"",分期持仓明细!$AB$23*(SUMPRODUCT(分期持仓明细!$B$23:$Y$23,'实盘净值数据(iFinD）'!$B187:$Y187/'实盘净值数据(iFinD）'!$B$65:$Y$65)+SUMPRODUCT(分期持仓明细!$AC$23:$AD$23,'实盘净值数据(iFinD）'!$Z187:$AA187/'实盘净值数据(iFinD）'!$Z$65:$AA$65))*(1-实盘持仓初始配置!$Z$7)^(('实盘净值数据(iFinD）'!$A187-'实盘净值数据(iFinD）'!$A$8)/365))</f>
        <v/>
      </c>
      <c r="L187" s="16" t="str">
        <f t="shared" si="15"/>
        <v/>
      </c>
      <c r="M187" s="16" t="str">
        <f>IF(K187="","",K187/MAX(K$5:K187)-1)</f>
        <v/>
      </c>
      <c r="N187" s="13" t="str">
        <f>IF(OR('实盘净值数据(iFinD）'!$A187="",'实盘净值数据(iFinD）'!$B187="",'实盘净值数据(iFinD）'!$Z187="",'实盘净值数据(iFinD）'!$AA187=""),"",分期持仓明细!$AB$24*(SUMPRODUCT(分期持仓明细!$B$24:$Y$24,'实盘净值数据(iFinD）'!$B187:$Y187/'实盘净值数据(iFinD）'!$B$65:$Y$65)+SUMPRODUCT(分期持仓明细!$AC$24:$AD$24,'实盘净值数据(iFinD）'!$Z187:$AA187/'实盘净值数据(iFinD）'!$Z$65:$AA$65))*(1-实盘持仓初始配置!$Z$8)^(('实盘净值数据(iFinD）'!$A187-'实盘净值数据(iFinD）'!$A$5)/365))</f>
        <v/>
      </c>
      <c r="O187" s="16" t="str">
        <f t="shared" si="16"/>
        <v/>
      </c>
      <c r="P187" s="16" t="str">
        <f>IF(N187="","",N187/MAX(N$5:N187)-1)</f>
        <v/>
      </c>
      <c r="Q187" s="13" t="str">
        <f>IF(OR('实盘净值数据(iFinD）'!$A187="",'实盘净值数据(iFinD）'!$B187="",'实盘净值数据(iFinD）'!$Z187="",'实盘净值数据(iFinD）'!$AA187=""),"",分期持仓明细!$AB$25*(SUMPRODUCT(分期持仓明细!$B$25:$Y$25,'实盘净值数据(iFinD）'!$B187:$Y187/'实盘净值数据(iFinD）'!$B$65:$Y$65)+SUMPRODUCT(分期持仓明细!$AC$25:$AD$25,'实盘净值数据(iFinD）'!$Z187:$AA187/'实盘净值数据(iFinD）'!$Z$65:$AA$65))*(1-实盘持仓初始配置!$Z$9)^(('实盘净值数据(iFinD）'!$A187-'实盘净值数据(iFinD）'!$A$8)/365))</f>
        <v/>
      </c>
      <c r="R187" s="16" t="str">
        <f t="shared" si="17"/>
        <v/>
      </c>
      <c r="S187" s="16" t="str">
        <f>IF(Q187="","",Q187/MAX(Q$5:Q187)-1)</f>
        <v/>
      </c>
      <c r="T187" s="13">
        <f>IF(OR('实盘净值数据(iFinD）'!$A187="",'实盘净值数据(iFinD）'!$B187="",'实盘净值数据(iFinD）'!$Z187="",'实盘净值数据(iFinD）'!$AA187="",'实盘净值数据(iFinD）'!$AB187="",'实盘净值数据(iFinD）'!$AL187=""),"",(SUMPRODUCT(分期持仓明细!$B$26:$Y$26,'实盘净值数据(iFinD）'!$B187:$Y187/'实盘净值数据(iFinD）'!$B$69:$Y$69)+SUMPRODUCT(分期持仓明细!$AC$26:$AD$26,'实盘净值数据(iFinD）'!$Z187:$AA187/'实盘净值数据(iFinD）'!$Z$69:$AA$69)+SUMPRODUCT(分期持仓明细!$AE$26:$AO$26,'实盘净值数据(iFinD）'!$AB187:$AL187/'实盘净值数据(iFinD）'!$AB$69:$AL$69))*(1-实盘持仓初始配置!$Z$10)^(('实盘净值数据(iFinD）'!$A187-'实盘净值数据(iFinD）'!$A$69)/365))</f>
        <v/>
      </c>
      <c r="U187" s="16">
        <f>IF(OR(T186="",T187=""),"",T187/T186-1)</f>
        <v/>
      </c>
      <c r="V187" s="16">
        <f>IF(T187="","",T187/MAX(T$5:T187)-1)</f>
        <v/>
      </c>
    </row>
    <row r="188" spans="1:19">
      <c r="A188" s="15" t="str">
        <f>IF('实盘净值数据(iFinD）'!A188="","",'实盘净值数据(iFinD）'!A188)</f>
        <v/>
      </c>
      <c r="B188" s="13" t="str">
        <f>IF(OR('实盘净值数据(iFinD）'!$A188="",'实盘净值数据(iFinD）'!$B188=""),"",分期持仓明细!$AB$17*SUMPRODUCT(分期持仓明细!$B$17:$Y$17,'实盘净值数据(iFinD）'!$B188:$Y188/'实盘净值数据(iFinD）'!$B$20:$Y$20)*(1-实盘持仓初始配置!$Z$4)^(('实盘净值数据(iFinD）'!$A188-'实盘净值数据(iFinD）'!$A$6)/365))</f>
        <v/>
      </c>
      <c r="C188" s="16" t="str">
        <f t="shared" ref="C188:C251" si="18">IF(OR(B187="",B188=""),"",B188/B187-1)</f>
        <v/>
      </c>
      <c r="D188" s="16" t="str">
        <f>IF(B188="","",B188/MAX(B$5:B188)-1)</f>
        <v/>
      </c>
      <c r="E188" s="13" t="str">
        <f>IF(OR('实盘净值数据(iFinD）'!$A188="",'实盘净值数据(iFinD）'!$B188=""),"",分期持仓明细!$AB$18*SUMPRODUCT(分期持仓明细!$B$18:$Y$18,'实盘净值数据(iFinD）'!$B188:$Y188/'实盘净值数据(iFinD）'!$B$20:$Y$20)*(1-实盘持仓初始配置!$Z$5)^(('实盘净值数据(iFinD）'!$A188-'实盘净值数据(iFinD）'!$A$5)/365))</f>
        <v/>
      </c>
      <c r="F188" s="16" t="str">
        <f t="shared" ref="F188:F251" si="19">IF(OR(E187="",E188=""),"",E188/E187-1)</f>
        <v/>
      </c>
      <c r="G188" s="16" t="str">
        <f>IF(E188="","",E188/MAX(E$5:E188)-1)</f>
        <v/>
      </c>
      <c r="H188" s="13" t="str">
        <f>IF(OR('实盘净值数据(iFinD）'!$A188="",'实盘净值数据(iFinD）'!$B188=""),"",分期持仓明细!$AB$19*SUMPRODUCT(分期持仓明细!$B$19:$Y$19,'实盘净值数据(iFinD）'!$B188:$Y188/'实盘净值数据(iFinD）'!$B$20:$Y$20)*(1-实盘持仓初始配置!$Z$6)^(('实盘净值数据(iFinD）'!$A188-'实盘净值数据(iFinD）'!$A$7)/365))</f>
        <v/>
      </c>
      <c r="I188" s="16" t="str">
        <f t="shared" ref="I188:I251" si="20">IF(OR(H187="",H188=""),"",H188/H187-1)</f>
        <v/>
      </c>
      <c r="J188" s="16" t="str">
        <f>IF(H188="","",H188/MAX(H$5:H188)-1)</f>
        <v/>
      </c>
      <c r="K188" s="13" t="str">
        <f>IF(OR('实盘净值数据(iFinD）'!$A188="",'实盘净值数据(iFinD）'!$B188="",'实盘净值数据(iFinD）'!$Z188="",'实盘净值数据(iFinD）'!$AA188=""),"",分期持仓明细!$AB$23*(SUMPRODUCT(分期持仓明细!$B$23:$Y$23,'实盘净值数据(iFinD）'!$B188:$Y188/'实盘净值数据(iFinD）'!$B$65:$Y$65)+SUMPRODUCT(分期持仓明细!$AC$23:$AD$23,'实盘净值数据(iFinD）'!$Z188:$AA188/'实盘净值数据(iFinD）'!$Z$65:$AA$65))*(1-实盘持仓初始配置!$Z$7)^(('实盘净值数据(iFinD）'!$A188-'实盘净值数据(iFinD）'!$A$8)/365))</f>
        <v/>
      </c>
      <c r="L188" s="16" t="str">
        <f t="shared" ref="L188:L251" si="21">IF(OR(K187="",K188=""),"",K188/K187-1)</f>
        <v/>
      </c>
      <c r="M188" s="16" t="str">
        <f>IF(K188="","",K188/MAX(K$5:K188)-1)</f>
        <v/>
      </c>
      <c r="N188" s="13" t="str">
        <f>IF(OR('实盘净值数据(iFinD）'!$A188="",'实盘净值数据(iFinD）'!$B188="",'实盘净值数据(iFinD）'!$Z188="",'实盘净值数据(iFinD）'!$AA188=""),"",分期持仓明细!$AB$24*(SUMPRODUCT(分期持仓明细!$B$24:$Y$24,'实盘净值数据(iFinD）'!$B188:$Y188/'实盘净值数据(iFinD）'!$B$65:$Y$65)+SUMPRODUCT(分期持仓明细!$AC$24:$AD$24,'实盘净值数据(iFinD）'!$Z188:$AA188/'实盘净值数据(iFinD）'!$Z$65:$AA$65))*(1-实盘持仓初始配置!$Z$8)^(('实盘净值数据(iFinD）'!$A188-'实盘净值数据(iFinD）'!$A$5)/365))</f>
        <v/>
      </c>
      <c r="O188" s="16" t="str">
        <f t="shared" ref="O188:O251" si="22">IF(OR(N187="",N188=""),"",N188/N187-1)</f>
        <v/>
      </c>
      <c r="P188" s="16" t="str">
        <f>IF(N188="","",N188/MAX(N$5:N188)-1)</f>
        <v/>
      </c>
      <c r="Q188" s="13" t="str">
        <f>IF(OR('实盘净值数据(iFinD）'!$A188="",'实盘净值数据(iFinD）'!$B188="",'实盘净值数据(iFinD）'!$Z188="",'实盘净值数据(iFinD）'!$AA188=""),"",分期持仓明细!$AB$25*(SUMPRODUCT(分期持仓明细!$B$25:$Y$25,'实盘净值数据(iFinD）'!$B188:$Y188/'实盘净值数据(iFinD）'!$B$65:$Y$65)+SUMPRODUCT(分期持仓明细!$AC$25:$AD$25,'实盘净值数据(iFinD）'!$Z188:$AA188/'实盘净值数据(iFinD）'!$Z$65:$AA$65))*(1-实盘持仓初始配置!$Z$9)^(('实盘净值数据(iFinD）'!$A188-'实盘净值数据(iFinD）'!$A$8)/365))</f>
        <v/>
      </c>
      <c r="R188" s="16" t="str">
        <f t="shared" ref="R188:R251" si="23">IF(OR(Q187="",Q188=""),"",Q188/Q187-1)</f>
        <v/>
      </c>
      <c r="S188" s="16" t="str">
        <f>IF(Q188="","",Q188/MAX(Q$5:Q188)-1)</f>
        <v/>
      </c>
      <c r="T188" s="13">
        <f>IF(OR('实盘净值数据(iFinD）'!$A188="",'实盘净值数据(iFinD）'!$B188="",'实盘净值数据(iFinD）'!$Z188="",'实盘净值数据(iFinD）'!$AA188="",'实盘净值数据(iFinD）'!$AB188="",'实盘净值数据(iFinD）'!$AL188=""),"",(SUMPRODUCT(分期持仓明细!$B$26:$Y$26,'实盘净值数据(iFinD）'!$B188:$Y188/'实盘净值数据(iFinD）'!$B$69:$Y$69)+SUMPRODUCT(分期持仓明细!$AC$26:$AD$26,'实盘净值数据(iFinD）'!$Z188:$AA188/'实盘净值数据(iFinD）'!$Z$69:$AA$69)+SUMPRODUCT(分期持仓明细!$AE$26:$AO$26,'实盘净值数据(iFinD）'!$AB188:$AL188/'实盘净值数据(iFinD）'!$AB$69:$AL$69))*(1-实盘持仓初始配置!$Z$10)^(('实盘净值数据(iFinD）'!$A188-'实盘净值数据(iFinD）'!$A$69)/365))</f>
        <v/>
      </c>
      <c r="U188" s="16">
        <f>IF(OR(T187="",T188=""),"",T188/T187-1)</f>
        <v/>
      </c>
      <c r="V188" s="16">
        <f>IF(T188="","",T188/MAX(T$5:T188)-1)</f>
        <v/>
      </c>
    </row>
    <row r="189" spans="1:19">
      <c r="A189" s="15" t="str">
        <f>IF('实盘净值数据(iFinD）'!A189="","",'实盘净值数据(iFinD）'!A189)</f>
        <v/>
      </c>
      <c r="B189" s="13" t="str">
        <f>IF(OR('实盘净值数据(iFinD）'!$A189="",'实盘净值数据(iFinD）'!$B189=""),"",分期持仓明细!$AB$17*SUMPRODUCT(分期持仓明细!$B$17:$Y$17,'实盘净值数据(iFinD）'!$B189:$Y189/'实盘净值数据(iFinD）'!$B$20:$Y$20)*(1-实盘持仓初始配置!$Z$4)^(('实盘净值数据(iFinD）'!$A189-'实盘净值数据(iFinD）'!$A$6)/365))</f>
        <v/>
      </c>
      <c r="C189" s="16" t="str">
        <f t="shared" si="18"/>
        <v/>
      </c>
      <c r="D189" s="16" t="str">
        <f>IF(B189="","",B189/MAX(B$5:B189)-1)</f>
        <v/>
      </c>
      <c r="E189" s="13" t="str">
        <f>IF(OR('实盘净值数据(iFinD）'!$A189="",'实盘净值数据(iFinD）'!$B189=""),"",分期持仓明细!$AB$18*SUMPRODUCT(分期持仓明细!$B$18:$Y$18,'实盘净值数据(iFinD）'!$B189:$Y189/'实盘净值数据(iFinD）'!$B$20:$Y$20)*(1-实盘持仓初始配置!$Z$5)^(('实盘净值数据(iFinD）'!$A189-'实盘净值数据(iFinD）'!$A$5)/365))</f>
        <v/>
      </c>
      <c r="F189" s="16" t="str">
        <f t="shared" si="19"/>
        <v/>
      </c>
      <c r="G189" s="16" t="str">
        <f>IF(E189="","",E189/MAX(E$5:E189)-1)</f>
        <v/>
      </c>
      <c r="H189" s="13" t="str">
        <f>IF(OR('实盘净值数据(iFinD）'!$A189="",'实盘净值数据(iFinD）'!$B189=""),"",分期持仓明细!$AB$19*SUMPRODUCT(分期持仓明细!$B$19:$Y$19,'实盘净值数据(iFinD）'!$B189:$Y189/'实盘净值数据(iFinD）'!$B$20:$Y$20)*(1-实盘持仓初始配置!$Z$6)^(('实盘净值数据(iFinD）'!$A189-'实盘净值数据(iFinD）'!$A$7)/365))</f>
        <v/>
      </c>
      <c r="I189" s="16" t="str">
        <f t="shared" si="20"/>
        <v/>
      </c>
      <c r="J189" s="16" t="str">
        <f>IF(H189="","",H189/MAX(H$5:H189)-1)</f>
        <v/>
      </c>
      <c r="K189" s="13" t="str">
        <f>IF(OR('实盘净值数据(iFinD）'!$A189="",'实盘净值数据(iFinD）'!$B189="",'实盘净值数据(iFinD）'!$Z189="",'实盘净值数据(iFinD）'!$AA189=""),"",分期持仓明细!$AB$23*(SUMPRODUCT(分期持仓明细!$B$23:$Y$23,'实盘净值数据(iFinD）'!$B189:$Y189/'实盘净值数据(iFinD）'!$B$65:$Y$65)+SUMPRODUCT(分期持仓明细!$AC$23:$AD$23,'实盘净值数据(iFinD）'!$Z189:$AA189/'实盘净值数据(iFinD）'!$Z$65:$AA$65))*(1-实盘持仓初始配置!$Z$7)^(('实盘净值数据(iFinD）'!$A189-'实盘净值数据(iFinD）'!$A$8)/365))</f>
        <v/>
      </c>
      <c r="L189" s="16" t="str">
        <f t="shared" si="21"/>
        <v/>
      </c>
      <c r="M189" s="16" t="str">
        <f>IF(K189="","",K189/MAX(K$5:K189)-1)</f>
        <v/>
      </c>
      <c r="N189" s="13" t="str">
        <f>IF(OR('实盘净值数据(iFinD）'!$A189="",'实盘净值数据(iFinD）'!$B189="",'实盘净值数据(iFinD）'!$Z189="",'实盘净值数据(iFinD）'!$AA189=""),"",分期持仓明细!$AB$24*(SUMPRODUCT(分期持仓明细!$B$24:$Y$24,'实盘净值数据(iFinD）'!$B189:$Y189/'实盘净值数据(iFinD）'!$B$65:$Y$65)+SUMPRODUCT(分期持仓明细!$AC$24:$AD$24,'实盘净值数据(iFinD）'!$Z189:$AA189/'实盘净值数据(iFinD）'!$Z$65:$AA$65))*(1-实盘持仓初始配置!$Z$8)^(('实盘净值数据(iFinD）'!$A189-'实盘净值数据(iFinD）'!$A$5)/365))</f>
        <v/>
      </c>
      <c r="O189" s="16" t="str">
        <f t="shared" si="22"/>
        <v/>
      </c>
      <c r="P189" s="16" t="str">
        <f>IF(N189="","",N189/MAX(N$5:N189)-1)</f>
        <v/>
      </c>
      <c r="Q189" s="13" t="str">
        <f>IF(OR('实盘净值数据(iFinD）'!$A189="",'实盘净值数据(iFinD）'!$B189="",'实盘净值数据(iFinD）'!$Z189="",'实盘净值数据(iFinD）'!$AA189=""),"",分期持仓明细!$AB$25*(SUMPRODUCT(分期持仓明细!$B$25:$Y$25,'实盘净值数据(iFinD）'!$B189:$Y189/'实盘净值数据(iFinD）'!$B$65:$Y$65)+SUMPRODUCT(分期持仓明细!$AC$25:$AD$25,'实盘净值数据(iFinD）'!$Z189:$AA189/'实盘净值数据(iFinD）'!$Z$65:$AA$65))*(1-实盘持仓初始配置!$Z$9)^(('实盘净值数据(iFinD）'!$A189-'实盘净值数据(iFinD）'!$A$8)/365))</f>
        <v/>
      </c>
      <c r="R189" s="16" t="str">
        <f t="shared" si="23"/>
        <v/>
      </c>
      <c r="S189" s="16" t="str">
        <f>IF(Q189="","",Q189/MAX(Q$5:Q189)-1)</f>
        <v/>
      </c>
      <c r="T189" s="13">
        <f>IF(OR('实盘净值数据(iFinD）'!$A189="",'实盘净值数据(iFinD）'!$B189="",'实盘净值数据(iFinD）'!$Z189="",'实盘净值数据(iFinD）'!$AA189="",'实盘净值数据(iFinD）'!$AB189="",'实盘净值数据(iFinD）'!$AL189=""),"",(SUMPRODUCT(分期持仓明细!$B$26:$Y$26,'实盘净值数据(iFinD）'!$B189:$Y189/'实盘净值数据(iFinD）'!$B$69:$Y$69)+SUMPRODUCT(分期持仓明细!$AC$26:$AD$26,'实盘净值数据(iFinD）'!$Z189:$AA189/'实盘净值数据(iFinD）'!$Z$69:$AA$69)+SUMPRODUCT(分期持仓明细!$AE$26:$AO$26,'实盘净值数据(iFinD）'!$AB189:$AL189/'实盘净值数据(iFinD）'!$AB$69:$AL$69))*(1-实盘持仓初始配置!$Z$10)^(('实盘净值数据(iFinD）'!$A189-'实盘净值数据(iFinD）'!$A$69)/365))</f>
        <v/>
      </c>
      <c r="U189" s="16">
        <f>IF(OR(T188="",T189=""),"",T189/T188-1)</f>
        <v/>
      </c>
      <c r="V189" s="16">
        <f>IF(T189="","",T189/MAX(T$5:T189)-1)</f>
        <v/>
      </c>
    </row>
    <row r="190" spans="1:19">
      <c r="A190" s="15" t="str">
        <f>IF('实盘净值数据(iFinD）'!A190="","",'实盘净值数据(iFinD）'!A190)</f>
        <v/>
      </c>
      <c r="B190" s="13" t="str">
        <f>IF(OR('实盘净值数据(iFinD）'!$A190="",'实盘净值数据(iFinD）'!$B190=""),"",分期持仓明细!$AB$17*SUMPRODUCT(分期持仓明细!$B$17:$Y$17,'实盘净值数据(iFinD）'!$B190:$Y190/'实盘净值数据(iFinD）'!$B$20:$Y$20)*(1-实盘持仓初始配置!$Z$4)^(('实盘净值数据(iFinD）'!$A190-'实盘净值数据(iFinD）'!$A$6)/365))</f>
        <v/>
      </c>
      <c r="C190" s="16" t="str">
        <f t="shared" si="18"/>
        <v/>
      </c>
      <c r="D190" s="16" t="str">
        <f>IF(B190="","",B190/MAX(B$5:B190)-1)</f>
        <v/>
      </c>
      <c r="E190" s="13" t="str">
        <f>IF(OR('实盘净值数据(iFinD）'!$A190="",'实盘净值数据(iFinD）'!$B190=""),"",分期持仓明细!$AB$18*SUMPRODUCT(分期持仓明细!$B$18:$Y$18,'实盘净值数据(iFinD）'!$B190:$Y190/'实盘净值数据(iFinD）'!$B$20:$Y$20)*(1-实盘持仓初始配置!$Z$5)^(('实盘净值数据(iFinD）'!$A190-'实盘净值数据(iFinD）'!$A$5)/365))</f>
        <v/>
      </c>
      <c r="F190" s="16" t="str">
        <f t="shared" si="19"/>
        <v/>
      </c>
      <c r="G190" s="16" t="str">
        <f>IF(E190="","",E190/MAX(E$5:E190)-1)</f>
        <v/>
      </c>
      <c r="H190" s="13" t="str">
        <f>IF(OR('实盘净值数据(iFinD）'!$A190="",'实盘净值数据(iFinD）'!$B190=""),"",分期持仓明细!$AB$19*SUMPRODUCT(分期持仓明细!$B$19:$Y$19,'实盘净值数据(iFinD）'!$B190:$Y190/'实盘净值数据(iFinD）'!$B$20:$Y$20)*(1-实盘持仓初始配置!$Z$6)^(('实盘净值数据(iFinD）'!$A190-'实盘净值数据(iFinD）'!$A$7)/365))</f>
        <v/>
      </c>
      <c r="I190" s="16" t="str">
        <f t="shared" si="20"/>
        <v/>
      </c>
      <c r="J190" s="16" t="str">
        <f>IF(H190="","",H190/MAX(H$5:H190)-1)</f>
        <v/>
      </c>
      <c r="K190" s="13" t="str">
        <f>IF(OR('实盘净值数据(iFinD）'!$A190="",'实盘净值数据(iFinD）'!$B190="",'实盘净值数据(iFinD）'!$Z190="",'实盘净值数据(iFinD）'!$AA190=""),"",分期持仓明细!$AB$23*(SUMPRODUCT(分期持仓明细!$B$23:$Y$23,'实盘净值数据(iFinD）'!$B190:$Y190/'实盘净值数据(iFinD）'!$B$65:$Y$65)+SUMPRODUCT(分期持仓明细!$AC$23:$AD$23,'实盘净值数据(iFinD）'!$Z190:$AA190/'实盘净值数据(iFinD）'!$Z$65:$AA$65))*(1-实盘持仓初始配置!$Z$7)^(('实盘净值数据(iFinD）'!$A190-'实盘净值数据(iFinD）'!$A$8)/365))</f>
        <v/>
      </c>
      <c r="L190" s="16" t="str">
        <f t="shared" si="21"/>
        <v/>
      </c>
      <c r="M190" s="16" t="str">
        <f>IF(K190="","",K190/MAX(K$5:K190)-1)</f>
        <v/>
      </c>
      <c r="N190" s="13" t="str">
        <f>IF(OR('实盘净值数据(iFinD）'!$A190="",'实盘净值数据(iFinD）'!$B190="",'实盘净值数据(iFinD）'!$Z190="",'实盘净值数据(iFinD）'!$AA190=""),"",分期持仓明细!$AB$24*(SUMPRODUCT(分期持仓明细!$B$24:$Y$24,'实盘净值数据(iFinD）'!$B190:$Y190/'实盘净值数据(iFinD）'!$B$65:$Y$65)+SUMPRODUCT(分期持仓明细!$AC$24:$AD$24,'实盘净值数据(iFinD）'!$Z190:$AA190/'实盘净值数据(iFinD）'!$Z$65:$AA$65))*(1-实盘持仓初始配置!$Z$8)^(('实盘净值数据(iFinD）'!$A190-'实盘净值数据(iFinD）'!$A$5)/365))</f>
        <v/>
      </c>
      <c r="O190" s="16" t="str">
        <f t="shared" si="22"/>
        <v/>
      </c>
      <c r="P190" s="16" t="str">
        <f>IF(N190="","",N190/MAX(N$5:N190)-1)</f>
        <v/>
      </c>
      <c r="Q190" s="13" t="str">
        <f>IF(OR('实盘净值数据(iFinD）'!$A190="",'实盘净值数据(iFinD）'!$B190="",'实盘净值数据(iFinD）'!$Z190="",'实盘净值数据(iFinD）'!$AA190=""),"",分期持仓明细!$AB$25*(SUMPRODUCT(分期持仓明细!$B$25:$Y$25,'实盘净值数据(iFinD）'!$B190:$Y190/'实盘净值数据(iFinD）'!$B$65:$Y$65)+SUMPRODUCT(分期持仓明细!$AC$25:$AD$25,'实盘净值数据(iFinD）'!$Z190:$AA190/'实盘净值数据(iFinD）'!$Z$65:$AA$65))*(1-实盘持仓初始配置!$Z$9)^(('实盘净值数据(iFinD）'!$A190-'实盘净值数据(iFinD）'!$A$8)/365))</f>
        <v/>
      </c>
      <c r="R190" s="16" t="str">
        <f t="shared" si="23"/>
        <v/>
      </c>
      <c r="S190" s="16" t="str">
        <f>IF(Q190="","",Q190/MAX(Q$5:Q190)-1)</f>
        <v/>
      </c>
      <c r="T190" s="13">
        <f>IF(OR('实盘净值数据(iFinD）'!$A190="",'实盘净值数据(iFinD）'!$B190="",'实盘净值数据(iFinD）'!$Z190="",'实盘净值数据(iFinD）'!$AA190="",'实盘净值数据(iFinD）'!$AB190="",'实盘净值数据(iFinD）'!$AL190=""),"",(SUMPRODUCT(分期持仓明细!$B$26:$Y$26,'实盘净值数据(iFinD）'!$B190:$Y190/'实盘净值数据(iFinD）'!$B$69:$Y$69)+SUMPRODUCT(分期持仓明细!$AC$26:$AD$26,'实盘净值数据(iFinD）'!$Z190:$AA190/'实盘净值数据(iFinD）'!$Z$69:$AA$69)+SUMPRODUCT(分期持仓明细!$AE$26:$AO$26,'实盘净值数据(iFinD）'!$AB190:$AL190/'实盘净值数据(iFinD）'!$AB$69:$AL$69))*(1-实盘持仓初始配置!$Z$10)^(('实盘净值数据(iFinD）'!$A190-'实盘净值数据(iFinD）'!$A$69)/365))</f>
        <v/>
      </c>
      <c r="U190" s="16">
        <f>IF(OR(T189="",T190=""),"",T190/T189-1)</f>
        <v/>
      </c>
      <c r="V190" s="16">
        <f>IF(T190="","",T190/MAX(T$5:T190)-1)</f>
        <v/>
      </c>
    </row>
    <row r="191" spans="1:19">
      <c r="A191" s="15" t="str">
        <f>IF('实盘净值数据(iFinD）'!A191="","",'实盘净值数据(iFinD）'!A191)</f>
        <v/>
      </c>
      <c r="B191" s="13" t="str">
        <f>IF(OR('实盘净值数据(iFinD）'!$A191="",'实盘净值数据(iFinD）'!$B191=""),"",分期持仓明细!$AB$17*SUMPRODUCT(分期持仓明细!$B$17:$Y$17,'实盘净值数据(iFinD）'!$B191:$Y191/'实盘净值数据(iFinD）'!$B$20:$Y$20)*(1-实盘持仓初始配置!$Z$4)^(('实盘净值数据(iFinD）'!$A191-'实盘净值数据(iFinD）'!$A$6)/365))</f>
        <v/>
      </c>
      <c r="C191" s="16" t="str">
        <f t="shared" si="18"/>
        <v/>
      </c>
      <c r="D191" s="16" t="str">
        <f>IF(B191="","",B191/MAX(B$5:B191)-1)</f>
        <v/>
      </c>
      <c r="E191" s="13" t="str">
        <f>IF(OR('实盘净值数据(iFinD）'!$A191="",'实盘净值数据(iFinD）'!$B191=""),"",分期持仓明细!$AB$18*SUMPRODUCT(分期持仓明细!$B$18:$Y$18,'实盘净值数据(iFinD）'!$B191:$Y191/'实盘净值数据(iFinD）'!$B$20:$Y$20)*(1-实盘持仓初始配置!$Z$5)^(('实盘净值数据(iFinD）'!$A191-'实盘净值数据(iFinD）'!$A$5)/365))</f>
        <v/>
      </c>
      <c r="F191" s="16" t="str">
        <f t="shared" si="19"/>
        <v/>
      </c>
      <c r="G191" s="16" t="str">
        <f>IF(E191="","",E191/MAX(E$5:E191)-1)</f>
        <v/>
      </c>
      <c r="H191" s="13" t="str">
        <f>IF(OR('实盘净值数据(iFinD）'!$A191="",'实盘净值数据(iFinD）'!$B191=""),"",分期持仓明细!$AB$19*SUMPRODUCT(分期持仓明细!$B$19:$Y$19,'实盘净值数据(iFinD）'!$B191:$Y191/'实盘净值数据(iFinD）'!$B$20:$Y$20)*(1-实盘持仓初始配置!$Z$6)^(('实盘净值数据(iFinD）'!$A191-'实盘净值数据(iFinD）'!$A$7)/365))</f>
        <v/>
      </c>
      <c r="I191" s="16" t="str">
        <f t="shared" si="20"/>
        <v/>
      </c>
      <c r="J191" s="16" t="str">
        <f>IF(H191="","",H191/MAX(H$5:H191)-1)</f>
        <v/>
      </c>
      <c r="K191" s="13" t="str">
        <f>IF(OR('实盘净值数据(iFinD）'!$A191="",'实盘净值数据(iFinD）'!$B191="",'实盘净值数据(iFinD）'!$Z191="",'实盘净值数据(iFinD）'!$AA191=""),"",分期持仓明细!$AB$23*(SUMPRODUCT(分期持仓明细!$B$23:$Y$23,'实盘净值数据(iFinD）'!$B191:$Y191/'实盘净值数据(iFinD）'!$B$65:$Y$65)+SUMPRODUCT(分期持仓明细!$AC$23:$AD$23,'实盘净值数据(iFinD）'!$Z191:$AA191/'实盘净值数据(iFinD）'!$Z$65:$AA$65))*(1-实盘持仓初始配置!$Z$7)^(('实盘净值数据(iFinD）'!$A191-'实盘净值数据(iFinD）'!$A$8)/365))</f>
        <v/>
      </c>
      <c r="L191" s="16" t="str">
        <f t="shared" si="21"/>
        <v/>
      </c>
      <c r="M191" s="16" t="str">
        <f>IF(K191="","",K191/MAX(K$5:K191)-1)</f>
        <v/>
      </c>
      <c r="N191" s="13" t="str">
        <f>IF(OR('实盘净值数据(iFinD）'!$A191="",'实盘净值数据(iFinD）'!$B191="",'实盘净值数据(iFinD）'!$Z191="",'实盘净值数据(iFinD）'!$AA191=""),"",分期持仓明细!$AB$24*(SUMPRODUCT(分期持仓明细!$B$24:$Y$24,'实盘净值数据(iFinD）'!$B191:$Y191/'实盘净值数据(iFinD）'!$B$65:$Y$65)+SUMPRODUCT(分期持仓明细!$AC$24:$AD$24,'实盘净值数据(iFinD）'!$Z191:$AA191/'实盘净值数据(iFinD）'!$Z$65:$AA$65))*(1-实盘持仓初始配置!$Z$8)^(('实盘净值数据(iFinD）'!$A191-'实盘净值数据(iFinD）'!$A$5)/365))</f>
        <v/>
      </c>
      <c r="O191" s="16" t="str">
        <f t="shared" si="22"/>
        <v/>
      </c>
      <c r="P191" s="16" t="str">
        <f>IF(N191="","",N191/MAX(N$5:N191)-1)</f>
        <v/>
      </c>
      <c r="Q191" s="13" t="str">
        <f>IF(OR('实盘净值数据(iFinD）'!$A191="",'实盘净值数据(iFinD）'!$B191="",'实盘净值数据(iFinD）'!$Z191="",'实盘净值数据(iFinD）'!$AA191=""),"",分期持仓明细!$AB$25*(SUMPRODUCT(分期持仓明细!$B$25:$Y$25,'实盘净值数据(iFinD）'!$B191:$Y191/'实盘净值数据(iFinD）'!$B$65:$Y$65)+SUMPRODUCT(分期持仓明细!$AC$25:$AD$25,'实盘净值数据(iFinD）'!$Z191:$AA191/'实盘净值数据(iFinD）'!$Z$65:$AA$65))*(1-实盘持仓初始配置!$Z$9)^(('实盘净值数据(iFinD）'!$A191-'实盘净值数据(iFinD）'!$A$8)/365))</f>
        <v/>
      </c>
      <c r="R191" s="16" t="str">
        <f t="shared" si="23"/>
        <v/>
      </c>
      <c r="S191" s="16" t="str">
        <f>IF(Q191="","",Q191/MAX(Q$5:Q191)-1)</f>
        <v/>
      </c>
      <c r="T191" s="13">
        <f>IF(OR('实盘净值数据(iFinD）'!$A191="",'实盘净值数据(iFinD）'!$B191="",'实盘净值数据(iFinD）'!$Z191="",'实盘净值数据(iFinD）'!$AA191="",'实盘净值数据(iFinD）'!$AB191="",'实盘净值数据(iFinD）'!$AL191=""),"",(SUMPRODUCT(分期持仓明细!$B$26:$Y$26,'实盘净值数据(iFinD）'!$B191:$Y191/'实盘净值数据(iFinD）'!$B$69:$Y$69)+SUMPRODUCT(分期持仓明细!$AC$26:$AD$26,'实盘净值数据(iFinD）'!$Z191:$AA191/'实盘净值数据(iFinD）'!$Z$69:$AA$69)+SUMPRODUCT(分期持仓明细!$AE$26:$AO$26,'实盘净值数据(iFinD）'!$AB191:$AL191/'实盘净值数据(iFinD）'!$AB$69:$AL$69))*(1-实盘持仓初始配置!$Z$10)^(('实盘净值数据(iFinD）'!$A191-'实盘净值数据(iFinD）'!$A$69)/365))</f>
        <v/>
      </c>
      <c r="U191" s="16">
        <f>IF(OR(T190="",T191=""),"",T191/T190-1)</f>
        <v/>
      </c>
      <c r="V191" s="16">
        <f>IF(T191="","",T191/MAX(T$5:T191)-1)</f>
        <v/>
      </c>
    </row>
    <row r="192" spans="1:19">
      <c r="A192" s="15" t="str">
        <f>IF('实盘净值数据(iFinD）'!A192="","",'实盘净值数据(iFinD）'!A192)</f>
        <v/>
      </c>
      <c r="B192" s="13" t="str">
        <f>IF(OR('实盘净值数据(iFinD）'!$A192="",'实盘净值数据(iFinD）'!$B192=""),"",分期持仓明细!$AB$17*SUMPRODUCT(分期持仓明细!$B$17:$Y$17,'实盘净值数据(iFinD）'!$B192:$Y192/'实盘净值数据(iFinD）'!$B$20:$Y$20)*(1-实盘持仓初始配置!$Z$4)^(('实盘净值数据(iFinD）'!$A192-'实盘净值数据(iFinD）'!$A$6)/365))</f>
        <v/>
      </c>
      <c r="C192" s="16" t="str">
        <f t="shared" si="18"/>
        <v/>
      </c>
      <c r="D192" s="16" t="str">
        <f>IF(B192="","",B192/MAX(B$5:B192)-1)</f>
        <v/>
      </c>
      <c r="E192" s="13" t="str">
        <f>IF(OR('实盘净值数据(iFinD）'!$A192="",'实盘净值数据(iFinD）'!$B192=""),"",分期持仓明细!$AB$18*SUMPRODUCT(分期持仓明细!$B$18:$Y$18,'实盘净值数据(iFinD）'!$B192:$Y192/'实盘净值数据(iFinD）'!$B$20:$Y$20)*(1-实盘持仓初始配置!$Z$5)^(('实盘净值数据(iFinD）'!$A192-'实盘净值数据(iFinD）'!$A$5)/365))</f>
        <v/>
      </c>
      <c r="F192" s="16" t="str">
        <f t="shared" si="19"/>
        <v/>
      </c>
      <c r="G192" s="16" t="str">
        <f>IF(E192="","",E192/MAX(E$5:E192)-1)</f>
        <v/>
      </c>
      <c r="H192" s="13" t="str">
        <f>IF(OR('实盘净值数据(iFinD）'!$A192="",'实盘净值数据(iFinD）'!$B192=""),"",分期持仓明细!$AB$19*SUMPRODUCT(分期持仓明细!$B$19:$Y$19,'实盘净值数据(iFinD）'!$B192:$Y192/'实盘净值数据(iFinD）'!$B$20:$Y$20)*(1-实盘持仓初始配置!$Z$6)^(('实盘净值数据(iFinD）'!$A192-'实盘净值数据(iFinD）'!$A$7)/365))</f>
        <v/>
      </c>
      <c r="I192" s="16" t="str">
        <f t="shared" si="20"/>
        <v/>
      </c>
      <c r="J192" s="16" t="str">
        <f>IF(H192="","",H192/MAX(H$5:H192)-1)</f>
        <v/>
      </c>
      <c r="K192" s="13" t="str">
        <f>IF(OR('实盘净值数据(iFinD）'!$A192="",'实盘净值数据(iFinD）'!$B192="",'实盘净值数据(iFinD）'!$Z192="",'实盘净值数据(iFinD）'!$AA192=""),"",分期持仓明细!$AB$23*(SUMPRODUCT(分期持仓明细!$B$23:$Y$23,'实盘净值数据(iFinD）'!$B192:$Y192/'实盘净值数据(iFinD）'!$B$65:$Y$65)+SUMPRODUCT(分期持仓明细!$AC$23:$AD$23,'实盘净值数据(iFinD）'!$Z192:$AA192/'实盘净值数据(iFinD）'!$Z$65:$AA$65))*(1-实盘持仓初始配置!$Z$7)^(('实盘净值数据(iFinD）'!$A192-'实盘净值数据(iFinD）'!$A$8)/365))</f>
        <v/>
      </c>
      <c r="L192" s="16" t="str">
        <f t="shared" si="21"/>
        <v/>
      </c>
      <c r="M192" s="16" t="str">
        <f>IF(K192="","",K192/MAX(K$5:K192)-1)</f>
        <v/>
      </c>
      <c r="N192" s="13" t="str">
        <f>IF(OR('实盘净值数据(iFinD）'!$A192="",'实盘净值数据(iFinD）'!$B192="",'实盘净值数据(iFinD）'!$Z192="",'实盘净值数据(iFinD）'!$AA192=""),"",分期持仓明细!$AB$24*(SUMPRODUCT(分期持仓明细!$B$24:$Y$24,'实盘净值数据(iFinD）'!$B192:$Y192/'实盘净值数据(iFinD）'!$B$65:$Y$65)+SUMPRODUCT(分期持仓明细!$AC$24:$AD$24,'实盘净值数据(iFinD）'!$Z192:$AA192/'实盘净值数据(iFinD）'!$Z$65:$AA$65))*(1-实盘持仓初始配置!$Z$8)^(('实盘净值数据(iFinD）'!$A192-'实盘净值数据(iFinD）'!$A$5)/365))</f>
        <v/>
      </c>
      <c r="O192" s="16" t="str">
        <f t="shared" si="22"/>
        <v/>
      </c>
      <c r="P192" s="16" t="str">
        <f>IF(N192="","",N192/MAX(N$5:N192)-1)</f>
        <v/>
      </c>
      <c r="Q192" s="13" t="str">
        <f>IF(OR('实盘净值数据(iFinD）'!$A192="",'实盘净值数据(iFinD）'!$B192="",'实盘净值数据(iFinD）'!$Z192="",'实盘净值数据(iFinD）'!$AA192=""),"",分期持仓明细!$AB$25*(SUMPRODUCT(分期持仓明细!$B$25:$Y$25,'实盘净值数据(iFinD）'!$B192:$Y192/'实盘净值数据(iFinD）'!$B$65:$Y$65)+SUMPRODUCT(分期持仓明细!$AC$25:$AD$25,'实盘净值数据(iFinD）'!$Z192:$AA192/'实盘净值数据(iFinD）'!$Z$65:$AA$65))*(1-实盘持仓初始配置!$Z$9)^(('实盘净值数据(iFinD）'!$A192-'实盘净值数据(iFinD）'!$A$8)/365))</f>
        <v/>
      </c>
      <c r="R192" s="16" t="str">
        <f t="shared" si="23"/>
        <v/>
      </c>
      <c r="S192" s="16" t="str">
        <f>IF(Q192="","",Q192/MAX(Q$5:Q192)-1)</f>
        <v/>
      </c>
      <c r="T192" s="13">
        <f>IF(OR('实盘净值数据(iFinD）'!$A192="",'实盘净值数据(iFinD）'!$B192="",'实盘净值数据(iFinD）'!$Z192="",'实盘净值数据(iFinD）'!$AA192="",'实盘净值数据(iFinD）'!$AB192="",'实盘净值数据(iFinD）'!$AL192=""),"",(SUMPRODUCT(分期持仓明细!$B$26:$Y$26,'实盘净值数据(iFinD）'!$B192:$Y192/'实盘净值数据(iFinD）'!$B$69:$Y$69)+SUMPRODUCT(分期持仓明细!$AC$26:$AD$26,'实盘净值数据(iFinD）'!$Z192:$AA192/'实盘净值数据(iFinD）'!$Z$69:$AA$69)+SUMPRODUCT(分期持仓明细!$AE$26:$AO$26,'实盘净值数据(iFinD）'!$AB192:$AL192/'实盘净值数据(iFinD）'!$AB$69:$AL$69))*(1-实盘持仓初始配置!$Z$10)^(('实盘净值数据(iFinD）'!$A192-'实盘净值数据(iFinD）'!$A$69)/365))</f>
        <v/>
      </c>
      <c r="U192" s="16">
        <f>IF(OR(T191="",T192=""),"",T192/T191-1)</f>
        <v/>
      </c>
      <c r="V192" s="16">
        <f>IF(T192="","",T192/MAX(T$5:T192)-1)</f>
        <v/>
      </c>
    </row>
    <row r="193" spans="1:19">
      <c r="A193" s="15" t="str">
        <f>IF('实盘净值数据(iFinD）'!A193="","",'实盘净值数据(iFinD）'!A193)</f>
        <v/>
      </c>
      <c r="B193" s="13" t="str">
        <f>IF(OR('实盘净值数据(iFinD）'!$A193="",'实盘净值数据(iFinD）'!$B193=""),"",分期持仓明细!$AB$17*SUMPRODUCT(分期持仓明细!$B$17:$Y$17,'实盘净值数据(iFinD）'!$B193:$Y193/'实盘净值数据(iFinD）'!$B$20:$Y$20)*(1-实盘持仓初始配置!$Z$4)^(('实盘净值数据(iFinD）'!$A193-'实盘净值数据(iFinD）'!$A$6)/365))</f>
        <v/>
      </c>
      <c r="C193" s="16" t="str">
        <f t="shared" si="18"/>
        <v/>
      </c>
      <c r="D193" s="16" t="str">
        <f>IF(B193="","",B193/MAX(B$5:B193)-1)</f>
        <v/>
      </c>
      <c r="E193" s="13" t="str">
        <f>IF(OR('实盘净值数据(iFinD）'!$A193="",'实盘净值数据(iFinD）'!$B193=""),"",分期持仓明细!$AB$18*SUMPRODUCT(分期持仓明细!$B$18:$Y$18,'实盘净值数据(iFinD）'!$B193:$Y193/'实盘净值数据(iFinD）'!$B$20:$Y$20)*(1-实盘持仓初始配置!$Z$5)^(('实盘净值数据(iFinD）'!$A193-'实盘净值数据(iFinD）'!$A$5)/365))</f>
        <v/>
      </c>
      <c r="F193" s="16" t="str">
        <f t="shared" si="19"/>
        <v/>
      </c>
      <c r="G193" s="16" t="str">
        <f>IF(E193="","",E193/MAX(E$5:E193)-1)</f>
        <v/>
      </c>
      <c r="H193" s="13" t="str">
        <f>IF(OR('实盘净值数据(iFinD）'!$A193="",'实盘净值数据(iFinD）'!$B193=""),"",分期持仓明细!$AB$19*SUMPRODUCT(分期持仓明细!$B$19:$Y$19,'实盘净值数据(iFinD）'!$B193:$Y193/'实盘净值数据(iFinD）'!$B$20:$Y$20)*(1-实盘持仓初始配置!$Z$6)^(('实盘净值数据(iFinD）'!$A193-'实盘净值数据(iFinD）'!$A$7)/365))</f>
        <v/>
      </c>
      <c r="I193" s="16" t="str">
        <f t="shared" si="20"/>
        <v/>
      </c>
      <c r="J193" s="16" t="str">
        <f>IF(H193="","",H193/MAX(H$5:H193)-1)</f>
        <v/>
      </c>
      <c r="K193" s="13" t="str">
        <f>IF(OR('实盘净值数据(iFinD）'!$A193="",'实盘净值数据(iFinD）'!$B193="",'实盘净值数据(iFinD）'!$Z193="",'实盘净值数据(iFinD）'!$AA193=""),"",分期持仓明细!$AB$23*(SUMPRODUCT(分期持仓明细!$B$23:$Y$23,'实盘净值数据(iFinD）'!$B193:$Y193/'实盘净值数据(iFinD）'!$B$65:$Y$65)+SUMPRODUCT(分期持仓明细!$AC$23:$AD$23,'实盘净值数据(iFinD）'!$Z193:$AA193/'实盘净值数据(iFinD）'!$Z$65:$AA$65))*(1-实盘持仓初始配置!$Z$7)^(('实盘净值数据(iFinD）'!$A193-'实盘净值数据(iFinD）'!$A$8)/365))</f>
        <v/>
      </c>
      <c r="L193" s="16" t="str">
        <f t="shared" si="21"/>
        <v/>
      </c>
      <c r="M193" s="16" t="str">
        <f>IF(K193="","",K193/MAX(K$5:K193)-1)</f>
        <v/>
      </c>
      <c r="N193" s="13" t="str">
        <f>IF(OR('实盘净值数据(iFinD）'!$A193="",'实盘净值数据(iFinD）'!$B193="",'实盘净值数据(iFinD）'!$Z193="",'实盘净值数据(iFinD）'!$AA193=""),"",分期持仓明细!$AB$24*(SUMPRODUCT(分期持仓明细!$B$24:$Y$24,'实盘净值数据(iFinD）'!$B193:$Y193/'实盘净值数据(iFinD）'!$B$65:$Y$65)+SUMPRODUCT(分期持仓明细!$AC$24:$AD$24,'实盘净值数据(iFinD）'!$Z193:$AA193/'实盘净值数据(iFinD）'!$Z$65:$AA$65))*(1-实盘持仓初始配置!$Z$8)^(('实盘净值数据(iFinD）'!$A193-'实盘净值数据(iFinD）'!$A$5)/365))</f>
        <v/>
      </c>
      <c r="O193" s="16" t="str">
        <f t="shared" si="22"/>
        <v/>
      </c>
      <c r="P193" s="16" t="str">
        <f>IF(N193="","",N193/MAX(N$5:N193)-1)</f>
        <v/>
      </c>
      <c r="Q193" s="13" t="str">
        <f>IF(OR('实盘净值数据(iFinD）'!$A193="",'实盘净值数据(iFinD）'!$B193="",'实盘净值数据(iFinD）'!$Z193="",'实盘净值数据(iFinD）'!$AA193=""),"",分期持仓明细!$AB$25*(SUMPRODUCT(分期持仓明细!$B$25:$Y$25,'实盘净值数据(iFinD）'!$B193:$Y193/'实盘净值数据(iFinD）'!$B$65:$Y$65)+SUMPRODUCT(分期持仓明细!$AC$25:$AD$25,'实盘净值数据(iFinD）'!$Z193:$AA193/'实盘净值数据(iFinD）'!$Z$65:$AA$65))*(1-实盘持仓初始配置!$Z$9)^(('实盘净值数据(iFinD）'!$A193-'实盘净值数据(iFinD）'!$A$8)/365))</f>
        <v/>
      </c>
      <c r="R193" s="16" t="str">
        <f t="shared" si="23"/>
        <v/>
      </c>
      <c r="S193" s="16" t="str">
        <f>IF(Q193="","",Q193/MAX(Q$5:Q193)-1)</f>
        <v/>
      </c>
      <c r="T193" s="13">
        <f>IF(OR('实盘净值数据(iFinD）'!$A193="",'实盘净值数据(iFinD）'!$B193="",'实盘净值数据(iFinD）'!$Z193="",'实盘净值数据(iFinD）'!$AA193="",'实盘净值数据(iFinD）'!$AB193="",'实盘净值数据(iFinD）'!$AL193=""),"",(SUMPRODUCT(分期持仓明细!$B$26:$Y$26,'实盘净值数据(iFinD）'!$B193:$Y193/'实盘净值数据(iFinD）'!$B$69:$Y$69)+SUMPRODUCT(分期持仓明细!$AC$26:$AD$26,'实盘净值数据(iFinD）'!$Z193:$AA193/'实盘净值数据(iFinD）'!$Z$69:$AA$69)+SUMPRODUCT(分期持仓明细!$AE$26:$AO$26,'实盘净值数据(iFinD）'!$AB193:$AL193/'实盘净值数据(iFinD）'!$AB$69:$AL$69))*(1-实盘持仓初始配置!$Z$10)^(('实盘净值数据(iFinD）'!$A193-'实盘净值数据(iFinD）'!$A$69)/365))</f>
        <v/>
      </c>
      <c r="U193" s="16">
        <f>IF(OR(T192="",T193=""),"",T193/T192-1)</f>
        <v/>
      </c>
      <c r="V193" s="16">
        <f>IF(T193="","",T193/MAX(T$5:T193)-1)</f>
        <v/>
      </c>
    </row>
    <row r="194" spans="1:19">
      <c r="A194" s="15" t="str">
        <f>IF('实盘净值数据(iFinD）'!A194="","",'实盘净值数据(iFinD）'!A194)</f>
        <v/>
      </c>
      <c r="B194" s="13" t="str">
        <f>IF(OR('实盘净值数据(iFinD）'!$A194="",'实盘净值数据(iFinD）'!$B194=""),"",分期持仓明细!$AB$17*SUMPRODUCT(分期持仓明细!$B$17:$Y$17,'实盘净值数据(iFinD）'!$B194:$Y194/'实盘净值数据(iFinD）'!$B$20:$Y$20)*(1-实盘持仓初始配置!$Z$4)^(('实盘净值数据(iFinD）'!$A194-'实盘净值数据(iFinD）'!$A$6)/365))</f>
        <v/>
      </c>
      <c r="C194" s="16" t="str">
        <f t="shared" si="18"/>
        <v/>
      </c>
      <c r="D194" s="16" t="str">
        <f>IF(B194="","",B194/MAX(B$5:B194)-1)</f>
        <v/>
      </c>
      <c r="E194" s="13" t="str">
        <f>IF(OR('实盘净值数据(iFinD）'!$A194="",'实盘净值数据(iFinD）'!$B194=""),"",分期持仓明细!$AB$18*SUMPRODUCT(分期持仓明细!$B$18:$Y$18,'实盘净值数据(iFinD）'!$B194:$Y194/'实盘净值数据(iFinD）'!$B$20:$Y$20)*(1-实盘持仓初始配置!$Z$5)^(('实盘净值数据(iFinD）'!$A194-'实盘净值数据(iFinD）'!$A$5)/365))</f>
        <v/>
      </c>
      <c r="F194" s="16" t="str">
        <f t="shared" si="19"/>
        <v/>
      </c>
      <c r="G194" s="16" t="str">
        <f>IF(E194="","",E194/MAX(E$5:E194)-1)</f>
        <v/>
      </c>
      <c r="H194" s="13" t="str">
        <f>IF(OR('实盘净值数据(iFinD）'!$A194="",'实盘净值数据(iFinD）'!$B194=""),"",分期持仓明细!$AB$19*SUMPRODUCT(分期持仓明细!$B$19:$Y$19,'实盘净值数据(iFinD）'!$B194:$Y194/'实盘净值数据(iFinD）'!$B$20:$Y$20)*(1-实盘持仓初始配置!$Z$6)^(('实盘净值数据(iFinD）'!$A194-'实盘净值数据(iFinD）'!$A$7)/365))</f>
        <v/>
      </c>
      <c r="I194" s="16" t="str">
        <f t="shared" si="20"/>
        <v/>
      </c>
      <c r="J194" s="16" t="str">
        <f>IF(H194="","",H194/MAX(H$5:H194)-1)</f>
        <v/>
      </c>
      <c r="K194" s="13" t="str">
        <f>IF(OR('实盘净值数据(iFinD）'!$A194="",'实盘净值数据(iFinD）'!$B194="",'实盘净值数据(iFinD）'!$Z194="",'实盘净值数据(iFinD）'!$AA194=""),"",分期持仓明细!$AB$23*(SUMPRODUCT(分期持仓明细!$B$23:$Y$23,'实盘净值数据(iFinD）'!$B194:$Y194/'实盘净值数据(iFinD）'!$B$65:$Y$65)+SUMPRODUCT(分期持仓明细!$AC$23:$AD$23,'实盘净值数据(iFinD）'!$Z194:$AA194/'实盘净值数据(iFinD）'!$Z$65:$AA$65))*(1-实盘持仓初始配置!$Z$7)^(('实盘净值数据(iFinD）'!$A194-'实盘净值数据(iFinD）'!$A$8)/365))</f>
        <v/>
      </c>
      <c r="L194" s="16" t="str">
        <f t="shared" si="21"/>
        <v/>
      </c>
      <c r="M194" s="16" t="str">
        <f>IF(K194="","",K194/MAX(K$5:K194)-1)</f>
        <v/>
      </c>
      <c r="N194" s="13" t="str">
        <f>IF(OR('实盘净值数据(iFinD）'!$A194="",'实盘净值数据(iFinD）'!$B194="",'实盘净值数据(iFinD）'!$Z194="",'实盘净值数据(iFinD）'!$AA194=""),"",分期持仓明细!$AB$24*(SUMPRODUCT(分期持仓明细!$B$24:$Y$24,'实盘净值数据(iFinD）'!$B194:$Y194/'实盘净值数据(iFinD）'!$B$65:$Y$65)+SUMPRODUCT(分期持仓明细!$AC$24:$AD$24,'实盘净值数据(iFinD）'!$Z194:$AA194/'实盘净值数据(iFinD）'!$Z$65:$AA$65))*(1-实盘持仓初始配置!$Z$8)^(('实盘净值数据(iFinD）'!$A194-'实盘净值数据(iFinD）'!$A$5)/365))</f>
        <v/>
      </c>
      <c r="O194" s="16" t="str">
        <f t="shared" si="22"/>
        <v/>
      </c>
      <c r="P194" s="16" t="str">
        <f>IF(N194="","",N194/MAX(N$5:N194)-1)</f>
        <v/>
      </c>
      <c r="Q194" s="13" t="str">
        <f>IF(OR('实盘净值数据(iFinD）'!$A194="",'实盘净值数据(iFinD）'!$B194="",'实盘净值数据(iFinD）'!$Z194="",'实盘净值数据(iFinD）'!$AA194=""),"",分期持仓明细!$AB$25*(SUMPRODUCT(分期持仓明细!$B$25:$Y$25,'实盘净值数据(iFinD）'!$B194:$Y194/'实盘净值数据(iFinD）'!$B$65:$Y$65)+SUMPRODUCT(分期持仓明细!$AC$25:$AD$25,'实盘净值数据(iFinD）'!$Z194:$AA194/'实盘净值数据(iFinD）'!$Z$65:$AA$65))*(1-实盘持仓初始配置!$Z$9)^(('实盘净值数据(iFinD）'!$A194-'实盘净值数据(iFinD）'!$A$8)/365))</f>
        <v/>
      </c>
      <c r="R194" s="16" t="str">
        <f t="shared" si="23"/>
        <v/>
      </c>
      <c r="S194" s="16" t="str">
        <f>IF(Q194="","",Q194/MAX(Q$5:Q194)-1)</f>
        <v/>
      </c>
      <c r="T194" s="13">
        <f>IF(OR('实盘净值数据(iFinD）'!$A194="",'实盘净值数据(iFinD）'!$B194="",'实盘净值数据(iFinD）'!$Z194="",'实盘净值数据(iFinD）'!$AA194="",'实盘净值数据(iFinD）'!$AB194="",'实盘净值数据(iFinD）'!$AL194=""),"",(SUMPRODUCT(分期持仓明细!$B$26:$Y$26,'实盘净值数据(iFinD）'!$B194:$Y194/'实盘净值数据(iFinD）'!$B$69:$Y$69)+SUMPRODUCT(分期持仓明细!$AC$26:$AD$26,'实盘净值数据(iFinD）'!$Z194:$AA194/'实盘净值数据(iFinD）'!$Z$69:$AA$69)+SUMPRODUCT(分期持仓明细!$AE$26:$AO$26,'实盘净值数据(iFinD）'!$AB194:$AL194/'实盘净值数据(iFinD）'!$AB$69:$AL$69))*(1-实盘持仓初始配置!$Z$10)^(('实盘净值数据(iFinD）'!$A194-'实盘净值数据(iFinD）'!$A$69)/365))</f>
        <v/>
      </c>
      <c r="U194" s="16">
        <f>IF(OR(T193="",T194=""),"",T194/T193-1)</f>
        <v/>
      </c>
      <c r="V194" s="16">
        <f>IF(T194="","",T194/MAX(T$5:T194)-1)</f>
        <v/>
      </c>
    </row>
    <row r="195" spans="1:19">
      <c r="A195" s="15" t="str">
        <f>IF('实盘净值数据(iFinD）'!A195="","",'实盘净值数据(iFinD）'!A195)</f>
        <v/>
      </c>
      <c r="B195" s="13" t="str">
        <f>IF(OR('实盘净值数据(iFinD）'!$A195="",'实盘净值数据(iFinD）'!$B195=""),"",分期持仓明细!$AB$17*SUMPRODUCT(分期持仓明细!$B$17:$Y$17,'实盘净值数据(iFinD）'!$B195:$Y195/'实盘净值数据(iFinD）'!$B$20:$Y$20)*(1-实盘持仓初始配置!$Z$4)^(('实盘净值数据(iFinD）'!$A195-'实盘净值数据(iFinD）'!$A$6)/365))</f>
        <v/>
      </c>
      <c r="C195" s="16" t="str">
        <f t="shared" si="18"/>
        <v/>
      </c>
      <c r="D195" s="16" t="str">
        <f>IF(B195="","",B195/MAX(B$5:B195)-1)</f>
        <v/>
      </c>
      <c r="E195" s="13" t="str">
        <f>IF(OR('实盘净值数据(iFinD）'!$A195="",'实盘净值数据(iFinD）'!$B195=""),"",分期持仓明细!$AB$18*SUMPRODUCT(分期持仓明细!$B$18:$Y$18,'实盘净值数据(iFinD）'!$B195:$Y195/'实盘净值数据(iFinD）'!$B$20:$Y$20)*(1-实盘持仓初始配置!$Z$5)^(('实盘净值数据(iFinD）'!$A195-'实盘净值数据(iFinD）'!$A$5)/365))</f>
        <v/>
      </c>
      <c r="F195" s="16" t="str">
        <f t="shared" si="19"/>
        <v/>
      </c>
      <c r="G195" s="16" t="str">
        <f>IF(E195="","",E195/MAX(E$5:E195)-1)</f>
        <v/>
      </c>
      <c r="H195" s="13" t="str">
        <f>IF(OR('实盘净值数据(iFinD）'!$A195="",'实盘净值数据(iFinD）'!$B195=""),"",分期持仓明细!$AB$19*SUMPRODUCT(分期持仓明细!$B$19:$Y$19,'实盘净值数据(iFinD）'!$B195:$Y195/'实盘净值数据(iFinD）'!$B$20:$Y$20)*(1-实盘持仓初始配置!$Z$6)^(('实盘净值数据(iFinD）'!$A195-'实盘净值数据(iFinD）'!$A$7)/365))</f>
        <v/>
      </c>
      <c r="I195" s="16" t="str">
        <f t="shared" si="20"/>
        <v/>
      </c>
      <c r="J195" s="16" t="str">
        <f>IF(H195="","",H195/MAX(H$5:H195)-1)</f>
        <v/>
      </c>
      <c r="K195" s="13" t="str">
        <f>IF(OR('实盘净值数据(iFinD）'!$A195="",'实盘净值数据(iFinD）'!$B195="",'实盘净值数据(iFinD）'!$Z195="",'实盘净值数据(iFinD）'!$AA195=""),"",分期持仓明细!$AB$23*(SUMPRODUCT(分期持仓明细!$B$23:$Y$23,'实盘净值数据(iFinD）'!$B195:$Y195/'实盘净值数据(iFinD）'!$B$65:$Y$65)+SUMPRODUCT(分期持仓明细!$AC$23:$AD$23,'实盘净值数据(iFinD）'!$Z195:$AA195/'实盘净值数据(iFinD）'!$Z$65:$AA$65))*(1-实盘持仓初始配置!$Z$7)^(('实盘净值数据(iFinD）'!$A195-'实盘净值数据(iFinD）'!$A$8)/365))</f>
        <v/>
      </c>
      <c r="L195" s="16" t="str">
        <f t="shared" si="21"/>
        <v/>
      </c>
      <c r="M195" s="16" t="str">
        <f>IF(K195="","",K195/MAX(K$5:K195)-1)</f>
        <v/>
      </c>
      <c r="N195" s="13" t="str">
        <f>IF(OR('实盘净值数据(iFinD）'!$A195="",'实盘净值数据(iFinD）'!$B195="",'实盘净值数据(iFinD）'!$Z195="",'实盘净值数据(iFinD）'!$AA195=""),"",分期持仓明细!$AB$24*(SUMPRODUCT(分期持仓明细!$B$24:$Y$24,'实盘净值数据(iFinD）'!$B195:$Y195/'实盘净值数据(iFinD）'!$B$65:$Y$65)+SUMPRODUCT(分期持仓明细!$AC$24:$AD$24,'实盘净值数据(iFinD）'!$Z195:$AA195/'实盘净值数据(iFinD）'!$Z$65:$AA$65))*(1-实盘持仓初始配置!$Z$8)^(('实盘净值数据(iFinD）'!$A195-'实盘净值数据(iFinD）'!$A$5)/365))</f>
        <v/>
      </c>
      <c r="O195" s="16" t="str">
        <f t="shared" si="22"/>
        <v/>
      </c>
      <c r="P195" s="16" t="str">
        <f>IF(N195="","",N195/MAX(N$5:N195)-1)</f>
        <v/>
      </c>
      <c r="Q195" s="13" t="str">
        <f>IF(OR('实盘净值数据(iFinD）'!$A195="",'实盘净值数据(iFinD）'!$B195="",'实盘净值数据(iFinD）'!$Z195="",'实盘净值数据(iFinD）'!$AA195=""),"",分期持仓明细!$AB$25*(SUMPRODUCT(分期持仓明细!$B$25:$Y$25,'实盘净值数据(iFinD）'!$B195:$Y195/'实盘净值数据(iFinD）'!$B$65:$Y$65)+SUMPRODUCT(分期持仓明细!$AC$25:$AD$25,'实盘净值数据(iFinD）'!$Z195:$AA195/'实盘净值数据(iFinD）'!$Z$65:$AA$65))*(1-实盘持仓初始配置!$Z$9)^(('实盘净值数据(iFinD）'!$A195-'实盘净值数据(iFinD）'!$A$8)/365))</f>
        <v/>
      </c>
      <c r="R195" s="16" t="str">
        <f t="shared" si="23"/>
        <v/>
      </c>
      <c r="S195" s="16" t="str">
        <f>IF(Q195="","",Q195/MAX(Q$5:Q195)-1)</f>
        <v/>
      </c>
      <c r="T195" s="13">
        <f>IF(OR('实盘净值数据(iFinD）'!$A195="",'实盘净值数据(iFinD）'!$B195="",'实盘净值数据(iFinD）'!$Z195="",'实盘净值数据(iFinD）'!$AA195="",'实盘净值数据(iFinD）'!$AB195="",'实盘净值数据(iFinD）'!$AL195=""),"",(SUMPRODUCT(分期持仓明细!$B$26:$Y$26,'实盘净值数据(iFinD）'!$B195:$Y195/'实盘净值数据(iFinD）'!$B$69:$Y$69)+SUMPRODUCT(分期持仓明细!$AC$26:$AD$26,'实盘净值数据(iFinD）'!$Z195:$AA195/'实盘净值数据(iFinD）'!$Z$69:$AA$69)+SUMPRODUCT(分期持仓明细!$AE$26:$AO$26,'实盘净值数据(iFinD）'!$AB195:$AL195/'实盘净值数据(iFinD）'!$AB$69:$AL$69))*(1-实盘持仓初始配置!$Z$10)^(('实盘净值数据(iFinD）'!$A195-'实盘净值数据(iFinD）'!$A$69)/365))</f>
        <v/>
      </c>
      <c r="U195" s="16">
        <f>IF(OR(T194="",T195=""),"",T195/T194-1)</f>
        <v/>
      </c>
      <c r="V195" s="16">
        <f>IF(T195="","",T195/MAX(T$5:T195)-1)</f>
        <v/>
      </c>
    </row>
    <row r="196" spans="1:19">
      <c r="A196" s="15" t="str">
        <f>IF('实盘净值数据(iFinD）'!A196="","",'实盘净值数据(iFinD）'!A196)</f>
        <v/>
      </c>
      <c r="B196" s="13" t="str">
        <f>IF(OR('实盘净值数据(iFinD）'!$A196="",'实盘净值数据(iFinD）'!$B196=""),"",分期持仓明细!$AB$17*SUMPRODUCT(分期持仓明细!$B$17:$Y$17,'实盘净值数据(iFinD）'!$B196:$Y196/'实盘净值数据(iFinD）'!$B$20:$Y$20)*(1-实盘持仓初始配置!$Z$4)^(('实盘净值数据(iFinD）'!$A196-'实盘净值数据(iFinD）'!$A$6)/365))</f>
        <v/>
      </c>
      <c r="C196" s="16" t="str">
        <f t="shared" si="18"/>
        <v/>
      </c>
      <c r="D196" s="16" t="str">
        <f>IF(B196="","",B196/MAX(B$5:B196)-1)</f>
        <v/>
      </c>
      <c r="E196" s="13" t="str">
        <f>IF(OR('实盘净值数据(iFinD）'!$A196="",'实盘净值数据(iFinD）'!$B196=""),"",分期持仓明细!$AB$18*SUMPRODUCT(分期持仓明细!$B$18:$Y$18,'实盘净值数据(iFinD）'!$B196:$Y196/'实盘净值数据(iFinD）'!$B$20:$Y$20)*(1-实盘持仓初始配置!$Z$5)^(('实盘净值数据(iFinD）'!$A196-'实盘净值数据(iFinD）'!$A$5)/365))</f>
        <v/>
      </c>
      <c r="F196" s="16" t="str">
        <f t="shared" si="19"/>
        <v/>
      </c>
      <c r="G196" s="16" t="str">
        <f>IF(E196="","",E196/MAX(E$5:E196)-1)</f>
        <v/>
      </c>
      <c r="H196" s="13" t="str">
        <f>IF(OR('实盘净值数据(iFinD）'!$A196="",'实盘净值数据(iFinD）'!$B196=""),"",分期持仓明细!$AB$19*SUMPRODUCT(分期持仓明细!$B$19:$Y$19,'实盘净值数据(iFinD）'!$B196:$Y196/'实盘净值数据(iFinD）'!$B$20:$Y$20)*(1-实盘持仓初始配置!$Z$6)^(('实盘净值数据(iFinD）'!$A196-'实盘净值数据(iFinD）'!$A$7)/365))</f>
        <v/>
      </c>
      <c r="I196" s="16" t="str">
        <f t="shared" si="20"/>
        <v/>
      </c>
      <c r="J196" s="16" t="str">
        <f>IF(H196="","",H196/MAX(H$5:H196)-1)</f>
        <v/>
      </c>
      <c r="K196" s="13" t="str">
        <f>IF(OR('实盘净值数据(iFinD）'!$A196="",'实盘净值数据(iFinD）'!$B196="",'实盘净值数据(iFinD）'!$Z196="",'实盘净值数据(iFinD）'!$AA196=""),"",分期持仓明细!$AB$23*(SUMPRODUCT(分期持仓明细!$B$23:$Y$23,'实盘净值数据(iFinD）'!$B196:$Y196/'实盘净值数据(iFinD）'!$B$65:$Y$65)+SUMPRODUCT(分期持仓明细!$AC$23:$AD$23,'实盘净值数据(iFinD）'!$Z196:$AA196/'实盘净值数据(iFinD）'!$Z$65:$AA$65))*(1-实盘持仓初始配置!$Z$7)^(('实盘净值数据(iFinD）'!$A196-'实盘净值数据(iFinD）'!$A$8)/365))</f>
        <v/>
      </c>
      <c r="L196" s="16" t="str">
        <f t="shared" si="21"/>
        <v/>
      </c>
      <c r="M196" s="16" t="str">
        <f>IF(K196="","",K196/MAX(K$5:K196)-1)</f>
        <v/>
      </c>
      <c r="N196" s="13" t="str">
        <f>IF(OR('实盘净值数据(iFinD）'!$A196="",'实盘净值数据(iFinD）'!$B196="",'实盘净值数据(iFinD）'!$Z196="",'实盘净值数据(iFinD）'!$AA196=""),"",分期持仓明细!$AB$24*(SUMPRODUCT(分期持仓明细!$B$24:$Y$24,'实盘净值数据(iFinD）'!$B196:$Y196/'实盘净值数据(iFinD）'!$B$65:$Y$65)+SUMPRODUCT(分期持仓明细!$AC$24:$AD$24,'实盘净值数据(iFinD）'!$Z196:$AA196/'实盘净值数据(iFinD）'!$Z$65:$AA$65))*(1-实盘持仓初始配置!$Z$8)^(('实盘净值数据(iFinD）'!$A196-'实盘净值数据(iFinD）'!$A$5)/365))</f>
        <v/>
      </c>
      <c r="O196" s="16" t="str">
        <f t="shared" si="22"/>
        <v/>
      </c>
      <c r="P196" s="16" t="str">
        <f>IF(N196="","",N196/MAX(N$5:N196)-1)</f>
        <v/>
      </c>
      <c r="Q196" s="13" t="str">
        <f>IF(OR('实盘净值数据(iFinD）'!$A196="",'实盘净值数据(iFinD）'!$B196="",'实盘净值数据(iFinD）'!$Z196="",'实盘净值数据(iFinD）'!$AA196=""),"",分期持仓明细!$AB$25*(SUMPRODUCT(分期持仓明细!$B$25:$Y$25,'实盘净值数据(iFinD）'!$B196:$Y196/'实盘净值数据(iFinD）'!$B$65:$Y$65)+SUMPRODUCT(分期持仓明细!$AC$25:$AD$25,'实盘净值数据(iFinD）'!$Z196:$AA196/'实盘净值数据(iFinD）'!$Z$65:$AA$65))*(1-实盘持仓初始配置!$Z$9)^(('实盘净值数据(iFinD）'!$A196-'实盘净值数据(iFinD）'!$A$8)/365))</f>
        <v/>
      </c>
      <c r="R196" s="16" t="str">
        <f t="shared" si="23"/>
        <v/>
      </c>
      <c r="S196" s="16" t="str">
        <f>IF(Q196="","",Q196/MAX(Q$5:Q196)-1)</f>
        <v/>
      </c>
      <c r="T196" s="13">
        <f>IF(OR('实盘净值数据(iFinD）'!$A196="",'实盘净值数据(iFinD）'!$B196="",'实盘净值数据(iFinD）'!$Z196="",'实盘净值数据(iFinD）'!$AA196="",'实盘净值数据(iFinD）'!$AB196="",'实盘净值数据(iFinD）'!$AL196=""),"",(SUMPRODUCT(分期持仓明细!$B$26:$Y$26,'实盘净值数据(iFinD）'!$B196:$Y196/'实盘净值数据(iFinD）'!$B$69:$Y$69)+SUMPRODUCT(分期持仓明细!$AC$26:$AD$26,'实盘净值数据(iFinD）'!$Z196:$AA196/'实盘净值数据(iFinD）'!$Z$69:$AA$69)+SUMPRODUCT(分期持仓明细!$AE$26:$AO$26,'实盘净值数据(iFinD）'!$AB196:$AL196/'实盘净值数据(iFinD）'!$AB$69:$AL$69))*(1-实盘持仓初始配置!$Z$10)^(('实盘净值数据(iFinD）'!$A196-'实盘净值数据(iFinD）'!$A$69)/365))</f>
        <v/>
      </c>
      <c r="U196" s="16">
        <f>IF(OR(T195="",T196=""),"",T196/T195-1)</f>
        <v/>
      </c>
      <c r="V196" s="16">
        <f>IF(T196="","",T196/MAX(T$5:T196)-1)</f>
        <v/>
      </c>
    </row>
    <row r="197" spans="1:19">
      <c r="A197" s="15" t="str">
        <f>IF('实盘净值数据(iFinD）'!A197="","",'实盘净值数据(iFinD）'!A197)</f>
        <v/>
      </c>
      <c r="B197" s="13" t="str">
        <f>IF(OR('实盘净值数据(iFinD）'!$A197="",'实盘净值数据(iFinD）'!$B197=""),"",分期持仓明细!$AB$17*SUMPRODUCT(分期持仓明细!$B$17:$Y$17,'实盘净值数据(iFinD）'!$B197:$Y197/'实盘净值数据(iFinD）'!$B$20:$Y$20)*(1-实盘持仓初始配置!$Z$4)^(('实盘净值数据(iFinD）'!$A197-'实盘净值数据(iFinD）'!$A$6)/365))</f>
        <v/>
      </c>
      <c r="C197" s="16" t="str">
        <f t="shared" si="18"/>
        <v/>
      </c>
      <c r="D197" s="16" t="str">
        <f>IF(B197="","",B197/MAX(B$5:B197)-1)</f>
        <v/>
      </c>
      <c r="E197" s="13" t="str">
        <f>IF(OR('实盘净值数据(iFinD）'!$A197="",'实盘净值数据(iFinD）'!$B197=""),"",分期持仓明细!$AB$18*SUMPRODUCT(分期持仓明细!$B$18:$Y$18,'实盘净值数据(iFinD）'!$B197:$Y197/'实盘净值数据(iFinD）'!$B$20:$Y$20)*(1-实盘持仓初始配置!$Z$5)^(('实盘净值数据(iFinD）'!$A197-'实盘净值数据(iFinD）'!$A$5)/365))</f>
        <v/>
      </c>
      <c r="F197" s="16" t="str">
        <f t="shared" si="19"/>
        <v/>
      </c>
      <c r="G197" s="16" t="str">
        <f>IF(E197="","",E197/MAX(E$5:E197)-1)</f>
        <v/>
      </c>
      <c r="H197" s="13" t="str">
        <f>IF(OR('实盘净值数据(iFinD）'!$A197="",'实盘净值数据(iFinD）'!$B197=""),"",分期持仓明细!$AB$19*SUMPRODUCT(分期持仓明细!$B$19:$Y$19,'实盘净值数据(iFinD）'!$B197:$Y197/'实盘净值数据(iFinD）'!$B$20:$Y$20)*(1-实盘持仓初始配置!$Z$6)^(('实盘净值数据(iFinD）'!$A197-'实盘净值数据(iFinD）'!$A$7)/365))</f>
        <v/>
      </c>
      <c r="I197" s="16" t="str">
        <f t="shared" si="20"/>
        <v/>
      </c>
      <c r="J197" s="16" t="str">
        <f>IF(H197="","",H197/MAX(H$5:H197)-1)</f>
        <v/>
      </c>
      <c r="K197" s="13" t="str">
        <f>IF(OR('实盘净值数据(iFinD）'!$A197="",'实盘净值数据(iFinD）'!$B197="",'实盘净值数据(iFinD）'!$Z197="",'实盘净值数据(iFinD）'!$AA197=""),"",分期持仓明细!$AB$23*(SUMPRODUCT(分期持仓明细!$B$23:$Y$23,'实盘净值数据(iFinD）'!$B197:$Y197/'实盘净值数据(iFinD）'!$B$65:$Y$65)+SUMPRODUCT(分期持仓明细!$AC$23:$AD$23,'实盘净值数据(iFinD）'!$Z197:$AA197/'实盘净值数据(iFinD）'!$Z$65:$AA$65))*(1-实盘持仓初始配置!$Z$7)^(('实盘净值数据(iFinD）'!$A197-'实盘净值数据(iFinD）'!$A$8)/365))</f>
        <v/>
      </c>
      <c r="L197" s="16" t="str">
        <f t="shared" si="21"/>
        <v/>
      </c>
      <c r="M197" s="16" t="str">
        <f>IF(K197="","",K197/MAX(K$5:K197)-1)</f>
        <v/>
      </c>
      <c r="N197" s="13" t="str">
        <f>IF(OR('实盘净值数据(iFinD）'!$A197="",'实盘净值数据(iFinD）'!$B197="",'实盘净值数据(iFinD）'!$Z197="",'实盘净值数据(iFinD）'!$AA197=""),"",分期持仓明细!$AB$24*(SUMPRODUCT(分期持仓明细!$B$24:$Y$24,'实盘净值数据(iFinD）'!$B197:$Y197/'实盘净值数据(iFinD）'!$B$65:$Y$65)+SUMPRODUCT(分期持仓明细!$AC$24:$AD$24,'实盘净值数据(iFinD）'!$Z197:$AA197/'实盘净值数据(iFinD）'!$Z$65:$AA$65))*(1-实盘持仓初始配置!$Z$8)^(('实盘净值数据(iFinD）'!$A197-'实盘净值数据(iFinD）'!$A$5)/365))</f>
        <v/>
      </c>
      <c r="O197" s="16" t="str">
        <f t="shared" si="22"/>
        <v/>
      </c>
      <c r="P197" s="16" t="str">
        <f>IF(N197="","",N197/MAX(N$5:N197)-1)</f>
        <v/>
      </c>
      <c r="Q197" s="13" t="str">
        <f>IF(OR('实盘净值数据(iFinD）'!$A197="",'实盘净值数据(iFinD）'!$B197="",'实盘净值数据(iFinD）'!$Z197="",'实盘净值数据(iFinD）'!$AA197=""),"",分期持仓明细!$AB$25*(SUMPRODUCT(分期持仓明细!$B$25:$Y$25,'实盘净值数据(iFinD）'!$B197:$Y197/'实盘净值数据(iFinD）'!$B$65:$Y$65)+SUMPRODUCT(分期持仓明细!$AC$25:$AD$25,'实盘净值数据(iFinD）'!$Z197:$AA197/'实盘净值数据(iFinD）'!$Z$65:$AA$65))*(1-实盘持仓初始配置!$Z$9)^(('实盘净值数据(iFinD）'!$A197-'实盘净值数据(iFinD）'!$A$8)/365))</f>
        <v/>
      </c>
      <c r="R197" s="16" t="str">
        <f t="shared" si="23"/>
        <v/>
      </c>
      <c r="S197" s="16" t="str">
        <f>IF(Q197="","",Q197/MAX(Q$5:Q197)-1)</f>
        <v/>
      </c>
      <c r="T197" s="13">
        <f>IF(OR('实盘净值数据(iFinD）'!$A197="",'实盘净值数据(iFinD）'!$B197="",'实盘净值数据(iFinD）'!$Z197="",'实盘净值数据(iFinD）'!$AA197="",'实盘净值数据(iFinD）'!$AB197="",'实盘净值数据(iFinD）'!$AL197=""),"",(SUMPRODUCT(分期持仓明细!$B$26:$Y$26,'实盘净值数据(iFinD）'!$B197:$Y197/'实盘净值数据(iFinD）'!$B$69:$Y$69)+SUMPRODUCT(分期持仓明细!$AC$26:$AD$26,'实盘净值数据(iFinD）'!$Z197:$AA197/'实盘净值数据(iFinD）'!$Z$69:$AA$69)+SUMPRODUCT(分期持仓明细!$AE$26:$AO$26,'实盘净值数据(iFinD）'!$AB197:$AL197/'实盘净值数据(iFinD）'!$AB$69:$AL$69))*(1-实盘持仓初始配置!$Z$10)^(('实盘净值数据(iFinD）'!$A197-'实盘净值数据(iFinD）'!$A$69)/365))</f>
        <v/>
      </c>
      <c r="U197" s="16">
        <f>IF(OR(T196="",T197=""),"",T197/T196-1)</f>
        <v/>
      </c>
      <c r="V197" s="16">
        <f>IF(T197="","",T197/MAX(T$5:T197)-1)</f>
        <v/>
      </c>
    </row>
    <row r="198" spans="1:19">
      <c r="A198" s="15" t="str">
        <f>IF('实盘净值数据(iFinD）'!A198="","",'实盘净值数据(iFinD）'!A198)</f>
        <v/>
      </c>
      <c r="B198" s="13" t="str">
        <f>IF(OR('实盘净值数据(iFinD）'!$A198="",'实盘净值数据(iFinD）'!$B198=""),"",分期持仓明细!$AB$17*SUMPRODUCT(分期持仓明细!$B$17:$Y$17,'实盘净值数据(iFinD）'!$B198:$Y198/'实盘净值数据(iFinD）'!$B$20:$Y$20)*(1-实盘持仓初始配置!$Z$4)^(('实盘净值数据(iFinD）'!$A198-'实盘净值数据(iFinD）'!$A$6)/365))</f>
        <v/>
      </c>
      <c r="C198" s="16" t="str">
        <f t="shared" si="18"/>
        <v/>
      </c>
      <c r="D198" s="16" t="str">
        <f>IF(B198="","",B198/MAX(B$5:B198)-1)</f>
        <v/>
      </c>
      <c r="E198" s="13" t="str">
        <f>IF(OR('实盘净值数据(iFinD）'!$A198="",'实盘净值数据(iFinD）'!$B198=""),"",分期持仓明细!$AB$18*SUMPRODUCT(分期持仓明细!$B$18:$Y$18,'实盘净值数据(iFinD）'!$B198:$Y198/'实盘净值数据(iFinD）'!$B$20:$Y$20)*(1-实盘持仓初始配置!$Z$5)^(('实盘净值数据(iFinD）'!$A198-'实盘净值数据(iFinD）'!$A$5)/365))</f>
        <v/>
      </c>
      <c r="F198" s="16" t="str">
        <f t="shared" si="19"/>
        <v/>
      </c>
      <c r="G198" s="16" t="str">
        <f>IF(E198="","",E198/MAX(E$5:E198)-1)</f>
        <v/>
      </c>
      <c r="H198" s="13" t="str">
        <f>IF(OR('实盘净值数据(iFinD）'!$A198="",'实盘净值数据(iFinD）'!$B198=""),"",分期持仓明细!$AB$19*SUMPRODUCT(分期持仓明细!$B$19:$Y$19,'实盘净值数据(iFinD）'!$B198:$Y198/'实盘净值数据(iFinD）'!$B$20:$Y$20)*(1-实盘持仓初始配置!$Z$6)^(('实盘净值数据(iFinD）'!$A198-'实盘净值数据(iFinD）'!$A$7)/365))</f>
        <v/>
      </c>
      <c r="I198" s="16" t="str">
        <f t="shared" si="20"/>
        <v/>
      </c>
      <c r="J198" s="16" t="str">
        <f>IF(H198="","",H198/MAX(H$5:H198)-1)</f>
        <v/>
      </c>
      <c r="K198" s="13" t="str">
        <f>IF(OR('实盘净值数据(iFinD）'!$A198="",'实盘净值数据(iFinD）'!$B198="",'实盘净值数据(iFinD）'!$Z198="",'实盘净值数据(iFinD）'!$AA198=""),"",分期持仓明细!$AB$23*(SUMPRODUCT(分期持仓明细!$B$23:$Y$23,'实盘净值数据(iFinD）'!$B198:$Y198/'实盘净值数据(iFinD）'!$B$65:$Y$65)+SUMPRODUCT(分期持仓明细!$AC$23:$AD$23,'实盘净值数据(iFinD）'!$Z198:$AA198/'实盘净值数据(iFinD）'!$Z$65:$AA$65))*(1-实盘持仓初始配置!$Z$7)^(('实盘净值数据(iFinD）'!$A198-'实盘净值数据(iFinD）'!$A$8)/365))</f>
        <v/>
      </c>
      <c r="L198" s="16" t="str">
        <f t="shared" si="21"/>
        <v/>
      </c>
      <c r="M198" s="16" t="str">
        <f>IF(K198="","",K198/MAX(K$5:K198)-1)</f>
        <v/>
      </c>
      <c r="N198" s="13" t="str">
        <f>IF(OR('实盘净值数据(iFinD）'!$A198="",'实盘净值数据(iFinD）'!$B198="",'实盘净值数据(iFinD）'!$Z198="",'实盘净值数据(iFinD）'!$AA198=""),"",分期持仓明细!$AB$24*(SUMPRODUCT(分期持仓明细!$B$24:$Y$24,'实盘净值数据(iFinD）'!$B198:$Y198/'实盘净值数据(iFinD）'!$B$65:$Y$65)+SUMPRODUCT(分期持仓明细!$AC$24:$AD$24,'实盘净值数据(iFinD）'!$Z198:$AA198/'实盘净值数据(iFinD）'!$Z$65:$AA$65))*(1-实盘持仓初始配置!$Z$8)^(('实盘净值数据(iFinD）'!$A198-'实盘净值数据(iFinD）'!$A$5)/365))</f>
        <v/>
      </c>
      <c r="O198" s="16" t="str">
        <f t="shared" si="22"/>
        <v/>
      </c>
      <c r="P198" s="16" t="str">
        <f>IF(N198="","",N198/MAX(N$5:N198)-1)</f>
        <v/>
      </c>
      <c r="Q198" s="13" t="str">
        <f>IF(OR('实盘净值数据(iFinD）'!$A198="",'实盘净值数据(iFinD）'!$B198="",'实盘净值数据(iFinD）'!$Z198="",'实盘净值数据(iFinD）'!$AA198=""),"",分期持仓明细!$AB$25*(SUMPRODUCT(分期持仓明细!$B$25:$Y$25,'实盘净值数据(iFinD）'!$B198:$Y198/'实盘净值数据(iFinD）'!$B$65:$Y$65)+SUMPRODUCT(分期持仓明细!$AC$25:$AD$25,'实盘净值数据(iFinD）'!$Z198:$AA198/'实盘净值数据(iFinD）'!$Z$65:$AA$65))*(1-实盘持仓初始配置!$Z$9)^(('实盘净值数据(iFinD）'!$A198-'实盘净值数据(iFinD）'!$A$8)/365))</f>
        <v/>
      </c>
      <c r="R198" s="16" t="str">
        <f t="shared" si="23"/>
        <v/>
      </c>
      <c r="S198" s="16" t="str">
        <f>IF(Q198="","",Q198/MAX(Q$5:Q198)-1)</f>
        <v/>
      </c>
      <c r="T198" s="13">
        <f>IF(OR('实盘净值数据(iFinD）'!$A198="",'实盘净值数据(iFinD）'!$B198="",'实盘净值数据(iFinD）'!$Z198="",'实盘净值数据(iFinD）'!$AA198="",'实盘净值数据(iFinD）'!$AB198="",'实盘净值数据(iFinD）'!$AL198=""),"",(SUMPRODUCT(分期持仓明细!$B$26:$Y$26,'实盘净值数据(iFinD）'!$B198:$Y198/'实盘净值数据(iFinD）'!$B$69:$Y$69)+SUMPRODUCT(分期持仓明细!$AC$26:$AD$26,'实盘净值数据(iFinD）'!$Z198:$AA198/'实盘净值数据(iFinD）'!$Z$69:$AA$69)+SUMPRODUCT(分期持仓明细!$AE$26:$AO$26,'实盘净值数据(iFinD）'!$AB198:$AL198/'实盘净值数据(iFinD）'!$AB$69:$AL$69))*(1-实盘持仓初始配置!$Z$10)^(('实盘净值数据(iFinD）'!$A198-'实盘净值数据(iFinD）'!$A$69)/365))</f>
        <v/>
      </c>
      <c r="U198" s="16">
        <f>IF(OR(T197="",T198=""),"",T198/T197-1)</f>
        <v/>
      </c>
      <c r="V198" s="16">
        <f>IF(T198="","",T198/MAX(T$5:T198)-1)</f>
        <v/>
      </c>
    </row>
    <row r="199" spans="1:19">
      <c r="A199" s="15" t="str">
        <f>IF('实盘净值数据(iFinD）'!A199="","",'实盘净值数据(iFinD）'!A199)</f>
        <v/>
      </c>
      <c r="B199" s="13" t="str">
        <f>IF(OR('实盘净值数据(iFinD）'!$A199="",'实盘净值数据(iFinD）'!$B199=""),"",分期持仓明细!$AB$17*SUMPRODUCT(分期持仓明细!$B$17:$Y$17,'实盘净值数据(iFinD）'!$B199:$Y199/'实盘净值数据(iFinD）'!$B$20:$Y$20)*(1-实盘持仓初始配置!$Z$4)^(('实盘净值数据(iFinD）'!$A199-'实盘净值数据(iFinD）'!$A$6)/365))</f>
        <v/>
      </c>
      <c r="C199" s="16" t="str">
        <f t="shared" si="18"/>
        <v/>
      </c>
      <c r="D199" s="16" t="str">
        <f>IF(B199="","",B199/MAX(B$5:B199)-1)</f>
        <v/>
      </c>
      <c r="E199" s="13" t="str">
        <f>IF(OR('实盘净值数据(iFinD）'!$A199="",'实盘净值数据(iFinD）'!$B199=""),"",分期持仓明细!$AB$18*SUMPRODUCT(分期持仓明细!$B$18:$Y$18,'实盘净值数据(iFinD）'!$B199:$Y199/'实盘净值数据(iFinD）'!$B$20:$Y$20)*(1-实盘持仓初始配置!$Z$5)^(('实盘净值数据(iFinD）'!$A199-'实盘净值数据(iFinD）'!$A$5)/365))</f>
        <v/>
      </c>
      <c r="F199" s="16" t="str">
        <f t="shared" si="19"/>
        <v/>
      </c>
      <c r="G199" s="16" t="str">
        <f>IF(E199="","",E199/MAX(E$5:E199)-1)</f>
        <v/>
      </c>
      <c r="H199" s="13" t="str">
        <f>IF(OR('实盘净值数据(iFinD）'!$A199="",'实盘净值数据(iFinD）'!$B199=""),"",分期持仓明细!$AB$19*SUMPRODUCT(分期持仓明细!$B$19:$Y$19,'实盘净值数据(iFinD）'!$B199:$Y199/'实盘净值数据(iFinD）'!$B$20:$Y$20)*(1-实盘持仓初始配置!$Z$6)^(('实盘净值数据(iFinD）'!$A199-'实盘净值数据(iFinD）'!$A$7)/365))</f>
        <v/>
      </c>
      <c r="I199" s="16" t="str">
        <f t="shared" si="20"/>
        <v/>
      </c>
      <c r="J199" s="16" t="str">
        <f>IF(H199="","",H199/MAX(H$5:H199)-1)</f>
        <v/>
      </c>
      <c r="K199" s="13" t="str">
        <f>IF(OR('实盘净值数据(iFinD）'!$A199="",'实盘净值数据(iFinD）'!$B199="",'实盘净值数据(iFinD）'!$Z199="",'实盘净值数据(iFinD）'!$AA199=""),"",分期持仓明细!$AB$23*(SUMPRODUCT(分期持仓明细!$B$23:$Y$23,'实盘净值数据(iFinD）'!$B199:$Y199/'实盘净值数据(iFinD）'!$B$65:$Y$65)+SUMPRODUCT(分期持仓明细!$AC$23:$AD$23,'实盘净值数据(iFinD）'!$Z199:$AA199/'实盘净值数据(iFinD）'!$Z$65:$AA$65))*(1-实盘持仓初始配置!$Z$7)^(('实盘净值数据(iFinD）'!$A199-'实盘净值数据(iFinD）'!$A$8)/365))</f>
        <v/>
      </c>
      <c r="L199" s="16" t="str">
        <f t="shared" si="21"/>
        <v/>
      </c>
      <c r="M199" s="16" t="str">
        <f>IF(K199="","",K199/MAX(K$5:K199)-1)</f>
        <v/>
      </c>
      <c r="N199" s="13" t="str">
        <f>IF(OR('实盘净值数据(iFinD）'!$A199="",'实盘净值数据(iFinD）'!$B199="",'实盘净值数据(iFinD）'!$Z199="",'实盘净值数据(iFinD）'!$AA199=""),"",分期持仓明细!$AB$24*(SUMPRODUCT(分期持仓明细!$B$24:$Y$24,'实盘净值数据(iFinD）'!$B199:$Y199/'实盘净值数据(iFinD）'!$B$65:$Y$65)+SUMPRODUCT(分期持仓明细!$AC$24:$AD$24,'实盘净值数据(iFinD）'!$Z199:$AA199/'实盘净值数据(iFinD）'!$Z$65:$AA$65))*(1-实盘持仓初始配置!$Z$8)^(('实盘净值数据(iFinD）'!$A199-'实盘净值数据(iFinD）'!$A$5)/365))</f>
        <v/>
      </c>
      <c r="O199" s="16" t="str">
        <f t="shared" si="22"/>
        <v/>
      </c>
      <c r="P199" s="16" t="str">
        <f>IF(N199="","",N199/MAX(N$5:N199)-1)</f>
        <v/>
      </c>
      <c r="Q199" s="13" t="str">
        <f>IF(OR('实盘净值数据(iFinD）'!$A199="",'实盘净值数据(iFinD）'!$B199="",'实盘净值数据(iFinD）'!$Z199="",'实盘净值数据(iFinD）'!$AA199=""),"",分期持仓明细!$AB$25*(SUMPRODUCT(分期持仓明细!$B$25:$Y$25,'实盘净值数据(iFinD）'!$B199:$Y199/'实盘净值数据(iFinD）'!$B$65:$Y$65)+SUMPRODUCT(分期持仓明细!$AC$25:$AD$25,'实盘净值数据(iFinD）'!$Z199:$AA199/'实盘净值数据(iFinD）'!$Z$65:$AA$65))*(1-实盘持仓初始配置!$Z$9)^(('实盘净值数据(iFinD）'!$A199-'实盘净值数据(iFinD）'!$A$8)/365))</f>
        <v/>
      </c>
      <c r="R199" s="16" t="str">
        <f t="shared" si="23"/>
        <v/>
      </c>
      <c r="S199" s="16" t="str">
        <f>IF(Q199="","",Q199/MAX(Q$5:Q199)-1)</f>
        <v/>
      </c>
      <c r="T199" s="13">
        <f>IF(OR('实盘净值数据(iFinD）'!$A199="",'实盘净值数据(iFinD）'!$B199="",'实盘净值数据(iFinD）'!$Z199="",'实盘净值数据(iFinD）'!$AA199="",'实盘净值数据(iFinD）'!$AB199="",'实盘净值数据(iFinD）'!$AL199=""),"",(SUMPRODUCT(分期持仓明细!$B$26:$Y$26,'实盘净值数据(iFinD）'!$B199:$Y199/'实盘净值数据(iFinD）'!$B$69:$Y$69)+SUMPRODUCT(分期持仓明细!$AC$26:$AD$26,'实盘净值数据(iFinD）'!$Z199:$AA199/'实盘净值数据(iFinD）'!$Z$69:$AA$69)+SUMPRODUCT(分期持仓明细!$AE$26:$AO$26,'实盘净值数据(iFinD）'!$AB199:$AL199/'实盘净值数据(iFinD）'!$AB$69:$AL$69))*(1-实盘持仓初始配置!$Z$10)^(('实盘净值数据(iFinD）'!$A199-'实盘净值数据(iFinD）'!$A$69)/365))</f>
        <v/>
      </c>
      <c r="U199" s="16">
        <f>IF(OR(T198="",T199=""),"",T199/T198-1)</f>
        <v/>
      </c>
      <c r="V199" s="16">
        <f>IF(T199="","",T199/MAX(T$5:T199)-1)</f>
        <v/>
      </c>
    </row>
    <row r="200" spans="1:19">
      <c r="A200" s="15" t="str">
        <f>IF('实盘净值数据(iFinD）'!A200="","",'实盘净值数据(iFinD）'!A200)</f>
        <v/>
      </c>
      <c r="B200" s="13" t="str">
        <f>IF(OR('实盘净值数据(iFinD）'!$A200="",'实盘净值数据(iFinD）'!$B200=""),"",分期持仓明细!$AB$17*SUMPRODUCT(分期持仓明细!$B$17:$Y$17,'实盘净值数据(iFinD）'!$B200:$Y200/'实盘净值数据(iFinD）'!$B$20:$Y$20)*(1-实盘持仓初始配置!$Z$4)^(('实盘净值数据(iFinD）'!$A200-'实盘净值数据(iFinD）'!$A$6)/365))</f>
        <v/>
      </c>
      <c r="C200" s="16" t="str">
        <f t="shared" si="18"/>
        <v/>
      </c>
      <c r="D200" s="16" t="str">
        <f>IF(B200="","",B200/MAX(B$5:B200)-1)</f>
        <v/>
      </c>
      <c r="E200" s="13" t="str">
        <f>IF(OR('实盘净值数据(iFinD）'!$A200="",'实盘净值数据(iFinD）'!$B200=""),"",分期持仓明细!$AB$18*SUMPRODUCT(分期持仓明细!$B$18:$Y$18,'实盘净值数据(iFinD）'!$B200:$Y200/'实盘净值数据(iFinD）'!$B$20:$Y$20)*(1-实盘持仓初始配置!$Z$5)^(('实盘净值数据(iFinD）'!$A200-'实盘净值数据(iFinD）'!$A$5)/365))</f>
        <v/>
      </c>
      <c r="F200" s="16" t="str">
        <f t="shared" si="19"/>
        <v/>
      </c>
      <c r="G200" s="16" t="str">
        <f>IF(E200="","",E200/MAX(E$5:E200)-1)</f>
        <v/>
      </c>
      <c r="H200" s="13" t="str">
        <f>IF(OR('实盘净值数据(iFinD）'!$A200="",'实盘净值数据(iFinD）'!$B200=""),"",分期持仓明细!$AB$19*SUMPRODUCT(分期持仓明细!$B$19:$Y$19,'实盘净值数据(iFinD）'!$B200:$Y200/'实盘净值数据(iFinD）'!$B$20:$Y$20)*(1-实盘持仓初始配置!$Z$6)^(('实盘净值数据(iFinD）'!$A200-'实盘净值数据(iFinD）'!$A$7)/365))</f>
        <v/>
      </c>
      <c r="I200" s="16" t="str">
        <f t="shared" si="20"/>
        <v/>
      </c>
      <c r="J200" s="16" t="str">
        <f>IF(H200="","",H200/MAX(H$5:H200)-1)</f>
        <v/>
      </c>
      <c r="K200" s="13" t="str">
        <f>IF(OR('实盘净值数据(iFinD）'!$A200="",'实盘净值数据(iFinD）'!$B200="",'实盘净值数据(iFinD）'!$Z200="",'实盘净值数据(iFinD）'!$AA200=""),"",分期持仓明细!$AB$23*(SUMPRODUCT(分期持仓明细!$B$23:$Y$23,'实盘净值数据(iFinD）'!$B200:$Y200/'实盘净值数据(iFinD）'!$B$65:$Y$65)+SUMPRODUCT(分期持仓明细!$AC$23:$AD$23,'实盘净值数据(iFinD）'!$Z200:$AA200/'实盘净值数据(iFinD）'!$Z$65:$AA$65))*(1-实盘持仓初始配置!$Z$7)^(('实盘净值数据(iFinD）'!$A200-'实盘净值数据(iFinD）'!$A$8)/365))</f>
        <v/>
      </c>
      <c r="L200" s="16" t="str">
        <f t="shared" si="21"/>
        <v/>
      </c>
      <c r="M200" s="16" t="str">
        <f>IF(K200="","",K200/MAX(K$5:K200)-1)</f>
        <v/>
      </c>
      <c r="N200" s="13" t="str">
        <f>IF(OR('实盘净值数据(iFinD）'!$A200="",'实盘净值数据(iFinD）'!$B200="",'实盘净值数据(iFinD）'!$Z200="",'实盘净值数据(iFinD）'!$AA200=""),"",分期持仓明细!$AB$24*(SUMPRODUCT(分期持仓明细!$B$24:$Y$24,'实盘净值数据(iFinD）'!$B200:$Y200/'实盘净值数据(iFinD）'!$B$65:$Y$65)+SUMPRODUCT(分期持仓明细!$AC$24:$AD$24,'实盘净值数据(iFinD）'!$Z200:$AA200/'实盘净值数据(iFinD）'!$Z$65:$AA$65))*(1-实盘持仓初始配置!$Z$8)^(('实盘净值数据(iFinD）'!$A200-'实盘净值数据(iFinD）'!$A$5)/365))</f>
        <v/>
      </c>
      <c r="O200" s="16" t="str">
        <f t="shared" si="22"/>
        <v/>
      </c>
      <c r="P200" s="16" t="str">
        <f>IF(N200="","",N200/MAX(N$5:N200)-1)</f>
        <v/>
      </c>
      <c r="Q200" s="13" t="str">
        <f>IF(OR('实盘净值数据(iFinD）'!$A200="",'实盘净值数据(iFinD）'!$B200="",'实盘净值数据(iFinD）'!$Z200="",'实盘净值数据(iFinD）'!$AA200=""),"",分期持仓明细!$AB$25*(SUMPRODUCT(分期持仓明细!$B$25:$Y$25,'实盘净值数据(iFinD）'!$B200:$Y200/'实盘净值数据(iFinD）'!$B$65:$Y$65)+SUMPRODUCT(分期持仓明细!$AC$25:$AD$25,'实盘净值数据(iFinD）'!$Z200:$AA200/'实盘净值数据(iFinD）'!$Z$65:$AA$65))*(1-实盘持仓初始配置!$Z$9)^(('实盘净值数据(iFinD）'!$A200-'实盘净值数据(iFinD）'!$A$8)/365))</f>
        <v/>
      </c>
      <c r="R200" s="16" t="str">
        <f t="shared" si="23"/>
        <v/>
      </c>
      <c r="S200" s="16" t="str">
        <f>IF(Q200="","",Q200/MAX(Q$5:Q200)-1)</f>
        <v/>
      </c>
      <c r="T200" s="13">
        <f>IF(OR('实盘净值数据(iFinD）'!$A200="",'实盘净值数据(iFinD）'!$B200="",'实盘净值数据(iFinD）'!$Z200="",'实盘净值数据(iFinD）'!$AA200="",'实盘净值数据(iFinD）'!$AB200="",'实盘净值数据(iFinD）'!$AL200=""),"",(SUMPRODUCT(分期持仓明细!$B$26:$Y$26,'实盘净值数据(iFinD）'!$B200:$Y200/'实盘净值数据(iFinD）'!$B$69:$Y$69)+SUMPRODUCT(分期持仓明细!$AC$26:$AD$26,'实盘净值数据(iFinD）'!$Z200:$AA200/'实盘净值数据(iFinD）'!$Z$69:$AA$69)+SUMPRODUCT(分期持仓明细!$AE$26:$AO$26,'实盘净值数据(iFinD）'!$AB200:$AL200/'实盘净值数据(iFinD）'!$AB$69:$AL$69))*(1-实盘持仓初始配置!$Z$10)^(('实盘净值数据(iFinD）'!$A200-'实盘净值数据(iFinD）'!$A$69)/365))</f>
        <v/>
      </c>
      <c r="U200" s="16">
        <f>IF(OR(T199="",T200=""),"",T200/T199-1)</f>
        <v/>
      </c>
      <c r="V200" s="16">
        <f>IF(T200="","",T200/MAX(T$5:T200)-1)</f>
        <v/>
      </c>
    </row>
    <row r="201" spans="1:19">
      <c r="A201" s="15" t="str">
        <f>IF('实盘净值数据(iFinD）'!A201="","",'实盘净值数据(iFinD）'!A201)</f>
        <v/>
      </c>
      <c r="B201" s="13" t="str">
        <f>IF(OR('实盘净值数据(iFinD）'!$A201="",'实盘净值数据(iFinD）'!$B201=""),"",分期持仓明细!$AB$17*SUMPRODUCT(分期持仓明细!$B$17:$Y$17,'实盘净值数据(iFinD）'!$B201:$Y201/'实盘净值数据(iFinD）'!$B$20:$Y$20)*(1-实盘持仓初始配置!$Z$4)^(('实盘净值数据(iFinD）'!$A201-'实盘净值数据(iFinD）'!$A$6)/365))</f>
        <v/>
      </c>
      <c r="C201" s="16" t="str">
        <f t="shared" si="18"/>
        <v/>
      </c>
      <c r="D201" s="16" t="str">
        <f>IF(B201="","",B201/MAX(B$5:B201)-1)</f>
        <v/>
      </c>
      <c r="E201" s="13" t="str">
        <f>IF(OR('实盘净值数据(iFinD）'!$A201="",'实盘净值数据(iFinD）'!$B201=""),"",分期持仓明细!$AB$18*SUMPRODUCT(分期持仓明细!$B$18:$Y$18,'实盘净值数据(iFinD）'!$B201:$Y201/'实盘净值数据(iFinD）'!$B$20:$Y$20)*(1-实盘持仓初始配置!$Z$5)^(('实盘净值数据(iFinD）'!$A201-'实盘净值数据(iFinD）'!$A$5)/365))</f>
        <v/>
      </c>
      <c r="F201" s="16" t="str">
        <f t="shared" si="19"/>
        <v/>
      </c>
      <c r="G201" s="16" t="str">
        <f>IF(E201="","",E201/MAX(E$5:E201)-1)</f>
        <v/>
      </c>
      <c r="H201" s="13" t="str">
        <f>IF(OR('实盘净值数据(iFinD）'!$A201="",'实盘净值数据(iFinD）'!$B201=""),"",分期持仓明细!$AB$19*SUMPRODUCT(分期持仓明细!$B$19:$Y$19,'实盘净值数据(iFinD）'!$B201:$Y201/'实盘净值数据(iFinD）'!$B$20:$Y$20)*(1-实盘持仓初始配置!$Z$6)^(('实盘净值数据(iFinD）'!$A201-'实盘净值数据(iFinD）'!$A$7)/365))</f>
        <v/>
      </c>
      <c r="I201" s="16" t="str">
        <f t="shared" si="20"/>
        <v/>
      </c>
      <c r="J201" s="16" t="str">
        <f>IF(H201="","",H201/MAX(H$5:H201)-1)</f>
        <v/>
      </c>
      <c r="K201" s="13" t="str">
        <f>IF(OR('实盘净值数据(iFinD）'!$A201="",'实盘净值数据(iFinD）'!$B201="",'实盘净值数据(iFinD）'!$Z201="",'实盘净值数据(iFinD）'!$AA201=""),"",分期持仓明细!$AB$23*(SUMPRODUCT(分期持仓明细!$B$23:$Y$23,'实盘净值数据(iFinD）'!$B201:$Y201/'实盘净值数据(iFinD）'!$B$65:$Y$65)+SUMPRODUCT(分期持仓明细!$AC$23:$AD$23,'实盘净值数据(iFinD）'!$Z201:$AA201/'实盘净值数据(iFinD）'!$Z$65:$AA$65))*(1-实盘持仓初始配置!$Z$7)^(('实盘净值数据(iFinD）'!$A201-'实盘净值数据(iFinD）'!$A$8)/365))</f>
        <v/>
      </c>
      <c r="L201" s="16" t="str">
        <f t="shared" si="21"/>
        <v/>
      </c>
      <c r="M201" s="16" t="str">
        <f>IF(K201="","",K201/MAX(K$5:K201)-1)</f>
        <v/>
      </c>
      <c r="N201" s="13" t="str">
        <f>IF(OR('实盘净值数据(iFinD）'!$A201="",'实盘净值数据(iFinD）'!$B201="",'实盘净值数据(iFinD）'!$Z201="",'实盘净值数据(iFinD）'!$AA201=""),"",分期持仓明细!$AB$24*(SUMPRODUCT(分期持仓明细!$B$24:$Y$24,'实盘净值数据(iFinD）'!$B201:$Y201/'实盘净值数据(iFinD）'!$B$65:$Y$65)+SUMPRODUCT(分期持仓明细!$AC$24:$AD$24,'实盘净值数据(iFinD）'!$Z201:$AA201/'实盘净值数据(iFinD）'!$Z$65:$AA$65))*(1-实盘持仓初始配置!$Z$8)^(('实盘净值数据(iFinD）'!$A201-'实盘净值数据(iFinD）'!$A$5)/365))</f>
        <v/>
      </c>
      <c r="O201" s="16" t="str">
        <f t="shared" si="22"/>
        <v/>
      </c>
      <c r="P201" s="16" t="str">
        <f>IF(N201="","",N201/MAX(N$5:N201)-1)</f>
        <v/>
      </c>
      <c r="Q201" s="13" t="str">
        <f>IF(OR('实盘净值数据(iFinD）'!$A201="",'实盘净值数据(iFinD）'!$B201="",'实盘净值数据(iFinD）'!$Z201="",'实盘净值数据(iFinD）'!$AA201=""),"",分期持仓明细!$AB$25*(SUMPRODUCT(分期持仓明细!$B$25:$Y$25,'实盘净值数据(iFinD）'!$B201:$Y201/'实盘净值数据(iFinD）'!$B$65:$Y$65)+SUMPRODUCT(分期持仓明细!$AC$25:$AD$25,'实盘净值数据(iFinD）'!$Z201:$AA201/'实盘净值数据(iFinD）'!$Z$65:$AA$65))*(1-实盘持仓初始配置!$Z$9)^(('实盘净值数据(iFinD）'!$A201-'实盘净值数据(iFinD）'!$A$8)/365))</f>
        <v/>
      </c>
      <c r="R201" s="16" t="str">
        <f t="shared" si="23"/>
        <v/>
      </c>
      <c r="S201" s="16" t="str">
        <f>IF(Q201="","",Q201/MAX(Q$5:Q201)-1)</f>
        <v/>
      </c>
      <c r="T201" s="13">
        <f>IF(OR('实盘净值数据(iFinD）'!$A201="",'实盘净值数据(iFinD）'!$B201="",'实盘净值数据(iFinD）'!$Z201="",'实盘净值数据(iFinD）'!$AA201="",'实盘净值数据(iFinD）'!$AB201="",'实盘净值数据(iFinD）'!$AL201=""),"",(SUMPRODUCT(分期持仓明细!$B$26:$Y$26,'实盘净值数据(iFinD）'!$B201:$Y201/'实盘净值数据(iFinD）'!$B$69:$Y$69)+SUMPRODUCT(分期持仓明细!$AC$26:$AD$26,'实盘净值数据(iFinD）'!$Z201:$AA201/'实盘净值数据(iFinD）'!$Z$69:$AA$69)+SUMPRODUCT(分期持仓明细!$AE$26:$AO$26,'实盘净值数据(iFinD）'!$AB201:$AL201/'实盘净值数据(iFinD）'!$AB$69:$AL$69))*(1-实盘持仓初始配置!$Z$10)^(('实盘净值数据(iFinD）'!$A201-'实盘净值数据(iFinD）'!$A$69)/365))</f>
        <v/>
      </c>
      <c r="U201" s="16">
        <f>IF(OR(T200="",T201=""),"",T201/T200-1)</f>
        <v/>
      </c>
      <c r="V201" s="16">
        <f>IF(T201="","",T201/MAX(T$5:T201)-1)</f>
        <v/>
      </c>
    </row>
    <row r="202" spans="1:19">
      <c r="A202" s="15" t="str">
        <f>IF('实盘净值数据(iFinD）'!A202="","",'实盘净值数据(iFinD）'!A202)</f>
        <v/>
      </c>
      <c r="B202" s="13" t="str">
        <f>IF(OR('实盘净值数据(iFinD）'!$A202="",'实盘净值数据(iFinD）'!$B202=""),"",分期持仓明细!$AB$17*SUMPRODUCT(分期持仓明细!$B$17:$Y$17,'实盘净值数据(iFinD）'!$B202:$Y202/'实盘净值数据(iFinD）'!$B$20:$Y$20)*(1-实盘持仓初始配置!$Z$4)^(('实盘净值数据(iFinD）'!$A202-'实盘净值数据(iFinD）'!$A$6)/365))</f>
        <v/>
      </c>
      <c r="C202" s="16" t="str">
        <f t="shared" si="18"/>
        <v/>
      </c>
      <c r="D202" s="16" t="str">
        <f>IF(B202="","",B202/MAX(B$5:B202)-1)</f>
        <v/>
      </c>
      <c r="E202" s="13" t="str">
        <f>IF(OR('实盘净值数据(iFinD）'!$A202="",'实盘净值数据(iFinD）'!$B202=""),"",分期持仓明细!$AB$18*SUMPRODUCT(分期持仓明细!$B$18:$Y$18,'实盘净值数据(iFinD）'!$B202:$Y202/'实盘净值数据(iFinD）'!$B$20:$Y$20)*(1-实盘持仓初始配置!$Z$5)^(('实盘净值数据(iFinD）'!$A202-'实盘净值数据(iFinD）'!$A$5)/365))</f>
        <v/>
      </c>
      <c r="F202" s="16" t="str">
        <f t="shared" si="19"/>
        <v/>
      </c>
      <c r="G202" s="16" t="str">
        <f>IF(E202="","",E202/MAX(E$5:E202)-1)</f>
        <v/>
      </c>
      <c r="H202" s="13" t="str">
        <f>IF(OR('实盘净值数据(iFinD）'!$A202="",'实盘净值数据(iFinD）'!$B202=""),"",分期持仓明细!$AB$19*SUMPRODUCT(分期持仓明细!$B$19:$Y$19,'实盘净值数据(iFinD）'!$B202:$Y202/'实盘净值数据(iFinD）'!$B$20:$Y$20)*(1-实盘持仓初始配置!$Z$6)^(('实盘净值数据(iFinD）'!$A202-'实盘净值数据(iFinD）'!$A$7)/365))</f>
        <v/>
      </c>
      <c r="I202" s="16" t="str">
        <f t="shared" si="20"/>
        <v/>
      </c>
      <c r="J202" s="16" t="str">
        <f>IF(H202="","",H202/MAX(H$5:H202)-1)</f>
        <v/>
      </c>
      <c r="K202" s="13" t="str">
        <f>IF(OR('实盘净值数据(iFinD）'!$A202="",'实盘净值数据(iFinD）'!$B202="",'实盘净值数据(iFinD）'!$Z202="",'实盘净值数据(iFinD）'!$AA202=""),"",分期持仓明细!$AB$23*(SUMPRODUCT(分期持仓明细!$B$23:$Y$23,'实盘净值数据(iFinD）'!$B202:$Y202/'实盘净值数据(iFinD）'!$B$65:$Y$65)+SUMPRODUCT(分期持仓明细!$AC$23:$AD$23,'实盘净值数据(iFinD）'!$Z202:$AA202/'实盘净值数据(iFinD）'!$Z$65:$AA$65))*(1-实盘持仓初始配置!$Z$7)^(('实盘净值数据(iFinD）'!$A202-'实盘净值数据(iFinD）'!$A$8)/365))</f>
        <v/>
      </c>
      <c r="L202" s="16" t="str">
        <f t="shared" si="21"/>
        <v/>
      </c>
      <c r="M202" s="16" t="str">
        <f>IF(K202="","",K202/MAX(K$5:K202)-1)</f>
        <v/>
      </c>
      <c r="N202" s="13" t="str">
        <f>IF(OR('实盘净值数据(iFinD）'!$A202="",'实盘净值数据(iFinD）'!$B202="",'实盘净值数据(iFinD）'!$Z202="",'实盘净值数据(iFinD）'!$AA202=""),"",分期持仓明细!$AB$24*(SUMPRODUCT(分期持仓明细!$B$24:$Y$24,'实盘净值数据(iFinD）'!$B202:$Y202/'实盘净值数据(iFinD）'!$B$65:$Y$65)+SUMPRODUCT(分期持仓明细!$AC$24:$AD$24,'实盘净值数据(iFinD）'!$Z202:$AA202/'实盘净值数据(iFinD）'!$Z$65:$AA$65))*(1-实盘持仓初始配置!$Z$8)^(('实盘净值数据(iFinD）'!$A202-'实盘净值数据(iFinD）'!$A$5)/365))</f>
        <v/>
      </c>
      <c r="O202" s="16" t="str">
        <f t="shared" si="22"/>
        <v/>
      </c>
      <c r="P202" s="16" t="str">
        <f>IF(N202="","",N202/MAX(N$5:N202)-1)</f>
        <v/>
      </c>
      <c r="Q202" s="13" t="str">
        <f>IF(OR('实盘净值数据(iFinD）'!$A202="",'实盘净值数据(iFinD）'!$B202="",'实盘净值数据(iFinD）'!$Z202="",'实盘净值数据(iFinD）'!$AA202=""),"",分期持仓明细!$AB$25*(SUMPRODUCT(分期持仓明细!$B$25:$Y$25,'实盘净值数据(iFinD）'!$B202:$Y202/'实盘净值数据(iFinD）'!$B$65:$Y$65)+SUMPRODUCT(分期持仓明细!$AC$25:$AD$25,'实盘净值数据(iFinD）'!$Z202:$AA202/'实盘净值数据(iFinD）'!$Z$65:$AA$65))*(1-实盘持仓初始配置!$Z$9)^(('实盘净值数据(iFinD）'!$A202-'实盘净值数据(iFinD）'!$A$8)/365))</f>
        <v/>
      </c>
      <c r="R202" s="16" t="str">
        <f t="shared" si="23"/>
        <v/>
      </c>
      <c r="S202" s="16" t="str">
        <f>IF(Q202="","",Q202/MAX(Q$5:Q202)-1)</f>
        <v/>
      </c>
      <c r="T202" s="13">
        <f>IF(OR('实盘净值数据(iFinD）'!$A202="",'实盘净值数据(iFinD）'!$B202="",'实盘净值数据(iFinD）'!$Z202="",'实盘净值数据(iFinD）'!$AA202="",'实盘净值数据(iFinD）'!$AB202="",'实盘净值数据(iFinD）'!$AL202=""),"",(SUMPRODUCT(分期持仓明细!$B$26:$Y$26,'实盘净值数据(iFinD）'!$B202:$Y202/'实盘净值数据(iFinD）'!$B$69:$Y$69)+SUMPRODUCT(分期持仓明细!$AC$26:$AD$26,'实盘净值数据(iFinD）'!$Z202:$AA202/'实盘净值数据(iFinD）'!$Z$69:$AA$69)+SUMPRODUCT(分期持仓明细!$AE$26:$AO$26,'实盘净值数据(iFinD）'!$AB202:$AL202/'实盘净值数据(iFinD）'!$AB$69:$AL$69))*(1-实盘持仓初始配置!$Z$10)^(('实盘净值数据(iFinD）'!$A202-'实盘净值数据(iFinD）'!$A$69)/365))</f>
        <v/>
      </c>
      <c r="U202" s="16">
        <f>IF(OR(T201="",T202=""),"",T202/T201-1)</f>
        <v/>
      </c>
      <c r="V202" s="16">
        <f>IF(T202="","",T202/MAX(T$5:T202)-1)</f>
        <v/>
      </c>
    </row>
    <row r="203" spans="1:19">
      <c r="A203" s="15" t="str">
        <f>IF('实盘净值数据(iFinD）'!A203="","",'实盘净值数据(iFinD）'!A203)</f>
        <v/>
      </c>
      <c r="B203" s="13" t="str">
        <f>IF(OR('实盘净值数据(iFinD）'!$A203="",'实盘净值数据(iFinD）'!$B203=""),"",分期持仓明细!$AB$17*SUMPRODUCT(分期持仓明细!$B$17:$Y$17,'实盘净值数据(iFinD）'!$B203:$Y203/'实盘净值数据(iFinD）'!$B$20:$Y$20)*(1-实盘持仓初始配置!$Z$4)^(('实盘净值数据(iFinD）'!$A203-'实盘净值数据(iFinD）'!$A$6)/365))</f>
        <v/>
      </c>
      <c r="C203" s="16" t="str">
        <f t="shared" si="18"/>
        <v/>
      </c>
      <c r="D203" s="16" t="str">
        <f>IF(B203="","",B203/MAX(B$5:B203)-1)</f>
        <v/>
      </c>
      <c r="E203" s="13" t="str">
        <f>IF(OR('实盘净值数据(iFinD）'!$A203="",'实盘净值数据(iFinD）'!$B203=""),"",分期持仓明细!$AB$18*SUMPRODUCT(分期持仓明细!$B$18:$Y$18,'实盘净值数据(iFinD）'!$B203:$Y203/'实盘净值数据(iFinD）'!$B$20:$Y$20)*(1-实盘持仓初始配置!$Z$5)^(('实盘净值数据(iFinD）'!$A203-'实盘净值数据(iFinD）'!$A$5)/365))</f>
        <v/>
      </c>
      <c r="F203" s="16" t="str">
        <f t="shared" si="19"/>
        <v/>
      </c>
      <c r="G203" s="16" t="str">
        <f>IF(E203="","",E203/MAX(E$5:E203)-1)</f>
        <v/>
      </c>
      <c r="H203" s="13" t="str">
        <f>IF(OR('实盘净值数据(iFinD）'!$A203="",'实盘净值数据(iFinD）'!$B203=""),"",分期持仓明细!$AB$19*SUMPRODUCT(分期持仓明细!$B$19:$Y$19,'实盘净值数据(iFinD）'!$B203:$Y203/'实盘净值数据(iFinD）'!$B$20:$Y$20)*(1-实盘持仓初始配置!$Z$6)^(('实盘净值数据(iFinD）'!$A203-'实盘净值数据(iFinD）'!$A$7)/365))</f>
        <v/>
      </c>
      <c r="I203" s="16" t="str">
        <f t="shared" si="20"/>
        <v/>
      </c>
      <c r="J203" s="16" t="str">
        <f>IF(H203="","",H203/MAX(H$5:H203)-1)</f>
        <v/>
      </c>
      <c r="K203" s="13" t="str">
        <f>IF(OR('实盘净值数据(iFinD）'!$A203="",'实盘净值数据(iFinD）'!$B203="",'实盘净值数据(iFinD）'!$Z203="",'实盘净值数据(iFinD）'!$AA203=""),"",分期持仓明细!$AB$23*(SUMPRODUCT(分期持仓明细!$B$23:$Y$23,'实盘净值数据(iFinD）'!$B203:$Y203/'实盘净值数据(iFinD）'!$B$65:$Y$65)+SUMPRODUCT(分期持仓明细!$AC$23:$AD$23,'实盘净值数据(iFinD）'!$Z203:$AA203/'实盘净值数据(iFinD）'!$Z$65:$AA$65))*(1-实盘持仓初始配置!$Z$7)^(('实盘净值数据(iFinD）'!$A203-'实盘净值数据(iFinD）'!$A$8)/365))</f>
        <v/>
      </c>
      <c r="L203" s="16" t="str">
        <f t="shared" si="21"/>
        <v/>
      </c>
      <c r="M203" s="16" t="str">
        <f>IF(K203="","",K203/MAX(K$5:K203)-1)</f>
        <v/>
      </c>
      <c r="N203" s="13" t="str">
        <f>IF(OR('实盘净值数据(iFinD）'!$A203="",'实盘净值数据(iFinD）'!$B203="",'实盘净值数据(iFinD）'!$Z203="",'实盘净值数据(iFinD）'!$AA203=""),"",分期持仓明细!$AB$24*(SUMPRODUCT(分期持仓明细!$B$24:$Y$24,'实盘净值数据(iFinD）'!$B203:$Y203/'实盘净值数据(iFinD）'!$B$65:$Y$65)+SUMPRODUCT(分期持仓明细!$AC$24:$AD$24,'实盘净值数据(iFinD）'!$Z203:$AA203/'实盘净值数据(iFinD）'!$Z$65:$AA$65))*(1-实盘持仓初始配置!$Z$8)^(('实盘净值数据(iFinD）'!$A203-'实盘净值数据(iFinD）'!$A$5)/365))</f>
        <v/>
      </c>
      <c r="O203" s="16" t="str">
        <f t="shared" si="22"/>
        <v/>
      </c>
      <c r="P203" s="16" t="str">
        <f>IF(N203="","",N203/MAX(N$5:N203)-1)</f>
        <v/>
      </c>
      <c r="Q203" s="13" t="str">
        <f>IF(OR('实盘净值数据(iFinD）'!$A203="",'实盘净值数据(iFinD）'!$B203="",'实盘净值数据(iFinD）'!$Z203="",'实盘净值数据(iFinD）'!$AA203=""),"",分期持仓明细!$AB$25*(SUMPRODUCT(分期持仓明细!$B$25:$Y$25,'实盘净值数据(iFinD）'!$B203:$Y203/'实盘净值数据(iFinD）'!$B$65:$Y$65)+SUMPRODUCT(分期持仓明细!$AC$25:$AD$25,'实盘净值数据(iFinD）'!$Z203:$AA203/'实盘净值数据(iFinD）'!$Z$65:$AA$65))*(1-实盘持仓初始配置!$Z$9)^(('实盘净值数据(iFinD）'!$A203-'实盘净值数据(iFinD）'!$A$8)/365))</f>
        <v/>
      </c>
      <c r="R203" s="16" t="str">
        <f t="shared" si="23"/>
        <v/>
      </c>
      <c r="S203" s="16" t="str">
        <f>IF(Q203="","",Q203/MAX(Q$5:Q203)-1)</f>
        <v/>
      </c>
      <c r="T203" s="13">
        <f>IF(OR('实盘净值数据(iFinD）'!$A203="",'实盘净值数据(iFinD）'!$B203="",'实盘净值数据(iFinD）'!$Z203="",'实盘净值数据(iFinD）'!$AA203="",'实盘净值数据(iFinD）'!$AB203="",'实盘净值数据(iFinD）'!$AL203=""),"",(SUMPRODUCT(分期持仓明细!$B$26:$Y$26,'实盘净值数据(iFinD）'!$B203:$Y203/'实盘净值数据(iFinD）'!$B$69:$Y$69)+SUMPRODUCT(分期持仓明细!$AC$26:$AD$26,'实盘净值数据(iFinD）'!$Z203:$AA203/'实盘净值数据(iFinD）'!$Z$69:$AA$69)+SUMPRODUCT(分期持仓明细!$AE$26:$AO$26,'实盘净值数据(iFinD）'!$AB203:$AL203/'实盘净值数据(iFinD）'!$AB$69:$AL$69))*(1-实盘持仓初始配置!$Z$10)^(('实盘净值数据(iFinD）'!$A203-'实盘净值数据(iFinD）'!$A$69)/365))</f>
        <v/>
      </c>
      <c r="U203" s="16">
        <f>IF(OR(T202="",T203=""),"",T203/T202-1)</f>
        <v/>
      </c>
      <c r="V203" s="16">
        <f>IF(T203="","",T203/MAX(T$5:T203)-1)</f>
        <v/>
      </c>
    </row>
    <row r="204" spans="1:19">
      <c r="A204" s="15" t="str">
        <f>IF('实盘净值数据(iFinD）'!A204="","",'实盘净值数据(iFinD）'!A204)</f>
        <v/>
      </c>
      <c r="B204" s="13" t="str">
        <f>IF(OR('实盘净值数据(iFinD）'!$A204="",'实盘净值数据(iFinD）'!$B204=""),"",分期持仓明细!$AB$17*SUMPRODUCT(分期持仓明细!$B$17:$Y$17,'实盘净值数据(iFinD）'!$B204:$Y204/'实盘净值数据(iFinD）'!$B$20:$Y$20)*(1-实盘持仓初始配置!$Z$4)^(('实盘净值数据(iFinD）'!$A204-'实盘净值数据(iFinD）'!$A$6)/365))</f>
        <v/>
      </c>
      <c r="C204" s="16" t="str">
        <f t="shared" si="18"/>
        <v/>
      </c>
      <c r="D204" s="16" t="str">
        <f>IF(B204="","",B204/MAX(B$5:B204)-1)</f>
        <v/>
      </c>
      <c r="E204" s="13" t="str">
        <f>IF(OR('实盘净值数据(iFinD）'!$A204="",'实盘净值数据(iFinD）'!$B204=""),"",分期持仓明细!$AB$18*SUMPRODUCT(分期持仓明细!$B$18:$Y$18,'实盘净值数据(iFinD）'!$B204:$Y204/'实盘净值数据(iFinD）'!$B$20:$Y$20)*(1-实盘持仓初始配置!$Z$5)^(('实盘净值数据(iFinD）'!$A204-'实盘净值数据(iFinD）'!$A$5)/365))</f>
        <v/>
      </c>
      <c r="F204" s="16" t="str">
        <f t="shared" si="19"/>
        <v/>
      </c>
      <c r="G204" s="16" t="str">
        <f>IF(E204="","",E204/MAX(E$5:E204)-1)</f>
        <v/>
      </c>
      <c r="H204" s="13" t="str">
        <f>IF(OR('实盘净值数据(iFinD）'!$A204="",'实盘净值数据(iFinD）'!$B204=""),"",分期持仓明细!$AB$19*SUMPRODUCT(分期持仓明细!$B$19:$Y$19,'实盘净值数据(iFinD）'!$B204:$Y204/'实盘净值数据(iFinD）'!$B$20:$Y$20)*(1-实盘持仓初始配置!$Z$6)^(('实盘净值数据(iFinD）'!$A204-'实盘净值数据(iFinD）'!$A$7)/365))</f>
        <v/>
      </c>
      <c r="I204" s="16" t="str">
        <f t="shared" si="20"/>
        <v/>
      </c>
      <c r="J204" s="16" t="str">
        <f>IF(H204="","",H204/MAX(H$5:H204)-1)</f>
        <v/>
      </c>
      <c r="K204" s="13" t="str">
        <f>IF(OR('实盘净值数据(iFinD）'!$A204="",'实盘净值数据(iFinD）'!$B204="",'实盘净值数据(iFinD）'!$Z204="",'实盘净值数据(iFinD）'!$AA204=""),"",分期持仓明细!$AB$23*(SUMPRODUCT(分期持仓明细!$B$23:$Y$23,'实盘净值数据(iFinD）'!$B204:$Y204/'实盘净值数据(iFinD）'!$B$65:$Y$65)+SUMPRODUCT(分期持仓明细!$AC$23:$AD$23,'实盘净值数据(iFinD）'!$Z204:$AA204/'实盘净值数据(iFinD）'!$Z$65:$AA$65))*(1-实盘持仓初始配置!$Z$7)^(('实盘净值数据(iFinD）'!$A204-'实盘净值数据(iFinD）'!$A$8)/365))</f>
        <v/>
      </c>
      <c r="L204" s="16" t="str">
        <f t="shared" si="21"/>
        <v/>
      </c>
      <c r="M204" s="16" t="str">
        <f>IF(K204="","",K204/MAX(K$5:K204)-1)</f>
        <v/>
      </c>
      <c r="N204" s="13" t="str">
        <f>IF(OR('实盘净值数据(iFinD）'!$A204="",'实盘净值数据(iFinD）'!$B204="",'实盘净值数据(iFinD）'!$Z204="",'实盘净值数据(iFinD）'!$AA204=""),"",分期持仓明细!$AB$24*(SUMPRODUCT(分期持仓明细!$B$24:$Y$24,'实盘净值数据(iFinD）'!$B204:$Y204/'实盘净值数据(iFinD）'!$B$65:$Y$65)+SUMPRODUCT(分期持仓明细!$AC$24:$AD$24,'实盘净值数据(iFinD）'!$Z204:$AA204/'实盘净值数据(iFinD）'!$Z$65:$AA$65))*(1-实盘持仓初始配置!$Z$8)^(('实盘净值数据(iFinD）'!$A204-'实盘净值数据(iFinD）'!$A$5)/365))</f>
        <v/>
      </c>
      <c r="O204" s="16" t="str">
        <f t="shared" si="22"/>
        <v/>
      </c>
      <c r="P204" s="16" t="str">
        <f>IF(N204="","",N204/MAX(N$5:N204)-1)</f>
        <v/>
      </c>
      <c r="Q204" s="13" t="str">
        <f>IF(OR('实盘净值数据(iFinD）'!$A204="",'实盘净值数据(iFinD）'!$B204="",'实盘净值数据(iFinD）'!$Z204="",'实盘净值数据(iFinD）'!$AA204=""),"",分期持仓明细!$AB$25*(SUMPRODUCT(分期持仓明细!$B$25:$Y$25,'实盘净值数据(iFinD）'!$B204:$Y204/'实盘净值数据(iFinD）'!$B$65:$Y$65)+SUMPRODUCT(分期持仓明细!$AC$25:$AD$25,'实盘净值数据(iFinD）'!$Z204:$AA204/'实盘净值数据(iFinD）'!$Z$65:$AA$65))*(1-实盘持仓初始配置!$Z$9)^(('实盘净值数据(iFinD）'!$A204-'实盘净值数据(iFinD）'!$A$8)/365))</f>
        <v/>
      </c>
      <c r="R204" s="16" t="str">
        <f t="shared" si="23"/>
        <v/>
      </c>
      <c r="S204" s="16" t="str">
        <f>IF(Q204="","",Q204/MAX(Q$5:Q204)-1)</f>
        <v/>
      </c>
      <c r="T204" s="13">
        <f>IF(OR('实盘净值数据(iFinD）'!$A204="",'实盘净值数据(iFinD）'!$B204="",'实盘净值数据(iFinD）'!$Z204="",'实盘净值数据(iFinD）'!$AA204="",'实盘净值数据(iFinD）'!$AB204="",'实盘净值数据(iFinD）'!$AL204=""),"",(SUMPRODUCT(分期持仓明细!$B$26:$Y$26,'实盘净值数据(iFinD）'!$B204:$Y204/'实盘净值数据(iFinD）'!$B$69:$Y$69)+SUMPRODUCT(分期持仓明细!$AC$26:$AD$26,'实盘净值数据(iFinD）'!$Z204:$AA204/'实盘净值数据(iFinD）'!$Z$69:$AA$69)+SUMPRODUCT(分期持仓明细!$AE$26:$AO$26,'实盘净值数据(iFinD）'!$AB204:$AL204/'实盘净值数据(iFinD）'!$AB$69:$AL$69))*(1-实盘持仓初始配置!$Z$10)^(('实盘净值数据(iFinD）'!$A204-'实盘净值数据(iFinD）'!$A$69)/365))</f>
        <v/>
      </c>
      <c r="U204" s="16">
        <f>IF(OR(T203="",T204=""),"",T204/T203-1)</f>
        <v/>
      </c>
      <c r="V204" s="16">
        <f>IF(T204="","",T204/MAX(T$5:T204)-1)</f>
        <v/>
      </c>
    </row>
    <row r="205" spans="1:19">
      <c r="A205" s="15" t="str">
        <f>IF('实盘净值数据(iFinD）'!A205="","",'实盘净值数据(iFinD）'!A205)</f>
        <v/>
      </c>
      <c r="B205" s="13" t="str">
        <f>IF(OR('实盘净值数据(iFinD）'!$A205="",'实盘净值数据(iFinD）'!$B205=""),"",分期持仓明细!$AB$17*SUMPRODUCT(分期持仓明细!$B$17:$Y$17,'实盘净值数据(iFinD）'!$B205:$Y205/'实盘净值数据(iFinD）'!$B$20:$Y$20)*(1-实盘持仓初始配置!$Z$4)^(('实盘净值数据(iFinD）'!$A205-'实盘净值数据(iFinD）'!$A$6)/365))</f>
        <v/>
      </c>
      <c r="C205" s="16" t="str">
        <f t="shared" si="18"/>
        <v/>
      </c>
      <c r="D205" s="16" t="str">
        <f>IF(B205="","",B205/MAX(B$5:B205)-1)</f>
        <v/>
      </c>
      <c r="E205" s="13" t="str">
        <f>IF(OR('实盘净值数据(iFinD）'!$A205="",'实盘净值数据(iFinD）'!$B205=""),"",分期持仓明细!$AB$18*SUMPRODUCT(分期持仓明细!$B$18:$Y$18,'实盘净值数据(iFinD）'!$B205:$Y205/'实盘净值数据(iFinD）'!$B$20:$Y$20)*(1-实盘持仓初始配置!$Z$5)^(('实盘净值数据(iFinD）'!$A205-'实盘净值数据(iFinD）'!$A$5)/365))</f>
        <v/>
      </c>
      <c r="F205" s="16" t="str">
        <f t="shared" si="19"/>
        <v/>
      </c>
      <c r="G205" s="16" t="str">
        <f>IF(E205="","",E205/MAX(E$5:E205)-1)</f>
        <v/>
      </c>
      <c r="H205" s="13" t="str">
        <f>IF(OR('实盘净值数据(iFinD）'!$A205="",'实盘净值数据(iFinD）'!$B205=""),"",分期持仓明细!$AB$19*SUMPRODUCT(分期持仓明细!$B$19:$Y$19,'实盘净值数据(iFinD）'!$B205:$Y205/'实盘净值数据(iFinD）'!$B$20:$Y$20)*(1-实盘持仓初始配置!$Z$6)^(('实盘净值数据(iFinD）'!$A205-'实盘净值数据(iFinD）'!$A$7)/365))</f>
        <v/>
      </c>
      <c r="I205" s="16" t="str">
        <f t="shared" si="20"/>
        <v/>
      </c>
      <c r="J205" s="16" t="str">
        <f>IF(H205="","",H205/MAX(H$5:H205)-1)</f>
        <v/>
      </c>
      <c r="K205" s="13" t="str">
        <f>IF(OR('实盘净值数据(iFinD）'!$A205="",'实盘净值数据(iFinD）'!$B205="",'实盘净值数据(iFinD）'!$Z205="",'实盘净值数据(iFinD）'!$AA205=""),"",分期持仓明细!$AB$23*(SUMPRODUCT(分期持仓明细!$B$23:$Y$23,'实盘净值数据(iFinD）'!$B205:$Y205/'实盘净值数据(iFinD）'!$B$65:$Y$65)+SUMPRODUCT(分期持仓明细!$AC$23:$AD$23,'实盘净值数据(iFinD）'!$Z205:$AA205/'实盘净值数据(iFinD）'!$Z$65:$AA$65))*(1-实盘持仓初始配置!$Z$7)^(('实盘净值数据(iFinD）'!$A205-'实盘净值数据(iFinD）'!$A$8)/365))</f>
        <v/>
      </c>
      <c r="L205" s="16" t="str">
        <f t="shared" si="21"/>
        <v/>
      </c>
      <c r="M205" s="16" t="str">
        <f>IF(K205="","",K205/MAX(K$5:K205)-1)</f>
        <v/>
      </c>
      <c r="N205" s="13" t="str">
        <f>IF(OR('实盘净值数据(iFinD）'!$A205="",'实盘净值数据(iFinD）'!$B205="",'实盘净值数据(iFinD）'!$Z205="",'实盘净值数据(iFinD）'!$AA205=""),"",分期持仓明细!$AB$24*(SUMPRODUCT(分期持仓明细!$B$24:$Y$24,'实盘净值数据(iFinD）'!$B205:$Y205/'实盘净值数据(iFinD）'!$B$65:$Y$65)+SUMPRODUCT(分期持仓明细!$AC$24:$AD$24,'实盘净值数据(iFinD）'!$Z205:$AA205/'实盘净值数据(iFinD）'!$Z$65:$AA$65))*(1-实盘持仓初始配置!$Z$8)^(('实盘净值数据(iFinD）'!$A205-'实盘净值数据(iFinD）'!$A$5)/365))</f>
        <v/>
      </c>
      <c r="O205" s="16" t="str">
        <f t="shared" si="22"/>
        <v/>
      </c>
      <c r="P205" s="16" t="str">
        <f>IF(N205="","",N205/MAX(N$5:N205)-1)</f>
        <v/>
      </c>
      <c r="Q205" s="13" t="str">
        <f>IF(OR('实盘净值数据(iFinD）'!$A205="",'实盘净值数据(iFinD）'!$B205="",'实盘净值数据(iFinD）'!$Z205="",'实盘净值数据(iFinD）'!$AA205=""),"",分期持仓明细!$AB$25*(SUMPRODUCT(分期持仓明细!$B$25:$Y$25,'实盘净值数据(iFinD）'!$B205:$Y205/'实盘净值数据(iFinD）'!$B$65:$Y$65)+SUMPRODUCT(分期持仓明细!$AC$25:$AD$25,'实盘净值数据(iFinD）'!$Z205:$AA205/'实盘净值数据(iFinD）'!$Z$65:$AA$65))*(1-实盘持仓初始配置!$Z$9)^(('实盘净值数据(iFinD）'!$A205-'实盘净值数据(iFinD）'!$A$8)/365))</f>
        <v/>
      </c>
      <c r="R205" s="16" t="str">
        <f t="shared" si="23"/>
        <v/>
      </c>
      <c r="S205" s="16" t="str">
        <f>IF(Q205="","",Q205/MAX(Q$5:Q205)-1)</f>
        <v/>
      </c>
      <c r="T205" s="13">
        <f>IF(OR('实盘净值数据(iFinD）'!$A205="",'实盘净值数据(iFinD）'!$B205="",'实盘净值数据(iFinD）'!$Z205="",'实盘净值数据(iFinD）'!$AA205="",'实盘净值数据(iFinD）'!$AB205="",'实盘净值数据(iFinD）'!$AL205=""),"",(SUMPRODUCT(分期持仓明细!$B$26:$Y$26,'实盘净值数据(iFinD）'!$B205:$Y205/'实盘净值数据(iFinD）'!$B$69:$Y$69)+SUMPRODUCT(分期持仓明细!$AC$26:$AD$26,'实盘净值数据(iFinD）'!$Z205:$AA205/'实盘净值数据(iFinD）'!$Z$69:$AA$69)+SUMPRODUCT(分期持仓明细!$AE$26:$AO$26,'实盘净值数据(iFinD）'!$AB205:$AL205/'实盘净值数据(iFinD）'!$AB$69:$AL$69))*(1-实盘持仓初始配置!$Z$10)^(('实盘净值数据(iFinD）'!$A205-'实盘净值数据(iFinD）'!$A$69)/365))</f>
        <v/>
      </c>
      <c r="U205" s="16">
        <f>IF(OR(T204="",T205=""),"",T205/T204-1)</f>
        <v/>
      </c>
      <c r="V205" s="16">
        <f>IF(T205="","",T205/MAX(T$5:T205)-1)</f>
        <v/>
      </c>
    </row>
    <row r="206" spans="1:19">
      <c r="A206" s="15" t="str">
        <f>IF('实盘净值数据(iFinD）'!A206="","",'实盘净值数据(iFinD）'!A206)</f>
        <v/>
      </c>
      <c r="B206" s="13" t="str">
        <f>IF(OR('实盘净值数据(iFinD）'!$A206="",'实盘净值数据(iFinD）'!$B206=""),"",分期持仓明细!$AB$17*SUMPRODUCT(分期持仓明细!$B$17:$Y$17,'实盘净值数据(iFinD）'!$B206:$Y206/'实盘净值数据(iFinD）'!$B$20:$Y$20)*(1-实盘持仓初始配置!$Z$4)^(('实盘净值数据(iFinD）'!$A206-'实盘净值数据(iFinD）'!$A$6)/365))</f>
        <v/>
      </c>
      <c r="C206" s="16" t="str">
        <f t="shared" si="18"/>
        <v/>
      </c>
      <c r="D206" s="16" t="str">
        <f>IF(B206="","",B206/MAX(B$5:B206)-1)</f>
        <v/>
      </c>
      <c r="E206" s="13" t="str">
        <f>IF(OR('实盘净值数据(iFinD）'!$A206="",'实盘净值数据(iFinD）'!$B206=""),"",分期持仓明细!$AB$18*SUMPRODUCT(分期持仓明细!$B$18:$Y$18,'实盘净值数据(iFinD）'!$B206:$Y206/'实盘净值数据(iFinD）'!$B$20:$Y$20)*(1-实盘持仓初始配置!$Z$5)^(('实盘净值数据(iFinD）'!$A206-'实盘净值数据(iFinD）'!$A$5)/365))</f>
        <v/>
      </c>
      <c r="F206" s="16" t="str">
        <f t="shared" si="19"/>
        <v/>
      </c>
      <c r="G206" s="16" t="str">
        <f>IF(E206="","",E206/MAX(E$5:E206)-1)</f>
        <v/>
      </c>
      <c r="H206" s="13" t="str">
        <f>IF(OR('实盘净值数据(iFinD）'!$A206="",'实盘净值数据(iFinD）'!$B206=""),"",分期持仓明细!$AB$19*SUMPRODUCT(分期持仓明细!$B$19:$Y$19,'实盘净值数据(iFinD）'!$B206:$Y206/'实盘净值数据(iFinD）'!$B$20:$Y$20)*(1-实盘持仓初始配置!$Z$6)^(('实盘净值数据(iFinD）'!$A206-'实盘净值数据(iFinD）'!$A$7)/365))</f>
        <v/>
      </c>
      <c r="I206" s="16" t="str">
        <f t="shared" si="20"/>
        <v/>
      </c>
      <c r="J206" s="16" t="str">
        <f>IF(H206="","",H206/MAX(H$5:H206)-1)</f>
        <v/>
      </c>
      <c r="K206" s="13" t="str">
        <f>IF(OR('实盘净值数据(iFinD）'!$A206="",'实盘净值数据(iFinD）'!$B206="",'实盘净值数据(iFinD）'!$Z206="",'实盘净值数据(iFinD）'!$AA206=""),"",分期持仓明细!$AB$23*(SUMPRODUCT(分期持仓明细!$B$23:$Y$23,'实盘净值数据(iFinD）'!$B206:$Y206/'实盘净值数据(iFinD）'!$B$65:$Y$65)+SUMPRODUCT(分期持仓明细!$AC$23:$AD$23,'实盘净值数据(iFinD）'!$Z206:$AA206/'实盘净值数据(iFinD）'!$Z$65:$AA$65))*(1-实盘持仓初始配置!$Z$7)^(('实盘净值数据(iFinD）'!$A206-'实盘净值数据(iFinD）'!$A$8)/365))</f>
        <v/>
      </c>
      <c r="L206" s="16" t="str">
        <f t="shared" si="21"/>
        <v/>
      </c>
      <c r="M206" s="16" t="str">
        <f>IF(K206="","",K206/MAX(K$5:K206)-1)</f>
        <v/>
      </c>
      <c r="N206" s="13" t="str">
        <f>IF(OR('实盘净值数据(iFinD）'!$A206="",'实盘净值数据(iFinD）'!$B206="",'实盘净值数据(iFinD）'!$Z206="",'实盘净值数据(iFinD）'!$AA206=""),"",分期持仓明细!$AB$24*(SUMPRODUCT(分期持仓明细!$B$24:$Y$24,'实盘净值数据(iFinD）'!$B206:$Y206/'实盘净值数据(iFinD）'!$B$65:$Y$65)+SUMPRODUCT(分期持仓明细!$AC$24:$AD$24,'实盘净值数据(iFinD）'!$Z206:$AA206/'实盘净值数据(iFinD）'!$Z$65:$AA$65))*(1-实盘持仓初始配置!$Z$8)^(('实盘净值数据(iFinD）'!$A206-'实盘净值数据(iFinD）'!$A$5)/365))</f>
        <v/>
      </c>
      <c r="O206" s="16" t="str">
        <f t="shared" si="22"/>
        <v/>
      </c>
      <c r="P206" s="16" t="str">
        <f>IF(N206="","",N206/MAX(N$5:N206)-1)</f>
        <v/>
      </c>
      <c r="Q206" s="13" t="str">
        <f>IF(OR('实盘净值数据(iFinD）'!$A206="",'实盘净值数据(iFinD）'!$B206="",'实盘净值数据(iFinD）'!$Z206="",'实盘净值数据(iFinD）'!$AA206=""),"",分期持仓明细!$AB$25*(SUMPRODUCT(分期持仓明细!$B$25:$Y$25,'实盘净值数据(iFinD）'!$B206:$Y206/'实盘净值数据(iFinD）'!$B$65:$Y$65)+SUMPRODUCT(分期持仓明细!$AC$25:$AD$25,'实盘净值数据(iFinD）'!$Z206:$AA206/'实盘净值数据(iFinD）'!$Z$65:$AA$65))*(1-实盘持仓初始配置!$Z$9)^(('实盘净值数据(iFinD）'!$A206-'实盘净值数据(iFinD）'!$A$8)/365))</f>
        <v/>
      </c>
      <c r="R206" s="16" t="str">
        <f t="shared" si="23"/>
        <v/>
      </c>
      <c r="S206" s="16" t="str">
        <f>IF(Q206="","",Q206/MAX(Q$5:Q206)-1)</f>
        <v/>
      </c>
      <c r="T206" s="13">
        <f>IF(OR('实盘净值数据(iFinD）'!$A206="",'实盘净值数据(iFinD）'!$B206="",'实盘净值数据(iFinD）'!$Z206="",'实盘净值数据(iFinD）'!$AA206="",'实盘净值数据(iFinD）'!$AB206="",'实盘净值数据(iFinD）'!$AL206=""),"",(SUMPRODUCT(分期持仓明细!$B$26:$Y$26,'实盘净值数据(iFinD）'!$B206:$Y206/'实盘净值数据(iFinD）'!$B$69:$Y$69)+SUMPRODUCT(分期持仓明细!$AC$26:$AD$26,'实盘净值数据(iFinD）'!$Z206:$AA206/'实盘净值数据(iFinD）'!$Z$69:$AA$69)+SUMPRODUCT(分期持仓明细!$AE$26:$AO$26,'实盘净值数据(iFinD）'!$AB206:$AL206/'实盘净值数据(iFinD）'!$AB$69:$AL$69))*(1-实盘持仓初始配置!$Z$10)^(('实盘净值数据(iFinD）'!$A206-'实盘净值数据(iFinD）'!$A$69)/365))</f>
        <v/>
      </c>
      <c r="U206" s="16">
        <f>IF(OR(T205="",T206=""),"",T206/T205-1)</f>
        <v/>
      </c>
      <c r="V206" s="16">
        <f>IF(T206="","",T206/MAX(T$5:T206)-1)</f>
        <v/>
      </c>
    </row>
    <row r="207" spans="1:19">
      <c r="A207" s="15" t="str">
        <f>IF('实盘净值数据(iFinD）'!A207="","",'实盘净值数据(iFinD）'!A207)</f>
        <v/>
      </c>
      <c r="B207" s="13" t="str">
        <f>IF(OR('实盘净值数据(iFinD）'!$A207="",'实盘净值数据(iFinD）'!$B207=""),"",分期持仓明细!$AB$17*SUMPRODUCT(分期持仓明细!$B$17:$Y$17,'实盘净值数据(iFinD）'!$B207:$Y207/'实盘净值数据(iFinD）'!$B$20:$Y$20)*(1-实盘持仓初始配置!$Z$4)^(('实盘净值数据(iFinD）'!$A207-'实盘净值数据(iFinD）'!$A$6)/365))</f>
        <v/>
      </c>
      <c r="C207" s="16" t="str">
        <f t="shared" si="18"/>
        <v/>
      </c>
      <c r="D207" s="16" t="str">
        <f>IF(B207="","",B207/MAX(B$5:B207)-1)</f>
        <v/>
      </c>
      <c r="E207" s="13" t="str">
        <f>IF(OR('实盘净值数据(iFinD）'!$A207="",'实盘净值数据(iFinD）'!$B207=""),"",分期持仓明细!$AB$18*SUMPRODUCT(分期持仓明细!$B$18:$Y$18,'实盘净值数据(iFinD）'!$B207:$Y207/'实盘净值数据(iFinD）'!$B$20:$Y$20)*(1-实盘持仓初始配置!$Z$5)^(('实盘净值数据(iFinD）'!$A207-'实盘净值数据(iFinD）'!$A$5)/365))</f>
        <v/>
      </c>
      <c r="F207" s="16" t="str">
        <f t="shared" si="19"/>
        <v/>
      </c>
      <c r="G207" s="16" t="str">
        <f>IF(E207="","",E207/MAX(E$5:E207)-1)</f>
        <v/>
      </c>
      <c r="H207" s="13" t="str">
        <f>IF(OR('实盘净值数据(iFinD）'!$A207="",'实盘净值数据(iFinD）'!$B207=""),"",分期持仓明细!$AB$19*SUMPRODUCT(分期持仓明细!$B$19:$Y$19,'实盘净值数据(iFinD）'!$B207:$Y207/'实盘净值数据(iFinD）'!$B$20:$Y$20)*(1-实盘持仓初始配置!$Z$6)^(('实盘净值数据(iFinD）'!$A207-'实盘净值数据(iFinD）'!$A$7)/365))</f>
        <v/>
      </c>
      <c r="I207" s="16" t="str">
        <f t="shared" si="20"/>
        <v/>
      </c>
      <c r="J207" s="16" t="str">
        <f>IF(H207="","",H207/MAX(H$5:H207)-1)</f>
        <v/>
      </c>
      <c r="K207" s="13" t="str">
        <f>IF(OR('实盘净值数据(iFinD）'!$A207="",'实盘净值数据(iFinD）'!$B207="",'实盘净值数据(iFinD）'!$Z207="",'实盘净值数据(iFinD）'!$AA207=""),"",分期持仓明细!$AB$23*(SUMPRODUCT(分期持仓明细!$B$23:$Y$23,'实盘净值数据(iFinD）'!$B207:$Y207/'实盘净值数据(iFinD）'!$B$65:$Y$65)+SUMPRODUCT(分期持仓明细!$AC$23:$AD$23,'实盘净值数据(iFinD）'!$Z207:$AA207/'实盘净值数据(iFinD）'!$Z$65:$AA$65))*(1-实盘持仓初始配置!$Z$7)^(('实盘净值数据(iFinD）'!$A207-'实盘净值数据(iFinD）'!$A$8)/365))</f>
        <v/>
      </c>
      <c r="L207" s="16" t="str">
        <f t="shared" si="21"/>
        <v/>
      </c>
      <c r="M207" s="16" t="str">
        <f>IF(K207="","",K207/MAX(K$5:K207)-1)</f>
        <v/>
      </c>
      <c r="N207" s="13" t="str">
        <f>IF(OR('实盘净值数据(iFinD）'!$A207="",'实盘净值数据(iFinD）'!$B207="",'实盘净值数据(iFinD）'!$Z207="",'实盘净值数据(iFinD）'!$AA207=""),"",分期持仓明细!$AB$24*(SUMPRODUCT(分期持仓明细!$B$24:$Y$24,'实盘净值数据(iFinD）'!$B207:$Y207/'实盘净值数据(iFinD）'!$B$65:$Y$65)+SUMPRODUCT(分期持仓明细!$AC$24:$AD$24,'实盘净值数据(iFinD）'!$Z207:$AA207/'实盘净值数据(iFinD）'!$Z$65:$AA$65))*(1-实盘持仓初始配置!$Z$8)^(('实盘净值数据(iFinD）'!$A207-'实盘净值数据(iFinD）'!$A$5)/365))</f>
        <v/>
      </c>
      <c r="O207" s="16" t="str">
        <f t="shared" si="22"/>
        <v/>
      </c>
      <c r="P207" s="16" t="str">
        <f>IF(N207="","",N207/MAX(N$5:N207)-1)</f>
        <v/>
      </c>
      <c r="Q207" s="13" t="str">
        <f>IF(OR('实盘净值数据(iFinD）'!$A207="",'实盘净值数据(iFinD）'!$B207="",'实盘净值数据(iFinD）'!$Z207="",'实盘净值数据(iFinD）'!$AA207=""),"",分期持仓明细!$AB$25*(SUMPRODUCT(分期持仓明细!$B$25:$Y$25,'实盘净值数据(iFinD）'!$B207:$Y207/'实盘净值数据(iFinD）'!$B$65:$Y$65)+SUMPRODUCT(分期持仓明细!$AC$25:$AD$25,'实盘净值数据(iFinD）'!$Z207:$AA207/'实盘净值数据(iFinD）'!$Z$65:$AA$65))*(1-实盘持仓初始配置!$Z$9)^(('实盘净值数据(iFinD）'!$A207-'实盘净值数据(iFinD）'!$A$8)/365))</f>
        <v/>
      </c>
      <c r="R207" s="16" t="str">
        <f t="shared" si="23"/>
        <v/>
      </c>
      <c r="S207" s="16" t="str">
        <f>IF(Q207="","",Q207/MAX(Q$5:Q207)-1)</f>
        <v/>
      </c>
      <c r="T207" s="13">
        <f>IF(OR('实盘净值数据(iFinD）'!$A207="",'实盘净值数据(iFinD）'!$B207="",'实盘净值数据(iFinD）'!$Z207="",'实盘净值数据(iFinD）'!$AA207="",'实盘净值数据(iFinD）'!$AB207="",'实盘净值数据(iFinD）'!$AL207=""),"",(SUMPRODUCT(分期持仓明细!$B$26:$Y$26,'实盘净值数据(iFinD）'!$B207:$Y207/'实盘净值数据(iFinD）'!$B$69:$Y$69)+SUMPRODUCT(分期持仓明细!$AC$26:$AD$26,'实盘净值数据(iFinD）'!$Z207:$AA207/'实盘净值数据(iFinD）'!$Z$69:$AA$69)+SUMPRODUCT(分期持仓明细!$AE$26:$AO$26,'实盘净值数据(iFinD）'!$AB207:$AL207/'实盘净值数据(iFinD）'!$AB$69:$AL$69))*(1-实盘持仓初始配置!$Z$10)^(('实盘净值数据(iFinD）'!$A207-'实盘净值数据(iFinD）'!$A$69)/365))</f>
        <v/>
      </c>
      <c r="U207" s="16">
        <f>IF(OR(T206="",T207=""),"",T207/T206-1)</f>
        <v/>
      </c>
      <c r="V207" s="16">
        <f>IF(T207="","",T207/MAX(T$5:T207)-1)</f>
        <v/>
      </c>
    </row>
    <row r="208" spans="1:19">
      <c r="A208" s="15" t="str">
        <f>IF('实盘净值数据(iFinD）'!A208="","",'实盘净值数据(iFinD）'!A208)</f>
        <v/>
      </c>
      <c r="B208" s="13" t="str">
        <f>IF(OR('实盘净值数据(iFinD）'!$A208="",'实盘净值数据(iFinD）'!$B208=""),"",分期持仓明细!$AB$17*SUMPRODUCT(分期持仓明细!$B$17:$Y$17,'实盘净值数据(iFinD）'!$B208:$Y208/'实盘净值数据(iFinD）'!$B$20:$Y$20)*(1-实盘持仓初始配置!$Z$4)^(('实盘净值数据(iFinD）'!$A208-'实盘净值数据(iFinD）'!$A$6)/365))</f>
        <v/>
      </c>
      <c r="C208" s="16" t="str">
        <f t="shared" si="18"/>
        <v/>
      </c>
      <c r="D208" s="16" t="str">
        <f>IF(B208="","",B208/MAX(B$5:B208)-1)</f>
        <v/>
      </c>
      <c r="E208" s="13" t="str">
        <f>IF(OR('实盘净值数据(iFinD）'!$A208="",'实盘净值数据(iFinD）'!$B208=""),"",分期持仓明细!$AB$18*SUMPRODUCT(分期持仓明细!$B$18:$Y$18,'实盘净值数据(iFinD）'!$B208:$Y208/'实盘净值数据(iFinD）'!$B$20:$Y$20)*(1-实盘持仓初始配置!$Z$5)^(('实盘净值数据(iFinD）'!$A208-'实盘净值数据(iFinD）'!$A$5)/365))</f>
        <v/>
      </c>
      <c r="F208" s="16" t="str">
        <f t="shared" si="19"/>
        <v/>
      </c>
      <c r="G208" s="16" t="str">
        <f>IF(E208="","",E208/MAX(E$5:E208)-1)</f>
        <v/>
      </c>
      <c r="H208" s="13" t="str">
        <f>IF(OR('实盘净值数据(iFinD）'!$A208="",'实盘净值数据(iFinD）'!$B208=""),"",分期持仓明细!$AB$19*SUMPRODUCT(分期持仓明细!$B$19:$Y$19,'实盘净值数据(iFinD）'!$B208:$Y208/'实盘净值数据(iFinD）'!$B$20:$Y$20)*(1-实盘持仓初始配置!$Z$6)^(('实盘净值数据(iFinD）'!$A208-'实盘净值数据(iFinD）'!$A$7)/365))</f>
        <v/>
      </c>
      <c r="I208" s="16" t="str">
        <f t="shared" si="20"/>
        <v/>
      </c>
      <c r="J208" s="16" t="str">
        <f>IF(H208="","",H208/MAX(H$5:H208)-1)</f>
        <v/>
      </c>
      <c r="K208" s="13" t="str">
        <f>IF(OR('实盘净值数据(iFinD）'!$A208="",'实盘净值数据(iFinD）'!$B208="",'实盘净值数据(iFinD）'!$Z208="",'实盘净值数据(iFinD）'!$AA208=""),"",分期持仓明细!$AB$23*(SUMPRODUCT(分期持仓明细!$B$23:$Y$23,'实盘净值数据(iFinD）'!$B208:$Y208/'实盘净值数据(iFinD）'!$B$65:$Y$65)+SUMPRODUCT(分期持仓明细!$AC$23:$AD$23,'实盘净值数据(iFinD）'!$Z208:$AA208/'实盘净值数据(iFinD）'!$Z$65:$AA$65))*(1-实盘持仓初始配置!$Z$7)^(('实盘净值数据(iFinD）'!$A208-'实盘净值数据(iFinD）'!$A$8)/365))</f>
        <v/>
      </c>
      <c r="L208" s="16" t="str">
        <f t="shared" si="21"/>
        <v/>
      </c>
      <c r="M208" s="16" t="str">
        <f>IF(K208="","",K208/MAX(K$5:K208)-1)</f>
        <v/>
      </c>
      <c r="N208" s="13" t="str">
        <f>IF(OR('实盘净值数据(iFinD）'!$A208="",'实盘净值数据(iFinD）'!$B208="",'实盘净值数据(iFinD）'!$Z208="",'实盘净值数据(iFinD）'!$AA208=""),"",分期持仓明细!$AB$24*(SUMPRODUCT(分期持仓明细!$B$24:$Y$24,'实盘净值数据(iFinD）'!$B208:$Y208/'实盘净值数据(iFinD）'!$B$65:$Y$65)+SUMPRODUCT(分期持仓明细!$AC$24:$AD$24,'实盘净值数据(iFinD）'!$Z208:$AA208/'实盘净值数据(iFinD）'!$Z$65:$AA$65))*(1-实盘持仓初始配置!$Z$8)^(('实盘净值数据(iFinD）'!$A208-'实盘净值数据(iFinD）'!$A$5)/365))</f>
        <v/>
      </c>
      <c r="O208" s="16" t="str">
        <f t="shared" si="22"/>
        <v/>
      </c>
      <c r="P208" s="16" t="str">
        <f>IF(N208="","",N208/MAX(N$5:N208)-1)</f>
        <v/>
      </c>
      <c r="Q208" s="13" t="str">
        <f>IF(OR('实盘净值数据(iFinD）'!$A208="",'实盘净值数据(iFinD）'!$B208="",'实盘净值数据(iFinD）'!$Z208="",'实盘净值数据(iFinD）'!$AA208=""),"",分期持仓明细!$AB$25*(SUMPRODUCT(分期持仓明细!$B$25:$Y$25,'实盘净值数据(iFinD）'!$B208:$Y208/'实盘净值数据(iFinD）'!$B$65:$Y$65)+SUMPRODUCT(分期持仓明细!$AC$25:$AD$25,'实盘净值数据(iFinD）'!$Z208:$AA208/'实盘净值数据(iFinD）'!$Z$65:$AA$65))*(1-实盘持仓初始配置!$Z$9)^(('实盘净值数据(iFinD）'!$A208-'实盘净值数据(iFinD）'!$A$8)/365))</f>
        <v/>
      </c>
      <c r="R208" s="16" t="str">
        <f t="shared" si="23"/>
        <v/>
      </c>
      <c r="S208" s="16" t="str">
        <f>IF(Q208="","",Q208/MAX(Q$5:Q208)-1)</f>
        <v/>
      </c>
      <c r="T208" s="13">
        <f>IF(OR('实盘净值数据(iFinD）'!$A208="",'实盘净值数据(iFinD）'!$B208="",'实盘净值数据(iFinD）'!$Z208="",'实盘净值数据(iFinD）'!$AA208="",'实盘净值数据(iFinD）'!$AB208="",'实盘净值数据(iFinD）'!$AL208=""),"",(SUMPRODUCT(分期持仓明细!$B$26:$Y$26,'实盘净值数据(iFinD）'!$B208:$Y208/'实盘净值数据(iFinD）'!$B$69:$Y$69)+SUMPRODUCT(分期持仓明细!$AC$26:$AD$26,'实盘净值数据(iFinD）'!$Z208:$AA208/'实盘净值数据(iFinD）'!$Z$69:$AA$69)+SUMPRODUCT(分期持仓明细!$AE$26:$AO$26,'实盘净值数据(iFinD）'!$AB208:$AL208/'实盘净值数据(iFinD）'!$AB$69:$AL$69))*(1-实盘持仓初始配置!$Z$10)^(('实盘净值数据(iFinD）'!$A208-'实盘净值数据(iFinD）'!$A$69)/365))</f>
        <v/>
      </c>
      <c r="U208" s="16">
        <f>IF(OR(T207="",T208=""),"",T208/T207-1)</f>
        <v/>
      </c>
      <c r="V208" s="16">
        <f>IF(T208="","",T208/MAX(T$5:T208)-1)</f>
        <v/>
      </c>
    </row>
    <row r="209" spans="1:19">
      <c r="A209" s="15" t="str">
        <f>IF('实盘净值数据(iFinD）'!A209="","",'实盘净值数据(iFinD）'!A209)</f>
        <v/>
      </c>
      <c r="B209" s="13" t="str">
        <f>IF(OR('实盘净值数据(iFinD）'!$A209="",'实盘净值数据(iFinD）'!$B209=""),"",分期持仓明细!$AB$17*SUMPRODUCT(分期持仓明细!$B$17:$Y$17,'实盘净值数据(iFinD）'!$B209:$Y209/'实盘净值数据(iFinD）'!$B$20:$Y$20)*(1-实盘持仓初始配置!$Z$4)^(('实盘净值数据(iFinD）'!$A209-'实盘净值数据(iFinD）'!$A$6)/365))</f>
        <v/>
      </c>
      <c r="C209" s="16" t="str">
        <f t="shared" si="18"/>
        <v/>
      </c>
      <c r="D209" s="16" t="str">
        <f>IF(B209="","",B209/MAX(B$5:B209)-1)</f>
        <v/>
      </c>
      <c r="E209" s="13" t="str">
        <f>IF(OR('实盘净值数据(iFinD）'!$A209="",'实盘净值数据(iFinD）'!$B209=""),"",分期持仓明细!$AB$18*SUMPRODUCT(分期持仓明细!$B$18:$Y$18,'实盘净值数据(iFinD）'!$B209:$Y209/'实盘净值数据(iFinD）'!$B$20:$Y$20)*(1-实盘持仓初始配置!$Z$5)^(('实盘净值数据(iFinD）'!$A209-'实盘净值数据(iFinD）'!$A$5)/365))</f>
        <v/>
      </c>
      <c r="F209" s="16" t="str">
        <f t="shared" si="19"/>
        <v/>
      </c>
      <c r="G209" s="16" t="str">
        <f>IF(E209="","",E209/MAX(E$5:E209)-1)</f>
        <v/>
      </c>
      <c r="H209" s="13" t="str">
        <f>IF(OR('实盘净值数据(iFinD）'!$A209="",'实盘净值数据(iFinD）'!$B209=""),"",分期持仓明细!$AB$19*SUMPRODUCT(分期持仓明细!$B$19:$Y$19,'实盘净值数据(iFinD）'!$B209:$Y209/'实盘净值数据(iFinD）'!$B$20:$Y$20)*(1-实盘持仓初始配置!$Z$6)^(('实盘净值数据(iFinD）'!$A209-'实盘净值数据(iFinD）'!$A$7)/365))</f>
        <v/>
      </c>
      <c r="I209" s="16" t="str">
        <f t="shared" si="20"/>
        <v/>
      </c>
      <c r="J209" s="16" t="str">
        <f>IF(H209="","",H209/MAX(H$5:H209)-1)</f>
        <v/>
      </c>
      <c r="K209" s="13" t="str">
        <f>IF(OR('实盘净值数据(iFinD）'!$A209="",'实盘净值数据(iFinD）'!$B209="",'实盘净值数据(iFinD）'!$Z209="",'实盘净值数据(iFinD）'!$AA209=""),"",分期持仓明细!$AB$23*(SUMPRODUCT(分期持仓明细!$B$23:$Y$23,'实盘净值数据(iFinD）'!$B209:$Y209/'实盘净值数据(iFinD）'!$B$65:$Y$65)+SUMPRODUCT(分期持仓明细!$AC$23:$AD$23,'实盘净值数据(iFinD）'!$Z209:$AA209/'实盘净值数据(iFinD）'!$Z$65:$AA$65))*(1-实盘持仓初始配置!$Z$7)^(('实盘净值数据(iFinD）'!$A209-'实盘净值数据(iFinD）'!$A$8)/365))</f>
        <v/>
      </c>
      <c r="L209" s="16" t="str">
        <f t="shared" si="21"/>
        <v/>
      </c>
      <c r="M209" s="16" t="str">
        <f>IF(K209="","",K209/MAX(K$5:K209)-1)</f>
        <v/>
      </c>
      <c r="N209" s="13" t="str">
        <f>IF(OR('实盘净值数据(iFinD）'!$A209="",'实盘净值数据(iFinD）'!$B209="",'实盘净值数据(iFinD）'!$Z209="",'实盘净值数据(iFinD）'!$AA209=""),"",分期持仓明细!$AB$24*(SUMPRODUCT(分期持仓明细!$B$24:$Y$24,'实盘净值数据(iFinD）'!$B209:$Y209/'实盘净值数据(iFinD）'!$B$65:$Y$65)+SUMPRODUCT(分期持仓明细!$AC$24:$AD$24,'实盘净值数据(iFinD）'!$Z209:$AA209/'实盘净值数据(iFinD）'!$Z$65:$AA$65))*(1-实盘持仓初始配置!$Z$8)^(('实盘净值数据(iFinD）'!$A209-'实盘净值数据(iFinD）'!$A$5)/365))</f>
        <v/>
      </c>
      <c r="O209" s="16" t="str">
        <f t="shared" si="22"/>
        <v/>
      </c>
      <c r="P209" s="16" t="str">
        <f>IF(N209="","",N209/MAX(N$5:N209)-1)</f>
        <v/>
      </c>
      <c r="Q209" s="13" t="str">
        <f>IF(OR('实盘净值数据(iFinD）'!$A209="",'实盘净值数据(iFinD）'!$B209="",'实盘净值数据(iFinD）'!$Z209="",'实盘净值数据(iFinD）'!$AA209=""),"",分期持仓明细!$AB$25*(SUMPRODUCT(分期持仓明细!$B$25:$Y$25,'实盘净值数据(iFinD）'!$B209:$Y209/'实盘净值数据(iFinD）'!$B$65:$Y$65)+SUMPRODUCT(分期持仓明细!$AC$25:$AD$25,'实盘净值数据(iFinD）'!$Z209:$AA209/'实盘净值数据(iFinD）'!$Z$65:$AA$65))*(1-实盘持仓初始配置!$Z$9)^(('实盘净值数据(iFinD）'!$A209-'实盘净值数据(iFinD）'!$A$8)/365))</f>
        <v/>
      </c>
      <c r="R209" s="16" t="str">
        <f t="shared" si="23"/>
        <v/>
      </c>
      <c r="S209" s="16" t="str">
        <f>IF(Q209="","",Q209/MAX(Q$5:Q209)-1)</f>
        <v/>
      </c>
      <c r="T209" s="13">
        <f>IF(OR('实盘净值数据(iFinD）'!$A209="",'实盘净值数据(iFinD）'!$B209="",'实盘净值数据(iFinD）'!$Z209="",'实盘净值数据(iFinD）'!$AA209="",'实盘净值数据(iFinD）'!$AB209="",'实盘净值数据(iFinD）'!$AL209=""),"",(SUMPRODUCT(分期持仓明细!$B$26:$Y$26,'实盘净值数据(iFinD）'!$B209:$Y209/'实盘净值数据(iFinD）'!$B$69:$Y$69)+SUMPRODUCT(分期持仓明细!$AC$26:$AD$26,'实盘净值数据(iFinD）'!$Z209:$AA209/'实盘净值数据(iFinD）'!$Z$69:$AA$69)+SUMPRODUCT(分期持仓明细!$AE$26:$AO$26,'实盘净值数据(iFinD）'!$AB209:$AL209/'实盘净值数据(iFinD）'!$AB$69:$AL$69))*(1-实盘持仓初始配置!$Z$10)^(('实盘净值数据(iFinD）'!$A209-'实盘净值数据(iFinD）'!$A$69)/365))</f>
        <v/>
      </c>
      <c r="U209" s="16">
        <f>IF(OR(T208="",T209=""),"",T209/T208-1)</f>
        <v/>
      </c>
      <c r="V209" s="16">
        <f>IF(T209="","",T209/MAX(T$5:T209)-1)</f>
        <v/>
      </c>
    </row>
    <row r="210" spans="1:19">
      <c r="A210" s="15" t="str">
        <f>IF('实盘净值数据(iFinD）'!A210="","",'实盘净值数据(iFinD）'!A210)</f>
        <v/>
      </c>
      <c r="B210" s="13" t="str">
        <f>IF(OR('实盘净值数据(iFinD）'!$A210="",'实盘净值数据(iFinD）'!$B210=""),"",分期持仓明细!$AB$17*SUMPRODUCT(分期持仓明细!$B$17:$Y$17,'实盘净值数据(iFinD）'!$B210:$Y210/'实盘净值数据(iFinD）'!$B$20:$Y$20)*(1-实盘持仓初始配置!$Z$4)^(('实盘净值数据(iFinD）'!$A210-'实盘净值数据(iFinD）'!$A$6)/365))</f>
        <v/>
      </c>
      <c r="C210" s="16" t="str">
        <f t="shared" si="18"/>
        <v/>
      </c>
      <c r="D210" s="16" t="str">
        <f>IF(B210="","",B210/MAX(B$5:B210)-1)</f>
        <v/>
      </c>
      <c r="E210" s="13" t="str">
        <f>IF(OR('实盘净值数据(iFinD）'!$A210="",'实盘净值数据(iFinD）'!$B210=""),"",分期持仓明细!$AB$18*SUMPRODUCT(分期持仓明细!$B$18:$Y$18,'实盘净值数据(iFinD）'!$B210:$Y210/'实盘净值数据(iFinD）'!$B$20:$Y$20)*(1-实盘持仓初始配置!$Z$5)^(('实盘净值数据(iFinD）'!$A210-'实盘净值数据(iFinD）'!$A$5)/365))</f>
        <v/>
      </c>
      <c r="F210" s="16" t="str">
        <f t="shared" si="19"/>
        <v/>
      </c>
      <c r="G210" s="16" t="str">
        <f>IF(E210="","",E210/MAX(E$5:E210)-1)</f>
        <v/>
      </c>
      <c r="H210" s="13" t="str">
        <f>IF(OR('实盘净值数据(iFinD）'!$A210="",'实盘净值数据(iFinD）'!$B210=""),"",分期持仓明细!$AB$19*SUMPRODUCT(分期持仓明细!$B$19:$Y$19,'实盘净值数据(iFinD）'!$B210:$Y210/'实盘净值数据(iFinD）'!$B$20:$Y$20)*(1-实盘持仓初始配置!$Z$6)^(('实盘净值数据(iFinD）'!$A210-'实盘净值数据(iFinD）'!$A$7)/365))</f>
        <v/>
      </c>
      <c r="I210" s="16" t="str">
        <f t="shared" si="20"/>
        <v/>
      </c>
      <c r="J210" s="16" t="str">
        <f>IF(H210="","",H210/MAX(H$5:H210)-1)</f>
        <v/>
      </c>
      <c r="K210" s="13" t="str">
        <f>IF(OR('实盘净值数据(iFinD）'!$A210="",'实盘净值数据(iFinD）'!$B210="",'实盘净值数据(iFinD）'!$Z210="",'实盘净值数据(iFinD）'!$AA210=""),"",分期持仓明细!$AB$23*(SUMPRODUCT(分期持仓明细!$B$23:$Y$23,'实盘净值数据(iFinD）'!$B210:$Y210/'实盘净值数据(iFinD）'!$B$65:$Y$65)+SUMPRODUCT(分期持仓明细!$AC$23:$AD$23,'实盘净值数据(iFinD）'!$Z210:$AA210/'实盘净值数据(iFinD）'!$Z$65:$AA$65))*(1-实盘持仓初始配置!$Z$7)^(('实盘净值数据(iFinD）'!$A210-'实盘净值数据(iFinD）'!$A$8)/365))</f>
        <v/>
      </c>
      <c r="L210" s="16" t="str">
        <f t="shared" si="21"/>
        <v/>
      </c>
      <c r="M210" s="16" t="str">
        <f>IF(K210="","",K210/MAX(K$5:K210)-1)</f>
        <v/>
      </c>
      <c r="N210" s="13" t="str">
        <f>IF(OR('实盘净值数据(iFinD）'!$A210="",'实盘净值数据(iFinD）'!$B210="",'实盘净值数据(iFinD）'!$Z210="",'实盘净值数据(iFinD）'!$AA210=""),"",分期持仓明细!$AB$24*(SUMPRODUCT(分期持仓明细!$B$24:$Y$24,'实盘净值数据(iFinD）'!$B210:$Y210/'实盘净值数据(iFinD）'!$B$65:$Y$65)+SUMPRODUCT(分期持仓明细!$AC$24:$AD$24,'实盘净值数据(iFinD）'!$Z210:$AA210/'实盘净值数据(iFinD）'!$Z$65:$AA$65))*(1-实盘持仓初始配置!$Z$8)^(('实盘净值数据(iFinD）'!$A210-'实盘净值数据(iFinD）'!$A$5)/365))</f>
        <v/>
      </c>
      <c r="O210" s="16" t="str">
        <f t="shared" si="22"/>
        <v/>
      </c>
      <c r="P210" s="16" t="str">
        <f>IF(N210="","",N210/MAX(N$5:N210)-1)</f>
        <v/>
      </c>
      <c r="Q210" s="13" t="str">
        <f>IF(OR('实盘净值数据(iFinD）'!$A210="",'实盘净值数据(iFinD）'!$B210="",'实盘净值数据(iFinD）'!$Z210="",'实盘净值数据(iFinD）'!$AA210=""),"",分期持仓明细!$AB$25*(SUMPRODUCT(分期持仓明细!$B$25:$Y$25,'实盘净值数据(iFinD）'!$B210:$Y210/'实盘净值数据(iFinD）'!$B$65:$Y$65)+SUMPRODUCT(分期持仓明细!$AC$25:$AD$25,'实盘净值数据(iFinD）'!$Z210:$AA210/'实盘净值数据(iFinD）'!$Z$65:$AA$65))*(1-实盘持仓初始配置!$Z$9)^(('实盘净值数据(iFinD）'!$A210-'实盘净值数据(iFinD）'!$A$8)/365))</f>
        <v/>
      </c>
      <c r="R210" s="16" t="str">
        <f t="shared" si="23"/>
        <v/>
      </c>
      <c r="S210" s="16" t="str">
        <f>IF(Q210="","",Q210/MAX(Q$5:Q210)-1)</f>
        <v/>
      </c>
      <c r="T210" s="13">
        <f>IF(OR('实盘净值数据(iFinD）'!$A210="",'实盘净值数据(iFinD）'!$B210="",'实盘净值数据(iFinD）'!$Z210="",'实盘净值数据(iFinD）'!$AA210="",'实盘净值数据(iFinD）'!$AB210="",'实盘净值数据(iFinD）'!$AL210=""),"",(SUMPRODUCT(分期持仓明细!$B$26:$Y$26,'实盘净值数据(iFinD）'!$B210:$Y210/'实盘净值数据(iFinD）'!$B$69:$Y$69)+SUMPRODUCT(分期持仓明细!$AC$26:$AD$26,'实盘净值数据(iFinD）'!$Z210:$AA210/'实盘净值数据(iFinD）'!$Z$69:$AA$69)+SUMPRODUCT(分期持仓明细!$AE$26:$AO$26,'实盘净值数据(iFinD）'!$AB210:$AL210/'实盘净值数据(iFinD）'!$AB$69:$AL$69))*(1-实盘持仓初始配置!$Z$10)^(('实盘净值数据(iFinD）'!$A210-'实盘净值数据(iFinD）'!$A$69)/365))</f>
        <v/>
      </c>
      <c r="U210" s="16">
        <f>IF(OR(T209="",T210=""),"",T210/T209-1)</f>
        <v/>
      </c>
      <c r="V210" s="16">
        <f>IF(T210="","",T210/MAX(T$5:T210)-1)</f>
        <v/>
      </c>
    </row>
    <row r="211" spans="1:19">
      <c r="A211" s="15" t="str">
        <f>IF('实盘净值数据(iFinD）'!A211="","",'实盘净值数据(iFinD）'!A211)</f>
        <v/>
      </c>
      <c r="B211" s="13" t="str">
        <f>IF(OR('实盘净值数据(iFinD）'!$A211="",'实盘净值数据(iFinD）'!$B211=""),"",分期持仓明细!$AB$17*SUMPRODUCT(分期持仓明细!$B$17:$Y$17,'实盘净值数据(iFinD）'!$B211:$Y211/'实盘净值数据(iFinD）'!$B$20:$Y$20)*(1-实盘持仓初始配置!$Z$4)^(('实盘净值数据(iFinD）'!$A211-'实盘净值数据(iFinD）'!$A$6)/365))</f>
        <v/>
      </c>
      <c r="C211" s="16" t="str">
        <f t="shared" si="18"/>
        <v/>
      </c>
      <c r="D211" s="16" t="str">
        <f>IF(B211="","",B211/MAX(B$5:B211)-1)</f>
        <v/>
      </c>
      <c r="E211" s="13" t="str">
        <f>IF(OR('实盘净值数据(iFinD）'!$A211="",'实盘净值数据(iFinD）'!$B211=""),"",分期持仓明细!$AB$18*SUMPRODUCT(分期持仓明细!$B$18:$Y$18,'实盘净值数据(iFinD）'!$B211:$Y211/'实盘净值数据(iFinD）'!$B$20:$Y$20)*(1-实盘持仓初始配置!$Z$5)^(('实盘净值数据(iFinD）'!$A211-'实盘净值数据(iFinD）'!$A$5)/365))</f>
        <v/>
      </c>
      <c r="F211" s="16" t="str">
        <f t="shared" si="19"/>
        <v/>
      </c>
      <c r="G211" s="16" t="str">
        <f>IF(E211="","",E211/MAX(E$5:E211)-1)</f>
        <v/>
      </c>
      <c r="H211" s="13" t="str">
        <f>IF(OR('实盘净值数据(iFinD）'!$A211="",'实盘净值数据(iFinD）'!$B211=""),"",分期持仓明细!$AB$19*SUMPRODUCT(分期持仓明细!$B$19:$Y$19,'实盘净值数据(iFinD）'!$B211:$Y211/'实盘净值数据(iFinD）'!$B$20:$Y$20)*(1-实盘持仓初始配置!$Z$6)^(('实盘净值数据(iFinD）'!$A211-'实盘净值数据(iFinD）'!$A$7)/365))</f>
        <v/>
      </c>
      <c r="I211" s="16" t="str">
        <f t="shared" si="20"/>
        <v/>
      </c>
      <c r="J211" s="16" t="str">
        <f>IF(H211="","",H211/MAX(H$5:H211)-1)</f>
        <v/>
      </c>
      <c r="K211" s="13" t="str">
        <f>IF(OR('实盘净值数据(iFinD）'!$A211="",'实盘净值数据(iFinD）'!$B211="",'实盘净值数据(iFinD）'!$Z211="",'实盘净值数据(iFinD）'!$AA211=""),"",分期持仓明细!$AB$23*(SUMPRODUCT(分期持仓明细!$B$23:$Y$23,'实盘净值数据(iFinD）'!$B211:$Y211/'实盘净值数据(iFinD）'!$B$65:$Y$65)+SUMPRODUCT(分期持仓明细!$AC$23:$AD$23,'实盘净值数据(iFinD）'!$Z211:$AA211/'实盘净值数据(iFinD）'!$Z$65:$AA$65))*(1-实盘持仓初始配置!$Z$7)^(('实盘净值数据(iFinD）'!$A211-'实盘净值数据(iFinD）'!$A$8)/365))</f>
        <v/>
      </c>
      <c r="L211" s="16" t="str">
        <f t="shared" si="21"/>
        <v/>
      </c>
      <c r="M211" s="16" t="str">
        <f>IF(K211="","",K211/MAX(K$5:K211)-1)</f>
        <v/>
      </c>
      <c r="N211" s="13" t="str">
        <f>IF(OR('实盘净值数据(iFinD）'!$A211="",'实盘净值数据(iFinD）'!$B211="",'实盘净值数据(iFinD）'!$Z211="",'实盘净值数据(iFinD）'!$AA211=""),"",分期持仓明细!$AB$24*(SUMPRODUCT(分期持仓明细!$B$24:$Y$24,'实盘净值数据(iFinD）'!$B211:$Y211/'实盘净值数据(iFinD）'!$B$65:$Y$65)+SUMPRODUCT(分期持仓明细!$AC$24:$AD$24,'实盘净值数据(iFinD）'!$Z211:$AA211/'实盘净值数据(iFinD）'!$Z$65:$AA$65))*(1-实盘持仓初始配置!$Z$8)^(('实盘净值数据(iFinD）'!$A211-'实盘净值数据(iFinD）'!$A$5)/365))</f>
        <v/>
      </c>
      <c r="O211" s="16" t="str">
        <f t="shared" si="22"/>
        <v/>
      </c>
      <c r="P211" s="16" t="str">
        <f>IF(N211="","",N211/MAX(N$5:N211)-1)</f>
        <v/>
      </c>
      <c r="Q211" s="13" t="str">
        <f>IF(OR('实盘净值数据(iFinD）'!$A211="",'实盘净值数据(iFinD）'!$B211="",'实盘净值数据(iFinD）'!$Z211="",'实盘净值数据(iFinD）'!$AA211=""),"",分期持仓明细!$AB$25*(SUMPRODUCT(分期持仓明细!$B$25:$Y$25,'实盘净值数据(iFinD）'!$B211:$Y211/'实盘净值数据(iFinD）'!$B$65:$Y$65)+SUMPRODUCT(分期持仓明细!$AC$25:$AD$25,'实盘净值数据(iFinD）'!$Z211:$AA211/'实盘净值数据(iFinD）'!$Z$65:$AA$65))*(1-实盘持仓初始配置!$Z$9)^(('实盘净值数据(iFinD）'!$A211-'实盘净值数据(iFinD）'!$A$8)/365))</f>
        <v/>
      </c>
      <c r="R211" s="16" t="str">
        <f t="shared" si="23"/>
        <v/>
      </c>
      <c r="S211" s="16" t="str">
        <f>IF(Q211="","",Q211/MAX(Q$5:Q211)-1)</f>
        <v/>
      </c>
      <c r="T211" s="13">
        <f>IF(OR('实盘净值数据(iFinD）'!$A211="",'实盘净值数据(iFinD）'!$B211="",'实盘净值数据(iFinD）'!$Z211="",'实盘净值数据(iFinD）'!$AA211="",'实盘净值数据(iFinD）'!$AB211="",'实盘净值数据(iFinD）'!$AL211=""),"",(SUMPRODUCT(分期持仓明细!$B$26:$Y$26,'实盘净值数据(iFinD）'!$B211:$Y211/'实盘净值数据(iFinD）'!$B$69:$Y$69)+SUMPRODUCT(分期持仓明细!$AC$26:$AD$26,'实盘净值数据(iFinD）'!$Z211:$AA211/'实盘净值数据(iFinD）'!$Z$69:$AA$69)+SUMPRODUCT(分期持仓明细!$AE$26:$AO$26,'实盘净值数据(iFinD）'!$AB211:$AL211/'实盘净值数据(iFinD）'!$AB$69:$AL$69))*(1-实盘持仓初始配置!$Z$10)^(('实盘净值数据(iFinD）'!$A211-'实盘净值数据(iFinD）'!$A$69)/365))</f>
        <v/>
      </c>
      <c r="U211" s="16">
        <f>IF(OR(T210="",T211=""),"",T211/T210-1)</f>
        <v/>
      </c>
      <c r="V211" s="16">
        <f>IF(T211="","",T211/MAX(T$5:T211)-1)</f>
        <v/>
      </c>
    </row>
    <row r="212" spans="1:19">
      <c r="A212" s="15" t="str">
        <f>IF('实盘净值数据(iFinD）'!A212="","",'实盘净值数据(iFinD）'!A212)</f>
        <v/>
      </c>
      <c r="B212" s="13" t="str">
        <f>IF(OR('实盘净值数据(iFinD）'!$A212="",'实盘净值数据(iFinD）'!$B212=""),"",分期持仓明细!$AB$17*SUMPRODUCT(分期持仓明细!$B$17:$Y$17,'实盘净值数据(iFinD）'!$B212:$Y212/'实盘净值数据(iFinD）'!$B$20:$Y$20)*(1-实盘持仓初始配置!$Z$4)^(('实盘净值数据(iFinD）'!$A212-'实盘净值数据(iFinD）'!$A$6)/365))</f>
        <v/>
      </c>
      <c r="C212" s="16" t="str">
        <f t="shared" si="18"/>
        <v/>
      </c>
      <c r="D212" s="16" t="str">
        <f>IF(B212="","",B212/MAX(B$5:B212)-1)</f>
        <v/>
      </c>
      <c r="E212" s="13" t="str">
        <f>IF(OR('实盘净值数据(iFinD）'!$A212="",'实盘净值数据(iFinD）'!$B212=""),"",分期持仓明细!$AB$18*SUMPRODUCT(分期持仓明细!$B$18:$Y$18,'实盘净值数据(iFinD）'!$B212:$Y212/'实盘净值数据(iFinD）'!$B$20:$Y$20)*(1-实盘持仓初始配置!$Z$5)^(('实盘净值数据(iFinD）'!$A212-'实盘净值数据(iFinD）'!$A$5)/365))</f>
        <v/>
      </c>
      <c r="F212" s="16" t="str">
        <f t="shared" si="19"/>
        <v/>
      </c>
      <c r="G212" s="16" t="str">
        <f>IF(E212="","",E212/MAX(E$5:E212)-1)</f>
        <v/>
      </c>
      <c r="H212" s="13" t="str">
        <f>IF(OR('实盘净值数据(iFinD）'!$A212="",'实盘净值数据(iFinD）'!$B212=""),"",分期持仓明细!$AB$19*SUMPRODUCT(分期持仓明细!$B$19:$Y$19,'实盘净值数据(iFinD）'!$B212:$Y212/'实盘净值数据(iFinD）'!$B$20:$Y$20)*(1-实盘持仓初始配置!$Z$6)^(('实盘净值数据(iFinD）'!$A212-'实盘净值数据(iFinD）'!$A$7)/365))</f>
        <v/>
      </c>
      <c r="I212" s="16" t="str">
        <f t="shared" si="20"/>
        <v/>
      </c>
      <c r="J212" s="16" t="str">
        <f>IF(H212="","",H212/MAX(H$5:H212)-1)</f>
        <v/>
      </c>
      <c r="K212" s="13" t="str">
        <f>IF(OR('实盘净值数据(iFinD）'!$A212="",'实盘净值数据(iFinD）'!$B212="",'实盘净值数据(iFinD）'!$Z212="",'实盘净值数据(iFinD）'!$AA212=""),"",分期持仓明细!$AB$23*(SUMPRODUCT(分期持仓明细!$B$23:$Y$23,'实盘净值数据(iFinD）'!$B212:$Y212/'实盘净值数据(iFinD）'!$B$65:$Y$65)+SUMPRODUCT(分期持仓明细!$AC$23:$AD$23,'实盘净值数据(iFinD）'!$Z212:$AA212/'实盘净值数据(iFinD）'!$Z$65:$AA$65))*(1-实盘持仓初始配置!$Z$7)^(('实盘净值数据(iFinD）'!$A212-'实盘净值数据(iFinD）'!$A$8)/365))</f>
        <v/>
      </c>
      <c r="L212" s="16" t="str">
        <f t="shared" si="21"/>
        <v/>
      </c>
      <c r="M212" s="16" t="str">
        <f>IF(K212="","",K212/MAX(K$5:K212)-1)</f>
        <v/>
      </c>
      <c r="N212" s="13" t="str">
        <f>IF(OR('实盘净值数据(iFinD）'!$A212="",'实盘净值数据(iFinD）'!$B212="",'实盘净值数据(iFinD）'!$Z212="",'实盘净值数据(iFinD）'!$AA212=""),"",分期持仓明细!$AB$24*(SUMPRODUCT(分期持仓明细!$B$24:$Y$24,'实盘净值数据(iFinD）'!$B212:$Y212/'实盘净值数据(iFinD）'!$B$65:$Y$65)+SUMPRODUCT(分期持仓明细!$AC$24:$AD$24,'实盘净值数据(iFinD）'!$Z212:$AA212/'实盘净值数据(iFinD）'!$Z$65:$AA$65))*(1-实盘持仓初始配置!$Z$8)^(('实盘净值数据(iFinD）'!$A212-'实盘净值数据(iFinD）'!$A$5)/365))</f>
        <v/>
      </c>
      <c r="O212" s="16" t="str">
        <f t="shared" si="22"/>
        <v/>
      </c>
      <c r="P212" s="16" t="str">
        <f>IF(N212="","",N212/MAX(N$5:N212)-1)</f>
        <v/>
      </c>
      <c r="Q212" s="13" t="str">
        <f>IF(OR('实盘净值数据(iFinD）'!$A212="",'实盘净值数据(iFinD）'!$B212="",'实盘净值数据(iFinD）'!$Z212="",'实盘净值数据(iFinD）'!$AA212=""),"",分期持仓明细!$AB$25*(SUMPRODUCT(分期持仓明细!$B$25:$Y$25,'实盘净值数据(iFinD）'!$B212:$Y212/'实盘净值数据(iFinD）'!$B$65:$Y$65)+SUMPRODUCT(分期持仓明细!$AC$25:$AD$25,'实盘净值数据(iFinD）'!$Z212:$AA212/'实盘净值数据(iFinD）'!$Z$65:$AA$65))*(1-实盘持仓初始配置!$Z$9)^(('实盘净值数据(iFinD）'!$A212-'实盘净值数据(iFinD）'!$A$8)/365))</f>
        <v/>
      </c>
      <c r="R212" s="16" t="str">
        <f t="shared" si="23"/>
        <v/>
      </c>
      <c r="S212" s="16" t="str">
        <f>IF(Q212="","",Q212/MAX(Q$5:Q212)-1)</f>
        <v/>
      </c>
      <c r="T212" s="13">
        <f>IF(OR('实盘净值数据(iFinD）'!$A212="",'实盘净值数据(iFinD）'!$B212="",'实盘净值数据(iFinD）'!$Z212="",'实盘净值数据(iFinD）'!$AA212="",'实盘净值数据(iFinD）'!$AB212="",'实盘净值数据(iFinD）'!$AL212=""),"",(SUMPRODUCT(分期持仓明细!$B$26:$Y$26,'实盘净值数据(iFinD）'!$B212:$Y212/'实盘净值数据(iFinD）'!$B$69:$Y$69)+SUMPRODUCT(分期持仓明细!$AC$26:$AD$26,'实盘净值数据(iFinD）'!$Z212:$AA212/'实盘净值数据(iFinD）'!$Z$69:$AA$69)+SUMPRODUCT(分期持仓明细!$AE$26:$AO$26,'实盘净值数据(iFinD）'!$AB212:$AL212/'实盘净值数据(iFinD）'!$AB$69:$AL$69))*(1-实盘持仓初始配置!$Z$10)^(('实盘净值数据(iFinD）'!$A212-'实盘净值数据(iFinD）'!$A$69)/365))</f>
        <v/>
      </c>
      <c r="U212" s="16">
        <f>IF(OR(T211="",T212=""),"",T212/T211-1)</f>
        <v/>
      </c>
      <c r="V212" s="16">
        <f>IF(T212="","",T212/MAX(T$5:T212)-1)</f>
        <v/>
      </c>
    </row>
    <row r="213" spans="1:19">
      <c r="A213" s="15" t="str">
        <f>IF('实盘净值数据(iFinD）'!A213="","",'实盘净值数据(iFinD）'!A213)</f>
        <v/>
      </c>
      <c r="B213" s="13" t="str">
        <f>IF(OR('实盘净值数据(iFinD）'!$A213="",'实盘净值数据(iFinD）'!$B213=""),"",分期持仓明细!$AB$17*SUMPRODUCT(分期持仓明细!$B$17:$Y$17,'实盘净值数据(iFinD）'!$B213:$Y213/'实盘净值数据(iFinD）'!$B$20:$Y$20)*(1-实盘持仓初始配置!$Z$4)^(('实盘净值数据(iFinD）'!$A213-'实盘净值数据(iFinD）'!$A$6)/365))</f>
        <v/>
      </c>
      <c r="C213" s="16" t="str">
        <f t="shared" si="18"/>
        <v/>
      </c>
      <c r="D213" s="16" t="str">
        <f>IF(B213="","",B213/MAX(B$5:B213)-1)</f>
        <v/>
      </c>
      <c r="E213" s="13" t="str">
        <f>IF(OR('实盘净值数据(iFinD）'!$A213="",'实盘净值数据(iFinD）'!$B213=""),"",分期持仓明细!$AB$18*SUMPRODUCT(分期持仓明细!$B$18:$Y$18,'实盘净值数据(iFinD）'!$B213:$Y213/'实盘净值数据(iFinD）'!$B$20:$Y$20)*(1-实盘持仓初始配置!$Z$5)^(('实盘净值数据(iFinD）'!$A213-'实盘净值数据(iFinD）'!$A$5)/365))</f>
        <v/>
      </c>
      <c r="F213" s="16" t="str">
        <f t="shared" si="19"/>
        <v/>
      </c>
      <c r="G213" s="16" t="str">
        <f>IF(E213="","",E213/MAX(E$5:E213)-1)</f>
        <v/>
      </c>
      <c r="H213" s="13" t="str">
        <f>IF(OR('实盘净值数据(iFinD）'!$A213="",'实盘净值数据(iFinD）'!$B213=""),"",分期持仓明细!$AB$19*SUMPRODUCT(分期持仓明细!$B$19:$Y$19,'实盘净值数据(iFinD）'!$B213:$Y213/'实盘净值数据(iFinD）'!$B$20:$Y$20)*(1-实盘持仓初始配置!$Z$6)^(('实盘净值数据(iFinD）'!$A213-'实盘净值数据(iFinD）'!$A$7)/365))</f>
        <v/>
      </c>
      <c r="I213" s="16" t="str">
        <f t="shared" si="20"/>
        <v/>
      </c>
      <c r="J213" s="16" t="str">
        <f>IF(H213="","",H213/MAX(H$5:H213)-1)</f>
        <v/>
      </c>
      <c r="K213" s="13" t="str">
        <f>IF(OR('实盘净值数据(iFinD）'!$A213="",'实盘净值数据(iFinD）'!$B213="",'实盘净值数据(iFinD）'!$Z213="",'实盘净值数据(iFinD）'!$AA213=""),"",分期持仓明细!$AB$23*(SUMPRODUCT(分期持仓明细!$B$23:$Y$23,'实盘净值数据(iFinD）'!$B213:$Y213/'实盘净值数据(iFinD）'!$B$65:$Y$65)+SUMPRODUCT(分期持仓明细!$AC$23:$AD$23,'实盘净值数据(iFinD）'!$Z213:$AA213/'实盘净值数据(iFinD）'!$Z$65:$AA$65))*(1-实盘持仓初始配置!$Z$7)^(('实盘净值数据(iFinD）'!$A213-'实盘净值数据(iFinD）'!$A$8)/365))</f>
        <v/>
      </c>
      <c r="L213" s="16" t="str">
        <f t="shared" si="21"/>
        <v/>
      </c>
      <c r="M213" s="16" t="str">
        <f>IF(K213="","",K213/MAX(K$5:K213)-1)</f>
        <v/>
      </c>
      <c r="N213" s="13" t="str">
        <f>IF(OR('实盘净值数据(iFinD）'!$A213="",'实盘净值数据(iFinD）'!$B213="",'实盘净值数据(iFinD）'!$Z213="",'实盘净值数据(iFinD）'!$AA213=""),"",分期持仓明细!$AB$24*(SUMPRODUCT(分期持仓明细!$B$24:$Y$24,'实盘净值数据(iFinD）'!$B213:$Y213/'实盘净值数据(iFinD）'!$B$65:$Y$65)+SUMPRODUCT(分期持仓明细!$AC$24:$AD$24,'实盘净值数据(iFinD）'!$Z213:$AA213/'实盘净值数据(iFinD）'!$Z$65:$AA$65))*(1-实盘持仓初始配置!$Z$8)^(('实盘净值数据(iFinD）'!$A213-'实盘净值数据(iFinD）'!$A$5)/365))</f>
        <v/>
      </c>
      <c r="O213" s="16" t="str">
        <f t="shared" si="22"/>
        <v/>
      </c>
      <c r="P213" s="16" t="str">
        <f>IF(N213="","",N213/MAX(N$5:N213)-1)</f>
        <v/>
      </c>
      <c r="Q213" s="13" t="str">
        <f>IF(OR('实盘净值数据(iFinD）'!$A213="",'实盘净值数据(iFinD）'!$B213="",'实盘净值数据(iFinD）'!$Z213="",'实盘净值数据(iFinD）'!$AA213=""),"",分期持仓明细!$AB$25*(SUMPRODUCT(分期持仓明细!$B$25:$Y$25,'实盘净值数据(iFinD）'!$B213:$Y213/'实盘净值数据(iFinD）'!$B$65:$Y$65)+SUMPRODUCT(分期持仓明细!$AC$25:$AD$25,'实盘净值数据(iFinD）'!$Z213:$AA213/'实盘净值数据(iFinD）'!$Z$65:$AA$65))*(1-实盘持仓初始配置!$Z$9)^(('实盘净值数据(iFinD）'!$A213-'实盘净值数据(iFinD）'!$A$8)/365))</f>
        <v/>
      </c>
      <c r="R213" s="16" t="str">
        <f t="shared" si="23"/>
        <v/>
      </c>
      <c r="S213" s="16" t="str">
        <f>IF(Q213="","",Q213/MAX(Q$5:Q213)-1)</f>
        <v/>
      </c>
      <c r="T213" s="13">
        <f>IF(OR('实盘净值数据(iFinD）'!$A213="",'实盘净值数据(iFinD）'!$B213="",'实盘净值数据(iFinD）'!$Z213="",'实盘净值数据(iFinD）'!$AA213="",'实盘净值数据(iFinD）'!$AB213="",'实盘净值数据(iFinD）'!$AL213=""),"",(SUMPRODUCT(分期持仓明细!$B$26:$Y$26,'实盘净值数据(iFinD）'!$B213:$Y213/'实盘净值数据(iFinD）'!$B$69:$Y$69)+SUMPRODUCT(分期持仓明细!$AC$26:$AD$26,'实盘净值数据(iFinD）'!$Z213:$AA213/'实盘净值数据(iFinD）'!$Z$69:$AA$69)+SUMPRODUCT(分期持仓明细!$AE$26:$AO$26,'实盘净值数据(iFinD）'!$AB213:$AL213/'实盘净值数据(iFinD）'!$AB$69:$AL$69))*(1-实盘持仓初始配置!$Z$10)^(('实盘净值数据(iFinD）'!$A213-'实盘净值数据(iFinD）'!$A$69)/365))</f>
        <v/>
      </c>
      <c r="U213" s="16">
        <f>IF(OR(T212="",T213=""),"",T213/T212-1)</f>
        <v/>
      </c>
      <c r="V213" s="16">
        <f>IF(T213="","",T213/MAX(T$5:T213)-1)</f>
        <v/>
      </c>
    </row>
    <row r="214" spans="1:19">
      <c r="A214" s="15" t="str">
        <f>IF('实盘净值数据(iFinD）'!A214="","",'实盘净值数据(iFinD）'!A214)</f>
        <v/>
      </c>
      <c r="B214" s="13" t="str">
        <f>IF(OR('实盘净值数据(iFinD）'!$A214="",'实盘净值数据(iFinD）'!$B214=""),"",分期持仓明细!$AB$17*SUMPRODUCT(分期持仓明细!$B$17:$Y$17,'实盘净值数据(iFinD）'!$B214:$Y214/'实盘净值数据(iFinD）'!$B$20:$Y$20)*(1-实盘持仓初始配置!$Z$4)^(('实盘净值数据(iFinD）'!$A214-'实盘净值数据(iFinD）'!$A$6)/365))</f>
        <v/>
      </c>
      <c r="C214" s="16" t="str">
        <f t="shared" si="18"/>
        <v/>
      </c>
      <c r="D214" s="16" t="str">
        <f>IF(B214="","",B214/MAX(B$5:B214)-1)</f>
        <v/>
      </c>
      <c r="E214" s="13" t="str">
        <f>IF(OR('实盘净值数据(iFinD）'!$A214="",'实盘净值数据(iFinD）'!$B214=""),"",分期持仓明细!$AB$18*SUMPRODUCT(分期持仓明细!$B$18:$Y$18,'实盘净值数据(iFinD）'!$B214:$Y214/'实盘净值数据(iFinD）'!$B$20:$Y$20)*(1-实盘持仓初始配置!$Z$5)^(('实盘净值数据(iFinD）'!$A214-'实盘净值数据(iFinD）'!$A$5)/365))</f>
        <v/>
      </c>
      <c r="F214" s="16" t="str">
        <f t="shared" si="19"/>
        <v/>
      </c>
      <c r="G214" s="16" t="str">
        <f>IF(E214="","",E214/MAX(E$5:E214)-1)</f>
        <v/>
      </c>
      <c r="H214" s="13" t="str">
        <f>IF(OR('实盘净值数据(iFinD）'!$A214="",'实盘净值数据(iFinD）'!$B214=""),"",分期持仓明细!$AB$19*SUMPRODUCT(分期持仓明细!$B$19:$Y$19,'实盘净值数据(iFinD）'!$B214:$Y214/'实盘净值数据(iFinD）'!$B$20:$Y$20)*(1-实盘持仓初始配置!$Z$6)^(('实盘净值数据(iFinD）'!$A214-'实盘净值数据(iFinD）'!$A$7)/365))</f>
        <v/>
      </c>
      <c r="I214" s="16" t="str">
        <f t="shared" si="20"/>
        <v/>
      </c>
      <c r="J214" s="16" t="str">
        <f>IF(H214="","",H214/MAX(H$5:H214)-1)</f>
        <v/>
      </c>
      <c r="K214" s="13" t="str">
        <f>IF(OR('实盘净值数据(iFinD）'!$A214="",'实盘净值数据(iFinD）'!$B214="",'实盘净值数据(iFinD）'!$Z214="",'实盘净值数据(iFinD）'!$AA214=""),"",分期持仓明细!$AB$23*(SUMPRODUCT(分期持仓明细!$B$23:$Y$23,'实盘净值数据(iFinD）'!$B214:$Y214/'实盘净值数据(iFinD）'!$B$65:$Y$65)+SUMPRODUCT(分期持仓明细!$AC$23:$AD$23,'实盘净值数据(iFinD）'!$Z214:$AA214/'实盘净值数据(iFinD）'!$Z$65:$AA$65))*(1-实盘持仓初始配置!$Z$7)^(('实盘净值数据(iFinD）'!$A214-'实盘净值数据(iFinD）'!$A$8)/365))</f>
        <v/>
      </c>
      <c r="L214" s="16" t="str">
        <f t="shared" si="21"/>
        <v/>
      </c>
      <c r="M214" s="16" t="str">
        <f>IF(K214="","",K214/MAX(K$5:K214)-1)</f>
        <v/>
      </c>
      <c r="N214" s="13" t="str">
        <f>IF(OR('实盘净值数据(iFinD）'!$A214="",'实盘净值数据(iFinD）'!$B214="",'实盘净值数据(iFinD）'!$Z214="",'实盘净值数据(iFinD）'!$AA214=""),"",分期持仓明细!$AB$24*(SUMPRODUCT(分期持仓明细!$B$24:$Y$24,'实盘净值数据(iFinD）'!$B214:$Y214/'实盘净值数据(iFinD）'!$B$65:$Y$65)+SUMPRODUCT(分期持仓明细!$AC$24:$AD$24,'实盘净值数据(iFinD）'!$Z214:$AA214/'实盘净值数据(iFinD）'!$Z$65:$AA$65))*(1-实盘持仓初始配置!$Z$8)^(('实盘净值数据(iFinD）'!$A214-'实盘净值数据(iFinD）'!$A$5)/365))</f>
        <v/>
      </c>
      <c r="O214" s="16" t="str">
        <f t="shared" si="22"/>
        <v/>
      </c>
      <c r="P214" s="16" t="str">
        <f>IF(N214="","",N214/MAX(N$5:N214)-1)</f>
        <v/>
      </c>
      <c r="Q214" s="13" t="str">
        <f>IF(OR('实盘净值数据(iFinD）'!$A214="",'实盘净值数据(iFinD）'!$B214="",'实盘净值数据(iFinD）'!$Z214="",'实盘净值数据(iFinD）'!$AA214=""),"",分期持仓明细!$AB$25*(SUMPRODUCT(分期持仓明细!$B$25:$Y$25,'实盘净值数据(iFinD）'!$B214:$Y214/'实盘净值数据(iFinD）'!$B$65:$Y$65)+SUMPRODUCT(分期持仓明细!$AC$25:$AD$25,'实盘净值数据(iFinD）'!$Z214:$AA214/'实盘净值数据(iFinD）'!$Z$65:$AA$65))*(1-实盘持仓初始配置!$Z$9)^(('实盘净值数据(iFinD）'!$A214-'实盘净值数据(iFinD）'!$A$8)/365))</f>
        <v/>
      </c>
      <c r="R214" s="16" t="str">
        <f t="shared" si="23"/>
        <v/>
      </c>
      <c r="S214" s="16" t="str">
        <f>IF(Q214="","",Q214/MAX(Q$5:Q214)-1)</f>
        <v/>
      </c>
      <c r="T214" s="13">
        <f>IF(OR('实盘净值数据(iFinD）'!$A214="",'实盘净值数据(iFinD）'!$B214="",'实盘净值数据(iFinD）'!$Z214="",'实盘净值数据(iFinD）'!$AA214="",'实盘净值数据(iFinD）'!$AB214="",'实盘净值数据(iFinD）'!$AL214=""),"",(SUMPRODUCT(分期持仓明细!$B$26:$Y$26,'实盘净值数据(iFinD）'!$B214:$Y214/'实盘净值数据(iFinD）'!$B$69:$Y$69)+SUMPRODUCT(分期持仓明细!$AC$26:$AD$26,'实盘净值数据(iFinD）'!$Z214:$AA214/'实盘净值数据(iFinD）'!$Z$69:$AA$69)+SUMPRODUCT(分期持仓明细!$AE$26:$AO$26,'实盘净值数据(iFinD）'!$AB214:$AL214/'实盘净值数据(iFinD）'!$AB$69:$AL$69))*(1-实盘持仓初始配置!$Z$10)^(('实盘净值数据(iFinD）'!$A214-'实盘净值数据(iFinD）'!$A$69)/365))</f>
        <v/>
      </c>
      <c r="U214" s="16">
        <f>IF(OR(T213="",T214=""),"",T214/T213-1)</f>
        <v/>
      </c>
      <c r="V214" s="16">
        <f>IF(T214="","",T214/MAX(T$5:T214)-1)</f>
        <v/>
      </c>
    </row>
    <row r="215" spans="1:19">
      <c r="A215" s="15" t="str">
        <f>IF('实盘净值数据(iFinD）'!A215="","",'实盘净值数据(iFinD）'!A215)</f>
        <v/>
      </c>
      <c r="B215" s="13" t="str">
        <f>IF(OR('实盘净值数据(iFinD）'!$A215="",'实盘净值数据(iFinD）'!$B215=""),"",分期持仓明细!$AB$17*SUMPRODUCT(分期持仓明细!$B$17:$Y$17,'实盘净值数据(iFinD）'!$B215:$Y215/'实盘净值数据(iFinD）'!$B$20:$Y$20)*(1-实盘持仓初始配置!$Z$4)^(('实盘净值数据(iFinD）'!$A215-'实盘净值数据(iFinD）'!$A$6)/365))</f>
        <v/>
      </c>
      <c r="C215" s="16" t="str">
        <f t="shared" si="18"/>
        <v/>
      </c>
      <c r="D215" s="16" t="str">
        <f>IF(B215="","",B215/MAX(B$5:B215)-1)</f>
        <v/>
      </c>
      <c r="E215" s="13" t="str">
        <f>IF(OR('实盘净值数据(iFinD）'!$A215="",'实盘净值数据(iFinD）'!$B215=""),"",分期持仓明细!$AB$18*SUMPRODUCT(分期持仓明细!$B$18:$Y$18,'实盘净值数据(iFinD）'!$B215:$Y215/'实盘净值数据(iFinD）'!$B$20:$Y$20)*(1-实盘持仓初始配置!$Z$5)^(('实盘净值数据(iFinD）'!$A215-'实盘净值数据(iFinD）'!$A$5)/365))</f>
        <v/>
      </c>
      <c r="F215" s="16" t="str">
        <f t="shared" si="19"/>
        <v/>
      </c>
      <c r="G215" s="16" t="str">
        <f>IF(E215="","",E215/MAX(E$5:E215)-1)</f>
        <v/>
      </c>
      <c r="H215" s="13" t="str">
        <f>IF(OR('实盘净值数据(iFinD）'!$A215="",'实盘净值数据(iFinD）'!$B215=""),"",分期持仓明细!$AB$19*SUMPRODUCT(分期持仓明细!$B$19:$Y$19,'实盘净值数据(iFinD）'!$B215:$Y215/'实盘净值数据(iFinD）'!$B$20:$Y$20)*(1-实盘持仓初始配置!$Z$6)^(('实盘净值数据(iFinD）'!$A215-'实盘净值数据(iFinD）'!$A$7)/365))</f>
        <v/>
      </c>
      <c r="I215" s="16" t="str">
        <f t="shared" si="20"/>
        <v/>
      </c>
      <c r="J215" s="16" t="str">
        <f>IF(H215="","",H215/MAX(H$5:H215)-1)</f>
        <v/>
      </c>
      <c r="K215" s="13" t="str">
        <f>IF(OR('实盘净值数据(iFinD）'!$A215="",'实盘净值数据(iFinD）'!$B215="",'实盘净值数据(iFinD）'!$Z215="",'实盘净值数据(iFinD）'!$AA215=""),"",分期持仓明细!$AB$23*(SUMPRODUCT(分期持仓明细!$B$23:$Y$23,'实盘净值数据(iFinD）'!$B215:$Y215/'实盘净值数据(iFinD）'!$B$65:$Y$65)+SUMPRODUCT(分期持仓明细!$AC$23:$AD$23,'实盘净值数据(iFinD）'!$Z215:$AA215/'实盘净值数据(iFinD）'!$Z$65:$AA$65))*(1-实盘持仓初始配置!$Z$7)^(('实盘净值数据(iFinD）'!$A215-'实盘净值数据(iFinD）'!$A$8)/365))</f>
        <v/>
      </c>
      <c r="L215" s="16" t="str">
        <f t="shared" si="21"/>
        <v/>
      </c>
      <c r="M215" s="16" t="str">
        <f>IF(K215="","",K215/MAX(K$5:K215)-1)</f>
        <v/>
      </c>
      <c r="N215" s="13" t="str">
        <f>IF(OR('实盘净值数据(iFinD）'!$A215="",'实盘净值数据(iFinD）'!$B215="",'实盘净值数据(iFinD）'!$Z215="",'实盘净值数据(iFinD）'!$AA215=""),"",分期持仓明细!$AB$24*(SUMPRODUCT(分期持仓明细!$B$24:$Y$24,'实盘净值数据(iFinD）'!$B215:$Y215/'实盘净值数据(iFinD）'!$B$65:$Y$65)+SUMPRODUCT(分期持仓明细!$AC$24:$AD$24,'实盘净值数据(iFinD）'!$Z215:$AA215/'实盘净值数据(iFinD）'!$Z$65:$AA$65))*(1-实盘持仓初始配置!$Z$8)^(('实盘净值数据(iFinD）'!$A215-'实盘净值数据(iFinD）'!$A$5)/365))</f>
        <v/>
      </c>
      <c r="O215" s="16" t="str">
        <f t="shared" si="22"/>
        <v/>
      </c>
      <c r="P215" s="16" t="str">
        <f>IF(N215="","",N215/MAX(N$5:N215)-1)</f>
        <v/>
      </c>
      <c r="Q215" s="13" t="str">
        <f>IF(OR('实盘净值数据(iFinD）'!$A215="",'实盘净值数据(iFinD）'!$B215="",'实盘净值数据(iFinD）'!$Z215="",'实盘净值数据(iFinD）'!$AA215=""),"",分期持仓明细!$AB$25*(SUMPRODUCT(分期持仓明细!$B$25:$Y$25,'实盘净值数据(iFinD）'!$B215:$Y215/'实盘净值数据(iFinD）'!$B$65:$Y$65)+SUMPRODUCT(分期持仓明细!$AC$25:$AD$25,'实盘净值数据(iFinD）'!$Z215:$AA215/'实盘净值数据(iFinD）'!$Z$65:$AA$65))*(1-实盘持仓初始配置!$Z$9)^(('实盘净值数据(iFinD）'!$A215-'实盘净值数据(iFinD）'!$A$8)/365))</f>
        <v/>
      </c>
      <c r="R215" s="16" t="str">
        <f t="shared" si="23"/>
        <v/>
      </c>
      <c r="S215" s="16" t="str">
        <f>IF(Q215="","",Q215/MAX(Q$5:Q215)-1)</f>
        <v/>
      </c>
      <c r="T215" s="13">
        <f>IF(OR('实盘净值数据(iFinD）'!$A215="",'实盘净值数据(iFinD）'!$B215="",'实盘净值数据(iFinD）'!$Z215="",'实盘净值数据(iFinD）'!$AA215="",'实盘净值数据(iFinD）'!$AB215="",'实盘净值数据(iFinD）'!$AL215=""),"",(SUMPRODUCT(分期持仓明细!$B$26:$Y$26,'实盘净值数据(iFinD）'!$B215:$Y215/'实盘净值数据(iFinD）'!$B$69:$Y$69)+SUMPRODUCT(分期持仓明细!$AC$26:$AD$26,'实盘净值数据(iFinD）'!$Z215:$AA215/'实盘净值数据(iFinD）'!$Z$69:$AA$69)+SUMPRODUCT(分期持仓明细!$AE$26:$AO$26,'实盘净值数据(iFinD）'!$AB215:$AL215/'实盘净值数据(iFinD）'!$AB$69:$AL$69))*(1-实盘持仓初始配置!$Z$10)^(('实盘净值数据(iFinD）'!$A215-'实盘净值数据(iFinD）'!$A$69)/365))</f>
        <v/>
      </c>
      <c r="U215" s="16">
        <f>IF(OR(T214="",T215=""),"",T215/T214-1)</f>
        <v/>
      </c>
      <c r="V215" s="16">
        <f>IF(T215="","",T215/MAX(T$5:T215)-1)</f>
        <v/>
      </c>
    </row>
    <row r="216" spans="1:19">
      <c r="A216" s="15" t="str">
        <f>IF('实盘净值数据(iFinD）'!A216="","",'实盘净值数据(iFinD）'!A216)</f>
        <v/>
      </c>
      <c r="B216" s="13" t="str">
        <f>IF(OR('实盘净值数据(iFinD）'!$A216="",'实盘净值数据(iFinD）'!$B216=""),"",分期持仓明细!$AB$17*SUMPRODUCT(分期持仓明细!$B$17:$Y$17,'实盘净值数据(iFinD）'!$B216:$Y216/'实盘净值数据(iFinD）'!$B$20:$Y$20)*(1-实盘持仓初始配置!$Z$4)^(('实盘净值数据(iFinD）'!$A216-'实盘净值数据(iFinD）'!$A$6)/365))</f>
        <v/>
      </c>
      <c r="C216" s="16" t="str">
        <f t="shared" si="18"/>
        <v/>
      </c>
      <c r="D216" s="16" t="str">
        <f>IF(B216="","",B216/MAX(B$5:B216)-1)</f>
        <v/>
      </c>
      <c r="E216" s="13" t="str">
        <f>IF(OR('实盘净值数据(iFinD）'!$A216="",'实盘净值数据(iFinD）'!$B216=""),"",分期持仓明细!$AB$18*SUMPRODUCT(分期持仓明细!$B$18:$Y$18,'实盘净值数据(iFinD）'!$B216:$Y216/'实盘净值数据(iFinD）'!$B$20:$Y$20)*(1-实盘持仓初始配置!$Z$5)^(('实盘净值数据(iFinD）'!$A216-'实盘净值数据(iFinD）'!$A$5)/365))</f>
        <v/>
      </c>
      <c r="F216" s="16" t="str">
        <f t="shared" si="19"/>
        <v/>
      </c>
      <c r="G216" s="16" t="str">
        <f>IF(E216="","",E216/MAX(E$5:E216)-1)</f>
        <v/>
      </c>
      <c r="H216" s="13" t="str">
        <f>IF(OR('实盘净值数据(iFinD）'!$A216="",'实盘净值数据(iFinD）'!$B216=""),"",分期持仓明细!$AB$19*SUMPRODUCT(分期持仓明细!$B$19:$Y$19,'实盘净值数据(iFinD）'!$B216:$Y216/'实盘净值数据(iFinD）'!$B$20:$Y$20)*(1-实盘持仓初始配置!$Z$6)^(('实盘净值数据(iFinD）'!$A216-'实盘净值数据(iFinD）'!$A$7)/365))</f>
        <v/>
      </c>
      <c r="I216" s="16" t="str">
        <f t="shared" si="20"/>
        <v/>
      </c>
      <c r="J216" s="16" t="str">
        <f>IF(H216="","",H216/MAX(H$5:H216)-1)</f>
        <v/>
      </c>
      <c r="K216" s="13" t="str">
        <f>IF(OR('实盘净值数据(iFinD）'!$A216="",'实盘净值数据(iFinD）'!$B216="",'实盘净值数据(iFinD）'!$Z216="",'实盘净值数据(iFinD）'!$AA216=""),"",分期持仓明细!$AB$23*(SUMPRODUCT(分期持仓明细!$B$23:$Y$23,'实盘净值数据(iFinD）'!$B216:$Y216/'实盘净值数据(iFinD）'!$B$65:$Y$65)+SUMPRODUCT(分期持仓明细!$AC$23:$AD$23,'实盘净值数据(iFinD）'!$Z216:$AA216/'实盘净值数据(iFinD）'!$Z$65:$AA$65))*(1-实盘持仓初始配置!$Z$7)^(('实盘净值数据(iFinD）'!$A216-'实盘净值数据(iFinD）'!$A$8)/365))</f>
        <v/>
      </c>
      <c r="L216" s="16" t="str">
        <f t="shared" si="21"/>
        <v/>
      </c>
      <c r="M216" s="16" t="str">
        <f>IF(K216="","",K216/MAX(K$5:K216)-1)</f>
        <v/>
      </c>
      <c r="N216" s="13" t="str">
        <f>IF(OR('实盘净值数据(iFinD）'!$A216="",'实盘净值数据(iFinD）'!$B216="",'实盘净值数据(iFinD）'!$Z216="",'实盘净值数据(iFinD）'!$AA216=""),"",分期持仓明细!$AB$24*(SUMPRODUCT(分期持仓明细!$B$24:$Y$24,'实盘净值数据(iFinD）'!$B216:$Y216/'实盘净值数据(iFinD）'!$B$65:$Y$65)+SUMPRODUCT(分期持仓明细!$AC$24:$AD$24,'实盘净值数据(iFinD）'!$Z216:$AA216/'实盘净值数据(iFinD）'!$Z$65:$AA$65))*(1-实盘持仓初始配置!$Z$8)^(('实盘净值数据(iFinD）'!$A216-'实盘净值数据(iFinD）'!$A$5)/365))</f>
        <v/>
      </c>
      <c r="O216" s="16" t="str">
        <f t="shared" si="22"/>
        <v/>
      </c>
      <c r="P216" s="16" t="str">
        <f>IF(N216="","",N216/MAX(N$5:N216)-1)</f>
        <v/>
      </c>
      <c r="Q216" s="13" t="str">
        <f>IF(OR('实盘净值数据(iFinD）'!$A216="",'实盘净值数据(iFinD）'!$B216="",'实盘净值数据(iFinD）'!$Z216="",'实盘净值数据(iFinD）'!$AA216=""),"",分期持仓明细!$AB$25*(SUMPRODUCT(分期持仓明细!$B$25:$Y$25,'实盘净值数据(iFinD）'!$B216:$Y216/'实盘净值数据(iFinD）'!$B$65:$Y$65)+SUMPRODUCT(分期持仓明细!$AC$25:$AD$25,'实盘净值数据(iFinD）'!$Z216:$AA216/'实盘净值数据(iFinD）'!$Z$65:$AA$65))*(1-实盘持仓初始配置!$Z$9)^(('实盘净值数据(iFinD）'!$A216-'实盘净值数据(iFinD）'!$A$8)/365))</f>
        <v/>
      </c>
      <c r="R216" s="16" t="str">
        <f t="shared" si="23"/>
        <v/>
      </c>
      <c r="S216" s="16" t="str">
        <f>IF(Q216="","",Q216/MAX(Q$5:Q216)-1)</f>
        <v/>
      </c>
      <c r="T216" s="13">
        <f>IF(OR('实盘净值数据(iFinD）'!$A216="",'实盘净值数据(iFinD）'!$B216="",'实盘净值数据(iFinD）'!$Z216="",'实盘净值数据(iFinD）'!$AA216="",'实盘净值数据(iFinD）'!$AB216="",'实盘净值数据(iFinD）'!$AL216=""),"",(SUMPRODUCT(分期持仓明细!$B$26:$Y$26,'实盘净值数据(iFinD）'!$B216:$Y216/'实盘净值数据(iFinD）'!$B$69:$Y$69)+SUMPRODUCT(分期持仓明细!$AC$26:$AD$26,'实盘净值数据(iFinD）'!$Z216:$AA216/'实盘净值数据(iFinD）'!$Z$69:$AA$69)+SUMPRODUCT(分期持仓明细!$AE$26:$AO$26,'实盘净值数据(iFinD）'!$AB216:$AL216/'实盘净值数据(iFinD）'!$AB$69:$AL$69))*(1-实盘持仓初始配置!$Z$10)^(('实盘净值数据(iFinD）'!$A216-'实盘净值数据(iFinD）'!$A$69)/365))</f>
        <v/>
      </c>
      <c r="U216" s="16">
        <f>IF(OR(T215="",T216=""),"",T216/T215-1)</f>
        <v/>
      </c>
      <c r="V216" s="16">
        <f>IF(T216="","",T216/MAX(T$5:T216)-1)</f>
        <v/>
      </c>
    </row>
    <row r="217" spans="1:19">
      <c r="A217" s="15" t="str">
        <f>IF('实盘净值数据(iFinD）'!A217="","",'实盘净值数据(iFinD）'!A217)</f>
        <v/>
      </c>
      <c r="B217" s="13" t="str">
        <f>IF(OR('实盘净值数据(iFinD）'!$A217="",'实盘净值数据(iFinD）'!$B217=""),"",分期持仓明细!$AB$17*SUMPRODUCT(分期持仓明细!$B$17:$Y$17,'实盘净值数据(iFinD）'!$B217:$Y217/'实盘净值数据(iFinD）'!$B$20:$Y$20)*(1-实盘持仓初始配置!$Z$4)^(('实盘净值数据(iFinD）'!$A217-'实盘净值数据(iFinD）'!$A$6)/365))</f>
        <v/>
      </c>
      <c r="C217" s="16" t="str">
        <f t="shared" si="18"/>
        <v/>
      </c>
      <c r="D217" s="16" t="str">
        <f>IF(B217="","",B217/MAX(B$5:B217)-1)</f>
        <v/>
      </c>
      <c r="E217" s="13" t="str">
        <f>IF(OR('实盘净值数据(iFinD）'!$A217="",'实盘净值数据(iFinD）'!$B217=""),"",分期持仓明细!$AB$18*SUMPRODUCT(分期持仓明细!$B$18:$Y$18,'实盘净值数据(iFinD）'!$B217:$Y217/'实盘净值数据(iFinD）'!$B$20:$Y$20)*(1-实盘持仓初始配置!$Z$5)^(('实盘净值数据(iFinD）'!$A217-'实盘净值数据(iFinD）'!$A$5)/365))</f>
        <v/>
      </c>
      <c r="F217" s="16" t="str">
        <f t="shared" si="19"/>
        <v/>
      </c>
      <c r="G217" s="16" t="str">
        <f>IF(E217="","",E217/MAX(E$5:E217)-1)</f>
        <v/>
      </c>
      <c r="H217" s="13" t="str">
        <f>IF(OR('实盘净值数据(iFinD）'!$A217="",'实盘净值数据(iFinD）'!$B217=""),"",分期持仓明细!$AB$19*SUMPRODUCT(分期持仓明细!$B$19:$Y$19,'实盘净值数据(iFinD）'!$B217:$Y217/'实盘净值数据(iFinD）'!$B$20:$Y$20)*(1-实盘持仓初始配置!$Z$6)^(('实盘净值数据(iFinD）'!$A217-'实盘净值数据(iFinD）'!$A$7)/365))</f>
        <v/>
      </c>
      <c r="I217" s="16" t="str">
        <f t="shared" si="20"/>
        <v/>
      </c>
      <c r="J217" s="16" t="str">
        <f>IF(H217="","",H217/MAX(H$5:H217)-1)</f>
        <v/>
      </c>
      <c r="K217" s="13" t="str">
        <f>IF(OR('实盘净值数据(iFinD）'!$A217="",'实盘净值数据(iFinD）'!$B217="",'实盘净值数据(iFinD）'!$Z217="",'实盘净值数据(iFinD）'!$AA217=""),"",分期持仓明细!$AB$23*(SUMPRODUCT(分期持仓明细!$B$23:$Y$23,'实盘净值数据(iFinD）'!$B217:$Y217/'实盘净值数据(iFinD）'!$B$65:$Y$65)+SUMPRODUCT(分期持仓明细!$AC$23:$AD$23,'实盘净值数据(iFinD）'!$Z217:$AA217/'实盘净值数据(iFinD）'!$Z$65:$AA$65))*(1-实盘持仓初始配置!$Z$7)^(('实盘净值数据(iFinD）'!$A217-'实盘净值数据(iFinD）'!$A$8)/365))</f>
        <v/>
      </c>
      <c r="L217" s="16" t="str">
        <f t="shared" si="21"/>
        <v/>
      </c>
      <c r="M217" s="16" t="str">
        <f>IF(K217="","",K217/MAX(K$5:K217)-1)</f>
        <v/>
      </c>
      <c r="N217" s="13" t="str">
        <f>IF(OR('实盘净值数据(iFinD）'!$A217="",'实盘净值数据(iFinD）'!$B217="",'实盘净值数据(iFinD）'!$Z217="",'实盘净值数据(iFinD）'!$AA217=""),"",分期持仓明细!$AB$24*(SUMPRODUCT(分期持仓明细!$B$24:$Y$24,'实盘净值数据(iFinD）'!$B217:$Y217/'实盘净值数据(iFinD）'!$B$65:$Y$65)+SUMPRODUCT(分期持仓明细!$AC$24:$AD$24,'实盘净值数据(iFinD）'!$Z217:$AA217/'实盘净值数据(iFinD）'!$Z$65:$AA$65))*(1-实盘持仓初始配置!$Z$8)^(('实盘净值数据(iFinD）'!$A217-'实盘净值数据(iFinD）'!$A$5)/365))</f>
        <v/>
      </c>
      <c r="O217" s="16" t="str">
        <f t="shared" si="22"/>
        <v/>
      </c>
      <c r="P217" s="16" t="str">
        <f>IF(N217="","",N217/MAX(N$5:N217)-1)</f>
        <v/>
      </c>
      <c r="Q217" s="13" t="str">
        <f>IF(OR('实盘净值数据(iFinD）'!$A217="",'实盘净值数据(iFinD）'!$B217="",'实盘净值数据(iFinD）'!$Z217="",'实盘净值数据(iFinD）'!$AA217=""),"",分期持仓明细!$AB$25*(SUMPRODUCT(分期持仓明细!$B$25:$Y$25,'实盘净值数据(iFinD）'!$B217:$Y217/'实盘净值数据(iFinD）'!$B$65:$Y$65)+SUMPRODUCT(分期持仓明细!$AC$25:$AD$25,'实盘净值数据(iFinD）'!$Z217:$AA217/'实盘净值数据(iFinD）'!$Z$65:$AA$65))*(1-实盘持仓初始配置!$Z$9)^(('实盘净值数据(iFinD）'!$A217-'实盘净值数据(iFinD）'!$A$8)/365))</f>
        <v/>
      </c>
      <c r="R217" s="16" t="str">
        <f t="shared" si="23"/>
        <v/>
      </c>
      <c r="S217" s="16" t="str">
        <f>IF(Q217="","",Q217/MAX(Q$5:Q217)-1)</f>
        <v/>
      </c>
      <c r="T217" s="13">
        <f>IF(OR('实盘净值数据(iFinD）'!$A217="",'实盘净值数据(iFinD）'!$B217="",'实盘净值数据(iFinD）'!$Z217="",'实盘净值数据(iFinD）'!$AA217="",'实盘净值数据(iFinD）'!$AB217="",'实盘净值数据(iFinD）'!$AL217=""),"",(SUMPRODUCT(分期持仓明细!$B$26:$Y$26,'实盘净值数据(iFinD）'!$B217:$Y217/'实盘净值数据(iFinD）'!$B$69:$Y$69)+SUMPRODUCT(分期持仓明细!$AC$26:$AD$26,'实盘净值数据(iFinD）'!$Z217:$AA217/'实盘净值数据(iFinD）'!$Z$69:$AA$69)+SUMPRODUCT(分期持仓明细!$AE$26:$AO$26,'实盘净值数据(iFinD）'!$AB217:$AL217/'实盘净值数据(iFinD）'!$AB$69:$AL$69))*(1-实盘持仓初始配置!$Z$10)^(('实盘净值数据(iFinD）'!$A217-'实盘净值数据(iFinD）'!$A$69)/365))</f>
        <v/>
      </c>
      <c r="U217" s="16">
        <f>IF(OR(T216="",T217=""),"",T217/T216-1)</f>
        <v/>
      </c>
      <c r="V217" s="16">
        <f>IF(T217="","",T217/MAX(T$5:T217)-1)</f>
        <v/>
      </c>
    </row>
    <row r="218" spans="1:19">
      <c r="A218" s="15" t="str">
        <f>IF('实盘净值数据(iFinD）'!A218="","",'实盘净值数据(iFinD）'!A218)</f>
        <v/>
      </c>
      <c r="B218" s="13" t="str">
        <f>IF(OR('实盘净值数据(iFinD）'!$A218="",'实盘净值数据(iFinD）'!$B218=""),"",分期持仓明细!$AB$17*SUMPRODUCT(分期持仓明细!$B$17:$Y$17,'实盘净值数据(iFinD）'!$B218:$Y218/'实盘净值数据(iFinD）'!$B$20:$Y$20)*(1-实盘持仓初始配置!$Z$4)^(('实盘净值数据(iFinD）'!$A218-'实盘净值数据(iFinD）'!$A$6)/365))</f>
        <v/>
      </c>
      <c r="C218" s="16" t="str">
        <f t="shared" si="18"/>
        <v/>
      </c>
      <c r="D218" s="16" t="str">
        <f>IF(B218="","",B218/MAX(B$5:B218)-1)</f>
        <v/>
      </c>
      <c r="E218" s="13" t="str">
        <f>IF(OR('实盘净值数据(iFinD）'!$A218="",'实盘净值数据(iFinD）'!$B218=""),"",分期持仓明细!$AB$18*SUMPRODUCT(分期持仓明细!$B$18:$Y$18,'实盘净值数据(iFinD）'!$B218:$Y218/'实盘净值数据(iFinD）'!$B$20:$Y$20)*(1-实盘持仓初始配置!$Z$5)^(('实盘净值数据(iFinD）'!$A218-'实盘净值数据(iFinD）'!$A$5)/365))</f>
        <v/>
      </c>
      <c r="F218" s="16" t="str">
        <f t="shared" si="19"/>
        <v/>
      </c>
      <c r="G218" s="16" t="str">
        <f>IF(E218="","",E218/MAX(E$5:E218)-1)</f>
        <v/>
      </c>
      <c r="H218" s="13" t="str">
        <f>IF(OR('实盘净值数据(iFinD）'!$A218="",'实盘净值数据(iFinD）'!$B218=""),"",分期持仓明细!$AB$19*SUMPRODUCT(分期持仓明细!$B$19:$Y$19,'实盘净值数据(iFinD）'!$B218:$Y218/'实盘净值数据(iFinD）'!$B$20:$Y$20)*(1-实盘持仓初始配置!$Z$6)^(('实盘净值数据(iFinD）'!$A218-'实盘净值数据(iFinD）'!$A$7)/365))</f>
        <v/>
      </c>
      <c r="I218" s="16" t="str">
        <f t="shared" si="20"/>
        <v/>
      </c>
      <c r="J218" s="16" t="str">
        <f>IF(H218="","",H218/MAX(H$5:H218)-1)</f>
        <v/>
      </c>
      <c r="K218" s="13" t="str">
        <f>IF(OR('实盘净值数据(iFinD）'!$A218="",'实盘净值数据(iFinD）'!$B218="",'实盘净值数据(iFinD）'!$Z218="",'实盘净值数据(iFinD）'!$AA218=""),"",分期持仓明细!$AB$23*(SUMPRODUCT(分期持仓明细!$B$23:$Y$23,'实盘净值数据(iFinD）'!$B218:$Y218/'实盘净值数据(iFinD）'!$B$65:$Y$65)+SUMPRODUCT(分期持仓明细!$AC$23:$AD$23,'实盘净值数据(iFinD）'!$Z218:$AA218/'实盘净值数据(iFinD）'!$Z$65:$AA$65))*(1-实盘持仓初始配置!$Z$7)^(('实盘净值数据(iFinD）'!$A218-'实盘净值数据(iFinD）'!$A$8)/365))</f>
        <v/>
      </c>
      <c r="L218" s="16" t="str">
        <f t="shared" si="21"/>
        <v/>
      </c>
      <c r="M218" s="16" t="str">
        <f>IF(K218="","",K218/MAX(K$5:K218)-1)</f>
        <v/>
      </c>
      <c r="N218" s="13" t="str">
        <f>IF(OR('实盘净值数据(iFinD）'!$A218="",'实盘净值数据(iFinD）'!$B218="",'实盘净值数据(iFinD）'!$Z218="",'实盘净值数据(iFinD）'!$AA218=""),"",分期持仓明细!$AB$24*(SUMPRODUCT(分期持仓明细!$B$24:$Y$24,'实盘净值数据(iFinD）'!$B218:$Y218/'实盘净值数据(iFinD）'!$B$65:$Y$65)+SUMPRODUCT(分期持仓明细!$AC$24:$AD$24,'实盘净值数据(iFinD）'!$Z218:$AA218/'实盘净值数据(iFinD）'!$Z$65:$AA$65))*(1-实盘持仓初始配置!$Z$8)^(('实盘净值数据(iFinD）'!$A218-'实盘净值数据(iFinD）'!$A$5)/365))</f>
        <v/>
      </c>
      <c r="O218" s="16" t="str">
        <f t="shared" si="22"/>
        <v/>
      </c>
      <c r="P218" s="16" t="str">
        <f>IF(N218="","",N218/MAX(N$5:N218)-1)</f>
        <v/>
      </c>
      <c r="Q218" s="13" t="str">
        <f>IF(OR('实盘净值数据(iFinD）'!$A218="",'实盘净值数据(iFinD）'!$B218="",'实盘净值数据(iFinD）'!$Z218="",'实盘净值数据(iFinD）'!$AA218=""),"",分期持仓明细!$AB$25*(SUMPRODUCT(分期持仓明细!$B$25:$Y$25,'实盘净值数据(iFinD）'!$B218:$Y218/'实盘净值数据(iFinD）'!$B$65:$Y$65)+SUMPRODUCT(分期持仓明细!$AC$25:$AD$25,'实盘净值数据(iFinD）'!$Z218:$AA218/'实盘净值数据(iFinD）'!$Z$65:$AA$65))*(1-实盘持仓初始配置!$Z$9)^(('实盘净值数据(iFinD）'!$A218-'实盘净值数据(iFinD）'!$A$8)/365))</f>
        <v/>
      </c>
      <c r="R218" s="16" t="str">
        <f t="shared" si="23"/>
        <v/>
      </c>
      <c r="S218" s="16" t="str">
        <f>IF(Q218="","",Q218/MAX(Q$5:Q218)-1)</f>
        <v/>
      </c>
      <c r="T218" s="13">
        <f>IF(OR('实盘净值数据(iFinD）'!$A218="",'实盘净值数据(iFinD）'!$B218="",'实盘净值数据(iFinD）'!$Z218="",'实盘净值数据(iFinD）'!$AA218="",'实盘净值数据(iFinD）'!$AB218="",'实盘净值数据(iFinD）'!$AL218=""),"",(SUMPRODUCT(分期持仓明细!$B$26:$Y$26,'实盘净值数据(iFinD）'!$B218:$Y218/'实盘净值数据(iFinD）'!$B$69:$Y$69)+SUMPRODUCT(分期持仓明细!$AC$26:$AD$26,'实盘净值数据(iFinD）'!$Z218:$AA218/'实盘净值数据(iFinD）'!$Z$69:$AA$69)+SUMPRODUCT(分期持仓明细!$AE$26:$AO$26,'实盘净值数据(iFinD）'!$AB218:$AL218/'实盘净值数据(iFinD）'!$AB$69:$AL$69))*(1-实盘持仓初始配置!$Z$10)^(('实盘净值数据(iFinD）'!$A218-'实盘净值数据(iFinD）'!$A$69)/365))</f>
        <v/>
      </c>
      <c r="U218" s="16">
        <f>IF(OR(T217="",T218=""),"",T218/T217-1)</f>
        <v/>
      </c>
      <c r="V218" s="16">
        <f>IF(T218="","",T218/MAX(T$5:T218)-1)</f>
        <v/>
      </c>
    </row>
    <row r="219" spans="1:19">
      <c r="A219" s="15" t="str">
        <f>IF('实盘净值数据(iFinD）'!A219="","",'实盘净值数据(iFinD）'!A219)</f>
        <v/>
      </c>
      <c r="B219" s="13" t="str">
        <f>IF(OR('实盘净值数据(iFinD）'!$A219="",'实盘净值数据(iFinD）'!$B219=""),"",分期持仓明细!$AB$17*SUMPRODUCT(分期持仓明细!$B$17:$Y$17,'实盘净值数据(iFinD）'!$B219:$Y219/'实盘净值数据(iFinD）'!$B$20:$Y$20)*(1-实盘持仓初始配置!$Z$4)^(('实盘净值数据(iFinD）'!$A219-'实盘净值数据(iFinD）'!$A$6)/365))</f>
        <v/>
      </c>
      <c r="C219" s="16" t="str">
        <f t="shared" si="18"/>
        <v/>
      </c>
      <c r="D219" s="16" t="str">
        <f>IF(B219="","",B219/MAX(B$5:B219)-1)</f>
        <v/>
      </c>
      <c r="E219" s="13" t="str">
        <f>IF(OR('实盘净值数据(iFinD）'!$A219="",'实盘净值数据(iFinD）'!$B219=""),"",分期持仓明细!$AB$18*SUMPRODUCT(分期持仓明细!$B$18:$Y$18,'实盘净值数据(iFinD）'!$B219:$Y219/'实盘净值数据(iFinD）'!$B$20:$Y$20)*(1-实盘持仓初始配置!$Z$5)^(('实盘净值数据(iFinD）'!$A219-'实盘净值数据(iFinD）'!$A$5)/365))</f>
        <v/>
      </c>
      <c r="F219" s="16" t="str">
        <f t="shared" si="19"/>
        <v/>
      </c>
      <c r="G219" s="16" t="str">
        <f>IF(E219="","",E219/MAX(E$5:E219)-1)</f>
        <v/>
      </c>
      <c r="H219" s="13" t="str">
        <f>IF(OR('实盘净值数据(iFinD）'!$A219="",'实盘净值数据(iFinD）'!$B219=""),"",分期持仓明细!$AB$19*SUMPRODUCT(分期持仓明细!$B$19:$Y$19,'实盘净值数据(iFinD）'!$B219:$Y219/'实盘净值数据(iFinD）'!$B$20:$Y$20)*(1-实盘持仓初始配置!$Z$6)^(('实盘净值数据(iFinD）'!$A219-'实盘净值数据(iFinD）'!$A$7)/365))</f>
        <v/>
      </c>
      <c r="I219" s="16" t="str">
        <f t="shared" si="20"/>
        <v/>
      </c>
      <c r="J219" s="16" t="str">
        <f>IF(H219="","",H219/MAX(H$5:H219)-1)</f>
        <v/>
      </c>
      <c r="K219" s="13" t="str">
        <f>IF(OR('实盘净值数据(iFinD）'!$A219="",'实盘净值数据(iFinD）'!$B219="",'实盘净值数据(iFinD）'!$Z219="",'实盘净值数据(iFinD）'!$AA219=""),"",分期持仓明细!$AB$23*(SUMPRODUCT(分期持仓明细!$B$23:$Y$23,'实盘净值数据(iFinD）'!$B219:$Y219/'实盘净值数据(iFinD）'!$B$65:$Y$65)+SUMPRODUCT(分期持仓明细!$AC$23:$AD$23,'实盘净值数据(iFinD）'!$Z219:$AA219/'实盘净值数据(iFinD）'!$Z$65:$AA$65))*(1-实盘持仓初始配置!$Z$7)^(('实盘净值数据(iFinD）'!$A219-'实盘净值数据(iFinD）'!$A$8)/365))</f>
        <v/>
      </c>
      <c r="L219" s="16" t="str">
        <f t="shared" si="21"/>
        <v/>
      </c>
      <c r="M219" s="16" t="str">
        <f>IF(K219="","",K219/MAX(K$5:K219)-1)</f>
        <v/>
      </c>
      <c r="N219" s="13" t="str">
        <f>IF(OR('实盘净值数据(iFinD）'!$A219="",'实盘净值数据(iFinD）'!$B219="",'实盘净值数据(iFinD）'!$Z219="",'实盘净值数据(iFinD）'!$AA219=""),"",分期持仓明细!$AB$24*(SUMPRODUCT(分期持仓明细!$B$24:$Y$24,'实盘净值数据(iFinD）'!$B219:$Y219/'实盘净值数据(iFinD）'!$B$65:$Y$65)+SUMPRODUCT(分期持仓明细!$AC$24:$AD$24,'实盘净值数据(iFinD）'!$Z219:$AA219/'实盘净值数据(iFinD）'!$Z$65:$AA$65))*(1-实盘持仓初始配置!$Z$8)^(('实盘净值数据(iFinD）'!$A219-'实盘净值数据(iFinD）'!$A$5)/365))</f>
        <v/>
      </c>
      <c r="O219" s="16" t="str">
        <f t="shared" si="22"/>
        <v/>
      </c>
      <c r="P219" s="16" t="str">
        <f>IF(N219="","",N219/MAX(N$5:N219)-1)</f>
        <v/>
      </c>
      <c r="Q219" s="13" t="str">
        <f>IF(OR('实盘净值数据(iFinD）'!$A219="",'实盘净值数据(iFinD）'!$B219="",'实盘净值数据(iFinD）'!$Z219="",'实盘净值数据(iFinD）'!$AA219=""),"",分期持仓明细!$AB$25*(SUMPRODUCT(分期持仓明细!$B$25:$Y$25,'实盘净值数据(iFinD）'!$B219:$Y219/'实盘净值数据(iFinD）'!$B$65:$Y$65)+SUMPRODUCT(分期持仓明细!$AC$25:$AD$25,'实盘净值数据(iFinD）'!$Z219:$AA219/'实盘净值数据(iFinD）'!$Z$65:$AA$65))*(1-实盘持仓初始配置!$Z$9)^(('实盘净值数据(iFinD）'!$A219-'实盘净值数据(iFinD）'!$A$8)/365))</f>
        <v/>
      </c>
      <c r="R219" s="16" t="str">
        <f t="shared" si="23"/>
        <v/>
      </c>
      <c r="S219" s="16" t="str">
        <f>IF(Q219="","",Q219/MAX(Q$5:Q219)-1)</f>
        <v/>
      </c>
      <c r="T219" s="13">
        <f>IF(OR('实盘净值数据(iFinD）'!$A219="",'实盘净值数据(iFinD）'!$B219="",'实盘净值数据(iFinD）'!$Z219="",'实盘净值数据(iFinD）'!$AA219="",'实盘净值数据(iFinD）'!$AB219="",'实盘净值数据(iFinD）'!$AL219=""),"",(SUMPRODUCT(分期持仓明细!$B$26:$Y$26,'实盘净值数据(iFinD）'!$B219:$Y219/'实盘净值数据(iFinD）'!$B$69:$Y$69)+SUMPRODUCT(分期持仓明细!$AC$26:$AD$26,'实盘净值数据(iFinD）'!$Z219:$AA219/'实盘净值数据(iFinD）'!$Z$69:$AA$69)+SUMPRODUCT(分期持仓明细!$AE$26:$AO$26,'实盘净值数据(iFinD）'!$AB219:$AL219/'实盘净值数据(iFinD）'!$AB$69:$AL$69))*(1-实盘持仓初始配置!$Z$10)^(('实盘净值数据(iFinD）'!$A219-'实盘净值数据(iFinD）'!$A$69)/365))</f>
        <v/>
      </c>
      <c r="U219" s="16">
        <f>IF(OR(T218="",T219=""),"",T219/T218-1)</f>
        <v/>
      </c>
      <c r="V219" s="16">
        <f>IF(T219="","",T219/MAX(T$5:T219)-1)</f>
        <v/>
      </c>
    </row>
    <row r="220" spans="1:19">
      <c r="A220" s="15" t="str">
        <f>IF('实盘净值数据(iFinD）'!A220="","",'实盘净值数据(iFinD）'!A220)</f>
        <v/>
      </c>
      <c r="B220" s="13" t="str">
        <f>IF(OR('实盘净值数据(iFinD）'!$A220="",'实盘净值数据(iFinD）'!$B220=""),"",分期持仓明细!$AB$17*SUMPRODUCT(分期持仓明细!$B$17:$Y$17,'实盘净值数据(iFinD）'!$B220:$Y220/'实盘净值数据(iFinD）'!$B$20:$Y$20)*(1-实盘持仓初始配置!$Z$4)^(('实盘净值数据(iFinD）'!$A220-'实盘净值数据(iFinD）'!$A$6)/365))</f>
        <v/>
      </c>
      <c r="C220" s="16" t="str">
        <f t="shared" si="18"/>
        <v/>
      </c>
      <c r="D220" s="16" t="str">
        <f>IF(B220="","",B220/MAX(B$5:B220)-1)</f>
        <v/>
      </c>
      <c r="E220" s="13" t="str">
        <f>IF(OR('实盘净值数据(iFinD）'!$A220="",'实盘净值数据(iFinD）'!$B220=""),"",分期持仓明细!$AB$18*SUMPRODUCT(分期持仓明细!$B$18:$Y$18,'实盘净值数据(iFinD）'!$B220:$Y220/'实盘净值数据(iFinD）'!$B$20:$Y$20)*(1-实盘持仓初始配置!$Z$5)^(('实盘净值数据(iFinD）'!$A220-'实盘净值数据(iFinD）'!$A$5)/365))</f>
        <v/>
      </c>
      <c r="F220" s="16" t="str">
        <f t="shared" si="19"/>
        <v/>
      </c>
      <c r="G220" s="16" t="str">
        <f>IF(E220="","",E220/MAX(E$5:E220)-1)</f>
        <v/>
      </c>
      <c r="H220" s="13" t="str">
        <f>IF(OR('实盘净值数据(iFinD）'!$A220="",'实盘净值数据(iFinD）'!$B220=""),"",分期持仓明细!$AB$19*SUMPRODUCT(分期持仓明细!$B$19:$Y$19,'实盘净值数据(iFinD）'!$B220:$Y220/'实盘净值数据(iFinD）'!$B$20:$Y$20)*(1-实盘持仓初始配置!$Z$6)^(('实盘净值数据(iFinD）'!$A220-'实盘净值数据(iFinD）'!$A$7)/365))</f>
        <v/>
      </c>
      <c r="I220" s="16" t="str">
        <f t="shared" si="20"/>
        <v/>
      </c>
      <c r="J220" s="16" t="str">
        <f>IF(H220="","",H220/MAX(H$5:H220)-1)</f>
        <v/>
      </c>
      <c r="K220" s="13" t="str">
        <f>IF(OR('实盘净值数据(iFinD）'!$A220="",'实盘净值数据(iFinD）'!$B220="",'实盘净值数据(iFinD）'!$Z220="",'实盘净值数据(iFinD）'!$AA220=""),"",分期持仓明细!$AB$23*(SUMPRODUCT(分期持仓明细!$B$23:$Y$23,'实盘净值数据(iFinD）'!$B220:$Y220/'实盘净值数据(iFinD）'!$B$65:$Y$65)+SUMPRODUCT(分期持仓明细!$AC$23:$AD$23,'实盘净值数据(iFinD）'!$Z220:$AA220/'实盘净值数据(iFinD）'!$Z$65:$AA$65))*(1-实盘持仓初始配置!$Z$7)^(('实盘净值数据(iFinD）'!$A220-'实盘净值数据(iFinD）'!$A$8)/365))</f>
        <v/>
      </c>
      <c r="L220" s="16" t="str">
        <f t="shared" si="21"/>
        <v/>
      </c>
      <c r="M220" s="16" t="str">
        <f>IF(K220="","",K220/MAX(K$5:K220)-1)</f>
        <v/>
      </c>
      <c r="N220" s="13" t="str">
        <f>IF(OR('实盘净值数据(iFinD）'!$A220="",'实盘净值数据(iFinD）'!$B220="",'实盘净值数据(iFinD）'!$Z220="",'实盘净值数据(iFinD）'!$AA220=""),"",分期持仓明细!$AB$24*(SUMPRODUCT(分期持仓明细!$B$24:$Y$24,'实盘净值数据(iFinD）'!$B220:$Y220/'实盘净值数据(iFinD）'!$B$65:$Y$65)+SUMPRODUCT(分期持仓明细!$AC$24:$AD$24,'实盘净值数据(iFinD）'!$Z220:$AA220/'实盘净值数据(iFinD）'!$Z$65:$AA$65))*(1-实盘持仓初始配置!$Z$8)^(('实盘净值数据(iFinD）'!$A220-'实盘净值数据(iFinD）'!$A$5)/365))</f>
        <v/>
      </c>
      <c r="O220" s="16" t="str">
        <f t="shared" si="22"/>
        <v/>
      </c>
      <c r="P220" s="16" t="str">
        <f>IF(N220="","",N220/MAX(N$5:N220)-1)</f>
        <v/>
      </c>
      <c r="Q220" s="13" t="str">
        <f>IF(OR('实盘净值数据(iFinD）'!$A220="",'实盘净值数据(iFinD）'!$B220="",'实盘净值数据(iFinD）'!$Z220="",'实盘净值数据(iFinD）'!$AA220=""),"",分期持仓明细!$AB$25*(SUMPRODUCT(分期持仓明细!$B$25:$Y$25,'实盘净值数据(iFinD）'!$B220:$Y220/'实盘净值数据(iFinD）'!$B$65:$Y$65)+SUMPRODUCT(分期持仓明细!$AC$25:$AD$25,'实盘净值数据(iFinD）'!$Z220:$AA220/'实盘净值数据(iFinD）'!$Z$65:$AA$65))*(1-实盘持仓初始配置!$Z$9)^(('实盘净值数据(iFinD）'!$A220-'实盘净值数据(iFinD）'!$A$8)/365))</f>
        <v/>
      </c>
      <c r="R220" s="16" t="str">
        <f t="shared" si="23"/>
        <v/>
      </c>
      <c r="S220" s="16" t="str">
        <f>IF(Q220="","",Q220/MAX(Q$5:Q220)-1)</f>
        <v/>
      </c>
      <c r="T220" s="13">
        <f>IF(OR('实盘净值数据(iFinD）'!$A220="",'实盘净值数据(iFinD）'!$B220="",'实盘净值数据(iFinD）'!$Z220="",'实盘净值数据(iFinD）'!$AA220="",'实盘净值数据(iFinD）'!$AB220="",'实盘净值数据(iFinD）'!$AL220=""),"",(SUMPRODUCT(分期持仓明细!$B$26:$Y$26,'实盘净值数据(iFinD）'!$B220:$Y220/'实盘净值数据(iFinD）'!$B$69:$Y$69)+SUMPRODUCT(分期持仓明细!$AC$26:$AD$26,'实盘净值数据(iFinD）'!$Z220:$AA220/'实盘净值数据(iFinD）'!$Z$69:$AA$69)+SUMPRODUCT(分期持仓明细!$AE$26:$AO$26,'实盘净值数据(iFinD）'!$AB220:$AL220/'实盘净值数据(iFinD）'!$AB$69:$AL$69))*(1-实盘持仓初始配置!$Z$10)^(('实盘净值数据(iFinD）'!$A220-'实盘净值数据(iFinD）'!$A$69)/365))</f>
        <v/>
      </c>
      <c r="U220" s="16">
        <f>IF(OR(T219="",T220=""),"",T220/T219-1)</f>
        <v/>
      </c>
      <c r="V220" s="16">
        <f>IF(T220="","",T220/MAX(T$5:T220)-1)</f>
        <v/>
      </c>
    </row>
    <row r="221" spans="1:19">
      <c r="A221" s="15" t="str">
        <f>IF('实盘净值数据(iFinD）'!A221="","",'实盘净值数据(iFinD）'!A221)</f>
        <v/>
      </c>
      <c r="B221" s="13" t="str">
        <f>IF(OR('实盘净值数据(iFinD）'!$A221="",'实盘净值数据(iFinD）'!$B221=""),"",分期持仓明细!$AB$17*SUMPRODUCT(分期持仓明细!$B$17:$Y$17,'实盘净值数据(iFinD）'!$B221:$Y221/'实盘净值数据(iFinD）'!$B$20:$Y$20)*(1-实盘持仓初始配置!$Z$4)^(('实盘净值数据(iFinD）'!$A221-'实盘净值数据(iFinD）'!$A$6)/365))</f>
        <v/>
      </c>
      <c r="C221" s="16" t="str">
        <f t="shared" si="18"/>
        <v/>
      </c>
      <c r="D221" s="16" t="str">
        <f>IF(B221="","",B221/MAX(B$5:B221)-1)</f>
        <v/>
      </c>
      <c r="E221" s="13" t="str">
        <f>IF(OR('实盘净值数据(iFinD）'!$A221="",'实盘净值数据(iFinD）'!$B221=""),"",分期持仓明细!$AB$18*SUMPRODUCT(分期持仓明细!$B$18:$Y$18,'实盘净值数据(iFinD）'!$B221:$Y221/'实盘净值数据(iFinD）'!$B$20:$Y$20)*(1-实盘持仓初始配置!$Z$5)^(('实盘净值数据(iFinD）'!$A221-'实盘净值数据(iFinD）'!$A$5)/365))</f>
        <v/>
      </c>
      <c r="F221" s="16" t="str">
        <f t="shared" si="19"/>
        <v/>
      </c>
      <c r="G221" s="16" t="str">
        <f>IF(E221="","",E221/MAX(E$5:E221)-1)</f>
        <v/>
      </c>
      <c r="H221" s="13" t="str">
        <f>IF(OR('实盘净值数据(iFinD）'!$A221="",'实盘净值数据(iFinD）'!$B221=""),"",分期持仓明细!$AB$19*SUMPRODUCT(分期持仓明细!$B$19:$Y$19,'实盘净值数据(iFinD）'!$B221:$Y221/'实盘净值数据(iFinD）'!$B$20:$Y$20)*(1-实盘持仓初始配置!$Z$6)^(('实盘净值数据(iFinD）'!$A221-'实盘净值数据(iFinD）'!$A$7)/365))</f>
        <v/>
      </c>
      <c r="I221" s="16" t="str">
        <f t="shared" si="20"/>
        <v/>
      </c>
      <c r="J221" s="16" t="str">
        <f>IF(H221="","",H221/MAX(H$5:H221)-1)</f>
        <v/>
      </c>
      <c r="K221" s="13" t="str">
        <f>IF(OR('实盘净值数据(iFinD）'!$A221="",'实盘净值数据(iFinD）'!$B221="",'实盘净值数据(iFinD）'!$Z221="",'实盘净值数据(iFinD）'!$AA221=""),"",分期持仓明细!$AB$23*(SUMPRODUCT(分期持仓明细!$B$23:$Y$23,'实盘净值数据(iFinD）'!$B221:$Y221/'实盘净值数据(iFinD）'!$B$65:$Y$65)+SUMPRODUCT(分期持仓明细!$AC$23:$AD$23,'实盘净值数据(iFinD）'!$Z221:$AA221/'实盘净值数据(iFinD）'!$Z$65:$AA$65))*(1-实盘持仓初始配置!$Z$7)^(('实盘净值数据(iFinD）'!$A221-'实盘净值数据(iFinD）'!$A$8)/365))</f>
        <v/>
      </c>
      <c r="L221" s="16" t="str">
        <f t="shared" si="21"/>
        <v/>
      </c>
      <c r="M221" s="16" t="str">
        <f>IF(K221="","",K221/MAX(K$5:K221)-1)</f>
        <v/>
      </c>
      <c r="N221" s="13" t="str">
        <f>IF(OR('实盘净值数据(iFinD）'!$A221="",'实盘净值数据(iFinD）'!$B221="",'实盘净值数据(iFinD）'!$Z221="",'实盘净值数据(iFinD）'!$AA221=""),"",分期持仓明细!$AB$24*(SUMPRODUCT(分期持仓明细!$B$24:$Y$24,'实盘净值数据(iFinD）'!$B221:$Y221/'实盘净值数据(iFinD）'!$B$65:$Y$65)+SUMPRODUCT(分期持仓明细!$AC$24:$AD$24,'实盘净值数据(iFinD）'!$Z221:$AA221/'实盘净值数据(iFinD）'!$Z$65:$AA$65))*(1-实盘持仓初始配置!$Z$8)^(('实盘净值数据(iFinD）'!$A221-'实盘净值数据(iFinD）'!$A$5)/365))</f>
        <v/>
      </c>
      <c r="O221" s="16" t="str">
        <f t="shared" si="22"/>
        <v/>
      </c>
      <c r="P221" s="16" t="str">
        <f>IF(N221="","",N221/MAX(N$5:N221)-1)</f>
        <v/>
      </c>
      <c r="Q221" s="13" t="str">
        <f>IF(OR('实盘净值数据(iFinD）'!$A221="",'实盘净值数据(iFinD）'!$B221="",'实盘净值数据(iFinD）'!$Z221="",'实盘净值数据(iFinD）'!$AA221=""),"",分期持仓明细!$AB$25*(SUMPRODUCT(分期持仓明细!$B$25:$Y$25,'实盘净值数据(iFinD）'!$B221:$Y221/'实盘净值数据(iFinD）'!$B$65:$Y$65)+SUMPRODUCT(分期持仓明细!$AC$25:$AD$25,'实盘净值数据(iFinD）'!$Z221:$AA221/'实盘净值数据(iFinD）'!$Z$65:$AA$65))*(1-实盘持仓初始配置!$Z$9)^(('实盘净值数据(iFinD）'!$A221-'实盘净值数据(iFinD）'!$A$8)/365))</f>
        <v/>
      </c>
      <c r="R221" s="16" t="str">
        <f t="shared" si="23"/>
        <v/>
      </c>
      <c r="S221" s="16" t="str">
        <f>IF(Q221="","",Q221/MAX(Q$5:Q221)-1)</f>
        <v/>
      </c>
      <c r="T221" s="13">
        <f>IF(OR('实盘净值数据(iFinD）'!$A221="",'实盘净值数据(iFinD）'!$B221="",'实盘净值数据(iFinD）'!$Z221="",'实盘净值数据(iFinD）'!$AA221="",'实盘净值数据(iFinD）'!$AB221="",'实盘净值数据(iFinD）'!$AL221=""),"",(SUMPRODUCT(分期持仓明细!$B$26:$Y$26,'实盘净值数据(iFinD）'!$B221:$Y221/'实盘净值数据(iFinD）'!$B$69:$Y$69)+SUMPRODUCT(分期持仓明细!$AC$26:$AD$26,'实盘净值数据(iFinD）'!$Z221:$AA221/'实盘净值数据(iFinD）'!$Z$69:$AA$69)+SUMPRODUCT(分期持仓明细!$AE$26:$AO$26,'实盘净值数据(iFinD）'!$AB221:$AL221/'实盘净值数据(iFinD）'!$AB$69:$AL$69))*(1-实盘持仓初始配置!$Z$10)^(('实盘净值数据(iFinD）'!$A221-'实盘净值数据(iFinD）'!$A$69)/365))</f>
        <v/>
      </c>
      <c r="U221" s="16">
        <f>IF(OR(T220="",T221=""),"",T221/T220-1)</f>
        <v/>
      </c>
      <c r="V221" s="16">
        <f>IF(T221="","",T221/MAX(T$5:T221)-1)</f>
        <v/>
      </c>
    </row>
    <row r="222" spans="1:19">
      <c r="A222" s="15" t="str">
        <f>IF('实盘净值数据(iFinD）'!A222="","",'实盘净值数据(iFinD）'!A222)</f>
        <v/>
      </c>
      <c r="B222" s="13" t="str">
        <f>IF(OR('实盘净值数据(iFinD）'!$A222="",'实盘净值数据(iFinD）'!$B222=""),"",分期持仓明细!$AB$17*SUMPRODUCT(分期持仓明细!$B$17:$Y$17,'实盘净值数据(iFinD）'!$B222:$Y222/'实盘净值数据(iFinD）'!$B$20:$Y$20)*(1-实盘持仓初始配置!$Z$4)^(('实盘净值数据(iFinD）'!$A222-'实盘净值数据(iFinD）'!$A$6)/365))</f>
        <v/>
      </c>
      <c r="C222" s="16" t="str">
        <f t="shared" si="18"/>
        <v/>
      </c>
      <c r="D222" s="16" t="str">
        <f>IF(B222="","",B222/MAX(B$5:B222)-1)</f>
        <v/>
      </c>
      <c r="E222" s="13" t="str">
        <f>IF(OR('实盘净值数据(iFinD）'!$A222="",'实盘净值数据(iFinD）'!$B222=""),"",分期持仓明细!$AB$18*SUMPRODUCT(分期持仓明细!$B$18:$Y$18,'实盘净值数据(iFinD）'!$B222:$Y222/'实盘净值数据(iFinD）'!$B$20:$Y$20)*(1-实盘持仓初始配置!$Z$5)^(('实盘净值数据(iFinD）'!$A222-'实盘净值数据(iFinD）'!$A$5)/365))</f>
        <v/>
      </c>
      <c r="F222" s="16" t="str">
        <f t="shared" si="19"/>
        <v/>
      </c>
      <c r="G222" s="16" t="str">
        <f>IF(E222="","",E222/MAX(E$5:E222)-1)</f>
        <v/>
      </c>
      <c r="H222" s="13" t="str">
        <f>IF(OR('实盘净值数据(iFinD）'!$A222="",'实盘净值数据(iFinD）'!$B222=""),"",分期持仓明细!$AB$19*SUMPRODUCT(分期持仓明细!$B$19:$Y$19,'实盘净值数据(iFinD）'!$B222:$Y222/'实盘净值数据(iFinD）'!$B$20:$Y$20)*(1-实盘持仓初始配置!$Z$6)^(('实盘净值数据(iFinD）'!$A222-'实盘净值数据(iFinD）'!$A$7)/365))</f>
        <v/>
      </c>
      <c r="I222" s="16" t="str">
        <f t="shared" si="20"/>
        <v/>
      </c>
      <c r="J222" s="16" t="str">
        <f>IF(H222="","",H222/MAX(H$5:H222)-1)</f>
        <v/>
      </c>
      <c r="K222" s="13" t="str">
        <f>IF(OR('实盘净值数据(iFinD）'!$A222="",'实盘净值数据(iFinD）'!$B222="",'实盘净值数据(iFinD）'!$Z222="",'实盘净值数据(iFinD）'!$AA222=""),"",分期持仓明细!$AB$23*(SUMPRODUCT(分期持仓明细!$B$23:$Y$23,'实盘净值数据(iFinD）'!$B222:$Y222/'实盘净值数据(iFinD）'!$B$65:$Y$65)+SUMPRODUCT(分期持仓明细!$AC$23:$AD$23,'实盘净值数据(iFinD）'!$Z222:$AA222/'实盘净值数据(iFinD）'!$Z$65:$AA$65))*(1-实盘持仓初始配置!$Z$7)^(('实盘净值数据(iFinD）'!$A222-'实盘净值数据(iFinD）'!$A$8)/365))</f>
        <v/>
      </c>
      <c r="L222" s="16" t="str">
        <f t="shared" si="21"/>
        <v/>
      </c>
      <c r="M222" s="16" t="str">
        <f>IF(K222="","",K222/MAX(K$5:K222)-1)</f>
        <v/>
      </c>
      <c r="N222" s="13" t="str">
        <f>IF(OR('实盘净值数据(iFinD）'!$A222="",'实盘净值数据(iFinD）'!$B222="",'实盘净值数据(iFinD）'!$Z222="",'实盘净值数据(iFinD）'!$AA222=""),"",分期持仓明细!$AB$24*(SUMPRODUCT(分期持仓明细!$B$24:$Y$24,'实盘净值数据(iFinD）'!$B222:$Y222/'实盘净值数据(iFinD）'!$B$65:$Y$65)+SUMPRODUCT(分期持仓明细!$AC$24:$AD$24,'实盘净值数据(iFinD）'!$Z222:$AA222/'实盘净值数据(iFinD）'!$Z$65:$AA$65))*(1-实盘持仓初始配置!$Z$8)^(('实盘净值数据(iFinD）'!$A222-'实盘净值数据(iFinD）'!$A$5)/365))</f>
        <v/>
      </c>
      <c r="O222" s="16" t="str">
        <f t="shared" si="22"/>
        <v/>
      </c>
      <c r="P222" s="16" t="str">
        <f>IF(N222="","",N222/MAX(N$5:N222)-1)</f>
        <v/>
      </c>
      <c r="Q222" s="13" t="str">
        <f>IF(OR('实盘净值数据(iFinD）'!$A222="",'实盘净值数据(iFinD）'!$B222="",'实盘净值数据(iFinD）'!$Z222="",'实盘净值数据(iFinD）'!$AA222=""),"",分期持仓明细!$AB$25*(SUMPRODUCT(分期持仓明细!$B$25:$Y$25,'实盘净值数据(iFinD）'!$B222:$Y222/'实盘净值数据(iFinD）'!$B$65:$Y$65)+SUMPRODUCT(分期持仓明细!$AC$25:$AD$25,'实盘净值数据(iFinD）'!$Z222:$AA222/'实盘净值数据(iFinD）'!$Z$65:$AA$65))*(1-实盘持仓初始配置!$Z$9)^(('实盘净值数据(iFinD）'!$A222-'实盘净值数据(iFinD）'!$A$8)/365))</f>
        <v/>
      </c>
      <c r="R222" s="16" t="str">
        <f t="shared" si="23"/>
        <v/>
      </c>
      <c r="S222" s="16" t="str">
        <f>IF(Q222="","",Q222/MAX(Q$5:Q222)-1)</f>
        <v/>
      </c>
      <c r="T222" s="13">
        <f>IF(OR('实盘净值数据(iFinD）'!$A222="",'实盘净值数据(iFinD）'!$B222="",'实盘净值数据(iFinD）'!$Z222="",'实盘净值数据(iFinD）'!$AA222="",'实盘净值数据(iFinD）'!$AB222="",'实盘净值数据(iFinD）'!$AL222=""),"",(SUMPRODUCT(分期持仓明细!$B$26:$Y$26,'实盘净值数据(iFinD）'!$B222:$Y222/'实盘净值数据(iFinD）'!$B$69:$Y$69)+SUMPRODUCT(分期持仓明细!$AC$26:$AD$26,'实盘净值数据(iFinD）'!$Z222:$AA222/'实盘净值数据(iFinD）'!$Z$69:$AA$69)+SUMPRODUCT(分期持仓明细!$AE$26:$AO$26,'实盘净值数据(iFinD）'!$AB222:$AL222/'实盘净值数据(iFinD）'!$AB$69:$AL$69))*(1-实盘持仓初始配置!$Z$10)^(('实盘净值数据(iFinD）'!$A222-'实盘净值数据(iFinD）'!$A$69)/365))</f>
        <v/>
      </c>
      <c r="U222" s="16">
        <f>IF(OR(T221="",T222=""),"",T222/T221-1)</f>
        <v/>
      </c>
      <c r="V222" s="16">
        <f>IF(T222="","",T222/MAX(T$5:T222)-1)</f>
        <v/>
      </c>
    </row>
    <row r="223" spans="1:19">
      <c r="A223" s="15" t="str">
        <f>IF('实盘净值数据(iFinD）'!A223="","",'实盘净值数据(iFinD）'!A223)</f>
        <v/>
      </c>
      <c r="B223" s="13" t="str">
        <f>IF(OR('实盘净值数据(iFinD）'!$A223="",'实盘净值数据(iFinD）'!$B223=""),"",分期持仓明细!$AB$17*SUMPRODUCT(分期持仓明细!$B$17:$Y$17,'实盘净值数据(iFinD）'!$B223:$Y223/'实盘净值数据(iFinD）'!$B$20:$Y$20)*(1-实盘持仓初始配置!$Z$4)^(('实盘净值数据(iFinD）'!$A223-'实盘净值数据(iFinD）'!$A$6)/365))</f>
        <v/>
      </c>
      <c r="C223" s="16" t="str">
        <f t="shared" si="18"/>
        <v/>
      </c>
      <c r="D223" s="16" t="str">
        <f>IF(B223="","",B223/MAX(B$5:B223)-1)</f>
        <v/>
      </c>
      <c r="E223" s="13" t="str">
        <f>IF(OR('实盘净值数据(iFinD）'!$A223="",'实盘净值数据(iFinD）'!$B223=""),"",分期持仓明细!$AB$18*SUMPRODUCT(分期持仓明细!$B$18:$Y$18,'实盘净值数据(iFinD）'!$B223:$Y223/'实盘净值数据(iFinD）'!$B$20:$Y$20)*(1-实盘持仓初始配置!$Z$5)^(('实盘净值数据(iFinD）'!$A223-'实盘净值数据(iFinD）'!$A$5)/365))</f>
        <v/>
      </c>
      <c r="F223" s="16" t="str">
        <f t="shared" si="19"/>
        <v/>
      </c>
      <c r="G223" s="16" t="str">
        <f>IF(E223="","",E223/MAX(E$5:E223)-1)</f>
        <v/>
      </c>
      <c r="H223" s="13" t="str">
        <f>IF(OR('实盘净值数据(iFinD）'!$A223="",'实盘净值数据(iFinD）'!$B223=""),"",分期持仓明细!$AB$19*SUMPRODUCT(分期持仓明细!$B$19:$Y$19,'实盘净值数据(iFinD）'!$B223:$Y223/'实盘净值数据(iFinD）'!$B$20:$Y$20)*(1-实盘持仓初始配置!$Z$6)^(('实盘净值数据(iFinD）'!$A223-'实盘净值数据(iFinD）'!$A$7)/365))</f>
        <v/>
      </c>
      <c r="I223" s="16" t="str">
        <f t="shared" si="20"/>
        <v/>
      </c>
      <c r="J223" s="16" t="str">
        <f>IF(H223="","",H223/MAX(H$5:H223)-1)</f>
        <v/>
      </c>
      <c r="K223" s="13" t="str">
        <f>IF(OR('实盘净值数据(iFinD）'!$A223="",'实盘净值数据(iFinD）'!$B223="",'实盘净值数据(iFinD）'!$Z223="",'实盘净值数据(iFinD）'!$AA223=""),"",分期持仓明细!$AB$23*(SUMPRODUCT(分期持仓明细!$B$23:$Y$23,'实盘净值数据(iFinD）'!$B223:$Y223/'实盘净值数据(iFinD）'!$B$65:$Y$65)+SUMPRODUCT(分期持仓明细!$AC$23:$AD$23,'实盘净值数据(iFinD）'!$Z223:$AA223/'实盘净值数据(iFinD）'!$Z$65:$AA$65))*(1-实盘持仓初始配置!$Z$7)^(('实盘净值数据(iFinD）'!$A223-'实盘净值数据(iFinD）'!$A$8)/365))</f>
        <v/>
      </c>
      <c r="L223" s="16" t="str">
        <f t="shared" si="21"/>
        <v/>
      </c>
      <c r="M223" s="16" t="str">
        <f>IF(K223="","",K223/MAX(K$5:K223)-1)</f>
        <v/>
      </c>
      <c r="N223" s="13" t="str">
        <f>IF(OR('实盘净值数据(iFinD）'!$A223="",'实盘净值数据(iFinD）'!$B223="",'实盘净值数据(iFinD）'!$Z223="",'实盘净值数据(iFinD）'!$AA223=""),"",分期持仓明细!$AB$24*(SUMPRODUCT(分期持仓明细!$B$24:$Y$24,'实盘净值数据(iFinD）'!$B223:$Y223/'实盘净值数据(iFinD）'!$B$65:$Y$65)+SUMPRODUCT(分期持仓明细!$AC$24:$AD$24,'实盘净值数据(iFinD）'!$Z223:$AA223/'实盘净值数据(iFinD）'!$Z$65:$AA$65))*(1-实盘持仓初始配置!$Z$8)^(('实盘净值数据(iFinD）'!$A223-'实盘净值数据(iFinD）'!$A$5)/365))</f>
        <v/>
      </c>
      <c r="O223" s="16" t="str">
        <f t="shared" si="22"/>
        <v/>
      </c>
      <c r="P223" s="16" t="str">
        <f>IF(N223="","",N223/MAX(N$5:N223)-1)</f>
        <v/>
      </c>
      <c r="Q223" s="13" t="str">
        <f>IF(OR('实盘净值数据(iFinD）'!$A223="",'实盘净值数据(iFinD）'!$B223="",'实盘净值数据(iFinD）'!$Z223="",'实盘净值数据(iFinD）'!$AA223=""),"",分期持仓明细!$AB$25*(SUMPRODUCT(分期持仓明细!$B$25:$Y$25,'实盘净值数据(iFinD）'!$B223:$Y223/'实盘净值数据(iFinD）'!$B$65:$Y$65)+SUMPRODUCT(分期持仓明细!$AC$25:$AD$25,'实盘净值数据(iFinD）'!$Z223:$AA223/'实盘净值数据(iFinD）'!$Z$65:$AA$65))*(1-实盘持仓初始配置!$Z$9)^(('实盘净值数据(iFinD）'!$A223-'实盘净值数据(iFinD）'!$A$8)/365))</f>
        <v/>
      </c>
      <c r="R223" s="16" t="str">
        <f t="shared" si="23"/>
        <v/>
      </c>
      <c r="S223" s="16" t="str">
        <f>IF(Q223="","",Q223/MAX(Q$5:Q223)-1)</f>
        <v/>
      </c>
      <c r="T223" s="13">
        <f>IF(OR('实盘净值数据(iFinD）'!$A223="",'实盘净值数据(iFinD）'!$B223="",'实盘净值数据(iFinD）'!$Z223="",'实盘净值数据(iFinD）'!$AA223="",'实盘净值数据(iFinD）'!$AB223="",'实盘净值数据(iFinD）'!$AL223=""),"",(SUMPRODUCT(分期持仓明细!$B$26:$Y$26,'实盘净值数据(iFinD）'!$B223:$Y223/'实盘净值数据(iFinD）'!$B$69:$Y$69)+SUMPRODUCT(分期持仓明细!$AC$26:$AD$26,'实盘净值数据(iFinD）'!$Z223:$AA223/'实盘净值数据(iFinD）'!$Z$69:$AA$69)+SUMPRODUCT(分期持仓明细!$AE$26:$AO$26,'实盘净值数据(iFinD）'!$AB223:$AL223/'实盘净值数据(iFinD）'!$AB$69:$AL$69))*(1-实盘持仓初始配置!$Z$10)^(('实盘净值数据(iFinD）'!$A223-'实盘净值数据(iFinD）'!$A$69)/365))</f>
        <v/>
      </c>
      <c r="U223" s="16">
        <f>IF(OR(T222="",T223=""),"",T223/T222-1)</f>
        <v/>
      </c>
      <c r="V223" s="16">
        <f>IF(T223="","",T223/MAX(T$5:T223)-1)</f>
        <v/>
      </c>
    </row>
    <row r="224" spans="1:19">
      <c r="A224" s="15" t="str">
        <f>IF('实盘净值数据(iFinD）'!A224="","",'实盘净值数据(iFinD）'!A224)</f>
        <v/>
      </c>
      <c r="B224" s="13" t="str">
        <f>IF(OR('实盘净值数据(iFinD）'!$A224="",'实盘净值数据(iFinD）'!$B224=""),"",分期持仓明细!$AB$17*SUMPRODUCT(分期持仓明细!$B$17:$Y$17,'实盘净值数据(iFinD）'!$B224:$Y224/'实盘净值数据(iFinD）'!$B$20:$Y$20)*(1-实盘持仓初始配置!$Z$4)^(('实盘净值数据(iFinD）'!$A224-'实盘净值数据(iFinD）'!$A$6)/365))</f>
        <v/>
      </c>
      <c r="C224" s="16" t="str">
        <f t="shared" si="18"/>
        <v/>
      </c>
      <c r="D224" s="16" t="str">
        <f>IF(B224="","",B224/MAX(B$5:B224)-1)</f>
        <v/>
      </c>
      <c r="E224" s="13" t="str">
        <f>IF(OR('实盘净值数据(iFinD）'!$A224="",'实盘净值数据(iFinD）'!$B224=""),"",分期持仓明细!$AB$18*SUMPRODUCT(分期持仓明细!$B$18:$Y$18,'实盘净值数据(iFinD）'!$B224:$Y224/'实盘净值数据(iFinD）'!$B$20:$Y$20)*(1-实盘持仓初始配置!$Z$5)^(('实盘净值数据(iFinD）'!$A224-'实盘净值数据(iFinD）'!$A$5)/365))</f>
        <v/>
      </c>
      <c r="F224" s="16" t="str">
        <f t="shared" si="19"/>
        <v/>
      </c>
      <c r="G224" s="16" t="str">
        <f>IF(E224="","",E224/MAX(E$5:E224)-1)</f>
        <v/>
      </c>
      <c r="H224" s="13" t="str">
        <f>IF(OR('实盘净值数据(iFinD）'!$A224="",'实盘净值数据(iFinD）'!$B224=""),"",分期持仓明细!$AB$19*SUMPRODUCT(分期持仓明细!$B$19:$Y$19,'实盘净值数据(iFinD）'!$B224:$Y224/'实盘净值数据(iFinD）'!$B$20:$Y$20)*(1-实盘持仓初始配置!$Z$6)^(('实盘净值数据(iFinD）'!$A224-'实盘净值数据(iFinD）'!$A$7)/365))</f>
        <v/>
      </c>
      <c r="I224" s="16" t="str">
        <f t="shared" si="20"/>
        <v/>
      </c>
      <c r="J224" s="16" t="str">
        <f>IF(H224="","",H224/MAX(H$5:H224)-1)</f>
        <v/>
      </c>
      <c r="K224" s="13" t="str">
        <f>IF(OR('实盘净值数据(iFinD）'!$A224="",'实盘净值数据(iFinD）'!$B224="",'实盘净值数据(iFinD）'!$Z224="",'实盘净值数据(iFinD）'!$AA224=""),"",分期持仓明细!$AB$23*(SUMPRODUCT(分期持仓明细!$B$23:$Y$23,'实盘净值数据(iFinD）'!$B224:$Y224/'实盘净值数据(iFinD）'!$B$65:$Y$65)+SUMPRODUCT(分期持仓明细!$AC$23:$AD$23,'实盘净值数据(iFinD）'!$Z224:$AA224/'实盘净值数据(iFinD）'!$Z$65:$AA$65))*(1-实盘持仓初始配置!$Z$7)^(('实盘净值数据(iFinD）'!$A224-'实盘净值数据(iFinD）'!$A$8)/365))</f>
        <v/>
      </c>
      <c r="L224" s="16" t="str">
        <f t="shared" si="21"/>
        <v/>
      </c>
      <c r="M224" s="16" t="str">
        <f>IF(K224="","",K224/MAX(K$5:K224)-1)</f>
        <v/>
      </c>
      <c r="N224" s="13" t="str">
        <f>IF(OR('实盘净值数据(iFinD）'!$A224="",'实盘净值数据(iFinD）'!$B224="",'实盘净值数据(iFinD）'!$Z224="",'实盘净值数据(iFinD）'!$AA224=""),"",分期持仓明细!$AB$24*(SUMPRODUCT(分期持仓明细!$B$24:$Y$24,'实盘净值数据(iFinD）'!$B224:$Y224/'实盘净值数据(iFinD）'!$B$65:$Y$65)+SUMPRODUCT(分期持仓明细!$AC$24:$AD$24,'实盘净值数据(iFinD）'!$Z224:$AA224/'实盘净值数据(iFinD）'!$Z$65:$AA$65))*(1-实盘持仓初始配置!$Z$8)^(('实盘净值数据(iFinD）'!$A224-'实盘净值数据(iFinD）'!$A$5)/365))</f>
        <v/>
      </c>
      <c r="O224" s="16" t="str">
        <f t="shared" si="22"/>
        <v/>
      </c>
      <c r="P224" s="16" t="str">
        <f>IF(N224="","",N224/MAX(N$5:N224)-1)</f>
        <v/>
      </c>
      <c r="Q224" s="13" t="str">
        <f>IF(OR('实盘净值数据(iFinD）'!$A224="",'实盘净值数据(iFinD）'!$B224="",'实盘净值数据(iFinD）'!$Z224="",'实盘净值数据(iFinD）'!$AA224=""),"",分期持仓明细!$AB$25*(SUMPRODUCT(分期持仓明细!$B$25:$Y$25,'实盘净值数据(iFinD）'!$B224:$Y224/'实盘净值数据(iFinD）'!$B$65:$Y$65)+SUMPRODUCT(分期持仓明细!$AC$25:$AD$25,'实盘净值数据(iFinD）'!$Z224:$AA224/'实盘净值数据(iFinD）'!$Z$65:$AA$65))*(1-实盘持仓初始配置!$Z$9)^(('实盘净值数据(iFinD）'!$A224-'实盘净值数据(iFinD）'!$A$8)/365))</f>
        <v/>
      </c>
      <c r="R224" s="16" t="str">
        <f t="shared" si="23"/>
        <v/>
      </c>
      <c r="S224" s="16" t="str">
        <f>IF(Q224="","",Q224/MAX(Q$5:Q224)-1)</f>
        <v/>
      </c>
      <c r="T224" s="13">
        <f>IF(OR('实盘净值数据(iFinD）'!$A224="",'实盘净值数据(iFinD）'!$B224="",'实盘净值数据(iFinD）'!$Z224="",'实盘净值数据(iFinD）'!$AA224="",'实盘净值数据(iFinD）'!$AB224="",'实盘净值数据(iFinD）'!$AL224=""),"",(SUMPRODUCT(分期持仓明细!$B$26:$Y$26,'实盘净值数据(iFinD）'!$B224:$Y224/'实盘净值数据(iFinD）'!$B$69:$Y$69)+SUMPRODUCT(分期持仓明细!$AC$26:$AD$26,'实盘净值数据(iFinD）'!$Z224:$AA224/'实盘净值数据(iFinD）'!$Z$69:$AA$69)+SUMPRODUCT(分期持仓明细!$AE$26:$AO$26,'实盘净值数据(iFinD）'!$AB224:$AL224/'实盘净值数据(iFinD）'!$AB$69:$AL$69))*(1-实盘持仓初始配置!$Z$10)^(('实盘净值数据(iFinD）'!$A224-'实盘净值数据(iFinD）'!$A$69)/365))</f>
        <v/>
      </c>
      <c r="U224" s="16">
        <f>IF(OR(T223="",T224=""),"",T224/T223-1)</f>
        <v/>
      </c>
      <c r="V224" s="16">
        <f>IF(T224="","",T224/MAX(T$5:T224)-1)</f>
        <v/>
      </c>
    </row>
    <row r="225" spans="1:19">
      <c r="A225" s="15" t="str">
        <f>IF('实盘净值数据(iFinD）'!A225="","",'实盘净值数据(iFinD）'!A225)</f>
        <v/>
      </c>
      <c r="B225" s="13" t="str">
        <f>IF(OR('实盘净值数据(iFinD）'!$A225="",'实盘净值数据(iFinD）'!$B225=""),"",分期持仓明细!$AB$17*SUMPRODUCT(分期持仓明细!$B$17:$Y$17,'实盘净值数据(iFinD）'!$B225:$Y225/'实盘净值数据(iFinD）'!$B$20:$Y$20)*(1-实盘持仓初始配置!$Z$4)^(('实盘净值数据(iFinD）'!$A225-'实盘净值数据(iFinD）'!$A$6)/365))</f>
        <v/>
      </c>
      <c r="C225" s="16" t="str">
        <f t="shared" si="18"/>
        <v/>
      </c>
      <c r="D225" s="16" t="str">
        <f>IF(B225="","",B225/MAX(B$5:B225)-1)</f>
        <v/>
      </c>
      <c r="E225" s="13" t="str">
        <f>IF(OR('实盘净值数据(iFinD）'!$A225="",'实盘净值数据(iFinD）'!$B225=""),"",分期持仓明细!$AB$18*SUMPRODUCT(分期持仓明细!$B$18:$Y$18,'实盘净值数据(iFinD）'!$B225:$Y225/'实盘净值数据(iFinD）'!$B$20:$Y$20)*(1-实盘持仓初始配置!$Z$5)^(('实盘净值数据(iFinD）'!$A225-'实盘净值数据(iFinD）'!$A$5)/365))</f>
        <v/>
      </c>
      <c r="F225" s="16" t="str">
        <f t="shared" si="19"/>
        <v/>
      </c>
      <c r="G225" s="16" t="str">
        <f>IF(E225="","",E225/MAX(E$5:E225)-1)</f>
        <v/>
      </c>
      <c r="H225" s="13" t="str">
        <f>IF(OR('实盘净值数据(iFinD）'!$A225="",'实盘净值数据(iFinD）'!$B225=""),"",分期持仓明细!$AB$19*SUMPRODUCT(分期持仓明细!$B$19:$Y$19,'实盘净值数据(iFinD）'!$B225:$Y225/'实盘净值数据(iFinD）'!$B$20:$Y$20)*(1-实盘持仓初始配置!$Z$6)^(('实盘净值数据(iFinD）'!$A225-'实盘净值数据(iFinD）'!$A$7)/365))</f>
        <v/>
      </c>
      <c r="I225" s="16" t="str">
        <f t="shared" si="20"/>
        <v/>
      </c>
      <c r="J225" s="16" t="str">
        <f>IF(H225="","",H225/MAX(H$5:H225)-1)</f>
        <v/>
      </c>
      <c r="K225" s="13" t="str">
        <f>IF(OR('实盘净值数据(iFinD）'!$A225="",'实盘净值数据(iFinD）'!$B225="",'实盘净值数据(iFinD）'!$Z225="",'实盘净值数据(iFinD）'!$AA225=""),"",分期持仓明细!$AB$23*(SUMPRODUCT(分期持仓明细!$B$23:$Y$23,'实盘净值数据(iFinD）'!$B225:$Y225/'实盘净值数据(iFinD）'!$B$65:$Y$65)+SUMPRODUCT(分期持仓明细!$AC$23:$AD$23,'实盘净值数据(iFinD）'!$Z225:$AA225/'实盘净值数据(iFinD）'!$Z$65:$AA$65))*(1-实盘持仓初始配置!$Z$7)^(('实盘净值数据(iFinD）'!$A225-'实盘净值数据(iFinD）'!$A$8)/365))</f>
        <v/>
      </c>
      <c r="L225" s="16" t="str">
        <f t="shared" si="21"/>
        <v/>
      </c>
      <c r="M225" s="16" t="str">
        <f>IF(K225="","",K225/MAX(K$5:K225)-1)</f>
        <v/>
      </c>
      <c r="N225" s="13" t="str">
        <f>IF(OR('实盘净值数据(iFinD）'!$A225="",'实盘净值数据(iFinD）'!$B225="",'实盘净值数据(iFinD）'!$Z225="",'实盘净值数据(iFinD）'!$AA225=""),"",分期持仓明细!$AB$24*(SUMPRODUCT(分期持仓明细!$B$24:$Y$24,'实盘净值数据(iFinD）'!$B225:$Y225/'实盘净值数据(iFinD）'!$B$65:$Y$65)+SUMPRODUCT(分期持仓明细!$AC$24:$AD$24,'实盘净值数据(iFinD）'!$Z225:$AA225/'实盘净值数据(iFinD）'!$Z$65:$AA$65))*(1-实盘持仓初始配置!$Z$8)^(('实盘净值数据(iFinD）'!$A225-'实盘净值数据(iFinD）'!$A$5)/365))</f>
        <v/>
      </c>
      <c r="O225" s="16" t="str">
        <f t="shared" si="22"/>
        <v/>
      </c>
      <c r="P225" s="16" t="str">
        <f>IF(N225="","",N225/MAX(N$5:N225)-1)</f>
        <v/>
      </c>
      <c r="Q225" s="13" t="str">
        <f>IF(OR('实盘净值数据(iFinD）'!$A225="",'实盘净值数据(iFinD）'!$B225="",'实盘净值数据(iFinD）'!$Z225="",'实盘净值数据(iFinD）'!$AA225=""),"",分期持仓明细!$AB$25*(SUMPRODUCT(分期持仓明细!$B$25:$Y$25,'实盘净值数据(iFinD）'!$B225:$Y225/'实盘净值数据(iFinD）'!$B$65:$Y$65)+SUMPRODUCT(分期持仓明细!$AC$25:$AD$25,'实盘净值数据(iFinD）'!$Z225:$AA225/'实盘净值数据(iFinD）'!$Z$65:$AA$65))*(1-实盘持仓初始配置!$Z$9)^(('实盘净值数据(iFinD）'!$A225-'实盘净值数据(iFinD）'!$A$8)/365))</f>
        <v/>
      </c>
      <c r="R225" s="16" t="str">
        <f t="shared" si="23"/>
        <v/>
      </c>
      <c r="S225" s="16" t="str">
        <f>IF(Q225="","",Q225/MAX(Q$5:Q225)-1)</f>
        <v/>
      </c>
      <c r="T225" s="13">
        <f>IF(OR('实盘净值数据(iFinD）'!$A225="",'实盘净值数据(iFinD）'!$B225="",'实盘净值数据(iFinD）'!$Z225="",'实盘净值数据(iFinD）'!$AA225="",'实盘净值数据(iFinD）'!$AB225="",'实盘净值数据(iFinD）'!$AL225=""),"",(SUMPRODUCT(分期持仓明细!$B$26:$Y$26,'实盘净值数据(iFinD）'!$B225:$Y225/'实盘净值数据(iFinD）'!$B$69:$Y$69)+SUMPRODUCT(分期持仓明细!$AC$26:$AD$26,'实盘净值数据(iFinD）'!$Z225:$AA225/'实盘净值数据(iFinD）'!$Z$69:$AA$69)+SUMPRODUCT(分期持仓明细!$AE$26:$AO$26,'实盘净值数据(iFinD）'!$AB225:$AL225/'实盘净值数据(iFinD）'!$AB$69:$AL$69))*(1-实盘持仓初始配置!$Z$10)^(('实盘净值数据(iFinD）'!$A225-'实盘净值数据(iFinD）'!$A$69)/365))</f>
        <v/>
      </c>
      <c r="U225" s="16">
        <f>IF(OR(T224="",T225=""),"",T225/T224-1)</f>
        <v/>
      </c>
      <c r="V225" s="16">
        <f>IF(T225="","",T225/MAX(T$5:T225)-1)</f>
        <v/>
      </c>
    </row>
    <row r="226" spans="1:19">
      <c r="A226" s="15" t="str">
        <f>IF('实盘净值数据(iFinD）'!A226="","",'实盘净值数据(iFinD）'!A226)</f>
        <v/>
      </c>
      <c r="B226" s="13" t="str">
        <f>IF(OR('实盘净值数据(iFinD）'!$A226="",'实盘净值数据(iFinD）'!$B226=""),"",分期持仓明细!$AB$17*SUMPRODUCT(分期持仓明细!$B$17:$Y$17,'实盘净值数据(iFinD）'!$B226:$Y226/'实盘净值数据(iFinD）'!$B$20:$Y$20)*(1-实盘持仓初始配置!$Z$4)^(('实盘净值数据(iFinD）'!$A226-'实盘净值数据(iFinD）'!$A$6)/365))</f>
        <v/>
      </c>
      <c r="C226" s="16" t="str">
        <f t="shared" si="18"/>
        <v/>
      </c>
      <c r="D226" s="16" t="str">
        <f>IF(B226="","",B226/MAX(B$5:B226)-1)</f>
        <v/>
      </c>
      <c r="E226" s="13" t="str">
        <f>IF(OR('实盘净值数据(iFinD）'!$A226="",'实盘净值数据(iFinD）'!$B226=""),"",分期持仓明细!$AB$18*SUMPRODUCT(分期持仓明细!$B$18:$Y$18,'实盘净值数据(iFinD）'!$B226:$Y226/'实盘净值数据(iFinD）'!$B$20:$Y$20)*(1-实盘持仓初始配置!$Z$5)^(('实盘净值数据(iFinD）'!$A226-'实盘净值数据(iFinD）'!$A$5)/365))</f>
        <v/>
      </c>
      <c r="F226" s="16" t="str">
        <f t="shared" si="19"/>
        <v/>
      </c>
      <c r="G226" s="16" t="str">
        <f>IF(E226="","",E226/MAX(E$5:E226)-1)</f>
        <v/>
      </c>
      <c r="H226" s="13" t="str">
        <f>IF(OR('实盘净值数据(iFinD）'!$A226="",'实盘净值数据(iFinD）'!$B226=""),"",分期持仓明细!$AB$19*SUMPRODUCT(分期持仓明细!$B$19:$Y$19,'实盘净值数据(iFinD）'!$B226:$Y226/'实盘净值数据(iFinD）'!$B$20:$Y$20)*(1-实盘持仓初始配置!$Z$6)^(('实盘净值数据(iFinD）'!$A226-'实盘净值数据(iFinD）'!$A$7)/365))</f>
        <v/>
      </c>
      <c r="I226" s="16" t="str">
        <f t="shared" si="20"/>
        <v/>
      </c>
      <c r="J226" s="16" t="str">
        <f>IF(H226="","",H226/MAX(H$5:H226)-1)</f>
        <v/>
      </c>
      <c r="K226" s="13" t="str">
        <f>IF(OR('实盘净值数据(iFinD）'!$A226="",'实盘净值数据(iFinD）'!$B226="",'实盘净值数据(iFinD）'!$Z226="",'实盘净值数据(iFinD）'!$AA226=""),"",分期持仓明细!$AB$23*(SUMPRODUCT(分期持仓明细!$B$23:$Y$23,'实盘净值数据(iFinD）'!$B226:$Y226/'实盘净值数据(iFinD）'!$B$65:$Y$65)+SUMPRODUCT(分期持仓明细!$AC$23:$AD$23,'实盘净值数据(iFinD）'!$Z226:$AA226/'实盘净值数据(iFinD）'!$Z$65:$AA$65))*(1-实盘持仓初始配置!$Z$7)^(('实盘净值数据(iFinD）'!$A226-'实盘净值数据(iFinD）'!$A$8)/365))</f>
        <v/>
      </c>
      <c r="L226" s="16" t="str">
        <f t="shared" si="21"/>
        <v/>
      </c>
      <c r="M226" s="16" t="str">
        <f>IF(K226="","",K226/MAX(K$5:K226)-1)</f>
        <v/>
      </c>
      <c r="N226" s="13" t="str">
        <f>IF(OR('实盘净值数据(iFinD）'!$A226="",'实盘净值数据(iFinD）'!$B226="",'实盘净值数据(iFinD）'!$Z226="",'实盘净值数据(iFinD）'!$AA226=""),"",分期持仓明细!$AB$24*(SUMPRODUCT(分期持仓明细!$B$24:$Y$24,'实盘净值数据(iFinD）'!$B226:$Y226/'实盘净值数据(iFinD）'!$B$65:$Y$65)+SUMPRODUCT(分期持仓明细!$AC$24:$AD$24,'实盘净值数据(iFinD）'!$Z226:$AA226/'实盘净值数据(iFinD）'!$Z$65:$AA$65))*(1-实盘持仓初始配置!$Z$8)^(('实盘净值数据(iFinD）'!$A226-'实盘净值数据(iFinD）'!$A$5)/365))</f>
        <v/>
      </c>
      <c r="O226" s="16" t="str">
        <f t="shared" si="22"/>
        <v/>
      </c>
      <c r="P226" s="16" t="str">
        <f>IF(N226="","",N226/MAX(N$5:N226)-1)</f>
        <v/>
      </c>
      <c r="Q226" s="13" t="str">
        <f>IF(OR('实盘净值数据(iFinD）'!$A226="",'实盘净值数据(iFinD）'!$B226="",'实盘净值数据(iFinD）'!$Z226="",'实盘净值数据(iFinD）'!$AA226=""),"",分期持仓明细!$AB$25*(SUMPRODUCT(分期持仓明细!$B$25:$Y$25,'实盘净值数据(iFinD）'!$B226:$Y226/'实盘净值数据(iFinD）'!$B$65:$Y$65)+SUMPRODUCT(分期持仓明细!$AC$25:$AD$25,'实盘净值数据(iFinD）'!$Z226:$AA226/'实盘净值数据(iFinD）'!$Z$65:$AA$65))*(1-实盘持仓初始配置!$Z$9)^(('实盘净值数据(iFinD）'!$A226-'实盘净值数据(iFinD）'!$A$8)/365))</f>
        <v/>
      </c>
      <c r="R226" s="16" t="str">
        <f t="shared" si="23"/>
        <v/>
      </c>
      <c r="S226" s="16" t="str">
        <f>IF(Q226="","",Q226/MAX(Q$5:Q226)-1)</f>
        <v/>
      </c>
      <c r="T226" s="13">
        <f>IF(OR('实盘净值数据(iFinD）'!$A226="",'实盘净值数据(iFinD）'!$B226="",'实盘净值数据(iFinD）'!$Z226="",'实盘净值数据(iFinD）'!$AA226="",'实盘净值数据(iFinD）'!$AB226="",'实盘净值数据(iFinD）'!$AL226=""),"",(SUMPRODUCT(分期持仓明细!$B$26:$Y$26,'实盘净值数据(iFinD）'!$B226:$Y226/'实盘净值数据(iFinD）'!$B$69:$Y$69)+SUMPRODUCT(分期持仓明细!$AC$26:$AD$26,'实盘净值数据(iFinD）'!$Z226:$AA226/'实盘净值数据(iFinD）'!$Z$69:$AA$69)+SUMPRODUCT(分期持仓明细!$AE$26:$AO$26,'实盘净值数据(iFinD）'!$AB226:$AL226/'实盘净值数据(iFinD）'!$AB$69:$AL$69))*(1-实盘持仓初始配置!$Z$10)^(('实盘净值数据(iFinD）'!$A226-'实盘净值数据(iFinD）'!$A$69)/365))</f>
        <v/>
      </c>
      <c r="U226" s="16">
        <f>IF(OR(T225="",T226=""),"",T226/T225-1)</f>
        <v/>
      </c>
      <c r="V226" s="16">
        <f>IF(T226="","",T226/MAX(T$5:T226)-1)</f>
        <v/>
      </c>
    </row>
    <row r="227" spans="1:19">
      <c r="A227" s="15" t="str">
        <f>IF('实盘净值数据(iFinD）'!A227="","",'实盘净值数据(iFinD）'!A227)</f>
        <v/>
      </c>
      <c r="B227" s="13" t="str">
        <f>IF(OR('实盘净值数据(iFinD）'!$A227="",'实盘净值数据(iFinD）'!$B227=""),"",分期持仓明细!$AB$17*SUMPRODUCT(分期持仓明细!$B$17:$Y$17,'实盘净值数据(iFinD）'!$B227:$Y227/'实盘净值数据(iFinD）'!$B$20:$Y$20)*(1-实盘持仓初始配置!$Z$4)^(('实盘净值数据(iFinD）'!$A227-'实盘净值数据(iFinD）'!$A$6)/365))</f>
        <v/>
      </c>
      <c r="C227" s="16" t="str">
        <f t="shared" si="18"/>
        <v/>
      </c>
      <c r="D227" s="16" t="str">
        <f>IF(B227="","",B227/MAX(B$5:B227)-1)</f>
        <v/>
      </c>
      <c r="E227" s="13" t="str">
        <f>IF(OR('实盘净值数据(iFinD）'!$A227="",'实盘净值数据(iFinD）'!$B227=""),"",分期持仓明细!$AB$18*SUMPRODUCT(分期持仓明细!$B$18:$Y$18,'实盘净值数据(iFinD）'!$B227:$Y227/'实盘净值数据(iFinD）'!$B$20:$Y$20)*(1-实盘持仓初始配置!$Z$5)^(('实盘净值数据(iFinD）'!$A227-'实盘净值数据(iFinD）'!$A$5)/365))</f>
        <v/>
      </c>
      <c r="F227" s="16" t="str">
        <f t="shared" si="19"/>
        <v/>
      </c>
      <c r="G227" s="16" t="str">
        <f>IF(E227="","",E227/MAX(E$5:E227)-1)</f>
        <v/>
      </c>
      <c r="H227" s="13" t="str">
        <f>IF(OR('实盘净值数据(iFinD）'!$A227="",'实盘净值数据(iFinD）'!$B227=""),"",分期持仓明细!$AB$19*SUMPRODUCT(分期持仓明细!$B$19:$Y$19,'实盘净值数据(iFinD）'!$B227:$Y227/'实盘净值数据(iFinD）'!$B$20:$Y$20)*(1-实盘持仓初始配置!$Z$6)^(('实盘净值数据(iFinD）'!$A227-'实盘净值数据(iFinD）'!$A$7)/365))</f>
        <v/>
      </c>
      <c r="I227" s="16" t="str">
        <f t="shared" si="20"/>
        <v/>
      </c>
      <c r="J227" s="16" t="str">
        <f>IF(H227="","",H227/MAX(H$5:H227)-1)</f>
        <v/>
      </c>
      <c r="K227" s="13" t="str">
        <f>IF(OR('实盘净值数据(iFinD）'!$A227="",'实盘净值数据(iFinD）'!$B227="",'实盘净值数据(iFinD）'!$Z227="",'实盘净值数据(iFinD）'!$AA227=""),"",分期持仓明细!$AB$23*(SUMPRODUCT(分期持仓明细!$B$23:$Y$23,'实盘净值数据(iFinD）'!$B227:$Y227/'实盘净值数据(iFinD）'!$B$65:$Y$65)+SUMPRODUCT(分期持仓明细!$AC$23:$AD$23,'实盘净值数据(iFinD）'!$Z227:$AA227/'实盘净值数据(iFinD）'!$Z$65:$AA$65))*(1-实盘持仓初始配置!$Z$7)^(('实盘净值数据(iFinD）'!$A227-'实盘净值数据(iFinD）'!$A$8)/365))</f>
        <v/>
      </c>
      <c r="L227" s="16" t="str">
        <f t="shared" si="21"/>
        <v/>
      </c>
      <c r="M227" s="16" t="str">
        <f>IF(K227="","",K227/MAX(K$5:K227)-1)</f>
        <v/>
      </c>
      <c r="N227" s="13" t="str">
        <f>IF(OR('实盘净值数据(iFinD）'!$A227="",'实盘净值数据(iFinD）'!$B227="",'实盘净值数据(iFinD）'!$Z227="",'实盘净值数据(iFinD）'!$AA227=""),"",分期持仓明细!$AB$24*(SUMPRODUCT(分期持仓明细!$B$24:$Y$24,'实盘净值数据(iFinD）'!$B227:$Y227/'实盘净值数据(iFinD）'!$B$65:$Y$65)+SUMPRODUCT(分期持仓明细!$AC$24:$AD$24,'实盘净值数据(iFinD）'!$Z227:$AA227/'实盘净值数据(iFinD）'!$Z$65:$AA$65))*(1-实盘持仓初始配置!$Z$8)^(('实盘净值数据(iFinD）'!$A227-'实盘净值数据(iFinD）'!$A$5)/365))</f>
        <v/>
      </c>
      <c r="O227" s="16" t="str">
        <f t="shared" si="22"/>
        <v/>
      </c>
      <c r="P227" s="16" t="str">
        <f>IF(N227="","",N227/MAX(N$5:N227)-1)</f>
        <v/>
      </c>
      <c r="Q227" s="13" t="str">
        <f>IF(OR('实盘净值数据(iFinD）'!$A227="",'实盘净值数据(iFinD）'!$B227="",'实盘净值数据(iFinD）'!$Z227="",'实盘净值数据(iFinD）'!$AA227=""),"",分期持仓明细!$AB$25*(SUMPRODUCT(分期持仓明细!$B$25:$Y$25,'实盘净值数据(iFinD）'!$B227:$Y227/'实盘净值数据(iFinD）'!$B$65:$Y$65)+SUMPRODUCT(分期持仓明细!$AC$25:$AD$25,'实盘净值数据(iFinD）'!$Z227:$AA227/'实盘净值数据(iFinD）'!$Z$65:$AA$65))*(1-实盘持仓初始配置!$Z$9)^(('实盘净值数据(iFinD）'!$A227-'实盘净值数据(iFinD）'!$A$8)/365))</f>
        <v/>
      </c>
      <c r="R227" s="16" t="str">
        <f t="shared" si="23"/>
        <v/>
      </c>
      <c r="S227" s="16" t="str">
        <f>IF(Q227="","",Q227/MAX(Q$5:Q227)-1)</f>
        <v/>
      </c>
      <c r="T227" s="13">
        <f>IF(OR('实盘净值数据(iFinD）'!$A227="",'实盘净值数据(iFinD）'!$B227="",'实盘净值数据(iFinD）'!$Z227="",'实盘净值数据(iFinD）'!$AA227="",'实盘净值数据(iFinD）'!$AB227="",'实盘净值数据(iFinD）'!$AL227=""),"",(SUMPRODUCT(分期持仓明细!$B$26:$Y$26,'实盘净值数据(iFinD）'!$B227:$Y227/'实盘净值数据(iFinD）'!$B$69:$Y$69)+SUMPRODUCT(分期持仓明细!$AC$26:$AD$26,'实盘净值数据(iFinD）'!$Z227:$AA227/'实盘净值数据(iFinD）'!$Z$69:$AA$69)+SUMPRODUCT(分期持仓明细!$AE$26:$AO$26,'实盘净值数据(iFinD）'!$AB227:$AL227/'实盘净值数据(iFinD）'!$AB$69:$AL$69))*(1-实盘持仓初始配置!$Z$10)^(('实盘净值数据(iFinD）'!$A227-'实盘净值数据(iFinD）'!$A$69)/365))</f>
        <v/>
      </c>
      <c r="U227" s="16">
        <f>IF(OR(T226="",T227=""),"",T227/T226-1)</f>
        <v/>
      </c>
      <c r="V227" s="16">
        <f>IF(T227="","",T227/MAX(T$5:T227)-1)</f>
        <v/>
      </c>
    </row>
    <row r="228" spans="1:19">
      <c r="A228" s="15" t="str">
        <f>IF('实盘净值数据(iFinD）'!A228="","",'实盘净值数据(iFinD）'!A228)</f>
        <v/>
      </c>
      <c r="B228" s="13" t="str">
        <f>IF(OR('实盘净值数据(iFinD）'!$A228="",'实盘净值数据(iFinD）'!$B228=""),"",分期持仓明细!$AB$17*SUMPRODUCT(分期持仓明细!$B$17:$Y$17,'实盘净值数据(iFinD）'!$B228:$Y228/'实盘净值数据(iFinD）'!$B$20:$Y$20)*(1-实盘持仓初始配置!$Z$4)^(('实盘净值数据(iFinD）'!$A228-'实盘净值数据(iFinD）'!$A$6)/365))</f>
        <v/>
      </c>
      <c r="C228" s="16" t="str">
        <f t="shared" si="18"/>
        <v/>
      </c>
      <c r="D228" s="16" t="str">
        <f>IF(B228="","",B228/MAX(B$5:B228)-1)</f>
        <v/>
      </c>
      <c r="E228" s="13" t="str">
        <f>IF(OR('实盘净值数据(iFinD）'!$A228="",'实盘净值数据(iFinD）'!$B228=""),"",分期持仓明细!$AB$18*SUMPRODUCT(分期持仓明细!$B$18:$Y$18,'实盘净值数据(iFinD）'!$B228:$Y228/'实盘净值数据(iFinD）'!$B$20:$Y$20)*(1-实盘持仓初始配置!$Z$5)^(('实盘净值数据(iFinD）'!$A228-'实盘净值数据(iFinD）'!$A$5)/365))</f>
        <v/>
      </c>
      <c r="F228" s="16" t="str">
        <f t="shared" si="19"/>
        <v/>
      </c>
      <c r="G228" s="16" t="str">
        <f>IF(E228="","",E228/MAX(E$5:E228)-1)</f>
        <v/>
      </c>
      <c r="H228" s="13" t="str">
        <f>IF(OR('实盘净值数据(iFinD）'!$A228="",'实盘净值数据(iFinD）'!$B228=""),"",分期持仓明细!$AB$19*SUMPRODUCT(分期持仓明细!$B$19:$Y$19,'实盘净值数据(iFinD）'!$B228:$Y228/'实盘净值数据(iFinD）'!$B$20:$Y$20)*(1-实盘持仓初始配置!$Z$6)^(('实盘净值数据(iFinD）'!$A228-'实盘净值数据(iFinD）'!$A$7)/365))</f>
        <v/>
      </c>
      <c r="I228" s="16" t="str">
        <f t="shared" si="20"/>
        <v/>
      </c>
      <c r="J228" s="16" t="str">
        <f>IF(H228="","",H228/MAX(H$5:H228)-1)</f>
        <v/>
      </c>
      <c r="K228" s="13" t="str">
        <f>IF(OR('实盘净值数据(iFinD）'!$A228="",'实盘净值数据(iFinD）'!$B228="",'实盘净值数据(iFinD）'!$Z228="",'实盘净值数据(iFinD）'!$AA228=""),"",分期持仓明细!$AB$23*(SUMPRODUCT(分期持仓明细!$B$23:$Y$23,'实盘净值数据(iFinD）'!$B228:$Y228/'实盘净值数据(iFinD）'!$B$65:$Y$65)+SUMPRODUCT(分期持仓明细!$AC$23:$AD$23,'实盘净值数据(iFinD）'!$Z228:$AA228/'实盘净值数据(iFinD）'!$Z$65:$AA$65))*(1-实盘持仓初始配置!$Z$7)^(('实盘净值数据(iFinD）'!$A228-'实盘净值数据(iFinD）'!$A$8)/365))</f>
        <v/>
      </c>
      <c r="L228" s="16" t="str">
        <f t="shared" si="21"/>
        <v/>
      </c>
      <c r="M228" s="16" t="str">
        <f>IF(K228="","",K228/MAX(K$5:K228)-1)</f>
        <v/>
      </c>
      <c r="N228" s="13" t="str">
        <f>IF(OR('实盘净值数据(iFinD）'!$A228="",'实盘净值数据(iFinD）'!$B228="",'实盘净值数据(iFinD）'!$Z228="",'实盘净值数据(iFinD）'!$AA228=""),"",分期持仓明细!$AB$24*(SUMPRODUCT(分期持仓明细!$B$24:$Y$24,'实盘净值数据(iFinD）'!$B228:$Y228/'实盘净值数据(iFinD）'!$B$65:$Y$65)+SUMPRODUCT(分期持仓明细!$AC$24:$AD$24,'实盘净值数据(iFinD）'!$Z228:$AA228/'实盘净值数据(iFinD）'!$Z$65:$AA$65))*(1-实盘持仓初始配置!$Z$8)^(('实盘净值数据(iFinD）'!$A228-'实盘净值数据(iFinD）'!$A$5)/365))</f>
        <v/>
      </c>
      <c r="O228" s="16" t="str">
        <f t="shared" si="22"/>
        <v/>
      </c>
      <c r="P228" s="16" t="str">
        <f>IF(N228="","",N228/MAX(N$5:N228)-1)</f>
        <v/>
      </c>
      <c r="Q228" s="13" t="str">
        <f>IF(OR('实盘净值数据(iFinD）'!$A228="",'实盘净值数据(iFinD）'!$B228="",'实盘净值数据(iFinD）'!$Z228="",'实盘净值数据(iFinD）'!$AA228=""),"",分期持仓明细!$AB$25*(SUMPRODUCT(分期持仓明细!$B$25:$Y$25,'实盘净值数据(iFinD）'!$B228:$Y228/'实盘净值数据(iFinD）'!$B$65:$Y$65)+SUMPRODUCT(分期持仓明细!$AC$25:$AD$25,'实盘净值数据(iFinD）'!$Z228:$AA228/'实盘净值数据(iFinD）'!$Z$65:$AA$65))*(1-实盘持仓初始配置!$Z$9)^(('实盘净值数据(iFinD）'!$A228-'实盘净值数据(iFinD）'!$A$8)/365))</f>
        <v/>
      </c>
      <c r="R228" s="16" t="str">
        <f t="shared" si="23"/>
        <v/>
      </c>
      <c r="S228" s="16" t="str">
        <f>IF(Q228="","",Q228/MAX(Q$5:Q228)-1)</f>
        <v/>
      </c>
      <c r="T228" s="13">
        <f>IF(OR('实盘净值数据(iFinD）'!$A228="",'实盘净值数据(iFinD）'!$B228="",'实盘净值数据(iFinD）'!$Z228="",'实盘净值数据(iFinD）'!$AA228="",'实盘净值数据(iFinD）'!$AB228="",'实盘净值数据(iFinD）'!$AL228=""),"",(SUMPRODUCT(分期持仓明细!$B$26:$Y$26,'实盘净值数据(iFinD）'!$B228:$Y228/'实盘净值数据(iFinD）'!$B$69:$Y$69)+SUMPRODUCT(分期持仓明细!$AC$26:$AD$26,'实盘净值数据(iFinD）'!$Z228:$AA228/'实盘净值数据(iFinD）'!$Z$69:$AA$69)+SUMPRODUCT(分期持仓明细!$AE$26:$AO$26,'实盘净值数据(iFinD）'!$AB228:$AL228/'实盘净值数据(iFinD）'!$AB$69:$AL$69))*(1-实盘持仓初始配置!$Z$10)^(('实盘净值数据(iFinD）'!$A228-'实盘净值数据(iFinD）'!$A$69)/365))</f>
        <v/>
      </c>
      <c r="U228" s="16">
        <f>IF(OR(T227="",T228=""),"",T228/T227-1)</f>
        <v/>
      </c>
      <c r="V228" s="16">
        <f>IF(T228="","",T228/MAX(T$5:T228)-1)</f>
        <v/>
      </c>
    </row>
    <row r="229" spans="1:19">
      <c r="A229" s="15" t="str">
        <f>IF('实盘净值数据(iFinD）'!A229="","",'实盘净值数据(iFinD）'!A229)</f>
        <v/>
      </c>
      <c r="B229" s="13" t="str">
        <f>IF(OR('实盘净值数据(iFinD）'!$A229="",'实盘净值数据(iFinD）'!$B229=""),"",分期持仓明细!$AB$17*SUMPRODUCT(分期持仓明细!$B$17:$Y$17,'实盘净值数据(iFinD）'!$B229:$Y229/'实盘净值数据(iFinD）'!$B$20:$Y$20)*(1-实盘持仓初始配置!$Z$4)^(('实盘净值数据(iFinD）'!$A229-'实盘净值数据(iFinD）'!$A$6)/365))</f>
        <v/>
      </c>
      <c r="C229" s="16" t="str">
        <f t="shared" si="18"/>
        <v/>
      </c>
      <c r="D229" s="16" t="str">
        <f>IF(B229="","",B229/MAX(B$5:B229)-1)</f>
        <v/>
      </c>
      <c r="E229" s="13" t="str">
        <f>IF(OR('实盘净值数据(iFinD）'!$A229="",'实盘净值数据(iFinD）'!$B229=""),"",分期持仓明细!$AB$18*SUMPRODUCT(分期持仓明细!$B$18:$Y$18,'实盘净值数据(iFinD）'!$B229:$Y229/'实盘净值数据(iFinD）'!$B$20:$Y$20)*(1-实盘持仓初始配置!$Z$5)^(('实盘净值数据(iFinD）'!$A229-'实盘净值数据(iFinD）'!$A$5)/365))</f>
        <v/>
      </c>
      <c r="F229" s="16" t="str">
        <f t="shared" si="19"/>
        <v/>
      </c>
      <c r="G229" s="16" t="str">
        <f>IF(E229="","",E229/MAX(E$5:E229)-1)</f>
        <v/>
      </c>
      <c r="H229" s="13" t="str">
        <f>IF(OR('实盘净值数据(iFinD）'!$A229="",'实盘净值数据(iFinD）'!$B229=""),"",分期持仓明细!$AB$19*SUMPRODUCT(分期持仓明细!$B$19:$Y$19,'实盘净值数据(iFinD）'!$B229:$Y229/'实盘净值数据(iFinD）'!$B$20:$Y$20)*(1-实盘持仓初始配置!$Z$6)^(('实盘净值数据(iFinD）'!$A229-'实盘净值数据(iFinD）'!$A$7)/365))</f>
        <v/>
      </c>
      <c r="I229" s="16" t="str">
        <f t="shared" si="20"/>
        <v/>
      </c>
      <c r="J229" s="16" t="str">
        <f>IF(H229="","",H229/MAX(H$5:H229)-1)</f>
        <v/>
      </c>
      <c r="K229" s="13" t="str">
        <f>IF(OR('实盘净值数据(iFinD）'!$A229="",'实盘净值数据(iFinD）'!$B229="",'实盘净值数据(iFinD）'!$Z229="",'实盘净值数据(iFinD）'!$AA229=""),"",分期持仓明细!$AB$23*(SUMPRODUCT(分期持仓明细!$B$23:$Y$23,'实盘净值数据(iFinD）'!$B229:$Y229/'实盘净值数据(iFinD）'!$B$65:$Y$65)+SUMPRODUCT(分期持仓明细!$AC$23:$AD$23,'实盘净值数据(iFinD）'!$Z229:$AA229/'实盘净值数据(iFinD）'!$Z$65:$AA$65))*(1-实盘持仓初始配置!$Z$7)^(('实盘净值数据(iFinD）'!$A229-'实盘净值数据(iFinD）'!$A$8)/365))</f>
        <v/>
      </c>
      <c r="L229" s="16" t="str">
        <f t="shared" si="21"/>
        <v/>
      </c>
      <c r="M229" s="16" t="str">
        <f>IF(K229="","",K229/MAX(K$5:K229)-1)</f>
        <v/>
      </c>
      <c r="N229" s="13" t="str">
        <f>IF(OR('实盘净值数据(iFinD）'!$A229="",'实盘净值数据(iFinD）'!$B229="",'实盘净值数据(iFinD）'!$Z229="",'实盘净值数据(iFinD）'!$AA229=""),"",分期持仓明细!$AB$24*(SUMPRODUCT(分期持仓明细!$B$24:$Y$24,'实盘净值数据(iFinD）'!$B229:$Y229/'实盘净值数据(iFinD）'!$B$65:$Y$65)+SUMPRODUCT(分期持仓明细!$AC$24:$AD$24,'实盘净值数据(iFinD）'!$Z229:$AA229/'实盘净值数据(iFinD）'!$Z$65:$AA$65))*(1-实盘持仓初始配置!$Z$8)^(('实盘净值数据(iFinD）'!$A229-'实盘净值数据(iFinD）'!$A$5)/365))</f>
        <v/>
      </c>
      <c r="O229" s="16" t="str">
        <f t="shared" si="22"/>
        <v/>
      </c>
      <c r="P229" s="16" t="str">
        <f>IF(N229="","",N229/MAX(N$5:N229)-1)</f>
        <v/>
      </c>
      <c r="Q229" s="13" t="str">
        <f>IF(OR('实盘净值数据(iFinD）'!$A229="",'实盘净值数据(iFinD）'!$B229="",'实盘净值数据(iFinD）'!$Z229="",'实盘净值数据(iFinD）'!$AA229=""),"",分期持仓明细!$AB$25*(SUMPRODUCT(分期持仓明细!$B$25:$Y$25,'实盘净值数据(iFinD）'!$B229:$Y229/'实盘净值数据(iFinD）'!$B$65:$Y$65)+SUMPRODUCT(分期持仓明细!$AC$25:$AD$25,'实盘净值数据(iFinD）'!$Z229:$AA229/'实盘净值数据(iFinD）'!$Z$65:$AA$65))*(1-实盘持仓初始配置!$Z$9)^(('实盘净值数据(iFinD）'!$A229-'实盘净值数据(iFinD）'!$A$8)/365))</f>
        <v/>
      </c>
      <c r="R229" s="16" t="str">
        <f t="shared" si="23"/>
        <v/>
      </c>
      <c r="S229" s="16" t="str">
        <f>IF(Q229="","",Q229/MAX(Q$5:Q229)-1)</f>
        <v/>
      </c>
      <c r="T229" s="13">
        <f>IF(OR('实盘净值数据(iFinD）'!$A229="",'实盘净值数据(iFinD）'!$B229="",'实盘净值数据(iFinD）'!$Z229="",'实盘净值数据(iFinD）'!$AA229="",'实盘净值数据(iFinD）'!$AB229="",'实盘净值数据(iFinD）'!$AL229=""),"",(SUMPRODUCT(分期持仓明细!$B$26:$Y$26,'实盘净值数据(iFinD）'!$B229:$Y229/'实盘净值数据(iFinD）'!$B$69:$Y$69)+SUMPRODUCT(分期持仓明细!$AC$26:$AD$26,'实盘净值数据(iFinD）'!$Z229:$AA229/'实盘净值数据(iFinD）'!$Z$69:$AA$69)+SUMPRODUCT(分期持仓明细!$AE$26:$AO$26,'实盘净值数据(iFinD）'!$AB229:$AL229/'实盘净值数据(iFinD）'!$AB$69:$AL$69))*(1-实盘持仓初始配置!$Z$10)^(('实盘净值数据(iFinD）'!$A229-'实盘净值数据(iFinD）'!$A$69)/365))</f>
        <v/>
      </c>
      <c r="U229" s="16">
        <f>IF(OR(T228="",T229=""),"",T229/T228-1)</f>
        <v/>
      </c>
      <c r="V229" s="16">
        <f>IF(T229="","",T229/MAX(T$5:T229)-1)</f>
        <v/>
      </c>
    </row>
    <row r="230" spans="1:19">
      <c r="A230" s="15" t="str">
        <f>IF('实盘净值数据(iFinD）'!A230="","",'实盘净值数据(iFinD）'!A230)</f>
        <v/>
      </c>
      <c r="B230" s="13" t="str">
        <f>IF(OR('实盘净值数据(iFinD）'!$A230="",'实盘净值数据(iFinD）'!$B230=""),"",分期持仓明细!$AB$17*SUMPRODUCT(分期持仓明细!$B$17:$Y$17,'实盘净值数据(iFinD）'!$B230:$Y230/'实盘净值数据(iFinD）'!$B$20:$Y$20)*(1-实盘持仓初始配置!$Z$4)^(('实盘净值数据(iFinD）'!$A230-'实盘净值数据(iFinD）'!$A$6)/365))</f>
        <v/>
      </c>
      <c r="C230" s="16" t="str">
        <f t="shared" si="18"/>
        <v/>
      </c>
      <c r="D230" s="16" t="str">
        <f>IF(B230="","",B230/MAX(B$5:B230)-1)</f>
        <v/>
      </c>
      <c r="E230" s="13" t="str">
        <f>IF(OR('实盘净值数据(iFinD）'!$A230="",'实盘净值数据(iFinD）'!$B230=""),"",分期持仓明细!$AB$18*SUMPRODUCT(分期持仓明细!$B$18:$Y$18,'实盘净值数据(iFinD）'!$B230:$Y230/'实盘净值数据(iFinD）'!$B$20:$Y$20)*(1-实盘持仓初始配置!$Z$5)^(('实盘净值数据(iFinD）'!$A230-'实盘净值数据(iFinD）'!$A$5)/365))</f>
        <v/>
      </c>
      <c r="F230" s="16" t="str">
        <f t="shared" si="19"/>
        <v/>
      </c>
      <c r="G230" s="16" t="str">
        <f>IF(E230="","",E230/MAX(E$5:E230)-1)</f>
        <v/>
      </c>
      <c r="H230" s="13" t="str">
        <f>IF(OR('实盘净值数据(iFinD）'!$A230="",'实盘净值数据(iFinD）'!$B230=""),"",分期持仓明细!$AB$19*SUMPRODUCT(分期持仓明细!$B$19:$Y$19,'实盘净值数据(iFinD）'!$B230:$Y230/'实盘净值数据(iFinD）'!$B$20:$Y$20)*(1-实盘持仓初始配置!$Z$6)^(('实盘净值数据(iFinD）'!$A230-'实盘净值数据(iFinD）'!$A$7)/365))</f>
        <v/>
      </c>
      <c r="I230" s="16" t="str">
        <f t="shared" si="20"/>
        <v/>
      </c>
      <c r="J230" s="16" t="str">
        <f>IF(H230="","",H230/MAX(H$5:H230)-1)</f>
        <v/>
      </c>
      <c r="K230" s="13" t="str">
        <f>IF(OR('实盘净值数据(iFinD）'!$A230="",'实盘净值数据(iFinD）'!$B230="",'实盘净值数据(iFinD）'!$Z230="",'实盘净值数据(iFinD）'!$AA230=""),"",分期持仓明细!$AB$23*(SUMPRODUCT(分期持仓明细!$B$23:$Y$23,'实盘净值数据(iFinD）'!$B230:$Y230/'实盘净值数据(iFinD）'!$B$65:$Y$65)+SUMPRODUCT(分期持仓明细!$AC$23:$AD$23,'实盘净值数据(iFinD）'!$Z230:$AA230/'实盘净值数据(iFinD）'!$Z$65:$AA$65))*(1-实盘持仓初始配置!$Z$7)^(('实盘净值数据(iFinD）'!$A230-'实盘净值数据(iFinD）'!$A$8)/365))</f>
        <v/>
      </c>
      <c r="L230" s="16" t="str">
        <f t="shared" si="21"/>
        <v/>
      </c>
      <c r="M230" s="16" t="str">
        <f>IF(K230="","",K230/MAX(K$5:K230)-1)</f>
        <v/>
      </c>
      <c r="N230" s="13" t="str">
        <f>IF(OR('实盘净值数据(iFinD）'!$A230="",'实盘净值数据(iFinD）'!$B230="",'实盘净值数据(iFinD）'!$Z230="",'实盘净值数据(iFinD）'!$AA230=""),"",分期持仓明细!$AB$24*(SUMPRODUCT(分期持仓明细!$B$24:$Y$24,'实盘净值数据(iFinD）'!$B230:$Y230/'实盘净值数据(iFinD）'!$B$65:$Y$65)+SUMPRODUCT(分期持仓明细!$AC$24:$AD$24,'实盘净值数据(iFinD）'!$Z230:$AA230/'实盘净值数据(iFinD）'!$Z$65:$AA$65))*(1-实盘持仓初始配置!$Z$8)^(('实盘净值数据(iFinD）'!$A230-'实盘净值数据(iFinD）'!$A$5)/365))</f>
        <v/>
      </c>
      <c r="O230" s="16" t="str">
        <f t="shared" si="22"/>
        <v/>
      </c>
      <c r="P230" s="16" t="str">
        <f>IF(N230="","",N230/MAX(N$5:N230)-1)</f>
        <v/>
      </c>
      <c r="Q230" s="13" t="str">
        <f>IF(OR('实盘净值数据(iFinD）'!$A230="",'实盘净值数据(iFinD）'!$B230="",'实盘净值数据(iFinD）'!$Z230="",'实盘净值数据(iFinD）'!$AA230=""),"",分期持仓明细!$AB$25*(SUMPRODUCT(分期持仓明细!$B$25:$Y$25,'实盘净值数据(iFinD）'!$B230:$Y230/'实盘净值数据(iFinD）'!$B$65:$Y$65)+SUMPRODUCT(分期持仓明细!$AC$25:$AD$25,'实盘净值数据(iFinD）'!$Z230:$AA230/'实盘净值数据(iFinD）'!$Z$65:$AA$65))*(1-实盘持仓初始配置!$Z$9)^(('实盘净值数据(iFinD）'!$A230-'实盘净值数据(iFinD）'!$A$8)/365))</f>
        <v/>
      </c>
      <c r="R230" s="16" t="str">
        <f t="shared" si="23"/>
        <v/>
      </c>
      <c r="S230" s="16" t="str">
        <f>IF(Q230="","",Q230/MAX(Q$5:Q230)-1)</f>
        <v/>
      </c>
      <c r="T230" s="13">
        <f>IF(OR('实盘净值数据(iFinD）'!$A230="",'实盘净值数据(iFinD）'!$B230="",'实盘净值数据(iFinD）'!$Z230="",'实盘净值数据(iFinD）'!$AA230="",'实盘净值数据(iFinD）'!$AB230="",'实盘净值数据(iFinD）'!$AL230=""),"",(SUMPRODUCT(分期持仓明细!$B$26:$Y$26,'实盘净值数据(iFinD）'!$B230:$Y230/'实盘净值数据(iFinD）'!$B$69:$Y$69)+SUMPRODUCT(分期持仓明细!$AC$26:$AD$26,'实盘净值数据(iFinD）'!$Z230:$AA230/'实盘净值数据(iFinD）'!$Z$69:$AA$69)+SUMPRODUCT(分期持仓明细!$AE$26:$AO$26,'实盘净值数据(iFinD）'!$AB230:$AL230/'实盘净值数据(iFinD）'!$AB$69:$AL$69))*(1-实盘持仓初始配置!$Z$10)^(('实盘净值数据(iFinD）'!$A230-'实盘净值数据(iFinD）'!$A$69)/365))</f>
        <v/>
      </c>
      <c r="U230" s="16">
        <f>IF(OR(T229="",T230=""),"",T230/T229-1)</f>
        <v/>
      </c>
      <c r="V230" s="16">
        <f>IF(T230="","",T230/MAX(T$5:T230)-1)</f>
        <v/>
      </c>
    </row>
    <row r="231" spans="1:19">
      <c r="A231" s="15" t="str">
        <f>IF('实盘净值数据(iFinD）'!A231="","",'实盘净值数据(iFinD）'!A231)</f>
        <v/>
      </c>
      <c r="B231" s="13" t="str">
        <f>IF(OR('实盘净值数据(iFinD）'!$A231="",'实盘净值数据(iFinD）'!$B231=""),"",分期持仓明细!$AB$17*SUMPRODUCT(分期持仓明细!$B$17:$Y$17,'实盘净值数据(iFinD）'!$B231:$Y231/'实盘净值数据(iFinD）'!$B$20:$Y$20)*(1-实盘持仓初始配置!$Z$4)^(('实盘净值数据(iFinD）'!$A231-'实盘净值数据(iFinD）'!$A$6)/365))</f>
        <v/>
      </c>
      <c r="C231" s="16" t="str">
        <f t="shared" si="18"/>
        <v/>
      </c>
      <c r="D231" s="16" t="str">
        <f>IF(B231="","",B231/MAX(B$5:B231)-1)</f>
        <v/>
      </c>
      <c r="E231" s="13" t="str">
        <f>IF(OR('实盘净值数据(iFinD）'!$A231="",'实盘净值数据(iFinD）'!$B231=""),"",分期持仓明细!$AB$18*SUMPRODUCT(分期持仓明细!$B$18:$Y$18,'实盘净值数据(iFinD）'!$B231:$Y231/'实盘净值数据(iFinD）'!$B$20:$Y$20)*(1-实盘持仓初始配置!$Z$5)^(('实盘净值数据(iFinD）'!$A231-'实盘净值数据(iFinD）'!$A$5)/365))</f>
        <v/>
      </c>
      <c r="F231" s="16" t="str">
        <f t="shared" si="19"/>
        <v/>
      </c>
      <c r="G231" s="16" t="str">
        <f>IF(E231="","",E231/MAX(E$5:E231)-1)</f>
        <v/>
      </c>
      <c r="H231" s="13" t="str">
        <f>IF(OR('实盘净值数据(iFinD）'!$A231="",'实盘净值数据(iFinD）'!$B231=""),"",分期持仓明细!$AB$19*SUMPRODUCT(分期持仓明细!$B$19:$Y$19,'实盘净值数据(iFinD）'!$B231:$Y231/'实盘净值数据(iFinD）'!$B$20:$Y$20)*(1-实盘持仓初始配置!$Z$6)^(('实盘净值数据(iFinD）'!$A231-'实盘净值数据(iFinD）'!$A$7)/365))</f>
        <v/>
      </c>
      <c r="I231" s="16" t="str">
        <f t="shared" si="20"/>
        <v/>
      </c>
      <c r="J231" s="16" t="str">
        <f>IF(H231="","",H231/MAX(H$5:H231)-1)</f>
        <v/>
      </c>
      <c r="K231" s="13" t="str">
        <f>IF(OR('实盘净值数据(iFinD）'!$A231="",'实盘净值数据(iFinD）'!$B231="",'实盘净值数据(iFinD）'!$Z231="",'实盘净值数据(iFinD）'!$AA231=""),"",分期持仓明细!$AB$23*(SUMPRODUCT(分期持仓明细!$B$23:$Y$23,'实盘净值数据(iFinD）'!$B231:$Y231/'实盘净值数据(iFinD）'!$B$65:$Y$65)+SUMPRODUCT(分期持仓明细!$AC$23:$AD$23,'实盘净值数据(iFinD）'!$Z231:$AA231/'实盘净值数据(iFinD）'!$Z$65:$AA$65))*(1-实盘持仓初始配置!$Z$7)^(('实盘净值数据(iFinD）'!$A231-'实盘净值数据(iFinD）'!$A$8)/365))</f>
        <v/>
      </c>
      <c r="L231" s="16" t="str">
        <f t="shared" si="21"/>
        <v/>
      </c>
      <c r="M231" s="16" t="str">
        <f>IF(K231="","",K231/MAX(K$5:K231)-1)</f>
        <v/>
      </c>
      <c r="N231" s="13" t="str">
        <f>IF(OR('实盘净值数据(iFinD）'!$A231="",'实盘净值数据(iFinD）'!$B231="",'实盘净值数据(iFinD）'!$Z231="",'实盘净值数据(iFinD）'!$AA231=""),"",分期持仓明细!$AB$24*(SUMPRODUCT(分期持仓明细!$B$24:$Y$24,'实盘净值数据(iFinD）'!$B231:$Y231/'实盘净值数据(iFinD）'!$B$65:$Y$65)+SUMPRODUCT(分期持仓明细!$AC$24:$AD$24,'实盘净值数据(iFinD）'!$Z231:$AA231/'实盘净值数据(iFinD）'!$Z$65:$AA$65))*(1-实盘持仓初始配置!$Z$8)^(('实盘净值数据(iFinD）'!$A231-'实盘净值数据(iFinD）'!$A$5)/365))</f>
        <v/>
      </c>
      <c r="O231" s="16" t="str">
        <f t="shared" si="22"/>
        <v/>
      </c>
      <c r="P231" s="16" t="str">
        <f>IF(N231="","",N231/MAX(N$5:N231)-1)</f>
        <v/>
      </c>
      <c r="Q231" s="13" t="str">
        <f>IF(OR('实盘净值数据(iFinD）'!$A231="",'实盘净值数据(iFinD）'!$B231="",'实盘净值数据(iFinD）'!$Z231="",'实盘净值数据(iFinD）'!$AA231=""),"",分期持仓明细!$AB$25*(SUMPRODUCT(分期持仓明细!$B$25:$Y$25,'实盘净值数据(iFinD）'!$B231:$Y231/'实盘净值数据(iFinD）'!$B$65:$Y$65)+SUMPRODUCT(分期持仓明细!$AC$25:$AD$25,'实盘净值数据(iFinD）'!$Z231:$AA231/'实盘净值数据(iFinD）'!$Z$65:$AA$65))*(1-实盘持仓初始配置!$Z$9)^(('实盘净值数据(iFinD）'!$A231-'实盘净值数据(iFinD）'!$A$8)/365))</f>
        <v/>
      </c>
      <c r="R231" s="16" t="str">
        <f t="shared" si="23"/>
        <v/>
      </c>
      <c r="S231" s="16" t="str">
        <f>IF(Q231="","",Q231/MAX(Q$5:Q231)-1)</f>
        <v/>
      </c>
      <c r="T231" s="13">
        <f>IF(OR('实盘净值数据(iFinD）'!$A231="",'实盘净值数据(iFinD）'!$B231="",'实盘净值数据(iFinD）'!$Z231="",'实盘净值数据(iFinD）'!$AA231="",'实盘净值数据(iFinD）'!$AB231="",'实盘净值数据(iFinD）'!$AL231=""),"",(SUMPRODUCT(分期持仓明细!$B$26:$Y$26,'实盘净值数据(iFinD）'!$B231:$Y231/'实盘净值数据(iFinD）'!$B$69:$Y$69)+SUMPRODUCT(分期持仓明细!$AC$26:$AD$26,'实盘净值数据(iFinD）'!$Z231:$AA231/'实盘净值数据(iFinD）'!$Z$69:$AA$69)+SUMPRODUCT(分期持仓明细!$AE$26:$AO$26,'实盘净值数据(iFinD）'!$AB231:$AL231/'实盘净值数据(iFinD）'!$AB$69:$AL$69))*(1-实盘持仓初始配置!$Z$10)^(('实盘净值数据(iFinD）'!$A231-'实盘净值数据(iFinD）'!$A$69)/365))</f>
        <v/>
      </c>
      <c r="U231" s="16">
        <f>IF(OR(T230="",T231=""),"",T231/T230-1)</f>
        <v/>
      </c>
      <c r="V231" s="16">
        <f>IF(T231="","",T231/MAX(T$5:T231)-1)</f>
        <v/>
      </c>
    </row>
    <row r="232" spans="1:19">
      <c r="A232" s="15" t="str">
        <f>IF('实盘净值数据(iFinD）'!A232="","",'实盘净值数据(iFinD）'!A232)</f>
        <v/>
      </c>
      <c r="B232" s="13" t="str">
        <f>IF(OR('实盘净值数据(iFinD）'!$A232="",'实盘净值数据(iFinD）'!$B232=""),"",分期持仓明细!$AB$17*SUMPRODUCT(分期持仓明细!$B$17:$Y$17,'实盘净值数据(iFinD）'!$B232:$Y232/'实盘净值数据(iFinD）'!$B$20:$Y$20)*(1-实盘持仓初始配置!$Z$4)^(('实盘净值数据(iFinD）'!$A232-'实盘净值数据(iFinD）'!$A$6)/365))</f>
        <v/>
      </c>
      <c r="C232" s="16" t="str">
        <f t="shared" si="18"/>
        <v/>
      </c>
      <c r="D232" s="16" t="str">
        <f>IF(B232="","",B232/MAX(B$5:B232)-1)</f>
        <v/>
      </c>
      <c r="E232" s="13" t="str">
        <f>IF(OR('实盘净值数据(iFinD）'!$A232="",'实盘净值数据(iFinD）'!$B232=""),"",分期持仓明细!$AB$18*SUMPRODUCT(分期持仓明细!$B$18:$Y$18,'实盘净值数据(iFinD）'!$B232:$Y232/'实盘净值数据(iFinD）'!$B$20:$Y$20)*(1-实盘持仓初始配置!$Z$5)^(('实盘净值数据(iFinD）'!$A232-'实盘净值数据(iFinD）'!$A$5)/365))</f>
        <v/>
      </c>
      <c r="F232" s="16" t="str">
        <f t="shared" si="19"/>
        <v/>
      </c>
      <c r="G232" s="16" t="str">
        <f>IF(E232="","",E232/MAX(E$5:E232)-1)</f>
        <v/>
      </c>
      <c r="H232" s="13" t="str">
        <f>IF(OR('实盘净值数据(iFinD）'!$A232="",'实盘净值数据(iFinD）'!$B232=""),"",分期持仓明细!$AB$19*SUMPRODUCT(分期持仓明细!$B$19:$Y$19,'实盘净值数据(iFinD）'!$B232:$Y232/'实盘净值数据(iFinD）'!$B$20:$Y$20)*(1-实盘持仓初始配置!$Z$6)^(('实盘净值数据(iFinD）'!$A232-'实盘净值数据(iFinD）'!$A$7)/365))</f>
        <v/>
      </c>
      <c r="I232" s="16" t="str">
        <f t="shared" si="20"/>
        <v/>
      </c>
      <c r="J232" s="16" t="str">
        <f>IF(H232="","",H232/MAX(H$5:H232)-1)</f>
        <v/>
      </c>
      <c r="K232" s="13" t="str">
        <f>IF(OR('实盘净值数据(iFinD）'!$A232="",'实盘净值数据(iFinD）'!$B232="",'实盘净值数据(iFinD）'!$Z232="",'实盘净值数据(iFinD）'!$AA232=""),"",分期持仓明细!$AB$23*(SUMPRODUCT(分期持仓明细!$B$23:$Y$23,'实盘净值数据(iFinD）'!$B232:$Y232/'实盘净值数据(iFinD）'!$B$65:$Y$65)+SUMPRODUCT(分期持仓明细!$AC$23:$AD$23,'实盘净值数据(iFinD）'!$Z232:$AA232/'实盘净值数据(iFinD）'!$Z$65:$AA$65))*(1-实盘持仓初始配置!$Z$7)^(('实盘净值数据(iFinD）'!$A232-'实盘净值数据(iFinD）'!$A$8)/365))</f>
        <v/>
      </c>
      <c r="L232" s="16" t="str">
        <f t="shared" si="21"/>
        <v/>
      </c>
      <c r="M232" s="16" t="str">
        <f>IF(K232="","",K232/MAX(K$5:K232)-1)</f>
        <v/>
      </c>
      <c r="N232" s="13" t="str">
        <f>IF(OR('实盘净值数据(iFinD）'!$A232="",'实盘净值数据(iFinD）'!$B232="",'实盘净值数据(iFinD）'!$Z232="",'实盘净值数据(iFinD）'!$AA232=""),"",分期持仓明细!$AB$24*(SUMPRODUCT(分期持仓明细!$B$24:$Y$24,'实盘净值数据(iFinD）'!$B232:$Y232/'实盘净值数据(iFinD）'!$B$65:$Y$65)+SUMPRODUCT(分期持仓明细!$AC$24:$AD$24,'实盘净值数据(iFinD）'!$Z232:$AA232/'实盘净值数据(iFinD）'!$Z$65:$AA$65))*(1-实盘持仓初始配置!$Z$8)^(('实盘净值数据(iFinD）'!$A232-'实盘净值数据(iFinD）'!$A$5)/365))</f>
        <v/>
      </c>
      <c r="O232" s="16" t="str">
        <f t="shared" si="22"/>
        <v/>
      </c>
      <c r="P232" s="16" t="str">
        <f>IF(N232="","",N232/MAX(N$5:N232)-1)</f>
        <v/>
      </c>
      <c r="Q232" s="13" t="str">
        <f>IF(OR('实盘净值数据(iFinD）'!$A232="",'实盘净值数据(iFinD）'!$B232="",'实盘净值数据(iFinD）'!$Z232="",'实盘净值数据(iFinD）'!$AA232=""),"",分期持仓明细!$AB$25*(SUMPRODUCT(分期持仓明细!$B$25:$Y$25,'实盘净值数据(iFinD）'!$B232:$Y232/'实盘净值数据(iFinD）'!$B$65:$Y$65)+SUMPRODUCT(分期持仓明细!$AC$25:$AD$25,'实盘净值数据(iFinD）'!$Z232:$AA232/'实盘净值数据(iFinD）'!$Z$65:$AA$65))*(1-实盘持仓初始配置!$Z$9)^(('实盘净值数据(iFinD）'!$A232-'实盘净值数据(iFinD）'!$A$8)/365))</f>
        <v/>
      </c>
      <c r="R232" s="16" t="str">
        <f t="shared" si="23"/>
        <v/>
      </c>
      <c r="S232" s="16" t="str">
        <f>IF(Q232="","",Q232/MAX(Q$5:Q232)-1)</f>
        <v/>
      </c>
      <c r="T232" s="13">
        <f>IF(OR('实盘净值数据(iFinD）'!$A232="",'实盘净值数据(iFinD）'!$B232="",'实盘净值数据(iFinD）'!$Z232="",'实盘净值数据(iFinD）'!$AA232="",'实盘净值数据(iFinD）'!$AB232="",'实盘净值数据(iFinD）'!$AL232=""),"",(SUMPRODUCT(分期持仓明细!$B$26:$Y$26,'实盘净值数据(iFinD）'!$B232:$Y232/'实盘净值数据(iFinD）'!$B$69:$Y$69)+SUMPRODUCT(分期持仓明细!$AC$26:$AD$26,'实盘净值数据(iFinD）'!$Z232:$AA232/'实盘净值数据(iFinD）'!$Z$69:$AA$69)+SUMPRODUCT(分期持仓明细!$AE$26:$AO$26,'实盘净值数据(iFinD）'!$AB232:$AL232/'实盘净值数据(iFinD）'!$AB$69:$AL$69))*(1-实盘持仓初始配置!$Z$10)^(('实盘净值数据(iFinD）'!$A232-'实盘净值数据(iFinD）'!$A$69)/365))</f>
        <v/>
      </c>
      <c r="U232" s="16">
        <f>IF(OR(T231="",T232=""),"",T232/T231-1)</f>
        <v/>
      </c>
      <c r="V232" s="16">
        <f>IF(T232="","",T232/MAX(T$5:T232)-1)</f>
        <v/>
      </c>
    </row>
    <row r="233" spans="1:19">
      <c r="A233" s="15" t="str">
        <f>IF('实盘净值数据(iFinD）'!A233="","",'实盘净值数据(iFinD）'!A233)</f>
        <v/>
      </c>
      <c r="B233" s="13" t="str">
        <f>IF(OR('实盘净值数据(iFinD）'!$A233="",'实盘净值数据(iFinD）'!$B233=""),"",分期持仓明细!$AB$17*SUMPRODUCT(分期持仓明细!$B$17:$Y$17,'实盘净值数据(iFinD）'!$B233:$Y233/'实盘净值数据(iFinD）'!$B$20:$Y$20)*(1-实盘持仓初始配置!$Z$4)^(('实盘净值数据(iFinD）'!$A233-'实盘净值数据(iFinD）'!$A$6)/365))</f>
        <v/>
      </c>
      <c r="C233" s="16" t="str">
        <f t="shared" si="18"/>
        <v/>
      </c>
      <c r="D233" s="16" t="str">
        <f>IF(B233="","",B233/MAX(B$5:B233)-1)</f>
        <v/>
      </c>
      <c r="E233" s="13" t="str">
        <f>IF(OR('实盘净值数据(iFinD）'!$A233="",'实盘净值数据(iFinD）'!$B233=""),"",分期持仓明细!$AB$18*SUMPRODUCT(分期持仓明细!$B$18:$Y$18,'实盘净值数据(iFinD）'!$B233:$Y233/'实盘净值数据(iFinD）'!$B$20:$Y$20)*(1-实盘持仓初始配置!$Z$5)^(('实盘净值数据(iFinD）'!$A233-'实盘净值数据(iFinD）'!$A$5)/365))</f>
        <v/>
      </c>
      <c r="F233" s="16" t="str">
        <f t="shared" si="19"/>
        <v/>
      </c>
      <c r="G233" s="16" t="str">
        <f>IF(E233="","",E233/MAX(E$5:E233)-1)</f>
        <v/>
      </c>
      <c r="H233" s="13" t="str">
        <f>IF(OR('实盘净值数据(iFinD）'!$A233="",'实盘净值数据(iFinD）'!$B233=""),"",分期持仓明细!$AB$19*SUMPRODUCT(分期持仓明细!$B$19:$Y$19,'实盘净值数据(iFinD）'!$B233:$Y233/'实盘净值数据(iFinD）'!$B$20:$Y$20)*(1-实盘持仓初始配置!$Z$6)^(('实盘净值数据(iFinD）'!$A233-'实盘净值数据(iFinD）'!$A$7)/365))</f>
        <v/>
      </c>
      <c r="I233" s="16" t="str">
        <f t="shared" si="20"/>
        <v/>
      </c>
      <c r="J233" s="16" t="str">
        <f>IF(H233="","",H233/MAX(H$5:H233)-1)</f>
        <v/>
      </c>
      <c r="K233" s="13" t="str">
        <f>IF(OR('实盘净值数据(iFinD）'!$A233="",'实盘净值数据(iFinD）'!$B233="",'实盘净值数据(iFinD）'!$Z233="",'实盘净值数据(iFinD）'!$AA233=""),"",分期持仓明细!$AB$23*(SUMPRODUCT(分期持仓明细!$B$23:$Y$23,'实盘净值数据(iFinD）'!$B233:$Y233/'实盘净值数据(iFinD）'!$B$65:$Y$65)+SUMPRODUCT(分期持仓明细!$AC$23:$AD$23,'实盘净值数据(iFinD）'!$Z233:$AA233/'实盘净值数据(iFinD）'!$Z$65:$AA$65))*(1-实盘持仓初始配置!$Z$7)^(('实盘净值数据(iFinD）'!$A233-'实盘净值数据(iFinD）'!$A$8)/365))</f>
        <v/>
      </c>
      <c r="L233" s="16" t="str">
        <f t="shared" si="21"/>
        <v/>
      </c>
      <c r="M233" s="16" t="str">
        <f>IF(K233="","",K233/MAX(K$5:K233)-1)</f>
        <v/>
      </c>
      <c r="N233" s="13" t="str">
        <f>IF(OR('实盘净值数据(iFinD）'!$A233="",'实盘净值数据(iFinD）'!$B233="",'实盘净值数据(iFinD）'!$Z233="",'实盘净值数据(iFinD）'!$AA233=""),"",分期持仓明细!$AB$24*(SUMPRODUCT(分期持仓明细!$B$24:$Y$24,'实盘净值数据(iFinD）'!$B233:$Y233/'实盘净值数据(iFinD）'!$B$65:$Y$65)+SUMPRODUCT(分期持仓明细!$AC$24:$AD$24,'实盘净值数据(iFinD）'!$Z233:$AA233/'实盘净值数据(iFinD）'!$Z$65:$AA$65))*(1-实盘持仓初始配置!$Z$8)^(('实盘净值数据(iFinD）'!$A233-'实盘净值数据(iFinD）'!$A$5)/365))</f>
        <v/>
      </c>
      <c r="O233" s="16" t="str">
        <f t="shared" si="22"/>
        <v/>
      </c>
      <c r="P233" s="16" t="str">
        <f>IF(N233="","",N233/MAX(N$5:N233)-1)</f>
        <v/>
      </c>
      <c r="Q233" s="13" t="str">
        <f>IF(OR('实盘净值数据(iFinD）'!$A233="",'实盘净值数据(iFinD）'!$B233="",'实盘净值数据(iFinD）'!$Z233="",'实盘净值数据(iFinD）'!$AA233=""),"",分期持仓明细!$AB$25*(SUMPRODUCT(分期持仓明细!$B$25:$Y$25,'实盘净值数据(iFinD）'!$B233:$Y233/'实盘净值数据(iFinD）'!$B$65:$Y$65)+SUMPRODUCT(分期持仓明细!$AC$25:$AD$25,'实盘净值数据(iFinD）'!$Z233:$AA233/'实盘净值数据(iFinD）'!$Z$65:$AA$65))*(1-实盘持仓初始配置!$Z$9)^(('实盘净值数据(iFinD）'!$A233-'实盘净值数据(iFinD）'!$A$8)/365))</f>
        <v/>
      </c>
      <c r="R233" s="16" t="str">
        <f t="shared" si="23"/>
        <v/>
      </c>
      <c r="S233" s="16" t="str">
        <f>IF(Q233="","",Q233/MAX(Q$5:Q233)-1)</f>
        <v/>
      </c>
      <c r="T233" s="13">
        <f>IF(OR('实盘净值数据(iFinD）'!$A233="",'实盘净值数据(iFinD）'!$B233="",'实盘净值数据(iFinD）'!$Z233="",'实盘净值数据(iFinD）'!$AA233="",'实盘净值数据(iFinD）'!$AB233="",'实盘净值数据(iFinD）'!$AL233=""),"",(SUMPRODUCT(分期持仓明细!$B$26:$Y$26,'实盘净值数据(iFinD）'!$B233:$Y233/'实盘净值数据(iFinD）'!$B$69:$Y$69)+SUMPRODUCT(分期持仓明细!$AC$26:$AD$26,'实盘净值数据(iFinD）'!$Z233:$AA233/'实盘净值数据(iFinD）'!$Z$69:$AA$69)+SUMPRODUCT(分期持仓明细!$AE$26:$AO$26,'实盘净值数据(iFinD）'!$AB233:$AL233/'实盘净值数据(iFinD）'!$AB$69:$AL$69))*(1-实盘持仓初始配置!$Z$10)^(('实盘净值数据(iFinD）'!$A233-'实盘净值数据(iFinD）'!$A$69)/365))</f>
        <v/>
      </c>
      <c r="U233" s="16">
        <f>IF(OR(T232="",T233=""),"",T233/T232-1)</f>
        <v/>
      </c>
      <c r="V233" s="16">
        <f>IF(T233="","",T233/MAX(T$5:T233)-1)</f>
        <v/>
      </c>
    </row>
    <row r="234" spans="1:19">
      <c r="A234" s="15" t="str">
        <f>IF('实盘净值数据(iFinD）'!A234="","",'实盘净值数据(iFinD）'!A234)</f>
        <v/>
      </c>
      <c r="B234" s="13" t="str">
        <f>IF(OR('实盘净值数据(iFinD）'!$A234="",'实盘净值数据(iFinD）'!$B234=""),"",分期持仓明细!$AB$17*SUMPRODUCT(分期持仓明细!$B$17:$Y$17,'实盘净值数据(iFinD）'!$B234:$Y234/'实盘净值数据(iFinD）'!$B$20:$Y$20)*(1-实盘持仓初始配置!$Z$4)^(('实盘净值数据(iFinD）'!$A234-'实盘净值数据(iFinD）'!$A$6)/365))</f>
        <v/>
      </c>
      <c r="C234" s="16" t="str">
        <f t="shared" si="18"/>
        <v/>
      </c>
      <c r="D234" s="16" t="str">
        <f>IF(B234="","",B234/MAX(B$5:B234)-1)</f>
        <v/>
      </c>
      <c r="E234" s="13" t="str">
        <f>IF(OR('实盘净值数据(iFinD）'!$A234="",'实盘净值数据(iFinD）'!$B234=""),"",分期持仓明细!$AB$18*SUMPRODUCT(分期持仓明细!$B$18:$Y$18,'实盘净值数据(iFinD）'!$B234:$Y234/'实盘净值数据(iFinD）'!$B$20:$Y$20)*(1-实盘持仓初始配置!$Z$5)^(('实盘净值数据(iFinD）'!$A234-'实盘净值数据(iFinD）'!$A$5)/365))</f>
        <v/>
      </c>
      <c r="F234" s="16" t="str">
        <f t="shared" si="19"/>
        <v/>
      </c>
      <c r="G234" s="16" t="str">
        <f>IF(E234="","",E234/MAX(E$5:E234)-1)</f>
        <v/>
      </c>
      <c r="H234" s="13" t="str">
        <f>IF(OR('实盘净值数据(iFinD）'!$A234="",'实盘净值数据(iFinD）'!$B234=""),"",分期持仓明细!$AB$19*SUMPRODUCT(分期持仓明细!$B$19:$Y$19,'实盘净值数据(iFinD）'!$B234:$Y234/'实盘净值数据(iFinD）'!$B$20:$Y$20)*(1-实盘持仓初始配置!$Z$6)^(('实盘净值数据(iFinD）'!$A234-'实盘净值数据(iFinD）'!$A$7)/365))</f>
        <v/>
      </c>
      <c r="I234" s="16" t="str">
        <f t="shared" si="20"/>
        <v/>
      </c>
      <c r="J234" s="16" t="str">
        <f>IF(H234="","",H234/MAX(H$5:H234)-1)</f>
        <v/>
      </c>
      <c r="K234" s="13" t="str">
        <f>IF(OR('实盘净值数据(iFinD）'!$A234="",'实盘净值数据(iFinD）'!$B234="",'实盘净值数据(iFinD）'!$Z234="",'实盘净值数据(iFinD）'!$AA234=""),"",分期持仓明细!$AB$23*(SUMPRODUCT(分期持仓明细!$B$23:$Y$23,'实盘净值数据(iFinD）'!$B234:$Y234/'实盘净值数据(iFinD）'!$B$65:$Y$65)+SUMPRODUCT(分期持仓明细!$AC$23:$AD$23,'实盘净值数据(iFinD）'!$Z234:$AA234/'实盘净值数据(iFinD）'!$Z$65:$AA$65))*(1-实盘持仓初始配置!$Z$7)^(('实盘净值数据(iFinD）'!$A234-'实盘净值数据(iFinD）'!$A$8)/365))</f>
        <v/>
      </c>
      <c r="L234" s="16" t="str">
        <f t="shared" si="21"/>
        <v/>
      </c>
      <c r="M234" s="16" t="str">
        <f>IF(K234="","",K234/MAX(K$5:K234)-1)</f>
        <v/>
      </c>
      <c r="N234" s="13" t="str">
        <f>IF(OR('实盘净值数据(iFinD）'!$A234="",'实盘净值数据(iFinD）'!$B234="",'实盘净值数据(iFinD）'!$Z234="",'实盘净值数据(iFinD）'!$AA234=""),"",分期持仓明细!$AB$24*(SUMPRODUCT(分期持仓明细!$B$24:$Y$24,'实盘净值数据(iFinD）'!$B234:$Y234/'实盘净值数据(iFinD）'!$B$65:$Y$65)+SUMPRODUCT(分期持仓明细!$AC$24:$AD$24,'实盘净值数据(iFinD）'!$Z234:$AA234/'实盘净值数据(iFinD）'!$Z$65:$AA$65))*(1-实盘持仓初始配置!$Z$8)^(('实盘净值数据(iFinD）'!$A234-'实盘净值数据(iFinD）'!$A$5)/365))</f>
        <v/>
      </c>
      <c r="O234" s="16" t="str">
        <f t="shared" si="22"/>
        <v/>
      </c>
      <c r="P234" s="16" t="str">
        <f>IF(N234="","",N234/MAX(N$5:N234)-1)</f>
        <v/>
      </c>
      <c r="Q234" s="13" t="str">
        <f>IF(OR('实盘净值数据(iFinD）'!$A234="",'实盘净值数据(iFinD）'!$B234="",'实盘净值数据(iFinD）'!$Z234="",'实盘净值数据(iFinD）'!$AA234=""),"",分期持仓明细!$AB$25*(SUMPRODUCT(分期持仓明细!$B$25:$Y$25,'实盘净值数据(iFinD）'!$B234:$Y234/'实盘净值数据(iFinD）'!$B$65:$Y$65)+SUMPRODUCT(分期持仓明细!$AC$25:$AD$25,'实盘净值数据(iFinD）'!$Z234:$AA234/'实盘净值数据(iFinD）'!$Z$65:$AA$65))*(1-实盘持仓初始配置!$Z$9)^(('实盘净值数据(iFinD）'!$A234-'实盘净值数据(iFinD）'!$A$8)/365))</f>
        <v/>
      </c>
      <c r="R234" s="16" t="str">
        <f t="shared" si="23"/>
        <v/>
      </c>
      <c r="S234" s="16" t="str">
        <f>IF(Q234="","",Q234/MAX(Q$5:Q234)-1)</f>
        <v/>
      </c>
      <c r="T234" s="13">
        <f>IF(OR('实盘净值数据(iFinD）'!$A234="",'实盘净值数据(iFinD）'!$B234="",'实盘净值数据(iFinD）'!$Z234="",'实盘净值数据(iFinD）'!$AA234="",'实盘净值数据(iFinD）'!$AB234="",'实盘净值数据(iFinD）'!$AL234=""),"",(SUMPRODUCT(分期持仓明细!$B$26:$Y$26,'实盘净值数据(iFinD）'!$B234:$Y234/'实盘净值数据(iFinD）'!$B$69:$Y$69)+SUMPRODUCT(分期持仓明细!$AC$26:$AD$26,'实盘净值数据(iFinD）'!$Z234:$AA234/'实盘净值数据(iFinD）'!$Z$69:$AA$69)+SUMPRODUCT(分期持仓明细!$AE$26:$AO$26,'实盘净值数据(iFinD）'!$AB234:$AL234/'实盘净值数据(iFinD）'!$AB$69:$AL$69))*(1-实盘持仓初始配置!$Z$10)^(('实盘净值数据(iFinD）'!$A234-'实盘净值数据(iFinD）'!$A$69)/365))</f>
        <v/>
      </c>
      <c r="U234" s="16">
        <f>IF(OR(T233="",T234=""),"",T234/T233-1)</f>
        <v/>
      </c>
      <c r="V234" s="16">
        <f>IF(T234="","",T234/MAX(T$5:T234)-1)</f>
        <v/>
      </c>
    </row>
    <row r="235" spans="1:19">
      <c r="A235" s="15" t="str">
        <f>IF('实盘净值数据(iFinD）'!A235="","",'实盘净值数据(iFinD）'!A235)</f>
        <v/>
      </c>
      <c r="B235" s="13" t="str">
        <f>IF(OR('实盘净值数据(iFinD）'!$A235="",'实盘净值数据(iFinD）'!$B235=""),"",分期持仓明细!$AB$17*SUMPRODUCT(分期持仓明细!$B$17:$Y$17,'实盘净值数据(iFinD）'!$B235:$Y235/'实盘净值数据(iFinD）'!$B$20:$Y$20)*(1-实盘持仓初始配置!$Z$4)^(('实盘净值数据(iFinD）'!$A235-'实盘净值数据(iFinD）'!$A$6)/365))</f>
        <v/>
      </c>
      <c r="C235" s="16" t="str">
        <f t="shared" si="18"/>
        <v/>
      </c>
      <c r="D235" s="16" t="str">
        <f>IF(B235="","",B235/MAX(B$5:B235)-1)</f>
        <v/>
      </c>
      <c r="E235" s="13" t="str">
        <f>IF(OR('实盘净值数据(iFinD）'!$A235="",'实盘净值数据(iFinD）'!$B235=""),"",分期持仓明细!$AB$18*SUMPRODUCT(分期持仓明细!$B$18:$Y$18,'实盘净值数据(iFinD）'!$B235:$Y235/'实盘净值数据(iFinD）'!$B$20:$Y$20)*(1-实盘持仓初始配置!$Z$5)^(('实盘净值数据(iFinD）'!$A235-'实盘净值数据(iFinD）'!$A$5)/365))</f>
        <v/>
      </c>
      <c r="F235" s="16" t="str">
        <f t="shared" si="19"/>
        <v/>
      </c>
      <c r="G235" s="16" t="str">
        <f>IF(E235="","",E235/MAX(E$5:E235)-1)</f>
        <v/>
      </c>
      <c r="H235" s="13" t="str">
        <f>IF(OR('实盘净值数据(iFinD）'!$A235="",'实盘净值数据(iFinD）'!$B235=""),"",分期持仓明细!$AB$19*SUMPRODUCT(分期持仓明细!$B$19:$Y$19,'实盘净值数据(iFinD）'!$B235:$Y235/'实盘净值数据(iFinD）'!$B$20:$Y$20)*(1-实盘持仓初始配置!$Z$6)^(('实盘净值数据(iFinD）'!$A235-'实盘净值数据(iFinD）'!$A$7)/365))</f>
        <v/>
      </c>
      <c r="I235" s="16" t="str">
        <f t="shared" si="20"/>
        <v/>
      </c>
      <c r="J235" s="16" t="str">
        <f>IF(H235="","",H235/MAX(H$5:H235)-1)</f>
        <v/>
      </c>
      <c r="K235" s="13" t="str">
        <f>IF(OR('实盘净值数据(iFinD）'!$A235="",'实盘净值数据(iFinD）'!$B235="",'实盘净值数据(iFinD）'!$Z235="",'实盘净值数据(iFinD）'!$AA235=""),"",分期持仓明细!$AB$23*(SUMPRODUCT(分期持仓明细!$B$23:$Y$23,'实盘净值数据(iFinD）'!$B235:$Y235/'实盘净值数据(iFinD）'!$B$65:$Y$65)+SUMPRODUCT(分期持仓明细!$AC$23:$AD$23,'实盘净值数据(iFinD）'!$Z235:$AA235/'实盘净值数据(iFinD）'!$Z$65:$AA$65))*(1-实盘持仓初始配置!$Z$7)^(('实盘净值数据(iFinD）'!$A235-'实盘净值数据(iFinD）'!$A$8)/365))</f>
        <v/>
      </c>
      <c r="L235" s="16" t="str">
        <f t="shared" si="21"/>
        <v/>
      </c>
      <c r="M235" s="16" t="str">
        <f>IF(K235="","",K235/MAX(K$5:K235)-1)</f>
        <v/>
      </c>
      <c r="N235" s="13" t="str">
        <f>IF(OR('实盘净值数据(iFinD）'!$A235="",'实盘净值数据(iFinD）'!$B235="",'实盘净值数据(iFinD）'!$Z235="",'实盘净值数据(iFinD）'!$AA235=""),"",分期持仓明细!$AB$24*(SUMPRODUCT(分期持仓明细!$B$24:$Y$24,'实盘净值数据(iFinD）'!$B235:$Y235/'实盘净值数据(iFinD）'!$B$65:$Y$65)+SUMPRODUCT(分期持仓明细!$AC$24:$AD$24,'实盘净值数据(iFinD）'!$Z235:$AA235/'实盘净值数据(iFinD）'!$Z$65:$AA$65))*(1-实盘持仓初始配置!$Z$8)^(('实盘净值数据(iFinD）'!$A235-'实盘净值数据(iFinD）'!$A$5)/365))</f>
        <v/>
      </c>
      <c r="O235" s="16" t="str">
        <f t="shared" si="22"/>
        <v/>
      </c>
      <c r="P235" s="16" t="str">
        <f>IF(N235="","",N235/MAX(N$5:N235)-1)</f>
        <v/>
      </c>
      <c r="Q235" s="13" t="str">
        <f>IF(OR('实盘净值数据(iFinD）'!$A235="",'实盘净值数据(iFinD）'!$B235="",'实盘净值数据(iFinD）'!$Z235="",'实盘净值数据(iFinD）'!$AA235=""),"",分期持仓明细!$AB$25*(SUMPRODUCT(分期持仓明细!$B$25:$Y$25,'实盘净值数据(iFinD）'!$B235:$Y235/'实盘净值数据(iFinD）'!$B$65:$Y$65)+SUMPRODUCT(分期持仓明细!$AC$25:$AD$25,'实盘净值数据(iFinD）'!$Z235:$AA235/'实盘净值数据(iFinD）'!$Z$65:$AA$65))*(1-实盘持仓初始配置!$Z$9)^(('实盘净值数据(iFinD）'!$A235-'实盘净值数据(iFinD）'!$A$8)/365))</f>
        <v/>
      </c>
      <c r="R235" s="16" t="str">
        <f t="shared" si="23"/>
        <v/>
      </c>
      <c r="S235" s="16" t="str">
        <f>IF(Q235="","",Q235/MAX(Q$5:Q235)-1)</f>
        <v/>
      </c>
      <c r="T235" s="13">
        <f>IF(OR('实盘净值数据(iFinD）'!$A235="",'实盘净值数据(iFinD）'!$B235="",'实盘净值数据(iFinD）'!$Z235="",'实盘净值数据(iFinD）'!$AA235="",'实盘净值数据(iFinD）'!$AB235="",'实盘净值数据(iFinD）'!$AL235=""),"",(SUMPRODUCT(分期持仓明细!$B$26:$Y$26,'实盘净值数据(iFinD）'!$B235:$Y235/'实盘净值数据(iFinD）'!$B$69:$Y$69)+SUMPRODUCT(分期持仓明细!$AC$26:$AD$26,'实盘净值数据(iFinD）'!$Z235:$AA235/'实盘净值数据(iFinD）'!$Z$69:$AA$69)+SUMPRODUCT(分期持仓明细!$AE$26:$AO$26,'实盘净值数据(iFinD）'!$AB235:$AL235/'实盘净值数据(iFinD）'!$AB$69:$AL$69))*(1-实盘持仓初始配置!$Z$10)^(('实盘净值数据(iFinD）'!$A235-'实盘净值数据(iFinD）'!$A$69)/365))</f>
        <v/>
      </c>
      <c r="U235" s="16">
        <f>IF(OR(T234="",T235=""),"",T235/T234-1)</f>
        <v/>
      </c>
      <c r="V235" s="16">
        <f>IF(T235="","",T235/MAX(T$5:T235)-1)</f>
        <v/>
      </c>
    </row>
    <row r="236" spans="1:19">
      <c r="A236" s="15" t="str">
        <f>IF('实盘净值数据(iFinD）'!A236="","",'实盘净值数据(iFinD）'!A236)</f>
        <v/>
      </c>
      <c r="B236" s="13" t="str">
        <f>IF(OR('实盘净值数据(iFinD）'!$A236="",'实盘净值数据(iFinD）'!$B236=""),"",分期持仓明细!$AB$17*SUMPRODUCT(分期持仓明细!$B$17:$Y$17,'实盘净值数据(iFinD）'!$B236:$Y236/'实盘净值数据(iFinD）'!$B$20:$Y$20)*(1-实盘持仓初始配置!$Z$4)^(('实盘净值数据(iFinD）'!$A236-'实盘净值数据(iFinD）'!$A$6)/365))</f>
        <v/>
      </c>
      <c r="C236" s="16" t="str">
        <f t="shared" si="18"/>
        <v/>
      </c>
      <c r="D236" s="16" t="str">
        <f>IF(B236="","",B236/MAX(B$5:B236)-1)</f>
        <v/>
      </c>
      <c r="E236" s="13" t="str">
        <f>IF(OR('实盘净值数据(iFinD）'!$A236="",'实盘净值数据(iFinD）'!$B236=""),"",分期持仓明细!$AB$18*SUMPRODUCT(分期持仓明细!$B$18:$Y$18,'实盘净值数据(iFinD）'!$B236:$Y236/'实盘净值数据(iFinD）'!$B$20:$Y$20)*(1-实盘持仓初始配置!$Z$5)^(('实盘净值数据(iFinD）'!$A236-'实盘净值数据(iFinD）'!$A$5)/365))</f>
        <v/>
      </c>
      <c r="F236" s="16" t="str">
        <f t="shared" si="19"/>
        <v/>
      </c>
      <c r="G236" s="16" t="str">
        <f>IF(E236="","",E236/MAX(E$5:E236)-1)</f>
        <v/>
      </c>
      <c r="H236" s="13" t="str">
        <f>IF(OR('实盘净值数据(iFinD）'!$A236="",'实盘净值数据(iFinD）'!$B236=""),"",分期持仓明细!$AB$19*SUMPRODUCT(分期持仓明细!$B$19:$Y$19,'实盘净值数据(iFinD）'!$B236:$Y236/'实盘净值数据(iFinD）'!$B$20:$Y$20)*(1-实盘持仓初始配置!$Z$6)^(('实盘净值数据(iFinD）'!$A236-'实盘净值数据(iFinD）'!$A$7)/365))</f>
        <v/>
      </c>
      <c r="I236" s="16" t="str">
        <f t="shared" si="20"/>
        <v/>
      </c>
      <c r="J236" s="16" t="str">
        <f>IF(H236="","",H236/MAX(H$5:H236)-1)</f>
        <v/>
      </c>
      <c r="K236" s="13" t="str">
        <f>IF(OR('实盘净值数据(iFinD）'!$A236="",'实盘净值数据(iFinD）'!$B236="",'实盘净值数据(iFinD）'!$Z236="",'实盘净值数据(iFinD）'!$AA236=""),"",分期持仓明细!$AB$23*(SUMPRODUCT(分期持仓明细!$B$23:$Y$23,'实盘净值数据(iFinD）'!$B236:$Y236/'实盘净值数据(iFinD）'!$B$65:$Y$65)+SUMPRODUCT(分期持仓明细!$AC$23:$AD$23,'实盘净值数据(iFinD）'!$Z236:$AA236/'实盘净值数据(iFinD）'!$Z$65:$AA$65))*(1-实盘持仓初始配置!$Z$7)^(('实盘净值数据(iFinD）'!$A236-'实盘净值数据(iFinD）'!$A$8)/365))</f>
        <v/>
      </c>
      <c r="L236" s="16" t="str">
        <f t="shared" si="21"/>
        <v/>
      </c>
      <c r="M236" s="16" t="str">
        <f>IF(K236="","",K236/MAX(K$5:K236)-1)</f>
        <v/>
      </c>
      <c r="N236" s="13" t="str">
        <f>IF(OR('实盘净值数据(iFinD）'!$A236="",'实盘净值数据(iFinD）'!$B236="",'实盘净值数据(iFinD）'!$Z236="",'实盘净值数据(iFinD）'!$AA236=""),"",分期持仓明细!$AB$24*(SUMPRODUCT(分期持仓明细!$B$24:$Y$24,'实盘净值数据(iFinD）'!$B236:$Y236/'实盘净值数据(iFinD）'!$B$65:$Y$65)+SUMPRODUCT(分期持仓明细!$AC$24:$AD$24,'实盘净值数据(iFinD）'!$Z236:$AA236/'实盘净值数据(iFinD）'!$Z$65:$AA$65))*(1-实盘持仓初始配置!$Z$8)^(('实盘净值数据(iFinD）'!$A236-'实盘净值数据(iFinD）'!$A$5)/365))</f>
        <v/>
      </c>
      <c r="O236" s="16" t="str">
        <f t="shared" si="22"/>
        <v/>
      </c>
      <c r="P236" s="16" t="str">
        <f>IF(N236="","",N236/MAX(N$5:N236)-1)</f>
        <v/>
      </c>
      <c r="Q236" s="13" t="str">
        <f>IF(OR('实盘净值数据(iFinD）'!$A236="",'实盘净值数据(iFinD）'!$B236="",'实盘净值数据(iFinD）'!$Z236="",'实盘净值数据(iFinD）'!$AA236=""),"",分期持仓明细!$AB$25*(SUMPRODUCT(分期持仓明细!$B$25:$Y$25,'实盘净值数据(iFinD）'!$B236:$Y236/'实盘净值数据(iFinD）'!$B$65:$Y$65)+SUMPRODUCT(分期持仓明细!$AC$25:$AD$25,'实盘净值数据(iFinD）'!$Z236:$AA236/'实盘净值数据(iFinD）'!$Z$65:$AA$65))*(1-实盘持仓初始配置!$Z$9)^(('实盘净值数据(iFinD）'!$A236-'实盘净值数据(iFinD）'!$A$8)/365))</f>
        <v/>
      </c>
      <c r="R236" s="16" t="str">
        <f t="shared" si="23"/>
        <v/>
      </c>
      <c r="S236" s="16" t="str">
        <f>IF(Q236="","",Q236/MAX(Q$5:Q236)-1)</f>
        <v/>
      </c>
      <c r="T236" s="13">
        <f>IF(OR('实盘净值数据(iFinD）'!$A236="",'实盘净值数据(iFinD）'!$B236="",'实盘净值数据(iFinD）'!$Z236="",'实盘净值数据(iFinD）'!$AA236="",'实盘净值数据(iFinD）'!$AB236="",'实盘净值数据(iFinD）'!$AL236=""),"",(SUMPRODUCT(分期持仓明细!$B$26:$Y$26,'实盘净值数据(iFinD）'!$B236:$Y236/'实盘净值数据(iFinD）'!$B$69:$Y$69)+SUMPRODUCT(分期持仓明细!$AC$26:$AD$26,'实盘净值数据(iFinD）'!$Z236:$AA236/'实盘净值数据(iFinD）'!$Z$69:$AA$69)+SUMPRODUCT(分期持仓明细!$AE$26:$AO$26,'实盘净值数据(iFinD）'!$AB236:$AL236/'实盘净值数据(iFinD）'!$AB$69:$AL$69))*(1-实盘持仓初始配置!$Z$10)^(('实盘净值数据(iFinD）'!$A236-'实盘净值数据(iFinD）'!$A$69)/365))</f>
        <v/>
      </c>
      <c r="U236" s="16">
        <f>IF(OR(T235="",T236=""),"",T236/T235-1)</f>
        <v/>
      </c>
      <c r="V236" s="16">
        <f>IF(T236="","",T236/MAX(T$5:T236)-1)</f>
        <v/>
      </c>
    </row>
    <row r="237" spans="1:19">
      <c r="A237" s="15" t="str">
        <f>IF('实盘净值数据(iFinD）'!A237="","",'实盘净值数据(iFinD）'!A237)</f>
        <v/>
      </c>
      <c r="B237" s="13" t="str">
        <f>IF(OR('实盘净值数据(iFinD）'!$A237="",'实盘净值数据(iFinD）'!$B237=""),"",分期持仓明细!$AB$17*SUMPRODUCT(分期持仓明细!$B$17:$Y$17,'实盘净值数据(iFinD）'!$B237:$Y237/'实盘净值数据(iFinD）'!$B$20:$Y$20)*(1-实盘持仓初始配置!$Z$4)^(('实盘净值数据(iFinD）'!$A237-'实盘净值数据(iFinD）'!$A$6)/365))</f>
        <v/>
      </c>
      <c r="C237" s="16" t="str">
        <f t="shared" si="18"/>
        <v/>
      </c>
      <c r="D237" s="16" t="str">
        <f>IF(B237="","",B237/MAX(B$5:B237)-1)</f>
        <v/>
      </c>
      <c r="E237" s="13" t="str">
        <f>IF(OR('实盘净值数据(iFinD）'!$A237="",'实盘净值数据(iFinD）'!$B237=""),"",分期持仓明细!$AB$18*SUMPRODUCT(分期持仓明细!$B$18:$Y$18,'实盘净值数据(iFinD）'!$B237:$Y237/'实盘净值数据(iFinD）'!$B$20:$Y$20)*(1-实盘持仓初始配置!$Z$5)^(('实盘净值数据(iFinD）'!$A237-'实盘净值数据(iFinD）'!$A$5)/365))</f>
        <v/>
      </c>
      <c r="F237" s="16" t="str">
        <f t="shared" si="19"/>
        <v/>
      </c>
      <c r="G237" s="16" t="str">
        <f>IF(E237="","",E237/MAX(E$5:E237)-1)</f>
        <v/>
      </c>
      <c r="H237" s="13" t="str">
        <f>IF(OR('实盘净值数据(iFinD）'!$A237="",'实盘净值数据(iFinD）'!$B237=""),"",分期持仓明细!$AB$19*SUMPRODUCT(分期持仓明细!$B$19:$Y$19,'实盘净值数据(iFinD）'!$B237:$Y237/'实盘净值数据(iFinD）'!$B$20:$Y$20)*(1-实盘持仓初始配置!$Z$6)^(('实盘净值数据(iFinD）'!$A237-'实盘净值数据(iFinD）'!$A$7)/365))</f>
        <v/>
      </c>
      <c r="I237" s="16" t="str">
        <f t="shared" si="20"/>
        <v/>
      </c>
      <c r="J237" s="16" t="str">
        <f>IF(H237="","",H237/MAX(H$5:H237)-1)</f>
        <v/>
      </c>
      <c r="K237" s="13" t="str">
        <f>IF(OR('实盘净值数据(iFinD）'!$A237="",'实盘净值数据(iFinD）'!$B237="",'实盘净值数据(iFinD）'!$Z237="",'实盘净值数据(iFinD）'!$AA237=""),"",分期持仓明细!$AB$23*(SUMPRODUCT(分期持仓明细!$B$23:$Y$23,'实盘净值数据(iFinD）'!$B237:$Y237/'实盘净值数据(iFinD）'!$B$65:$Y$65)+SUMPRODUCT(分期持仓明细!$AC$23:$AD$23,'实盘净值数据(iFinD）'!$Z237:$AA237/'实盘净值数据(iFinD）'!$Z$65:$AA$65))*(1-实盘持仓初始配置!$Z$7)^(('实盘净值数据(iFinD）'!$A237-'实盘净值数据(iFinD）'!$A$8)/365))</f>
        <v/>
      </c>
      <c r="L237" s="16" t="str">
        <f t="shared" si="21"/>
        <v/>
      </c>
      <c r="M237" s="16" t="str">
        <f>IF(K237="","",K237/MAX(K$5:K237)-1)</f>
        <v/>
      </c>
      <c r="N237" s="13" t="str">
        <f>IF(OR('实盘净值数据(iFinD）'!$A237="",'实盘净值数据(iFinD）'!$B237="",'实盘净值数据(iFinD）'!$Z237="",'实盘净值数据(iFinD）'!$AA237=""),"",分期持仓明细!$AB$24*(SUMPRODUCT(分期持仓明细!$B$24:$Y$24,'实盘净值数据(iFinD）'!$B237:$Y237/'实盘净值数据(iFinD）'!$B$65:$Y$65)+SUMPRODUCT(分期持仓明细!$AC$24:$AD$24,'实盘净值数据(iFinD）'!$Z237:$AA237/'实盘净值数据(iFinD）'!$Z$65:$AA$65))*(1-实盘持仓初始配置!$Z$8)^(('实盘净值数据(iFinD）'!$A237-'实盘净值数据(iFinD）'!$A$5)/365))</f>
        <v/>
      </c>
      <c r="O237" s="16" t="str">
        <f t="shared" si="22"/>
        <v/>
      </c>
      <c r="P237" s="16" t="str">
        <f>IF(N237="","",N237/MAX(N$5:N237)-1)</f>
        <v/>
      </c>
      <c r="Q237" s="13" t="str">
        <f>IF(OR('实盘净值数据(iFinD）'!$A237="",'实盘净值数据(iFinD）'!$B237="",'实盘净值数据(iFinD）'!$Z237="",'实盘净值数据(iFinD）'!$AA237=""),"",分期持仓明细!$AB$25*(SUMPRODUCT(分期持仓明细!$B$25:$Y$25,'实盘净值数据(iFinD）'!$B237:$Y237/'实盘净值数据(iFinD）'!$B$65:$Y$65)+SUMPRODUCT(分期持仓明细!$AC$25:$AD$25,'实盘净值数据(iFinD）'!$Z237:$AA237/'实盘净值数据(iFinD）'!$Z$65:$AA$65))*(1-实盘持仓初始配置!$Z$9)^(('实盘净值数据(iFinD）'!$A237-'实盘净值数据(iFinD）'!$A$8)/365))</f>
        <v/>
      </c>
      <c r="R237" s="16" t="str">
        <f t="shared" si="23"/>
        <v/>
      </c>
      <c r="S237" s="16" t="str">
        <f>IF(Q237="","",Q237/MAX(Q$5:Q237)-1)</f>
        <v/>
      </c>
      <c r="T237" s="13">
        <f>IF(OR('实盘净值数据(iFinD）'!$A237="",'实盘净值数据(iFinD）'!$B237="",'实盘净值数据(iFinD）'!$Z237="",'实盘净值数据(iFinD）'!$AA237="",'实盘净值数据(iFinD）'!$AB237="",'实盘净值数据(iFinD）'!$AL237=""),"",(SUMPRODUCT(分期持仓明细!$B$26:$Y$26,'实盘净值数据(iFinD）'!$B237:$Y237/'实盘净值数据(iFinD）'!$B$69:$Y$69)+SUMPRODUCT(分期持仓明细!$AC$26:$AD$26,'实盘净值数据(iFinD）'!$Z237:$AA237/'实盘净值数据(iFinD）'!$Z$69:$AA$69)+SUMPRODUCT(分期持仓明细!$AE$26:$AO$26,'实盘净值数据(iFinD）'!$AB237:$AL237/'实盘净值数据(iFinD）'!$AB$69:$AL$69))*(1-实盘持仓初始配置!$Z$10)^(('实盘净值数据(iFinD）'!$A237-'实盘净值数据(iFinD）'!$A$69)/365))</f>
        <v/>
      </c>
      <c r="U237" s="16">
        <f>IF(OR(T236="",T237=""),"",T237/T236-1)</f>
        <v/>
      </c>
      <c r="V237" s="16">
        <f>IF(T237="","",T237/MAX(T$5:T237)-1)</f>
        <v/>
      </c>
    </row>
    <row r="238" spans="1:19">
      <c r="A238" s="15" t="str">
        <f>IF('实盘净值数据(iFinD）'!A238="","",'实盘净值数据(iFinD）'!A238)</f>
        <v/>
      </c>
      <c r="B238" s="13" t="str">
        <f>IF(OR('实盘净值数据(iFinD）'!$A238="",'实盘净值数据(iFinD）'!$B238=""),"",分期持仓明细!$AB$17*SUMPRODUCT(分期持仓明细!$B$17:$Y$17,'实盘净值数据(iFinD）'!$B238:$Y238/'实盘净值数据(iFinD）'!$B$20:$Y$20)*(1-实盘持仓初始配置!$Z$4)^(('实盘净值数据(iFinD）'!$A238-'实盘净值数据(iFinD）'!$A$6)/365))</f>
        <v/>
      </c>
      <c r="C238" s="16" t="str">
        <f t="shared" si="18"/>
        <v/>
      </c>
      <c r="D238" s="16" t="str">
        <f>IF(B238="","",B238/MAX(B$5:B238)-1)</f>
        <v/>
      </c>
      <c r="E238" s="13" t="str">
        <f>IF(OR('实盘净值数据(iFinD）'!$A238="",'实盘净值数据(iFinD）'!$B238=""),"",分期持仓明细!$AB$18*SUMPRODUCT(分期持仓明细!$B$18:$Y$18,'实盘净值数据(iFinD）'!$B238:$Y238/'实盘净值数据(iFinD）'!$B$20:$Y$20)*(1-实盘持仓初始配置!$Z$5)^(('实盘净值数据(iFinD）'!$A238-'实盘净值数据(iFinD）'!$A$5)/365))</f>
        <v/>
      </c>
      <c r="F238" s="16" t="str">
        <f t="shared" si="19"/>
        <v/>
      </c>
      <c r="G238" s="16" t="str">
        <f>IF(E238="","",E238/MAX(E$5:E238)-1)</f>
        <v/>
      </c>
      <c r="H238" s="13" t="str">
        <f>IF(OR('实盘净值数据(iFinD）'!$A238="",'实盘净值数据(iFinD）'!$B238=""),"",分期持仓明细!$AB$19*SUMPRODUCT(分期持仓明细!$B$19:$Y$19,'实盘净值数据(iFinD）'!$B238:$Y238/'实盘净值数据(iFinD）'!$B$20:$Y$20)*(1-实盘持仓初始配置!$Z$6)^(('实盘净值数据(iFinD）'!$A238-'实盘净值数据(iFinD）'!$A$7)/365))</f>
        <v/>
      </c>
      <c r="I238" s="16" t="str">
        <f t="shared" si="20"/>
        <v/>
      </c>
      <c r="J238" s="16" t="str">
        <f>IF(H238="","",H238/MAX(H$5:H238)-1)</f>
        <v/>
      </c>
      <c r="K238" s="13" t="str">
        <f>IF(OR('实盘净值数据(iFinD）'!$A238="",'实盘净值数据(iFinD）'!$B238="",'实盘净值数据(iFinD）'!$Z238="",'实盘净值数据(iFinD）'!$AA238=""),"",分期持仓明细!$AB$23*(SUMPRODUCT(分期持仓明细!$B$23:$Y$23,'实盘净值数据(iFinD）'!$B238:$Y238/'实盘净值数据(iFinD）'!$B$65:$Y$65)+SUMPRODUCT(分期持仓明细!$AC$23:$AD$23,'实盘净值数据(iFinD）'!$Z238:$AA238/'实盘净值数据(iFinD）'!$Z$65:$AA$65))*(1-实盘持仓初始配置!$Z$7)^(('实盘净值数据(iFinD）'!$A238-'实盘净值数据(iFinD）'!$A$8)/365))</f>
        <v/>
      </c>
      <c r="L238" s="16" t="str">
        <f t="shared" si="21"/>
        <v/>
      </c>
      <c r="M238" s="16" t="str">
        <f>IF(K238="","",K238/MAX(K$5:K238)-1)</f>
        <v/>
      </c>
      <c r="N238" s="13" t="str">
        <f>IF(OR('实盘净值数据(iFinD）'!$A238="",'实盘净值数据(iFinD）'!$B238="",'实盘净值数据(iFinD）'!$Z238="",'实盘净值数据(iFinD）'!$AA238=""),"",分期持仓明细!$AB$24*(SUMPRODUCT(分期持仓明细!$B$24:$Y$24,'实盘净值数据(iFinD）'!$B238:$Y238/'实盘净值数据(iFinD）'!$B$65:$Y$65)+SUMPRODUCT(分期持仓明细!$AC$24:$AD$24,'实盘净值数据(iFinD）'!$Z238:$AA238/'实盘净值数据(iFinD）'!$Z$65:$AA$65))*(1-实盘持仓初始配置!$Z$8)^(('实盘净值数据(iFinD）'!$A238-'实盘净值数据(iFinD）'!$A$5)/365))</f>
        <v/>
      </c>
      <c r="O238" s="16" t="str">
        <f t="shared" si="22"/>
        <v/>
      </c>
      <c r="P238" s="16" t="str">
        <f>IF(N238="","",N238/MAX(N$5:N238)-1)</f>
        <v/>
      </c>
      <c r="Q238" s="13" t="str">
        <f>IF(OR('实盘净值数据(iFinD）'!$A238="",'实盘净值数据(iFinD）'!$B238="",'实盘净值数据(iFinD）'!$Z238="",'实盘净值数据(iFinD）'!$AA238=""),"",分期持仓明细!$AB$25*(SUMPRODUCT(分期持仓明细!$B$25:$Y$25,'实盘净值数据(iFinD）'!$B238:$Y238/'实盘净值数据(iFinD）'!$B$65:$Y$65)+SUMPRODUCT(分期持仓明细!$AC$25:$AD$25,'实盘净值数据(iFinD）'!$Z238:$AA238/'实盘净值数据(iFinD）'!$Z$65:$AA$65))*(1-实盘持仓初始配置!$Z$9)^(('实盘净值数据(iFinD）'!$A238-'实盘净值数据(iFinD）'!$A$8)/365))</f>
        <v/>
      </c>
      <c r="R238" s="16" t="str">
        <f t="shared" si="23"/>
        <v/>
      </c>
      <c r="S238" s="16" t="str">
        <f>IF(Q238="","",Q238/MAX(Q$5:Q238)-1)</f>
        <v/>
      </c>
      <c r="T238" s="13">
        <f>IF(OR('实盘净值数据(iFinD）'!$A238="",'实盘净值数据(iFinD）'!$B238="",'实盘净值数据(iFinD）'!$Z238="",'实盘净值数据(iFinD）'!$AA238="",'实盘净值数据(iFinD）'!$AB238="",'实盘净值数据(iFinD）'!$AL238=""),"",(SUMPRODUCT(分期持仓明细!$B$26:$Y$26,'实盘净值数据(iFinD）'!$B238:$Y238/'实盘净值数据(iFinD）'!$B$69:$Y$69)+SUMPRODUCT(分期持仓明细!$AC$26:$AD$26,'实盘净值数据(iFinD）'!$Z238:$AA238/'实盘净值数据(iFinD）'!$Z$69:$AA$69)+SUMPRODUCT(分期持仓明细!$AE$26:$AO$26,'实盘净值数据(iFinD）'!$AB238:$AL238/'实盘净值数据(iFinD）'!$AB$69:$AL$69))*(1-实盘持仓初始配置!$Z$10)^(('实盘净值数据(iFinD）'!$A238-'实盘净值数据(iFinD）'!$A$69)/365))</f>
        <v/>
      </c>
      <c r="U238" s="16">
        <f>IF(OR(T237="",T238=""),"",T238/T237-1)</f>
        <v/>
      </c>
      <c r="V238" s="16">
        <f>IF(T238="","",T238/MAX(T$5:T238)-1)</f>
        <v/>
      </c>
    </row>
    <row r="239" spans="1:19">
      <c r="A239" s="15" t="str">
        <f>IF('实盘净值数据(iFinD）'!A239="","",'实盘净值数据(iFinD）'!A239)</f>
        <v/>
      </c>
      <c r="B239" s="13" t="str">
        <f>IF(OR('实盘净值数据(iFinD）'!$A239="",'实盘净值数据(iFinD）'!$B239=""),"",分期持仓明细!$AB$17*SUMPRODUCT(分期持仓明细!$B$17:$Y$17,'实盘净值数据(iFinD）'!$B239:$Y239/'实盘净值数据(iFinD）'!$B$20:$Y$20)*(1-实盘持仓初始配置!$Z$4)^(('实盘净值数据(iFinD）'!$A239-'实盘净值数据(iFinD）'!$A$6)/365))</f>
        <v/>
      </c>
      <c r="C239" s="16" t="str">
        <f t="shared" si="18"/>
        <v/>
      </c>
      <c r="D239" s="16" t="str">
        <f>IF(B239="","",B239/MAX(B$5:B239)-1)</f>
        <v/>
      </c>
      <c r="E239" s="13" t="str">
        <f>IF(OR('实盘净值数据(iFinD）'!$A239="",'实盘净值数据(iFinD）'!$B239=""),"",分期持仓明细!$AB$18*SUMPRODUCT(分期持仓明细!$B$18:$Y$18,'实盘净值数据(iFinD）'!$B239:$Y239/'实盘净值数据(iFinD）'!$B$20:$Y$20)*(1-实盘持仓初始配置!$Z$5)^(('实盘净值数据(iFinD）'!$A239-'实盘净值数据(iFinD）'!$A$5)/365))</f>
        <v/>
      </c>
      <c r="F239" s="16" t="str">
        <f t="shared" si="19"/>
        <v/>
      </c>
      <c r="G239" s="16" t="str">
        <f>IF(E239="","",E239/MAX(E$5:E239)-1)</f>
        <v/>
      </c>
      <c r="H239" s="13" t="str">
        <f>IF(OR('实盘净值数据(iFinD）'!$A239="",'实盘净值数据(iFinD）'!$B239=""),"",分期持仓明细!$AB$19*SUMPRODUCT(分期持仓明细!$B$19:$Y$19,'实盘净值数据(iFinD）'!$B239:$Y239/'实盘净值数据(iFinD）'!$B$20:$Y$20)*(1-实盘持仓初始配置!$Z$6)^(('实盘净值数据(iFinD）'!$A239-'实盘净值数据(iFinD）'!$A$7)/365))</f>
        <v/>
      </c>
      <c r="I239" s="16" t="str">
        <f t="shared" si="20"/>
        <v/>
      </c>
      <c r="J239" s="16" t="str">
        <f>IF(H239="","",H239/MAX(H$5:H239)-1)</f>
        <v/>
      </c>
      <c r="K239" s="13" t="str">
        <f>IF(OR('实盘净值数据(iFinD）'!$A239="",'实盘净值数据(iFinD）'!$B239="",'实盘净值数据(iFinD）'!$Z239="",'实盘净值数据(iFinD）'!$AA239=""),"",分期持仓明细!$AB$23*(SUMPRODUCT(分期持仓明细!$B$23:$Y$23,'实盘净值数据(iFinD）'!$B239:$Y239/'实盘净值数据(iFinD）'!$B$65:$Y$65)+SUMPRODUCT(分期持仓明细!$AC$23:$AD$23,'实盘净值数据(iFinD）'!$Z239:$AA239/'实盘净值数据(iFinD）'!$Z$65:$AA$65))*(1-实盘持仓初始配置!$Z$7)^(('实盘净值数据(iFinD）'!$A239-'实盘净值数据(iFinD）'!$A$8)/365))</f>
        <v/>
      </c>
      <c r="L239" s="16" t="str">
        <f t="shared" si="21"/>
        <v/>
      </c>
      <c r="M239" s="16" t="str">
        <f>IF(K239="","",K239/MAX(K$5:K239)-1)</f>
        <v/>
      </c>
      <c r="N239" s="13" t="str">
        <f>IF(OR('实盘净值数据(iFinD）'!$A239="",'实盘净值数据(iFinD）'!$B239="",'实盘净值数据(iFinD）'!$Z239="",'实盘净值数据(iFinD）'!$AA239=""),"",分期持仓明细!$AB$24*(SUMPRODUCT(分期持仓明细!$B$24:$Y$24,'实盘净值数据(iFinD）'!$B239:$Y239/'实盘净值数据(iFinD）'!$B$65:$Y$65)+SUMPRODUCT(分期持仓明细!$AC$24:$AD$24,'实盘净值数据(iFinD）'!$Z239:$AA239/'实盘净值数据(iFinD）'!$Z$65:$AA$65))*(1-实盘持仓初始配置!$Z$8)^(('实盘净值数据(iFinD）'!$A239-'实盘净值数据(iFinD）'!$A$5)/365))</f>
        <v/>
      </c>
      <c r="O239" s="16" t="str">
        <f t="shared" si="22"/>
        <v/>
      </c>
      <c r="P239" s="16" t="str">
        <f>IF(N239="","",N239/MAX(N$5:N239)-1)</f>
        <v/>
      </c>
      <c r="Q239" s="13" t="str">
        <f>IF(OR('实盘净值数据(iFinD）'!$A239="",'实盘净值数据(iFinD）'!$B239="",'实盘净值数据(iFinD）'!$Z239="",'实盘净值数据(iFinD）'!$AA239=""),"",分期持仓明细!$AB$25*(SUMPRODUCT(分期持仓明细!$B$25:$Y$25,'实盘净值数据(iFinD）'!$B239:$Y239/'实盘净值数据(iFinD）'!$B$65:$Y$65)+SUMPRODUCT(分期持仓明细!$AC$25:$AD$25,'实盘净值数据(iFinD）'!$Z239:$AA239/'实盘净值数据(iFinD）'!$Z$65:$AA$65))*(1-实盘持仓初始配置!$Z$9)^(('实盘净值数据(iFinD）'!$A239-'实盘净值数据(iFinD）'!$A$8)/365))</f>
        <v/>
      </c>
      <c r="R239" s="16" t="str">
        <f t="shared" si="23"/>
        <v/>
      </c>
      <c r="S239" s="16" t="str">
        <f>IF(Q239="","",Q239/MAX(Q$5:Q239)-1)</f>
        <v/>
      </c>
      <c r="T239" s="13">
        <f>IF(OR('实盘净值数据(iFinD）'!$A239="",'实盘净值数据(iFinD）'!$B239="",'实盘净值数据(iFinD）'!$Z239="",'实盘净值数据(iFinD）'!$AA239="",'实盘净值数据(iFinD）'!$AB239="",'实盘净值数据(iFinD）'!$AL239=""),"",(SUMPRODUCT(分期持仓明细!$B$26:$Y$26,'实盘净值数据(iFinD）'!$B239:$Y239/'实盘净值数据(iFinD）'!$B$69:$Y$69)+SUMPRODUCT(分期持仓明细!$AC$26:$AD$26,'实盘净值数据(iFinD）'!$Z239:$AA239/'实盘净值数据(iFinD）'!$Z$69:$AA$69)+SUMPRODUCT(分期持仓明细!$AE$26:$AO$26,'实盘净值数据(iFinD）'!$AB239:$AL239/'实盘净值数据(iFinD）'!$AB$69:$AL$69))*(1-实盘持仓初始配置!$Z$10)^(('实盘净值数据(iFinD）'!$A239-'实盘净值数据(iFinD）'!$A$69)/365))</f>
        <v/>
      </c>
      <c r="U239" s="16">
        <f>IF(OR(T238="",T239=""),"",T239/T238-1)</f>
        <v/>
      </c>
      <c r="V239" s="16">
        <f>IF(T239="","",T239/MAX(T$5:T239)-1)</f>
        <v/>
      </c>
    </row>
    <row r="240" spans="1:19">
      <c r="A240" s="15" t="str">
        <f>IF('实盘净值数据(iFinD）'!A240="","",'实盘净值数据(iFinD）'!A240)</f>
        <v/>
      </c>
      <c r="B240" s="13" t="str">
        <f>IF(OR('实盘净值数据(iFinD）'!$A240="",'实盘净值数据(iFinD）'!$B240=""),"",分期持仓明细!$AB$17*SUMPRODUCT(分期持仓明细!$B$17:$Y$17,'实盘净值数据(iFinD）'!$B240:$Y240/'实盘净值数据(iFinD）'!$B$20:$Y$20)*(1-实盘持仓初始配置!$Z$4)^(('实盘净值数据(iFinD）'!$A240-'实盘净值数据(iFinD）'!$A$6)/365))</f>
        <v/>
      </c>
      <c r="C240" s="16" t="str">
        <f t="shared" si="18"/>
        <v/>
      </c>
      <c r="D240" s="16" t="str">
        <f>IF(B240="","",B240/MAX(B$5:B240)-1)</f>
        <v/>
      </c>
      <c r="E240" s="13" t="str">
        <f>IF(OR('实盘净值数据(iFinD）'!$A240="",'实盘净值数据(iFinD）'!$B240=""),"",分期持仓明细!$AB$18*SUMPRODUCT(分期持仓明细!$B$18:$Y$18,'实盘净值数据(iFinD）'!$B240:$Y240/'实盘净值数据(iFinD）'!$B$20:$Y$20)*(1-实盘持仓初始配置!$Z$5)^(('实盘净值数据(iFinD）'!$A240-'实盘净值数据(iFinD）'!$A$5)/365))</f>
        <v/>
      </c>
      <c r="F240" s="16" t="str">
        <f t="shared" si="19"/>
        <v/>
      </c>
      <c r="G240" s="16" t="str">
        <f>IF(E240="","",E240/MAX(E$5:E240)-1)</f>
        <v/>
      </c>
      <c r="H240" s="13" t="str">
        <f>IF(OR('实盘净值数据(iFinD）'!$A240="",'实盘净值数据(iFinD）'!$B240=""),"",分期持仓明细!$AB$19*SUMPRODUCT(分期持仓明细!$B$19:$Y$19,'实盘净值数据(iFinD）'!$B240:$Y240/'实盘净值数据(iFinD）'!$B$20:$Y$20)*(1-实盘持仓初始配置!$Z$6)^(('实盘净值数据(iFinD）'!$A240-'实盘净值数据(iFinD）'!$A$7)/365))</f>
        <v/>
      </c>
      <c r="I240" s="16" t="str">
        <f t="shared" si="20"/>
        <v/>
      </c>
      <c r="J240" s="16" t="str">
        <f>IF(H240="","",H240/MAX(H$5:H240)-1)</f>
        <v/>
      </c>
      <c r="K240" s="13" t="str">
        <f>IF(OR('实盘净值数据(iFinD）'!$A240="",'实盘净值数据(iFinD）'!$B240="",'实盘净值数据(iFinD）'!$Z240="",'实盘净值数据(iFinD）'!$AA240=""),"",分期持仓明细!$AB$23*(SUMPRODUCT(分期持仓明细!$B$23:$Y$23,'实盘净值数据(iFinD）'!$B240:$Y240/'实盘净值数据(iFinD）'!$B$65:$Y$65)+SUMPRODUCT(分期持仓明细!$AC$23:$AD$23,'实盘净值数据(iFinD）'!$Z240:$AA240/'实盘净值数据(iFinD）'!$Z$65:$AA$65))*(1-实盘持仓初始配置!$Z$7)^(('实盘净值数据(iFinD）'!$A240-'实盘净值数据(iFinD）'!$A$8)/365))</f>
        <v/>
      </c>
      <c r="L240" s="16" t="str">
        <f t="shared" si="21"/>
        <v/>
      </c>
      <c r="M240" s="16" t="str">
        <f>IF(K240="","",K240/MAX(K$5:K240)-1)</f>
        <v/>
      </c>
      <c r="N240" s="13" t="str">
        <f>IF(OR('实盘净值数据(iFinD）'!$A240="",'实盘净值数据(iFinD）'!$B240="",'实盘净值数据(iFinD）'!$Z240="",'实盘净值数据(iFinD）'!$AA240=""),"",分期持仓明细!$AB$24*(SUMPRODUCT(分期持仓明细!$B$24:$Y$24,'实盘净值数据(iFinD）'!$B240:$Y240/'实盘净值数据(iFinD）'!$B$65:$Y$65)+SUMPRODUCT(分期持仓明细!$AC$24:$AD$24,'实盘净值数据(iFinD）'!$Z240:$AA240/'实盘净值数据(iFinD）'!$Z$65:$AA$65))*(1-实盘持仓初始配置!$Z$8)^(('实盘净值数据(iFinD）'!$A240-'实盘净值数据(iFinD）'!$A$5)/365))</f>
        <v/>
      </c>
      <c r="O240" s="16" t="str">
        <f t="shared" si="22"/>
        <v/>
      </c>
      <c r="P240" s="16" t="str">
        <f>IF(N240="","",N240/MAX(N$5:N240)-1)</f>
        <v/>
      </c>
      <c r="Q240" s="13" t="str">
        <f>IF(OR('实盘净值数据(iFinD）'!$A240="",'实盘净值数据(iFinD）'!$B240="",'实盘净值数据(iFinD）'!$Z240="",'实盘净值数据(iFinD）'!$AA240=""),"",分期持仓明细!$AB$25*(SUMPRODUCT(分期持仓明细!$B$25:$Y$25,'实盘净值数据(iFinD）'!$B240:$Y240/'实盘净值数据(iFinD）'!$B$65:$Y$65)+SUMPRODUCT(分期持仓明细!$AC$25:$AD$25,'实盘净值数据(iFinD）'!$Z240:$AA240/'实盘净值数据(iFinD）'!$Z$65:$AA$65))*(1-实盘持仓初始配置!$Z$9)^(('实盘净值数据(iFinD）'!$A240-'实盘净值数据(iFinD）'!$A$8)/365))</f>
        <v/>
      </c>
      <c r="R240" s="16" t="str">
        <f t="shared" si="23"/>
        <v/>
      </c>
      <c r="S240" s="16" t="str">
        <f>IF(Q240="","",Q240/MAX(Q$5:Q240)-1)</f>
        <v/>
      </c>
      <c r="T240" s="13">
        <f>IF(OR('实盘净值数据(iFinD）'!$A240="",'实盘净值数据(iFinD）'!$B240="",'实盘净值数据(iFinD）'!$Z240="",'实盘净值数据(iFinD）'!$AA240="",'实盘净值数据(iFinD）'!$AB240="",'实盘净值数据(iFinD）'!$AL240=""),"",(SUMPRODUCT(分期持仓明细!$B$26:$Y$26,'实盘净值数据(iFinD）'!$B240:$Y240/'实盘净值数据(iFinD）'!$B$69:$Y$69)+SUMPRODUCT(分期持仓明细!$AC$26:$AD$26,'实盘净值数据(iFinD）'!$Z240:$AA240/'实盘净值数据(iFinD）'!$Z$69:$AA$69)+SUMPRODUCT(分期持仓明细!$AE$26:$AO$26,'实盘净值数据(iFinD）'!$AB240:$AL240/'实盘净值数据(iFinD）'!$AB$69:$AL$69))*(1-实盘持仓初始配置!$Z$10)^(('实盘净值数据(iFinD）'!$A240-'实盘净值数据(iFinD）'!$A$69)/365))</f>
        <v/>
      </c>
      <c r="U240" s="16">
        <f>IF(OR(T239="",T240=""),"",T240/T239-1)</f>
        <v/>
      </c>
      <c r="V240" s="16">
        <f>IF(T240="","",T240/MAX(T$5:T240)-1)</f>
        <v/>
      </c>
    </row>
    <row r="241" spans="1:19">
      <c r="A241" s="15" t="str">
        <f>IF('实盘净值数据(iFinD）'!A241="","",'实盘净值数据(iFinD）'!A241)</f>
        <v/>
      </c>
      <c r="B241" s="13" t="str">
        <f>IF(OR('实盘净值数据(iFinD）'!$A241="",'实盘净值数据(iFinD）'!$B241=""),"",分期持仓明细!$AB$17*SUMPRODUCT(分期持仓明细!$B$17:$Y$17,'实盘净值数据(iFinD）'!$B241:$Y241/'实盘净值数据(iFinD）'!$B$20:$Y$20)*(1-实盘持仓初始配置!$Z$4)^(('实盘净值数据(iFinD）'!$A241-'实盘净值数据(iFinD）'!$A$6)/365))</f>
        <v/>
      </c>
      <c r="C241" s="16" t="str">
        <f t="shared" si="18"/>
        <v/>
      </c>
      <c r="D241" s="16" t="str">
        <f>IF(B241="","",B241/MAX(B$5:B241)-1)</f>
        <v/>
      </c>
      <c r="E241" s="13" t="str">
        <f>IF(OR('实盘净值数据(iFinD）'!$A241="",'实盘净值数据(iFinD）'!$B241=""),"",分期持仓明细!$AB$18*SUMPRODUCT(分期持仓明细!$B$18:$Y$18,'实盘净值数据(iFinD）'!$B241:$Y241/'实盘净值数据(iFinD）'!$B$20:$Y$20)*(1-实盘持仓初始配置!$Z$5)^(('实盘净值数据(iFinD）'!$A241-'实盘净值数据(iFinD）'!$A$5)/365))</f>
        <v/>
      </c>
      <c r="F241" s="16" t="str">
        <f t="shared" si="19"/>
        <v/>
      </c>
      <c r="G241" s="16" t="str">
        <f>IF(E241="","",E241/MAX(E$5:E241)-1)</f>
        <v/>
      </c>
      <c r="H241" s="13" t="str">
        <f>IF(OR('实盘净值数据(iFinD）'!$A241="",'实盘净值数据(iFinD）'!$B241=""),"",分期持仓明细!$AB$19*SUMPRODUCT(分期持仓明细!$B$19:$Y$19,'实盘净值数据(iFinD）'!$B241:$Y241/'实盘净值数据(iFinD）'!$B$20:$Y$20)*(1-实盘持仓初始配置!$Z$6)^(('实盘净值数据(iFinD）'!$A241-'实盘净值数据(iFinD）'!$A$7)/365))</f>
        <v/>
      </c>
      <c r="I241" s="16" t="str">
        <f t="shared" si="20"/>
        <v/>
      </c>
      <c r="J241" s="16" t="str">
        <f>IF(H241="","",H241/MAX(H$5:H241)-1)</f>
        <v/>
      </c>
      <c r="K241" s="13" t="str">
        <f>IF(OR('实盘净值数据(iFinD）'!$A241="",'实盘净值数据(iFinD）'!$B241="",'实盘净值数据(iFinD）'!$Z241="",'实盘净值数据(iFinD）'!$AA241=""),"",分期持仓明细!$AB$23*(SUMPRODUCT(分期持仓明细!$B$23:$Y$23,'实盘净值数据(iFinD）'!$B241:$Y241/'实盘净值数据(iFinD）'!$B$65:$Y$65)+SUMPRODUCT(分期持仓明细!$AC$23:$AD$23,'实盘净值数据(iFinD）'!$Z241:$AA241/'实盘净值数据(iFinD）'!$Z$65:$AA$65))*(1-实盘持仓初始配置!$Z$7)^(('实盘净值数据(iFinD）'!$A241-'实盘净值数据(iFinD）'!$A$8)/365))</f>
        <v/>
      </c>
      <c r="L241" s="16" t="str">
        <f t="shared" si="21"/>
        <v/>
      </c>
      <c r="M241" s="16" t="str">
        <f>IF(K241="","",K241/MAX(K$5:K241)-1)</f>
        <v/>
      </c>
      <c r="N241" s="13" t="str">
        <f>IF(OR('实盘净值数据(iFinD）'!$A241="",'实盘净值数据(iFinD）'!$B241="",'实盘净值数据(iFinD）'!$Z241="",'实盘净值数据(iFinD）'!$AA241=""),"",分期持仓明细!$AB$24*(SUMPRODUCT(分期持仓明细!$B$24:$Y$24,'实盘净值数据(iFinD）'!$B241:$Y241/'实盘净值数据(iFinD）'!$B$65:$Y$65)+SUMPRODUCT(分期持仓明细!$AC$24:$AD$24,'实盘净值数据(iFinD）'!$Z241:$AA241/'实盘净值数据(iFinD）'!$Z$65:$AA$65))*(1-实盘持仓初始配置!$Z$8)^(('实盘净值数据(iFinD）'!$A241-'实盘净值数据(iFinD）'!$A$5)/365))</f>
        <v/>
      </c>
      <c r="O241" s="16" t="str">
        <f t="shared" si="22"/>
        <v/>
      </c>
      <c r="P241" s="16" t="str">
        <f>IF(N241="","",N241/MAX(N$5:N241)-1)</f>
        <v/>
      </c>
      <c r="Q241" s="13" t="str">
        <f>IF(OR('实盘净值数据(iFinD）'!$A241="",'实盘净值数据(iFinD）'!$B241="",'实盘净值数据(iFinD）'!$Z241="",'实盘净值数据(iFinD）'!$AA241=""),"",分期持仓明细!$AB$25*(SUMPRODUCT(分期持仓明细!$B$25:$Y$25,'实盘净值数据(iFinD）'!$B241:$Y241/'实盘净值数据(iFinD）'!$B$65:$Y$65)+SUMPRODUCT(分期持仓明细!$AC$25:$AD$25,'实盘净值数据(iFinD）'!$Z241:$AA241/'实盘净值数据(iFinD）'!$Z$65:$AA$65))*(1-实盘持仓初始配置!$Z$9)^(('实盘净值数据(iFinD）'!$A241-'实盘净值数据(iFinD）'!$A$8)/365))</f>
        <v/>
      </c>
      <c r="R241" s="16" t="str">
        <f t="shared" si="23"/>
        <v/>
      </c>
      <c r="S241" s="16" t="str">
        <f>IF(Q241="","",Q241/MAX(Q$5:Q241)-1)</f>
        <v/>
      </c>
      <c r="T241" s="13">
        <f>IF(OR('实盘净值数据(iFinD）'!$A241="",'实盘净值数据(iFinD）'!$B241="",'实盘净值数据(iFinD）'!$Z241="",'实盘净值数据(iFinD）'!$AA241="",'实盘净值数据(iFinD）'!$AB241="",'实盘净值数据(iFinD）'!$AL241=""),"",(SUMPRODUCT(分期持仓明细!$B$26:$Y$26,'实盘净值数据(iFinD）'!$B241:$Y241/'实盘净值数据(iFinD）'!$B$69:$Y$69)+SUMPRODUCT(分期持仓明细!$AC$26:$AD$26,'实盘净值数据(iFinD）'!$Z241:$AA241/'实盘净值数据(iFinD）'!$Z$69:$AA$69)+SUMPRODUCT(分期持仓明细!$AE$26:$AO$26,'实盘净值数据(iFinD）'!$AB241:$AL241/'实盘净值数据(iFinD）'!$AB$69:$AL$69))*(1-实盘持仓初始配置!$Z$10)^(('实盘净值数据(iFinD）'!$A241-'实盘净值数据(iFinD）'!$A$69)/365))</f>
        <v/>
      </c>
      <c r="U241" s="16">
        <f>IF(OR(T240="",T241=""),"",T241/T240-1)</f>
        <v/>
      </c>
      <c r="V241" s="16">
        <f>IF(T241="","",T241/MAX(T$5:T241)-1)</f>
        <v/>
      </c>
    </row>
    <row r="242" spans="1:19">
      <c r="A242" s="15" t="str">
        <f>IF('实盘净值数据(iFinD）'!A242="","",'实盘净值数据(iFinD）'!A242)</f>
        <v/>
      </c>
      <c r="B242" s="13" t="str">
        <f>IF(OR('实盘净值数据(iFinD）'!$A242="",'实盘净值数据(iFinD）'!$B242=""),"",分期持仓明细!$AB$17*SUMPRODUCT(分期持仓明细!$B$17:$Y$17,'实盘净值数据(iFinD）'!$B242:$Y242/'实盘净值数据(iFinD）'!$B$20:$Y$20)*(1-实盘持仓初始配置!$Z$4)^(('实盘净值数据(iFinD）'!$A242-'实盘净值数据(iFinD）'!$A$6)/365))</f>
        <v/>
      </c>
      <c r="C242" s="16" t="str">
        <f t="shared" si="18"/>
        <v/>
      </c>
      <c r="D242" s="16" t="str">
        <f>IF(B242="","",B242/MAX(B$5:B242)-1)</f>
        <v/>
      </c>
      <c r="E242" s="13" t="str">
        <f>IF(OR('实盘净值数据(iFinD）'!$A242="",'实盘净值数据(iFinD）'!$B242=""),"",分期持仓明细!$AB$18*SUMPRODUCT(分期持仓明细!$B$18:$Y$18,'实盘净值数据(iFinD）'!$B242:$Y242/'实盘净值数据(iFinD）'!$B$20:$Y$20)*(1-实盘持仓初始配置!$Z$5)^(('实盘净值数据(iFinD）'!$A242-'实盘净值数据(iFinD）'!$A$5)/365))</f>
        <v/>
      </c>
      <c r="F242" s="16" t="str">
        <f t="shared" si="19"/>
        <v/>
      </c>
      <c r="G242" s="16" t="str">
        <f>IF(E242="","",E242/MAX(E$5:E242)-1)</f>
        <v/>
      </c>
      <c r="H242" s="13" t="str">
        <f>IF(OR('实盘净值数据(iFinD）'!$A242="",'实盘净值数据(iFinD）'!$B242=""),"",分期持仓明细!$AB$19*SUMPRODUCT(分期持仓明细!$B$19:$Y$19,'实盘净值数据(iFinD）'!$B242:$Y242/'实盘净值数据(iFinD）'!$B$20:$Y$20)*(1-实盘持仓初始配置!$Z$6)^(('实盘净值数据(iFinD）'!$A242-'实盘净值数据(iFinD）'!$A$7)/365))</f>
        <v/>
      </c>
      <c r="I242" s="16" t="str">
        <f t="shared" si="20"/>
        <v/>
      </c>
      <c r="J242" s="16" t="str">
        <f>IF(H242="","",H242/MAX(H$5:H242)-1)</f>
        <v/>
      </c>
      <c r="K242" s="13" t="str">
        <f>IF(OR('实盘净值数据(iFinD）'!$A242="",'实盘净值数据(iFinD）'!$B242="",'实盘净值数据(iFinD）'!$Z242="",'实盘净值数据(iFinD）'!$AA242=""),"",分期持仓明细!$AB$23*(SUMPRODUCT(分期持仓明细!$B$23:$Y$23,'实盘净值数据(iFinD）'!$B242:$Y242/'实盘净值数据(iFinD）'!$B$65:$Y$65)+SUMPRODUCT(分期持仓明细!$AC$23:$AD$23,'实盘净值数据(iFinD）'!$Z242:$AA242/'实盘净值数据(iFinD）'!$Z$65:$AA$65))*(1-实盘持仓初始配置!$Z$7)^(('实盘净值数据(iFinD）'!$A242-'实盘净值数据(iFinD）'!$A$8)/365))</f>
        <v/>
      </c>
      <c r="L242" s="16" t="str">
        <f t="shared" si="21"/>
        <v/>
      </c>
      <c r="M242" s="16" t="str">
        <f>IF(K242="","",K242/MAX(K$5:K242)-1)</f>
        <v/>
      </c>
      <c r="N242" s="13" t="str">
        <f>IF(OR('实盘净值数据(iFinD）'!$A242="",'实盘净值数据(iFinD）'!$B242="",'实盘净值数据(iFinD）'!$Z242="",'实盘净值数据(iFinD）'!$AA242=""),"",分期持仓明细!$AB$24*(SUMPRODUCT(分期持仓明细!$B$24:$Y$24,'实盘净值数据(iFinD）'!$B242:$Y242/'实盘净值数据(iFinD）'!$B$65:$Y$65)+SUMPRODUCT(分期持仓明细!$AC$24:$AD$24,'实盘净值数据(iFinD）'!$Z242:$AA242/'实盘净值数据(iFinD）'!$Z$65:$AA$65))*(1-实盘持仓初始配置!$Z$8)^(('实盘净值数据(iFinD）'!$A242-'实盘净值数据(iFinD）'!$A$5)/365))</f>
        <v/>
      </c>
      <c r="O242" s="16" t="str">
        <f t="shared" si="22"/>
        <v/>
      </c>
      <c r="P242" s="16" t="str">
        <f>IF(N242="","",N242/MAX(N$5:N242)-1)</f>
        <v/>
      </c>
      <c r="Q242" s="13" t="str">
        <f>IF(OR('实盘净值数据(iFinD）'!$A242="",'实盘净值数据(iFinD）'!$B242="",'实盘净值数据(iFinD）'!$Z242="",'实盘净值数据(iFinD）'!$AA242=""),"",分期持仓明细!$AB$25*(SUMPRODUCT(分期持仓明细!$B$25:$Y$25,'实盘净值数据(iFinD）'!$B242:$Y242/'实盘净值数据(iFinD）'!$B$65:$Y$65)+SUMPRODUCT(分期持仓明细!$AC$25:$AD$25,'实盘净值数据(iFinD）'!$Z242:$AA242/'实盘净值数据(iFinD）'!$Z$65:$AA$65))*(1-实盘持仓初始配置!$Z$9)^(('实盘净值数据(iFinD）'!$A242-'实盘净值数据(iFinD）'!$A$8)/365))</f>
        <v/>
      </c>
      <c r="R242" s="16" t="str">
        <f t="shared" si="23"/>
        <v/>
      </c>
      <c r="S242" s="16" t="str">
        <f>IF(Q242="","",Q242/MAX(Q$5:Q242)-1)</f>
        <v/>
      </c>
      <c r="T242" s="13">
        <f>IF(OR('实盘净值数据(iFinD）'!$A242="",'实盘净值数据(iFinD）'!$B242="",'实盘净值数据(iFinD）'!$Z242="",'实盘净值数据(iFinD）'!$AA242="",'实盘净值数据(iFinD）'!$AB242="",'实盘净值数据(iFinD）'!$AL242=""),"",(SUMPRODUCT(分期持仓明细!$B$26:$Y$26,'实盘净值数据(iFinD）'!$B242:$Y242/'实盘净值数据(iFinD）'!$B$69:$Y$69)+SUMPRODUCT(分期持仓明细!$AC$26:$AD$26,'实盘净值数据(iFinD）'!$Z242:$AA242/'实盘净值数据(iFinD）'!$Z$69:$AA$69)+SUMPRODUCT(分期持仓明细!$AE$26:$AO$26,'实盘净值数据(iFinD）'!$AB242:$AL242/'实盘净值数据(iFinD）'!$AB$69:$AL$69))*(1-实盘持仓初始配置!$Z$10)^(('实盘净值数据(iFinD）'!$A242-'实盘净值数据(iFinD）'!$A$69)/365))</f>
        <v/>
      </c>
      <c r="U242" s="16">
        <f>IF(OR(T241="",T242=""),"",T242/T241-1)</f>
        <v/>
      </c>
      <c r="V242" s="16">
        <f>IF(T242="","",T242/MAX(T$5:T242)-1)</f>
        <v/>
      </c>
    </row>
    <row r="243" spans="1:19">
      <c r="A243" s="15" t="str">
        <f>IF('实盘净值数据(iFinD）'!A243="","",'实盘净值数据(iFinD）'!A243)</f>
        <v/>
      </c>
      <c r="B243" s="13" t="str">
        <f>IF(OR('实盘净值数据(iFinD）'!$A243="",'实盘净值数据(iFinD）'!$B243=""),"",分期持仓明细!$AB$17*SUMPRODUCT(分期持仓明细!$B$17:$Y$17,'实盘净值数据(iFinD）'!$B243:$Y243/'实盘净值数据(iFinD）'!$B$20:$Y$20)*(1-实盘持仓初始配置!$Z$4)^(('实盘净值数据(iFinD）'!$A243-'实盘净值数据(iFinD）'!$A$6)/365))</f>
        <v/>
      </c>
      <c r="C243" s="16" t="str">
        <f t="shared" si="18"/>
        <v/>
      </c>
      <c r="D243" s="16" t="str">
        <f>IF(B243="","",B243/MAX(B$5:B243)-1)</f>
        <v/>
      </c>
      <c r="E243" s="13" t="str">
        <f>IF(OR('实盘净值数据(iFinD）'!$A243="",'实盘净值数据(iFinD）'!$B243=""),"",分期持仓明细!$AB$18*SUMPRODUCT(分期持仓明细!$B$18:$Y$18,'实盘净值数据(iFinD）'!$B243:$Y243/'实盘净值数据(iFinD）'!$B$20:$Y$20)*(1-实盘持仓初始配置!$Z$5)^(('实盘净值数据(iFinD）'!$A243-'实盘净值数据(iFinD）'!$A$5)/365))</f>
        <v/>
      </c>
      <c r="F243" s="16" t="str">
        <f t="shared" si="19"/>
        <v/>
      </c>
      <c r="G243" s="16" t="str">
        <f>IF(E243="","",E243/MAX(E$5:E243)-1)</f>
        <v/>
      </c>
      <c r="H243" s="13" t="str">
        <f>IF(OR('实盘净值数据(iFinD）'!$A243="",'实盘净值数据(iFinD）'!$B243=""),"",分期持仓明细!$AB$19*SUMPRODUCT(分期持仓明细!$B$19:$Y$19,'实盘净值数据(iFinD）'!$B243:$Y243/'实盘净值数据(iFinD）'!$B$20:$Y$20)*(1-实盘持仓初始配置!$Z$6)^(('实盘净值数据(iFinD）'!$A243-'实盘净值数据(iFinD）'!$A$7)/365))</f>
        <v/>
      </c>
      <c r="I243" s="16" t="str">
        <f t="shared" si="20"/>
        <v/>
      </c>
      <c r="J243" s="16" t="str">
        <f>IF(H243="","",H243/MAX(H$5:H243)-1)</f>
        <v/>
      </c>
      <c r="K243" s="13" t="str">
        <f>IF(OR('实盘净值数据(iFinD）'!$A243="",'实盘净值数据(iFinD）'!$B243="",'实盘净值数据(iFinD）'!$Z243="",'实盘净值数据(iFinD）'!$AA243=""),"",分期持仓明细!$AB$23*(SUMPRODUCT(分期持仓明细!$B$23:$Y$23,'实盘净值数据(iFinD）'!$B243:$Y243/'实盘净值数据(iFinD）'!$B$65:$Y$65)+SUMPRODUCT(分期持仓明细!$AC$23:$AD$23,'实盘净值数据(iFinD）'!$Z243:$AA243/'实盘净值数据(iFinD）'!$Z$65:$AA$65))*(1-实盘持仓初始配置!$Z$7)^(('实盘净值数据(iFinD）'!$A243-'实盘净值数据(iFinD）'!$A$8)/365))</f>
        <v/>
      </c>
      <c r="L243" s="16" t="str">
        <f t="shared" si="21"/>
        <v/>
      </c>
      <c r="M243" s="16" t="str">
        <f>IF(K243="","",K243/MAX(K$5:K243)-1)</f>
        <v/>
      </c>
      <c r="N243" s="13" t="str">
        <f>IF(OR('实盘净值数据(iFinD）'!$A243="",'实盘净值数据(iFinD）'!$B243="",'实盘净值数据(iFinD）'!$Z243="",'实盘净值数据(iFinD）'!$AA243=""),"",分期持仓明细!$AB$24*(SUMPRODUCT(分期持仓明细!$B$24:$Y$24,'实盘净值数据(iFinD）'!$B243:$Y243/'实盘净值数据(iFinD）'!$B$65:$Y$65)+SUMPRODUCT(分期持仓明细!$AC$24:$AD$24,'实盘净值数据(iFinD）'!$Z243:$AA243/'实盘净值数据(iFinD）'!$Z$65:$AA$65))*(1-实盘持仓初始配置!$Z$8)^(('实盘净值数据(iFinD）'!$A243-'实盘净值数据(iFinD）'!$A$5)/365))</f>
        <v/>
      </c>
      <c r="O243" s="16" t="str">
        <f t="shared" si="22"/>
        <v/>
      </c>
      <c r="P243" s="16" t="str">
        <f>IF(N243="","",N243/MAX(N$5:N243)-1)</f>
        <v/>
      </c>
      <c r="Q243" s="13" t="str">
        <f>IF(OR('实盘净值数据(iFinD）'!$A243="",'实盘净值数据(iFinD）'!$B243="",'实盘净值数据(iFinD）'!$Z243="",'实盘净值数据(iFinD）'!$AA243=""),"",分期持仓明细!$AB$25*(SUMPRODUCT(分期持仓明细!$B$25:$Y$25,'实盘净值数据(iFinD）'!$B243:$Y243/'实盘净值数据(iFinD）'!$B$65:$Y$65)+SUMPRODUCT(分期持仓明细!$AC$25:$AD$25,'实盘净值数据(iFinD）'!$Z243:$AA243/'实盘净值数据(iFinD）'!$Z$65:$AA$65))*(1-实盘持仓初始配置!$Z$9)^(('实盘净值数据(iFinD）'!$A243-'实盘净值数据(iFinD）'!$A$8)/365))</f>
        <v/>
      </c>
      <c r="R243" s="16" t="str">
        <f t="shared" si="23"/>
        <v/>
      </c>
      <c r="S243" s="16" t="str">
        <f>IF(Q243="","",Q243/MAX(Q$5:Q243)-1)</f>
        <v/>
      </c>
      <c r="T243" s="13">
        <f>IF(OR('实盘净值数据(iFinD）'!$A243="",'实盘净值数据(iFinD）'!$B243="",'实盘净值数据(iFinD）'!$Z243="",'实盘净值数据(iFinD）'!$AA243="",'实盘净值数据(iFinD）'!$AB243="",'实盘净值数据(iFinD）'!$AL243=""),"",(SUMPRODUCT(分期持仓明细!$B$26:$Y$26,'实盘净值数据(iFinD）'!$B243:$Y243/'实盘净值数据(iFinD）'!$B$69:$Y$69)+SUMPRODUCT(分期持仓明细!$AC$26:$AD$26,'实盘净值数据(iFinD）'!$Z243:$AA243/'实盘净值数据(iFinD）'!$Z$69:$AA$69)+SUMPRODUCT(分期持仓明细!$AE$26:$AO$26,'实盘净值数据(iFinD）'!$AB243:$AL243/'实盘净值数据(iFinD）'!$AB$69:$AL$69))*(1-实盘持仓初始配置!$Z$10)^(('实盘净值数据(iFinD）'!$A243-'实盘净值数据(iFinD）'!$A$69)/365))</f>
        <v/>
      </c>
      <c r="U243" s="16">
        <f>IF(OR(T242="",T243=""),"",T243/T242-1)</f>
        <v/>
      </c>
      <c r="V243" s="16">
        <f>IF(T243="","",T243/MAX(T$5:T243)-1)</f>
        <v/>
      </c>
    </row>
    <row r="244" spans="1:19">
      <c r="A244" s="15" t="str">
        <f>IF('实盘净值数据(iFinD）'!A244="","",'实盘净值数据(iFinD）'!A244)</f>
        <v/>
      </c>
      <c r="B244" s="13" t="str">
        <f>IF(OR('实盘净值数据(iFinD）'!$A244="",'实盘净值数据(iFinD）'!$B244=""),"",分期持仓明细!$AB$17*SUMPRODUCT(分期持仓明细!$B$17:$Y$17,'实盘净值数据(iFinD）'!$B244:$Y244/'实盘净值数据(iFinD）'!$B$20:$Y$20)*(1-实盘持仓初始配置!$Z$4)^(('实盘净值数据(iFinD）'!$A244-'实盘净值数据(iFinD）'!$A$6)/365))</f>
        <v/>
      </c>
      <c r="C244" s="16" t="str">
        <f t="shared" si="18"/>
        <v/>
      </c>
      <c r="D244" s="16" t="str">
        <f>IF(B244="","",B244/MAX(B$5:B244)-1)</f>
        <v/>
      </c>
      <c r="E244" s="13" t="str">
        <f>IF(OR('实盘净值数据(iFinD）'!$A244="",'实盘净值数据(iFinD）'!$B244=""),"",分期持仓明细!$AB$18*SUMPRODUCT(分期持仓明细!$B$18:$Y$18,'实盘净值数据(iFinD）'!$B244:$Y244/'实盘净值数据(iFinD）'!$B$20:$Y$20)*(1-实盘持仓初始配置!$Z$5)^(('实盘净值数据(iFinD）'!$A244-'实盘净值数据(iFinD）'!$A$5)/365))</f>
        <v/>
      </c>
      <c r="F244" s="16" t="str">
        <f t="shared" si="19"/>
        <v/>
      </c>
      <c r="G244" s="16" t="str">
        <f>IF(E244="","",E244/MAX(E$5:E244)-1)</f>
        <v/>
      </c>
      <c r="H244" s="13" t="str">
        <f>IF(OR('实盘净值数据(iFinD）'!$A244="",'实盘净值数据(iFinD）'!$B244=""),"",分期持仓明细!$AB$19*SUMPRODUCT(分期持仓明细!$B$19:$Y$19,'实盘净值数据(iFinD）'!$B244:$Y244/'实盘净值数据(iFinD）'!$B$20:$Y$20)*(1-实盘持仓初始配置!$Z$6)^(('实盘净值数据(iFinD）'!$A244-'实盘净值数据(iFinD）'!$A$7)/365))</f>
        <v/>
      </c>
      <c r="I244" s="16" t="str">
        <f t="shared" si="20"/>
        <v/>
      </c>
      <c r="J244" s="16" t="str">
        <f>IF(H244="","",H244/MAX(H$5:H244)-1)</f>
        <v/>
      </c>
      <c r="K244" s="13" t="str">
        <f>IF(OR('实盘净值数据(iFinD）'!$A244="",'实盘净值数据(iFinD）'!$B244="",'实盘净值数据(iFinD）'!$Z244="",'实盘净值数据(iFinD）'!$AA244=""),"",分期持仓明细!$AB$23*(SUMPRODUCT(分期持仓明细!$B$23:$Y$23,'实盘净值数据(iFinD）'!$B244:$Y244/'实盘净值数据(iFinD）'!$B$65:$Y$65)+SUMPRODUCT(分期持仓明细!$AC$23:$AD$23,'实盘净值数据(iFinD）'!$Z244:$AA244/'实盘净值数据(iFinD）'!$Z$65:$AA$65))*(1-实盘持仓初始配置!$Z$7)^(('实盘净值数据(iFinD）'!$A244-'实盘净值数据(iFinD）'!$A$8)/365))</f>
        <v/>
      </c>
      <c r="L244" s="16" t="str">
        <f t="shared" si="21"/>
        <v/>
      </c>
      <c r="M244" s="16" t="str">
        <f>IF(K244="","",K244/MAX(K$5:K244)-1)</f>
        <v/>
      </c>
      <c r="N244" s="13" t="str">
        <f>IF(OR('实盘净值数据(iFinD）'!$A244="",'实盘净值数据(iFinD）'!$B244="",'实盘净值数据(iFinD）'!$Z244="",'实盘净值数据(iFinD）'!$AA244=""),"",分期持仓明细!$AB$24*(SUMPRODUCT(分期持仓明细!$B$24:$Y$24,'实盘净值数据(iFinD）'!$B244:$Y244/'实盘净值数据(iFinD）'!$B$65:$Y$65)+SUMPRODUCT(分期持仓明细!$AC$24:$AD$24,'实盘净值数据(iFinD）'!$Z244:$AA244/'实盘净值数据(iFinD）'!$Z$65:$AA$65))*(1-实盘持仓初始配置!$Z$8)^(('实盘净值数据(iFinD）'!$A244-'实盘净值数据(iFinD）'!$A$5)/365))</f>
        <v/>
      </c>
      <c r="O244" s="16" t="str">
        <f t="shared" si="22"/>
        <v/>
      </c>
      <c r="P244" s="16" t="str">
        <f>IF(N244="","",N244/MAX(N$5:N244)-1)</f>
        <v/>
      </c>
      <c r="Q244" s="13" t="str">
        <f>IF(OR('实盘净值数据(iFinD）'!$A244="",'实盘净值数据(iFinD）'!$B244="",'实盘净值数据(iFinD）'!$Z244="",'实盘净值数据(iFinD）'!$AA244=""),"",分期持仓明细!$AB$25*(SUMPRODUCT(分期持仓明细!$B$25:$Y$25,'实盘净值数据(iFinD）'!$B244:$Y244/'实盘净值数据(iFinD）'!$B$65:$Y$65)+SUMPRODUCT(分期持仓明细!$AC$25:$AD$25,'实盘净值数据(iFinD）'!$Z244:$AA244/'实盘净值数据(iFinD）'!$Z$65:$AA$65))*(1-实盘持仓初始配置!$Z$9)^(('实盘净值数据(iFinD）'!$A244-'实盘净值数据(iFinD）'!$A$8)/365))</f>
        <v/>
      </c>
      <c r="R244" s="16" t="str">
        <f t="shared" si="23"/>
        <v/>
      </c>
      <c r="S244" s="16" t="str">
        <f>IF(Q244="","",Q244/MAX(Q$5:Q244)-1)</f>
        <v/>
      </c>
      <c r="T244" s="13">
        <f>IF(OR('实盘净值数据(iFinD）'!$A244="",'实盘净值数据(iFinD）'!$B244="",'实盘净值数据(iFinD）'!$Z244="",'实盘净值数据(iFinD）'!$AA244="",'实盘净值数据(iFinD）'!$AB244="",'实盘净值数据(iFinD）'!$AL244=""),"",(SUMPRODUCT(分期持仓明细!$B$26:$Y$26,'实盘净值数据(iFinD）'!$B244:$Y244/'实盘净值数据(iFinD）'!$B$69:$Y$69)+SUMPRODUCT(分期持仓明细!$AC$26:$AD$26,'实盘净值数据(iFinD）'!$Z244:$AA244/'实盘净值数据(iFinD）'!$Z$69:$AA$69)+SUMPRODUCT(分期持仓明细!$AE$26:$AO$26,'实盘净值数据(iFinD）'!$AB244:$AL244/'实盘净值数据(iFinD）'!$AB$69:$AL$69))*(1-实盘持仓初始配置!$Z$10)^(('实盘净值数据(iFinD）'!$A244-'实盘净值数据(iFinD）'!$A$69)/365))</f>
        <v/>
      </c>
      <c r="U244" s="16">
        <f>IF(OR(T243="",T244=""),"",T244/T243-1)</f>
        <v/>
      </c>
      <c r="V244" s="16">
        <f>IF(T244="","",T244/MAX(T$5:T244)-1)</f>
        <v/>
      </c>
    </row>
    <row r="245" spans="1:19">
      <c r="A245" s="15" t="str">
        <f>IF('实盘净值数据(iFinD）'!A245="","",'实盘净值数据(iFinD）'!A245)</f>
        <v/>
      </c>
      <c r="B245" s="13" t="str">
        <f>IF(OR('实盘净值数据(iFinD）'!$A245="",'实盘净值数据(iFinD）'!$B245=""),"",分期持仓明细!$AB$17*SUMPRODUCT(分期持仓明细!$B$17:$Y$17,'实盘净值数据(iFinD）'!$B245:$Y245/'实盘净值数据(iFinD）'!$B$20:$Y$20)*(1-实盘持仓初始配置!$Z$4)^(('实盘净值数据(iFinD）'!$A245-'实盘净值数据(iFinD）'!$A$6)/365))</f>
        <v/>
      </c>
      <c r="C245" s="16" t="str">
        <f t="shared" si="18"/>
        <v/>
      </c>
      <c r="D245" s="16" t="str">
        <f>IF(B245="","",B245/MAX(B$5:B245)-1)</f>
        <v/>
      </c>
      <c r="E245" s="13" t="str">
        <f>IF(OR('实盘净值数据(iFinD）'!$A245="",'实盘净值数据(iFinD）'!$B245=""),"",分期持仓明细!$AB$18*SUMPRODUCT(分期持仓明细!$B$18:$Y$18,'实盘净值数据(iFinD）'!$B245:$Y245/'实盘净值数据(iFinD）'!$B$20:$Y$20)*(1-实盘持仓初始配置!$Z$5)^(('实盘净值数据(iFinD）'!$A245-'实盘净值数据(iFinD）'!$A$5)/365))</f>
        <v/>
      </c>
      <c r="F245" s="16" t="str">
        <f t="shared" si="19"/>
        <v/>
      </c>
      <c r="G245" s="16" t="str">
        <f>IF(E245="","",E245/MAX(E$5:E245)-1)</f>
        <v/>
      </c>
      <c r="H245" s="13" t="str">
        <f>IF(OR('实盘净值数据(iFinD）'!$A245="",'实盘净值数据(iFinD）'!$B245=""),"",分期持仓明细!$AB$19*SUMPRODUCT(分期持仓明细!$B$19:$Y$19,'实盘净值数据(iFinD）'!$B245:$Y245/'实盘净值数据(iFinD）'!$B$20:$Y$20)*(1-实盘持仓初始配置!$Z$6)^(('实盘净值数据(iFinD）'!$A245-'实盘净值数据(iFinD）'!$A$7)/365))</f>
        <v/>
      </c>
      <c r="I245" s="16" t="str">
        <f t="shared" si="20"/>
        <v/>
      </c>
      <c r="J245" s="16" t="str">
        <f>IF(H245="","",H245/MAX(H$5:H245)-1)</f>
        <v/>
      </c>
      <c r="K245" s="13" t="str">
        <f>IF(OR('实盘净值数据(iFinD）'!$A245="",'实盘净值数据(iFinD）'!$B245="",'实盘净值数据(iFinD）'!$Z245="",'实盘净值数据(iFinD）'!$AA245=""),"",分期持仓明细!$AB$23*(SUMPRODUCT(分期持仓明细!$B$23:$Y$23,'实盘净值数据(iFinD）'!$B245:$Y245/'实盘净值数据(iFinD）'!$B$65:$Y$65)+SUMPRODUCT(分期持仓明细!$AC$23:$AD$23,'实盘净值数据(iFinD）'!$Z245:$AA245/'实盘净值数据(iFinD）'!$Z$65:$AA$65))*(1-实盘持仓初始配置!$Z$7)^(('实盘净值数据(iFinD）'!$A245-'实盘净值数据(iFinD）'!$A$8)/365))</f>
        <v/>
      </c>
      <c r="L245" s="16" t="str">
        <f t="shared" si="21"/>
        <v/>
      </c>
      <c r="M245" s="16" t="str">
        <f>IF(K245="","",K245/MAX(K$5:K245)-1)</f>
        <v/>
      </c>
      <c r="N245" s="13" t="str">
        <f>IF(OR('实盘净值数据(iFinD）'!$A245="",'实盘净值数据(iFinD）'!$B245="",'实盘净值数据(iFinD）'!$Z245="",'实盘净值数据(iFinD）'!$AA245=""),"",分期持仓明细!$AB$24*(SUMPRODUCT(分期持仓明细!$B$24:$Y$24,'实盘净值数据(iFinD）'!$B245:$Y245/'实盘净值数据(iFinD）'!$B$65:$Y$65)+SUMPRODUCT(分期持仓明细!$AC$24:$AD$24,'实盘净值数据(iFinD）'!$Z245:$AA245/'实盘净值数据(iFinD）'!$Z$65:$AA$65))*(1-实盘持仓初始配置!$Z$8)^(('实盘净值数据(iFinD）'!$A245-'实盘净值数据(iFinD）'!$A$5)/365))</f>
        <v/>
      </c>
      <c r="O245" s="16" t="str">
        <f t="shared" si="22"/>
        <v/>
      </c>
      <c r="P245" s="16" t="str">
        <f>IF(N245="","",N245/MAX(N$5:N245)-1)</f>
        <v/>
      </c>
      <c r="Q245" s="13" t="str">
        <f>IF(OR('实盘净值数据(iFinD）'!$A245="",'实盘净值数据(iFinD）'!$B245="",'实盘净值数据(iFinD）'!$Z245="",'实盘净值数据(iFinD）'!$AA245=""),"",分期持仓明细!$AB$25*(SUMPRODUCT(分期持仓明细!$B$25:$Y$25,'实盘净值数据(iFinD）'!$B245:$Y245/'实盘净值数据(iFinD）'!$B$65:$Y$65)+SUMPRODUCT(分期持仓明细!$AC$25:$AD$25,'实盘净值数据(iFinD）'!$Z245:$AA245/'实盘净值数据(iFinD）'!$Z$65:$AA$65))*(1-实盘持仓初始配置!$Z$9)^(('实盘净值数据(iFinD）'!$A245-'实盘净值数据(iFinD）'!$A$8)/365))</f>
        <v/>
      </c>
      <c r="R245" s="16" t="str">
        <f t="shared" si="23"/>
        <v/>
      </c>
      <c r="S245" s="16" t="str">
        <f>IF(Q245="","",Q245/MAX(Q$5:Q245)-1)</f>
        <v/>
      </c>
      <c r="T245" s="13">
        <f>IF(OR('实盘净值数据(iFinD）'!$A245="",'实盘净值数据(iFinD）'!$B245="",'实盘净值数据(iFinD）'!$Z245="",'实盘净值数据(iFinD）'!$AA245="",'实盘净值数据(iFinD）'!$AB245="",'实盘净值数据(iFinD）'!$AL245=""),"",(SUMPRODUCT(分期持仓明细!$B$26:$Y$26,'实盘净值数据(iFinD）'!$B245:$Y245/'实盘净值数据(iFinD）'!$B$69:$Y$69)+SUMPRODUCT(分期持仓明细!$AC$26:$AD$26,'实盘净值数据(iFinD）'!$Z245:$AA245/'实盘净值数据(iFinD）'!$Z$69:$AA$69)+SUMPRODUCT(分期持仓明细!$AE$26:$AO$26,'实盘净值数据(iFinD）'!$AB245:$AL245/'实盘净值数据(iFinD）'!$AB$69:$AL$69))*(1-实盘持仓初始配置!$Z$10)^(('实盘净值数据(iFinD）'!$A245-'实盘净值数据(iFinD）'!$A$69)/365))</f>
        <v/>
      </c>
      <c r="U245" s="16">
        <f>IF(OR(T244="",T245=""),"",T245/T244-1)</f>
        <v/>
      </c>
      <c r="V245" s="16">
        <f>IF(T245="","",T245/MAX(T$5:T245)-1)</f>
        <v/>
      </c>
    </row>
    <row r="246" spans="1:19">
      <c r="A246" s="15" t="str">
        <f>IF('实盘净值数据(iFinD）'!A246="","",'实盘净值数据(iFinD）'!A246)</f>
        <v/>
      </c>
      <c r="B246" s="13" t="str">
        <f>IF(OR('实盘净值数据(iFinD）'!$A246="",'实盘净值数据(iFinD）'!$B246=""),"",分期持仓明细!$AB$17*SUMPRODUCT(分期持仓明细!$B$17:$Y$17,'实盘净值数据(iFinD）'!$B246:$Y246/'实盘净值数据(iFinD）'!$B$20:$Y$20)*(1-实盘持仓初始配置!$Z$4)^(('实盘净值数据(iFinD）'!$A246-'实盘净值数据(iFinD）'!$A$6)/365))</f>
        <v/>
      </c>
      <c r="C246" s="16" t="str">
        <f t="shared" si="18"/>
        <v/>
      </c>
      <c r="D246" s="16" t="str">
        <f>IF(B246="","",B246/MAX(B$5:B246)-1)</f>
        <v/>
      </c>
      <c r="E246" s="13" t="str">
        <f>IF(OR('实盘净值数据(iFinD）'!$A246="",'实盘净值数据(iFinD）'!$B246=""),"",分期持仓明细!$AB$18*SUMPRODUCT(分期持仓明细!$B$18:$Y$18,'实盘净值数据(iFinD）'!$B246:$Y246/'实盘净值数据(iFinD）'!$B$20:$Y$20)*(1-实盘持仓初始配置!$Z$5)^(('实盘净值数据(iFinD）'!$A246-'实盘净值数据(iFinD）'!$A$5)/365))</f>
        <v/>
      </c>
      <c r="F246" s="16" t="str">
        <f t="shared" si="19"/>
        <v/>
      </c>
      <c r="G246" s="16" t="str">
        <f>IF(E246="","",E246/MAX(E$5:E246)-1)</f>
        <v/>
      </c>
      <c r="H246" s="13" t="str">
        <f>IF(OR('实盘净值数据(iFinD）'!$A246="",'实盘净值数据(iFinD）'!$B246=""),"",分期持仓明细!$AB$19*SUMPRODUCT(分期持仓明细!$B$19:$Y$19,'实盘净值数据(iFinD）'!$B246:$Y246/'实盘净值数据(iFinD）'!$B$20:$Y$20)*(1-实盘持仓初始配置!$Z$6)^(('实盘净值数据(iFinD）'!$A246-'实盘净值数据(iFinD）'!$A$7)/365))</f>
        <v/>
      </c>
      <c r="I246" s="16" t="str">
        <f t="shared" si="20"/>
        <v/>
      </c>
      <c r="J246" s="16" t="str">
        <f>IF(H246="","",H246/MAX(H$5:H246)-1)</f>
        <v/>
      </c>
      <c r="K246" s="13" t="str">
        <f>IF(OR('实盘净值数据(iFinD）'!$A246="",'实盘净值数据(iFinD）'!$B246="",'实盘净值数据(iFinD）'!$Z246="",'实盘净值数据(iFinD）'!$AA246=""),"",分期持仓明细!$AB$23*(SUMPRODUCT(分期持仓明细!$B$23:$Y$23,'实盘净值数据(iFinD）'!$B246:$Y246/'实盘净值数据(iFinD）'!$B$65:$Y$65)+SUMPRODUCT(分期持仓明细!$AC$23:$AD$23,'实盘净值数据(iFinD）'!$Z246:$AA246/'实盘净值数据(iFinD）'!$Z$65:$AA$65))*(1-实盘持仓初始配置!$Z$7)^(('实盘净值数据(iFinD）'!$A246-'实盘净值数据(iFinD）'!$A$8)/365))</f>
        <v/>
      </c>
      <c r="L246" s="16" t="str">
        <f t="shared" si="21"/>
        <v/>
      </c>
      <c r="M246" s="16" t="str">
        <f>IF(K246="","",K246/MAX(K$5:K246)-1)</f>
        <v/>
      </c>
      <c r="N246" s="13" t="str">
        <f>IF(OR('实盘净值数据(iFinD）'!$A246="",'实盘净值数据(iFinD）'!$B246="",'实盘净值数据(iFinD）'!$Z246="",'实盘净值数据(iFinD）'!$AA246=""),"",分期持仓明细!$AB$24*(SUMPRODUCT(分期持仓明细!$B$24:$Y$24,'实盘净值数据(iFinD）'!$B246:$Y246/'实盘净值数据(iFinD）'!$B$65:$Y$65)+SUMPRODUCT(分期持仓明细!$AC$24:$AD$24,'实盘净值数据(iFinD）'!$Z246:$AA246/'实盘净值数据(iFinD）'!$Z$65:$AA$65))*(1-实盘持仓初始配置!$Z$8)^(('实盘净值数据(iFinD）'!$A246-'实盘净值数据(iFinD）'!$A$5)/365))</f>
        <v/>
      </c>
      <c r="O246" s="16" t="str">
        <f t="shared" si="22"/>
        <v/>
      </c>
      <c r="P246" s="16" t="str">
        <f>IF(N246="","",N246/MAX(N$5:N246)-1)</f>
        <v/>
      </c>
      <c r="Q246" s="13" t="str">
        <f>IF(OR('实盘净值数据(iFinD）'!$A246="",'实盘净值数据(iFinD）'!$B246="",'实盘净值数据(iFinD）'!$Z246="",'实盘净值数据(iFinD）'!$AA246=""),"",分期持仓明细!$AB$25*(SUMPRODUCT(分期持仓明细!$B$25:$Y$25,'实盘净值数据(iFinD）'!$B246:$Y246/'实盘净值数据(iFinD）'!$B$65:$Y$65)+SUMPRODUCT(分期持仓明细!$AC$25:$AD$25,'实盘净值数据(iFinD）'!$Z246:$AA246/'实盘净值数据(iFinD）'!$Z$65:$AA$65))*(1-实盘持仓初始配置!$Z$9)^(('实盘净值数据(iFinD）'!$A246-'实盘净值数据(iFinD）'!$A$8)/365))</f>
        <v/>
      </c>
      <c r="R246" s="16" t="str">
        <f t="shared" si="23"/>
        <v/>
      </c>
      <c r="S246" s="16" t="str">
        <f>IF(Q246="","",Q246/MAX(Q$5:Q246)-1)</f>
        <v/>
      </c>
      <c r="T246" s="13">
        <f>IF(OR('实盘净值数据(iFinD）'!$A246="",'实盘净值数据(iFinD）'!$B246="",'实盘净值数据(iFinD）'!$Z246="",'实盘净值数据(iFinD）'!$AA246="",'实盘净值数据(iFinD）'!$AB246="",'实盘净值数据(iFinD）'!$AL246=""),"",(SUMPRODUCT(分期持仓明细!$B$26:$Y$26,'实盘净值数据(iFinD）'!$B246:$Y246/'实盘净值数据(iFinD）'!$B$69:$Y$69)+SUMPRODUCT(分期持仓明细!$AC$26:$AD$26,'实盘净值数据(iFinD）'!$Z246:$AA246/'实盘净值数据(iFinD）'!$Z$69:$AA$69)+SUMPRODUCT(分期持仓明细!$AE$26:$AO$26,'实盘净值数据(iFinD）'!$AB246:$AL246/'实盘净值数据(iFinD）'!$AB$69:$AL$69))*(1-实盘持仓初始配置!$Z$10)^(('实盘净值数据(iFinD）'!$A246-'实盘净值数据(iFinD）'!$A$69)/365))</f>
        <v/>
      </c>
      <c r="U246" s="16">
        <f>IF(OR(T245="",T246=""),"",T246/T245-1)</f>
        <v/>
      </c>
      <c r="V246" s="16">
        <f>IF(T246="","",T246/MAX(T$5:T246)-1)</f>
        <v/>
      </c>
    </row>
    <row r="247" spans="1:19">
      <c r="A247" s="15" t="str">
        <f>IF('实盘净值数据(iFinD）'!A247="","",'实盘净值数据(iFinD）'!A247)</f>
        <v/>
      </c>
      <c r="B247" s="13" t="str">
        <f>IF(OR('实盘净值数据(iFinD）'!$A247="",'实盘净值数据(iFinD）'!$B247=""),"",分期持仓明细!$AB$17*SUMPRODUCT(分期持仓明细!$B$17:$Y$17,'实盘净值数据(iFinD）'!$B247:$Y247/'实盘净值数据(iFinD）'!$B$20:$Y$20)*(1-实盘持仓初始配置!$Z$4)^(('实盘净值数据(iFinD）'!$A247-'实盘净值数据(iFinD）'!$A$6)/365))</f>
        <v/>
      </c>
      <c r="C247" s="16" t="str">
        <f t="shared" si="18"/>
        <v/>
      </c>
      <c r="D247" s="16" t="str">
        <f>IF(B247="","",B247/MAX(B$5:B247)-1)</f>
        <v/>
      </c>
      <c r="E247" s="13" t="str">
        <f>IF(OR('实盘净值数据(iFinD）'!$A247="",'实盘净值数据(iFinD）'!$B247=""),"",分期持仓明细!$AB$18*SUMPRODUCT(分期持仓明细!$B$18:$Y$18,'实盘净值数据(iFinD）'!$B247:$Y247/'实盘净值数据(iFinD）'!$B$20:$Y$20)*(1-实盘持仓初始配置!$Z$5)^(('实盘净值数据(iFinD）'!$A247-'实盘净值数据(iFinD）'!$A$5)/365))</f>
        <v/>
      </c>
      <c r="F247" s="16" t="str">
        <f t="shared" si="19"/>
        <v/>
      </c>
      <c r="G247" s="16" t="str">
        <f>IF(E247="","",E247/MAX(E$5:E247)-1)</f>
        <v/>
      </c>
      <c r="H247" s="13" t="str">
        <f>IF(OR('实盘净值数据(iFinD）'!$A247="",'实盘净值数据(iFinD）'!$B247=""),"",分期持仓明细!$AB$19*SUMPRODUCT(分期持仓明细!$B$19:$Y$19,'实盘净值数据(iFinD）'!$B247:$Y247/'实盘净值数据(iFinD）'!$B$20:$Y$20)*(1-实盘持仓初始配置!$Z$6)^(('实盘净值数据(iFinD）'!$A247-'实盘净值数据(iFinD）'!$A$7)/365))</f>
        <v/>
      </c>
      <c r="I247" s="16" t="str">
        <f t="shared" si="20"/>
        <v/>
      </c>
      <c r="J247" s="16" t="str">
        <f>IF(H247="","",H247/MAX(H$5:H247)-1)</f>
        <v/>
      </c>
      <c r="K247" s="13" t="str">
        <f>IF(OR('实盘净值数据(iFinD）'!$A247="",'实盘净值数据(iFinD）'!$B247="",'实盘净值数据(iFinD）'!$Z247="",'实盘净值数据(iFinD）'!$AA247=""),"",分期持仓明细!$AB$23*(SUMPRODUCT(分期持仓明细!$B$23:$Y$23,'实盘净值数据(iFinD）'!$B247:$Y247/'实盘净值数据(iFinD）'!$B$65:$Y$65)+SUMPRODUCT(分期持仓明细!$AC$23:$AD$23,'实盘净值数据(iFinD）'!$Z247:$AA247/'实盘净值数据(iFinD）'!$Z$65:$AA$65))*(1-实盘持仓初始配置!$Z$7)^(('实盘净值数据(iFinD）'!$A247-'实盘净值数据(iFinD）'!$A$8)/365))</f>
        <v/>
      </c>
      <c r="L247" s="16" t="str">
        <f t="shared" si="21"/>
        <v/>
      </c>
      <c r="M247" s="16" t="str">
        <f>IF(K247="","",K247/MAX(K$5:K247)-1)</f>
        <v/>
      </c>
      <c r="N247" s="13" t="str">
        <f>IF(OR('实盘净值数据(iFinD）'!$A247="",'实盘净值数据(iFinD）'!$B247="",'实盘净值数据(iFinD）'!$Z247="",'实盘净值数据(iFinD）'!$AA247=""),"",分期持仓明细!$AB$24*(SUMPRODUCT(分期持仓明细!$B$24:$Y$24,'实盘净值数据(iFinD）'!$B247:$Y247/'实盘净值数据(iFinD）'!$B$65:$Y$65)+SUMPRODUCT(分期持仓明细!$AC$24:$AD$24,'实盘净值数据(iFinD）'!$Z247:$AA247/'实盘净值数据(iFinD）'!$Z$65:$AA$65))*(1-实盘持仓初始配置!$Z$8)^(('实盘净值数据(iFinD）'!$A247-'实盘净值数据(iFinD）'!$A$5)/365))</f>
        <v/>
      </c>
      <c r="O247" s="16" t="str">
        <f t="shared" si="22"/>
        <v/>
      </c>
      <c r="P247" s="16" t="str">
        <f>IF(N247="","",N247/MAX(N$5:N247)-1)</f>
        <v/>
      </c>
      <c r="Q247" s="13" t="str">
        <f>IF(OR('实盘净值数据(iFinD）'!$A247="",'实盘净值数据(iFinD）'!$B247="",'实盘净值数据(iFinD）'!$Z247="",'实盘净值数据(iFinD）'!$AA247=""),"",分期持仓明细!$AB$25*(SUMPRODUCT(分期持仓明细!$B$25:$Y$25,'实盘净值数据(iFinD）'!$B247:$Y247/'实盘净值数据(iFinD）'!$B$65:$Y$65)+SUMPRODUCT(分期持仓明细!$AC$25:$AD$25,'实盘净值数据(iFinD）'!$Z247:$AA247/'实盘净值数据(iFinD）'!$Z$65:$AA$65))*(1-实盘持仓初始配置!$Z$9)^(('实盘净值数据(iFinD）'!$A247-'实盘净值数据(iFinD）'!$A$8)/365))</f>
        <v/>
      </c>
      <c r="R247" s="16" t="str">
        <f t="shared" si="23"/>
        <v/>
      </c>
      <c r="S247" s="16" t="str">
        <f>IF(Q247="","",Q247/MAX(Q$5:Q247)-1)</f>
        <v/>
      </c>
      <c r="T247" s="13">
        <f>IF(OR('实盘净值数据(iFinD）'!$A247="",'实盘净值数据(iFinD）'!$B247="",'实盘净值数据(iFinD）'!$Z247="",'实盘净值数据(iFinD）'!$AA247="",'实盘净值数据(iFinD）'!$AB247="",'实盘净值数据(iFinD）'!$AL247=""),"",(SUMPRODUCT(分期持仓明细!$B$26:$Y$26,'实盘净值数据(iFinD）'!$B247:$Y247/'实盘净值数据(iFinD）'!$B$69:$Y$69)+SUMPRODUCT(分期持仓明细!$AC$26:$AD$26,'实盘净值数据(iFinD）'!$Z247:$AA247/'实盘净值数据(iFinD）'!$Z$69:$AA$69)+SUMPRODUCT(分期持仓明细!$AE$26:$AO$26,'实盘净值数据(iFinD）'!$AB247:$AL247/'实盘净值数据(iFinD）'!$AB$69:$AL$69))*(1-实盘持仓初始配置!$Z$10)^(('实盘净值数据(iFinD）'!$A247-'实盘净值数据(iFinD）'!$A$69)/365))</f>
        <v/>
      </c>
      <c r="U247" s="16">
        <f>IF(OR(T246="",T247=""),"",T247/T246-1)</f>
        <v/>
      </c>
      <c r="V247" s="16">
        <f>IF(T247="","",T247/MAX(T$5:T247)-1)</f>
        <v/>
      </c>
    </row>
    <row r="248" spans="1:19">
      <c r="A248" s="15" t="str">
        <f>IF('实盘净值数据(iFinD）'!A248="","",'实盘净值数据(iFinD）'!A248)</f>
        <v/>
      </c>
      <c r="B248" s="13" t="str">
        <f>IF(OR('实盘净值数据(iFinD）'!$A248="",'实盘净值数据(iFinD）'!$B248=""),"",分期持仓明细!$AB$17*SUMPRODUCT(分期持仓明细!$B$17:$Y$17,'实盘净值数据(iFinD）'!$B248:$Y248/'实盘净值数据(iFinD）'!$B$20:$Y$20)*(1-实盘持仓初始配置!$Z$4)^(('实盘净值数据(iFinD）'!$A248-'实盘净值数据(iFinD）'!$A$6)/365))</f>
        <v/>
      </c>
      <c r="C248" s="16" t="str">
        <f t="shared" si="18"/>
        <v/>
      </c>
      <c r="D248" s="16" t="str">
        <f>IF(B248="","",B248/MAX(B$5:B248)-1)</f>
        <v/>
      </c>
      <c r="E248" s="13" t="str">
        <f>IF(OR('实盘净值数据(iFinD）'!$A248="",'实盘净值数据(iFinD）'!$B248=""),"",分期持仓明细!$AB$18*SUMPRODUCT(分期持仓明细!$B$18:$Y$18,'实盘净值数据(iFinD）'!$B248:$Y248/'实盘净值数据(iFinD）'!$B$20:$Y$20)*(1-实盘持仓初始配置!$Z$5)^(('实盘净值数据(iFinD）'!$A248-'实盘净值数据(iFinD）'!$A$5)/365))</f>
        <v/>
      </c>
      <c r="F248" s="16" t="str">
        <f t="shared" si="19"/>
        <v/>
      </c>
      <c r="G248" s="16" t="str">
        <f>IF(E248="","",E248/MAX(E$5:E248)-1)</f>
        <v/>
      </c>
      <c r="H248" s="13" t="str">
        <f>IF(OR('实盘净值数据(iFinD）'!$A248="",'实盘净值数据(iFinD）'!$B248=""),"",分期持仓明细!$AB$19*SUMPRODUCT(分期持仓明细!$B$19:$Y$19,'实盘净值数据(iFinD）'!$B248:$Y248/'实盘净值数据(iFinD）'!$B$20:$Y$20)*(1-实盘持仓初始配置!$Z$6)^(('实盘净值数据(iFinD）'!$A248-'实盘净值数据(iFinD）'!$A$7)/365))</f>
        <v/>
      </c>
      <c r="I248" s="16" t="str">
        <f t="shared" si="20"/>
        <v/>
      </c>
      <c r="J248" s="16" t="str">
        <f>IF(H248="","",H248/MAX(H$5:H248)-1)</f>
        <v/>
      </c>
      <c r="K248" s="13" t="str">
        <f>IF(OR('实盘净值数据(iFinD）'!$A248="",'实盘净值数据(iFinD）'!$B248="",'实盘净值数据(iFinD）'!$Z248="",'实盘净值数据(iFinD）'!$AA248=""),"",分期持仓明细!$AB$23*(SUMPRODUCT(分期持仓明细!$B$23:$Y$23,'实盘净值数据(iFinD）'!$B248:$Y248/'实盘净值数据(iFinD）'!$B$65:$Y$65)+SUMPRODUCT(分期持仓明细!$AC$23:$AD$23,'实盘净值数据(iFinD）'!$Z248:$AA248/'实盘净值数据(iFinD）'!$Z$65:$AA$65))*(1-实盘持仓初始配置!$Z$7)^(('实盘净值数据(iFinD）'!$A248-'实盘净值数据(iFinD）'!$A$8)/365))</f>
        <v/>
      </c>
      <c r="L248" s="16" t="str">
        <f t="shared" si="21"/>
        <v/>
      </c>
      <c r="M248" s="16" t="str">
        <f>IF(K248="","",K248/MAX(K$5:K248)-1)</f>
        <v/>
      </c>
      <c r="N248" s="13" t="str">
        <f>IF(OR('实盘净值数据(iFinD）'!$A248="",'实盘净值数据(iFinD）'!$B248="",'实盘净值数据(iFinD）'!$Z248="",'实盘净值数据(iFinD）'!$AA248=""),"",分期持仓明细!$AB$24*(SUMPRODUCT(分期持仓明细!$B$24:$Y$24,'实盘净值数据(iFinD）'!$B248:$Y248/'实盘净值数据(iFinD）'!$B$65:$Y$65)+SUMPRODUCT(分期持仓明细!$AC$24:$AD$24,'实盘净值数据(iFinD）'!$Z248:$AA248/'实盘净值数据(iFinD）'!$Z$65:$AA$65))*(1-实盘持仓初始配置!$Z$8)^(('实盘净值数据(iFinD）'!$A248-'实盘净值数据(iFinD）'!$A$5)/365))</f>
        <v/>
      </c>
      <c r="O248" s="16" t="str">
        <f t="shared" si="22"/>
        <v/>
      </c>
      <c r="P248" s="16" t="str">
        <f>IF(N248="","",N248/MAX(N$5:N248)-1)</f>
        <v/>
      </c>
      <c r="Q248" s="13" t="str">
        <f>IF(OR('实盘净值数据(iFinD）'!$A248="",'实盘净值数据(iFinD）'!$B248="",'实盘净值数据(iFinD）'!$Z248="",'实盘净值数据(iFinD）'!$AA248=""),"",分期持仓明细!$AB$25*(SUMPRODUCT(分期持仓明细!$B$25:$Y$25,'实盘净值数据(iFinD）'!$B248:$Y248/'实盘净值数据(iFinD）'!$B$65:$Y$65)+SUMPRODUCT(分期持仓明细!$AC$25:$AD$25,'实盘净值数据(iFinD）'!$Z248:$AA248/'实盘净值数据(iFinD）'!$Z$65:$AA$65))*(1-实盘持仓初始配置!$Z$9)^(('实盘净值数据(iFinD）'!$A248-'实盘净值数据(iFinD）'!$A$8)/365))</f>
        <v/>
      </c>
      <c r="R248" s="16" t="str">
        <f t="shared" si="23"/>
        <v/>
      </c>
      <c r="S248" s="16" t="str">
        <f>IF(Q248="","",Q248/MAX(Q$5:Q248)-1)</f>
        <v/>
      </c>
      <c r="T248" s="13">
        <f>IF(OR('实盘净值数据(iFinD）'!$A248="",'实盘净值数据(iFinD）'!$B248="",'实盘净值数据(iFinD）'!$Z248="",'实盘净值数据(iFinD）'!$AA248="",'实盘净值数据(iFinD）'!$AB248="",'实盘净值数据(iFinD）'!$AL248=""),"",(SUMPRODUCT(分期持仓明细!$B$26:$Y$26,'实盘净值数据(iFinD）'!$B248:$Y248/'实盘净值数据(iFinD）'!$B$69:$Y$69)+SUMPRODUCT(分期持仓明细!$AC$26:$AD$26,'实盘净值数据(iFinD）'!$Z248:$AA248/'实盘净值数据(iFinD）'!$Z$69:$AA$69)+SUMPRODUCT(分期持仓明细!$AE$26:$AO$26,'实盘净值数据(iFinD）'!$AB248:$AL248/'实盘净值数据(iFinD）'!$AB$69:$AL$69))*(1-实盘持仓初始配置!$Z$10)^(('实盘净值数据(iFinD）'!$A248-'实盘净值数据(iFinD）'!$A$69)/365))</f>
        <v/>
      </c>
      <c r="U248" s="16">
        <f>IF(OR(T247="",T248=""),"",T248/T247-1)</f>
        <v/>
      </c>
      <c r="V248" s="16">
        <f>IF(T248="","",T248/MAX(T$5:T248)-1)</f>
        <v/>
      </c>
    </row>
    <row r="249" spans="1:19">
      <c r="A249" s="15" t="str">
        <f>IF('实盘净值数据(iFinD）'!A249="","",'实盘净值数据(iFinD）'!A249)</f>
        <v/>
      </c>
      <c r="B249" s="13" t="str">
        <f>IF(OR('实盘净值数据(iFinD）'!$A249="",'实盘净值数据(iFinD）'!$B249=""),"",分期持仓明细!$AB$17*SUMPRODUCT(分期持仓明细!$B$17:$Y$17,'实盘净值数据(iFinD）'!$B249:$Y249/'实盘净值数据(iFinD）'!$B$20:$Y$20)*(1-实盘持仓初始配置!$Z$4)^(('实盘净值数据(iFinD）'!$A249-'实盘净值数据(iFinD）'!$A$6)/365))</f>
        <v/>
      </c>
      <c r="C249" s="16" t="str">
        <f t="shared" si="18"/>
        <v/>
      </c>
      <c r="D249" s="16" t="str">
        <f>IF(B249="","",B249/MAX(B$5:B249)-1)</f>
        <v/>
      </c>
      <c r="E249" s="13" t="str">
        <f>IF(OR('实盘净值数据(iFinD）'!$A249="",'实盘净值数据(iFinD）'!$B249=""),"",分期持仓明细!$AB$18*SUMPRODUCT(分期持仓明细!$B$18:$Y$18,'实盘净值数据(iFinD）'!$B249:$Y249/'实盘净值数据(iFinD）'!$B$20:$Y$20)*(1-实盘持仓初始配置!$Z$5)^(('实盘净值数据(iFinD）'!$A249-'实盘净值数据(iFinD）'!$A$5)/365))</f>
        <v/>
      </c>
      <c r="F249" s="16" t="str">
        <f t="shared" si="19"/>
        <v/>
      </c>
      <c r="G249" s="16" t="str">
        <f>IF(E249="","",E249/MAX(E$5:E249)-1)</f>
        <v/>
      </c>
      <c r="H249" s="13" t="str">
        <f>IF(OR('实盘净值数据(iFinD）'!$A249="",'实盘净值数据(iFinD）'!$B249=""),"",分期持仓明细!$AB$19*SUMPRODUCT(分期持仓明细!$B$19:$Y$19,'实盘净值数据(iFinD）'!$B249:$Y249/'实盘净值数据(iFinD）'!$B$20:$Y$20)*(1-实盘持仓初始配置!$Z$6)^(('实盘净值数据(iFinD）'!$A249-'实盘净值数据(iFinD）'!$A$7)/365))</f>
        <v/>
      </c>
      <c r="I249" s="16" t="str">
        <f t="shared" si="20"/>
        <v/>
      </c>
      <c r="J249" s="16" t="str">
        <f>IF(H249="","",H249/MAX(H$5:H249)-1)</f>
        <v/>
      </c>
      <c r="K249" s="13" t="str">
        <f>IF(OR('实盘净值数据(iFinD）'!$A249="",'实盘净值数据(iFinD）'!$B249="",'实盘净值数据(iFinD）'!$Z249="",'实盘净值数据(iFinD）'!$AA249=""),"",分期持仓明细!$AB$23*(SUMPRODUCT(分期持仓明细!$B$23:$Y$23,'实盘净值数据(iFinD）'!$B249:$Y249/'实盘净值数据(iFinD）'!$B$65:$Y$65)+SUMPRODUCT(分期持仓明细!$AC$23:$AD$23,'实盘净值数据(iFinD）'!$Z249:$AA249/'实盘净值数据(iFinD）'!$Z$65:$AA$65))*(1-实盘持仓初始配置!$Z$7)^(('实盘净值数据(iFinD）'!$A249-'实盘净值数据(iFinD）'!$A$8)/365))</f>
        <v/>
      </c>
      <c r="L249" s="16" t="str">
        <f t="shared" si="21"/>
        <v/>
      </c>
      <c r="M249" s="16" t="str">
        <f>IF(K249="","",K249/MAX(K$5:K249)-1)</f>
        <v/>
      </c>
      <c r="N249" s="13" t="str">
        <f>IF(OR('实盘净值数据(iFinD）'!$A249="",'实盘净值数据(iFinD）'!$B249="",'实盘净值数据(iFinD）'!$Z249="",'实盘净值数据(iFinD）'!$AA249=""),"",分期持仓明细!$AB$24*(SUMPRODUCT(分期持仓明细!$B$24:$Y$24,'实盘净值数据(iFinD）'!$B249:$Y249/'实盘净值数据(iFinD）'!$B$65:$Y$65)+SUMPRODUCT(分期持仓明细!$AC$24:$AD$24,'实盘净值数据(iFinD）'!$Z249:$AA249/'实盘净值数据(iFinD）'!$Z$65:$AA$65))*(1-实盘持仓初始配置!$Z$8)^(('实盘净值数据(iFinD）'!$A249-'实盘净值数据(iFinD）'!$A$5)/365))</f>
        <v/>
      </c>
      <c r="O249" s="16" t="str">
        <f t="shared" si="22"/>
        <v/>
      </c>
      <c r="P249" s="16" t="str">
        <f>IF(N249="","",N249/MAX(N$5:N249)-1)</f>
        <v/>
      </c>
      <c r="Q249" s="13" t="str">
        <f>IF(OR('实盘净值数据(iFinD）'!$A249="",'实盘净值数据(iFinD）'!$B249="",'实盘净值数据(iFinD）'!$Z249="",'实盘净值数据(iFinD）'!$AA249=""),"",分期持仓明细!$AB$25*(SUMPRODUCT(分期持仓明细!$B$25:$Y$25,'实盘净值数据(iFinD）'!$B249:$Y249/'实盘净值数据(iFinD）'!$B$65:$Y$65)+SUMPRODUCT(分期持仓明细!$AC$25:$AD$25,'实盘净值数据(iFinD）'!$Z249:$AA249/'实盘净值数据(iFinD）'!$Z$65:$AA$65))*(1-实盘持仓初始配置!$Z$9)^(('实盘净值数据(iFinD）'!$A249-'实盘净值数据(iFinD）'!$A$8)/365))</f>
        <v/>
      </c>
      <c r="R249" s="16" t="str">
        <f t="shared" si="23"/>
        <v/>
      </c>
      <c r="S249" s="16" t="str">
        <f>IF(Q249="","",Q249/MAX(Q$5:Q249)-1)</f>
        <v/>
      </c>
      <c r="T249" s="13">
        <f>IF(OR('实盘净值数据(iFinD）'!$A249="",'实盘净值数据(iFinD）'!$B249="",'实盘净值数据(iFinD）'!$Z249="",'实盘净值数据(iFinD）'!$AA249="",'实盘净值数据(iFinD）'!$AB249="",'实盘净值数据(iFinD）'!$AL249=""),"",(SUMPRODUCT(分期持仓明细!$B$26:$Y$26,'实盘净值数据(iFinD）'!$B249:$Y249/'实盘净值数据(iFinD）'!$B$69:$Y$69)+SUMPRODUCT(分期持仓明细!$AC$26:$AD$26,'实盘净值数据(iFinD）'!$Z249:$AA249/'实盘净值数据(iFinD）'!$Z$69:$AA$69)+SUMPRODUCT(分期持仓明细!$AE$26:$AO$26,'实盘净值数据(iFinD）'!$AB249:$AL249/'实盘净值数据(iFinD）'!$AB$69:$AL$69))*(1-实盘持仓初始配置!$Z$10)^(('实盘净值数据(iFinD）'!$A249-'实盘净值数据(iFinD）'!$A$69)/365))</f>
        <v/>
      </c>
      <c r="U249" s="16">
        <f>IF(OR(T248="",T249=""),"",T249/T248-1)</f>
        <v/>
      </c>
      <c r="V249" s="16">
        <f>IF(T249="","",T249/MAX(T$5:T249)-1)</f>
        <v/>
      </c>
    </row>
    <row r="250" spans="1:19">
      <c r="A250" s="15" t="str">
        <f>IF('实盘净值数据(iFinD）'!A250="","",'实盘净值数据(iFinD）'!A250)</f>
        <v/>
      </c>
      <c r="B250" s="13" t="str">
        <f>IF(OR('实盘净值数据(iFinD）'!$A250="",'实盘净值数据(iFinD）'!$B250=""),"",分期持仓明细!$AB$17*SUMPRODUCT(分期持仓明细!$B$17:$Y$17,'实盘净值数据(iFinD）'!$B250:$Y250/'实盘净值数据(iFinD）'!$B$20:$Y$20)*(1-实盘持仓初始配置!$Z$4)^(('实盘净值数据(iFinD）'!$A250-'实盘净值数据(iFinD）'!$A$6)/365))</f>
        <v/>
      </c>
      <c r="C250" s="16" t="str">
        <f t="shared" si="18"/>
        <v/>
      </c>
      <c r="D250" s="16" t="str">
        <f>IF(B250="","",B250/MAX(B$5:B250)-1)</f>
        <v/>
      </c>
      <c r="E250" s="13" t="str">
        <f>IF(OR('实盘净值数据(iFinD）'!$A250="",'实盘净值数据(iFinD）'!$B250=""),"",分期持仓明细!$AB$18*SUMPRODUCT(分期持仓明细!$B$18:$Y$18,'实盘净值数据(iFinD）'!$B250:$Y250/'实盘净值数据(iFinD）'!$B$20:$Y$20)*(1-实盘持仓初始配置!$Z$5)^(('实盘净值数据(iFinD）'!$A250-'实盘净值数据(iFinD）'!$A$5)/365))</f>
        <v/>
      </c>
      <c r="F250" s="16" t="str">
        <f t="shared" si="19"/>
        <v/>
      </c>
      <c r="G250" s="16" t="str">
        <f>IF(E250="","",E250/MAX(E$5:E250)-1)</f>
        <v/>
      </c>
      <c r="H250" s="13" t="str">
        <f>IF(OR('实盘净值数据(iFinD）'!$A250="",'实盘净值数据(iFinD）'!$B250=""),"",分期持仓明细!$AB$19*SUMPRODUCT(分期持仓明细!$B$19:$Y$19,'实盘净值数据(iFinD）'!$B250:$Y250/'实盘净值数据(iFinD）'!$B$20:$Y$20)*(1-实盘持仓初始配置!$Z$6)^(('实盘净值数据(iFinD）'!$A250-'实盘净值数据(iFinD）'!$A$7)/365))</f>
        <v/>
      </c>
      <c r="I250" s="16" t="str">
        <f t="shared" si="20"/>
        <v/>
      </c>
      <c r="J250" s="16" t="str">
        <f>IF(H250="","",H250/MAX(H$5:H250)-1)</f>
        <v/>
      </c>
      <c r="K250" s="13" t="str">
        <f>IF(OR('实盘净值数据(iFinD）'!$A250="",'实盘净值数据(iFinD）'!$B250="",'实盘净值数据(iFinD）'!$Z250="",'实盘净值数据(iFinD）'!$AA250=""),"",分期持仓明细!$AB$23*(SUMPRODUCT(分期持仓明细!$B$23:$Y$23,'实盘净值数据(iFinD）'!$B250:$Y250/'实盘净值数据(iFinD）'!$B$65:$Y$65)+SUMPRODUCT(分期持仓明细!$AC$23:$AD$23,'实盘净值数据(iFinD）'!$Z250:$AA250/'实盘净值数据(iFinD）'!$Z$65:$AA$65))*(1-实盘持仓初始配置!$Z$7)^(('实盘净值数据(iFinD）'!$A250-'实盘净值数据(iFinD）'!$A$8)/365))</f>
        <v/>
      </c>
      <c r="L250" s="16" t="str">
        <f t="shared" si="21"/>
        <v/>
      </c>
      <c r="M250" s="16" t="str">
        <f>IF(K250="","",K250/MAX(K$5:K250)-1)</f>
        <v/>
      </c>
      <c r="N250" s="13" t="str">
        <f>IF(OR('实盘净值数据(iFinD）'!$A250="",'实盘净值数据(iFinD）'!$B250="",'实盘净值数据(iFinD）'!$Z250="",'实盘净值数据(iFinD）'!$AA250=""),"",分期持仓明细!$AB$24*(SUMPRODUCT(分期持仓明细!$B$24:$Y$24,'实盘净值数据(iFinD）'!$B250:$Y250/'实盘净值数据(iFinD）'!$B$65:$Y$65)+SUMPRODUCT(分期持仓明细!$AC$24:$AD$24,'实盘净值数据(iFinD）'!$Z250:$AA250/'实盘净值数据(iFinD）'!$Z$65:$AA$65))*(1-实盘持仓初始配置!$Z$8)^(('实盘净值数据(iFinD）'!$A250-'实盘净值数据(iFinD）'!$A$5)/365))</f>
        <v/>
      </c>
      <c r="O250" s="16" t="str">
        <f t="shared" si="22"/>
        <v/>
      </c>
      <c r="P250" s="16" t="str">
        <f>IF(N250="","",N250/MAX(N$5:N250)-1)</f>
        <v/>
      </c>
      <c r="Q250" s="13" t="str">
        <f>IF(OR('实盘净值数据(iFinD）'!$A250="",'实盘净值数据(iFinD）'!$B250="",'实盘净值数据(iFinD）'!$Z250="",'实盘净值数据(iFinD）'!$AA250=""),"",分期持仓明细!$AB$25*(SUMPRODUCT(分期持仓明细!$B$25:$Y$25,'实盘净值数据(iFinD）'!$B250:$Y250/'实盘净值数据(iFinD）'!$B$65:$Y$65)+SUMPRODUCT(分期持仓明细!$AC$25:$AD$25,'实盘净值数据(iFinD）'!$Z250:$AA250/'实盘净值数据(iFinD）'!$Z$65:$AA$65))*(1-实盘持仓初始配置!$Z$9)^(('实盘净值数据(iFinD）'!$A250-'实盘净值数据(iFinD）'!$A$8)/365))</f>
        <v/>
      </c>
      <c r="R250" s="16" t="str">
        <f t="shared" si="23"/>
        <v/>
      </c>
      <c r="S250" s="16" t="str">
        <f>IF(Q250="","",Q250/MAX(Q$5:Q250)-1)</f>
        <v/>
      </c>
      <c r="T250" s="13">
        <f>IF(OR('实盘净值数据(iFinD）'!$A250="",'实盘净值数据(iFinD）'!$B250="",'实盘净值数据(iFinD）'!$Z250="",'实盘净值数据(iFinD）'!$AA250="",'实盘净值数据(iFinD）'!$AB250="",'实盘净值数据(iFinD）'!$AL250=""),"",(SUMPRODUCT(分期持仓明细!$B$26:$Y$26,'实盘净值数据(iFinD）'!$B250:$Y250/'实盘净值数据(iFinD）'!$B$69:$Y$69)+SUMPRODUCT(分期持仓明细!$AC$26:$AD$26,'实盘净值数据(iFinD）'!$Z250:$AA250/'实盘净值数据(iFinD）'!$Z$69:$AA$69)+SUMPRODUCT(分期持仓明细!$AE$26:$AO$26,'实盘净值数据(iFinD）'!$AB250:$AL250/'实盘净值数据(iFinD）'!$AB$69:$AL$69))*(1-实盘持仓初始配置!$Z$10)^(('实盘净值数据(iFinD）'!$A250-'实盘净值数据(iFinD）'!$A$69)/365))</f>
        <v/>
      </c>
      <c r="U250" s="16">
        <f>IF(OR(T249="",T250=""),"",T250/T249-1)</f>
        <v/>
      </c>
      <c r="V250" s="16">
        <f>IF(T250="","",T250/MAX(T$5:T250)-1)</f>
        <v/>
      </c>
    </row>
    <row r="251" spans="1:19">
      <c r="A251" s="15" t="str">
        <f>IF('实盘净值数据(iFinD）'!A251="","",'实盘净值数据(iFinD）'!A251)</f>
        <v/>
      </c>
      <c r="B251" s="13" t="str">
        <f>IF(OR('实盘净值数据(iFinD）'!$A251="",'实盘净值数据(iFinD）'!$B251=""),"",分期持仓明细!$AB$17*SUMPRODUCT(分期持仓明细!$B$17:$Y$17,'实盘净值数据(iFinD）'!$B251:$Y251/'实盘净值数据(iFinD）'!$B$20:$Y$20)*(1-实盘持仓初始配置!$Z$4)^(('实盘净值数据(iFinD）'!$A251-'实盘净值数据(iFinD）'!$A$6)/365))</f>
        <v/>
      </c>
      <c r="C251" s="16" t="str">
        <f t="shared" si="18"/>
        <v/>
      </c>
      <c r="D251" s="16" t="str">
        <f>IF(B251="","",B251/MAX(B$5:B251)-1)</f>
        <v/>
      </c>
      <c r="E251" s="13" t="str">
        <f>IF(OR('实盘净值数据(iFinD）'!$A251="",'实盘净值数据(iFinD）'!$B251=""),"",分期持仓明细!$AB$18*SUMPRODUCT(分期持仓明细!$B$18:$Y$18,'实盘净值数据(iFinD）'!$B251:$Y251/'实盘净值数据(iFinD）'!$B$20:$Y$20)*(1-实盘持仓初始配置!$Z$5)^(('实盘净值数据(iFinD）'!$A251-'实盘净值数据(iFinD）'!$A$5)/365))</f>
        <v/>
      </c>
      <c r="F251" s="16" t="str">
        <f t="shared" si="19"/>
        <v/>
      </c>
      <c r="G251" s="16" t="str">
        <f>IF(E251="","",E251/MAX(E$5:E251)-1)</f>
        <v/>
      </c>
      <c r="H251" s="13" t="str">
        <f>IF(OR('实盘净值数据(iFinD）'!$A251="",'实盘净值数据(iFinD）'!$B251=""),"",分期持仓明细!$AB$19*SUMPRODUCT(分期持仓明细!$B$19:$Y$19,'实盘净值数据(iFinD）'!$B251:$Y251/'实盘净值数据(iFinD）'!$B$20:$Y$20)*(1-实盘持仓初始配置!$Z$6)^(('实盘净值数据(iFinD）'!$A251-'实盘净值数据(iFinD）'!$A$7)/365))</f>
        <v/>
      </c>
      <c r="I251" s="16" t="str">
        <f t="shared" si="20"/>
        <v/>
      </c>
      <c r="J251" s="16" t="str">
        <f>IF(H251="","",H251/MAX(H$5:H251)-1)</f>
        <v/>
      </c>
      <c r="K251" s="13" t="str">
        <f>IF(OR('实盘净值数据(iFinD）'!$A251="",'实盘净值数据(iFinD）'!$B251="",'实盘净值数据(iFinD）'!$Z251="",'实盘净值数据(iFinD）'!$AA251=""),"",分期持仓明细!$AB$23*(SUMPRODUCT(分期持仓明细!$B$23:$Y$23,'实盘净值数据(iFinD）'!$B251:$Y251/'实盘净值数据(iFinD）'!$B$65:$Y$65)+SUMPRODUCT(分期持仓明细!$AC$23:$AD$23,'实盘净值数据(iFinD）'!$Z251:$AA251/'实盘净值数据(iFinD）'!$Z$65:$AA$65))*(1-实盘持仓初始配置!$Z$7)^(('实盘净值数据(iFinD）'!$A251-'实盘净值数据(iFinD）'!$A$8)/365))</f>
        <v/>
      </c>
      <c r="L251" s="16" t="str">
        <f t="shared" si="21"/>
        <v/>
      </c>
      <c r="M251" s="16" t="str">
        <f>IF(K251="","",K251/MAX(K$5:K251)-1)</f>
        <v/>
      </c>
      <c r="N251" s="13" t="str">
        <f>IF(OR('实盘净值数据(iFinD）'!$A251="",'实盘净值数据(iFinD）'!$B251="",'实盘净值数据(iFinD）'!$Z251="",'实盘净值数据(iFinD）'!$AA251=""),"",分期持仓明细!$AB$24*(SUMPRODUCT(分期持仓明细!$B$24:$Y$24,'实盘净值数据(iFinD）'!$B251:$Y251/'实盘净值数据(iFinD）'!$B$65:$Y$65)+SUMPRODUCT(分期持仓明细!$AC$24:$AD$24,'实盘净值数据(iFinD）'!$Z251:$AA251/'实盘净值数据(iFinD）'!$Z$65:$AA$65))*(1-实盘持仓初始配置!$Z$8)^(('实盘净值数据(iFinD）'!$A251-'实盘净值数据(iFinD）'!$A$5)/365))</f>
        <v/>
      </c>
      <c r="O251" s="16" t="str">
        <f t="shared" si="22"/>
        <v/>
      </c>
      <c r="P251" s="16" t="str">
        <f>IF(N251="","",N251/MAX(N$5:N251)-1)</f>
        <v/>
      </c>
      <c r="Q251" s="13" t="str">
        <f>IF(OR('实盘净值数据(iFinD）'!$A251="",'实盘净值数据(iFinD）'!$B251="",'实盘净值数据(iFinD）'!$Z251="",'实盘净值数据(iFinD）'!$AA251=""),"",分期持仓明细!$AB$25*(SUMPRODUCT(分期持仓明细!$B$25:$Y$25,'实盘净值数据(iFinD）'!$B251:$Y251/'实盘净值数据(iFinD）'!$B$65:$Y$65)+SUMPRODUCT(分期持仓明细!$AC$25:$AD$25,'实盘净值数据(iFinD）'!$Z251:$AA251/'实盘净值数据(iFinD）'!$Z$65:$AA$65))*(1-实盘持仓初始配置!$Z$9)^(('实盘净值数据(iFinD）'!$A251-'实盘净值数据(iFinD）'!$A$8)/365))</f>
        <v/>
      </c>
      <c r="R251" s="16" t="str">
        <f t="shared" si="23"/>
        <v/>
      </c>
      <c r="S251" s="16" t="str">
        <f>IF(Q251="","",Q251/MAX(Q$5:Q251)-1)</f>
        <v/>
      </c>
      <c r="T251" s="13">
        <f>IF(OR('实盘净值数据(iFinD）'!$A251="",'实盘净值数据(iFinD）'!$B251="",'实盘净值数据(iFinD）'!$Z251="",'实盘净值数据(iFinD）'!$AA251="",'实盘净值数据(iFinD）'!$AB251="",'实盘净值数据(iFinD）'!$AL251=""),"",(SUMPRODUCT(分期持仓明细!$B$26:$Y$26,'实盘净值数据(iFinD）'!$B251:$Y251/'实盘净值数据(iFinD）'!$B$69:$Y$69)+SUMPRODUCT(分期持仓明细!$AC$26:$AD$26,'实盘净值数据(iFinD）'!$Z251:$AA251/'实盘净值数据(iFinD）'!$Z$69:$AA$69)+SUMPRODUCT(分期持仓明细!$AE$26:$AO$26,'实盘净值数据(iFinD）'!$AB251:$AL251/'实盘净值数据(iFinD）'!$AB$69:$AL$69))*(1-实盘持仓初始配置!$Z$10)^(('实盘净值数据(iFinD）'!$A251-'实盘净值数据(iFinD）'!$A$69)/365))</f>
        <v/>
      </c>
      <c r="U251" s="16">
        <f>IF(OR(T250="",T251=""),"",T251/T250-1)</f>
        <v/>
      </c>
      <c r="V251" s="16">
        <f>IF(T251="","",T251/MAX(T$5:T251)-1)</f>
        <v/>
      </c>
    </row>
    <row r="252" spans="1:19">
      <c r="A252" s="15" t="str">
        <f>IF('实盘净值数据(iFinD）'!A252="","",'实盘净值数据(iFinD）'!A252)</f>
        <v/>
      </c>
      <c r="B252" s="13" t="str">
        <f>IF(OR('实盘净值数据(iFinD）'!$A252="",'实盘净值数据(iFinD）'!$B252=""),"",分期持仓明细!$AB$17*SUMPRODUCT(分期持仓明细!$B$17:$Y$17,'实盘净值数据(iFinD）'!$B252:$Y252/'实盘净值数据(iFinD）'!$B$20:$Y$20)*(1-实盘持仓初始配置!$Z$4)^(('实盘净值数据(iFinD）'!$A252-'实盘净值数据(iFinD）'!$A$6)/365))</f>
        <v/>
      </c>
      <c r="C252" s="16" t="str">
        <f t="shared" ref="C252:C315" si="24">IF(OR(B251="",B252=""),"",B252/B251-1)</f>
        <v/>
      </c>
      <c r="D252" s="16" t="str">
        <f>IF(B252="","",B252/MAX(B$5:B252)-1)</f>
        <v/>
      </c>
      <c r="E252" s="13" t="str">
        <f>IF(OR('实盘净值数据(iFinD）'!$A252="",'实盘净值数据(iFinD）'!$B252=""),"",分期持仓明细!$AB$18*SUMPRODUCT(分期持仓明细!$B$18:$Y$18,'实盘净值数据(iFinD）'!$B252:$Y252/'实盘净值数据(iFinD）'!$B$20:$Y$20)*(1-实盘持仓初始配置!$Z$5)^(('实盘净值数据(iFinD）'!$A252-'实盘净值数据(iFinD）'!$A$5)/365))</f>
        <v/>
      </c>
      <c r="F252" s="16" t="str">
        <f t="shared" ref="F252:F315" si="25">IF(OR(E251="",E252=""),"",E252/E251-1)</f>
        <v/>
      </c>
      <c r="G252" s="16" t="str">
        <f>IF(E252="","",E252/MAX(E$5:E252)-1)</f>
        <v/>
      </c>
      <c r="H252" s="13" t="str">
        <f>IF(OR('实盘净值数据(iFinD）'!$A252="",'实盘净值数据(iFinD）'!$B252=""),"",分期持仓明细!$AB$19*SUMPRODUCT(分期持仓明细!$B$19:$Y$19,'实盘净值数据(iFinD）'!$B252:$Y252/'实盘净值数据(iFinD）'!$B$20:$Y$20)*(1-实盘持仓初始配置!$Z$6)^(('实盘净值数据(iFinD）'!$A252-'实盘净值数据(iFinD）'!$A$7)/365))</f>
        <v/>
      </c>
      <c r="I252" s="16" t="str">
        <f t="shared" ref="I252:I315" si="26">IF(OR(H251="",H252=""),"",H252/H251-1)</f>
        <v/>
      </c>
      <c r="J252" s="16" t="str">
        <f>IF(H252="","",H252/MAX(H$5:H252)-1)</f>
        <v/>
      </c>
      <c r="K252" s="13" t="str">
        <f>IF(OR('实盘净值数据(iFinD）'!$A252="",'实盘净值数据(iFinD）'!$B252="",'实盘净值数据(iFinD）'!$Z252="",'实盘净值数据(iFinD）'!$AA252=""),"",分期持仓明细!$AB$23*(SUMPRODUCT(分期持仓明细!$B$23:$Y$23,'实盘净值数据(iFinD）'!$B252:$Y252/'实盘净值数据(iFinD）'!$B$65:$Y$65)+SUMPRODUCT(分期持仓明细!$AC$23:$AD$23,'实盘净值数据(iFinD）'!$Z252:$AA252/'实盘净值数据(iFinD）'!$Z$65:$AA$65))*(1-实盘持仓初始配置!$Z$7)^(('实盘净值数据(iFinD）'!$A252-'实盘净值数据(iFinD）'!$A$8)/365))</f>
        <v/>
      </c>
      <c r="L252" s="16" t="str">
        <f t="shared" ref="L252:L315" si="27">IF(OR(K251="",K252=""),"",K252/K251-1)</f>
        <v/>
      </c>
      <c r="M252" s="16" t="str">
        <f>IF(K252="","",K252/MAX(K$5:K252)-1)</f>
        <v/>
      </c>
      <c r="N252" s="13" t="str">
        <f>IF(OR('实盘净值数据(iFinD）'!$A252="",'实盘净值数据(iFinD）'!$B252="",'实盘净值数据(iFinD）'!$Z252="",'实盘净值数据(iFinD）'!$AA252=""),"",分期持仓明细!$AB$24*(SUMPRODUCT(分期持仓明细!$B$24:$Y$24,'实盘净值数据(iFinD）'!$B252:$Y252/'实盘净值数据(iFinD）'!$B$65:$Y$65)+SUMPRODUCT(分期持仓明细!$AC$24:$AD$24,'实盘净值数据(iFinD）'!$Z252:$AA252/'实盘净值数据(iFinD）'!$Z$65:$AA$65))*(1-实盘持仓初始配置!$Z$8)^(('实盘净值数据(iFinD）'!$A252-'实盘净值数据(iFinD）'!$A$5)/365))</f>
        <v/>
      </c>
      <c r="O252" s="16" t="str">
        <f t="shared" ref="O252:O315" si="28">IF(OR(N251="",N252=""),"",N252/N251-1)</f>
        <v/>
      </c>
      <c r="P252" s="16" t="str">
        <f>IF(N252="","",N252/MAX(N$5:N252)-1)</f>
        <v/>
      </c>
      <c r="Q252" s="13" t="str">
        <f>IF(OR('实盘净值数据(iFinD）'!$A252="",'实盘净值数据(iFinD）'!$B252="",'实盘净值数据(iFinD）'!$Z252="",'实盘净值数据(iFinD）'!$AA252=""),"",分期持仓明细!$AB$25*(SUMPRODUCT(分期持仓明细!$B$25:$Y$25,'实盘净值数据(iFinD）'!$B252:$Y252/'实盘净值数据(iFinD）'!$B$65:$Y$65)+SUMPRODUCT(分期持仓明细!$AC$25:$AD$25,'实盘净值数据(iFinD）'!$Z252:$AA252/'实盘净值数据(iFinD）'!$Z$65:$AA$65))*(1-实盘持仓初始配置!$Z$9)^(('实盘净值数据(iFinD）'!$A252-'实盘净值数据(iFinD）'!$A$8)/365))</f>
        <v/>
      </c>
      <c r="R252" s="16" t="str">
        <f t="shared" ref="R252:R315" si="29">IF(OR(Q251="",Q252=""),"",Q252/Q251-1)</f>
        <v/>
      </c>
      <c r="S252" s="16" t="str">
        <f>IF(Q252="","",Q252/MAX(Q$5:Q252)-1)</f>
        <v/>
      </c>
      <c r="T252" s="13">
        <f>IF(OR('实盘净值数据(iFinD）'!$A252="",'实盘净值数据(iFinD）'!$B252="",'实盘净值数据(iFinD）'!$Z252="",'实盘净值数据(iFinD）'!$AA252="",'实盘净值数据(iFinD）'!$AB252="",'实盘净值数据(iFinD）'!$AL252=""),"",(SUMPRODUCT(分期持仓明细!$B$26:$Y$26,'实盘净值数据(iFinD）'!$B252:$Y252/'实盘净值数据(iFinD）'!$B$69:$Y$69)+SUMPRODUCT(分期持仓明细!$AC$26:$AD$26,'实盘净值数据(iFinD）'!$Z252:$AA252/'实盘净值数据(iFinD）'!$Z$69:$AA$69)+SUMPRODUCT(分期持仓明细!$AE$26:$AO$26,'实盘净值数据(iFinD）'!$AB252:$AL252/'实盘净值数据(iFinD）'!$AB$69:$AL$69))*(1-实盘持仓初始配置!$Z$10)^(('实盘净值数据(iFinD）'!$A252-'实盘净值数据(iFinD）'!$A$69)/365))</f>
        <v/>
      </c>
      <c r="U252" s="16">
        <f>IF(OR(T251="",T252=""),"",T252/T251-1)</f>
        <v/>
      </c>
      <c r="V252" s="16">
        <f>IF(T252="","",T252/MAX(T$5:T252)-1)</f>
        <v/>
      </c>
    </row>
    <row r="253" spans="1:19">
      <c r="A253" s="15" t="str">
        <f>IF('实盘净值数据(iFinD）'!A253="","",'实盘净值数据(iFinD）'!A253)</f>
        <v/>
      </c>
      <c r="B253" s="13" t="str">
        <f>IF(OR('实盘净值数据(iFinD）'!$A253="",'实盘净值数据(iFinD）'!$B253=""),"",分期持仓明细!$AB$17*SUMPRODUCT(分期持仓明细!$B$17:$Y$17,'实盘净值数据(iFinD）'!$B253:$Y253/'实盘净值数据(iFinD）'!$B$20:$Y$20)*(1-实盘持仓初始配置!$Z$4)^(('实盘净值数据(iFinD）'!$A253-'实盘净值数据(iFinD）'!$A$6)/365))</f>
        <v/>
      </c>
      <c r="C253" s="16" t="str">
        <f t="shared" si="24"/>
        <v/>
      </c>
      <c r="D253" s="16" t="str">
        <f>IF(B253="","",B253/MAX(B$5:B253)-1)</f>
        <v/>
      </c>
      <c r="E253" s="13" t="str">
        <f>IF(OR('实盘净值数据(iFinD）'!$A253="",'实盘净值数据(iFinD）'!$B253=""),"",分期持仓明细!$AB$18*SUMPRODUCT(分期持仓明细!$B$18:$Y$18,'实盘净值数据(iFinD）'!$B253:$Y253/'实盘净值数据(iFinD）'!$B$20:$Y$20)*(1-实盘持仓初始配置!$Z$5)^(('实盘净值数据(iFinD）'!$A253-'实盘净值数据(iFinD）'!$A$5)/365))</f>
        <v/>
      </c>
      <c r="F253" s="16" t="str">
        <f t="shared" si="25"/>
        <v/>
      </c>
      <c r="G253" s="16" t="str">
        <f>IF(E253="","",E253/MAX(E$5:E253)-1)</f>
        <v/>
      </c>
      <c r="H253" s="13" t="str">
        <f>IF(OR('实盘净值数据(iFinD）'!$A253="",'实盘净值数据(iFinD）'!$B253=""),"",分期持仓明细!$AB$19*SUMPRODUCT(分期持仓明细!$B$19:$Y$19,'实盘净值数据(iFinD）'!$B253:$Y253/'实盘净值数据(iFinD）'!$B$20:$Y$20)*(1-实盘持仓初始配置!$Z$6)^(('实盘净值数据(iFinD）'!$A253-'实盘净值数据(iFinD）'!$A$7)/365))</f>
        <v/>
      </c>
      <c r="I253" s="16" t="str">
        <f t="shared" si="26"/>
        <v/>
      </c>
      <c r="J253" s="16" t="str">
        <f>IF(H253="","",H253/MAX(H$5:H253)-1)</f>
        <v/>
      </c>
      <c r="K253" s="13" t="str">
        <f>IF(OR('实盘净值数据(iFinD）'!$A253="",'实盘净值数据(iFinD）'!$B253="",'实盘净值数据(iFinD）'!$Z253="",'实盘净值数据(iFinD）'!$AA253=""),"",分期持仓明细!$AB$23*(SUMPRODUCT(分期持仓明细!$B$23:$Y$23,'实盘净值数据(iFinD）'!$B253:$Y253/'实盘净值数据(iFinD）'!$B$65:$Y$65)+SUMPRODUCT(分期持仓明细!$AC$23:$AD$23,'实盘净值数据(iFinD）'!$Z253:$AA253/'实盘净值数据(iFinD）'!$Z$65:$AA$65))*(1-实盘持仓初始配置!$Z$7)^(('实盘净值数据(iFinD）'!$A253-'实盘净值数据(iFinD）'!$A$8)/365))</f>
        <v/>
      </c>
      <c r="L253" s="16" t="str">
        <f t="shared" si="27"/>
        <v/>
      </c>
      <c r="M253" s="16" t="str">
        <f>IF(K253="","",K253/MAX(K$5:K253)-1)</f>
        <v/>
      </c>
      <c r="N253" s="13" t="str">
        <f>IF(OR('实盘净值数据(iFinD）'!$A253="",'实盘净值数据(iFinD）'!$B253="",'实盘净值数据(iFinD）'!$Z253="",'实盘净值数据(iFinD）'!$AA253=""),"",分期持仓明细!$AB$24*(SUMPRODUCT(分期持仓明细!$B$24:$Y$24,'实盘净值数据(iFinD）'!$B253:$Y253/'实盘净值数据(iFinD）'!$B$65:$Y$65)+SUMPRODUCT(分期持仓明细!$AC$24:$AD$24,'实盘净值数据(iFinD）'!$Z253:$AA253/'实盘净值数据(iFinD）'!$Z$65:$AA$65))*(1-实盘持仓初始配置!$Z$8)^(('实盘净值数据(iFinD）'!$A253-'实盘净值数据(iFinD）'!$A$5)/365))</f>
        <v/>
      </c>
      <c r="O253" s="16" t="str">
        <f t="shared" si="28"/>
        <v/>
      </c>
      <c r="P253" s="16" t="str">
        <f>IF(N253="","",N253/MAX(N$5:N253)-1)</f>
        <v/>
      </c>
      <c r="Q253" s="13" t="str">
        <f>IF(OR('实盘净值数据(iFinD）'!$A253="",'实盘净值数据(iFinD）'!$B253="",'实盘净值数据(iFinD）'!$Z253="",'实盘净值数据(iFinD）'!$AA253=""),"",分期持仓明细!$AB$25*(SUMPRODUCT(分期持仓明细!$B$25:$Y$25,'实盘净值数据(iFinD）'!$B253:$Y253/'实盘净值数据(iFinD）'!$B$65:$Y$65)+SUMPRODUCT(分期持仓明细!$AC$25:$AD$25,'实盘净值数据(iFinD）'!$Z253:$AA253/'实盘净值数据(iFinD）'!$Z$65:$AA$65))*(1-实盘持仓初始配置!$Z$9)^(('实盘净值数据(iFinD）'!$A253-'实盘净值数据(iFinD）'!$A$8)/365))</f>
        <v/>
      </c>
      <c r="R253" s="16" t="str">
        <f t="shared" si="29"/>
        <v/>
      </c>
      <c r="S253" s="16" t="str">
        <f>IF(Q253="","",Q253/MAX(Q$5:Q253)-1)</f>
        <v/>
      </c>
      <c r="T253" s="13">
        <f>IF(OR('实盘净值数据(iFinD）'!$A253="",'实盘净值数据(iFinD）'!$B253="",'实盘净值数据(iFinD）'!$Z253="",'实盘净值数据(iFinD）'!$AA253="",'实盘净值数据(iFinD）'!$AB253="",'实盘净值数据(iFinD）'!$AL253=""),"",(SUMPRODUCT(分期持仓明细!$B$26:$Y$26,'实盘净值数据(iFinD）'!$B253:$Y253/'实盘净值数据(iFinD）'!$B$69:$Y$69)+SUMPRODUCT(分期持仓明细!$AC$26:$AD$26,'实盘净值数据(iFinD）'!$Z253:$AA253/'实盘净值数据(iFinD）'!$Z$69:$AA$69)+SUMPRODUCT(分期持仓明细!$AE$26:$AO$26,'实盘净值数据(iFinD）'!$AB253:$AL253/'实盘净值数据(iFinD）'!$AB$69:$AL$69))*(1-实盘持仓初始配置!$Z$10)^(('实盘净值数据(iFinD）'!$A253-'实盘净值数据(iFinD）'!$A$69)/365))</f>
        <v/>
      </c>
      <c r="U253" s="16">
        <f>IF(OR(T252="",T253=""),"",T253/T252-1)</f>
        <v/>
      </c>
      <c r="V253" s="16">
        <f>IF(T253="","",T253/MAX(T$5:T253)-1)</f>
        <v/>
      </c>
    </row>
    <row r="254" spans="1:19">
      <c r="A254" s="15" t="str">
        <f>IF('实盘净值数据(iFinD）'!A254="","",'实盘净值数据(iFinD）'!A254)</f>
        <v/>
      </c>
      <c r="B254" s="13" t="str">
        <f>IF(OR('实盘净值数据(iFinD）'!$A254="",'实盘净值数据(iFinD）'!$B254=""),"",分期持仓明细!$AB$17*SUMPRODUCT(分期持仓明细!$B$17:$Y$17,'实盘净值数据(iFinD）'!$B254:$Y254/'实盘净值数据(iFinD）'!$B$20:$Y$20)*(1-实盘持仓初始配置!$Z$4)^(('实盘净值数据(iFinD）'!$A254-'实盘净值数据(iFinD）'!$A$6)/365))</f>
        <v/>
      </c>
      <c r="C254" s="16" t="str">
        <f t="shared" si="24"/>
        <v/>
      </c>
      <c r="D254" s="16" t="str">
        <f>IF(B254="","",B254/MAX(B$5:B254)-1)</f>
        <v/>
      </c>
      <c r="E254" s="13" t="str">
        <f>IF(OR('实盘净值数据(iFinD）'!$A254="",'实盘净值数据(iFinD）'!$B254=""),"",分期持仓明细!$AB$18*SUMPRODUCT(分期持仓明细!$B$18:$Y$18,'实盘净值数据(iFinD）'!$B254:$Y254/'实盘净值数据(iFinD）'!$B$20:$Y$20)*(1-实盘持仓初始配置!$Z$5)^(('实盘净值数据(iFinD）'!$A254-'实盘净值数据(iFinD）'!$A$5)/365))</f>
        <v/>
      </c>
      <c r="F254" s="16" t="str">
        <f t="shared" si="25"/>
        <v/>
      </c>
      <c r="G254" s="16" t="str">
        <f>IF(E254="","",E254/MAX(E$5:E254)-1)</f>
        <v/>
      </c>
      <c r="H254" s="13" t="str">
        <f>IF(OR('实盘净值数据(iFinD）'!$A254="",'实盘净值数据(iFinD）'!$B254=""),"",分期持仓明细!$AB$19*SUMPRODUCT(分期持仓明细!$B$19:$Y$19,'实盘净值数据(iFinD）'!$B254:$Y254/'实盘净值数据(iFinD）'!$B$20:$Y$20)*(1-实盘持仓初始配置!$Z$6)^(('实盘净值数据(iFinD）'!$A254-'实盘净值数据(iFinD）'!$A$7)/365))</f>
        <v/>
      </c>
      <c r="I254" s="16" t="str">
        <f t="shared" si="26"/>
        <v/>
      </c>
      <c r="J254" s="16" t="str">
        <f>IF(H254="","",H254/MAX(H$5:H254)-1)</f>
        <v/>
      </c>
      <c r="K254" s="13" t="str">
        <f>IF(OR('实盘净值数据(iFinD）'!$A254="",'实盘净值数据(iFinD）'!$B254="",'实盘净值数据(iFinD）'!$Z254="",'实盘净值数据(iFinD）'!$AA254=""),"",分期持仓明细!$AB$23*(SUMPRODUCT(分期持仓明细!$B$23:$Y$23,'实盘净值数据(iFinD）'!$B254:$Y254/'实盘净值数据(iFinD）'!$B$65:$Y$65)+SUMPRODUCT(分期持仓明细!$AC$23:$AD$23,'实盘净值数据(iFinD）'!$Z254:$AA254/'实盘净值数据(iFinD）'!$Z$65:$AA$65))*(1-实盘持仓初始配置!$Z$7)^(('实盘净值数据(iFinD）'!$A254-'实盘净值数据(iFinD）'!$A$8)/365))</f>
        <v/>
      </c>
      <c r="L254" s="16" t="str">
        <f t="shared" si="27"/>
        <v/>
      </c>
      <c r="M254" s="16" t="str">
        <f>IF(K254="","",K254/MAX(K$5:K254)-1)</f>
        <v/>
      </c>
      <c r="N254" s="13" t="str">
        <f>IF(OR('实盘净值数据(iFinD）'!$A254="",'实盘净值数据(iFinD）'!$B254="",'实盘净值数据(iFinD）'!$Z254="",'实盘净值数据(iFinD）'!$AA254=""),"",分期持仓明细!$AB$24*(SUMPRODUCT(分期持仓明细!$B$24:$Y$24,'实盘净值数据(iFinD）'!$B254:$Y254/'实盘净值数据(iFinD）'!$B$65:$Y$65)+SUMPRODUCT(分期持仓明细!$AC$24:$AD$24,'实盘净值数据(iFinD）'!$Z254:$AA254/'实盘净值数据(iFinD）'!$Z$65:$AA$65))*(1-实盘持仓初始配置!$Z$8)^(('实盘净值数据(iFinD）'!$A254-'实盘净值数据(iFinD）'!$A$5)/365))</f>
        <v/>
      </c>
      <c r="O254" s="16" t="str">
        <f t="shared" si="28"/>
        <v/>
      </c>
      <c r="P254" s="16" t="str">
        <f>IF(N254="","",N254/MAX(N$5:N254)-1)</f>
        <v/>
      </c>
      <c r="Q254" s="13" t="str">
        <f>IF(OR('实盘净值数据(iFinD）'!$A254="",'实盘净值数据(iFinD）'!$B254="",'实盘净值数据(iFinD）'!$Z254="",'实盘净值数据(iFinD）'!$AA254=""),"",分期持仓明细!$AB$25*(SUMPRODUCT(分期持仓明细!$B$25:$Y$25,'实盘净值数据(iFinD）'!$B254:$Y254/'实盘净值数据(iFinD）'!$B$65:$Y$65)+SUMPRODUCT(分期持仓明细!$AC$25:$AD$25,'实盘净值数据(iFinD）'!$Z254:$AA254/'实盘净值数据(iFinD）'!$Z$65:$AA$65))*(1-实盘持仓初始配置!$Z$9)^(('实盘净值数据(iFinD）'!$A254-'实盘净值数据(iFinD）'!$A$8)/365))</f>
        <v/>
      </c>
      <c r="R254" s="16" t="str">
        <f t="shared" si="29"/>
        <v/>
      </c>
      <c r="S254" s="16" t="str">
        <f>IF(Q254="","",Q254/MAX(Q$5:Q254)-1)</f>
        <v/>
      </c>
      <c r="T254" s="13">
        <f>IF(OR('实盘净值数据(iFinD）'!$A254="",'实盘净值数据(iFinD）'!$B254="",'实盘净值数据(iFinD）'!$Z254="",'实盘净值数据(iFinD）'!$AA254="",'实盘净值数据(iFinD）'!$AB254="",'实盘净值数据(iFinD）'!$AL254=""),"",(SUMPRODUCT(分期持仓明细!$B$26:$Y$26,'实盘净值数据(iFinD）'!$B254:$Y254/'实盘净值数据(iFinD）'!$B$69:$Y$69)+SUMPRODUCT(分期持仓明细!$AC$26:$AD$26,'实盘净值数据(iFinD）'!$Z254:$AA254/'实盘净值数据(iFinD）'!$Z$69:$AA$69)+SUMPRODUCT(分期持仓明细!$AE$26:$AO$26,'实盘净值数据(iFinD）'!$AB254:$AL254/'实盘净值数据(iFinD）'!$AB$69:$AL$69))*(1-实盘持仓初始配置!$Z$10)^(('实盘净值数据(iFinD）'!$A254-'实盘净值数据(iFinD）'!$A$69)/365))</f>
        <v/>
      </c>
      <c r="U254" s="16">
        <f>IF(OR(T253="",T254=""),"",T254/T253-1)</f>
        <v/>
      </c>
      <c r="V254" s="16">
        <f>IF(T254="","",T254/MAX(T$5:T254)-1)</f>
        <v/>
      </c>
    </row>
    <row r="255" spans="1:19">
      <c r="A255" s="15" t="str">
        <f>IF('实盘净值数据(iFinD）'!A255="","",'实盘净值数据(iFinD）'!A255)</f>
        <v/>
      </c>
      <c r="B255" s="13" t="str">
        <f>IF(OR('实盘净值数据(iFinD）'!$A255="",'实盘净值数据(iFinD）'!$B255=""),"",分期持仓明细!$AB$17*SUMPRODUCT(分期持仓明细!$B$17:$Y$17,'实盘净值数据(iFinD）'!$B255:$Y255/'实盘净值数据(iFinD）'!$B$20:$Y$20)*(1-实盘持仓初始配置!$Z$4)^(('实盘净值数据(iFinD）'!$A255-'实盘净值数据(iFinD）'!$A$6)/365))</f>
        <v/>
      </c>
      <c r="C255" s="16" t="str">
        <f t="shared" si="24"/>
        <v/>
      </c>
      <c r="D255" s="16" t="str">
        <f>IF(B255="","",B255/MAX(B$5:B255)-1)</f>
        <v/>
      </c>
      <c r="E255" s="13" t="str">
        <f>IF(OR('实盘净值数据(iFinD）'!$A255="",'实盘净值数据(iFinD）'!$B255=""),"",分期持仓明细!$AB$18*SUMPRODUCT(分期持仓明细!$B$18:$Y$18,'实盘净值数据(iFinD）'!$B255:$Y255/'实盘净值数据(iFinD）'!$B$20:$Y$20)*(1-实盘持仓初始配置!$Z$5)^(('实盘净值数据(iFinD）'!$A255-'实盘净值数据(iFinD）'!$A$5)/365))</f>
        <v/>
      </c>
      <c r="F255" s="16" t="str">
        <f t="shared" si="25"/>
        <v/>
      </c>
      <c r="G255" s="16" t="str">
        <f>IF(E255="","",E255/MAX(E$5:E255)-1)</f>
        <v/>
      </c>
      <c r="H255" s="13" t="str">
        <f>IF(OR('实盘净值数据(iFinD）'!$A255="",'实盘净值数据(iFinD）'!$B255=""),"",分期持仓明细!$AB$19*SUMPRODUCT(分期持仓明细!$B$19:$Y$19,'实盘净值数据(iFinD）'!$B255:$Y255/'实盘净值数据(iFinD）'!$B$20:$Y$20)*(1-实盘持仓初始配置!$Z$6)^(('实盘净值数据(iFinD）'!$A255-'实盘净值数据(iFinD）'!$A$7)/365))</f>
        <v/>
      </c>
      <c r="I255" s="16" t="str">
        <f t="shared" si="26"/>
        <v/>
      </c>
      <c r="J255" s="16" t="str">
        <f>IF(H255="","",H255/MAX(H$5:H255)-1)</f>
        <v/>
      </c>
      <c r="K255" s="13" t="str">
        <f>IF(OR('实盘净值数据(iFinD）'!$A255="",'实盘净值数据(iFinD）'!$B255="",'实盘净值数据(iFinD）'!$Z255="",'实盘净值数据(iFinD）'!$AA255=""),"",分期持仓明细!$AB$23*(SUMPRODUCT(分期持仓明细!$B$23:$Y$23,'实盘净值数据(iFinD）'!$B255:$Y255/'实盘净值数据(iFinD）'!$B$65:$Y$65)+SUMPRODUCT(分期持仓明细!$AC$23:$AD$23,'实盘净值数据(iFinD）'!$Z255:$AA255/'实盘净值数据(iFinD）'!$Z$65:$AA$65))*(1-实盘持仓初始配置!$Z$7)^(('实盘净值数据(iFinD）'!$A255-'实盘净值数据(iFinD）'!$A$8)/365))</f>
        <v/>
      </c>
      <c r="L255" s="16" t="str">
        <f t="shared" si="27"/>
        <v/>
      </c>
      <c r="M255" s="16" t="str">
        <f>IF(K255="","",K255/MAX(K$5:K255)-1)</f>
        <v/>
      </c>
      <c r="N255" s="13" t="str">
        <f>IF(OR('实盘净值数据(iFinD）'!$A255="",'实盘净值数据(iFinD）'!$B255="",'实盘净值数据(iFinD）'!$Z255="",'实盘净值数据(iFinD）'!$AA255=""),"",分期持仓明细!$AB$24*(SUMPRODUCT(分期持仓明细!$B$24:$Y$24,'实盘净值数据(iFinD）'!$B255:$Y255/'实盘净值数据(iFinD）'!$B$65:$Y$65)+SUMPRODUCT(分期持仓明细!$AC$24:$AD$24,'实盘净值数据(iFinD）'!$Z255:$AA255/'实盘净值数据(iFinD）'!$Z$65:$AA$65))*(1-实盘持仓初始配置!$Z$8)^(('实盘净值数据(iFinD）'!$A255-'实盘净值数据(iFinD）'!$A$5)/365))</f>
        <v/>
      </c>
      <c r="O255" s="16" t="str">
        <f t="shared" si="28"/>
        <v/>
      </c>
      <c r="P255" s="16" t="str">
        <f>IF(N255="","",N255/MAX(N$5:N255)-1)</f>
        <v/>
      </c>
      <c r="Q255" s="13" t="str">
        <f>IF(OR('实盘净值数据(iFinD）'!$A255="",'实盘净值数据(iFinD）'!$B255="",'实盘净值数据(iFinD）'!$Z255="",'实盘净值数据(iFinD）'!$AA255=""),"",分期持仓明细!$AB$25*(SUMPRODUCT(分期持仓明细!$B$25:$Y$25,'实盘净值数据(iFinD）'!$B255:$Y255/'实盘净值数据(iFinD）'!$B$65:$Y$65)+SUMPRODUCT(分期持仓明细!$AC$25:$AD$25,'实盘净值数据(iFinD）'!$Z255:$AA255/'实盘净值数据(iFinD）'!$Z$65:$AA$65))*(1-实盘持仓初始配置!$Z$9)^(('实盘净值数据(iFinD）'!$A255-'实盘净值数据(iFinD）'!$A$8)/365))</f>
        <v/>
      </c>
      <c r="R255" s="16" t="str">
        <f t="shared" si="29"/>
        <v/>
      </c>
      <c r="S255" s="16" t="str">
        <f>IF(Q255="","",Q255/MAX(Q$5:Q255)-1)</f>
        <v/>
      </c>
      <c r="T255" s="13">
        <f>IF(OR('实盘净值数据(iFinD）'!$A255="",'实盘净值数据(iFinD）'!$B255="",'实盘净值数据(iFinD）'!$Z255="",'实盘净值数据(iFinD）'!$AA255="",'实盘净值数据(iFinD）'!$AB255="",'实盘净值数据(iFinD）'!$AL255=""),"",(SUMPRODUCT(分期持仓明细!$B$26:$Y$26,'实盘净值数据(iFinD）'!$B255:$Y255/'实盘净值数据(iFinD）'!$B$69:$Y$69)+SUMPRODUCT(分期持仓明细!$AC$26:$AD$26,'实盘净值数据(iFinD）'!$Z255:$AA255/'实盘净值数据(iFinD）'!$Z$69:$AA$69)+SUMPRODUCT(分期持仓明细!$AE$26:$AO$26,'实盘净值数据(iFinD）'!$AB255:$AL255/'实盘净值数据(iFinD）'!$AB$69:$AL$69))*(1-实盘持仓初始配置!$Z$10)^(('实盘净值数据(iFinD）'!$A255-'实盘净值数据(iFinD）'!$A$69)/365))</f>
        <v/>
      </c>
      <c r="U255" s="16">
        <f>IF(OR(T254="",T255=""),"",T255/T254-1)</f>
        <v/>
      </c>
      <c r="V255" s="16">
        <f>IF(T255="","",T255/MAX(T$5:T255)-1)</f>
        <v/>
      </c>
    </row>
    <row r="256" spans="1:19">
      <c r="A256" s="15" t="str">
        <f>IF('实盘净值数据(iFinD）'!A256="","",'实盘净值数据(iFinD）'!A256)</f>
        <v/>
      </c>
      <c r="B256" s="13" t="str">
        <f>IF(OR('实盘净值数据(iFinD）'!$A256="",'实盘净值数据(iFinD）'!$B256=""),"",分期持仓明细!$AB$17*SUMPRODUCT(分期持仓明细!$B$17:$Y$17,'实盘净值数据(iFinD）'!$B256:$Y256/'实盘净值数据(iFinD）'!$B$20:$Y$20)*(1-实盘持仓初始配置!$Z$4)^(('实盘净值数据(iFinD）'!$A256-'实盘净值数据(iFinD）'!$A$6)/365))</f>
        <v/>
      </c>
      <c r="C256" s="16" t="str">
        <f t="shared" si="24"/>
        <v/>
      </c>
      <c r="D256" s="16" t="str">
        <f>IF(B256="","",B256/MAX(B$5:B256)-1)</f>
        <v/>
      </c>
      <c r="E256" s="13" t="str">
        <f>IF(OR('实盘净值数据(iFinD）'!$A256="",'实盘净值数据(iFinD）'!$B256=""),"",分期持仓明细!$AB$18*SUMPRODUCT(分期持仓明细!$B$18:$Y$18,'实盘净值数据(iFinD）'!$B256:$Y256/'实盘净值数据(iFinD）'!$B$20:$Y$20)*(1-实盘持仓初始配置!$Z$5)^(('实盘净值数据(iFinD）'!$A256-'实盘净值数据(iFinD）'!$A$5)/365))</f>
        <v/>
      </c>
      <c r="F256" s="16" t="str">
        <f t="shared" si="25"/>
        <v/>
      </c>
      <c r="G256" s="16" t="str">
        <f>IF(E256="","",E256/MAX(E$5:E256)-1)</f>
        <v/>
      </c>
      <c r="H256" s="13" t="str">
        <f>IF(OR('实盘净值数据(iFinD）'!$A256="",'实盘净值数据(iFinD）'!$B256=""),"",分期持仓明细!$AB$19*SUMPRODUCT(分期持仓明细!$B$19:$Y$19,'实盘净值数据(iFinD）'!$B256:$Y256/'实盘净值数据(iFinD）'!$B$20:$Y$20)*(1-实盘持仓初始配置!$Z$6)^(('实盘净值数据(iFinD）'!$A256-'实盘净值数据(iFinD）'!$A$7)/365))</f>
        <v/>
      </c>
      <c r="I256" s="16" t="str">
        <f t="shared" si="26"/>
        <v/>
      </c>
      <c r="J256" s="16" t="str">
        <f>IF(H256="","",H256/MAX(H$5:H256)-1)</f>
        <v/>
      </c>
      <c r="K256" s="13" t="str">
        <f>IF(OR('实盘净值数据(iFinD）'!$A256="",'实盘净值数据(iFinD）'!$B256="",'实盘净值数据(iFinD）'!$Z256="",'实盘净值数据(iFinD）'!$AA256=""),"",分期持仓明细!$AB$23*(SUMPRODUCT(分期持仓明细!$B$23:$Y$23,'实盘净值数据(iFinD）'!$B256:$Y256/'实盘净值数据(iFinD）'!$B$65:$Y$65)+SUMPRODUCT(分期持仓明细!$AC$23:$AD$23,'实盘净值数据(iFinD）'!$Z256:$AA256/'实盘净值数据(iFinD）'!$Z$65:$AA$65))*(1-实盘持仓初始配置!$Z$7)^(('实盘净值数据(iFinD）'!$A256-'实盘净值数据(iFinD）'!$A$8)/365))</f>
        <v/>
      </c>
      <c r="L256" s="16" t="str">
        <f t="shared" si="27"/>
        <v/>
      </c>
      <c r="M256" s="16" t="str">
        <f>IF(K256="","",K256/MAX(K$5:K256)-1)</f>
        <v/>
      </c>
      <c r="N256" s="13" t="str">
        <f>IF(OR('实盘净值数据(iFinD）'!$A256="",'实盘净值数据(iFinD）'!$B256="",'实盘净值数据(iFinD）'!$Z256="",'实盘净值数据(iFinD）'!$AA256=""),"",分期持仓明细!$AB$24*(SUMPRODUCT(分期持仓明细!$B$24:$Y$24,'实盘净值数据(iFinD）'!$B256:$Y256/'实盘净值数据(iFinD）'!$B$65:$Y$65)+SUMPRODUCT(分期持仓明细!$AC$24:$AD$24,'实盘净值数据(iFinD）'!$Z256:$AA256/'实盘净值数据(iFinD）'!$Z$65:$AA$65))*(1-实盘持仓初始配置!$Z$8)^(('实盘净值数据(iFinD）'!$A256-'实盘净值数据(iFinD）'!$A$5)/365))</f>
        <v/>
      </c>
      <c r="O256" s="16" t="str">
        <f t="shared" si="28"/>
        <v/>
      </c>
      <c r="P256" s="16" t="str">
        <f>IF(N256="","",N256/MAX(N$5:N256)-1)</f>
        <v/>
      </c>
      <c r="Q256" s="13" t="str">
        <f>IF(OR('实盘净值数据(iFinD）'!$A256="",'实盘净值数据(iFinD）'!$B256="",'实盘净值数据(iFinD）'!$Z256="",'实盘净值数据(iFinD）'!$AA256=""),"",分期持仓明细!$AB$25*(SUMPRODUCT(分期持仓明细!$B$25:$Y$25,'实盘净值数据(iFinD）'!$B256:$Y256/'实盘净值数据(iFinD）'!$B$65:$Y$65)+SUMPRODUCT(分期持仓明细!$AC$25:$AD$25,'实盘净值数据(iFinD）'!$Z256:$AA256/'实盘净值数据(iFinD）'!$Z$65:$AA$65))*(1-实盘持仓初始配置!$Z$9)^(('实盘净值数据(iFinD）'!$A256-'实盘净值数据(iFinD）'!$A$8)/365))</f>
        <v/>
      </c>
      <c r="R256" s="16" t="str">
        <f t="shared" si="29"/>
        <v/>
      </c>
      <c r="S256" s="16" t="str">
        <f>IF(Q256="","",Q256/MAX(Q$5:Q256)-1)</f>
        <v/>
      </c>
      <c r="T256" s="13">
        <f>IF(OR('实盘净值数据(iFinD）'!$A256="",'实盘净值数据(iFinD）'!$B256="",'实盘净值数据(iFinD）'!$Z256="",'实盘净值数据(iFinD）'!$AA256="",'实盘净值数据(iFinD）'!$AB256="",'实盘净值数据(iFinD）'!$AL256=""),"",(SUMPRODUCT(分期持仓明细!$B$26:$Y$26,'实盘净值数据(iFinD）'!$B256:$Y256/'实盘净值数据(iFinD）'!$B$69:$Y$69)+SUMPRODUCT(分期持仓明细!$AC$26:$AD$26,'实盘净值数据(iFinD）'!$Z256:$AA256/'实盘净值数据(iFinD）'!$Z$69:$AA$69)+SUMPRODUCT(分期持仓明细!$AE$26:$AO$26,'实盘净值数据(iFinD）'!$AB256:$AL256/'实盘净值数据(iFinD）'!$AB$69:$AL$69))*(1-实盘持仓初始配置!$Z$10)^(('实盘净值数据(iFinD）'!$A256-'实盘净值数据(iFinD）'!$A$69)/365))</f>
        <v/>
      </c>
      <c r="U256" s="16">
        <f>IF(OR(T255="",T256=""),"",T256/T255-1)</f>
        <v/>
      </c>
      <c r="V256" s="16">
        <f>IF(T256="","",T256/MAX(T$5:T256)-1)</f>
        <v/>
      </c>
    </row>
    <row r="257" spans="1:19">
      <c r="A257" s="15" t="str">
        <f>IF('实盘净值数据(iFinD）'!A257="","",'实盘净值数据(iFinD）'!A257)</f>
        <v/>
      </c>
      <c r="B257" s="13" t="str">
        <f>IF(OR('实盘净值数据(iFinD）'!$A257="",'实盘净值数据(iFinD）'!$B257=""),"",分期持仓明细!$AB$17*SUMPRODUCT(分期持仓明细!$B$17:$Y$17,'实盘净值数据(iFinD）'!$B257:$Y257/'实盘净值数据(iFinD）'!$B$20:$Y$20)*(1-实盘持仓初始配置!$Z$4)^(('实盘净值数据(iFinD）'!$A257-'实盘净值数据(iFinD）'!$A$6)/365))</f>
        <v/>
      </c>
      <c r="C257" s="16" t="str">
        <f t="shared" si="24"/>
        <v/>
      </c>
      <c r="D257" s="16" t="str">
        <f>IF(B257="","",B257/MAX(B$5:B257)-1)</f>
        <v/>
      </c>
      <c r="E257" s="13" t="str">
        <f>IF(OR('实盘净值数据(iFinD）'!$A257="",'实盘净值数据(iFinD）'!$B257=""),"",分期持仓明细!$AB$18*SUMPRODUCT(分期持仓明细!$B$18:$Y$18,'实盘净值数据(iFinD）'!$B257:$Y257/'实盘净值数据(iFinD）'!$B$20:$Y$20)*(1-实盘持仓初始配置!$Z$5)^(('实盘净值数据(iFinD）'!$A257-'实盘净值数据(iFinD）'!$A$5)/365))</f>
        <v/>
      </c>
      <c r="F257" s="16" t="str">
        <f t="shared" si="25"/>
        <v/>
      </c>
      <c r="G257" s="16" t="str">
        <f>IF(E257="","",E257/MAX(E$5:E257)-1)</f>
        <v/>
      </c>
      <c r="H257" s="13" t="str">
        <f>IF(OR('实盘净值数据(iFinD）'!$A257="",'实盘净值数据(iFinD）'!$B257=""),"",分期持仓明细!$AB$19*SUMPRODUCT(分期持仓明细!$B$19:$Y$19,'实盘净值数据(iFinD）'!$B257:$Y257/'实盘净值数据(iFinD）'!$B$20:$Y$20)*(1-实盘持仓初始配置!$Z$6)^(('实盘净值数据(iFinD）'!$A257-'实盘净值数据(iFinD）'!$A$7)/365))</f>
        <v/>
      </c>
      <c r="I257" s="16" t="str">
        <f t="shared" si="26"/>
        <v/>
      </c>
      <c r="J257" s="16" t="str">
        <f>IF(H257="","",H257/MAX(H$5:H257)-1)</f>
        <v/>
      </c>
      <c r="K257" s="13" t="str">
        <f>IF(OR('实盘净值数据(iFinD）'!$A257="",'实盘净值数据(iFinD）'!$B257="",'实盘净值数据(iFinD）'!$Z257="",'实盘净值数据(iFinD）'!$AA257=""),"",分期持仓明细!$AB$23*(SUMPRODUCT(分期持仓明细!$B$23:$Y$23,'实盘净值数据(iFinD）'!$B257:$Y257/'实盘净值数据(iFinD）'!$B$65:$Y$65)+SUMPRODUCT(分期持仓明细!$AC$23:$AD$23,'实盘净值数据(iFinD）'!$Z257:$AA257/'实盘净值数据(iFinD）'!$Z$65:$AA$65))*(1-实盘持仓初始配置!$Z$7)^(('实盘净值数据(iFinD）'!$A257-'实盘净值数据(iFinD）'!$A$8)/365))</f>
        <v/>
      </c>
      <c r="L257" s="16" t="str">
        <f t="shared" si="27"/>
        <v/>
      </c>
      <c r="M257" s="16" t="str">
        <f>IF(K257="","",K257/MAX(K$5:K257)-1)</f>
        <v/>
      </c>
      <c r="N257" s="13" t="str">
        <f>IF(OR('实盘净值数据(iFinD）'!$A257="",'实盘净值数据(iFinD）'!$B257="",'实盘净值数据(iFinD）'!$Z257="",'实盘净值数据(iFinD）'!$AA257=""),"",分期持仓明细!$AB$24*(SUMPRODUCT(分期持仓明细!$B$24:$Y$24,'实盘净值数据(iFinD）'!$B257:$Y257/'实盘净值数据(iFinD）'!$B$65:$Y$65)+SUMPRODUCT(分期持仓明细!$AC$24:$AD$24,'实盘净值数据(iFinD）'!$Z257:$AA257/'实盘净值数据(iFinD）'!$Z$65:$AA$65))*(1-实盘持仓初始配置!$Z$8)^(('实盘净值数据(iFinD）'!$A257-'实盘净值数据(iFinD）'!$A$5)/365))</f>
        <v/>
      </c>
      <c r="O257" s="16" t="str">
        <f t="shared" si="28"/>
        <v/>
      </c>
      <c r="P257" s="16" t="str">
        <f>IF(N257="","",N257/MAX(N$5:N257)-1)</f>
        <v/>
      </c>
      <c r="Q257" s="13" t="str">
        <f>IF(OR('实盘净值数据(iFinD）'!$A257="",'实盘净值数据(iFinD）'!$B257="",'实盘净值数据(iFinD）'!$Z257="",'实盘净值数据(iFinD）'!$AA257=""),"",分期持仓明细!$AB$25*(SUMPRODUCT(分期持仓明细!$B$25:$Y$25,'实盘净值数据(iFinD）'!$B257:$Y257/'实盘净值数据(iFinD）'!$B$65:$Y$65)+SUMPRODUCT(分期持仓明细!$AC$25:$AD$25,'实盘净值数据(iFinD）'!$Z257:$AA257/'实盘净值数据(iFinD）'!$Z$65:$AA$65))*(1-实盘持仓初始配置!$Z$9)^(('实盘净值数据(iFinD）'!$A257-'实盘净值数据(iFinD）'!$A$8)/365))</f>
        <v/>
      </c>
      <c r="R257" s="16" t="str">
        <f t="shared" si="29"/>
        <v/>
      </c>
      <c r="S257" s="16" t="str">
        <f>IF(Q257="","",Q257/MAX(Q$5:Q257)-1)</f>
        <v/>
      </c>
      <c r="T257" s="13">
        <f>IF(OR('实盘净值数据(iFinD）'!$A257="",'实盘净值数据(iFinD）'!$B257="",'实盘净值数据(iFinD）'!$Z257="",'实盘净值数据(iFinD）'!$AA257="",'实盘净值数据(iFinD）'!$AB257="",'实盘净值数据(iFinD）'!$AL257=""),"",(SUMPRODUCT(分期持仓明细!$B$26:$Y$26,'实盘净值数据(iFinD）'!$B257:$Y257/'实盘净值数据(iFinD）'!$B$69:$Y$69)+SUMPRODUCT(分期持仓明细!$AC$26:$AD$26,'实盘净值数据(iFinD）'!$Z257:$AA257/'实盘净值数据(iFinD）'!$Z$69:$AA$69)+SUMPRODUCT(分期持仓明细!$AE$26:$AO$26,'实盘净值数据(iFinD）'!$AB257:$AL257/'实盘净值数据(iFinD）'!$AB$69:$AL$69))*(1-实盘持仓初始配置!$Z$10)^(('实盘净值数据(iFinD）'!$A257-'实盘净值数据(iFinD）'!$A$69)/365))</f>
        <v/>
      </c>
      <c r="U257" s="16">
        <f>IF(OR(T256="",T257=""),"",T257/T256-1)</f>
        <v/>
      </c>
      <c r="V257" s="16">
        <f>IF(T257="","",T257/MAX(T$5:T257)-1)</f>
        <v/>
      </c>
    </row>
    <row r="258" spans="1:19">
      <c r="A258" s="15" t="str">
        <f>IF('实盘净值数据(iFinD）'!A258="","",'实盘净值数据(iFinD）'!A258)</f>
        <v/>
      </c>
      <c r="B258" s="13" t="str">
        <f>IF(OR('实盘净值数据(iFinD）'!$A258="",'实盘净值数据(iFinD）'!$B258=""),"",分期持仓明细!$AB$17*SUMPRODUCT(分期持仓明细!$B$17:$Y$17,'实盘净值数据(iFinD）'!$B258:$Y258/'实盘净值数据(iFinD）'!$B$20:$Y$20)*(1-实盘持仓初始配置!$Z$4)^(('实盘净值数据(iFinD）'!$A258-'实盘净值数据(iFinD）'!$A$6)/365))</f>
        <v/>
      </c>
      <c r="C258" s="16" t="str">
        <f t="shared" si="24"/>
        <v/>
      </c>
      <c r="D258" s="16" t="str">
        <f>IF(B258="","",B258/MAX(B$5:B258)-1)</f>
        <v/>
      </c>
      <c r="E258" s="13" t="str">
        <f>IF(OR('实盘净值数据(iFinD）'!$A258="",'实盘净值数据(iFinD）'!$B258=""),"",分期持仓明细!$AB$18*SUMPRODUCT(分期持仓明细!$B$18:$Y$18,'实盘净值数据(iFinD）'!$B258:$Y258/'实盘净值数据(iFinD）'!$B$20:$Y$20)*(1-实盘持仓初始配置!$Z$5)^(('实盘净值数据(iFinD）'!$A258-'实盘净值数据(iFinD）'!$A$5)/365))</f>
        <v/>
      </c>
      <c r="F258" s="16" t="str">
        <f t="shared" si="25"/>
        <v/>
      </c>
      <c r="G258" s="16" t="str">
        <f>IF(E258="","",E258/MAX(E$5:E258)-1)</f>
        <v/>
      </c>
      <c r="H258" s="13" t="str">
        <f>IF(OR('实盘净值数据(iFinD）'!$A258="",'实盘净值数据(iFinD）'!$B258=""),"",分期持仓明细!$AB$19*SUMPRODUCT(分期持仓明细!$B$19:$Y$19,'实盘净值数据(iFinD）'!$B258:$Y258/'实盘净值数据(iFinD）'!$B$20:$Y$20)*(1-实盘持仓初始配置!$Z$6)^(('实盘净值数据(iFinD）'!$A258-'实盘净值数据(iFinD）'!$A$7)/365))</f>
        <v/>
      </c>
      <c r="I258" s="16" t="str">
        <f t="shared" si="26"/>
        <v/>
      </c>
      <c r="J258" s="16" t="str">
        <f>IF(H258="","",H258/MAX(H$5:H258)-1)</f>
        <v/>
      </c>
      <c r="K258" s="13" t="str">
        <f>IF(OR('实盘净值数据(iFinD）'!$A258="",'实盘净值数据(iFinD）'!$B258="",'实盘净值数据(iFinD）'!$Z258="",'实盘净值数据(iFinD）'!$AA258=""),"",分期持仓明细!$AB$23*(SUMPRODUCT(分期持仓明细!$B$23:$Y$23,'实盘净值数据(iFinD）'!$B258:$Y258/'实盘净值数据(iFinD）'!$B$65:$Y$65)+SUMPRODUCT(分期持仓明细!$AC$23:$AD$23,'实盘净值数据(iFinD）'!$Z258:$AA258/'实盘净值数据(iFinD）'!$Z$65:$AA$65))*(1-实盘持仓初始配置!$Z$7)^(('实盘净值数据(iFinD）'!$A258-'实盘净值数据(iFinD）'!$A$8)/365))</f>
        <v/>
      </c>
      <c r="L258" s="16" t="str">
        <f t="shared" si="27"/>
        <v/>
      </c>
      <c r="M258" s="16" t="str">
        <f>IF(K258="","",K258/MAX(K$5:K258)-1)</f>
        <v/>
      </c>
      <c r="N258" s="13" t="str">
        <f>IF(OR('实盘净值数据(iFinD）'!$A258="",'实盘净值数据(iFinD）'!$B258="",'实盘净值数据(iFinD）'!$Z258="",'实盘净值数据(iFinD）'!$AA258=""),"",分期持仓明细!$AB$24*(SUMPRODUCT(分期持仓明细!$B$24:$Y$24,'实盘净值数据(iFinD）'!$B258:$Y258/'实盘净值数据(iFinD）'!$B$65:$Y$65)+SUMPRODUCT(分期持仓明细!$AC$24:$AD$24,'实盘净值数据(iFinD）'!$Z258:$AA258/'实盘净值数据(iFinD）'!$Z$65:$AA$65))*(1-实盘持仓初始配置!$Z$8)^(('实盘净值数据(iFinD）'!$A258-'实盘净值数据(iFinD）'!$A$5)/365))</f>
        <v/>
      </c>
      <c r="O258" s="16" t="str">
        <f t="shared" si="28"/>
        <v/>
      </c>
      <c r="P258" s="16" t="str">
        <f>IF(N258="","",N258/MAX(N$5:N258)-1)</f>
        <v/>
      </c>
      <c r="Q258" s="13" t="str">
        <f>IF(OR('实盘净值数据(iFinD）'!$A258="",'实盘净值数据(iFinD）'!$B258="",'实盘净值数据(iFinD）'!$Z258="",'实盘净值数据(iFinD）'!$AA258=""),"",分期持仓明细!$AB$25*(SUMPRODUCT(分期持仓明细!$B$25:$Y$25,'实盘净值数据(iFinD）'!$B258:$Y258/'实盘净值数据(iFinD）'!$B$65:$Y$65)+SUMPRODUCT(分期持仓明细!$AC$25:$AD$25,'实盘净值数据(iFinD）'!$Z258:$AA258/'实盘净值数据(iFinD）'!$Z$65:$AA$65))*(1-实盘持仓初始配置!$Z$9)^(('实盘净值数据(iFinD）'!$A258-'实盘净值数据(iFinD）'!$A$8)/365))</f>
        <v/>
      </c>
      <c r="R258" s="16" t="str">
        <f t="shared" si="29"/>
        <v/>
      </c>
      <c r="S258" s="16" t="str">
        <f>IF(Q258="","",Q258/MAX(Q$5:Q258)-1)</f>
        <v/>
      </c>
      <c r="T258" s="13">
        <f>IF(OR('实盘净值数据(iFinD）'!$A258="",'实盘净值数据(iFinD）'!$B258="",'实盘净值数据(iFinD）'!$Z258="",'实盘净值数据(iFinD）'!$AA258="",'实盘净值数据(iFinD）'!$AB258="",'实盘净值数据(iFinD）'!$AL258=""),"",(SUMPRODUCT(分期持仓明细!$B$26:$Y$26,'实盘净值数据(iFinD）'!$B258:$Y258/'实盘净值数据(iFinD）'!$B$69:$Y$69)+SUMPRODUCT(分期持仓明细!$AC$26:$AD$26,'实盘净值数据(iFinD）'!$Z258:$AA258/'实盘净值数据(iFinD）'!$Z$69:$AA$69)+SUMPRODUCT(分期持仓明细!$AE$26:$AO$26,'实盘净值数据(iFinD）'!$AB258:$AL258/'实盘净值数据(iFinD）'!$AB$69:$AL$69))*(1-实盘持仓初始配置!$Z$10)^(('实盘净值数据(iFinD）'!$A258-'实盘净值数据(iFinD）'!$A$69)/365))</f>
        <v/>
      </c>
      <c r="U258" s="16">
        <f>IF(OR(T257="",T258=""),"",T258/T257-1)</f>
        <v/>
      </c>
      <c r="V258" s="16">
        <f>IF(T258="","",T258/MAX(T$5:T258)-1)</f>
        <v/>
      </c>
    </row>
    <row r="259" spans="1:19">
      <c r="A259" s="15" t="str">
        <f>IF('实盘净值数据(iFinD）'!A259="","",'实盘净值数据(iFinD）'!A259)</f>
        <v/>
      </c>
      <c r="B259" s="13" t="str">
        <f>IF(OR('实盘净值数据(iFinD）'!$A259="",'实盘净值数据(iFinD）'!$B259=""),"",分期持仓明细!$AB$17*SUMPRODUCT(分期持仓明细!$B$17:$Y$17,'实盘净值数据(iFinD）'!$B259:$Y259/'实盘净值数据(iFinD）'!$B$20:$Y$20)*(1-实盘持仓初始配置!$Z$4)^(('实盘净值数据(iFinD）'!$A259-'实盘净值数据(iFinD）'!$A$6)/365))</f>
        <v/>
      </c>
      <c r="C259" s="16" t="str">
        <f t="shared" si="24"/>
        <v/>
      </c>
      <c r="D259" s="16" t="str">
        <f>IF(B259="","",B259/MAX(B$5:B259)-1)</f>
        <v/>
      </c>
      <c r="E259" s="13" t="str">
        <f>IF(OR('实盘净值数据(iFinD）'!$A259="",'实盘净值数据(iFinD）'!$B259=""),"",分期持仓明细!$AB$18*SUMPRODUCT(分期持仓明细!$B$18:$Y$18,'实盘净值数据(iFinD）'!$B259:$Y259/'实盘净值数据(iFinD）'!$B$20:$Y$20)*(1-实盘持仓初始配置!$Z$5)^(('实盘净值数据(iFinD）'!$A259-'实盘净值数据(iFinD）'!$A$5)/365))</f>
        <v/>
      </c>
      <c r="F259" s="16" t="str">
        <f t="shared" si="25"/>
        <v/>
      </c>
      <c r="G259" s="16" t="str">
        <f>IF(E259="","",E259/MAX(E$5:E259)-1)</f>
        <v/>
      </c>
      <c r="H259" s="13" t="str">
        <f>IF(OR('实盘净值数据(iFinD）'!$A259="",'实盘净值数据(iFinD）'!$B259=""),"",分期持仓明细!$AB$19*SUMPRODUCT(分期持仓明细!$B$19:$Y$19,'实盘净值数据(iFinD）'!$B259:$Y259/'实盘净值数据(iFinD）'!$B$20:$Y$20)*(1-实盘持仓初始配置!$Z$6)^(('实盘净值数据(iFinD）'!$A259-'实盘净值数据(iFinD）'!$A$7)/365))</f>
        <v/>
      </c>
      <c r="I259" s="16" t="str">
        <f t="shared" si="26"/>
        <v/>
      </c>
      <c r="J259" s="16" t="str">
        <f>IF(H259="","",H259/MAX(H$5:H259)-1)</f>
        <v/>
      </c>
      <c r="K259" s="13" t="str">
        <f>IF(OR('实盘净值数据(iFinD）'!$A259="",'实盘净值数据(iFinD）'!$B259="",'实盘净值数据(iFinD）'!$Z259="",'实盘净值数据(iFinD）'!$AA259=""),"",分期持仓明细!$AB$23*(SUMPRODUCT(分期持仓明细!$B$23:$Y$23,'实盘净值数据(iFinD）'!$B259:$Y259/'实盘净值数据(iFinD）'!$B$65:$Y$65)+SUMPRODUCT(分期持仓明细!$AC$23:$AD$23,'实盘净值数据(iFinD）'!$Z259:$AA259/'实盘净值数据(iFinD）'!$Z$65:$AA$65))*(1-实盘持仓初始配置!$Z$7)^(('实盘净值数据(iFinD）'!$A259-'实盘净值数据(iFinD）'!$A$8)/365))</f>
        <v/>
      </c>
      <c r="L259" s="16" t="str">
        <f t="shared" si="27"/>
        <v/>
      </c>
      <c r="M259" s="16" t="str">
        <f>IF(K259="","",K259/MAX(K$5:K259)-1)</f>
        <v/>
      </c>
      <c r="N259" s="13" t="str">
        <f>IF(OR('实盘净值数据(iFinD）'!$A259="",'实盘净值数据(iFinD）'!$B259="",'实盘净值数据(iFinD）'!$Z259="",'实盘净值数据(iFinD）'!$AA259=""),"",分期持仓明细!$AB$24*(SUMPRODUCT(分期持仓明细!$B$24:$Y$24,'实盘净值数据(iFinD）'!$B259:$Y259/'实盘净值数据(iFinD）'!$B$65:$Y$65)+SUMPRODUCT(分期持仓明细!$AC$24:$AD$24,'实盘净值数据(iFinD）'!$Z259:$AA259/'实盘净值数据(iFinD）'!$Z$65:$AA$65))*(1-实盘持仓初始配置!$Z$8)^(('实盘净值数据(iFinD）'!$A259-'实盘净值数据(iFinD）'!$A$5)/365))</f>
        <v/>
      </c>
      <c r="O259" s="16" t="str">
        <f t="shared" si="28"/>
        <v/>
      </c>
      <c r="P259" s="16" t="str">
        <f>IF(N259="","",N259/MAX(N$5:N259)-1)</f>
        <v/>
      </c>
      <c r="Q259" s="13" t="str">
        <f>IF(OR('实盘净值数据(iFinD）'!$A259="",'实盘净值数据(iFinD）'!$B259="",'实盘净值数据(iFinD）'!$Z259="",'实盘净值数据(iFinD）'!$AA259=""),"",分期持仓明细!$AB$25*(SUMPRODUCT(分期持仓明细!$B$25:$Y$25,'实盘净值数据(iFinD）'!$B259:$Y259/'实盘净值数据(iFinD）'!$B$65:$Y$65)+SUMPRODUCT(分期持仓明细!$AC$25:$AD$25,'实盘净值数据(iFinD）'!$Z259:$AA259/'实盘净值数据(iFinD）'!$Z$65:$AA$65))*(1-实盘持仓初始配置!$Z$9)^(('实盘净值数据(iFinD）'!$A259-'实盘净值数据(iFinD）'!$A$8)/365))</f>
        <v/>
      </c>
      <c r="R259" s="16" t="str">
        <f t="shared" si="29"/>
        <v/>
      </c>
      <c r="S259" s="16" t="str">
        <f>IF(Q259="","",Q259/MAX(Q$5:Q259)-1)</f>
        <v/>
      </c>
      <c r="T259" s="13">
        <f>IF(OR('实盘净值数据(iFinD）'!$A259="",'实盘净值数据(iFinD）'!$B259="",'实盘净值数据(iFinD）'!$Z259="",'实盘净值数据(iFinD）'!$AA259="",'实盘净值数据(iFinD）'!$AB259="",'实盘净值数据(iFinD）'!$AL259=""),"",(SUMPRODUCT(分期持仓明细!$B$26:$Y$26,'实盘净值数据(iFinD）'!$B259:$Y259/'实盘净值数据(iFinD）'!$B$69:$Y$69)+SUMPRODUCT(分期持仓明细!$AC$26:$AD$26,'实盘净值数据(iFinD）'!$Z259:$AA259/'实盘净值数据(iFinD）'!$Z$69:$AA$69)+SUMPRODUCT(分期持仓明细!$AE$26:$AO$26,'实盘净值数据(iFinD）'!$AB259:$AL259/'实盘净值数据(iFinD）'!$AB$69:$AL$69))*(1-实盘持仓初始配置!$Z$10)^(('实盘净值数据(iFinD）'!$A259-'实盘净值数据(iFinD）'!$A$69)/365))</f>
        <v/>
      </c>
      <c r="U259" s="16">
        <f>IF(OR(T258="",T259=""),"",T259/T258-1)</f>
        <v/>
      </c>
      <c r="V259" s="16">
        <f>IF(T259="","",T259/MAX(T$5:T259)-1)</f>
        <v/>
      </c>
    </row>
    <row r="260" spans="1:19">
      <c r="A260" s="15" t="str">
        <f>IF('实盘净值数据(iFinD）'!A260="","",'实盘净值数据(iFinD）'!A260)</f>
        <v/>
      </c>
      <c r="B260" s="13" t="str">
        <f>IF(OR('实盘净值数据(iFinD）'!$A260="",'实盘净值数据(iFinD）'!$B260=""),"",分期持仓明细!$AB$17*SUMPRODUCT(分期持仓明细!$B$17:$Y$17,'实盘净值数据(iFinD）'!$B260:$Y260/'实盘净值数据(iFinD）'!$B$20:$Y$20)*(1-实盘持仓初始配置!$Z$4)^(('实盘净值数据(iFinD）'!$A260-'实盘净值数据(iFinD）'!$A$6)/365))</f>
        <v/>
      </c>
      <c r="C260" s="16" t="str">
        <f t="shared" si="24"/>
        <v/>
      </c>
      <c r="D260" s="16" t="str">
        <f>IF(B260="","",B260/MAX(B$5:B260)-1)</f>
        <v/>
      </c>
      <c r="E260" s="13" t="str">
        <f>IF(OR('实盘净值数据(iFinD）'!$A260="",'实盘净值数据(iFinD）'!$B260=""),"",分期持仓明细!$AB$18*SUMPRODUCT(分期持仓明细!$B$18:$Y$18,'实盘净值数据(iFinD）'!$B260:$Y260/'实盘净值数据(iFinD）'!$B$20:$Y$20)*(1-实盘持仓初始配置!$Z$5)^(('实盘净值数据(iFinD）'!$A260-'实盘净值数据(iFinD）'!$A$5)/365))</f>
        <v/>
      </c>
      <c r="F260" s="16" t="str">
        <f t="shared" si="25"/>
        <v/>
      </c>
      <c r="G260" s="16" t="str">
        <f>IF(E260="","",E260/MAX(E$5:E260)-1)</f>
        <v/>
      </c>
      <c r="H260" s="13" t="str">
        <f>IF(OR('实盘净值数据(iFinD）'!$A260="",'实盘净值数据(iFinD）'!$B260=""),"",分期持仓明细!$AB$19*SUMPRODUCT(分期持仓明细!$B$19:$Y$19,'实盘净值数据(iFinD）'!$B260:$Y260/'实盘净值数据(iFinD）'!$B$20:$Y$20)*(1-实盘持仓初始配置!$Z$6)^(('实盘净值数据(iFinD）'!$A260-'实盘净值数据(iFinD）'!$A$7)/365))</f>
        <v/>
      </c>
      <c r="I260" s="16" t="str">
        <f t="shared" si="26"/>
        <v/>
      </c>
      <c r="J260" s="16" t="str">
        <f>IF(H260="","",H260/MAX(H$5:H260)-1)</f>
        <v/>
      </c>
      <c r="K260" s="13" t="str">
        <f>IF(OR('实盘净值数据(iFinD）'!$A260="",'实盘净值数据(iFinD）'!$B260="",'实盘净值数据(iFinD）'!$Z260="",'实盘净值数据(iFinD）'!$AA260=""),"",分期持仓明细!$AB$23*(SUMPRODUCT(分期持仓明细!$B$23:$Y$23,'实盘净值数据(iFinD）'!$B260:$Y260/'实盘净值数据(iFinD）'!$B$65:$Y$65)+SUMPRODUCT(分期持仓明细!$AC$23:$AD$23,'实盘净值数据(iFinD）'!$Z260:$AA260/'实盘净值数据(iFinD）'!$Z$65:$AA$65))*(1-实盘持仓初始配置!$Z$7)^(('实盘净值数据(iFinD）'!$A260-'实盘净值数据(iFinD）'!$A$8)/365))</f>
        <v/>
      </c>
      <c r="L260" s="16" t="str">
        <f t="shared" si="27"/>
        <v/>
      </c>
      <c r="M260" s="16" t="str">
        <f>IF(K260="","",K260/MAX(K$5:K260)-1)</f>
        <v/>
      </c>
      <c r="N260" s="13" t="str">
        <f>IF(OR('实盘净值数据(iFinD）'!$A260="",'实盘净值数据(iFinD）'!$B260="",'实盘净值数据(iFinD）'!$Z260="",'实盘净值数据(iFinD）'!$AA260=""),"",分期持仓明细!$AB$24*(SUMPRODUCT(分期持仓明细!$B$24:$Y$24,'实盘净值数据(iFinD）'!$B260:$Y260/'实盘净值数据(iFinD）'!$B$65:$Y$65)+SUMPRODUCT(分期持仓明细!$AC$24:$AD$24,'实盘净值数据(iFinD）'!$Z260:$AA260/'实盘净值数据(iFinD）'!$Z$65:$AA$65))*(1-实盘持仓初始配置!$Z$8)^(('实盘净值数据(iFinD）'!$A260-'实盘净值数据(iFinD）'!$A$5)/365))</f>
        <v/>
      </c>
      <c r="O260" s="16" t="str">
        <f t="shared" si="28"/>
        <v/>
      </c>
      <c r="P260" s="16" t="str">
        <f>IF(N260="","",N260/MAX(N$5:N260)-1)</f>
        <v/>
      </c>
      <c r="Q260" s="13" t="str">
        <f>IF(OR('实盘净值数据(iFinD）'!$A260="",'实盘净值数据(iFinD）'!$B260="",'实盘净值数据(iFinD）'!$Z260="",'实盘净值数据(iFinD）'!$AA260=""),"",分期持仓明细!$AB$25*(SUMPRODUCT(分期持仓明细!$B$25:$Y$25,'实盘净值数据(iFinD）'!$B260:$Y260/'实盘净值数据(iFinD）'!$B$65:$Y$65)+SUMPRODUCT(分期持仓明细!$AC$25:$AD$25,'实盘净值数据(iFinD）'!$Z260:$AA260/'实盘净值数据(iFinD）'!$Z$65:$AA$65))*(1-实盘持仓初始配置!$Z$9)^(('实盘净值数据(iFinD）'!$A260-'实盘净值数据(iFinD）'!$A$8)/365))</f>
        <v/>
      </c>
      <c r="R260" s="16" t="str">
        <f t="shared" si="29"/>
        <v/>
      </c>
      <c r="S260" s="16" t="str">
        <f>IF(Q260="","",Q260/MAX(Q$5:Q260)-1)</f>
        <v/>
      </c>
      <c r="T260" s="13">
        <f>IF(OR('实盘净值数据(iFinD）'!$A260="",'实盘净值数据(iFinD）'!$B260="",'实盘净值数据(iFinD）'!$Z260="",'实盘净值数据(iFinD）'!$AA260="",'实盘净值数据(iFinD）'!$AB260="",'实盘净值数据(iFinD）'!$AL260=""),"",(SUMPRODUCT(分期持仓明细!$B$26:$Y$26,'实盘净值数据(iFinD）'!$B260:$Y260/'实盘净值数据(iFinD）'!$B$69:$Y$69)+SUMPRODUCT(分期持仓明细!$AC$26:$AD$26,'实盘净值数据(iFinD）'!$Z260:$AA260/'实盘净值数据(iFinD）'!$Z$69:$AA$69)+SUMPRODUCT(分期持仓明细!$AE$26:$AO$26,'实盘净值数据(iFinD）'!$AB260:$AL260/'实盘净值数据(iFinD）'!$AB$69:$AL$69))*(1-实盘持仓初始配置!$Z$10)^(('实盘净值数据(iFinD）'!$A260-'实盘净值数据(iFinD）'!$A$69)/365))</f>
        <v/>
      </c>
      <c r="U260" s="16">
        <f>IF(OR(T259="",T260=""),"",T260/T259-1)</f>
        <v/>
      </c>
      <c r="V260" s="16">
        <f>IF(T260="","",T260/MAX(T$5:T260)-1)</f>
        <v/>
      </c>
    </row>
    <row r="261" spans="1:19">
      <c r="A261" s="15" t="str">
        <f>IF('实盘净值数据(iFinD）'!A261="","",'实盘净值数据(iFinD）'!A261)</f>
        <v/>
      </c>
      <c r="B261" s="13" t="str">
        <f>IF(OR('实盘净值数据(iFinD）'!$A261="",'实盘净值数据(iFinD）'!$B261=""),"",分期持仓明细!$AB$17*SUMPRODUCT(分期持仓明细!$B$17:$Y$17,'实盘净值数据(iFinD）'!$B261:$Y261/'实盘净值数据(iFinD）'!$B$20:$Y$20)*(1-实盘持仓初始配置!$Z$4)^(('实盘净值数据(iFinD）'!$A261-'实盘净值数据(iFinD）'!$A$6)/365))</f>
        <v/>
      </c>
      <c r="C261" s="16" t="str">
        <f t="shared" si="24"/>
        <v/>
      </c>
      <c r="D261" s="16" t="str">
        <f>IF(B261="","",B261/MAX(B$5:B261)-1)</f>
        <v/>
      </c>
      <c r="E261" s="13" t="str">
        <f>IF(OR('实盘净值数据(iFinD）'!$A261="",'实盘净值数据(iFinD）'!$B261=""),"",分期持仓明细!$AB$18*SUMPRODUCT(分期持仓明细!$B$18:$Y$18,'实盘净值数据(iFinD）'!$B261:$Y261/'实盘净值数据(iFinD）'!$B$20:$Y$20)*(1-实盘持仓初始配置!$Z$5)^(('实盘净值数据(iFinD）'!$A261-'实盘净值数据(iFinD）'!$A$5)/365))</f>
        <v/>
      </c>
      <c r="F261" s="16" t="str">
        <f t="shared" si="25"/>
        <v/>
      </c>
      <c r="G261" s="16" t="str">
        <f>IF(E261="","",E261/MAX(E$5:E261)-1)</f>
        <v/>
      </c>
      <c r="H261" s="13" t="str">
        <f>IF(OR('实盘净值数据(iFinD）'!$A261="",'实盘净值数据(iFinD）'!$B261=""),"",分期持仓明细!$AB$19*SUMPRODUCT(分期持仓明细!$B$19:$Y$19,'实盘净值数据(iFinD）'!$B261:$Y261/'实盘净值数据(iFinD）'!$B$20:$Y$20)*(1-实盘持仓初始配置!$Z$6)^(('实盘净值数据(iFinD）'!$A261-'实盘净值数据(iFinD）'!$A$7)/365))</f>
        <v/>
      </c>
      <c r="I261" s="16" t="str">
        <f t="shared" si="26"/>
        <v/>
      </c>
      <c r="J261" s="16" t="str">
        <f>IF(H261="","",H261/MAX(H$5:H261)-1)</f>
        <v/>
      </c>
      <c r="K261" s="13" t="str">
        <f>IF(OR('实盘净值数据(iFinD）'!$A261="",'实盘净值数据(iFinD）'!$B261="",'实盘净值数据(iFinD）'!$Z261="",'实盘净值数据(iFinD）'!$AA261=""),"",分期持仓明细!$AB$23*(SUMPRODUCT(分期持仓明细!$B$23:$Y$23,'实盘净值数据(iFinD）'!$B261:$Y261/'实盘净值数据(iFinD）'!$B$65:$Y$65)+SUMPRODUCT(分期持仓明细!$AC$23:$AD$23,'实盘净值数据(iFinD）'!$Z261:$AA261/'实盘净值数据(iFinD）'!$Z$65:$AA$65))*(1-实盘持仓初始配置!$Z$7)^(('实盘净值数据(iFinD）'!$A261-'实盘净值数据(iFinD）'!$A$8)/365))</f>
        <v/>
      </c>
      <c r="L261" s="16" t="str">
        <f t="shared" si="27"/>
        <v/>
      </c>
      <c r="M261" s="16" t="str">
        <f>IF(K261="","",K261/MAX(K$5:K261)-1)</f>
        <v/>
      </c>
      <c r="N261" s="13" t="str">
        <f>IF(OR('实盘净值数据(iFinD）'!$A261="",'实盘净值数据(iFinD）'!$B261="",'实盘净值数据(iFinD）'!$Z261="",'实盘净值数据(iFinD）'!$AA261=""),"",分期持仓明细!$AB$24*(SUMPRODUCT(分期持仓明细!$B$24:$Y$24,'实盘净值数据(iFinD）'!$B261:$Y261/'实盘净值数据(iFinD）'!$B$65:$Y$65)+SUMPRODUCT(分期持仓明细!$AC$24:$AD$24,'实盘净值数据(iFinD）'!$Z261:$AA261/'实盘净值数据(iFinD）'!$Z$65:$AA$65))*(1-实盘持仓初始配置!$Z$8)^(('实盘净值数据(iFinD）'!$A261-'实盘净值数据(iFinD）'!$A$5)/365))</f>
        <v/>
      </c>
      <c r="O261" s="16" t="str">
        <f t="shared" si="28"/>
        <v/>
      </c>
      <c r="P261" s="16" t="str">
        <f>IF(N261="","",N261/MAX(N$5:N261)-1)</f>
        <v/>
      </c>
      <c r="Q261" s="13" t="str">
        <f>IF(OR('实盘净值数据(iFinD）'!$A261="",'实盘净值数据(iFinD）'!$B261="",'实盘净值数据(iFinD）'!$Z261="",'实盘净值数据(iFinD）'!$AA261=""),"",分期持仓明细!$AB$25*(SUMPRODUCT(分期持仓明细!$B$25:$Y$25,'实盘净值数据(iFinD）'!$B261:$Y261/'实盘净值数据(iFinD）'!$B$65:$Y$65)+SUMPRODUCT(分期持仓明细!$AC$25:$AD$25,'实盘净值数据(iFinD）'!$Z261:$AA261/'实盘净值数据(iFinD）'!$Z$65:$AA$65))*(1-实盘持仓初始配置!$Z$9)^(('实盘净值数据(iFinD）'!$A261-'实盘净值数据(iFinD）'!$A$8)/365))</f>
        <v/>
      </c>
      <c r="R261" s="16" t="str">
        <f t="shared" si="29"/>
        <v/>
      </c>
      <c r="S261" s="16" t="str">
        <f>IF(Q261="","",Q261/MAX(Q$5:Q261)-1)</f>
        <v/>
      </c>
      <c r="T261" s="13">
        <f>IF(OR('实盘净值数据(iFinD）'!$A261="",'实盘净值数据(iFinD）'!$B261="",'实盘净值数据(iFinD）'!$Z261="",'实盘净值数据(iFinD）'!$AA261="",'实盘净值数据(iFinD）'!$AB261="",'实盘净值数据(iFinD）'!$AL261=""),"",(SUMPRODUCT(分期持仓明细!$B$26:$Y$26,'实盘净值数据(iFinD）'!$B261:$Y261/'实盘净值数据(iFinD）'!$B$69:$Y$69)+SUMPRODUCT(分期持仓明细!$AC$26:$AD$26,'实盘净值数据(iFinD）'!$Z261:$AA261/'实盘净值数据(iFinD）'!$Z$69:$AA$69)+SUMPRODUCT(分期持仓明细!$AE$26:$AO$26,'实盘净值数据(iFinD）'!$AB261:$AL261/'实盘净值数据(iFinD）'!$AB$69:$AL$69))*(1-实盘持仓初始配置!$Z$10)^(('实盘净值数据(iFinD）'!$A261-'实盘净值数据(iFinD）'!$A$69)/365))</f>
        <v/>
      </c>
      <c r="U261" s="16">
        <f>IF(OR(T260="",T261=""),"",T261/T260-1)</f>
        <v/>
      </c>
      <c r="V261" s="16">
        <f>IF(T261="","",T261/MAX(T$5:T261)-1)</f>
        <v/>
      </c>
    </row>
    <row r="262" spans="1:19">
      <c r="A262" s="15" t="str">
        <f>IF('实盘净值数据(iFinD）'!A262="","",'实盘净值数据(iFinD）'!A262)</f>
        <v/>
      </c>
      <c r="B262" s="13" t="str">
        <f>IF(OR('实盘净值数据(iFinD）'!$A262="",'实盘净值数据(iFinD）'!$B262=""),"",分期持仓明细!$AB$17*SUMPRODUCT(分期持仓明细!$B$17:$Y$17,'实盘净值数据(iFinD）'!$B262:$Y262/'实盘净值数据(iFinD）'!$B$20:$Y$20)*(1-实盘持仓初始配置!$Z$4)^(('实盘净值数据(iFinD）'!$A262-'实盘净值数据(iFinD）'!$A$6)/365))</f>
        <v/>
      </c>
      <c r="C262" s="16" t="str">
        <f t="shared" si="24"/>
        <v/>
      </c>
      <c r="D262" s="16" t="str">
        <f>IF(B262="","",B262/MAX(B$5:B262)-1)</f>
        <v/>
      </c>
      <c r="E262" s="13" t="str">
        <f>IF(OR('实盘净值数据(iFinD）'!$A262="",'实盘净值数据(iFinD）'!$B262=""),"",分期持仓明细!$AB$18*SUMPRODUCT(分期持仓明细!$B$18:$Y$18,'实盘净值数据(iFinD）'!$B262:$Y262/'实盘净值数据(iFinD）'!$B$20:$Y$20)*(1-实盘持仓初始配置!$Z$5)^(('实盘净值数据(iFinD）'!$A262-'实盘净值数据(iFinD）'!$A$5)/365))</f>
        <v/>
      </c>
      <c r="F262" s="16" t="str">
        <f t="shared" si="25"/>
        <v/>
      </c>
      <c r="G262" s="16" t="str">
        <f>IF(E262="","",E262/MAX(E$5:E262)-1)</f>
        <v/>
      </c>
      <c r="H262" s="13" t="str">
        <f>IF(OR('实盘净值数据(iFinD）'!$A262="",'实盘净值数据(iFinD）'!$B262=""),"",分期持仓明细!$AB$19*SUMPRODUCT(分期持仓明细!$B$19:$Y$19,'实盘净值数据(iFinD）'!$B262:$Y262/'实盘净值数据(iFinD）'!$B$20:$Y$20)*(1-实盘持仓初始配置!$Z$6)^(('实盘净值数据(iFinD）'!$A262-'实盘净值数据(iFinD）'!$A$7)/365))</f>
        <v/>
      </c>
      <c r="I262" s="16" t="str">
        <f t="shared" si="26"/>
        <v/>
      </c>
      <c r="J262" s="16" t="str">
        <f>IF(H262="","",H262/MAX(H$5:H262)-1)</f>
        <v/>
      </c>
      <c r="K262" s="13" t="str">
        <f>IF(OR('实盘净值数据(iFinD）'!$A262="",'实盘净值数据(iFinD）'!$B262="",'实盘净值数据(iFinD）'!$Z262="",'实盘净值数据(iFinD）'!$AA262=""),"",分期持仓明细!$AB$23*(SUMPRODUCT(分期持仓明细!$B$23:$Y$23,'实盘净值数据(iFinD）'!$B262:$Y262/'实盘净值数据(iFinD）'!$B$65:$Y$65)+SUMPRODUCT(分期持仓明细!$AC$23:$AD$23,'实盘净值数据(iFinD）'!$Z262:$AA262/'实盘净值数据(iFinD）'!$Z$65:$AA$65))*(1-实盘持仓初始配置!$Z$7)^(('实盘净值数据(iFinD）'!$A262-'实盘净值数据(iFinD）'!$A$8)/365))</f>
        <v/>
      </c>
      <c r="L262" s="16" t="str">
        <f t="shared" si="27"/>
        <v/>
      </c>
      <c r="M262" s="16" t="str">
        <f>IF(K262="","",K262/MAX(K$5:K262)-1)</f>
        <v/>
      </c>
      <c r="N262" s="13" t="str">
        <f>IF(OR('实盘净值数据(iFinD）'!$A262="",'实盘净值数据(iFinD）'!$B262="",'实盘净值数据(iFinD）'!$Z262="",'实盘净值数据(iFinD）'!$AA262=""),"",分期持仓明细!$AB$24*(SUMPRODUCT(分期持仓明细!$B$24:$Y$24,'实盘净值数据(iFinD）'!$B262:$Y262/'实盘净值数据(iFinD）'!$B$65:$Y$65)+SUMPRODUCT(分期持仓明细!$AC$24:$AD$24,'实盘净值数据(iFinD）'!$Z262:$AA262/'实盘净值数据(iFinD）'!$Z$65:$AA$65))*(1-实盘持仓初始配置!$Z$8)^(('实盘净值数据(iFinD）'!$A262-'实盘净值数据(iFinD）'!$A$5)/365))</f>
        <v/>
      </c>
      <c r="O262" s="16" t="str">
        <f t="shared" si="28"/>
        <v/>
      </c>
      <c r="P262" s="16" t="str">
        <f>IF(N262="","",N262/MAX(N$5:N262)-1)</f>
        <v/>
      </c>
      <c r="Q262" s="13" t="str">
        <f>IF(OR('实盘净值数据(iFinD）'!$A262="",'实盘净值数据(iFinD）'!$B262="",'实盘净值数据(iFinD）'!$Z262="",'实盘净值数据(iFinD）'!$AA262=""),"",分期持仓明细!$AB$25*(SUMPRODUCT(分期持仓明细!$B$25:$Y$25,'实盘净值数据(iFinD）'!$B262:$Y262/'实盘净值数据(iFinD）'!$B$65:$Y$65)+SUMPRODUCT(分期持仓明细!$AC$25:$AD$25,'实盘净值数据(iFinD）'!$Z262:$AA262/'实盘净值数据(iFinD）'!$Z$65:$AA$65))*(1-实盘持仓初始配置!$Z$9)^(('实盘净值数据(iFinD）'!$A262-'实盘净值数据(iFinD）'!$A$8)/365))</f>
        <v/>
      </c>
      <c r="R262" s="16" t="str">
        <f t="shared" si="29"/>
        <v/>
      </c>
      <c r="S262" s="16" t="str">
        <f>IF(Q262="","",Q262/MAX(Q$5:Q262)-1)</f>
        <v/>
      </c>
      <c r="T262" s="13">
        <f>IF(OR('实盘净值数据(iFinD）'!$A262="",'实盘净值数据(iFinD）'!$B262="",'实盘净值数据(iFinD）'!$Z262="",'实盘净值数据(iFinD）'!$AA262="",'实盘净值数据(iFinD）'!$AB262="",'实盘净值数据(iFinD）'!$AL262=""),"",(SUMPRODUCT(分期持仓明细!$B$26:$Y$26,'实盘净值数据(iFinD）'!$B262:$Y262/'实盘净值数据(iFinD）'!$B$69:$Y$69)+SUMPRODUCT(分期持仓明细!$AC$26:$AD$26,'实盘净值数据(iFinD）'!$Z262:$AA262/'实盘净值数据(iFinD）'!$Z$69:$AA$69)+SUMPRODUCT(分期持仓明细!$AE$26:$AO$26,'实盘净值数据(iFinD）'!$AB262:$AL262/'实盘净值数据(iFinD）'!$AB$69:$AL$69))*(1-实盘持仓初始配置!$Z$10)^(('实盘净值数据(iFinD）'!$A262-'实盘净值数据(iFinD）'!$A$69)/365))</f>
        <v/>
      </c>
      <c r="U262" s="16">
        <f>IF(OR(T261="",T262=""),"",T262/T261-1)</f>
        <v/>
      </c>
      <c r="V262" s="16">
        <f>IF(T262="","",T262/MAX(T$5:T262)-1)</f>
        <v/>
      </c>
    </row>
    <row r="263" spans="1:19">
      <c r="A263" s="15" t="str">
        <f>IF('实盘净值数据(iFinD）'!A263="","",'实盘净值数据(iFinD）'!A263)</f>
        <v/>
      </c>
      <c r="B263" s="13" t="str">
        <f>IF(OR('实盘净值数据(iFinD）'!$A263="",'实盘净值数据(iFinD）'!$B263=""),"",分期持仓明细!$AB$17*SUMPRODUCT(分期持仓明细!$B$17:$Y$17,'实盘净值数据(iFinD）'!$B263:$Y263/'实盘净值数据(iFinD）'!$B$20:$Y$20)*(1-实盘持仓初始配置!$Z$4)^(('实盘净值数据(iFinD）'!$A263-'实盘净值数据(iFinD）'!$A$6)/365))</f>
        <v/>
      </c>
      <c r="C263" s="16" t="str">
        <f t="shared" si="24"/>
        <v/>
      </c>
      <c r="D263" s="16" t="str">
        <f>IF(B263="","",B263/MAX(B$5:B263)-1)</f>
        <v/>
      </c>
      <c r="E263" s="13" t="str">
        <f>IF(OR('实盘净值数据(iFinD）'!$A263="",'实盘净值数据(iFinD）'!$B263=""),"",分期持仓明细!$AB$18*SUMPRODUCT(分期持仓明细!$B$18:$Y$18,'实盘净值数据(iFinD）'!$B263:$Y263/'实盘净值数据(iFinD）'!$B$20:$Y$20)*(1-实盘持仓初始配置!$Z$5)^(('实盘净值数据(iFinD）'!$A263-'实盘净值数据(iFinD）'!$A$5)/365))</f>
        <v/>
      </c>
      <c r="F263" s="16" t="str">
        <f t="shared" si="25"/>
        <v/>
      </c>
      <c r="G263" s="16" t="str">
        <f>IF(E263="","",E263/MAX(E$5:E263)-1)</f>
        <v/>
      </c>
      <c r="H263" s="13" t="str">
        <f>IF(OR('实盘净值数据(iFinD）'!$A263="",'实盘净值数据(iFinD）'!$B263=""),"",分期持仓明细!$AB$19*SUMPRODUCT(分期持仓明细!$B$19:$Y$19,'实盘净值数据(iFinD）'!$B263:$Y263/'实盘净值数据(iFinD）'!$B$20:$Y$20)*(1-实盘持仓初始配置!$Z$6)^(('实盘净值数据(iFinD）'!$A263-'实盘净值数据(iFinD）'!$A$7)/365))</f>
        <v/>
      </c>
      <c r="I263" s="16" t="str">
        <f t="shared" si="26"/>
        <v/>
      </c>
      <c r="J263" s="16" t="str">
        <f>IF(H263="","",H263/MAX(H$5:H263)-1)</f>
        <v/>
      </c>
      <c r="K263" s="13" t="str">
        <f>IF(OR('实盘净值数据(iFinD）'!$A263="",'实盘净值数据(iFinD）'!$B263="",'实盘净值数据(iFinD）'!$Z263="",'实盘净值数据(iFinD）'!$AA263=""),"",分期持仓明细!$AB$23*(SUMPRODUCT(分期持仓明细!$B$23:$Y$23,'实盘净值数据(iFinD）'!$B263:$Y263/'实盘净值数据(iFinD）'!$B$65:$Y$65)+SUMPRODUCT(分期持仓明细!$AC$23:$AD$23,'实盘净值数据(iFinD）'!$Z263:$AA263/'实盘净值数据(iFinD）'!$Z$65:$AA$65))*(1-实盘持仓初始配置!$Z$7)^(('实盘净值数据(iFinD）'!$A263-'实盘净值数据(iFinD）'!$A$8)/365))</f>
        <v/>
      </c>
      <c r="L263" s="16" t="str">
        <f t="shared" si="27"/>
        <v/>
      </c>
      <c r="M263" s="16" t="str">
        <f>IF(K263="","",K263/MAX(K$5:K263)-1)</f>
        <v/>
      </c>
      <c r="N263" s="13" t="str">
        <f>IF(OR('实盘净值数据(iFinD）'!$A263="",'实盘净值数据(iFinD）'!$B263="",'实盘净值数据(iFinD）'!$Z263="",'实盘净值数据(iFinD）'!$AA263=""),"",分期持仓明细!$AB$24*(SUMPRODUCT(分期持仓明细!$B$24:$Y$24,'实盘净值数据(iFinD）'!$B263:$Y263/'实盘净值数据(iFinD）'!$B$65:$Y$65)+SUMPRODUCT(分期持仓明细!$AC$24:$AD$24,'实盘净值数据(iFinD）'!$Z263:$AA263/'实盘净值数据(iFinD）'!$Z$65:$AA$65))*(1-实盘持仓初始配置!$Z$8)^(('实盘净值数据(iFinD）'!$A263-'实盘净值数据(iFinD）'!$A$5)/365))</f>
        <v/>
      </c>
      <c r="O263" s="16" t="str">
        <f t="shared" si="28"/>
        <v/>
      </c>
      <c r="P263" s="16" t="str">
        <f>IF(N263="","",N263/MAX(N$5:N263)-1)</f>
        <v/>
      </c>
      <c r="Q263" s="13" t="str">
        <f>IF(OR('实盘净值数据(iFinD）'!$A263="",'实盘净值数据(iFinD）'!$B263="",'实盘净值数据(iFinD）'!$Z263="",'实盘净值数据(iFinD）'!$AA263=""),"",分期持仓明细!$AB$25*(SUMPRODUCT(分期持仓明细!$B$25:$Y$25,'实盘净值数据(iFinD）'!$B263:$Y263/'实盘净值数据(iFinD）'!$B$65:$Y$65)+SUMPRODUCT(分期持仓明细!$AC$25:$AD$25,'实盘净值数据(iFinD）'!$Z263:$AA263/'实盘净值数据(iFinD）'!$Z$65:$AA$65))*(1-实盘持仓初始配置!$Z$9)^(('实盘净值数据(iFinD）'!$A263-'实盘净值数据(iFinD）'!$A$8)/365))</f>
        <v/>
      </c>
      <c r="R263" s="16" t="str">
        <f t="shared" si="29"/>
        <v/>
      </c>
      <c r="S263" s="16" t="str">
        <f>IF(Q263="","",Q263/MAX(Q$5:Q263)-1)</f>
        <v/>
      </c>
      <c r="T263" s="13">
        <f>IF(OR('实盘净值数据(iFinD）'!$A263="",'实盘净值数据(iFinD）'!$B263="",'实盘净值数据(iFinD）'!$Z263="",'实盘净值数据(iFinD）'!$AA263="",'实盘净值数据(iFinD）'!$AB263="",'实盘净值数据(iFinD）'!$AL263=""),"",(SUMPRODUCT(分期持仓明细!$B$26:$Y$26,'实盘净值数据(iFinD）'!$B263:$Y263/'实盘净值数据(iFinD）'!$B$69:$Y$69)+SUMPRODUCT(分期持仓明细!$AC$26:$AD$26,'实盘净值数据(iFinD）'!$Z263:$AA263/'实盘净值数据(iFinD）'!$Z$69:$AA$69)+SUMPRODUCT(分期持仓明细!$AE$26:$AO$26,'实盘净值数据(iFinD）'!$AB263:$AL263/'实盘净值数据(iFinD）'!$AB$69:$AL$69))*(1-实盘持仓初始配置!$Z$10)^(('实盘净值数据(iFinD）'!$A263-'实盘净值数据(iFinD）'!$A$69)/365))</f>
        <v/>
      </c>
      <c r="U263" s="16">
        <f>IF(OR(T262="",T263=""),"",T263/T262-1)</f>
        <v/>
      </c>
      <c r="V263" s="16">
        <f>IF(T263="","",T263/MAX(T$5:T263)-1)</f>
        <v/>
      </c>
    </row>
    <row r="264" spans="1:19">
      <c r="A264" s="15" t="str">
        <f>IF('实盘净值数据(iFinD）'!A264="","",'实盘净值数据(iFinD）'!A264)</f>
        <v/>
      </c>
      <c r="B264" s="13" t="str">
        <f>IF(OR('实盘净值数据(iFinD）'!$A264="",'实盘净值数据(iFinD）'!$B264=""),"",分期持仓明细!$AB$17*SUMPRODUCT(分期持仓明细!$B$17:$Y$17,'实盘净值数据(iFinD）'!$B264:$Y264/'实盘净值数据(iFinD）'!$B$20:$Y$20)*(1-实盘持仓初始配置!$Z$4)^(('实盘净值数据(iFinD）'!$A264-'实盘净值数据(iFinD）'!$A$6)/365))</f>
        <v/>
      </c>
      <c r="C264" s="16" t="str">
        <f t="shared" si="24"/>
        <v/>
      </c>
      <c r="D264" s="16" t="str">
        <f>IF(B264="","",B264/MAX(B$5:B264)-1)</f>
        <v/>
      </c>
      <c r="E264" s="13" t="str">
        <f>IF(OR('实盘净值数据(iFinD）'!$A264="",'实盘净值数据(iFinD）'!$B264=""),"",分期持仓明细!$AB$18*SUMPRODUCT(分期持仓明细!$B$18:$Y$18,'实盘净值数据(iFinD）'!$B264:$Y264/'实盘净值数据(iFinD）'!$B$20:$Y$20)*(1-实盘持仓初始配置!$Z$5)^(('实盘净值数据(iFinD）'!$A264-'实盘净值数据(iFinD）'!$A$5)/365))</f>
        <v/>
      </c>
      <c r="F264" s="16" t="str">
        <f t="shared" si="25"/>
        <v/>
      </c>
      <c r="G264" s="16" t="str">
        <f>IF(E264="","",E264/MAX(E$5:E264)-1)</f>
        <v/>
      </c>
      <c r="H264" s="13" t="str">
        <f>IF(OR('实盘净值数据(iFinD）'!$A264="",'实盘净值数据(iFinD）'!$B264=""),"",分期持仓明细!$AB$19*SUMPRODUCT(分期持仓明细!$B$19:$Y$19,'实盘净值数据(iFinD）'!$B264:$Y264/'实盘净值数据(iFinD）'!$B$20:$Y$20)*(1-实盘持仓初始配置!$Z$6)^(('实盘净值数据(iFinD）'!$A264-'实盘净值数据(iFinD）'!$A$7)/365))</f>
        <v/>
      </c>
      <c r="I264" s="16" t="str">
        <f t="shared" si="26"/>
        <v/>
      </c>
      <c r="J264" s="16" t="str">
        <f>IF(H264="","",H264/MAX(H$5:H264)-1)</f>
        <v/>
      </c>
      <c r="K264" s="13" t="str">
        <f>IF(OR('实盘净值数据(iFinD）'!$A264="",'实盘净值数据(iFinD）'!$B264="",'实盘净值数据(iFinD）'!$Z264="",'实盘净值数据(iFinD）'!$AA264=""),"",分期持仓明细!$AB$23*(SUMPRODUCT(分期持仓明细!$B$23:$Y$23,'实盘净值数据(iFinD）'!$B264:$Y264/'实盘净值数据(iFinD）'!$B$65:$Y$65)+SUMPRODUCT(分期持仓明细!$AC$23:$AD$23,'实盘净值数据(iFinD）'!$Z264:$AA264/'实盘净值数据(iFinD）'!$Z$65:$AA$65))*(1-实盘持仓初始配置!$Z$7)^(('实盘净值数据(iFinD）'!$A264-'实盘净值数据(iFinD）'!$A$8)/365))</f>
        <v/>
      </c>
      <c r="L264" s="16" t="str">
        <f t="shared" si="27"/>
        <v/>
      </c>
      <c r="M264" s="16" t="str">
        <f>IF(K264="","",K264/MAX(K$5:K264)-1)</f>
        <v/>
      </c>
      <c r="N264" s="13" t="str">
        <f>IF(OR('实盘净值数据(iFinD）'!$A264="",'实盘净值数据(iFinD）'!$B264="",'实盘净值数据(iFinD）'!$Z264="",'实盘净值数据(iFinD）'!$AA264=""),"",分期持仓明细!$AB$24*(SUMPRODUCT(分期持仓明细!$B$24:$Y$24,'实盘净值数据(iFinD）'!$B264:$Y264/'实盘净值数据(iFinD）'!$B$65:$Y$65)+SUMPRODUCT(分期持仓明细!$AC$24:$AD$24,'实盘净值数据(iFinD）'!$Z264:$AA264/'实盘净值数据(iFinD）'!$Z$65:$AA$65))*(1-实盘持仓初始配置!$Z$8)^(('实盘净值数据(iFinD）'!$A264-'实盘净值数据(iFinD）'!$A$5)/365))</f>
        <v/>
      </c>
      <c r="O264" s="16" t="str">
        <f t="shared" si="28"/>
        <v/>
      </c>
      <c r="P264" s="16" t="str">
        <f>IF(N264="","",N264/MAX(N$5:N264)-1)</f>
        <v/>
      </c>
      <c r="Q264" s="13" t="str">
        <f>IF(OR('实盘净值数据(iFinD）'!$A264="",'实盘净值数据(iFinD）'!$B264="",'实盘净值数据(iFinD）'!$Z264="",'实盘净值数据(iFinD）'!$AA264=""),"",分期持仓明细!$AB$25*(SUMPRODUCT(分期持仓明细!$B$25:$Y$25,'实盘净值数据(iFinD）'!$B264:$Y264/'实盘净值数据(iFinD）'!$B$65:$Y$65)+SUMPRODUCT(分期持仓明细!$AC$25:$AD$25,'实盘净值数据(iFinD）'!$Z264:$AA264/'实盘净值数据(iFinD）'!$Z$65:$AA$65))*(1-实盘持仓初始配置!$Z$9)^(('实盘净值数据(iFinD）'!$A264-'实盘净值数据(iFinD）'!$A$8)/365))</f>
        <v/>
      </c>
      <c r="R264" s="16" t="str">
        <f t="shared" si="29"/>
        <v/>
      </c>
      <c r="S264" s="16" t="str">
        <f>IF(Q264="","",Q264/MAX(Q$5:Q264)-1)</f>
        <v/>
      </c>
      <c r="T264" s="13">
        <f>IF(OR('实盘净值数据(iFinD）'!$A264="",'实盘净值数据(iFinD）'!$B264="",'实盘净值数据(iFinD）'!$Z264="",'实盘净值数据(iFinD）'!$AA264="",'实盘净值数据(iFinD）'!$AB264="",'实盘净值数据(iFinD）'!$AL264=""),"",(SUMPRODUCT(分期持仓明细!$B$26:$Y$26,'实盘净值数据(iFinD）'!$B264:$Y264/'实盘净值数据(iFinD）'!$B$69:$Y$69)+SUMPRODUCT(分期持仓明细!$AC$26:$AD$26,'实盘净值数据(iFinD）'!$Z264:$AA264/'实盘净值数据(iFinD）'!$Z$69:$AA$69)+SUMPRODUCT(分期持仓明细!$AE$26:$AO$26,'实盘净值数据(iFinD）'!$AB264:$AL264/'实盘净值数据(iFinD）'!$AB$69:$AL$69))*(1-实盘持仓初始配置!$Z$10)^(('实盘净值数据(iFinD）'!$A264-'实盘净值数据(iFinD）'!$A$69)/365))</f>
        <v/>
      </c>
      <c r="U264" s="16">
        <f>IF(OR(T263="",T264=""),"",T264/T263-1)</f>
        <v/>
      </c>
      <c r="V264" s="16">
        <f>IF(T264="","",T264/MAX(T$5:T264)-1)</f>
        <v/>
      </c>
    </row>
    <row r="265" spans="1:19">
      <c r="A265" s="15" t="str">
        <f>IF('实盘净值数据(iFinD）'!A265="","",'实盘净值数据(iFinD）'!A265)</f>
        <v/>
      </c>
      <c r="B265" s="13" t="str">
        <f>IF(OR('实盘净值数据(iFinD）'!$A265="",'实盘净值数据(iFinD）'!$B265=""),"",分期持仓明细!$AB$17*SUMPRODUCT(分期持仓明细!$B$17:$Y$17,'实盘净值数据(iFinD）'!$B265:$Y265/'实盘净值数据(iFinD）'!$B$20:$Y$20)*(1-实盘持仓初始配置!$Z$4)^(('实盘净值数据(iFinD）'!$A265-'实盘净值数据(iFinD）'!$A$6)/365))</f>
        <v/>
      </c>
      <c r="C265" s="16" t="str">
        <f t="shared" si="24"/>
        <v/>
      </c>
      <c r="D265" s="16" t="str">
        <f>IF(B265="","",B265/MAX(B$5:B265)-1)</f>
        <v/>
      </c>
      <c r="E265" s="13" t="str">
        <f>IF(OR('实盘净值数据(iFinD）'!$A265="",'实盘净值数据(iFinD）'!$B265=""),"",分期持仓明细!$AB$18*SUMPRODUCT(分期持仓明细!$B$18:$Y$18,'实盘净值数据(iFinD）'!$B265:$Y265/'实盘净值数据(iFinD）'!$B$20:$Y$20)*(1-实盘持仓初始配置!$Z$5)^(('实盘净值数据(iFinD）'!$A265-'实盘净值数据(iFinD）'!$A$5)/365))</f>
        <v/>
      </c>
      <c r="F265" s="16" t="str">
        <f t="shared" si="25"/>
        <v/>
      </c>
      <c r="G265" s="16" t="str">
        <f>IF(E265="","",E265/MAX(E$5:E265)-1)</f>
        <v/>
      </c>
      <c r="H265" s="13" t="str">
        <f>IF(OR('实盘净值数据(iFinD）'!$A265="",'实盘净值数据(iFinD）'!$B265=""),"",分期持仓明细!$AB$19*SUMPRODUCT(分期持仓明细!$B$19:$Y$19,'实盘净值数据(iFinD）'!$B265:$Y265/'实盘净值数据(iFinD）'!$B$20:$Y$20)*(1-实盘持仓初始配置!$Z$6)^(('实盘净值数据(iFinD）'!$A265-'实盘净值数据(iFinD）'!$A$7)/365))</f>
        <v/>
      </c>
      <c r="I265" s="16" t="str">
        <f t="shared" si="26"/>
        <v/>
      </c>
      <c r="J265" s="16" t="str">
        <f>IF(H265="","",H265/MAX(H$5:H265)-1)</f>
        <v/>
      </c>
      <c r="K265" s="13" t="str">
        <f>IF(OR('实盘净值数据(iFinD）'!$A265="",'实盘净值数据(iFinD）'!$B265="",'实盘净值数据(iFinD）'!$Z265="",'实盘净值数据(iFinD）'!$AA265=""),"",分期持仓明细!$AB$23*(SUMPRODUCT(分期持仓明细!$B$23:$Y$23,'实盘净值数据(iFinD）'!$B265:$Y265/'实盘净值数据(iFinD）'!$B$65:$Y$65)+SUMPRODUCT(分期持仓明细!$AC$23:$AD$23,'实盘净值数据(iFinD）'!$Z265:$AA265/'实盘净值数据(iFinD）'!$Z$65:$AA$65))*(1-实盘持仓初始配置!$Z$7)^(('实盘净值数据(iFinD）'!$A265-'实盘净值数据(iFinD）'!$A$8)/365))</f>
        <v/>
      </c>
      <c r="L265" s="16" t="str">
        <f t="shared" si="27"/>
        <v/>
      </c>
      <c r="M265" s="16" t="str">
        <f>IF(K265="","",K265/MAX(K$5:K265)-1)</f>
        <v/>
      </c>
      <c r="N265" s="13" t="str">
        <f>IF(OR('实盘净值数据(iFinD）'!$A265="",'实盘净值数据(iFinD）'!$B265="",'实盘净值数据(iFinD）'!$Z265="",'实盘净值数据(iFinD）'!$AA265=""),"",分期持仓明细!$AB$24*(SUMPRODUCT(分期持仓明细!$B$24:$Y$24,'实盘净值数据(iFinD）'!$B265:$Y265/'实盘净值数据(iFinD）'!$B$65:$Y$65)+SUMPRODUCT(分期持仓明细!$AC$24:$AD$24,'实盘净值数据(iFinD）'!$Z265:$AA265/'实盘净值数据(iFinD）'!$Z$65:$AA$65))*(1-实盘持仓初始配置!$Z$8)^(('实盘净值数据(iFinD）'!$A265-'实盘净值数据(iFinD）'!$A$5)/365))</f>
        <v/>
      </c>
      <c r="O265" s="16" t="str">
        <f t="shared" si="28"/>
        <v/>
      </c>
      <c r="P265" s="16" t="str">
        <f>IF(N265="","",N265/MAX(N$5:N265)-1)</f>
        <v/>
      </c>
      <c r="Q265" s="13" t="str">
        <f>IF(OR('实盘净值数据(iFinD）'!$A265="",'实盘净值数据(iFinD）'!$B265="",'实盘净值数据(iFinD）'!$Z265="",'实盘净值数据(iFinD）'!$AA265=""),"",分期持仓明细!$AB$25*(SUMPRODUCT(分期持仓明细!$B$25:$Y$25,'实盘净值数据(iFinD）'!$B265:$Y265/'实盘净值数据(iFinD）'!$B$65:$Y$65)+SUMPRODUCT(分期持仓明细!$AC$25:$AD$25,'实盘净值数据(iFinD）'!$Z265:$AA265/'实盘净值数据(iFinD）'!$Z$65:$AA$65))*(1-实盘持仓初始配置!$Z$9)^(('实盘净值数据(iFinD）'!$A265-'实盘净值数据(iFinD）'!$A$8)/365))</f>
        <v/>
      </c>
      <c r="R265" s="16" t="str">
        <f t="shared" si="29"/>
        <v/>
      </c>
      <c r="S265" s="16" t="str">
        <f>IF(Q265="","",Q265/MAX(Q$5:Q265)-1)</f>
        <v/>
      </c>
      <c r="T265" s="13">
        <f>IF(OR('实盘净值数据(iFinD）'!$A265="",'实盘净值数据(iFinD）'!$B265="",'实盘净值数据(iFinD）'!$Z265="",'实盘净值数据(iFinD）'!$AA265="",'实盘净值数据(iFinD）'!$AB265="",'实盘净值数据(iFinD）'!$AL265=""),"",(SUMPRODUCT(分期持仓明细!$B$26:$Y$26,'实盘净值数据(iFinD）'!$B265:$Y265/'实盘净值数据(iFinD）'!$B$69:$Y$69)+SUMPRODUCT(分期持仓明细!$AC$26:$AD$26,'实盘净值数据(iFinD）'!$Z265:$AA265/'实盘净值数据(iFinD）'!$Z$69:$AA$69)+SUMPRODUCT(分期持仓明细!$AE$26:$AO$26,'实盘净值数据(iFinD）'!$AB265:$AL265/'实盘净值数据(iFinD）'!$AB$69:$AL$69))*(1-实盘持仓初始配置!$Z$10)^(('实盘净值数据(iFinD）'!$A265-'实盘净值数据(iFinD）'!$A$69)/365))</f>
        <v/>
      </c>
      <c r="U265" s="16">
        <f>IF(OR(T264="",T265=""),"",T265/T264-1)</f>
        <v/>
      </c>
      <c r="V265" s="16">
        <f>IF(T265="","",T265/MAX(T$5:T265)-1)</f>
        <v/>
      </c>
    </row>
    <row r="266" spans="1:19">
      <c r="A266" s="15" t="str">
        <f>IF('实盘净值数据(iFinD）'!A266="","",'实盘净值数据(iFinD）'!A266)</f>
        <v/>
      </c>
      <c r="B266" s="13" t="str">
        <f>IF(OR('实盘净值数据(iFinD）'!$A266="",'实盘净值数据(iFinD）'!$B266=""),"",分期持仓明细!$AB$17*SUMPRODUCT(分期持仓明细!$B$17:$Y$17,'实盘净值数据(iFinD）'!$B266:$Y266/'实盘净值数据(iFinD）'!$B$20:$Y$20)*(1-实盘持仓初始配置!$Z$4)^(('实盘净值数据(iFinD）'!$A266-'实盘净值数据(iFinD）'!$A$6)/365))</f>
        <v/>
      </c>
      <c r="C266" s="16" t="str">
        <f t="shared" si="24"/>
        <v/>
      </c>
      <c r="D266" s="16" t="str">
        <f>IF(B266="","",B266/MAX(B$5:B266)-1)</f>
        <v/>
      </c>
      <c r="E266" s="13" t="str">
        <f>IF(OR('实盘净值数据(iFinD）'!$A266="",'实盘净值数据(iFinD）'!$B266=""),"",分期持仓明细!$AB$18*SUMPRODUCT(分期持仓明细!$B$18:$Y$18,'实盘净值数据(iFinD）'!$B266:$Y266/'实盘净值数据(iFinD）'!$B$20:$Y$20)*(1-实盘持仓初始配置!$Z$5)^(('实盘净值数据(iFinD）'!$A266-'实盘净值数据(iFinD）'!$A$5)/365))</f>
        <v/>
      </c>
      <c r="F266" s="16" t="str">
        <f t="shared" si="25"/>
        <v/>
      </c>
      <c r="G266" s="16" t="str">
        <f>IF(E266="","",E266/MAX(E$5:E266)-1)</f>
        <v/>
      </c>
      <c r="H266" s="13" t="str">
        <f>IF(OR('实盘净值数据(iFinD）'!$A266="",'实盘净值数据(iFinD）'!$B266=""),"",分期持仓明细!$AB$19*SUMPRODUCT(分期持仓明细!$B$19:$Y$19,'实盘净值数据(iFinD）'!$B266:$Y266/'实盘净值数据(iFinD）'!$B$20:$Y$20)*(1-实盘持仓初始配置!$Z$6)^(('实盘净值数据(iFinD）'!$A266-'实盘净值数据(iFinD）'!$A$7)/365))</f>
        <v/>
      </c>
      <c r="I266" s="16" t="str">
        <f t="shared" si="26"/>
        <v/>
      </c>
      <c r="J266" s="16" t="str">
        <f>IF(H266="","",H266/MAX(H$5:H266)-1)</f>
        <v/>
      </c>
      <c r="K266" s="13" t="str">
        <f>IF(OR('实盘净值数据(iFinD）'!$A266="",'实盘净值数据(iFinD）'!$B266="",'实盘净值数据(iFinD）'!$Z266="",'实盘净值数据(iFinD）'!$AA266=""),"",分期持仓明细!$AB$23*(SUMPRODUCT(分期持仓明细!$B$23:$Y$23,'实盘净值数据(iFinD）'!$B266:$Y266/'实盘净值数据(iFinD）'!$B$65:$Y$65)+SUMPRODUCT(分期持仓明细!$AC$23:$AD$23,'实盘净值数据(iFinD）'!$Z266:$AA266/'实盘净值数据(iFinD）'!$Z$65:$AA$65))*(1-实盘持仓初始配置!$Z$7)^(('实盘净值数据(iFinD）'!$A266-'实盘净值数据(iFinD）'!$A$8)/365))</f>
        <v/>
      </c>
      <c r="L266" s="16" t="str">
        <f t="shared" si="27"/>
        <v/>
      </c>
      <c r="M266" s="16" t="str">
        <f>IF(K266="","",K266/MAX(K$5:K266)-1)</f>
        <v/>
      </c>
      <c r="N266" s="13" t="str">
        <f>IF(OR('实盘净值数据(iFinD）'!$A266="",'实盘净值数据(iFinD）'!$B266="",'实盘净值数据(iFinD）'!$Z266="",'实盘净值数据(iFinD）'!$AA266=""),"",分期持仓明细!$AB$24*(SUMPRODUCT(分期持仓明细!$B$24:$Y$24,'实盘净值数据(iFinD）'!$B266:$Y266/'实盘净值数据(iFinD）'!$B$65:$Y$65)+SUMPRODUCT(分期持仓明细!$AC$24:$AD$24,'实盘净值数据(iFinD）'!$Z266:$AA266/'实盘净值数据(iFinD）'!$Z$65:$AA$65))*(1-实盘持仓初始配置!$Z$8)^(('实盘净值数据(iFinD）'!$A266-'实盘净值数据(iFinD）'!$A$5)/365))</f>
        <v/>
      </c>
      <c r="O266" s="16" t="str">
        <f t="shared" si="28"/>
        <v/>
      </c>
      <c r="P266" s="16" t="str">
        <f>IF(N266="","",N266/MAX(N$5:N266)-1)</f>
        <v/>
      </c>
      <c r="Q266" s="13" t="str">
        <f>IF(OR('实盘净值数据(iFinD）'!$A266="",'实盘净值数据(iFinD）'!$B266="",'实盘净值数据(iFinD）'!$Z266="",'实盘净值数据(iFinD）'!$AA266=""),"",分期持仓明细!$AB$25*(SUMPRODUCT(分期持仓明细!$B$25:$Y$25,'实盘净值数据(iFinD）'!$B266:$Y266/'实盘净值数据(iFinD）'!$B$65:$Y$65)+SUMPRODUCT(分期持仓明细!$AC$25:$AD$25,'实盘净值数据(iFinD）'!$Z266:$AA266/'实盘净值数据(iFinD）'!$Z$65:$AA$65))*(1-实盘持仓初始配置!$Z$9)^(('实盘净值数据(iFinD）'!$A266-'实盘净值数据(iFinD）'!$A$8)/365))</f>
        <v/>
      </c>
      <c r="R266" s="16" t="str">
        <f t="shared" si="29"/>
        <v/>
      </c>
      <c r="S266" s="16" t="str">
        <f>IF(Q266="","",Q266/MAX(Q$5:Q266)-1)</f>
        <v/>
      </c>
      <c r="T266" s="13">
        <f>IF(OR('实盘净值数据(iFinD）'!$A266="",'实盘净值数据(iFinD）'!$B266="",'实盘净值数据(iFinD）'!$Z266="",'实盘净值数据(iFinD）'!$AA266="",'实盘净值数据(iFinD）'!$AB266="",'实盘净值数据(iFinD）'!$AL266=""),"",(SUMPRODUCT(分期持仓明细!$B$26:$Y$26,'实盘净值数据(iFinD）'!$B266:$Y266/'实盘净值数据(iFinD）'!$B$69:$Y$69)+SUMPRODUCT(分期持仓明细!$AC$26:$AD$26,'实盘净值数据(iFinD）'!$Z266:$AA266/'实盘净值数据(iFinD）'!$Z$69:$AA$69)+SUMPRODUCT(分期持仓明细!$AE$26:$AO$26,'实盘净值数据(iFinD）'!$AB266:$AL266/'实盘净值数据(iFinD）'!$AB$69:$AL$69))*(1-实盘持仓初始配置!$Z$10)^(('实盘净值数据(iFinD）'!$A266-'实盘净值数据(iFinD）'!$A$69)/365))</f>
        <v/>
      </c>
      <c r="U266" s="16">
        <f>IF(OR(T265="",T266=""),"",T266/T265-1)</f>
        <v/>
      </c>
      <c r="V266" s="16">
        <f>IF(T266="","",T266/MAX(T$5:T266)-1)</f>
        <v/>
      </c>
    </row>
    <row r="267" spans="1:19">
      <c r="A267" s="15" t="str">
        <f>IF('实盘净值数据(iFinD）'!A267="","",'实盘净值数据(iFinD）'!A267)</f>
        <v/>
      </c>
      <c r="B267" s="13" t="str">
        <f>IF(OR('实盘净值数据(iFinD）'!$A267="",'实盘净值数据(iFinD）'!$B267=""),"",分期持仓明细!$AB$17*SUMPRODUCT(分期持仓明细!$B$17:$Y$17,'实盘净值数据(iFinD）'!$B267:$Y267/'实盘净值数据(iFinD）'!$B$20:$Y$20)*(1-实盘持仓初始配置!$Z$4)^(('实盘净值数据(iFinD）'!$A267-'实盘净值数据(iFinD）'!$A$6)/365))</f>
        <v/>
      </c>
      <c r="C267" s="16" t="str">
        <f t="shared" si="24"/>
        <v/>
      </c>
      <c r="D267" s="16" t="str">
        <f>IF(B267="","",B267/MAX(B$5:B267)-1)</f>
        <v/>
      </c>
      <c r="E267" s="13" t="str">
        <f>IF(OR('实盘净值数据(iFinD）'!$A267="",'实盘净值数据(iFinD）'!$B267=""),"",分期持仓明细!$AB$18*SUMPRODUCT(分期持仓明细!$B$18:$Y$18,'实盘净值数据(iFinD）'!$B267:$Y267/'实盘净值数据(iFinD）'!$B$20:$Y$20)*(1-实盘持仓初始配置!$Z$5)^(('实盘净值数据(iFinD）'!$A267-'实盘净值数据(iFinD）'!$A$5)/365))</f>
        <v/>
      </c>
      <c r="F267" s="16" t="str">
        <f t="shared" si="25"/>
        <v/>
      </c>
      <c r="G267" s="16" t="str">
        <f>IF(E267="","",E267/MAX(E$5:E267)-1)</f>
        <v/>
      </c>
      <c r="H267" s="13" t="str">
        <f>IF(OR('实盘净值数据(iFinD）'!$A267="",'实盘净值数据(iFinD）'!$B267=""),"",分期持仓明细!$AB$19*SUMPRODUCT(分期持仓明细!$B$19:$Y$19,'实盘净值数据(iFinD）'!$B267:$Y267/'实盘净值数据(iFinD）'!$B$20:$Y$20)*(1-实盘持仓初始配置!$Z$6)^(('实盘净值数据(iFinD）'!$A267-'实盘净值数据(iFinD）'!$A$7)/365))</f>
        <v/>
      </c>
      <c r="I267" s="16" t="str">
        <f t="shared" si="26"/>
        <v/>
      </c>
      <c r="J267" s="16" t="str">
        <f>IF(H267="","",H267/MAX(H$5:H267)-1)</f>
        <v/>
      </c>
      <c r="K267" s="13" t="str">
        <f>IF(OR('实盘净值数据(iFinD）'!$A267="",'实盘净值数据(iFinD）'!$B267="",'实盘净值数据(iFinD）'!$Z267="",'实盘净值数据(iFinD）'!$AA267=""),"",分期持仓明细!$AB$23*(SUMPRODUCT(分期持仓明细!$B$23:$Y$23,'实盘净值数据(iFinD）'!$B267:$Y267/'实盘净值数据(iFinD）'!$B$65:$Y$65)+SUMPRODUCT(分期持仓明细!$AC$23:$AD$23,'实盘净值数据(iFinD）'!$Z267:$AA267/'实盘净值数据(iFinD）'!$Z$65:$AA$65))*(1-实盘持仓初始配置!$Z$7)^(('实盘净值数据(iFinD）'!$A267-'实盘净值数据(iFinD）'!$A$8)/365))</f>
        <v/>
      </c>
      <c r="L267" s="16" t="str">
        <f t="shared" si="27"/>
        <v/>
      </c>
      <c r="M267" s="16" t="str">
        <f>IF(K267="","",K267/MAX(K$5:K267)-1)</f>
        <v/>
      </c>
      <c r="N267" s="13" t="str">
        <f>IF(OR('实盘净值数据(iFinD）'!$A267="",'实盘净值数据(iFinD）'!$B267="",'实盘净值数据(iFinD）'!$Z267="",'实盘净值数据(iFinD）'!$AA267=""),"",分期持仓明细!$AB$24*(SUMPRODUCT(分期持仓明细!$B$24:$Y$24,'实盘净值数据(iFinD）'!$B267:$Y267/'实盘净值数据(iFinD）'!$B$65:$Y$65)+SUMPRODUCT(分期持仓明细!$AC$24:$AD$24,'实盘净值数据(iFinD）'!$Z267:$AA267/'实盘净值数据(iFinD）'!$Z$65:$AA$65))*(1-实盘持仓初始配置!$Z$8)^(('实盘净值数据(iFinD）'!$A267-'实盘净值数据(iFinD）'!$A$5)/365))</f>
        <v/>
      </c>
      <c r="O267" s="16" t="str">
        <f t="shared" si="28"/>
        <v/>
      </c>
      <c r="P267" s="16" t="str">
        <f>IF(N267="","",N267/MAX(N$5:N267)-1)</f>
        <v/>
      </c>
      <c r="Q267" s="13" t="str">
        <f>IF(OR('实盘净值数据(iFinD）'!$A267="",'实盘净值数据(iFinD）'!$B267="",'实盘净值数据(iFinD）'!$Z267="",'实盘净值数据(iFinD）'!$AA267=""),"",分期持仓明细!$AB$25*(SUMPRODUCT(分期持仓明细!$B$25:$Y$25,'实盘净值数据(iFinD）'!$B267:$Y267/'实盘净值数据(iFinD）'!$B$65:$Y$65)+SUMPRODUCT(分期持仓明细!$AC$25:$AD$25,'实盘净值数据(iFinD）'!$Z267:$AA267/'实盘净值数据(iFinD）'!$Z$65:$AA$65))*(1-实盘持仓初始配置!$Z$9)^(('实盘净值数据(iFinD）'!$A267-'实盘净值数据(iFinD）'!$A$8)/365))</f>
        <v/>
      </c>
      <c r="R267" s="16" t="str">
        <f t="shared" si="29"/>
        <v/>
      </c>
      <c r="S267" s="16" t="str">
        <f>IF(Q267="","",Q267/MAX(Q$5:Q267)-1)</f>
        <v/>
      </c>
      <c r="T267" s="13">
        <f>IF(OR('实盘净值数据(iFinD）'!$A267="",'实盘净值数据(iFinD）'!$B267="",'实盘净值数据(iFinD）'!$Z267="",'实盘净值数据(iFinD）'!$AA267="",'实盘净值数据(iFinD）'!$AB267="",'实盘净值数据(iFinD）'!$AL267=""),"",(SUMPRODUCT(分期持仓明细!$B$26:$Y$26,'实盘净值数据(iFinD）'!$B267:$Y267/'实盘净值数据(iFinD）'!$B$69:$Y$69)+SUMPRODUCT(分期持仓明细!$AC$26:$AD$26,'实盘净值数据(iFinD）'!$Z267:$AA267/'实盘净值数据(iFinD）'!$Z$69:$AA$69)+SUMPRODUCT(分期持仓明细!$AE$26:$AO$26,'实盘净值数据(iFinD）'!$AB267:$AL267/'实盘净值数据(iFinD）'!$AB$69:$AL$69))*(1-实盘持仓初始配置!$Z$10)^(('实盘净值数据(iFinD）'!$A267-'实盘净值数据(iFinD）'!$A$69)/365))</f>
        <v/>
      </c>
      <c r="U267" s="16">
        <f>IF(OR(T266="",T267=""),"",T267/T266-1)</f>
        <v/>
      </c>
      <c r="V267" s="16">
        <f>IF(T267="","",T267/MAX(T$5:T267)-1)</f>
        <v/>
      </c>
    </row>
    <row r="268" spans="1:19">
      <c r="A268" s="15" t="str">
        <f>IF('实盘净值数据(iFinD）'!A268="","",'实盘净值数据(iFinD）'!A268)</f>
        <v/>
      </c>
      <c r="B268" s="13" t="str">
        <f>IF(OR('实盘净值数据(iFinD）'!$A268="",'实盘净值数据(iFinD）'!$B268=""),"",分期持仓明细!$AB$17*SUMPRODUCT(分期持仓明细!$B$17:$Y$17,'实盘净值数据(iFinD）'!$B268:$Y268/'实盘净值数据(iFinD）'!$B$20:$Y$20)*(1-实盘持仓初始配置!$Z$4)^(('实盘净值数据(iFinD）'!$A268-'实盘净值数据(iFinD）'!$A$6)/365))</f>
        <v/>
      </c>
      <c r="C268" s="16" t="str">
        <f t="shared" si="24"/>
        <v/>
      </c>
      <c r="D268" s="16" t="str">
        <f>IF(B268="","",B268/MAX(B$5:B268)-1)</f>
        <v/>
      </c>
      <c r="E268" s="13" t="str">
        <f>IF(OR('实盘净值数据(iFinD）'!$A268="",'实盘净值数据(iFinD）'!$B268=""),"",分期持仓明细!$AB$18*SUMPRODUCT(分期持仓明细!$B$18:$Y$18,'实盘净值数据(iFinD）'!$B268:$Y268/'实盘净值数据(iFinD）'!$B$20:$Y$20)*(1-实盘持仓初始配置!$Z$5)^(('实盘净值数据(iFinD）'!$A268-'实盘净值数据(iFinD）'!$A$5)/365))</f>
        <v/>
      </c>
      <c r="F268" s="16" t="str">
        <f t="shared" si="25"/>
        <v/>
      </c>
      <c r="G268" s="16" t="str">
        <f>IF(E268="","",E268/MAX(E$5:E268)-1)</f>
        <v/>
      </c>
      <c r="H268" s="13" t="str">
        <f>IF(OR('实盘净值数据(iFinD）'!$A268="",'实盘净值数据(iFinD）'!$B268=""),"",分期持仓明细!$AB$19*SUMPRODUCT(分期持仓明细!$B$19:$Y$19,'实盘净值数据(iFinD）'!$B268:$Y268/'实盘净值数据(iFinD）'!$B$20:$Y$20)*(1-实盘持仓初始配置!$Z$6)^(('实盘净值数据(iFinD）'!$A268-'实盘净值数据(iFinD）'!$A$7)/365))</f>
        <v/>
      </c>
      <c r="I268" s="16" t="str">
        <f t="shared" si="26"/>
        <v/>
      </c>
      <c r="J268" s="16" t="str">
        <f>IF(H268="","",H268/MAX(H$5:H268)-1)</f>
        <v/>
      </c>
      <c r="K268" s="13" t="str">
        <f>IF(OR('实盘净值数据(iFinD）'!$A268="",'实盘净值数据(iFinD）'!$B268="",'实盘净值数据(iFinD）'!$Z268="",'实盘净值数据(iFinD）'!$AA268=""),"",分期持仓明细!$AB$23*(SUMPRODUCT(分期持仓明细!$B$23:$Y$23,'实盘净值数据(iFinD）'!$B268:$Y268/'实盘净值数据(iFinD）'!$B$65:$Y$65)+SUMPRODUCT(分期持仓明细!$AC$23:$AD$23,'实盘净值数据(iFinD）'!$Z268:$AA268/'实盘净值数据(iFinD）'!$Z$65:$AA$65))*(1-实盘持仓初始配置!$Z$7)^(('实盘净值数据(iFinD）'!$A268-'实盘净值数据(iFinD）'!$A$8)/365))</f>
        <v/>
      </c>
      <c r="L268" s="16" t="str">
        <f t="shared" si="27"/>
        <v/>
      </c>
      <c r="M268" s="16" t="str">
        <f>IF(K268="","",K268/MAX(K$5:K268)-1)</f>
        <v/>
      </c>
      <c r="N268" s="13" t="str">
        <f>IF(OR('实盘净值数据(iFinD）'!$A268="",'实盘净值数据(iFinD）'!$B268="",'实盘净值数据(iFinD）'!$Z268="",'实盘净值数据(iFinD）'!$AA268=""),"",分期持仓明细!$AB$24*(SUMPRODUCT(分期持仓明细!$B$24:$Y$24,'实盘净值数据(iFinD）'!$B268:$Y268/'实盘净值数据(iFinD）'!$B$65:$Y$65)+SUMPRODUCT(分期持仓明细!$AC$24:$AD$24,'实盘净值数据(iFinD）'!$Z268:$AA268/'实盘净值数据(iFinD）'!$Z$65:$AA$65))*(1-实盘持仓初始配置!$Z$8)^(('实盘净值数据(iFinD）'!$A268-'实盘净值数据(iFinD）'!$A$5)/365))</f>
        <v/>
      </c>
      <c r="O268" s="16" t="str">
        <f t="shared" si="28"/>
        <v/>
      </c>
      <c r="P268" s="16" t="str">
        <f>IF(N268="","",N268/MAX(N$5:N268)-1)</f>
        <v/>
      </c>
      <c r="Q268" s="13" t="str">
        <f>IF(OR('实盘净值数据(iFinD）'!$A268="",'实盘净值数据(iFinD）'!$B268="",'实盘净值数据(iFinD）'!$Z268="",'实盘净值数据(iFinD）'!$AA268=""),"",分期持仓明细!$AB$25*(SUMPRODUCT(分期持仓明细!$B$25:$Y$25,'实盘净值数据(iFinD）'!$B268:$Y268/'实盘净值数据(iFinD）'!$B$65:$Y$65)+SUMPRODUCT(分期持仓明细!$AC$25:$AD$25,'实盘净值数据(iFinD）'!$Z268:$AA268/'实盘净值数据(iFinD）'!$Z$65:$AA$65))*(1-实盘持仓初始配置!$Z$9)^(('实盘净值数据(iFinD）'!$A268-'实盘净值数据(iFinD）'!$A$8)/365))</f>
        <v/>
      </c>
      <c r="R268" s="16" t="str">
        <f t="shared" si="29"/>
        <v/>
      </c>
      <c r="S268" s="16" t="str">
        <f>IF(Q268="","",Q268/MAX(Q$5:Q268)-1)</f>
        <v/>
      </c>
      <c r="T268" s="13">
        <f>IF(OR('实盘净值数据(iFinD）'!$A268="",'实盘净值数据(iFinD）'!$B268="",'实盘净值数据(iFinD）'!$Z268="",'实盘净值数据(iFinD）'!$AA268="",'实盘净值数据(iFinD）'!$AB268="",'实盘净值数据(iFinD）'!$AL268=""),"",(SUMPRODUCT(分期持仓明细!$B$26:$Y$26,'实盘净值数据(iFinD）'!$B268:$Y268/'实盘净值数据(iFinD）'!$B$69:$Y$69)+SUMPRODUCT(分期持仓明细!$AC$26:$AD$26,'实盘净值数据(iFinD）'!$Z268:$AA268/'实盘净值数据(iFinD）'!$Z$69:$AA$69)+SUMPRODUCT(分期持仓明细!$AE$26:$AO$26,'实盘净值数据(iFinD）'!$AB268:$AL268/'实盘净值数据(iFinD）'!$AB$69:$AL$69))*(1-实盘持仓初始配置!$Z$10)^(('实盘净值数据(iFinD）'!$A268-'实盘净值数据(iFinD）'!$A$69)/365))</f>
        <v/>
      </c>
      <c r="U268" s="16">
        <f>IF(OR(T267="",T268=""),"",T268/T267-1)</f>
        <v/>
      </c>
      <c r="V268" s="16">
        <f>IF(T268="","",T268/MAX(T$5:T268)-1)</f>
        <v/>
      </c>
    </row>
    <row r="269" spans="1:19">
      <c r="A269" s="15" t="str">
        <f>IF('实盘净值数据(iFinD）'!A269="","",'实盘净值数据(iFinD）'!A269)</f>
        <v/>
      </c>
      <c r="B269" s="13" t="str">
        <f>IF(OR('实盘净值数据(iFinD）'!$A269="",'实盘净值数据(iFinD）'!$B269=""),"",分期持仓明细!$AB$17*SUMPRODUCT(分期持仓明细!$B$17:$Y$17,'实盘净值数据(iFinD）'!$B269:$Y269/'实盘净值数据(iFinD）'!$B$20:$Y$20)*(1-实盘持仓初始配置!$Z$4)^(('实盘净值数据(iFinD）'!$A269-'实盘净值数据(iFinD）'!$A$6)/365))</f>
        <v/>
      </c>
      <c r="C269" s="16" t="str">
        <f t="shared" si="24"/>
        <v/>
      </c>
      <c r="D269" s="16" t="str">
        <f>IF(B269="","",B269/MAX(B$5:B269)-1)</f>
        <v/>
      </c>
      <c r="E269" s="13" t="str">
        <f>IF(OR('实盘净值数据(iFinD）'!$A269="",'实盘净值数据(iFinD）'!$B269=""),"",分期持仓明细!$AB$18*SUMPRODUCT(分期持仓明细!$B$18:$Y$18,'实盘净值数据(iFinD）'!$B269:$Y269/'实盘净值数据(iFinD）'!$B$20:$Y$20)*(1-实盘持仓初始配置!$Z$5)^(('实盘净值数据(iFinD）'!$A269-'实盘净值数据(iFinD）'!$A$5)/365))</f>
        <v/>
      </c>
      <c r="F269" s="16" t="str">
        <f t="shared" si="25"/>
        <v/>
      </c>
      <c r="G269" s="16" t="str">
        <f>IF(E269="","",E269/MAX(E$5:E269)-1)</f>
        <v/>
      </c>
      <c r="H269" s="13" t="str">
        <f>IF(OR('实盘净值数据(iFinD）'!$A269="",'实盘净值数据(iFinD）'!$B269=""),"",分期持仓明细!$AB$19*SUMPRODUCT(分期持仓明细!$B$19:$Y$19,'实盘净值数据(iFinD）'!$B269:$Y269/'实盘净值数据(iFinD）'!$B$20:$Y$20)*(1-实盘持仓初始配置!$Z$6)^(('实盘净值数据(iFinD）'!$A269-'实盘净值数据(iFinD）'!$A$7)/365))</f>
        <v/>
      </c>
      <c r="I269" s="16" t="str">
        <f t="shared" si="26"/>
        <v/>
      </c>
      <c r="J269" s="16" t="str">
        <f>IF(H269="","",H269/MAX(H$5:H269)-1)</f>
        <v/>
      </c>
      <c r="K269" s="13" t="str">
        <f>IF(OR('实盘净值数据(iFinD）'!$A269="",'实盘净值数据(iFinD）'!$B269="",'实盘净值数据(iFinD）'!$Z269="",'实盘净值数据(iFinD）'!$AA269=""),"",分期持仓明细!$AB$23*(SUMPRODUCT(分期持仓明细!$B$23:$Y$23,'实盘净值数据(iFinD）'!$B269:$Y269/'实盘净值数据(iFinD）'!$B$65:$Y$65)+SUMPRODUCT(分期持仓明细!$AC$23:$AD$23,'实盘净值数据(iFinD）'!$Z269:$AA269/'实盘净值数据(iFinD）'!$Z$65:$AA$65))*(1-实盘持仓初始配置!$Z$7)^(('实盘净值数据(iFinD）'!$A269-'实盘净值数据(iFinD）'!$A$8)/365))</f>
        <v/>
      </c>
      <c r="L269" s="16" t="str">
        <f t="shared" si="27"/>
        <v/>
      </c>
      <c r="M269" s="16" t="str">
        <f>IF(K269="","",K269/MAX(K$5:K269)-1)</f>
        <v/>
      </c>
      <c r="N269" s="13" t="str">
        <f>IF(OR('实盘净值数据(iFinD）'!$A269="",'实盘净值数据(iFinD）'!$B269="",'实盘净值数据(iFinD）'!$Z269="",'实盘净值数据(iFinD）'!$AA269=""),"",分期持仓明细!$AB$24*(SUMPRODUCT(分期持仓明细!$B$24:$Y$24,'实盘净值数据(iFinD）'!$B269:$Y269/'实盘净值数据(iFinD）'!$B$65:$Y$65)+SUMPRODUCT(分期持仓明细!$AC$24:$AD$24,'实盘净值数据(iFinD）'!$Z269:$AA269/'实盘净值数据(iFinD）'!$Z$65:$AA$65))*(1-实盘持仓初始配置!$Z$8)^(('实盘净值数据(iFinD）'!$A269-'实盘净值数据(iFinD）'!$A$5)/365))</f>
        <v/>
      </c>
      <c r="O269" s="16" t="str">
        <f t="shared" si="28"/>
        <v/>
      </c>
      <c r="P269" s="16" t="str">
        <f>IF(N269="","",N269/MAX(N$5:N269)-1)</f>
        <v/>
      </c>
      <c r="Q269" s="13" t="str">
        <f>IF(OR('实盘净值数据(iFinD）'!$A269="",'实盘净值数据(iFinD）'!$B269="",'实盘净值数据(iFinD）'!$Z269="",'实盘净值数据(iFinD）'!$AA269=""),"",分期持仓明细!$AB$25*(SUMPRODUCT(分期持仓明细!$B$25:$Y$25,'实盘净值数据(iFinD）'!$B269:$Y269/'实盘净值数据(iFinD）'!$B$65:$Y$65)+SUMPRODUCT(分期持仓明细!$AC$25:$AD$25,'实盘净值数据(iFinD）'!$Z269:$AA269/'实盘净值数据(iFinD）'!$Z$65:$AA$65))*(1-实盘持仓初始配置!$Z$9)^(('实盘净值数据(iFinD）'!$A269-'实盘净值数据(iFinD）'!$A$8)/365))</f>
        <v/>
      </c>
      <c r="R269" s="16" t="str">
        <f t="shared" si="29"/>
        <v/>
      </c>
      <c r="S269" s="16" t="str">
        <f>IF(Q269="","",Q269/MAX(Q$5:Q269)-1)</f>
        <v/>
      </c>
      <c r="T269" s="13">
        <f>IF(OR('实盘净值数据(iFinD）'!$A269="",'实盘净值数据(iFinD）'!$B269="",'实盘净值数据(iFinD）'!$Z269="",'实盘净值数据(iFinD）'!$AA269="",'实盘净值数据(iFinD）'!$AB269="",'实盘净值数据(iFinD）'!$AL269=""),"",(SUMPRODUCT(分期持仓明细!$B$26:$Y$26,'实盘净值数据(iFinD）'!$B269:$Y269/'实盘净值数据(iFinD）'!$B$69:$Y$69)+SUMPRODUCT(分期持仓明细!$AC$26:$AD$26,'实盘净值数据(iFinD）'!$Z269:$AA269/'实盘净值数据(iFinD）'!$Z$69:$AA$69)+SUMPRODUCT(分期持仓明细!$AE$26:$AO$26,'实盘净值数据(iFinD）'!$AB269:$AL269/'实盘净值数据(iFinD）'!$AB$69:$AL$69))*(1-实盘持仓初始配置!$Z$10)^(('实盘净值数据(iFinD）'!$A269-'实盘净值数据(iFinD）'!$A$69)/365))</f>
        <v/>
      </c>
      <c r="U269" s="16">
        <f>IF(OR(T268="",T269=""),"",T269/T268-1)</f>
        <v/>
      </c>
      <c r="V269" s="16">
        <f>IF(T269="","",T269/MAX(T$5:T269)-1)</f>
        <v/>
      </c>
    </row>
    <row r="270" spans="1:19">
      <c r="A270" s="15" t="str">
        <f>IF('实盘净值数据(iFinD）'!A270="","",'实盘净值数据(iFinD）'!A270)</f>
        <v/>
      </c>
      <c r="B270" s="13" t="str">
        <f>IF(OR('实盘净值数据(iFinD）'!$A270="",'实盘净值数据(iFinD）'!$B270=""),"",分期持仓明细!$AB$17*SUMPRODUCT(分期持仓明细!$B$17:$Y$17,'实盘净值数据(iFinD）'!$B270:$Y270/'实盘净值数据(iFinD）'!$B$20:$Y$20)*(1-实盘持仓初始配置!$Z$4)^(('实盘净值数据(iFinD）'!$A270-'实盘净值数据(iFinD）'!$A$6)/365))</f>
        <v/>
      </c>
      <c r="C270" s="16" t="str">
        <f t="shared" si="24"/>
        <v/>
      </c>
      <c r="D270" s="16" t="str">
        <f>IF(B270="","",B270/MAX(B$5:B270)-1)</f>
        <v/>
      </c>
      <c r="E270" s="13" t="str">
        <f>IF(OR('实盘净值数据(iFinD）'!$A270="",'实盘净值数据(iFinD）'!$B270=""),"",分期持仓明细!$AB$18*SUMPRODUCT(分期持仓明细!$B$18:$Y$18,'实盘净值数据(iFinD）'!$B270:$Y270/'实盘净值数据(iFinD）'!$B$20:$Y$20)*(1-实盘持仓初始配置!$Z$5)^(('实盘净值数据(iFinD）'!$A270-'实盘净值数据(iFinD）'!$A$5)/365))</f>
        <v/>
      </c>
      <c r="F270" s="16" t="str">
        <f t="shared" si="25"/>
        <v/>
      </c>
      <c r="G270" s="16" t="str">
        <f>IF(E270="","",E270/MAX(E$5:E270)-1)</f>
        <v/>
      </c>
      <c r="H270" s="13" t="str">
        <f>IF(OR('实盘净值数据(iFinD）'!$A270="",'实盘净值数据(iFinD）'!$B270=""),"",分期持仓明细!$AB$19*SUMPRODUCT(分期持仓明细!$B$19:$Y$19,'实盘净值数据(iFinD）'!$B270:$Y270/'实盘净值数据(iFinD）'!$B$20:$Y$20)*(1-实盘持仓初始配置!$Z$6)^(('实盘净值数据(iFinD）'!$A270-'实盘净值数据(iFinD）'!$A$7)/365))</f>
        <v/>
      </c>
      <c r="I270" s="16" t="str">
        <f t="shared" si="26"/>
        <v/>
      </c>
      <c r="J270" s="16" t="str">
        <f>IF(H270="","",H270/MAX(H$5:H270)-1)</f>
        <v/>
      </c>
      <c r="K270" s="13" t="str">
        <f>IF(OR('实盘净值数据(iFinD）'!$A270="",'实盘净值数据(iFinD）'!$B270="",'实盘净值数据(iFinD）'!$Z270="",'实盘净值数据(iFinD）'!$AA270=""),"",分期持仓明细!$AB$23*(SUMPRODUCT(分期持仓明细!$B$23:$Y$23,'实盘净值数据(iFinD）'!$B270:$Y270/'实盘净值数据(iFinD）'!$B$65:$Y$65)+SUMPRODUCT(分期持仓明细!$AC$23:$AD$23,'实盘净值数据(iFinD）'!$Z270:$AA270/'实盘净值数据(iFinD）'!$Z$65:$AA$65))*(1-实盘持仓初始配置!$Z$7)^(('实盘净值数据(iFinD）'!$A270-'实盘净值数据(iFinD）'!$A$8)/365))</f>
        <v/>
      </c>
      <c r="L270" s="16" t="str">
        <f t="shared" si="27"/>
        <v/>
      </c>
      <c r="M270" s="16" t="str">
        <f>IF(K270="","",K270/MAX(K$5:K270)-1)</f>
        <v/>
      </c>
      <c r="N270" s="13" t="str">
        <f>IF(OR('实盘净值数据(iFinD）'!$A270="",'实盘净值数据(iFinD）'!$B270="",'实盘净值数据(iFinD）'!$Z270="",'实盘净值数据(iFinD）'!$AA270=""),"",分期持仓明细!$AB$24*(SUMPRODUCT(分期持仓明细!$B$24:$Y$24,'实盘净值数据(iFinD）'!$B270:$Y270/'实盘净值数据(iFinD）'!$B$65:$Y$65)+SUMPRODUCT(分期持仓明细!$AC$24:$AD$24,'实盘净值数据(iFinD）'!$Z270:$AA270/'实盘净值数据(iFinD）'!$Z$65:$AA$65))*(1-实盘持仓初始配置!$Z$8)^(('实盘净值数据(iFinD）'!$A270-'实盘净值数据(iFinD）'!$A$5)/365))</f>
        <v/>
      </c>
      <c r="O270" s="16" t="str">
        <f t="shared" si="28"/>
        <v/>
      </c>
      <c r="P270" s="16" t="str">
        <f>IF(N270="","",N270/MAX(N$5:N270)-1)</f>
        <v/>
      </c>
      <c r="Q270" s="13" t="str">
        <f>IF(OR('实盘净值数据(iFinD）'!$A270="",'实盘净值数据(iFinD）'!$B270="",'实盘净值数据(iFinD）'!$Z270="",'实盘净值数据(iFinD）'!$AA270=""),"",分期持仓明细!$AB$25*(SUMPRODUCT(分期持仓明细!$B$25:$Y$25,'实盘净值数据(iFinD）'!$B270:$Y270/'实盘净值数据(iFinD）'!$B$65:$Y$65)+SUMPRODUCT(分期持仓明细!$AC$25:$AD$25,'实盘净值数据(iFinD）'!$Z270:$AA270/'实盘净值数据(iFinD）'!$Z$65:$AA$65))*(1-实盘持仓初始配置!$Z$9)^(('实盘净值数据(iFinD）'!$A270-'实盘净值数据(iFinD）'!$A$8)/365))</f>
        <v/>
      </c>
      <c r="R270" s="16" t="str">
        <f t="shared" si="29"/>
        <v/>
      </c>
      <c r="S270" s="16" t="str">
        <f>IF(Q270="","",Q270/MAX(Q$5:Q270)-1)</f>
        <v/>
      </c>
      <c r="T270" s="13">
        <f>IF(OR('实盘净值数据(iFinD）'!$A270="",'实盘净值数据(iFinD）'!$B270="",'实盘净值数据(iFinD）'!$Z270="",'实盘净值数据(iFinD）'!$AA270="",'实盘净值数据(iFinD）'!$AB270="",'实盘净值数据(iFinD）'!$AL270=""),"",(SUMPRODUCT(分期持仓明细!$B$26:$Y$26,'实盘净值数据(iFinD）'!$B270:$Y270/'实盘净值数据(iFinD）'!$B$69:$Y$69)+SUMPRODUCT(分期持仓明细!$AC$26:$AD$26,'实盘净值数据(iFinD）'!$Z270:$AA270/'实盘净值数据(iFinD）'!$Z$69:$AA$69)+SUMPRODUCT(分期持仓明细!$AE$26:$AO$26,'实盘净值数据(iFinD）'!$AB270:$AL270/'实盘净值数据(iFinD）'!$AB$69:$AL$69))*(1-实盘持仓初始配置!$Z$10)^(('实盘净值数据(iFinD）'!$A270-'实盘净值数据(iFinD）'!$A$69)/365))</f>
        <v/>
      </c>
      <c r="U270" s="16">
        <f>IF(OR(T269="",T270=""),"",T270/T269-1)</f>
        <v/>
      </c>
      <c r="V270" s="16">
        <f>IF(T270="","",T270/MAX(T$5:T270)-1)</f>
        <v/>
      </c>
    </row>
    <row r="271" spans="1:19">
      <c r="A271" s="15" t="str">
        <f>IF('实盘净值数据(iFinD）'!A271="","",'实盘净值数据(iFinD）'!A271)</f>
        <v/>
      </c>
      <c r="B271" s="13" t="str">
        <f>IF(OR('实盘净值数据(iFinD）'!$A271="",'实盘净值数据(iFinD）'!$B271=""),"",分期持仓明细!$AB$17*SUMPRODUCT(分期持仓明细!$B$17:$Y$17,'实盘净值数据(iFinD）'!$B271:$Y271/'实盘净值数据(iFinD）'!$B$20:$Y$20)*(1-实盘持仓初始配置!$Z$4)^(('实盘净值数据(iFinD）'!$A271-'实盘净值数据(iFinD）'!$A$6)/365))</f>
        <v/>
      </c>
      <c r="C271" s="16" t="str">
        <f t="shared" si="24"/>
        <v/>
      </c>
      <c r="D271" s="16" t="str">
        <f>IF(B271="","",B271/MAX(B$5:B271)-1)</f>
        <v/>
      </c>
      <c r="E271" s="13" t="str">
        <f>IF(OR('实盘净值数据(iFinD）'!$A271="",'实盘净值数据(iFinD）'!$B271=""),"",分期持仓明细!$AB$18*SUMPRODUCT(分期持仓明细!$B$18:$Y$18,'实盘净值数据(iFinD）'!$B271:$Y271/'实盘净值数据(iFinD）'!$B$20:$Y$20)*(1-实盘持仓初始配置!$Z$5)^(('实盘净值数据(iFinD）'!$A271-'实盘净值数据(iFinD）'!$A$5)/365))</f>
        <v/>
      </c>
      <c r="F271" s="16" t="str">
        <f t="shared" si="25"/>
        <v/>
      </c>
      <c r="G271" s="16" t="str">
        <f>IF(E271="","",E271/MAX(E$5:E271)-1)</f>
        <v/>
      </c>
      <c r="H271" s="13" t="str">
        <f>IF(OR('实盘净值数据(iFinD）'!$A271="",'实盘净值数据(iFinD）'!$B271=""),"",分期持仓明细!$AB$19*SUMPRODUCT(分期持仓明细!$B$19:$Y$19,'实盘净值数据(iFinD）'!$B271:$Y271/'实盘净值数据(iFinD）'!$B$20:$Y$20)*(1-实盘持仓初始配置!$Z$6)^(('实盘净值数据(iFinD）'!$A271-'实盘净值数据(iFinD）'!$A$7)/365))</f>
        <v/>
      </c>
      <c r="I271" s="16" t="str">
        <f t="shared" si="26"/>
        <v/>
      </c>
      <c r="J271" s="16" t="str">
        <f>IF(H271="","",H271/MAX(H$5:H271)-1)</f>
        <v/>
      </c>
      <c r="K271" s="13" t="str">
        <f>IF(OR('实盘净值数据(iFinD）'!$A271="",'实盘净值数据(iFinD）'!$B271="",'实盘净值数据(iFinD）'!$Z271="",'实盘净值数据(iFinD）'!$AA271=""),"",分期持仓明细!$AB$23*(SUMPRODUCT(分期持仓明细!$B$23:$Y$23,'实盘净值数据(iFinD）'!$B271:$Y271/'实盘净值数据(iFinD）'!$B$65:$Y$65)+SUMPRODUCT(分期持仓明细!$AC$23:$AD$23,'实盘净值数据(iFinD）'!$Z271:$AA271/'实盘净值数据(iFinD）'!$Z$65:$AA$65))*(1-实盘持仓初始配置!$Z$7)^(('实盘净值数据(iFinD）'!$A271-'实盘净值数据(iFinD）'!$A$8)/365))</f>
        <v/>
      </c>
      <c r="L271" s="16" t="str">
        <f t="shared" si="27"/>
        <v/>
      </c>
      <c r="M271" s="16" t="str">
        <f>IF(K271="","",K271/MAX(K$5:K271)-1)</f>
        <v/>
      </c>
      <c r="N271" s="13" t="str">
        <f>IF(OR('实盘净值数据(iFinD）'!$A271="",'实盘净值数据(iFinD）'!$B271="",'实盘净值数据(iFinD）'!$Z271="",'实盘净值数据(iFinD）'!$AA271=""),"",分期持仓明细!$AB$24*(SUMPRODUCT(分期持仓明细!$B$24:$Y$24,'实盘净值数据(iFinD）'!$B271:$Y271/'实盘净值数据(iFinD）'!$B$65:$Y$65)+SUMPRODUCT(分期持仓明细!$AC$24:$AD$24,'实盘净值数据(iFinD）'!$Z271:$AA271/'实盘净值数据(iFinD）'!$Z$65:$AA$65))*(1-实盘持仓初始配置!$Z$8)^(('实盘净值数据(iFinD）'!$A271-'实盘净值数据(iFinD）'!$A$5)/365))</f>
        <v/>
      </c>
      <c r="O271" s="16" t="str">
        <f t="shared" si="28"/>
        <v/>
      </c>
      <c r="P271" s="16" t="str">
        <f>IF(N271="","",N271/MAX(N$5:N271)-1)</f>
        <v/>
      </c>
      <c r="Q271" s="13" t="str">
        <f>IF(OR('实盘净值数据(iFinD）'!$A271="",'实盘净值数据(iFinD）'!$B271="",'实盘净值数据(iFinD）'!$Z271="",'实盘净值数据(iFinD）'!$AA271=""),"",分期持仓明细!$AB$25*(SUMPRODUCT(分期持仓明细!$B$25:$Y$25,'实盘净值数据(iFinD）'!$B271:$Y271/'实盘净值数据(iFinD）'!$B$65:$Y$65)+SUMPRODUCT(分期持仓明细!$AC$25:$AD$25,'实盘净值数据(iFinD）'!$Z271:$AA271/'实盘净值数据(iFinD）'!$Z$65:$AA$65))*(1-实盘持仓初始配置!$Z$9)^(('实盘净值数据(iFinD）'!$A271-'实盘净值数据(iFinD）'!$A$8)/365))</f>
        <v/>
      </c>
      <c r="R271" s="16" t="str">
        <f t="shared" si="29"/>
        <v/>
      </c>
      <c r="S271" s="16" t="str">
        <f>IF(Q271="","",Q271/MAX(Q$5:Q271)-1)</f>
        <v/>
      </c>
      <c r="T271" s="13">
        <f>IF(OR('实盘净值数据(iFinD）'!$A271="",'实盘净值数据(iFinD）'!$B271="",'实盘净值数据(iFinD）'!$Z271="",'实盘净值数据(iFinD）'!$AA271="",'实盘净值数据(iFinD）'!$AB271="",'实盘净值数据(iFinD）'!$AL271=""),"",(SUMPRODUCT(分期持仓明细!$B$26:$Y$26,'实盘净值数据(iFinD）'!$B271:$Y271/'实盘净值数据(iFinD）'!$B$69:$Y$69)+SUMPRODUCT(分期持仓明细!$AC$26:$AD$26,'实盘净值数据(iFinD）'!$Z271:$AA271/'实盘净值数据(iFinD）'!$Z$69:$AA$69)+SUMPRODUCT(分期持仓明细!$AE$26:$AO$26,'实盘净值数据(iFinD）'!$AB271:$AL271/'实盘净值数据(iFinD）'!$AB$69:$AL$69))*(1-实盘持仓初始配置!$Z$10)^(('实盘净值数据(iFinD）'!$A271-'实盘净值数据(iFinD）'!$A$69)/365))</f>
        <v/>
      </c>
      <c r="U271" s="16">
        <f>IF(OR(T270="",T271=""),"",T271/T270-1)</f>
        <v/>
      </c>
      <c r="V271" s="16">
        <f>IF(T271="","",T271/MAX(T$5:T271)-1)</f>
        <v/>
      </c>
    </row>
    <row r="272" spans="1:19">
      <c r="A272" s="15" t="str">
        <f>IF('实盘净值数据(iFinD）'!A272="","",'实盘净值数据(iFinD）'!A272)</f>
        <v/>
      </c>
      <c r="B272" s="13" t="str">
        <f>IF(OR('实盘净值数据(iFinD）'!$A272="",'实盘净值数据(iFinD）'!$B272=""),"",分期持仓明细!$AB$17*SUMPRODUCT(分期持仓明细!$B$17:$Y$17,'实盘净值数据(iFinD）'!$B272:$Y272/'实盘净值数据(iFinD）'!$B$20:$Y$20)*(1-实盘持仓初始配置!$Z$4)^(('实盘净值数据(iFinD）'!$A272-'实盘净值数据(iFinD）'!$A$6)/365))</f>
        <v/>
      </c>
      <c r="C272" s="16" t="str">
        <f t="shared" si="24"/>
        <v/>
      </c>
      <c r="D272" s="16" t="str">
        <f>IF(B272="","",B272/MAX(B$5:B272)-1)</f>
        <v/>
      </c>
      <c r="E272" s="13" t="str">
        <f>IF(OR('实盘净值数据(iFinD）'!$A272="",'实盘净值数据(iFinD）'!$B272=""),"",分期持仓明细!$AB$18*SUMPRODUCT(分期持仓明细!$B$18:$Y$18,'实盘净值数据(iFinD）'!$B272:$Y272/'实盘净值数据(iFinD）'!$B$20:$Y$20)*(1-实盘持仓初始配置!$Z$5)^(('实盘净值数据(iFinD）'!$A272-'实盘净值数据(iFinD）'!$A$5)/365))</f>
        <v/>
      </c>
      <c r="F272" s="16" t="str">
        <f t="shared" si="25"/>
        <v/>
      </c>
      <c r="G272" s="16" t="str">
        <f>IF(E272="","",E272/MAX(E$5:E272)-1)</f>
        <v/>
      </c>
      <c r="H272" s="13" t="str">
        <f>IF(OR('实盘净值数据(iFinD）'!$A272="",'实盘净值数据(iFinD）'!$B272=""),"",分期持仓明细!$AB$19*SUMPRODUCT(分期持仓明细!$B$19:$Y$19,'实盘净值数据(iFinD）'!$B272:$Y272/'实盘净值数据(iFinD）'!$B$20:$Y$20)*(1-实盘持仓初始配置!$Z$6)^(('实盘净值数据(iFinD）'!$A272-'实盘净值数据(iFinD）'!$A$7)/365))</f>
        <v/>
      </c>
      <c r="I272" s="16" t="str">
        <f t="shared" si="26"/>
        <v/>
      </c>
      <c r="J272" s="16" t="str">
        <f>IF(H272="","",H272/MAX(H$5:H272)-1)</f>
        <v/>
      </c>
      <c r="K272" s="13" t="str">
        <f>IF(OR('实盘净值数据(iFinD）'!$A272="",'实盘净值数据(iFinD）'!$B272="",'实盘净值数据(iFinD）'!$Z272="",'实盘净值数据(iFinD）'!$AA272=""),"",分期持仓明细!$AB$23*(SUMPRODUCT(分期持仓明细!$B$23:$Y$23,'实盘净值数据(iFinD）'!$B272:$Y272/'实盘净值数据(iFinD）'!$B$65:$Y$65)+SUMPRODUCT(分期持仓明细!$AC$23:$AD$23,'实盘净值数据(iFinD）'!$Z272:$AA272/'实盘净值数据(iFinD）'!$Z$65:$AA$65))*(1-实盘持仓初始配置!$Z$7)^(('实盘净值数据(iFinD）'!$A272-'实盘净值数据(iFinD）'!$A$8)/365))</f>
        <v/>
      </c>
      <c r="L272" s="16" t="str">
        <f t="shared" si="27"/>
        <v/>
      </c>
      <c r="M272" s="16" t="str">
        <f>IF(K272="","",K272/MAX(K$5:K272)-1)</f>
        <v/>
      </c>
      <c r="N272" s="13" t="str">
        <f>IF(OR('实盘净值数据(iFinD）'!$A272="",'实盘净值数据(iFinD）'!$B272="",'实盘净值数据(iFinD）'!$Z272="",'实盘净值数据(iFinD）'!$AA272=""),"",分期持仓明细!$AB$24*(SUMPRODUCT(分期持仓明细!$B$24:$Y$24,'实盘净值数据(iFinD）'!$B272:$Y272/'实盘净值数据(iFinD）'!$B$65:$Y$65)+SUMPRODUCT(分期持仓明细!$AC$24:$AD$24,'实盘净值数据(iFinD）'!$Z272:$AA272/'实盘净值数据(iFinD）'!$Z$65:$AA$65))*(1-实盘持仓初始配置!$Z$8)^(('实盘净值数据(iFinD）'!$A272-'实盘净值数据(iFinD）'!$A$5)/365))</f>
        <v/>
      </c>
      <c r="O272" s="16" t="str">
        <f t="shared" si="28"/>
        <v/>
      </c>
      <c r="P272" s="16" t="str">
        <f>IF(N272="","",N272/MAX(N$5:N272)-1)</f>
        <v/>
      </c>
      <c r="Q272" s="13" t="str">
        <f>IF(OR('实盘净值数据(iFinD）'!$A272="",'实盘净值数据(iFinD）'!$B272="",'实盘净值数据(iFinD）'!$Z272="",'实盘净值数据(iFinD）'!$AA272=""),"",分期持仓明细!$AB$25*(SUMPRODUCT(分期持仓明细!$B$25:$Y$25,'实盘净值数据(iFinD）'!$B272:$Y272/'实盘净值数据(iFinD）'!$B$65:$Y$65)+SUMPRODUCT(分期持仓明细!$AC$25:$AD$25,'实盘净值数据(iFinD）'!$Z272:$AA272/'实盘净值数据(iFinD）'!$Z$65:$AA$65))*(1-实盘持仓初始配置!$Z$9)^(('实盘净值数据(iFinD）'!$A272-'实盘净值数据(iFinD）'!$A$8)/365))</f>
        <v/>
      </c>
      <c r="R272" s="16" t="str">
        <f t="shared" si="29"/>
        <v/>
      </c>
      <c r="S272" s="16" t="str">
        <f>IF(Q272="","",Q272/MAX(Q$5:Q272)-1)</f>
        <v/>
      </c>
      <c r="T272" s="13">
        <f>IF(OR('实盘净值数据(iFinD）'!$A272="",'实盘净值数据(iFinD）'!$B272="",'实盘净值数据(iFinD）'!$Z272="",'实盘净值数据(iFinD）'!$AA272="",'实盘净值数据(iFinD）'!$AB272="",'实盘净值数据(iFinD）'!$AL272=""),"",(SUMPRODUCT(分期持仓明细!$B$26:$Y$26,'实盘净值数据(iFinD）'!$B272:$Y272/'实盘净值数据(iFinD）'!$B$69:$Y$69)+SUMPRODUCT(分期持仓明细!$AC$26:$AD$26,'实盘净值数据(iFinD）'!$Z272:$AA272/'实盘净值数据(iFinD）'!$Z$69:$AA$69)+SUMPRODUCT(分期持仓明细!$AE$26:$AO$26,'实盘净值数据(iFinD）'!$AB272:$AL272/'实盘净值数据(iFinD）'!$AB$69:$AL$69))*(1-实盘持仓初始配置!$Z$10)^(('实盘净值数据(iFinD）'!$A272-'实盘净值数据(iFinD）'!$A$69)/365))</f>
        <v/>
      </c>
      <c r="U272" s="16">
        <f>IF(OR(T271="",T272=""),"",T272/T271-1)</f>
        <v/>
      </c>
      <c r="V272" s="16">
        <f>IF(T272="","",T272/MAX(T$5:T272)-1)</f>
        <v/>
      </c>
    </row>
    <row r="273" spans="1:19">
      <c r="A273" s="15" t="str">
        <f>IF('实盘净值数据(iFinD）'!A273="","",'实盘净值数据(iFinD）'!A273)</f>
        <v/>
      </c>
      <c r="B273" s="13" t="str">
        <f>IF(OR('实盘净值数据(iFinD）'!$A273="",'实盘净值数据(iFinD）'!$B273=""),"",分期持仓明细!$AB$17*SUMPRODUCT(分期持仓明细!$B$17:$Y$17,'实盘净值数据(iFinD）'!$B273:$Y273/'实盘净值数据(iFinD）'!$B$20:$Y$20)*(1-实盘持仓初始配置!$Z$4)^(('实盘净值数据(iFinD）'!$A273-'实盘净值数据(iFinD）'!$A$6)/365))</f>
        <v/>
      </c>
      <c r="C273" s="16" t="str">
        <f t="shared" si="24"/>
        <v/>
      </c>
      <c r="D273" s="16" t="str">
        <f>IF(B273="","",B273/MAX(B$5:B273)-1)</f>
        <v/>
      </c>
      <c r="E273" s="13" t="str">
        <f>IF(OR('实盘净值数据(iFinD）'!$A273="",'实盘净值数据(iFinD）'!$B273=""),"",分期持仓明细!$AB$18*SUMPRODUCT(分期持仓明细!$B$18:$Y$18,'实盘净值数据(iFinD）'!$B273:$Y273/'实盘净值数据(iFinD）'!$B$20:$Y$20)*(1-实盘持仓初始配置!$Z$5)^(('实盘净值数据(iFinD）'!$A273-'实盘净值数据(iFinD）'!$A$5)/365))</f>
        <v/>
      </c>
      <c r="F273" s="16" t="str">
        <f t="shared" si="25"/>
        <v/>
      </c>
      <c r="G273" s="16" t="str">
        <f>IF(E273="","",E273/MAX(E$5:E273)-1)</f>
        <v/>
      </c>
      <c r="H273" s="13" t="str">
        <f>IF(OR('实盘净值数据(iFinD）'!$A273="",'实盘净值数据(iFinD）'!$B273=""),"",分期持仓明细!$AB$19*SUMPRODUCT(分期持仓明细!$B$19:$Y$19,'实盘净值数据(iFinD）'!$B273:$Y273/'实盘净值数据(iFinD）'!$B$20:$Y$20)*(1-实盘持仓初始配置!$Z$6)^(('实盘净值数据(iFinD）'!$A273-'实盘净值数据(iFinD）'!$A$7)/365))</f>
        <v/>
      </c>
      <c r="I273" s="16" t="str">
        <f t="shared" si="26"/>
        <v/>
      </c>
      <c r="J273" s="16" t="str">
        <f>IF(H273="","",H273/MAX(H$5:H273)-1)</f>
        <v/>
      </c>
      <c r="K273" s="13" t="str">
        <f>IF(OR('实盘净值数据(iFinD）'!$A273="",'实盘净值数据(iFinD）'!$B273="",'实盘净值数据(iFinD）'!$Z273="",'实盘净值数据(iFinD）'!$AA273=""),"",分期持仓明细!$AB$23*(SUMPRODUCT(分期持仓明细!$B$23:$Y$23,'实盘净值数据(iFinD）'!$B273:$Y273/'实盘净值数据(iFinD）'!$B$65:$Y$65)+SUMPRODUCT(分期持仓明细!$AC$23:$AD$23,'实盘净值数据(iFinD）'!$Z273:$AA273/'实盘净值数据(iFinD）'!$Z$65:$AA$65))*(1-实盘持仓初始配置!$Z$7)^(('实盘净值数据(iFinD）'!$A273-'实盘净值数据(iFinD）'!$A$8)/365))</f>
        <v/>
      </c>
      <c r="L273" s="16" t="str">
        <f t="shared" si="27"/>
        <v/>
      </c>
      <c r="M273" s="16" t="str">
        <f>IF(K273="","",K273/MAX(K$5:K273)-1)</f>
        <v/>
      </c>
      <c r="N273" s="13" t="str">
        <f>IF(OR('实盘净值数据(iFinD）'!$A273="",'实盘净值数据(iFinD）'!$B273="",'实盘净值数据(iFinD）'!$Z273="",'实盘净值数据(iFinD）'!$AA273=""),"",分期持仓明细!$AB$24*(SUMPRODUCT(分期持仓明细!$B$24:$Y$24,'实盘净值数据(iFinD）'!$B273:$Y273/'实盘净值数据(iFinD）'!$B$65:$Y$65)+SUMPRODUCT(分期持仓明细!$AC$24:$AD$24,'实盘净值数据(iFinD）'!$Z273:$AA273/'实盘净值数据(iFinD）'!$Z$65:$AA$65))*(1-实盘持仓初始配置!$Z$8)^(('实盘净值数据(iFinD）'!$A273-'实盘净值数据(iFinD）'!$A$5)/365))</f>
        <v/>
      </c>
      <c r="O273" s="16" t="str">
        <f t="shared" si="28"/>
        <v/>
      </c>
      <c r="P273" s="16" t="str">
        <f>IF(N273="","",N273/MAX(N$5:N273)-1)</f>
        <v/>
      </c>
      <c r="Q273" s="13" t="str">
        <f>IF(OR('实盘净值数据(iFinD）'!$A273="",'实盘净值数据(iFinD）'!$B273="",'实盘净值数据(iFinD）'!$Z273="",'实盘净值数据(iFinD）'!$AA273=""),"",分期持仓明细!$AB$25*(SUMPRODUCT(分期持仓明细!$B$25:$Y$25,'实盘净值数据(iFinD）'!$B273:$Y273/'实盘净值数据(iFinD）'!$B$65:$Y$65)+SUMPRODUCT(分期持仓明细!$AC$25:$AD$25,'实盘净值数据(iFinD）'!$Z273:$AA273/'实盘净值数据(iFinD）'!$Z$65:$AA$65))*(1-实盘持仓初始配置!$Z$9)^(('实盘净值数据(iFinD）'!$A273-'实盘净值数据(iFinD）'!$A$8)/365))</f>
        <v/>
      </c>
      <c r="R273" s="16" t="str">
        <f t="shared" si="29"/>
        <v/>
      </c>
      <c r="S273" s="16" t="str">
        <f>IF(Q273="","",Q273/MAX(Q$5:Q273)-1)</f>
        <v/>
      </c>
      <c r="T273" s="13">
        <f>IF(OR('实盘净值数据(iFinD）'!$A273="",'实盘净值数据(iFinD）'!$B273="",'实盘净值数据(iFinD）'!$Z273="",'实盘净值数据(iFinD）'!$AA273="",'实盘净值数据(iFinD）'!$AB273="",'实盘净值数据(iFinD）'!$AL273=""),"",(SUMPRODUCT(分期持仓明细!$B$26:$Y$26,'实盘净值数据(iFinD）'!$B273:$Y273/'实盘净值数据(iFinD）'!$B$69:$Y$69)+SUMPRODUCT(分期持仓明细!$AC$26:$AD$26,'实盘净值数据(iFinD）'!$Z273:$AA273/'实盘净值数据(iFinD）'!$Z$69:$AA$69)+SUMPRODUCT(分期持仓明细!$AE$26:$AO$26,'实盘净值数据(iFinD）'!$AB273:$AL273/'实盘净值数据(iFinD）'!$AB$69:$AL$69))*(1-实盘持仓初始配置!$Z$10)^(('实盘净值数据(iFinD）'!$A273-'实盘净值数据(iFinD）'!$A$69)/365))</f>
        <v/>
      </c>
      <c r="U273" s="16">
        <f>IF(OR(T272="",T273=""),"",T273/T272-1)</f>
        <v/>
      </c>
      <c r="V273" s="16">
        <f>IF(T273="","",T273/MAX(T$5:T273)-1)</f>
        <v/>
      </c>
    </row>
    <row r="274" spans="1:19">
      <c r="A274" s="15" t="str">
        <f>IF('实盘净值数据(iFinD）'!A274="","",'实盘净值数据(iFinD）'!A274)</f>
        <v/>
      </c>
      <c r="B274" s="13" t="str">
        <f>IF(OR('实盘净值数据(iFinD）'!$A274="",'实盘净值数据(iFinD）'!$B274=""),"",分期持仓明细!$AB$17*SUMPRODUCT(分期持仓明细!$B$17:$Y$17,'实盘净值数据(iFinD）'!$B274:$Y274/'实盘净值数据(iFinD）'!$B$20:$Y$20)*(1-实盘持仓初始配置!$Z$4)^(('实盘净值数据(iFinD）'!$A274-'实盘净值数据(iFinD）'!$A$6)/365))</f>
        <v/>
      </c>
      <c r="C274" s="16" t="str">
        <f t="shared" si="24"/>
        <v/>
      </c>
      <c r="D274" s="16" t="str">
        <f>IF(B274="","",B274/MAX(B$5:B274)-1)</f>
        <v/>
      </c>
      <c r="E274" s="13" t="str">
        <f>IF(OR('实盘净值数据(iFinD）'!$A274="",'实盘净值数据(iFinD）'!$B274=""),"",分期持仓明细!$AB$18*SUMPRODUCT(分期持仓明细!$B$18:$Y$18,'实盘净值数据(iFinD）'!$B274:$Y274/'实盘净值数据(iFinD）'!$B$20:$Y$20)*(1-实盘持仓初始配置!$Z$5)^(('实盘净值数据(iFinD）'!$A274-'实盘净值数据(iFinD）'!$A$5)/365))</f>
        <v/>
      </c>
      <c r="F274" s="16" t="str">
        <f t="shared" si="25"/>
        <v/>
      </c>
      <c r="G274" s="16" t="str">
        <f>IF(E274="","",E274/MAX(E$5:E274)-1)</f>
        <v/>
      </c>
      <c r="H274" s="13" t="str">
        <f>IF(OR('实盘净值数据(iFinD）'!$A274="",'实盘净值数据(iFinD）'!$B274=""),"",分期持仓明细!$AB$19*SUMPRODUCT(分期持仓明细!$B$19:$Y$19,'实盘净值数据(iFinD）'!$B274:$Y274/'实盘净值数据(iFinD）'!$B$20:$Y$20)*(1-实盘持仓初始配置!$Z$6)^(('实盘净值数据(iFinD）'!$A274-'实盘净值数据(iFinD）'!$A$7)/365))</f>
        <v/>
      </c>
      <c r="I274" s="16" t="str">
        <f t="shared" si="26"/>
        <v/>
      </c>
      <c r="J274" s="16" t="str">
        <f>IF(H274="","",H274/MAX(H$5:H274)-1)</f>
        <v/>
      </c>
      <c r="K274" s="13" t="str">
        <f>IF(OR('实盘净值数据(iFinD）'!$A274="",'实盘净值数据(iFinD）'!$B274="",'实盘净值数据(iFinD）'!$Z274="",'实盘净值数据(iFinD）'!$AA274=""),"",分期持仓明细!$AB$23*(SUMPRODUCT(分期持仓明细!$B$23:$Y$23,'实盘净值数据(iFinD）'!$B274:$Y274/'实盘净值数据(iFinD）'!$B$65:$Y$65)+SUMPRODUCT(分期持仓明细!$AC$23:$AD$23,'实盘净值数据(iFinD）'!$Z274:$AA274/'实盘净值数据(iFinD）'!$Z$65:$AA$65))*(1-实盘持仓初始配置!$Z$7)^(('实盘净值数据(iFinD）'!$A274-'实盘净值数据(iFinD）'!$A$8)/365))</f>
        <v/>
      </c>
      <c r="L274" s="16" t="str">
        <f t="shared" si="27"/>
        <v/>
      </c>
      <c r="M274" s="16" t="str">
        <f>IF(K274="","",K274/MAX(K$5:K274)-1)</f>
        <v/>
      </c>
      <c r="N274" s="13" t="str">
        <f>IF(OR('实盘净值数据(iFinD）'!$A274="",'实盘净值数据(iFinD）'!$B274="",'实盘净值数据(iFinD）'!$Z274="",'实盘净值数据(iFinD）'!$AA274=""),"",分期持仓明细!$AB$24*(SUMPRODUCT(分期持仓明细!$B$24:$Y$24,'实盘净值数据(iFinD）'!$B274:$Y274/'实盘净值数据(iFinD）'!$B$65:$Y$65)+SUMPRODUCT(分期持仓明细!$AC$24:$AD$24,'实盘净值数据(iFinD）'!$Z274:$AA274/'实盘净值数据(iFinD）'!$Z$65:$AA$65))*(1-实盘持仓初始配置!$Z$8)^(('实盘净值数据(iFinD）'!$A274-'实盘净值数据(iFinD）'!$A$5)/365))</f>
        <v/>
      </c>
      <c r="O274" s="16" t="str">
        <f t="shared" si="28"/>
        <v/>
      </c>
      <c r="P274" s="16" t="str">
        <f>IF(N274="","",N274/MAX(N$5:N274)-1)</f>
        <v/>
      </c>
      <c r="Q274" s="13" t="str">
        <f>IF(OR('实盘净值数据(iFinD）'!$A274="",'实盘净值数据(iFinD）'!$B274="",'实盘净值数据(iFinD）'!$Z274="",'实盘净值数据(iFinD）'!$AA274=""),"",分期持仓明细!$AB$25*(SUMPRODUCT(分期持仓明细!$B$25:$Y$25,'实盘净值数据(iFinD）'!$B274:$Y274/'实盘净值数据(iFinD）'!$B$65:$Y$65)+SUMPRODUCT(分期持仓明细!$AC$25:$AD$25,'实盘净值数据(iFinD）'!$Z274:$AA274/'实盘净值数据(iFinD）'!$Z$65:$AA$65))*(1-实盘持仓初始配置!$Z$9)^(('实盘净值数据(iFinD）'!$A274-'实盘净值数据(iFinD）'!$A$8)/365))</f>
        <v/>
      </c>
      <c r="R274" s="16" t="str">
        <f t="shared" si="29"/>
        <v/>
      </c>
      <c r="S274" s="16" t="str">
        <f>IF(Q274="","",Q274/MAX(Q$5:Q274)-1)</f>
        <v/>
      </c>
      <c r="T274" s="13">
        <f>IF(OR('实盘净值数据(iFinD）'!$A274="",'实盘净值数据(iFinD）'!$B274="",'实盘净值数据(iFinD）'!$Z274="",'实盘净值数据(iFinD）'!$AA274="",'实盘净值数据(iFinD）'!$AB274="",'实盘净值数据(iFinD）'!$AL274=""),"",(SUMPRODUCT(分期持仓明细!$B$26:$Y$26,'实盘净值数据(iFinD）'!$B274:$Y274/'实盘净值数据(iFinD）'!$B$69:$Y$69)+SUMPRODUCT(分期持仓明细!$AC$26:$AD$26,'实盘净值数据(iFinD）'!$Z274:$AA274/'实盘净值数据(iFinD）'!$Z$69:$AA$69)+SUMPRODUCT(分期持仓明细!$AE$26:$AO$26,'实盘净值数据(iFinD）'!$AB274:$AL274/'实盘净值数据(iFinD）'!$AB$69:$AL$69))*(1-实盘持仓初始配置!$Z$10)^(('实盘净值数据(iFinD）'!$A274-'实盘净值数据(iFinD）'!$A$69)/365))</f>
        <v/>
      </c>
      <c r="U274" s="16">
        <f>IF(OR(T273="",T274=""),"",T274/T273-1)</f>
        <v/>
      </c>
      <c r="V274" s="16">
        <f>IF(T274="","",T274/MAX(T$5:T274)-1)</f>
        <v/>
      </c>
    </row>
    <row r="275" spans="1:19">
      <c r="A275" s="15" t="str">
        <f>IF('实盘净值数据(iFinD）'!A275="","",'实盘净值数据(iFinD）'!A275)</f>
        <v/>
      </c>
      <c r="B275" s="13" t="str">
        <f>IF(OR('实盘净值数据(iFinD）'!$A275="",'实盘净值数据(iFinD）'!$B275=""),"",分期持仓明细!$AB$17*SUMPRODUCT(分期持仓明细!$B$17:$Y$17,'实盘净值数据(iFinD）'!$B275:$Y275/'实盘净值数据(iFinD）'!$B$20:$Y$20)*(1-实盘持仓初始配置!$Z$4)^(('实盘净值数据(iFinD）'!$A275-'实盘净值数据(iFinD）'!$A$6)/365))</f>
        <v/>
      </c>
      <c r="C275" s="16" t="str">
        <f t="shared" si="24"/>
        <v/>
      </c>
      <c r="D275" s="16" t="str">
        <f>IF(B275="","",B275/MAX(B$5:B275)-1)</f>
        <v/>
      </c>
      <c r="E275" s="13" t="str">
        <f>IF(OR('实盘净值数据(iFinD）'!$A275="",'实盘净值数据(iFinD）'!$B275=""),"",分期持仓明细!$AB$18*SUMPRODUCT(分期持仓明细!$B$18:$Y$18,'实盘净值数据(iFinD）'!$B275:$Y275/'实盘净值数据(iFinD）'!$B$20:$Y$20)*(1-实盘持仓初始配置!$Z$5)^(('实盘净值数据(iFinD）'!$A275-'实盘净值数据(iFinD）'!$A$5)/365))</f>
        <v/>
      </c>
      <c r="F275" s="16" t="str">
        <f t="shared" si="25"/>
        <v/>
      </c>
      <c r="G275" s="16" t="str">
        <f>IF(E275="","",E275/MAX(E$5:E275)-1)</f>
        <v/>
      </c>
      <c r="H275" s="13" t="str">
        <f>IF(OR('实盘净值数据(iFinD）'!$A275="",'实盘净值数据(iFinD）'!$B275=""),"",分期持仓明细!$AB$19*SUMPRODUCT(分期持仓明细!$B$19:$Y$19,'实盘净值数据(iFinD）'!$B275:$Y275/'实盘净值数据(iFinD）'!$B$20:$Y$20)*(1-实盘持仓初始配置!$Z$6)^(('实盘净值数据(iFinD）'!$A275-'实盘净值数据(iFinD）'!$A$7)/365))</f>
        <v/>
      </c>
      <c r="I275" s="16" t="str">
        <f t="shared" si="26"/>
        <v/>
      </c>
      <c r="J275" s="16" t="str">
        <f>IF(H275="","",H275/MAX(H$5:H275)-1)</f>
        <v/>
      </c>
      <c r="K275" s="13" t="str">
        <f>IF(OR('实盘净值数据(iFinD）'!$A275="",'实盘净值数据(iFinD）'!$B275="",'实盘净值数据(iFinD）'!$Z275="",'实盘净值数据(iFinD）'!$AA275=""),"",分期持仓明细!$AB$23*(SUMPRODUCT(分期持仓明细!$B$23:$Y$23,'实盘净值数据(iFinD）'!$B275:$Y275/'实盘净值数据(iFinD）'!$B$65:$Y$65)+SUMPRODUCT(分期持仓明细!$AC$23:$AD$23,'实盘净值数据(iFinD）'!$Z275:$AA275/'实盘净值数据(iFinD）'!$Z$65:$AA$65))*(1-实盘持仓初始配置!$Z$7)^(('实盘净值数据(iFinD）'!$A275-'实盘净值数据(iFinD）'!$A$8)/365))</f>
        <v/>
      </c>
      <c r="L275" s="16" t="str">
        <f t="shared" si="27"/>
        <v/>
      </c>
      <c r="M275" s="16" t="str">
        <f>IF(K275="","",K275/MAX(K$5:K275)-1)</f>
        <v/>
      </c>
      <c r="N275" s="13" t="str">
        <f>IF(OR('实盘净值数据(iFinD）'!$A275="",'实盘净值数据(iFinD）'!$B275="",'实盘净值数据(iFinD）'!$Z275="",'实盘净值数据(iFinD）'!$AA275=""),"",分期持仓明细!$AB$24*(SUMPRODUCT(分期持仓明细!$B$24:$Y$24,'实盘净值数据(iFinD）'!$B275:$Y275/'实盘净值数据(iFinD）'!$B$65:$Y$65)+SUMPRODUCT(分期持仓明细!$AC$24:$AD$24,'实盘净值数据(iFinD）'!$Z275:$AA275/'实盘净值数据(iFinD）'!$Z$65:$AA$65))*(1-实盘持仓初始配置!$Z$8)^(('实盘净值数据(iFinD）'!$A275-'实盘净值数据(iFinD）'!$A$5)/365))</f>
        <v/>
      </c>
      <c r="O275" s="16" t="str">
        <f t="shared" si="28"/>
        <v/>
      </c>
      <c r="P275" s="16" t="str">
        <f>IF(N275="","",N275/MAX(N$5:N275)-1)</f>
        <v/>
      </c>
      <c r="Q275" s="13" t="str">
        <f>IF(OR('实盘净值数据(iFinD）'!$A275="",'实盘净值数据(iFinD）'!$B275="",'实盘净值数据(iFinD）'!$Z275="",'实盘净值数据(iFinD）'!$AA275=""),"",分期持仓明细!$AB$25*(SUMPRODUCT(分期持仓明细!$B$25:$Y$25,'实盘净值数据(iFinD）'!$B275:$Y275/'实盘净值数据(iFinD）'!$B$65:$Y$65)+SUMPRODUCT(分期持仓明细!$AC$25:$AD$25,'实盘净值数据(iFinD）'!$Z275:$AA275/'实盘净值数据(iFinD）'!$Z$65:$AA$65))*(1-实盘持仓初始配置!$Z$9)^(('实盘净值数据(iFinD）'!$A275-'实盘净值数据(iFinD）'!$A$8)/365))</f>
        <v/>
      </c>
      <c r="R275" s="16" t="str">
        <f t="shared" si="29"/>
        <v/>
      </c>
      <c r="S275" s="16" t="str">
        <f>IF(Q275="","",Q275/MAX(Q$5:Q275)-1)</f>
        <v/>
      </c>
      <c r="T275" s="13">
        <f>IF(OR('实盘净值数据(iFinD）'!$A275="",'实盘净值数据(iFinD）'!$B275="",'实盘净值数据(iFinD）'!$Z275="",'实盘净值数据(iFinD）'!$AA275="",'实盘净值数据(iFinD）'!$AB275="",'实盘净值数据(iFinD）'!$AL275=""),"",(SUMPRODUCT(分期持仓明细!$B$26:$Y$26,'实盘净值数据(iFinD）'!$B275:$Y275/'实盘净值数据(iFinD）'!$B$69:$Y$69)+SUMPRODUCT(分期持仓明细!$AC$26:$AD$26,'实盘净值数据(iFinD）'!$Z275:$AA275/'实盘净值数据(iFinD）'!$Z$69:$AA$69)+SUMPRODUCT(分期持仓明细!$AE$26:$AO$26,'实盘净值数据(iFinD）'!$AB275:$AL275/'实盘净值数据(iFinD）'!$AB$69:$AL$69))*(1-实盘持仓初始配置!$Z$10)^(('实盘净值数据(iFinD）'!$A275-'实盘净值数据(iFinD）'!$A$69)/365))</f>
        <v/>
      </c>
      <c r="U275" s="16">
        <f>IF(OR(T274="",T275=""),"",T275/T274-1)</f>
        <v/>
      </c>
      <c r="V275" s="16">
        <f>IF(T275="","",T275/MAX(T$5:T275)-1)</f>
        <v/>
      </c>
    </row>
    <row r="276" spans="1:19">
      <c r="A276" s="15" t="str">
        <f>IF('实盘净值数据(iFinD）'!A276="","",'实盘净值数据(iFinD）'!A276)</f>
        <v/>
      </c>
      <c r="B276" s="13" t="str">
        <f>IF(OR('实盘净值数据(iFinD）'!$A276="",'实盘净值数据(iFinD）'!$B276=""),"",分期持仓明细!$AB$17*SUMPRODUCT(分期持仓明细!$B$17:$Y$17,'实盘净值数据(iFinD）'!$B276:$Y276/'实盘净值数据(iFinD）'!$B$20:$Y$20)*(1-实盘持仓初始配置!$Z$4)^(('实盘净值数据(iFinD）'!$A276-'实盘净值数据(iFinD）'!$A$6)/365))</f>
        <v/>
      </c>
      <c r="C276" s="16" t="str">
        <f t="shared" si="24"/>
        <v/>
      </c>
      <c r="D276" s="16" t="str">
        <f>IF(B276="","",B276/MAX(B$5:B276)-1)</f>
        <v/>
      </c>
      <c r="E276" s="13" t="str">
        <f>IF(OR('实盘净值数据(iFinD）'!$A276="",'实盘净值数据(iFinD）'!$B276=""),"",分期持仓明细!$AB$18*SUMPRODUCT(分期持仓明细!$B$18:$Y$18,'实盘净值数据(iFinD）'!$B276:$Y276/'实盘净值数据(iFinD）'!$B$20:$Y$20)*(1-实盘持仓初始配置!$Z$5)^(('实盘净值数据(iFinD）'!$A276-'实盘净值数据(iFinD）'!$A$5)/365))</f>
        <v/>
      </c>
      <c r="F276" s="16" t="str">
        <f t="shared" si="25"/>
        <v/>
      </c>
      <c r="G276" s="16" t="str">
        <f>IF(E276="","",E276/MAX(E$5:E276)-1)</f>
        <v/>
      </c>
      <c r="H276" s="13" t="str">
        <f>IF(OR('实盘净值数据(iFinD）'!$A276="",'实盘净值数据(iFinD）'!$B276=""),"",分期持仓明细!$AB$19*SUMPRODUCT(分期持仓明细!$B$19:$Y$19,'实盘净值数据(iFinD）'!$B276:$Y276/'实盘净值数据(iFinD）'!$B$20:$Y$20)*(1-实盘持仓初始配置!$Z$6)^(('实盘净值数据(iFinD）'!$A276-'实盘净值数据(iFinD）'!$A$7)/365))</f>
        <v/>
      </c>
      <c r="I276" s="16" t="str">
        <f t="shared" si="26"/>
        <v/>
      </c>
      <c r="J276" s="16" t="str">
        <f>IF(H276="","",H276/MAX(H$5:H276)-1)</f>
        <v/>
      </c>
      <c r="K276" s="13" t="str">
        <f>IF(OR('实盘净值数据(iFinD）'!$A276="",'实盘净值数据(iFinD）'!$B276="",'实盘净值数据(iFinD）'!$Z276="",'实盘净值数据(iFinD）'!$AA276=""),"",分期持仓明细!$AB$23*(SUMPRODUCT(分期持仓明细!$B$23:$Y$23,'实盘净值数据(iFinD）'!$B276:$Y276/'实盘净值数据(iFinD）'!$B$65:$Y$65)+SUMPRODUCT(分期持仓明细!$AC$23:$AD$23,'实盘净值数据(iFinD）'!$Z276:$AA276/'实盘净值数据(iFinD）'!$Z$65:$AA$65))*(1-实盘持仓初始配置!$Z$7)^(('实盘净值数据(iFinD）'!$A276-'实盘净值数据(iFinD）'!$A$8)/365))</f>
        <v/>
      </c>
      <c r="L276" s="16" t="str">
        <f t="shared" si="27"/>
        <v/>
      </c>
      <c r="M276" s="16" t="str">
        <f>IF(K276="","",K276/MAX(K$5:K276)-1)</f>
        <v/>
      </c>
      <c r="N276" s="13" t="str">
        <f>IF(OR('实盘净值数据(iFinD）'!$A276="",'实盘净值数据(iFinD）'!$B276="",'实盘净值数据(iFinD）'!$Z276="",'实盘净值数据(iFinD）'!$AA276=""),"",分期持仓明细!$AB$24*(SUMPRODUCT(分期持仓明细!$B$24:$Y$24,'实盘净值数据(iFinD）'!$B276:$Y276/'实盘净值数据(iFinD）'!$B$65:$Y$65)+SUMPRODUCT(分期持仓明细!$AC$24:$AD$24,'实盘净值数据(iFinD）'!$Z276:$AA276/'实盘净值数据(iFinD）'!$Z$65:$AA$65))*(1-实盘持仓初始配置!$Z$8)^(('实盘净值数据(iFinD）'!$A276-'实盘净值数据(iFinD）'!$A$5)/365))</f>
        <v/>
      </c>
      <c r="O276" s="16" t="str">
        <f t="shared" si="28"/>
        <v/>
      </c>
      <c r="P276" s="16" t="str">
        <f>IF(N276="","",N276/MAX(N$5:N276)-1)</f>
        <v/>
      </c>
      <c r="Q276" s="13" t="str">
        <f>IF(OR('实盘净值数据(iFinD）'!$A276="",'实盘净值数据(iFinD）'!$B276="",'实盘净值数据(iFinD）'!$Z276="",'实盘净值数据(iFinD）'!$AA276=""),"",分期持仓明细!$AB$25*(SUMPRODUCT(分期持仓明细!$B$25:$Y$25,'实盘净值数据(iFinD）'!$B276:$Y276/'实盘净值数据(iFinD）'!$B$65:$Y$65)+SUMPRODUCT(分期持仓明细!$AC$25:$AD$25,'实盘净值数据(iFinD）'!$Z276:$AA276/'实盘净值数据(iFinD）'!$Z$65:$AA$65))*(1-实盘持仓初始配置!$Z$9)^(('实盘净值数据(iFinD）'!$A276-'实盘净值数据(iFinD）'!$A$8)/365))</f>
        <v/>
      </c>
      <c r="R276" s="16" t="str">
        <f t="shared" si="29"/>
        <v/>
      </c>
      <c r="S276" s="16" t="str">
        <f>IF(Q276="","",Q276/MAX(Q$5:Q276)-1)</f>
        <v/>
      </c>
      <c r="T276" s="13">
        <f>IF(OR('实盘净值数据(iFinD）'!$A276="",'实盘净值数据(iFinD）'!$B276="",'实盘净值数据(iFinD）'!$Z276="",'实盘净值数据(iFinD）'!$AA276="",'实盘净值数据(iFinD）'!$AB276="",'实盘净值数据(iFinD）'!$AL276=""),"",(SUMPRODUCT(分期持仓明细!$B$26:$Y$26,'实盘净值数据(iFinD）'!$B276:$Y276/'实盘净值数据(iFinD）'!$B$69:$Y$69)+SUMPRODUCT(分期持仓明细!$AC$26:$AD$26,'实盘净值数据(iFinD）'!$Z276:$AA276/'实盘净值数据(iFinD）'!$Z$69:$AA$69)+SUMPRODUCT(分期持仓明细!$AE$26:$AO$26,'实盘净值数据(iFinD）'!$AB276:$AL276/'实盘净值数据(iFinD）'!$AB$69:$AL$69))*(1-实盘持仓初始配置!$Z$10)^(('实盘净值数据(iFinD）'!$A276-'实盘净值数据(iFinD）'!$A$69)/365))</f>
        <v/>
      </c>
      <c r="U276" s="16">
        <f>IF(OR(T275="",T276=""),"",T276/T275-1)</f>
        <v/>
      </c>
      <c r="V276" s="16">
        <f>IF(T276="","",T276/MAX(T$5:T276)-1)</f>
        <v/>
      </c>
    </row>
    <row r="277" spans="1:19">
      <c r="A277" s="15" t="str">
        <f>IF('实盘净值数据(iFinD）'!A277="","",'实盘净值数据(iFinD）'!A277)</f>
        <v/>
      </c>
      <c r="B277" s="13" t="str">
        <f>IF(OR('实盘净值数据(iFinD）'!$A277="",'实盘净值数据(iFinD）'!$B277=""),"",分期持仓明细!$AB$17*SUMPRODUCT(分期持仓明细!$B$17:$Y$17,'实盘净值数据(iFinD）'!$B277:$Y277/'实盘净值数据(iFinD）'!$B$20:$Y$20)*(1-实盘持仓初始配置!$Z$4)^(('实盘净值数据(iFinD）'!$A277-'实盘净值数据(iFinD）'!$A$6)/365))</f>
        <v/>
      </c>
      <c r="C277" s="16" t="str">
        <f t="shared" si="24"/>
        <v/>
      </c>
      <c r="D277" s="16" t="str">
        <f>IF(B277="","",B277/MAX(B$5:B277)-1)</f>
        <v/>
      </c>
      <c r="E277" s="13" t="str">
        <f>IF(OR('实盘净值数据(iFinD）'!$A277="",'实盘净值数据(iFinD）'!$B277=""),"",分期持仓明细!$AB$18*SUMPRODUCT(分期持仓明细!$B$18:$Y$18,'实盘净值数据(iFinD）'!$B277:$Y277/'实盘净值数据(iFinD）'!$B$20:$Y$20)*(1-实盘持仓初始配置!$Z$5)^(('实盘净值数据(iFinD）'!$A277-'实盘净值数据(iFinD）'!$A$5)/365))</f>
        <v/>
      </c>
      <c r="F277" s="16" t="str">
        <f t="shared" si="25"/>
        <v/>
      </c>
      <c r="G277" s="16" t="str">
        <f>IF(E277="","",E277/MAX(E$5:E277)-1)</f>
        <v/>
      </c>
      <c r="H277" s="13" t="str">
        <f>IF(OR('实盘净值数据(iFinD）'!$A277="",'实盘净值数据(iFinD）'!$B277=""),"",分期持仓明细!$AB$19*SUMPRODUCT(分期持仓明细!$B$19:$Y$19,'实盘净值数据(iFinD）'!$B277:$Y277/'实盘净值数据(iFinD）'!$B$20:$Y$20)*(1-实盘持仓初始配置!$Z$6)^(('实盘净值数据(iFinD）'!$A277-'实盘净值数据(iFinD）'!$A$7)/365))</f>
        <v/>
      </c>
      <c r="I277" s="16" t="str">
        <f t="shared" si="26"/>
        <v/>
      </c>
      <c r="J277" s="16" t="str">
        <f>IF(H277="","",H277/MAX(H$5:H277)-1)</f>
        <v/>
      </c>
      <c r="K277" s="13" t="str">
        <f>IF(OR('实盘净值数据(iFinD）'!$A277="",'实盘净值数据(iFinD）'!$B277="",'实盘净值数据(iFinD）'!$Z277="",'实盘净值数据(iFinD）'!$AA277=""),"",分期持仓明细!$AB$23*(SUMPRODUCT(分期持仓明细!$B$23:$Y$23,'实盘净值数据(iFinD）'!$B277:$Y277/'实盘净值数据(iFinD）'!$B$65:$Y$65)+SUMPRODUCT(分期持仓明细!$AC$23:$AD$23,'实盘净值数据(iFinD）'!$Z277:$AA277/'实盘净值数据(iFinD）'!$Z$65:$AA$65))*(1-实盘持仓初始配置!$Z$7)^(('实盘净值数据(iFinD）'!$A277-'实盘净值数据(iFinD）'!$A$8)/365))</f>
        <v/>
      </c>
      <c r="L277" s="16" t="str">
        <f t="shared" si="27"/>
        <v/>
      </c>
      <c r="M277" s="16" t="str">
        <f>IF(K277="","",K277/MAX(K$5:K277)-1)</f>
        <v/>
      </c>
      <c r="N277" s="13" t="str">
        <f>IF(OR('实盘净值数据(iFinD）'!$A277="",'实盘净值数据(iFinD）'!$B277="",'实盘净值数据(iFinD）'!$Z277="",'实盘净值数据(iFinD）'!$AA277=""),"",分期持仓明细!$AB$24*(SUMPRODUCT(分期持仓明细!$B$24:$Y$24,'实盘净值数据(iFinD）'!$B277:$Y277/'实盘净值数据(iFinD）'!$B$65:$Y$65)+SUMPRODUCT(分期持仓明细!$AC$24:$AD$24,'实盘净值数据(iFinD）'!$Z277:$AA277/'实盘净值数据(iFinD）'!$Z$65:$AA$65))*(1-实盘持仓初始配置!$Z$8)^(('实盘净值数据(iFinD）'!$A277-'实盘净值数据(iFinD）'!$A$5)/365))</f>
        <v/>
      </c>
      <c r="O277" s="16" t="str">
        <f t="shared" si="28"/>
        <v/>
      </c>
      <c r="P277" s="16" t="str">
        <f>IF(N277="","",N277/MAX(N$5:N277)-1)</f>
        <v/>
      </c>
      <c r="Q277" s="13" t="str">
        <f>IF(OR('实盘净值数据(iFinD）'!$A277="",'实盘净值数据(iFinD）'!$B277="",'实盘净值数据(iFinD）'!$Z277="",'实盘净值数据(iFinD）'!$AA277=""),"",分期持仓明细!$AB$25*(SUMPRODUCT(分期持仓明细!$B$25:$Y$25,'实盘净值数据(iFinD）'!$B277:$Y277/'实盘净值数据(iFinD）'!$B$65:$Y$65)+SUMPRODUCT(分期持仓明细!$AC$25:$AD$25,'实盘净值数据(iFinD）'!$Z277:$AA277/'实盘净值数据(iFinD）'!$Z$65:$AA$65))*(1-实盘持仓初始配置!$Z$9)^(('实盘净值数据(iFinD）'!$A277-'实盘净值数据(iFinD）'!$A$8)/365))</f>
        <v/>
      </c>
      <c r="R277" s="16" t="str">
        <f t="shared" si="29"/>
        <v/>
      </c>
      <c r="S277" s="16" t="str">
        <f>IF(Q277="","",Q277/MAX(Q$5:Q277)-1)</f>
        <v/>
      </c>
      <c r="T277" s="13">
        <f>IF(OR('实盘净值数据(iFinD）'!$A277="",'实盘净值数据(iFinD）'!$B277="",'实盘净值数据(iFinD）'!$Z277="",'实盘净值数据(iFinD）'!$AA277="",'实盘净值数据(iFinD）'!$AB277="",'实盘净值数据(iFinD）'!$AL277=""),"",(SUMPRODUCT(分期持仓明细!$B$26:$Y$26,'实盘净值数据(iFinD）'!$B277:$Y277/'实盘净值数据(iFinD）'!$B$69:$Y$69)+SUMPRODUCT(分期持仓明细!$AC$26:$AD$26,'实盘净值数据(iFinD）'!$Z277:$AA277/'实盘净值数据(iFinD）'!$Z$69:$AA$69)+SUMPRODUCT(分期持仓明细!$AE$26:$AO$26,'实盘净值数据(iFinD）'!$AB277:$AL277/'实盘净值数据(iFinD）'!$AB$69:$AL$69))*(1-实盘持仓初始配置!$Z$10)^(('实盘净值数据(iFinD）'!$A277-'实盘净值数据(iFinD）'!$A$69)/365))</f>
        <v/>
      </c>
      <c r="U277" s="16">
        <f>IF(OR(T276="",T277=""),"",T277/T276-1)</f>
        <v/>
      </c>
      <c r="V277" s="16">
        <f>IF(T277="","",T277/MAX(T$5:T277)-1)</f>
        <v/>
      </c>
    </row>
    <row r="278" spans="1:19">
      <c r="A278" s="15" t="str">
        <f>IF('实盘净值数据(iFinD）'!A278="","",'实盘净值数据(iFinD）'!A278)</f>
        <v/>
      </c>
      <c r="B278" s="13" t="str">
        <f>IF(OR('实盘净值数据(iFinD）'!$A278="",'实盘净值数据(iFinD）'!$B278=""),"",分期持仓明细!$AB$17*SUMPRODUCT(分期持仓明细!$B$17:$Y$17,'实盘净值数据(iFinD）'!$B278:$Y278/'实盘净值数据(iFinD）'!$B$20:$Y$20)*(1-实盘持仓初始配置!$Z$4)^(('实盘净值数据(iFinD）'!$A278-'实盘净值数据(iFinD）'!$A$6)/365))</f>
        <v/>
      </c>
      <c r="C278" s="16" t="str">
        <f t="shared" si="24"/>
        <v/>
      </c>
      <c r="D278" s="16" t="str">
        <f>IF(B278="","",B278/MAX(B$5:B278)-1)</f>
        <v/>
      </c>
      <c r="E278" s="13" t="str">
        <f>IF(OR('实盘净值数据(iFinD）'!$A278="",'实盘净值数据(iFinD）'!$B278=""),"",分期持仓明细!$AB$18*SUMPRODUCT(分期持仓明细!$B$18:$Y$18,'实盘净值数据(iFinD）'!$B278:$Y278/'实盘净值数据(iFinD）'!$B$20:$Y$20)*(1-实盘持仓初始配置!$Z$5)^(('实盘净值数据(iFinD）'!$A278-'实盘净值数据(iFinD）'!$A$5)/365))</f>
        <v/>
      </c>
      <c r="F278" s="16" t="str">
        <f t="shared" si="25"/>
        <v/>
      </c>
      <c r="G278" s="16" t="str">
        <f>IF(E278="","",E278/MAX(E$5:E278)-1)</f>
        <v/>
      </c>
      <c r="H278" s="13" t="str">
        <f>IF(OR('实盘净值数据(iFinD）'!$A278="",'实盘净值数据(iFinD）'!$B278=""),"",分期持仓明细!$AB$19*SUMPRODUCT(分期持仓明细!$B$19:$Y$19,'实盘净值数据(iFinD）'!$B278:$Y278/'实盘净值数据(iFinD）'!$B$20:$Y$20)*(1-实盘持仓初始配置!$Z$6)^(('实盘净值数据(iFinD）'!$A278-'实盘净值数据(iFinD）'!$A$7)/365))</f>
        <v/>
      </c>
      <c r="I278" s="16" t="str">
        <f t="shared" si="26"/>
        <v/>
      </c>
      <c r="J278" s="16" t="str">
        <f>IF(H278="","",H278/MAX(H$5:H278)-1)</f>
        <v/>
      </c>
      <c r="K278" s="13" t="str">
        <f>IF(OR('实盘净值数据(iFinD）'!$A278="",'实盘净值数据(iFinD）'!$B278="",'实盘净值数据(iFinD）'!$Z278="",'实盘净值数据(iFinD）'!$AA278=""),"",分期持仓明细!$AB$23*(SUMPRODUCT(分期持仓明细!$B$23:$Y$23,'实盘净值数据(iFinD）'!$B278:$Y278/'实盘净值数据(iFinD）'!$B$65:$Y$65)+SUMPRODUCT(分期持仓明细!$AC$23:$AD$23,'实盘净值数据(iFinD）'!$Z278:$AA278/'实盘净值数据(iFinD）'!$Z$65:$AA$65))*(1-实盘持仓初始配置!$Z$7)^(('实盘净值数据(iFinD）'!$A278-'实盘净值数据(iFinD）'!$A$8)/365))</f>
        <v/>
      </c>
      <c r="L278" s="16" t="str">
        <f t="shared" si="27"/>
        <v/>
      </c>
      <c r="M278" s="16" t="str">
        <f>IF(K278="","",K278/MAX(K$5:K278)-1)</f>
        <v/>
      </c>
      <c r="N278" s="13" t="str">
        <f>IF(OR('实盘净值数据(iFinD）'!$A278="",'实盘净值数据(iFinD）'!$B278="",'实盘净值数据(iFinD）'!$Z278="",'实盘净值数据(iFinD）'!$AA278=""),"",分期持仓明细!$AB$24*(SUMPRODUCT(分期持仓明细!$B$24:$Y$24,'实盘净值数据(iFinD）'!$B278:$Y278/'实盘净值数据(iFinD）'!$B$65:$Y$65)+SUMPRODUCT(分期持仓明细!$AC$24:$AD$24,'实盘净值数据(iFinD）'!$Z278:$AA278/'实盘净值数据(iFinD）'!$Z$65:$AA$65))*(1-实盘持仓初始配置!$Z$8)^(('实盘净值数据(iFinD）'!$A278-'实盘净值数据(iFinD）'!$A$5)/365))</f>
        <v/>
      </c>
      <c r="O278" s="16" t="str">
        <f t="shared" si="28"/>
        <v/>
      </c>
      <c r="P278" s="16" t="str">
        <f>IF(N278="","",N278/MAX(N$5:N278)-1)</f>
        <v/>
      </c>
      <c r="Q278" s="13" t="str">
        <f>IF(OR('实盘净值数据(iFinD）'!$A278="",'实盘净值数据(iFinD）'!$B278="",'实盘净值数据(iFinD）'!$Z278="",'实盘净值数据(iFinD）'!$AA278=""),"",分期持仓明细!$AB$25*(SUMPRODUCT(分期持仓明细!$B$25:$Y$25,'实盘净值数据(iFinD）'!$B278:$Y278/'实盘净值数据(iFinD）'!$B$65:$Y$65)+SUMPRODUCT(分期持仓明细!$AC$25:$AD$25,'实盘净值数据(iFinD）'!$Z278:$AA278/'实盘净值数据(iFinD）'!$Z$65:$AA$65))*(1-实盘持仓初始配置!$Z$9)^(('实盘净值数据(iFinD）'!$A278-'实盘净值数据(iFinD）'!$A$8)/365))</f>
        <v/>
      </c>
      <c r="R278" s="16" t="str">
        <f t="shared" si="29"/>
        <v/>
      </c>
      <c r="S278" s="16" t="str">
        <f>IF(Q278="","",Q278/MAX(Q$5:Q278)-1)</f>
        <v/>
      </c>
      <c r="T278" s="13">
        <f>IF(OR('实盘净值数据(iFinD）'!$A278="",'实盘净值数据(iFinD）'!$B278="",'实盘净值数据(iFinD）'!$Z278="",'实盘净值数据(iFinD）'!$AA278="",'实盘净值数据(iFinD）'!$AB278="",'实盘净值数据(iFinD）'!$AL278=""),"",(SUMPRODUCT(分期持仓明细!$B$26:$Y$26,'实盘净值数据(iFinD）'!$B278:$Y278/'实盘净值数据(iFinD）'!$B$69:$Y$69)+SUMPRODUCT(分期持仓明细!$AC$26:$AD$26,'实盘净值数据(iFinD）'!$Z278:$AA278/'实盘净值数据(iFinD）'!$Z$69:$AA$69)+SUMPRODUCT(分期持仓明细!$AE$26:$AO$26,'实盘净值数据(iFinD）'!$AB278:$AL278/'实盘净值数据(iFinD）'!$AB$69:$AL$69))*(1-实盘持仓初始配置!$Z$10)^(('实盘净值数据(iFinD）'!$A278-'实盘净值数据(iFinD）'!$A$69)/365))</f>
        <v/>
      </c>
      <c r="U278" s="16">
        <f>IF(OR(T277="",T278=""),"",T278/T277-1)</f>
        <v/>
      </c>
      <c r="V278" s="16">
        <f>IF(T278="","",T278/MAX(T$5:T278)-1)</f>
        <v/>
      </c>
    </row>
    <row r="279" spans="1:19">
      <c r="A279" s="15" t="str">
        <f>IF('实盘净值数据(iFinD）'!A279="","",'实盘净值数据(iFinD）'!A279)</f>
        <v/>
      </c>
      <c r="B279" s="13" t="str">
        <f>IF(OR('实盘净值数据(iFinD）'!$A279="",'实盘净值数据(iFinD）'!$B279=""),"",分期持仓明细!$AB$17*SUMPRODUCT(分期持仓明细!$B$17:$Y$17,'实盘净值数据(iFinD）'!$B279:$Y279/'实盘净值数据(iFinD）'!$B$20:$Y$20)*(1-实盘持仓初始配置!$Z$4)^(('实盘净值数据(iFinD）'!$A279-'实盘净值数据(iFinD）'!$A$6)/365))</f>
        <v/>
      </c>
      <c r="C279" s="16" t="str">
        <f t="shared" si="24"/>
        <v/>
      </c>
      <c r="D279" s="16" t="str">
        <f>IF(B279="","",B279/MAX(B$5:B279)-1)</f>
        <v/>
      </c>
      <c r="E279" s="13" t="str">
        <f>IF(OR('实盘净值数据(iFinD）'!$A279="",'实盘净值数据(iFinD）'!$B279=""),"",分期持仓明细!$AB$18*SUMPRODUCT(分期持仓明细!$B$18:$Y$18,'实盘净值数据(iFinD）'!$B279:$Y279/'实盘净值数据(iFinD）'!$B$20:$Y$20)*(1-实盘持仓初始配置!$Z$5)^(('实盘净值数据(iFinD）'!$A279-'实盘净值数据(iFinD）'!$A$5)/365))</f>
        <v/>
      </c>
      <c r="F279" s="16" t="str">
        <f t="shared" si="25"/>
        <v/>
      </c>
      <c r="G279" s="16" t="str">
        <f>IF(E279="","",E279/MAX(E$5:E279)-1)</f>
        <v/>
      </c>
      <c r="H279" s="13" t="str">
        <f>IF(OR('实盘净值数据(iFinD）'!$A279="",'实盘净值数据(iFinD）'!$B279=""),"",分期持仓明细!$AB$19*SUMPRODUCT(分期持仓明细!$B$19:$Y$19,'实盘净值数据(iFinD）'!$B279:$Y279/'实盘净值数据(iFinD）'!$B$20:$Y$20)*(1-实盘持仓初始配置!$Z$6)^(('实盘净值数据(iFinD）'!$A279-'实盘净值数据(iFinD）'!$A$7)/365))</f>
        <v/>
      </c>
      <c r="I279" s="16" t="str">
        <f t="shared" si="26"/>
        <v/>
      </c>
      <c r="J279" s="16" t="str">
        <f>IF(H279="","",H279/MAX(H$5:H279)-1)</f>
        <v/>
      </c>
      <c r="K279" s="13" t="str">
        <f>IF(OR('实盘净值数据(iFinD）'!$A279="",'实盘净值数据(iFinD）'!$B279="",'实盘净值数据(iFinD）'!$Z279="",'实盘净值数据(iFinD）'!$AA279=""),"",分期持仓明细!$AB$23*(SUMPRODUCT(分期持仓明细!$B$23:$Y$23,'实盘净值数据(iFinD）'!$B279:$Y279/'实盘净值数据(iFinD）'!$B$65:$Y$65)+SUMPRODUCT(分期持仓明细!$AC$23:$AD$23,'实盘净值数据(iFinD）'!$Z279:$AA279/'实盘净值数据(iFinD）'!$Z$65:$AA$65))*(1-实盘持仓初始配置!$Z$7)^(('实盘净值数据(iFinD）'!$A279-'实盘净值数据(iFinD）'!$A$8)/365))</f>
        <v/>
      </c>
      <c r="L279" s="16" t="str">
        <f t="shared" si="27"/>
        <v/>
      </c>
      <c r="M279" s="16" t="str">
        <f>IF(K279="","",K279/MAX(K$5:K279)-1)</f>
        <v/>
      </c>
      <c r="N279" s="13" t="str">
        <f>IF(OR('实盘净值数据(iFinD）'!$A279="",'实盘净值数据(iFinD）'!$B279="",'实盘净值数据(iFinD）'!$Z279="",'实盘净值数据(iFinD）'!$AA279=""),"",分期持仓明细!$AB$24*(SUMPRODUCT(分期持仓明细!$B$24:$Y$24,'实盘净值数据(iFinD）'!$B279:$Y279/'实盘净值数据(iFinD）'!$B$65:$Y$65)+SUMPRODUCT(分期持仓明细!$AC$24:$AD$24,'实盘净值数据(iFinD）'!$Z279:$AA279/'实盘净值数据(iFinD）'!$Z$65:$AA$65))*(1-实盘持仓初始配置!$Z$8)^(('实盘净值数据(iFinD）'!$A279-'实盘净值数据(iFinD）'!$A$5)/365))</f>
        <v/>
      </c>
      <c r="O279" s="16" t="str">
        <f t="shared" si="28"/>
        <v/>
      </c>
      <c r="P279" s="16" t="str">
        <f>IF(N279="","",N279/MAX(N$5:N279)-1)</f>
        <v/>
      </c>
      <c r="Q279" s="13" t="str">
        <f>IF(OR('实盘净值数据(iFinD）'!$A279="",'实盘净值数据(iFinD）'!$B279="",'实盘净值数据(iFinD）'!$Z279="",'实盘净值数据(iFinD）'!$AA279=""),"",分期持仓明细!$AB$25*(SUMPRODUCT(分期持仓明细!$B$25:$Y$25,'实盘净值数据(iFinD）'!$B279:$Y279/'实盘净值数据(iFinD）'!$B$65:$Y$65)+SUMPRODUCT(分期持仓明细!$AC$25:$AD$25,'实盘净值数据(iFinD）'!$Z279:$AA279/'实盘净值数据(iFinD）'!$Z$65:$AA$65))*(1-实盘持仓初始配置!$Z$9)^(('实盘净值数据(iFinD）'!$A279-'实盘净值数据(iFinD）'!$A$8)/365))</f>
        <v/>
      </c>
      <c r="R279" s="16" t="str">
        <f t="shared" si="29"/>
        <v/>
      </c>
      <c r="S279" s="16" t="str">
        <f>IF(Q279="","",Q279/MAX(Q$5:Q279)-1)</f>
        <v/>
      </c>
      <c r="T279" s="13">
        <f>IF(OR('实盘净值数据(iFinD）'!$A279="",'实盘净值数据(iFinD）'!$B279="",'实盘净值数据(iFinD）'!$Z279="",'实盘净值数据(iFinD）'!$AA279="",'实盘净值数据(iFinD）'!$AB279="",'实盘净值数据(iFinD）'!$AL279=""),"",(SUMPRODUCT(分期持仓明细!$B$26:$Y$26,'实盘净值数据(iFinD）'!$B279:$Y279/'实盘净值数据(iFinD）'!$B$69:$Y$69)+SUMPRODUCT(分期持仓明细!$AC$26:$AD$26,'实盘净值数据(iFinD）'!$Z279:$AA279/'实盘净值数据(iFinD）'!$Z$69:$AA$69)+SUMPRODUCT(分期持仓明细!$AE$26:$AO$26,'实盘净值数据(iFinD）'!$AB279:$AL279/'实盘净值数据(iFinD）'!$AB$69:$AL$69))*(1-实盘持仓初始配置!$Z$10)^(('实盘净值数据(iFinD）'!$A279-'实盘净值数据(iFinD）'!$A$69)/365))</f>
        <v/>
      </c>
      <c r="U279" s="16">
        <f>IF(OR(T278="",T279=""),"",T279/T278-1)</f>
        <v/>
      </c>
      <c r="V279" s="16">
        <f>IF(T279="","",T279/MAX(T$5:T279)-1)</f>
        <v/>
      </c>
    </row>
    <row r="280" spans="1:19">
      <c r="A280" s="15" t="str">
        <f>IF('实盘净值数据(iFinD）'!A280="","",'实盘净值数据(iFinD）'!A280)</f>
        <v/>
      </c>
      <c r="B280" s="13" t="str">
        <f>IF(OR('实盘净值数据(iFinD）'!$A280="",'实盘净值数据(iFinD）'!$B280=""),"",分期持仓明细!$AB$17*SUMPRODUCT(分期持仓明细!$B$17:$Y$17,'实盘净值数据(iFinD）'!$B280:$Y280/'实盘净值数据(iFinD）'!$B$20:$Y$20)*(1-实盘持仓初始配置!$Z$4)^(('实盘净值数据(iFinD）'!$A280-'实盘净值数据(iFinD）'!$A$6)/365))</f>
        <v/>
      </c>
      <c r="C280" s="16" t="str">
        <f t="shared" si="24"/>
        <v/>
      </c>
      <c r="D280" s="16" t="str">
        <f>IF(B280="","",B280/MAX(B$5:B280)-1)</f>
        <v/>
      </c>
      <c r="E280" s="13" t="str">
        <f>IF(OR('实盘净值数据(iFinD）'!$A280="",'实盘净值数据(iFinD）'!$B280=""),"",分期持仓明细!$AB$18*SUMPRODUCT(分期持仓明细!$B$18:$Y$18,'实盘净值数据(iFinD）'!$B280:$Y280/'实盘净值数据(iFinD）'!$B$20:$Y$20)*(1-实盘持仓初始配置!$Z$5)^(('实盘净值数据(iFinD）'!$A280-'实盘净值数据(iFinD）'!$A$5)/365))</f>
        <v/>
      </c>
      <c r="F280" s="16" t="str">
        <f t="shared" si="25"/>
        <v/>
      </c>
      <c r="G280" s="16" t="str">
        <f>IF(E280="","",E280/MAX(E$5:E280)-1)</f>
        <v/>
      </c>
      <c r="H280" s="13" t="str">
        <f>IF(OR('实盘净值数据(iFinD）'!$A280="",'实盘净值数据(iFinD）'!$B280=""),"",分期持仓明细!$AB$19*SUMPRODUCT(分期持仓明细!$B$19:$Y$19,'实盘净值数据(iFinD）'!$B280:$Y280/'实盘净值数据(iFinD）'!$B$20:$Y$20)*(1-实盘持仓初始配置!$Z$6)^(('实盘净值数据(iFinD）'!$A280-'实盘净值数据(iFinD）'!$A$7)/365))</f>
        <v/>
      </c>
      <c r="I280" s="16" t="str">
        <f t="shared" si="26"/>
        <v/>
      </c>
      <c r="J280" s="16" t="str">
        <f>IF(H280="","",H280/MAX(H$5:H280)-1)</f>
        <v/>
      </c>
      <c r="K280" s="13" t="str">
        <f>IF(OR('实盘净值数据(iFinD）'!$A280="",'实盘净值数据(iFinD）'!$B280="",'实盘净值数据(iFinD）'!$Z280="",'实盘净值数据(iFinD）'!$AA280=""),"",分期持仓明细!$AB$23*(SUMPRODUCT(分期持仓明细!$B$23:$Y$23,'实盘净值数据(iFinD）'!$B280:$Y280/'实盘净值数据(iFinD）'!$B$65:$Y$65)+SUMPRODUCT(分期持仓明细!$AC$23:$AD$23,'实盘净值数据(iFinD）'!$Z280:$AA280/'实盘净值数据(iFinD）'!$Z$65:$AA$65))*(1-实盘持仓初始配置!$Z$7)^(('实盘净值数据(iFinD）'!$A280-'实盘净值数据(iFinD）'!$A$8)/365))</f>
        <v/>
      </c>
      <c r="L280" s="16" t="str">
        <f t="shared" si="27"/>
        <v/>
      </c>
      <c r="M280" s="16" t="str">
        <f>IF(K280="","",K280/MAX(K$5:K280)-1)</f>
        <v/>
      </c>
      <c r="N280" s="13" t="str">
        <f>IF(OR('实盘净值数据(iFinD）'!$A280="",'实盘净值数据(iFinD）'!$B280="",'实盘净值数据(iFinD）'!$Z280="",'实盘净值数据(iFinD）'!$AA280=""),"",分期持仓明细!$AB$24*(SUMPRODUCT(分期持仓明细!$B$24:$Y$24,'实盘净值数据(iFinD）'!$B280:$Y280/'实盘净值数据(iFinD）'!$B$65:$Y$65)+SUMPRODUCT(分期持仓明细!$AC$24:$AD$24,'实盘净值数据(iFinD）'!$Z280:$AA280/'实盘净值数据(iFinD）'!$Z$65:$AA$65))*(1-实盘持仓初始配置!$Z$8)^(('实盘净值数据(iFinD）'!$A280-'实盘净值数据(iFinD）'!$A$5)/365))</f>
        <v/>
      </c>
      <c r="O280" s="16" t="str">
        <f t="shared" si="28"/>
        <v/>
      </c>
      <c r="P280" s="16" t="str">
        <f>IF(N280="","",N280/MAX(N$5:N280)-1)</f>
        <v/>
      </c>
      <c r="Q280" s="13" t="str">
        <f>IF(OR('实盘净值数据(iFinD）'!$A280="",'实盘净值数据(iFinD）'!$B280="",'实盘净值数据(iFinD）'!$Z280="",'实盘净值数据(iFinD）'!$AA280=""),"",分期持仓明细!$AB$25*(SUMPRODUCT(分期持仓明细!$B$25:$Y$25,'实盘净值数据(iFinD）'!$B280:$Y280/'实盘净值数据(iFinD）'!$B$65:$Y$65)+SUMPRODUCT(分期持仓明细!$AC$25:$AD$25,'实盘净值数据(iFinD）'!$Z280:$AA280/'实盘净值数据(iFinD）'!$Z$65:$AA$65))*(1-实盘持仓初始配置!$Z$9)^(('实盘净值数据(iFinD）'!$A280-'实盘净值数据(iFinD）'!$A$8)/365))</f>
        <v/>
      </c>
      <c r="R280" s="16" t="str">
        <f t="shared" si="29"/>
        <v/>
      </c>
      <c r="S280" s="16" t="str">
        <f>IF(Q280="","",Q280/MAX(Q$5:Q280)-1)</f>
        <v/>
      </c>
      <c r="T280" s="13">
        <f>IF(OR('实盘净值数据(iFinD）'!$A280="",'实盘净值数据(iFinD）'!$B280="",'实盘净值数据(iFinD）'!$Z280="",'实盘净值数据(iFinD）'!$AA280="",'实盘净值数据(iFinD）'!$AB280="",'实盘净值数据(iFinD）'!$AL280=""),"",(SUMPRODUCT(分期持仓明细!$B$26:$Y$26,'实盘净值数据(iFinD）'!$B280:$Y280/'实盘净值数据(iFinD）'!$B$69:$Y$69)+SUMPRODUCT(分期持仓明细!$AC$26:$AD$26,'实盘净值数据(iFinD）'!$Z280:$AA280/'实盘净值数据(iFinD）'!$Z$69:$AA$69)+SUMPRODUCT(分期持仓明细!$AE$26:$AO$26,'实盘净值数据(iFinD）'!$AB280:$AL280/'实盘净值数据(iFinD）'!$AB$69:$AL$69))*(1-实盘持仓初始配置!$Z$10)^(('实盘净值数据(iFinD）'!$A280-'实盘净值数据(iFinD）'!$A$69)/365))</f>
        <v/>
      </c>
      <c r="U280" s="16">
        <f>IF(OR(T279="",T280=""),"",T280/T279-1)</f>
        <v/>
      </c>
      <c r="V280" s="16">
        <f>IF(T280="","",T280/MAX(T$5:T280)-1)</f>
        <v/>
      </c>
    </row>
    <row r="281" spans="1:19">
      <c r="A281" s="15" t="str">
        <f>IF('实盘净值数据(iFinD）'!A281="","",'实盘净值数据(iFinD）'!A281)</f>
        <v/>
      </c>
      <c r="B281" s="13" t="str">
        <f>IF(OR('实盘净值数据(iFinD）'!$A281="",'实盘净值数据(iFinD）'!$B281=""),"",分期持仓明细!$AB$17*SUMPRODUCT(分期持仓明细!$B$17:$Y$17,'实盘净值数据(iFinD）'!$B281:$Y281/'实盘净值数据(iFinD）'!$B$20:$Y$20)*(1-实盘持仓初始配置!$Z$4)^(('实盘净值数据(iFinD）'!$A281-'实盘净值数据(iFinD）'!$A$6)/365))</f>
        <v/>
      </c>
      <c r="C281" s="16" t="str">
        <f t="shared" si="24"/>
        <v/>
      </c>
      <c r="D281" s="16" t="str">
        <f>IF(B281="","",B281/MAX(B$5:B281)-1)</f>
        <v/>
      </c>
      <c r="E281" s="13" t="str">
        <f>IF(OR('实盘净值数据(iFinD）'!$A281="",'实盘净值数据(iFinD）'!$B281=""),"",分期持仓明细!$AB$18*SUMPRODUCT(分期持仓明细!$B$18:$Y$18,'实盘净值数据(iFinD）'!$B281:$Y281/'实盘净值数据(iFinD）'!$B$20:$Y$20)*(1-实盘持仓初始配置!$Z$5)^(('实盘净值数据(iFinD）'!$A281-'实盘净值数据(iFinD）'!$A$5)/365))</f>
        <v/>
      </c>
      <c r="F281" s="16" t="str">
        <f t="shared" si="25"/>
        <v/>
      </c>
      <c r="G281" s="16" t="str">
        <f>IF(E281="","",E281/MAX(E$5:E281)-1)</f>
        <v/>
      </c>
      <c r="H281" s="13" t="str">
        <f>IF(OR('实盘净值数据(iFinD）'!$A281="",'实盘净值数据(iFinD）'!$B281=""),"",分期持仓明细!$AB$19*SUMPRODUCT(分期持仓明细!$B$19:$Y$19,'实盘净值数据(iFinD）'!$B281:$Y281/'实盘净值数据(iFinD）'!$B$20:$Y$20)*(1-实盘持仓初始配置!$Z$6)^(('实盘净值数据(iFinD）'!$A281-'实盘净值数据(iFinD）'!$A$7)/365))</f>
        <v/>
      </c>
      <c r="I281" s="16" t="str">
        <f t="shared" si="26"/>
        <v/>
      </c>
      <c r="J281" s="16" t="str">
        <f>IF(H281="","",H281/MAX(H$5:H281)-1)</f>
        <v/>
      </c>
      <c r="K281" s="13" t="str">
        <f>IF(OR('实盘净值数据(iFinD）'!$A281="",'实盘净值数据(iFinD）'!$B281="",'实盘净值数据(iFinD）'!$Z281="",'实盘净值数据(iFinD）'!$AA281=""),"",分期持仓明细!$AB$23*(SUMPRODUCT(分期持仓明细!$B$23:$Y$23,'实盘净值数据(iFinD）'!$B281:$Y281/'实盘净值数据(iFinD）'!$B$65:$Y$65)+SUMPRODUCT(分期持仓明细!$AC$23:$AD$23,'实盘净值数据(iFinD）'!$Z281:$AA281/'实盘净值数据(iFinD）'!$Z$65:$AA$65))*(1-实盘持仓初始配置!$Z$7)^(('实盘净值数据(iFinD）'!$A281-'实盘净值数据(iFinD）'!$A$8)/365))</f>
        <v/>
      </c>
      <c r="L281" s="16" t="str">
        <f t="shared" si="27"/>
        <v/>
      </c>
      <c r="M281" s="16" t="str">
        <f>IF(K281="","",K281/MAX(K$5:K281)-1)</f>
        <v/>
      </c>
      <c r="N281" s="13" t="str">
        <f>IF(OR('实盘净值数据(iFinD）'!$A281="",'实盘净值数据(iFinD）'!$B281="",'实盘净值数据(iFinD）'!$Z281="",'实盘净值数据(iFinD）'!$AA281=""),"",分期持仓明细!$AB$24*(SUMPRODUCT(分期持仓明细!$B$24:$Y$24,'实盘净值数据(iFinD）'!$B281:$Y281/'实盘净值数据(iFinD）'!$B$65:$Y$65)+SUMPRODUCT(分期持仓明细!$AC$24:$AD$24,'实盘净值数据(iFinD）'!$Z281:$AA281/'实盘净值数据(iFinD）'!$Z$65:$AA$65))*(1-实盘持仓初始配置!$Z$8)^(('实盘净值数据(iFinD）'!$A281-'实盘净值数据(iFinD）'!$A$5)/365))</f>
        <v/>
      </c>
      <c r="O281" s="16" t="str">
        <f t="shared" si="28"/>
        <v/>
      </c>
      <c r="P281" s="16" t="str">
        <f>IF(N281="","",N281/MAX(N$5:N281)-1)</f>
        <v/>
      </c>
      <c r="Q281" s="13" t="str">
        <f>IF(OR('实盘净值数据(iFinD）'!$A281="",'实盘净值数据(iFinD）'!$B281="",'实盘净值数据(iFinD）'!$Z281="",'实盘净值数据(iFinD）'!$AA281=""),"",分期持仓明细!$AB$25*(SUMPRODUCT(分期持仓明细!$B$25:$Y$25,'实盘净值数据(iFinD）'!$B281:$Y281/'实盘净值数据(iFinD）'!$B$65:$Y$65)+SUMPRODUCT(分期持仓明细!$AC$25:$AD$25,'实盘净值数据(iFinD）'!$Z281:$AA281/'实盘净值数据(iFinD）'!$Z$65:$AA$65))*(1-实盘持仓初始配置!$Z$9)^(('实盘净值数据(iFinD）'!$A281-'实盘净值数据(iFinD）'!$A$8)/365))</f>
        <v/>
      </c>
      <c r="R281" s="16" t="str">
        <f t="shared" si="29"/>
        <v/>
      </c>
      <c r="S281" s="16" t="str">
        <f>IF(Q281="","",Q281/MAX(Q$5:Q281)-1)</f>
        <v/>
      </c>
      <c r="T281" s="13">
        <f>IF(OR('实盘净值数据(iFinD）'!$A281="",'实盘净值数据(iFinD）'!$B281="",'实盘净值数据(iFinD）'!$Z281="",'实盘净值数据(iFinD）'!$AA281="",'实盘净值数据(iFinD）'!$AB281="",'实盘净值数据(iFinD）'!$AL281=""),"",(SUMPRODUCT(分期持仓明细!$B$26:$Y$26,'实盘净值数据(iFinD）'!$B281:$Y281/'实盘净值数据(iFinD）'!$B$69:$Y$69)+SUMPRODUCT(分期持仓明细!$AC$26:$AD$26,'实盘净值数据(iFinD）'!$Z281:$AA281/'实盘净值数据(iFinD）'!$Z$69:$AA$69)+SUMPRODUCT(分期持仓明细!$AE$26:$AO$26,'实盘净值数据(iFinD）'!$AB281:$AL281/'实盘净值数据(iFinD）'!$AB$69:$AL$69))*(1-实盘持仓初始配置!$Z$10)^(('实盘净值数据(iFinD）'!$A281-'实盘净值数据(iFinD）'!$A$69)/365))</f>
        <v/>
      </c>
      <c r="U281" s="16">
        <f>IF(OR(T280="",T281=""),"",T281/T280-1)</f>
        <v/>
      </c>
      <c r="V281" s="16">
        <f>IF(T281="","",T281/MAX(T$5:T281)-1)</f>
        <v/>
      </c>
    </row>
    <row r="282" spans="1:19">
      <c r="A282" s="15" t="str">
        <f>IF('实盘净值数据(iFinD）'!A282="","",'实盘净值数据(iFinD）'!A282)</f>
        <v/>
      </c>
      <c r="B282" s="13" t="str">
        <f>IF(OR('实盘净值数据(iFinD）'!$A282="",'实盘净值数据(iFinD）'!$B282=""),"",分期持仓明细!$AB$17*SUMPRODUCT(分期持仓明细!$B$17:$Y$17,'实盘净值数据(iFinD）'!$B282:$Y282/'实盘净值数据(iFinD）'!$B$20:$Y$20)*(1-实盘持仓初始配置!$Z$4)^(('实盘净值数据(iFinD）'!$A282-'实盘净值数据(iFinD）'!$A$6)/365))</f>
        <v/>
      </c>
      <c r="C282" s="16" t="str">
        <f t="shared" si="24"/>
        <v/>
      </c>
      <c r="D282" s="16" t="str">
        <f>IF(B282="","",B282/MAX(B$5:B282)-1)</f>
        <v/>
      </c>
      <c r="E282" s="13" t="str">
        <f>IF(OR('实盘净值数据(iFinD）'!$A282="",'实盘净值数据(iFinD）'!$B282=""),"",分期持仓明细!$AB$18*SUMPRODUCT(分期持仓明细!$B$18:$Y$18,'实盘净值数据(iFinD）'!$B282:$Y282/'实盘净值数据(iFinD）'!$B$20:$Y$20)*(1-实盘持仓初始配置!$Z$5)^(('实盘净值数据(iFinD）'!$A282-'实盘净值数据(iFinD）'!$A$5)/365))</f>
        <v/>
      </c>
      <c r="F282" s="16" t="str">
        <f t="shared" si="25"/>
        <v/>
      </c>
      <c r="G282" s="16" t="str">
        <f>IF(E282="","",E282/MAX(E$5:E282)-1)</f>
        <v/>
      </c>
      <c r="H282" s="13" t="str">
        <f>IF(OR('实盘净值数据(iFinD）'!$A282="",'实盘净值数据(iFinD）'!$B282=""),"",分期持仓明细!$AB$19*SUMPRODUCT(分期持仓明细!$B$19:$Y$19,'实盘净值数据(iFinD）'!$B282:$Y282/'实盘净值数据(iFinD）'!$B$20:$Y$20)*(1-实盘持仓初始配置!$Z$6)^(('实盘净值数据(iFinD）'!$A282-'实盘净值数据(iFinD）'!$A$7)/365))</f>
        <v/>
      </c>
      <c r="I282" s="16" t="str">
        <f t="shared" si="26"/>
        <v/>
      </c>
      <c r="J282" s="16" t="str">
        <f>IF(H282="","",H282/MAX(H$5:H282)-1)</f>
        <v/>
      </c>
      <c r="K282" s="13" t="str">
        <f>IF(OR('实盘净值数据(iFinD）'!$A282="",'实盘净值数据(iFinD）'!$B282="",'实盘净值数据(iFinD）'!$Z282="",'实盘净值数据(iFinD）'!$AA282=""),"",分期持仓明细!$AB$23*(SUMPRODUCT(分期持仓明细!$B$23:$Y$23,'实盘净值数据(iFinD）'!$B282:$Y282/'实盘净值数据(iFinD）'!$B$65:$Y$65)+SUMPRODUCT(分期持仓明细!$AC$23:$AD$23,'实盘净值数据(iFinD）'!$Z282:$AA282/'实盘净值数据(iFinD）'!$Z$65:$AA$65))*(1-实盘持仓初始配置!$Z$7)^(('实盘净值数据(iFinD）'!$A282-'实盘净值数据(iFinD）'!$A$8)/365))</f>
        <v/>
      </c>
      <c r="L282" s="16" t="str">
        <f t="shared" si="27"/>
        <v/>
      </c>
      <c r="M282" s="16" t="str">
        <f>IF(K282="","",K282/MAX(K$5:K282)-1)</f>
        <v/>
      </c>
      <c r="N282" s="13" t="str">
        <f>IF(OR('实盘净值数据(iFinD）'!$A282="",'实盘净值数据(iFinD）'!$B282="",'实盘净值数据(iFinD）'!$Z282="",'实盘净值数据(iFinD）'!$AA282=""),"",分期持仓明细!$AB$24*(SUMPRODUCT(分期持仓明细!$B$24:$Y$24,'实盘净值数据(iFinD）'!$B282:$Y282/'实盘净值数据(iFinD）'!$B$65:$Y$65)+SUMPRODUCT(分期持仓明细!$AC$24:$AD$24,'实盘净值数据(iFinD）'!$Z282:$AA282/'实盘净值数据(iFinD）'!$Z$65:$AA$65))*(1-实盘持仓初始配置!$Z$8)^(('实盘净值数据(iFinD）'!$A282-'实盘净值数据(iFinD）'!$A$5)/365))</f>
        <v/>
      </c>
      <c r="O282" s="16" t="str">
        <f t="shared" si="28"/>
        <v/>
      </c>
      <c r="P282" s="16" t="str">
        <f>IF(N282="","",N282/MAX(N$5:N282)-1)</f>
        <v/>
      </c>
      <c r="Q282" s="13" t="str">
        <f>IF(OR('实盘净值数据(iFinD）'!$A282="",'实盘净值数据(iFinD）'!$B282="",'实盘净值数据(iFinD）'!$Z282="",'实盘净值数据(iFinD）'!$AA282=""),"",分期持仓明细!$AB$25*(SUMPRODUCT(分期持仓明细!$B$25:$Y$25,'实盘净值数据(iFinD）'!$B282:$Y282/'实盘净值数据(iFinD）'!$B$65:$Y$65)+SUMPRODUCT(分期持仓明细!$AC$25:$AD$25,'实盘净值数据(iFinD）'!$Z282:$AA282/'实盘净值数据(iFinD）'!$Z$65:$AA$65))*(1-实盘持仓初始配置!$Z$9)^(('实盘净值数据(iFinD）'!$A282-'实盘净值数据(iFinD）'!$A$8)/365))</f>
        <v/>
      </c>
      <c r="R282" s="16" t="str">
        <f t="shared" si="29"/>
        <v/>
      </c>
      <c r="S282" s="16" t="str">
        <f>IF(Q282="","",Q282/MAX(Q$5:Q282)-1)</f>
        <v/>
      </c>
      <c r="T282" s="13">
        <f>IF(OR('实盘净值数据(iFinD）'!$A282="",'实盘净值数据(iFinD）'!$B282="",'实盘净值数据(iFinD）'!$Z282="",'实盘净值数据(iFinD）'!$AA282="",'实盘净值数据(iFinD）'!$AB282="",'实盘净值数据(iFinD）'!$AL282=""),"",(SUMPRODUCT(分期持仓明细!$B$26:$Y$26,'实盘净值数据(iFinD）'!$B282:$Y282/'实盘净值数据(iFinD）'!$B$69:$Y$69)+SUMPRODUCT(分期持仓明细!$AC$26:$AD$26,'实盘净值数据(iFinD）'!$Z282:$AA282/'实盘净值数据(iFinD）'!$Z$69:$AA$69)+SUMPRODUCT(分期持仓明细!$AE$26:$AO$26,'实盘净值数据(iFinD）'!$AB282:$AL282/'实盘净值数据(iFinD）'!$AB$69:$AL$69))*(1-实盘持仓初始配置!$Z$10)^(('实盘净值数据(iFinD）'!$A282-'实盘净值数据(iFinD）'!$A$69)/365))</f>
        <v/>
      </c>
      <c r="U282" s="16">
        <f>IF(OR(T281="",T282=""),"",T282/T281-1)</f>
        <v/>
      </c>
      <c r="V282" s="16">
        <f>IF(T282="","",T282/MAX(T$5:T282)-1)</f>
        <v/>
      </c>
    </row>
    <row r="283" spans="1:19">
      <c r="A283" s="15" t="str">
        <f>IF('实盘净值数据(iFinD）'!A283="","",'实盘净值数据(iFinD）'!A283)</f>
        <v/>
      </c>
      <c r="B283" s="13" t="str">
        <f>IF(OR('实盘净值数据(iFinD）'!$A283="",'实盘净值数据(iFinD）'!$B283=""),"",分期持仓明细!$AB$17*SUMPRODUCT(分期持仓明细!$B$17:$Y$17,'实盘净值数据(iFinD）'!$B283:$Y283/'实盘净值数据(iFinD）'!$B$20:$Y$20)*(1-实盘持仓初始配置!$Z$4)^(('实盘净值数据(iFinD）'!$A283-'实盘净值数据(iFinD）'!$A$6)/365))</f>
        <v/>
      </c>
      <c r="C283" s="16" t="str">
        <f t="shared" si="24"/>
        <v/>
      </c>
      <c r="D283" s="16" t="str">
        <f>IF(B283="","",B283/MAX(B$5:B283)-1)</f>
        <v/>
      </c>
      <c r="E283" s="13" t="str">
        <f>IF(OR('实盘净值数据(iFinD）'!$A283="",'实盘净值数据(iFinD）'!$B283=""),"",分期持仓明细!$AB$18*SUMPRODUCT(分期持仓明细!$B$18:$Y$18,'实盘净值数据(iFinD）'!$B283:$Y283/'实盘净值数据(iFinD）'!$B$20:$Y$20)*(1-实盘持仓初始配置!$Z$5)^(('实盘净值数据(iFinD）'!$A283-'实盘净值数据(iFinD）'!$A$5)/365))</f>
        <v/>
      </c>
      <c r="F283" s="16" t="str">
        <f t="shared" si="25"/>
        <v/>
      </c>
      <c r="G283" s="16" t="str">
        <f>IF(E283="","",E283/MAX(E$5:E283)-1)</f>
        <v/>
      </c>
      <c r="H283" s="13" t="str">
        <f>IF(OR('实盘净值数据(iFinD）'!$A283="",'实盘净值数据(iFinD）'!$B283=""),"",分期持仓明细!$AB$19*SUMPRODUCT(分期持仓明细!$B$19:$Y$19,'实盘净值数据(iFinD）'!$B283:$Y283/'实盘净值数据(iFinD）'!$B$20:$Y$20)*(1-实盘持仓初始配置!$Z$6)^(('实盘净值数据(iFinD）'!$A283-'实盘净值数据(iFinD）'!$A$7)/365))</f>
        <v/>
      </c>
      <c r="I283" s="16" t="str">
        <f t="shared" si="26"/>
        <v/>
      </c>
      <c r="J283" s="16" t="str">
        <f>IF(H283="","",H283/MAX(H$5:H283)-1)</f>
        <v/>
      </c>
      <c r="K283" s="13" t="str">
        <f>IF(OR('实盘净值数据(iFinD）'!$A283="",'实盘净值数据(iFinD）'!$B283="",'实盘净值数据(iFinD）'!$Z283="",'实盘净值数据(iFinD）'!$AA283=""),"",分期持仓明细!$AB$23*(SUMPRODUCT(分期持仓明细!$B$23:$Y$23,'实盘净值数据(iFinD）'!$B283:$Y283/'实盘净值数据(iFinD）'!$B$65:$Y$65)+SUMPRODUCT(分期持仓明细!$AC$23:$AD$23,'实盘净值数据(iFinD）'!$Z283:$AA283/'实盘净值数据(iFinD）'!$Z$65:$AA$65))*(1-实盘持仓初始配置!$Z$7)^(('实盘净值数据(iFinD）'!$A283-'实盘净值数据(iFinD）'!$A$8)/365))</f>
        <v/>
      </c>
      <c r="L283" s="16" t="str">
        <f t="shared" si="27"/>
        <v/>
      </c>
      <c r="M283" s="16" t="str">
        <f>IF(K283="","",K283/MAX(K$5:K283)-1)</f>
        <v/>
      </c>
      <c r="N283" s="13" t="str">
        <f>IF(OR('实盘净值数据(iFinD）'!$A283="",'实盘净值数据(iFinD）'!$B283="",'实盘净值数据(iFinD）'!$Z283="",'实盘净值数据(iFinD）'!$AA283=""),"",分期持仓明细!$AB$24*(SUMPRODUCT(分期持仓明细!$B$24:$Y$24,'实盘净值数据(iFinD）'!$B283:$Y283/'实盘净值数据(iFinD）'!$B$65:$Y$65)+SUMPRODUCT(分期持仓明细!$AC$24:$AD$24,'实盘净值数据(iFinD）'!$Z283:$AA283/'实盘净值数据(iFinD）'!$Z$65:$AA$65))*(1-实盘持仓初始配置!$Z$8)^(('实盘净值数据(iFinD）'!$A283-'实盘净值数据(iFinD）'!$A$5)/365))</f>
        <v/>
      </c>
      <c r="O283" s="16" t="str">
        <f t="shared" si="28"/>
        <v/>
      </c>
      <c r="P283" s="16" t="str">
        <f>IF(N283="","",N283/MAX(N$5:N283)-1)</f>
        <v/>
      </c>
      <c r="Q283" s="13" t="str">
        <f>IF(OR('实盘净值数据(iFinD）'!$A283="",'实盘净值数据(iFinD）'!$B283="",'实盘净值数据(iFinD）'!$Z283="",'实盘净值数据(iFinD）'!$AA283=""),"",分期持仓明细!$AB$25*(SUMPRODUCT(分期持仓明细!$B$25:$Y$25,'实盘净值数据(iFinD）'!$B283:$Y283/'实盘净值数据(iFinD）'!$B$65:$Y$65)+SUMPRODUCT(分期持仓明细!$AC$25:$AD$25,'实盘净值数据(iFinD）'!$Z283:$AA283/'实盘净值数据(iFinD）'!$Z$65:$AA$65))*(1-实盘持仓初始配置!$Z$9)^(('实盘净值数据(iFinD）'!$A283-'实盘净值数据(iFinD）'!$A$8)/365))</f>
        <v/>
      </c>
      <c r="R283" s="16" t="str">
        <f t="shared" si="29"/>
        <v/>
      </c>
      <c r="S283" s="16" t="str">
        <f>IF(Q283="","",Q283/MAX(Q$5:Q283)-1)</f>
        <v/>
      </c>
      <c r="T283" s="13">
        <f>IF(OR('实盘净值数据(iFinD）'!$A283="",'实盘净值数据(iFinD）'!$B283="",'实盘净值数据(iFinD）'!$Z283="",'实盘净值数据(iFinD）'!$AA283="",'实盘净值数据(iFinD）'!$AB283="",'实盘净值数据(iFinD）'!$AL283=""),"",(SUMPRODUCT(分期持仓明细!$B$26:$Y$26,'实盘净值数据(iFinD）'!$B283:$Y283/'实盘净值数据(iFinD）'!$B$69:$Y$69)+SUMPRODUCT(分期持仓明细!$AC$26:$AD$26,'实盘净值数据(iFinD）'!$Z283:$AA283/'实盘净值数据(iFinD）'!$Z$69:$AA$69)+SUMPRODUCT(分期持仓明细!$AE$26:$AO$26,'实盘净值数据(iFinD）'!$AB283:$AL283/'实盘净值数据(iFinD）'!$AB$69:$AL$69))*(1-实盘持仓初始配置!$Z$10)^(('实盘净值数据(iFinD）'!$A283-'实盘净值数据(iFinD）'!$A$69)/365))</f>
        <v/>
      </c>
      <c r="U283" s="16">
        <f>IF(OR(T282="",T283=""),"",T283/T282-1)</f>
        <v/>
      </c>
      <c r="V283" s="16">
        <f>IF(T283="","",T283/MAX(T$5:T283)-1)</f>
        <v/>
      </c>
    </row>
    <row r="284" spans="1:19">
      <c r="A284" s="15" t="str">
        <f>IF('实盘净值数据(iFinD）'!A284="","",'实盘净值数据(iFinD）'!A284)</f>
        <v/>
      </c>
      <c r="B284" s="13" t="str">
        <f>IF(OR('实盘净值数据(iFinD）'!$A284="",'实盘净值数据(iFinD）'!$B284=""),"",分期持仓明细!$AB$17*SUMPRODUCT(分期持仓明细!$B$17:$Y$17,'实盘净值数据(iFinD）'!$B284:$Y284/'实盘净值数据(iFinD）'!$B$20:$Y$20)*(1-实盘持仓初始配置!$Z$4)^(('实盘净值数据(iFinD）'!$A284-'实盘净值数据(iFinD）'!$A$6)/365))</f>
        <v/>
      </c>
      <c r="C284" s="16" t="str">
        <f t="shared" si="24"/>
        <v/>
      </c>
      <c r="D284" s="16" t="str">
        <f>IF(B284="","",B284/MAX(B$5:B284)-1)</f>
        <v/>
      </c>
      <c r="E284" s="13" t="str">
        <f>IF(OR('实盘净值数据(iFinD）'!$A284="",'实盘净值数据(iFinD）'!$B284=""),"",分期持仓明细!$AB$18*SUMPRODUCT(分期持仓明细!$B$18:$Y$18,'实盘净值数据(iFinD）'!$B284:$Y284/'实盘净值数据(iFinD）'!$B$20:$Y$20)*(1-实盘持仓初始配置!$Z$5)^(('实盘净值数据(iFinD）'!$A284-'实盘净值数据(iFinD）'!$A$5)/365))</f>
        <v/>
      </c>
      <c r="F284" s="16" t="str">
        <f t="shared" si="25"/>
        <v/>
      </c>
      <c r="G284" s="16" t="str">
        <f>IF(E284="","",E284/MAX(E$5:E284)-1)</f>
        <v/>
      </c>
      <c r="H284" s="13" t="str">
        <f>IF(OR('实盘净值数据(iFinD）'!$A284="",'实盘净值数据(iFinD）'!$B284=""),"",分期持仓明细!$AB$19*SUMPRODUCT(分期持仓明细!$B$19:$Y$19,'实盘净值数据(iFinD）'!$B284:$Y284/'实盘净值数据(iFinD）'!$B$20:$Y$20)*(1-实盘持仓初始配置!$Z$6)^(('实盘净值数据(iFinD）'!$A284-'实盘净值数据(iFinD）'!$A$7)/365))</f>
        <v/>
      </c>
      <c r="I284" s="16" t="str">
        <f t="shared" si="26"/>
        <v/>
      </c>
      <c r="J284" s="16" t="str">
        <f>IF(H284="","",H284/MAX(H$5:H284)-1)</f>
        <v/>
      </c>
      <c r="K284" s="13" t="str">
        <f>IF(OR('实盘净值数据(iFinD）'!$A284="",'实盘净值数据(iFinD）'!$B284="",'实盘净值数据(iFinD）'!$Z284="",'实盘净值数据(iFinD）'!$AA284=""),"",分期持仓明细!$AB$23*(SUMPRODUCT(分期持仓明细!$B$23:$Y$23,'实盘净值数据(iFinD）'!$B284:$Y284/'实盘净值数据(iFinD）'!$B$65:$Y$65)+SUMPRODUCT(分期持仓明细!$AC$23:$AD$23,'实盘净值数据(iFinD）'!$Z284:$AA284/'实盘净值数据(iFinD）'!$Z$65:$AA$65))*(1-实盘持仓初始配置!$Z$7)^(('实盘净值数据(iFinD）'!$A284-'实盘净值数据(iFinD）'!$A$8)/365))</f>
        <v/>
      </c>
      <c r="L284" s="16" t="str">
        <f t="shared" si="27"/>
        <v/>
      </c>
      <c r="M284" s="16" t="str">
        <f>IF(K284="","",K284/MAX(K$5:K284)-1)</f>
        <v/>
      </c>
      <c r="N284" s="13" t="str">
        <f>IF(OR('实盘净值数据(iFinD）'!$A284="",'实盘净值数据(iFinD）'!$B284="",'实盘净值数据(iFinD）'!$Z284="",'实盘净值数据(iFinD）'!$AA284=""),"",分期持仓明细!$AB$24*(SUMPRODUCT(分期持仓明细!$B$24:$Y$24,'实盘净值数据(iFinD）'!$B284:$Y284/'实盘净值数据(iFinD）'!$B$65:$Y$65)+SUMPRODUCT(分期持仓明细!$AC$24:$AD$24,'实盘净值数据(iFinD）'!$Z284:$AA284/'实盘净值数据(iFinD）'!$Z$65:$AA$65))*(1-实盘持仓初始配置!$Z$8)^(('实盘净值数据(iFinD）'!$A284-'实盘净值数据(iFinD）'!$A$5)/365))</f>
        <v/>
      </c>
      <c r="O284" s="16" t="str">
        <f t="shared" si="28"/>
        <v/>
      </c>
      <c r="P284" s="16" t="str">
        <f>IF(N284="","",N284/MAX(N$5:N284)-1)</f>
        <v/>
      </c>
      <c r="Q284" s="13" t="str">
        <f>IF(OR('实盘净值数据(iFinD）'!$A284="",'实盘净值数据(iFinD）'!$B284="",'实盘净值数据(iFinD）'!$Z284="",'实盘净值数据(iFinD）'!$AA284=""),"",分期持仓明细!$AB$25*(SUMPRODUCT(分期持仓明细!$B$25:$Y$25,'实盘净值数据(iFinD）'!$B284:$Y284/'实盘净值数据(iFinD）'!$B$65:$Y$65)+SUMPRODUCT(分期持仓明细!$AC$25:$AD$25,'实盘净值数据(iFinD）'!$Z284:$AA284/'实盘净值数据(iFinD）'!$Z$65:$AA$65))*(1-实盘持仓初始配置!$Z$9)^(('实盘净值数据(iFinD）'!$A284-'实盘净值数据(iFinD）'!$A$8)/365))</f>
        <v/>
      </c>
      <c r="R284" s="16" t="str">
        <f t="shared" si="29"/>
        <v/>
      </c>
      <c r="S284" s="16" t="str">
        <f>IF(Q284="","",Q284/MAX(Q$5:Q284)-1)</f>
        <v/>
      </c>
      <c r="T284" s="13">
        <f>IF(OR('实盘净值数据(iFinD）'!$A284="",'实盘净值数据(iFinD）'!$B284="",'实盘净值数据(iFinD）'!$Z284="",'实盘净值数据(iFinD）'!$AA284="",'实盘净值数据(iFinD）'!$AB284="",'实盘净值数据(iFinD）'!$AL284=""),"",(SUMPRODUCT(分期持仓明细!$B$26:$Y$26,'实盘净值数据(iFinD）'!$B284:$Y284/'实盘净值数据(iFinD）'!$B$69:$Y$69)+SUMPRODUCT(分期持仓明细!$AC$26:$AD$26,'实盘净值数据(iFinD）'!$Z284:$AA284/'实盘净值数据(iFinD）'!$Z$69:$AA$69)+SUMPRODUCT(分期持仓明细!$AE$26:$AO$26,'实盘净值数据(iFinD）'!$AB284:$AL284/'实盘净值数据(iFinD）'!$AB$69:$AL$69))*(1-实盘持仓初始配置!$Z$10)^(('实盘净值数据(iFinD）'!$A284-'实盘净值数据(iFinD）'!$A$69)/365))</f>
        <v/>
      </c>
      <c r="U284" s="16">
        <f>IF(OR(T283="",T284=""),"",T284/T283-1)</f>
        <v/>
      </c>
      <c r="V284" s="16">
        <f>IF(T284="","",T284/MAX(T$5:T284)-1)</f>
        <v/>
      </c>
    </row>
    <row r="285" spans="1:19">
      <c r="A285" s="15" t="str">
        <f>IF('实盘净值数据(iFinD）'!A285="","",'实盘净值数据(iFinD）'!A285)</f>
        <v/>
      </c>
      <c r="B285" s="13" t="str">
        <f>IF(OR('实盘净值数据(iFinD）'!$A285="",'实盘净值数据(iFinD）'!$B285=""),"",分期持仓明细!$AB$17*SUMPRODUCT(分期持仓明细!$B$17:$Y$17,'实盘净值数据(iFinD）'!$B285:$Y285/'实盘净值数据(iFinD）'!$B$20:$Y$20)*(1-实盘持仓初始配置!$Z$4)^(('实盘净值数据(iFinD）'!$A285-'实盘净值数据(iFinD）'!$A$6)/365))</f>
        <v/>
      </c>
      <c r="C285" s="16" t="str">
        <f t="shared" si="24"/>
        <v/>
      </c>
      <c r="D285" s="16" t="str">
        <f>IF(B285="","",B285/MAX(B$5:B285)-1)</f>
        <v/>
      </c>
      <c r="E285" s="13" t="str">
        <f>IF(OR('实盘净值数据(iFinD）'!$A285="",'实盘净值数据(iFinD）'!$B285=""),"",分期持仓明细!$AB$18*SUMPRODUCT(分期持仓明细!$B$18:$Y$18,'实盘净值数据(iFinD）'!$B285:$Y285/'实盘净值数据(iFinD）'!$B$20:$Y$20)*(1-实盘持仓初始配置!$Z$5)^(('实盘净值数据(iFinD）'!$A285-'实盘净值数据(iFinD）'!$A$5)/365))</f>
        <v/>
      </c>
      <c r="F285" s="16" t="str">
        <f t="shared" si="25"/>
        <v/>
      </c>
      <c r="G285" s="16" t="str">
        <f>IF(E285="","",E285/MAX(E$5:E285)-1)</f>
        <v/>
      </c>
      <c r="H285" s="13" t="str">
        <f>IF(OR('实盘净值数据(iFinD）'!$A285="",'实盘净值数据(iFinD）'!$B285=""),"",分期持仓明细!$AB$19*SUMPRODUCT(分期持仓明细!$B$19:$Y$19,'实盘净值数据(iFinD）'!$B285:$Y285/'实盘净值数据(iFinD）'!$B$20:$Y$20)*(1-实盘持仓初始配置!$Z$6)^(('实盘净值数据(iFinD）'!$A285-'实盘净值数据(iFinD）'!$A$7)/365))</f>
        <v/>
      </c>
      <c r="I285" s="16" t="str">
        <f t="shared" si="26"/>
        <v/>
      </c>
      <c r="J285" s="16" t="str">
        <f>IF(H285="","",H285/MAX(H$5:H285)-1)</f>
        <v/>
      </c>
      <c r="K285" s="13" t="str">
        <f>IF(OR('实盘净值数据(iFinD）'!$A285="",'实盘净值数据(iFinD）'!$B285="",'实盘净值数据(iFinD）'!$Z285="",'实盘净值数据(iFinD）'!$AA285=""),"",分期持仓明细!$AB$23*(SUMPRODUCT(分期持仓明细!$B$23:$Y$23,'实盘净值数据(iFinD）'!$B285:$Y285/'实盘净值数据(iFinD）'!$B$65:$Y$65)+SUMPRODUCT(分期持仓明细!$AC$23:$AD$23,'实盘净值数据(iFinD）'!$Z285:$AA285/'实盘净值数据(iFinD）'!$Z$65:$AA$65))*(1-实盘持仓初始配置!$Z$7)^(('实盘净值数据(iFinD）'!$A285-'实盘净值数据(iFinD）'!$A$8)/365))</f>
        <v/>
      </c>
      <c r="L285" s="16" t="str">
        <f t="shared" si="27"/>
        <v/>
      </c>
      <c r="M285" s="16" t="str">
        <f>IF(K285="","",K285/MAX(K$5:K285)-1)</f>
        <v/>
      </c>
      <c r="N285" s="13" t="str">
        <f>IF(OR('实盘净值数据(iFinD）'!$A285="",'实盘净值数据(iFinD）'!$B285="",'实盘净值数据(iFinD）'!$Z285="",'实盘净值数据(iFinD）'!$AA285=""),"",分期持仓明细!$AB$24*(SUMPRODUCT(分期持仓明细!$B$24:$Y$24,'实盘净值数据(iFinD）'!$B285:$Y285/'实盘净值数据(iFinD）'!$B$65:$Y$65)+SUMPRODUCT(分期持仓明细!$AC$24:$AD$24,'实盘净值数据(iFinD）'!$Z285:$AA285/'实盘净值数据(iFinD）'!$Z$65:$AA$65))*(1-实盘持仓初始配置!$Z$8)^(('实盘净值数据(iFinD）'!$A285-'实盘净值数据(iFinD）'!$A$5)/365))</f>
        <v/>
      </c>
      <c r="O285" s="16" t="str">
        <f t="shared" si="28"/>
        <v/>
      </c>
      <c r="P285" s="16" t="str">
        <f>IF(N285="","",N285/MAX(N$5:N285)-1)</f>
        <v/>
      </c>
      <c r="Q285" s="13" t="str">
        <f>IF(OR('实盘净值数据(iFinD）'!$A285="",'实盘净值数据(iFinD）'!$B285="",'实盘净值数据(iFinD）'!$Z285="",'实盘净值数据(iFinD）'!$AA285=""),"",分期持仓明细!$AB$25*(SUMPRODUCT(分期持仓明细!$B$25:$Y$25,'实盘净值数据(iFinD）'!$B285:$Y285/'实盘净值数据(iFinD）'!$B$65:$Y$65)+SUMPRODUCT(分期持仓明细!$AC$25:$AD$25,'实盘净值数据(iFinD）'!$Z285:$AA285/'实盘净值数据(iFinD）'!$Z$65:$AA$65))*(1-实盘持仓初始配置!$Z$9)^(('实盘净值数据(iFinD）'!$A285-'实盘净值数据(iFinD）'!$A$8)/365))</f>
        <v/>
      </c>
      <c r="R285" s="16" t="str">
        <f t="shared" si="29"/>
        <v/>
      </c>
      <c r="S285" s="16" t="str">
        <f>IF(Q285="","",Q285/MAX(Q$5:Q285)-1)</f>
        <v/>
      </c>
      <c r="T285" s="13">
        <f>IF(OR('实盘净值数据(iFinD）'!$A285="",'实盘净值数据(iFinD）'!$B285="",'实盘净值数据(iFinD）'!$Z285="",'实盘净值数据(iFinD）'!$AA285="",'实盘净值数据(iFinD）'!$AB285="",'实盘净值数据(iFinD）'!$AL285=""),"",(SUMPRODUCT(分期持仓明细!$B$26:$Y$26,'实盘净值数据(iFinD）'!$B285:$Y285/'实盘净值数据(iFinD）'!$B$69:$Y$69)+SUMPRODUCT(分期持仓明细!$AC$26:$AD$26,'实盘净值数据(iFinD）'!$Z285:$AA285/'实盘净值数据(iFinD）'!$Z$69:$AA$69)+SUMPRODUCT(分期持仓明细!$AE$26:$AO$26,'实盘净值数据(iFinD）'!$AB285:$AL285/'实盘净值数据(iFinD）'!$AB$69:$AL$69))*(1-实盘持仓初始配置!$Z$10)^(('实盘净值数据(iFinD）'!$A285-'实盘净值数据(iFinD）'!$A$69)/365))</f>
        <v/>
      </c>
      <c r="U285" s="16">
        <f>IF(OR(T284="",T285=""),"",T285/T284-1)</f>
        <v/>
      </c>
      <c r="V285" s="16">
        <f>IF(T285="","",T285/MAX(T$5:T285)-1)</f>
        <v/>
      </c>
    </row>
    <row r="286" spans="1:19">
      <c r="A286" s="15" t="str">
        <f>IF('实盘净值数据(iFinD）'!A286="","",'实盘净值数据(iFinD）'!A286)</f>
        <v/>
      </c>
      <c r="B286" s="13" t="str">
        <f>IF(OR('实盘净值数据(iFinD）'!$A286="",'实盘净值数据(iFinD）'!$B286=""),"",分期持仓明细!$AB$17*SUMPRODUCT(分期持仓明细!$B$17:$Y$17,'实盘净值数据(iFinD）'!$B286:$Y286/'实盘净值数据(iFinD）'!$B$20:$Y$20)*(1-实盘持仓初始配置!$Z$4)^(('实盘净值数据(iFinD）'!$A286-'实盘净值数据(iFinD）'!$A$6)/365))</f>
        <v/>
      </c>
      <c r="C286" s="16" t="str">
        <f t="shared" si="24"/>
        <v/>
      </c>
      <c r="D286" s="16" t="str">
        <f>IF(B286="","",B286/MAX(B$5:B286)-1)</f>
        <v/>
      </c>
      <c r="E286" s="13" t="str">
        <f>IF(OR('实盘净值数据(iFinD）'!$A286="",'实盘净值数据(iFinD）'!$B286=""),"",分期持仓明细!$AB$18*SUMPRODUCT(分期持仓明细!$B$18:$Y$18,'实盘净值数据(iFinD）'!$B286:$Y286/'实盘净值数据(iFinD）'!$B$20:$Y$20)*(1-实盘持仓初始配置!$Z$5)^(('实盘净值数据(iFinD）'!$A286-'实盘净值数据(iFinD）'!$A$5)/365))</f>
        <v/>
      </c>
      <c r="F286" s="16" t="str">
        <f t="shared" si="25"/>
        <v/>
      </c>
      <c r="G286" s="16" t="str">
        <f>IF(E286="","",E286/MAX(E$5:E286)-1)</f>
        <v/>
      </c>
      <c r="H286" s="13" t="str">
        <f>IF(OR('实盘净值数据(iFinD）'!$A286="",'实盘净值数据(iFinD）'!$B286=""),"",分期持仓明细!$AB$19*SUMPRODUCT(分期持仓明细!$B$19:$Y$19,'实盘净值数据(iFinD）'!$B286:$Y286/'实盘净值数据(iFinD）'!$B$20:$Y$20)*(1-实盘持仓初始配置!$Z$6)^(('实盘净值数据(iFinD）'!$A286-'实盘净值数据(iFinD）'!$A$7)/365))</f>
        <v/>
      </c>
      <c r="I286" s="16" t="str">
        <f t="shared" si="26"/>
        <v/>
      </c>
      <c r="J286" s="16" t="str">
        <f>IF(H286="","",H286/MAX(H$5:H286)-1)</f>
        <v/>
      </c>
      <c r="K286" s="13" t="str">
        <f>IF(OR('实盘净值数据(iFinD）'!$A286="",'实盘净值数据(iFinD）'!$B286="",'实盘净值数据(iFinD）'!$Z286="",'实盘净值数据(iFinD）'!$AA286=""),"",分期持仓明细!$AB$23*(SUMPRODUCT(分期持仓明细!$B$23:$Y$23,'实盘净值数据(iFinD）'!$B286:$Y286/'实盘净值数据(iFinD）'!$B$65:$Y$65)+SUMPRODUCT(分期持仓明细!$AC$23:$AD$23,'实盘净值数据(iFinD）'!$Z286:$AA286/'实盘净值数据(iFinD）'!$Z$65:$AA$65))*(1-实盘持仓初始配置!$Z$7)^(('实盘净值数据(iFinD）'!$A286-'实盘净值数据(iFinD）'!$A$8)/365))</f>
        <v/>
      </c>
      <c r="L286" s="16" t="str">
        <f t="shared" si="27"/>
        <v/>
      </c>
      <c r="M286" s="16" t="str">
        <f>IF(K286="","",K286/MAX(K$5:K286)-1)</f>
        <v/>
      </c>
      <c r="N286" s="13" t="str">
        <f>IF(OR('实盘净值数据(iFinD）'!$A286="",'实盘净值数据(iFinD）'!$B286="",'实盘净值数据(iFinD）'!$Z286="",'实盘净值数据(iFinD）'!$AA286=""),"",分期持仓明细!$AB$24*(SUMPRODUCT(分期持仓明细!$B$24:$Y$24,'实盘净值数据(iFinD）'!$B286:$Y286/'实盘净值数据(iFinD）'!$B$65:$Y$65)+SUMPRODUCT(分期持仓明细!$AC$24:$AD$24,'实盘净值数据(iFinD）'!$Z286:$AA286/'实盘净值数据(iFinD）'!$Z$65:$AA$65))*(1-实盘持仓初始配置!$Z$8)^(('实盘净值数据(iFinD）'!$A286-'实盘净值数据(iFinD）'!$A$5)/365))</f>
        <v/>
      </c>
      <c r="O286" s="16" t="str">
        <f t="shared" si="28"/>
        <v/>
      </c>
      <c r="P286" s="16" t="str">
        <f>IF(N286="","",N286/MAX(N$5:N286)-1)</f>
        <v/>
      </c>
      <c r="Q286" s="13" t="str">
        <f>IF(OR('实盘净值数据(iFinD）'!$A286="",'实盘净值数据(iFinD）'!$B286="",'实盘净值数据(iFinD）'!$Z286="",'实盘净值数据(iFinD）'!$AA286=""),"",分期持仓明细!$AB$25*(SUMPRODUCT(分期持仓明细!$B$25:$Y$25,'实盘净值数据(iFinD）'!$B286:$Y286/'实盘净值数据(iFinD）'!$B$65:$Y$65)+SUMPRODUCT(分期持仓明细!$AC$25:$AD$25,'实盘净值数据(iFinD）'!$Z286:$AA286/'实盘净值数据(iFinD）'!$Z$65:$AA$65))*(1-实盘持仓初始配置!$Z$9)^(('实盘净值数据(iFinD）'!$A286-'实盘净值数据(iFinD）'!$A$8)/365))</f>
        <v/>
      </c>
      <c r="R286" s="16" t="str">
        <f t="shared" si="29"/>
        <v/>
      </c>
      <c r="S286" s="16" t="str">
        <f>IF(Q286="","",Q286/MAX(Q$5:Q286)-1)</f>
        <v/>
      </c>
      <c r="T286" s="13">
        <f>IF(OR('实盘净值数据(iFinD）'!$A286="",'实盘净值数据(iFinD）'!$B286="",'实盘净值数据(iFinD）'!$Z286="",'实盘净值数据(iFinD）'!$AA286="",'实盘净值数据(iFinD）'!$AB286="",'实盘净值数据(iFinD）'!$AL286=""),"",(SUMPRODUCT(分期持仓明细!$B$26:$Y$26,'实盘净值数据(iFinD）'!$B286:$Y286/'实盘净值数据(iFinD）'!$B$69:$Y$69)+SUMPRODUCT(分期持仓明细!$AC$26:$AD$26,'实盘净值数据(iFinD）'!$Z286:$AA286/'实盘净值数据(iFinD）'!$Z$69:$AA$69)+SUMPRODUCT(分期持仓明细!$AE$26:$AO$26,'实盘净值数据(iFinD）'!$AB286:$AL286/'实盘净值数据(iFinD）'!$AB$69:$AL$69))*(1-实盘持仓初始配置!$Z$10)^(('实盘净值数据(iFinD）'!$A286-'实盘净值数据(iFinD）'!$A$69)/365))</f>
        <v/>
      </c>
      <c r="U286" s="16">
        <f>IF(OR(T285="",T286=""),"",T286/T285-1)</f>
        <v/>
      </c>
      <c r="V286" s="16">
        <f>IF(T286="","",T286/MAX(T$5:T286)-1)</f>
        <v/>
      </c>
    </row>
    <row r="287" spans="1:19">
      <c r="A287" s="15" t="str">
        <f>IF('实盘净值数据(iFinD）'!A287="","",'实盘净值数据(iFinD）'!A287)</f>
        <v/>
      </c>
      <c r="B287" s="13" t="str">
        <f>IF(OR('实盘净值数据(iFinD）'!$A287="",'实盘净值数据(iFinD）'!$B287=""),"",分期持仓明细!$AB$17*SUMPRODUCT(分期持仓明细!$B$17:$Y$17,'实盘净值数据(iFinD）'!$B287:$Y287/'实盘净值数据(iFinD）'!$B$20:$Y$20)*(1-实盘持仓初始配置!$Z$4)^(('实盘净值数据(iFinD）'!$A287-'实盘净值数据(iFinD）'!$A$6)/365))</f>
        <v/>
      </c>
      <c r="C287" s="16" t="str">
        <f t="shared" si="24"/>
        <v/>
      </c>
      <c r="D287" s="16" t="str">
        <f>IF(B287="","",B287/MAX(B$5:B287)-1)</f>
        <v/>
      </c>
      <c r="E287" s="13" t="str">
        <f>IF(OR('实盘净值数据(iFinD）'!$A287="",'实盘净值数据(iFinD）'!$B287=""),"",分期持仓明细!$AB$18*SUMPRODUCT(分期持仓明细!$B$18:$Y$18,'实盘净值数据(iFinD）'!$B287:$Y287/'实盘净值数据(iFinD）'!$B$20:$Y$20)*(1-实盘持仓初始配置!$Z$5)^(('实盘净值数据(iFinD）'!$A287-'实盘净值数据(iFinD）'!$A$5)/365))</f>
        <v/>
      </c>
      <c r="F287" s="16" t="str">
        <f t="shared" si="25"/>
        <v/>
      </c>
      <c r="G287" s="16" t="str">
        <f>IF(E287="","",E287/MAX(E$5:E287)-1)</f>
        <v/>
      </c>
      <c r="H287" s="13" t="str">
        <f>IF(OR('实盘净值数据(iFinD）'!$A287="",'实盘净值数据(iFinD）'!$B287=""),"",分期持仓明细!$AB$19*SUMPRODUCT(分期持仓明细!$B$19:$Y$19,'实盘净值数据(iFinD）'!$B287:$Y287/'实盘净值数据(iFinD）'!$B$20:$Y$20)*(1-实盘持仓初始配置!$Z$6)^(('实盘净值数据(iFinD）'!$A287-'实盘净值数据(iFinD）'!$A$7)/365))</f>
        <v/>
      </c>
      <c r="I287" s="16" t="str">
        <f t="shared" si="26"/>
        <v/>
      </c>
      <c r="J287" s="16" t="str">
        <f>IF(H287="","",H287/MAX(H$5:H287)-1)</f>
        <v/>
      </c>
      <c r="K287" s="13" t="str">
        <f>IF(OR('实盘净值数据(iFinD）'!$A287="",'实盘净值数据(iFinD）'!$B287="",'实盘净值数据(iFinD）'!$Z287="",'实盘净值数据(iFinD）'!$AA287=""),"",分期持仓明细!$AB$23*(SUMPRODUCT(分期持仓明细!$B$23:$Y$23,'实盘净值数据(iFinD）'!$B287:$Y287/'实盘净值数据(iFinD）'!$B$65:$Y$65)+SUMPRODUCT(分期持仓明细!$AC$23:$AD$23,'实盘净值数据(iFinD）'!$Z287:$AA287/'实盘净值数据(iFinD）'!$Z$65:$AA$65))*(1-实盘持仓初始配置!$Z$7)^(('实盘净值数据(iFinD）'!$A287-'实盘净值数据(iFinD）'!$A$8)/365))</f>
        <v/>
      </c>
      <c r="L287" s="16" t="str">
        <f t="shared" si="27"/>
        <v/>
      </c>
      <c r="M287" s="16" t="str">
        <f>IF(K287="","",K287/MAX(K$5:K287)-1)</f>
        <v/>
      </c>
      <c r="N287" s="13" t="str">
        <f>IF(OR('实盘净值数据(iFinD）'!$A287="",'实盘净值数据(iFinD）'!$B287="",'实盘净值数据(iFinD）'!$Z287="",'实盘净值数据(iFinD）'!$AA287=""),"",分期持仓明细!$AB$24*(SUMPRODUCT(分期持仓明细!$B$24:$Y$24,'实盘净值数据(iFinD）'!$B287:$Y287/'实盘净值数据(iFinD）'!$B$65:$Y$65)+SUMPRODUCT(分期持仓明细!$AC$24:$AD$24,'实盘净值数据(iFinD）'!$Z287:$AA287/'实盘净值数据(iFinD）'!$Z$65:$AA$65))*(1-实盘持仓初始配置!$Z$8)^(('实盘净值数据(iFinD）'!$A287-'实盘净值数据(iFinD）'!$A$5)/365))</f>
        <v/>
      </c>
      <c r="O287" s="16" t="str">
        <f t="shared" si="28"/>
        <v/>
      </c>
      <c r="P287" s="16" t="str">
        <f>IF(N287="","",N287/MAX(N$5:N287)-1)</f>
        <v/>
      </c>
      <c r="Q287" s="13" t="str">
        <f>IF(OR('实盘净值数据(iFinD）'!$A287="",'实盘净值数据(iFinD）'!$B287="",'实盘净值数据(iFinD）'!$Z287="",'实盘净值数据(iFinD）'!$AA287=""),"",分期持仓明细!$AB$25*(SUMPRODUCT(分期持仓明细!$B$25:$Y$25,'实盘净值数据(iFinD）'!$B287:$Y287/'实盘净值数据(iFinD）'!$B$65:$Y$65)+SUMPRODUCT(分期持仓明细!$AC$25:$AD$25,'实盘净值数据(iFinD）'!$Z287:$AA287/'实盘净值数据(iFinD）'!$Z$65:$AA$65))*(1-实盘持仓初始配置!$Z$9)^(('实盘净值数据(iFinD）'!$A287-'实盘净值数据(iFinD）'!$A$8)/365))</f>
        <v/>
      </c>
      <c r="R287" s="16" t="str">
        <f t="shared" si="29"/>
        <v/>
      </c>
      <c r="S287" s="16" t="str">
        <f>IF(Q287="","",Q287/MAX(Q$5:Q287)-1)</f>
        <v/>
      </c>
      <c r="T287" s="13">
        <f>IF(OR('实盘净值数据(iFinD）'!$A287="",'实盘净值数据(iFinD）'!$B287="",'实盘净值数据(iFinD）'!$Z287="",'实盘净值数据(iFinD）'!$AA287="",'实盘净值数据(iFinD）'!$AB287="",'实盘净值数据(iFinD）'!$AL287=""),"",(SUMPRODUCT(分期持仓明细!$B$26:$Y$26,'实盘净值数据(iFinD）'!$B287:$Y287/'实盘净值数据(iFinD）'!$B$69:$Y$69)+SUMPRODUCT(分期持仓明细!$AC$26:$AD$26,'实盘净值数据(iFinD）'!$Z287:$AA287/'实盘净值数据(iFinD）'!$Z$69:$AA$69)+SUMPRODUCT(分期持仓明细!$AE$26:$AO$26,'实盘净值数据(iFinD）'!$AB287:$AL287/'实盘净值数据(iFinD）'!$AB$69:$AL$69))*(1-实盘持仓初始配置!$Z$10)^(('实盘净值数据(iFinD）'!$A287-'实盘净值数据(iFinD）'!$A$69)/365))</f>
        <v/>
      </c>
      <c r="U287" s="16">
        <f>IF(OR(T286="",T287=""),"",T287/T286-1)</f>
        <v/>
      </c>
      <c r="V287" s="16">
        <f>IF(T287="","",T287/MAX(T$5:T287)-1)</f>
        <v/>
      </c>
    </row>
    <row r="288" spans="1:19">
      <c r="A288" s="15" t="str">
        <f>IF('实盘净值数据(iFinD）'!A288="","",'实盘净值数据(iFinD）'!A288)</f>
        <v/>
      </c>
      <c r="B288" s="13" t="str">
        <f>IF(OR('实盘净值数据(iFinD）'!$A288="",'实盘净值数据(iFinD）'!$B288=""),"",分期持仓明细!$AB$17*SUMPRODUCT(分期持仓明细!$B$17:$Y$17,'实盘净值数据(iFinD）'!$B288:$Y288/'实盘净值数据(iFinD）'!$B$20:$Y$20)*(1-实盘持仓初始配置!$Z$4)^(('实盘净值数据(iFinD）'!$A288-'实盘净值数据(iFinD）'!$A$6)/365))</f>
        <v/>
      </c>
      <c r="C288" s="16" t="str">
        <f t="shared" si="24"/>
        <v/>
      </c>
      <c r="D288" s="16" t="str">
        <f>IF(B288="","",B288/MAX(B$5:B288)-1)</f>
        <v/>
      </c>
      <c r="E288" s="13" t="str">
        <f>IF(OR('实盘净值数据(iFinD）'!$A288="",'实盘净值数据(iFinD）'!$B288=""),"",分期持仓明细!$AB$18*SUMPRODUCT(分期持仓明细!$B$18:$Y$18,'实盘净值数据(iFinD）'!$B288:$Y288/'实盘净值数据(iFinD）'!$B$20:$Y$20)*(1-实盘持仓初始配置!$Z$5)^(('实盘净值数据(iFinD）'!$A288-'实盘净值数据(iFinD）'!$A$5)/365))</f>
        <v/>
      </c>
      <c r="F288" s="16" t="str">
        <f t="shared" si="25"/>
        <v/>
      </c>
      <c r="G288" s="16" t="str">
        <f>IF(E288="","",E288/MAX(E$5:E288)-1)</f>
        <v/>
      </c>
      <c r="H288" s="13" t="str">
        <f>IF(OR('实盘净值数据(iFinD）'!$A288="",'实盘净值数据(iFinD）'!$B288=""),"",分期持仓明细!$AB$19*SUMPRODUCT(分期持仓明细!$B$19:$Y$19,'实盘净值数据(iFinD）'!$B288:$Y288/'实盘净值数据(iFinD）'!$B$20:$Y$20)*(1-实盘持仓初始配置!$Z$6)^(('实盘净值数据(iFinD）'!$A288-'实盘净值数据(iFinD）'!$A$7)/365))</f>
        <v/>
      </c>
      <c r="I288" s="16" t="str">
        <f t="shared" si="26"/>
        <v/>
      </c>
      <c r="J288" s="16" t="str">
        <f>IF(H288="","",H288/MAX(H$5:H288)-1)</f>
        <v/>
      </c>
      <c r="K288" s="13" t="str">
        <f>IF(OR('实盘净值数据(iFinD）'!$A288="",'实盘净值数据(iFinD）'!$B288="",'实盘净值数据(iFinD）'!$Z288="",'实盘净值数据(iFinD）'!$AA288=""),"",分期持仓明细!$AB$23*(SUMPRODUCT(分期持仓明细!$B$23:$Y$23,'实盘净值数据(iFinD）'!$B288:$Y288/'实盘净值数据(iFinD）'!$B$65:$Y$65)+SUMPRODUCT(分期持仓明细!$AC$23:$AD$23,'实盘净值数据(iFinD）'!$Z288:$AA288/'实盘净值数据(iFinD）'!$Z$65:$AA$65))*(1-实盘持仓初始配置!$Z$7)^(('实盘净值数据(iFinD）'!$A288-'实盘净值数据(iFinD）'!$A$8)/365))</f>
        <v/>
      </c>
      <c r="L288" s="16" t="str">
        <f t="shared" si="27"/>
        <v/>
      </c>
      <c r="M288" s="16" t="str">
        <f>IF(K288="","",K288/MAX(K$5:K288)-1)</f>
        <v/>
      </c>
      <c r="N288" s="13" t="str">
        <f>IF(OR('实盘净值数据(iFinD）'!$A288="",'实盘净值数据(iFinD）'!$B288="",'实盘净值数据(iFinD）'!$Z288="",'实盘净值数据(iFinD）'!$AA288=""),"",分期持仓明细!$AB$24*(SUMPRODUCT(分期持仓明细!$B$24:$Y$24,'实盘净值数据(iFinD）'!$B288:$Y288/'实盘净值数据(iFinD）'!$B$65:$Y$65)+SUMPRODUCT(分期持仓明细!$AC$24:$AD$24,'实盘净值数据(iFinD）'!$Z288:$AA288/'实盘净值数据(iFinD）'!$Z$65:$AA$65))*(1-实盘持仓初始配置!$Z$8)^(('实盘净值数据(iFinD）'!$A288-'实盘净值数据(iFinD）'!$A$5)/365))</f>
        <v/>
      </c>
      <c r="O288" s="16" t="str">
        <f t="shared" si="28"/>
        <v/>
      </c>
      <c r="P288" s="16" t="str">
        <f>IF(N288="","",N288/MAX(N$5:N288)-1)</f>
        <v/>
      </c>
      <c r="Q288" s="13" t="str">
        <f>IF(OR('实盘净值数据(iFinD）'!$A288="",'实盘净值数据(iFinD）'!$B288="",'实盘净值数据(iFinD）'!$Z288="",'实盘净值数据(iFinD）'!$AA288=""),"",分期持仓明细!$AB$25*(SUMPRODUCT(分期持仓明细!$B$25:$Y$25,'实盘净值数据(iFinD）'!$B288:$Y288/'实盘净值数据(iFinD）'!$B$65:$Y$65)+SUMPRODUCT(分期持仓明细!$AC$25:$AD$25,'实盘净值数据(iFinD）'!$Z288:$AA288/'实盘净值数据(iFinD）'!$Z$65:$AA$65))*(1-实盘持仓初始配置!$Z$9)^(('实盘净值数据(iFinD）'!$A288-'实盘净值数据(iFinD）'!$A$8)/365))</f>
        <v/>
      </c>
      <c r="R288" s="16" t="str">
        <f t="shared" si="29"/>
        <v/>
      </c>
      <c r="S288" s="16" t="str">
        <f>IF(Q288="","",Q288/MAX(Q$5:Q288)-1)</f>
        <v/>
      </c>
      <c r="T288" s="13">
        <f>IF(OR('实盘净值数据(iFinD）'!$A288="",'实盘净值数据(iFinD）'!$B288="",'实盘净值数据(iFinD）'!$Z288="",'实盘净值数据(iFinD）'!$AA288="",'实盘净值数据(iFinD）'!$AB288="",'实盘净值数据(iFinD）'!$AL288=""),"",(SUMPRODUCT(分期持仓明细!$B$26:$Y$26,'实盘净值数据(iFinD）'!$B288:$Y288/'实盘净值数据(iFinD）'!$B$69:$Y$69)+SUMPRODUCT(分期持仓明细!$AC$26:$AD$26,'实盘净值数据(iFinD）'!$Z288:$AA288/'实盘净值数据(iFinD）'!$Z$69:$AA$69)+SUMPRODUCT(分期持仓明细!$AE$26:$AO$26,'实盘净值数据(iFinD）'!$AB288:$AL288/'实盘净值数据(iFinD）'!$AB$69:$AL$69))*(1-实盘持仓初始配置!$Z$10)^(('实盘净值数据(iFinD）'!$A288-'实盘净值数据(iFinD）'!$A$69)/365))</f>
        <v/>
      </c>
      <c r="U288" s="16">
        <f>IF(OR(T287="",T288=""),"",T288/T287-1)</f>
        <v/>
      </c>
      <c r="V288" s="16">
        <f>IF(T288="","",T288/MAX(T$5:T288)-1)</f>
        <v/>
      </c>
    </row>
    <row r="289" spans="1:19">
      <c r="A289" s="15" t="str">
        <f>IF('实盘净值数据(iFinD）'!A289="","",'实盘净值数据(iFinD）'!A289)</f>
        <v/>
      </c>
      <c r="B289" s="13" t="str">
        <f>IF(OR('实盘净值数据(iFinD）'!$A289="",'实盘净值数据(iFinD）'!$B289=""),"",分期持仓明细!$AB$17*SUMPRODUCT(分期持仓明细!$B$17:$Y$17,'实盘净值数据(iFinD）'!$B289:$Y289/'实盘净值数据(iFinD）'!$B$20:$Y$20)*(1-实盘持仓初始配置!$Z$4)^(('实盘净值数据(iFinD）'!$A289-'实盘净值数据(iFinD）'!$A$6)/365))</f>
        <v/>
      </c>
      <c r="C289" s="16" t="str">
        <f t="shared" si="24"/>
        <v/>
      </c>
      <c r="D289" s="16" t="str">
        <f>IF(B289="","",B289/MAX(B$5:B289)-1)</f>
        <v/>
      </c>
      <c r="E289" s="13" t="str">
        <f>IF(OR('实盘净值数据(iFinD）'!$A289="",'实盘净值数据(iFinD）'!$B289=""),"",分期持仓明细!$AB$18*SUMPRODUCT(分期持仓明细!$B$18:$Y$18,'实盘净值数据(iFinD）'!$B289:$Y289/'实盘净值数据(iFinD）'!$B$20:$Y$20)*(1-实盘持仓初始配置!$Z$5)^(('实盘净值数据(iFinD）'!$A289-'实盘净值数据(iFinD）'!$A$5)/365))</f>
        <v/>
      </c>
      <c r="F289" s="16" t="str">
        <f t="shared" si="25"/>
        <v/>
      </c>
      <c r="G289" s="16" t="str">
        <f>IF(E289="","",E289/MAX(E$5:E289)-1)</f>
        <v/>
      </c>
      <c r="H289" s="13" t="str">
        <f>IF(OR('实盘净值数据(iFinD）'!$A289="",'实盘净值数据(iFinD）'!$B289=""),"",分期持仓明细!$AB$19*SUMPRODUCT(分期持仓明细!$B$19:$Y$19,'实盘净值数据(iFinD）'!$B289:$Y289/'实盘净值数据(iFinD）'!$B$20:$Y$20)*(1-实盘持仓初始配置!$Z$6)^(('实盘净值数据(iFinD）'!$A289-'实盘净值数据(iFinD）'!$A$7)/365))</f>
        <v/>
      </c>
      <c r="I289" s="16" t="str">
        <f t="shared" si="26"/>
        <v/>
      </c>
      <c r="J289" s="16" t="str">
        <f>IF(H289="","",H289/MAX(H$5:H289)-1)</f>
        <v/>
      </c>
      <c r="K289" s="13" t="str">
        <f>IF(OR('实盘净值数据(iFinD）'!$A289="",'实盘净值数据(iFinD）'!$B289="",'实盘净值数据(iFinD）'!$Z289="",'实盘净值数据(iFinD）'!$AA289=""),"",分期持仓明细!$AB$23*(SUMPRODUCT(分期持仓明细!$B$23:$Y$23,'实盘净值数据(iFinD）'!$B289:$Y289/'实盘净值数据(iFinD）'!$B$65:$Y$65)+SUMPRODUCT(分期持仓明细!$AC$23:$AD$23,'实盘净值数据(iFinD）'!$Z289:$AA289/'实盘净值数据(iFinD）'!$Z$65:$AA$65))*(1-实盘持仓初始配置!$Z$7)^(('实盘净值数据(iFinD）'!$A289-'实盘净值数据(iFinD）'!$A$8)/365))</f>
        <v/>
      </c>
      <c r="L289" s="16" t="str">
        <f t="shared" si="27"/>
        <v/>
      </c>
      <c r="M289" s="16" t="str">
        <f>IF(K289="","",K289/MAX(K$5:K289)-1)</f>
        <v/>
      </c>
      <c r="N289" s="13" t="str">
        <f>IF(OR('实盘净值数据(iFinD）'!$A289="",'实盘净值数据(iFinD）'!$B289="",'实盘净值数据(iFinD）'!$Z289="",'实盘净值数据(iFinD）'!$AA289=""),"",分期持仓明细!$AB$24*(SUMPRODUCT(分期持仓明细!$B$24:$Y$24,'实盘净值数据(iFinD）'!$B289:$Y289/'实盘净值数据(iFinD）'!$B$65:$Y$65)+SUMPRODUCT(分期持仓明细!$AC$24:$AD$24,'实盘净值数据(iFinD）'!$Z289:$AA289/'实盘净值数据(iFinD）'!$Z$65:$AA$65))*(1-实盘持仓初始配置!$Z$8)^(('实盘净值数据(iFinD）'!$A289-'实盘净值数据(iFinD）'!$A$5)/365))</f>
        <v/>
      </c>
      <c r="O289" s="16" t="str">
        <f t="shared" si="28"/>
        <v/>
      </c>
      <c r="P289" s="16" t="str">
        <f>IF(N289="","",N289/MAX(N$5:N289)-1)</f>
        <v/>
      </c>
      <c r="Q289" s="13" t="str">
        <f>IF(OR('实盘净值数据(iFinD）'!$A289="",'实盘净值数据(iFinD）'!$B289="",'实盘净值数据(iFinD）'!$Z289="",'实盘净值数据(iFinD）'!$AA289=""),"",分期持仓明细!$AB$25*(SUMPRODUCT(分期持仓明细!$B$25:$Y$25,'实盘净值数据(iFinD）'!$B289:$Y289/'实盘净值数据(iFinD）'!$B$65:$Y$65)+SUMPRODUCT(分期持仓明细!$AC$25:$AD$25,'实盘净值数据(iFinD）'!$Z289:$AA289/'实盘净值数据(iFinD）'!$Z$65:$AA$65))*(1-实盘持仓初始配置!$Z$9)^(('实盘净值数据(iFinD）'!$A289-'实盘净值数据(iFinD）'!$A$8)/365))</f>
        <v/>
      </c>
      <c r="R289" s="16" t="str">
        <f t="shared" si="29"/>
        <v/>
      </c>
      <c r="S289" s="16" t="str">
        <f>IF(Q289="","",Q289/MAX(Q$5:Q289)-1)</f>
        <v/>
      </c>
      <c r="T289" s="13">
        <f>IF(OR('实盘净值数据(iFinD）'!$A289="",'实盘净值数据(iFinD）'!$B289="",'实盘净值数据(iFinD）'!$Z289="",'实盘净值数据(iFinD）'!$AA289="",'实盘净值数据(iFinD）'!$AB289="",'实盘净值数据(iFinD）'!$AL289=""),"",(SUMPRODUCT(分期持仓明细!$B$26:$Y$26,'实盘净值数据(iFinD）'!$B289:$Y289/'实盘净值数据(iFinD）'!$B$69:$Y$69)+SUMPRODUCT(分期持仓明细!$AC$26:$AD$26,'实盘净值数据(iFinD）'!$Z289:$AA289/'实盘净值数据(iFinD）'!$Z$69:$AA$69)+SUMPRODUCT(分期持仓明细!$AE$26:$AO$26,'实盘净值数据(iFinD）'!$AB289:$AL289/'实盘净值数据(iFinD）'!$AB$69:$AL$69))*(1-实盘持仓初始配置!$Z$10)^(('实盘净值数据(iFinD）'!$A289-'实盘净值数据(iFinD）'!$A$69)/365))</f>
        <v/>
      </c>
      <c r="U289" s="16">
        <f>IF(OR(T288="",T289=""),"",T289/T288-1)</f>
        <v/>
      </c>
      <c r="V289" s="16">
        <f>IF(T289="","",T289/MAX(T$5:T289)-1)</f>
        <v/>
      </c>
    </row>
    <row r="290" spans="1:19">
      <c r="A290" s="15" t="str">
        <f>IF('实盘净值数据(iFinD）'!A290="","",'实盘净值数据(iFinD）'!A290)</f>
        <v/>
      </c>
      <c r="B290" s="13" t="str">
        <f>IF(OR('实盘净值数据(iFinD）'!$A290="",'实盘净值数据(iFinD）'!$B290=""),"",分期持仓明细!$AB$17*SUMPRODUCT(分期持仓明细!$B$17:$Y$17,'实盘净值数据(iFinD）'!$B290:$Y290/'实盘净值数据(iFinD）'!$B$20:$Y$20)*(1-实盘持仓初始配置!$Z$4)^(('实盘净值数据(iFinD）'!$A290-'实盘净值数据(iFinD）'!$A$6)/365))</f>
        <v/>
      </c>
      <c r="C290" s="16" t="str">
        <f t="shared" si="24"/>
        <v/>
      </c>
      <c r="D290" s="16" t="str">
        <f>IF(B290="","",B290/MAX(B$5:B290)-1)</f>
        <v/>
      </c>
      <c r="E290" s="13" t="str">
        <f>IF(OR('实盘净值数据(iFinD）'!$A290="",'实盘净值数据(iFinD）'!$B290=""),"",分期持仓明细!$AB$18*SUMPRODUCT(分期持仓明细!$B$18:$Y$18,'实盘净值数据(iFinD）'!$B290:$Y290/'实盘净值数据(iFinD）'!$B$20:$Y$20)*(1-实盘持仓初始配置!$Z$5)^(('实盘净值数据(iFinD）'!$A290-'实盘净值数据(iFinD）'!$A$5)/365))</f>
        <v/>
      </c>
      <c r="F290" s="16" t="str">
        <f t="shared" si="25"/>
        <v/>
      </c>
      <c r="G290" s="16" t="str">
        <f>IF(E290="","",E290/MAX(E$5:E290)-1)</f>
        <v/>
      </c>
      <c r="H290" s="13" t="str">
        <f>IF(OR('实盘净值数据(iFinD）'!$A290="",'实盘净值数据(iFinD）'!$B290=""),"",分期持仓明细!$AB$19*SUMPRODUCT(分期持仓明细!$B$19:$Y$19,'实盘净值数据(iFinD）'!$B290:$Y290/'实盘净值数据(iFinD）'!$B$20:$Y$20)*(1-实盘持仓初始配置!$Z$6)^(('实盘净值数据(iFinD）'!$A290-'实盘净值数据(iFinD）'!$A$7)/365))</f>
        <v/>
      </c>
      <c r="I290" s="16" t="str">
        <f t="shared" si="26"/>
        <v/>
      </c>
      <c r="J290" s="16" t="str">
        <f>IF(H290="","",H290/MAX(H$5:H290)-1)</f>
        <v/>
      </c>
      <c r="K290" s="13" t="str">
        <f>IF(OR('实盘净值数据(iFinD）'!$A290="",'实盘净值数据(iFinD）'!$B290="",'实盘净值数据(iFinD）'!$Z290="",'实盘净值数据(iFinD）'!$AA290=""),"",分期持仓明细!$AB$23*(SUMPRODUCT(分期持仓明细!$B$23:$Y$23,'实盘净值数据(iFinD）'!$B290:$Y290/'实盘净值数据(iFinD）'!$B$65:$Y$65)+SUMPRODUCT(分期持仓明细!$AC$23:$AD$23,'实盘净值数据(iFinD）'!$Z290:$AA290/'实盘净值数据(iFinD）'!$Z$65:$AA$65))*(1-实盘持仓初始配置!$Z$7)^(('实盘净值数据(iFinD）'!$A290-'实盘净值数据(iFinD）'!$A$8)/365))</f>
        <v/>
      </c>
      <c r="L290" s="16" t="str">
        <f t="shared" si="27"/>
        <v/>
      </c>
      <c r="M290" s="16" t="str">
        <f>IF(K290="","",K290/MAX(K$5:K290)-1)</f>
        <v/>
      </c>
      <c r="N290" s="13" t="str">
        <f>IF(OR('实盘净值数据(iFinD）'!$A290="",'实盘净值数据(iFinD）'!$B290="",'实盘净值数据(iFinD）'!$Z290="",'实盘净值数据(iFinD）'!$AA290=""),"",分期持仓明细!$AB$24*(SUMPRODUCT(分期持仓明细!$B$24:$Y$24,'实盘净值数据(iFinD）'!$B290:$Y290/'实盘净值数据(iFinD）'!$B$65:$Y$65)+SUMPRODUCT(分期持仓明细!$AC$24:$AD$24,'实盘净值数据(iFinD）'!$Z290:$AA290/'实盘净值数据(iFinD）'!$Z$65:$AA$65))*(1-实盘持仓初始配置!$Z$8)^(('实盘净值数据(iFinD）'!$A290-'实盘净值数据(iFinD）'!$A$5)/365))</f>
        <v/>
      </c>
      <c r="O290" s="16" t="str">
        <f t="shared" si="28"/>
        <v/>
      </c>
      <c r="P290" s="16" t="str">
        <f>IF(N290="","",N290/MAX(N$5:N290)-1)</f>
        <v/>
      </c>
      <c r="Q290" s="13" t="str">
        <f>IF(OR('实盘净值数据(iFinD）'!$A290="",'实盘净值数据(iFinD）'!$B290="",'实盘净值数据(iFinD）'!$Z290="",'实盘净值数据(iFinD）'!$AA290=""),"",分期持仓明细!$AB$25*(SUMPRODUCT(分期持仓明细!$B$25:$Y$25,'实盘净值数据(iFinD）'!$B290:$Y290/'实盘净值数据(iFinD）'!$B$65:$Y$65)+SUMPRODUCT(分期持仓明细!$AC$25:$AD$25,'实盘净值数据(iFinD）'!$Z290:$AA290/'实盘净值数据(iFinD）'!$Z$65:$AA$65))*(1-实盘持仓初始配置!$Z$9)^(('实盘净值数据(iFinD）'!$A290-'实盘净值数据(iFinD）'!$A$8)/365))</f>
        <v/>
      </c>
      <c r="R290" s="16" t="str">
        <f t="shared" si="29"/>
        <v/>
      </c>
      <c r="S290" s="16" t="str">
        <f>IF(Q290="","",Q290/MAX(Q$5:Q290)-1)</f>
        <v/>
      </c>
      <c r="T290" s="13">
        <f>IF(OR('实盘净值数据(iFinD）'!$A290="",'实盘净值数据(iFinD）'!$B290="",'实盘净值数据(iFinD）'!$Z290="",'实盘净值数据(iFinD）'!$AA290="",'实盘净值数据(iFinD）'!$AB290="",'实盘净值数据(iFinD）'!$AL290=""),"",(SUMPRODUCT(分期持仓明细!$B$26:$Y$26,'实盘净值数据(iFinD）'!$B290:$Y290/'实盘净值数据(iFinD）'!$B$69:$Y$69)+SUMPRODUCT(分期持仓明细!$AC$26:$AD$26,'实盘净值数据(iFinD）'!$Z290:$AA290/'实盘净值数据(iFinD）'!$Z$69:$AA$69)+SUMPRODUCT(分期持仓明细!$AE$26:$AO$26,'实盘净值数据(iFinD）'!$AB290:$AL290/'实盘净值数据(iFinD）'!$AB$69:$AL$69))*(1-实盘持仓初始配置!$Z$10)^(('实盘净值数据(iFinD）'!$A290-'实盘净值数据(iFinD）'!$A$69)/365))</f>
        <v/>
      </c>
      <c r="U290" s="16">
        <f>IF(OR(T289="",T290=""),"",T290/T289-1)</f>
        <v/>
      </c>
      <c r="V290" s="16">
        <f>IF(T290="","",T290/MAX(T$5:T290)-1)</f>
        <v/>
      </c>
    </row>
    <row r="291" spans="1:19">
      <c r="A291" s="15" t="str">
        <f>IF('实盘净值数据(iFinD）'!A291="","",'实盘净值数据(iFinD）'!A291)</f>
        <v/>
      </c>
      <c r="B291" s="13" t="str">
        <f>IF(OR('实盘净值数据(iFinD）'!$A291="",'实盘净值数据(iFinD）'!$B291=""),"",分期持仓明细!$AB$17*SUMPRODUCT(分期持仓明细!$B$17:$Y$17,'实盘净值数据(iFinD）'!$B291:$Y291/'实盘净值数据(iFinD）'!$B$20:$Y$20)*(1-实盘持仓初始配置!$Z$4)^(('实盘净值数据(iFinD）'!$A291-'实盘净值数据(iFinD）'!$A$6)/365))</f>
        <v/>
      </c>
      <c r="C291" s="16" t="str">
        <f t="shared" si="24"/>
        <v/>
      </c>
      <c r="D291" s="16" t="str">
        <f>IF(B291="","",B291/MAX(B$5:B291)-1)</f>
        <v/>
      </c>
      <c r="E291" s="13" t="str">
        <f>IF(OR('实盘净值数据(iFinD）'!$A291="",'实盘净值数据(iFinD）'!$B291=""),"",分期持仓明细!$AB$18*SUMPRODUCT(分期持仓明细!$B$18:$Y$18,'实盘净值数据(iFinD）'!$B291:$Y291/'实盘净值数据(iFinD）'!$B$20:$Y$20)*(1-实盘持仓初始配置!$Z$5)^(('实盘净值数据(iFinD）'!$A291-'实盘净值数据(iFinD）'!$A$5)/365))</f>
        <v/>
      </c>
      <c r="F291" s="16" t="str">
        <f t="shared" si="25"/>
        <v/>
      </c>
      <c r="G291" s="16" t="str">
        <f>IF(E291="","",E291/MAX(E$5:E291)-1)</f>
        <v/>
      </c>
      <c r="H291" s="13" t="str">
        <f>IF(OR('实盘净值数据(iFinD）'!$A291="",'实盘净值数据(iFinD）'!$B291=""),"",分期持仓明细!$AB$19*SUMPRODUCT(分期持仓明细!$B$19:$Y$19,'实盘净值数据(iFinD）'!$B291:$Y291/'实盘净值数据(iFinD）'!$B$20:$Y$20)*(1-实盘持仓初始配置!$Z$6)^(('实盘净值数据(iFinD）'!$A291-'实盘净值数据(iFinD）'!$A$7)/365))</f>
        <v/>
      </c>
      <c r="I291" s="16" t="str">
        <f t="shared" si="26"/>
        <v/>
      </c>
      <c r="J291" s="16" t="str">
        <f>IF(H291="","",H291/MAX(H$5:H291)-1)</f>
        <v/>
      </c>
      <c r="K291" s="13" t="str">
        <f>IF(OR('实盘净值数据(iFinD）'!$A291="",'实盘净值数据(iFinD）'!$B291="",'实盘净值数据(iFinD）'!$Z291="",'实盘净值数据(iFinD）'!$AA291=""),"",分期持仓明细!$AB$23*(SUMPRODUCT(分期持仓明细!$B$23:$Y$23,'实盘净值数据(iFinD）'!$B291:$Y291/'实盘净值数据(iFinD）'!$B$65:$Y$65)+SUMPRODUCT(分期持仓明细!$AC$23:$AD$23,'实盘净值数据(iFinD）'!$Z291:$AA291/'实盘净值数据(iFinD）'!$Z$65:$AA$65))*(1-实盘持仓初始配置!$Z$7)^(('实盘净值数据(iFinD）'!$A291-'实盘净值数据(iFinD）'!$A$8)/365))</f>
        <v/>
      </c>
      <c r="L291" s="16" t="str">
        <f t="shared" si="27"/>
        <v/>
      </c>
      <c r="M291" s="16" t="str">
        <f>IF(K291="","",K291/MAX(K$5:K291)-1)</f>
        <v/>
      </c>
      <c r="N291" s="13" t="str">
        <f>IF(OR('实盘净值数据(iFinD）'!$A291="",'实盘净值数据(iFinD）'!$B291="",'实盘净值数据(iFinD）'!$Z291="",'实盘净值数据(iFinD）'!$AA291=""),"",分期持仓明细!$AB$24*(SUMPRODUCT(分期持仓明细!$B$24:$Y$24,'实盘净值数据(iFinD）'!$B291:$Y291/'实盘净值数据(iFinD）'!$B$65:$Y$65)+SUMPRODUCT(分期持仓明细!$AC$24:$AD$24,'实盘净值数据(iFinD）'!$Z291:$AA291/'实盘净值数据(iFinD）'!$Z$65:$AA$65))*(1-实盘持仓初始配置!$Z$8)^(('实盘净值数据(iFinD）'!$A291-'实盘净值数据(iFinD）'!$A$5)/365))</f>
        <v/>
      </c>
      <c r="O291" s="16" t="str">
        <f t="shared" si="28"/>
        <v/>
      </c>
      <c r="P291" s="16" t="str">
        <f>IF(N291="","",N291/MAX(N$5:N291)-1)</f>
        <v/>
      </c>
      <c r="Q291" s="13" t="str">
        <f>IF(OR('实盘净值数据(iFinD）'!$A291="",'实盘净值数据(iFinD）'!$B291="",'实盘净值数据(iFinD）'!$Z291="",'实盘净值数据(iFinD）'!$AA291=""),"",分期持仓明细!$AB$25*(SUMPRODUCT(分期持仓明细!$B$25:$Y$25,'实盘净值数据(iFinD）'!$B291:$Y291/'实盘净值数据(iFinD）'!$B$65:$Y$65)+SUMPRODUCT(分期持仓明细!$AC$25:$AD$25,'实盘净值数据(iFinD）'!$Z291:$AA291/'实盘净值数据(iFinD）'!$Z$65:$AA$65))*(1-实盘持仓初始配置!$Z$9)^(('实盘净值数据(iFinD）'!$A291-'实盘净值数据(iFinD）'!$A$8)/365))</f>
        <v/>
      </c>
      <c r="R291" s="16" t="str">
        <f t="shared" si="29"/>
        <v/>
      </c>
      <c r="S291" s="16" t="str">
        <f>IF(Q291="","",Q291/MAX(Q$5:Q291)-1)</f>
        <v/>
      </c>
      <c r="T291" s="13">
        <f>IF(OR('实盘净值数据(iFinD）'!$A291="",'实盘净值数据(iFinD）'!$B291="",'实盘净值数据(iFinD）'!$Z291="",'实盘净值数据(iFinD）'!$AA291="",'实盘净值数据(iFinD）'!$AB291="",'实盘净值数据(iFinD）'!$AL291=""),"",(SUMPRODUCT(分期持仓明细!$B$26:$Y$26,'实盘净值数据(iFinD）'!$B291:$Y291/'实盘净值数据(iFinD）'!$B$69:$Y$69)+SUMPRODUCT(分期持仓明细!$AC$26:$AD$26,'实盘净值数据(iFinD）'!$Z291:$AA291/'实盘净值数据(iFinD）'!$Z$69:$AA$69)+SUMPRODUCT(分期持仓明细!$AE$26:$AO$26,'实盘净值数据(iFinD）'!$AB291:$AL291/'实盘净值数据(iFinD）'!$AB$69:$AL$69))*(1-实盘持仓初始配置!$Z$10)^(('实盘净值数据(iFinD）'!$A291-'实盘净值数据(iFinD）'!$A$69)/365))</f>
        <v/>
      </c>
      <c r="U291" s="16">
        <f>IF(OR(T290="",T291=""),"",T291/T290-1)</f>
        <v/>
      </c>
      <c r="V291" s="16">
        <f>IF(T291="","",T291/MAX(T$5:T291)-1)</f>
        <v/>
      </c>
    </row>
    <row r="292" spans="1:19">
      <c r="A292" s="15" t="str">
        <f>IF('实盘净值数据(iFinD）'!A292="","",'实盘净值数据(iFinD）'!A292)</f>
        <v/>
      </c>
      <c r="B292" s="13" t="str">
        <f>IF(OR('实盘净值数据(iFinD）'!$A292="",'实盘净值数据(iFinD）'!$B292=""),"",分期持仓明细!$AB$17*SUMPRODUCT(分期持仓明细!$B$17:$Y$17,'实盘净值数据(iFinD）'!$B292:$Y292/'实盘净值数据(iFinD）'!$B$20:$Y$20)*(1-实盘持仓初始配置!$Z$4)^(('实盘净值数据(iFinD）'!$A292-'实盘净值数据(iFinD）'!$A$6)/365))</f>
        <v/>
      </c>
      <c r="C292" s="16" t="str">
        <f t="shared" si="24"/>
        <v/>
      </c>
      <c r="D292" s="16" t="str">
        <f>IF(B292="","",B292/MAX(B$5:B292)-1)</f>
        <v/>
      </c>
      <c r="E292" s="13" t="str">
        <f>IF(OR('实盘净值数据(iFinD）'!$A292="",'实盘净值数据(iFinD）'!$B292=""),"",分期持仓明细!$AB$18*SUMPRODUCT(分期持仓明细!$B$18:$Y$18,'实盘净值数据(iFinD）'!$B292:$Y292/'实盘净值数据(iFinD）'!$B$20:$Y$20)*(1-实盘持仓初始配置!$Z$5)^(('实盘净值数据(iFinD）'!$A292-'实盘净值数据(iFinD）'!$A$5)/365))</f>
        <v/>
      </c>
      <c r="F292" s="16" t="str">
        <f t="shared" si="25"/>
        <v/>
      </c>
      <c r="G292" s="16" t="str">
        <f>IF(E292="","",E292/MAX(E$5:E292)-1)</f>
        <v/>
      </c>
      <c r="H292" s="13" t="str">
        <f>IF(OR('实盘净值数据(iFinD）'!$A292="",'实盘净值数据(iFinD）'!$B292=""),"",分期持仓明细!$AB$19*SUMPRODUCT(分期持仓明细!$B$19:$Y$19,'实盘净值数据(iFinD）'!$B292:$Y292/'实盘净值数据(iFinD）'!$B$20:$Y$20)*(1-实盘持仓初始配置!$Z$6)^(('实盘净值数据(iFinD）'!$A292-'实盘净值数据(iFinD）'!$A$7)/365))</f>
        <v/>
      </c>
      <c r="I292" s="16" t="str">
        <f t="shared" si="26"/>
        <v/>
      </c>
      <c r="J292" s="16" t="str">
        <f>IF(H292="","",H292/MAX(H$5:H292)-1)</f>
        <v/>
      </c>
      <c r="K292" s="13" t="str">
        <f>IF(OR('实盘净值数据(iFinD）'!$A292="",'实盘净值数据(iFinD）'!$B292="",'实盘净值数据(iFinD）'!$Z292="",'实盘净值数据(iFinD）'!$AA292=""),"",分期持仓明细!$AB$23*(SUMPRODUCT(分期持仓明细!$B$23:$Y$23,'实盘净值数据(iFinD）'!$B292:$Y292/'实盘净值数据(iFinD）'!$B$65:$Y$65)+SUMPRODUCT(分期持仓明细!$AC$23:$AD$23,'实盘净值数据(iFinD）'!$Z292:$AA292/'实盘净值数据(iFinD）'!$Z$65:$AA$65))*(1-实盘持仓初始配置!$Z$7)^(('实盘净值数据(iFinD）'!$A292-'实盘净值数据(iFinD）'!$A$8)/365))</f>
        <v/>
      </c>
      <c r="L292" s="16" t="str">
        <f t="shared" si="27"/>
        <v/>
      </c>
      <c r="M292" s="16" t="str">
        <f>IF(K292="","",K292/MAX(K$5:K292)-1)</f>
        <v/>
      </c>
      <c r="N292" s="13" t="str">
        <f>IF(OR('实盘净值数据(iFinD）'!$A292="",'实盘净值数据(iFinD）'!$B292="",'实盘净值数据(iFinD）'!$Z292="",'实盘净值数据(iFinD）'!$AA292=""),"",分期持仓明细!$AB$24*(SUMPRODUCT(分期持仓明细!$B$24:$Y$24,'实盘净值数据(iFinD）'!$B292:$Y292/'实盘净值数据(iFinD）'!$B$65:$Y$65)+SUMPRODUCT(分期持仓明细!$AC$24:$AD$24,'实盘净值数据(iFinD）'!$Z292:$AA292/'实盘净值数据(iFinD）'!$Z$65:$AA$65))*(1-实盘持仓初始配置!$Z$8)^(('实盘净值数据(iFinD）'!$A292-'实盘净值数据(iFinD）'!$A$5)/365))</f>
        <v/>
      </c>
      <c r="O292" s="16" t="str">
        <f t="shared" si="28"/>
        <v/>
      </c>
      <c r="P292" s="16" t="str">
        <f>IF(N292="","",N292/MAX(N$5:N292)-1)</f>
        <v/>
      </c>
      <c r="Q292" s="13" t="str">
        <f>IF(OR('实盘净值数据(iFinD）'!$A292="",'实盘净值数据(iFinD）'!$B292="",'实盘净值数据(iFinD）'!$Z292="",'实盘净值数据(iFinD）'!$AA292=""),"",分期持仓明细!$AB$25*(SUMPRODUCT(分期持仓明细!$B$25:$Y$25,'实盘净值数据(iFinD）'!$B292:$Y292/'实盘净值数据(iFinD）'!$B$65:$Y$65)+SUMPRODUCT(分期持仓明细!$AC$25:$AD$25,'实盘净值数据(iFinD）'!$Z292:$AA292/'实盘净值数据(iFinD）'!$Z$65:$AA$65))*(1-实盘持仓初始配置!$Z$9)^(('实盘净值数据(iFinD）'!$A292-'实盘净值数据(iFinD）'!$A$8)/365))</f>
        <v/>
      </c>
      <c r="R292" s="16" t="str">
        <f t="shared" si="29"/>
        <v/>
      </c>
      <c r="S292" s="16" t="str">
        <f>IF(Q292="","",Q292/MAX(Q$5:Q292)-1)</f>
        <v/>
      </c>
      <c r="T292" s="13">
        <f>IF(OR('实盘净值数据(iFinD）'!$A292="",'实盘净值数据(iFinD）'!$B292="",'实盘净值数据(iFinD）'!$Z292="",'实盘净值数据(iFinD）'!$AA292="",'实盘净值数据(iFinD）'!$AB292="",'实盘净值数据(iFinD）'!$AL292=""),"",(SUMPRODUCT(分期持仓明细!$B$26:$Y$26,'实盘净值数据(iFinD）'!$B292:$Y292/'实盘净值数据(iFinD）'!$B$69:$Y$69)+SUMPRODUCT(分期持仓明细!$AC$26:$AD$26,'实盘净值数据(iFinD）'!$Z292:$AA292/'实盘净值数据(iFinD）'!$Z$69:$AA$69)+SUMPRODUCT(分期持仓明细!$AE$26:$AO$26,'实盘净值数据(iFinD）'!$AB292:$AL292/'实盘净值数据(iFinD）'!$AB$69:$AL$69))*(1-实盘持仓初始配置!$Z$10)^(('实盘净值数据(iFinD）'!$A292-'实盘净值数据(iFinD）'!$A$69)/365))</f>
        <v/>
      </c>
      <c r="U292" s="16">
        <f>IF(OR(T291="",T292=""),"",T292/T291-1)</f>
        <v/>
      </c>
      <c r="V292" s="16">
        <f>IF(T292="","",T292/MAX(T$5:T292)-1)</f>
        <v/>
      </c>
    </row>
    <row r="293" spans="1:19">
      <c r="A293" s="15" t="str">
        <f>IF('实盘净值数据(iFinD）'!A293="","",'实盘净值数据(iFinD）'!A293)</f>
        <v/>
      </c>
      <c r="B293" s="13" t="str">
        <f>IF(OR('实盘净值数据(iFinD）'!$A293="",'实盘净值数据(iFinD）'!$B293=""),"",分期持仓明细!$AB$17*SUMPRODUCT(分期持仓明细!$B$17:$Y$17,'实盘净值数据(iFinD）'!$B293:$Y293/'实盘净值数据(iFinD）'!$B$20:$Y$20)*(1-实盘持仓初始配置!$Z$4)^(('实盘净值数据(iFinD）'!$A293-'实盘净值数据(iFinD）'!$A$6)/365))</f>
        <v/>
      </c>
      <c r="C293" s="16" t="str">
        <f t="shared" si="24"/>
        <v/>
      </c>
      <c r="D293" s="16" t="str">
        <f>IF(B293="","",B293/MAX(B$5:B293)-1)</f>
        <v/>
      </c>
      <c r="E293" s="13" t="str">
        <f>IF(OR('实盘净值数据(iFinD）'!$A293="",'实盘净值数据(iFinD）'!$B293=""),"",分期持仓明细!$AB$18*SUMPRODUCT(分期持仓明细!$B$18:$Y$18,'实盘净值数据(iFinD）'!$B293:$Y293/'实盘净值数据(iFinD）'!$B$20:$Y$20)*(1-实盘持仓初始配置!$Z$5)^(('实盘净值数据(iFinD）'!$A293-'实盘净值数据(iFinD）'!$A$5)/365))</f>
        <v/>
      </c>
      <c r="F293" s="16" t="str">
        <f t="shared" si="25"/>
        <v/>
      </c>
      <c r="G293" s="16" t="str">
        <f>IF(E293="","",E293/MAX(E$5:E293)-1)</f>
        <v/>
      </c>
      <c r="H293" s="13" t="str">
        <f>IF(OR('实盘净值数据(iFinD）'!$A293="",'实盘净值数据(iFinD）'!$B293=""),"",分期持仓明细!$AB$19*SUMPRODUCT(分期持仓明细!$B$19:$Y$19,'实盘净值数据(iFinD）'!$B293:$Y293/'实盘净值数据(iFinD）'!$B$20:$Y$20)*(1-实盘持仓初始配置!$Z$6)^(('实盘净值数据(iFinD）'!$A293-'实盘净值数据(iFinD）'!$A$7)/365))</f>
        <v/>
      </c>
      <c r="I293" s="16" t="str">
        <f t="shared" si="26"/>
        <v/>
      </c>
      <c r="J293" s="16" t="str">
        <f>IF(H293="","",H293/MAX(H$5:H293)-1)</f>
        <v/>
      </c>
      <c r="K293" s="13" t="str">
        <f>IF(OR('实盘净值数据(iFinD）'!$A293="",'实盘净值数据(iFinD）'!$B293="",'实盘净值数据(iFinD）'!$Z293="",'实盘净值数据(iFinD）'!$AA293=""),"",分期持仓明细!$AB$23*(SUMPRODUCT(分期持仓明细!$B$23:$Y$23,'实盘净值数据(iFinD）'!$B293:$Y293/'实盘净值数据(iFinD）'!$B$65:$Y$65)+SUMPRODUCT(分期持仓明细!$AC$23:$AD$23,'实盘净值数据(iFinD）'!$Z293:$AA293/'实盘净值数据(iFinD）'!$Z$65:$AA$65))*(1-实盘持仓初始配置!$Z$7)^(('实盘净值数据(iFinD）'!$A293-'实盘净值数据(iFinD）'!$A$8)/365))</f>
        <v/>
      </c>
      <c r="L293" s="16" t="str">
        <f t="shared" si="27"/>
        <v/>
      </c>
      <c r="M293" s="16" t="str">
        <f>IF(K293="","",K293/MAX(K$5:K293)-1)</f>
        <v/>
      </c>
      <c r="N293" s="13" t="str">
        <f>IF(OR('实盘净值数据(iFinD）'!$A293="",'实盘净值数据(iFinD）'!$B293="",'实盘净值数据(iFinD）'!$Z293="",'实盘净值数据(iFinD）'!$AA293=""),"",分期持仓明细!$AB$24*(SUMPRODUCT(分期持仓明细!$B$24:$Y$24,'实盘净值数据(iFinD）'!$B293:$Y293/'实盘净值数据(iFinD）'!$B$65:$Y$65)+SUMPRODUCT(分期持仓明细!$AC$24:$AD$24,'实盘净值数据(iFinD）'!$Z293:$AA293/'实盘净值数据(iFinD）'!$Z$65:$AA$65))*(1-实盘持仓初始配置!$Z$8)^(('实盘净值数据(iFinD）'!$A293-'实盘净值数据(iFinD）'!$A$5)/365))</f>
        <v/>
      </c>
      <c r="O293" s="16" t="str">
        <f t="shared" si="28"/>
        <v/>
      </c>
      <c r="P293" s="16" t="str">
        <f>IF(N293="","",N293/MAX(N$5:N293)-1)</f>
        <v/>
      </c>
      <c r="Q293" s="13" t="str">
        <f>IF(OR('实盘净值数据(iFinD）'!$A293="",'实盘净值数据(iFinD）'!$B293="",'实盘净值数据(iFinD）'!$Z293="",'实盘净值数据(iFinD）'!$AA293=""),"",分期持仓明细!$AB$25*(SUMPRODUCT(分期持仓明细!$B$25:$Y$25,'实盘净值数据(iFinD）'!$B293:$Y293/'实盘净值数据(iFinD）'!$B$65:$Y$65)+SUMPRODUCT(分期持仓明细!$AC$25:$AD$25,'实盘净值数据(iFinD）'!$Z293:$AA293/'实盘净值数据(iFinD）'!$Z$65:$AA$65))*(1-实盘持仓初始配置!$Z$9)^(('实盘净值数据(iFinD）'!$A293-'实盘净值数据(iFinD）'!$A$8)/365))</f>
        <v/>
      </c>
      <c r="R293" s="16" t="str">
        <f t="shared" si="29"/>
        <v/>
      </c>
      <c r="S293" s="16" t="str">
        <f>IF(Q293="","",Q293/MAX(Q$5:Q293)-1)</f>
        <v/>
      </c>
      <c r="T293" s="13">
        <f>IF(OR('实盘净值数据(iFinD）'!$A293="",'实盘净值数据(iFinD）'!$B293="",'实盘净值数据(iFinD）'!$Z293="",'实盘净值数据(iFinD）'!$AA293="",'实盘净值数据(iFinD）'!$AB293="",'实盘净值数据(iFinD）'!$AL293=""),"",(SUMPRODUCT(分期持仓明细!$B$26:$Y$26,'实盘净值数据(iFinD）'!$B293:$Y293/'实盘净值数据(iFinD）'!$B$69:$Y$69)+SUMPRODUCT(分期持仓明细!$AC$26:$AD$26,'实盘净值数据(iFinD）'!$Z293:$AA293/'实盘净值数据(iFinD）'!$Z$69:$AA$69)+SUMPRODUCT(分期持仓明细!$AE$26:$AO$26,'实盘净值数据(iFinD）'!$AB293:$AL293/'实盘净值数据(iFinD）'!$AB$69:$AL$69))*(1-实盘持仓初始配置!$Z$10)^(('实盘净值数据(iFinD）'!$A293-'实盘净值数据(iFinD）'!$A$69)/365))</f>
        <v/>
      </c>
      <c r="U293" s="16">
        <f>IF(OR(T292="",T293=""),"",T293/T292-1)</f>
        <v/>
      </c>
      <c r="V293" s="16">
        <f>IF(T293="","",T293/MAX(T$5:T293)-1)</f>
        <v/>
      </c>
    </row>
    <row r="294" spans="1:19">
      <c r="A294" s="15" t="str">
        <f>IF('实盘净值数据(iFinD）'!A294="","",'实盘净值数据(iFinD）'!A294)</f>
        <v/>
      </c>
      <c r="B294" s="13" t="str">
        <f>IF(OR('实盘净值数据(iFinD）'!$A294="",'实盘净值数据(iFinD）'!$B294=""),"",分期持仓明细!$AB$17*SUMPRODUCT(分期持仓明细!$B$17:$Y$17,'实盘净值数据(iFinD）'!$B294:$Y294/'实盘净值数据(iFinD）'!$B$20:$Y$20)*(1-实盘持仓初始配置!$Z$4)^(('实盘净值数据(iFinD）'!$A294-'实盘净值数据(iFinD）'!$A$6)/365))</f>
        <v/>
      </c>
      <c r="C294" s="16" t="str">
        <f t="shared" si="24"/>
        <v/>
      </c>
      <c r="D294" s="16" t="str">
        <f>IF(B294="","",B294/MAX(B$5:B294)-1)</f>
        <v/>
      </c>
      <c r="E294" s="13" t="str">
        <f>IF(OR('实盘净值数据(iFinD）'!$A294="",'实盘净值数据(iFinD）'!$B294=""),"",分期持仓明细!$AB$18*SUMPRODUCT(分期持仓明细!$B$18:$Y$18,'实盘净值数据(iFinD）'!$B294:$Y294/'实盘净值数据(iFinD）'!$B$20:$Y$20)*(1-实盘持仓初始配置!$Z$5)^(('实盘净值数据(iFinD）'!$A294-'实盘净值数据(iFinD）'!$A$5)/365))</f>
        <v/>
      </c>
      <c r="F294" s="16" t="str">
        <f t="shared" si="25"/>
        <v/>
      </c>
      <c r="G294" s="16" t="str">
        <f>IF(E294="","",E294/MAX(E$5:E294)-1)</f>
        <v/>
      </c>
      <c r="H294" s="13" t="str">
        <f>IF(OR('实盘净值数据(iFinD）'!$A294="",'实盘净值数据(iFinD）'!$B294=""),"",分期持仓明细!$AB$19*SUMPRODUCT(分期持仓明细!$B$19:$Y$19,'实盘净值数据(iFinD）'!$B294:$Y294/'实盘净值数据(iFinD）'!$B$20:$Y$20)*(1-实盘持仓初始配置!$Z$6)^(('实盘净值数据(iFinD）'!$A294-'实盘净值数据(iFinD）'!$A$7)/365))</f>
        <v/>
      </c>
      <c r="I294" s="16" t="str">
        <f t="shared" si="26"/>
        <v/>
      </c>
      <c r="J294" s="16" t="str">
        <f>IF(H294="","",H294/MAX(H$5:H294)-1)</f>
        <v/>
      </c>
      <c r="K294" s="13" t="str">
        <f>IF(OR('实盘净值数据(iFinD）'!$A294="",'实盘净值数据(iFinD）'!$B294="",'实盘净值数据(iFinD）'!$Z294="",'实盘净值数据(iFinD）'!$AA294=""),"",分期持仓明细!$AB$23*(SUMPRODUCT(分期持仓明细!$B$23:$Y$23,'实盘净值数据(iFinD）'!$B294:$Y294/'实盘净值数据(iFinD）'!$B$65:$Y$65)+SUMPRODUCT(分期持仓明细!$AC$23:$AD$23,'实盘净值数据(iFinD）'!$Z294:$AA294/'实盘净值数据(iFinD）'!$Z$65:$AA$65))*(1-实盘持仓初始配置!$Z$7)^(('实盘净值数据(iFinD）'!$A294-'实盘净值数据(iFinD）'!$A$8)/365))</f>
        <v/>
      </c>
      <c r="L294" s="16" t="str">
        <f t="shared" si="27"/>
        <v/>
      </c>
      <c r="M294" s="16" t="str">
        <f>IF(K294="","",K294/MAX(K$5:K294)-1)</f>
        <v/>
      </c>
      <c r="N294" s="13" t="str">
        <f>IF(OR('实盘净值数据(iFinD）'!$A294="",'实盘净值数据(iFinD）'!$B294="",'实盘净值数据(iFinD）'!$Z294="",'实盘净值数据(iFinD）'!$AA294=""),"",分期持仓明细!$AB$24*(SUMPRODUCT(分期持仓明细!$B$24:$Y$24,'实盘净值数据(iFinD）'!$B294:$Y294/'实盘净值数据(iFinD）'!$B$65:$Y$65)+SUMPRODUCT(分期持仓明细!$AC$24:$AD$24,'实盘净值数据(iFinD）'!$Z294:$AA294/'实盘净值数据(iFinD）'!$Z$65:$AA$65))*(1-实盘持仓初始配置!$Z$8)^(('实盘净值数据(iFinD）'!$A294-'实盘净值数据(iFinD）'!$A$5)/365))</f>
        <v/>
      </c>
      <c r="O294" s="16" t="str">
        <f t="shared" si="28"/>
        <v/>
      </c>
      <c r="P294" s="16" t="str">
        <f>IF(N294="","",N294/MAX(N$5:N294)-1)</f>
        <v/>
      </c>
      <c r="Q294" s="13" t="str">
        <f>IF(OR('实盘净值数据(iFinD）'!$A294="",'实盘净值数据(iFinD）'!$B294="",'实盘净值数据(iFinD）'!$Z294="",'实盘净值数据(iFinD）'!$AA294=""),"",分期持仓明细!$AB$25*(SUMPRODUCT(分期持仓明细!$B$25:$Y$25,'实盘净值数据(iFinD）'!$B294:$Y294/'实盘净值数据(iFinD）'!$B$65:$Y$65)+SUMPRODUCT(分期持仓明细!$AC$25:$AD$25,'实盘净值数据(iFinD）'!$Z294:$AA294/'实盘净值数据(iFinD）'!$Z$65:$AA$65))*(1-实盘持仓初始配置!$Z$9)^(('实盘净值数据(iFinD）'!$A294-'实盘净值数据(iFinD）'!$A$8)/365))</f>
        <v/>
      </c>
      <c r="R294" s="16" t="str">
        <f t="shared" si="29"/>
        <v/>
      </c>
      <c r="S294" s="16" t="str">
        <f>IF(Q294="","",Q294/MAX(Q$5:Q294)-1)</f>
        <v/>
      </c>
      <c r="T294" s="13">
        <f>IF(OR('实盘净值数据(iFinD）'!$A294="",'实盘净值数据(iFinD）'!$B294="",'实盘净值数据(iFinD）'!$Z294="",'实盘净值数据(iFinD）'!$AA294="",'实盘净值数据(iFinD）'!$AB294="",'实盘净值数据(iFinD）'!$AL294=""),"",(SUMPRODUCT(分期持仓明细!$B$26:$Y$26,'实盘净值数据(iFinD）'!$B294:$Y294/'实盘净值数据(iFinD）'!$B$69:$Y$69)+SUMPRODUCT(分期持仓明细!$AC$26:$AD$26,'实盘净值数据(iFinD）'!$Z294:$AA294/'实盘净值数据(iFinD）'!$Z$69:$AA$69)+SUMPRODUCT(分期持仓明细!$AE$26:$AO$26,'实盘净值数据(iFinD）'!$AB294:$AL294/'实盘净值数据(iFinD）'!$AB$69:$AL$69))*(1-实盘持仓初始配置!$Z$10)^(('实盘净值数据(iFinD）'!$A294-'实盘净值数据(iFinD）'!$A$69)/365))</f>
        <v/>
      </c>
      <c r="U294" s="16">
        <f>IF(OR(T293="",T294=""),"",T294/T293-1)</f>
        <v/>
      </c>
      <c r="V294" s="16">
        <f>IF(T294="","",T294/MAX(T$5:T294)-1)</f>
        <v/>
      </c>
    </row>
    <row r="295" spans="1:19">
      <c r="A295" s="15" t="str">
        <f>IF('实盘净值数据(iFinD）'!A295="","",'实盘净值数据(iFinD）'!A295)</f>
        <v/>
      </c>
      <c r="B295" s="13" t="str">
        <f>IF(OR('实盘净值数据(iFinD）'!$A295="",'实盘净值数据(iFinD）'!$B295=""),"",分期持仓明细!$AB$17*SUMPRODUCT(分期持仓明细!$B$17:$Y$17,'实盘净值数据(iFinD）'!$B295:$Y295/'实盘净值数据(iFinD）'!$B$20:$Y$20)*(1-实盘持仓初始配置!$Z$4)^(('实盘净值数据(iFinD）'!$A295-'实盘净值数据(iFinD）'!$A$6)/365))</f>
        <v/>
      </c>
      <c r="C295" s="16" t="str">
        <f t="shared" si="24"/>
        <v/>
      </c>
      <c r="D295" s="16" t="str">
        <f>IF(B295="","",B295/MAX(B$5:B295)-1)</f>
        <v/>
      </c>
      <c r="E295" s="13" t="str">
        <f>IF(OR('实盘净值数据(iFinD）'!$A295="",'实盘净值数据(iFinD）'!$B295=""),"",分期持仓明细!$AB$18*SUMPRODUCT(分期持仓明细!$B$18:$Y$18,'实盘净值数据(iFinD）'!$B295:$Y295/'实盘净值数据(iFinD）'!$B$20:$Y$20)*(1-实盘持仓初始配置!$Z$5)^(('实盘净值数据(iFinD）'!$A295-'实盘净值数据(iFinD）'!$A$5)/365))</f>
        <v/>
      </c>
      <c r="F295" s="16" t="str">
        <f t="shared" si="25"/>
        <v/>
      </c>
      <c r="G295" s="16" t="str">
        <f>IF(E295="","",E295/MAX(E$5:E295)-1)</f>
        <v/>
      </c>
      <c r="H295" s="13" t="str">
        <f>IF(OR('实盘净值数据(iFinD）'!$A295="",'实盘净值数据(iFinD）'!$B295=""),"",分期持仓明细!$AB$19*SUMPRODUCT(分期持仓明细!$B$19:$Y$19,'实盘净值数据(iFinD）'!$B295:$Y295/'实盘净值数据(iFinD）'!$B$20:$Y$20)*(1-实盘持仓初始配置!$Z$6)^(('实盘净值数据(iFinD）'!$A295-'实盘净值数据(iFinD）'!$A$7)/365))</f>
        <v/>
      </c>
      <c r="I295" s="16" t="str">
        <f t="shared" si="26"/>
        <v/>
      </c>
      <c r="J295" s="16" t="str">
        <f>IF(H295="","",H295/MAX(H$5:H295)-1)</f>
        <v/>
      </c>
      <c r="K295" s="13" t="str">
        <f>IF(OR('实盘净值数据(iFinD）'!$A295="",'实盘净值数据(iFinD）'!$B295="",'实盘净值数据(iFinD）'!$Z295="",'实盘净值数据(iFinD）'!$AA295=""),"",分期持仓明细!$AB$23*(SUMPRODUCT(分期持仓明细!$B$23:$Y$23,'实盘净值数据(iFinD）'!$B295:$Y295/'实盘净值数据(iFinD）'!$B$65:$Y$65)+SUMPRODUCT(分期持仓明细!$AC$23:$AD$23,'实盘净值数据(iFinD）'!$Z295:$AA295/'实盘净值数据(iFinD）'!$Z$65:$AA$65))*(1-实盘持仓初始配置!$Z$7)^(('实盘净值数据(iFinD）'!$A295-'实盘净值数据(iFinD）'!$A$8)/365))</f>
        <v/>
      </c>
      <c r="L295" s="16" t="str">
        <f t="shared" si="27"/>
        <v/>
      </c>
      <c r="M295" s="16" t="str">
        <f>IF(K295="","",K295/MAX(K$5:K295)-1)</f>
        <v/>
      </c>
      <c r="N295" s="13" t="str">
        <f>IF(OR('实盘净值数据(iFinD）'!$A295="",'实盘净值数据(iFinD）'!$B295="",'实盘净值数据(iFinD）'!$Z295="",'实盘净值数据(iFinD）'!$AA295=""),"",分期持仓明细!$AB$24*(SUMPRODUCT(分期持仓明细!$B$24:$Y$24,'实盘净值数据(iFinD）'!$B295:$Y295/'实盘净值数据(iFinD）'!$B$65:$Y$65)+SUMPRODUCT(分期持仓明细!$AC$24:$AD$24,'实盘净值数据(iFinD）'!$Z295:$AA295/'实盘净值数据(iFinD）'!$Z$65:$AA$65))*(1-实盘持仓初始配置!$Z$8)^(('实盘净值数据(iFinD）'!$A295-'实盘净值数据(iFinD）'!$A$5)/365))</f>
        <v/>
      </c>
      <c r="O295" s="16" t="str">
        <f t="shared" si="28"/>
        <v/>
      </c>
      <c r="P295" s="16" t="str">
        <f>IF(N295="","",N295/MAX(N$5:N295)-1)</f>
        <v/>
      </c>
      <c r="Q295" s="13" t="str">
        <f>IF(OR('实盘净值数据(iFinD）'!$A295="",'实盘净值数据(iFinD）'!$B295="",'实盘净值数据(iFinD）'!$Z295="",'实盘净值数据(iFinD）'!$AA295=""),"",分期持仓明细!$AB$25*(SUMPRODUCT(分期持仓明细!$B$25:$Y$25,'实盘净值数据(iFinD）'!$B295:$Y295/'实盘净值数据(iFinD）'!$B$65:$Y$65)+SUMPRODUCT(分期持仓明细!$AC$25:$AD$25,'实盘净值数据(iFinD）'!$Z295:$AA295/'实盘净值数据(iFinD）'!$Z$65:$AA$65))*(1-实盘持仓初始配置!$Z$9)^(('实盘净值数据(iFinD）'!$A295-'实盘净值数据(iFinD）'!$A$8)/365))</f>
        <v/>
      </c>
      <c r="R295" s="16" t="str">
        <f t="shared" si="29"/>
        <v/>
      </c>
      <c r="S295" s="16" t="str">
        <f>IF(Q295="","",Q295/MAX(Q$5:Q295)-1)</f>
        <v/>
      </c>
      <c r="T295" s="13">
        <f>IF(OR('实盘净值数据(iFinD）'!$A295="",'实盘净值数据(iFinD）'!$B295="",'实盘净值数据(iFinD）'!$Z295="",'实盘净值数据(iFinD）'!$AA295="",'实盘净值数据(iFinD）'!$AB295="",'实盘净值数据(iFinD）'!$AL295=""),"",(SUMPRODUCT(分期持仓明细!$B$26:$Y$26,'实盘净值数据(iFinD）'!$B295:$Y295/'实盘净值数据(iFinD）'!$B$69:$Y$69)+SUMPRODUCT(分期持仓明细!$AC$26:$AD$26,'实盘净值数据(iFinD）'!$Z295:$AA295/'实盘净值数据(iFinD）'!$Z$69:$AA$69)+SUMPRODUCT(分期持仓明细!$AE$26:$AO$26,'实盘净值数据(iFinD）'!$AB295:$AL295/'实盘净值数据(iFinD）'!$AB$69:$AL$69))*(1-实盘持仓初始配置!$Z$10)^(('实盘净值数据(iFinD）'!$A295-'实盘净值数据(iFinD）'!$A$69)/365))</f>
        <v/>
      </c>
      <c r="U295" s="16">
        <f>IF(OR(T294="",T295=""),"",T295/T294-1)</f>
        <v/>
      </c>
      <c r="V295" s="16">
        <f>IF(T295="","",T295/MAX(T$5:T295)-1)</f>
        <v/>
      </c>
    </row>
    <row r="296" spans="1:19">
      <c r="A296" s="15" t="str">
        <f>IF('实盘净值数据(iFinD）'!A296="","",'实盘净值数据(iFinD）'!A296)</f>
        <v/>
      </c>
      <c r="B296" s="13" t="str">
        <f>IF(OR('实盘净值数据(iFinD）'!$A296="",'实盘净值数据(iFinD）'!$B296=""),"",分期持仓明细!$AB$17*SUMPRODUCT(分期持仓明细!$B$17:$Y$17,'实盘净值数据(iFinD）'!$B296:$Y296/'实盘净值数据(iFinD）'!$B$20:$Y$20)*(1-实盘持仓初始配置!$Z$4)^(('实盘净值数据(iFinD）'!$A296-'实盘净值数据(iFinD）'!$A$6)/365))</f>
        <v/>
      </c>
      <c r="C296" s="16" t="str">
        <f t="shared" si="24"/>
        <v/>
      </c>
      <c r="D296" s="16" t="str">
        <f>IF(B296="","",B296/MAX(B$5:B296)-1)</f>
        <v/>
      </c>
      <c r="E296" s="13" t="str">
        <f>IF(OR('实盘净值数据(iFinD）'!$A296="",'实盘净值数据(iFinD）'!$B296=""),"",分期持仓明细!$AB$18*SUMPRODUCT(分期持仓明细!$B$18:$Y$18,'实盘净值数据(iFinD）'!$B296:$Y296/'实盘净值数据(iFinD）'!$B$20:$Y$20)*(1-实盘持仓初始配置!$Z$5)^(('实盘净值数据(iFinD）'!$A296-'实盘净值数据(iFinD）'!$A$5)/365))</f>
        <v/>
      </c>
      <c r="F296" s="16" t="str">
        <f t="shared" si="25"/>
        <v/>
      </c>
      <c r="G296" s="16" t="str">
        <f>IF(E296="","",E296/MAX(E$5:E296)-1)</f>
        <v/>
      </c>
      <c r="H296" s="13" t="str">
        <f>IF(OR('实盘净值数据(iFinD）'!$A296="",'实盘净值数据(iFinD）'!$B296=""),"",分期持仓明细!$AB$19*SUMPRODUCT(分期持仓明细!$B$19:$Y$19,'实盘净值数据(iFinD）'!$B296:$Y296/'实盘净值数据(iFinD）'!$B$20:$Y$20)*(1-实盘持仓初始配置!$Z$6)^(('实盘净值数据(iFinD）'!$A296-'实盘净值数据(iFinD）'!$A$7)/365))</f>
        <v/>
      </c>
      <c r="I296" s="16" t="str">
        <f t="shared" si="26"/>
        <v/>
      </c>
      <c r="J296" s="16" t="str">
        <f>IF(H296="","",H296/MAX(H$5:H296)-1)</f>
        <v/>
      </c>
      <c r="K296" s="13" t="str">
        <f>IF(OR('实盘净值数据(iFinD）'!$A296="",'实盘净值数据(iFinD）'!$B296="",'实盘净值数据(iFinD）'!$Z296="",'实盘净值数据(iFinD）'!$AA296=""),"",分期持仓明细!$AB$23*(SUMPRODUCT(分期持仓明细!$B$23:$Y$23,'实盘净值数据(iFinD）'!$B296:$Y296/'实盘净值数据(iFinD）'!$B$65:$Y$65)+SUMPRODUCT(分期持仓明细!$AC$23:$AD$23,'实盘净值数据(iFinD）'!$Z296:$AA296/'实盘净值数据(iFinD）'!$Z$65:$AA$65))*(1-实盘持仓初始配置!$Z$7)^(('实盘净值数据(iFinD）'!$A296-'实盘净值数据(iFinD）'!$A$8)/365))</f>
        <v/>
      </c>
      <c r="L296" s="16" t="str">
        <f t="shared" si="27"/>
        <v/>
      </c>
      <c r="M296" s="16" t="str">
        <f>IF(K296="","",K296/MAX(K$5:K296)-1)</f>
        <v/>
      </c>
      <c r="N296" s="13" t="str">
        <f>IF(OR('实盘净值数据(iFinD）'!$A296="",'实盘净值数据(iFinD）'!$B296="",'实盘净值数据(iFinD）'!$Z296="",'实盘净值数据(iFinD）'!$AA296=""),"",分期持仓明细!$AB$24*(SUMPRODUCT(分期持仓明细!$B$24:$Y$24,'实盘净值数据(iFinD）'!$B296:$Y296/'实盘净值数据(iFinD）'!$B$65:$Y$65)+SUMPRODUCT(分期持仓明细!$AC$24:$AD$24,'实盘净值数据(iFinD）'!$Z296:$AA296/'实盘净值数据(iFinD）'!$Z$65:$AA$65))*(1-实盘持仓初始配置!$Z$8)^(('实盘净值数据(iFinD）'!$A296-'实盘净值数据(iFinD）'!$A$5)/365))</f>
        <v/>
      </c>
      <c r="O296" s="16" t="str">
        <f t="shared" si="28"/>
        <v/>
      </c>
      <c r="P296" s="16" t="str">
        <f>IF(N296="","",N296/MAX(N$5:N296)-1)</f>
        <v/>
      </c>
      <c r="Q296" s="13" t="str">
        <f>IF(OR('实盘净值数据(iFinD）'!$A296="",'实盘净值数据(iFinD）'!$B296="",'实盘净值数据(iFinD）'!$Z296="",'实盘净值数据(iFinD）'!$AA296=""),"",分期持仓明细!$AB$25*(SUMPRODUCT(分期持仓明细!$B$25:$Y$25,'实盘净值数据(iFinD）'!$B296:$Y296/'实盘净值数据(iFinD）'!$B$65:$Y$65)+SUMPRODUCT(分期持仓明细!$AC$25:$AD$25,'实盘净值数据(iFinD）'!$Z296:$AA296/'实盘净值数据(iFinD）'!$Z$65:$AA$65))*(1-实盘持仓初始配置!$Z$9)^(('实盘净值数据(iFinD）'!$A296-'实盘净值数据(iFinD）'!$A$8)/365))</f>
        <v/>
      </c>
      <c r="R296" s="16" t="str">
        <f t="shared" si="29"/>
        <v/>
      </c>
      <c r="S296" s="16" t="str">
        <f>IF(Q296="","",Q296/MAX(Q$5:Q296)-1)</f>
        <v/>
      </c>
      <c r="T296" s="13">
        <f>IF(OR('实盘净值数据(iFinD）'!$A296="",'实盘净值数据(iFinD）'!$B296="",'实盘净值数据(iFinD）'!$Z296="",'实盘净值数据(iFinD）'!$AA296="",'实盘净值数据(iFinD）'!$AB296="",'实盘净值数据(iFinD）'!$AL296=""),"",(SUMPRODUCT(分期持仓明细!$B$26:$Y$26,'实盘净值数据(iFinD）'!$B296:$Y296/'实盘净值数据(iFinD）'!$B$69:$Y$69)+SUMPRODUCT(分期持仓明细!$AC$26:$AD$26,'实盘净值数据(iFinD）'!$Z296:$AA296/'实盘净值数据(iFinD）'!$Z$69:$AA$69)+SUMPRODUCT(分期持仓明细!$AE$26:$AO$26,'实盘净值数据(iFinD）'!$AB296:$AL296/'实盘净值数据(iFinD）'!$AB$69:$AL$69))*(1-实盘持仓初始配置!$Z$10)^(('实盘净值数据(iFinD）'!$A296-'实盘净值数据(iFinD）'!$A$69)/365))</f>
        <v/>
      </c>
      <c r="U296" s="16">
        <f>IF(OR(T295="",T296=""),"",T296/T295-1)</f>
        <v/>
      </c>
      <c r="V296" s="16">
        <f>IF(T296="","",T296/MAX(T$5:T296)-1)</f>
        <v/>
      </c>
    </row>
    <row r="297" spans="1:19">
      <c r="A297" s="15" t="str">
        <f>IF('实盘净值数据(iFinD）'!A297="","",'实盘净值数据(iFinD）'!A297)</f>
        <v/>
      </c>
      <c r="B297" s="13" t="str">
        <f>IF(OR('实盘净值数据(iFinD）'!$A297="",'实盘净值数据(iFinD）'!$B297=""),"",分期持仓明细!$AB$17*SUMPRODUCT(分期持仓明细!$B$17:$Y$17,'实盘净值数据(iFinD）'!$B297:$Y297/'实盘净值数据(iFinD）'!$B$20:$Y$20)*(1-实盘持仓初始配置!$Z$4)^(('实盘净值数据(iFinD）'!$A297-'实盘净值数据(iFinD）'!$A$6)/365))</f>
        <v/>
      </c>
      <c r="C297" s="16" t="str">
        <f t="shared" si="24"/>
        <v/>
      </c>
      <c r="D297" s="16" t="str">
        <f>IF(B297="","",B297/MAX(B$5:B297)-1)</f>
        <v/>
      </c>
      <c r="E297" s="13" t="str">
        <f>IF(OR('实盘净值数据(iFinD）'!$A297="",'实盘净值数据(iFinD）'!$B297=""),"",分期持仓明细!$AB$18*SUMPRODUCT(分期持仓明细!$B$18:$Y$18,'实盘净值数据(iFinD）'!$B297:$Y297/'实盘净值数据(iFinD）'!$B$20:$Y$20)*(1-实盘持仓初始配置!$Z$5)^(('实盘净值数据(iFinD）'!$A297-'实盘净值数据(iFinD）'!$A$5)/365))</f>
        <v/>
      </c>
      <c r="F297" s="16" t="str">
        <f t="shared" si="25"/>
        <v/>
      </c>
      <c r="G297" s="16" t="str">
        <f>IF(E297="","",E297/MAX(E$5:E297)-1)</f>
        <v/>
      </c>
      <c r="H297" s="13" t="str">
        <f>IF(OR('实盘净值数据(iFinD）'!$A297="",'实盘净值数据(iFinD）'!$B297=""),"",分期持仓明细!$AB$19*SUMPRODUCT(分期持仓明细!$B$19:$Y$19,'实盘净值数据(iFinD）'!$B297:$Y297/'实盘净值数据(iFinD）'!$B$20:$Y$20)*(1-实盘持仓初始配置!$Z$6)^(('实盘净值数据(iFinD）'!$A297-'实盘净值数据(iFinD）'!$A$7)/365))</f>
        <v/>
      </c>
      <c r="I297" s="16" t="str">
        <f t="shared" si="26"/>
        <v/>
      </c>
      <c r="J297" s="16" t="str">
        <f>IF(H297="","",H297/MAX(H$5:H297)-1)</f>
        <v/>
      </c>
      <c r="K297" s="13" t="str">
        <f>IF(OR('实盘净值数据(iFinD）'!$A297="",'实盘净值数据(iFinD）'!$B297="",'实盘净值数据(iFinD）'!$Z297="",'实盘净值数据(iFinD）'!$AA297=""),"",分期持仓明细!$AB$23*(SUMPRODUCT(分期持仓明细!$B$23:$Y$23,'实盘净值数据(iFinD）'!$B297:$Y297/'实盘净值数据(iFinD）'!$B$65:$Y$65)+SUMPRODUCT(分期持仓明细!$AC$23:$AD$23,'实盘净值数据(iFinD）'!$Z297:$AA297/'实盘净值数据(iFinD）'!$Z$65:$AA$65))*(1-实盘持仓初始配置!$Z$7)^(('实盘净值数据(iFinD）'!$A297-'实盘净值数据(iFinD）'!$A$8)/365))</f>
        <v/>
      </c>
      <c r="L297" s="16" t="str">
        <f t="shared" si="27"/>
        <v/>
      </c>
      <c r="M297" s="16" t="str">
        <f>IF(K297="","",K297/MAX(K$5:K297)-1)</f>
        <v/>
      </c>
      <c r="N297" s="13" t="str">
        <f>IF(OR('实盘净值数据(iFinD）'!$A297="",'实盘净值数据(iFinD）'!$B297="",'实盘净值数据(iFinD）'!$Z297="",'实盘净值数据(iFinD）'!$AA297=""),"",分期持仓明细!$AB$24*(SUMPRODUCT(分期持仓明细!$B$24:$Y$24,'实盘净值数据(iFinD）'!$B297:$Y297/'实盘净值数据(iFinD）'!$B$65:$Y$65)+SUMPRODUCT(分期持仓明细!$AC$24:$AD$24,'实盘净值数据(iFinD）'!$Z297:$AA297/'实盘净值数据(iFinD）'!$Z$65:$AA$65))*(1-实盘持仓初始配置!$Z$8)^(('实盘净值数据(iFinD）'!$A297-'实盘净值数据(iFinD）'!$A$5)/365))</f>
        <v/>
      </c>
      <c r="O297" s="16" t="str">
        <f t="shared" si="28"/>
        <v/>
      </c>
      <c r="P297" s="16" t="str">
        <f>IF(N297="","",N297/MAX(N$5:N297)-1)</f>
        <v/>
      </c>
      <c r="Q297" s="13" t="str">
        <f>IF(OR('实盘净值数据(iFinD）'!$A297="",'实盘净值数据(iFinD）'!$B297="",'实盘净值数据(iFinD）'!$Z297="",'实盘净值数据(iFinD）'!$AA297=""),"",分期持仓明细!$AB$25*(SUMPRODUCT(分期持仓明细!$B$25:$Y$25,'实盘净值数据(iFinD）'!$B297:$Y297/'实盘净值数据(iFinD）'!$B$65:$Y$65)+SUMPRODUCT(分期持仓明细!$AC$25:$AD$25,'实盘净值数据(iFinD）'!$Z297:$AA297/'实盘净值数据(iFinD）'!$Z$65:$AA$65))*(1-实盘持仓初始配置!$Z$9)^(('实盘净值数据(iFinD）'!$A297-'实盘净值数据(iFinD）'!$A$8)/365))</f>
        <v/>
      </c>
      <c r="R297" s="16" t="str">
        <f t="shared" si="29"/>
        <v/>
      </c>
      <c r="S297" s="16" t="str">
        <f>IF(Q297="","",Q297/MAX(Q$5:Q297)-1)</f>
        <v/>
      </c>
      <c r="T297" s="13">
        <f>IF(OR('实盘净值数据(iFinD）'!$A297="",'实盘净值数据(iFinD）'!$B297="",'实盘净值数据(iFinD）'!$Z297="",'实盘净值数据(iFinD）'!$AA297="",'实盘净值数据(iFinD）'!$AB297="",'实盘净值数据(iFinD）'!$AL297=""),"",(SUMPRODUCT(分期持仓明细!$B$26:$Y$26,'实盘净值数据(iFinD）'!$B297:$Y297/'实盘净值数据(iFinD）'!$B$69:$Y$69)+SUMPRODUCT(分期持仓明细!$AC$26:$AD$26,'实盘净值数据(iFinD）'!$Z297:$AA297/'实盘净值数据(iFinD）'!$Z$69:$AA$69)+SUMPRODUCT(分期持仓明细!$AE$26:$AO$26,'实盘净值数据(iFinD）'!$AB297:$AL297/'实盘净值数据(iFinD）'!$AB$69:$AL$69))*(1-实盘持仓初始配置!$Z$10)^(('实盘净值数据(iFinD）'!$A297-'实盘净值数据(iFinD）'!$A$69)/365))</f>
        <v/>
      </c>
      <c r="U297" s="16">
        <f>IF(OR(T296="",T297=""),"",T297/T296-1)</f>
        <v/>
      </c>
      <c r="V297" s="16">
        <f>IF(T297="","",T297/MAX(T$5:T297)-1)</f>
        <v/>
      </c>
    </row>
    <row r="298" spans="1:19">
      <c r="A298" s="15" t="str">
        <f>IF('实盘净值数据(iFinD）'!A298="","",'实盘净值数据(iFinD）'!A298)</f>
        <v/>
      </c>
      <c r="B298" s="13" t="str">
        <f>IF(OR('实盘净值数据(iFinD）'!$A298="",'实盘净值数据(iFinD）'!$B298=""),"",分期持仓明细!$AB$17*SUMPRODUCT(分期持仓明细!$B$17:$Y$17,'实盘净值数据(iFinD）'!$B298:$Y298/'实盘净值数据(iFinD）'!$B$20:$Y$20)*(1-实盘持仓初始配置!$Z$4)^(('实盘净值数据(iFinD）'!$A298-'实盘净值数据(iFinD）'!$A$6)/365))</f>
        <v/>
      </c>
      <c r="C298" s="16" t="str">
        <f t="shared" si="24"/>
        <v/>
      </c>
      <c r="D298" s="16" t="str">
        <f>IF(B298="","",B298/MAX(B$5:B298)-1)</f>
        <v/>
      </c>
      <c r="E298" s="13" t="str">
        <f>IF(OR('实盘净值数据(iFinD）'!$A298="",'实盘净值数据(iFinD）'!$B298=""),"",分期持仓明细!$AB$18*SUMPRODUCT(分期持仓明细!$B$18:$Y$18,'实盘净值数据(iFinD）'!$B298:$Y298/'实盘净值数据(iFinD）'!$B$20:$Y$20)*(1-实盘持仓初始配置!$Z$5)^(('实盘净值数据(iFinD）'!$A298-'实盘净值数据(iFinD）'!$A$5)/365))</f>
        <v/>
      </c>
      <c r="F298" s="16" t="str">
        <f t="shared" si="25"/>
        <v/>
      </c>
      <c r="G298" s="16" t="str">
        <f>IF(E298="","",E298/MAX(E$5:E298)-1)</f>
        <v/>
      </c>
      <c r="H298" s="13" t="str">
        <f>IF(OR('实盘净值数据(iFinD）'!$A298="",'实盘净值数据(iFinD）'!$B298=""),"",分期持仓明细!$AB$19*SUMPRODUCT(分期持仓明细!$B$19:$Y$19,'实盘净值数据(iFinD）'!$B298:$Y298/'实盘净值数据(iFinD）'!$B$20:$Y$20)*(1-实盘持仓初始配置!$Z$6)^(('实盘净值数据(iFinD）'!$A298-'实盘净值数据(iFinD）'!$A$7)/365))</f>
        <v/>
      </c>
      <c r="I298" s="16" t="str">
        <f t="shared" si="26"/>
        <v/>
      </c>
      <c r="J298" s="16" t="str">
        <f>IF(H298="","",H298/MAX(H$5:H298)-1)</f>
        <v/>
      </c>
      <c r="K298" s="13" t="str">
        <f>IF(OR('实盘净值数据(iFinD）'!$A298="",'实盘净值数据(iFinD）'!$B298="",'实盘净值数据(iFinD）'!$Z298="",'实盘净值数据(iFinD）'!$AA298=""),"",分期持仓明细!$AB$23*(SUMPRODUCT(分期持仓明细!$B$23:$Y$23,'实盘净值数据(iFinD）'!$B298:$Y298/'实盘净值数据(iFinD）'!$B$65:$Y$65)+SUMPRODUCT(分期持仓明细!$AC$23:$AD$23,'实盘净值数据(iFinD）'!$Z298:$AA298/'实盘净值数据(iFinD）'!$Z$65:$AA$65))*(1-实盘持仓初始配置!$Z$7)^(('实盘净值数据(iFinD）'!$A298-'实盘净值数据(iFinD）'!$A$8)/365))</f>
        <v/>
      </c>
      <c r="L298" s="16" t="str">
        <f t="shared" si="27"/>
        <v/>
      </c>
      <c r="M298" s="16" t="str">
        <f>IF(K298="","",K298/MAX(K$5:K298)-1)</f>
        <v/>
      </c>
      <c r="N298" s="13" t="str">
        <f>IF(OR('实盘净值数据(iFinD）'!$A298="",'实盘净值数据(iFinD）'!$B298="",'实盘净值数据(iFinD）'!$Z298="",'实盘净值数据(iFinD）'!$AA298=""),"",分期持仓明细!$AB$24*(SUMPRODUCT(分期持仓明细!$B$24:$Y$24,'实盘净值数据(iFinD）'!$B298:$Y298/'实盘净值数据(iFinD）'!$B$65:$Y$65)+SUMPRODUCT(分期持仓明细!$AC$24:$AD$24,'实盘净值数据(iFinD）'!$Z298:$AA298/'实盘净值数据(iFinD）'!$Z$65:$AA$65))*(1-实盘持仓初始配置!$Z$8)^(('实盘净值数据(iFinD）'!$A298-'实盘净值数据(iFinD）'!$A$5)/365))</f>
        <v/>
      </c>
      <c r="O298" s="16" t="str">
        <f t="shared" si="28"/>
        <v/>
      </c>
      <c r="P298" s="16" t="str">
        <f>IF(N298="","",N298/MAX(N$5:N298)-1)</f>
        <v/>
      </c>
      <c r="Q298" s="13" t="str">
        <f>IF(OR('实盘净值数据(iFinD）'!$A298="",'实盘净值数据(iFinD）'!$B298="",'实盘净值数据(iFinD）'!$Z298="",'实盘净值数据(iFinD）'!$AA298=""),"",分期持仓明细!$AB$25*(SUMPRODUCT(分期持仓明细!$B$25:$Y$25,'实盘净值数据(iFinD）'!$B298:$Y298/'实盘净值数据(iFinD）'!$B$65:$Y$65)+SUMPRODUCT(分期持仓明细!$AC$25:$AD$25,'实盘净值数据(iFinD）'!$Z298:$AA298/'实盘净值数据(iFinD）'!$Z$65:$AA$65))*(1-实盘持仓初始配置!$Z$9)^(('实盘净值数据(iFinD）'!$A298-'实盘净值数据(iFinD）'!$A$8)/365))</f>
        <v/>
      </c>
      <c r="R298" s="16" t="str">
        <f t="shared" si="29"/>
        <v/>
      </c>
      <c r="S298" s="16" t="str">
        <f>IF(Q298="","",Q298/MAX(Q$5:Q298)-1)</f>
        <v/>
      </c>
      <c r="T298" s="13">
        <f>IF(OR('实盘净值数据(iFinD）'!$A298="",'实盘净值数据(iFinD）'!$B298="",'实盘净值数据(iFinD）'!$Z298="",'实盘净值数据(iFinD）'!$AA298="",'实盘净值数据(iFinD）'!$AB298="",'实盘净值数据(iFinD）'!$AL298=""),"",(SUMPRODUCT(分期持仓明细!$B$26:$Y$26,'实盘净值数据(iFinD）'!$B298:$Y298/'实盘净值数据(iFinD）'!$B$69:$Y$69)+SUMPRODUCT(分期持仓明细!$AC$26:$AD$26,'实盘净值数据(iFinD）'!$Z298:$AA298/'实盘净值数据(iFinD）'!$Z$69:$AA$69)+SUMPRODUCT(分期持仓明细!$AE$26:$AO$26,'实盘净值数据(iFinD）'!$AB298:$AL298/'实盘净值数据(iFinD）'!$AB$69:$AL$69))*(1-实盘持仓初始配置!$Z$10)^(('实盘净值数据(iFinD）'!$A298-'实盘净值数据(iFinD）'!$A$69)/365))</f>
        <v/>
      </c>
      <c r="U298" s="16">
        <f>IF(OR(T297="",T298=""),"",T298/T297-1)</f>
        <v/>
      </c>
      <c r="V298" s="16">
        <f>IF(T298="","",T298/MAX(T$5:T298)-1)</f>
        <v/>
      </c>
    </row>
    <row r="299" spans="1:19">
      <c r="A299" s="15" t="str">
        <f>IF('实盘净值数据(iFinD）'!A299="","",'实盘净值数据(iFinD）'!A299)</f>
        <v/>
      </c>
      <c r="B299" s="13" t="str">
        <f>IF(OR('实盘净值数据(iFinD）'!$A299="",'实盘净值数据(iFinD）'!$B299=""),"",分期持仓明细!$AB$17*SUMPRODUCT(分期持仓明细!$B$17:$Y$17,'实盘净值数据(iFinD）'!$B299:$Y299/'实盘净值数据(iFinD）'!$B$20:$Y$20)*(1-实盘持仓初始配置!$Z$4)^(('实盘净值数据(iFinD）'!$A299-'实盘净值数据(iFinD）'!$A$6)/365))</f>
        <v/>
      </c>
      <c r="C299" s="16" t="str">
        <f t="shared" si="24"/>
        <v/>
      </c>
      <c r="D299" s="16" t="str">
        <f>IF(B299="","",B299/MAX(B$5:B299)-1)</f>
        <v/>
      </c>
      <c r="E299" s="13" t="str">
        <f>IF(OR('实盘净值数据(iFinD）'!$A299="",'实盘净值数据(iFinD）'!$B299=""),"",分期持仓明细!$AB$18*SUMPRODUCT(分期持仓明细!$B$18:$Y$18,'实盘净值数据(iFinD）'!$B299:$Y299/'实盘净值数据(iFinD）'!$B$20:$Y$20)*(1-实盘持仓初始配置!$Z$5)^(('实盘净值数据(iFinD）'!$A299-'实盘净值数据(iFinD）'!$A$5)/365))</f>
        <v/>
      </c>
      <c r="F299" s="16" t="str">
        <f t="shared" si="25"/>
        <v/>
      </c>
      <c r="G299" s="16" t="str">
        <f>IF(E299="","",E299/MAX(E$5:E299)-1)</f>
        <v/>
      </c>
      <c r="H299" s="13" t="str">
        <f>IF(OR('实盘净值数据(iFinD）'!$A299="",'实盘净值数据(iFinD）'!$B299=""),"",分期持仓明细!$AB$19*SUMPRODUCT(分期持仓明细!$B$19:$Y$19,'实盘净值数据(iFinD）'!$B299:$Y299/'实盘净值数据(iFinD）'!$B$20:$Y$20)*(1-实盘持仓初始配置!$Z$6)^(('实盘净值数据(iFinD）'!$A299-'实盘净值数据(iFinD）'!$A$7)/365))</f>
        <v/>
      </c>
      <c r="I299" s="16" t="str">
        <f t="shared" si="26"/>
        <v/>
      </c>
      <c r="J299" s="16" t="str">
        <f>IF(H299="","",H299/MAX(H$5:H299)-1)</f>
        <v/>
      </c>
      <c r="K299" s="13" t="str">
        <f>IF(OR('实盘净值数据(iFinD）'!$A299="",'实盘净值数据(iFinD）'!$B299="",'实盘净值数据(iFinD）'!$Z299="",'实盘净值数据(iFinD）'!$AA299=""),"",分期持仓明细!$AB$23*(SUMPRODUCT(分期持仓明细!$B$23:$Y$23,'实盘净值数据(iFinD）'!$B299:$Y299/'实盘净值数据(iFinD）'!$B$65:$Y$65)+SUMPRODUCT(分期持仓明细!$AC$23:$AD$23,'实盘净值数据(iFinD）'!$Z299:$AA299/'实盘净值数据(iFinD）'!$Z$65:$AA$65))*(1-实盘持仓初始配置!$Z$7)^(('实盘净值数据(iFinD）'!$A299-'实盘净值数据(iFinD）'!$A$8)/365))</f>
        <v/>
      </c>
      <c r="L299" s="16" t="str">
        <f t="shared" si="27"/>
        <v/>
      </c>
      <c r="M299" s="16" t="str">
        <f>IF(K299="","",K299/MAX(K$5:K299)-1)</f>
        <v/>
      </c>
      <c r="N299" s="13" t="str">
        <f>IF(OR('实盘净值数据(iFinD）'!$A299="",'实盘净值数据(iFinD）'!$B299="",'实盘净值数据(iFinD）'!$Z299="",'实盘净值数据(iFinD）'!$AA299=""),"",分期持仓明细!$AB$24*(SUMPRODUCT(分期持仓明细!$B$24:$Y$24,'实盘净值数据(iFinD）'!$B299:$Y299/'实盘净值数据(iFinD）'!$B$65:$Y$65)+SUMPRODUCT(分期持仓明细!$AC$24:$AD$24,'实盘净值数据(iFinD）'!$Z299:$AA299/'实盘净值数据(iFinD）'!$Z$65:$AA$65))*(1-实盘持仓初始配置!$Z$8)^(('实盘净值数据(iFinD）'!$A299-'实盘净值数据(iFinD）'!$A$5)/365))</f>
        <v/>
      </c>
      <c r="O299" s="16" t="str">
        <f t="shared" si="28"/>
        <v/>
      </c>
      <c r="P299" s="16" t="str">
        <f>IF(N299="","",N299/MAX(N$5:N299)-1)</f>
        <v/>
      </c>
      <c r="Q299" s="13" t="str">
        <f>IF(OR('实盘净值数据(iFinD）'!$A299="",'实盘净值数据(iFinD）'!$B299="",'实盘净值数据(iFinD）'!$Z299="",'实盘净值数据(iFinD）'!$AA299=""),"",分期持仓明细!$AB$25*(SUMPRODUCT(分期持仓明细!$B$25:$Y$25,'实盘净值数据(iFinD）'!$B299:$Y299/'实盘净值数据(iFinD）'!$B$65:$Y$65)+SUMPRODUCT(分期持仓明细!$AC$25:$AD$25,'实盘净值数据(iFinD）'!$Z299:$AA299/'实盘净值数据(iFinD）'!$Z$65:$AA$65))*(1-实盘持仓初始配置!$Z$9)^(('实盘净值数据(iFinD）'!$A299-'实盘净值数据(iFinD）'!$A$8)/365))</f>
        <v/>
      </c>
      <c r="R299" s="16" t="str">
        <f t="shared" si="29"/>
        <v/>
      </c>
      <c r="S299" s="16" t="str">
        <f>IF(Q299="","",Q299/MAX(Q$5:Q299)-1)</f>
        <v/>
      </c>
      <c r="T299" s="13">
        <f>IF(OR('实盘净值数据(iFinD）'!$A299="",'实盘净值数据(iFinD）'!$B299="",'实盘净值数据(iFinD）'!$Z299="",'实盘净值数据(iFinD）'!$AA299="",'实盘净值数据(iFinD）'!$AB299="",'实盘净值数据(iFinD）'!$AL299=""),"",(SUMPRODUCT(分期持仓明细!$B$26:$Y$26,'实盘净值数据(iFinD）'!$B299:$Y299/'实盘净值数据(iFinD）'!$B$69:$Y$69)+SUMPRODUCT(分期持仓明细!$AC$26:$AD$26,'实盘净值数据(iFinD）'!$Z299:$AA299/'实盘净值数据(iFinD）'!$Z$69:$AA$69)+SUMPRODUCT(分期持仓明细!$AE$26:$AO$26,'实盘净值数据(iFinD）'!$AB299:$AL299/'实盘净值数据(iFinD）'!$AB$69:$AL$69))*(1-实盘持仓初始配置!$Z$10)^(('实盘净值数据(iFinD）'!$A299-'实盘净值数据(iFinD）'!$A$69)/365))</f>
        <v/>
      </c>
      <c r="U299" s="16">
        <f>IF(OR(T298="",T299=""),"",T299/T298-1)</f>
        <v/>
      </c>
      <c r="V299" s="16">
        <f>IF(T299="","",T299/MAX(T$5:T299)-1)</f>
        <v/>
      </c>
    </row>
    <row r="300" spans="1:19">
      <c r="A300" s="15" t="str">
        <f>IF('实盘净值数据(iFinD）'!A300="","",'实盘净值数据(iFinD）'!A300)</f>
        <v/>
      </c>
      <c r="B300" s="13" t="str">
        <f>IF(OR('实盘净值数据(iFinD）'!$A300="",'实盘净值数据(iFinD）'!$B300=""),"",分期持仓明细!$AB$17*SUMPRODUCT(分期持仓明细!$B$17:$Y$17,'实盘净值数据(iFinD）'!$B300:$Y300/'实盘净值数据(iFinD）'!$B$20:$Y$20)*(1-实盘持仓初始配置!$Z$4)^(('实盘净值数据(iFinD）'!$A300-'实盘净值数据(iFinD）'!$A$6)/365))</f>
        <v/>
      </c>
      <c r="C300" s="16" t="str">
        <f t="shared" si="24"/>
        <v/>
      </c>
      <c r="D300" s="16" t="str">
        <f>IF(B300="","",B300/MAX(B$5:B300)-1)</f>
        <v/>
      </c>
      <c r="E300" s="13" t="str">
        <f>IF(OR('实盘净值数据(iFinD）'!$A300="",'实盘净值数据(iFinD）'!$B300=""),"",分期持仓明细!$AB$18*SUMPRODUCT(分期持仓明细!$B$18:$Y$18,'实盘净值数据(iFinD）'!$B300:$Y300/'实盘净值数据(iFinD）'!$B$20:$Y$20)*(1-实盘持仓初始配置!$Z$5)^(('实盘净值数据(iFinD）'!$A300-'实盘净值数据(iFinD）'!$A$5)/365))</f>
        <v/>
      </c>
      <c r="F300" s="16" t="str">
        <f t="shared" si="25"/>
        <v/>
      </c>
      <c r="G300" s="16" t="str">
        <f>IF(E300="","",E300/MAX(E$5:E300)-1)</f>
        <v/>
      </c>
      <c r="H300" s="13" t="str">
        <f>IF(OR('实盘净值数据(iFinD）'!$A300="",'实盘净值数据(iFinD）'!$B300=""),"",分期持仓明细!$AB$19*SUMPRODUCT(分期持仓明细!$B$19:$Y$19,'实盘净值数据(iFinD）'!$B300:$Y300/'实盘净值数据(iFinD）'!$B$20:$Y$20)*(1-实盘持仓初始配置!$Z$6)^(('实盘净值数据(iFinD）'!$A300-'实盘净值数据(iFinD）'!$A$7)/365))</f>
        <v/>
      </c>
      <c r="I300" s="16" t="str">
        <f t="shared" si="26"/>
        <v/>
      </c>
      <c r="J300" s="16" t="str">
        <f>IF(H300="","",H300/MAX(H$5:H300)-1)</f>
        <v/>
      </c>
      <c r="K300" s="13" t="str">
        <f>IF(OR('实盘净值数据(iFinD）'!$A300="",'实盘净值数据(iFinD）'!$B300="",'实盘净值数据(iFinD）'!$Z300="",'实盘净值数据(iFinD）'!$AA300=""),"",分期持仓明细!$AB$23*(SUMPRODUCT(分期持仓明细!$B$23:$Y$23,'实盘净值数据(iFinD）'!$B300:$Y300/'实盘净值数据(iFinD）'!$B$65:$Y$65)+SUMPRODUCT(分期持仓明细!$AC$23:$AD$23,'实盘净值数据(iFinD）'!$Z300:$AA300/'实盘净值数据(iFinD）'!$Z$65:$AA$65))*(1-实盘持仓初始配置!$Z$7)^(('实盘净值数据(iFinD）'!$A300-'实盘净值数据(iFinD）'!$A$8)/365))</f>
        <v/>
      </c>
      <c r="L300" s="16" t="str">
        <f t="shared" si="27"/>
        <v/>
      </c>
      <c r="M300" s="16" t="str">
        <f>IF(K300="","",K300/MAX(K$5:K300)-1)</f>
        <v/>
      </c>
      <c r="N300" s="13" t="str">
        <f>IF(OR('实盘净值数据(iFinD）'!$A300="",'实盘净值数据(iFinD）'!$B300="",'实盘净值数据(iFinD）'!$Z300="",'实盘净值数据(iFinD）'!$AA300=""),"",分期持仓明细!$AB$24*(SUMPRODUCT(分期持仓明细!$B$24:$Y$24,'实盘净值数据(iFinD）'!$B300:$Y300/'实盘净值数据(iFinD）'!$B$65:$Y$65)+SUMPRODUCT(分期持仓明细!$AC$24:$AD$24,'实盘净值数据(iFinD）'!$Z300:$AA300/'实盘净值数据(iFinD）'!$Z$65:$AA$65))*(1-实盘持仓初始配置!$Z$8)^(('实盘净值数据(iFinD）'!$A300-'实盘净值数据(iFinD）'!$A$5)/365))</f>
        <v/>
      </c>
      <c r="O300" s="16" t="str">
        <f t="shared" si="28"/>
        <v/>
      </c>
      <c r="P300" s="16" t="str">
        <f>IF(N300="","",N300/MAX(N$5:N300)-1)</f>
        <v/>
      </c>
      <c r="Q300" s="13" t="str">
        <f>IF(OR('实盘净值数据(iFinD）'!$A300="",'实盘净值数据(iFinD）'!$B300="",'实盘净值数据(iFinD）'!$Z300="",'实盘净值数据(iFinD）'!$AA300=""),"",分期持仓明细!$AB$25*(SUMPRODUCT(分期持仓明细!$B$25:$Y$25,'实盘净值数据(iFinD）'!$B300:$Y300/'实盘净值数据(iFinD）'!$B$65:$Y$65)+SUMPRODUCT(分期持仓明细!$AC$25:$AD$25,'实盘净值数据(iFinD）'!$Z300:$AA300/'实盘净值数据(iFinD）'!$Z$65:$AA$65))*(1-实盘持仓初始配置!$Z$9)^(('实盘净值数据(iFinD）'!$A300-'实盘净值数据(iFinD）'!$A$8)/365))</f>
        <v/>
      </c>
      <c r="R300" s="16" t="str">
        <f t="shared" si="29"/>
        <v/>
      </c>
      <c r="S300" s="16" t="str">
        <f>IF(Q300="","",Q300/MAX(Q$5:Q300)-1)</f>
        <v/>
      </c>
      <c r="T300" s="13">
        <f>IF(OR('实盘净值数据(iFinD）'!$A300="",'实盘净值数据(iFinD）'!$B300="",'实盘净值数据(iFinD）'!$Z300="",'实盘净值数据(iFinD）'!$AA300="",'实盘净值数据(iFinD）'!$AB300="",'实盘净值数据(iFinD）'!$AL300=""),"",(SUMPRODUCT(分期持仓明细!$B$26:$Y$26,'实盘净值数据(iFinD）'!$B300:$Y300/'实盘净值数据(iFinD）'!$B$69:$Y$69)+SUMPRODUCT(分期持仓明细!$AC$26:$AD$26,'实盘净值数据(iFinD）'!$Z300:$AA300/'实盘净值数据(iFinD）'!$Z$69:$AA$69)+SUMPRODUCT(分期持仓明细!$AE$26:$AO$26,'实盘净值数据(iFinD）'!$AB300:$AL300/'实盘净值数据(iFinD）'!$AB$69:$AL$69))*(1-实盘持仓初始配置!$Z$10)^(('实盘净值数据(iFinD）'!$A300-'实盘净值数据(iFinD）'!$A$69)/365))</f>
        <v/>
      </c>
      <c r="U300" s="16">
        <f>IF(OR(T299="",T300=""),"",T300/T299-1)</f>
        <v/>
      </c>
      <c r="V300" s="16">
        <f>IF(T300="","",T300/MAX(T$5:T300)-1)</f>
        <v/>
      </c>
    </row>
    <row r="301" spans="1:19">
      <c r="A301" s="15" t="str">
        <f>IF('实盘净值数据(iFinD）'!A301="","",'实盘净值数据(iFinD）'!A301)</f>
        <v/>
      </c>
      <c r="B301" s="13" t="str">
        <f>IF(OR('实盘净值数据(iFinD）'!$A301="",'实盘净值数据(iFinD）'!$B301=""),"",分期持仓明细!$AB$17*SUMPRODUCT(分期持仓明细!$B$17:$Y$17,'实盘净值数据(iFinD）'!$B301:$Y301/'实盘净值数据(iFinD）'!$B$20:$Y$20)*(1-实盘持仓初始配置!$Z$4)^(('实盘净值数据(iFinD）'!$A301-'实盘净值数据(iFinD）'!$A$6)/365))</f>
        <v/>
      </c>
      <c r="C301" s="16" t="str">
        <f t="shared" si="24"/>
        <v/>
      </c>
      <c r="D301" s="16" t="str">
        <f>IF(B301="","",B301/MAX(B$5:B301)-1)</f>
        <v/>
      </c>
      <c r="E301" s="13" t="str">
        <f>IF(OR('实盘净值数据(iFinD）'!$A301="",'实盘净值数据(iFinD）'!$B301=""),"",分期持仓明细!$AB$18*SUMPRODUCT(分期持仓明细!$B$18:$Y$18,'实盘净值数据(iFinD）'!$B301:$Y301/'实盘净值数据(iFinD）'!$B$20:$Y$20)*(1-实盘持仓初始配置!$Z$5)^(('实盘净值数据(iFinD）'!$A301-'实盘净值数据(iFinD）'!$A$5)/365))</f>
        <v/>
      </c>
      <c r="F301" s="16" t="str">
        <f t="shared" si="25"/>
        <v/>
      </c>
      <c r="G301" s="16" t="str">
        <f>IF(E301="","",E301/MAX(E$5:E301)-1)</f>
        <v/>
      </c>
      <c r="H301" s="13" t="str">
        <f>IF(OR('实盘净值数据(iFinD）'!$A301="",'实盘净值数据(iFinD）'!$B301=""),"",分期持仓明细!$AB$19*SUMPRODUCT(分期持仓明细!$B$19:$Y$19,'实盘净值数据(iFinD）'!$B301:$Y301/'实盘净值数据(iFinD）'!$B$20:$Y$20)*(1-实盘持仓初始配置!$Z$6)^(('实盘净值数据(iFinD）'!$A301-'实盘净值数据(iFinD）'!$A$7)/365))</f>
        <v/>
      </c>
      <c r="I301" s="16" t="str">
        <f t="shared" si="26"/>
        <v/>
      </c>
      <c r="J301" s="16" t="str">
        <f>IF(H301="","",H301/MAX(H$5:H301)-1)</f>
        <v/>
      </c>
      <c r="K301" s="13" t="str">
        <f>IF(OR('实盘净值数据(iFinD）'!$A301="",'实盘净值数据(iFinD）'!$B301="",'实盘净值数据(iFinD）'!$Z301="",'实盘净值数据(iFinD）'!$AA301=""),"",分期持仓明细!$AB$23*(SUMPRODUCT(分期持仓明细!$B$23:$Y$23,'实盘净值数据(iFinD）'!$B301:$Y301/'实盘净值数据(iFinD）'!$B$65:$Y$65)+SUMPRODUCT(分期持仓明细!$AC$23:$AD$23,'实盘净值数据(iFinD）'!$Z301:$AA301/'实盘净值数据(iFinD）'!$Z$65:$AA$65))*(1-实盘持仓初始配置!$Z$7)^(('实盘净值数据(iFinD）'!$A301-'实盘净值数据(iFinD）'!$A$8)/365))</f>
        <v/>
      </c>
      <c r="L301" s="16" t="str">
        <f t="shared" si="27"/>
        <v/>
      </c>
      <c r="M301" s="16" t="str">
        <f>IF(K301="","",K301/MAX(K$5:K301)-1)</f>
        <v/>
      </c>
      <c r="N301" s="13" t="str">
        <f>IF(OR('实盘净值数据(iFinD）'!$A301="",'实盘净值数据(iFinD）'!$B301="",'实盘净值数据(iFinD）'!$Z301="",'实盘净值数据(iFinD）'!$AA301=""),"",分期持仓明细!$AB$24*(SUMPRODUCT(分期持仓明细!$B$24:$Y$24,'实盘净值数据(iFinD）'!$B301:$Y301/'实盘净值数据(iFinD）'!$B$65:$Y$65)+SUMPRODUCT(分期持仓明细!$AC$24:$AD$24,'实盘净值数据(iFinD）'!$Z301:$AA301/'实盘净值数据(iFinD）'!$Z$65:$AA$65))*(1-实盘持仓初始配置!$Z$8)^(('实盘净值数据(iFinD）'!$A301-'实盘净值数据(iFinD）'!$A$5)/365))</f>
        <v/>
      </c>
      <c r="O301" s="16" t="str">
        <f t="shared" si="28"/>
        <v/>
      </c>
      <c r="P301" s="16" t="str">
        <f>IF(N301="","",N301/MAX(N$5:N301)-1)</f>
        <v/>
      </c>
      <c r="Q301" s="13" t="str">
        <f>IF(OR('实盘净值数据(iFinD）'!$A301="",'实盘净值数据(iFinD）'!$B301="",'实盘净值数据(iFinD）'!$Z301="",'实盘净值数据(iFinD）'!$AA301=""),"",分期持仓明细!$AB$25*(SUMPRODUCT(分期持仓明细!$B$25:$Y$25,'实盘净值数据(iFinD）'!$B301:$Y301/'实盘净值数据(iFinD）'!$B$65:$Y$65)+SUMPRODUCT(分期持仓明细!$AC$25:$AD$25,'实盘净值数据(iFinD）'!$Z301:$AA301/'实盘净值数据(iFinD）'!$Z$65:$AA$65))*(1-实盘持仓初始配置!$Z$9)^(('实盘净值数据(iFinD）'!$A301-'实盘净值数据(iFinD）'!$A$8)/365))</f>
        <v/>
      </c>
      <c r="R301" s="16" t="str">
        <f t="shared" si="29"/>
        <v/>
      </c>
      <c r="S301" s="16" t="str">
        <f>IF(Q301="","",Q301/MAX(Q$5:Q301)-1)</f>
        <v/>
      </c>
      <c r="T301" s="13">
        <f>IF(OR('实盘净值数据(iFinD）'!$A301="",'实盘净值数据(iFinD）'!$B301="",'实盘净值数据(iFinD）'!$Z301="",'实盘净值数据(iFinD）'!$AA301="",'实盘净值数据(iFinD）'!$AB301="",'实盘净值数据(iFinD）'!$AL301=""),"",(SUMPRODUCT(分期持仓明细!$B$26:$Y$26,'实盘净值数据(iFinD）'!$B301:$Y301/'实盘净值数据(iFinD）'!$B$69:$Y$69)+SUMPRODUCT(分期持仓明细!$AC$26:$AD$26,'实盘净值数据(iFinD）'!$Z301:$AA301/'实盘净值数据(iFinD）'!$Z$69:$AA$69)+SUMPRODUCT(分期持仓明细!$AE$26:$AO$26,'实盘净值数据(iFinD）'!$AB301:$AL301/'实盘净值数据(iFinD）'!$AB$69:$AL$69))*(1-实盘持仓初始配置!$Z$10)^(('实盘净值数据(iFinD）'!$A301-'实盘净值数据(iFinD）'!$A$69)/365))</f>
        <v/>
      </c>
      <c r="U301" s="16">
        <f>IF(OR(T300="",T301=""),"",T301/T300-1)</f>
        <v/>
      </c>
      <c r="V301" s="16">
        <f>IF(T301="","",T301/MAX(T$5:T301)-1)</f>
        <v/>
      </c>
    </row>
    <row r="302" spans="1:19">
      <c r="A302" s="15" t="str">
        <f>IF('实盘净值数据(iFinD）'!A302="","",'实盘净值数据(iFinD）'!A302)</f>
        <v/>
      </c>
      <c r="B302" s="13" t="str">
        <f>IF(OR('实盘净值数据(iFinD）'!$A302="",'实盘净值数据(iFinD）'!$B302=""),"",分期持仓明细!$AB$17*SUMPRODUCT(分期持仓明细!$B$17:$Y$17,'实盘净值数据(iFinD）'!$B302:$Y302/'实盘净值数据(iFinD）'!$B$20:$Y$20)*(1-实盘持仓初始配置!$Z$4)^(('实盘净值数据(iFinD）'!$A302-'实盘净值数据(iFinD）'!$A$6)/365))</f>
        <v/>
      </c>
      <c r="C302" s="16" t="str">
        <f t="shared" si="24"/>
        <v/>
      </c>
      <c r="D302" s="16" t="str">
        <f>IF(B302="","",B302/MAX(B$5:B302)-1)</f>
        <v/>
      </c>
      <c r="E302" s="13" t="str">
        <f>IF(OR('实盘净值数据(iFinD）'!$A302="",'实盘净值数据(iFinD）'!$B302=""),"",分期持仓明细!$AB$18*SUMPRODUCT(分期持仓明细!$B$18:$Y$18,'实盘净值数据(iFinD）'!$B302:$Y302/'实盘净值数据(iFinD）'!$B$20:$Y$20)*(1-实盘持仓初始配置!$Z$5)^(('实盘净值数据(iFinD）'!$A302-'实盘净值数据(iFinD）'!$A$5)/365))</f>
        <v/>
      </c>
      <c r="F302" s="16" t="str">
        <f t="shared" si="25"/>
        <v/>
      </c>
      <c r="G302" s="16" t="str">
        <f>IF(E302="","",E302/MAX(E$5:E302)-1)</f>
        <v/>
      </c>
      <c r="H302" s="13" t="str">
        <f>IF(OR('实盘净值数据(iFinD）'!$A302="",'实盘净值数据(iFinD）'!$B302=""),"",分期持仓明细!$AB$19*SUMPRODUCT(分期持仓明细!$B$19:$Y$19,'实盘净值数据(iFinD）'!$B302:$Y302/'实盘净值数据(iFinD）'!$B$20:$Y$20)*(1-实盘持仓初始配置!$Z$6)^(('实盘净值数据(iFinD）'!$A302-'实盘净值数据(iFinD）'!$A$7)/365))</f>
        <v/>
      </c>
      <c r="I302" s="16" t="str">
        <f t="shared" si="26"/>
        <v/>
      </c>
      <c r="J302" s="16" t="str">
        <f>IF(H302="","",H302/MAX(H$5:H302)-1)</f>
        <v/>
      </c>
      <c r="K302" s="13" t="str">
        <f>IF(OR('实盘净值数据(iFinD）'!$A302="",'实盘净值数据(iFinD）'!$B302="",'实盘净值数据(iFinD）'!$Z302="",'实盘净值数据(iFinD）'!$AA302=""),"",分期持仓明细!$AB$23*(SUMPRODUCT(分期持仓明细!$B$23:$Y$23,'实盘净值数据(iFinD）'!$B302:$Y302/'实盘净值数据(iFinD）'!$B$65:$Y$65)+SUMPRODUCT(分期持仓明细!$AC$23:$AD$23,'实盘净值数据(iFinD）'!$Z302:$AA302/'实盘净值数据(iFinD）'!$Z$65:$AA$65))*(1-实盘持仓初始配置!$Z$7)^(('实盘净值数据(iFinD）'!$A302-'实盘净值数据(iFinD）'!$A$8)/365))</f>
        <v/>
      </c>
      <c r="L302" s="16" t="str">
        <f t="shared" si="27"/>
        <v/>
      </c>
      <c r="M302" s="16" t="str">
        <f>IF(K302="","",K302/MAX(K$5:K302)-1)</f>
        <v/>
      </c>
      <c r="N302" s="13" t="str">
        <f>IF(OR('实盘净值数据(iFinD）'!$A302="",'实盘净值数据(iFinD）'!$B302="",'实盘净值数据(iFinD）'!$Z302="",'实盘净值数据(iFinD）'!$AA302=""),"",分期持仓明细!$AB$24*(SUMPRODUCT(分期持仓明细!$B$24:$Y$24,'实盘净值数据(iFinD）'!$B302:$Y302/'实盘净值数据(iFinD）'!$B$65:$Y$65)+SUMPRODUCT(分期持仓明细!$AC$24:$AD$24,'实盘净值数据(iFinD）'!$Z302:$AA302/'实盘净值数据(iFinD）'!$Z$65:$AA$65))*(1-实盘持仓初始配置!$Z$8)^(('实盘净值数据(iFinD）'!$A302-'实盘净值数据(iFinD）'!$A$5)/365))</f>
        <v/>
      </c>
      <c r="O302" s="16" t="str">
        <f t="shared" si="28"/>
        <v/>
      </c>
      <c r="P302" s="16" t="str">
        <f>IF(N302="","",N302/MAX(N$5:N302)-1)</f>
        <v/>
      </c>
      <c r="Q302" s="13" t="str">
        <f>IF(OR('实盘净值数据(iFinD）'!$A302="",'实盘净值数据(iFinD）'!$B302="",'实盘净值数据(iFinD）'!$Z302="",'实盘净值数据(iFinD）'!$AA302=""),"",分期持仓明细!$AB$25*(SUMPRODUCT(分期持仓明细!$B$25:$Y$25,'实盘净值数据(iFinD）'!$B302:$Y302/'实盘净值数据(iFinD）'!$B$65:$Y$65)+SUMPRODUCT(分期持仓明细!$AC$25:$AD$25,'实盘净值数据(iFinD）'!$Z302:$AA302/'实盘净值数据(iFinD）'!$Z$65:$AA$65))*(1-实盘持仓初始配置!$Z$9)^(('实盘净值数据(iFinD）'!$A302-'实盘净值数据(iFinD）'!$A$8)/365))</f>
        <v/>
      </c>
      <c r="R302" s="16" t="str">
        <f t="shared" si="29"/>
        <v/>
      </c>
      <c r="S302" s="16" t="str">
        <f>IF(Q302="","",Q302/MAX(Q$5:Q302)-1)</f>
        <v/>
      </c>
      <c r="T302" s="13">
        <f>IF(OR('实盘净值数据(iFinD）'!$A302="",'实盘净值数据(iFinD）'!$B302="",'实盘净值数据(iFinD）'!$Z302="",'实盘净值数据(iFinD）'!$AA302="",'实盘净值数据(iFinD）'!$AB302="",'实盘净值数据(iFinD）'!$AL302=""),"",(SUMPRODUCT(分期持仓明细!$B$26:$Y$26,'实盘净值数据(iFinD）'!$B302:$Y302/'实盘净值数据(iFinD）'!$B$69:$Y$69)+SUMPRODUCT(分期持仓明细!$AC$26:$AD$26,'实盘净值数据(iFinD）'!$Z302:$AA302/'实盘净值数据(iFinD）'!$Z$69:$AA$69)+SUMPRODUCT(分期持仓明细!$AE$26:$AO$26,'实盘净值数据(iFinD）'!$AB302:$AL302/'实盘净值数据(iFinD）'!$AB$69:$AL$69))*(1-实盘持仓初始配置!$Z$10)^(('实盘净值数据(iFinD）'!$A302-'实盘净值数据(iFinD）'!$A$69)/365))</f>
        <v/>
      </c>
      <c r="U302" s="16">
        <f>IF(OR(T301="",T302=""),"",T302/T301-1)</f>
        <v/>
      </c>
      <c r="V302" s="16">
        <f>IF(T302="","",T302/MAX(T$5:T302)-1)</f>
        <v/>
      </c>
    </row>
    <row r="303" spans="1:19">
      <c r="A303" s="15" t="str">
        <f>IF('实盘净值数据(iFinD）'!A303="","",'实盘净值数据(iFinD）'!A303)</f>
        <v/>
      </c>
      <c r="B303" s="13" t="str">
        <f>IF(OR('实盘净值数据(iFinD）'!$A303="",'实盘净值数据(iFinD）'!$B303=""),"",分期持仓明细!$AB$17*SUMPRODUCT(分期持仓明细!$B$17:$Y$17,'实盘净值数据(iFinD）'!$B303:$Y303/'实盘净值数据(iFinD）'!$B$20:$Y$20)*(1-实盘持仓初始配置!$Z$4)^(('实盘净值数据(iFinD）'!$A303-'实盘净值数据(iFinD）'!$A$6)/365))</f>
        <v/>
      </c>
      <c r="C303" s="16" t="str">
        <f t="shared" si="24"/>
        <v/>
      </c>
      <c r="D303" s="16" t="str">
        <f>IF(B303="","",B303/MAX(B$5:B303)-1)</f>
        <v/>
      </c>
      <c r="E303" s="13" t="str">
        <f>IF(OR('实盘净值数据(iFinD）'!$A303="",'实盘净值数据(iFinD）'!$B303=""),"",分期持仓明细!$AB$18*SUMPRODUCT(分期持仓明细!$B$18:$Y$18,'实盘净值数据(iFinD）'!$B303:$Y303/'实盘净值数据(iFinD）'!$B$20:$Y$20)*(1-实盘持仓初始配置!$Z$5)^(('实盘净值数据(iFinD）'!$A303-'实盘净值数据(iFinD）'!$A$5)/365))</f>
        <v/>
      </c>
      <c r="F303" s="16" t="str">
        <f t="shared" si="25"/>
        <v/>
      </c>
      <c r="G303" s="16" t="str">
        <f>IF(E303="","",E303/MAX(E$5:E303)-1)</f>
        <v/>
      </c>
      <c r="H303" s="13" t="str">
        <f>IF(OR('实盘净值数据(iFinD）'!$A303="",'实盘净值数据(iFinD）'!$B303=""),"",分期持仓明细!$AB$19*SUMPRODUCT(分期持仓明细!$B$19:$Y$19,'实盘净值数据(iFinD）'!$B303:$Y303/'实盘净值数据(iFinD）'!$B$20:$Y$20)*(1-实盘持仓初始配置!$Z$6)^(('实盘净值数据(iFinD）'!$A303-'实盘净值数据(iFinD）'!$A$7)/365))</f>
        <v/>
      </c>
      <c r="I303" s="16" t="str">
        <f t="shared" si="26"/>
        <v/>
      </c>
      <c r="J303" s="16" t="str">
        <f>IF(H303="","",H303/MAX(H$5:H303)-1)</f>
        <v/>
      </c>
      <c r="K303" s="13" t="str">
        <f>IF(OR('实盘净值数据(iFinD）'!$A303="",'实盘净值数据(iFinD）'!$B303="",'实盘净值数据(iFinD）'!$Z303="",'实盘净值数据(iFinD）'!$AA303=""),"",分期持仓明细!$AB$23*(SUMPRODUCT(分期持仓明细!$B$23:$Y$23,'实盘净值数据(iFinD）'!$B303:$Y303/'实盘净值数据(iFinD）'!$B$65:$Y$65)+SUMPRODUCT(分期持仓明细!$AC$23:$AD$23,'实盘净值数据(iFinD）'!$Z303:$AA303/'实盘净值数据(iFinD）'!$Z$65:$AA$65))*(1-实盘持仓初始配置!$Z$7)^(('实盘净值数据(iFinD）'!$A303-'实盘净值数据(iFinD）'!$A$8)/365))</f>
        <v/>
      </c>
      <c r="L303" s="16" t="str">
        <f t="shared" si="27"/>
        <v/>
      </c>
      <c r="M303" s="16" t="str">
        <f>IF(K303="","",K303/MAX(K$5:K303)-1)</f>
        <v/>
      </c>
      <c r="N303" s="13" t="str">
        <f>IF(OR('实盘净值数据(iFinD）'!$A303="",'实盘净值数据(iFinD）'!$B303="",'实盘净值数据(iFinD）'!$Z303="",'实盘净值数据(iFinD）'!$AA303=""),"",分期持仓明细!$AB$24*(SUMPRODUCT(分期持仓明细!$B$24:$Y$24,'实盘净值数据(iFinD）'!$B303:$Y303/'实盘净值数据(iFinD）'!$B$65:$Y$65)+SUMPRODUCT(分期持仓明细!$AC$24:$AD$24,'实盘净值数据(iFinD）'!$Z303:$AA303/'实盘净值数据(iFinD）'!$Z$65:$AA$65))*(1-实盘持仓初始配置!$Z$8)^(('实盘净值数据(iFinD）'!$A303-'实盘净值数据(iFinD）'!$A$5)/365))</f>
        <v/>
      </c>
      <c r="O303" s="16" t="str">
        <f t="shared" si="28"/>
        <v/>
      </c>
      <c r="P303" s="16" t="str">
        <f>IF(N303="","",N303/MAX(N$5:N303)-1)</f>
        <v/>
      </c>
      <c r="Q303" s="13" t="str">
        <f>IF(OR('实盘净值数据(iFinD）'!$A303="",'实盘净值数据(iFinD）'!$B303="",'实盘净值数据(iFinD）'!$Z303="",'实盘净值数据(iFinD）'!$AA303=""),"",分期持仓明细!$AB$25*(SUMPRODUCT(分期持仓明细!$B$25:$Y$25,'实盘净值数据(iFinD）'!$B303:$Y303/'实盘净值数据(iFinD）'!$B$65:$Y$65)+SUMPRODUCT(分期持仓明细!$AC$25:$AD$25,'实盘净值数据(iFinD）'!$Z303:$AA303/'实盘净值数据(iFinD）'!$Z$65:$AA$65))*(1-实盘持仓初始配置!$Z$9)^(('实盘净值数据(iFinD）'!$A303-'实盘净值数据(iFinD）'!$A$8)/365))</f>
        <v/>
      </c>
      <c r="R303" s="16" t="str">
        <f t="shared" si="29"/>
        <v/>
      </c>
      <c r="S303" s="16" t="str">
        <f>IF(Q303="","",Q303/MAX(Q$5:Q303)-1)</f>
        <v/>
      </c>
      <c r="T303" s="13">
        <f>IF(OR('实盘净值数据(iFinD）'!$A303="",'实盘净值数据(iFinD）'!$B303="",'实盘净值数据(iFinD）'!$Z303="",'实盘净值数据(iFinD）'!$AA303="",'实盘净值数据(iFinD）'!$AB303="",'实盘净值数据(iFinD）'!$AL303=""),"",(SUMPRODUCT(分期持仓明细!$B$26:$Y$26,'实盘净值数据(iFinD）'!$B303:$Y303/'实盘净值数据(iFinD）'!$B$69:$Y$69)+SUMPRODUCT(分期持仓明细!$AC$26:$AD$26,'实盘净值数据(iFinD）'!$Z303:$AA303/'实盘净值数据(iFinD）'!$Z$69:$AA$69)+SUMPRODUCT(分期持仓明细!$AE$26:$AO$26,'实盘净值数据(iFinD）'!$AB303:$AL303/'实盘净值数据(iFinD）'!$AB$69:$AL$69))*(1-实盘持仓初始配置!$Z$10)^(('实盘净值数据(iFinD）'!$A303-'实盘净值数据(iFinD）'!$A$69)/365))</f>
        <v/>
      </c>
      <c r="U303" s="16">
        <f>IF(OR(T302="",T303=""),"",T303/T302-1)</f>
        <v/>
      </c>
      <c r="V303" s="16">
        <f>IF(T303="","",T303/MAX(T$5:T303)-1)</f>
        <v/>
      </c>
    </row>
    <row r="304" spans="1:19">
      <c r="A304" s="15" t="str">
        <f>IF('实盘净值数据(iFinD）'!A304="","",'实盘净值数据(iFinD）'!A304)</f>
        <v/>
      </c>
      <c r="B304" s="13" t="str">
        <f>IF(OR('实盘净值数据(iFinD）'!$A304="",'实盘净值数据(iFinD）'!$B304=""),"",分期持仓明细!$AB$17*SUMPRODUCT(分期持仓明细!$B$17:$Y$17,'实盘净值数据(iFinD）'!$B304:$Y304/'实盘净值数据(iFinD）'!$B$20:$Y$20)*(1-实盘持仓初始配置!$Z$4)^(('实盘净值数据(iFinD）'!$A304-'实盘净值数据(iFinD）'!$A$6)/365))</f>
        <v/>
      </c>
      <c r="C304" s="16" t="str">
        <f t="shared" si="24"/>
        <v/>
      </c>
      <c r="D304" s="16" t="str">
        <f>IF(B304="","",B304/MAX(B$5:B304)-1)</f>
        <v/>
      </c>
      <c r="E304" s="13" t="str">
        <f>IF(OR('实盘净值数据(iFinD）'!$A304="",'实盘净值数据(iFinD）'!$B304=""),"",分期持仓明细!$AB$18*SUMPRODUCT(分期持仓明细!$B$18:$Y$18,'实盘净值数据(iFinD）'!$B304:$Y304/'实盘净值数据(iFinD）'!$B$20:$Y$20)*(1-实盘持仓初始配置!$Z$5)^(('实盘净值数据(iFinD）'!$A304-'实盘净值数据(iFinD）'!$A$5)/365))</f>
        <v/>
      </c>
      <c r="F304" s="16" t="str">
        <f t="shared" si="25"/>
        <v/>
      </c>
      <c r="G304" s="16" t="str">
        <f>IF(E304="","",E304/MAX(E$5:E304)-1)</f>
        <v/>
      </c>
      <c r="H304" s="13" t="str">
        <f>IF(OR('实盘净值数据(iFinD）'!$A304="",'实盘净值数据(iFinD）'!$B304=""),"",分期持仓明细!$AB$19*SUMPRODUCT(分期持仓明细!$B$19:$Y$19,'实盘净值数据(iFinD）'!$B304:$Y304/'实盘净值数据(iFinD）'!$B$20:$Y$20)*(1-实盘持仓初始配置!$Z$6)^(('实盘净值数据(iFinD）'!$A304-'实盘净值数据(iFinD）'!$A$7)/365))</f>
        <v/>
      </c>
      <c r="I304" s="16" t="str">
        <f t="shared" si="26"/>
        <v/>
      </c>
      <c r="J304" s="16" t="str">
        <f>IF(H304="","",H304/MAX(H$5:H304)-1)</f>
        <v/>
      </c>
      <c r="K304" s="13" t="str">
        <f>IF(OR('实盘净值数据(iFinD）'!$A304="",'实盘净值数据(iFinD）'!$B304="",'实盘净值数据(iFinD）'!$Z304="",'实盘净值数据(iFinD）'!$AA304=""),"",分期持仓明细!$AB$23*(SUMPRODUCT(分期持仓明细!$B$23:$Y$23,'实盘净值数据(iFinD）'!$B304:$Y304/'实盘净值数据(iFinD）'!$B$65:$Y$65)+SUMPRODUCT(分期持仓明细!$AC$23:$AD$23,'实盘净值数据(iFinD）'!$Z304:$AA304/'实盘净值数据(iFinD）'!$Z$65:$AA$65))*(1-实盘持仓初始配置!$Z$7)^(('实盘净值数据(iFinD）'!$A304-'实盘净值数据(iFinD）'!$A$8)/365))</f>
        <v/>
      </c>
      <c r="L304" s="16" t="str">
        <f t="shared" si="27"/>
        <v/>
      </c>
      <c r="M304" s="16" t="str">
        <f>IF(K304="","",K304/MAX(K$5:K304)-1)</f>
        <v/>
      </c>
      <c r="N304" s="13" t="str">
        <f>IF(OR('实盘净值数据(iFinD）'!$A304="",'实盘净值数据(iFinD）'!$B304="",'实盘净值数据(iFinD）'!$Z304="",'实盘净值数据(iFinD）'!$AA304=""),"",分期持仓明细!$AB$24*(SUMPRODUCT(分期持仓明细!$B$24:$Y$24,'实盘净值数据(iFinD）'!$B304:$Y304/'实盘净值数据(iFinD）'!$B$65:$Y$65)+SUMPRODUCT(分期持仓明细!$AC$24:$AD$24,'实盘净值数据(iFinD）'!$Z304:$AA304/'实盘净值数据(iFinD）'!$Z$65:$AA$65))*(1-实盘持仓初始配置!$Z$8)^(('实盘净值数据(iFinD）'!$A304-'实盘净值数据(iFinD）'!$A$5)/365))</f>
        <v/>
      </c>
      <c r="O304" s="16" t="str">
        <f t="shared" si="28"/>
        <v/>
      </c>
      <c r="P304" s="16" t="str">
        <f>IF(N304="","",N304/MAX(N$5:N304)-1)</f>
        <v/>
      </c>
      <c r="Q304" s="13" t="str">
        <f>IF(OR('实盘净值数据(iFinD）'!$A304="",'实盘净值数据(iFinD）'!$B304="",'实盘净值数据(iFinD）'!$Z304="",'实盘净值数据(iFinD）'!$AA304=""),"",分期持仓明细!$AB$25*(SUMPRODUCT(分期持仓明细!$B$25:$Y$25,'实盘净值数据(iFinD）'!$B304:$Y304/'实盘净值数据(iFinD）'!$B$65:$Y$65)+SUMPRODUCT(分期持仓明细!$AC$25:$AD$25,'实盘净值数据(iFinD）'!$Z304:$AA304/'实盘净值数据(iFinD）'!$Z$65:$AA$65))*(1-实盘持仓初始配置!$Z$9)^(('实盘净值数据(iFinD）'!$A304-'实盘净值数据(iFinD）'!$A$8)/365))</f>
        <v/>
      </c>
      <c r="R304" s="16" t="str">
        <f t="shared" si="29"/>
        <v/>
      </c>
      <c r="S304" s="16" t="str">
        <f>IF(Q304="","",Q304/MAX(Q$5:Q304)-1)</f>
        <v/>
      </c>
      <c r="T304" s="13">
        <f>IF(OR('实盘净值数据(iFinD）'!$A304="",'实盘净值数据(iFinD）'!$B304="",'实盘净值数据(iFinD）'!$Z304="",'实盘净值数据(iFinD）'!$AA304="",'实盘净值数据(iFinD）'!$AB304="",'实盘净值数据(iFinD）'!$AL304=""),"",(SUMPRODUCT(分期持仓明细!$B$26:$Y$26,'实盘净值数据(iFinD）'!$B304:$Y304/'实盘净值数据(iFinD）'!$B$69:$Y$69)+SUMPRODUCT(分期持仓明细!$AC$26:$AD$26,'实盘净值数据(iFinD）'!$Z304:$AA304/'实盘净值数据(iFinD）'!$Z$69:$AA$69)+SUMPRODUCT(分期持仓明细!$AE$26:$AO$26,'实盘净值数据(iFinD）'!$AB304:$AL304/'实盘净值数据(iFinD）'!$AB$69:$AL$69))*(1-实盘持仓初始配置!$Z$10)^(('实盘净值数据(iFinD）'!$A304-'实盘净值数据(iFinD）'!$A$69)/365))</f>
        <v/>
      </c>
      <c r="U304" s="16">
        <f>IF(OR(T303="",T304=""),"",T304/T303-1)</f>
        <v/>
      </c>
      <c r="V304" s="16">
        <f>IF(T304="","",T304/MAX(T$5:T304)-1)</f>
        <v/>
      </c>
    </row>
    <row r="305" spans="1:19">
      <c r="A305" s="15" t="str">
        <f>IF('实盘净值数据(iFinD）'!A305="","",'实盘净值数据(iFinD）'!A305)</f>
        <v/>
      </c>
      <c r="B305" s="13" t="str">
        <f>IF(OR('实盘净值数据(iFinD）'!$A305="",'实盘净值数据(iFinD）'!$B305=""),"",分期持仓明细!$AB$17*SUMPRODUCT(分期持仓明细!$B$17:$Y$17,'实盘净值数据(iFinD）'!$B305:$Y305/'实盘净值数据(iFinD）'!$B$20:$Y$20)*(1-实盘持仓初始配置!$Z$4)^(('实盘净值数据(iFinD）'!$A305-'实盘净值数据(iFinD）'!$A$6)/365))</f>
        <v/>
      </c>
      <c r="C305" s="16" t="str">
        <f t="shared" si="24"/>
        <v/>
      </c>
      <c r="D305" s="16" t="str">
        <f>IF(B305="","",B305/MAX(B$5:B305)-1)</f>
        <v/>
      </c>
      <c r="E305" s="13" t="str">
        <f>IF(OR('实盘净值数据(iFinD）'!$A305="",'实盘净值数据(iFinD）'!$B305=""),"",分期持仓明细!$AB$18*SUMPRODUCT(分期持仓明细!$B$18:$Y$18,'实盘净值数据(iFinD）'!$B305:$Y305/'实盘净值数据(iFinD）'!$B$20:$Y$20)*(1-实盘持仓初始配置!$Z$5)^(('实盘净值数据(iFinD）'!$A305-'实盘净值数据(iFinD）'!$A$5)/365))</f>
        <v/>
      </c>
      <c r="F305" s="16" t="str">
        <f t="shared" si="25"/>
        <v/>
      </c>
      <c r="G305" s="16" t="str">
        <f>IF(E305="","",E305/MAX(E$5:E305)-1)</f>
        <v/>
      </c>
      <c r="H305" s="13" t="str">
        <f>IF(OR('实盘净值数据(iFinD）'!$A305="",'实盘净值数据(iFinD）'!$B305=""),"",分期持仓明细!$AB$19*SUMPRODUCT(分期持仓明细!$B$19:$Y$19,'实盘净值数据(iFinD）'!$B305:$Y305/'实盘净值数据(iFinD）'!$B$20:$Y$20)*(1-实盘持仓初始配置!$Z$6)^(('实盘净值数据(iFinD）'!$A305-'实盘净值数据(iFinD）'!$A$7)/365))</f>
        <v/>
      </c>
      <c r="I305" s="16" t="str">
        <f t="shared" si="26"/>
        <v/>
      </c>
      <c r="J305" s="16" t="str">
        <f>IF(H305="","",H305/MAX(H$5:H305)-1)</f>
        <v/>
      </c>
      <c r="K305" s="13" t="str">
        <f>IF(OR('实盘净值数据(iFinD）'!$A305="",'实盘净值数据(iFinD）'!$B305="",'实盘净值数据(iFinD）'!$Z305="",'实盘净值数据(iFinD）'!$AA305=""),"",分期持仓明细!$AB$23*(SUMPRODUCT(分期持仓明细!$B$23:$Y$23,'实盘净值数据(iFinD）'!$B305:$Y305/'实盘净值数据(iFinD）'!$B$65:$Y$65)+SUMPRODUCT(分期持仓明细!$AC$23:$AD$23,'实盘净值数据(iFinD）'!$Z305:$AA305/'实盘净值数据(iFinD）'!$Z$65:$AA$65))*(1-实盘持仓初始配置!$Z$7)^(('实盘净值数据(iFinD）'!$A305-'实盘净值数据(iFinD）'!$A$8)/365))</f>
        <v/>
      </c>
      <c r="L305" s="16" t="str">
        <f t="shared" si="27"/>
        <v/>
      </c>
      <c r="M305" s="16" t="str">
        <f>IF(K305="","",K305/MAX(K$5:K305)-1)</f>
        <v/>
      </c>
      <c r="N305" s="13" t="str">
        <f>IF(OR('实盘净值数据(iFinD）'!$A305="",'实盘净值数据(iFinD）'!$B305="",'实盘净值数据(iFinD）'!$Z305="",'实盘净值数据(iFinD）'!$AA305=""),"",分期持仓明细!$AB$24*(SUMPRODUCT(分期持仓明细!$B$24:$Y$24,'实盘净值数据(iFinD）'!$B305:$Y305/'实盘净值数据(iFinD）'!$B$65:$Y$65)+SUMPRODUCT(分期持仓明细!$AC$24:$AD$24,'实盘净值数据(iFinD）'!$Z305:$AA305/'实盘净值数据(iFinD）'!$Z$65:$AA$65))*(1-实盘持仓初始配置!$Z$8)^(('实盘净值数据(iFinD）'!$A305-'实盘净值数据(iFinD）'!$A$5)/365))</f>
        <v/>
      </c>
      <c r="O305" s="16" t="str">
        <f t="shared" si="28"/>
        <v/>
      </c>
      <c r="P305" s="16" t="str">
        <f>IF(N305="","",N305/MAX(N$5:N305)-1)</f>
        <v/>
      </c>
      <c r="Q305" s="13" t="str">
        <f>IF(OR('实盘净值数据(iFinD）'!$A305="",'实盘净值数据(iFinD）'!$B305="",'实盘净值数据(iFinD）'!$Z305="",'实盘净值数据(iFinD）'!$AA305=""),"",分期持仓明细!$AB$25*(SUMPRODUCT(分期持仓明细!$B$25:$Y$25,'实盘净值数据(iFinD）'!$B305:$Y305/'实盘净值数据(iFinD）'!$B$65:$Y$65)+SUMPRODUCT(分期持仓明细!$AC$25:$AD$25,'实盘净值数据(iFinD）'!$Z305:$AA305/'实盘净值数据(iFinD）'!$Z$65:$AA$65))*(1-实盘持仓初始配置!$Z$9)^(('实盘净值数据(iFinD）'!$A305-'实盘净值数据(iFinD）'!$A$8)/365))</f>
        <v/>
      </c>
      <c r="R305" s="16" t="str">
        <f t="shared" si="29"/>
        <v/>
      </c>
      <c r="S305" s="16" t="str">
        <f>IF(Q305="","",Q305/MAX(Q$5:Q305)-1)</f>
        <v/>
      </c>
      <c r="T305" s="13">
        <f>IF(OR('实盘净值数据(iFinD）'!$A305="",'实盘净值数据(iFinD）'!$B305="",'实盘净值数据(iFinD）'!$Z305="",'实盘净值数据(iFinD）'!$AA305="",'实盘净值数据(iFinD）'!$AB305="",'实盘净值数据(iFinD）'!$AL305=""),"",(SUMPRODUCT(分期持仓明细!$B$26:$Y$26,'实盘净值数据(iFinD）'!$B305:$Y305/'实盘净值数据(iFinD）'!$B$69:$Y$69)+SUMPRODUCT(分期持仓明细!$AC$26:$AD$26,'实盘净值数据(iFinD）'!$Z305:$AA305/'实盘净值数据(iFinD）'!$Z$69:$AA$69)+SUMPRODUCT(分期持仓明细!$AE$26:$AO$26,'实盘净值数据(iFinD）'!$AB305:$AL305/'实盘净值数据(iFinD）'!$AB$69:$AL$69))*(1-实盘持仓初始配置!$Z$10)^(('实盘净值数据(iFinD）'!$A305-'实盘净值数据(iFinD）'!$A$69)/365))</f>
        <v/>
      </c>
      <c r="U305" s="16">
        <f>IF(OR(T304="",T305=""),"",T305/T304-1)</f>
        <v/>
      </c>
      <c r="V305" s="16">
        <f>IF(T305="","",T305/MAX(T$5:T305)-1)</f>
        <v/>
      </c>
    </row>
    <row r="306" spans="1:19">
      <c r="A306" s="15" t="str">
        <f>IF('实盘净值数据(iFinD）'!A306="","",'实盘净值数据(iFinD）'!A306)</f>
        <v/>
      </c>
      <c r="B306" s="13" t="str">
        <f>IF(OR('实盘净值数据(iFinD）'!$A306="",'实盘净值数据(iFinD）'!$B306=""),"",分期持仓明细!$AB$17*SUMPRODUCT(分期持仓明细!$B$17:$Y$17,'实盘净值数据(iFinD）'!$B306:$Y306/'实盘净值数据(iFinD）'!$B$20:$Y$20)*(1-实盘持仓初始配置!$Z$4)^(('实盘净值数据(iFinD）'!$A306-'实盘净值数据(iFinD）'!$A$6)/365))</f>
        <v/>
      </c>
      <c r="C306" s="16" t="str">
        <f t="shared" si="24"/>
        <v/>
      </c>
      <c r="D306" s="16" t="str">
        <f>IF(B306="","",B306/MAX(B$5:B306)-1)</f>
        <v/>
      </c>
      <c r="E306" s="13" t="str">
        <f>IF(OR('实盘净值数据(iFinD）'!$A306="",'实盘净值数据(iFinD）'!$B306=""),"",分期持仓明细!$AB$18*SUMPRODUCT(分期持仓明细!$B$18:$Y$18,'实盘净值数据(iFinD）'!$B306:$Y306/'实盘净值数据(iFinD）'!$B$20:$Y$20)*(1-实盘持仓初始配置!$Z$5)^(('实盘净值数据(iFinD）'!$A306-'实盘净值数据(iFinD）'!$A$5)/365))</f>
        <v/>
      </c>
      <c r="F306" s="16" t="str">
        <f t="shared" si="25"/>
        <v/>
      </c>
      <c r="G306" s="16" t="str">
        <f>IF(E306="","",E306/MAX(E$5:E306)-1)</f>
        <v/>
      </c>
      <c r="H306" s="13" t="str">
        <f>IF(OR('实盘净值数据(iFinD）'!$A306="",'实盘净值数据(iFinD）'!$B306=""),"",分期持仓明细!$AB$19*SUMPRODUCT(分期持仓明细!$B$19:$Y$19,'实盘净值数据(iFinD）'!$B306:$Y306/'实盘净值数据(iFinD）'!$B$20:$Y$20)*(1-实盘持仓初始配置!$Z$6)^(('实盘净值数据(iFinD）'!$A306-'实盘净值数据(iFinD）'!$A$7)/365))</f>
        <v/>
      </c>
      <c r="I306" s="16" t="str">
        <f t="shared" si="26"/>
        <v/>
      </c>
      <c r="J306" s="16" t="str">
        <f>IF(H306="","",H306/MAX(H$5:H306)-1)</f>
        <v/>
      </c>
      <c r="K306" s="13" t="str">
        <f>IF(OR('实盘净值数据(iFinD）'!$A306="",'实盘净值数据(iFinD）'!$B306="",'实盘净值数据(iFinD）'!$Z306="",'实盘净值数据(iFinD）'!$AA306=""),"",分期持仓明细!$AB$23*(SUMPRODUCT(分期持仓明细!$B$23:$Y$23,'实盘净值数据(iFinD）'!$B306:$Y306/'实盘净值数据(iFinD）'!$B$65:$Y$65)+SUMPRODUCT(分期持仓明细!$AC$23:$AD$23,'实盘净值数据(iFinD）'!$Z306:$AA306/'实盘净值数据(iFinD）'!$Z$65:$AA$65))*(1-实盘持仓初始配置!$Z$7)^(('实盘净值数据(iFinD）'!$A306-'实盘净值数据(iFinD）'!$A$8)/365))</f>
        <v/>
      </c>
      <c r="L306" s="16" t="str">
        <f t="shared" si="27"/>
        <v/>
      </c>
      <c r="M306" s="16" t="str">
        <f>IF(K306="","",K306/MAX(K$5:K306)-1)</f>
        <v/>
      </c>
      <c r="N306" s="13" t="str">
        <f>IF(OR('实盘净值数据(iFinD）'!$A306="",'实盘净值数据(iFinD）'!$B306="",'实盘净值数据(iFinD）'!$Z306="",'实盘净值数据(iFinD）'!$AA306=""),"",分期持仓明细!$AB$24*(SUMPRODUCT(分期持仓明细!$B$24:$Y$24,'实盘净值数据(iFinD）'!$B306:$Y306/'实盘净值数据(iFinD）'!$B$65:$Y$65)+SUMPRODUCT(分期持仓明细!$AC$24:$AD$24,'实盘净值数据(iFinD）'!$Z306:$AA306/'实盘净值数据(iFinD）'!$Z$65:$AA$65))*(1-实盘持仓初始配置!$Z$8)^(('实盘净值数据(iFinD）'!$A306-'实盘净值数据(iFinD）'!$A$5)/365))</f>
        <v/>
      </c>
      <c r="O306" s="16" t="str">
        <f t="shared" si="28"/>
        <v/>
      </c>
      <c r="P306" s="16" t="str">
        <f>IF(N306="","",N306/MAX(N$5:N306)-1)</f>
        <v/>
      </c>
      <c r="Q306" s="13" t="str">
        <f>IF(OR('实盘净值数据(iFinD）'!$A306="",'实盘净值数据(iFinD）'!$B306="",'实盘净值数据(iFinD）'!$Z306="",'实盘净值数据(iFinD）'!$AA306=""),"",分期持仓明细!$AB$25*(SUMPRODUCT(分期持仓明细!$B$25:$Y$25,'实盘净值数据(iFinD）'!$B306:$Y306/'实盘净值数据(iFinD）'!$B$65:$Y$65)+SUMPRODUCT(分期持仓明细!$AC$25:$AD$25,'实盘净值数据(iFinD）'!$Z306:$AA306/'实盘净值数据(iFinD）'!$Z$65:$AA$65))*(1-实盘持仓初始配置!$Z$9)^(('实盘净值数据(iFinD）'!$A306-'实盘净值数据(iFinD）'!$A$8)/365))</f>
        <v/>
      </c>
      <c r="R306" s="16" t="str">
        <f t="shared" si="29"/>
        <v/>
      </c>
      <c r="S306" s="16" t="str">
        <f>IF(Q306="","",Q306/MAX(Q$5:Q306)-1)</f>
        <v/>
      </c>
      <c r="T306" s="13">
        <f>IF(OR('实盘净值数据(iFinD）'!$A306="",'实盘净值数据(iFinD）'!$B306="",'实盘净值数据(iFinD）'!$Z306="",'实盘净值数据(iFinD）'!$AA306="",'实盘净值数据(iFinD）'!$AB306="",'实盘净值数据(iFinD）'!$AL306=""),"",(SUMPRODUCT(分期持仓明细!$B$26:$Y$26,'实盘净值数据(iFinD）'!$B306:$Y306/'实盘净值数据(iFinD）'!$B$69:$Y$69)+SUMPRODUCT(分期持仓明细!$AC$26:$AD$26,'实盘净值数据(iFinD）'!$Z306:$AA306/'实盘净值数据(iFinD）'!$Z$69:$AA$69)+SUMPRODUCT(分期持仓明细!$AE$26:$AO$26,'实盘净值数据(iFinD）'!$AB306:$AL306/'实盘净值数据(iFinD）'!$AB$69:$AL$69))*(1-实盘持仓初始配置!$Z$10)^(('实盘净值数据(iFinD）'!$A306-'实盘净值数据(iFinD）'!$A$69)/365))</f>
        <v/>
      </c>
      <c r="U306" s="16">
        <f>IF(OR(T305="",T306=""),"",T306/T305-1)</f>
        <v/>
      </c>
      <c r="V306" s="16">
        <f>IF(T306="","",T306/MAX(T$5:T306)-1)</f>
        <v/>
      </c>
    </row>
    <row r="307" spans="1:19">
      <c r="A307" s="15" t="str">
        <f>IF('实盘净值数据(iFinD）'!A307="","",'实盘净值数据(iFinD）'!A307)</f>
        <v/>
      </c>
      <c r="B307" s="13" t="str">
        <f>IF(OR('实盘净值数据(iFinD）'!$A307="",'实盘净值数据(iFinD）'!$B307=""),"",分期持仓明细!$AB$17*SUMPRODUCT(分期持仓明细!$B$17:$Y$17,'实盘净值数据(iFinD）'!$B307:$Y307/'实盘净值数据(iFinD）'!$B$20:$Y$20)*(1-实盘持仓初始配置!$Z$4)^(('实盘净值数据(iFinD）'!$A307-'实盘净值数据(iFinD）'!$A$6)/365))</f>
        <v/>
      </c>
      <c r="C307" s="16" t="str">
        <f t="shared" si="24"/>
        <v/>
      </c>
      <c r="D307" s="16" t="str">
        <f>IF(B307="","",B307/MAX(B$5:B307)-1)</f>
        <v/>
      </c>
      <c r="E307" s="13" t="str">
        <f>IF(OR('实盘净值数据(iFinD）'!$A307="",'实盘净值数据(iFinD）'!$B307=""),"",分期持仓明细!$AB$18*SUMPRODUCT(分期持仓明细!$B$18:$Y$18,'实盘净值数据(iFinD）'!$B307:$Y307/'实盘净值数据(iFinD）'!$B$20:$Y$20)*(1-实盘持仓初始配置!$Z$5)^(('实盘净值数据(iFinD）'!$A307-'实盘净值数据(iFinD）'!$A$5)/365))</f>
        <v/>
      </c>
      <c r="F307" s="16" t="str">
        <f t="shared" si="25"/>
        <v/>
      </c>
      <c r="G307" s="16" t="str">
        <f>IF(E307="","",E307/MAX(E$5:E307)-1)</f>
        <v/>
      </c>
      <c r="H307" s="13" t="str">
        <f>IF(OR('实盘净值数据(iFinD）'!$A307="",'实盘净值数据(iFinD）'!$B307=""),"",分期持仓明细!$AB$19*SUMPRODUCT(分期持仓明细!$B$19:$Y$19,'实盘净值数据(iFinD）'!$B307:$Y307/'实盘净值数据(iFinD）'!$B$20:$Y$20)*(1-实盘持仓初始配置!$Z$6)^(('实盘净值数据(iFinD）'!$A307-'实盘净值数据(iFinD）'!$A$7)/365))</f>
        <v/>
      </c>
      <c r="I307" s="16" t="str">
        <f t="shared" si="26"/>
        <v/>
      </c>
      <c r="J307" s="16" t="str">
        <f>IF(H307="","",H307/MAX(H$5:H307)-1)</f>
        <v/>
      </c>
      <c r="K307" s="13" t="str">
        <f>IF(OR('实盘净值数据(iFinD）'!$A307="",'实盘净值数据(iFinD）'!$B307="",'实盘净值数据(iFinD）'!$Z307="",'实盘净值数据(iFinD）'!$AA307=""),"",分期持仓明细!$AB$23*(SUMPRODUCT(分期持仓明细!$B$23:$Y$23,'实盘净值数据(iFinD）'!$B307:$Y307/'实盘净值数据(iFinD）'!$B$65:$Y$65)+SUMPRODUCT(分期持仓明细!$AC$23:$AD$23,'实盘净值数据(iFinD）'!$Z307:$AA307/'实盘净值数据(iFinD）'!$Z$65:$AA$65))*(1-实盘持仓初始配置!$Z$7)^(('实盘净值数据(iFinD）'!$A307-'实盘净值数据(iFinD）'!$A$8)/365))</f>
        <v/>
      </c>
      <c r="L307" s="16" t="str">
        <f t="shared" si="27"/>
        <v/>
      </c>
      <c r="M307" s="16" t="str">
        <f>IF(K307="","",K307/MAX(K$5:K307)-1)</f>
        <v/>
      </c>
      <c r="N307" s="13" t="str">
        <f>IF(OR('实盘净值数据(iFinD）'!$A307="",'实盘净值数据(iFinD）'!$B307="",'实盘净值数据(iFinD）'!$Z307="",'实盘净值数据(iFinD）'!$AA307=""),"",分期持仓明细!$AB$24*(SUMPRODUCT(分期持仓明细!$B$24:$Y$24,'实盘净值数据(iFinD）'!$B307:$Y307/'实盘净值数据(iFinD）'!$B$65:$Y$65)+SUMPRODUCT(分期持仓明细!$AC$24:$AD$24,'实盘净值数据(iFinD）'!$Z307:$AA307/'实盘净值数据(iFinD）'!$Z$65:$AA$65))*(1-实盘持仓初始配置!$Z$8)^(('实盘净值数据(iFinD）'!$A307-'实盘净值数据(iFinD）'!$A$5)/365))</f>
        <v/>
      </c>
      <c r="O307" s="16" t="str">
        <f t="shared" si="28"/>
        <v/>
      </c>
      <c r="P307" s="16" t="str">
        <f>IF(N307="","",N307/MAX(N$5:N307)-1)</f>
        <v/>
      </c>
      <c r="Q307" s="13" t="str">
        <f>IF(OR('实盘净值数据(iFinD）'!$A307="",'实盘净值数据(iFinD）'!$B307="",'实盘净值数据(iFinD）'!$Z307="",'实盘净值数据(iFinD）'!$AA307=""),"",分期持仓明细!$AB$25*(SUMPRODUCT(分期持仓明细!$B$25:$Y$25,'实盘净值数据(iFinD）'!$B307:$Y307/'实盘净值数据(iFinD）'!$B$65:$Y$65)+SUMPRODUCT(分期持仓明细!$AC$25:$AD$25,'实盘净值数据(iFinD）'!$Z307:$AA307/'实盘净值数据(iFinD）'!$Z$65:$AA$65))*(1-实盘持仓初始配置!$Z$9)^(('实盘净值数据(iFinD）'!$A307-'实盘净值数据(iFinD）'!$A$8)/365))</f>
        <v/>
      </c>
      <c r="R307" s="16" t="str">
        <f t="shared" si="29"/>
        <v/>
      </c>
      <c r="S307" s="16" t="str">
        <f>IF(Q307="","",Q307/MAX(Q$5:Q307)-1)</f>
        <v/>
      </c>
      <c r="T307" s="13">
        <f>IF(OR('实盘净值数据(iFinD）'!$A307="",'实盘净值数据(iFinD）'!$B307="",'实盘净值数据(iFinD）'!$Z307="",'实盘净值数据(iFinD）'!$AA307="",'实盘净值数据(iFinD）'!$AB307="",'实盘净值数据(iFinD）'!$AL307=""),"",(SUMPRODUCT(分期持仓明细!$B$26:$Y$26,'实盘净值数据(iFinD）'!$B307:$Y307/'实盘净值数据(iFinD）'!$B$69:$Y$69)+SUMPRODUCT(分期持仓明细!$AC$26:$AD$26,'实盘净值数据(iFinD）'!$Z307:$AA307/'实盘净值数据(iFinD）'!$Z$69:$AA$69)+SUMPRODUCT(分期持仓明细!$AE$26:$AO$26,'实盘净值数据(iFinD）'!$AB307:$AL307/'实盘净值数据(iFinD）'!$AB$69:$AL$69))*(1-实盘持仓初始配置!$Z$10)^(('实盘净值数据(iFinD）'!$A307-'实盘净值数据(iFinD）'!$A$69)/365))</f>
        <v/>
      </c>
      <c r="U307" s="16">
        <f>IF(OR(T306="",T307=""),"",T307/T306-1)</f>
        <v/>
      </c>
      <c r="V307" s="16">
        <f>IF(T307="","",T307/MAX(T$5:T307)-1)</f>
        <v/>
      </c>
    </row>
    <row r="308" spans="1:19">
      <c r="A308" s="15" t="str">
        <f>IF('实盘净值数据(iFinD）'!A308="","",'实盘净值数据(iFinD）'!A308)</f>
        <v/>
      </c>
      <c r="B308" s="13" t="str">
        <f>IF(OR('实盘净值数据(iFinD）'!$A308="",'实盘净值数据(iFinD）'!$B308=""),"",分期持仓明细!$AB$17*SUMPRODUCT(分期持仓明细!$B$17:$Y$17,'实盘净值数据(iFinD）'!$B308:$Y308/'实盘净值数据(iFinD）'!$B$20:$Y$20)*(1-实盘持仓初始配置!$Z$4)^(('实盘净值数据(iFinD）'!$A308-'实盘净值数据(iFinD）'!$A$6)/365))</f>
        <v/>
      </c>
      <c r="C308" s="16" t="str">
        <f t="shared" si="24"/>
        <v/>
      </c>
      <c r="D308" s="16" t="str">
        <f>IF(B308="","",B308/MAX(B$5:B308)-1)</f>
        <v/>
      </c>
      <c r="E308" s="13" t="str">
        <f>IF(OR('实盘净值数据(iFinD）'!$A308="",'实盘净值数据(iFinD）'!$B308=""),"",分期持仓明细!$AB$18*SUMPRODUCT(分期持仓明细!$B$18:$Y$18,'实盘净值数据(iFinD）'!$B308:$Y308/'实盘净值数据(iFinD）'!$B$20:$Y$20)*(1-实盘持仓初始配置!$Z$5)^(('实盘净值数据(iFinD）'!$A308-'实盘净值数据(iFinD）'!$A$5)/365))</f>
        <v/>
      </c>
      <c r="F308" s="16" t="str">
        <f t="shared" si="25"/>
        <v/>
      </c>
      <c r="G308" s="16" t="str">
        <f>IF(E308="","",E308/MAX(E$5:E308)-1)</f>
        <v/>
      </c>
      <c r="H308" s="13" t="str">
        <f>IF(OR('实盘净值数据(iFinD）'!$A308="",'实盘净值数据(iFinD）'!$B308=""),"",分期持仓明细!$AB$19*SUMPRODUCT(分期持仓明细!$B$19:$Y$19,'实盘净值数据(iFinD）'!$B308:$Y308/'实盘净值数据(iFinD）'!$B$20:$Y$20)*(1-实盘持仓初始配置!$Z$6)^(('实盘净值数据(iFinD）'!$A308-'实盘净值数据(iFinD）'!$A$7)/365))</f>
        <v/>
      </c>
      <c r="I308" s="16" t="str">
        <f t="shared" si="26"/>
        <v/>
      </c>
      <c r="J308" s="16" t="str">
        <f>IF(H308="","",H308/MAX(H$5:H308)-1)</f>
        <v/>
      </c>
      <c r="K308" s="13" t="str">
        <f>IF(OR('实盘净值数据(iFinD）'!$A308="",'实盘净值数据(iFinD）'!$B308="",'实盘净值数据(iFinD）'!$Z308="",'实盘净值数据(iFinD）'!$AA308=""),"",分期持仓明细!$AB$23*(SUMPRODUCT(分期持仓明细!$B$23:$Y$23,'实盘净值数据(iFinD）'!$B308:$Y308/'实盘净值数据(iFinD）'!$B$65:$Y$65)+SUMPRODUCT(分期持仓明细!$AC$23:$AD$23,'实盘净值数据(iFinD）'!$Z308:$AA308/'实盘净值数据(iFinD）'!$Z$65:$AA$65))*(1-实盘持仓初始配置!$Z$7)^(('实盘净值数据(iFinD）'!$A308-'实盘净值数据(iFinD）'!$A$8)/365))</f>
        <v/>
      </c>
      <c r="L308" s="16" t="str">
        <f t="shared" si="27"/>
        <v/>
      </c>
      <c r="M308" s="16" t="str">
        <f>IF(K308="","",K308/MAX(K$5:K308)-1)</f>
        <v/>
      </c>
      <c r="N308" s="13" t="str">
        <f>IF(OR('实盘净值数据(iFinD）'!$A308="",'实盘净值数据(iFinD）'!$B308="",'实盘净值数据(iFinD）'!$Z308="",'实盘净值数据(iFinD）'!$AA308=""),"",分期持仓明细!$AB$24*(SUMPRODUCT(分期持仓明细!$B$24:$Y$24,'实盘净值数据(iFinD）'!$B308:$Y308/'实盘净值数据(iFinD）'!$B$65:$Y$65)+SUMPRODUCT(分期持仓明细!$AC$24:$AD$24,'实盘净值数据(iFinD）'!$Z308:$AA308/'实盘净值数据(iFinD）'!$Z$65:$AA$65))*(1-实盘持仓初始配置!$Z$8)^(('实盘净值数据(iFinD）'!$A308-'实盘净值数据(iFinD）'!$A$5)/365))</f>
        <v/>
      </c>
      <c r="O308" s="16" t="str">
        <f t="shared" si="28"/>
        <v/>
      </c>
      <c r="P308" s="16" t="str">
        <f>IF(N308="","",N308/MAX(N$5:N308)-1)</f>
        <v/>
      </c>
      <c r="Q308" s="13" t="str">
        <f>IF(OR('实盘净值数据(iFinD）'!$A308="",'实盘净值数据(iFinD）'!$B308="",'实盘净值数据(iFinD）'!$Z308="",'实盘净值数据(iFinD）'!$AA308=""),"",分期持仓明细!$AB$25*(SUMPRODUCT(分期持仓明细!$B$25:$Y$25,'实盘净值数据(iFinD）'!$B308:$Y308/'实盘净值数据(iFinD）'!$B$65:$Y$65)+SUMPRODUCT(分期持仓明细!$AC$25:$AD$25,'实盘净值数据(iFinD）'!$Z308:$AA308/'实盘净值数据(iFinD）'!$Z$65:$AA$65))*(1-实盘持仓初始配置!$Z$9)^(('实盘净值数据(iFinD）'!$A308-'实盘净值数据(iFinD）'!$A$8)/365))</f>
        <v/>
      </c>
      <c r="R308" s="16" t="str">
        <f t="shared" si="29"/>
        <v/>
      </c>
      <c r="S308" s="16" t="str">
        <f>IF(Q308="","",Q308/MAX(Q$5:Q308)-1)</f>
        <v/>
      </c>
      <c r="T308" s="13">
        <f>IF(OR('实盘净值数据(iFinD）'!$A308="",'实盘净值数据(iFinD）'!$B308="",'实盘净值数据(iFinD）'!$Z308="",'实盘净值数据(iFinD）'!$AA308="",'实盘净值数据(iFinD）'!$AB308="",'实盘净值数据(iFinD）'!$AL308=""),"",(SUMPRODUCT(分期持仓明细!$B$26:$Y$26,'实盘净值数据(iFinD）'!$B308:$Y308/'实盘净值数据(iFinD）'!$B$69:$Y$69)+SUMPRODUCT(分期持仓明细!$AC$26:$AD$26,'实盘净值数据(iFinD）'!$Z308:$AA308/'实盘净值数据(iFinD）'!$Z$69:$AA$69)+SUMPRODUCT(分期持仓明细!$AE$26:$AO$26,'实盘净值数据(iFinD）'!$AB308:$AL308/'实盘净值数据(iFinD）'!$AB$69:$AL$69))*(1-实盘持仓初始配置!$Z$10)^(('实盘净值数据(iFinD）'!$A308-'实盘净值数据(iFinD）'!$A$69)/365))</f>
        <v/>
      </c>
      <c r="U308" s="16">
        <f>IF(OR(T307="",T308=""),"",T308/T307-1)</f>
        <v/>
      </c>
      <c r="V308" s="16">
        <f>IF(T308="","",T308/MAX(T$5:T308)-1)</f>
        <v/>
      </c>
    </row>
    <row r="309" spans="1:19">
      <c r="A309" s="15" t="str">
        <f>IF('实盘净值数据(iFinD）'!A309="","",'实盘净值数据(iFinD）'!A309)</f>
        <v/>
      </c>
      <c r="B309" s="13" t="str">
        <f>IF(OR('实盘净值数据(iFinD）'!$A309="",'实盘净值数据(iFinD）'!$B309=""),"",分期持仓明细!$AB$17*SUMPRODUCT(分期持仓明细!$B$17:$Y$17,'实盘净值数据(iFinD）'!$B309:$Y309/'实盘净值数据(iFinD）'!$B$20:$Y$20)*(1-实盘持仓初始配置!$Z$4)^(('实盘净值数据(iFinD）'!$A309-'实盘净值数据(iFinD）'!$A$6)/365))</f>
        <v/>
      </c>
      <c r="C309" s="16" t="str">
        <f t="shared" si="24"/>
        <v/>
      </c>
      <c r="D309" s="16" t="str">
        <f>IF(B309="","",B309/MAX(B$5:B309)-1)</f>
        <v/>
      </c>
      <c r="E309" s="13" t="str">
        <f>IF(OR('实盘净值数据(iFinD）'!$A309="",'实盘净值数据(iFinD）'!$B309=""),"",分期持仓明细!$AB$18*SUMPRODUCT(分期持仓明细!$B$18:$Y$18,'实盘净值数据(iFinD）'!$B309:$Y309/'实盘净值数据(iFinD）'!$B$20:$Y$20)*(1-实盘持仓初始配置!$Z$5)^(('实盘净值数据(iFinD）'!$A309-'实盘净值数据(iFinD）'!$A$5)/365))</f>
        <v/>
      </c>
      <c r="F309" s="16" t="str">
        <f t="shared" si="25"/>
        <v/>
      </c>
      <c r="G309" s="16" t="str">
        <f>IF(E309="","",E309/MAX(E$5:E309)-1)</f>
        <v/>
      </c>
      <c r="H309" s="13" t="str">
        <f>IF(OR('实盘净值数据(iFinD）'!$A309="",'实盘净值数据(iFinD）'!$B309=""),"",分期持仓明细!$AB$19*SUMPRODUCT(分期持仓明细!$B$19:$Y$19,'实盘净值数据(iFinD）'!$B309:$Y309/'实盘净值数据(iFinD）'!$B$20:$Y$20)*(1-实盘持仓初始配置!$Z$6)^(('实盘净值数据(iFinD）'!$A309-'实盘净值数据(iFinD）'!$A$7)/365))</f>
        <v/>
      </c>
      <c r="I309" s="16" t="str">
        <f t="shared" si="26"/>
        <v/>
      </c>
      <c r="J309" s="16" t="str">
        <f>IF(H309="","",H309/MAX(H$5:H309)-1)</f>
        <v/>
      </c>
      <c r="K309" s="13" t="str">
        <f>IF(OR('实盘净值数据(iFinD）'!$A309="",'实盘净值数据(iFinD）'!$B309="",'实盘净值数据(iFinD）'!$Z309="",'实盘净值数据(iFinD）'!$AA309=""),"",分期持仓明细!$AB$23*(SUMPRODUCT(分期持仓明细!$B$23:$Y$23,'实盘净值数据(iFinD）'!$B309:$Y309/'实盘净值数据(iFinD）'!$B$65:$Y$65)+SUMPRODUCT(分期持仓明细!$AC$23:$AD$23,'实盘净值数据(iFinD）'!$Z309:$AA309/'实盘净值数据(iFinD）'!$Z$65:$AA$65))*(1-实盘持仓初始配置!$Z$7)^(('实盘净值数据(iFinD）'!$A309-'实盘净值数据(iFinD）'!$A$8)/365))</f>
        <v/>
      </c>
      <c r="L309" s="16" t="str">
        <f t="shared" si="27"/>
        <v/>
      </c>
      <c r="M309" s="16" t="str">
        <f>IF(K309="","",K309/MAX(K$5:K309)-1)</f>
        <v/>
      </c>
      <c r="N309" s="13" t="str">
        <f>IF(OR('实盘净值数据(iFinD）'!$A309="",'实盘净值数据(iFinD）'!$B309="",'实盘净值数据(iFinD）'!$Z309="",'实盘净值数据(iFinD）'!$AA309=""),"",分期持仓明细!$AB$24*(SUMPRODUCT(分期持仓明细!$B$24:$Y$24,'实盘净值数据(iFinD）'!$B309:$Y309/'实盘净值数据(iFinD）'!$B$65:$Y$65)+SUMPRODUCT(分期持仓明细!$AC$24:$AD$24,'实盘净值数据(iFinD）'!$Z309:$AA309/'实盘净值数据(iFinD）'!$Z$65:$AA$65))*(1-实盘持仓初始配置!$Z$8)^(('实盘净值数据(iFinD）'!$A309-'实盘净值数据(iFinD）'!$A$5)/365))</f>
        <v/>
      </c>
      <c r="O309" s="16" t="str">
        <f t="shared" si="28"/>
        <v/>
      </c>
      <c r="P309" s="16" t="str">
        <f>IF(N309="","",N309/MAX(N$5:N309)-1)</f>
        <v/>
      </c>
      <c r="Q309" s="13" t="str">
        <f>IF(OR('实盘净值数据(iFinD）'!$A309="",'实盘净值数据(iFinD）'!$B309="",'实盘净值数据(iFinD）'!$Z309="",'实盘净值数据(iFinD）'!$AA309=""),"",分期持仓明细!$AB$25*(SUMPRODUCT(分期持仓明细!$B$25:$Y$25,'实盘净值数据(iFinD）'!$B309:$Y309/'实盘净值数据(iFinD）'!$B$65:$Y$65)+SUMPRODUCT(分期持仓明细!$AC$25:$AD$25,'实盘净值数据(iFinD）'!$Z309:$AA309/'实盘净值数据(iFinD）'!$Z$65:$AA$65))*(1-实盘持仓初始配置!$Z$9)^(('实盘净值数据(iFinD）'!$A309-'实盘净值数据(iFinD）'!$A$8)/365))</f>
        <v/>
      </c>
      <c r="R309" s="16" t="str">
        <f t="shared" si="29"/>
        <v/>
      </c>
      <c r="S309" s="16" t="str">
        <f>IF(Q309="","",Q309/MAX(Q$5:Q309)-1)</f>
        <v/>
      </c>
      <c r="T309" s="13">
        <f>IF(OR('实盘净值数据(iFinD）'!$A309="",'实盘净值数据(iFinD）'!$B309="",'实盘净值数据(iFinD）'!$Z309="",'实盘净值数据(iFinD）'!$AA309="",'实盘净值数据(iFinD）'!$AB309="",'实盘净值数据(iFinD）'!$AL309=""),"",(SUMPRODUCT(分期持仓明细!$B$26:$Y$26,'实盘净值数据(iFinD）'!$B309:$Y309/'实盘净值数据(iFinD）'!$B$69:$Y$69)+SUMPRODUCT(分期持仓明细!$AC$26:$AD$26,'实盘净值数据(iFinD）'!$Z309:$AA309/'实盘净值数据(iFinD）'!$Z$69:$AA$69)+SUMPRODUCT(分期持仓明细!$AE$26:$AO$26,'实盘净值数据(iFinD）'!$AB309:$AL309/'实盘净值数据(iFinD）'!$AB$69:$AL$69))*(1-实盘持仓初始配置!$Z$10)^(('实盘净值数据(iFinD）'!$A309-'实盘净值数据(iFinD）'!$A$69)/365))</f>
        <v/>
      </c>
      <c r="U309" s="16">
        <f>IF(OR(T308="",T309=""),"",T309/T308-1)</f>
        <v/>
      </c>
      <c r="V309" s="16">
        <f>IF(T309="","",T309/MAX(T$5:T309)-1)</f>
        <v/>
      </c>
    </row>
    <row r="310" spans="1:19">
      <c r="A310" s="15" t="str">
        <f>IF('实盘净值数据(iFinD）'!A310="","",'实盘净值数据(iFinD）'!A310)</f>
        <v/>
      </c>
      <c r="B310" s="13" t="str">
        <f>IF(OR('实盘净值数据(iFinD）'!$A310="",'实盘净值数据(iFinD）'!$B310=""),"",分期持仓明细!$AB$17*SUMPRODUCT(分期持仓明细!$B$17:$Y$17,'实盘净值数据(iFinD）'!$B310:$Y310/'实盘净值数据(iFinD）'!$B$20:$Y$20)*(1-实盘持仓初始配置!$Z$4)^(('实盘净值数据(iFinD）'!$A310-'实盘净值数据(iFinD）'!$A$6)/365))</f>
        <v/>
      </c>
      <c r="C310" s="16" t="str">
        <f t="shared" si="24"/>
        <v/>
      </c>
      <c r="D310" s="16" t="str">
        <f>IF(B310="","",B310/MAX(B$5:B310)-1)</f>
        <v/>
      </c>
      <c r="E310" s="13" t="str">
        <f>IF(OR('实盘净值数据(iFinD）'!$A310="",'实盘净值数据(iFinD）'!$B310=""),"",分期持仓明细!$AB$18*SUMPRODUCT(分期持仓明细!$B$18:$Y$18,'实盘净值数据(iFinD）'!$B310:$Y310/'实盘净值数据(iFinD）'!$B$20:$Y$20)*(1-实盘持仓初始配置!$Z$5)^(('实盘净值数据(iFinD）'!$A310-'实盘净值数据(iFinD）'!$A$5)/365))</f>
        <v/>
      </c>
      <c r="F310" s="16" t="str">
        <f t="shared" si="25"/>
        <v/>
      </c>
      <c r="G310" s="16" t="str">
        <f>IF(E310="","",E310/MAX(E$5:E310)-1)</f>
        <v/>
      </c>
      <c r="H310" s="13" t="str">
        <f>IF(OR('实盘净值数据(iFinD）'!$A310="",'实盘净值数据(iFinD）'!$B310=""),"",分期持仓明细!$AB$19*SUMPRODUCT(分期持仓明细!$B$19:$Y$19,'实盘净值数据(iFinD）'!$B310:$Y310/'实盘净值数据(iFinD）'!$B$20:$Y$20)*(1-实盘持仓初始配置!$Z$6)^(('实盘净值数据(iFinD）'!$A310-'实盘净值数据(iFinD）'!$A$7)/365))</f>
        <v/>
      </c>
      <c r="I310" s="16" t="str">
        <f t="shared" si="26"/>
        <v/>
      </c>
      <c r="J310" s="16" t="str">
        <f>IF(H310="","",H310/MAX(H$5:H310)-1)</f>
        <v/>
      </c>
      <c r="K310" s="13" t="str">
        <f>IF(OR('实盘净值数据(iFinD）'!$A310="",'实盘净值数据(iFinD）'!$B310="",'实盘净值数据(iFinD）'!$Z310="",'实盘净值数据(iFinD）'!$AA310=""),"",分期持仓明细!$AB$23*(SUMPRODUCT(分期持仓明细!$B$23:$Y$23,'实盘净值数据(iFinD）'!$B310:$Y310/'实盘净值数据(iFinD）'!$B$65:$Y$65)+SUMPRODUCT(分期持仓明细!$AC$23:$AD$23,'实盘净值数据(iFinD）'!$Z310:$AA310/'实盘净值数据(iFinD）'!$Z$65:$AA$65))*(1-实盘持仓初始配置!$Z$7)^(('实盘净值数据(iFinD）'!$A310-'实盘净值数据(iFinD）'!$A$8)/365))</f>
        <v/>
      </c>
      <c r="L310" s="16" t="str">
        <f t="shared" si="27"/>
        <v/>
      </c>
      <c r="M310" s="16" t="str">
        <f>IF(K310="","",K310/MAX(K$5:K310)-1)</f>
        <v/>
      </c>
      <c r="N310" s="13" t="str">
        <f>IF(OR('实盘净值数据(iFinD）'!$A310="",'实盘净值数据(iFinD）'!$B310="",'实盘净值数据(iFinD）'!$Z310="",'实盘净值数据(iFinD）'!$AA310=""),"",分期持仓明细!$AB$24*(SUMPRODUCT(分期持仓明细!$B$24:$Y$24,'实盘净值数据(iFinD）'!$B310:$Y310/'实盘净值数据(iFinD）'!$B$65:$Y$65)+SUMPRODUCT(分期持仓明细!$AC$24:$AD$24,'实盘净值数据(iFinD）'!$Z310:$AA310/'实盘净值数据(iFinD）'!$Z$65:$AA$65))*(1-实盘持仓初始配置!$Z$8)^(('实盘净值数据(iFinD）'!$A310-'实盘净值数据(iFinD）'!$A$5)/365))</f>
        <v/>
      </c>
      <c r="O310" s="16" t="str">
        <f t="shared" si="28"/>
        <v/>
      </c>
      <c r="P310" s="16" t="str">
        <f>IF(N310="","",N310/MAX(N$5:N310)-1)</f>
        <v/>
      </c>
      <c r="Q310" s="13" t="str">
        <f>IF(OR('实盘净值数据(iFinD）'!$A310="",'实盘净值数据(iFinD）'!$B310="",'实盘净值数据(iFinD）'!$Z310="",'实盘净值数据(iFinD）'!$AA310=""),"",分期持仓明细!$AB$25*(SUMPRODUCT(分期持仓明细!$B$25:$Y$25,'实盘净值数据(iFinD）'!$B310:$Y310/'实盘净值数据(iFinD）'!$B$65:$Y$65)+SUMPRODUCT(分期持仓明细!$AC$25:$AD$25,'实盘净值数据(iFinD）'!$Z310:$AA310/'实盘净值数据(iFinD）'!$Z$65:$AA$65))*(1-实盘持仓初始配置!$Z$9)^(('实盘净值数据(iFinD）'!$A310-'实盘净值数据(iFinD）'!$A$8)/365))</f>
        <v/>
      </c>
      <c r="R310" s="16" t="str">
        <f t="shared" si="29"/>
        <v/>
      </c>
      <c r="S310" s="16" t="str">
        <f>IF(Q310="","",Q310/MAX(Q$5:Q310)-1)</f>
        <v/>
      </c>
      <c r="T310" s="13">
        <f>IF(OR('实盘净值数据(iFinD）'!$A310="",'实盘净值数据(iFinD）'!$B310="",'实盘净值数据(iFinD）'!$Z310="",'实盘净值数据(iFinD）'!$AA310="",'实盘净值数据(iFinD）'!$AB310="",'实盘净值数据(iFinD）'!$AL310=""),"",(SUMPRODUCT(分期持仓明细!$B$26:$Y$26,'实盘净值数据(iFinD）'!$B310:$Y310/'实盘净值数据(iFinD）'!$B$69:$Y$69)+SUMPRODUCT(分期持仓明细!$AC$26:$AD$26,'实盘净值数据(iFinD）'!$Z310:$AA310/'实盘净值数据(iFinD）'!$Z$69:$AA$69)+SUMPRODUCT(分期持仓明细!$AE$26:$AO$26,'实盘净值数据(iFinD）'!$AB310:$AL310/'实盘净值数据(iFinD）'!$AB$69:$AL$69))*(1-实盘持仓初始配置!$Z$10)^(('实盘净值数据(iFinD）'!$A310-'实盘净值数据(iFinD）'!$A$69)/365))</f>
        <v/>
      </c>
      <c r="U310" s="16">
        <f>IF(OR(T309="",T310=""),"",T310/T309-1)</f>
        <v/>
      </c>
      <c r="V310" s="16">
        <f>IF(T310="","",T310/MAX(T$5:T310)-1)</f>
        <v/>
      </c>
    </row>
    <row r="311" spans="1:19">
      <c r="A311" s="15" t="str">
        <f>IF('实盘净值数据(iFinD）'!A311="","",'实盘净值数据(iFinD）'!A311)</f>
        <v/>
      </c>
      <c r="B311" s="13" t="str">
        <f>IF(OR('实盘净值数据(iFinD）'!$A311="",'实盘净值数据(iFinD）'!$B311=""),"",分期持仓明细!$AB$17*SUMPRODUCT(分期持仓明细!$B$17:$Y$17,'实盘净值数据(iFinD）'!$B311:$Y311/'实盘净值数据(iFinD）'!$B$20:$Y$20)*(1-实盘持仓初始配置!$Z$4)^(('实盘净值数据(iFinD）'!$A311-'实盘净值数据(iFinD）'!$A$6)/365))</f>
        <v/>
      </c>
      <c r="C311" s="16" t="str">
        <f t="shared" si="24"/>
        <v/>
      </c>
      <c r="D311" s="16" t="str">
        <f>IF(B311="","",B311/MAX(B$5:B311)-1)</f>
        <v/>
      </c>
      <c r="E311" s="13" t="str">
        <f>IF(OR('实盘净值数据(iFinD）'!$A311="",'实盘净值数据(iFinD）'!$B311=""),"",分期持仓明细!$AB$18*SUMPRODUCT(分期持仓明细!$B$18:$Y$18,'实盘净值数据(iFinD）'!$B311:$Y311/'实盘净值数据(iFinD）'!$B$20:$Y$20)*(1-实盘持仓初始配置!$Z$5)^(('实盘净值数据(iFinD）'!$A311-'实盘净值数据(iFinD）'!$A$5)/365))</f>
        <v/>
      </c>
      <c r="F311" s="16" t="str">
        <f t="shared" si="25"/>
        <v/>
      </c>
      <c r="G311" s="16" t="str">
        <f>IF(E311="","",E311/MAX(E$5:E311)-1)</f>
        <v/>
      </c>
      <c r="H311" s="13" t="str">
        <f>IF(OR('实盘净值数据(iFinD）'!$A311="",'实盘净值数据(iFinD）'!$B311=""),"",分期持仓明细!$AB$19*SUMPRODUCT(分期持仓明细!$B$19:$Y$19,'实盘净值数据(iFinD）'!$B311:$Y311/'实盘净值数据(iFinD）'!$B$20:$Y$20)*(1-实盘持仓初始配置!$Z$6)^(('实盘净值数据(iFinD）'!$A311-'实盘净值数据(iFinD）'!$A$7)/365))</f>
        <v/>
      </c>
      <c r="I311" s="16" t="str">
        <f t="shared" si="26"/>
        <v/>
      </c>
      <c r="J311" s="16" t="str">
        <f>IF(H311="","",H311/MAX(H$5:H311)-1)</f>
        <v/>
      </c>
      <c r="K311" s="13" t="str">
        <f>IF(OR('实盘净值数据(iFinD）'!$A311="",'实盘净值数据(iFinD）'!$B311="",'实盘净值数据(iFinD）'!$Z311="",'实盘净值数据(iFinD）'!$AA311=""),"",分期持仓明细!$AB$23*(SUMPRODUCT(分期持仓明细!$B$23:$Y$23,'实盘净值数据(iFinD）'!$B311:$Y311/'实盘净值数据(iFinD）'!$B$65:$Y$65)+SUMPRODUCT(分期持仓明细!$AC$23:$AD$23,'实盘净值数据(iFinD）'!$Z311:$AA311/'实盘净值数据(iFinD）'!$Z$65:$AA$65))*(1-实盘持仓初始配置!$Z$7)^(('实盘净值数据(iFinD）'!$A311-'实盘净值数据(iFinD）'!$A$8)/365))</f>
        <v/>
      </c>
      <c r="L311" s="16" t="str">
        <f t="shared" si="27"/>
        <v/>
      </c>
      <c r="M311" s="16" t="str">
        <f>IF(K311="","",K311/MAX(K$5:K311)-1)</f>
        <v/>
      </c>
      <c r="N311" s="13" t="str">
        <f>IF(OR('实盘净值数据(iFinD）'!$A311="",'实盘净值数据(iFinD）'!$B311="",'实盘净值数据(iFinD）'!$Z311="",'实盘净值数据(iFinD）'!$AA311=""),"",分期持仓明细!$AB$24*(SUMPRODUCT(分期持仓明细!$B$24:$Y$24,'实盘净值数据(iFinD）'!$B311:$Y311/'实盘净值数据(iFinD）'!$B$65:$Y$65)+SUMPRODUCT(分期持仓明细!$AC$24:$AD$24,'实盘净值数据(iFinD）'!$Z311:$AA311/'实盘净值数据(iFinD）'!$Z$65:$AA$65))*(1-实盘持仓初始配置!$Z$8)^(('实盘净值数据(iFinD）'!$A311-'实盘净值数据(iFinD）'!$A$5)/365))</f>
        <v/>
      </c>
      <c r="O311" s="16" t="str">
        <f t="shared" si="28"/>
        <v/>
      </c>
      <c r="P311" s="16" t="str">
        <f>IF(N311="","",N311/MAX(N$5:N311)-1)</f>
        <v/>
      </c>
      <c r="Q311" s="13" t="str">
        <f>IF(OR('实盘净值数据(iFinD）'!$A311="",'实盘净值数据(iFinD）'!$B311="",'实盘净值数据(iFinD）'!$Z311="",'实盘净值数据(iFinD）'!$AA311=""),"",分期持仓明细!$AB$25*(SUMPRODUCT(分期持仓明细!$B$25:$Y$25,'实盘净值数据(iFinD）'!$B311:$Y311/'实盘净值数据(iFinD）'!$B$65:$Y$65)+SUMPRODUCT(分期持仓明细!$AC$25:$AD$25,'实盘净值数据(iFinD）'!$Z311:$AA311/'实盘净值数据(iFinD）'!$Z$65:$AA$65))*(1-实盘持仓初始配置!$Z$9)^(('实盘净值数据(iFinD）'!$A311-'实盘净值数据(iFinD）'!$A$8)/365))</f>
        <v/>
      </c>
      <c r="R311" s="16" t="str">
        <f t="shared" si="29"/>
        <v/>
      </c>
      <c r="S311" s="16" t="str">
        <f>IF(Q311="","",Q311/MAX(Q$5:Q311)-1)</f>
        <v/>
      </c>
      <c r="T311" s="13">
        <f>IF(OR('实盘净值数据(iFinD）'!$A311="",'实盘净值数据(iFinD）'!$B311="",'实盘净值数据(iFinD）'!$Z311="",'实盘净值数据(iFinD）'!$AA311="",'实盘净值数据(iFinD）'!$AB311="",'实盘净值数据(iFinD）'!$AL311=""),"",(SUMPRODUCT(分期持仓明细!$B$26:$Y$26,'实盘净值数据(iFinD）'!$B311:$Y311/'实盘净值数据(iFinD）'!$B$69:$Y$69)+SUMPRODUCT(分期持仓明细!$AC$26:$AD$26,'实盘净值数据(iFinD）'!$Z311:$AA311/'实盘净值数据(iFinD）'!$Z$69:$AA$69)+SUMPRODUCT(分期持仓明细!$AE$26:$AO$26,'实盘净值数据(iFinD）'!$AB311:$AL311/'实盘净值数据(iFinD）'!$AB$69:$AL$69))*(1-实盘持仓初始配置!$Z$10)^(('实盘净值数据(iFinD）'!$A311-'实盘净值数据(iFinD）'!$A$69)/365))</f>
        <v/>
      </c>
      <c r="U311" s="16">
        <f>IF(OR(T310="",T311=""),"",T311/T310-1)</f>
        <v/>
      </c>
      <c r="V311" s="16">
        <f>IF(T311="","",T311/MAX(T$5:T311)-1)</f>
        <v/>
      </c>
    </row>
    <row r="312" spans="1:19">
      <c r="A312" s="15" t="str">
        <f>IF('实盘净值数据(iFinD）'!A312="","",'实盘净值数据(iFinD）'!A312)</f>
        <v/>
      </c>
      <c r="B312" s="13" t="str">
        <f>IF(OR('实盘净值数据(iFinD）'!$A312="",'实盘净值数据(iFinD）'!$B312=""),"",分期持仓明细!$AB$17*SUMPRODUCT(分期持仓明细!$B$17:$Y$17,'实盘净值数据(iFinD）'!$B312:$Y312/'实盘净值数据(iFinD）'!$B$20:$Y$20)*(1-实盘持仓初始配置!$Z$4)^(('实盘净值数据(iFinD）'!$A312-'实盘净值数据(iFinD）'!$A$6)/365))</f>
        <v/>
      </c>
      <c r="C312" s="16" t="str">
        <f t="shared" si="24"/>
        <v/>
      </c>
      <c r="D312" s="16" t="str">
        <f>IF(B312="","",B312/MAX(B$5:B312)-1)</f>
        <v/>
      </c>
      <c r="E312" s="13" t="str">
        <f>IF(OR('实盘净值数据(iFinD）'!$A312="",'实盘净值数据(iFinD）'!$B312=""),"",分期持仓明细!$AB$18*SUMPRODUCT(分期持仓明细!$B$18:$Y$18,'实盘净值数据(iFinD）'!$B312:$Y312/'实盘净值数据(iFinD）'!$B$20:$Y$20)*(1-实盘持仓初始配置!$Z$5)^(('实盘净值数据(iFinD）'!$A312-'实盘净值数据(iFinD）'!$A$5)/365))</f>
        <v/>
      </c>
      <c r="F312" s="16" t="str">
        <f t="shared" si="25"/>
        <v/>
      </c>
      <c r="G312" s="16" t="str">
        <f>IF(E312="","",E312/MAX(E$5:E312)-1)</f>
        <v/>
      </c>
      <c r="H312" s="13" t="str">
        <f>IF(OR('实盘净值数据(iFinD）'!$A312="",'实盘净值数据(iFinD）'!$B312=""),"",分期持仓明细!$AB$19*SUMPRODUCT(分期持仓明细!$B$19:$Y$19,'实盘净值数据(iFinD）'!$B312:$Y312/'实盘净值数据(iFinD）'!$B$20:$Y$20)*(1-实盘持仓初始配置!$Z$6)^(('实盘净值数据(iFinD）'!$A312-'实盘净值数据(iFinD）'!$A$7)/365))</f>
        <v/>
      </c>
      <c r="I312" s="16" t="str">
        <f t="shared" si="26"/>
        <v/>
      </c>
      <c r="J312" s="16" t="str">
        <f>IF(H312="","",H312/MAX(H$5:H312)-1)</f>
        <v/>
      </c>
      <c r="K312" s="13" t="str">
        <f>IF(OR('实盘净值数据(iFinD）'!$A312="",'实盘净值数据(iFinD）'!$B312="",'实盘净值数据(iFinD）'!$Z312="",'实盘净值数据(iFinD）'!$AA312=""),"",分期持仓明细!$AB$23*(SUMPRODUCT(分期持仓明细!$B$23:$Y$23,'实盘净值数据(iFinD）'!$B312:$Y312/'实盘净值数据(iFinD）'!$B$65:$Y$65)+SUMPRODUCT(分期持仓明细!$AC$23:$AD$23,'实盘净值数据(iFinD）'!$Z312:$AA312/'实盘净值数据(iFinD）'!$Z$65:$AA$65))*(1-实盘持仓初始配置!$Z$7)^(('实盘净值数据(iFinD）'!$A312-'实盘净值数据(iFinD）'!$A$8)/365))</f>
        <v/>
      </c>
      <c r="L312" s="16" t="str">
        <f t="shared" si="27"/>
        <v/>
      </c>
      <c r="M312" s="16" t="str">
        <f>IF(K312="","",K312/MAX(K$5:K312)-1)</f>
        <v/>
      </c>
      <c r="N312" s="13" t="str">
        <f>IF(OR('实盘净值数据(iFinD）'!$A312="",'实盘净值数据(iFinD）'!$B312="",'实盘净值数据(iFinD）'!$Z312="",'实盘净值数据(iFinD）'!$AA312=""),"",分期持仓明细!$AB$24*(SUMPRODUCT(分期持仓明细!$B$24:$Y$24,'实盘净值数据(iFinD）'!$B312:$Y312/'实盘净值数据(iFinD）'!$B$65:$Y$65)+SUMPRODUCT(分期持仓明细!$AC$24:$AD$24,'实盘净值数据(iFinD）'!$Z312:$AA312/'实盘净值数据(iFinD）'!$Z$65:$AA$65))*(1-实盘持仓初始配置!$Z$8)^(('实盘净值数据(iFinD）'!$A312-'实盘净值数据(iFinD）'!$A$5)/365))</f>
        <v/>
      </c>
      <c r="O312" s="16" t="str">
        <f t="shared" si="28"/>
        <v/>
      </c>
      <c r="P312" s="16" t="str">
        <f>IF(N312="","",N312/MAX(N$5:N312)-1)</f>
        <v/>
      </c>
      <c r="Q312" s="13" t="str">
        <f>IF(OR('实盘净值数据(iFinD）'!$A312="",'实盘净值数据(iFinD）'!$B312="",'实盘净值数据(iFinD）'!$Z312="",'实盘净值数据(iFinD）'!$AA312=""),"",分期持仓明细!$AB$25*(SUMPRODUCT(分期持仓明细!$B$25:$Y$25,'实盘净值数据(iFinD）'!$B312:$Y312/'实盘净值数据(iFinD）'!$B$65:$Y$65)+SUMPRODUCT(分期持仓明细!$AC$25:$AD$25,'实盘净值数据(iFinD）'!$Z312:$AA312/'实盘净值数据(iFinD）'!$Z$65:$AA$65))*(1-实盘持仓初始配置!$Z$9)^(('实盘净值数据(iFinD）'!$A312-'实盘净值数据(iFinD）'!$A$8)/365))</f>
        <v/>
      </c>
      <c r="R312" s="16" t="str">
        <f t="shared" si="29"/>
        <v/>
      </c>
      <c r="S312" s="16" t="str">
        <f>IF(Q312="","",Q312/MAX(Q$5:Q312)-1)</f>
        <v/>
      </c>
      <c r="T312" s="13">
        <f>IF(OR('实盘净值数据(iFinD）'!$A312="",'实盘净值数据(iFinD）'!$B312="",'实盘净值数据(iFinD）'!$Z312="",'实盘净值数据(iFinD）'!$AA312="",'实盘净值数据(iFinD）'!$AB312="",'实盘净值数据(iFinD）'!$AL312=""),"",(SUMPRODUCT(分期持仓明细!$B$26:$Y$26,'实盘净值数据(iFinD）'!$B312:$Y312/'实盘净值数据(iFinD）'!$B$69:$Y$69)+SUMPRODUCT(分期持仓明细!$AC$26:$AD$26,'实盘净值数据(iFinD）'!$Z312:$AA312/'实盘净值数据(iFinD）'!$Z$69:$AA$69)+SUMPRODUCT(分期持仓明细!$AE$26:$AO$26,'实盘净值数据(iFinD）'!$AB312:$AL312/'实盘净值数据(iFinD）'!$AB$69:$AL$69))*(1-实盘持仓初始配置!$Z$10)^(('实盘净值数据(iFinD）'!$A312-'实盘净值数据(iFinD）'!$A$69)/365))</f>
        <v/>
      </c>
      <c r="U312" s="16">
        <f>IF(OR(T311="",T312=""),"",T312/T311-1)</f>
        <v/>
      </c>
      <c r="V312" s="16">
        <f>IF(T312="","",T312/MAX(T$5:T312)-1)</f>
        <v/>
      </c>
    </row>
    <row r="313" spans="1:19">
      <c r="A313" s="15" t="str">
        <f>IF('实盘净值数据(iFinD）'!A313="","",'实盘净值数据(iFinD）'!A313)</f>
        <v/>
      </c>
      <c r="B313" s="13" t="str">
        <f>IF(OR('实盘净值数据(iFinD）'!$A313="",'实盘净值数据(iFinD）'!$B313=""),"",分期持仓明细!$AB$17*SUMPRODUCT(分期持仓明细!$B$17:$Y$17,'实盘净值数据(iFinD）'!$B313:$Y313/'实盘净值数据(iFinD）'!$B$20:$Y$20)*(1-实盘持仓初始配置!$Z$4)^(('实盘净值数据(iFinD）'!$A313-'实盘净值数据(iFinD）'!$A$6)/365))</f>
        <v/>
      </c>
      <c r="C313" s="16" t="str">
        <f t="shared" si="24"/>
        <v/>
      </c>
      <c r="D313" s="16" t="str">
        <f>IF(B313="","",B313/MAX(B$5:B313)-1)</f>
        <v/>
      </c>
      <c r="E313" s="13" t="str">
        <f>IF(OR('实盘净值数据(iFinD）'!$A313="",'实盘净值数据(iFinD）'!$B313=""),"",分期持仓明细!$AB$18*SUMPRODUCT(分期持仓明细!$B$18:$Y$18,'实盘净值数据(iFinD）'!$B313:$Y313/'实盘净值数据(iFinD）'!$B$20:$Y$20)*(1-实盘持仓初始配置!$Z$5)^(('实盘净值数据(iFinD）'!$A313-'实盘净值数据(iFinD）'!$A$5)/365))</f>
        <v/>
      </c>
      <c r="F313" s="16" t="str">
        <f t="shared" si="25"/>
        <v/>
      </c>
      <c r="G313" s="16" t="str">
        <f>IF(E313="","",E313/MAX(E$5:E313)-1)</f>
        <v/>
      </c>
      <c r="H313" s="13" t="str">
        <f>IF(OR('实盘净值数据(iFinD）'!$A313="",'实盘净值数据(iFinD）'!$B313=""),"",分期持仓明细!$AB$19*SUMPRODUCT(分期持仓明细!$B$19:$Y$19,'实盘净值数据(iFinD）'!$B313:$Y313/'实盘净值数据(iFinD）'!$B$20:$Y$20)*(1-实盘持仓初始配置!$Z$6)^(('实盘净值数据(iFinD）'!$A313-'实盘净值数据(iFinD）'!$A$7)/365))</f>
        <v/>
      </c>
      <c r="I313" s="16" t="str">
        <f t="shared" si="26"/>
        <v/>
      </c>
      <c r="J313" s="16" t="str">
        <f>IF(H313="","",H313/MAX(H$5:H313)-1)</f>
        <v/>
      </c>
      <c r="K313" s="13" t="str">
        <f>IF(OR('实盘净值数据(iFinD）'!$A313="",'实盘净值数据(iFinD）'!$B313="",'实盘净值数据(iFinD）'!$Z313="",'实盘净值数据(iFinD）'!$AA313=""),"",分期持仓明细!$AB$23*(SUMPRODUCT(分期持仓明细!$B$23:$Y$23,'实盘净值数据(iFinD）'!$B313:$Y313/'实盘净值数据(iFinD）'!$B$65:$Y$65)+SUMPRODUCT(分期持仓明细!$AC$23:$AD$23,'实盘净值数据(iFinD）'!$Z313:$AA313/'实盘净值数据(iFinD）'!$Z$65:$AA$65))*(1-实盘持仓初始配置!$Z$7)^(('实盘净值数据(iFinD）'!$A313-'实盘净值数据(iFinD）'!$A$8)/365))</f>
        <v/>
      </c>
      <c r="L313" s="16" t="str">
        <f t="shared" si="27"/>
        <v/>
      </c>
      <c r="M313" s="16" t="str">
        <f>IF(K313="","",K313/MAX(K$5:K313)-1)</f>
        <v/>
      </c>
      <c r="N313" s="13" t="str">
        <f>IF(OR('实盘净值数据(iFinD）'!$A313="",'实盘净值数据(iFinD）'!$B313="",'实盘净值数据(iFinD）'!$Z313="",'实盘净值数据(iFinD）'!$AA313=""),"",分期持仓明细!$AB$24*(SUMPRODUCT(分期持仓明细!$B$24:$Y$24,'实盘净值数据(iFinD）'!$B313:$Y313/'实盘净值数据(iFinD）'!$B$65:$Y$65)+SUMPRODUCT(分期持仓明细!$AC$24:$AD$24,'实盘净值数据(iFinD）'!$Z313:$AA313/'实盘净值数据(iFinD）'!$Z$65:$AA$65))*(1-实盘持仓初始配置!$Z$8)^(('实盘净值数据(iFinD）'!$A313-'实盘净值数据(iFinD）'!$A$5)/365))</f>
        <v/>
      </c>
      <c r="O313" s="16" t="str">
        <f t="shared" si="28"/>
        <v/>
      </c>
      <c r="P313" s="16" t="str">
        <f>IF(N313="","",N313/MAX(N$5:N313)-1)</f>
        <v/>
      </c>
      <c r="Q313" s="13" t="str">
        <f>IF(OR('实盘净值数据(iFinD）'!$A313="",'实盘净值数据(iFinD）'!$B313="",'实盘净值数据(iFinD）'!$Z313="",'实盘净值数据(iFinD）'!$AA313=""),"",分期持仓明细!$AB$25*(SUMPRODUCT(分期持仓明细!$B$25:$Y$25,'实盘净值数据(iFinD）'!$B313:$Y313/'实盘净值数据(iFinD）'!$B$65:$Y$65)+SUMPRODUCT(分期持仓明细!$AC$25:$AD$25,'实盘净值数据(iFinD）'!$Z313:$AA313/'实盘净值数据(iFinD）'!$Z$65:$AA$65))*(1-实盘持仓初始配置!$Z$9)^(('实盘净值数据(iFinD）'!$A313-'实盘净值数据(iFinD）'!$A$8)/365))</f>
        <v/>
      </c>
      <c r="R313" s="16" t="str">
        <f t="shared" si="29"/>
        <v/>
      </c>
      <c r="S313" s="16" t="str">
        <f>IF(Q313="","",Q313/MAX(Q$5:Q313)-1)</f>
        <v/>
      </c>
      <c r="T313" s="13">
        <f>IF(OR('实盘净值数据(iFinD）'!$A313="",'实盘净值数据(iFinD）'!$B313="",'实盘净值数据(iFinD）'!$Z313="",'实盘净值数据(iFinD）'!$AA313="",'实盘净值数据(iFinD）'!$AB313="",'实盘净值数据(iFinD）'!$AL313=""),"",(SUMPRODUCT(分期持仓明细!$B$26:$Y$26,'实盘净值数据(iFinD）'!$B313:$Y313/'实盘净值数据(iFinD）'!$B$69:$Y$69)+SUMPRODUCT(分期持仓明细!$AC$26:$AD$26,'实盘净值数据(iFinD）'!$Z313:$AA313/'实盘净值数据(iFinD）'!$Z$69:$AA$69)+SUMPRODUCT(分期持仓明细!$AE$26:$AO$26,'实盘净值数据(iFinD）'!$AB313:$AL313/'实盘净值数据(iFinD）'!$AB$69:$AL$69))*(1-实盘持仓初始配置!$Z$10)^(('实盘净值数据(iFinD）'!$A313-'实盘净值数据(iFinD）'!$A$69)/365))</f>
        <v/>
      </c>
      <c r="U313" s="16">
        <f>IF(OR(T312="",T313=""),"",T313/T312-1)</f>
        <v/>
      </c>
      <c r="V313" s="16">
        <f>IF(T313="","",T313/MAX(T$5:T313)-1)</f>
        <v/>
      </c>
    </row>
    <row r="314" spans="1:19">
      <c r="A314" s="15" t="str">
        <f>IF('实盘净值数据(iFinD）'!A314="","",'实盘净值数据(iFinD）'!A314)</f>
        <v/>
      </c>
      <c r="B314" s="13" t="str">
        <f>IF(OR('实盘净值数据(iFinD）'!$A314="",'实盘净值数据(iFinD）'!$B314=""),"",分期持仓明细!$AB$17*SUMPRODUCT(分期持仓明细!$B$17:$Y$17,'实盘净值数据(iFinD）'!$B314:$Y314/'实盘净值数据(iFinD）'!$B$20:$Y$20)*(1-实盘持仓初始配置!$Z$4)^(('实盘净值数据(iFinD）'!$A314-'实盘净值数据(iFinD）'!$A$6)/365))</f>
        <v/>
      </c>
      <c r="C314" s="16" t="str">
        <f t="shared" si="24"/>
        <v/>
      </c>
      <c r="D314" s="16" t="str">
        <f>IF(B314="","",B314/MAX(B$5:B314)-1)</f>
        <v/>
      </c>
      <c r="E314" s="13" t="str">
        <f>IF(OR('实盘净值数据(iFinD）'!$A314="",'实盘净值数据(iFinD）'!$B314=""),"",分期持仓明细!$AB$18*SUMPRODUCT(分期持仓明细!$B$18:$Y$18,'实盘净值数据(iFinD）'!$B314:$Y314/'实盘净值数据(iFinD）'!$B$20:$Y$20)*(1-实盘持仓初始配置!$Z$5)^(('实盘净值数据(iFinD）'!$A314-'实盘净值数据(iFinD）'!$A$5)/365))</f>
        <v/>
      </c>
      <c r="F314" s="16" t="str">
        <f t="shared" si="25"/>
        <v/>
      </c>
      <c r="G314" s="16" t="str">
        <f>IF(E314="","",E314/MAX(E$5:E314)-1)</f>
        <v/>
      </c>
      <c r="H314" s="13" t="str">
        <f>IF(OR('实盘净值数据(iFinD）'!$A314="",'实盘净值数据(iFinD）'!$B314=""),"",分期持仓明细!$AB$19*SUMPRODUCT(分期持仓明细!$B$19:$Y$19,'实盘净值数据(iFinD）'!$B314:$Y314/'实盘净值数据(iFinD）'!$B$20:$Y$20)*(1-实盘持仓初始配置!$Z$6)^(('实盘净值数据(iFinD）'!$A314-'实盘净值数据(iFinD）'!$A$7)/365))</f>
        <v/>
      </c>
      <c r="I314" s="16" t="str">
        <f t="shared" si="26"/>
        <v/>
      </c>
      <c r="J314" s="16" t="str">
        <f>IF(H314="","",H314/MAX(H$5:H314)-1)</f>
        <v/>
      </c>
      <c r="K314" s="13" t="str">
        <f>IF(OR('实盘净值数据(iFinD）'!$A314="",'实盘净值数据(iFinD）'!$B314="",'实盘净值数据(iFinD）'!$Z314="",'实盘净值数据(iFinD）'!$AA314=""),"",分期持仓明细!$AB$23*(SUMPRODUCT(分期持仓明细!$B$23:$Y$23,'实盘净值数据(iFinD）'!$B314:$Y314/'实盘净值数据(iFinD）'!$B$65:$Y$65)+SUMPRODUCT(分期持仓明细!$AC$23:$AD$23,'实盘净值数据(iFinD）'!$Z314:$AA314/'实盘净值数据(iFinD）'!$Z$65:$AA$65))*(1-实盘持仓初始配置!$Z$7)^(('实盘净值数据(iFinD）'!$A314-'实盘净值数据(iFinD）'!$A$8)/365))</f>
        <v/>
      </c>
      <c r="L314" s="16" t="str">
        <f t="shared" si="27"/>
        <v/>
      </c>
      <c r="M314" s="16" t="str">
        <f>IF(K314="","",K314/MAX(K$5:K314)-1)</f>
        <v/>
      </c>
      <c r="N314" s="13" t="str">
        <f>IF(OR('实盘净值数据(iFinD）'!$A314="",'实盘净值数据(iFinD）'!$B314="",'实盘净值数据(iFinD）'!$Z314="",'实盘净值数据(iFinD）'!$AA314=""),"",分期持仓明细!$AB$24*(SUMPRODUCT(分期持仓明细!$B$24:$Y$24,'实盘净值数据(iFinD）'!$B314:$Y314/'实盘净值数据(iFinD）'!$B$65:$Y$65)+SUMPRODUCT(分期持仓明细!$AC$24:$AD$24,'实盘净值数据(iFinD）'!$Z314:$AA314/'实盘净值数据(iFinD）'!$Z$65:$AA$65))*(1-实盘持仓初始配置!$Z$8)^(('实盘净值数据(iFinD）'!$A314-'实盘净值数据(iFinD）'!$A$5)/365))</f>
        <v/>
      </c>
      <c r="O314" s="16" t="str">
        <f t="shared" si="28"/>
        <v/>
      </c>
      <c r="P314" s="16" t="str">
        <f>IF(N314="","",N314/MAX(N$5:N314)-1)</f>
        <v/>
      </c>
      <c r="Q314" s="13" t="str">
        <f>IF(OR('实盘净值数据(iFinD）'!$A314="",'实盘净值数据(iFinD）'!$B314="",'实盘净值数据(iFinD）'!$Z314="",'实盘净值数据(iFinD）'!$AA314=""),"",分期持仓明细!$AB$25*(SUMPRODUCT(分期持仓明细!$B$25:$Y$25,'实盘净值数据(iFinD）'!$B314:$Y314/'实盘净值数据(iFinD）'!$B$65:$Y$65)+SUMPRODUCT(分期持仓明细!$AC$25:$AD$25,'实盘净值数据(iFinD）'!$Z314:$AA314/'实盘净值数据(iFinD）'!$Z$65:$AA$65))*(1-实盘持仓初始配置!$Z$9)^(('实盘净值数据(iFinD）'!$A314-'实盘净值数据(iFinD）'!$A$8)/365))</f>
        <v/>
      </c>
      <c r="R314" s="16" t="str">
        <f t="shared" si="29"/>
        <v/>
      </c>
      <c r="S314" s="16" t="str">
        <f>IF(Q314="","",Q314/MAX(Q$5:Q314)-1)</f>
        <v/>
      </c>
      <c r="T314" s="13">
        <f>IF(OR('实盘净值数据(iFinD）'!$A314="",'实盘净值数据(iFinD）'!$B314="",'实盘净值数据(iFinD）'!$Z314="",'实盘净值数据(iFinD）'!$AA314="",'实盘净值数据(iFinD）'!$AB314="",'实盘净值数据(iFinD）'!$AL314=""),"",(SUMPRODUCT(分期持仓明细!$B$26:$Y$26,'实盘净值数据(iFinD）'!$B314:$Y314/'实盘净值数据(iFinD）'!$B$69:$Y$69)+SUMPRODUCT(分期持仓明细!$AC$26:$AD$26,'实盘净值数据(iFinD）'!$Z314:$AA314/'实盘净值数据(iFinD）'!$Z$69:$AA$69)+SUMPRODUCT(分期持仓明细!$AE$26:$AO$26,'实盘净值数据(iFinD）'!$AB314:$AL314/'实盘净值数据(iFinD）'!$AB$69:$AL$69))*(1-实盘持仓初始配置!$Z$10)^(('实盘净值数据(iFinD）'!$A314-'实盘净值数据(iFinD）'!$A$69)/365))</f>
        <v/>
      </c>
      <c r="U314" s="16">
        <f>IF(OR(T313="",T314=""),"",T314/T313-1)</f>
        <v/>
      </c>
      <c r="V314" s="16">
        <f>IF(T314="","",T314/MAX(T$5:T314)-1)</f>
        <v/>
      </c>
    </row>
    <row r="315" spans="1:19">
      <c r="A315" s="15" t="str">
        <f>IF('实盘净值数据(iFinD）'!A315="","",'实盘净值数据(iFinD）'!A315)</f>
        <v/>
      </c>
      <c r="B315" s="13" t="str">
        <f>IF(OR('实盘净值数据(iFinD）'!$A315="",'实盘净值数据(iFinD）'!$B315=""),"",分期持仓明细!$AB$17*SUMPRODUCT(分期持仓明细!$B$17:$Y$17,'实盘净值数据(iFinD）'!$B315:$Y315/'实盘净值数据(iFinD）'!$B$20:$Y$20)*(1-实盘持仓初始配置!$Z$4)^(('实盘净值数据(iFinD）'!$A315-'实盘净值数据(iFinD）'!$A$6)/365))</f>
        <v/>
      </c>
      <c r="C315" s="16" t="str">
        <f t="shared" si="24"/>
        <v/>
      </c>
      <c r="D315" s="16" t="str">
        <f>IF(B315="","",B315/MAX(B$5:B315)-1)</f>
        <v/>
      </c>
      <c r="E315" s="13" t="str">
        <f>IF(OR('实盘净值数据(iFinD）'!$A315="",'实盘净值数据(iFinD）'!$B315=""),"",分期持仓明细!$AB$18*SUMPRODUCT(分期持仓明细!$B$18:$Y$18,'实盘净值数据(iFinD）'!$B315:$Y315/'实盘净值数据(iFinD）'!$B$20:$Y$20)*(1-实盘持仓初始配置!$Z$5)^(('实盘净值数据(iFinD）'!$A315-'实盘净值数据(iFinD）'!$A$5)/365))</f>
        <v/>
      </c>
      <c r="F315" s="16" t="str">
        <f t="shared" si="25"/>
        <v/>
      </c>
      <c r="G315" s="16" t="str">
        <f>IF(E315="","",E315/MAX(E$5:E315)-1)</f>
        <v/>
      </c>
      <c r="H315" s="13" t="str">
        <f>IF(OR('实盘净值数据(iFinD）'!$A315="",'实盘净值数据(iFinD）'!$B315=""),"",分期持仓明细!$AB$19*SUMPRODUCT(分期持仓明细!$B$19:$Y$19,'实盘净值数据(iFinD）'!$B315:$Y315/'实盘净值数据(iFinD）'!$B$20:$Y$20)*(1-实盘持仓初始配置!$Z$6)^(('实盘净值数据(iFinD）'!$A315-'实盘净值数据(iFinD）'!$A$7)/365))</f>
        <v/>
      </c>
      <c r="I315" s="16" t="str">
        <f t="shared" si="26"/>
        <v/>
      </c>
      <c r="J315" s="16" t="str">
        <f>IF(H315="","",H315/MAX(H$5:H315)-1)</f>
        <v/>
      </c>
      <c r="K315" s="13" t="str">
        <f>IF(OR('实盘净值数据(iFinD）'!$A315="",'实盘净值数据(iFinD）'!$B315="",'实盘净值数据(iFinD）'!$Z315="",'实盘净值数据(iFinD）'!$AA315=""),"",分期持仓明细!$AB$23*(SUMPRODUCT(分期持仓明细!$B$23:$Y$23,'实盘净值数据(iFinD）'!$B315:$Y315/'实盘净值数据(iFinD）'!$B$65:$Y$65)+SUMPRODUCT(分期持仓明细!$AC$23:$AD$23,'实盘净值数据(iFinD）'!$Z315:$AA315/'实盘净值数据(iFinD）'!$Z$65:$AA$65))*(1-实盘持仓初始配置!$Z$7)^(('实盘净值数据(iFinD）'!$A315-'实盘净值数据(iFinD）'!$A$8)/365))</f>
        <v/>
      </c>
      <c r="L315" s="16" t="str">
        <f t="shared" si="27"/>
        <v/>
      </c>
      <c r="M315" s="16" t="str">
        <f>IF(K315="","",K315/MAX(K$5:K315)-1)</f>
        <v/>
      </c>
      <c r="N315" s="13" t="str">
        <f>IF(OR('实盘净值数据(iFinD）'!$A315="",'实盘净值数据(iFinD）'!$B315="",'实盘净值数据(iFinD）'!$Z315="",'实盘净值数据(iFinD）'!$AA315=""),"",分期持仓明细!$AB$24*(SUMPRODUCT(分期持仓明细!$B$24:$Y$24,'实盘净值数据(iFinD）'!$B315:$Y315/'实盘净值数据(iFinD）'!$B$65:$Y$65)+SUMPRODUCT(分期持仓明细!$AC$24:$AD$24,'实盘净值数据(iFinD）'!$Z315:$AA315/'实盘净值数据(iFinD）'!$Z$65:$AA$65))*(1-实盘持仓初始配置!$Z$8)^(('实盘净值数据(iFinD）'!$A315-'实盘净值数据(iFinD）'!$A$5)/365))</f>
        <v/>
      </c>
      <c r="O315" s="16" t="str">
        <f t="shared" si="28"/>
        <v/>
      </c>
      <c r="P315" s="16" t="str">
        <f>IF(N315="","",N315/MAX(N$5:N315)-1)</f>
        <v/>
      </c>
      <c r="Q315" s="13" t="str">
        <f>IF(OR('实盘净值数据(iFinD）'!$A315="",'实盘净值数据(iFinD）'!$B315="",'实盘净值数据(iFinD）'!$Z315="",'实盘净值数据(iFinD）'!$AA315=""),"",分期持仓明细!$AB$25*(SUMPRODUCT(分期持仓明细!$B$25:$Y$25,'实盘净值数据(iFinD）'!$B315:$Y315/'实盘净值数据(iFinD）'!$B$65:$Y$65)+SUMPRODUCT(分期持仓明细!$AC$25:$AD$25,'实盘净值数据(iFinD）'!$Z315:$AA315/'实盘净值数据(iFinD）'!$Z$65:$AA$65))*(1-实盘持仓初始配置!$Z$9)^(('实盘净值数据(iFinD）'!$A315-'实盘净值数据(iFinD）'!$A$8)/365))</f>
        <v/>
      </c>
      <c r="R315" s="16" t="str">
        <f t="shared" si="29"/>
        <v/>
      </c>
      <c r="S315" s="16" t="str">
        <f>IF(Q315="","",Q315/MAX(Q$5:Q315)-1)</f>
        <v/>
      </c>
      <c r="T315" s="13">
        <f>IF(OR('实盘净值数据(iFinD）'!$A315="",'实盘净值数据(iFinD）'!$B315="",'实盘净值数据(iFinD）'!$Z315="",'实盘净值数据(iFinD）'!$AA315="",'实盘净值数据(iFinD）'!$AB315="",'实盘净值数据(iFinD）'!$AL315=""),"",(SUMPRODUCT(分期持仓明细!$B$26:$Y$26,'实盘净值数据(iFinD）'!$B315:$Y315/'实盘净值数据(iFinD）'!$B$69:$Y$69)+SUMPRODUCT(分期持仓明细!$AC$26:$AD$26,'实盘净值数据(iFinD）'!$Z315:$AA315/'实盘净值数据(iFinD）'!$Z$69:$AA$69)+SUMPRODUCT(分期持仓明细!$AE$26:$AO$26,'实盘净值数据(iFinD）'!$AB315:$AL315/'实盘净值数据(iFinD）'!$AB$69:$AL$69))*(1-实盘持仓初始配置!$Z$10)^(('实盘净值数据(iFinD）'!$A315-'实盘净值数据(iFinD）'!$A$69)/365))</f>
        <v/>
      </c>
      <c r="U315" s="16">
        <f>IF(OR(T314="",T315=""),"",T315/T314-1)</f>
        <v/>
      </c>
      <c r="V315" s="16">
        <f>IF(T315="","",T315/MAX(T$5:T315)-1)</f>
        <v/>
      </c>
    </row>
    <row r="316" spans="1:19">
      <c r="A316" s="15" t="str">
        <f>IF('实盘净值数据(iFinD）'!A316="","",'实盘净值数据(iFinD）'!A316)</f>
        <v/>
      </c>
      <c r="B316" s="13" t="str">
        <f>IF(OR('实盘净值数据(iFinD）'!$A316="",'实盘净值数据(iFinD）'!$B316=""),"",分期持仓明细!$AB$17*SUMPRODUCT(分期持仓明细!$B$17:$Y$17,'实盘净值数据(iFinD）'!$B316:$Y316/'实盘净值数据(iFinD）'!$B$20:$Y$20)*(1-实盘持仓初始配置!$Z$4)^(('实盘净值数据(iFinD）'!$A316-'实盘净值数据(iFinD）'!$A$6)/365))</f>
        <v/>
      </c>
      <c r="C316" s="16" t="str">
        <f t="shared" ref="C316:C379" si="30">IF(OR(B315="",B316=""),"",B316/B315-1)</f>
        <v/>
      </c>
      <c r="D316" s="16" t="str">
        <f>IF(B316="","",B316/MAX(B$5:B316)-1)</f>
        <v/>
      </c>
      <c r="E316" s="13" t="str">
        <f>IF(OR('实盘净值数据(iFinD）'!$A316="",'实盘净值数据(iFinD）'!$B316=""),"",分期持仓明细!$AB$18*SUMPRODUCT(分期持仓明细!$B$18:$Y$18,'实盘净值数据(iFinD）'!$B316:$Y316/'实盘净值数据(iFinD）'!$B$20:$Y$20)*(1-实盘持仓初始配置!$Z$5)^(('实盘净值数据(iFinD）'!$A316-'实盘净值数据(iFinD）'!$A$5)/365))</f>
        <v/>
      </c>
      <c r="F316" s="16" t="str">
        <f t="shared" ref="F316:F379" si="31">IF(OR(E315="",E316=""),"",E316/E315-1)</f>
        <v/>
      </c>
      <c r="G316" s="16" t="str">
        <f>IF(E316="","",E316/MAX(E$5:E316)-1)</f>
        <v/>
      </c>
      <c r="H316" s="13" t="str">
        <f>IF(OR('实盘净值数据(iFinD）'!$A316="",'实盘净值数据(iFinD）'!$B316=""),"",分期持仓明细!$AB$19*SUMPRODUCT(分期持仓明细!$B$19:$Y$19,'实盘净值数据(iFinD）'!$B316:$Y316/'实盘净值数据(iFinD）'!$B$20:$Y$20)*(1-实盘持仓初始配置!$Z$6)^(('实盘净值数据(iFinD）'!$A316-'实盘净值数据(iFinD）'!$A$7)/365))</f>
        <v/>
      </c>
      <c r="I316" s="16" t="str">
        <f t="shared" ref="I316:I379" si="32">IF(OR(H315="",H316=""),"",H316/H315-1)</f>
        <v/>
      </c>
      <c r="J316" s="16" t="str">
        <f>IF(H316="","",H316/MAX(H$5:H316)-1)</f>
        <v/>
      </c>
      <c r="K316" s="13" t="str">
        <f>IF(OR('实盘净值数据(iFinD）'!$A316="",'实盘净值数据(iFinD）'!$B316="",'实盘净值数据(iFinD）'!$Z316="",'实盘净值数据(iFinD）'!$AA316=""),"",分期持仓明细!$AB$23*(SUMPRODUCT(分期持仓明细!$B$23:$Y$23,'实盘净值数据(iFinD）'!$B316:$Y316/'实盘净值数据(iFinD）'!$B$65:$Y$65)+SUMPRODUCT(分期持仓明细!$AC$23:$AD$23,'实盘净值数据(iFinD）'!$Z316:$AA316/'实盘净值数据(iFinD）'!$Z$65:$AA$65))*(1-实盘持仓初始配置!$Z$7)^(('实盘净值数据(iFinD）'!$A316-'实盘净值数据(iFinD）'!$A$8)/365))</f>
        <v/>
      </c>
      <c r="L316" s="16" t="str">
        <f t="shared" ref="L316:L379" si="33">IF(OR(K315="",K316=""),"",K316/K315-1)</f>
        <v/>
      </c>
      <c r="M316" s="16" t="str">
        <f>IF(K316="","",K316/MAX(K$5:K316)-1)</f>
        <v/>
      </c>
      <c r="N316" s="13" t="str">
        <f>IF(OR('实盘净值数据(iFinD）'!$A316="",'实盘净值数据(iFinD）'!$B316="",'实盘净值数据(iFinD）'!$Z316="",'实盘净值数据(iFinD）'!$AA316=""),"",分期持仓明细!$AB$24*(SUMPRODUCT(分期持仓明细!$B$24:$Y$24,'实盘净值数据(iFinD）'!$B316:$Y316/'实盘净值数据(iFinD）'!$B$65:$Y$65)+SUMPRODUCT(分期持仓明细!$AC$24:$AD$24,'实盘净值数据(iFinD）'!$Z316:$AA316/'实盘净值数据(iFinD）'!$Z$65:$AA$65))*(1-实盘持仓初始配置!$Z$8)^(('实盘净值数据(iFinD）'!$A316-'实盘净值数据(iFinD）'!$A$5)/365))</f>
        <v/>
      </c>
      <c r="O316" s="16" t="str">
        <f t="shared" ref="O316:O379" si="34">IF(OR(N315="",N316=""),"",N316/N315-1)</f>
        <v/>
      </c>
      <c r="P316" s="16" t="str">
        <f>IF(N316="","",N316/MAX(N$5:N316)-1)</f>
        <v/>
      </c>
      <c r="Q316" s="13" t="str">
        <f>IF(OR('实盘净值数据(iFinD）'!$A316="",'实盘净值数据(iFinD）'!$B316="",'实盘净值数据(iFinD）'!$Z316="",'实盘净值数据(iFinD）'!$AA316=""),"",分期持仓明细!$AB$25*(SUMPRODUCT(分期持仓明细!$B$25:$Y$25,'实盘净值数据(iFinD）'!$B316:$Y316/'实盘净值数据(iFinD）'!$B$65:$Y$65)+SUMPRODUCT(分期持仓明细!$AC$25:$AD$25,'实盘净值数据(iFinD）'!$Z316:$AA316/'实盘净值数据(iFinD）'!$Z$65:$AA$65))*(1-实盘持仓初始配置!$Z$9)^(('实盘净值数据(iFinD）'!$A316-'实盘净值数据(iFinD）'!$A$8)/365))</f>
        <v/>
      </c>
      <c r="R316" s="16" t="str">
        <f t="shared" ref="R316:R379" si="35">IF(OR(Q315="",Q316=""),"",Q316/Q315-1)</f>
        <v/>
      </c>
      <c r="S316" s="16" t="str">
        <f>IF(Q316="","",Q316/MAX(Q$5:Q316)-1)</f>
        <v/>
      </c>
      <c r="T316" s="13">
        <f>IF(OR('实盘净值数据(iFinD）'!$A316="",'实盘净值数据(iFinD）'!$B316="",'实盘净值数据(iFinD）'!$Z316="",'实盘净值数据(iFinD）'!$AA316="",'实盘净值数据(iFinD）'!$AB316="",'实盘净值数据(iFinD）'!$AL316=""),"",(SUMPRODUCT(分期持仓明细!$B$26:$Y$26,'实盘净值数据(iFinD）'!$B316:$Y316/'实盘净值数据(iFinD）'!$B$69:$Y$69)+SUMPRODUCT(分期持仓明细!$AC$26:$AD$26,'实盘净值数据(iFinD）'!$Z316:$AA316/'实盘净值数据(iFinD）'!$Z$69:$AA$69)+SUMPRODUCT(分期持仓明细!$AE$26:$AO$26,'实盘净值数据(iFinD）'!$AB316:$AL316/'实盘净值数据(iFinD）'!$AB$69:$AL$69))*(1-实盘持仓初始配置!$Z$10)^(('实盘净值数据(iFinD）'!$A316-'实盘净值数据(iFinD）'!$A$69)/365))</f>
        <v/>
      </c>
      <c r="U316" s="16">
        <f>IF(OR(T315="",T316=""),"",T316/T315-1)</f>
        <v/>
      </c>
      <c r="V316" s="16">
        <f>IF(T316="","",T316/MAX(T$5:T316)-1)</f>
        <v/>
      </c>
    </row>
    <row r="317" spans="1:19">
      <c r="A317" s="15" t="str">
        <f>IF('实盘净值数据(iFinD）'!A317="","",'实盘净值数据(iFinD）'!A317)</f>
        <v/>
      </c>
      <c r="B317" s="13" t="str">
        <f>IF(OR('实盘净值数据(iFinD）'!$A317="",'实盘净值数据(iFinD）'!$B317=""),"",分期持仓明细!$AB$17*SUMPRODUCT(分期持仓明细!$B$17:$Y$17,'实盘净值数据(iFinD）'!$B317:$Y317/'实盘净值数据(iFinD）'!$B$20:$Y$20)*(1-实盘持仓初始配置!$Z$4)^(('实盘净值数据(iFinD）'!$A317-'实盘净值数据(iFinD）'!$A$6)/365))</f>
        <v/>
      </c>
      <c r="C317" s="16" t="str">
        <f t="shared" si="30"/>
        <v/>
      </c>
      <c r="D317" s="16" t="str">
        <f>IF(B317="","",B317/MAX(B$5:B317)-1)</f>
        <v/>
      </c>
      <c r="E317" s="13" t="str">
        <f>IF(OR('实盘净值数据(iFinD）'!$A317="",'实盘净值数据(iFinD）'!$B317=""),"",分期持仓明细!$AB$18*SUMPRODUCT(分期持仓明细!$B$18:$Y$18,'实盘净值数据(iFinD）'!$B317:$Y317/'实盘净值数据(iFinD）'!$B$20:$Y$20)*(1-实盘持仓初始配置!$Z$5)^(('实盘净值数据(iFinD）'!$A317-'实盘净值数据(iFinD）'!$A$5)/365))</f>
        <v/>
      </c>
      <c r="F317" s="16" t="str">
        <f t="shared" si="31"/>
        <v/>
      </c>
      <c r="G317" s="16" t="str">
        <f>IF(E317="","",E317/MAX(E$5:E317)-1)</f>
        <v/>
      </c>
      <c r="H317" s="13" t="str">
        <f>IF(OR('实盘净值数据(iFinD）'!$A317="",'实盘净值数据(iFinD）'!$B317=""),"",分期持仓明细!$AB$19*SUMPRODUCT(分期持仓明细!$B$19:$Y$19,'实盘净值数据(iFinD）'!$B317:$Y317/'实盘净值数据(iFinD）'!$B$20:$Y$20)*(1-实盘持仓初始配置!$Z$6)^(('实盘净值数据(iFinD）'!$A317-'实盘净值数据(iFinD）'!$A$7)/365))</f>
        <v/>
      </c>
      <c r="I317" s="16" t="str">
        <f t="shared" si="32"/>
        <v/>
      </c>
      <c r="J317" s="16" t="str">
        <f>IF(H317="","",H317/MAX(H$5:H317)-1)</f>
        <v/>
      </c>
      <c r="K317" s="13" t="str">
        <f>IF(OR('实盘净值数据(iFinD）'!$A317="",'实盘净值数据(iFinD）'!$B317="",'实盘净值数据(iFinD）'!$Z317="",'实盘净值数据(iFinD）'!$AA317=""),"",分期持仓明细!$AB$23*(SUMPRODUCT(分期持仓明细!$B$23:$Y$23,'实盘净值数据(iFinD）'!$B317:$Y317/'实盘净值数据(iFinD）'!$B$65:$Y$65)+SUMPRODUCT(分期持仓明细!$AC$23:$AD$23,'实盘净值数据(iFinD）'!$Z317:$AA317/'实盘净值数据(iFinD）'!$Z$65:$AA$65))*(1-实盘持仓初始配置!$Z$7)^(('实盘净值数据(iFinD）'!$A317-'实盘净值数据(iFinD）'!$A$8)/365))</f>
        <v/>
      </c>
      <c r="L317" s="16" t="str">
        <f t="shared" si="33"/>
        <v/>
      </c>
      <c r="M317" s="16" t="str">
        <f>IF(K317="","",K317/MAX(K$5:K317)-1)</f>
        <v/>
      </c>
      <c r="N317" s="13" t="str">
        <f>IF(OR('实盘净值数据(iFinD）'!$A317="",'实盘净值数据(iFinD）'!$B317="",'实盘净值数据(iFinD）'!$Z317="",'实盘净值数据(iFinD）'!$AA317=""),"",分期持仓明细!$AB$24*(SUMPRODUCT(分期持仓明细!$B$24:$Y$24,'实盘净值数据(iFinD）'!$B317:$Y317/'实盘净值数据(iFinD）'!$B$65:$Y$65)+SUMPRODUCT(分期持仓明细!$AC$24:$AD$24,'实盘净值数据(iFinD）'!$Z317:$AA317/'实盘净值数据(iFinD）'!$Z$65:$AA$65))*(1-实盘持仓初始配置!$Z$8)^(('实盘净值数据(iFinD）'!$A317-'实盘净值数据(iFinD）'!$A$5)/365))</f>
        <v/>
      </c>
      <c r="O317" s="16" t="str">
        <f t="shared" si="34"/>
        <v/>
      </c>
      <c r="P317" s="16" t="str">
        <f>IF(N317="","",N317/MAX(N$5:N317)-1)</f>
        <v/>
      </c>
      <c r="Q317" s="13" t="str">
        <f>IF(OR('实盘净值数据(iFinD）'!$A317="",'实盘净值数据(iFinD）'!$B317="",'实盘净值数据(iFinD）'!$Z317="",'实盘净值数据(iFinD）'!$AA317=""),"",分期持仓明细!$AB$25*(SUMPRODUCT(分期持仓明细!$B$25:$Y$25,'实盘净值数据(iFinD）'!$B317:$Y317/'实盘净值数据(iFinD）'!$B$65:$Y$65)+SUMPRODUCT(分期持仓明细!$AC$25:$AD$25,'实盘净值数据(iFinD）'!$Z317:$AA317/'实盘净值数据(iFinD）'!$Z$65:$AA$65))*(1-实盘持仓初始配置!$Z$9)^(('实盘净值数据(iFinD）'!$A317-'实盘净值数据(iFinD）'!$A$8)/365))</f>
        <v/>
      </c>
      <c r="R317" s="16" t="str">
        <f t="shared" si="35"/>
        <v/>
      </c>
      <c r="S317" s="16" t="str">
        <f>IF(Q317="","",Q317/MAX(Q$5:Q317)-1)</f>
        <v/>
      </c>
      <c r="T317" s="13">
        <f>IF(OR('实盘净值数据(iFinD）'!$A317="",'实盘净值数据(iFinD）'!$B317="",'实盘净值数据(iFinD）'!$Z317="",'实盘净值数据(iFinD）'!$AA317="",'实盘净值数据(iFinD）'!$AB317="",'实盘净值数据(iFinD）'!$AL317=""),"",(SUMPRODUCT(分期持仓明细!$B$26:$Y$26,'实盘净值数据(iFinD）'!$B317:$Y317/'实盘净值数据(iFinD）'!$B$69:$Y$69)+SUMPRODUCT(分期持仓明细!$AC$26:$AD$26,'实盘净值数据(iFinD）'!$Z317:$AA317/'实盘净值数据(iFinD）'!$Z$69:$AA$69)+SUMPRODUCT(分期持仓明细!$AE$26:$AO$26,'实盘净值数据(iFinD）'!$AB317:$AL317/'实盘净值数据(iFinD）'!$AB$69:$AL$69))*(1-实盘持仓初始配置!$Z$10)^(('实盘净值数据(iFinD）'!$A317-'实盘净值数据(iFinD）'!$A$69)/365))</f>
        <v/>
      </c>
      <c r="U317" s="16">
        <f>IF(OR(T316="",T317=""),"",T317/T316-1)</f>
        <v/>
      </c>
      <c r="V317" s="16">
        <f>IF(T317="","",T317/MAX(T$5:T317)-1)</f>
        <v/>
      </c>
    </row>
    <row r="318" spans="1:19">
      <c r="A318" s="15" t="str">
        <f>IF('实盘净值数据(iFinD）'!A318="","",'实盘净值数据(iFinD）'!A318)</f>
        <v/>
      </c>
      <c r="B318" s="13" t="str">
        <f>IF(OR('实盘净值数据(iFinD）'!$A318="",'实盘净值数据(iFinD）'!$B318=""),"",分期持仓明细!$AB$17*SUMPRODUCT(分期持仓明细!$B$17:$Y$17,'实盘净值数据(iFinD）'!$B318:$Y318/'实盘净值数据(iFinD）'!$B$20:$Y$20)*(1-实盘持仓初始配置!$Z$4)^(('实盘净值数据(iFinD）'!$A318-'实盘净值数据(iFinD）'!$A$6)/365))</f>
        <v/>
      </c>
      <c r="C318" s="16" t="str">
        <f t="shared" si="30"/>
        <v/>
      </c>
      <c r="D318" s="16" t="str">
        <f>IF(B318="","",B318/MAX(B$5:B318)-1)</f>
        <v/>
      </c>
      <c r="E318" s="13" t="str">
        <f>IF(OR('实盘净值数据(iFinD）'!$A318="",'实盘净值数据(iFinD）'!$B318=""),"",分期持仓明细!$AB$18*SUMPRODUCT(分期持仓明细!$B$18:$Y$18,'实盘净值数据(iFinD）'!$B318:$Y318/'实盘净值数据(iFinD）'!$B$20:$Y$20)*(1-实盘持仓初始配置!$Z$5)^(('实盘净值数据(iFinD）'!$A318-'实盘净值数据(iFinD）'!$A$5)/365))</f>
        <v/>
      </c>
      <c r="F318" s="16" t="str">
        <f t="shared" si="31"/>
        <v/>
      </c>
      <c r="G318" s="16" t="str">
        <f>IF(E318="","",E318/MAX(E$5:E318)-1)</f>
        <v/>
      </c>
      <c r="H318" s="13" t="str">
        <f>IF(OR('实盘净值数据(iFinD）'!$A318="",'实盘净值数据(iFinD）'!$B318=""),"",分期持仓明细!$AB$19*SUMPRODUCT(分期持仓明细!$B$19:$Y$19,'实盘净值数据(iFinD）'!$B318:$Y318/'实盘净值数据(iFinD）'!$B$20:$Y$20)*(1-实盘持仓初始配置!$Z$6)^(('实盘净值数据(iFinD）'!$A318-'实盘净值数据(iFinD）'!$A$7)/365))</f>
        <v/>
      </c>
      <c r="I318" s="16" t="str">
        <f t="shared" si="32"/>
        <v/>
      </c>
      <c r="J318" s="16" t="str">
        <f>IF(H318="","",H318/MAX(H$5:H318)-1)</f>
        <v/>
      </c>
      <c r="K318" s="13" t="str">
        <f>IF(OR('实盘净值数据(iFinD）'!$A318="",'实盘净值数据(iFinD）'!$B318="",'实盘净值数据(iFinD）'!$Z318="",'实盘净值数据(iFinD）'!$AA318=""),"",分期持仓明细!$AB$23*(SUMPRODUCT(分期持仓明细!$B$23:$Y$23,'实盘净值数据(iFinD）'!$B318:$Y318/'实盘净值数据(iFinD）'!$B$65:$Y$65)+SUMPRODUCT(分期持仓明细!$AC$23:$AD$23,'实盘净值数据(iFinD）'!$Z318:$AA318/'实盘净值数据(iFinD）'!$Z$65:$AA$65))*(1-实盘持仓初始配置!$Z$7)^(('实盘净值数据(iFinD）'!$A318-'实盘净值数据(iFinD）'!$A$8)/365))</f>
        <v/>
      </c>
      <c r="L318" s="16" t="str">
        <f t="shared" si="33"/>
        <v/>
      </c>
      <c r="M318" s="16" t="str">
        <f>IF(K318="","",K318/MAX(K$5:K318)-1)</f>
        <v/>
      </c>
      <c r="N318" s="13" t="str">
        <f>IF(OR('实盘净值数据(iFinD）'!$A318="",'实盘净值数据(iFinD）'!$B318="",'实盘净值数据(iFinD）'!$Z318="",'实盘净值数据(iFinD）'!$AA318=""),"",分期持仓明细!$AB$24*(SUMPRODUCT(分期持仓明细!$B$24:$Y$24,'实盘净值数据(iFinD）'!$B318:$Y318/'实盘净值数据(iFinD）'!$B$65:$Y$65)+SUMPRODUCT(分期持仓明细!$AC$24:$AD$24,'实盘净值数据(iFinD）'!$Z318:$AA318/'实盘净值数据(iFinD）'!$Z$65:$AA$65))*(1-实盘持仓初始配置!$Z$8)^(('实盘净值数据(iFinD）'!$A318-'实盘净值数据(iFinD）'!$A$5)/365))</f>
        <v/>
      </c>
      <c r="O318" s="16" t="str">
        <f t="shared" si="34"/>
        <v/>
      </c>
      <c r="P318" s="16" t="str">
        <f>IF(N318="","",N318/MAX(N$5:N318)-1)</f>
        <v/>
      </c>
      <c r="Q318" s="13" t="str">
        <f>IF(OR('实盘净值数据(iFinD）'!$A318="",'实盘净值数据(iFinD）'!$B318="",'实盘净值数据(iFinD）'!$Z318="",'实盘净值数据(iFinD）'!$AA318=""),"",分期持仓明细!$AB$25*(SUMPRODUCT(分期持仓明细!$B$25:$Y$25,'实盘净值数据(iFinD）'!$B318:$Y318/'实盘净值数据(iFinD）'!$B$65:$Y$65)+SUMPRODUCT(分期持仓明细!$AC$25:$AD$25,'实盘净值数据(iFinD）'!$Z318:$AA318/'实盘净值数据(iFinD）'!$Z$65:$AA$65))*(1-实盘持仓初始配置!$Z$9)^(('实盘净值数据(iFinD）'!$A318-'实盘净值数据(iFinD）'!$A$8)/365))</f>
        <v/>
      </c>
      <c r="R318" s="16" t="str">
        <f t="shared" si="35"/>
        <v/>
      </c>
      <c r="S318" s="16" t="str">
        <f>IF(Q318="","",Q318/MAX(Q$5:Q318)-1)</f>
        <v/>
      </c>
      <c r="T318" s="13">
        <f>IF(OR('实盘净值数据(iFinD）'!$A318="",'实盘净值数据(iFinD）'!$B318="",'实盘净值数据(iFinD）'!$Z318="",'实盘净值数据(iFinD）'!$AA318="",'实盘净值数据(iFinD）'!$AB318="",'实盘净值数据(iFinD）'!$AL318=""),"",(SUMPRODUCT(分期持仓明细!$B$26:$Y$26,'实盘净值数据(iFinD）'!$B318:$Y318/'实盘净值数据(iFinD）'!$B$69:$Y$69)+SUMPRODUCT(分期持仓明细!$AC$26:$AD$26,'实盘净值数据(iFinD）'!$Z318:$AA318/'实盘净值数据(iFinD）'!$Z$69:$AA$69)+SUMPRODUCT(分期持仓明细!$AE$26:$AO$26,'实盘净值数据(iFinD）'!$AB318:$AL318/'实盘净值数据(iFinD）'!$AB$69:$AL$69))*(1-实盘持仓初始配置!$Z$10)^(('实盘净值数据(iFinD）'!$A318-'实盘净值数据(iFinD）'!$A$69)/365))</f>
        <v/>
      </c>
      <c r="U318" s="16">
        <f>IF(OR(T317="",T318=""),"",T318/T317-1)</f>
        <v/>
      </c>
      <c r="V318" s="16">
        <f>IF(T318="","",T318/MAX(T$5:T318)-1)</f>
        <v/>
      </c>
    </row>
    <row r="319" spans="1:19">
      <c r="A319" s="15" t="str">
        <f>IF('实盘净值数据(iFinD）'!A319="","",'实盘净值数据(iFinD）'!A319)</f>
        <v/>
      </c>
      <c r="B319" s="13" t="str">
        <f>IF(OR('实盘净值数据(iFinD）'!$A319="",'实盘净值数据(iFinD）'!$B319=""),"",分期持仓明细!$AB$17*SUMPRODUCT(分期持仓明细!$B$17:$Y$17,'实盘净值数据(iFinD）'!$B319:$Y319/'实盘净值数据(iFinD）'!$B$20:$Y$20)*(1-实盘持仓初始配置!$Z$4)^(('实盘净值数据(iFinD）'!$A319-'实盘净值数据(iFinD）'!$A$6)/365))</f>
        <v/>
      </c>
      <c r="C319" s="16" t="str">
        <f t="shared" si="30"/>
        <v/>
      </c>
      <c r="D319" s="16" t="str">
        <f>IF(B319="","",B319/MAX(B$5:B319)-1)</f>
        <v/>
      </c>
      <c r="E319" s="13" t="str">
        <f>IF(OR('实盘净值数据(iFinD）'!$A319="",'实盘净值数据(iFinD）'!$B319=""),"",分期持仓明细!$AB$18*SUMPRODUCT(分期持仓明细!$B$18:$Y$18,'实盘净值数据(iFinD）'!$B319:$Y319/'实盘净值数据(iFinD）'!$B$20:$Y$20)*(1-实盘持仓初始配置!$Z$5)^(('实盘净值数据(iFinD）'!$A319-'实盘净值数据(iFinD）'!$A$5)/365))</f>
        <v/>
      </c>
      <c r="F319" s="16" t="str">
        <f t="shared" si="31"/>
        <v/>
      </c>
      <c r="G319" s="16" t="str">
        <f>IF(E319="","",E319/MAX(E$5:E319)-1)</f>
        <v/>
      </c>
      <c r="H319" s="13" t="str">
        <f>IF(OR('实盘净值数据(iFinD）'!$A319="",'实盘净值数据(iFinD）'!$B319=""),"",分期持仓明细!$AB$19*SUMPRODUCT(分期持仓明细!$B$19:$Y$19,'实盘净值数据(iFinD）'!$B319:$Y319/'实盘净值数据(iFinD）'!$B$20:$Y$20)*(1-实盘持仓初始配置!$Z$6)^(('实盘净值数据(iFinD）'!$A319-'实盘净值数据(iFinD）'!$A$7)/365))</f>
        <v/>
      </c>
      <c r="I319" s="16" t="str">
        <f t="shared" si="32"/>
        <v/>
      </c>
      <c r="J319" s="16" t="str">
        <f>IF(H319="","",H319/MAX(H$5:H319)-1)</f>
        <v/>
      </c>
      <c r="K319" s="13" t="str">
        <f>IF(OR('实盘净值数据(iFinD）'!$A319="",'实盘净值数据(iFinD）'!$B319="",'实盘净值数据(iFinD）'!$Z319="",'实盘净值数据(iFinD）'!$AA319=""),"",分期持仓明细!$AB$23*(SUMPRODUCT(分期持仓明细!$B$23:$Y$23,'实盘净值数据(iFinD）'!$B319:$Y319/'实盘净值数据(iFinD）'!$B$65:$Y$65)+SUMPRODUCT(分期持仓明细!$AC$23:$AD$23,'实盘净值数据(iFinD）'!$Z319:$AA319/'实盘净值数据(iFinD）'!$Z$65:$AA$65))*(1-实盘持仓初始配置!$Z$7)^(('实盘净值数据(iFinD）'!$A319-'实盘净值数据(iFinD）'!$A$8)/365))</f>
        <v/>
      </c>
      <c r="L319" s="16" t="str">
        <f t="shared" si="33"/>
        <v/>
      </c>
      <c r="M319" s="16" t="str">
        <f>IF(K319="","",K319/MAX(K$5:K319)-1)</f>
        <v/>
      </c>
      <c r="N319" s="13" t="str">
        <f>IF(OR('实盘净值数据(iFinD）'!$A319="",'实盘净值数据(iFinD）'!$B319="",'实盘净值数据(iFinD）'!$Z319="",'实盘净值数据(iFinD）'!$AA319=""),"",分期持仓明细!$AB$24*(SUMPRODUCT(分期持仓明细!$B$24:$Y$24,'实盘净值数据(iFinD）'!$B319:$Y319/'实盘净值数据(iFinD）'!$B$65:$Y$65)+SUMPRODUCT(分期持仓明细!$AC$24:$AD$24,'实盘净值数据(iFinD）'!$Z319:$AA319/'实盘净值数据(iFinD）'!$Z$65:$AA$65))*(1-实盘持仓初始配置!$Z$8)^(('实盘净值数据(iFinD）'!$A319-'实盘净值数据(iFinD）'!$A$5)/365))</f>
        <v/>
      </c>
      <c r="O319" s="16" t="str">
        <f t="shared" si="34"/>
        <v/>
      </c>
      <c r="P319" s="16" t="str">
        <f>IF(N319="","",N319/MAX(N$5:N319)-1)</f>
        <v/>
      </c>
      <c r="Q319" s="13" t="str">
        <f>IF(OR('实盘净值数据(iFinD）'!$A319="",'实盘净值数据(iFinD）'!$B319="",'实盘净值数据(iFinD）'!$Z319="",'实盘净值数据(iFinD）'!$AA319=""),"",分期持仓明细!$AB$25*(SUMPRODUCT(分期持仓明细!$B$25:$Y$25,'实盘净值数据(iFinD）'!$B319:$Y319/'实盘净值数据(iFinD）'!$B$65:$Y$65)+SUMPRODUCT(分期持仓明细!$AC$25:$AD$25,'实盘净值数据(iFinD）'!$Z319:$AA319/'实盘净值数据(iFinD）'!$Z$65:$AA$65))*(1-实盘持仓初始配置!$Z$9)^(('实盘净值数据(iFinD）'!$A319-'实盘净值数据(iFinD）'!$A$8)/365))</f>
        <v/>
      </c>
      <c r="R319" s="16" t="str">
        <f t="shared" si="35"/>
        <v/>
      </c>
      <c r="S319" s="16" t="str">
        <f>IF(Q319="","",Q319/MAX(Q$5:Q319)-1)</f>
        <v/>
      </c>
      <c r="T319" s="13">
        <f>IF(OR('实盘净值数据(iFinD）'!$A319="",'实盘净值数据(iFinD）'!$B319="",'实盘净值数据(iFinD）'!$Z319="",'实盘净值数据(iFinD）'!$AA319="",'实盘净值数据(iFinD）'!$AB319="",'实盘净值数据(iFinD）'!$AL319=""),"",(SUMPRODUCT(分期持仓明细!$B$26:$Y$26,'实盘净值数据(iFinD）'!$B319:$Y319/'实盘净值数据(iFinD）'!$B$69:$Y$69)+SUMPRODUCT(分期持仓明细!$AC$26:$AD$26,'实盘净值数据(iFinD）'!$Z319:$AA319/'实盘净值数据(iFinD）'!$Z$69:$AA$69)+SUMPRODUCT(分期持仓明细!$AE$26:$AO$26,'实盘净值数据(iFinD）'!$AB319:$AL319/'实盘净值数据(iFinD）'!$AB$69:$AL$69))*(1-实盘持仓初始配置!$Z$10)^(('实盘净值数据(iFinD）'!$A319-'实盘净值数据(iFinD）'!$A$69)/365))</f>
        <v/>
      </c>
      <c r="U319" s="16">
        <f>IF(OR(T318="",T319=""),"",T319/T318-1)</f>
        <v/>
      </c>
      <c r="V319" s="16">
        <f>IF(T319="","",T319/MAX(T$5:T319)-1)</f>
        <v/>
      </c>
    </row>
    <row r="320" spans="1:19">
      <c r="A320" s="15" t="str">
        <f>IF('实盘净值数据(iFinD）'!A320="","",'实盘净值数据(iFinD）'!A320)</f>
        <v/>
      </c>
      <c r="B320" s="13" t="str">
        <f>IF(OR('实盘净值数据(iFinD）'!$A320="",'实盘净值数据(iFinD）'!$B320=""),"",分期持仓明细!$AB$17*SUMPRODUCT(分期持仓明细!$B$17:$Y$17,'实盘净值数据(iFinD）'!$B320:$Y320/'实盘净值数据(iFinD）'!$B$20:$Y$20)*(1-实盘持仓初始配置!$Z$4)^(('实盘净值数据(iFinD）'!$A320-'实盘净值数据(iFinD）'!$A$6)/365))</f>
        <v/>
      </c>
      <c r="C320" s="16" t="str">
        <f t="shared" si="30"/>
        <v/>
      </c>
      <c r="D320" s="16" t="str">
        <f>IF(B320="","",B320/MAX(B$5:B320)-1)</f>
        <v/>
      </c>
      <c r="E320" s="13" t="str">
        <f>IF(OR('实盘净值数据(iFinD）'!$A320="",'实盘净值数据(iFinD）'!$B320=""),"",分期持仓明细!$AB$18*SUMPRODUCT(分期持仓明细!$B$18:$Y$18,'实盘净值数据(iFinD）'!$B320:$Y320/'实盘净值数据(iFinD）'!$B$20:$Y$20)*(1-实盘持仓初始配置!$Z$5)^(('实盘净值数据(iFinD）'!$A320-'实盘净值数据(iFinD）'!$A$5)/365))</f>
        <v/>
      </c>
      <c r="F320" s="16" t="str">
        <f t="shared" si="31"/>
        <v/>
      </c>
      <c r="G320" s="16" t="str">
        <f>IF(E320="","",E320/MAX(E$5:E320)-1)</f>
        <v/>
      </c>
      <c r="H320" s="13" t="str">
        <f>IF(OR('实盘净值数据(iFinD）'!$A320="",'实盘净值数据(iFinD）'!$B320=""),"",分期持仓明细!$AB$19*SUMPRODUCT(分期持仓明细!$B$19:$Y$19,'实盘净值数据(iFinD）'!$B320:$Y320/'实盘净值数据(iFinD）'!$B$20:$Y$20)*(1-实盘持仓初始配置!$Z$6)^(('实盘净值数据(iFinD）'!$A320-'实盘净值数据(iFinD）'!$A$7)/365))</f>
        <v/>
      </c>
      <c r="I320" s="16" t="str">
        <f t="shared" si="32"/>
        <v/>
      </c>
      <c r="J320" s="16" t="str">
        <f>IF(H320="","",H320/MAX(H$5:H320)-1)</f>
        <v/>
      </c>
      <c r="K320" s="13" t="str">
        <f>IF(OR('实盘净值数据(iFinD）'!$A320="",'实盘净值数据(iFinD）'!$B320="",'实盘净值数据(iFinD）'!$Z320="",'实盘净值数据(iFinD）'!$AA320=""),"",分期持仓明细!$AB$23*(SUMPRODUCT(分期持仓明细!$B$23:$Y$23,'实盘净值数据(iFinD）'!$B320:$Y320/'实盘净值数据(iFinD）'!$B$65:$Y$65)+SUMPRODUCT(分期持仓明细!$AC$23:$AD$23,'实盘净值数据(iFinD）'!$Z320:$AA320/'实盘净值数据(iFinD）'!$Z$65:$AA$65))*(1-实盘持仓初始配置!$Z$7)^(('实盘净值数据(iFinD）'!$A320-'实盘净值数据(iFinD）'!$A$8)/365))</f>
        <v/>
      </c>
      <c r="L320" s="16" t="str">
        <f t="shared" si="33"/>
        <v/>
      </c>
      <c r="M320" s="16" t="str">
        <f>IF(K320="","",K320/MAX(K$5:K320)-1)</f>
        <v/>
      </c>
      <c r="N320" s="13" t="str">
        <f>IF(OR('实盘净值数据(iFinD）'!$A320="",'实盘净值数据(iFinD）'!$B320="",'实盘净值数据(iFinD）'!$Z320="",'实盘净值数据(iFinD）'!$AA320=""),"",分期持仓明细!$AB$24*(SUMPRODUCT(分期持仓明细!$B$24:$Y$24,'实盘净值数据(iFinD）'!$B320:$Y320/'实盘净值数据(iFinD）'!$B$65:$Y$65)+SUMPRODUCT(分期持仓明细!$AC$24:$AD$24,'实盘净值数据(iFinD）'!$Z320:$AA320/'实盘净值数据(iFinD）'!$Z$65:$AA$65))*(1-实盘持仓初始配置!$Z$8)^(('实盘净值数据(iFinD）'!$A320-'实盘净值数据(iFinD）'!$A$5)/365))</f>
        <v/>
      </c>
      <c r="O320" s="16" t="str">
        <f t="shared" si="34"/>
        <v/>
      </c>
      <c r="P320" s="16" t="str">
        <f>IF(N320="","",N320/MAX(N$5:N320)-1)</f>
        <v/>
      </c>
      <c r="Q320" s="13" t="str">
        <f>IF(OR('实盘净值数据(iFinD）'!$A320="",'实盘净值数据(iFinD）'!$B320="",'实盘净值数据(iFinD）'!$Z320="",'实盘净值数据(iFinD）'!$AA320=""),"",分期持仓明细!$AB$25*(SUMPRODUCT(分期持仓明细!$B$25:$Y$25,'实盘净值数据(iFinD）'!$B320:$Y320/'实盘净值数据(iFinD）'!$B$65:$Y$65)+SUMPRODUCT(分期持仓明细!$AC$25:$AD$25,'实盘净值数据(iFinD）'!$Z320:$AA320/'实盘净值数据(iFinD）'!$Z$65:$AA$65))*(1-实盘持仓初始配置!$Z$9)^(('实盘净值数据(iFinD）'!$A320-'实盘净值数据(iFinD）'!$A$8)/365))</f>
        <v/>
      </c>
      <c r="R320" s="16" t="str">
        <f t="shared" si="35"/>
        <v/>
      </c>
      <c r="S320" s="16" t="str">
        <f>IF(Q320="","",Q320/MAX(Q$5:Q320)-1)</f>
        <v/>
      </c>
      <c r="T320" s="13">
        <f>IF(OR('实盘净值数据(iFinD）'!$A320="",'实盘净值数据(iFinD）'!$B320="",'实盘净值数据(iFinD）'!$Z320="",'实盘净值数据(iFinD）'!$AA320="",'实盘净值数据(iFinD）'!$AB320="",'实盘净值数据(iFinD）'!$AL320=""),"",(SUMPRODUCT(分期持仓明细!$B$26:$Y$26,'实盘净值数据(iFinD）'!$B320:$Y320/'实盘净值数据(iFinD）'!$B$69:$Y$69)+SUMPRODUCT(分期持仓明细!$AC$26:$AD$26,'实盘净值数据(iFinD）'!$Z320:$AA320/'实盘净值数据(iFinD）'!$Z$69:$AA$69)+SUMPRODUCT(分期持仓明细!$AE$26:$AO$26,'实盘净值数据(iFinD）'!$AB320:$AL320/'实盘净值数据(iFinD）'!$AB$69:$AL$69))*(1-实盘持仓初始配置!$Z$10)^(('实盘净值数据(iFinD）'!$A320-'实盘净值数据(iFinD）'!$A$69)/365))</f>
        <v/>
      </c>
      <c r="U320" s="16">
        <f>IF(OR(T319="",T320=""),"",T320/T319-1)</f>
        <v/>
      </c>
      <c r="V320" s="16">
        <f>IF(T320="","",T320/MAX(T$5:T320)-1)</f>
        <v/>
      </c>
    </row>
    <row r="321" spans="1:19">
      <c r="A321" s="15" t="str">
        <f>IF('实盘净值数据(iFinD）'!A321="","",'实盘净值数据(iFinD）'!A321)</f>
        <v/>
      </c>
      <c r="B321" s="13" t="str">
        <f>IF(OR('实盘净值数据(iFinD）'!$A321="",'实盘净值数据(iFinD）'!$B321=""),"",分期持仓明细!$AB$17*SUMPRODUCT(分期持仓明细!$B$17:$Y$17,'实盘净值数据(iFinD）'!$B321:$Y321/'实盘净值数据(iFinD）'!$B$20:$Y$20)*(1-实盘持仓初始配置!$Z$4)^(('实盘净值数据(iFinD）'!$A321-'实盘净值数据(iFinD）'!$A$6)/365))</f>
        <v/>
      </c>
      <c r="C321" s="16" t="str">
        <f t="shared" si="30"/>
        <v/>
      </c>
      <c r="D321" s="16" t="str">
        <f>IF(B321="","",B321/MAX(B$5:B321)-1)</f>
        <v/>
      </c>
      <c r="E321" s="13" t="str">
        <f>IF(OR('实盘净值数据(iFinD）'!$A321="",'实盘净值数据(iFinD）'!$B321=""),"",分期持仓明细!$AB$18*SUMPRODUCT(分期持仓明细!$B$18:$Y$18,'实盘净值数据(iFinD）'!$B321:$Y321/'实盘净值数据(iFinD）'!$B$20:$Y$20)*(1-实盘持仓初始配置!$Z$5)^(('实盘净值数据(iFinD）'!$A321-'实盘净值数据(iFinD）'!$A$5)/365))</f>
        <v/>
      </c>
      <c r="F321" s="16" t="str">
        <f t="shared" si="31"/>
        <v/>
      </c>
      <c r="G321" s="16" t="str">
        <f>IF(E321="","",E321/MAX(E$5:E321)-1)</f>
        <v/>
      </c>
      <c r="H321" s="13" t="str">
        <f>IF(OR('实盘净值数据(iFinD）'!$A321="",'实盘净值数据(iFinD）'!$B321=""),"",分期持仓明细!$AB$19*SUMPRODUCT(分期持仓明细!$B$19:$Y$19,'实盘净值数据(iFinD）'!$B321:$Y321/'实盘净值数据(iFinD）'!$B$20:$Y$20)*(1-实盘持仓初始配置!$Z$6)^(('实盘净值数据(iFinD）'!$A321-'实盘净值数据(iFinD）'!$A$7)/365))</f>
        <v/>
      </c>
      <c r="I321" s="16" t="str">
        <f t="shared" si="32"/>
        <v/>
      </c>
      <c r="J321" s="16" t="str">
        <f>IF(H321="","",H321/MAX(H$5:H321)-1)</f>
        <v/>
      </c>
      <c r="K321" s="13" t="str">
        <f>IF(OR('实盘净值数据(iFinD）'!$A321="",'实盘净值数据(iFinD）'!$B321="",'实盘净值数据(iFinD）'!$Z321="",'实盘净值数据(iFinD）'!$AA321=""),"",分期持仓明细!$AB$23*(SUMPRODUCT(分期持仓明细!$B$23:$Y$23,'实盘净值数据(iFinD）'!$B321:$Y321/'实盘净值数据(iFinD）'!$B$65:$Y$65)+SUMPRODUCT(分期持仓明细!$AC$23:$AD$23,'实盘净值数据(iFinD）'!$Z321:$AA321/'实盘净值数据(iFinD）'!$Z$65:$AA$65))*(1-实盘持仓初始配置!$Z$7)^(('实盘净值数据(iFinD）'!$A321-'实盘净值数据(iFinD）'!$A$8)/365))</f>
        <v/>
      </c>
      <c r="L321" s="16" t="str">
        <f t="shared" si="33"/>
        <v/>
      </c>
      <c r="M321" s="16" t="str">
        <f>IF(K321="","",K321/MAX(K$5:K321)-1)</f>
        <v/>
      </c>
      <c r="N321" s="13" t="str">
        <f>IF(OR('实盘净值数据(iFinD）'!$A321="",'实盘净值数据(iFinD）'!$B321="",'实盘净值数据(iFinD）'!$Z321="",'实盘净值数据(iFinD）'!$AA321=""),"",分期持仓明细!$AB$24*(SUMPRODUCT(分期持仓明细!$B$24:$Y$24,'实盘净值数据(iFinD）'!$B321:$Y321/'实盘净值数据(iFinD）'!$B$65:$Y$65)+SUMPRODUCT(分期持仓明细!$AC$24:$AD$24,'实盘净值数据(iFinD）'!$Z321:$AA321/'实盘净值数据(iFinD）'!$Z$65:$AA$65))*(1-实盘持仓初始配置!$Z$8)^(('实盘净值数据(iFinD）'!$A321-'实盘净值数据(iFinD）'!$A$5)/365))</f>
        <v/>
      </c>
      <c r="O321" s="16" t="str">
        <f t="shared" si="34"/>
        <v/>
      </c>
      <c r="P321" s="16" t="str">
        <f>IF(N321="","",N321/MAX(N$5:N321)-1)</f>
        <v/>
      </c>
      <c r="Q321" s="13" t="str">
        <f>IF(OR('实盘净值数据(iFinD）'!$A321="",'实盘净值数据(iFinD）'!$B321="",'实盘净值数据(iFinD）'!$Z321="",'实盘净值数据(iFinD）'!$AA321=""),"",分期持仓明细!$AB$25*(SUMPRODUCT(分期持仓明细!$B$25:$Y$25,'实盘净值数据(iFinD）'!$B321:$Y321/'实盘净值数据(iFinD）'!$B$65:$Y$65)+SUMPRODUCT(分期持仓明细!$AC$25:$AD$25,'实盘净值数据(iFinD）'!$Z321:$AA321/'实盘净值数据(iFinD）'!$Z$65:$AA$65))*(1-实盘持仓初始配置!$Z$9)^(('实盘净值数据(iFinD）'!$A321-'实盘净值数据(iFinD）'!$A$8)/365))</f>
        <v/>
      </c>
      <c r="R321" s="16" t="str">
        <f t="shared" si="35"/>
        <v/>
      </c>
      <c r="S321" s="16" t="str">
        <f>IF(Q321="","",Q321/MAX(Q$5:Q321)-1)</f>
        <v/>
      </c>
      <c r="T321" s="13">
        <f>IF(OR('实盘净值数据(iFinD）'!$A321="",'实盘净值数据(iFinD）'!$B321="",'实盘净值数据(iFinD）'!$Z321="",'实盘净值数据(iFinD）'!$AA321="",'实盘净值数据(iFinD）'!$AB321="",'实盘净值数据(iFinD）'!$AL321=""),"",(SUMPRODUCT(分期持仓明细!$B$26:$Y$26,'实盘净值数据(iFinD）'!$B321:$Y321/'实盘净值数据(iFinD）'!$B$69:$Y$69)+SUMPRODUCT(分期持仓明细!$AC$26:$AD$26,'实盘净值数据(iFinD）'!$Z321:$AA321/'实盘净值数据(iFinD）'!$Z$69:$AA$69)+SUMPRODUCT(分期持仓明细!$AE$26:$AO$26,'实盘净值数据(iFinD）'!$AB321:$AL321/'实盘净值数据(iFinD）'!$AB$69:$AL$69))*(1-实盘持仓初始配置!$Z$10)^(('实盘净值数据(iFinD）'!$A321-'实盘净值数据(iFinD）'!$A$69)/365))</f>
        <v/>
      </c>
      <c r="U321" s="16">
        <f>IF(OR(T320="",T321=""),"",T321/T320-1)</f>
        <v/>
      </c>
      <c r="V321" s="16">
        <f>IF(T321="","",T321/MAX(T$5:T321)-1)</f>
        <v/>
      </c>
    </row>
    <row r="322" spans="1:19">
      <c r="A322" s="15" t="str">
        <f>IF('实盘净值数据(iFinD）'!A322="","",'实盘净值数据(iFinD）'!A322)</f>
        <v/>
      </c>
      <c r="B322" s="13" t="str">
        <f>IF(OR('实盘净值数据(iFinD）'!$A322="",'实盘净值数据(iFinD）'!$B322=""),"",分期持仓明细!$AB$17*SUMPRODUCT(分期持仓明细!$B$17:$Y$17,'实盘净值数据(iFinD）'!$B322:$Y322/'实盘净值数据(iFinD）'!$B$20:$Y$20)*(1-实盘持仓初始配置!$Z$4)^(('实盘净值数据(iFinD）'!$A322-'实盘净值数据(iFinD）'!$A$6)/365))</f>
        <v/>
      </c>
      <c r="C322" s="16" t="str">
        <f t="shared" si="30"/>
        <v/>
      </c>
      <c r="D322" s="16" t="str">
        <f>IF(B322="","",B322/MAX(B$5:B322)-1)</f>
        <v/>
      </c>
      <c r="E322" s="13" t="str">
        <f>IF(OR('实盘净值数据(iFinD）'!$A322="",'实盘净值数据(iFinD）'!$B322=""),"",分期持仓明细!$AB$18*SUMPRODUCT(分期持仓明细!$B$18:$Y$18,'实盘净值数据(iFinD）'!$B322:$Y322/'实盘净值数据(iFinD）'!$B$20:$Y$20)*(1-实盘持仓初始配置!$Z$5)^(('实盘净值数据(iFinD）'!$A322-'实盘净值数据(iFinD）'!$A$5)/365))</f>
        <v/>
      </c>
      <c r="F322" s="16" t="str">
        <f t="shared" si="31"/>
        <v/>
      </c>
      <c r="G322" s="16" t="str">
        <f>IF(E322="","",E322/MAX(E$5:E322)-1)</f>
        <v/>
      </c>
      <c r="H322" s="13" t="str">
        <f>IF(OR('实盘净值数据(iFinD）'!$A322="",'实盘净值数据(iFinD）'!$B322=""),"",分期持仓明细!$AB$19*SUMPRODUCT(分期持仓明细!$B$19:$Y$19,'实盘净值数据(iFinD）'!$B322:$Y322/'实盘净值数据(iFinD）'!$B$20:$Y$20)*(1-实盘持仓初始配置!$Z$6)^(('实盘净值数据(iFinD）'!$A322-'实盘净值数据(iFinD）'!$A$7)/365))</f>
        <v/>
      </c>
      <c r="I322" s="16" t="str">
        <f t="shared" si="32"/>
        <v/>
      </c>
      <c r="J322" s="16" t="str">
        <f>IF(H322="","",H322/MAX(H$5:H322)-1)</f>
        <v/>
      </c>
      <c r="K322" s="13" t="str">
        <f>IF(OR('实盘净值数据(iFinD）'!$A322="",'实盘净值数据(iFinD）'!$B322="",'实盘净值数据(iFinD）'!$Z322="",'实盘净值数据(iFinD）'!$AA322=""),"",分期持仓明细!$AB$23*(SUMPRODUCT(分期持仓明细!$B$23:$Y$23,'实盘净值数据(iFinD）'!$B322:$Y322/'实盘净值数据(iFinD）'!$B$65:$Y$65)+SUMPRODUCT(分期持仓明细!$AC$23:$AD$23,'实盘净值数据(iFinD）'!$Z322:$AA322/'实盘净值数据(iFinD）'!$Z$65:$AA$65))*(1-实盘持仓初始配置!$Z$7)^(('实盘净值数据(iFinD）'!$A322-'实盘净值数据(iFinD）'!$A$8)/365))</f>
        <v/>
      </c>
      <c r="L322" s="16" t="str">
        <f t="shared" si="33"/>
        <v/>
      </c>
      <c r="M322" s="16" t="str">
        <f>IF(K322="","",K322/MAX(K$5:K322)-1)</f>
        <v/>
      </c>
      <c r="N322" s="13" t="str">
        <f>IF(OR('实盘净值数据(iFinD）'!$A322="",'实盘净值数据(iFinD）'!$B322="",'实盘净值数据(iFinD）'!$Z322="",'实盘净值数据(iFinD）'!$AA322=""),"",分期持仓明细!$AB$24*(SUMPRODUCT(分期持仓明细!$B$24:$Y$24,'实盘净值数据(iFinD）'!$B322:$Y322/'实盘净值数据(iFinD）'!$B$65:$Y$65)+SUMPRODUCT(分期持仓明细!$AC$24:$AD$24,'实盘净值数据(iFinD）'!$Z322:$AA322/'实盘净值数据(iFinD）'!$Z$65:$AA$65))*(1-实盘持仓初始配置!$Z$8)^(('实盘净值数据(iFinD）'!$A322-'实盘净值数据(iFinD）'!$A$5)/365))</f>
        <v/>
      </c>
      <c r="O322" s="16" t="str">
        <f t="shared" si="34"/>
        <v/>
      </c>
      <c r="P322" s="16" t="str">
        <f>IF(N322="","",N322/MAX(N$5:N322)-1)</f>
        <v/>
      </c>
      <c r="Q322" s="13" t="str">
        <f>IF(OR('实盘净值数据(iFinD）'!$A322="",'实盘净值数据(iFinD）'!$B322="",'实盘净值数据(iFinD）'!$Z322="",'实盘净值数据(iFinD）'!$AA322=""),"",分期持仓明细!$AB$25*(SUMPRODUCT(分期持仓明细!$B$25:$Y$25,'实盘净值数据(iFinD）'!$B322:$Y322/'实盘净值数据(iFinD）'!$B$65:$Y$65)+SUMPRODUCT(分期持仓明细!$AC$25:$AD$25,'实盘净值数据(iFinD）'!$Z322:$AA322/'实盘净值数据(iFinD）'!$Z$65:$AA$65))*(1-实盘持仓初始配置!$Z$9)^(('实盘净值数据(iFinD）'!$A322-'实盘净值数据(iFinD）'!$A$8)/365))</f>
        <v/>
      </c>
      <c r="R322" s="16" t="str">
        <f t="shared" si="35"/>
        <v/>
      </c>
      <c r="S322" s="16" t="str">
        <f>IF(Q322="","",Q322/MAX(Q$5:Q322)-1)</f>
        <v/>
      </c>
      <c r="T322" s="13">
        <f>IF(OR('实盘净值数据(iFinD）'!$A322="",'实盘净值数据(iFinD）'!$B322="",'实盘净值数据(iFinD）'!$Z322="",'实盘净值数据(iFinD）'!$AA322="",'实盘净值数据(iFinD）'!$AB322="",'实盘净值数据(iFinD）'!$AL322=""),"",(SUMPRODUCT(分期持仓明细!$B$26:$Y$26,'实盘净值数据(iFinD）'!$B322:$Y322/'实盘净值数据(iFinD）'!$B$69:$Y$69)+SUMPRODUCT(分期持仓明细!$AC$26:$AD$26,'实盘净值数据(iFinD）'!$Z322:$AA322/'实盘净值数据(iFinD）'!$Z$69:$AA$69)+SUMPRODUCT(分期持仓明细!$AE$26:$AO$26,'实盘净值数据(iFinD）'!$AB322:$AL322/'实盘净值数据(iFinD）'!$AB$69:$AL$69))*(1-实盘持仓初始配置!$Z$10)^(('实盘净值数据(iFinD）'!$A322-'实盘净值数据(iFinD）'!$A$69)/365))</f>
        <v/>
      </c>
      <c r="U322" s="16">
        <f>IF(OR(T321="",T322=""),"",T322/T321-1)</f>
        <v/>
      </c>
      <c r="V322" s="16">
        <f>IF(T322="","",T322/MAX(T$5:T322)-1)</f>
        <v/>
      </c>
    </row>
    <row r="323" spans="1:19">
      <c r="A323" s="15" t="str">
        <f>IF('实盘净值数据(iFinD）'!A323="","",'实盘净值数据(iFinD）'!A323)</f>
        <v/>
      </c>
      <c r="B323" s="13" t="str">
        <f>IF(OR('实盘净值数据(iFinD）'!$A323="",'实盘净值数据(iFinD）'!$B323=""),"",分期持仓明细!$AB$17*SUMPRODUCT(分期持仓明细!$B$17:$Y$17,'实盘净值数据(iFinD）'!$B323:$Y323/'实盘净值数据(iFinD）'!$B$20:$Y$20)*(1-实盘持仓初始配置!$Z$4)^(('实盘净值数据(iFinD）'!$A323-'实盘净值数据(iFinD）'!$A$6)/365))</f>
        <v/>
      </c>
      <c r="C323" s="16" t="str">
        <f t="shared" si="30"/>
        <v/>
      </c>
      <c r="D323" s="16" t="str">
        <f>IF(B323="","",B323/MAX(B$5:B323)-1)</f>
        <v/>
      </c>
      <c r="E323" s="13" t="str">
        <f>IF(OR('实盘净值数据(iFinD）'!$A323="",'实盘净值数据(iFinD）'!$B323=""),"",分期持仓明细!$AB$18*SUMPRODUCT(分期持仓明细!$B$18:$Y$18,'实盘净值数据(iFinD）'!$B323:$Y323/'实盘净值数据(iFinD）'!$B$20:$Y$20)*(1-实盘持仓初始配置!$Z$5)^(('实盘净值数据(iFinD）'!$A323-'实盘净值数据(iFinD）'!$A$5)/365))</f>
        <v/>
      </c>
      <c r="F323" s="16" t="str">
        <f t="shared" si="31"/>
        <v/>
      </c>
      <c r="G323" s="16" t="str">
        <f>IF(E323="","",E323/MAX(E$5:E323)-1)</f>
        <v/>
      </c>
      <c r="H323" s="13" t="str">
        <f>IF(OR('实盘净值数据(iFinD）'!$A323="",'实盘净值数据(iFinD）'!$B323=""),"",分期持仓明细!$AB$19*SUMPRODUCT(分期持仓明细!$B$19:$Y$19,'实盘净值数据(iFinD）'!$B323:$Y323/'实盘净值数据(iFinD）'!$B$20:$Y$20)*(1-实盘持仓初始配置!$Z$6)^(('实盘净值数据(iFinD）'!$A323-'实盘净值数据(iFinD）'!$A$7)/365))</f>
        <v/>
      </c>
      <c r="I323" s="16" t="str">
        <f t="shared" si="32"/>
        <v/>
      </c>
      <c r="J323" s="16" t="str">
        <f>IF(H323="","",H323/MAX(H$5:H323)-1)</f>
        <v/>
      </c>
      <c r="K323" s="13" t="str">
        <f>IF(OR('实盘净值数据(iFinD）'!$A323="",'实盘净值数据(iFinD）'!$B323="",'实盘净值数据(iFinD）'!$Z323="",'实盘净值数据(iFinD）'!$AA323=""),"",分期持仓明细!$AB$23*(SUMPRODUCT(分期持仓明细!$B$23:$Y$23,'实盘净值数据(iFinD）'!$B323:$Y323/'实盘净值数据(iFinD）'!$B$65:$Y$65)+SUMPRODUCT(分期持仓明细!$AC$23:$AD$23,'实盘净值数据(iFinD）'!$Z323:$AA323/'实盘净值数据(iFinD）'!$Z$65:$AA$65))*(1-实盘持仓初始配置!$Z$7)^(('实盘净值数据(iFinD）'!$A323-'实盘净值数据(iFinD）'!$A$8)/365))</f>
        <v/>
      </c>
      <c r="L323" s="16" t="str">
        <f t="shared" si="33"/>
        <v/>
      </c>
      <c r="M323" s="16" t="str">
        <f>IF(K323="","",K323/MAX(K$5:K323)-1)</f>
        <v/>
      </c>
      <c r="N323" s="13" t="str">
        <f>IF(OR('实盘净值数据(iFinD）'!$A323="",'实盘净值数据(iFinD）'!$B323="",'实盘净值数据(iFinD）'!$Z323="",'实盘净值数据(iFinD）'!$AA323=""),"",分期持仓明细!$AB$24*(SUMPRODUCT(分期持仓明细!$B$24:$Y$24,'实盘净值数据(iFinD）'!$B323:$Y323/'实盘净值数据(iFinD）'!$B$65:$Y$65)+SUMPRODUCT(分期持仓明细!$AC$24:$AD$24,'实盘净值数据(iFinD）'!$Z323:$AA323/'实盘净值数据(iFinD）'!$Z$65:$AA$65))*(1-实盘持仓初始配置!$Z$8)^(('实盘净值数据(iFinD）'!$A323-'实盘净值数据(iFinD）'!$A$5)/365))</f>
        <v/>
      </c>
      <c r="O323" s="16" t="str">
        <f t="shared" si="34"/>
        <v/>
      </c>
      <c r="P323" s="16" t="str">
        <f>IF(N323="","",N323/MAX(N$5:N323)-1)</f>
        <v/>
      </c>
      <c r="Q323" s="13" t="str">
        <f>IF(OR('实盘净值数据(iFinD）'!$A323="",'实盘净值数据(iFinD）'!$B323="",'实盘净值数据(iFinD）'!$Z323="",'实盘净值数据(iFinD）'!$AA323=""),"",分期持仓明细!$AB$25*(SUMPRODUCT(分期持仓明细!$B$25:$Y$25,'实盘净值数据(iFinD）'!$B323:$Y323/'实盘净值数据(iFinD）'!$B$65:$Y$65)+SUMPRODUCT(分期持仓明细!$AC$25:$AD$25,'实盘净值数据(iFinD）'!$Z323:$AA323/'实盘净值数据(iFinD）'!$Z$65:$AA$65))*(1-实盘持仓初始配置!$Z$9)^(('实盘净值数据(iFinD）'!$A323-'实盘净值数据(iFinD）'!$A$8)/365))</f>
        <v/>
      </c>
      <c r="R323" s="16" t="str">
        <f t="shared" si="35"/>
        <v/>
      </c>
      <c r="S323" s="16" t="str">
        <f>IF(Q323="","",Q323/MAX(Q$5:Q323)-1)</f>
        <v/>
      </c>
      <c r="T323" s="13">
        <f>IF(OR('实盘净值数据(iFinD）'!$A323="",'实盘净值数据(iFinD）'!$B323="",'实盘净值数据(iFinD）'!$Z323="",'实盘净值数据(iFinD）'!$AA323="",'实盘净值数据(iFinD）'!$AB323="",'实盘净值数据(iFinD）'!$AL323=""),"",(SUMPRODUCT(分期持仓明细!$B$26:$Y$26,'实盘净值数据(iFinD）'!$B323:$Y323/'实盘净值数据(iFinD）'!$B$69:$Y$69)+SUMPRODUCT(分期持仓明细!$AC$26:$AD$26,'实盘净值数据(iFinD）'!$Z323:$AA323/'实盘净值数据(iFinD）'!$Z$69:$AA$69)+SUMPRODUCT(分期持仓明细!$AE$26:$AO$26,'实盘净值数据(iFinD）'!$AB323:$AL323/'实盘净值数据(iFinD）'!$AB$69:$AL$69))*(1-实盘持仓初始配置!$Z$10)^(('实盘净值数据(iFinD）'!$A323-'实盘净值数据(iFinD）'!$A$69)/365))</f>
        <v/>
      </c>
      <c r="U323" s="16">
        <f>IF(OR(T322="",T323=""),"",T323/T322-1)</f>
        <v/>
      </c>
      <c r="V323" s="16">
        <f>IF(T323="","",T323/MAX(T$5:T323)-1)</f>
        <v/>
      </c>
    </row>
    <row r="324" spans="1:19">
      <c r="A324" s="15" t="str">
        <f>IF('实盘净值数据(iFinD）'!A324="","",'实盘净值数据(iFinD）'!A324)</f>
        <v/>
      </c>
      <c r="B324" s="13" t="str">
        <f>IF(OR('实盘净值数据(iFinD）'!$A324="",'实盘净值数据(iFinD）'!$B324=""),"",分期持仓明细!$AB$17*SUMPRODUCT(分期持仓明细!$B$17:$Y$17,'实盘净值数据(iFinD）'!$B324:$Y324/'实盘净值数据(iFinD）'!$B$20:$Y$20)*(1-实盘持仓初始配置!$Z$4)^(('实盘净值数据(iFinD）'!$A324-'实盘净值数据(iFinD）'!$A$6)/365))</f>
        <v/>
      </c>
      <c r="C324" s="16" t="str">
        <f t="shared" si="30"/>
        <v/>
      </c>
      <c r="D324" s="16" t="str">
        <f>IF(B324="","",B324/MAX(B$5:B324)-1)</f>
        <v/>
      </c>
      <c r="E324" s="13" t="str">
        <f>IF(OR('实盘净值数据(iFinD）'!$A324="",'实盘净值数据(iFinD）'!$B324=""),"",分期持仓明细!$AB$18*SUMPRODUCT(分期持仓明细!$B$18:$Y$18,'实盘净值数据(iFinD）'!$B324:$Y324/'实盘净值数据(iFinD）'!$B$20:$Y$20)*(1-实盘持仓初始配置!$Z$5)^(('实盘净值数据(iFinD）'!$A324-'实盘净值数据(iFinD）'!$A$5)/365))</f>
        <v/>
      </c>
      <c r="F324" s="16" t="str">
        <f t="shared" si="31"/>
        <v/>
      </c>
      <c r="G324" s="16" t="str">
        <f>IF(E324="","",E324/MAX(E$5:E324)-1)</f>
        <v/>
      </c>
      <c r="H324" s="13" t="str">
        <f>IF(OR('实盘净值数据(iFinD）'!$A324="",'实盘净值数据(iFinD）'!$B324=""),"",分期持仓明细!$AB$19*SUMPRODUCT(分期持仓明细!$B$19:$Y$19,'实盘净值数据(iFinD）'!$B324:$Y324/'实盘净值数据(iFinD）'!$B$20:$Y$20)*(1-实盘持仓初始配置!$Z$6)^(('实盘净值数据(iFinD）'!$A324-'实盘净值数据(iFinD）'!$A$7)/365))</f>
        <v/>
      </c>
      <c r="I324" s="16" t="str">
        <f t="shared" si="32"/>
        <v/>
      </c>
      <c r="J324" s="16" t="str">
        <f>IF(H324="","",H324/MAX(H$5:H324)-1)</f>
        <v/>
      </c>
      <c r="K324" s="13" t="str">
        <f>IF(OR('实盘净值数据(iFinD）'!$A324="",'实盘净值数据(iFinD）'!$B324="",'实盘净值数据(iFinD）'!$Z324="",'实盘净值数据(iFinD）'!$AA324=""),"",分期持仓明细!$AB$23*(SUMPRODUCT(分期持仓明细!$B$23:$Y$23,'实盘净值数据(iFinD）'!$B324:$Y324/'实盘净值数据(iFinD）'!$B$65:$Y$65)+SUMPRODUCT(分期持仓明细!$AC$23:$AD$23,'实盘净值数据(iFinD）'!$Z324:$AA324/'实盘净值数据(iFinD）'!$Z$65:$AA$65))*(1-实盘持仓初始配置!$Z$7)^(('实盘净值数据(iFinD）'!$A324-'实盘净值数据(iFinD）'!$A$8)/365))</f>
        <v/>
      </c>
      <c r="L324" s="16" t="str">
        <f t="shared" si="33"/>
        <v/>
      </c>
      <c r="M324" s="16" t="str">
        <f>IF(K324="","",K324/MAX(K$5:K324)-1)</f>
        <v/>
      </c>
      <c r="N324" s="13" t="str">
        <f>IF(OR('实盘净值数据(iFinD）'!$A324="",'实盘净值数据(iFinD）'!$B324="",'实盘净值数据(iFinD）'!$Z324="",'实盘净值数据(iFinD）'!$AA324=""),"",分期持仓明细!$AB$24*(SUMPRODUCT(分期持仓明细!$B$24:$Y$24,'实盘净值数据(iFinD）'!$B324:$Y324/'实盘净值数据(iFinD）'!$B$65:$Y$65)+SUMPRODUCT(分期持仓明细!$AC$24:$AD$24,'实盘净值数据(iFinD）'!$Z324:$AA324/'实盘净值数据(iFinD）'!$Z$65:$AA$65))*(1-实盘持仓初始配置!$Z$8)^(('实盘净值数据(iFinD）'!$A324-'实盘净值数据(iFinD）'!$A$5)/365))</f>
        <v/>
      </c>
      <c r="O324" s="16" t="str">
        <f t="shared" si="34"/>
        <v/>
      </c>
      <c r="P324" s="16" t="str">
        <f>IF(N324="","",N324/MAX(N$5:N324)-1)</f>
        <v/>
      </c>
      <c r="Q324" s="13" t="str">
        <f>IF(OR('实盘净值数据(iFinD）'!$A324="",'实盘净值数据(iFinD）'!$B324="",'实盘净值数据(iFinD）'!$Z324="",'实盘净值数据(iFinD）'!$AA324=""),"",分期持仓明细!$AB$25*(SUMPRODUCT(分期持仓明细!$B$25:$Y$25,'实盘净值数据(iFinD）'!$B324:$Y324/'实盘净值数据(iFinD）'!$B$65:$Y$65)+SUMPRODUCT(分期持仓明细!$AC$25:$AD$25,'实盘净值数据(iFinD）'!$Z324:$AA324/'实盘净值数据(iFinD）'!$Z$65:$AA$65))*(1-实盘持仓初始配置!$Z$9)^(('实盘净值数据(iFinD）'!$A324-'实盘净值数据(iFinD）'!$A$8)/365))</f>
        <v/>
      </c>
      <c r="R324" s="16" t="str">
        <f t="shared" si="35"/>
        <v/>
      </c>
      <c r="S324" s="16" t="str">
        <f>IF(Q324="","",Q324/MAX(Q$5:Q324)-1)</f>
        <v/>
      </c>
      <c r="T324" s="13">
        <f>IF(OR('实盘净值数据(iFinD）'!$A324="",'实盘净值数据(iFinD）'!$B324="",'实盘净值数据(iFinD）'!$Z324="",'实盘净值数据(iFinD）'!$AA324="",'实盘净值数据(iFinD）'!$AB324="",'实盘净值数据(iFinD）'!$AL324=""),"",(SUMPRODUCT(分期持仓明细!$B$26:$Y$26,'实盘净值数据(iFinD）'!$B324:$Y324/'实盘净值数据(iFinD）'!$B$69:$Y$69)+SUMPRODUCT(分期持仓明细!$AC$26:$AD$26,'实盘净值数据(iFinD）'!$Z324:$AA324/'实盘净值数据(iFinD）'!$Z$69:$AA$69)+SUMPRODUCT(分期持仓明细!$AE$26:$AO$26,'实盘净值数据(iFinD）'!$AB324:$AL324/'实盘净值数据(iFinD）'!$AB$69:$AL$69))*(1-实盘持仓初始配置!$Z$10)^(('实盘净值数据(iFinD）'!$A324-'实盘净值数据(iFinD）'!$A$69)/365))</f>
        <v/>
      </c>
      <c r="U324" s="16">
        <f>IF(OR(T323="",T324=""),"",T324/T323-1)</f>
        <v/>
      </c>
      <c r="V324" s="16">
        <f>IF(T324="","",T324/MAX(T$5:T324)-1)</f>
        <v/>
      </c>
    </row>
    <row r="325" spans="1:19">
      <c r="A325" s="15" t="str">
        <f>IF('实盘净值数据(iFinD）'!A325="","",'实盘净值数据(iFinD）'!A325)</f>
        <v/>
      </c>
      <c r="B325" s="13" t="str">
        <f>IF(OR('实盘净值数据(iFinD）'!$A325="",'实盘净值数据(iFinD）'!$B325=""),"",分期持仓明细!$AB$17*SUMPRODUCT(分期持仓明细!$B$17:$Y$17,'实盘净值数据(iFinD）'!$B325:$Y325/'实盘净值数据(iFinD）'!$B$20:$Y$20)*(1-实盘持仓初始配置!$Z$4)^(('实盘净值数据(iFinD）'!$A325-'实盘净值数据(iFinD）'!$A$6)/365))</f>
        <v/>
      </c>
      <c r="C325" s="16" t="str">
        <f t="shared" si="30"/>
        <v/>
      </c>
      <c r="D325" s="16" t="str">
        <f>IF(B325="","",B325/MAX(B$5:B325)-1)</f>
        <v/>
      </c>
      <c r="E325" s="13" t="str">
        <f>IF(OR('实盘净值数据(iFinD）'!$A325="",'实盘净值数据(iFinD）'!$B325=""),"",分期持仓明细!$AB$18*SUMPRODUCT(分期持仓明细!$B$18:$Y$18,'实盘净值数据(iFinD）'!$B325:$Y325/'实盘净值数据(iFinD）'!$B$20:$Y$20)*(1-实盘持仓初始配置!$Z$5)^(('实盘净值数据(iFinD）'!$A325-'实盘净值数据(iFinD）'!$A$5)/365))</f>
        <v/>
      </c>
      <c r="F325" s="16" t="str">
        <f t="shared" si="31"/>
        <v/>
      </c>
      <c r="G325" s="16" t="str">
        <f>IF(E325="","",E325/MAX(E$5:E325)-1)</f>
        <v/>
      </c>
      <c r="H325" s="13" t="str">
        <f>IF(OR('实盘净值数据(iFinD）'!$A325="",'实盘净值数据(iFinD）'!$B325=""),"",分期持仓明细!$AB$19*SUMPRODUCT(分期持仓明细!$B$19:$Y$19,'实盘净值数据(iFinD）'!$B325:$Y325/'实盘净值数据(iFinD）'!$B$20:$Y$20)*(1-实盘持仓初始配置!$Z$6)^(('实盘净值数据(iFinD）'!$A325-'实盘净值数据(iFinD）'!$A$7)/365))</f>
        <v/>
      </c>
      <c r="I325" s="16" t="str">
        <f t="shared" si="32"/>
        <v/>
      </c>
      <c r="J325" s="16" t="str">
        <f>IF(H325="","",H325/MAX(H$5:H325)-1)</f>
        <v/>
      </c>
      <c r="K325" s="13" t="str">
        <f>IF(OR('实盘净值数据(iFinD）'!$A325="",'实盘净值数据(iFinD）'!$B325="",'实盘净值数据(iFinD）'!$Z325="",'实盘净值数据(iFinD）'!$AA325=""),"",分期持仓明细!$AB$23*(SUMPRODUCT(分期持仓明细!$B$23:$Y$23,'实盘净值数据(iFinD）'!$B325:$Y325/'实盘净值数据(iFinD）'!$B$65:$Y$65)+SUMPRODUCT(分期持仓明细!$AC$23:$AD$23,'实盘净值数据(iFinD）'!$Z325:$AA325/'实盘净值数据(iFinD）'!$Z$65:$AA$65))*(1-实盘持仓初始配置!$Z$7)^(('实盘净值数据(iFinD）'!$A325-'实盘净值数据(iFinD）'!$A$8)/365))</f>
        <v/>
      </c>
      <c r="L325" s="16" t="str">
        <f t="shared" si="33"/>
        <v/>
      </c>
      <c r="M325" s="16" t="str">
        <f>IF(K325="","",K325/MAX(K$5:K325)-1)</f>
        <v/>
      </c>
      <c r="N325" s="13" t="str">
        <f>IF(OR('实盘净值数据(iFinD）'!$A325="",'实盘净值数据(iFinD）'!$B325="",'实盘净值数据(iFinD）'!$Z325="",'实盘净值数据(iFinD）'!$AA325=""),"",分期持仓明细!$AB$24*(SUMPRODUCT(分期持仓明细!$B$24:$Y$24,'实盘净值数据(iFinD）'!$B325:$Y325/'实盘净值数据(iFinD）'!$B$65:$Y$65)+SUMPRODUCT(分期持仓明细!$AC$24:$AD$24,'实盘净值数据(iFinD）'!$Z325:$AA325/'实盘净值数据(iFinD）'!$Z$65:$AA$65))*(1-实盘持仓初始配置!$Z$8)^(('实盘净值数据(iFinD）'!$A325-'实盘净值数据(iFinD）'!$A$5)/365))</f>
        <v/>
      </c>
      <c r="O325" s="16" t="str">
        <f t="shared" si="34"/>
        <v/>
      </c>
      <c r="P325" s="16" t="str">
        <f>IF(N325="","",N325/MAX(N$5:N325)-1)</f>
        <v/>
      </c>
      <c r="Q325" s="13" t="str">
        <f>IF(OR('实盘净值数据(iFinD）'!$A325="",'实盘净值数据(iFinD）'!$B325="",'实盘净值数据(iFinD）'!$Z325="",'实盘净值数据(iFinD）'!$AA325=""),"",分期持仓明细!$AB$25*(SUMPRODUCT(分期持仓明细!$B$25:$Y$25,'实盘净值数据(iFinD）'!$B325:$Y325/'实盘净值数据(iFinD）'!$B$65:$Y$65)+SUMPRODUCT(分期持仓明细!$AC$25:$AD$25,'实盘净值数据(iFinD）'!$Z325:$AA325/'实盘净值数据(iFinD）'!$Z$65:$AA$65))*(1-实盘持仓初始配置!$Z$9)^(('实盘净值数据(iFinD）'!$A325-'实盘净值数据(iFinD）'!$A$8)/365))</f>
        <v/>
      </c>
      <c r="R325" s="16" t="str">
        <f t="shared" si="35"/>
        <v/>
      </c>
      <c r="S325" s="16" t="str">
        <f>IF(Q325="","",Q325/MAX(Q$5:Q325)-1)</f>
        <v/>
      </c>
      <c r="T325" s="13">
        <f>IF(OR('实盘净值数据(iFinD）'!$A325="",'实盘净值数据(iFinD）'!$B325="",'实盘净值数据(iFinD）'!$Z325="",'实盘净值数据(iFinD）'!$AA325="",'实盘净值数据(iFinD）'!$AB325="",'实盘净值数据(iFinD）'!$AL325=""),"",(SUMPRODUCT(分期持仓明细!$B$26:$Y$26,'实盘净值数据(iFinD）'!$B325:$Y325/'实盘净值数据(iFinD）'!$B$69:$Y$69)+SUMPRODUCT(分期持仓明细!$AC$26:$AD$26,'实盘净值数据(iFinD）'!$Z325:$AA325/'实盘净值数据(iFinD）'!$Z$69:$AA$69)+SUMPRODUCT(分期持仓明细!$AE$26:$AO$26,'实盘净值数据(iFinD）'!$AB325:$AL325/'实盘净值数据(iFinD）'!$AB$69:$AL$69))*(1-实盘持仓初始配置!$Z$10)^(('实盘净值数据(iFinD）'!$A325-'实盘净值数据(iFinD）'!$A$69)/365))</f>
        <v/>
      </c>
      <c r="U325" s="16">
        <f>IF(OR(T324="",T325=""),"",T325/T324-1)</f>
        <v/>
      </c>
      <c r="V325" s="16">
        <f>IF(T325="","",T325/MAX(T$5:T325)-1)</f>
        <v/>
      </c>
    </row>
    <row r="326" spans="1:19">
      <c r="A326" s="15" t="str">
        <f>IF('实盘净值数据(iFinD）'!A326="","",'实盘净值数据(iFinD）'!A326)</f>
        <v/>
      </c>
      <c r="B326" s="13" t="str">
        <f>IF(OR('实盘净值数据(iFinD）'!$A326="",'实盘净值数据(iFinD）'!$B326=""),"",分期持仓明细!$AB$17*SUMPRODUCT(分期持仓明细!$B$17:$Y$17,'实盘净值数据(iFinD）'!$B326:$Y326/'实盘净值数据(iFinD）'!$B$20:$Y$20)*(1-实盘持仓初始配置!$Z$4)^(('实盘净值数据(iFinD）'!$A326-'实盘净值数据(iFinD）'!$A$6)/365))</f>
        <v/>
      </c>
      <c r="C326" s="16" t="str">
        <f t="shared" si="30"/>
        <v/>
      </c>
      <c r="D326" s="16" t="str">
        <f>IF(B326="","",B326/MAX(B$5:B326)-1)</f>
        <v/>
      </c>
      <c r="E326" s="13" t="str">
        <f>IF(OR('实盘净值数据(iFinD）'!$A326="",'实盘净值数据(iFinD）'!$B326=""),"",分期持仓明细!$AB$18*SUMPRODUCT(分期持仓明细!$B$18:$Y$18,'实盘净值数据(iFinD）'!$B326:$Y326/'实盘净值数据(iFinD）'!$B$20:$Y$20)*(1-实盘持仓初始配置!$Z$5)^(('实盘净值数据(iFinD）'!$A326-'实盘净值数据(iFinD）'!$A$5)/365))</f>
        <v/>
      </c>
      <c r="F326" s="16" t="str">
        <f t="shared" si="31"/>
        <v/>
      </c>
      <c r="G326" s="16" t="str">
        <f>IF(E326="","",E326/MAX(E$5:E326)-1)</f>
        <v/>
      </c>
      <c r="H326" s="13" t="str">
        <f>IF(OR('实盘净值数据(iFinD）'!$A326="",'实盘净值数据(iFinD）'!$B326=""),"",分期持仓明细!$AB$19*SUMPRODUCT(分期持仓明细!$B$19:$Y$19,'实盘净值数据(iFinD）'!$B326:$Y326/'实盘净值数据(iFinD）'!$B$20:$Y$20)*(1-实盘持仓初始配置!$Z$6)^(('实盘净值数据(iFinD）'!$A326-'实盘净值数据(iFinD）'!$A$7)/365))</f>
        <v/>
      </c>
      <c r="I326" s="16" t="str">
        <f t="shared" si="32"/>
        <v/>
      </c>
      <c r="J326" s="16" t="str">
        <f>IF(H326="","",H326/MAX(H$5:H326)-1)</f>
        <v/>
      </c>
      <c r="K326" s="13" t="str">
        <f>IF(OR('实盘净值数据(iFinD）'!$A326="",'实盘净值数据(iFinD）'!$B326="",'实盘净值数据(iFinD）'!$Z326="",'实盘净值数据(iFinD）'!$AA326=""),"",分期持仓明细!$AB$23*(SUMPRODUCT(分期持仓明细!$B$23:$Y$23,'实盘净值数据(iFinD）'!$B326:$Y326/'实盘净值数据(iFinD）'!$B$65:$Y$65)+SUMPRODUCT(分期持仓明细!$AC$23:$AD$23,'实盘净值数据(iFinD）'!$Z326:$AA326/'实盘净值数据(iFinD）'!$Z$65:$AA$65))*(1-实盘持仓初始配置!$Z$7)^(('实盘净值数据(iFinD）'!$A326-'实盘净值数据(iFinD）'!$A$8)/365))</f>
        <v/>
      </c>
      <c r="L326" s="16" t="str">
        <f t="shared" si="33"/>
        <v/>
      </c>
      <c r="M326" s="16" t="str">
        <f>IF(K326="","",K326/MAX(K$5:K326)-1)</f>
        <v/>
      </c>
      <c r="N326" s="13" t="str">
        <f>IF(OR('实盘净值数据(iFinD）'!$A326="",'实盘净值数据(iFinD）'!$B326="",'实盘净值数据(iFinD）'!$Z326="",'实盘净值数据(iFinD）'!$AA326=""),"",分期持仓明细!$AB$24*(SUMPRODUCT(分期持仓明细!$B$24:$Y$24,'实盘净值数据(iFinD）'!$B326:$Y326/'实盘净值数据(iFinD）'!$B$65:$Y$65)+SUMPRODUCT(分期持仓明细!$AC$24:$AD$24,'实盘净值数据(iFinD）'!$Z326:$AA326/'实盘净值数据(iFinD）'!$Z$65:$AA$65))*(1-实盘持仓初始配置!$Z$8)^(('实盘净值数据(iFinD）'!$A326-'实盘净值数据(iFinD）'!$A$5)/365))</f>
        <v/>
      </c>
      <c r="O326" s="16" t="str">
        <f t="shared" si="34"/>
        <v/>
      </c>
      <c r="P326" s="16" t="str">
        <f>IF(N326="","",N326/MAX(N$5:N326)-1)</f>
        <v/>
      </c>
      <c r="Q326" s="13" t="str">
        <f>IF(OR('实盘净值数据(iFinD）'!$A326="",'实盘净值数据(iFinD）'!$B326="",'实盘净值数据(iFinD）'!$Z326="",'实盘净值数据(iFinD）'!$AA326=""),"",分期持仓明细!$AB$25*(SUMPRODUCT(分期持仓明细!$B$25:$Y$25,'实盘净值数据(iFinD）'!$B326:$Y326/'实盘净值数据(iFinD）'!$B$65:$Y$65)+SUMPRODUCT(分期持仓明细!$AC$25:$AD$25,'实盘净值数据(iFinD）'!$Z326:$AA326/'实盘净值数据(iFinD）'!$Z$65:$AA$65))*(1-实盘持仓初始配置!$Z$9)^(('实盘净值数据(iFinD）'!$A326-'实盘净值数据(iFinD）'!$A$8)/365))</f>
        <v/>
      </c>
      <c r="R326" s="16" t="str">
        <f t="shared" si="35"/>
        <v/>
      </c>
      <c r="S326" s="16" t="str">
        <f>IF(Q326="","",Q326/MAX(Q$5:Q326)-1)</f>
        <v/>
      </c>
      <c r="T326" s="13">
        <f>IF(OR('实盘净值数据(iFinD）'!$A326="",'实盘净值数据(iFinD）'!$B326="",'实盘净值数据(iFinD）'!$Z326="",'实盘净值数据(iFinD）'!$AA326="",'实盘净值数据(iFinD）'!$AB326="",'实盘净值数据(iFinD）'!$AL326=""),"",(SUMPRODUCT(分期持仓明细!$B$26:$Y$26,'实盘净值数据(iFinD）'!$B326:$Y326/'实盘净值数据(iFinD）'!$B$69:$Y$69)+SUMPRODUCT(分期持仓明细!$AC$26:$AD$26,'实盘净值数据(iFinD）'!$Z326:$AA326/'实盘净值数据(iFinD）'!$Z$69:$AA$69)+SUMPRODUCT(分期持仓明细!$AE$26:$AO$26,'实盘净值数据(iFinD）'!$AB326:$AL326/'实盘净值数据(iFinD）'!$AB$69:$AL$69))*(1-实盘持仓初始配置!$Z$10)^(('实盘净值数据(iFinD）'!$A326-'实盘净值数据(iFinD）'!$A$69)/365))</f>
        <v/>
      </c>
      <c r="U326" s="16">
        <f>IF(OR(T325="",T326=""),"",T326/T325-1)</f>
        <v/>
      </c>
      <c r="V326" s="16">
        <f>IF(T326="","",T326/MAX(T$5:T326)-1)</f>
        <v/>
      </c>
    </row>
    <row r="327" spans="1:19">
      <c r="A327" s="15" t="str">
        <f>IF('实盘净值数据(iFinD）'!A327="","",'实盘净值数据(iFinD）'!A327)</f>
        <v/>
      </c>
      <c r="B327" s="13" t="str">
        <f>IF(OR('实盘净值数据(iFinD）'!$A327="",'实盘净值数据(iFinD）'!$B327=""),"",分期持仓明细!$AB$17*SUMPRODUCT(分期持仓明细!$B$17:$Y$17,'实盘净值数据(iFinD）'!$B327:$Y327/'实盘净值数据(iFinD）'!$B$20:$Y$20)*(1-实盘持仓初始配置!$Z$4)^(('实盘净值数据(iFinD）'!$A327-'实盘净值数据(iFinD）'!$A$6)/365))</f>
        <v/>
      </c>
      <c r="C327" s="16" t="str">
        <f t="shared" si="30"/>
        <v/>
      </c>
      <c r="D327" s="16" t="str">
        <f>IF(B327="","",B327/MAX(B$5:B327)-1)</f>
        <v/>
      </c>
      <c r="E327" s="13" t="str">
        <f>IF(OR('实盘净值数据(iFinD）'!$A327="",'实盘净值数据(iFinD）'!$B327=""),"",分期持仓明细!$AB$18*SUMPRODUCT(分期持仓明细!$B$18:$Y$18,'实盘净值数据(iFinD）'!$B327:$Y327/'实盘净值数据(iFinD）'!$B$20:$Y$20)*(1-实盘持仓初始配置!$Z$5)^(('实盘净值数据(iFinD）'!$A327-'实盘净值数据(iFinD）'!$A$5)/365))</f>
        <v/>
      </c>
      <c r="F327" s="16" t="str">
        <f t="shared" si="31"/>
        <v/>
      </c>
      <c r="G327" s="16" t="str">
        <f>IF(E327="","",E327/MAX(E$5:E327)-1)</f>
        <v/>
      </c>
      <c r="H327" s="13" t="str">
        <f>IF(OR('实盘净值数据(iFinD）'!$A327="",'实盘净值数据(iFinD）'!$B327=""),"",分期持仓明细!$AB$19*SUMPRODUCT(分期持仓明细!$B$19:$Y$19,'实盘净值数据(iFinD）'!$B327:$Y327/'实盘净值数据(iFinD）'!$B$20:$Y$20)*(1-实盘持仓初始配置!$Z$6)^(('实盘净值数据(iFinD）'!$A327-'实盘净值数据(iFinD）'!$A$7)/365))</f>
        <v/>
      </c>
      <c r="I327" s="16" t="str">
        <f t="shared" si="32"/>
        <v/>
      </c>
      <c r="J327" s="16" t="str">
        <f>IF(H327="","",H327/MAX(H$5:H327)-1)</f>
        <v/>
      </c>
      <c r="K327" s="13" t="str">
        <f>IF(OR('实盘净值数据(iFinD）'!$A327="",'实盘净值数据(iFinD）'!$B327="",'实盘净值数据(iFinD）'!$Z327="",'实盘净值数据(iFinD）'!$AA327=""),"",分期持仓明细!$AB$23*(SUMPRODUCT(分期持仓明细!$B$23:$Y$23,'实盘净值数据(iFinD）'!$B327:$Y327/'实盘净值数据(iFinD）'!$B$65:$Y$65)+SUMPRODUCT(分期持仓明细!$AC$23:$AD$23,'实盘净值数据(iFinD）'!$Z327:$AA327/'实盘净值数据(iFinD）'!$Z$65:$AA$65))*(1-实盘持仓初始配置!$Z$7)^(('实盘净值数据(iFinD）'!$A327-'实盘净值数据(iFinD）'!$A$8)/365))</f>
        <v/>
      </c>
      <c r="L327" s="16" t="str">
        <f t="shared" si="33"/>
        <v/>
      </c>
      <c r="M327" s="16" t="str">
        <f>IF(K327="","",K327/MAX(K$5:K327)-1)</f>
        <v/>
      </c>
      <c r="N327" s="13" t="str">
        <f>IF(OR('实盘净值数据(iFinD）'!$A327="",'实盘净值数据(iFinD）'!$B327="",'实盘净值数据(iFinD）'!$Z327="",'实盘净值数据(iFinD）'!$AA327=""),"",分期持仓明细!$AB$24*(SUMPRODUCT(分期持仓明细!$B$24:$Y$24,'实盘净值数据(iFinD）'!$B327:$Y327/'实盘净值数据(iFinD）'!$B$65:$Y$65)+SUMPRODUCT(分期持仓明细!$AC$24:$AD$24,'实盘净值数据(iFinD）'!$Z327:$AA327/'实盘净值数据(iFinD）'!$Z$65:$AA$65))*(1-实盘持仓初始配置!$Z$8)^(('实盘净值数据(iFinD）'!$A327-'实盘净值数据(iFinD）'!$A$5)/365))</f>
        <v/>
      </c>
      <c r="O327" s="16" t="str">
        <f t="shared" si="34"/>
        <v/>
      </c>
      <c r="P327" s="16" t="str">
        <f>IF(N327="","",N327/MAX(N$5:N327)-1)</f>
        <v/>
      </c>
      <c r="Q327" s="13" t="str">
        <f>IF(OR('实盘净值数据(iFinD）'!$A327="",'实盘净值数据(iFinD）'!$B327="",'实盘净值数据(iFinD）'!$Z327="",'实盘净值数据(iFinD）'!$AA327=""),"",分期持仓明细!$AB$25*(SUMPRODUCT(分期持仓明细!$B$25:$Y$25,'实盘净值数据(iFinD）'!$B327:$Y327/'实盘净值数据(iFinD）'!$B$65:$Y$65)+SUMPRODUCT(分期持仓明细!$AC$25:$AD$25,'实盘净值数据(iFinD）'!$Z327:$AA327/'实盘净值数据(iFinD）'!$Z$65:$AA$65))*(1-实盘持仓初始配置!$Z$9)^(('实盘净值数据(iFinD）'!$A327-'实盘净值数据(iFinD）'!$A$8)/365))</f>
        <v/>
      </c>
      <c r="R327" s="16" t="str">
        <f t="shared" si="35"/>
        <v/>
      </c>
      <c r="S327" s="16" t="str">
        <f>IF(Q327="","",Q327/MAX(Q$5:Q327)-1)</f>
        <v/>
      </c>
      <c r="T327" s="13">
        <f>IF(OR('实盘净值数据(iFinD）'!$A327="",'实盘净值数据(iFinD）'!$B327="",'实盘净值数据(iFinD）'!$Z327="",'实盘净值数据(iFinD）'!$AA327="",'实盘净值数据(iFinD）'!$AB327="",'实盘净值数据(iFinD）'!$AL327=""),"",(SUMPRODUCT(分期持仓明细!$B$26:$Y$26,'实盘净值数据(iFinD）'!$B327:$Y327/'实盘净值数据(iFinD）'!$B$69:$Y$69)+SUMPRODUCT(分期持仓明细!$AC$26:$AD$26,'实盘净值数据(iFinD）'!$Z327:$AA327/'实盘净值数据(iFinD）'!$Z$69:$AA$69)+SUMPRODUCT(分期持仓明细!$AE$26:$AO$26,'实盘净值数据(iFinD）'!$AB327:$AL327/'实盘净值数据(iFinD）'!$AB$69:$AL$69))*(1-实盘持仓初始配置!$Z$10)^(('实盘净值数据(iFinD）'!$A327-'实盘净值数据(iFinD）'!$A$69)/365))</f>
        <v/>
      </c>
      <c r="U327" s="16">
        <f>IF(OR(T326="",T327=""),"",T327/T326-1)</f>
        <v/>
      </c>
      <c r="V327" s="16">
        <f>IF(T327="","",T327/MAX(T$5:T327)-1)</f>
        <v/>
      </c>
    </row>
    <row r="328" spans="1:19">
      <c r="A328" s="15" t="str">
        <f>IF('实盘净值数据(iFinD）'!A328="","",'实盘净值数据(iFinD）'!A328)</f>
        <v/>
      </c>
      <c r="B328" s="13" t="str">
        <f>IF(OR('实盘净值数据(iFinD）'!$A328="",'实盘净值数据(iFinD）'!$B328=""),"",分期持仓明细!$AB$17*SUMPRODUCT(分期持仓明细!$B$17:$Y$17,'实盘净值数据(iFinD）'!$B328:$Y328/'实盘净值数据(iFinD）'!$B$20:$Y$20)*(1-实盘持仓初始配置!$Z$4)^(('实盘净值数据(iFinD）'!$A328-'实盘净值数据(iFinD）'!$A$6)/365))</f>
        <v/>
      </c>
      <c r="C328" s="16" t="str">
        <f t="shared" si="30"/>
        <v/>
      </c>
      <c r="D328" s="16" t="str">
        <f>IF(B328="","",B328/MAX(B$5:B328)-1)</f>
        <v/>
      </c>
      <c r="E328" s="13" t="str">
        <f>IF(OR('实盘净值数据(iFinD）'!$A328="",'实盘净值数据(iFinD）'!$B328=""),"",分期持仓明细!$AB$18*SUMPRODUCT(分期持仓明细!$B$18:$Y$18,'实盘净值数据(iFinD）'!$B328:$Y328/'实盘净值数据(iFinD）'!$B$20:$Y$20)*(1-实盘持仓初始配置!$Z$5)^(('实盘净值数据(iFinD）'!$A328-'实盘净值数据(iFinD）'!$A$5)/365))</f>
        <v/>
      </c>
      <c r="F328" s="16" t="str">
        <f t="shared" si="31"/>
        <v/>
      </c>
      <c r="G328" s="16" t="str">
        <f>IF(E328="","",E328/MAX(E$5:E328)-1)</f>
        <v/>
      </c>
      <c r="H328" s="13" t="str">
        <f>IF(OR('实盘净值数据(iFinD）'!$A328="",'实盘净值数据(iFinD）'!$B328=""),"",分期持仓明细!$AB$19*SUMPRODUCT(分期持仓明细!$B$19:$Y$19,'实盘净值数据(iFinD）'!$B328:$Y328/'实盘净值数据(iFinD）'!$B$20:$Y$20)*(1-实盘持仓初始配置!$Z$6)^(('实盘净值数据(iFinD）'!$A328-'实盘净值数据(iFinD）'!$A$7)/365))</f>
        <v/>
      </c>
      <c r="I328" s="16" t="str">
        <f t="shared" si="32"/>
        <v/>
      </c>
      <c r="J328" s="16" t="str">
        <f>IF(H328="","",H328/MAX(H$5:H328)-1)</f>
        <v/>
      </c>
      <c r="K328" s="13" t="str">
        <f>IF(OR('实盘净值数据(iFinD）'!$A328="",'实盘净值数据(iFinD）'!$B328="",'实盘净值数据(iFinD）'!$Z328="",'实盘净值数据(iFinD）'!$AA328=""),"",分期持仓明细!$AB$23*(SUMPRODUCT(分期持仓明细!$B$23:$Y$23,'实盘净值数据(iFinD）'!$B328:$Y328/'实盘净值数据(iFinD）'!$B$65:$Y$65)+SUMPRODUCT(分期持仓明细!$AC$23:$AD$23,'实盘净值数据(iFinD）'!$Z328:$AA328/'实盘净值数据(iFinD）'!$Z$65:$AA$65))*(1-实盘持仓初始配置!$Z$7)^(('实盘净值数据(iFinD）'!$A328-'实盘净值数据(iFinD）'!$A$8)/365))</f>
        <v/>
      </c>
      <c r="L328" s="16" t="str">
        <f t="shared" si="33"/>
        <v/>
      </c>
      <c r="M328" s="16" t="str">
        <f>IF(K328="","",K328/MAX(K$5:K328)-1)</f>
        <v/>
      </c>
      <c r="N328" s="13" t="str">
        <f>IF(OR('实盘净值数据(iFinD）'!$A328="",'实盘净值数据(iFinD）'!$B328="",'实盘净值数据(iFinD）'!$Z328="",'实盘净值数据(iFinD）'!$AA328=""),"",分期持仓明细!$AB$24*(SUMPRODUCT(分期持仓明细!$B$24:$Y$24,'实盘净值数据(iFinD）'!$B328:$Y328/'实盘净值数据(iFinD）'!$B$65:$Y$65)+SUMPRODUCT(分期持仓明细!$AC$24:$AD$24,'实盘净值数据(iFinD）'!$Z328:$AA328/'实盘净值数据(iFinD）'!$Z$65:$AA$65))*(1-实盘持仓初始配置!$Z$8)^(('实盘净值数据(iFinD）'!$A328-'实盘净值数据(iFinD）'!$A$5)/365))</f>
        <v/>
      </c>
      <c r="O328" s="16" t="str">
        <f t="shared" si="34"/>
        <v/>
      </c>
      <c r="P328" s="16" t="str">
        <f>IF(N328="","",N328/MAX(N$5:N328)-1)</f>
        <v/>
      </c>
      <c r="Q328" s="13" t="str">
        <f>IF(OR('实盘净值数据(iFinD）'!$A328="",'实盘净值数据(iFinD）'!$B328="",'实盘净值数据(iFinD）'!$Z328="",'实盘净值数据(iFinD）'!$AA328=""),"",分期持仓明细!$AB$25*(SUMPRODUCT(分期持仓明细!$B$25:$Y$25,'实盘净值数据(iFinD）'!$B328:$Y328/'实盘净值数据(iFinD）'!$B$65:$Y$65)+SUMPRODUCT(分期持仓明细!$AC$25:$AD$25,'实盘净值数据(iFinD）'!$Z328:$AA328/'实盘净值数据(iFinD）'!$Z$65:$AA$65))*(1-实盘持仓初始配置!$Z$9)^(('实盘净值数据(iFinD）'!$A328-'实盘净值数据(iFinD）'!$A$8)/365))</f>
        <v/>
      </c>
      <c r="R328" s="16" t="str">
        <f t="shared" si="35"/>
        <v/>
      </c>
      <c r="S328" s="16" t="str">
        <f>IF(Q328="","",Q328/MAX(Q$5:Q328)-1)</f>
        <v/>
      </c>
      <c r="T328" s="13">
        <f>IF(OR('实盘净值数据(iFinD）'!$A328="",'实盘净值数据(iFinD）'!$B328="",'实盘净值数据(iFinD）'!$Z328="",'实盘净值数据(iFinD）'!$AA328="",'实盘净值数据(iFinD）'!$AB328="",'实盘净值数据(iFinD）'!$AL328=""),"",(SUMPRODUCT(分期持仓明细!$B$26:$Y$26,'实盘净值数据(iFinD）'!$B328:$Y328/'实盘净值数据(iFinD）'!$B$69:$Y$69)+SUMPRODUCT(分期持仓明细!$AC$26:$AD$26,'实盘净值数据(iFinD）'!$Z328:$AA328/'实盘净值数据(iFinD）'!$Z$69:$AA$69)+SUMPRODUCT(分期持仓明细!$AE$26:$AO$26,'实盘净值数据(iFinD）'!$AB328:$AL328/'实盘净值数据(iFinD）'!$AB$69:$AL$69))*(1-实盘持仓初始配置!$Z$10)^(('实盘净值数据(iFinD）'!$A328-'实盘净值数据(iFinD）'!$A$69)/365))</f>
        <v/>
      </c>
      <c r="U328" s="16">
        <f>IF(OR(T327="",T328=""),"",T328/T327-1)</f>
        <v/>
      </c>
      <c r="V328" s="16">
        <f>IF(T328="","",T328/MAX(T$5:T328)-1)</f>
        <v/>
      </c>
    </row>
    <row r="329" spans="1:19">
      <c r="A329" s="15" t="str">
        <f>IF('实盘净值数据(iFinD）'!A329="","",'实盘净值数据(iFinD）'!A329)</f>
        <v/>
      </c>
      <c r="B329" s="13" t="str">
        <f>IF(OR('实盘净值数据(iFinD）'!$A329="",'实盘净值数据(iFinD）'!$B329=""),"",分期持仓明细!$AB$17*SUMPRODUCT(分期持仓明细!$B$17:$Y$17,'实盘净值数据(iFinD）'!$B329:$Y329/'实盘净值数据(iFinD）'!$B$20:$Y$20)*(1-实盘持仓初始配置!$Z$4)^(('实盘净值数据(iFinD）'!$A329-'实盘净值数据(iFinD）'!$A$6)/365))</f>
        <v/>
      </c>
      <c r="C329" s="16" t="str">
        <f t="shared" si="30"/>
        <v/>
      </c>
      <c r="D329" s="16" t="str">
        <f>IF(B329="","",B329/MAX(B$5:B329)-1)</f>
        <v/>
      </c>
      <c r="E329" s="13" t="str">
        <f>IF(OR('实盘净值数据(iFinD）'!$A329="",'实盘净值数据(iFinD）'!$B329=""),"",分期持仓明细!$AB$18*SUMPRODUCT(分期持仓明细!$B$18:$Y$18,'实盘净值数据(iFinD）'!$B329:$Y329/'实盘净值数据(iFinD）'!$B$20:$Y$20)*(1-实盘持仓初始配置!$Z$5)^(('实盘净值数据(iFinD）'!$A329-'实盘净值数据(iFinD）'!$A$5)/365))</f>
        <v/>
      </c>
      <c r="F329" s="16" t="str">
        <f t="shared" si="31"/>
        <v/>
      </c>
      <c r="G329" s="16" t="str">
        <f>IF(E329="","",E329/MAX(E$5:E329)-1)</f>
        <v/>
      </c>
      <c r="H329" s="13" t="str">
        <f>IF(OR('实盘净值数据(iFinD）'!$A329="",'实盘净值数据(iFinD）'!$B329=""),"",分期持仓明细!$AB$19*SUMPRODUCT(分期持仓明细!$B$19:$Y$19,'实盘净值数据(iFinD）'!$B329:$Y329/'实盘净值数据(iFinD）'!$B$20:$Y$20)*(1-实盘持仓初始配置!$Z$6)^(('实盘净值数据(iFinD）'!$A329-'实盘净值数据(iFinD）'!$A$7)/365))</f>
        <v/>
      </c>
      <c r="I329" s="16" t="str">
        <f t="shared" si="32"/>
        <v/>
      </c>
      <c r="J329" s="16" t="str">
        <f>IF(H329="","",H329/MAX(H$5:H329)-1)</f>
        <v/>
      </c>
      <c r="K329" s="13" t="str">
        <f>IF(OR('实盘净值数据(iFinD）'!$A329="",'实盘净值数据(iFinD）'!$B329="",'实盘净值数据(iFinD）'!$Z329="",'实盘净值数据(iFinD）'!$AA329=""),"",分期持仓明细!$AB$23*(SUMPRODUCT(分期持仓明细!$B$23:$Y$23,'实盘净值数据(iFinD）'!$B329:$Y329/'实盘净值数据(iFinD）'!$B$65:$Y$65)+SUMPRODUCT(分期持仓明细!$AC$23:$AD$23,'实盘净值数据(iFinD）'!$Z329:$AA329/'实盘净值数据(iFinD）'!$Z$65:$AA$65))*(1-实盘持仓初始配置!$Z$7)^(('实盘净值数据(iFinD）'!$A329-'实盘净值数据(iFinD）'!$A$8)/365))</f>
        <v/>
      </c>
      <c r="L329" s="16" t="str">
        <f t="shared" si="33"/>
        <v/>
      </c>
      <c r="M329" s="16" t="str">
        <f>IF(K329="","",K329/MAX(K$5:K329)-1)</f>
        <v/>
      </c>
      <c r="N329" s="13" t="str">
        <f>IF(OR('实盘净值数据(iFinD）'!$A329="",'实盘净值数据(iFinD）'!$B329="",'实盘净值数据(iFinD）'!$Z329="",'实盘净值数据(iFinD）'!$AA329=""),"",分期持仓明细!$AB$24*(SUMPRODUCT(分期持仓明细!$B$24:$Y$24,'实盘净值数据(iFinD）'!$B329:$Y329/'实盘净值数据(iFinD）'!$B$65:$Y$65)+SUMPRODUCT(分期持仓明细!$AC$24:$AD$24,'实盘净值数据(iFinD）'!$Z329:$AA329/'实盘净值数据(iFinD）'!$Z$65:$AA$65))*(1-实盘持仓初始配置!$Z$8)^(('实盘净值数据(iFinD）'!$A329-'实盘净值数据(iFinD）'!$A$5)/365))</f>
        <v/>
      </c>
      <c r="O329" s="16" t="str">
        <f t="shared" si="34"/>
        <v/>
      </c>
      <c r="P329" s="16" t="str">
        <f>IF(N329="","",N329/MAX(N$5:N329)-1)</f>
        <v/>
      </c>
      <c r="Q329" s="13" t="str">
        <f>IF(OR('实盘净值数据(iFinD）'!$A329="",'实盘净值数据(iFinD）'!$B329="",'实盘净值数据(iFinD）'!$Z329="",'实盘净值数据(iFinD）'!$AA329=""),"",分期持仓明细!$AB$25*(SUMPRODUCT(分期持仓明细!$B$25:$Y$25,'实盘净值数据(iFinD）'!$B329:$Y329/'实盘净值数据(iFinD）'!$B$65:$Y$65)+SUMPRODUCT(分期持仓明细!$AC$25:$AD$25,'实盘净值数据(iFinD）'!$Z329:$AA329/'实盘净值数据(iFinD）'!$Z$65:$AA$65))*(1-实盘持仓初始配置!$Z$9)^(('实盘净值数据(iFinD）'!$A329-'实盘净值数据(iFinD）'!$A$8)/365))</f>
        <v/>
      </c>
      <c r="R329" s="16" t="str">
        <f t="shared" si="35"/>
        <v/>
      </c>
      <c r="S329" s="16" t="str">
        <f>IF(Q329="","",Q329/MAX(Q$5:Q329)-1)</f>
        <v/>
      </c>
      <c r="T329" s="13">
        <f>IF(OR('实盘净值数据(iFinD）'!$A329="",'实盘净值数据(iFinD）'!$B329="",'实盘净值数据(iFinD）'!$Z329="",'实盘净值数据(iFinD）'!$AA329="",'实盘净值数据(iFinD）'!$AB329="",'实盘净值数据(iFinD）'!$AL329=""),"",(SUMPRODUCT(分期持仓明细!$B$26:$Y$26,'实盘净值数据(iFinD）'!$B329:$Y329/'实盘净值数据(iFinD）'!$B$69:$Y$69)+SUMPRODUCT(分期持仓明细!$AC$26:$AD$26,'实盘净值数据(iFinD）'!$Z329:$AA329/'实盘净值数据(iFinD）'!$Z$69:$AA$69)+SUMPRODUCT(分期持仓明细!$AE$26:$AO$26,'实盘净值数据(iFinD）'!$AB329:$AL329/'实盘净值数据(iFinD）'!$AB$69:$AL$69))*(1-实盘持仓初始配置!$Z$10)^(('实盘净值数据(iFinD）'!$A329-'实盘净值数据(iFinD）'!$A$69)/365))</f>
        <v/>
      </c>
      <c r="U329" s="16">
        <f>IF(OR(T328="",T329=""),"",T329/T328-1)</f>
        <v/>
      </c>
      <c r="V329" s="16">
        <f>IF(T329="","",T329/MAX(T$5:T329)-1)</f>
        <v/>
      </c>
    </row>
    <row r="330" spans="1:19">
      <c r="A330" s="15" t="str">
        <f>IF('实盘净值数据(iFinD）'!A330="","",'实盘净值数据(iFinD）'!A330)</f>
        <v/>
      </c>
      <c r="B330" s="13" t="str">
        <f>IF(OR('实盘净值数据(iFinD）'!$A330="",'实盘净值数据(iFinD）'!$B330=""),"",分期持仓明细!$AB$17*SUMPRODUCT(分期持仓明细!$B$17:$Y$17,'实盘净值数据(iFinD）'!$B330:$Y330/'实盘净值数据(iFinD）'!$B$20:$Y$20)*(1-实盘持仓初始配置!$Z$4)^(('实盘净值数据(iFinD）'!$A330-'实盘净值数据(iFinD）'!$A$6)/365))</f>
        <v/>
      </c>
      <c r="C330" s="16" t="str">
        <f t="shared" si="30"/>
        <v/>
      </c>
      <c r="D330" s="16" t="str">
        <f>IF(B330="","",B330/MAX(B$5:B330)-1)</f>
        <v/>
      </c>
      <c r="E330" s="13" t="str">
        <f>IF(OR('实盘净值数据(iFinD）'!$A330="",'实盘净值数据(iFinD）'!$B330=""),"",分期持仓明细!$AB$18*SUMPRODUCT(分期持仓明细!$B$18:$Y$18,'实盘净值数据(iFinD）'!$B330:$Y330/'实盘净值数据(iFinD）'!$B$20:$Y$20)*(1-实盘持仓初始配置!$Z$5)^(('实盘净值数据(iFinD）'!$A330-'实盘净值数据(iFinD）'!$A$5)/365))</f>
        <v/>
      </c>
      <c r="F330" s="16" t="str">
        <f t="shared" si="31"/>
        <v/>
      </c>
      <c r="G330" s="16" t="str">
        <f>IF(E330="","",E330/MAX(E$5:E330)-1)</f>
        <v/>
      </c>
      <c r="H330" s="13" t="str">
        <f>IF(OR('实盘净值数据(iFinD）'!$A330="",'实盘净值数据(iFinD）'!$B330=""),"",分期持仓明细!$AB$19*SUMPRODUCT(分期持仓明细!$B$19:$Y$19,'实盘净值数据(iFinD）'!$B330:$Y330/'实盘净值数据(iFinD）'!$B$20:$Y$20)*(1-实盘持仓初始配置!$Z$6)^(('实盘净值数据(iFinD）'!$A330-'实盘净值数据(iFinD）'!$A$7)/365))</f>
        <v/>
      </c>
      <c r="I330" s="16" t="str">
        <f t="shared" si="32"/>
        <v/>
      </c>
      <c r="J330" s="16" t="str">
        <f>IF(H330="","",H330/MAX(H$5:H330)-1)</f>
        <v/>
      </c>
      <c r="K330" s="13" t="str">
        <f>IF(OR('实盘净值数据(iFinD）'!$A330="",'实盘净值数据(iFinD）'!$B330="",'实盘净值数据(iFinD）'!$Z330="",'实盘净值数据(iFinD）'!$AA330=""),"",分期持仓明细!$AB$23*(SUMPRODUCT(分期持仓明细!$B$23:$Y$23,'实盘净值数据(iFinD）'!$B330:$Y330/'实盘净值数据(iFinD）'!$B$65:$Y$65)+SUMPRODUCT(分期持仓明细!$AC$23:$AD$23,'实盘净值数据(iFinD）'!$Z330:$AA330/'实盘净值数据(iFinD）'!$Z$65:$AA$65))*(1-实盘持仓初始配置!$Z$7)^(('实盘净值数据(iFinD）'!$A330-'实盘净值数据(iFinD）'!$A$8)/365))</f>
        <v/>
      </c>
      <c r="L330" s="16" t="str">
        <f t="shared" si="33"/>
        <v/>
      </c>
      <c r="M330" s="16" t="str">
        <f>IF(K330="","",K330/MAX(K$5:K330)-1)</f>
        <v/>
      </c>
      <c r="N330" s="13" t="str">
        <f>IF(OR('实盘净值数据(iFinD）'!$A330="",'实盘净值数据(iFinD）'!$B330="",'实盘净值数据(iFinD）'!$Z330="",'实盘净值数据(iFinD）'!$AA330=""),"",分期持仓明细!$AB$24*(SUMPRODUCT(分期持仓明细!$B$24:$Y$24,'实盘净值数据(iFinD）'!$B330:$Y330/'实盘净值数据(iFinD）'!$B$65:$Y$65)+SUMPRODUCT(分期持仓明细!$AC$24:$AD$24,'实盘净值数据(iFinD）'!$Z330:$AA330/'实盘净值数据(iFinD）'!$Z$65:$AA$65))*(1-实盘持仓初始配置!$Z$8)^(('实盘净值数据(iFinD）'!$A330-'实盘净值数据(iFinD）'!$A$5)/365))</f>
        <v/>
      </c>
      <c r="O330" s="16" t="str">
        <f t="shared" si="34"/>
        <v/>
      </c>
      <c r="P330" s="16" t="str">
        <f>IF(N330="","",N330/MAX(N$5:N330)-1)</f>
        <v/>
      </c>
      <c r="Q330" s="13" t="str">
        <f>IF(OR('实盘净值数据(iFinD）'!$A330="",'实盘净值数据(iFinD）'!$B330="",'实盘净值数据(iFinD）'!$Z330="",'实盘净值数据(iFinD）'!$AA330=""),"",分期持仓明细!$AB$25*(SUMPRODUCT(分期持仓明细!$B$25:$Y$25,'实盘净值数据(iFinD）'!$B330:$Y330/'实盘净值数据(iFinD）'!$B$65:$Y$65)+SUMPRODUCT(分期持仓明细!$AC$25:$AD$25,'实盘净值数据(iFinD）'!$Z330:$AA330/'实盘净值数据(iFinD）'!$Z$65:$AA$65))*(1-实盘持仓初始配置!$Z$9)^(('实盘净值数据(iFinD）'!$A330-'实盘净值数据(iFinD）'!$A$8)/365))</f>
        <v/>
      </c>
      <c r="R330" s="16" t="str">
        <f t="shared" si="35"/>
        <v/>
      </c>
      <c r="S330" s="16" t="str">
        <f>IF(Q330="","",Q330/MAX(Q$5:Q330)-1)</f>
        <v/>
      </c>
      <c r="T330" s="13">
        <f>IF(OR('实盘净值数据(iFinD）'!$A330="",'实盘净值数据(iFinD）'!$B330="",'实盘净值数据(iFinD）'!$Z330="",'实盘净值数据(iFinD）'!$AA330="",'实盘净值数据(iFinD）'!$AB330="",'实盘净值数据(iFinD）'!$AL330=""),"",(SUMPRODUCT(分期持仓明细!$B$26:$Y$26,'实盘净值数据(iFinD）'!$B330:$Y330/'实盘净值数据(iFinD）'!$B$69:$Y$69)+SUMPRODUCT(分期持仓明细!$AC$26:$AD$26,'实盘净值数据(iFinD）'!$Z330:$AA330/'实盘净值数据(iFinD）'!$Z$69:$AA$69)+SUMPRODUCT(分期持仓明细!$AE$26:$AO$26,'实盘净值数据(iFinD）'!$AB330:$AL330/'实盘净值数据(iFinD）'!$AB$69:$AL$69))*(1-实盘持仓初始配置!$Z$10)^(('实盘净值数据(iFinD）'!$A330-'实盘净值数据(iFinD）'!$A$69)/365))</f>
        <v/>
      </c>
      <c r="U330" s="16">
        <f>IF(OR(T329="",T330=""),"",T330/T329-1)</f>
        <v/>
      </c>
      <c r="V330" s="16">
        <f>IF(T330="","",T330/MAX(T$5:T330)-1)</f>
        <v/>
      </c>
    </row>
    <row r="331" spans="1:19">
      <c r="A331" s="15" t="str">
        <f>IF('实盘净值数据(iFinD）'!A331="","",'实盘净值数据(iFinD）'!A331)</f>
        <v/>
      </c>
      <c r="B331" s="13" t="str">
        <f>IF(OR('实盘净值数据(iFinD）'!$A331="",'实盘净值数据(iFinD）'!$B331=""),"",分期持仓明细!$AB$17*SUMPRODUCT(分期持仓明细!$B$17:$Y$17,'实盘净值数据(iFinD）'!$B331:$Y331/'实盘净值数据(iFinD）'!$B$20:$Y$20)*(1-实盘持仓初始配置!$Z$4)^(('实盘净值数据(iFinD）'!$A331-'实盘净值数据(iFinD）'!$A$6)/365))</f>
        <v/>
      </c>
      <c r="C331" s="16" t="str">
        <f t="shared" si="30"/>
        <v/>
      </c>
      <c r="D331" s="16" t="str">
        <f>IF(B331="","",B331/MAX(B$5:B331)-1)</f>
        <v/>
      </c>
      <c r="E331" s="13" t="str">
        <f>IF(OR('实盘净值数据(iFinD）'!$A331="",'实盘净值数据(iFinD）'!$B331=""),"",分期持仓明细!$AB$18*SUMPRODUCT(分期持仓明细!$B$18:$Y$18,'实盘净值数据(iFinD）'!$B331:$Y331/'实盘净值数据(iFinD）'!$B$20:$Y$20)*(1-实盘持仓初始配置!$Z$5)^(('实盘净值数据(iFinD）'!$A331-'实盘净值数据(iFinD）'!$A$5)/365))</f>
        <v/>
      </c>
      <c r="F331" s="16" t="str">
        <f t="shared" si="31"/>
        <v/>
      </c>
      <c r="G331" s="16" t="str">
        <f>IF(E331="","",E331/MAX(E$5:E331)-1)</f>
        <v/>
      </c>
      <c r="H331" s="13" t="str">
        <f>IF(OR('实盘净值数据(iFinD）'!$A331="",'实盘净值数据(iFinD）'!$B331=""),"",分期持仓明细!$AB$19*SUMPRODUCT(分期持仓明细!$B$19:$Y$19,'实盘净值数据(iFinD）'!$B331:$Y331/'实盘净值数据(iFinD）'!$B$20:$Y$20)*(1-实盘持仓初始配置!$Z$6)^(('实盘净值数据(iFinD）'!$A331-'实盘净值数据(iFinD）'!$A$7)/365))</f>
        <v/>
      </c>
      <c r="I331" s="16" t="str">
        <f t="shared" si="32"/>
        <v/>
      </c>
      <c r="J331" s="16" t="str">
        <f>IF(H331="","",H331/MAX(H$5:H331)-1)</f>
        <v/>
      </c>
      <c r="K331" s="13" t="str">
        <f>IF(OR('实盘净值数据(iFinD）'!$A331="",'实盘净值数据(iFinD）'!$B331="",'实盘净值数据(iFinD）'!$Z331="",'实盘净值数据(iFinD）'!$AA331=""),"",分期持仓明细!$AB$23*(SUMPRODUCT(分期持仓明细!$B$23:$Y$23,'实盘净值数据(iFinD）'!$B331:$Y331/'实盘净值数据(iFinD）'!$B$65:$Y$65)+SUMPRODUCT(分期持仓明细!$AC$23:$AD$23,'实盘净值数据(iFinD）'!$Z331:$AA331/'实盘净值数据(iFinD）'!$Z$65:$AA$65))*(1-实盘持仓初始配置!$Z$7)^(('实盘净值数据(iFinD）'!$A331-'实盘净值数据(iFinD）'!$A$8)/365))</f>
        <v/>
      </c>
      <c r="L331" s="16" t="str">
        <f t="shared" si="33"/>
        <v/>
      </c>
      <c r="M331" s="16" t="str">
        <f>IF(K331="","",K331/MAX(K$5:K331)-1)</f>
        <v/>
      </c>
      <c r="N331" s="13" t="str">
        <f>IF(OR('实盘净值数据(iFinD）'!$A331="",'实盘净值数据(iFinD）'!$B331="",'实盘净值数据(iFinD）'!$Z331="",'实盘净值数据(iFinD）'!$AA331=""),"",分期持仓明细!$AB$24*(SUMPRODUCT(分期持仓明细!$B$24:$Y$24,'实盘净值数据(iFinD）'!$B331:$Y331/'实盘净值数据(iFinD）'!$B$65:$Y$65)+SUMPRODUCT(分期持仓明细!$AC$24:$AD$24,'实盘净值数据(iFinD）'!$Z331:$AA331/'实盘净值数据(iFinD）'!$Z$65:$AA$65))*(1-实盘持仓初始配置!$Z$8)^(('实盘净值数据(iFinD）'!$A331-'实盘净值数据(iFinD）'!$A$5)/365))</f>
        <v/>
      </c>
      <c r="O331" s="16" t="str">
        <f t="shared" si="34"/>
        <v/>
      </c>
      <c r="P331" s="16" t="str">
        <f>IF(N331="","",N331/MAX(N$5:N331)-1)</f>
        <v/>
      </c>
      <c r="Q331" s="13" t="str">
        <f>IF(OR('实盘净值数据(iFinD）'!$A331="",'实盘净值数据(iFinD）'!$B331="",'实盘净值数据(iFinD）'!$Z331="",'实盘净值数据(iFinD）'!$AA331=""),"",分期持仓明细!$AB$25*(SUMPRODUCT(分期持仓明细!$B$25:$Y$25,'实盘净值数据(iFinD）'!$B331:$Y331/'实盘净值数据(iFinD）'!$B$65:$Y$65)+SUMPRODUCT(分期持仓明细!$AC$25:$AD$25,'实盘净值数据(iFinD）'!$Z331:$AA331/'实盘净值数据(iFinD）'!$Z$65:$AA$65))*(1-实盘持仓初始配置!$Z$9)^(('实盘净值数据(iFinD）'!$A331-'实盘净值数据(iFinD）'!$A$8)/365))</f>
        <v/>
      </c>
      <c r="R331" s="16" t="str">
        <f t="shared" si="35"/>
        <v/>
      </c>
      <c r="S331" s="16" t="str">
        <f>IF(Q331="","",Q331/MAX(Q$5:Q331)-1)</f>
        <v/>
      </c>
      <c r="T331" s="13">
        <f>IF(OR('实盘净值数据(iFinD）'!$A331="",'实盘净值数据(iFinD）'!$B331="",'实盘净值数据(iFinD）'!$Z331="",'实盘净值数据(iFinD）'!$AA331="",'实盘净值数据(iFinD）'!$AB331="",'实盘净值数据(iFinD）'!$AL331=""),"",(SUMPRODUCT(分期持仓明细!$B$26:$Y$26,'实盘净值数据(iFinD）'!$B331:$Y331/'实盘净值数据(iFinD）'!$B$69:$Y$69)+SUMPRODUCT(分期持仓明细!$AC$26:$AD$26,'实盘净值数据(iFinD）'!$Z331:$AA331/'实盘净值数据(iFinD）'!$Z$69:$AA$69)+SUMPRODUCT(分期持仓明细!$AE$26:$AO$26,'实盘净值数据(iFinD）'!$AB331:$AL331/'实盘净值数据(iFinD）'!$AB$69:$AL$69))*(1-实盘持仓初始配置!$Z$10)^(('实盘净值数据(iFinD）'!$A331-'实盘净值数据(iFinD）'!$A$69)/365))</f>
        <v/>
      </c>
      <c r="U331" s="16">
        <f>IF(OR(T330="",T331=""),"",T331/T330-1)</f>
        <v/>
      </c>
      <c r="V331" s="16">
        <f>IF(T331="","",T331/MAX(T$5:T331)-1)</f>
        <v/>
      </c>
    </row>
    <row r="332" spans="1:19">
      <c r="A332" s="15" t="str">
        <f>IF('实盘净值数据(iFinD）'!A332="","",'实盘净值数据(iFinD）'!A332)</f>
        <v/>
      </c>
      <c r="B332" s="13" t="str">
        <f>IF(OR('实盘净值数据(iFinD）'!$A332="",'实盘净值数据(iFinD）'!$B332=""),"",分期持仓明细!$AB$17*SUMPRODUCT(分期持仓明细!$B$17:$Y$17,'实盘净值数据(iFinD）'!$B332:$Y332/'实盘净值数据(iFinD）'!$B$20:$Y$20)*(1-实盘持仓初始配置!$Z$4)^(('实盘净值数据(iFinD）'!$A332-'实盘净值数据(iFinD）'!$A$6)/365))</f>
        <v/>
      </c>
      <c r="C332" s="16" t="str">
        <f t="shared" si="30"/>
        <v/>
      </c>
      <c r="D332" s="16" t="str">
        <f>IF(B332="","",B332/MAX(B$5:B332)-1)</f>
        <v/>
      </c>
      <c r="E332" s="13" t="str">
        <f>IF(OR('实盘净值数据(iFinD）'!$A332="",'实盘净值数据(iFinD）'!$B332=""),"",分期持仓明细!$AB$18*SUMPRODUCT(分期持仓明细!$B$18:$Y$18,'实盘净值数据(iFinD）'!$B332:$Y332/'实盘净值数据(iFinD）'!$B$20:$Y$20)*(1-实盘持仓初始配置!$Z$5)^(('实盘净值数据(iFinD）'!$A332-'实盘净值数据(iFinD）'!$A$5)/365))</f>
        <v/>
      </c>
      <c r="F332" s="16" t="str">
        <f t="shared" si="31"/>
        <v/>
      </c>
      <c r="G332" s="16" t="str">
        <f>IF(E332="","",E332/MAX(E$5:E332)-1)</f>
        <v/>
      </c>
      <c r="H332" s="13" t="str">
        <f>IF(OR('实盘净值数据(iFinD）'!$A332="",'实盘净值数据(iFinD）'!$B332=""),"",分期持仓明细!$AB$19*SUMPRODUCT(分期持仓明细!$B$19:$Y$19,'实盘净值数据(iFinD）'!$B332:$Y332/'实盘净值数据(iFinD）'!$B$20:$Y$20)*(1-实盘持仓初始配置!$Z$6)^(('实盘净值数据(iFinD）'!$A332-'实盘净值数据(iFinD）'!$A$7)/365))</f>
        <v/>
      </c>
      <c r="I332" s="16" t="str">
        <f t="shared" si="32"/>
        <v/>
      </c>
      <c r="J332" s="16" t="str">
        <f>IF(H332="","",H332/MAX(H$5:H332)-1)</f>
        <v/>
      </c>
      <c r="K332" s="13" t="str">
        <f>IF(OR('实盘净值数据(iFinD）'!$A332="",'实盘净值数据(iFinD）'!$B332="",'实盘净值数据(iFinD）'!$Z332="",'实盘净值数据(iFinD）'!$AA332=""),"",分期持仓明细!$AB$23*(SUMPRODUCT(分期持仓明细!$B$23:$Y$23,'实盘净值数据(iFinD）'!$B332:$Y332/'实盘净值数据(iFinD）'!$B$65:$Y$65)+SUMPRODUCT(分期持仓明细!$AC$23:$AD$23,'实盘净值数据(iFinD）'!$Z332:$AA332/'实盘净值数据(iFinD）'!$Z$65:$AA$65))*(1-实盘持仓初始配置!$Z$7)^(('实盘净值数据(iFinD）'!$A332-'实盘净值数据(iFinD）'!$A$8)/365))</f>
        <v/>
      </c>
      <c r="L332" s="16" t="str">
        <f t="shared" si="33"/>
        <v/>
      </c>
      <c r="M332" s="16" t="str">
        <f>IF(K332="","",K332/MAX(K$5:K332)-1)</f>
        <v/>
      </c>
      <c r="N332" s="13" t="str">
        <f>IF(OR('实盘净值数据(iFinD）'!$A332="",'实盘净值数据(iFinD）'!$B332="",'实盘净值数据(iFinD）'!$Z332="",'实盘净值数据(iFinD）'!$AA332=""),"",分期持仓明细!$AB$24*(SUMPRODUCT(分期持仓明细!$B$24:$Y$24,'实盘净值数据(iFinD）'!$B332:$Y332/'实盘净值数据(iFinD）'!$B$65:$Y$65)+SUMPRODUCT(分期持仓明细!$AC$24:$AD$24,'实盘净值数据(iFinD）'!$Z332:$AA332/'实盘净值数据(iFinD）'!$Z$65:$AA$65))*(1-实盘持仓初始配置!$Z$8)^(('实盘净值数据(iFinD）'!$A332-'实盘净值数据(iFinD）'!$A$5)/365))</f>
        <v/>
      </c>
      <c r="O332" s="16" t="str">
        <f t="shared" si="34"/>
        <v/>
      </c>
      <c r="P332" s="16" t="str">
        <f>IF(N332="","",N332/MAX(N$5:N332)-1)</f>
        <v/>
      </c>
      <c r="Q332" s="13" t="str">
        <f>IF(OR('实盘净值数据(iFinD）'!$A332="",'实盘净值数据(iFinD）'!$B332="",'实盘净值数据(iFinD）'!$Z332="",'实盘净值数据(iFinD）'!$AA332=""),"",分期持仓明细!$AB$25*(SUMPRODUCT(分期持仓明细!$B$25:$Y$25,'实盘净值数据(iFinD）'!$B332:$Y332/'实盘净值数据(iFinD）'!$B$65:$Y$65)+SUMPRODUCT(分期持仓明细!$AC$25:$AD$25,'实盘净值数据(iFinD）'!$Z332:$AA332/'实盘净值数据(iFinD）'!$Z$65:$AA$65))*(1-实盘持仓初始配置!$Z$9)^(('实盘净值数据(iFinD）'!$A332-'实盘净值数据(iFinD）'!$A$8)/365))</f>
        <v/>
      </c>
      <c r="R332" s="16" t="str">
        <f t="shared" si="35"/>
        <v/>
      </c>
      <c r="S332" s="16" t="str">
        <f>IF(Q332="","",Q332/MAX(Q$5:Q332)-1)</f>
        <v/>
      </c>
      <c r="T332" s="13">
        <f>IF(OR('实盘净值数据(iFinD）'!$A332="",'实盘净值数据(iFinD）'!$B332="",'实盘净值数据(iFinD）'!$Z332="",'实盘净值数据(iFinD）'!$AA332="",'实盘净值数据(iFinD）'!$AB332="",'实盘净值数据(iFinD）'!$AL332=""),"",(SUMPRODUCT(分期持仓明细!$B$26:$Y$26,'实盘净值数据(iFinD）'!$B332:$Y332/'实盘净值数据(iFinD）'!$B$69:$Y$69)+SUMPRODUCT(分期持仓明细!$AC$26:$AD$26,'实盘净值数据(iFinD）'!$Z332:$AA332/'实盘净值数据(iFinD）'!$Z$69:$AA$69)+SUMPRODUCT(分期持仓明细!$AE$26:$AO$26,'实盘净值数据(iFinD）'!$AB332:$AL332/'实盘净值数据(iFinD）'!$AB$69:$AL$69))*(1-实盘持仓初始配置!$Z$10)^(('实盘净值数据(iFinD）'!$A332-'实盘净值数据(iFinD）'!$A$69)/365))</f>
        <v/>
      </c>
      <c r="U332" s="16">
        <f>IF(OR(T331="",T332=""),"",T332/T331-1)</f>
        <v/>
      </c>
      <c r="V332" s="16">
        <f>IF(T332="","",T332/MAX(T$5:T332)-1)</f>
        <v/>
      </c>
    </row>
    <row r="333" spans="1:19">
      <c r="A333" s="15" t="str">
        <f>IF('实盘净值数据(iFinD）'!A333="","",'实盘净值数据(iFinD）'!A333)</f>
        <v/>
      </c>
      <c r="B333" s="13" t="str">
        <f>IF(OR('实盘净值数据(iFinD）'!$A333="",'实盘净值数据(iFinD）'!$B333=""),"",分期持仓明细!$AB$17*SUMPRODUCT(分期持仓明细!$B$17:$Y$17,'实盘净值数据(iFinD）'!$B333:$Y333/'实盘净值数据(iFinD）'!$B$20:$Y$20)*(1-实盘持仓初始配置!$Z$4)^(('实盘净值数据(iFinD）'!$A333-'实盘净值数据(iFinD）'!$A$6)/365))</f>
        <v/>
      </c>
      <c r="C333" s="16" t="str">
        <f t="shared" si="30"/>
        <v/>
      </c>
      <c r="D333" s="16" t="str">
        <f>IF(B333="","",B333/MAX(B$5:B333)-1)</f>
        <v/>
      </c>
      <c r="E333" s="13" t="str">
        <f>IF(OR('实盘净值数据(iFinD）'!$A333="",'实盘净值数据(iFinD）'!$B333=""),"",分期持仓明细!$AB$18*SUMPRODUCT(分期持仓明细!$B$18:$Y$18,'实盘净值数据(iFinD）'!$B333:$Y333/'实盘净值数据(iFinD）'!$B$20:$Y$20)*(1-实盘持仓初始配置!$Z$5)^(('实盘净值数据(iFinD）'!$A333-'实盘净值数据(iFinD）'!$A$5)/365))</f>
        <v/>
      </c>
      <c r="F333" s="16" t="str">
        <f t="shared" si="31"/>
        <v/>
      </c>
      <c r="G333" s="16" t="str">
        <f>IF(E333="","",E333/MAX(E$5:E333)-1)</f>
        <v/>
      </c>
      <c r="H333" s="13" t="str">
        <f>IF(OR('实盘净值数据(iFinD）'!$A333="",'实盘净值数据(iFinD）'!$B333=""),"",分期持仓明细!$AB$19*SUMPRODUCT(分期持仓明细!$B$19:$Y$19,'实盘净值数据(iFinD）'!$B333:$Y333/'实盘净值数据(iFinD）'!$B$20:$Y$20)*(1-实盘持仓初始配置!$Z$6)^(('实盘净值数据(iFinD）'!$A333-'实盘净值数据(iFinD）'!$A$7)/365))</f>
        <v/>
      </c>
      <c r="I333" s="16" t="str">
        <f t="shared" si="32"/>
        <v/>
      </c>
      <c r="J333" s="16" t="str">
        <f>IF(H333="","",H333/MAX(H$5:H333)-1)</f>
        <v/>
      </c>
      <c r="K333" s="13" t="str">
        <f>IF(OR('实盘净值数据(iFinD）'!$A333="",'实盘净值数据(iFinD）'!$B333="",'实盘净值数据(iFinD）'!$Z333="",'实盘净值数据(iFinD）'!$AA333=""),"",分期持仓明细!$AB$23*(SUMPRODUCT(分期持仓明细!$B$23:$Y$23,'实盘净值数据(iFinD）'!$B333:$Y333/'实盘净值数据(iFinD）'!$B$65:$Y$65)+SUMPRODUCT(分期持仓明细!$AC$23:$AD$23,'实盘净值数据(iFinD）'!$Z333:$AA333/'实盘净值数据(iFinD）'!$Z$65:$AA$65))*(1-实盘持仓初始配置!$Z$7)^(('实盘净值数据(iFinD）'!$A333-'实盘净值数据(iFinD）'!$A$8)/365))</f>
        <v/>
      </c>
      <c r="L333" s="16" t="str">
        <f t="shared" si="33"/>
        <v/>
      </c>
      <c r="M333" s="16" t="str">
        <f>IF(K333="","",K333/MAX(K$5:K333)-1)</f>
        <v/>
      </c>
      <c r="N333" s="13" t="str">
        <f>IF(OR('实盘净值数据(iFinD）'!$A333="",'实盘净值数据(iFinD）'!$B333="",'实盘净值数据(iFinD）'!$Z333="",'实盘净值数据(iFinD）'!$AA333=""),"",分期持仓明细!$AB$24*(SUMPRODUCT(分期持仓明细!$B$24:$Y$24,'实盘净值数据(iFinD）'!$B333:$Y333/'实盘净值数据(iFinD）'!$B$65:$Y$65)+SUMPRODUCT(分期持仓明细!$AC$24:$AD$24,'实盘净值数据(iFinD）'!$Z333:$AA333/'实盘净值数据(iFinD）'!$Z$65:$AA$65))*(1-实盘持仓初始配置!$Z$8)^(('实盘净值数据(iFinD）'!$A333-'实盘净值数据(iFinD）'!$A$5)/365))</f>
        <v/>
      </c>
      <c r="O333" s="16" t="str">
        <f t="shared" si="34"/>
        <v/>
      </c>
      <c r="P333" s="16" t="str">
        <f>IF(N333="","",N333/MAX(N$5:N333)-1)</f>
        <v/>
      </c>
      <c r="Q333" s="13" t="str">
        <f>IF(OR('实盘净值数据(iFinD）'!$A333="",'实盘净值数据(iFinD）'!$B333="",'实盘净值数据(iFinD）'!$Z333="",'实盘净值数据(iFinD）'!$AA333=""),"",分期持仓明细!$AB$25*(SUMPRODUCT(分期持仓明细!$B$25:$Y$25,'实盘净值数据(iFinD）'!$B333:$Y333/'实盘净值数据(iFinD）'!$B$65:$Y$65)+SUMPRODUCT(分期持仓明细!$AC$25:$AD$25,'实盘净值数据(iFinD）'!$Z333:$AA333/'实盘净值数据(iFinD）'!$Z$65:$AA$65))*(1-实盘持仓初始配置!$Z$9)^(('实盘净值数据(iFinD）'!$A333-'实盘净值数据(iFinD）'!$A$8)/365))</f>
        <v/>
      </c>
      <c r="R333" s="16" t="str">
        <f t="shared" si="35"/>
        <v/>
      </c>
      <c r="S333" s="16" t="str">
        <f>IF(Q333="","",Q333/MAX(Q$5:Q333)-1)</f>
        <v/>
      </c>
      <c r="T333" s="13">
        <f>IF(OR('实盘净值数据(iFinD）'!$A333="",'实盘净值数据(iFinD）'!$B333="",'实盘净值数据(iFinD）'!$Z333="",'实盘净值数据(iFinD）'!$AA333="",'实盘净值数据(iFinD）'!$AB333="",'实盘净值数据(iFinD）'!$AL333=""),"",(SUMPRODUCT(分期持仓明细!$B$26:$Y$26,'实盘净值数据(iFinD）'!$B333:$Y333/'实盘净值数据(iFinD）'!$B$69:$Y$69)+SUMPRODUCT(分期持仓明细!$AC$26:$AD$26,'实盘净值数据(iFinD）'!$Z333:$AA333/'实盘净值数据(iFinD）'!$Z$69:$AA$69)+SUMPRODUCT(分期持仓明细!$AE$26:$AO$26,'实盘净值数据(iFinD）'!$AB333:$AL333/'实盘净值数据(iFinD）'!$AB$69:$AL$69))*(1-实盘持仓初始配置!$Z$10)^(('实盘净值数据(iFinD）'!$A333-'实盘净值数据(iFinD）'!$A$69)/365))</f>
        <v/>
      </c>
      <c r="U333" s="16">
        <f>IF(OR(T332="",T333=""),"",T333/T332-1)</f>
        <v/>
      </c>
      <c r="V333" s="16">
        <f>IF(T333="","",T333/MAX(T$5:T333)-1)</f>
        <v/>
      </c>
    </row>
    <row r="334" spans="1:19">
      <c r="A334" s="15" t="str">
        <f>IF('实盘净值数据(iFinD）'!A334="","",'实盘净值数据(iFinD）'!A334)</f>
        <v/>
      </c>
      <c r="B334" s="13" t="str">
        <f>IF(OR('实盘净值数据(iFinD）'!$A334="",'实盘净值数据(iFinD）'!$B334=""),"",分期持仓明细!$AB$17*SUMPRODUCT(分期持仓明细!$B$17:$Y$17,'实盘净值数据(iFinD）'!$B334:$Y334/'实盘净值数据(iFinD）'!$B$20:$Y$20)*(1-实盘持仓初始配置!$Z$4)^(('实盘净值数据(iFinD）'!$A334-'实盘净值数据(iFinD）'!$A$6)/365))</f>
        <v/>
      </c>
      <c r="C334" s="16" t="str">
        <f t="shared" si="30"/>
        <v/>
      </c>
      <c r="D334" s="16" t="str">
        <f>IF(B334="","",B334/MAX(B$5:B334)-1)</f>
        <v/>
      </c>
      <c r="E334" s="13" t="str">
        <f>IF(OR('实盘净值数据(iFinD）'!$A334="",'实盘净值数据(iFinD）'!$B334=""),"",分期持仓明细!$AB$18*SUMPRODUCT(分期持仓明细!$B$18:$Y$18,'实盘净值数据(iFinD）'!$B334:$Y334/'实盘净值数据(iFinD）'!$B$20:$Y$20)*(1-实盘持仓初始配置!$Z$5)^(('实盘净值数据(iFinD）'!$A334-'实盘净值数据(iFinD）'!$A$5)/365))</f>
        <v/>
      </c>
      <c r="F334" s="16" t="str">
        <f t="shared" si="31"/>
        <v/>
      </c>
      <c r="G334" s="16" t="str">
        <f>IF(E334="","",E334/MAX(E$5:E334)-1)</f>
        <v/>
      </c>
      <c r="H334" s="13" t="str">
        <f>IF(OR('实盘净值数据(iFinD）'!$A334="",'实盘净值数据(iFinD）'!$B334=""),"",分期持仓明细!$AB$19*SUMPRODUCT(分期持仓明细!$B$19:$Y$19,'实盘净值数据(iFinD）'!$B334:$Y334/'实盘净值数据(iFinD）'!$B$20:$Y$20)*(1-实盘持仓初始配置!$Z$6)^(('实盘净值数据(iFinD）'!$A334-'实盘净值数据(iFinD）'!$A$7)/365))</f>
        <v/>
      </c>
      <c r="I334" s="16" t="str">
        <f t="shared" si="32"/>
        <v/>
      </c>
      <c r="J334" s="16" t="str">
        <f>IF(H334="","",H334/MAX(H$5:H334)-1)</f>
        <v/>
      </c>
      <c r="K334" s="13" t="str">
        <f>IF(OR('实盘净值数据(iFinD）'!$A334="",'实盘净值数据(iFinD）'!$B334="",'实盘净值数据(iFinD）'!$Z334="",'实盘净值数据(iFinD）'!$AA334=""),"",分期持仓明细!$AB$23*(SUMPRODUCT(分期持仓明细!$B$23:$Y$23,'实盘净值数据(iFinD）'!$B334:$Y334/'实盘净值数据(iFinD）'!$B$65:$Y$65)+SUMPRODUCT(分期持仓明细!$AC$23:$AD$23,'实盘净值数据(iFinD）'!$Z334:$AA334/'实盘净值数据(iFinD）'!$Z$65:$AA$65))*(1-实盘持仓初始配置!$Z$7)^(('实盘净值数据(iFinD）'!$A334-'实盘净值数据(iFinD）'!$A$8)/365))</f>
        <v/>
      </c>
      <c r="L334" s="16" t="str">
        <f t="shared" si="33"/>
        <v/>
      </c>
      <c r="M334" s="16" t="str">
        <f>IF(K334="","",K334/MAX(K$5:K334)-1)</f>
        <v/>
      </c>
      <c r="N334" s="13" t="str">
        <f>IF(OR('实盘净值数据(iFinD）'!$A334="",'实盘净值数据(iFinD）'!$B334="",'实盘净值数据(iFinD）'!$Z334="",'实盘净值数据(iFinD）'!$AA334=""),"",分期持仓明细!$AB$24*(SUMPRODUCT(分期持仓明细!$B$24:$Y$24,'实盘净值数据(iFinD）'!$B334:$Y334/'实盘净值数据(iFinD）'!$B$65:$Y$65)+SUMPRODUCT(分期持仓明细!$AC$24:$AD$24,'实盘净值数据(iFinD）'!$Z334:$AA334/'实盘净值数据(iFinD）'!$Z$65:$AA$65))*(1-实盘持仓初始配置!$Z$8)^(('实盘净值数据(iFinD）'!$A334-'实盘净值数据(iFinD）'!$A$5)/365))</f>
        <v/>
      </c>
      <c r="O334" s="16" t="str">
        <f t="shared" si="34"/>
        <v/>
      </c>
      <c r="P334" s="16" t="str">
        <f>IF(N334="","",N334/MAX(N$5:N334)-1)</f>
        <v/>
      </c>
      <c r="Q334" s="13" t="str">
        <f>IF(OR('实盘净值数据(iFinD）'!$A334="",'实盘净值数据(iFinD）'!$B334="",'实盘净值数据(iFinD）'!$Z334="",'实盘净值数据(iFinD）'!$AA334=""),"",分期持仓明细!$AB$25*(SUMPRODUCT(分期持仓明细!$B$25:$Y$25,'实盘净值数据(iFinD）'!$B334:$Y334/'实盘净值数据(iFinD）'!$B$65:$Y$65)+SUMPRODUCT(分期持仓明细!$AC$25:$AD$25,'实盘净值数据(iFinD）'!$Z334:$AA334/'实盘净值数据(iFinD）'!$Z$65:$AA$65))*(1-实盘持仓初始配置!$Z$9)^(('实盘净值数据(iFinD）'!$A334-'实盘净值数据(iFinD）'!$A$8)/365))</f>
        <v/>
      </c>
      <c r="R334" s="16" t="str">
        <f t="shared" si="35"/>
        <v/>
      </c>
      <c r="S334" s="16" t="str">
        <f>IF(Q334="","",Q334/MAX(Q$5:Q334)-1)</f>
        <v/>
      </c>
      <c r="T334" s="13">
        <f>IF(OR('实盘净值数据(iFinD）'!$A334="",'实盘净值数据(iFinD）'!$B334="",'实盘净值数据(iFinD）'!$Z334="",'实盘净值数据(iFinD）'!$AA334="",'实盘净值数据(iFinD）'!$AB334="",'实盘净值数据(iFinD）'!$AL334=""),"",(SUMPRODUCT(分期持仓明细!$B$26:$Y$26,'实盘净值数据(iFinD）'!$B334:$Y334/'实盘净值数据(iFinD）'!$B$69:$Y$69)+SUMPRODUCT(分期持仓明细!$AC$26:$AD$26,'实盘净值数据(iFinD）'!$Z334:$AA334/'实盘净值数据(iFinD）'!$Z$69:$AA$69)+SUMPRODUCT(分期持仓明细!$AE$26:$AO$26,'实盘净值数据(iFinD）'!$AB334:$AL334/'实盘净值数据(iFinD）'!$AB$69:$AL$69))*(1-实盘持仓初始配置!$Z$10)^(('实盘净值数据(iFinD）'!$A334-'实盘净值数据(iFinD）'!$A$69)/365))</f>
        <v/>
      </c>
      <c r="U334" s="16">
        <f>IF(OR(T333="",T334=""),"",T334/T333-1)</f>
        <v/>
      </c>
      <c r="V334" s="16">
        <f>IF(T334="","",T334/MAX(T$5:T334)-1)</f>
        <v/>
      </c>
    </row>
    <row r="335" spans="1:19">
      <c r="A335" s="15" t="str">
        <f>IF('实盘净值数据(iFinD）'!A335="","",'实盘净值数据(iFinD）'!A335)</f>
        <v/>
      </c>
      <c r="B335" s="13" t="str">
        <f>IF(OR('实盘净值数据(iFinD）'!$A335="",'实盘净值数据(iFinD）'!$B335=""),"",分期持仓明细!$AB$17*SUMPRODUCT(分期持仓明细!$B$17:$Y$17,'实盘净值数据(iFinD）'!$B335:$Y335/'实盘净值数据(iFinD）'!$B$20:$Y$20)*(1-实盘持仓初始配置!$Z$4)^(('实盘净值数据(iFinD）'!$A335-'实盘净值数据(iFinD）'!$A$6)/365))</f>
        <v/>
      </c>
      <c r="C335" s="16" t="str">
        <f t="shared" si="30"/>
        <v/>
      </c>
      <c r="D335" s="16" t="str">
        <f>IF(B335="","",B335/MAX(B$5:B335)-1)</f>
        <v/>
      </c>
      <c r="E335" s="13" t="str">
        <f>IF(OR('实盘净值数据(iFinD）'!$A335="",'实盘净值数据(iFinD）'!$B335=""),"",分期持仓明细!$AB$18*SUMPRODUCT(分期持仓明细!$B$18:$Y$18,'实盘净值数据(iFinD）'!$B335:$Y335/'实盘净值数据(iFinD）'!$B$20:$Y$20)*(1-实盘持仓初始配置!$Z$5)^(('实盘净值数据(iFinD）'!$A335-'实盘净值数据(iFinD）'!$A$5)/365))</f>
        <v/>
      </c>
      <c r="F335" s="16" t="str">
        <f t="shared" si="31"/>
        <v/>
      </c>
      <c r="G335" s="16" t="str">
        <f>IF(E335="","",E335/MAX(E$5:E335)-1)</f>
        <v/>
      </c>
      <c r="H335" s="13" t="str">
        <f>IF(OR('实盘净值数据(iFinD）'!$A335="",'实盘净值数据(iFinD）'!$B335=""),"",分期持仓明细!$AB$19*SUMPRODUCT(分期持仓明细!$B$19:$Y$19,'实盘净值数据(iFinD）'!$B335:$Y335/'实盘净值数据(iFinD）'!$B$20:$Y$20)*(1-实盘持仓初始配置!$Z$6)^(('实盘净值数据(iFinD）'!$A335-'实盘净值数据(iFinD）'!$A$7)/365))</f>
        <v/>
      </c>
      <c r="I335" s="16" t="str">
        <f t="shared" si="32"/>
        <v/>
      </c>
      <c r="J335" s="16" t="str">
        <f>IF(H335="","",H335/MAX(H$5:H335)-1)</f>
        <v/>
      </c>
      <c r="K335" s="13" t="str">
        <f>IF(OR('实盘净值数据(iFinD）'!$A335="",'实盘净值数据(iFinD）'!$B335="",'实盘净值数据(iFinD）'!$Z335="",'实盘净值数据(iFinD）'!$AA335=""),"",分期持仓明细!$AB$23*(SUMPRODUCT(分期持仓明细!$B$23:$Y$23,'实盘净值数据(iFinD）'!$B335:$Y335/'实盘净值数据(iFinD）'!$B$65:$Y$65)+SUMPRODUCT(分期持仓明细!$AC$23:$AD$23,'实盘净值数据(iFinD）'!$Z335:$AA335/'实盘净值数据(iFinD）'!$Z$65:$AA$65))*(1-实盘持仓初始配置!$Z$7)^(('实盘净值数据(iFinD）'!$A335-'实盘净值数据(iFinD）'!$A$8)/365))</f>
        <v/>
      </c>
      <c r="L335" s="16" t="str">
        <f t="shared" si="33"/>
        <v/>
      </c>
      <c r="M335" s="16" t="str">
        <f>IF(K335="","",K335/MAX(K$5:K335)-1)</f>
        <v/>
      </c>
      <c r="N335" s="13" t="str">
        <f>IF(OR('实盘净值数据(iFinD）'!$A335="",'实盘净值数据(iFinD）'!$B335="",'实盘净值数据(iFinD）'!$Z335="",'实盘净值数据(iFinD）'!$AA335=""),"",分期持仓明细!$AB$24*(SUMPRODUCT(分期持仓明细!$B$24:$Y$24,'实盘净值数据(iFinD）'!$B335:$Y335/'实盘净值数据(iFinD）'!$B$65:$Y$65)+SUMPRODUCT(分期持仓明细!$AC$24:$AD$24,'实盘净值数据(iFinD）'!$Z335:$AA335/'实盘净值数据(iFinD）'!$Z$65:$AA$65))*(1-实盘持仓初始配置!$Z$8)^(('实盘净值数据(iFinD）'!$A335-'实盘净值数据(iFinD）'!$A$5)/365))</f>
        <v/>
      </c>
      <c r="O335" s="16" t="str">
        <f t="shared" si="34"/>
        <v/>
      </c>
      <c r="P335" s="16" t="str">
        <f>IF(N335="","",N335/MAX(N$5:N335)-1)</f>
        <v/>
      </c>
      <c r="Q335" s="13" t="str">
        <f>IF(OR('实盘净值数据(iFinD）'!$A335="",'实盘净值数据(iFinD）'!$B335="",'实盘净值数据(iFinD）'!$Z335="",'实盘净值数据(iFinD）'!$AA335=""),"",分期持仓明细!$AB$25*(SUMPRODUCT(分期持仓明细!$B$25:$Y$25,'实盘净值数据(iFinD）'!$B335:$Y335/'实盘净值数据(iFinD）'!$B$65:$Y$65)+SUMPRODUCT(分期持仓明细!$AC$25:$AD$25,'实盘净值数据(iFinD）'!$Z335:$AA335/'实盘净值数据(iFinD）'!$Z$65:$AA$65))*(1-实盘持仓初始配置!$Z$9)^(('实盘净值数据(iFinD）'!$A335-'实盘净值数据(iFinD）'!$A$8)/365))</f>
        <v/>
      </c>
      <c r="R335" s="16" t="str">
        <f t="shared" si="35"/>
        <v/>
      </c>
      <c r="S335" s="16" t="str">
        <f>IF(Q335="","",Q335/MAX(Q$5:Q335)-1)</f>
        <v/>
      </c>
      <c r="T335" s="13">
        <f>IF(OR('实盘净值数据(iFinD）'!$A335="",'实盘净值数据(iFinD）'!$B335="",'实盘净值数据(iFinD）'!$Z335="",'实盘净值数据(iFinD）'!$AA335="",'实盘净值数据(iFinD）'!$AB335="",'实盘净值数据(iFinD）'!$AL335=""),"",(SUMPRODUCT(分期持仓明细!$B$26:$Y$26,'实盘净值数据(iFinD）'!$B335:$Y335/'实盘净值数据(iFinD）'!$B$69:$Y$69)+SUMPRODUCT(分期持仓明细!$AC$26:$AD$26,'实盘净值数据(iFinD）'!$Z335:$AA335/'实盘净值数据(iFinD）'!$Z$69:$AA$69)+SUMPRODUCT(分期持仓明细!$AE$26:$AO$26,'实盘净值数据(iFinD）'!$AB335:$AL335/'实盘净值数据(iFinD）'!$AB$69:$AL$69))*(1-实盘持仓初始配置!$Z$10)^(('实盘净值数据(iFinD）'!$A335-'实盘净值数据(iFinD）'!$A$69)/365))</f>
        <v/>
      </c>
      <c r="U335" s="16">
        <f>IF(OR(T334="",T335=""),"",T335/T334-1)</f>
        <v/>
      </c>
      <c r="V335" s="16">
        <f>IF(T335="","",T335/MAX(T$5:T335)-1)</f>
        <v/>
      </c>
    </row>
    <row r="336" spans="1:19">
      <c r="A336" s="15" t="str">
        <f>IF('实盘净值数据(iFinD）'!A336="","",'实盘净值数据(iFinD）'!A336)</f>
        <v/>
      </c>
      <c r="B336" s="13" t="str">
        <f>IF(OR('实盘净值数据(iFinD）'!$A336="",'实盘净值数据(iFinD）'!$B336=""),"",分期持仓明细!$AB$17*SUMPRODUCT(分期持仓明细!$B$17:$Y$17,'实盘净值数据(iFinD）'!$B336:$Y336/'实盘净值数据(iFinD）'!$B$20:$Y$20)*(1-实盘持仓初始配置!$Z$4)^(('实盘净值数据(iFinD）'!$A336-'实盘净值数据(iFinD）'!$A$6)/365))</f>
        <v/>
      </c>
      <c r="C336" s="16" t="str">
        <f t="shared" si="30"/>
        <v/>
      </c>
      <c r="D336" s="16" t="str">
        <f>IF(B336="","",B336/MAX(B$5:B336)-1)</f>
        <v/>
      </c>
      <c r="E336" s="13" t="str">
        <f>IF(OR('实盘净值数据(iFinD）'!$A336="",'实盘净值数据(iFinD）'!$B336=""),"",分期持仓明细!$AB$18*SUMPRODUCT(分期持仓明细!$B$18:$Y$18,'实盘净值数据(iFinD）'!$B336:$Y336/'实盘净值数据(iFinD）'!$B$20:$Y$20)*(1-实盘持仓初始配置!$Z$5)^(('实盘净值数据(iFinD）'!$A336-'实盘净值数据(iFinD）'!$A$5)/365))</f>
        <v/>
      </c>
      <c r="F336" s="16" t="str">
        <f t="shared" si="31"/>
        <v/>
      </c>
      <c r="G336" s="16" t="str">
        <f>IF(E336="","",E336/MAX(E$5:E336)-1)</f>
        <v/>
      </c>
      <c r="H336" s="13" t="str">
        <f>IF(OR('实盘净值数据(iFinD）'!$A336="",'实盘净值数据(iFinD）'!$B336=""),"",分期持仓明细!$AB$19*SUMPRODUCT(分期持仓明细!$B$19:$Y$19,'实盘净值数据(iFinD）'!$B336:$Y336/'实盘净值数据(iFinD）'!$B$20:$Y$20)*(1-实盘持仓初始配置!$Z$6)^(('实盘净值数据(iFinD）'!$A336-'实盘净值数据(iFinD）'!$A$7)/365))</f>
        <v/>
      </c>
      <c r="I336" s="16" t="str">
        <f t="shared" si="32"/>
        <v/>
      </c>
      <c r="J336" s="16" t="str">
        <f>IF(H336="","",H336/MAX(H$5:H336)-1)</f>
        <v/>
      </c>
      <c r="K336" s="13" t="str">
        <f>IF(OR('实盘净值数据(iFinD）'!$A336="",'实盘净值数据(iFinD）'!$B336="",'实盘净值数据(iFinD）'!$Z336="",'实盘净值数据(iFinD）'!$AA336=""),"",分期持仓明细!$AB$23*(SUMPRODUCT(分期持仓明细!$B$23:$Y$23,'实盘净值数据(iFinD）'!$B336:$Y336/'实盘净值数据(iFinD）'!$B$65:$Y$65)+SUMPRODUCT(分期持仓明细!$AC$23:$AD$23,'实盘净值数据(iFinD）'!$Z336:$AA336/'实盘净值数据(iFinD）'!$Z$65:$AA$65))*(1-实盘持仓初始配置!$Z$7)^(('实盘净值数据(iFinD）'!$A336-'实盘净值数据(iFinD）'!$A$8)/365))</f>
        <v/>
      </c>
      <c r="L336" s="16" t="str">
        <f t="shared" si="33"/>
        <v/>
      </c>
      <c r="M336" s="16" t="str">
        <f>IF(K336="","",K336/MAX(K$5:K336)-1)</f>
        <v/>
      </c>
      <c r="N336" s="13" t="str">
        <f>IF(OR('实盘净值数据(iFinD）'!$A336="",'实盘净值数据(iFinD）'!$B336="",'实盘净值数据(iFinD）'!$Z336="",'实盘净值数据(iFinD）'!$AA336=""),"",分期持仓明细!$AB$24*(SUMPRODUCT(分期持仓明细!$B$24:$Y$24,'实盘净值数据(iFinD）'!$B336:$Y336/'实盘净值数据(iFinD）'!$B$65:$Y$65)+SUMPRODUCT(分期持仓明细!$AC$24:$AD$24,'实盘净值数据(iFinD）'!$Z336:$AA336/'实盘净值数据(iFinD）'!$Z$65:$AA$65))*(1-实盘持仓初始配置!$Z$8)^(('实盘净值数据(iFinD）'!$A336-'实盘净值数据(iFinD）'!$A$5)/365))</f>
        <v/>
      </c>
      <c r="O336" s="16" t="str">
        <f t="shared" si="34"/>
        <v/>
      </c>
      <c r="P336" s="16" t="str">
        <f>IF(N336="","",N336/MAX(N$5:N336)-1)</f>
        <v/>
      </c>
      <c r="Q336" s="13" t="str">
        <f>IF(OR('实盘净值数据(iFinD）'!$A336="",'实盘净值数据(iFinD）'!$B336="",'实盘净值数据(iFinD）'!$Z336="",'实盘净值数据(iFinD）'!$AA336=""),"",分期持仓明细!$AB$25*(SUMPRODUCT(分期持仓明细!$B$25:$Y$25,'实盘净值数据(iFinD）'!$B336:$Y336/'实盘净值数据(iFinD）'!$B$65:$Y$65)+SUMPRODUCT(分期持仓明细!$AC$25:$AD$25,'实盘净值数据(iFinD）'!$Z336:$AA336/'实盘净值数据(iFinD）'!$Z$65:$AA$65))*(1-实盘持仓初始配置!$Z$9)^(('实盘净值数据(iFinD）'!$A336-'实盘净值数据(iFinD）'!$A$8)/365))</f>
        <v/>
      </c>
      <c r="R336" s="16" t="str">
        <f t="shared" si="35"/>
        <v/>
      </c>
      <c r="S336" s="16" t="str">
        <f>IF(Q336="","",Q336/MAX(Q$5:Q336)-1)</f>
        <v/>
      </c>
      <c r="T336" s="13">
        <f>IF(OR('实盘净值数据(iFinD）'!$A336="",'实盘净值数据(iFinD）'!$B336="",'实盘净值数据(iFinD）'!$Z336="",'实盘净值数据(iFinD）'!$AA336="",'实盘净值数据(iFinD）'!$AB336="",'实盘净值数据(iFinD）'!$AL336=""),"",(SUMPRODUCT(分期持仓明细!$B$26:$Y$26,'实盘净值数据(iFinD）'!$B336:$Y336/'实盘净值数据(iFinD）'!$B$69:$Y$69)+SUMPRODUCT(分期持仓明细!$AC$26:$AD$26,'实盘净值数据(iFinD）'!$Z336:$AA336/'实盘净值数据(iFinD）'!$Z$69:$AA$69)+SUMPRODUCT(分期持仓明细!$AE$26:$AO$26,'实盘净值数据(iFinD）'!$AB336:$AL336/'实盘净值数据(iFinD）'!$AB$69:$AL$69))*(1-实盘持仓初始配置!$Z$10)^(('实盘净值数据(iFinD）'!$A336-'实盘净值数据(iFinD）'!$A$69)/365))</f>
        <v/>
      </c>
      <c r="U336" s="16">
        <f>IF(OR(T335="",T336=""),"",T336/T335-1)</f>
        <v/>
      </c>
      <c r="V336" s="16">
        <f>IF(T336="","",T336/MAX(T$5:T336)-1)</f>
        <v/>
      </c>
    </row>
    <row r="337" spans="1:19">
      <c r="A337" s="15" t="str">
        <f>IF('实盘净值数据(iFinD）'!A337="","",'实盘净值数据(iFinD）'!A337)</f>
        <v/>
      </c>
      <c r="B337" s="13" t="str">
        <f>IF(OR('实盘净值数据(iFinD）'!$A337="",'实盘净值数据(iFinD）'!$B337=""),"",分期持仓明细!$AB$17*SUMPRODUCT(分期持仓明细!$B$17:$Y$17,'实盘净值数据(iFinD）'!$B337:$Y337/'实盘净值数据(iFinD）'!$B$20:$Y$20)*(1-实盘持仓初始配置!$Z$4)^(('实盘净值数据(iFinD）'!$A337-'实盘净值数据(iFinD）'!$A$6)/365))</f>
        <v/>
      </c>
      <c r="C337" s="16" t="str">
        <f t="shared" si="30"/>
        <v/>
      </c>
      <c r="D337" s="16" t="str">
        <f>IF(B337="","",B337/MAX(B$5:B337)-1)</f>
        <v/>
      </c>
      <c r="E337" s="13" t="str">
        <f>IF(OR('实盘净值数据(iFinD）'!$A337="",'实盘净值数据(iFinD）'!$B337=""),"",分期持仓明细!$AB$18*SUMPRODUCT(分期持仓明细!$B$18:$Y$18,'实盘净值数据(iFinD）'!$B337:$Y337/'实盘净值数据(iFinD）'!$B$20:$Y$20)*(1-实盘持仓初始配置!$Z$5)^(('实盘净值数据(iFinD）'!$A337-'实盘净值数据(iFinD）'!$A$5)/365))</f>
        <v/>
      </c>
      <c r="F337" s="16" t="str">
        <f t="shared" si="31"/>
        <v/>
      </c>
      <c r="G337" s="16" t="str">
        <f>IF(E337="","",E337/MAX(E$5:E337)-1)</f>
        <v/>
      </c>
      <c r="H337" s="13" t="str">
        <f>IF(OR('实盘净值数据(iFinD）'!$A337="",'实盘净值数据(iFinD）'!$B337=""),"",分期持仓明细!$AB$19*SUMPRODUCT(分期持仓明细!$B$19:$Y$19,'实盘净值数据(iFinD）'!$B337:$Y337/'实盘净值数据(iFinD）'!$B$20:$Y$20)*(1-实盘持仓初始配置!$Z$6)^(('实盘净值数据(iFinD）'!$A337-'实盘净值数据(iFinD）'!$A$7)/365))</f>
        <v/>
      </c>
      <c r="I337" s="16" t="str">
        <f t="shared" si="32"/>
        <v/>
      </c>
      <c r="J337" s="16" t="str">
        <f>IF(H337="","",H337/MAX(H$5:H337)-1)</f>
        <v/>
      </c>
      <c r="K337" s="13" t="str">
        <f>IF(OR('实盘净值数据(iFinD）'!$A337="",'实盘净值数据(iFinD）'!$B337="",'实盘净值数据(iFinD）'!$Z337="",'实盘净值数据(iFinD）'!$AA337=""),"",分期持仓明细!$AB$23*(SUMPRODUCT(分期持仓明细!$B$23:$Y$23,'实盘净值数据(iFinD）'!$B337:$Y337/'实盘净值数据(iFinD）'!$B$65:$Y$65)+SUMPRODUCT(分期持仓明细!$AC$23:$AD$23,'实盘净值数据(iFinD）'!$Z337:$AA337/'实盘净值数据(iFinD）'!$Z$65:$AA$65))*(1-实盘持仓初始配置!$Z$7)^(('实盘净值数据(iFinD）'!$A337-'实盘净值数据(iFinD）'!$A$8)/365))</f>
        <v/>
      </c>
      <c r="L337" s="16" t="str">
        <f t="shared" si="33"/>
        <v/>
      </c>
      <c r="M337" s="16" t="str">
        <f>IF(K337="","",K337/MAX(K$5:K337)-1)</f>
        <v/>
      </c>
      <c r="N337" s="13" t="str">
        <f>IF(OR('实盘净值数据(iFinD）'!$A337="",'实盘净值数据(iFinD）'!$B337="",'实盘净值数据(iFinD）'!$Z337="",'实盘净值数据(iFinD）'!$AA337=""),"",分期持仓明细!$AB$24*(SUMPRODUCT(分期持仓明细!$B$24:$Y$24,'实盘净值数据(iFinD）'!$B337:$Y337/'实盘净值数据(iFinD）'!$B$65:$Y$65)+SUMPRODUCT(分期持仓明细!$AC$24:$AD$24,'实盘净值数据(iFinD）'!$Z337:$AA337/'实盘净值数据(iFinD）'!$Z$65:$AA$65))*(1-实盘持仓初始配置!$Z$8)^(('实盘净值数据(iFinD）'!$A337-'实盘净值数据(iFinD）'!$A$5)/365))</f>
        <v/>
      </c>
      <c r="O337" s="16" t="str">
        <f t="shared" si="34"/>
        <v/>
      </c>
      <c r="P337" s="16" t="str">
        <f>IF(N337="","",N337/MAX(N$5:N337)-1)</f>
        <v/>
      </c>
      <c r="Q337" s="13" t="str">
        <f>IF(OR('实盘净值数据(iFinD）'!$A337="",'实盘净值数据(iFinD）'!$B337="",'实盘净值数据(iFinD）'!$Z337="",'实盘净值数据(iFinD）'!$AA337=""),"",分期持仓明细!$AB$25*(SUMPRODUCT(分期持仓明细!$B$25:$Y$25,'实盘净值数据(iFinD）'!$B337:$Y337/'实盘净值数据(iFinD）'!$B$65:$Y$65)+SUMPRODUCT(分期持仓明细!$AC$25:$AD$25,'实盘净值数据(iFinD）'!$Z337:$AA337/'实盘净值数据(iFinD）'!$Z$65:$AA$65))*(1-实盘持仓初始配置!$Z$9)^(('实盘净值数据(iFinD）'!$A337-'实盘净值数据(iFinD）'!$A$8)/365))</f>
        <v/>
      </c>
      <c r="R337" s="16" t="str">
        <f t="shared" si="35"/>
        <v/>
      </c>
      <c r="S337" s="16" t="str">
        <f>IF(Q337="","",Q337/MAX(Q$5:Q337)-1)</f>
        <v/>
      </c>
      <c r="T337" s="13">
        <f>IF(OR('实盘净值数据(iFinD）'!$A337="",'实盘净值数据(iFinD）'!$B337="",'实盘净值数据(iFinD）'!$Z337="",'实盘净值数据(iFinD）'!$AA337="",'实盘净值数据(iFinD）'!$AB337="",'实盘净值数据(iFinD）'!$AL337=""),"",(SUMPRODUCT(分期持仓明细!$B$26:$Y$26,'实盘净值数据(iFinD）'!$B337:$Y337/'实盘净值数据(iFinD）'!$B$69:$Y$69)+SUMPRODUCT(分期持仓明细!$AC$26:$AD$26,'实盘净值数据(iFinD）'!$Z337:$AA337/'实盘净值数据(iFinD）'!$Z$69:$AA$69)+SUMPRODUCT(分期持仓明细!$AE$26:$AO$26,'实盘净值数据(iFinD）'!$AB337:$AL337/'实盘净值数据(iFinD）'!$AB$69:$AL$69))*(1-实盘持仓初始配置!$Z$10)^(('实盘净值数据(iFinD）'!$A337-'实盘净值数据(iFinD）'!$A$69)/365))</f>
        <v/>
      </c>
      <c r="U337" s="16">
        <f>IF(OR(T336="",T337=""),"",T337/T336-1)</f>
        <v/>
      </c>
      <c r="V337" s="16">
        <f>IF(T337="","",T337/MAX(T$5:T337)-1)</f>
        <v/>
      </c>
    </row>
    <row r="338" spans="1:19">
      <c r="A338" s="15" t="str">
        <f>IF('实盘净值数据(iFinD）'!A338="","",'实盘净值数据(iFinD）'!A338)</f>
        <v/>
      </c>
      <c r="B338" s="13" t="str">
        <f>IF(OR('实盘净值数据(iFinD）'!$A338="",'实盘净值数据(iFinD）'!$B338=""),"",分期持仓明细!$AB$17*SUMPRODUCT(分期持仓明细!$B$17:$Y$17,'实盘净值数据(iFinD）'!$B338:$Y338/'实盘净值数据(iFinD）'!$B$20:$Y$20)*(1-实盘持仓初始配置!$Z$4)^(('实盘净值数据(iFinD）'!$A338-'实盘净值数据(iFinD）'!$A$6)/365))</f>
        <v/>
      </c>
      <c r="C338" s="16" t="str">
        <f t="shared" si="30"/>
        <v/>
      </c>
      <c r="D338" s="16" t="str">
        <f>IF(B338="","",B338/MAX(B$5:B338)-1)</f>
        <v/>
      </c>
      <c r="E338" s="13" t="str">
        <f>IF(OR('实盘净值数据(iFinD）'!$A338="",'实盘净值数据(iFinD）'!$B338=""),"",分期持仓明细!$AB$18*SUMPRODUCT(分期持仓明细!$B$18:$Y$18,'实盘净值数据(iFinD）'!$B338:$Y338/'实盘净值数据(iFinD）'!$B$20:$Y$20)*(1-实盘持仓初始配置!$Z$5)^(('实盘净值数据(iFinD）'!$A338-'实盘净值数据(iFinD）'!$A$5)/365))</f>
        <v/>
      </c>
      <c r="F338" s="16" t="str">
        <f t="shared" si="31"/>
        <v/>
      </c>
      <c r="G338" s="16" t="str">
        <f>IF(E338="","",E338/MAX(E$5:E338)-1)</f>
        <v/>
      </c>
      <c r="H338" s="13" t="str">
        <f>IF(OR('实盘净值数据(iFinD）'!$A338="",'实盘净值数据(iFinD）'!$B338=""),"",分期持仓明细!$AB$19*SUMPRODUCT(分期持仓明细!$B$19:$Y$19,'实盘净值数据(iFinD）'!$B338:$Y338/'实盘净值数据(iFinD）'!$B$20:$Y$20)*(1-实盘持仓初始配置!$Z$6)^(('实盘净值数据(iFinD）'!$A338-'实盘净值数据(iFinD）'!$A$7)/365))</f>
        <v/>
      </c>
      <c r="I338" s="16" t="str">
        <f t="shared" si="32"/>
        <v/>
      </c>
      <c r="J338" s="16" t="str">
        <f>IF(H338="","",H338/MAX(H$5:H338)-1)</f>
        <v/>
      </c>
      <c r="K338" s="13" t="str">
        <f>IF(OR('实盘净值数据(iFinD）'!$A338="",'实盘净值数据(iFinD）'!$B338="",'实盘净值数据(iFinD）'!$Z338="",'实盘净值数据(iFinD）'!$AA338=""),"",分期持仓明细!$AB$23*(SUMPRODUCT(分期持仓明细!$B$23:$Y$23,'实盘净值数据(iFinD）'!$B338:$Y338/'实盘净值数据(iFinD）'!$B$65:$Y$65)+SUMPRODUCT(分期持仓明细!$AC$23:$AD$23,'实盘净值数据(iFinD）'!$Z338:$AA338/'实盘净值数据(iFinD）'!$Z$65:$AA$65))*(1-实盘持仓初始配置!$Z$7)^(('实盘净值数据(iFinD）'!$A338-'实盘净值数据(iFinD）'!$A$8)/365))</f>
        <v/>
      </c>
      <c r="L338" s="16" t="str">
        <f t="shared" si="33"/>
        <v/>
      </c>
      <c r="M338" s="16" t="str">
        <f>IF(K338="","",K338/MAX(K$5:K338)-1)</f>
        <v/>
      </c>
      <c r="N338" s="13" t="str">
        <f>IF(OR('实盘净值数据(iFinD）'!$A338="",'实盘净值数据(iFinD）'!$B338="",'实盘净值数据(iFinD）'!$Z338="",'实盘净值数据(iFinD）'!$AA338=""),"",分期持仓明细!$AB$24*(SUMPRODUCT(分期持仓明细!$B$24:$Y$24,'实盘净值数据(iFinD）'!$B338:$Y338/'实盘净值数据(iFinD）'!$B$65:$Y$65)+SUMPRODUCT(分期持仓明细!$AC$24:$AD$24,'实盘净值数据(iFinD）'!$Z338:$AA338/'实盘净值数据(iFinD）'!$Z$65:$AA$65))*(1-实盘持仓初始配置!$Z$8)^(('实盘净值数据(iFinD）'!$A338-'实盘净值数据(iFinD）'!$A$5)/365))</f>
        <v/>
      </c>
      <c r="O338" s="16" t="str">
        <f t="shared" si="34"/>
        <v/>
      </c>
      <c r="P338" s="16" t="str">
        <f>IF(N338="","",N338/MAX(N$5:N338)-1)</f>
        <v/>
      </c>
      <c r="Q338" s="13" t="str">
        <f>IF(OR('实盘净值数据(iFinD）'!$A338="",'实盘净值数据(iFinD）'!$B338="",'实盘净值数据(iFinD）'!$Z338="",'实盘净值数据(iFinD）'!$AA338=""),"",分期持仓明细!$AB$25*(SUMPRODUCT(分期持仓明细!$B$25:$Y$25,'实盘净值数据(iFinD）'!$B338:$Y338/'实盘净值数据(iFinD）'!$B$65:$Y$65)+SUMPRODUCT(分期持仓明细!$AC$25:$AD$25,'实盘净值数据(iFinD）'!$Z338:$AA338/'实盘净值数据(iFinD）'!$Z$65:$AA$65))*(1-实盘持仓初始配置!$Z$9)^(('实盘净值数据(iFinD）'!$A338-'实盘净值数据(iFinD）'!$A$8)/365))</f>
        <v/>
      </c>
      <c r="R338" s="16" t="str">
        <f t="shared" si="35"/>
        <v/>
      </c>
      <c r="S338" s="16" t="str">
        <f>IF(Q338="","",Q338/MAX(Q$5:Q338)-1)</f>
        <v/>
      </c>
      <c r="T338" s="13">
        <f>IF(OR('实盘净值数据(iFinD）'!$A338="",'实盘净值数据(iFinD）'!$B338="",'实盘净值数据(iFinD）'!$Z338="",'实盘净值数据(iFinD）'!$AA338="",'实盘净值数据(iFinD）'!$AB338="",'实盘净值数据(iFinD）'!$AL338=""),"",(SUMPRODUCT(分期持仓明细!$B$26:$Y$26,'实盘净值数据(iFinD）'!$B338:$Y338/'实盘净值数据(iFinD）'!$B$69:$Y$69)+SUMPRODUCT(分期持仓明细!$AC$26:$AD$26,'实盘净值数据(iFinD）'!$Z338:$AA338/'实盘净值数据(iFinD）'!$Z$69:$AA$69)+SUMPRODUCT(分期持仓明细!$AE$26:$AO$26,'实盘净值数据(iFinD）'!$AB338:$AL338/'实盘净值数据(iFinD）'!$AB$69:$AL$69))*(1-实盘持仓初始配置!$Z$10)^(('实盘净值数据(iFinD）'!$A338-'实盘净值数据(iFinD）'!$A$69)/365))</f>
        <v/>
      </c>
      <c r="U338" s="16">
        <f>IF(OR(T337="",T338=""),"",T338/T337-1)</f>
        <v/>
      </c>
      <c r="V338" s="16">
        <f>IF(T338="","",T338/MAX(T$5:T338)-1)</f>
        <v/>
      </c>
    </row>
    <row r="339" spans="1:19">
      <c r="A339" s="15" t="str">
        <f>IF('实盘净值数据(iFinD）'!A339="","",'实盘净值数据(iFinD）'!A339)</f>
        <v/>
      </c>
      <c r="B339" s="13" t="str">
        <f>IF(OR('实盘净值数据(iFinD）'!$A339="",'实盘净值数据(iFinD）'!$B339=""),"",分期持仓明细!$AB$17*SUMPRODUCT(分期持仓明细!$B$17:$Y$17,'实盘净值数据(iFinD）'!$B339:$Y339/'实盘净值数据(iFinD）'!$B$20:$Y$20)*(1-实盘持仓初始配置!$Z$4)^(('实盘净值数据(iFinD）'!$A339-'实盘净值数据(iFinD）'!$A$6)/365))</f>
        <v/>
      </c>
      <c r="C339" s="16" t="str">
        <f t="shared" si="30"/>
        <v/>
      </c>
      <c r="D339" s="16" t="str">
        <f>IF(B339="","",B339/MAX(B$5:B339)-1)</f>
        <v/>
      </c>
      <c r="E339" s="13" t="str">
        <f>IF(OR('实盘净值数据(iFinD）'!$A339="",'实盘净值数据(iFinD）'!$B339=""),"",分期持仓明细!$AB$18*SUMPRODUCT(分期持仓明细!$B$18:$Y$18,'实盘净值数据(iFinD）'!$B339:$Y339/'实盘净值数据(iFinD）'!$B$20:$Y$20)*(1-实盘持仓初始配置!$Z$5)^(('实盘净值数据(iFinD）'!$A339-'实盘净值数据(iFinD）'!$A$5)/365))</f>
        <v/>
      </c>
      <c r="F339" s="16" t="str">
        <f t="shared" si="31"/>
        <v/>
      </c>
      <c r="G339" s="16" t="str">
        <f>IF(E339="","",E339/MAX(E$5:E339)-1)</f>
        <v/>
      </c>
      <c r="H339" s="13" t="str">
        <f>IF(OR('实盘净值数据(iFinD）'!$A339="",'实盘净值数据(iFinD）'!$B339=""),"",分期持仓明细!$AB$19*SUMPRODUCT(分期持仓明细!$B$19:$Y$19,'实盘净值数据(iFinD）'!$B339:$Y339/'实盘净值数据(iFinD）'!$B$20:$Y$20)*(1-实盘持仓初始配置!$Z$6)^(('实盘净值数据(iFinD）'!$A339-'实盘净值数据(iFinD）'!$A$7)/365))</f>
        <v/>
      </c>
      <c r="I339" s="16" t="str">
        <f t="shared" si="32"/>
        <v/>
      </c>
      <c r="J339" s="16" t="str">
        <f>IF(H339="","",H339/MAX(H$5:H339)-1)</f>
        <v/>
      </c>
      <c r="K339" s="13" t="str">
        <f>IF(OR('实盘净值数据(iFinD）'!$A339="",'实盘净值数据(iFinD）'!$B339="",'实盘净值数据(iFinD）'!$Z339="",'实盘净值数据(iFinD）'!$AA339=""),"",分期持仓明细!$AB$23*(SUMPRODUCT(分期持仓明细!$B$23:$Y$23,'实盘净值数据(iFinD）'!$B339:$Y339/'实盘净值数据(iFinD）'!$B$65:$Y$65)+SUMPRODUCT(分期持仓明细!$AC$23:$AD$23,'实盘净值数据(iFinD）'!$Z339:$AA339/'实盘净值数据(iFinD）'!$Z$65:$AA$65))*(1-实盘持仓初始配置!$Z$7)^(('实盘净值数据(iFinD）'!$A339-'实盘净值数据(iFinD）'!$A$8)/365))</f>
        <v/>
      </c>
      <c r="L339" s="16" t="str">
        <f t="shared" si="33"/>
        <v/>
      </c>
      <c r="M339" s="16" t="str">
        <f>IF(K339="","",K339/MAX(K$5:K339)-1)</f>
        <v/>
      </c>
      <c r="N339" s="13" t="str">
        <f>IF(OR('实盘净值数据(iFinD）'!$A339="",'实盘净值数据(iFinD）'!$B339="",'实盘净值数据(iFinD）'!$Z339="",'实盘净值数据(iFinD）'!$AA339=""),"",分期持仓明细!$AB$24*(SUMPRODUCT(分期持仓明细!$B$24:$Y$24,'实盘净值数据(iFinD）'!$B339:$Y339/'实盘净值数据(iFinD）'!$B$65:$Y$65)+SUMPRODUCT(分期持仓明细!$AC$24:$AD$24,'实盘净值数据(iFinD）'!$Z339:$AA339/'实盘净值数据(iFinD）'!$Z$65:$AA$65))*(1-实盘持仓初始配置!$Z$8)^(('实盘净值数据(iFinD）'!$A339-'实盘净值数据(iFinD）'!$A$5)/365))</f>
        <v/>
      </c>
      <c r="O339" s="16" t="str">
        <f t="shared" si="34"/>
        <v/>
      </c>
      <c r="P339" s="16" t="str">
        <f>IF(N339="","",N339/MAX(N$5:N339)-1)</f>
        <v/>
      </c>
      <c r="Q339" s="13" t="str">
        <f>IF(OR('实盘净值数据(iFinD）'!$A339="",'实盘净值数据(iFinD）'!$B339="",'实盘净值数据(iFinD）'!$Z339="",'实盘净值数据(iFinD）'!$AA339=""),"",分期持仓明细!$AB$25*(SUMPRODUCT(分期持仓明细!$B$25:$Y$25,'实盘净值数据(iFinD）'!$B339:$Y339/'实盘净值数据(iFinD）'!$B$65:$Y$65)+SUMPRODUCT(分期持仓明细!$AC$25:$AD$25,'实盘净值数据(iFinD）'!$Z339:$AA339/'实盘净值数据(iFinD）'!$Z$65:$AA$65))*(1-实盘持仓初始配置!$Z$9)^(('实盘净值数据(iFinD）'!$A339-'实盘净值数据(iFinD）'!$A$8)/365))</f>
        <v/>
      </c>
      <c r="R339" s="16" t="str">
        <f t="shared" si="35"/>
        <v/>
      </c>
      <c r="S339" s="16" t="str">
        <f>IF(Q339="","",Q339/MAX(Q$5:Q339)-1)</f>
        <v/>
      </c>
      <c r="T339" s="13">
        <f>IF(OR('实盘净值数据(iFinD）'!$A339="",'实盘净值数据(iFinD）'!$B339="",'实盘净值数据(iFinD）'!$Z339="",'实盘净值数据(iFinD）'!$AA339="",'实盘净值数据(iFinD）'!$AB339="",'实盘净值数据(iFinD）'!$AL339=""),"",(SUMPRODUCT(分期持仓明细!$B$26:$Y$26,'实盘净值数据(iFinD）'!$B339:$Y339/'实盘净值数据(iFinD）'!$B$69:$Y$69)+SUMPRODUCT(分期持仓明细!$AC$26:$AD$26,'实盘净值数据(iFinD）'!$Z339:$AA339/'实盘净值数据(iFinD）'!$Z$69:$AA$69)+SUMPRODUCT(分期持仓明细!$AE$26:$AO$26,'实盘净值数据(iFinD）'!$AB339:$AL339/'实盘净值数据(iFinD）'!$AB$69:$AL$69))*(1-实盘持仓初始配置!$Z$10)^(('实盘净值数据(iFinD）'!$A339-'实盘净值数据(iFinD）'!$A$69)/365))</f>
        <v/>
      </c>
      <c r="U339" s="16">
        <f>IF(OR(T338="",T339=""),"",T339/T338-1)</f>
        <v/>
      </c>
      <c r="V339" s="16">
        <f>IF(T339="","",T339/MAX(T$5:T339)-1)</f>
        <v/>
      </c>
    </row>
    <row r="340" spans="1:19">
      <c r="A340" s="15" t="str">
        <f>IF('实盘净值数据(iFinD）'!A340="","",'实盘净值数据(iFinD）'!A340)</f>
        <v/>
      </c>
      <c r="B340" s="13" t="str">
        <f>IF(OR('实盘净值数据(iFinD）'!$A340="",'实盘净值数据(iFinD）'!$B340=""),"",分期持仓明细!$AB$17*SUMPRODUCT(分期持仓明细!$B$17:$Y$17,'实盘净值数据(iFinD）'!$B340:$Y340/'实盘净值数据(iFinD）'!$B$20:$Y$20)*(1-实盘持仓初始配置!$Z$4)^(('实盘净值数据(iFinD）'!$A340-'实盘净值数据(iFinD）'!$A$6)/365))</f>
        <v/>
      </c>
      <c r="C340" s="16" t="str">
        <f t="shared" si="30"/>
        <v/>
      </c>
      <c r="D340" s="16" t="str">
        <f>IF(B340="","",B340/MAX(B$5:B340)-1)</f>
        <v/>
      </c>
      <c r="E340" s="13" t="str">
        <f>IF(OR('实盘净值数据(iFinD）'!$A340="",'实盘净值数据(iFinD）'!$B340=""),"",分期持仓明细!$AB$18*SUMPRODUCT(分期持仓明细!$B$18:$Y$18,'实盘净值数据(iFinD）'!$B340:$Y340/'实盘净值数据(iFinD）'!$B$20:$Y$20)*(1-实盘持仓初始配置!$Z$5)^(('实盘净值数据(iFinD）'!$A340-'实盘净值数据(iFinD）'!$A$5)/365))</f>
        <v/>
      </c>
      <c r="F340" s="16" t="str">
        <f t="shared" si="31"/>
        <v/>
      </c>
      <c r="G340" s="16" t="str">
        <f>IF(E340="","",E340/MAX(E$5:E340)-1)</f>
        <v/>
      </c>
      <c r="H340" s="13" t="str">
        <f>IF(OR('实盘净值数据(iFinD）'!$A340="",'实盘净值数据(iFinD）'!$B340=""),"",分期持仓明细!$AB$19*SUMPRODUCT(分期持仓明细!$B$19:$Y$19,'实盘净值数据(iFinD）'!$B340:$Y340/'实盘净值数据(iFinD）'!$B$20:$Y$20)*(1-实盘持仓初始配置!$Z$6)^(('实盘净值数据(iFinD）'!$A340-'实盘净值数据(iFinD）'!$A$7)/365))</f>
        <v/>
      </c>
      <c r="I340" s="16" t="str">
        <f t="shared" si="32"/>
        <v/>
      </c>
      <c r="J340" s="16" t="str">
        <f>IF(H340="","",H340/MAX(H$5:H340)-1)</f>
        <v/>
      </c>
      <c r="K340" s="13" t="str">
        <f>IF(OR('实盘净值数据(iFinD）'!$A340="",'实盘净值数据(iFinD）'!$B340="",'实盘净值数据(iFinD）'!$Z340="",'实盘净值数据(iFinD）'!$AA340=""),"",分期持仓明细!$AB$23*(SUMPRODUCT(分期持仓明细!$B$23:$Y$23,'实盘净值数据(iFinD）'!$B340:$Y340/'实盘净值数据(iFinD）'!$B$65:$Y$65)+SUMPRODUCT(分期持仓明细!$AC$23:$AD$23,'实盘净值数据(iFinD）'!$Z340:$AA340/'实盘净值数据(iFinD）'!$Z$65:$AA$65))*(1-实盘持仓初始配置!$Z$7)^(('实盘净值数据(iFinD）'!$A340-'实盘净值数据(iFinD）'!$A$8)/365))</f>
        <v/>
      </c>
      <c r="L340" s="16" t="str">
        <f t="shared" si="33"/>
        <v/>
      </c>
      <c r="M340" s="16" t="str">
        <f>IF(K340="","",K340/MAX(K$5:K340)-1)</f>
        <v/>
      </c>
      <c r="N340" s="13" t="str">
        <f>IF(OR('实盘净值数据(iFinD）'!$A340="",'实盘净值数据(iFinD）'!$B340="",'实盘净值数据(iFinD）'!$Z340="",'实盘净值数据(iFinD）'!$AA340=""),"",分期持仓明细!$AB$24*(SUMPRODUCT(分期持仓明细!$B$24:$Y$24,'实盘净值数据(iFinD）'!$B340:$Y340/'实盘净值数据(iFinD）'!$B$65:$Y$65)+SUMPRODUCT(分期持仓明细!$AC$24:$AD$24,'实盘净值数据(iFinD）'!$Z340:$AA340/'实盘净值数据(iFinD）'!$Z$65:$AA$65))*(1-实盘持仓初始配置!$Z$8)^(('实盘净值数据(iFinD）'!$A340-'实盘净值数据(iFinD）'!$A$5)/365))</f>
        <v/>
      </c>
      <c r="O340" s="16" t="str">
        <f t="shared" si="34"/>
        <v/>
      </c>
      <c r="P340" s="16" t="str">
        <f>IF(N340="","",N340/MAX(N$5:N340)-1)</f>
        <v/>
      </c>
      <c r="Q340" s="13" t="str">
        <f>IF(OR('实盘净值数据(iFinD）'!$A340="",'实盘净值数据(iFinD）'!$B340="",'实盘净值数据(iFinD）'!$Z340="",'实盘净值数据(iFinD）'!$AA340=""),"",分期持仓明细!$AB$25*(SUMPRODUCT(分期持仓明细!$B$25:$Y$25,'实盘净值数据(iFinD）'!$B340:$Y340/'实盘净值数据(iFinD）'!$B$65:$Y$65)+SUMPRODUCT(分期持仓明细!$AC$25:$AD$25,'实盘净值数据(iFinD）'!$Z340:$AA340/'实盘净值数据(iFinD）'!$Z$65:$AA$65))*(1-实盘持仓初始配置!$Z$9)^(('实盘净值数据(iFinD）'!$A340-'实盘净值数据(iFinD）'!$A$8)/365))</f>
        <v/>
      </c>
      <c r="R340" s="16" t="str">
        <f t="shared" si="35"/>
        <v/>
      </c>
      <c r="S340" s="16" t="str">
        <f>IF(Q340="","",Q340/MAX(Q$5:Q340)-1)</f>
        <v/>
      </c>
      <c r="T340" s="13">
        <f>IF(OR('实盘净值数据(iFinD）'!$A340="",'实盘净值数据(iFinD）'!$B340="",'实盘净值数据(iFinD）'!$Z340="",'实盘净值数据(iFinD）'!$AA340="",'实盘净值数据(iFinD）'!$AB340="",'实盘净值数据(iFinD）'!$AL340=""),"",(SUMPRODUCT(分期持仓明细!$B$26:$Y$26,'实盘净值数据(iFinD）'!$B340:$Y340/'实盘净值数据(iFinD）'!$B$69:$Y$69)+SUMPRODUCT(分期持仓明细!$AC$26:$AD$26,'实盘净值数据(iFinD）'!$Z340:$AA340/'实盘净值数据(iFinD）'!$Z$69:$AA$69)+SUMPRODUCT(分期持仓明细!$AE$26:$AO$26,'实盘净值数据(iFinD）'!$AB340:$AL340/'实盘净值数据(iFinD）'!$AB$69:$AL$69))*(1-实盘持仓初始配置!$Z$10)^(('实盘净值数据(iFinD）'!$A340-'实盘净值数据(iFinD）'!$A$69)/365))</f>
        <v/>
      </c>
      <c r="U340" s="16">
        <f>IF(OR(T339="",T340=""),"",T340/T339-1)</f>
        <v/>
      </c>
      <c r="V340" s="16">
        <f>IF(T340="","",T340/MAX(T$5:T340)-1)</f>
        <v/>
      </c>
    </row>
    <row r="341" spans="1:19">
      <c r="A341" s="15" t="str">
        <f>IF('实盘净值数据(iFinD）'!A341="","",'实盘净值数据(iFinD）'!A341)</f>
        <v/>
      </c>
      <c r="B341" s="13" t="str">
        <f>IF(OR('实盘净值数据(iFinD）'!$A341="",'实盘净值数据(iFinD）'!$B341=""),"",分期持仓明细!$AB$17*SUMPRODUCT(分期持仓明细!$B$17:$Y$17,'实盘净值数据(iFinD）'!$B341:$Y341/'实盘净值数据(iFinD）'!$B$20:$Y$20)*(1-实盘持仓初始配置!$Z$4)^(('实盘净值数据(iFinD）'!$A341-'实盘净值数据(iFinD）'!$A$6)/365))</f>
        <v/>
      </c>
      <c r="C341" s="16" t="str">
        <f t="shared" si="30"/>
        <v/>
      </c>
      <c r="D341" s="16" t="str">
        <f>IF(B341="","",B341/MAX(B$5:B341)-1)</f>
        <v/>
      </c>
      <c r="E341" s="13" t="str">
        <f>IF(OR('实盘净值数据(iFinD）'!$A341="",'实盘净值数据(iFinD）'!$B341=""),"",分期持仓明细!$AB$18*SUMPRODUCT(分期持仓明细!$B$18:$Y$18,'实盘净值数据(iFinD）'!$B341:$Y341/'实盘净值数据(iFinD）'!$B$20:$Y$20)*(1-实盘持仓初始配置!$Z$5)^(('实盘净值数据(iFinD）'!$A341-'实盘净值数据(iFinD）'!$A$5)/365))</f>
        <v/>
      </c>
      <c r="F341" s="16" t="str">
        <f t="shared" si="31"/>
        <v/>
      </c>
      <c r="G341" s="16" t="str">
        <f>IF(E341="","",E341/MAX(E$5:E341)-1)</f>
        <v/>
      </c>
      <c r="H341" s="13" t="str">
        <f>IF(OR('实盘净值数据(iFinD）'!$A341="",'实盘净值数据(iFinD）'!$B341=""),"",分期持仓明细!$AB$19*SUMPRODUCT(分期持仓明细!$B$19:$Y$19,'实盘净值数据(iFinD）'!$B341:$Y341/'实盘净值数据(iFinD）'!$B$20:$Y$20)*(1-实盘持仓初始配置!$Z$6)^(('实盘净值数据(iFinD）'!$A341-'实盘净值数据(iFinD）'!$A$7)/365))</f>
        <v/>
      </c>
      <c r="I341" s="16" t="str">
        <f t="shared" si="32"/>
        <v/>
      </c>
      <c r="J341" s="16" t="str">
        <f>IF(H341="","",H341/MAX(H$5:H341)-1)</f>
        <v/>
      </c>
      <c r="K341" s="13" t="str">
        <f>IF(OR('实盘净值数据(iFinD）'!$A341="",'实盘净值数据(iFinD）'!$B341="",'实盘净值数据(iFinD）'!$Z341="",'实盘净值数据(iFinD）'!$AA341=""),"",分期持仓明细!$AB$23*(SUMPRODUCT(分期持仓明细!$B$23:$Y$23,'实盘净值数据(iFinD）'!$B341:$Y341/'实盘净值数据(iFinD）'!$B$65:$Y$65)+SUMPRODUCT(分期持仓明细!$AC$23:$AD$23,'实盘净值数据(iFinD）'!$Z341:$AA341/'实盘净值数据(iFinD）'!$Z$65:$AA$65))*(1-实盘持仓初始配置!$Z$7)^(('实盘净值数据(iFinD）'!$A341-'实盘净值数据(iFinD）'!$A$8)/365))</f>
        <v/>
      </c>
      <c r="L341" s="16" t="str">
        <f t="shared" si="33"/>
        <v/>
      </c>
      <c r="M341" s="16" t="str">
        <f>IF(K341="","",K341/MAX(K$5:K341)-1)</f>
        <v/>
      </c>
      <c r="N341" s="13" t="str">
        <f>IF(OR('实盘净值数据(iFinD）'!$A341="",'实盘净值数据(iFinD）'!$B341="",'实盘净值数据(iFinD）'!$Z341="",'实盘净值数据(iFinD）'!$AA341=""),"",分期持仓明细!$AB$24*(SUMPRODUCT(分期持仓明细!$B$24:$Y$24,'实盘净值数据(iFinD）'!$B341:$Y341/'实盘净值数据(iFinD）'!$B$65:$Y$65)+SUMPRODUCT(分期持仓明细!$AC$24:$AD$24,'实盘净值数据(iFinD）'!$Z341:$AA341/'实盘净值数据(iFinD）'!$Z$65:$AA$65))*(1-实盘持仓初始配置!$Z$8)^(('实盘净值数据(iFinD）'!$A341-'实盘净值数据(iFinD）'!$A$5)/365))</f>
        <v/>
      </c>
      <c r="O341" s="16" t="str">
        <f t="shared" si="34"/>
        <v/>
      </c>
      <c r="P341" s="16" t="str">
        <f>IF(N341="","",N341/MAX(N$5:N341)-1)</f>
        <v/>
      </c>
      <c r="Q341" s="13" t="str">
        <f>IF(OR('实盘净值数据(iFinD）'!$A341="",'实盘净值数据(iFinD）'!$B341="",'实盘净值数据(iFinD）'!$Z341="",'实盘净值数据(iFinD）'!$AA341=""),"",分期持仓明细!$AB$25*(SUMPRODUCT(分期持仓明细!$B$25:$Y$25,'实盘净值数据(iFinD）'!$B341:$Y341/'实盘净值数据(iFinD）'!$B$65:$Y$65)+SUMPRODUCT(分期持仓明细!$AC$25:$AD$25,'实盘净值数据(iFinD）'!$Z341:$AA341/'实盘净值数据(iFinD）'!$Z$65:$AA$65))*(1-实盘持仓初始配置!$Z$9)^(('实盘净值数据(iFinD）'!$A341-'实盘净值数据(iFinD）'!$A$8)/365))</f>
        <v/>
      </c>
      <c r="R341" s="16" t="str">
        <f t="shared" si="35"/>
        <v/>
      </c>
      <c r="S341" s="16" t="str">
        <f>IF(Q341="","",Q341/MAX(Q$5:Q341)-1)</f>
        <v/>
      </c>
      <c r="T341" s="13">
        <f>IF(OR('实盘净值数据(iFinD）'!$A341="",'实盘净值数据(iFinD）'!$B341="",'实盘净值数据(iFinD）'!$Z341="",'实盘净值数据(iFinD）'!$AA341="",'实盘净值数据(iFinD）'!$AB341="",'实盘净值数据(iFinD）'!$AL341=""),"",(SUMPRODUCT(分期持仓明细!$B$26:$Y$26,'实盘净值数据(iFinD）'!$B341:$Y341/'实盘净值数据(iFinD）'!$B$69:$Y$69)+SUMPRODUCT(分期持仓明细!$AC$26:$AD$26,'实盘净值数据(iFinD）'!$Z341:$AA341/'实盘净值数据(iFinD）'!$Z$69:$AA$69)+SUMPRODUCT(分期持仓明细!$AE$26:$AO$26,'实盘净值数据(iFinD）'!$AB341:$AL341/'实盘净值数据(iFinD）'!$AB$69:$AL$69))*(1-实盘持仓初始配置!$Z$10)^(('实盘净值数据(iFinD）'!$A341-'实盘净值数据(iFinD）'!$A$69)/365))</f>
        <v/>
      </c>
      <c r="U341" s="16">
        <f>IF(OR(T340="",T341=""),"",T341/T340-1)</f>
        <v/>
      </c>
      <c r="V341" s="16">
        <f>IF(T341="","",T341/MAX(T$5:T341)-1)</f>
        <v/>
      </c>
    </row>
    <row r="342" spans="1:19">
      <c r="A342" s="15" t="str">
        <f>IF('实盘净值数据(iFinD）'!A342="","",'实盘净值数据(iFinD）'!A342)</f>
        <v/>
      </c>
      <c r="B342" s="13" t="str">
        <f>IF(OR('实盘净值数据(iFinD）'!$A342="",'实盘净值数据(iFinD）'!$B342=""),"",分期持仓明细!$AB$17*SUMPRODUCT(分期持仓明细!$B$17:$Y$17,'实盘净值数据(iFinD）'!$B342:$Y342/'实盘净值数据(iFinD）'!$B$20:$Y$20)*(1-实盘持仓初始配置!$Z$4)^(('实盘净值数据(iFinD）'!$A342-'实盘净值数据(iFinD）'!$A$6)/365))</f>
        <v/>
      </c>
      <c r="C342" s="16" t="str">
        <f t="shared" si="30"/>
        <v/>
      </c>
      <c r="D342" s="16" t="str">
        <f>IF(B342="","",B342/MAX(B$5:B342)-1)</f>
        <v/>
      </c>
      <c r="E342" s="13" t="str">
        <f>IF(OR('实盘净值数据(iFinD）'!$A342="",'实盘净值数据(iFinD）'!$B342=""),"",分期持仓明细!$AB$18*SUMPRODUCT(分期持仓明细!$B$18:$Y$18,'实盘净值数据(iFinD）'!$B342:$Y342/'实盘净值数据(iFinD）'!$B$20:$Y$20)*(1-实盘持仓初始配置!$Z$5)^(('实盘净值数据(iFinD）'!$A342-'实盘净值数据(iFinD）'!$A$5)/365))</f>
        <v/>
      </c>
      <c r="F342" s="16" t="str">
        <f t="shared" si="31"/>
        <v/>
      </c>
      <c r="G342" s="16" t="str">
        <f>IF(E342="","",E342/MAX(E$5:E342)-1)</f>
        <v/>
      </c>
      <c r="H342" s="13" t="str">
        <f>IF(OR('实盘净值数据(iFinD）'!$A342="",'实盘净值数据(iFinD）'!$B342=""),"",分期持仓明细!$AB$19*SUMPRODUCT(分期持仓明细!$B$19:$Y$19,'实盘净值数据(iFinD）'!$B342:$Y342/'实盘净值数据(iFinD）'!$B$20:$Y$20)*(1-实盘持仓初始配置!$Z$6)^(('实盘净值数据(iFinD）'!$A342-'实盘净值数据(iFinD）'!$A$7)/365))</f>
        <v/>
      </c>
      <c r="I342" s="16" t="str">
        <f t="shared" si="32"/>
        <v/>
      </c>
      <c r="J342" s="16" t="str">
        <f>IF(H342="","",H342/MAX(H$5:H342)-1)</f>
        <v/>
      </c>
      <c r="K342" s="13" t="str">
        <f>IF(OR('实盘净值数据(iFinD）'!$A342="",'实盘净值数据(iFinD）'!$B342="",'实盘净值数据(iFinD）'!$Z342="",'实盘净值数据(iFinD）'!$AA342=""),"",分期持仓明细!$AB$23*(SUMPRODUCT(分期持仓明细!$B$23:$Y$23,'实盘净值数据(iFinD）'!$B342:$Y342/'实盘净值数据(iFinD）'!$B$65:$Y$65)+SUMPRODUCT(分期持仓明细!$AC$23:$AD$23,'实盘净值数据(iFinD）'!$Z342:$AA342/'实盘净值数据(iFinD）'!$Z$65:$AA$65))*(1-实盘持仓初始配置!$Z$7)^(('实盘净值数据(iFinD）'!$A342-'实盘净值数据(iFinD）'!$A$8)/365))</f>
        <v/>
      </c>
      <c r="L342" s="16" t="str">
        <f t="shared" si="33"/>
        <v/>
      </c>
      <c r="M342" s="16" t="str">
        <f>IF(K342="","",K342/MAX(K$5:K342)-1)</f>
        <v/>
      </c>
      <c r="N342" s="13" t="str">
        <f>IF(OR('实盘净值数据(iFinD）'!$A342="",'实盘净值数据(iFinD）'!$B342="",'实盘净值数据(iFinD）'!$Z342="",'实盘净值数据(iFinD）'!$AA342=""),"",分期持仓明细!$AB$24*(SUMPRODUCT(分期持仓明细!$B$24:$Y$24,'实盘净值数据(iFinD）'!$B342:$Y342/'实盘净值数据(iFinD）'!$B$65:$Y$65)+SUMPRODUCT(分期持仓明细!$AC$24:$AD$24,'实盘净值数据(iFinD）'!$Z342:$AA342/'实盘净值数据(iFinD）'!$Z$65:$AA$65))*(1-实盘持仓初始配置!$Z$8)^(('实盘净值数据(iFinD）'!$A342-'实盘净值数据(iFinD）'!$A$5)/365))</f>
        <v/>
      </c>
      <c r="O342" s="16" t="str">
        <f t="shared" si="34"/>
        <v/>
      </c>
      <c r="P342" s="16" t="str">
        <f>IF(N342="","",N342/MAX(N$5:N342)-1)</f>
        <v/>
      </c>
      <c r="Q342" s="13" t="str">
        <f>IF(OR('实盘净值数据(iFinD）'!$A342="",'实盘净值数据(iFinD）'!$B342="",'实盘净值数据(iFinD）'!$Z342="",'实盘净值数据(iFinD）'!$AA342=""),"",分期持仓明细!$AB$25*(SUMPRODUCT(分期持仓明细!$B$25:$Y$25,'实盘净值数据(iFinD）'!$B342:$Y342/'实盘净值数据(iFinD）'!$B$65:$Y$65)+SUMPRODUCT(分期持仓明细!$AC$25:$AD$25,'实盘净值数据(iFinD）'!$Z342:$AA342/'实盘净值数据(iFinD）'!$Z$65:$AA$65))*(1-实盘持仓初始配置!$Z$9)^(('实盘净值数据(iFinD）'!$A342-'实盘净值数据(iFinD）'!$A$8)/365))</f>
        <v/>
      </c>
      <c r="R342" s="16" t="str">
        <f t="shared" si="35"/>
        <v/>
      </c>
      <c r="S342" s="16" t="str">
        <f>IF(Q342="","",Q342/MAX(Q$5:Q342)-1)</f>
        <v/>
      </c>
      <c r="T342" s="13">
        <f>IF(OR('实盘净值数据(iFinD）'!$A342="",'实盘净值数据(iFinD）'!$B342="",'实盘净值数据(iFinD）'!$Z342="",'实盘净值数据(iFinD）'!$AA342="",'实盘净值数据(iFinD）'!$AB342="",'实盘净值数据(iFinD）'!$AL342=""),"",(SUMPRODUCT(分期持仓明细!$B$26:$Y$26,'实盘净值数据(iFinD）'!$B342:$Y342/'实盘净值数据(iFinD）'!$B$69:$Y$69)+SUMPRODUCT(分期持仓明细!$AC$26:$AD$26,'实盘净值数据(iFinD）'!$Z342:$AA342/'实盘净值数据(iFinD）'!$Z$69:$AA$69)+SUMPRODUCT(分期持仓明细!$AE$26:$AO$26,'实盘净值数据(iFinD）'!$AB342:$AL342/'实盘净值数据(iFinD）'!$AB$69:$AL$69))*(1-实盘持仓初始配置!$Z$10)^(('实盘净值数据(iFinD）'!$A342-'实盘净值数据(iFinD）'!$A$69)/365))</f>
        <v/>
      </c>
      <c r="U342" s="16">
        <f>IF(OR(T341="",T342=""),"",T342/T341-1)</f>
        <v/>
      </c>
      <c r="V342" s="16">
        <f>IF(T342="","",T342/MAX(T$5:T342)-1)</f>
        <v/>
      </c>
    </row>
    <row r="343" spans="1:19">
      <c r="A343" s="15" t="str">
        <f>IF('实盘净值数据(iFinD）'!A343="","",'实盘净值数据(iFinD）'!A343)</f>
        <v/>
      </c>
      <c r="B343" s="13" t="str">
        <f>IF(OR('实盘净值数据(iFinD）'!$A343="",'实盘净值数据(iFinD）'!$B343=""),"",分期持仓明细!$AB$17*SUMPRODUCT(分期持仓明细!$B$17:$Y$17,'实盘净值数据(iFinD）'!$B343:$Y343/'实盘净值数据(iFinD）'!$B$20:$Y$20)*(1-实盘持仓初始配置!$Z$4)^(('实盘净值数据(iFinD）'!$A343-'实盘净值数据(iFinD）'!$A$6)/365))</f>
        <v/>
      </c>
      <c r="C343" s="16" t="str">
        <f t="shared" si="30"/>
        <v/>
      </c>
      <c r="D343" s="16" t="str">
        <f>IF(B343="","",B343/MAX(B$5:B343)-1)</f>
        <v/>
      </c>
      <c r="E343" s="13" t="str">
        <f>IF(OR('实盘净值数据(iFinD）'!$A343="",'实盘净值数据(iFinD）'!$B343=""),"",分期持仓明细!$AB$18*SUMPRODUCT(分期持仓明细!$B$18:$Y$18,'实盘净值数据(iFinD）'!$B343:$Y343/'实盘净值数据(iFinD）'!$B$20:$Y$20)*(1-实盘持仓初始配置!$Z$5)^(('实盘净值数据(iFinD）'!$A343-'实盘净值数据(iFinD）'!$A$5)/365))</f>
        <v/>
      </c>
      <c r="F343" s="16" t="str">
        <f t="shared" si="31"/>
        <v/>
      </c>
      <c r="G343" s="16" t="str">
        <f>IF(E343="","",E343/MAX(E$5:E343)-1)</f>
        <v/>
      </c>
      <c r="H343" s="13" t="str">
        <f>IF(OR('实盘净值数据(iFinD）'!$A343="",'实盘净值数据(iFinD）'!$B343=""),"",分期持仓明细!$AB$19*SUMPRODUCT(分期持仓明细!$B$19:$Y$19,'实盘净值数据(iFinD）'!$B343:$Y343/'实盘净值数据(iFinD）'!$B$20:$Y$20)*(1-实盘持仓初始配置!$Z$6)^(('实盘净值数据(iFinD）'!$A343-'实盘净值数据(iFinD）'!$A$7)/365))</f>
        <v/>
      </c>
      <c r="I343" s="16" t="str">
        <f t="shared" si="32"/>
        <v/>
      </c>
      <c r="J343" s="16" t="str">
        <f>IF(H343="","",H343/MAX(H$5:H343)-1)</f>
        <v/>
      </c>
      <c r="K343" s="13" t="str">
        <f>IF(OR('实盘净值数据(iFinD）'!$A343="",'实盘净值数据(iFinD）'!$B343="",'实盘净值数据(iFinD）'!$Z343="",'实盘净值数据(iFinD）'!$AA343=""),"",分期持仓明细!$AB$23*(SUMPRODUCT(分期持仓明细!$B$23:$Y$23,'实盘净值数据(iFinD）'!$B343:$Y343/'实盘净值数据(iFinD）'!$B$65:$Y$65)+SUMPRODUCT(分期持仓明细!$AC$23:$AD$23,'实盘净值数据(iFinD）'!$Z343:$AA343/'实盘净值数据(iFinD）'!$Z$65:$AA$65))*(1-实盘持仓初始配置!$Z$7)^(('实盘净值数据(iFinD）'!$A343-'实盘净值数据(iFinD）'!$A$8)/365))</f>
        <v/>
      </c>
      <c r="L343" s="16" t="str">
        <f t="shared" si="33"/>
        <v/>
      </c>
      <c r="M343" s="16" t="str">
        <f>IF(K343="","",K343/MAX(K$5:K343)-1)</f>
        <v/>
      </c>
      <c r="N343" s="13" t="str">
        <f>IF(OR('实盘净值数据(iFinD）'!$A343="",'实盘净值数据(iFinD）'!$B343="",'实盘净值数据(iFinD）'!$Z343="",'实盘净值数据(iFinD）'!$AA343=""),"",分期持仓明细!$AB$24*(SUMPRODUCT(分期持仓明细!$B$24:$Y$24,'实盘净值数据(iFinD）'!$B343:$Y343/'实盘净值数据(iFinD）'!$B$65:$Y$65)+SUMPRODUCT(分期持仓明细!$AC$24:$AD$24,'实盘净值数据(iFinD）'!$Z343:$AA343/'实盘净值数据(iFinD）'!$Z$65:$AA$65))*(1-实盘持仓初始配置!$Z$8)^(('实盘净值数据(iFinD）'!$A343-'实盘净值数据(iFinD）'!$A$5)/365))</f>
        <v/>
      </c>
      <c r="O343" s="16" t="str">
        <f t="shared" si="34"/>
        <v/>
      </c>
      <c r="P343" s="16" t="str">
        <f>IF(N343="","",N343/MAX(N$5:N343)-1)</f>
        <v/>
      </c>
      <c r="Q343" s="13" t="str">
        <f>IF(OR('实盘净值数据(iFinD）'!$A343="",'实盘净值数据(iFinD）'!$B343="",'实盘净值数据(iFinD）'!$Z343="",'实盘净值数据(iFinD）'!$AA343=""),"",分期持仓明细!$AB$25*(SUMPRODUCT(分期持仓明细!$B$25:$Y$25,'实盘净值数据(iFinD）'!$B343:$Y343/'实盘净值数据(iFinD）'!$B$65:$Y$65)+SUMPRODUCT(分期持仓明细!$AC$25:$AD$25,'实盘净值数据(iFinD）'!$Z343:$AA343/'实盘净值数据(iFinD）'!$Z$65:$AA$65))*(1-实盘持仓初始配置!$Z$9)^(('实盘净值数据(iFinD）'!$A343-'实盘净值数据(iFinD）'!$A$8)/365))</f>
        <v/>
      </c>
      <c r="R343" s="16" t="str">
        <f t="shared" si="35"/>
        <v/>
      </c>
      <c r="S343" s="16" t="str">
        <f>IF(Q343="","",Q343/MAX(Q$5:Q343)-1)</f>
        <v/>
      </c>
      <c r="T343" s="13">
        <f>IF(OR('实盘净值数据(iFinD）'!$A343="",'实盘净值数据(iFinD）'!$B343="",'实盘净值数据(iFinD）'!$Z343="",'实盘净值数据(iFinD）'!$AA343="",'实盘净值数据(iFinD）'!$AB343="",'实盘净值数据(iFinD）'!$AL343=""),"",(SUMPRODUCT(分期持仓明细!$B$26:$Y$26,'实盘净值数据(iFinD）'!$B343:$Y343/'实盘净值数据(iFinD）'!$B$69:$Y$69)+SUMPRODUCT(分期持仓明细!$AC$26:$AD$26,'实盘净值数据(iFinD）'!$Z343:$AA343/'实盘净值数据(iFinD）'!$Z$69:$AA$69)+SUMPRODUCT(分期持仓明细!$AE$26:$AO$26,'实盘净值数据(iFinD）'!$AB343:$AL343/'实盘净值数据(iFinD）'!$AB$69:$AL$69))*(1-实盘持仓初始配置!$Z$10)^(('实盘净值数据(iFinD）'!$A343-'实盘净值数据(iFinD）'!$A$69)/365))</f>
        <v/>
      </c>
      <c r="U343" s="16">
        <f>IF(OR(T342="",T343=""),"",T343/T342-1)</f>
        <v/>
      </c>
      <c r="V343" s="16">
        <f>IF(T343="","",T343/MAX(T$5:T343)-1)</f>
        <v/>
      </c>
    </row>
    <row r="344" spans="1:19">
      <c r="A344" s="15" t="str">
        <f>IF('实盘净值数据(iFinD）'!A344="","",'实盘净值数据(iFinD）'!A344)</f>
        <v/>
      </c>
      <c r="B344" s="13" t="str">
        <f>IF(OR('实盘净值数据(iFinD）'!$A344="",'实盘净值数据(iFinD）'!$B344=""),"",分期持仓明细!$AB$17*SUMPRODUCT(分期持仓明细!$B$17:$Y$17,'实盘净值数据(iFinD）'!$B344:$Y344/'实盘净值数据(iFinD）'!$B$20:$Y$20)*(1-实盘持仓初始配置!$Z$4)^(('实盘净值数据(iFinD）'!$A344-'实盘净值数据(iFinD）'!$A$6)/365))</f>
        <v/>
      </c>
      <c r="C344" s="16" t="str">
        <f t="shared" si="30"/>
        <v/>
      </c>
      <c r="D344" s="16" t="str">
        <f>IF(B344="","",B344/MAX(B$5:B344)-1)</f>
        <v/>
      </c>
      <c r="E344" s="13" t="str">
        <f>IF(OR('实盘净值数据(iFinD）'!$A344="",'实盘净值数据(iFinD）'!$B344=""),"",分期持仓明细!$AB$18*SUMPRODUCT(分期持仓明细!$B$18:$Y$18,'实盘净值数据(iFinD）'!$B344:$Y344/'实盘净值数据(iFinD）'!$B$20:$Y$20)*(1-实盘持仓初始配置!$Z$5)^(('实盘净值数据(iFinD）'!$A344-'实盘净值数据(iFinD）'!$A$5)/365))</f>
        <v/>
      </c>
      <c r="F344" s="16" t="str">
        <f t="shared" si="31"/>
        <v/>
      </c>
      <c r="G344" s="16" t="str">
        <f>IF(E344="","",E344/MAX(E$5:E344)-1)</f>
        <v/>
      </c>
      <c r="H344" s="13" t="str">
        <f>IF(OR('实盘净值数据(iFinD）'!$A344="",'实盘净值数据(iFinD）'!$B344=""),"",分期持仓明细!$AB$19*SUMPRODUCT(分期持仓明细!$B$19:$Y$19,'实盘净值数据(iFinD）'!$B344:$Y344/'实盘净值数据(iFinD）'!$B$20:$Y$20)*(1-实盘持仓初始配置!$Z$6)^(('实盘净值数据(iFinD）'!$A344-'实盘净值数据(iFinD）'!$A$7)/365))</f>
        <v/>
      </c>
      <c r="I344" s="16" t="str">
        <f t="shared" si="32"/>
        <v/>
      </c>
      <c r="J344" s="16" t="str">
        <f>IF(H344="","",H344/MAX(H$5:H344)-1)</f>
        <v/>
      </c>
      <c r="K344" s="13" t="str">
        <f>IF(OR('实盘净值数据(iFinD）'!$A344="",'实盘净值数据(iFinD）'!$B344="",'实盘净值数据(iFinD）'!$Z344="",'实盘净值数据(iFinD）'!$AA344=""),"",分期持仓明细!$AB$23*(SUMPRODUCT(分期持仓明细!$B$23:$Y$23,'实盘净值数据(iFinD）'!$B344:$Y344/'实盘净值数据(iFinD）'!$B$65:$Y$65)+SUMPRODUCT(分期持仓明细!$AC$23:$AD$23,'实盘净值数据(iFinD）'!$Z344:$AA344/'实盘净值数据(iFinD）'!$Z$65:$AA$65))*(1-实盘持仓初始配置!$Z$7)^(('实盘净值数据(iFinD）'!$A344-'实盘净值数据(iFinD）'!$A$8)/365))</f>
        <v/>
      </c>
      <c r="L344" s="16" t="str">
        <f t="shared" si="33"/>
        <v/>
      </c>
      <c r="M344" s="16" t="str">
        <f>IF(K344="","",K344/MAX(K$5:K344)-1)</f>
        <v/>
      </c>
      <c r="N344" s="13" t="str">
        <f>IF(OR('实盘净值数据(iFinD）'!$A344="",'实盘净值数据(iFinD）'!$B344="",'实盘净值数据(iFinD）'!$Z344="",'实盘净值数据(iFinD）'!$AA344=""),"",分期持仓明细!$AB$24*(SUMPRODUCT(分期持仓明细!$B$24:$Y$24,'实盘净值数据(iFinD）'!$B344:$Y344/'实盘净值数据(iFinD）'!$B$65:$Y$65)+SUMPRODUCT(分期持仓明细!$AC$24:$AD$24,'实盘净值数据(iFinD）'!$Z344:$AA344/'实盘净值数据(iFinD）'!$Z$65:$AA$65))*(1-实盘持仓初始配置!$Z$8)^(('实盘净值数据(iFinD）'!$A344-'实盘净值数据(iFinD）'!$A$5)/365))</f>
        <v/>
      </c>
      <c r="O344" s="16" t="str">
        <f t="shared" si="34"/>
        <v/>
      </c>
      <c r="P344" s="16" t="str">
        <f>IF(N344="","",N344/MAX(N$5:N344)-1)</f>
        <v/>
      </c>
      <c r="Q344" s="13" t="str">
        <f>IF(OR('实盘净值数据(iFinD）'!$A344="",'实盘净值数据(iFinD）'!$B344="",'实盘净值数据(iFinD）'!$Z344="",'实盘净值数据(iFinD）'!$AA344=""),"",分期持仓明细!$AB$25*(SUMPRODUCT(分期持仓明细!$B$25:$Y$25,'实盘净值数据(iFinD）'!$B344:$Y344/'实盘净值数据(iFinD）'!$B$65:$Y$65)+SUMPRODUCT(分期持仓明细!$AC$25:$AD$25,'实盘净值数据(iFinD）'!$Z344:$AA344/'实盘净值数据(iFinD）'!$Z$65:$AA$65))*(1-实盘持仓初始配置!$Z$9)^(('实盘净值数据(iFinD）'!$A344-'实盘净值数据(iFinD）'!$A$8)/365))</f>
        <v/>
      </c>
      <c r="R344" s="16" t="str">
        <f t="shared" si="35"/>
        <v/>
      </c>
      <c r="S344" s="16" t="str">
        <f>IF(Q344="","",Q344/MAX(Q$5:Q344)-1)</f>
        <v/>
      </c>
      <c r="T344" s="13">
        <f>IF(OR('实盘净值数据(iFinD）'!$A344="",'实盘净值数据(iFinD）'!$B344="",'实盘净值数据(iFinD）'!$Z344="",'实盘净值数据(iFinD）'!$AA344="",'实盘净值数据(iFinD）'!$AB344="",'实盘净值数据(iFinD）'!$AL344=""),"",(SUMPRODUCT(分期持仓明细!$B$26:$Y$26,'实盘净值数据(iFinD）'!$B344:$Y344/'实盘净值数据(iFinD）'!$B$69:$Y$69)+SUMPRODUCT(分期持仓明细!$AC$26:$AD$26,'实盘净值数据(iFinD）'!$Z344:$AA344/'实盘净值数据(iFinD）'!$Z$69:$AA$69)+SUMPRODUCT(分期持仓明细!$AE$26:$AO$26,'实盘净值数据(iFinD）'!$AB344:$AL344/'实盘净值数据(iFinD）'!$AB$69:$AL$69))*(1-实盘持仓初始配置!$Z$10)^(('实盘净值数据(iFinD）'!$A344-'实盘净值数据(iFinD）'!$A$69)/365))</f>
        <v/>
      </c>
      <c r="U344" s="16">
        <f>IF(OR(T343="",T344=""),"",T344/T343-1)</f>
        <v/>
      </c>
      <c r="V344" s="16">
        <f>IF(T344="","",T344/MAX(T$5:T344)-1)</f>
        <v/>
      </c>
    </row>
    <row r="345" spans="1:19">
      <c r="A345" s="15" t="str">
        <f>IF('实盘净值数据(iFinD）'!A345="","",'实盘净值数据(iFinD）'!A345)</f>
        <v/>
      </c>
      <c r="B345" s="13" t="str">
        <f>IF(OR('实盘净值数据(iFinD）'!$A345="",'实盘净值数据(iFinD）'!$B345=""),"",分期持仓明细!$AB$17*SUMPRODUCT(分期持仓明细!$B$17:$Y$17,'实盘净值数据(iFinD）'!$B345:$Y345/'实盘净值数据(iFinD）'!$B$20:$Y$20)*(1-实盘持仓初始配置!$Z$4)^(('实盘净值数据(iFinD）'!$A345-'实盘净值数据(iFinD）'!$A$6)/365))</f>
        <v/>
      </c>
      <c r="C345" s="16" t="str">
        <f t="shared" si="30"/>
        <v/>
      </c>
      <c r="D345" s="16" t="str">
        <f>IF(B345="","",B345/MAX(B$5:B345)-1)</f>
        <v/>
      </c>
      <c r="E345" s="13" t="str">
        <f>IF(OR('实盘净值数据(iFinD）'!$A345="",'实盘净值数据(iFinD）'!$B345=""),"",分期持仓明细!$AB$18*SUMPRODUCT(分期持仓明细!$B$18:$Y$18,'实盘净值数据(iFinD）'!$B345:$Y345/'实盘净值数据(iFinD）'!$B$20:$Y$20)*(1-实盘持仓初始配置!$Z$5)^(('实盘净值数据(iFinD）'!$A345-'实盘净值数据(iFinD）'!$A$5)/365))</f>
        <v/>
      </c>
      <c r="F345" s="16" t="str">
        <f t="shared" si="31"/>
        <v/>
      </c>
      <c r="G345" s="16" t="str">
        <f>IF(E345="","",E345/MAX(E$5:E345)-1)</f>
        <v/>
      </c>
      <c r="H345" s="13" t="str">
        <f>IF(OR('实盘净值数据(iFinD）'!$A345="",'实盘净值数据(iFinD）'!$B345=""),"",分期持仓明细!$AB$19*SUMPRODUCT(分期持仓明细!$B$19:$Y$19,'实盘净值数据(iFinD）'!$B345:$Y345/'实盘净值数据(iFinD）'!$B$20:$Y$20)*(1-实盘持仓初始配置!$Z$6)^(('实盘净值数据(iFinD）'!$A345-'实盘净值数据(iFinD）'!$A$7)/365))</f>
        <v/>
      </c>
      <c r="I345" s="16" t="str">
        <f t="shared" si="32"/>
        <v/>
      </c>
      <c r="J345" s="16" t="str">
        <f>IF(H345="","",H345/MAX(H$5:H345)-1)</f>
        <v/>
      </c>
      <c r="K345" s="13" t="str">
        <f>IF(OR('实盘净值数据(iFinD）'!$A345="",'实盘净值数据(iFinD）'!$B345="",'实盘净值数据(iFinD）'!$Z345="",'实盘净值数据(iFinD）'!$AA345=""),"",分期持仓明细!$AB$23*(SUMPRODUCT(分期持仓明细!$B$23:$Y$23,'实盘净值数据(iFinD）'!$B345:$Y345/'实盘净值数据(iFinD）'!$B$65:$Y$65)+SUMPRODUCT(分期持仓明细!$AC$23:$AD$23,'实盘净值数据(iFinD）'!$Z345:$AA345/'实盘净值数据(iFinD）'!$Z$65:$AA$65))*(1-实盘持仓初始配置!$Z$7)^(('实盘净值数据(iFinD）'!$A345-'实盘净值数据(iFinD）'!$A$8)/365))</f>
        <v/>
      </c>
      <c r="L345" s="16" t="str">
        <f t="shared" si="33"/>
        <v/>
      </c>
      <c r="M345" s="16" t="str">
        <f>IF(K345="","",K345/MAX(K$5:K345)-1)</f>
        <v/>
      </c>
      <c r="N345" s="13" t="str">
        <f>IF(OR('实盘净值数据(iFinD）'!$A345="",'实盘净值数据(iFinD）'!$B345="",'实盘净值数据(iFinD）'!$Z345="",'实盘净值数据(iFinD）'!$AA345=""),"",分期持仓明细!$AB$24*(SUMPRODUCT(分期持仓明细!$B$24:$Y$24,'实盘净值数据(iFinD）'!$B345:$Y345/'实盘净值数据(iFinD）'!$B$65:$Y$65)+SUMPRODUCT(分期持仓明细!$AC$24:$AD$24,'实盘净值数据(iFinD）'!$Z345:$AA345/'实盘净值数据(iFinD）'!$Z$65:$AA$65))*(1-实盘持仓初始配置!$Z$8)^(('实盘净值数据(iFinD）'!$A345-'实盘净值数据(iFinD）'!$A$5)/365))</f>
        <v/>
      </c>
      <c r="O345" s="16" t="str">
        <f t="shared" si="34"/>
        <v/>
      </c>
      <c r="P345" s="16" t="str">
        <f>IF(N345="","",N345/MAX(N$5:N345)-1)</f>
        <v/>
      </c>
      <c r="Q345" s="13" t="str">
        <f>IF(OR('实盘净值数据(iFinD）'!$A345="",'实盘净值数据(iFinD）'!$B345="",'实盘净值数据(iFinD）'!$Z345="",'实盘净值数据(iFinD）'!$AA345=""),"",分期持仓明细!$AB$25*(SUMPRODUCT(分期持仓明细!$B$25:$Y$25,'实盘净值数据(iFinD）'!$B345:$Y345/'实盘净值数据(iFinD）'!$B$65:$Y$65)+SUMPRODUCT(分期持仓明细!$AC$25:$AD$25,'实盘净值数据(iFinD）'!$Z345:$AA345/'实盘净值数据(iFinD）'!$Z$65:$AA$65))*(1-实盘持仓初始配置!$Z$9)^(('实盘净值数据(iFinD）'!$A345-'实盘净值数据(iFinD）'!$A$8)/365))</f>
        <v/>
      </c>
      <c r="R345" s="16" t="str">
        <f t="shared" si="35"/>
        <v/>
      </c>
      <c r="S345" s="16" t="str">
        <f>IF(Q345="","",Q345/MAX(Q$5:Q345)-1)</f>
        <v/>
      </c>
      <c r="T345" s="13">
        <f>IF(OR('实盘净值数据(iFinD）'!$A345="",'实盘净值数据(iFinD）'!$B345="",'实盘净值数据(iFinD）'!$Z345="",'实盘净值数据(iFinD）'!$AA345="",'实盘净值数据(iFinD）'!$AB345="",'实盘净值数据(iFinD）'!$AL345=""),"",(SUMPRODUCT(分期持仓明细!$B$26:$Y$26,'实盘净值数据(iFinD）'!$B345:$Y345/'实盘净值数据(iFinD）'!$B$69:$Y$69)+SUMPRODUCT(分期持仓明细!$AC$26:$AD$26,'实盘净值数据(iFinD）'!$Z345:$AA345/'实盘净值数据(iFinD）'!$Z$69:$AA$69)+SUMPRODUCT(分期持仓明细!$AE$26:$AO$26,'实盘净值数据(iFinD）'!$AB345:$AL345/'实盘净值数据(iFinD）'!$AB$69:$AL$69))*(1-实盘持仓初始配置!$Z$10)^(('实盘净值数据(iFinD）'!$A345-'实盘净值数据(iFinD）'!$A$69)/365))</f>
        <v/>
      </c>
      <c r="U345" s="16">
        <f>IF(OR(T344="",T345=""),"",T345/T344-1)</f>
        <v/>
      </c>
      <c r="V345" s="16">
        <f>IF(T345="","",T345/MAX(T$5:T345)-1)</f>
        <v/>
      </c>
    </row>
    <row r="346" spans="1:19">
      <c r="A346" s="15" t="str">
        <f>IF('实盘净值数据(iFinD）'!A346="","",'实盘净值数据(iFinD）'!A346)</f>
        <v/>
      </c>
      <c r="B346" s="13" t="str">
        <f>IF(OR('实盘净值数据(iFinD）'!$A346="",'实盘净值数据(iFinD）'!$B346=""),"",分期持仓明细!$AB$17*SUMPRODUCT(分期持仓明细!$B$17:$Y$17,'实盘净值数据(iFinD）'!$B346:$Y346/'实盘净值数据(iFinD）'!$B$20:$Y$20)*(1-实盘持仓初始配置!$Z$4)^(('实盘净值数据(iFinD）'!$A346-'实盘净值数据(iFinD）'!$A$6)/365))</f>
        <v/>
      </c>
      <c r="C346" s="16" t="str">
        <f t="shared" si="30"/>
        <v/>
      </c>
      <c r="D346" s="16" t="str">
        <f>IF(B346="","",B346/MAX(B$5:B346)-1)</f>
        <v/>
      </c>
      <c r="E346" s="13" t="str">
        <f>IF(OR('实盘净值数据(iFinD）'!$A346="",'实盘净值数据(iFinD）'!$B346=""),"",分期持仓明细!$AB$18*SUMPRODUCT(分期持仓明细!$B$18:$Y$18,'实盘净值数据(iFinD）'!$B346:$Y346/'实盘净值数据(iFinD）'!$B$20:$Y$20)*(1-实盘持仓初始配置!$Z$5)^(('实盘净值数据(iFinD）'!$A346-'实盘净值数据(iFinD）'!$A$5)/365))</f>
        <v/>
      </c>
      <c r="F346" s="16" t="str">
        <f t="shared" si="31"/>
        <v/>
      </c>
      <c r="G346" s="16" t="str">
        <f>IF(E346="","",E346/MAX(E$5:E346)-1)</f>
        <v/>
      </c>
      <c r="H346" s="13" t="str">
        <f>IF(OR('实盘净值数据(iFinD）'!$A346="",'实盘净值数据(iFinD）'!$B346=""),"",分期持仓明细!$AB$19*SUMPRODUCT(分期持仓明细!$B$19:$Y$19,'实盘净值数据(iFinD）'!$B346:$Y346/'实盘净值数据(iFinD）'!$B$20:$Y$20)*(1-实盘持仓初始配置!$Z$6)^(('实盘净值数据(iFinD）'!$A346-'实盘净值数据(iFinD）'!$A$7)/365))</f>
        <v/>
      </c>
      <c r="I346" s="16" t="str">
        <f t="shared" si="32"/>
        <v/>
      </c>
      <c r="J346" s="16" t="str">
        <f>IF(H346="","",H346/MAX(H$5:H346)-1)</f>
        <v/>
      </c>
      <c r="K346" s="13" t="str">
        <f>IF(OR('实盘净值数据(iFinD）'!$A346="",'实盘净值数据(iFinD）'!$B346="",'实盘净值数据(iFinD）'!$Z346="",'实盘净值数据(iFinD）'!$AA346=""),"",分期持仓明细!$AB$23*(SUMPRODUCT(分期持仓明细!$B$23:$Y$23,'实盘净值数据(iFinD）'!$B346:$Y346/'实盘净值数据(iFinD）'!$B$65:$Y$65)+SUMPRODUCT(分期持仓明细!$AC$23:$AD$23,'实盘净值数据(iFinD）'!$Z346:$AA346/'实盘净值数据(iFinD）'!$Z$65:$AA$65))*(1-实盘持仓初始配置!$Z$7)^(('实盘净值数据(iFinD）'!$A346-'实盘净值数据(iFinD）'!$A$8)/365))</f>
        <v/>
      </c>
      <c r="L346" s="16" t="str">
        <f t="shared" si="33"/>
        <v/>
      </c>
      <c r="M346" s="16" t="str">
        <f>IF(K346="","",K346/MAX(K$5:K346)-1)</f>
        <v/>
      </c>
      <c r="N346" s="13" t="str">
        <f>IF(OR('实盘净值数据(iFinD）'!$A346="",'实盘净值数据(iFinD）'!$B346="",'实盘净值数据(iFinD）'!$Z346="",'实盘净值数据(iFinD）'!$AA346=""),"",分期持仓明细!$AB$24*(SUMPRODUCT(分期持仓明细!$B$24:$Y$24,'实盘净值数据(iFinD）'!$B346:$Y346/'实盘净值数据(iFinD）'!$B$65:$Y$65)+SUMPRODUCT(分期持仓明细!$AC$24:$AD$24,'实盘净值数据(iFinD）'!$Z346:$AA346/'实盘净值数据(iFinD）'!$Z$65:$AA$65))*(1-实盘持仓初始配置!$Z$8)^(('实盘净值数据(iFinD）'!$A346-'实盘净值数据(iFinD）'!$A$5)/365))</f>
        <v/>
      </c>
      <c r="O346" s="16" t="str">
        <f t="shared" si="34"/>
        <v/>
      </c>
      <c r="P346" s="16" t="str">
        <f>IF(N346="","",N346/MAX(N$5:N346)-1)</f>
        <v/>
      </c>
      <c r="Q346" s="13" t="str">
        <f>IF(OR('实盘净值数据(iFinD）'!$A346="",'实盘净值数据(iFinD）'!$B346="",'实盘净值数据(iFinD）'!$Z346="",'实盘净值数据(iFinD）'!$AA346=""),"",分期持仓明细!$AB$25*(SUMPRODUCT(分期持仓明细!$B$25:$Y$25,'实盘净值数据(iFinD）'!$B346:$Y346/'实盘净值数据(iFinD）'!$B$65:$Y$65)+SUMPRODUCT(分期持仓明细!$AC$25:$AD$25,'实盘净值数据(iFinD）'!$Z346:$AA346/'实盘净值数据(iFinD）'!$Z$65:$AA$65))*(1-实盘持仓初始配置!$Z$9)^(('实盘净值数据(iFinD）'!$A346-'实盘净值数据(iFinD）'!$A$8)/365))</f>
        <v/>
      </c>
      <c r="R346" s="16" t="str">
        <f t="shared" si="35"/>
        <v/>
      </c>
      <c r="S346" s="16" t="str">
        <f>IF(Q346="","",Q346/MAX(Q$5:Q346)-1)</f>
        <v/>
      </c>
      <c r="T346" s="13">
        <f>IF(OR('实盘净值数据(iFinD）'!$A346="",'实盘净值数据(iFinD）'!$B346="",'实盘净值数据(iFinD）'!$Z346="",'实盘净值数据(iFinD）'!$AA346="",'实盘净值数据(iFinD）'!$AB346="",'实盘净值数据(iFinD）'!$AL346=""),"",(SUMPRODUCT(分期持仓明细!$B$26:$Y$26,'实盘净值数据(iFinD）'!$B346:$Y346/'实盘净值数据(iFinD）'!$B$69:$Y$69)+SUMPRODUCT(分期持仓明细!$AC$26:$AD$26,'实盘净值数据(iFinD）'!$Z346:$AA346/'实盘净值数据(iFinD）'!$Z$69:$AA$69)+SUMPRODUCT(分期持仓明细!$AE$26:$AO$26,'实盘净值数据(iFinD）'!$AB346:$AL346/'实盘净值数据(iFinD）'!$AB$69:$AL$69))*(1-实盘持仓初始配置!$Z$10)^(('实盘净值数据(iFinD）'!$A346-'实盘净值数据(iFinD）'!$A$69)/365))</f>
        <v/>
      </c>
      <c r="U346" s="16">
        <f>IF(OR(T345="",T346=""),"",T346/T345-1)</f>
        <v/>
      </c>
      <c r="V346" s="16">
        <f>IF(T346="","",T346/MAX(T$5:T346)-1)</f>
        <v/>
      </c>
    </row>
    <row r="347" spans="1:19">
      <c r="A347" s="15" t="str">
        <f>IF('实盘净值数据(iFinD）'!A347="","",'实盘净值数据(iFinD）'!A347)</f>
        <v/>
      </c>
      <c r="B347" s="13" t="str">
        <f>IF(OR('实盘净值数据(iFinD）'!$A347="",'实盘净值数据(iFinD）'!$B347=""),"",分期持仓明细!$AB$17*SUMPRODUCT(分期持仓明细!$B$17:$Y$17,'实盘净值数据(iFinD）'!$B347:$Y347/'实盘净值数据(iFinD）'!$B$20:$Y$20)*(1-实盘持仓初始配置!$Z$4)^(('实盘净值数据(iFinD）'!$A347-'实盘净值数据(iFinD）'!$A$6)/365))</f>
        <v/>
      </c>
      <c r="C347" s="16" t="str">
        <f t="shared" si="30"/>
        <v/>
      </c>
      <c r="D347" s="16" t="str">
        <f>IF(B347="","",B347/MAX(B$5:B347)-1)</f>
        <v/>
      </c>
      <c r="E347" s="13" t="str">
        <f>IF(OR('实盘净值数据(iFinD）'!$A347="",'实盘净值数据(iFinD）'!$B347=""),"",分期持仓明细!$AB$18*SUMPRODUCT(分期持仓明细!$B$18:$Y$18,'实盘净值数据(iFinD）'!$B347:$Y347/'实盘净值数据(iFinD）'!$B$20:$Y$20)*(1-实盘持仓初始配置!$Z$5)^(('实盘净值数据(iFinD）'!$A347-'实盘净值数据(iFinD）'!$A$5)/365))</f>
        <v/>
      </c>
      <c r="F347" s="16" t="str">
        <f t="shared" si="31"/>
        <v/>
      </c>
      <c r="G347" s="16" t="str">
        <f>IF(E347="","",E347/MAX(E$5:E347)-1)</f>
        <v/>
      </c>
      <c r="H347" s="13" t="str">
        <f>IF(OR('实盘净值数据(iFinD）'!$A347="",'实盘净值数据(iFinD）'!$B347=""),"",分期持仓明细!$AB$19*SUMPRODUCT(分期持仓明细!$B$19:$Y$19,'实盘净值数据(iFinD）'!$B347:$Y347/'实盘净值数据(iFinD）'!$B$20:$Y$20)*(1-实盘持仓初始配置!$Z$6)^(('实盘净值数据(iFinD）'!$A347-'实盘净值数据(iFinD）'!$A$7)/365))</f>
        <v/>
      </c>
      <c r="I347" s="16" t="str">
        <f t="shared" si="32"/>
        <v/>
      </c>
      <c r="J347" s="16" t="str">
        <f>IF(H347="","",H347/MAX(H$5:H347)-1)</f>
        <v/>
      </c>
      <c r="K347" s="13" t="str">
        <f>IF(OR('实盘净值数据(iFinD）'!$A347="",'实盘净值数据(iFinD）'!$B347="",'实盘净值数据(iFinD）'!$Z347="",'实盘净值数据(iFinD）'!$AA347=""),"",分期持仓明细!$AB$23*(SUMPRODUCT(分期持仓明细!$B$23:$Y$23,'实盘净值数据(iFinD）'!$B347:$Y347/'实盘净值数据(iFinD）'!$B$65:$Y$65)+SUMPRODUCT(分期持仓明细!$AC$23:$AD$23,'实盘净值数据(iFinD）'!$Z347:$AA347/'实盘净值数据(iFinD）'!$Z$65:$AA$65))*(1-实盘持仓初始配置!$Z$7)^(('实盘净值数据(iFinD）'!$A347-'实盘净值数据(iFinD）'!$A$8)/365))</f>
        <v/>
      </c>
      <c r="L347" s="16" t="str">
        <f t="shared" si="33"/>
        <v/>
      </c>
      <c r="M347" s="16" t="str">
        <f>IF(K347="","",K347/MAX(K$5:K347)-1)</f>
        <v/>
      </c>
      <c r="N347" s="13" t="str">
        <f>IF(OR('实盘净值数据(iFinD）'!$A347="",'实盘净值数据(iFinD）'!$B347="",'实盘净值数据(iFinD）'!$Z347="",'实盘净值数据(iFinD）'!$AA347=""),"",分期持仓明细!$AB$24*(SUMPRODUCT(分期持仓明细!$B$24:$Y$24,'实盘净值数据(iFinD）'!$B347:$Y347/'实盘净值数据(iFinD）'!$B$65:$Y$65)+SUMPRODUCT(分期持仓明细!$AC$24:$AD$24,'实盘净值数据(iFinD）'!$Z347:$AA347/'实盘净值数据(iFinD）'!$Z$65:$AA$65))*(1-实盘持仓初始配置!$Z$8)^(('实盘净值数据(iFinD）'!$A347-'实盘净值数据(iFinD）'!$A$5)/365))</f>
        <v/>
      </c>
      <c r="O347" s="16" t="str">
        <f t="shared" si="34"/>
        <v/>
      </c>
      <c r="P347" s="16" t="str">
        <f>IF(N347="","",N347/MAX(N$5:N347)-1)</f>
        <v/>
      </c>
      <c r="Q347" s="13" t="str">
        <f>IF(OR('实盘净值数据(iFinD）'!$A347="",'实盘净值数据(iFinD）'!$B347="",'实盘净值数据(iFinD）'!$Z347="",'实盘净值数据(iFinD）'!$AA347=""),"",分期持仓明细!$AB$25*(SUMPRODUCT(分期持仓明细!$B$25:$Y$25,'实盘净值数据(iFinD）'!$B347:$Y347/'实盘净值数据(iFinD）'!$B$65:$Y$65)+SUMPRODUCT(分期持仓明细!$AC$25:$AD$25,'实盘净值数据(iFinD）'!$Z347:$AA347/'实盘净值数据(iFinD）'!$Z$65:$AA$65))*(1-实盘持仓初始配置!$Z$9)^(('实盘净值数据(iFinD）'!$A347-'实盘净值数据(iFinD）'!$A$8)/365))</f>
        <v/>
      </c>
      <c r="R347" s="16" t="str">
        <f t="shared" si="35"/>
        <v/>
      </c>
      <c r="S347" s="16" t="str">
        <f>IF(Q347="","",Q347/MAX(Q$5:Q347)-1)</f>
        <v/>
      </c>
      <c r="T347" s="13">
        <f>IF(OR('实盘净值数据(iFinD）'!$A347="",'实盘净值数据(iFinD）'!$B347="",'实盘净值数据(iFinD）'!$Z347="",'实盘净值数据(iFinD）'!$AA347="",'实盘净值数据(iFinD）'!$AB347="",'实盘净值数据(iFinD）'!$AL347=""),"",(SUMPRODUCT(分期持仓明细!$B$26:$Y$26,'实盘净值数据(iFinD）'!$B347:$Y347/'实盘净值数据(iFinD）'!$B$69:$Y$69)+SUMPRODUCT(分期持仓明细!$AC$26:$AD$26,'实盘净值数据(iFinD）'!$Z347:$AA347/'实盘净值数据(iFinD）'!$Z$69:$AA$69)+SUMPRODUCT(分期持仓明细!$AE$26:$AO$26,'实盘净值数据(iFinD）'!$AB347:$AL347/'实盘净值数据(iFinD）'!$AB$69:$AL$69))*(1-实盘持仓初始配置!$Z$10)^(('实盘净值数据(iFinD）'!$A347-'实盘净值数据(iFinD）'!$A$69)/365))</f>
        <v/>
      </c>
      <c r="U347" s="16">
        <f>IF(OR(T346="",T347=""),"",T347/T346-1)</f>
        <v/>
      </c>
      <c r="V347" s="16">
        <f>IF(T347="","",T347/MAX(T$5:T347)-1)</f>
        <v/>
      </c>
    </row>
    <row r="348" spans="1:19">
      <c r="A348" s="15" t="str">
        <f>IF('实盘净值数据(iFinD）'!A348="","",'实盘净值数据(iFinD）'!A348)</f>
        <v/>
      </c>
      <c r="B348" s="13" t="str">
        <f>IF(OR('实盘净值数据(iFinD）'!$A348="",'实盘净值数据(iFinD）'!$B348=""),"",分期持仓明细!$AB$17*SUMPRODUCT(分期持仓明细!$B$17:$Y$17,'实盘净值数据(iFinD）'!$B348:$Y348/'实盘净值数据(iFinD）'!$B$20:$Y$20)*(1-实盘持仓初始配置!$Z$4)^(('实盘净值数据(iFinD）'!$A348-'实盘净值数据(iFinD）'!$A$6)/365))</f>
        <v/>
      </c>
      <c r="C348" s="16" t="str">
        <f t="shared" si="30"/>
        <v/>
      </c>
      <c r="D348" s="16" t="str">
        <f>IF(B348="","",B348/MAX(B$5:B348)-1)</f>
        <v/>
      </c>
      <c r="E348" s="13" t="str">
        <f>IF(OR('实盘净值数据(iFinD）'!$A348="",'实盘净值数据(iFinD）'!$B348=""),"",分期持仓明细!$AB$18*SUMPRODUCT(分期持仓明细!$B$18:$Y$18,'实盘净值数据(iFinD）'!$B348:$Y348/'实盘净值数据(iFinD）'!$B$20:$Y$20)*(1-实盘持仓初始配置!$Z$5)^(('实盘净值数据(iFinD）'!$A348-'实盘净值数据(iFinD）'!$A$5)/365))</f>
        <v/>
      </c>
      <c r="F348" s="16" t="str">
        <f t="shared" si="31"/>
        <v/>
      </c>
      <c r="G348" s="16" t="str">
        <f>IF(E348="","",E348/MAX(E$5:E348)-1)</f>
        <v/>
      </c>
      <c r="H348" s="13" t="str">
        <f>IF(OR('实盘净值数据(iFinD）'!$A348="",'实盘净值数据(iFinD）'!$B348=""),"",分期持仓明细!$AB$19*SUMPRODUCT(分期持仓明细!$B$19:$Y$19,'实盘净值数据(iFinD）'!$B348:$Y348/'实盘净值数据(iFinD）'!$B$20:$Y$20)*(1-实盘持仓初始配置!$Z$6)^(('实盘净值数据(iFinD）'!$A348-'实盘净值数据(iFinD）'!$A$7)/365))</f>
        <v/>
      </c>
      <c r="I348" s="16" t="str">
        <f t="shared" si="32"/>
        <v/>
      </c>
      <c r="J348" s="16" t="str">
        <f>IF(H348="","",H348/MAX(H$5:H348)-1)</f>
        <v/>
      </c>
      <c r="K348" s="13" t="str">
        <f>IF(OR('实盘净值数据(iFinD）'!$A348="",'实盘净值数据(iFinD）'!$B348="",'实盘净值数据(iFinD）'!$Z348="",'实盘净值数据(iFinD）'!$AA348=""),"",分期持仓明细!$AB$23*(SUMPRODUCT(分期持仓明细!$B$23:$Y$23,'实盘净值数据(iFinD）'!$B348:$Y348/'实盘净值数据(iFinD）'!$B$65:$Y$65)+SUMPRODUCT(分期持仓明细!$AC$23:$AD$23,'实盘净值数据(iFinD）'!$Z348:$AA348/'实盘净值数据(iFinD）'!$Z$65:$AA$65))*(1-实盘持仓初始配置!$Z$7)^(('实盘净值数据(iFinD）'!$A348-'实盘净值数据(iFinD）'!$A$8)/365))</f>
        <v/>
      </c>
      <c r="L348" s="16" t="str">
        <f t="shared" si="33"/>
        <v/>
      </c>
      <c r="M348" s="16" t="str">
        <f>IF(K348="","",K348/MAX(K$5:K348)-1)</f>
        <v/>
      </c>
      <c r="N348" s="13" t="str">
        <f>IF(OR('实盘净值数据(iFinD）'!$A348="",'实盘净值数据(iFinD）'!$B348="",'实盘净值数据(iFinD）'!$Z348="",'实盘净值数据(iFinD）'!$AA348=""),"",分期持仓明细!$AB$24*(SUMPRODUCT(分期持仓明细!$B$24:$Y$24,'实盘净值数据(iFinD）'!$B348:$Y348/'实盘净值数据(iFinD）'!$B$65:$Y$65)+SUMPRODUCT(分期持仓明细!$AC$24:$AD$24,'实盘净值数据(iFinD）'!$Z348:$AA348/'实盘净值数据(iFinD）'!$Z$65:$AA$65))*(1-实盘持仓初始配置!$Z$8)^(('实盘净值数据(iFinD）'!$A348-'实盘净值数据(iFinD）'!$A$5)/365))</f>
        <v/>
      </c>
      <c r="O348" s="16" t="str">
        <f t="shared" si="34"/>
        <v/>
      </c>
      <c r="P348" s="16" t="str">
        <f>IF(N348="","",N348/MAX(N$5:N348)-1)</f>
        <v/>
      </c>
      <c r="Q348" s="13" t="str">
        <f>IF(OR('实盘净值数据(iFinD）'!$A348="",'实盘净值数据(iFinD）'!$B348="",'实盘净值数据(iFinD）'!$Z348="",'实盘净值数据(iFinD）'!$AA348=""),"",分期持仓明细!$AB$25*(SUMPRODUCT(分期持仓明细!$B$25:$Y$25,'实盘净值数据(iFinD）'!$B348:$Y348/'实盘净值数据(iFinD）'!$B$65:$Y$65)+SUMPRODUCT(分期持仓明细!$AC$25:$AD$25,'实盘净值数据(iFinD）'!$Z348:$AA348/'实盘净值数据(iFinD）'!$Z$65:$AA$65))*(1-实盘持仓初始配置!$Z$9)^(('实盘净值数据(iFinD）'!$A348-'实盘净值数据(iFinD）'!$A$8)/365))</f>
        <v/>
      </c>
      <c r="R348" s="16" t="str">
        <f t="shared" si="35"/>
        <v/>
      </c>
      <c r="S348" s="16" t="str">
        <f>IF(Q348="","",Q348/MAX(Q$5:Q348)-1)</f>
        <v/>
      </c>
      <c r="T348" s="13">
        <f>IF(OR('实盘净值数据(iFinD）'!$A348="",'实盘净值数据(iFinD）'!$B348="",'实盘净值数据(iFinD）'!$Z348="",'实盘净值数据(iFinD）'!$AA348="",'实盘净值数据(iFinD）'!$AB348="",'实盘净值数据(iFinD）'!$AL348=""),"",(SUMPRODUCT(分期持仓明细!$B$26:$Y$26,'实盘净值数据(iFinD）'!$B348:$Y348/'实盘净值数据(iFinD）'!$B$69:$Y$69)+SUMPRODUCT(分期持仓明细!$AC$26:$AD$26,'实盘净值数据(iFinD）'!$Z348:$AA348/'实盘净值数据(iFinD）'!$Z$69:$AA$69)+SUMPRODUCT(分期持仓明细!$AE$26:$AO$26,'实盘净值数据(iFinD）'!$AB348:$AL348/'实盘净值数据(iFinD）'!$AB$69:$AL$69))*(1-实盘持仓初始配置!$Z$10)^(('实盘净值数据(iFinD）'!$A348-'实盘净值数据(iFinD）'!$A$69)/365))</f>
        <v/>
      </c>
      <c r="U348" s="16">
        <f>IF(OR(T347="",T348=""),"",T348/T347-1)</f>
        <v/>
      </c>
      <c r="V348" s="16">
        <f>IF(T348="","",T348/MAX(T$5:T348)-1)</f>
        <v/>
      </c>
    </row>
    <row r="349" spans="1:19">
      <c r="A349" s="15" t="str">
        <f>IF('实盘净值数据(iFinD）'!A349="","",'实盘净值数据(iFinD）'!A349)</f>
        <v/>
      </c>
      <c r="B349" s="13" t="str">
        <f>IF(OR('实盘净值数据(iFinD）'!$A349="",'实盘净值数据(iFinD）'!$B349=""),"",分期持仓明细!$AB$17*SUMPRODUCT(分期持仓明细!$B$17:$Y$17,'实盘净值数据(iFinD）'!$B349:$Y349/'实盘净值数据(iFinD）'!$B$20:$Y$20)*(1-实盘持仓初始配置!$Z$4)^(('实盘净值数据(iFinD）'!$A349-'实盘净值数据(iFinD）'!$A$6)/365))</f>
        <v/>
      </c>
      <c r="C349" s="16" t="str">
        <f t="shared" si="30"/>
        <v/>
      </c>
      <c r="D349" s="16" t="str">
        <f>IF(B349="","",B349/MAX(B$5:B349)-1)</f>
        <v/>
      </c>
      <c r="E349" s="13" t="str">
        <f>IF(OR('实盘净值数据(iFinD）'!$A349="",'实盘净值数据(iFinD）'!$B349=""),"",分期持仓明细!$AB$18*SUMPRODUCT(分期持仓明细!$B$18:$Y$18,'实盘净值数据(iFinD）'!$B349:$Y349/'实盘净值数据(iFinD）'!$B$20:$Y$20)*(1-实盘持仓初始配置!$Z$5)^(('实盘净值数据(iFinD）'!$A349-'实盘净值数据(iFinD）'!$A$5)/365))</f>
        <v/>
      </c>
      <c r="F349" s="16" t="str">
        <f t="shared" si="31"/>
        <v/>
      </c>
      <c r="G349" s="16" t="str">
        <f>IF(E349="","",E349/MAX(E$5:E349)-1)</f>
        <v/>
      </c>
      <c r="H349" s="13" t="str">
        <f>IF(OR('实盘净值数据(iFinD）'!$A349="",'实盘净值数据(iFinD）'!$B349=""),"",分期持仓明细!$AB$19*SUMPRODUCT(分期持仓明细!$B$19:$Y$19,'实盘净值数据(iFinD）'!$B349:$Y349/'实盘净值数据(iFinD）'!$B$20:$Y$20)*(1-实盘持仓初始配置!$Z$6)^(('实盘净值数据(iFinD）'!$A349-'实盘净值数据(iFinD）'!$A$7)/365))</f>
        <v/>
      </c>
      <c r="I349" s="16" t="str">
        <f t="shared" si="32"/>
        <v/>
      </c>
      <c r="J349" s="16" t="str">
        <f>IF(H349="","",H349/MAX(H$5:H349)-1)</f>
        <v/>
      </c>
      <c r="K349" s="13" t="str">
        <f>IF(OR('实盘净值数据(iFinD）'!$A349="",'实盘净值数据(iFinD）'!$B349="",'实盘净值数据(iFinD）'!$Z349="",'实盘净值数据(iFinD）'!$AA349=""),"",分期持仓明细!$AB$23*(SUMPRODUCT(分期持仓明细!$B$23:$Y$23,'实盘净值数据(iFinD）'!$B349:$Y349/'实盘净值数据(iFinD）'!$B$65:$Y$65)+SUMPRODUCT(分期持仓明细!$AC$23:$AD$23,'实盘净值数据(iFinD）'!$Z349:$AA349/'实盘净值数据(iFinD）'!$Z$65:$AA$65))*(1-实盘持仓初始配置!$Z$7)^(('实盘净值数据(iFinD）'!$A349-'实盘净值数据(iFinD）'!$A$8)/365))</f>
        <v/>
      </c>
      <c r="L349" s="16" t="str">
        <f t="shared" si="33"/>
        <v/>
      </c>
      <c r="M349" s="16" t="str">
        <f>IF(K349="","",K349/MAX(K$5:K349)-1)</f>
        <v/>
      </c>
      <c r="N349" s="13" t="str">
        <f>IF(OR('实盘净值数据(iFinD）'!$A349="",'实盘净值数据(iFinD）'!$B349="",'实盘净值数据(iFinD）'!$Z349="",'实盘净值数据(iFinD）'!$AA349=""),"",分期持仓明细!$AB$24*(SUMPRODUCT(分期持仓明细!$B$24:$Y$24,'实盘净值数据(iFinD）'!$B349:$Y349/'实盘净值数据(iFinD）'!$B$65:$Y$65)+SUMPRODUCT(分期持仓明细!$AC$24:$AD$24,'实盘净值数据(iFinD）'!$Z349:$AA349/'实盘净值数据(iFinD）'!$Z$65:$AA$65))*(1-实盘持仓初始配置!$Z$8)^(('实盘净值数据(iFinD）'!$A349-'实盘净值数据(iFinD）'!$A$5)/365))</f>
        <v/>
      </c>
      <c r="O349" s="16" t="str">
        <f t="shared" si="34"/>
        <v/>
      </c>
      <c r="P349" s="16" t="str">
        <f>IF(N349="","",N349/MAX(N$5:N349)-1)</f>
        <v/>
      </c>
      <c r="Q349" s="13" t="str">
        <f>IF(OR('实盘净值数据(iFinD）'!$A349="",'实盘净值数据(iFinD）'!$B349="",'实盘净值数据(iFinD）'!$Z349="",'实盘净值数据(iFinD）'!$AA349=""),"",分期持仓明细!$AB$25*(SUMPRODUCT(分期持仓明细!$B$25:$Y$25,'实盘净值数据(iFinD）'!$B349:$Y349/'实盘净值数据(iFinD）'!$B$65:$Y$65)+SUMPRODUCT(分期持仓明细!$AC$25:$AD$25,'实盘净值数据(iFinD）'!$Z349:$AA349/'实盘净值数据(iFinD）'!$Z$65:$AA$65))*(1-实盘持仓初始配置!$Z$9)^(('实盘净值数据(iFinD）'!$A349-'实盘净值数据(iFinD）'!$A$8)/365))</f>
        <v/>
      </c>
      <c r="R349" s="16" t="str">
        <f t="shared" si="35"/>
        <v/>
      </c>
      <c r="S349" s="16" t="str">
        <f>IF(Q349="","",Q349/MAX(Q$5:Q349)-1)</f>
        <v/>
      </c>
      <c r="T349" s="13">
        <f>IF(OR('实盘净值数据(iFinD）'!$A349="",'实盘净值数据(iFinD）'!$B349="",'实盘净值数据(iFinD）'!$Z349="",'实盘净值数据(iFinD）'!$AA349="",'实盘净值数据(iFinD）'!$AB349="",'实盘净值数据(iFinD）'!$AL349=""),"",(SUMPRODUCT(分期持仓明细!$B$26:$Y$26,'实盘净值数据(iFinD）'!$B349:$Y349/'实盘净值数据(iFinD）'!$B$69:$Y$69)+SUMPRODUCT(分期持仓明细!$AC$26:$AD$26,'实盘净值数据(iFinD）'!$Z349:$AA349/'实盘净值数据(iFinD）'!$Z$69:$AA$69)+SUMPRODUCT(分期持仓明细!$AE$26:$AO$26,'实盘净值数据(iFinD）'!$AB349:$AL349/'实盘净值数据(iFinD）'!$AB$69:$AL$69))*(1-实盘持仓初始配置!$Z$10)^(('实盘净值数据(iFinD）'!$A349-'实盘净值数据(iFinD）'!$A$69)/365))</f>
        <v/>
      </c>
      <c r="U349" s="16">
        <f>IF(OR(T348="",T349=""),"",T349/T348-1)</f>
        <v/>
      </c>
      <c r="V349" s="16">
        <f>IF(T349="","",T349/MAX(T$5:T349)-1)</f>
        <v/>
      </c>
    </row>
    <row r="350" spans="1:19">
      <c r="A350" s="15" t="str">
        <f>IF('实盘净值数据(iFinD）'!A350="","",'实盘净值数据(iFinD）'!A350)</f>
        <v/>
      </c>
      <c r="B350" s="13" t="str">
        <f>IF(OR('实盘净值数据(iFinD）'!$A350="",'实盘净值数据(iFinD）'!$B350=""),"",分期持仓明细!$AB$17*SUMPRODUCT(分期持仓明细!$B$17:$Y$17,'实盘净值数据(iFinD）'!$B350:$Y350/'实盘净值数据(iFinD）'!$B$20:$Y$20)*(1-实盘持仓初始配置!$Z$4)^(('实盘净值数据(iFinD）'!$A350-'实盘净值数据(iFinD）'!$A$6)/365))</f>
        <v/>
      </c>
      <c r="C350" s="16" t="str">
        <f t="shared" si="30"/>
        <v/>
      </c>
      <c r="D350" s="16" t="str">
        <f>IF(B350="","",B350/MAX(B$5:B350)-1)</f>
        <v/>
      </c>
      <c r="E350" s="13" t="str">
        <f>IF(OR('实盘净值数据(iFinD）'!$A350="",'实盘净值数据(iFinD）'!$B350=""),"",分期持仓明细!$AB$18*SUMPRODUCT(分期持仓明细!$B$18:$Y$18,'实盘净值数据(iFinD）'!$B350:$Y350/'实盘净值数据(iFinD）'!$B$20:$Y$20)*(1-实盘持仓初始配置!$Z$5)^(('实盘净值数据(iFinD）'!$A350-'实盘净值数据(iFinD）'!$A$5)/365))</f>
        <v/>
      </c>
      <c r="F350" s="16" t="str">
        <f t="shared" si="31"/>
        <v/>
      </c>
      <c r="G350" s="16" t="str">
        <f>IF(E350="","",E350/MAX(E$5:E350)-1)</f>
        <v/>
      </c>
      <c r="H350" s="13" t="str">
        <f>IF(OR('实盘净值数据(iFinD）'!$A350="",'实盘净值数据(iFinD）'!$B350=""),"",分期持仓明细!$AB$19*SUMPRODUCT(分期持仓明细!$B$19:$Y$19,'实盘净值数据(iFinD）'!$B350:$Y350/'实盘净值数据(iFinD）'!$B$20:$Y$20)*(1-实盘持仓初始配置!$Z$6)^(('实盘净值数据(iFinD）'!$A350-'实盘净值数据(iFinD）'!$A$7)/365))</f>
        <v/>
      </c>
      <c r="I350" s="16" t="str">
        <f t="shared" si="32"/>
        <v/>
      </c>
      <c r="J350" s="16" t="str">
        <f>IF(H350="","",H350/MAX(H$5:H350)-1)</f>
        <v/>
      </c>
      <c r="K350" s="13" t="str">
        <f>IF(OR('实盘净值数据(iFinD）'!$A350="",'实盘净值数据(iFinD）'!$B350="",'实盘净值数据(iFinD）'!$Z350="",'实盘净值数据(iFinD）'!$AA350=""),"",分期持仓明细!$AB$23*(SUMPRODUCT(分期持仓明细!$B$23:$Y$23,'实盘净值数据(iFinD）'!$B350:$Y350/'实盘净值数据(iFinD）'!$B$65:$Y$65)+SUMPRODUCT(分期持仓明细!$AC$23:$AD$23,'实盘净值数据(iFinD）'!$Z350:$AA350/'实盘净值数据(iFinD）'!$Z$65:$AA$65))*(1-实盘持仓初始配置!$Z$7)^(('实盘净值数据(iFinD）'!$A350-'实盘净值数据(iFinD）'!$A$8)/365))</f>
        <v/>
      </c>
      <c r="L350" s="16" t="str">
        <f t="shared" si="33"/>
        <v/>
      </c>
      <c r="M350" s="16" t="str">
        <f>IF(K350="","",K350/MAX(K$5:K350)-1)</f>
        <v/>
      </c>
      <c r="N350" s="13" t="str">
        <f>IF(OR('实盘净值数据(iFinD）'!$A350="",'实盘净值数据(iFinD）'!$B350="",'实盘净值数据(iFinD）'!$Z350="",'实盘净值数据(iFinD）'!$AA350=""),"",分期持仓明细!$AB$24*(SUMPRODUCT(分期持仓明细!$B$24:$Y$24,'实盘净值数据(iFinD）'!$B350:$Y350/'实盘净值数据(iFinD）'!$B$65:$Y$65)+SUMPRODUCT(分期持仓明细!$AC$24:$AD$24,'实盘净值数据(iFinD）'!$Z350:$AA350/'实盘净值数据(iFinD）'!$Z$65:$AA$65))*(1-实盘持仓初始配置!$Z$8)^(('实盘净值数据(iFinD）'!$A350-'实盘净值数据(iFinD）'!$A$5)/365))</f>
        <v/>
      </c>
      <c r="O350" s="16" t="str">
        <f t="shared" si="34"/>
        <v/>
      </c>
      <c r="P350" s="16" t="str">
        <f>IF(N350="","",N350/MAX(N$5:N350)-1)</f>
        <v/>
      </c>
      <c r="Q350" s="13" t="str">
        <f>IF(OR('实盘净值数据(iFinD）'!$A350="",'实盘净值数据(iFinD）'!$B350="",'实盘净值数据(iFinD）'!$Z350="",'实盘净值数据(iFinD）'!$AA350=""),"",分期持仓明细!$AB$25*(SUMPRODUCT(分期持仓明细!$B$25:$Y$25,'实盘净值数据(iFinD）'!$B350:$Y350/'实盘净值数据(iFinD）'!$B$65:$Y$65)+SUMPRODUCT(分期持仓明细!$AC$25:$AD$25,'实盘净值数据(iFinD）'!$Z350:$AA350/'实盘净值数据(iFinD）'!$Z$65:$AA$65))*(1-实盘持仓初始配置!$Z$9)^(('实盘净值数据(iFinD）'!$A350-'实盘净值数据(iFinD）'!$A$8)/365))</f>
        <v/>
      </c>
      <c r="R350" s="16" t="str">
        <f t="shared" si="35"/>
        <v/>
      </c>
      <c r="S350" s="16" t="str">
        <f>IF(Q350="","",Q350/MAX(Q$5:Q350)-1)</f>
        <v/>
      </c>
      <c r="T350" s="13">
        <f>IF(OR('实盘净值数据(iFinD）'!$A350="",'实盘净值数据(iFinD）'!$B350="",'实盘净值数据(iFinD）'!$Z350="",'实盘净值数据(iFinD）'!$AA350="",'实盘净值数据(iFinD）'!$AB350="",'实盘净值数据(iFinD）'!$AL350=""),"",(SUMPRODUCT(分期持仓明细!$B$26:$Y$26,'实盘净值数据(iFinD）'!$B350:$Y350/'实盘净值数据(iFinD）'!$B$69:$Y$69)+SUMPRODUCT(分期持仓明细!$AC$26:$AD$26,'实盘净值数据(iFinD）'!$Z350:$AA350/'实盘净值数据(iFinD）'!$Z$69:$AA$69)+SUMPRODUCT(分期持仓明细!$AE$26:$AO$26,'实盘净值数据(iFinD）'!$AB350:$AL350/'实盘净值数据(iFinD）'!$AB$69:$AL$69))*(1-实盘持仓初始配置!$Z$10)^(('实盘净值数据(iFinD）'!$A350-'实盘净值数据(iFinD）'!$A$69)/365))</f>
        <v/>
      </c>
      <c r="U350" s="16">
        <f>IF(OR(T349="",T350=""),"",T350/T349-1)</f>
        <v/>
      </c>
      <c r="V350" s="16">
        <f>IF(T350="","",T350/MAX(T$5:T350)-1)</f>
        <v/>
      </c>
    </row>
    <row r="351" spans="1:19">
      <c r="A351" s="15" t="str">
        <f>IF('实盘净值数据(iFinD）'!A351="","",'实盘净值数据(iFinD）'!A351)</f>
        <v/>
      </c>
      <c r="B351" s="13" t="str">
        <f>IF(OR('实盘净值数据(iFinD）'!$A351="",'实盘净值数据(iFinD）'!$B351=""),"",分期持仓明细!$AB$17*SUMPRODUCT(分期持仓明细!$B$17:$Y$17,'实盘净值数据(iFinD）'!$B351:$Y351/'实盘净值数据(iFinD）'!$B$20:$Y$20)*(1-实盘持仓初始配置!$Z$4)^(('实盘净值数据(iFinD）'!$A351-'实盘净值数据(iFinD）'!$A$6)/365))</f>
        <v/>
      </c>
      <c r="C351" s="16" t="str">
        <f t="shared" si="30"/>
        <v/>
      </c>
      <c r="D351" s="16" t="str">
        <f>IF(B351="","",B351/MAX(B$5:B351)-1)</f>
        <v/>
      </c>
      <c r="E351" s="13" t="str">
        <f>IF(OR('实盘净值数据(iFinD）'!$A351="",'实盘净值数据(iFinD）'!$B351=""),"",分期持仓明细!$AB$18*SUMPRODUCT(分期持仓明细!$B$18:$Y$18,'实盘净值数据(iFinD）'!$B351:$Y351/'实盘净值数据(iFinD）'!$B$20:$Y$20)*(1-实盘持仓初始配置!$Z$5)^(('实盘净值数据(iFinD）'!$A351-'实盘净值数据(iFinD）'!$A$5)/365))</f>
        <v/>
      </c>
      <c r="F351" s="16" t="str">
        <f t="shared" si="31"/>
        <v/>
      </c>
      <c r="G351" s="16" t="str">
        <f>IF(E351="","",E351/MAX(E$5:E351)-1)</f>
        <v/>
      </c>
      <c r="H351" s="13" t="str">
        <f>IF(OR('实盘净值数据(iFinD）'!$A351="",'实盘净值数据(iFinD）'!$B351=""),"",分期持仓明细!$AB$19*SUMPRODUCT(分期持仓明细!$B$19:$Y$19,'实盘净值数据(iFinD）'!$B351:$Y351/'实盘净值数据(iFinD）'!$B$20:$Y$20)*(1-实盘持仓初始配置!$Z$6)^(('实盘净值数据(iFinD）'!$A351-'实盘净值数据(iFinD）'!$A$7)/365))</f>
        <v/>
      </c>
      <c r="I351" s="16" t="str">
        <f t="shared" si="32"/>
        <v/>
      </c>
      <c r="J351" s="16" t="str">
        <f>IF(H351="","",H351/MAX(H$5:H351)-1)</f>
        <v/>
      </c>
      <c r="K351" s="13" t="str">
        <f>IF(OR('实盘净值数据(iFinD）'!$A351="",'实盘净值数据(iFinD）'!$B351="",'实盘净值数据(iFinD）'!$Z351="",'实盘净值数据(iFinD）'!$AA351=""),"",分期持仓明细!$AB$23*(SUMPRODUCT(分期持仓明细!$B$23:$Y$23,'实盘净值数据(iFinD）'!$B351:$Y351/'实盘净值数据(iFinD）'!$B$65:$Y$65)+SUMPRODUCT(分期持仓明细!$AC$23:$AD$23,'实盘净值数据(iFinD）'!$Z351:$AA351/'实盘净值数据(iFinD）'!$Z$65:$AA$65))*(1-实盘持仓初始配置!$Z$7)^(('实盘净值数据(iFinD）'!$A351-'实盘净值数据(iFinD）'!$A$8)/365))</f>
        <v/>
      </c>
      <c r="L351" s="16" t="str">
        <f t="shared" si="33"/>
        <v/>
      </c>
      <c r="M351" s="16" t="str">
        <f>IF(K351="","",K351/MAX(K$5:K351)-1)</f>
        <v/>
      </c>
      <c r="N351" s="13" t="str">
        <f>IF(OR('实盘净值数据(iFinD）'!$A351="",'实盘净值数据(iFinD）'!$B351="",'实盘净值数据(iFinD）'!$Z351="",'实盘净值数据(iFinD）'!$AA351=""),"",分期持仓明细!$AB$24*(SUMPRODUCT(分期持仓明细!$B$24:$Y$24,'实盘净值数据(iFinD）'!$B351:$Y351/'实盘净值数据(iFinD）'!$B$65:$Y$65)+SUMPRODUCT(分期持仓明细!$AC$24:$AD$24,'实盘净值数据(iFinD）'!$Z351:$AA351/'实盘净值数据(iFinD）'!$Z$65:$AA$65))*(1-实盘持仓初始配置!$Z$8)^(('实盘净值数据(iFinD）'!$A351-'实盘净值数据(iFinD）'!$A$5)/365))</f>
        <v/>
      </c>
      <c r="O351" s="16" t="str">
        <f t="shared" si="34"/>
        <v/>
      </c>
      <c r="P351" s="16" t="str">
        <f>IF(N351="","",N351/MAX(N$5:N351)-1)</f>
        <v/>
      </c>
      <c r="Q351" s="13" t="str">
        <f>IF(OR('实盘净值数据(iFinD）'!$A351="",'实盘净值数据(iFinD）'!$B351="",'实盘净值数据(iFinD）'!$Z351="",'实盘净值数据(iFinD）'!$AA351=""),"",分期持仓明细!$AB$25*(SUMPRODUCT(分期持仓明细!$B$25:$Y$25,'实盘净值数据(iFinD）'!$B351:$Y351/'实盘净值数据(iFinD）'!$B$65:$Y$65)+SUMPRODUCT(分期持仓明细!$AC$25:$AD$25,'实盘净值数据(iFinD）'!$Z351:$AA351/'实盘净值数据(iFinD）'!$Z$65:$AA$65))*(1-实盘持仓初始配置!$Z$9)^(('实盘净值数据(iFinD）'!$A351-'实盘净值数据(iFinD）'!$A$8)/365))</f>
        <v/>
      </c>
      <c r="R351" s="16" t="str">
        <f t="shared" si="35"/>
        <v/>
      </c>
      <c r="S351" s="16" t="str">
        <f>IF(Q351="","",Q351/MAX(Q$5:Q351)-1)</f>
        <v/>
      </c>
      <c r="T351" s="13">
        <f>IF(OR('实盘净值数据(iFinD）'!$A351="",'实盘净值数据(iFinD）'!$B351="",'实盘净值数据(iFinD）'!$Z351="",'实盘净值数据(iFinD）'!$AA351="",'实盘净值数据(iFinD）'!$AB351="",'实盘净值数据(iFinD）'!$AL351=""),"",(SUMPRODUCT(分期持仓明细!$B$26:$Y$26,'实盘净值数据(iFinD）'!$B351:$Y351/'实盘净值数据(iFinD）'!$B$69:$Y$69)+SUMPRODUCT(分期持仓明细!$AC$26:$AD$26,'实盘净值数据(iFinD）'!$Z351:$AA351/'实盘净值数据(iFinD）'!$Z$69:$AA$69)+SUMPRODUCT(分期持仓明细!$AE$26:$AO$26,'实盘净值数据(iFinD）'!$AB351:$AL351/'实盘净值数据(iFinD）'!$AB$69:$AL$69))*(1-实盘持仓初始配置!$Z$10)^(('实盘净值数据(iFinD）'!$A351-'实盘净值数据(iFinD）'!$A$69)/365))</f>
        <v/>
      </c>
      <c r="U351" s="16">
        <f>IF(OR(T350="",T351=""),"",T351/T350-1)</f>
        <v/>
      </c>
      <c r="V351" s="16">
        <f>IF(T351="","",T351/MAX(T$5:T351)-1)</f>
        <v/>
      </c>
    </row>
    <row r="352" spans="1:19">
      <c r="A352" s="15" t="str">
        <f>IF('实盘净值数据(iFinD）'!A352="","",'实盘净值数据(iFinD）'!A352)</f>
        <v/>
      </c>
      <c r="B352" s="13" t="str">
        <f>IF(OR('实盘净值数据(iFinD）'!$A352="",'实盘净值数据(iFinD）'!$B352=""),"",分期持仓明细!$AB$17*SUMPRODUCT(分期持仓明细!$B$17:$Y$17,'实盘净值数据(iFinD）'!$B352:$Y352/'实盘净值数据(iFinD）'!$B$20:$Y$20)*(1-实盘持仓初始配置!$Z$4)^(('实盘净值数据(iFinD）'!$A352-'实盘净值数据(iFinD）'!$A$6)/365))</f>
        <v/>
      </c>
      <c r="C352" s="16" t="str">
        <f t="shared" si="30"/>
        <v/>
      </c>
      <c r="D352" s="16" t="str">
        <f>IF(B352="","",B352/MAX(B$5:B352)-1)</f>
        <v/>
      </c>
      <c r="E352" s="13" t="str">
        <f>IF(OR('实盘净值数据(iFinD）'!$A352="",'实盘净值数据(iFinD）'!$B352=""),"",分期持仓明细!$AB$18*SUMPRODUCT(分期持仓明细!$B$18:$Y$18,'实盘净值数据(iFinD）'!$B352:$Y352/'实盘净值数据(iFinD）'!$B$20:$Y$20)*(1-实盘持仓初始配置!$Z$5)^(('实盘净值数据(iFinD）'!$A352-'实盘净值数据(iFinD）'!$A$5)/365))</f>
        <v/>
      </c>
      <c r="F352" s="16" t="str">
        <f t="shared" si="31"/>
        <v/>
      </c>
      <c r="G352" s="16" t="str">
        <f>IF(E352="","",E352/MAX(E$5:E352)-1)</f>
        <v/>
      </c>
      <c r="H352" s="13" t="str">
        <f>IF(OR('实盘净值数据(iFinD）'!$A352="",'实盘净值数据(iFinD）'!$B352=""),"",分期持仓明细!$AB$19*SUMPRODUCT(分期持仓明细!$B$19:$Y$19,'实盘净值数据(iFinD）'!$B352:$Y352/'实盘净值数据(iFinD）'!$B$20:$Y$20)*(1-实盘持仓初始配置!$Z$6)^(('实盘净值数据(iFinD）'!$A352-'实盘净值数据(iFinD）'!$A$7)/365))</f>
        <v/>
      </c>
      <c r="I352" s="16" t="str">
        <f t="shared" si="32"/>
        <v/>
      </c>
      <c r="J352" s="16" t="str">
        <f>IF(H352="","",H352/MAX(H$5:H352)-1)</f>
        <v/>
      </c>
      <c r="K352" s="13" t="str">
        <f>IF(OR('实盘净值数据(iFinD）'!$A352="",'实盘净值数据(iFinD）'!$B352="",'实盘净值数据(iFinD）'!$Z352="",'实盘净值数据(iFinD）'!$AA352=""),"",分期持仓明细!$AB$23*(SUMPRODUCT(分期持仓明细!$B$23:$Y$23,'实盘净值数据(iFinD）'!$B352:$Y352/'实盘净值数据(iFinD）'!$B$65:$Y$65)+SUMPRODUCT(分期持仓明细!$AC$23:$AD$23,'实盘净值数据(iFinD）'!$Z352:$AA352/'实盘净值数据(iFinD）'!$Z$65:$AA$65))*(1-实盘持仓初始配置!$Z$7)^(('实盘净值数据(iFinD）'!$A352-'实盘净值数据(iFinD）'!$A$8)/365))</f>
        <v/>
      </c>
      <c r="L352" s="16" t="str">
        <f t="shared" si="33"/>
        <v/>
      </c>
      <c r="M352" s="16" t="str">
        <f>IF(K352="","",K352/MAX(K$5:K352)-1)</f>
        <v/>
      </c>
      <c r="N352" s="13" t="str">
        <f>IF(OR('实盘净值数据(iFinD）'!$A352="",'实盘净值数据(iFinD）'!$B352="",'实盘净值数据(iFinD）'!$Z352="",'实盘净值数据(iFinD）'!$AA352=""),"",分期持仓明细!$AB$24*(SUMPRODUCT(分期持仓明细!$B$24:$Y$24,'实盘净值数据(iFinD）'!$B352:$Y352/'实盘净值数据(iFinD）'!$B$65:$Y$65)+SUMPRODUCT(分期持仓明细!$AC$24:$AD$24,'实盘净值数据(iFinD）'!$Z352:$AA352/'实盘净值数据(iFinD）'!$Z$65:$AA$65))*(1-实盘持仓初始配置!$Z$8)^(('实盘净值数据(iFinD）'!$A352-'实盘净值数据(iFinD）'!$A$5)/365))</f>
        <v/>
      </c>
      <c r="O352" s="16" t="str">
        <f t="shared" si="34"/>
        <v/>
      </c>
      <c r="P352" s="16" t="str">
        <f>IF(N352="","",N352/MAX(N$5:N352)-1)</f>
        <v/>
      </c>
      <c r="Q352" s="13" t="str">
        <f>IF(OR('实盘净值数据(iFinD）'!$A352="",'实盘净值数据(iFinD）'!$B352="",'实盘净值数据(iFinD）'!$Z352="",'实盘净值数据(iFinD）'!$AA352=""),"",分期持仓明细!$AB$25*(SUMPRODUCT(分期持仓明细!$B$25:$Y$25,'实盘净值数据(iFinD）'!$B352:$Y352/'实盘净值数据(iFinD）'!$B$65:$Y$65)+SUMPRODUCT(分期持仓明细!$AC$25:$AD$25,'实盘净值数据(iFinD）'!$Z352:$AA352/'实盘净值数据(iFinD）'!$Z$65:$AA$65))*(1-实盘持仓初始配置!$Z$9)^(('实盘净值数据(iFinD）'!$A352-'实盘净值数据(iFinD）'!$A$8)/365))</f>
        <v/>
      </c>
      <c r="R352" s="16" t="str">
        <f t="shared" si="35"/>
        <v/>
      </c>
      <c r="S352" s="16" t="str">
        <f>IF(Q352="","",Q352/MAX(Q$5:Q352)-1)</f>
        <v/>
      </c>
      <c r="T352" s="13">
        <f>IF(OR('实盘净值数据(iFinD）'!$A352="",'实盘净值数据(iFinD）'!$B352="",'实盘净值数据(iFinD）'!$Z352="",'实盘净值数据(iFinD）'!$AA352="",'实盘净值数据(iFinD）'!$AB352="",'实盘净值数据(iFinD）'!$AL352=""),"",(SUMPRODUCT(分期持仓明细!$B$26:$Y$26,'实盘净值数据(iFinD）'!$B352:$Y352/'实盘净值数据(iFinD）'!$B$69:$Y$69)+SUMPRODUCT(分期持仓明细!$AC$26:$AD$26,'实盘净值数据(iFinD）'!$Z352:$AA352/'实盘净值数据(iFinD）'!$Z$69:$AA$69)+SUMPRODUCT(分期持仓明细!$AE$26:$AO$26,'实盘净值数据(iFinD）'!$AB352:$AL352/'实盘净值数据(iFinD）'!$AB$69:$AL$69))*(1-实盘持仓初始配置!$Z$10)^(('实盘净值数据(iFinD）'!$A352-'实盘净值数据(iFinD）'!$A$69)/365))</f>
        <v/>
      </c>
      <c r="U352" s="16">
        <f>IF(OR(T351="",T352=""),"",T352/T351-1)</f>
        <v/>
      </c>
      <c r="V352" s="16">
        <f>IF(T352="","",T352/MAX(T$5:T352)-1)</f>
        <v/>
      </c>
    </row>
    <row r="353" spans="1:19">
      <c r="A353" s="15" t="str">
        <f>IF('实盘净值数据(iFinD）'!A353="","",'实盘净值数据(iFinD）'!A353)</f>
        <v/>
      </c>
      <c r="B353" s="13" t="str">
        <f>IF(OR('实盘净值数据(iFinD）'!$A353="",'实盘净值数据(iFinD）'!$B353=""),"",分期持仓明细!$AB$17*SUMPRODUCT(分期持仓明细!$B$17:$Y$17,'实盘净值数据(iFinD）'!$B353:$Y353/'实盘净值数据(iFinD）'!$B$20:$Y$20)*(1-实盘持仓初始配置!$Z$4)^(('实盘净值数据(iFinD）'!$A353-'实盘净值数据(iFinD）'!$A$6)/365))</f>
        <v/>
      </c>
      <c r="C353" s="16" t="str">
        <f t="shared" si="30"/>
        <v/>
      </c>
      <c r="D353" s="16" t="str">
        <f>IF(B353="","",B353/MAX(B$5:B353)-1)</f>
        <v/>
      </c>
      <c r="E353" s="13" t="str">
        <f>IF(OR('实盘净值数据(iFinD）'!$A353="",'实盘净值数据(iFinD）'!$B353=""),"",分期持仓明细!$AB$18*SUMPRODUCT(分期持仓明细!$B$18:$Y$18,'实盘净值数据(iFinD）'!$B353:$Y353/'实盘净值数据(iFinD）'!$B$20:$Y$20)*(1-实盘持仓初始配置!$Z$5)^(('实盘净值数据(iFinD）'!$A353-'实盘净值数据(iFinD）'!$A$5)/365))</f>
        <v/>
      </c>
      <c r="F353" s="16" t="str">
        <f t="shared" si="31"/>
        <v/>
      </c>
      <c r="G353" s="16" t="str">
        <f>IF(E353="","",E353/MAX(E$5:E353)-1)</f>
        <v/>
      </c>
      <c r="H353" s="13" t="str">
        <f>IF(OR('实盘净值数据(iFinD）'!$A353="",'实盘净值数据(iFinD）'!$B353=""),"",分期持仓明细!$AB$19*SUMPRODUCT(分期持仓明细!$B$19:$Y$19,'实盘净值数据(iFinD）'!$B353:$Y353/'实盘净值数据(iFinD）'!$B$20:$Y$20)*(1-实盘持仓初始配置!$Z$6)^(('实盘净值数据(iFinD）'!$A353-'实盘净值数据(iFinD）'!$A$7)/365))</f>
        <v/>
      </c>
      <c r="I353" s="16" t="str">
        <f t="shared" si="32"/>
        <v/>
      </c>
      <c r="J353" s="16" t="str">
        <f>IF(H353="","",H353/MAX(H$5:H353)-1)</f>
        <v/>
      </c>
      <c r="K353" s="13" t="str">
        <f>IF(OR('实盘净值数据(iFinD）'!$A353="",'实盘净值数据(iFinD）'!$B353="",'实盘净值数据(iFinD）'!$Z353="",'实盘净值数据(iFinD）'!$AA353=""),"",分期持仓明细!$AB$23*(SUMPRODUCT(分期持仓明细!$B$23:$Y$23,'实盘净值数据(iFinD）'!$B353:$Y353/'实盘净值数据(iFinD）'!$B$65:$Y$65)+SUMPRODUCT(分期持仓明细!$AC$23:$AD$23,'实盘净值数据(iFinD）'!$Z353:$AA353/'实盘净值数据(iFinD）'!$Z$65:$AA$65))*(1-实盘持仓初始配置!$Z$7)^(('实盘净值数据(iFinD）'!$A353-'实盘净值数据(iFinD）'!$A$8)/365))</f>
        <v/>
      </c>
      <c r="L353" s="16" t="str">
        <f t="shared" si="33"/>
        <v/>
      </c>
      <c r="M353" s="16" t="str">
        <f>IF(K353="","",K353/MAX(K$5:K353)-1)</f>
        <v/>
      </c>
      <c r="N353" s="13" t="str">
        <f>IF(OR('实盘净值数据(iFinD）'!$A353="",'实盘净值数据(iFinD）'!$B353="",'实盘净值数据(iFinD）'!$Z353="",'实盘净值数据(iFinD）'!$AA353=""),"",分期持仓明细!$AB$24*(SUMPRODUCT(分期持仓明细!$B$24:$Y$24,'实盘净值数据(iFinD）'!$B353:$Y353/'实盘净值数据(iFinD）'!$B$65:$Y$65)+SUMPRODUCT(分期持仓明细!$AC$24:$AD$24,'实盘净值数据(iFinD）'!$Z353:$AA353/'实盘净值数据(iFinD）'!$Z$65:$AA$65))*(1-实盘持仓初始配置!$Z$8)^(('实盘净值数据(iFinD）'!$A353-'实盘净值数据(iFinD）'!$A$5)/365))</f>
        <v/>
      </c>
      <c r="O353" s="16" t="str">
        <f t="shared" si="34"/>
        <v/>
      </c>
      <c r="P353" s="16" t="str">
        <f>IF(N353="","",N353/MAX(N$5:N353)-1)</f>
        <v/>
      </c>
      <c r="Q353" s="13" t="str">
        <f>IF(OR('实盘净值数据(iFinD）'!$A353="",'实盘净值数据(iFinD）'!$B353="",'实盘净值数据(iFinD）'!$Z353="",'实盘净值数据(iFinD）'!$AA353=""),"",分期持仓明细!$AB$25*(SUMPRODUCT(分期持仓明细!$B$25:$Y$25,'实盘净值数据(iFinD）'!$B353:$Y353/'实盘净值数据(iFinD）'!$B$65:$Y$65)+SUMPRODUCT(分期持仓明细!$AC$25:$AD$25,'实盘净值数据(iFinD）'!$Z353:$AA353/'实盘净值数据(iFinD）'!$Z$65:$AA$65))*(1-实盘持仓初始配置!$Z$9)^(('实盘净值数据(iFinD）'!$A353-'实盘净值数据(iFinD）'!$A$8)/365))</f>
        <v/>
      </c>
      <c r="R353" s="16" t="str">
        <f t="shared" si="35"/>
        <v/>
      </c>
      <c r="S353" s="16" t="str">
        <f>IF(Q353="","",Q353/MAX(Q$5:Q353)-1)</f>
        <v/>
      </c>
      <c r="T353" s="13">
        <f>IF(OR('实盘净值数据(iFinD）'!$A353="",'实盘净值数据(iFinD）'!$B353="",'实盘净值数据(iFinD）'!$Z353="",'实盘净值数据(iFinD）'!$AA353="",'实盘净值数据(iFinD）'!$AB353="",'实盘净值数据(iFinD）'!$AL353=""),"",(SUMPRODUCT(分期持仓明细!$B$26:$Y$26,'实盘净值数据(iFinD）'!$B353:$Y353/'实盘净值数据(iFinD）'!$B$69:$Y$69)+SUMPRODUCT(分期持仓明细!$AC$26:$AD$26,'实盘净值数据(iFinD）'!$Z353:$AA353/'实盘净值数据(iFinD）'!$Z$69:$AA$69)+SUMPRODUCT(分期持仓明细!$AE$26:$AO$26,'实盘净值数据(iFinD）'!$AB353:$AL353/'实盘净值数据(iFinD）'!$AB$69:$AL$69))*(1-实盘持仓初始配置!$Z$10)^(('实盘净值数据(iFinD）'!$A353-'实盘净值数据(iFinD）'!$A$69)/365))</f>
        <v/>
      </c>
      <c r="U353" s="16">
        <f>IF(OR(T352="",T353=""),"",T353/T352-1)</f>
        <v/>
      </c>
      <c r="V353" s="16">
        <f>IF(T353="","",T353/MAX(T$5:T353)-1)</f>
        <v/>
      </c>
    </row>
    <row r="354" spans="1:19">
      <c r="A354" s="15" t="str">
        <f>IF('实盘净值数据(iFinD）'!A354="","",'实盘净值数据(iFinD）'!A354)</f>
        <v/>
      </c>
      <c r="B354" s="13" t="str">
        <f>IF(OR('实盘净值数据(iFinD）'!$A354="",'实盘净值数据(iFinD）'!$B354=""),"",分期持仓明细!$AB$17*SUMPRODUCT(分期持仓明细!$B$17:$Y$17,'实盘净值数据(iFinD）'!$B354:$Y354/'实盘净值数据(iFinD）'!$B$20:$Y$20)*(1-实盘持仓初始配置!$Z$4)^(('实盘净值数据(iFinD）'!$A354-'实盘净值数据(iFinD）'!$A$6)/365))</f>
        <v/>
      </c>
      <c r="C354" s="16" t="str">
        <f t="shared" si="30"/>
        <v/>
      </c>
      <c r="D354" s="16" t="str">
        <f>IF(B354="","",B354/MAX(B$5:B354)-1)</f>
        <v/>
      </c>
      <c r="E354" s="13" t="str">
        <f>IF(OR('实盘净值数据(iFinD）'!$A354="",'实盘净值数据(iFinD）'!$B354=""),"",分期持仓明细!$AB$18*SUMPRODUCT(分期持仓明细!$B$18:$Y$18,'实盘净值数据(iFinD）'!$B354:$Y354/'实盘净值数据(iFinD）'!$B$20:$Y$20)*(1-实盘持仓初始配置!$Z$5)^(('实盘净值数据(iFinD）'!$A354-'实盘净值数据(iFinD）'!$A$5)/365))</f>
        <v/>
      </c>
      <c r="F354" s="16" t="str">
        <f t="shared" si="31"/>
        <v/>
      </c>
      <c r="G354" s="16" t="str">
        <f>IF(E354="","",E354/MAX(E$5:E354)-1)</f>
        <v/>
      </c>
      <c r="H354" s="13" t="str">
        <f>IF(OR('实盘净值数据(iFinD）'!$A354="",'实盘净值数据(iFinD）'!$B354=""),"",分期持仓明细!$AB$19*SUMPRODUCT(分期持仓明细!$B$19:$Y$19,'实盘净值数据(iFinD）'!$B354:$Y354/'实盘净值数据(iFinD）'!$B$20:$Y$20)*(1-实盘持仓初始配置!$Z$6)^(('实盘净值数据(iFinD）'!$A354-'实盘净值数据(iFinD）'!$A$7)/365))</f>
        <v/>
      </c>
      <c r="I354" s="16" t="str">
        <f t="shared" si="32"/>
        <v/>
      </c>
      <c r="J354" s="16" t="str">
        <f>IF(H354="","",H354/MAX(H$5:H354)-1)</f>
        <v/>
      </c>
      <c r="K354" s="13" t="str">
        <f>IF(OR('实盘净值数据(iFinD）'!$A354="",'实盘净值数据(iFinD）'!$B354="",'实盘净值数据(iFinD）'!$Z354="",'实盘净值数据(iFinD）'!$AA354=""),"",分期持仓明细!$AB$23*(SUMPRODUCT(分期持仓明细!$B$23:$Y$23,'实盘净值数据(iFinD）'!$B354:$Y354/'实盘净值数据(iFinD）'!$B$65:$Y$65)+SUMPRODUCT(分期持仓明细!$AC$23:$AD$23,'实盘净值数据(iFinD）'!$Z354:$AA354/'实盘净值数据(iFinD）'!$Z$65:$AA$65))*(1-实盘持仓初始配置!$Z$7)^(('实盘净值数据(iFinD）'!$A354-'实盘净值数据(iFinD）'!$A$8)/365))</f>
        <v/>
      </c>
      <c r="L354" s="16" t="str">
        <f t="shared" si="33"/>
        <v/>
      </c>
      <c r="M354" s="16" t="str">
        <f>IF(K354="","",K354/MAX(K$5:K354)-1)</f>
        <v/>
      </c>
      <c r="N354" s="13" t="str">
        <f>IF(OR('实盘净值数据(iFinD）'!$A354="",'实盘净值数据(iFinD）'!$B354="",'实盘净值数据(iFinD）'!$Z354="",'实盘净值数据(iFinD）'!$AA354=""),"",分期持仓明细!$AB$24*(SUMPRODUCT(分期持仓明细!$B$24:$Y$24,'实盘净值数据(iFinD）'!$B354:$Y354/'实盘净值数据(iFinD）'!$B$65:$Y$65)+SUMPRODUCT(分期持仓明细!$AC$24:$AD$24,'实盘净值数据(iFinD）'!$Z354:$AA354/'实盘净值数据(iFinD）'!$Z$65:$AA$65))*(1-实盘持仓初始配置!$Z$8)^(('实盘净值数据(iFinD）'!$A354-'实盘净值数据(iFinD）'!$A$5)/365))</f>
        <v/>
      </c>
      <c r="O354" s="16" t="str">
        <f t="shared" si="34"/>
        <v/>
      </c>
      <c r="P354" s="16" t="str">
        <f>IF(N354="","",N354/MAX(N$5:N354)-1)</f>
        <v/>
      </c>
      <c r="Q354" s="13" t="str">
        <f>IF(OR('实盘净值数据(iFinD）'!$A354="",'实盘净值数据(iFinD）'!$B354="",'实盘净值数据(iFinD）'!$Z354="",'实盘净值数据(iFinD）'!$AA354=""),"",分期持仓明细!$AB$25*(SUMPRODUCT(分期持仓明细!$B$25:$Y$25,'实盘净值数据(iFinD）'!$B354:$Y354/'实盘净值数据(iFinD）'!$B$65:$Y$65)+SUMPRODUCT(分期持仓明细!$AC$25:$AD$25,'实盘净值数据(iFinD）'!$Z354:$AA354/'实盘净值数据(iFinD）'!$Z$65:$AA$65))*(1-实盘持仓初始配置!$Z$9)^(('实盘净值数据(iFinD）'!$A354-'实盘净值数据(iFinD）'!$A$8)/365))</f>
        <v/>
      </c>
      <c r="R354" s="16" t="str">
        <f t="shared" si="35"/>
        <v/>
      </c>
      <c r="S354" s="16" t="str">
        <f>IF(Q354="","",Q354/MAX(Q$5:Q354)-1)</f>
        <v/>
      </c>
      <c r="T354" s="13">
        <f>IF(OR('实盘净值数据(iFinD）'!$A354="",'实盘净值数据(iFinD）'!$B354="",'实盘净值数据(iFinD）'!$Z354="",'实盘净值数据(iFinD）'!$AA354="",'实盘净值数据(iFinD）'!$AB354="",'实盘净值数据(iFinD）'!$AL354=""),"",(SUMPRODUCT(分期持仓明细!$B$26:$Y$26,'实盘净值数据(iFinD）'!$B354:$Y354/'实盘净值数据(iFinD）'!$B$69:$Y$69)+SUMPRODUCT(分期持仓明细!$AC$26:$AD$26,'实盘净值数据(iFinD）'!$Z354:$AA354/'实盘净值数据(iFinD）'!$Z$69:$AA$69)+SUMPRODUCT(分期持仓明细!$AE$26:$AO$26,'实盘净值数据(iFinD）'!$AB354:$AL354/'实盘净值数据(iFinD）'!$AB$69:$AL$69))*(1-实盘持仓初始配置!$Z$10)^(('实盘净值数据(iFinD）'!$A354-'实盘净值数据(iFinD）'!$A$69)/365))</f>
        <v/>
      </c>
      <c r="U354" s="16">
        <f>IF(OR(T353="",T354=""),"",T354/T353-1)</f>
        <v/>
      </c>
      <c r="V354" s="16">
        <f>IF(T354="","",T354/MAX(T$5:T354)-1)</f>
        <v/>
      </c>
    </row>
    <row r="355" spans="1:19">
      <c r="A355" s="15" t="str">
        <f>IF('实盘净值数据(iFinD）'!A355="","",'实盘净值数据(iFinD）'!A355)</f>
        <v/>
      </c>
      <c r="B355" s="13" t="str">
        <f>IF(OR('实盘净值数据(iFinD）'!$A355="",'实盘净值数据(iFinD）'!$B355=""),"",分期持仓明细!$AB$17*SUMPRODUCT(分期持仓明细!$B$17:$Y$17,'实盘净值数据(iFinD）'!$B355:$Y355/'实盘净值数据(iFinD）'!$B$20:$Y$20)*(1-实盘持仓初始配置!$Z$4)^(('实盘净值数据(iFinD）'!$A355-'实盘净值数据(iFinD）'!$A$6)/365))</f>
        <v/>
      </c>
      <c r="C355" s="16" t="str">
        <f t="shared" si="30"/>
        <v/>
      </c>
      <c r="D355" s="16" t="str">
        <f>IF(B355="","",B355/MAX(B$5:B355)-1)</f>
        <v/>
      </c>
      <c r="E355" s="13" t="str">
        <f>IF(OR('实盘净值数据(iFinD）'!$A355="",'实盘净值数据(iFinD）'!$B355=""),"",分期持仓明细!$AB$18*SUMPRODUCT(分期持仓明细!$B$18:$Y$18,'实盘净值数据(iFinD）'!$B355:$Y355/'实盘净值数据(iFinD）'!$B$20:$Y$20)*(1-实盘持仓初始配置!$Z$5)^(('实盘净值数据(iFinD）'!$A355-'实盘净值数据(iFinD）'!$A$5)/365))</f>
        <v/>
      </c>
      <c r="F355" s="16" t="str">
        <f t="shared" si="31"/>
        <v/>
      </c>
      <c r="G355" s="16" t="str">
        <f>IF(E355="","",E355/MAX(E$5:E355)-1)</f>
        <v/>
      </c>
      <c r="H355" s="13" t="str">
        <f>IF(OR('实盘净值数据(iFinD）'!$A355="",'实盘净值数据(iFinD）'!$B355=""),"",分期持仓明细!$AB$19*SUMPRODUCT(分期持仓明细!$B$19:$Y$19,'实盘净值数据(iFinD）'!$B355:$Y355/'实盘净值数据(iFinD）'!$B$20:$Y$20)*(1-实盘持仓初始配置!$Z$6)^(('实盘净值数据(iFinD）'!$A355-'实盘净值数据(iFinD）'!$A$7)/365))</f>
        <v/>
      </c>
      <c r="I355" s="16" t="str">
        <f t="shared" si="32"/>
        <v/>
      </c>
      <c r="J355" s="16" t="str">
        <f>IF(H355="","",H355/MAX(H$5:H355)-1)</f>
        <v/>
      </c>
      <c r="K355" s="13" t="str">
        <f>IF(OR('实盘净值数据(iFinD）'!$A355="",'实盘净值数据(iFinD）'!$B355="",'实盘净值数据(iFinD）'!$Z355="",'实盘净值数据(iFinD）'!$AA355=""),"",分期持仓明细!$AB$23*(SUMPRODUCT(分期持仓明细!$B$23:$Y$23,'实盘净值数据(iFinD）'!$B355:$Y355/'实盘净值数据(iFinD）'!$B$65:$Y$65)+SUMPRODUCT(分期持仓明细!$AC$23:$AD$23,'实盘净值数据(iFinD）'!$Z355:$AA355/'实盘净值数据(iFinD）'!$Z$65:$AA$65))*(1-实盘持仓初始配置!$Z$7)^(('实盘净值数据(iFinD）'!$A355-'实盘净值数据(iFinD）'!$A$8)/365))</f>
        <v/>
      </c>
      <c r="L355" s="16" t="str">
        <f t="shared" si="33"/>
        <v/>
      </c>
      <c r="M355" s="16" t="str">
        <f>IF(K355="","",K355/MAX(K$5:K355)-1)</f>
        <v/>
      </c>
      <c r="N355" s="13" t="str">
        <f>IF(OR('实盘净值数据(iFinD）'!$A355="",'实盘净值数据(iFinD）'!$B355="",'实盘净值数据(iFinD）'!$Z355="",'实盘净值数据(iFinD）'!$AA355=""),"",分期持仓明细!$AB$24*(SUMPRODUCT(分期持仓明细!$B$24:$Y$24,'实盘净值数据(iFinD）'!$B355:$Y355/'实盘净值数据(iFinD）'!$B$65:$Y$65)+SUMPRODUCT(分期持仓明细!$AC$24:$AD$24,'实盘净值数据(iFinD）'!$Z355:$AA355/'实盘净值数据(iFinD）'!$Z$65:$AA$65))*(1-实盘持仓初始配置!$Z$8)^(('实盘净值数据(iFinD）'!$A355-'实盘净值数据(iFinD）'!$A$5)/365))</f>
        <v/>
      </c>
      <c r="O355" s="16" t="str">
        <f t="shared" si="34"/>
        <v/>
      </c>
      <c r="P355" s="16" t="str">
        <f>IF(N355="","",N355/MAX(N$5:N355)-1)</f>
        <v/>
      </c>
      <c r="Q355" s="13" t="str">
        <f>IF(OR('实盘净值数据(iFinD）'!$A355="",'实盘净值数据(iFinD）'!$B355="",'实盘净值数据(iFinD）'!$Z355="",'实盘净值数据(iFinD）'!$AA355=""),"",分期持仓明细!$AB$25*(SUMPRODUCT(分期持仓明细!$B$25:$Y$25,'实盘净值数据(iFinD）'!$B355:$Y355/'实盘净值数据(iFinD）'!$B$65:$Y$65)+SUMPRODUCT(分期持仓明细!$AC$25:$AD$25,'实盘净值数据(iFinD）'!$Z355:$AA355/'实盘净值数据(iFinD）'!$Z$65:$AA$65))*(1-实盘持仓初始配置!$Z$9)^(('实盘净值数据(iFinD）'!$A355-'实盘净值数据(iFinD）'!$A$8)/365))</f>
        <v/>
      </c>
      <c r="R355" s="16" t="str">
        <f t="shared" si="35"/>
        <v/>
      </c>
      <c r="S355" s="16" t="str">
        <f>IF(Q355="","",Q355/MAX(Q$5:Q355)-1)</f>
        <v/>
      </c>
      <c r="T355" s="13">
        <f>IF(OR('实盘净值数据(iFinD）'!$A355="",'实盘净值数据(iFinD）'!$B355="",'实盘净值数据(iFinD）'!$Z355="",'实盘净值数据(iFinD）'!$AA355="",'实盘净值数据(iFinD）'!$AB355="",'实盘净值数据(iFinD）'!$AL355=""),"",(SUMPRODUCT(分期持仓明细!$B$26:$Y$26,'实盘净值数据(iFinD）'!$B355:$Y355/'实盘净值数据(iFinD）'!$B$69:$Y$69)+SUMPRODUCT(分期持仓明细!$AC$26:$AD$26,'实盘净值数据(iFinD）'!$Z355:$AA355/'实盘净值数据(iFinD）'!$Z$69:$AA$69)+SUMPRODUCT(分期持仓明细!$AE$26:$AO$26,'实盘净值数据(iFinD）'!$AB355:$AL355/'实盘净值数据(iFinD）'!$AB$69:$AL$69))*(1-实盘持仓初始配置!$Z$10)^(('实盘净值数据(iFinD）'!$A355-'实盘净值数据(iFinD）'!$A$69)/365))</f>
        <v/>
      </c>
      <c r="U355" s="16">
        <f>IF(OR(T354="",T355=""),"",T355/T354-1)</f>
        <v/>
      </c>
      <c r="V355" s="16">
        <f>IF(T355="","",T355/MAX(T$5:T355)-1)</f>
        <v/>
      </c>
    </row>
    <row r="356" spans="1:19">
      <c r="A356" s="15" t="str">
        <f>IF('实盘净值数据(iFinD）'!A356="","",'实盘净值数据(iFinD）'!A356)</f>
        <v/>
      </c>
      <c r="B356" s="13" t="str">
        <f>IF(OR('实盘净值数据(iFinD）'!$A356="",'实盘净值数据(iFinD）'!$B356=""),"",分期持仓明细!$AB$17*SUMPRODUCT(分期持仓明细!$B$17:$Y$17,'实盘净值数据(iFinD）'!$B356:$Y356/'实盘净值数据(iFinD）'!$B$20:$Y$20)*(1-实盘持仓初始配置!$Z$4)^(('实盘净值数据(iFinD）'!$A356-'实盘净值数据(iFinD）'!$A$6)/365))</f>
        <v/>
      </c>
      <c r="C356" s="16" t="str">
        <f t="shared" si="30"/>
        <v/>
      </c>
      <c r="D356" s="16" t="str">
        <f>IF(B356="","",B356/MAX(B$5:B356)-1)</f>
        <v/>
      </c>
      <c r="E356" s="13" t="str">
        <f>IF(OR('实盘净值数据(iFinD）'!$A356="",'实盘净值数据(iFinD）'!$B356=""),"",分期持仓明细!$AB$18*SUMPRODUCT(分期持仓明细!$B$18:$Y$18,'实盘净值数据(iFinD）'!$B356:$Y356/'实盘净值数据(iFinD）'!$B$20:$Y$20)*(1-实盘持仓初始配置!$Z$5)^(('实盘净值数据(iFinD）'!$A356-'实盘净值数据(iFinD）'!$A$5)/365))</f>
        <v/>
      </c>
      <c r="F356" s="16" t="str">
        <f t="shared" si="31"/>
        <v/>
      </c>
      <c r="G356" s="16" t="str">
        <f>IF(E356="","",E356/MAX(E$5:E356)-1)</f>
        <v/>
      </c>
      <c r="H356" s="13" t="str">
        <f>IF(OR('实盘净值数据(iFinD）'!$A356="",'实盘净值数据(iFinD）'!$B356=""),"",分期持仓明细!$AB$19*SUMPRODUCT(分期持仓明细!$B$19:$Y$19,'实盘净值数据(iFinD）'!$B356:$Y356/'实盘净值数据(iFinD）'!$B$20:$Y$20)*(1-实盘持仓初始配置!$Z$6)^(('实盘净值数据(iFinD）'!$A356-'实盘净值数据(iFinD）'!$A$7)/365))</f>
        <v/>
      </c>
      <c r="I356" s="16" t="str">
        <f t="shared" si="32"/>
        <v/>
      </c>
      <c r="J356" s="16" t="str">
        <f>IF(H356="","",H356/MAX(H$5:H356)-1)</f>
        <v/>
      </c>
      <c r="K356" s="13" t="str">
        <f>IF(OR('实盘净值数据(iFinD）'!$A356="",'实盘净值数据(iFinD）'!$B356="",'实盘净值数据(iFinD）'!$Z356="",'实盘净值数据(iFinD）'!$AA356=""),"",分期持仓明细!$AB$23*(SUMPRODUCT(分期持仓明细!$B$23:$Y$23,'实盘净值数据(iFinD）'!$B356:$Y356/'实盘净值数据(iFinD）'!$B$65:$Y$65)+SUMPRODUCT(分期持仓明细!$AC$23:$AD$23,'实盘净值数据(iFinD）'!$Z356:$AA356/'实盘净值数据(iFinD）'!$Z$65:$AA$65))*(1-实盘持仓初始配置!$Z$7)^(('实盘净值数据(iFinD）'!$A356-'实盘净值数据(iFinD）'!$A$8)/365))</f>
        <v/>
      </c>
      <c r="L356" s="16" t="str">
        <f t="shared" si="33"/>
        <v/>
      </c>
      <c r="M356" s="16" t="str">
        <f>IF(K356="","",K356/MAX(K$5:K356)-1)</f>
        <v/>
      </c>
      <c r="N356" s="13" t="str">
        <f>IF(OR('实盘净值数据(iFinD）'!$A356="",'实盘净值数据(iFinD）'!$B356="",'实盘净值数据(iFinD）'!$Z356="",'实盘净值数据(iFinD）'!$AA356=""),"",分期持仓明细!$AB$24*(SUMPRODUCT(分期持仓明细!$B$24:$Y$24,'实盘净值数据(iFinD）'!$B356:$Y356/'实盘净值数据(iFinD）'!$B$65:$Y$65)+SUMPRODUCT(分期持仓明细!$AC$24:$AD$24,'实盘净值数据(iFinD）'!$Z356:$AA356/'实盘净值数据(iFinD）'!$Z$65:$AA$65))*(1-实盘持仓初始配置!$Z$8)^(('实盘净值数据(iFinD）'!$A356-'实盘净值数据(iFinD）'!$A$5)/365))</f>
        <v/>
      </c>
      <c r="O356" s="16" t="str">
        <f t="shared" si="34"/>
        <v/>
      </c>
      <c r="P356" s="16" t="str">
        <f>IF(N356="","",N356/MAX(N$5:N356)-1)</f>
        <v/>
      </c>
      <c r="Q356" s="13" t="str">
        <f>IF(OR('实盘净值数据(iFinD）'!$A356="",'实盘净值数据(iFinD）'!$B356="",'实盘净值数据(iFinD）'!$Z356="",'实盘净值数据(iFinD）'!$AA356=""),"",分期持仓明细!$AB$25*(SUMPRODUCT(分期持仓明细!$B$25:$Y$25,'实盘净值数据(iFinD）'!$B356:$Y356/'实盘净值数据(iFinD）'!$B$65:$Y$65)+SUMPRODUCT(分期持仓明细!$AC$25:$AD$25,'实盘净值数据(iFinD）'!$Z356:$AA356/'实盘净值数据(iFinD）'!$Z$65:$AA$65))*(1-实盘持仓初始配置!$Z$9)^(('实盘净值数据(iFinD）'!$A356-'实盘净值数据(iFinD）'!$A$8)/365))</f>
        <v/>
      </c>
      <c r="R356" s="16" t="str">
        <f t="shared" si="35"/>
        <v/>
      </c>
      <c r="S356" s="16" t="str">
        <f>IF(Q356="","",Q356/MAX(Q$5:Q356)-1)</f>
        <v/>
      </c>
      <c r="T356" s="13">
        <f>IF(OR('实盘净值数据(iFinD）'!$A356="",'实盘净值数据(iFinD）'!$B356="",'实盘净值数据(iFinD）'!$Z356="",'实盘净值数据(iFinD）'!$AA356="",'实盘净值数据(iFinD）'!$AB356="",'实盘净值数据(iFinD）'!$AL356=""),"",(SUMPRODUCT(分期持仓明细!$B$26:$Y$26,'实盘净值数据(iFinD）'!$B356:$Y356/'实盘净值数据(iFinD）'!$B$69:$Y$69)+SUMPRODUCT(分期持仓明细!$AC$26:$AD$26,'实盘净值数据(iFinD）'!$Z356:$AA356/'实盘净值数据(iFinD）'!$Z$69:$AA$69)+SUMPRODUCT(分期持仓明细!$AE$26:$AO$26,'实盘净值数据(iFinD）'!$AB356:$AL356/'实盘净值数据(iFinD）'!$AB$69:$AL$69))*(1-实盘持仓初始配置!$Z$10)^(('实盘净值数据(iFinD）'!$A356-'实盘净值数据(iFinD）'!$A$69)/365))</f>
        <v/>
      </c>
      <c r="U356" s="16">
        <f>IF(OR(T355="",T356=""),"",T356/T355-1)</f>
        <v/>
      </c>
      <c r="V356" s="16">
        <f>IF(T356="","",T356/MAX(T$5:T356)-1)</f>
        <v/>
      </c>
    </row>
    <row r="357" spans="1:19">
      <c r="A357" s="15" t="str">
        <f>IF('实盘净值数据(iFinD）'!A357="","",'实盘净值数据(iFinD）'!A357)</f>
        <v/>
      </c>
      <c r="B357" s="13" t="str">
        <f>IF(OR('实盘净值数据(iFinD）'!$A357="",'实盘净值数据(iFinD）'!$B357=""),"",分期持仓明细!$AB$17*SUMPRODUCT(分期持仓明细!$B$17:$Y$17,'实盘净值数据(iFinD）'!$B357:$Y357/'实盘净值数据(iFinD）'!$B$20:$Y$20)*(1-实盘持仓初始配置!$Z$4)^(('实盘净值数据(iFinD）'!$A357-'实盘净值数据(iFinD）'!$A$6)/365))</f>
        <v/>
      </c>
      <c r="C357" s="16" t="str">
        <f t="shared" si="30"/>
        <v/>
      </c>
      <c r="D357" s="16" t="str">
        <f>IF(B357="","",B357/MAX(B$5:B357)-1)</f>
        <v/>
      </c>
      <c r="E357" s="13" t="str">
        <f>IF(OR('实盘净值数据(iFinD）'!$A357="",'实盘净值数据(iFinD）'!$B357=""),"",分期持仓明细!$AB$18*SUMPRODUCT(分期持仓明细!$B$18:$Y$18,'实盘净值数据(iFinD）'!$B357:$Y357/'实盘净值数据(iFinD）'!$B$20:$Y$20)*(1-实盘持仓初始配置!$Z$5)^(('实盘净值数据(iFinD）'!$A357-'实盘净值数据(iFinD）'!$A$5)/365))</f>
        <v/>
      </c>
      <c r="F357" s="16" t="str">
        <f t="shared" si="31"/>
        <v/>
      </c>
      <c r="G357" s="16" t="str">
        <f>IF(E357="","",E357/MAX(E$5:E357)-1)</f>
        <v/>
      </c>
      <c r="H357" s="13" t="str">
        <f>IF(OR('实盘净值数据(iFinD）'!$A357="",'实盘净值数据(iFinD）'!$B357=""),"",分期持仓明细!$AB$19*SUMPRODUCT(分期持仓明细!$B$19:$Y$19,'实盘净值数据(iFinD）'!$B357:$Y357/'实盘净值数据(iFinD）'!$B$20:$Y$20)*(1-实盘持仓初始配置!$Z$6)^(('实盘净值数据(iFinD）'!$A357-'实盘净值数据(iFinD）'!$A$7)/365))</f>
        <v/>
      </c>
      <c r="I357" s="16" t="str">
        <f t="shared" si="32"/>
        <v/>
      </c>
      <c r="J357" s="16" t="str">
        <f>IF(H357="","",H357/MAX(H$5:H357)-1)</f>
        <v/>
      </c>
      <c r="K357" s="13" t="str">
        <f>IF(OR('实盘净值数据(iFinD）'!$A357="",'实盘净值数据(iFinD）'!$B357="",'实盘净值数据(iFinD）'!$Z357="",'实盘净值数据(iFinD）'!$AA357=""),"",分期持仓明细!$AB$23*(SUMPRODUCT(分期持仓明细!$B$23:$Y$23,'实盘净值数据(iFinD）'!$B357:$Y357/'实盘净值数据(iFinD）'!$B$65:$Y$65)+SUMPRODUCT(分期持仓明细!$AC$23:$AD$23,'实盘净值数据(iFinD）'!$Z357:$AA357/'实盘净值数据(iFinD）'!$Z$65:$AA$65))*(1-实盘持仓初始配置!$Z$7)^(('实盘净值数据(iFinD）'!$A357-'实盘净值数据(iFinD）'!$A$8)/365))</f>
        <v/>
      </c>
      <c r="L357" s="16" t="str">
        <f t="shared" si="33"/>
        <v/>
      </c>
      <c r="M357" s="16" t="str">
        <f>IF(K357="","",K357/MAX(K$5:K357)-1)</f>
        <v/>
      </c>
      <c r="N357" s="13" t="str">
        <f>IF(OR('实盘净值数据(iFinD）'!$A357="",'实盘净值数据(iFinD）'!$B357="",'实盘净值数据(iFinD）'!$Z357="",'实盘净值数据(iFinD）'!$AA357=""),"",分期持仓明细!$AB$24*(SUMPRODUCT(分期持仓明细!$B$24:$Y$24,'实盘净值数据(iFinD）'!$B357:$Y357/'实盘净值数据(iFinD）'!$B$65:$Y$65)+SUMPRODUCT(分期持仓明细!$AC$24:$AD$24,'实盘净值数据(iFinD）'!$Z357:$AA357/'实盘净值数据(iFinD）'!$Z$65:$AA$65))*(1-实盘持仓初始配置!$Z$8)^(('实盘净值数据(iFinD）'!$A357-'实盘净值数据(iFinD）'!$A$5)/365))</f>
        <v/>
      </c>
      <c r="O357" s="16" t="str">
        <f t="shared" si="34"/>
        <v/>
      </c>
      <c r="P357" s="16" t="str">
        <f>IF(N357="","",N357/MAX(N$5:N357)-1)</f>
        <v/>
      </c>
      <c r="Q357" s="13" t="str">
        <f>IF(OR('实盘净值数据(iFinD）'!$A357="",'实盘净值数据(iFinD）'!$B357="",'实盘净值数据(iFinD）'!$Z357="",'实盘净值数据(iFinD）'!$AA357=""),"",分期持仓明细!$AB$25*(SUMPRODUCT(分期持仓明细!$B$25:$Y$25,'实盘净值数据(iFinD）'!$B357:$Y357/'实盘净值数据(iFinD）'!$B$65:$Y$65)+SUMPRODUCT(分期持仓明细!$AC$25:$AD$25,'实盘净值数据(iFinD）'!$Z357:$AA357/'实盘净值数据(iFinD）'!$Z$65:$AA$65))*(1-实盘持仓初始配置!$Z$9)^(('实盘净值数据(iFinD）'!$A357-'实盘净值数据(iFinD）'!$A$8)/365))</f>
        <v/>
      </c>
      <c r="R357" s="16" t="str">
        <f t="shared" si="35"/>
        <v/>
      </c>
      <c r="S357" s="16" t="str">
        <f>IF(Q357="","",Q357/MAX(Q$5:Q357)-1)</f>
        <v/>
      </c>
      <c r="T357" s="13">
        <f>IF(OR('实盘净值数据(iFinD）'!$A357="",'实盘净值数据(iFinD）'!$B357="",'实盘净值数据(iFinD）'!$Z357="",'实盘净值数据(iFinD）'!$AA357="",'实盘净值数据(iFinD）'!$AB357="",'实盘净值数据(iFinD）'!$AL357=""),"",(SUMPRODUCT(分期持仓明细!$B$26:$Y$26,'实盘净值数据(iFinD）'!$B357:$Y357/'实盘净值数据(iFinD）'!$B$69:$Y$69)+SUMPRODUCT(分期持仓明细!$AC$26:$AD$26,'实盘净值数据(iFinD）'!$Z357:$AA357/'实盘净值数据(iFinD）'!$Z$69:$AA$69)+SUMPRODUCT(分期持仓明细!$AE$26:$AO$26,'实盘净值数据(iFinD）'!$AB357:$AL357/'实盘净值数据(iFinD）'!$AB$69:$AL$69))*(1-实盘持仓初始配置!$Z$10)^(('实盘净值数据(iFinD）'!$A357-'实盘净值数据(iFinD）'!$A$69)/365))</f>
        <v/>
      </c>
      <c r="U357" s="16">
        <f>IF(OR(T356="",T357=""),"",T357/T356-1)</f>
        <v/>
      </c>
      <c r="V357" s="16">
        <f>IF(T357="","",T357/MAX(T$5:T357)-1)</f>
        <v/>
      </c>
    </row>
    <row r="358" spans="1:19">
      <c r="A358" s="15" t="str">
        <f>IF('实盘净值数据(iFinD）'!A358="","",'实盘净值数据(iFinD）'!A358)</f>
        <v/>
      </c>
      <c r="B358" s="13" t="str">
        <f>IF(OR('实盘净值数据(iFinD）'!$A358="",'实盘净值数据(iFinD）'!$B358=""),"",分期持仓明细!$AB$17*SUMPRODUCT(分期持仓明细!$B$17:$Y$17,'实盘净值数据(iFinD）'!$B358:$Y358/'实盘净值数据(iFinD）'!$B$20:$Y$20)*(1-实盘持仓初始配置!$Z$4)^(('实盘净值数据(iFinD）'!$A358-'实盘净值数据(iFinD）'!$A$6)/365))</f>
        <v/>
      </c>
      <c r="C358" s="16" t="str">
        <f t="shared" si="30"/>
        <v/>
      </c>
      <c r="D358" s="16" t="str">
        <f>IF(B358="","",B358/MAX(B$5:B358)-1)</f>
        <v/>
      </c>
      <c r="E358" s="13" t="str">
        <f>IF(OR('实盘净值数据(iFinD）'!$A358="",'实盘净值数据(iFinD）'!$B358=""),"",分期持仓明细!$AB$18*SUMPRODUCT(分期持仓明细!$B$18:$Y$18,'实盘净值数据(iFinD）'!$B358:$Y358/'实盘净值数据(iFinD）'!$B$20:$Y$20)*(1-实盘持仓初始配置!$Z$5)^(('实盘净值数据(iFinD）'!$A358-'实盘净值数据(iFinD）'!$A$5)/365))</f>
        <v/>
      </c>
      <c r="F358" s="16" t="str">
        <f t="shared" si="31"/>
        <v/>
      </c>
      <c r="G358" s="16" t="str">
        <f>IF(E358="","",E358/MAX(E$5:E358)-1)</f>
        <v/>
      </c>
      <c r="H358" s="13" t="str">
        <f>IF(OR('实盘净值数据(iFinD）'!$A358="",'实盘净值数据(iFinD）'!$B358=""),"",分期持仓明细!$AB$19*SUMPRODUCT(分期持仓明细!$B$19:$Y$19,'实盘净值数据(iFinD）'!$B358:$Y358/'实盘净值数据(iFinD）'!$B$20:$Y$20)*(1-实盘持仓初始配置!$Z$6)^(('实盘净值数据(iFinD）'!$A358-'实盘净值数据(iFinD）'!$A$7)/365))</f>
        <v/>
      </c>
      <c r="I358" s="16" t="str">
        <f t="shared" si="32"/>
        <v/>
      </c>
      <c r="J358" s="16" t="str">
        <f>IF(H358="","",H358/MAX(H$5:H358)-1)</f>
        <v/>
      </c>
      <c r="K358" s="13" t="str">
        <f>IF(OR('实盘净值数据(iFinD）'!$A358="",'实盘净值数据(iFinD）'!$B358="",'实盘净值数据(iFinD）'!$Z358="",'实盘净值数据(iFinD）'!$AA358=""),"",分期持仓明细!$AB$23*(SUMPRODUCT(分期持仓明细!$B$23:$Y$23,'实盘净值数据(iFinD）'!$B358:$Y358/'实盘净值数据(iFinD）'!$B$65:$Y$65)+SUMPRODUCT(分期持仓明细!$AC$23:$AD$23,'实盘净值数据(iFinD）'!$Z358:$AA358/'实盘净值数据(iFinD）'!$Z$65:$AA$65))*(1-实盘持仓初始配置!$Z$7)^(('实盘净值数据(iFinD）'!$A358-'实盘净值数据(iFinD）'!$A$8)/365))</f>
        <v/>
      </c>
      <c r="L358" s="16" t="str">
        <f t="shared" si="33"/>
        <v/>
      </c>
      <c r="M358" s="16" t="str">
        <f>IF(K358="","",K358/MAX(K$5:K358)-1)</f>
        <v/>
      </c>
      <c r="N358" s="13" t="str">
        <f>IF(OR('实盘净值数据(iFinD）'!$A358="",'实盘净值数据(iFinD）'!$B358="",'实盘净值数据(iFinD）'!$Z358="",'实盘净值数据(iFinD）'!$AA358=""),"",分期持仓明细!$AB$24*(SUMPRODUCT(分期持仓明细!$B$24:$Y$24,'实盘净值数据(iFinD）'!$B358:$Y358/'实盘净值数据(iFinD）'!$B$65:$Y$65)+SUMPRODUCT(分期持仓明细!$AC$24:$AD$24,'实盘净值数据(iFinD）'!$Z358:$AA358/'实盘净值数据(iFinD）'!$Z$65:$AA$65))*(1-实盘持仓初始配置!$Z$8)^(('实盘净值数据(iFinD）'!$A358-'实盘净值数据(iFinD）'!$A$5)/365))</f>
        <v/>
      </c>
      <c r="O358" s="16" t="str">
        <f t="shared" si="34"/>
        <v/>
      </c>
      <c r="P358" s="16" t="str">
        <f>IF(N358="","",N358/MAX(N$5:N358)-1)</f>
        <v/>
      </c>
      <c r="Q358" s="13" t="str">
        <f>IF(OR('实盘净值数据(iFinD）'!$A358="",'实盘净值数据(iFinD）'!$B358="",'实盘净值数据(iFinD）'!$Z358="",'实盘净值数据(iFinD）'!$AA358=""),"",分期持仓明细!$AB$25*(SUMPRODUCT(分期持仓明细!$B$25:$Y$25,'实盘净值数据(iFinD）'!$B358:$Y358/'实盘净值数据(iFinD）'!$B$65:$Y$65)+SUMPRODUCT(分期持仓明细!$AC$25:$AD$25,'实盘净值数据(iFinD）'!$Z358:$AA358/'实盘净值数据(iFinD）'!$Z$65:$AA$65))*(1-实盘持仓初始配置!$Z$9)^(('实盘净值数据(iFinD）'!$A358-'实盘净值数据(iFinD）'!$A$8)/365))</f>
        <v/>
      </c>
      <c r="R358" s="16" t="str">
        <f t="shared" si="35"/>
        <v/>
      </c>
      <c r="S358" s="16" t="str">
        <f>IF(Q358="","",Q358/MAX(Q$5:Q358)-1)</f>
        <v/>
      </c>
      <c r="T358" s="13">
        <f>IF(OR('实盘净值数据(iFinD）'!$A358="",'实盘净值数据(iFinD）'!$B358="",'实盘净值数据(iFinD）'!$Z358="",'实盘净值数据(iFinD）'!$AA358="",'实盘净值数据(iFinD）'!$AB358="",'实盘净值数据(iFinD）'!$AL358=""),"",(SUMPRODUCT(分期持仓明细!$B$26:$Y$26,'实盘净值数据(iFinD）'!$B358:$Y358/'实盘净值数据(iFinD）'!$B$69:$Y$69)+SUMPRODUCT(分期持仓明细!$AC$26:$AD$26,'实盘净值数据(iFinD）'!$Z358:$AA358/'实盘净值数据(iFinD）'!$Z$69:$AA$69)+SUMPRODUCT(分期持仓明细!$AE$26:$AO$26,'实盘净值数据(iFinD）'!$AB358:$AL358/'实盘净值数据(iFinD）'!$AB$69:$AL$69))*(1-实盘持仓初始配置!$Z$10)^(('实盘净值数据(iFinD）'!$A358-'实盘净值数据(iFinD）'!$A$69)/365))</f>
        <v/>
      </c>
      <c r="U358" s="16">
        <f>IF(OR(T357="",T358=""),"",T358/T357-1)</f>
        <v/>
      </c>
      <c r="V358" s="16">
        <f>IF(T358="","",T358/MAX(T$5:T358)-1)</f>
        <v/>
      </c>
    </row>
    <row r="359" spans="1:19">
      <c r="A359" s="15" t="str">
        <f>IF('实盘净值数据(iFinD）'!A359="","",'实盘净值数据(iFinD）'!A359)</f>
        <v/>
      </c>
      <c r="B359" s="13" t="str">
        <f>IF(OR('实盘净值数据(iFinD）'!$A359="",'实盘净值数据(iFinD）'!$B359=""),"",分期持仓明细!$AB$17*SUMPRODUCT(分期持仓明细!$B$17:$Y$17,'实盘净值数据(iFinD）'!$B359:$Y359/'实盘净值数据(iFinD）'!$B$20:$Y$20)*(1-实盘持仓初始配置!$Z$4)^(('实盘净值数据(iFinD）'!$A359-'实盘净值数据(iFinD）'!$A$6)/365))</f>
        <v/>
      </c>
      <c r="C359" s="16" t="str">
        <f t="shared" si="30"/>
        <v/>
      </c>
      <c r="D359" s="16" t="str">
        <f>IF(B359="","",B359/MAX(B$5:B359)-1)</f>
        <v/>
      </c>
      <c r="E359" s="13" t="str">
        <f>IF(OR('实盘净值数据(iFinD）'!$A359="",'实盘净值数据(iFinD）'!$B359=""),"",分期持仓明细!$AB$18*SUMPRODUCT(分期持仓明细!$B$18:$Y$18,'实盘净值数据(iFinD）'!$B359:$Y359/'实盘净值数据(iFinD）'!$B$20:$Y$20)*(1-实盘持仓初始配置!$Z$5)^(('实盘净值数据(iFinD）'!$A359-'实盘净值数据(iFinD）'!$A$5)/365))</f>
        <v/>
      </c>
      <c r="F359" s="16" t="str">
        <f t="shared" si="31"/>
        <v/>
      </c>
      <c r="G359" s="16" t="str">
        <f>IF(E359="","",E359/MAX(E$5:E359)-1)</f>
        <v/>
      </c>
      <c r="H359" s="13" t="str">
        <f>IF(OR('实盘净值数据(iFinD）'!$A359="",'实盘净值数据(iFinD）'!$B359=""),"",分期持仓明细!$AB$19*SUMPRODUCT(分期持仓明细!$B$19:$Y$19,'实盘净值数据(iFinD）'!$B359:$Y359/'实盘净值数据(iFinD）'!$B$20:$Y$20)*(1-实盘持仓初始配置!$Z$6)^(('实盘净值数据(iFinD）'!$A359-'实盘净值数据(iFinD）'!$A$7)/365))</f>
        <v/>
      </c>
      <c r="I359" s="16" t="str">
        <f t="shared" si="32"/>
        <v/>
      </c>
      <c r="J359" s="16" t="str">
        <f>IF(H359="","",H359/MAX(H$5:H359)-1)</f>
        <v/>
      </c>
      <c r="K359" s="13" t="str">
        <f>IF(OR('实盘净值数据(iFinD）'!$A359="",'实盘净值数据(iFinD）'!$B359="",'实盘净值数据(iFinD）'!$Z359="",'实盘净值数据(iFinD）'!$AA359=""),"",分期持仓明细!$AB$23*(SUMPRODUCT(分期持仓明细!$B$23:$Y$23,'实盘净值数据(iFinD）'!$B359:$Y359/'实盘净值数据(iFinD）'!$B$65:$Y$65)+SUMPRODUCT(分期持仓明细!$AC$23:$AD$23,'实盘净值数据(iFinD）'!$Z359:$AA359/'实盘净值数据(iFinD）'!$Z$65:$AA$65))*(1-实盘持仓初始配置!$Z$7)^(('实盘净值数据(iFinD）'!$A359-'实盘净值数据(iFinD）'!$A$8)/365))</f>
        <v/>
      </c>
      <c r="L359" s="16" t="str">
        <f t="shared" si="33"/>
        <v/>
      </c>
      <c r="M359" s="16" t="str">
        <f>IF(K359="","",K359/MAX(K$5:K359)-1)</f>
        <v/>
      </c>
      <c r="N359" s="13" t="str">
        <f>IF(OR('实盘净值数据(iFinD）'!$A359="",'实盘净值数据(iFinD）'!$B359="",'实盘净值数据(iFinD）'!$Z359="",'实盘净值数据(iFinD）'!$AA359=""),"",分期持仓明细!$AB$24*(SUMPRODUCT(分期持仓明细!$B$24:$Y$24,'实盘净值数据(iFinD）'!$B359:$Y359/'实盘净值数据(iFinD）'!$B$65:$Y$65)+SUMPRODUCT(分期持仓明细!$AC$24:$AD$24,'实盘净值数据(iFinD）'!$Z359:$AA359/'实盘净值数据(iFinD）'!$Z$65:$AA$65))*(1-实盘持仓初始配置!$Z$8)^(('实盘净值数据(iFinD）'!$A359-'实盘净值数据(iFinD）'!$A$5)/365))</f>
        <v/>
      </c>
      <c r="O359" s="16" t="str">
        <f t="shared" si="34"/>
        <v/>
      </c>
      <c r="P359" s="16" t="str">
        <f>IF(N359="","",N359/MAX(N$5:N359)-1)</f>
        <v/>
      </c>
      <c r="Q359" s="13" t="str">
        <f>IF(OR('实盘净值数据(iFinD）'!$A359="",'实盘净值数据(iFinD）'!$B359="",'实盘净值数据(iFinD）'!$Z359="",'实盘净值数据(iFinD）'!$AA359=""),"",分期持仓明细!$AB$25*(SUMPRODUCT(分期持仓明细!$B$25:$Y$25,'实盘净值数据(iFinD）'!$B359:$Y359/'实盘净值数据(iFinD）'!$B$65:$Y$65)+SUMPRODUCT(分期持仓明细!$AC$25:$AD$25,'实盘净值数据(iFinD）'!$Z359:$AA359/'实盘净值数据(iFinD）'!$Z$65:$AA$65))*(1-实盘持仓初始配置!$Z$9)^(('实盘净值数据(iFinD）'!$A359-'实盘净值数据(iFinD）'!$A$8)/365))</f>
        <v/>
      </c>
      <c r="R359" s="16" t="str">
        <f t="shared" si="35"/>
        <v/>
      </c>
      <c r="S359" s="16" t="str">
        <f>IF(Q359="","",Q359/MAX(Q$5:Q359)-1)</f>
        <v/>
      </c>
      <c r="T359" s="13">
        <f>IF(OR('实盘净值数据(iFinD）'!$A359="",'实盘净值数据(iFinD）'!$B359="",'实盘净值数据(iFinD）'!$Z359="",'实盘净值数据(iFinD）'!$AA359="",'实盘净值数据(iFinD）'!$AB359="",'实盘净值数据(iFinD）'!$AL359=""),"",(SUMPRODUCT(分期持仓明细!$B$26:$Y$26,'实盘净值数据(iFinD）'!$B359:$Y359/'实盘净值数据(iFinD）'!$B$69:$Y$69)+SUMPRODUCT(分期持仓明细!$AC$26:$AD$26,'实盘净值数据(iFinD）'!$Z359:$AA359/'实盘净值数据(iFinD）'!$Z$69:$AA$69)+SUMPRODUCT(分期持仓明细!$AE$26:$AO$26,'实盘净值数据(iFinD）'!$AB359:$AL359/'实盘净值数据(iFinD）'!$AB$69:$AL$69))*(1-实盘持仓初始配置!$Z$10)^(('实盘净值数据(iFinD）'!$A359-'实盘净值数据(iFinD）'!$A$69)/365))</f>
        <v/>
      </c>
      <c r="U359" s="16">
        <f>IF(OR(T358="",T359=""),"",T359/T358-1)</f>
        <v/>
      </c>
      <c r="V359" s="16">
        <f>IF(T359="","",T359/MAX(T$5:T359)-1)</f>
        <v/>
      </c>
    </row>
    <row r="360" spans="1:19">
      <c r="A360" s="15" t="str">
        <f>IF('实盘净值数据(iFinD）'!A360="","",'实盘净值数据(iFinD）'!A360)</f>
        <v/>
      </c>
      <c r="B360" s="13" t="str">
        <f>IF(OR('实盘净值数据(iFinD）'!$A360="",'实盘净值数据(iFinD）'!$B360=""),"",分期持仓明细!$AB$17*SUMPRODUCT(分期持仓明细!$B$17:$Y$17,'实盘净值数据(iFinD）'!$B360:$Y360/'实盘净值数据(iFinD）'!$B$20:$Y$20)*(1-实盘持仓初始配置!$Z$4)^(('实盘净值数据(iFinD）'!$A360-'实盘净值数据(iFinD）'!$A$6)/365))</f>
        <v/>
      </c>
      <c r="C360" s="16" t="str">
        <f t="shared" si="30"/>
        <v/>
      </c>
      <c r="D360" s="16" t="str">
        <f>IF(B360="","",B360/MAX(B$5:B360)-1)</f>
        <v/>
      </c>
      <c r="E360" s="13" t="str">
        <f>IF(OR('实盘净值数据(iFinD）'!$A360="",'实盘净值数据(iFinD）'!$B360=""),"",分期持仓明细!$AB$18*SUMPRODUCT(分期持仓明细!$B$18:$Y$18,'实盘净值数据(iFinD）'!$B360:$Y360/'实盘净值数据(iFinD）'!$B$20:$Y$20)*(1-实盘持仓初始配置!$Z$5)^(('实盘净值数据(iFinD）'!$A360-'实盘净值数据(iFinD）'!$A$5)/365))</f>
        <v/>
      </c>
      <c r="F360" s="16" t="str">
        <f t="shared" si="31"/>
        <v/>
      </c>
      <c r="G360" s="16" t="str">
        <f>IF(E360="","",E360/MAX(E$5:E360)-1)</f>
        <v/>
      </c>
      <c r="H360" s="13" t="str">
        <f>IF(OR('实盘净值数据(iFinD）'!$A360="",'实盘净值数据(iFinD）'!$B360=""),"",分期持仓明细!$AB$19*SUMPRODUCT(分期持仓明细!$B$19:$Y$19,'实盘净值数据(iFinD）'!$B360:$Y360/'实盘净值数据(iFinD）'!$B$20:$Y$20)*(1-实盘持仓初始配置!$Z$6)^(('实盘净值数据(iFinD）'!$A360-'实盘净值数据(iFinD）'!$A$7)/365))</f>
        <v/>
      </c>
      <c r="I360" s="16" t="str">
        <f t="shared" si="32"/>
        <v/>
      </c>
      <c r="J360" s="16" t="str">
        <f>IF(H360="","",H360/MAX(H$5:H360)-1)</f>
        <v/>
      </c>
      <c r="K360" s="13" t="str">
        <f>IF(OR('实盘净值数据(iFinD）'!$A360="",'实盘净值数据(iFinD）'!$B360="",'实盘净值数据(iFinD）'!$Z360="",'实盘净值数据(iFinD）'!$AA360=""),"",分期持仓明细!$AB$23*(SUMPRODUCT(分期持仓明细!$B$23:$Y$23,'实盘净值数据(iFinD）'!$B360:$Y360/'实盘净值数据(iFinD）'!$B$65:$Y$65)+SUMPRODUCT(分期持仓明细!$AC$23:$AD$23,'实盘净值数据(iFinD）'!$Z360:$AA360/'实盘净值数据(iFinD）'!$Z$65:$AA$65))*(1-实盘持仓初始配置!$Z$7)^(('实盘净值数据(iFinD）'!$A360-'实盘净值数据(iFinD）'!$A$8)/365))</f>
        <v/>
      </c>
      <c r="L360" s="16" t="str">
        <f t="shared" si="33"/>
        <v/>
      </c>
      <c r="M360" s="16" t="str">
        <f>IF(K360="","",K360/MAX(K$5:K360)-1)</f>
        <v/>
      </c>
      <c r="N360" s="13" t="str">
        <f>IF(OR('实盘净值数据(iFinD）'!$A360="",'实盘净值数据(iFinD）'!$B360="",'实盘净值数据(iFinD）'!$Z360="",'实盘净值数据(iFinD）'!$AA360=""),"",分期持仓明细!$AB$24*(SUMPRODUCT(分期持仓明细!$B$24:$Y$24,'实盘净值数据(iFinD）'!$B360:$Y360/'实盘净值数据(iFinD）'!$B$65:$Y$65)+SUMPRODUCT(分期持仓明细!$AC$24:$AD$24,'实盘净值数据(iFinD）'!$Z360:$AA360/'实盘净值数据(iFinD）'!$Z$65:$AA$65))*(1-实盘持仓初始配置!$Z$8)^(('实盘净值数据(iFinD）'!$A360-'实盘净值数据(iFinD）'!$A$5)/365))</f>
        <v/>
      </c>
      <c r="O360" s="16" t="str">
        <f t="shared" si="34"/>
        <v/>
      </c>
      <c r="P360" s="16" t="str">
        <f>IF(N360="","",N360/MAX(N$5:N360)-1)</f>
        <v/>
      </c>
      <c r="Q360" s="13" t="str">
        <f>IF(OR('实盘净值数据(iFinD）'!$A360="",'实盘净值数据(iFinD）'!$B360="",'实盘净值数据(iFinD）'!$Z360="",'实盘净值数据(iFinD）'!$AA360=""),"",分期持仓明细!$AB$25*(SUMPRODUCT(分期持仓明细!$B$25:$Y$25,'实盘净值数据(iFinD）'!$B360:$Y360/'实盘净值数据(iFinD）'!$B$65:$Y$65)+SUMPRODUCT(分期持仓明细!$AC$25:$AD$25,'实盘净值数据(iFinD）'!$Z360:$AA360/'实盘净值数据(iFinD）'!$Z$65:$AA$65))*(1-实盘持仓初始配置!$Z$9)^(('实盘净值数据(iFinD）'!$A360-'实盘净值数据(iFinD）'!$A$8)/365))</f>
        <v/>
      </c>
      <c r="R360" s="16" t="str">
        <f t="shared" si="35"/>
        <v/>
      </c>
      <c r="S360" s="16" t="str">
        <f>IF(Q360="","",Q360/MAX(Q$5:Q360)-1)</f>
        <v/>
      </c>
      <c r="T360" s="13">
        <f>IF(OR('实盘净值数据(iFinD）'!$A360="",'实盘净值数据(iFinD）'!$B360="",'实盘净值数据(iFinD）'!$Z360="",'实盘净值数据(iFinD）'!$AA360="",'实盘净值数据(iFinD）'!$AB360="",'实盘净值数据(iFinD）'!$AL360=""),"",(SUMPRODUCT(分期持仓明细!$B$26:$Y$26,'实盘净值数据(iFinD）'!$B360:$Y360/'实盘净值数据(iFinD）'!$B$69:$Y$69)+SUMPRODUCT(分期持仓明细!$AC$26:$AD$26,'实盘净值数据(iFinD）'!$Z360:$AA360/'实盘净值数据(iFinD）'!$Z$69:$AA$69)+SUMPRODUCT(分期持仓明细!$AE$26:$AO$26,'实盘净值数据(iFinD）'!$AB360:$AL360/'实盘净值数据(iFinD）'!$AB$69:$AL$69))*(1-实盘持仓初始配置!$Z$10)^(('实盘净值数据(iFinD）'!$A360-'实盘净值数据(iFinD）'!$A$69)/365))</f>
        <v/>
      </c>
      <c r="U360" s="16">
        <f>IF(OR(T359="",T360=""),"",T360/T359-1)</f>
        <v/>
      </c>
      <c r="V360" s="16">
        <f>IF(T360="","",T360/MAX(T$5:T360)-1)</f>
        <v/>
      </c>
    </row>
    <row r="361" spans="1:19">
      <c r="A361" s="15" t="str">
        <f>IF('实盘净值数据(iFinD）'!A361="","",'实盘净值数据(iFinD）'!A361)</f>
        <v/>
      </c>
      <c r="B361" s="13" t="str">
        <f>IF(OR('实盘净值数据(iFinD）'!$A361="",'实盘净值数据(iFinD）'!$B361=""),"",分期持仓明细!$AB$17*SUMPRODUCT(分期持仓明细!$B$17:$Y$17,'实盘净值数据(iFinD）'!$B361:$Y361/'实盘净值数据(iFinD）'!$B$20:$Y$20)*(1-实盘持仓初始配置!$Z$4)^(('实盘净值数据(iFinD）'!$A361-'实盘净值数据(iFinD）'!$A$6)/365))</f>
        <v/>
      </c>
      <c r="C361" s="16" t="str">
        <f t="shared" si="30"/>
        <v/>
      </c>
      <c r="D361" s="16" t="str">
        <f>IF(B361="","",B361/MAX(B$5:B361)-1)</f>
        <v/>
      </c>
      <c r="E361" s="13" t="str">
        <f>IF(OR('实盘净值数据(iFinD）'!$A361="",'实盘净值数据(iFinD）'!$B361=""),"",分期持仓明细!$AB$18*SUMPRODUCT(分期持仓明细!$B$18:$Y$18,'实盘净值数据(iFinD）'!$B361:$Y361/'实盘净值数据(iFinD）'!$B$20:$Y$20)*(1-实盘持仓初始配置!$Z$5)^(('实盘净值数据(iFinD）'!$A361-'实盘净值数据(iFinD）'!$A$5)/365))</f>
        <v/>
      </c>
      <c r="F361" s="16" t="str">
        <f t="shared" si="31"/>
        <v/>
      </c>
      <c r="G361" s="16" t="str">
        <f>IF(E361="","",E361/MAX(E$5:E361)-1)</f>
        <v/>
      </c>
      <c r="H361" s="13" t="str">
        <f>IF(OR('实盘净值数据(iFinD）'!$A361="",'实盘净值数据(iFinD）'!$B361=""),"",分期持仓明细!$AB$19*SUMPRODUCT(分期持仓明细!$B$19:$Y$19,'实盘净值数据(iFinD）'!$B361:$Y361/'实盘净值数据(iFinD）'!$B$20:$Y$20)*(1-实盘持仓初始配置!$Z$6)^(('实盘净值数据(iFinD）'!$A361-'实盘净值数据(iFinD）'!$A$7)/365))</f>
        <v/>
      </c>
      <c r="I361" s="16" t="str">
        <f t="shared" si="32"/>
        <v/>
      </c>
      <c r="J361" s="16" t="str">
        <f>IF(H361="","",H361/MAX(H$5:H361)-1)</f>
        <v/>
      </c>
      <c r="K361" s="13" t="str">
        <f>IF(OR('实盘净值数据(iFinD）'!$A361="",'实盘净值数据(iFinD）'!$B361="",'实盘净值数据(iFinD）'!$Z361="",'实盘净值数据(iFinD）'!$AA361=""),"",分期持仓明细!$AB$23*(SUMPRODUCT(分期持仓明细!$B$23:$Y$23,'实盘净值数据(iFinD）'!$B361:$Y361/'实盘净值数据(iFinD）'!$B$65:$Y$65)+SUMPRODUCT(分期持仓明细!$AC$23:$AD$23,'实盘净值数据(iFinD）'!$Z361:$AA361/'实盘净值数据(iFinD）'!$Z$65:$AA$65))*(1-实盘持仓初始配置!$Z$7)^(('实盘净值数据(iFinD）'!$A361-'实盘净值数据(iFinD）'!$A$8)/365))</f>
        <v/>
      </c>
      <c r="L361" s="16" t="str">
        <f t="shared" si="33"/>
        <v/>
      </c>
      <c r="M361" s="16" t="str">
        <f>IF(K361="","",K361/MAX(K$5:K361)-1)</f>
        <v/>
      </c>
      <c r="N361" s="13" t="str">
        <f>IF(OR('实盘净值数据(iFinD）'!$A361="",'实盘净值数据(iFinD）'!$B361="",'实盘净值数据(iFinD）'!$Z361="",'实盘净值数据(iFinD）'!$AA361=""),"",分期持仓明细!$AB$24*(SUMPRODUCT(分期持仓明细!$B$24:$Y$24,'实盘净值数据(iFinD）'!$B361:$Y361/'实盘净值数据(iFinD）'!$B$65:$Y$65)+SUMPRODUCT(分期持仓明细!$AC$24:$AD$24,'实盘净值数据(iFinD）'!$Z361:$AA361/'实盘净值数据(iFinD）'!$Z$65:$AA$65))*(1-实盘持仓初始配置!$Z$8)^(('实盘净值数据(iFinD）'!$A361-'实盘净值数据(iFinD）'!$A$5)/365))</f>
        <v/>
      </c>
      <c r="O361" s="16" t="str">
        <f t="shared" si="34"/>
        <v/>
      </c>
      <c r="P361" s="16" t="str">
        <f>IF(N361="","",N361/MAX(N$5:N361)-1)</f>
        <v/>
      </c>
      <c r="Q361" s="13" t="str">
        <f>IF(OR('实盘净值数据(iFinD）'!$A361="",'实盘净值数据(iFinD）'!$B361="",'实盘净值数据(iFinD）'!$Z361="",'实盘净值数据(iFinD）'!$AA361=""),"",分期持仓明细!$AB$25*(SUMPRODUCT(分期持仓明细!$B$25:$Y$25,'实盘净值数据(iFinD）'!$B361:$Y361/'实盘净值数据(iFinD）'!$B$65:$Y$65)+SUMPRODUCT(分期持仓明细!$AC$25:$AD$25,'实盘净值数据(iFinD）'!$Z361:$AA361/'实盘净值数据(iFinD）'!$Z$65:$AA$65))*(1-实盘持仓初始配置!$Z$9)^(('实盘净值数据(iFinD）'!$A361-'实盘净值数据(iFinD）'!$A$8)/365))</f>
        <v/>
      </c>
      <c r="R361" s="16" t="str">
        <f t="shared" si="35"/>
        <v/>
      </c>
      <c r="S361" s="16" t="str">
        <f>IF(Q361="","",Q361/MAX(Q$5:Q361)-1)</f>
        <v/>
      </c>
      <c r="T361" s="13">
        <f>IF(OR('实盘净值数据(iFinD）'!$A361="",'实盘净值数据(iFinD）'!$B361="",'实盘净值数据(iFinD）'!$Z361="",'实盘净值数据(iFinD）'!$AA361="",'实盘净值数据(iFinD）'!$AB361="",'实盘净值数据(iFinD）'!$AL361=""),"",(SUMPRODUCT(分期持仓明细!$B$26:$Y$26,'实盘净值数据(iFinD）'!$B361:$Y361/'实盘净值数据(iFinD）'!$B$69:$Y$69)+SUMPRODUCT(分期持仓明细!$AC$26:$AD$26,'实盘净值数据(iFinD）'!$Z361:$AA361/'实盘净值数据(iFinD）'!$Z$69:$AA$69)+SUMPRODUCT(分期持仓明细!$AE$26:$AO$26,'实盘净值数据(iFinD）'!$AB361:$AL361/'实盘净值数据(iFinD）'!$AB$69:$AL$69))*(1-实盘持仓初始配置!$Z$10)^(('实盘净值数据(iFinD）'!$A361-'实盘净值数据(iFinD）'!$A$69)/365))</f>
        <v/>
      </c>
      <c r="U361" s="16">
        <f>IF(OR(T360="",T361=""),"",T361/T360-1)</f>
        <v/>
      </c>
      <c r="V361" s="16">
        <f>IF(T361="","",T361/MAX(T$5:T361)-1)</f>
        <v/>
      </c>
    </row>
    <row r="362" spans="1:19">
      <c r="A362" s="15" t="str">
        <f>IF('实盘净值数据(iFinD）'!A362="","",'实盘净值数据(iFinD）'!A362)</f>
        <v/>
      </c>
      <c r="B362" s="13" t="str">
        <f>IF(OR('实盘净值数据(iFinD）'!$A362="",'实盘净值数据(iFinD）'!$B362=""),"",分期持仓明细!$AB$17*SUMPRODUCT(分期持仓明细!$B$17:$Y$17,'实盘净值数据(iFinD）'!$B362:$Y362/'实盘净值数据(iFinD）'!$B$20:$Y$20)*(1-实盘持仓初始配置!$Z$4)^(('实盘净值数据(iFinD）'!$A362-'实盘净值数据(iFinD）'!$A$6)/365))</f>
        <v/>
      </c>
      <c r="C362" s="16" t="str">
        <f t="shared" si="30"/>
        <v/>
      </c>
      <c r="D362" s="16" t="str">
        <f>IF(B362="","",B362/MAX(B$5:B362)-1)</f>
        <v/>
      </c>
      <c r="E362" s="13" t="str">
        <f>IF(OR('实盘净值数据(iFinD）'!$A362="",'实盘净值数据(iFinD）'!$B362=""),"",分期持仓明细!$AB$18*SUMPRODUCT(分期持仓明细!$B$18:$Y$18,'实盘净值数据(iFinD）'!$B362:$Y362/'实盘净值数据(iFinD）'!$B$20:$Y$20)*(1-实盘持仓初始配置!$Z$5)^(('实盘净值数据(iFinD）'!$A362-'实盘净值数据(iFinD）'!$A$5)/365))</f>
        <v/>
      </c>
      <c r="F362" s="16" t="str">
        <f t="shared" si="31"/>
        <v/>
      </c>
      <c r="G362" s="16" t="str">
        <f>IF(E362="","",E362/MAX(E$5:E362)-1)</f>
        <v/>
      </c>
      <c r="H362" s="13" t="str">
        <f>IF(OR('实盘净值数据(iFinD）'!$A362="",'实盘净值数据(iFinD）'!$B362=""),"",分期持仓明细!$AB$19*SUMPRODUCT(分期持仓明细!$B$19:$Y$19,'实盘净值数据(iFinD）'!$B362:$Y362/'实盘净值数据(iFinD）'!$B$20:$Y$20)*(1-实盘持仓初始配置!$Z$6)^(('实盘净值数据(iFinD）'!$A362-'实盘净值数据(iFinD）'!$A$7)/365))</f>
        <v/>
      </c>
      <c r="I362" s="16" t="str">
        <f t="shared" si="32"/>
        <v/>
      </c>
      <c r="J362" s="16" t="str">
        <f>IF(H362="","",H362/MAX(H$5:H362)-1)</f>
        <v/>
      </c>
      <c r="K362" s="13" t="str">
        <f>IF(OR('实盘净值数据(iFinD）'!$A362="",'实盘净值数据(iFinD）'!$B362="",'实盘净值数据(iFinD）'!$Z362="",'实盘净值数据(iFinD）'!$AA362=""),"",分期持仓明细!$AB$23*(SUMPRODUCT(分期持仓明细!$B$23:$Y$23,'实盘净值数据(iFinD）'!$B362:$Y362/'实盘净值数据(iFinD）'!$B$65:$Y$65)+SUMPRODUCT(分期持仓明细!$AC$23:$AD$23,'实盘净值数据(iFinD）'!$Z362:$AA362/'实盘净值数据(iFinD）'!$Z$65:$AA$65))*(1-实盘持仓初始配置!$Z$7)^(('实盘净值数据(iFinD）'!$A362-'实盘净值数据(iFinD）'!$A$8)/365))</f>
        <v/>
      </c>
      <c r="L362" s="16" t="str">
        <f t="shared" si="33"/>
        <v/>
      </c>
      <c r="M362" s="16" t="str">
        <f>IF(K362="","",K362/MAX(K$5:K362)-1)</f>
        <v/>
      </c>
      <c r="N362" s="13" t="str">
        <f>IF(OR('实盘净值数据(iFinD）'!$A362="",'实盘净值数据(iFinD）'!$B362="",'实盘净值数据(iFinD）'!$Z362="",'实盘净值数据(iFinD）'!$AA362=""),"",分期持仓明细!$AB$24*(SUMPRODUCT(分期持仓明细!$B$24:$Y$24,'实盘净值数据(iFinD）'!$B362:$Y362/'实盘净值数据(iFinD）'!$B$65:$Y$65)+SUMPRODUCT(分期持仓明细!$AC$24:$AD$24,'实盘净值数据(iFinD）'!$Z362:$AA362/'实盘净值数据(iFinD）'!$Z$65:$AA$65))*(1-实盘持仓初始配置!$Z$8)^(('实盘净值数据(iFinD）'!$A362-'实盘净值数据(iFinD）'!$A$5)/365))</f>
        <v/>
      </c>
      <c r="O362" s="16" t="str">
        <f t="shared" si="34"/>
        <v/>
      </c>
      <c r="P362" s="16" t="str">
        <f>IF(N362="","",N362/MAX(N$5:N362)-1)</f>
        <v/>
      </c>
      <c r="Q362" s="13" t="str">
        <f>IF(OR('实盘净值数据(iFinD）'!$A362="",'实盘净值数据(iFinD）'!$B362="",'实盘净值数据(iFinD）'!$Z362="",'实盘净值数据(iFinD）'!$AA362=""),"",分期持仓明细!$AB$25*(SUMPRODUCT(分期持仓明细!$B$25:$Y$25,'实盘净值数据(iFinD）'!$B362:$Y362/'实盘净值数据(iFinD）'!$B$65:$Y$65)+SUMPRODUCT(分期持仓明细!$AC$25:$AD$25,'实盘净值数据(iFinD）'!$Z362:$AA362/'实盘净值数据(iFinD）'!$Z$65:$AA$65))*(1-实盘持仓初始配置!$Z$9)^(('实盘净值数据(iFinD）'!$A362-'实盘净值数据(iFinD）'!$A$8)/365))</f>
        <v/>
      </c>
      <c r="R362" s="16" t="str">
        <f t="shared" si="35"/>
        <v/>
      </c>
      <c r="S362" s="16" t="str">
        <f>IF(Q362="","",Q362/MAX(Q$5:Q362)-1)</f>
        <v/>
      </c>
      <c r="T362" s="13">
        <f>IF(OR('实盘净值数据(iFinD）'!$A362="",'实盘净值数据(iFinD）'!$B362="",'实盘净值数据(iFinD）'!$Z362="",'实盘净值数据(iFinD）'!$AA362="",'实盘净值数据(iFinD）'!$AB362="",'实盘净值数据(iFinD）'!$AL362=""),"",(SUMPRODUCT(分期持仓明细!$B$26:$Y$26,'实盘净值数据(iFinD）'!$B362:$Y362/'实盘净值数据(iFinD）'!$B$69:$Y$69)+SUMPRODUCT(分期持仓明细!$AC$26:$AD$26,'实盘净值数据(iFinD）'!$Z362:$AA362/'实盘净值数据(iFinD）'!$Z$69:$AA$69)+SUMPRODUCT(分期持仓明细!$AE$26:$AO$26,'实盘净值数据(iFinD）'!$AB362:$AL362/'实盘净值数据(iFinD）'!$AB$69:$AL$69))*(1-实盘持仓初始配置!$Z$10)^(('实盘净值数据(iFinD）'!$A362-'实盘净值数据(iFinD）'!$A$69)/365))</f>
        <v/>
      </c>
      <c r="U362" s="16">
        <f>IF(OR(T361="",T362=""),"",T362/T361-1)</f>
        <v/>
      </c>
      <c r="V362" s="16">
        <f>IF(T362="","",T362/MAX(T$5:T362)-1)</f>
        <v/>
      </c>
    </row>
    <row r="363" spans="1:19">
      <c r="A363" s="15" t="str">
        <f>IF('实盘净值数据(iFinD）'!A363="","",'实盘净值数据(iFinD）'!A363)</f>
        <v/>
      </c>
      <c r="B363" s="13" t="str">
        <f>IF(OR('实盘净值数据(iFinD）'!$A363="",'实盘净值数据(iFinD）'!$B363=""),"",分期持仓明细!$AB$17*SUMPRODUCT(分期持仓明细!$B$17:$Y$17,'实盘净值数据(iFinD）'!$B363:$Y363/'实盘净值数据(iFinD）'!$B$20:$Y$20)*(1-实盘持仓初始配置!$Z$4)^(('实盘净值数据(iFinD）'!$A363-'实盘净值数据(iFinD）'!$A$6)/365))</f>
        <v/>
      </c>
      <c r="C363" s="16" t="str">
        <f t="shared" si="30"/>
        <v/>
      </c>
      <c r="D363" s="16" t="str">
        <f>IF(B363="","",B363/MAX(B$5:B363)-1)</f>
        <v/>
      </c>
      <c r="E363" s="13" t="str">
        <f>IF(OR('实盘净值数据(iFinD）'!$A363="",'实盘净值数据(iFinD）'!$B363=""),"",分期持仓明细!$AB$18*SUMPRODUCT(分期持仓明细!$B$18:$Y$18,'实盘净值数据(iFinD）'!$B363:$Y363/'实盘净值数据(iFinD）'!$B$20:$Y$20)*(1-实盘持仓初始配置!$Z$5)^(('实盘净值数据(iFinD）'!$A363-'实盘净值数据(iFinD）'!$A$5)/365))</f>
        <v/>
      </c>
      <c r="F363" s="16" t="str">
        <f t="shared" si="31"/>
        <v/>
      </c>
      <c r="G363" s="16" t="str">
        <f>IF(E363="","",E363/MAX(E$5:E363)-1)</f>
        <v/>
      </c>
      <c r="H363" s="13" t="str">
        <f>IF(OR('实盘净值数据(iFinD）'!$A363="",'实盘净值数据(iFinD）'!$B363=""),"",分期持仓明细!$AB$19*SUMPRODUCT(分期持仓明细!$B$19:$Y$19,'实盘净值数据(iFinD）'!$B363:$Y363/'实盘净值数据(iFinD）'!$B$20:$Y$20)*(1-实盘持仓初始配置!$Z$6)^(('实盘净值数据(iFinD）'!$A363-'实盘净值数据(iFinD）'!$A$7)/365))</f>
        <v/>
      </c>
      <c r="I363" s="16" t="str">
        <f t="shared" si="32"/>
        <v/>
      </c>
      <c r="J363" s="16" t="str">
        <f>IF(H363="","",H363/MAX(H$5:H363)-1)</f>
        <v/>
      </c>
      <c r="K363" s="13" t="str">
        <f>IF(OR('实盘净值数据(iFinD）'!$A363="",'实盘净值数据(iFinD）'!$B363="",'实盘净值数据(iFinD）'!$Z363="",'实盘净值数据(iFinD）'!$AA363=""),"",分期持仓明细!$AB$23*(SUMPRODUCT(分期持仓明细!$B$23:$Y$23,'实盘净值数据(iFinD）'!$B363:$Y363/'实盘净值数据(iFinD）'!$B$65:$Y$65)+SUMPRODUCT(分期持仓明细!$AC$23:$AD$23,'实盘净值数据(iFinD）'!$Z363:$AA363/'实盘净值数据(iFinD）'!$Z$65:$AA$65))*(1-实盘持仓初始配置!$Z$7)^(('实盘净值数据(iFinD）'!$A363-'实盘净值数据(iFinD）'!$A$8)/365))</f>
        <v/>
      </c>
      <c r="L363" s="16" t="str">
        <f t="shared" si="33"/>
        <v/>
      </c>
      <c r="M363" s="16" t="str">
        <f>IF(K363="","",K363/MAX(K$5:K363)-1)</f>
        <v/>
      </c>
      <c r="N363" s="13" t="str">
        <f>IF(OR('实盘净值数据(iFinD）'!$A363="",'实盘净值数据(iFinD）'!$B363="",'实盘净值数据(iFinD）'!$Z363="",'实盘净值数据(iFinD）'!$AA363=""),"",分期持仓明细!$AB$24*(SUMPRODUCT(分期持仓明细!$B$24:$Y$24,'实盘净值数据(iFinD）'!$B363:$Y363/'实盘净值数据(iFinD）'!$B$65:$Y$65)+SUMPRODUCT(分期持仓明细!$AC$24:$AD$24,'实盘净值数据(iFinD）'!$Z363:$AA363/'实盘净值数据(iFinD）'!$Z$65:$AA$65))*(1-实盘持仓初始配置!$Z$8)^(('实盘净值数据(iFinD）'!$A363-'实盘净值数据(iFinD）'!$A$5)/365))</f>
        <v/>
      </c>
      <c r="O363" s="16" t="str">
        <f t="shared" si="34"/>
        <v/>
      </c>
      <c r="P363" s="16" t="str">
        <f>IF(N363="","",N363/MAX(N$5:N363)-1)</f>
        <v/>
      </c>
      <c r="Q363" s="13" t="str">
        <f>IF(OR('实盘净值数据(iFinD）'!$A363="",'实盘净值数据(iFinD）'!$B363="",'实盘净值数据(iFinD）'!$Z363="",'实盘净值数据(iFinD）'!$AA363=""),"",分期持仓明细!$AB$25*(SUMPRODUCT(分期持仓明细!$B$25:$Y$25,'实盘净值数据(iFinD）'!$B363:$Y363/'实盘净值数据(iFinD）'!$B$65:$Y$65)+SUMPRODUCT(分期持仓明细!$AC$25:$AD$25,'实盘净值数据(iFinD）'!$Z363:$AA363/'实盘净值数据(iFinD）'!$Z$65:$AA$65))*(1-实盘持仓初始配置!$Z$9)^(('实盘净值数据(iFinD）'!$A363-'实盘净值数据(iFinD）'!$A$8)/365))</f>
        <v/>
      </c>
      <c r="R363" s="16" t="str">
        <f t="shared" si="35"/>
        <v/>
      </c>
      <c r="S363" s="16" t="str">
        <f>IF(Q363="","",Q363/MAX(Q$5:Q363)-1)</f>
        <v/>
      </c>
      <c r="T363" s="13">
        <f>IF(OR('实盘净值数据(iFinD）'!$A363="",'实盘净值数据(iFinD）'!$B363="",'实盘净值数据(iFinD）'!$Z363="",'实盘净值数据(iFinD）'!$AA363="",'实盘净值数据(iFinD）'!$AB363="",'实盘净值数据(iFinD）'!$AL363=""),"",(SUMPRODUCT(分期持仓明细!$B$26:$Y$26,'实盘净值数据(iFinD）'!$B363:$Y363/'实盘净值数据(iFinD）'!$B$69:$Y$69)+SUMPRODUCT(分期持仓明细!$AC$26:$AD$26,'实盘净值数据(iFinD）'!$Z363:$AA363/'实盘净值数据(iFinD）'!$Z$69:$AA$69)+SUMPRODUCT(分期持仓明细!$AE$26:$AO$26,'实盘净值数据(iFinD）'!$AB363:$AL363/'实盘净值数据(iFinD）'!$AB$69:$AL$69))*(1-实盘持仓初始配置!$Z$10)^(('实盘净值数据(iFinD）'!$A363-'实盘净值数据(iFinD）'!$A$69)/365))</f>
        <v/>
      </c>
      <c r="U363" s="16">
        <f>IF(OR(T362="",T363=""),"",T363/T362-1)</f>
        <v/>
      </c>
      <c r="V363" s="16">
        <f>IF(T363="","",T363/MAX(T$5:T363)-1)</f>
        <v/>
      </c>
    </row>
    <row r="364" spans="1:19">
      <c r="A364" s="15" t="str">
        <f>IF('实盘净值数据(iFinD）'!A364="","",'实盘净值数据(iFinD）'!A364)</f>
        <v/>
      </c>
      <c r="B364" s="13" t="str">
        <f>IF(OR('实盘净值数据(iFinD）'!$A364="",'实盘净值数据(iFinD）'!$B364=""),"",分期持仓明细!$AB$17*SUMPRODUCT(分期持仓明细!$B$17:$Y$17,'实盘净值数据(iFinD）'!$B364:$Y364/'实盘净值数据(iFinD）'!$B$20:$Y$20)*(1-实盘持仓初始配置!$Z$4)^(('实盘净值数据(iFinD）'!$A364-'实盘净值数据(iFinD）'!$A$6)/365))</f>
        <v/>
      </c>
      <c r="C364" s="16" t="str">
        <f t="shared" si="30"/>
        <v/>
      </c>
      <c r="D364" s="16" t="str">
        <f>IF(B364="","",B364/MAX(B$5:B364)-1)</f>
        <v/>
      </c>
      <c r="E364" s="13" t="str">
        <f>IF(OR('实盘净值数据(iFinD）'!$A364="",'实盘净值数据(iFinD）'!$B364=""),"",分期持仓明细!$AB$18*SUMPRODUCT(分期持仓明细!$B$18:$Y$18,'实盘净值数据(iFinD）'!$B364:$Y364/'实盘净值数据(iFinD）'!$B$20:$Y$20)*(1-实盘持仓初始配置!$Z$5)^(('实盘净值数据(iFinD）'!$A364-'实盘净值数据(iFinD）'!$A$5)/365))</f>
        <v/>
      </c>
      <c r="F364" s="16" t="str">
        <f t="shared" si="31"/>
        <v/>
      </c>
      <c r="G364" s="16" t="str">
        <f>IF(E364="","",E364/MAX(E$5:E364)-1)</f>
        <v/>
      </c>
      <c r="H364" s="13" t="str">
        <f>IF(OR('实盘净值数据(iFinD）'!$A364="",'实盘净值数据(iFinD）'!$B364=""),"",分期持仓明细!$AB$19*SUMPRODUCT(分期持仓明细!$B$19:$Y$19,'实盘净值数据(iFinD）'!$B364:$Y364/'实盘净值数据(iFinD）'!$B$20:$Y$20)*(1-实盘持仓初始配置!$Z$6)^(('实盘净值数据(iFinD）'!$A364-'实盘净值数据(iFinD）'!$A$7)/365))</f>
        <v/>
      </c>
      <c r="I364" s="16" t="str">
        <f t="shared" si="32"/>
        <v/>
      </c>
      <c r="J364" s="16" t="str">
        <f>IF(H364="","",H364/MAX(H$5:H364)-1)</f>
        <v/>
      </c>
      <c r="K364" s="13" t="str">
        <f>IF(OR('实盘净值数据(iFinD）'!$A364="",'实盘净值数据(iFinD）'!$B364="",'实盘净值数据(iFinD）'!$Z364="",'实盘净值数据(iFinD）'!$AA364=""),"",分期持仓明细!$AB$23*(SUMPRODUCT(分期持仓明细!$B$23:$Y$23,'实盘净值数据(iFinD）'!$B364:$Y364/'实盘净值数据(iFinD）'!$B$65:$Y$65)+SUMPRODUCT(分期持仓明细!$AC$23:$AD$23,'实盘净值数据(iFinD）'!$Z364:$AA364/'实盘净值数据(iFinD）'!$Z$65:$AA$65))*(1-实盘持仓初始配置!$Z$7)^(('实盘净值数据(iFinD）'!$A364-'实盘净值数据(iFinD）'!$A$8)/365))</f>
        <v/>
      </c>
      <c r="L364" s="16" t="str">
        <f t="shared" si="33"/>
        <v/>
      </c>
      <c r="M364" s="16" t="str">
        <f>IF(K364="","",K364/MAX(K$5:K364)-1)</f>
        <v/>
      </c>
      <c r="N364" s="13" t="str">
        <f>IF(OR('实盘净值数据(iFinD）'!$A364="",'实盘净值数据(iFinD）'!$B364="",'实盘净值数据(iFinD）'!$Z364="",'实盘净值数据(iFinD）'!$AA364=""),"",分期持仓明细!$AB$24*(SUMPRODUCT(分期持仓明细!$B$24:$Y$24,'实盘净值数据(iFinD）'!$B364:$Y364/'实盘净值数据(iFinD）'!$B$65:$Y$65)+SUMPRODUCT(分期持仓明细!$AC$24:$AD$24,'实盘净值数据(iFinD）'!$Z364:$AA364/'实盘净值数据(iFinD）'!$Z$65:$AA$65))*(1-实盘持仓初始配置!$Z$8)^(('实盘净值数据(iFinD）'!$A364-'实盘净值数据(iFinD）'!$A$5)/365))</f>
        <v/>
      </c>
      <c r="O364" s="16" t="str">
        <f t="shared" si="34"/>
        <v/>
      </c>
      <c r="P364" s="16" t="str">
        <f>IF(N364="","",N364/MAX(N$5:N364)-1)</f>
        <v/>
      </c>
      <c r="Q364" s="13" t="str">
        <f>IF(OR('实盘净值数据(iFinD）'!$A364="",'实盘净值数据(iFinD）'!$B364="",'实盘净值数据(iFinD）'!$Z364="",'实盘净值数据(iFinD）'!$AA364=""),"",分期持仓明细!$AB$25*(SUMPRODUCT(分期持仓明细!$B$25:$Y$25,'实盘净值数据(iFinD）'!$B364:$Y364/'实盘净值数据(iFinD）'!$B$65:$Y$65)+SUMPRODUCT(分期持仓明细!$AC$25:$AD$25,'实盘净值数据(iFinD）'!$Z364:$AA364/'实盘净值数据(iFinD）'!$Z$65:$AA$65))*(1-实盘持仓初始配置!$Z$9)^(('实盘净值数据(iFinD）'!$A364-'实盘净值数据(iFinD）'!$A$8)/365))</f>
        <v/>
      </c>
      <c r="R364" s="16" t="str">
        <f t="shared" si="35"/>
        <v/>
      </c>
      <c r="S364" s="16" t="str">
        <f>IF(Q364="","",Q364/MAX(Q$5:Q364)-1)</f>
        <v/>
      </c>
      <c r="T364" s="13">
        <f>IF(OR('实盘净值数据(iFinD）'!$A364="",'实盘净值数据(iFinD）'!$B364="",'实盘净值数据(iFinD）'!$Z364="",'实盘净值数据(iFinD）'!$AA364="",'实盘净值数据(iFinD）'!$AB364="",'实盘净值数据(iFinD）'!$AL364=""),"",(SUMPRODUCT(分期持仓明细!$B$26:$Y$26,'实盘净值数据(iFinD）'!$B364:$Y364/'实盘净值数据(iFinD）'!$B$69:$Y$69)+SUMPRODUCT(分期持仓明细!$AC$26:$AD$26,'实盘净值数据(iFinD）'!$Z364:$AA364/'实盘净值数据(iFinD）'!$Z$69:$AA$69)+SUMPRODUCT(分期持仓明细!$AE$26:$AO$26,'实盘净值数据(iFinD）'!$AB364:$AL364/'实盘净值数据(iFinD）'!$AB$69:$AL$69))*(1-实盘持仓初始配置!$Z$10)^(('实盘净值数据(iFinD）'!$A364-'实盘净值数据(iFinD）'!$A$69)/365))</f>
        <v/>
      </c>
      <c r="U364" s="16">
        <f>IF(OR(T363="",T364=""),"",T364/T363-1)</f>
        <v/>
      </c>
      <c r="V364" s="16">
        <f>IF(T364="","",T364/MAX(T$5:T364)-1)</f>
        <v/>
      </c>
    </row>
    <row r="365" spans="1:19">
      <c r="A365" s="15" t="str">
        <f>IF('实盘净值数据(iFinD）'!A365="","",'实盘净值数据(iFinD）'!A365)</f>
        <v/>
      </c>
      <c r="B365" s="13" t="str">
        <f>IF(OR('实盘净值数据(iFinD）'!$A365="",'实盘净值数据(iFinD）'!$B365=""),"",分期持仓明细!$AB$17*SUMPRODUCT(分期持仓明细!$B$17:$Y$17,'实盘净值数据(iFinD）'!$B365:$Y365/'实盘净值数据(iFinD）'!$B$20:$Y$20)*(1-实盘持仓初始配置!$Z$4)^(('实盘净值数据(iFinD）'!$A365-'实盘净值数据(iFinD）'!$A$6)/365))</f>
        <v/>
      </c>
      <c r="C365" s="16" t="str">
        <f t="shared" si="30"/>
        <v/>
      </c>
      <c r="D365" s="16" t="str">
        <f>IF(B365="","",B365/MAX(B$5:B365)-1)</f>
        <v/>
      </c>
      <c r="E365" s="13" t="str">
        <f>IF(OR('实盘净值数据(iFinD）'!$A365="",'实盘净值数据(iFinD）'!$B365=""),"",分期持仓明细!$AB$18*SUMPRODUCT(分期持仓明细!$B$18:$Y$18,'实盘净值数据(iFinD）'!$B365:$Y365/'实盘净值数据(iFinD）'!$B$20:$Y$20)*(1-实盘持仓初始配置!$Z$5)^(('实盘净值数据(iFinD）'!$A365-'实盘净值数据(iFinD）'!$A$5)/365))</f>
        <v/>
      </c>
      <c r="F365" s="16" t="str">
        <f t="shared" si="31"/>
        <v/>
      </c>
      <c r="G365" s="16" t="str">
        <f>IF(E365="","",E365/MAX(E$5:E365)-1)</f>
        <v/>
      </c>
      <c r="H365" s="13" t="str">
        <f>IF(OR('实盘净值数据(iFinD）'!$A365="",'实盘净值数据(iFinD）'!$B365=""),"",分期持仓明细!$AB$19*SUMPRODUCT(分期持仓明细!$B$19:$Y$19,'实盘净值数据(iFinD）'!$B365:$Y365/'实盘净值数据(iFinD）'!$B$20:$Y$20)*(1-实盘持仓初始配置!$Z$6)^(('实盘净值数据(iFinD）'!$A365-'实盘净值数据(iFinD）'!$A$7)/365))</f>
        <v/>
      </c>
      <c r="I365" s="16" t="str">
        <f t="shared" si="32"/>
        <v/>
      </c>
      <c r="J365" s="16" t="str">
        <f>IF(H365="","",H365/MAX(H$5:H365)-1)</f>
        <v/>
      </c>
      <c r="K365" s="13" t="str">
        <f>IF(OR('实盘净值数据(iFinD）'!$A365="",'实盘净值数据(iFinD）'!$B365="",'实盘净值数据(iFinD）'!$Z365="",'实盘净值数据(iFinD）'!$AA365=""),"",分期持仓明细!$AB$23*(SUMPRODUCT(分期持仓明细!$B$23:$Y$23,'实盘净值数据(iFinD）'!$B365:$Y365/'实盘净值数据(iFinD）'!$B$65:$Y$65)+SUMPRODUCT(分期持仓明细!$AC$23:$AD$23,'实盘净值数据(iFinD）'!$Z365:$AA365/'实盘净值数据(iFinD）'!$Z$65:$AA$65))*(1-实盘持仓初始配置!$Z$7)^(('实盘净值数据(iFinD）'!$A365-'实盘净值数据(iFinD）'!$A$8)/365))</f>
        <v/>
      </c>
      <c r="L365" s="16" t="str">
        <f t="shared" si="33"/>
        <v/>
      </c>
      <c r="M365" s="16" t="str">
        <f>IF(K365="","",K365/MAX(K$5:K365)-1)</f>
        <v/>
      </c>
      <c r="N365" s="13" t="str">
        <f>IF(OR('实盘净值数据(iFinD）'!$A365="",'实盘净值数据(iFinD）'!$B365="",'实盘净值数据(iFinD）'!$Z365="",'实盘净值数据(iFinD）'!$AA365=""),"",分期持仓明细!$AB$24*(SUMPRODUCT(分期持仓明细!$B$24:$Y$24,'实盘净值数据(iFinD）'!$B365:$Y365/'实盘净值数据(iFinD）'!$B$65:$Y$65)+SUMPRODUCT(分期持仓明细!$AC$24:$AD$24,'实盘净值数据(iFinD）'!$Z365:$AA365/'实盘净值数据(iFinD）'!$Z$65:$AA$65))*(1-实盘持仓初始配置!$Z$8)^(('实盘净值数据(iFinD）'!$A365-'实盘净值数据(iFinD）'!$A$5)/365))</f>
        <v/>
      </c>
      <c r="O365" s="16" t="str">
        <f t="shared" si="34"/>
        <v/>
      </c>
      <c r="P365" s="16" t="str">
        <f>IF(N365="","",N365/MAX(N$5:N365)-1)</f>
        <v/>
      </c>
      <c r="Q365" s="13" t="str">
        <f>IF(OR('实盘净值数据(iFinD）'!$A365="",'实盘净值数据(iFinD）'!$B365="",'实盘净值数据(iFinD）'!$Z365="",'实盘净值数据(iFinD）'!$AA365=""),"",分期持仓明细!$AB$25*(SUMPRODUCT(分期持仓明细!$B$25:$Y$25,'实盘净值数据(iFinD）'!$B365:$Y365/'实盘净值数据(iFinD）'!$B$65:$Y$65)+SUMPRODUCT(分期持仓明细!$AC$25:$AD$25,'实盘净值数据(iFinD）'!$Z365:$AA365/'实盘净值数据(iFinD）'!$Z$65:$AA$65))*(1-实盘持仓初始配置!$Z$9)^(('实盘净值数据(iFinD）'!$A365-'实盘净值数据(iFinD）'!$A$8)/365))</f>
        <v/>
      </c>
      <c r="R365" s="16" t="str">
        <f t="shared" si="35"/>
        <v/>
      </c>
      <c r="S365" s="16" t="str">
        <f>IF(Q365="","",Q365/MAX(Q$5:Q365)-1)</f>
        <v/>
      </c>
      <c r="T365" s="13">
        <f>IF(OR('实盘净值数据(iFinD）'!$A365="",'实盘净值数据(iFinD）'!$B365="",'实盘净值数据(iFinD）'!$Z365="",'实盘净值数据(iFinD）'!$AA365="",'实盘净值数据(iFinD）'!$AB365="",'实盘净值数据(iFinD）'!$AL365=""),"",(SUMPRODUCT(分期持仓明细!$B$26:$Y$26,'实盘净值数据(iFinD）'!$B365:$Y365/'实盘净值数据(iFinD）'!$B$69:$Y$69)+SUMPRODUCT(分期持仓明细!$AC$26:$AD$26,'实盘净值数据(iFinD）'!$Z365:$AA365/'实盘净值数据(iFinD）'!$Z$69:$AA$69)+SUMPRODUCT(分期持仓明细!$AE$26:$AO$26,'实盘净值数据(iFinD）'!$AB365:$AL365/'实盘净值数据(iFinD）'!$AB$69:$AL$69))*(1-实盘持仓初始配置!$Z$10)^(('实盘净值数据(iFinD）'!$A365-'实盘净值数据(iFinD）'!$A$69)/365))</f>
        <v/>
      </c>
      <c r="U365" s="16">
        <f>IF(OR(T364="",T365=""),"",T365/T364-1)</f>
        <v/>
      </c>
      <c r="V365" s="16">
        <f>IF(T365="","",T365/MAX(T$5:T365)-1)</f>
        <v/>
      </c>
    </row>
    <row r="366" spans="1:19">
      <c r="A366" s="15" t="str">
        <f>IF('实盘净值数据(iFinD）'!A366="","",'实盘净值数据(iFinD）'!A366)</f>
        <v/>
      </c>
      <c r="B366" s="13" t="str">
        <f>IF(OR('实盘净值数据(iFinD）'!$A366="",'实盘净值数据(iFinD）'!$B366=""),"",分期持仓明细!$AB$17*SUMPRODUCT(分期持仓明细!$B$17:$Y$17,'实盘净值数据(iFinD）'!$B366:$Y366/'实盘净值数据(iFinD）'!$B$20:$Y$20)*(1-实盘持仓初始配置!$Z$4)^(('实盘净值数据(iFinD）'!$A366-'实盘净值数据(iFinD）'!$A$6)/365))</f>
        <v/>
      </c>
      <c r="C366" s="16" t="str">
        <f t="shared" si="30"/>
        <v/>
      </c>
      <c r="D366" s="16" t="str">
        <f>IF(B366="","",B366/MAX(B$5:B366)-1)</f>
        <v/>
      </c>
      <c r="E366" s="13" t="str">
        <f>IF(OR('实盘净值数据(iFinD）'!$A366="",'实盘净值数据(iFinD）'!$B366=""),"",分期持仓明细!$AB$18*SUMPRODUCT(分期持仓明细!$B$18:$Y$18,'实盘净值数据(iFinD）'!$B366:$Y366/'实盘净值数据(iFinD）'!$B$20:$Y$20)*(1-实盘持仓初始配置!$Z$5)^(('实盘净值数据(iFinD）'!$A366-'实盘净值数据(iFinD）'!$A$5)/365))</f>
        <v/>
      </c>
      <c r="F366" s="16" t="str">
        <f t="shared" si="31"/>
        <v/>
      </c>
      <c r="G366" s="16" t="str">
        <f>IF(E366="","",E366/MAX(E$5:E366)-1)</f>
        <v/>
      </c>
      <c r="H366" s="13" t="str">
        <f>IF(OR('实盘净值数据(iFinD）'!$A366="",'实盘净值数据(iFinD）'!$B366=""),"",分期持仓明细!$AB$19*SUMPRODUCT(分期持仓明细!$B$19:$Y$19,'实盘净值数据(iFinD）'!$B366:$Y366/'实盘净值数据(iFinD）'!$B$20:$Y$20)*(1-实盘持仓初始配置!$Z$6)^(('实盘净值数据(iFinD）'!$A366-'实盘净值数据(iFinD）'!$A$7)/365))</f>
        <v/>
      </c>
      <c r="I366" s="16" t="str">
        <f t="shared" si="32"/>
        <v/>
      </c>
      <c r="J366" s="16" t="str">
        <f>IF(H366="","",H366/MAX(H$5:H366)-1)</f>
        <v/>
      </c>
      <c r="K366" s="13" t="str">
        <f>IF(OR('实盘净值数据(iFinD）'!$A366="",'实盘净值数据(iFinD）'!$B366="",'实盘净值数据(iFinD）'!$Z366="",'实盘净值数据(iFinD）'!$AA366=""),"",分期持仓明细!$AB$23*(SUMPRODUCT(分期持仓明细!$B$23:$Y$23,'实盘净值数据(iFinD）'!$B366:$Y366/'实盘净值数据(iFinD）'!$B$65:$Y$65)+SUMPRODUCT(分期持仓明细!$AC$23:$AD$23,'实盘净值数据(iFinD）'!$Z366:$AA366/'实盘净值数据(iFinD）'!$Z$65:$AA$65))*(1-实盘持仓初始配置!$Z$7)^(('实盘净值数据(iFinD）'!$A366-'实盘净值数据(iFinD）'!$A$8)/365))</f>
        <v/>
      </c>
      <c r="L366" s="16" t="str">
        <f t="shared" si="33"/>
        <v/>
      </c>
      <c r="M366" s="16" t="str">
        <f>IF(K366="","",K366/MAX(K$5:K366)-1)</f>
        <v/>
      </c>
      <c r="N366" s="13" t="str">
        <f>IF(OR('实盘净值数据(iFinD）'!$A366="",'实盘净值数据(iFinD）'!$B366="",'实盘净值数据(iFinD）'!$Z366="",'实盘净值数据(iFinD）'!$AA366=""),"",分期持仓明细!$AB$24*(SUMPRODUCT(分期持仓明细!$B$24:$Y$24,'实盘净值数据(iFinD）'!$B366:$Y366/'实盘净值数据(iFinD）'!$B$65:$Y$65)+SUMPRODUCT(分期持仓明细!$AC$24:$AD$24,'实盘净值数据(iFinD）'!$Z366:$AA366/'实盘净值数据(iFinD）'!$Z$65:$AA$65))*(1-实盘持仓初始配置!$Z$8)^(('实盘净值数据(iFinD）'!$A366-'实盘净值数据(iFinD）'!$A$5)/365))</f>
        <v/>
      </c>
      <c r="O366" s="16" t="str">
        <f t="shared" si="34"/>
        <v/>
      </c>
      <c r="P366" s="16" t="str">
        <f>IF(N366="","",N366/MAX(N$5:N366)-1)</f>
        <v/>
      </c>
      <c r="Q366" s="13" t="str">
        <f>IF(OR('实盘净值数据(iFinD）'!$A366="",'实盘净值数据(iFinD）'!$B366="",'实盘净值数据(iFinD）'!$Z366="",'实盘净值数据(iFinD）'!$AA366=""),"",分期持仓明细!$AB$25*(SUMPRODUCT(分期持仓明细!$B$25:$Y$25,'实盘净值数据(iFinD）'!$B366:$Y366/'实盘净值数据(iFinD）'!$B$65:$Y$65)+SUMPRODUCT(分期持仓明细!$AC$25:$AD$25,'实盘净值数据(iFinD）'!$Z366:$AA366/'实盘净值数据(iFinD）'!$Z$65:$AA$65))*(1-实盘持仓初始配置!$Z$9)^(('实盘净值数据(iFinD）'!$A366-'实盘净值数据(iFinD）'!$A$8)/365))</f>
        <v/>
      </c>
      <c r="R366" s="16" t="str">
        <f t="shared" si="35"/>
        <v/>
      </c>
      <c r="S366" s="16" t="str">
        <f>IF(Q366="","",Q366/MAX(Q$5:Q366)-1)</f>
        <v/>
      </c>
      <c r="T366" s="13">
        <f>IF(OR('实盘净值数据(iFinD）'!$A366="",'实盘净值数据(iFinD）'!$B366="",'实盘净值数据(iFinD）'!$Z366="",'实盘净值数据(iFinD）'!$AA366="",'实盘净值数据(iFinD）'!$AB366="",'实盘净值数据(iFinD）'!$AL366=""),"",(SUMPRODUCT(分期持仓明细!$B$26:$Y$26,'实盘净值数据(iFinD）'!$B366:$Y366/'实盘净值数据(iFinD）'!$B$69:$Y$69)+SUMPRODUCT(分期持仓明细!$AC$26:$AD$26,'实盘净值数据(iFinD）'!$Z366:$AA366/'实盘净值数据(iFinD）'!$Z$69:$AA$69)+SUMPRODUCT(分期持仓明细!$AE$26:$AO$26,'实盘净值数据(iFinD）'!$AB366:$AL366/'实盘净值数据(iFinD）'!$AB$69:$AL$69))*(1-实盘持仓初始配置!$Z$10)^(('实盘净值数据(iFinD）'!$A366-'实盘净值数据(iFinD）'!$A$69)/365))</f>
        <v/>
      </c>
      <c r="U366" s="16">
        <f>IF(OR(T365="",T366=""),"",T366/T365-1)</f>
        <v/>
      </c>
      <c r="V366" s="16">
        <f>IF(T366="","",T366/MAX(T$5:T366)-1)</f>
        <v/>
      </c>
    </row>
    <row r="367" spans="1:19">
      <c r="A367" s="15" t="str">
        <f>IF('实盘净值数据(iFinD）'!A367="","",'实盘净值数据(iFinD）'!A367)</f>
        <v/>
      </c>
      <c r="B367" s="13" t="str">
        <f>IF(OR('实盘净值数据(iFinD）'!$A367="",'实盘净值数据(iFinD）'!$B367=""),"",分期持仓明细!$AB$17*SUMPRODUCT(分期持仓明细!$B$17:$Y$17,'实盘净值数据(iFinD）'!$B367:$Y367/'实盘净值数据(iFinD）'!$B$20:$Y$20)*(1-实盘持仓初始配置!$Z$4)^(('实盘净值数据(iFinD）'!$A367-'实盘净值数据(iFinD）'!$A$6)/365))</f>
        <v/>
      </c>
      <c r="C367" s="16" t="str">
        <f t="shared" si="30"/>
        <v/>
      </c>
      <c r="D367" s="16" t="str">
        <f>IF(B367="","",B367/MAX(B$5:B367)-1)</f>
        <v/>
      </c>
      <c r="E367" s="13" t="str">
        <f>IF(OR('实盘净值数据(iFinD）'!$A367="",'实盘净值数据(iFinD）'!$B367=""),"",分期持仓明细!$AB$18*SUMPRODUCT(分期持仓明细!$B$18:$Y$18,'实盘净值数据(iFinD）'!$B367:$Y367/'实盘净值数据(iFinD）'!$B$20:$Y$20)*(1-实盘持仓初始配置!$Z$5)^(('实盘净值数据(iFinD）'!$A367-'实盘净值数据(iFinD）'!$A$5)/365))</f>
        <v/>
      </c>
      <c r="F367" s="16" t="str">
        <f t="shared" si="31"/>
        <v/>
      </c>
      <c r="G367" s="16" t="str">
        <f>IF(E367="","",E367/MAX(E$5:E367)-1)</f>
        <v/>
      </c>
      <c r="H367" s="13" t="str">
        <f>IF(OR('实盘净值数据(iFinD）'!$A367="",'实盘净值数据(iFinD）'!$B367=""),"",分期持仓明细!$AB$19*SUMPRODUCT(分期持仓明细!$B$19:$Y$19,'实盘净值数据(iFinD）'!$B367:$Y367/'实盘净值数据(iFinD）'!$B$20:$Y$20)*(1-实盘持仓初始配置!$Z$6)^(('实盘净值数据(iFinD）'!$A367-'实盘净值数据(iFinD）'!$A$7)/365))</f>
        <v/>
      </c>
      <c r="I367" s="16" t="str">
        <f t="shared" si="32"/>
        <v/>
      </c>
      <c r="J367" s="16" t="str">
        <f>IF(H367="","",H367/MAX(H$5:H367)-1)</f>
        <v/>
      </c>
      <c r="K367" s="13" t="str">
        <f>IF(OR('实盘净值数据(iFinD）'!$A367="",'实盘净值数据(iFinD）'!$B367="",'实盘净值数据(iFinD）'!$Z367="",'实盘净值数据(iFinD）'!$AA367=""),"",分期持仓明细!$AB$23*(SUMPRODUCT(分期持仓明细!$B$23:$Y$23,'实盘净值数据(iFinD）'!$B367:$Y367/'实盘净值数据(iFinD）'!$B$65:$Y$65)+SUMPRODUCT(分期持仓明细!$AC$23:$AD$23,'实盘净值数据(iFinD）'!$Z367:$AA367/'实盘净值数据(iFinD）'!$Z$65:$AA$65))*(1-实盘持仓初始配置!$Z$7)^(('实盘净值数据(iFinD）'!$A367-'实盘净值数据(iFinD）'!$A$8)/365))</f>
        <v/>
      </c>
      <c r="L367" s="16" t="str">
        <f t="shared" si="33"/>
        <v/>
      </c>
      <c r="M367" s="16" t="str">
        <f>IF(K367="","",K367/MAX(K$5:K367)-1)</f>
        <v/>
      </c>
      <c r="N367" s="13" t="str">
        <f>IF(OR('实盘净值数据(iFinD）'!$A367="",'实盘净值数据(iFinD）'!$B367="",'实盘净值数据(iFinD）'!$Z367="",'实盘净值数据(iFinD）'!$AA367=""),"",分期持仓明细!$AB$24*(SUMPRODUCT(分期持仓明细!$B$24:$Y$24,'实盘净值数据(iFinD）'!$B367:$Y367/'实盘净值数据(iFinD）'!$B$65:$Y$65)+SUMPRODUCT(分期持仓明细!$AC$24:$AD$24,'实盘净值数据(iFinD）'!$Z367:$AA367/'实盘净值数据(iFinD）'!$Z$65:$AA$65))*(1-实盘持仓初始配置!$Z$8)^(('实盘净值数据(iFinD）'!$A367-'实盘净值数据(iFinD）'!$A$5)/365))</f>
        <v/>
      </c>
      <c r="O367" s="16" t="str">
        <f t="shared" si="34"/>
        <v/>
      </c>
      <c r="P367" s="16" t="str">
        <f>IF(N367="","",N367/MAX(N$5:N367)-1)</f>
        <v/>
      </c>
      <c r="Q367" s="13" t="str">
        <f>IF(OR('实盘净值数据(iFinD）'!$A367="",'实盘净值数据(iFinD）'!$B367="",'实盘净值数据(iFinD）'!$Z367="",'实盘净值数据(iFinD）'!$AA367=""),"",分期持仓明细!$AB$25*(SUMPRODUCT(分期持仓明细!$B$25:$Y$25,'实盘净值数据(iFinD）'!$B367:$Y367/'实盘净值数据(iFinD）'!$B$65:$Y$65)+SUMPRODUCT(分期持仓明细!$AC$25:$AD$25,'实盘净值数据(iFinD）'!$Z367:$AA367/'实盘净值数据(iFinD）'!$Z$65:$AA$65))*(1-实盘持仓初始配置!$Z$9)^(('实盘净值数据(iFinD）'!$A367-'实盘净值数据(iFinD）'!$A$8)/365))</f>
        <v/>
      </c>
      <c r="R367" s="16" t="str">
        <f t="shared" si="35"/>
        <v/>
      </c>
      <c r="S367" s="16" t="str">
        <f>IF(Q367="","",Q367/MAX(Q$5:Q367)-1)</f>
        <v/>
      </c>
      <c r="T367" s="13">
        <f>IF(OR('实盘净值数据(iFinD）'!$A367="",'实盘净值数据(iFinD）'!$B367="",'实盘净值数据(iFinD）'!$Z367="",'实盘净值数据(iFinD）'!$AA367="",'实盘净值数据(iFinD）'!$AB367="",'实盘净值数据(iFinD）'!$AL367=""),"",(SUMPRODUCT(分期持仓明细!$B$26:$Y$26,'实盘净值数据(iFinD）'!$B367:$Y367/'实盘净值数据(iFinD）'!$B$69:$Y$69)+SUMPRODUCT(分期持仓明细!$AC$26:$AD$26,'实盘净值数据(iFinD）'!$Z367:$AA367/'实盘净值数据(iFinD）'!$Z$69:$AA$69)+SUMPRODUCT(分期持仓明细!$AE$26:$AO$26,'实盘净值数据(iFinD）'!$AB367:$AL367/'实盘净值数据(iFinD）'!$AB$69:$AL$69))*(1-实盘持仓初始配置!$Z$10)^(('实盘净值数据(iFinD）'!$A367-'实盘净值数据(iFinD）'!$A$69)/365))</f>
        <v/>
      </c>
      <c r="U367" s="16">
        <f>IF(OR(T366="",T367=""),"",T367/T366-1)</f>
        <v/>
      </c>
      <c r="V367" s="16">
        <f>IF(T367="","",T367/MAX(T$5:T367)-1)</f>
        <v/>
      </c>
    </row>
    <row r="368" spans="1:19">
      <c r="A368" s="15" t="str">
        <f>IF('实盘净值数据(iFinD）'!A368="","",'实盘净值数据(iFinD）'!A368)</f>
        <v/>
      </c>
      <c r="B368" s="13" t="str">
        <f>IF(OR('实盘净值数据(iFinD）'!$A368="",'实盘净值数据(iFinD）'!$B368=""),"",分期持仓明细!$AB$17*SUMPRODUCT(分期持仓明细!$B$17:$Y$17,'实盘净值数据(iFinD）'!$B368:$Y368/'实盘净值数据(iFinD）'!$B$20:$Y$20)*(1-实盘持仓初始配置!$Z$4)^(('实盘净值数据(iFinD）'!$A368-'实盘净值数据(iFinD）'!$A$6)/365))</f>
        <v/>
      </c>
      <c r="C368" s="16" t="str">
        <f t="shared" si="30"/>
        <v/>
      </c>
      <c r="D368" s="16" t="str">
        <f>IF(B368="","",B368/MAX(B$5:B368)-1)</f>
        <v/>
      </c>
      <c r="E368" s="13" t="str">
        <f>IF(OR('实盘净值数据(iFinD）'!$A368="",'实盘净值数据(iFinD）'!$B368=""),"",分期持仓明细!$AB$18*SUMPRODUCT(分期持仓明细!$B$18:$Y$18,'实盘净值数据(iFinD）'!$B368:$Y368/'实盘净值数据(iFinD）'!$B$20:$Y$20)*(1-实盘持仓初始配置!$Z$5)^(('实盘净值数据(iFinD）'!$A368-'实盘净值数据(iFinD）'!$A$5)/365))</f>
        <v/>
      </c>
      <c r="F368" s="16" t="str">
        <f t="shared" si="31"/>
        <v/>
      </c>
      <c r="G368" s="16" t="str">
        <f>IF(E368="","",E368/MAX(E$5:E368)-1)</f>
        <v/>
      </c>
      <c r="H368" s="13" t="str">
        <f>IF(OR('实盘净值数据(iFinD）'!$A368="",'实盘净值数据(iFinD）'!$B368=""),"",分期持仓明细!$AB$19*SUMPRODUCT(分期持仓明细!$B$19:$Y$19,'实盘净值数据(iFinD）'!$B368:$Y368/'实盘净值数据(iFinD）'!$B$20:$Y$20)*(1-实盘持仓初始配置!$Z$6)^(('实盘净值数据(iFinD）'!$A368-'实盘净值数据(iFinD）'!$A$7)/365))</f>
        <v/>
      </c>
      <c r="I368" s="16" t="str">
        <f t="shared" si="32"/>
        <v/>
      </c>
      <c r="J368" s="16" t="str">
        <f>IF(H368="","",H368/MAX(H$5:H368)-1)</f>
        <v/>
      </c>
      <c r="K368" s="13" t="str">
        <f>IF(OR('实盘净值数据(iFinD）'!$A368="",'实盘净值数据(iFinD）'!$B368="",'实盘净值数据(iFinD）'!$Z368="",'实盘净值数据(iFinD）'!$AA368=""),"",分期持仓明细!$AB$23*(SUMPRODUCT(分期持仓明细!$B$23:$Y$23,'实盘净值数据(iFinD）'!$B368:$Y368/'实盘净值数据(iFinD）'!$B$65:$Y$65)+SUMPRODUCT(分期持仓明细!$AC$23:$AD$23,'实盘净值数据(iFinD）'!$Z368:$AA368/'实盘净值数据(iFinD）'!$Z$65:$AA$65))*(1-实盘持仓初始配置!$Z$7)^(('实盘净值数据(iFinD）'!$A368-'实盘净值数据(iFinD）'!$A$8)/365))</f>
        <v/>
      </c>
      <c r="L368" s="16" t="str">
        <f t="shared" si="33"/>
        <v/>
      </c>
      <c r="M368" s="16" t="str">
        <f>IF(K368="","",K368/MAX(K$5:K368)-1)</f>
        <v/>
      </c>
      <c r="N368" s="13" t="str">
        <f>IF(OR('实盘净值数据(iFinD）'!$A368="",'实盘净值数据(iFinD）'!$B368="",'实盘净值数据(iFinD）'!$Z368="",'实盘净值数据(iFinD）'!$AA368=""),"",分期持仓明细!$AB$24*(SUMPRODUCT(分期持仓明细!$B$24:$Y$24,'实盘净值数据(iFinD）'!$B368:$Y368/'实盘净值数据(iFinD）'!$B$65:$Y$65)+SUMPRODUCT(分期持仓明细!$AC$24:$AD$24,'实盘净值数据(iFinD）'!$Z368:$AA368/'实盘净值数据(iFinD）'!$Z$65:$AA$65))*(1-实盘持仓初始配置!$Z$8)^(('实盘净值数据(iFinD）'!$A368-'实盘净值数据(iFinD）'!$A$5)/365))</f>
        <v/>
      </c>
      <c r="O368" s="16" t="str">
        <f t="shared" si="34"/>
        <v/>
      </c>
      <c r="P368" s="16" t="str">
        <f>IF(N368="","",N368/MAX(N$5:N368)-1)</f>
        <v/>
      </c>
      <c r="Q368" s="13" t="str">
        <f>IF(OR('实盘净值数据(iFinD）'!$A368="",'实盘净值数据(iFinD）'!$B368="",'实盘净值数据(iFinD）'!$Z368="",'实盘净值数据(iFinD）'!$AA368=""),"",分期持仓明细!$AB$25*(SUMPRODUCT(分期持仓明细!$B$25:$Y$25,'实盘净值数据(iFinD）'!$B368:$Y368/'实盘净值数据(iFinD）'!$B$65:$Y$65)+SUMPRODUCT(分期持仓明细!$AC$25:$AD$25,'实盘净值数据(iFinD）'!$Z368:$AA368/'实盘净值数据(iFinD）'!$Z$65:$AA$65))*(1-实盘持仓初始配置!$Z$9)^(('实盘净值数据(iFinD）'!$A368-'实盘净值数据(iFinD）'!$A$8)/365))</f>
        <v/>
      </c>
      <c r="R368" s="16" t="str">
        <f t="shared" si="35"/>
        <v/>
      </c>
      <c r="S368" s="16" t="str">
        <f>IF(Q368="","",Q368/MAX(Q$5:Q368)-1)</f>
        <v/>
      </c>
      <c r="T368" s="13">
        <f>IF(OR('实盘净值数据(iFinD）'!$A368="",'实盘净值数据(iFinD）'!$B368="",'实盘净值数据(iFinD）'!$Z368="",'实盘净值数据(iFinD）'!$AA368="",'实盘净值数据(iFinD）'!$AB368="",'实盘净值数据(iFinD）'!$AL368=""),"",(SUMPRODUCT(分期持仓明细!$B$26:$Y$26,'实盘净值数据(iFinD）'!$B368:$Y368/'实盘净值数据(iFinD）'!$B$69:$Y$69)+SUMPRODUCT(分期持仓明细!$AC$26:$AD$26,'实盘净值数据(iFinD）'!$Z368:$AA368/'实盘净值数据(iFinD）'!$Z$69:$AA$69)+SUMPRODUCT(分期持仓明细!$AE$26:$AO$26,'实盘净值数据(iFinD）'!$AB368:$AL368/'实盘净值数据(iFinD）'!$AB$69:$AL$69))*(1-实盘持仓初始配置!$Z$10)^(('实盘净值数据(iFinD）'!$A368-'实盘净值数据(iFinD）'!$A$69)/365))</f>
        <v/>
      </c>
      <c r="U368" s="16">
        <f>IF(OR(T367="",T368=""),"",T368/T367-1)</f>
        <v/>
      </c>
      <c r="V368" s="16">
        <f>IF(T368="","",T368/MAX(T$5:T368)-1)</f>
        <v/>
      </c>
    </row>
    <row r="369" spans="1:19">
      <c r="A369" s="15" t="str">
        <f>IF('实盘净值数据(iFinD）'!A369="","",'实盘净值数据(iFinD）'!A369)</f>
        <v/>
      </c>
      <c r="B369" s="13" t="str">
        <f>IF(OR('实盘净值数据(iFinD）'!$A369="",'实盘净值数据(iFinD）'!$B369=""),"",分期持仓明细!$AB$17*SUMPRODUCT(分期持仓明细!$B$17:$Y$17,'实盘净值数据(iFinD）'!$B369:$Y369/'实盘净值数据(iFinD）'!$B$20:$Y$20)*(1-实盘持仓初始配置!$Z$4)^(('实盘净值数据(iFinD）'!$A369-'实盘净值数据(iFinD）'!$A$6)/365))</f>
        <v/>
      </c>
      <c r="C369" s="16" t="str">
        <f t="shared" si="30"/>
        <v/>
      </c>
      <c r="D369" s="16" t="str">
        <f>IF(B369="","",B369/MAX(B$5:B369)-1)</f>
        <v/>
      </c>
      <c r="E369" s="13" t="str">
        <f>IF(OR('实盘净值数据(iFinD）'!$A369="",'实盘净值数据(iFinD）'!$B369=""),"",分期持仓明细!$AB$18*SUMPRODUCT(分期持仓明细!$B$18:$Y$18,'实盘净值数据(iFinD）'!$B369:$Y369/'实盘净值数据(iFinD）'!$B$20:$Y$20)*(1-实盘持仓初始配置!$Z$5)^(('实盘净值数据(iFinD）'!$A369-'实盘净值数据(iFinD）'!$A$5)/365))</f>
        <v/>
      </c>
      <c r="F369" s="16" t="str">
        <f t="shared" si="31"/>
        <v/>
      </c>
      <c r="G369" s="16" t="str">
        <f>IF(E369="","",E369/MAX(E$5:E369)-1)</f>
        <v/>
      </c>
      <c r="H369" s="13" t="str">
        <f>IF(OR('实盘净值数据(iFinD）'!$A369="",'实盘净值数据(iFinD）'!$B369=""),"",分期持仓明细!$AB$19*SUMPRODUCT(分期持仓明细!$B$19:$Y$19,'实盘净值数据(iFinD）'!$B369:$Y369/'实盘净值数据(iFinD）'!$B$20:$Y$20)*(1-实盘持仓初始配置!$Z$6)^(('实盘净值数据(iFinD）'!$A369-'实盘净值数据(iFinD）'!$A$7)/365))</f>
        <v/>
      </c>
      <c r="I369" s="16" t="str">
        <f t="shared" si="32"/>
        <v/>
      </c>
      <c r="J369" s="16" t="str">
        <f>IF(H369="","",H369/MAX(H$5:H369)-1)</f>
        <v/>
      </c>
      <c r="K369" s="13" t="str">
        <f>IF(OR('实盘净值数据(iFinD）'!$A369="",'实盘净值数据(iFinD）'!$B369="",'实盘净值数据(iFinD）'!$Z369="",'实盘净值数据(iFinD）'!$AA369=""),"",分期持仓明细!$AB$23*(SUMPRODUCT(分期持仓明细!$B$23:$Y$23,'实盘净值数据(iFinD）'!$B369:$Y369/'实盘净值数据(iFinD）'!$B$65:$Y$65)+SUMPRODUCT(分期持仓明细!$AC$23:$AD$23,'实盘净值数据(iFinD）'!$Z369:$AA369/'实盘净值数据(iFinD）'!$Z$65:$AA$65))*(1-实盘持仓初始配置!$Z$7)^(('实盘净值数据(iFinD）'!$A369-'实盘净值数据(iFinD）'!$A$8)/365))</f>
        <v/>
      </c>
      <c r="L369" s="16" t="str">
        <f t="shared" si="33"/>
        <v/>
      </c>
      <c r="M369" s="16" t="str">
        <f>IF(K369="","",K369/MAX(K$5:K369)-1)</f>
        <v/>
      </c>
      <c r="N369" s="13" t="str">
        <f>IF(OR('实盘净值数据(iFinD）'!$A369="",'实盘净值数据(iFinD）'!$B369="",'实盘净值数据(iFinD）'!$Z369="",'实盘净值数据(iFinD）'!$AA369=""),"",分期持仓明细!$AB$24*(SUMPRODUCT(分期持仓明细!$B$24:$Y$24,'实盘净值数据(iFinD）'!$B369:$Y369/'实盘净值数据(iFinD）'!$B$65:$Y$65)+SUMPRODUCT(分期持仓明细!$AC$24:$AD$24,'实盘净值数据(iFinD）'!$Z369:$AA369/'实盘净值数据(iFinD）'!$Z$65:$AA$65))*(1-实盘持仓初始配置!$Z$8)^(('实盘净值数据(iFinD）'!$A369-'实盘净值数据(iFinD）'!$A$5)/365))</f>
        <v/>
      </c>
      <c r="O369" s="16" t="str">
        <f t="shared" si="34"/>
        <v/>
      </c>
      <c r="P369" s="16" t="str">
        <f>IF(N369="","",N369/MAX(N$5:N369)-1)</f>
        <v/>
      </c>
      <c r="Q369" s="13" t="str">
        <f>IF(OR('实盘净值数据(iFinD）'!$A369="",'实盘净值数据(iFinD）'!$B369="",'实盘净值数据(iFinD）'!$Z369="",'实盘净值数据(iFinD）'!$AA369=""),"",分期持仓明细!$AB$25*(SUMPRODUCT(分期持仓明细!$B$25:$Y$25,'实盘净值数据(iFinD）'!$B369:$Y369/'实盘净值数据(iFinD）'!$B$65:$Y$65)+SUMPRODUCT(分期持仓明细!$AC$25:$AD$25,'实盘净值数据(iFinD）'!$Z369:$AA369/'实盘净值数据(iFinD）'!$Z$65:$AA$65))*(1-实盘持仓初始配置!$Z$9)^(('实盘净值数据(iFinD）'!$A369-'实盘净值数据(iFinD）'!$A$8)/365))</f>
        <v/>
      </c>
      <c r="R369" s="16" t="str">
        <f t="shared" si="35"/>
        <v/>
      </c>
      <c r="S369" s="16" t="str">
        <f>IF(Q369="","",Q369/MAX(Q$5:Q369)-1)</f>
        <v/>
      </c>
      <c r="T369" s="13">
        <f>IF(OR('实盘净值数据(iFinD）'!$A369="",'实盘净值数据(iFinD）'!$B369="",'实盘净值数据(iFinD）'!$Z369="",'实盘净值数据(iFinD）'!$AA369="",'实盘净值数据(iFinD）'!$AB369="",'实盘净值数据(iFinD）'!$AL369=""),"",(SUMPRODUCT(分期持仓明细!$B$26:$Y$26,'实盘净值数据(iFinD）'!$B369:$Y369/'实盘净值数据(iFinD）'!$B$69:$Y$69)+SUMPRODUCT(分期持仓明细!$AC$26:$AD$26,'实盘净值数据(iFinD）'!$Z369:$AA369/'实盘净值数据(iFinD）'!$Z$69:$AA$69)+SUMPRODUCT(分期持仓明细!$AE$26:$AO$26,'实盘净值数据(iFinD）'!$AB369:$AL369/'实盘净值数据(iFinD）'!$AB$69:$AL$69))*(1-实盘持仓初始配置!$Z$10)^(('实盘净值数据(iFinD）'!$A369-'实盘净值数据(iFinD）'!$A$69)/365))</f>
        <v/>
      </c>
      <c r="U369" s="16">
        <f>IF(OR(T368="",T369=""),"",T369/T368-1)</f>
        <v/>
      </c>
      <c r="V369" s="16">
        <f>IF(T369="","",T369/MAX(T$5:T369)-1)</f>
        <v/>
      </c>
    </row>
    <row r="370" spans="1:19">
      <c r="A370" s="15" t="str">
        <f>IF('实盘净值数据(iFinD）'!A370="","",'实盘净值数据(iFinD）'!A370)</f>
        <v/>
      </c>
      <c r="B370" s="13" t="str">
        <f>IF(OR('实盘净值数据(iFinD）'!$A370="",'实盘净值数据(iFinD）'!$B370=""),"",分期持仓明细!$AB$17*SUMPRODUCT(分期持仓明细!$B$17:$Y$17,'实盘净值数据(iFinD）'!$B370:$Y370/'实盘净值数据(iFinD）'!$B$20:$Y$20)*(1-实盘持仓初始配置!$Z$4)^(('实盘净值数据(iFinD）'!$A370-'实盘净值数据(iFinD）'!$A$6)/365))</f>
        <v/>
      </c>
      <c r="C370" s="16" t="str">
        <f t="shared" si="30"/>
        <v/>
      </c>
      <c r="D370" s="16" t="str">
        <f>IF(B370="","",B370/MAX(B$5:B370)-1)</f>
        <v/>
      </c>
      <c r="E370" s="13" t="str">
        <f>IF(OR('实盘净值数据(iFinD）'!$A370="",'实盘净值数据(iFinD）'!$B370=""),"",分期持仓明细!$AB$18*SUMPRODUCT(分期持仓明细!$B$18:$Y$18,'实盘净值数据(iFinD）'!$B370:$Y370/'实盘净值数据(iFinD）'!$B$20:$Y$20)*(1-实盘持仓初始配置!$Z$5)^(('实盘净值数据(iFinD）'!$A370-'实盘净值数据(iFinD）'!$A$5)/365))</f>
        <v/>
      </c>
      <c r="F370" s="16" t="str">
        <f t="shared" si="31"/>
        <v/>
      </c>
      <c r="G370" s="16" t="str">
        <f>IF(E370="","",E370/MAX(E$5:E370)-1)</f>
        <v/>
      </c>
      <c r="H370" s="13" t="str">
        <f>IF(OR('实盘净值数据(iFinD）'!$A370="",'实盘净值数据(iFinD）'!$B370=""),"",分期持仓明细!$AB$19*SUMPRODUCT(分期持仓明细!$B$19:$Y$19,'实盘净值数据(iFinD）'!$B370:$Y370/'实盘净值数据(iFinD）'!$B$20:$Y$20)*(1-实盘持仓初始配置!$Z$6)^(('实盘净值数据(iFinD）'!$A370-'实盘净值数据(iFinD）'!$A$7)/365))</f>
        <v/>
      </c>
      <c r="I370" s="16" t="str">
        <f t="shared" si="32"/>
        <v/>
      </c>
      <c r="J370" s="16" t="str">
        <f>IF(H370="","",H370/MAX(H$5:H370)-1)</f>
        <v/>
      </c>
      <c r="K370" s="13" t="str">
        <f>IF(OR('实盘净值数据(iFinD）'!$A370="",'实盘净值数据(iFinD）'!$B370="",'实盘净值数据(iFinD）'!$Z370="",'实盘净值数据(iFinD）'!$AA370=""),"",分期持仓明细!$AB$23*(SUMPRODUCT(分期持仓明细!$B$23:$Y$23,'实盘净值数据(iFinD）'!$B370:$Y370/'实盘净值数据(iFinD）'!$B$65:$Y$65)+SUMPRODUCT(分期持仓明细!$AC$23:$AD$23,'实盘净值数据(iFinD）'!$Z370:$AA370/'实盘净值数据(iFinD）'!$Z$65:$AA$65))*(1-实盘持仓初始配置!$Z$7)^(('实盘净值数据(iFinD）'!$A370-'实盘净值数据(iFinD）'!$A$8)/365))</f>
        <v/>
      </c>
      <c r="L370" s="16" t="str">
        <f t="shared" si="33"/>
        <v/>
      </c>
      <c r="M370" s="16" t="str">
        <f>IF(K370="","",K370/MAX(K$5:K370)-1)</f>
        <v/>
      </c>
      <c r="N370" s="13" t="str">
        <f>IF(OR('实盘净值数据(iFinD）'!$A370="",'实盘净值数据(iFinD）'!$B370="",'实盘净值数据(iFinD）'!$Z370="",'实盘净值数据(iFinD）'!$AA370=""),"",分期持仓明细!$AB$24*(SUMPRODUCT(分期持仓明细!$B$24:$Y$24,'实盘净值数据(iFinD）'!$B370:$Y370/'实盘净值数据(iFinD）'!$B$65:$Y$65)+SUMPRODUCT(分期持仓明细!$AC$24:$AD$24,'实盘净值数据(iFinD）'!$Z370:$AA370/'实盘净值数据(iFinD）'!$Z$65:$AA$65))*(1-实盘持仓初始配置!$Z$8)^(('实盘净值数据(iFinD）'!$A370-'实盘净值数据(iFinD）'!$A$5)/365))</f>
        <v/>
      </c>
      <c r="O370" s="16" t="str">
        <f t="shared" si="34"/>
        <v/>
      </c>
      <c r="P370" s="16" t="str">
        <f>IF(N370="","",N370/MAX(N$5:N370)-1)</f>
        <v/>
      </c>
      <c r="Q370" s="13" t="str">
        <f>IF(OR('实盘净值数据(iFinD）'!$A370="",'实盘净值数据(iFinD）'!$B370="",'实盘净值数据(iFinD）'!$Z370="",'实盘净值数据(iFinD）'!$AA370=""),"",分期持仓明细!$AB$25*(SUMPRODUCT(分期持仓明细!$B$25:$Y$25,'实盘净值数据(iFinD）'!$B370:$Y370/'实盘净值数据(iFinD）'!$B$65:$Y$65)+SUMPRODUCT(分期持仓明细!$AC$25:$AD$25,'实盘净值数据(iFinD）'!$Z370:$AA370/'实盘净值数据(iFinD）'!$Z$65:$AA$65))*(1-实盘持仓初始配置!$Z$9)^(('实盘净值数据(iFinD）'!$A370-'实盘净值数据(iFinD）'!$A$8)/365))</f>
        <v/>
      </c>
      <c r="R370" s="16" t="str">
        <f t="shared" si="35"/>
        <v/>
      </c>
      <c r="S370" s="16" t="str">
        <f>IF(Q370="","",Q370/MAX(Q$5:Q370)-1)</f>
        <v/>
      </c>
      <c r="T370" s="13">
        <f>IF(OR('实盘净值数据(iFinD）'!$A370="",'实盘净值数据(iFinD）'!$B370="",'实盘净值数据(iFinD）'!$Z370="",'实盘净值数据(iFinD）'!$AA370="",'实盘净值数据(iFinD）'!$AB370="",'实盘净值数据(iFinD）'!$AL370=""),"",(SUMPRODUCT(分期持仓明细!$B$26:$Y$26,'实盘净值数据(iFinD）'!$B370:$Y370/'实盘净值数据(iFinD）'!$B$69:$Y$69)+SUMPRODUCT(分期持仓明细!$AC$26:$AD$26,'实盘净值数据(iFinD）'!$Z370:$AA370/'实盘净值数据(iFinD）'!$Z$69:$AA$69)+SUMPRODUCT(分期持仓明细!$AE$26:$AO$26,'实盘净值数据(iFinD）'!$AB370:$AL370/'实盘净值数据(iFinD）'!$AB$69:$AL$69))*(1-实盘持仓初始配置!$Z$10)^(('实盘净值数据(iFinD）'!$A370-'实盘净值数据(iFinD）'!$A$69)/365))</f>
        <v/>
      </c>
      <c r="U370" s="16">
        <f>IF(OR(T369="",T370=""),"",T370/T369-1)</f>
        <v/>
      </c>
      <c r="V370" s="16">
        <f>IF(T370="","",T370/MAX(T$5:T370)-1)</f>
        <v/>
      </c>
    </row>
    <row r="371" spans="1:19">
      <c r="A371" s="15" t="str">
        <f>IF('实盘净值数据(iFinD）'!A371="","",'实盘净值数据(iFinD）'!A371)</f>
        <v/>
      </c>
      <c r="B371" s="13" t="str">
        <f>IF(OR('实盘净值数据(iFinD）'!$A371="",'实盘净值数据(iFinD）'!$B371=""),"",分期持仓明细!$AB$17*SUMPRODUCT(分期持仓明细!$B$17:$Y$17,'实盘净值数据(iFinD）'!$B371:$Y371/'实盘净值数据(iFinD）'!$B$20:$Y$20)*(1-实盘持仓初始配置!$Z$4)^(('实盘净值数据(iFinD）'!$A371-'实盘净值数据(iFinD）'!$A$6)/365))</f>
        <v/>
      </c>
      <c r="C371" s="16" t="str">
        <f t="shared" si="30"/>
        <v/>
      </c>
      <c r="D371" s="16" t="str">
        <f>IF(B371="","",B371/MAX(B$5:B371)-1)</f>
        <v/>
      </c>
      <c r="E371" s="13" t="str">
        <f>IF(OR('实盘净值数据(iFinD）'!$A371="",'实盘净值数据(iFinD）'!$B371=""),"",分期持仓明细!$AB$18*SUMPRODUCT(分期持仓明细!$B$18:$Y$18,'实盘净值数据(iFinD）'!$B371:$Y371/'实盘净值数据(iFinD）'!$B$20:$Y$20)*(1-实盘持仓初始配置!$Z$5)^(('实盘净值数据(iFinD）'!$A371-'实盘净值数据(iFinD）'!$A$5)/365))</f>
        <v/>
      </c>
      <c r="F371" s="16" t="str">
        <f t="shared" si="31"/>
        <v/>
      </c>
      <c r="G371" s="16" t="str">
        <f>IF(E371="","",E371/MAX(E$5:E371)-1)</f>
        <v/>
      </c>
      <c r="H371" s="13" t="str">
        <f>IF(OR('实盘净值数据(iFinD）'!$A371="",'实盘净值数据(iFinD）'!$B371=""),"",分期持仓明细!$AB$19*SUMPRODUCT(分期持仓明细!$B$19:$Y$19,'实盘净值数据(iFinD）'!$B371:$Y371/'实盘净值数据(iFinD）'!$B$20:$Y$20)*(1-实盘持仓初始配置!$Z$6)^(('实盘净值数据(iFinD）'!$A371-'实盘净值数据(iFinD）'!$A$7)/365))</f>
        <v/>
      </c>
      <c r="I371" s="16" t="str">
        <f t="shared" si="32"/>
        <v/>
      </c>
      <c r="J371" s="16" t="str">
        <f>IF(H371="","",H371/MAX(H$5:H371)-1)</f>
        <v/>
      </c>
      <c r="K371" s="13" t="str">
        <f>IF(OR('实盘净值数据(iFinD）'!$A371="",'实盘净值数据(iFinD）'!$B371="",'实盘净值数据(iFinD）'!$Z371="",'实盘净值数据(iFinD）'!$AA371=""),"",分期持仓明细!$AB$23*(SUMPRODUCT(分期持仓明细!$B$23:$Y$23,'实盘净值数据(iFinD）'!$B371:$Y371/'实盘净值数据(iFinD）'!$B$65:$Y$65)+SUMPRODUCT(分期持仓明细!$AC$23:$AD$23,'实盘净值数据(iFinD）'!$Z371:$AA371/'实盘净值数据(iFinD）'!$Z$65:$AA$65))*(1-实盘持仓初始配置!$Z$7)^(('实盘净值数据(iFinD）'!$A371-'实盘净值数据(iFinD）'!$A$8)/365))</f>
        <v/>
      </c>
      <c r="L371" s="16" t="str">
        <f t="shared" si="33"/>
        <v/>
      </c>
      <c r="M371" s="16" t="str">
        <f>IF(K371="","",K371/MAX(K$5:K371)-1)</f>
        <v/>
      </c>
      <c r="N371" s="13" t="str">
        <f>IF(OR('实盘净值数据(iFinD）'!$A371="",'实盘净值数据(iFinD）'!$B371="",'实盘净值数据(iFinD）'!$Z371="",'实盘净值数据(iFinD）'!$AA371=""),"",分期持仓明细!$AB$24*(SUMPRODUCT(分期持仓明细!$B$24:$Y$24,'实盘净值数据(iFinD）'!$B371:$Y371/'实盘净值数据(iFinD）'!$B$65:$Y$65)+SUMPRODUCT(分期持仓明细!$AC$24:$AD$24,'实盘净值数据(iFinD）'!$Z371:$AA371/'实盘净值数据(iFinD）'!$Z$65:$AA$65))*(1-实盘持仓初始配置!$Z$8)^(('实盘净值数据(iFinD）'!$A371-'实盘净值数据(iFinD）'!$A$5)/365))</f>
        <v/>
      </c>
      <c r="O371" s="16" t="str">
        <f t="shared" si="34"/>
        <v/>
      </c>
      <c r="P371" s="16" t="str">
        <f>IF(N371="","",N371/MAX(N$5:N371)-1)</f>
        <v/>
      </c>
      <c r="Q371" s="13" t="str">
        <f>IF(OR('实盘净值数据(iFinD）'!$A371="",'实盘净值数据(iFinD）'!$B371="",'实盘净值数据(iFinD）'!$Z371="",'实盘净值数据(iFinD）'!$AA371=""),"",分期持仓明细!$AB$25*(SUMPRODUCT(分期持仓明细!$B$25:$Y$25,'实盘净值数据(iFinD）'!$B371:$Y371/'实盘净值数据(iFinD）'!$B$65:$Y$65)+SUMPRODUCT(分期持仓明细!$AC$25:$AD$25,'实盘净值数据(iFinD）'!$Z371:$AA371/'实盘净值数据(iFinD）'!$Z$65:$AA$65))*(1-实盘持仓初始配置!$Z$9)^(('实盘净值数据(iFinD）'!$A371-'实盘净值数据(iFinD）'!$A$8)/365))</f>
        <v/>
      </c>
      <c r="R371" s="16" t="str">
        <f t="shared" si="35"/>
        <v/>
      </c>
      <c r="S371" s="16" t="str">
        <f>IF(Q371="","",Q371/MAX(Q$5:Q371)-1)</f>
        <v/>
      </c>
      <c r="T371" s="13">
        <f>IF(OR('实盘净值数据(iFinD）'!$A371="",'实盘净值数据(iFinD）'!$B371="",'实盘净值数据(iFinD）'!$Z371="",'实盘净值数据(iFinD）'!$AA371="",'实盘净值数据(iFinD）'!$AB371="",'实盘净值数据(iFinD）'!$AL371=""),"",(SUMPRODUCT(分期持仓明细!$B$26:$Y$26,'实盘净值数据(iFinD）'!$B371:$Y371/'实盘净值数据(iFinD）'!$B$69:$Y$69)+SUMPRODUCT(分期持仓明细!$AC$26:$AD$26,'实盘净值数据(iFinD）'!$Z371:$AA371/'实盘净值数据(iFinD）'!$Z$69:$AA$69)+SUMPRODUCT(分期持仓明细!$AE$26:$AO$26,'实盘净值数据(iFinD）'!$AB371:$AL371/'实盘净值数据(iFinD）'!$AB$69:$AL$69))*(1-实盘持仓初始配置!$Z$10)^(('实盘净值数据(iFinD）'!$A371-'实盘净值数据(iFinD）'!$A$69)/365))</f>
        <v/>
      </c>
      <c r="U371" s="16">
        <f>IF(OR(T370="",T371=""),"",T371/T370-1)</f>
        <v/>
      </c>
      <c r="V371" s="16">
        <f>IF(T371="","",T371/MAX(T$5:T371)-1)</f>
        <v/>
      </c>
    </row>
    <row r="372" spans="1:19">
      <c r="A372" s="15" t="str">
        <f>IF('实盘净值数据(iFinD）'!A372="","",'实盘净值数据(iFinD）'!A372)</f>
        <v/>
      </c>
      <c r="B372" s="13" t="str">
        <f>IF(OR('实盘净值数据(iFinD）'!$A372="",'实盘净值数据(iFinD）'!$B372=""),"",分期持仓明细!$AB$17*SUMPRODUCT(分期持仓明细!$B$17:$Y$17,'实盘净值数据(iFinD）'!$B372:$Y372/'实盘净值数据(iFinD）'!$B$20:$Y$20)*(1-实盘持仓初始配置!$Z$4)^(('实盘净值数据(iFinD）'!$A372-'实盘净值数据(iFinD）'!$A$6)/365))</f>
        <v/>
      </c>
      <c r="C372" s="16" t="str">
        <f t="shared" si="30"/>
        <v/>
      </c>
      <c r="D372" s="16" t="str">
        <f>IF(B372="","",B372/MAX(B$5:B372)-1)</f>
        <v/>
      </c>
      <c r="E372" s="13" t="str">
        <f>IF(OR('实盘净值数据(iFinD）'!$A372="",'实盘净值数据(iFinD）'!$B372=""),"",分期持仓明细!$AB$18*SUMPRODUCT(分期持仓明细!$B$18:$Y$18,'实盘净值数据(iFinD）'!$B372:$Y372/'实盘净值数据(iFinD）'!$B$20:$Y$20)*(1-实盘持仓初始配置!$Z$5)^(('实盘净值数据(iFinD）'!$A372-'实盘净值数据(iFinD）'!$A$5)/365))</f>
        <v/>
      </c>
      <c r="F372" s="16" t="str">
        <f t="shared" si="31"/>
        <v/>
      </c>
      <c r="G372" s="16" t="str">
        <f>IF(E372="","",E372/MAX(E$5:E372)-1)</f>
        <v/>
      </c>
      <c r="H372" s="13" t="str">
        <f>IF(OR('实盘净值数据(iFinD）'!$A372="",'实盘净值数据(iFinD）'!$B372=""),"",分期持仓明细!$AB$19*SUMPRODUCT(分期持仓明细!$B$19:$Y$19,'实盘净值数据(iFinD）'!$B372:$Y372/'实盘净值数据(iFinD）'!$B$20:$Y$20)*(1-实盘持仓初始配置!$Z$6)^(('实盘净值数据(iFinD）'!$A372-'实盘净值数据(iFinD）'!$A$7)/365))</f>
        <v/>
      </c>
      <c r="I372" s="16" t="str">
        <f t="shared" si="32"/>
        <v/>
      </c>
      <c r="J372" s="16" t="str">
        <f>IF(H372="","",H372/MAX(H$5:H372)-1)</f>
        <v/>
      </c>
      <c r="K372" s="13" t="str">
        <f>IF(OR('实盘净值数据(iFinD）'!$A372="",'实盘净值数据(iFinD）'!$B372="",'实盘净值数据(iFinD）'!$Z372="",'实盘净值数据(iFinD）'!$AA372=""),"",分期持仓明细!$AB$23*(SUMPRODUCT(分期持仓明细!$B$23:$Y$23,'实盘净值数据(iFinD）'!$B372:$Y372/'实盘净值数据(iFinD）'!$B$65:$Y$65)+SUMPRODUCT(分期持仓明细!$AC$23:$AD$23,'实盘净值数据(iFinD）'!$Z372:$AA372/'实盘净值数据(iFinD）'!$Z$65:$AA$65))*(1-实盘持仓初始配置!$Z$7)^(('实盘净值数据(iFinD）'!$A372-'实盘净值数据(iFinD）'!$A$8)/365))</f>
        <v/>
      </c>
      <c r="L372" s="16" t="str">
        <f t="shared" si="33"/>
        <v/>
      </c>
      <c r="M372" s="16" t="str">
        <f>IF(K372="","",K372/MAX(K$5:K372)-1)</f>
        <v/>
      </c>
      <c r="N372" s="13" t="str">
        <f>IF(OR('实盘净值数据(iFinD）'!$A372="",'实盘净值数据(iFinD）'!$B372="",'实盘净值数据(iFinD）'!$Z372="",'实盘净值数据(iFinD）'!$AA372=""),"",分期持仓明细!$AB$24*(SUMPRODUCT(分期持仓明细!$B$24:$Y$24,'实盘净值数据(iFinD）'!$B372:$Y372/'实盘净值数据(iFinD）'!$B$65:$Y$65)+SUMPRODUCT(分期持仓明细!$AC$24:$AD$24,'实盘净值数据(iFinD）'!$Z372:$AA372/'实盘净值数据(iFinD）'!$Z$65:$AA$65))*(1-实盘持仓初始配置!$Z$8)^(('实盘净值数据(iFinD）'!$A372-'实盘净值数据(iFinD）'!$A$5)/365))</f>
        <v/>
      </c>
      <c r="O372" s="16" t="str">
        <f t="shared" si="34"/>
        <v/>
      </c>
      <c r="P372" s="16" t="str">
        <f>IF(N372="","",N372/MAX(N$5:N372)-1)</f>
        <v/>
      </c>
      <c r="Q372" s="13" t="str">
        <f>IF(OR('实盘净值数据(iFinD）'!$A372="",'实盘净值数据(iFinD）'!$B372="",'实盘净值数据(iFinD）'!$Z372="",'实盘净值数据(iFinD）'!$AA372=""),"",分期持仓明细!$AB$25*(SUMPRODUCT(分期持仓明细!$B$25:$Y$25,'实盘净值数据(iFinD）'!$B372:$Y372/'实盘净值数据(iFinD）'!$B$65:$Y$65)+SUMPRODUCT(分期持仓明细!$AC$25:$AD$25,'实盘净值数据(iFinD）'!$Z372:$AA372/'实盘净值数据(iFinD）'!$Z$65:$AA$65))*(1-实盘持仓初始配置!$Z$9)^(('实盘净值数据(iFinD）'!$A372-'实盘净值数据(iFinD）'!$A$8)/365))</f>
        <v/>
      </c>
      <c r="R372" s="16" t="str">
        <f t="shared" si="35"/>
        <v/>
      </c>
      <c r="S372" s="16" t="str">
        <f>IF(Q372="","",Q372/MAX(Q$5:Q372)-1)</f>
        <v/>
      </c>
      <c r="T372" s="13">
        <f>IF(OR('实盘净值数据(iFinD）'!$A372="",'实盘净值数据(iFinD）'!$B372="",'实盘净值数据(iFinD）'!$Z372="",'实盘净值数据(iFinD）'!$AA372="",'实盘净值数据(iFinD）'!$AB372="",'实盘净值数据(iFinD）'!$AL372=""),"",(SUMPRODUCT(分期持仓明细!$B$26:$Y$26,'实盘净值数据(iFinD）'!$B372:$Y372/'实盘净值数据(iFinD）'!$B$69:$Y$69)+SUMPRODUCT(分期持仓明细!$AC$26:$AD$26,'实盘净值数据(iFinD）'!$Z372:$AA372/'实盘净值数据(iFinD）'!$Z$69:$AA$69)+SUMPRODUCT(分期持仓明细!$AE$26:$AO$26,'实盘净值数据(iFinD）'!$AB372:$AL372/'实盘净值数据(iFinD）'!$AB$69:$AL$69))*(1-实盘持仓初始配置!$Z$10)^(('实盘净值数据(iFinD）'!$A372-'实盘净值数据(iFinD）'!$A$69)/365))</f>
        <v/>
      </c>
      <c r="U372" s="16">
        <f>IF(OR(T371="",T372=""),"",T372/T371-1)</f>
        <v/>
      </c>
      <c r="V372" s="16">
        <f>IF(T372="","",T372/MAX(T$5:T372)-1)</f>
        <v/>
      </c>
    </row>
    <row r="373" spans="1:19">
      <c r="A373" s="15" t="str">
        <f>IF('实盘净值数据(iFinD）'!A373="","",'实盘净值数据(iFinD）'!A373)</f>
        <v/>
      </c>
      <c r="B373" s="13" t="str">
        <f>IF(OR('实盘净值数据(iFinD）'!$A373="",'实盘净值数据(iFinD）'!$B373=""),"",分期持仓明细!$AB$17*SUMPRODUCT(分期持仓明细!$B$17:$Y$17,'实盘净值数据(iFinD）'!$B373:$Y373/'实盘净值数据(iFinD）'!$B$20:$Y$20)*(1-实盘持仓初始配置!$Z$4)^(('实盘净值数据(iFinD）'!$A373-'实盘净值数据(iFinD）'!$A$6)/365))</f>
        <v/>
      </c>
      <c r="C373" s="16" t="str">
        <f t="shared" si="30"/>
        <v/>
      </c>
      <c r="D373" s="16" t="str">
        <f>IF(B373="","",B373/MAX(B$5:B373)-1)</f>
        <v/>
      </c>
      <c r="E373" s="13" t="str">
        <f>IF(OR('实盘净值数据(iFinD）'!$A373="",'实盘净值数据(iFinD）'!$B373=""),"",分期持仓明细!$AB$18*SUMPRODUCT(分期持仓明细!$B$18:$Y$18,'实盘净值数据(iFinD）'!$B373:$Y373/'实盘净值数据(iFinD）'!$B$20:$Y$20)*(1-实盘持仓初始配置!$Z$5)^(('实盘净值数据(iFinD）'!$A373-'实盘净值数据(iFinD）'!$A$5)/365))</f>
        <v/>
      </c>
      <c r="F373" s="16" t="str">
        <f t="shared" si="31"/>
        <v/>
      </c>
      <c r="G373" s="16" t="str">
        <f>IF(E373="","",E373/MAX(E$5:E373)-1)</f>
        <v/>
      </c>
      <c r="H373" s="13" t="str">
        <f>IF(OR('实盘净值数据(iFinD）'!$A373="",'实盘净值数据(iFinD）'!$B373=""),"",分期持仓明细!$AB$19*SUMPRODUCT(分期持仓明细!$B$19:$Y$19,'实盘净值数据(iFinD）'!$B373:$Y373/'实盘净值数据(iFinD）'!$B$20:$Y$20)*(1-实盘持仓初始配置!$Z$6)^(('实盘净值数据(iFinD）'!$A373-'实盘净值数据(iFinD）'!$A$7)/365))</f>
        <v/>
      </c>
      <c r="I373" s="16" t="str">
        <f t="shared" si="32"/>
        <v/>
      </c>
      <c r="J373" s="16" t="str">
        <f>IF(H373="","",H373/MAX(H$5:H373)-1)</f>
        <v/>
      </c>
      <c r="K373" s="13" t="str">
        <f>IF(OR('实盘净值数据(iFinD）'!$A373="",'实盘净值数据(iFinD）'!$B373="",'实盘净值数据(iFinD）'!$Z373="",'实盘净值数据(iFinD）'!$AA373=""),"",分期持仓明细!$AB$23*(SUMPRODUCT(分期持仓明细!$B$23:$Y$23,'实盘净值数据(iFinD）'!$B373:$Y373/'实盘净值数据(iFinD）'!$B$65:$Y$65)+SUMPRODUCT(分期持仓明细!$AC$23:$AD$23,'实盘净值数据(iFinD）'!$Z373:$AA373/'实盘净值数据(iFinD）'!$Z$65:$AA$65))*(1-实盘持仓初始配置!$Z$7)^(('实盘净值数据(iFinD）'!$A373-'实盘净值数据(iFinD）'!$A$8)/365))</f>
        <v/>
      </c>
      <c r="L373" s="16" t="str">
        <f t="shared" si="33"/>
        <v/>
      </c>
      <c r="M373" s="16" t="str">
        <f>IF(K373="","",K373/MAX(K$5:K373)-1)</f>
        <v/>
      </c>
      <c r="N373" s="13" t="str">
        <f>IF(OR('实盘净值数据(iFinD）'!$A373="",'实盘净值数据(iFinD）'!$B373="",'实盘净值数据(iFinD）'!$Z373="",'实盘净值数据(iFinD）'!$AA373=""),"",分期持仓明细!$AB$24*(SUMPRODUCT(分期持仓明细!$B$24:$Y$24,'实盘净值数据(iFinD）'!$B373:$Y373/'实盘净值数据(iFinD）'!$B$65:$Y$65)+SUMPRODUCT(分期持仓明细!$AC$24:$AD$24,'实盘净值数据(iFinD）'!$Z373:$AA373/'实盘净值数据(iFinD）'!$Z$65:$AA$65))*(1-实盘持仓初始配置!$Z$8)^(('实盘净值数据(iFinD）'!$A373-'实盘净值数据(iFinD）'!$A$5)/365))</f>
        <v/>
      </c>
      <c r="O373" s="16" t="str">
        <f t="shared" si="34"/>
        <v/>
      </c>
      <c r="P373" s="16" t="str">
        <f>IF(N373="","",N373/MAX(N$5:N373)-1)</f>
        <v/>
      </c>
      <c r="Q373" s="13" t="str">
        <f>IF(OR('实盘净值数据(iFinD）'!$A373="",'实盘净值数据(iFinD）'!$B373="",'实盘净值数据(iFinD）'!$Z373="",'实盘净值数据(iFinD）'!$AA373=""),"",分期持仓明细!$AB$25*(SUMPRODUCT(分期持仓明细!$B$25:$Y$25,'实盘净值数据(iFinD）'!$B373:$Y373/'实盘净值数据(iFinD）'!$B$65:$Y$65)+SUMPRODUCT(分期持仓明细!$AC$25:$AD$25,'实盘净值数据(iFinD）'!$Z373:$AA373/'实盘净值数据(iFinD）'!$Z$65:$AA$65))*(1-实盘持仓初始配置!$Z$9)^(('实盘净值数据(iFinD）'!$A373-'实盘净值数据(iFinD）'!$A$8)/365))</f>
        <v/>
      </c>
      <c r="R373" s="16" t="str">
        <f t="shared" si="35"/>
        <v/>
      </c>
      <c r="S373" s="16" t="str">
        <f>IF(Q373="","",Q373/MAX(Q$5:Q373)-1)</f>
        <v/>
      </c>
      <c r="T373" s="13">
        <f>IF(OR('实盘净值数据(iFinD）'!$A373="",'实盘净值数据(iFinD）'!$B373="",'实盘净值数据(iFinD）'!$Z373="",'实盘净值数据(iFinD）'!$AA373="",'实盘净值数据(iFinD）'!$AB373="",'实盘净值数据(iFinD）'!$AL373=""),"",(SUMPRODUCT(分期持仓明细!$B$26:$Y$26,'实盘净值数据(iFinD）'!$B373:$Y373/'实盘净值数据(iFinD）'!$B$69:$Y$69)+SUMPRODUCT(分期持仓明细!$AC$26:$AD$26,'实盘净值数据(iFinD）'!$Z373:$AA373/'实盘净值数据(iFinD）'!$Z$69:$AA$69)+SUMPRODUCT(分期持仓明细!$AE$26:$AO$26,'实盘净值数据(iFinD）'!$AB373:$AL373/'实盘净值数据(iFinD）'!$AB$69:$AL$69))*(1-实盘持仓初始配置!$Z$10)^(('实盘净值数据(iFinD）'!$A373-'实盘净值数据(iFinD）'!$A$69)/365))</f>
        <v/>
      </c>
      <c r="U373" s="16">
        <f>IF(OR(T372="",T373=""),"",T373/T372-1)</f>
        <v/>
      </c>
      <c r="V373" s="16">
        <f>IF(T373="","",T373/MAX(T$5:T373)-1)</f>
        <v/>
      </c>
    </row>
    <row r="374" spans="1:19">
      <c r="A374" s="15" t="str">
        <f>IF('实盘净值数据(iFinD）'!A374="","",'实盘净值数据(iFinD）'!A374)</f>
        <v/>
      </c>
      <c r="B374" s="13" t="str">
        <f>IF(OR('实盘净值数据(iFinD）'!$A374="",'实盘净值数据(iFinD）'!$B374=""),"",分期持仓明细!$AB$17*SUMPRODUCT(分期持仓明细!$B$17:$Y$17,'实盘净值数据(iFinD）'!$B374:$Y374/'实盘净值数据(iFinD）'!$B$20:$Y$20)*(1-实盘持仓初始配置!$Z$4)^(('实盘净值数据(iFinD）'!$A374-'实盘净值数据(iFinD）'!$A$6)/365))</f>
        <v/>
      </c>
      <c r="C374" s="16" t="str">
        <f t="shared" si="30"/>
        <v/>
      </c>
      <c r="D374" s="16" t="str">
        <f>IF(B374="","",B374/MAX(B$5:B374)-1)</f>
        <v/>
      </c>
      <c r="E374" s="13" t="str">
        <f>IF(OR('实盘净值数据(iFinD）'!$A374="",'实盘净值数据(iFinD）'!$B374=""),"",分期持仓明细!$AB$18*SUMPRODUCT(分期持仓明细!$B$18:$Y$18,'实盘净值数据(iFinD）'!$B374:$Y374/'实盘净值数据(iFinD）'!$B$20:$Y$20)*(1-实盘持仓初始配置!$Z$5)^(('实盘净值数据(iFinD）'!$A374-'实盘净值数据(iFinD）'!$A$5)/365))</f>
        <v/>
      </c>
      <c r="F374" s="16" t="str">
        <f t="shared" si="31"/>
        <v/>
      </c>
      <c r="G374" s="16" t="str">
        <f>IF(E374="","",E374/MAX(E$5:E374)-1)</f>
        <v/>
      </c>
      <c r="H374" s="13" t="str">
        <f>IF(OR('实盘净值数据(iFinD）'!$A374="",'实盘净值数据(iFinD）'!$B374=""),"",分期持仓明细!$AB$19*SUMPRODUCT(分期持仓明细!$B$19:$Y$19,'实盘净值数据(iFinD）'!$B374:$Y374/'实盘净值数据(iFinD）'!$B$20:$Y$20)*(1-实盘持仓初始配置!$Z$6)^(('实盘净值数据(iFinD）'!$A374-'实盘净值数据(iFinD）'!$A$7)/365))</f>
        <v/>
      </c>
      <c r="I374" s="16" t="str">
        <f t="shared" si="32"/>
        <v/>
      </c>
      <c r="J374" s="16" t="str">
        <f>IF(H374="","",H374/MAX(H$5:H374)-1)</f>
        <v/>
      </c>
      <c r="K374" s="13" t="str">
        <f>IF(OR('实盘净值数据(iFinD）'!$A374="",'实盘净值数据(iFinD）'!$B374="",'实盘净值数据(iFinD）'!$Z374="",'实盘净值数据(iFinD）'!$AA374=""),"",分期持仓明细!$AB$23*(SUMPRODUCT(分期持仓明细!$B$23:$Y$23,'实盘净值数据(iFinD）'!$B374:$Y374/'实盘净值数据(iFinD）'!$B$65:$Y$65)+SUMPRODUCT(分期持仓明细!$AC$23:$AD$23,'实盘净值数据(iFinD）'!$Z374:$AA374/'实盘净值数据(iFinD）'!$Z$65:$AA$65))*(1-实盘持仓初始配置!$Z$7)^(('实盘净值数据(iFinD）'!$A374-'实盘净值数据(iFinD）'!$A$8)/365))</f>
        <v/>
      </c>
      <c r="L374" s="16" t="str">
        <f t="shared" si="33"/>
        <v/>
      </c>
      <c r="M374" s="16" t="str">
        <f>IF(K374="","",K374/MAX(K$5:K374)-1)</f>
        <v/>
      </c>
      <c r="N374" s="13" t="str">
        <f>IF(OR('实盘净值数据(iFinD）'!$A374="",'实盘净值数据(iFinD）'!$B374="",'实盘净值数据(iFinD）'!$Z374="",'实盘净值数据(iFinD）'!$AA374=""),"",分期持仓明细!$AB$24*(SUMPRODUCT(分期持仓明细!$B$24:$Y$24,'实盘净值数据(iFinD）'!$B374:$Y374/'实盘净值数据(iFinD）'!$B$65:$Y$65)+SUMPRODUCT(分期持仓明细!$AC$24:$AD$24,'实盘净值数据(iFinD）'!$Z374:$AA374/'实盘净值数据(iFinD）'!$Z$65:$AA$65))*(1-实盘持仓初始配置!$Z$8)^(('实盘净值数据(iFinD）'!$A374-'实盘净值数据(iFinD）'!$A$5)/365))</f>
        <v/>
      </c>
      <c r="O374" s="16" t="str">
        <f t="shared" si="34"/>
        <v/>
      </c>
      <c r="P374" s="16" t="str">
        <f>IF(N374="","",N374/MAX(N$5:N374)-1)</f>
        <v/>
      </c>
      <c r="Q374" s="13" t="str">
        <f>IF(OR('实盘净值数据(iFinD）'!$A374="",'实盘净值数据(iFinD）'!$B374="",'实盘净值数据(iFinD）'!$Z374="",'实盘净值数据(iFinD）'!$AA374=""),"",分期持仓明细!$AB$25*(SUMPRODUCT(分期持仓明细!$B$25:$Y$25,'实盘净值数据(iFinD）'!$B374:$Y374/'实盘净值数据(iFinD）'!$B$65:$Y$65)+SUMPRODUCT(分期持仓明细!$AC$25:$AD$25,'实盘净值数据(iFinD）'!$Z374:$AA374/'实盘净值数据(iFinD）'!$Z$65:$AA$65))*(1-实盘持仓初始配置!$Z$9)^(('实盘净值数据(iFinD）'!$A374-'实盘净值数据(iFinD）'!$A$8)/365))</f>
        <v/>
      </c>
      <c r="R374" s="16" t="str">
        <f t="shared" si="35"/>
        <v/>
      </c>
      <c r="S374" s="16" t="str">
        <f>IF(Q374="","",Q374/MAX(Q$5:Q374)-1)</f>
        <v/>
      </c>
      <c r="T374" s="13">
        <f>IF(OR('实盘净值数据(iFinD）'!$A374="",'实盘净值数据(iFinD）'!$B374="",'实盘净值数据(iFinD）'!$Z374="",'实盘净值数据(iFinD）'!$AA374="",'实盘净值数据(iFinD）'!$AB374="",'实盘净值数据(iFinD）'!$AL374=""),"",(SUMPRODUCT(分期持仓明细!$B$26:$Y$26,'实盘净值数据(iFinD）'!$B374:$Y374/'实盘净值数据(iFinD）'!$B$69:$Y$69)+SUMPRODUCT(分期持仓明细!$AC$26:$AD$26,'实盘净值数据(iFinD）'!$Z374:$AA374/'实盘净值数据(iFinD）'!$Z$69:$AA$69)+SUMPRODUCT(分期持仓明细!$AE$26:$AO$26,'实盘净值数据(iFinD）'!$AB374:$AL374/'实盘净值数据(iFinD）'!$AB$69:$AL$69))*(1-实盘持仓初始配置!$Z$10)^(('实盘净值数据(iFinD）'!$A374-'实盘净值数据(iFinD）'!$A$69)/365))</f>
        <v/>
      </c>
      <c r="U374" s="16">
        <f>IF(OR(T373="",T374=""),"",T374/T373-1)</f>
        <v/>
      </c>
      <c r="V374" s="16">
        <f>IF(T374="","",T374/MAX(T$5:T374)-1)</f>
        <v/>
      </c>
    </row>
    <row r="375" spans="1:19">
      <c r="A375" s="15" t="str">
        <f>IF('实盘净值数据(iFinD）'!A375="","",'实盘净值数据(iFinD）'!A375)</f>
        <v/>
      </c>
      <c r="B375" s="13" t="str">
        <f>IF(OR('实盘净值数据(iFinD）'!$A375="",'实盘净值数据(iFinD）'!$B375=""),"",分期持仓明细!$AB$17*SUMPRODUCT(分期持仓明细!$B$17:$Y$17,'实盘净值数据(iFinD）'!$B375:$Y375/'实盘净值数据(iFinD）'!$B$20:$Y$20)*(1-实盘持仓初始配置!$Z$4)^(('实盘净值数据(iFinD）'!$A375-'实盘净值数据(iFinD）'!$A$6)/365))</f>
        <v/>
      </c>
      <c r="C375" s="16" t="str">
        <f t="shared" si="30"/>
        <v/>
      </c>
      <c r="D375" s="16" t="str">
        <f>IF(B375="","",B375/MAX(B$5:B375)-1)</f>
        <v/>
      </c>
      <c r="E375" s="13" t="str">
        <f>IF(OR('实盘净值数据(iFinD）'!$A375="",'实盘净值数据(iFinD）'!$B375=""),"",分期持仓明细!$AB$18*SUMPRODUCT(分期持仓明细!$B$18:$Y$18,'实盘净值数据(iFinD）'!$B375:$Y375/'实盘净值数据(iFinD）'!$B$20:$Y$20)*(1-实盘持仓初始配置!$Z$5)^(('实盘净值数据(iFinD）'!$A375-'实盘净值数据(iFinD）'!$A$5)/365))</f>
        <v/>
      </c>
      <c r="F375" s="16" t="str">
        <f t="shared" si="31"/>
        <v/>
      </c>
      <c r="G375" s="16" t="str">
        <f>IF(E375="","",E375/MAX(E$5:E375)-1)</f>
        <v/>
      </c>
      <c r="H375" s="13" t="str">
        <f>IF(OR('实盘净值数据(iFinD）'!$A375="",'实盘净值数据(iFinD）'!$B375=""),"",分期持仓明细!$AB$19*SUMPRODUCT(分期持仓明细!$B$19:$Y$19,'实盘净值数据(iFinD）'!$B375:$Y375/'实盘净值数据(iFinD）'!$B$20:$Y$20)*(1-实盘持仓初始配置!$Z$6)^(('实盘净值数据(iFinD）'!$A375-'实盘净值数据(iFinD）'!$A$7)/365))</f>
        <v/>
      </c>
      <c r="I375" s="16" t="str">
        <f t="shared" si="32"/>
        <v/>
      </c>
      <c r="J375" s="16" t="str">
        <f>IF(H375="","",H375/MAX(H$5:H375)-1)</f>
        <v/>
      </c>
      <c r="K375" s="13" t="str">
        <f>IF(OR('实盘净值数据(iFinD）'!$A375="",'实盘净值数据(iFinD）'!$B375="",'实盘净值数据(iFinD）'!$Z375="",'实盘净值数据(iFinD）'!$AA375=""),"",分期持仓明细!$AB$23*(SUMPRODUCT(分期持仓明细!$B$23:$Y$23,'实盘净值数据(iFinD）'!$B375:$Y375/'实盘净值数据(iFinD）'!$B$65:$Y$65)+SUMPRODUCT(分期持仓明细!$AC$23:$AD$23,'实盘净值数据(iFinD）'!$Z375:$AA375/'实盘净值数据(iFinD）'!$Z$65:$AA$65))*(1-实盘持仓初始配置!$Z$7)^(('实盘净值数据(iFinD）'!$A375-'实盘净值数据(iFinD）'!$A$8)/365))</f>
        <v/>
      </c>
      <c r="L375" s="16" t="str">
        <f t="shared" si="33"/>
        <v/>
      </c>
      <c r="M375" s="16" t="str">
        <f>IF(K375="","",K375/MAX(K$5:K375)-1)</f>
        <v/>
      </c>
      <c r="N375" s="13" t="str">
        <f>IF(OR('实盘净值数据(iFinD）'!$A375="",'实盘净值数据(iFinD）'!$B375="",'实盘净值数据(iFinD）'!$Z375="",'实盘净值数据(iFinD）'!$AA375=""),"",分期持仓明细!$AB$24*(SUMPRODUCT(分期持仓明细!$B$24:$Y$24,'实盘净值数据(iFinD）'!$B375:$Y375/'实盘净值数据(iFinD）'!$B$65:$Y$65)+SUMPRODUCT(分期持仓明细!$AC$24:$AD$24,'实盘净值数据(iFinD）'!$Z375:$AA375/'实盘净值数据(iFinD）'!$Z$65:$AA$65))*(1-实盘持仓初始配置!$Z$8)^(('实盘净值数据(iFinD）'!$A375-'实盘净值数据(iFinD）'!$A$5)/365))</f>
        <v/>
      </c>
      <c r="O375" s="16" t="str">
        <f t="shared" si="34"/>
        <v/>
      </c>
      <c r="P375" s="16" t="str">
        <f>IF(N375="","",N375/MAX(N$5:N375)-1)</f>
        <v/>
      </c>
      <c r="Q375" s="13" t="str">
        <f>IF(OR('实盘净值数据(iFinD）'!$A375="",'实盘净值数据(iFinD）'!$B375="",'实盘净值数据(iFinD）'!$Z375="",'实盘净值数据(iFinD）'!$AA375=""),"",分期持仓明细!$AB$25*(SUMPRODUCT(分期持仓明细!$B$25:$Y$25,'实盘净值数据(iFinD）'!$B375:$Y375/'实盘净值数据(iFinD）'!$B$65:$Y$65)+SUMPRODUCT(分期持仓明细!$AC$25:$AD$25,'实盘净值数据(iFinD）'!$Z375:$AA375/'实盘净值数据(iFinD）'!$Z$65:$AA$65))*(1-实盘持仓初始配置!$Z$9)^(('实盘净值数据(iFinD）'!$A375-'实盘净值数据(iFinD）'!$A$8)/365))</f>
        <v/>
      </c>
      <c r="R375" s="16" t="str">
        <f t="shared" si="35"/>
        <v/>
      </c>
      <c r="S375" s="16" t="str">
        <f>IF(Q375="","",Q375/MAX(Q$5:Q375)-1)</f>
        <v/>
      </c>
      <c r="T375" s="13">
        <f>IF(OR('实盘净值数据(iFinD）'!$A375="",'实盘净值数据(iFinD）'!$B375="",'实盘净值数据(iFinD）'!$Z375="",'实盘净值数据(iFinD）'!$AA375="",'实盘净值数据(iFinD）'!$AB375="",'实盘净值数据(iFinD）'!$AL375=""),"",(SUMPRODUCT(分期持仓明细!$B$26:$Y$26,'实盘净值数据(iFinD）'!$B375:$Y375/'实盘净值数据(iFinD）'!$B$69:$Y$69)+SUMPRODUCT(分期持仓明细!$AC$26:$AD$26,'实盘净值数据(iFinD）'!$Z375:$AA375/'实盘净值数据(iFinD）'!$Z$69:$AA$69)+SUMPRODUCT(分期持仓明细!$AE$26:$AO$26,'实盘净值数据(iFinD）'!$AB375:$AL375/'实盘净值数据(iFinD）'!$AB$69:$AL$69))*(1-实盘持仓初始配置!$Z$10)^(('实盘净值数据(iFinD）'!$A375-'实盘净值数据(iFinD）'!$A$69)/365))</f>
        <v/>
      </c>
      <c r="U375" s="16">
        <f>IF(OR(T374="",T375=""),"",T375/T374-1)</f>
        <v/>
      </c>
      <c r="V375" s="16">
        <f>IF(T375="","",T375/MAX(T$5:T375)-1)</f>
        <v/>
      </c>
    </row>
    <row r="376" spans="1:19">
      <c r="A376" s="15" t="str">
        <f>IF('实盘净值数据(iFinD）'!A376="","",'实盘净值数据(iFinD）'!A376)</f>
        <v/>
      </c>
      <c r="B376" s="13" t="str">
        <f>IF(OR('实盘净值数据(iFinD）'!$A376="",'实盘净值数据(iFinD）'!$B376=""),"",分期持仓明细!$AB$17*SUMPRODUCT(分期持仓明细!$B$17:$Y$17,'实盘净值数据(iFinD）'!$B376:$Y376/'实盘净值数据(iFinD）'!$B$20:$Y$20)*(1-实盘持仓初始配置!$Z$4)^(('实盘净值数据(iFinD）'!$A376-'实盘净值数据(iFinD）'!$A$6)/365))</f>
        <v/>
      </c>
      <c r="C376" s="16" t="str">
        <f t="shared" si="30"/>
        <v/>
      </c>
      <c r="D376" s="16" t="str">
        <f>IF(B376="","",B376/MAX(B$5:B376)-1)</f>
        <v/>
      </c>
      <c r="E376" s="13" t="str">
        <f>IF(OR('实盘净值数据(iFinD）'!$A376="",'实盘净值数据(iFinD）'!$B376=""),"",分期持仓明细!$AB$18*SUMPRODUCT(分期持仓明细!$B$18:$Y$18,'实盘净值数据(iFinD）'!$B376:$Y376/'实盘净值数据(iFinD）'!$B$20:$Y$20)*(1-实盘持仓初始配置!$Z$5)^(('实盘净值数据(iFinD）'!$A376-'实盘净值数据(iFinD）'!$A$5)/365))</f>
        <v/>
      </c>
      <c r="F376" s="16" t="str">
        <f t="shared" si="31"/>
        <v/>
      </c>
      <c r="G376" s="16" t="str">
        <f>IF(E376="","",E376/MAX(E$5:E376)-1)</f>
        <v/>
      </c>
      <c r="H376" s="13" t="str">
        <f>IF(OR('实盘净值数据(iFinD）'!$A376="",'实盘净值数据(iFinD）'!$B376=""),"",分期持仓明细!$AB$19*SUMPRODUCT(分期持仓明细!$B$19:$Y$19,'实盘净值数据(iFinD）'!$B376:$Y376/'实盘净值数据(iFinD）'!$B$20:$Y$20)*(1-实盘持仓初始配置!$Z$6)^(('实盘净值数据(iFinD）'!$A376-'实盘净值数据(iFinD）'!$A$7)/365))</f>
        <v/>
      </c>
      <c r="I376" s="16" t="str">
        <f t="shared" si="32"/>
        <v/>
      </c>
      <c r="J376" s="16" t="str">
        <f>IF(H376="","",H376/MAX(H$5:H376)-1)</f>
        <v/>
      </c>
      <c r="K376" s="13" t="str">
        <f>IF(OR('实盘净值数据(iFinD）'!$A376="",'实盘净值数据(iFinD）'!$B376="",'实盘净值数据(iFinD）'!$Z376="",'实盘净值数据(iFinD）'!$AA376=""),"",分期持仓明细!$AB$23*(SUMPRODUCT(分期持仓明细!$B$23:$Y$23,'实盘净值数据(iFinD）'!$B376:$Y376/'实盘净值数据(iFinD）'!$B$65:$Y$65)+SUMPRODUCT(分期持仓明细!$AC$23:$AD$23,'实盘净值数据(iFinD）'!$Z376:$AA376/'实盘净值数据(iFinD）'!$Z$65:$AA$65))*(1-实盘持仓初始配置!$Z$7)^(('实盘净值数据(iFinD）'!$A376-'实盘净值数据(iFinD）'!$A$8)/365))</f>
        <v/>
      </c>
      <c r="L376" s="16" t="str">
        <f t="shared" si="33"/>
        <v/>
      </c>
      <c r="M376" s="16" t="str">
        <f>IF(K376="","",K376/MAX(K$5:K376)-1)</f>
        <v/>
      </c>
      <c r="N376" s="13" t="str">
        <f>IF(OR('实盘净值数据(iFinD）'!$A376="",'实盘净值数据(iFinD）'!$B376="",'实盘净值数据(iFinD）'!$Z376="",'实盘净值数据(iFinD）'!$AA376=""),"",分期持仓明细!$AB$24*(SUMPRODUCT(分期持仓明细!$B$24:$Y$24,'实盘净值数据(iFinD）'!$B376:$Y376/'实盘净值数据(iFinD）'!$B$65:$Y$65)+SUMPRODUCT(分期持仓明细!$AC$24:$AD$24,'实盘净值数据(iFinD）'!$Z376:$AA376/'实盘净值数据(iFinD）'!$Z$65:$AA$65))*(1-实盘持仓初始配置!$Z$8)^(('实盘净值数据(iFinD）'!$A376-'实盘净值数据(iFinD）'!$A$5)/365))</f>
        <v/>
      </c>
      <c r="O376" s="16" t="str">
        <f t="shared" si="34"/>
        <v/>
      </c>
      <c r="P376" s="16" t="str">
        <f>IF(N376="","",N376/MAX(N$5:N376)-1)</f>
        <v/>
      </c>
      <c r="Q376" s="13" t="str">
        <f>IF(OR('实盘净值数据(iFinD）'!$A376="",'实盘净值数据(iFinD）'!$B376="",'实盘净值数据(iFinD）'!$Z376="",'实盘净值数据(iFinD）'!$AA376=""),"",分期持仓明细!$AB$25*(SUMPRODUCT(分期持仓明细!$B$25:$Y$25,'实盘净值数据(iFinD）'!$B376:$Y376/'实盘净值数据(iFinD）'!$B$65:$Y$65)+SUMPRODUCT(分期持仓明细!$AC$25:$AD$25,'实盘净值数据(iFinD）'!$Z376:$AA376/'实盘净值数据(iFinD）'!$Z$65:$AA$65))*(1-实盘持仓初始配置!$Z$9)^(('实盘净值数据(iFinD）'!$A376-'实盘净值数据(iFinD）'!$A$8)/365))</f>
        <v/>
      </c>
      <c r="R376" s="16" t="str">
        <f t="shared" si="35"/>
        <v/>
      </c>
      <c r="S376" s="16" t="str">
        <f>IF(Q376="","",Q376/MAX(Q$5:Q376)-1)</f>
        <v/>
      </c>
      <c r="T376" s="13">
        <f>IF(OR('实盘净值数据(iFinD）'!$A376="",'实盘净值数据(iFinD）'!$B376="",'实盘净值数据(iFinD）'!$Z376="",'实盘净值数据(iFinD）'!$AA376="",'实盘净值数据(iFinD）'!$AB376="",'实盘净值数据(iFinD）'!$AL376=""),"",(SUMPRODUCT(分期持仓明细!$B$26:$Y$26,'实盘净值数据(iFinD）'!$B376:$Y376/'实盘净值数据(iFinD）'!$B$69:$Y$69)+SUMPRODUCT(分期持仓明细!$AC$26:$AD$26,'实盘净值数据(iFinD）'!$Z376:$AA376/'实盘净值数据(iFinD）'!$Z$69:$AA$69)+SUMPRODUCT(分期持仓明细!$AE$26:$AO$26,'实盘净值数据(iFinD）'!$AB376:$AL376/'实盘净值数据(iFinD）'!$AB$69:$AL$69))*(1-实盘持仓初始配置!$Z$10)^(('实盘净值数据(iFinD）'!$A376-'实盘净值数据(iFinD）'!$A$69)/365))</f>
        <v/>
      </c>
      <c r="U376" s="16">
        <f>IF(OR(T375="",T376=""),"",T376/T375-1)</f>
        <v/>
      </c>
      <c r="V376" s="16">
        <f>IF(T376="","",T376/MAX(T$5:T376)-1)</f>
        <v/>
      </c>
    </row>
    <row r="377" spans="1:19">
      <c r="A377" s="15" t="str">
        <f>IF('实盘净值数据(iFinD）'!A377="","",'实盘净值数据(iFinD）'!A377)</f>
        <v/>
      </c>
      <c r="B377" s="13" t="str">
        <f>IF(OR('实盘净值数据(iFinD）'!$A377="",'实盘净值数据(iFinD）'!$B377=""),"",分期持仓明细!$AB$17*SUMPRODUCT(分期持仓明细!$B$17:$Y$17,'实盘净值数据(iFinD）'!$B377:$Y377/'实盘净值数据(iFinD）'!$B$20:$Y$20)*(1-实盘持仓初始配置!$Z$4)^(('实盘净值数据(iFinD）'!$A377-'实盘净值数据(iFinD）'!$A$6)/365))</f>
        <v/>
      </c>
      <c r="C377" s="16" t="str">
        <f t="shared" si="30"/>
        <v/>
      </c>
      <c r="D377" s="16" t="str">
        <f>IF(B377="","",B377/MAX(B$5:B377)-1)</f>
        <v/>
      </c>
      <c r="E377" s="13" t="str">
        <f>IF(OR('实盘净值数据(iFinD）'!$A377="",'实盘净值数据(iFinD）'!$B377=""),"",分期持仓明细!$AB$18*SUMPRODUCT(分期持仓明细!$B$18:$Y$18,'实盘净值数据(iFinD）'!$B377:$Y377/'实盘净值数据(iFinD）'!$B$20:$Y$20)*(1-实盘持仓初始配置!$Z$5)^(('实盘净值数据(iFinD）'!$A377-'实盘净值数据(iFinD）'!$A$5)/365))</f>
        <v/>
      </c>
      <c r="F377" s="16" t="str">
        <f t="shared" si="31"/>
        <v/>
      </c>
      <c r="G377" s="16" t="str">
        <f>IF(E377="","",E377/MAX(E$5:E377)-1)</f>
        <v/>
      </c>
      <c r="H377" s="13" t="str">
        <f>IF(OR('实盘净值数据(iFinD）'!$A377="",'实盘净值数据(iFinD）'!$B377=""),"",分期持仓明细!$AB$19*SUMPRODUCT(分期持仓明细!$B$19:$Y$19,'实盘净值数据(iFinD）'!$B377:$Y377/'实盘净值数据(iFinD）'!$B$20:$Y$20)*(1-实盘持仓初始配置!$Z$6)^(('实盘净值数据(iFinD）'!$A377-'实盘净值数据(iFinD）'!$A$7)/365))</f>
        <v/>
      </c>
      <c r="I377" s="16" t="str">
        <f t="shared" si="32"/>
        <v/>
      </c>
      <c r="J377" s="16" t="str">
        <f>IF(H377="","",H377/MAX(H$5:H377)-1)</f>
        <v/>
      </c>
      <c r="K377" s="13" t="str">
        <f>IF(OR('实盘净值数据(iFinD）'!$A377="",'实盘净值数据(iFinD）'!$B377="",'实盘净值数据(iFinD）'!$Z377="",'实盘净值数据(iFinD）'!$AA377=""),"",分期持仓明细!$AB$23*(SUMPRODUCT(分期持仓明细!$B$23:$Y$23,'实盘净值数据(iFinD）'!$B377:$Y377/'实盘净值数据(iFinD）'!$B$65:$Y$65)+SUMPRODUCT(分期持仓明细!$AC$23:$AD$23,'实盘净值数据(iFinD）'!$Z377:$AA377/'实盘净值数据(iFinD）'!$Z$65:$AA$65))*(1-实盘持仓初始配置!$Z$7)^(('实盘净值数据(iFinD）'!$A377-'实盘净值数据(iFinD）'!$A$8)/365))</f>
        <v/>
      </c>
      <c r="L377" s="16" t="str">
        <f t="shared" si="33"/>
        <v/>
      </c>
      <c r="M377" s="16" t="str">
        <f>IF(K377="","",K377/MAX(K$5:K377)-1)</f>
        <v/>
      </c>
      <c r="N377" s="13" t="str">
        <f>IF(OR('实盘净值数据(iFinD）'!$A377="",'实盘净值数据(iFinD）'!$B377="",'实盘净值数据(iFinD）'!$Z377="",'实盘净值数据(iFinD）'!$AA377=""),"",分期持仓明细!$AB$24*(SUMPRODUCT(分期持仓明细!$B$24:$Y$24,'实盘净值数据(iFinD）'!$B377:$Y377/'实盘净值数据(iFinD）'!$B$65:$Y$65)+SUMPRODUCT(分期持仓明细!$AC$24:$AD$24,'实盘净值数据(iFinD）'!$Z377:$AA377/'实盘净值数据(iFinD）'!$Z$65:$AA$65))*(1-实盘持仓初始配置!$Z$8)^(('实盘净值数据(iFinD）'!$A377-'实盘净值数据(iFinD）'!$A$5)/365))</f>
        <v/>
      </c>
      <c r="O377" s="16" t="str">
        <f t="shared" si="34"/>
        <v/>
      </c>
      <c r="P377" s="16" t="str">
        <f>IF(N377="","",N377/MAX(N$5:N377)-1)</f>
        <v/>
      </c>
      <c r="Q377" s="13" t="str">
        <f>IF(OR('实盘净值数据(iFinD）'!$A377="",'实盘净值数据(iFinD）'!$B377="",'实盘净值数据(iFinD）'!$Z377="",'实盘净值数据(iFinD）'!$AA377=""),"",分期持仓明细!$AB$25*(SUMPRODUCT(分期持仓明细!$B$25:$Y$25,'实盘净值数据(iFinD）'!$B377:$Y377/'实盘净值数据(iFinD）'!$B$65:$Y$65)+SUMPRODUCT(分期持仓明细!$AC$25:$AD$25,'实盘净值数据(iFinD）'!$Z377:$AA377/'实盘净值数据(iFinD）'!$Z$65:$AA$65))*(1-实盘持仓初始配置!$Z$9)^(('实盘净值数据(iFinD）'!$A377-'实盘净值数据(iFinD）'!$A$8)/365))</f>
        <v/>
      </c>
      <c r="R377" s="16" t="str">
        <f t="shared" si="35"/>
        <v/>
      </c>
      <c r="S377" s="16" t="str">
        <f>IF(Q377="","",Q377/MAX(Q$5:Q377)-1)</f>
        <v/>
      </c>
      <c r="T377" s="13">
        <f>IF(OR('实盘净值数据(iFinD）'!$A377="",'实盘净值数据(iFinD）'!$B377="",'实盘净值数据(iFinD）'!$Z377="",'实盘净值数据(iFinD）'!$AA377="",'实盘净值数据(iFinD）'!$AB377="",'实盘净值数据(iFinD）'!$AL377=""),"",(SUMPRODUCT(分期持仓明细!$B$26:$Y$26,'实盘净值数据(iFinD）'!$B377:$Y377/'实盘净值数据(iFinD）'!$B$69:$Y$69)+SUMPRODUCT(分期持仓明细!$AC$26:$AD$26,'实盘净值数据(iFinD）'!$Z377:$AA377/'实盘净值数据(iFinD）'!$Z$69:$AA$69)+SUMPRODUCT(分期持仓明细!$AE$26:$AO$26,'实盘净值数据(iFinD）'!$AB377:$AL377/'实盘净值数据(iFinD）'!$AB$69:$AL$69))*(1-实盘持仓初始配置!$Z$10)^(('实盘净值数据(iFinD）'!$A377-'实盘净值数据(iFinD）'!$A$69)/365))</f>
        <v/>
      </c>
      <c r="U377" s="16">
        <f>IF(OR(T376="",T377=""),"",T377/T376-1)</f>
        <v/>
      </c>
      <c r="V377" s="16">
        <f>IF(T377="","",T377/MAX(T$5:T377)-1)</f>
        <v/>
      </c>
    </row>
    <row r="378" spans="1:19">
      <c r="A378" s="15" t="str">
        <f>IF('实盘净值数据(iFinD）'!A378="","",'实盘净值数据(iFinD）'!A378)</f>
        <v/>
      </c>
      <c r="B378" s="13" t="str">
        <f>IF(OR('实盘净值数据(iFinD）'!$A378="",'实盘净值数据(iFinD）'!$B378=""),"",分期持仓明细!$AB$17*SUMPRODUCT(分期持仓明细!$B$17:$Y$17,'实盘净值数据(iFinD）'!$B378:$Y378/'实盘净值数据(iFinD）'!$B$20:$Y$20)*(1-实盘持仓初始配置!$Z$4)^(('实盘净值数据(iFinD）'!$A378-'实盘净值数据(iFinD）'!$A$6)/365))</f>
        <v/>
      </c>
      <c r="C378" s="16" t="str">
        <f t="shared" si="30"/>
        <v/>
      </c>
      <c r="D378" s="16" t="str">
        <f>IF(B378="","",B378/MAX(B$5:B378)-1)</f>
        <v/>
      </c>
      <c r="E378" s="13" t="str">
        <f>IF(OR('实盘净值数据(iFinD）'!$A378="",'实盘净值数据(iFinD）'!$B378=""),"",分期持仓明细!$AB$18*SUMPRODUCT(分期持仓明细!$B$18:$Y$18,'实盘净值数据(iFinD）'!$B378:$Y378/'实盘净值数据(iFinD）'!$B$20:$Y$20)*(1-实盘持仓初始配置!$Z$5)^(('实盘净值数据(iFinD）'!$A378-'实盘净值数据(iFinD）'!$A$5)/365))</f>
        <v/>
      </c>
      <c r="F378" s="16" t="str">
        <f t="shared" si="31"/>
        <v/>
      </c>
      <c r="G378" s="16" t="str">
        <f>IF(E378="","",E378/MAX(E$5:E378)-1)</f>
        <v/>
      </c>
      <c r="H378" s="13" t="str">
        <f>IF(OR('实盘净值数据(iFinD）'!$A378="",'实盘净值数据(iFinD）'!$B378=""),"",分期持仓明细!$AB$19*SUMPRODUCT(分期持仓明细!$B$19:$Y$19,'实盘净值数据(iFinD）'!$B378:$Y378/'实盘净值数据(iFinD）'!$B$20:$Y$20)*(1-实盘持仓初始配置!$Z$6)^(('实盘净值数据(iFinD）'!$A378-'实盘净值数据(iFinD）'!$A$7)/365))</f>
        <v/>
      </c>
      <c r="I378" s="16" t="str">
        <f t="shared" si="32"/>
        <v/>
      </c>
      <c r="J378" s="16" t="str">
        <f>IF(H378="","",H378/MAX(H$5:H378)-1)</f>
        <v/>
      </c>
      <c r="K378" s="13" t="str">
        <f>IF(OR('实盘净值数据(iFinD）'!$A378="",'实盘净值数据(iFinD）'!$B378="",'实盘净值数据(iFinD）'!$Z378="",'实盘净值数据(iFinD）'!$AA378=""),"",分期持仓明细!$AB$23*(SUMPRODUCT(分期持仓明细!$B$23:$Y$23,'实盘净值数据(iFinD）'!$B378:$Y378/'实盘净值数据(iFinD）'!$B$65:$Y$65)+SUMPRODUCT(分期持仓明细!$AC$23:$AD$23,'实盘净值数据(iFinD）'!$Z378:$AA378/'实盘净值数据(iFinD）'!$Z$65:$AA$65))*(1-实盘持仓初始配置!$Z$7)^(('实盘净值数据(iFinD）'!$A378-'实盘净值数据(iFinD）'!$A$8)/365))</f>
        <v/>
      </c>
      <c r="L378" s="16" t="str">
        <f t="shared" si="33"/>
        <v/>
      </c>
      <c r="M378" s="16" t="str">
        <f>IF(K378="","",K378/MAX(K$5:K378)-1)</f>
        <v/>
      </c>
      <c r="N378" s="13" t="str">
        <f>IF(OR('实盘净值数据(iFinD）'!$A378="",'实盘净值数据(iFinD）'!$B378="",'实盘净值数据(iFinD）'!$Z378="",'实盘净值数据(iFinD）'!$AA378=""),"",分期持仓明细!$AB$24*(SUMPRODUCT(分期持仓明细!$B$24:$Y$24,'实盘净值数据(iFinD）'!$B378:$Y378/'实盘净值数据(iFinD）'!$B$65:$Y$65)+SUMPRODUCT(分期持仓明细!$AC$24:$AD$24,'实盘净值数据(iFinD）'!$Z378:$AA378/'实盘净值数据(iFinD）'!$Z$65:$AA$65))*(1-实盘持仓初始配置!$Z$8)^(('实盘净值数据(iFinD）'!$A378-'实盘净值数据(iFinD）'!$A$5)/365))</f>
        <v/>
      </c>
      <c r="O378" s="16" t="str">
        <f t="shared" si="34"/>
        <v/>
      </c>
      <c r="P378" s="16" t="str">
        <f>IF(N378="","",N378/MAX(N$5:N378)-1)</f>
        <v/>
      </c>
      <c r="Q378" s="13" t="str">
        <f>IF(OR('实盘净值数据(iFinD）'!$A378="",'实盘净值数据(iFinD）'!$B378="",'实盘净值数据(iFinD）'!$Z378="",'实盘净值数据(iFinD）'!$AA378=""),"",分期持仓明细!$AB$25*(SUMPRODUCT(分期持仓明细!$B$25:$Y$25,'实盘净值数据(iFinD）'!$B378:$Y378/'实盘净值数据(iFinD）'!$B$65:$Y$65)+SUMPRODUCT(分期持仓明细!$AC$25:$AD$25,'实盘净值数据(iFinD）'!$Z378:$AA378/'实盘净值数据(iFinD）'!$Z$65:$AA$65))*(1-实盘持仓初始配置!$Z$9)^(('实盘净值数据(iFinD）'!$A378-'实盘净值数据(iFinD）'!$A$8)/365))</f>
        <v/>
      </c>
      <c r="R378" s="16" t="str">
        <f t="shared" si="35"/>
        <v/>
      </c>
      <c r="S378" s="16" t="str">
        <f>IF(Q378="","",Q378/MAX(Q$5:Q378)-1)</f>
        <v/>
      </c>
      <c r="T378" s="13">
        <f>IF(OR('实盘净值数据(iFinD）'!$A378="",'实盘净值数据(iFinD）'!$B378="",'实盘净值数据(iFinD）'!$Z378="",'实盘净值数据(iFinD）'!$AA378="",'实盘净值数据(iFinD）'!$AB378="",'实盘净值数据(iFinD）'!$AL378=""),"",(SUMPRODUCT(分期持仓明细!$B$26:$Y$26,'实盘净值数据(iFinD）'!$B378:$Y378/'实盘净值数据(iFinD）'!$B$69:$Y$69)+SUMPRODUCT(分期持仓明细!$AC$26:$AD$26,'实盘净值数据(iFinD）'!$Z378:$AA378/'实盘净值数据(iFinD）'!$Z$69:$AA$69)+SUMPRODUCT(分期持仓明细!$AE$26:$AO$26,'实盘净值数据(iFinD）'!$AB378:$AL378/'实盘净值数据(iFinD）'!$AB$69:$AL$69))*(1-实盘持仓初始配置!$Z$10)^(('实盘净值数据(iFinD）'!$A378-'实盘净值数据(iFinD）'!$A$69)/365))</f>
        <v/>
      </c>
      <c r="U378" s="16">
        <f>IF(OR(T377="",T378=""),"",T378/T377-1)</f>
        <v/>
      </c>
      <c r="V378" s="16">
        <f>IF(T378="","",T378/MAX(T$5:T378)-1)</f>
        <v/>
      </c>
    </row>
    <row r="379" spans="1:19">
      <c r="A379" s="15" t="str">
        <f>IF('实盘净值数据(iFinD）'!A379="","",'实盘净值数据(iFinD）'!A379)</f>
        <v/>
      </c>
      <c r="B379" s="13" t="str">
        <f>IF(OR('实盘净值数据(iFinD）'!$A379="",'实盘净值数据(iFinD）'!$B379=""),"",分期持仓明细!$AB$17*SUMPRODUCT(分期持仓明细!$B$17:$Y$17,'实盘净值数据(iFinD）'!$B379:$Y379/'实盘净值数据(iFinD）'!$B$20:$Y$20)*(1-实盘持仓初始配置!$Z$4)^(('实盘净值数据(iFinD）'!$A379-'实盘净值数据(iFinD）'!$A$6)/365))</f>
        <v/>
      </c>
      <c r="C379" s="16" t="str">
        <f t="shared" si="30"/>
        <v/>
      </c>
      <c r="D379" s="16" t="str">
        <f>IF(B379="","",B379/MAX(B$5:B379)-1)</f>
        <v/>
      </c>
      <c r="E379" s="13" t="str">
        <f>IF(OR('实盘净值数据(iFinD）'!$A379="",'实盘净值数据(iFinD）'!$B379=""),"",分期持仓明细!$AB$18*SUMPRODUCT(分期持仓明细!$B$18:$Y$18,'实盘净值数据(iFinD）'!$B379:$Y379/'实盘净值数据(iFinD）'!$B$20:$Y$20)*(1-实盘持仓初始配置!$Z$5)^(('实盘净值数据(iFinD）'!$A379-'实盘净值数据(iFinD）'!$A$5)/365))</f>
        <v/>
      </c>
      <c r="F379" s="16" t="str">
        <f t="shared" si="31"/>
        <v/>
      </c>
      <c r="G379" s="16" t="str">
        <f>IF(E379="","",E379/MAX(E$5:E379)-1)</f>
        <v/>
      </c>
      <c r="H379" s="13" t="str">
        <f>IF(OR('实盘净值数据(iFinD）'!$A379="",'实盘净值数据(iFinD）'!$B379=""),"",分期持仓明细!$AB$19*SUMPRODUCT(分期持仓明细!$B$19:$Y$19,'实盘净值数据(iFinD）'!$B379:$Y379/'实盘净值数据(iFinD）'!$B$20:$Y$20)*(1-实盘持仓初始配置!$Z$6)^(('实盘净值数据(iFinD）'!$A379-'实盘净值数据(iFinD）'!$A$7)/365))</f>
        <v/>
      </c>
      <c r="I379" s="16" t="str">
        <f t="shared" si="32"/>
        <v/>
      </c>
      <c r="J379" s="16" t="str">
        <f>IF(H379="","",H379/MAX(H$5:H379)-1)</f>
        <v/>
      </c>
      <c r="K379" s="13" t="str">
        <f>IF(OR('实盘净值数据(iFinD）'!$A379="",'实盘净值数据(iFinD）'!$B379="",'实盘净值数据(iFinD）'!$Z379="",'实盘净值数据(iFinD）'!$AA379=""),"",分期持仓明细!$AB$23*(SUMPRODUCT(分期持仓明细!$B$23:$Y$23,'实盘净值数据(iFinD）'!$B379:$Y379/'实盘净值数据(iFinD）'!$B$65:$Y$65)+SUMPRODUCT(分期持仓明细!$AC$23:$AD$23,'实盘净值数据(iFinD）'!$Z379:$AA379/'实盘净值数据(iFinD）'!$Z$65:$AA$65))*(1-实盘持仓初始配置!$Z$7)^(('实盘净值数据(iFinD）'!$A379-'实盘净值数据(iFinD）'!$A$8)/365))</f>
        <v/>
      </c>
      <c r="L379" s="16" t="str">
        <f t="shared" si="33"/>
        <v/>
      </c>
      <c r="M379" s="16" t="str">
        <f>IF(K379="","",K379/MAX(K$5:K379)-1)</f>
        <v/>
      </c>
      <c r="N379" s="13" t="str">
        <f>IF(OR('实盘净值数据(iFinD）'!$A379="",'实盘净值数据(iFinD）'!$B379="",'实盘净值数据(iFinD）'!$Z379="",'实盘净值数据(iFinD）'!$AA379=""),"",分期持仓明细!$AB$24*(SUMPRODUCT(分期持仓明细!$B$24:$Y$24,'实盘净值数据(iFinD）'!$B379:$Y379/'实盘净值数据(iFinD）'!$B$65:$Y$65)+SUMPRODUCT(分期持仓明细!$AC$24:$AD$24,'实盘净值数据(iFinD）'!$Z379:$AA379/'实盘净值数据(iFinD）'!$Z$65:$AA$65))*(1-实盘持仓初始配置!$Z$8)^(('实盘净值数据(iFinD）'!$A379-'实盘净值数据(iFinD）'!$A$5)/365))</f>
        <v/>
      </c>
      <c r="O379" s="16" t="str">
        <f t="shared" si="34"/>
        <v/>
      </c>
      <c r="P379" s="16" t="str">
        <f>IF(N379="","",N379/MAX(N$5:N379)-1)</f>
        <v/>
      </c>
      <c r="Q379" s="13" t="str">
        <f>IF(OR('实盘净值数据(iFinD）'!$A379="",'实盘净值数据(iFinD）'!$B379="",'实盘净值数据(iFinD）'!$Z379="",'实盘净值数据(iFinD）'!$AA379=""),"",分期持仓明细!$AB$25*(SUMPRODUCT(分期持仓明细!$B$25:$Y$25,'实盘净值数据(iFinD）'!$B379:$Y379/'实盘净值数据(iFinD）'!$B$65:$Y$65)+SUMPRODUCT(分期持仓明细!$AC$25:$AD$25,'实盘净值数据(iFinD）'!$Z379:$AA379/'实盘净值数据(iFinD）'!$Z$65:$AA$65))*(1-实盘持仓初始配置!$Z$9)^(('实盘净值数据(iFinD）'!$A379-'实盘净值数据(iFinD）'!$A$8)/365))</f>
        <v/>
      </c>
      <c r="R379" s="16" t="str">
        <f t="shared" si="35"/>
        <v/>
      </c>
      <c r="S379" s="16" t="str">
        <f>IF(Q379="","",Q379/MAX(Q$5:Q379)-1)</f>
        <v/>
      </c>
      <c r="T379" s="13">
        <f>IF(OR('实盘净值数据(iFinD）'!$A379="",'实盘净值数据(iFinD）'!$B379="",'实盘净值数据(iFinD）'!$Z379="",'实盘净值数据(iFinD）'!$AA379="",'实盘净值数据(iFinD）'!$AB379="",'实盘净值数据(iFinD）'!$AL379=""),"",(SUMPRODUCT(分期持仓明细!$B$26:$Y$26,'实盘净值数据(iFinD）'!$B379:$Y379/'实盘净值数据(iFinD）'!$B$69:$Y$69)+SUMPRODUCT(分期持仓明细!$AC$26:$AD$26,'实盘净值数据(iFinD）'!$Z379:$AA379/'实盘净值数据(iFinD）'!$Z$69:$AA$69)+SUMPRODUCT(分期持仓明细!$AE$26:$AO$26,'实盘净值数据(iFinD）'!$AB379:$AL379/'实盘净值数据(iFinD）'!$AB$69:$AL$69))*(1-实盘持仓初始配置!$Z$10)^(('实盘净值数据(iFinD）'!$A379-'实盘净值数据(iFinD）'!$A$69)/365))</f>
        <v/>
      </c>
      <c r="U379" s="16">
        <f>IF(OR(T378="",T379=""),"",T379/T378-1)</f>
        <v/>
      </c>
      <c r="V379" s="16">
        <f>IF(T379="","",T379/MAX(T$5:T379)-1)</f>
        <v/>
      </c>
    </row>
    <row r="380" spans="1:19">
      <c r="A380" s="15" t="str">
        <f>IF('实盘净值数据(iFinD）'!A380="","",'实盘净值数据(iFinD）'!A380)</f>
        <v/>
      </c>
      <c r="B380" s="13" t="str">
        <f>IF(OR('实盘净值数据(iFinD）'!$A380="",'实盘净值数据(iFinD）'!$B380=""),"",分期持仓明细!$AB$17*SUMPRODUCT(分期持仓明细!$B$17:$Y$17,'实盘净值数据(iFinD）'!$B380:$Y380/'实盘净值数据(iFinD）'!$B$20:$Y$20)*(1-实盘持仓初始配置!$Z$4)^(('实盘净值数据(iFinD）'!$A380-'实盘净值数据(iFinD）'!$A$6)/365))</f>
        <v/>
      </c>
      <c r="C380" s="16" t="str">
        <f t="shared" ref="C380:C443" si="36">IF(OR(B379="",B380=""),"",B380/B379-1)</f>
        <v/>
      </c>
      <c r="D380" s="16" t="str">
        <f>IF(B380="","",B380/MAX(B$5:B380)-1)</f>
        <v/>
      </c>
      <c r="E380" s="13" t="str">
        <f>IF(OR('实盘净值数据(iFinD）'!$A380="",'实盘净值数据(iFinD）'!$B380=""),"",分期持仓明细!$AB$18*SUMPRODUCT(分期持仓明细!$B$18:$Y$18,'实盘净值数据(iFinD）'!$B380:$Y380/'实盘净值数据(iFinD）'!$B$20:$Y$20)*(1-实盘持仓初始配置!$Z$5)^(('实盘净值数据(iFinD）'!$A380-'实盘净值数据(iFinD）'!$A$5)/365))</f>
        <v/>
      </c>
      <c r="F380" s="16" t="str">
        <f t="shared" ref="F380:F443" si="37">IF(OR(E379="",E380=""),"",E380/E379-1)</f>
        <v/>
      </c>
      <c r="G380" s="16" t="str">
        <f>IF(E380="","",E380/MAX(E$5:E380)-1)</f>
        <v/>
      </c>
      <c r="H380" s="13" t="str">
        <f>IF(OR('实盘净值数据(iFinD）'!$A380="",'实盘净值数据(iFinD）'!$B380=""),"",分期持仓明细!$AB$19*SUMPRODUCT(分期持仓明细!$B$19:$Y$19,'实盘净值数据(iFinD）'!$B380:$Y380/'实盘净值数据(iFinD）'!$B$20:$Y$20)*(1-实盘持仓初始配置!$Z$6)^(('实盘净值数据(iFinD）'!$A380-'实盘净值数据(iFinD）'!$A$7)/365))</f>
        <v/>
      </c>
      <c r="I380" s="16" t="str">
        <f t="shared" ref="I380:I443" si="38">IF(OR(H379="",H380=""),"",H380/H379-1)</f>
        <v/>
      </c>
      <c r="J380" s="16" t="str">
        <f>IF(H380="","",H380/MAX(H$5:H380)-1)</f>
        <v/>
      </c>
      <c r="K380" s="13" t="str">
        <f>IF(OR('实盘净值数据(iFinD）'!$A380="",'实盘净值数据(iFinD）'!$B380="",'实盘净值数据(iFinD）'!$Z380="",'实盘净值数据(iFinD）'!$AA380=""),"",分期持仓明细!$AB$23*(SUMPRODUCT(分期持仓明细!$B$23:$Y$23,'实盘净值数据(iFinD）'!$B380:$Y380/'实盘净值数据(iFinD）'!$B$65:$Y$65)+SUMPRODUCT(分期持仓明细!$AC$23:$AD$23,'实盘净值数据(iFinD）'!$Z380:$AA380/'实盘净值数据(iFinD）'!$Z$65:$AA$65))*(1-实盘持仓初始配置!$Z$7)^(('实盘净值数据(iFinD）'!$A380-'实盘净值数据(iFinD）'!$A$8)/365))</f>
        <v/>
      </c>
      <c r="L380" s="16" t="str">
        <f t="shared" ref="L380:L443" si="39">IF(OR(K379="",K380=""),"",K380/K379-1)</f>
        <v/>
      </c>
      <c r="M380" s="16" t="str">
        <f>IF(K380="","",K380/MAX(K$5:K380)-1)</f>
        <v/>
      </c>
      <c r="N380" s="13" t="str">
        <f>IF(OR('实盘净值数据(iFinD）'!$A380="",'实盘净值数据(iFinD）'!$B380="",'实盘净值数据(iFinD）'!$Z380="",'实盘净值数据(iFinD）'!$AA380=""),"",分期持仓明细!$AB$24*(SUMPRODUCT(分期持仓明细!$B$24:$Y$24,'实盘净值数据(iFinD）'!$B380:$Y380/'实盘净值数据(iFinD）'!$B$65:$Y$65)+SUMPRODUCT(分期持仓明细!$AC$24:$AD$24,'实盘净值数据(iFinD）'!$Z380:$AA380/'实盘净值数据(iFinD）'!$Z$65:$AA$65))*(1-实盘持仓初始配置!$Z$8)^(('实盘净值数据(iFinD）'!$A380-'实盘净值数据(iFinD）'!$A$5)/365))</f>
        <v/>
      </c>
      <c r="O380" s="16" t="str">
        <f t="shared" ref="O380:O443" si="40">IF(OR(N379="",N380=""),"",N380/N379-1)</f>
        <v/>
      </c>
      <c r="P380" s="16" t="str">
        <f>IF(N380="","",N380/MAX(N$5:N380)-1)</f>
        <v/>
      </c>
      <c r="Q380" s="13" t="str">
        <f>IF(OR('实盘净值数据(iFinD）'!$A380="",'实盘净值数据(iFinD）'!$B380="",'实盘净值数据(iFinD）'!$Z380="",'实盘净值数据(iFinD）'!$AA380=""),"",分期持仓明细!$AB$25*(SUMPRODUCT(分期持仓明细!$B$25:$Y$25,'实盘净值数据(iFinD）'!$B380:$Y380/'实盘净值数据(iFinD）'!$B$65:$Y$65)+SUMPRODUCT(分期持仓明细!$AC$25:$AD$25,'实盘净值数据(iFinD）'!$Z380:$AA380/'实盘净值数据(iFinD）'!$Z$65:$AA$65))*(1-实盘持仓初始配置!$Z$9)^(('实盘净值数据(iFinD）'!$A380-'实盘净值数据(iFinD）'!$A$8)/365))</f>
        <v/>
      </c>
      <c r="R380" s="16" t="str">
        <f t="shared" ref="R380:R443" si="41">IF(OR(Q379="",Q380=""),"",Q380/Q379-1)</f>
        <v/>
      </c>
      <c r="S380" s="16" t="str">
        <f>IF(Q380="","",Q380/MAX(Q$5:Q380)-1)</f>
        <v/>
      </c>
      <c r="T380" s="13">
        <f>IF(OR('实盘净值数据(iFinD）'!$A380="",'实盘净值数据(iFinD）'!$B380="",'实盘净值数据(iFinD）'!$Z380="",'实盘净值数据(iFinD）'!$AA380="",'实盘净值数据(iFinD）'!$AB380="",'实盘净值数据(iFinD）'!$AL380=""),"",(SUMPRODUCT(分期持仓明细!$B$26:$Y$26,'实盘净值数据(iFinD）'!$B380:$Y380/'实盘净值数据(iFinD）'!$B$69:$Y$69)+SUMPRODUCT(分期持仓明细!$AC$26:$AD$26,'实盘净值数据(iFinD）'!$Z380:$AA380/'实盘净值数据(iFinD）'!$Z$69:$AA$69)+SUMPRODUCT(分期持仓明细!$AE$26:$AO$26,'实盘净值数据(iFinD）'!$AB380:$AL380/'实盘净值数据(iFinD）'!$AB$69:$AL$69))*(1-实盘持仓初始配置!$Z$10)^(('实盘净值数据(iFinD）'!$A380-'实盘净值数据(iFinD）'!$A$69)/365))</f>
        <v/>
      </c>
      <c r="U380" s="16">
        <f>IF(OR(T379="",T380=""),"",T380/T379-1)</f>
        <v/>
      </c>
      <c r="V380" s="16">
        <f>IF(T380="","",T380/MAX(T$5:T380)-1)</f>
        <v/>
      </c>
    </row>
    <row r="381" spans="1:19">
      <c r="A381" s="15" t="str">
        <f>IF('实盘净值数据(iFinD）'!A381="","",'实盘净值数据(iFinD）'!A381)</f>
        <v/>
      </c>
      <c r="B381" s="13" t="str">
        <f>IF(OR('实盘净值数据(iFinD）'!$A381="",'实盘净值数据(iFinD）'!$B381=""),"",分期持仓明细!$AB$17*SUMPRODUCT(分期持仓明细!$B$17:$Y$17,'实盘净值数据(iFinD）'!$B381:$Y381/'实盘净值数据(iFinD）'!$B$20:$Y$20)*(1-实盘持仓初始配置!$Z$4)^(('实盘净值数据(iFinD）'!$A381-'实盘净值数据(iFinD）'!$A$6)/365))</f>
        <v/>
      </c>
      <c r="C381" s="16" t="str">
        <f t="shared" si="36"/>
        <v/>
      </c>
      <c r="D381" s="16" t="str">
        <f>IF(B381="","",B381/MAX(B$5:B381)-1)</f>
        <v/>
      </c>
      <c r="E381" s="13" t="str">
        <f>IF(OR('实盘净值数据(iFinD）'!$A381="",'实盘净值数据(iFinD）'!$B381=""),"",分期持仓明细!$AB$18*SUMPRODUCT(分期持仓明细!$B$18:$Y$18,'实盘净值数据(iFinD）'!$B381:$Y381/'实盘净值数据(iFinD）'!$B$20:$Y$20)*(1-实盘持仓初始配置!$Z$5)^(('实盘净值数据(iFinD）'!$A381-'实盘净值数据(iFinD）'!$A$5)/365))</f>
        <v/>
      </c>
      <c r="F381" s="16" t="str">
        <f t="shared" si="37"/>
        <v/>
      </c>
      <c r="G381" s="16" t="str">
        <f>IF(E381="","",E381/MAX(E$5:E381)-1)</f>
        <v/>
      </c>
      <c r="H381" s="13" t="str">
        <f>IF(OR('实盘净值数据(iFinD）'!$A381="",'实盘净值数据(iFinD）'!$B381=""),"",分期持仓明细!$AB$19*SUMPRODUCT(分期持仓明细!$B$19:$Y$19,'实盘净值数据(iFinD）'!$B381:$Y381/'实盘净值数据(iFinD）'!$B$20:$Y$20)*(1-实盘持仓初始配置!$Z$6)^(('实盘净值数据(iFinD）'!$A381-'实盘净值数据(iFinD）'!$A$7)/365))</f>
        <v/>
      </c>
      <c r="I381" s="16" t="str">
        <f t="shared" si="38"/>
        <v/>
      </c>
      <c r="J381" s="16" t="str">
        <f>IF(H381="","",H381/MAX(H$5:H381)-1)</f>
        <v/>
      </c>
      <c r="K381" s="13" t="str">
        <f>IF(OR('实盘净值数据(iFinD）'!$A381="",'实盘净值数据(iFinD）'!$B381="",'实盘净值数据(iFinD）'!$Z381="",'实盘净值数据(iFinD）'!$AA381=""),"",分期持仓明细!$AB$23*(SUMPRODUCT(分期持仓明细!$B$23:$Y$23,'实盘净值数据(iFinD）'!$B381:$Y381/'实盘净值数据(iFinD）'!$B$65:$Y$65)+SUMPRODUCT(分期持仓明细!$AC$23:$AD$23,'实盘净值数据(iFinD）'!$Z381:$AA381/'实盘净值数据(iFinD）'!$Z$65:$AA$65))*(1-实盘持仓初始配置!$Z$7)^(('实盘净值数据(iFinD）'!$A381-'实盘净值数据(iFinD）'!$A$8)/365))</f>
        <v/>
      </c>
      <c r="L381" s="16" t="str">
        <f t="shared" si="39"/>
        <v/>
      </c>
      <c r="M381" s="16" t="str">
        <f>IF(K381="","",K381/MAX(K$5:K381)-1)</f>
        <v/>
      </c>
      <c r="N381" s="13" t="str">
        <f>IF(OR('实盘净值数据(iFinD）'!$A381="",'实盘净值数据(iFinD）'!$B381="",'实盘净值数据(iFinD）'!$Z381="",'实盘净值数据(iFinD）'!$AA381=""),"",分期持仓明细!$AB$24*(SUMPRODUCT(分期持仓明细!$B$24:$Y$24,'实盘净值数据(iFinD）'!$B381:$Y381/'实盘净值数据(iFinD）'!$B$65:$Y$65)+SUMPRODUCT(分期持仓明细!$AC$24:$AD$24,'实盘净值数据(iFinD）'!$Z381:$AA381/'实盘净值数据(iFinD）'!$Z$65:$AA$65))*(1-实盘持仓初始配置!$Z$8)^(('实盘净值数据(iFinD）'!$A381-'实盘净值数据(iFinD）'!$A$5)/365))</f>
        <v/>
      </c>
      <c r="O381" s="16" t="str">
        <f t="shared" si="40"/>
        <v/>
      </c>
      <c r="P381" s="16" t="str">
        <f>IF(N381="","",N381/MAX(N$5:N381)-1)</f>
        <v/>
      </c>
      <c r="Q381" s="13" t="str">
        <f>IF(OR('实盘净值数据(iFinD）'!$A381="",'实盘净值数据(iFinD）'!$B381="",'实盘净值数据(iFinD）'!$Z381="",'实盘净值数据(iFinD）'!$AA381=""),"",分期持仓明细!$AB$25*(SUMPRODUCT(分期持仓明细!$B$25:$Y$25,'实盘净值数据(iFinD）'!$B381:$Y381/'实盘净值数据(iFinD）'!$B$65:$Y$65)+SUMPRODUCT(分期持仓明细!$AC$25:$AD$25,'实盘净值数据(iFinD）'!$Z381:$AA381/'实盘净值数据(iFinD）'!$Z$65:$AA$65))*(1-实盘持仓初始配置!$Z$9)^(('实盘净值数据(iFinD）'!$A381-'实盘净值数据(iFinD）'!$A$8)/365))</f>
        <v/>
      </c>
      <c r="R381" s="16" t="str">
        <f t="shared" si="41"/>
        <v/>
      </c>
      <c r="S381" s="16" t="str">
        <f>IF(Q381="","",Q381/MAX(Q$5:Q381)-1)</f>
        <v/>
      </c>
      <c r="T381" s="13">
        <f>IF(OR('实盘净值数据(iFinD）'!$A381="",'实盘净值数据(iFinD）'!$B381="",'实盘净值数据(iFinD）'!$Z381="",'实盘净值数据(iFinD）'!$AA381="",'实盘净值数据(iFinD）'!$AB381="",'实盘净值数据(iFinD）'!$AL381=""),"",(SUMPRODUCT(分期持仓明细!$B$26:$Y$26,'实盘净值数据(iFinD）'!$B381:$Y381/'实盘净值数据(iFinD）'!$B$69:$Y$69)+SUMPRODUCT(分期持仓明细!$AC$26:$AD$26,'实盘净值数据(iFinD）'!$Z381:$AA381/'实盘净值数据(iFinD）'!$Z$69:$AA$69)+SUMPRODUCT(分期持仓明细!$AE$26:$AO$26,'实盘净值数据(iFinD）'!$AB381:$AL381/'实盘净值数据(iFinD）'!$AB$69:$AL$69))*(1-实盘持仓初始配置!$Z$10)^(('实盘净值数据(iFinD）'!$A381-'实盘净值数据(iFinD）'!$A$69)/365))</f>
        <v/>
      </c>
      <c r="U381" s="16">
        <f>IF(OR(T380="",T381=""),"",T381/T380-1)</f>
        <v/>
      </c>
      <c r="V381" s="16">
        <f>IF(T381="","",T381/MAX(T$5:T381)-1)</f>
        <v/>
      </c>
    </row>
    <row r="382" spans="1:19">
      <c r="A382" s="15" t="str">
        <f>IF('实盘净值数据(iFinD）'!A382="","",'实盘净值数据(iFinD）'!A382)</f>
        <v/>
      </c>
      <c r="B382" s="13" t="str">
        <f>IF(OR('实盘净值数据(iFinD）'!$A382="",'实盘净值数据(iFinD）'!$B382=""),"",分期持仓明细!$AB$17*SUMPRODUCT(分期持仓明细!$B$17:$Y$17,'实盘净值数据(iFinD）'!$B382:$Y382/'实盘净值数据(iFinD）'!$B$20:$Y$20)*(1-实盘持仓初始配置!$Z$4)^(('实盘净值数据(iFinD）'!$A382-'实盘净值数据(iFinD）'!$A$6)/365))</f>
        <v/>
      </c>
      <c r="C382" s="16" t="str">
        <f t="shared" si="36"/>
        <v/>
      </c>
      <c r="D382" s="16" t="str">
        <f>IF(B382="","",B382/MAX(B$5:B382)-1)</f>
        <v/>
      </c>
      <c r="E382" s="13" t="str">
        <f>IF(OR('实盘净值数据(iFinD）'!$A382="",'实盘净值数据(iFinD）'!$B382=""),"",分期持仓明细!$AB$18*SUMPRODUCT(分期持仓明细!$B$18:$Y$18,'实盘净值数据(iFinD）'!$B382:$Y382/'实盘净值数据(iFinD）'!$B$20:$Y$20)*(1-实盘持仓初始配置!$Z$5)^(('实盘净值数据(iFinD）'!$A382-'实盘净值数据(iFinD）'!$A$5)/365))</f>
        <v/>
      </c>
      <c r="F382" s="16" t="str">
        <f t="shared" si="37"/>
        <v/>
      </c>
      <c r="G382" s="16" t="str">
        <f>IF(E382="","",E382/MAX(E$5:E382)-1)</f>
        <v/>
      </c>
      <c r="H382" s="13" t="str">
        <f>IF(OR('实盘净值数据(iFinD）'!$A382="",'实盘净值数据(iFinD）'!$B382=""),"",分期持仓明细!$AB$19*SUMPRODUCT(分期持仓明细!$B$19:$Y$19,'实盘净值数据(iFinD）'!$B382:$Y382/'实盘净值数据(iFinD）'!$B$20:$Y$20)*(1-实盘持仓初始配置!$Z$6)^(('实盘净值数据(iFinD）'!$A382-'实盘净值数据(iFinD）'!$A$7)/365))</f>
        <v/>
      </c>
      <c r="I382" s="16" t="str">
        <f t="shared" si="38"/>
        <v/>
      </c>
      <c r="J382" s="16" t="str">
        <f>IF(H382="","",H382/MAX(H$5:H382)-1)</f>
        <v/>
      </c>
      <c r="K382" s="13" t="str">
        <f>IF(OR('实盘净值数据(iFinD）'!$A382="",'实盘净值数据(iFinD）'!$B382="",'实盘净值数据(iFinD）'!$Z382="",'实盘净值数据(iFinD）'!$AA382=""),"",分期持仓明细!$AB$23*(SUMPRODUCT(分期持仓明细!$B$23:$Y$23,'实盘净值数据(iFinD）'!$B382:$Y382/'实盘净值数据(iFinD）'!$B$65:$Y$65)+SUMPRODUCT(分期持仓明细!$AC$23:$AD$23,'实盘净值数据(iFinD）'!$Z382:$AA382/'实盘净值数据(iFinD）'!$Z$65:$AA$65))*(1-实盘持仓初始配置!$Z$7)^(('实盘净值数据(iFinD）'!$A382-'实盘净值数据(iFinD）'!$A$8)/365))</f>
        <v/>
      </c>
      <c r="L382" s="16" t="str">
        <f t="shared" si="39"/>
        <v/>
      </c>
      <c r="M382" s="16" t="str">
        <f>IF(K382="","",K382/MAX(K$5:K382)-1)</f>
        <v/>
      </c>
      <c r="N382" s="13" t="str">
        <f>IF(OR('实盘净值数据(iFinD）'!$A382="",'实盘净值数据(iFinD）'!$B382="",'实盘净值数据(iFinD）'!$Z382="",'实盘净值数据(iFinD）'!$AA382=""),"",分期持仓明细!$AB$24*(SUMPRODUCT(分期持仓明细!$B$24:$Y$24,'实盘净值数据(iFinD）'!$B382:$Y382/'实盘净值数据(iFinD）'!$B$65:$Y$65)+SUMPRODUCT(分期持仓明细!$AC$24:$AD$24,'实盘净值数据(iFinD）'!$Z382:$AA382/'实盘净值数据(iFinD）'!$Z$65:$AA$65))*(1-实盘持仓初始配置!$Z$8)^(('实盘净值数据(iFinD）'!$A382-'实盘净值数据(iFinD）'!$A$5)/365))</f>
        <v/>
      </c>
      <c r="O382" s="16" t="str">
        <f t="shared" si="40"/>
        <v/>
      </c>
      <c r="P382" s="16" t="str">
        <f>IF(N382="","",N382/MAX(N$5:N382)-1)</f>
        <v/>
      </c>
      <c r="Q382" s="13" t="str">
        <f>IF(OR('实盘净值数据(iFinD）'!$A382="",'实盘净值数据(iFinD）'!$B382="",'实盘净值数据(iFinD）'!$Z382="",'实盘净值数据(iFinD）'!$AA382=""),"",分期持仓明细!$AB$25*(SUMPRODUCT(分期持仓明细!$B$25:$Y$25,'实盘净值数据(iFinD）'!$B382:$Y382/'实盘净值数据(iFinD）'!$B$65:$Y$65)+SUMPRODUCT(分期持仓明细!$AC$25:$AD$25,'实盘净值数据(iFinD）'!$Z382:$AA382/'实盘净值数据(iFinD）'!$Z$65:$AA$65))*(1-实盘持仓初始配置!$Z$9)^(('实盘净值数据(iFinD）'!$A382-'实盘净值数据(iFinD）'!$A$8)/365))</f>
        <v/>
      </c>
      <c r="R382" s="16" t="str">
        <f t="shared" si="41"/>
        <v/>
      </c>
      <c r="S382" s="16" t="str">
        <f>IF(Q382="","",Q382/MAX(Q$5:Q382)-1)</f>
        <v/>
      </c>
      <c r="T382" s="13">
        <f>IF(OR('实盘净值数据(iFinD）'!$A382="",'实盘净值数据(iFinD）'!$B382="",'实盘净值数据(iFinD）'!$Z382="",'实盘净值数据(iFinD）'!$AA382="",'实盘净值数据(iFinD）'!$AB382="",'实盘净值数据(iFinD）'!$AL382=""),"",(SUMPRODUCT(分期持仓明细!$B$26:$Y$26,'实盘净值数据(iFinD）'!$B382:$Y382/'实盘净值数据(iFinD）'!$B$69:$Y$69)+SUMPRODUCT(分期持仓明细!$AC$26:$AD$26,'实盘净值数据(iFinD）'!$Z382:$AA382/'实盘净值数据(iFinD）'!$Z$69:$AA$69)+SUMPRODUCT(分期持仓明细!$AE$26:$AO$26,'实盘净值数据(iFinD）'!$AB382:$AL382/'实盘净值数据(iFinD）'!$AB$69:$AL$69))*(1-实盘持仓初始配置!$Z$10)^(('实盘净值数据(iFinD）'!$A382-'实盘净值数据(iFinD）'!$A$69)/365))</f>
        <v/>
      </c>
      <c r="U382" s="16">
        <f>IF(OR(T381="",T382=""),"",T382/T381-1)</f>
        <v/>
      </c>
      <c r="V382" s="16">
        <f>IF(T382="","",T382/MAX(T$5:T382)-1)</f>
        <v/>
      </c>
    </row>
    <row r="383" spans="1:19">
      <c r="A383" s="15" t="str">
        <f>IF('实盘净值数据(iFinD）'!A383="","",'实盘净值数据(iFinD）'!A383)</f>
        <v/>
      </c>
      <c r="B383" s="13" t="str">
        <f>IF(OR('实盘净值数据(iFinD）'!$A383="",'实盘净值数据(iFinD）'!$B383=""),"",分期持仓明细!$AB$17*SUMPRODUCT(分期持仓明细!$B$17:$Y$17,'实盘净值数据(iFinD）'!$B383:$Y383/'实盘净值数据(iFinD）'!$B$20:$Y$20)*(1-实盘持仓初始配置!$Z$4)^(('实盘净值数据(iFinD）'!$A383-'实盘净值数据(iFinD）'!$A$6)/365))</f>
        <v/>
      </c>
      <c r="C383" s="16" t="str">
        <f t="shared" si="36"/>
        <v/>
      </c>
      <c r="D383" s="16" t="str">
        <f>IF(B383="","",B383/MAX(B$5:B383)-1)</f>
        <v/>
      </c>
      <c r="E383" s="13" t="str">
        <f>IF(OR('实盘净值数据(iFinD）'!$A383="",'实盘净值数据(iFinD）'!$B383=""),"",分期持仓明细!$AB$18*SUMPRODUCT(分期持仓明细!$B$18:$Y$18,'实盘净值数据(iFinD）'!$B383:$Y383/'实盘净值数据(iFinD）'!$B$20:$Y$20)*(1-实盘持仓初始配置!$Z$5)^(('实盘净值数据(iFinD）'!$A383-'实盘净值数据(iFinD）'!$A$5)/365))</f>
        <v/>
      </c>
      <c r="F383" s="16" t="str">
        <f t="shared" si="37"/>
        <v/>
      </c>
      <c r="G383" s="16" t="str">
        <f>IF(E383="","",E383/MAX(E$5:E383)-1)</f>
        <v/>
      </c>
      <c r="H383" s="13" t="str">
        <f>IF(OR('实盘净值数据(iFinD）'!$A383="",'实盘净值数据(iFinD）'!$B383=""),"",分期持仓明细!$AB$19*SUMPRODUCT(分期持仓明细!$B$19:$Y$19,'实盘净值数据(iFinD）'!$B383:$Y383/'实盘净值数据(iFinD）'!$B$20:$Y$20)*(1-实盘持仓初始配置!$Z$6)^(('实盘净值数据(iFinD）'!$A383-'实盘净值数据(iFinD）'!$A$7)/365))</f>
        <v/>
      </c>
      <c r="I383" s="16" t="str">
        <f t="shared" si="38"/>
        <v/>
      </c>
      <c r="J383" s="16" t="str">
        <f>IF(H383="","",H383/MAX(H$5:H383)-1)</f>
        <v/>
      </c>
      <c r="K383" s="13" t="str">
        <f>IF(OR('实盘净值数据(iFinD）'!$A383="",'实盘净值数据(iFinD）'!$B383="",'实盘净值数据(iFinD）'!$Z383="",'实盘净值数据(iFinD）'!$AA383=""),"",分期持仓明细!$AB$23*(SUMPRODUCT(分期持仓明细!$B$23:$Y$23,'实盘净值数据(iFinD）'!$B383:$Y383/'实盘净值数据(iFinD）'!$B$65:$Y$65)+SUMPRODUCT(分期持仓明细!$AC$23:$AD$23,'实盘净值数据(iFinD）'!$Z383:$AA383/'实盘净值数据(iFinD）'!$Z$65:$AA$65))*(1-实盘持仓初始配置!$Z$7)^(('实盘净值数据(iFinD）'!$A383-'实盘净值数据(iFinD）'!$A$8)/365))</f>
        <v/>
      </c>
      <c r="L383" s="16" t="str">
        <f t="shared" si="39"/>
        <v/>
      </c>
      <c r="M383" s="16" t="str">
        <f>IF(K383="","",K383/MAX(K$5:K383)-1)</f>
        <v/>
      </c>
      <c r="N383" s="13" t="str">
        <f>IF(OR('实盘净值数据(iFinD）'!$A383="",'实盘净值数据(iFinD）'!$B383="",'实盘净值数据(iFinD）'!$Z383="",'实盘净值数据(iFinD）'!$AA383=""),"",分期持仓明细!$AB$24*(SUMPRODUCT(分期持仓明细!$B$24:$Y$24,'实盘净值数据(iFinD）'!$B383:$Y383/'实盘净值数据(iFinD）'!$B$65:$Y$65)+SUMPRODUCT(分期持仓明细!$AC$24:$AD$24,'实盘净值数据(iFinD）'!$Z383:$AA383/'实盘净值数据(iFinD）'!$Z$65:$AA$65))*(1-实盘持仓初始配置!$Z$8)^(('实盘净值数据(iFinD）'!$A383-'实盘净值数据(iFinD）'!$A$5)/365))</f>
        <v/>
      </c>
      <c r="O383" s="16" t="str">
        <f t="shared" si="40"/>
        <v/>
      </c>
      <c r="P383" s="16" t="str">
        <f>IF(N383="","",N383/MAX(N$5:N383)-1)</f>
        <v/>
      </c>
      <c r="Q383" s="13" t="str">
        <f>IF(OR('实盘净值数据(iFinD）'!$A383="",'实盘净值数据(iFinD）'!$B383="",'实盘净值数据(iFinD）'!$Z383="",'实盘净值数据(iFinD）'!$AA383=""),"",分期持仓明细!$AB$25*(SUMPRODUCT(分期持仓明细!$B$25:$Y$25,'实盘净值数据(iFinD）'!$B383:$Y383/'实盘净值数据(iFinD）'!$B$65:$Y$65)+SUMPRODUCT(分期持仓明细!$AC$25:$AD$25,'实盘净值数据(iFinD）'!$Z383:$AA383/'实盘净值数据(iFinD）'!$Z$65:$AA$65))*(1-实盘持仓初始配置!$Z$9)^(('实盘净值数据(iFinD）'!$A383-'实盘净值数据(iFinD）'!$A$8)/365))</f>
        <v/>
      </c>
      <c r="R383" s="16" t="str">
        <f t="shared" si="41"/>
        <v/>
      </c>
      <c r="S383" s="16" t="str">
        <f>IF(Q383="","",Q383/MAX(Q$5:Q383)-1)</f>
        <v/>
      </c>
      <c r="T383" s="13">
        <f>IF(OR('实盘净值数据(iFinD）'!$A383="",'实盘净值数据(iFinD）'!$B383="",'实盘净值数据(iFinD）'!$Z383="",'实盘净值数据(iFinD）'!$AA383="",'实盘净值数据(iFinD）'!$AB383="",'实盘净值数据(iFinD）'!$AL383=""),"",(SUMPRODUCT(分期持仓明细!$B$26:$Y$26,'实盘净值数据(iFinD）'!$B383:$Y383/'实盘净值数据(iFinD）'!$B$69:$Y$69)+SUMPRODUCT(分期持仓明细!$AC$26:$AD$26,'实盘净值数据(iFinD）'!$Z383:$AA383/'实盘净值数据(iFinD）'!$Z$69:$AA$69)+SUMPRODUCT(分期持仓明细!$AE$26:$AO$26,'实盘净值数据(iFinD）'!$AB383:$AL383/'实盘净值数据(iFinD）'!$AB$69:$AL$69))*(1-实盘持仓初始配置!$Z$10)^(('实盘净值数据(iFinD）'!$A383-'实盘净值数据(iFinD）'!$A$69)/365))</f>
        <v/>
      </c>
      <c r="U383" s="16">
        <f>IF(OR(T382="",T383=""),"",T383/T382-1)</f>
        <v/>
      </c>
      <c r="V383" s="16">
        <f>IF(T383="","",T383/MAX(T$5:T383)-1)</f>
        <v/>
      </c>
    </row>
    <row r="384" spans="1:19">
      <c r="A384" s="15" t="str">
        <f>IF('实盘净值数据(iFinD）'!A384="","",'实盘净值数据(iFinD）'!A384)</f>
        <v/>
      </c>
      <c r="B384" s="13" t="str">
        <f>IF(OR('实盘净值数据(iFinD）'!$A384="",'实盘净值数据(iFinD）'!$B384=""),"",分期持仓明细!$AB$17*SUMPRODUCT(分期持仓明细!$B$17:$Y$17,'实盘净值数据(iFinD）'!$B384:$Y384/'实盘净值数据(iFinD）'!$B$20:$Y$20)*(1-实盘持仓初始配置!$Z$4)^(('实盘净值数据(iFinD）'!$A384-'实盘净值数据(iFinD）'!$A$6)/365))</f>
        <v/>
      </c>
      <c r="C384" s="16" t="str">
        <f t="shared" si="36"/>
        <v/>
      </c>
      <c r="D384" s="16" t="str">
        <f>IF(B384="","",B384/MAX(B$5:B384)-1)</f>
        <v/>
      </c>
      <c r="E384" s="13" t="str">
        <f>IF(OR('实盘净值数据(iFinD）'!$A384="",'实盘净值数据(iFinD）'!$B384=""),"",分期持仓明细!$AB$18*SUMPRODUCT(分期持仓明细!$B$18:$Y$18,'实盘净值数据(iFinD）'!$B384:$Y384/'实盘净值数据(iFinD）'!$B$20:$Y$20)*(1-实盘持仓初始配置!$Z$5)^(('实盘净值数据(iFinD）'!$A384-'实盘净值数据(iFinD）'!$A$5)/365))</f>
        <v/>
      </c>
      <c r="F384" s="16" t="str">
        <f t="shared" si="37"/>
        <v/>
      </c>
      <c r="G384" s="16" t="str">
        <f>IF(E384="","",E384/MAX(E$5:E384)-1)</f>
        <v/>
      </c>
      <c r="H384" s="13" t="str">
        <f>IF(OR('实盘净值数据(iFinD）'!$A384="",'实盘净值数据(iFinD）'!$B384=""),"",分期持仓明细!$AB$19*SUMPRODUCT(分期持仓明细!$B$19:$Y$19,'实盘净值数据(iFinD）'!$B384:$Y384/'实盘净值数据(iFinD）'!$B$20:$Y$20)*(1-实盘持仓初始配置!$Z$6)^(('实盘净值数据(iFinD）'!$A384-'实盘净值数据(iFinD）'!$A$7)/365))</f>
        <v/>
      </c>
      <c r="I384" s="16" t="str">
        <f t="shared" si="38"/>
        <v/>
      </c>
      <c r="J384" s="16" t="str">
        <f>IF(H384="","",H384/MAX(H$5:H384)-1)</f>
        <v/>
      </c>
      <c r="K384" s="13" t="str">
        <f>IF(OR('实盘净值数据(iFinD）'!$A384="",'实盘净值数据(iFinD）'!$B384="",'实盘净值数据(iFinD）'!$Z384="",'实盘净值数据(iFinD）'!$AA384=""),"",分期持仓明细!$AB$23*(SUMPRODUCT(分期持仓明细!$B$23:$Y$23,'实盘净值数据(iFinD）'!$B384:$Y384/'实盘净值数据(iFinD）'!$B$65:$Y$65)+SUMPRODUCT(分期持仓明细!$AC$23:$AD$23,'实盘净值数据(iFinD）'!$Z384:$AA384/'实盘净值数据(iFinD）'!$Z$65:$AA$65))*(1-实盘持仓初始配置!$Z$7)^(('实盘净值数据(iFinD）'!$A384-'实盘净值数据(iFinD）'!$A$8)/365))</f>
        <v/>
      </c>
      <c r="L384" s="16" t="str">
        <f t="shared" si="39"/>
        <v/>
      </c>
      <c r="M384" s="16" t="str">
        <f>IF(K384="","",K384/MAX(K$5:K384)-1)</f>
        <v/>
      </c>
      <c r="N384" s="13" t="str">
        <f>IF(OR('实盘净值数据(iFinD）'!$A384="",'实盘净值数据(iFinD）'!$B384="",'实盘净值数据(iFinD）'!$Z384="",'实盘净值数据(iFinD）'!$AA384=""),"",分期持仓明细!$AB$24*(SUMPRODUCT(分期持仓明细!$B$24:$Y$24,'实盘净值数据(iFinD）'!$B384:$Y384/'实盘净值数据(iFinD）'!$B$65:$Y$65)+SUMPRODUCT(分期持仓明细!$AC$24:$AD$24,'实盘净值数据(iFinD）'!$Z384:$AA384/'实盘净值数据(iFinD）'!$Z$65:$AA$65))*(1-实盘持仓初始配置!$Z$8)^(('实盘净值数据(iFinD）'!$A384-'实盘净值数据(iFinD）'!$A$5)/365))</f>
        <v/>
      </c>
      <c r="O384" s="16" t="str">
        <f t="shared" si="40"/>
        <v/>
      </c>
      <c r="P384" s="16" t="str">
        <f>IF(N384="","",N384/MAX(N$5:N384)-1)</f>
        <v/>
      </c>
      <c r="Q384" s="13" t="str">
        <f>IF(OR('实盘净值数据(iFinD）'!$A384="",'实盘净值数据(iFinD）'!$B384="",'实盘净值数据(iFinD）'!$Z384="",'实盘净值数据(iFinD）'!$AA384=""),"",分期持仓明细!$AB$25*(SUMPRODUCT(分期持仓明细!$B$25:$Y$25,'实盘净值数据(iFinD）'!$B384:$Y384/'实盘净值数据(iFinD）'!$B$65:$Y$65)+SUMPRODUCT(分期持仓明细!$AC$25:$AD$25,'实盘净值数据(iFinD）'!$Z384:$AA384/'实盘净值数据(iFinD）'!$Z$65:$AA$65))*(1-实盘持仓初始配置!$Z$9)^(('实盘净值数据(iFinD）'!$A384-'实盘净值数据(iFinD）'!$A$8)/365))</f>
        <v/>
      </c>
      <c r="R384" s="16" t="str">
        <f t="shared" si="41"/>
        <v/>
      </c>
      <c r="S384" s="16" t="str">
        <f>IF(Q384="","",Q384/MAX(Q$5:Q384)-1)</f>
        <v/>
      </c>
      <c r="T384" s="13">
        <f>IF(OR('实盘净值数据(iFinD）'!$A384="",'实盘净值数据(iFinD）'!$B384="",'实盘净值数据(iFinD）'!$Z384="",'实盘净值数据(iFinD）'!$AA384="",'实盘净值数据(iFinD）'!$AB384="",'实盘净值数据(iFinD）'!$AL384=""),"",(SUMPRODUCT(分期持仓明细!$B$26:$Y$26,'实盘净值数据(iFinD）'!$B384:$Y384/'实盘净值数据(iFinD）'!$B$69:$Y$69)+SUMPRODUCT(分期持仓明细!$AC$26:$AD$26,'实盘净值数据(iFinD）'!$Z384:$AA384/'实盘净值数据(iFinD）'!$Z$69:$AA$69)+SUMPRODUCT(分期持仓明细!$AE$26:$AO$26,'实盘净值数据(iFinD）'!$AB384:$AL384/'实盘净值数据(iFinD）'!$AB$69:$AL$69))*(1-实盘持仓初始配置!$Z$10)^(('实盘净值数据(iFinD）'!$A384-'实盘净值数据(iFinD）'!$A$69)/365))</f>
        <v/>
      </c>
      <c r="U384" s="16">
        <f>IF(OR(T383="",T384=""),"",T384/T383-1)</f>
        <v/>
      </c>
      <c r="V384" s="16">
        <f>IF(T384="","",T384/MAX(T$5:T384)-1)</f>
        <v/>
      </c>
    </row>
    <row r="385" spans="1:19">
      <c r="A385" s="15" t="str">
        <f>IF('实盘净值数据(iFinD）'!A385="","",'实盘净值数据(iFinD）'!A385)</f>
        <v/>
      </c>
      <c r="B385" s="13" t="str">
        <f>IF(OR('实盘净值数据(iFinD）'!$A385="",'实盘净值数据(iFinD）'!$B385=""),"",分期持仓明细!$AB$17*SUMPRODUCT(分期持仓明细!$B$17:$Y$17,'实盘净值数据(iFinD）'!$B385:$Y385/'实盘净值数据(iFinD）'!$B$20:$Y$20)*(1-实盘持仓初始配置!$Z$4)^(('实盘净值数据(iFinD）'!$A385-'实盘净值数据(iFinD）'!$A$6)/365))</f>
        <v/>
      </c>
      <c r="C385" s="16" t="str">
        <f t="shared" si="36"/>
        <v/>
      </c>
      <c r="D385" s="16" t="str">
        <f>IF(B385="","",B385/MAX(B$5:B385)-1)</f>
        <v/>
      </c>
      <c r="E385" s="13" t="str">
        <f>IF(OR('实盘净值数据(iFinD）'!$A385="",'实盘净值数据(iFinD）'!$B385=""),"",分期持仓明细!$AB$18*SUMPRODUCT(分期持仓明细!$B$18:$Y$18,'实盘净值数据(iFinD）'!$B385:$Y385/'实盘净值数据(iFinD）'!$B$20:$Y$20)*(1-实盘持仓初始配置!$Z$5)^(('实盘净值数据(iFinD）'!$A385-'实盘净值数据(iFinD）'!$A$5)/365))</f>
        <v/>
      </c>
      <c r="F385" s="16" t="str">
        <f t="shared" si="37"/>
        <v/>
      </c>
      <c r="G385" s="16" t="str">
        <f>IF(E385="","",E385/MAX(E$5:E385)-1)</f>
        <v/>
      </c>
      <c r="H385" s="13" t="str">
        <f>IF(OR('实盘净值数据(iFinD）'!$A385="",'实盘净值数据(iFinD）'!$B385=""),"",分期持仓明细!$AB$19*SUMPRODUCT(分期持仓明细!$B$19:$Y$19,'实盘净值数据(iFinD）'!$B385:$Y385/'实盘净值数据(iFinD）'!$B$20:$Y$20)*(1-实盘持仓初始配置!$Z$6)^(('实盘净值数据(iFinD）'!$A385-'实盘净值数据(iFinD）'!$A$7)/365))</f>
        <v/>
      </c>
      <c r="I385" s="16" t="str">
        <f t="shared" si="38"/>
        <v/>
      </c>
      <c r="J385" s="16" t="str">
        <f>IF(H385="","",H385/MAX(H$5:H385)-1)</f>
        <v/>
      </c>
      <c r="K385" s="13" t="str">
        <f>IF(OR('实盘净值数据(iFinD）'!$A385="",'实盘净值数据(iFinD）'!$B385="",'实盘净值数据(iFinD）'!$Z385="",'实盘净值数据(iFinD）'!$AA385=""),"",分期持仓明细!$AB$23*(SUMPRODUCT(分期持仓明细!$B$23:$Y$23,'实盘净值数据(iFinD）'!$B385:$Y385/'实盘净值数据(iFinD）'!$B$65:$Y$65)+SUMPRODUCT(分期持仓明细!$AC$23:$AD$23,'实盘净值数据(iFinD）'!$Z385:$AA385/'实盘净值数据(iFinD）'!$Z$65:$AA$65))*(1-实盘持仓初始配置!$Z$7)^(('实盘净值数据(iFinD）'!$A385-'实盘净值数据(iFinD）'!$A$8)/365))</f>
        <v/>
      </c>
      <c r="L385" s="16" t="str">
        <f t="shared" si="39"/>
        <v/>
      </c>
      <c r="M385" s="16" t="str">
        <f>IF(K385="","",K385/MAX(K$5:K385)-1)</f>
        <v/>
      </c>
      <c r="N385" s="13" t="str">
        <f>IF(OR('实盘净值数据(iFinD）'!$A385="",'实盘净值数据(iFinD）'!$B385="",'实盘净值数据(iFinD）'!$Z385="",'实盘净值数据(iFinD）'!$AA385=""),"",分期持仓明细!$AB$24*(SUMPRODUCT(分期持仓明细!$B$24:$Y$24,'实盘净值数据(iFinD）'!$B385:$Y385/'实盘净值数据(iFinD）'!$B$65:$Y$65)+SUMPRODUCT(分期持仓明细!$AC$24:$AD$24,'实盘净值数据(iFinD）'!$Z385:$AA385/'实盘净值数据(iFinD）'!$Z$65:$AA$65))*(1-实盘持仓初始配置!$Z$8)^(('实盘净值数据(iFinD）'!$A385-'实盘净值数据(iFinD）'!$A$5)/365))</f>
        <v/>
      </c>
      <c r="O385" s="16" t="str">
        <f t="shared" si="40"/>
        <v/>
      </c>
      <c r="P385" s="16" t="str">
        <f>IF(N385="","",N385/MAX(N$5:N385)-1)</f>
        <v/>
      </c>
      <c r="Q385" s="13" t="str">
        <f>IF(OR('实盘净值数据(iFinD）'!$A385="",'实盘净值数据(iFinD）'!$B385="",'实盘净值数据(iFinD）'!$Z385="",'实盘净值数据(iFinD）'!$AA385=""),"",分期持仓明细!$AB$25*(SUMPRODUCT(分期持仓明细!$B$25:$Y$25,'实盘净值数据(iFinD）'!$B385:$Y385/'实盘净值数据(iFinD）'!$B$65:$Y$65)+SUMPRODUCT(分期持仓明细!$AC$25:$AD$25,'实盘净值数据(iFinD）'!$Z385:$AA385/'实盘净值数据(iFinD）'!$Z$65:$AA$65))*(1-实盘持仓初始配置!$Z$9)^(('实盘净值数据(iFinD）'!$A385-'实盘净值数据(iFinD）'!$A$8)/365))</f>
        <v/>
      </c>
      <c r="R385" s="16" t="str">
        <f t="shared" si="41"/>
        <v/>
      </c>
      <c r="S385" s="16" t="str">
        <f>IF(Q385="","",Q385/MAX(Q$5:Q385)-1)</f>
        <v/>
      </c>
      <c r="T385" s="13">
        <f>IF(OR('实盘净值数据(iFinD）'!$A385="",'实盘净值数据(iFinD）'!$B385="",'实盘净值数据(iFinD）'!$Z385="",'实盘净值数据(iFinD）'!$AA385="",'实盘净值数据(iFinD）'!$AB385="",'实盘净值数据(iFinD）'!$AL385=""),"",(SUMPRODUCT(分期持仓明细!$B$26:$Y$26,'实盘净值数据(iFinD）'!$B385:$Y385/'实盘净值数据(iFinD）'!$B$69:$Y$69)+SUMPRODUCT(分期持仓明细!$AC$26:$AD$26,'实盘净值数据(iFinD）'!$Z385:$AA385/'实盘净值数据(iFinD）'!$Z$69:$AA$69)+SUMPRODUCT(分期持仓明细!$AE$26:$AO$26,'实盘净值数据(iFinD）'!$AB385:$AL385/'实盘净值数据(iFinD）'!$AB$69:$AL$69))*(1-实盘持仓初始配置!$Z$10)^(('实盘净值数据(iFinD）'!$A385-'实盘净值数据(iFinD）'!$A$69)/365))</f>
        <v/>
      </c>
      <c r="U385" s="16">
        <f>IF(OR(T384="",T385=""),"",T385/T384-1)</f>
        <v/>
      </c>
      <c r="V385" s="16">
        <f>IF(T385="","",T385/MAX(T$5:T385)-1)</f>
        <v/>
      </c>
    </row>
    <row r="386" spans="1:19">
      <c r="A386" s="15" t="str">
        <f>IF('实盘净值数据(iFinD）'!A386="","",'实盘净值数据(iFinD）'!A386)</f>
        <v/>
      </c>
      <c r="B386" s="13" t="str">
        <f>IF(OR('实盘净值数据(iFinD）'!$A386="",'实盘净值数据(iFinD）'!$B386=""),"",分期持仓明细!$AB$17*SUMPRODUCT(分期持仓明细!$B$17:$Y$17,'实盘净值数据(iFinD）'!$B386:$Y386/'实盘净值数据(iFinD）'!$B$20:$Y$20)*(1-实盘持仓初始配置!$Z$4)^(('实盘净值数据(iFinD）'!$A386-'实盘净值数据(iFinD）'!$A$6)/365))</f>
        <v/>
      </c>
      <c r="C386" s="16" t="str">
        <f t="shared" si="36"/>
        <v/>
      </c>
      <c r="D386" s="16" t="str">
        <f>IF(B386="","",B386/MAX(B$5:B386)-1)</f>
        <v/>
      </c>
      <c r="E386" s="13" t="str">
        <f>IF(OR('实盘净值数据(iFinD）'!$A386="",'实盘净值数据(iFinD）'!$B386=""),"",分期持仓明细!$AB$18*SUMPRODUCT(分期持仓明细!$B$18:$Y$18,'实盘净值数据(iFinD）'!$B386:$Y386/'实盘净值数据(iFinD）'!$B$20:$Y$20)*(1-实盘持仓初始配置!$Z$5)^(('实盘净值数据(iFinD）'!$A386-'实盘净值数据(iFinD）'!$A$5)/365))</f>
        <v/>
      </c>
      <c r="F386" s="16" t="str">
        <f t="shared" si="37"/>
        <v/>
      </c>
      <c r="G386" s="16" t="str">
        <f>IF(E386="","",E386/MAX(E$5:E386)-1)</f>
        <v/>
      </c>
      <c r="H386" s="13" t="str">
        <f>IF(OR('实盘净值数据(iFinD）'!$A386="",'实盘净值数据(iFinD）'!$B386=""),"",分期持仓明细!$AB$19*SUMPRODUCT(分期持仓明细!$B$19:$Y$19,'实盘净值数据(iFinD）'!$B386:$Y386/'实盘净值数据(iFinD）'!$B$20:$Y$20)*(1-实盘持仓初始配置!$Z$6)^(('实盘净值数据(iFinD）'!$A386-'实盘净值数据(iFinD）'!$A$7)/365))</f>
        <v/>
      </c>
      <c r="I386" s="16" t="str">
        <f t="shared" si="38"/>
        <v/>
      </c>
      <c r="J386" s="16" t="str">
        <f>IF(H386="","",H386/MAX(H$5:H386)-1)</f>
        <v/>
      </c>
      <c r="K386" s="13" t="str">
        <f>IF(OR('实盘净值数据(iFinD）'!$A386="",'实盘净值数据(iFinD）'!$B386="",'实盘净值数据(iFinD）'!$Z386="",'实盘净值数据(iFinD）'!$AA386=""),"",分期持仓明细!$AB$23*(SUMPRODUCT(分期持仓明细!$B$23:$Y$23,'实盘净值数据(iFinD）'!$B386:$Y386/'实盘净值数据(iFinD）'!$B$65:$Y$65)+SUMPRODUCT(分期持仓明细!$AC$23:$AD$23,'实盘净值数据(iFinD）'!$Z386:$AA386/'实盘净值数据(iFinD）'!$Z$65:$AA$65))*(1-实盘持仓初始配置!$Z$7)^(('实盘净值数据(iFinD）'!$A386-'实盘净值数据(iFinD）'!$A$8)/365))</f>
        <v/>
      </c>
      <c r="L386" s="16" t="str">
        <f t="shared" si="39"/>
        <v/>
      </c>
      <c r="M386" s="16" t="str">
        <f>IF(K386="","",K386/MAX(K$5:K386)-1)</f>
        <v/>
      </c>
      <c r="N386" s="13" t="str">
        <f>IF(OR('实盘净值数据(iFinD）'!$A386="",'实盘净值数据(iFinD）'!$B386="",'实盘净值数据(iFinD）'!$Z386="",'实盘净值数据(iFinD）'!$AA386=""),"",分期持仓明细!$AB$24*(SUMPRODUCT(分期持仓明细!$B$24:$Y$24,'实盘净值数据(iFinD）'!$B386:$Y386/'实盘净值数据(iFinD）'!$B$65:$Y$65)+SUMPRODUCT(分期持仓明细!$AC$24:$AD$24,'实盘净值数据(iFinD）'!$Z386:$AA386/'实盘净值数据(iFinD）'!$Z$65:$AA$65))*(1-实盘持仓初始配置!$Z$8)^(('实盘净值数据(iFinD）'!$A386-'实盘净值数据(iFinD）'!$A$5)/365))</f>
        <v/>
      </c>
      <c r="O386" s="16" t="str">
        <f t="shared" si="40"/>
        <v/>
      </c>
      <c r="P386" s="16" t="str">
        <f>IF(N386="","",N386/MAX(N$5:N386)-1)</f>
        <v/>
      </c>
      <c r="Q386" s="13" t="str">
        <f>IF(OR('实盘净值数据(iFinD）'!$A386="",'实盘净值数据(iFinD）'!$B386="",'实盘净值数据(iFinD）'!$Z386="",'实盘净值数据(iFinD）'!$AA386=""),"",分期持仓明细!$AB$25*(SUMPRODUCT(分期持仓明细!$B$25:$Y$25,'实盘净值数据(iFinD）'!$B386:$Y386/'实盘净值数据(iFinD）'!$B$65:$Y$65)+SUMPRODUCT(分期持仓明细!$AC$25:$AD$25,'实盘净值数据(iFinD）'!$Z386:$AA386/'实盘净值数据(iFinD）'!$Z$65:$AA$65))*(1-实盘持仓初始配置!$Z$9)^(('实盘净值数据(iFinD）'!$A386-'实盘净值数据(iFinD）'!$A$8)/365))</f>
        <v/>
      </c>
      <c r="R386" s="16" t="str">
        <f t="shared" si="41"/>
        <v/>
      </c>
      <c r="S386" s="16" t="str">
        <f>IF(Q386="","",Q386/MAX(Q$5:Q386)-1)</f>
        <v/>
      </c>
      <c r="T386" s="13">
        <f>IF(OR('实盘净值数据(iFinD）'!$A386="",'实盘净值数据(iFinD）'!$B386="",'实盘净值数据(iFinD）'!$Z386="",'实盘净值数据(iFinD）'!$AA386="",'实盘净值数据(iFinD）'!$AB386="",'实盘净值数据(iFinD）'!$AL386=""),"",(SUMPRODUCT(分期持仓明细!$B$26:$Y$26,'实盘净值数据(iFinD）'!$B386:$Y386/'实盘净值数据(iFinD）'!$B$69:$Y$69)+SUMPRODUCT(分期持仓明细!$AC$26:$AD$26,'实盘净值数据(iFinD）'!$Z386:$AA386/'实盘净值数据(iFinD）'!$Z$69:$AA$69)+SUMPRODUCT(分期持仓明细!$AE$26:$AO$26,'实盘净值数据(iFinD）'!$AB386:$AL386/'实盘净值数据(iFinD）'!$AB$69:$AL$69))*(1-实盘持仓初始配置!$Z$10)^(('实盘净值数据(iFinD）'!$A386-'实盘净值数据(iFinD）'!$A$69)/365))</f>
        <v/>
      </c>
      <c r="U386" s="16">
        <f>IF(OR(T385="",T386=""),"",T386/T385-1)</f>
        <v/>
      </c>
      <c r="V386" s="16">
        <f>IF(T386="","",T386/MAX(T$5:T386)-1)</f>
        <v/>
      </c>
    </row>
    <row r="387" spans="1:19">
      <c r="A387" s="15" t="str">
        <f>IF('实盘净值数据(iFinD）'!A387="","",'实盘净值数据(iFinD）'!A387)</f>
        <v/>
      </c>
      <c r="B387" s="13" t="str">
        <f>IF(OR('实盘净值数据(iFinD）'!$A387="",'实盘净值数据(iFinD）'!$B387=""),"",分期持仓明细!$AB$17*SUMPRODUCT(分期持仓明细!$B$17:$Y$17,'实盘净值数据(iFinD）'!$B387:$Y387/'实盘净值数据(iFinD）'!$B$20:$Y$20)*(1-实盘持仓初始配置!$Z$4)^(('实盘净值数据(iFinD）'!$A387-'实盘净值数据(iFinD）'!$A$6)/365))</f>
        <v/>
      </c>
      <c r="C387" s="16" t="str">
        <f t="shared" si="36"/>
        <v/>
      </c>
      <c r="D387" s="16" t="str">
        <f>IF(B387="","",B387/MAX(B$5:B387)-1)</f>
        <v/>
      </c>
      <c r="E387" s="13" t="str">
        <f>IF(OR('实盘净值数据(iFinD）'!$A387="",'实盘净值数据(iFinD）'!$B387=""),"",分期持仓明细!$AB$18*SUMPRODUCT(分期持仓明细!$B$18:$Y$18,'实盘净值数据(iFinD）'!$B387:$Y387/'实盘净值数据(iFinD）'!$B$20:$Y$20)*(1-实盘持仓初始配置!$Z$5)^(('实盘净值数据(iFinD）'!$A387-'实盘净值数据(iFinD）'!$A$5)/365))</f>
        <v/>
      </c>
      <c r="F387" s="16" t="str">
        <f t="shared" si="37"/>
        <v/>
      </c>
      <c r="G387" s="16" t="str">
        <f>IF(E387="","",E387/MAX(E$5:E387)-1)</f>
        <v/>
      </c>
      <c r="H387" s="13" t="str">
        <f>IF(OR('实盘净值数据(iFinD）'!$A387="",'实盘净值数据(iFinD）'!$B387=""),"",分期持仓明细!$AB$19*SUMPRODUCT(分期持仓明细!$B$19:$Y$19,'实盘净值数据(iFinD）'!$B387:$Y387/'实盘净值数据(iFinD）'!$B$20:$Y$20)*(1-实盘持仓初始配置!$Z$6)^(('实盘净值数据(iFinD）'!$A387-'实盘净值数据(iFinD）'!$A$7)/365))</f>
        <v/>
      </c>
      <c r="I387" s="16" t="str">
        <f t="shared" si="38"/>
        <v/>
      </c>
      <c r="J387" s="16" t="str">
        <f>IF(H387="","",H387/MAX(H$5:H387)-1)</f>
        <v/>
      </c>
      <c r="K387" s="13" t="str">
        <f>IF(OR('实盘净值数据(iFinD）'!$A387="",'实盘净值数据(iFinD）'!$B387="",'实盘净值数据(iFinD）'!$Z387="",'实盘净值数据(iFinD）'!$AA387=""),"",分期持仓明细!$AB$23*(SUMPRODUCT(分期持仓明细!$B$23:$Y$23,'实盘净值数据(iFinD）'!$B387:$Y387/'实盘净值数据(iFinD）'!$B$65:$Y$65)+SUMPRODUCT(分期持仓明细!$AC$23:$AD$23,'实盘净值数据(iFinD）'!$Z387:$AA387/'实盘净值数据(iFinD）'!$Z$65:$AA$65))*(1-实盘持仓初始配置!$Z$7)^(('实盘净值数据(iFinD）'!$A387-'实盘净值数据(iFinD）'!$A$8)/365))</f>
        <v/>
      </c>
      <c r="L387" s="16" t="str">
        <f t="shared" si="39"/>
        <v/>
      </c>
      <c r="M387" s="16" t="str">
        <f>IF(K387="","",K387/MAX(K$5:K387)-1)</f>
        <v/>
      </c>
      <c r="N387" s="13" t="str">
        <f>IF(OR('实盘净值数据(iFinD）'!$A387="",'实盘净值数据(iFinD）'!$B387="",'实盘净值数据(iFinD）'!$Z387="",'实盘净值数据(iFinD）'!$AA387=""),"",分期持仓明细!$AB$24*(SUMPRODUCT(分期持仓明细!$B$24:$Y$24,'实盘净值数据(iFinD）'!$B387:$Y387/'实盘净值数据(iFinD）'!$B$65:$Y$65)+SUMPRODUCT(分期持仓明细!$AC$24:$AD$24,'实盘净值数据(iFinD）'!$Z387:$AA387/'实盘净值数据(iFinD）'!$Z$65:$AA$65))*(1-实盘持仓初始配置!$Z$8)^(('实盘净值数据(iFinD）'!$A387-'实盘净值数据(iFinD）'!$A$5)/365))</f>
        <v/>
      </c>
      <c r="O387" s="16" t="str">
        <f t="shared" si="40"/>
        <v/>
      </c>
      <c r="P387" s="16" t="str">
        <f>IF(N387="","",N387/MAX(N$5:N387)-1)</f>
        <v/>
      </c>
      <c r="Q387" s="13" t="str">
        <f>IF(OR('实盘净值数据(iFinD）'!$A387="",'实盘净值数据(iFinD）'!$B387="",'实盘净值数据(iFinD）'!$Z387="",'实盘净值数据(iFinD）'!$AA387=""),"",分期持仓明细!$AB$25*(SUMPRODUCT(分期持仓明细!$B$25:$Y$25,'实盘净值数据(iFinD）'!$B387:$Y387/'实盘净值数据(iFinD）'!$B$65:$Y$65)+SUMPRODUCT(分期持仓明细!$AC$25:$AD$25,'实盘净值数据(iFinD）'!$Z387:$AA387/'实盘净值数据(iFinD）'!$Z$65:$AA$65))*(1-实盘持仓初始配置!$Z$9)^(('实盘净值数据(iFinD）'!$A387-'实盘净值数据(iFinD）'!$A$8)/365))</f>
        <v/>
      </c>
      <c r="R387" s="16" t="str">
        <f t="shared" si="41"/>
        <v/>
      </c>
      <c r="S387" s="16" t="str">
        <f>IF(Q387="","",Q387/MAX(Q$5:Q387)-1)</f>
        <v/>
      </c>
      <c r="T387" s="13">
        <f>IF(OR('实盘净值数据(iFinD）'!$A387="",'实盘净值数据(iFinD）'!$B387="",'实盘净值数据(iFinD）'!$Z387="",'实盘净值数据(iFinD）'!$AA387="",'实盘净值数据(iFinD）'!$AB387="",'实盘净值数据(iFinD）'!$AL387=""),"",(SUMPRODUCT(分期持仓明细!$B$26:$Y$26,'实盘净值数据(iFinD）'!$B387:$Y387/'实盘净值数据(iFinD）'!$B$69:$Y$69)+SUMPRODUCT(分期持仓明细!$AC$26:$AD$26,'实盘净值数据(iFinD）'!$Z387:$AA387/'实盘净值数据(iFinD）'!$Z$69:$AA$69)+SUMPRODUCT(分期持仓明细!$AE$26:$AO$26,'实盘净值数据(iFinD）'!$AB387:$AL387/'实盘净值数据(iFinD）'!$AB$69:$AL$69))*(1-实盘持仓初始配置!$Z$10)^(('实盘净值数据(iFinD）'!$A387-'实盘净值数据(iFinD）'!$A$69)/365))</f>
        <v/>
      </c>
      <c r="U387" s="16">
        <f>IF(OR(T386="",T387=""),"",T387/T386-1)</f>
        <v/>
      </c>
      <c r="V387" s="16">
        <f>IF(T387="","",T387/MAX(T$5:T387)-1)</f>
        <v/>
      </c>
    </row>
    <row r="388" spans="1:19">
      <c r="A388" s="15" t="str">
        <f>IF('实盘净值数据(iFinD）'!A388="","",'实盘净值数据(iFinD）'!A388)</f>
        <v/>
      </c>
      <c r="B388" s="13" t="str">
        <f>IF(OR('实盘净值数据(iFinD）'!$A388="",'实盘净值数据(iFinD）'!$B388=""),"",分期持仓明细!$AB$17*SUMPRODUCT(分期持仓明细!$B$17:$Y$17,'实盘净值数据(iFinD）'!$B388:$Y388/'实盘净值数据(iFinD）'!$B$20:$Y$20)*(1-实盘持仓初始配置!$Z$4)^(('实盘净值数据(iFinD）'!$A388-'实盘净值数据(iFinD）'!$A$6)/365))</f>
        <v/>
      </c>
      <c r="C388" s="16" t="str">
        <f t="shared" si="36"/>
        <v/>
      </c>
      <c r="D388" s="16" t="str">
        <f>IF(B388="","",B388/MAX(B$5:B388)-1)</f>
        <v/>
      </c>
      <c r="E388" s="13" t="str">
        <f>IF(OR('实盘净值数据(iFinD）'!$A388="",'实盘净值数据(iFinD）'!$B388=""),"",分期持仓明细!$AB$18*SUMPRODUCT(分期持仓明细!$B$18:$Y$18,'实盘净值数据(iFinD）'!$B388:$Y388/'实盘净值数据(iFinD）'!$B$20:$Y$20)*(1-实盘持仓初始配置!$Z$5)^(('实盘净值数据(iFinD）'!$A388-'实盘净值数据(iFinD）'!$A$5)/365))</f>
        <v/>
      </c>
      <c r="F388" s="16" t="str">
        <f t="shared" si="37"/>
        <v/>
      </c>
      <c r="G388" s="16" t="str">
        <f>IF(E388="","",E388/MAX(E$5:E388)-1)</f>
        <v/>
      </c>
      <c r="H388" s="13" t="str">
        <f>IF(OR('实盘净值数据(iFinD）'!$A388="",'实盘净值数据(iFinD）'!$B388=""),"",分期持仓明细!$AB$19*SUMPRODUCT(分期持仓明细!$B$19:$Y$19,'实盘净值数据(iFinD）'!$B388:$Y388/'实盘净值数据(iFinD）'!$B$20:$Y$20)*(1-实盘持仓初始配置!$Z$6)^(('实盘净值数据(iFinD）'!$A388-'实盘净值数据(iFinD）'!$A$7)/365))</f>
        <v/>
      </c>
      <c r="I388" s="16" t="str">
        <f t="shared" si="38"/>
        <v/>
      </c>
      <c r="J388" s="16" t="str">
        <f>IF(H388="","",H388/MAX(H$5:H388)-1)</f>
        <v/>
      </c>
      <c r="K388" s="13" t="str">
        <f>IF(OR('实盘净值数据(iFinD）'!$A388="",'实盘净值数据(iFinD）'!$B388="",'实盘净值数据(iFinD）'!$Z388="",'实盘净值数据(iFinD）'!$AA388=""),"",分期持仓明细!$AB$23*(SUMPRODUCT(分期持仓明细!$B$23:$Y$23,'实盘净值数据(iFinD）'!$B388:$Y388/'实盘净值数据(iFinD）'!$B$65:$Y$65)+SUMPRODUCT(分期持仓明细!$AC$23:$AD$23,'实盘净值数据(iFinD）'!$Z388:$AA388/'实盘净值数据(iFinD）'!$Z$65:$AA$65))*(1-实盘持仓初始配置!$Z$7)^(('实盘净值数据(iFinD）'!$A388-'实盘净值数据(iFinD）'!$A$8)/365))</f>
        <v/>
      </c>
      <c r="L388" s="16" t="str">
        <f t="shared" si="39"/>
        <v/>
      </c>
      <c r="M388" s="16" t="str">
        <f>IF(K388="","",K388/MAX(K$5:K388)-1)</f>
        <v/>
      </c>
      <c r="N388" s="13" t="str">
        <f>IF(OR('实盘净值数据(iFinD）'!$A388="",'实盘净值数据(iFinD）'!$B388="",'实盘净值数据(iFinD）'!$Z388="",'实盘净值数据(iFinD）'!$AA388=""),"",分期持仓明细!$AB$24*(SUMPRODUCT(分期持仓明细!$B$24:$Y$24,'实盘净值数据(iFinD）'!$B388:$Y388/'实盘净值数据(iFinD）'!$B$65:$Y$65)+SUMPRODUCT(分期持仓明细!$AC$24:$AD$24,'实盘净值数据(iFinD）'!$Z388:$AA388/'实盘净值数据(iFinD）'!$Z$65:$AA$65))*(1-实盘持仓初始配置!$Z$8)^(('实盘净值数据(iFinD）'!$A388-'实盘净值数据(iFinD）'!$A$5)/365))</f>
        <v/>
      </c>
      <c r="O388" s="16" t="str">
        <f t="shared" si="40"/>
        <v/>
      </c>
      <c r="P388" s="16" t="str">
        <f>IF(N388="","",N388/MAX(N$5:N388)-1)</f>
        <v/>
      </c>
      <c r="Q388" s="13" t="str">
        <f>IF(OR('实盘净值数据(iFinD）'!$A388="",'实盘净值数据(iFinD）'!$B388="",'实盘净值数据(iFinD）'!$Z388="",'实盘净值数据(iFinD）'!$AA388=""),"",分期持仓明细!$AB$25*(SUMPRODUCT(分期持仓明细!$B$25:$Y$25,'实盘净值数据(iFinD）'!$B388:$Y388/'实盘净值数据(iFinD）'!$B$65:$Y$65)+SUMPRODUCT(分期持仓明细!$AC$25:$AD$25,'实盘净值数据(iFinD）'!$Z388:$AA388/'实盘净值数据(iFinD）'!$Z$65:$AA$65))*(1-实盘持仓初始配置!$Z$9)^(('实盘净值数据(iFinD）'!$A388-'实盘净值数据(iFinD）'!$A$8)/365))</f>
        <v/>
      </c>
      <c r="R388" s="16" t="str">
        <f t="shared" si="41"/>
        <v/>
      </c>
      <c r="S388" s="16" t="str">
        <f>IF(Q388="","",Q388/MAX(Q$5:Q388)-1)</f>
        <v/>
      </c>
      <c r="T388" s="13">
        <f>IF(OR('实盘净值数据(iFinD）'!$A388="",'实盘净值数据(iFinD）'!$B388="",'实盘净值数据(iFinD）'!$Z388="",'实盘净值数据(iFinD）'!$AA388="",'实盘净值数据(iFinD）'!$AB388="",'实盘净值数据(iFinD）'!$AL388=""),"",(SUMPRODUCT(分期持仓明细!$B$26:$Y$26,'实盘净值数据(iFinD）'!$B388:$Y388/'实盘净值数据(iFinD）'!$B$69:$Y$69)+SUMPRODUCT(分期持仓明细!$AC$26:$AD$26,'实盘净值数据(iFinD）'!$Z388:$AA388/'实盘净值数据(iFinD）'!$Z$69:$AA$69)+SUMPRODUCT(分期持仓明细!$AE$26:$AO$26,'实盘净值数据(iFinD）'!$AB388:$AL388/'实盘净值数据(iFinD）'!$AB$69:$AL$69))*(1-实盘持仓初始配置!$Z$10)^(('实盘净值数据(iFinD）'!$A388-'实盘净值数据(iFinD）'!$A$69)/365))</f>
        <v/>
      </c>
      <c r="U388" s="16">
        <f>IF(OR(T387="",T388=""),"",T388/T387-1)</f>
        <v/>
      </c>
      <c r="V388" s="16">
        <f>IF(T388="","",T388/MAX(T$5:T388)-1)</f>
        <v/>
      </c>
    </row>
    <row r="389" spans="1:19">
      <c r="A389" s="15" t="str">
        <f>IF('实盘净值数据(iFinD）'!A389="","",'实盘净值数据(iFinD）'!A389)</f>
        <v/>
      </c>
      <c r="B389" s="13" t="str">
        <f>IF(OR('实盘净值数据(iFinD）'!$A389="",'实盘净值数据(iFinD）'!$B389=""),"",分期持仓明细!$AB$17*SUMPRODUCT(分期持仓明细!$B$17:$Y$17,'实盘净值数据(iFinD）'!$B389:$Y389/'实盘净值数据(iFinD）'!$B$20:$Y$20)*(1-实盘持仓初始配置!$Z$4)^(('实盘净值数据(iFinD）'!$A389-'实盘净值数据(iFinD）'!$A$6)/365))</f>
        <v/>
      </c>
      <c r="C389" s="16" t="str">
        <f t="shared" si="36"/>
        <v/>
      </c>
      <c r="D389" s="16" t="str">
        <f>IF(B389="","",B389/MAX(B$5:B389)-1)</f>
        <v/>
      </c>
      <c r="E389" s="13" t="str">
        <f>IF(OR('实盘净值数据(iFinD）'!$A389="",'实盘净值数据(iFinD）'!$B389=""),"",分期持仓明细!$AB$18*SUMPRODUCT(分期持仓明细!$B$18:$Y$18,'实盘净值数据(iFinD）'!$B389:$Y389/'实盘净值数据(iFinD）'!$B$20:$Y$20)*(1-实盘持仓初始配置!$Z$5)^(('实盘净值数据(iFinD）'!$A389-'实盘净值数据(iFinD）'!$A$5)/365))</f>
        <v/>
      </c>
      <c r="F389" s="16" t="str">
        <f t="shared" si="37"/>
        <v/>
      </c>
      <c r="G389" s="16" t="str">
        <f>IF(E389="","",E389/MAX(E$5:E389)-1)</f>
        <v/>
      </c>
      <c r="H389" s="13" t="str">
        <f>IF(OR('实盘净值数据(iFinD）'!$A389="",'实盘净值数据(iFinD）'!$B389=""),"",分期持仓明细!$AB$19*SUMPRODUCT(分期持仓明细!$B$19:$Y$19,'实盘净值数据(iFinD）'!$B389:$Y389/'实盘净值数据(iFinD）'!$B$20:$Y$20)*(1-实盘持仓初始配置!$Z$6)^(('实盘净值数据(iFinD）'!$A389-'实盘净值数据(iFinD）'!$A$7)/365))</f>
        <v/>
      </c>
      <c r="I389" s="16" t="str">
        <f t="shared" si="38"/>
        <v/>
      </c>
      <c r="J389" s="16" t="str">
        <f>IF(H389="","",H389/MAX(H$5:H389)-1)</f>
        <v/>
      </c>
      <c r="K389" s="13" t="str">
        <f>IF(OR('实盘净值数据(iFinD）'!$A389="",'实盘净值数据(iFinD）'!$B389="",'实盘净值数据(iFinD）'!$Z389="",'实盘净值数据(iFinD）'!$AA389=""),"",分期持仓明细!$AB$23*(SUMPRODUCT(分期持仓明细!$B$23:$Y$23,'实盘净值数据(iFinD）'!$B389:$Y389/'实盘净值数据(iFinD）'!$B$65:$Y$65)+SUMPRODUCT(分期持仓明细!$AC$23:$AD$23,'实盘净值数据(iFinD）'!$Z389:$AA389/'实盘净值数据(iFinD）'!$Z$65:$AA$65))*(1-实盘持仓初始配置!$Z$7)^(('实盘净值数据(iFinD）'!$A389-'实盘净值数据(iFinD）'!$A$8)/365))</f>
        <v/>
      </c>
      <c r="L389" s="16" t="str">
        <f t="shared" si="39"/>
        <v/>
      </c>
      <c r="M389" s="16" t="str">
        <f>IF(K389="","",K389/MAX(K$5:K389)-1)</f>
        <v/>
      </c>
      <c r="N389" s="13" t="str">
        <f>IF(OR('实盘净值数据(iFinD）'!$A389="",'实盘净值数据(iFinD）'!$B389="",'实盘净值数据(iFinD）'!$Z389="",'实盘净值数据(iFinD）'!$AA389=""),"",分期持仓明细!$AB$24*(SUMPRODUCT(分期持仓明细!$B$24:$Y$24,'实盘净值数据(iFinD）'!$B389:$Y389/'实盘净值数据(iFinD）'!$B$65:$Y$65)+SUMPRODUCT(分期持仓明细!$AC$24:$AD$24,'实盘净值数据(iFinD）'!$Z389:$AA389/'实盘净值数据(iFinD）'!$Z$65:$AA$65))*(1-实盘持仓初始配置!$Z$8)^(('实盘净值数据(iFinD）'!$A389-'实盘净值数据(iFinD）'!$A$5)/365))</f>
        <v/>
      </c>
      <c r="O389" s="16" t="str">
        <f t="shared" si="40"/>
        <v/>
      </c>
      <c r="P389" s="16" t="str">
        <f>IF(N389="","",N389/MAX(N$5:N389)-1)</f>
        <v/>
      </c>
      <c r="Q389" s="13" t="str">
        <f>IF(OR('实盘净值数据(iFinD）'!$A389="",'实盘净值数据(iFinD）'!$B389="",'实盘净值数据(iFinD）'!$Z389="",'实盘净值数据(iFinD）'!$AA389=""),"",分期持仓明细!$AB$25*(SUMPRODUCT(分期持仓明细!$B$25:$Y$25,'实盘净值数据(iFinD）'!$B389:$Y389/'实盘净值数据(iFinD）'!$B$65:$Y$65)+SUMPRODUCT(分期持仓明细!$AC$25:$AD$25,'实盘净值数据(iFinD）'!$Z389:$AA389/'实盘净值数据(iFinD）'!$Z$65:$AA$65))*(1-实盘持仓初始配置!$Z$9)^(('实盘净值数据(iFinD）'!$A389-'实盘净值数据(iFinD）'!$A$8)/365))</f>
        <v/>
      </c>
      <c r="R389" s="16" t="str">
        <f t="shared" si="41"/>
        <v/>
      </c>
      <c r="S389" s="16" t="str">
        <f>IF(Q389="","",Q389/MAX(Q$5:Q389)-1)</f>
        <v/>
      </c>
      <c r="T389" s="13">
        <f>IF(OR('实盘净值数据(iFinD）'!$A389="",'实盘净值数据(iFinD）'!$B389="",'实盘净值数据(iFinD）'!$Z389="",'实盘净值数据(iFinD）'!$AA389="",'实盘净值数据(iFinD）'!$AB389="",'实盘净值数据(iFinD）'!$AL389=""),"",(SUMPRODUCT(分期持仓明细!$B$26:$Y$26,'实盘净值数据(iFinD）'!$B389:$Y389/'实盘净值数据(iFinD）'!$B$69:$Y$69)+SUMPRODUCT(分期持仓明细!$AC$26:$AD$26,'实盘净值数据(iFinD）'!$Z389:$AA389/'实盘净值数据(iFinD）'!$Z$69:$AA$69)+SUMPRODUCT(分期持仓明细!$AE$26:$AO$26,'实盘净值数据(iFinD）'!$AB389:$AL389/'实盘净值数据(iFinD）'!$AB$69:$AL$69))*(1-实盘持仓初始配置!$Z$10)^(('实盘净值数据(iFinD）'!$A389-'实盘净值数据(iFinD）'!$A$69)/365))</f>
        <v/>
      </c>
      <c r="U389" s="16">
        <f>IF(OR(T388="",T389=""),"",T389/T388-1)</f>
        <v/>
      </c>
      <c r="V389" s="16">
        <f>IF(T389="","",T389/MAX(T$5:T389)-1)</f>
        <v/>
      </c>
    </row>
    <row r="390" spans="1:19">
      <c r="A390" s="15" t="str">
        <f>IF('实盘净值数据(iFinD）'!A390="","",'实盘净值数据(iFinD）'!A390)</f>
        <v/>
      </c>
      <c r="B390" s="13" t="str">
        <f>IF(OR('实盘净值数据(iFinD）'!$A390="",'实盘净值数据(iFinD）'!$B390=""),"",分期持仓明细!$AB$17*SUMPRODUCT(分期持仓明细!$B$17:$Y$17,'实盘净值数据(iFinD）'!$B390:$Y390/'实盘净值数据(iFinD）'!$B$20:$Y$20)*(1-实盘持仓初始配置!$Z$4)^(('实盘净值数据(iFinD）'!$A390-'实盘净值数据(iFinD）'!$A$6)/365))</f>
        <v/>
      </c>
      <c r="C390" s="16" t="str">
        <f t="shared" si="36"/>
        <v/>
      </c>
      <c r="D390" s="16" t="str">
        <f>IF(B390="","",B390/MAX(B$5:B390)-1)</f>
        <v/>
      </c>
      <c r="E390" s="13" t="str">
        <f>IF(OR('实盘净值数据(iFinD）'!$A390="",'实盘净值数据(iFinD）'!$B390=""),"",分期持仓明细!$AB$18*SUMPRODUCT(分期持仓明细!$B$18:$Y$18,'实盘净值数据(iFinD）'!$B390:$Y390/'实盘净值数据(iFinD）'!$B$20:$Y$20)*(1-实盘持仓初始配置!$Z$5)^(('实盘净值数据(iFinD）'!$A390-'实盘净值数据(iFinD）'!$A$5)/365))</f>
        <v/>
      </c>
      <c r="F390" s="16" t="str">
        <f t="shared" si="37"/>
        <v/>
      </c>
      <c r="G390" s="16" t="str">
        <f>IF(E390="","",E390/MAX(E$5:E390)-1)</f>
        <v/>
      </c>
      <c r="H390" s="13" t="str">
        <f>IF(OR('实盘净值数据(iFinD）'!$A390="",'实盘净值数据(iFinD）'!$B390=""),"",分期持仓明细!$AB$19*SUMPRODUCT(分期持仓明细!$B$19:$Y$19,'实盘净值数据(iFinD）'!$B390:$Y390/'实盘净值数据(iFinD）'!$B$20:$Y$20)*(1-实盘持仓初始配置!$Z$6)^(('实盘净值数据(iFinD）'!$A390-'实盘净值数据(iFinD）'!$A$7)/365))</f>
        <v/>
      </c>
      <c r="I390" s="16" t="str">
        <f t="shared" si="38"/>
        <v/>
      </c>
      <c r="J390" s="16" t="str">
        <f>IF(H390="","",H390/MAX(H$5:H390)-1)</f>
        <v/>
      </c>
      <c r="K390" s="13" t="str">
        <f>IF(OR('实盘净值数据(iFinD）'!$A390="",'实盘净值数据(iFinD）'!$B390="",'实盘净值数据(iFinD）'!$Z390="",'实盘净值数据(iFinD）'!$AA390=""),"",分期持仓明细!$AB$23*(SUMPRODUCT(分期持仓明细!$B$23:$Y$23,'实盘净值数据(iFinD）'!$B390:$Y390/'实盘净值数据(iFinD）'!$B$65:$Y$65)+SUMPRODUCT(分期持仓明细!$AC$23:$AD$23,'实盘净值数据(iFinD）'!$Z390:$AA390/'实盘净值数据(iFinD）'!$Z$65:$AA$65))*(1-实盘持仓初始配置!$Z$7)^(('实盘净值数据(iFinD）'!$A390-'实盘净值数据(iFinD）'!$A$8)/365))</f>
        <v/>
      </c>
      <c r="L390" s="16" t="str">
        <f t="shared" si="39"/>
        <v/>
      </c>
      <c r="M390" s="16" t="str">
        <f>IF(K390="","",K390/MAX(K$5:K390)-1)</f>
        <v/>
      </c>
      <c r="N390" s="13" t="str">
        <f>IF(OR('实盘净值数据(iFinD）'!$A390="",'实盘净值数据(iFinD）'!$B390="",'实盘净值数据(iFinD）'!$Z390="",'实盘净值数据(iFinD）'!$AA390=""),"",分期持仓明细!$AB$24*(SUMPRODUCT(分期持仓明细!$B$24:$Y$24,'实盘净值数据(iFinD）'!$B390:$Y390/'实盘净值数据(iFinD）'!$B$65:$Y$65)+SUMPRODUCT(分期持仓明细!$AC$24:$AD$24,'实盘净值数据(iFinD）'!$Z390:$AA390/'实盘净值数据(iFinD）'!$Z$65:$AA$65))*(1-实盘持仓初始配置!$Z$8)^(('实盘净值数据(iFinD）'!$A390-'实盘净值数据(iFinD）'!$A$5)/365))</f>
        <v/>
      </c>
      <c r="O390" s="16" t="str">
        <f t="shared" si="40"/>
        <v/>
      </c>
      <c r="P390" s="16" t="str">
        <f>IF(N390="","",N390/MAX(N$5:N390)-1)</f>
        <v/>
      </c>
      <c r="Q390" s="13" t="str">
        <f>IF(OR('实盘净值数据(iFinD）'!$A390="",'实盘净值数据(iFinD）'!$B390="",'实盘净值数据(iFinD）'!$Z390="",'实盘净值数据(iFinD）'!$AA390=""),"",分期持仓明细!$AB$25*(SUMPRODUCT(分期持仓明细!$B$25:$Y$25,'实盘净值数据(iFinD）'!$B390:$Y390/'实盘净值数据(iFinD）'!$B$65:$Y$65)+SUMPRODUCT(分期持仓明细!$AC$25:$AD$25,'实盘净值数据(iFinD）'!$Z390:$AA390/'实盘净值数据(iFinD）'!$Z$65:$AA$65))*(1-实盘持仓初始配置!$Z$9)^(('实盘净值数据(iFinD）'!$A390-'实盘净值数据(iFinD）'!$A$8)/365))</f>
        <v/>
      </c>
      <c r="R390" s="16" t="str">
        <f t="shared" si="41"/>
        <v/>
      </c>
      <c r="S390" s="16" t="str">
        <f>IF(Q390="","",Q390/MAX(Q$5:Q390)-1)</f>
        <v/>
      </c>
      <c r="T390" s="13">
        <f>IF(OR('实盘净值数据(iFinD）'!$A390="",'实盘净值数据(iFinD）'!$B390="",'实盘净值数据(iFinD）'!$Z390="",'实盘净值数据(iFinD）'!$AA390="",'实盘净值数据(iFinD）'!$AB390="",'实盘净值数据(iFinD）'!$AL390=""),"",(SUMPRODUCT(分期持仓明细!$B$26:$Y$26,'实盘净值数据(iFinD）'!$B390:$Y390/'实盘净值数据(iFinD）'!$B$69:$Y$69)+SUMPRODUCT(分期持仓明细!$AC$26:$AD$26,'实盘净值数据(iFinD）'!$Z390:$AA390/'实盘净值数据(iFinD）'!$Z$69:$AA$69)+SUMPRODUCT(分期持仓明细!$AE$26:$AO$26,'实盘净值数据(iFinD）'!$AB390:$AL390/'实盘净值数据(iFinD）'!$AB$69:$AL$69))*(1-实盘持仓初始配置!$Z$10)^(('实盘净值数据(iFinD）'!$A390-'实盘净值数据(iFinD）'!$A$69)/365))</f>
        <v/>
      </c>
      <c r="U390" s="16">
        <f>IF(OR(T389="",T390=""),"",T390/T389-1)</f>
        <v/>
      </c>
      <c r="V390" s="16">
        <f>IF(T390="","",T390/MAX(T$5:T390)-1)</f>
        <v/>
      </c>
    </row>
    <row r="391" spans="1:19">
      <c r="A391" s="15" t="str">
        <f>IF('实盘净值数据(iFinD）'!A391="","",'实盘净值数据(iFinD）'!A391)</f>
        <v/>
      </c>
      <c r="B391" s="13" t="str">
        <f>IF(OR('实盘净值数据(iFinD）'!$A391="",'实盘净值数据(iFinD）'!$B391=""),"",分期持仓明细!$AB$17*SUMPRODUCT(分期持仓明细!$B$17:$Y$17,'实盘净值数据(iFinD）'!$B391:$Y391/'实盘净值数据(iFinD）'!$B$20:$Y$20)*(1-实盘持仓初始配置!$Z$4)^(('实盘净值数据(iFinD）'!$A391-'实盘净值数据(iFinD）'!$A$6)/365))</f>
        <v/>
      </c>
      <c r="C391" s="16" t="str">
        <f t="shared" si="36"/>
        <v/>
      </c>
      <c r="D391" s="16" t="str">
        <f>IF(B391="","",B391/MAX(B$5:B391)-1)</f>
        <v/>
      </c>
      <c r="E391" s="13" t="str">
        <f>IF(OR('实盘净值数据(iFinD）'!$A391="",'实盘净值数据(iFinD）'!$B391=""),"",分期持仓明细!$AB$18*SUMPRODUCT(分期持仓明细!$B$18:$Y$18,'实盘净值数据(iFinD）'!$B391:$Y391/'实盘净值数据(iFinD）'!$B$20:$Y$20)*(1-实盘持仓初始配置!$Z$5)^(('实盘净值数据(iFinD）'!$A391-'实盘净值数据(iFinD）'!$A$5)/365))</f>
        <v/>
      </c>
      <c r="F391" s="16" t="str">
        <f t="shared" si="37"/>
        <v/>
      </c>
      <c r="G391" s="16" t="str">
        <f>IF(E391="","",E391/MAX(E$5:E391)-1)</f>
        <v/>
      </c>
      <c r="H391" s="13" t="str">
        <f>IF(OR('实盘净值数据(iFinD）'!$A391="",'实盘净值数据(iFinD）'!$B391=""),"",分期持仓明细!$AB$19*SUMPRODUCT(分期持仓明细!$B$19:$Y$19,'实盘净值数据(iFinD）'!$B391:$Y391/'实盘净值数据(iFinD）'!$B$20:$Y$20)*(1-实盘持仓初始配置!$Z$6)^(('实盘净值数据(iFinD）'!$A391-'实盘净值数据(iFinD）'!$A$7)/365))</f>
        <v/>
      </c>
      <c r="I391" s="16" t="str">
        <f t="shared" si="38"/>
        <v/>
      </c>
      <c r="J391" s="16" t="str">
        <f>IF(H391="","",H391/MAX(H$5:H391)-1)</f>
        <v/>
      </c>
      <c r="K391" s="13" t="str">
        <f>IF(OR('实盘净值数据(iFinD）'!$A391="",'实盘净值数据(iFinD）'!$B391="",'实盘净值数据(iFinD）'!$Z391="",'实盘净值数据(iFinD）'!$AA391=""),"",分期持仓明细!$AB$23*(SUMPRODUCT(分期持仓明细!$B$23:$Y$23,'实盘净值数据(iFinD）'!$B391:$Y391/'实盘净值数据(iFinD）'!$B$65:$Y$65)+SUMPRODUCT(分期持仓明细!$AC$23:$AD$23,'实盘净值数据(iFinD）'!$Z391:$AA391/'实盘净值数据(iFinD）'!$Z$65:$AA$65))*(1-实盘持仓初始配置!$Z$7)^(('实盘净值数据(iFinD）'!$A391-'实盘净值数据(iFinD）'!$A$8)/365))</f>
        <v/>
      </c>
      <c r="L391" s="16" t="str">
        <f t="shared" si="39"/>
        <v/>
      </c>
      <c r="M391" s="16" t="str">
        <f>IF(K391="","",K391/MAX(K$5:K391)-1)</f>
        <v/>
      </c>
      <c r="N391" s="13" t="str">
        <f>IF(OR('实盘净值数据(iFinD）'!$A391="",'实盘净值数据(iFinD）'!$B391="",'实盘净值数据(iFinD）'!$Z391="",'实盘净值数据(iFinD）'!$AA391=""),"",分期持仓明细!$AB$24*(SUMPRODUCT(分期持仓明细!$B$24:$Y$24,'实盘净值数据(iFinD）'!$B391:$Y391/'实盘净值数据(iFinD）'!$B$65:$Y$65)+SUMPRODUCT(分期持仓明细!$AC$24:$AD$24,'实盘净值数据(iFinD）'!$Z391:$AA391/'实盘净值数据(iFinD）'!$Z$65:$AA$65))*(1-实盘持仓初始配置!$Z$8)^(('实盘净值数据(iFinD）'!$A391-'实盘净值数据(iFinD）'!$A$5)/365))</f>
        <v/>
      </c>
      <c r="O391" s="16" t="str">
        <f t="shared" si="40"/>
        <v/>
      </c>
      <c r="P391" s="16" t="str">
        <f>IF(N391="","",N391/MAX(N$5:N391)-1)</f>
        <v/>
      </c>
      <c r="Q391" s="13" t="str">
        <f>IF(OR('实盘净值数据(iFinD）'!$A391="",'实盘净值数据(iFinD）'!$B391="",'实盘净值数据(iFinD）'!$Z391="",'实盘净值数据(iFinD）'!$AA391=""),"",分期持仓明细!$AB$25*(SUMPRODUCT(分期持仓明细!$B$25:$Y$25,'实盘净值数据(iFinD）'!$B391:$Y391/'实盘净值数据(iFinD）'!$B$65:$Y$65)+SUMPRODUCT(分期持仓明细!$AC$25:$AD$25,'实盘净值数据(iFinD）'!$Z391:$AA391/'实盘净值数据(iFinD）'!$Z$65:$AA$65))*(1-实盘持仓初始配置!$Z$9)^(('实盘净值数据(iFinD）'!$A391-'实盘净值数据(iFinD）'!$A$8)/365))</f>
        <v/>
      </c>
      <c r="R391" s="16" t="str">
        <f t="shared" si="41"/>
        <v/>
      </c>
      <c r="S391" s="16" t="str">
        <f>IF(Q391="","",Q391/MAX(Q$5:Q391)-1)</f>
        <v/>
      </c>
      <c r="T391" s="13">
        <f>IF(OR('实盘净值数据(iFinD）'!$A391="",'实盘净值数据(iFinD）'!$B391="",'实盘净值数据(iFinD）'!$Z391="",'实盘净值数据(iFinD）'!$AA391="",'实盘净值数据(iFinD）'!$AB391="",'实盘净值数据(iFinD）'!$AL391=""),"",(SUMPRODUCT(分期持仓明细!$B$26:$Y$26,'实盘净值数据(iFinD）'!$B391:$Y391/'实盘净值数据(iFinD）'!$B$69:$Y$69)+SUMPRODUCT(分期持仓明细!$AC$26:$AD$26,'实盘净值数据(iFinD）'!$Z391:$AA391/'实盘净值数据(iFinD）'!$Z$69:$AA$69)+SUMPRODUCT(分期持仓明细!$AE$26:$AO$26,'实盘净值数据(iFinD）'!$AB391:$AL391/'实盘净值数据(iFinD）'!$AB$69:$AL$69))*(1-实盘持仓初始配置!$Z$10)^(('实盘净值数据(iFinD）'!$A391-'实盘净值数据(iFinD）'!$A$69)/365))</f>
        <v/>
      </c>
      <c r="U391" s="16">
        <f>IF(OR(T390="",T391=""),"",T391/T390-1)</f>
        <v/>
      </c>
      <c r="V391" s="16">
        <f>IF(T391="","",T391/MAX(T$5:T391)-1)</f>
        <v/>
      </c>
    </row>
    <row r="392" spans="1:19">
      <c r="A392" s="15" t="str">
        <f>IF('实盘净值数据(iFinD）'!A392="","",'实盘净值数据(iFinD）'!A392)</f>
        <v/>
      </c>
      <c r="B392" s="13" t="str">
        <f>IF(OR('实盘净值数据(iFinD）'!$A392="",'实盘净值数据(iFinD）'!$B392=""),"",分期持仓明细!$AB$17*SUMPRODUCT(分期持仓明细!$B$17:$Y$17,'实盘净值数据(iFinD）'!$B392:$Y392/'实盘净值数据(iFinD）'!$B$20:$Y$20)*(1-实盘持仓初始配置!$Z$4)^(('实盘净值数据(iFinD）'!$A392-'实盘净值数据(iFinD）'!$A$6)/365))</f>
        <v/>
      </c>
      <c r="C392" s="16" t="str">
        <f t="shared" si="36"/>
        <v/>
      </c>
      <c r="D392" s="16" t="str">
        <f>IF(B392="","",B392/MAX(B$5:B392)-1)</f>
        <v/>
      </c>
      <c r="E392" s="13" t="str">
        <f>IF(OR('实盘净值数据(iFinD）'!$A392="",'实盘净值数据(iFinD）'!$B392=""),"",分期持仓明细!$AB$18*SUMPRODUCT(分期持仓明细!$B$18:$Y$18,'实盘净值数据(iFinD）'!$B392:$Y392/'实盘净值数据(iFinD）'!$B$20:$Y$20)*(1-实盘持仓初始配置!$Z$5)^(('实盘净值数据(iFinD）'!$A392-'实盘净值数据(iFinD）'!$A$5)/365))</f>
        <v/>
      </c>
      <c r="F392" s="16" t="str">
        <f t="shared" si="37"/>
        <v/>
      </c>
      <c r="G392" s="16" t="str">
        <f>IF(E392="","",E392/MAX(E$5:E392)-1)</f>
        <v/>
      </c>
      <c r="H392" s="13" t="str">
        <f>IF(OR('实盘净值数据(iFinD）'!$A392="",'实盘净值数据(iFinD）'!$B392=""),"",分期持仓明细!$AB$19*SUMPRODUCT(分期持仓明细!$B$19:$Y$19,'实盘净值数据(iFinD）'!$B392:$Y392/'实盘净值数据(iFinD）'!$B$20:$Y$20)*(1-实盘持仓初始配置!$Z$6)^(('实盘净值数据(iFinD）'!$A392-'实盘净值数据(iFinD）'!$A$7)/365))</f>
        <v/>
      </c>
      <c r="I392" s="16" t="str">
        <f t="shared" si="38"/>
        <v/>
      </c>
      <c r="J392" s="16" t="str">
        <f>IF(H392="","",H392/MAX(H$5:H392)-1)</f>
        <v/>
      </c>
      <c r="K392" s="13" t="str">
        <f>IF(OR('实盘净值数据(iFinD）'!$A392="",'实盘净值数据(iFinD）'!$B392="",'实盘净值数据(iFinD）'!$Z392="",'实盘净值数据(iFinD）'!$AA392=""),"",分期持仓明细!$AB$23*(SUMPRODUCT(分期持仓明细!$B$23:$Y$23,'实盘净值数据(iFinD）'!$B392:$Y392/'实盘净值数据(iFinD）'!$B$65:$Y$65)+SUMPRODUCT(分期持仓明细!$AC$23:$AD$23,'实盘净值数据(iFinD）'!$Z392:$AA392/'实盘净值数据(iFinD）'!$Z$65:$AA$65))*(1-实盘持仓初始配置!$Z$7)^(('实盘净值数据(iFinD）'!$A392-'实盘净值数据(iFinD）'!$A$8)/365))</f>
        <v/>
      </c>
      <c r="L392" s="16" t="str">
        <f t="shared" si="39"/>
        <v/>
      </c>
      <c r="M392" s="16" t="str">
        <f>IF(K392="","",K392/MAX(K$5:K392)-1)</f>
        <v/>
      </c>
      <c r="N392" s="13" t="str">
        <f>IF(OR('实盘净值数据(iFinD）'!$A392="",'实盘净值数据(iFinD）'!$B392="",'实盘净值数据(iFinD）'!$Z392="",'实盘净值数据(iFinD）'!$AA392=""),"",分期持仓明细!$AB$24*(SUMPRODUCT(分期持仓明细!$B$24:$Y$24,'实盘净值数据(iFinD）'!$B392:$Y392/'实盘净值数据(iFinD）'!$B$65:$Y$65)+SUMPRODUCT(分期持仓明细!$AC$24:$AD$24,'实盘净值数据(iFinD）'!$Z392:$AA392/'实盘净值数据(iFinD）'!$Z$65:$AA$65))*(1-实盘持仓初始配置!$Z$8)^(('实盘净值数据(iFinD）'!$A392-'实盘净值数据(iFinD）'!$A$5)/365))</f>
        <v/>
      </c>
      <c r="O392" s="16" t="str">
        <f t="shared" si="40"/>
        <v/>
      </c>
      <c r="P392" s="16" t="str">
        <f>IF(N392="","",N392/MAX(N$5:N392)-1)</f>
        <v/>
      </c>
      <c r="Q392" s="13" t="str">
        <f>IF(OR('实盘净值数据(iFinD）'!$A392="",'实盘净值数据(iFinD）'!$B392="",'实盘净值数据(iFinD）'!$Z392="",'实盘净值数据(iFinD）'!$AA392=""),"",分期持仓明细!$AB$25*(SUMPRODUCT(分期持仓明细!$B$25:$Y$25,'实盘净值数据(iFinD）'!$B392:$Y392/'实盘净值数据(iFinD）'!$B$65:$Y$65)+SUMPRODUCT(分期持仓明细!$AC$25:$AD$25,'实盘净值数据(iFinD）'!$Z392:$AA392/'实盘净值数据(iFinD）'!$Z$65:$AA$65))*(1-实盘持仓初始配置!$Z$9)^(('实盘净值数据(iFinD）'!$A392-'实盘净值数据(iFinD）'!$A$8)/365))</f>
        <v/>
      </c>
      <c r="R392" s="16" t="str">
        <f t="shared" si="41"/>
        <v/>
      </c>
      <c r="S392" s="16" t="str">
        <f>IF(Q392="","",Q392/MAX(Q$5:Q392)-1)</f>
        <v/>
      </c>
      <c r="T392" s="13">
        <f>IF(OR('实盘净值数据(iFinD）'!$A392="",'实盘净值数据(iFinD）'!$B392="",'实盘净值数据(iFinD）'!$Z392="",'实盘净值数据(iFinD）'!$AA392="",'实盘净值数据(iFinD）'!$AB392="",'实盘净值数据(iFinD）'!$AL392=""),"",(SUMPRODUCT(分期持仓明细!$B$26:$Y$26,'实盘净值数据(iFinD）'!$B392:$Y392/'实盘净值数据(iFinD）'!$B$69:$Y$69)+SUMPRODUCT(分期持仓明细!$AC$26:$AD$26,'实盘净值数据(iFinD）'!$Z392:$AA392/'实盘净值数据(iFinD）'!$Z$69:$AA$69)+SUMPRODUCT(分期持仓明细!$AE$26:$AO$26,'实盘净值数据(iFinD）'!$AB392:$AL392/'实盘净值数据(iFinD）'!$AB$69:$AL$69))*(1-实盘持仓初始配置!$Z$10)^(('实盘净值数据(iFinD）'!$A392-'实盘净值数据(iFinD）'!$A$69)/365))</f>
        <v/>
      </c>
      <c r="U392" s="16">
        <f>IF(OR(T391="",T392=""),"",T392/T391-1)</f>
        <v/>
      </c>
      <c r="V392" s="16">
        <f>IF(T392="","",T392/MAX(T$5:T392)-1)</f>
        <v/>
      </c>
    </row>
    <row r="393" spans="1:19">
      <c r="A393" s="15" t="str">
        <f>IF('实盘净值数据(iFinD）'!A393="","",'实盘净值数据(iFinD）'!A393)</f>
        <v/>
      </c>
      <c r="B393" s="13" t="str">
        <f>IF(OR('实盘净值数据(iFinD）'!$A393="",'实盘净值数据(iFinD）'!$B393=""),"",分期持仓明细!$AB$17*SUMPRODUCT(分期持仓明细!$B$17:$Y$17,'实盘净值数据(iFinD）'!$B393:$Y393/'实盘净值数据(iFinD）'!$B$20:$Y$20)*(1-实盘持仓初始配置!$Z$4)^(('实盘净值数据(iFinD）'!$A393-'实盘净值数据(iFinD）'!$A$6)/365))</f>
        <v/>
      </c>
      <c r="C393" s="16" t="str">
        <f t="shared" si="36"/>
        <v/>
      </c>
      <c r="D393" s="16" t="str">
        <f>IF(B393="","",B393/MAX(B$5:B393)-1)</f>
        <v/>
      </c>
      <c r="E393" s="13" t="str">
        <f>IF(OR('实盘净值数据(iFinD）'!$A393="",'实盘净值数据(iFinD）'!$B393=""),"",分期持仓明细!$AB$18*SUMPRODUCT(分期持仓明细!$B$18:$Y$18,'实盘净值数据(iFinD）'!$B393:$Y393/'实盘净值数据(iFinD）'!$B$20:$Y$20)*(1-实盘持仓初始配置!$Z$5)^(('实盘净值数据(iFinD）'!$A393-'实盘净值数据(iFinD）'!$A$5)/365))</f>
        <v/>
      </c>
      <c r="F393" s="16" t="str">
        <f t="shared" si="37"/>
        <v/>
      </c>
      <c r="G393" s="16" t="str">
        <f>IF(E393="","",E393/MAX(E$5:E393)-1)</f>
        <v/>
      </c>
      <c r="H393" s="13" t="str">
        <f>IF(OR('实盘净值数据(iFinD）'!$A393="",'实盘净值数据(iFinD）'!$B393=""),"",分期持仓明细!$AB$19*SUMPRODUCT(分期持仓明细!$B$19:$Y$19,'实盘净值数据(iFinD）'!$B393:$Y393/'实盘净值数据(iFinD）'!$B$20:$Y$20)*(1-实盘持仓初始配置!$Z$6)^(('实盘净值数据(iFinD）'!$A393-'实盘净值数据(iFinD）'!$A$7)/365))</f>
        <v/>
      </c>
      <c r="I393" s="16" t="str">
        <f t="shared" si="38"/>
        <v/>
      </c>
      <c r="J393" s="16" t="str">
        <f>IF(H393="","",H393/MAX(H$5:H393)-1)</f>
        <v/>
      </c>
      <c r="K393" s="13" t="str">
        <f>IF(OR('实盘净值数据(iFinD）'!$A393="",'实盘净值数据(iFinD）'!$B393="",'实盘净值数据(iFinD）'!$Z393="",'实盘净值数据(iFinD）'!$AA393=""),"",分期持仓明细!$AB$23*(SUMPRODUCT(分期持仓明细!$B$23:$Y$23,'实盘净值数据(iFinD）'!$B393:$Y393/'实盘净值数据(iFinD）'!$B$65:$Y$65)+SUMPRODUCT(分期持仓明细!$AC$23:$AD$23,'实盘净值数据(iFinD）'!$Z393:$AA393/'实盘净值数据(iFinD）'!$Z$65:$AA$65))*(1-实盘持仓初始配置!$Z$7)^(('实盘净值数据(iFinD）'!$A393-'实盘净值数据(iFinD）'!$A$8)/365))</f>
        <v/>
      </c>
      <c r="L393" s="16" t="str">
        <f t="shared" si="39"/>
        <v/>
      </c>
      <c r="M393" s="16" t="str">
        <f>IF(K393="","",K393/MAX(K$5:K393)-1)</f>
        <v/>
      </c>
      <c r="N393" s="13" t="str">
        <f>IF(OR('实盘净值数据(iFinD）'!$A393="",'实盘净值数据(iFinD）'!$B393="",'实盘净值数据(iFinD）'!$Z393="",'实盘净值数据(iFinD）'!$AA393=""),"",分期持仓明细!$AB$24*(SUMPRODUCT(分期持仓明细!$B$24:$Y$24,'实盘净值数据(iFinD）'!$B393:$Y393/'实盘净值数据(iFinD）'!$B$65:$Y$65)+SUMPRODUCT(分期持仓明细!$AC$24:$AD$24,'实盘净值数据(iFinD）'!$Z393:$AA393/'实盘净值数据(iFinD）'!$Z$65:$AA$65))*(1-实盘持仓初始配置!$Z$8)^(('实盘净值数据(iFinD）'!$A393-'实盘净值数据(iFinD）'!$A$5)/365))</f>
        <v/>
      </c>
      <c r="O393" s="16" t="str">
        <f t="shared" si="40"/>
        <v/>
      </c>
      <c r="P393" s="16" t="str">
        <f>IF(N393="","",N393/MAX(N$5:N393)-1)</f>
        <v/>
      </c>
      <c r="Q393" s="13" t="str">
        <f>IF(OR('实盘净值数据(iFinD）'!$A393="",'实盘净值数据(iFinD）'!$B393="",'实盘净值数据(iFinD）'!$Z393="",'实盘净值数据(iFinD）'!$AA393=""),"",分期持仓明细!$AB$25*(SUMPRODUCT(分期持仓明细!$B$25:$Y$25,'实盘净值数据(iFinD）'!$B393:$Y393/'实盘净值数据(iFinD）'!$B$65:$Y$65)+SUMPRODUCT(分期持仓明细!$AC$25:$AD$25,'实盘净值数据(iFinD）'!$Z393:$AA393/'实盘净值数据(iFinD）'!$Z$65:$AA$65))*(1-实盘持仓初始配置!$Z$9)^(('实盘净值数据(iFinD）'!$A393-'实盘净值数据(iFinD）'!$A$8)/365))</f>
        <v/>
      </c>
      <c r="R393" s="16" t="str">
        <f t="shared" si="41"/>
        <v/>
      </c>
      <c r="S393" s="16" t="str">
        <f>IF(Q393="","",Q393/MAX(Q$5:Q393)-1)</f>
        <v/>
      </c>
      <c r="T393" s="13">
        <f>IF(OR('实盘净值数据(iFinD）'!$A393="",'实盘净值数据(iFinD）'!$B393="",'实盘净值数据(iFinD）'!$Z393="",'实盘净值数据(iFinD）'!$AA393="",'实盘净值数据(iFinD）'!$AB393="",'实盘净值数据(iFinD）'!$AL393=""),"",(SUMPRODUCT(分期持仓明细!$B$26:$Y$26,'实盘净值数据(iFinD）'!$B393:$Y393/'实盘净值数据(iFinD）'!$B$69:$Y$69)+SUMPRODUCT(分期持仓明细!$AC$26:$AD$26,'实盘净值数据(iFinD）'!$Z393:$AA393/'实盘净值数据(iFinD）'!$Z$69:$AA$69)+SUMPRODUCT(分期持仓明细!$AE$26:$AO$26,'实盘净值数据(iFinD）'!$AB393:$AL393/'实盘净值数据(iFinD）'!$AB$69:$AL$69))*(1-实盘持仓初始配置!$Z$10)^(('实盘净值数据(iFinD）'!$A393-'实盘净值数据(iFinD）'!$A$69)/365))</f>
        <v/>
      </c>
      <c r="U393" s="16">
        <f>IF(OR(T392="",T393=""),"",T393/T392-1)</f>
        <v/>
      </c>
      <c r="V393" s="16">
        <f>IF(T393="","",T393/MAX(T$5:T393)-1)</f>
        <v/>
      </c>
    </row>
    <row r="394" spans="1:19">
      <c r="A394" s="15" t="str">
        <f>IF('实盘净值数据(iFinD）'!A394="","",'实盘净值数据(iFinD）'!A394)</f>
        <v/>
      </c>
      <c r="B394" s="13" t="str">
        <f>IF(OR('实盘净值数据(iFinD）'!$A394="",'实盘净值数据(iFinD）'!$B394=""),"",分期持仓明细!$AB$17*SUMPRODUCT(分期持仓明细!$B$17:$Y$17,'实盘净值数据(iFinD）'!$B394:$Y394/'实盘净值数据(iFinD）'!$B$20:$Y$20)*(1-实盘持仓初始配置!$Z$4)^(('实盘净值数据(iFinD）'!$A394-'实盘净值数据(iFinD）'!$A$6)/365))</f>
        <v/>
      </c>
      <c r="C394" s="16" t="str">
        <f t="shared" si="36"/>
        <v/>
      </c>
      <c r="D394" s="16" t="str">
        <f>IF(B394="","",B394/MAX(B$5:B394)-1)</f>
        <v/>
      </c>
      <c r="E394" s="13" t="str">
        <f>IF(OR('实盘净值数据(iFinD）'!$A394="",'实盘净值数据(iFinD）'!$B394=""),"",分期持仓明细!$AB$18*SUMPRODUCT(分期持仓明细!$B$18:$Y$18,'实盘净值数据(iFinD）'!$B394:$Y394/'实盘净值数据(iFinD）'!$B$20:$Y$20)*(1-实盘持仓初始配置!$Z$5)^(('实盘净值数据(iFinD）'!$A394-'实盘净值数据(iFinD）'!$A$5)/365))</f>
        <v/>
      </c>
      <c r="F394" s="16" t="str">
        <f t="shared" si="37"/>
        <v/>
      </c>
      <c r="G394" s="16" t="str">
        <f>IF(E394="","",E394/MAX(E$5:E394)-1)</f>
        <v/>
      </c>
      <c r="H394" s="13" t="str">
        <f>IF(OR('实盘净值数据(iFinD）'!$A394="",'实盘净值数据(iFinD）'!$B394=""),"",分期持仓明细!$AB$19*SUMPRODUCT(分期持仓明细!$B$19:$Y$19,'实盘净值数据(iFinD）'!$B394:$Y394/'实盘净值数据(iFinD）'!$B$20:$Y$20)*(1-实盘持仓初始配置!$Z$6)^(('实盘净值数据(iFinD）'!$A394-'实盘净值数据(iFinD）'!$A$7)/365))</f>
        <v/>
      </c>
      <c r="I394" s="16" t="str">
        <f t="shared" si="38"/>
        <v/>
      </c>
      <c r="J394" s="16" t="str">
        <f>IF(H394="","",H394/MAX(H$5:H394)-1)</f>
        <v/>
      </c>
      <c r="K394" s="13" t="str">
        <f>IF(OR('实盘净值数据(iFinD）'!$A394="",'实盘净值数据(iFinD）'!$B394="",'实盘净值数据(iFinD）'!$Z394="",'实盘净值数据(iFinD）'!$AA394=""),"",分期持仓明细!$AB$23*(SUMPRODUCT(分期持仓明细!$B$23:$Y$23,'实盘净值数据(iFinD）'!$B394:$Y394/'实盘净值数据(iFinD）'!$B$65:$Y$65)+SUMPRODUCT(分期持仓明细!$AC$23:$AD$23,'实盘净值数据(iFinD）'!$Z394:$AA394/'实盘净值数据(iFinD）'!$Z$65:$AA$65))*(1-实盘持仓初始配置!$Z$7)^(('实盘净值数据(iFinD）'!$A394-'实盘净值数据(iFinD）'!$A$8)/365))</f>
        <v/>
      </c>
      <c r="L394" s="16" t="str">
        <f t="shared" si="39"/>
        <v/>
      </c>
      <c r="M394" s="16" t="str">
        <f>IF(K394="","",K394/MAX(K$5:K394)-1)</f>
        <v/>
      </c>
      <c r="N394" s="13" t="str">
        <f>IF(OR('实盘净值数据(iFinD）'!$A394="",'实盘净值数据(iFinD）'!$B394="",'实盘净值数据(iFinD）'!$Z394="",'实盘净值数据(iFinD）'!$AA394=""),"",分期持仓明细!$AB$24*(SUMPRODUCT(分期持仓明细!$B$24:$Y$24,'实盘净值数据(iFinD）'!$B394:$Y394/'实盘净值数据(iFinD）'!$B$65:$Y$65)+SUMPRODUCT(分期持仓明细!$AC$24:$AD$24,'实盘净值数据(iFinD）'!$Z394:$AA394/'实盘净值数据(iFinD）'!$Z$65:$AA$65))*(1-实盘持仓初始配置!$Z$8)^(('实盘净值数据(iFinD）'!$A394-'实盘净值数据(iFinD）'!$A$5)/365))</f>
        <v/>
      </c>
      <c r="O394" s="16" t="str">
        <f t="shared" si="40"/>
        <v/>
      </c>
      <c r="P394" s="16" t="str">
        <f>IF(N394="","",N394/MAX(N$5:N394)-1)</f>
        <v/>
      </c>
      <c r="Q394" s="13" t="str">
        <f>IF(OR('实盘净值数据(iFinD）'!$A394="",'实盘净值数据(iFinD）'!$B394="",'实盘净值数据(iFinD）'!$Z394="",'实盘净值数据(iFinD）'!$AA394=""),"",分期持仓明细!$AB$25*(SUMPRODUCT(分期持仓明细!$B$25:$Y$25,'实盘净值数据(iFinD）'!$B394:$Y394/'实盘净值数据(iFinD）'!$B$65:$Y$65)+SUMPRODUCT(分期持仓明细!$AC$25:$AD$25,'实盘净值数据(iFinD）'!$Z394:$AA394/'实盘净值数据(iFinD）'!$Z$65:$AA$65))*(1-实盘持仓初始配置!$Z$9)^(('实盘净值数据(iFinD）'!$A394-'实盘净值数据(iFinD）'!$A$8)/365))</f>
        <v/>
      </c>
      <c r="R394" s="16" t="str">
        <f t="shared" si="41"/>
        <v/>
      </c>
      <c r="S394" s="16" t="str">
        <f>IF(Q394="","",Q394/MAX(Q$5:Q394)-1)</f>
        <v/>
      </c>
      <c r="T394" s="13">
        <f>IF(OR('实盘净值数据(iFinD）'!$A394="",'实盘净值数据(iFinD）'!$B394="",'实盘净值数据(iFinD）'!$Z394="",'实盘净值数据(iFinD）'!$AA394="",'实盘净值数据(iFinD）'!$AB394="",'实盘净值数据(iFinD）'!$AL394=""),"",(SUMPRODUCT(分期持仓明细!$B$26:$Y$26,'实盘净值数据(iFinD）'!$B394:$Y394/'实盘净值数据(iFinD）'!$B$69:$Y$69)+SUMPRODUCT(分期持仓明细!$AC$26:$AD$26,'实盘净值数据(iFinD）'!$Z394:$AA394/'实盘净值数据(iFinD）'!$Z$69:$AA$69)+SUMPRODUCT(分期持仓明细!$AE$26:$AO$26,'实盘净值数据(iFinD）'!$AB394:$AL394/'实盘净值数据(iFinD）'!$AB$69:$AL$69))*(1-实盘持仓初始配置!$Z$10)^(('实盘净值数据(iFinD）'!$A394-'实盘净值数据(iFinD）'!$A$69)/365))</f>
        <v/>
      </c>
      <c r="U394" s="16">
        <f>IF(OR(T393="",T394=""),"",T394/T393-1)</f>
        <v/>
      </c>
      <c r="V394" s="16">
        <f>IF(T394="","",T394/MAX(T$5:T394)-1)</f>
        <v/>
      </c>
    </row>
    <row r="395" spans="1:19">
      <c r="A395" s="15" t="str">
        <f>IF('实盘净值数据(iFinD）'!A395="","",'实盘净值数据(iFinD）'!A395)</f>
        <v/>
      </c>
      <c r="B395" s="13" t="str">
        <f>IF(OR('实盘净值数据(iFinD）'!$A395="",'实盘净值数据(iFinD）'!$B395=""),"",分期持仓明细!$AB$17*SUMPRODUCT(分期持仓明细!$B$17:$Y$17,'实盘净值数据(iFinD）'!$B395:$Y395/'实盘净值数据(iFinD）'!$B$20:$Y$20)*(1-实盘持仓初始配置!$Z$4)^(('实盘净值数据(iFinD）'!$A395-'实盘净值数据(iFinD）'!$A$6)/365))</f>
        <v/>
      </c>
      <c r="C395" s="16" t="str">
        <f t="shared" si="36"/>
        <v/>
      </c>
      <c r="D395" s="16" t="str">
        <f>IF(B395="","",B395/MAX(B$5:B395)-1)</f>
        <v/>
      </c>
      <c r="E395" s="13" t="str">
        <f>IF(OR('实盘净值数据(iFinD）'!$A395="",'实盘净值数据(iFinD）'!$B395=""),"",分期持仓明细!$AB$18*SUMPRODUCT(分期持仓明细!$B$18:$Y$18,'实盘净值数据(iFinD）'!$B395:$Y395/'实盘净值数据(iFinD）'!$B$20:$Y$20)*(1-实盘持仓初始配置!$Z$5)^(('实盘净值数据(iFinD）'!$A395-'实盘净值数据(iFinD）'!$A$5)/365))</f>
        <v/>
      </c>
      <c r="F395" s="16" t="str">
        <f t="shared" si="37"/>
        <v/>
      </c>
      <c r="G395" s="16" t="str">
        <f>IF(E395="","",E395/MAX(E$5:E395)-1)</f>
        <v/>
      </c>
      <c r="H395" s="13" t="str">
        <f>IF(OR('实盘净值数据(iFinD）'!$A395="",'实盘净值数据(iFinD）'!$B395=""),"",分期持仓明细!$AB$19*SUMPRODUCT(分期持仓明细!$B$19:$Y$19,'实盘净值数据(iFinD）'!$B395:$Y395/'实盘净值数据(iFinD）'!$B$20:$Y$20)*(1-实盘持仓初始配置!$Z$6)^(('实盘净值数据(iFinD）'!$A395-'实盘净值数据(iFinD）'!$A$7)/365))</f>
        <v/>
      </c>
      <c r="I395" s="16" t="str">
        <f t="shared" si="38"/>
        <v/>
      </c>
      <c r="J395" s="16" t="str">
        <f>IF(H395="","",H395/MAX(H$5:H395)-1)</f>
        <v/>
      </c>
      <c r="K395" s="13" t="str">
        <f>IF(OR('实盘净值数据(iFinD）'!$A395="",'实盘净值数据(iFinD）'!$B395="",'实盘净值数据(iFinD）'!$Z395="",'实盘净值数据(iFinD）'!$AA395=""),"",分期持仓明细!$AB$23*(SUMPRODUCT(分期持仓明细!$B$23:$Y$23,'实盘净值数据(iFinD）'!$B395:$Y395/'实盘净值数据(iFinD）'!$B$65:$Y$65)+SUMPRODUCT(分期持仓明细!$AC$23:$AD$23,'实盘净值数据(iFinD）'!$Z395:$AA395/'实盘净值数据(iFinD）'!$Z$65:$AA$65))*(1-实盘持仓初始配置!$Z$7)^(('实盘净值数据(iFinD）'!$A395-'实盘净值数据(iFinD）'!$A$8)/365))</f>
        <v/>
      </c>
      <c r="L395" s="16" t="str">
        <f t="shared" si="39"/>
        <v/>
      </c>
      <c r="M395" s="16" t="str">
        <f>IF(K395="","",K395/MAX(K$5:K395)-1)</f>
        <v/>
      </c>
      <c r="N395" s="13" t="str">
        <f>IF(OR('实盘净值数据(iFinD）'!$A395="",'实盘净值数据(iFinD）'!$B395="",'实盘净值数据(iFinD）'!$Z395="",'实盘净值数据(iFinD）'!$AA395=""),"",分期持仓明细!$AB$24*(SUMPRODUCT(分期持仓明细!$B$24:$Y$24,'实盘净值数据(iFinD）'!$B395:$Y395/'实盘净值数据(iFinD）'!$B$65:$Y$65)+SUMPRODUCT(分期持仓明细!$AC$24:$AD$24,'实盘净值数据(iFinD）'!$Z395:$AA395/'实盘净值数据(iFinD）'!$Z$65:$AA$65))*(1-实盘持仓初始配置!$Z$8)^(('实盘净值数据(iFinD）'!$A395-'实盘净值数据(iFinD）'!$A$5)/365))</f>
        <v/>
      </c>
      <c r="O395" s="16" t="str">
        <f t="shared" si="40"/>
        <v/>
      </c>
      <c r="P395" s="16" t="str">
        <f>IF(N395="","",N395/MAX(N$5:N395)-1)</f>
        <v/>
      </c>
      <c r="Q395" s="13" t="str">
        <f>IF(OR('实盘净值数据(iFinD）'!$A395="",'实盘净值数据(iFinD）'!$B395="",'实盘净值数据(iFinD）'!$Z395="",'实盘净值数据(iFinD）'!$AA395=""),"",分期持仓明细!$AB$25*(SUMPRODUCT(分期持仓明细!$B$25:$Y$25,'实盘净值数据(iFinD）'!$B395:$Y395/'实盘净值数据(iFinD）'!$B$65:$Y$65)+SUMPRODUCT(分期持仓明细!$AC$25:$AD$25,'实盘净值数据(iFinD）'!$Z395:$AA395/'实盘净值数据(iFinD）'!$Z$65:$AA$65))*(1-实盘持仓初始配置!$Z$9)^(('实盘净值数据(iFinD）'!$A395-'实盘净值数据(iFinD）'!$A$8)/365))</f>
        <v/>
      </c>
      <c r="R395" s="16" t="str">
        <f t="shared" si="41"/>
        <v/>
      </c>
      <c r="S395" s="16" t="str">
        <f>IF(Q395="","",Q395/MAX(Q$5:Q395)-1)</f>
        <v/>
      </c>
      <c r="T395" s="13">
        <f>IF(OR('实盘净值数据(iFinD）'!$A395="",'实盘净值数据(iFinD）'!$B395="",'实盘净值数据(iFinD）'!$Z395="",'实盘净值数据(iFinD）'!$AA395="",'实盘净值数据(iFinD）'!$AB395="",'实盘净值数据(iFinD）'!$AL395=""),"",(SUMPRODUCT(分期持仓明细!$B$26:$Y$26,'实盘净值数据(iFinD）'!$B395:$Y395/'实盘净值数据(iFinD）'!$B$69:$Y$69)+SUMPRODUCT(分期持仓明细!$AC$26:$AD$26,'实盘净值数据(iFinD）'!$Z395:$AA395/'实盘净值数据(iFinD）'!$Z$69:$AA$69)+SUMPRODUCT(分期持仓明细!$AE$26:$AO$26,'实盘净值数据(iFinD）'!$AB395:$AL395/'实盘净值数据(iFinD）'!$AB$69:$AL$69))*(1-实盘持仓初始配置!$Z$10)^(('实盘净值数据(iFinD）'!$A395-'实盘净值数据(iFinD）'!$A$69)/365))</f>
        <v/>
      </c>
      <c r="U395" s="16">
        <f>IF(OR(T394="",T395=""),"",T395/T394-1)</f>
        <v/>
      </c>
      <c r="V395" s="16">
        <f>IF(T395="","",T395/MAX(T$5:T395)-1)</f>
        <v/>
      </c>
    </row>
    <row r="396" spans="1:19">
      <c r="A396" s="15" t="str">
        <f>IF('实盘净值数据(iFinD）'!A396="","",'实盘净值数据(iFinD）'!A396)</f>
        <v/>
      </c>
      <c r="B396" s="13" t="str">
        <f>IF(OR('实盘净值数据(iFinD）'!$A396="",'实盘净值数据(iFinD）'!$B396=""),"",分期持仓明细!$AB$17*SUMPRODUCT(分期持仓明细!$B$17:$Y$17,'实盘净值数据(iFinD）'!$B396:$Y396/'实盘净值数据(iFinD）'!$B$20:$Y$20)*(1-实盘持仓初始配置!$Z$4)^(('实盘净值数据(iFinD）'!$A396-'实盘净值数据(iFinD）'!$A$6)/365))</f>
        <v/>
      </c>
      <c r="C396" s="16" t="str">
        <f t="shared" si="36"/>
        <v/>
      </c>
      <c r="D396" s="16" t="str">
        <f>IF(B396="","",B396/MAX(B$5:B396)-1)</f>
        <v/>
      </c>
      <c r="E396" s="13" t="str">
        <f>IF(OR('实盘净值数据(iFinD）'!$A396="",'实盘净值数据(iFinD）'!$B396=""),"",分期持仓明细!$AB$18*SUMPRODUCT(分期持仓明细!$B$18:$Y$18,'实盘净值数据(iFinD）'!$B396:$Y396/'实盘净值数据(iFinD）'!$B$20:$Y$20)*(1-实盘持仓初始配置!$Z$5)^(('实盘净值数据(iFinD）'!$A396-'实盘净值数据(iFinD）'!$A$5)/365))</f>
        <v/>
      </c>
      <c r="F396" s="16" t="str">
        <f t="shared" si="37"/>
        <v/>
      </c>
      <c r="G396" s="16" t="str">
        <f>IF(E396="","",E396/MAX(E$5:E396)-1)</f>
        <v/>
      </c>
      <c r="H396" s="13" t="str">
        <f>IF(OR('实盘净值数据(iFinD）'!$A396="",'实盘净值数据(iFinD）'!$B396=""),"",分期持仓明细!$AB$19*SUMPRODUCT(分期持仓明细!$B$19:$Y$19,'实盘净值数据(iFinD）'!$B396:$Y396/'实盘净值数据(iFinD）'!$B$20:$Y$20)*(1-实盘持仓初始配置!$Z$6)^(('实盘净值数据(iFinD）'!$A396-'实盘净值数据(iFinD）'!$A$7)/365))</f>
        <v/>
      </c>
      <c r="I396" s="16" t="str">
        <f t="shared" si="38"/>
        <v/>
      </c>
      <c r="J396" s="16" t="str">
        <f>IF(H396="","",H396/MAX(H$5:H396)-1)</f>
        <v/>
      </c>
      <c r="K396" s="13" t="str">
        <f>IF(OR('实盘净值数据(iFinD）'!$A396="",'实盘净值数据(iFinD）'!$B396="",'实盘净值数据(iFinD）'!$Z396="",'实盘净值数据(iFinD）'!$AA396=""),"",分期持仓明细!$AB$23*(SUMPRODUCT(分期持仓明细!$B$23:$Y$23,'实盘净值数据(iFinD）'!$B396:$Y396/'实盘净值数据(iFinD）'!$B$65:$Y$65)+SUMPRODUCT(分期持仓明细!$AC$23:$AD$23,'实盘净值数据(iFinD）'!$Z396:$AA396/'实盘净值数据(iFinD）'!$Z$65:$AA$65))*(1-实盘持仓初始配置!$Z$7)^(('实盘净值数据(iFinD）'!$A396-'实盘净值数据(iFinD）'!$A$8)/365))</f>
        <v/>
      </c>
      <c r="L396" s="16" t="str">
        <f t="shared" si="39"/>
        <v/>
      </c>
      <c r="M396" s="16" t="str">
        <f>IF(K396="","",K396/MAX(K$5:K396)-1)</f>
        <v/>
      </c>
      <c r="N396" s="13" t="str">
        <f>IF(OR('实盘净值数据(iFinD）'!$A396="",'实盘净值数据(iFinD）'!$B396="",'实盘净值数据(iFinD）'!$Z396="",'实盘净值数据(iFinD）'!$AA396=""),"",分期持仓明细!$AB$24*(SUMPRODUCT(分期持仓明细!$B$24:$Y$24,'实盘净值数据(iFinD）'!$B396:$Y396/'实盘净值数据(iFinD）'!$B$65:$Y$65)+SUMPRODUCT(分期持仓明细!$AC$24:$AD$24,'实盘净值数据(iFinD）'!$Z396:$AA396/'实盘净值数据(iFinD）'!$Z$65:$AA$65))*(1-实盘持仓初始配置!$Z$8)^(('实盘净值数据(iFinD）'!$A396-'实盘净值数据(iFinD）'!$A$5)/365))</f>
        <v/>
      </c>
      <c r="O396" s="16" t="str">
        <f t="shared" si="40"/>
        <v/>
      </c>
      <c r="P396" s="16" t="str">
        <f>IF(N396="","",N396/MAX(N$5:N396)-1)</f>
        <v/>
      </c>
      <c r="Q396" s="13" t="str">
        <f>IF(OR('实盘净值数据(iFinD）'!$A396="",'实盘净值数据(iFinD）'!$B396="",'实盘净值数据(iFinD）'!$Z396="",'实盘净值数据(iFinD）'!$AA396=""),"",分期持仓明细!$AB$25*(SUMPRODUCT(分期持仓明细!$B$25:$Y$25,'实盘净值数据(iFinD）'!$B396:$Y396/'实盘净值数据(iFinD）'!$B$65:$Y$65)+SUMPRODUCT(分期持仓明细!$AC$25:$AD$25,'实盘净值数据(iFinD）'!$Z396:$AA396/'实盘净值数据(iFinD）'!$Z$65:$AA$65))*(1-实盘持仓初始配置!$Z$9)^(('实盘净值数据(iFinD）'!$A396-'实盘净值数据(iFinD）'!$A$8)/365))</f>
        <v/>
      </c>
      <c r="R396" s="16" t="str">
        <f t="shared" si="41"/>
        <v/>
      </c>
      <c r="S396" s="16" t="str">
        <f>IF(Q396="","",Q396/MAX(Q$5:Q396)-1)</f>
        <v/>
      </c>
      <c r="T396" s="13">
        <f>IF(OR('实盘净值数据(iFinD）'!$A396="",'实盘净值数据(iFinD）'!$B396="",'实盘净值数据(iFinD）'!$Z396="",'实盘净值数据(iFinD）'!$AA396="",'实盘净值数据(iFinD）'!$AB396="",'实盘净值数据(iFinD）'!$AL396=""),"",(SUMPRODUCT(分期持仓明细!$B$26:$Y$26,'实盘净值数据(iFinD）'!$B396:$Y396/'实盘净值数据(iFinD）'!$B$69:$Y$69)+SUMPRODUCT(分期持仓明细!$AC$26:$AD$26,'实盘净值数据(iFinD）'!$Z396:$AA396/'实盘净值数据(iFinD）'!$Z$69:$AA$69)+SUMPRODUCT(分期持仓明细!$AE$26:$AO$26,'实盘净值数据(iFinD）'!$AB396:$AL396/'实盘净值数据(iFinD）'!$AB$69:$AL$69))*(1-实盘持仓初始配置!$Z$10)^(('实盘净值数据(iFinD）'!$A396-'实盘净值数据(iFinD）'!$A$69)/365))</f>
        <v/>
      </c>
      <c r="U396" s="16">
        <f>IF(OR(T395="",T396=""),"",T396/T395-1)</f>
        <v/>
      </c>
      <c r="V396" s="16">
        <f>IF(T396="","",T396/MAX(T$5:T396)-1)</f>
        <v/>
      </c>
    </row>
    <row r="397" spans="1:19">
      <c r="A397" s="15" t="str">
        <f>IF('实盘净值数据(iFinD）'!A397="","",'实盘净值数据(iFinD）'!A397)</f>
        <v/>
      </c>
      <c r="B397" s="13" t="str">
        <f>IF(OR('实盘净值数据(iFinD）'!$A397="",'实盘净值数据(iFinD）'!$B397=""),"",分期持仓明细!$AB$17*SUMPRODUCT(分期持仓明细!$B$17:$Y$17,'实盘净值数据(iFinD）'!$B397:$Y397/'实盘净值数据(iFinD）'!$B$20:$Y$20)*(1-实盘持仓初始配置!$Z$4)^(('实盘净值数据(iFinD）'!$A397-'实盘净值数据(iFinD）'!$A$6)/365))</f>
        <v/>
      </c>
      <c r="C397" s="16" t="str">
        <f t="shared" si="36"/>
        <v/>
      </c>
      <c r="D397" s="16" t="str">
        <f>IF(B397="","",B397/MAX(B$5:B397)-1)</f>
        <v/>
      </c>
      <c r="E397" s="13" t="str">
        <f>IF(OR('实盘净值数据(iFinD）'!$A397="",'实盘净值数据(iFinD）'!$B397=""),"",分期持仓明细!$AB$18*SUMPRODUCT(分期持仓明细!$B$18:$Y$18,'实盘净值数据(iFinD）'!$B397:$Y397/'实盘净值数据(iFinD）'!$B$20:$Y$20)*(1-实盘持仓初始配置!$Z$5)^(('实盘净值数据(iFinD）'!$A397-'实盘净值数据(iFinD）'!$A$5)/365))</f>
        <v/>
      </c>
      <c r="F397" s="16" t="str">
        <f t="shared" si="37"/>
        <v/>
      </c>
      <c r="G397" s="16" t="str">
        <f>IF(E397="","",E397/MAX(E$5:E397)-1)</f>
        <v/>
      </c>
      <c r="H397" s="13" t="str">
        <f>IF(OR('实盘净值数据(iFinD）'!$A397="",'实盘净值数据(iFinD）'!$B397=""),"",分期持仓明细!$AB$19*SUMPRODUCT(分期持仓明细!$B$19:$Y$19,'实盘净值数据(iFinD）'!$B397:$Y397/'实盘净值数据(iFinD）'!$B$20:$Y$20)*(1-实盘持仓初始配置!$Z$6)^(('实盘净值数据(iFinD）'!$A397-'实盘净值数据(iFinD）'!$A$7)/365))</f>
        <v/>
      </c>
      <c r="I397" s="16" t="str">
        <f t="shared" si="38"/>
        <v/>
      </c>
      <c r="J397" s="16" t="str">
        <f>IF(H397="","",H397/MAX(H$5:H397)-1)</f>
        <v/>
      </c>
      <c r="K397" s="13" t="str">
        <f>IF(OR('实盘净值数据(iFinD）'!$A397="",'实盘净值数据(iFinD）'!$B397="",'实盘净值数据(iFinD）'!$Z397="",'实盘净值数据(iFinD）'!$AA397=""),"",分期持仓明细!$AB$23*(SUMPRODUCT(分期持仓明细!$B$23:$Y$23,'实盘净值数据(iFinD）'!$B397:$Y397/'实盘净值数据(iFinD）'!$B$65:$Y$65)+SUMPRODUCT(分期持仓明细!$AC$23:$AD$23,'实盘净值数据(iFinD）'!$Z397:$AA397/'实盘净值数据(iFinD）'!$Z$65:$AA$65))*(1-实盘持仓初始配置!$Z$7)^(('实盘净值数据(iFinD）'!$A397-'实盘净值数据(iFinD）'!$A$8)/365))</f>
        <v/>
      </c>
      <c r="L397" s="16" t="str">
        <f t="shared" si="39"/>
        <v/>
      </c>
      <c r="M397" s="16" t="str">
        <f>IF(K397="","",K397/MAX(K$5:K397)-1)</f>
        <v/>
      </c>
      <c r="N397" s="13" t="str">
        <f>IF(OR('实盘净值数据(iFinD）'!$A397="",'实盘净值数据(iFinD）'!$B397="",'实盘净值数据(iFinD）'!$Z397="",'实盘净值数据(iFinD）'!$AA397=""),"",分期持仓明细!$AB$24*(SUMPRODUCT(分期持仓明细!$B$24:$Y$24,'实盘净值数据(iFinD）'!$B397:$Y397/'实盘净值数据(iFinD）'!$B$65:$Y$65)+SUMPRODUCT(分期持仓明细!$AC$24:$AD$24,'实盘净值数据(iFinD）'!$Z397:$AA397/'实盘净值数据(iFinD）'!$Z$65:$AA$65))*(1-实盘持仓初始配置!$Z$8)^(('实盘净值数据(iFinD）'!$A397-'实盘净值数据(iFinD）'!$A$5)/365))</f>
        <v/>
      </c>
      <c r="O397" s="16" t="str">
        <f t="shared" si="40"/>
        <v/>
      </c>
      <c r="P397" s="16" t="str">
        <f>IF(N397="","",N397/MAX(N$5:N397)-1)</f>
        <v/>
      </c>
      <c r="Q397" s="13" t="str">
        <f>IF(OR('实盘净值数据(iFinD）'!$A397="",'实盘净值数据(iFinD）'!$B397="",'实盘净值数据(iFinD）'!$Z397="",'实盘净值数据(iFinD）'!$AA397=""),"",分期持仓明细!$AB$25*(SUMPRODUCT(分期持仓明细!$B$25:$Y$25,'实盘净值数据(iFinD）'!$B397:$Y397/'实盘净值数据(iFinD）'!$B$65:$Y$65)+SUMPRODUCT(分期持仓明细!$AC$25:$AD$25,'实盘净值数据(iFinD）'!$Z397:$AA397/'实盘净值数据(iFinD）'!$Z$65:$AA$65))*(1-实盘持仓初始配置!$Z$9)^(('实盘净值数据(iFinD）'!$A397-'实盘净值数据(iFinD）'!$A$8)/365))</f>
        <v/>
      </c>
      <c r="R397" s="16" t="str">
        <f t="shared" si="41"/>
        <v/>
      </c>
      <c r="S397" s="16" t="str">
        <f>IF(Q397="","",Q397/MAX(Q$5:Q397)-1)</f>
        <v/>
      </c>
      <c r="T397" s="13">
        <f>IF(OR('实盘净值数据(iFinD）'!$A397="",'实盘净值数据(iFinD）'!$B397="",'实盘净值数据(iFinD）'!$Z397="",'实盘净值数据(iFinD）'!$AA397="",'实盘净值数据(iFinD）'!$AB397="",'实盘净值数据(iFinD）'!$AL397=""),"",(SUMPRODUCT(分期持仓明细!$B$26:$Y$26,'实盘净值数据(iFinD）'!$B397:$Y397/'实盘净值数据(iFinD）'!$B$69:$Y$69)+SUMPRODUCT(分期持仓明细!$AC$26:$AD$26,'实盘净值数据(iFinD）'!$Z397:$AA397/'实盘净值数据(iFinD）'!$Z$69:$AA$69)+SUMPRODUCT(分期持仓明细!$AE$26:$AO$26,'实盘净值数据(iFinD）'!$AB397:$AL397/'实盘净值数据(iFinD）'!$AB$69:$AL$69))*(1-实盘持仓初始配置!$Z$10)^(('实盘净值数据(iFinD）'!$A397-'实盘净值数据(iFinD）'!$A$69)/365))</f>
        <v/>
      </c>
      <c r="U397" s="16">
        <f>IF(OR(T396="",T397=""),"",T397/T396-1)</f>
        <v/>
      </c>
      <c r="V397" s="16">
        <f>IF(T397="","",T397/MAX(T$5:T397)-1)</f>
        <v/>
      </c>
    </row>
    <row r="398" spans="1:19">
      <c r="A398" s="15" t="str">
        <f>IF('实盘净值数据(iFinD）'!A398="","",'实盘净值数据(iFinD）'!A398)</f>
        <v/>
      </c>
      <c r="B398" s="13" t="str">
        <f>IF(OR('实盘净值数据(iFinD）'!$A398="",'实盘净值数据(iFinD）'!$B398=""),"",分期持仓明细!$AB$17*SUMPRODUCT(分期持仓明细!$B$17:$Y$17,'实盘净值数据(iFinD）'!$B398:$Y398/'实盘净值数据(iFinD）'!$B$20:$Y$20)*(1-实盘持仓初始配置!$Z$4)^(('实盘净值数据(iFinD）'!$A398-'实盘净值数据(iFinD）'!$A$6)/365))</f>
        <v/>
      </c>
      <c r="C398" s="16" t="str">
        <f t="shared" si="36"/>
        <v/>
      </c>
      <c r="D398" s="16" t="str">
        <f>IF(B398="","",B398/MAX(B$5:B398)-1)</f>
        <v/>
      </c>
      <c r="E398" s="13" t="str">
        <f>IF(OR('实盘净值数据(iFinD）'!$A398="",'实盘净值数据(iFinD）'!$B398=""),"",分期持仓明细!$AB$18*SUMPRODUCT(分期持仓明细!$B$18:$Y$18,'实盘净值数据(iFinD）'!$B398:$Y398/'实盘净值数据(iFinD）'!$B$20:$Y$20)*(1-实盘持仓初始配置!$Z$5)^(('实盘净值数据(iFinD）'!$A398-'实盘净值数据(iFinD）'!$A$5)/365))</f>
        <v/>
      </c>
      <c r="F398" s="16" t="str">
        <f t="shared" si="37"/>
        <v/>
      </c>
      <c r="G398" s="16" t="str">
        <f>IF(E398="","",E398/MAX(E$5:E398)-1)</f>
        <v/>
      </c>
      <c r="H398" s="13" t="str">
        <f>IF(OR('实盘净值数据(iFinD）'!$A398="",'实盘净值数据(iFinD）'!$B398=""),"",分期持仓明细!$AB$19*SUMPRODUCT(分期持仓明细!$B$19:$Y$19,'实盘净值数据(iFinD）'!$B398:$Y398/'实盘净值数据(iFinD）'!$B$20:$Y$20)*(1-实盘持仓初始配置!$Z$6)^(('实盘净值数据(iFinD）'!$A398-'实盘净值数据(iFinD）'!$A$7)/365))</f>
        <v/>
      </c>
      <c r="I398" s="16" t="str">
        <f t="shared" si="38"/>
        <v/>
      </c>
      <c r="J398" s="16" t="str">
        <f>IF(H398="","",H398/MAX(H$5:H398)-1)</f>
        <v/>
      </c>
      <c r="K398" s="13" t="str">
        <f>IF(OR('实盘净值数据(iFinD）'!$A398="",'实盘净值数据(iFinD）'!$B398="",'实盘净值数据(iFinD）'!$Z398="",'实盘净值数据(iFinD）'!$AA398=""),"",分期持仓明细!$AB$23*(SUMPRODUCT(分期持仓明细!$B$23:$Y$23,'实盘净值数据(iFinD）'!$B398:$Y398/'实盘净值数据(iFinD）'!$B$65:$Y$65)+SUMPRODUCT(分期持仓明细!$AC$23:$AD$23,'实盘净值数据(iFinD）'!$Z398:$AA398/'实盘净值数据(iFinD）'!$Z$65:$AA$65))*(1-实盘持仓初始配置!$Z$7)^(('实盘净值数据(iFinD）'!$A398-'实盘净值数据(iFinD）'!$A$8)/365))</f>
        <v/>
      </c>
      <c r="L398" s="16" t="str">
        <f t="shared" si="39"/>
        <v/>
      </c>
      <c r="M398" s="16" t="str">
        <f>IF(K398="","",K398/MAX(K$5:K398)-1)</f>
        <v/>
      </c>
      <c r="N398" s="13" t="str">
        <f>IF(OR('实盘净值数据(iFinD）'!$A398="",'实盘净值数据(iFinD）'!$B398="",'实盘净值数据(iFinD）'!$Z398="",'实盘净值数据(iFinD）'!$AA398=""),"",分期持仓明细!$AB$24*(SUMPRODUCT(分期持仓明细!$B$24:$Y$24,'实盘净值数据(iFinD）'!$B398:$Y398/'实盘净值数据(iFinD）'!$B$65:$Y$65)+SUMPRODUCT(分期持仓明细!$AC$24:$AD$24,'实盘净值数据(iFinD）'!$Z398:$AA398/'实盘净值数据(iFinD）'!$Z$65:$AA$65))*(1-实盘持仓初始配置!$Z$8)^(('实盘净值数据(iFinD）'!$A398-'实盘净值数据(iFinD）'!$A$5)/365))</f>
        <v/>
      </c>
      <c r="O398" s="16" t="str">
        <f t="shared" si="40"/>
        <v/>
      </c>
      <c r="P398" s="16" t="str">
        <f>IF(N398="","",N398/MAX(N$5:N398)-1)</f>
        <v/>
      </c>
      <c r="Q398" s="13" t="str">
        <f>IF(OR('实盘净值数据(iFinD）'!$A398="",'实盘净值数据(iFinD）'!$B398="",'实盘净值数据(iFinD）'!$Z398="",'实盘净值数据(iFinD）'!$AA398=""),"",分期持仓明细!$AB$25*(SUMPRODUCT(分期持仓明细!$B$25:$Y$25,'实盘净值数据(iFinD）'!$B398:$Y398/'实盘净值数据(iFinD）'!$B$65:$Y$65)+SUMPRODUCT(分期持仓明细!$AC$25:$AD$25,'实盘净值数据(iFinD）'!$Z398:$AA398/'实盘净值数据(iFinD）'!$Z$65:$AA$65))*(1-实盘持仓初始配置!$Z$9)^(('实盘净值数据(iFinD）'!$A398-'实盘净值数据(iFinD）'!$A$8)/365))</f>
        <v/>
      </c>
      <c r="R398" s="16" t="str">
        <f t="shared" si="41"/>
        <v/>
      </c>
      <c r="S398" s="16" t="str">
        <f>IF(Q398="","",Q398/MAX(Q$5:Q398)-1)</f>
        <v/>
      </c>
      <c r="T398" s="13">
        <f>IF(OR('实盘净值数据(iFinD）'!$A398="",'实盘净值数据(iFinD）'!$B398="",'实盘净值数据(iFinD）'!$Z398="",'实盘净值数据(iFinD）'!$AA398="",'实盘净值数据(iFinD）'!$AB398="",'实盘净值数据(iFinD）'!$AL398=""),"",(SUMPRODUCT(分期持仓明细!$B$26:$Y$26,'实盘净值数据(iFinD）'!$B398:$Y398/'实盘净值数据(iFinD）'!$B$69:$Y$69)+SUMPRODUCT(分期持仓明细!$AC$26:$AD$26,'实盘净值数据(iFinD）'!$Z398:$AA398/'实盘净值数据(iFinD）'!$Z$69:$AA$69)+SUMPRODUCT(分期持仓明细!$AE$26:$AO$26,'实盘净值数据(iFinD）'!$AB398:$AL398/'实盘净值数据(iFinD）'!$AB$69:$AL$69))*(1-实盘持仓初始配置!$Z$10)^(('实盘净值数据(iFinD）'!$A398-'实盘净值数据(iFinD）'!$A$69)/365))</f>
        <v/>
      </c>
      <c r="U398" s="16">
        <f>IF(OR(T397="",T398=""),"",T398/T397-1)</f>
        <v/>
      </c>
      <c r="V398" s="16">
        <f>IF(T398="","",T398/MAX(T$5:T398)-1)</f>
        <v/>
      </c>
    </row>
    <row r="399" spans="1:19">
      <c r="A399" s="15" t="str">
        <f>IF('实盘净值数据(iFinD）'!A399="","",'实盘净值数据(iFinD）'!A399)</f>
        <v/>
      </c>
      <c r="B399" s="13" t="str">
        <f>IF(OR('实盘净值数据(iFinD）'!$A399="",'实盘净值数据(iFinD）'!$B399=""),"",分期持仓明细!$AB$17*SUMPRODUCT(分期持仓明细!$B$17:$Y$17,'实盘净值数据(iFinD）'!$B399:$Y399/'实盘净值数据(iFinD）'!$B$20:$Y$20)*(1-实盘持仓初始配置!$Z$4)^(('实盘净值数据(iFinD）'!$A399-'实盘净值数据(iFinD）'!$A$6)/365))</f>
        <v/>
      </c>
      <c r="C399" s="16" t="str">
        <f t="shared" si="36"/>
        <v/>
      </c>
      <c r="D399" s="16" t="str">
        <f>IF(B399="","",B399/MAX(B$5:B399)-1)</f>
        <v/>
      </c>
      <c r="E399" s="13" t="str">
        <f>IF(OR('实盘净值数据(iFinD）'!$A399="",'实盘净值数据(iFinD）'!$B399=""),"",分期持仓明细!$AB$18*SUMPRODUCT(分期持仓明细!$B$18:$Y$18,'实盘净值数据(iFinD）'!$B399:$Y399/'实盘净值数据(iFinD）'!$B$20:$Y$20)*(1-实盘持仓初始配置!$Z$5)^(('实盘净值数据(iFinD）'!$A399-'实盘净值数据(iFinD）'!$A$5)/365))</f>
        <v/>
      </c>
      <c r="F399" s="16" t="str">
        <f t="shared" si="37"/>
        <v/>
      </c>
      <c r="G399" s="16" t="str">
        <f>IF(E399="","",E399/MAX(E$5:E399)-1)</f>
        <v/>
      </c>
      <c r="H399" s="13" t="str">
        <f>IF(OR('实盘净值数据(iFinD）'!$A399="",'实盘净值数据(iFinD）'!$B399=""),"",分期持仓明细!$AB$19*SUMPRODUCT(分期持仓明细!$B$19:$Y$19,'实盘净值数据(iFinD）'!$B399:$Y399/'实盘净值数据(iFinD）'!$B$20:$Y$20)*(1-实盘持仓初始配置!$Z$6)^(('实盘净值数据(iFinD）'!$A399-'实盘净值数据(iFinD）'!$A$7)/365))</f>
        <v/>
      </c>
      <c r="I399" s="16" t="str">
        <f t="shared" si="38"/>
        <v/>
      </c>
      <c r="J399" s="16" t="str">
        <f>IF(H399="","",H399/MAX(H$5:H399)-1)</f>
        <v/>
      </c>
      <c r="K399" s="13" t="str">
        <f>IF(OR('实盘净值数据(iFinD）'!$A399="",'实盘净值数据(iFinD）'!$B399="",'实盘净值数据(iFinD）'!$Z399="",'实盘净值数据(iFinD）'!$AA399=""),"",分期持仓明细!$AB$23*(SUMPRODUCT(分期持仓明细!$B$23:$Y$23,'实盘净值数据(iFinD）'!$B399:$Y399/'实盘净值数据(iFinD）'!$B$65:$Y$65)+SUMPRODUCT(分期持仓明细!$AC$23:$AD$23,'实盘净值数据(iFinD）'!$Z399:$AA399/'实盘净值数据(iFinD）'!$Z$65:$AA$65))*(1-实盘持仓初始配置!$Z$7)^(('实盘净值数据(iFinD）'!$A399-'实盘净值数据(iFinD）'!$A$8)/365))</f>
        <v/>
      </c>
      <c r="L399" s="16" t="str">
        <f t="shared" si="39"/>
        <v/>
      </c>
      <c r="M399" s="16" t="str">
        <f>IF(K399="","",K399/MAX(K$5:K399)-1)</f>
        <v/>
      </c>
      <c r="N399" s="13" t="str">
        <f>IF(OR('实盘净值数据(iFinD）'!$A399="",'实盘净值数据(iFinD）'!$B399="",'实盘净值数据(iFinD）'!$Z399="",'实盘净值数据(iFinD）'!$AA399=""),"",分期持仓明细!$AB$24*(SUMPRODUCT(分期持仓明细!$B$24:$Y$24,'实盘净值数据(iFinD）'!$B399:$Y399/'实盘净值数据(iFinD）'!$B$65:$Y$65)+SUMPRODUCT(分期持仓明细!$AC$24:$AD$24,'实盘净值数据(iFinD）'!$Z399:$AA399/'实盘净值数据(iFinD）'!$Z$65:$AA$65))*(1-实盘持仓初始配置!$Z$8)^(('实盘净值数据(iFinD）'!$A399-'实盘净值数据(iFinD）'!$A$5)/365))</f>
        <v/>
      </c>
      <c r="O399" s="16" t="str">
        <f t="shared" si="40"/>
        <v/>
      </c>
      <c r="P399" s="16" t="str">
        <f>IF(N399="","",N399/MAX(N$5:N399)-1)</f>
        <v/>
      </c>
      <c r="Q399" s="13" t="str">
        <f>IF(OR('实盘净值数据(iFinD）'!$A399="",'实盘净值数据(iFinD）'!$B399="",'实盘净值数据(iFinD）'!$Z399="",'实盘净值数据(iFinD）'!$AA399=""),"",分期持仓明细!$AB$25*(SUMPRODUCT(分期持仓明细!$B$25:$Y$25,'实盘净值数据(iFinD）'!$B399:$Y399/'实盘净值数据(iFinD）'!$B$65:$Y$65)+SUMPRODUCT(分期持仓明细!$AC$25:$AD$25,'实盘净值数据(iFinD）'!$Z399:$AA399/'实盘净值数据(iFinD）'!$Z$65:$AA$65))*(1-实盘持仓初始配置!$Z$9)^(('实盘净值数据(iFinD）'!$A399-'实盘净值数据(iFinD）'!$A$8)/365))</f>
        <v/>
      </c>
      <c r="R399" s="16" t="str">
        <f t="shared" si="41"/>
        <v/>
      </c>
      <c r="S399" s="16" t="str">
        <f>IF(Q399="","",Q399/MAX(Q$5:Q399)-1)</f>
        <v/>
      </c>
      <c r="T399" s="13">
        <f>IF(OR('实盘净值数据(iFinD）'!$A399="",'实盘净值数据(iFinD）'!$B399="",'实盘净值数据(iFinD）'!$Z399="",'实盘净值数据(iFinD）'!$AA399="",'实盘净值数据(iFinD）'!$AB399="",'实盘净值数据(iFinD）'!$AL399=""),"",(SUMPRODUCT(分期持仓明细!$B$26:$Y$26,'实盘净值数据(iFinD）'!$B399:$Y399/'实盘净值数据(iFinD）'!$B$69:$Y$69)+SUMPRODUCT(分期持仓明细!$AC$26:$AD$26,'实盘净值数据(iFinD）'!$Z399:$AA399/'实盘净值数据(iFinD）'!$Z$69:$AA$69)+SUMPRODUCT(分期持仓明细!$AE$26:$AO$26,'实盘净值数据(iFinD）'!$AB399:$AL399/'实盘净值数据(iFinD）'!$AB$69:$AL$69))*(1-实盘持仓初始配置!$Z$10)^(('实盘净值数据(iFinD）'!$A399-'实盘净值数据(iFinD）'!$A$69)/365))</f>
        <v/>
      </c>
      <c r="U399" s="16">
        <f>IF(OR(T398="",T399=""),"",T399/T398-1)</f>
        <v/>
      </c>
      <c r="V399" s="16">
        <f>IF(T399="","",T399/MAX(T$5:T399)-1)</f>
        <v/>
      </c>
    </row>
    <row r="400" spans="1:19">
      <c r="A400" s="15" t="str">
        <f>IF('实盘净值数据(iFinD）'!A400="","",'实盘净值数据(iFinD）'!A400)</f>
        <v/>
      </c>
      <c r="B400" s="13" t="str">
        <f>IF(OR('实盘净值数据(iFinD）'!$A400="",'实盘净值数据(iFinD）'!$B400=""),"",分期持仓明细!$AB$17*SUMPRODUCT(分期持仓明细!$B$17:$Y$17,'实盘净值数据(iFinD）'!$B400:$Y400/'实盘净值数据(iFinD）'!$B$20:$Y$20)*(1-实盘持仓初始配置!$Z$4)^(('实盘净值数据(iFinD）'!$A400-'实盘净值数据(iFinD）'!$A$6)/365))</f>
        <v/>
      </c>
      <c r="C400" s="16" t="str">
        <f t="shared" si="36"/>
        <v/>
      </c>
      <c r="D400" s="16" t="str">
        <f>IF(B400="","",B400/MAX(B$5:B400)-1)</f>
        <v/>
      </c>
      <c r="E400" s="13" t="str">
        <f>IF(OR('实盘净值数据(iFinD）'!$A400="",'实盘净值数据(iFinD）'!$B400=""),"",分期持仓明细!$AB$18*SUMPRODUCT(分期持仓明细!$B$18:$Y$18,'实盘净值数据(iFinD）'!$B400:$Y400/'实盘净值数据(iFinD）'!$B$20:$Y$20)*(1-实盘持仓初始配置!$Z$5)^(('实盘净值数据(iFinD）'!$A400-'实盘净值数据(iFinD）'!$A$5)/365))</f>
        <v/>
      </c>
      <c r="F400" s="16" t="str">
        <f t="shared" si="37"/>
        <v/>
      </c>
      <c r="G400" s="16" t="str">
        <f>IF(E400="","",E400/MAX(E$5:E400)-1)</f>
        <v/>
      </c>
      <c r="H400" s="13" t="str">
        <f>IF(OR('实盘净值数据(iFinD）'!$A400="",'实盘净值数据(iFinD）'!$B400=""),"",分期持仓明细!$AB$19*SUMPRODUCT(分期持仓明细!$B$19:$Y$19,'实盘净值数据(iFinD）'!$B400:$Y400/'实盘净值数据(iFinD）'!$B$20:$Y$20)*(1-实盘持仓初始配置!$Z$6)^(('实盘净值数据(iFinD）'!$A400-'实盘净值数据(iFinD）'!$A$7)/365))</f>
        <v/>
      </c>
      <c r="I400" s="16" t="str">
        <f t="shared" si="38"/>
        <v/>
      </c>
      <c r="J400" s="16" t="str">
        <f>IF(H400="","",H400/MAX(H$5:H400)-1)</f>
        <v/>
      </c>
      <c r="K400" s="13" t="str">
        <f>IF(OR('实盘净值数据(iFinD）'!$A400="",'实盘净值数据(iFinD）'!$B400="",'实盘净值数据(iFinD）'!$Z400="",'实盘净值数据(iFinD）'!$AA400=""),"",分期持仓明细!$AB$23*(SUMPRODUCT(分期持仓明细!$B$23:$Y$23,'实盘净值数据(iFinD）'!$B400:$Y400/'实盘净值数据(iFinD）'!$B$65:$Y$65)+SUMPRODUCT(分期持仓明细!$AC$23:$AD$23,'实盘净值数据(iFinD）'!$Z400:$AA400/'实盘净值数据(iFinD）'!$Z$65:$AA$65))*(1-实盘持仓初始配置!$Z$7)^(('实盘净值数据(iFinD）'!$A400-'实盘净值数据(iFinD）'!$A$8)/365))</f>
        <v/>
      </c>
      <c r="L400" s="16" t="str">
        <f t="shared" si="39"/>
        <v/>
      </c>
      <c r="M400" s="16" t="str">
        <f>IF(K400="","",K400/MAX(K$5:K400)-1)</f>
        <v/>
      </c>
      <c r="N400" s="13" t="str">
        <f>IF(OR('实盘净值数据(iFinD）'!$A400="",'实盘净值数据(iFinD）'!$B400="",'实盘净值数据(iFinD）'!$Z400="",'实盘净值数据(iFinD）'!$AA400=""),"",分期持仓明细!$AB$24*(SUMPRODUCT(分期持仓明细!$B$24:$Y$24,'实盘净值数据(iFinD）'!$B400:$Y400/'实盘净值数据(iFinD）'!$B$65:$Y$65)+SUMPRODUCT(分期持仓明细!$AC$24:$AD$24,'实盘净值数据(iFinD）'!$Z400:$AA400/'实盘净值数据(iFinD）'!$Z$65:$AA$65))*(1-实盘持仓初始配置!$Z$8)^(('实盘净值数据(iFinD）'!$A400-'实盘净值数据(iFinD）'!$A$5)/365))</f>
        <v/>
      </c>
      <c r="O400" s="16" t="str">
        <f t="shared" si="40"/>
        <v/>
      </c>
      <c r="P400" s="16" t="str">
        <f>IF(N400="","",N400/MAX(N$5:N400)-1)</f>
        <v/>
      </c>
      <c r="Q400" s="13" t="str">
        <f>IF(OR('实盘净值数据(iFinD）'!$A400="",'实盘净值数据(iFinD）'!$B400="",'实盘净值数据(iFinD）'!$Z400="",'实盘净值数据(iFinD）'!$AA400=""),"",分期持仓明细!$AB$25*(SUMPRODUCT(分期持仓明细!$B$25:$Y$25,'实盘净值数据(iFinD）'!$B400:$Y400/'实盘净值数据(iFinD）'!$B$65:$Y$65)+SUMPRODUCT(分期持仓明细!$AC$25:$AD$25,'实盘净值数据(iFinD）'!$Z400:$AA400/'实盘净值数据(iFinD）'!$Z$65:$AA$65))*(1-实盘持仓初始配置!$Z$9)^(('实盘净值数据(iFinD）'!$A400-'实盘净值数据(iFinD）'!$A$8)/365))</f>
        <v/>
      </c>
      <c r="R400" s="16" t="str">
        <f t="shared" si="41"/>
        <v/>
      </c>
      <c r="S400" s="16" t="str">
        <f>IF(Q400="","",Q400/MAX(Q$5:Q400)-1)</f>
        <v/>
      </c>
      <c r="T400" s="13">
        <f>IF(OR('实盘净值数据(iFinD）'!$A400="",'实盘净值数据(iFinD）'!$B400="",'实盘净值数据(iFinD）'!$Z400="",'实盘净值数据(iFinD）'!$AA400="",'实盘净值数据(iFinD）'!$AB400="",'实盘净值数据(iFinD）'!$AL400=""),"",(SUMPRODUCT(分期持仓明细!$B$26:$Y$26,'实盘净值数据(iFinD）'!$B400:$Y400/'实盘净值数据(iFinD）'!$B$69:$Y$69)+SUMPRODUCT(分期持仓明细!$AC$26:$AD$26,'实盘净值数据(iFinD）'!$Z400:$AA400/'实盘净值数据(iFinD）'!$Z$69:$AA$69)+SUMPRODUCT(分期持仓明细!$AE$26:$AO$26,'实盘净值数据(iFinD）'!$AB400:$AL400/'实盘净值数据(iFinD）'!$AB$69:$AL$69))*(1-实盘持仓初始配置!$Z$10)^(('实盘净值数据(iFinD）'!$A400-'实盘净值数据(iFinD）'!$A$69)/365))</f>
        <v/>
      </c>
      <c r="U400" s="16">
        <f>IF(OR(T399="",T400=""),"",T400/T399-1)</f>
        <v/>
      </c>
      <c r="V400" s="16">
        <f>IF(T400="","",T400/MAX(T$5:T400)-1)</f>
        <v/>
      </c>
    </row>
    <row r="401" spans="1:19">
      <c r="A401" s="15" t="str">
        <f>IF('实盘净值数据(iFinD）'!A401="","",'实盘净值数据(iFinD）'!A401)</f>
        <v/>
      </c>
      <c r="B401" s="13" t="str">
        <f>IF(OR('实盘净值数据(iFinD）'!$A401="",'实盘净值数据(iFinD）'!$B401=""),"",分期持仓明细!$AB$17*SUMPRODUCT(分期持仓明细!$B$17:$Y$17,'实盘净值数据(iFinD）'!$B401:$Y401/'实盘净值数据(iFinD）'!$B$20:$Y$20)*(1-实盘持仓初始配置!$Z$4)^(('实盘净值数据(iFinD）'!$A401-'实盘净值数据(iFinD）'!$A$6)/365))</f>
        <v/>
      </c>
      <c r="C401" s="16" t="str">
        <f t="shared" si="36"/>
        <v/>
      </c>
      <c r="D401" s="16" t="str">
        <f>IF(B401="","",B401/MAX(B$5:B401)-1)</f>
        <v/>
      </c>
      <c r="E401" s="13" t="str">
        <f>IF(OR('实盘净值数据(iFinD）'!$A401="",'实盘净值数据(iFinD）'!$B401=""),"",分期持仓明细!$AB$18*SUMPRODUCT(分期持仓明细!$B$18:$Y$18,'实盘净值数据(iFinD）'!$B401:$Y401/'实盘净值数据(iFinD）'!$B$20:$Y$20)*(1-实盘持仓初始配置!$Z$5)^(('实盘净值数据(iFinD）'!$A401-'实盘净值数据(iFinD）'!$A$5)/365))</f>
        <v/>
      </c>
      <c r="F401" s="16" t="str">
        <f t="shared" si="37"/>
        <v/>
      </c>
      <c r="G401" s="16" t="str">
        <f>IF(E401="","",E401/MAX(E$5:E401)-1)</f>
        <v/>
      </c>
      <c r="H401" s="13" t="str">
        <f>IF(OR('实盘净值数据(iFinD）'!$A401="",'实盘净值数据(iFinD）'!$B401=""),"",分期持仓明细!$AB$19*SUMPRODUCT(分期持仓明细!$B$19:$Y$19,'实盘净值数据(iFinD）'!$B401:$Y401/'实盘净值数据(iFinD）'!$B$20:$Y$20)*(1-实盘持仓初始配置!$Z$6)^(('实盘净值数据(iFinD）'!$A401-'实盘净值数据(iFinD）'!$A$7)/365))</f>
        <v/>
      </c>
      <c r="I401" s="16" t="str">
        <f t="shared" si="38"/>
        <v/>
      </c>
      <c r="J401" s="16" t="str">
        <f>IF(H401="","",H401/MAX(H$5:H401)-1)</f>
        <v/>
      </c>
      <c r="K401" s="13" t="str">
        <f>IF(OR('实盘净值数据(iFinD）'!$A401="",'实盘净值数据(iFinD）'!$B401="",'实盘净值数据(iFinD）'!$Z401="",'实盘净值数据(iFinD）'!$AA401=""),"",分期持仓明细!$AB$23*(SUMPRODUCT(分期持仓明细!$B$23:$Y$23,'实盘净值数据(iFinD）'!$B401:$Y401/'实盘净值数据(iFinD）'!$B$65:$Y$65)+SUMPRODUCT(分期持仓明细!$AC$23:$AD$23,'实盘净值数据(iFinD）'!$Z401:$AA401/'实盘净值数据(iFinD）'!$Z$65:$AA$65))*(1-实盘持仓初始配置!$Z$7)^(('实盘净值数据(iFinD）'!$A401-'实盘净值数据(iFinD）'!$A$8)/365))</f>
        <v/>
      </c>
      <c r="L401" s="16" t="str">
        <f t="shared" si="39"/>
        <v/>
      </c>
      <c r="M401" s="16" t="str">
        <f>IF(K401="","",K401/MAX(K$5:K401)-1)</f>
        <v/>
      </c>
      <c r="N401" s="13" t="str">
        <f>IF(OR('实盘净值数据(iFinD）'!$A401="",'实盘净值数据(iFinD）'!$B401="",'实盘净值数据(iFinD）'!$Z401="",'实盘净值数据(iFinD）'!$AA401=""),"",分期持仓明细!$AB$24*(SUMPRODUCT(分期持仓明细!$B$24:$Y$24,'实盘净值数据(iFinD）'!$B401:$Y401/'实盘净值数据(iFinD）'!$B$65:$Y$65)+SUMPRODUCT(分期持仓明细!$AC$24:$AD$24,'实盘净值数据(iFinD）'!$Z401:$AA401/'实盘净值数据(iFinD）'!$Z$65:$AA$65))*(1-实盘持仓初始配置!$Z$8)^(('实盘净值数据(iFinD）'!$A401-'实盘净值数据(iFinD）'!$A$5)/365))</f>
        <v/>
      </c>
      <c r="O401" s="16" t="str">
        <f t="shared" si="40"/>
        <v/>
      </c>
      <c r="P401" s="16" t="str">
        <f>IF(N401="","",N401/MAX(N$5:N401)-1)</f>
        <v/>
      </c>
      <c r="Q401" s="13" t="str">
        <f>IF(OR('实盘净值数据(iFinD）'!$A401="",'实盘净值数据(iFinD）'!$B401="",'实盘净值数据(iFinD）'!$Z401="",'实盘净值数据(iFinD）'!$AA401=""),"",分期持仓明细!$AB$25*(SUMPRODUCT(分期持仓明细!$B$25:$Y$25,'实盘净值数据(iFinD）'!$B401:$Y401/'实盘净值数据(iFinD）'!$B$65:$Y$65)+SUMPRODUCT(分期持仓明细!$AC$25:$AD$25,'实盘净值数据(iFinD）'!$Z401:$AA401/'实盘净值数据(iFinD）'!$Z$65:$AA$65))*(1-实盘持仓初始配置!$Z$9)^(('实盘净值数据(iFinD）'!$A401-'实盘净值数据(iFinD）'!$A$8)/365))</f>
        <v/>
      </c>
      <c r="R401" s="16" t="str">
        <f t="shared" si="41"/>
        <v/>
      </c>
      <c r="S401" s="16" t="str">
        <f>IF(Q401="","",Q401/MAX(Q$5:Q401)-1)</f>
        <v/>
      </c>
      <c r="T401" s="13">
        <f>IF(OR('实盘净值数据(iFinD）'!$A401="",'实盘净值数据(iFinD）'!$B401="",'实盘净值数据(iFinD）'!$Z401="",'实盘净值数据(iFinD）'!$AA401="",'实盘净值数据(iFinD）'!$AB401="",'实盘净值数据(iFinD）'!$AL401=""),"",(SUMPRODUCT(分期持仓明细!$B$26:$Y$26,'实盘净值数据(iFinD）'!$B401:$Y401/'实盘净值数据(iFinD）'!$B$69:$Y$69)+SUMPRODUCT(分期持仓明细!$AC$26:$AD$26,'实盘净值数据(iFinD）'!$Z401:$AA401/'实盘净值数据(iFinD）'!$Z$69:$AA$69)+SUMPRODUCT(分期持仓明细!$AE$26:$AO$26,'实盘净值数据(iFinD）'!$AB401:$AL401/'实盘净值数据(iFinD）'!$AB$69:$AL$69))*(1-实盘持仓初始配置!$Z$10)^(('实盘净值数据(iFinD）'!$A401-'实盘净值数据(iFinD）'!$A$69)/365))</f>
        <v/>
      </c>
      <c r="U401" s="16">
        <f>IF(OR(T400="",T401=""),"",T401/T400-1)</f>
        <v/>
      </c>
      <c r="V401" s="16">
        <f>IF(T401="","",T401/MAX(T$5:T401)-1)</f>
        <v/>
      </c>
    </row>
    <row r="402" spans="1:19">
      <c r="A402" s="15" t="str">
        <f>IF('实盘净值数据(iFinD）'!A402="","",'实盘净值数据(iFinD）'!A402)</f>
        <v/>
      </c>
      <c r="B402" s="13" t="str">
        <f>IF(OR('实盘净值数据(iFinD）'!$A402="",'实盘净值数据(iFinD）'!$B402=""),"",分期持仓明细!$AB$17*SUMPRODUCT(分期持仓明细!$B$17:$Y$17,'实盘净值数据(iFinD）'!$B402:$Y402/'实盘净值数据(iFinD）'!$B$20:$Y$20)*(1-实盘持仓初始配置!$Z$4)^(('实盘净值数据(iFinD）'!$A402-'实盘净值数据(iFinD）'!$A$6)/365))</f>
        <v/>
      </c>
      <c r="C402" s="16" t="str">
        <f t="shared" si="36"/>
        <v/>
      </c>
      <c r="D402" s="16" t="str">
        <f>IF(B402="","",B402/MAX(B$5:B402)-1)</f>
        <v/>
      </c>
      <c r="E402" s="13" t="str">
        <f>IF(OR('实盘净值数据(iFinD）'!$A402="",'实盘净值数据(iFinD）'!$B402=""),"",分期持仓明细!$AB$18*SUMPRODUCT(分期持仓明细!$B$18:$Y$18,'实盘净值数据(iFinD）'!$B402:$Y402/'实盘净值数据(iFinD）'!$B$20:$Y$20)*(1-实盘持仓初始配置!$Z$5)^(('实盘净值数据(iFinD）'!$A402-'实盘净值数据(iFinD）'!$A$5)/365))</f>
        <v/>
      </c>
      <c r="F402" s="16" t="str">
        <f t="shared" si="37"/>
        <v/>
      </c>
      <c r="G402" s="16" t="str">
        <f>IF(E402="","",E402/MAX(E$5:E402)-1)</f>
        <v/>
      </c>
      <c r="H402" s="13" t="str">
        <f>IF(OR('实盘净值数据(iFinD）'!$A402="",'实盘净值数据(iFinD）'!$B402=""),"",分期持仓明细!$AB$19*SUMPRODUCT(分期持仓明细!$B$19:$Y$19,'实盘净值数据(iFinD）'!$B402:$Y402/'实盘净值数据(iFinD）'!$B$20:$Y$20)*(1-实盘持仓初始配置!$Z$6)^(('实盘净值数据(iFinD）'!$A402-'实盘净值数据(iFinD）'!$A$7)/365))</f>
        <v/>
      </c>
      <c r="I402" s="16" t="str">
        <f t="shared" si="38"/>
        <v/>
      </c>
      <c r="J402" s="16" t="str">
        <f>IF(H402="","",H402/MAX(H$5:H402)-1)</f>
        <v/>
      </c>
      <c r="K402" s="13" t="str">
        <f>IF(OR('实盘净值数据(iFinD）'!$A402="",'实盘净值数据(iFinD）'!$B402="",'实盘净值数据(iFinD）'!$Z402="",'实盘净值数据(iFinD）'!$AA402=""),"",分期持仓明细!$AB$23*(SUMPRODUCT(分期持仓明细!$B$23:$Y$23,'实盘净值数据(iFinD）'!$B402:$Y402/'实盘净值数据(iFinD）'!$B$65:$Y$65)+SUMPRODUCT(分期持仓明细!$AC$23:$AD$23,'实盘净值数据(iFinD）'!$Z402:$AA402/'实盘净值数据(iFinD）'!$Z$65:$AA$65))*(1-实盘持仓初始配置!$Z$7)^(('实盘净值数据(iFinD）'!$A402-'实盘净值数据(iFinD）'!$A$8)/365))</f>
        <v/>
      </c>
      <c r="L402" s="16" t="str">
        <f t="shared" si="39"/>
        <v/>
      </c>
      <c r="M402" s="16" t="str">
        <f>IF(K402="","",K402/MAX(K$5:K402)-1)</f>
        <v/>
      </c>
      <c r="N402" s="13" t="str">
        <f>IF(OR('实盘净值数据(iFinD）'!$A402="",'实盘净值数据(iFinD）'!$B402="",'实盘净值数据(iFinD）'!$Z402="",'实盘净值数据(iFinD）'!$AA402=""),"",分期持仓明细!$AB$24*(SUMPRODUCT(分期持仓明细!$B$24:$Y$24,'实盘净值数据(iFinD）'!$B402:$Y402/'实盘净值数据(iFinD）'!$B$65:$Y$65)+SUMPRODUCT(分期持仓明细!$AC$24:$AD$24,'实盘净值数据(iFinD）'!$Z402:$AA402/'实盘净值数据(iFinD）'!$Z$65:$AA$65))*(1-实盘持仓初始配置!$Z$8)^(('实盘净值数据(iFinD）'!$A402-'实盘净值数据(iFinD）'!$A$5)/365))</f>
        <v/>
      </c>
      <c r="O402" s="16" t="str">
        <f t="shared" si="40"/>
        <v/>
      </c>
      <c r="P402" s="16" t="str">
        <f>IF(N402="","",N402/MAX(N$5:N402)-1)</f>
        <v/>
      </c>
      <c r="Q402" s="13" t="str">
        <f>IF(OR('实盘净值数据(iFinD）'!$A402="",'实盘净值数据(iFinD）'!$B402="",'实盘净值数据(iFinD）'!$Z402="",'实盘净值数据(iFinD）'!$AA402=""),"",分期持仓明细!$AB$25*(SUMPRODUCT(分期持仓明细!$B$25:$Y$25,'实盘净值数据(iFinD）'!$B402:$Y402/'实盘净值数据(iFinD）'!$B$65:$Y$65)+SUMPRODUCT(分期持仓明细!$AC$25:$AD$25,'实盘净值数据(iFinD）'!$Z402:$AA402/'实盘净值数据(iFinD）'!$Z$65:$AA$65))*(1-实盘持仓初始配置!$Z$9)^(('实盘净值数据(iFinD）'!$A402-'实盘净值数据(iFinD）'!$A$8)/365))</f>
        <v/>
      </c>
      <c r="R402" s="16" t="str">
        <f t="shared" si="41"/>
        <v/>
      </c>
      <c r="S402" s="16" t="str">
        <f>IF(Q402="","",Q402/MAX(Q$5:Q402)-1)</f>
        <v/>
      </c>
      <c r="T402" s="13">
        <f>IF(OR('实盘净值数据(iFinD）'!$A402="",'实盘净值数据(iFinD）'!$B402="",'实盘净值数据(iFinD）'!$Z402="",'实盘净值数据(iFinD）'!$AA402="",'实盘净值数据(iFinD）'!$AB402="",'实盘净值数据(iFinD）'!$AL402=""),"",(SUMPRODUCT(分期持仓明细!$B$26:$Y$26,'实盘净值数据(iFinD）'!$B402:$Y402/'实盘净值数据(iFinD）'!$B$69:$Y$69)+SUMPRODUCT(分期持仓明细!$AC$26:$AD$26,'实盘净值数据(iFinD）'!$Z402:$AA402/'实盘净值数据(iFinD）'!$Z$69:$AA$69)+SUMPRODUCT(分期持仓明细!$AE$26:$AO$26,'实盘净值数据(iFinD）'!$AB402:$AL402/'实盘净值数据(iFinD）'!$AB$69:$AL$69))*(1-实盘持仓初始配置!$Z$10)^(('实盘净值数据(iFinD）'!$A402-'实盘净值数据(iFinD）'!$A$69)/365))</f>
        <v/>
      </c>
      <c r="U402" s="16">
        <f>IF(OR(T401="",T402=""),"",T402/T401-1)</f>
        <v/>
      </c>
      <c r="V402" s="16">
        <f>IF(T402="","",T402/MAX(T$5:T402)-1)</f>
        <v/>
      </c>
    </row>
    <row r="403" spans="1:19">
      <c r="A403" s="15" t="str">
        <f>IF('实盘净值数据(iFinD）'!A403="","",'实盘净值数据(iFinD）'!A403)</f>
        <v/>
      </c>
      <c r="B403" s="13" t="str">
        <f>IF(OR('实盘净值数据(iFinD）'!$A403="",'实盘净值数据(iFinD）'!$B403=""),"",分期持仓明细!$AB$17*SUMPRODUCT(分期持仓明细!$B$17:$Y$17,'实盘净值数据(iFinD）'!$B403:$Y403/'实盘净值数据(iFinD）'!$B$20:$Y$20)*(1-实盘持仓初始配置!$Z$4)^(('实盘净值数据(iFinD）'!$A403-'实盘净值数据(iFinD）'!$A$6)/365))</f>
        <v/>
      </c>
      <c r="C403" s="16" t="str">
        <f t="shared" si="36"/>
        <v/>
      </c>
      <c r="D403" s="16" t="str">
        <f>IF(B403="","",B403/MAX(B$5:B403)-1)</f>
        <v/>
      </c>
      <c r="E403" s="13" t="str">
        <f>IF(OR('实盘净值数据(iFinD）'!$A403="",'实盘净值数据(iFinD）'!$B403=""),"",分期持仓明细!$AB$18*SUMPRODUCT(分期持仓明细!$B$18:$Y$18,'实盘净值数据(iFinD）'!$B403:$Y403/'实盘净值数据(iFinD）'!$B$20:$Y$20)*(1-实盘持仓初始配置!$Z$5)^(('实盘净值数据(iFinD）'!$A403-'实盘净值数据(iFinD）'!$A$5)/365))</f>
        <v/>
      </c>
      <c r="F403" s="16" t="str">
        <f t="shared" si="37"/>
        <v/>
      </c>
      <c r="G403" s="16" t="str">
        <f>IF(E403="","",E403/MAX(E$5:E403)-1)</f>
        <v/>
      </c>
      <c r="H403" s="13" t="str">
        <f>IF(OR('实盘净值数据(iFinD）'!$A403="",'实盘净值数据(iFinD）'!$B403=""),"",分期持仓明细!$AB$19*SUMPRODUCT(分期持仓明细!$B$19:$Y$19,'实盘净值数据(iFinD）'!$B403:$Y403/'实盘净值数据(iFinD）'!$B$20:$Y$20)*(1-实盘持仓初始配置!$Z$6)^(('实盘净值数据(iFinD）'!$A403-'实盘净值数据(iFinD）'!$A$7)/365))</f>
        <v/>
      </c>
      <c r="I403" s="16" t="str">
        <f t="shared" si="38"/>
        <v/>
      </c>
      <c r="J403" s="16" t="str">
        <f>IF(H403="","",H403/MAX(H$5:H403)-1)</f>
        <v/>
      </c>
      <c r="K403" s="13" t="str">
        <f>IF(OR('实盘净值数据(iFinD）'!$A403="",'实盘净值数据(iFinD）'!$B403="",'实盘净值数据(iFinD）'!$Z403="",'实盘净值数据(iFinD）'!$AA403=""),"",分期持仓明细!$AB$23*(SUMPRODUCT(分期持仓明细!$B$23:$Y$23,'实盘净值数据(iFinD）'!$B403:$Y403/'实盘净值数据(iFinD）'!$B$65:$Y$65)+SUMPRODUCT(分期持仓明细!$AC$23:$AD$23,'实盘净值数据(iFinD）'!$Z403:$AA403/'实盘净值数据(iFinD）'!$Z$65:$AA$65))*(1-实盘持仓初始配置!$Z$7)^(('实盘净值数据(iFinD）'!$A403-'实盘净值数据(iFinD）'!$A$8)/365))</f>
        <v/>
      </c>
      <c r="L403" s="16" t="str">
        <f t="shared" si="39"/>
        <v/>
      </c>
      <c r="M403" s="16" t="str">
        <f>IF(K403="","",K403/MAX(K$5:K403)-1)</f>
        <v/>
      </c>
      <c r="N403" s="13" t="str">
        <f>IF(OR('实盘净值数据(iFinD）'!$A403="",'实盘净值数据(iFinD）'!$B403="",'实盘净值数据(iFinD）'!$Z403="",'实盘净值数据(iFinD）'!$AA403=""),"",分期持仓明细!$AB$24*(SUMPRODUCT(分期持仓明细!$B$24:$Y$24,'实盘净值数据(iFinD）'!$B403:$Y403/'实盘净值数据(iFinD）'!$B$65:$Y$65)+SUMPRODUCT(分期持仓明细!$AC$24:$AD$24,'实盘净值数据(iFinD）'!$Z403:$AA403/'实盘净值数据(iFinD）'!$Z$65:$AA$65))*(1-实盘持仓初始配置!$Z$8)^(('实盘净值数据(iFinD）'!$A403-'实盘净值数据(iFinD）'!$A$5)/365))</f>
        <v/>
      </c>
      <c r="O403" s="16" t="str">
        <f t="shared" si="40"/>
        <v/>
      </c>
      <c r="P403" s="16" t="str">
        <f>IF(N403="","",N403/MAX(N$5:N403)-1)</f>
        <v/>
      </c>
      <c r="Q403" s="13" t="str">
        <f>IF(OR('实盘净值数据(iFinD）'!$A403="",'实盘净值数据(iFinD）'!$B403="",'实盘净值数据(iFinD）'!$Z403="",'实盘净值数据(iFinD）'!$AA403=""),"",分期持仓明细!$AB$25*(SUMPRODUCT(分期持仓明细!$B$25:$Y$25,'实盘净值数据(iFinD）'!$B403:$Y403/'实盘净值数据(iFinD）'!$B$65:$Y$65)+SUMPRODUCT(分期持仓明细!$AC$25:$AD$25,'实盘净值数据(iFinD）'!$Z403:$AA403/'实盘净值数据(iFinD）'!$Z$65:$AA$65))*(1-实盘持仓初始配置!$Z$9)^(('实盘净值数据(iFinD）'!$A403-'实盘净值数据(iFinD）'!$A$8)/365))</f>
        <v/>
      </c>
      <c r="R403" s="16" t="str">
        <f t="shared" si="41"/>
        <v/>
      </c>
      <c r="S403" s="16" t="str">
        <f>IF(Q403="","",Q403/MAX(Q$5:Q403)-1)</f>
        <v/>
      </c>
      <c r="T403" s="13">
        <f>IF(OR('实盘净值数据(iFinD）'!$A403="",'实盘净值数据(iFinD）'!$B403="",'实盘净值数据(iFinD）'!$Z403="",'实盘净值数据(iFinD）'!$AA403="",'实盘净值数据(iFinD）'!$AB403="",'实盘净值数据(iFinD）'!$AL403=""),"",(SUMPRODUCT(分期持仓明细!$B$26:$Y$26,'实盘净值数据(iFinD）'!$B403:$Y403/'实盘净值数据(iFinD）'!$B$69:$Y$69)+SUMPRODUCT(分期持仓明细!$AC$26:$AD$26,'实盘净值数据(iFinD）'!$Z403:$AA403/'实盘净值数据(iFinD）'!$Z$69:$AA$69)+SUMPRODUCT(分期持仓明细!$AE$26:$AO$26,'实盘净值数据(iFinD）'!$AB403:$AL403/'实盘净值数据(iFinD）'!$AB$69:$AL$69))*(1-实盘持仓初始配置!$Z$10)^(('实盘净值数据(iFinD）'!$A403-'实盘净值数据(iFinD）'!$A$69)/365))</f>
        <v/>
      </c>
      <c r="U403" s="16">
        <f>IF(OR(T402="",T403=""),"",T403/T402-1)</f>
        <v/>
      </c>
      <c r="V403" s="16">
        <f>IF(T403="","",T403/MAX(T$5:T403)-1)</f>
        <v/>
      </c>
    </row>
    <row r="404" spans="1:19">
      <c r="A404" s="15" t="str">
        <f>IF('实盘净值数据(iFinD）'!A404="","",'实盘净值数据(iFinD）'!A404)</f>
        <v/>
      </c>
      <c r="B404" s="13" t="str">
        <f>IF(OR('实盘净值数据(iFinD）'!$A404="",'实盘净值数据(iFinD）'!$B404=""),"",分期持仓明细!$AB$17*SUMPRODUCT(分期持仓明细!$B$17:$Y$17,'实盘净值数据(iFinD）'!$B404:$Y404/'实盘净值数据(iFinD）'!$B$20:$Y$20)*(1-实盘持仓初始配置!$Z$4)^(('实盘净值数据(iFinD）'!$A404-'实盘净值数据(iFinD）'!$A$6)/365))</f>
        <v/>
      </c>
      <c r="C404" s="16" t="str">
        <f t="shared" si="36"/>
        <v/>
      </c>
      <c r="D404" s="16" t="str">
        <f>IF(B404="","",B404/MAX(B$5:B404)-1)</f>
        <v/>
      </c>
      <c r="E404" s="13" t="str">
        <f>IF(OR('实盘净值数据(iFinD）'!$A404="",'实盘净值数据(iFinD）'!$B404=""),"",分期持仓明细!$AB$18*SUMPRODUCT(分期持仓明细!$B$18:$Y$18,'实盘净值数据(iFinD）'!$B404:$Y404/'实盘净值数据(iFinD）'!$B$20:$Y$20)*(1-实盘持仓初始配置!$Z$5)^(('实盘净值数据(iFinD）'!$A404-'实盘净值数据(iFinD）'!$A$5)/365))</f>
        <v/>
      </c>
      <c r="F404" s="16" t="str">
        <f t="shared" si="37"/>
        <v/>
      </c>
      <c r="G404" s="16" t="str">
        <f>IF(E404="","",E404/MAX(E$5:E404)-1)</f>
        <v/>
      </c>
      <c r="H404" s="13" t="str">
        <f>IF(OR('实盘净值数据(iFinD）'!$A404="",'实盘净值数据(iFinD）'!$B404=""),"",分期持仓明细!$AB$19*SUMPRODUCT(分期持仓明细!$B$19:$Y$19,'实盘净值数据(iFinD）'!$B404:$Y404/'实盘净值数据(iFinD）'!$B$20:$Y$20)*(1-实盘持仓初始配置!$Z$6)^(('实盘净值数据(iFinD）'!$A404-'实盘净值数据(iFinD）'!$A$7)/365))</f>
        <v/>
      </c>
      <c r="I404" s="16" t="str">
        <f t="shared" si="38"/>
        <v/>
      </c>
      <c r="J404" s="16" t="str">
        <f>IF(H404="","",H404/MAX(H$5:H404)-1)</f>
        <v/>
      </c>
      <c r="K404" s="13" t="str">
        <f>IF(OR('实盘净值数据(iFinD）'!$A404="",'实盘净值数据(iFinD）'!$B404="",'实盘净值数据(iFinD）'!$Z404="",'实盘净值数据(iFinD）'!$AA404=""),"",分期持仓明细!$AB$23*(SUMPRODUCT(分期持仓明细!$B$23:$Y$23,'实盘净值数据(iFinD）'!$B404:$Y404/'实盘净值数据(iFinD）'!$B$65:$Y$65)+SUMPRODUCT(分期持仓明细!$AC$23:$AD$23,'实盘净值数据(iFinD）'!$Z404:$AA404/'实盘净值数据(iFinD）'!$Z$65:$AA$65))*(1-实盘持仓初始配置!$Z$7)^(('实盘净值数据(iFinD）'!$A404-'实盘净值数据(iFinD）'!$A$8)/365))</f>
        <v/>
      </c>
      <c r="L404" s="16" t="str">
        <f t="shared" si="39"/>
        <v/>
      </c>
      <c r="M404" s="16" t="str">
        <f>IF(K404="","",K404/MAX(K$5:K404)-1)</f>
        <v/>
      </c>
      <c r="N404" s="13" t="str">
        <f>IF(OR('实盘净值数据(iFinD）'!$A404="",'实盘净值数据(iFinD）'!$B404="",'实盘净值数据(iFinD）'!$Z404="",'实盘净值数据(iFinD）'!$AA404=""),"",分期持仓明细!$AB$24*(SUMPRODUCT(分期持仓明细!$B$24:$Y$24,'实盘净值数据(iFinD）'!$B404:$Y404/'实盘净值数据(iFinD）'!$B$65:$Y$65)+SUMPRODUCT(分期持仓明细!$AC$24:$AD$24,'实盘净值数据(iFinD）'!$Z404:$AA404/'实盘净值数据(iFinD）'!$Z$65:$AA$65))*(1-实盘持仓初始配置!$Z$8)^(('实盘净值数据(iFinD）'!$A404-'实盘净值数据(iFinD）'!$A$5)/365))</f>
        <v/>
      </c>
      <c r="O404" s="16" t="str">
        <f t="shared" si="40"/>
        <v/>
      </c>
      <c r="P404" s="16" t="str">
        <f>IF(N404="","",N404/MAX(N$5:N404)-1)</f>
        <v/>
      </c>
      <c r="Q404" s="13" t="str">
        <f>IF(OR('实盘净值数据(iFinD）'!$A404="",'实盘净值数据(iFinD）'!$B404="",'实盘净值数据(iFinD）'!$Z404="",'实盘净值数据(iFinD）'!$AA404=""),"",分期持仓明细!$AB$25*(SUMPRODUCT(分期持仓明细!$B$25:$Y$25,'实盘净值数据(iFinD）'!$B404:$Y404/'实盘净值数据(iFinD）'!$B$65:$Y$65)+SUMPRODUCT(分期持仓明细!$AC$25:$AD$25,'实盘净值数据(iFinD）'!$Z404:$AA404/'实盘净值数据(iFinD）'!$Z$65:$AA$65))*(1-实盘持仓初始配置!$Z$9)^(('实盘净值数据(iFinD）'!$A404-'实盘净值数据(iFinD）'!$A$8)/365))</f>
        <v/>
      </c>
      <c r="R404" s="16" t="str">
        <f t="shared" si="41"/>
        <v/>
      </c>
      <c r="S404" s="16" t="str">
        <f>IF(Q404="","",Q404/MAX(Q$5:Q404)-1)</f>
        <v/>
      </c>
      <c r="T404" s="13">
        <f>IF(OR('实盘净值数据(iFinD）'!$A404="",'实盘净值数据(iFinD）'!$B404="",'实盘净值数据(iFinD）'!$Z404="",'实盘净值数据(iFinD）'!$AA404="",'实盘净值数据(iFinD）'!$AB404="",'实盘净值数据(iFinD）'!$AL404=""),"",(SUMPRODUCT(分期持仓明细!$B$26:$Y$26,'实盘净值数据(iFinD）'!$B404:$Y404/'实盘净值数据(iFinD）'!$B$69:$Y$69)+SUMPRODUCT(分期持仓明细!$AC$26:$AD$26,'实盘净值数据(iFinD）'!$Z404:$AA404/'实盘净值数据(iFinD）'!$Z$69:$AA$69)+SUMPRODUCT(分期持仓明细!$AE$26:$AO$26,'实盘净值数据(iFinD）'!$AB404:$AL404/'实盘净值数据(iFinD）'!$AB$69:$AL$69))*(1-实盘持仓初始配置!$Z$10)^(('实盘净值数据(iFinD）'!$A404-'实盘净值数据(iFinD）'!$A$69)/365))</f>
        <v/>
      </c>
      <c r="U404" s="16">
        <f>IF(OR(T403="",T404=""),"",T404/T403-1)</f>
        <v/>
      </c>
      <c r="V404" s="16">
        <f>IF(T404="","",T404/MAX(T$5:T404)-1)</f>
        <v/>
      </c>
    </row>
    <row r="405" spans="1:19">
      <c r="A405" s="15" t="str">
        <f>IF('实盘净值数据(iFinD）'!A405="","",'实盘净值数据(iFinD）'!A405)</f>
        <v/>
      </c>
      <c r="B405" s="13" t="str">
        <f>IF(OR('实盘净值数据(iFinD）'!$A405="",'实盘净值数据(iFinD）'!$B405=""),"",分期持仓明细!$AB$17*SUMPRODUCT(分期持仓明细!$B$17:$Y$17,'实盘净值数据(iFinD）'!$B405:$Y405/'实盘净值数据(iFinD）'!$B$20:$Y$20)*(1-实盘持仓初始配置!$Z$4)^(('实盘净值数据(iFinD）'!$A405-'实盘净值数据(iFinD）'!$A$6)/365))</f>
        <v/>
      </c>
      <c r="C405" s="16" t="str">
        <f t="shared" si="36"/>
        <v/>
      </c>
      <c r="D405" s="16" t="str">
        <f>IF(B405="","",B405/MAX(B$5:B405)-1)</f>
        <v/>
      </c>
      <c r="E405" s="13" t="str">
        <f>IF(OR('实盘净值数据(iFinD）'!$A405="",'实盘净值数据(iFinD）'!$B405=""),"",分期持仓明细!$AB$18*SUMPRODUCT(分期持仓明细!$B$18:$Y$18,'实盘净值数据(iFinD）'!$B405:$Y405/'实盘净值数据(iFinD）'!$B$20:$Y$20)*(1-实盘持仓初始配置!$Z$5)^(('实盘净值数据(iFinD）'!$A405-'实盘净值数据(iFinD）'!$A$5)/365))</f>
        <v/>
      </c>
      <c r="F405" s="16" t="str">
        <f t="shared" si="37"/>
        <v/>
      </c>
      <c r="G405" s="16" t="str">
        <f>IF(E405="","",E405/MAX(E$5:E405)-1)</f>
        <v/>
      </c>
      <c r="H405" s="13" t="str">
        <f>IF(OR('实盘净值数据(iFinD）'!$A405="",'实盘净值数据(iFinD）'!$B405=""),"",分期持仓明细!$AB$19*SUMPRODUCT(分期持仓明细!$B$19:$Y$19,'实盘净值数据(iFinD）'!$B405:$Y405/'实盘净值数据(iFinD）'!$B$20:$Y$20)*(1-实盘持仓初始配置!$Z$6)^(('实盘净值数据(iFinD）'!$A405-'实盘净值数据(iFinD）'!$A$7)/365))</f>
        <v/>
      </c>
      <c r="I405" s="16" t="str">
        <f t="shared" si="38"/>
        <v/>
      </c>
      <c r="J405" s="16" t="str">
        <f>IF(H405="","",H405/MAX(H$5:H405)-1)</f>
        <v/>
      </c>
      <c r="K405" s="13" t="str">
        <f>IF(OR('实盘净值数据(iFinD）'!$A405="",'实盘净值数据(iFinD）'!$B405="",'实盘净值数据(iFinD）'!$Z405="",'实盘净值数据(iFinD）'!$AA405=""),"",分期持仓明细!$AB$23*(SUMPRODUCT(分期持仓明细!$B$23:$Y$23,'实盘净值数据(iFinD）'!$B405:$Y405/'实盘净值数据(iFinD）'!$B$65:$Y$65)+SUMPRODUCT(分期持仓明细!$AC$23:$AD$23,'实盘净值数据(iFinD）'!$Z405:$AA405/'实盘净值数据(iFinD）'!$Z$65:$AA$65))*(1-实盘持仓初始配置!$Z$7)^(('实盘净值数据(iFinD）'!$A405-'实盘净值数据(iFinD）'!$A$8)/365))</f>
        <v/>
      </c>
      <c r="L405" s="16" t="str">
        <f t="shared" si="39"/>
        <v/>
      </c>
      <c r="M405" s="16" t="str">
        <f>IF(K405="","",K405/MAX(K$5:K405)-1)</f>
        <v/>
      </c>
      <c r="N405" s="13" t="str">
        <f>IF(OR('实盘净值数据(iFinD）'!$A405="",'实盘净值数据(iFinD）'!$B405="",'实盘净值数据(iFinD）'!$Z405="",'实盘净值数据(iFinD）'!$AA405=""),"",分期持仓明细!$AB$24*(SUMPRODUCT(分期持仓明细!$B$24:$Y$24,'实盘净值数据(iFinD）'!$B405:$Y405/'实盘净值数据(iFinD）'!$B$65:$Y$65)+SUMPRODUCT(分期持仓明细!$AC$24:$AD$24,'实盘净值数据(iFinD）'!$Z405:$AA405/'实盘净值数据(iFinD）'!$Z$65:$AA$65))*(1-实盘持仓初始配置!$Z$8)^(('实盘净值数据(iFinD）'!$A405-'实盘净值数据(iFinD）'!$A$5)/365))</f>
        <v/>
      </c>
      <c r="O405" s="16" t="str">
        <f t="shared" si="40"/>
        <v/>
      </c>
      <c r="P405" s="16" t="str">
        <f>IF(N405="","",N405/MAX(N$5:N405)-1)</f>
        <v/>
      </c>
      <c r="Q405" s="13" t="str">
        <f>IF(OR('实盘净值数据(iFinD）'!$A405="",'实盘净值数据(iFinD）'!$B405="",'实盘净值数据(iFinD）'!$Z405="",'实盘净值数据(iFinD）'!$AA405=""),"",分期持仓明细!$AB$25*(SUMPRODUCT(分期持仓明细!$B$25:$Y$25,'实盘净值数据(iFinD）'!$B405:$Y405/'实盘净值数据(iFinD）'!$B$65:$Y$65)+SUMPRODUCT(分期持仓明细!$AC$25:$AD$25,'实盘净值数据(iFinD）'!$Z405:$AA405/'实盘净值数据(iFinD）'!$Z$65:$AA$65))*(1-实盘持仓初始配置!$Z$9)^(('实盘净值数据(iFinD）'!$A405-'实盘净值数据(iFinD）'!$A$8)/365))</f>
        <v/>
      </c>
      <c r="R405" s="16" t="str">
        <f t="shared" si="41"/>
        <v/>
      </c>
      <c r="S405" s="16" t="str">
        <f>IF(Q405="","",Q405/MAX(Q$5:Q405)-1)</f>
        <v/>
      </c>
      <c r="T405" s="13">
        <f>IF(OR('实盘净值数据(iFinD）'!$A405="",'实盘净值数据(iFinD）'!$B405="",'实盘净值数据(iFinD）'!$Z405="",'实盘净值数据(iFinD）'!$AA405="",'实盘净值数据(iFinD）'!$AB405="",'实盘净值数据(iFinD）'!$AL405=""),"",(SUMPRODUCT(分期持仓明细!$B$26:$Y$26,'实盘净值数据(iFinD）'!$B405:$Y405/'实盘净值数据(iFinD）'!$B$69:$Y$69)+SUMPRODUCT(分期持仓明细!$AC$26:$AD$26,'实盘净值数据(iFinD）'!$Z405:$AA405/'实盘净值数据(iFinD）'!$Z$69:$AA$69)+SUMPRODUCT(分期持仓明细!$AE$26:$AO$26,'实盘净值数据(iFinD）'!$AB405:$AL405/'实盘净值数据(iFinD）'!$AB$69:$AL$69))*(1-实盘持仓初始配置!$Z$10)^(('实盘净值数据(iFinD）'!$A405-'实盘净值数据(iFinD）'!$A$69)/365))</f>
        <v/>
      </c>
      <c r="U405" s="16">
        <f>IF(OR(T404="",T405=""),"",T405/T404-1)</f>
        <v/>
      </c>
      <c r="V405" s="16">
        <f>IF(T405="","",T405/MAX(T$5:T405)-1)</f>
        <v/>
      </c>
    </row>
    <row r="406" spans="1:19">
      <c r="A406" s="15" t="str">
        <f>IF('实盘净值数据(iFinD）'!A406="","",'实盘净值数据(iFinD）'!A406)</f>
        <v/>
      </c>
      <c r="B406" s="13" t="str">
        <f>IF(OR('实盘净值数据(iFinD）'!$A406="",'实盘净值数据(iFinD）'!$B406=""),"",分期持仓明细!$AB$17*SUMPRODUCT(分期持仓明细!$B$17:$Y$17,'实盘净值数据(iFinD）'!$B406:$Y406/'实盘净值数据(iFinD）'!$B$20:$Y$20)*(1-实盘持仓初始配置!$Z$4)^(('实盘净值数据(iFinD）'!$A406-'实盘净值数据(iFinD）'!$A$6)/365))</f>
        <v/>
      </c>
      <c r="C406" s="16" t="str">
        <f t="shared" si="36"/>
        <v/>
      </c>
      <c r="D406" s="16" t="str">
        <f>IF(B406="","",B406/MAX(B$5:B406)-1)</f>
        <v/>
      </c>
      <c r="E406" s="13" t="str">
        <f>IF(OR('实盘净值数据(iFinD）'!$A406="",'实盘净值数据(iFinD）'!$B406=""),"",分期持仓明细!$AB$18*SUMPRODUCT(分期持仓明细!$B$18:$Y$18,'实盘净值数据(iFinD）'!$B406:$Y406/'实盘净值数据(iFinD）'!$B$20:$Y$20)*(1-实盘持仓初始配置!$Z$5)^(('实盘净值数据(iFinD）'!$A406-'实盘净值数据(iFinD）'!$A$5)/365))</f>
        <v/>
      </c>
      <c r="F406" s="16" t="str">
        <f t="shared" si="37"/>
        <v/>
      </c>
      <c r="G406" s="16" t="str">
        <f>IF(E406="","",E406/MAX(E$5:E406)-1)</f>
        <v/>
      </c>
      <c r="H406" s="13" t="str">
        <f>IF(OR('实盘净值数据(iFinD）'!$A406="",'实盘净值数据(iFinD）'!$B406=""),"",分期持仓明细!$AB$19*SUMPRODUCT(分期持仓明细!$B$19:$Y$19,'实盘净值数据(iFinD）'!$B406:$Y406/'实盘净值数据(iFinD）'!$B$20:$Y$20)*(1-实盘持仓初始配置!$Z$6)^(('实盘净值数据(iFinD）'!$A406-'实盘净值数据(iFinD）'!$A$7)/365))</f>
        <v/>
      </c>
      <c r="I406" s="16" t="str">
        <f t="shared" si="38"/>
        <v/>
      </c>
      <c r="J406" s="16" t="str">
        <f>IF(H406="","",H406/MAX(H$5:H406)-1)</f>
        <v/>
      </c>
      <c r="K406" s="13" t="str">
        <f>IF(OR('实盘净值数据(iFinD）'!$A406="",'实盘净值数据(iFinD）'!$B406="",'实盘净值数据(iFinD）'!$Z406="",'实盘净值数据(iFinD）'!$AA406=""),"",分期持仓明细!$AB$23*(SUMPRODUCT(分期持仓明细!$B$23:$Y$23,'实盘净值数据(iFinD）'!$B406:$Y406/'实盘净值数据(iFinD）'!$B$65:$Y$65)+SUMPRODUCT(分期持仓明细!$AC$23:$AD$23,'实盘净值数据(iFinD）'!$Z406:$AA406/'实盘净值数据(iFinD）'!$Z$65:$AA$65))*(1-实盘持仓初始配置!$Z$7)^(('实盘净值数据(iFinD）'!$A406-'实盘净值数据(iFinD）'!$A$8)/365))</f>
        <v/>
      </c>
      <c r="L406" s="16" t="str">
        <f t="shared" si="39"/>
        <v/>
      </c>
      <c r="M406" s="16" t="str">
        <f>IF(K406="","",K406/MAX(K$5:K406)-1)</f>
        <v/>
      </c>
      <c r="N406" s="13" t="str">
        <f>IF(OR('实盘净值数据(iFinD）'!$A406="",'实盘净值数据(iFinD）'!$B406="",'实盘净值数据(iFinD）'!$Z406="",'实盘净值数据(iFinD）'!$AA406=""),"",分期持仓明细!$AB$24*(SUMPRODUCT(分期持仓明细!$B$24:$Y$24,'实盘净值数据(iFinD）'!$B406:$Y406/'实盘净值数据(iFinD）'!$B$65:$Y$65)+SUMPRODUCT(分期持仓明细!$AC$24:$AD$24,'实盘净值数据(iFinD）'!$Z406:$AA406/'实盘净值数据(iFinD）'!$Z$65:$AA$65))*(1-实盘持仓初始配置!$Z$8)^(('实盘净值数据(iFinD）'!$A406-'实盘净值数据(iFinD）'!$A$5)/365))</f>
        <v/>
      </c>
      <c r="O406" s="16" t="str">
        <f t="shared" si="40"/>
        <v/>
      </c>
      <c r="P406" s="16" t="str">
        <f>IF(N406="","",N406/MAX(N$5:N406)-1)</f>
        <v/>
      </c>
      <c r="Q406" s="13" t="str">
        <f>IF(OR('实盘净值数据(iFinD）'!$A406="",'实盘净值数据(iFinD）'!$B406="",'实盘净值数据(iFinD）'!$Z406="",'实盘净值数据(iFinD）'!$AA406=""),"",分期持仓明细!$AB$25*(SUMPRODUCT(分期持仓明细!$B$25:$Y$25,'实盘净值数据(iFinD）'!$B406:$Y406/'实盘净值数据(iFinD）'!$B$65:$Y$65)+SUMPRODUCT(分期持仓明细!$AC$25:$AD$25,'实盘净值数据(iFinD）'!$Z406:$AA406/'实盘净值数据(iFinD）'!$Z$65:$AA$65))*(1-实盘持仓初始配置!$Z$9)^(('实盘净值数据(iFinD）'!$A406-'实盘净值数据(iFinD）'!$A$8)/365))</f>
        <v/>
      </c>
      <c r="R406" s="16" t="str">
        <f t="shared" si="41"/>
        <v/>
      </c>
      <c r="S406" s="16" t="str">
        <f>IF(Q406="","",Q406/MAX(Q$5:Q406)-1)</f>
        <v/>
      </c>
      <c r="T406" s="13">
        <f>IF(OR('实盘净值数据(iFinD）'!$A406="",'实盘净值数据(iFinD）'!$B406="",'实盘净值数据(iFinD）'!$Z406="",'实盘净值数据(iFinD）'!$AA406="",'实盘净值数据(iFinD）'!$AB406="",'实盘净值数据(iFinD）'!$AL406=""),"",(SUMPRODUCT(分期持仓明细!$B$26:$Y$26,'实盘净值数据(iFinD）'!$B406:$Y406/'实盘净值数据(iFinD）'!$B$69:$Y$69)+SUMPRODUCT(分期持仓明细!$AC$26:$AD$26,'实盘净值数据(iFinD）'!$Z406:$AA406/'实盘净值数据(iFinD）'!$Z$69:$AA$69)+SUMPRODUCT(分期持仓明细!$AE$26:$AO$26,'实盘净值数据(iFinD）'!$AB406:$AL406/'实盘净值数据(iFinD）'!$AB$69:$AL$69))*(1-实盘持仓初始配置!$Z$10)^(('实盘净值数据(iFinD）'!$A406-'实盘净值数据(iFinD）'!$A$69)/365))</f>
        <v/>
      </c>
      <c r="U406" s="16">
        <f>IF(OR(T405="",T406=""),"",T406/T405-1)</f>
        <v/>
      </c>
      <c r="V406" s="16">
        <f>IF(T406="","",T406/MAX(T$5:T406)-1)</f>
        <v/>
      </c>
    </row>
    <row r="407" spans="1:19">
      <c r="A407" s="15" t="str">
        <f>IF('实盘净值数据(iFinD）'!A407="","",'实盘净值数据(iFinD）'!A407)</f>
        <v/>
      </c>
      <c r="B407" s="13" t="str">
        <f>IF(OR('实盘净值数据(iFinD）'!$A407="",'实盘净值数据(iFinD）'!$B407=""),"",分期持仓明细!$AB$17*SUMPRODUCT(分期持仓明细!$B$17:$Y$17,'实盘净值数据(iFinD）'!$B407:$Y407/'实盘净值数据(iFinD）'!$B$20:$Y$20)*(1-实盘持仓初始配置!$Z$4)^(('实盘净值数据(iFinD）'!$A407-'实盘净值数据(iFinD）'!$A$6)/365))</f>
        <v/>
      </c>
      <c r="C407" s="16" t="str">
        <f t="shared" si="36"/>
        <v/>
      </c>
      <c r="D407" s="16" t="str">
        <f>IF(B407="","",B407/MAX(B$5:B407)-1)</f>
        <v/>
      </c>
      <c r="E407" s="13" t="str">
        <f>IF(OR('实盘净值数据(iFinD）'!$A407="",'实盘净值数据(iFinD）'!$B407=""),"",分期持仓明细!$AB$18*SUMPRODUCT(分期持仓明细!$B$18:$Y$18,'实盘净值数据(iFinD）'!$B407:$Y407/'实盘净值数据(iFinD）'!$B$20:$Y$20)*(1-实盘持仓初始配置!$Z$5)^(('实盘净值数据(iFinD）'!$A407-'实盘净值数据(iFinD）'!$A$5)/365))</f>
        <v/>
      </c>
      <c r="F407" s="16" t="str">
        <f t="shared" si="37"/>
        <v/>
      </c>
      <c r="G407" s="16" t="str">
        <f>IF(E407="","",E407/MAX(E$5:E407)-1)</f>
        <v/>
      </c>
      <c r="H407" s="13" t="str">
        <f>IF(OR('实盘净值数据(iFinD）'!$A407="",'实盘净值数据(iFinD）'!$B407=""),"",分期持仓明细!$AB$19*SUMPRODUCT(分期持仓明细!$B$19:$Y$19,'实盘净值数据(iFinD）'!$B407:$Y407/'实盘净值数据(iFinD）'!$B$20:$Y$20)*(1-实盘持仓初始配置!$Z$6)^(('实盘净值数据(iFinD）'!$A407-'实盘净值数据(iFinD）'!$A$7)/365))</f>
        <v/>
      </c>
      <c r="I407" s="16" t="str">
        <f t="shared" si="38"/>
        <v/>
      </c>
      <c r="J407" s="16" t="str">
        <f>IF(H407="","",H407/MAX(H$5:H407)-1)</f>
        <v/>
      </c>
      <c r="K407" s="13" t="str">
        <f>IF(OR('实盘净值数据(iFinD）'!$A407="",'实盘净值数据(iFinD）'!$B407="",'实盘净值数据(iFinD）'!$Z407="",'实盘净值数据(iFinD）'!$AA407=""),"",分期持仓明细!$AB$23*(SUMPRODUCT(分期持仓明细!$B$23:$Y$23,'实盘净值数据(iFinD）'!$B407:$Y407/'实盘净值数据(iFinD）'!$B$65:$Y$65)+SUMPRODUCT(分期持仓明细!$AC$23:$AD$23,'实盘净值数据(iFinD）'!$Z407:$AA407/'实盘净值数据(iFinD）'!$Z$65:$AA$65))*(1-实盘持仓初始配置!$Z$7)^(('实盘净值数据(iFinD）'!$A407-'实盘净值数据(iFinD）'!$A$8)/365))</f>
        <v/>
      </c>
      <c r="L407" s="16" t="str">
        <f t="shared" si="39"/>
        <v/>
      </c>
      <c r="M407" s="16" t="str">
        <f>IF(K407="","",K407/MAX(K$5:K407)-1)</f>
        <v/>
      </c>
      <c r="N407" s="13" t="str">
        <f>IF(OR('实盘净值数据(iFinD）'!$A407="",'实盘净值数据(iFinD）'!$B407="",'实盘净值数据(iFinD）'!$Z407="",'实盘净值数据(iFinD）'!$AA407=""),"",分期持仓明细!$AB$24*(SUMPRODUCT(分期持仓明细!$B$24:$Y$24,'实盘净值数据(iFinD）'!$B407:$Y407/'实盘净值数据(iFinD）'!$B$65:$Y$65)+SUMPRODUCT(分期持仓明细!$AC$24:$AD$24,'实盘净值数据(iFinD）'!$Z407:$AA407/'实盘净值数据(iFinD）'!$Z$65:$AA$65))*(1-实盘持仓初始配置!$Z$8)^(('实盘净值数据(iFinD）'!$A407-'实盘净值数据(iFinD）'!$A$5)/365))</f>
        <v/>
      </c>
      <c r="O407" s="16" t="str">
        <f t="shared" si="40"/>
        <v/>
      </c>
      <c r="P407" s="16" t="str">
        <f>IF(N407="","",N407/MAX(N$5:N407)-1)</f>
        <v/>
      </c>
      <c r="Q407" s="13" t="str">
        <f>IF(OR('实盘净值数据(iFinD）'!$A407="",'实盘净值数据(iFinD）'!$B407="",'实盘净值数据(iFinD）'!$Z407="",'实盘净值数据(iFinD）'!$AA407=""),"",分期持仓明细!$AB$25*(SUMPRODUCT(分期持仓明细!$B$25:$Y$25,'实盘净值数据(iFinD）'!$B407:$Y407/'实盘净值数据(iFinD）'!$B$65:$Y$65)+SUMPRODUCT(分期持仓明细!$AC$25:$AD$25,'实盘净值数据(iFinD）'!$Z407:$AA407/'实盘净值数据(iFinD）'!$Z$65:$AA$65))*(1-实盘持仓初始配置!$Z$9)^(('实盘净值数据(iFinD）'!$A407-'实盘净值数据(iFinD）'!$A$8)/365))</f>
        <v/>
      </c>
      <c r="R407" s="16" t="str">
        <f t="shared" si="41"/>
        <v/>
      </c>
      <c r="S407" s="16" t="str">
        <f>IF(Q407="","",Q407/MAX(Q$5:Q407)-1)</f>
        <v/>
      </c>
      <c r="T407" s="13">
        <f>IF(OR('实盘净值数据(iFinD）'!$A407="",'实盘净值数据(iFinD）'!$B407="",'实盘净值数据(iFinD）'!$Z407="",'实盘净值数据(iFinD）'!$AA407="",'实盘净值数据(iFinD）'!$AB407="",'实盘净值数据(iFinD）'!$AL407=""),"",(SUMPRODUCT(分期持仓明细!$B$26:$Y$26,'实盘净值数据(iFinD）'!$B407:$Y407/'实盘净值数据(iFinD）'!$B$69:$Y$69)+SUMPRODUCT(分期持仓明细!$AC$26:$AD$26,'实盘净值数据(iFinD）'!$Z407:$AA407/'实盘净值数据(iFinD）'!$Z$69:$AA$69)+SUMPRODUCT(分期持仓明细!$AE$26:$AO$26,'实盘净值数据(iFinD）'!$AB407:$AL407/'实盘净值数据(iFinD）'!$AB$69:$AL$69))*(1-实盘持仓初始配置!$Z$10)^(('实盘净值数据(iFinD）'!$A407-'实盘净值数据(iFinD）'!$A$69)/365))</f>
        <v/>
      </c>
      <c r="U407" s="16">
        <f>IF(OR(T406="",T407=""),"",T407/T406-1)</f>
        <v/>
      </c>
      <c r="V407" s="16">
        <f>IF(T407="","",T407/MAX(T$5:T407)-1)</f>
        <v/>
      </c>
    </row>
    <row r="408" spans="1:19">
      <c r="A408" s="15" t="str">
        <f>IF('实盘净值数据(iFinD）'!A408="","",'实盘净值数据(iFinD）'!A408)</f>
        <v/>
      </c>
      <c r="B408" s="13" t="str">
        <f>IF(OR('实盘净值数据(iFinD）'!$A408="",'实盘净值数据(iFinD）'!$B408=""),"",分期持仓明细!$AB$17*SUMPRODUCT(分期持仓明细!$B$17:$Y$17,'实盘净值数据(iFinD）'!$B408:$Y408/'实盘净值数据(iFinD）'!$B$20:$Y$20)*(1-实盘持仓初始配置!$Z$4)^(('实盘净值数据(iFinD）'!$A408-'实盘净值数据(iFinD）'!$A$6)/365))</f>
        <v/>
      </c>
      <c r="C408" s="16" t="str">
        <f t="shared" si="36"/>
        <v/>
      </c>
      <c r="D408" s="16" t="str">
        <f>IF(B408="","",B408/MAX(B$5:B408)-1)</f>
        <v/>
      </c>
      <c r="E408" s="13" t="str">
        <f>IF(OR('实盘净值数据(iFinD）'!$A408="",'实盘净值数据(iFinD）'!$B408=""),"",分期持仓明细!$AB$18*SUMPRODUCT(分期持仓明细!$B$18:$Y$18,'实盘净值数据(iFinD）'!$B408:$Y408/'实盘净值数据(iFinD）'!$B$20:$Y$20)*(1-实盘持仓初始配置!$Z$5)^(('实盘净值数据(iFinD）'!$A408-'实盘净值数据(iFinD）'!$A$5)/365))</f>
        <v/>
      </c>
      <c r="F408" s="16" t="str">
        <f t="shared" si="37"/>
        <v/>
      </c>
      <c r="G408" s="16" t="str">
        <f>IF(E408="","",E408/MAX(E$5:E408)-1)</f>
        <v/>
      </c>
      <c r="H408" s="13" t="str">
        <f>IF(OR('实盘净值数据(iFinD）'!$A408="",'实盘净值数据(iFinD）'!$B408=""),"",分期持仓明细!$AB$19*SUMPRODUCT(分期持仓明细!$B$19:$Y$19,'实盘净值数据(iFinD）'!$B408:$Y408/'实盘净值数据(iFinD）'!$B$20:$Y$20)*(1-实盘持仓初始配置!$Z$6)^(('实盘净值数据(iFinD）'!$A408-'实盘净值数据(iFinD）'!$A$7)/365))</f>
        <v/>
      </c>
      <c r="I408" s="16" t="str">
        <f t="shared" si="38"/>
        <v/>
      </c>
      <c r="J408" s="16" t="str">
        <f>IF(H408="","",H408/MAX(H$5:H408)-1)</f>
        <v/>
      </c>
      <c r="K408" s="13" t="str">
        <f>IF(OR('实盘净值数据(iFinD）'!$A408="",'实盘净值数据(iFinD）'!$B408="",'实盘净值数据(iFinD）'!$Z408="",'实盘净值数据(iFinD）'!$AA408=""),"",分期持仓明细!$AB$23*(SUMPRODUCT(分期持仓明细!$B$23:$Y$23,'实盘净值数据(iFinD）'!$B408:$Y408/'实盘净值数据(iFinD）'!$B$65:$Y$65)+SUMPRODUCT(分期持仓明细!$AC$23:$AD$23,'实盘净值数据(iFinD）'!$Z408:$AA408/'实盘净值数据(iFinD）'!$Z$65:$AA$65))*(1-实盘持仓初始配置!$Z$7)^(('实盘净值数据(iFinD）'!$A408-'实盘净值数据(iFinD）'!$A$8)/365))</f>
        <v/>
      </c>
      <c r="L408" s="16" t="str">
        <f t="shared" si="39"/>
        <v/>
      </c>
      <c r="M408" s="16" t="str">
        <f>IF(K408="","",K408/MAX(K$5:K408)-1)</f>
        <v/>
      </c>
      <c r="N408" s="13" t="str">
        <f>IF(OR('实盘净值数据(iFinD）'!$A408="",'实盘净值数据(iFinD）'!$B408="",'实盘净值数据(iFinD）'!$Z408="",'实盘净值数据(iFinD）'!$AA408=""),"",分期持仓明细!$AB$24*(SUMPRODUCT(分期持仓明细!$B$24:$Y$24,'实盘净值数据(iFinD）'!$B408:$Y408/'实盘净值数据(iFinD）'!$B$65:$Y$65)+SUMPRODUCT(分期持仓明细!$AC$24:$AD$24,'实盘净值数据(iFinD）'!$Z408:$AA408/'实盘净值数据(iFinD）'!$Z$65:$AA$65))*(1-实盘持仓初始配置!$Z$8)^(('实盘净值数据(iFinD）'!$A408-'实盘净值数据(iFinD）'!$A$5)/365))</f>
        <v/>
      </c>
      <c r="O408" s="16" t="str">
        <f t="shared" si="40"/>
        <v/>
      </c>
      <c r="P408" s="16" t="str">
        <f>IF(N408="","",N408/MAX(N$5:N408)-1)</f>
        <v/>
      </c>
      <c r="Q408" s="13" t="str">
        <f>IF(OR('实盘净值数据(iFinD）'!$A408="",'实盘净值数据(iFinD）'!$B408="",'实盘净值数据(iFinD）'!$Z408="",'实盘净值数据(iFinD）'!$AA408=""),"",分期持仓明细!$AB$25*(SUMPRODUCT(分期持仓明细!$B$25:$Y$25,'实盘净值数据(iFinD）'!$B408:$Y408/'实盘净值数据(iFinD）'!$B$65:$Y$65)+SUMPRODUCT(分期持仓明细!$AC$25:$AD$25,'实盘净值数据(iFinD）'!$Z408:$AA408/'实盘净值数据(iFinD）'!$Z$65:$AA$65))*(1-实盘持仓初始配置!$Z$9)^(('实盘净值数据(iFinD）'!$A408-'实盘净值数据(iFinD）'!$A$8)/365))</f>
        <v/>
      </c>
      <c r="R408" s="16" t="str">
        <f t="shared" si="41"/>
        <v/>
      </c>
      <c r="S408" s="16" t="str">
        <f>IF(Q408="","",Q408/MAX(Q$5:Q408)-1)</f>
        <v/>
      </c>
      <c r="T408" s="13">
        <f>IF(OR('实盘净值数据(iFinD）'!$A408="",'实盘净值数据(iFinD）'!$B408="",'实盘净值数据(iFinD）'!$Z408="",'实盘净值数据(iFinD）'!$AA408="",'实盘净值数据(iFinD）'!$AB408="",'实盘净值数据(iFinD）'!$AL408=""),"",(SUMPRODUCT(分期持仓明细!$B$26:$Y$26,'实盘净值数据(iFinD）'!$B408:$Y408/'实盘净值数据(iFinD）'!$B$69:$Y$69)+SUMPRODUCT(分期持仓明细!$AC$26:$AD$26,'实盘净值数据(iFinD）'!$Z408:$AA408/'实盘净值数据(iFinD）'!$Z$69:$AA$69)+SUMPRODUCT(分期持仓明细!$AE$26:$AO$26,'实盘净值数据(iFinD）'!$AB408:$AL408/'实盘净值数据(iFinD）'!$AB$69:$AL$69))*(1-实盘持仓初始配置!$Z$10)^(('实盘净值数据(iFinD）'!$A408-'实盘净值数据(iFinD）'!$A$69)/365))</f>
        <v/>
      </c>
      <c r="U408" s="16">
        <f>IF(OR(T407="",T408=""),"",T408/T407-1)</f>
        <v/>
      </c>
      <c r="V408" s="16">
        <f>IF(T408="","",T408/MAX(T$5:T408)-1)</f>
        <v/>
      </c>
    </row>
    <row r="409" spans="1:19">
      <c r="A409" s="15" t="str">
        <f>IF('实盘净值数据(iFinD）'!A409="","",'实盘净值数据(iFinD）'!A409)</f>
        <v/>
      </c>
      <c r="B409" s="13" t="str">
        <f>IF(OR('实盘净值数据(iFinD）'!$A409="",'实盘净值数据(iFinD）'!$B409=""),"",分期持仓明细!$AB$17*SUMPRODUCT(分期持仓明细!$B$17:$Y$17,'实盘净值数据(iFinD）'!$B409:$Y409/'实盘净值数据(iFinD）'!$B$20:$Y$20)*(1-实盘持仓初始配置!$Z$4)^(('实盘净值数据(iFinD）'!$A409-'实盘净值数据(iFinD）'!$A$6)/365))</f>
        <v/>
      </c>
      <c r="C409" s="16" t="str">
        <f t="shared" si="36"/>
        <v/>
      </c>
      <c r="D409" s="16" t="str">
        <f>IF(B409="","",B409/MAX(B$5:B409)-1)</f>
        <v/>
      </c>
      <c r="E409" s="13" t="str">
        <f>IF(OR('实盘净值数据(iFinD）'!$A409="",'实盘净值数据(iFinD）'!$B409=""),"",分期持仓明细!$AB$18*SUMPRODUCT(分期持仓明细!$B$18:$Y$18,'实盘净值数据(iFinD）'!$B409:$Y409/'实盘净值数据(iFinD）'!$B$20:$Y$20)*(1-实盘持仓初始配置!$Z$5)^(('实盘净值数据(iFinD）'!$A409-'实盘净值数据(iFinD）'!$A$5)/365))</f>
        <v/>
      </c>
      <c r="F409" s="16" t="str">
        <f t="shared" si="37"/>
        <v/>
      </c>
      <c r="G409" s="16" t="str">
        <f>IF(E409="","",E409/MAX(E$5:E409)-1)</f>
        <v/>
      </c>
      <c r="H409" s="13" t="str">
        <f>IF(OR('实盘净值数据(iFinD）'!$A409="",'实盘净值数据(iFinD）'!$B409=""),"",分期持仓明细!$AB$19*SUMPRODUCT(分期持仓明细!$B$19:$Y$19,'实盘净值数据(iFinD）'!$B409:$Y409/'实盘净值数据(iFinD）'!$B$20:$Y$20)*(1-实盘持仓初始配置!$Z$6)^(('实盘净值数据(iFinD）'!$A409-'实盘净值数据(iFinD）'!$A$7)/365))</f>
        <v/>
      </c>
      <c r="I409" s="16" t="str">
        <f t="shared" si="38"/>
        <v/>
      </c>
      <c r="J409" s="16" t="str">
        <f>IF(H409="","",H409/MAX(H$5:H409)-1)</f>
        <v/>
      </c>
      <c r="K409" s="13" t="str">
        <f>IF(OR('实盘净值数据(iFinD）'!$A409="",'实盘净值数据(iFinD）'!$B409="",'实盘净值数据(iFinD）'!$Z409="",'实盘净值数据(iFinD）'!$AA409=""),"",分期持仓明细!$AB$23*(SUMPRODUCT(分期持仓明细!$B$23:$Y$23,'实盘净值数据(iFinD）'!$B409:$Y409/'实盘净值数据(iFinD）'!$B$65:$Y$65)+SUMPRODUCT(分期持仓明细!$AC$23:$AD$23,'实盘净值数据(iFinD）'!$Z409:$AA409/'实盘净值数据(iFinD）'!$Z$65:$AA$65))*(1-实盘持仓初始配置!$Z$7)^(('实盘净值数据(iFinD）'!$A409-'实盘净值数据(iFinD）'!$A$8)/365))</f>
        <v/>
      </c>
      <c r="L409" s="16" t="str">
        <f t="shared" si="39"/>
        <v/>
      </c>
      <c r="M409" s="16" t="str">
        <f>IF(K409="","",K409/MAX(K$5:K409)-1)</f>
        <v/>
      </c>
      <c r="N409" s="13" t="str">
        <f>IF(OR('实盘净值数据(iFinD）'!$A409="",'实盘净值数据(iFinD）'!$B409="",'实盘净值数据(iFinD）'!$Z409="",'实盘净值数据(iFinD）'!$AA409=""),"",分期持仓明细!$AB$24*(SUMPRODUCT(分期持仓明细!$B$24:$Y$24,'实盘净值数据(iFinD）'!$B409:$Y409/'实盘净值数据(iFinD）'!$B$65:$Y$65)+SUMPRODUCT(分期持仓明细!$AC$24:$AD$24,'实盘净值数据(iFinD）'!$Z409:$AA409/'实盘净值数据(iFinD）'!$Z$65:$AA$65))*(1-实盘持仓初始配置!$Z$8)^(('实盘净值数据(iFinD）'!$A409-'实盘净值数据(iFinD）'!$A$5)/365))</f>
        <v/>
      </c>
      <c r="O409" s="16" t="str">
        <f t="shared" si="40"/>
        <v/>
      </c>
      <c r="P409" s="16" t="str">
        <f>IF(N409="","",N409/MAX(N$5:N409)-1)</f>
        <v/>
      </c>
      <c r="Q409" s="13" t="str">
        <f>IF(OR('实盘净值数据(iFinD）'!$A409="",'实盘净值数据(iFinD）'!$B409="",'实盘净值数据(iFinD）'!$Z409="",'实盘净值数据(iFinD）'!$AA409=""),"",分期持仓明细!$AB$25*(SUMPRODUCT(分期持仓明细!$B$25:$Y$25,'实盘净值数据(iFinD）'!$B409:$Y409/'实盘净值数据(iFinD）'!$B$65:$Y$65)+SUMPRODUCT(分期持仓明细!$AC$25:$AD$25,'实盘净值数据(iFinD）'!$Z409:$AA409/'实盘净值数据(iFinD）'!$Z$65:$AA$65))*(1-实盘持仓初始配置!$Z$9)^(('实盘净值数据(iFinD）'!$A409-'实盘净值数据(iFinD）'!$A$8)/365))</f>
        <v/>
      </c>
      <c r="R409" s="16" t="str">
        <f t="shared" si="41"/>
        <v/>
      </c>
      <c r="S409" s="16" t="str">
        <f>IF(Q409="","",Q409/MAX(Q$5:Q409)-1)</f>
        <v/>
      </c>
      <c r="T409" s="13">
        <f>IF(OR('实盘净值数据(iFinD）'!$A409="",'实盘净值数据(iFinD）'!$B409="",'实盘净值数据(iFinD）'!$Z409="",'实盘净值数据(iFinD）'!$AA409="",'实盘净值数据(iFinD）'!$AB409="",'实盘净值数据(iFinD）'!$AL409=""),"",(SUMPRODUCT(分期持仓明细!$B$26:$Y$26,'实盘净值数据(iFinD）'!$B409:$Y409/'实盘净值数据(iFinD）'!$B$69:$Y$69)+SUMPRODUCT(分期持仓明细!$AC$26:$AD$26,'实盘净值数据(iFinD）'!$Z409:$AA409/'实盘净值数据(iFinD）'!$Z$69:$AA$69)+SUMPRODUCT(分期持仓明细!$AE$26:$AO$26,'实盘净值数据(iFinD）'!$AB409:$AL409/'实盘净值数据(iFinD）'!$AB$69:$AL$69))*(1-实盘持仓初始配置!$Z$10)^(('实盘净值数据(iFinD）'!$A409-'实盘净值数据(iFinD）'!$A$69)/365))</f>
        <v/>
      </c>
      <c r="U409" s="16">
        <f>IF(OR(T408="",T409=""),"",T409/T408-1)</f>
        <v/>
      </c>
      <c r="V409" s="16">
        <f>IF(T409="","",T409/MAX(T$5:T409)-1)</f>
        <v/>
      </c>
    </row>
    <row r="410" spans="1:19">
      <c r="A410" s="15" t="str">
        <f>IF('实盘净值数据(iFinD）'!A410="","",'实盘净值数据(iFinD）'!A410)</f>
        <v/>
      </c>
      <c r="B410" s="13" t="str">
        <f>IF(OR('实盘净值数据(iFinD）'!$A410="",'实盘净值数据(iFinD）'!$B410=""),"",分期持仓明细!$AB$17*SUMPRODUCT(分期持仓明细!$B$17:$Y$17,'实盘净值数据(iFinD）'!$B410:$Y410/'实盘净值数据(iFinD）'!$B$20:$Y$20)*(1-实盘持仓初始配置!$Z$4)^(('实盘净值数据(iFinD）'!$A410-'实盘净值数据(iFinD）'!$A$6)/365))</f>
        <v/>
      </c>
      <c r="C410" s="16" t="str">
        <f t="shared" si="36"/>
        <v/>
      </c>
      <c r="D410" s="16" t="str">
        <f>IF(B410="","",B410/MAX(B$5:B410)-1)</f>
        <v/>
      </c>
      <c r="E410" s="13" t="str">
        <f>IF(OR('实盘净值数据(iFinD）'!$A410="",'实盘净值数据(iFinD）'!$B410=""),"",分期持仓明细!$AB$18*SUMPRODUCT(分期持仓明细!$B$18:$Y$18,'实盘净值数据(iFinD）'!$B410:$Y410/'实盘净值数据(iFinD）'!$B$20:$Y$20)*(1-实盘持仓初始配置!$Z$5)^(('实盘净值数据(iFinD）'!$A410-'实盘净值数据(iFinD）'!$A$5)/365))</f>
        <v/>
      </c>
      <c r="F410" s="16" t="str">
        <f t="shared" si="37"/>
        <v/>
      </c>
      <c r="G410" s="16" t="str">
        <f>IF(E410="","",E410/MAX(E$5:E410)-1)</f>
        <v/>
      </c>
      <c r="H410" s="13" t="str">
        <f>IF(OR('实盘净值数据(iFinD）'!$A410="",'实盘净值数据(iFinD）'!$B410=""),"",分期持仓明细!$AB$19*SUMPRODUCT(分期持仓明细!$B$19:$Y$19,'实盘净值数据(iFinD）'!$B410:$Y410/'实盘净值数据(iFinD）'!$B$20:$Y$20)*(1-实盘持仓初始配置!$Z$6)^(('实盘净值数据(iFinD）'!$A410-'实盘净值数据(iFinD）'!$A$7)/365))</f>
        <v/>
      </c>
      <c r="I410" s="16" t="str">
        <f t="shared" si="38"/>
        <v/>
      </c>
      <c r="J410" s="16" t="str">
        <f>IF(H410="","",H410/MAX(H$5:H410)-1)</f>
        <v/>
      </c>
      <c r="K410" s="13" t="str">
        <f>IF(OR('实盘净值数据(iFinD）'!$A410="",'实盘净值数据(iFinD）'!$B410="",'实盘净值数据(iFinD）'!$Z410="",'实盘净值数据(iFinD）'!$AA410=""),"",分期持仓明细!$AB$23*(SUMPRODUCT(分期持仓明细!$B$23:$Y$23,'实盘净值数据(iFinD）'!$B410:$Y410/'实盘净值数据(iFinD）'!$B$65:$Y$65)+SUMPRODUCT(分期持仓明细!$AC$23:$AD$23,'实盘净值数据(iFinD）'!$Z410:$AA410/'实盘净值数据(iFinD）'!$Z$65:$AA$65))*(1-实盘持仓初始配置!$Z$7)^(('实盘净值数据(iFinD）'!$A410-'实盘净值数据(iFinD）'!$A$8)/365))</f>
        <v/>
      </c>
      <c r="L410" s="16" t="str">
        <f t="shared" si="39"/>
        <v/>
      </c>
      <c r="M410" s="16" t="str">
        <f>IF(K410="","",K410/MAX(K$5:K410)-1)</f>
        <v/>
      </c>
      <c r="N410" s="13" t="str">
        <f>IF(OR('实盘净值数据(iFinD）'!$A410="",'实盘净值数据(iFinD）'!$B410="",'实盘净值数据(iFinD）'!$Z410="",'实盘净值数据(iFinD）'!$AA410=""),"",分期持仓明细!$AB$24*(SUMPRODUCT(分期持仓明细!$B$24:$Y$24,'实盘净值数据(iFinD）'!$B410:$Y410/'实盘净值数据(iFinD）'!$B$65:$Y$65)+SUMPRODUCT(分期持仓明细!$AC$24:$AD$24,'实盘净值数据(iFinD）'!$Z410:$AA410/'实盘净值数据(iFinD）'!$Z$65:$AA$65))*(1-实盘持仓初始配置!$Z$8)^(('实盘净值数据(iFinD）'!$A410-'实盘净值数据(iFinD）'!$A$5)/365))</f>
        <v/>
      </c>
      <c r="O410" s="16" t="str">
        <f t="shared" si="40"/>
        <v/>
      </c>
      <c r="P410" s="16" t="str">
        <f>IF(N410="","",N410/MAX(N$5:N410)-1)</f>
        <v/>
      </c>
      <c r="Q410" s="13" t="str">
        <f>IF(OR('实盘净值数据(iFinD）'!$A410="",'实盘净值数据(iFinD）'!$B410="",'实盘净值数据(iFinD）'!$Z410="",'实盘净值数据(iFinD）'!$AA410=""),"",分期持仓明细!$AB$25*(SUMPRODUCT(分期持仓明细!$B$25:$Y$25,'实盘净值数据(iFinD）'!$B410:$Y410/'实盘净值数据(iFinD）'!$B$65:$Y$65)+SUMPRODUCT(分期持仓明细!$AC$25:$AD$25,'实盘净值数据(iFinD）'!$Z410:$AA410/'实盘净值数据(iFinD）'!$Z$65:$AA$65))*(1-实盘持仓初始配置!$Z$9)^(('实盘净值数据(iFinD）'!$A410-'实盘净值数据(iFinD）'!$A$8)/365))</f>
        <v/>
      </c>
      <c r="R410" s="16" t="str">
        <f t="shared" si="41"/>
        <v/>
      </c>
      <c r="S410" s="16" t="str">
        <f>IF(Q410="","",Q410/MAX(Q$5:Q410)-1)</f>
        <v/>
      </c>
      <c r="T410" s="13">
        <f>IF(OR('实盘净值数据(iFinD）'!$A410="",'实盘净值数据(iFinD）'!$B410="",'实盘净值数据(iFinD）'!$Z410="",'实盘净值数据(iFinD）'!$AA410="",'实盘净值数据(iFinD）'!$AB410="",'实盘净值数据(iFinD）'!$AL410=""),"",(SUMPRODUCT(分期持仓明细!$B$26:$Y$26,'实盘净值数据(iFinD）'!$B410:$Y410/'实盘净值数据(iFinD）'!$B$69:$Y$69)+SUMPRODUCT(分期持仓明细!$AC$26:$AD$26,'实盘净值数据(iFinD）'!$Z410:$AA410/'实盘净值数据(iFinD）'!$Z$69:$AA$69)+SUMPRODUCT(分期持仓明细!$AE$26:$AO$26,'实盘净值数据(iFinD）'!$AB410:$AL410/'实盘净值数据(iFinD）'!$AB$69:$AL$69))*(1-实盘持仓初始配置!$Z$10)^(('实盘净值数据(iFinD）'!$A410-'实盘净值数据(iFinD）'!$A$69)/365))</f>
        <v/>
      </c>
      <c r="U410" s="16">
        <f>IF(OR(T409="",T410=""),"",T410/T409-1)</f>
        <v/>
      </c>
      <c r="V410" s="16">
        <f>IF(T410="","",T410/MAX(T$5:T410)-1)</f>
        <v/>
      </c>
    </row>
    <row r="411" spans="1:19">
      <c r="A411" s="15" t="str">
        <f>IF('实盘净值数据(iFinD）'!A411="","",'实盘净值数据(iFinD）'!A411)</f>
        <v/>
      </c>
      <c r="B411" s="13" t="str">
        <f>IF(OR('实盘净值数据(iFinD）'!$A411="",'实盘净值数据(iFinD）'!$B411=""),"",分期持仓明细!$AB$17*SUMPRODUCT(分期持仓明细!$B$17:$Y$17,'实盘净值数据(iFinD）'!$B411:$Y411/'实盘净值数据(iFinD）'!$B$20:$Y$20)*(1-实盘持仓初始配置!$Z$4)^(('实盘净值数据(iFinD）'!$A411-'实盘净值数据(iFinD）'!$A$6)/365))</f>
        <v/>
      </c>
      <c r="C411" s="16" t="str">
        <f t="shared" si="36"/>
        <v/>
      </c>
      <c r="D411" s="16" t="str">
        <f>IF(B411="","",B411/MAX(B$5:B411)-1)</f>
        <v/>
      </c>
      <c r="E411" s="13" t="str">
        <f>IF(OR('实盘净值数据(iFinD）'!$A411="",'实盘净值数据(iFinD）'!$B411=""),"",分期持仓明细!$AB$18*SUMPRODUCT(分期持仓明细!$B$18:$Y$18,'实盘净值数据(iFinD）'!$B411:$Y411/'实盘净值数据(iFinD）'!$B$20:$Y$20)*(1-实盘持仓初始配置!$Z$5)^(('实盘净值数据(iFinD）'!$A411-'实盘净值数据(iFinD）'!$A$5)/365))</f>
        <v/>
      </c>
      <c r="F411" s="16" t="str">
        <f t="shared" si="37"/>
        <v/>
      </c>
      <c r="G411" s="16" t="str">
        <f>IF(E411="","",E411/MAX(E$5:E411)-1)</f>
        <v/>
      </c>
      <c r="H411" s="13" t="str">
        <f>IF(OR('实盘净值数据(iFinD）'!$A411="",'实盘净值数据(iFinD）'!$B411=""),"",分期持仓明细!$AB$19*SUMPRODUCT(分期持仓明细!$B$19:$Y$19,'实盘净值数据(iFinD）'!$B411:$Y411/'实盘净值数据(iFinD）'!$B$20:$Y$20)*(1-实盘持仓初始配置!$Z$6)^(('实盘净值数据(iFinD）'!$A411-'实盘净值数据(iFinD）'!$A$7)/365))</f>
        <v/>
      </c>
      <c r="I411" s="16" t="str">
        <f t="shared" si="38"/>
        <v/>
      </c>
      <c r="J411" s="16" t="str">
        <f>IF(H411="","",H411/MAX(H$5:H411)-1)</f>
        <v/>
      </c>
      <c r="K411" s="13" t="str">
        <f>IF(OR('实盘净值数据(iFinD）'!$A411="",'实盘净值数据(iFinD）'!$B411="",'实盘净值数据(iFinD）'!$Z411="",'实盘净值数据(iFinD）'!$AA411=""),"",分期持仓明细!$AB$23*(SUMPRODUCT(分期持仓明细!$B$23:$Y$23,'实盘净值数据(iFinD）'!$B411:$Y411/'实盘净值数据(iFinD）'!$B$65:$Y$65)+SUMPRODUCT(分期持仓明细!$AC$23:$AD$23,'实盘净值数据(iFinD）'!$Z411:$AA411/'实盘净值数据(iFinD）'!$Z$65:$AA$65))*(1-实盘持仓初始配置!$Z$7)^(('实盘净值数据(iFinD）'!$A411-'实盘净值数据(iFinD）'!$A$8)/365))</f>
        <v/>
      </c>
      <c r="L411" s="16" t="str">
        <f t="shared" si="39"/>
        <v/>
      </c>
      <c r="M411" s="16" t="str">
        <f>IF(K411="","",K411/MAX(K$5:K411)-1)</f>
        <v/>
      </c>
      <c r="N411" s="13" t="str">
        <f>IF(OR('实盘净值数据(iFinD）'!$A411="",'实盘净值数据(iFinD）'!$B411="",'实盘净值数据(iFinD）'!$Z411="",'实盘净值数据(iFinD）'!$AA411=""),"",分期持仓明细!$AB$24*(SUMPRODUCT(分期持仓明细!$B$24:$Y$24,'实盘净值数据(iFinD）'!$B411:$Y411/'实盘净值数据(iFinD）'!$B$65:$Y$65)+SUMPRODUCT(分期持仓明细!$AC$24:$AD$24,'实盘净值数据(iFinD）'!$Z411:$AA411/'实盘净值数据(iFinD）'!$Z$65:$AA$65))*(1-实盘持仓初始配置!$Z$8)^(('实盘净值数据(iFinD）'!$A411-'实盘净值数据(iFinD）'!$A$5)/365))</f>
        <v/>
      </c>
      <c r="O411" s="16" t="str">
        <f t="shared" si="40"/>
        <v/>
      </c>
      <c r="P411" s="16" t="str">
        <f>IF(N411="","",N411/MAX(N$5:N411)-1)</f>
        <v/>
      </c>
      <c r="Q411" s="13" t="str">
        <f>IF(OR('实盘净值数据(iFinD）'!$A411="",'实盘净值数据(iFinD）'!$B411="",'实盘净值数据(iFinD）'!$Z411="",'实盘净值数据(iFinD）'!$AA411=""),"",分期持仓明细!$AB$25*(SUMPRODUCT(分期持仓明细!$B$25:$Y$25,'实盘净值数据(iFinD）'!$B411:$Y411/'实盘净值数据(iFinD）'!$B$65:$Y$65)+SUMPRODUCT(分期持仓明细!$AC$25:$AD$25,'实盘净值数据(iFinD）'!$Z411:$AA411/'实盘净值数据(iFinD）'!$Z$65:$AA$65))*(1-实盘持仓初始配置!$Z$9)^(('实盘净值数据(iFinD）'!$A411-'实盘净值数据(iFinD）'!$A$8)/365))</f>
        <v/>
      </c>
      <c r="R411" s="16" t="str">
        <f t="shared" si="41"/>
        <v/>
      </c>
      <c r="S411" s="16" t="str">
        <f>IF(Q411="","",Q411/MAX(Q$5:Q411)-1)</f>
        <v/>
      </c>
      <c r="T411" s="13">
        <f>IF(OR('实盘净值数据(iFinD）'!$A411="",'实盘净值数据(iFinD）'!$B411="",'实盘净值数据(iFinD）'!$Z411="",'实盘净值数据(iFinD）'!$AA411="",'实盘净值数据(iFinD）'!$AB411="",'实盘净值数据(iFinD）'!$AL411=""),"",(SUMPRODUCT(分期持仓明细!$B$26:$Y$26,'实盘净值数据(iFinD）'!$B411:$Y411/'实盘净值数据(iFinD）'!$B$69:$Y$69)+SUMPRODUCT(分期持仓明细!$AC$26:$AD$26,'实盘净值数据(iFinD）'!$Z411:$AA411/'实盘净值数据(iFinD）'!$Z$69:$AA$69)+SUMPRODUCT(分期持仓明细!$AE$26:$AO$26,'实盘净值数据(iFinD）'!$AB411:$AL411/'实盘净值数据(iFinD）'!$AB$69:$AL$69))*(1-实盘持仓初始配置!$Z$10)^(('实盘净值数据(iFinD）'!$A411-'实盘净值数据(iFinD）'!$A$69)/365))</f>
        <v/>
      </c>
      <c r="U411" s="16">
        <f>IF(OR(T410="",T411=""),"",T411/T410-1)</f>
        <v/>
      </c>
      <c r="V411" s="16">
        <f>IF(T411="","",T411/MAX(T$5:T411)-1)</f>
        <v/>
      </c>
    </row>
    <row r="412" spans="1:19">
      <c r="A412" s="15" t="str">
        <f>IF('实盘净值数据(iFinD）'!A412="","",'实盘净值数据(iFinD）'!A412)</f>
        <v/>
      </c>
      <c r="B412" s="13" t="str">
        <f>IF(OR('实盘净值数据(iFinD）'!$A412="",'实盘净值数据(iFinD）'!$B412=""),"",分期持仓明细!$AB$17*SUMPRODUCT(分期持仓明细!$B$17:$Y$17,'实盘净值数据(iFinD）'!$B412:$Y412/'实盘净值数据(iFinD）'!$B$20:$Y$20)*(1-实盘持仓初始配置!$Z$4)^(('实盘净值数据(iFinD）'!$A412-'实盘净值数据(iFinD）'!$A$6)/365))</f>
        <v/>
      </c>
      <c r="C412" s="16" t="str">
        <f t="shared" si="36"/>
        <v/>
      </c>
      <c r="D412" s="16" t="str">
        <f>IF(B412="","",B412/MAX(B$5:B412)-1)</f>
        <v/>
      </c>
      <c r="E412" s="13" t="str">
        <f>IF(OR('实盘净值数据(iFinD）'!$A412="",'实盘净值数据(iFinD）'!$B412=""),"",分期持仓明细!$AB$18*SUMPRODUCT(分期持仓明细!$B$18:$Y$18,'实盘净值数据(iFinD）'!$B412:$Y412/'实盘净值数据(iFinD）'!$B$20:$Y$20)*(1-实盘持仓初始配置!$Z$5)^(('实盘净值数据(iFinD）'!$A412-'实盘净值数据(iFinD）'!$A$5)/365))</f>
        <v/>
      </c>
      <c r="F412" s="16" t="str">
        <f t="shared" si="37"/>
        <v/>
      </c>
      <c r="G412" s="16" t="str">
        <f>IF(E412="","",E412/MAX(E$5:E412)-1)</f>
        <v/>
      </c>
      <c r="H412" s="13" t="str">
        <f>IF(OR('实盘净值数据(iFinD）'!$A412="",'实盘净值数据(iFinD）'!$B412=""),"",分期持仓明细!$AB$19*SUMPRODUCT(分期持仓明细!$B$19:$Y$19,'实盘净值数据(iFinD）'!$B412:$Y412/'实盘净值数据(iFinD）'!$B$20:$Y$20)*(1-实盘持仓初始配置!$Z$6)^(('实盘净值数据(iFinD）'!$A412-'实盘净值数据(iFinD）'!$A$7)/365))</f>
        <v/>
      </c>
      <c r="I412" s="16" t="str">
        <f t="shared" si="38"/>
        <v/>
      </c>
      <c r="J412" s="16" t="str">
        <f>IF(H412="","",H412/MAX(H$5:H412)-1)</f>
        <v/>
      </c>
      <c r="K412" s="13" t="str">
        <f>IF(OR('实盘净值数据(iFinD）'!$A412="",'实盘净值数据(iFinD）'!$B412="",'实盘净值数据(iFinD）'!$Z412="",'实盘净值数据(iFinD）'!$AA412=""),"",分期持仓明细!$AB$23*(SUMPRODUCT(分期持仓明细!$B$23:$Y$23,'实盘净值数据(iFinD）'!$B412:$Y412/'实盘净值数据(iFinD）'!$B$65:$Y$65)+SUMPRODUCT(分期持仓明细!$AC$23:$AD$23,'实盘净值数据(iFinD）'!$Z412:$AA412/'实盘净值数据(iFinD）'!$Z$65:$AA$65))*(1-实盘持仓初始配置!$Z$7)^(('实盘净值数据(iFinD）'!$A412-'实盘净值数据(iFinD）'!$A$8)/365))</f>
        <v/>
      </c>
      <c r="L412" s="16" t="str">
        <f t="shared" si="39"/>
        <v/>
      </c>
      <c r="M412" s="16" t="str">
        <f>IF(K412="","",K412/MAX(K$5:K412)-1)</f>
        <v/>
      </c>
      <c r="N412" s="13" t="str">
        <f>IF(OR('实盘净值数据(iFinD）'!$A412="",'实盘净值数据(iFinD）'!$B412="",'实盘净值数据(iFinD）'!$Z412="",'实盘净值数据(iFinD）'!$AA412=""),"",分期持仓明细!$AB$24*(SUMPRODUCT(分期持仓明细!$B$24:$Y$24,'实盘净值数据(iFinD）'!$B412:$Y412/'实盘净值数据(iFinD）'!$B$65:$Y$65)+SUMPRODUCT(分期持仓明细!$AC$24:$AD$24,'实盘净值数据(iFinD）'!$Z412:$AA412/'实盘净值数据(iFinD）'!$Z$65:$AA$65))*(1-实盘持仓初始配置!$Z$8)^(('实盘净值数据(iFinD）'!$A412-'实盘净值数据(iFinD）'!$A$5)/365))</f>
        <v/>
      </c>
      <c r="O412" s="16" t="str">
        <f t="shared" si="40"/>
        <v/>
      </c>
      <c r="P412" s="16" t="str">
        <f>IF(N412="","",N412/MAX(N$5:N412)-1)</f>
        <v/>
      </c>
      <c r="Q412" s="13" t="str">
        <f>IF(OR('实盘净值数据(iFinD）'!$A412="",'实盘净值数据(iFinD）'!$B412="",'实盘净值数据(iFinD）'!$Z412="",'实盘净值数据(iFinD）'!$AA412=""),"",分期持仓明细!$AB$25*(SUMPRODUCT(分期持仓明细!$B$25:$Y$25,'实盘净值数据(iFinD）'!$B412:$Y412/'实盘净值数据(iFinD）'!$B$65:$Y$65)+SUMPRODUCT(分期持仓明细!$AC$25:$AD$25,'实盘净值数据(iFinD）'!$Z412:$AA412/'实盘净值数据(iFinD）'!$Z$65:$AA$65))*(1-实盘持仓初始配置!$Z$9)^(('实盘净值数据(iFinD）'!$A412-'实盘净值数据(iFinD）'!$A$8)/365))</f>
        <v/>
      </c>
      <c r="R412" s="16" t="str">
        <f t="shared" si="41"/>
        <v/>
      </c>
      <c r="S412" s="16" t="str">
        <f>IF(Q412="","",Q412/MAX(Q$5:Q412)-1)</f>
        <v/>
      </c>
      <c r="T412" s="13">
        <f>IF(OR('实盘净值数据(iFinD）'!$A412="",'实盘净值数据(iFinD）'!$B412="",'实盘净值数据(iFinD）'!$Z412="",'实盘净值数据(iFinD）'!$AA412="",'实盘净值数据(iFinD）'!$AB412="",'实盘净值数据(iFinD）'!$AL412=""),"",(SUMPRODUCT(分期持仓明细!$B$26:$Y$26,'实盘净值数据(iFinD）'!$B412:$Y412/'实盘净值数据(iFinD）'!$B$69:$Y$69)+SUMPRODUCT(分期持仓明细!$AC$26:$AD$26,'实盘净值数据(iFinD）'!$Z412:$AA412/'实盘净值数据(iFinD）'!$Z$69:$AA$69)+SUMPRODUCT(分期持仓明细!$AE$26:$AO$26,'实盘净值数据(iFinD）'!$AB412:$AL412/'实盘净值数据(iFinD）'!$AB$69:$AL$69))*(1-实盘持仓初始配置!$Z$10)^(('实盘净值数据(iFinD）'!$A412-'实盘净值数据(iFinD）'!$A$69)/365))</f>
        <v/>
      </c>
      <c r="U412" s="16">
        <f>IF(OR(T411="",T412=""),"",T412/T411-1)</f>
        <v/>
      </c>
      <c r="V412" s="16">
        <f>IF(T412="","",T412/MAX(T$5:T412)-1)</f>
        <v/>
      </c>
    </row>
    <row r="413" spans="1:19">
      <c r="A413" s="15" t="str">
        <f>IF('实盘净值数据(iFinD）'!A413="","",'实盘净值数据(iFinD）'!A413)</f>
        <v/>
      </c>
      <c r="B413" s="13" t="str">
        <f>IF(OR('实盘净值数据(iFinD）'!$A413="",'实盘净值数据(iFinD）'!$B413=""),"",分期持仓明细!$AB$17*SUMPRODUCT(分期持仓明细!$B$17:$Y$17,'实盘净值数据(iFinD）'!$B413:$Y413/'实盘净值数据(iFinD）'!$B$20:$Y$20)*(1-实盘持仓初始配置!$Z$4)^(('实盘净值数据(iFinD）'!$A413-'实盘净值数据(iFinD）'!$A$6)/365))</f>
        <v/>
      </c>
      <c r="C413" s="16" t="str">
        <f t="shared" si="36"/>
        <v/>
      </c>
      <c r="D413" s="16" t="str">
        <f>IF(B413="","",B413/MAX(B$5:B413)-1)</f>
        <v/>
      </c>
      <c r="E413" s="13" t="str">
        <f>IF(OR('实盘净值数据(iFinD）'!$A413="",'实盘净值数据(iFinD）'!$B413=""),"",分期持仓明细!$AB$18*SUMPRODUCT(分期持仓明细!$B$18:$Y$18,'实盘净值数据(iFinD）'!$B413:$Y413/'实盘净值数据(iFinD）'!$B$20:$Y$20)*(1-实盘持仓初始配置!$Z$5)^(('实盘净值数据(iFinD）'!$A413-'实盘净值数据(iFinD）'!$A$5)/365))</f>
        <v/>
      </c>
      <c r="F413" s="16" t="str">
        <f t="shared" si="37"/>
        <v/>
      </c>
      <c r="G413" s="16" t="str">
        <f>IF(E413="","",E413/MAX(E$5:E413)-1)</f>
        <v/>
      </c>
      <c r="H413" s="13" t="str">
        <f>IF(OR('实盘净值数据(iFinD）'!$A413="",'实盘净值数据(iFinD）'!$B413=""),"",分期持仓明细!$AB$19*SUMPRODUCT(分期持仓明细!$B$19:$Y$19,'实盘净值数据(iFinD）'!$B413:$Y413/'实盘净值数据(iFinD）'!$B$20:$Y$20)*(1-实盘持仓初始配置!$Z$6)^(('实盘净值数据(iFinD）'!$A413-'实盘净值数据(iFinD）'!$A$7)/365))</f>
        <v/>
      </c>
      <c r="I413" s="16" t="str">
        <f t="shared" si="38"/>
        <v/>
      </c>
      <c r="J413" s="16" t="str">
        <f>IF(H413="","",H413/MAX(H$5:H413)-1)</f>
        <v/>
      </c>
      <c r="K413" s="13" t="str">
        <f>IF(OR('实盘净值数据(iFinD）'!$A413="",'实盘净值数据(iFinD）'!$B413="",'实盘净值数据(iFinD）'!$Z413="",'实盘净值数据(iFinD）'!$AA413=""),"",分期持仓明细!$AB$23*(SUMPRODUCT(分期持仓明细!$B$23:$Y$23,'实盘净值数据(iFinD）'!$B413:$Y413/'实盘净值数据(iFinD）'!$B$65:$Y$65)+SUMPRODUCT(分期持仓明细!$AC$23:$AD$23,'实盘净值数据(iFinD）'!$Z413:$AA413/'实盘净值数据(iFinD）'!$Z$65:$AA$65))*(1-实盘持仓初始配置!$Z$7)^(('实盘净值数据(iFinD）'!$A413-'实盘净值数据(iFinD）'!$A$8)/365))</f>
        <v/>
      </c>
      <c r="L413" s="16" t="str">
        <f t="shared" si="39"/>
        <v/>
      </c>
      <c r="M413" s="16" t="str">
        <f>IF(K413="","",K413/MAX(K$5:K413)-1)</f>
        <v/>
      </c>
      <c r="N413" s="13" t="str">
        <f>IF(OR('实盘净值数据(iFinD）'!$A413="",'实盘净值数据(iFinD）'!$B413="",'实盘净值数据(iFinD）'!$Z413="",'实盘净值数据(iFinD）'!$AA413=""),"",分期持仓明细!$AB$24*(SUMPRODUCT(分期持仓明细!$B$24:$Y$24,'实盘净值数据(iFinD）'!$B413:$Y413/'实盘净值数据(iFinD）'!$B$65:$Y$65)+SUMPRODUCT(分期持仓明细!$AC$24:$AD$24,'实盘净值数据(iFinD）'!$Z413:$AA413/'实盘净值数据(iFinD）'!$Z$65:$AA$65))*(1-实盘持仓初始配置!$Z$8)^(('实盘净值数据(iFinD）'!$A413-'实盘净值数据(iFinD）'!$A$5)/365))</f>
        <v/>
      </c>
      <c r="O413" s="16" t="str">
        <f t="shared" si="40"/>
        <v/>
      </c>
      <c r="P413" s="16" t="str">
        <f>IF(N413="","",N413/MAX(N$5:N413)-1)</f>
        <v/>
      </c>
      <c r="Q413" s="13" t="str">
        <f>IF(OR('实盘净值数据(iFinD）'!$A413="",'实盘净值数据(iFinD）'!$B413="",'实盘净值数据(iFinD）'!$Z413="",'实盘净值数据(iFinD）'!$AA413=""),"",分期持仓明细!$AB$25*(SUMPRODUCT(分期持仓明细!$B$25:$Y$25,'实盘净值数据(iFinD）'!$B413:$Y413/'实盘净值数据(iFinD）'!$B$65:$Y$65)+SUMPRODUCT(分期持仓明细!$AC$25:$AD$25,'实盘净值数据(iFinD）'!$Z413:$AA413/'实盘净值数据(iFinD）'!$Z$65:$AA$65))*(1-实盘持仓初始配置!$Z$9)^(('实盘净值数据(iFinD）'!$A413-'实盘净值数据(iFinD）'!$A$8)/365))</f>
        <v/>
      </c>
      <c r="R413" s="16" t="str">
        <f t="shared" si="41"/>
        <v/>
      </c>
      <c r="S413" s="16" t="str">
        <f>IF(Q413="","",Q413/MAX(Q$5:Q413)-1)</f>
        <v/>
      </c>
      <c r="T413" s="13">
        <f>IF(OR('实盘净值数据(iFinD）'!$A413="",'实盘净值数据(iFinD）'!$B413="",'实盘净值数据(iFinD）'!$Z413="",'实盘净值数据(iFinD）'!$AA413="",'实盘净值数据(iFinD）'!$AB413="",'实盘净值数据(iFinD）'!$AL413=""),"",(SUMPRODUCT(分期持仓明细!$B$26:$Y$26,'实盘净值数据(iFinD）'!$B413:$Y413/'实盘净值数据(iFinD）'!$B$69:$Y$69)+SUMPRODUCT(分期持仓明细!$AC$26:$AD$26,'实盘净值数据(iFinD）'!$Z413:$AA413/'实盘净值数据(iFinD）'!$Z$69:$AA$69)+SUMPRODUCT(分期持仓明细!$AE$26:$AO$26,'实盘净值数据(iFinD）'!$AB413:$AL413/'实盘净值数据(iFinD）'!$AB$69:$AL$69))*(1-实盘持仓初始配置!$Z$10)^(('实盘净值数据(iFinD）'!$A413-'实盘净值数据(iFinD）'!$A$69)/365))</f>
        <v/>
      </c>
      <c r="U413" s="16">
        <f>IF(OR(T412="",T413=""),"",T413/T412-1)</f>
        <v/>
      </c>
      <c r="V413" s="16">
        <f>IF(T413="","",T413/MAX(T$5:T413)-1)</f>
        <v/>
      </c>
    </row>
    <row r="414" spans="1:19">
      <c r="A414" s="15" t="str">
        <f>IF('实盘净值数据(iFinD）'!A414="","",'实盘净值数据(iFinD）'!A414)</f>
        <v/>
      </c>
      <c r="B414" s="13" t="str">
        <f>IF(OR('实盘净值数据(iFinD）'!$A414="",'实盘净值数据(iFinD）'!$B414=""),"",分期持仓明细!$AB$17*SUMPRODUCT(分期持仓明细!$B$17:$Y$17,'实盘净值数据(iFinD）'!$B414:$Y414/'实盘净值数据(iFinD）'!$B$20:$Y$20)*(1-实盘持仓初始配置!$Z$4)^(('实盘净值数据(iFinD）'!$A414-'实盘净值数据(iFinD）'!$A$6)/365))</f>
        <v/>
      </c>
      <c r="C414" s="16" t="str">
        <f t="shared" si="36"/>
        <v/>
      </c>
      <c r="D414" s="16" t="str">
        <f>IF(B414="","",B414/MAX(B$5:B414)-1)</f>
        <v/>
      </c>
      <c r="E414" s="13" t="str">
        <f>IF(OR('实盘净值数据(iFinD）'!$A414="",'实盘净值数据(iFinD）'!$B414=""),"",分期持仓明细!$AB$18*SUMPRODUCT(分期持仓明细!$B$18:$Y$18,'实盘净值数据(iFinD）'!$B414:$Y414/'实盘净值数据(iFinD）'!$B$20:$Y$20)*(1-实盘持仓初始配置!$Z$5)^(('实盘净值数据(iFinD）'!$A414-'实盘净值数据(iFinD）'!$A$5)/365))</f>
        <v/>
      </c>
      <c r="F414" s="16" t="str">
        <f t="shared" si="37"/>
        <v/>
      </c>
      <c r="G414" s="16" t="str">
        <f>IF(E414="","",E414/MAX(E$5:E414)-1)</f>
        <v/>
      </c>
      <c r="H414" s="13" t="str">
        <f>IF(OR('实盘净值数据(iFinD）'!$A414="",'实盘净值数据(iFinD）'!$B414=""),"",分期持仓明细!$AB$19*SUMPRODUCT(分期持仓明细!$B$19:$Y$19,'实盘净值数据(iFinD）'!$B414:$Y414/'实盘净值数据(iFinD）'!$B$20:$Y$20)*(1-实盘持仓初始配置!$Z$6)^(('实盘净值数据(iFinD）'!$A414-'实盘净值数据(iFinD）'!$A$7)/365))</f>
        <v/>
      </c>
      <c r="I414" s="16" t="str">
        <f t="shared" si="38"/>
        <v/>
      </c>
      <c r="J414" s="16" t="str">
        <f>IF(H414="","",H414/MAX(H$5:H414)-1)</f>
        <v/>
      </c>
      <c r="K414" s="13" t="str">
        <f>IF(OR('实盘净值数据(iFinD）'!$A414="",'实盘净值数据(iFinD）'!$B414="",'实盘净值数据(iFinD）'!$Z414="",'实盘净值数据(iFinD）'!$AA414=""),"",分期持仓明细!$AB$23*(SUMPRODUCT(分期持仓明细!$B$23:$Y$23,'实盘净值数据(iFinD）'!$B414:$Y414/'实盘净值数据(iFinD）'!$B$65:$Y$65)+SUMPRODUCT(分期持仓明细!$AC$23:$AD$23,'实盘净值数据(iFinD）'!$Z414:$AA414/'实盘净值数据(iFinD）'!$Z$65:$AA$65))*(1-实盘持仓初始配置!$Z$7)^(('实盘净值数据(iFinD）'!$A414-'实盘净值数据(iFinD）'!$A$8)/365))</f>
        <v/>
      </c>
      <c r="L414" s="16" t="str">
        <f t="shared" si="39"/>
        <v/>
      </c>
      <c r="M414" s="16" t="str">
        <f>IF(K414="","",K414/MAX(K$5:K414)-1)</f>
        <v/>
      </c>
      <c r="N414" s="13" t="str">
        <f>IF(OR('实盘净值数据(iFinD）'!$A414="",'实盘净值数据(iFinD）'!$B414="",'实盘净值数据(iFinD）'!$Z414="",'实盘净值数据(iFinD）'!$AA414=""),"",分期持仓明细!$AB$24*(SUMPRODUCT(分期持仓明细!$B$24:$Y$24,'实盘净值数据(iFinD）'!$B414:$Y414/'实盘净值数据(iFinD）'!$B$65:$Y$65)+SUMPRODUCT(分期持仓明细!$AC$24:$AD$24,'实盘净值数据(iFinD）'!$Z414:$AA414/'实盘净值数据(iFinD）'!$Z$65:$AA$65))*(1-实盘持仓初始配置!$Z$8)^(('实盘净值数据(iFinD）'!$A414-'实盘净值数据(iFinD）'!$A$5)/365))</f>
        <v/>
      </c>
      <c r="O414" s="16" t="str">
        <f t="shared" si="40"/>
        <v/>
      </c>
      <c r="P414" s="16" t="str">
        <f>IF(N414="","",N414/MAX(N$5:N414)-1)</f>
        <v/>
      </c>
      <c r="Q414" s="13" t="str">
        <f>IF(OR('实盘净值数据(iFinD）'!$A414="",'实盘净值数据(iFinD）'!$B414="",'实盘净值数据(iFinD）'!$Z414="",'实盘净值数据(iFinD）'!$AA414=""),"",分期持仓明细!$AB$25*(SUMPRODUCT(分期持仓明细!$B$25:$Y$25,'实盘净值数据(iFinD）'!$B414:$Y414/'实盘净值数据(iFinD）'!$B$65:$Y$65)+SUMPRODUCT(分期持仓明细!$AC$25:$AD$25,'实盘净值数据(iFinD）'!$Z414:$AA414/'实盘净值数据(iFinD）'!$Z$65:$AA$65))*(1-实盘持仓初始配置!$Z$9)^(('实盘净值数据(iFinD）'!$A414-'实盘净值数据(iFinD）'!$A$8)/365))</f>
        <v/>
      </c>
      <c r="R414" s="16" t="str">
        <f t="shared" si="41"/>
        <v/>
      </c>
      <c r="S414" s="16" t="str">
        <f>IF(Q414="","",Q414/MAX(Q$5:Q414)-1)</f>
        <v/>
      </c>
      <c r="T414" s="13">
        <f>IF(OR('实盘净值数据(iFinD）'!$A414="",'实盘净值数据(iFinD）'!$B414="",'实盘净值数据(iFinD）'!$Z414="",'实盘净值数据(iFinD）'!$AA414="",'实盘净值数据(iFinD）'!$AB414="",'实盘净值数据(iFinD）'!$AL414=""),"",(SUMPRODUCT(分期持仓明细!$B$26:$Y$26,'实盘净值数据(iFinD）'!$B414:$Y414/'实盘净值数据(iFinD）'!$B$69:$Y$69)+SUMPRODUCT(分期持仓明细!$AC$26:$AD$26,'实盘净值数据(iFinD）'!$Z414:$AA414/'实盘净值数据(iFinD）'!$Z$69:$AA$69)+SUMPRODUCT(分期持仓明细!$AE$26:$AO$26,'实盘净值数据(iFinD）'!$AB414:$AL414/'实盘净值数据(iFinD）'!$AB$69:$AL$69))*(1-实盘持仓初始配置!$Z$10)^(('实盘净值数据(iFinD）'!$A414-'实盘净值数据(iFinD）'!$A$69)/365))</f>
        <v/>
      </c>
      <c r="U414" s="16">
        <f>IF(OR(T413="",T414=""),"",T414/T413-1)</f>
        <v/>
      </c>
      <c r="V414" s="16">
        <f>IF(T414="","",T414/MAX(T$5:T414)-1)</f>
        <v/>
      </c>
    </row>
    <row r="415" spans="1:19">
      <c r="A415" s="15" t="str">
        <f>IF('实盘净值数据(iFinD）'!A415="","",'实盘净值数据(iFinD）'!A415)</f>
        <v/>
      </c>
      <c r="B415" s="13" t="str">
        <f>IF(OR('实盘净值数据(iFinD）'!$A415="",'实盘净值数据(iFinD）'!$B415=""),"",分期持仓明细!$AB$17*SUMPRODUCT(分期持仓明细!$B$17:$Y$17,'实盘净值数据(iFinD）'!$B415:$Y415/'实盘净值数据(iFinD）'!$B$20:$Y$20)*(1-实盘持仓初始配置!$Z$4)^(('实盘净值数据(iFinD）'!$A415-'实盘净值数据(iFinD）'!$A$6)/365))</f>
        <v/>
      </c>
      <c r="C415" s="16" t="str">
        <f t="shared" si="36"/>
        <v/>
      </c>
      <c r="D415" s="16" t="str">
        <f>IF(B415="","",B415/MAX(B$5:B415)-1)</f>
        <v/>
      </c>
      <c r="E415" s="13" t="str">
        <f>IF(OR('实盘净值数据(iFinD）'!$A415="",'实盘净值数据(iFinD）'!$B415=""),"",分期持仓明细!$AB$18*SUMPRODUCT(分期持仓明细!$B$18:$Y$18,'实盘净值数据(iFinD）'!$B415:$Y415/'实盘净值数据(iFinD）'!$B$20:$Y$20)*(1-实盘持仓初始配置!$Z$5)^(('实盘净值数据(iFinD）'!$A415-'实盘净值数据(iFinD）'!$A$5)/365))</f>
        <v/>
      </c>
      <c r="F415" s="16" t="str">
        <f t="shared" si="37"/>
        <v/>
      </c>
      <c r="G415" s="16" t="str">
        <f>IF(E415="","",E415/MAX(E$5:E415)-1)</f>
        <v/>
      </c>
      <c r="H415" s="13" t="str">
        <f>IF(OR('实盘净值数据(iFinD）'!$A415="",'实盘净值数据(iFinD）'!$B415=""),"",分期持仓明细!$AB$19*SUMPRODUCT(分期持仓明细!$B$19:$Y$19,'实盘净值数据(iFinD）'!$B415:$Y415/'实盘净值数据(iFinD）'!$B$20:$Y$20)*(1-实盘持仓初始配置!$Z$6)^(('实盘净值数据(iFinD）'!$A415-'实盘净值数据(iFinD）'!$A$7)/365))</f>
        <v/>
      </c>
      <c r="I415" s="16" t="str">
        <f t="shared" si="38"/>
        <v/>
      </c>
      <c r="J415" s="16" t="str">
        <f>IF(H415="","",H415/MAX(H$5:H415)-1)</f>
        <v/>
      </c>
      <c r="K415" s="13" t="str">
        <f>IF(OR('实盘净值数据(iFinD）'!$A415="",'实盘净值数据(iFinD）'!$B415="",'实盘净值数据(iFinD）'!$Z415="",'实盘净值数据(iFinD）'!$AA415=""),"",分期持仓明细!$AB$23*(SUMPRODUCT(分期持仓明细!$B$23:$Y$23,'实盘净值数据(iFinD）'!$B415:$Y415/'实盘净值数据(iFinD）'!$B$65:$Y$65)+SUMPRODUCT(分期持仓明细!$AC$23:$AD$23,'实盘净值数据(iFinD）'!$Z415:$AA415/'实盘净值数据(iFinD）'!$Z$65:$AA$65))*(1-实盘持仓初始配置!$Z$7)^(('实盘净值数据(iFinD）'!$A415-'实盘净值数据(iFinD）'!$A$8)/365))</f>
        <v/>
      </c>
      <c r="L415" s="16" t="str">
        <f t="shared" si="39"/>
        <v/>
      </c>
      <c r="M415" s="16" t="str">
        <f>IF(K415="","",K415/MAX(K$5:K415)-1)</f>
        <v/>
      </c>
      <c r="N415" s="13" t="str">
        <f>IF(OR('实盘净值数据(iFinD）'!$A415="",'实盘净值数据(iFinD）'!$B415="",'实盘净值数据(iFinD）'!$Z415="",'实盘净值数据(iFinD）'!$AA415=""),"",分期持仓明细!$AB$24*(SUMPRODUCT(分期持仓明细!$B$24:$Y$24,'实盘净值数据(iFinD）'!$B415:$Y415/'实盘净值数据(iFinD）'!$B$65:$Y$65)+SUMPRODUCT(分期持仓明细!$AC$24:$AD$24,'实盘净值数据(iFinD）'!$Z415:$AA415/'实盘净值数据(iFinD）'!$Z$65:$AA$65))*(1-实盘持仓初始配置!$Z$8)^(('实盘净值数据(iFinD）'!$A415-'实盘净值数据(iFinD）'!$A$5)/365))</f>
        <v/>
      </c>
      <c r="O415" s="16" t="str">
        <f t="shared" si="40"/>
        <v/>
      </c>
      <c r="P415" s="16" t="str">
        <f>IF(N415="","",N415/MAX(N$5:N415)-1)</f>
        <v/>
      </c>
      <c r="Q415" s="13" t="str">
        <f>IF(OR('实盘净值数据(iFinD）'!$A415="",'实盘净值数据(iFinD）'!$B415="",'实盘净值数据(iFinD）'!$Z415="",'实盘净值数据(iFinD）'!$AA415=""),"",分期持仓明细!$AB$25*(SUMPRODUCT(分期持仓明细!$B$25:$Y$25,'实盘净值数据(iFinD）'!$B415:$Y415/'实盘净值数据(iFinD）'!$B$65:$Y$65)+SUMPRODUCT(分期持仓明细!$AC$25:$AD$25,'实盘净值数据(iFinD）'!$Z415:$AA415/'实盘净值数据(iFinD）'!$Z$65:$AA$65))*(1-实盘持仓初始配置!$Z$9)^(('实盘净值数据(iFinD）'!$A415-'实盘净值数据(iFinD）'!$A$8)/365))</f>
        <v/>
      </c>
      <c r="R415" s="16" t="str">
        <f t="shared" si="41"/>
        <v/>
      </c>
      <c r="S415" s="16" t="str">
        <f>IF(Q415="","",Q415/MAX(Q$5:Q415)-1)</f>
        <v/>
      </c>
      <c r="T415" s="13">
        <f>IF(OR('实盘净值数据(iFinD）'!$A415="",'实盘净值数据(iFinD）'!$B415="",'实盘净值数据(iFinD）'!$Z415="",'实盘净值数据(iFinD）'!$AA415="",'实盘净值数据(iFinD）'!$AB415="",'实盘净值数据(iFinD）'!$AL415=""),"",(SUMPRODUCT(分期持仓明细!$B$26:$Y$26,'实盘净值数据(iFinD）'!$B415:$Y415/'实盘净值数据(iFinD）'!$B$69:$Y$69)+SUMPRODUCT(分期持仓明细!$AC$26:$AD$26,'实盘净值数据(iFinD）'!$Z415:$AA415/'实盘净值数据(iFinD）'!$Z$69:$AA$69)+SUMPRODUCT(分期持仓明细!$AE$26:$AO$26,'实盘净值数据(iFinD）'!$AB415:$AL415/'实盘净值数据(iFinD）'!$AB$69:$AL$69))*(1-实盘持仓初始配置!$Z$10)^(('实盘净值数据(iFinD）'!$A415-'实盘净值数据(iFinD）'!$A$69)/365))</f>
        <v/>
      </c>
      <c r="U415" s="16">
        <f>IF(OR(T414="",T415=""),"",T415/T414-1)</f>
        <v/>
      </c>
      <c r="V415" s="16">
        <f>IF(T415="","",T415/MAX(T$5:T415)-1)</f>
        <v/>
      </c>
    </row>
    <row r="416" spans="1:19">
      <c r="A416" s="15" t="str">
        <f>IF('实盘净值数据(iFinD）'!A416="","",'实盘净值数据(iFinD）'!A416)</f>
        <v/>
      </c>
      <c r="B416" s="13" t="str">
        <f>IF(OR('实盘净值数据(iFinD）'!$A416="",'实盘净值数据(iFinD）'!$B416=""),"",分期持仓明细!$AB$17*SUMPRODUCT(分期持仓明细!$B$17:$Y$17,'实盘净值数据(iFinD）'!$B416:$Y416/'实盘净值数据(iFinD）'!$B$20:$Y$20)*(1-实盘持仓初始配置!$Z$4)^(('实盘净值数据(iFinD）'!$A416-'实盘净值数据(iFinD）'!$A$6)/365))</f>
        <v/>
      </c>
      <c r="C416" s="16" t="str">
        <f t="shared" si="36"/>
        <v/>
      </c>
      <c r="D416" s="16" t="str">
        <f>IF(B416="","",B416/MAX(B$5:B416)-1)</f>
        <v/>
      </c>
      <c r="E416" s="13" t="str">
        <f>IF(OR('实盘净值数据(iFinD）'!$A416="",'实盘净值数据(iFinD）'!$B416=""),"",分期持仓明细!$AB$18*SUMPRODUCT(分期持仓明细!$B$18:$Y$18,'实盘净值数据(iFinD）'!$B416:$Y416/'实盘净值数据(iFinD）'!$B$20:$Y$20)*(1-实盘持仓初始配置!$Z$5)^(('实盘净值数据(iFinD）'!$A416-'实盘净值数据(iFinD）'!$A$5)/365))</f>
        <v/>
      </c>
      <c r="F416" s="16" t="str">
        <f t="shared" si="37"/>
        <v/>
      </c>
      <c r="G416" s="16" t="str">
        <f>IF(E416="","",E416/MAX(E$5:E416)-1)</f>
        <v/>
      </c>
      <c r="H416" s="13" t="str">
        <f>IF(OR('实盘净值数据(iFinD）'!$A416="",'实盘净值数据(iFinD）'!$B416=""),"",分期持仓明细!$AB$19*SUMPRODUCT(分期持仓明细!$B$19:$Y$19,'实盘净值数据(iFinD）'!$B416:$Y416/'实盘净值数据(iFinD）'!$B$20:$Y$20)*(1-实盘持仓初始配置!$Z$6)^(('实盘净值数据(iFinD）'!$A416-'实盘净值数据(iFinD）'!$A$7)/365))</f>
        <v/>
      </c>
      <c r="I416" s="16" t="str">
        <f t="shared" si="38"/>
        <v/>
      </c>
      <c r="J416" s="16" t="str">
        <f>IF(H416="","",H416/MAX(H$5:H416)-1)</f>
        <v/>
      </c>
      <c r="K416" s="13" t="str">
        <f>IF(OR('实盘净值数据(iFinD）'!$A416="",'实盘净值数据(iFinD）'!$B416="",'实盘净值数据(iFinD）'!$Z416="",'实盘净值数据(iFinD）'!$AA416=""),"",分期持仓明细!$AB$23*(SUMPRODUCT(分期持仓明细!$B$23:$Y$23,'实盘净值数据(iFinD）'!$B416:$Y416/'实盘净值数据(iFinD）'!$B$65:$Y$65)+SUMPRODUCT(分期持仓明细!$AC$23:$AD$23,'实盘净值数据(iFinD）'!$Z416:$AA416/'实盘净值数据(iFinD）'!$Z$65:$AA$65))*(1-实盘持仓初始配置!$Z$7)^(('实盘净值数据(iFinD）'!$A416-'实盘净值数据(iFinD）'!$A$8)/365))</f>
        <v/>
      </c>
      <c r="L416" s="16" t="str">
        <f t="shared" si="39"/>
        <v/>
      </c>
      <c r="M416" s="16" t="str">
        <f>IF(K416="","",K416/MAX(K$5:K416)-1)</f>
        <v/>
      </c>
      <c r="N416" s="13" t="str">
        <f>IF(OR('实盘净值数据(iFinD）'!$A416="",'实盘净值数据(iFinD）'!$B416="",'实盘净值数据(iFinD）'!$Z416="",'实盘净值数据(iFinD）'!$AA416=""),"",分期持仓明细!$AB$24*(SUMPRODUCT(分期持仓明细!$B$24:$Y$24,'实盘净值数据(iFinD）'!$B416:$Y416/'实盘净值数据(iFinD）'!$B$65:$Y$65)+SUMPRODUCT(分期持仓明细!$AC$24:$AD$24,'实盘净值数据(iFinD）'!$Z416:$AA416/'实盘净值数据(iFinD）'!$Z$65:$AA$65))*(1-实盘持仓初始配置!$Z$8)^(('实盘净值数据(iFinD）'!$A416-'实盘净值数据(iFinD）'!$A$5)/365))</f>
        <v/>
      </c>
      <c r="O416" s="16" t="str">
        <f t="shared" si="40"/>
        <v/>
      </c>
      <c r="P416" s="16" t="str">
        <f>IF(N416="","",N416/MAX(N$5:N416)-1)</f>
        <v/>
      </c>
      <c r="Q416" s="13" t="str">
        <f>IF(OR('实盘净值数据(iFinD）'!$A416="",'实盘净值数据(iFinD）'!$B416="",'实盘净值数据(iFinD）'!$Z416="",'实盘净值数据(iFinD）'!$AA416=""),"",分期持仓明细!$AB$25*(SUMPRODUCT(分期持仓明细!$B$25:$Y$25,'实盘净值数据(iFinD）'!$B416:$Y416/'实盘净值数据(iFinD）'!$B$65:$Y$65)+SUMPRODUCT(分期持仓明细!$AC$25:$AD$25,'实盘净值数据(iFinD）'!$Z416:$AA416/'实盘净值数据(iFinD）'!$Z$65:$AA$65))*(1-实盘持仓初始配置!$Z$9)^(('实盘净值数据(iFinD）'!$A416-'实盘净值数据(iFinD）'!$A$8)/365))</f>
        <v/>
      </c>
      <c r="R416" s="16" t="str">
        <f t="shared" si="41"/>
        <v/>
      </c>
      <c r="S416" s="16" t="str">
        <f>IF(Q416="","",Q416/MAX(Q$5:Q416)-1)</f>
        <v/>
      </c>
      <c r="T416" s="13">
        <f>IF(OR('实盘净值数据(iFinD）'!$A416="",'实盘净值数据(iFinD）'!$B416="",'实盘净值数据(iFinD）'!$Z416="",'实盘净值数据(iFinD）'!$AA416="",'实盘净值数据(iFinD）'!$AB416="",'实盘净值数据(iFinD）'!$AL416=""),"",(SUMPRODUCT(分期持仓明细!$B$26:$Y$26,'实盘净值数据(iFinD）'!$B416:$Y416/'实盘净值数据(iFinD）'!$B$69:$Y$69)+SUMPRODUCT(分期持仓明细!$AC$26:$AD$26,'实盘净值数据(iFinD）'!$Z416:$AA416/'实盘净值数据(iFinD）'!$Z$69:$AA$69)+SUMPRODUCT(分期持仓明细!$AE$26:$AO$26,'实盘净值数据(iFinD）'!$AB416:$AL416/'实盘净值数据(iFinD）'!$AB$69:$AL$69))*(1-实盘持仓初始配置!$Z$10)^(('实盘净值数据(iFinD）'!$A416-'实盘净值数据(iFinD）'!$A$69)/365))</f>
        <v/>
      </c>
      <c r="U416" s="16">
        <f>IF(OR(T415="",T416=""),"",T416/T415-1)</f>
        <v/>
      </c>
      <c r="V416" s="16">
        <f>IF(T416="","",T416/MAX(T$5:T416)-1)</f>
        <v/>
      </c>
    </row>
    <row r="417" spans="1:19">
      <c r="A417" s="15" t="str">
        <f>IF('实盘净值数据(iFinD）'!A417="","",'实盘净值数据(iFinD）'!A417)</f>
        <v/>
      </c>
      <c r="B417" s="13" t="str">
        <f>IF(OR('实盘净值数据(iFinD）'!$A417="",'实盘净值数据(iFinD）'!$B417=""),"",分期持仓明细!$AB$17*SUMPRODUCT(分期持仓明细!$B$17:$Y$17,'实盘净值数据(iFinD）'!$B417:$Y417/'实盘净值数据(iFinD）'!$B$20:$Y$20)*(1-实盘持仓初始配置!$Z$4)^(('实盘净值数据(iFinD）'!$A417-'实盘净值数据(iFinD）'!$A$6)/365))</f>
        <v/>
      </c>
      <c r="C417" s="16" t="str">
        <f t="shared" si="36"/>
        <v/>
      </c>
      <c r="D417" s="16" t="str">
        <f>IF(B417="","",B417/MAX(B$5:B417)-1)</f>
        <v/>
      </c>
      <c r="E417" s="13" t="str">
        <f>IF(OR('实盘净值数据(iFinD）'!$A417="",'实盘净值数据(iFinD）'!$B417=""),"",分期持仓明细!$AB$18*SUMPRODUCT(分期持仓明细!$B$18:$Y$18,'实盘净值数据(iFinD）'!$B417:$Y417/'实盘净值数据(iFinD）'!$B$20:$Y$20)*(1-实盘持仓初始配置!$Z$5)^(('实盘净值数据(iFinD）'!$A417-'实盘净值数据(iFinD）'!$A$5)/365))</f>
        <v/>
      </c>
      <c r="F417" s="16" t="str">
        <f t="shared" si="37"/>
        <v/>
      </c>
      <c r="G417" s="16" t="str">
        <f>IF(E417="","",E417/MAX(E$5:E417)-1)</f>
        <v/>
      </c>
      <c r="H417" s="13" t="str">
        <f>IF(OR('实盘净值数据(iFinD）'!$A417="",'实盘净值数据(iFinD）'!$B417=""),"",分期持仓明细!$AB$19*SUMPRODUCT(分期持仓明细!$B$19:$Y$19,'实盘净值数据(iFinD）'!$B417:$Y417/'实盘净值数据(iFinD）'!$B$20:$Y$20)*(1-实盘持仓初始配置!$Z$6)^(('实盘净值数据(iFinD）'!$A417-'实盘净值数据(iFinD）'!$A$7)/365))</f>
        <v/>
      </c>
      <c r="I417" s="16" t="str">
        <f t="shared" si="38"/>
        <v/>
      </c>
      <c r="J417" s="16" t="str">
        <f>IF(H417="","",H417/MAX(H$5:H417)-1)</f>
        <v/>
      </c>
      <c r="K417" s="13" t="str">
        <f>IF(OR('实盘净值数据(iFinD）'!$A417="",'实盘净值数据(iFinD）'!$B417="",'实盘净值数据(iFinD）'!$Z417="",'实盘净值数据(iFinD）'!$AA417=""),"",分期持仓明细!$AB$23*(SUMPRODUCT(分期持仓明细!$B$23:$Y$23,'实盘净值数据(iFinD）'!$B417:$Y417/'实盘净值数据(iFinD）'!$B$65:$Y$65)+SUMPRODUCT(分期持仓明细!$AC$23:$AD$23,'实盘净值数据(iFinD）'!$Z417:$AA417/'实盘净值数据(iFinD）'!$Z$65:$AA$65))*(1-实盘持仓初始配置!$Z$7)^(('实盘净值数据(iFinD）'!$A417-'实盘净值数据(iFinD）'!$A$8)/365))</f>
        <v/>
      </c>
      <c r="L417" s="16" t="str">
        <f t="shared" si="39"/>
        <v/>
      </c>
      <c r="M417" s="16" t="str">
        <f>IF(K417="","",K417/MAX(K$5:K417)-1)</f>
        <v/>
      </c>
      <c r="N417" s="13" t="str">
        <f>IF(OR('实盘净值数据(iFinD）'!$A417="",'实盘净值数据(iFinD）'!$B417="",'实盘净值数据(iFinD）'!$Z417="",'实盘净值数据(iFinD）'!$AA417=""),"",分期持仓明细!$AB$24*(SUMPRODUCT(分期持仓明细!$B$24:$Y$24,'实盘净值数据(iFinD）'!$B417:$Y417/'实盘净值数据(iFinD）'!$B$65:$Y$65)+SUMPRODUCT(分期持仓明细!$AC$24:$AD$24,'实盘净值数据(iFinD）'!$Z417:$AA417/'实盘净值数据(iFinD）'!$Z$65:$AA$65))*(1-实盘持仓初始配置!$Z$8)^(('实盘净值数据(iFinD）'!$A417-'实盘净值数据(iFinD）'!$A$5)/365))</f>
        <v/>
      </c>
      <c r="O417" s="16" t="str">
        <f t="shared" si="40"/>
        <v/>
      </c>
      <c r="P417" s="16" t="str">
        <f>IF(N417="","",N417/MAX(N$5:N417)-1)</f>
        <v/>
      </c>
      <c r="Q417" s="13" t="str">
        <f>IF(OR('实盘净值数据(iFinD）'!$A417="",'实盘净值数据(iFinD）'!$B417="",'实盘净值数据(iFinD）'!$Z417="",'实盘净值数据(iFinD）'!$AA417=""),"",分期持仓明细!$AB$25*(SUMPRODUCT(分期持仓明细!$B$25:$Y$25,'实盘净值数据(iFinD）'!$B417:$Y417/'实盘净值数据(iFinD）'!$B$65:$Y$65)+SUMPRODUCT(分期持仓明细!$AC$25:$AD$25,'实盘净值数据(iFinD）'!$Z417:$AA417/'实盘净值数据(iFinD）'!$Z$65:$AA$65))*(1-实盘持仓初始配置!$Z$9)^(('实盘净值数据(iFinD）'!$A417-'实盘净值数据(iFinD）'!$A$8)/365))</f>
        <v/>
      </c>
      <c r="R417" s="16" t="str">
        <f t="shared" si="41"/>
        <v/>
      </c>
      <c r="S417" s="16" t="str">
        <f>IF(Q417="","",Q417/MAX(Q$5:Q417)-1)</f>
        <v/>
      </c>
      <c r="T417" s="13">
        <f>IF(OR('实盘净值数据(iFinD）'!$A417="",'实盘净值数据(iFinD）'!$B417="",'实盘净值数据(iFinD）'!$Z417="",'实盘净值数据(iFinD）'!$AA417="",'实盘净值数据(iFinD）'!$AB417="",'实盘净值数据(iFinD）'!$AL417=""),"",(SUMPRODUCT(分期持仓明细!$B$26:$Y$26,'实盘净值数据(iFinD）'!$B417:$Y417/'实盘净值数据(iFinD）'!$B$69:$Y$69)+SUMPRODUCT(分期持仓明细!$AC$26:$AD$26,'实盘净值数据(iFinD）'!$Z417:$AA417/'实盘净值数据(iFinD）'!$Z$69:$AA$69)+SUMPRODUCT(分期持仓明细!$AE$26:$AO$26,'实盘净值数据(iFinD）'!$AB417:$AL417/'实盘净值数据(iFinD）'!$AB$69:$AL$69))*(1-实盘持仓初始配置!$Z$10)^(('实盘净值数据(iFinD）'!$A417-'实盘净值数据(iFinD）'!$A$69)/365))</f>
        <v/>
      </c>
      <c r="U417" s="16">
        <f>IF(OR(T416="",T417=""),"",T417/T416-1)</f>
        <v/>
      </c>
      <c r="V417" s="16">
        <f>IF(T417="","",T417/MAX(T$5:T417)-1)</f>
        <v/>
      </c>
    </row>
    <row r="418" spans="1:19">
      <c r="A418" s="15" t="str">
        <f>IF('实盘净值数据(iFinD）'!A418="","",'实盘净值数据(iFinD）'!A418)</f>
        <v/>
      </c>
      <c r="B418" s="13" t="str">
        <f>IF(OR('实盘净值数据(iFinD）'!$A418="",'实盘净值数据(iFinD）'!$B418=""),"",分期持仓明细!$AB$17*SUMPRODUCT(分期持仓明细!$B$17:$Y$17,'实盘净值数据(iFinD）'!$B418:$Y418/'实盘净值数据(iFinD）'!$B$20:$Y$20)*(1-实盘持仓初始配置!$Z$4)^(('实盘净值数据(iFinD）'!$A418-'实盘净值数据(iFinD）'!$A$6)/365))</f>
        <v/>
      </c>
      <c r="C418" s="16" t="str">
        <f t="shared" si="36"/>
        <v/>
      </c>
      <c r="D418" s="16" t="str">
        <f>IF(B418="","",B418/MAX(B$5:B418)-1)</f>
        <v/>
      </c>
      <c r="E418" s="13" t="str">
        <f>IF(OR('实盘净值数据(iFinD）'!$A418="",'实盘净值数据(iFinD）'!$B418=""),"",分期持仓明细!$AB$18*SUMPRODUCT(分期持仓明细!$B$18:$Y$18,'实盘净值数据(iFinD）'!$B418:$Y418/'实盘净值数据(iFinD）'!$B$20:$Y$20)*(1-实盘持仓初始配置!$Z$5)^(('实盘净值数据(iFinD）'!$A418-'实盘净值数据(iFinD）'!$A$5)/365))</f>
        <v/>
      </c>
      <c r="F418" s="16" t="str">
        <f t="shared" si="37"/>
        <v/>
      </c>
      <c r="G418" s="16" t="str">
        <f>IF(E418="","",E418/MAX(E$5:E418)-1)</f>
        <v/>
      </c>
      <c r="H418" s="13" t="str">
        <f>IF(OR('实盘净值数据(iFinD）'!$A418="",'实盘净值数据(iFinD）'!$B418=""),"",分期持仓明细!$AB$19*SUMPRODUCT(分期持仓明细!$B$19:$Y$19,'实盘净值数据(iFinD）'!$B418:$Y418/'实盘净值数据(iFinD）'!$B$20:$Y$20)*(1-实盘持仓初始配置!$Z$6)^(('实盘净值数据(iFinD）'!$A418-'实盘净值数据(iFinD）'!$A$7)/365))</f>
        <v/>
      </c>
      <c r="I418" s="16" t="str">
        <f t="shared" si="38"/>
        <v/>
      </c>
      <c r="J418" s="16" t="str">
        <f>IF(H418="","",H418/MAX(H$5:H418)-1)</f>
        <v/>
      </c>
      <c r="K418" s="13" t="str">
        <f>IF(OR('实盘净值数据(iFinD）'!$A418="",'实盘净值数据(iFinD）'!$B418="",'实盘净值数据(iFinD）'!$Z418="",'实盘净值数据(iFinD）'!$AA418=""),"",分期持仓明细!$AB$23*(SUMPRODUCT(分期持仓明细!$B$23:$Y$23,'实盘净值数据(iFinD）'!$B418:$Y418/'实盘净值数据(iFinD）'!$B$65:$Y$65)+SUMPRODUCT(分期持仓明细!$AC$23:$AD$23,'实盘净值数据(iFinD）'!$Z418:$AA418/'实盘净值数据(iFinD）'!$Z$65:$AA$65))*(1-实盘持仓初始配置!$Z$7)^(('实盘净值数据(iFinD）'!$A418-'实盘净值数据(iFinD）'!$A$8)/365))</f>
        <v/>
      </c>
      <c r="L418" s="16" t="str">
        <f t="shared" si="39"/>
        <v/>
      </c>
      <c r="M418" s="16" t="str">
        <f>IF(K418="","",K418/MAX(K$5:K418)-1)</f>
        <v/>
      </c>
      <c r="N418" s="13" t="str">
        <f>IF(OR('实盘净值数据(iFinD）'!$A418="",'实盘净值数据(iFinD）'!$B418="",'实盘净值数据(iFinD）'!$Z418="",'实盘净值数据(iFinD）'!$AA418=""),"",分期持仓明细!$AB$24*(SUMPRODUCT(分期持仓明细!$B$24:$Y$24,'实盘净值数据(iFinD）'!$B418:$Y418/'实盘净值数据(iFinD）'!$B$65:$Y$65)+SUMPRODUCT(分期持仓明细!$AC$24:$AD$24,'实盘净值数据(iFinD）'!$Z418:$AA418/'实盘净值数据(iFinD）'!$Z$65:$AA$65))*(1-实盘持仓初始配置!$Z$8)^(('实盘净值数据(iFinD）'!$A418-'实盘净值数据(iFinD）'!$A$5)/365))</f>
        <v/>
      </c>
      <c r="O418" s="16" t="str">
        <f t="shared" si="40"/>
        <v/>
      </c>
      <c r="P418" s="16" t="str">
        <f>IF(N418="","",N418/MAX(N$5:N418)-1)</f>
        <v/>
      </c>
      <c r="Q418" s="13" t="str">
        <f>IF(OR('实盘净值数据(iFinD）'!$A418="",'实盘净值数据(iFinD）'!$B418="",'实盘净值数据(iFinD）'!$Z418="",'实盘净值数据(iFinD）'!$AA418=""),"",分期持仓明细!$AB$25*(SUMPRODUCT(分期持仓明细!$B$25:$Y$25,'实盘净值数据(iFinD）'!$B418:$Y418/'实盘净值数据(iFinD）'!$B$65:$Y$65)+SUMPRODUCT(分期持仓明细!$AC$25:$AD$25,'实盘净值数据(iFinD）'!$Z418:$AA418/'实盘净值数据(iFinD）'!$Z$65:$AA$65))*(1-实盘持仓初始配置!$Z$9)^(('实盘净值数据(iFinD）'!$A418-'实盘净值数据(iFinD）'!$A$8)/365))</f>
        <v/>
      </c>
      <c r="R418" s="16" t="str">
        <f t="shared" si="41"/>
        <v/>
      </c>
      <c r="S418" s="16" t="str">
        <f>IF(Q418="","",Q418/MAX(Q$5:Q418)-1)</f>
        <v/>
      </c>
      <c r="T418" s="13">
        <f>IF(OR('实盘净值数据(iFinD）'!$A418="",'实盘净值数据(iFinD）'!$B418="",'实盘净值数据(iFinD）'!$Z418="",'实盘净值数据(iFinD）'!$AA418="",'实盘净值数据(iFinD）'!$AB418="",'实盘净值数据(iFinD）'!$AL418=""),"",(SUMPRODUCT(分期持仓明细!$B$26:$Y$26,'实盘净值数据(iFinD）'!$B418:$Y418/'实盘净值数据(iFinD）'!$B$69:$Y$69)+SUMPRODUCT(分期持仓明细!$AC$26:$AD$26,'实盘净值数据(iFinD）'!$Z418:$AA418/'实盘净值数据(iFinD）'!$Z$69:$AA$69)+SUMPRODUCT(分期持仓明细!$AE$26:$AO$26,'实盘净值数据(iFinD）'!$AB418:$AL418/'实盘净值数据(iFinD）'!$AB$69:$AL$69))*(1-实盘持仓初始配置!$Z$10)^(('实盘净值数据(iFinD）'!$A418-'实盘净值数据(iFinD）'!$A$69)/365))</f>
        <v/>
      </c>
      <c r="U418" s="16">
        <f>IF(OR(T417="",T418=""),"",T418/T417-1)</f>
        <v/>
      </c>
      <c r="V418" s="16">
        <f>IF(T418="","",T418/MAX(T$5:T418)-1)</f>
        <v/>
      </c>
    </row>
    <row r="419" spans="1:19">
      <c r="A419" s="15" t="str">
        <f>IF('实盘净值数据(iFinD）'!A419="","",'实盘净值数据(iFinD）'!A419)</f>
        <v/>
      </c>
      <c r="B419" s="13" t="str">
        <f>IF(OR('实盘净值数据(iFinD）'!$A419="",'实盘净值数据(iFinD）'!$B419=""),"",分期持仓明细!$AB$17*SUMPRODUCT(分期持仓明细!$B$17:$Y$17,'实盘净值数据(iFinD）'!$B419:$Y419/'实盘净值数据(iFinD）'!$B$20:$Y$20)*(1-实盘持仓初始配置!$Z$4)^(('实盘净值数据(iFinD）'!$A419-'实盘净值数据(iFinD）'!$A$6)/365))</f>
        <v/>
      </c>
      <c r="C419" s="16" t="str">
        <f t="shared" si="36"/>
        <v/>
      </c>
      <c r="D419" s="16" t="str">
        <f>IF(B419="","",B419/MAX(B$5:B419)-1)</f>
        <v/>
      </c>
      <c r="E419" s="13" t="str">
        <f>IF(OR('实盘净值数据(iFinD）'!$A419="",'实盘净值数据(iFinD）'!$B419=""),"",分期持仓明细!$AB$18*SUMPRODUCT(分期持仓明细!$B$18:$Y$18,'实盘净值数据(iFinD）'!$B419:$Y419/'实盘净值数据(iFinD）'!$B$20:$Y$20)*(1-实盘持仓初始配置!$Z$5)^(('实盘净值数据(iFinD）'!$A419-'实盘净值数据(iFinD）'!$A$5)/365))</f>
        <v/>
      </c>
      <c r="F419" s="16" t="str">
        <f t="shared" si="37"/>
        <v/>
      </c>
      <c r="G419" s="16" t="str">
        <f>IF(E419="","",E419/MAX(E$5:E419)-1)</f>
        <v/>
      </c>
      <c r="H419" s="13" t="str">
        <f>IF(OR('实盘净值数据(iFinD）'!$A419="",'实盘净值数据(iFinD）'!$B419=""),"",分期持仓明细!$AB$19*SUMPRODUCT(分期持仓明细!$B$19:$Y$19,'实盘净值数据(iFinD）'!$B419:$Y419/'实盘净值数据(iFinD）'!$B$20:$Y$20)*(1-实盘持仓初始配置!$Z$6)^(('实盘净值数据(iFinD）'!$A419-'实盘净值数据(iFinD）'!$A$7)/365))</f>
        <v/>
      </c>
      <c r="I419" s="16" t="str">
        <f t="shared" si="38"/>
        <v/>
      </c>
      <c r="J419" s="16" t="str">
        <f>IF(H419="","",H419/MAX(H$5:H419)-1)</f>
        <v/>
      </c>
      <c r="K419" s="13" t="str">
        <f>IF(OR('实盘净值数据(iFinD）'!$A419="",'实盘净值数据(iFinD）'!$B419="",'实盘净值数据(iFinD）'!$Z419="",'实盘净值数据(iFinD）'!$AA419=""),"",分期持仓明细!$AB$23*(SUMPRODUCT(分期持仓明细!$B$23:$Y$23,'实盘净值数据(iFinD）'!$B419:$Y419/'实盘净值数据(iFinD）'!$B$65:$Y$65)+SUMPRODUCT(分期持仓明细!$AC$23:$AD$23,'实盘净值数据(iFinD）'!$Z419:$AA419/'实盘净值数据(iFinD）'!$Z$65:$AA$65))*(1-实盘持仓初始配置!$Z$7)^(('实盘净值数据(iFinD）'!$A419-'实盘净值数据(iFinD）'!$A$8)/365))</f>
        <v/>
      </c>
      <c r="L419" s="16" t="str">
        <f t="shared" si="39"/>
        <v/>
      </c>
      <c r="M419" s="16" t="str">
        <f>IF(K419="","",K419/MAX(K$5:K419)-1)</f>
        <v/>
      </c>
      <c r="N419" s="13" t="str">
        <f>IF(OR('实盘净值数据(iFinD）'!$A419="",'实盘净值数据(iFinD）'!$B419="",'实盘净值数据(iFinD）'!$Z419="",'实盘净值数据(iFinD）'!$AA419=""),"",分期持仓明细!$AB$24*(SUMPRODUCT(分期持仓明细!$B$24:$Y$24,'实盘净值数据(iFinD）'!$B419:$Y419/'实盘净值数据(iFinD）'!$B$65:$Y$65)+SUMPRODUCT(分期持仓明细!$AC$24:$AD$24,'实盘净值数据(iFinD）'!$Z419:$AA419/'实盘净值数据(iFinD）'!$Z$65:$AA$65))*(1-实盘持仓初始配置!$Z$8)^(('实盘净值数据(iFinD）'!$A419-'实盘净值数据(iFinD）'!$A$5)/365))</f>
        <v/>
      </c>
      <c r="O419" s="16" t="str">
        <f t="shared" si="40"/>
        <v/>
      </c>
      <c r="P419" s="16" t="str">
        <f>IF(N419="","",N419/MAX(N$5:N419)-1)</f>
        <v/>
      </c>
      <c r="Q419" s="13" t="str">
        <f>IF(OR('实盘净值数据(iFinD）'!$A419="",'实盘净值数据(iFinD）'!$B419="",'实盘净值数据(iFinD）'!$Z419="",'实盘净值数据(iFinD）'!$AA419=""),"",分期持仓明细!$AB$25*(SUMPRODUCT(分期持仓明细!$B$25:$Y$25,'实盘净值数据(iFinD）'!$B419:$Y419/'实盘净值数据(iFinD）'!$B$65:$Y$65)+SUMPRODUCT(分期持仓明细!$AC$25:$AD$25,'实盘净值数据(iFinD）'!$Z419:$AA419/'实盘净值数据(iFinD）'!$Z$65:$AA$65))*(1-实盘持仓初始配置!$Z$9)^(('实盘净值数据(iFinD）'!$A419-'实盘净值数据(iFinD）'!$A$8)/365))</f>
        <v/>
      </c>
      <c r="R419" s="16" t="str">
        <f t="shared" si="41"/>
        <v/>
      </c>
      <c r="S419" s="16" t="str">
        <f>IF(Q419="","",Q419/MAX(Q$5:Q419)-1)</f>
        <v/>
      </c>
      <c r="T419" s="13">
        <f>IF(OR('实盘净值数据(iFinD）'!$A419="",'实盘净值数据(iFinD）'!$B419="",'实盘净值数据(iFinD）'!$Z419="",'实盘净值数据(iFinD）'!$AA419="",'实盘净值数据(iFinD）'!$AB419="",'实盘净值数据(iFinD）'!$AL419=""),"",(SUMPRODUCT(分期持仓明细!$B$26:$Y$26,'实盘净值数据(iFinD）'!$B419:$Y419/'实盘净值数据(iFinD）'!$B$69:$Y$69)+SUMPRODUCT(分期持仓明细!$AC$26:$AD$26,'实盘净值数据(iFinD）'!$Z419:$AA419/'实盘净值数据(iFinD）'!$Z$69:$AA$69)+SUMPRODUCT(分期持仓明细!$AE$26:$AO$26,'实盘净值数据(iFinD）'!$AB419:$AL419/'实盘净值数据(iFinD）'!$AB$69:$AL$69))*(1-实盘持仓初始配置!$Z$10)^(('实盘净值数据(iFinD）'!$A419-'实盘净值数据(iFinD）'!$A$69)/365))</f>
        <v/>
      </c>
      <c r="U419" s="16">
        <f>IF(OR(T418="",T419=""),"",T419/T418-1)</f>
        <v/>
      </c>
      <c r="V419" s="16">
        <f>IF(T419="","",T419/MAX(T$5:T419)-1)</f>
        <v/>
      </c>
    </row>
    <row r="420" spans="1:19">
      <c r="A420" s="15" t="str">
        <f>IF('实盘净值数据(iFinD）'!A420="","",'实盘净值数据(iFinD）'!A420)</f>
        <v/>
      </c>
      <c r="B420" s="13" t="str">
        <f>IF(OR('实盘净值数据(iFinD）'!$A420="",'实盘净值数据(iFinD）'!$B420=""),"",分期持仓明细!$AB$17*SUMPRODUCT(分期持仓明细!$B$17:$Y$17,'实盘净值数据(iFinD）'!$B420:$Y420/'实盘净值数据(iFinD）'!$B$20:$Y$20)*(1-实盘持仓初始配置!$Z$4)^(('实盘净值数据(iFinD）'!$A420-'实盘净值数据(iFinD）'!$A$6)/365))</f>
        <v/>
      </c>
      <c r="C420" s="16" t="str">
        <f t="shared" si="36"/>
        <v/>
      </c>
      <c r="D420" s="16" t="str">
        <f>IF(B420="","",B420/MAX(B$5:B420)-1)</f>
        <v/>
      </c>
      <c r="E420" s="13" t="str">
        <f>IF(OR('实盘净值数据(iFinD）'!$A420="",'实盘净值数据(iFinD）'!$B420=""),"",分期持仓明细!$AB$18*SUMPRODUCT(分期持仓明细!$B$18:$Y$18,'实盘净值数据(iFinD）'!$B420:$Y420/'实盘净值数据(iFinD）'!$B$20:$Y$20)*(1-实盘持仓初始配置!$Z$5)^(('实盘净值数据(iFinD）'!$A420-'实盘净值数据(iFinD）'!$A$5)/365))</f>
        <v/>
      </c>
      <c r="F420" s="16" t="str">
        <f t="shared" si="37"/>
        <v/>
      </c>
      <c r="G420" s="16" t="str">
        <f>IF(E420="","",E420/MAX(E$5:E420)-1)</f>
        <v/>
      </c>
      <c r="H420" s="13" t="str">
        <f>IF(OR('实盘净值数据(iFinD）'!$A420="",'实盘净值数据(iFinD）'!$B420=""),"",分期持仓明细!$AB$19*SUMPRODUCT(分期持仓明细!$B$19:$Y$19,'实盘净值数据(iFinD）'!$B420:$Y420/'实盘净值数据(iFinD）'!$B$20:$Y$20)*(1-实盘持仓初始配置!$Z$6)^(('实盘净值数据(iFinD）'!$A420-'实盘净值数据(iFinD）'!$A$7)/365))</f>
        <v/>
      </c>
      <c r="I420" s="16" t="str">
        <f t="shared" si="38"/>
        <v/>
      </c>
      <c r="J420" s="16" t="str">
        <f>IF(H420="","",H420/MAX(H$5:H420)-1)</f>
        <v/>
      </c>
      <c r="K420" s="13" t="str">
        <f>IF(OR('实盘净值数据(iFinD）'!$A420="",'实盘净值数据(iFinD）'!$B420="",'实盘净值数据(iFinD）'!$Z420="",'实盘净值数据(iFinD）'!$AA420=""),"",分期持仓明细!$AB$23*(SUMPRODUCT(分期持仓明细!$B$23:$Y$23,'实盘净值数据(iFinD）'!$B420:$Y420/'实盘净值数据(iFinD）'!$B$65:$Y$65)+SUMPRODUCT(分期持仓明细!$AC$23:$AD$23,'实盘净值数据(iFinD）'!$Z420:$AA420/'实盘净值数据(iFinD）'!$Z$65:$AA$65))*(1-实盘持仓初始配置!$Z$7)^(('实盘净值数据(iFinD）'!$A420-'实盘净值数据(iFinD）'!$A$8)/365))</f>
        <v/>
      </c>
      <c r="L420" s="16" t="str">
        <f t="shared" si="39"/>
        <v/>
      </c>
      <c r="M420" s="16" t="str">
        <f>IF(K420="","",K420/MAX(K$5:K420)-1)</f>
        <v/>
      </c>
      <c r="N420" s="13" t="str">
        <f>IF(OR('实盘净值数据(iFinD）'!$A420="",'实盘净值数据(iFinD）'!$B420="",'实盘净值数据(iFinD）'!$Z420="",'实盘净值数据(iFinD）'!$AA420=""),"",分期持仓明细!$AB$24*(SUMPRODUCT(分期持仓明细!$B$24:$Y$24,'实盘净值数据(iFinD）'!$B420:$Y420/'实盘净值数据(iFinD）'!$B$65:$Y$65)+SUMPRODUCT(分期持仓明细!$AC$24:$AD$24,'实盘净值数据(iFinD）'!$Z420:$AA420/'实盘净值数据(iFinD）'!$Z$65:$AA$65))*(1-实盘持仓初始配置!$Z$8)^(('实盘净值数据(iFinD）'!$A420-'实盘净值数据(iFinD）'!$A$5)/365))</f>
        <v/>
      </c>
      <c r="O420" s="16" t="str">
        <f t="shared" si="40"/>
        <v/>
      </c>
      <c r="P420" s="16" t="str">
        <f>IF(N420="","",N420/MAX(N$5:N420)-1)</f>
        <v/>
      </c>
      <c r="Q420" s="13" t="str">
        <f>IF(OR('实盘净值数据(iFinD）'!$A420="",'实盘净值数据(iFinD）'!$B420="",'实盘净值数据(iFinD）'!$Z420="",'实盘净值数据(iFinD）'!$AA420=""),"",分期持仓明细!$AB$25*(SUMPRODUCT(分期持仓明细!$B$25:$Y$25,'实盘净值数据(iFinD）'!$B420:$Y420/'实盘净值数据(iFinD）'!$B$65:$Y$65)+SUMPRODUCT(分期持仓明细!$AC$25:$AD$25,'实盘净值数据(iFinD）'!$Z420:$AA420/'实盘净值数据(iFinD）'!$Z$65:$AA$65))*(1-实盘持仓初始配置!$Z$9)^(('实盘净值数据(iFinD）'!$A420-'实盘净值数据(iFinD）'!$A$8)/365))</f>
        <v/>
      </c>
      <c r="R420" s="16" t="str">
        <f t="shared" si="41"/>
        <v/>
      </c>
      <c r="S420" s="16" t="str">
        <f>IF(Q420="","",Q420/MAX(Q$5:Q420)-1)</f>
        <v/>
      </c>
      <c r="T420" s="13">
        <f>IF(OR('实盘净值数据(iFinD）'!$A420="",'实盘净值数据(iFinD）'!$B420="",'实盘净值数据(iFinD）'!$Z420="",'实盘净值数据(iFinD）'!$AA420="",'实盘净值数据(iFinD）'!$AB420="",'实盘净值数据(iFinD）'!$AL420=""),"",(SUMPRODUCT(分期持仓明细!$B$26:$Y$26,'实盘净值数据(iFinD）'!$B420:$Y420/'实盘净值数据(iFinD）'!$B$69:$Y$69)+SUMPRODUCT(分期持仓明细!$AC$26:$AD$26,'实盘净值数据(iFinD）'!$Z420:$AA420/'实盘净值数据(iFinD）'!$Z$69:$AA$69)+SUMPRODUCT(分期持仓明细!$AE$26:$AO$26,'实盘净值数据(iFinD）'!$AB420:$AL420/'实盘净值数据(iFinD）'!$AB$69:$AL$69))*(1-实盘持仓初始配置!$Z$10)^(('实盘净值数据(iFinD）'!$A420-'实盘净值数据(iFinD）'!$A$69)/365))</f>
        <v/>
      </c>
      <c r="U420" s="16">
        <f>IF(OR(T419="",T420=""),"",T420/T419-1)</f>
        <v/>
      </c>
      <c r="V420" s="16">
        <f>IF(T420="","",T420/MAX(T$5:T420)-1)</f>
        <v/>
      </c>
    </row>
    <row r="421" spans="1:19">
      <c r="A421" s="15" t="str">
        <f>IF('实盘净值数据(iFinD）'!A421="","",'实盘净值数据(iFinD）'!A421)</f>
        <v/>
      </c>
      <c r="B421" s="13" t="str">
        <f>IF(OR('实盘净值数据(iFinD）'!$A421="",'实盘净值数据(iFinD）'!$B421=""),"",分期持仓明细!$AB$17*SUMPRODUCT(分期持仓明细!$B$17:$Y$17,'实盘净值数据(iFinD）'!$B421:$Y421/'实盘净值数据(iFinD）'!$B$20:$Y$20)*(1-实盘持仓初始配置!$Z$4)^(('实盘净值数据(iFinD）'!$A421-'实盘净值数据(iFinD）'!$A$6)/365))</f>
        <v/>
      </c>
      <c r="C421" s="16" t="str">
        <f t="shared" si="36"/>
        <v/>
      </c>
      <c r="D421" s="16" t="str">
        <f>IF(B421="","",B421/MAX(B$5:B421)-1)</f>
        <v/>
      </c>
      <c r="E421" s="13" t="str">
        <f>IF(OR('实盘净值数据(iFinD）'!$A421="",'实盘净值数据(iFinD）'!$B421=""),"",分期持仓明细!$AB$18*SUMPRODUCT(分期持仓明细!$B$18:$Y$18,'实盘净值数据(iFinD）'!$B421:$Y421/'实盘净值数据(iFinD）'!$B$20:$Y$20)*(1-实盘持仓初始配置!$Z$5)^(('实盘净值数据(iFinD）'!$A421-'实盘净值数据(iFinD）'!$A$5)/365))</f>
        <v/>
      </c>
      <c r="F421" s="16" t="str">
        <f t="shared" si="37"/>
        <v/>
      </c>
      <c r="G421" s="16" t="str">
        <f>IF(E421="","",E421/MAX(E$5:E421)-1)</f>
        <v/>
      </c>
      <c r="H421" s="13" t="str">
        <f>IF(OR('实盘净值数据(iFinD）'!$A421="",'实盘净值数据(iFinD）'!$B421=""),"",分期持仓明细!$AB$19*SUMPRODUCT(分期持仓明细!$B$19:$Y$19,'实盘净值数据(iFinD）'!$B421:$Y421/'实盘净值数据(iFinD）'!$B$20:$Y$20)*(1-实盘持仓初始配置!$Z$6)^(('实盘净值数据(iFinD）'!$A421-'实盘净值数据(iFinD）'!$A$7)/365))</f>
        <v/>
      </c>
      <c r="I421" s="16" t="str">
        <f t="shared" si="38"/>
        <v/>
      </c>
      <c r="J421" s="16" t="str">
        <f>IF(H421="","",H421/MAX(H$5:H421)-1)</f>
        <v/>
      </c>
      <c r="K421" s="13" t="str">
        <f>IF(OR('实盘净值数据(iFinD）'!$A421="",'实盘净值数据(iFinD）'!$B421="",'实盘净值数据(iFinD）'!$Z421="",'实盘净值数据(iFinD）'!$AA421=""),"",分期持仓明细!$AB$23*(SUMPRODUCT(分期持仓明细!$B$23:$Y$23,'实盘净值数据(iFinD）'!$B421:$Y421/'实盘净值数据(iFinD）'!$B$65:$Y$65)+SUMPRODUCT(分期持仓明细!$AC$23:$AD$23,'实盘净值数据(iFinD）'!$Z421:$AA421/'实盘净值数据(iFinD）'!$Z$65:$AA$65))*(1-实盘持仓初始配置!$Z$7)^(('实盘净值数据(iFinD）'!$A421-'实盘净值数据(iFinD）'!$A$8)/365))</f>
        <v/>
      </c>
      <c r="L421" s="16" t="str">
        <f t="shared" si="39"/>
        <v/>
      </c>
      <c r="M421" s="16" t="str">
        <f>IF(K421="","",K421/MAX(K$5:K421)-1)</f>
        <v/>
      </c>
      <c r="N421" s="13" t="str">
        <f>IF(OR('实盘净值数据(iFinD）'!$A421="",'实盘净值数据(iFinD）'!$B421="",'实盘净值数据(iFinD）'!$Z421="",'实盘净值数据(iFinD）'!$AA421=""),"",分期持仓明细!$AB$24*(SUMPRODUCT(分期持仓明细!$B$24:$Y$24,'实盘净值数据(iFinD）'!$B421:$Y421/'实盘净值数据(iFinD）'!$B$65:$Y$65)+SUMPRODUCT(分期持仓明细!$AC$24:$AD$24,'实盘净值数据(iFinD）'!$Z421:$AA421/'实盘净值数据(iFinD）'!$Z$65:$AA$65))*(1-实盘持仓初始配置!$Z$8)^(('实盘净值数据(iFinD）'!$A421-'实盘净值数据(iFinD）'!$A$5)/365))</f>
        <v/>
      </c>
      <c r="O421" s="16" t="str">
        <f t="shared" si="40"/>
        <v/>
      </c>
      <c r="P421" s="16" t="str">
        <f>IF(N421="","",N421/MAX(N$5:N421)-1)</f>
        <v/>
      </c>
      <c r="Q421" s="13" t="str">
        <f>IF(OR('实盘净值数据(iFinD）'!$A421="",'实盘净值数据(iFinD）'!$B421="",'实盘净值数据(iFinD）'!$Z421="",'实盘净值数据(iFinD）'!$AA421=""),"",分期持仓明细!$AB$25*(SUMPRODUCT(分期持仓明细!$B$25:$Y$25,'实盘净值数据(iFinD）'!$B421:$Y421/'实盘净值数据(iFinD）'!$B$65:$Y$65)+SUMPRODUCT(分期持仓明细!$AC$25:$AD$25,'实盘净值数据(iFinD）'!$Z421:$AA421/'实盘净值数据(iFinD）'!$Z$65:$AA$65))*(1-实盘持仓初始配置!$Z$9)^(('实盘净值数据(iFinD）'!$A421-'实盘净值数据(iFinD）'!$A$8)/365))</f>
        <v/>
      </c>
      <c r="R421" s="16" t="str">
        <f t="shared" si="41"/>
        <v/>
      </c>
      <c r="S421" s="16" t="str">
        <f>IF(Q421="","",Q421/MAX(Q$5:Q421)-1)</f>
        <v/>
      </c>
      <c r="T421" s="13">
        <f>IF(OR('实盘净值数据(iFinD）'!$A421="",'实盘净值数据(iFinD）'!$B421="",'实盘净值数据(iFinD）'!$Z421="",'实盘净值数据(iFinD）'!$AA421="",'实盘净值数据(iFinD）'!$AB421="",'实盘净值数据(iFinD）'!$AL421=""),"",(SUMPRODUCT(分期持仓明细!$B$26:$Y$26,'实盘净值数据(iFinD）'!$B421:$Y421/'实盘净值数据(iFinD）'!$B$69:$Y$69)+SUMPRODUCT(分期持仓明细!$AC$26:$AD$26,'实盘净值数据(iFinD）'!$Z421:$AA421/'实盘净值数据(iFinD）'!$Z$69:$AA$69)+SUMPRODUCT(分期持仓明细!$AE$26:$AO$26,'实盘净值数据(iFinD）'!$AB421:$AL421/'实盘净值数据(iFinD）'!$AB$69:$AL$69))*(1-实盘持仓初始配置!$Z$10)^(('实盘净值数据(iFinD）'!$A421-'实盘净值数据(iFinD）'!$A$69)/365))</f>
        <v/>
      </c>
      <c r="U421" s="16">
        <f>IF(OR(T420="",T421=""),"",T421/T420-1)</f>
        <v/>
      </c>
      <c r="V421" s="16">
        <f>IF(T421="","",T421/MAX(T$5:T421)-1)</f>
        <v/>
      </c>
    </row>
    <row r="422" spans="1:19">
      <c r="A422" s="15" t="str">
        <f>IF('实盘净值数据(iFinD）'!A422="","",'实盘净值数据(iFinD）'!A422)</f>
        <v/>
      </c>
      <c r="B422" s="13" t="str">
        <f>IF(OR('实盘净值数据(iFinD）'!$A422="",'实盘净值数据(iFinD）'!$B422=""),"",分期持仓明细!$AB$17*SUMPRODUCT(分期持仓明细!$B$17:$Y$17,'实盘净值数据(iFinD）'!$B422:$Y422/'实盘净值数据(iFinD）'!$B$20:$Y$20)*(1-实盘持仓初始配置!$Z$4)^(('实盘净值数据(iFinD）'!$A422-'实盘净值数据(iFinD）'!$A$6)/365))</f>
        <v/>
      </c>
      <c r="C422" s="16" t="str">
        <f t="shared" si="36"/>
        <v/>
      </c>
      <c r="D422" s="16" t="str">
        <f>IF(B422="","",B422/MAX(B$5:B422)-1)</f>
        <v/>
      </c>
      <c r="E422" s="13" t="str">
        <f>IF(OR('实盘净值数据(iFinD）'!$A422="",'实盘净值数据(iFinD）'!$B422=""),"",分期持仓明细!$AB$18*SUMPRODUCT(分期持仓明细!$B$18:$Y$18,'实盘净值数据(iFinD）'!$B422:$Y422/'实盘净值数据(iFinD）'!$B$20:$Y$20)*(1-实盘持仓初始配置!$Z$5)^(('实盘净值数据(iFinD）'!$A422-'实盘净值数据(iFinD）'!$A$5)/365))</f>
        <v/>
      </c>
      <c r="F422" s="16" t="str">
        <f t="shared" si="37"/>
        <v/>
      </c>
      <c r="G422" s="16" t="str">
        <f>IF(E422="","",E422/MAX(E$5:E422)-1)</f>
        <v/>
      </c>
      <c r="H422" s="13" t="str">
        <f>IF(OR('实盘净值数据(iFinD）'!$A422="",'实盘净值数据(iFinD）'!$B422=""),"",分期持仓明细!$AB$19*SUMPRODUCT(分期持仓明细!$B$19:$Y$19,'实盘净值数据(iFinD）'!$B422:$Y422/'实盘净值数据(iFinD）'!$B$20:$Y$20)*(1-实盘持仓初始配置!$Z$6)^(('实盘净值数据(iFinD）'!$A422-'实盘净值数据(iFinD）'!$A$7)/365))</f>
        <v/>
      </c>
      <c r="I422" s="16" t="str">
        <f t="shared" si="38"/>
        <v/>
      </c>
      <c r="J422" s="16" t="str">
        <f>IF(H422="","",H422/MAX(H$5:H422)-1)</f>
        <v/>
      </c>
      <c r="K422" s="13" t="str">
        <f>IF(OR('实盘净值数据(iFinD）'!$A422="",'实盘净值数据(iFinD）'!$B422="",'实盘净值数据(iFinD）'!$Z422="",'实盘净值数据(iFinD）'!$AA422=""),"",分期持仓明细!$AB$23*(SUMPRODUCT(分期持仓明细!$B$23:$Y$23,'实盘净值数据(iFinD）'!$B422:$Y422/'实盘净值数据(iFinD）'!$B$65:$Y$65)+SUMPRODUCT(分期持仓明细!$AC$23:$AD$23,'实盘净值数据(iFinD）'!$Z422:$AA422/'实盘净值数据(iFinD）'!$Z$65:$AA$65))*(1-实盘持仓初始配置!$Z$7)^(('实盘净值数据(iFinD）'!$A422-'实盘净值数据(iFinD）'!$A$8)/365))</f>
        <v/>
      </c>
      <c r="L422" s="16" t="str">
        <f t="shared" si="39"/>
        <v/>
      </c>
      <c r="M422" s="16" t="str">
        <f>IF(K422="","",K422/MAX(K$5:K422)-1)</f>
        <v/>
      </c>
      <c r="N422" s="13" t="str">
        <f>IF(OR('实盘净值数据(iFinD）'!$A422="",'实盘净值数据(iFinD）'!$B422="",'实盘净值数据(iFinD）'!$Z422="",'实盘净值数据(iFinD）'!$AA422=""),"",分期持仓明细!$AB$24*(SUMPRODUCT(分期持仓明细!$B$24:$Y$24,'实盘净值数据(iFinD）'!$B422:$Y422/'实盘净值数据(iFinD）'!$B$65:$Y$65)+SUMPRODUCT(分期持仓明细!$AC$24:$AD$24,'实盘净值数据(iFinD）'!$Z422:$AA422/'实盘净值数据(iFinD）'!$Z$65:$AA$65))*(1-实盘持仓初始配置!$Z$8)^(('实盘净值数据(iFinD）'!$A422-'实盘净值数据(iFinD）'!$A$5)/365))</f>
        <v/>
      </c>
      <c r="O422" s="16" t="str">
        <f t="shared" si="40"/>
        <v/>
      </c>
      <c r="P422" s="16" t="str">
        <f>IF(N422="","",N422/MAX(N$5:N422)-1)</f>
        <v/>
      </c>
      <c r="Q422" s="13" t="str">
        <f>IF(OR('实盘净值数据(iFinD）'!$A422="",'实盘净值数据(iFinD）'!$B422="",'实盘净值数据(iFinD）'!$Z422="",'实盘净值数据(iFinD）'!$AA422=""),"",分期持仓明细!$AB$25*(SUMPRODUCT(分期持仓明细!$B$25:$Y$25,'实盘净值数据(iFinD）'!$B422:$Y422/'实盘净值数据(iFinD）'!$B$65:$Y$65)+SUMPRODUCT(分期持仓明细!$AC$25:$AD$25,'实盘净值数据(iFinD）'!$Z422:$AA422/'实盘净值数据(iFinD）'!$Z$65:$AA$65))*(1-实盘持仓初始配置!$Z$9)^(('实盘净值数据(iFinD）'!$A422-'实盘净值数据(iFinD）'!$A$8)/365))</f>
        <v/>
      </c>
      <c r="R422" s="16" t="str">
        <f t="shared" si="41"/>
        <v/>
      </c>
      <c r="S422" s="16" t="str">
        <f>IF(Q422="","",Q422/MAX(Q$5:Q422)-1)</f>
        <v/>
      </c>
      <c r="T422" s="13">
        <f>IF(OR('实盘净值数据(iFinD）'!$A422="",'实盘净值数据(iFinD）'!$B422="",'实盘净值数据(iFinD）'!$Z422="",'实盘净值数据(iFinD）'!$AA422="",'实盘净值数据(iFinD）'!$AB422="",'实盘净值数据(iFinD）'!$AL422=""),"",(SUMPRODUCT(分期持仓明细!$B$26:$Y$26,'实盘净值数据(iFinD）'!$B422:$Y422/'实盘净值数据(iFinD）'!$B$69:$Y$69)+SUMPRODUCT(分期持仓明细!$AC$26:$AD$26,'实盘净值数据(iFinD）'!$Z422:$AA422/'实盘净值数据(iFinD）'!$Z$69:$AA$69)+SUMPRODUCT(分期持仓明细!$AE$26:$AO$26,'实盘净值数据(iFinD）'!$AB422:$AL422/'实盘净值数据(iFinD）'!$AB$69:$AL$69))*(1-实盘持仓初始配置!$Z$10)^(('实盘净值数据(iFinD）'!$A422-'实盘净值数据(iFinD）'!$A$69)/365))</f>
        <v/>
      </c>
      <c r="U422" s="16">
        <f>IF(OR(T421="",T422=""),"",T422/T421-1)</f>
        <v/>
      </c>
      <c r="V422" s="16">
        <f>IF(T422="","",T422/MAX(T$5:T422)-1)</f>
        <v/>
      </c>
    </row>
    <row r="423" spans="1:19">
      <c r="A423" s="15" t="str">
        <f>IF('实盘净值数据(iFinD）'!A423="","",'实盘净值数据(iFinD）'!A423)</f>
        <v/>
      </c>
      <c r="B423" s="13" t="str">
        <f>IF(OR('实盘净值数据(iFinD）'!$A423="",'实盘净值数据(iFinD）'!$B423=""),"",分期持仓明细!$AB$17*SUMPRODUCT(分期持仓明细!$B$17:$Y$17,'实盘净值数据(iFinD）'!$B423:$Y423/'实盘净值数据(iFinD）'!$B$20:$Y$20)*(1-实盘持仓初始配置!$Z$4)^(('实盘净值数据(iFinD）'!$A423-'实盘净值数据(iFinD）'!$A$6)/365))</f>
        <v/>
      </c>
      <c r="C423" s="16" t="str">
        <f t="shared" si="36"/>
        <v/>
      </c>
      <c r="D423" s="16" t="str">
        <f>IF(B423="","",B423/MAX(B$5:B423)-1)</f>
        <v/>
      </c>
      <c r="E423" s="13" t="str">
        <f>IF(OR('实盘净值数据(iFinD）'!$A423="",'实盘净值数据(iFinD）'!$B423=""),"",分期持仓明细!$AB$18*SUMPRODUCT(分期持仓明细!$B$18:$Y$18,'实盘净值数据(iFinD）'!$B423:$Y423/'实盘净值数据(iFinD）'!$B$20:$Y$20)*(1-实盘持仓初始配置!$Z$5)^(('实盘净值数据(iFinD）'!$A423-'实盘净值数据(iFinD）'!$A$5)/365))</f>
        <v/>
      </c>
      <c r="F423" s="16" t="str">
        <f t="shared" si="37"/>
        <v/>
      </c>
      <c r="G423" s="16" t="str">
        <f>IF(E423="","",E423/MAX(E$5:E423)-1)</f>
        <v/>
      </c>
      <c r="H423" s="13" t="str">
        <f>IF(OR('实盘净值数据(iFinD）'!$A423="",'实盘净值数据(iFinD）'!$B423=""),"",分期持仓明细!$AB$19*SUMPRODUCT(分期持仓明细!$B$19:$Y$19,'实盘净值数据(iFinD）'!$B423:$Y423/'实盘净值数据(iFinD）'!$B$20:$Y$20)*(1-实盘持仓初始配置!$Z$6)^(('实盘净值数据(iFinD）'!$A423-'实盘净值数据(iFinD）'!$A$7)/365))</f>
        <v/>
      </c>
      <c r="I423" s="16" t="str">
        <f t="shared" si="38"/>
        <v/>
      </c>
      <c r="J423" s="16" t="str">
        <f>IF(H423="","",H423/MAX(H$5:H423)-1)</f>
        <v/>
      </c>
      <c r="K423" s="13" t="str">
        <f>IF(OR('实盘净值数据(iFinD）'!$A423="",'实盘净值数据(iFinD）'!$B423="",'实盘净值数据(iFinD）'!$Z423="",'实盘净值数据(iFinD）'!$AA423=""),"",分期持仓明细!$AB$23*(SUMPRODUCT(分期持仓明细!$B$23:$Y$23,'实盘净值数据(iFinD）'!$B423:$Y423/'实盘净值数据(iFinD）'!$B$65:$Y$65)+SUMPRODUCT(分期持仓明细!$AC$23:$AD$23,'实盘净值数据(iFinD）'!$Z423:$AA423/'实盘净值数据(iFinD）'!$Z$65:$AA$65))*(1-实盘持仓初始配置!$Z$7)^(('实盘净值数据(iFinD）'!$A423-'实盘净值数据(iFinD）'!$A$8)/365))</f>
        <v/>
      </c>
      <c r="L423" s="16" t="str">
        <f t="shared" si="39"/>
        <v/>
      </c>
      <c r="M423" s="16" t="str">
        <f>IF(K423="","",K423/MAX(K$5:K423)-1)</f>
        <v/>
      </c>
      <c r="N423" s="13" t="str">
        <f>IF(OR('实盘净值数据(iFinD）'!$A423="",'实盘净值数据(iFinD）'!$B423="",'实盘净值数据(iFinD）'!$Z423="",'实盘净值数据(iFinD）'!$AA423=""),"",分期持仓明细!$AB$24*(SUMPRODUCT(分期持仓明细!$B$24:$Y$24,'实盘净值数据(iFinD）'!$B423:$Y423/'实盘净值数据(iFinD）'!$B$65:$Y$65)+SUMPRODUCT(分期持仓明细!$AC$24:$AD$24,'实盘净值数据(iFinD）'!$Z423:$AA423/'实盘净值数据(iFinD）'!$Z$65:$AA$65))*(1-实盘持仓初始配置!$Z$8)^(('实盘净值数据(iFinD）'!$A423-'实盘净值数据(iFinD）'!$A$5)/365))</f>
        <v/>
      </c>
      <c r="O423" s="16" t="str">
        <f t="shared" si="40"/>
        <v/>
      </c>
      <c r="P423" s="16" t="str">
        <f>IF(N423="","",N423/MAX(N$5:N423)-1)</f>
        <v/>
      </c>
      <c r="Q423" s="13" t="str">
        <f>IF(OR('实盘净值数据(iFinD）'!$A423="",'实盘净值数据(iFinD）'!$B423="",'实盘净值数据(iFinD）'!$Z423="",'实盘净值数据(iFinD）'!$AA423=""),"",分期持仓明细!$AB$25*(SUMPRODUCT(分期持仓明细!$B$25:$Y$25,'实盘净值数据(iFinD）'!$B423:$Y423/'实盘净值数据(iFinD）'!$B$65:$Y$65)+SUMPRODUCT(分期持仓明细!$AC$25:$AD$25,'实盘净值数据(iFinD）'!$Z423:$AA423/'实盘净值数据(iFinD）'!$Z$65:$AA$65))*(1-实盘持仓初始配置!$Z$9)^(('实盘净值数据(iFinD）'!$A423-'实盘净值数据(iFinD）'!$A$8)/365))</f>
        <v/>
      </c>
      <c r="R423" s="16" t="str">
        <f t="shared" si="41"/>
        <v/>
      </c>
      <c r="S423" s="16" t="str">
        <f>IF(Q423="","",Q423/MAX(Q$5:Q423)-1)</f>
        <v/>
      </c>
      <c r="T423" s="13">
        <f>IF(OR('实盘净值数据(iFinD）'!$A423="",'实盘净值数据(iFinD）'!$B423="",'实盘净值数据(iFinD）'!$Z423="",'实盘净值数据(iFinD）'!$AA423="",'实盘净值数据(iFinD）'!$AB423="",'实盘净值数据(iFinD）'!$AL423=""),"",(SUMPRODUCT(分期持仓明细!$B$26:$Y$26,'实盘净值数据(iFinD）'!$B423:$Y423/'实盘净值数据(iFinD）'!$B$69:$Y$69)+SUMPRODUCT(分期持仓明细!$AC$26:$AD$26,'实盘净值数据(iFinD）'!$Z423:$AA423/'实盘净值数据(iFinD）'!$Z$69:$AA$69)+SUMPRODUCT(分期持仓明细!$AE$26:$AO$26,'实盘净值数据(iFinD）'!$AB423:$AL423/'实盘净值数据(iFinD）'!$AB$69:$AL$69))*(1-实盘持仓初始配置!$Z$10)^(('实盘净值数据(iFinD）'!$A423-'实盘净值数据(iFinD）'!$A$69)/365))</f>
        <v/>
      </c>
      <c r="U423" s="16">
        <f>IF(OR(T422="",T423=""),"",T423/T422-1)</f>
        <v/>
      </c>
      <c r="V423" s="16">
        <f>IF(T423="","",T423/MAX(T$5:T423)-1)</f>
        <v/>
      </c>
    </row>
    <row r="424" spans="1:19">
      <c r="A424" s="15" t="str">
        <f>IF('实盘净值数据(iFinD）'!A424="","",'实盘净值数据(iFinD）'!A424)</f>
        <v/>
      </c>
      <c r="B424" s="13" t="str">
        <f>IF(OR('实盘净值数据(iFinD）'!$A424="",'实盘净值数据(iFinD）'!$B424=""),"",分期持仓明细!$AB$17*SUMPRODUCT(分期持仓明细!$B$17:$Y$17,'实盘净值数据(iFinD）'!$B424:$Y424/'实盘净值数据(iFinD）'!$B$20:$Y$20)*(1-实盘持仓初始配置!$Z$4)^(('实盘净值数据(iFinD）'!$A424-'实盘净值数据(iFinD）'!$A$6)/365))</f>
        <v/>
      </c>
      <c r="C424" s="16" t="str">
        <f t="shared" si="36"/>
        <v/>
      </c>
      <c r="D424" s="16" t="str">
        <f>IF(B424="","",B424/MAX(B$5:B424)-1)</f>
        <v/>
      </c>
      <c r="E424" s="13" t="str">
        <f>IF(OR('实盘净值数据(iFinD）'!$A424="",'实盘净值数据(iFinD）'!$B424=""),"",分期持仓明细!$AB$18*SUMPRODUCT(分期持仓明细!$B$18:$Y$18,'实盘净值数据(iFinD）'!$B424:$Y424/'实盘净值数据(iFinD）'!$B$20:$Y$20)*(1-实盘持仓初始配置!$Z$5)^(('实盘净值数据(iFinD）'!$A424-'实盘净值数据(iFinD）'!$A$5)/365))</f>
        <v/>
      </c>
      <c r="F424" s="16" t="str">
        <f t="shared" si="37"/>
        <v/>
      </c>
      <c r="G424" s="16" t="str">
        <f>IF(E424="","",E424/MAX(E$5:E424)-1)</f>
        <v/>
      </c>
      <c r="H424" s="13" t="str">
        <f>IF(OR('实盘净值数据(iFinD）'!$A424="",'实盘净值数据(iFinD）'!$B424=""),"",分期持仓明细!$AB$19*SUMPRODUCT(分期持仓明细!$B$19:$Y$19,'实盘净值数据(iFinD）'!$B424:$Y424/'实盘净值数据(iFinD）'!$B$20:$Y$20)*(1-实盘持仓初始配置!$Z$6)^(('实盘净值数据(iFinD）'!$A424-'实盘净值数据(iFinD）'!$A$7)/365))</f>
        <v/>
      </c>
      <c r="I424" s="16" t="str">
        <f t="shared" si="38"/>
        <v/>
      </c>
      <c r="J424" s="16" t="str">
        <f>IF(H424="","",H424/MAX(H$5:H424)-1)</f>
        <v/>
      </c>
      <c r="K424" s="13" t="str">
        <f>IF(OR('实盘净值数据(iFinD）'!$A424="",'实盘净值数据(iFinD）'!$B424="",'实盘净值数据(iFinD）'!$Z424="",'实盘净值数据(iFinD）'!$AA424=""),"",分期持仓明细!$AB$23*(SUMPRODUCT(分期持仓明细!$B$23:$Y$23,'实盘净值数据(iFinD）'!$B424:$Y424/'实盘净值数据(iFinD）'!$B$65:$Y$65)+SUMPRODUCT(分期持仓明细!$AC$23:$AD$23,'实盘净值数据(iFinD）'!$Z424:$AA424/'实盘净值数据(iFinD）'!$Z$65:$AA$65))*(1-实盘持仓初始配置!$Z$7)^(('实盘净值数据(iFinD）'!$A424-'实盘净值数据(iFinD）'!$A$8)/365))</f>
        <v/>
      </c>
      <c r="L424" s="16" t="str">
        <f t="shared" si="39"/>
        <v/>
      </c>
      <c r="M424" s="16" t="str">
        <f>IF(K424="","",K424/MAX(K$5:K424)-1)</f>
        <v/>
      </c>
      <c r="N424" s="13" t="str">
        <f>IF(OR('实盘净值数据(iFinD）'!$A424="",'实盘净值数据(iFinD）'!$B424="",'实盘净值数据(iFinD）'!$Z424="",'实盘净值数据(iFinD）'!$AA424=""),"",分期持仓明细!$AB$24*(SUMPRODUCT(分期持仓明细!$B$24:$Y$24,'实盘净值数据(iFinD）'!$B424:$Y424/'实盘净值数据(iFinD）'!$B$65:$Y$65)+SUMPRODUCT(分期持仓明细!$AC$24:$AD$24,'实盘净值数据(iFinD）'!$Z424:$AA424/'实盘净值数据(iFinD）'!$Z$65:$AA$65))*(1-实盘持仓初始配置!$Z$8)^(('实盘净值数据(iFinD）'!$A424-'实盘净值数据(iFinD）'!$A$5)/365))</f>
        <v/>
      </c>
      <c r="O424" s="16" t="str">
        <f t="shared" si="40"/>
        <v/>
      </c>
      <c r="P424" s="16" t="str">
        <f>IF(N424="","",N424/MAX(N$5:N424)-1)</f>
        <v/>
      </c>
      <c r="Q424" s="13" t="str">
        <f>IF(OR('实盘净值数据(iFinD）'!$A424="",'实盘净值数据(iFinD）'!$B424="",'实盘净值数据(iFinD）'!$Z424="",'实盘净值数据(iFinD）'!$AA424=""),"",分期持仓明细!$AB$25*(SUMPRODUCT(分期持仓明细!$B$25:$Y$25,'实盘净值数据(iFinD）'!$B424:$Y424/'实盘净值数据(iFinD）'!$B$65:$Y$65)+SUMPRODUCT(分期持仓明细!$AC$25:$AD$25,'实盘净值数据(iFinD）'!$Z424:$AA424/'实盘净值数据(iFinD）'!$Z$65:$AA$65))*(1-实盘持仓初始配置!$Z$9)^(('实盘净值数据(iFinD）'!$A424-'实盘净值数据(iFinD）'!$A$8)/365))</f>
        <v/>
      </c>
      <c r="R424" s="16" t="str">
        <f t="shared" si="41"/>
        <v/>
      </c>
      <c r="S424" s="16" t="str">
        <f>IF(Q424="","",Q424/MAX(Q$5:Q424)-1)</f>
        <v/>
      </c>
      <c r="T424" s="13">
        <f>IF(OR('实盘净值数据(iFinD）'!$A424="",'实盘净值数据(iFinD）'!$B424="",'实盘净值数据(iFinD）'!$Z424="",'实盘净值数据(iFinD）'!$AA424="",'实盘净值数据(iFinD）'!$AB424="",'实盘净值数据(iFinD）'!$AL424=""),"",(SUMPRODUCT(分期持仓明细!$B$26:$Y$26,'实盘净值数据(iFinD）'!$B424:$Y424/'实盘净值数据(iFinD）'!$B$69:$Y$69)+SUMPRODUCT(分期持仓明细!$AC$26:$AD$26,'实盘净值数据(iFinD）'!$Z424:$AA424/'实盘净值数据(iFinD）'!$Z$69:$AA$69)+SUMPRODUCT(分期持仓明细!$AE$26:$AO$26,'实盘净值数据(iFinD）'!$AB424:$AL424/'实盘净值数据(iFinD）'!$AB$69:$AL$69))*(1-实盘持仓初始配置!$Z$10)^(('实盘净值数据(iFinD）'!$A424-'实盘净值数据(iFinD）'!$A$69)/365))</f>
        <v/>
      </c>
      <c r="U424" s="16">
        <f>IF(OR(T423="",T424=""),"",T424/T423-1)</f>
        <v/>
      </c>
      <c r="V424" s="16">
        <f>IF(T424="","",T424/MAX(T$5:T424)-1)</f>
        <v/>
      </c>
    </row>
    <row r="425" spans="1:19">
      <c r="A425" s="15" t="str">
        <f>IF('实盘净值数据(iFinD）'!A425="","",'实盘净值数据(iFinD）'!A425)</f>
        <v/>
      </c>
      <c r="B425" s="13" t="str">
        <f>IF(OR('实盘净值数据(iFinD）'!$A425="",'实盘净值数据(iFinD）'!$B425=""),"",分期持仓明细!$AB$17*SUMPRODUCT(分期持仓明细!$B$17:$Y$17,'实盘净值数据(iFinD）'!$B425:$Y425/'实盘净值数据(iFinD）'!$B$20:$Y$20)*(1-实盘持仓初始配置!$Z$4)^(('实盘净值数据(iFinD）'!$A425-'实盘净值数据(iFinD）'!$A$6)/365))</f>
        <v/>
      </c>
      <c r="C425" s="16" t="str">
        <f t="shared" si="36"/>
        <v/>
      </c>
      <c r="D425" s="16" t="str">
        <f>IF(B425="","",B425/MAX(B$5:B425)-1)</f>
        <v/>
      </c>
      <c r="E425" s="13" t="str">
        <f>IF(OR('实盘净值数据(iFinD）'!$A425="",'实盘净值数据(iFinD）'!$B425=""),"",分期持仓明细!$AB$18*SUMPRODUCT(分期持仓明细!$B$18:$Y$18,'实盘净值数据(iFinD）'!$B425:$Y425/'实盘净值数据(iFinD）'!$B$20:$Y$20)*(1-实盘持仓初始配置!$Z$5)^(('实盘净值数据(iFinD）'!$A425-'实盘净值数据(iFinD）'!$A$5)/365))</f>
        <v/>
      </c>
      <c r="F425" s="16" t="str">
        <f t="shared" si="37"/>
        <v/>
      </c>
      <c r="G425" s="16" t="str">
        <f>IF(E425="","",E425/MAX(E$5:E425)-1)</f>
        <v/>
      </c>
      <c r="H425" s="13" t="str">
        <f>IF(OR('实盘净值数据(iFinD）'!$A425="",'实盘净值数据(iFinD）'!$B425=""),"",分期持仓明细!$AB$19*SUMPRODUCT(分期持仓明细!$B$19:$Y$19,'实盘净值数据(iFinD）'!$B425:$Y425/'实盘净值数据(iFinD）'!$B$20:$Y$20)*(1-实盘持仓初始配置!$Z$6)^(('实盘净值数据(iFinD）'!$A425-'实盘净值数据(iFinD）'!$A$7)/365))</f>
        <v/>
      </c>
      <c r="I425" s="16" t="str">
        <f t="shared" si="38"/>
        <v/>
      </c>
      <c r="J425" s="16" t="str">
        <f>IF(H425="","",H425/MAX(H$5:H425)-1)</f>
        <v/>
      </c>
      <c r="K425" s="13" t="str">
        <f>IF(OR('实盘净值数据(iFinD）'!$A425="",'实盘净值数据(iFinD）'!$B425="",'实盘净值数据(iFinD）'!$Z425="",'实盘净值数据(iFinD）'!$AA425=""),"",分期持仓明细!$AB$23*(SUMPRODUCT(分期持仓明细!$B$23:$Y$23,'实盘净值数据(iFinD）'!$B425:$Y425/'实盘净值数据(iFinD）'!$B$65:$Y$65)+SUMPRODUCT(分期持仓明细!$AC$23:$AD$23,'实盘净值数据(iFinD）'!$Z425:$AA425/'实盘净值数据(iFinD）'!$Z$65:$AA$65))*(1-实盘持仓初始配置!$Z$7)^(('实盘净值数据(iFinD）'!$A425-'实盘净值数据(iFinD）'!$A$8)/365))</f>
        <v/>
      </c>
      <c r="L425" s="16" t="str">
        <f t="shared" si="39"/>
        <v/>
      </c>
      <c r="M425" s="16" t="str">
        <f>IF(K425="","",K425/MAX(K$5:K425)-1)</f>
        <v/>
      </c>
      <c r="N425" s="13" t="str">
        <f>IF(OR('实盘净值数据(iFinD）'!$A425="",'实盘净值数据(iFinD）'!$B425="",'实盘净值数据(iFinD）'!$Z425="",'实盘净值数据(iFinD）'!$AA425=""),"",分期持仓明细!$AB$24*(SUMPRODUCT(分期持仓明细!$B$24:$Y$24,'实盘净值数据(iFinD）'!$B425:$Y425/'实盘净值数据(iFinD）'!$B$65:$Y$65)+SUMPRODUCT(分期持仓明细!$AC$24:$AD$24,'实盘净值数据(iFinD）'!$Z425:$AA425/'实盘净值数据(iFinD）'!$Z$65:$AA$65))*(1-实盘持仓初始配置!$Z$8)^(('实盘净值数据(iFinD）'!$A425-'实盘净值数据(iFinD）'!$A$5)/365))</f>
        <v/>
      </c>
      <c r="O425" s="16" t="str">
        <f t="shared" si="40"/>
        <v/>
      </c>
      <c r="P425" s="16" t="str">
        <f>IF(N425="","",N425/MAX(N$5:N425)-1)</f>
        <v/>
      </c>
      <c r="Q425" s="13" t="str">
        <f>IF(OR('实盘净值数据(iFinD）'!$A425="",'实盘净值数据(iFinD）'!$B425="",'实盘净值数据(iFinD）'!$Z425="",'实盘净值数据(iFinD）'!$AA425=""),"",分期持仓明细!$AB$25*(SUMPRODUCT(分期持仓明细!$B$25:$Y$25,'实盘净值数据(iFinD）'!$B425:$Y425/'实盘净值数据(iFinD）'!$B$65:$Y$65)+SUMPRODUCT(分期持仓明细!$AC$25:$AD$25,'实盘净值数据(iFinD）'!$Z425:$AA425/'实盘净值数据(iFinD）'!$Z$65:$AA$65))*(1-实盘持仓初始配置!$Z$9)^(('实盘净值数据(iFinD）'!$A425-'实盘净值数据(iFinD）'!$A$8)/365))</f>
        <v/>
      </c>
      <c r="R425" s="16" t="str">
        <f t="shared" si="41"/>
        <v/>
      </c>
      <c r="S425" s="16" t="str">
        <f>IF(Q425="","",Q425/MAX(Q$5:Q425)-1)</f>
        <v/>
      </c>
      <c r="T425" s="13">
        <f>IF(OR('实盘净值数据(iFinD）'!$A425="",'实盘净值数据(iFinD）'!$B425="",'实盘净值数据(iFinD）'!$Z425="",'实盘净值数据(iFinD）'!$AA425="",'实盘净值数据(iFinD）'!$AB425="",'实盘净值数据(iFinD）'!$AL425=""),"",(SUMPRODUCT(分期持仓明细!$B$26:$Y$26,'实盘净值数据(iFinD）'!$B425:$Y425/'实盘净值数据(iFinD）'!$B$69:$Y$69)+SUMPRODUCT(分期持仓明细!$AC$26:$AD$26,'实盘净值数据(iFinD）'!$Z425:$AA425/'实盘净值数据(iFinD）'!$Z$69:$AA$69)+SUMPRODUCT(分期持仓明细!$AE$26:$AO$26,'实盘净值数据(iFinD）'!$AB425:$AL425/'实盘净值数据(iFinD）'!$AB$69:$AL$69))*(1-实盘持仓初始配置!$Z$10)^(('实盘净值数据(iFinD）'!$A425-'实盘净值数据(iFinD）'!$A$69)/365))</f>
        <v/>
      </c>
      <c r="U425" s="16">
        <f>IF(OR(T424="",T425=""),"",T425/T424-1)</f>
        <v/>
      </c>
      <c r="V425" s="16">
        <f>IF(T425="","",T425/MAX(T$5:T425)-1)</f>
        <v/>
      </c>
    </row>
    <row r="426" spans="1:19">
      <c r="A426" s="15" t="str">
        <f>IF('实盘净值数据(iFinD）'!A426="","",'实盘净值数据(iFinD）'!A426)</f>
        <v/>
      </c>
      <c r="B426" s="13" t="str">
        <f>IF(OR('实盘净值数据(iFinD）'!$A426="",'实盘净值数据(iFinD）'!$B426=""),"",分期持仓明细!$AB$17*SUMPRODUCT(分期持仓明细!$B$17:$Y$17,'实盘净值数据(iFinD）'!$B426:$Y426/'实盘净值数据(iFinD）'!$B$20:$Y$20)*(1-实盘持仓初始配置!$Z$4)^(('实盘净值数据(iFinD）'!$A426-'实盘净值数据(iFinD）'!$A$6)/365))</f>
        <v/>
      </c>
      <c r="C426" s="16" t="str">
        <f t="shared" si="36"/>
        <v/>
      </c>
      <c r="D426" s="16" t="str">
        <f>IF(B426="","",B426/MAX(B$5:B426)-1)</f>
        <v/>
      </c>
      <c r="E426" s="13" t="str">
        <f>IF(OR('实盘净值数据(iFinD）'!$A426="",'实盘净值数据(iFinD）'!$B426=""),"",分期持仓明细!$AB$18*SUMPRODUCT(分期持仓明细!$B$18:$Y$18,'实盘净值数据(iFinD）'!$B426:$Y426/'实盘净值数据(iFinD）'!$B$20:$Y$20)*(1-实盘持仓初始配置!$Z$5)^(('实盘净值数据(iFinD）'!$A426-'实盘净值数据(iFinD）'!$A$5)/365))</f>
        <v/>
      </c>
      <c r="F426" s="16" t="str">
        <f t="shared" si="37"/>
        <v/>
      </c>
      <c r="G426" s="16" t="str">
        <f>IF(E426="","",E426/MAX(E$5:E426)-1)</f>
        <v/>
      </c>
      <c r="H426" s="13" t="str">
        <f>IF(OR('实盘净值数据(iFinD）'!$A426="",'实盘净值数据(iFinD）'!$B426=""),"",分期持仓明细!$AB$19*SUMPRODUCT(分期持仓明细!$B$19:$Y$19,'实盘净值数据(iFinD）'!$B426:$Y426/'实盘净值数据(iFinD）'!$B$20:$Y$20)*(1-实盘持仓初始配置!$Z$6)^(('实盘净值数据(iFinD）'!$A426-'实盘净值数据(iFinD）'!$A$7)/365))</f>
        <v/>
      </c>
      <c r="I426" s="16" t="str">
        <f t="shared" si="38"/>
        <v/>
      </c>
      <c r="J426" s="16" t="str">
        <f>IF(H426="","",H426/MAX(H$5:H426)-1)</f>
        <v/>
      </c>
      <c r="K426" s="13" t="str">
        <f>IF(OR('实盘净值数据(iFinD）'!$A426="",'实盘净值数据(iFinD）'!$B426="",'实盘净值数据(iFinD）'!$Z426="",'实盘净值数据(iFinD）'!$AA426=""),"",分期持仓明细!$AB$23*(SUMPRODUCT(分期持仓明细!$B$23:$Y$23,'实盘净值数据(iFinD）'!$B426:$Y426/'实盘净值数据(iFinD）'!$B$65:$Y$65)+SUMPRODUCT(分期持仓明细!$AC$23:$AD$23,'实盘净值数据(iFinD）'!$Z426:$AA426/'实盘净值数据(iFinD）'!$Z$65:$AA$65))*(1-实盘持仓初始配置!$Z$7)^(('实盘净值数据(iFinD）'!$A426-'实盘净值数据(iFinD）'!$A$8)/365))</f>
        <v/>
      </c>
      <c r="L426" s="16" t="str">
        <f t="shared" si="39"/>
        <v/>
      </c>
      <c r="M426" s="16" t="str">
        <f>IF(K426="","",K426/MAX(K$5:K426)-1)</f>
        <v/>
      </c>
      <c r="N426" s="13" t="str">
        <f>IF(OR('实盘净值数据(iFinD）'!$A426="",'实盘净值数据(iFinD）'!$B426="",'实盘净值数据(iFinD）'!$Z426="",'实盘净值数据(iFinD）'!$AA426=""),"",分期持仓明细!$AB$24*(SUMPRODUCT(分期持仓明细!$B$24:$Y$24,'实盘净值数据(iFinD）'!$B426:$Y426/'实盘净值数据(iFinD）'!$B$65:$Y$65)+SUMPRODUCT(分期持仓明细!$AC$24:$AD$24,'实盘净值数据(iFinD）'!$Z426:$AA426/'实盘净值数据(iFinD）'!$Z$65:$AA$65))*(1-实盘持仓初始配置!$Z$8)^(('实盘净值数据(iFinD）'!$A426-'实盘净值数据(iFinD）'!$A$5)/365))</f>
        <v/>
      </c>
      <c r="O426" s="16" t="str">
        <f t="shared" si="40"/>
        <v/>
      </c>
      <c r="P426" s="16" t="str">
        <f>IF(N426="","",N426/MAX(N$5:N426)-1)</f>
        <v/>
      </c>
      <c r="Q426" s="13" t="str">
        <f>IF(OR('实盘净值数据(iFinD）'!$A426="",'实盘净值数据(iFinD）'!$B426="",'实盘净值数据(iFinD）'!$Z426="",'实盘净值数据(iFinD）'!$AA426=""),"",分期持仓明细!$AB$25*(SUMPRODUCT(分期持仓明细!$B$25:$Y$25,'实盘净值数据(iFinD）'!$B426:$Y426/'实盘净值数据(iFinD）'!$B$65:$Y$65)+SUMPRODUCT(分期持仓明细!$AC$25:$AD$25,'实盘净值数据(iFinD）'!$Z426:$AA426/'实盘净值数据(iFinD）'!$Z$65:$AA$65))*(1-实盘持仓初始配置!$Z$9)^(('实盘净值数据(iFinD）'!$A426-'实盘净值数据(iFinD）'!$A$8)/365))</f>
        <v/>
      </c>
      <c r="R426" s="16" t="str">
        <f t="shared" si="41"/>
        <v/>
      </c>
      <c r="S426" s="16" t="str">
        <f>IF(Q426="","",Q426/MAX(Q$5:Q426)-1)</f>
        <v/>
      </c>
      <c r="T426" s="13">
        <f>IF(OR('实盘净值数据(iFinD）'!$A426="",'实盘净值数据(iFinD）'!$B426="",'实盘净值数据(iFinD）'!$Z426="",'实盘净值数据(iFinD）'!$AA426="",'实盘净值数据(iFinD）'!$AB426="",'实盘净值数据(iFinD）'!$AL426=""),"",(SUMPRODUCT(分期持仓明细!$B$26:$Y$26,'实盘净值数据(iFinD）'!$B426:$Y426/'实盘净值数据(iFinD）'!$B$69:$Y$69)+SUMPRODUCT(分期持仓明细!$AC$26:$AD$26,'实盘净值数据(iFinD）'!$Z426:$AA426/'实盘净值数据(iFinD）'!$Z$69:$AA$69)+SUMPRODUCT(分期持仓明细!$AE$26:$AO$26,'实盘净值数据(iFinD）'!$AB426:$AL426/'实盘净值数据(iFinD）'!$AB$69:$AL$69))*(1-实盘持仓初始配置!$Z$10)^(('实盘净值数据(iFinD）'!$A426-'实盘净值数据(iFinD）'!$A$69)/365))</f>
        <v/>
      </c>
      <c r="U426" s="16">
        <f>IF(OR(T425="",T426=""),"",T426/T425-1)</f>
        <v/>
      </c>
      <c r="V426" s="16">
        <f>IF(T426="","",T426/MAX(T$5:T426)-1)</f>
        <v/>
      </c>
    </row>
    <row r="427" spans="1:19">
      <c r="A427" s="15" t="str">
        <f>IF('实盘净值数据(iFinD）'!A427="","",'实盘净值数据(iFinD）'!A427)</f>
        <v/>
      </c>
      <c r="B427" s="13" t="str">
        <f>IF(OR('实盘净值数据(iFinD）'!$A427="",'实盘净值数据(iFinD）'!$B427=""),"",分期持仓明细!$AB$17*SUMPRODUCT(分期持仓明细!$B$17:$Y$17,'实盘净值数据(iFinD）'!$B427:$Y427/'实盘净值数据(iFinD）'!$B$20:$Y$20)*(1-实盘持仓初始配置!$Z$4)^(('实盘净值数据(iFinD）'!$A427-'实盘净值数据(iFinD）'!$A$6)/365))</f>
        <v/>
      </c>
      <c r="C427" s="16" t="str">
        <f t="shared" si="36"/>
        <v/>
      </c>
      <c r="D427" s="16" t="str">
        <f>IF(B427="","",B427/MAX(B$5:B427)-1)</f>
        <v/>
      </c>
      <c r="E427" s="13" t="str">
        <f>IF(OR('实盘净值数据(iFinD）'!$A427="",'实盘净值数据(iFinD）'!$B427=""),"",分期持仓明细!$AB$18*SUMPRODUCT(分期持仓明细!$B$18:$Y$18,'实盘净值数据(iFinD）'!$B427:$Y427/'实盘净值数据(iFinD）'!$B$20:$Y$20)*(1-实盘持仓初始配置!$Z$5)^(('实盘净值数据(iFinD）'!$A427-'实盘净值数据(iFinD）'!$A$5)/365))</f>
        <v/>
      </c>
      <c r="F427" s="16" t="str">
        <f t="shared" si="37"/>
        <v/>
      </c>
      <c r="G427" s="16" t="str">
        <f>IF(E427="","",E427/MAX(E$5:E427)-1)</f>
        <v/>
      </c>
      <c r="H427" s="13" t="str">
        <f>IF(OR('实盘净值数据(iFinD）'!$A427="",'实盘净值数据(iFinD）'!$B427=""),"",分期持仓明细!$AB$19*SUMPRODUCT(分期持仓明细!$B$19:$Y$19,'实盘净值数据(iFinD）'!$B427:$Y427/'实盘净值数据(iFinD）'!$B$20:$Y$20)*(1-实盘持仓初始配置!$Z$6)^(('实盘净值数据(iFinD）'!$A427-'实盘净值数据(iFinD）'!$A$7)/365))</f>
        <v/>
      </c>
      <c r="I427" s="16" t="str">
        <f t="shared" si="38"/>
        <v/>
      </c>
      <c r="J427" s="16" t="str">
        <f>IF(H427="","",H427/MAX(H$5:H427)-1)</f>
        <v/>
      </c>
      <c r="K427" s="13" t="str">
        <f>IF(OR('实盘净值数据(iFinD）'!$A427="",'实盘净值数据(iFinD）'!$B427="",'实盘净值数据(iFinD）'!$Z427="",'实盘净值数据(iFinD）'!$AA427=""),"",分期持仓明细!$AB$23*(SUMPRODUCT(分期持仓明细!$B$23:$Y$23,'实盘净值数据(iFinD）'!$B427:$Y427/'实盘净值数据(iFinD）'!$B$65:$Y$65)+SUMPRODUCT(分期持仓明细!$AC$23:$AD$23,'实盘净值数据(iFinD）'!$Z427:$AA427/'实盘净值数据(iFinD）'!$Z$65:$AA$65))*(1-实盘持仓初始配置!$Z$7)^(('实盘净值数据(iFinD）'!$A427-'实盘净值数据(iFinD）'!$A$8)/365))</f>
        <v/>
      </c>
      <c r="L427" s="16" t="str">
        <f t="shared" si="39"/>
        <v/>
      </c>
      <c r="M427" s="16" t="str">
        <f>IF(K427="","",K427/MAX(K$5:K427)-1)</f>
        <v/>
      </c>
      <c r="N427" s="13" t="str">
        <f>IF(OR('实盘净值数据(iFinD）'!$A427="",'实盘净值数据(iFinD）'!$B427="",'实盘净值数据(iFinD）'!$Z427="",'实盘净值数据(iFinD）'!$AA427=""),"",分期持仓明细!$AB$24*(SUMPRODUCT(分期持仓明细!$B$24:$Y$24,'实盘净值数据(iFinD）'!$B427:$Y427/'实盘净值数据(iFinD）'!$B$65:$Y$65)+SUMPRODUCT(分期持仓明细!$AC$24:$AD$24,'实盘净值数据(iFinD）'!$Z427:$AA427/'实盘净值数据(iFinD）'!$Z$65:$AA$65))*(1-实盘持仓初始配置!$Z$8)^(('实盘净值数据(iFinD）'!$A427-'实盘净值数据(iFinD）'!$A$5)/365))</f>
        <v/>
      </c>
      <c r="O427" s="16" t="str">
        <f t="shared" si="40"/>
        <v/>
      </c>
      <c r="P427" s="16" t="str">
        <f>IF(N427="","",N427/MAX(N$5:N427)-1)</f>
        <v/>
      </c>
      <c r="Q427" s="13" t="str">
        <f>IF(OR('实盘净值数据(iFinD）'!$A427="",'实盘净值数据(iFinD）'!$B427="",'实盘净值数据(iFinD）'!$Z427="",'实盘净值数据(iFinD）'!$AA427=""),"",分期持仓明细!$AB$25*(SUMPRODUCT(分期持仓明细!$B$25:$Y$25,'实盘净值数据(iFinD）'!$B427:$Y427/'实盘净值数据(iFinD）'!$B$65:$Y$65)+SUMPRODUCT(分期持仓明细!$AC$25:$AD$25,'实盘净值数据(iFinD）'!$Z427:$AA427/'实盘净值数据(iFinD）'!$Z$65:$AA$65))*(1-实盘持仓初始配置!$Z$9)^(('实盘净值数据(iFinD）'!$A427-'实盘净值数据(iFinD）'!$A$8)/365))</f>
        <v/>
      </c>
      <c r="R427" s="16" t="str">
        <f t="shared" si="41"/>
        <v/>
      </c>
      <c r="S427" s="16" t="str">
        <f>IF(Q427="","",Q427/MAX(Q$5:Q427)-1)</f>
        <v/>
      </c>
      <c r="T427" s="13">
        <f>IF(OR('实盘净值数据(iFinD）'!$A427="",'实盘净值数据(iFinD）'!$B427="",'实盘净值数据(iFinD）'!$Z427="",'实盘净值数据(iFinD）'!$AA427="",'实盘净值数据(iFinD）'!$AB427="",'实盘净值数据(iFinD）'!$AL427=""),"",(SUMPRODUCT(分期持仓明细!$B$26:$Y$26,'实盘净值数据(iFinD）'!$B427:$Y427/'实盘净值数据(iFinD）'!$B$69:$Y$69)+SUMPRODUCT(分期持仓明细!$AC$26:$AD$26,'实盘净值数据(iFinD）'!$Z427:$AA427/'实盘净值数据(iFinD）'!$Z$69:$AA$69)+SUMPRODUCT(分期持仓明细!$AE$26:$AO$26,'实盘净值数据(iFinD）'!$AB427:$AL427/'实盘净值数据(iFinD）'!$AB$69:$AL$69))*(1-实盘持仓初始配置!$Z$10)^(('实盘净值数据(iFinD）'!$A427-'实盘净值数据(iFinD）'!$A$69)/365))</f>
        <v/>
      </c>
      <c r="U427" s="16">
        <f>IF(OR(T426="",T427=""),"",T427/T426-1)</f>
        <v/>
      </c>
      <c r="V427" s="16">
        <f>IF(T427="","",T427/MAX(T$5:T427)-1)</f>
        <v/>
      </c>
    </row>
    <row r="428" spans="1:19">
      <c r="A428" s="15" t="str">
        <f>IF('实盘净值数据(iFinD）'!A428="","",'实盘净值数据(iFinD）'!A428)</f>
        <v/>
      </c>
      <c r="B428" s="13" t="str">
        <f>IF(OR('实盘净值数据(iFinD）'!$A428="",'实盘净值数据(iFinD）'!$B428=""),"",分期持仓明细!$AB$17*SUMPRODUCT(分期持仓明细!$B$17:$Y$17,'实盘净值数据(iFinD）'!$B428:$Y428/'实盘净值数据(iFinD）'!$B$20:$Y$20)*(1-实盘持仓初始配置!$Z$4)^(('实盘净值数据(iFinD）'!$A428-'实盘净值数据(iFinD）'!$A$6)/365))</f>
        <v/>
      </c>
      <c r="C428" s="16" t="str">
        <f t="shared" si="36"/>
        <v/>
      </c>
      <c r="D428" s="16" t="str">
        <f>IF(B428="","",B428/MAX(B$5:B428)-1)</f>
        <v/>
      </c>
      <c r="E428" s="13" t="str">
        <f>IF(OR('实盘净值数据(iFinD）'!$A428="",'实盘净值数据(iFinD）'!$B428=""),"",分期持仓明细!$AB$18*SUMPRODUCT(分期持仓明细!$B$18:$Y$18,'实盘净值数据(iFinD）'!$B428:$Y428/'实盘净值数据(iFinD）'!$B$20:$Y$20)*(1-实盘持仓初始配置!$Z$5)^(('实盘净值数据(iFinD）'!$A428-'实盘净值数据(iFinD）'!$A$5)/365))</f>
        <v/>
      </c>
      <c r="F428" s="16" t="str">
        <f t="shared" si="37"/>
        <v/>
      </c>
      <c r="G428" s="16" t="str">
        <f>IF(E428="","",E428/MAX(E$5:E428)-1)</f>
        <v/>
      </c>
      <c r="H428" s="13" t="str">
        <f>IF(OR('实盘净值数据(iFinD）'!$A428="",'实盘净值数据(iFinD）'!$B428=""),"",分期持仓明细!$AB$19*SUMPRODUCT(分期持仓明细!$B$19:$Y$19,'实盘净值数据(iFinD）'!$B428:$Y428/'实盘净值数据(iFinD）'!$B$20:$Y$20)*(1-实盘持仓初始配置!$Z$6)^(('实盘净值数据(iFinD）'!$A428-'实盘净值数据(iFinD）'!$A$7)/365))</f>
        <v/>
      </c>
      <c r="I428" s="16" t="str">
        <f t="shared" si="38"/>
        <v/>
      </c>
      <c r="J428" s="16" t="str">
        <f>IF(H428="","",H428/MAX(H$5:H428)-1)</f>
        <v/>
      </c>
      <c r="K428" s="13" t="str">
        <f>IF(OR('实盘净值数据(iFinD）'!$A428="",'实盘净值数据(iFinD）'!$B428="",'实盘净值数据(iFinD）'!$Z428="",'实盘净值数据(iFinD）'!$AA428=""),"",分期持仓明细!$AB$23*(SUMPRODUCT(分期持仓明细!$B$23:$Y$23,'实盘净值数据(iFinD）'!$B428:$Y428/'实盘净值数据(iFinD）'!$B$65:$Y$65)+SUMPRODUCT(分期持仓明细!$AC$23:$AD$23,'实盘净值数据(iFinD）'!$Z428:$AA428/'实盘净值数据(iFinD）'!$Z$65:$AA$65))*(1-实盘持仓初始配置!$Z$7)^(('实盘净值数据(iFinD）'!$A428-'实盘净值数据(iFinD）'!$A$8)/365))</f>
        <v/>
      </c>
      <c r="L428" s="16" t="str">
        <f t="shared" si="39"/>
        <v/>
      </c>
      <c r="M428" s="16" t="str">
        <f>IF(K428="","",K428/MAX(K$5:K428)-1)</f>
        <v/>
      </c>
      <c r="N428" s="13" t="str">
        <f>IF(OR('实盘净值数据(iFinD）'!$A428="",'实盘净值数据(iFinD）'!$B428="",'实盘净值数据(iFinD）'!$Z428="",'实盘净值数据(iFinD）'!$AA428=""),"",分期持仓明细!$AB$24*(SUMPRODUCT(分期持仓明细!$B$24:$Y$24,'实盘净值数据(iFinD）'!$B428:$Y428/'实盘净值数据(iFinD）'!$B$65:$Y$65)+SUMPRODUCT(分期持仓明细!$AC$24:$AD$24,'实盘净值数据(iFinD）'!$Z428:$AA428/'实盘净值数据(iFinD）'!$Z$65:$AA$65))*(1-实盘持仓初始配置!$Z$8)^(('实盘净值数据(iFinD）'!$A428-'实盘净值数据(iFinD）'!$A$5)/365))</f>
        <v/>
      </c>
      <c r="O428" s="16" t="str">
        <f t="shared" si="40"/>
        <v/>
      </c>
      <c r="P428" s="16" t="str">
        <f>IF(N428="","",N428/MAX(N$5:N428)-1)</f>
        <v/>
      </c>
      <c r="Q428" s="13" t="str">
        <f>IF(OR('实盘净值数据(iFinD）'!$A428="",'实盘净值数据(iFinD）'!$B428="",'实盘净值数据(iFinD）'!$Z428="",'实盘净值数据(iFinD）'!$AA428=""),"",分期持仓明细!$AB$25*(SUMPRODUCT(分期持仓明细!$B$25:$Y$25,'实盘净值数据(iFinD）'!$B428:$Y428/'实盘净值数据(iFinD）'!$B$65:$Y$65)+SUMPRODUCT(分期持仓明细!$AC$25:$AD$25,'实盘净值数据(iFinD）'!$Z428:$AA428/'实盘净值数据(iFinD）'!$Z$65:$AA$65))*(1-实盘持仓初始配置!$Z$9)^(('实盘净值数据(iFinD）'!$A428-'实盘净值数据(iFinD）'!$A$8)/365))</f>
        <v/>
      </c>
      <c r="R428" s="16" t="str">
        <f t="shared" si="41"/>
        <v/>
      </c>
      <c r="S428" s="16" t="str">
        <f>IF(Q428="","",Q428/MAX(Q$5:Q428)-1)</f>
        <v/>
      </c>
      <c r="T428" s="13">
        <f>IF(OR('实盘净值数据(iFinD）'!$A428="",'实盘净值数据(iFinD）'!$B428="",'实盘净值数据(iFinD）'!$Z428="",'实盘净值数据(iFinD）'!$AA428="",'实盘净值数据(iFinD）'!$AB428="",'实盘净值数据(iFinD）'!$AL428=""),"",(SUMPRODUCT(分期持仓明细!$B$26:$Y$26,'实盘净值数据(iFinD）'!$B428:$Y428/'实盘净值数据(iFinD）'!$B$69:$Y$69)+SUMPRODUCT(分期持仓明细!$AC$26:$AD$26,'实盘净值数据(iFinD）'!$Z428:$AA428/'实盘净值数据(iFinD）'!$Z$69:$AA$69)+SUMPRODUCT(分期持仓明细!$AE$26:$AO$26,'实盘净值数据(iFinD）'!$AB428:$AL428/'实盘净值数据(iFinD）'!$AB$69:$AL$69))*(1-实盘持仓初始配置!$Z$10)^(('实盘净值数据(iFinD）'!$A428-'实盘净值数据(iFinD）'!$A$69)/365))</f>
        <v/>
      </c>
      <c r="U428" s="16">
        <f>IF(OR(T427="",T428=""),"",T428/T427-1)</f>
        <v/>
      </c>
      <c r="V428" s="16">
        <f>IF(T428="","",T428/MAX(T$5:T428)-1)</f>
        <v/>
      </c>
    </row>
    <row r="429" spans="1:19">
      <c r="A429" s="15" t="str">
        <f>IF('实盘净值数据(iFinD）'!A429="","",'实盘净值数据(iFinD）'!A429)</f>
        <v/>
      </c>
      <c r="B429" s="13" t="str">
        <f>IF(OR('实盘净值数据(iFinD）'!$A429="",'实盘净值数据(iFinD）'!$B429=""),"",分期持仓明细!$AB$17*SUMPRODUCT(分期持仓明细!$B$17:$Y$17,'实盘净值数据(iFinD）'!$B429:$Y429/'实盘净值数据(iFinD）'!$B$20:$Y$20)*(1-实盘持仓初始配置!$Z$4)^(('实盘净值数据(iFinD）'!$A429-'实盘净值数据(iFinD）'!$A$6)/365))</f>
        <v/>
      </c>
      <c r="C429" s="16" t="str">
        <f t="shared" si="36"/>
        <v/>
      </c>
      <c r="D429" s="16" t="str">
        <f>IF(B429="","",B429/MAX(B$5:B429)-1)</f>
        <v/>
      </c>
      <c r="E429" s="13" t="str">
        <f>IF(OR('实盘净值数据(iFinD）'!$A429="",'实盘净值数据(iFinD）'!$B429=""),"",分期持仓明细!$AB$18*SUMPRODUCT(分期持仓明细!$B$18:$Y$18,'实盘净值数据(iFinD）'!$B429:$Y429/'实盘净值数据(iFinD）'!$B$20:$Y$20)*(1-实盘持仓初始配置!$Z$5)^(('实盘净值数据(iFinD）'!$A429-'实盘净值数据(iFinD）'!$A$5)/365))</f>
        <v/>
      </c>
      <c r="F429" s="16" t="str">
        <f t="shared" si="37"/>
        <v/>
      </c>
      <c r="G429" s="16" t="str">
        <f>IF(E429="","",E429/MAX(E$5:E429)-1)</f>
        <v/>
      </c>
      <c r="H429" s="13" t="str">
        <f>IF(OR('实盘净值数据(iFinD）'!$A429="",'实盘净值数据(iFinD）'!$B429=""),"",分期持仓明细!$AB$19*SUMPRODUCT(分期持仓明细!$B$19:$Y$19,'实盘净值数据(iFinD）'!$B429:$Y429/'实盘净值数据(iFinD）'!$B$20:$Y$20)*(1-实盘持仓初始配置!$Z$6)^(('实盘净值数据(iFinD）'!$A429-'实盘净值数据(iFinD）'!$A$7)/365))</f>
        <v/>
      </c>
      <c r="I429" s="16" t="str">
        <f t="shared" si="38"/>
        <v/>
      </c>
      <c r="J429" s="16" t="str">
        <f>IF(H429="","",H429/MAX(H$5:H429)-1)</f>
        <v/>
      </c>
      <c r="K429" s="13" t="str">
        <f>IF(OR('实盘净值数据(iFinD）'!$A429="",'实盘净值数据(iFinD）'!$B429="",'实盘净值数据(iFinD）'!$Z429="",'实盘净值数据(iFinD）'!$AA429=""),"",分期持仓明细!$AB$23*(SUMPRODUCT(分期持仓明细!$B$23:$Y$23,'实盘净值数据(iFinD）'!$B429:$Y429/'实盘净值数据(iFinD）'!$B$65:$Y$65)+SUMPRODUCT(分期持仓明细!$AC$23:$AD$23,'实盘净值数据(iFinD）'!$Z429:$AA429/'实盘净值数据(iFinD）'!$Z$65:$AA$65))*(1-实盘持仓初始配置!$Z$7)^(('实盘净值数据(iFinD）'!$A429-'实盘净值数据(iFinD）'!$A$8)/365))</f>
        <v/>
      </c>
      <c r="L429" s="16" t="str">
        <f t="shared" si="39"/>
        <v/>
      </c>
      <c r="M429" s="16" t="str">
        <f>IF(K429="","",K429/MAX(K$5:K429)-1)</f>
        <v/>
      </c>
      <c r="N429" s="13" t="str">
        <f>IF(OR('实盘净值数据(iFinD）'!$A429="",'实盘净值数据(iFinD）'!$B429="",'实盘净值数据(iFinD）'!$Z429="",'实盘净值数据(iFinD）'!$AA429=""),"",分期持仓明细!$AB$24*(SUMPRODUCT(分期持仓明细!$B$24:$Y$24,'实盘净值数据(iFinD）'!$B429:$Y429/'实盘净值数据(iFinD）'!$B$65:$Y$65)+SUMPRODUCT(分期持仓明细!$AC$24:$AD$24,'实盘净值数据(iFinD）'!$Z429:$AA429/'实盘净值数据(iFinD）'!$Z$65:$AA$65))*(1-实盘持仓初始配置!$Z$8)^(('实盘净值数据(iFinD）'!$A429-'实盘净值数据(iFinD）'!$A$5)/365))</f>
        <v/>
      </c>
      <c r="O429" s="16" t="str">
        <f t="shared" si="40"/>
        <v/>
      </c>
      <c r="P429" s="16" t="str">
        <f>IF(N429="","",N429/MAX(N$5:N429)-1)</f>
        <v/>
      </c>
      <c r="Q429" s="13" t="str">
        <f>IF(OR('实盘净值数据(iFinD）'!$A429="",'实盘净值数据(iFinD）'!$B429="",'实盘净值数据(iFinD）'!$Z429="",'实盘净值数据(iFinD）'!$AA429=""),"",分期持仓明细!$AB$25*(SUMPRODUCT(分期持仓明细!$B$25:$Y$25,'实盘净值数据(iFinD）'!$B429:$Y429/'实盘净值数据(iFinD）'!$B$65:$Y$65)+SUMPRODUCT(分期持仓明细!$AC$25:$AD$25,'实盘净值数据(iFinD）'!$Z429:$AA429/'实盘净值数据(iFinD）'!$Z$65:$AA$65))*(1-实盘持仓初始配置!$Z$9)^(('实盘净值数据(iFinD）'!$A429-'实盘净值数据(iFinD）'!$A$8)/365))</f>
        <v/>
      </c>
      <c r="R429" s="16" t="str">
        <f t="shared" si="41"/>
        <v/>
      </c>
      <c r="S429" s="16" t="str">
        <f>IF(Q429="","",Q429/MAX(Q$5:Q429)-1)</f>
        <v/>
      </c>
      <c r="T429" s="13">
        <f>IF(OR('实盘净值数据(iFinD）'!$A429="",'实盘净值数据(iFinD）'!$B429="",'实盘净值数据(iFinD）'!$Z429="",'实盘净值数据(iFinD）'!$AA429="",'实盘净值数据(iFinD）'!$AB429="",'实盘净值数据(iFinD）'!$AL429=""),"",(SUMPRODUCT(分期持仓明细!$B$26:$Y$26,'实盘净值数据(iFinD）'!$B429:$Y429/'实盘净值数据(iFinD）'!$B$69:$Y$69)+SUMPRODUCT(分期持仓明细!$AC$26:$AD$26,'实盘净值数据(iFinD）'!$Z429:$AA429/'实盘净值数据(iFinD）'!$Z$69:$AA$69)+SUMPRODUCT(分期持仓明细!$AE$26:$AO$26,'实盘净值数据(iFinD）'!$AB429:$AL429/'实盘净值数据(iFinD）'!$AB$69:$AL$69))*(1-实盘持仓初始配置!$Z$10)^(('实盘净值数据(iFinD）'!$A429-'实盘净值数据(iFinD）'!$A$69)/365))</f>
        <v/>
      </c>
      <c r="U429" s="16">
        <f>IF(OR(T428="",T429=""),"",T429/T428-1)</f>
        <v/>
      </c>
      <c r="V429" s="16">
        <f>IF(T429="","",T429/MAX(T$5:T429)-1)</f>
        <v/>
      </c>
    </row>
    <row r="430" spans="1:19">
      <c r="A430" s="15" t="str">
        <f>IF('实盘净值数据(iFinD）'!A430="","",'实盘净值数据(iFinD）'!A430)</f>
        <v/>
      </c>
      <c r="B430" s="13" t="str">
        <f>IF(OR('实盘净值数据(iFinD）'!$A430="",'实盘净值数据(iFinD）'!$B430=""),"",分期持仓明细!$AB$17*SUMPRODUCT(分期持仓明细!$B$17:$Y$17,'实盘净值数据(iFinD）'!$B430:$Y430/'实盘净值数据(iFinD）'!$B$20:$Y$20)*(1-实盘持仓初始配置!$Z$4)^(('实盘净值数据(iFinD）'!$A430-'实盘净值数据(iFinD）'!$A$6)/365))</f>
        <v/>
      </c>
      <c r="C430" s="16" t="str">
        <f t="shared" si="36"/>
        <v/>
      </c>
      <c r="D430" s="16" t="str">
        <f>IF(B430="","",B430/MAX(B$5:B430)-1)</f>
        <v/>
      </c>
      <c r="E430" s="13" t="str">
        <f>IF(OR('实盘净值数据(iFinD）'!$A430="",'实盘净值数据(iFinD）'!$B430=""),"",分期持仓明细!$AB$18*SUMPRODUCT(分期持仓明细!$B$18:$Y$18,'实盘净值数据(iFinD）'!$B430:$Y430/'实盘净值数据(iFinD）'!$B$20:$Y$20)*(1-实盘持仓初始配置!$Z$5)^(('实盘净值数据(iFinD）'!$A430-'实盘净值数据(iFinD）'!$A$5)/365))</f>
        <v/>
      </c>
      <c r="F430" s="16" t="str">
        <f t="shared" si="37"/>
        <v/>
      </c>
      <c r="G430" s="16" t="str">
        <f>IF(E430="","",E430/MAX(E$5:E430)-1)</f>
        <v/>
      </c>
      <c r="H430" s="13" t="str">
        <f>IF(OR('实盘净值数据(iFinD）'!$A430="",'实盘净值数据(iFinD）'!$B430=""),"",分期持仓明细!$AB$19*SUMPRODUCT(分期持仓明细!$B$19:$Y$19,'实盘净值数据(iFinD）'!$B430:$Y430/'实盘净值数据(iFinD）'!$B$20:$Y$20)*(1-实盘持仓初始配置!$Z$6)^(('实盘净值数据(iFinD）'!$A430-'实盘净值数据(iFinD）'!$A$7)/365))</f>
        <v/>
      </c>
      <c r="I430" s="16" t="str">
        <f t="shared" si="38"/>
        <v/>
      </c>
      <c r="J430" s="16" t="str">
        <f>IF(H430="","",H430/MAX(H$5:H430)-1)</f>
        <v/>
      </c>
      <c r="K430" s="13" t="str">
        <f>IF(OR('实盘净值数据(iFinD）'!$A430="",'实盘净值数据(iFinD）'!$B430="",'实盘净值数据(iFinD）'!$Z430="",'实盘净值数据(iFinD）'!$AA430=""),"",分期持仓明细!$AB$23*(SUMPRODUCT(分期持仓明细!$B$23:$Y$23,'实盘净值数据(iFinD）'!$B430:$Y430/'实盘净值数据(iFinD）'!$B$65:$Y$65)+SUMPRODUCT(分期持仓明细!$AC$23:$AD$23,'实盘净值数据(iFinD）'!$Z430:$AA430/'实盘净值数据(iFinD）'!$Z$65:$AA$65))*(1-实盘持仓初始配置!$Z$7)^(('实盘净值数据(iFinD）'!$A430-'实盘净值数据(iFinD）'!$A$8)/365))</f>
        <v/>
      </c>
      <c r="L430" s="16" t="str">
        <f t="shared" si="39"/>
        <v/>
      </c>
      <c r="M430" s="16" t="str">
        <f>IF(K430="","",K430/MAX(K$5:K430)-1)</f>
        <v/>
      </c>
      <c r="N430" s="13" t="str">
        <f>IF(OR('实盘净值数据(iFinD）'!$A430="",'实盘净值数据(iFinD）'!$B430="",'实盘净值数据(iFinD）'!$Z430="",'实盘净值数据(iFinD）'!$AA430=""),"",分期持仓明细!$AB$24*(SUMPRODUCT(分期持仓明细!$B$24:$Y$24,'实盘净值数据(iFinD）'!$B430:$Y430/'实盘净值数据(iFinD）'!$B$65:$Y$65)+SUMPRODUCT(分期持仓明细!$AC$24:$AD$24,'实盘净值数据(iFinD）'!$Z430:$AA430/'实盘净值数据(iFinD）'!$Z$65:$AA$65))*(1-实盘持仓初始配置!$Z$8)^(('实盘净值数据(iFinD）'!$A430-'实盘净值数据(iFinD）'!$A$5)/365))</f>
        <v/>
      </c>
      <c r="O430" s="16" t="str">
        <f t="shared" si="40"/>
        <v/>
      </c>
      <c r="P430" s="16" t="str">
        <f>IF(N430="","",N430/MAX(N$5:N430)-1)</f>
        <v/>
      </c>
      <c r="Q430" s="13" t="str">
        <f>IF(OR('实盘净值数据(iFinD）'!$A430="",'实盘净值数据(iFinD）'!$B430="",'实盘净值数据(iFinD）'!$Z430="",'实盘净值数据(iFinD）'!$AA430=""),"",分期持仓明细!$AB$25*(SUMPRODUCT(分期持仓明细!$B$25:$Y$25,'实盘净值数据(iFinD）'!$B430:$Y430/'实盘净值数据(iFinD）'!$B$65:$Y$65)+SUMPRODUCT(分期持仓明细!$AC$25:$AD$25,'实盘净值数据(iFinD）'!$Z430:$AA430/'实盘净值数据(iFinD）'!$Z$65:$AA$65))*(1-实盘持仓初始配置!$Z$9)^(('实盘净值数据(iFinD）'!$A430-'实盘净值数据(iFinD）'!$A$8)/365))</f>
        <v/>
      </c>
      <c r="R430" s="16" t="str">
        <f t="shared" si="41"/>
        <v/>
      </c>
      <c r="S430" s="16" t="str">
        <f>IF(Q430="","",Q430/MAX(Q$5:Q430)-1)</f>
        <v/>
      </c>
      <c r="T430" s="13">
        <f>IF(OR('实盘净值数据(iFinD）'!$A430="",'实盘净值数据(iFinD）'!$B430="",'实盘净值数据(iFinD）'!$Z430="",'实盘净值数据(iFinD）'!$AA430="",'实盘净值数据(iFinD）'!$AB430="",'实盘净值数据(iFinD）'!$AL430=""),"",(SUMPRODUCT(分期持仓明细!$B$26:$Y$26,'实盘净值数据(iFinD）'!$B430:$Y430/'实盘净值数据(iFinD）'!$B$69:$Y$69)+SUMPRODUCT(分期持仓明细!$AC$26:$AD$26,'实盘净值数据(iFinD）'!$Z430:$AA430/'实盘净值数据(iFinD）'!$Z$69:$AA$69)+SUMPRODUCT(分期持仓明细!$AE$26:$AO$26,'实盘净值数据(iFinD）'!$AB430:$AL430/'实盘净值数据(iFinD）'!$AB$69:$AL$69))*(1-实盘持仓初始配置!$Z$10)^(('实盘净值数据(iFinD）'!$A430-'实盘净值数据(iFinD）'!$A$69)/365))</f>
        <v/>
      </c>
      <c r="U430" s="16">
        <f>IF(OR(T429="",T430=""),"",T430/T429-1)</f>
        <v/>
      </c>
      <c r="V430" s="16">
        <f>IF(T430="","",T430/MAX(T$5:T430)-1)</f>
        <v/>
      </c>
    </row>
    <row r="431" spans="1:19">
      <c r="A431" s="15" t="str">
        <f>IF('实盘净值数据(iFinD）'!A431="","",'实盘净值数据(iFinD）'!A431)</f>
        <v/>
      </c>
      <c r="B431" s="13" t="str">
        <f>IF(OR('实盘净值数据(iFinD）'!$A431="",'实盘净值数据(iFinD）'!$B431=""),"",分期持仓明细!$AB$17*SUMPRODUCT(分期持仓明细!$B$17:$Y$17,'实盘净值数据(iFinD）'!$B431:$Y431/'实盘净值数据(iFinD）'!$B$20:$Y$20)*(1-实盘持仓初始配置!$Z$4)^(('实盘净值数据(iFinD）'!$A431-'实盘净值数据(iFinD）'!$A$6)/365))</f>
        <v/>
      </c>
      <c r="C431" s="16" t="str">
        <f t="shared" si="36"/>
        <v/>
      </c>
      <c r="D431" s="16" t="str">
        <f>IF(B431="","",B431/MAX(B$5:B431)-1)</f>
        <v/>
      </c>
      <c r="E431" s="13" t="str">
        <f>IF(OR('实盘净值数据(iFinD）'!$A431="",'实盘净值数据(iFinD）'!$B431=""),"",分期持仓明细!$AB$18*SUMPRODUCT(分期持仓明细!$B$18:$Y$18,'实盘净值数据(iFinD）'!$B431:$Y431/'实盘净值数据(iFinD）'!$B$20:$Y$20)*(1-实盘持仓初始配置!$Z$5)^(('实盘净值数据(iFinD）'!$A431-'实盘净值数据(iFinD）'!$A$5)/365))</f>
        <v/>
      </c>
      <c r="F431" s="16" t="str">
        <f t="shared" si="37"/>
        <v/>
      </c>
      <c r="G431" s="16" t="str">
        <f>IF(E431="","",E431/MAX(E$5:E431)-1)</f>
        <v/>
      </c>
      <c r="H431" s="13" t="str">
        <f>IF(OR('实盘净值数据(iFinD）'!$A431="",'实盘净值数据(iFinD）'!$B431=""),"",分期持仓明细!$AB$19*SUMPRODUCT(分期持仓明细!$B$19:$Y$19,'实盘净值数据(iFinD）'!$B431:$Y431/'实盘净值数据(iFinD）'!$B$20:$Y$20)*(1-实盘持仓初始配置!$Z$6)^(('实盘净值数据(iFinD）'!$A431-'实盘净值数据(iFinD）'!$A$7)/365))</f>
        <v/>
      </c>
      <c r="I431" s="16" t="str">
        <f t="shared" si="38"/>
        <v/>
      </c>
      <c r="J431" s="16" t="str">
        <f>IF(H431="","",H431/MAX(H$5:H431)-1)</f>
        <v/>
      </c>
      <c r="K431" s="13" t="str">
        <f>IF(OR('实盘净值数据(iFinD）'!$A431="",'实盘净值数据(iFinD）'!$B431="",'实盘净值数据(iFinD）'!$Z431="",'实盘净值数据(iFinD）'!$AA431=""),"",分期持仓明细!$AB$23*(SUMPRODUCT(分期持仓明细!$B$23:$Y$23,'实盘净值数据(iFinD）'!$B431:$Y431/'实盘净值数据(iFinD）'!$B$65:$Y$65)+SUMPRODUCT(分期持仓明细!$AC$23:$AD$23,'实盘净值数据(iFinD）'!$Z431:$AA431/'实盘净值数据(iFinD）'!$Z$65:$AA$65))*(1-实盘持仓初始配置!$Z$7)^(('实盘净值数据(iFinD）'!$A431-'实盘净值数据(iFinD）'!$A$8)/365))</f>
        <v/>
      </c>
      <c r="L431" s="16" t="str">
        <f t="shared" si="39"/>
        <v/>
      </c>
      <c r="M431" s="16" t="str">
        <f>IF(K431="","",K431/MAX(K$5:K431)-1)</f>
        <v/>
      </c>
      <c r="N431" s="13" t="str">
        <f>IF(OR('实盘净值数据(iFinD）'!$A431="",'实盘净值数据(iFinD）'!$B431="",'实盘净值数据(iFinD）'!$Z431="",'实盘净值数据(iFinD）'!$AA431=""),"",分期持仓明细!$AB$24*(SUMPRODUCT(分期持仓明细!$B$24:$Y$24,'实盘净值数据(iFinD）'!$B431:$Y431/'实盘净值数据(iFinD）'!$B$65:$Y$65)+SUMPRODUCT(分期持仓明细!$AC$24:$AD$24,'实盘净值数据(iFinD）'!$Z431:$AA431/'实盘净值数据(iFinD）'!$Z$65:$AA$65))*(1-实盘持仓初始配置!$Z$8)^(('实盘净值数据(iFinD）'!$A431-'实盘净值数据(iFinD）'!$A$5)/365))</f>
        <v/>
      </c>
      <c r="O431" s="16" t="str">
        <f t="shared" si="40"/>
        <v/>
      </c>
      <c r="P431" s="16" t="str">
        <f>IF(N431="","",N431/MAX(N$5:N431)-1)</f>
        <v/>
      </c>
      <c r="Q431" s="13" t="str">
        <f>IF(OR('实盘净值数据(iFinD）'!$A431="",'实盘净值数据(iFinD）'!$B431="",'实盘净值数据(iFinD）'!$Z431="",'实盘净值数据(iFinD）'!$AA431=""),"",分期持仓明细!$AB$25*(SUMPRODUCT(分期持仓明细!$B$25:$Y$25,'实盘净值数据(iFinD）'!$B431:$Y431/'实盘净值数据(iFinD）'!$B$65:$Y$65)+SUMPRODUCT(分期持仓明细!$AC$25:$AD$25,'实盘净值数据(iFinD）'!$Z431:$AA431/'实盘净值数据(iFinD）'!$Z$65:$AA$65))*(1-实盘持仓初始配置!$Z$9)^(('实盘净值数据(iFinD）'!$A431-'实盘净值数据(iFinD）'!$A$8)/365))</f>
        <v/>
      </c>
      <c r="R431" s="16" t="str">
        <f t="shared" si="41"/>
        <v/>
      </c>
      <c r="S431" s="16" t="str">
        <f>IF(Q431="","",Q431/MAX(Q$5:Q431)-1)</f>
        <v/>
      </c>
      <c r="T431" s="13">
        <f>IF(OR('实盘净值数据(iFinD）'!$A431="",'实盘净值数据(iFinD）'!$B431="",'实盘净值数据(iFinD）'!$Z431="",'实盘净值数据(iFinD）'!$AA431="",'实盘净值数据(iFinD）'!$AB431="",'实盘净值数据(iFinD）'!$AL431=""),"",(SUMPRODUCT(分期持仓明细!$B$26:$Y$26,'实盘净值数据(iFinD）'!$B431:$Y431/'实盘净值数据(iFinD）'!$B$69:$Y$69)+SUMPRODUCT(分期持仓明细!$AC$26:$AD$26,'实盘净值数据(iFinD）'!$Z431:$AA431/'实盘净值数据(iFinD）'!$Z$69:$AA$69)+SUMPRODUCT(分期持仓明细!$AE$26:$AO$26,'实盘净值数据(iFinD）'!$AB431:$AL431/'实盘净值数据(iFinD）'!$AB$69:$AL$69))*(1-实盘持仓初始配置!$Z$10)^(('实盘净值数据(iFinD）'!$A431-'实盘净值数据(iFinD）'!$A$69)/365))</f>
        <v/>
      </c>
      <c r="U431" s="16">
        <f>IF(OR(T430="",T431=""),"",T431/T430-1)</f>
        <v/>
      </c>
      <c r="V431" s="16">
        <f>IF(T431="","",T431/MAX(T$5:T431)-1)</f>
        <v/>
      </c>
    </row>
    <row r="432" spans="1:19">
      <c r="A432" s="15" t="str">
        <f>IF('实盘净值数据(iFinD）'!A432="","",'实盘净值数据(iFinD）'!A432)</f>
        <v/>
      </c>
      <c r="B432" s="13" t="str">
        <f>IF(OR('实盘净值数据(iFinD）'!$A432="",'实盘净值数据(iFinD）'!$B432=""),"",分期持仓明细!$AB$17*SUMPRODUCT(分期持仓明细!$B$17:$Y$17,'实盘净值数据(iFinD）'!$B432:$Y432/'实盘净值数据(iFinD）'!$B$20:$Y$20)*(1-实盘持仓初始配置!$Z$4)^(('实盘净值数据(iFinD）'!$A432-'实盘净值数据(iFinD）'!$A$6)/365))</f>
        <v/>
      </c>
      <c r="C432" s="16" t="str">
        <f t="shared" si="36"/>
        <v/>
      </c>
      <c r="D432" s="16" t="str">
        <f>IF(B432="","",B432/MAX(B$5:B432)-1)</f>
        <v/>
      </c>
      <c r="E432" s="13" t="str">
        <f>IF(OR('实盘净值数据(iFinD）'!$A432="",'实盘净值数据(iFinD）'!$B432=""),"",分期持仓明细!$AB$18*SUMPRODUCT(分期持仓明细!$B$18:$Y$18,'实盘净值数据(iFinD）'!$B432:$Y432/'实盘净值数据(iFinD）'!$B$20:$Y$20)*(1-实盘持仓初始配置!$Z$5)^(('实盘净值数据(iFinD）'!$A432-'实盘净值数据(iFinD）'!$A$5)/365))</f>
        <v/>
      </c>
      <c r="F432" s="16" t="str">
        <f t="shared" si="37"/>
        <v/>
      </c>
      <c r="G432" s="16" t="str">
        <f>IF(E432="","",E432/MAX(E$5:E432)-1)</f>
        <v/>
      </c>
      <c r="H432" s="13" t="str">
        <f>IF(OR('实盘净值数据(iFinD）'!$A432="",'实盘净值数据(iFinD）'!$B432=""),"",分期持仓明细!$AB$19*SUMPRODUCT(分期持仓明细!$B$19:$Y$19,'实盘净值数据(iFinD）'!$B432:$Y432/'实盘净值数据(iFinD）'!$B$20:$Y$20)*(1-实盘持仓初始配置!$Z$6)^(('实盘净值数据(iFinD）'!$A432-'实盘净值数据(iFinD）'!$A$7)/365))</f>
        <v/>
      </c>
      <c r="I432" s="16" t="str">
        <f t="shared" si="38"/>
        <v/>
      </c>
      <c r="J432" s="16" t="str">
        <f>IF(H432="","",H432/MAX(H$5:H432)-1)</f>
        <v/>
      </c>
      <c r="K432" s="13" t="str">
        <f>IF(OR('实盘净值数据(iFinD）'!$A432="",'实盘净值数据(iFinD）'!$B432="",'实盘净值数据(iFinD）'!$Z432="",'实盘净值数据(iFinD）'!$AA432=""),"",分期持仓明细!$AB$23*(SUMPRODUCT(分期持仓明细!$B$23:$Y$23,'实盘净值数据(iFinD）'!$B432:$Y432/'实盘净值数据(iFinD）'!$B$65:$Y$65)+SUMPRODUCT(分期持仓明细!$AC$23:$AD$23,'实盘净值数据(iFinD）'!$Z432:$AA432/'实盘净值数据(iFinD）'!$Z$65:$AA$65))*(1-实盘持仓初始配置!$Z$7)^(('实盘净值数据(iFinD）'!$A432-'实盘净值数据(iFinD）'!$A$8)/365))</f>
        <v/>
      </c>
      <c r="L432" s="16" t="str">
        <f t="shared" si="39"/>
        <v/>
      </c>
      <c r="M432" s="16" t="str">
        <f>IF(K432="","",K432/MAX(K$5:K432)-1)</f>
        <v/>
      </c>
      <c r="N432" s="13" t="str">
        <f>IF(OR('实盘净值数据(iFinD）'!$A432="",'实盘净值数据(iFinD）'!$B432="",'实盘净值数据(iFinD）'!$Z432="",'实盘净值数据(iFinD）'!$AA432=""),"",分期持仓明细!$AB$24*(SUMPRODUCT(分期持仓明细!$B$24:$Y$24,'实盘净值数据(iFinD）'!$B432:$Y432/'实盘净值数据(iFinD）'!$B$65:$Y$65)+SUMPRODUCT(分期持仓明细!$AC$24:$AD$24,'实盘净值数据(iFinD）'!$Z432:$AA432/'实盘净值数据(iFinD）'!$Z$65:$AA$65))*(1-实盘持仓初始配置!$Z$8)^(('实盘净值数据(iFinD）'!$A432-'实盘净值数据(iFinD）'!$A$5)/365))</f>
        <v/>
      </c>
      <c r="O432" s="16" t="str">
        <f t="shared" si="40"/>
        <v/>
      </c>
      <c r="P432" s="16" t="str">
        <f>IF(N432="","",N432/MAX(N$5:N432)-1)</f>
        <v/>
      </c>
      <c r="Q432" s="13" t="str">
        <f>IF(OR('实盘净值数据(iFinD）'!$A432="",'实盘净值数据(iFinD）'!$B432="",'实盘净值数据(iFinD）'!$Z432="",'实盘净值数据(iFinD）'!$AA432=""),"",分期持仓明细!$AB$25*(SUMPRODUCT(分期持仓明细!$B$25:$Y$25,'实盘净值数据(iFinD）'!$B432:$Y432/'实盘净值数据(iFinD）'!$B$65:$Y$65)+SUMPRODUCT(分期持仓明细!$AC$25:$AD$25,'实盘净值数据(iFinD）'!$Z432:$AA432/'实盘净值数据(iFinD）'!$Z$65:$AA$65))*(1-实盘持仓初始配置!$Z$9)^(('实盘净值数据(iFinD）'!$A432-'实盘净值数据(iFinD）'!$A$8)/365))</f>
        <v/>
      </c>
      <c r="R432" s="16" t="str">
        <f t="shared" si="41"/>
        <v/>
      </c>
      <c r="S432" s="16" t="str">
        <f>IF(Q432="","",Q432/MAX(Q$5:Q432)-1)</f>
        <v/>
      </c>
      <c r="T432" s="13">
        <f>IF(OR('实盘净值数据(iFinD）'!$A432="",'实盘净值数据(iFinD）'!$B432="",'实盘净值数据(iFinD）'!$Z432="",'实盘净值数据(iFinD）'!$AA432="",'实盘净值数据(iFinD）'!$AB432="",'实盘净值数据(iFinD）'!$AL432=""),"",(SUMPRODUCT(分期持仓明细!$B$26:$Y$26,'实盘净值数据(iFinD）'!$B432:$Y432/'实盘净值数据(iFinD）'!$B$69:$Y$69)+SUMPRODUCT(分期持仓明细!$AC$26:$AD$26,'实盘净值数据(iFinD）'!$Z432:$AA432/'实盘净值数据(iFinD）'!$Z$69:$AA$69)+SUMPRODUCT(分期持仓明细!$AE$26:$AO$26,'实盘净值数据(iFinD）'!$AB432:$AL432/'实盘净值数据(iFinD）'!$AB$69:$AL$69))*(1-实盘持仓初始配置!$Z$10)^(('实盘净值数据(iFinD）'!$A432-'实盘净值数据(iFinD）'!$A$69)/365))</f>
        <v/>
      </c>
      <c r="U432" s="16">
        <f>IF(OR(T431="",T432=""),"",T432/T431-1)</f>
        <v/>
      </c>
      <c r="V432" s="16">
        <f>IF(T432="","",T432/MAX(T$5:T432)-1)</f>
        <v/>
      </c>
    </row>
    <row r="433" spans="1:19">
      <c r="A433" s="15" t="str">
        <f>IF('实盘净值数据(iFinD）'!A433="","",'实盘净值数据(iFinD）'!A433)</f>
        <v/>
      </c>
      <c r="B433" s="13" t="str">
        <f>IF(OR('实盘净值数据(iFinD）'!$A433="",'实盘净值数据(iFinD）'!$B433=""),"",分期持仓明细!$AB$17*SUMPRODUCT(分期持仓明细!$B$17:$Y$17,'实盘净值数据(iFinD）'!$B433:$Y433/'实盘净值数据(iFinD）'!$B$20:$Y$20)*(1-实盘持仓初始配置!$Z$4)^(('实盘净值数据(iFinD）'!$A433-'实盘净值数据(iFinD）'!$A$6)/365))</f>
        <v/>
      </c>
      <c r="C433" s="16" t="str">
        <f t="shared" si="36"/>
        <v/>
      </c>
      <c r="D433" s="16" t="str">
        <f>IF(B433="","",B433/MAX(B$5:B433)-1)</f>
        <v/>
      </c>
      <c r="E433" s="13" t="str">
        <f>IF(OR('实盘净值数据(iFinD）'!$A433="",'实盘净值数据(iFinD）'!$B433=""),"",分期持仓明细!$AB$18*SUMPRODUCT(分期持仓明细!$B$18:$Y$18,'实盘净值数据(iFinD）'!$B433:$Y433/'实盘净值数据(iFinD）'!$B$20:$Y$20)*(1-实盘持仓初始配置!$Z$5)^(('实盘净值数据(iFinD）'!$A433-'实盘净值数据(iFinD）'!$A$5)/365))</f>
        <v/>
      </c>
      <c r="F433" s="16" t="str">
        <f t="shared" si="37"/>
        <v/>
      </c>
      <c r="G433" s="16" t="str">
        <f>IF(E433="","",E433/MAX(E$5:E433)-1)</f>
        <v/>
      </c>
      <c r="H433" s="13" t="str">
        <f>IF(OR('实盘净值数据(iFinD）'!$A433="",'实盘净值数据(iFinD）'!$B433=""),"",分期持仓明细!$AB$19*SUMPRODUCT(分期持仓明细!$B$19:$Y$19,'实盘净值数据(iFinD）'!$B433:$Y433/'实盘净值数据(iFinD）'!$B$20:$Y$20)*(1-实盘持仓初始配置!$Z$6)^(('实盘净值数据(iFinD）'!$A433-'实盘净值数据(iFinD）'!$A$7)/365))</f>
        <v/>
      </c>
      <c r="I433" s="16" t="str">
        <f t="shared" si="38"/>
        <v/>
      </c>
      <c r="J433" s="16" t="str">
        <f>IF(H433="","",H433/MAX(H$5:H433)-1)</f>
        <v/>
      </c>
      <c r="K433" s="13" t="str">
        <f>IF(OR('实盘净值数据(iFinD）'!$A433="",'实盘净值数据(iFinD）'!$B433="",'实盘净值数据(iFinD）'!$Z433="",'实盘净值数据(iFinD）'!$AA433=""),"",分期持仓明细!$AB$23*(SUMPRODUCT(分期持仓明细!$B$23:$Y$23,'实盘净值数据(iFinD）'!$B433:$Y433/'实盘净值数据(iFinD）'!$B$65:$Y$65)+SUMPRODUCT(分期持仓明细!$AC$23:$AD$23,'实盘净值数据(iFinD）'!$Z433:$AA433/'实盘净值数据(iFinD）'!$Z$65:$AA$65))*(1-实盘持仓初始配置!$Z$7)^(('实盘净值数据(iFinD）'!$A433-'实盘净值数据(iFinD）'!$A$8)/365))</f>
        <v/>
      </c>
      <c r="L433" s="16" t="str">
        <f t="shared" si="39"/>
        <v/>
      </c>
      <c r="M433" s="16" t="str">
        <f>IF(K433="","",K433/MAX(K$5:K433)-1)</f>
        <v/>
      </c>
      <c r="N433" s="13" t="str">
        <f>IF(OR('实盘净值数据(iFinD）'!$A433="",'实盘净值数据(iFinD）'!$B433="",'实盘净值数据(iFinD）'!$Z433="",'实盘净值数据(iFinD）'!$AA433=""),"",分期持仓明细!$AB$24*(SUMPRODUCT(分期持仓明细!$B$24:$Y$24,'实盘净值数据(iFinD）'!$B433:$Y433/'实盘净值数据(iFinD）'!$B$65:$Y$65)+SUMPRODUCT(分期持仓明细!$AC$24:$AD$24,'实盘净值数据(iFinD）'!$Z433:$AA433/'实盘净值数据(iFinD）'!$Z$65:$AA$65))*(1-实盘持仓初始配置!$Z$8)^(('实盘净值数据(iFinD）'!$A433-'实盘净值数据(iFinD）'!$A$5)/365))</f>
        <v/>
      </c>
      <c r="O433" s="16" t="str">
        <f t="shared" si="40"/>
        <v/>
      </c>
      <c r="P433" s="16" t="str">
        <f>IF(N433="","",N433/MAX(N$5:N433)-1)</f>
        <v/>
      </c>
      <c r="Q433" s="13" t="str">
        <f>IF(OR('实盘净值数据(iFinD）'!$A433="",'实盘净值数据(iFinD）'!$B433="",'实盘净值数据(iFinD）'!$Z433="",'实盘净值数据(iFinD）'!$AA433=""),"",分期持仓明细!$AB$25*(SUMPRODUCT(分期持仓明细!$B$25:$Y$25,'实盘净值数据(iFinD）'!$B433:$Y433/'实盘净值数据(iFinD）'!$B$65:$Y$65)+SUMPRODUCT(分期持仓明细!$AC$25:$AD$25,'实盘净值数据(iFinD）'!$Z433:$AA433/'实盘净值数据(iFinD）'!$Z$65:$AA$65))*(1-实盘持仓初始配置!$Z$9)^(('实盘净值数据(iFinD）'!$A433-'实盘净值数据(iFinD）'!$A$8)/365))</f>
        <v/>
      </c>
      <c r="R433" s="16" t="str">
        <f t="shared" si="41"/>
        <v/>
      </c>
      <c r="S433" s="16" t="str">
        <f>IF(Q433="","",Q433/MAX(Q$5:Q433)-1)</f>
        <v/>
      </c>
      <c r="T433" s="13">
        <f>IF(OR('实盘净值数据(iFinD）'!$A433="",'实盘净值数据(iFinD）'!$B433="",'实盘净值数据(iFinD）'!$Z433="",'实盘净值数据(iFinD）'!$AA433="",'实盘净值数据(iFinD）'!$AB433="",'实盘净值数据(iFinD）'!$AL433=""),"",(SUMPRODUCT(分期持仓明细!$B$26:$Y$26,'实盘净值数据(iFinD）'!$B433:$Y433/'实盘净值数据(iFinD）'!$B$69:$Y$69)+SUMPRODUCT(分期持仓明细!$AC$26:$AD$26,'实盘净值数据(iFinD）'!$Z433:$AA433/'实盘净值数据(iFinD）'!$Z$69:$AA$69)+SUMPRODUCT(分期持仓明细!$AE$26:$AO$26,'实盘净值数据(iFinD）'!$AB433:$AL433/'实盘净值数据(iFinD）'!$AB$69:$AL$69))*(1-实盘持仓初始配置!$Z$10)^(('实盘净值数据(iFinD）'!$A433-'实盘净值数据(iFinD）'!$A$69)/365))</f>
        <v/>
      </c>
      <c r="U433" s="16">
        <f>IF(OR(T432="",T433=""),"",T433/T432-1)</f>
        <v/>
      </c>
      <c r="V433" s="16">
        <f>IF(T433="","",T433/MAX(T$5:T433)-1)</f>
        <v/>
      </c>
    </row>
    <row r="434" spans="1:19">
      <c r="A434" s="15" t="str">
        <f>IF('实盘净值数据(iFinD）'!A434="","",'实盘净值数据(iFinD）'!A434)</f>
        <v/>
      </c>
      <c r="B434" s="13" t="str">
        <f>IF(OR('实盘净值数据(iFinD）'!$A434="",'实盘净值数据(iFinD）'!$B434=""),"",分期持仓明细!$AB$17*SUMPRODUCT(分期持仓明细!$B$17:$Y$17,'实盘净值数据(iFinD）'!$B434:$Y434/'实盘净值数据(iFinD）'!$B$20:$Y$20)*(1-实盘持仓初始配置!$Z$4)^(('实盘净值数据(iFinD）'!$A434-'实盘净值数据(iFinD）'!$A$6)/365))</f>
        <v/>
      </c>
      <c r="C434" s="16" t="str">
        <f t="shared" si="36"/>
        <v/>
      </c>
      <c r="D434" s="16" t="str">
        <f>IF(B434="","",B434/MAX(B$5:B434)-1)</f>
        <v/>
      </c>
      <c r="E434" s="13" t="str">
        <f>IF(OR('实盘净值数据(iFinD）'!$A434="",'实盘净值数据(iFinD）'!$B434=""),"",分期持仓明细!$AB$18*SUMPRODUCT(分期持仓明细!$B$18:$Y$18,'实盘净值数据(iFinD）'!$B434:$Y434/'实盘净值数据(iFinD）'!$B$20:$Y$20)*(1-实盘持仓初始配置!$Z$5)^(('实盘净值数据(iFinD）'!$A434-'实盘净值数据(iFinD）'!$A$5)/365))</f>
        <v/>
      </c>
      <c r="F434" s="16" t="str">
        <f t="shared" si="37"/>
        <v/>
      </c>
      <c r="G434" s="16" t="str">
        <f>IF(E434="","",E434/MAX(E$5:E434)-1)</f>
        <v/>
      </c>
      <c r="H434" s="13" t="str">
        <f>IF(OR('实盘净值数据(iFinD）'!$A434="",'实盘净值数据(iFinD）'!$B434=""),"",分期持仓明细!$AB$19*SUMPRODUCT(分期持仓明细!$B$19:$Y$19,'实盘净值数据(iFinD）'!$B434:$Y434/'实盘净值数据(iFinD）'!$B$20:$Y$20)*(1-实盘持仓初始配置!$Z$6)^(('实盘净值数据(iFinD）'!$A434-'实盘净值数据(iFinD）'!$A$7)/365))</f>
        <v/>
      </c>
      <c r="I434" s="16" t="str">
        <f t="shared" si="38"/>
        <v/>
      </c>
      <c r="J434" s="16" t="str">
        <f>IF(H434="","",H434/MAX(H$5:H434)-1)</f>
        <v/>
      </c>
      <c r="K434" s="13" t="str">
        <f>IF(OR('实盘净值数据(iFinD）'!$A434="",'实盘净值数据(iFinD）'!$B434="",'实盘净值数据(iFinD）'!$Z434="",'实盘净值数据(iFinD）'!$AA434=""),"",分期持仓明细!$AB$23*(SUMPRODUCT(分期持仓明细!$B$23:$Y$23,'实盘净值数据(iFinD）'!$B434:$Y434/'实盘净值数据(iFinD）'!$B$65:$Y$65)+SUMPRODUCT(分期持仓明细!$AC$23:$AD$23,'实盘净值数据(iFinD）'!$Z434:$AA434/'实盘净值数据(iFinD）'!$Z$65:$AA$65))*(1-实盘持仓初始配置!$Z$7)^(('实盘净值数据(iFinD）'!$A434-'实盘净值数据(iFinD）'!$A$8)/365))</f>
        <v/>
      </c>
      <c r="L434" s="16" t="str">
        <f t="shared" si="39"/>
        <v/>
      </c>
      <c r="M434" s="16" t="str">
        <f>IF(K434="","",K434/MAX(K$5:K434)-1)</f>
        <v/>
      </c>
      <c r="N434" s="13" t="str">
        <f>IF(OR('实盘净值数据(iFinD）'!$A434="",'实盘净值数据(iFinD）'!$B434="",'实盘净值数据(iFinD）'!$Z434="",'实盘净值数据(iFinD）'!$AA434=""),"",分期持仓明细!$AB$24*(SUMPRODUCT(分期持仓明细!$B$24:$Y$24,'实盘净值数据(iFinD）'!$B434:$Y434/'实盘净值数据(iFinD）'!$B$65:$Y$65)+SUMPRODUCT(分期持仓明细!$AC$24:$AD$24,'实盘净值数据(iFinD）'!$Z434:$AA434/'实盘净值数据(iFinD）'!$Z$65:$AA$65))*(1-实盘持仓初始配置!$Z$8)^(('实盘净值数据(iFinD）'!$A434-'实盘净值数据(iFinD）'!$A$5)/365))</f>
        <v/>
      </c>
      <c r="O434" s="16" t="str">
        <f t="shared" si="40"/>
        <v/>
      </c>
      <c r="P434" s="16" t="str">
        <f>IF(N434="","",N434/MAX(N$5:N434)-1)</f>
        <v/>
      </c>
      <c r="Q434" s="13" t="str">
        <f>IF(OR('实盘净值数据(iFinD）'!$A434="",'实盘净值数据(iFinD）'!$B434="",'实盘净值数据(iFinD）'!$Z434="",'实盘净值数据(iFinD）'!$AA434=""),"",分期持仓明细!$AB$25*(SUMPRODUCT(分期持仓明细!$B$25:$Y$25,'实盘净值数据(iFinD）'!$B434:$Y434/'实盘净值数据(iFinD）'!$B$65:$Y$65)+SUMPRODUCT(分期持仓明细!$AC$25:$AD$25,'实盘净值数据(iFinD）'!$Z434:$AA434/'实盘净值数据(iFinD）'!$Z$65:$AA$65))*(1-实盘持仓初始配置!$Z$9)^(('实盘净值数据(iFinD）'!$A434-'实盘净值数据(iFinD）'!$A$8)/365))</f>
        <v/>
      </c>
      <c r="R434" s="16" t="str">
        <f t="shared" si="41"/>
        <v/>
      </c>
      <c r="S434" s="16" t="str">
        <f>IF(Q434="","",Q434/MAX(Q$5:Q434)-1)</f>
        <v/>
      </c>
      <c r="T434" s="13">
        <f>IF(OR('实盘净值数据(iFinD）'!$A434="",'实盘净值数据(iFinD）'!$B434="",'实盘净值数据(iFinD）'!$Z434="",'实盘净值数据(iFinD）'!$AA434="",'实盘净值数据(iFinD）'!$AB434="",'实盘净值数据(iFinD）'!$AL434=""),"",(SUMPRODUCT(分期持仓明细!$B$26:$Y$26,'实盘净值数据(iFinD）'!$B434:$Y434/'实盘净值数据(iFinD）'!$B$69:$Y$69)+SUMPRODUCT(分期持仓明细!$AC$26:$AD$26,'实盘净值数据(iFinD）'!$Z434:$AA434/'实盘净值数据(iFinD）'!$Z$69:$AA$69)+SUMPRODUCT(分期持仓明细!$AE$26:$AO$26,'实盘净值数据(iFinD）'!$AB434:$AL434/'实盘净值数据(iFinD）'!$AB$69:$AL$69))*(1-实盘持仓初始配置!$Z$10)^(('实盘净值数据(iFinD）'!$A434-'实盘净值数据(iFinD）'!$A$69)/365))</f>
        <v/>
      </c>
      <c r="U434" s="16">
        <f>IF(OR(T433="",T434=""),"",T434/T433-1)</f>
        <v/>
      </c>
      <c r="V434" s="16">
        <f>IF(T434="","",T434/MAX(T$5:T434)-1)</f>
        <v/>
      </c>
    </row>
    <row r="435" spans="1:19">
      <c r="A435" s="15" t="str">
        <f>IF('实盘净值数据(iFinD）'!A435="","",'实盘净值数据(iFinD）'!A435)</f>
        <v/>
      </c>
      <c r="B435" s="13" t="str">
        <f>IF(OR('实盘净值数据(iFinD）'!$A435="",'实盘净值数据(iFinD）'!$B435=""),"",分期持仓明细!$AB$17*SUMPRODUCT(分期持仓明细!$B$17:$Y$17,'实盘净值数据(iFinD）'!$B435:$Y435/'实盘净值数据(iFinD）'!$B$20:$Y$20)*(1-实盘持仓初始配置!$Z$4)^(('实盘净值数据(iFinD）'!$A435-'实盘净值数据(iFinD）'!$A$6)/365))</f>
        <v/>
      </c>
      <c r="C435" s="16" t="str">
        <f t="shared" si="36"/>
        <v/>
      </c>
      <c r="D435" s="16" t="str">
        <f>IF(B435="","",B435/MAX(B$5:B435)-1)</f>
        <v/>
      </c>
      <c r="E435" s="13" t="str">
        <f>IF(OR('实盘净值数据(iFinD）'!$A435="",'实盘净值数据(iFinD）'!$B435=""),"",分期持仓明细!$AB$18*SUMPRODUCT(分期持仓明细!$B$18:$Y$18,'实盘净值数据(iFinD）'!$B435:$Y435/'实盘净值数据(iFinD）'!$B$20:$Y$20)*(1-实盘持仓初始配置!$Z$5)^(('实盘净值数据(iFinD）'!$A435-'实盘净值数据(iFinD）'!$A$5)/365))</f>
        <v/>
      </c>
      <c r="F435" s="16" t="str">
        <f t="shared" si="37"/>
        <v/>
      </c>
      <c r="G435" s="16" t="str">
        <f>IF(E435="","",E435/MAX(E$5:E435)-1)</f>
        <v/>
      </c>
      <c r="H435" s="13" t="str">
        <f>IF(OR('实盘净值数据(iFinD）'!$A435="",'实盘净值数据(iFinD）'!$B435=""),"",分期持仓明细!$AB$19*SUMPRODUCT(分期持仓明细!$B$19:$Y$19,'实盘净值数据(iFinD）'!$B435:$Y435/'实盘净值数据(iFinD）'!$B$20:$Y$20)*(1-实盘持仓初始配置!$Z$6)^(('实盘净值数据(iFinD）'!$A435-'实盘净值数据(iFinD）'!$A$7)/365))</f>
        <v/>
      </c>
      <c r="I435" s="16" t="str">
        <f t="shared" si="38"/>
        <v/>
      </c>
      <c r="J435" s="16" t="str">
        <f>IF(H435="","",H435/MAX(H$5:H435)-1)</f>
        <v/>
      </c>
      <c r="K435" s="13" t="str">
        <f>IF(OR('实盘净值数据(iFinD）'!$A435="",'实盘净值数据(iFinD）'!$B435="",'实盘净值数据(iFinD）'!$Z435="",'实盘净值数据(iFinD）'!$AA435=""),"",分期持仓明细!$AB$23*(SUMPRODUCT(分期持仓明细!$B$23:$Y$23,'实盘净值数据(iFinD）'!$B435:$Y435/'实盘净值数据(iFinD）'!$B$65:$Y$65)+SUMPRODUCT(分期持仓明细!$AC$23:$AD$23,'实盘净值数据(iFinD）'!$Z435:$AA435/'实盘净值数据(iFinD）'!$Z$65:$AA$65))*(1-实盘持仓初始配置!$Z$7)^(('实盘净值数据(iFinD）'!$A435-'实盘净值数据(iFinD）'!$A$8)/365))</f>
        <v/>
      </c>
      <c r="L435" s="16" t="str">
        <f t="shared" si="39"/>
        <v/>
      </c>
      <c r="M435" s="16" t="str">
        <f>IF(K435="","",K435/MAX(K$5:K435)-1)</f>
        <v/>
      </c>
      <c r="N435" s="13" t="str">
        <f>IF(OR('实盘净值数据(iFinD）'!$A435="",'实盘净值数据(iFinD）'!$B435="",'实盘净值数据(iFinD）'!$Z435="",'实盘净值数据(iFinD）'!$AA435=""),"",分期持仓明细!$AB$24*(SUMPRODUCT(分期持仓明细!$B$24:$Y$24,'实盘净值数据(iFinD）'!$B435:$Y435/'实盘净值数据(iFinD）'!$B$65:$Y$65)+SUMPRODUCT(分期持仓明细!$AC$24:$AD$24,'实盘净值数据(iFinD）'!$Z435:$AA435/'实盘净值数据(iFinD）'!$Z$65:$AA$65))*(1-实盘持仓初始配置!$Z$8)^(('实盘净值数据(iFinD）'!$A435-'实盘净值数据(iFinD）'!$A$5)/365))</f>
        <v/>
      </c>
      <c r="O435" s="16" t="str">
        <f t="shared" si="40"/>
        <v/>
      </c>
      <c r="P435" s="16" t="str">
        <f>IF(N435="","",N435/MAX(N$5:N435)-1)</f>
        <v/>
      </c>
      <c r="Q435" s="13" t="str">
        <f>IF(OR('实盘净值数据(iFinD）'!$A435="",'实盘净值数据(iFinD）'!$B435="",'实盘净值数据(iFinD）'!$Z435="",'实盘净值数据(iFinD）'!$AA435=""),"",分期持仓明细!$AB$25*(SUMPRODUCT(分期持仓明细!$B$25:$Y$25,'实盘净值数据(iFinD）'!$B435:$Y435/'实盘净值数据(iFinD）'!$B$65:$Y$65)+SUMPRODUCT(分期持仓明细!$AC$25:$AD$25,'实盘净值数据(iFinD）'!$Z435:$AA435/'实盘净值数据(iFinD）'!$Z$65:$AA$65))*(1-实盘持仓初始配置!$Z$9)^(('实盘净值数据(iFinD）'!$A435-'实盘净值数据(iFinD）'!$A$8)/365))</f>
        <v/>
      </c>
      <c r="R435" s="16" t="str">
        <f t="shared" si="41"/>
        <v/>
      </c>
      <c r="S435" s="16" t="str">
        <f>IF(Q435="","",Q435/MAX(Q$5:Q435)-1)</f>
        <v/>
      </c>
      <c r="T435" s="13">
        <f>IF(OR('实盘净值数据(iFinD）'!$A435="",'实盘净值数据(iFinD）'!$B435="",'实盘净值数据(iFinD）'!$Z435="",'实盘净值数据(iFinD）'!$AA435="",'实盘净值数据(iFinD）'!$AB435="",'实盘净值数据(iFinD）'!$AL435=""),"",(SUMPRODUCT(分期持仓明细!$B$26:$Y$26,'实盘净值数据(iFinD）'!$B435:$Y435/'实盘净值数据(iFinD）'!$B$69:$Y$69)+SUMPRODUCT(分期持仓明细!$AC$26:$AD$26,'实盘净值数据(iFinD）'!$Z435:$AA435/'实盘净值数据(iFinD）'!$Z$69:$AA$69)+SUMPRODUCT(分期持仓明细!$AE$26:$AO$26,'实盘净值数据(iFinD）'!$AB435:$AL435/'实盘净值数据(iFinD）'!$AB$69:$AL$69))*(1-实盘持仓初始配置!$Z$10)^(('实盘净值数据(iFinD）'!$A435-'实盘净值数据(iFinD）'!$A$69)/365))</f>
        <v/>
      </c>
      <c r="U435" s="16">
        <f>IF(OR(T434="",T435=""),"",T435/T434-1)</f>
        <v/>
      </c>
      <c r="V435" s="16">
        <f>IF(T435="","",T435/MAX(T$5:T435)-1)</f>
        <v/>
      </c>
    </row>
    <row r="436" spans="1:19">
      <c r="A436" s="15" t="str">
        <f>IF('实盘净值数据(iFinD）'!A436="","",'实盘净值数据(iFinD）'!A436)</f>
        <v/>
      </c>
      <c r="B436" s="13" t="str">
        <f>IF(OR('实盘净值数据(iFinD）'!$A436="",'实盘净值数据(iFinD）'!$B436=""),"",分期持仓明细!$AB$17*SUMPRODUCT(分期持仓明细!$B$17:$Y$17,'实盘净值数据(iFinD）'!$B436:$Y436/'实盘净值数据(iFinD）'!$B$20:$Y$20)*(1-实盘持仓初始配置!$Z$4)^(('实盘净值数据(iFinD）'!$A436-'实盘净值数据(iFinD）'!$A$6)/365))</f>
        <v/>
      </c>
      <c r="C436" s="16" t="str">
        <f t="shared" si="36"/>
        <v/>
      </c>
      <c r="D436" s="16" t="str">
        <f>IF(B436="","",B436/MAX(B$5:B436)-1)</f>
        <v/>
      </c>
      <c r="E436" s="13" t="str">
        <f>IF(OR('实盘净值数据(iFinD）'!$A436="",'实盘净值数据(iFinD）'!$B436=""),"",分期持仓明细!$AB$18*SUMPRODUCT(分期持仓明细!$B$18:$Y$18,'实盘净值数据(iFinD）'!$B436:$Y436/'实盘净值数据(iFinD）'!$B$20:$Y$20)*(1-实盘持仓初始配置!$Z$5)^(('实盘净值数据(iFinD）'!$A436-'实盘净值数据(iFinD）'!$A$5)/365))</f>
        <v/>
      </c>
      <c r="F436" s="16" t="str">
        <f t="shared" si="37"/>
        <v/>
      </c>
      <c r="G436" s="16" t="str">
        <f>IF(E436="","",E436/MAX(E$5:E436)-1)</f>
        <v/>
      </c>
      <c r="H436" s="13" t="str">
        <f>IF(OR('实盘净值数据(iFinD）'!$A436="",'实盘净值数据(iFinD）'!$B436=""),"",分期持仓明细!$AB$19*SUMPRODUCT(分期持仓明细!$B$19:$Y$19,'实盘净值数据(iFinD）'!$B436:$Y436/'实盘净值数据(iFinD）'!$B$20:$Y$20)*(1-实盘持仓初始配置!$Z$6)^(('实盘净值数据(iFinD）'!$A436-'实盘净值数据(iFinD）'!$A$7)/365))</f>
        <v/>
      </c>
      <c r="I436" s="16" t="str">
        <f t="shared" si="38"/>
        <v/>
      </c>
      <c r="J436" s="16" t="str">
        <f>IF(H436="","",H436/MAX(H$5:H436)-1)</f>
        <v/>
      </c>
      <c r="K436" s="13" t="str">
        <f>IF(OR('实盘净值数据(iFinD）'!$A436="",'实盘净值数据(iFinD）'!$B436="",'实盘净值数据(iFinD）'!$Z436="",'实盘净值数据(iFinD）'!$AA436=""),"",分期持仓明细!$AB$23*(SUMPRODUCT(分期持仓明细!$B$23:$Y$23,'实盘净值数据(iFinD）'!$B436:$Y436/'实盘净值数据(iFinD）'!$B$65:$Y$65)+SUMPRODUCT(分期持仓明细!$AC$23:$AD$23,'实盘净值数据(iFinD）'!$Z436:$AA436/'实盘净值数据(iFinD）'!$Z$65:$AA$65))*(1-实盘持仓初始配置!$Z$7)^(('实盘净值数据(iFinD）'!$A436-'实盘净值数据(iFinD）'!$A$8)/365))</f>
        <v/>
      </c>
      <c r="L436" s="16" t="str">
        <f t="shared" si="39"/>
        <v/>
      </c>
      <c r="M436" s="16" t="str">
        <f>IF(K436="","",K436/MAX(K$5:K436)-1)</f>
        <v/>
      </c>
      <c r="N436" s="13" t="str">
        <f>IF(OR('实盘净值数据(iFinD）'!$A436="",'实盘净值数据(iFinD）'!$B436="",'实盘净值数据(iFinD）'!$Z436="",'实盘净值数据(iFinD）'!$AA436=""),"",分期持仓明细!$AB$24*(SUMPRODUCT(分期持仓明细!$B$24:$Y$24,'实盘净值数据(iFinD）'!$B436:$Y436/'实盘净值数据(iFinD）'!$B$65:$Y$65)+SUMPRODUCT(分期持仓明细!$AC$24:$AD$24,'实盘净值数据(iFinD）'!$Z436:$AA436/'实盘净值数据(iFinD）'!$Z$65:$AA$65))*(1-实盘持仓初始配置!$Z$8)^(('实盘净值数据(iFinD）'!$A436-'实盘净值数据(iFinD）'!$A$5)/365))</f>
        <v/>
      </c>
      <c r="O436" s="16" t="str">
        <f t="shared" si="40"/>
        <v/>
      </c>
      <c r="P436" s="16" t="str">
        <f>IF(N436="","",N436/MAX(N$5:N436)-1)</f>
        <v/>
      </c>
      <c r="Q436" s="13" t="str">
        <f>IF(OR('实盘净值数据(iFinD）'!$A436="",'实盘净值数据(iFinD）'!$B436="",'实盘净值数据(iFinD）'!$Z436="",'实盘净值数据(iFinD）'!$AA436=""),"",分期持仓明细!$AB$25*(SUMPRODUCT(分期持仓明细!$B$25:$Y$25,'实盘净值数据(iFinD）'!$B436:$Y436/'实盘净值数据(iFinD）'!$B$65:$Y$65)+SUMPRODUCT(分期持仓明细!$AC$25:$AD$25,'实盘净值数据(iFinD）'!$Z436:$AA436/'实盘净值数据(iFinD）'!$Z$65:$AA$65))*(1-实盘持仓初始配置!$Z$9)^(('实盘净值数据(iFinD）'!$A436-'实盘净值数据(iFinD）'!$A$8)/365))</f>
        <v/>
      </c>
      <c r="R436" s="16" t="str">
        <f t="shared" si="41"/>
        <v/>
      </c>
      <c r="S436" s="16" t="str">
        <f>IF(Q436="","",Q436/MAX(Q$5:Q436)-1)</f>
        <v/>
      </c>
      <c r="T436" s="13">
        <f>IF(OR('实盘净值数据(iFinD）'!$A436="",'实盘净值数据(iFinD）'!$B436="",'实盘净值数据(iFinD）'!$Z436="",'实盘净值数据(iFinD）'!$AA436="",'实盘净值数据(iFinD）'!$AB436="",'实盘净值数据(iFinD）'!$AL436=""),"",(SUMPRODUCT(分期持仓明细!$B$26:$Y$26,'实盘净值数据(iFinD）'!$B436:$Y436/'实盘净值数据(iFinD）'!$B$69:$Y$69)+SUMPRODUCT(分期持仓明细!$AC$26:$AD$26,'实盘净值数据(iFinD）'!$Z436:$AA436/'实盘净值数据(iFinD）'!$Z$69:$AA$69)+SUMPRODUCT(分期持仓明细!$AE$26:$AO$26,'实盘净值数据(iFinD）'!$AB436:$AL436/'实盘净值数据(iFinD）'!$AB$69:$AL$69))*(1-实盘持仓初始配置!$Z$10)^(('实盘净值数据(iFinD）'!$A436-'实盘净值数据(iFinD）'!$A$69)/365))</f>
        <v/>
      </c>
      <c r="U436" s="16">
        <f>IF(OR(T435="",T436=""),"",T436/T435-1)</f>
        <v/>
      </c>
      <c r="V436" s="16">
        <f>IF(T436="","",T436/MAX(T$5:T436)-1)</f>
        <v/>
      </c>
    </row>
    <row r="437" spans="1:19">
      <c r="A437" s="15" t="str">
        <f>IF('实盘净值数据(iFinD）'!A437="","",'实盘净值数据(iFinD）'!A437)</f>
        <v/>
      </c>
      <c r="B437" s="13" t="str">
        <f>IF(OR('实盘净值数据(iFinD）'!$A437="",'实盘净值数据(iFinD）'!$B437=""),"",分期持仓明细!$AB$17*SUMPRODUCT(分期持仓明细!$B$17:$Y$17,'实盘净值数据(iFinD）'!$B437:$Y437/'实盘净值数据(iFinD）'!$B$20:$Y$20)*(1-实盘持仓初始配置!$Z$4)^(('实盘净值数据(iFinD）'!$A437-'实盘净值数据(iFinD）'!$A$6)/365))</f>
        <v/>
      </c>
      <c r="C437" s="16" t="str">
        <f t="shared" si="36"/>
        <v/>
      </c>
      <c r="D437" s="16" t="str">
        <f>IF(B437="","",B437/MAX(B$5:B437)-1)</f>
        <v/>
      </c>
      <c r="E437" s="13" t="str">
        <f>IF(OR('实盘净值数据(iFinD）'!$A437="",'实盘净值数据(iFinD）'!$B437=""),"",分期持仓明细!$AB$18*SUMPRODUCT(分期持仓明细!$B$18:$Y$18,'实盘净值数据(iFinD）'!$B437:$Y437/'实盘净值数据(iFinD）'!$B$20:$Y$20)*(1-实盘持仓初始配置!$Z$5)^(('实盘净值数据(iFinD）'!$A437-'实盘净值数据(iFinD）'!$A$5)/365))</f>
        <v/>
      </c>
      <c r="F437" s="16" t="str">
        <f t="shared" si="37"/>
        <v/>
      </c>
      <c r="G437" s="16" t="str">
        <f>IF(E437="","",E437/MAX(E$5:E437)-1)</f>
        <v/>
      </c>
      <c r="H437" s="13" t="str">
        <f>IF(OR('实盘净值数据(iFinD）'!$A437="",'实盘净值数据(iFinD）'!$B437=""),"",分期持仓明细!$AB$19*SUMPRODUCT(分期持仓明细!$B$19:$Y$19,'实盘净值数据(iFinD）'!$B437:$Y437/'实盘净值数据(iFinD）'!$B$20:$Y$20)*(1-实盘持仓初始配置!$Z$6)^(('实盘净值数据(iFinD）'!$A437-'实盘净值数据(iFinD）'!$A$7)/365))</f>
        <v/>
      </c>
      <c r="I437" s="16" t="str">
        <f t="shared" si="38"/>
        <v/>
      </c>
      <c r="J437" s="16" t="str">
        <f>IF(H437="","",H437/MAX(H$5:H437)-1)</f>
        <v/>
      </c>
      <c r="K437" s="13" t="str">
        <f>IF(OR('实盘净值数据(iFinD）'!$A437="",'实盘净值数据(iFinD）'!$B437="",'实盘净值数据(iFinD）'!$Z437="",'实盘净值数据(iFinD）'!$AA437=""),"",分期持仓明细!$AB$23*(SUMPRODUCT(分期持仓明细!$B$23:$Y$23,'实盘净值数据(iFinD）'!$B437:$Y437/'实盘净值数据(iFinD）'!$B$65:$Y$65)+SUMPRODUCT(分期持仓明细!$AC$23:$AD$23,'实盘净值数据(iFinD）'!$Z437:$AA437/'实盘净值数据(iFinD）'!$Z$65:$AA$65))*(1-实盘持仓初始配置!$Z$7)^(('实盘净值数据(iFinD）'!$A437-'实盘净值数据(iFinD）'!$A$8)/365))</f>
        <v/>
      </c>
      <c r="L437" s="16" t="str">
        <f t="shared" si="39"/>
        <v/>
      </c>
      <c r="M437" s="16" t="str">
        <f>IF(K437="","",K437/MAX(K$5:K437)-1)</f>
        <v/>
      </c>
      <c r="N437" s="13" t="str">
        <f>IF(OR('实盘净值数据(iFinD）'!$A437="",'实盘净值数据(iFinD）'!$B437="",'实盘净值数据(iFinD）'!$Z437="",'实盘净值数据(iFinD）'!$AA437=""),"",分期持仓明细!$AB$24*(SUMPRODUCT(分期持仓明细!$B$24:$Y$24,'实盘净值数据(iFinD）'!$B437:$Y437/'实盘净值数据(iFinD）'!$B$65:$Y$65)+SUMPRODUCT(分期持仓明细!$AC$24:$AD$24,'实盘净值数据(iFinD）'!$Z437:$AA437/'实盘净值数据(iFinD）'!$Z$65:$AA$65))*(1-实盘持仓初始配置!$Z$8)^(('实盘净值数据(iFinD）'!$A437-'实盘净值数据(iFinD）'!$A$5)/365))</f>
        <v/>
      </c>
      <c r="O437" s="16" t="str">
        <f t="shared" si="40"/>
        <v/>
      </c>
      <c r="P437" s="16" t="str">
        <f>IF(N437="","",N437/MAX(N$5:N437)-1)</f>
        <v/>
      </c>
      <c r="Q437" s="13" t="str">
        <f>IF(OR('实盘净值数据(iFinD）'!$A437="",'实盘净值数据(iFinD）'!$B437="",'实盘净值数据(iFinD）'!$Z437="",'实盘净值数据(iFinD）'!$AA437=""),"",分期持仓明细!$AB$25*(SUMPRODUCT(分期持仓明细!$B$25:$Y$25,'实盘净值数据(iFinD）'!$B437:$Y437/'实盘净值数据(iFinD）'!$B$65:$Y$65)+SUMPRODUCT(分期持仓明细!$AC$25:$AD$25,'实盘净值数据(iFinD）'!$Z437:$AA437/'实盘净值数据(iFinD）'!$Z$65:$AA$65))*(1-实盘持仓初始配置!$Z$9)^(('实盘净值数据(iFinD）'!$A437-'实盘净值数据(iFinD）'!$A$8)/365))</f>
        <v/>
      </c>
      <c r="R437" s="16" t="str">
        <f t="shared" si="41"/>
        <v/>
      </c>
      <c r="S437" s="16" t="str">
        <f>IF(Q437="","",Q437/MAX(Q$5:Q437)-1)</f>
        <v/>
      </c>
      <c r="T437" s="13">
        <f>IF(OR('实盘净值数据(iFinD）'!$A437="",'实盘净值数据(iFinD）'!$B437="",'实盘净值数据(iFinD）'!$Z437="",'实盘净值数据(iFinD）'!$AA437="",'实盘净值数据(iFinD）'!$AB437="",'实盘净值数据(iFinD）'!$AL437=""),"",(SUMPRODUCT(分期持仓明细!$B$26:$Y$26,'实盘净值数据(iFinD）'!$B437:$Y437/'实盘净值数据(iFinD）'!$B$69:$Y$69)+SUMPRODUCT(分期持仓明细!$AC$26:$AD$26,'实盘净值数据(iFinD）'!$Z437:$AA437/'实盘净值数据(iFinD）'!$Z$69:$AA$69)+SUMPRODUCT(分期持仓明细!$AE$26:$AO$26,'实盘净值数据(iFinD）'!$AB437:$AL437/'实盘净值数据(iFinD）'!$AB$69:$AL$69))*(1-实盘持仓初始配置!$Z$10)^(('实盘净值数据(iFinD）'!$A437-'实盘净值数据(iFinD）'!$A$69)/365))</f>
        <v/>
      </c>
      <c r="U437" s="16">
        <f>IF(OR(T436="",T437=""),"",T437/T436-1)</f>
        <v/>
      </c>
      <c r="V437" s="16">
        <f>IF(T437="","",T437/MAX(T$5:T437)-1)</f>
        <v/>
      </c>
    </row>
    <row r="438" spans="1:19">
      <c r="A438" s="15" t="str">
        <f>IF('实盘净值数据(iFinD）'!A438="","",'实盘净值数据(iFinD）'!A438)</f>
        <v/>
      </c>
      <c r="B438" s="13" t="str">
        <f>IF(OR('实盘净值数据(iFinD）'!$A438="",'实盘净值数据(iFinD）'!$B438=""),"",分期持仓明细!$AB$17*SUMPRODUCT(分期持仓明细!$B$17:$Y$17,'实盘净值数据(iFinD）'!$B438:$Y438/'实盘净值数据(iFinD）'!$B$20:$Y$20)*(1-实盘持仓初始配置!$Z$4)^(('实盘净值数据(iFinD）'!$A438-'实盘净值数据(iFinD）'!$A$6)/365))</f>
        <v/>
      </c>
      <c r="C438" s="16" t="str">
        <f t="shared" si="36"/>
        <v/>
      </c>
      <c r="D438" s="16" t="str">
        <f>IF(B438="","",B438/MAX(B$5:B438)-1)</f>
        <v/>
      </c>
      <c r="E438" s="13" t="str">
        <f>IF(OR('实盘净值数据(iFinD）'!$A438="",'实盘净值数据(iFinD）'!$B438=""),"",分期持仓明细!$AB$18*SUMPRODUCT(分期持仓明细!$B$18:$Y$18,'实盘净值数据(iFinD）'!$B438:$Y438/'实盘净值数据(iFinD）'!$B$20:$Y$20)*(1-实盘持仓初始配置!$Z$5)^(('实盘净值数据(iFinD）'!$A438-'实盘净值数据(iFinD）'!$A$5)/365))</f>
        <v/>
      </c>
      <c r="F438" s="16" t="str">
        <f t="shared" si="37"/>
        <v/>
      </c>
      <c r="G438" s="16" t="str">
        <f>IF(E438="","",E438/MAX(E$5:E438)-1)</f>
        <v/>
      </c>
      <c r="H438" s="13" t="str">
        <f>IF(OR('实盘净值数据(iFinD）'!$A438="",'实盘净值数据(iFinD）'!$B438=""),"",分期持仓明细!$AB$19*SUMPRODUCT(分期持仓明细!$B$19:$Y$19,'实盘净值数据(iFinD）'!$B438:$Y438/'实盘净值数据(iFinD）'!$B$20:$Y$20)*(1-实盘持仓初始配置!$Z$6)^(('实盘净值数据(iFinD）'!$A438-'实盘净值数据(iFinD）'!$A$7)/365))</f>
        <v/>
      </c>
      <c r="I438" s="16" t="str">
        <f t="shared" si="38"/>
        <v/>
      </c>
      <c r="J438" s="16" t="str">
        <f>IF(H438="","",H438/MAX(H$5:H438)-1)</f>
        <v/>
      </c>
      <c r="K438" s="13" t="str">
        <f>IF(OR('实盘净值数据(iFinD）'!$A438="",'实盘净值数据(iFinD）'!$B438="",'实盘净值数据(iFinD）'!$Z438="",'实盘净值数据(iFinD）'!$AA438=""),"",分期持仓明细!$AB$23*(SUMPRODUCT(分期持仓明细!$B$23:$Y$23,'实盘净值数据(iFinD）'!$B438:$Y438/'实盘净值数据(iFinD）'!$B$65:$Y$65)+SUMPRODUCT(分期持仓明细!$AC$23:$AD$23,'实盘净值数据(iFinD）'!$Z438:$AA438/'实盘净值数据(iFinD）'!$Z$65:$AA$65))*(1-实盘持仓初始配置!$Z$7)^(('实盘净值数据(iFinD）'!$A438-'实盘净值数据(iFinD）'!$A$8)/365))</f>
        <v/>
      </c>
      <c r="L438" s="16" t="str">
        <f t="shared" si="39"/>
        <v/>
      </c>
      <c r="M438" s="16" t="str">
        <f>IF(K438="","",K438/MAX(K$5:K438)-1)</f>
        <v/>
      </c>
      <c r="N438" s="13" t="str">
        <f>IF(OR('实盘净值数据(iFinD）'!$A438="",'实盘净值数据(iFinD）'!$B438="",'实盘净值数据(iFinD）'!$Z438="",'实盘净值数据(iFinD）'!$AA438=""),"",分期持仓明细!$AB$24*(SUMPRODUCT(分期持仓明细!$B$24:$Y$24,'实盘净值数据(iFinD）'!$B438:$Y438/'实盘净值数据(iFinD）'!$B$65:$Y$65)+SUMPRODUCT(分期持仓明细!$AC$24:$AD$24,'实盘净值数据(iFinD）'!$Z438:$AA438/'实盘净值数据(iFinD）'!$Z$65:$AA$65))*(1-实盘持仓初始配置!$Z$8)^(('实盘净值数据(iFinD）'!$A438-'实盘净值数据(iFinD）'!$A$5)/365))</f>
        <v/>
      </c>
      <c r="O438" s="16" t="str">
        <f t="shared" si="40"/>
        <v/>
      </c>
      <c r="P438" s="16" t="str">
        <f>IF(N438="","",N438/MAX(N$5:N438)-1)</f>
        <v/>
      </c>
      <c r="Q438" s="13" t="str">
        <f>IF(OR('实盘净值数据(iFinD）'!$A438="",'实盘净值数据(iFinD）'!$B438="",'实盘净值数据(iFinD）'!$Z438="",'实盘净值数据(iFinD）'!$AA438=""),"",分期持仓明细!$AB$25*(SUMPRODUCT(分期持仓明细!$B$25:$Y$25,'实盘净值数据(iFinD）'!$B438:$Y438/'实盘净值数据(iFinD）'!$B$65:$Y$65)+SUMPRODUCT(分期持仓明细!$AC$25:$AD$25,'实盘净值数据(iFinD）'!$Z438:$AA438/'实盘净值数据(iFinD）'!$Z$65:$AA$65))*(1-实盘持仓初始配置!$Z$9)^(('实盘净值数据(iFinD）'!$A438-'实盘净值数据(iFinD）'!$A$8)/365))</f>
        <v/>
      </c>
      <c r="R438" s="16" t="str">
        <f t="shared" si="41"/>
        <v/>
      </c>
      <c r="S438" s="16" t="str">
        <f>IF(Q438="","",Q438/MAX(Q$5:Q438)-1)</f>
        <v/>
      </c>
      <c r="T438" s="13">
        <f>IF(OR('实盘净值数据(iFinD）'!$A438="",'实盘净值数据(iFinD）'!$B438="",'实盘净值数据(iFinD）'!$Z438="",'实盘净值数据(iFinD）'!$AA438="",'实盘净值数据(iFinD）'!$AB438="",'实盘净值数据(iFinD）'!$AL438=""),"",(SUMPRODUCT(分期持仓明细!$B$26:$Y$26,'实盘净值数据(iFinD）'!$B438:$Y438/'实盘净值数据(iFinD）'!$B$69:$Y$69)+SUMPRODUCT(分期持仓明细!$AC$26:$AD$26,'实盘净值数据(iFinD）'!$Z438:$AA438/'实盘净值数据(iFinD）'!$Z$69:$AA$69)+SUMPRODUCT(分期持仓明细!$AE$26:$AO$26,'实盘净值数据(iFinD）'!$AB438:$AL438/'实盘净值数据(iFinD）'!$AB$69:$AL$69))*(1-实盘持仓初始配置!$Z$10)^(('实盘净值数据(iFinD）'!$A438-'实盘净值数据(iFinD）'!$A$69)/365))</f>
        <v/>
      </c>
      <c r="U438" s="16">
        <f>IF(OR(T437="",T438=""),"",T438/T437-1)</f>
        <v/>
      </c>
      <c r="V438" s="16">
        <f>IF(T438="","",T438/MAX(T$5:T438)-1)</f>
        <v/>
      </c>
    </row>
    <row r="439" spans="1:19">
      <c r="A439" s="15" t="str">
        <f>IF('实盘净值数据(iFinD）'!A439="","",'实盘净值数据(iFinD）'!A439)</f>
        <v/>
      </c>
      <c r="B439" s="13" t="str">
        <f>IF(OR('实盘净值数据(iFinD）'!$A439="",'实盘净值数据(iFinD）'!$B439=""),"",分期持仓明细!$AB$17*SUMPRODUCT(分期持仓明细!$B$17:$Y$17,'实盘净值数据(iFinD）'!$B439:$Y439/'实盘净值数据(iFinD）'!$B$20:$Y$20)*(1-实盘持仓初始配置!$Z$4)^(('实盘净值数据(iFinD）'!$A439-'实盘净值数据(iFinD）'!$A$6)/365))</f>
        <v/>
      </c>
      <c r="C439" s="16" t="str">
        <f t="shared" si="36"/>
        <v/>
      </c>
      <c r="D439" s="16" t="str">
        <f>IF(B439="","",B439/MAX(B$5:B439)-1)</f>
        <v/>
      </c>
      <c r="E439" s="13" t="str">
        <f>IF(OR('实盘净值数据(iFinD）'!$A439="",'实盘净值数据(iFinD）'!$B439=""),"",分期持仓明细!$AB$18*SUMPRODUCT(分期持仓明细!$B$18:$Y$18,'实盘净值数据(iFinD）'!$B439:$Y439/'实盘净值数据(iFinD）'!$B$20:$Y$20)*(1-实盘持仓初始配置!$Z$5)^(('实盘净值数据(iFinD）'!$A439-'实盘净值数据(iFinD）'!$A$5)/365))</f>
        <v/>
      </c>
      <c r="F439" s="16" t="str">
        <f t="shared" si="37"/>
        <v/>
      </c>
      <c r="G439" s="16" t="str">
        <f>IF(E439="","",E439/MAX(E$5:E439)-1)</f>
        <v/>
      </c>
      <c r="H439" s="13" t="str">
        <f>IF(OR('实盘净值数据(iFinD）'!$A439="",'实盘净值数据(iFinD）'!$B439=""),"",分期持仓明细!$AB$19*SUMPRODUCT(分期持仓明细!$B$19:$Y$19,'实盘净值数据(iFinD）'!$B439:$Y439/'实盘净值数据(iFinD）'!$B$20:$Y$20)*(1-实盘持仓初始配置!$Z$6)^(('实盘净值数据(iFinD）'!$A439-'实盘净值数据(iFinD）'!$A$7)/365))</f>
        <v/>
      </c>
      <c r="I439" s="16" t="str">
        <f t="shared" si="38"/>
        <v/>
      </c>
      <c r="J439" s="16" t="str">
        <f>IF(H439="","",H439/MAX(H$5:H439)-1)</f>
        <v/>
      </c>
      <c r="K439" s="13" t="str">
        <f>IF(OR('实盘净值数据(iFinD）'!$A439="",'实盘净值数据(iFinD）'!$B439="",'实盘净值数据(iFinD）'!$Z439="",'实盘净值数据(iFinD）'!$AA439=""),"",分期持仓明细!$AB$23*(SUMPRODUCT(分期持仓明细!$B$23:$Y$23,'实盘净值数据(iFinD）'!$B439:$Y439/'实盘净值数据(iFinD）'!$B$65:$Y$65)+SUMPRODUCT(分期持仓明细!$AC$23:$AD$23,'实盘净值数据(iFinD）'!$Z439:$AA439/'实盘净值数据(iFinD）'!$Z$65:$AA$65))*(1-实盘持仓初始配置!$Z$7)^(('实盘净值数据(iFinD）'!$A439-'实盘净值数据(iFinD）'!$A$8)/365))</f>
        <v/>
      </c>
      <c r="L439" s="16" t="str">
        <f t="shared" si="39"/>
        <v/>
      </c>
      <c r="M439" s="16" t="str">
        <f>IF(K439="","",K439/MAX(K$5:K439)-1)</f>
        <v/>
      </c>
      <c r="N439" s="13" t="str">
        <f>IF(OR('实盘净值数据(iFinD）'!$A439="",'实盘净值数据(iFinD）'!$B439="",'实盘净值数据(iFinD）'!$Z439="",'实盘净值数据(iFinD）'!$AA439=""),"",分期持仓明细!$AB$24*(SUMPRODUCT(分期持仓明细!$B$24:$Y$24,'实盘净值数据(iFinD）'!$B439:$Y439/'实盘净值数据(iFinD）'!$B$65:$Y$65)+SUMPRODUCT(分期持仓明细!$AC$24:$AD$24,'实盘净值数据(iFinD）'!$Z439:$AA439/'实盘净值数据(iFinD）'!$Z$65:$AA$65))*(1-实盘持仓初始配置!$Z$8)^(('实盘净值数据(iFinD）'!$A439-'实盘净值数据(iFinD）'!$A$5)/365))</f>
        <v/>
      </c>
      <c r="O439" s="16" t="str">
        <f t="shared" si="40"/>
        <v/>
      </c>
      <c r="P439" s="16" t="str">
        <f>IF(N439="","",N439/MAX(N$5:N439)-1)</f>
        <v/>
      </c>
      <c r="Q439" s="13" t="str">
        <f>IF(OR('实盘净值数据(iFinD）'!$A439="",'实盘净值数据(iFinD）'!$B439="",'实盘净值数据(iFinD）'!$Z439="",'实盘净值数据(iFinD）'!$AA439=""),"",分期持仓明细!$AB$25*(SUMPRODUCT(分期持仓明细!$B$25:$Y$25,'实盘净值数据(iFinD）'!$B439:$Y439/'实盘净值数据(iFinD）'!$B$65:$Y$65)+SUMPRODUCT(分期持仓明细!$AC$25:$AD$25,'实盘净值数据(iFinD）'!$Z439:$AA439/'实盘净值数据(iFinD）'!$Z$65:$AA$65))*(1-实盘持仓初始配置!$Z$9)^(('实盘净值数据(iFinD）'!$A439-'实盘净值数据(iFinD）'!$A$8)/365))</f>
        <v/>
      </c>
      <c r="R439" s="16" t="str">
        <f t="shared" si="41"/>
        <v/>
      </c>
      <c r="S439" s="16" t="str">
        <f>IF(Q439="","",Q439/MAX(Q$5:Q439)-1)</f>
        <v/>
      </c>
      <c r="T439" s="13">
        <f>IF(OR('实盘净值数据(iFinD）'!$A439="",'实盘净值数据(iFinD）'!$B439="",'实盘净值数据(iFinD）'!$Z439="",'实盘净值数据(iFinD）'!$AA439="",'实盘净值数据(iFinD）'!$AB439="",'实盘净值数据(iFinD）'!$AL439=""),"",(SUMPRODUCT(分期持仓明细!$B$26:$Y$26,'实盘净值数据(iFinD）'!$B439:$Y439/'实盘净值数据(iFinD）'!$B$69:$Y$69)+SUMPRODUCT(分期持仓明细!$AC$26:$AD$26,'实盘净值数据(iFinD）'!$Z439:$AA439/'实盘净值数据(iFinD）'!$Z$69:$AA$69)+SUMPRODUCT(分期持仓明细!$AE$26:$AO$26,'实盘净值数据(iFinD）'!$AB439:$AL439/'实盘净值数据(iFinD）'!$AB$69:$AL$69))*(1-实盘持仓初始配置!$Z$10)^(('实盘净值数据(iFinD）'!$A439-'实盘净值数据(iFinD）'!$A$69)/365))</f>
        <v/>
      </c>
      <c r="U439" s="16">
        <f>IF(OR(T438="",T439=""),"",T439/T438-1)</f>
        <v/>
      </c>
      <c r="V439" s="16">
        <f>IF(T439="","",T439/MAX(T$5:T439)-1)</f>
        <v/>
      </c>
    </row>
    <row r="440" spans="1:19">
      <c r="A440" s="15" t="str">
        <f>IF('实盘净值数据(iFinD）'!A440="","",'实盘净值数据(iFinD）'!A440)</f>
        <v/>
      </c>
      <c r="B440" s="13" t="str">
        <f>IF(OR('实盘净值数据(iFinD）'!$A440="",'实盘净值数据(iFinD）'!$B440=""),"",分期持仓明细!$AB$17*SUMPRODUCT(分期持仓明细!$B$17:$Y$17,'实盘净值数据(iFinD）'!$B440:$Y440/'实盘净值数据(iFinD）'!$B$20:$Y$20)*(1-实盘持仓初始配置!$Z$4)^(('实盘净值数据(iFinD）'!$A440-'实盘净值数据(iFinD）'!$A$6)/365))</f>
        <v/>
      </c>
      <c r="C440" s="16" t="str">
        <f t="shared" si="36"/>
        <v/>
      </c>
      <c r="D440" s="16" t="str">
        <f>IF(B440="","",B440/MAX(B$5:B440)-1)</f>
        <v/>
      </c>
      <c r="E440" s="13" t="str">
        <f>IF(OR('实盘净值数据(iFinD）'!$A440="",'实盘净值数据(iFinD）'!$B440=""),"",分期持仓明细!$AB$18*SUMPRODUCT(分期持仓明细!$B$18:$Y$18,'实盘净值数据(iFinD）'!$B440:$Y440/'实盘净值数据(iFinD）'!$B$20:$Y$20)*(1-实盘持仓初始配置!$Z$5)^(('实盘净值数据(iFinD）'!$A440-'实盘净值数据(iFinD）'!$A$5)/365))</f>
        <v/>
      </c>
      <c r="F440" s="16" t="str">
        <f t="shared" si="37"/>
        <v/>
      </c>
      <c r="G440" s="16" t="str">
        <f>IF(E440="","",E440/MAX(E$5:E440)-1)</f>
        <v/>
      </c>
      <c r="H440" s="13" t="str">
        <f>IF(OR('实盘净值数据(iFinD）'!$A440="",'实盘净值数据(iFinD）'!$B440=""),"",分期持仓明细!$AB$19*SUMPRODUCT(分期持仓明细!$B$19:$Y$19,'实盘净值数据(iFinD）'!$B440:$Y440/'实盘净值数据(iFinD）'!$B$20:$Y$20)*(1-实盘持仓初始配置!$Z$6)^(('实盘净值数据(iFinD）'!$A440-'实盘净值数据(iFinD）'!$A$7)/365))</f>
        <v/>
      </c>
      <c r="I440" s="16" t="str">
        <f t="shared" si="38"/>
        <v/>
      </c>
      <c r="J440" s="16" t="str">
        <f>IF(H440="","",H440/MAX(H$5:H440)-1)</f>
        <v/>
      </c>
      <c r="K440" s="13" t="str">
        <f>IF(OR('实盘净值数据(iFinD）'!$A440="",'实盘净值数据(iFinD）'!$B440="",'实盘净值数据(iFinD）'!$Z440="",'实盘净值数据(iFinD）'!$AA440=""),"",分期持仓明细!$AB$23*(SUMPRODUCT(分期持仓明细!$B$23:$Y$23,'实盘净值数据(iFinD）'!$B440:$Y440/'实盘净值数据(iFinD）'!$B$65:$Y$65)+SUMPRODUCT(分期持仓明细!$AC$23:$AD$23,'实盘净值数据(iFinD）'!$Z440:$AA440/'实盘净值数据(iFinD）'!$Z$65:$AA$65))*(1-实盘持仓初始配置!$Z$7)^(('实盘净值数据(iFinD）'!$A440-'实盘净值数据(iFinD）'!$A$8)/365))</f>
        <v/>
      </c>
      <c r="L440" s="16" t="str">
        <f t="shared" si="39"/>
        <v/>
      </c>
      <c r="M440" s="16" t="str">
        <f>IF(K440="","",K440/MAX(K$5:K440)-1)</f>
        <v/>
      </c>
      <c r="N440" s="13" t="str">
        <f>IF(OR('实盘净值数据(iFinD）'!$A440="",'实盘净值数据(iFinD）'!$B440="",'实盘净值数据(iFinD）'!$Z440="",'实盘净值数据(iFinD）'!$AA440=""),"",分期持仓明细!$AB$24*(SUMPRODUCT(分期持仓明细!$B$24:$Y$24,'实盘净值数据(iFinD）'!$B440:$Y440/'实盘净值数据(iFinD）'!$B$65:$Y$65)+SUMPRODUCT(分期持仓明细!$AC$24:$AD$24,'实盘净值数据(iFinD）'!$Z440:$AA440/'实盘净值数据(iFinD）'!$Z$65:$AA$65))*(1-实盘持仓初始配置!$Z$8)^(('实盘净值数据(iFinD）'!$A440-'实盘净值数据(iFinD）'!$A$5)/365))</f>
        <v/>
      </c>
      <c r="O440" s="16" t="str">
        <f t="shared" si="40"/>
        <v/>
      </c>
      <c r="P440" s="16" t="str">
        <f>IF(N440="","",N440/MAX(N$5:N440)-1)</f>
        <v/>
      </c>
      <c r="Q440" s="13" t="str">
        <f>IF(OR('实盘净值数据(iFinD）'!$A440="",'实盘净值数据(iFinD）'!$B440="",'实盘净值数据(iFinD）'!$Z440="",'实盘净值数据(iFinD）'!$AA440=""),"",分期持仓明细!$AB$25*(SUMPRODUCT(分期持仓明细!$B$25:$Y$25,'实盘净值数据(iFinD）'!$B440:$Y440/'实盘净值数据(iFinD）'!$B$65:$Y$65)+SUMPRODUCT(分期持仓明细!$AC$25:$AD$25,'实盘净值数据(iFinD）'!$Z440:$AA440/'实盘净值数据(iFinD）'!$Z$65:$AA$65))*(1-实盘持仓初始配置!$Z$9)^(('实盘净值数据(iFinD）'!$A440-'实盘净值数据(iFinD）'!$A$8)/365))</f>
        <v/>
      </c>
      <c r="R440" s="16" t="str">
        <f t="shared" si="41"/>
        <v/>
      </c>
      <c r="S440" s="16" t="str">
        <f>IF(Q440="","",Q440/MAX(Q$5:Q440)-1)</f>
        <v/>
      </c>
      <c r="T440" s="13">
        <f>IF(OR('实盘净值数据(iFinD）'!$A440="",'实盘净值数据(iFinD）'!$B440="",'实盘净值数据(iFinD）'!$Z440="",'实盘净值数据(iFinD）'!$AA440="",'实盘净值数据(iFinD）'!$AB440="",'实盘净值数据(iFinD）'!$AL440=""),"",(SUMPRODUCT(分期持仓明细!$B$26:$Y$26,'实盘净值数据(iFinD）'!$B440:$Y440/'实盘净值数据(iFinD）'!$B$69:$Y$69)+SUMPRODUCT(分期持仓明细!$AC$26:$AD$26,'实盘净值数据(iFinD）'!$Z440:$AA440/'实盘净值数据(iFinD）'!$Z$69:$AA$69)+SUMPRODUCT(分期持仓明细!$AE$26:$AO$26,'实盘净值数据(iFinD）'!$AB440:$AL440/'实盘净值数据(iFinD）'!$AB$69:$AL$69))*(1-实盘持仓初始配置!$Z$10)^(('实盘净值数据(iFinD）'!$A440-'实盘净值数据(iFinD）'!$A$69)/365))</f>
        <v/>
      </c>
      <c r="U440" s="16">
        <f>IF(OR(T439="",T440=""),"",T440/T439-1)</f>
        <v/>
      </c>
      <c r="V440" s="16">
        <f>IF(T440="","",T440/MAX(T$5:T440)-1)</f>
        <v/>
      </c>
    </row>
    <row r="441" spans="1:19">
      <c r="A441" s="15" t="str">
        <f>IF('实盘净值数据(iFinD）'!A441="","",'实盘净值数据(iFinD）'!A441)</f>
        <v/>
      </c>
      <c r="B441" s="13" t="str">
        <f>IF(OR('实盘净值数据(iFinD）'!$A441="",'实盘净值数据(iFinD）'!$B441=""),"",分期持仓明细!$AB$17*SUMPRODUCT(分期持仓明细!$B$17:$Y$17,'实盘净值数据(iFinD）'!$B441:$Y441/'实盘净值数据(iFinD）'!$B$20:$Y$20)*(1-实盘持仓初始配置!$Z$4)^(('实盘净值数据(iFinD）'!$A441-'实盘净值数据(iFinD）'!$A$6)/365))</f>
        <v/>
      </c>
      <c r="C441" s="16" t="str">
        <f t="shared" si="36"/>
        <v/>
      </c>
      <c r="D441" s="16" t="str">
        <f>IF(B441="","",B441/MAX(B$5:B441)-1)</f>
        <v/>
      </c>
      <c r="E441" s="13" t="str">
        <f>IF(OR('实盘净值数据(iFinD）'!$A441="",'实盘净值数据(iFinD）'!$B441=""),"",分期持仓明细!$AB$18*SUMPRODUCT(分期持仓明细!$B$18:$Y$18,'实盘净值数据(iFinD）'!$B441:$Y441/'实盘净值数据(iFinD）'!$B$20:$Y$20)*(1-实盘持仓初始配置!$Z$5)^(('实盘净值数据(iFinD）'!$A441-'实盘净值数据(iFinD）'!$A$5)/365))</f>
        <v/>
      </c>
      <c r="F441" s="16" t="str">
        <f t="shared" si="37"/>
        <v/>
      </c>
      <c r="G441" s="16" t="str">
        <f>IF(E441="","",E441/MAX(E$5:E441)-1)</f>
        <v/>
      </c>
      <c r="H441" s="13" t="str">
        <f>IF(OR('实盘净值数据(iFinD）'!$A441="",'实盘净值数据(iFinD）'!$B441=""),"",分期持仓明细!$AB$19*SUMPRODUCT(分期持仓明细!$B$19:$Y$19,'实盘净值数据(iFinD）'!$B441:$Y441/'实盘净值数据(iFinD）'!$B$20:$Y$20)*(1-实盘持仓初始配置!$Z$6)^(('实盘净值数据(iFinD）'!$A441-'实盘净值数据(iFinD）'!$A$7)/365))</f>
        <v/>
      </c>
      <c r="I441" s="16" t="str">
        <f t="shared" si="38"/>
        <v/>
      </c>
      <c r="J441" s="16" t="str">
        <f>IF(H441="","",H441/MAX(H$5:H441)-1)</f>
        <v/>
      </c>
      <c r="K441" s="13" t="str">
        <f>IF(OR('实盘净值数据(iFinD）'!$A441="",'实盘净值数据(iFinD）'!$B441="",'实盘净值数据(iFinD）'!$Z441="",'实盘净值数据(iFinD）'!$AA441=""),"",分期持仓明细!$AB$23*(SUMPRODUCT(分期持仓明细!$B$23:$Y$23,'实盘净值数据(iFinD）'!$B441:$Y441/'实盘净值数据(iFinD）'!$B$65:$Y$65)+SUMPRODUCT(分期持仓明细!$AC$23:$AD$23,'实盘净值数据(iFinD）'!$Z441:$AA441/'实盘净值数据(iFinD）'!$Z$65:$AA$65))*(1-实盘持仓初始配置!$Z$7)^(('实盘净值数据(iFinD）'!$A441-'实盘净值数据(iFinD）'!$A$8)/365))</f>
        <v/>
      </c>
      <c r="L441" s="16" t="str">
        <f t="shared" si="39"/>
        <v/>
      </c>
      <c r="M441" s="16" t="str">
        <f>IF(K441="","",K441/MAX(K$5:K441)-1)</f>
        <v/>
      </c>
      <c r="N441" s="13" t="str">
        <f>IF(OR('实盘净值数据(iFinD）'!$A441="",'实盘净值数据(iFinD）'!$B441="",'实盘净值数据(iFinD）'!$Z441="",'实盘净值数据(iFinD）'!$AA441=""),"",分期持仓明细!$AB$24*(SUMPRODUCT(分期持仓明细!$B$24:$Y$24,'实盘净值数据(iFinD）'!$B441:$Y441/'实盘净值数据(iFinD）'!$B$65:$Y$65)+SUMPRODUCT(分期持仓明细!$AC$24:$AD$24,'实盘净值数据(iFinD）'!$Z441:$AA441/'实盘净值数据(iFinD）'!$Z$65:$AA$65))*(1-实盘持仓初始配置!$Z$8)^(('实盘净值数据(iFinD）'!$A441-'实盘净值数据(iFinD）'!$A$5)/365))</f>
        <v/>
      </c>
      <c r="O441" s="16" t="str">
        <f t="shared" si="40"/>
        <v/>
      </c>
      <c r="P441" s="16" t="str">
        <f>IF(N441="","",N441/MAX(N$5:N441)-1)</f>
        <v/>
      </c>
      <c r="Q441" s="13" t="str">
        <f>IF(OR('实盘净值数据(iFinD）'!$A441="",'实盘净值数据(iFinD）'!$B441="",'实盘净值数据(iFinD）'!$Z441="",'实盘净值数据(iFinD）'!$AA441=""),"",分期持仓明细!$AB$25*(SUMPRODUCT(分期持仓明细!$B$25:$Y$25,'实盘净值数据(iFinD）'!$B441:$Y441/'实盘净值数据(iFinD）'!$B$65:$Y$65)+SUMPRODUCT(分期持仓明细!$AC$25:$AD$25,'实盘净值数据(iFinD）'!$Z441:$AA441/'实盘净值数据(iFinD）'!$Z$65:$AA$65))*(1-实盘持仓初始配置!$Z$9)^(('实盘净值数据(iFinD）'!$A441-'实盘净值数据(iFinD）'!$A$8)/365))</f>
        <v/>
      </c>
      <c r="R441" s="16" t="str">
        <f t="shared" si="41"/>
        <v/>
      </c>
      <c r="S441" s="16" t="str">
        <f>IF(Q441="","",Q441/MAX(Q$5:Q441)-1)</f>
        <v/>
      </c>
      <c r="T441" s="13">
        <f>IF(OR('实盘净值数据(iFinD）'!$A441="",'实盘净值数据(iFinD）'!$B441="",'实盘净值数据(iFinD）'!$Z441="",'实盘净值数据(iFinD）'!$AA441="",'实盘净值数据(iFinD）'!$AB441="",'实盘净值数据(iFinD）'!$AL441=""),"",(SUMPRODUCT(分期持仓明细!$B$26:$Y$26,'实盘净值数据(iFinD）'!$B441:$Y441/'实盘净值数据(iFinD）'!$B$69:$Y$69)+SUMPRODUCT(分期持仓明细!$AC$26:$AD$26,'实盘净值数据(iFinD）'!$Z441:$AA441/'实盘净值数据(iFinD）'!$Z$69:$AA$69)+SUMPRODUCT(分期持仓明细!$AE$26:$AO$26,'实盘净值数据(iFinD）'!$AB441:$AL441/'实盘净值数据(iFinD）'!$AB$69:$AL$69))*(1-实盘持仓初始配置!$Z$10)^(('实盘净值数据(iFinD）'!$A441-'实盘净值数据(iFinD）'!$A$69)/365))</f>
        <v/>
      </c>
      <c r="U441" s="16">
        <f>IF(OR(T440="",T441=""),"",T441/T440-1)</f>
        <v/>
      </c>
      <c r="V441" s="16">
        <f>IF(T441="","",T441/MAX(T$5:T441)-1)</f>
        <v/>
      </c>
    </row>
    <row r="442" spans="1:19">
      <c r="A442" s="15" t="str">
        <f>IF('实盘净值数据(iFinD）'!A442="","",'实盘净值数据(iFinD）'!A442)</f>
        <v/>
      </c>
      <c r="B442" s="13" t="str">
        <f>IF(OR('实盘净值数据(iFinD）'!$A442="",'实盘净值数据(iFinD）'!$B442=""),"",分期持仓明细!$AB$17*SUMPRODUCT(分期持仓明细!$B$17:$Y$17,'实盘净值数据(iFinD）'!$B442:$Y442/'实盘净值数据(iFinD）'!$B$20:$Y$20)*(1-实盘持仓初始配置!$Z$4)^(('实盘净值数据(iFinD）'!$A442-'实盘净值数据(iFinD）'!$A$6)/365))</f>
        <v/>
      </c>
      <c r="C442" s="16" t="str">
        <f t="shared" si="36"/>
        <v/>
      </c>
      <c r="D442" s="16" t="str">
        <f>IF(B442="","",B442/MAX(B$5:B442)-1)</f>
        <v/>
      </c>
      <c r="E442" s="13" t="str">
        <f>IF(OR('实盘净值数据(iFinD）'!$A442="",'实盘净值数据(iFinD）'!$B442=""),"",分期持仓明细!$AB$18*SUMPRODUCT(分期持仓明细!$B$18:$Y$18,'实盘净值数据(iFinD）'!$B442:$Y442/'实盘净值数据(iFinD）'!$B$20:$Y$20)*(1-实盘持仓初始配置!$Z$5)^(('实盘净值数据(iFinD）'!$A442-'实盘净值数据(iFinD）'!$A$5)/365))</f>
        <v/>
      </c>
      <c r="F442" s="16" t="str">
        <f t="shared" si="37"/>
        <v/>
      </c>
      <c r="G442" s="16" t="str">
        <f>IF(E442="","",E442/MAX(E$5:E442)-1)</f>
        <v/>
      </c>
      <c r="H442" s="13" t="str">
        <f>IF(OR('实盘净值数据(iFinD）'!$A442="",'实盘净值数据(iFinD）'!$B442=""),"",分期持仓明细!$AB$19*SUMPRODUCT(分期持仓明细!$B$19:$Y$19,'实盘净值数据(iFinD）'!$B442:$Y442/'实盘净值数据(iFinD）'!$B$20:$Y$20)*(1-实盘持仓初始配置!$Z$6)^(('实盘净值数据(iFinD）'!$A442-'实盘净值数据(iFinD）'!$A$7)/365))</f>
        <v/>
      </c>
      <c r="I442" s="16" t="str">
        <f t="shared" si="38"/>
        <v/>
      </c>
      <c r="J442" s="16" t="str">
        <f>IF(H442="","",H442/MAX(H$5:H442)-1)</f>
        <v/>
      </c>
      <c r="K442" s="13" t="str">
        <f>IF(OR('实盘净值数据(iFinD）'!$A442="",'实盘净值数据(iFinD）'!$B442="",'实盘净值数据(iFinD）'!$Z442="",'实盘净值数据(iFinD）'!$AA442=""),"",分期持仓明细!$AB$23*(SUMPRODUCT(分期持仓明细!$B$23:$Y$23,'实盘净值数据(iFinD）'!$B442:$Y442/'实盘净值数据(iFinD）'!$B$65:$Y$65)+SUMPRODUCT(分期持仓明细!$AC$23:$AD$23,'实盘净值数据(iFinD）'!$Z442:$AA442/'实盘净值数据(iFinD）'!$Z$65:$AA$65))*(1-实盘持仓初始配置!$Z$7)^(('实盘净值数据(iFinD）'!$A442-'实盘净值数据(iFinD）'!$A$8)/365))</f>
        <v/>
      </c>
      <c r="L442" s="16" t="str">
        <f t="shared" si="39"/>
        <v/>
      </c>
      <c r="M442" s="16" t="str">
        <f>IF(K442="","",K442/MAX(K$5:K442)-1)</f>
        <v/>
      </c>
      <c r="N442" s="13" t="str">
        <f>IF(OR('实盘净值数据(iFinD）'!$A442="",'实盘净值数据(iFinD）'!$B442="",'实盘净值数据(iFinD）'!$Z442="",'实盘净值数据(iFinD）'!$AA442=""),"",分期持仓明细!$AB$24*(SUMPRODUCT(分期持仓明细!$B$24:$Y$24,'实盘净值数据(iFinD）'!$B442:$Y442/'实盘净值数据(iFinD）'!$B$65:$Y$65)+SUMPRODUCT(分期持仓明细!$AC$24:$AD$24,'实盘净值数据(iFinD）'!$Z442:$AA442/'实盘净值数据(iFinD）'!$Z$65:$AA$65))*(1-实盘持仓初始配置!$Z$8)^(('实盘净值数据(iFinD）'!$A442-'实盘净值数据(iFinD）'!$A$5)/365))</f>
        <v/>
      </c>
      <c r="O442" s="16" t="str">
        <f t="shared" si="40"/>
        <v/>
      </c>
      <c r="P442" s="16" t="str">
        <f>IF(N442="","",N442/MAX(N$5:N442)-1)</f>
        <v/>
      </c>
      <c r="Q442" s="13" t="str">
        <f>IF(OR('实盘净值数据(iFinD）'!$A442="",'实盘净值数据(iFinD）'!$B442="",'实盘净值数据(iFinD）'!$Z442="",'实盘净值数据(iFinD）'!$AA442=""),"",分期持仓明细!$AB$25*(SUMPRODUCT(分期持仓明细!$B$25:$Y$25,'实盘净值数据(iFinD）'!$B442:$Y442/'实盘净值数据(iFinD）'!$B$65:$Y$65)+SUMPRODUCT(分期持仓明细!$AC$25:$AD$25,'实盘净值数据(iFinD）'!$Z442:$AA442/'实盘净值数据(iFinD）'!$Z$65:$AA$65))*(1-实盘持仓初始配置!$Z$9)^(('实盘净值数据(iFinD）'!$A442-'实盘净值数据(iFinD）'!$A$8)/365))</f>
        <v/>
      </c>
      <c r="R442" s="16" t="str">
        <f t="shared" si="41"/>
        <v/>
      </c>
      <c r="S442" s="16" t="str">
        <f>IF(Q442="","",Q442/MAX(Q$5:Q442)-1)</f>
        <v/>
      </c>
      <c r="T442" s="13">
        <f>IF(OR('实盘净值数据(iFinD）'!$A442="",'实盘净值数据(iFinD）'!$B442="",'实盘净值数据(iFinD）'!$Z442="",'实盘净值数据(iFinD）'!$AA442="",'实盘净值数据(iFinD）'!$AB442="",'实盘净值数据(iFinD）'!$AL442=""),"",(SUMPRODUCT(分期持仓明细!$B$26:$Y$26,'实盘净值数据(iFinD）'!$B442:$Y442/'实盘净值数据(iFinD）'!$B$69:$Y$69)+SUMPRODUCT(分期持仓明细!$AC$26:$AD$26,'实盘净值数据(iFinD）'!$Z442:$AA442/'实盘净值数据(iFinD）'!$Z$69:$AA$69)+SUMPRODUCT(分期持仓明细!$AE$26:$AO$26,'实盘净值数据(iFinD）'!$AB442:$AL442/'实盘净值数据(iFinD）'!$AB$69:$AL$69))*(1-实盘持仓初始配置!$Z$10)^(('实盘净值数据(iFinD）'!$A442-'实盘净值数据(iFinD）'!$A$69)/365))</f>
        <v/>
      </c>
      <c r="U442" s="16">
        <f>IF(OR(T441="",T442=""),"",T442/T441-1)</f>
        <v/>
      </c>
      <c r="V442" s="16">
        <f>IF(T442="","",T442/MAX(T$5:T442)-1)</f>
        <v/>
      </c>
    </row>
    <row r="443" spans="1:19">
      <c r="A443" s="15" t="str">
        <f>IF('实盘净值数据(iFinD）'!A443="","",'实盘净值数据(iFinD）'!A443)</f>
        <v/>
      </c>
      <c r="B443" s="13" t="str">
        <f>IF(OR('实盘净值数据(iFinD）'!$A443="",'实盘净值数据(iFinD）'!$B443=""),"",分期持仓明细!$AB$17*SUMPRODUCT(分期持仓明细!$B$17:$Y$17,'实盘净值数据(iFinD）'!$B443:$Y443/'实盘净值数据(iFinD）'!$B$20:$Y$20)*(1-实盘持仓初始配置!$Z$4)^(('实盘净值数据(iFinD）'!$A443-'实盘净值数据(iFinD）'!$A$6)/365))</f>
        <v/>
      </c>
      <c r="C443" s="16" t="str">
        <f t="shared" si="36"/>
        <v/>
      </c>
      <c r="D443" s="16" t="str">
        <f>IF(B443="","",B443/MAX(B$5:B443)-1)</f>
        <v/>
      </c>
      <c r="E443" s="13" t="str">
        <f>IF(OR('实盘净值数据(iFinD）'!$A443="",'实盘净值数据(iFinD）'!$B443=""),"",分期持仓明细!$AB$18*SUMPRODUCT(分期持仓明细!$B$18:$Y$18,'实盘净值数据(iFinD）'!$B443:$Y443/'实盘净值数据(iFinD）'!$B$20:$Y$20)*(1-实盘持仓初始配置!$Z$5)^(('实盘净值数据(iFinD）'!$A443-'实盘净值数据(iFinD）'!$A$5)/365))</f>
        <v/>
      </c>
      <c r="F443" s="16" t="str">
        <f t="shared" si="37"/>
        <v/>
      </c>
      <c r="G443" s="16" t="str">
        <f>IF(E443="","",E443/MAX(E$5:E443)-1)</f>
        <v/>
      </c>
      <c r="H443" s="13" t="str">
        <f>IF(OR('实盘净值数据(iFinD）'!$A443="",'实盘净值数据(iFinD）'!$B443=""),"",分期持仓明细!$AB$19*SUMPRODUCT(分期持仓明细!$B$19:$Y$19,'实盘净值数据(iFinD）'!$B443:$Y443/'实盘净值数据(iFinD）'!$B$20:$Y$20)*(1-实盘持仓初始配置!$Z$6)^(('实盘净值数据(iFinD）'!$A443-'实盘净值数据(iFinD）'!$A$7)/365))</f>
        <v/>
      </c>
      <c r="I443" s="16" t="str">
        <f t="shared" si="38"/>
        <v/>
      </c>
      <c r="J443" s="16" t="str">
        <f>IF(H443="","",H443/MAX(H$5:H443)-1)</f>
        <v/>
      </c>
      <c r="K443" s="13" t="str">
        <f>IF(OR('实盘净值数据(iFinD）'!$A443="",'实盘净值数据(iFinD）'!$B443="",'实盘净值数据(iFinD）'!$Z443="",'实盘净值数据(iFinD）'!$AA443=""),"",分期持仓明细!$AB$23*(SUMPRODUCT(分期持仓明细!$B$23:$Y$23,'实盘净值数据(iFinD）'!$B443:$Y443/'实盘净值数据(iFinD）'!$B$65:$Y$65)+SUMPRODUCT(分期持仓明细!$AC$23:$AD$23,'实盘净值数据(iFinD）'!$Z443:$AA443/'实盘净值数据(iFinD）'!$Z$65:$AA$65))*(1-实盘持仓初始配置!$Z$7)^(('实盘净值数据(iFinD）'!$A443-'实盘净值数据(iFinD）'!$A$8)/365))</f>
        <v/>
      </c>
      <c r="L443" s="16" t="str">
        <f t="shared" si="39"/>
        <v/>
      </c>
      <c r="M443" s="16" t="str">
        <f>IF(K443="","",K443/MAX(K$5:K443)-1)</f>
        <v/>
      </c>
      <c r="N443" s="13" t="str">
        <f>IF(OR('实盘净值数据(iFinD）'!$A443="",'实盘净值数据(iFinD）'!$B443="",'实盘净值数据(iFinD）'!$Z443="",'实盘净值数据(iFinD）'!$AA443=""),"",分期持仓明细!$AB$24*(SUMPRODUCT(分期持仓明细!$B$24:$Y$24,'实盘净值数据(iFinD）'!$B443:$Y443/'实盘净值数据(iFinD）'!$B$65:$Y$65)+SUMPRODUCT(分期持仓明细!$AC$24:$AD$24,'实盘净值数据(iFinD）'!$Z443:$AA443/'实盘净值数据(iFinD）'!$Z$65:$AA$65))*(1-实盘持仓初始配置!$Z$8)^(('实盘净值数据(iFinD）'!$A443-'实盘净值数据(iFinD）'!$A$5)/365))</f>
        <v/>
      </c>
      <c r="O443" s="16" t="str">
        <f t="shared" si="40"/>
        <v/>
      </c>
      <c r="P443" s="16" t="str">
        <f>IF(N443="","",N443/MAX(N$5:N443)-1)</f>
        <v/>
      </c>
      <c r="Q443" s="13" t="str">
        <f>IF(OR('实盘净值数据(iFinD）'!$A443="",'实盘净值数据(iFinD）'!$B443="",'实盘净值数据(iFinD）'!$Z443="",'实盘净值数据(iFinD）'!$AA443=""),"",分期持仓明细!$AB$25*(SUMPRODUCT(分期持仓明细!$B$25:$Y$25,'实盘净值数据(iFinD）'!$B443:$Y443/'实盘净值数据(iFinD）'!$B$65:$Y$65)+SUMPRODUCT(分期持仓明细!$AC$25:$AD$25,'实盘净值数据(iFinD）'!$Z443:$AA443/'实盘净值数据(iFinD）'!$Z$65:$AA$65))*(1-实盘持仓初始配置!$Z$9)^(('实盘净值数据(iFinD）'!$A443-'实盘净值数据(iFinD）'!$A$8)/365))</f>
        <v/>
      </c>
      <c r="R443" s="16" t="str">
        <f t="shared" si="41"/>
        <v/>
      </c>
      <c r="S443" s="16" t="str">
        <f>IF(Q443="","",Q443/MAX(Q$5:Q443)-1)</f>
        <v/>
      </c>
      <c r="T443" s="13">
        <f>IF(OR('实盘净值数据(iFinD）'!$A443="",'实盘净值数据(iFinD）'!$B443="",'实盘净值数据(iFinD）'!$Z443="",'实盘净值数据(iFinD）'!$AA443="",'实盘净值数据(iFinD）'!$AB443="",'实盘净值数据(iFinD）'!$AL443=""),"",(SUMPRODUCT(分期持仓明细!$B$26:$Y$26,'实盘净值数据(iFinD）'!$B443:$Y443/'实盘净值数据(iFinD）'!$B$69:$Y$69)+SUMPRODUCT(分期持仓明细!$AC$26:$AD$26,'实盘净值数据(iFinD）'!$Z443:$AA443/'实盘净值数据(iFinD）'!$Z$69:$AA$69)+SUMPRODUCT(分期持仓明细!$AE$26:$AO$26,'实盘净值数据(iFinD）'!$AB443:$AL443/'实盘净值数据(iFinD）'!$AB$69:$AL$69))*(1-实盘持仓初始配置!$Z$10)^(('实盘净值数据(iFinD）'!$A443-'实盘净值数据(iFinD）'!$A$69)/365))</f>
        <v/>
      </c>
      <c r="U443" s="16">
        <f>IF(OR(T442="",T443=""),"",T443/T442-1)</f>
        <v/>
      </c>
      <c r="V443" s="16">
        <f>IF(T443="","",T443/MAX(T$5:T443)-1)</f>
        <v/>
      </c>
    </row>
    <row r="444" spans="1:19">
      <c r="A444" s="15" t="str">
        <f>IF('实盘净值数据(iFinD）'!A444="","",'实盘净值数据(iFinD）'!A444)</f>
        <v/>
      </c>
      <c r="B444" s="13" t="str">
        <f>IF(OR('实盘净值数据(iFinD）'!$A444="",'实盘净值数据(iFinD）'!$B444=""),"",分期持仓明细!$AB$17*SUMPRODUCT(分期持仓明细!$B$17:$Y$17,'实盘净值数据(iFinD）'!$B444:$Y444/'实盘净值数据(iFinD）'!$B$20:$Y$20)*(1-实盘持仓初始配置!$Z$4)^(('实盘净值数据(iFinD）'!$A444-'实盘净值数据(iFinD）'!$A$6)/365))</f>
        <v/>
      </c>
      <c r="C444" s="16" t="str">
        <f t="shared" ref="C444:C507" si="42">IF(OR(B443="",B444=""),"",B444/B443-1)</f>
        <v/>
      </c>
      <c r="D444" s="16" t="str">
        <f>IF(B444="","",B444/MAX(B$5:B444)-1)</f>
        <v/>
      </c>
      <c r="E444" s="13" t="str">
        <f>IF(OR('实盘净值数据(iFinD）'!$A444="",'实盘净值数据(iFinD）'!$B444=""),"",分期持仓明细!$AB$18*SUMPRODUCT(分期持仓明细!$B$18:$Y$18,'实盘净值数据(iFinD）'!$B444:$Y444/'实盘净值数据(iFinD）'!$B$20:$Y$20)*(1-实盘持仓初始配置!$Z$5)^(('实盘净值数据(iFinD）'!$A444-'实盘净值数据(iFinD）'!$A$5)/365))</f>
        <v/>
      </c>
      <c r="F444" s="16" t="str">
        <f t="shared" ref="F444:F507" si="43">IF(OR(E443="",E444=""),"",E444/E443-1)</f>
        <v/>
      </c>
      <c r="G444" s="16" t="str">
        <f>IF(E444="","",E444/MAX(E$5:E444)-1)</f>
        <v/>
      </c>
      <c r="H444" s="13" t="str">
        <f>IF(OR('实盘净值数据(iFinD）'!$A444="",'实盘净值数据(iFinD）'!$B444=""),"",分期持仓明细!$AB$19*SUMPRODUCT(分期持仓明细!$B$19:$Y$19,'实盘净值数据(iFinD）'!$B444:$Y444/'实盘净值数据(iFinD）'!$B$20:$Y$20)*(1-实盘持仓初始配置!$Z$6)^(('实盘净值数据(iFinD）'!$A444-'实盘净值数据(iFinD）'!$A$7)/365))</f>
        <v/>
      </c>
      <c r="I444" s="16" t="str">
        <f t="shared" ref="I444:I507" si="44">IF(OR(H443="",H444=""),"",H444/H443-1)</f>
        <v/>
      </c>
      <c r="J444" s="16" t="str">
        <f>IF(H444="","",H444/MAX(H$5:H444)-1)</f>
        <v/>
      </c>
      <c r="K444" s="13" t="str">
        <f>IF(OR('实盘净值数据(iFinD）'!$A444="",'实盘净值数据(iFinD）'!$B444="",'实盘净值数据(iFinD）'!$Z444="",'实盘净值数据(iFinD）'!$AA444=""),"",分期持仓明细!$AB$23*(SUMPRODUCT(分期持仓明细!$B$23:$Y$23,'实盘净值数据(iFinD）'!$B444:$Y444/'实盘净值数据(iFinD）'!$B$65:$Y$65)+SUMPRODUCT(分期持仓明细!$AC$23:$AD$23,'实盘净值数据(iFinD）'!$Z444:$AA444/'实盘净值数据(iFinD）'!$Z$65:$AA$65))*(1-实盘持仓初始配置!$Z$7)^(('实盘净值数据(iFinD）'!$A444-'实盘净值数据(iFinD）'!$A$8)/365))</f>
        <v/>
      </c>
      <c r="L444" s="16" t="str">
        <f t="shared" ref="L444:L507" si="45">IF(OR(K443="",K444=""),"",K444/K443-1)</f>
        <v/>
      </c>
      <c r="M444" s="16" t="str">
        <f>IF(K444="","",K444/MAX(K$5:K444)-1)</f>
        <v/>
      </c>
      <c r="N444" s="13" t="str">
        <f>IF(OR('实盘净值数据(iFinD）'!$A444="",'实盘净值数据(iFinD）'!$B444="",'实盘净值数据(iFinD）'!$Z444="",'实盘净值数据(iFinD）'!$AA444=""),"",分期持仓明细!$AB$24*(SUMPRODUCT(分期持仓明细!$B$24:$Y$24,'实盘净值数据(iFinD）'!$B444:$Y444/'实盘净值数据(iFinD）'!$B$65:$Y$65)+SUMPRODUCT(分期持仓明细!$AC$24:$AD$24,'实盘净值数据(iFinD）'!$Z444:$AA444/'实盘净值数据(iFinD）'!$Z$65:$AA$65))*(1-实盘持仓初始配置!$Z$8)^(('实盘净值数据(iFinD）'!$A444-'实盘净值数据(iFinD）'!$A$5)/365))</f>
        <v/>
      </c>
      <c r="O444" s="16" t="str">
        <f t="shared" ref="O444:O507" si="46">IF(OR(N443="",N444=""),"",N444/N443-1)</f>
        <v/>
      </c>
      <c r="P444" s="16" t="str">
        <f>IF(N444="","",N444/MAX(N$5:N444)-1)</f>
        <v/>
      </c>
      <c r="Q444" s="13" t="str">
        <f>IF(OR('实盘净值数据(iFinD）'!$A444="",'实盘净值数据(iFinD）'!$B444="",'实盘净值数据(iFinD）'!$Z444="",'实盘净值数据(iFinD）'!$AA444=""),"",分期持仓明细!$AB$25*(SUMPRODUCT(分期持仓明细!$B$25:$Y$25,'实盘净值数据(iFinD）'!$B444:$Y444/'实盘净值数据(iFinD）'!$B$65:$Y$65)+SUMPRODUCT(分期持仓明细!$AC$25:$AD$25,'实盘净值数据(iFinD）'!$Z444:$AA444/'实盘净值数据(iFinD）'!$Z$65:$AA$65))*(1-实盘持仓初始配置!$Z$9)^(('实盘净值数据(iFinD）'!$A444-'实盘净值数据(iFinD）'!$A$8)/365))</f>
        <v/>
      </c>
      <c r="R444" s="16" t="str">
        <f t="shared" ref="R444:R507" si="47">IF(OR(Q443="",Q444=""),"",Q444/Q443-1)</f>
        <v/>
      </c>
      <c r="S444" s="16" t="str">
        <f>IF(Q444="","",Q444/MAX(Q$5:Q444)-1)</f>
        <v/>
      </c>
      <c r="T444" s="13">
        <f>IF(OR('实盘净值数据(iFinD）'!$A444="",'实盘净值数据(iFinD）'!$B444="",'实盘净值数据(iFinD）'!$Z444="",'实盘净值数据(iFinD）'!$AA444="",'实盘净值数据(iFinD）'!$AB444="",'实盘净值数据(iFinD）'!$AL444=""),"",(SUMPRODUCT(分期持仓明细!$B$26:$Y$26,'实盘净值数据(iFinD）'!$B444:$Y444/'实盘净值数据(iFinD）'!$B$69:$Y$69)+SUMPRODUCT(分期持仓明细!$AC$26:$AD$26,'实盘净值数据(iFinD）'!$Z444:$AA444/'实盘净值数据(iFinD）'!$Z$69:$AA$69)+SUMPRODUCT(分期持仓明细!$AE$26:$AO$26,'实盘净值数据(iFinD）'!$AB444:$AL444/'实盘净值数据(iFinD）'!$AB$69:$AL$69))*(1-实盘持仓初始配置!$Z$10)^(('实盘净值数据(iFinD）'!$A444-'实盘净值数据(iFinD）'!$A$69)/365))</f>
        <v/>
      </c>
      <c r="U444" s="16">
        <f>IF(OR(T443="",T444=""),"",T444/T443-1)</f>
        <v/>
      </c>
      <c r="V444" s="16">
        <f>IF(T444="","",T444/MAX(T$5:T444)-1)</f>
        <v/>
      </c>
    </row>
    <row r="445" spans="1:19">
      <c r="A445" s="15" t="str">
        <f>IF('实盘净值数据(iFinD）'!A445="","",'实盘净值数据(iFinD）'!A445)</f>
        <v/>
      </c>
      <c r="B445" s="13" t="str">
        <f>IF(OR('实盘净值数据(iFinD）'!$A445="",'实盘净值数据(iFinD）'!$B445=""),"",分期持仓明细!$AB$17*SUMPRODUCT(分期持仓明细!$B$17:$Y$17,'实盘净值数据(iFinD）'!$B445:$Y445/'实盘净值数据(iFinD）'!$B$20:$Y$20)*(1-实盘持仓初始配置!$Z$4)^(('实盘净值数据(iFinD）'!$A445-'实盘净值数据(iFinD）'!$A$6)/365))</f>
        <v/>
      </c>
      <c r="C445" s="16" t="str">
        <f t="shared" si="42"/>
        <v/>
      </c>
      <c r="D445" s="16" t="str">
        <f>IF(B445="","",B445/MAX(B$5:B445)-1)</f>
        <v/>
      </c>
      <c r="E445" s="13" t="str">
        <f>IF(OR('实盘净值数据(iFinD）'!$A445="",'实盘净值数据(iFinD）'!$B445=""),"",分期持仓明细!$AB$18*SUMPRODUCT(分期持仓明细!$B$18:$Y$18,'实盘净值数据(iFinD）'!$B445:$Y445/'实盘净值数据(iFinD）'!$B$20:$Y$20)*(1-实盘持仓初始配置!$Z$5)^(('实盘净值数据(iFinD）'!$A445-'实盘净值数据(iFinD）'!$A$5)/365))</f>
        <v/>
      </c>
      <c r="F445" s="16" t="str">
        <f t="shared" si="43"/>
        <v/>
      </c>
      <c r="G445" s="16" t="str">
        <f>IF(E445="","",E445/MAX(E$5:E445)-1)</f>
        <v/>
      </c>
      <c r="H445" s="13" t="str">
        <f>IF(OR('实盘净值数据(iFinD）'!$A445="",'实盘净值数据(iFinD）'!$B445=""),"",分期持仓明细!$AB$19*SUMPRODUCT(分期持仓明细!$B$19:$Y$19,'实盘净值数据(iFinD）'!$B445:$Y445/'实盘净值数据(iFinD）'!$B$20:$Y$20)*(1-实盘持仓初始配置!$Z$6)^(('实盘净值数据(iFinD）'!$A445-'实盘净值数据(iFinD）'!$A$7)/365))</f>
        <v/>
      </c>
      <c r="I445" s="16" t="str">
        <f t="shared" si="44"/>
        <v/>
      </c>
      <c r="J445" s="16" t="str">
        <f>IF(H445="","",H445/MAX(H$5:H445)-1)</f>
        <v/>
      </c>
      <c r="K445" s="13" t="str">
        <f>IF(OR('实盘净值数据(iFinD）'!$A445="",'实盘净值数据(iFinD）'!$B445="",'实盘净值数据(iFinD）'!$Z445="",'实盘净值数据(iFinD）'!$AA445=""),"",分期持仓明细!$AB$23*(SUMPRODUCT(分期持仓明细!$B$23:$Y$23,'实盘净值数据(iFinD）'!$B445:$Y445/'实盘净值数据(iFinD）'!$B$65:$Y$65)+SUMPRODUCT(分期持仓明细!$AC$23:$AD$23,'实盘净值数据(iFinD）'!$Z445:$AA445/'实盘净值数据(iFinD）'!$Z$65:$AA$65))*(1-实盘持仓初始配置!$Z$7)^(('实盘净值数据(iFinD）'!$A445-'实盘净值数据(iFinD）'!$A$8)/365))</f>
        <v/>
      </c>
      <c r="L445" s="16" t="str">
        <f t="shared" si="45"/>
        <v/>
      </c>
      <c r="M445" s="16" t="str">
        <f>IF(K445="","",K445/MAX(K$5:K445)-1)</f>
        <v/>
      </c>
      <c r="N445" s="13" t="str">
        <f>IF(OR('实盘净值数据(iFinD）'!$A445="",'实盘净值数据(iFinD）'!$B445="",'实盘净值数据(iFinD）'!$Z445="",'实盘净值数据(iFinD）'!$AA445=""),"",分期持仓明细!$AB$24*(SUMPRODUCT(分期持仓明细!$B$24:$Y$24,'实盘净值数据(iFinD）'!$B445:$Y445/'实盘净值数据(iFinD）'!$B$65:$Y$65)+SUMPRODUCT(分期持仓明细!$AC$24:$AD$24,'实盘净值数据(iFinD）'!$Z445:$AA445/'实盘净值数据(iFinD）'!$Z$65:$AA$65))*(1-实盘持仓初始配置!$Z$8)^(('实盘净值数据(iFinD）'!$A445-'实盘净值数据(iFinD）'!$A$5)/365))</f>
        <v/>
      </c>
      <c r="O445" s="16" t="str">
        <f t="shared" si="46"/>
        <v/>
      </c>
      <c r="P445" s="16" t="str">
        <f>IF(N445="","",N445/MAX(N$5:N445)-1)</f>
        <v/>
      </c>
      <c r="Q445" s="13" t="str">
        <f>IF(OR('实盘净值数据(iFinD）'!$A445="",'实盘净值数据(iFinD）'!$B445="",'实盘净值数据(iFinD）'!$Z445="",'实盘净值数据(iFinD）'!$AA445=""),"",分期持仓明细!$AB$25*(SUMPRODUCT(分期持仓明细!$B$25:$Y$25,'实盘净值数据(iFinD）'!$B445:$Y445/'实盘净值数据(iFinD）'!$B$65:$Y$65)+SUMPRODUCT(分期持仓明细!$AC$25:$AD$25,'实盘净值数据(iFinD）'!$Z445:$AA445/'实盘净值数据(iFinD）'!$Z$65:$AA$65))*(1-实盘持仓初始配置!$Z$9)^(('实盘净值数据(iFinD）'!$A445-'实盘净值数据(iFinD）'!$A$8)/365))</f>
        <v/>
      </c>
      <c r="R445" s="16" t="str">
        <f t="shared" si="47"/>
        <v/>
      </c>
      <c r="S445" s="16" t="str">
        <f>IF(Q445="","",Q445/MAX(Q$5:Q445)-1)</f>
        <v/>
      </c>
      <c r="T445" s="13">
        <f>IF(OR('实盘净值数据(iFinD）'!$A445="",'实盘净值数据(iFinD）'!$B445="",'实盘净值数据(iFinD）'!$Z445="",'实盘净值数据(iFinD）'!$AA445="",'实盘净值数据(iFinD）'!$AB445="",'实盘净值数据(iFinD）'!$AL445=""),"",(SUMPRODUCT(分期持仓明细!$B$26:$Y$26,'实盘净值数据(iFinD）'!$B445:$Y445/'实盘净值数据(iFinD）'!$B$69:$Y$69)+SUMPRODUCT(分期持仓明细!$AC$26:$AD$26,'实盘净值数据(iFinD）'!$Z445:$AA445/'实盘净值数据(iFinD）'!$Z$69:$AA$69)+SUMPRODUCT(分期持仓明细!$AE$26:$AO$26,'实盘净值数据(iFinD）'!$AB445:$AL445/'实盘净值数据(iFinD）'!$AB$69:$AL$69))*(1-实盘持仓初始配置!$Z$10)^(('实盘净值数据(iFinD）'!$A445-'实盘净值数据(iFinD）'!$A$69)/365))</f>
        <v/>
      </c>
      <c r="U445" s="16">
        <f>IF(OR(T444="",T445=""),"",T445/T444-1)</f>
        <v/>
      </c>
      <c r="V445" s="16">
        <f>IF(T445="","",T445/MAX(T$5:T445)-1)</f>
        <v/>
      </c>
    </row>
    <row r="446" spans="1:19">
      <c r="A446" s="15" t="str">
        <f>IF('实盘净值数据(iFinD）'!A446="","",'实盘净值数据(iFinD）'!A446)</f>
        <v/>
      </c>
      <c r="B446" s="13" t="str">
        <f>IF(OR('实盘净值数据(iFinD）'!$A446="",'实盘净值数据(iFinD）'!$B446=""),"",分期持仓明细!$AB$17*SUMPRODUCT(分期持仓明细!$B$17:$Y$17,'实盘净值数据(iFinD）'!$B446:$Y446/'实盘净值数据(iFinD）'!$B$20:$Y$20)*(1-实盘持仓初始配置!$Z$4)^(('实盘净值数据(iFinD）'!$A446-'实盘净值数据(iFinD）'!$A$6)/365))</f>
        <v/>
      </c>
      <c r="C446" s="16" t="str">
        <f t="shared" si="42"/>
        <v/>
      </c>
      <c r="D446" s="16" t="str">
        <f>IF(B446="","",B446/MAX(B$5:B446)-1)</f>
        <v/>
      </c>
      <c r="E446" s="13" t="str">
        <f>IF(OR('实盘净值数据(iFinD）'!$A446="",'实盘净值数据(iFinD）'!$B446=""),"",分期持仓明细!$AB$18*SUMPRODUCT(分期持仓明细!$B$18:$Y$18,'实盘净值数据(iFinD）'!$B446:$Y446/'实盘净值数据(iFinD）'!$B$20:$Y$20)*(1-实盘持仓初始配置!$Z$5)^(('实盘净值数据(iFinD）'!$A446-'实盘净值数据(iFinD）'!$A$5)/365))</f>
        <v/>
      </c>
      <c r="F446" s="16" t="str">
        <f t="shared" si="43"/>
        <v/>
      </c>
      <c r="G446" s="16" t="str">
        <f>IF(E446="","",E446/MAX(E$5:E446)-1)</f>
        <v/>
      </c>
      <c r="H446" s="13" t="str">
        <f>IF(OR('实盘净值数据(iFinD）'!$A446="",'实盘净值数据(iFinD）'!$B446=""),"",分期持仓明细!$AB$19*SUMPRODUCT(分期持仓明细!$B$19:$Y$19,'实盘净值数据(iFinD）'!$B446:$Y446/'实盘净值数据(iFinD）'!$B$20:$Y$20)*(1-实盘持仓初始配置!$Z$6)^(('实盘净值数据(iFinD）'!$A446-'实盘净值数据(iFinD）'!$A$7)/365))</f>
        <v/>
      </c>
      <c r="I446" s="16" t="str">
        <f t="shared" si="44"/>
        <v/>
      </c>
      <c r="J446" s="16" t="str">
        <f>IF(H446="","",H446/MAX(H$5:H446)-1)</f>
        <v/>
      </c>
      <c r="K446" s="13" t="str">
        <f>IF(OR('实盘净值数据(iFinD）'!$A446="",'实盘净值数据(iFinD）'!$B446="",'实盘净值数据(iFinD）'!$Z446="",'实盘净值数据(iFinD）'!$AA446=""),"",分期持仓明细!$AB$23*(SUMPRODUCT(分期持仓明细!$B$23:$Y$23,'实盘净值数据(iFinD）'!$B446:$Y446/'实盘净值数据(iFinD）'!$B$65:$Y$65)+SUMPRODUCT(分期持仓明细!$AC$23:$AD$23,'实盘净值数据(iFinD）'!$Z446:$AA446/'实盘净值数据(iFinD）'!$Z$65:$AA$65))*(1-实盘持仓初始配置!$Z$7)^(('实盘净值数据(iFinD）'!$A446-'实盘净值数据(iFinD）'!$A$8)/365))</f>
        <v/>
      </c>
      <c r="L446" s="16" t="str">
        <f t="shared" si="45"/>
        <v/>
      </c>
      <c r="M446" s="16" t="str">
        <f>IF(K446="","",K446/MAX(K$5:K446)-1)</f>
        <v/>
      </c>
      <c r="N446" s="13" t="str">
        <f>IF(OR('实盘净值数据(iFinD）'!$A446="",'实盘净值数据(iFinD）'!$B446="",'实盘净值数据(iFinD）'!$Z446="",'实盘净值数据(iFinD）'!$AA446=""),"",分期持仓明细!$AB$24*(SUMPRODUCT(分期持仓明细!$B$24:$Y$24,'实盘净值数据(iFinD）'!$B446:$Y446/'实盘净值数据(iFinD）'!$B$65:$Y$65)+SUMPRODUCT(分期持仓明细!$AC$24:$AD$24,'实盘净值数据(iFinD）'!$Z446:$AA446/'实盘净值数据(iFinD）'!$Z$65:$AA$65))*(1-实盘持仓初始配置!$Z$8)^(('实盘净值数据(iFinD）'!$A446-'实盘净值数据(iFinD）'!$A$5)/365))</f>
        <v/>
      </c>
      <c r="O446" s="16" t="str">
        <f t="shared" si="46"/>
        <v/>
      </c>
      <c r="P446" s="16" t="str">
        <f>IF(N446="","",N446/MAX(N$5:N446)-1)</f>
        <v/>
      </c>
      <c r="Q446" s="13" t="str">
        <f>IF(OR('实盘净值数据(iFinD）'!$A446="",'实盘净值数据(iFinD）'!$B446="",'实盘净值数据(iFinD）'!$Z446="",'实盘净值数据(iFinD）'!$AA446=""),"",分期持仓明细!$AB$25*(SUMPRODUCT(分期持仓明细!$B$25:$Y$25,'实盘净值数据(iFinD）'!$B446:$Y446/'实盘净值数据(iFinD）'!$B$65:$Y$65)+SUMPRODUCT(分期持仓明细!$AC$25:$AD$25,'实盘净值数据(iFinD）'!$Z446:$AA446/'实盘净值数据(iFinD）'!$Z$65:$AA$65))*(1-实盘持仓初始配置!$Z$9)^(('实盘净值数据(iFinD）'!$A446-'实盘净值数据(iFinD）'!$A$8)/365))</f>
        <v/>
      </c>
      <c r="R446" s="16" t="str">
        <f t="shared" si="47"/>
        <v/>
      </c>
      <c r="S446" s="16" t="str">
        <f>IF(Q446="","",Q446/MAX(Q$5:Q446)-1)</f>
        <v/>
      </c>
      <c r="T446" s="13">
        <f>IF(OR('实盘净值数据(iFinD）'!$A446="",'实盘净值数据(iFinD）'!$B446="",'实盘净值数据(iFinD）'!$Z446="",'实盘净值数据(iFinD）'!$AA446="",'实盘净值数据(iFinD）'!$AB446="",'实盘净值数据(iFinD）'!$AL446=""),"",(SUMPRODUCT(分期持仓明细!$B$26:$Y$26,'实盘净值数据(iFinD）'!$B446:$Y446/'实盘净值数据(iFinD）'!$B$69:$Y$69)+SUMPRODUCT(分期持仓明细!$AC$26:$AD$26,'实盘净值数据(iFinD）'!$Z446:$AA446/'实盘净值数据(iFinD）'!$Z$69:$AA$69)+SUMPRODUCT(分期持仓明细!$AE$26:$AO$26,'实盘净值数据(iFinD）'!$AB446:$AL446/'实盘净值数据(iFinD）'!$AB$69:$AL$69))*(1-实盘持仓初始配置!$Z$10)^(('实盘净值数据(iFinD）'!$A446-'实盘净值数据(iFinD）'!$A$69)/365))</f>
        <v/>
      </c>
      <c r="U446" s="16">
        <f>IF(OR(T445="",T446=""),"",T446/T445-1)</f>
        <v/>
      </c>
      <c r="V446" s="16">
        <f>IF(T446="","",T446/MAX(T$5:T446)-1)</f>
        <v/>
      </c>
    </row>
    <row r="447" spans="1:19">
      <c r="A447" s="15" t="str">
        <f>IF('实盘净值数据(iFinD）'!A447="","",'实盘净值数据(iFinD）'!A447)</f>
        <v/>
      </c>
      <c r="B447" s="13" t="str">
        <f>IF(OR('实盘净值数据(iFinD）'!$A447="",'实盘净值数据(iFinD）'!$B447=""),"",分期持仓明细!$AB$17*SUMPRODUCT(分期持仓明细!$B$17:$Y$17,'实盘净值数据(iFinD）'!$B447:$Y447/'实盘净值数据(iFinD）'!$B$20:$Y$20)*(1-实盘持仓初始配置!$Z$4)^(('实盘净值数据(iFinD）'!$A447-'实盘净值数据(iFinD）'!$A$6)/365))</f>
        <v/>
      </c>
      <c r="C447" s="16" t="str">
        <f t="shared" si="42"/>
        <v/>
      </c>
      <c r="D447" s="16" t="str">
        <f>IF(B447="","",B447/MAX(B$5:B447)-1)</f>
        <v/>
      </c>
      <c r="E447" s="13" t="str">
        <f>IF(OR('实盘净值数据(iFinD）'!$A447="",'实盘净值数据(iFinD）'!$B447=""),"",分期持仓明细!$AB$18*SUMPRODUCT(分期持仓明细!$B$18:$Y$18,'实盘净值数据(iFinD）'!$B447:$Y447/'实盘净值数据(iFinD）'!$B$20:$Y$20)*(1-实盘持仓初始配置!$Z$5)^(('实盘净值数据(iFinD）'!$A447-'实盘净值数据(iFinD）'!$A$5)/365))</f>
        <v/>
      </c>
      <c r="F447" s="16" t="str">
        <f t="shared" si="43"/>
        <v/>
      </c>
      <c r="G447" s="16" t="str">
        <f>IF(E447="","",E447/MAX(E$5:E447)-1)</f>
        <v/>
      </c>
      <c r="H447" s="13" t="str">
        <f>IF(OR('实盘净值数据(iFinD）'!$A447="",'实盘净值数据(iFinD）'!$B447=""),"",分期持仓明细!$AB$19*SUMPRODUCT(分期持仓明细!$B$19:$Y$19,'实盘净值数据(iFinD）'!$B447:$Y447/'实盘净值数据(iFinD）'!$B$20:$Y$20)*(1-实盘持仓初始配置!$Z$6)^(('实盘净值数据(iFinD）'!$A447-'实盘净值数据(iFinD）'!$A$7)/365))</f>
        <v/>
      </c>
      <c r="I447" s="16" t="str">
        <f t="shared" si="44"/>
        <v/>
      </c>
      <c r="J447" s="16" t="str">
        <f>IF(H447="","",H447/MAX(H$5:H447)-1)</f>
        <v/>
      </c>
      <c r="K447" s="13" t="str">
        <f>IF(OR('实盘净值数据(iFinD）'!$A447="",'实盘净值数据(iFinD）'!$B447="",'实盘净值数据(iFinD）'!$Z447="",'实盘净值数据(iFinD）'!$AA447=""),"",分期持仓明细!$AB$23*(SUMPRODUCT(分期持仓明细!$B$23:$Y$23,'实盘净值数据(iFinD）'!$B447:$Y447/'实盘净值数据(iFinD）'!$B$65:$Y$65)+SUMPRODUCT(分期持仓明细!$AC$23:$AD$23,'实盘净值数据(iFinD）'!$Z447:$AA447/'实盘净值数据(iFinD）'!$Z$65:$AA$65))*(1-实盘持仓初始配置!$Z$7)^(('实盘净值数据(iFinD）'!$A447-'实盘净值数据(iFinD）'!$A$8)/365))</f>
        <v/>
      </c>
      <c r="L447" s="16" t="str">
        <f t="shared" si="45"/>
        <v/>
      </c>
      <c r="M447" s="16" t="str">
        <f>IF(K447="","",K447/MAX(K$5:K447)-1)</f>
        <v/>
      </c>
      <c r="N447" s="13" t="str">
        <f>IF(OR('实盘净值数据(iFinD）'!$A447="",'实盘净值数据(iFinD）'!$B447="",'实盘净值数据(iFinD）'!$Z447="",'实盘净值数据(iFinD）'!$AA447=""),"",分期持仓明细!$AB$24*(SUMPRODUCT(分期持仓明细!$B$24:$Y$24,'实盘净值数据(iFinD）'!$B447:$Y447/'实盘净值数据(iFinD）'!$B$65:$Y$65)+SUMPRODUCT(分期持仓明细!$AC$24:$AD$24,'实盘净值数据(iFinD）'!$Z447:$AA447/'实盘净值数据(iFinD）'!$Z$65:$AA$65))*(1-实盘持仓初始配置!$Z$8)^(('实盘净值数据(iFinD）'!$A447-'实盘净值数据(iFinD）'!$A$5)/365))</f>
        <v/>
      </c>
      <c r="O447" s="16" t="str">
        <f t="shared" si="46"/>
        <v/>
      </c>
      <c r="P447" s="16" t="str">
        <f>IF(N447="","",N447/MAX(N$5:N447)-1)</f>
        <v/>
      </c>
      <c r="Q447" s="13" t="str">
        <f>IF(OR('实盘净值数据(iFinD）'!$A447="",'实盘净值数据(iFinD）'!$B447="",'实盘净值数据(iFinD）'!$Z447="",'实盘净值数据(iFinD）'!$AA447=""),"",分期持仓明细!$AB$25*(SUMPRODUCT(分期持仓明细!$B$25:$Y$25,'实盘净值数据(iFinD）'!$B447:$Y447/'实盘净值数据(iFinD）'!$B$65:$Y$65)+SUMPRODUCT(分期持仓明细!$AC$25:$AD$25,'实盘净值数据(iFinD）'!$Z447:$AA447/'实盘净值数据(iFinD）'!$Z$65:$AA$65))*(1-实盘持仓初始配置!$Z$9)^(('实盘净值数据(iFinD）'!$A447-'实盘净值数据(iFinD）'!$A$8)/365))</f>
        <v/>
      </c>
      <c r="R447" s="16" t="str">
        <f t="shared" si="47"/>
        <v/>
      </c>
      <c r="S447" s="16" t="str">
        <f>IF(Q447="","",Q447/MAX(Q$5:Q447)-1)</f>
        <v/>
      </c>
      <c r="T447" s="13">
        <f>IF(OR('实盘净值数据(iFinD）'!$A447="",'实盘净值数据(iFinD）'!$B447="",'实盘净值数据(iFinD）'!$Z447="",'实盘净值数据(iFinD）'!$AA447="",'实盘净值数据(iFinD）'!$AB447="",'实盘净值数据(iFinD）'!$AL447=""),"",(SUMPRODUCT(分期持仓明细!$B$26:$Y$26,'实盘净值数据(iFinD）'!$B447:$Y447/'实盘净值数据(iFinD）'!$B$69:$Y$69)+SUMPRODUCT(分期持仓明细!$AC$26:$AD$26,'实盘净值数据(iFinD）'!$Z447:$AA447/'实盘净值数据(iFinD）'!$Z$69:$AA$69)+SUMPRODUCT(分期持仓明细!$AE$26:$AO$26,'实盘净值数据(iFinD）'!$AB447:$AL447/'实盘净值数据(iFinD）'!$AB$69:$AL$69))*(1-实盘持仓初始配置!$Z$10)^(('实盘净值数据(iFinD）'!$A447-'实盘净值数据(iFinD）'!$A$69)/365))</f>
        <v/>
      </c>
      <c r="U447" s="16">
        <f>IF(OR(T446="",T447=""),"",T447/T446-1)</f>
        <v/>
      </c>
      <c r="V447" s="16">
        <f>IF(T447="","",T447/MAX(T$5:T447)-1)</f>
        <v/>
      </c>
    </row>
    <row r="448" spans="1:19">
      <c r="A448" s="15" t="str">
        <f>IF('实盘净值数据(iFinD）'!A448="","",'实盘净值数据(iFinD）'!A448)</f>
        <v/>
      </c>
      <c r="B448" s="13" t="str">
        <f>IF(OR('实盘净值数据(iFinD）'!$A448="",'实盘净值数据(iFinD）'!$B448=""),"",分期持仓明细!$AB$17*SUMPRODUCT(分期持仓明细!$B$17:$Y$17,'实盘净值数据(iFinD）'!$B448:$Y448/'实盘净值数据(iFinD）'!$B$20:$Y$20)*(1-实盘持仓初始配置!$Z$4)^(('实盘净值数据(iFinD）'!$A448-'实盘净值数据(iFinD）'!$A$6)/365))</f>
        <v/>
      </c>
      <c r="C448" s="16" t="str">
        <f t="shared" si="42"/>
        <v/>
      </c>
      <c r="D448" s="16" t="str">
        <f>IF(B448="","",B448/MAX(B$5:B448)-1)</f>
        <v/>
      </c>
      <c r="E448" s="13" t="str">
        <f>IF(OR('实盘净值数据(iFinD）'!$A448="",'实盘净值数据(iFinD）'!$B448=""),"",分期持仓明细!$AB$18*SUMPRODUCT(分期持仓明细!$B$18:$Y$18,'实盘净值数据(iFinD）'!$B448:$Y448/'实盘净值数据(iFinD）'!$B$20:$Y$20)*(1-实盘持仓初始配置!$Z$5)^(('实盘净值数据(iFinD）'!$A448-'实盘净值数据(iFinD）'!$A$5)/365))</f>
        <v/>
      </c>
      <c r="F448" s="16" t="str">
        <f t="shared" si="43"/>
        <v/>
      </c>
      <c r="G448" s="16" t="str">
        <f>IF(E448="","",E448/MAX(E$5:E448)-1)</f>
        <v/>
      </c>
      <c r="H448" s="13" t="str">
        <f>IF(OR('实盘净值数据(iFinD）'!$A448="",'实盘净值数据(iFinD）'!$B448=""),"",分期持仓明细!$AB$19*SUMPRODUCT(分期持仓明细!$B$19:$Y$19,'实盘净值数据(iFinD）'!$B448:$Y448/'实盘净值数据(iFinD）'!$B$20:$Y$20)*(1-实盘持仓初始配置!$Z$6)^(('实盘净值数据(iFinD）'!$A448-'实盘净值数据(iFinD）'!$A$7)/365))</f>
        <v/>
      </c>
      <c r="I448" s="16" t="str">
        <f t="shared" si="44"/>
        <v/>
      </c>
      <c r="J448" s="16" t="str">
        <f>IF(H448="","",H448/MAX(H$5:H448)-1)</f>
        <v/>
      </c>
      <c r="K448" s="13" t="str">
        <f>IF(OR('实盘净值数据(iFinD）'!$A448="",'实盘净值数据(iFinD）'!$B448="",'实盘净值数据(iFinD）'!$Z448="",'实盘净值数据(iFinD）'!$AA448=""),"",分期持仓明细!$AB$23*(SUMPRODUCT(分期持仓明细!$B$23:$Y$23,'实盘净值数据(iFinD）'!$B448:$Y448/'实盘净值数据(iFinD）'!$B$65:$Y$65)+SUMPRODUCT(分期持仓明细!$AC$23:$AD$23,'实盘净值数据(iFinD）'!$Z448:$AA448/'实盘净值数据(iFinD）'!$Z$65:$AA$65))*(1-实盘持仓初始配置!$Z$7)^(('实盘净值数据(iFinD）'!$A448-'实盘净值数据(iFinD）'!$A$8)/365))</f>
        <v/>
      </c>
      <c r="L448" s="16" t="str">
        <f t="shared" si="45"/>
        <v/>
      </c>
      <c r="M448" s="16" t="str">
        <f>IF(K448="","",K448/MAX(K$5:K448)-1)</f>
        <v/>
      </c>
      <c r="N448" s="13" t="str">
        <f>IF(OR('实盘净值数据(iFinD）'!$A448="",'实盘净值数据(iFinD）'!$B448="",'实盘净值数据(iFinD）'!$Z448="",'实盘净值数据(iFinD）'!$AA448=""),"",分期持仓明细!$AB$24*(SUMPRODUCT(分期持仓明细!$B$24:$Y$24,'实盘净值数据(iFinD）'!$B448:$Y448/'实盘净值数据(iFinD）'!$B$65:$Y$65)+SUMPRODUCT(分期持仓明细!$AC$24:$AD$24,'实盘净值数据(iFinD）'!$Z448:$AA448/'实盘净值数据(iFinD）'!$Z$65:$AA$65))*(1-实盘持仓初始配置!$Z$8)^(('实盘净值数据(iFinD）'!$A448-'实盘净值数据(iFinD）'!$A$5)/365))</f>
        <v/>
      </c>
      <c r="O448" s="16" t="str">
        <f t="shared" si="46"/>
        <v/>
      </c>
      <c r="P448" s="16" t="str">
        <f>IF(N448="","",N448/MAX(N$5:N448)-1)</f>
        <v/>
      </c>
      <c r="Q448" s="13" t="str">
        <f>IF(OR('实盘净值数据(iFinD）'!$A448="",'实盘净值数据(iFinD）'!$B448="",'实盘净值数据(iFinD）'!$Z448="",'实盘净值数据(iFinD）'!$AA448=""),"",分期持仓明细!$AB$25*(SUMPRODUCT(分期持仓明细!$B$25:$Y$25,'实盘净值数据(iFinD）'!$B448:$Y448/'实盘净值数据(iFinD）'!$B$65:$Y$65)+SUMPRODUCT(分期持仓明细!$AC$25:$AD$25,'实盘净值数据(iFinD）'!$Z448:$AA448/'实盘净值数据(iFinD）'!$Z$65:$AA$65))*(1-实盘持仓初始配置!$Z$9)^(('实盘净值数据(iFinD）'!$A448-'实盘净值数据(iFinD）'!$A$8)/365))</f>
        <v/>
      </c>
      <c r="R448" s="16" t="str">
        <f t="shared" si="47"/>
        <v/>
      </c>
      <c r="S448" s="16" t="str">
        <f>IF(Q448="","",Q448/MAX(Q$5:Q448)-1)</f>
        <v/>
      </c>
      <c r="T448" s="13">
        <f>IF(OR('实盘净值数据(iFinD）'!$A448="",'实盘净值数据(iFinD）'!$B448="",'实盘净值数据(iFinD）'!$Z448="",'实盘净值数据(iFinD）'!$AA448="",'实盘净值数据(iFinD）'!$AB448="",'实盘净值数据(iFinD）'!$AL448=""),"",(SUMPRODUCT(分期持仓明细!$B$26:$Y$26,'实盘净值数据(iFinD）'!$B448:$Y448/'实盘净值数据(iFinD）'!$B$69:$Y$69)+SUMPRODUCT(分期持仓明细!$AC$26:$AD$26,'实盘净值数据(iFinD）'!$Z448:$AA448/'实盘净值数据(iFinD）'!$Z$69:$AA$69)+SUMPRODUCT(分期持仓明细!$AE$26:$AO$26,'实盘净值数据(iFinD）'!$AB448:$AL448/'实盘净值数据(iFinD）'!$AB$69:$AL$69))*(1-实盘持仓初始配置!$Z$10)^(('实盘净值数据(iFinD）'!$A448-'实盘净值数据(iFinD）'!$A$69)/365))</f>
        <v/>
      </c>
      <c r="U448" s="16">
        <f>IF(OR(T447="",T448=""),"",T448/T447-1)</f>
        <v/>
      </c>
      <c r="V448" s="16">
        <f>IF(T448="","",T448/MAX(T$5:T448)-1)</f>
        <v/>
      </c>
    </row>
    <row r="449" spans="1:19">
      <c r="A449" s="15" t="str">
        <f>IF('实盘净值数据(iFinD）'!A449="","",'实盘净值数据(iFinD）'!A449)</f>
        <v/>
      </c>
      <c r="B449" s="13" t="str">
        <f>IF(OR('实盘净值数据(iFinD）'!$A449="",'实盘净值数据(iFinD）'!$B449=""),"",分期持仓明细!$AB$17*SUMPRODUCT(分期持仓明细!$B$17:$Y$17,'实盘净值数据(iFinD）'!$B449:$Y449/'实盘净值数据(iFinD）'!$B$20:$Y$20)*(1-实盘持仓初始配置!$Z$4)^(('实盘净值数据(iFinD）'!$A449-'实盘净值数据(iFinD）'!$A$6)/365))</f>
        <v/>
      </c>
      <c r="C449" s="16" t="str">
        <f t="shared" si="42"/>
        <v/>
      </c>
      <c r="D449" s="16" t="str">
        <f>IF(B449="","",B449/MAX(B$5:B449)-1)</f>
        <v/>
      </c>
      <c r="E449" s="13" t="str">
        <f>IF(OR('实盘净值数据(iFinD）'!$A449="",'实盘净值数据(iFinD）'!$B449=""),"",分期持仓明细!$AB$18*SUMPRODUCT(分期持仓明细!$B$18:$Y$18,'实盘净值数据(iFinD）'!$B449:$Y449/'实盘净值数据(iFinD）'!$B$20:$Y$20)*(1-实盘持仓初始配置!$Z$5)^(('实盘净值数据(iFinD）'!$A449-'实盘净值数据(iFinD）'!$A$5)/365))</f>
        <v/>
      </c>
      <c r="F449" s="16" t="str">
        <f t="shared" si="43"/>
        <v/>
      </c>
      <c r="G449" s="16" t="str">
        <f>IF(E449="","",E449/MAX(E$5:E449)-1)</f>
        <v/>
      </c>
      <c r="H449" s="13" t="str">
        <f>IF(OR('实盘净值数据(iFinD）'!$A449="",'实盘净值数据(iFinD）'!$B449=""),"",分期持仓明细!$AB$19*SUMPRODUCT(分期持仓明细!$B$19:$Y$19,'实盘净值数据(iFinD）'!$B449:$Y449/'实盘净值数据(iFinD）'!$B$20:$Y$20)*(1-实盘持仓初始配置!$Z$6)^(('实盘净值数据(iFinD）'!$A449-'实盘净值数据(iFinD）'!$A$7)/365))</f>
        <v/>
      </c>
      <c r="I449" s="16" t="str">
        <f t="shared" si="44"/>
        <v/>
      </c>
      <c r="J449" s="16" t="str">
        <f>IF(H449="","",H449/MAX(H$5:H449)-1)</f>
        <v/>
      </c>
      <c r="K449" s="13" t="str">
        <f>IF(OR('实盘净值数据(iFinD）'!$A449="",'实盘净值数据(iFinD）'!$B449="",'实盘净值数据(iFinD）'!$Z449="",'实盘净值数据(iFinD）'!$AA449=""),"",分期持仓明细!$AB$23*(SUMPRODUCT(分期持仓明细!$B$23:$Y$23,'实盘净值数据(iFinD）'!$B449:$Y449/'实盘净值数据(iFinD）'!$B$65:$Y$65)+SUMPRODUCT(分期持仓明细!$AC$23:$AD$23,'实盘净值数据(iFinD）'!$Z449:$AA449/'实盘净值数据(iFinD）'!$Z$65:$AA$65))*(1-实盘持仓初始配置!$Z$7)^(('实盘净值数据(iFinD）'!$A449-'实盘净值数据(iFinD）'!$A$8)/365))</f>
        <v/>
      </c>
      <c r="L449" s="16" t="str">
        <f t="shared" si="45"/>
        <v/>
      </c>
      <c r="M449" s="16" t="str">
        <f>IF(K449="","",K449/MAX(K$5:K449)-1)</f>
        <v/>
      </c>
      <c r="N449" s="13" t="str">
        <f>IF(OR('实盘净值数据(iFinD）'!$A449="",'实盘净值数据(iFinD）'!$B449="",'实盘净值数据(iFinD）'!$Z449="",'实盘净值数据(iFinD）'!$AA449=""),"",分期持仓明细!$AB$24*(SUMPRODUCT(分期持仓明细!$B$24:$Y$24,'实盘净值数据(iFinD）'!$B449:$Y449/'实盘净值数据(iFinD）'!$B$65:$Y$65)+SUMPRODUCT(分期持仓明细!$AC$24:$AD$24,'实盘净值数据(iFinD）'!$Z449:$AA449/'实盘净值数据(iFinD）'!$Z$65:$AA$65))*(1-实盘持仓初始配置!$Z$8)^(('实盘净值数据(iFinD）'!$A449-'实盘净值数据(iFinD）'!$A$5)/365))</f>
        <v/>
      </c>
      <c r="O449" s="16" t="str">
        <f t="shared" si="46"/>
        <v/>
      </c>
      <c r="P449" s="16" t="str">
        <f>IF(N449="","",N449/MAX(N$5:N449)-1)</f>
        <v/>
      </c>
      <c r="Q449" s="13" t="str">
        <f>IF(OR('实盘净值数据(iFinD）'!$A449="",'实盘净值数据(iFinD）'!$B449="",'实盘净值数据(iFinD）'!$Z449="",'实盘净值数据(iFinD）'!$AA449=""),"",分期持仓明细!$AB$25*(SUMPRODUCT(分期持仓明细!$B$25:$Y$25,'实盘净值数据(iFinD）'!$B449:$Y449/'实盘净值数据(iFinD）'!$B$65:$Y$65)+SUMPRODUCT(分期持仓明细!$AC$25:$AD$25,'实盘净值数据(iFinD）'!$Z449:$AA449/'实盘净值数据(iFinD）'!$Z$65:$AA$65))*(1-实盘持仓初始配置!$Z$9)^(('实盘净值数据(iFinD）'!$A449-'实盘净值数据(iFinD）'!$A$8)/365))</f>
        <v/>
      </c>
      <c r="R449" s="16" t="str">
        <f t="shared" si="47"/>
        <v/>
      </c>
      <c r="S449" s="16" t="str">
        <f>IF(Q449="","",Q449/MAX(Q$5:Q449)-1)</f>
        <v/>
      </c>
      <c r="T449" s="13">
        <f>IF(OR('实盘净值数据(iFinD）'!$A449="",'实盘净值数据(iFinD）'!$B449="",'实盘净值数据(iFinD）'!$Z449="",'实盘净值数据(iFinD）'!$AA449="",'实盘净值数据(iFinD）'!$AB449="",'实盘净值数据(iFinD）'!$AL449=""),"",(SUMPRODUCT(分期持仓明细!$B$26:$Y$26,'实盘净值数据(iFinD）'!$B449:$Y449/'实盘净值数据(iFinD）'!$B$69:$Y$69)+SUMPRODUCT(分期持仓明细!$AC$26:$AD$26,'实盘净值数据(iFinD）'!$Z449:$AA449/'实盘净值数据(iFinD）'!$Z$69:$AA$69)+SUMPRODUCT(分期持仓明细!$AE$26:$AO$26,'实盘净值数据(iFinD）'!$AB449:$AL449/'实盘净值数据(iFinD）'!$AB$69:$AL$69))*(1-实盘持仓初始配置!$Z$10)^(('实盘净值数据(iFinD）'!$A449-'实盘净值数据(iFinD）'!$A$69)/365))</f>
        <v/>
      </c>
      <c r="U449" s="16">
        <f>IF(OR(T448="",T449=""),"",T449/T448-1)</f>
        <v/>
      </c>
      <c r="V449" s="16">
        <f>IF(T449="","",T449/MAX(T$5:T449)-1)</f>
        <v/>
      </c>
    </row>
    <row r="450" spans="1:19">
      <c r="A450" s="15" t="str">
        <f>IF('实盘净值数据(iFinD）'!A450="","",'实盘净值数据(iFinD）'!A450)</f>
        <v/>
      </c>
      <c r="B450" s="13" t="str">
        <f>IF(OR('实盘净值数据(iFinD）'!$A450="",'实盘净值数据(iFinD）'!$B450=""),"",分期持仓明细!$AB$17*SUMPRODUCT(分期持仓明细!$B$17:$Y$17,'实盘净值数据(iFinD）'!$B450:$Y450/'实盘净值数据(iFinD）'!$B$20:$Y$20)*(1-实盘持仓初始配置!$Z$4)^(('实盘净值数据(iFinD）'!$A450-'实盘净值数据(iFinD）'!$A$6)/365))</f>
        <v/>
      </c>
      <c r="C450" s="16" t="str">
        <f t="shared" si="42"/>
        <v/>
      </c>
      <c r="D450" s="16" t="str">
        <f>IF(B450="","",B450/MAX(B$5:B450)-1)</f>
        <v/>
      </c>
      <c r="E450" s="13" t="str">
        <f>IF(OR('实盘净值数据(iFinD）'!$A450="",'实盘净值数据(iFinD）'!$B450=""),"",分期持仓明细!$AB$18*SUMPRODUCT(分期持仓明细!$B$18:$Y$18,'实盘净值数据(iFinD）'!$B450:$Y450/'实盘净值数据(iFinD）'!$B$20:$Y$20)*(1-实盘持仓初始配置!$Z$5)^(('实盘净值数据(iFinD）'!$A450-'实盘净值数据(iFinD）'!$A$5)/365))</f>
        <v/>
      </c>
      <c r="F450" s="16" t="str">
        <f t="shared" si="43"/>
        <v/>
      </c>
      <c r="G450" s="16" t="str">
        <f>IF(E450="","",E450/MAX(E$5:E450)-1)</f>
        <v/>
      </c>
      <c r="H450" s="13" t="str">
        <f>IF(OR('实盘净值数据(iFinD）'!$A450="",'实盘净值数据(iFinD）'!$B450=""),"",分期持仓明细!$AB$19*SUMPRODUCT(分期持仓明细!$B$19:$Y$19,'实盘净值数据(iFinD）'!$B450:$Y450/'实盘净值数据(iFinD）'!$B$20:$Y$20)*(1-实盘持仓初始配置!$Z$6)^(('实盘净值数据(iFinD）'!$A450-'实盘净值数据(iFinD）'!$A$7)/365))</f>
        <v/>
      </c>
      <c r="I450" s="16" t="str">
        <f t="shared" si="44"/>
        <v/>
      </c>
      <c r="J450" s="16" t="str">
        <f>IF(H450="","",H450/MAX(H$5:H450)-1)</f>
        <v/>
      </c>
      <c r="K450" s="13" t="str">
        <f>IF(OR('实盘净值数据(iFinD）'!$A450="",'实盘净值数据(iFinD）'!$B450="",'实盘净值数据(iFinD）'!$Z450="",'实盘净值数据(iFinD）'!$AA450=""),"",分期持仓明细!$AB$23*(SUMPRODUCT(分期持仓明细!$B$23:$Y$23,'实盘净值数据(iFinD）'!$B450:$Y450/'实盘净值数据(iFinD）'!$B$65:$Y$65)+SUMPRODUCT(分期持仓明细!$AC$23:$AD$23,'实盘净值数据(iFinD）'!$Z450:$AA450/'实盘净值数据(iFinD）'!$Z$65:$AA$65))*(1-实盘持仓初始配置!$Z$7)^(('实盘净值数据(iFinD）'!$A450-'实盘净值数据(iFinD）'!$A$8)/365))</f>
        <v/>
      </c>
      <c r="L450" s="16" t="str">
        <f t="shared" si="45"/>
        <v/>
      </c>
      <c r="M450" s="16" t="str">
        <f>IF(K450="","",K450/MAX(K$5:K450)-1)</f>
        <v/>
      </c>
      <c r="N450" s="13" t="str">
        <f>IF(OR('实盘净值数据(iFinD）'!$A450="",'实盘净值数据(iFinD）'!$B450="",'实盘净值数据(iFinD）'!$Z450="",'实盘净值数据(iFinD）'!$AA450=""),"",分期持仓明细!$AB$24*(SUMPRODUCT(分期持仓明细!$B$24:$Y$24,'实盘净值数据(iFinD）'!$B450:$Y450/'实盘净值数据(iFinD）'!$B$65:$Y$65)+SUMPRODUCT(分期持仓明细!$AC$24:$AD$24,'实盘净值数据(iFinD）'!$Z450:$AA450/'实盘净值数据(iFinD）'!$Z$65:$AA$65))*(1-实盘持仓初始配置!$Z$8)^(('实盘净值数据(iFinD）'!$A450-'实盘净值数据(iFinD）'!$A$5)/365))</f>
        <v/>
      </c>
      <c r="O450" s="16" t="str">
        <f t="shared" si="46"/>
        <v/>
      </c>
      <c r="P450" s="16" t="str">
        <f>IF(N450="","",N450/MAX(N$5:N450)-1)</f>
        <v/>
      </c>
      <c r="Q450" s="13" t="str">
        <f>IF(OR('实盘净值数据(iFinD）'!$A450="",'实盘净值数据(iFinD）'!$B450="",'实盘净值数据(iFinD）'!$Z450="",'实盘净值数据(iFinD）'!$AA450=""),"",分期持仓明细!$AB$25*(SUMPRODUCT(分期持仓明细!$B$25:$Y$25,'实盘净值数据(iFinD）'!$B450:$Y450/'实盘净值数据(iFinD）'!$B$65:$Y$65)+SUMPRODUCT(分期持仓明细!$AC$25:$AD$25,'实盘净值数据(iFinD）'!$Z450:$AA450/'实盘净值数据(iFinD）'!$Z$65:$AA$65))*(1-实盘持仓初始配置!$Z$9)^(('实盘净值数据(iFinD）'!$A450-'实盘净值数据(iFinD）'!$A$8)/365))</f>
        <v/>
      </c>
      <c r="R450" s="16" t="str">
        <f t="shared" si="47"/>
        <v/>
      </c>
      <c r="S450" s="16" t="str">
        <f>IF(Q450="","",Q450/MAX(Q$5:Q450)-1)</f>
        <v/>
      </c>
      <c r="T450" s="13">
        <f>IF(OR('实盘净值数据(iFinD）'!$A450="",'实盘净值数据(iFinD）'!$B450="",'实盘净值数据(iFinD）'!$Z450="",'实盘净值数据(iFinD）'!$AA450="",'实盘净值数据(iFinD）'!$AB450="",'实盘净值数据(iFinD）'!$AL450=""),"",(SUMPRODUCT(分期持仓明细!$B$26:$Y$26,'实盘净值数据(iFinD）'!$B450:$Y450/'实盘净值数据(iFinD）'!$B$69:$Y$69)+SUMPRODUCT(分期持仓明细!$AC$26:$AD$26,'实盘净值数据(iFinD）'!$Z450:$AA450/'实盘净值数据(iFinD）'!$Z$69:$AA$69)+SUMPRODUCT(分期持仓明细!$AE$26:$AO$26,'实盘净值数据(iFinD）'!$AB450:$AL450/'实盘净值数据(iFinD）'!$AB$69:$AL$69))*(1-实盘持仓初始配置!$Z$10)^(('实盘净值数据(iFinD）'!$A450-'实盘净值数据(iFinD）'!$A$69)/365))</f>
        <v/>
      </c>
      <c r="U450" s="16">
        <f>IF(OR(T449="",T450=""),"",T450/T449-1)</f>
        <v/>
      </c>
      <c r="V450" s="16">
        <f>IF(T450="","",T450/MAX(T$5:T450)-1)</f>
        <v/>
      </c>
    </row>
    <row r="451" spans="1:19">
      <c r="A451" s="15" t="str">
        <f>IF('实盘净值数据(iFinD）'!A451="","",'实盘净值数据(iFinD）'!A451)</f>
        <v/>
      </c>
      <c r="B451" s="13" t="str">
        <f>IF(OR('实盘净值数据(iFinD）'!$A451="",'实盘净值数据(iFinD）'!$B451=""),"",分期持仓明细!$AB$17*SUMPRODUCT(分期持仓明细!$B$17:$Y$17,'实盘净值数据(iFinD）'!$B451:$Y451/'实盘净值数据(iFinD）'!$B$20:$Y$20)*(1-实盘持仓初始配置!$Z$4)^(('实盘净值数据(iFinD）'!$A451-'实盘净值数据(iFinD）'!$A$6)/365))</f>
        <v/>
      </c>
      <c r="C451" s="16" t="str">
        <f t="shared" si="42"/>
        <v/>
      </c>
      <c r="D451" s="16" t="str">
        <f>IF(B451="","",B451/MAX(B$5:B451)-1)</f>
        <v/>
      </c>
      <c r="E451" s="13" t="str">
        <f>IF(OR('实盘净值数据(iFinD）'!$A451="",'实盘净值数据(iFinD）'!$B451=""),"",分期持仓明细!$AB$18*SUMPRODUCT(分期持仓明细!$B$18:$Y$18,'实盘净值数据(iFinD）'!$B451:$Y451/'实盘净值数据(iFinD）'!$B$20:$Y$20)*(1-实盘持仓初始配置!$Z$5)^(('实盘净值数据(iFinD）'!$A451-'实盘净值数据(iFinD）'!$A$5)/365))</f>
        <v/>
      </c>
      <c r="F451" s="16" t="str">
        <f t="shared" si="43"/>
        <v/>
      </c>
      <c r="G451" s="16" t="str">
        <f>IF(E451="","",E451/MAX(E$5:E451)-1)</f>
        <v/>
      </c>
      <c r="H451" s="13" t="str">
        <f>IF(OR('实盘净值数据(iFinD）'!$A451="",'实盘净值数据(iFinD）'!$B451=""),"",分期持仓明细!$AB$19*SUMPRODUCT(分期持仓明细!$B$19:$Y$19,'实盘净值数据(iFinD）'!$B451:$Y451/'实盘净值数据(iFinD）'!$B$20:$Y$20)*(1-实盘持仓初始配置!$Z$6)^(('实盘净值数据(iFinD）'!$A451-'实盘净值数据(iFinD）'!$A$7)/365))</f>
        <v/>
      </c>
      <c r="I451" s="16" t="str">
        <f t="shared" si="44"/>
        <v/>
      </c>
      <c r="J451" s="16" t="str">
        <f>IF(H451="","",H451/MAX(H$5:H451)-1)</f>
        <v/>
      </c>
      <c r="K451" s="13" t="str">
        <f>IF(OR('实盘净值数据(iFinD）'!$A451="",'实盘净值数据(iFinD）'!$B451="",'实盘净值数据(iFinD）'!$Z451="",'实盘净值数据(iFinD）'!$AA451=""),"",分期持仓明细!$AB$23*(SUMPRODUCT(分期持仓明细!$B$23:$Y$23,'实盘净值数据(iFinD）'!$B451:$Y451/'实盘净值数据(iFinD）'!$B$65:$Y$65)+SUMPRODUCT(分期持仓明细!$AC$23:$AD$23,'实盘净值数据(iFinD）'!$Z451:$AA451/'实盘净值数据(iFinD）'!$Z$65:$AA$65))*(1-实盘持仓初始配置!$Z$7)^(('实盘净值数据(iFinD）'!$A451-'实盘净值数据(iFinD）'!$A$8)/365))</f>
        <v/>
      </c>
      <c r="L451" s="16" t="str">
        <f t="shared" si="45"/>
        <v/>
      </c>
      <c r="M451" s="16" t="str">
        <f>IF(K451="","",K451/MAX(K$5:K451)-1)</f>
        <v/>
      </c>
      <c r="N451" s="13" t="str">
        <f>IF(OR('实盘净值数据(iFinD）'!$A451="",'实盘净值数据(iFinD）'!$B451="",'实盘净值数据(iFinD）'!$Z451="",'实盘净值数据(iFinD）'!$AA451=""),"",分期持仓明细!$AB$24*(SUMPRODUCT(分期持仓明细!$B$24:$Y$24,'实盘净值数据(iFinD）'!$B451:$Y451/'实盘净值数据(iFinD）'!$B$65:$Y$65)+SUMPRODUCT(分期持仓明细!$AC$24:$AD$24,'实盘净值数据(iFinD）'!$Z451:$AA451/'实盘净值数据(iFinD）'!$Z$65:$AA$65))*(1-实盘持仓初始配置!$Z$8)^(('实盘净值数据(iFinD）'!$A451-'实盘净值数据(iFinD）'!$A$5)/365))</f>
        <v/>
      </c>
      <c r="O451" s="16" t="str">
        <f t="shared" si="46"/>
        <v/>
      </c>
      <c r="P451" s="16" t="str">
        <f>IF(N451="","",N451/MAX(N$5:N451)-1)</f>
        <v/>
      </c>
      <c r="Q451" s="13" t="str">
        <f>IF(OR('实盘净值数据(iFinD）'!$A451="",'实盘净值数据(iFinD）'!$B451="",'实盘净值数据(iFinD）'!$Z451="",'实盘净值数据(iFinD）'!$AA451=""),"",分期持仓明细!$AB$25*(SUMPRODUCT(分期持仓明细!$B$25:$Y$25,'实盘净值数据(iFinD）'!$B451:$Y451/'实盘净值数据(iFinD）'!$B$65:$Y$65)+SUMPRODUCT(分期持仓明细!$AC$25:$AD$25,'实盘净值数据(iFinD）'!$Z451:$AA451/'实盘净值数据(iFinD）'!$Z$65:$AA$65))*(1-实盘持仓初始配置!$Z$9)^(('实盘净值数据(iFinD）'!$A451-'实盘净值数据(iFinD）'!$A$8)/365))</f>
        <v/>
      </c>
      <c r="R451" s="16" t="str">
        <f t="shared" si="47"/>
        <v/>
      </c>
      <c r="S451" s="16" t="str">
        <f>IF(Q451="","",Q451/MAX(Q$5:Q451)-1)</f>
        <v/>
      </c>
      <c r="T451" s="13">
        <f>IF(OR('实盘净值数据(iFinD）'!$A451="",'实盘净值数据(iFinD）'!$B451="",'实盘净值数据(iFinD）'!$Z451="",'实盘净值数据(iFinD）'!$AA451="",'实盘净值数据(iFinD）'!$AB451="",'实盘净值数据(iFinD）'!$AL451=""),"",(SUMPRODUCT(分期持仓明细!$B$26:$Y$26,'实盘净值数据(iFinD）'!$B451:$Y451/'实盘净值数据(iFinD）'!$B$69:$Y$69)+SUMPRODUCT(分期持仓明细!$AC$26:$AD$26,'实盘净值数据(iFinD）'!$Z451:$AA451/'实盘净值数据(iFinD）'!$Z$69:$AA$69)+SUMPRODUCT(分期持仓明细!$AE$26:$AO$26,'实盘净值数据(iFinD）'!$AB451:$AL451/'实盘净值数据(iFinD）'!$AB$69:$AL$69))*(1-实盘持仓初始配置!$Z$10)^(('实盘净值数据(iFinD）'!$A451-'实盘净值数据(iFinD）'!$A$69)/365))</f>
        <v/>
      </c>
      <c r="U451" s="16">
        <f>IF(OR(T450="",T451=""),"",T451/T450-1)</f>
        <v/>
      </c>
      <c r="V451" s="16">
        <f>IF(T451="","",T451/MAX(T$5:T451)-1)</f>
        <v/>
      </c>
    </row>
    <row r="452" spans="1:19">
      <c r="A452" s="15" t="str">
        <f>IF('实盘净值数据(iFinD）'!A452="","",'实盘净值数据(iFinD）'!A452)</f>
        <v/>
      </c>
      <c r="B452" s="13" t="str">
        <f>IF(OR('实盘净值数据(iFinD）'!$A452="",'实盘净值数据(iFinD）'!$B452=""),"",分期持仓明细!$AB$17*SUMPRODUCT(分期持仓明细!$B$17:$Y$17,'实盘净值数据(iFinD）'!$B452:$Y452/'实盘净值数据(iFinD）'!$B$20:$Y$20)*(1-实盘持仓初始配置!$Z$4)^(('实盘净值数据(iFinD）'!$A452-'实盘净值数据(iFinD）'!$A$6)/365))</f>
        <v/>
      </c>
      <c r="C452" s="16" t="str">
        <f t="shared" si="42"/>
        <v/>
      </c>
      <c r="D452" s="16" t="str">
        <f>IF(B452="","",B452/MAX(B$5:B452)-1)</f>
        <v/>
      </c>
      <c r="E452" s="13" t="str">
        <f>IF(OR('实盘净值数据(iFinD）'!$A452="",'实盘净值数据(iFinD）'!$B452=""),"",分期持仓明细!$AB$18*SUMPRODUCT(分期持仓明细!$B$18:$Y$18,'实盘净值数据(iFinD）'!$B452:$Y452/'实盘净值数据(iFinD）'!$B$20:$Y$20)*(1-实盘持仓初始配置!$Z$5)^(('实盘净值数据(iFinD）'!$A452-'实盘净值数据(iFinD）'!$A$5)/365))</f>
        <v/>
      </c>
      <c r="F452" s="16" t="str">
        <f t="shared" si="43"/>
        <v/>
      </c>
      <c r="G452" s="16" t="str">
        <f>IF(E452="","",E452/MAX(E$5:E452)-1)</f>
        <v/>
      </c>
      <c r="H452" s="13" t="str">
        <f>IF(OR('实盘净值数据(iFinD）'!$A452="",'实盘净值数据(iFinD）'!$B452=""),"",分期持仓明细!$AB$19*SUMPRODUCT(分期持仓明细!$B$19:$Y$19,'实盘净值数据(iFinD）'!$B452:$Y452/'实盘净值数据(iFinD）'!$B$20:$Y$20)*(1-实盘持仓初始配置!$Z$6)^(('实盘净值数据(iFinD）'!$A452-'实盘净值数据(iFinD）'!$A$7)/365))</f>
        <v/>
      </c>
      <c r="I452" s="16" t="str">
        <f t="shared" si="44"/>
        <v/>
      </c>
      <c r="J452" s="16" t="str">
        <f>IF(H452="","",H452/MAX(H$5:H452)-1)</f>
        <v/>
      </c>
      <c r="K452" s="13" t="str">
        <f>IF(OR('实盘净值数据(iFinD）'!$A452="",'实盘净值数据(iFinD）'!$B452="",'实盘净值数据(iFinD）'!$Z452="",'实盘净值数据(iFinD）'!$AA452=""),"",分期持仓明细!$AB$23*(SUMPRODUCT(分期持仓明细!$B$23:$Y$23,'实盘净值数据(iFinD）'!$B452:$Y452/'实盘净值数据(iFinD）'!$B$65:$Y$65)+SUMPRODUCT(分期持仓明细!$AC$23:$AD$23,'实盘净值数据(iFinD）'!$Z452:$AA452/'实盘净值数据(iFinD）'!$Z$65:$AA$65))*(1-实盘持仓初始配置!$Z$7)^(('实盘净值数据(iFinD）'!$A452-'实盘净值数据(iFinD）'!$A$8)/365))</f>
        <v/>
      </c>
      <c r="L452" s="16" t="str">
        <f t="shared" si="45"/>
        <v/>
      </c>
      <c r="M452" s="16" t="str">
        <f>IF(K452="","",K452/MAX(K$5:K452)-1)</f>
        <v/>
      </c>
      <c r="N452" s="13" t="str">
        <f>IF(OR('实盘净值数据(iFinD）'!$A452="",'实盘净值数据(iFinD）'!$B452="",'实盘净值数据(iFinD）'!$Z452="",'实盘净值数据(iFinD）'!$AA452=""),"",分期持仓明细!$AB$24*(SUMPRODUCT(分期持仓明细!$B$24:$Y$24,'实盘净值数据(iFinD）'!$B452:$Y452/'实盘净值数据(iFinD）'!$B$65:$Y$65)+SUMPRODUCT(分期持仓明细!$AC$24:$AD$24,'实盘净值数据(iFinD）'!$Z452:$AA452/'实盘净值数据(iFinD）'!$Z$65:$AA$65))*(1-实盘持仓初始配置!$Z$8)^(('实盘净值数据(iFinD）'!$A452-'实盘净值数据(iFinD）'!$A$5)/365))</f>
        <v/>
      </c>
      <c r="O452" s="16" t="str">
        <f t="shared" si="46"/>
        <v/>
      </c>
      <c r="P452" s="16" t="str">
        <f>IF(N452="","",N452/MAX(N$5:N452)-1)</f>
        <v/>
      </c>
      <c r="Q452" s="13" t="str">
        <f>IF(OR('实盘净值数据(iFinD）'!$A452="",'实盘净值数据(iFinD）'!$B452="",'实盘净值数据(iFinD）'!$Z452="",'实盘净值数据(iFinD）'!$AA452=""),"",分期持仓明细!$AB$25*(SUMPRODUCT(分期持仓明细!$B$25:$Y$25,'实盘净值数据(iFinD）'!$B452:$Y452/'实盘净值数据(iFinD）'!$B$65:$Y$65)+SUMPRODUCT(分期持仓明细!$AC$25:$AD$25,'实盘净值数据(iFinD）'!$Z452:$AA452/'实盘净值数据(iFinD）'!$Z$65:$AA$65))*(1-实盘持仓初始配置!$Z$9)^(('实盘净值数据(iFinD）'!$A452-'实盘净值数据(iFinD）'!$A$8)/365))</f>
        <v/>
      </c>
      <c r="R452" s="16" t="str">
        <f t="shared" si="47"/>
        <v/>
      </c>
      <c r="S452" s="16" t="str">
        <f>IF(Q452="","",Q452/MAX(Q$5:Q452)-1)</f>
        <v/>
      </c>
      <c r="T452" s="13">
        <f>IF(OR('实盘净值数据(iFinD）'!$A452="",'实盘净值数据(iFinD）'!$B452="",'实盘净值数据(iFinD）'!$Z452="",'实盘净值数据(iFinD）'!$AA452="",'实盘净值数据(iFinD）'!$AB452="",'实盘净值数据(iFinD）'!$AL452=""),"",(SUMPRODUCT(分期持仓明细!$B$26:$Y$26,'实盘净值数据(iFinD）'!$B452:$Y452/'实盘净值数据(iFinD）'!$B$69:$Y$69)+SUMPRODUCT(分期持仓明细!$AC$26:$AD$26,'实盘净值数据(iFinD）'!$Z452:$AA452/'实盘净值数据(iFinD）'!$Z$69:$AA$69)+SUMPRODUCT(分期持仓明细!$AE$26:$AO$26,'实盘净值数据(iFinD）'!$AB452:$AL452/'实盘净值数据(iFinD）'!$AB$69:$AL$69))*(1-实盘持仓初始配置!$Z$10)^(('实盘净值数据(iFinD）'!$A452-'实盘净值数据(iFinD）'!$A$69)/365))</f>
        <v/>
      </c>
      <c r="U452" s="16">
        <f>IF(OR(T451="",T452=""),"",T452/T451-1)</f>
        <v/>
      </c>
      <c r="V452" s="16">
        <f>IF(T452="","",T452/MAX(T$5:T452)-1)</f>
        <v/>
      </c>
    </row>
    <row r="453" spans="1:19">
      <c r="A453" s="15" t="str">
        <f>IF('实盘净值数据(iFinD）'!A453="","",'实盘净值数据(iFinD）'!A453)</f>
        <v/>
      </c>
      <c r="B453" s="13" t="str">
        <f>IF(OR('实盘净值数据(iFinD）'!$A453="",'实盘净值数据(iFinD）'!$B453=""),"",分期持仓明细!$AB$17*SUMPRODUCT(分期持仓明细!$B$17:$Y$17,'实盘净值数据(iFinD）'!$B453:$Y453/'实盘净值数据(iFinD）'!$B$20:$Y$20)*(1-实盘持仓初始配置!$Z$4)^(('实盘净值数据(iFinD）'!$A453-'实盘净值数据(iFinD）'!$A$6)/365))</f>
        <v/>
      </c>
      <c r="C453" s="16" t="str">
        <f t="shared" si="42"/>
        <v/>
      </c>
      <c r="D453" s="16" t="str">
        <f>IF(B453="","",B453/MAX(B$5:B453)-1)</f>
        <v/>
      </c>
      <c r="E453" s="13" t="str">
        <f>IF(OR('实盘净值数据(iFinD）'!$A453="",'实盘净值数据(iFinD）'!$B453=""),"",分期持仓明细!$AB$18*SUMPRODUCT(分期持仓明细!$B$18:$Y$18,'实盘净值数据(iFinD）'!$B453:$Y453/'实盘净值数据(iFinD）'!$B$20:$Y$20)*(1-实盘持仓初始配置!$Z$5)^(('实盘净值数据(iFinD）'!$A453-'实盘净值数据(iFinD）'!$A$5)/365))</f>
        <v/>
      </c>
      <c r="F453" s="16" t="str">
        <f t="shared" si="43"/>
        <v/>
      </c>
      <c r="G453" s="16" t="str">
        <f>IF(E453="","",E453/MAX(E$5:E453)-1)</f>
        <v/>
      </c>
      <c r="H453" s="13" t="str">
        <f>IF(OR('实盘净值数据(iFinD）'!$A453="",'实盘净值数据(iFinD）'!$B453=""),"",分期持仓明细!$AB$19*SUMPRODUCT(分期持仓明细!$B$19:$Y$19,'实盘净值数据(iFinD）'!$B453:$Y453/'实盘净值数据(iFinD）'!$B$20:$Y$20)*(1-实盘持仓初始配置!$Z$6)^(('实盘净值数据(iFinD）'!$A453-'实盘净值数据(iFinD）'!$A$7)/365))</f>
        <v/>
      </c>
      <c r="I453" s="16" t="str">
        <f t="shared" si="44"/>
        <v/>
      </c>
      <c r="J453" s="16" t="str">
        <f>IF(H453="","",H453/MAX(H$5:H453)-1)</f>
        <v/>
      </c>
      <c r="K453" s="13" t="str">
        <f>IF(OR('实盘净值数据(iFinD）'!$A453="",'实盘净值数据(iFinD）'!$B453="",'实盘净值数据(iFinD）'!$Z453="",'实盘净值数据(iFinD）'!$AA453=""),"",分期持仓明细!$AB$23*(SUMPRODUCT(分期持仓明细!$B$23:$Y$23,'实盘净值数据(iFinD）'!$B453:$Y453/'实盘净值数据(iFinD）'!$B$65:$Y$65)+SUMPRODUCT(分期持仓明细!$AC$23:$AD$23,'实盘净值数据(iFinD）'!$Z453:$AA453/'实盘净值数据(iFinD）'!$Z$65:$AA$65))*(1-实盘持仓初始配置!$Z$7)^(('实盘净值数据(iFinD）'!$A453-'实盘净值数据(iFinD）'!$A$8)/365))</f>
        <v/>
      </c>
      <c r="L453" s="16" t="str">
        <f t="shared" si="45"/>
        <v/>
      </c>
      <c r="M453" s="16" t="str">
        <f>IF(K453="","",K453/MAX(K$5:K453)-1)</f>
        <v/>
      </c>
      <c r="N453" s="13" t="str">
        <f>IF(OR('实盘净值数据(iFinD）'!$A453="",'实盘净值数据(iFinD）'!$B453="",'实盘净值数据(iFinD）'!$Z453="",'实盘净值数据(iFinD）'!$AA453=""),"",分期持仓明细!$AB$24*(SUMPRODUCT(分期持仓明细!$B$24:$Y$24,'实盘净值数据(iFinD）'!$B453:$Y453/'实盘净值数据(iFinD）'!$B$65:$Y$65)+SUMPRODUCT(分期持仓明细!$AC$24:$AD$24,'实盘净值数据(iFinD）'!$Z453:$AA453/'实盘净值数据(iFinD）'!$Z$65:$AA$65))*(1-实盘持仓初始配置!$Z$8)^(('实盘净值数据(iFinD）'!$A453-'实盘净值数据(iFinD）'!$A$5)/365))</f>
        <v/>
      </c>
      <c r="O453" s="16" t="str">
        <f t="shared" si="46"/>
        <v/>
      </c>
      <c r="P453" s="16" t="str">
        <f>IF(N453="","",N453/MAX(N$5:N453)-1)</f>
        <v/>
      </c>
      <c r="Q453" s="13" t="str">
        <f>IF(OR('实盘净值数据(iFinD）'!$A453="",'实盘净值数据(iFinD）'!$B453="",'实盘净值数据(iFinD）'!$Z453="",'实盘净值数据(iFinD）'!$AA453=""),"",分期持仓明细!$AB$25*(SUMPRODUCT(分期持仓明细!$B$25:$Y$25,'实盘净值数据(iFinD）'!$B453:$Y453/'实盘净值数据(iFinD）'!$B$65:$Y$65)+SUMPRODUCT(分期持仓明细!$AC$25:$AD$25,'实盘净值数据(iFinD）'!$Z453:$AA453/'实盘净值数据(iFinD）'!$Z$65:$AA$65))*(1-实盘持仓初始配置!$Z$9)^(('实盘净值数据(iFinD）'!$A453-'实盘净值数据(iFinD）'!$A$8)/365))</f>
        <v/>
      </c>
      <c r="R453" s="16" t="str">
        <f t="shared" si="47"/>
        <v/>
      </c>
      <c r="S453" s="16" t="str">
        <f>IF(Q453="","",Q453/MAX(Q$5:Q453)-1)</f>
        <v/>
      </c>
      <c r="T453" s="13">
        <f>IF(OR('实盘净值数据(iFinD）'!$A453="",'实盘净值数据(iFinD）'!$B453="",'实盘净值数据(iFinD）'!$Z453="",'实盘净值数据(iFinD）'!$AA453="",'实盘净值数据(iFinD）'!$AB453="",'实盘净值数据(iFinD）'!$AL453=""),"",(SUMPRODUCT(分期持仓明细!$B$26:$Y$26,'实盘净值数据(iFinD）'!$B453:$Y453/'实盘净值数据(iFinD）'!$B$69:$Y$69)+SUMPRODUCT(分期持仓明细!$AC$26:$AD$26,'实盘净值数据(iFinD）'!$Z453:$AA453/'实盘净值数据(iFinD）'!$Z$69:$AA$69)+SUMPRODUCT(分期持仓明细!$AE$26:$AO$26,'实盘净值数据(iFinD）'!$AB453:$AL453/'实盘净值数据(iFinD）'!$AB$69:$AL$69))*(1-实盘持仓初始配置!$Z$10)^(('实盘净值数据(iFinD）'!$A453-'实盘净值数据(iFinD）'!$A$69)/365))</f>
        <v/>
      </c>
      <c r="U453" s="16">
        <f>IF(OR(T452="",T453=""),"",T453/T452-1)</f>
        <v/>
      </c>
      <c r="V453" s="16">
        <f>IF(T453="","",T453/MAX(T$5:T453)-1)</f>
        <v/>
      </c>
    </row>
    <row r="454" spans="1:19">
      <c r="A454" s="15" t="str">
        <f>IF('实盘净值数据(iFinD）'!A454="","",'实盘净值数据(iFinD）'!A454)</f>
        <v/>
      </c>
      <c r="B454" s="13" t="str">
        <f>IF(OR('实盘净值数据(iFinD）'!$A454="",'实盘净值数据(iFinD）'!$B454=""),"",分期持仓明细!$AB$17*SUMPRODUCT(分期持仓明细!$B$17:$Y$17,'实盘净值数据(iFinD）'!$B454:$Y454/'实盘净值数据(iFinD）'!$B$20:$Y$20)*(1-实盘持仓初始配置!$Z$4)^(('实盘净值数据(iFinD）'!$A454-'实盘净值数据(iFinD）'!$A$6)/365))</f>
        <v/>
      </c>
      <c r="C454" s="16" t="str">
        <f t="shared" si="42"/>
        <v/>
      </c>
      <c r="D454" s="16" t="str">
        <f>IF(B454="","",B454/MAX(B$5:B454)-1)</f>
        <v/>
      </c>
      <c r="E454" s="13" t="str">
        <f>IF(OR('实盘净值数据(iFinD）'!$A454="",'实盘净值数据(iFinD）'!$B454=""),"",分期持仓明细!$AB$18*SUMPRODUCT(分期持仓明细!$B$18:$Y$18,'实盘净值数据(iFinD）'!$B454:$Y454/'实盘净值数据(iFinD）'!$B$20:$Y$20)*(1-实盘持仓初始配置!$Z$5)^(('实盘净值数据(iFinD）'!$A454-'实盘净值数据(iFinD）'!$A$5)/365))</f>
        <v/>
      </c>
      <c r="F454" s="16" t="str">
        <f t="shared" si="43"/>
        <v/>
      </c>
      <c r="G454" s="16" t="str">
        <f>IF(E454="","",E454/MAX(E$5:E454)-1)</f>
        <v/>
      </c>
      <c r="H454" s="13" t="str">
        <f>IF(OR('实盘净值数据(iFinD）'!$A454="",'实盘净值数据(iFinD）'!$B454=""),"",分期持仓明细!$AB$19*SUMPRODUCT(分期持仓明细!$B$19:$Y$19,'实盘净值数据(iFinD）'!$B454:$Y454/'实盘净值数据(iFinD）'!$B$20:$Y$20)*(1-实盘持仓初始配置!$Z$6)^(('实盘净值数据(iFinD）'!$A454-'实盘净值数据(iFinD）'!$A$7)/365))</f>
        <v/>
      </c>
      <c r="I454" s="16" t="str">
        <f t="shared" si="44"/>
        <v/>
      </c>
      <c r="J454" s="16" t="str">
        <f>IF(H454="","",H454/MAX(H$5:H454)-1)</f>
        <v/>
      </c>
      <c r="K454" s="13" t="str">
        <f>IF(OR('实盘净值数据(iFinD）'!$A454="",'实盘净值数据(iFinD）'!$B454="",'实盘净值数据(iFinD）'!$Z454="",'实盘净值数据(iFinD）'!$AA454=""),"",分期持仓明细!$AB$23*(SUMPRODUCT(分期持仓明细!$B$23:$Y$23,'实盘净值数据(iFinD）'!$B454:$Y454/'实盘净值数据(iFinD）'!$B$65:$Y$65)+SUMPRODUCT(分期持仓明细!$AC$23:$AD$23,'实盘净值数据(iFinD）'!$Z454:$AA454/'实盘净值数据(iFinD）'!$Z$65:$AA$65))*(1-实盘持仓初始配置!$Z$7)^(('实盘净值数据(iFinD）'!$A454-'实盘净值数据(iFinD）'!$A$8)/365))</f>
        <v/>
      </c>
      <c r="L454" s="16" t="str">
        <f t="shared" si="45"/>
        <v/>
      </c>
      <c r="M454" s="16" t="str">
        <f>IF(K454="","",K454/MAX(K$5:K454)-1)</f>
        <v/>
      </c>
      <c r="N454" s="13" t="str">
        <f>IF(OR('实盘净值数据(iFinD）'!$A454="",'实盘净值数据(iFinD）'!$B454="",'实盘净值数据(iFinD）'!$Z454="",'实盘净值数据(iFinD）'!$AA454=""),"",分期持仓明细!$AB$24*(SUMPRODUCT(分期持仓明细!$B$24:$Y$24,'实盘净值数据(iFinD）'!$B454:$Y454/'实盘净值数据(iFinD）'!$B$65:$Y$65)+SUMPRODUCT(分期持仓明细!$AC$24:$AD$24,'实盘净值数据(iFinD）'!$Z454:$AA454/'实盘净值数据(iFinD）'!$Z$65:$AA$65))*(1-实盘持仓初始配置!$Z$8)^(('实盘净值数据(iFinD）'!$A454-'实盘净值数据(iFinD）'!$A$5)/365))</f>
        <v/>
      </c>
      <c r="O454" s="16" t="str">
        <f t="shared" si="46"/>
        <v/>
      </c>
      <c r="P454" s="16" t="str">
        <f>IF(N454="","",N454/MAX(N$5:N454)-1)</f>
        <v/>
      </c>
      <c r="Q454" s="13" t="str">
        <f>IF(OR('实盘净值数据(iFinD）'!$A454="",'实盘净值数据(iFinD）'!$B454="",'实盘净值数据(iFinD）'!$Z454="",'实盘净值数据(iFinD）'!$AA454=""),"",分期持仓明细!$AB$25*(SUMPRODUCT(分期持仓明细!$B$25:$Y$25,'实盘净值数据(iFinD）'!$B454:$Y454/'实盘净值数据(iFinD）'!$B$65:$Y$65)+SUMPRODUCT(分期持仓明细!$AC$25:$AD$25,'实盘净值数据(iFinD）'!$Z454:$AA454/'实盘净值数据(iFinD）'!$Z$65:$AA$65))*(1-实盘持仓初始配置!$Z$9)^(('实盘净值数据(iFinD）'!$A454-'实盘净值数据(iFinD）'!$A$8)/365))</f>
        <v/>
      </c>
      <c r="R454" s="16" t="str">
        <f t="shared" si="47"/>
        <v/>
      </c>
      <c r="S454" s="16" t="str">
        <f>IF(Q454="","",Q454/MAX(Q$5:Q454)-1)</f>
        <v/>
      </c>
      <c r="T454" s="13">
        <f>IF(OR('实盘净值数据(iFinD）'!$A454="",'实盘净值数据(iFinD）'!$B454="",'实盘净值数据(iFinD）'!$Z454="",'实盘净值数据(iFinD）'!$AA454="",'实盘净值数据(iFinD）'!$AB454="",'实盘净值数据(iFinD）'!$AL454=""),"",(SUMPRODUCT(分期持仓明细!$B$26:$Y$26,'实盘净值数据(iFinD）'!$B454:$Y454/'实盘净值数据(iFinD）'!$B$69:$Y$69)+SUMPRODUCT(分期持仓明细!$AC$26:$AD$26,'实盘净值数据(iFinD）'!$Z454:$AA454/'实盘净值数据(iFinD）'!$Z$69:$AA$69)+SUMPRODUCT(分期持仓明细!$AE$26:$AO$26,'实盘净值数据(iFinD）'!$AB454:$AL454/'实盘净值数据(iFinD）'!$AB$69:$AL$69))*(1-实盘持仓初始配置!$Z$10)^(('实盘净值数据(iFinD）'!$A454-'实盘净值数据(iFinD）'!$A$69)/365))</f>
        <v/>
      </c>
      <c r="U454" s="16">
        <f>IF(OR(T453="",T454=""),"",T454/T453-1)</f>
        <v/>
      </c>
      <c r="V454" s="16">
        <f>IF(T454="","",T454/MAX(T$5:T454)-1)</f>
        <v/>
      </c>
    </row>
    <row r="455" spans="1:19">
      <c r="A455" s="15" t="str">
        <f>IF('实盘净值数据(iFinD）'!A455="","",'实盘净值数据(iFinD）'!A455)</f>
        <v/>
      </c>
      <c r="B455" s="13" t="str">
        <f>IF(OR('实盘净值数据(iFinD）'!$A455="",'实盘净值数据(iFinD）'!$B455=""),"",分期持仓明细!$AB$17*SUMPRODUCT(分期持仓明细!$B$17:$Y$17,'实盘净值数据(iFinD）'!$B455:$Y455/'实盘净值数据(iFinD）'!$B$20:$Y$20)*(1-实盘持仓初始配置!$Z$4)^(('实盘净值数据(iFinD）'!$A455-'实盘净值数据(iFinD）'!$A$6)/365))</f>
        <v/>
      </c>
      <c r="C455" s="16" t="str">
        <f t="shared" si="42"/>
        <v/>
      </c>
      <c r="D455" s="16" t="str">
        <f>IF(B455="","",B455/MAX(B$5:B455)-1)</f>
        <v/>
      </c>
      <c r="E455" s="13" t="str">
        <f>IF(OR('实盘净值数据(iFinD）'!$A455="",'实盘净值数据(iFinD）'!$B455=""),"",分期持仓明细!$AB$18*SUMPRODUCT(分期持仓明细!$B$18:$Y$18,'实盘净值数据(iFinD）'!$B455:$Y455/'实盘净值数据(iFinD）'!$B$20:$Y$20)*(1-实盘持仓初始配置!$Z$5)^(('实盘净值数据(iFinD）'!$A455-'实盘净值数据(iFinD）'!$A$5)/365))</f>
        <v/>
      </c>
      <c r="F455" s="16" t="str">
        <f t="shared" si="43"/>
        <v/>
      </c>
      <c r="G455" s="16" t="str">
        <f>IF(E455="","",E455/MAX(E$5:E455)-1)</f>
        <v/>
      </c>
      <c r="H455" s="13" t="str">
        <f>IF(OR('实盘净值数据(iFinD）'!$A455="",'实盘净值数据(iFinD）'!$B455=""),"",分期持仓明细!$AB$19*SUMPRODUCT(分期持仓明细!$B$19:$Y$19,'实盘净值数据(iFinD）'!$B455:$Y455/'实盘净值数据(iFinD）'!$B$20:$Y$20)*(1-实盘持仓初始配置!$Z$6)^(('实盘净值数据(iFinD）'!$A455-'实盘净值数据(iFinD）'!$A$7)/365))</f>
        <v/>
      </c>
      <c r="I455" s="16" t="str">
        <f t="shared" si="44"/>
        <v/>
      </c>
      <c r="J455" s="16" t="str">
        <f>IF(H455="","",H455/MAX(H$5:H455)-1)</f>
        <v/>
      </c>
      <c r="K455" s="13" t="str">
        <f>IF(OR('实盘净值数据(iFinD）'!$A455="",'实盘净值数据(iFinD）'!$B455="",'实盘净值数据(iFinD）'!$Z455="",'实盘净值数据(iFinD）'!$AA455=""),"",分期持仓明细!$AB$23*(SUMPRODUCT(分期持仓明细!$B$23:$Y$23,'实盘净值数据(iFinD）'!$B455:$Y455/'实盘净值数据(iFinD）'!$B$65:$Y$65)+SUMPRODUCT(分期持仓明细!$AC$23:$AD$23,'实盘净值数据(iFinD）'!$Z455:$AA455/'实盘净值数据(iFinD）'!$Z$65:$AA$65))*(1-实盘持仓初始配置!$Z$7)^(('实盘净值数据(iFinD）'!$A455-'实盘净值数据(iFinD）'!$A$8)/365))</f>
        <v/>
      </c>
      <c r="L455" s="16" t="str">
        <f t="shared" si="45"/>
        <v/>
      </c>
      <c r="M455" s="16" t="str">
        <f>IF(K455="","",K455/MAX(K$5:K455)-1)</f>
        <v/>
      </c>
      <c r="N455" s="13" t="str">
        <f>IF(OR('实盘净值数据(iFinD）'!$A455="",'实盘净值数据(iFinD）'!$B455="",'实盘净值数据(iFinD）'!$Z455="",'实盘净值数据(iFinD）'!$AA455=""),"",分期持仓明细!$AB$24*(SUMPRODUCT(分期持仓明细!$B$24:$Y$24,'实盘净值数据(iFinD）'!$B455:$Y455/'实盘净值数据(iFinD）'!$B$65:$Y$65)+SUMPRODUCT(分期持仓明细!$AC$24:$AD$24,'实盘净值数据(iFinD）'!$Z455:$AA455/'实盘净值数据(iFinD）'!$Z$65:$AA$65))*(1-实盘持仓初始配置!$Z$8)^(('实盘净值数据(iFinD）'!$A455-'实盘净值数据(iFinD）'!$A$5)/365))</f>
        <v/>
      </c>
      <c r="O455" s="16" t="str">
        <f t="shared" si="46"/>
        <v/>
      </c>
      <c r="P455" s="16" t="str">
        <f>IF(N455="","",N455/MAX(N$5:N455)-1)</f>
        <v/>
      </c>
      <c r="Q455" s="13" t="str">
        <f>IF(OR('实盘净值数据(iFinD）'!$A455="",'实盘净值数据(iFinD）'!$B455="",'实盘净值数据(iFinD）'!$Z455="",'实盘净值数据(iFinD）'!$AA455=""),"",分期持仓明细!$AB$25*(SUMPRODUCT(分期持仓明细!$B$25:$Y$25,'实盘净值数据(iFinD）'!$B455:$Y455/'实盘净值数据(iFinD）'!$B$65:$Y$65)+SUMPRODUCT(分期持仓明细!$AC$25:$AD$25,'实盘净值数据(iFinD）'!$Z455:$AA455/'实盘净值数据(iFinD）'!$Z$65:$AA$65))*(1-实盘持仓初始配置!$Z$9)^(('实盘净值数据(iFinD）'!$A455-'实盘净值数据(iFinD）'!$A$8)/365))</f>
        <v/>
      </c>
      <c r="R455" s="16" t="str">
        <f t="shared" si="47"/>
        <v/>
      </c>
      <c r="S455" s="16" t="str">
        <f>IF(Q455="","",Q455/MAX(Q$5:Q455)-1)</f>
        <v/>
      </c>
      <c r="T455" s="13">
        <f>IF(OR('实盘净值数据(iFinD）'!$A455="",'实盘净值数据(iFinD）'!$B455="",'实盘净值数据(iFinD）'!$Z455="",'实盘净值数据(iFinD）'!$AA455="",'实盘净值数据(iFinD）'!$AB455="",'实盘净值数据(iFinD）'!$AL455=""),"",(SUMPRODUCT(分期持仓明细!$B$26:$Y$26,'实盘净值数据(iFinD）'!$B455:$Y455/'实盘净值数据(iFinD）'!$B$69:$Y$69)+SUMPRODUCT(分期持仓明细!$AC$26:$AD$26,'实盘净值数据(iFinD）'!$Z455:$AA455/'实盘净值数据(iFinD）'!$Z$69:$AA$69)+SUMPRODUCT(分期持仓明细!$AE$26:$AO$26,'实盘净值数据(iFinD）'!$AB455:$AL455/'实盘净值数据(iFinD）'!$AB$69:$AL$69))*(1-实盘持仓初始配置!$Z$10)^(('实盘净值数据(iFinD）'!$A455-'实盘净值数据(iFinD）'!$A$69)/365))</f>
        <v/>
      </c>
      <c r="U455" s="16">
        <f>IF(OR(T454="",T455=""),"",T455/T454-1)</f>
        <v/>
      </c>
      <c r="V455" s="16">
        <f>IF(T455="","",T455/MAX(T$5:T455)-1)</f>
        <v/>
      </c>
    </row>
    <row r="456" spans="1:19">
      <c r="A456" s="15" t="str">
        <f>IF('实盘净值数据(iFinD）'!A456="","",'实盘净值数据(iFinD）'!A456)</f>
        <v/>
      </c>
      <c r="B456" s="13" t="str">
        <f>IF(OR('实盘净值数据(iFinD）'!$A456="",'实盘净值数据(iFinD）'!$B456=""),"",分期持仓明细!$AB$17*SUMPRODUCT(分期持仓明细!$B$17:$Y$17,'实盘净值数据(iFinD）'!$B456:$Y456/'实盘净值数据(iFinD）'!$B$20:$Y$20)*(1-实盘持仓初始配置!$Z$4)^(('实盘净值数据(iFinD）'!$A456-'实盘净值数据(iFinD）'!$A$6)/365))</f>
        <v/>
      </c>
      <c r="C456" s="16" t="str">
        <f t="shared" si="42"/>
        <v/>
      </c>
      <c r="D456" s="16" t="str">
        <f>IF(B456="","",B456/MAX(B$5:B456)-1)</f>
        <v/>
      </c>
      <c r="E456" s="13" t="str">
        <f>IF(OR('实盘净值数据(iFinD）'!$A456="",'实盘净值数据(iFinD）'!$B456=""),"",分期持仓明细!$AB$18*SUMPRODUCT(分期持仓明细!$B$18:$Y$18,'实盘净值数据(iFinD）'!$B456:$Y456/'实盘净值数据(iFinD）'!$B$20:$Y$20)*(1-实盘持仓初始配置!$Z$5)^(('实盘净值数据(iFinD）'!$A456-'实盘净值数据(iFinD）'!$A$5)/365))</f>
        <v/>
      </c>
      <c r="F456" s="16" t="str">
        <f t="shared" si="43"/>
        <v/>
      </c>
      <c r="G456" s="16" t="str">
        <f>IF(E456="","",E456/MAX(E$5:E456)-1)</f>
        <v/>
      </c>
      <c r="H456" s="13" t="str">
        <f>IF(OR('实盘净值数据(iFinD）'!$A456="",'实盘净值数据(iFinD）'!$B456=""),"",分期持仓明细!$AB$19*SUMPRODUCT(分期持仓明细!$B$19:$Y$19,'实盘净值数据(iFinD）'!$B456:$Y456/'实盘净值数据(iFinD）'!$B$20:$Y$20)*(1-实盘持仓初始配置!$Z$6)^(('实盘净值数据(iFinD）'!$A456-'实盘净值数据(iFinD）'!$A$7)/365))</f>
        <v/>
      </c>
      <c r="I456" s="16" t="str">
        <f t="shared" si="44"/>
        <v/>
      </c>
      <c r="J456" s="16" t="str">
        <f>IF(H456="","",H456/MAX(H$5:H456)-1)</f>
        <v/>
      </c>
      <c r="K456" s="13" t="str">
        <f>IF(OR('实盘净值数据(iFinD）'!$A456="",'实盘净值数据(iFinD）'!$B456="",'实盘净值数据(iFinD）'!$Z456="",'实盘净值数据(iFinD）'!$AA456=""),"",分期持仓明细!$AB$23*(SUMPRODUCT(分期持仓明细!$B$23:$Y$23,'实盘净值数据(iFinD）'!$B456:$Y456/'实盘净值数据(iFinD）'!$B$65:$Y$65)+SUMPRODUCT(分期持仓明细!$AC$23:$AD$23,'实盘净值数据(iFinD）'!$Z456:$AA456/'实盘净值数据(iFinD）'!$Z$65:$AA$65))*(1-实盘持仓初始配置!$Z$7)^(('实盘净值数据(iFinD）'!$A456-'实盘净值数据(iFinD）'!$A$8)/365))</f>
        <v/>
      </c>
      <c r="L456" s="16" t="str">
        <f t="shared" si="45"/>
        <v/>
      </c>
      <c r="M456" s="16" t="str">
        <f>IF(K456="","",K456/MAX(K$5:K456)-1)</f>
        <v/>
      </c>
      <c r="N456" s="13" t="str">
        <f>IF(OR('实盘净值数据(iFinD）'!$A456="",'实盘净值数据(iFinD）'!$B456="",'实盘净值数据(iFinD）'!$Z456="",'实盘净值数据(iFinD）'!$AA456=""),"",分期持仓明细!$AB$24*(SUMPRODUCT(分期持仓明细!$B$24:$Y$24,'实盘净值数据(iFinD）'!$B456:$Y456/'实盘净值数据(iFinD）'!$B$65:$Y$65)+SUMPRODUCT(分期持仓明细!$AC$24:$AD$24,'实盘净值数据(iFinD）'!$Z456:$AA456/'实盘净值数据(iFinD）'!$Z$65:$AA$65))*(1-实盘持仓初始配置!$Z$8)^(('实盘净值数据(iFinD）'!$A456-'实盘净值数据(iFinD）'!$A$5)/365))</f>
        <v/>
      </c>
      <c r="O456" s="16" t="str">
        <f t="shared" si="46"/>
        <v/>
      </c>
      <c r="P456" s="16" t="str">
        <f>IF(N456="","",N456/MAX(N$5:N456)-1)</f>
        <v/>
      </c>
      <c r="Q456" s="13" t="str">
        <f>IF(OR('实盘净值数据(iFinD）'!$A456="",'实盘净值数据(iFinD）'!$B456="",'实盘净值数据(iFinD）'!$Z456="",'实盘净值数据(iFinD）'!$AA456=""),"",分期持仓明细!$AB$25*(SUMPRODUCT(分期持仓明细!$B$25:$Y$25,'实盘净值数据(iFinD）'!$B456:$Y456/'实盘净值数据(iFinD）'!$B$65:$Y$65)+SUMPRODUCT(分期持仓明细!$AC$25:$AD$25,'实盘净值数据(iFinD）'!$Z456:$AA456/'实盘净值数据(iFinD）'!$Z$65:$AA$65))*(1-实盘持仓初始配置!$Z$9)^(('实盘净值数据(iFinD）'!$A456-'实盘净值数据(iFinD）'!$A$8)/365))</f>
        <v/>
      </c>
      <c r="R456" s="16" t="str">
        <f t="shared" si="47"/>
        <v/>
      </c>
      <c r="S456" s="16" t="str">
        <f>IF(Q456="","",Q456/MAX(Q$5:Q456)-1)</f>
        <v/>
      </c>
      <c r="T456" s="13">
        <f>IF(OR('实盘净值数据(iFinD）'!$A456="",'实盘净值数据(iFinD）'!$B456="",'实盘净值数据(iFinD）'!$Z456="",'实盘净值数据(iFinD）'!$AA456="",'实盘净值数据(iFinD）'!$AB456="",'实盘净值数据(iFinD）'!$AL456=""),"",(SUMPRODUCT(分期持仓明细!$B$26:$Y$26,'实盘净值数据(iFinD）'!$B456:$Y456/'实盘净值数据(iFinD）'!$B$69:$Y$69)+SUMPRODUCT(分期持仓明细!$AC$26:$AD$26,'实盘净值数据(iFinD）'!$Z456:$AA456/'实盘净值数据(iFinD）'!$Z$69:$AA$69)+SUMPRODUCT(分期持仓明细!$AE$26:$AO$26,'实盘净值数据(iFinD）'!$AB456:$AL456/'实盘净值数据(iFinD）'!$AB$69:$AL$69))*(1-实盘持仓初始配置!$Z$10)^(('实盘净值数据(iFinD）'!$A456-'实盘净值数据(iFinD）'!$A$69)/365))</f>
        <v/>
      </c>
      <c r="U456" s="16">
        <f>IF(OR(T455="",T456=""),"",T456/T455-1)</f>
        <v/>
      </c>
      <c r="V456" s="16">
        <f>IF(T456="","",T456/MAX(T$5:T456)-1)</f>
        <v/>
      </c>
    </row>
    <row r="457" spans="1:19">
      <c r="A457" s="15" t="str">
        <f>IF('实盘净值数据(iFinD）'!A457="","",'实盘净值数据(iFinD）'!A457)</f>
        <v/>
      </c>
      <c r="B457" s="13" t="str">
        <f>IF(OR('实盘净值数据(iFinD）'!$A457="",'实盘净值数据(iFinD）'!$B457=""),"",分期持仓明细!$AB$17*SUMPRODUCT(分期持仓明细!$B$17:$Y$17,'实盘净值数据(iFinD）'!$B457:$Y457/'实盘净值数据(iFinD）'!$B$20:$Y$20)*(1-实盘持仓初始配置!$Z$4)^(('实盘净值数据(iFinD）'!$A457-'实盘净值数据(iFinD）'!$A$6)/365))</f>
        <v/>
      </c>
      <c r="C457" s="16" t="str">
        <f t="shared" si="42"/>
        <v/>
      </c>
      <c r="D457" s="16" t="str">
        <f>IF(B457="","",B457/MAX(B$5:B457)-1)</f>
        <v/>
      </c>
      <c r="E457" s="13" t="str">
        <f>IF(OR('实盘净值数据(iFinD）'!$A457="",'实盘净值数据(iFinD）'!$B457=""),"",分期持仓明细!$AB$18*SUMPRODUCT(分期持仓明细!$B$18:$Y$18,'实盘净值数据(iFinD）'!$B457:$Y457/'实盘净值数据(iFinD）'!$B$20:$Y$20)*(1-实盘持仓初始配置!$Z$5)^(('实盘净值数据(iFinD）'!$A457-'实盘净值数据(iFinD）'!$A$5)/365))</f>
        <v/>
      </c>
      <c r="F457" s="16" t="str">
        <f t="shared" si="43"/>
        <v/>
      </c>
      <c r="G457" s="16" t="str">
        <f>IF(E457="","",E457/MAX(E$5:E457)-1)</f>
        <v/>
      </c>
      <c r="H457" s="13" t="str">
        <f>IF(OR('实盘净值数据(iFinD）'!$A457="",'实盘净值数据(iFinD）'!$B457=""),"",分期持仓明细!$AB$19*SUMPRODUCT(分期持仓明细!$B$19:$Y$19,'实盘净值数据(iFinD）'!$B457:$Y457/'实盘净值数据(iFinD）'!$B$20:$Y$20)*(1-实盘持仓初始配置!$Z$6)^(('实盘净值数据(iFinD）'!$A457-'实盘净值数据(iFinD）'!$A$7)/365))</f>
        <v/>
      </c>
      <c r="I457" s="16" t="str">
        <f t="shared" si="44"/>
        <v/>
      </c>
      <c r="J457" s="16" t="str">
        <f>IF(H457="","",H457/MAX(H$5:H457)-1)</f>
        <v/>
      </c>
      <c r="K457" s="13" t="str">
        <f>IF(OR('实盘净值数据(iFinD）'!$A457="",'实盘净值数据(iFinD）'!$B457="",'实盘净值数据(iFinD）'!$Z457="",'实盘净值数据(iFinD）'!$AA457=""),"",分期持仓明细!$AB$23*(SUMPRODUCT(分期持仓明细!$B$23:$Y$23,'实盘净值数据(iFinD）'!$B457:$Y457/'实盘净值数据(iFinD）'!$B$65:$Y$65)+SUMPRODUCT(分期持仓明细!$AC$23:$AD$23,'实盘净值数据(iFinD）'!$Z457:$AA457/'实盘净值数据(iFinD）'!$Z$65:$AA$65))*(1-实盘持仓初始配置!$Z$7)^(('实盘净值数据(iFinD）'!$A457-'实盘净值数据(iFinD）'!$A$8)/365))</f>
        <v/>
      </c>
      <c r="L457" s="16" t="str">
        <f t="shared" si="45"/>
        <v/>
      </c>
      <c r="M457" s="16" t="str">
        <f>IF(K457="","",K457/MAX(K$5:K457)-1)</f>
        <v/>
      </c>
      <c r="N457" s="13" t="str">
        <f>IF(OR('实盘净值数据(iFinD）'!$A457="",'实盘净值数据(iFinD）'!$B457="",'实盘净值数据(iFinD）'!$Z457="",'实盘净值数据(iFinD）'!$AA457=""),"",分期持仓明细!$AB$24*(SUMPRODUCT(分期持仓明细!$B$24:$Y$24,'实盘净值数据(iFinD）'!$B457:$Y457/'实盘净值数据(iFinD）'!$B$65:$Y$65)+SUMPRODUCT(分期持仓明细!$AC$24:$AD$24,'实盘净值数据(iFinD）'!$Z457:$AA457/'实盘净值数据(iFinD）'!$Z$65:$AA$65))*(1-实盘持仓初始配置!$Z$8)^(('实盘净值数据(iFinD）'!$A457-'实盘净值数据(iFinD）'!$A$5)/365))</f>
        <v/>
      </c>
      <c r="O457" s="16" t="str">
        <f t="shared" si="46"/>
        <v/>
      </c>
      <c r="P457" s="16" t="str">
        <f>IF(N457="","",N457/MAX(N$5:N457)-1)</f>
        <v/>
      </c>
      <c r="Q457" s="13" t="str">
        <f>IF(OR('实盘净值数据(iFinD）'!$A457="",'实盘净值数据(iFinD）'!$B457="",'实盘净值数据(iFinD）'!$Z457="",'实盘净值数据(iFinD）'!$AA457=""),"",分期持仓明细!$AB$25*(SUMPRODUCT(分期持仓明细!$B$25:$Y$25,'实盘净值数据(iFinD）'!$B457:$Y457/'实盘净值数据(iFinD）'!$B$65:$Y$65)+SUMPRODUCT(分期持仓明细!$AC$25:$AD$25,'实盘净值数据(iFinD）'!$Z457:$AA457/'实盘净值数据(iFinD）'!$Z$65:$AA$65))*(1-实盘持仓初始配置!$Z$9)^(('实盘净值数据(iFinD）'!$A457-'实盘净值数据(iFinD）'!$A$8)/365))</f>
        <v/>
      </c>
      <c r="R457" s="16" t="str">
        <f t="shared" si="47"/>
        <v/>
      </c>
      <c r="S457" s="16" t="str">
        <f>IF(Q457="","",Q457/MAX(Q$5:Q457)-1)</f>
        <v/>
      </c>
      <c r="T457" s="13">
        <f>IF(OR('实盘净值数据(iFinD）'!$A457="",'实盘净值数据(iFinD）'!$B457="",'实盘净值数据(iFinD）'!$Z457="",'实盘净值数据(iFinD）'!$AA457="",'实盘净值数据(iFinD）'!$AB457="",'实盘净值数据(iFinD）'!$AL457=""),"",(SUMPRODUCT(分期持仓明细!$B$26:$Y$26,'实盘净值数据(iFinD）'!$B457:$Y457/'实盘净值数据(iFinD）'!$B$69:$Y$69)+SUMPRODUCT(分期持仓明细!$AC$26:$AD$26,'实盘净值数据(iFinD）'!$Z457:$AA457/'实盘净值数据(iFinD）'!$Z$69:$AA$69)+SUMPRODUCT(分期持仓明细!$AE$26:$AO$26,'实盘净值数据(iFinD）'!$AB457:$AL457/'实盘净值数据(iFinD）'!$AB$69:$AL$69))*(1-实盘持仓初始配置!$Z$10)^(('实盘净值数据(iFinD）'!$A457-'实盘净值数据(iFinD）'!$A$69)/365))</f>
        <v/>
      </c>
      <c r="U457" s="16">
        <f>IF(OR(T456="",T457=""),"",T457/T456-1)</f>
        <v/>
      </c>
      <c r="V457" s="16">
        <f>IF(T457="","",T457/MAX(T$5:T457)-1)</f>
        <v/>
      </c>
    </row>
    <row r="458" spans="1:19">
      <c r="A458" s="15" t="str">
        <f>IF('实盘净值数据(iFinD）'!A458="","",'实盘净值数据(iFinD）'!A458)</f>
        <v/>
      </c>
      <c r="B458" s="13" t="str">
        <f>IF(OR('实盘净值数据(iFinD）'!$A458="",'实盘净值数据(iFinD）'!$B458=""),"",分期持仓明细!$AB$17*SUMPRODUCT(分期持仓明细!$B$17:$Y$17,'实盘净值数据(iFinD）'!$B458:$Y458/'实盘净值数据(iFinD）'!$B$20:$Y$20)*(1-实盘持仓初始配置!$Z$4)^(('实盘净值数据(iFinD）'!$A458-'实盘净值数据(iFinD）'!$A$6)/365))</f>
        <v/>
      </c>
      <c r="C458" s="16" t="str">
        <f t="shared" si="42"/>
        <v/>
      </c>
      <c r="D458" s="16" t="str">
        <f>IF(B458="","",B458/MAX(B$5:B458)-1)</f>
        <v/>
      </c>
      <c r="E458" s="13" t="str">
        <f>IF(OR('实盘净值数据(iFinD）'!$A458="",'实盘净值数据(iFinD）'!$B458=""),"",分期持仓明细!$AB$18*SUMPRODUCT(分期持仓明细!$B$18:$Y$18,'实盘净值数据(iFinD）'!$B458:$Y458/'实盘净值数据(iFinD）'!$B$20:$Y$20)*(1-实盘持仓初始配置!$Z$5)^(('实盘净值数据(iFinD）'!$A458-'实盘净值数据(iFinD）'!$A$5)/365))</f>
        <v/>
      </c>
      <c r="F458" s="16" t="str">
        <f t="shared" si="43"/>
        <v/>
      </c>
      <c r="G458" s="16" t="str">
        <f>IF(E458="","",E458/MAX(E$5:E458)-1)</f>
        <v/>
      </c>
      <c r="H458" s="13" t="str">
        <f>IF(OR('实盘净值数据(iFinD）'!$A458="",'实盘净值数据(iFinD）'!$B458=""),"",分期持仓明细!$AB$19*SUMPRODUCT(分期持仓明细!$B$19:$Y$19,'实盘净值数据(iFinD）'!$B458:$Y458/'实盘净值数据(iFinD）'!$B$20:$Y$20)*(1-实盘持仓初始配置!$Z$6)^(('实盘净值数据(iFinD）'!$A458-'实盘净值数据(iFinD）'!$A$7)/365))</f>
        <v/>
      </c>
      <c r="I458" s="16" t="str">
        <f t="shared" si="44"/>
        <v/>
      </c>
      <c r="J458" s="16" t="str">
        <f>IF(H458="","",H458/MAX(H$5:H458)-1)</f>
        <v/>
      </c>
      <c r="K458" s="13" t="str">
        <f>IF(OR('实盘净值数据(iFinD）'!$A458="",'实盘净值数据(iFinD）'!$B458="",'实盘净值数据(iFinD）'!$Z458="",'实盘净值数据(iFinD）'!$AA458=""),"",分期持仓明细!$AB$23*(SUMPRODUCT(分期持仓明细!$B$23:$Y$23,'实盘净值数据(iFinD）'!$B458:$Y458/'实盘净值数据(iFinD）'!$B$65:$Y$65)+SUMPRODUCT(分期持仓明细!$AC$23:$AD$23,'实盘净值数据(iFinD）'!$Z458:$AA458/'实盘净值数据(iFinD）'!$Z$65:$AA$65))*(1-实盘持仓初始配置!$Z$7)^(('实盘净值数据(iFinD）'!$A458-'实盘净值数据(iFinD）'!$A$8)/365))</f>
        <v/>
      </c>
      <c r="L458" s="16" t="str">
        <f t="shared" si="45"/>
        <v/>
      </c>
      <c r="M458" s="16" t="str">
        <f>IF(K458="","",K458/MAX(K$5:K458)-1)</f>
        <v/>
      </c>
      <c r="N458" s="13" t="str">
        <f>IF(OR('实盘净值数据(iFinD）'!$A458="",'实盘净值数据(iFinD）'!$B458="",'实盘净值数据(iFinD）'!$Z458="",'实盘净值数据(iFinD）'!$AA458=""),"",分期持仓明细!$AB$24*(SUMPRODUCT(分期持仓明细!$B$24:$Y$24,'实盘净值数据(iFinD）'!$B458:$Y458/'实盘净值数据(iFinD）'!$B$65:$Y$65)+SUMPRODUCT(分期持仓明细!$AC$24:$AD$24,'实盘净值数据(iFinD）'!$Z458:$AA458/'实盘净值数据(iFinD）'!$Z$65:$AA$65))*(1-实盘持仓初始配置!$Z$8)^(('实盘净值数据(iFinD）'!$A458-'实盘净值数据(iFinD）'!$A$5)/365))</f>
        <v/>
      </c>
      <c r="O458" s="16" t="str">
        <f t="shared" si="46"/>
        <v/>
      </c>
      <c r="P458" s="16" t="str">
        <f>IF(N458="","",N458/MAX(N$5:N458)-1)</f>
        <v/>
      </c>
      <c r="Q458" s="13" t="str">
        <f>IF(OR('实盘净值数据(iFinD）'!$A458="",'实盘净值数据(iFinD）'!$B458="",'实盘净值数据(iFinD）'!$Z458="",'实盘净值数据(iFinD）'!$AA458=""),"",分期持仓明细!$AB$25*(SUMPRODUCT(分期持仓明细!$B$25:$Y$25,'实盘净值数据(iFinD）'!$B458:$Y458/'实盘净值数据(iFinD）'!$B$65:$Y$65)+SUMPRODUCT(分期持仓明细!$AC$25:$AD$25,'实盘净值数据(iFinD）'!$Z458:$AA458/'实盘净值数据(iFinD）'!$Z$65:$AA$65))*(1-实盘持仓初始配置!$Z$9)^(('实盘净值数据(iFinD）'!$A458-'实盘净值数据(iFinD）'!$A$8)/365))</f>
        <v/>
      </c>
      <c r="R458" s="16" t="str">
        <f t="shared" si="47"/>
        <v/>
      </c>
      <c r="S458" s="16" t="str">
        <f>IF(Q458="","",Q458/MAX(Q$5:Q458)-1)</f>
        <v/>
      </c>
      <c r="T458" s="13">
        <f>IF(OR('实盘净值数据(iFinD）'!$A458="",'实盘净值数据(iFinD）'!$B458="",'实盘净值数据(iFinD）'!$Z458="",'实盘净值数据(iFinD）'!$AA458="",'实盘净值数据(iFinD）'!$AB458="",'实盘净值数据(iFinD）'!$AL458=""),"",(SUMPRODUCT(分期持仓明细!$B$26:$Y$26,'实盘净值数据(iFinD）'!$B458:$Y458/'实盘净值数据(iFinD）'!$B$69:$Y$69)+SUMPRODUCT(分期持仓明细!$AC$26:$AD$26,'实盘净值数据(iFinD）'!$Z458:$AA458/'实盘净值数据(iFinD）'!$Z$69:$AA$69)+SUMPRODUCT(分期持仓明细!$AE$26:$AO$26,'实盘净值数据(iFinD）'!$AB458:$AL458/'实盘净值数据(iFinD）'!$AB$69:$AL$69))*(1-实盘持仓初始配置!$Z$10)^(('实盘净值数据(iFinD）'!$A458-'实盘净值数据(iFinD）'!$A$69)/365))</f>
        <v/>
      </c>
      <c r="U458" s="16">
        <f>IF(OR(T457="",T458=""),"",T458/T457-1)</f>
        <v/>
      </c>
      <c r="V458" s="16">
        <f>IF(T458="","",T458/MAX(T$5:T458)-1)</f>
        <v/>
      </c>
    </row>
    <row r="459" spans="1:19">
      <c r="A459" s="15" t="str">
        <f>IF('实盘净值数据(iFinD）'!A459="","",'实盘净值数据(iFinD）'!A459)</f>
        <v/>
      </c>
      <c r="B459" s="13" t="str">
        <f>IF(OR('实盘净值数据(iFinD）'!$A459="",'实盘净值数据(iFinD）'!$B459=""),"",分期持仓明细!$AB$17*SUMPRODUCT(分期持仓明细!$B$17:$Y$17,'实盘净值数据(iFinD）'!$B459:$Y459/'实盘净值数据(iFinD）'!$B$20:$Y$20)*(1-实盘持仓初始配置!$Z$4)^(('实盘净值数据(iFinD）'!$A459-'实盘净值数据(iFinD）'!$A$6)/365))</f>
        <v/>
      </c>
      <c r="C459" s="16" t="str">
        <f t="shared" si="42"/>
        <v/>
      </c>
      <c r="D459" s="16" t="str">
        <f>IF(B459="","",B459/MAX(B$5:B459)-1)</f>
        <v/>
      </c>
      <c r="E459" s="13" t="str">
        <f>IF(OR('实盘净值数据(iFinD）'!$A459="",'实盘净值数据(iFinD）'!$B459=""),"",分期持仓明细!$AB$18*SUMPRODUCT(分期持仓明细!$B$18:$Y$18,'实盘净值数据(iFinD）'!$B459:$Y459/'实盘净值数据(iFinD）'!$B$20:$Y$20)*(1-实盘持仓初始配置!$Z$5)^(('实盘净值数据(iFinD）'!$A459-'实盘净值数据(iFinD）'!$A$5)/365))</f>
        <v/>
      </c>
      <c r="F459" s="16" t="str">
        <f t="shared" si="43"/>
        <v/>
      </c>
      <c r="G459" s="16" t="str">
        <f>IF(E459="","",E459/MAX(E$5:E459)-1)</f>
        <v/>
      </c>
      <c r="H459" s="13" t="str">
        <f>IF(OR('实盘净值数据(iFinD）'!$A459="",'实盘净值数据(iFinD）'!$B459=""),"",分期持仓明细!$AB$19*SUMPRODUCT(分期持仓明细!$B$19:$Y$19,'实盘净值数据(iFinD）'!$B459:$Y459/'实盘净值数据(iFinD）'!$B$20:$Y$20)*(1-实盘持仓初始配置!$Z$6)^(('实盘净值数据(iFinD）'!$A459-'实盘净值数据(iFinD）'!$A$7)/365))</f>
        <v/>
      </c>
      <c r="I459" s="16" t="str">
        <f t="shared" si="44"/>
        <v/>
      </c>
      <c r="J459" s="16" t="str">
        <f>IF(H459="","",H459/MAX(H$5:H459)-1)</f>
        <v/>
      </c>
      <c r="K459" s="13" t="str">
        <f>IF(OR('实盘净值数据(iFinD）'!$A459="",'实盘净值数据(iFinD）'!$B459="",'实盘净值数据(iFinD）'!$Z459="",'实盘净值数据(iFinD）'!$AA459=""),"",分期持仓明细!$AB$23*(SUMPRODUCT(分期持仓明细!$B$23:$Y$23,'实盘净值数据(iFinD）'!$B459:$Y459/'实盘净值数据(iFinD）'!$B$65:$Y$65)+SUMPRODUCT(分期持仓明细!$AC$23:$AD$23,'实盘净值数据(iFinD）'!$Z459:$AA459/'实盘净值数据(iFinD）'!$Z$65:$AA$65))*(1-实盘持仓初始配置!$Z$7)^(('实盘净值数据(iFinD）'!$A459-'实盘净值数据(iFinD）'!$A$8)/365))</f>
        <v/>
      </c>
      <c r="L459" s="16" t="str">
        <f t="shared" si="45"/>
        <v/>
      </c>
      <c r="M459" s="16" t="str">
        <f>IF(K459="","",K459/MAX(K$5:K459)-1)</f>
        <v/>
      </c>
      <c r="N459" s="13" t="str">
        <f>IF(OR('实盘净值数据(iFinD）'!$A459="",'实盘净值数据(iFinD）'!$B459="",'实盘净值数据(iFinD）'!$Z459="",'实盘净值数据(iFinD）'!$AA459=""),"",分期持仓明细!$AB$24*(SUMPRODUCT(分期持仓明细!$B$24:$Y$24,'实盘净值数据(iFinD）'!$B459:$Y459/'实盘净值数据(iFinD）'!$B$65:$Y$65)+SUMPRODUCT(分期持仓明细!$AC$24:$AD$24,'实盘净值数据(iFinD）'!$Z459:$AA459/'实盘净值数据(iFinD）'!$Z$65:$AA$65))*(1-实盘持仓初始配置!$Z$8)^(('实盘净值数据(iFinD）'!$A459-'实盘净值数据(iFinD）'!$A$5)/365))</f>
        <v/>
      </c>
      <c r="O459" s="16" t="str">
        <f t="shared" si="46"/>
        <v/>
      </c>
      <c r="P459" s="16" t="str">
        <f>IF(N459="","",N459/MAX(N$5:N459)-1)</f>
        <v/>
      </c>
      <c r="Q459" s="13" t="str">
        <f>IF(OR('实盘净值数据(iFinD）'!$A459="",'实盘净值数据(iFinD）'!$B459="",'实盘净值数据(iFinD）'!$Z459="",'实盘净值数据(iFinD）'!$AA459=""),"",分期持仓明细!$AB$25*(SUMPRODUCT(分期持仓明细!$B$25:$Y$25,'实盘净值数据(iFinD）'!$B459:$Y459/'实盘净值数据(iFinD）'!$B$65:$Y$65)+SUMPRODUCT(分期持仓明细!$AC$25:$AD$25,'实盘净值数据(iFinD）'!$Z459:$AA459/'实盘净值数据(iFinD）'!$Z$65:$AA$65))*(1-实盘持仓初始配置!$Z$9)^(('实盘净值数据(iFinD）'!$A459-'实盘净值数据(iFinD）'!$A$8)/365))</f>
        <v/>
      </c>
      <c r="R459" s="16" t="str">
        <f t="shared" si="47"/>
        <v/>
      </c>
      <c r="S459" s="16" t="str">
        <f>IF(Q459="","",Q459/MAX(Q$5:Q459)-1)</f>
        <v/>
      </c>
      <c r="T459" s="13">
        <f>IF(OR('实盘净值数据(iFinD）'!$A459="",'实盘净值数据(iFinD）'!$B459="",'实盘净值数据(iFinD）'!$Z459="",'实盘净值数据(iFinD）'!$AA459="",'实盘净值数据(iFinD）'!$AB459="",'实盘净值数据(iFinD）'!$AL459=""),"",(SUMPRODUCT(分期持仓明细!$B$26:$Y$26,'实盘净值数据(iFinD）'!$B459:$Y459/'实盘净值数据(iFinD）'!$B$69:$Y$69)+SUMPRODUCT(分期持仓明细!$AC$26:$AD$26,'实盘净值数据(iFinD）'!$Z459:$AA459/'实盘净值数据(iFinD）'!$Z$69:$AA$69)+SUMPRODUCT(分期持仓明细!$AE$26:$AO$26,'实盘净值数据(iFinD）'!$AB459:$AL459/'实盘净值数据(iFinD）'!$AB$69:$AL$69))*(1-实盘持仓初始配置!$Z$10)^(('实盘净值数据(iFinD）'!$A459-'实盘净值数据(iFinD）'!$A$69)/365))</f>
        <v/>
      </c>
      <c r="U459" s="16">
        <f>IF(OR(T458="",T459=""),"",T459/T458-1)</f>
        <v/>
      </c>
      <c r="V459" s="16">
        <f>IF(T459="","",T459/MAX(T$5:T459)-1)</f>
        <v/>
      </c>
    </row>
    <row r="460" spans="1:19">
      <c r="A460" s="15" t="str">
        <f>IF('实盘净值数据(iFinD）'!A460="","",'实盘净值数据(iFinD）'!A460)</f>
        <v/>
      </c>
      <c r="B460" s="13" t="str">
        <f>IF(OR('实盘净值数据(iFinD）'!$A460="",'实盘净值数据(iFinD）'!$B460=""),"",分期持仓明细!$AB$17*SUMPRODUCT(分期持仓明细!$B$17:$Y$17,'实盘净值数据(iFinD）'!$B460:$Y460/'实盘净值数据(iFinD）'!$B$20:$Y$20)*(1-实盘持仓初始配置!$Z$4)^(('实盘净值数据(iFinD）'!$A460-'实盘净值数据(iFinD）'!$A$6)/365))</f>
        <v/>
      </c>
      <c r="C460" s="16" t="str">
        <f t="shared" si="42"/>
        <v/>
      </c>
      <c r="D460" s="16" t="str">
        <f>IF(B460="","",B460/MAX(B$5:B460)-1)</f>
        <v/>
      </c>
      <c r="E460" s="13" t="str">
        <f>IF(OR('实盘净值数据(iFinD）'!$A460="",'实盘净值数据(iFinD）'!$B460=""),"",分期持仓明细!$AB$18*SUMPRODUCT(分期持仓明细!$B$18:$Y$18,'实盘净值数据(iFinD）'!$B460:$Y460/'实盘净值数据(iFinD）'!$B$20:$Y$20)*(1-实盘持仓初始配置!$Z$5)^(('实盘净值数据(iFinD）'!$A460-'实盘净值数据(iFinD）'!$A$5)/365))</f>
        <v/>
      </c>
      <c r="F460" s="16" t="str">
        <f t="shared" si="43"/>
        <v/>
      </c>
      <c r="G460" s="16" t="str">
        <f>IF(E460="","",E460/MAX(E$5:E460)-1)</f>
        <v/>
      </c>
      <c r="H460" s="13" t="str">
        <f>IF(OR('实盘净值数据(iFinD）'!$A460="",'实盘净值数据(iFinD）'!$B460=""),"",分期持仓明细!$AB$19*SUMPRODUCT(分期持仓明细!$B$19:$Y$19,'实盘净值数据(iFinD）'!$B460:$Y460/'实盘净值数据(iFinD）'!$B$20:$Y$20)*(1-实盘持仓初始配置!$Z$6)^(('实盘净值数据(iFinD）'!$A460-'实盘净值数据(iFinD）'!$A$7)/365))</f>
        <v/>
      </c>
      <c r="I460" s="16" t="str">
        <f t="shared" si="44"/>
        <v/>
      </c>
      <c r="J460" s="16" t="str">
        <f>IF(H460="","",H460/MAX(H$5:H460)-1)</f>
        <v/>
      </c>
      <c r="K460" s="13" t="str">
        <f>IF(OR('实盘净值数据(iFinD）'!$A460="",'实盘净值数据(iFinD）'!$B460="",'实盘净值数据(iFinD）'!$Z460="",'实盘净值数据(iFinD）'!$AA460=""),"",分期持仓明细!$AB$23*(SUMPRODUCT(分期持仓明细!$B$23:$Y$23,'实盘净值数据(iFinD）'!$B460:$Y460/'实盘净值数据(iFinD）'!$B$65:$Y$65)+SUMPRODUCT(分期持仓明细!$AC$23:$AD$23,'实盘净值数据(iFinD）'!$Z460:$AA460/'实盘净值数据(iFinD）'!$Z$65:$AA$65))*(1-实盘持仓初始配置!$Z$7)^(('实盘净值数据(iFinD）'!$A460-'实盘净值数据(iFinD）'!$A$8)/365))</f>
        <v/>
      </c>
      <c r="L460" s="16" t="str">
        <f t="shared" si="45"/>
        <v/>
      </c>
      <c r="M460" s="16" t="str">
        <f>IF(K460="","",K460/MAX(K$5:K460)-1)</f>
        <v/>
      </c>
      <c r="N460" s="13" t="str">
        <f>IF(OR('实盘净值数据(iFinD）'!$A460="",'实盘净值数据(iFinD）'!$B460="",'实盘净值数据(iFinD）'!$Z460="",'实盘净值数据(iFinD）'!$AA460=""),"",分期持仓明细!$AB$24*(SUMPRODUCT(分期持仓明细!$B$24:$Y$24,'实盘净值数据(iFinD）'!$B460:$Y460/'实盘净值数据(iFinD）'!$B$65:$Y$65)+SUMPRODUCT(分期持仓明细!$AC$24:$AD$24,'实盘净值数据(iFinD）'!$Z460:$AA460/'实盘净值数据(iFinD）'!$Z$65:$AA$65))*(1-实盘持仓初始配置!$Z$8)^(('实盘净值数据(iFinD）'!$A460-'实盘净值数据(iFinD）'!$A$5)/365))</f>
        <v/>
      </c>
      <c r="O460" s="16" t="str">
        <f t="shared" si="46"/>
        <v/>
      </c>
      <c r="P460" s="16" t="str">
        <f>IF(N460="","",N460/MAX(N$5:N460)-1)</f>
        <v/>
      </c>
      <c r="Q460" s="13" t="str">
        <f>IF(OR('实盘净值数据(iFinD）'!$A460="",'实盘净值数据(iFinD）'!$B460="",'实盘净值数据(iFinD）'!$Z460="",'实盘净值数据(iFinD）'!$AA460=""),"",分期持仓明细!$AB$25*(SUMPRODUCT(分期持仓明细!$B$25:$Y$25,'实盘净值数据(iFinD）'!$B460:$Y460/'实盘净值数据(iFinD）'!$B$65:$Y$65)+SUMPRODUCT(分期持仓明细!$AC$25:$AD$25,'实盘净值数据(iFinD）'!$Z460:$AA460/'实盘净值数据(iFinD）'!$Z$65:$AA$65))*(1-实盘持仓初始配置!$Z$9)^(('实盘净值数据(iFinD）'!$A460-'实盘净值数据(iFinD）'!$A$8)/365))</f>
        <v/>
      </c>
      <c r="R460" s="16" t="str">
        <f t="shared" si="47"/>
        <v/>
      </c>
      <c r="S460" s="16" t="str">
        <f>IF(Q460="","",Q460/MAX(Q$5:Q460)-1)</f>
        <v/>
      </c>
      <c r="T460" s="13">
        <f>IF(OR('实盘净值数据(iFinD）'!$A460="",'实盘净值数据(iFinD）'!$B460="",'实盘净值数据(iFinD）'!$Z460="",'实盘净值数据(iFinD）'!$AA460="",'实盘净值数据(iFinD）'!$AB460="",'实盘净值数据(iFinD）'!$AL460=""),"",(SUMPRODUCT(分期持仓明细!$B$26:$Y$26,'实盘净值数据(iFinD）'!$B460:$Y460/'实盘净值数据(iFinD）'!$B$69:$Y$69)+SUMPRODUCT(分期持仓明细!$AC$26:$AD$26,'实盘净值数据(iFinD）'!$Z460:$AA460/'实盘净值数据(iFinD）'!$Z$69:$AA$69)+SUMPRODUCT(分期持仓明细!$AE$26:$AO$26,'实盘净值数据(iFinD）'!$AB460:$AL460/'实盘净值数据(iFinD）'!$AB$69:$AL$69))*(1-实盘持仓初始配置!$Z$10)^(('实盘净值数据(iFinD）'!$A460-'实盘净值数据(iFinD）'!$A$69)/365))</f>
        <v/>
      </c>
      <c r="U460" s="16">
        <f>IF(OR(T459="",T460=""),"",T460/T459-1)</f>
        <v/>
      </c>
      <c r="V460" s="16">
        <f>IF(T460="","",T460/MAX(T$5:T460)-1)</f>
        <v/>
      </c>
    </row>
    <row r="461" spans="1:19">
      <c r="A461" s="15" t="str">
        <f>IF('实盘净值数据(iFinD）'!A461="","",'实盘净值数据(iFinD）'!A461)</f>
        <v/>
      </c>
      <c r="B461" s="13" t="str">
        <f>IF(OR('实盘净值数据(iFinD）'!$A461="",'实盘净值数据(iFinD）'!$B461=""),"",分期持仓明细!$AB$17*SUMPRODUCT(分期持仓明细!$B$17:$Y$17,'实盘净值数据(iFinD）'!$B461:$Y461/'实盘净值数据(iFinD）'!$B$20:$Y$20)*(1-实盘持仓初始配置!$Z$4)^(('实盘净值数据(iFinD）'!$A461-'实盘净值数据(iFinD）'!$A$6)/365))</f>
        <v/>
      </c>
      <c r="C461" s="16" t="str">
        <f t="shared" si="42"/>
        <v/>
      </c>
      <c r="D461" s="16" t="str">
        <f>IF(B461="","",B461/MAX(B$5:B461)-1)</f>
        <v/>
      </c>
      <c r="E461" s="13" t="str">
        <f>IF(OR('实盘净值数据(iFinD）'!$A461="",'实盘净值数据(iFinD）'!$B461=""),"",分期持仓明细!$AB$18*SUMPRODUCT(分期持仓明细!$B$18:$Y$18,'实盘净值数据(iFinD）'!$B461:$Y461/'实盘净值数据(iFinD）'!$B$20:$Y$20)*(1-实盘持仓初始配置!$Z$5)^(('实盘净值数据(iFinD）'!$A461-'实盘净值数据(iFinD）'!$A$5)/365))</f>
        <v/>
      </c>
      <c r="F461" s="16" t="str">
        <f t="shared" si="43"/>
        <v/>
      </c>
      <c r="G461" s="16" t="str">
        <f>IF(E461="","",E461/MAX(E$5:E461)-1)</f>
        <v/>
      </c>
      <c r="H461" s="13" t="str">
        <f>IF(OR('实盘净值数据(iFinD）'!$A461="",'实盘净值数据(iFinD）'!$B461=""),"",分期持仓明细!$AB$19*SUMPRODUCT(分期持仓明细!$B$19:$Y$19,'实盘净值数据(iFinD）'!$B461:$Y461/'实盘净值数据(iFinD）'!$B$20:$Y$20)*(1-实盘持仓初始配置!$Z$6)^(('实盘净值数据(iFinD）'!$A461-'实盘净值数据(iFinD）'!$A$7)/365))</f>
        <v/>
      </c>
      <c r="I461" s="16" t="str">
        <f t="shared" si="44"/>
        <v/>
      </c>
      <c r="J461" s="16" t="str">
        <f>IF(H461="","",H461/MAX(H$5:H461)-1)</f>
        <v/>
      </c>
      <c r="K461" s="13" t="str">
        <f>IF(OR('实盘净值数据(iFinD）'!$A461="",'实盘净值数据(iFinD）'!$B461="",'实盘净值数据(iFinD）'!$Z461="",'实盘净值数据(iFinD）'!$AA461=""),"",分期持仓明细!$AB$23*(SUMPRODUCT(分期持仓明细!$B$23:$Y$23,'实盘净值数据(iFinD）'!$B461:$Y461/'实盘净值数据(iFinD）'!$B$65:$Y$65)+SUMPRODUCT(分期持仓明细!$AC$23:$AD$23,'实盘净值数据(iFinD）'!$Z461:$AA461/'实盘净值数据(iFinD）'!$Z$65:$AA$65))*(1-实盘持仓初始配置!$Z$7)^(('实盘净值数据(iFinD）'!$A461-'实盘净值数据(iFinD）'!$A$8)/365))</f>
        <v/>
      </c>
      <c r="L461" s="16" t="str">
        <f t="shared" si="45"/>
        <v/>
      </c>
      <c r="M461" s="16" t="str">
        <f>IF(K461="","",K461/MAX(K$5:K461)-1)</f>
        <v/>
      </c>
      <c r="N461" s="13" t="str">
        <f>IF(OR('实盘净值数据(iFinD）'!$A461="",'实盘净值数据(iFinD）'!$B461="",'实盘净值数据(iFinD）'!$Z461="",'实盘净值数据(iFinD）'!$AA461=""),"",分期持仓明细!$AB$24*(SUMPRODUCT(分期持仓明细!$B$24:$Y$24,'实盘净值数据(iFinD）'!$B461:$Y461/'实盘净值数据(iFinD）'!$B$65:$Y$65)+SUMPRODUCT(分期持仓明细!$AC$24:$AD$24,'实盘净值数据(iFinD）'!$Z461:$AA461/'实盘净值数据(iFinD）'!$Z$65:$AA$65))*(1-实盘持仓初始配置!$Z$8)^(('实盘净值数据(iFinD）'!$A461-'实盘净值数据(iFinD）'!$A$5)/365))</f>
        <v/>
      </c>
      <c r="O461" s="16" t="str">
        <f t="shared" si="46"/>
        <v/>
      </c>
      <c r="P461" s="16" t="str">
        <f>IF(N461="","",N461/MAX(N$5:N461)-1)</f>
        <v/>
      </c>
      <c r="Q461" s="13" t="str">
        <f>IF(OR('实盘净值数据(iFinD）'!$A461="",'实盘净值数据(iFinD）'!$B461="",'实盘净值数据(iFinD）'!$Z461="",'实盘净值数据(iFinD）'!$AA461=""),"",分期持仓明细!$AB$25*(SUMPRODUCT(分期持仓明细!$B$25:$Y$25,'实盘净值数据(iFinD）'!$B461:$Y461/'实盘净值数据(iFinD）'!$B$65:$Y$65)+SUMPRODUCT(分期持仓明细!$AC$25:$AD$25,'实盘净值数据(iFinD）'!$Z461:$AA461/'实盘净值数据(iFinD）'!$Z$65:$AA$65))*(1-实盘持仓初始配置!$Z$9)^(('实盘净值数据(iFinD）'!$A461-'实盘净值数据(iFinD）'!$A$8)/365))</f>
        <v/>
      </c>
      <c r="R461" s="16" t="str">
        <f t="shared" si="47"/>
        <v/>
      </c>
      <c r="S461" s="16" t="str">
        <f>IF(Q461="","",Q461/MAX(Q$5:Q461)-1)</f>
        <v/>
      </c>
      <c r="T461" s="13">
        <f>IF(OR('实盘净值数据(iFinD）'!$A461="",'实盘净值数据(iFinD）'!$B461="",'实盘净值数据(iFinD）'!$Z461="",'实盘净值数据(iFinD）'!$AA461="",'实盘净值数据(iFinD）'!$AB461="",'实盘净值数据(iFinD）'!$AL461=""),"",(SUMPRODUCT(分期持仓明细!$B$26:$Y$26,'实盘净值数据(iFinD）'!$B461:$Y461/'实盘净值数据(iFinD）'!$B$69:$Y$69)+SUMPRODUCT(分期持仓明细!$AC$26:$AD$26,'实盘净值数据(iFinD）'!$Z461:$AA461/'实盘净值数据(iFinD）'!$Z$69:$AA$69)+SUMPRODUCT(分期持仓明细!$AE$26:$AO$26,'实盘净值数据(iFinD）'!$AB461:$AL461/'实盘净值数据(iFinD）'!$AB$69:$AL$69))*(1-实盘持仓初始配置!$Z$10)^(('实盘净值数据(iFinD）'!$A461-'实盘净值数据(iFinD）'!$A$69)/365))</f>
        <v/>
      </c>
      <c r="U461" s="16">
        <f>IF(OR(T460="",T461=""),"",T461/T460-1)</f>
        <v/>
      </c>
      <c r="V461" s="16">
        <f>IF(T461="","",T461/MAX(T$5:T461)-1)</f>
        <v/>
      </c>
    </row>
    <row r="462" spans="1:19">
      <c r="A462" s="15" t="str">
        <f>IF('实盘净值数据(iFinD）'!A462="","",'实盘净值数据(iFinD）'!A462)</f>
        <v/>
      </c>
      <c r="B462" s="13" t="str">
        <f>IF(OR('实盘净值数据(iFinD）'!$A462="",'实盘净值数据(iFinD）'!$B462=""),"",分期持仓明细!$AB$17*SUMPRODUCT(分期持仓明细!$B$17:$Y$17,'实盘净值数据(iFinD）'!$B462:$Y462/'实盘净值数据(iFinD）'!$B$20:$Y$20)*(1-实盘持仓初始配置!$Z$4)^(('实盘净值数据(iFinD）'!$A462-'实盘净值数据(iFinD）'!$A$6)/365))</f>
        <v/>
      </c>
      <c r="C462" s="16" t="str">
        <f t="shared" si="42"/>
        <v/>
      </c>
      <c r="D462" s="16" t="str">
        <f>IF(B462="","",B462/MAX(B$5:B462)-1)</f>
        <v/>
      </c>
      <c r="E462" s="13" t="str">
        <f>IF(OR('实盘净值数据(iFinD）'!$A462="",'实盘净值数据(iFinD）'!$B462=""),"",分期持仓明细!$AB$18*SUMPRODUCT(分期持仓明细!$B$18:$Y$18,'实盘净值数据(iFinD）'!$B462:$Y462/'实盘净值数据(iFinD）'!$B$20:$Y$20)*(1-实盘持仓初始配置!$Z$5)^(('实盘净值数据(iFinD）'!$A462-'实盘净值数据(iFinD）'!$A$5)/365))</f>
        <v/>
      </c>
      <c r="F462" s="16" t="str">
        <f t="shared" si="43"/>
        <v/>
      </c>
      <c r="G462" s="16" t="str">
        <f>IF(E462="","",E462/MAX(E$5:E462)-1)</f>
        <v/>
      </c>
      <c r="H462" s="13" t="str">
        <f>IF(OR('实盘净值数据(iFinD）'!$A462="",'实盘净值数据(iFinD）'!$B462=""),"",分期持仓明细!$AB$19*SUMPRODUCT(分期持仓明细!$B$19:$Y$19,'实盘净值数据(iFinD）'!$B462:$Y462/'实盘净值数据(iFinD）'!$B$20:$Y$20)*(1-实盘持仓初始配置!$Z$6)^(('实盘净值数据(iFinD）'!$A462-'实盘净值数据(iFinD）'!$A$7)/365))</f>
        <v/>
      </c>
      <c r="I462" s="16" t="str">
        <f t="shared" si="44"/>
        <v/>
      </c>
      <c r="J462" s="16" t="str">
        <f>IF(H462="","",H462/MAX(H$5:H462)-1)</f>
        <v/>
      </c>
      <c r="K462" s="13" t="str">
        <f>IF(OR('实盘净值数据(iFinD）'!$A462="",'实盘净值数据(iFinD）'!$B462="",'实盘净值数据(iFinD）'!$Z462="",'实盘净值数据(iFinD）'!$AA462=""),"",分期持仓明细!$AB$23*(SUMPRODUCT(分期持仓明细!$B$23:$Y$23,'实盘净值数据(iFinD）'!$B462:$Y462/'实盘净值数据(iFinD）'!$B$65:$Y$65)+SUMPRODUCT(分期持仓明细!$AC$23:$AD$23,'实盘净值数据(iFinD）'!$Z462:$AA462/'实盘净值数据(iFinD）'!$Z$65:$AA$65))*(1-实盘持仓初始配置!$Z$7)^(('实盘净值数据(iFinD）'!$A462-'实盘净值数据(iFinD）'!$A$8)/365))</f>
        <v/>
      </c>
      <c r="L462" s="16" t="str">
        <f t="shared" si="45"/>
        <v/>
      </c>
      <c r="M462" s="16" t="str">
        <f>IF(K462="","",K462/MAX(K$5:K462)-1)</f>
        <v/>
      </c>
      <c r="N462" s="13" t="str">
        <f>IF(OR('实盘净值数据(iFinD）'!$A462="",'实盘净值数据(iFinD）'!$B462="",'实盘净值数据(iFinD）'!$Z462="",'实盘净值数据(iFinD）'!$AA462=""),"",分期持仓明细!$AB$24*(SUMPRODUCT(分期持仓明细!$B$24:$Y$24,'实盘净值数据(iFinD）'!$B462:$Y462/'实盘净值数据(iFinD）'!$B$65:$Y$65)+SUMPRODUCT(分期持仓明细!$AC$24:$AD$24,'实盘净值数据(iFinD）'!$Z462:$AA462/'实盘净值数据(iFinD）'!$Z$65:$AA$65))*(1-实盘持仓初始配置!$Z$8)^(('实盘净值数据(iFinD）'!$A462-'实盘净值数据(iFinD）'!$A$5)/365))</f>
        <v/>
      </c>
      <c r="O462" s="16" t="str">
        <f t="shared" si="46"/>
        <v/>
      </c>
      <c r="P462" s="16" t="str">
        <f>IF(N462="","",N462/MAX(N$5:N462)-1)</f>
        <v/>
      </c>
      <c r="Q462" s="13" t="str">
        <f>IF(OR('实盘净值数据(iFinD）'!$A462="",'实盘净值数据(iFinD）'!$B462="",'实盘净值数据(iFinD）'!$Z462="",'实盘净值数据(iFinD）'!$AA462=""),"",分期持仓明细!$AB$25*(SUMPRODUCT(分期持仓明细!$B$25:$Y$25,'实盘净值数据(iFinD）'!$B462:$Y462/'实盘净值数据(iFinD）'!$B$65:$Y$65)+SUMPRODUCT(分期持仓明细!$AC$25:$AD$25,'实盘净值数据(iFinD）'!$Z462:$AA462/'实盘净值数据(iFinD）'!$Z$65:$AA$65))*(1-实盘持仓初始配置!$Z$9)^(('实盘净值数据(iFinD）'!$A462-'实盘净值数据(iFinD）'!$A$8)/365))</f>
        <v/>
      </c>
      <c r="R462" s="16" t="str">
        <f t="shared" si="47"/>
        <v/>
      </c>
      <c r="S462" s="16" t="str">
        <f>IF(Q462="","",Q462/MAX(Q$5:Q462)-1)</f>
        <v/>
      </c>
      <c r="T462" s="13">
        <f>IF(OR('实盘净值数据(iFinD）'!$A462="",'实盘净值数据(iFinD）'!$B462="",'实盘净值数据(iFinD）'!$Z462="",'实盘净值数据(iFinD）'!$AA462="",'实盘净值数据(iFinD）'!$AB462="",'实盘净值数据(iFinD）'!$AL462=""),"",(SUMPRODUCT(分期持仓明细!$B$26:$Y$26,'实盘净值数据(iFinD）'!$B462:$Y462/'实盘净值数据(iFinD）'!$B$69:$Y$69)+SUMPRODUCT(分期持仓明细!$AC$26:$AD$26,'实盘净值数据(iFinD）'!$Z462:$AA462/'实盘净值数据(iFinD）'!$Z$69:$AA$69)+SUMPRODUCT(分期持仓明细!$AE$26:$AO$26,'实盘净值数据(iFinD）'!$AB462:$AL462/'实盘净值数据(iFinD）'!$AB$69:$AL$69))*(1-实盘持仓初始配置!$Z$10)^(('实盘净值数据(iFinD）'!$A462-'实盘净值数据(iFinD）'!$A$69)/365))</f>
        <v/>
      </c>
      <c r="U462" s="16">
        <f>IF(OR(T461="",T462=""),"",T462/T461-1)</f>
        <v/>
      </c>
      <c r="V462" s="16">
        <f>IF(T462="","",T462/MAX(T$5:T462)-1)</f>
        <v/>
      </c>
    </row>
    <row r="463" spans="1:19">
      <c r="A463" s="15" t="str">
        <f>IF('实盘净值数据(iFinD）'!A463="","",'实盘净值数据(iFinD）'!A463)</f>
        <v/>
      </c>
      <c r="B463" s="13" t="str">
        <f>IF(OR('实盘净值数据(iFinD）'!$A463="",'实盘净值数据(iFinD）'!$B463=""),"",分期持仓明细!$AB$17*SUMPRODUCT(分期持仓明细!$B$17:$Y$17,'实盘净值数据(iFinD）'!$B463:$Y463/'实盘净值数据(iFinD）'!$B$20:$Y$20)*(1-实盘持仓初始配置!$Z$4)^(('实盘净值数据(iFinD）'!$A463-'实盘净值数据(iFinD）'!$A$6)/365))</f>
        <v/>
      </c>
      <c r="C463" s="16" t="str">
        <f t="shared" si="42"/>
        <v/>
      </c>
      <c r="D463" s="16" t="str">
        <f>IF(B463="","",B463/MAX(B$5:B463)-1)</f>
        <v/>
      </c>
      <c r="E463" s="13" t="str">
        <f>IF(OR('实盘净值数据(iFinD）'!$A463="",'实盘净值数据(iFinD）'!$B463=""),"",分期持仓明细!$AB$18*SUMPRODUCT(分期持仓明细!$B$18:$Y$18,'实盘净值数据(iFinD）'!$B463:$Y463/'实盘净值数据(iFinD）'!$B$20:$Y$20)*(1-实盘持仓初始配置!$Z$5)^(('实盘净值数据(iFinD）'!$A463-'实盘净值数据(iFinD）'!$A$5)/365))</f>
        <v/>
      </c>
      <c r="F463" s="16" t="str">
        <f t="shared" si="43"/>
        <v/>
      </c>
      <c r="G463" s="16" t="str">
        <f>IF(E463="","",E463/MAX(E$5:E463)-1)</f>
        <v/>
      </c>
      <c r="H463" s="13" t="str">
        <f>IF(OR('实盘净值数据(iFinD）'!$A463="",'实盘净值数据(iFinD）'!$B463=""),"",分期持仓明细!$AB$19*SUMPRODUCT(分期持仓明细!$B$19:$Y$19,'实盘净值数据(iFinD）'!$B463:$Y463/'实盘净值数据(iFinD）'!$B$20:$Y$20)*(1-实盘持仓初始配置!$Z$6)^(('实盘净值数据(iFinD）'!$A463-'实盘净值数据(iFinD）'!$A$7)/365))</f>
        <v/>
      </c>
      <c r="I463" s="16" t="str">
        <f t="shared" si="44"/>
        <v/>
      </c>
      <c r="J463" s="16" t="str">
        <f>IF(H463="","",H463/MAX(H$5:H463)-1)</f>
        <v/>
      </c>
      <c r="K463" s="13" t="str">
        <f>IF(OR('实盘净值数据(iFinD）'!$A463="",'实盘净值数据(iFinD）'!$B463="",'实盘净值数据(iFinD）'!$Z463="",'实盘净值数据(iFinD）'!$AA463=""),"",分期持仓明细!$AB$23*(SUMPRODUCT(分期持仓明细!$B$23:$Y$23,'实盘净值数据(iFinD）'!$B463:$Y463/'实盘净值数据(iFinD）'!$B$65:$Y$65)+SUMPRODUCT(分期持仓明细!$AC$23:$AD$23,'实盘净值数据(iFinD）'!$Z463:$AA463/'实盘净值数据(iFinD）'!$Z$65:$AA$65))*(1-实盘持仓初始配置!$Z$7)^(('实盘净值数据(iFinD）'!$A463-'实盘净值数据(iFinD）'!$A$8)/365))</f>
        <v/>
      </c>
      <c r="L463" s="16" t="str">
        <f t="shared" si="45"/>
        <v/>
      </c>
      <c r="M463" s="16" t="str">
        <f>IF(K463="","",K463/MAX(K$5:K463)-1)</f>
        <v/>
      </c>
      <c r="N463" s="13" t="str">
        <f>IF(OR('实盘净值数据(iFinD）'!$A463="",'实盘净值数据(iFinD）'!$B463="",'实盘净值数据(iFinD）'!$Z463="",'实盘净值数据(iFinD）'!$AA463=""),"",分期持仓明细!$AB$24*(SUMPRODUCT(分期持仓明细!$B$24:$Y$24,'实盘净值数据(iFinD）'!$B463:$Y463/'实盘净值数据(iFinD）'!$B$65:$Y$65)+SUMPRODUCT(分期持仓明细!$AC$24:$AD$24,'实盘净值数据(iFinD）'!$Z463:$AA463/'实盘净值数据(iFinD）'!$Z$65:$AA$65))*(1-实盘持仓初始配置!$Z$8)^(('实盘净值数据(iFinD）'!$A463-'实盘净值数据(iFinD）'!$A$5)/365))</f>
        <v/>
      </c>
      <c r="O463" s="16" t="str">
        <f t="shared" si="46"/>
        <v/>
      </c>
      <c r="P463" s="16" t="str">
        <f>IF(N463="","",N463/MAX(N$5:N463)-1)</f>
        <v/>
      </c>
      <c r="Q463" s="13" t="str">
        <f>IF(OR('实盘净值数据(iFinD）'!$A463="",'实盘净值数据(iFinD）'!$B463="",'实盘净值数据(iFinD）'!$Z463="",'实盘净值数据(iFinD）'!$AA463=""),"",分期持仓明细!$AB$25*(SUMPRODUCT(分期持仓明细!$B$25:$Y$25,'实盘净值数据(iFinD）'!$B463:$Y463/'实盘净值数据(iFinD）'!$B$65:$Y$65)+SUMPRODUCT(分期持仓明细!$AC$25:$AD$25,'实盘净值数据(iFinD）'!$Z463:$AA463/'实盘净值数据(iFinD）'!$Z$65:$AA$65))*(1-实盘持仓初始配置!$Z$9)^(('实盘净值数据(iFinD）'!$A463-'实盘净值数据(iFinD）'!$A$8)/365))</f>
        <v/>
      </c>
      <c r="R463" s="16" t="str">
        <f t="shared" si="47"/>
        <v/>
      </c>
      <c r="S463" s="16" t="str">
        <f>IF(Q463="","",Q463/MAX(Q$5:Q463)-1)</f>
        <v/>
      </c>
      <c r="T463" s="13">
        <f>IF(OR('实盘净值数据(iFinD）'!$A463="",'实盘净值数据(iFinD）'!$B463="",'实盘净值数据(iFinD）'!$Z463="",'实盘净值数据(iFinD）'!$AA463="",'实盘净值数据(iFinD）'!$AB463="",'实盘净值数据(iFinD）'!$AL463=""),"",(SUMPRODUCT(分期持仓明细!$B$26:$Y$26,'实盘净值数据(iFinD）'!$B463:$Y463/'实盘净值数据(iFinD）'!$B$69:$Y$69)+SUMPRODUCT(分期持仓明细!$AC$26:$AD$26,'实盘净值数据(iFinD）'!$Z463:$AA463/'实盘净值数据(iFinD）'!$Z$69:$AA$69)+SUMPRODUCT(分期持仓明细!$AE$26:$AO$26,'实盘净值数据(iFinD）'!$AB463:$AL463/'实盘净值数据(iFinD）'!$AB$69:$AL$69))*(1-实盘持仓初始配置!$Z$10)^(('实盘净值数据(iFinD）'!$A463-'实盘净值数据(iFinD）'!$A$69)/365))</f>
        <v/>
      </c>
      <c r="U463" s="16">
        <f>IF(OR(T462="",T463=""),"",T463/T462-1)</f>
        <v/>
      </c>
      <c r="V463" s="16">
        <f>IF(T463="","",T463/MAX(T$5:T463)-1)</f>
        <v/>
      </c>
    </row>
    <row r="464" spans="1:19">
      <c r="A464" s="15" t="str">
        <f>IF('实盘净值数据(iFinD）'!A464="","",'实盘净值数据(iFinD）'!A464)</f>
        <v/>
      </c>
      <c r="B464" s="13" t="str">
        <f>IF(OR('实盘净值数据(iFinD）'!$A464="",'实盘净值数据(iFinD）'!$B464=""),"",分期持仓明细!$AB$17*SUMPRODUCT(分期持仓明细!$B$17:$Y$17,'实盘净值数据(iFinD）'!$B464:$Y464/'实盘净值数据(iFinD）'!$B$20:$Y$20)*(1-实盘持仓初始配置!$Z$4)^(('实盘净值数据(iFinD）'!$A464-'实盘净值数据(iFinD）'!$A$6)/365))</f>
        <v/>
      </c>
      <c r="C464" s="16" t="str">
        <f t="shared" si="42"/>
        <v/>
      </c>
      <c r="D464" s="16" t="str">
        <f>IF(B464="","",B464/MAX(B$5:B464)-1)</f>
        <v/>
      </c>
      <c r="E464" s="13" t="str">
        <f>IF(OR('实盘净值数据(iFinD）'!$A464="",'实盘净值数据(iFinD）'!$B464=""),"",分期持仓明细!$AB$18*SUMPRODUCT(分期持仓明细!$B$18:$Y$18,'实盘净值数据(iFinD）'!$B464:$Y464/'实盘净值数据(iFinD）'!$B$20:$Y$20)*(1-实盘持仓初始配置!$Z$5)^(('实盘净值数据(iFinD）'!$A464-'实盘净值数据(iFinD）'!$A$5)/365))</f>
        <v/>
      </c>
      <c r="F464" s="16" t="str">
        <f t="shared" si="43"/>
        <v/>
      </c>
      <c r="G464" s="16" t="str">
        <f>IF(E464="","",E464/MAX(E$5:E464)-1)</f>
        <v/>
      </c>
      <c r="H464" s="13" t="str">
        <f>IF(OR('实盘净值数据(iFinD）'!$A464="",'实盘净值数据(iFinD）'!$B464=""),"",分期持仓明细!$AB$19*SUMPRODUCT(分期持仓明细!$B$19:$Y$19,'实盘净值数据(iFinD）'!$B464:$Y464/'实盘净值数据(iFinD）'!$B$20:$Y$20)*(1-实盘持仓初始配置!$Z$6)^(('实盘净值数据(iFinD）'!$A464-'实盘净值数据(iFinD）'!$A$7)/365))</f>
        <v/>
      </c>
      <c r="I464" s="16" t="str">
        <f t="shared" si="44"/>
        <v/>
      </c>
      <c r="J464" s="16" t="str">
        <f>IF(H464="","",H464/MAX(H$5:H464)-1)</f>
        <v/>
      </c>
      <c r="K464" s="13" t="str">
        <f>IF(OR('实盘净值数据(iFinD）'!$A464="",'实盘净值数据(iFinD）'!$B464="",'实盘净值数据(iFinD）'!$Z464="",'实盘净值数据(iFinD）'!$AA464=""),"",分期持仓明细!$AB$23*(SUMPRODUCT(分期持仓明细!$B$23:$Y$23,'实盘净值数据(iFinD）'!$B464:$Y464/'实盘净值数据(iFinD）'!$B$65:$Y$65)+SUMPRODUCT(分期持仓明细!$AC$23:$AD$23,'实盘净值数据(iFinD）'!$Z464:$AA464/'实盘净值数据(iFinD）'!$Z$65:$AA$65))*(1-实盘持仓初始配置!$Z$7)^(('实盘净值数据(iFinD）'!$A464-'实盘净值数据(iFinD）'!$A$8)/365))</f>
        <v/>
      </c>
      <c r="L464" s="16" t="str">
        <f t="shared" si="45"/>
        <v/>
      </c>
      <c r="M464" s="16" t="str">
        <f>IF(K464="","",K464/MAX(K$5:K464)-1)</f>
        <v/>
      </c>
      <c r="N464" s="13" t="str">
        <f>IF(OR('实盘净值数据(iFinD）'!$A464="",'实盘净值数据(iFinD）'!$B464="",'实盘净值数据(iFinD）'!$Z464="",'实盘净值数据(iFinD）'!$AA464=""),"",分期持仓明细!$AB$24*(SUMPRODUCT(分期持仓明细!$B$24:$Y$24,'实盘净值数据(iFinD）'!$B464:$Y464/'实盘净值数据(iFinD）'!$B$65:$Y$65)+SUMPRODUCT(分期持仓明细!$AC$24:$AD$24,'实盘净值数据(iFinD）'!$Z464:$AA464/'实盘净值数据(iFinD）'!$Z$65:$AA$65))*(1-实盘持仓初始配置!$Z$8)^(('实盘净值数据(iFinD）'!$A464-'实盘净值数据(iFinD）'!$A$5)/365))</f>
        <v/>
      </c>
      <c r="O464" s="16" t="str">
        <f t="shared" si="46"/>
        <v/>
      </c>
      <c r="P464" s="16" t="str">
        <f>IF(N464="","",N464/MAX(N$5:N464)-1)</f>
        <v/>
      </c>
      <c r="Q464" s="13" t="str">
        <f>IF(OR('实盘净值数据(iFinD）'!$A464="",'实盘净值数据(iFinD）'!$B464="",'实盘净值数据(iFinD）'!$Z464="",'实盘净值数据(iFinD）'!$AA464=""),"",分期持仓明细!$AB$25*(SUMPRODUCT(分期持仓明细!$B$25:$Y$25,'实盘净值数据(iFinD）'!$B464:$Y464/'实盘净值数据(iFinD）'!$B$65:$Y$65)+SUMPRODUCT(分期持仓明细!$AC$25:$AD$25,'实盘净值数据(iFinD）'!$Z464:$AA464/'实盘净值数据(iFinD）'!$Z$65:$AA$65))*(1-实盘持仓初始配置!$Z$9)^(('实盘净值数据(iFinD）'!$A464-'实盘净值数据(iFinD）'!$A$8)/365))</f>
        <v/>
      </c>
      <c r="R464" s="16" t="str">
        <f t="shared" si="47"/>
        <v/>
      </c>
      <c r="S464" s="16" t="str">
        <f>IF(Q464="","",Q464/MAX(Q$5:Q464)-1)</f>
        <v/>
      </c>
      <c r="T464" s="13">
        <f>IF(OR('实盘净值数据(iFinD）'!$A464="",'实盘净值数据(iFinD）'!$B464="",'实盘净值数据(iFinD）'!$Z464="",'实盘净值数据(iFinD）'!$AA464="",'实盘净值数据(iFinD）'!$AB464="",'实盘净值数据(iFinD）'!$AL464=""),"",(SUMPRODUCT(分期持仓明细!$B$26:$Y$26,'实盘净值数据(iFinD）'!$B464:$Y464/'实盘净值数据(iFinD）'!$B$69:$Y$69)+SUMPRODUCT(分期持仓明细!$AC$26:$AD$26,'实盘净值数据(iFinD）'!$Z464:$AA464/'实盘净值数据(iFinD）'!$Z$69:$AA$69)+SUMPRODUCT(分期持仓明细!$AE$26:$AO$26,'实盘净值数据(iFinD）'!$AB464:$AL464/'实盘净值数据(iFinD）'!$AB$69:$AL$69))*(1-实盘持仓初始配置!$Z$10)^(('实盘净值数据(iFinD）'!$A464-'实盘净值数据(iFinD）'!$A$69)/365))</f>
        <v/>
      </c>
      <c r="U464" s="16">
        <f>IF(OR(T463="",T464=""),"",T464/T463-1)</f>
        <v/>
      </c>
      <c r="V464" s="16">
        <f>IF(T464="","",T464/MAX(T$5:T464)-1)</f>
        <v/>
      </c>
    </row>
    <row r="465" spans="1:19">
      <c r="A465" s="15" t="str">
        <f>IF('实盘净值数据(iFinD）'!A465="","",'实盘净值数据(iFinD）'!A465)</f>
        <v/>
      </c>
      <c r="B465" s="13" t="str">
        <f>IF(OR('实盘净值数据(iFinD）'!$A465="",'实盘净值数据(iFinD）'!$B465=""),"",分期持仓明细!$AB$17*SUMPRODUCT(分期持仓明细!$B$17:$Y$17,'实盘净值数据(iFinD）'!$B465:$Y465/'实盘净值数据(iFinD）'!$B$20:$Y$20)*(1-实盘持仓初始配置!$Z$4)^(('实盘净值数据(iFinD）'!$A465-'实盘净值数据(iFinD）'!$A$6)/365))</f>
        <v/>
      </c>
      <c r="C465" s="16" t="str">
        <f t="shared" si="42"/>
        <v/>
      </c>
      <c r="D465" s="16" t="str">
        <f>IF(B465="","",B465/MAX(B$5:B465)-1)</f>
        <v/>
      </c>
      <c r="E465" s="13" t="str">
        <f>IF(OR('实盘净值数据(iFinD）'!$A465="",'实盘净值数据(iFinD）'!$B465=""),"",分期持仓明细!$AB$18*SUMPRODUCT(分期持仓明细!$B$18:$Y$18,'实盘净值数据(iFinD）'!$B465:$Y465/'实盘净值数据(iFinD）'!$B$20:$Y$20)*(1-实盘持仓初始配置!$Z$5)^(('实盘净值数据(iFinD）'!$A465-'实盘净值数据(iFinD）'!$A$5)/365))</f>
        <v/>
      </c>
      <c r="F465" s="16" t="str">
        <f t="shared" si="43"/>
        <v/>
      </c>
      <c r="G465" s="16" t="str">
        <f>IF(E465="","",E465/MAX(E$5:E465)-1)</f>
        <v/>
      </c>
      <c r="H465" s="13" t="str">
        <f>IF(OR('实盘净值数据(iFinD）'!$A465="",'实盘净值数据(iFinD）'!$B465=""),"",分期持仓明细!$AB$19*SUMPRODUCT(分期持仓明细!$B$19:$Y$19,'实盘净值数据(iFinD）'!$B465:$Y465/'实盘净值数据(iFinD）'!$B$20:$Y$20)*(1-实盘持仓初始配置!$Z$6)^(('实盘净值数据(iFinD）'!$A465-'实盘净值数据(iFinD）'!$A$7)/365))</f>
        <v/>
      </c>
      <c r="I465" s="16" t="str">
        <f t="shared" si="44"/>
        <v/>
      </c>
      <c r="J465" s="16" t="str">
        <f>IF(H465="","",H465/MAX(H$5:H465)-1)</f>
        <v/>
      </c>
      <c r="K465" s="13" t="str">
        <f>IF(OR('实盘净值数据(iFinD）'!$A465="",'实盘净值数据(iFinD）'!$B465="",'实盘净值数据(iFinD）'!$Z465="",'实盘净值数据(iFinD）'!$AA465=""),"",分期持仓明细!$AB$23*(SUMPRODUCT(分期持仓明细!$B$23:$Y$23,'实盘净值数据(iFinD）'!$B465:$Y465/'实盘净值数据(iFinD）'!$B$65:$Y$65)+SUMPRODUCT(分期持仓明细!$AC$23:$AD$23,'实盘净值数据(iFinD）'!$Z465:$AA465/'实盘净值数据(iFinD）'!$Z$65:$AA$65))*(1-实盘持仓初始配置!$Z$7)^(('实盘净值数据(iFinD）'!$A465-'实盘净值数据(iFinD）'!$A$8)/365))</f>
        <v/>
      </c>
      <c r="L465" s="16" t="str">
        <f t="shared" si="45"/>
        <v/>
      </c>
      <c r="M465" s="16" t="str">
        <f>IF(K465="","",K465/MAX(K$5:K465)-1)</f>
        <v/>
      </c>
      <c r="N465" s="13" t="str">
        <f>IF(OR('实盘净值数据(iFinD）'!$A465="",'实盘净值数据(iFinD）'!$B465="",'实盘净值数据(iFinD）'!$Z465="",'实盘净值数据(iFinD）'!$AA465=""),"",分期持仓明细!$AB$24*(SUMPRODUCT(分期持仓明细!$B$24:$Y$24,'实盘净值数据(iFinD）'!$B465:$Y465/'实盘净值数据(iFinD）'!$B$65:$Y$65)+SUMPRODUCT(分期持仓明细!$AC$24:$AD$24,'实盘净值数据(iFinD）'!$Z465:$AA465/'实盘净值数据(iFinD）'!$Z$65:$AA$65))*(1-实盘持仓初始配置!$Z$8)^(('实盘净值数据(iFinD）'!$A465-'实盘净值数据(iFinD）'!$A$5)/365))</f>
        <v/>
      </c>
      <c r="O465" s="16" t="str">
        <f t="shared" si="46"/>
        <v/>
      </c>
      <c r="P465" s="16" t="str">
        <f>IF(N465="","",N465/MAX(N$5:N465)-1)</f>
        <v/>
      </c>
      <c r="Q465" s="13" t="str">
        <f>IF(OR('实盘净值数据(iFinD）'!$A465="",'实盘净值数据(iFinD）'!$B465="",'实盘净值数据(iFinD）'!$Z465="",'实盘净值数据(iFinD）'!$AA465=""),"",分期持仓明细!$AB$25*(SUMPRODUCT(分期持仓明细!$B$25:$Y$25,'实盘净值数据(iFinD）'!$B465:$Y465/'实盘净值数据(iFinD）'!$B$65:$Y$65)+SUMPRODUCT(分期持仓明细!$AC$25:$AD$25,'实盘净值数据(iFinD）'!$Z465:$AA465/'实盘净值数据(iFinD）'!$Z$65:$AA$65))*(1-实盘持仓初始配置!$Z$9)^(('实盘净值数据(iFinD）'!$A465-'实盘净值数据(iFinD）'!$A$8)/365))</f>
        <v/>
      </c>
      <c r="R465" s="16" t="str">
        <f t="shared" si="47"/>
        <v/>
      </c>
      <c r="S465" s="16" t="str">
        <f>IF(Q465="","",Q465/MAX(Q$5:Q465)-1)</f>
        <v/>
      </c>
      <c r="T465" s="13">
        <f>IF(OR('实盘净值数据(iFinD）'!$A465="",'实盘净值数据(iFinD）'!$B465="",'实盘净值数据(iFinD）'!$Z465="",'实盘净值数据(iFinD）'!$AA465="",'实盘净值数据(iFinD）'!$AB465="",'实盘净值数据(iFinD）'!$AL465=""),"",(SUMPRODUCT(分期持仓明细!$B$26:$Y$26,'实盘净值数据(iFinD）'!$B465:$Y465/'实盘净值数据(iFinD）'!$B$69:$Y$69)+SUMPRODUCT(分期持仓明细!$AC$26:$AD$26,'实盘净值数据(iFinD）'!$Z465:$AA465/'实盘净值数据(iFinD）'!$Z$69:$AA$69)+SUMPRODUCT(分期持仓明细!$AE$26:$AO$26,'实盘净值数据(iFinD）'!$AB465:$AL465/'实盘净值数据(iFinD）'!$AB$69:$AL$69))*(1-实盘持仓初始配置!$Z$10)^(('实盘净值数据(iFinD）'!$A465-'实盘净值数据(iFinD）'!$A$69)/365))</f>
        <v/>
      </c>
      <c r="U465" s="16">
        <f>IF(OR(T464="",T465=""),"",T465/T464-1)</f>
        <v/>
      </c>
      <c r="V465" s="16">
        <f>IF(T465="","",T465/MAX(T$5:T465)-1)</f>
        <v/>
      </c>
    </row>
    <row r="466" spans="1:19">
      <c r="A466" s="15" t="str">
        <f>IF('实盘净值数据(iFinD）'!A466="","",'实盘净值数据(iFinD）'!A466)</f>
        <v/>
      </c>
      <c r="B466" s="13" t="str">
        <f>IF(OR('实盘净值数据(iFinD）'!$A466="",'实盘净值数据(iFinD）'!$B466=""),"",分期持仓明细!$AB$17*SUMPRODUCT(分期持仓明细!$B$17:$Y$17,'实盘净值数据(iFinD）'!$B466:$Y466/'实盘净值数据(iFinD）'!$B$20:$Y$20)*(1-实盘持仓初始配置!$Z$4)^(('实盘净值数据(iFinD）'!$A466-'实盘净值数据(iFinD）'!$A$6)/365))</f>
        <v/>
      </c>
      <c r="C466" s="16" t="str">
        <f t="shared" si="42"/>
        <v/>
      </c>
      <c r="D466" s="16" t="str">
        <f>IF(B466="","",B466/MAX(B$5:B466)-1)</f>
        <v/>
      </c>
      <c r="E466" s="13" t="str">
        <f>IF(OR('实盘净值数据(iFinD）'!$A466="",'实盘净值数据(iFinD）'!$B466=""),"",分期持仓明细!$AB$18*SUMPRODUCT(分期持仓明细!$B$18:$Y$18,'实盘净值数据(iFinD）'!$B466:$Y466/'实盘净值数据(iFinD）'!$B$20:$Y$20)*(1-实盘持仓初始配置!$Z$5)^(('实盘净值数据(iFinD）'!$A466-'实盘净值数据(iFinD）'!$A$5)/365))</f>
        <v/>
      </c>
      <c r="F466" s="16" t="str">
        <f t="shared" si="43"/>
        <v/>
      </c>
      <c r="G466" s="16" t="str">
        <f>IF(E466="","",E466/MAX(E$5:E466)-1)</f>
        <v/>
      </c>
      <c r="H466" s="13" t="str">
        <f>IF(OR('实盘净值数据(iFinD）'!$A466="",'实盘净值数据(iFinD）'!$B466=""),"",分期持仓明细!$AB$19*SUMPRODUCT(分期持仓明细!$B$19:$Y$19,'实盘净值数据(iFinD）'!$B466:$Y466/'实盘净值数据(iFinD）'!$B$20:$Y$20)*(1-实盘持仓初始配置!$Z$6)^(('实盘净值数据(iFinD）'!$A466-'实盘净值数据(iFinD）'!$A$7)/365))</f>
        <v/>
      </c>
      <c r="I466" s="16" t="str">
        <f t="shared" si="44"/>
        <v/>
      </c>
      <c r="J466" s="16" t="str">
        <f>IF(H466="","",H466/MAX(H$5:H466)-1)</f>
        <v/>
      </c>
      <c r="K466" s="13" t="str">
        <f>IF(OR('实盘净值数据(iFinD）'!$A466="",'实盘净值数据(iFinD）'!$B466="",'实盘净值数据(iFinD）'!$Z466="",'实盘净值数据(iFinD）'!$AA466=""),"",分期持仓明细!$AB$23*(SUMPRODUCT(分期持仓明细!$B$23:$Y$23,'实盘净值数据(iFinD）'!$B466:$Y466/'实盘净值数据(iFinD）'!$B$65:$Y$65)+SUMPRODUCT(分期持仓明细!$AC$23:$AD$23,'实盘净值数据(iFinD）'!$Z466:$AA466/'实盘净值数据(iFinD）'!$Z$65:$AA$65))*(1-实盘持仓初始配置!$Z$7)^(('实盘净值数据(iFinD）'!$A466-'实盘净值数据(iFinD）'!$A$8)/365))</f>
        <v/>
      </c>
      <c r="L466" s="16" t="str">
        <f t="shared" si="45"/>
        <v/>
      </c>
      <c r="M466" s="16" t="str">
        <f>IF(K466="","",K466/MAX(K$5:K466)-1)</f>
        <v/>
      </c>
      <c r="N466" s="13" t="str">
        <f>IF(OR('实盘净值数据(iFinD）'!$A466="",'实盘净值数据(iFinD）'!$B466="",'实盘净值数据(iFinD）'!$Z466="",'实盘净值数据(iFinD）'!$AA466=""),"",分期持仓明细!$AB$24*(SUMPRODUCT(分期持仓明细!$B$24:$Y$24,'实盘净值数据(iFinD）'!$B466:$Y466/'实盘净值数据(iFinD）'!$B$65:$Y$65)+SUMPRODUCT(分期持仓明细!$AC$24:$AD$24,'实盘净值数据(iFinD）'!$Z466:$AA466/'实盘净值数据(iFinD）'!$Z$65:$AA$65))*(1-实盘持仓初始配置!$Z$8)^(('实盘净值数据(iFinD）'!$A466-'实盘净值数据(iFinD）'!$A$5)/365))</f>
        <v/>
      </c>
      <c r="O466" s="16" t="str">
        <f t="shared" si="46"/>
        <v/>
      </c>
      <c r="P466" s="16" t="str">
        <f>IF(N466="","",N466/MAX(N$5:N466)-1)</f>
        <v/>
      </c>
      <c r="Q466" s="13" t="str">
        <f>IF(OR('实盘净值数据(iFinD）'!$A466="",'实盘净值数据(iFinD）'!$B466="",'实盘净值数据(iFinD）'!$Z466="",'实盘净值数据(iFinD）'!$AA466=""),"",分期持仓明细!$AB$25*(SUMPRODUCT(分期持仓明细!$B$25:$Y$25,'实盘净值数据(iFinD）'!$B466:$Y466/'实盘净值数据(iFinD）'!$B$65:$Y$65)+SUMPRODUCT(分期持仓明细!$AC$25:$AD$25,'实盘净值数据(iFinD）'!$Z466:$AA466/'实盘净值数据(iFinD）'!$Z$65:$AA$65))*(1-实盘持仓初始配置!$Z$9)^(('实盘净值数据(iFinD）'!$A466-'实盘净值数据(iFinD）'!$A$8)/365))</f>
        <v/>
      </c>
      <c r="R466" s="16" t="str">
        <f t="shared" si="47"/>
        <v/>
      </c>
      <c r="S466" s="16" t="str">
        <f>IF(Q466="","",Q466/MAX(Q$5:Q466)-1)</f>
        <v/>
      </c>
      <c r="T466" s="13">
        <f>IF(OR('实盘净值数据(iFinD）'!$A466="",'实盘净值数据(iFinD）'!$B466="",'实盘净值数据(iFinD）'!$Z466="",'实盘净值数据(iFinD）'!$AA466="",'实盘净值数据(iFinD）'!$AB466="",'实盘净值数据(iFinD）'!$AL466=""),"",(SUMPRODUCT(分期持仓明细!$B$26:$Y$26,'实盘净值数据(iFinD）'!$B466:$Y466/'实盘净值数据(iFinD）'!$B$69:$Y$69)+SUMPRODUCT(分期持仓明细!$AC$26:$AD$26,'实盘净值数据(iFinD）'!$Z466:$AA466/'实盘净值数据(iFinD）'!$Z$69:$AA$69)+SUMPRODUCT(分期持仓明细!$AE$26:$AO$26,'实盘净值数据(iFinD）'!$AB466:$AL466/'实盘净值数据(iFinD）'!$AB$69:$AL$69))*(1-实盘持仓初始配置!$Z$10)^(('实盘净值数据(iFinD）'!$A466-'实盘净值数据(iFinD）'!$A$69)/365))</f>
        <v/>
      </c>
      <c r="U466" s="16">
        <f>IF(OR(T465="",T466=""),"",T466/T465-1)</f>
        <v/>
      </c>
      <c r="V466" s="16">
        <f>IF(T466="","",T466/MAX(T$5:T466)-1)</f>
        <v/>
      </c>
    </row>
    <row r="467" spans="1:19">
      <c r="A467" s="15" t="str">
        <f>IF('实盘净值数据(iFinD）'!A467="","",'实盘净值数据(iFinD）'!A467)</f>
        <v/>
      </c>
      <c r="B467" s="13" t="str">
        <f>IF(OR('实盘净值数据(iFinD）'!$A467="",'实盘净值数据(iFinD）'!$B467=""),"",分期持仓明细!$AB$17*SUMPRODUCT(分期持仓明细!$B$17:$Y$17,'实盘净值数据(iFinD）'!$B467:$Y467/'实盘净值数据(iFinD）'!$B$20:$Y$20)*(1-实盘持仓初始配置!$Z$4)^(('实盘净值数据(iFinD）'!$A467-'实盘净值数据(iFinD）'!$A$6)/365))</f>
        <v/>
      </c>
      <c r="C467" s="16" t="str">
        <f t="shared" si="42"/>
        <v/>
      </c>
      <c r="D467" s="16" t="str">
        <f>IF(B467="","",B467/MAX(B$5:B467)-1)</f>
        <v/>
      </c>
      <c r="E467" s="13" t="str">
        <f>IF(OR('实盘净值数据(iFinD）'!$A467="",'实盘净值数据(iFinD）'!$B467=""),"",分期持仓明细!$AB$18*SUMPRODUCT(分期持仓明细!$B$18:$Y$18,'实盘净值数据(iFinD）'!$B467:$Y467/'实盘净值数据(iFinD）'!$B$20:$Y$20)*(1-实盘持仓初始配置!$Z$5)^(('实盘净值数据(iFinD）'!$A467-'实盘净值数据(iFinD）'!$A$5)/365))</f>
        <v/>
      </c>
      <c r="F467" s="16" t="str">
        <f t="shared" si="43"/>
        <v/>
      </c>
      <c r="G467" s="16" t="str">
        <f>IF(E467="","",E467/MAX(E$5:E467)-1)</f>
        <v/>
      </c>
      <c r="H467" s="13" t="str">
        <f>IF(OR('实盘净值数据(iFinD）'!$A467="",'实盘净值数据(iFinD）'!$B467=""),"",分期持仓明细!$AB$19*SUMPRODUCT(分期持仓明细!$B$19:$Y$19,'实盘净值数据(iFinD）'!$B467:$Y467/'实盘净值数据(iFinD）'!$B$20:$Y$20)*(1-实盘持仓初始配置!$Z$6)^(('实盘净值数据(iFinD）'!$A467-'实盘净值数据(iFinD）'!$A$7)/365))</f>
        <v/>
      </c>
      <c r="I467" s="16" t="str">
        <f t="shared" si="44"/>
        <v/>
      </c>
      <c r="J467" s="16" t="str">
        <f>IF(H467="","",H467/MAX(H$5:H467)-1)</f>
        <v/>
      </c>
      <c r="K467" s="13" t="str">
        <f>IF(OR('实盘净值数据(iFinD）'!$A467="",'实盘净值数据(iFinD）'!$B467="",'实盘净值数据(iFinD）'!$Z467="",'实盘净值数据(iFinD）'!$AA467=""),"",分期持仓明细!$AB$23*(SUMPRODUCT(分期持仓明细!$B$23:$Y$23,'实盘净值数据(iFinD）'!$B467:$Y467/'实盘净值数据(iFinD）'!$B$65:$Y$65)+SUMPRODUCT(分期持仓明细!$AC$23:$AD$23,'实盘净值数据(iFinD）'!$Z467:$AA467/'实盘净值数据(iFinD）'!$Z$65:$AA$65))*(1-实盘持仓初始配置!$Z$7)^(('实盘净值数据(iFinD）'!$A467-'实盘净值数据(iFinD）'!$A$8)/365))</f>
        <v/>
      </c>
      <c r="L467" s="16" t="str">
        <f t="shared" si="45"/>
        <v/>
      </c>
      <c r="M467" s="16" t="str">
        <f>IF(K467="","",K467/MAX(K$5:K467)-1)</f>
        <v/>
      </c>
      <c r="N467" s="13" t="str">
        <f>IF(OR('实盘净值数据(iFinD）'!$A467="",'实盘净值数据(iFinD）'!$B467="",'实盘净值数据(iFinD）'!$Z467="",'实盘净值数据(iFinD）'!$AA467=""),"",分期持仓明细!$AB$24*(SUMPRODUCT(分期持仓明细!$B$24:$Y$24,'实盘净值数据(iFinD）'!$B467:$Y467/'实盘净值数据(iFinD）'!$B$65:$Y$65)+SUMPRODUCT(分期持仓明细!$AC$24:$AD$24,'实盘净值数据(iFinD）'!$Z467:$AA467/'实盘净值数据(iFinD）'!$Z$65:$AA$65))*(1-实盘持仓初始配置!$Z$8)^(('实盘净值数据(iFinD）'!$A467-'实盘净值数据(iFinD）'!$A$5)/365))</f>
        <v/>
      </c>
      <c r="O467" s="16" t="str">
        <f t="shared" si="46"/>
        <v/>
      </c>
      <c r="P467" s="16" t="str">
        <f>IF(N467="","",N467/MAX(N$5:N467)-1)</f>
        <v/>
      </c>
      <c r="Q467" s="13" t="str">
        <f>IF(OR('实盘净值数据(iFinD）'!$A467="",'实盘净值数据(iFinD）'!$B467="",'实盘净值数据(iFinD）'!$Z467="",'实盘净值数据(iFinD）'!$AA467=""),"",分期持仓明细!$AB$25*(SUMPRODUCT(分期持仓明细!$B$25:$Y$25,'实盘净值数据(iFinD）'!$B467:$Y467/'实盘净值数据(iFinD）'!$B$65:$Y$65)+SUMPRODUCT(分期持仓明细!$AC$25:$AD$25,'实盘净值数据(iFinD）'!$Z467:$AA467/'实盘净值数据(iFinD）'!$Z$65:$AA$65))*(1-实盘持仓初始配置!$Z$9)^(('实盘净值数据(iFinD）'!$A467-'实盘净值数据(iFinD）'!$A$8)/365))</f>
        <v/>
      </c>
      <c r="R467" s="16" t="str">
        <f t="shared" si="47"/>
        <v/>
      </c>
      <c r="S467" s="16" t="str">
        <f>IF(Q467="","",Q467/MAX(Q$5:Q467)-1)</f>
        <v/>
      </c>
      <c r="T467" s="13">
        <f>IF(OR('实盘净值数据(iFinD）'!$A467="",'实盘净值数据(iFinD）'!$B467="",'实盘净值数据(iFinD）'!$Z467="",'实盘净值数据(iFinD）'!$AA467="",'实盘净值数据(iFinD）'!$AB467="",'实盘净值数据(iFinD）'!$AL467=""),"",(SUMPRODUCT(分期持仓明细!$B$26:$Y$26,'实盘净值数据(iFinD）'!$B467:$Y467/'实盘净值数据(iFinD）'!$B$69:$Y$69)+SUMPRODUCT(分期持仓明细!$AC$26:$AD$26,'实盘净值数据(iFinD）'!$Z467:$AA467/'实盘净值数据(iFinD）'!$Z$69:$AA$69)+SUMPRODUCT(分期持仓明细!$AE$26:$AO$26,'实盘净值数据(iFinD）'!$AB467:$AL467/'实盘净值数据(iFinD）'!$AB$69:$AL$69))*(1-实盘持仓初始配置!$Z$10)^(('实盘净值数据(iFinD）'!$A467-'实盘净值数据(iFinD）'!$A$69)/365))</f>
        <v/>
      </c>
      <c r="U467" s="16">
        <f>IF(OR(T466="",T467=""),"",T467/T466-1)</f>
        <v/>
      </c>
      <c r="V467" s="16">
        <f>IF(T467="","",T467/MAX(T$5:T467)-1)</f>
        <v/>
      </c>
    </row>
    <row r="468" spans="1:19">
      <c r="A468" s="15" t="str">
        <f>IF('实盘净值数据(iFinD）'!A468="","",'实盘净值数据(iFinD）'!A468)</f>
        <v/>
      </c>
      <c r="B468" s="13" t="str">
        <f>IF(OR('实盘净值数据(iFinD）'!$A468="",'实盘净值数据(iFinD）'!$B468=""),"",分期持仓明细!$AB$17*SUMPRODUCT(分期持仓明细!$B$17:$Y$17,'实盘净值数据(iFinD）'!$B468:$Y468/'实盘净值数据(iFinD）'!$B$20:$Y$20)*(1-实盘持仓初始配置!$Z$4)^(('实盘净值数据(iFinD）'!$A468-'实盘净值数据(iFinD）'!$A$6)/365))</f>
        <v/>
      </c>
      <c r="C468" s="16" t="str">
        <f t="shared" si="42"/>
        <v/>
      </c>
      <c r="D468" s="16" t="str">
        <f>IF(B468="","",B468/MAX(B$5:B468)-1)</f>
        <v/>
      </c>
      <c r="E468" s="13" t="str">
        <f>IF(OR('实盘净值数据(iFinD）'!$A468="",'实盘净值数据(iFinD）'!$B468=""),"",分期持仓明细!$AB$18*SUMPRODUCT(分期持仓明细!$B$18:$Y$18,'实盘净值数据(iFinD）'!$B468:$Y468/'实盘净值数据(iFinD）'!$B$20:$Y$20)*(1-实盘持仓初始配置!$Z$5)^(('实盘净值数据(iFinD）'!$A468-'实盘净值数据(iFinD）'!$A$5)/365))</f>
        <v/>
      </c>
      <c r="F468" s="16" t="str">
        <f t="shared" si="43"/>
        <v/>
      </c>
      <c r="G468" s="16" t="str">
        <f>IF(E468="","",E468/MAX(E$5:E468)-1)</f>
        <v/>
      </c>
      <c r="H468" s="13" t="str">
        <f>IF(OR('实盘净值数据(iFinD）'!$A468="",'实盘净值数据(iFinD）'!$B468=""),"",分期持仓明细!$AB$19*SUMPRODUCT(分期持仓明细!$B$19:$Y$19,'实盘净值数据(iFinD）'!$B468:$Y468/'实盘净值数据(iFinD）'!$B$20:$Y$20)*(1-实盘持仓初始配置!$Z$6)^(('实盘净值数据(iFinD）'!$A468-'实盘净值数据(iFinD）'!$A$7)/365))</f>
        <v/>
      </c>
      <c r="I468" s="16" t="str">
        <f t="shared" si="44"/>
        <v/>
      </c>
      <c r="J468" s="16" t="str">
        <f>IF(H468="","",H468/MAX(H$5:H468)-1)</f>
        <v/>
      </c>
      <c r="K468" s="13" t="str">
        <f>IF(OR('实盘净值数据(iFinD）'!$A468="",'实盘净值数据(iFinD）'!$B468="",'实盘净值数据(iFinD）'!$Z468="",'实盘净值数据(iFinD）'!$AA468=""),"",分期持仓明细!$AB$23*(SUMPRODUCT(分期持仓明细!$B$23:$Y$23,'实盘净值数据(iFinD）'!$B468:$Y468/'实盘净值数据(iFinD）'!$B$65:$Y$65)+SUMPRODUCT(分期持仓明细!$AC$23:$AD$23,'实盘净值数据(iFinD）'!$Z468:$AA468/'实盘净值数据(iFinD）'!$Z$65:$AA$65))*(1-实盘持仓初始配置!$Z$7)^(('实盘净值数据(iFinD）'!$A468-'实盘净值数据(iFinD）'!$A$8)/365))</f>
        <v/>
      </c>
      <c r="L468" s="16" t="str">
        <f t="shared" si="45"/>
        <v/>
      </c>
      <c r="M468" s="16" t="str">
        <f>IF(K468="","",K468/MAX(K$5:K468)-1)</f>
        <v/>
      </c>
      <c r="N468" s="13" t="str">
        <f>IF(OR('实盘净值数据(iFinD）'!$A468="",'实盘净值数据(iFinD）'!$B468="",'实盘净值数据(iFinD）'!$Z468="",'实盘净值数据(iFinD）'!$AA468=""),"",分期持仓明细!$AB$24*(SUMPRODUCT(分期持仓明细!$B$24:$Y$24,'实盘净值数据(iFinD）'!$B468:$Y468/'实盘净值数据(iFinD）'!$B$65:$Y$65)+SUMPRODUCT(分期持仓明细!$AC$24:$AD$24,'实盘净值数据(iFinD）'!$Z468:$AA468/'实盘净值数据(iFinD）'!$Z$65:$AA$65))*(1-实盘持仓初始配置!$Z$8)^(('实盘净值数据(iFinD）'!$A468-'实盘净值数据(iFinD）'!$A$5)/365))</f>
        <v/>
      </c>
      <c r="O468" s="16" t="str">
        <f t="shared" si="46"/>
        <v/>
      </c>
      <c r="P468" s="16" t="str">
        <f>IF(N468="","",N468/MAX(N$5:N468)-1)</f>
        <v/>
      </c>
      <c r="Q468" s="13" t="str">
        <f>IF(OR('实盘净值数据(iFinD）'!$A468="",'实盘净值数据(iFinD）'!$B468="",'实盘净值数据(iFinD）'!$Z468="",'实盘净值数据(iFinD）'!$AA468=""),"",分期持仓明细!$AB$25*(SUMPRODUCT(分期持仓明细!$B$25:$Y$25,'实盘净值数据(iFinD）'!$B468:$Y468/'实盘净值数据(iFinD）'!$B$65:$Y$65)+SUMPRODUCT(分期持仓明细!$AC$25:$AD$25,'实盘净值数据(iFinD）'!$Z468:$AA468/'实盘净值数据(iFinD）'!$Z$65:$AA$65))*(1-实盘持仓初始配置!$Z$9)^(('实盘净值数据(iFinD）'!$A468-'实盘净值数据(iFinD）'!$A$8)/365))</f>
        <v/>
      </c>
      <c r="R468" s="16" t="str">
        <f t="shared" si="47"/>
        <v/>
      </c>
      <c r="S468" s="16" t="str">
        <f>IF(Q468="","",Q468/MAX(Q$5:Q468)-1)</f>
        <v/>
      </c>
      <c r="T468" s="13">
        <f>IF(OR('实盘净值数据(iFinD）'!$A468="",'实盘净值数据(iFinD）'!$B468="",'实盘净值数据(iFinD）'!$Z468="",'实盘净值数据(iFinD）'!$AA468="",'实盘净值数据(iFinD）'!$AB468="",'实盘净值数据(iFinD）'!$AL468=""),"",(SUMPRODUCT(分期持仓明细!$B$26:$Y$26,'实盘净值数据(iFinD）'!$B468:$Y468/'实盘净值数据(iFinD）'!$B$69:$Y$69)+SUMPRODUCT(分期持仓明细!$AC$26:$AD$26,'实盘净值数据(iFinD）'!$Z468:$AA468/'实盘净值数据(iFinD）'!$Z$69:$AA$69)+SUMPRODUCT(分期持仓明细!$AE$26:$AO$26,'实盘净值数据(iFinD）'!$AB468:$AL468/'实盘净值数据(iFinD）'!$AB$69:$AL$69))*(1-实盘持仓初始配置!$Z$10)^(('实盘净值数据(iFinD）'!$A468-'实盘净值数据(iFinD）'!$A$69)/365))</f>
        <v/>
      </c>
      <c r="U468" s="16">
        <f>IF(OR(T467="",T468=""),"",T468/T467-1)</f>
        <v/>
      </c>
      <c r="V468" s="16">
        <f>IF(T468="","",T468/MAX(T$5:T468)-1)</f>
        <v/>
      </c>
    </row>
    <row r="469" spans="1:19">
      <c r="A469" s="15" t="str">
        <f>IF('实盘净值数据(iFinD）'!A469="","",'实盘净值数据(iFinD）'!A469)</f>
        <v/>
      </c>
      <c r="B469" s="13" t="str">
        <f>IF(OR('实盘净值数据(iFinD）'!$A469="",'实盘净值数据(iFinD）'!$B469=""),"",分期持仓明细!$AB$17*SUMPRODUCT(分期持仓明细!$B$17:$Y$17,'实盘净值数据(iFinD）'!$B469:$Y469/'实盘净值数据(iFinD）'!$B$20:$Y$20)*(1-实盘持仓初始配置!$Z$4)^(('实盘净值数据(iFinD）'!$A469-'实盘净值数据(iFinD）'!$A$6)/365))</f>
        <v/>
      </c>
      <c r="C469" s="16" t="str">
        <f t="shared" si="42"/>
        <v/>
      </c>
      <c r="D469" s="16" t="str">
        <f>IF(B469="","",B469/MAX(B$5:B469)-1)</f>
        <v/>
      </c>
      <c r="E469" s="13" t="str">
        <f>IF(OR('实盘净值数据(iFinD）'!$A469="",'实盘净值数据(iFinD）'!$B469=""),"",分期持仓明细!$AB$18*SUMPRODUCT(分期持仓明细!$B$18:$Y$18,'实盘净值数据(iFinD）'!$B469:$Y469/'实盘净值数据(iFinD）'!$B$20:$Y$20)*(1-实盘持仓初始配置!$Z$5)^(('实盘净值数据(iFinD）'!$A469-'实盘净值数据(iFinD）'!$A$5)/365))</f>
        <v/>
      </c>
      <c r="F469" s="16" t="str">
        <f t="shared" si="43"/>
        <v/>
      </c>
      <c r="G469" s="16" t="str">
        <f>IF(E469="","",E469/MAX(E$5:E469)-1)</f>
        <v/>
      </c>
      <c r="H469" s="13" t="str">
        <f>IF(OR('实盘净值数据(iFinD）'!$A469="",'实盘净值数据(iFinD）'!$B469=""),"",分期持仓明细!$AB$19*SUMPRODUCT(分期持仓明细!$B$19:$Y$19,'实盘净值数据(iFinD）'!$B469:$Y469/'实盘净值数据(iFinD）'!$B$20:$Y$20)*(1-实盘持仓初始配置!$Z$6)^(('实盘净值数据(iFinD）'!$A469-'实盘净值数据(iFinD）'!$A$7)/365))</f>
        <v/>
      </c>
      <c r="I469" s="16" t="str">
        <f t="shared" si="44"/>
        <v/>
      </c>
      <c r="J469" s="16" t="str">
        <f>IF(H469="","",H469/MAX(H$5:H469)-1)</f>
        <v/>
      </c>
      <c r="K469" s="13" t="str">
        <f>IF(OR('实盘净值数据(iFinD）'!$A469="",'实盘净值数据(iFinD）'!$B469="",'实盘净值数据(iFinD）'!$Z469="",'实盘净值数据(iFinD）'!$AA469=""),"",分期持仓明细!$AB$23*(SUMPRODUCT(分期持仓明细!$B$23:$Y$23,'实盘净值数据(iFinD）'!$B469:$Y469/'实盘净值数据(iFinD）'!$B$65:$Y$65)+SUMPRODUCT(分期持仓明细!$AC$23:$AD$23,'实盘净值数据(iFinD）'!$Z469:$AA469/'实盘净值数据(iFinD）'!$Z$65:$AA$65))*(1-实盘持仓初始配置!$Z$7)^(('实盘净值数据(iFinD）'!$A469-'实盘净值数据(iFinD）'!$A$8)/365))</f>
        <v/>
      </c>
      <c r="L469" s="16" t="str">
        <f t="shared" si="45"/>
        <v/>
      </c>
      <c r="M469" s="16" t="str">
        <f>IF(K469="","",K469/MAX(K$5:K469)-1)</f>
        <v/>
      </c>
      <c r="N469" s="13" t="str">
        <f>IF(OR('实盘净值数据(iFinD）'!$A469="",'实盘净值数据(iFinD）'!$B469="",'实盘净值数据(iFinD）'!$Z469="",'实盘净值数据(iFinD）'!$AA469=""),"",分期持仓明细!$AB$24*(SUMPRODUCT(分期持仓明细!$B$24:$Y$24,'实盘净值数据(iFinD）'!$B469:$Y469/'实盘净值数据(iFinD）'!$B$65:$Y$65)+SUMPRODUCT(分期持仓明细!$AC$24:$AD$24,'实盘净值数据(iFinD）'!$Z469:$AA469/'实盘净值数据(iFinD）'!$Z$65:$AA$65))*(1-实盘持仓初始配置!$Z$8)^(('实盘净值数据(iFinD）'!$A469-'实盘净值数据(iFinD）'!$A$5)/365))</f>
        <v/>
      </c>
      <c r="O469" s="16" t="str">
        <f t="shared" si="46"/>
        <v/>
      </c>
      <c r="P469" s="16" t="str">
        <f>IF(N469="","",N469/MAX(N$5:N469)-1)</f>
        <v/>
      </c>
      <c r="Q469" s="13" t="str">
        <f>IF(OR('实盘净值数据(iFinD）'!$A469="",'实盘净值数据(iFinD）'!$B469="",'实盘净值数据(iFinD）'!$Z469="",'实盘净值数据(iFinD）'!$AA469=""),"",分期持仓明细!$AB$25*(SUMPRODUCT(分期持仓明细!$B$25:$Y$25,'实盘净值数据(iFinD）'!$B469:$Y469/'实盘净值数据(iFinD）'!$B$65:$Y$65)+SUMPRODUCT(分期持仓明细!$AC$25:$AD$25,'实盘净值数据(iFinD）'!$Z469:$AA469/'实盘净值数据(iFinD）'!$Z$65:$AA$65))*(1-实盘持仓初始配置!$Z$9)^(('实盘净值数据(iFinD）'!$A469-'实盘净值数据(iFinD）'!$A$8)/365))</f>
        <v/>
      </c>
      <c r="R469" s="16" t="str">
        <f t="shared" si="47"/>
        <v/>
      </c>
      <c r="S469" s="16" t="str">
        <f>IF(Q469="","",Q469/MAX(Q$5:Q469)-1)</f>
        <v/>
      </c>
      <c r="T469" s="13">
        <f>IF(OR('实盘净值数据(iFinD）'!$A469="",'实盘净值数据(iFinD）'!$B469="",'实盘净值数据(iFinD）'!$Z469="",'实盘净值数据(iFinD）'!$AA469="",'实盘净值数据(iFinD）'!$AB469="",'实盘净值数据(iFinD）'!$AL469=""),"",(SUMPRODUCT(分期持仓明细!$B$26:$Y$26,'实盘净值数据(iFinD）'!$B469:$Y469/'实盘净值数据(iFinD）'!$B$69:$Y$69)+SUMPRODUCT(分期持仓明细!$AC$26:$AD$26,'实盘净值数据(iFinD）'!$Z469:$AA469/'实盘净值数据(iFinD）'!$Z$69:$AA$69)+SUMPRODUCT(分期持仓明细!$AE$26:$AO$26,'实盘净值数据(iFinD）'!$AB469:$AL469/'实盘净值数据(iFinD）'!$AB$69:$AL$69))*(1-实盘持仓初始配置!$Z$10)^(('实盘净值数据(iFinD）'!$A469-'实盘净值数据(iFinD）'!$A$69)/365))</f>
        <v/>
      </c>
      <c r="U469" s="16">
        <f>IF(OR(T468="",T469=""),"",T469/T468-1)</f>
        <v/>
      </c>
      <c r="V469" s="16">
        <f>IF(T469="","",T469/MAX(T$5:T469)-1)</f>
        <v/>
      </c>
    </row>
    <row r="470" spans="1:19">
      <c r="A470" s="15" t="str">
        <f>IF('实盘净值数据(iFinD）'!A470="","",'实盘净值数据(iFinD）'!A470)</f>
        <v/>
      </c>
      <c r="B470" s="13" t="str">
        <f>IF(OR('实盘净值数据(iFinD）'!$A470="",'实盘净值数据(iFinD）'!$B470=""),"",分期持仓明细!$AB$17*SUMPRODUCT(分期持仓明细!$B$17:$Y$17,'实盘净值数据(iFinD）'!$B470:$Y470/'实盘净值数据(iFinD）'!$B$20:$Y$20)*(1-实盘持仓初始配置!$Z$4)^(('实盘净值数据(iFinD）'!$A470-'实盘净值数据(iFinD）'!$A$6)/365))</f>
        <v/>
      </c>
      <c r="C470" s="16" t="str">
        <f t="shared" si="42"/>
        <v/>
      </c>
      <c r="D470" s="16" t="str">
        <f>IF(B470="","",B470/MAX(B$5:B470)-1)</f>
        <v/>
      </c>
      <c r="E470" s="13" t="str">
        <f>IF(OR('实盘净值数据(iFinD）'!$A470="",'实盘净值数据(iFinD）'!$B470=""),"",分期持仓明细!$AB$18*SUMPRODUCT(分期持仓明细!$B$18:$Y$18,'实盘净值数据(iFinD）'!$B470:$Y470/'实盘净值数据(iFinD）'!$B$20:$Y$20)*(1-实盘持仓初始配置!$Z$5)^(('实盘净值数据(iFinD）'!$A470-'实盘净值数据(iFinD）'!$A$5)/365))</f>
        <v/>
      </c>
      <c r="F470" s="16" t="str">
        <f t="shared" si="43"/>
        <v/>
      </c>
      <c r="G470" s="16" t="str">
        <f>IF(E470="","",E470/MAX(E$5:E470)-1)</f>
        <v/>
      </c>
      <c r="H470" s="13" t="str">
        <f>IF(OR('实盘净值数据(iFinD）'!$A470="",'实盘净值数据(iFinD）'!$B470=""),"",分期持仓明细!$AB$19*SUMPRODUCT(分期持仓明细!$B$19:$Y$19,'实盘净值数据(iFinD）'!$B470:$Y470/'实盘净值数据(iFinD）'!$B$20:$Y$20)*(1-实盘持仓初始配置!$Z$6)^(('实盘净值数据(iFinD）'!$A470-'实盘净值数据(iFinD）'!$A$7)/365))</f>
        <v/>
      </c>
      <c r="I470" s="16" t="str">
        <f t="shared" si="44"/>
        <v/>
      </c>
      <c r="J470" s="16" t="str">
        <f>IF(H470="","",H470/MAX(H$5:H470)-1)</f>
        <v/>
      </c>
      <c r="K470" s="13" t="str">
        <f>IF(OR('实盘净值数据(iFinD）'!$A470="",'实盘净值数据(iFinD）'!$B470="",'实盘净值数据(iFinD）'!$Z470="",'实盘净值数据(iFinD）'!$AA470=""),"",分期持仓明细!$AB$23*(SUMPRODUCT(分期持仓明细!$B$23:$Y$23,'实盘净值数据(iFinD）'!$B470:$Y470/'实盘净值数据(iFinD）'!$B$65:$Y$65)+SUMPRODUCT(分期持仓明细!$AC$23:$AD$23,'实盘净值数据(iFinD）'!$Z470:$AA470/'实盘净值数据(iFinD）'!$Z$65:$AA$65))*(1-实盘持仓初始配置!$Z$7)^(('实盘净值数据(iFinD）'!$A470-'实盘净值数据(iFinD）'!$A$8)/365))</f>
        <v/>
      </c>
      <c r="L470" s="16" t="str">
        <f t="shared" si="45"/>
        <v/>
      </c>
      <c r="M470" s="16" t="str">
        <f>IF(K470="","",K470/MAX(K$5:K470)-1)</f>
        <v/>
      </c>
      <c r="N470" s="13" t="str">
        <f>IF(OR('实盘净值数据(iFinD）'!$A470="",'实盘净值数据(iFinD）'!$B470="",'实盘净值数据(iFinD）'!$Z470="",'实盘净值数据(iFinD）'!$AA470=""),"",分期持仓明细!$AB$24*(SUMPRODUCT(分期持仓明细!$B$24:$Y$24,'实盘净值数据(iFinD）'!$B470:$Y470/'实盘净值数据(iFinD）'!$B$65:$Y$65)+SUMPRODUCT(分期持仓明细!$AC$24:$AD$24,'实盘净值数据(iFinD）'!$Z470:$AA470/'实盘净值数据(iFinD）'!$Z$65:$AA$65))*(1-实盘持仓初始配置!$Z$8)^(('实盘净值数据(iFinD）'!$A470-'实盘净值数据(iFinD）'!$A$5)/365))</f>
        <v/>
      </c>
      <c r="O470" s="16" t="str">
        <f t="shared" si="46"/>
        <v/>
      </c>
      <c r="P470" s="16" t="str">
        <f>IF(N470="","",N470/MAX(N$5:N470)-1)</f>
        <v/>
      </c>
      <c r="Q470" s="13" t="str">
        <f>IF(OR('实盘净值数据(iFinD）'!$A470="",'实盘净值数据(iFinD）'!$B470="",'实盘净值数据(iFinD）'!$Z470="",'实盘净值数据(iFinD）'!$AA470=""),"",分期持仓明细!$AB$25*(SUMPRODUCT(分期持仓明细!$B$25:$Y$25,'实盘净值数据(iFinD）'!$B470:$Y470/'实盘净值数据(iFinD）'!$B$65:$Y$65)+SUMPRODUCT(分期持仓明细!$AC$25:$AD$25,'实盘净值数据(iFinD）'!$Z470:$AA470/'实盘净值数据(iFinD）'!$Z$65:$AA$65))*(1-实盘持仓初始配置!$Z$9)^(('实盘净值数据(iFinD）'!$A470-'实盘净值数据(iFinD）'!$A$8)/365))</f>
        <v/>
      </c>
      <c r="R470" s="16" t="str">
        <f t="shared" si="47"/>
        <v/>
      </c>
      <c r="S470" s="16" t="str">
        <f>IF(Q470="","",Q470/MAX(Q$5:Q470)-1)</f>
        <v/>
      </c>
      <c r="T470" s="13">
        <f>IF(OR('实盘净值数据(iFinD）'!$A470="",'实盘净值数据(iFinD）'!$B470="",'实盘净值数据(iFinD）'!$Z470="",'实盘净值数据(iFinD）'!$AA470="",'实盘净值数据(iFinD）'!$AB470="",'实盘净值数据(iFinD）'!$AL470=""),"",(SUMPRODUCT(分期持仓明细!$B$26:$Y$26,'实盘净值数据(iFinD）'!$B470:$Y470/'实盘净值数据(iFinD）'!$B$69:$Y$69)+SUMPRODUCT(分期持仓明细!$AC$26:$AD$26,'实盘净值数据(iFinD）'!$Z470:$AA470/'实盘净值数据(iFinD）'!$Z$69:$AA$69)+SUMPRODUCT(分期持仓明细!$AE$26:$AO$26,'实盘净值数据(iFinD）'!$AB470:$AL470/'实盘净值数据(iFinD）'!$AB$69:$AL$69))*(1-实盘持仓初始配置!$Z$10)^(('实盘净值数据(iFinD）'!$A470-'实盘净值数据(iFinD）'!$A$69)/365))</f>
        <v/>
      </c>
      <c r="U470" s="16">
        <f>IF(OR(T469="",T470=""),"",T470/T469-1)</f>
        <v/>
      </c>
      <c r="V470" s="16">
        <f>IF(T470="","",T470/MAX(T$5:T470)-1)</f>
        <v/>
      </c>
    </row>
    <row r="471" spans="1:19">
      <c r="A471" s="15" t="str">
        <f>IF('实盘净值数据(iFinD）'!A471="","",'实盘净值数据(iFinD）'!A471)</f>
        <v/>
      </c>
      <c r="B471" s="13" t="str">
        <f>IF(OR('实盘净值数据(iFinD）'!$A471="",'实盘净值数据(iFinD）'!$B471=""),"",分期持仓明细!$AB$17*SUMPRODUCT(分期持仓明细!$B$17:$Y$17,'实盘净值数据(iFinD）'!$B471:$Y471/'实盘净值数据(iFinD）'!$B$20:$Y$20)*(1-实盘持仓初始配置!$Z$4)^(('实盘净值数据(iFinD）'!$A471-'实盘净值数据(iFinD）'!$A$6)/365))</f>
        <v/>
      </c>
      <c r="C471" s="16" t="str">
        <f t="shared" si="42"/>
        <v/>
      </c>
      <c r="D471" s="16" t="str">
        <f>IF(B471="","",B471/MAX(B$5:B471)-1)</f>
        <v/>
      </c>
      <c r="E471" s="13" t="str">
        <f>IF(OR('实盘净值数据(iFinD）'!$A471="",'实盘净值数据(iFinD）'!$B471=""),"",分期持仓明细!$AB$18*SUMPRODUCT(分期持仓明细!$B$18:$Y$18,'实盘净值数据(iFinD）'!$B471:$Y471/'实盘净值数据(iFinD）'!$B$20:$Y$20)*(1-实盘持仓初始配置!$Z$5)^(('实盘净值数据(iFinD）'!$A471-'实盘净值数据(iFinD）'!$A$5)/365))</f>
        <v/>
      </c>
      <c r="F471" s="16" t="str">
        <f t="shared" si="43"/>
        <v/>
      </c>
      <c r="G471" s="16" t="str">
        <f>IF(E471="","",E471/MAX(E$5:E471)-1)</f>
        <v/>
      </c>
      <c r="H471" s="13" t="str">
        <f>IF(OR('实盘净值数据(iFinD）'!$A471="",'实盘净值数据(iFinD）'!$B471=""),"",分期持仓明细!$AB$19*SUMPRODUCT(分期持仓明细!$B$19:$Y$19,'实盘净值数据(iFinD）'!$B471:$Y471/'实盘净值数据(iFinD）'!$B$20:$Y$20)*(1-实盘持仓初始配置!$Z$6)^(('实盘净值数据(iFinD）'!$A471-'实盘净值数据(iFinD）'!$A$7)/365))</f>
        <v/>
      </c>
      <c r="I471" s="16" t="str">
        <f t="shared" si="44"/>
        <v/>
      </c>
      <c r="J471" s="16" t="str">
        <f>IF(H471="","",H471/MAX(H$5:H471)-1)</f>
        <v/>
      </c>
      <c r="K471" s="13" t="str">
        <f>IF(OR('实盘净值数据(iFinD）'!$A471="",'实盘净值数据(iFinD）'!$B471="",'实盘净值数据(iFinD）'!$Z471="",'实盘净值数据(iFinD）'!$AA471=""),"",分期持仓明细!$AB$23*(SUMPRODUCT(分期持仓明细!$B$23:$Y$23,'实盘净值数据(iFinD）'!$B471:$Y471/'实盘净值数据(iFinD）'!$B$65:$Y$65)+SUMPRODUCT(分期持仓明细!$AC$23:$AD$23,'实盘净值数据(iFinD）'!$Z471:$AA471/'实盘净值数据(iFinD）'!$Z$65:$AA$65))*(1-实盘持仓初始配置!$Z$7)^(('实盘净值数据(iFinD）'!$A471-'实盘净值数据(iFinD）'!$A$8)/365))</f>
        <v/>
      </c>
      <c r="L471" s="16" t="str">
        <f t="shared" si="45"/>
        <v/>
      </c>
      <c r="M471" s="16" t="str">
        <f>IF(K471="","",K471/MAX(K$5:K471)-1)</f>
        <v/>
      </c>
      <c r="N471" s="13" t="str">
        <f>IF(OR('实盘净值数据(iFinD）'!$A471="",'实盘净值数据(iFinD）'!$B471="",'实盘净值数据(iFinD）'!$Z471="",'实盘净值数据(iFinD）'!$AA471=""),"",分期持仓明细!$AB$24*(SUMPRODUCT(分期持仓明细!$B$24:$Y$24,'实盘净值数据(iFinD）'!$B471:$Y471/'实盘净值数据(iFinD）'!$B$65:$Y$65)+SUMPRODUCT(分期持仓明细!$AC$24:$AD$24,'实盘净值数据(iFinD）'!$Z471:$AA471/'实盘净值数据(iFinD）'!$Z$65:$AA$65))*(1-实盘持仓初始配置!$Z$8)^(('实盘净值数据(iFinD）'!$A471-'实盘净值数据(iFinD）'!$A$5)/365))</f>
        <v/>
      </c>
      <c r="O471" s="16" t="str">
        <f t="shared" si="46"/>
        <v/>
      </c>
      <c r="P471" s="16" t="str">
        <f>IF(N471="","",N471/MAX(N$5:N471)-1)</f>
        <v/>
      </c>
      <c r="Q471" s="13" t="str">
        <f>IF(OR('实盘净值数据(iFinD）'!$A471="",'实盘净值数据(iFinD）'!$B471="",'实盘净值数据(iFinD）'!$Z471="",'实盘净值数据(iFinD）'!$AA471=""),"",分期持仓明细!$AB$25*(SUMPRODUCT(分期持仓明细!$B$25:$Y$25,'实盘净值数据(iFinD）'!$B471:$Y471/'实盘净值数据(iFinD）'!$B$65:$Y$65)+SUMPRODUCT(分期持仓明细!$AC$25:$AD$25,'实盘净值数据(iFinD）'!$Z471:$AA471/'实盘净值数据(iFinD）'!$Z$65:$AA$65))*(1-实盘持仓初始配置!$Z$9)^(('实盘净值数据(iFinD）'!$A471-'实盘净值数据(iFinD）'!$A$8)/365))</f>
        <v/>
      </c>
      <c r="R471" s="16" t="str">
        <f t="shared" si="47"/>
        <v/>
      </c>
      <c r="S471" s="16" t="str">
        <f>IF(Q471="","",Q471/MAX(Q$5:Q471)-1)</f>
        <v/>
      </c>
      <c r="T471" s="13">
        <f>IF(OR('实盘净值数据(iFinD）'!$A471="",'实盘净值数据(iFinD）'!$B471="",'实盘净值数据(iFinD）'!$Z471="",'实盘净值数据(iFinD）'!$AA471="",'实盘净值数据(iFinD）'!$AB471="",'实盘净值数据(iFinD）'!$AL471=""),"",(SUMPRODUCT(分期持仓明细!$B$26:$Y$26,'实盘净值数据(iFinD）'!$B471:$Y471/'实盘净值数据(iFinD）'!$B$69:$Y$69)+SUMPRODUCT(分期持仓明细!$AC$26:$AD$26,'实盘净值数据(iFinD）'!$Z471:$AA471/'实盘净值数据(iFinD）'!$Z$69:$AA$69)+SUMPRODUCT(分期持仓明细!$AE$26:$AO$26,'实盘净值数据(iFinD）'!$AB471:$AL471/'实盘净值数据(iFinD）'!$AB$69:$AL$69))*(1-实盘持仓初始配置!$Z$10)^(('实盘净值数据(iFinD）'!$A471-'实盘净值数据(iFinD）'!$A$69)/365))</f>
        <v/>
      </c>
      <c r="U471" s="16">
        <f>IF(OR(T470="",T471=""),"",T471/T470-1)</f>
        <v/>
      </c>
      <c r="V471" s="16">
        <f>IF(T471="","",T471/MAX(T$5:T471)-1)</f>
        <v/>
      </c>
    </row>
    <row r="472" spans="1:19">
      <c r="A472" s="15" t="str">
        <f>IF('实盘净值数据(iFinD）'!A472="","",'实盘净值数据(iFinD）'!A472)</f>
        <v/>
      </c>
      <c r="B472" s="13" t="str">
        <f>IF(OR('实盘净值数据(iFinD）'!$A472="",'实盘净值数据(iFinD）'!$B472=""),"",分期持仓明细!$AB$17*SUMPRODUCT(分期持仓明细!$B$17:$Y$17,'实盘净值数据(iFinD）'!$B472:$Y472/'实盘净值数据(iFinD）'!$B$20:$Y$20)*(1-实盘持仓初始配置!$Z$4)^(('实盘净值数据(iFinD）'!$A472-'实盘净值数据(iFinD）'!$A$6)/365))</f>
        <v/>
      </c>
      <c r="C472" s="16" t="str">
        <f t="shared" si="42"/>
        <v/>
      </c>
      <c r="D472" s="16" t="str">
        <f>IF(B472="","",B472/MAX(B$5:B472)-1)</f>
        <v/>
      </c>
      <c r="E472" s="13" t="str">
        <f>IF(OR('实盘净值数据(iFinD）'!$A472="",'实盘净值数据(iFinD）'!$B472=""),"",分期持仓明细!$AB$18*SUMPRODUCT(分期持仓明细!$B$18:$Y$18,'实盘净值数据(iFinD）'!$B472:$Y472/'实盘净值数据(iFinD）'!$B$20:$Y$20)*(1-实盘持仓初始配置!$Z$5)^(('实盘净值数据(iFinD）'!$A472-'实盘净值数据(iFinD）'!$A$5)/365))</f>
        <v/>
      </c>
      <c r="F472" s="16" t="str">
        <f t="shared" si="43"/>
        <v/>
      </c>
      <c r="G472" s="16" t="str">
        <f>IF(E472="","",E472/MAX(E$5:E472)-1)</f>
        <v/>
      </c>
      <c r="H472" s="13" t="str">
        <f>IF(OR('实盘净值数据(iFinD）'!$A472="",'实盘净值数据(iFinD）'!$B472=""),"",分期持仓明细!$AB$19*SUMPRODUCT(分期持仓明细!$B$19:$Y$19,'实盘净值数据(iFinD）'!$B472:$Y472/'实盘净值数据(iFinD）'!$B$20:$Y$20)*(1-实盘持仓初始配置!$Z$6)^(('实盘净值数据(iFinD）'!$A472-'实盘净值数据(iFinD）'!$A$7)/365))</f>
        <v/>
      </c>
      <c r="I472" s="16" t="str">
        <f t="shared" si="44"/>
        <v/>
      </c>
      <c r="J472" s="16" t="str">
        <f>IF(H472="","",H472/MAX(H$5:H472)-1)</f>
        <v/>
      </c>
      <c r="K472" s="13" t="str">
        <f>IF(OR('实盘净值数据(iFinD）'!$A472="",'实盘净值数据(iFinD）'!$B472="",'实盘净值数据(iFinD）'!$Z472="",'实盘净值数据(iFinD）'!$AA472=""),"",分期持仓明细!$AB$23*(SUMPRODUCT(分期持仓明细!$B$23:$Y$23,'实盘净值数据(iFinD）'!$B472:$Y472/'实盘净值数据(iFinD）'!$B$65:$Y$65)+SUMPRODUCT(分期持仓明细!$AC$23:$AD$23,'实盘净值数据(iFinD）'!$Z472:$AA472/'实盘净值数据(iFinD）'!$Z$65:$AA$65))*(1-实盘持仓初始配置!$Z$7)^(('实盘净值数据(iFinD）'!$A472-'实盘净值数据(iFinD）'!$A$8)/365))</f>
        <v/>
      </c>
      <c r="L472" s="16" t="str">
        <f t="shared" si="45"/>
        <v/>
      </c>
      <c r="M472" s="16" t="str">
        <f>IF(K472="","",K472/MAX(K$5:K472)-1)</f>
        <v/>
      </c>
      <c r="N472" s="13" t="str">
        <f>IF(OR('实盘净值数据(iFinD）'!$A472="",'实盘净值数据(iFinD）'!$B472="",'实盘净值数据(iFinD）'!$Z472="",'实盘净值数据(iFinD）'!$AA472=""),"",分期持仓明细!$AB$24*(SUMPRODUCT(分期持仓明细!$B$24:$Y$24,'实盘净值数据(iFinD）'!$B472:$Y472/'实盘净值数据(iFinD）'!$B$65:$Y$65)+SUMPRODUCT(分期持仓明细!$AC$24:$AD$24,'实盘净值数据(iFinD）'!$Z472:$AA472/'实盘净值数据(iFinD）'!$Z$65:$AA$65))*(1-实盘持仓初始配置!$Z$8)^(('实盘净值数据(iFinD）'!$A472-'实盘净值数据(iFinD）'!$A$5)/365))</f>
        <v/>
      </c>
      <c r="O472" s="16" t="str">
        <f t="shared" si="46"/>
        <v/>
      </c>
      <c r="P472" s="16" t="str">
        <f>IF(N472="","",N472/MAX(N$5:N472)-1)</f>
        <v/>
      </c>
      <c r="Q472" s="13" t="str">
        <f>IF(OR('实盘净值数据(iFinD）'!$A472="",'实盘净值数据(iFinD）'!$B472="",'实盘净值数据(iFinD）'!$Z472="",'实盘净值数据(iFinD）'!$AA472=""),"",分期持仓明细!$AB$25*(SUMPRODUCT(分期持仓明细!$B$25:$Y$25,'实盘净值数据(iFinD）'!$B472:$Y472/'实盘净值数据(iFinD）'!$B$65:$Y$65)+SUMPRODUCT(分期持仓明细!$AC$25:$AD$25,'实盘净值数据(iFinD）'!$Z472:$AA472/'实盘净值数据(iFinD）'!$Z$65:$AA$65))*(1-实盘持仓初始配置!$Z$9)^(('实盘净值数据(iFinD）'!$A472-'实盘净值数据(iFinD）'!$A$8)/365))</f>
        <v/>
      </c>
      <c r="R472" s="16" t="str">
        <f t="shared" si="47"/>
        <v/>
      </c>
      <c r="S472" s="16" t="str">
        <f>IF(Q472="","",Q472/MAX(Q$5:Q472)-1)</f>
        <v/>
      </c>
      <c r="T472" s="13">
        <f>IF(OR('实盘净值数据(iFinD）'!$A472="",'实盘净值数据(iFinD）'!$B472="",'实盘净值数据(iFinD）'!$Z472="",'实盘净值数据(iFinD）'!$AA472="",'实盘净值数据(iFinD）'!$AB472="",'实盘净值数据(iFinD）'!$AL472=""),"",(SUMPRODUCT(分期持仓明细!$B$26:$Y$26,'实盘净值数据(iFinD）'!$B472:$Y472/'实盘净值数据(iFinD）'!$B$69:$Y$69)+SUMPRODUCT(分期持仓明细!$AC$26:$AD$26,'实盘净值数据(iFinD）'!$Z472:$AA472/'实盘净值数据(iFinD）'!$Z$69:$AA$69)+SUMPRODUCT(分期持仓明细!$AE$26:$AO$26,'实盘净值数据(iFinD）'!$AB472:$AL472/'实盘净值数据(iFinD）'!$AB$69:$AL$69))*(1-实盘持仓初始配置!$Z$10)^(('实盘净值数据(iFinD）'!$A472-'实盘净值数据(iFinD）'!$A$69)/365))</f>
        <v/>
      </c>
      <c r="U472" s="16">
        <f>IF(OR(T471="",T472=""),"",T472/T471-1)</f>
        <v/>
      </c>
      <c r="V472" s="16">
        <f>IF(T472="","",T472/MAX(T$5:T472)-1)</f>
        <v/>
      </c>
    </row>
    <row r="473" spans="1:19">
      <c r="A473" s="15" t="str">
        <f>IF('实盘净值数据(iFinD）'!A473="","",'实盘净值数据(iFinD）'!A473)</f>
        <v/>
      </c>
      <c r="B473" s="13" t="str">
        <f>IF(OR('实盘净值数据(iFinD）'!$A473="",'实盘净值数据(iFinD）'!$B473=""),"",分期持仓明细!$AB$17*SUMPRODUCT(分期持仓明细!$B$17:$Y$17,'实盘净值数据(iFinD）'!$B473:$Y473/'实盘净值数据(iFinD）'!$B$20:$Y$20)*(1-实盘持仓初始配置!$Z$4)^(('实盘净值数据(iFinD）'!$A473-'实盘净值数据(iFinD）'!$A$6)/365))</f>
        <v/>
      </c>
      <c r="C473" s="16" t="str">
        <f t="shared" si="42"/>
        <v/>
      </c>
      <c r="D473" s="16" t="str">
        <f>IF(B473="","",B473/MAX(B$5:B473)-1)</f>
        <v/>
      </c>
      <c r="E473" s="13" t="str">
        <f>IF(OR('实盘净值数据(iFinD）'!$A473="",'实盘净值数据(iFinD）'!$B473=""),"",分期持仓明细!$AB$18*SUMPRODUCT(分期持仓明细!$B$18:$Y$18,'实盘净值数据(iFinD）'!$B473:$Y473/'实盘净值数据(iFinD）'!$B$20:$Y$20)*(1-实盘持仓初始配置!$Z$5)^(('实盘净值数据(iFinD）'!$A473-'实盘净值数据(iFinD）'!$A$5)/365))</f>
        <v/>
      </c>
      <c r="F473" s="16" t="str">
        <f t="shared" si="43"/>
        <v/>
      </c>
      <c r="G473" s="16" t="str">
        <f>IF(E473="","",E473/MAX(E$5:E473)-1)</f>
        <v/>
      </c>
      <c r="H473" s="13" t="str">
        <f>IF(OR('实盘净值数据(iFinD）'!$A473="",'实盘净值数据(iFinD）'!$B473=""),"",分期持仓明细!$AB$19*SUMPRODUCT(分期持仓明细!$B$19:$Y$19,'实盘净值数据(iFinD）'!$B473:$Y473/'实盘净值数据(iFinD）'!$B$20:$Y$20)*(1-实盘持仓初始配置!$Z$6)^(('实盘净值数据(iFinD）'!$A473-'实盘净值数据(iFinD）'!$A$7)/365))</f>
        <v/>
      </c>
      <c r="I473" s="16" t="str">
        <f t="shared" si="44"/>
        <v/>
      </c>
      <c r="J473" s="16" t="str">
        <f>IF(H473="","",H473/MAX(H$5:H473)-1)</f>
        <v/>
      </c>
      <c r="K473" s="13" t="str">
        <f>IF(OR('实盘净值数据(iFinD）'!$A473="",'实盘净值数据(iFinD）'!$B473="",'实盘净值数据(iFinD）'!$Z473="",'实盘净值数据(iFinD）'!$AA473=""),"",分期持仓明细!$AB$23*(SUMPRODUCT(分期持仓明细!$B$23:$Y$23,'实盘净值数据(iFinD）'!$B473:$Y473/'实盘净值数据(iFinD）'!$B$65:$Y$65)+SUMPRODUCT(分期持仓明细!$AC$23:$AD$23,'实盘净值数据(iFinD）'!$Z473:$AA473/'实盘净值数据(iFinD）'!$Z$65:$AA$65))*(1-实盘持仓初始配置!$Z$7)^(('实盘净值数据(iFinD）'!$A473-'实盘净值数据(iFinD）'!$A$8)/365))</f>
        <v/>
      </c>
      <c r="L473" s="16" t="str">
        <f t="shared" si="45"/>
        <v/>
      </c>
      <c r="M473" s="16" t="str">
        <f>IF(K473="","",K473/MAX(K$5:K473)-1)</f>
        <v/>
      </c>
      <c r="N473" s="13" t="str">
        <f>IF(OR('实盘净值数据(iFinD）'!$A473="",'实盘净值数据(iFinD）'!$B473="",'实盘净值数据(iFinD）'!$Z473="",'实盘净值数据(iFinD）'!$AA473=""),"",分期持仓明细!$AB$24*(SUMPRODUCT(分期持仓明细!$B$24:$Y$24,'实盘净值数据(iFinD）'!$B473:$Y473/'实盘净值数据(iFinD）'!$B$65:$Y$65)+SUMPRODUCT(分期持仓明细!$AC$24:$AD$24,'实盘净值数据(iFinD）'!$Z473:$AA473/'实盘净值数据(iFinD）'!$Z$65:$AA$65))*(1-实盘持仓初始配置!$Z$8)^(('实盘净值数据(iFinD）'!$A473-'实盘净值数据(iFinD）'!$A$5)/365))</f>
        <v/>
      </c>
      <c r="O473" s="16" t="str">
        <f t="shared" si="46"/>
        <v/>
      </c>
      <c r="P473" s="16" t="str">
        <f>IF(N473="","",N473/MAX(N$5:N473)-1)</f>
        <v/>
      </c>
      <c r="Q473" s="13" t="str">
        <f>IF(OR('实盘净值数据(iFinD）'!$A473="",'实盘净值数据(iFinD）'!$B473="",'实盘净值数据(iFinD）'!$Z473="",'实盘净值数据(iFinD）'!$AA473=""),"",分期持仓明细!$AB$25*(SUMPRODUCT(分期持仓明细!$B$25:$Y$25,'实盘净值数据(iFinD）'!$B473:$Y473/'实盘净值数据(iFinD）'!$B$65:$Y$65)+SUMPRODUCT(分期持仓明细!$AC$25:$AD$25,'实盘净值数据(iFinD）'!$Z473:$AA473/'实盘净值数据(iFinD）'!$Z$65:$AA$65))*(1-实盘持仓初始配置!$Z$9)^(('实盘净值数据(iFinD）'!$A473-'实盘净值数据(iFinD）'!$A$8)/365))</f>
        <v/>
      </c>
      <c r="R473" s="16" t="str">
        <f t="shared" si="47"/>
        <v/>
      </c>
      <c r="S473" s="16" t="str">
        <f>IF(Q473="","",Q473/MAX(Q$5:Q473)-1)</f>
        <v/>
      </c>
      <c r="T473" s="13">
        <f>IF(OR('实盘净值数据(iFinD）'!$A473="",'实盘净值数据(iFinD）'!$B473="",'实盘净值数据(iFinD）'!$Z473="",'实盘净值数据(iFinD）'!$AA473="",'实盘净值数据(iFinD）'!$AB473="",'实盘净值数据(iFinD）'!$AL473=""),"",(SUMPRODUCT(分期持仓明细!$B$26:$Y$26,'实盘净值数据(iFinD）'!$B473:$Y473/'实盘净值数据(iFinD）'!$B$69:$Y$69)+SUMPRODUCT(分期持仓明细!$AC$26:$AD$26,'实盘净值数据(iFinD）'!$Z473:$AA473/'实盘净值数据(iFinD）'!$Z$69:$AA$69)+SUMPRODUCT(分期持仓明细!$AE$26:$AO$26,'实盘净值数据(iFinD）'!$AB473:$AL473/'实盘净值数据(iFinD）'!$AB$69:$AL$69))*(1-实盘持仓初始配置!$Z$10)^(('实盘净值数据(iFinD）'!$A473-'实盘净值数据(iFinD）'!$A$69)/365))</f>
        <v/>
      </c>
      <c r="U473" s="16">
        <f>IF(OR(T472="",T473=""),"",T473/T472-1)</f>
        <v/>
      </c>
      <c r="V473" s="16">
        <f>IF(T473="","",T473/MAX(T$5:T473)-1)</f>
        <v/>
      </c>
    </row>
    <row r="474" spans="1:19">
      <c r="A474" s="15" t="str">
        <f>IF('实盘净值数据(iFinD）'!A474="","",'实盘净值数据(iFinD）'!A474)</f>
        <v/>
      </c>
      <c r="B474" s="13" t="str">
        <f>IF(OR('实盘净值数据(iFinD）'!$A474="",'实盘净值数据(iFinD）'!$B474=""),"",分期持仓明细!$AB$17*SUMPRODUCT(分期持仓明细!$B$17:$Y$17,'实盘净值数据(iFinD）'!$B474:$Y474/'实盘净值数据(iFinD）'!$B$20:$Y$20)*(1-实盘持仓初始配置!$Z$4)^(('实盘净值数据(iFinD）'!$A474-'实盘净值数据(iFinD）'!$A$6)/365))</f>
        <v/>
      </c>
      <c r="C474" s="16" t="str">
        <f t="shared" si="42"/>
        <v/>
      </c>
      <c r="D474" s="16" t="str">
        <f>IF(B474="","",B474/MAX(B$5:B474)-1)</f>
        <v/>
      </c>
      <c r="E474" s="13" t="str">
        <f>IF(OR('实盘净值数据(iFinD）'!$A474="",'实盘净值数据(iFinD）'!$B474=""),"",分期持仓明细!$AB$18*SUMPRODUCT(分期持仓明细!$B$18:$Y$18,'实盘净值数据(iFinD）'!$B474:$Y474/'实盘净值数据(iFinD）'!$B$20:$Y$20)*(1-实盘持仓初始配置!$Z$5)^(('实盘净值数据(iFinD）'!$A474-'实盘净值数据(iFinD）'!$A$5)/365))</f>
        <v/>
      </c>
      <c r="F474" s="16" t="str">
        <f t="shared" si="43"/>
        <v/>
      </c>
      <c r="G474" s="16" t="str">
        <f>IF(E474="","",E474/MAX(E$5:E474)-1)</f>
        <v/>
      </c>
      <c r="H474" s="13" t="str">
        <f>IF(OR('实盘净值数据(iFinD）'!$A474="",'实盘净值数据(iFinD）'!$B474=""),"",分期持仓明细!$AB$19*SUMPRODUCT(分期持仓明细!$B$19:$Y$19,'实盘净值数据(iFinD）'!$B474:$Y474/'实盘净值数据(iFinD）'!$B$20:$Y$20)*(1-实盘持仓初始配置!$Z$6)^(('实盘净值数据(iFinD）'!$A474-'实盘净值数据(iFinD）'!$A$7)/365))</f>
        <v/>
      </c>
      <c r="I474" s="16" t="str">
        <f t="shared" si="44"/>
        <v/>
      </c>
      <c r="J474" s="16" t="str">
        <f>IF(H474="","",H474/MAX(H$5:H474)-1)</f>
        <v/>
      </c>
      <c r="K474" s="13" t="str">
        <f>IF(OR('实盘净值数据(iFinD）'!$A474="",'实盘净值数据(iFinD）'!$B474="",'实盘净值数据(iFinD）'!$Z474="",'实盘净值数据(iFinD）'!$AA474=""),"",分期持仓明细!$AB$23*(SUMPRODUCT(分期持仓明细!$B$23:$Y$23,'实盘净值数据(iFinD）'!$B474:$Y474/'实盘净值数据(iFinD）'!$B$65:$Y$65)+SUMPRODUCT(分期持仓明细!$AC$23:$AD$23,'实盘净值数据(iFinD）'!$Z474:$AA474/'实盘净值数据(iFinD）'!$Z$65:$AA$65))*(1-实盘持仓初始配置!$Z$7)^(('实盘净值数据(iFinD）'!$A474-'实盘净值数据(iFinD）'!$A$8)/365))</f>
        <v/>
      </c>
      <c r="L474" s="16" t="str">
        <f t="shared" si="45"/>
        <v/>
      </c>
      <c r="M474" s="16" t="str">
        <f>IF(K474="","",K474/MAX(K$5:K474)-1)</f>
        <v/>
      </c>
      <c r="N474" s="13" t="str">
        <f>IF(OR('实盘净值数据(iFinD）'!$A474="",'实盘净值数据(iFinD）'!$B474="",'实盘净值数据(iFinD）'!$Z474="",'实盘净值数据(iFinD）'!$AA474=""),"",分期持仓明细!$AB$24*(SUMPRODUCT(分期持仓明细!$B$24:$Y$24,'实盘净值数据(iFinD）'!$B474:$Y474/'实盘净值数据(iFinD）'!$B$65:$Y$65)+SUMPRODUCT(分期持仓明细!$AC$24:$AD$24,'实盘净值数据(iFinD）'!$Z474:$AA474/'实盘净值数据(iFinD）'!$Z$65:$AA$65))*(1-实盘持仓初始配置!$Z$8)^(('实盘净值数据(iFinD）'!$A474-'实盘净值数据(iFinD）'!$A$5)/365))</f>
        <v/>
      </c>
      <c r="O474" s="16" t="str">
        <f t="shared" si="46"/>
        <v/>
      </c>
      <c r="P474" s="16" t="str">
        <f>IF(N474="","",N474/MAX(N$5:N474)-1)</f>
        <v/>
      </c>
      <c r="Q474" s="13" t="str">
        <f>IF(OR('实盘净值数据(iFinD）'!$A474="",'实盘净值数据(iFinD）'!$B474="",'实盘净值数据(iFinD）'!$Z474="",'实盘净值数据(iFinD）'!$AA474=""),"",分期持仓明细!$AB$25*(SUMPRODUCT(分期持仓明细!$B$25:$Y$25,'实盘净值数据(iFinD）'!$B474:$Y474/'实盘净值数据(iFinD）'!$B$65:$Y$65)+SUMPRODUCT(分期持仓明细!$AC$25:$AD$25,'实盘净值数据(iFinD）'!$Z474:$AA474/'实盘净值数据(iFinD）'!$Z$65:$AA$65))*(1-实盘持仓初始配置!$Z$9)^(('实盘净值数据(iFinD）'!$A474-'实盘净值数据(iFinD）'!$A$8)/365))</f>
        <v/>
      </c>
      <c r="R474" s="16" t="str">
        <f t="shared" si="47"/>
        <v/>
      </c>
      <c r="S474" s="16" t="str">
        <f>IF(Q474="","",Q474/MAX(Q$5:Q474)-1)</f>
        <v/>
      </c>
      <c r="T474" s="13">
        <f>IF(OR('实盘净值数据(iFinD）'!$A474="",'实盘净值数据(iFinD）'!$B474="",'实盘净值数据(iFinD）'!$Z474="",'实盘净值数据(iFinD）'!$AA474="",'实盘净值数据(iFinD）'!$AB474="",'实盘净值数据(iFinD）'!$AL474=""),"",(SUMPRODUCT(分期持仓明细!$B$26:$Y$26,'实盘净值数据(iFinD）'!$B474:$Y474/'实盘净值数据(iFinD）'!$B$69:$Y$69)+SUMPRODUCT(分期持仓明细!$AC$26:$AD$26,'实盘净值数据(iFinD）'!$Z474:$AA474/'实盘净值数据(iFinD）'!$Z$69:$AA$69)+SUMPRODUCT(分期持仓明细!$AE$26:$AO$26,'实盘净值数据(iFinD）'!$AB474:$AL474/'实盘净值数据(iFinD）'!$AB$69:$AL$69))*(1-实盘持仓初始配置!$Z$10)^(('实盘净值数据(iFinD）'!$A474-'实盘净值数据(iFinD）'!$A$69)/365))</f>
        <v/>
      </c>
      <c r="U474" s="16">
        <f>IF(OR(T473="",T474=""),"",T474/T473-1)</f>
        <v/>
      </c>
      <c r="V474" s="16">
        <f>IF(T474="","",T474/MAX(T$5:T474)-1)</f>
        <v/>
      </c>
    </row>
    <row r="475" spans="1:19">
      <c r="A475" s="15" t="str">
        <f>IF('实盘净值数据(iFinD）'!A475="","",'实盘净值数据(iFinD）'!A475)</f>
        <v/>
      </c>
      <c r="B475" s="13" t="str">
        <f>IF(OR('实盘净值数据(iFinD）'!$A475="",'实盘净值数据(iFinD）'!$B475=""),"",分期持仓明细!$AB$17*SUMPRODUCT(分期持仓明细!$B$17:$Y$17,'实盘净值数据(iFinD）'!$B475:$Y475/'实盘净值数据(iFinD）'!$B$20:$Y$20)*(1-实盘持仓初始配置!$Z$4)^(('实盘净值数据(iFinD）'!$A475-'实盘净值数据(iFinD）'!$A$6)/365))</f>
        <v/>
      </c>
      <c r="C475" s="16" t="str">
        <f t="shared" si="42"/>
        <v/>
      </c>
      <c r="D475" s="16" t="str">
        <f>IF(B475="","",B475/MAX(B$5:B475)-1)</f>
        <v/>
      </c>
      <c r="E475" s="13" t="str">
        <f>IF(OR('实盘净值数据(iFinD）'!$A475="",'实盘净值数据(iFinD）'!$B475=""),"",分期持仓明细!$AB$18*SUMPRODUCT(分期持仓明细!$B$18:$Y$18,'实盘净值数据(iFinD）'!$B475:$Y475/'实盘净值数据(iFinD）'!$B$20:$Y$20)*(1-实盘持仓初始配置!$Z$5)^(('实盘净值数据(iFinD）'!$A475-'实盘净值数据(iFinD）'!$A$5)/365))</f>
        <v/>
      </c>
      <c r="F475" s="16" t="str">
        <f t="shared" si="43"/>
        <v/>
      </c>
      <c r="G475" s="16" t="str">
        <f>IF(E475="","",E475/MAX(E$5:E475)-1)</f>
        <v/>
      </c>
      <c r="H475" s="13" t="str">
        <f>IF(OR('实盘净值数据(iFinD）'!$A475="",'实盘净值数据(iFinD）'!$B475=""),"",分期持仓明细!$AB$19*SUMPRODUCT(分期持仓明细!$B$19:$Y$19,'实盘净值数据(iFinD）'!$B475:$Y475/'实盘净值数据(iFinD）'!$B$20:$Y$20)*(1-实盘持仓初始配置!$Z$6)^(('实盘净值数据(iFinD）'!$A475-'实盘净值数据(iFinD）'!$A$7)/365))</f>
        <v/>
      </c>
      <c r="I475" s="16" t="str">
        <f t="shared" si="44"/>
        <v/>
      </c>
      <c r="J475" s="16" t="str">
        <f>IF(H475="","",H475/MAX(H$5:H475)-1)</f>
        <v/>
      </c>
      <c r="K475" s="13" t="str">
        <f>IF(OR('实盘净值数据(iFinD）'!$A475="",'实盘净值数据(iFinD）'!$B475="",'实盘净值数据(iFinD）'!$Z475="",'实盘净值数据(iFinD）'!$AA475=""),"",分期持仓明细!$AB$23*(SUMPRODUCT(分期持仓明细!$B$23:$Y$23,'实盘净值数据(iFinD）'!$B475:$Y475/'实盘净值数据(iFinD）'!$B$65:$Y$65)+SUMPRODUCT(分期持仓明细!$AC$23:$AD$23,'实盘净值数据(iFinD）'!$Z475:$AA475/'实盘净值数据(iFinD）'!$Z$65:$AA$65))*(1-实盘持仓初始配置!$Z$7)^(('实盘净值数据(iFinD）'!$A475-'实盘净值数据(iFinD）'!$A$8)/365))</f>
        <v/>
      </c>
      <c r="L475" s="16" t="str">
        <f t="shared" si="45"/>
        <v/>
      </c>
      <c r="M475" s="16" t="str">
        <f>IF(K475="","",K475/MAX(K$5:K475)-1)</f>
        <v/>
      </c>
      <c r="N475" s="13" t="str">
        <f>IF(OR('实盘净值数据(iFinD）'!$A475="",'实盘净值数据(iFinD）'!$B475="",'实盘净值数据(iFinD）'!$Z475="",'实盘净值数据(iFinD）'!$AA475=""),"",分期持仓明细!$AB$24*(SUMPRODUCT(分期持仓明细!$B$24:$Y$24,'实盘净值数据(iFinD）'!$B475:$Y475/'实盘净值数据(iFinD）'!$B$65:$Y$65)+SUMPRODUCT(分期持仓明细!$AC$24:$AD$24,'实盘净值数据(iFinD）'!$Z475:$AA475/'实盘净值数据(iFinD）'!$Z$65:$AA$65))*(1-实盘持仓初始配置!$Z$8)^(('实盘净值数据(iFinD）'!$A475-'实盘净值数据(iFinD）'!$A$5)/365))</f>
        <v/>
      </c>
      <c r="O475" s="16" t="str">
        <f t="shared" si="46"/>
        <v/>
      </c>
      <c r="P475" s="16" t="str">
        <f>IF(N475="","",N475/MAX(N$5:N475)-1)</f>
        <v/>
      </c>
      <c r="Q475" s="13" t="str">
        <f>IF(OR('实盘净值数据(iFinD）'!$A475="",'实盘净值数据(iFinD）'!$B475="",'实盘净值数据(iFinD）'!$Z475="",'实盘净值数据(iFinD）'!$AA475=""),"",分期持仓明细!$AB$25*(SUMPRODUCT(分期持仓明细!$B$25:$Y$25,'实盘净值数据(iFinD）'!$B475:$Y475/'实盘净值数据(iFinD）'!$B$65:$Y$65)+SUMPRODUCT(分期持仓明细!$AC$25:$AD$25,'实盘净值数据(iFinD）'!$Z475:$AA475/'实盘净值数据(iFinD）'!$Z$65:$AA$65))*(1-实盘持仓初始配置!$Z$9)^(('实盘净值数据(iFinD）'!$A475-'实盘净值数据(iFinD）'!$A$8)/365))</f>
        <v/>
      </c>
      <c r="R475" s="16" t="str">
        <f t="shared" si="47"/>
        <v/>
      </c>
      <c r="S475" s="16" t="str">
        <f>IF(Q475="","",Q475/MAX(Q$5:Q475)-1)</f>
        <v/>
      </c>
      <c r="T475" s="13">
        <f>IF(OR('实盘净值数据(iFinD）'!$A475="",'实盘净值数据(iFinD）'!$B475="",'实盘净值数据(iFinD）'!$Z475="",'实盘净值数据(iFinD）'!$AA475="",'实盘净值数据(iFinD）'!$AB475="",'实盘净值数据(iFinD）'!$AL475=""),"",(SUMPRODUCT(分期持仓明细!$B$26:$Y$26,'实盘净值数据(iFinD）'!$B475:$Y475/'实盘净值数据(iFinD）'!$B$69:$Y$69)+SUMPRODUCT(分期持仓明细!$AC$26:$AD$26,'实盘净值数据(iFinD）'!$Z475:$AA475/'实盘净值数据(iFinD）'!$Z$69:$AA$69)+SUMPRODUCT(分期持仓明细!$AE$26:$AO$26,'实盘净值数据(iFinD）'!$AB475:$AL475/'实盘净值数据(iFinD）'!$AB$69:$AL$69))*(1-实盘持仓初始配置!$Z$10)^(('实盘净值数据(iFinD）'!$A475-'实盘净值数据(iFinD）'!$A$69)/365))</f>
        <v/>
      </c>
      <c r="U475" s="16">
        <f>IF(OR(T474="",T475=""),"",T475/T474-1)</f>
        <v/>
      </c>
      <c r="V475" s="16">
        <f>IF(T475="","",T475/MAX(T$5:T475)-1)</f>
        <v/>
      </c>
    </row>
    <row r="476" spans="1:19">
      <c r="A476" s="15" t="str">
        <f>IF('实盘净值数据(iFinD）'!A476="","",'实盘净值数据(iFinD）'!A476)</f>
        <v/>
      </c>
      <c r="B476" s="13" t="str">
        <f>IF(OR('实盘净值数据(iFinD）'!$A476="",'实盘净值数据(iFinD）'!$B476=""),"",分期持仓明细!$AB$17*SUMPRODUCT(分期持仓明细!$B$17:$Y$17,'实盘净值数据(iFinD）'!$B476:$Y476/'实盘净值数据(iFinD）'!$B$20:$Y$20)*(1-实盘持仓初始配置!$Z$4)^(('实盘净值数据(iFinD）'!$A476-'实盘净值数据(iFinD）'!$A$6)/365))</f>
        <v/>
      </c>
      <c r="C476" s="16" t="str">
        <f t="shared" si="42"/>
        <v/>
      </c>
      <c r="D476" s="16" t="str">
        <f>IF(B476="","",B476/MAX(B$5:B476)-1)</f>
        <v/>
      </c>
      <c r="E476" s="13" t="str">
        <f>IF(OR('实盘净值数据(iFinD）'!$A476="",'实盘净值数据(iFinD）'!$B476=""),"",分期持仓明细!$AB$18*SUMPRODUCT(分期持仓明细!$B$18:$Y$18,'实盘净值数据(iFinD）'!$B476:$Y476/'实盘净值数据(iFinD）'!$B$20:$Y$20)*(1-实盘持仓初始配置!$Z$5)^(('实盘净值数据(iFinD）'!$A476-'实盘净值数据(iFinD）'!$A$5)/365))</f>
        <v/>
      </c>
      <c r="F476" s="16" t="str">
        <f t="shared" si="43"/>
        <v/>
      </c>
      <c r="G476" s="16" t="str">
        <f>IF(E476="","",E476/MAX(E$5:E476)-1)</f>
        <v/>
      </c>
      <c r="H476" s="13" t="str">
        <f>IF(OR('实盘净值数据(iFinD）'!$A476="",'实盘净值数据(iFinD）'!$B476=""),"",分期持仓明细!$AB$19*SUMPRODUCT(分期持仓明细!$B$19:$Y$19,'实盘净值数据(iFinD）'!$B476:$Y476/'实盘净值数据(iFinD）'!$B$20:$Y$20)*(1-实盘持仓初始配置!$Z$6)^(('实盘净值数据(iFinD）'!$A476-'实盘净值数据(iFinD）'!$A$7)/365))</f>
        <v/>
      </c>
      <c r="I476" s="16" t="str">
        <f t="shared" si="44"/>
        <v/>
      </c>
      <c r="J476" s="16" t="str">
        <f>IF(H476="","",H476/MAX(H$5:H476)-1)</f>
        <v/>
      </c>
      <c r="K476" s="13" t="str">
        <f>IF(OR('实盘净值数据(iFinD）'!$A476="",'实盘净值数据(iFinD）'!$B476="",'实盘净值数据(iFinD）'!$Z476="",'实盘净值数据(iFinD）'!$AA476=""),"",分期持仓明细!$AB$23*(SUMPRODUCT(分期持仓明细!$B$23:$Y$23,'实盘净值数据(iFinD）'!$B476:$Y476/'实盘净值数据(iFinD）'!$B$65:$Y$65)+SUMPRODUCT(分期持仓明细!$AC$23:$AD$23,'实盘净值数据(iFinD）'!$Z476:$AA476/'实盘净值数据(iFinD）'!$Z$65:$AA$65))*(1-实盘持仓初始配置!$Z$7)^(('实盘净值数据(iFinD）'!$A476-'实盘净值数据(iFinD）'!$A$8)/365))</f>
        <v/>
      </c>
      <c r="L476" s="16" t="str">
        <f t="shared" si="45"/>
        <v/>
      </c>
      <c r="M476" s="16" t="str">
        <f>IF(K476="","",K476/MAX(K$5:K476)-1)</f>
        <v/>
      </c>
      <c r="N476" s="13" t="str">
        <f>IF(OR('实盘净值数据(iFinD）'!$A476="",'实盘净值数据(iFinD）'!$B476="",'实盘净值数据(iFinD）'!$Z476="",'实盘净值数据(iFinD）'!$AA476=""),"",分期持仓明细!$AB$24*(SUMPRODUCT(分期持仓明细!$B$24:$Y$24,'实盘净值数据(iFinD）'!$B476:$Y476/'实盘净值数据(iFinD）'!$B$65:$Y$65)+SUMPRODUCT(分期持仓明细!$AC$24:$AD$24,'实盘净值数据(iFinD）'!$Z476:$AA476/'实盘净值数据(iFinD）'!$Z$65:$AA$65))*(1-实盘持仓初始配置!$Z$8)^(('实盘净值数据(iFinD）'!$A476-'实盘净值数据(iFinD）'!$A$5)/365))</f>
        <v/>
      </c>
      <c r="O476" s="16" t="str">
        <f t="shared" si="46"/>
        <v/>
      </c>
      <c r="P476" s="16" t="str">
        <f>IF(N476="","",N476/MAX(N$5:N476)-1)</f>
        <v/>
      </c>
      <c r="Q476" s="13" t="str">
        <f>IF(OR('实盘净值数据(iFinD）'!$A476="",'实盘净值数据(iFinD）'!$B476="",'实盘净值数据(iFinD）'!$Z476="",'实盘净值数据(iFinD）'!$AA476=""),"",分期持仓明细!$AB$25*(SUMPRODUCT(分期持仓明细!$B$25:$Y$25,'实盘净值数据(iFinD）'!$B476:$Y476/'实盘净值数据(iFinD）'!$B$65:$Y$65)+SUMPRODUCT(分期持仓明细!$AC$25:$AD$25,'实盘净值数据(iFinD）'!$Z476:$AA476/'实盘净值数据(iFinD）'!$Z$65:$AA$65))*(1-实盘持仓初始配置!$Z$9)^(('实盘净值数据(iFinD）'!$A476-'实盘净值数据(iFinD）'!$A$8)/365))</f>
        <v/>
      </c>
      <c r="R476" s="16" t="str">
        <f t="shared" si="47"/>
        <v/>
      </c>
      <c r="S476" s="16" t="str">
        <f>IF(Q476="","",Q476/MAX(Q$5:Q476)-1)</f>
        <v/>
      </c>
      <c r="T476" s="13">
        <f>IF(OR('实盘净值数据(iFinD）'!$A476="",'实盘净值数据(iFinD）'!$B476="",'实盘净值数据(iFinD）'!$Z476="",'实盘净值数据(iFinD）'!$AA476="",'实盘净值数据(iFinD）'!$AB476="",'实盘净值数据(iFinD）'!$AL476=""),"",(SUMPRODUCT(分期持仓明细!$B$26:$Y$26,'实盘净值数据(iFinD）'!$B476:$Y476/'实盘净值数据(iFinD）'!$B$69:$Y$69)+SUMPRODUCT(分期持仓明细!$AC$26:$AD$26,'实盘净值数据(iFinD）'!$Z476:$AA476/'实盘净值数据(iFinD）'!$Z$69:$AA$69)+SUMPRODUCT(分期持仓明细!$AE$26:$AO$26,'实盘净值数据(iFinD）'!$AB476:$AL476/'实盘净值数据(iFinD）'!$AB$69:$AL$69))*(1-实盘持仓初始配置!$Z$10)^(('实盘净值数据(iFinD）'!$A476-'实盘净值数据(iFinD）'!$A$69)/365))</f>
        <v/>
      </c>
      <c r="U476" s="16">
        <f>IF(OR(T475="",T476=""),"",T476/T475-1)</f>
        <v/>
      </c>
      <c r="V476" s="16">
        <f>IF(T476="","",T476/MAX(T$5:T476)-1)</f>
        <v/>
      </c>
    </row>
    <row r="477" spans="1:19">
      <c r="A477" s="15" t="str">
        <f>IF('实盘净值数据(iFinD）'!A477="","",'实盘净值数据(iFinD）'!A477)</f>
        <v/>
      </c>
      <c r="B477" s="13" t="str">
        <f>IF(OR('实盘净值数据(iFinD）'!$A477="",'实盘净值数据(iFinD）'!$B477=""),"",分期持仓明细!$AB$17*SUMPRODUCT(分期持仓明细!$B$17:$Y$17,'实盘净值数据(iFinD）'!$B477:$Y477/'实盘净值数据(iFinD）'!$B$20:$Y$20)*(1-实盘持仓初始配置!$Z$4)^(('实盘净值数据(iFinD）'!$A477-'实盘净值数据(iFinD）'!$A$6)/365))</f>
        <v/>
      </c>
      <c r="C477" s="16" t="str">
        <f t="shared" si="42"/>
        <v/>
      </c>
      <c r="D477" s="16" t="str">
        <f>IF(B477="","",B477/MAX(B$5:B477)-1)</f>
        <v/>
      </c>
      <c r="E477" s="13" t="str">
        <f>IF(OR('实盘净值数据(iFinD）'!$A477="",'实盘净值数据(iFinD）'!$B477=""),"",分期持仓明细!$AB$18*SUMPRODUCT(分期持仓明细!$B$18:$Y$18,'实盘净值数据(iFinD）'!$B477:$Y477/'实盘净值数据(iFinD）'!$B$20:$Y$20)*(1-实盘持仓初始配置!$Z$5)^(('实盘净值数据(iFinD）'!$A477-'实盘净值数据(iFinD）'!$A$5)/365))</f>
        <v/>
      </c>
      <c r="F477" s="16" t="str">
        <f t="shared" si="43"/>
        <v/>
      </c>
      <c r="G477" s="16" t="str">
        <f>IF(E477="","",E477/MAX(E$5:E477)-1)</f>
        <v/>
      </c>
      <c r="H477" s="13" t="str">
        <f>IF(OR('实盘净值数据(iFinD）'!$A477="",'实盘净值数据(iFinD）'!$B477=""),"",分期持仓明细!$AB$19*SUMPRODUCT(分期持仓明细!$B$19:$Y$19,'实盘净值数据(iFinD）'!$B477:$Y477/'实盘净值数据(iFinD）'!$B$20:$Y$20)*(1-实盘持仓初始配置!$Z$6)^(('实盘净值数据(iFinD）'!$A477-'实盘净值数据(iFinD）'!$A$7)/365))</f>
        <v/>
      </c>
      <c r="I477" s="16" t="str">
        <f t="shared" si="44"/>
        <v/>
      </c>
      <c r="J477" s="16" t="str">
        <f>IF(H477="","",H477/MAX(H$5:H477)-1)</f>
        <v/>
      </c>
      <c r="K477" s="13" t="str">
        <f>IF(OR('实盘净值数据(iFinD）'!$A477="",'实盘净值数据(iFinD）'!$B477="",'实盘净值数据(iFinD）'!$Z477="",'实盘净值数据(iFinD）'!$AA477=""),"",分期持仓明细!$AB$23*(SUMPRODUCT(分期持仓明细!$B$23:$Y$23,'实盘净值数据(iFinD）'!$B477:$Y477/'实盘净值数据(iFinD）'!$B$65:$Y$65)+SUMPRODUCT(分期持仓明细!$AC$23:$AD$23,'实盘净值数据(iFinD）'!$Z477:$AA477/'实盘净值数据(iFinD）'!$Z$65:$AA$65))*(1-实盘持仓初始配置!$Z$7)^(('实盘净值数据(iFinD）'!$A477-'实盘净值数据(iFinD）'!$A$8)/365))</f>
        <v/>
      </c>
      <c r="L477" s="16" t="str">
        <f t="shared" si="45"/>
        <v/>
      </c>
      <c r="M477" s="16" t="str">
        <f>IF(K477="","",K477/MAX(K$5:K477)-1)</f>
        <v/>
      </c>
      <c r="N477" s="13" t="str">
        <f>IF(OR('实盘净值数据(iFinD）'!$A477="",'实盘净值数据(iFinD）'!$B477="",'实盘净值数据(iFinD）'!$Z477="",'实盘净值数据(iFinD）'!$AA477=""),"",分期持仓明细!$AB$24*(SUMPRODUCT(分期持仓明细!$B$24:$Y$24,'实盘净值数据(iFinD）'!$B477:$Y477/'实盘净值数据(iFinD）'!$B$65:$Y$65)+SUMPRODUCT(分期持仓明细!$AC$24:$AD$24,'实盘净值数据(iFinD）'!$Z477:$AA477/'实盘净值数据(iFinD）'!$Z$65:$AA$65))*(1-实盘持仓初始配置!$Z$8)^(('实盘净值数据(iFinD）'!$A477-'实盘净值数据(iFinD）'!$A$5)/365))</f>
        <v/>
      </c>
      <c r="O477" s="16" t="str">
        <f t="shared" si="46"/>
        <v/>
      </c>
      <c r="P477" s="16" t="str">
        <f>IF(N477="","",N477/MAX(N$5:N477)-1)</f>
        <v/>
      </c>
      <c r="Q477" s="13" t="str">
        <f>IF(OR('实盘净值数据(iFinD）'!$A477="",'实盘净值数据(iFinD）'!$B477="",'实盘净值数据(iFinD）'!$Z477="",'实盘净值数据(iFinD）'!$AA477=""),"",分期持仓明细!$AB$25*(SUMPRODUCT(分期持仓明细!$B$25:$Y$25,'实盘净值数据(iFinD）'!$B477:$Y477/'实盘净值数据(iFinD）'!$B$65:$Y$65)+SUMPRODUCT(分期持仓明细!$AC$25:$AD$25,'实盘净值数据(iFinD）'!$Z477:$AA477/'实盘净值数据(iFinD）'!$Z$65:$AA$65))*(1-实盘持仓初始配置!$Z$9)^(('实盘净值数据(iFinD）'!$A477-'实盘净值数据(iFinD）'!$A$8)/365))</f>
        <v/>
      </c>
      <c r="R477" s="16" t="str">
        <f t="shared" si="47"/>
        <v/>
      </c>
      <c r="S477" s="16" t="str">
        <f>IF(Q477="","",Q477/MAX(Q$5:Q477)-1)</f>
        <v/>
      </c>
      <c r="T477" s="13">
        <f>IF(OR('实盘净值数据(iFinD）'!$A477="",'实盘净值数据(iFinD）'!$B477="",'实盘净值数据(iFinD）'!$Z477="",'实盘净值数据(iFinD）'!$AA477="",'实盘净值数据(iFinD）'!$AB477="",'实盘净值数据(iFinD）'!$AL477=""),"",(SUMPRODUCT(分期持仓明细!$B$26:$Y$26,'实盘净值数据(iFinD）'!$B477:$Y477/'实盘净值数据(iFinD）'!$B$69:$Y$69)+SUMPRODUCT(分期持仓明细!$AC$26:$AD$26,'实盘净值数据(iFinD）'!$Z477:$AA477/'实盘净值数据(iFinD）'!$Z$69:$AA$69)+SUMPRODUCT(分期持仓明细!$AE$26:$AO$26,'实盘净值数据(iFinD）'!$AB477:$AL477/'实盘净值数据(iFinD）'!$AB$69:$AL$69))*(1-实盘持仓初始配置!$Z$10)^(('实盘净值数据(iFinD）'!$A477-'实盘净值数据(iFinD）'!$A$69)/365))</f>
        <v/>
      </c>
      <c r="U477" s="16">
        <f>IF(OR(T476="",T477=""),"",T477/T476-1)</f>
        <v/>
      </c>
      <c r="V477" s="16">
        <f>IF(T477="","",T477/MAX(T$5:T477)-1)</f>
        <v/>
      </c>
    </row>
    <row r="478" spans="1:19">
      <c r="A478" s="15" t="str">
        <f>IF('实盘净值数据(iFinD）'!A478="","",'实盘净值数据(iFinD）'!A478)</f>
        <v/>
      </c>
      <c r="B478" s="13" t="str">
        <f>IF(OR('实盘净值数据(iFinD）'!$A478="",'实盘净值数据(iFinD）'!$B478=""),"",分期持仓明细!$AB$17*SUMPRODUCT(分期持仓明细!$B$17:$Y$17,'实盘净值数据(iFinD）'!$B478:$Y478/'实盘净值数据(iFinD）'!$B$20:$Y$20)*(1-实盘持仓初始配置!$Z$4)^(('实盘净值数据(iFinD）'!$A478-'实盘净值数据(iFinD）'!$A$6)/365))</f>
        <v/>
      </c>
      <c r="C478" s="16" t="str">
        <f t="shared" si="42"/>
        <v/>
      </c>
      <c r="D478" s="16" t="str">
        <f>IF(B478="","",B478/MAX(B$5:B478)-1)</f>
        <v/>
      </c>
      <c r="E478" s="13" t="str">
        <f>IF(OR('实盘净值数据(iFinD）'!$A478="",'实盘净值数据(iFinD）'!$B478=""),"",分期持仓明细!$AB$18*SUMPRODUCT(分期持仓明细!$B$18:$Y$18,'实盘净值数据(iFinD）'!$B478:$Y478/'实盘净值数据(iFinD）'!$B$20:$Y$20)*(1-实盘持仓初始配置!$Z$5)^(('实盘净值数据(iFinD）'!$A478-'实盘净值数据(iFinD）'!$A$5)/365))</f>
        <v/>
      </c>
      <c r="F478" s="16" t="str">
        <f t="shared" si="43"/>
        <v/>
      </c>
      <c r="G478" s="16" t="str">
        <f>IF(E478="","",E478/MAX(E$5:E478)-1)</f>
        <v/>
      </c>
      <c r="H478" s="13" t="str">
        <f>IF(OR('实盘净值数据(iFinD）'!$A478="",'实盘净值数据(iFinD）'!$B478=""),"",分期持仓明细!$AB$19*SUMPRODUCT(分期持仓明细!$B$19:$Y$19,'实盘净值数据(iFinD）'!$B478:$Y478/'实盘净值数据(iFinD）'!$B$20:$Y$20)*(1-实盘持仓初始配置!$Z$6)^(('实盘净值数据(iFinD）'!$A478-'实盘净值数据(iFinD）'!$A$7)/365))</f>
        <v/>
      </c>
      <c r="I478" s="16" t="str">
        <f t="shared" si="44"/>
        <v/>
      </c>
      <c r="J478" s="16" t="str">
        <f>IF(H478="","",H478/MAX(H$5:H478)-1)</f>
        <v/>
      </c>
      <c r="K478" s="13" t="str">
        <f>IF(OR('实盘净值数据(iFinD）'!$A478="",'实盘净值数据(iFinD）'!$B478="",'实盘净值数据(iFinD）'!$Z478="",'实盘净值数据(iFinD）'!$AA478=""),"",分期持仓明细!$AB$23*(SUMPRODUCT(分期持仓明细!$B$23:$Y$23,'实盘净值数据(iFinD）'!$B478:$Y478/'实盘净值数据(iFinD）'!$B$65:$Y$65)+SUMPRODUCT(分期持仓明细!$AC$23:$AD$23,'实盘净值数据(iFinD）'!$Z478:$AA478/'实盘净值数据(iFinD）'!$Z$65:$AA$65))*(1-实盘持仓初始配置!$Z$7)^(('实盘净值数据(iFinD）'!$A478-'实盘净值数据(iFinD）'!$A$8)/365))</f>
        <v/>
      </c>
      <c r="L478" s="16" t="str">
        <f t="shared" si="45"/>
        <v/>
      </c>
      <c r="M478" s="16" t="str">
        <f>IF(K478="","",K478/MAX(K$5:K478)-1)</f>
        <v/>
      </c>
      <c r="N478" s="13" t="str">
        <f>IF(OR('实盘净值数据(iFinD）'!$A478="",'实盘净值数据(iFinD）'!$B478="",'实盘净值数据(iFinD）'!$Z478="",'实盘净值数据(iFinD）'!$AA478=""),"",分期持仓明细!$AB$24*(SUMPRODUCT(分期持仓明细!$B$24:$Y$24,'实盘净值数据(iFinD）'!$B478:$Y478/'实盘净值数据(iFinD）'!$B$65:$Y$65)+SUMPRODUCT(分期持仓明细!$AC$24:$AD$24,'实盘净值数据(iFinD）'!$Z478:$AA478/'实盘净值数据(iFinD）'!$Z$65:$AA$65))*(1-实盘持仓初始配置!$Z$8)^(('实盘净值数据(iFinD）'!$A478-'实盘净值数据(iFinD）'!$A$5)/365))</f>
        <v/>
      </c>
      <c r="O478" s="16" t="str">
        <f t="shared" si="46"/>
        <v/>
      </c>
      <c r="P478" s="16" t="str">
        <f>IF(N478="","",N478/MAX(N$5:N478)-1)</f>
        <v/>
      </c>
      <c r="Q478" s="13" t="str">
        <f>IF(OR('实盘净值数据(iFinD）'!$A478="",'实盘净值数据(iFinD）'!$B478="",'实盘净值数据(iFinD）'!$Z478="",'实盘净值数据(iFinD）'!$AA478=""),"",分期持仓明细!$AB$25*(SUMPRODUCT(分期持仓明细!$B$25:$Y$25,'实盘净值数据(iFinD）'!$B478:$Y478/'实盘净值数据(iFinD）'!$B$65:$Y$65)+SUMPRODUCT(分期持仓明细!$AC$25:$AD$25,'实盘净值数据(iFinD）'!$Z478:$AA478/'实盘净值数据(iFinD）'!$Z$65:$AA$65))*(1-实盘持仓初始配置!$Z$9)^(('实盘净值数据(iFinD）'!$A478-'实盘净值数据(iFinD）'!$A$8)/365))</f>
        <v/>
      </c>
      <c r="R478" s="16" t="str">
        <f t="shared" si="47"/>
        <v/>
      </c>
      <c r="S478" s="16" t="str">
        <f>IF(Q478="","",Q478/MAX(Q$5:Q478)-1)</f>
        <v/>
      </c>
      <c r="T478" s="13">
        <f>IF(OR('实盘净值数据(iFinD）'!$A478="",'实盘净值数据(iFinD）'!$B478="",'实盘净值数据(iFinD）'!$Z478="",'实盘净值数据(iFinD）'!$AA478="",'实盘净值数据(iFinD）'!$AB478="",'实盘净值数据(iFinD）'!$AL478=""),"",(SUMPRODUCT(分期持仓明细!$B$26:$Y$26,'实盘净值数据(iFinD）'!$B478:$Y478/'实盘净值数据(iFinD）'!$B$69:$Y$69)+SUMPRODUCT(分期持仓明细!$AC$26:$AD$26,'实盘净值数据(iFinD）'!$Z478:$AA478/'实盘净值数据(iFinD）'!$Z$69:$AA$69)+SUMPRODUCT(分期持仓明细!$AE$26:$AO$26,'实盘净值数据(iFinD）'!$AB478:$AL478/'实盘净值数据(iFinD）'!$AB$69:$AL$69))*(1-实盘持仓初始配置!$Z$10)^(('实盘净值数据(iFinD）'!$A478-'实盘净值数据(iFinD）'!$A$69)/365))</f>
        <v/>
      </c>
      <c r="U478" s="16">
        <f>IF(OR(T477="",T478=""),"",T478/T477-1)</f>
        <v/>
      </c>
      <c r="V478" s="16">
        <f>IF(T478="","",T478/MAX(T$5:T478)-1)</f>
        <v/>
      </c>
    </row>
    <row r="479" spans="1:19">
      <c r="A479" s="15" t="str">
        <f>IF('实盘净值数据(iFinD）'!A479="","",'实盘净值数据(iFinD）'!A479)</f>
        <v/>
      </c>
      <c r="B479" s="13" t="str">
        <f>IF(OR('实盘净值数据(iFinD）'!$A479="",'实盘净值数据(iFinD）'!$B479=""),"",分期持仓明细!$AB$17*SUMPRODUCT(分期持仓明细!$B$17:$Y$17,'实盘净值数据(iFinD）'!$B479:$Y479/'实盘净值数据(iFinD）'!$B$20:$Y$20)*(1-实盘持仓初始配置!$Z$4)^(('实盘净值数据(iFinD）'!$A479-'实盘净值数据(iFinD）'!$A$6)/365))</f>
        <v/>
      </c>
      <c r="C479" s="16" t="str">
        <f t="shared" si="42"/>
        <v/>
      </c>
      <c r="D479" s="16" t="str">
        <f>IF(B479="","",B479/MAX(B$5:B479)-1)</f>
        <v/>
      </c>
      <c r="E479" s="13" t="str">
        <f>IF(OR('实盘净值数据(iFinD）'!$A479="",'实盘净值数据(iFinD）'!$B479=""),"",分期持仓明细!$AB$18*SUMPRODUCT(分期持仓明细!$B$18:$Y$18,'实盘净值数据(iFinD）'!$B479:$Y479/'实盘净值数据(iFinD）'!$B$20:$Y$20)*(1-实盘持仓初始配置!$Z$5)^(('实盘净值数据(iFinD）'!$A479-'实盘净值数据(iFinD）'!$A$5)/365))</f>
        <v/>
      </c>
      <c r="F479" s="16" t="str">
        <f t="shared" si="43"/>
        <v/>
      </c>
      <c r="G479" s="16" t="str">
        <f>IF(E479="","",E479/MAX(E$5:E479)-1)</f>
        <v/>
      </c>
      <c r="H479" s="13" t="str">
        <f>IF(OR('实盘净值数据(iFinD）'!$A479="",'实盘净值数据(iFinD）'!$B479=""),"",分期持仓明细!$AB$19*SUMPRODUCT(分期持仓明细!$B$19:$Y$19,'实盘净值数据(iFinD）'!$B479:$Y479/'实盘净值数据(iFinD）'!$B$20:$Y$20)*(1-实盘持仓初始配置!$Z$6)^(('实盘净值数据(iFinD）'!$A479-'实盘净值数据(iFinD）'!$A$7)/365))</f>
        <v/>
      </c>
      <c r="I479" s="16" t="str">
        <f t="shared" si="44"/>
        <v/>
      </c>
      <c r="J479" s="16" t="str">
        <f>IF(H479="","",H479/MAX(H$5:H479)-1)</f>
        <v/>
      </c>
      <c r="K479" s="13" t="str">
        <f>IF(OR('实盘净值数据(iFinD）'!$A479="",'实盘净值数据(iFinD）'!$B479="",'实盘净值数据(iFinD）'!$Z479="",'实盘净值数据(iFinD）'!$AA479=""),"",分期持仓明细!$AB$23*(SUMPRODUCT(分期持仓明细!$B$23:$Y$23,'实盘净值数据(iFinD）'!$B479:$Y479/'实盘净值数据(iFinD）'!$B$65:$Y$65)+SUMPRODUCT(分期持仓明细!$AC$23:$AD$23,'实盘净值数据(iFinD）'!$Z479:$AA479/'实盘净值数据(iFinD）'!$Z$65:$AA$65))*(1-实盘持仓初始配置!$Z$7)^(('实盘净值数据(iFinD）'!$A479-'实盘净值数据(iFinD）'!$A$8)/365))</f>
        <v/>
      </c>
      <c r="L479" s="16" t="str">
        <f t="shared" si="45"/>
        <v/>
      </c>
      <c r="M479" s="16" t="str">
        <f>IF(K479="","",K479/MAX(K$5:K479)-1)</f>
        <v/>
      </c>
      <c r="N479" s="13" t="str">
        <f>IF(OR('实盘净值数据(iFinD）'!$A479="",'实盘净值数据(iFinD）'!$B479="",'实盘净值数据(iFinD）'!$Z479="",'实盘净值数据(iFinD）'!$AA479=""),"",分期持仓明细!$AB$24*(SUMPRODUCT(分期持仓明细!$B$24:$Y$24,'实盘净值数据(iFinD）'!$B479:$Y479/'实盘净值数据(iFinD）'!$B$65:$Y$65)+SUMPRODUCT(分期持仓明细!$AC$24:$AD$24,'实盘净值数据(iFinD）'!$Z479:$AA479/'实盘净值数据(iFinD）'!$Z$65:$AA$65))*(1-实盘持仓初始配置!$Z$8)^(('实盘净值数据(iFinD）'!$A479-'实盘净值数据(iFinD）'!$A$5)/365))</f>
        <v/>
      </c>
      <c r="O479" s="16" t="str">
        <f t="shared" si="46"/>
        <v/>
      </c>
      <c r="P479" s="16" t="str">
        <f>IF(N479="","",N479/MAX(N$5:N479)-1)</f>
        <v/>
      </c>
      <c r="Q479" s="13" t="str">
        <f>IF(OR('实盘净值数据(iFinD）'!$A479="",'实盘净值数据(iFinD）'!$B479="",'实盘净值数据(iFinD）'!$Z479="",'实盘净值数据(iFinD）'!$AA479=""),"",分期持仓明细!$AB$25*(SUMPRODUCT(分期持仓明细!$B$25:$Y$25,'实盘净值数据(iFinD）'!$B479:$Y479/'实盘净值数据(iFinD）'!$B$65:$Y$65)+SUMPRODUCT(分期持仓明细!$AC$25:$AD$25,'实盘净值数据(iFinD）'!$Z479:$AA479/'实盘净值数据(iFinD）'!$Z$65:$AA$65))*(1-实盘持仓初始配置!$Z$9)^(('实盘净值数据(iFinD）'!$A479-'实盘净值数据(iFinD）'!$A$8)/365))</f>
        <v/>
      </c>
      <c r="R479" s="16" t="str">
        <f t="shared" si="47"/>
        <v/>
      </c>
      <c r="S479" s="16" t="str">
        <f>IF(Q479="","",Q479/MAX(Q$5:Q479)-1)</f>
        <v/>
      </c>
      <c r="T479" s="13">
        <f>IF(OR('实盘净值数据(iFinD）'!$A479="",'实盘净值数据(iFinD）'!$B479="",'实盘净值数据(iFinD）'!$Z479="",'实盘净值数据(iFinD）'!$AA479="",'实盘净值数据(iFinD）'!$AB479="",'实盘净值数据(iFinD）'!$AL479=""),"",(SUMPRODUCT(分期持仓明细!$B$26:$Y$26,'实盘净值数据(iFinD）'!$B479:$Y479/'实盘净值数据(iFinD）'!$B$69:$Y$69)+SUMPRODUCT(分期持仓明细!$AC$26:$AD$26,'实盘净值数据(iFinD）'!$Z479:$AA479/'实盘净值数据(iFinD）'!$Z$69:$AA$69)+SUMPRODUCT(分期持仓明细!$AE$26:$AO$26,'实盘净值数据(iFinD）'!$AB479:$AL479/'实盘净值数据(iFinD）'!$AB$69:$AL$69))*(1-实盘持仓初始配置!$Z$10)^(('实盘净值数据(iFinD）'!$A479-'实盘净值数据(iFinD）'!$A$69)/365))</f>
        <v/>
      </c>
      <c r="U479" s="16">
        <f>IF(OR(T478="",T479=""),"",T479/T478-1)</f>
        <v/>
      </c>
      <c r="V479" s="16">
        <f>IF(T479="","",T479/MAX(T$5:T479)-1)</f>
        <v/>
      </c>
    </row>
    <row r="480" spans="1:19">
      <c r="A480" s="15" t="str">
        <f>IF('实盘净值数据(iFinD）'!A480="","",'实盘净值数据(iFinD）'!A480)</f>
        <v/>
      </c>
      <c r="B480" s="13" t="str">
        <f>IF(OR('实盘净值数据(iFinD）'!$A480="",'实盘净值数据(iFinD）'!$B480=""),"",分期持仓明细!$AB$17*SUMPRODUCT(分期持仓明细!$B$17:$Y$17,'实盘净值数据(iFinD）'!$B480:$Y480/'实盘净值数据(iFinD）'!$B$20:$Y$20)*(1-实盘持仓初始配置!$Z$4)^(('实盘净值数据(iFinD）'!$A480-'实盘净值数据(iFinD）'!$A$6)/365))</f>
        <v/>
      </c>
      <c r="C480" s="16" t="str">
        <f t="shared" si="42"/>
        <v/>
      </c>
      <c r="D480" s="16" t="str">
        <f>IF(B480="","",B480/MAX(B$5:B480)-1)</f>
        <v/>
      </c>
      <c r="E480" s="13" t="str">
        <f>IF(OR('实盘净值数据(iFinD）'!$A480="",'实盘净值数据(iFinD）'!$B480=""),"",分期持仓明细!$AB$18*SUMPRODUCT(分期持仓明细!$B$18:$Y$18,'实盘净值数据(iFinD）'!$B480:$Y480/'实盘净值数据(iFinD）'!$B$20:$Y$20)*(1-实盘持仓初始配置!$Z$5)^(('实盘净值数据(iFinD）'!$A480-'实盘净值数据(iFinD）'!$A$5)/365))</f>
        <v/>
      </c>
      <c r="F480" s="16" t="str">
        <f t="shared" si="43"/>
        <v/>
      </c>
      <c r="G480" s="16" t="str">
        <f>IF(E480="","",E480/MAX(E$5:E480)-1)</f>
        <v/>
      </c>
      <c r="H480" s="13" t="str">
        <f>IF(OR('实盘净值数据(iFinD）'!$A480="",'实盘净值数据(iFinD）'!$B480=""),"",分期持仓明细!$AB$19*SUMPRODUCT(分期持仓明细!$B$19:$Y$19,'实盘净值数据(iFinD）'!$B480:$Y480/'实盘净值数据(iFinD）'!$B$20:$Y$20)*(1-实盘持仓初始配置!$Z$6)^(('实盘净值数据(iFinD）'!$A480-'实盘净值数据(iFinD）'!$A$7)/365))</f>
        <v/>
      </c>
      <c r="I480" s="16" t="str">
        <f t="shared" si="44"/>
        <v/>
      </c>
      <c r="J480" s="16" t="str">
        <f>IF(H480="","",H480/MAX(H$5:H480)-1)</f>
        <v/>
      </c>
      <c r="K480" s="13" t="str">
        <f>IF(OR('实盘净值数据(iFinD）'!$A480="",'实盘净值数据(iFinD）'!$B480="",'实盘净值数据(iFinD）'!$Z480="",'实盘净值数据(iFinD）'!$AA480=""),"",分期持仓明细!$AB$23*(SUMPRODUCT(分期持仓明细!$B$23:$Y$23,'实盘净值数据(iFinD）'!$B480:$Y480/'实盘净值数据(iFinD）'!$B$65:$Y$65)+SUMPRODUCT(分期持仓明细!$AC$23:$AD$23,'实盘净值数据(iFinD）'!$Z480:$AA480/'实盘净值数据(iFinD）'!$Z$65:$AA$65))*(1-实盘持仓初始配置!$Z$7)^(('实盘净值数据(iFinD）'!$A480-'实盘净值数据(iFinD）'!$A$8)/365))</f>
        <v/>
      </c>
      <c r="L480" s="16" t="str">
        <f t="shared" si="45"/>
        <v/>
      </c>
      <c r="M480" s="16" t="str">
        <f>IF(K480="","",K480/MAX(K$5:K480)-1)</f>
        <v/>
      </c>
      <c r="N480" s="13" t="str">
        <f>IF(OR('实盘净值数据(iFinD）'!$A480="",'实盘净值数据(iFinD）'!$B480="",'实盘净值数据(iFinD）'!$Z480="",'实盘净值数据(iFinD）'!$AA480=""),"",分期持仓明细!$AB$24*(SUMPRODUCT(分期持仓明细!$B$24:$Y$24,'实盘净值数据(iFinD）'!$B480:$Y480/'实盘净值数据(iFinD）'!$B$65:$Y$65)+SUMPRODUCT(分期持仓明细!$AC$24:$AD$24,'实盘净值数据(iFinD）'!$Z480:$AA480/'实盘净值数据(iFinD）'!$Z$65:$AA$65))*(1-实盘持仓初始配置!$Z$8)^(('实盘净值数据(iFinD）'!$A480-'实盘净值数据(iFinD）'!$A$5)/365))</f>
        <v/>
      </c>
      <c r="O480" s="16" t="str">
        <f t="shared" si="46"/>
        <v/>
      </c>
      <c r="P480" s="16" t="str">
        <f>IF(N480="","",N480/MAX(N$5:N480)-1)</f>
        <v/>
      </c>
      <c r="Q480" s="13" t="str">
        <f>IF(OR('实盘净值数据(iFinD）'!$A480="",'实盘净值数据(iFinD）'!$B480="",'实盘净值数据(iFinD）'!$Z480="",'实盘净值数据(iFinD）'!$AA480=""),"",分期持仓明细!$AB$25*(SUMPRODUCT(分期持仓明细!$B$25:$Y$25,'实盘净值数据(iFinD）'!$B480:$Y480/'实盘净值数据(iFinD）'!$B$65:$Y$65)+SUMPRODUCT(分期持仓明细!$AC$25:$AD$25,'实盘净值数据(iFinD）'!$Z480:$AA480/'实盘净值数据(iFinD）'!$Z$65:$AA$65))*(1-实盘持仓初始配置!$Z$9)^(('实盘净值数据(iFinD）'!$A480-'实盘净值数据(iFinD）'!$A$8)/365))</f>
        <v/>
      </c>
      <c r="R480" s="16" t="str">
        <f t="shared" si="47"/>
        <v/>
      </c>
      <c r="S480" s="16" t="str">
        <f>IF(Q480="","",Q480/MAX(Q$5:Q480)-1)</f>
        <v/>
      </c>
      <c r="T480" s="13">
        <f>IF(OR('实盘净值数据(iFinD）'!$A480="",'实盘净值数据(iFinD）'!$B480="",'实盘净值数据(iFinD）'!$Z480="",'实盘净值数据(iFinD）'!$AA480="",'实盘净值数据(iFinD）'!$AB480="",'实盘净值数据(iFinD）'!$AL480=""),"",(SUMPRODUCT(分期持仓明细!$B$26:$Y$26,'实盘净值数据(iFinD）'!$B480:$Y480/'实盘净值数据(iFinD）'!$B$69:$Y$69)+SUMPRODUCT(分期持仓明细!$AC$26:$AD$26,'实盘净值数据(iFinD）'!$Z480:$AA480/'实盘净值数据(iFinD）'!$Z$69:$AA$69)+SUMPRODUCT(分期持仓明细!$AE$26:$AO$26,'实盘净值数据(iFinD）'!$AB480:$AL480/'实盘净值数据(iFinD）'!$AB$69:$AL$69))*(1-实盘持仓初始配置!$Z$10)^(('实盘净值数据(iFinD）'!$A480-'实盘净值数据(iFinD）'!$A$69)/365))</f>
        <v/>
      </c>
      <c r="U480" s="16">
        <f>IF(OR(T479="",T480=""),"",T480/T479-1)</f>
        <v/>
      </c>
      <c r="V480" s="16">
        <f>IF(T480="","",T480/MAX(T$5:T480)-1)</f>
        <v/>
      </c>
    </row>
    <row r="481" spans="1:19">
      <c r="A481" s="15" t="str">
        <f>IF('实盘净值数据(iFinD）'!A481="","",'实盘净值数据(iFinD）'!A481)</f>
        <v/>
      </c>
      <c r="B481" s="13" t="str">
        <f>IF(OR('实盘净值数据(iFinD）'!$A481="",'实盘净值数据(iFinD）'!$B481=""),"",分期持仓明细!$AB$17*SUMPRODUCT(分期持仓明细!$B$17:$Y$17,'实盘净值数据(iFinD）'!$B481:$Y481/'实盘净值数据(iFinD）'!$B$20:$Y$20)*(1-实盘持仓初始配置!$Z$4)^(('实盘净值数据(iFinD）'!$A481-'实盘净值数据(iFinD）'!$A$6)/365))</f>
        <v/>
      </c>
      <c r="C481" s="16" t="str">
        <f t="shared" si="42"/>
        <v/>
      </c>
      <c r="D481" s="16" t="str">
        <f>IF(B481="","",B481/MAX(B$5:B481)-1)</f>
        <v/>
      </c>
      <c r="E481" s="13" t="str">
        <f>IF(OR('实盘净值数据(iFinD）'!$A481="",'实盘净值数据(iFinD）'!$B481=""),"",分期持仓明细!$AB$18*SUMPRODUCT(分期持仓明细!$B$18:$Y$18,'实盘净值数据(iFinD）'!$B481:$Y481/'实盘净值数据(iFinD）'!$B$20:$Y$20)*(1-实盘持仓初始配置!$Z$5)^(('实盘净值数据(iFinD）'!$A481-'实盘净值数据(iFinD）'!$A$5)/365))</f>
        <v/>
      </c>
      <c r="F481" s="16" t="str">
        <f t="shared" si="43"/>
        <v/>
      </c>
      <c r="G481" s="16" t="str">
        <f>IF(E481="","",E481/MAX(E$5:E481)-1)</f>
        <v/>
      </c>
      <c r="H481" s="13" t="str">
        <f>IF(OR('实盘净值数据(iFinD）'!$A481="",'实盘净值数据(iFinD）'!$B481=""),"",分期持仓明细!$AB$19*SUMPRODUCT(分期持仓明细!$B$19:$Y$19,'实盘净值数据(iFinD）'!$B481:$Y481/'实盘净值数据(iFinD）'!$B$20:$Y$20)*(1-实盘持仓初始配置!$Z$6)^(('实盘净值数据(iFinD）'!$A481-'实盘净值数据(iFinD）'!$A$7)/365))</f>
        <v/>
      </c>
      <c r="I481" s="16" t="str">
        <f t="shared" si="44"/>
        <v/>
      </c>
      <c r="J481" s="16" t="str">
        <f>IF(H481="","",H481/MAX(H$5:H481)-1)</f>
        <v/>
      </c>
      <c r="K481" s="13" t="str">
        <f>IF(OR('实盘净值数据(iFinD）'!$A481="",'实盘净值数据(iFinD）'!$B481="",'实盘净值数据(iFinD）'!$Z481="",'实盘净值数据(iFinD）'!$AA481=""),"",分期持仓明细!$AB$23*(SUMPRODUCT(分期持仓明细!$B$23:$Y$23,'实盘净值数据(iFinD）'!$B481:$Y481/'实盘净值数据(iFinD）'!$B$65:$Y$65)+SUMPRODUCT(分期持仓明细!$AC$23:$AD$23,'实盘净值数据(iFinD）'!$Z481:$AA481/'实盘净值数据(iFinD）'!$Z$65:$AA$65))*(1-实盘持仓初始配置!$Z$7)^(('实盘净值数据(iFinD）'!$A481-'实盘净值数据(iFinD）'!$A$8)/365))</f>
        <v/>
      </c>
      <c r="L481" s="16" t="str">
        <f t="shared" si="45"/>
        <v/>
      </c>
      <c r="M481" s="16" t="str">
        <f>IF(K481="","",K481/MAX(K$5:K481)-1)</f>
        <v/>
      </c>
      <c r="N481" s="13" t="str">
        <f>IF(OR('实盘净值数据(iFinD）'!$A481="",'实盘净值数据(iFinD）'!$B481="",'实盘净值数据(iFinD）'!$Z481="",'实盘净值数据(iFinD）'!$AA481=""),"",分期持仓明细!$AB$24*(SUMPRODUCT(分期持仓明细!$B$24:$Y$24,'实盘净值数据(iFinD）'!$B481:$Y481/'实盘净值数据(iFinD）'!$B$65:$Y$65)+SUMPRODUCT(分期持仓明细!$AC$24:$AD$24,'实盘净值数据(iFinD）'!$Z481:$AA481/'实盘净值数据(iFinD）'!$Z$65:$AA$65))*(1-实盘持仓初始配置!$Z$8)^(('实盘净值数据(iFinD）'!$A481-'实盘净值数据(iFinD）'!$A$5)/365))</f>
        <v/>
      </c>
      <c r="O481" s="16" t="str">
        <f t="shared" si="46"/>
        <v/>
      </c>
      <c r="P481" s="16" t="str">
        <f>IF(N481="","",N481/MAX(N$5:N481)-1)</f>
        <v/>
      </c>
      <c r="Q481" s="13" t="str">
        <f>IF(OR('实盘净值数据(iFinD）'!$A481="",'实盘净值数据(iFinD）'!$B481="",'实盘净值数据(iFinD）'!$Z481="",'实盘净值数据(iFinD）'!$AA481=""),"",分期持仓明细!$AB$25*(SUMPRODUCT(分期持仓明细!$B$25:$Y$25,'实盘净值数据(iFinD）'!$B481:$Y481/'实盘净值数据(iFinD）'!$B$65:$Y$65)+SUMPRODUCT(分期持仓明细!$AC$25:$AD$25,'实盘净值数据(iFinD）'!$Z481:$AA481/'实盘净值数据(iFinD）'!$Z$65:$AA$65))*(1-实盘持仓初始配置!$Z$9)^(('实盘净值数据(iFinD）'!$A481-'实盘净值数据(iFinD）'!$A$8)/365))</f>
        <v/>
      </c>
      <c r="R481" s="16" t="str">
        <f t="shared" si="47"/>
        <v/>
      </c>
      <c r="S481" s="16" t="str">
        <f>IF(Q481="","",Q481/MAX(Q$5:Q481)-1)</f>
        <v/>
      </c>
      <c r="T481" s="13">
        <f>IF(OR('实盘净值数据(iFinD）'!$A481="",'实盘净值数据(iFinD）'!$B481="",'实盘净值数据(iFinD）'!$Z481="",'实盘净值数据(iFinD）'!$AA481="",'实盘净值数据(iFinD）'!$AB481="",'实盘净值数据(iFinD）'!$AL481=""),"",(SUMPRODUCT(分期持仓明细!$B$26:$Y$26,'实盘净值数据(iFinD）'!$B481:$Y481/'实盘净值数据(iFinD）'!$B$69:$Y$69)+SUMPRODUCT(分期持仓明细!$AC$26:$AD$26,'实盘净值数据(iFinD）'!$Z481:$AA481/'实盘净值数据(iFinD）'!$Z$69:$AA$69)+SUMPRODUCT(分期持仓明细!$AE$26:$AO$26,'实盘净值数据(iFinD）'!$AB481:$AL481/'实盘净值数据(iFinD）'!$AB$69:$AL$69))*(1-实盘持仓初始配置!$Z$10)^(('实盘净值数据(iFinD）'!$A481-'实盘净值数据(iFinD）'!$A$69)/365))</f>
        <v/>
      </c>
      <c r="U481" s="16">
        <f>IF(OR(T480="",T481=""),"",T481/T480-1)</f>
        <v/>
      </c>
      <c r="V481" s="16">
        <f>IF(T481="","",T481/MAX(T$5:T481)-1)</f>
        <v/>
      </c>
    </row>
    <row r="482" spans="1:19">
      <c r="A482" s="15" t="str">
        <f>IF('实盘净值数据(iFinD）'!A482="","",'实盘净值数据(iFinD）'!A482)</f>
        <v/>
      </c>
      <c r="B482" s="13" t="str">
        <f>IF(OR('实盘净值数据(iFinD）'!$A482="",'实盘净值数据(iFinD）'!$B482=""),"",分期持仓明细!$AB$17*SUMPRODUCT(分期持仓明细!$B$17:$Y$17,'实盘净值数据(iFinD）'!$B482:$Y482/'实盘净值数据(iFinD）'!$B$20:$Y$20)*(1-实盘持仓初始配置!$Z$4)^(('实盘净值数据(iFinD）'!$A482-'实盘净值数据(iFinD）'!$A$6)/365))</f>
        <v/>
      </c>
      <c r="C482" s="16" t="str">
        <f t="shared" si="42"/>
        <v/>
      </c>
      <c r="D482" s="16" t="str">
        <f>IF(B482="","",B482/MAX(B$5:B482)-1)</f>
        <v/>
      </c>
      <c r="E482" s="13" t="str">
        <f>IF(OR('实盘净值数据(iFinD）'!$A482="",'实盘净值数据(iFinD）'!$B482=""),"",分期持仓明细!$AB$18*SUMPRODUCT(分期持仓明细!$B$18:$Y$18,'实盘净值数据(iFinD）'!$B482:$Y482/'实盘净值数据(iFinD）'!$B$20:$Y$20)*(1-实盘持仓初始配置!$Z$5)^(('实盘净值数据(iFinD）'!$A482-'实盘净值数据(iFinD）'!$A$5)/365))</f>
        <v/>
      </c>
      <c r="F482" s="16" t="str">
        <f t="shared" si="43"/>
        <v/>
      </c>
      <c r="G482" s="16" t="str">
        <f>IF(E482="","",E482/MAX(E$5:E482)-1)</f>
        <v/>
      </c>
      <c r="H482" s="13" t="str">
        <f>IF(OR('实盘净值数据(iFinD）'!$A482="",'实盘净值数据(iFinD）'!$B482=""),"",分期持仓明细!$AB$19*SUMPRODUCT(分期持仓明细!$B$19:$Y$19,'实盘净值数据(iFinD）'!$B482:$Y482/'实盘净值数据(iFinD）'!$B$20:$Y$20)*(1-实盘持仓初始配置!$Z$6)^(('实盘净值数据(iFinD）'!$A482-'实盘净值数据(iFinD）'!$A$7)/365))</f>
        <v/>
      </c>
      <c r="I482" s="16" t="str">
        <f t="shared" si="44"/>
        <v/>
      </c>
      <c r="J482" s="16" t="str">
        <f>IF(H482="","",H482/MAX(H$5:H482)-1)</f>
        <v/>
      </c>
      <c r="K482" s="13" t="str">
        <f>IF(OR('实盘净值数据(iFinD）'!$A482="",'实盘净值数据(iFinD）'!$B482="",'实盘净值数据(iFinD）'!$Z482="",'实盘净值数据(iFinD）'!$AA482=""),"",分期持仓明细!$AB$23*(SUMPRODUCT(分期持仓明细!$B$23:$Y$23,'实盘净值数据(iFinD）'!$B482:$Y482/'实盘净值数据(iFinD）'!$B$65:$Y$65)+SUMPRODUCT(分期持仓明细!$AC$23:$AD$23,'实盘净值数据(iFinD）'!$Z482:$AA482/'实盘净值数据(iFinD）'!$Z$65:$AA$65))*(1-实盘持仓初始配置!$Z$7)^(('实盘净值数据(iFinD）'!$A482-'实盘净值数据(iFinD）'!$A$8)/365))</f>
        <v/>
      </c>
      <c r="L482" s="16" t="str">
        <f t="shared" si="45"/>
        <v/>
      </c>
      <c r="M482" s="16" t="str">
        <f>IF(K482="","",K482/MAX(K$5:K482)-1)</f>
        <v/>
      </c>
      <c r="N482" s="13" t="str">
        <f>IF(OR('实盘净值数据(iFinD）'!$A482="",'实盘净值数据(iFinD）'!$B482="",'实盘净值数据(iFinD）'!$Z482="",'实盘净值数据(iFinD）'!$AA482=""),"",分期持仓明细!$AB$24*(SUMPRODUCT(分期持仓明细!$B$24:$Y$24,'实盘净值数据(iFinD）'!$B482:$Y482/'实盘净值数据(iFinD）'!$B$65:$Y$65)+SUMPRODUCT(分期持仓明细!$AC$24:$AD$24,'实盘净值数据(iFinD）'!$Z482:$AA482/'实盘净值数据(iFinD）'!$Z$65:$AA$65))*(1-实盘持仓初始配置!$Z$8)^(('实盘净值数据(iFinD）'!$A482-'实盘净值数据(iFinD）'!$A$5)/365))</f>
        <v/>
      </c>
      <c r="O482" s="16" t="str">
        <f t="shared" si="46"/>
        <v/>
      </c>
      <c r="P482" s="16" t="str">
        <f>IF(N482="","",N482/MAX(N$5:N482)-1)</f>
        <v/>
      </c>
      <c r="Q482" s="13" t="str">
        <f>IF(OR('实盘净值数据(iFinD）'!$A482="",'实盘净值数据(iFinD）'!$B482="",'实盘净值数据(iFinD）'!$Z482="",'实盘净值数据(iFinD）'!$AA482=""),"",分期持仓明细!$AB$25*(SUMPRODUCT(分期持仓明细!$B$25:$Y$25,'实盘净值数据(iFinD）'!$B482:$Y482/'实盘净值数据(iFinD）'!$B$65:$Y$65)+SUMPRODUCT(分期持仓明细!$AC$25:$AD$25,'实盘净值数据(iFinD）'!$Z482:$AA482/'实盘净值数据(iFinD）'!$Z$65:$AA$65))*(1-实盘持仓初始配置!$Z$9)^(('实盘净值数据(iFinD）'!$A482-'实盘净值数据(iFinD）'!$A$8)/365))</f>
        <v/>
      </c>
      <c r="R482" s="16" t="str">
        <f t="shared" si="47"/>
        <v/>
      </c>
      <c r="S482" s="16" t="str">
        <f>IF(Q482="","",Q482/MAX(Q$5:Q482)-1)</f>
        <v/>
      </c>
      <c r="T482" s="13">
        <f>IF(OR('实盘净值数据(iFinD）'!$A482="",'实盘净值数据(iFinD）'!$B482="",'实盘净值数据(iFinD）'!$Z482="",'实盘净值数据(iFinD）'!$AA482="",'实盘净值数据(iFinD）'!$AB482="",'实盘净值数据(iFinD）'!$AL482=""),"",(SUMPRODUCT(分期持仓明细!$B$26:$Y$26,'实盘净值数据(iFinD）'!$B482:$Y482/'实盘净值数据(iFinD）'!$B$69:$Y$69)+SUMPRODUCT(分期持仓明细!$AC$26:$AD$26,'实盘净值数据(iFinD）'!$Z482:$AA482/'实盘净值数据(iFinD）'!$Z$69:$AA$69)+SUMPRODUCT(分期持仓明细!$AE$26:$AO$26,'实盘净值数据(iFinD）'!$AB482:$AL482/'实盘净值数据(iFinD）'!$AB$69:$AL$69))*(1-实盘持仓初始配置!$Z$10)^(('实盘净值数据(iFinD）'!$A482-'实盘净值数据(iFinD）'!$A$69)/365))</f>
        <v/>
      </c>
      <c r="U482" s="16">
        <f>IF(OR(T481="",T482=""),"",T482/T481-1)</f>
        <v/>
      </c>
      <c r="V482" s="16">
        <f>IF(T482="","",T482/MAX(T$5:T482)-1)</f>
        <v/>
      </c>
    </row>
    <row r="483" spans="1:19">
      <c r="A483" s="15" t="str">
        <f>IF('实盘净值数据(iFinD）'!A483="","",'实盘净值数据(iFinD）'!A483)</f>
        <v/>
      </c>
      <c r="B483" s="13" t="str">
        <f>IF(OR('实盘净值数据(iFinD）'!$A483="",'实盘净值数据(iFinD）'!$B483=""),"",分期持仓明细!$AB$17*SUMPRODUCT(分期持仓明细!$B$17:$Y$17,'实盘净值数据(iFinD）'!$B483:$Y483/'实盘净值数据(iFinD）'!$B$20:$Y$20)*(1-实盘持仓初始配置!$Z$4)^(('实盘净值数据(iFinD）'!$A483-'实盘净值数据(iFinD）'!$A$6)/365))</f>
        <v/>
      </c>
      <c r="C483" s="16" t="str">
        <f t="shared" si="42"/>
        <v/>
      </c>
      <c r="D483" s="16" t="str">
        <f>IF(B483="","",B483/MAX(B$5:B483)-1)</f>
        <v/>
      </c>
      <c r="E483" s="13" t="str">
        <f>IF(OR('实盘净值数据(iFinD）'!$A483="",'实盘净值数据(iFinD）'!$B483=""),"",分期持仓明细!$AB$18*SUMPRODUCT(分期持仓明细!$B$18:$Y$18,'实盘净值数据(iFinD）'!$B483:$Y483/'实盘净值数据(iFinD）'!$B$20:$Y$20)*(1-实盘持仓初始配置!$Z$5)^(('实盘净值数据(iFinD）'!$A483-'实盘净值数据(iFinD）'!$A$5)/365))</f>
        <v/>
      </c>
      <c r="F483" s="16" t="str">
        <f t="shared" si="43"/>
        <v/>
      </c>
      <c r="G483" s="16" t="str">
        <f>IF(E483="","",E483/MAX(E$5:E483)-1)</f>
        <v/>
      </c>
      <c r="H483" s="13" t="str">
        <f>IF(OR('实盘净值数据(iFinD）'!$A483="",'实盘净值数据(iFinD）'!$B483=""),"",分期持仓明细!$AB$19*SUMPRODUCT(分期持仓明细!$B$19:$Y$19,'实盘净值数据(iFinD）'!$B483:$Y483/'实盘净值数据(iFinD）'!$B$20:$Y$20)*(1-实盘持仓初始配置!$Z$6)^(('实盘净值数据(iFinD）'!$A483-'实盘净值数据(iFinD）'!$A$7)/365))</f>
        <v/>
      </c>
      <c r="I483" s="16" t="str">
        <f t="shared" si="44"/>
        <v/>
      </c>
      <c r="J483" s="16" t="str">
        <f>IF(H483="","",H483/MAX(H$5:H483)-1)</f>
        <v/>
      </c>
      <c r="K483" s="13" t="str">
        <f>IF(OR('实盘净值数据(iFinD）'!$A483="",'实盘净值数据(iFinD）'!$B483="",'实盘净值数据(iFinD）'!$Z483="",'实盘净值数据(iFinD）'!$AA483=""),"",分期持仓明细!$AB$23*(SUMPRODUCT(分期持仓明细!$B$23:$Y$23,'实盘净值数据(iFinD）'!$B483:$Y483/'实盘净值数据(iFinD）'!$B$65:$Y$65)+SUMPRODUCT(分期持仓明细!$AC$23:$AD$23,'实盘净值数据(iFinD）'!$Z483:$AA483/'实盘净值数据(iFinD）'!$Z$65:$AA$65))*(1-实盘持仓初始配置!$Z$7)^(('实盘净值数据(iFinD）'!$A483-'实盘净值数据(iFinD）'!$A$8)/365))</f>
        <v/>
      </c>
      <c r="L483" s="16" t="str">
        <f t="shared" si="45"/>
        <v/>
      </c>
      <c r="M483" s="16" t="str">
        <f>IF(K483="","",K483/MAX(K$5:K483)-1)</f>
        <v/>
      </c>
      <c r="N483" s="13" t="str">
        <f>IF(OR('实盘净值数据(iFinD）'!$A483="",'实盘净值数据(iFinD）'!$B483="",'实盘净值数据(iFinD）'!$Z483="",'实盘净值数据(iFinD）'!$AA483=""),"",分期持仓明细!$AB$24*(SUMPRODUCT(分期持仓明细!$B$24:$Y$24,'实盘净值数据(iFinD）'!$B483:$Y483/'实盘净值数据(iFinD）'!$B$65:$Y$65)+SUMPRODUCT(分期持仓明细!$AC$24:$AD$24,'实盘净值数据(iFinD）'!$Z483:$AA483/'实盘净值数据(iFinD）'!$Z$65:$AA$65))*(1-实盘持仓初始配置!$Z$8)^(('实盘净值数据(iFinD）'!$A483-'实盘净值数据(iFinD）'!$A$5)/365))</f>
        <v/>
      </c>
      <c r="O483" s="16" t="str">
        <f t="shared" si="46"/>
        <v/>
      </c>
      <c r="P483" s="16" t="str">
        <f>IF(N483="","",N483/MAX(N$5:N483)-1)</f>
        <v/>
      </c>
      <c r="Q483" s="13" t="str">
        <f>IF(OR('实盘净值数据(iFinD）'!$A483="",'实盘净值数据(iFinD）'!$B483="",'实盘净值数据(iFinD）'!$Z483="",'实盘净值数据(iFinD）'!$AA483=""),"",分期持仓明细!$AB$25*(SUMPRODUCT(分期持仓明细!$B$25:$Y$25,'实盘净值数据(iFinD）'!$B483:$Y483/'实盘净值数据(iFinD）'!$B$65:$Y$65)+SUMPRODUCT(分期持仓明细!$AC$25:$AD$25,'实盘净值数据(iFinD）'!$Z483:$AA483/'实盘净值数据(iFinD）'!$Z$65:$AA$65))*(1-实盘持仓初始配置!$Z$9)^(('实盘净值数据(iFinD）'!$A483-'实盘净值数据(iFinD）'!$A$8)/365))</f>
        <v/>
      </c>
      <c r="R483" s="16" t="str">
        <f t="shared" si="47"/>
        <v/>
      </c>
      <c r="S483" s="16" t="str">
        <f>IF(Q483="","",Q483/MAX(Q$5:Q483)-1)</f>
        <v/>
      </c>
      <c r="T483" s="13">
        <f>IF(OR('实盘净值数据(iFinD）'!$A483="",'实盘净值数据(iFinD）'!$B483="",'实盘净值数据(iFinD）'!$Z483="",'实盘净值数据(iFinD）'!$AA483="",'实盘净值数据(iFinD）'!$AB483="",'实盘净值数据(iFinD）'!$AL483=""),"",(SUMPRODUCT(分期持仓明细!$B$26:$Y$26,'实盘净值数据(iFinD）'!$B483:$Y483/'实盘净值数据(iFinD）'!$B$69:$Y$69)+SUMPRODUCT(分期持仓明细!$AC$26:$AD$26,'实盘净值数据(iFinD）'!$Z483:$AA483/'实盘净值数据(iFinD）'!$Z$69:$AA$69)+SUMPRODUCT(分期持仓明细!$AE$26:$AO$26,'实盘净值数据(iFinD）'!$AB483:$AL483/'实盘净值数据(iFinD）'!$AB$69:$AL$69))*(1-实盘持仓初始配置!$Z$10)^(('实盘净值数据(iFinD）'!$A483-'实盘净值数据(iFinD）'!$A$69)/365))</f>
        <v/>
      </c>
      <c r="U483" s="16">
        <f>IF(OR(T482="",T483=""),"",T483/T482-1)</f>
        <v/>
      </c>
      <c r="V483" s="16">
        <f>IF(T483="","",T483/MAX(T$5:T483)-1)</f>
        <v/>
      </c>
    </row>
    <row r="484" spans="1:19">
      <c r="A484" s="15" t="str">
        <f>IF('实盘净值数据(iFinD）'!A484="","",'实盘净值数据(iFinD）'!A484)</f>
        <v/>
      </c>
      <c r="B484" s="13" t="str">
        <f>IF(OR('实盘净值数据(iFinD）'!$A484="",'实盘净值数据(iFinD）'!$B484=""),"",分期持仓明细!$AB$17*SUMPRODUCT(分期持仓明细!$B$17:$Y$17,'实盘净值数据(iFinD）'!$B484:$Y484/'实盘净值数据(iFinD）'!$B$20:$Y$20)*(1-实盘持仓初始配置!$Z$4)^(('实盘净值数据(iFinD）'!$A484-'实盘净值数据(iFinD）'!$A$6)/365))</f>
        <v/>
      </c>
      <c r="C484" s="16" t="str">
        <f t="shared" si="42"/>
        <v/>
      </c>
      <c r="D484" s="16" t="str">
        <f>IF(B484="","",B484/MAX(B$5:B484)-1)</f>
        <v/>
      </c>
      <c r="E484" s="13" t="str">
        <f>IF(OR('实盘净值数据(iFinD）'!$A484="",'实盘净值数据(iFinD）'!$B484=""),"",分期持仓明细!$AB$18*SUMPRODUCT(分期持仓明细!$B$18:$Y$18,'实盘净值数据(iFinD）'!$B484:$Y484/'实盘净值数据(iFinD）'!$B$20:$Y$20)*(1-实盘持仓初始配置!$Z$5)^(('实盘净值数据(iFinD）'!$A484-'实盘净值数据(iFinD）'!$A$5)/365))</f>
        <v/>
      </c>
      <c r="F484" s="16" t="str">
        <f t="shared" si="43"/>
        <v/>
      </c>
      <c r="G484" s="16" t="str">
        <f>IF(E484="","",E484/MAX(E$5:E484)-1)</f>
        <v/>
      </c>
      <c r="H484" s="13" t="str">
        <f>IF(OR('实盘净值数据(iFinD）'!$A484="",'实盘净值数据(iFinD）'!$B484=""),"",分期持仓明细!$AB$19*SUMPRODUCT(分期持仓明细!$B$19:$Y$19,'实盘净值数据(iFinD）'!$B484:$Y484/'实盘净值数据(iFinD）'!$B$20:$Y$20)*(1-实盘持仓初始配置!$Z$6)^(('实盘净值数据(iFinD）'!$A484-'实盘净值数据(iFinD）'!$A$7)/365))</f>
        <v/>
      </c>
      <c r="I484" s="16" t="str">
        <f t="shared" si="44"/>
        <v/>
      </c>
      <c r="J484" s="16" t="str">
        <f>IF(H484="","",H484/MAX(H$5:H484)-1)</f>
        <v/>
      </c>
      <c r="K484" s="13" t="str">
        <f>IF(OR('实盘净值数据(iFinD）'!$A484="",'实盘净值数据(iFinD）'!$B484="",'实盘净值数据(iFinD）'!$Z484="",'实盘净值数据(iFinD）'!$AA484=""),"",分期持仓明细!$AB$23*(SUMPRODUCT(分期持仓明细!$B$23:$Y$23,'实盘净值数据(iFinD）'!$B484:$Y484/'实盘净值数据(iFinD）'!$B$65:$Y$65)+SUMPRODUCT(分期持仓明细!$AC$23:$AD$23,'实盘净值数据(iFinD）'!$Z484:$AA484/'实盘净值数据(iFinD）'!$Z$65:$AA$65))*(1-实盘持仓初始配置!$Z$7)^(('实盘净值数据(iFinD）'!$A484-'实盘净值数据(iFinD）'!$A$8)/365))</f>
        <v/>
      </c>
      <c r="L484" s="16" t="str">
        <f t="shared" si="45"/>
        <v/>
      </c>
      <c r="M484" s="16" t="str">
        <f>IF(K484="","",K484/MAX(K$5:K484)-1)</f>
        <v/>
      </c>
      <c r="N484" s="13" t="str">
        <f>IF(OR('实盘净值数据(iFinD）'!$A484="",'实盘净值数据(iFinD）'!$B484="",'实盘净值数据(iFinD）'!$Z484="",'实盘净值数据(iFinD）'!$AA484=""),"",分期持仓明细!$AB$24*(SUMPRODUCT(分期持仓明细!$B$24:$Y$24,'实盘净值数据(iFinD）'!$B484:$Y484/'实盘净值数据(iFinD）'!$B$65:$Y$65)+SUMPRODUCT(分期持仓明细!$AC$24:$AD$24,'实盘净值数据(iFinD）'!$Z484:$AA484/'实盘净值数据(iFinD）'!$Z$65:$AA$65))*(1-实盘持仓初始配置!$Z$8)^(('实盘净值数据(iFinD）'!$A484-'实盘净值数据(iFinD）'!$A$5)/365))</f>
        <v/>
      </c>
      <c r="O484" s="16" t="str">
        <f t="shared" si="46"/>
        <v/>
      </c>
      <c r="P484" s="16" t="str">
        <f>IF(N484="","",N484/MAX(N$5:N484)-1)</f>
        <v/>
      </c>
      <c r="Q484" s="13" t="str">
        <f>IF(OR('实盘净值数据(iFinD）'!$A484="",'实盘净值数据(iFinD）'!$B484="",'实盘净值数据(iFinD）'!$Z484="",'实盘净值数据(iFinD）'!$AA484=""),"",分期持仓明细!$AB$25*(SUMPRODUCT(分期持仓明细!$B$25:$Y$25,'实盘净值数据(iFinD）'!$B484:$Y484/'实盘净值数据(iFinD）'!$B$65:$Y$65)+SUMPRODUCT(分期持仓明细!$AC$25:$AD$25,'实盘净值数据(iFinD）'!$Z484:$AA484/'实盘净值数据(iFinD）'!$Z$65:$AA$65))*(1-实盘持仓初始配置!$Z$9)^(('实盘净值数据(iFinD）'!$A484-'实盘净值数据(iFinD）'!$A$8)/365))</f>
        <v/>
      </c>
      <c r="R484" s="16" t="str">
        <f t="shared" si="47"/>
        <v/>
      </c>
      <c r="S484" s="16" t="str">
        <f>IF(Q484="","",Q484/MAX(Q$5:Q484)-1)</f>
        <v/>
      </c>
      <c r="T484" s="13">
        <f>IF(OR('实盘净值数据(iFinD）'!$A484="",'实盘净值数据(iFinD）'!$B484="",'实盘净值数据(iFinD）'!$Z484="",'实盘净值数据(iFinD）'!$AA484="",'实盘净值数据(iFinD）'!$AB484="",'实盘净值数据(iFinD）'!$AL484=""),"",(SUMPRODUCT(分期持仓明细!$B$26:$Y$26,'实盘净值数据(iFinD）'!$B484:$Y484/'实盘净值数据(iFinD）'!$B$69:$Y$69)+SUMPRODUCT(分期持仓明细!$AC$26:$AD$26,'实盘净值数据(iFinD）'!$Z484:$AA484/'实盘净值数据(iFinD）'!$Z$69:$AA$69)+SUMPRODUCT(分期持仓明细!$AE$26:$AO$26,'实盘净值数据(iFinD）'!$AB484:$AL484/'实盘净值数据(iFinD）'!$AB$69:$AL$69))*(1-实盘持仓初始配置!$Z$10)^(('实盘净值数据(iFinD）'!$A484-'实盘净值数据(iFinD）'!$A$69)/365))</f>
        <v/>
      </c>
      <c r="U484" s="16">
        <f>IF(OR(T483="",T484=""),"",T484/T483-1)</f>
        <v/>
      </c>
      <c r="V484" s="16">
        <f>IF(T484="","",T484/MAX(T$5:T484)-1)</f>
        <v/>
      </c>
    </row>
    <row r="485" spans="1:19">
      <c r="A485" s="15" t="str">
        <f>IF('实盘净值数据(iFinD）'!A485="","",'实盘净值数据(iFinD）'!A485)</f>
        <v/>
      </c>
      <c r="B485" s="13" t="str">
        <f>IF(OR('实盘净值数据(iFinD）'!$A485="",'实盘净值数据(iFinD）'!$B485=""),"",分期持仓明细!$AB$17*SUMPRODUCT(分期持仓明细!$B$17:$Y$17,'实盘净值数据(iFinD）'!$B485:$Y485/'实盘净值数据(iFinD）'!$B$20:$Y$20)*(1-实盘持仓初始配置!$Z$4)^(('实盘净值数据(iFinD）'!$A485-'实盘净值数据(iFinD）'!$A$6)/365))</f>
        <v/>
      </c>
      <c r="C485" s="16" t="str">
        <f t="shared" si="42"/>
        <v/>
      </c>
      <c r="D485" s="16" t="str">
        <f>IF(B485="","",B485/MAX(B$5:B485)-1)</f>
        <v/>
      </c>
      <c r="E485" s="13" t="str">
        <f>IF(OR('实盘净值数据(iFinD）'!$A485="",'实盘净值数据(iFinD）'!$B485=""),"",分期持仓明细!$AB$18*SUMPRODUCT(分期持仓明细!$B$18:$Y$18,'实盘净值数据(iFinD）'!$B485:$Y485/'实盘净值数据(iFinD）'!$B$20:$Y$20)*(1-实盘持仓初始配置!$Z$5)^(('实盘净值数据(iFinD）'!$A485-'实盘净值数据(iFinD）'!$A$5)/365))</f>
        <v/>
      </c>
      <c r="F485" s="16" t="str">
        <f t="shared" si="43"/>
        <v/>
      </c>
      <c r="G485" s="16" t="str">
        <f>IF(E485="","",E485/MAX(E$5:E485)-1)</f>
        <v/>
      </c>
      <c r="H485" s="13" t="str">
        <f>IF(OR('实盘净值数据(iFinD）'!$A485="",'实盘净值数据(iFinD）'!$B485=""),"",分期持仓明细!$AB$19*SUMPRODUCT(分期持仓明细!$B$19:$Y$19,'实盘净值数据(iFinD）'!$B485:$Y485/'实盘净值数据(iFinD）'!$B$20:$Y$20)*(1-实盘持仓初始配置!$Z$6)^(('实盘净值数据(iFinD）'!$A485-'实盘净值数据(iFinD）'!$A$7)/365))</f>
        <v/>
      </c>
      <c r="I485" s="16" t="str">
        <f t="shared" si="44"/>
        <v/>
      </c>
      <c r="J485" s="16" t="str">
        <f>IF(H485="","",H485/MAX(H$5:H485)-1)</f>
        <v/>
      </c>
      <c r="K485" s="13" t="str">
        <f>IF(OR('实盘净值数据(iFinD）'!$A485="",'实盘净值数据(iFinD）'!$B485="",'实盘净值数据(iFinD）'!$Z485="",'实盘净值数据(iFinD）'!$AA485=""),"",分期持仓明细!$AB$23*(SUMPRODUCT(分期持仓明细!$B$23:$Y$23,'实盘净值数据(iFinD）'!$B485:$Y485/'实盘净值数据(iFinD）'!$B$65:$Y$65)+SUMPRODUCT(分期持仓明细!$AC$23:$AD$23,'实盘净值数据(iFinD）'!$Z485:$AA485/'实盘净值数据(iFinD）'!$Z$65:$AA$65))*(1-实盘持仓初始配置!$Z$7)^(('实盘净值数据(iFinD）'!$A485-'实盘净值数据(iFinD）'!$A$8)/365))</f>
        <v/>
      </c>
      <c r="L485" s="16" t="str">
        <f t="shared" si="45"/>
        <v/>
      </c>
      <c r="M485" s="16" t="str">
        <f>IF(K485="","",K485/MAX(K$5:K485)-1)</f>
        <v/>
      </c>
      <c r="N485" s="13" t="str">
        <f>IF(OR('实盘净值数据(iFinD）'!$A485="",'实盘净值数据(iFinD）'!$B485="",'实盘净值数据(iFinD）'!$Z485="",'实盘净值数据(iFinD）'!$AA485=""),"",分期持仓明细!$AB$24*(SUMPRODUCT(分期持仓明细!$B$24:$Y$24,'实盘净值数据(iFinD）'!$B485:$Y485/'实盘净值数据(iFinD）'!$B$65:$Y$65)+SUMPRODUCT(分期持仓明细!$AC$24:$AD$24,'实盘净值数据(iFinD）'!$Z485:$AA485/'实盘净值数据(iFinD）'!$Z$65:$AA$65))*(1-实盘持仓初始配置!$Z$8)^(('实盘净值数据(iFinD）'!$A485-'实盘净值数据(iFinD）'!$A$5)/365))</f>
        <v/>
      </c>
      <c r="O485" s="16" t="str">
        <f t="shared" si="46"/>
        <v/>
      </c>
      <c r="P485" s="16" t="str">
        <f>IF(N485="","",N485/MAX(N$5:N485)-1)</f>
        <v/>
      </c>
      <c r="Q485" s="13" t="str">
        <f>IF(OR('实盘净值数据(iFinD）'!$A485="",'实盘净值数据(iFinD）'!$B485="",'实盘净值数据(iFinD）'!$Z485="",'实盘净值数据(iFinD）'!$AA485=""),"",分期持仓明细!$AB$25*(SUMPRODUCT(分期持仓明细!$B$25:$Y$25,'实盘净值数据(iFinD）'!$B485:$Y485/'实盘净值数据(iFinD）'!$B$65:$Y$65)+SUMPRODUCT(分期持仓明细!$AC$25:$AD$25,'实盘净值数据(iFinD）'!$Z485:$AA485/'实盘净值数据(iFinD）'!$Z$65:$AA$65))*(1-实盘持仓初始配置!$Z$9)^(('实盘净值数据(iFinD）'!$A485-'实盘净值数据(iFinD）'!$A$8)/365))</f>
        <v/>
      </c>
      <c r="R485" s="16" t="str">
        <f t="shared" si="47"/>
        <v/>
      </c>
      <c r="S485" s="16" t="str">
        <f>IF(Q485="","",Q485/MAX(Q$5:Q485)-1)</f>
        <v/>
      </c>
      <c r="T485" s="13">
        <f>IF(OR('实盘净值数据(iFinD）'!$A485="",'实盘净值数据(iFinD）'!$B485="",'实盘净值数据(iFinD）'!$Z485="",'实盘净值数据(iFinD）'!$AA485="",'实盘净值数据(iFinD）'!$AB485="",'实盘净值数据(iFinD）'!$AL485=""),"",(SUMPRODUCT(分期持仓明细!$B$26:$Y$26,'实盘净值数据(iFinD）'!$B485:$Y485/'实盘净值数据(iFinD）'!$B$69:$Y$69)+SUMPRODUCT(分期持仓明细!$AC$26:$AD$26,'实盘净值数据(iFinD）'!$Z485:$AA485/'实盘净值数据(iFinD）'!$Z$69:$AA$69)+SUMPRODUCT(分期持仓明细!$AE$26:$AO$26,'实盘净值数据(iFinD）'!$AB485:$AL485/'实盘净值数据(iFinD）'!$AB$69:$AL$69))*(1-实盘持仓初始配置!$Z$10)^(('实盘净值数据(iFinD）'!$A485-'实盘净值数据(iFinD）'!$A$69)/365))</f>
        <v/>
      </c>
      <c r="U485" s="16">
        <f>IF(OR(T484="",T485=""),"",T485/T484-1)</f>
        <v/>
      </c>
      <c r="V485" s="16">
        <f>IF(T485="","",T485/MAX(T$5:T485)-1)</f>
        <v/>
      </c>
    </row>
    <row r="486" spans="1:19">
      <c r="A486" s="15" t="str">
        <f>IF('实盘净值数据(iFinD）'!A486="","",'实盘净值数据(iFinD）'!A486)</f>
        <v/>
      </c>
      <c r="B486" s="13" t="str">
        <f>IF(OR('实盘净值数据(iFinD）'!$A486="",'实盘净值数据(iFinD）'!$B486=""),"",分期持仓明细!$AB$17*SUMPRODUCT(分期持仓明细!$B$17:$Y$17,'实盘净值数据(iFinD）'!$B486:$Y486/'实盘净值数据(iFinD）'!$B$20:$Y$20)*(1-实盘持仓初始配置!$Z$4)^(('实盘净值数据(iFinD）'!$A486-'实盘净值数据(iFinD）'!$A$6)/365))</f>
        <v/>
      </c>
      <c r="C486" s="16" t="str">
        <f t="shared" si="42"/>
        <v/>
      </c>
      <c r="D486" s="16" t="str">
        <f>IF(B486="","",B486/MAX(B$5:B486)-1)</f>
        <v/>
      </c>
      <c r="E486" s="13" t="str">
        <f>IF(OR('实盘净值数据(iFinD）'!$A486="",'实盘净值数据(iFinD）'!$B486=""),"",分期持仓明细!$AB$18*SUMPRODUCT(分期持仓明细!$B$18:$Y$18,'实盘净值数据(iFinD）'!$B486:$Y486/'实盘净值数据(iFinD）'!$B$20:$Y$20)*(1-实盘持仓初始配置!$Z$5)^(('实盘净值数据(iFinD）'!$A486-'实盘净值数据(iFinD）'!$A$5)/365))</f>
        <v/>
      </c>
      <c r="F486" s="16" t="str">
        <f t="shared" si="43"/>
        <v/>
      </c>
      <c r="G486" s="16" t="str">
        <f>IF(E486="","",E486/MAX(E$5:E486)-1)</f>
        <v/>
      </c>
      <c r="H486" s="13" t="str">
        <f>IF(OR('实盘净值数据(iFinD）'!$A486="",'实盘净值数据(iFinD）'!$B486=""),"",分期持仓明细!$AB$19*SUMPRODUCT(分期持仓明细!$B$19:$Y$19,'实盘净值数据(iFinD）'!$B486:$Y486/'实盘净值数据(iFinD）'!$B$20:$Y$20)*(1-实盘持仓初始配置!$Z$6)^(('实盘净值数据(iFinD）'!$A486-'实盘净值数据(iFinD）'!$A$7)/365))</f>
        <v/>
      </c>
      <c r="I486" s="16" t="str">
        <f t="shared" si="44"/>
        <v/>
      </c>
      <c r="J486" s="16" t="str">
        <f>IF(H486="","",H486/MAX(H$5:H486)-1)</f>
        <v/>
      </c>
      <c r="K486" s="13" t="str">
        <f>IF(OR('实盘净值数据(iFinD）'!$A486="",'实盘净值数据(iFinD）'!$B486="",'实盘净值数据(iFinD）'!$Z486="",'实盘净值数据(iFinD）'!$AA486=""),"",分期持仓明细!$AB$23*(SUMPRODUCT(分期持仓明细!$B$23:$Y$23,'实盘净值数据(iFinD）'!$B486:$Y486/'实盘净值数据(iFinD）'!$B$65:$Y$65)+SUMPRODUCT(分期持仓明细!$AC$23:$AD$23,'实盘净值数据(iFinD）'!$Z486:$AA486/'实盘净值数据(iFinD）'!$Z$65:$AA$65))*(1-实盘持仓初始配置!$Z$7)^(('实盘净值数据(iFinD）'!$A486-'实盘净值数据(iFinD）'!$A$8)/365))</f>
        <v/>
      </c>
      <c r="L486" s="16" t="str">
        <f t="shared" si="45"/>
        <v/>
      </c>
      <c r="M486" s="16" t="str">
        <f>IF(K486="","",K486/MAX(K$5:K486)-1)</f>
        <v/>
      </c>
      <c r="N486" s="13" t="str">
        <f>IF(OR('实盘净值数据(iFinD）'!$A486="",'实盘净值数据(iFinD）'!$B486="",'实盘净值数据(iFinD）'!$Z486="",'实盘净值数据(iFinD）'!$AA486=""),"",分期持仓明细!$AB$24*(SUMPRODUCT(分期持仓明细!$B$24:$Y$24,'实盘净值数据(iFinD）'!$B486:$Y486/'实盘净值数据(iFinD）'!$B$65:$Y$65)+SUMPRODUCT(分期持仓明细!$AC$24:$AD$24,'实盘净值数据(iFinD）'!$Z486:$AA486/'实盘净值数据(iFinD）'!$Z$65:$AA$65))*(1-实盘持仓初始配置!$Z$8)^(('实盘净值数据(iFinD）'!$A486-'实盘净值数据(iFinD）'!$A$5)/365))</f>
        <v/>
      </c>
      <c r="O486" s="16" t="str">
        <f t="shared" si="46"/>
        <v/>
      </c>
      <c r="P486" s="16" t="str">
        <f>IF(N486="","",N486/MAX(N$5:N486)-1)</f>
        <v/>
      </c>
      <c r="Q486" s="13" t="str">
        <f>IF(OR('实盘净值数据(iFinD）'!$A486="",'实盘净值数据(iFinD）'!$B486="",'实盘净值数据(iFinD）'!$Z486="",'实盘净值数据(iFinD）'!$AA486=""),"",分期持仓明细!$AB$25*(SUMPRODUCT(分期持仓明细!$B$25:$Y$25,'实盘净值数据(iFinD）'!$B486:$Y486/'实盘净值数据(iFinD）'!$B$65:$Y$65)+SUMPRODUCT(分期持仓明细!$AC$25:$AD$25,'实盘净值数据(iFinD）'!$Z486:$AA486/'实盘净值数据(iFinD）'!$Z$65:$AA$65))*(1-实盘持仓初始配置!$Z$9)^(('实盘净值数据(iFinD）'!$A486-'实盘净值数据(iFinD）'!$A$8)/365))</f>
        <v/>
      </c>
      <c r="R486" s="16" t="str">
        <f t="shared" si="47"/>
        <v/>
      </c>
      <c r="S486" s="16" t="str">
        <f>IF(Q486="","",Q486/MAX(Q$5:Q486)-1)</f>
        <v/>
      </c>
      <c r="T486" s="13">
        <f>IF(OR('实盘净值数据(iFinD）'!$A486="",'实盘净值数据(iFinD）'!$B486="",'实盘净值数据(iFinD）'!$Z486="",'实盘净值数据(iFinD）'!$AA486="",'实盘净值数据(iFinD）'!$AB486="",'实盘净值数据(iFinD）'!$AL486=""),"",(SUMPRODUCT(分期持仓明细!$B$26:$Y$26,'实盘净值数据(iFinD）'!$B486:$Y486/'实盘净值数据(iFinD）'!$B$69:$Y$69)+SUMPRODUCT(分期持仓明细!$AC$26:$AD$26,'实盘净值数据(iFinD）'!$Z486:$AA486/'实盘净值数据(iFinD）'!$Z$69:$AA$69)+SUMPRODUCT(分期持仓明细!$AE$26:$AO$26,'实盘净值数据(iFinD）'!$AB486:$AL486/'实盘净值数据(iFinD）'!$AB$69:$AL$69))*(1-实盘持仓初始配置!$Z$10)^(('实盘净值数据(iFinD）'!$A486-'实盘净值数据(iFinD）'!$A$69)/365))</f>
        <v/>
      </c>
      <c r="U486" s="16">
        <f>IF(OR(T485="",T486=""),"",T486/T485-1)</f>
        <v/>
      </c>
      <c r="V486" s="16">
        <f>IF(T486="","",T486/MAX(T$5:T486)-1)</f>
        <v/>
      </c>
    </row>
    <row r="487" spans="1:19">
      <c r="A487" s="15" t="str">
        <f>IF('实盘净值数据(iFinD）'!A487="","",'实盘净值数据(iFinD）'!A487)</f>
        <v/>
      </c>
      <c r="B487" s="13" t="str">
        <f>IF(OR('实盘净值数据(iFinD）'!$A487="",'实盘净值数据(iFinD）'!$B487=""),"",分期持仓明细!$AB$17*SUMPRODUCT(分期持仓明细!$B$17:$Y$17,'实盘净值数据(iFinD）'!$B487:$Y487/'实盘净值数据(iFinD）'!$B$20:$Y$20)*(1-实盘持仓初始配置!$Z$4)^(('实盘净值数据(iFinD）'!$A487-'实盘净值数据(iFinD）'!$A$6)/365))</f>
        <v/>
      </c>
      <c r="C487" s="16" t="str">
        <f t="shared" si="42"/>
        <v/>
      </c>
      <c r="D487" s="16" t="str">
        <f>IF(B487="","",B487/MAX(B$5:B487)-1)</f>
        <v/>
      </c>
      <c r="E487" s="13" t="str">
        <f>IF(OR('实盘净值数据(iFinD）'!$A487="",'实盘净值数据(iFinD）'!$B487=""),"",分期持仓明细!$AB$18*SUMPRODUCT(分期持仓明细!$B$18:$Y$18,'实盘净值数据(iFinD）'!$B487:$Y487/'实盘净值数据(iFinD）'!$B$20:$Y$20)*(1-实盘持仓初始配置!$Z$5)^(('实盘净值数据(iFinD）'!$A487-'实盘净值数据(iFinD）'!$A$5)/365))</f>
        <v/>
      </c>
      <c r="F487" s="16" t="str">
        <f t="shared" si="43"/>
        <v/>
      </c>
      <c r="G487" s="16" t="str">
        <f>IF(E487="","",E487/MAX(E$5:E487)-1)</f>
        <v/>
      </c>
      <c r="H487" s="13" t="str">
        <f>IF(OR('实盘净值数据(iFinD）'!$A487="",'实盘净值数据(iFinD）'!$B487=""),"",分期持仓明细!$AB$19*SUMPRODUCT(分期持仓明细!$B$19:$Y$19,'实盘净值数据(iFinD）'!$B487:$Y487/'实盘净值数据(iFinD）'!$B$20:$Y$20)*(1-实盘持仓初始配置!$Z$6)^(('实盘净值数据(iFinD）'!$A487-'实盘净值数据(iFinD）'!$A$7)/365))</f>
        <v/>
      </c>
      <c r="I487" s="16" t="str">
        <f t="shared" si="44"/>
        <v/>
      </c>
      <c r="J487" s="16" t="str">
        <f>IF(H487="","",H487/MAX(H$5:H487)-1)</f>
        <v/>
      </c>
      <c r="K487" s="13" t="str">
        <f>IF(OR('实盘净值数据(iFinD）'!$A487="",'实盘净值数据(iFinD）'!$B487="",'实盘净值数据(iFinD）'!$Z487="",'实盘净值数据(iFinD）'!$AA487=""),"",分期持仓明细!$AB$23*(SUMPRODUCT(分期持仓明细!$B$23:$Y$23,'实盘净值数据(iFinD）'!$B487:$Y487/'实盘净值数据(iFinD）'!$B$65:$Y$65)+SUMPRODUCT(分期持仓明细!$AC$23:$AD$23,'实盘净值数据(iFinD）'!$Z487:$AA487/'实盘净值数据(iFinD）'!$Z$65:$AA$65))*(1-实盘持仓初始配置!$Z$7)^(('实盘净值数据(iFinD）'!$A487-'实盘净值数据(iFinD）'!$A$8)/365))</f>
        <v/>
      </c>
      <c r="L487" s="16" t="str">
        <f t="shared" si="45"/>
        <v/>
      </c>
      <c r="M487" s="16" t="str">
        <f>IF(K487="","",K487/MAX(K$5:K487)-1)</f>
        <v/>
      </c>
      <c r="N487" s="13" t="str">
        <f>IF(OR('实盘净值数据(iFinD）'!$A487="",'实盘净值数据(iFinD）'!$B487="",'实盘净值数据(iFinD）'!$Z487="",'实盘净值数据(iFinD）'!$AA487=""),"",分期持仓明细!$AB$24*(SUMPRODUCT(分期持仓明细!$B$24:$Y$24,'实盘净值数据(iFinD）'!$B487:$Y487/'实盘净值数据(iFinD）'!$B$65:$Y$65)+SUMPRODUCT(分期持仓明细!$AC$24:$AD$24,'实盘净值数据(iFinD）'!$Z487:$AA487/'实盘净值数据(iFinD）'!$Z$65:$AA$65))*(1-实盘持仓初始配置!$Z$8)^(('实盘净值数据(iFinD）'!$A487-'实盘净值数据(iFinD）'!$A$5)/365))</f>
        <v/>
      </c>
      <c r="O487" s="16" t="str">
        <f t="shared" si="46"/>
        <v/>
      </c>
      <c r="P487" s="16" t="str">
        <f>IF(N487="","",N487/MAX(N$5:N487)-1)</f>
        <v/>
      </c>
      <c r="Q487" s="13" t="str">
        <f>IF(OR('实盘净值数据(iFinD）'!$A487="",'实盘净值数据(iFinD）'!$B487="",'实盘净值数据(iFinD）'!$Z487="",'实盘净值数据(iFinD）'!$AA487=""),"",分期持仓明细!$AB$25*(SUMPRODUCT(分期持仓明细!$B$25:$Y$25,'实盘净值数据(iFinD）'!$B487:$Y487/'实盘净值数据(iFinD）'!$B$65:$Y$65)+SUMPRODUCT(分期持仓明细!$AC$25:$AD$25,'实盘净值数据(iFinD）'!$Z487:$AA487/'实盘净值数据(iFinD）'!$Z$65:$AA$65))*(1-实盘持仓初始配置!$Z$9)^(('实盘净值数据(iFinD）'!$A487-'实盘净值数据(iFinD）'!$A$8)/365))</f>
        <v/>
      </c>
      <c r="R487" s="16" t="str">
        <f t="shared" si="47"/>
        <v/>
      </c>
      <c r="S487" s="16" t="str">
        <f>IF(Q487="","",Q487/MAX(Q$5:Q487)-1)</f>
        <v/>
      </c>
      <c r="T487" s="13">
        <f>IF(OR('实盘净值数据(iFinD）'!$A487="",'实盘净值数据(iFinD）'!$B487="",'实盘净值数据(iFinD）'!$Z487="",'实盘净值数据(iFinD）'!$AA487="",'实盘净值数据(iFinD）'!$AB487="",'实盘净值数据(iFinD）'!$AL487=""),"",(SUMPRODUCT(分期持仓明细!$B$26:$Y$26,'实盘净值数据(iFinD）'!$B487:$Y487/'实盘净值数据(iFinD）'!$B$69:$Y$69)+SUMPRODUCT(分期持仓明细!$AC$26:$AD$26,'实盘净值数据(iFinD）'!$Z487:$AA487/'实盘净值数据(iFinD）'!$Z$69:$AA$69)+SUMPRODUCT(分期持仓明细!$AE$26:$AO$26,'实盘净值数据(iFinD）'!$AB487:$AL487/'实盘净值数据(iFinD）'!$AB$69:$AL$69))*(1-实盘持仓初始配置!$Z$10)^(('实盘净值数据(iFinD）'!$A487-'实盘净值数据(iFinD）'!$A$69)/365))</f>
        <v/>
      </c>
      <c r="U487" s="16">
        <f>IF(OR(T486="",T487=""),"",T487/T486-1)</f>
        <v/>
      </c>
      <c r="V487" s="16">
        <f>IF(T487="","",T487/MAX(T$5:T487)-1)</f>
        <v/>
      </c>
    </row>
    <row r="488" spans="1:19">
      <c r="A488" s="15" t="str">
        <f>IF('实盘净值数据(iFinD）'!A488="","",'实盘净值数据(iFinD）'!A488)</f>
        <v/>
      </c>
      <c r="B488" s="13" t="str">
        <f>IF(OR('实盘净值数据(iFinD）'!$A488="",'实盘净值数据(iFinD）'!$B488=""),"",分期持仓明细!$AB$17*SUMPRODUCT(分期持仓明细!$B$17:$Y$17,'实盘净值数据(iFinD）'!$B488:$Y488/'实盘净值数据(iFinD）'!$B$20:$Y$20)*(1-实盘持仓初始配置!$Z$4)^(('实盘净值数据(iFinD）'!$A488-'实盘净值数据(iFinD）'!$A$6)/365))</f>
        <v/>
      </c>
      <c r="C488" s="16" t="str">
        <f t="shared" si="42"/>
        <v/>
      </c>
      <c r="D488" s="16" t="str">
        <f>IF(B488="","",B488/MAX(B$5:B488)-1)</f>
        <v/>
      </c>
      <c r="E488" s="13" t="str">
        <f>IF(OR('实盘净值数据(iFinD）'!$A488="",'实盘净值数据(iFinD）'!$B488=""),"",分期持仓明细!$AB$18*SUMPRODUCT(分期持仓明细!$B$18:$Y$18,'实盘净值数据(iFinD）'!$B488:$Y488/'实盘净值数据(iFinD）'!$B$20:$Y$20)*(1-实盘持仓初始配置!$Z$5)^(('实盘净值数据(iFinD）'!$A488-'实盘净值数据(iFinD）'!$A$5)/365))</f>
        <v/>
      </c>
      <c r="F488" s="16" t="str">
        <f t="shared" si="43"/>
        <v/>
      </c>
      <c r="G488" s="16" t="str">
        <f>IF(E488="","",E488/MAX(E$5:E488)-1)</f>
        <v/>
      </c>
      <c r="H488" s="13" t="str">
        <f>IF(OR('实盘净值数据(iFinD）'!$A488="",'实盘净值数据(iFinD）'!$B488=""),"",分期持仓明细!$AB$19*SUMPRODUCT(分期持仓明细!$B$19:$Y$19,'实盘净值数据(iFinD）'!$B488:$Y488/'实盘净值数据(iFinD）'!$B$20:$Y$20)*(1-实盘持仓初始配置!$Z$6)^(('实盘净值数据(iFinD）'!$A488-'实盘净值数据(iFinD）'!$A$7)/365))</f>
        <v/>
      </c>
      <c r="I488" s="16" t="str">
        <f t="shared" si="44"/>
        <v/>
      </c>
      <c r="J488" s="16" t="str">
        <f>IF(H488="","",H488/MAX(H$5:H488)-1)</f>
        <v/>
      </c>
      <c r="K488" s="13" t="str">
        <f>IF(OR('实盘净值数据(iFinD）'!$A488="",'实盘净值数据(iFinD）'!$B488="",'实盘净值数据(iFinD）'!$Z488="",'实盘净值数据(iFinD）'!$AA488=""),"",分期持仓明细!$AB$23*(SUMPRODUCT(分期持仓明细!$B$23:$Y$23,'实盘净值数据(iFinD）'!$B488:$Y488/'实盘净值数据(iFinD）'!$B$65:$Y$65)+SUMPRODUCT(分期持仓明细!$AC$23:$AD$23,'实盘净值数据(iFinD）'!$Z488:$AA488/'实盘净值数据(iFinD）'!$Z$65:$AA$65))*(1-实盘持仓初始配置!$Z$7)^(('实盘净值数据(iFinD）'!$A488-'实盘净值数据(iFinD）'!$A$8)/365))</f>
        <v/>
      </c>
      <c r="L488" s="16" t="str">
        <f t="shared" si="45"/>
        <v/>
      </c>
      <c r="M488" s="16" t="str">
        <f>IF(K488="","",K488/MAX(K$5:K488)-1)</f>
        <v/>
      </c>
      <c r="N488" s="13" t="str">
        <f>IF(OR('实盘净值数据(iFinD）'!$A488="",'实盘净值数据(iFinD）'!$B488="",'实盘净值数据(iFinD）'!$Z488="",'实盘净值数据(iFinD）'!$AA488=""),"",分期持仓明细!$AB$24*(SUMPRODUCT(分期持仓明细!$B$24:$Y$24,'实盘净值数据(iFinD）'!$B488:$Y488/'实盘净值数据(iFinD）'!$B$65:$Y$65)+SUMPRODUCT(分期持仓明细!$AC$24:$AD$24,'实盘净值数据(iFinD）'!$Z488:$AA488/'实盘净值数据(iFinD）'!$Z$65:$AA$65))*(1-实盘持仓初始配置!$Z$8)^(('实盘净值数据(iFinD）'!$A488-'实盘净值数据(iFinD）'!$A$5)/365))</f>
        <v/>
      </c>
      <c r="O488" s="16" t="str">
        <f t="shared" si="46"/>
        <v/>
      </c>
      <c r="P488" s="16" t="str">
        <f>IF(N488="","",N488/MAX(N$5:N488)-1)</f>
        <v/>
      </c>
      <c r="Q488" s="13" t="str">
        <f>IF(OR('实盘净值数据(iFinD）'!$A488="",'实盘净值数据(iFinD）'!$B488="",'实盘净值数据(iFinD）'!$Z488="",'实盘净值数据(iFinD）'!$AA488=""),"",分期持仓明细!$AB$25*(SUMPRODUCT(分期持仓明细!$B$25:$Y$25,'实盘净值数据(iFinD）'!$B488:$Y488/'实盘净值数据(iFinD）'!$B$65:$Y$65)+SUMPRODUCT(分期持仓明细!$AC$25:$AD$25,'实盘净值数据(iFinD）'!$Z488:$AA488/'实盘净值数据(iFinD）'!$Z$65:$AA$65))*(1-实盘持仓初始配置!$Z$9)^(('实盘净值数据(iFinD）'!$A488-'实盘净值数据(iFinD）'!$A$8)/365))</f>
        <v/>
      </c>
      <c r="R488" s="16" t="str">
        <f t="shared" si="47"/>
        <v/>
      </c>
      <c r="S488" s="16" t="str">
        <f>IF(Q488="","",Q488/MAX(Q$5:Q488)-1)</f>
        <v/>
      </c>
      <c r="T488" s="13">
        <f>IF(OR('实盘净值数据(iFinD）'!$A488="",'实盘净值数据(iFinD）'!$B488="",'实盘净值数据(iFinD）'!$Z488="",'实盘净值数据(iFinD）'!$AA488="",'实盘净值数据(iFinD）'!$AB488="",'实盘净值数据(iFinD）'!$AL488=""),"",(SUMPRODUCT(分期持仓明细!$B$26:$Y$26,'实盘净值数据(iFinD）'!$B488:$Y488/'实盘净值数据(iFinD）'!$B$69:$Y$69)+SUMPRODUCT(分期持仓明细!$AC$26:$AD$26,'实盘净值数据(iFinD）'!$Z488:$AA488/'实盘净值数据(iFinD）'!$Z$69:$AA$69)+SUMPRODUCT(分期持仓明细!$AE$26:$AO$26,'实盘净值数据(iFinD）'!$AB488:$AL488/'实盘净值数据(iFinD）'!$AB$69:$AL$69))*(1-实盘持仓初始配置!$Z$10)^(('实盘净值数据(iFinD）'!$A488-'实盘净值数据(iFinD）'!$A$69)/365))</f>
        <v/>
      </c>
      <c r="U488" s="16">
        <f>IF(OR(T487="",T488=""),"",T488/T487-1)</f>
        <v/>
      </c>
      <c r="V488" s="16">
        <f>IF(T488="","",T488/MAX(T$5:T488)-1)</f>
        <v/>
      </c>
    </row>
    <row r="489" spans="1:19">
      <c r="A489" s="15" t="str">
        <f>IF('实盘净值数据(iFinD）'!A489="","",'实盘净值数据(iFinD）'!A489)</f>
        <v/>
      </c>
      <c r="B489" s="13" t="str">
        <f>IF(OR('实盘净值数据(iFinD）'!$A489="",'实盘净值数据(iFinD）'!$B489=""),"",分期持仓明细!$AB$17*SUMPRODUCT(分期持仓明细!$B$17:$Y$17,'实盘净值数据(iFinD）'!$B489:$Y489/'实盘净值数据(iFinD）'!$B$20:$Y$20)*(1-实盘持仓初始配置!$Z$4)^(('实盘净值数据(iFinD）'!$A489-'实盘净值数据(iFinD）'!$A$6)/365))</f>
        <v/>
      </c>
      <c r="C489" s="16" t="str">
        <f t="shared" si="42"/>
        <v/>
      </c>
      <c r="D489" s="16" t="str">
        <f>IF(B489="","",B489/MAX(B$5:B489)-1)</f>
        <v/>
      </c>
      <c r="E489" s="13" t="str">
        <f>IF(OR('实盘净值数据(iFinD）'!$A489="",'实盘净值数据(iFinD）'!$B489=""),"",分期持仓明细!$AB$18*SUMPRODUCT(分期持仓明细!$B$18:$Y$18,'实盘净值数据(iFinD）'!$B489:$Y489/'实盘净值数据(iFinD）'!$B$20:$Y$20)*(1-实盘持仓初始配置!$Z$5)^(('实盘净值数据(iFinD）'!$A489-'实盘净值数据(iFinD）'!$A$5)/365))</f>
        <v/>
      </c>
      <c r="F489" s="16" t="str">
        <f t="shared" si="43"/>
        <v/>
      </c>
      <c r="G489" s="16" t="str">
        <f>IF(E489="","",E489/MAX(E$5:E489)-1)</f>
        <v/>
      </c>
      <c r="H489" s="13" t="str">
        <f>IF(OR('实盘净值数据(iFinD）'!$A489="",'实盘净值数据(iFinD）'!$B489=""),"",分期持仓明细!$AB$19*SUMPRODUCT(分期持仓明细!$B$19:$Y$19,'实盘净值数据(iFinD）'!$B489:$Y489/'实盘净值数据(iFinD）'!$B$20:$Y$20)*(1-实盘持仓初始配置!$Z$6)^(('实盘净值数据(iFinD）'!$A489-'实盘净值数据(iFinD）'!$A$7)/365))</f>
        <v/>
      </c>
      <c r="I489" s="16" t="str">
        <f t="shared" si="44"/>
        <v/>
      </c>
      <c r="J489" s="16" t="str">
        <f>IF(H489="","",H489/MAX(H$5:H489)-1)</f>
        <v/>
      </c>
      <c r="K489" s="13" t="str">
        <f>IF(OR('实盘净值数据(iFinD）'!$A489="",'实盘净值数据(iFinD）'!$B489="",'实盘净值数据(iFinD）'!$Z489="",'实盘净值数据(iFinD）'!$AA489=""),"",分期持仓明细!$AB$23*(SUMPRODUCT(分期持仓明细!$B$23:$Y$23,'实盘净值数据(iFinD）'!$B489:$Y489/'实盘净值数据(iFinD）'!$B$65:$Y$65)+SUMPRODUCT(分期持仓明细!$AC$23:$AD$23,'实盘净值数据(iFinD）'!$Z489:$AA489/'实盘净值数据(iFinD）'!$Z$65:$AA$65))*(1-实盘持仓初始配置!$Z$7)^(('实盘净值数据(iFinD）'!$A489-'实盘净值数据(iFinD）'!$A$8)/365))</f>
        <v/>
      </c>
      <c r="L489" s="16" t="str">
        <f t="shared" si="45"/>
        <v/>
      </c>
      <c r="M489" s="16" t="str">
        <f>IF(K489="","",K489/MAX(K$5:K489)-1)</f>
        <v/>
      </c>
      <c r="N489" s="13" t="str">
        <f>IF(OR('实盘净值数据(iFinD）'!$A489="",'实盘净值数据(iFinD）'!$B489="",'实盘净值数据(iFinD）'!$Z489="",'实盘净值数据(iFinD）'!$AA489=""),"",分期持仓明细!$AB$24*(SUMPRODUCT(分期持仓明细!$B$24:$Y$24,'实盘净值数据(iFinD）'!$B489:$Y489/'实盘净值数据(iFinD）'!$B$65:$Y$65)+SUMPRODUCT(分期持仓明细!$AC$24:$AD$24,'实盘净值数据(iFinD）'!$Z489:$AA489/'实盘净值数据(iFinD）'!$Z$65:$AA$65))*(1-实盘持仓初始配置!$Z$8)^(('实盘净值数据(iFinD）'!$A489-'实盘净值数据(iFinD）'!$A$5)/365))</f>
        <v/>
      </c>
      <c r="O489" s="16" t="str">
        <f t="shared" si="46"/>
        <v/>
      </c>
      <c r="P489" s="16" t="str">
        <f>IF(N489="","",N489/MAX(N$5:N489)-1)</f>
        <v/>
      </c>
      <c r="Q489" s="13" t="str">
        <f>IF(OR('实盘净值数据(iFinD）'!$A489="",'实盘净值数据(iFinD）'!$B489="",'实盘净值数据(iFinD）'!$Z489="",'实盘净值数据(iFinD）'!$AA489=""),"",分期持仓明细!$AB$25*(SUMPRODUCT(分期持仓明细!$B$25:$Y$25,'实盘净值数据(iFinD）'!$B489:$Y489/'实盘净值数据(iFinD）'!$B$65:$Y$65)+SUMPRODUCT(分期持仓明细!$AC$25:$AD$25,'实盘净值数据(iFinD）'!$Z489:$AA489/'实盘净值数据(iFinD）'!$Z$65:$AA$65))*(1-实盘持仓初始配置!$Z$9)^(('实盘净值数据(iFinD）'!$A489-'实盘净值数据(iFinD）'!$A$8)/365))</f>
        <v/>
      </c>
      <c r="R489" s="16" t="str">
        <f t="shared" si="47"/>
        <v/>
      </c>
      <c r="S489" s="16" t="str">
        <f>IF(Q489="","",Q489/MAX(Q$5:Q489)-1)</f>
        <v/>
      </c>
      <c r="T489" s="13">
        <f>IF(OR('实盘净值数据(iFinD）'!$A489="",'实盘净值数据(iFinD）'!$B489="",'实盘净值数据(iFinD）'!$Z489="",'实盘净值数据(iFinD）'!$AA489="",'实盘净值数据(iFinD）'!$AB489="",'实盘净值数据(iFinD）'!$AL489=""),"",(SUMPRODUCT(分期持仓明细!$B$26:$Y$26,'实盘净值数据(iFinD）'!$B489:$Y489/'实盘净值数据(iFinD）'!$B$69:$Y$69)+SUMPRODUCT(分期持仓明细!$AC$26:$AD$26,'实盘净值数据(iFinD）'!$Z489:$AA489/'实盘净值数据(iFinD）'!$Z$69:$AA$69)+SUMPRODUCT(分期持仓明细!$AE$26:$AO$26,'实盘净值数据(iFinD）'!$AB489:$AL489/'实盘净值数据(iFinD）'!$AB$69:$AL$69))*(1-实盘持仓初始配置!$Z$10)^(('实盘净值数据(iFinD）'!$A489-'实盘净值数据(iFinD）'!$A$69)/365))</f>
        <v/>
      </c>
      <c r="U489" s="16">
        <f>IF(OR(T488="",T489=""),"",T489/T488-1)</f>
        <v/>
      </c>
      <c r="V489" s="16">
        <f>IF(T489="","",T489/MAX(T$5:T489)-1)</f>
        <v/>
      </c>
    </row>
    <row r="490" spans="1:19">
      <c r="A490" s="15" t="str">
        <f>IF('实盘净值数据(iFinD）'!A490="","",'实盘净值数据(iFinD）'!A490)</f>
        <v/>
      </c>
      <c r="B490" s="13" t="str">
        <f>IF(OR('实盘净值数据(iFinD）'!$A490="",'实盘净值数据(iFinD）'!$B490=""),"",分期持仓明细!$AB$17*SUMPRODUCT(分期持仓明细!$B$17:$Y$17,'实盘净值数据(iFinD）'!$B490:$Y490/'实盘净值数据(iFinD）'!$B$20:$Y$20)*(1-实盘持仓初始配置!$Z$4)^(('实盘净值数据(iFinD）'!$A490-'实盘净值数据(iFinD）'!$A$6)/365))</f>
        <v/>
      </c>
      <c r="C490" s="16" t="str">
        <f t="shared" si="42"/>
        <v/>
      </c>
      <c r="D490" s="16" t="str">
        <f>IF(B490="","",B490/MAX(B$5:B490)-1)</f>
        <v/>
      </c>
      <c r="E490" s="13" t="str">
        <f>IF(OR('实盘净值数据(iFinD）'!$A490="",'实盘净值数据(iFinD）'!$B490=""),"",分期持仓明细!$AB$18*SUMPRODUCT(分期持仓明细!$B$18:$Y$18,'实盘净值数据(iFinD）'!$B490:$Y490/'实盘净值数据(iFinD）'!$B$20:$Y$20)*(1-实盘持仓初始配置!$Z$5)^(('实盘净值数据(iFinD）'!$A490-'实盘净值数据(iFinD）'!$A$5)/365))</f>
        <v/>
      </c>
      <c r="F490" s="16" t="str">
        <f t="shared" si="43"/>
        <v/>
      </c>
      <c r="G490" s="16" t="str">
        <f>IF(E490="","",E490/MAX(E$5:E490)-1)</f>
        <v/>
      </c>
      <c r="H490" s="13" t="str">
        <f>IF(OR('实盘净值数据(iFinD）'!$A490="",'实盘净值数据(iFinD）'!$B490=""),"",分期持仓明细!$AB$19*SUMPRODUCT(分期持仓明细!$B$19:$Y$19,'实盘净值数据(iFinD）'!$B490:$Y490/'实盘净值数据(iFinD）'!$B$20:$Y$20)*(1-实盘持仓初始配置!$Z$6)^(('实盘净值数据(iFinD）'!$A490-'实盘净值数据(iFinD）'!$A$7)/365))</f>
        <v/>
      </c>
      <c r="I490" s="16" t="str">
        <f t="shared" si="44"/>
        <v/>
      </c>
      <c r="J490" s="16" t="str">
        <f>IF(H490="","",H490/MAX(H$5:H490)-1)</f>
        <v/>
      </c>
      <c r="K490" s="13" t="str">
        <f>IF(OR('实盘净值数据(iFinD）'!$A490="",'实盘净值数据(iFinD）'!$B490="",'实盘净值数据(iFinD）'!$Z490="",'实盘净值数据(iFinD）'!$AA490=""),"",分期持仓明细!$AB$23*(SUMPRODUCT(分期持仓明细!$B$23:$Y$23,'实盘净值数据(iFinD）'!$B490:$Y490/'实盘净值数据(iFinD）'!$B$65:$Y$65)+SUMPRODUCT(分期持仓明细!$AC$23:$AD$23,'实盘净值数据(iFinD）'!$Z490:$AA490/'实盘净值数据(iFinD）'!$Z$65:$AA$65))*(1-实盘持仓初始配置!$Z$7)^(('实盘净值数据(iFinD）'!$A490-'实盘净值数据(iFinD）'!$A$8)/365))</f>
        <v/>
      </c>
      <c r="L490" s="16" t="str">
        <f t="shared" si="45"/>
        <v/>
      </c>
      <c r="M490" s="16" t="str">
        <f>IF(K490="","",K490/MAX(K$5:K490)-1)</f>
        <v/>
      </c>
      <c r="N490" s="13" t="str">
        <f>IF(OR('实盘净值数据(iFinD）'!$A490="",'实盘净值数据(iFinD）'!$B490="",'实盘净值数据(iFinD）'!$Z490="",'实盘净值数据(iFinD）'!$AA490=""),"",分期持仓明细!$AB$24*(SUMPRODUCT(分期持仓明细!$B$24:$Y$24,'实盘净值数据(iFinD）'!$B490:$Y490/'实盘净值数据(iFinD）'!$B$65:$Y$65)+SUMPRODUCT(分期持仓明细!$AC$24:$AD$24,'实盘净值数据(iFinD）'!$Z490:$AA490/'实盘净值数据(iFinD）'!$Z$65:$AA$65))*(1-实盘持仓初始配置!$Z$8)^(('实盘净值数据(iFinD）'!$A490-'实盘净值数据(iFinD）'!$A$5)/365))</f>
        <v/>
      </c>
      <c r="O490" s="16" t="str">
        <f t="shared" si="46"/>
        <v/>
      </c>
      <c r="P490" s="16" t="str">
        <f>IF(N490="","",N490/MAX(N$5:N490)-1)</f>
        <v/>
      </c>
      <c r="Q490" s="13" t="str">
        <f>IF(OR('实盘净值数据(iFinD）'!$A490="",'实盘净值数据(iFinD）'!$B490="",'实盘净值数据(iFinD）'!$Z490="",'实盘净值数据(iFinD）'!$AA490=""),"",分期持仓明细!$AB$25*(SUMPRODUCT(分期持仓明细!$B$25:$Y$25,'实盘净值数据(iFinD）'!$B490:$Y490/'实盘净值数据(iFinD）'!$B$65:$Y$65)+SUMPRODUCT(分期持仓明细!$AC$25:$AD$25,'实盘净值数据(iFinD）'!$Z490:$AA490/'实盘净值数据(iFinD）'!$Z$65:$AA$65))*(1-实盘持仓初始配置!$Z$9)^(('实盘净值数据(iFinD）'!$A490-'实盘净值数据(iFinD）'!$A$8)/365))</f>
        <v/>
      </c>
      <c r="R490" s="16" t="str">
        <f t="shared" si="47"/>
        <v/>
      </c>
      <c r="S490" s="16" t="str">
        <f>IF(Q490="","",Q490/MAX(Q$5:Q490)-1)</f>
        <v/>
      </c>
      <c r="T490" s="13">
        <f>IF(OR('实盘净值数据(iFinD）'!$A490="",'实盘净值数据(iFinD）'!$B490="",'实盘净值数据(iFinD）'!$Z490="",'实盘净值数据(iFinD）'!$AA490="",'实盘净值数据(iFinD）'!$AB490="",'实盘净值数据(iFinD）'!$AL490=""),"",(SUMPRODUCT(分期持仓明细!$B$26:$Y$26,'实盘净值数据(iFinD）'!$B490:$Y490/'实盘净值数据(iFinD）'!$B$69:$Y$69)+SUMPRODUCT(分期持仓明细!$AC$26:$AD$26,'实盘净值数据(iFinD）'!$Z490:$AA490/'实盘净值数据(iFinD）'!$Z$69:$AA$69)+SUMPRODUCT(分期持仓明细!$AE$26:$AO$26,'实盘净值数据(iFinD）'!$AB490:$AL490/'实盘净值数据(iFinD）'!$AB$69:$AL$69))*(1-实盘持仓初始配置!$Z$10)^(('实盘净值数据(iFinD）'!$A490-'实盘净值数据(iFinD）'!$A$69)/365))</f>
        <v/>
      </c>
      <c r="U490" s="16">
        <f>IF(OR(T489="",T490=""),"",T490/T489-1)</f>
        <v/>
      </c>
      <c r="V490" s="16">
        <f>IF(T490="","",T490/MAX(T$5:T490)-1)</f>
        <v/>
      </c>
    </row>
    <row r="491" spans="1:19">
      <c r="A491" s="15" t="str">
        <f>IF('实盘净值数据(iFinD）'!A491="","",'实盘净值数据(iFinD）'!A491)</f>
        <v/>
      </c>
      <c r="B491" s="13" t="str">
        <f>IF(OR('实盘净值数据(iFinD）'!$A491="",'实盘净值数据(iFinD）'!$B491=""),"",分期持仓明细!$AB$17*SUMPRODUCT(分期持仓明细!$B$17:$Y$17,'实盘净值数据(iFinD）'!$B491:$Y491/'实盘净值数据(iFinD）'!$B$20:$Y$20)*(1-实盘持仓初始配置!$Z$4)^(('实盘净值数据(iFinD）'!$A491-'实盘净值数据(iFinD）'!$A$6)/365))</f>
        <v/>
      </c>
      <c r="C491" s="16" t="str">
        <f t="shared" si="42"/>
        <v/>
      </c>
      <c r="D491" s="16" t="str">
        <f>IF(B491="","",B491/MAX(B$5:B491)-1)</f>
        <v/>
      </c>
      <c r="E491" s="13" t="str">
        <f>IF(OR('实盘净值数据(iFinD）'!$A491="",'实盘净值数据(iFinD）'!$B491=""),"",分期持仓明细!$AB$18*SUMPRODUCT(分期持仓明细!$B$18:$Y$18,'实盘净值数据(iFinD）'!$B491:$Y491/'实盘净值数据(iFinD）'!$B$20:$Y$20)*(1-实盘持仓初始配置!$Z$5)^(('实盘净值数据(iFinD）'!$A491-'实盘净值数据(iFinD）'!$A$5)/365))</f>
        <v/>
      </c>
      <c r="F491" s="16" t="str">
        <f t="shared" si="43"/>
        <v/>
      </c>
      <c r="G491" s="16" t="str">
        <f>IF(E491="","",E491/MAX(E$5:E491)-1)</f>
        <v/>
      </c>
      <c r="H491" s="13" t="str">
        <f>IF(OR('实盘净值数据(iFinD）'!$A491="",'实盘净值数据(iFinD）'!$B491=""),"",分期持仓明细!$AB$19*SUMPRODUCT(分期持仓明细!$B$19:$Y$19,'实盘净值数据(iFinD）'!$B491:$Y491/'实盘净值数据(iFinD）'!$B$20:$Y$20)*(1-实盘持仓初始配置!$Z$6)^(('实盘净值数据(iFinD）'!$A491-'实盘净值数据(iFinD）'!$A$7)/365))</f>
        <v/>
      </c>
      <c r="I491" s="16" t="str">
        <f t="shared" si="44"/>
        <v/>
      </c>
      <c r="J491" s="16" t="str">
        <f>IF(H491="","",H491/MAX(H$5:H491)-1)</f>
        <v/>
      </c>
      <c r="K491" s="13" t="str">
        <f>IF(OR('实盘净值数据(iFinD）'!$A491="",'实盘净值数据(iFinD）'!$B491="",'实盘净值数据(iFinD）'!$Z491="",'实盘净值数据(iFinD）'!$AA491=""),"",分期持仓明细!$AB$23*(SUMPRODUCT(分期持仓明细!$B$23:$Y$23,'实盘净值数据(iFinD）'!$B491:$Y491/'实盘净值数据(iFinD）'!$B$65:$Y$65)+SUMPRODUCT(分期持仓明细!$AC$23:$AD$23,'实盘净值数据(iFinD）'!$Z491:$AA491/'实盘净值数据(iFinD）'!$Z$65:$AA$65))*(1-实盘持仓初始配置!$Z$7)^(('实盘净值数据(iFinD）'!$A491-'实盘净值数据(iFinD）'!$A$8)/365))</f>
        <v/>
      </c>
      <c r="L491" s="16" t="str">
        <f t="shared" si="45"/>
        <v/>
      </c>
      <c r="M491" s="16" t="str">
        <f>IF(K491="","",K491/MAX(K$5:K491)-1)</f>
        <v/>
      </c>
      <c r="N491" s="13" t="str">
        <f>IF(OR('实盘净值数据(iFinD）'!$A491="",'实盘净值数据(iFinD）'!$B491="",'实盘净值数据(iFinD）'!$Z491="",'实盘净值数据(iFinD）'!$AA491=""),"",分期持仓明细!$AB$24*(SUMPRODUCT(分期持仓明细!$B$24:$Y$24,'实盘净值数据(iFinD）'!$B491:$Y491/'实盘净值数据(iFinD）'!$B$65:$Y$65)+SUMPRODUCT(分期持仓明细!$AC$24:$AD$24,'实盘净值数据(iFinD）'!$Z491:$AA491/'实盘净值数据(iFinD）'!$Z$65:$AA$65))*(1-实盘持仓初始配置!$Z$8)^(('实盘净值数据(iFinD）'!$A491-'实盘净值数据(iFinD）'!$A$5)/365))</f>
        <v/>
      </c>
      <c r="O491" s="16" t="str">
        <f t="shared" si="46"/>
        <v/>
      </c>
      <c r="P491" s="16" t="str">
        <f>IF(N491="","",N491/MAX(N$5:N491)-1)</f>
        <v/>
      </c>
      <c r="Q491" s="13" t="str">
        <f>IF(OR('实盘净值数据(iFinD）'!$A491="",'实盘净值数据(iFinD）'!$B491="",'实盘净值数据(iFinD）'!$Z491="",'实盘净值数据(iFinD）'!$AA491=""),"",分期持仓明细!$AB$25*(SUMPRODUCT(分期持仓明细!$B$25:$Y$25,'实盘净值数据(iFinD）'!$B491:$Y491/'实盘净值数据(iFinD）'!$B$65:$Y$65)+SUMPRODUCT(分期持仓明细!$AC$25:$AD$25,'实盘净值数据(iFinD）'!$Z491:$AA491/'实盘净值数据(iFinD）'!$Z$65:$AA$65))*(1-实盘持仓初始配置!$Z$9)^(('实盘净值数据(iFinD）'!$A491-'实盘净值数据(iFinD）'!$A$8)/365))</f>
        <v/>
      </c>
      <c r="R491" s="16" t="str">
        <f t="shared" si="47"/>
        <v/>
      </c>
      <c r="S491" s="16" t="str">
        <f>IF(Q491="","",Q491/MAX(Q$5:Q491)-1)</f>
        <v/>
      </c>
      <c r="T491" s="13">
        <f>IF(OR('实盘净值数据(iFinD）'!$A491="",'实盘净值数据(iFinD）'!$B491="",'实盘净值数据(iFinD）'!$Z491="",'实盘净值数据(iFinD）'!$AA491="",'实盘净值数据(iFinD）'!$AB491="",'实盘净值数据(iFinD）'!$AL491=""),"",(SUMPRODUCT(分期持仓明细!$B$26:$Y$26,'实盘净值数据(iFinD）'!$B491:$Y491/'实盘净值数据(iFinD）'!$B$69:$Y$69)+SUMPRODUCT(分期持仓明细!$AC$26:$AD$26,'实盘净值数据(iFinD）'!$Z491:$AA491/'实盘净值数据(iFinD）'!$Z$69:$AA$69)+SUMPRODUCT(分期持仓明细!$AE$26:$AO$26,'实盘净值数据(iFinD）'!$AB491:$AL491/'实盘净值数据(iFinD）'!$AB$69:$AL$69))*(1-实盘持仓初始配置!$Z$10)^(('实盘净值数据(iFinD）'!$A491-'实盘净值数据(iFinD）'!$A$69)/365))</f>
        <v/>
      </c>
      <c r="U491" s="16">
        <f>IF(OR(T490="",T491=""),"",T491/T490-1)</f>
        <v/>
      </c>
      <c r="V491" s="16">
        <f>IF(T491="","",T491/MAX(T$5:T491)-1)</f>
        <v/>
      </c>
    </row>
    <row r="492" spans="1:19">
      <c r="A492" s="15" t="str">
        <f>IF('实盘净值数据(iFinD）'!A492="","",'实盘净值数据(iFinD）'!A492)</f>
        <v/>
      </c>
      <c r="B492" s="13" t="str">
        <f>IF(OR('实盘净值数据(iFinD）'!$A492="",'实盘净值数据(iFinD）'!$B492=""),"",分期持仓明细!$AB$17*SUMPRODUCT(分期持仓明细!$B$17:$Y$17,'实盘净值数据(iFinD）'!$B492:$Y492/'实盘净值数据(iFinD）'!$B$20:$Y$20)*(1-实盘持仓初始配置!$Z$4)^(('实盘净值数据(iFinD）'!$A492-'实盘净值数据(iFinD）'!$A$6)/365))</f>
        <v/>
      </c>
      <c r="C492" s="16" t="str">
        <f t="shared" si="42"/>
        <v/>
      </c>
      <c r="D492" s="16" t="str">
        <f>IF(B492="","",B492/MAX(B$5:B492)-1)</f>
        <v/>
      </c>
      <c r="E492" s="13" t="str">
        <f>IF(OR('实盘净值数据(iFinD）'!$A492="",'实盘净值数据(iFinD）'!$B492=""),"",分期持仓明细!$AB$18*SUMPRODUCT(分期持仓明细!$B$18:$Y$18,'实盘净值数据(iFinD）'!$B492:$Y492/'实盘净值数据(iFinD）'!$B$20:$Y$20)*(1-实盘持仓初始配置!$Z$5)^(('实盘净值数据(iFinD）'!$A492-'实盘净值数据(iFinD）'!$A$5)/365))</f>
        <v/>
      </c>
      <c r="F492" s="16" t="str">
        <f t="shared" si="43"/>
        <v/>
      </c>
      <c r="G492" s="16" t="str">
        <f>IF(E492="","",E492/MAX(E$5:E492)-1)</f>
        <v/>
      </c>
      <c r="H492" s="13" t="str">
        <f>IF(OR('实盘净值数据(iFinD）'!$A492="",'实盘净值数据(iFinD）'!$B492=""),"",分期持仓明细!$AB$19*SUMPRODUCT(分期持仓明细!$B$19:$Y$19,'实盘净值数据(iFinD）'!$B492:$Y492/'实盘净值数据(iFinD）'!$B$20:$Y$20)*(1-实盘持仓初始配置!$Z$6)^(('实盘净值数据(iFinD）'!$A492-'实盘净值数据(iFinD）'!$A$7)/365))</f>
        <v/>
      </c>
      <c r="I492" s="16" t="str">
        <f t="shared" si="44"/>
        <v/>
      </c>
      <c r="J492" s="16" t="str">
        <f>IF(H492="","",H492/MAX(H$5:H492)-1)</f>
        <v/>
      </c>
      <c r="K492" s="13" t="str">
        <f>IF(OR('实盘净值数据(iFinD）'!$A492="",'实盘净值数据(iFinD）'!$B492="",'实盘净值数据(iFinD）'!$Z492="",'实盘净值数据(iFinD）'!$AA492=""),"",分期持仓明细!$AB$23*(SUMPRODUCT(分期持仓明细!$B$23:$Y$23,'实盘净值数据(iFinD）'!$B492:$Y492/'实盘净值数据(iFinD）'!$B$65:$Y$65)+SUMPRODUCT(分期持仓明细!$AC$23:$AD$23,'实盘净值数据(iFinD）'!$Z492:$AA492/'实盘净值数据(iFinD）'!$Z$65:$AA$65))*(1-实盘持仓初始配置!$Z$7)^(('实盘净值数据(iFinD）'!$A492-'实盘净值数据(iFinD）'!$A$8)/365))</f>
        <v/>
      </c>
      <c r="L492" s="16" t="str">
        <f t="shared" si="45"/>
        <v/>
      </c>
      <c r="M492" s="16" t="str">
        <f>IF(K492="","",K492/MAX(K$5:K492)-1)</f>
        <v/>
      </c>
      <c r="N492" s="13" t="str">
        <f>IF(OR('实盘净值数据(iFinD）'!$A492="",'实盘净值数据(iFinD）'!$B492="",'实盘净值数据(iFinD）'!$Z492="",'实盘净值数据(iFinD）'!$AA492=""),"",分期持仓明细!$AB$24*(SUMPRODUCT(分期持仓明细!$B$24:$Y$24,'实盘净值数据(iFinD）'!$B492:$Y492/'实盘净值数据(iFinD）'!$B$65:$Y$65)+SUMPRODUCT(分期持仓明细!$AC$24:$AD$24,'实盘净值数据(iFinD）'!$Z492:$AA492/'实盘净值数据(iFinD）'!$Z$65:$AA$65))*(1-实盘持仓初始配置!$Z$8)^(('实盘净值数据(iFinD）'!$A492-'实盘净值数据(iFinD）'!$A$5)/365))</f>
        <v/>
      </c>
      <c r="O492" s="16" t="str">
        <f t="shared" si="46"/>
        <v/>
      </c>
      <c r="P492" s="16" t="str">
        <f>IF(N492="","",N492/MAX(N$5:N492)-1)</f>
        <v/>
      </c>
      <c r="Q492" s="13" t="str">
        <f>IF(OR('实盘净值数据(iFinD）'!$A492="",'实盘净值数据(iFinD）'!$B492="",'实盘净值数据(iFinD）'!$Z492="",'实盘净值数据(iFinD）'!$AA492=""),"",分期持仓明细!$AB$25*(SUMPRODUCT(分期持仓明细!$B$25:$Y$25,'实盘净值数据(iFinD）'!$B492:$Y492/'实盘净值数据(iFinD）'!$B$65:$Y$65)+SUMPRODUCT(分期持仓明细!$AC$25:$AD$25,'实盘净值数据(iFinD）'!$Z492:$AA492/'实盘净值数据(iFinD）'!$Z$65:$AA$65))*(1-实盘持仓初始配置!$Z$9)^(('实盘净值数据(iFinD）'!$A492-'实盘净值数据(iFinD）'!$A$8)/365))</f>
        <v/>
      </c>
      <c r="R492" s="16" t="str">
        <f t="shared" si="47"/>
        <v/>
      </c>
      <c r="S492" s="16" t="str">
        <f>IF(Q492="","",Q492/MAX(Q$5:Q492)-1)</f>
        <v/>
      </c>
      <c r="T492" s="13">
        <f>IF(OR('实盘净值数据(iFinD）'!$A492="",'实盘净值数据(iFinD）'!$B492="",'实盘净值数据(iFinD）'!$Z492="",'实盘净值数据(iFinD）'!$AA492="",'实盘净值数据(iFinD）'!$AB492="",'实盘净值数据(iFinD）'!$AL492=""),"",(SUMPRODUCT(分期持仓明细!$B$26:$Y$26,'实盘净值数据(iFinD）'!$B492:$Y492/'实盘净值数据(iFinD）'!$B$69:$Y$69)+SUMPRODUCT(分期持仓明细!$AC$26:$AD$26,'实盘净值数据(iFinD）'!$Z492:$AA492/'实盘净值数据(iFinD）'!$Z$69:$AA$69)+SUMPRODUCT(分期持仓明细!$AE$26:$AO$26,'实盘净值数据(iFinD）'!$AB492:$AL492/'实盘净值数据(iFinD）'!$AB$69:$AL$69))*(1-实盘持仓初始配置!$Z$10)^(('实盘净值数据(iFinD）'!$A492-'实盘净值数据(iFinD）'!$A$69)/365))</f>
        <v/>
      </c>
      <c r="U492" s="16">
        <f>IF(OR(T491="",T492=""),"",T492/T491-1)</f>
        <v/>
      </c>
      <c r="V492" s="16">
        <f>IF(T492="","",T492/MAX(T$5:T492)-1)</f>
        <v/>
      </c>
    </row>
    <row r="493" spans="1:19">
      <c r="A493" s="15" t="str">
        <f>IF('实盘净值数据(iFinD）'!A493="","",'实盘净值数据(iFinD）'!A493)</f>
        <v/>
      </c>
      <c r="B493" s="13" t="str">
        <f>IF(OR('实盘净值数据(iFinD）'!$A493="",'实盘净值数据(iFinD）'!$B493=""),"",分期持仓明细!$AB$17*SUMPRODUCT(分期持仓明细!$B$17:$Y$17,'实盘净值数据(iFinD）'!$B493:$Y493/'实盘净值数据(iFinD）'!$B$20:$Y$20)*(1-实盘持仓初始配置!$Z$4)^(('实盘净值数据(iFinD）'!$A493-'实盘净值数据(iFinD）'!$A$6)/365))</f>
        <v/>
      </c>
      <c r="C493" s="16" t="str">
        <f t="shared" si="42"/>
        <v/>
      </c>
      <c r="D493" s="16" t="str">
        <f>IF(B493="","",B493/MAX(B$5:B493)-1)</f>
        <v/>
      </c>
      <c r="E493" s="13" t="str">
        <f>IF(OR('实盘净值数据(iFinD）'!$A493="",'实盘净值数据(iFinD）'!$B493=""),"",分期持仓明细!$AB$18*SUMPRODUCT(分期持仓明细!$B$18:$Y$18,'实盘净值数据(iFinD）'!$B493:$Y493/'实盘净值数据(iFinD）'!$B$20:$Y$20)*(1-实盘持仓初始配置!$Z$5)^(('实盘净值数据(iFinD）'!$A493-'实盘净值数据(iFinD）'!$A$5)/365))</f>
        <v/>
      </c>
      <c r="F493" s="16" t="str">
        <f t="shared" si="43"/>
        <v/>
      </c>
      <c r="G493" s="16" t="str">
        <f>IF(E493="","",E493/MAX(E$5:E493)-1)</f>
        <v/>
      </c>
      <c r="H493" s="13" t="str">
        <f>IF(OR('实盘净值数据(iFinD）'!$A493="",'实盘净值数据(iFinD）'!$B493=""),"",分期持仓明细!$AB$19*SUMPRODUCT(分期持仓明细!$B$19:$Y$19,'实盘净值数据(iFinD）'!$B493:$Y493/'实盘净值数据(iFinD）'!$B$20:$Y$20)*(1-实盘持仓初始配置!$Z$6)^(('实盘净值数据(iFinD）'!$A493-'实盘净值数据(iFinD）'!$A$7)/365))</f>
        <v/>
      </c>
      <c r="I493" s="16" t="str">
        <f t="shared" si="44"/>
        <v/>
      </c>
      <c r="J493" s="16" t="str">
        <f>IF(H493="","",H493/MAX(H$5:H493)-1)</f>
        <v/>
      </c>
      <c r="K493" s="13" t="str">
        <f>IF(OR('实盘净值数据(iFinD）'!$A493="",'实盘净值数据(iFinD）'!$B493="",'实盘净值数据(iFinD）'!$Z493="",'实盘净值数据(iFinD）'!$AA493=""),"",分期持仓明细!$AB$23*(SUMPRODUCT(分期持仓明细!$B$23:$Y$23,'实盘净值数据(iFinD）'!$B493:$Y493/'实盘净值数据(iFinD）'!$B$65:$Y$65)+SUMPRODUCT(分期持仓明细!$AC$23:$AD$23,'实盘净值数据(iFinD）'!$Z493:$AA493/'实盘净值数据(iFinD）'!$Z$65:$AA$65))*(1-实盘持仓初始配置!$Z$7)^(('实盘净值数据(iFinD）'!$A493-'实盘净值数据(iFinD）'!$A$8)/365))</f>
        <v/>
      </c>
      <c r="L493" s="16" t="str">
        <f t="shared" si="45"/>
        <v/>
      </c>
      <c r="M493" s="16" t="str">
        <f>IF(K493="","",K493/MAX(K$5:K493)-1)</f>
        <v/>
      </c>
      <c r="N493" s="13" t="str">
        <f>IF(OR('实盘净值数据(iFinD）'!$A493="",'实盘净值数据(iFinD）'!$B493="",'实盘净值数据(iFinD）'!$Z493="",'实盘净值数据(iFinD）'!$AA493=""),"",分期持仓明细!$AB$24*(SUMPRODUCT(分期持仓明细!$B$24:$Y$24,'实盘净值数据(iFinD）'!$B493:$Y493/'实盘净值数据(iFinD）'!$B$65:$Y$65)+SUMPRODUCT(分期持仓明细!$AC$24:$AD$24,'实盘净值数据(iFinD）'!$Z493:$AA493/'实盘净值数据(iFinD）'!$Z$65:$AA$65))*(1-实盘持仓初始配置!$Z$8)^(('实盘净值数据(iFinD）'!$A493-'实盘净值数据(iFinD）'!$A$5)/365))</f>
        <v/>
      </c>
      <c r="O493" s="16" t="str">
        <f t="shared" si="46"/>
        <v/>
      </c>
      <c r="P493" s="16" t="str">
        <f>IF(N493="","",N493/MAX(N$5:N493)-1)</f>
        <v/>
      </c>
      <c r="Q493" s="13" t="str">
        <f>IF(OR('实盘净值数据(iFinD）'!$A493="",'实盘净值数据(iFinD）'!$B493="",'实盘净值数据(iFinD）'!$Z493="",'实盘净值数据(iFinD）'!$AA493=""),"",分期持仓明细!$AB$25*(SUMPRODUCT(分期持仓明细!$B$25:$Y$25,'实盘净值数据(iFinD）'!$B493:$Y493/'实盘净值数据(iFinD）'!$B$65:$Y$65)+SUMPRODUCT(分期持仓明细!$AC$25:$AD$25,'实盘净值数据(iFinD）'!$Z493:$AA493/'实盘净值数据(iFinD）'!$Z$65:$AA$65))*(1-实盘持仓初始配置!$Z$9)^(('实盘净值数据(iFinD）'!$A493-'实盘净值数据(iFinD）'!$A$8)/365))</f>
        <v/>
      </c>
      <c r="R493" s="16" t="str">
        <f t="shared" si="47"/>
        <v/>
      </c>
      <c r="S493" s="16" t="str">
        <f>IF(Q493="","",Q493/MAX(Q$5:Q493)-1)</f>
        <v/>
      </c>
      <c r="T493" s="13">
        <f>IF(OR('实盘净值数据(iFinD）'!$A493="",'实盘净值数据(iFinD）'!$B493="",'实盘净值数据(iFinD）'!$Z493="",'实盘净值数据(iFinD）'!$AA493="",'实盘净值数据(iFinD）'!$AB493="",'实盘净值数据(iFinD）'!$AL493=""),"",(SUMPRODUCT(分期持仓明细!$B$26:$Y$26,'实盘净值数据(iFinD）'!$B493:$Y493/'实盘净值数据(iFinD）'!$B$69:$Y$69)+SUMPRODUCT(分期持仓明细!$AC$26:$AD$26,'实盘净值数据(iFinD）'!$Z493:$AA493/'实盘净值数据(iFinD）'!$Z$69:$AA$69)+SUMPRODUCT(分期持仓明细!$AE$26:$AO$26,'实盘净值数据(iFinD）'!$AB493:$AL493/'实盘净值数据(iFinD）'!$AB$69:$AL$69))*(1-实盘持仓初始配置!$Z$10)^(('实盘净值数据(iFinD）'!$A493-'实盘净值数据(iFinD）'!$A$69)/365))</f>
        <v/>
      </c>
      <c r="U493" s="16">
        <f>IF(OR(T492="",T493=""),"",T493/T492-1)</f>
        <v/>
      </c>
      <c r="V493" s="16">
        <f>IF(T493="","",T493/MAX(T$5:T493)-1)</f>
        <v/>
      </c>
    </row>
    <row r="494" spans="1:19">
      <c r="A494" s="15" t="str">
        <f>IF('实盘净值数据(iFinD）'!A494="","",'实盘净值数据(iFinD）'!A494)</f>
        <v/>
      </c>
      <c r="B494" s="13" t="str">
        <f>IF(OR('实盘净值数据(iFinD）'!$A494="",'实盘净值数据(iFinD）'!$B494=""),"",分期持仓明细!$AB$17*SUMPRODUCT(分期持仓明细!$B$17:$Y$17,'实盘净值数据(iFinD）'!$B494:$Y494/'实盘净值数据(iFinD）'!$B$20:$Y$20)*(1-实盘持仓初始配置!$Z$4)^(('实盘净值数据(iFinD）'!$A494-'实盘净值数据(iFinD）'!$A$6)/365))</f>
        <v/>
      </c>
      <c r="C494" s="16" t="str">
        <f t="shared" si="42"/>
        <v/>
      </c>
      <c r="D494" s="16" t="str">
        <f>IF(B494="","",B494/MAX(B$5:B494)-1)</f>
        <v/>
      </c>
      <c r="E494" s="13" t="str">
        <f>IF(OR('实盘净值数据(iFinD）'!$A494="",'实盘净值数据(iFinD）'!$B494=""),"",分期持仓明细!$AB$18*SUMPRODUCT(分期持仓明细!$B$18:$Y$18,'实盘净值数据(iFinD）'!$B494:$Y494/'实盘净值数据(iFinD）'!$B$20:$Y$20)*(1-实盘持仓初始配置!$Z$5)^(('实盘净值数据(iFinD）'!$A494-'实盘净值数据(iFinD）'!$A$5)/365))</f>
        <v/>
      </c>
      <c r="F494" s="16" t="str">
        <f t="shared" si="43"/>
        <v/>
      </c>
      <c r="G494" s="16" t="str">
        <f>IF(E494="","",E494/MAX(E$5:E494)-1)</f>
        <v/>
      </c>
      <c r="H494" s="13" t="str">
        <f>IF(OR('实盘净值数据(iFinD）'!$A494="",'实盘净值数据(iFinD）'!$B494=""),"",分期持仓明细!$AB$19*SUMPRODUCT(分期持仓明细!$B$19:$Y$19,'实盘净值数据(iFinD）'!$B494:$Y494/'实盘净值数据(iFinD）'!$B$20:$Y$20)*(1-实盘持仓初始配置!$Z$6)^(('实盘净值数据(iFinD）'!$A494-'实盘净值数据(iFinD）'!$A$7)/365))</f>
        <v/>
      </c>
      <c r="I494" s="16" t="str">
        <f t="shared" si="44"/>
        <v/>
      </c>
      <c r="J494" s="16" t="str">
        <f>IF(H494="","",H494/MAX(H$5:H494)-1)</f>
        <v/>
      </c>
      <c r="K494" s="13" t="str">
        <f>IF(OR('实盘净值数据(iFinD）'!$A494="",'实盘净值数据(iFinD）'!$B494="",'实盘净值数据(iFinD）'!$Z494="",'实盘净值数据(iFinD）'!$AA494=""),"",分期持仓明细!$AB$23*(SUMPRODUCT(分期持仓明细!$B$23:$Y$23,'实盘净值数据(iFinD）'!$B494:$Y494/'实盘净值数据(iFinD）'!$B$65:$Y$65)+SUMPRODUCT(分期持仓明细!$AC$23:$AD$23,'实盘净值数据(iFinD）'!$Z494:$AA494/'实盘净值数据(iFinD）'!$Z$65:$AA$65))*(1-实盘持仓初始配置!$Z$7)^(('实盘净值数据(iFinD）'!$A494-'实盘净值数据(iFinD）'!$A$8)/365))</f>
        <v/>
      </c>
      <c r="L494" s="16" t="str">
        <f t="shared" si="45"/>
        <v/>
      </c>
      <c r="M494" s="16" t="str">
        <f>IF(K494="","",K494/MAX(K$5:K494)-1)</f>
        <v/>
      </c>
      <c r="N494" s="13" t="str">
        <f>IF(OR('实盘净值数据(iFinD）'!$A494="",'实盘净值数据(iFinD）'!$B494="",'实盘净值数据(iFinD）'!$Z494="",'实盘净值数据(iFinD）'!$AA494=""),"",分期持仓明细!$AB$24*(SUMPRODUCT(分期持仓明细!$B$24:$Y$24,'实盘净值数据(iFinD）'!$B494:$Y494/'实盘净值数据(iFinD）'!$B$65:$Y$65)+SUMPRODUCT(分期持仓明细!$AC$24:$AD$24,'实盘净值数据(iFinD）'!$Z494:$AA494/'实盘净值数据(iFinD）'!$Z$65:$AA$65))*(1-实盘持仓初始配置!$Z$8)^(('实盘净值数据(iFinD）'!$A494-'实盘净值数据(iFinD）'!$A$5)/365))</f>
        <v/>
      </c>
      <c r="O494" s="16" t="str">
        <f t="shared" si="46"/>
        <v/>
      </c>
      <c r="P494" s="16" t="str">
        <f>IF(N494="","",N494/MAX(N$5:N494)-1)</f>
        <v/>
      </c>
      <c r="Q494" s="13" t="str">
        <f>IF(OR('实盘净值数据(iFinD）'!$A494="",'实盘净值数据(iFinD）'!$B494="",'实盘净值数据(iFinD）'!$Z494="",'实盘净值数据(iFinD）'!$AA494=""),"",分期持仓明细!$AB$25*(SUMPRODUCT(分期持仓明细!$B$25:$Y$25,'实盘净值数据(iFinD）'!$B494:$Y494/'实盘净值数据(iFinD）'!$B$65:$Y$65)+SUMPRODUCT(分期持仓明细!$AC$25:$AD$25,'实盘净值数据(iFinD）'!$Z494:$AA494/'实盘净值数据(iFinD）'!$Z$65:$AA$65))*(1-实盘持仓初始配置!$Z$9)^(('实盘净值数据(iFinD）'!$A494-'实盘净值数据(iFinD）'!$A$8)/365))</f>
        <v/>
      </c>
      <c r="R494" s="16" t="str">
        <f t="shared" si="47"/>
        <v/>
      </c>
      <c r="S494" s="16" t="str">
        <f>IF(Q494="","",Q494/MAX(Q$5:Q494)-1)</f>
        <v/>
      </c>
      <c r="T494" s="13">
        <f>IF(OR('实盘净值数据(iFinD）'!$A494="",'实盘净值数据(iFinD）'!$B494="",'实盘净值数据(iFinD）'!$Z494="",'实盘净值数据(iFinD）'!$AA494="",'实盘净值数据(iFinD）'!$AB494="",'实盘净值数据(iFinD）'!$AL494=""),"",(SUMPRODUCT(分期持仓明细!$B$26:$Y$26,'实盘净值数据(iFinD）'!$B494:$Y494/'实盘净值数据(iFinD）'!$B$69:$Y$69)+SUMPRODUCT(分期持仓明细!$AC$26:$AD$26,'实盘净值数据(iFinD）'!$Z494:$AA494/'实盘净值数据(iFinD）'!$Z$69:$AA$69)+SUMPRODUCT(分期持仓明细!$AE$26:$AO$26,'实盘净值数据(iFinD）'!$AB494:$AL494/'实盘净值数据(iFinD）'!$AB$69:$AL$69))*(1-实盘持仓初始配置!$Z$10)^(('实盘净值数据(iFinD）'!$A494-'实盘净值数据(iFinD）'!$A$69)/365))</f>
        <v/>
      </c>
      <c r="U494" s="16">
        <f>IF(OR(T493="",T494=""),"",T494/T493-1)</f>
        <v/>
      </c>
      <c r="V494" s="16">
        <f>IF(T494="","",T494/MAX(T$5:T494)-1)</f>
        <v/>
      </c>
    </row>
    <row r="495" spans="1:19">
      <c r="A495" s="15" t="str">
        <f>IF('实盘净值数据(iFinD）'!A495="","",'实盘净值数据(iFinD）'!A495)</f>
        <v/>
      </c>
      <c r="B495" s="13" t="str">
        <f>IF(OR('实盘净值数据(iFinD）'!$A495="",'实盘净值数据(iFinD）'!$B495=""),"",分期持仓明细!$AB$17*SUMPRODUCT(分期持仓明细!$B$17:$Y$17,'实盘净值数据(iFinD）'!$B495:$Y495/'实盘净值数据(iFinD）'!$B$20:$Y$20)*(1-实盘持仓初始配置!$Z$4)^(('实盘净值数据(iFinD）'!$A495-'实盘净值数据(iFinD）'!$A$6)/365))</f>
        <v/>
      </c>
      <c r="C495" s="16" t="str">
        <f t="shared" si="42"/>
        <v/>
      </c>
      <c r="D495" s="16" t="str">
        <f>IF(B495="","",B495/MAX(B$5:B495)-1)</f>
        <v/>
      </c>
      <c r="E495" s="13" t="str">
        <f>IF(OR('实盘净值数据(iFinD）'!$A495="",'实盘净值数据(iFinD）'!$B495=""),"",分期持仓明细!$AB$18*SUMPRODUCT(分期持仓明细!$B$18:$Y$18,'实盘净值数据(iFinD）'!$B495:$Y495/'实盘净值数据(iFinD）'!$B$20:$Y$20)*(1-实盘持仓初始配置!$Z$5)^(('实盘净值数据(iFinD）'!$A495-'实盘净值数据(iFinD）'!$A$5)/365))</f>
        <v/>
      </c>
      <c r="F495" s="16" t="str">
        <f t="shared" si="43"/>
        <v/>
      </c>
      <c r="G495" s="16" t="str">
        <f>IF(E495="","",E495/MAX(E$5:E495)-1)</f>
        <v/>
      </c>
      <c r="H495" s="13" t="str">
        <f>IF(OR('实盘净值数据(iFinD）'!$A495="",'实盘净值数据(iFinD）'!$B495=""),"",分期持仓明细!$AB$19*SUMPRODUCT(分期持仓明细!$B$19:$Y$19,'实盘净值数据(iFinD）'!$B495:$Y495/'实盘净值数据(iFinD）'!$B$20:$Y$20)*(1-实盘持仓初始配置!$Z$6)^(('实盘净值数据(iFinD）'!$A495-'实盘净值数据(iFinD）'!$A$7)/365))</f>
        <v/>
      </c>
      <c r="I495" s="16" t="str">
        <f t="shared" si="44"/>
        <v/>
      </c>
      <c r="J495" s="16" t="str">
        <f>IF(H495="","",H495/MAX(H$5:H495)-1)</f>
        <v/>
      </c>
      <c r="K495" s="13" t="str">
        <f>IF(OR('实盘净值数据(iFinD）'!$A495="",'实盘净值数据(iFinD）'!$B495="",'实盘净值数据(iFinD）'!$Z495="",'实盘净值数据(iFinD）'!$AA495=""),"",分期持仓明细!$AB$23*(SUMPRODUCT(分期持仓明细!$B$23:$Y$23,'实盘净值数据(iFinD）'!$B495:$Y495/'实盘净值数据(iFinD）'!$B$65:$Y$65)+SUMPRODUCT(分期持仓明细!$AC$23:$AD$23,'实盘净值数据(iFinD）'!$Z495:$AA495/'实盘净值数据(iFinD）'!$Z$65:$AA$65))*(1-实盘持仓初始配置!$Z$7)^(('实盘净值数据(iFinD）'!$A495-'实盘净值数据(iFinD）'!$A$8)/365))</f>
        <v/>
      </c>
      <c r="L495" s="16" t="str">
        <f t="shared" si="45"/>
        <v/>
      </c>
      <c r="M495" s="16" t="str">
        <f>IF(K495="","",K495/MAX(K$5:K495)-1)</f>
        <v/>
      </c>
      <c r="N495" s="13" t="str">
        <f>IF(OR('实盘净值数据(iFinD）'!$A495="",'实盘净值数据(iFinD）'!$B495="",'实盘净值数据(iFinD）'!$Z495="",'实盘净值数据(iFinD）'!$AA495=""),"",分期持仓明细!$AB$24*(SUMPRODUCT(分期持仓明细!$B$24:$Y$24,'实盘净值数据(iFinD）'!$B495:$Y495/'实盘净值数据(iFinD）'!$B$65:$Y$65)+SUMPRODUCT(分期持仓明细!$AC$24:$AD$24,'实盘净值数据(iFinD）'!$Z495:$AA495/'实盘净值数据(iFinD）'!$Z$65:$AA$65))*(1-实盘持仓初始配置!$Z$8)^(('实盘净值数据(iFinD）'!$A495-'实盘净值数据(iFinD）'!$A$5)/365))</f>
        <v/>
      </c>
      <c r="O495" s="16" t="str">
        <f t="shared" si="46"/>
        <v/>
      </c>
      <c r="P495" s="16" t="str">
        <f>IF(N495="","",N495/MAX(N$5:N495)-1)</f>
        <v/>
      </c>
      <c r="Q495" s="13" t="str">
        <f>IF(OR('实盘净值数据(iFinD）'!$A495="",'实盘净值数据(iFinD）'!$B495="",'实盘净值数据(iFinD）'!$Z495="",'实盘净值数据(iFinD）'!$AA495=""),"",分期持仓明细!$AB$25*(SUMPRODUCT(分期持仓明细!$B$25:$Y$25,'实盘净值数据(iFinD）'!$B495:$Y495/'实盘净值数据(iFinD）'!$B$65:$Y$65)+SUMPRODUCT(分期持仓明细!$AC$25:$AD$25,'实盘净值数据(iFinD）'!$Z495:$AA495/'实盘净值数据(iFinD）'!$Z$65:$AA$65))*(1-实盘持仓初始配置!$Z$9)^(('实盘净值数据(iFinD）'!$A495-'实盘净值数据(iFinD）'!$A$8)/365))</f>
        <v/>
      </c>
      <c r="R495" s="16" t="str">
        <f t="shared" si="47"/>
        <v/>
      </c>
      <c r="S495" s="16" t="str">
        <f>IF(Q495="","",Q495/MAX(Q$5:Q495)-1)</f>
        <v/>
      </c>
      <c r="T495" s="13">
        <f>IF(OR('实盘净值数据(iFinD）'!$A495="",'实盘净值数据(iFinD）'!$B495="",'实盘净值数据(iFinD）'!$Z495="",'实盘净值数据(iFinD）'!$AA495="",'实盘净值数据(iFinD）'!$AB495="",'实盘净值数据(iFinD）'!$AL495=""),"",(SUMPRODUCT(分期持仓明细!$B$26:$Y$26,'实盘净值数据(iFinD）'!$B495:$Y495/'实盘净值数据(iFinD）'!$B$69:$Y$69)+SUMPRODUCT(分期持仓明细!$AC$26:$AD$26,'实盘净值数据(iFinD）'!$Z495:$AA495/'实盘净值数据(iFinD）'!$Z$69:$AA$69)+SUMPRODUCT(分期持仓明细!$AE$26:$AO$26,'实盘净值数据(iFinD）'!$AB495:$AL495/'实盘净值数据(iFinD）'!$AB$69:$AL$69))*(1-实盘持仓初始配置!$Z$10)^(('实盘净值数据(iFinD）'!$A495-'实盘净值数据(iFinD）'!$A$69)/365))</f>
        <v/>
      </c>
      <c r="U495" s="16">
        <f>IF(OR(T494="",T495=""),"",T495/T494-1)</f>
        <v/>
      </c>
      <c r="V495" s="16">
        <f>IF(T495="","",T495/MAX(T$5:T495)-1)</f>
        <v/>
      </c>
    </row>
    <row r="496" spans="1:19">
      <c r="A496" s="15" t="str">
        <f>IF('实盘净值数据(iFinD）'!A496="","",'实盘净值数据(iFinD）'!A496)</f>
        <v/>
      </c>
      <c r="B496" s="13" t="str">
        <f>IF(OR('实盘净值数据(iFinD）'!$A496="",'实盘净值数据(iFinD）'!$B496=""),"",分期持仓明细!$AB$17*SUMPRODUCT(分期持仓明细!$B$17:$Y$17,'实盘净值数据(iFinD）'!$B496:$Y496/'实盘净值数据(iFinD）'!$B$20:$Y$20)*(1-实盘持仓初始配置!$Z$4)^(('实盘净值数据(iFinD）'!$A496-'实盘净值数据(iFinD）'!$A$6)/365))</f>
        <v/>
      </c>
      <c r="C496" s="16" t="str">
        <f t="shared" si="42"/>
        <v/>
      </c>
      <c r="D496" s="16" t="str">
        <f>IF(B496="","",B496/MAX(B$5:B496)-1)</f>
        <v/>
      </c>
      <c r="E496" s="13" t="str">
        <f>IF(OR('实盘净值数据(iFinD）'!$A496="",'实盘净值数据(iFinD）'!$B496=""),"",分期持仓明细!$AB$18*SUMPRODUCT(分期持仓明细!$B$18:$Y$18,'实盘净值数据(iFinD）'!$B496:$Y496/'实盘净值数据(iFinD）'!$B$20:$Y$20)*(1-实盘持仓初始配置!$Z$5)^(('实盘净值数据(iFinD）'!$A496-'实盘净值数据(iFinD）'!$A$5)/365))</f>
        <v/>
      </c>
      <c r="F496" s="16" t="str">
        <f t="shared" si="43"/>
        <v/>
      </c>
      <c r="G496" s="16" t="str">
        <f>IF(E496="","",E496/MAX(E$5:E496)-1)</f>
        <v/>
      </c>
      <c r="H496" s="13" t="str">
        <f>IF(OR('实盘净值数据(iFinD）'!$A496="",'实盘净值数据(iFinD）'!$B496=""),"",分期持仓明细!$AB$19*SUMPRODUCT(分期持仓明细!$B$19:$Y$19,'实盘净值数据(iFinD）'!$B496:$Y496/'实盘净值数据(iFinD）'!$B$20:$Y$20)*(1-实盘持仓初始配置!$Z$6)^(('实盘净值数据(iFinD）'!$A496-'实盘净值数据(iFinD）'!$A$7)/365))</f>
        <v/>
      </c>
      <c r="I496" s="16" t="str">
        <f t="shared" si="44"/>
        <v/>
      </c>
      <c r="J496" s="16" t="str">
        <f>IF(H496="","",H496/MAX(H$5:H496)-1)</f>
        <v/>
      </c>
      <c r="K496" s="13" t="str">
        <f>IF(OR('实盘净值数据(iFinD）'!$A496="",'实盘净值数据(iFinD）'!$B496="",'实盘净值数据(iFinD）'!$Z496="",'实盘净值数据(iFinD）'!$AA496=""),"",分期持仓明细!$AB$23*(SUMPRODUCT(分期持仓明细!$B$23:$Y$23,'实盘净值数据(iFinD）'!$B496:$Y496/'实盘净值数据(iFinD）'!$B$65:$Y$65)+SUMPRODUCT(分期持仓明细!$AC$23:$AD$23,'实盘净值数据(iFinD）'!$Z496:$AA496/'实盘净值数据(iFinD）'!$Z$65:$AA$65))*(1-实盘持仓初始配置!$Z$7)^(('实盘净值数据(iFinD）'!$A496-'实盘净值数据(iFinD）'!$A$8)/365))</f>
        <v/>
      </c>
      <c r="L496" s="16" t="str">
        <f t="shared" si="45"/>
        <v/>
      </c>
      <c r="M496" s="16" t="str">
        <f>IF(K496="","",K496/MAX(K$5:K496)-1)</f>
        <v/>
      </c>
      <c r="N496" s="13" t="str">
        <f>IF(OR('实盘净值数据(iFinD）'!$A496="",'实盘净值数据(iFinD）'!$B496="",'实盘净值数据(iFinD）'!$Z496="",'实盘净值数据(iFinD）'!$AA496=""),"",分期持仓明细!$AB$24*(SUMPRODUCT(分期持仓明细!$B$24:$Y$24,'实盘净值数据(iFinD）'!$B496:$Y496/'实盘净值数据(iFinD）'!$B$65:$Y$65)+SUMPRODUCT(分期持仓明细!$AC$24:$AD$24,'实盘净值数据(iFinD）'!$Z496:$AA496/'实盘净值数据(iFinD）'!$Z$65:$AA$65))*(1-实盘持仓初始配置!$Z$8)^(('实盘净值数据(iFinD）'!$A496-'实盘净值数据(iFinD）'!$A$5)/365))</f>
        <v/>
      </c>
      <c r="O496" s="16" t="str">
        <f t="shared" si="46"/>
        <v/>
      </c>
      <c r="P496" s="16" t="str">
        <f>IF(N496="","",N496/MAX(N$5:N496)-1)</f>
        <v/>
      </c>
      <c r="Q496" s="13" t="str">
        <f>IF(OR('实盘净值数据(iFinD）'!$A496="",'实盘净值数据(iFinD）'!$B496="",'实盘净值数据(iFinD）'!$Z496="",'实盘净值数据(iFinD）'!$AA496=""),"",分期持仓明细!$AB$25*(SUMPRODUCT(分期持仓明细!$B$25:$Y$25,'实盘净值数据(iFinD）'!$B496:$Y496/'实盘净值数据(iFinD）'!$B$65:$Y$65)+SUMPRODUCT(分期持仓明细!$AC$25:$AD$25,'实盘净值数据(iFinD）'!$Z496:$AA496/'实盘净值数据(iFinD）'!$Z$65:$AA$65))*(1-实盘持仓初始配置!$Z$9)^(('实盘净值数据(iFinD）'!$A496-'实盘净值数据(iFinD）'!$A$8)/365))</f>
        <v/>
      </c>
      <c r="R496" s="16" t="str">
        <f t="shared" si="47"/>
        <v/>
      </c>
      <c r="S496" s="16" t="str">
        <f>IF(Q496="","",Q496/MAX(Q$5:Q496)-1)</f>
        <v/>
      </c>
      <c r="T496" s="13">
        <f>IF(OR('实盘净值数据(iFinD）'!$A496="",'实盘净值数据(iFinD）'!$B496="",'实盘净值数据(iFinD）'!$Z496="",'实盘净值数据(iFinD）'!$AA496="",'实盘净值数据(iFinD）'!$AB496="",'实盘净值数据(iFinD）'!$AL496=""),"",(SUMPRODUCT(分期持仓明细!$B$26:$Y$26,'实盘净值数据(iFinD）'!$B496:$Y496/'实盘净值数据(iFinD）'!$B$69:$Y$69)+SUMPRODUCT(分期持仓明细!$AC$26:$AD$26,'实盘净值数据(iFinD）'!$Z496:$AA496/'实盘净值数据(iFinD）'!$Z$69:$AA$69)+SUMPRODUCT(分期持仓明细!$AE$26:$AO$26,'实盘净值数据(iFinD）'!$AB496:$AL496/'实盘净值数据(iFinD）'!$AB$69:$AL$69))*(1-实盘持仓初始配置!$Z$10)^(('实盘净值数据(iFinD）'!$A496-'实盘净值数据(iFinD）'!$A$69)/365))</f>
        <v/>
      </c>
      <c r="U496" s="16">
        <f>IF(OR(T495="",T496=""),"",T496/T495-1)</f>
        <v/>
      </c>
      <c r="V496" s="16">
        <f>IF(T496="","",T496/MAX(T$5:T496)-1)</f>
        <v/>
      </c>
    </row>
    <row r="497" spans="1:19">
      <c r="A497" s="15" t="str">
        <f>IF('实盘净值数据(iFinD）'!A497="","",'实盘净值数据(iFinD）'!A497)</f>
        <v/>
      </c>
      <c r="B497" s="13" t="str">
        <f>IF(OR('实盘净值数据(iFinD）'!$A497="",'实盘净值数据(iFinD）'!$B497=""),"",分期持仓明细!$AB$17*SUMPRODUCT(分期持仓明细!$B$17:$Y$17,'实盘净值数据(iFinD）'!$B497:$Y497/'实盘净值数据(iFinD）'!$B$20:$Y$20)*(1-实盘持仓初始配置!$Z$4)^(('实盘净值数据(iFinD）'!$A497-'实盘净值数据(iFinD）'!$A$6)/365))</f>
        <v/>
      </c>
      <c r="C497" s="16" t="str">
        <f t="shared" si="42"/>
        <v/>
      </c>
      <c r="D497" s="16" t="str">
        <f>IF(B497="","",B497/MAX(B$5:B497)-1)</f>
        <v/>
      </c>
      <c r="E497" s="13" t="str">
        <f>IF(OR('实盘净值数据(iFinD）'!$A497="",'实盘净值数据(iFinD）'!$B497=""),"",分期持仓明细!$AB$18*SUMPRODUCT(分期持仓明细!$B$18:$Y$18,'实盘净值数据(iFinD）'!$B497:$Y497/'实盘净值数据(iFinD）'!$B$20:$Y$20)*(1-实盘持仓初始配置!$Z$5)^(('实盘净值数据(iFinD）'!$A497-'实盘净值数据(iFinD）'!$A$5)/365))</f>
        <v/>
      </c>
      <c r="F497" s="16" t="str">
        <f t="shared" si="43"/>
        <v/>
      </c>
      <c r="G497" s="16" t="str">
        <f>IF(E497="","",E497/MAX(E$5:E497)-1)</f>
        <v/>
      </c>
      <c r="H497" s="13" t="str">
        <f>IF(OR('实盘净值数据(iFinD）'!$A497="",'实盘净值数据(iFinD）'!$B497=""),"",分期持仓明细!$AB$19*SUMPRODUCT(分期持仓明细!$B$19:$Y$19,'实盘净值数据(iFinD）'!$B497:$Y497/'实盘净值数据(iFinD）'!$B$20:$Y$20)*(1-实盘持仓初始配置!$Z$6)^(('实盘净值数据(iFinD）'!$A497-'实盘净值数据(iFinD）'!$A$7)/365))</f>
        <v/>
      </c>
      <c r="I497" s="16" t="str">
        <f t="shared" si="44"/>
        <v/>
      </c>
      <c r="J497" s="16" t="str">
        <f>IF(H497="","",H497/MAX(H$5:H497)-1)</f>
        <v/>
      </c>
      <c r="K497" s="13" t="str">
        <f>IF(OR('实盘净值数据(iFinD）'!$A497="",'实盘净值数据(iFinD）'!$B497="",'实盘净值数据(iFinD）'!$Z497="",'实盘净值数据(iFinD）'!$AA497=""),"",分期持仓明细!$AB$23*(SUMPRODUCT(分期持仓明细!$B$23:$Y$23,'实盘净值数据(iFinD）'!$B497:$Y497/'实盘净值数据(iFinD）'!$B$65:$Y$65)+SUMPRODUCT(分期持仓明细!$AC$23:$AD$23,'实盘净值数据(iFinD）'!$Z497:$AA497/'实盘净值数据(iFinD）'!$Z$65:$AA$65))*(1-实盘持仓初始配置!$Z$7)^(('实盘净值数据(iFinD）'!$A497-'实盘净值数据(iFinD）'!$A$8)/365))</f>
        <v/>
      </c>
      <c r="L497" s="16" t="str">
        <f t="shared" si="45"/>
        <v/>
      </c>
      <c r="M497" s="16" t="str">
        <f>IF(K497="","",K497/MAX(K$5:K497)-1)</f>
        <v/>
      </c>
      <c r="N497" s="13" t="str">
        <f>IF(OR('实盘净值数据(iFinD）'!$A497="",'实盘净值数据(iFinD）'!$B497="",'实盘净值数据(iFinD）'!$Z497="",'实盘净值数据(iFinD）'!$AA497=""),"",分期持仓明细!$AB$24*(SUMPRODUCT(分期持仓明细!$B$24:$Y$24,'实盘净值数据(iFinD）'!$B497:$Y497/'实盘净值数据(iFinD）'!$B$65:$Y$65)+SUMPRODUCT(分期持仓明细!$AC$24:$AD$24,'实盘净值数据(iFinD）'!$Z497:$AA497/'实盘净值数据(iFinD）'!$Z$65:$AA$65))*(1-实盘持仓初始配置!$Z$8)^(('实盘净值数据(iFinD）'!$A497-'实盘净值数据(iFinD）'!$A$5)/365))</f>
        <v/>
      </c>
      <c r="O497" s="16" t="str">
        <f t="shared" si="46"/>
        <v/>
      </c>
      <c r="P497" s="16" t="str">
        <f>IF(N497="","",N497/MAX(N$5:N497)-1)</f>
        <v/>
      </c>
      <c r="Q497" s="13" t="str">
        <f>IF(OR('实盘净值数据(iFinD）'!$A497="",'实盘净值数据(iFinD）'!$B497="",'实盘净值数据(iFinD）'!$Z497="",'实盘净值数据(iFinD）'!$AA497=""),"",分期持仓明细!$AB$25*(SUMPRODUCT(分期持仓明细!$B$25:$Y$25,'实盘净值数据(iFinD）'!$B497:$Y497/'实盘净值数据(iFinD）'!$B$65:$Y$65)+SUMPRODUCT(分期持仓明细!$AC$25:$AD$25,'实盘净值数据(iFinD）'!$Z497:$AA497/'实盘净值数据(iFinD）'!$Z$65:$AA$65))*(1-实盘持仓初始配置!$Z$9)^(('实盘净值数据(iFinD）'!$A497-'实盘净值数据(iFinD）'!$A$8)/365))</f>
        <v/>
      </c>
      <c r="R497" s="16" t="str">
        <f t="shared" si="47"/>
        <v/>
      </c>
      <c r="S497" s="16" t="str">
        <f>IF(Q497="","",Q497/MAX(Q$5:Q497)-1)</f>
        <v/>
      </c>
      <c r="T497" s="13">
        <f>IF(OR('实盘净值数据(iFinD）'!$A497="",'实盘净值数据(iFinD）'!$B497="",'实盘净值数据(iFinD）'!$Z497="",'实盘净值数据(iFinD）'!$AA497="",'实盘净值数据(iFinD）'!$AB497="",'实盘净值数据(iFinD）'!$AL497=""),"",(SUMPRODUCT(分期持仓明细!$B$26:$Y$26,'实盘净值数据(iFinD）'!$B497:$Y497/'实盘净值数据(iFinD）'!$B$69:$Y$69)+SUMPRODUCT(分期持仓明细!$AC$26:$AD$26,'实盘净值数据(iFinD）'!$Z497:$AA497/'实盘净值数据(iFinD）'!$Z$69:$AA$69)+SUMPRODUCT(分期持仓明细!$AE$26:$AO$26,'实盘净值数据(iFinD）'!$AB497:$AL497/'实盘净值数据(iFinD）'!$AB$69:$AL$69))*(1-实盘持仓初始配置!$Z$10)^(('实盘净值数据(iFinD）'!$A497-'实盘净值数据(iFinD）'!$A$69)/365))</f>
        <v/>
      </c>
      <c r="U497" s="16">
        <f>IF(OR(T496="",T497=""),"",T497/T496-1)</f>
        <v/>
      </c>
      <c r="V497" s="16">
        <f>IF(T497="","",T497/MAX(T$5:T497)-1)</f>
        <v/>
      </c>
    </row>
    <row r="498" spans="1:19">
      <c r="A498" s="15" t="str">
        <f>IF('实盘净值数据(iFinD）'!A498="","",'实盘净值数据(iFinD）'!A498)</f>
        <v/>
      </c>
      <c r="B498" s="13" t="str">
        <f>IF(OR('实盘净值数据(iFinD）'!$A498="",'实盘净值数据(iFinD）'!$B498=""),"",分期持仓明细!$AB$17*SUMPRODUCT(分期持仓明细!$B$17:$Y$17,'实盘净值数据(iFinD）'!$B498:$Y498/'实盘净值数据(iFinD）'!$B$20:$Y$20)*(1-实盘持仓初始配置!$Z$4)^(('实盘净值数据(iFinD）'!$A498-'实盘净值数据(iFinD）'!$A$6)/365))</f>
        <v/>
      </c>
      <c r="C498" s="16" t="str">
        <f t="shared" si="42"/>
        <v/>
      </c>
      <c r="D498" s="16" t="str">
        <f>IF(B498="","",B498/MAX(B$5:B498)-1)</f>
        <v/>
      </c>
      <c r="E498" s="13" t="str">
        <f>IF(OR('实盘净值数据(iFinD）'!$A498="",'实盘净值数据(iFinD）'!$B498=""),"",分期持仓明细!$AB$18*SUMPRODUCT(分期持仓明细!$B$18:$Y$18,'实盘净值数据(iFinD）'!$B498:$Y498/'实盘净值数据(iFinD）'!$B$20:$Y$20)*(1-实盘持仓初始配置!$Z$5)^(('实盘净值数据(iFinD）'!$A498-'实盘净值数据(iFinD）'!$A$5)/365))</f>
        <v/>
      </c>
      <c r="F498" s="16" t="str">
        <f t="shared" si="43"/>
        <v/>
      </c>
      <c r="G498" s="16" t="str">
        <f>IF(E498="","",E498/MAX(E$5:E498)-1)</f>
        <v/>
      </c>
      <c r="H498" s="13" t="str">
        <f>IF(OR('实盘净值数据(iFinD）'!$A498="",'实盘净值数据(iFinD）'!$B498=""),"",分期持仓明细!$AB$19*SUMPRODUCT(分期持仓明细!$B$19:$Y$19,'实盘净值数据(iFinD）'!$B498:$Y498/'实盘净值数据(iFinD）'!$B$20:$Y$20)*(1-实盘持仓初始配置!$Z$6)^(('实盘净值数据(iFinD）'!$A498-'实盘净值数据(iFinD）'!$A$7)/365))</f>
        <v/>
      </c>
      <c r="I498" s="16" t="str">
        <f t="shared" si="44"/>
        <v/>
      </c>
      <c r="J498" s="16" t="str">
        <f>IF(H498="","",H498/MAX(H$5:H498)-1)</f>
        <v/>
      </c>
      <c r="K498" s="13" t="str">
        <f>IF(OR('实盘净值数据(iFinD）'!$A498="",'实盘净值数据(iFinD）'!$B498="",'实盘净值数据(iFinD）'!$Z498="",'实盘净值数据(iFinD）'!$AA498=""),"",分期持仓明细!$AB$23*(SUMPRODUCT(分期持仓明细!$B$23:$Y$23,'实盘净值数据(iFinD）'!$B498:$Y498/'实盘净值数据(iFinD）'!$B$65:$Y$65)+SUMPRODUCT(分期持仓明细!$AC$23:$AD$23,'实盘净值数据(iFinD）'!$Z498:$AA498/'实盘净值数据(iFinD）'!$Z$65:$AA$65))*(1-实盘持仓初始配置!$Z$7)^(('实盘净值数据(iFinD）'!$A498-'实盘净值数据(iFinD）'!$A$8)/365))</f>
        <v/>
      </c>
      <c r="L498" s="16" t="str">
        <f t="shared" si="45"/>
        <v/>
      </c>
      <c r="M498" s="16" t="str">
        <f>IF(K498="","",K498/MAX(K$5:K498)-1)</f>
        <v/>
      </c>
      <c r="N498" s="13" t="str">
        <f>IF(OR('实盘净值数据(iFinD）'!$A498="",'实盘净值数据(iFinD）'!$B498="",'实盘净值数据(iFinD）'!$Z498="",'实盘净值数据(iFinD）'!$AA498=""),"",分期持仓明细!$AB$24*(SUMPRODUCT(分期持仓明细!$B$24:$Y$24,'实盘净值数据(iFinD）'!$B498:$Y498/'实盘净值数据(iFinD）'!$B$65:$Y$65)+SUMPRODUCT(分期持仓明细!$AC$24:$AD$24,'实盘净值数据(iFinD）'!$Z498:$AA498/'实盘净值数据(iFinD）'!$Z$65:$AA$65))*(1-实盘持仓初始配置!$Z$8)^(('实盘净值数据(iFinD）'!$A498-'实盘净值数据(iFinD）'!$A$5)/365))</f>
        <v/>
      </c>
      <c r="O498" s="16" t="str">
        <f t="shared" si="46"/>
        <v/>
      </c>
      <c r="P498" s="16" t="str">
        <f>IF(N498="","",N498/MAX(N$5:N498)-1)</f>
        <v/>
      </c>
      <c r="Q498" s="13" t="str">
        <f>IF(OR('实盘净值数据(iFinD）'!$A498="",'实盘净值数据(iFinD）'!$B498="",'实盘净值数据(iFinD）'!$Z498="",'实盘净值数据(iFinD）'!$AA498=""),"",分期持仓明细!$AB$25*(SUMPRODUCT(分期持仓明细!$B$25:$Y$25,'实盘净值数据(iFinD）'!$B498:$Y498/'实盘净值数据(iFinD）'!$B$65:$Y$65)+SUMPRODUCT(分期持仓明细!$AC$25:$AD$25,'实盘净值数据(iFinD）'!$Z498:$AA498/'实盘净值数据(iFinD）'!$Z$65:$AA$65))*(1-实盘持仓初始配置!$Z$9)^(('实盘净值数据(iFinD）'!$A498-'实盘净值数据(iFinD）'!$A$8)/365))</f>
        <v/>
      </c>
      <c r="R498" s="16" t="str">
        <f t="shared" si="47"/>
        <v/>
      </c>
      <c r="S498" s="16" t="str">
        <f>IF(Q498="","",Q498/MAX(Q$5:Q498)-1)</f>
        <v/>
      </c>
      <c r="T498" s="13">
        <f>IF(OR('实盘净值数据(iFinD）'!$A498="",'实盘净值数据(iFinD）'!$B498="",'实盘净值数据(iFinD）'!$Z498="",'实盘净值数据(iFinD）'!$AA498="",'实盘净值数据(iFinD）'!$AB498="",'实盘净值数据(iFinD）'!$AL498=""),"",(SUMPRODUCT(分期持仓明细!$B$26:$Y$26,'实盘净值数据(iFinD）'!$B498:$Y498/'实盘净值数据(iFinD）'!$B$69:$Y$69)+SUMPRODUCT(分期持仓明细!$AC$26:$AD$26,'实盘净值数据(iFinD）'!$Z498:$AA498/'实盘净值数据(iFinD）'!$Z$69:$AA$69)+SUMPRODUCT(分期持仓明细!$AE$26:$AO$26,'实盘净值数据(iFinD）'!$AB498:$AL498/'实盘净值数据(iFinD）'!$AB$69:$AL$69))*(1-实盘持仓初始配置!$Z$10)^(('实盘净值数据(iFinD）'!$A498-'实盘净值数据(iFinD）'!$A$69)/365))</f>
        <v/>
      </c>
      <c r="U498" s="16">
        <f>IF(OR(T497="",T498=""),"",T498/T497-1)</f>
        <v/>
      </c>
      <c r="V498" s="16">
        <f>IF(T498="","",T498/MAX(T$5:T498)-1)</f>
        <v/>
      </c>
    </row>
    <row r="499" spans="1:19">
      <c r="A499" s="15" t="str">
        <f>IF('实盘净值数据(iFinD）'!A499="","",'实盘净值数据(iFinD）'!A499)</f>
        <v/>
      </c>
      <c r="B499" s="13" t="str">
        <f>IF(OR('实盘净值数据(iFinD）'!$A499="",'实盘净值数据(iFinD）'!$B499=""),"",分期持仓明细!$AB$17*SUMPRODUCT(分期持仓明细!$B$17:$Y$17,'实盘净值数据(iFinD）'!$B499:$Y499/'实盘净值数据(iFinD）'!$B$20:$Y$20)*(1-实盘持仓初始配置!$Z$4)^(('实盘净值数据(iFinD）'!$A499-'实盘净值数据(iFinD）'!$A$6)/365))</f>
        <v/>
      </c>
      <c r="C499" s="16" t="str">
        <f t="shared" si="42"/>
        <v/>
      </c>
      <c r="D499" s="16" t="str">
        <f>IF(B499="","",B499/MAX(B$5:B499)-1)</f>
        <v/>
      </c>
      <c r="E499" s="13" t="str">
        <f>IF(OR('实盘净值数据(iFinD）'!$A499="",'实盘净值数据(iFinD）'!$B499=""),"",分期持仓明细!$AB$18*SUMPRODUCT(分期持仓明细!$B$18:$Y$18,'实盘净值数据(iFinD）'!$B499:$Y499/'实盘净值数据(iFinD）'!$B$20:$Y$20)*(1-实盘持仓初始配置!$Z$5)^(('实盘净值数据(iFinD）'!$A499-'实盘净值数据(iFinD）'!$A$5)/365))</f>
        <v/>
      </c>
      <c r="F499" s="16" t="str">
        <f t="shared" si="43"/>
        <v/>
      </c>
      <c r="G499" s="16" t="str">
        <f>IF(E499="","",E499/MAX(E$5:E499)-1)</f>
        <v/>
      </c>
      <c r="H499" s="13" t="str">
        <f>IF(OR('实盘净值数据(iFinD）'!$A499="",'实盘净值数据(iFinD）'!$B499=""),"",分期持仓明细!$AB$19*SUMPRODUCT(分期持仓明细!$B$19:$Y$19,'实盘净值数据(iFinD）'!$B499:$Y499/'实盘净值数据(iFinD）'!$B$20:$Y$20)*(1-实盘持仓初始配置!$Z$6)^(('实盘净值数据(iFinD）'!$A499-'实盘净值数据(iFinD）'!$A$7)/365))</f>
        <v/>
      </c>
      <c r="I499" s="16" t="str">
        <f t="shared" si="44"/>
        <v/>
      </c>
      <c r="J499" s="16" t="str">
        <f>IF(H499="","",H499/MAX(H$5:H499)-1)</f>
        <v/>
      </c>
      <c r="K499" s="13" t="str">
        <f>IF(OR('实盘净值数据(iFinD）'!$A499="",'实盘净值数据(iFinD）'!$B499="",'实盘净值数据(iFinD）'!$Z499="",'实盘净值数据(iFinD）'!$AA499=""),"",分期持仓明细!$AB$23*(SUMPRODUCT(分期持仓明细!$B$23:$Y$23,'实盘净值数据(iFinD）'!$B499:$Y499/'实盘净值数据(iFinD）'!$B$65:$Y$65)+SUMPRODUCT(分期持仓明细!$AC$23:$AD$23,'实盘净值数据(iFinD）'!$Z499:$AA499/'实盘净值数据(iFinD）'!$Z$65:$AA$65))*(1-实盘持仓初始配置!$Z$7)^(('实盘净值数据(iFinD）'!$A499-'实盘净值数据(iFinD）'!$A$8)/365))</f>
        <v/>
      </c>
      <c r="L499" s="16" t="str">
        <f t="shared" si="45"/>
        <v/>
      </c>
      <c r="M499" s="16" t="str">
        <f>IF(K499="","",K499/MAX(K$5:K499)-1)</f>
        <v/>
      </c>
      <c r="N499" s="13" t="str">
        <f>IF(OR('实盘净值数据(iFinD）'!$A499="",'实盘净值数据(iFinD）'!$B499="",'实盘净值数据(iFinD）'!$Z499="",'实盘净值数据(iFinD）'!$AA499=""),"",分期持仓明细!$AB$24*(SUMPRODUCT(分期持仓明细!$B$24:$Y$24,'实盘净值数据(iFinD）'!$B499:$Y499/'实盘净值数据(iFinD）'!$B$65:$Y$65)+SUMPRODUCT(分期持仓明细!$AC$24:$AD$24,'实盘净值数据(iFinD）'!$Z499:$AA499/'实盘净值数据(iFinD）'!$Z$65:$AA$65))*(1-实盘持仓初始配置!$Z$8)^(('实盘净值数据(iFinD）'!$A499-'实盘净值数据(iFinD）'!$A$5)/365))</f>
        <v/>
      </c>
      <c r="O499" s="16" t="str">
        <f t="shared" si="46"/>
        <v/>
      </c>
      <c r="P499" s="16" t="str">
        <f>IF(N499="","",N499/MAX(N$5:N499)-1)</f>
        <v/>
      </c>
      <c r="Q499" s="13" t="str">
        <f>IF(OR('实盘净值数据(iFinD）'!$A499="",'实盘净值数据(iFinD）'!$B499="",'实盘净值数据(iFinD）'!$Z499="",'实盘净值数据(iFinD）'!$AA499=""),"",分期持仓明细!$AB$25*(SUMPRODUCT(分期持仓明细!$B$25:$Y$25,'实盘净值数据(iFinD）'!$B499:$Y499/'实盘净值数据(iFinD）'!$B$65:$Y$65)+SUMPRODUCT(分期持仓明细!$AC$25:$AD$25,'实盘净值数据(iFinD）'!$Z499:$AA499/'实盘净值数据(iFinD）'!$Z$65:$AA$65))*(1-实盘持仓初始配置!$Z$9)^(('实盘净值数据(iFinD）'!$A499-'实盘净值数据(iFinD）'!$A$8)/365))</f>
        <v/>
      </c>
      <c r="R499" s="16" t="str">
        <f t="shared" si="47"/>
        <v/>
      </c>
      <c r="S499" s="16" t="str">
        <f>IF(Q499="","",Q499/MAX(Q$5:Q499)-1)</f>
        <v/>
      </c>
      <c r="T499" s="13">
        <f>IF(OR('实盘净值数据(iFinD）'!$A499="",'实盘净值数据(iFinD）'!$B499="",'实盘净值数据(iFinD）'!$Z499="",'实盘净值数据(iFinD）'!$AA499="",'实盘净值数据(iFinD）'!$AB499="",'实盘净值数据(iFinD）'!$AL499=""),"",(SUMPRODUCT(分期持仓明细!$B$26:$Y$26,'实盘净值数据(iFinD）'!$B499:$Y499/'实盘净值数据(iFinD）'!$B$69:$Y$69)+SUMPRODUCT(分期持仓明细!$AC$26:$AD$26,'实盘净值数据(iFinD）'!$Z499:$AA499/'实盘净值数据(iFinD）'!$Z$69:$AA$69)+SUMPRODUCT(分期持仓明细!$AE$26:$AO$26,'实盘净值数据(iFinD）'!$AB499:$AL499/'实盘净值数据(iFinD）'!$AB$69:$AL$69))*(1-实盘持仓初始配置!$Z$10)^(('实盘净值数据(iFinD）'!$A499-'实盘净值数据(iFinD）'!$A$69)/365))</f>
        <v/>
      </c>
      <c r="U499" s="16">
        <f>IF(OR(T498="",T499=""),"",T499/T498-1)</f>
        <v/>
      </c>
      <c r="V499" s="16">
        <f>IF(T499="","",T499/MAX(T$5:T499)-1)</f>
        <v/>
      </c>
    </row>
    <row r="500" spans="1:19">
      <c r="A500" s="15" t="str">
        <f>IF('实盘净值数据(iFinD）'!A500="","",'实盘净值数据(iFinD）'!A500)</f>
        <v/>
      </c>
      <c r="B500" s="13" t="str">
        <f>IF(OR('实盘净值数据(iFinD）'!$A500="",'实盘净值数据(iFinD）'!$B500=""),"",分期持仓明细!$AB$17*SUMPRODUCT(分期持仓明细!$B$17:$Y$17,'实盘净值数据(iFinD）'!$B500:$Y500/'实盘净值数据(iFinD）'!$B$20:$Y$20)*(1-实盘持仓初始配置!$Z$4)^(('实盘净值数据(iFinD）'!$A500-'实盘净值数据(iFinD）'!$A$6)/365))</f>
        <v/>
      </c>
      <c r="C500" s="16" t="str">
        <f t="shared" si="42"/>
        <v/>
      </c>
      <c r="D500" s="16" t="str">
        <f>IF(B500="","",B500/MAX(B$5:B500)-1)</f>
        <v/>
      </c>
      <c r="E500" s="13" t="str">
        <f>IF(OR('实盘净值数据(iFinD）'!$A500="",'实盘净值数据(iFinD）'!$B500=""),"",分期持仓明细!$AB$18*SUMPRODUCT(分期持仓明细!$B$18:$Y$18,'实盘净值数据(iFinD）'!$B500:$Y500/'实盘净值数据(iFinD）'!$B$20:$Y$20)*(1-实盘持仓初始配置!$Z$5)^(('实盘净值数据(iFinD）'!$A500-'实盘净值数据(iFinD）'!$A$5)/365))</f>
        <v/>
      </c>
      <c r="F500" s="16" t="str">
        <f t="shared" si="43"/>
        <v/>
      </c>
      <c r="G500" s="16" t="str">
        <f>IF(E500="","",E500/MAX(E$5:E500)-1)</f>
        <v/>
      </c>
      <c r="H500" s="13" t="str">
        <f>IF(OR('实盘净值数据(iFinD）'!$A500="",'实盘净值数据(iFinD）'!$B500=""),"",分期持仓明细!$AB$19*SUMPRODUCT(分期持仓明细!$B$19:$Y$19,'实盘净值数据(iFinD）'!$B500:$Y500/'实盘净值数据(iFinD）'!$B$20:$Y$20)*(1-实盘持仓初始配置!$Z$6)^(('实盘净值数据(iFinD）'!$A500-'实盘净值数据(iFinD）'!$A$7)/365))</f>
        <v/>
      </c>
      <c r="I500" s="16" t="str">
        <f t="shared" si="44"/>
        <v/>
      </c>
      <c r="J500" s="16" t="str">
        <f>IF(H500="","",H500/MAX(H$5:H500)-1)</f>
        <v/>
      </c>
      <c r="K500" s="13" t="str">
        <f>IF(OR('实盘净值数据(iFinD）'!$A500="",'实盘净值数据(iFinD）'!$B500="",'实盘净值数据(iFinD）'!$Z500="",'实盘净值数据(iFinD）'!$AA500=""),"",分期持仓明细!$AB$23*(SUMPRODUCT(分期持仓明细!$B$23:$Y$23,'实盘净值数据(iFinD）'!$B500:$Y500/'实盘净值数据(iFinD）'!$B$65:$Y$65)+SUMPRODUCT(分期持仓明细!$AC$23:$AD$23,'实盘净值数据(iFinD）'!$Z500:$AA500/'实盘净值数据(iFinD）'!$Z$65:$AA$65))*(1-实盘持仓初始配置!$Z$7)^(('实盘净值数据(iFinD）'!$A500-'实盘净值数据(iFinD）'!$A$8)/365))</f>
        <v/>
      </c>
      <c r="L500" s="16" t="str">
        <f t="shared" si="45"/>
        <v/>
      </c>
      <c r="M500" s="16" t="str">
        <f>IF(K500="","",K500/MAX(K$5:K500)-1)</f>
        <v/>
      </c>
      <c r="N500" s="13" t="str">
        <f>IF(OR('实盘净值数据(iFinD）'!$A500="",'实盘净值数据(iFinD）'!$B500="",'实盘净值数据(iFinD）'!$Z500="",'实盘净值数据(iFinD）'!$AA500=""),"",分期持仓明细!$AB$24*(SUMPRODUCT(分期持仓明细!$B$24:$Y$24,'实盘净值数据(iFinD）'!$B500:$Y500/'实盘净值数据(iFinD）'!$B$65:$Y$65)+SUMPRODUCT(分期持仓明细!$AC$24:$AD$24,'实盘净值数据(iFinD）'!$Z500:$AA500/'实盘净值数据(iFinD）'!$Z$65:$AA$65))*(1-实盘持仓初始配置!$Z$8)^(('实盘净值数据(iFinD）'!$A500-'实盘净值数据(iFinD）'!$A$5)/365))</f>
        <v/>
      </c>
      <c r="O500" s="16" t="str">
        <f t="shared" si="46"/>
        <v/>
      </c>
      <c r="P500" s="16" t="str">
        <f>IF(N500="","",N500/MAX(N$5:N500)-1)</f>
        <v/>
      </c>
      <c r="Q500" s="13" t="str">
        <f>IF(OR('实盘净值数据(iFinD）'!$A500="",'实盘净值数据(iFinD）'!$B500="",'实盘净值数据(iFinD）'!$Z500="",'实盘净值数据(iFinD）'!$AA500=""),"",分期持仓明细!$AB$25*(SUMPRODUCT(分期持仓明细!$B$25:$Y$25,'实盘净值数据(iFinD）'!$B500:$Y500/'实盘净值数据(iFinD）'!$B$65:$Y$65)+SUMPRODUCT(分期持仓明细!$AC$25:$AD$25,'实盘净值数据(iFinD）'!$Z500:$AA500/'实盘净值数据(iFinD）'!$Z$65:$AA$65))*(1-实盘持仓初始配置!$Z$9)^(('实盘净值数据(iFinD）'!$A500-'实盘净值数据(iFinD）'!$A$8)/365))</f>
        <v/>
      </c>
      <c r="R500" s="16" t="str">
        <f t="shared" si="47"/>
        <v/>
      </c>
      <c r="S500" s="16" t="str">
        <f>IF(Q500="","",Q500/MAX(Q$5:Q500)-1)</f>
        <v/>
      </c>
      <c r="T500" s="13">
        <f>IF(OR('实盘净值数据(iFinD）'!$A500="",'实盘净值数据(iFinD）'!$B500="",'实盘净值数据(iFinD）'!$Z500="",'实盘净值数据(iFinD）'!$AA500="",'实盘净值数据(iFinD）'!$AB500="",'实盘净值数据(iFinD）'!$AL500=""),"",(SUMPRODUCT(分期持仓明细!$B$26:$Y$26,'实盘净值数据(iFinD）'!$B500:$Y500/'实盘净值数据(iFinD）'!$B$69:$Y$69)+SUMPRODUCT(分期持仓明细!$AC$26:$AD$26,'实盘净值数据(iFinD）'!$Z500:$AA500/'实盘净值数据(iFinD）'!$Z$69:$AA$69)+SUMPRODUCT(分期持仓明细!$AE$26:$AO$26,'实盘净值数据(iFinD）'!$AB500:$AL500/'实盘净值数据(iFinD）'!$AB$69:$AL$69))*(1-实盘持仓初始配置!$Z$10)^(('实盘净值数据(iFinD）'!$A500-'实盘净值数据(iFinD）'!$A$69)/365))</f>
        <v/>
      </c>
      <c r="U500" s="16">
        <f>IF(OR(T499="",T500=""),"",T500/T499-1)</f>
        <v/>
      </c>
      <c r="V500" s="16">
        <f>IF(T500="","",T500/MAX(T$5:T500)-1)</f>
        <v/>
      </c>
    </row>
    <row r="501" spans="1:19">
      <c r="A501" s="15" t="str">
        <f>IF('实盘净值数据(iFinD）'!A501="","",'实盘净值数据(iFinD）'!A501)</f>
        <v/>
      </c>
      <c r="B501" s="13" t="str">
        <f>IF(OR('实盘净值数据(iFinD）'!$A501="",'实盘净值数据(iFinD）'!$B501=""),"",分期持仓明细!$AB$17*SUMPRODUCT(分期持仓明细!$B$17:$Y$17,'实盘净值数据(iFinD）'!$B501:$Y501/'实盘净值数据(iFinD）'!$B$20:$Y$20)*(1-实盘持仓初始配置!$Z$4)^(('实盘净值数据(iFinD）'!$A501-'实盘净值数据(iFinD）'!$A$6)/365))</f>
        <v/>
      </c>
      <c r="C501" s="16" t="str">
        <f t="shared" si="42"/>
        <v/>
      </c>
      <c r="D501" s="16" t="str">
        <f>IF(B501="","",B501/MAX(B$5:B501)-1)</f>
        <v/>
      </c>
      <c r="E501" s="13" t="str">
        <f>IF(OR('实盘净值数据(iFinD）'!$A501="",'实盘净值数据(iFinD）'!$B501=""),"",分期持仓明细!$AB$18*SUMPRODUCT(分期持仓明细!$B$18:$Y$18,'实盘净值数据(iFinD）'!$B501:$Y501/'实盘净值数据(iFinD）'!$B$20:$Y$20)*(1-实盘持仓初始配置!$Z$5)^(('实盘净值数据(iFinD）'!$A501-'实盘净值数据(iFinD）'!$A$5)/365))</f>
        <v/>
      </c>
      <c r="F501" s="16" t="str">
        <f t="shared" si="43"/>
        <v/>
      </c>
      <c r="G501" s="16" t="str">
        <f>IF(E501="","",E501/MAX(E$5:E501)-1)</f>
        <v/>
      </c>
      <c r="H501" s="13" t="str">
        <f>IF(OR('实盘净值数据(iFinD）'!$A501="",'实盘净值数据(iFinD）'!$B501=""),"",分期持仓明细!$AB$19*SUMPRODUCT(分期持仓明细!$B$19:$Y$19,'实盘净值数据(iFinD）'!$B501:$Y501/'实盘净值数据(iFinD）'!$B$20:$Y$20)*(1-实盘持仓初始配置!$Z$6)^(('实盘净值数据(iFinD）'!$A501-'实盘净值数据(iFinD）'!$A$7)/365))</f>
        <v/>
      </c>
      <c r="I501" s="16" t="str">
        <f t="shared" si="44"/>
        <v/>
      </c>
      <c r="J501" s="16" t="str">
        <f>IF(H501="","",H501/MAX(H$5:H501)-1)</f>
        <v/>
      </c>
      <c r="K501" s="13" t="str">
        <f>IF(OR('实盘净值数据(iFinD）'!$A501="",'实盘净值数据(iFinD）'!$B501="",'实盘净值数据(iFinD）'!$Z501="",'实盘净值数据(iFinD）'!$AA501=""),"",分期持仓明细!$AB$23*(SUMPRODUCT(分期持仓明细!$B$23:$Y$23,'实盘净值数据(iFinD）'!$B501:$Y501/'实盘净值数据(iFinD）'!$B$65:$Y$65)+SUMPRODUCT(分期持仓明细!$AC$23:$AD$23,'实盘净值数据(iFinD）'!$Z501:$AA501/'实盘净值数据(iFinD）'!$Z$65:$AA$65))*(1-实盘持仓初始配置!$Z$7)^(('实盘净值数据(iFinD）'!$A501-'实盘净值数据(iFinD）'!$A$8)/365))</f>
        <v/>
      </c>
      <c r="L501" s="16" t="str">
        <f t="shared" si="45"/>
        <v/>
      </c>
      <c r="M501" s="16" t="str">
        <f>IF(K501="","",K501/MAX(K$5:K501)-1)</f>
        <v/>
      </c>
      <c r="N501" s="13" t="str">
        <f>IF(OR('实盘净值数据(iFinD）'!$A501="",'实盘净值数据(iFinD）'!$B501="",'实盘净值数据(iFinD）'!$Z501="",'实盘净值数据(iFinD）'!$AA501=""),"",分期持仓明细!$AB$24*(SUMPRODUCT(分期持仓明细!$B$24:$Y$24,'实盘净值数据(iFinD）'!$B501:$Y501/'实盘净值数据(iFinD）'!$B$65:$Y$65)+SUMPRODUCT(分期持仓明细!$AC$24:$AD$24,'实盘净值数据(iFinD）'!$Z501:$AA501/'实盘净值数据(iFinD）'!$Z$65:$AA$65))*(1-实盘持仓初始配置!$Z$8)^(('实盘净值数据(iFinD）'!$A501-'实盘净值数据(iFinD）'!$A$5)/365))</f>
        <v/>
      </c>
      <c r="O501" s="16" t="str">
        <f t="shared" si="46"/>
        <v/>
      </c>
      <c r="P501" s="16" t="str">
        <f>IF(N501="","",N501/MAX(N$5:N501)-1)</f>
        <v/>
      </c>
      <c r="Q501" s="13" t="str">
        <f>IF(OR('实盘净值数据(iFinD）'!$A501="",'实盘净值数据(iFinD）'!$B501="",'实盘净值数据(iFinD）'!$Z501="",'实盘净值数据(iFinD）'!$AA501=""),"",分期持仓明细!$AB$25*(SUMPRODUCT(分期持仓明细!$B$25:$Y$25,'实盘净值数据(iFinD）'!$B501:$Y501/'实盘净值数据(iFinD）'!$B$65:$Y$65)+SUMPRODUCT(分期持仓明细!$AC$25:$AD$25,'实盘净值数据(iFinD）'!$Z501:$AA501/'实盘净值数据(iFinD）'!$Z$65:$AA$65))*(1-实盘持仓初始配置!$Z$9)^(('实盘净值数据(iFinD）'!$A501-'实盘净值数据(iFinD）'!$A$8)/365))</f>
        <v/>
      </c>
      <c r="R501" s="16" t="str">
        <f t="shared" si="47"/>
        <v/>
      </c>
      <c r="S501" s="16" t="str">
        <f>IF(Q501="","",Q501/MAX(Q$5:Q501)-1)</f>
        <v/>
      </c>
      <c r="T501" s="13">
        <f>IF(OR('实盘净值数据(iFinD）'!$A501="",'实盘净值数据(iFinD）'!$B501="",'实盘净值数据(iFinD）'!$Z501="",'实盘净值数据(iFinD）'!$AA501="",'实盘净值数据(iFinD）'!$AB501="",'实盘净值数据(iFinD）'!$AL501=""),"",(SUMPRODUCT(分期持仓明细!$B$26:$Y$26,'实盘净值数据(iFinD）'!$B501:$Y501/'实盘净值数据(iFinD）'!$B$69:$Y$69)+SUMPRODUCT(分期持仓明细!$AC$26:$AD$26,'实盘净值数据(iFinD）'!$Z501:$AA501/'实盘净值数据(iFinD）'!$Z$69:$AA$69)+SUMPRODUCT(分期持仓明细!$AE$26:$AO$26,'实盘净值数据(iFinD）'!$AB501:$AL501/'实盘净值数据(iFinD）'!$AB$69:$AL$69))*(1-实盘持仓初始配置!$Z$10)^(('实盘净值数据(iFinD）'!$A501-'实盘净值数据(iFinD）'!$A$69)/365))</f>
        <v/>
      </c>
      <c r="U501" s="16">
        <f>IF(OR(T500="",T501=""),"",T501/T500-1)</f>
        <v/>
      </c>
      <c r="V501" s="16">
        <f>IF(T501="","",T501/MAX(T$5:T501)-1)</f>
        <v/>
      </c>
    </row>
    <row r="502" spans="1:19">
      <c r="A502" s="15" t="str">
        <f>IF('实盘净值数据(iFinD）'!A502="","",'实盘净值数据(iFinD）'!A502)</f>
        <v/>
      </c>
      <c r="B502" s="13" t="str">
        <f>IF(OR('实盘净值数据(iFinD）'!$A502="",'实盘净值数据(iFinD）'!$B502=""),"",分期持仓明细!$AB$17*SUMPRODUCT(分期持仓明细!$B$17:$Y$17,'实盘净值数据(iFinD）'!$B502:$Y502/'实盘净值数据(iFinD）'!$B$20:$Y$20)*(1-实盘持仓初始配置!$Z$4)^(('实盘净值数据(iFinD）'!$A502-'实盘净值数据(iFinD）'!$A$6)/365))</f>
        <v/>
      </c>
      <c r="C502" s="16" t="str">
        <f t="shared" si="42"/>
        <v/>
      </c>
      <c r="D502" s="16" t="str">
        <f>IF(B502="","",B502/MAX(B$5:B502)-1)</f>
        <v/>
      </c>
      <c r="E502" s="13" t="str">
        <f>IF(OR('实盘净值数据(iFinD）'!$A502="",'实盘净值数据(iFinD）'!$B502=""),"",分期持仓明细!$AB$18*SUMPRODUCT(分期持仓明细!$B$18:$Y$18,'实盘净值数据(iFinD）'!$B502:$Y502/'实盘净值数据(iFinD）'!$B$20:$Y$20)*(1-实盘持仓初始配置!$Z$5)^(('实盘净值数据(iFinD）'!$A502-'实盘净值数据(iFinD）'!$A$5)/365))</f>
        <v/>
      </c>
      <c r="F502" s="16" t="str">
        <f t="shared" si="43"/>
        <v/>
      </c>
      <c r="G502" s="16" t="str">
        <f>IF(E502="","",E502/MAX(E$5:E502)-1)</f>
        <v/>
      </c>
      <c r="H502" s="13" t="str">
        <f>IF(OR('实盘净值数据(iFinD）'!$A502="",'实盘净值数据(iFinD）'!$B502=""),"",分期持仓明细!$AB$19*SUMPRODUCT(分期持仓明细!$B$19:$Y$19,'实盘净值数据(iFinD）'!$B502:$Y502/'实盘净值数据(iFinD）'!$B$20:$Y$20)*(1-实盘持仓初始配置!$Z$6)^(('实盘净值数据(iFinD）'!$A502-'实盘净值数据(iFinD）'!$A$7)/365))</f>
        <v/>
      </c>
      <c r="I502" s="16" t="str">
        <f t="shared" si="44"/>
        <v/>
      </c>
      <c r="J502" s="16" t="str">
        <f>IF(H502="","",H502/MAX(H$5:H502)-1)</f>
        <v/>
      </c>
      <c r="K502" s="13" t="str">
        <f>IF(OR('实盘净值数据(iFinD）'!$A502="",'实盘净值数据(iFinD）'!$B502="",'实盘净值数据(iFinD）'!$Z502="",'实盘净值数据(iFinD）'!$AA502=""),"",分期持仓明细!$AB$23*(SUMPRODUCT(分期持仓明细!$B$23:$Y$23,'实盘净值数据(iFinD）'!$B502:$Y502/'实盘净值数据(iFinD）'!$B$65:$Y$65)+SUMPRODUCT(分期持仓明细!$AC$23:$AD$23,'实盘净值数据(iFinD）'!$Z502:$AA502/'实盘净值数据(iFinD）'!$Z$65:$AA$65))*(1-实盘持仓初始配置!$Z$7)^(('实盘净值数据(iFinD）'!$A502-'实盘净值数据(iFinD）'!$A$8)/365))</f>
        <v/>
      </c>
      <c r="L502" s="16" t="str">
        <f t="shared" si="45"/>
        <v/>
      </c>
      <c r="M502" s="16" t="str">
        <f>IF(K502="","",K502/MAX(K$5:K502)-1)</f>
        <v/>
      </c>
      <c r="N502" s="13" t="str">
        <f>IF(OR('实盘净值数据(iFinD）'!$A502="",'实盘净值数据(iFinD）'!$B502="",'实盘净值数据(iFinD）'!$Z502="",'实盘净值数据(iFinD）'!$AA502=""),"",分期持仓明细!$AB$24*(SUMPRODUCT(分期持仓明细!$B$24:$Y$24,'实盘净值数据(iFinD）'!$B502:$Y502/'实盘净值数据(iFinD）'!$B$65:$Y$65)+SUMPRODUCT(分期持仓明细!$AC$24:$AD$24,'实盘净值数据(iFinD）'!$Z502:$AA502/'实盘净值数据(iFinD）'!$Z$65:$AA$65))*(1-实盘持仓初始配置!$Z$8)^(('实盘净值数据(iFinD）'!$A502-'实盘净值数据(iFinD）'!$A$5)/365))</f>
        <v/>
      </c>
      <c r="O502" s="16" t="str">
        <f t="shared" si="46"/>
        <v/>
      </c>
      <c r="P502" s="16" t="str">
        <f>IF(N502="","",N502/MAX(N$5:N502)-1)</f>
        <v/>
      </c>
      <c r="Q502" s="13" t="str">
        <f>IF(OR('实盘净值数据(iFinD）'!$A502="",'实盘净值数据(iFinD）'!$B502="",'实盘净值数据(iFinD）'!$Z502="",'实盘净值数据(iFinD）'!$AA502=""),"",分期持仓明细!$AB$25*(SUMPRODUCT(分期持仓明细!$B$25:$Y$25,'实盘净值数据(iFinD）'!$B502:$Y502/'实盘净值数据(iFinD）'!$B$65:$Y$65)+SUMPRODUCT(分期持仓明细!$AC$25:$AD$25,'实盘净值数据(iFinD）'!$Z502:$AA502/'实盘净值数据(iFinD）'!$Z$65:$AA$65))*(1-实盘持仓初始配置!$Z$9)^(('实盘净值数据(iFinD）'!$A502-'实盘净值数据(iFinD）'!$A$8)/365))</f>
        <v/>
      </c>
      <c r="R502" s="16" t="str">
        <f t="shared" si="47"/>
        <v/>
      </c>
      <c r="S502" s="16" t="str">
        <f>IF(Q502="","",Q502/MAX(Q$5:Q502)-1)</f>
        <v/>
      </c>
      <c r="T502" s="13">
        <f>IF(OR('实盘净值数据(iFinD）'!$A502="",'实盘净值数据(iFinD）'!$B502="",'实盘净值数据(iFinD）'!$Z502="",'实盘净值数据(iFinD）'!$AA502="",'实盘净值数据(iFinD）'!$AB502="",'实盘净值数据(iFinD）'!$AL502=""),"",(SUMPRODUCT(分期持仓明细!$B$26:$Y$26,'实盘净值数据(iFinD）'!$B502:$Y502/'实盘净值数据(iFinD）'!$B$69:$Y$69)+SUMPRODUCT(分期持仓明细!$AC$26:$AD$26,'实盘净值数据(iFinD）'!$Z502:$AA502/'实盘净值数据(iFinD）'!$Z$69:$AA$69)+SUMPRODUCT(分期持仓明细!$AE$26:$AO$26,'实盘净值数据(iFinD）'!$AB502:$AL502/'实盘净值数据(iFinD）'!$AB$69:$AL$69))*(1-实盘持仓初始配置!$Z$10)^(('实盘净值数据(iFinD）'!$A502-'实盘净值数据(iFinD）'!$A$69)/365))</f>
        <v/>
      </c>
      <c r="U502" s="16">
        <f>IF(OR(T501="",T502=""),"",T502/T501-1)</f>
        <v/>
      </c>
      <c r="V502" s="16">
        <f>IF(T502="","",T502/MAX(T$5:T502)-1)</f>
        <v/>
      </c>
    </row>
    <row r="503" spans="1:19">
      <c r="A503" s="15" t="str">
        <f>IF('实盘净值数据(iFinD）'!A503="","",'实盘净值数据(iFinD）'!A503)</f>
        <v/>
      </c>
      <c r="B503" s="13" t="str">
        <f>IF(OR('实盘净值数据(iFinD）'!$A503="",'实盘净值数据(iFinD）'!$B503=""),"",分期持仓明细!$AB$17*SUMPRODUCT(分期持仓明细!$B$17:$Y$17,'实盘净值数据(iFinD）'!$B503:$Y503/'实盘净值数据(iFinD）'!$B$20:$Y$20)*(1-实盘持仓初始配置!$Z$4)^(('实盘净值数据(iFinD）'!$A503-'实盘净值数据(iFinD）'!$A$6)/365))</f>
        <v/>
      </c>
      <c r="C503" s="16" t="str">
        <f t="shared" si="42"/>
        <v/>
      </c>
      <c r="D503" s="16" t="str">
        <f>IF(B503="","",B503/MAX(B$5:B503)-1)</f>
        <v/>
      </c>
      <c r="E503" s="13" t="str">
        <f>IF(OR('实盘净值数据(iFinD）'!$A503="",'实盘净值数据(iFinD）'!$B503=""),"",分期持仓明细!$AB$18*SUMPRODUCT(分期持仓明细!$B$18:$Y$18,'实盘净值数据(iFinD）'!$B503:$Y503/'实盘净值数据(iFinD）'!$B$20:$Y$20)*(1-实盘持仓初始配置!$Z$5)^(('实盘净值数据(iFinD）'!$A503-'实盘净值数据(iFinD）'!$A$5)/365))</f>
        <v/>
      </c>
      <c r="F503" s="16" t="str">
        <f t="shared" si="43"/>
        <v/>
      </c>
      <c r="G503" s="16" t="str">
        <f>IF(E503="","",E503/MAX(E$5:E503)-1)</f>
        <v/>
      </c>
      <c r="H503" s="13" t="str">
        <f>IF(OR('实盘净值数据(iFinD）'!$A503="",'实盘净值数据(iFinD）'!$B503=""),"",分期持仓明细!$AB$19*SUMPRODUCT(分期持仓明细!$B$19:$Y$19,'实盘净值数据(iFinD）'!$B503:$Y503/'实盘净值数据(iFinD）'!$B$20:$Y$20)*(1-实盘持仓初始配置!$Z$6)^(('实盘净值数据(iFinD）'!$A503-'实盘净值数据(iFinD）'!$A$7)/365))</f>
        <v/>
      </c>
      <c r="I503" s="16" t="str">
        <f t="shared" si="44"/>
        <v/>
      </c>
      <c r="J503" s="16" t="str">
        <f>IF(H503="","",H503/MAX(H$5:H503)-1)</f>
        <v/>
      </c>
      <c r="K503" s="13" t="str">
        <f>IF(OR('实盘净值数据(iFinD）'!$A503="",'实盘净值数据(iFinD）'!$B503="",'实盘净值数据(iFinD）'!$Z503="",'实盘净值数据(iFinD）'!$AA503=""),"",分期持仓明细!$AB$23*(SUMPRODUCT(分期持仓明细!$B$23:$Y$23,'实盘净值数据(iFinD）'!$B503:$Y503/'实盘净值数据(iFinD）'!$B$65:$Y$65)+SUMPRODUCT(分期持仓明细!$AC$23:$AD$23,'实盘净值数据(iFinD）'!$Z503:$AA503/'实盘净值数据(iFinD）'!$Z$65:$AA$65))*(1-实盘持仓初始配置!$Z$7)^(('实盘净值数据(iFinD）'!$A503-'实盘净值数据(iFinD）'!$A$8)/365))</f>
        <v/>
      </c>
      <c r="L503" s="16" t="str">
        <f t="shared" si="45"/>
        <v/>
      </c>
      <c r="M503" s="16" t="str">
        <f>IF(K503="","",K503/MAX(K$5:K503)-1)</f>
        <v/>
      </c>
      <c r="N503" s="13" t="str">
        <f>IF(OR('实盘净值数据(iFinD）'!$A503="",'实盘净值数据(iFinD）'!$B503="",'实盘净值数据(iFinD）'!$Z503="",'实盘净值数据(iFinD）'!$AA503=""),"",分期持仓明细!$AB$24*(SUMPRODUCT(分期持仓明细!$B$24:$Y$24,'实盘净值数据(iFinD）'!$B503:$Y503/'实盘净值数据(iFinD）'!$B$65:$Y$65)+SUMPRODUCT(分期持仓明细!$AC$24:$AD$24,'实盘净值数据(iFinD）'!$Z503:$AA503/'实盘净值数据(iFinD）'!$Z$65:$AA$65))*(1-实盘持仓初始配置!$Z$8)^(('实盘净值数据(iFinD）'!$A503-'实盘净值数据(iFinD）'!$A$5)/365))</f>
        <v/>
      </c>
      <c r="O503" s="16" t="str">
        <f t="shared" si="46"/>
        <v/>
      </c>
      <c r="P503" s="16" t="str">
        <f>IF(N503="","",N503/MAX(N$5:N503)-1)</f>
        <v/>
      </c>
      <c r="Q503" s="13" t="str">
        <f>IF(OR('实盘净值数据(iFinD）'!$A503="",'实盘净值数据(iFinD）'!$B503="",'实盘净值数据(iFinD）'!$Z503="",'实盘净值数据(iFinD）'!$AA503=""),"",分期持仓明细!$AB$25*(SUMPRODUCT(分期持仓明细!$B$25:$Y$25,'实盘净值数据(iFinD）'!$B503:$Y503/'实盘净值数据(iFinD）'!$B$65:$Y$65)+SUMPRODUCT(分期持仓明细!$AC$25:$AD$25,'实盘净值数据(iFinD）'!$Z503:$AA503/'实盘净值数据(iFinD）'!$Z$65:$AA$65))*(1-实盘持仓初始配置!$Z$9)^(('实盘净值数据(iFinD）'!$A503-'实盘净值数据(iFinD）'!$A$8)/365))</f>
        <v/>
      </c>
      <c r="R503" s="16" t="str">
        <f t="shared" si="47"/>
        <v/>
      </c>
      <c r="S503" s="16" t="str">
        <f>IF(Q503="","",Q503/MAX(Q$5:Q503)-1)</f>
        <v/>
      </c>
      <c r="T503" s="13">
        <f>IF(OR('实盘净值数据(iFinD）'!$A503="",'实盘净值数据(iFinD）'!$B503="",'实盘净值数据(iFinD）'!$Z503="",'实盘净值数据(iFinD）'!$AA503="",'实盘净值数据(iFinD）'!$AB503="",'实盘净值数据(iFinD）'!$AL503=""),"",(SUMPRODUCT(分期持仓明细!$B$26:$Y$26,'实盘净值数据(iFinD）'!$B503:$Y503/'实盘净值数据(iFinD）'!$B$69:$Y$69)+SUMPRODUCT(分期持仓明细!$AC$26:$AD$26,'实盘净值数据(iFinD）'!$Z503:$AA503/'实盘净值数据(iFinD）'!$Z$69:$AA$69)+SUMPRODUCT(分期持仓明细!$AE$26:$AO$26,'实盘净值数据(iFinD）'!$AB503:$AL503/'实盘净值数据(iFinD）'!$AB$69:$AL$69))*(1-实盘持仓初始配置!$Z$10)^(('实盘净值数据(iFinD）'!$A503-'实盘净值数据(iFinD）'!$A$69)/365))</f>
        <v/>
      </c>
      <c r="U503" s="16">
        <f>IF(OR(T502="",T503=""),"",T503/T502-1)</f>
        <v/>
      </c>
      <c r="V503" s="16">
        <f>IF(T503="","",T503/MAX(T$5:T503)-1)</f>
        <v/>
      </c>
    </row>
    <row r="504" spans="1:19">
      <c r="A504" s="15" t="str">
        <f>IF('实盘净值数据(iFinD）'!A504="","",'实盘净值数据(iFinD）'!A504)</f>
        <v/>
      </c>
      <c r="B504" s="13" t="str">
        <f>IF(OR('实盘净值数据(iFinD）'!$A504="",'实盘净值数据(iFinD）'!$B504=""),"",分期持仓明细!$AB$17*SUMPRODUCT(分期持仓明细!$B$17:$Y$17,'实盘净值数据(iFinD）'!$B504:$Y504/'实盘净值数据(iFinD）'!$B$20:$Y$20)*(1-实盘持仓初始配置!$Z$4)^(('实盘净值数据(iFinD）'!$A504-'实盘净值数据(iFinD）'!$A$6)/365))</f>
        <v/>
      </c>
      <c r="C504" s="16" t="str">
        <f t="shared" si="42"/>
        <v/>
      </c>
      <c r="D504" s="16" t="str">
        <f>IF(B504="","",B504/MAX(B$5:B504)-1)</f>
        <v/>
      </c>
      <c r="E504" s="13" t="str">
        <f>IF(OR('实盘净值数据(iFinD）'!$A504="",'实盘净值数据(iFinD）'!$B504=""),"",分期持仓明细!$AB$18*SUMPRODUCT(分期持仓明细!$B$18:$Y$18,'实盘净值数据(iFinD）'!$B504:$Y504/'实盘净值数据(iFinD）'!$B$20:$Y$20)*(1-实盘持仓初始配置!$Z$5)^(('实盘净值数据(iFinD）'!$A504-'实盘净值数据(iFinD）'!$A$5)/365))</f>
        <v/>
      </c>
      <c r="F504" s="16" t="str">
        <f t="shared" si="43"/>
        <v/>
      </c>
      <c r="G504" s="16" t="str">
        <f>IF(E504="","",E504/MAX(E$5:E504)-1)</f>
        <v/>
      </c>
      <c r="H504" s="13" t="str">
        <f>IF(OR('实盘净值数据(iFinD）'!$A504="",'实盘净值数据(iFinD）'!$B504=""),"",分期持仓明细!$AB$19*SUMPRODUCT(分期持仓明细!$B$19:$Y$19,'实盘净值数据(iFinD）'!$B504:$Y504/'实盘净值数据(iFinD）'!$B$20:$Y$20)*(1-实盘持仓初始配置!$Z$6)^(('实盘净值数据(iFinD）'!$A504-'实盘净值数据(iFinD）'!$A$7)/365))</f>
        <v/>
      </c>
      <c r="I504" s="16" t="str">
        <f t="shared" si="44"/>
        <v/>
      </c>
      <c r="J504" s="16" t="str">
        <f>IF(H504="","",H504/MAX(H$5:H504)-1)</f>
        <v/>
      </c>
      <c r="K504" s="13" t="str">
        <f>IF(OR('实盘净值数据(iFinD）'!$A504="",'实盘净值数据(iFinD）'!$B504="",'实盘净值数据(iFinD）'!$Z504="",'实盘净值数据(iFinD）'!$AA504=""),"",分期持仓明细!$AB$23*(SUMPRODUCT(分期持仓明细!$B$23:$Y$23,'实盘净值数据(iFinD）'!$B504:$Y504/'实盘净值数据(iFinD）'!$B$65:$Y$65)+SUMPRODUCT(分期持仓明细!$AC$23:$AD$23,'实盘净值数据(iFinD）'!$Z504:$AA504/'实盘净值数据(iFinD）'!$Z$65:$AA$65))*(1-实盘持仓初始配置!$Z$7)^(('实盘净值数据(iFinD）'!$A504-'实盘净值数据(iFinD）'!$A$8)/365))</f>
        <v/>
      </c>
      <c r="L504" s="16" t="str">
        <f t="shared" si="45"/>
        <v/>
      </c>
      <c r="M504" s="16" t="str">
        <f>IF(K504="","",K504/MAX(K$5:K504)-1)</f>
        <v/>
      </c>
      <c r="N504" s="13" t="str">
        <f>IF(OR('实盘净值数据(iFinD）'!$A504="",'实盘净值数据(iFinD）'!$B504="",'实盘净值数据(iFinD）'!$Z504="",'实盘净值数据(iFinD）'!$AA504=""),"",分期持仓明细!$AB$24*(SUMPRODUCT(分期持仓明细!$B$24:$Y$24,'实盘净值数据(iFinD）'!$B504:$Y504/'实盘净值数据(iFinD）'!$B$65:$Y$65)+SUMPRODUCT(分期持仓明细!$AC$24:$AD$24,'实盘净值数据(iFinD）'!$Z504:$AA504/'实盘净值数据(iFinD）'!$Z$65:$AA$65))*(1-实盘持仓初始配置!$Z$8)^(('实盘净值数据(iFinD）'!$A504-'实盘净值数据(iFinD）'!$A$5)/365))</f>
        <v/>
      </c>
      <c r="O504" s="16" t="str">
        <f t="shared" si="46"/>
        <v/>
      </c>
      <c r="P504" s="16" t="str">
        <f>IF(N504="","",N504/MAX(N$5:N504)-1)</f>
        <v/>
      </c>
      <c r="Q504" s="13" t="str">
        <f>IF(OR('实盘净值数据(iFinD）'!$A504="",'实盘净值数据(iFinD）'!$B504="",'实盘净值数据(iFinD）'!$Z504="",'实盘净值数据(iFinD）'!$AA504=""),"",分期持仓明细!$AB$25*(SUMPRODUCT(分期持仓明细!$B$25:$Y$25,'实盘净值数据(iFinD）'!$B504:$Y504/'实盘净值数据(iFinD）'!$B$65:$Y$65)+SUMPRODUCT(分期持仓明细!$AC$25:$AD$25,'实盘净值数据(iFinD）'!$Z504:$AA504/'实盘净值数据(iFinD）'!$Z$65:$AA$65))*(1-实盘持仓初始配置!$Z$9)^(('实盘净值数据(iFinD）'!$A504-'实盘净值数据(iFinD）'!$A$8)/365))</f>
        <v/>
      </c>
      <c r="R504" s="16" t="str">
        <f t="shared" si="47"/>
        <v/>
      </c>
      <c r="S504" s="16" t="str">
        <f>IF(Q504="","",Q504/MAX(Q$5:Q504)-1)</f>
        <v/>
      </c>
      <c r="T504" s="13">
        <f>IF(OR('实盘净值数据(iFinD）'!$A504="",'实盘净值数据(iFinD）'!$B504="",'实盘净值数据(iFinD）'!$Z504="",'实盘净值数据(iFinD）'!$AA504="",'实盘净值数据(iFinD）'!$AB504="",'实盘净值数据(iFinD）'!$AL504=""),"",(SUMPRODUCT(分期持仓明细!$B$26:$Y$26,'实盘净值数据(iFinD）'!$B504:$Y504/'实盘净值数据(iFinD）'!$B$69:$Y$69)+SUMPRODUCT(分期持仓明细!$AC$26:$AD$26,'实盘净值数据(iFinD）'!$Z504:$AA504/'实盘净值数据(iFinD）'!$Z$69:$AA$69)+SUMPRODUCT(分期持仓明细!$AE$26:$AO$26,'实盘净值数据(iFinD）'!$AB504:$AL504/'实盘净值数据(iFinD）'!$AB$69:$AL$69))*(1-实盘持仓初始配置!$Z$10)^(('实盘净值数据(iFinD）'!$A504-'实盘净值数据(iFinD）'!$A$69)/365))</f>
        <v/>
      </c>
      <c r="U504" s="16">
        <f>IF(OR(T503="",T504=""),"",T504/T503-1)</f>
        <v/>
      </c>
      <c r="V504" s="16">
        <f>IF(T504="","",T504/MAX(T$5:T504)-1)</f>
        <v/>
      </c>
    </row>
    <row r="505" spans="1:19">
      <c r="A505" s="15" t="str">
        <f>IF('实盘净值数据(iFinD）'!A505="","",'实盘净值数据(iFinD）'!A505)</f>
        <v/>
      </c>
      <c r="B505" s="13" t="str">
        <f>IF(OR('实盘净值数据(iFinD）'!$A505="",'实盘净值数据(iFinD）'!$B505=""),"",分期持仓明细!$AB$17*SUMPRODUCT(分期持仓明细!$B$17:$Y$17,'实盘净值数据(iFinD）'!$B505:$Y505/'实盘净值数据(iFinD）'!$B$20:$Y$20)*(1-实盘持仓初始配置!$Z$4)^(('实盘净值数据(iFinD）'!$A505-'实盘净值数据(iFinD）'!$A$6)/365))</f>
        <v/>
      </c>
      <c r="C505" s="16" t="str">
        <f t="shared" si="42"/>
        <v/>
      </c>
      <c r="D505" s="16" t="str">
        <f>IF(B505="","",B505/MAX(B$5:B505)-1)</f>
        <v/>
      </c>
      <c r="E505" s="13" t="str">
        <f>IF(OR('实盘净值数据(iFinD）'!$A505="",'实盘净值数据(iFinD）'!$B505=""),"",分期持仓明细!$AB$18*SUMPRODUCT(分期持仓明细!$B$18:$Y$18,'实盘净值数据(iFinD）'!$B505:$Y505/'实盘净值数据(iFinD）'!$B$20:$Y$20)*(1-实盘持仓初始配置!$Z$5)^(('实盘净值数据(iFinD）'!$A505-'实盘净值数据(iFinD）'!$A$5)/365))</f>
        <v/>
      </c>
      <c r="F505" s="16" t="str">
        <f t="shared" si="43"/>
        <v/>
      </c>
      <c r="G505" s="16" t="str">
        <f>IF(E505="","",E505/MAX(E$5:E505)-1)</f>
        <v/>
      </c>
      <c r="H505" s="13" t="str">
        <f>IF(OR('实盘净值数据(iFinD）'!$A505="",'实盘净值数据(iFinD）'!$B505=""),"",分期持仓明细!$AB$19*SUMPRODUCT(分期持仓明细!$B$19:$Y$19,'实盘净值数据(iFinD）'!$B505:$Y505/'实盘净值数据(iFinD）'!$B$20:$Y$20)*(1-实盘持仓初始配置!$Z$6)^(('实盘净值数据(iFinD）'!$A505-'实盘净值数据(iFinD）'!$A$7)/365))</f>
        <v/>
      </c>
      <c r="I505" s="16" t="str">
        <f t="shared" si="44"/>
        <v/>
      </c>
      <c r="J505" s="16" t="str">
        <f>IF(H505="","",H505/MAX(H$5:H505)-1)</f>
        <v/>
      </c>
      <c r="K505" s="13" t="str">
        <f>IF(OR('实盘净值数据(iFinD）'!$A505="",'实盘净值数据(iFinD）'!$B505="",'实盘净值数据(iFinD）'!$Z505="",'实盘净值数据(iFinD）'!$AA505=""),"",分期持仓明细!$AB$23*(SUMPRODUCT(分期持仓明细!$B$23:$Y$23,'实盘净值数据(iFinD）'!$B505:$Y505/'实盘净值数据(iFinD）'!$B$65:$Y$65)+SUMPRODUCT(分期持仓明细!$AC$23:$AD$23,'实盘净值数据(iFinD）'!$Z505:$AA505/'实盘净值数据(iFinD）'!$Z$65:$AA$65))*(1-实盘持仓初始配置!$Z$7)^(('实盘净值数据(iFinD）'!$A505-'实盘净值数据(iFinD）'!$A$8)/365))</f>
        <v/>
      </c>
      <c r="L505" s="16" t="str">
        <f t="shared" si="45"/>
        <v/>
      </c>
      <c r="M505" s="16" t="str">
        <f>IF(K505="","",K505/MAX(K$5:K505)-1)</f>
        <v/>
      </c>
      <c r="N505" s="13" t="str">
        <f>IF(OR('实盘净值数据(iFinD）'!$A505="",'实盘净值数据(iFinD）'!$B505="",'实盘净值数据(iFinD）'!$Z505="",'实盘净值数据(iFinD）'!$AA505=""),"",分期持仓明细!$AB$24*(SUMPRODUCT(分期持仓明细!$B$24:$Y$24,'实盘净值数据(iFinD）'!$B505:$Y505/'实盘净值数据(iFinD）'!$B$65:$Y$65)+SUMPRODUCT(分期持仓明细!$AC$24:$AD$24,'实盘净值数据(iFinD）'!$Z505:$AA505/'实盘净值数据(iFinD）'!$Z$65:$AA$65))*(1-实盘持仓初始配置!$Z$8)^(('实盘净值数据(iFinD）'!$A505-'实盘净值数据(iFinD）'!$A$5)/365))</f>
        <v/>
      </c>
      <c r="O505" s="16" t="str">
        <f t="shared" si="46"/>
        <v/>
      </c>
      <c r="P505" s="16" t="str">
        <f>IF(N505="","",N505/MAX(N$5:N505)-1)</f>
        <v/>
      </c>
      <c r="Q505" s="13" t="str">
        <f>IF(OR('实盘净值数据(iFinD）'!$A505="",'实盘净值数据(iFinD）'!$B505="",'实盘净值数据(iFinD）'!$Z505="",'实盘净值数据(iFinD）'!$AA505=""),"",分期持仓明细!$AB$25*(SUMPRODUCT(分期持仓明细!$B$25:$Y$25,'实盘净值数据(iFinD）'!$B505:$Y505/'实盘净值数据(iFinD）'!$B$65:$Y$65)+SUMPRODUCT(分期持仓明细!$AC$25:$AD$25,'实盘净值数据(iFinD）'!$Z505:$AA505/'实盘净值数据(iFinD）'!$Z$65:$AA$65))*(1-实盘持仓初始配置!$Z$9)^(('实盘净值数据(iFinD）'!$A505-'实盘净值数据(iFinD）'!$A$8)/365))</f>
        <v/>
      </c>
      <c r="R505" s="16" t="str">
        <f t="shared" si="47"/>
        <v/>
      </c>
      <c r="S505" s="16" t="str">
        <f>IF(Q505="","",Q505/MAX(Q$5:Q505)-1)</f>
        <v/>
      </c>
      <c r="T505" s="13">
        <f>IF(OR('实盘净值数据(iFinD）'!$A505="",'实盘净值数据(iFinD）'!$B505="",'实盘净值数据(iFinD）'!$Z505="",'实盘净值数据(iFinD）'!$AA505="",'实盘净值数据(iFinD）'!$AB505="",'实盘净值数据(iFinD）'!$AL505=""),"",(SUMPRODUCT(分期持仓明细!$B$26:$Y$26,'实盘净值数据(iFinD）'!$B505:$Y505/'实盘净值数据(iFinD）'!$B$69:$Y$69)+SUMPRODUCT(分期持仓明细!$AC$26:$AD$26,'实盘净值数据(iFinD）'!$Z505:$AA505/'实盘净值数据(iFinD）'!$Z$69:$AA$69)+SUMPRODUCT(分期持仓明细!$AE$26:$AO$26,'实盘净值数据(iFinD）'!$AB505:$AL505/'实盘净值数据(iFinD）'!$AB$69:$AL$69))*(1-实盘持仓初始配置!$Z$10)^(('实盘净值数据(iFinD）'!$A505-'实盘净值数据(iFinD）'!$A$69)/365))</f>
        <v/>
      </c>
      <c r="U505" s="16">
        <f>IF(OR(T504="",T505=""),"",T505/T504-1)</f>
        <v/>
      </c>
      <c r="V505" s="16">
        <f>IF(T505="","",T505/MAX(T$5:T505)-1)</f>
        <v/>
      </c>
    </row>
    <row r="506" spans="1:19">
      <c r="A506" s="15" t="str">
        <f>IF('实盘净值数据(iFinD）'!A506="","",'实盘净值数据(iFinD）'!A506)</f>
        <v/>
      </c>
      <c r="B506" s="13" t="str">
        <f>IF(OR('实盘净值数据(iFinD）'!$A506="",'实盘净值数据(iFinD）'!$B506=""),"",分期持仓明细!$AB$17*SUMPRODUCT(分期持仓明细!$B$17:$Y$17,'实盘净值数据(iFinD）'!$B506:$Y506/'实盘净值数据(iFinD）'!$B$20:$Y$20)*(1-实盘持仓初始配置!$Z$4)^(('实盘净值数据(iFinD）'!$A506-'实盘净值数据(iFinD）'!$A$6)/365))</f>
        <v/>
      </c>
      <c r="C506" s="16" t="str">
        <f t="shared" si="42"/>
        <v/>
      </c>
      <c r="D506" s="16" t="str">
        <f>IF(B506="","",B506/MAX(B$5:B506)-1)</f>
        <v/>
      </c>
      <c r="E506" s="13" t="str">
        <f>IF(OR('实盘净值数据(iFinD）'!$A506="",'实盘净值数据(iFinD）'!$B506=""),"",分期持仓明细!$AB$18*SUMPRODUCT(分期持仓明细!$B$18:$Y$18,'实盘净值数据(iFinD）'!$B506:$Y506/'实盘净值数据(iFinD）'!$B$20:$Y$20)*(1-实盘持仓初始配置!$Z$5)^(('实盘净值数据(iFinD）'!$A506-'实盘净值数据(iFinD）'!$A$5)/365))</f>
        <v/>
      </c>
      <c r="F506" s="16" t="str">
        <f t="shared" si="43"/>
        <v/>
      </c>
      <c r="G506" s="16" t="str">
        <f>IF(E506="","",E506/MAX(E$5:E506)-1)</f>
        <v/>
      </c>
      <c r="H506" s="13" t="str">
        <f>IF(OR('实盘净值数据(iFinD）'!$A506="",'实盘净值数据(iFinD）'!$B506=""),"",分期持仓明细!$AB$19*SUMPRODUCT(分期持仓明细!$B$19:$Y$19,'实盘净值数据(iFinD）'!$B506:$Y506/'实盘净值数据(iFinD）'!$B$20:$Y$20)*(1-实盘持仓初始配置!$Z$6)^(('实盘净值数据(iFinD）'!$A506-'实盘净值数据(iFinD）'!$A$7)/365))</f>
        <v/>
      </c>
      <c r="I506" s="16" t="str">
        <f t="shared" si="44"/>
        <v/>
      </c>
      <c r="J506" s="16" t="str">
        <f>IF(H506="","",H506/MAX(H$5:H506)-1)</f>
        <v/>
      </c>
      <c r="K506" s="13" t="str">
        <f>IF(OR('实盘净值数据(iFinD）'!$A506="",'实盘净值数据(iFinD）'!$B506="",'实盘净值数据(iFinD）'!$Z506="",'实盘净值数据(iFinD）'!$AA506=""),"",分期持仓明细!$AB$23*(SUMPRODUCT(分期持仓明细!$B$23:$Y$23,'实盘净值数据(iFinD）'!$B506:$Y506/'实盘净值数据(iFinD）'!$B$65:$Y$65)+SUMPRODUCT(分期持仓明细!$AC$23:$AD$23,'实盘净值数据(iFinD）'!$Z506:$AA506/'实盘净值数据(iFinD）'!$Z$65:$AA$65))*(1-实盘持仓初始配置!$Z$7)^(('实盘净值数据(iFinD）'!$A506-'实盘净值数据(iFinD）'!$A$8)/365))</f>
        <v/>
      </c>
      <c r="L506" s="16" t="str">
        <f t="shared" si="45"/>
        <v/>
      </c>
      <c r="M506" s="16" t="str">
        <f>IF(K506="","",K506/MAX(K$5:K506)-1)</f>
        <v/>
      </c>
      <c r="N506" s="13" t="str">
        <f>IF(OR('实盘净值数据(iFinD）'!$A506="",'实盘净值数据(iFinD）'!$B506="",'实盘净值数据(iFinD）'!$Z506="",'实盘净值数据(iFinD）'!$AA506=""),"",分期持仓明细!$AB$24*(SUMPRODUCT(分期持仓明细!$B$24:$Y$24,'实盘净值数据(iFinD）'!$B506:$Y506/'实盘净值数据(iFinD）'!$B$65:$Y$65)+SUMPRODUCT(分期持仓明细!$AC$24:$AD$24,'实盘净值数据(iFinD）'!$Z506:$AA506/'实盘净值数据(iFinD）'!$Z$65:$AA$65))*(1-实盘持仓初始配置!$Z$8)^(('实盘净值数据(iFinD）'!$A506-'实盘净值数据(iFinD）'!$A$5)/365))</f>
        <v/>
      </c>
      <c r="O506" s="16" t="str">
        <f t="shared" si="46"/>
        <v/>
      </c>
      <c r="P506" s="16" t="str">
        <f>IF(N506="","",N506/MAX(N$5:N506)-1)</f>
        <v/>
      </c>
      <c r="Q506" s="13" t="str">
        <f>IF(OR('实盘净值数据(iFinD）'!$A506="",'实盘净值数据(iFinD）'!$B506="",'实盘净值数据(iFinD）'!$Z506="",'实盘净值数据(iFinD）'!$AA506=""),"",分期持仓明细!$AB$25*(SUMPRODUCT(分期持仓明细!$B$25:$Y$25,'实盘净值数据(iFinD）'!$B506:$Y506/'实盘净值数据(iFinD）'!$B$65:$Y$65)+SUMPRODUCT(分期持仓明细!$AC$25:$AD$25,'实盘净值数据(iFinD）'!$Z506:$AA506/'实盘净值数据(iFinD）'!$Z$65:$AA$65))*(1-实盘持仓初始配置!$Z$9)^(('实盘净值数据(iFinD）'!$A506-'实盘净值数据(iFinD）'!$A$8)/365))</f>
        <v/>
      </c>
      <c r="R506" s="16" t="str">
        <f t="shared" si="47"/>
        <v/>
      </c>
      <c r="S506" s="16" t="str">
        <f>IF(Q506="","",Q506/MAX(Q$5:Q506)-1)</f>
        <v/>
      </c>
      <c r="T506" s="13">
        <f>IF(OR('实盘净值数据(iFinD）'!$A506="",'实盘净值数据(iFinD）'!$B506="",'实盘净值数据(iFinD）'!$Z506="",'实盘净值数据(iFinD）'!$AA506="",'实盘净值数据(iFinD）'!$AB506="",'实盘净值数据(iFinD）'!$AL506=""),"",(SUMPRODUCT(分期持仓明细!$B$26:$Y$26,'实盘净值数据(iFinD）'!$B506:$Y506/'实盘净值数据(iFinD）'!$B$69:$Y$69)+SUMPRODUCT(分期持仓明细!$AC$26:$AD$26,'实盘净值数据(iFinD）'!$Z506:$AA506/'实盘净值数据(iFinD）'!$Z$69:$AA$69)+SUMPRODUCT(分期持仓明细!$AE$26:$AO$26,'实盘净值数据(iFinD）'!$AB506:$AL506/'实盘净值数据(iFinD）'!$AB$69:$AL$69))*(1-实盘持仓初始配置!$Z$10)^(('实盘净值数据(iFinD）'!$A506-'实盘净值数据(iFinD）'!$A$69)/365))</f>
        <v/>
      </c>
      <c r="U506" s="16">
        <f>IF(OR(T505="",T506=""),"",T506/T505-1)</f>
        <v/>
      </c>
      <c r="V506" s="16">
        <f>IF(T506="","",T506/MAX(T$5:T506)-1)</f>
        <v/>
      </c>
    </row>
    <row r="507" spans="1:19">
      <c r="A507" s="15" t="str">
        <f>IF('实盘净值数据(iFinD）'!A507="","",'实盘净值数据(iFinD）'!A507)</f>
        <v/>
      </c>
      <c r="B507" s="13" t="str">
        <f>IF(OR('实盘净值数据(iFinD）'!$A507="",'实盘净值数据(iFinD）'!$B507=""),"",分期持仓明细!$AB$17*SUMPRODUCT(分期持仓明细!$B$17:$Y$17,'实盘净值数据(iFinD）'!$B507:$Y507/'实盘净值数据(iFinD）'!$B$20:$Y$20)*(1-实盘持仓初始配置!$Z$4)^(('实盘净值数据(iFinD）'!$A507-'实盘净值数据(iFinD）'!$A$6)/365))</f>
        <v/>
      </c>
      <c r="C507" s="16" t="str">
        <f t="shared" si="42"/>
        <v/>
      </c>
      <c r="D507" s="16" t="str">
        <f>IF(B507="","",B507/MAX(B$5:B507)-1)</f>
        <v/>
      </c>
      <c r="E507" s="13" t="str">
        <f>IF(OR('实盘净值数据(iFinD）'!$A507="",'实盘净值数据(iFinD）'!$B507=""),"",分期持仓明细!$AB$18*SUMPRODUCT(分期持仓明细!$B$18:$Y$18,'实盘净值数据(iFinD）'!$B507:$Y507/'实盘净值数据(iFinD）'!$B$20:$Y$20)*(1-实盘持仓初始配置!$Z$5)^(('实盘净值数据(iFinD）'!$A507-'实盘净值数据(iFinD）'!$A$5)/365))</f>
        <v/>
      </c>
      <c r="F507" s="16" t="str">
        <f t="shared" si="43"/>
        <v/>
      </c>
      <c r="G507" s="16" t="str">
        <f>IF(E507="","",E507/MAX(E$5:E507)-1)</f>
        <v/>
      </c>
      <c r="H507" s="13" t="str">
        <f>IF(OR('实盘净值数据(iFinD）'!$A507="",'实盘净值数据(iFinD）'!$B507=""),"",分期持仓明细!$AB$19*SUMPRODUCT(分期持仓明细!$B$19:$Y$19,'实盘净值数据(iFinD）'!$B507:$Y507/'实盘净值数据(iFinD）'!$B$20:$Y$20)*(1-实盘持仓初始配置!$Z$6)^(('实盘净值数据(iFinD）'!$A507-'实盘净值数据(iFinD）'!$A$7)/365))</f>
        <v/>
      </c>
      <c r="I507" s="16" t="str">
        <f t="shared" si="44"/>
        <v/>
      </c>
      <c r="J507" s="16" t="str">
        <f>IF(H507="","",H507/MAX(H$5:H507)-1)</f>
        <v/>
      </c>
      <c r="K507" s="13" t="str">
        <f>IF(OR('实盘净值数据(iFinD）'!$A507="",'实盘净值数据(iFinD）'!$B507="",'实盘净值数据(iFinD）'!$Z507="",'实盘净值数据(iFinD）'!$AA507=""),"",分期持仓明细!$AB$23*(SUMPRODUCT(分期持仓明细!$B$23:$Y$23,'实盘净值数据(iFinD）'!$B507:$Y507/'实盘净值数据(iFinD）'!$B$65:$Y$65)+SUMPRODUCT(分期持仓明细!$AC$23:$AD$23,'实盘净值数据(iFinD）'!$Z507:$AA507/'实盘净值数据(iFinD）'!$Z$65:$AA$65))*(1-实盘持仓初始配置!$Z$7)^(('实盘净值数据(iFinD）'!$A507-'实盘净值数据(iFinD）'!$A$8)/365))</f>
        <v/>
      </c>
      <c r="L507" s="16" t="str">
        <f t="shared" si="45"/>
        <v/>
      </c>
      <c r="M507" s="16" t="str">
        <f>IF(K507="","",K507/MAX(K$5:K507)-1)</f>
        <v/>
      </c>
      <c r="N507" s="13" t="str">
        <f>IF(OR('实盘净值数据(iFinD）'!$A507="",'实盘净值数据(iFinD）'!$B507="",'实盘净值数据(iFinD）'!$Z507="",'实盘净值数据(iFinD）'!$AA507=""),"",分期持仓明细!$AB$24*(SUMPRODUCT(分期持仓明细!$B$24:$Y$24,'实盘净值数据(iFinD）'!$B507:$Y507/'实盘净值数据(iFinD）'!$B$65:$Y$65)+SUMPRODUCT(分期持仓明细!$AC$24:$AD$24,'实盘净值数据(iFinD）'!$Z507:$AA507/'实盘净值数据(iFinD）'!$Z$65:$AA$65))*(1-实盘持仓初始配置!$Z$8)^(('实盘净值数据(iFinD）'!$A507-'实盘净值数据(iFinD）'!$A$5)/365))</f>
        <v/>
      </c>
      <c r="O507" s="16" t="str">
        <f t="shared" si="46"/>
        <v/>
      </c>
      <c r="P507" s="16" t="str">
        <f>IF(N507="","",N507/MAX(N$5:N507)-1)</f>
        <v/>
      </c>
      <c r="Q507" s="13" t="str">
        <f>IF(OR('实盘净值数据(iFinD）'!$A507="",'实盘净值数据(iFinD）'!$B507="",'实盘净值数据(iFinD）'!$Z507="",'实盘净值数据(iFinD）'!$AA507=""),"",分期持仓明细!$AB$25*(SUMPRODUCT(分期持仓明细!$B$25:$Y$25,'实盘净值数据(iFinD）'!$B507:$Y507/'实盘净值数据(iFinD）'!$B$65:$Y$65)+SUMPRODUCT(分期持仓明细!$AC$25:$AD$25,'实盘净值数据(iFinD）'!$Z507:$AA507/'实盘净值数据(iFinD）'!$Z$65:$AA$65))*(1-实盘持仓初始配置!$Z$9)^(('实盘净值数据(iFinD）'!$A507-'实盘净值数据(iFinD）'!$A$8)/365))</f>
        <v/>
      </c>
      <c r="R507" s="16" t="str">
        <f t="shared" si="47"/>
        <v/>
      </c>
      <c r="S507" s="16" t="str">
        <f>IF(Q507="","",Q507/MAX(Q$5:Q507)-1)</f>
        <v/>
      </c>
      <c r="T507" s="13">
        <f>IF(OR('实盘净值数据(iFinD）'!$A507="",'实盘净值数据(iFinD）'!$B507="",'实盘净值数据(iFinD）'!$Z507="",'实盘净值数据(iFinD）'!$AA507="",'实盘净值数据(iFinD）'!$AB507="",'实盘净值数据(iFinD）'!$AL507=""),"",(SUMPRODUCT(分期持仓明细!$B$26:$Y$26,'实盘净值数据(iFinD）'!$B507:$Y507/'实盘净值数据(iFinD）'!$B$69:$Y$69)+SUMPRODUCT(分期持仓明细!$AC$26:$AD$26,'实盘净值数据(iFinD）'!$Z507:$AA507/'实盘净值数据(iFinD）'!$Z$69:$AA$69)+SUMPRODUCT(分期持仓明细!$AE$26:$AO$26,'实盘净值数据(iFinD）'!$AB507:$AL507/'实盘净值数据(iFinD）'!$AB$69:$AL$69))*(1-实盘持仓初始配置!$Z$10)^(('实盘净值数据(iFinD）'!$A507-'实盘净值数据(iFinD）'!$A$69)/365))</f>
        <v/>
      </c>
      <c r="U507" s="16">
        <f>IF(OR(T506="",T507=""),"",T507/T506-1)</f>
        <v/>
      </c>
      <c r="V507" s="16">
        <f>IF(T507="","",T507/MAX(T$5:T507)-1)</f>
        <v/>
      </c>
    </row>
    <row r="508" spans="1:19">
      <c r="A508" s="15" t="str">
        <f>IF('实盘净值数据(iFinD）'!A508="","",'实盘净值数据(iFinD）'!A508)</f>
        <v/>
      </c>
      <c r="B508" s="13" t="str">
        <f>IF(OR('实盘净值数据(iFinD）'!$A508="",'实盘净值数据(iFinD）'!$B508=""),"",分期持仓明细!$AB$17*SUMPRODUCT(分期持仓明细!$B$17:$Y$17,'实盘净值数据(iFinD）'!$B508:$Y508/'实盘净值数据(iFinD）'!$B$20:$Y$20)*(1-实盘持仓初始配置!$Z$4)^(('实盘净值数据(iFinD）'!$A508-'实盘净值数据(iFinD）'!$A$6)/365))</f>
        <v/>
      </c>
      <c r="C508" s="16" t="str">
        <f t="shared" ref="C508:C571" si="48">IF(OR(B507="",B508=""),"",B508/B507-1)</f>
        <v/>
      </c>
      <c r="D508" s="16" t="str">
        <f>IF(B508="","",B508/MAX(B$5:B508)-1)</f>
        <v/>
      </c>
      <c r="E508" s="13" t="str">
        <f>IF(OR('实盘净值数据(iFinD）'!$A508="",'实盘净值数据(iFinD）'!$B508=""),"",分期持仓明细!$AB$18*SUMPRODUCT(分期持仓明细!$B$18:$Y$18,'实盘净值数据(iFinD）'!$B508:$Y508/'实盘净值数据(iFinD）'!$B$20:$Y$20)*(1-实盘持仓初始配置!$Z$5)^(('实盘净值数据(iFinD）'!$A508-'实盘净值数据(iFinD）'!$A$5)/365))</f>
        <v/>
      </c>
      <c r="F508" s="16" t="str">
        <f t="shared" ref="F508:F571" si="49">IF(OR(E507="",E508=""),"",E508/E507-1)</f>
        <v/>
      </c>
      <c r="G508" s="16" t="str">
        <f>IF(E508="","",E508/MAX(E$5:E508)-1)</f>
        <v/>
      </c>
      <c r="H508" s="13" t="str">
        <f>IF(OR('实盘净值数据(iFinD）'!$A508="",'实盘净值数据(iFinD）'!$B508=""),"",分期持仓明细!$AB$19*SUMPRODUCT(分期持仓明细!$B$19:$Y$19,'实盘净值数据(iFinD）'!$B508:$Y508/'实盘净值数据(iFinD）'!$B$20:$Y$20)*(1-实盘持仓初始配置!$Z$6)^(('实盘净值数据(iFinD）'!$A508-'实盘净值数据(iFinD）'!$A$7)/365))</f>
        <v/>
      </c>
      <c r="I508" s="16" t="str">
        <f t="shared" ref="I508:I571" si="50">IF(OR(H507="",H508=""),"",H508/H507-1)</f>
        <v/>
      </c>
      <c r="J508" s="16" t="str">
        <f>IF(H508="","",H508/MAX(H$5:H508)-1)</f>
        <v/>
      </c>
      <c r="K508" s="13" t="str">
        <f>IF(OR('实盘净值数据(iFinD）'!$A508="",'实盘净值数据(iFinD）'!$B508="",'实盘净值数据(iFinD）'!$Z508="",'实盘净值数据(iFinD）'!$AA508=""),"",分期持仓明细!$AB$23*(SUMPRODUCT(分期持仓明细!$B$23:$Y$23,'实盘净值数据(iFinD）'!$B508:$Y508/'实盘净值数据(iFinD）'!$B$65:$Y$65)+SUMPRODUCT(分期持仓明细!$AC$23:$AD$23,'实盘净值数据(iFinD）'!$Z508:$AA508/'实盘净值数据(iFinD）'!$Z$65:$AA$65))*(1-实盘持仓初始配置!$Z$7)^(('实盘净值数据(iFinD）'!$A508-'实盘净值数据(iFinD）'!$A$8)/365))</f>
        <v/>
      </c>
      <c r="L508" s="16" t="str">
        <f t="shared" ref="L508:L571" si="51">IF(OR(K507="",K508=""),"",K508/K507-1)</f>
        <v/>
      </c>
      <c r="M508" s="16" t="str">
        <f>IF(K508="","",K508/MAX(K$5:K508)-1)</f>
        <v/>
      </c>
      <c r="N508" s="13" t="str">
        <f>IF(OR('实盘净值数据(iFinD）'!$A508="",'实盘净值数据(iFinD）'!$B508="",'实盘净值数据(iFinD）'!$Z508="",'实盘净值数据(iFinD）'!$AA508=""),"",分期持仓明细!$AB$24*(SUMPRODUCT(分期持仓明细!$B$24:$Y$24,'实盘净值数据(iFinD）'!$B508:$Y508/'实盘净值数据(iFinD）'!$B$65:$Y$65)+SUMPRODUCT(分期持仓明细!$AC$24:$AD$24,'实盘净值数据(iFinD）'!$Z508:$AA508/'实盘净值数据(iFinD）'!$Z$65:$AA$65))*(1-实盘持仓初始配置!$Z$8)^(('实盘净值数据(iFinD）'!$A508-'实盘净值数据(iFinD）'!$A$5)/365))</f>
        <v/>
      </c>
      <c r="O508" s="16" t="str">
        <f t="shared" ref="O508:O571" si="52">IF(OR(N507="",N508=""),"",N508/N507-1)</f>
        <v/>
      </c>
      <c r="P508" s="16" t="str">
        <f>IF(N508="","",N508/MAX(N$5:N508)-1)</f>
        <v/>
      </c>
      <c r="Q508" s="13" t="str">
        <f>IF(OR('实盘净值数据(iFinD）'!$A508="",'实盘净值数据(iFinD）'!$B508="",'实盘净值数据(iFinD）'!$Z508="",'实盘净值数据(iFinD）'!$AA508=""),"",分期持仓明细!$AB$25*(SUMPRODUCT(分期持仓明细!$B$25:$Y$25,'实盘净值数据(iFinD）'!$B508:$Y508/'实盘净值数据(iFinD）'!$B$65:$Y$65)+SUMPRODUCT(分期持仓明细!$AC$25:$AD$25,'实盘净值数据(iFinD）'!$Z508:$AA508/'实盘净值数据(iFinD）'!$Z$65:$AA$65))*(1-实盘持仓初始配置!$Z$9)^(('实盘净值数据(iFinD）'!$A508-'实盘净值数据(iFinD）'!$A$8)/365))</f>
        <v/>
      </c>
      <c r="R508" s="16" t="str">
        <f t="shared" ref="R508:R571" si="53">IF(OR(Q507="",Q508=""),"",Q508/Q507-1)</f>
        <v/>
      </c>
      <c r="S508" s="16" t="str">
        <f>IF(Q508="","",Q508/MAX(Q$5:Q508)-1)</f>
        <v/>
      </c>
      <c r="T508" s="13">
        <f>IF(OR('实盘净值数据(iFinD）'!$A508="",'实盘净值数据(iFinD）'!$B508="",'实盘净值数据(iFinD）'!$Z508="",'实盘净值数据(iFinD）'!$AA508="",'实盘净值数据(iFinD）'!$AB508="",'实盘净值数据(iFinD）'!$AL508=""),"",(SUMPRODUCT(分期持仓明细!$B$26:$Y$26,'实盘净值数据(iFinD）'!$B508:$Y508/'实盘净值数据(iFinD）'!$B$69:$Y$69)+SUMPRODUCT(分期持仓明细!$AC$26:$AD$26,'实盘净值数据(iFinD）'!$Z508:$AA508/'实盘净值数据(iFinD）'!$Z$69:$AA$69)+SUMPRODUCT(分期持仓明细!$AE$26:$AO$26,'实盘净值数据(iFinD）'!$AB508:$AL508/'实盘净值数据(iFinD）'!$AB$69:$AL$69))*(1-实盘持仓初始配置!$Z$10)^(('实盘净值数据(iFinD）'!$A508-'实盘净值数据(iFinD）'!$A$69)/365))</f>
        <v/>
      </c>
      <c r="U508" s="16">
        <f>IF(OR(T507="",T508=""),"",T508/T507-1)</f>
        <v/>
      </c>
      <c r="V508" s="16">
        <f>IF(T508="","",T508/MAX(T$5:T508)-1)</f>
        <v/>
      </c>
    </row>
    <row r="509" spans="1:19">
      <c r="A509" s="15" t="str">
        <f>IF('实盘净值数据(iFinD）'!A509="","",'实盘净值数据(iFinD）'!A509)</f>
        <v/>
      </c>
      <c r="B509" s="13" t="str">
        <f>IF(OR('实盘净值数据(iFinD）'!$A509="",'实盘净值数据(iFinD）'!$B509=""),"",分期持仓明细!$AB$17*SUMPRODUCT(分期持仓明细!$B$17:$Y$17,'实盘净值数据(iFinD）'!$B509:$Y509/'实盘净值数据(iFinD）'!$B$20:$Y$20)*(1-实盘持仓初始配置!$Z$4)^(('实盘净值数据(iFinD）'!$A509-'实盘净值数据(iFinD）'!$A$6)/365))</f>
        <v/>
      </c>
      <c r="C509" s="16" t="str">
        <f t="shared" si="48"/>
        <v/>
      </c>
      <c r="D509" s="16" t="str">
        <f>IF(B509="","",B509/MAX(B$5:B509)-1)</f>
        <v/>
      </c>
      <c r="E509" s="13" t="str">
        <f>IF(OR('实盘净值数据(iFinD）'!$A509="",'实盘净值数据(iFinD）'!$B509=""),"",分期持仓明细!$AB$18*SUMPRODUCT(分期持仓明细!$B$18:$Y$18,'实盘净值数据(iFinD）'!$B509:$Y509/'实盘净值数据(iFinD）'!$B$20:$Y$20)*(1-实盘持仓初始配置!$Z$5)^(('实盘净值数据(iFinD）'!$A509-'实盘净值数据(iFinD）'!$A$5)/365))</f>
        <v/>
      </c>
      <c r="F509" s="16" t="str">
        <f t="shared" si="49"/>
        <v/>
      </c>
      <c r="G509" s="16" t="str">
        <f>IF(E509="","",E509/MAX(E$5:E509)-1)</f>
        <v/>
      </c>
      <c r="H509" s="13" t="str">
        <f>IF(OR('实盘净值数据(iFinD）'!$A509="",'实盘净值数据(iFinD）'!$B509=""),"",分期持仓明细!$AB$19*SUMPRODUCT(分期持仓明细!$B$19:$Y$19,'实盘净值数据(iFinD）'!$B509:$Y509/'实盘净值数据(iFinD）'!$B$20:$Y$20)*(1-实盘持仓初始配置!$Z$6)^(('实盘净值数据(iFinD）'!$A509-'实盘净值数据(iFinD）'!$A$7)/365))</f>
        <v/>
      </c>
      <c r="I509" s="16" t="str">
        <f t="shared" si="50"/>
        <v/>
      </c>
      <c r="J509" s="16" t="str">
        <f>IF(H509="","",H509/MAX(H$5:H509)-1)</f>
        <v/>
      </c>
      <c r="K509" s="13" t="str">
        <f>IF(OR('实盘净值数据(iFinD）'!$A509="",'实盘净值数据(iFinD）'!$B509="",'实盘净值数据(iFinD）'!$Z509="",'实盘净值数据(iFinD）'!$AA509=""),"",分期持仓明细!$AB$23*(SUMPRODUCT(分期持仓明细!$B$23:$Y$23,'实盘净值数据(iFinD）'!$B509:$Y509/'实盘净值数据(iFinD）'!$B$65:$Y$65)+SUMPRODUCT(分期持仓明细!$AC$23:$AD$23,'实盘净值数据(iFinD）'!$Z509:$AA509/'实盘净值数据(iFinD）'!$Z$65:$AA$65))*(1-实盘持仓初始配置!$Z$7)^(('实盘净值数据(iFinD）'!$A509-'实盘净值数据(iFinD）'!$A$8)/365))</f>
        <v/>
      </c>
      <c r="L509" s="16" t="str">
        <f t="shared" si="51"/>
        <v/>
      </c>
      <c r="M509" s="16" t="str">
        <f>IF(K509="","",K509/MAX(K$5:K509)-1)</f>
        <v/>
      </c>
      <c r="N509" s="13" t="str">
        <f>IF(OR('实盘净值数据(iFinD）'!$A509="",'实盘净值数据(iFinD）'!$B509="",'实盘净值数据(iFinD）'!$Z509="",'实盘净值数据(iFinD）'!$AA509=""),"",分期持仓明细!$AB$24*(SUMPRODUCT(分期持仓明细!$B$24:$Y$24,'实盘净值数据(iFinD）'!$B509:$Y509/'实盘净值数据(iFinD）'!$B$65:$Y$65)+SUMPRODUCT(分期持仓明细!$AC$24:$AD$24,'实盘净值数据(iFinD）'!$Z509:$AA509/'实盘净值数据(iFinD）'!$Z$65:$AA$65))*(1-实盘持仓初始配置!$Z$8)^(('实盘净值数据(iFinD）'!$A509-'实盘净值数据(iFinD）'!$A$5)/365))</f>
        <v/>
      </c>
      <c r="O509" s="16" t="str">
        <f t="shared" si="52"/>
        <v/>
      </c>
      <c r="P509" s="16" t="str">
        <f>IF(N509="","",N509/MAX(N$5:N509)-1)</f>
        <v/>
      </c>
      <c r="Q509" s="13" t="str">
        <f>IF(OR('实盘净值数据(iFinD）'!$A509="",'实盘净值数据(iFinD）'!$B509="",'实盘净值数据(iFinD）'!$Z509="",'实盘净值数据(iFinD）'!$AA509=""),"",分期持仓明细!$AB$25*(SUMPRODUCT(分期持仓明细!$B$25:$Y$25,'实盘净值数据(iFinD）'!$B509:$Y509/'实盘净值数据(iFinD）'!$B$65:$Y$65)+SUMPRODUCT(分期持仓明细!$AC$25:$AD$25,'实盘净值数据(iFinD）'!$Z509:$AA509/'实盘净值数据(iFinD）'!$Z$65:$AA$65))*(1-实盘持仓初始配置!$Z$9)^(('实盘净值数据(iFinD）'!$A509-'实盘净值数据(iFinD）'!$A$8)/365))</f>
        <v/>
      </c>
      <c r="R509" s="16" t="str">
        <f t="shared" si="53"/>
        <v/>
      </c>
      <c r="S509" s="16" t="str">
        <f>IF(Q509="","",Q509/MAX(Q$5:Q509)-1)</f>
        <v/>
      </c>
      <c r="T509" s="13">
        <f>IF(OR('实盘净值数据(iFinD）'!$A509="",'实盘净值数据(iFinD）'!$B509="",'实盘净值数据(iFinD）'!$Z509="",'实盘净值数据(iFinD）'!$AA509="",'实盘净值数据(iFinD）'!$AB509="",'实盘净值数据(iFinD）'!$AL509=""),"",(SUMPRODUCT(分期持仓明细!$B$26:$Y$26,'实盘净值数据(iFinD）'!$B509:$Y509/'实盘净值数据(iFinD）'!$B$69:$Y$69)+SUMPRODUCT(分期持仓明细!$AC$26:$AD$26,'实盘净值数据(iFinD）'!$Z509:$AA509/'实盘净值数据(iFinD）'!$Z$69:$AA$69)+SUMPRODUCT(分期持仓明细!$AE$26:$AO$26,'实盘净值数据(iFinD）'!$AB509:$AL509/'实盘净值数据(iFinD）'!$AB$69:$AL$69))*(1-实盘持仓初始配置!$Z$10)^(('实盘净值数据(iFinD）'!$A509-'实盘净值数据(iFinD）'!$A$69)/365))</f>
        <v/>
      </c>
      <c r="U509" s="16">
        <f>IF(OR(T508="",T509=""),"",T509/T508-1)</f>
        <v/>
      </c>
      <c r="V509" s="16">
        <f>IF(T509="","",T509/MAX(T$5:T509)-1)</f>
        <v/>
      </c>
    </row>
    <row r="510" spans="1:19">
      <c r="A510" s="15" t="str">
        <f>IF('实盘净值数据(iFinD）'!A510="","",'实盘净值数据(iFinD）'!A510)</f>
        <v/>
      </c>
      <c r="B510" s="13" t="str">
        <f>IF(OR('实盘净值数据(iFinD）'!$A510="",'实盘净值数据(iFinD）'!$B510=""),"",分期持仓明细!$AB$17*SUMPRODUCT(分期持仓明细!$B$17:$Y$17,'实盘净值数据(iFinD）'!$B510:$Y510/'实盘净值数据(iFinD）'!$B$20:$Y$20)*(1-实盘持仓初始配置!$Z$4)^(('实盘净值数据(iFinD）'!$A510-'实盘净值数据(iFinD）'!$A$6)/365))</f>
        <v/>
      </c>
      <c r="C510" s="16" t="str">
        <f t="shared" si="48"/>
        <v/>
      </c>
      <c r="D510" s="16" t="str">
        <f>IF(B510="","",B510/MAX(B$5:B510)-1)</f>
        <v/>
      </c>
      <c r="E510" s="13" t="str">
        <f>IF(OR('实盘净值数据(iFinD）'!$A510="",'实盘净值数据(iFinD）'!$B510=""),"",分期持仓明细!$AB$18*SUMPRODUCT(分期持仓明细!$B$18:$Y$18,'实盘净值数据(iFinD）'!$B510:$Y510/'实盘净值数据(iFinD）'!$B$20:$Y$20)*(1-实盘持仓初始配置!$Z$5)^(('实盘净值数据(iFinD）'!$A510-'实盘净值数据(iFinD）'!$A$5)/365))</f>
        <v/>
      </c>
      <c r="F510" s="16" t="str">
        <f t="shared" si="49"/>
        <v/>
      </c>
      <c r="G510" s="16" t="str">
        <f>IF(E510="","",E510/MAX(E$5:E510)-1)</f>
        <v/>
      </c>
      <c r="H510" s="13" t="str">
        <f>IF(OR('实盘净值数据(iFinD）'!$A510="",'实盘净值数据(iFinD）'!$B510=""),"",分期持仓明细!$AB$19*SUMPRODUCT(分期持仓明细!$B$19:$Y$19,'实盘净值数据(iFinD）'!$B510:$Y510/'实盘净值数据(iFinD）'!$B$20:$Y$20)*(1-实盘持仓初始配置!$Z$6)^(('实盘净值数据(iFinD）'!$A510-'实盘净值数据(iFinD）'!$A$7)/365))</f>
        <v/>
      </c>
      <c r="I510" s="16" t="str">
        <f t="shared" si="50"/>
        <v/>
      </c>
      <c r="J510" s="16" t="str">
        <f>IF(H510="","",H510/MAX(H$5:H510)-1)</f>
        <v/>
      </c>
      <c r="K510" s="13" t="str">
        <f>IF(OR('实盘净值数据(iFinD）'!$A510="",'实盘净值数据(iFinD）'!$B510="",'实盘净值数据(iFinD）'!$Z510="",'实盘净值数据(iFinD）'!$AA510=""),"",分期持仓明细!$AB$23*(SUMPRODUCT(分期持仓明细!$B$23:$Y$23,'实盘净值数据(iFinD）'!$B510:$Y510/'实盘净值数据(iFinD）'!$B$65:$Y$65)+SUMPRODUCT(分期持仓明细!$AC$23:$AD$23,'实盘净值数据(iFinD）'!$Z510:$AA510/'实盘净值数据(iFinD）'!$Z$65:$AA$65))*(1-实盘持仓初始配置!$Z$7)^(('实盘净值数据(iFinD）'!$A510-'实盘净值数据(iFinD）'!$A$8)/365))</f>
        <v/>
      </c>
      <c r="L510" s="16" t="str">
        <f t="shared" si="51"/>
        <v/>
      </c>
      <c r="M510" s="16" t="str">
        <f>IF(K510="","",K510/MAX(K$5:K510)-1)</f>
        <v/>
      </c>
      <c r="N510" s="13" t="str">
        <f>IF(OR('实盘净值数据(iFinD）'!$A510="",'实盘净值数据(iFinD）'!$B510="",'实盘净值数据(iFinD）'!$Z510="",'实盘净值数据(iFinD）'!$AA510=""),"",分期持仓明细!$AB$24*(SUMPRODUCT(分期持仓明细!$B$24:$Y$24,'实盘净值数据(iFinD）'!$B510:$Y510/'实盘净值数据(iFinD）'!$B$65:$Y$65)+SUMPRODUCT(分期持仓明细!$AC$24:$AD$24,'实盘净值数据(iFinD）'!$Z510:$AA510/'实盘净值数据(iFinD）'!$Z$65:$AA$65))*(1-实盘持仓初始配置!$Z$8)^(('实盘净值数据(iFinD）'!$A510-'实盘净值数据(iFinD）'!$A$5)/365))</f>
        <v/>
      </c>
      <c r="O510" s="16" t="str">
        <f t="shared" si="52"/>
        <v/>
      </c>
      <c r="P510" s="16" t="str">
        <f>IF(N510="","",N510/MAX(N$5:N510)-1)</f>
        <v/>
      </c>
      <c r="Q510" s="13" t="str">
        <f>IF(OR('实盘净值数据(iFinD）'!$A510="",'实盘净值数据(iFinD）'!$B510="",'实盘净值数据(iFinD）'!$Z510="",'实盘净值数据(iFinD）'!$AA510=""),"",分期持仓明细!$AB$25*(SUMPRODUCT(分期持仓明细!$B$25:$Y$25,'实盘净值数据(iFinD）'!$B510:$Y510/'实盘净值数据(iFinD）'!$B$65:$Y$65)+SUMPRODUCT(分期持仓明细!$AC$25:$AD$25,'实盘净值数据(iFinD）'!$Z510:$AA510/'实盘净值数据(iFinD）'!$Z$65:$AA$65))*(1-实盘持仓初始配置!$Z$9)^(('实盘净值数据(iFinD）'!$A510-'实盘净值数据(iFinD）'!$A$8)/365))</f>
        <v/>
      </c>
      <c r="R510" s="16" t="str">
        <f t="shared" si="53"/>
        <v/>
      </c>
      <c r="S510" s="16" t="str">
        <f>IF(Q510="","",Q510/MAX(Q$5:Q510)-1)</f>
        <v/>
      </c>
      <c r="T510" s="13">
        <f>IF(OR('实盘净值数据(iFinD）'!$A510="",'实盘净值数据(iFinD）'!$B510="",'实盘净值数据(iFinD）'!$Z510="",'实盘净值数据(iFinD）'!$AA510="",'实盘净值数据(iFinD）'!$AB510="",'实盘净值数据(iFinD）'!$AL510=""),"",(SUMPRODUCT(分期持仓明细!$B$26:$Y$26,'实盘净值数据(iFinD）'!$B510:$Y510/'实盘净值数据(iFinD）'!$B$69:$Y$69)+SUMPRODUCT(分期持仓明细!$AC$26:$AD$26,'实盘净值数据(iFinD）'!$Z510:$AA510/'实盘净值数据(iFinD）'!$Z$69:$AA$69)+SUMPRODUCT(分期持仓明细!$AE$26:$AO$26,'实盘净值数据(iFinD）'!$AB510:$AL510/'实盘净值数据(iFinD）'!$AB$69:$AL$69))*(1-实盘持仓初始配置!$Z$10)^(('实盘净值数据(iFinD）'!$A510-'实盘净值数据(iFinD）'!$A$69)/365))</f>
        <v/>
      </c>
      <c r="U510" s="16">
        <f>IF(OR(T509="",T510=""),"",T510/T509-1)</f>
        <v/>
      </c>
      <c r="V510" s="16">
        <f>IF(T510="","",T510/MAX(T$5:T510)-1)</f>
        <v/>
      </c>
    </row>
    <row r="511" spans="1:19">
      <c r="A511" s="15" t="str">
        <f>IF('实盘净值数据(iFinD）'!A511="","",'实盘净值数据(iFinD）'!A511)</f>
        <v/>
      </c>
      <c r="B511" s="13" t="str">
        <f>IF(OR('实盘净值数据(iFinD）'!$A511="",'实盘净值数据(iFinD）'!$B511=""),"",分期持仓明细!$AB$17*SUMPRODUCT(分期持仓明细!$B$17:$Y$17,'实盘净值数据(iFinD）'!$B511:$Y511/'实盘净值数据(iFinD）'!$B$20:$Y$20)*(1-实盘持仓初始配置!$Z$4)^(('实盘净值数据(iFinD）'!$A511-'实盘净值数据(iFinD）'!$A$6)/365))</f>
        <v/>
      </c>
      <c r="C511" s="16" t="str">
        <f t="shared" si="48"/>
        <v/>
      </c>
      <c r="D511" s="16" t="str">
        <f>IF(B511="","",B511/MAX(B$5:B511)-1)</f>
        <v/>
      </c>
      <c r="E511" s="13" t="str">
        <f>IF(OR('实盘净值数据(iFinD）'!$A511="",'实盘净值数据(iFinD）'!$B511=""),"",分期持仓明细!$AB$18*SUMPRODUCT(分期持仓明细!$B$18:$Y$18,'实盘净值数据(iFinD）'!$B511:$Y511/'实盘净值数据(iFinD）'!$B$20:$Y$20)*(1-实盘持仓初始配置!$Z$5)^(('实盘净值数据(iFinD）'!$A511-'实盘净值数据(iFinD）'!$A$5)/365))</f>
        <v/>
      </c>
      <c r="F511" s="16" t="str">
        <f t="shared" si="49"/>
        <v/>
      </c>
      <c r="G511" s="16" t="str">
        <f>IF(E511="","",E511/MAX(E$5:E511)-1)</f>
        <v/>
      </c>
      <c r="H511" s="13" t="str">
        <f>IF(OR('实盘净值数据(iFinD）'!$A511="",'实盘净值数据(iFinD）'!$B511=""),"",分期持仓明细!$AB$19*SUMPRODUCT(分期持仓明细!$B$19:$Y$19,'实盘净值数据(iFinD）'!$B511:$Y511/'实盘净值数据(iFinD）'!$B$20:$Y$20)*(1-实盘持仓初始配置!$Z$6)^(('实盘净值数据(iFinD）'!$A511-'实盘净值数据(iFinD）'!$A$7)/365))</f>
        <v/>
      </c>
      <c r="I511" s="16" t="str">
        <f t="shared" si="50"/>
        <v/>
      </c>
      <c r="J511" s="16" t="str">
        <f>IF(H511="","",H511/MAX(H$5:H511)-1)</f>
        <v/>
      </c>
      <c r="K511" s="13" t="str">
        <f>IF(OR('实盘净值数据(iFinD）'!$A511="",'实盘净值数据(iFinD）'!$B511="",'实盘净值数据(iFinD）'!$Z511="",'实盘净值数据(iFinD）'!$AA511=""),"",分期持仓明细!$AB$23*(SUMPRODUCT(分期持仓明细!$B$23:$Y$23,'实盘净值数据(iFinD）'!$B511:$Y511/'实盘净值数据(iFinD）'!$B$65:$Y$65)+SUMPRODUCT(分期持仓明细!$AC$23:$AD$23,'实盘净值数据(iFinD）'!$Z511:$AA511/'实盘净值数据(iFinD）'!$Z$65:$AA$65))*(1-实盘持仓初始配置!$Z$7)^(('实盘净值数据(iFinD）'!$A511-'实盘净值数据(iFinD）'!$A$8)/365))</f>
        <v/>
      </c>
      <c r="L511" s="16" t="str">
        <f t="shared" si="51"/>
        <v/>
      </c>
      <c r="M511" s="16" t="str">
        <f>IF(K511="","",K511/MAX(K$5:K511)-1)</f>
        <v/>
      </c>
      <c r="N511" s="13" t="str">
        <f>IF(OR('实盘净值数据(iFinD）'!$A511="",'实盘净值数据(iFinD）'!$B511="",'实盘净值数据(iFinD）'!$Z511="",'实盘净值数据(iFinD）'!$AA511=""),"",分期持仓明细!$AB$24*(SUMPRODUCT(分期持仓明细!$B$24:$Y$24,'实盘净值数据(iFinD）'!$B511:$Y511/'实盘净值数据(iFinD）'!$B$65:$Y$65)+SUMPRODUCT(分期持仓明细!$AC$24:$AD$24,'实盘净值数据(iFinD）'!$Z511:$AA511/'实盘净值数据(iFinD）'!$Z$65:$AA$65))*(1-实盘持仓初始配置!$Z$8)^(('实盘净值数据(iFinD）'!$A511-'实盘净值数据(iFinD）'!$A$5)/365))</f>
        <v/>
      </c>
      <c r="O511" s="16" t="str">
        <f t="shared" si="52"/>
        <v/>
      </c>
      <c r="P511" s="16" t="str">
        <f>IF(N511="","",N511/MAX(N$5:N511)-1)</f>
        <v/>
      </c>
      <c r="Q511" s="13" t="str">
        <f>IF(OR('实盘净值数据(iFinD）'!$A511="",'实盘净值数据(iFinD）'!$B511="",'实盘净值数据(iFinD）'!$Z511="",'实盘净值数据(iFinD）'!$AA511=""),"",分期持仓明细!$AB$25*(SUMPRODUCT(分期持仓明细!$B$25:$Y$25,'实盘净值数据(iFinD）'!$B511:$Y511/'实盘净值数据(iFinD）'!$B$65:$Y$65)+SUMPRODUCT(分期持仓明细!$AC$25:$AD$25,'实盘净值数据(iFinD）'!$Z511:$AA511/'实盘净值数据(iFinD）'!$Z$65:$AA$65))*(1-实盘持仓初始配置!$Z$9)^(('实盘净值数据(iFinD）'!$A511-'实盘净值数据(iFinD）'!$A$8)/365))</f>
        <v/>
      </c>
      <c r="R511" s="16" t="str">
        <f t="shared" si="53"/>
        <v/>
      </c>
      <c r="S511" s="16" t="str">
        <f>IF(Q511="","",Q511/MAX(Q$5:Q511)-1)</f>
        <v/>
      </c>
      <c r="T511" s="13">
        <f>IF(OR('实盘净值数据(iFinD）'!$A511="",'实盘净值数据(iFinD）'!$B511="",'实盘净值数据(iFinD）'!$Z511="",'实盘净值数据(iFinD）'!$AA511="",'实盘净值数据(iFinD）'!$AB511="",'实盘净值数据(iFinD）'!$AL511=""),"",(SUMPRODUCT(分期持仓明细!$B$26:$Y$26,'实盘净值数据(iFinD）'!$B511:$Y511/'实盘净值数据(iFinD）'!$B$69:$Y$69)+SUMPRODUCT(分期持仓明细!$AC$26:$AD$26,'实盘净值数据(iFinD）'!$Z511:$AA511/'实盘净值数据(iFinD）'!$Z$69:$AA$69)+SUMPRODUCT(分期持仓明细!$AE$26:$AO$26,'实盘净值数据(iFinD）'!$AB511:$AL511/'实盘净值数据(iFinD）'!$AB$69:$AL$69))*(1-实盘持仓初始配置!$Z$10)^(('实盘净值数据(iFinD）'!$A511-'实盘净值数据(iFinD）'!$A$69)/365))</f>
        <v/>
      </c>
      <c r="U511" s="16">
        <f>IF(OR(T510="",T511=""),"",T511/T510-1)</f>
        <v/>
      </c>
      <c r="V511" s="16">
        <f>IF(T511="","",T511/MAX(T$5:T511)-1)</f>
        <v/>
      </c>
    </row>
    <row r="512" spans="1:19">
      <c r="A512" s="15" t="str">
        <f>IF('实盘净值数据(iFinD）'!A512="","",'实盘净值数据(iFinD）'!A512)</f>
        <v/>
      </c>
      <c r="B512" s="13" t="str">
        <f>IF(OR('实盘净值数据(iFinD）'!$A512="",'实盘净值数据(iFinD）'!$B512=""),"",分期持仓明细!$AB$17*SUMPRODUCT(分期持仓明细!$B$17:$Y$17,'实盘净值数据(iFinD）'!$B512:$Y512/'实盘净值数据(iFinD）'!$B$20:$Y$20)*(1-实盘持仓初始配置!$Z$4)^(('实盘净值数据(iFinD）'!$A512-'实盘净值数据(iFinD）'!$A$6)/365))</f>
        <v/>
      </c>
      <c r="C512" s="16" t="str">
        <f t="shared" si="48"/>
        <v/>
      </c>
      <c r="D512" s="16" t="str">
        <f>IF(B512="","",B512/MAX(B$5:B512)-1)</f>
        <v/>
      </c>
      <c r="E512" s="13" t="str">
        <f>IF(OR('实盘净值数据(iFinD）'!$A512="",'实盘净值数据(iFinD）'!$B512=""),"",分期持仓明细!$AB$18*SUMPRODUCT(分期持仓明细!$B$18:$Y$18,'实盘净值数据(iFinD）'!$B512:$Y512/'实盘净值数据(iFinD）'!$B$20:$Y$20)*(1-实盘持仓初始配置!$Z$5)^(('实盘净值数据(iFinD）'!$A512-'实盘净值数据(iFinD）'!$A$5)/365))</f>
        <v/>
      </c>
      <c r="F512" s="16" t="str">
        <f t="shared" si="49"/>
        <v/>
      </c>
      <c r="G512" s="16" t="str">
        <f>IF(E512="","",E512/MAX(E$5:E512)-1)</f>
        <v/>
      </c>
      <c r="H512" s="13" t="str">
        <f>IF(OR('实盘净值数据(iFinD）'!$A512="",'实盘净值数据(iFinD）'!$B512=""),"",分期持仓明细!$AB$19*SUMPRODUCT(分期持仓明细!$B$19:$Y$19,'实盘净值数据(iFinD）'!$B512:$Y512/'实盘净值数据(iFinD）'!$B$20:$Y$20)*(1-实盘持仓初始配置!$Z$6)^(('实盘净值数据(iFinD）'!$A512-'实盘净值数据(iFinD）'!$A$7)/365))</f>
        <v/>
      </c>
      <c r="I512" s="16" t="str">
        <f t="shared" si="50"/>
        <v/>
      </c>
      <c r="J512" s="16" t="str">
        <f>IF(H512="","",H512/MAX(H$5:H512)-1)</f>
        <v/>
      </c>
      <c r="K512" s="13" t="str">
        <f>IF(OR('实盘净值数据(iFinD）'!$A512="",'实盘净值数据(iFinD）'!$B512="",'实盘净值数据(iFinD）'!$Z512="",'实盘净值数据(iFinD）'!$AA512=""),"",分期持仓明细!$AB$23*(SUMPRODUCT(分期持仓明细!$B$23:$Y$23,'实盘净值数据(iFinD）'!$B512:$Y512/'实盘净值数据(iFinD）'!$B$65:$Y$65)+SUMPRODUCT(分期持仓明细!$AC$23:$AD$23,'实盘净值数据(iFinD）'!$Z512:$AA512/'实盘净值数据(iFinD）'!$Z$65:$AA$65))*(1-实盘持仓初始配置!$Z$7)^(('实盘净值数据(iFinD）'!$A512-'实盘净值数据(iFinD）'!$A$8)/365))</f>
        <v/>
      </c>
      <c r="L512" s="16" t="str">
        <f t="shared" si="51"/>
        <v/>
      </c>
      <c r="M512" s="16" t="str">
        <f>IF(K512="","",K512/MAX(K$5:K512)-1)</f>
        <v/>
      </c>
      <c r="N512" s="13" t="str">
        <f>IF(OR('实盘净值数据(iFinD）'!$A512="",'实盘净值数据(iFinD）'!$B512="",'实盘净值数据(iFinD）'!$Z512="",'实盘净值数据(iFinD）'!$AA512=""),"",分期持仓明细!$AB$24*(SUMPRODUCT(分期持仓明细!$B$24:$Y$24,'实盘净值数据(iFinD）'!$B512:$Y512/'实盘净值数据(iFinD）'!$B$65:$Y$65)+SUMPRODUCT(分期持仓明细!$AC$24:$AD$24,'实盘净值数据(iFinD）'!$Z512:$AA512/'实盘净值数据(iFinD）'!$Z$65:$AA$65))*(1-实盘持仓初始配置!$Z$8)^(('实盘净值数据(iFinD）'!$A512-'实盘净值数据(iFinD）'!$A$5)/365))</f>
        <v/>
      </c>
      <c r="O512" s="16" t="str">
        <f t="shared" si="52"/>
        <v/>
      </c>
      <c r="P512" s="16" t="str">
        <f>IF(N512="","",N512/MAX(N$5:N512)-1)</f>
        <v/>
      </c>
      <c r="Q512" s="13" t="str">
        <f>IF(OR('实盘净值数据(iFinD）'!$A512="",'实盘净值数据(iFinD）'!$B512="",'实盘净值数据(iFinD）'!$Z512="",'实盘净值数据(iFinD）'!$AA512=""),"",分期持仓明细!$AB$25*(SUMPRODUCT(分期持仓明细!$B$25:$Y$25,'实盘净值数据(iFinD）'!$B512:$Y512/'实盘净值数据(iFinD）'!$B$65:$Y$65)+SUMPRODUCT(分期持仓明细!$AC$25:$AD$25,'实盘净值数据(iFinD）'!$Z512:$AA512/'实盘净值数据(iFinD）'!$Z$65:$AA$65))*(1-实盘持仓初始配置!$Z$9)^(('实盘净值数据(iFinD）'!$A512-'实盘净值数据(iFinD）'!$A$8)/365))</f>
        <v/>
      </c>
      <c r="R512" s="16" t="str">
        <f t="shared" si="53"/>
        <v/>
      </c>
      <c r="S512" s="16" t="str">
        <f>IF(Q512="","",Q512/MAX(Q$5:Q512)-1)</f>
        <v/>
      </c>
      <c r="T512" s="13">
        <f>IF(OR('实盘净值数据(iFinD）'!$A512="",'实盘净值数据(iFinD）'!$B512="",'实盘净值数据(iFinD）'!$Z512="",'实盘净值数据(iFinD）'!$AA512="",'实盘净值数据(iFinD）'!$AB512="",'实盘净值数据(iFinD）'!$AL512=""),"",(SUMPRODUCT(分期持仓明细!$B$26:$Y$26,'实盘净值数据(iFinD）'!$B512:$Y512/'实盘净值数据(iFinD）'!$B$69:$Y$69)+SUMPRODUCT(分期持仓明细!$AC$26:$AD$26,'实盘净值数据(iFinD）'!$Z512:$AA512/'实盘净值数据(iFinD）'!$Z$69:$AA$69)+SUMPRODUCT(分期持仓明细!$AE$26:$AO$26,'实盘净值数据(iFinD）'!$AB512:$AL512/'实盘净值数据(iFinD）'!$AB$69:$AL$69))*(1-实盘持仓初始配置!$Z$10)^(('实盘净值数据(iFinD）'!$A512-'实盘净值数据(iFinD）'!$A$69)/365))</f>
        <v/>
      </c>
      <c r="U512" s="16">
        <f>IF(OR(T511="",T512=""),"",T512/T511-1)</f>
        <v/>
      </c>
      <c r="V512" s="16">
        <f>IF(T512="","",T512/MAX(T$5:T512)-1)</f>
        <v/>
      </c>
    </row>
    <row r="513" spans="1:19">
      <c r="A513" s="15" t="str">
        <f>IF('实盘净值数据(iFinD）'!A513="","",'实盘净值数据(iFinD）'!A513)</f>
        <v/>
      </c>
      <c r="B513" s="13" t="str">
        <f>IF(OR('实盘净值数据(iFinD）'!$A513="",'实盘净值数据(iFinD）'!$B513=""),"",分期持仓明细!$AB$17*SUMPRODUCT(分期持仓明细!$B$17:$Y$17,'实盘净值数据(iFinD）'!$B513:$Y513/'实盘净值数据(iFinD）'!$B$20:$Y$20)*(1-实盘持仓初始配置!$Z$4)^(('实盘净值数据(iFinD）'!$A513-'实盘净值数据(iFinD）'!$A$6)/365))</f>
        <v/>
      </c>
      <c r="C513" s="16" t="str">
        <f t="shared" si="48"/>
        <v/>
      </c>
      <c r="D513" s="16" t="str">
        <f>IF(B513="","",B513/MAX(B$5:B513)-1)</f>
        <v/>
      </c>
      <c r="E513" s="13" t="str">
        <f>IF(OR('实盘净值数据(iFinD）'!$A513="",'实盘净值数据(iFinD）'!$B513=""),"",分期持仓明细!$AB$18*SUMPRODUCT(分期持仓明细!$B$18:$Y$18,'实盘净值数据(iFinD）'!$B513:$Y513/'实盘净值数据(iFinD）'!$B$20:$Y$20)*(1-实盘持仓初始配置!$Z$5)^(('实盘净值数据(iFinD）'!$A513-'实盘净值数据(iFinD）'!$A$5)/365))</f>
        <v/>
      </c>
      <c r="F513" s="16" t="str">
        <f t="shared" si="49"/>
        <v/>
      </c>
      <c r="G513" s="16" t="str">
        <f>IF(E513="","",E513/MAX(E$5:E513)-1)</f>
        <v/>
      </c>
      <c r="H513" s="13" t="str">
        <f>IF(OR('实盘净值数据(iFinD）'!$A513="",'实盘净值数据(iFinD）'!$B513=""),"",分期持仓明细!$AB$19*SUMPRODUCT(分期持仓明细!$B$19:$Y$19,'实盘净值数据(iFinD）'!$B513:$Y513/'实盘净值数据(iFinD）'!$B$20:$Y$20)*(1-实盘持仓初始配置!$Z$6)^(('实盘净值数据(iFinD）'!$A513-'实盘净值数据(iFinD）'!$A$7)/365))</f>
        <v/>
      </c>
      <c r="I513" s="16" t="str">
        <f t="shared" si="50"/>
        <v/>
      </c>
      <c r="J513" s="16" t="str">
        <f>IF(H513="","",H513/MAX(H$5:H513)-1)</f>
        <v/>
      </c>
      <c r="K513" s="13" t="str">
        <f>IF(OR('实盘净值数据(iFinD）'!$A513="",'实盘净值数据(iFinD）'!$B513="",'实盘净值数据(iFinD）'!$Z513="",'实盘净值数据(iFinD）'!$AA513=""),"",分期持仓明细!$AB$23*(SUMPRODUCT(分期持仓明细!$B$23:$Y$23,'实盘净值数据(iFinD）'!$B513:$Y513/'实盘净值数据(iFinD）'!$B$65:$Y$65)+SUMPRODUCT(分期持仓明细!$AC$23:$AD$23,'实盘净值数据(iFinD）'!$Z513:$AA513/'实盘净值数据(iFinD）'!$Z$65:$AA$65))*(1-实盘持仓初始配置!$Z$7)^(('实盘净值数据(iFinD）'!$A513-'实盘净值数据(iFinD）'!$A$8)/365))</f>
        <v/>
      </c>
      <c r="L513" s="16" t="str">
        <f t="shared" si="51"/>
        <v/>
      </c>
      <c r="M513" s="16" t="str">
        <f>IF(K513="","",K513/MAX(K$5:K513)-1)</f>
        <v/>
      </c>
      <c r="N513" s="13" t="str">
        <f>IF(OR('实盘净值数据(iFinD）'!$A513="",'实盘净值数据(iFinD）'!$B513="",'实盘净值数据(iFinD）'!$Z513="",'实盘净值数据(iFinD）'!$AA513=""),"",分期持仓明细!$AB$24*(SUMPRODUCT(分期持仓明细!$B$24:$Y$24,'实盘净值数据(iFinD）'!$B513:$Y513/'实盘净值数据(iFinD）'!$B$65:$Y$65)+SUMPRODUCT(分期持仓明细!$AC$24:$AD$24,'实盘净值数据(iFinD）'!$Z513:$AA513/'实盘净值数据(iFinD）'!$Z$65:$AA$65))*(1-实盘持仓初始配置!$Z$8)^(('实盘净值数据(iFinD）'!$A513-'实盘净值数据(iFinD）'!$A$5)/365))</f>
        <v/>
      </c>
      <c r="O513" s="16" t="str">
        <f t="shared" si="52"/>
        <v/>
      </c>
      <c r="P513" s="16" t="str">
        <f>IF(N513="","",N513/MAX(N$5:N513)-1)</f>
        <v/>
      </c>
      <c r="Q513" s="13" t="str">
        <f>IF(OR('实盘净值数据(iFinD）'!$A513="",'实盘净值数据(iFinD）'!$B513="",'实盘净值数据(iFinD）'!$Z513="",'实盘净值数据(iFinD）'!$AA513=""),"",分期持仓明细!$AB$25*(SUMPRODUCT(分期持仓明细!$B$25:$Y$25,'实盘净值数据(iFinD）'!$B513:$Y513/'实盘净值数据(iFinD）'!$B$65:$Y$65)+SUMPRODUCT(分期持仓明细!$AC$25:$AD$25,'实盘净值数据(iFinD）'!$Z513:$AA513/'实盘净值数据(iFinD）'!$Z$65:$AA$65))*(1-实盘持仓初始配置!$Z$9)^(('实盘净值数据(iFinD）'!$A513-'实盘净值数据(iFinD）'!$A$8)/365))</f>
        <v/>
      </c>
      <c r="R513" s="16" t="str">
        <f t="shared" si="53"/>
        <v/>
      </c>
      <c r="S513" s="16" t="str">
        <f>IF(Q513="","",Q513/MAX(Q$5:Q513)-1)</f>
        <v/>
      </c>
      <c r="T513" s="13">
        <f>IF(OR('实盘净值数据(iFinD）'!$A513="",'实盘净值数据(iFinD）'!$B513="",'实盘净值数据(iFinD）'!$Z513="",'实盘净值数据(iFinD）'!$AA513="",'实盘净值数据(iFinD）'!$AB513="",'实盘净值数据(iFinD）'!$AL513=""),"",(SUMPRODUCT(分期持仓明细!$B$26:$Y$26,'实盘净值数据(iFinD）'!$B513:$Y513/'实盘净值数据(iFinD）'!$B$69:$Y$69)+SUMPRODUCT(分期持仓明细!$AC$26:$AD$26,'实盘净值数据(iFinD）'!$Z513:$AA513/'实盘净值数据(iFinD）'!$Z$69:$AA$69)+SUMPRODUCT(分期持仓明细!$AE$26:$AO$26,'实盘净值数据(iFinD）'!$AB513:$AL513/'实盘净值数据(iFinD）'!$AB$69:$AL$69))*(1-实盘持仓初始配置!$Z$10)^(('实盘净值数据(iFinD）'!$A513-'实盘净值数据(iFinD）'!$A$69)/365))</f>
        <v/>
      </c>
      <c r="U513" s="16">
        <f>IF(OR(T512="",T513=""),"",T513/T512-1)</f>
        <v/>
      </c>
      <c r="V513" s="16">
        <f>IF(T513="","",T513/MAX(T$5:T513)-1)</f>
        <v/>
      </c>
    </row>
    <row r="514" spans="1:19">
      <c r="A514" s="15" t="str">
        <f>IF('实盘净值数据(iFinD）'!A514="","",'实盘净值数据(iFinD）'!A514)</f>
        <v/>
      </c>
      <c r="B514" s="13" t="str">
        <f>IF(OR('实盘净值数据(iFinD）'!$A514="",'实盘净值数据(iFinD）'!$B514=""),"",分期持仓明细!$AB$17*SUMPRODUCT(分期持仓明细!$B$17:$Y$17,'实盘净值数据(iFinD）'!$B514:$Y514/'实盘净值数据(iFinD）'!$B$20:$Y$20)*(1-实盘持仓初始配置!$Z$4)^(('实盘净值数据(iFinD）'!$A514-'实盘净值数据(iFinD）'!$A$6)/365))</f>
        <v/>
      </c>
      <c r="C514" s="16" t="str">
        <f t="shared" si="48"/>
        <v/>
      </c>
      <c r="D514" s="16" t="str">
        <f>IF(B514="","",B514/MAX(B$5:B514)-1)</f>
        <v/>
      </c>
      <c r="E514" s="13" t="str">
        <f>IF(OR('实盘净值数据(iFinD）'!$A514="",'实盘净值数据(iFinD）'!$B514=""),"",分期持仓明细!$AB$18*SUMPRODUCT(分期持仓明细!$B$18:$Y$18,'实盘净值数据(iFinD）'!$B514:$Y514/'实盘净值数据(iFinD）'!$B$20:$Y$20)*(1-实盘持仓初始配置!$Z$5)^(('实盘净值数据(iFinD）'!$A514-'实盘净值数据(iFinD）'!$A$5)/365))</f>
        <v/>
      </c>
      <c r="F514" s="16" t="str">
        <f t="shared" si="49"/>
        <v/>
      </c>
      <c r="G514" s="16" t="str">
        <f>IF(E514="","",E514/MAX(E$5:E514)-1)</f>
        <v/>
      </c>
      <c r="H514" s="13" t="str">
        <f>IF(OR('实盘净值数据(iFinD）'!$A514="",'实盘净值数据(iFinD）'!$B514=""),"",分期持仓明细!$AB$19*SUMPRODUCT(分期持仓明细!$B$19:$Y$19,'实盘净值数据(iFinD）'!$B514:$Y514/'实盘净值数据(iFinD）'!$B$20:$Y$20)*(1-实盘持仓初始配置!$Z$6)^(('实盘净值数据(iFinD）'!$A514-'实盘净值数据(iFinD）'!$A$7)/365))</f>
        <v/>
      </c>
      <c r="I514" s="16" t="str">
        <f t="shared" si="50"/>
        <v/>
      </c>
      <c r="J514" s="16" t="str">
        <f>IF(H514="","",H514/MAX(H$5:H514)-1)</f>
        <v/>
      </c>
      <c r="K514" s="13" t="str">
        <f>IF(OR('实盘净值数据(iFinD）'!$A514="",'实盘净值数据(iFinD）'!$B514="",'实盘净值数据(iFinD）'!$Z514="",'实盘净值数据(iFinD）'!$AA514=""),"",分期持仓明细!$AB$23*(SUMPRODUCT(分期持仓明细!$B$23:$Y$23,'实盘净值数据(iFinD）'!$B514:$Y514/'实盘净值数据(iFinD）'!$B$65:$Y$65)+SUMPRODUCT(分期持仓明细!$AC$23:$AD$23,'实盘净值数据(iFinD）'!$Z514:$AA514/'实盘净值数据(iFinD）'!$Z$65:$AA$65))*(1-实盘持仓初始配置!$Z$7)^(('实盘净值数据(iFinD）'!$A514-'实盘净值数据(iFinD）'!$A$8)/365))</f>
        <v/>
      </c>
      <c r="L514" s="16" t="str">
        <f t="shared" si="51"/>
        <v/>
      </c>
      <c r="M514" s="16" t="str">
        <f>IF(K514="","",K514/MAX(K$5:K514)-1)</f>
        <v/>
      </c>
      <c r="N514" s="13" t="str">
        <f>IF(OR('实盘净值数据(iFinD）'!$A514="",'实盘净值数据(iFinD）'!$B514="",'实盘净值数据(iFinD）'!$Z514="",'实盘净值数据(iFinD）'!$AA514=""),"",分期持仓明细!$AB$24*(SUMPRODUCT(分期持仓明细!$B$24:$Y$24,'实盘净值数据(iFinD）'!$B514:$Y514/'实盘净值数据(iFinD）'!$B$65:$Y$65)+SUMPRODUCT(分期持仓明细!$AC$24:$AD$24,'实盘净值数据(iFinD）'!$Z514:$AA514/'实盘净值数据(iFinD）'!$Z$65:$AA$65))*(1-实盘持仓初始配置!$Z$8)^(('实盘净值数据(iFinD）'!$A514-'实盘净值数据(iFinD）'!$A$5)/365))</f>
        <v/>
      </c>
      <c r="O514" s="16" t="str">
        <f t="shared" si="52"/>
        <v/>
      </c>
      <c r="P514" s="16" t="str">
        <f>IF(N514="","",N514/MAX(N$5:N514)-1)</f>
        <v/>
      </c>
      <c r="Q514" s="13" t="str">
        <f>IF(OR('实盘净值数据(iFinD）'!$A514="",'实盘净值数据(iFinD）'!$B514="",'实盘净值数据(iFinD）'!$Z514="",'实盘净值数据(iFinD）'!$AA514=""),"",分期持仓明细!$AB$25*(SUMPRODUCT(分期持仓明细!$B$25:$Y$25,'实盘净值数据(iFinD）'!$B514:$Y514/'实盘净值数据(iFinD）'!$B$65:$Y$65)+SUMPRODUCT(分期持仓明细!$AC$25:$AD$25,'实盘净值数据(iFinD）'!$Z514:$AA514/'实盘净值数据(iFinD）'!$Z$65:$AA$65))*(1-实盘持仓初始配置!$Z$9)^(('实盘净值数据(iFinD）'!$A514-'实盘净值数据(iFinD）'!$A$8)/365))</f>
        <v/>
      </c>
      <c r="R514" s="16" t="str">
        <f t="shared" si="53"/>
        <v/>
      </c>
      <c r="S514" s="16" t="str">
        <f>IF(Q514="","",Q514/MAX(Q$5:Q514)-1)</f>
        <v/>
      </c>
      <c r="T514" s="13">
        <f>IF(OR('实盘净值数据(iFinD）'!$A514="",'实盘净值数据(iFinD）'!$B514="",'实盘净值数据(iFinD）'!$Z514="",'实盘净值数据(iFinD）'!$AA514="",'实盘净值数据(iFinD）'!$AB514="",'实盘净值数据(iFinD）'!$AL514=""),"",(SUMPRODUCT(分期持仓明细!$B$26:$Y$26,'实盘净值数据(iFinD）'!$B514:$Y514/'实盘净值数据(iFinD）'!$B$69:$Y$69)+SUMPRODUCT(分期持仓明细!$AC$26:$AD$26,'实盘净值数据(iFinD）'!$Z514:$AA514/'实盘净值数据(iFinD）'!$Z$69:$AA$69)+SUMPRODUCT(分期持仓明细!$AE$26:$AO$26,'实盘净值数据(iFinD）'!$AB514:$AL514/'实盘净值数据(iFinD）'!$AB$69:$AL$69))*(1-实盘持仓初始配置!$Z$10)^(('实盘净值数据(iFinD）'!$A514-'实盘净值数据(iFinD）'!$A$69)/365))</f>
        <v/>
      </c>
      <c r="U514" s="16">
        <f>IF(OR(T513="",T514=""),"",T514/T513-1)</f>
        <v/>
      </c>
      <c r="V514" s="16">
        <f>IF(T514="","",T514/MAX(T$5:T514)-1)</f>
        <v/>
      </c>
    </row>
    <row r="515" spans="1:19">
      <c r="A515" s="15" t="str">
        <f>IF('实盘净值数据(iFinD）'!A515="","",'实盘净值数据(iFinD）'!A515)</f>
        <v/>
      </c>
      <c r="B515" s="13" t="str">
        <f>IF(OR('实盘净值数据(iFinD）'!$A515="",'实盘净值数据(iFinD）'!$B515=""),"",分期持仓明细!$AB$17*SUMPRODUCT(分期持仓明细!$B$17:$Y$17,'实盘净值数据(iFinD）'!$B515:$Y515/'实盘净值数据(iFinD）'!$B$20:$Y$20)*(1-实盘持仓初始配置!$Z$4)^(('实盘净值数据(iFinD）'!$A515-'实盘净值数据(iFinD）'!$A$6)/365))</f>
        <v/>
      </c>
      <c r="C515" s="16" t="str">
        <f t="shared" si="48"/>
        <v/>
      </c>
      <c r="D515" s="16" t="str">
        <f>IF(B515="","",B515/MAX(B$5:B515)-1)</f>
        <v/>
      </c>
      <c r="E515" s="13" t="str">
        <f>IF(OR('实盘净值数据(iFinD）'!$A515="",'实盘净值数据(iFinD）'!$B515=""),"",分期持仓明细!$AB$18*SUMPRODUCT(分期持仓明细!$B$18:$Y$18,'实盘净值数据(iFinD）'!$B515:$Y515/'实盘净值数据(iFinD）'!$B$20:$Y$20)*(1-实盘持仓初始配置!$Z$5)^(('实盘净值数据(iFinD）'!$A515-'实盘净值数据(iFinD）'!$A$5)/365))</f>
        <v/>
      </c>
      <c r="F515" s="16" t="str">
        <f t="shared" si="49"/>
        <v/>
      </c>
      <c r="G515" s="16" t="str">
        <f>IF(E515="","",E515/MAX(E$5:E515)-1)</f>
        <v/>
      </c>
      <c r="H515" s="13" t="str">
        <f>IF(OR('实盘净值数据(iFinD）'!$A515="",'实盘净值数据(iFinD）'!$B515=""),"",分期持仓明细!$AB$19*SUMPRODUCT(分期持仓明细!$B$19:$Y$19,'实盘净值数据(iFinD）'!$B515:$Y515/'实盘净值数据(iFinD）'!$B$20:$Y$20)*(1-实盘持仓初始配置!$Z$6)^(('实盘净值数据(iFinD）'!$A515-'实盘净值数据(iFinD）'!$A$7)/365))</f>
        <v/>
      </c>
      <c r="I515" s="16" t="str">
        <f t="shared" si="50"/>
        <v/>
      </c>
      <c r="J515" s="16" t="str">
        <f>IF(H515="","",H515/MAX(H$5:H515)-1)</f>
        <v/>
      </c>
      <c r="K515" s="13" t="str">
        <f>IF(OR('实盘净值数据(iFinD）'!$A515="",'实盘净值数据(iFinD）'!$B515="",'实盘净值数据(iFinD）'!$Z515="",'实盘净值数据(iFinD）'!$AA515=""),"",分期持仓明细!$AB$23*(SUMPRODUCT(分期持仓明细!$B$23:$Y$23,'实盘净值数据(iFinD）'!$B515:$Y515/'实盘净值数据(iFinD）'!$B$65:$Y$65)+SUMPRODUCT(分期持仓明细!$AC$23:$AD$23,'实盘净值数据(iFinD）'!$Z515:$AA515/'实盘净值数据(iFinD）'!$Z$65:$AA$65))*(1-实盘持仓初始配置!$Z$7)^(('实盘净值数据(iFinD）'!$A515-'实盘净值数据(iFinD）'!$A$8)/365))</f>
        <v/>
      </c>
      <c r="L515" s="16" t="str">
        <f t="shared" si="51"/>
        <v/>
      </c>
      <c r="M515" s="16" t="str">
        <f>IF(K515="","",K515/MAX(K$5:K515)-1)</f>
        <v/>
      </c>
      <c r="N515" s="13" t="str">
        <f>IF(OR('实盘净值数据(iFinD）'!$A515="",'实盘净值数据(iFinD）'!$B515="",'实盘净值数据(iFinD）'!$Z515="",'实盘净值数据(iFinD）'!$AA515=""),"",分期持仓明细!$AB$24*(SUMPRODUCT(分期持仓明细!$B$24:$Y$24,'实盘净值数据(iFinD）'!$B515:$Y515/'实盘净值数据(iFinD）'!$B$65:$Y$65)+SUMPRODUCT(分期持仓明细!$AC$24:$AD$24,'实盘净值数据(iFinD）'!$Z515:$AA515/'实盘净值数据(iFinD）'!$Z$65:$AA$65))*(1-实盘持仓初始配置!$Z$8)^(('实盘净值数据(iFinD）'!$A515-'实盘净值数据(iFinD）'!$A$5)/365))</f>
        <v/>
      </c>
      <c r="O515" s="16" t="str">
        <f t="shared" si="52"/>
        <v/>
      </c>
      <c r="P515" s="16" t="str">
        <f>IF(N515="","",N515/MAX(N$5:N515)-1)</f>
        <v/>
      </c>
      <c r="Q515" s="13" t="str">
        <f>IF(OR('实盘净值数据(iFinD）'!$A515="",'实盘净值数据(iFinD）'!$B515="",'实盘净值数据(iFinD）'!$Z515="",'实盘净值数据(iFinD）'!$AA515=""),"",分期持仓明细!$AB$25*(SUMPRODUCT(分期持仓明细!$B$25:$Y$25,'实盘净值数据(iFinD）'!$B515:$Y515/'实盘净值数据(iFinD）'!$B$65:$Y$65)+SUMPRODUCT(分期持仓明细!$AC$25:$AD$25,'实盘净值数据(iFinD）'!$Z515:$AA515/'实盘净值数据(iFinD）'!$Z$65:$AA$65))*(1-实盘持仓初始配置!$Z$9)^(('实盘净值数据(iFinD）'!$A515-'实盘净值数据(iFinD）'!$A$8)/365))</f>
        <v/>
      </c>
      <c r="R515" s="16" t="str">
        <f t="shared" si="53"/>
        <v/>
      </c>
      <c r="S515" s="16" t="str">
        <f>IF(Q515="","",Q515/MAX(Q$5:Q515)-1)</f>
        <v/>
      </c>
      <c r="T515" s="13">
        <f>IF(OR('实盘净值数据(iFinD）'!$A515="",'实盘净值数据(iFinD）'!$B515="",'实盘净值数据(iFinD）'!$Z515="",'实盘净值数据(iFinD）'!$AA515="",'实盘净值数据(iFinD）'!$AB515="",'实盘净值数据(iFinD）'!$AL515=""),"",(SUMPRODUCT(分期持仓明细!$B$26:$Y$26,'实盘净值数据(iFinD）'!$B515:$Y515/'实盘净值数据(iFinD）'!$B$69:$Y$69)+SUMPRODUCT(分期持仓明细!$AC$26:$AD$26,'实盘净值数据(iFinD）'!$Z515:$AA515/'实盘净值数据(iFinD）'!$Z$69:$AA$69)+SUMPRODUCT(分期持仓明细!$AE$26:$AO$26,'实盘净值数据(iFinD）'!$AB515:$AL515/'实盘净值数据(iFinD）'!$AB$69:$AL$69))*(1-实盘持仓初始配置!$Z$10)^(('实盘净值数据(iFinD）'!$A515-'实盘净值数据(iFinD）'!$A$69)/365))</f>
        <v/>
      </c>
      <c r="U515" s="16">
        <f>IF(OR(T514="",T515=""),"",T515/T514-1)</f>
        <v/>
      </c>
      <c r="V515" s="16">
        <f>IF(T515="","",T515/MAX(T$5:T515)-1)</f>
        <v/>
      </c>
    </row>
    <row r="516" spans="1:19">
      <c r="A516" s="15" t="str">
        <f>IF('实盘净值数据(iFinD）'!A516="","",'实盘净值数据(iFinD）'!A516)</f>
        <v/>
      </c>
      <c r="B516" s="13" t="str">
        <f>IF(OR('实盘净值数据(iFinD）'!$A516="",'实盘净值数据(iFinD）'!$B516=""),"",分期持仓明细!$AB$17*SUMPRODUCT(分期持仓明细!$B$17:$Y$17,'实盘净值数据(iFinD）'!$B516:$Y516/'实盘净值数据(iFinD）'!$B$20:$Y$20)*(1-实盘持仓初始配置!$Z$4)^(('实盘净值数据(iFinD）'!$A516-'实盘净值数据(iFinD）'!$A$6)/365))</f>
        <v/>
      </c>
      <c r="C516" s="16" t="str">
        <f t="shared" si="48"/>
        <v/>
      </c>
      <c r="D516" s="16" t="str">
        <f>IF(B516="","",B516/MAX(B$5:B516)-1)</f>
        <v/>
      </c>
      <c r="E516" s="13" t="str">
        <f>IF(OR('实盘净值数据(iFinD）'!$A516="",'实盘净值数据(iFinD）'!$B516=""),"",分期持仓明细!$AB$18*SUMPRODUCT(分期持仓明细!$B$18:$Y$18,'实盘净值数据(iFinD）'!$B516:$Y516/'实盘净值数据(iFinD）'!$B$20:$Y$20)*(1-实盘持仓初始配置!$Z$5)^(('实盘净值数据(iFinD）'!$A516-'实盘净值数据(iFinD）'!$A$5)/365))</f>
        <v/>
      </c>
      <c r="F516" s="16" t="str">
        <f t="shared" si="49"/>
        <v/>
      </c>
      <c r="G516" s="16" t="str">
        <f>IF(E516="","",E516/MAX(E$5:E516)-1)</f>
        <v/>
      </c>
      <c r="H516" s="13" t="str">
        <f>IF(OR('实盘净值数据(iFinD）'!$A516="",'实盘净值数据(iFinD）'!$B516=""),"",分期持仓明细!$AB$19*SUMPRODUCT(分期持仓明细!$B$19:$Y$19,'实盘净值数据(iFinD）'!$B516:$Y516/'实盘净值数据(iFinD）'!$B$20:$Y$20)*(1-实盘持仓初始配置!$Z$6)^(('实盘净值数据(iFinD）'!$A516-'实盘净值数据(iFinD）'!$A$7)/365))</f>
        <v/>
      </c>
      <c r="I516" s="16" t="str">
        <f t="shared" si="50"/>
        <v/>
      </c>
      <c r="J516" s="16" t="str">
        <f>IF(H516="","",H516/MAX(H$5:H516)-1)</f>
        <v/>
      </c>
      <c r="K516" s="13" t="str">
        <f>IF(OR('实盘净值数据(iFinD）'!$A516="",'实盘净值数据(iFinD）'!$B516="",'实盘净值数据(iFinD）'!$Z516="",'实盘净值数据(iFinD）'!$AA516=""),"",分期持仓明细!$AB$23*(SUMPRODUCT(分期持仓明细!$B$23:$Y$23,'实盘净值数据(iFinD）'!$B516:$Y516/'实盘净值数据(iFinD）'!$B$65:$Y$65)+SUMPRODUCT(分期持仓明细!$AC$23:$AD$23,'实盘净值数据(iFinD）'!$Z516:$AA516/'实盘净值数据(iFinD）'!$Z$65:$AA$65))*(1-实盘持仓初始配置!$Z$7)^(('实盘净值数据(iFinD）'!$A516-'实盘净值数据(iFinD）'!$A$8)/365))</f>
        <v/>
      </c>
      <c r="L516" s="16" t="str">
        <f t="shared" si="51"/>
        <v/>
      </c>
      <c r="M516" s="16" t="str">
        <f>IF(K516="","",K516/MAX(K$5:K516)-1)</f>
        <v/>
      </c>
      <c r="N516" s="13" t="str">
        <f>IF(OR('实盘净值数据(iFinD）'!$A516="",'实盘净值数据(iFinD）'!$B516="",'实盘净值数据(iFinD）'!$Z516="",'实盘净值数据(iFinD）'!$AA516=""),"",分期持仓明细!$AB$24*(SUMPRODUCT(分期持仓明细!$B$24:$Y$24,'实盘净值数据(iFinD）'!$B516:$Y516/'实盘净值数据(iFinD）'!$B$65:$Y$65)+SUMPRODUCT(分期持仓明细!$AC$24:$AD$24,'实盘净值数据(iFinD）'!$Z516:$AA516/'实盘净值数据(iFinD）'!$Z$65:$AA$65))*(1-实盘持仓初始配置!$Z$8)^(('实盘净值数据(iFinD）'!$A516-'实盘净值数据(iFinD）'!$A$5)/365))</f>
        <v/>
      </c>
      <c r="O516" s="16" t="str">
        <f t="shared" si="52"/>
        <v/>
      </c>
      <c r="P516" s="16" t="str">
        <f>IF(N516="","",N516/MAX(N$5:N516)-1)</f>
        <v/>
      </c>
      <c r="Q516" s="13" t="str">
        <f>IF(OR('实盘净值数据(iFinD）'!$A516="",'实盘净值数据(iFinD）'!$B516="",'实盘净值数据(iFinD）'!$Z516="",'实盘净值数据(iFinD）'!$AA516=""),"",分期持仓明细!$AB$25*(SUMPRODUCT(分期持仓明细!$B$25:$Y$25,'实盘净值数据(iFinD）'!$B516:$Y516/'实盘净值数据(iFinD）'!$B$65:$Y$65)+SUMPRODUCT(分期持仓明细!$AC$25:$AD$25,'实盘净值数据(iFinD）'!$Z516:$AA516/'实盘净值数据(iFinD）'!$Z$65:$AA$65))*(1-实盘持仓初始配置!$Z$9)^(('实盘净值数据(iFinD）'!$A516-'实盘净值数据(iFinD）'!$A$8)/365))</f>
        <v/>
      </c>
      <c r="R516" s="16" t="str">
        <f t="shared" si="53"/>
        <v/>
      </c>
      <c r="S516" s="16" t="str">
        <f>IF(Q516="","",Q516/MAX(Q$5:Q516)-1)</f>
        <v/>
      </c>
      <c r="T516" s="13">
        <f>IF(OR('实盘净值数据(iFinD）'!$A516="",'实盘净值数据(iFinD）'!$B516="",'实盘净值数据(iFinD）'!$Z516="",'实盘净值数据(iFinD）'!$AA516="",'实盘净值数据(iFinD）'!$AB516="",'实盘净值数据(iFinD）'!$AL516=""),"",(SUMPRODUCT(分期持仓明细!$B$26:$Y$26,'实盘净值数据(iFinD）'!$B516:$Y516/'实盘净值数据(iFinD）'!$B$69:$Y$69)+SUMPRODUCT(分期持仓明细!$AC$26:$AD$26,'实盘净值数据(iFinD）'!$Z516:$AA516/'实盘净值数据(iFinD）'!$Z$69:$AA$69)+SUMPRODUCT(分期持仓明细!$AE$26:$AO$26,'实盘净值数据(iFinD）'!$AB516:$AL516/'实盘净值数据(iFinD）'!$AB$69:$AL$69))*(1-实盘持仓初始配置!$Z$10)^(('实盘净值数据(iFinD）'!$A516-'实盘净值数据(iFinD）'!$A$69)/365))</f>
        <v/>
      </c>
      <c r="U516" s="16">
        <f>IF(OR(T515="",T516=""),"",T516/T515-1)</f>
        <v/>
      </c>
      <c r="V516" s="16">
        <f>IF(T516="","",T516/MAX(T$5:T516)-1)</f>
        <v/>
      </c>
    </row>
    <row r="517" spans="1:19">
      <c r="A517" s="15" t="str">
        <f>IF('实盘净值数据(iFinD）'!A517="","",'实盘净值数据(iFinD）'!A517)</f>
        <v/>
      </c>
      <c r="B517" s="13" t="str">
        <f>IF(OR('实盘净值数据(iFinD）'!$A517="",'实盘净值数据(iFinD）'!$B517=""),"",分期持仓明细!$AB$17*SUMPRODUCT(分期持仓明细!$B$17:$Y$17,'实盘净值数据(iFinD）'!$B517:$Y517/'实盘净值数据(iFinD）'!$B$20:$Y$20)*(1-实盘持仓初始配置!$Z$4)^(('实盘净值数据(iFinD）'!$A517-'实盘净值数据(iFinD）'!$A$6)/365))</f>
        <v/>
      </c>
      <c r="C517" s="16" t="str">
        <f t="shared" si="48"/>
        <v/>
      </c>
      <c r="D517" s="16" t="str">
        <f>IF(B517="","",B517/MAX(B$5:B517)-1)</f>
        <v/>
      </c>
      <c r="E517" s="13" t="str">
        <f>IF(OR('实盘净值数据(iFinD）'!$A517="",'实盘净值数据(iFinD）'!$B517=""),"",分期持仓明细!$AB$18*SUMPRODUCT(分期持仓明细!$B$18:$Y$18,'实盘净值数据(iFinD）'!$B517:$Y517/'实盘净值数据(iFinD）'!$B$20:$Y$20)*(1-实盘持仓初始配置!$Z$5)^(('实盘净值数据(iFinD）'!$A517-'实盘净值数据(iFinD）'!$A$5)/365))</f>
        <v/>
      </c>
      <c r="F517" s="16" t="str">
        <f t="shared" si="49"/>
        <v/>
      </c>
      <c r="G517" s="16" t="str">
        <f>IF(E517="","",E517/MAX(E$5:E517)-1)</f>
        <v/>
      </c>
      <c r="H517" s="13" t="str">
        <f>IF(OR('实盘净值数据(iFinD）'!$A517="",'实盘净值数据(iFinD）'!$B517=""),"",分期持仓明细!$AB$19*SUMPRODUCT(分期持仓明细!$B$19:$Y$19,'实盘净值数据(iFinD）'!$B517:$Y517/'实盘净值数据(iFinD）'!$B$20:$Y$20)*(1-实盘持仓初始配置!$Z$6)^(('实盘净值数据(iFinD）'!$A517-'实盘净值数据(iFinD）'!$A$7)/365))</f>
        <v/>
      </c>
      <c r="I517" s="16" t="str">
        <f t="shared" si="50"/>
        <v/>
      </c>
      <c r="J517" s="16" t="str">
        <f>IF(H517="","",H517/MAX(H$5:H517)-1)</f>
        <v/>
      </c>
      <c r="K517" s="13" t="str">
        <f>IF(OR('实盘净值数据(iFinD）'!$A517="",'实盘净值数据(iFinD）'!$B517="",'实盘净值数据(iFinD）'!$Z517="",'实盘净值数据(iFinD）'!$AA517=""),"",分期持仓明细!$AB$23*(SUMPRODUCT(分期持仓明细!$B$23:$Y$23,'实盘净值数据(iFinD）'!$B517:$Y517/'实盘净值数据(iFinD）'!$B$65:$Y$65)+SUMPRODUCT(分期持仓明细!$AC$23:$AD$23,'实盘净值数据(iFinD）'!$Z517:$AA517/'实盘净值数据(iFinD）'!$Z$65:$AA$65))*(1-实盘持仓初始配置!$Z$7)^(('实盘净值数据(iFinD）'!$A517-'实盘净值数据(iFinD）'!$A$8)/365))</f>
        <v/>
      </c>
      <c r="L517" s="16" t="str">
        <f t="shared" si="51"/>
        <v/>
      </c>
      <c r="M517" s="16" t="str">
        <f>IF(K517="","",K517/MAX(K$5:K517)-1)</f>
        <v/>
      </c>
      <c r="N517" s="13" t="str">
        <f>IF(OR('实盘净值数据(iFinD）'!$A517="",'实盘净值数据(iFinD）'!$B517="",'实盘净值数据(iFinD）'!$Z517="",'实盘净值数据(iFinD）'!$AA517=""),"",分期持仓明细!$AB$24*(SUMPRODUCT(分期持仓明细!$B$24:$Y$24,'实盘净值数据(iFinD）'!$B517:$Y517/'实盘净值数据(iFinD）'!$B$65:$Y$65)+SUMPRODUCT(分期持仓明细!$AC$24:$AD$24,'实盘净值数据(iFinD）'!$Z517:$AA517/'实盘净值数据(iFinD）'!$Z$65:$AA$65))*(1-实盘持仓初始配置!$Z$8)^(('实盘净值数据(iFinD）'!$A517-'实盘净值数据(iFinD）'!$A$5)/365))</f>
        <v/>
      </c>
      <c r="O517" s="16" t="str">
        <f t="shared" si="52"/>
        <v/>
      </c>
      <c r="P517" s="16" t="str">
        <f>IF(N517="","",N517/MAX(N$5:N517)-1)</f>
        <v/>
      </c>
      <c r="Q517" s="13" t="str">
        <f>IF(OR('实盘净值数据(iFinD）'!$A517="",'实盘净值数据(iFinD）'!$B517="",'实盘净值数据(iFinD）'!$Z517="",'实盘净值数据(iFinD）'!$AA517=""),"",分期持仓明细!$AB$25*(SUMPRODUCT(分期持仓明细!$B$25:$Y$25,'实盘净值数据(iFinD）'!$B517:$Y517/'实盘净值数据(iFinD）'!$B$65:$Y$65)+SUMPRODUCT(分期持仓明细!$AC$25:$AD$25,'实盘净值数据(iFinD）'!$Z517:$AA517/'实盘净值数据(iFinD）'!$Z$65:$AA$65))*(1-实盘持仓初始配置!$Z$9)^(('实盘净值数据(iFinD）'!$A517-'实盘净值数据(iFinD）'!$A$8)/365))</f>
        <v/>
      </c>
      <c r="R517" s="16" t="str">
        <f t="shared" si="53"/>
        <v/>
      </c>
      <c r="S517" s="16" t="str">
        <f>IF(Q517="","",Q517/MAX(Q$5:Q517)-1)</f>
        <v/>
      </c>
      <c r="T517" s="13">
        <f>IF(OR('实盘净值数据(iFinD）'!$A517="",'实盘净值数据(iFinD）'!$B517="",'实盘净值数据(iFinD）'!$Z517="",'实盘净值数据(iFinD）'!$AA517="",'实盘净值数据(iFinD）'!$AB517="",'实盘净值数据(iFinD）'!$AL517=""),"",(SUMPRODUCT(分期持仓明细!$B$26:$Y$26,'实盘净值数据(iFinD）'!$B517:$Y517/'实盘净值数据(iFinD）'!$B$69:$Y$69)+SUMPRODUCT(分期持仓明细!$AC$26:$AD$26,'实盘净值数据(iFinD）'!$Z517:$AA517/'实盘净值数据(iFinD）'!$Z$69:$AA$69)+SUMPRODUCT(分期持仓明细!$AE$26:$AO$26,'实盘净值数据(iFinD）'!$AB517:$AL517/'实盘净值数据(iFinD）'!$AB$69:$AL$69))*(1-实盘持仓初始配置!$Z$10)^(('实盘净值数据(iFinD）'!$A517-'实盘净值数据(iFinD）'!$A$69)/365))</f>
        <v/>
      </c>
      <c r="U517" s="16">
        <f>IF(OR(T516="",T517=""),"",T517/T516-1)</f>
        <v/>
      </c>
      <c r="V517" s="16">
        <f>IF(T517="","",T517/MAX(T$5:T517)-1)</f>
        <v/>
      </c>
    </row>
    <row r="518" spans="1:19">
      <c r="A518" s="15" t="str">
        <f>IF('实盘净值数据(iFinD）'!A518="","",'实盘净值数据(iFinD）'!A518)</f>
        <v/>
      </c>
      <c r="B518" s="13" t="str">
        <f>IF(OR('实盘净值数据(iFinD）'!$A518="",'实盘净值数据(iFinD）'!$B518=""),"",分期持仓明细!$AB$17*SUMPRODUCT(分期持仓明细!$B$17:$Y$17,'实盘净值数据(iFinD）'!$B518:$Y518/'实盘净值数据(iFinD）'!$B$20:$Y$20)*(1-实盘持仓初始配置!$Z$4)^(('实盘净值数据(iFinD）'!$A518-'实盘净值数据(iFinD）'!$A$6)/365))</f>
        <v/>
      </c>
      <c r="C518" s="16" t="str">
        <f t="shared" si="48"/>
        <v/>
      </c>
      <c r="D518" s="16" t="str">
        <f>IF(B518="","",B518/MAX(B$5:B518)-1)</f>
        <v/>
      </c>
      <c r="E518" s="13" t="str">
        <f>IF(OR('实盘净值数据(iFinD）'!$A518="",'实盘净值数据(iFinD）'!$B518=""),"",分期持仓明细!$AB$18*SUMPRODUCT(分期持仓明细!$B$18:$Y$18,'实盘净值数据(iFinD）'!$B518:$Y518/'实盘净值数据(iFinD）'!$B$20:$Y$20)*(1-实盘持仓初始配置!$Z$5)^(('实盘净值数据(iFinD）'!$A518-'实盘净值数据(iFinD）'!$A$5)/365))</f>
        <v/>
      </c>
      <c r="F518" s="16" t="str">
        <f t="shared" si="49"/>
        <v/>
      </c>
      <c r="G518" s="16" t="str">
        <f>IF(E518="","",E518/MAX(E$5:E518)-1)</f>
        <v/>
      </c>
      <c r="H518" s="13" t="str">
        <f>IF(OR('实盘净值数据(iFinD）'!$A518="",'实盘净值数据(iFinD）'!$B518=""),"",分期持仓明细!$AB$19*SUMPRODUCT(分期持仓明细!$B$19:$Y$19,'实盘净值数据(iFinD）'!$B518:$Y518/'实盘净值数据(iFinD）'!$B$20:$Y$20)*(1-实盘持仓初始配置!$Z$6)^(('实盘净值数据(iFinD）'!$A518-'实盘净值数据(iFinD）'!$A$7)/365))</f>
        <v/>
      </c>
      <c r="I518" s="16" t="str">
        <f t="shared" si="50"/>
        <v/>
      </c>
      <c r="J518" s="16" t="str">
        <f>IF(H518="","",H518/MAX(H$5:H518)-1)</f>
        <v/>
      </c>
      <c r="K518" s="13" t="str">
        <f>IF(OR('实盘净值数据(iFinD）'!$A518="",'实盘净值数据(iFinD）'!$B518="",'实盘净值数据(iFinD）'!$Z518="",'实盘净值数据(iFinD）'!$AA518=""),"",分期持仓明细!$AB$23*(SUMPRODUCT(分期持仓明细!$B$23:$Y$23,'实盘净值数据(iFinD）'!$B518:$Y518/'实盘净值数据(iFinD）'!$B$65:$Y$65)+SUMPRODUCT(分期持仓明细!$AC$23:$AD$23,'实盘净值数据(iFinD）'!$Z518:$AA518/'实盘净值数据(iFinD）'!$Z$65:$AA$65))*(1-实盘持仓初始配置!$Z$7)^(('实盘净值数据(iFinD）'!$A518-'实盘净值数据(iFinD）'!$A$8)/365))</f>
        <v/>
      </c>
      <c r="L518" s="16" t="str">
        <f t="shared" si="51"/>
        <v/>
      </c>
      <c r="M518" s="16" t="str">
        <f>IF(K518="","",K518/MAX(K$5:K518)-1)</f>
        <v/>
      </c>
      <c r="N518" s="13" t="str">
        <f>IF(OR('实盘净值数据(iFinD）'!$A518="",'实盘净值数据(iFinD）'!$B518="",'实盘净值数据(iFinD）'!$Z518="",'实盘净值数据(iFinD）'!$AA518=""),"",分期持仓明细!$AB$24*(SUMPRODUCT(分期持仓明细!$B$24:$Y$24,'实盘净值数据(iFinD）'!$B518:$Y518/'实盘净值数据(iFinD）'!$B$65:$Y$65)+SUMPRODUCT(分期持仓明细!$AC$24:$AD$24,'实盘净值数据(iFinD）'!$Z518:$AA518/'实盘净值数据(iFinD）'!$Z$65:$AA$65))*(1-实盘持仓初始配置!$Z$8)^(('实盘净值数据(iFinD）'!$A518-'实盘净值数据(iFinD）'!$A$5)/365))</f>
        <v/>
      </c>
      <c r="O518" s="16" t="str">
        <f t="shared" si="52"/>
        <v/>
      </c>
      <c r="P518" s="16" t="str">
        <f>IF(N518="","",N518/MAX(N$5:N518)-1)</f>
        <v/>
      </c>
      <c r="Q518" s="13" t="str">
        <f>IF(OR('实盘净值数据(iFinD）'!$A518="",'实盘净值数据(iFinD）'!$B518="",'实盘净值数据(iFinD）'!$Z518="",'实盘净值数据(iFinD）'!$AA518=""),"",分期持仓明细!$AB$25*(SUMPRODUCT(分期持仓明细!$B$25:$Y$25,'实盘净值数据(iFinD）'!$B518:$Y518/'实盘净值数据(iFinD）'!$B$65:$Y$65)+SUMPRODUCT(分期持仓明细!$AC$25:$AD$25,'实盘净值数据(iFinD）'!$Z518:$AA518/'实盘净值数据(iFinD）'!$Z$65:$AA$65))*(1-实盘持仓初始配置!$Z$9)^(('实盘净值数据(iFinD）'!$A518-'实盘净值数据(iFinD）'!$A$8)/365))</f>
        <v/>
      </c>
      <c r="R518" s="16" t="str">
        <f t="shared" si="53"/>
        <v/>
      </c>
      <c r="S518" s="16" t="str">
        <f>IF(Q518="","",Q518/MAX(Q$5:Q518)-1)</f>
        <v/>
      </c>
      <c r="T518" s="13">
        <f>IF(OR('实盘净值数据(iFinD）'!$A518="",'实盘净值数据(iFinD）'!$B518="",'实盘净值数据(iFinD）'!$Z518="",'实盘净值数据(iFinD）'!$AA518="",'实盘净值数据(iFinD）'!$AB518="",'实盘净值数据(iFinD）'!$AL518=""),"",(SUMPRODUCT(分期持仓明细!$B$26:$Y$26,'实盘净值数据(iFinD）'!$B518:$Y518/'实盘净值数据(iFinD）'!$B$69:$Y$69)+SUMPRODUCT(分期持仓明细!$AC$26:$AD$26,'实盘净值数据(iFinD）'!$Z518:$AA518/'实盘净值数据(iFinD）'!$Z$69:$AA$69)+SUMPRODUCT(分期持仓明细!$AE$26:$AO$26,'实盘净值数据(iFinD）'!$AB518:$AL518/'实盘净值数据(iFinD）'!$AB$69:$AL$69))*(1-实盘持仓初始配置!$Z$10)^(('实盘净值数据(iFinD）'!$A518-'实盘净值数据(iFinD）'!$A$69)/365))</f>
        <v/>
      </c>
      <c r="U518" s="16">
        <f>IF(OR(T517="",T518=""),"",T518/T517-1)</f>
        <v/>
      </c>
      <c r="V518" s="16">
        <f>IF(T518="","",T518/MAX(T$5:T518)-1)</f>
        <v/>
      </c>
    </row>
    <row r="519" spans="1:19">
      <c r="A519" s="15" t="str">
        <f>IF('实盘净值数据(iFinD）'!A519="","",'实盘净值数据(iFinD）'!A519)</f>
        <v/>
      </c>
      <c r="B519" s="13" t="str">
        <f>IF(OR('实盘净值数据(iFinD）'!$A519="",'实盘净值数据(iFinD）'!$B519=""),"",分期持仓明细!$AB$17*SUMPRODUCT(分期持仓明细!$B$17:$Y$17,'实盘净值数据(iFinD）'!$B519:$Y519/'实盘净值数据(iFinD）'!$B$20:$Y$20)*(1-实盘持仓初始配置!$Z$4)^(('实盘净值数据(iFinD）'!$A519-'实盘净值数据(iFinD）'!$A$6)/365))</f>
        <v/>
      </c>
      <c r="C519" s="16" t="str">
        <f t="shared" si="48"/>
        <v/>
      </c>
      <c r="D519" s="16" t="str">
        <f>IF(B519="","",B519/MAX(B$5:B519)-1)</f>
        <v/>
      </c>
      <c r="E519" s="13" t="str">
        <f>IF(OR('实盘净值数据(iFinD）'!$A519="",'实盘净值数据(iFinD）'!$B519=""),"",分期持仓明细!$AB$18*SUMPRODUCT(分期持仓明细!$B$18:$Y$18,'实盘净值数据(iFinD）'!$B519:$Y519/'实盘净值数据(iFinD）'!$B$20:$Y$20)*(1-实盘持仓初始配置!$Z$5)^(('实盘净值数据(iFinD）'!$A519-'实盘净值数据(iFinD）'!$A$5)/365))</f>
        <v/>
      </c>
      <c r="F519" s="16" t="str">
        <f t="shared" si="49"/>
        <v/>
      </c>
      <c r="G519" s="16" t="str">
        <f>IF(E519="","",E519/MAX(E$5:E519)-1)</f>
        <v/>
      </c>
      <c r="H519" s="13" t="str">
        <f>IF(OR('实盘净值数据(iFinD）'!$A519="",'实盘净值数据(iFinD）'!$B519=""),"",分期持仓明细!$AB$19*SUMPRODUCT(分期持仓明细!$B$19:$Y$19,'实盘净值数据(iFinD）'!$B519:$Y519/'实盘净值数据(iFinD）'!$B$20:$Y$20)*(1-实盘持仓初始配置!$Z$6)^(('实盘净值数据(iFinD）'!$A519-'实盘净值数据(iFinD）'!$A$7)/365))</f>
        <v/>
      </c>
      <c r="I519" s="16" t="str">
        <f t="shared" si="50"/>
        <v/>
      </c>
      <c r="J519" s="16" t="str">
        <f>IF(H519="","",H519/MAX(H$5:H519)-1)</f>
        <v/>
      </c>
      <c r="K519" s="13" t="str">
        <f>IF(OR('实盘净值数据(iFinD）'!$A519="",'实盘净值数据(iFinD）'!$B519="",'实盘净值数据(iFinD）'!$Z519="",'实盘净值数据(iFinD）'!$AA519=""),"",分期持仓明细!$AB$23*(SUMPRODUCT(分期持仓明细!$B$23:$Y$23,'实盘净值数据(iFinD）'!$B519:$Y519/'实盘净值数据(iFinD）'!$B$65:$Y$65)+SUMPRODUCT(分期持仓明细!$AC$23:$AD$23,'实盘净值数据(iFinD）'!$Z519:$AA519/'实盘净值数据(iFinD）'!$Z$65:$AA$65))*(1-实盘持仓初始配置!$Z$7)^(('实盘净值数据(iFinD）'!$A519-'实盘净值数据(iFinD）'!$A$8)/365))</f>
        <v/>
      </c>
      <c r="L519" s="16" t="str">
        <f t="shared" si="51"/>
        <v/>
      </c>
      <c r="M519" s="16" t="str">
        <f>IF(K519="","",K519/MAX(K$5:K519)-1)</f>
        <v/>
      </c>
      <c r="N519" s="13" t="str">
        <f>IF(OR('实盘净值数据(iFinD）'!$A519="",'实盘净值数据(iFinD）'!$B519="",'实盘净值数据(iFinD）'!$Z519="",'实盘净值数据(iFinD）'!$AA519=""),"",分期持仓明细!$AB$24*(SUMPRODUCT(分期持仓明细!$B$24:$Y$24,'实盘净值数据(iFinD）'!$B519:$Y519/'实盘净值数据(iFinD）'!$B$65:$Y$65)+SUMPRODUCT(分期持仓明细!$AC$24:$AD$24,'实盘净值数据(iFinD）'!$Z519:$AA519/'实盘净值数据(iFinD）'!$Z$65:$AA$65))*(1-实盘持仓初始配置!$Z$8)^(('实盘净值数据(iFinD）'!$A519-'实盘净值数据(iFinD）'!$A$5)/365))</f>
        <v/>
      </c>
      <c r="O519" s="16" t="str">
        <f t="shared" si="52"/>
        <v/>
      </c>
      <c r="P519" s="16" t="str">
        <f>IF(N519="","",N519/MAX(N$5:N519)-1)</f>
        <v/>
      </c>
      <c r="Q519" s="13" t="str">
        <f>IF(OR('实盘净值数据(iFinD）'!$A519="",'实盘净值数据(iFinD）'!$B519="",'实盘净值数据(iFinD）'!$Z519="",'实盘净值数据(iFinD）'!$AA519=""),"",分期持仓明细!$AB$25*(SUMPRODUCT(分期持仓明细!$B$25:$Y$25,'实盘净值数据(iFinD）'!$B519:$Y519/'实盘净值数据(iFinD）'!$B$65:$Y$65)+SUMPRODUCT(分期持仓明细!$AC$25:$AD$25,'实盘净值数据(iFinD）'!$Z519:$AA519/'实盘净值数据(iFinD）'!$Z$65:$AA$65))*(1-实盘持仓初始配置!$Z$9)^(('实盘净值数据(iFinD）'!$A519-'实盘净值数据(iFinD）'!$A$8)/365))</f>
        <v/>
      </c>
      <c r="R519" s="16" t="str">
        <f t="shared" si="53"/>
        <v/>
      </c>
      <c r="S519" s="16" t="str">
        <f>IF(Q519="","",Q519/MAX(Q$5:Q519)-1)</f>
        <v/>
      </c>
      <c r="T519" s="13">
        <f>IF(OR('实盘净值数据(iFinD）'!$A519="",'实盘净值数据(iFinD）'!$B519="",'实盘净值数据(iFinD）'!$Z519="",'实盘净值数据(iFinD）'!$AA519="",'实盘净值数据(iFinD）'!$AB519="",'实盘净值数据(iFinD）'!$AL519=""),"",(SUMPRODUCT(分期持仓明细!$B$26:$Y$26,'实盘净值数据(iFinD）'!$B519:$Y519/'实盘净值数据(iFinD）'!$B$69:$Y$69)+SUMPRODUCT(分期持仓明细!$AC$26:$AD$26,'实盘净值数据(iFinD）'!$Z519:$AA519/'实盘净值数据(iFinD）'!$Z$69:$AA$69)+SUMPRODUCT(分期持仓明细!$AE$26:$AO$26,'实盘净值数据(iFinD）'!$AB519:$AL519/'实盘净值数据(iFinD）'!$AB$69:$AL$69))*(1-实盘持仓初始配置!$Z$10)^(('实盘净值数据(iFinD）'!$A519-'实盘净值数据(iFinD）'!$A$69)/365))</f>
        <v/>
      </c>
      <c r="U519" s="16">
        <f>IF(OR(T518="",T519=""),"",T519/T518-1)</f>
        <v/>
      </c>
      <c r="V519" s="16">
        <f>IF(T519="","",T519/MAX(T$5:T519)-1)</f>
        <v/>
      </c>
    </row>
    <row r="520" spans="1:19">
      <c r="A520" s="15" t="str">
        <f>IF('实盘净值数据(iFinD）'!A520="","",'实盘净值数据(iFinD）'!A520)</f>
        <v/>
      </c>
      <c r="B520" s="13" t="str">
        <f>IF(OR('实盘净值数据(iFinD）'!$A520="",'实盘净值数据(iFinD）'!$B520=""),"",分期持仓明细!$AB$17*SUMPRODUCT(分期持仓明细!$B$17:$Y$17,'实盘净值数据(iFinD）'!$B520:$Y520/'实盘净值数据(iFinD）'!$B$20:$Y$20)*(1-实盘持仓初始配置!$Z$4)^(('实盘净值数据(iFinD）'!$A520-'实盘净值数据(iFinD）'!$A$6)/365))</f>
        <v/>
      </c>
      <c r="C520" s="16" t="str">
        <f t="shared" si="48"/>
        <v/>
      </c>
      <c r="D520" s="16" t="str">
        <f>IF(B520="","",B520/MAX(B$5:B520)-1)</f>
        <v/>
      </c>
      <c r="E520" s="13" t="str">
        <f>IF(OR('实盘净值数据(iFinD）'!$A520="",'实盘净值数据(iFinD）'!$B520=""),"",分期持仓明细!$AB$18*SUMPRODUCT(分期持仓明细!$B$18:$Y$18,'实盘净值数据(iFinD）'!$B520:$Y520/'实盘净值数据(iFinD）'!$B$20:$Y$20)*(1-实盘持仓初始配置!$Z$5)^(('实盘净值数据(iFinD）'!$A520-'实盘净值数据(iFinD）'!$A$5)/365))</f>
        <v/>
      </c>
      <c r="F520" s="16" t="str">
        <f t="shared" si="49"/>
        <v/>
      </c>
      <c r="G520" s="16" t="str">
        <f>IF(E520="","",E520/MAX(E$5:E520)-1)</f>
        <v/>
      </c>
      <c r="H520" s="13" t="str">
        <f>IF(OR('实盘净值数据(iFinD）'!$A520="",'实盘净值数据(iFinD）'!$B520=""),"",分期持仓明细!$AB$19*SUMPRODUCT(分期持仓明细!$B$19:$Y$19,'实盘净值数据(iFinD）'!$B520:$Y520/'实盘净值数据(iFinD）'!$B$20:$Y$20)*(1-实盘持仓初始配置!$Z$6)^(('实盘净值数据(iFinD）'!$A520-'实盘净值数据(iFinD）'!$A$7)/365))</f>
        <v/>
      </c>
      <c r="I520" s="16" t="str">
        <f t="shared" si="50"/>
        <v/>
      </c>
      <c r="J520" s="16" t="str">
        <f>IF(H520="","",H520/MAX(H$5:H520)-1)</f>
        <v/>
      </c>
      <c r="K520" s="13" t="str">
        <f>IF(OR('实盘净值数据(iFinD）'!$A520="",'实盘净值数据(iFinD）'!$B520="",'实盘净值数据(iFinD）'!$Z520="",'实盘净值数据(iFinD）'!$AA520=""),"",分期持仓明细!$AB$23*(SUMPRODUCT(分期持仓明细!$B$23:$Y$23,'实盘净值数据(iFinD）'!$B520:$Y520/'实盘净值数据(iFinD）'!$B$65:$Y$65)+SUMPRODUCT(分期持仓明细!$AC$23:$AD$23,'实盘净值数据(iFinD）'!$Z520:$AA520/'实盘净值数据(iFinD）'!$Z$65:$AA$65))*(1-实盘持仓初始配置!$Z$7)^(('实盘净值数据(iFinD）'!$A520-'实盘净值数据(iFinD）'!$A$8)/365))</f>
        <v/>
      </c>
      <c r="L520" s="16" t="str">
        <f t="shared" si="51"/>
        <v/>
      </c>
      <c r="M520" s="16" t="str">
        <f>IF(K520="","",K520/MAX(K$5:K520)-1)</f>
        <v/>
      </c>
      <c r="N520" s="13" t="str">
        <f>IF(OR('实盘净值数据(iFinD）'!$A520="",'实盘净值数据(iFinD）'!$B520="",'实盘净值数据(iFinD）'!$Z520="",'实盘净值数据(iFinD）'!$AA520=""),"",分期持仓明细!$AB$24*(SUMPRODUCT(分期持仓明细!$B$24:$Y$24,'实盘净值数据(iFinD）'!$B520:$Y520/'实盘净值数据(iFinD）'!$B$65:$Y$65)+SUMPRODUCT(分期持仓明细!$AC$24:$AD$24,'实盘净值数据(iFinD）'!$Z520:$AA520/'实盘净值数据(iFinD）'!$Z$65:$AA$65))*(1-实盘持仓初始配置!$Z$8)^(('实盘净值数据(iFinD）'!$A520-'实盘净值数据(iFinD）'!$A$5)/365))</f>
        <v/>
      </c>
      <c r="O520" s="16" t="str">
        <f t="shared" si="52"/>
        <v/>
      </c>
      <c r="P520" s="16" t="str">
        <f>IF(N520="","",N520/MAX(N$5:N520)-1)</f>
        <v/>
      </c>
      <c r="Q520" s="13" t="str">
        <f>IF(OR('实盘净值数据(iFinD）'!$A520="",'实盘净值数据(iFinD）'!$B520="",'实盘净值数据(iFinD）'!$Z520="",'实盘净值数据(iFinD）'!$AA520=""),"",分期持仓明细!$AB$25*(SUMPRODUCT(分期持仓明细!$B$25:$Y$25,'实盘净值数据(iFinD）'!$B520:$Y520/'实盘净值数据(iFinD）'!$B$65:$Y$65)+SUMPRODUCT(分期持仓明细!$AC$25:$AD$25,'实盘净值数据(iFinD）'!$Z520:$AA520/'实盘净值数据(iFinD）'!$Z$65:$AA$65))*(1-实盘持仓初始配置!$Z$9)^(('实盘净值数据(iFinD）'!$A520-'实盘净值数据(iFinD）'!$A$8)/365))</f>
        <v/>
      </c>
      <c r="R520" s="16" t="str">
        <f t="shared" si="53"/>
        <v/>
      </c>
      <c r="S520" s="16" t="str">
        <f>IF(Q520="","",Q520/MAX(Q$5:Q520)-1)</f>
        <v/>
      </c>
      <c r="T520" s="13">
        <f>IF(OR('实盘净值数据(iFinD）'!$A520="",'实盘净值数据(iFinD）'!$B520="",'实盘净值数据(iFinD）'!$Z520="",'实盘净值数据(iFinD）'!$AA520="",'实盘净值数据(iFinD）'!$AB520="",'实盘净值数据(iFinD）'!$AL520=""),"",(SUMPRODUCT(分期持仓明细!$B$26:$Y$26,'实盘净值数据(iFinD）'!$B520:$Y520/'实盘净值数据(iFinD）'!$B$69:$Y$69)+SUMPRODUCT(分期持仓明细!$AC$26:$AD$26,'实盘净值数据(iFinD）'!$Z520:$AA520/'实盘净值数据(iFinD）'!$Z$69:$AA$69)+SUMPRODUCT(分期持仓明细!$AE$26:$AO$26,'实盘净值数据(iFinD）'!$AB520:$AL520/'实盘净值数据(iFinD）'!$AB$69:$AL$69))*(1-实盘持仓初始配置!$Z$10)^(('实盘净值数据(iFinD）'!$A520-'实盘净值数据(iFinD）'!$A$69)/365))</f>
        <v/>
      </c>
      <c r="U520" s="16">
        <f>IF(OR(T519="",T520=""),"",T520/T519-1)</f>
        <v/>
      </c>
      <c r="V520" s="16">
        <f>IF(T520="","",T520/MAX(T$5:T520)-1)</f>
        <v/>
      </c>
    </row>
    <row r="521" spans="1:19">
      <c r="A521" s="15" t="str">
        <f>IF('实盘净值数据(iFinD）'!A521="","",'实盘净值数据(iFinD）'!A521)</f>
        <v/>
      </c>
      <c r="B521" s="13" t="str">
        <f>IF(OR('实盘净值数据(iFinD）'!$A521="",'实盘净值数据(iFinD）'!$B521=""),"",分期持仓明细!$AB$17*SUMPRODUCT(分期持仓明细!$B$17:$Y$17,'实盘净值数据(iFinD）'!$B521:$Y521/'实盘净值数据(iFinD）'!$B$20:$Y$20)*(1-实盘持仓初始配置!$Z$4)^(('实盘净值数据(iFinD）'!$A521-'实盘净值数据(iFinD）'!$A$6)/365))</f>
        <v/>
      </c>
      <c r="C521" s="16" t="str">
        <f t="shared" si="48"/>
        <v/>
      </c>
      <c r="D521" s="16" t="str">
        <f>IF(B521="","",B521/MAX(B$5:B521)-1)</f>
        <v/>
      </c>
      <c r="E521" s="13" t="str">
        <f>IF(OR('实盘净值数据(iFinD）'!$A521="",'实盘净值数据(iFinD）'!$B521=""),"",分期持仓明细!$AB$18*SUMPRODUCT(分期持仓明细!$B$18:$Y$18,'实盘净值数据(iFinD）'!$B521:$Y521/'实盘净值数据(iFinD）'!$B$20:$Y$20)*(1-实盘持仓初始配置!$Z$5)^(('实盘净值数据(iFinD）'!$A521-'实盘净值数据(iFinD）'!$A$5)/365))</f>
        <v/>
      </c>
      <c r="F521" s="16" t="str">
        <f t="shared" si="49"/>
        <v/>
      </c>
      <c r="G521" s="16" t="str">
        <f>IF(E521="","",E521/MAX(E$5:E521)-1)</f>
        <v/>
      </c>
      <c r="H521" s="13" t="str">
        <f>IF(OR('实盘净值数据(iFinD）'!$A521="",'实盘净值数据(iFinD）'!$B521=""),"",分期持仓明细!$AB$19*SUMPRODUCT(分期持仓明细!$B$19:$Y$19,'实盘净值数据(iFinD）'!$B521:$Y521/'实盘净值数据(iFinD）'!$B$20:$Y$20)*(1-实盘持仓初始配置!$Z$6)^(('实盘净值数据(iFinD）'!$A521-'实盘净值数据(iFinD）'!$A$7)/365))</f>
        <v/>
      </c>
      <c r="I521" s="16" t="str">
        <f t="shared" si="50"/>
        <v/>
      </c>
      <c r="J521" s="16" t="str">
        <f>IF(H521="","",H521/MAX(H$5:H521)-1)</f>
        <v/>
      </c>
      <c r="K521" s="13" t="str">
        <f>IF(OR('实盘净值数据(iFinD）'!$A521="",'实盘净值数据(iFinD）'!$B521="",'实盘净值数据(iFinD）'!$Z521="",'实盘净值数据(iFinD）'!$AA521=""),"",分期持仓明细!$AB$23*(SUMPRODUCT(分期持仓明细!$B$23:$Y$23,'实盘净值数据(iFinD）'!$B521:$Y521/'实盘净值数据(iFinD）'!$B$65:$Y$65)+SUMPRODUCT(分期持仓明细!$AC$23:$AD$23,'实盘净值数据(iFinD）'!$Z521:$AA521/'实盘净值数据(iFinD）'!$Z$65:$AA$65))*(1-实盘持仓初始配置!$Z$7)^(('实盘净值数据(iFinD）'!$A521-'实盘净值数据(iFinD）'!$A$8)/365))</f>
        <v/>
      </c>
      <c r="L521" s="16" t="str">
        <f t="shared" si="51"/>
        <v/>
      </c>
      <c r="M521" s="16" t="str">
        <f>IF(K521="","",K521/MAX(K$5:K521)-1)</f>
        <v/>
      </c>
      <c r="N521" s="13" t="str">
        <f>IF(OR('实盘净值数据(iFinD）'!$A521="",'实盘净值数据(iFinD）'!$B521="",'实盘净值数据(iFinD）'!$Z521="",'实盘净值数据(iFinD）'!$AA521=""),"",分期持仓明细!$AB$24*(SUMPRODUCT(分期持仓明细!$B$24:$Y$24,'实盘净值数据(iFinD）'!$B521:$Y521/'实盘净值数据(iFinD）'!$B$65:$Y$65)+SUMPRODUCT(分期持仓明细!$AC$24:$AD$24,'实盘净值数据(iFinD）'!$Z521:$AA521/'实盘净值数据(iFinD）'!$Z$65:$AA$65))*(1-实盘持仓初始配置!$Z$8)^(('实盘净值数据(iFinD）'!$A521-'实盘净值数据(iFinD）'!$A$5)/365))</f>
        <v/>
      </c>
      <c r="O521" s="16" t="str">
        <f t="shared" si="52"/>
        <v/>
      </c>
      <c r="P521" s="16" t="str">
        <f>IF(N521="","",N521/MAX(N$5:N521)-1)</f>
        <v/>
      </c>
      <c r="Q521" s="13" t="str">
        <f>IF(OR('实盘净值数据(iFinD）'!$A521="",'实盘净值数据(iFinD）'!$B521="",'实盘净值数据(iFinD）'!$Z521="",'实盘净值数据(iFinD）'!$AA521=""),"",分期持仓明细!$AB$25*(SUMPRODUCT(分期持仓明细!$B$25:$Y$25,'实盘净值数据(iFinD）'!$B521:$Y521/'实盘净值数据(iFinD）'!$B$65:$Y$65)+SUMPRODUCT(分期持仓明细!$AC$25:$AD$25,'实盘净值数据(iFinD）'!$Z521:$AA521/'实盘净值数据(iFinD）'!$Z$65:$AA$65))*(1-实盘持仓初始配置!$Z$9)^(('实盘净值数据(iFinD）'!$A521-'实盘净值数据(iFinD）'!$A$8)/365))</f>
        <v/>
      </c>
      <c r="R521" s="16" t="str">
        <f t="shared" si="53"/>
        <v/>
      </c>
      <c r="S521" s="16" t="str">
        <f>IF(Q521="","",Q521/MAX(Q$5:Q521)-1)</f>
        <v/>
      </c>
      <c r="T521" s="13">
        <f>IF(OR('实盘净值数据(iFinD）'!$A521="",'实盘净值数据(iFinD）'!$B521="",'实盘净值数据(iFinD）'!$Z521="",'实盘净值数据(iFinD）'!$AA521="",'实盘净值数据(iFinD）'!$AB521="",'实盘净值数据(iFinD）'!$AL521=""),"",(SUMPRODUCT(分期持仓明细!$B$26:$Y$26,'实盘净值数据(iFinD）'!$B521:$Y521/'实盘净值数据(iFinD）'!$B$69:$Y$69)+SUMPRODUCT(分期持仓明细!$AC$26:$AD$26,'实盘净值数据(iFinD）'!$Z521:$AA521/'实盘净值数据(iFinD）'!$Z$69:$AA$69)+SUMPRODUCT(分期持仓明细!$AE$26:$AO$26,'实盘净值数据(iFinD）'!$AB521:$AL521/'实盘净值数据(iFinD）'!$AB$69:$AL$69))*(1-实盘持仓初始配置!$Z$10)^(('实盘净值数据(iFinD）'!$A521-'实盘净值数据(iFinD）'!$A$69)/365))</f>
        <v/>
      </c>
      <c r="U521" s="16">
        <f>IF(OR(T520="",T521=""),"",T521/T520-1)</f>
        <v/>
      </c>
      <c r="V521" s="16">
        <f>IF(T521="","",T521/MAX(T$5:T521)-1)</f>
        <v/>
      </c>
    </row>
    <row r="522" spans="1:19">
      <c r="A522" s="15" t="str">
        <f>IF('实盘净值数据(iFinD）'!A522="","",'实盘净值数据(iFinD）'!A522)</f>
        <v/>
      </c>
      <c r="B522" s="13" t="str">
        <f>IF(OR('实盘净值数据(iFinD）'!$A522="",'实盘净值数据(iFinD）'!$B522=""),"",分期持仓明细!$AB$17*SUMPRODUCT(分期持仓明细!$B$17:$Y$17,'实盘净值数据(iFinD）'!$B522:$Y522/'实盘净值数据(iFinD）'!$B$20:$Y$20)*(1-实盘持仓初始配置!$Z$4)^(('实盘净值数据(iFinD）'!$A522-'实盘净值数据(iFinD）'!$A$6)/365))</f>
        <v/>
      </c>
      <c r="C522" s="16" t="str">
        <f t="shared" si="48"/>
        <v/>
      </c>
      <c r="D522" s="16" t="str">
        <f>IF(B522="","",B522/MAX(B$5:B522)-1)</f>
        <v/>
      </c>
      <c r="E522" s="13" t="str">
        <f>IF(OR('实盘净值数据(iFinD）'!$A522="",'实盘净值数据(iFinD）'!$B522=""),"",分期持仓明细!$AB$18*SUMPRODUCT(分期持仓明细!$B$18:$Y$18,'实盘净值数据(iFinD）'!$B522:$Y522/'实盘净值数据(iFinD）'!$B$20:$Y$20)*(1-实盘持仓初始配置!$Z$5)^(('实盘净值数据(iFinD）'!$A522-'实盘净值数据(iFinD）'!$A$5)/365))</f>
        <v/>
      </c>
      <c r="F522" s="16" t="str">
        <f t="shared" si="49"/>
        <v/>
      </c>
      <c r="G522" s="16" t="str">
        <f>IF(E522="","",E522/MAX(E$5:E522)-1)</f>
        <v/>
      </c>
      <c r="H522" s="13" t="str">
        <f>IF(OR('实盘净值数据(iFinD）'!$A522="",'实盘净值数据(iFinD）'!$B522=""),"",分期持仓明细!$AB$19*SUMPRODUCT(分期持仓明细!$B$19:$Y$19,'实盘净值数据(iFinD）'!$B522:$Y522/'实盘净值数据(iFinD）'!$B$20:$Y$20)*(1-实盘持仓初始配置!$Z$6)^(('实盘净值数据(iFinD）'!$A522-'实盘净值数据(iFinD）'!$A$7)/365))</f>
        <v/>
      </c>
      <c r="I522" s="16" t="str">
        <f t="shared" si="50"/>
        <v/>
      </c>
      <c r="J522" s="16" t="str">
        <f>IF(H522="","",H522/MAX(H$5:H522)-1)</f>
        <v/>
      </c>
      <c r="K522" s="13" t="str">
        <f>IF(OR('实盘净值数据(iFinD）'!$A522="",'实盘净值数据(iFinD）'!$B522="",'实盘净值数据(iFinD）'!$Z522="",'实盘净值数据(iFinD）'!$AA522=""),"",分期持仓明细!$AB$23*(SUMPRODUCT(分期持仓明细!$B$23:$Y$23,'实盘净值数据(iFinD）'!$B522:$Y522/'实盘净值数据(iFinD）'!$B$65:$Y$65)+SUMPRODUCT(分期持仓明细!$AC$23:$AD$23,'实盘净值数据(iFinD）'!$Z522:$AA522/'实盘净值数据(iFinD）'!$Z$65:$AA$65))*(1-实盘持仓初始配置!$Z$7)^(('实盘净值数据(iFinD）'!$A522-'实盘净值数据(iFinD）'!$A$8)/365))</f>
        <v/>
      </c>
      <c r="L522" s="16" t="str">
        <f t="shared" si="51"/>
        <v/>
      </c>
      <c r="M522" s="16" t="str">
        <f>IF(K522="","",K522/MAX(K$5:K522)-1)</f>
        <v/>
      </c>
      <c r="N522" s="13" t="str">
        <f>IF(OR('实盘净值数据(iFinD）'!$A522="",'实盘净值数据(iFinD）'!$B522="",'实盘净值数据(iFinD）'!$Z522="",'实盘净值数据(iFinD）'!$AA522=""),"",分期持仓明细!$AB$24*(SUMPRODUCT(分期持仓明细!$B$24:$Y$24,'实盘净值数据(iFinD）'!$B522:$Y522/'实盘净值数据(iFinD）'!$B$65:$Y$65)+SUMPRODUCT(分期持仓明细!$AC$24:$AD$24,'实盘净值数据(iFinD）'!$Z522:$AA522/'实盘净值数据(iFinD）'!$Z$65:$AA$65))*(1-实盘持仓初始配置!$Z$8)^(('实盘净值数据(iFinD）'!$A522-'实盘净值数据(iFinD）'!$A$5)/365))</f>
        <v/>
      </c>
      <c r="O522" s="16" t="str">
        <f t="shared" si="52"/>
        <v/>
      </c>
      <c r="P522" s="16" t="str">
        <f>IF(N522="","",N522/MAX(N$5:N522)-1)</f>
        <v/>
      </c>
      <c r="Q522" s="13" t="str">
        <f>IF(OR('实盘净值数据(iFinD）'!$A522="",'实盘净值数据(iFinD）'!$B522="",'实盘净值数据(iFinD）'!$Z522="",'实盘净值数据(iFinD）'!$AA522=""),"",分期持仓明细!$AB$25*(SUMPRODUCT(分期持仓明细!$B$25:$Y$25,'实盘净值数据(iFinD）'!$B522:$Y522/'实盘净值数据(iFinD）'!$B$65:$Y$65)+SUMPRODUCT(分期持仓明细!$AC$25:$AD$25,'实盘净值数据(iFinD）'!$Z522:$AA522/'实盘净值数据(iFinD）'!$Z$65:$AA$65))*(1-实盘持仓初始配置!$Z$9)^(('实盘净值数据(iFinD）'!$A522-'实盘净值数据(iFinD）'!$A$8)/365))</f>
        <v/>
      </c>
      <c r="R522" s="16" t="str">
        <f t="shared" si="53"/>
        <v/>
      </c>
      <c r="S522" s="16" t="str">
        <f>IF(Q522="","",Q522/MAX(Q$5:Q522)-1)</f>
        <v/>
      </c>
      <c r="T522" s="13">
        <f>IF(OR('实盘净值数据(iFinD）'!$A522="",'实盘净值数据(iFinD）'!$B522="",'实盘净值数据(iFinD）'!$Z522="",'实盘净值数据(iFinD）'!$AA522="",'实盘净值数据(iFinD）'!$AB522="",'实盘净值数据(iFinD）'!$AL522=""),"",(SUMPRODUCT(分期持仓明细!$B$26:$Y$26,'实盘净值数据(iFinD）'!$B522:$Y522/'实盘净值数据(iFinD）'!$B$69:$Y$69)+SUMPRODUCT(分期持仓明细!$AC$26:$AD$26,'实盘净值数据(iFinD）'!$Z522:$AA522/'实盘净值数据(iFinD）'!$Z$69:$AA$69)+SUMPRODUCT(分期持仓明细!$AE$26:$AO$26,'实盘净值数据(iFinD）'!$AB522:$AL522/'实盘净值数据(iFinD）'!$AB$69:$AL$69))*(1-实盘持仓初始配置!$Z$10)^(('实盘净值数据(iFinD）'!$A522-'实盘净值数据(iFinD）'!$A$69)/365))</f>
        <v/>
      </c>
      <c r="U522" s="16">
        <f>IF(OR(T521="",T522=""),"",T522/T521-1)</f>
        <v/>
      </c>
      <c r="V522" s="16">
        <f>IF(T522="","",T522/MAX(T$5:T522)-1)</f>
        <v/>
      </c>
    </row>
    <row r="523" spans="1:19">
      <c r="A523" s="15" t="str">
        <f>IF('实盘净值数据(iFinD）'!A523="","",'实盘净值数据(iFinD）'!A523)</f>
        <v/>
      </c>
      <c r="B523" s="13" t="str">
        <f>IF(OR('实盘净值数据(iFinD）'!$A523="",'实盘净值数据(iFinD）'!$B523=""),"",分期持仓明细!$AB$17*SUMPRODUCT(分期持仓明细!$B$17:$Y$17,'实盘净值数据(iFinD）'!$B523:$Y523/'实盘净值数据(iFinD）'!$B$20:$Y$20)*(1-实盘持仓初始配置!$Z$4)^(('实盘净值数据(iFinD）'!$A523-'实盘净值数据(iFinD）'!$A$6)/365))</f>
        <v/>
      </c>
      <c r="C523" s="16" t="str">
        <f t="shared" si="48"/>
        <v/>
      </c>
      <c r="D523" s="16" t="str">
        <f>IF(B523="","",B523/MAX(B$5:B523)-1)</f>
        <v/>
      </c>
      <c r="E523" s="13" t="str">
        <f>IF(OR('实盘净值数据(iFinD）'!$A523="",'实盘净值数据(iFinD）'!$B523=""),"",分期持仓明细!$AB$18*SUMPRODUCT(分期持仓明细!$B$18:$Y$18,'实盘净值数据(iFinD）'!$B523:$Y523/'实盘净值数据(iFinD）'!$B$20:$Y$20)*(1-实盘持仓初始配置!$Z$5)^(('实盘净值数据(iFinD）'!$A523-'实盘净值数据(iFinD）'!$A$5)/365))</f>
        <v/>
      </c>
      <c r="F523" s="16" t="str">
        <f t="shared" si="49"/>
        <v/>
      </c>
      <c r="G523" s="16" t="str">
        <f>IF(E523="","",E523/MAX(E$5:E523)-1)</f>
        <v/>
      </c>
      <c r="H523" s="13" t="str">
        <f>IF(OR('实盘净值数据(iFinD）'!$A523="",'实盘净值数据(iFinD）'!$B523=""),"",分期持仓明细!$AB$19*SUMPRODUCT(分期持仓明细!$B$19:$Y$19,'实盘净值数据(iFinD）'!$B523:$Y523/'实盘净值数据(iFinD）'!$B$20:$Y$20)*(1-实盘持仓初始配置!$Z$6)^(('实盘净值数据(iFinD）'!$A523-'实盘净值数据(iFinD）'!$A$7)/365))</f>
        <v/>
      </c>
      <c r="I523" s="16" t="str">
        <f t="shared" si="50"/>
        <v/>
      </c>
      <c r="J523" s="16" t="str">
        <f>IF(H523="","",H523/MAX(H$5:H523)-1)</f>
        <v/>
      </c>
      <c r="K523" s="13" t="str">
        <f>IF(OR('实盘净值数据(iFinD）'!$A523="",'实盘净值数据(iFinD）'!$B523="",'实盘净值数据(iFinD）'!$Z523="",'实盘净值数据(iFinD）'!$AA523=""),"",分期持仓明细!$AB$23*(SUMPRODUCT(分期持仓明细!$B$23:$Y$23,'实盘净值数据(iFinD）'!$B523:$Y523/'实盘净值数据(iFinD）'!$B$65:$Y$65)+SUMPRODUCT(分期持仓明细!$AC$23:$AD$23,'实盘净值数据(iFinD）'!$Z523:$AA523/'实盘净值数据(iFinD）'!$Z$65:$AA$65))*(1-实盘持仓初始配置!$Z$7)^(('实盘净值数据(iFinD）'!$A523-'实盘净值数据(iFinD）'!$A$8)/365))</f>
        <v/>
      </c>
      <c r="L523" s="16" t="str">
        <f t="shared" si="51"/>
        <v/>
      </c>
      <c r="M523" s="16" t="str">
        <f>IF(K523="","",K523/MAX(K$5:K523)-1)</f>
        <v/>
      </c>
      <c r="N523" s="13" t="str">
        <f>IF(OR('实盘净值数据(iFinD）'!$A523="",'实盘净值数据(iFinD）'!$B523="",'实盘净值数据(iFinD）'!$Z523="",'实盘净值数据(iFinD）'!$AA523=""),"",分期持仓明细!$AB$24*(SUMPRODUCT(分期持仓明细!$B$24:$Y$24,'实盘净值数据(iFinD）'!$B523:$Y523/'实盘净值数据(iFinD）'!$B$65:$Y$65)+SUMPRODUCT(分期持仓明细!$AC$24:$AD$24,'实盘净值数据(iFinD）'!$Z523:$AA523/'实盘净值数据(iFinD）'!$Z$65:$AA$65))*(1-实盘持仓初始配置!$Z$8)^(('实盘净值数据(iFinD）'!$A523-'实盘净值数据(iFinD）'!$A$5)/365))</f>
        <v/>
      </c>
      <c r="O523" s="16" t="str">
        <f t="shared" si="52"/>
        <v/>
      </c>
      <c r="P523" s="16" t="str">
        <f>IF(N523="","",N523/MAX(N$5:N523)-1)</f>
        <v/>
      </c>
      <c r="Q523" s="13" t="str">
        <f>IF(OR('实盘净值数据(iFinD）'!$A523="",'实盘净值数据(iFinD）'!$B523="",'实盘净值数据(iFinD）'!$Z523="",'实盘净值数据(iFinD）'!$AA523=""),"",分期持仓明细!$AB$25*(SUMPRODUCT(分期持仓明细!$B$25:$Y$25,'实盘净值数据(iFinD）'!$B523:$Y523/'实盘净值数据(iFinD）'!$B$65:$Y$65)+SUMPRODUCT(分期持仓明细!$AC$25:$AD$25,'实盘净值数据(iFinD）'!$Z523:$AA523/'实盘净值数据(iFinD）'!$Z$65:$AA$65))*(1-实盘持仓初始配置!$Z$9)^(('实盘净值数据(iFinD）'!$A523-'实盘净值数据(iFinD）'!$A$8)/365))</f>
        <v/>
      </c>
      <c r="R523" s="16" t="str">
        <f t="shared" si="53"/>
        <v/>
      </c>
      <c r="S523" s="16" t="str">
        <f>IF(Q523="","",Q523/MAX(Q$5:Q523)-1)</f>
        <v/>
      </c>
      <c r="T523" s="13">
        <f>IF(OR('实盘净值数据(iFinD）'!$A523="",'实盘净值数据(iFinD）'!$B523="",'实盘净值数据(iFinD）'!$Z523="",'实盘净值数据(iFinD）'!$AA523="",'实盘净值数据(iFinD）'!$AB523="",'实盘净值数据(iFinD）'!$AL523=""),"",(SUMPRODUCT(分期持仓明细!$B$26:$Y$26,'实盘净值数据(iFinD）'!$B523:$Y523/'实盘净值数据(iFinD）'!$B$69:$Y$69)+SUMPRODUCT(分期持仓明细!$AC$26:$AD$26,'实盘净值数据(iFinD）'!$Z523:$AA523/'实盘净值数据(iFinD）'!$Z$69:$AA$69)+SUMPRODUCT(分期持仓明细!$AE$26:$AO$26,'实盘净值数据(iFinD）'!$AB523:$AL523/'实盘净值数据(iFinD）'!$AB$69:$AL$69))*(1-实盘持仓初始配置!$Z$10)^(('实盘净值数据(iFinD）'!$A523-'实盘净值数据(iFinD）'!$A$69)/365))</f>
        <v/>
      </c>
      <c r="U523" s="16">
        <f>IF(OR(T522="",T523=""),"",T523/T522-1)</f>
        <v/>
      </c>
      <c r="V523" s="16">
        <f>IF(T523="","",T523/MAX(T$5:T523)-1)</f>
        <v/>
      </c>
    </row>
    <row r="524" spans="1:19">
      <c r="A524" s="15" t="str">
        <f>IF('实盘净值数据(iFinD）'!A524="","",'实盘净值数据(iFinD）'!A524)</f>
        <v/>
      </c>
      <c r="B524" s="13" t="str">
        <f>IF(OR('实盘净值数据(iFinD）'!$A524="",'实盘净值数据(iFinD）'!$B524=""),"",分期持仓明细!$AB$17*SUMPRODUCT(分期持仓明细!$B$17:$Y$17,'实盘净值数据(iFinD）'!$B524:$Y524/'实盘净值数据(iFinD）'!$B$20:$Y$20)*(1-实盘持仓初始配置!$Z$4)^(('实盘净值数据(iFinD）'!$A524-'实盘净值数据(iFinD）'!$A$6)/365))</f>
        <v/>
      </c>
      <c r="C524" s="16" t="str">
        <f t="shared" si="48"/>
        <v/>
      </c>
      <c r="D524" s="16" t="str">
        <f>IF(B524="","",B524/MAX(B$5:B524)-1)</f>
        <v/>
      </c>
      <c r="E524" s="13" t="str">
        <f>IF(OR('实盘净值数据(iFinD）'!$A524="",'实盘净值数据(iFinD）'!$B524=""),"",分期持仓明细!$AB$18*SUMPRODUCT(分期持仓明细!$B$18:$Y$18,'实盘净值数据(iFinD）'!$B524:$Y524/'实盘净值数据(iFinD）'!$B$20:$Y$20)*(1-实盘持仓初始配置!$Z$5)^(('实盘净值数据(iFinD）'!$A524-'实盘净值数据(iFinD）'!$A$5)/365))</f>
        <v/>
      </c>
      <c r="F524" s="16" t="str">
        <f t="shared" si="49"/>
        <v/>
      </c>
      <c r="G524" s="16" t="str">
        <f>IF(E524="","",E524/MAX(E$5:E524)-1)</f>
        <v/>
      </c>
      <c r="H524" s="13" t="str">
        <f>IF(OR('实盘净值数据(iFinD）'!$A524="",'实盘净值数据(iFinD）'!$B524=""),"",分期持仓明细!$AB$19*SUMPRODUCT(分期持仓明细!$B$19:$Y$19,'实盘净值数据(iFinD）'!$B524:$Y524/'实盘净值数据(iFinD）'!$B$20:$Y$20)*(1-实盘持仓初始配置!$Z$6)^(('实盘净值数据(iFinD）'!$A524-'实盘净值数据(iFinD）'!$A$7)/365))</f>
        <v/>
      </c>
      <c r="I524" s="16" t="str">
        <f t="shared" si="50"/>
        <v/>
      </c>
      <c r="J524" s="16" t="str">
        <f>IF(H524="","",H524/MAX(H$5:H524)-1)</f>
        <v/>
      </c>
      <c r="K524" s="13" t="str">
        <f>IF(OR('实盘净值数据(iFinD）'!$A524="",'实盘净值数据(iFinD）'!$B524="",'实盘净值数据(iFinD）'!$Z524="",'实盘净值数据(iFinD）'!$AA524=""),"",分期持仓明细!$AB$23*(SUMPRODUCT(分期持仓明细!$B$23:$Y$23,'实盘净值数据(iFinD）'!$B524:$Y524/'实盘净值数据(iFinD）'!$B$65:$Y$65)+SUMPRODUCT(分期持仓明细!$AC$23:$AD$23,'实盘净值数据(iFinD）'!$Z524:$AA524/'实盘净值数据(iFinD）'!$Z$65:$AA$65))*(1-实盘持仓初始配置!$Z$7)^(('实盘净值数据(iFinD）'!$A524-'实盘净值数据(iFinD）'!$A$8)/365))</f>
        <v/>
      </c>
      <c r="L524" s="16" t="str">
        <f t="shared" si="51"/>
        <v/>
      </c>
      <c r="M524" s="16" t="str">
        <f>IF(K524="","",K524/MAX(K$5:K524)-1)</f>
        <v/>
      </c>
      <c r="N524" s="13" t="str">
        <f>IF(OR('实盘净值数据(iFinD）'!$A524="",'实盘净值数据(iFinD）'!$B524="",'实盘净值数据(iFinD）'!$Z524="",'实盘净值数据(iFinD）'!$AA524=""),"",分期持仓明细!$AB$24*(SUMPRODUCT(分期持仓明细!$B$24:$Y$24,'实盘净值数据(iFinD）'!$B524:$Y524/'实盘净值数据(iFinD）'!$B$65:$Y$65)+SUMPRODUCT(分期持仓明细!$AC$24:$AD$24,'实盘净值数据(iFinD）'!$Z524:$AA524/'实盘净值数据(iFinD）'!$Z$65:$AA$65))*(1-实盘持仓初始配置!$Z$8)^(('实盘净值数据(iFinD）'!$A524-'实盘净值数据(iFinD）'!$A$5)/365))</f>
        <v/>
      </c>
      <c r="O524" s="16" t="str">
        <f t="shared" si="52"/>
        <v/>
      </c>
      <c r="P524" s="16" t="str">
        <f>IF(N524="","",N524/MAX(N$5:N524)-1)</f>
        <v/>
      </c>
      <c r="Q524" s="13" t="str">
        <f>IF(OR('实盘净值数据(iFinD）'!$A524="",'实盘净值数据(iFinD）'!$B524="",'实盘净值数据(iFinD）'!$Z524="",'实盘净值数据(iFinD）'!$AA524=""),"",分期持仓明细!$AB$25*(SUMPRODUCT(分期持仓明细!$B$25:$Y$25,'实盘净值数据(iFinD）'!$B524:$Y524/'实盘净值数据(iFinD）'!$B$65:$Y$65)+SUMPRODUCT(分期持仓明细!$AC$25:$AD$25,'实盘净值数据(iFinD）'!$Z524:$AA524/'实盘净值数据(iFinD）'!$Z$65:$AA$65))*(1-实盘持仓初始配置!$Z$9)^(('实盘净值数据(iFinD）'!$A524-'实盘净值数据(iFinD）'!$A$8)/365))</f>
        <v/>
      </c>
      <c r="R524" s="16" t="str">
        <f t="shared" si="53"/>
        <v/>
      </c>
      <c r="S524" s="16" t="str">
        <f>IF(Q524="","",Q524/MAX(Q$5:Q524)-1)</f>
        <v/>
      </c>
      <c r="T524" s="13">
        <f>IF(OR('实盘净值数据(iFinD）'!$A524="",'实盘净值数据(iFinD）'!$B524="",'实盘净值数据(iFinD）'!$Z524="",'实盘净值数据(iFinD）'!$AA524="",'实盘净值数据(iFinD）'!$AB524="",'实盘净值数据(iFinD）'!$AL524=""),"",(SUMPRODUCT(分期持仓明细!$B$26:$Y$26,'实盘净值数据(iFinD）'!$B524:$Y524/'实盘净值数据(iFinD）'!$B$69:$Y$69)+SUMPRODUCT(分期持仓明细!$AC$26:$AD$26,'实盘净值数据(iFinD）'!$Z524:$AA524/'实盘净值数据(iFinD）'!$Z$69:$AA$69)+SUMPRODUCT(分期持仓明细!$AE$26:$AO$26,'实盘净值数据(iFinD）'!$AB524:$AL524/'实盘净值数据(iFinD）'!$AB$69:$AL$69))*(1-实盘持仓初始配置!$Z$10)^(('实盘净值数据(iFinD）'!$A524-'实盘净值数据(iFinD）'!$A$69)/365))</f>
        <v/>
      </c>
      <c r="U524" s="16">
        <f>IF(OR(T523="",T524=""),"",T524/T523-1)</f>
        <v/>
      </c>
      <c r="V524" s="16">
        <f>IF(T524="","",T524/MAX(T$5:T524)-1)</f>
        <v/>
      </c>
    </row>
    <row r="525" spans="1:19">
      <c r="A525" s="15" t="str">
        <f>IF('实盘净值数据(iFinD）'!A525="","",'实盘净值数据(iFinD）'!A525)</f>
        <v/>
      </c>
      <c r="B525" s="13" t="str">
        <f>IF(OR('实盘净值数据(iFinD）'!$A525="",'实盘净值数据(iFinD）'!$B525=""),"",分期持仓明细!$AB$17*SUMPRODUCT(分期持仓明细!$B$17:$Y$17,'实盘净值数据(iFinD）'!$B525:$Y525/'实盘净值数据(iFinD）'!$B$20:$Y$20)*(1-实盘持仓初始配置!$Z$4)^(('实盘净值数据(iFinD）'!$A525-'实盘净值数据(iFinD）'!$A$6)/365))</f>
        <v/>
      </c>
      <c r="C525" s="16" t="str">
        <f t="shared" si="48"/>
        <v/>
      </c>
      <c r="D525" s="16" t="str">
        <f>IF(B525="","",B525/MAX(B$5:B525)-1)</f>
        <v/>
      </c>
      <c r="E525" s="13" t="str">
        <f>IF(OR('实盘净值数据(iFinD）'!$A525="",'实盘净值数据(iFinD）'!$B525=""),"",分期持仓明细!$AB$18*SUMPRODUCT(分期持仓明细!$B$18:$Y$18,'实盘净值数据(iFinD）'!$B525:$Y525/'实盘净值数据(iFinD）'!$B$20:$Y$20)*(1-实盘持仓初始配置!$Z$5)^(('实盘净值数据(iFinD）'!$A525-'实盘净值数据(iFinD）'!$A$5)/365))</f>
        <v/>
      </c>
      <c r="F525" s="16" t="str">
        <f t="shared" si="49"/>
        <v/>
      </c>
      <c r="G525" s="16" t="str">
        <f>IF(E525="","",E525/MAX(E$5:E525)-1)</f>
        <v/>
      </c>
      <c r="H525" s="13" t="str">
        <f>IF(OR('实盘净值数据(iFinD）'!$A525="",'实盘净值数据(iFinD）'!$B525=""),"",分期持仓明细!$AB$19*SUMPRODUCT(分期持仓明细!$B$19:$Y$19,'实盘净值数据(iFinD）'!$B525:$Y525/'实盘净值数据(iFinD）'!$B$20:$Y$20)*(1-实盘持仓初始配置!$Z$6)^(('实盘净值数据(iFinD）'!$A525-'实盘净值数据(iFinD）'!$A$7)/365))</f>
        <v/>
      </c>
      <c r="I525" s="16" t="str">
        <f t="shared" si="50"/>
        <v/>
      </c>
      <c r="J525" s="16" t="str">
        <f>IF(H525="","",H525/MAX(H$5:H525)-1)</f>
        <v/>
      </c>
      <c r="K525" s="13" t="str">
        <f>IF(OR('实盘净值数据(iFinD）'!$A525="",'实盘净值数据(iFinD）'!$B525="",'实盘净值数据(iFinD）'!$Z525="",'实盘净值数据(iFinD）'!$AA525=""),"",分期持仓明细!$AB$23*(SUMPRODUCT(分期持仓明细!$B$23:$Y$23,'实盘净值数据(iFinD）'!$B525:$Y525/'实盘净值数据(iFinD）'!$B$65:$Y$65)+SUMPRODUCT(分期持仓明细!$AC$23:$AD$23,'实盘净值数据(iFinD）'!$Z525:$AA525/'实盘净值数据(iFinD）'!$Z$65:$AA$65))*(1-实盘持仓初始配置!$Z$7)^(('实盘净值数据(iFinD）'!$A525-'实盘净值数据(iFinD）'!$A$8)/365))</f>
        <v/>
      </c>
      <c r="L525" s="16" t="str">
        <f t="shared" si="51"/>
        <v/>
      </c>
      <c r="M525" s="16" t="str">
        <f>IF(K525="","",K525/MAX(K$5:K525)-1)</f>
        <v/>
      </c>
      <c r="N525" s="13" t="str">
        <f>IF(OR('实盘净值数据(iFinD）'!$A525="",'实盘净值数据(iFinD）'!$B525="",'实盘净值数据(iFinD）'!$Z525="",'实盘净值数据(iFinD）'!$AA525=""),"",分期持仓明细!$AB$24*(SUMPRODUCT(分期持仓明细!$B$24:$Y$24,'实盘净值数据(iFinD）'!$B525:$Y525/'实盘净值数据(iFinD）'!$B$65:$Y$65)+SUMPRODUCT(分期持仓明细!$AC$24:$AD$24,'实盘净值数据(iFinD）'!$Z525:$AA525/'实盘净值数据(iFinD）'!$Z$65:$AA$65))*(1-实盘持仓初始配置!$Z$8)^(('实盘净值数据(iFinD）'!$A525-'实盘净值数据(iFinD）'!$A$5)/365))</f>
        <v/>
      </c>
      <c r="O525" s="16" t="str">
        <f t="shared" si="52"/>
        <v/>
      </c>
      <c r="P525" s="16" t="str">
        <f>IF(N525="","",N525/MAX(N$5:N525)-1)</f>
        <v/>
      </c>
      <c r="Q525" s="13" t="str">
        <f>IF(OR('实盘净值数据(iFinD）'!$A525="",'实盘净值数据(iFinD）'!$B525="",'实盘净值数据(iFinD）'!$Z525="",'实盘净值数据(iFinD）'!$AA525=""),"",分期持仓明细!$AB$25*(SUMPRODUCT(分期持仓明细!$B$25:$Y$25,'实盘净值数据(iFinD）'!$B525:$Y525/'实盘净值数据(iFinD）'!$B$65:$Y$65)+SUMPRODUCT(分期持仓明细!$AC$25:$AD$25,'实盘净值数据(iFinD）'!$Z525:$AA525/'实盘净值数据(iFinD）'!$Z$65:$AA$65))*(1-实盘持仓初始配置!$Z$9)^(('实盘净值数据(iFinD）'!$A525-'实盘净值数据(iFinD）'!$A$8)/365))</f>
        <v/>
      </c>
      <c r="R525" s="16" t="str">
        <f t="shared" si="53"/>
        <v/>
      </c>
      <c r="S525" s="16" t="str">
        <f>IF(Q525="","",Q525/MAX(Q$5:Q525)-1)</f>
        <v/>
      </c>
      <c r="T525" s="13">
        <f>IF(OR('实盘净值数据(iFinD）'!$A525="",'实盘净值数据(iFinD）'!$B525="",'实盘净值数据(iFinD）'!$Z525="",'实盘净值数据(iFinD）'!$AA525="",'实盘净值数据(iFinD）'!$AB525="",'实盘净值数据(iFinD）'!$AL525=""),"",(SUMPRODUCT(分期持仓明细!$B$26:$Y$26,'实盘净值数据(iFinD）'!$B525:$Y525/'实盘净值数据(iFinD）'!$B$69:$Y$69)+SUMPRODUCT(分期持仓明细!$AC$26:$AD$26,'实盘净值数据(iFinD）'!$Z525:$AA525/'实盘净值数据(iFinD）'!$Z$69:$AA$69)+SUMPRODUCT(分期持仓明细!$AE$26:$AO$26,'实盘净值数据(iFinD）'!$AB525:$AL525/'实盘净值数据(iFinD）'!$AB$69:$AL$69))*(1-实盘持仓初始配置!$Z$10)^(('实盘净值数据(iFinD）'!$A525-'实盘净值数据(iFinD）'!$A$69)/365))</f>
        <v/>
      </c>
      <c r="U525" s="16">
        <f>IF(OR(T524="",T525=""),"",T525/T524-1)</f>
        <v/>
      </c>
      <c r="V525" s="16">
        <f>IF(T525="","",T525/MAX(T$5:T525)-1)</f>
        <v/>
      </c>
    </row>
    <row r="526" spans="1:19">
      <c r="A526" s="15" t="str">
        <f>IF('实盘净值数据(iFinD）'!A526="","",'实盘净值数据(iFinD）'!A526)</f>
        <v/>
      </c>
      <c r="B526" s="13" t="str">
        <f>IF(OR('实盘净值数据(iFinD）'!$A526="",'实盘净值数据(iFinD）'!$B526=""),"",分期持仓明细!$AB$17*SUMPRODUCT(分期持仓明细!$B$17:$Y$17,'实盘净值数据(iFinD）'!$B526:$Y526/'实盘净值数据(iFinD）'!$B$20:$Y$20)*(1-实盘持仓初始配置!$Z$4)^(('实盘净值数据(iFinD）'!$A526-'实盘净值数据(iFinD）'!$A$6)/365))</f>
        <v/>
      </c>
      <c r="C526" s="16" t="str">
        <f t="shared" si="48"/>
        <v/>
      </c>
      <c r="D526" s="16" t="str">
        <f>IF(B526="","",B526/MAX(B$5:B526)-1)</f>
        <v/>
      </c>
      <c r="E526" s="13" t="str">
        <f>IF(OR('实盘净值数据(iFinD）'!$A526="",'实盘净值数据(iFinD）'!$B526=""),"",分期持仓明细!$AB$18*SUMPRODUCT(分期持仓明细!$B$18:$Y$18,'实盘净值数据(iFinD）'!$B526:$Y526/'实盘净值数据(iFinD）'!$B$20:$Y$20)*(1-实盘持仓初始配置!$Z$5)^(('实盘净值数据(iFinD）'!$A526-'实盘净值数据(iFinD）'!$A$5)/365))</f>
        <v/>
      </c>
      <c r="F526" s="16" t="str">
        <f t="shared" si="49"/>
        <v/>
      </c>
      <c r="G526" s="16" t="str">
        <f>IF(E526="","",E526/MAX(E$5:E526)-1)</f>
        <v/>
      </c>
      <c r="H526" s="13" t="str">
        <f>IF(OR('实盘净值数据(iFinD）'!$A526="",'实盘净值数据(iFinD）'!$B526=""),"",分期持仓明细!$AB$19*SUMPRODUCT(分期持仓明细!$B$19:$Y$19,'实盘净值数据(iFinD）'!$B526:$Y526/'实盘净值数据(iFinD）'!$B$20:$Y$20)*(1-实盘持仓初始配置!$Z$6)^(('实盘净值数据(iFinD）'!$A526-'实盘净值数据(iFinD）'!$A$7)/365))</f>
        <v/>
      </c>
      <c r="I526" s="16" t="str">
        <f t="shared" si="50"/>
        <v/>
      </c>
      <c r="J526" s="16" t="str">
        <f>IF(H526="","",H526/MAX(H$5:H526)-1)</f>
        <v/>
      </c>
      <c r="K526" s="13" t="str">
        <f>IF(OR('实盘净值数据(iFinD）'!$A526="",'实盘净值数据(iFinD）'!$B526="",'实盘净值数据(iFinD）'!$Z526="",'实盘净值数据(iFinD）'!$AA526=""),"",分期持仓明细!$AB$23*(SUMPRODUCT(分期持仓明细!$B$23:$Y$23,'实盘净值数据(iFinD）'!$B526:$Y526/'实盘净值数据(iFinD）'!$B$65:$Y$65)+SUMPRODUCT(分期持仓明细!$AC$23:$AD$23,'实盘净值数据(iFinD）'!$Z526:$AA526/'实盘净值数据(iFinD）'!$Z$65:$AA$65))*(1-实盘持仓初始配置!$Z$7)^(('实盘净值数据(iFinD）'!$A526-'实盘净值数据(iFinD）'!$A$8)/365))</f>
        <v/>
      </c>
      <c r="L526" s="16" t="str">
        <f t="shared" si="51"/>
        <v/>
      </c>
      <c r="M526" s="16" t="str">
        <f>IF(K526="","",K526/MAX(K$5:K526)-1)</f>
        <v/>
      </c>
      <c r="N526" s="13" t="str">
        <f>IF(OR('实盘净值数据(iFinD）'!$A526="",'实盘净值数据(iFinD）'!$B526="",'实盘净值数据(iFinD）'!$Z526="",'实盘净值数据(iFinD）'!$AA526=""),"",分期持仓明细!$AB$24*(SUMPRODUCT(分期持仓明细!$B$24:$Y$24,'实盘净值数据(iFinD）'!$B526:$Y526/'实盘净值数据(iFinD）'!$B$65:$Y$65)+SUMPRODUCT(分期持仓明细!$AC$24:$AD$24,'实盘净值数据(iFinD）'!$Z526:$AA526/'实盘净值数据(iFinD）'!$Z$65:$AA$65))*(1-实盘持仓初始配置!$Z$8)^(('实盘净值数据(iFinD）'!$A526-'实盘净值数据(iFinD）'!$A$5)/365))</f>
        <v/>
      </c>
      <c r="O526" s="16" t="str">
        <f t="shared" si="52"/>
        <v/>
      </c>
      <c r="P526" s="16" t="str">
        <f>IF(N526="","",N526/MAX(N$5:N526)-1)</f>
        <v/>
      </c>
      <c r="Q526" s="13" t="str">
        <f>IF(OR('实盘净值数据(iFinD）'!$A526="",'实盘净值数据(iFinD）'!$B526="",'实盘净值数据(iFinD）'!$Z526="",'实盘净值数据(iFinD）'!$AA526=""),"",分期持仓明细!$AB$25*(SUMPRODUCT(分期持仓明细!$B$25:$Y$25,'实盘净值数据(iFinD）'!$B526:$Y526/'实盘净值数据(iFinD）'!$B$65:$Y$65)+SUMPRODUCT(分期持仓明细!$AC$25:$AD$25,'实盘净值数据(iFinD）'!$Z526:$AA526/'实盘净值数据(iFinD）'!$Z$65:$AA$65))*(1-实盘持仓初始配置!$Z$9)^(('实盘净值数据(iFinD）'!$A526-'实盘净值数据(iFinD）'!$A$8)/365))</f>
        <v/>
      </c>
      <c r="R526" s="16" t="str">
        <f t="shared" si="53"/>
        <v/>
      </c>
      <c r="S526" s="16" t="str">
        <f>IF(Q526="","",Q526/MAX(Q$5:Q526)-1)</f>
        <v/>
      </c>
      <c r="T526" s="13">
        <f>IF(OR('实盘净值数据(iFinD）'!$A526="",'实盘净值数据(iFinD）'!$B526="",'实盘净值数据(iFinD）'!$Z526="",'实盘净值数据(iFinD）'!$AA526="",'实盘净值数据(iFinD）'!$AB526="",'实盘净值数据(iFinD）'!$AL526=""),"",(SUMPRODUCT(分期持仓明细!$B$26:$Y$26,'实盘净值数据(iFinD）'!$B526:$Y526/'实盘净值数据(iFinD）'!$B$69:$Y$69)+SUMPRODUCT(分期持仓明细!$AC$26:$AD$26,'实盘净值数据(iFinD）'!$Z526:$AA526/'实盘净值数据(iFinD）'!$Z$69:$AA$69)+SUMPRODUCT(分期持仓明细!$AE$26:$AO$26,'实盘净值数据(iFinD）'!$AB526:$AL526/'实盘净值数据(iFinD）'!$AB$69:$AL$69))*(1-实盘持仓初始配置!$Z$10)^(('实盘净值数据(iFinD）'!$A526-'实盘净值数据(iFinD）'!$A$69)/365))</f>
        <v/>
      </c>
      <c r="U526" s="16">
        <f>IF(OR(T525="",T526=""),"",T526/T525-1)</f>
        <v/>
      </c>
      <c r="V526" s="16">
        <f>IF(T526="","",T526/MAX(T$5:T526)-1)</f>
        <v/>
      </c>
    </row>
    <row r="527" spans="1:19">
      <c r="A527" s="15" t="str">
        <f>IF('实盘净值数据(iFinD）'!A527="","",'实盘净值数据(iFinD）'!A527)</f>
        <v/>
      </c>
      <c r="B527" s="13" t="str">
        <f>IF(OR('实盘净值数据(iFinD）'!$A527="",'实盘净值数据(iFinD）'!$B527=""),"",分期持仓明细!$AB$17*SUMPRODUCT(分期持仓明细!$B$17:$Y$17,'实盘净值数据(iFinD）'!$B527:$Y527/'实盘净值数据(iFinD）'!$B$20:$Y$20)*(1-实盘持仓初始配置!$Z$4)^(('实盘净值数据(iFinD）'!$A527-'实盘净值数据(iFinD）'!$A$6)/365))</f>
        <v/>
      </c>
      <c r="C527" s="16" t="str">
        <f t="shared" si="48"/>
        <v/>
      </c>
      <c r="D527" s="16" t="str">
        <f>IF(B527="","",B527/MAX(B$5:B527)-1)</f>
        <v/>
      </c>
      <c r="E527" s="13" t="str">
        <f>IF(OR('实盘净值数据(iFinD）'!$A527="",'实盘净值数据(iFinD）'!$B527=""),"",分期持仓明细!$AB$18*SUMPRODUCT(分期持仓明细!$B$18:$Y$18,'实盘净值数据(iFinD）'!$B527:$Y527/'实盘净值数据(iFinD）'!$B$20:$Y$20)*(1-实盘持仓初始配置!$Z$5)^(('实盘净值数据(iFinD）'!$A527-'实盘净值数据(iFinD）'!$A$5)/365))</f>
        <v/>
      </c>
      <c r="F527" s="16" t="str">
        <f t="shared" si="49"/>
        <v/>
      </c>
      <c r="G527" s="16" t="str">
        <f>IF(E527="","",E527/MAX(E$5:E527)-1)</f>
        <v/>
      </c>
      <c r="H527" s="13" t="str">
        <f>IF(OR('实盘净值数据(iFinD）'!$A527="",'实盘净值数据(iFinD）'!$B527=""),"",分期持仓明细!$AB$19*SUMPRODUCT(分期持仓明细!$B$19:$Y$19,'实盘净值数据(iFinD）'!$B527:$Y527/'实盘净值数据(iFinD）'!$B$20:$Y$20)*(1-实盘持仓初始配置!$Z$6)^(('实盘净值数据(iFinD）'!$A527-'实盘净值数据(iFinD）'!$A$7)/365))</f>
        <v/>
      </c>
      <c r="I527" s="16" t="str">
        <f t="shared" si="50"/>
        <v/>
      </c>
      <c r="J527" s="16" t="str">
        <f>IF(H527="","",H527/MAX(H$5:H527)-1)</f>
        <v/>
      </c>
      <c r="K527" s="13" t="str">
        <f>IF(OR('实盘净值数据(iFinD）'!$A527="",'实盘净值数据(iFinD）'!$B527="",'实盘净值数据(iFinD）'!$Z527="",'实盘净值数据(iFinD）'!$AA527=""),"",分期持仓明细!$AB$23*(SUMPRODUCT(分期持仓明细!$B$23:$Y$23,'实盘净值数据(iFinD）'!$B527:$Y527/'实盘净值数据(iFinD）'!$B$65:$Y$65)+SUMPRODUCT(分期持仓明细!$AC$23:$AD$23,'实盘净值数据(iFinD）'!$Z527:$AA527/'实盘净值数据(iFinD）'!$Z$65:$AA$65))*(1-实盘持仓初始配置!$Z$7)^(('实盘净值数据(iFinD）'!$A527-'实盘净值数据(iFinD）'!$A$8)/365))</f>
        <v/>
      </c>
      <c r="L527" s="16" t="str">
        <f t="shared" si="51"/>
        <v/>
      </c>
      <c r="M527" s="16" t="str">
        <f>IF(K527="","",K527/MAX(K$5:K527)-1)</f>
        <v/>
      </c>
      <c r="N527" s="13" t="str">
        <f>IF(OR('实盘净值数据(iFinD）'!$A527="",'实盘净值数据(iFinD）'!$B527="",'实盘净值数据(iFinD）'!$Z527="",'实盘净值数据(iFinD）'!$AA527=""),"",分期持仓明细!$AB$24*(SUMPRODUCT(分期持仓明细!$B$24:$Y$24,'实盘净值数据(iFinD）'!$B527:$Y527/'实盘净值数据(iFinD）'!$B$65:$Y$65)+SUMPRODUCT(分期持仓明细!$AC$24:$AD$24,'实盘净值数据(iFinD）'!$Z527:$AA527/'实盘净值数据(iFinD）'!$Z$65:$AA$65))*(1-实盘持仓初始配置!$Z$8)^(('实盘净值数据(iFinD）'!$A527-'实盘净值数据(iFinD）'!$A$5)/365))</f>
        <v/>
      </c>
      <c r="O527" s="16" t="str">
        <f t="shared" si="52"/>
        <v/>
      </c>
      <c r="P527" s="16" t="str">
        <f>IF(N527="","",N527/MAX(N$5:N527)-1)</f>
        <v/>
      </c>
      <c r="Q527" s="13" t="str">
        <f>IF(OR('实盘净值数据(iFinD）'!$A527="",'实盘净值数据(iFinD）'!$B527="",'实盘净值数据(iFinD）'!$Z527="",'实盘净值数据(iFinD）'!$AA527=""),"",分期持仓明细!$AB$25*(SUMPRODUCT(分期持仓明细!$B$25:$Y$25,'实盘净值数据(iFinD）'!$B527:$Y527/'实盘净值数据(iFinD）'!$B$65:$Y$65)+SUMPRODUCT(分期持仓明细!$AC$25:$AD$25,'实盘净值数据(iFinD）'!$Z527:$AA527/'实盘净值数据(iFinD）'!$Z$65:$AA$65))*(1-实盘持仓初始配置!$Z$9)^(('实盘净值数据(iFinD）'!$A527-'实盘净值数据(iFinD）'!$A$8)/365))</f>
        <v/>
      </c>
      <c r="R527" s="16" t="str">
        <f t="shared" si="53"/>
        <v/>
      </c>
      <c r="S527" s="16" t="str">
        <f>IF(Q527="","",Q527/MAX(Q$5:Q527)-1)</f>
        <v/>
      </c>
      <c r="T527" s="13">
        <f>IF(OR('实盘净值数据(iFinD）'!$A527="",'实盘净值数据(iFinD）'!$B527="",'实盘净值数据(iFinD）'!$Z527="",'实盘净值数据(iFinD）'!$AA527="",'实盘净值数据(iFinD）'!$AB527="",'实盘净值数据(iFinD）'!$AL527=""),"",(SUMPRODUCT(分期持仓明细!$B$26:$Y$26,'实盘净值数据(iFinD）'!$B527:$Y527/'实盘净值数据(iFinD）'!$B$69:$Y$69)+SUMPRODUCT(分期持仓明细!$AC$26:$AD$26,'实盘净值数据(iFinD）'!$Z527:$AA527/'实盘净值数据(iFinD）'!$Z$69:$AA$69)+SUMPRODUCT(分期持仓明细!$AE$26:$AO$26,'实盘净值数据(iFinD）'!$AB527:$AL527/'实盘净值数据(iFinD）'!$AB$69:$AL$69))*(1-实盘持仓初始配置!$Z$10)^(('实盘净值数据(iFinD）'!$A527-'实盘净值数据(iFinD）'!$A$69)/365))</f>
        <v/>
      </c>
      <c r="U527" s="16">
        <f>IF(OR(T526="",T527=""),"",T527/T526-1)</f>
        <v/>
      </c>
      <c r="V527" s="16">
        <f>IF(T527="","",T527/MAX(T$5:T527)-1)</f>
        <v/>
      </c>
    </row>
    <row r="528" spans="1:19">
      <c r="A528" s="15" t="str">
        <f>IF('实盘净值数据(iFinD）'!A528="","",'实盘净值数据(iFinD）'!A528)</f>
        <v/>
      </c>
      <c r="B528" s="13" t="str">
        <f>IF(OR('实盘净值数据(iFinD）'!$A528="",'实盘净值数据(iFinD）'!$B528=""),"",分期持仓明细!$AB$17*SUMPRODUCT(分期持仓明细!$B$17:$Y$17,'实盘净值数据(iFinD）'!$B528:$Y528/'实盘净值数据(iFinD）'!$B$20:$Y$20)*(1-实盘持仓初始配置!$Z$4)^(('实盘净值数据(iFinD）'!$A528-'实盘净值数据(iFinD）'!$A$6)/365))</f>
        <v/>
      </c>
      <c r="C528" s="16" t="str">
        <f t="shared" si="48"/>
        <v/>
      </c>
      <c r="D528" s="16" t="str">
        <f>IF(B528="","",B528/MAX(B$5:B528)-1)</f>
        <v/>
      </c>
      <c r="E528" s="13" t="str">
        <f>IF(OR('实盘净值数据(iFinD）'!$A528="",'实盘净值数据(iFinD）'!$B528=""),"",分期持仓明细!$AB$18*SUMPRODUCT(分期持仓明细!$B$18:$Y$18,'实盘净值数据(iFinD）'!$B528:$Y528/'实盘净值数据(iFinD）'!$B$20:$Y$20)*(1-实盘持仓初始配置!$Z$5)^(('实盘净值数据(iFinD）'!$A528-'实盘净值数据(iFinD）'!$A$5)/365))</f>
        <v/>
      </c>
      <c r="F528" s="16" t="str">
        <f t="shared" si="49"/>
        <v/>
      </c>
      <c r="G528" s="16" t="str">
        <f>IF(E528="","",E528/MAX(E$5:E528)-1)</f>
        <v/>
      </c>
      <c r="H528" s="13" t="str">
        <f>IF(OR('实盘净值数据(iFinD）'!$A528="",'实盘净值数据(iFinD）'!$B528=""),"",分期持仓明细!$AB$19*SUMPRODUCT(分期持仓明细!$B$19:$Y$19,'实盘净值数据(iFinD）'!$B528:$Y528/'实盘净值数据(iFinD）'!$B$20:$Y$20)*(1-实盘持仓初始配置!$Z$6)^(('实盘净值数据(iFinD）'!$A528-'实盘净值数据(iFinD）'!$A$7)/365))</f>
        <v/>
      </c>
      <c r="I528" s="16" t="str">
        <f t="shared" si="50"/>
        <v/>
      </c>
      <c r="J528" s="16" t="str">
        <f>IF(H528="","",H528/MAX(H$5:H528)-1)</f>
        <v/>
      </c>
      <c r="K528" s="13" t="str">
        <f>IF(OR('实盘净值数据(iFinD）'!$A528="",'实盘净值数据(iFinD）'!$B528="",'实盘净值数据(iFinD）'!$Z528="",'实盘净值数据(iFinD）'!$AA528=""),"",分期持仓明细!$AB$23*(SUMPRODUCT(分期持仓明细!$B$23:$Y$23,'实盘净值数据(iFinD）'!$B528:$Y528/'实盘净值数据(iFinD）'!$B$65:$Y$65)+SUMPRODUCT(分期持仓明细!$AC$23:$AD$23,'实盘净值数据(iFinD）'!$Z528:$AA528/'实盘净值数据(iFinD）'!$Z$65:$AA$65))*(1-实盘持仓初始配置!$Z$7)^(('实盘净值数据(iFinD）'!$A528-'实盘净值数据(iFinD）'!$A$8)/365))</f>
        <v/>
      </c>
      <c r="L528" s="16" t="str">
        <f t="shared" si="51"/>
        <v/>
      </c>
      <c r="M528" s="16" t="str">
        <f>IF(K528="","",K528/MAX(K$5:K528)-1)</f>
        <v/>
      </c>
      <c r="N528" s="13" t="str">
        <f>IF(OR('实盘净值数据(iFinD）'!$A528="",'实盘净值数据(iFinD）'!$B528="",'实盘净值数据(iFinD）'!$Z528="",'实盘净值数据(iFinD）'!$AA528=""),"",分期持仓明细!$AB$24*(SUMPRODUCT(分期持仓明细!$B$24:$Y$24,'实盘净值数据(iFinD）'!$B528:$Y528/'实盘净值数据(iFinD）'!$B$65:$Y$65)+SUMPRODUCT(分期持仓明细!$AC$24:$AD$24,'实盘净值数据(iFinD）'!$Z528:$AA528/'实盘净值数据(iFinD）'!$Z$65:$AA$65))*(1-实盘持仓初始配置!$Z$8)^(('实盘净值数据(iFinD）'!$A528-'实盘净值数据(iFinD）'!$A$5)/365))</f>
        <v/>
      </c>
      <c r="O528" s="16" t="str">
        <f t="shared" si="52"/>
        <v/>
      </c>
      <c r="P528" s="16" t="str">
        <f>IF(N528="","",N528/MAX(N$5:N528)-1)</f>
        <v/>
      </c>
      <c r="Q528" s="13" t="str">
        <f>IF(OR('实盘净值数据(iFinD）'!$A528="",'实盘净值数据(iFinD）'!$B528="",'实盘净值数据(iFinD）'!$Z528="",'实盘净值数据(iFinD）'!$AA528=""),"",分期持仓明细!$AB$25*(SUMPRODUCT(分期持仓明细!$B$25:$Y$25,'实盘净值数据(iFinD）'!$B528:$Y528/'实盘净值数据(iFinD）'!$B$65:$Y$65)+SUMPRODUCT(分期持仓明细!$AC$25:$AD$25,'实盘净值数据(iFinD）'!$Z528:$AA528/'实盘净值数据(iFinD）'!$Z$65:$AA$65))*(1-实盘持仓初始配置!$Z$9)^(('实盘净值数据(iFinD）'!$A528-'实盘净值数据(iFinD）'!$A$8)/365))</f>
        <v/>
      </c>
      <c r="R528" s="16" t="str">
        <f t="shared" si="53"/>
        <v/>
      </c>
      <c r="S528" s="16" t="str">
        <f>IF(Q528="","",Q528/MAX(Q$5:Q528)-1)</f>
        <v/>
      </c>
      <c r="T528" s="13">
        <f>IF(OR('实盘净值数据(iFinD）'!$A528="",'实盘净值数据(iFinD）'!$B528="",'实盘净值数据(iFinD）'!$Z528="",'实盘净值数据(iFinD）'!$AA528="",'实盘净值数据(iFinD）'!$AB528="",'实盘净值数据(iFinD）'!$AL528=""),"",(SUMPRODUCT(分期持仓明细!$B$26:$Y$26,'实盘净值数据(iFinD）'!$B528:$Y528/'实盘净值数据(iFinD）'!$B$69:$Y$69)+SUMPRODUCT(分期持仓明细!$AC$26:$AD$26,'实盘净值数据(iFinD）'!$Z528:$AA528/'实盘净值数据(iFinD）'!$Z$69:$AA$69)+SUMPRODUCT(分期持仓明细!$AE$26:$AO$26,'实盘净值数据(iFinD）'!$AB528:$AL528/'实盘净值数据(iFinD）'!$AB$69:$AL$69))*(1-实盘持仓初始配置!$Z$10)^(('实盘净值数据(iFinD）'!$A528-'实盘净值数据(iFinD）'!$A$69)/365))</f>
        <v/>
      </c>
      <c r="U528" s="16">
        <f>IF(OR(T527="",T528=""),"",T528/T527-1)</f>
        <v/>
      </c>
      <c r="V528" s="16">
        <f>IF(T528="","",T528/MAX(T$5:T528)-1)</f>
        <v/>
      </c>
    </row>
    <row r="529" spans="1:19">
      <c r="A529" s="15" t="str">
        <f>IF('实盘净值数据(iFinD）'!A529="","",'实盘净值数据(iFinD）'!A529)</f>
        <v/>
      </c>
      <c r="B529" s="13" t="str">
        <f>IF(OR('实盘净值数据(iFinD）'!$A529="",'实盘净值数据(iFinD）'!$B529=""),"",分期持仓明细!$AB$17*SUMPRODUCT(分期持仓明细!$B$17:$Y$17,'实盘净值数据(iFinD）'!$B529:$Y529/'实盘净值数据(iFinD）'!$B$20:$Y$20)*(1-实盘持仓初始配置!$Z$4)^(('实盘净值数据(iFinD）'!$A529-'实盘净值数据(iFinD）'!$A$6)/365))</f>
        <v/>
      </c>
      <c r="C529" s="16" t="str">
        <f t="shared" si="48"/>
        <v/>
      </c>
      <c r="D529" s="16" t="str">
        <f>IF(B529="","",B529/MAX(B$5:B529)-1)</f>
        <v/>
      </c>
      <c r="E529" s="13" t="str">
        <f>IF(OR('实盘净值数据(iFinD）'!$A529="",'实盘净值数据(iFinD）'!$B529=""),"",分期持仓明细!$AB$18*SUMPRODUCT(分期持仓明细!$B$18:$Y$18,'实盘净值数据(iFinD）'!$B529:$Y529/'实盘净值数据(iFinD）'!$B$20:$Y$20)*(1-实盘持仓初始配置!$Z$5)^(('实盘净值数据(iFinD）'!$A529-'实盘净值数据(iFinD）'!$A$5)/365))</f>
        <v/>
      </c>
      <c r="F529" s="16" t="str">
        <f t="shared" si="49"/>
        <v/>
      </c>
      <c r="G529" s="16" t="str">
        <f>IF(E529="","",E529/MAX(E$5:E529)-1)</f>
        <v/>
      </c>
      <c r="H529" s="13" t="str">
        <f>IF(OR('实盘净值数据(iFinD）'!$A529="",'实盘净值数据(iFinD）'!$B529=""),"",分期持仓明细!$AB$19*SUMPRODUCT(分期持仓明细!$B$19:$Y$19,'实盘净值数据(iFinD）'!$B529:$Y529/'实盘净值数据(iFinD）'!$B$20:$Y$20)*(1-实盘持仓初始配置!$Z$6)^(('实盘净值数据(iFinD）'!$A529-'实盘净值数据(iFinD）'!$A$7)/365))</f>
        <v/>
      </c>
      <c r="I529" s="16" t="str">
        <f t="shared" si="50"/>
        <v/>
      </c>
      <c r="J529" s="16" t="str">
        <f>IF(H529="","",H529/MAX(H$5:H529)-1)</f>
        <v/>
      </c>
      <c r="K529" s="13" t="str">
        <f>IF(OR('实盘净值数据(iFinD）'!$A529="",'实盘净值数据(iFinD）'!$B529="",'实盘净值数据(iFinD）'!$Z529="",'实盘净值数据(iFinD）'!$AA529=""),"",分期持仓明细!$AB$23*(SUMPRODUCT(分期持仓明细!$B$23:$Y$23,'实盘净值数据(iFinD）'!$B529:$Y529/'实盘净值数据(iFinD）'!$B$65:$Y$65)+SUMPRODUCT(分期持仓明细!$AC$23:$AD$23,'实盘净值数据(iFinD）'!$Z529:$AA529/'实盘净值数据(iFinD）'!$Z$65:$AA$65))*(1-实盘持仓初始配置!$Z$7)^(('实盘净值数据(iFinD）'!$A529-'实盘净值数据(iFinD）'!$A$8)/365))</f>
        <v/>
      </c>
      <c r="L529" s="16" t="str">
        <f t="shared" si="51"/>
        <v/>
      </c>
      <c r="M529" s="16" t="str">
        <f>IF(K529="","",K529/MAX(K$5:K529)-1)</f>
        <v/>
      </c>
      <c r="N529" s="13" t="str">
        <f>IF(OR('实盘净值数据(iFinD）'!$A529="",'实盘净值数据(iFinD）'!$B529="",'实盘净值数据(iFinD）'!$Z529="",'实盘净值数据(iFinD）'!$AA529=""),"",分期持仓明细!$AB$24*(SUMPRODUCT(分期持仓明细!$B$24:$Y$24,'实盘净值数据(iFinD）'!$B529:$Y529/'实盘净值数据(iFinD）'!$B$65:$Y$65)+SUMPRODUCT(分期持仓明细!$AC$24:$AD$24,'实盘净值数据(iFinD）'!$Z529:$AA529/'实盘净值数据(iFinD）'!$Z$65:$AA$65))*(1-实盘持仓初始配置!$Z$8)^(('实盘净值数据(iFinD）'!$A529-'实盘净值数据(iFinD）'!$A$5)/365))</f>
        <v/>
      </c>
      <c r="O529" s="16" t="str">
        <f t="shared" si="52"/>
        <v/>
      </c>
      <c r="P529" s="16" t="str">
        <f>IF(N529="","",N529/MAX(N$5:N529)-1)</f>
        <v/>
      </c>
      <c r="Q529" s="13" t="str">
        <f>IF(OR('实盘净值数据(iFinD）'!$A529="",'实盘净值数据(iFinD）'!$B529="",'实盘净值数据(iFinD）'!$Z529="",'实盘净值数据(iFinD）'!$AA529=""),"",分期持仓明细!$AB$25*(SUMPRODUCT(分期持仓明细!$B$25:$Y$25,'实盘净值数据(iFinD）'!$B529:$Y529/'实盘净值数据(iFinD）'!$B$65:$Y$65)+SUMPRODUCT(分期持仓明细!$AC$25:$AD$25,'实盘净值数据(iFinD）'!$Z529:$AA529/'实盘净值数据(iFinD）'!$Z$65:$AA$65))*(1-实盘持仓初始配置!$Z$9)^(('实盘净值数据(iFinD）'!$A529-'实盘净值数据(iFinD）'!$A$8)/365))</f>
        <v/>
      </c>
      <c r="R529" s="16" t="str">
        <f t="shared" si="53"/>
        <v/>
      </c>
      <c r="S529" s="16" t="str">
        <f>IF(Q529="","",Q529/MAX(Q$5:Q529)-1)</f>
        <v/>
      </c>
      <c r="T529" s="13">
        <f>IF(OR('实盘净值数据(iFinD）'!$A529="",'实盘净值数据(iFinD）'!$B529="",'实盘净值数据(iFinD）'!$Z529="",'实盘净值数据(iFinD）'!$AA529="",'实盘净值数据(iFinD）'!$AB529="",'实盘净值数据(iFinD）'!$AL529=""),"",(SUMPRODUCT(分期持仓明细!$B$26:$Y$26,'实盘净值数据(iFinD）'!$B529:$Y529/'实盘净值数据(iFinD）'!$B$69:$Y$69)+SUMPRODUCT(分期持仓明细!$AC$26:$AD$26,'实盘净值数据(iFinD）'!$Z529:$AA529/'实盘净值数据(iFinD）'!$Z$69:$AA$69)+SUMPRODUCT(分期持仓明细!$AE$26:$AO$26,'实盘净值数据(iFinD）'!$AB529:$AL529/'实盘净值数据(iFinD）'!$AB$69:$AL$69))*(1-实盘持仓初始配置!$Z$10)^(('实盘净值数据(iFinD）'!$A529-'实盘净值数据(iFinD）'!$A$69)/365))</f>
        <v/>
      </c>
      <c r="U529" s="16">
        <f>IF(OR(T528="",T529=""),"",T529/T528-1)</f>
        <v/>
      </c>
      <c r="V529" s="16">
        <f>IF(T529="","",T529/MAX(T$5:T529)-1)</f>
        <v/>
      </c>
    </row>
    <row r="530" spans="1:19">
      <c r="A530" s="15" t="str">
        <f>IF('实盘净值数据(iFinD）'!A530="","",'实盘净值数据(iFinD）'!A530)</f>
        <v/>
      </c>
      <c r="B530" s="13" t="str">
        <f>IF(OR('实盘净值数据(iFinD）'!$A530="",'实盘净值数据(iFinD）'!$B530=""),"",分期持仓明细!$AB$17*SUMPRODUCT(分期持仓明细!$B$17:$Y$17,'实盘净值数据(iFinD）'!$B530:$Y530/'实盘净值数据(iFinD）'!$B$20:$Y$20)*(1-实盘持仓初始配置!$Z$4)^(('实盘净值数据(iFinD）'!$A530-'实盘净值数据(iFinD）'!$A$6)/365))</f>
        <v/>
      </c>
      <c r="C530" s="16" t="str">
        <f t="shared" si="48"/>
        <v/>
      </c>
      <c r="D530" s="16" t="str">
        <f>IF(B530="","",B530/MAX(B$5:B530)-1)</f>
        <v/>
      </c>
      <c r="E530" s="13" t="str">
        <f>IF(OR('实盘净值数据(iFinD）'!$A530="",'实盘净值数据(iFinD）'!$B530=""),"",分期持仓明细!$AB$18*SUMPRODUCT(分期持仓明细!$B$18:$Y$18,'实盘净值数据(iFinD）'!$B530:$Y530/'实盘净值数据(iFinD）'!$B$20:$Y$20)*(1-实盘持仓初始配置!$Z$5)^(('实盘净值数据(iFinD）'!$A530-'实盘净值数据(iFinD）'!$A$5)/365))</f>
        <v/>
      </c>
      <c r="F530" s="16" t="str">
        <f t="shared" si="49"/>
        <v/>
      </c>
      <c r="G530" s="16" t="str">
        <f>IF(E530="","",E530/MAX(E$5:E530)-1)</f>
        <v/>
      </c>
      <c r="H530" s="13" t="str">
        <f>IF(OR('实盘净值数据(iFinD）'!$A530="",'实盘净值数据(iFinD）'!$B530=""),"",分期持仓明细!$AB$19*SUMPRODUCT(分期持仓明细!$B$19:$Y$19,'实盘净值数据(iFinD）'!$B530:$Y530/'实盘净值数据(iFinD）'!$B$20:$Y$20)*(1-实盘持仓初始配置!$Z$6)^(('实盘净值数据(iFinD）'!$A530-'实盘净值数据(iFinD）'!$A$7)/365))</f>
        <v/>
      </c>
      <c r="I530" s="16" t="str">
        <f t="shared" si="50"/>
        <v/>
      </c>
      <c r="J530" s="16" t="str">
        <f>IF(H530="","",H530/MAX(H$5:H530)-1)</f>
        <v/>
      </c>
      <c r="K530" s="13" t="str">
        <f>IF(OR('实盘净值数据(iFinD）'!$A530="",'实盘净值数据(iFinD）'!$B530="",'实盘净值数据(iFinD）'!$Z530="",'实盘净值数据(iFinD）'!$AA530=""),"",分期持仓明细!$AB$23*(SUMPRODUCT(分期持仓明细!$B$23:$Y$23,'实盘净值数据(iFinD）'!$B530:$Y530/'实盘净值数据(iFinD）'!$B$65:$Y$65)+SUMPRODUCT(分期持仓明细!$AC$23:$AD$23,'实盘净值数据(iFinD）'!$Z530:$AA530/'实盘净值数据(iFinD）'!$Z$65:$AA$65))*(1-实盘持仓初始配置!$Z$7)^(('实盘净值数据(iFinD）'!$A530-'实盘净值数据(iFinD）'!$A$8)/365))</f>
        <v/>
      </c>
      <c r="L530" s="16" t="str">
        <f t="shared" si="51"/>
        <v/>
      </c>
      <c r="M530" s="16" t="str">
        <f>IF(K530="","",K530/MAX(K$5:K530)-1)</f>
        <v/>
      </c>
      <c r="N530" s="13" t="str">
        <f>IF(OR('实盘净值数据(iFinD）'!$A530="",'实盘净值数据(iFinD）'!$B530="",'实盘净值数据(iFinD）'!$Z530="",'实盘净值数据(iFinD）'!$AA530=""),"",分期持仓明细!$AB$24*(SUMPRODUCT(分期持仓明细!$B$24:$Y$24,'实盘净值数据(iFinD）'!$B530:$Y530/'实盘净值数据(iFinD）'!$B$65:$Y$65)+SUMPRODUCT(分期持仓明细!$AC$24:$AD$24,'实盘净值数据(iFinD）'!$Z530:$AA530/'实盘净值数据(iFinD）'!$Z$65:$AA$65))*(1-实盘持仓初始配置!$Z$8)^(('实盘净值数据(iFinD）'!$A530-'实盘净值数据(iFinD）'!$A$5)/365))</f>
        <v/>
      </c>
      <c r="O530" s="16" t="str">
        <f t="shared" si="52"/>
        <v/>
      </c>
      <c r="P530" s="16" t="str">
        <f>IF(N530="","",N530/MAX(N$5:N530)-1)</f>
        <v/>
      </c>
      <c r="Q530" s="13" t="str">
        <f>IF(OR('实盘净值数据(iFinD）'!$A530="",'实盘净值数据(iFinD）'!$B530="",'实盘净值数据(iFinD）'!$Z530="",'实盘净值数据(iFinD）'!$AA530=""),"",分期持仓明细!$AB$25*(SUMPRODUCT(分期持仓明细!$B$25:$Y$25,'实盘净值数据(iFinD）'!$B530:$Y530/'实盘净值数据(iFinD）'!$B$65:$Y$65)+SUMPRODUCT(分期持仓明细!$AC$25:$AD$25,'实盘净值数据(iFinD）'!$Z530:$AA530/'实盘净值数据(iFinD）'!$Z$65:$AA$65))*(1-实盘持仓初始配置!$Z$9)^(('实盘净值数据(iFinD）'!$A530-'实盘净值数据(iFinD）'!$A$8)/365))</f>
        <v/>
      </c>
      <c r="R530" s="16" t="str">
        <f t="shared" si="53"/>
        <v/>
      </c>
      <c r="S530" s="16" t="str">
        <f>IF(Q530="","",Q530/MAX(Q$5:Q530)-1)</f>
        <v/>
      </c>
      <c r="T530" s="13">
        <f>IF(OR('实盘净值数据(iFinD）'!$A530="",'实盘净值数据(iFinD）'!$B530="",'实盘净值数据(iFinD）'!$Z530="",'实盘净值数据(iFinD）'!$AA530="",'实盘净值数据(iFinD）'!$AB530="",'实盘净值数据(iFinD）'!$AL530=""),"",(SUMPRODUCT(分期持仓明细!$B$26:$Y$26,'实盘净值数据(iFinD）'!$B530:$Y530/'实盘净值数据(iFinD）'!$B$69:$Y$69)+SUMPRODUCT(分期持仓明细!$AC$26:$AD$26,'实盘净值数据(iFinD）'!$Z530:$AA530/'实盘净值数据(iFinD）'!$Z$69:$AA$69)+SUMPRODUCT(分期持仓明细!$AE$26:$AO$26,'实盘净值数据(iFinD）'!$AB530:$AL530/'实盘净值数据(iFinD）'!$AB$69:$AL$69))*(1-实盘持仓初始配置!$Z$10)^(('实盘净值数据(iFinD）'!$A530-'实盘净值数据(iFinD）'!$A$69)/365))</f>
        <v/>
      </c>
      <c r="U530" s="16">
        <f>IF(OR(T529="",T530=""),"",T530/T529-1)</f>
        <v/>
      </c>
      <c r="V530" s="16">
        <f>IF(T530="","",T530/MAX(T$5:T530)-1)</f>
        <v/>
      </c>
    </row>
    <row r="531" spans="1:19">
      <c r="A531" s="15" t="str">
        <f>IF('实盘净值数据(iFinD）'!A531="","",'实盘净值数据(iFinD）'!A531)</f>
        <v/>
      </c>
      <c r="B531" s="13" t="str">
        <f>IF(OR('实盘净值数据(iFinD）'!$A531="",'实盘净值数据(iFinD）'!$B531=""),"",分期持仓明细!$AB$17*SUMPRODUCT(分期持仓明细!$B$17:$Y$17,'实盘净值数据(iFinD）'!$B531:$Y531/'实盘净值数据(iFinD）'!$B$20:$Y$20)*(1-实盘持仓初始配置!$Z$4)^(('实盘净值数据(iFinD）'!$A531-'实盘净值数据(iFinD）'!$A$6)/365))</f>
        <v/>
      </c>
      <c r="C531" s="16" t="str">
        <f t="shared" si="48"/>
        <v/>
      </c>
      <c r="D531" s="16" t="str">
        <f>IF(B531="","",B531/MAX(B$5:B531)-1)</f>
        <v/>
      </c>
      <c r="E531" s="13" t="str">
        <f>IF(OR('实盘净值数据(iFinD）'!$A531="",'实盘净值数据(iFinD）'!$B531=""),"",分期持仓明细!$AB$18*SUMPRODUCT(分期持仓明细!$B$18:$Y$18,'实盘净值数据(iFinD）'!$B531:$Y531/'实盘净值数据(iFinD）'!$B$20:$Y$20)*(1-实盘持仓初始配置!$Z$5)^(('实盘净值数据(iFinD）'!$A531-'实盘净值数据(iFinD）'!$A$5)/365))</f>
        <v/>
      </c>
      <c r="F531" s="16" t="str">
        <f t="shared" si="49"/>
        <v/>
      </c>
      <c r="G531" s="16" t="str">
        <f>IF(E531="","",E531/MAX(E$5:E531)-1)</f>
        <v/>
      </c>
      <c r="H531" s="13" t="str">
        <f>IF(OR('实盘净值数据(iFinD）'!$A531="",'实盘净值数据(iFinD）'!$B531=""),"",分期持仓明细!$AB$19*SUMPRODUCT(分期持仓明细!$B$19:$Y$19,'实盘净值数据(iFinD）'!$B531:$Y531/'实盘净值数据(iFinD）'!$B$20:$Y$20)*(1-实盘持仓初始配置!$Z$6)^(('实盘净值数据(iFinD）'!$A531-'实盘净值数据(iFinD）'!$A$7)/365))</f>
        <v/>
      </c>
      <c r="I531" s="16" t="str">
        <f t="shared" si="50"/>
        <v/>
      </c>
      <c r="J531" s="16" t="str">
        <f>IF(H531="","",H531/MAX(H$5:H531)-1)</f>
        <v/>
      </c>
      <c r="K531" s="13" t="str">
        <f>IF(OR('实盘净值数据(iFinD）'!$A531="",'实盘净值数据(iFinD）'!$B531="",'实盘净值数据(iFinD）'!$Z531="",'实盘净值数据(iFinD）'!$AA531=""),"",分期持仓明细!$AB$23*(SUMPRODUCT(分期持仓明细!$B$23:$Y$23,'实盘净值数据(iFinD）'!$B531:$Y531/'实盘净值数据(iFinD）'!$B$65:$Y$65)+SUMPRODUCT(分期持仓明细!$AC$23:$AD$23,'实盘净值数据(iFinD）'!$Z531:$AA531/'实盘净值数据(iFinD）'!$Z$65:$AA$65))*(1-实盘持仓初始配置!$Z$7)^(('实盘净值数据(iFinD）'!$A531-'实盘净值数据(iFinD）'!$A$8)/365))</f>
        <v/>
      </c>
      <c r="L531" s="16" t="str">
        <f t="shared" si="51"/>
        <v/>
      </c>
      <c r="M531" s="16" t="str">
        <f>IF(K531="","",K531/MAX(K$5:K531)-1)</f>
        <v/>
      </c>
      <c r="N531" s="13" t="str">
        <f>IF(OR('实盘净值数据(iFinD）'!$A531="",'实盘净值数据(iFinD）'!$B531="",'实盘净值数据(iFinD）'!$Z531="",'实盘净值数据(iFinD）'!$AA531=""),"",分期持仓明细!$AB$24*(SUMPRODUCT(分期持仓明细!$B$24:$Y$24,'实盘净值数据(iFinD）'!$B531:$Y531/'实盘净值数据(iFinD）'!$B$65:$Y$65)+SUMPRODUCT(分期持仓明细!$AC$24:$AD$24,'实盘净值数据(iFinD）'!$Z531:$AA531/'实盘净值数据(iFinD）'!$Z$65:$AA$65))*(1-实盘持仓初始配置!$Z$8)^(('实盘净值数据(iFinD）'!$A531-'实盘净值数据(iFinD）'!$A$5)/365))</f>
        <v/>
      </c>
      <c r="O531" s="16" t="str">
        <f t="shared" si="52"/>
        <v/>
      </c>
      <c r="P531" s="16" t="str">
        <f>IF(N531="","",N531/MAX(N$5:N531)-1)</f>
        <v/>
      </c>
      <c r="Q531" s="13" t="str">
        <f>IF(OR('实盘净值数据(iFinD）'!$A531="",'实盘净值数据(iFinD）'!$B531="",'实盘净值数据(iFinD）'!$Z531="",'实盘净值数据(iFinD）'!$AA531=""),"",分期持仓明细!$AB$25*(SUMPRODUCT(分期持仓明细!$B$25:$Y$25,'实盘净值数据(iFinD）'!$B531:$Y531/'实盘净值数据(iFinD）'!$B$65:$Y$65)+SUMPRODUCT(分期持仓明细!$AC$25:$AD$25,'实盘净值数据(iFinD）'!$Z531:$AA531/'实盘净值数据(iFinD）'!$Z$65:$AA$65))*(1-实盘持仓初始配置!$Z$9)^(('实盘净值数据(iFinD）'!$A531-'实盘净值数据(iFinD）'!$A$8)/365))</f>
        <v/>
      </c>
      <c r="R531" s="16" t="str">
        <f t="shared" si="53"/>
        <v/>
      </c>
      <c r="S531" s="16" t="str">
        <f>IF(Q531="","",Q531/MAX(Q$5:Q531)-1)</f>
        <v/>
      </c>
      <c r="T531" s="13">
        <f>IF(OR('实盘净值数据(iFinD）'!$A531="",'实盘净值数据(iFinD）'!$B531="",'实盘净值数据(iFinD）'!$Z531="",'实盘净值数据(iFinD）'!$AA531="",'实盘净值数据(iFinD）'!$AB531="",'实盘净值数据(iFinD）'!$AL531=""),"",(SUMPRODUCT(分期持仓明细!$B$26:$Y$26,'实盘净值数据(iFinD）'!$B531:$Y531/'实盘净值数据(iFinD）'!$B$69:$Y$69)+SUMPRODUCT(分期持仓明细!$AC$26:$AD$26,'实盘净值数据(iFinD）'!$Z531:$AA531/'实盘净值数据(iFinD）'!$Z$69:$AA$69)+SUMPRODUCT(分期持仓明细!$AE$26:$AO$26,'实盘净值数据(iFinD）'!$AB531:$AL531/'实盘净值数据(iFinD）'!$AB$69:$AL$69))*(1-实盘持仓初始配置!$Z$10)^(('实盘净值数据(iFinD）'!$A531-'实盘净值数据(iFinD）'!$A$69)/365))</f>
        <v/>
      </c>
      <c r="U531" s="16">
        <f>IF(OR(T530="",T531=""),"",T531/T530-1)</f>
        <v/>
      </c>
      <c r="V531" s="16">
        <f>IF(T531="","",T531/MAX(T$5:T531)-1)</f>
        <v/>
      </c>
    </row>
    <row r="532" spans="1:19">
      <c r="A532" s="15" t="str">
        <f>IF('实盘净值数据(iFinD）'!A532="","",'实盘净值数据(iFinD）'!A532)</f>
        <v/>
      </c>
      <c r="B532" s="13" t="str">
        <f>IF(OR('实盘净值数据(iFinD）'!$A532="",'实盘净值数据(iFinD）'!$B532=""),"",分期持仓明细!$AB$17*SUMPRODUCT(分期持仓明细!$B$17:$Y$17,'实盘净值数据(iFinD）'!$B532:$Y532/'实盘净值数据(iFinD）'!$B$20:$Y$20)*(1-实盘持仓初始配置!$Z$4)^(('实盘净值数据(iFinD）'!$A532-'实盘净值数据(iFinD）'!$A$6)/365))</f>
        <v/>
      </c>
      <c r="C532" s="16" t="str">
        <f t="shared" si="48"/>
        <v/>
      </c>
      <c r="D532" s="16" t="str">
        <f>IF(B532="","",B532/MAX(B$5:B532)-1)</f>
        <v/>
      </c>
      <c r="E532" s="13" t="str">
        <f>IF(OR('实盘净值数据(iFinD）'!$A532="",'实盘净值数据(iFinD）'!$B532=""),"",分期持仓明细!$AB$18*SUMPRODUCT(分期持仓明细!$B$18:$Y$18,'实盘净值数据(iFinD）'!$B532:$Y532/'实盘净值数据(iFinD）'!$B$20:$Y$20)*(1-实盘持仓初始配置!$Z$5)^(('实盘净值数据(iFinD）'!$A532-'实盘净值数据(iFinD）'!$A$5)/365))</f>
        <v/>
      </c>
      <c r="F532" s="16" t="str">
        <f t="shared" si="49"/>
        <v/>
      </c>
      <c r="G532" s="16" t="str">
        <f>IF(E532="","",E532/MAX(E$5:E532)-1)</f>
        <v/>
      </c>
      <c r="H532" s="13" t="str">
        <f>IF(OR('实盘净值数据(iFinD）'!$A532="",'实盘净值数据(iFinD）'!$B532=""),"",分期持仓明细!$AB$19*SUMPRODUCT(分期持仓明细!$B$19:$Y$19,'实盘净值数据(iFinD）'!$B532:$Y532/'实盘净值数据(iFinD）'!$B$20:$Y$20)*(1-实盘持仓初始配置!$Z$6)^(('实盘净值数据(iFinD）'!$A532-'实盘净值数据(iFinD）'!$A$7)/365))</f>
        <v/>
      </c>
      <c r="I532" s="16" t="str">
        <f t="shared" si="50"/>
        <v/>
      </c>
      <c r="J532" s="16" t="str">
        <f>IF(H532="","",H532/MAX(H$5:H532)-1)</f>
        <v/>
      </c>
      <c r="K532" s="13" t="str">
        <f>IF(OR('实盘净值数据(iFinD）'!$A532="",'实盘净值数据(iFinD）'!$B532="",'实盘净值数据(iFinD）'!$Z532="",'实盘净值数据(iFinD）'!$AA532=""),"",分期持仓明细!$AB$23*(SUMPRODUCT(分期持仓明细!$B$23:$Y$23,'实盘净值数据(iFinD）'!$B532:$Y532/'实盘净值数据(iFinD）'!$B$65:$Y$65)+SUMPRODUCT(分期持仓明细!$AC$23:$AD$23,'实盘净值数据(iFinD）'!$Z532:$AA532/'实盘净值数据(iFinD）'!$Z$65:$AA$65))*(1-实盘持仓初始配置!$Z$7)^(('实盘净值数据(iFinD）'!$A532-'实盘净值数据(iFinD）'!$A$8)/365))</f>
        <v/>
      </c>
      <c r="L532" s="16" t="str">
        <f t="shared" si="51"/>
        <v/>
      </c>
      <c r="M532" s="16" t="str">
        <f>IF(K532="","",K532/MAX(K$5:K532)-1)</f>
        <v/>
      </c>
      <c r="N532" s="13" t="str">
        <f>IF(OR('实盘净值数据(iFinD）'!$A532="",'实盘净值数据(iFinD）'!$B532="",'实盘净值数据(iFinD）'!$Z532="",'实盘净值数据(iFinD）'!$AA532=""),"",分期持仓明细!$AB$24*(SUMPRODUCT(分期持仓明细!$B$24:$Y$24,'实盘净值数据(iFinD）'!$B532:$Y532/'实盘净值数据(iFinD）'!$B$65:$Y$65)+SUMPRODUCT(分期持仓明细!$AC$24:$AD$24,'实盘净值数据(iFinD）'!$Z532:$AA532/'实盘净值数据(iFinD）'!$Z$65:$AA$65))*(1-实盘持仓初始配置!$Z$8)^(('实盘净值数据(iFinD）'!$A532-'实盘净值数据(iFinD）'!$A$5)/365))</f>
        <v/>
      </c>
      <c r="O532" s="16" t="str">
        <f t="shared" si="52"/>
        <v/>
      </c>
      <c r="P532" s="16" t="str">
        <f>IF(N532="","",N532/MAX(N$5:N532)-1)</f>
        <v/>
      </c>
      <c r="Q532" s="13" t="str">
        <f>IF(OR('实盘净值数据(iFinD）'!$A532="",'实盘净值数据(iFinD）'!$B532="",'实盘净值数据(iFinD）'!$Z532="",'实盘净值数据(iFinD）'!$AA532=""),"",分期持仓明细!$AB$25*(SUMPRODUCT(分期持仓明细!$B$25:$Y$25,'实盘净值数据(iFinD）'!$B532:$Y532/'实盘净值数据(iFinD）'!$B$65:$Y$65)+SUMPRODUCT(分期持仓明细!$AC$25:$AD$25,'实盘净值数据(iFinD）'!$Z532:$AA532/'实盘净值数据(iFinD）'!$Z$65:$AA$65))*(1-实盘持仓初始配置!$Z$9)^(('实盘净值数据(iFinD）'!$A532-'实盘净值数据(iFinD）'!$A$8)/365))</f>
        <v/>
      </c>
      <c r="R532" s="16" t="str">
        <f t="shared" si="53"/>
        <v/>
      </c>
      <c r="S532" s="16" t="str">
        <f>IF(Q532="","",Q532/MAX(Q$5:Q532)-1)</f>
        <v/>
      </c>
      <c r="T532" s="13">
        <f>IF(OR('实盘净值数据(iFinD）'!$A532="",'实盘净值数据(iFinD）'!$B532="",'实盘净值数据(iFinD）'!$Z532="",'实盘净值数据(iFinD）'!$AA532="",'实盘净值数据(iFinD）'!$AB532="",'实盘净值数据(iFinD）'!$AL532=""),"",(SUMPRODUCT(分期持仓明细!$B$26:$Y$26,'实盘净值数据(iFinD）'!$B532:$Y532/'实盘净值数据(iFinD）'!$B$69:$Y$69)+SUMPRODUCT(分期持仓明细!$AC$26:$AD$26,'实盘净值数据(iFinD）'!$Z532:$AA532/'实盘净值数据(iFinD）'!$Z$69:$AA$69)+SUMPRODUCT(分期持仓明细!$AE$26:$AO$26,'实盘净值数据(iFinD）'!$AB532:$AL532/'实盘净值数据(iFinD）'!$AB$69:$AL$69))*(1-实盘持仓初始配置!$Z$10)^(('实盘净值数据(iFinD）'!$A532-'实盘净值数据(iFinD）'!$A$69)/365))</f>
        <v/>
      </c>
      <c r="U532" s="16">
        <f>IF(OR(T531="",T532=""),"",T532/T531-1)</f>
        <v/>
      </c>
      <c r="V532" s="16">
        <f>IF(T532="","",T532/MAX(T$5:T532)-1)</f>
        <v/>
      </c>
    </row>
    <row r="533" spans="1:19">
      <c r="A533" s="15" t="str">
        <f>IF('实盘净值数据(iFinD）'!A533="","",'实盘净值数据(iFinD）'!A533)</f>
        <v/>
      </c>
      <c r="B533" s="13" t="str">
        <f>IF(OR('实盘净值数据(iFinD）'!$A533="",'实盘净值数据(iFinD）'!$B533=""),"",分期持仓明细!$AB$17*SUMPRODUCT(分期持仓明细!$B$17:$Y$17,'实盘净值数据(iFinD）'!$B533:$Y533/'实盘净值数据(iFinD）'!$B$20:$Y$20)*(1-实盘持仓初始配置!$Z$4)^(('实盘净值数据(iFinD）'!$A533-'实盘净值数据(iFinD）'!$A$6)/365))</f>
        <v/>
      </c>
      <c r="C533" s="16" t="str">
        <f t="shared" si="48"/>
        <v/>
      </c>
      <c r="D533" s="16" t="str">
        <f>IF(B533="","",B533/MAX(B$5:B533)-1)</f>
        <v/>
      </c>
      <c r="E533" s="13" t="str">
        <f>IF(OR('实盘净值数据(iFinD）'!$A533="",'实盘净值数据(iFinD）'!$B533=""),"",分期持仓明细!$AB$18*SUMPRODUCT(分期持仓明细!$B$18:$Y$18,'实盘净值数据(iFinD）'!$B533:$Y533/'实盘净值数据(iFinD）'!$B$20:$Y$20)*(1-实盘持仓初始配置!$Z$5)^(('实盘净值数据(iFinD）'!$A533-'实盘净值数据(iFinD）'!$A$5)/365))</f>
        <v/>
      </c>
      <c r="F533" s="16" t="str">
        <f t="shared" si="49"/>
        <v/>
      </c>
      <c r="G533" s="16" t="str">
        <f>IF(E533="","",E533/MAX(E$5:E533)-1)</f>
        <v/>
      </c>
      <c r="H533" s="13" t="str">
        <f>IF(OR('实盘净值数据(iFinD）'!$A533="",'实盘净值数据(iFinD）'!$B533=""),"",分期持仓明细!$AB$19*SUMPRODUCT(分期持仓明细!$B$19:$Y$19,'实盘净值数据(iFinD）'!$B533:$Y533/'实盘净值数据(iFinD）'!$B$20:$Y$20)*(1-实盘持仓初始配置!$Z$6)^(('实盘净值数据(iFinD）'!$A533-'实盘净值数据(iFinD）'!$A$7)/365))</f>
        <v/>
      </c>
      <c r="I533" s="16" t="str">
        <f t="shared" si="50"/>
        <v/>
      </c>
      <c r="J533" s="16" t="str">
        <f>IF(H533="","",H533/MAX(H$5:H533)-1)</f>
        <v/>
      </c>
      <c r="K533" s="13" t="str">
        <f>IF(OR('实盘净值数据(iFinD）'!$A533="",'实盘净值数据(iFinD）'!$B533="",'实盘净值数据(iFinD）'!$Z533="",'实盘净值数据(iFinD）'!$AA533=""),"",分期持仓明细!$AB$23*(SUMPRODUCT(分期持仓明细!$B$23:$Y$23,'实盘净值数据(iFinD）'!$B533:$Y533/'实盘净值数据(iFinD）'!$B$65:$Y$65)+SUMPRODUCT(分期持仓明细!$AC$23:$AD$23,'实盘净值数据(iFinD）'!$Z533:$AA533/'实盘净值数据(iFinD）'!$Z$65:$AA$65))*(1-实盘持仓初始配置!$Z$7)^(('实盘净值数据(iFinD）'!$A533-'实盘净值数据(iFinD）'!$A$8)/365))</f>
        <v/>
      </c>
      <c r="L533" s="16" t="str">
        <f t="shared" si="51"/>
        <v/>
      </c>
      <c r="M533" s="16" t="str">
        <f>IF(K533="","",K533/MAX(K$5:K533)-1)</f>
        <v/>
      </c>
      <c r="N533" s="13" t="str">
        <f>IF(OR('实盘净值数据(iFinD）'!$A533="",'实盘净值数据(iFinD）'!$B533="",'实盘净值数据(iFinD）'!$Z533="",'实盘净值数据(iFinD）'!$AA533=""),"",分期持仓明细!$AB$24*(SUMPRODUCT(分期持仓明细!$B$24:$Y$24,'实盘净值数据(iFinD）'!$B533:$Y533/'实盘净值数据(iFinD）'!$B$65:$Y$65)+SUMPRODUCT(分期持仓明细!$AC$24:$AD$24,'实盘净值数据(iFinD）'!$Z533:$AA533/'实盘净值数据(iFinD）'!$Z$65:$AA$65))*(1-实盘持仓初始配置!$Z$8)^(('实盘净值数据(iFinD）'!$A533-'实盘净值数据(iFinD）'!$A$5)/365))</f>
        <v/>
      </c>
      <c r="O533" s="16" t="str">
        <f t="shared" si="52"/>
        <v/>
      </c>
      <c r="P533" s="16" t="str">
        <f>IF(N533="","",N533/MAX(N$5:N533)-1)</f>
        <v/>
      </c>
      <c r="Q533" s="13" t="str">
        <f>IF(OR('实盘净值数据(iFinD）'!$A533="",'实盘净值数据(iFinD）'!$B533="",'实盘净值数据(iFinD）'!$Z533="",'实盘净值数据(iFinD）'!$AA533=""),"",分期持仓明细!$AB$25*(SUMPRODUCT(分期持仓明细!$B$25:$Y$25,'实盘净值数据(iFinD）'!$B533:$Y533/'实盘净值数据(iFinD）'!$B$65:$Y$65)+SUMPRODUCT(分期持仓明细!$AC$25:$AD$25,'实盘净值数据(iFinD）'!$Z533:$AA533/'实盘净值数据(iFinD）'!$Z$65:$AA$65))*(1-实盘持仓初始配置!$Z$9)^(('实盘净值数据(iFinD）'!$A533-'实盘净值数据(iFinD）'!$A$8)/365))</f>
        <v/>
      </c>
      <c r="R533" s="16" t="str">
        <f t="shared" si="53"/>
        <v/>
      </c>
      <c r="S533" s="16" t="str">
        <f>IF(Q533="","",Q533/MAX(Q$5:Q533)-1)</f>
        <v/>
      </c>
      <c r="T533" s="13">
        <f>IF(OR('实盘净值数据(iFinD）'!$A533="",'实盘净值数据(iFinD）'!$B533="",'实盘净值数据(iFinD）'!$Z533="",'实盘净值数据(iFinD）'!$AA533="",'实盘净值数据(iFinD）'!$AB533="",'实盘净值数据(iFinD）'!$AL533=""),"",(SUMPRODUCT(分期持仓明细!$B$26:$Y$26,'实盘净值数据(iFinD）'!$B533:$Y533/'实盘净值数据(iFinD）'!$B$69:$Y$69)+SUMPRODUCT(分期持仓明细!$AC$26:$AD$26,'实盘净值数据(iFinD）'!$Z533:$AA533/'实盘净值数据(iFinD）'!$Z$69:$AA$69)+SUMPRODUCT(分期持仓明细!$AE$26:$AO$26,'实盘净值数据(iFinD）'!$AB533:$AL533/'实盘净值数据(iFinD）'!$AB$69:$AL$69))*(1-实盘持仓初始配置!$Z$10)^(('实盘净值数据(iFinD）'!$A533-'实盘净值数据(iFinD）'!$A$69)/365))</f>
        <v/>
      </c>
      <c r="U533" s="16">
        <f>IF(OR(T532="",T533=""),"",T533/T532-1)</f>
        <v/>
      </c>
      <c r="V533" s="16">
        <f>IF(T533="","",T533/MAX(T$5:T533)-1)</f>
        <v/>
      </c>
    </row>
    <row r="534" spans="1:19">
      <c r="A534" s="15" t="str">
        <f>IF('实盘净值数据(iFinD）'!A534="","",'实盘净值数据(iFinD）'!A534)</f>
        <v/>
      </c>
      <c r="B534" s="13" t="str">
        <f>IF(OR('实盘净值数据(iFinD）'!$A534="",'实盘净值数据(iFinD）'!$B534=""),"",分期持仓明细!$AB$17*SUMPRODUCT(分期持仓明细!$B$17:$Y$17,'实盘净值数据(iFinD）'!$B534:$Y534/'实盘净值数据(iFinD）'!$B$20:$Y$20)*(1-实盘持仓初始配置!$Z$4)^(('实盘净值数据(iFinD）'!$A534-'实盘净值数据(iFinD）'!$A$6)/365))</f>
        <v/>
      </c>
      <c r="C534" s="16" t="str">
        <f t="shared" si="48"/>
        <v/>
      </c>
      <c r="D534" s="16" t="str">
        <f>IF(B534="","",B534/MAX(B$5:B534)-1)</f>
        <v/>
      </c>
      <c r="E534" s="13" t="str">
        <f>IF(OR('实盘净值数据(iFinD）'!$A534="",'实盘净值数据(iFinD）'!$B534=""),"",分期持仓明细!$AB$18*SUMPRODUCT(分期持仓明细!$B$18:$Y$18,'实盘净值数据(iFinD）'!$B534:$Y534/'实盘净值数据(iFinD）'!$B$20:$Y$20)*(1-实盘持仓初始配置!$Z$5)^(('实盘净值数据(iFinD）'!$A534-'实盘净值数据(iFinD）'!$A$5)/365))</f>
        <v/>
      </c>
      <c r="F534" s="16" t="str">
        <f t="shared" si="49"/>
        <v/>
      </c>
      <c r="G534" s="16" t="str">
        <f>IF(E534="","",E534/MAX(E$5:E534)-1)</f>
        <v/>
      </c>
      <c r="H534" s="13" t="str">
        <f>IF(OR('实盘净值数据(iFinD）'!$A534="",'实盘净值数据(iFinD）'!$B534=""),"",分期持仓明细!$AB$19*SUMPRODUCT(分期持仓明细!$B$19:$Y$19,'实盘净值数据(iFinD）'!$B534:$Y534/'实盘净值数据(iFinD）'!$B$20:$Y$20)*(1-实盘持仓初始配置!$Z$6)^(('实盘净值数据(iFinD）'!$A534-'实盘净值数据(iFinD）'!$A$7)/365))</f>
        <v/>
      </c>
      <c r="I534" s="16" t="str">
        <f t="shared" si="50"/>
        <v/>
      </c>
      <c r="J534" s="16" t="str">
        <f>IF(H534="","",H534/MAX(H$5:H534)-1)</f>
        <v/>
      </c>
      <c r="K534" s="13" t="str">
        <f>IF(OR('实盘净值数据(iFinD）'!$A534="",'实盘净值数据(iFinD）'!$B534="",'实盘净值数据(iFinD）'!$Z534="",'实盘净值数据(iFinD）'!$AA534=""),"",分期持仓明细!$AB$23*(SUMPRODUCT(分期持仓明细!$B$23:$Y$23,'实盘净值数据(iFinD）'!$B534:$Y534/'实盘净值数据(iFinD）'!$B$65:$Y$65)+SUMPRODUCT(分期持仓明细!$AC$23:$AD$23,'实盘净值数据(iFinD）'!$Z534:$AA534/'实盘净值数据(iFinD）'!$Z$65:$AA$65))*(1-实盘持仓初始配置!$Z$7)^(('实盘净值数据(iFinD）'!$A534-'实盘净值数据(iFinD）'!$A$8)/365))</f>
        <v/>
      </c>
      <c r="L534" s="16" t="str">
        <f t="shared" si="51"/>
        <v/>
      </c>
      <c r="M534" s="16" t="str">
        <f>IF(K534="","",K534/MAX(K$5:K534)-1)</f>
        <v/>
      </c>
      <c r="N534" s="13" t="str">
        <f>IF(OR('实盘净值数据(iFinD）'!$A534="",'实盘净值数据(iFinD）'!$B534="",'实盘净值数据(iFinD）'!$Z534="",'实盘净值数据(iFinD）'!$AA534=""),"",分期持仓明细!$AB$24*(SUMPRODUCT(分期持仓明细!$B$24:$Y$24,'实盘净值数据(iFinD）'!$B534:$Y534/'实盘净值数据(iFinD）'!$B$65:$Y$65)+SUMPRODUCT(分期持仓明细!$AC$24:$AD$24,'实盘净值数据(iFinD）'!$Z534:$AA534/'实盘净值数据(iFinD）'!$Z$65:$AA$65))*(1-实盘持仓初始配置!$Z$8)^(('实盘净值数据(iFinD）'!$A534-'实盘净值数据(iFinD）'!$A$5)/365))</f>
        <v/>
      </c>
      <c r="O534" s="16" t="str">
        <f t="shared" si="52"/>
        <v/>
      </c>
      <c r="P534" s="16" t="str">
        <f>IF(N534="","",N534/MAX(N$5:N534)-1)</f>
        <v/>
      </c>
      <c r="Q534" s="13" t="str">
        <f>IF(OR('实盘净值数据(iFinD）'!$A534="",'实盘净值数据(iFinD）'!$B534="",'实盘净值数据(iFinD）'!$Z534="",'实盘净值数据(iFinD）'!$AA534=""),"",分期持仓明细!$AB$25*(SUMPRODUCT(分期持仓明细!$B$25:$Y$25,'实盘净值数据(iFinD）'!$B534:$Y534/'实盘净值数据(iFinD）'!$B$65:$Y$65)+SUMPRODUCT(分期持仓明细!$AC$25:$AD$25,'实盘净值数据(iFinD）'!$Z534:$AA534/'实盘净值数据(iFinD）'!$Z$65:$AA$65))*(1-实盘持仓初始配置!$Z$9)^(('实盘净值数据(iFinD）'!$A534-'实盘净值数据(iFinD）'!$A$8)/365))</f>
        <v/>
      </c>
      <c r="R534" s="16" t="str">
        <f t="shared" si="53"/>
        <v/>
      </c>
      <c r="S534" s="16" t="str">
        <f>IF(Q534="","",Q534/MAX(Q$5:Q534)-1)</f>
        <v/>
      </c>
      <c r="T534" s="13">
        <f>IF(OR('实盘净值数据(iFinD）'!$A534="",'实盘净值数据(iFinD）'!$B534="",'实盘净值数据(iFinD）'!$Z534="",'实盘净值数据(iFinD）'!$AA534="",'实盘净值数据(iFinD）'!$AB534="",'实盘净值数据(iFinD）'!$AL534=""),"",(SUMPRODUCT(分期持仓明细!$B$26:$Y$26,'实盘净值数据(iFinD）'!$B534:$Y534/'实盘净值数据(iFinD）'!$B$69:$Y$69)+SUMPRODUCT(分期持仓明细!$AC$26:$AD$26,'实盘净值数据(iFinD）'!$Z534:$AA534/'实盘净值数据(iFinD）'!$Z$69:$AA$69)+SUMPRODUCT(分期持仓明细!$AE$26:$AO$26,'实盘净值数据(iFinD）'!$AB534:$AL534/'实盘净值数据(iFinD）'!$AB$69:$AL$69))*(1-实盘持仓初始配置!$Z$10)^(('实盘净值数据(iFinD）'!$A534-'实盘净值数据(iFinD）'!$A$69)/365))</f>
        <v/>
      </c>
      <c r="U534" s="16">
        <f>IF(OR(T533="",T534=""),"",T534/T533-1)</f>
        <v/>
      </c>
      <c r="V534" s="16">
        <f>IF(T534="","",T534/MAX(T$5:T534)-1)</f>
        <v/>
      </c>
    </row>
    <row r="535" spans="1:19">
      <c r="A535" s="15" t="str">
        <f>IF('实盘净值数据(iFinD）'!A535="","",'实盘净值数据(iFinD）'!A535)</f>
        <v/>
      </c>
      <c r="B535" s="13" t="str">
        <f>IF(OR('实盘净值数据(iFinD）'!$A535="",'实盘净值数据(iFinD）'!$B535=""),"",分期持仓明细!$AB$17*SUMPRODUCT(分期持仓明细!$B$17:$Y$17,'实盘净值数据(iFinD）'!$B535:$Y535/'实盘净值数据(iFinD）'!$B$20:$Y$20)*(1-实盘持仓初始配置!$Z$4)^(('实盘净值数据(iFinD）'!$A535-'实盘净值数据(iFinD）'!$A$6)/365))</f>
        <v/>
      </c>
      <c r="C535" s="16" t="str">
        <f t="shared" si="48"/>
        <v/>
      </c>
      <c r="D535" s="16" t="str">
        <f>IF(B535="","",B535/MAX(B$5:B535)-1)</f>
        <v/>
      </c>
      <c r="E535" s="13" t="str">
        <f>IF(OR('实盘净值数据(iFinD）'!$A535="",'实盘净值数据(iFinD）'!$B535=""),"",分期持仓明细!$AB$18*SUMPRODUCT(分期持仓明细!$B$18:$Y$18,'实盘净值数据(iFinD）'!$B535:$Y535/'实盘净值数据(iFinD）'!$B$20:$Y$20)*(1-实盘持仓初始配置!$Z$5)^(('实盘净值数据(iFinD）'!$A535-'实盘净值数据(iFinD）'!$A$5)/365))</f>
        <v/>
      </c>
      <c r="F535" s="16" t="str">
        <f t="shared" si="49"/>
        <v/>
      </c>
      <c r="G535" s="16" t="str">
        <f>IF(E535="","",E535/MAX(E$5:E535)-1)</f>
        <v/>
      </c>
      <c r="H535" s="13" t="str">
        <f>IF(OR('实盘净值数据(iFinD）'!$A535="",'实盘净值数据(iFinD）'!$B535=""),"",分期持仓明细!$AB$19*SUMPRODUCT(分期持仓明细!$B$19:$Y$19,'实盘净值数据(iFinD）'!$B535:$Y535/'实盘净值数据(iFinD）'!$B$20:$Y$20)*(1-实盘持仓初始配置!$Z$6)^(('实盘净值数据(iFinD）'!$A535-'实盘净值数据(iFinD）'!$A$7)/365))</f>
        <v/>
      </c>
      <c r="I535" s="16" t="str">
        <f t="shared" si="50"/>
        <v/>
      </c>
      <c r="J535" s="16" t="str">
        <f>IF(H535="","",H535/MAX(H$5:H535)-1)</f>
        <v/>
      </c>
      <c r="K535" s="13" t="str">
        <f>IF(OR('实盘净值数据(iFinD）'!$A535="",'实盘净值数据(iFinD）'!$B535="",'实盘净值数据(iFinD）'!$Z535="",'实盘净值数据(iFinD）'!$AA535=""),"",分期持仓明细!$AB$23*(SUMPRODUCT(分期持仓明细!$B$23:$Y$23,'实盘净值数据(iFinD）'!$B535:$Y535/'实盘净值数据(iFinD）'!$B$65:$Y$65)+SUMPRODUCT(分期持仓明细!$AC$23:$AD$23,'实盘净值数据(iFinD）'!$Z535:$AA535/'实盘净值数据(iFinD）'!$Z$65:$AA$65))*(1-实盘持仓初始配置!$Z$7)^(('实盘净值数据(iFinD）'!$A535-'实盘净值数据(iFinD）'!$A$8)/365))</f>
        <v/>
      </c>
      <c r="L535" s="16" t="str">
        <f t="shared" si="51"/>
        <v/>
      </c>
      <c r="M535" s="16" t="str">
        <f>IF(K535="","",K535/MAX(K$5:K535)-1)</f>
        <v/>
      </c>
      <c r="N535" s="13" t="str">
        <f>IF(OR('实盘净值数据(iFinD）'!$A535="",'实盘净值数据(iFinD）'!$B535="",'实盘净值数据(iFinD）'!$Z535="",'实盘净值数据(iFinD）'!$AA535=""),"",分期持仓明细!$AB$24*(SUMPRODUCT(分期持仓明细!$B$24:$Y$24,'实盘净值数据(iFinD）'!$B535:$Y535/'实盘净值数据(iFinD）'!$B$65:$Y$65)+SUMPRODUCT(分期持仓明细!$AC$24:$AD$24,'实盘净值数据(iFinD）'!$Z535:$AA535/'实盘净值数据(iFinD）'!$Z$65:$AA$65))*(1-实盘持仓初始配置!$Z$8)^(('实盘净值数据(iFinD）'!$A535-'实盘净值数据(iFinD）'!$A$5)/365))</f>
        <v/>
      </c>
      <c r="O535" s="16" t="str">
        <f t="shared" si="52"/>
        <v/>
      </c>
      <c r="P535" s="16" t="str">
        <f>IF(N535="","",N535/MAX(N$5:N535)-1)</f>
        <v/>
      </c>
      <c r="Q535" s="13" t="str">
        <f>IF(OR('实盘净值数据(iFinD）'!$A535="",'实盘净值数据(iFinD）'!$B535="",'实盘净值数据(iFinD）'!$Z535="",'实盘净值数据(iFinD）'!$AA535=""),"",分期持仓明细!$AB$25*(SUMPRODUCT(分期持仓明细!$B$25:$Y$25,'实盘净值数据(iFinD）'!$B535:$Y535/'实盘净值数据(iFinD）'!$B$65:$Y$65)+SUMPRODUCT(分期持仓明细!$AC$25:$AD$25,'实盘净值数据(iFinD）'!$Z535:$AA535/'实盘净值数据(iFinD）'!$Z$65:$AA$65))*(1-实盘持仓初始配置!$Z$9)^(('实盘净值数据(iFinD）'!$A535-'实盘净值数据(iFinD）'!$A$8)/365))</f>
        <v/>
      </c>
      <c r="R535" s="16" t="str">
        <f t="shared" si="53"/>
        <v/>
      </c>
      <c r="S535" s="16" t="str">
        <f>IF(Q535="","",Q535/MAX(Q$5:Q535)-1)</f>
        <v/>
      </c>
      <c r="T535" s="13">
        <f>IF(OR('实盘净值数据(iFinD）'!$A535="",'实盘净值数据(iFinD）'!$B535="",'实盘净值数据(iFinD）'!$Z535="",'实盘净值数据(iFinD）'!$AA535="",'实盘净值数据(iFinD）'!$AB535="",'实盘净值数据(iFinD）'!$AL535=""),"",(SUMPRODUCT(分期持仓明细!$B$26:$Y$26,'实盘净值数据(iFinD）'!$B535:$Y535/'实盘净值数据(iFinD）'!$B$69:$Y$69)+SUMPRODUCT(分期持仓明细!$AC$26:$AD$26,'实盘净值数据(iFinD）'!$Z535:$AA535/'实盘净值数据(iFinD）'!$Z$69:$AA$69)+SUMPRODUCT(分期持仓明细!$AE$26:$AO$26,'实盘净值数据(iFinD）'!$AB535:$AL535/'实盘净值数据(iFinD）'!$AB$69:$AL$69))*(1-实盘持仓初始配置!$Z$10)^(('实盘净值数据(iFinD）'!$A535-'实盘净值数据(iFinD）'!$A$69)/365))</f>
        <v/>
      </c>
      <c r="U535" s="16">
        <f>IF(OR(T534="",T535=""),"",T535/T534-1)</f>
        <v/>
      </c>
      <c r="V535" s="16">
        <f>IF(T535="","",T535/MAX(T$5:T535)-1)</f>
        <v/>
      </c>
    </row>
    <row r="536" spans="1:19">
      <c r="A536" s="15" t="str">
        <f>IF('实盘净值数据(iFinD）'!A536="","",'实盘净值数据(iFinD）'!A536)</f>
        <v/>
      </c>
      <c r="B536" s="13" t="str">
        <f>IF(OR('实盘净值数据(iFinD）'!$A536="",'实盘净值数据(iFinD）'!$B536=""),"",分期持仓明细!$AB$17*SUMPRODUCT(分期持仓明细!$B$17:$Y$17,'实盘净值数据(iFinD）'!$B536:$Y536/'实盘净值数据(iFinD）'!$B$20:$Y$20)*(1-实盘持仓初始配置!$Z$4)^(('实盘净值数据(iFinD）'!$A536-'实盘净值数据(iFinD）'!$A$6)/365))</f>
        <v/>
      </c>
      <c r="C536" s="16" t="str">
        <f t="shared" si="48"/>
        <v/>
      </c>
      <c r="D536" s="16" t="str">
        <f>IF(B536="","",B536/MAX(B$5:B536)-1)</f>
        <v/>
      </c>
      <c r="E536" s="13" t="str">
        <f>IF(OR('实盘净值数据(iFinD）'!$A536="",'实盘净值数据(iFinD）'!$B536=""),"",分期持仓明细!$AB$18*SUMPRODUCT(分期持仓明细!$B$18:$Y$18,'实盘净值数据(iFinD）'!$B536:$Y536/'实盘净值数据(iFinD）'!$B$20:$Y$20)*(1-实盘持仓初始配置!$Z$5)^(('实盘净值数据(iFinD）'!$A536-'实盘净值数据(iFinD）'!$A$5)/365))</f>
        <v/>
      </c>
      <c r="F536" s="16" t="str">
        <f t="shared" si="49"/>
        <v/>
      </c>
      <c r="G536" s="16" t="str">
        <f>IF(E536="","",E536/MAX(E$5:E536)-1)</f>
        <v/>
      </c>
      <c r="H536" s="13" t="str">
        <f>IF(OR('实盘净值数据(iFinD）'!$A536="",'实盘净值数据(iFinD）'!$B536=""),"",分期持仓明细!$AB$19*SUMPRODUCT(分期持仓明细!$B$19:$Y$19,'实盘净值数据(iFinD）'!$B536:$Y536/'实盘净值数据(iFinD）'!$B$20:$Y$20)*(1-实盘持仓初始配置!$Z$6)^(('实盘净值数据(iFinD）'!$A536-'实盘净值数据(iFinD）'!$A$7)/365))</f>
        <v/>
      </c>
      <c r="I536" s="16" t="str">
        <f t="shared" si="50"/>
        <v/>
      </c>
      <c r="J536" s="16" t="str">
        <f>IF(H536="","",H536/MAX(H$5:H536)-1)</f>
        <v/>
      </c>
      <c r="K536" s="13" t="str">
        <f>IF(OR('实盘净值数据(iFinD）'!$A536="",'实盘净值数据(iFinD）'!$B536="",'实盘净值数据(iFinD）'!$Z536="",'实盘净值数据(iFinD）'!$AA536=""),"",分期持仓明细!$AB$23*(SUMPRODUCT(分期持仓明细!$B$23:$Y$23,'实盘净值数据(iFinD）'!$B536:$Y536/'实盘净值数据(iFinD）'!$B$65:$Y$65)+SUMPRODUCT(分期持仓明细!$AC$23:$AD$23,'实盘净值数据(iFinD）'!$Z536:$AA536/'实盘净值数据(iFinD）'!$Z$65:$AA$65))*(1-实盘持仓初始配置!$Z$7)^(('实盘净值数据(iFinD）'!$A536-'实盘净值数据(iFinD）'!$A$8)/365))</f>
        <v/>
      </c>
      <c r="L536" s="16" t="str">
        <f t="shared" si="51"/>
        <v/>
      </c>
      <c r="M536" s="16" t="str">
        <f>IF(K536="","",K536/MAX(K$5:K536)-1)</f>
        <v/>
      </c>
      <c r="N536" s="13" t="str">
        <f>IF(OR('实盘净值数据(iFinD）'!$A536="",'实盘净值数据(iFinD）'!$B536="",'实盘净值数据(iFinD）'!$Z536="",'实盘净值数据(iFinD）'!$AA536=""),"",分期持仓明细!$AB$24*(SUMPRODUCT(分期持仓明细!$B$24:$Y$24,'实盘净值数据(iFinD）'!$B536:$Y536/'实盘净值数据(iFinD）'!$B$65:$Y$65)+SUMPRODUCT(分期持仓明细!$AC$24:$AD$24,'实盘净值数据(iFinD）'!$Z536:$AA536/'实盘净值数据(iFinD）'!$Z$65:$AA$65))*(1-实盘持仓初始配置!$Z$8)^(('实盘净值数据(iFinD）'!$A536-'实盘净值数据(iFinD）'!$A$5)/365))</f>
        <v/>
      </c>
      <c r="O536" s="16" t="str">
        <f t="shared" si="52"/>
        <v/>
      </c>
      <c r="P536" s="16" t="str">
        <f>IF(N536="","",N536/MAX(N$5:N536)-1)</f>
        <v/>
      </c>
      <c r="Q536" s="13" t="str">
        <f>IF(OR('实盘净值数据(iFinD）'!$A536="",'实盘净值数据(iFinD）'!$B536="",'实盘净值数据(iFinD）'!$Z536="",'实盘净值数据(iFinD）'!$AA536=""),"",分期持仓明细!$AB$25*(SUMPRODUCT(分期持仓明细!$B$25:$Y$25,'实盘净值数据(iFinD）'!$B536:$Y536/'实盘净值数据(iFinD）'!$B$65:$Y$65)+SUMPRODUCT(分期持仓明细!$AC$25:$AD$25,'实盘净值数据(iFinD）'!$Z536:$AA536/'实盘净值数据(iFinD）'!$Z$65:$AA$65))*(1-实盘持仓初始配置!$Z$9)^(('实盘净值数据(iFinD）'!$A536-'实盘净值数据(iFinD）'!$A$8)/365))</f>
        <v/>
      </c>
      <c r="R536" s="16" t="str">
        <f t="shared" si="53"/>
        <v/>
      </c>
      <c r="S536" s="16" t="str">
        <f>IF(Q536="","",Q536/MAX(Q$5:Q536)-1)</f>
        <v/>
      </c>
      <c r="T536" s="13">
        <f>IF(OR('实盘净值数据(iFinD）'!$A536="",'实盘净值数据(iFinD）'!$B536="",'实盘净值数据(iFinD）'!$Z536="",'实盘净值数据(iFinD）'!$AA536="",'实盘净值数据(iFinD）'!$AB536="",'实盘净值数据(iFinD）'!$AL536=""),"",(SUMPRODUCT(分期持仓明细!$B$26:$Y$26,'实盘净值数据(iFinD）'!$B536:$Y536/'实盘净值数据(iFinD）'!$B$69:$Y$69)+SUMPRODUCT(分期持仓明细!$AC$26:$AD$26,'实盘净值数据(iFinD）'!$Z536:$AA536/'实盘净值数据(iFinD）'!$Z$69:$AA$69)+SUMPRODUCT(分期持仓明细!$AE$26:$AO$26,'实盘净值数据(iFinD）'!$AB536:$AL536/'实盘净值数据(iFinD）'!$AB$69:$AL$69))*(1-实盘持仓初始配置!$Z$10)^(('实盘净值数据(iFinD）'!$A536-'实盘净值数据(iFinD）'!$A$69)/365))</f>
        <v/>
      </c>
      <c r="U536" s="16">
        <f>IF(OR(T535="",T536=""),"",T536/T535-1)</f>
        <v/>
      </c>
      <c r="V536" s="16">
        <f>IF(T536="","",T536/MAX(T$5:T536)-1)</f>
        <v/>
      </c>
    </row>
    <row r="537" spans="1:19">
      <c r="A537" s="15" t="str">
        <f>IF('实盘净值数据(iFinD）'!A537="","",'实盘净值数据(iFinD）'!A537)</f>
        <v/>
      </c>
      <c r="B537" s="13" t="str">
        <f>IF(OR('实盘净值数据(iFinD）'!$A537="",'实盘净值数据(iFinD）'!$B537=""),"",分期持仓明细!$AB$17*SUMPRODUCT(分期持仓明细!$B$17:$Y$17,'实盘净值数据(iFinD）'!$B537:$Y537/'实盘净值数据(iFinD）'!$B$20:$Y$20)*(1-实盘持仓初始配置!$Z$4)^(('实盘净值数据(iFinD）'!$A537-'实盘净值数据(iFinD）'!$A$6)/365))</f>
        <v/>
      </c>
      <c r="C537" s="16" t="str">
        <f t="shared" si="48"/>
        <v/>
      </c>
      <c r="D537" s="16" t="str">
        <f>IF(B537="","",B537/MAX(B$5:B537)-1)</f>
        <v/>
      </c>
      <c r="E537" s="13" t="str">
        <f>IF(OR('实盘净值数据(iFinD）'!$A537="",'实盘净值数据(iFinD）'!$B537=""),"",分期持仓明细!$AB$18*SUMPRODUCT(分期持仓明细!$B$18:$Y$18,'实盘净值数据(iFinD）'!$B537:$Y537/'实盘净值数据(iFinD）'!$B$20:$Y$20)*(1-实盘持仓初始配置!$Z$5)^(('实盘净值数据(iFinD）'!$A537-'实盘净值数据(iFinD）'!$A$5)/365))</f>
        <v/>
      </c>
      <c r="F537" s="16" t="str">
        <f t="shared" si="49"/>
        <v/>
      </c>
      <c r="G537" s="16" t="str">
        <f>IF(E537="","",E537/MAX(E$5:E537)-1)</f>
        <v/>
      </c>
      <c r="H537" s="13" t="str">
        <f>IF(OR('实盘净值数据(iFinD）'!$A537="",'实盘净值数据(iFinD）'!$B537=""),"",分期持仓明细!$AB$19*SUMPRODUCT(分期持仓明细!$B$19:$Y$19,'实盘净值数据(iFinD）'!$B537:$Y537/'实盘净值数据(iFinD）'!$B$20:$Y$20)*(1-实盘持仓初始配置!$Z$6)^(('实盘净值数据(iFinD）'!$A537-'实盘净值数据(iFinD）'!$A$7)/365))</f>
        <v/>
      </c>
      <c r="I537" s="16" t="str">
        <f t="shared" si="50"/>
        <v/>
      </c>
      <c r="J537" s="16" t="str">
        <f>IF(H537="","",H537/MAX(H$5:H537)-1)</f>
        <v/>
      </c>
      <c r="K537" s="13" t="str">
        <f>IF(OR('实盘净值数据(iFinD）'!$A537="",'实盘净值数据(iFinD）'!$B537="",'实盘净值数据(iFinD）'!$Z537="",'实盘净值数据(iFinD）'!$AA537=""),"",分期持仓明细!$AB$23*(SUMPRODUCT(分期持仓明细!$B$23:$Y$23,'实盘净值数据(iFinD）'!$B537:$Y537/'实盘净值数据(iFinD）'!$B$65:$Y$65)+SUMPRODUCT(分期持仓明细!$AC$23:$AD$23,'实盘净值数据(iFinD）'!$Z537:$AA537/'实盘净值数据(iFinD）'!$Z$65:$AA$65))*(1-实盘持仓初始配置!$Z$7)^(('实盘净值数据(iFinD）'!$A537-'实盘净值数据(iFinD）'!$A$8)/365))</f>
        <v/>
      </c>
      <c r="L537" s="16" t="str">
        <f t="shared" si="51"/>
        <v/>
      </c>
      <c r="M537" s="16" t="str">
        <f>IF(K537="","",K537/MAX(K$5:K537)-1)</f>
        <v/>
      </c>
      <c r="N537" s="13" t="str">
        <f>IF(OR('实盘净值数据(iFinD）'!$A537="",'实盘净值数据(iFinD）'!$B537="",'实盘净值数据(iFinD）'!$Z537="",'实盘净值数据(iFinD）'!$AA537=""),"",分期持仓明细!$AB$24*(SUMPRODUCT(分期持仓明细!$B$24:$Y$24,'实盘净值数据(iFinD）'!$B537:$Y537/'实盘净值数据(iFinD）'!$B$65:$Y$65)+SUMPRODUCT(分期持仓明细!$AC$24:$AD$24,'实盘净值数据(iFinD）'!$Z537:$AA537/'实盘净值数据(iFinD）'!$Z$65:$AA$65))*(1-实盘持仓初始配置!$Z$8)^(('实盘净值数据(iFinD）'!$A537-'实盘净值数据(iFinD）'!$A$5)/365))</f>
        <v/>
      </c>
      <c r="O537" s="16" t="str">
        <f t="shared" si="52"/>
        <v/>
      </c>
      <c r="P537" s="16" t="str">
        <f>IF(N537="","",N537/MAX(N$5:N537)-1)</f>
        <v/>
      </c>
      <c r="Q537" s="13" t="str">
        <f>IF(OR('实盘净值数据(iFinD）'!$A537="",'实盘净值数据(iFinD）'!$B537="",'实盘净值数据(iFinD）'!$Z537="",'实盘净值数据(iFinD）'!$AA537=""),"",分期持仓明细!$AB$25*(SUMPRODUCT(分期持仓明细!$B$25:$Y$25,'实盘净值数据(iFinD）'!$B537:$Y537/'实盘净值数据(iFinD）'!$B$65:$Y$65)+SUMPRODUCT(分期持仓明细!$AC$25:$AD$25,'实盘净值数据(iFinD）'!$Z537:$AA537/'实盘净值数据(iFinD）'!$Z$65:$AA$65))*(1-实盘持仓初始配置!$Z$9)^(('实盘净值数据(iFinD）'!$A537-'实盘净值数据(iFinD）'!$A$8)/365))</f>
        <v/>
      </c>
      <c r="R537" s="16" t="str">
        <f t="shared" si="53"/>
        <v/>
      </c>
      <c r="S537" s="16" t="str">
        <f>IF(Q537="","",Q537/MAX(Q$5:Q537)-1)</f>
        <v/>
      </c>
      <c r="T537" s="13">
        <f>IF(OR('实盘净值数据(iFinD）'!$A537="",'实盘净值数据(iFinD）'!$B537="",'实盘净值数据(iFinD）'!$Z537="",'实盘净值数据(iFinD）'!$AA537="",'实盘净值数据(iFinD）'!$AB537="",'实盘净值数据(iFinD）'!$AL537=""),"",(SUMPRODUCT(分期持仓明细!$B$26:$Y$26,'实盘净值数据(iFinD）'!$B537:$Y537/'实盘净值数据(iFinD）'!$B$69:$Y$69)+SUMPRODUCT(分期持仓明细!$AC$26:$AD$26,'实盘净值数据(iFinD）'!$Z537:$AA537/'实盘净值数据(iFinD）'!$Z$69:$AA$69)+SUMPRODUCT(分期持仓明细!$AE$26:$AO$26,'实盘净值数据(iFinD）'!$AB537:$AL537/'实盘净值数据(iFinD）'!$AB$69:$AL$69))*(1-实盘持仓初始配置!$Z$10)^(('实盘净值数据(iFinD）'!$A537-'实盘净值数据(iFinD）'!$A$69)/365))</f>
        <v/>
      </c>
      <c r="U537" s="16">
        <f>IF(OR(T536="",T537=""),"",T537/T536-1)</f>
        <v/>
      </c>
      <c r="V537" s="16">
        <f>IF(T537="","",T537/MAX(T$5:T537)-1)</f>
        <v/>
      </c>
    </row>
    <row r="538" spans="1:19">
      <c r="A538" s="15" t="str">
        <f>IF('实盘净值数据(iFinD）'!A538="","",'实盘净值数据(iFinD）'!A538)</f>
        <v/>
      </c>
      <c r="B538" s="13" t="str">
        <f>IF(OR('实盘净值数据(iFinD）'!$A538="",'实盘净值数据(iFinD）'!$B538=""),"",分期持仓明细!$AB$17*SUMPRODUCT(分期持仓明细!$B$17:$Y$17,'实盘净值数据(iFinD）'!$B538:$Y538/'实盘净值数据(iFinD）'!$B$20:$Y$20)*(1-实盘持仓初始配置!$Z$4)^(('实盘净值数据(iFinD）'!$A538-'实盘净值数据(iFinD）'!$A$6)/365))</f>
        <v/>
      </c>
      <c r="C538" s="16" t="str">
        <f t="shared" si="48"/>
        <v/>
      </c>
      <c r="D538" s="16" t="str">
        <f>IF(B538="","",B538/MAX(B$5:B538)-1)</f>
        <v/>
      </c>
      <c r="E538" s="13" t="str">
        <f>IF(OR('实盘净值数据(iFinD）'!$A538="",'实盘净值数据(iFinD）'!$B538=""),"",分期持仓明细!$AB$18*SUMPRODUCT(分期持仓明细!$B$18:$Y$18,'实盘净值数据(iFinD）'!$B538:$Y538/'实盘净值数据(iFinD）'!$B$20:$Y$20)*(1-实盘持仓初始配置!$Z$5)^(('实盘净值数据(iFinD）'!$A538-'实盘净值数据(iFinD）'!$A$5)/365))</f>
        <v/>
      </c>
      <c r="F538" s="16" t="str">
        <f t="shared" si="49"/>
        <v/>
      </c>
      <c r="G538" s="16" t="str">
        <f>IF(E538="","",E538/MAX(E$5:E538)-1)</f>
        <v/>
      </c>
      <c r="H538" s="13" t="str">
        <f>IF(OR('实盘净值数据(iFinD）'!$A538="",'实盘净值数据(iFinD）'!$B538=""),"",分期持仓明细!$AB$19*SUMPRODUCT(分期持仓明细!$B$19:$Y$19,'实盘净值数据(iFinD）'!$B538:$Y538/'实盘净值数据(iFinD）'!$B$20:$Y$20)*(1-实盘持仓初始配置!$Z$6)^(('实盘净值数据(iFinD）'!$A538-'实盘净值数据(iFinD）'!$A$7)/365))</f>
        <v/>
      </c>
      <c r="I538" s="16" t="str">
        <f t="shared" si="50"/>
        <v/>
      </c>
      <c r="J538" s="16" t="str">
        <f>IF(H538="","",H538/MAX(H$5:H538)-1)</f>
        <v/>
      </c>
      <c r="K538" s="13" t="str">
        <f>IF(OR('实盘净值数据(iFinD）'!$A538="",'实盘净值数据(iFinD）'!$B538="",'实盘净值数据(iFinD）'!$Z538="",'实盘净值数据(iFinD）'!$AA538=""),"",分期持仓明细!$AB$23*(SUMPRODUCT(分期持仓明细!$B$23:$Y$23,'实盘净值数据(iFinD）'!$B538:$Y538/'实盘净值数据(iFinD）'!$B$65:$Y$65)+SUMPRODUCT(分期持仓明细!$AC$23:$AD$23,'实盘净值数据(iFinD）'!$Z538:$AA538/'实盘净值数据(iFinD）'!$Z$65:$AA$65))*(1-实盘持仓初始配置!$Z$7)^(('实盘净值数据(iFinD）'!$A538-'实盘净值数据(iFinD）'!$A$8)/365))</f>
        <v/>
      </c>
      <c r="L538" s="16" t="str">
        <f t="shared" si="51"/>
        <v/>
      </c>
      <c r="M538" s="16" t="str">
        <f>IF(K538="","",K538/MAX(K$5:K538)-1)</f>
        <v/>
      </c>
      <c r="N538" s="13" t="str">
        <f>IF(OR('实盘净值数据(iFinD）'!$A538="",'实盘净值数据(iFinD）'!$B538="",'实盘净值数据(iFinD）'!$Z538="",'实盘净值数据(iFinD）'!$AA538=""),"",分期持仓明细!$AB$24*(SUMPRODUCT(分期持仓明细!$B$24:$Y$24,'实盘净值数据(iFinD）'!$B538:$Y538/'实盘净值数据(iFinD）'!$B$65:$Y$65)+SUMPRODUCT(分期持仓明细!$AC$24:$AD$24,'实盘净值数据(iFinD）'!$Z538:$AA538/'实盘净值数据(iFinD）'!$Z$65:$AA$65))*(1-实盘持仓初始配置!$Z$8)^(('实盘净值数据(iFinD）'!$A538-'实盘净值数据(iFinD）'!$A$5)/365))</f>
        <v/>
      </c>
      <c r="O538" s="16" t="str">
        <f t="shared" si="52"/>
        <v/>
      </c>
      <c r="P538" s="16" t="str">
        <f>IF(N538="","",N538/MAX(N$5:N538)-1)</f>
        <v/>
      </c>
      <c r="Q538" s="13" t="str">
        <f>IF(OR('实盘净值数据(iFinD）'!$A538="",'实盘净值数据(iFinD）'!$B538="",'实盘净值数据(iFinD）'!$Z538="",'实盘净值数据(iFinD）'!$AA538=""),"",分期持仓明细!$AB$25*(SUMPRODUCT(分期持仓明细!$B$25:$Y$25,'实盘净值数据(iFinD）'!$B538:$Y538/'实盘净值数据(iFinD）'!$B$65:$Y$65)+SUMPRODUCT(分期持仓明细!$AC$25:$AD$25,'实盘净值数据(iFinD）'!$Z538:$AA538/'实盘净值数据(iFinD）'!$Z$65:$AA$65))*(1-实盘持仓初始配置!$Z$9)^(('实盘净值数据(iFinD）'!$A538-'实盘净值数据(iFinD）'!$A$8)/365))</f>
        <v/>
      </c>
      <c r="R538" s="16" t="str">
        <f t="shared" si="53"/>
        <v/>
      </c>
      <c r="S538" s="16" t="str">
        <f>IF(Q538="","",Q538/MAX(Q$5:Q538)-1)</f>
        <v/>
      </c>
      <c r="T538" s="13">
        <f>IF(OR('实盘净值数据(iFinD）'!$A538="",'实盘净值数据(iFinD）'!$B538="",'实盘净值数据(iFinD）'!$Z538="",'实盘净值数据(iFinD）'!$AA538="",'实盘净值数据(iFinD）'!$AB538="",'实盘净值数据(iFinD）'!$AL538=""),"",(SUMPRODUCT(分期持仓明细!$B$26:$Y$26,'实盘净值数据(iFinD）'!$B538:$Y538/'实盘净值数据(iFinD）'!$B$69:$Y$69)+SUMPRODUCT(分期持仓明细!$AC$26:$AD$26,'实盘净值数据(iFinD）'!$Z538:$AA538/'实盘净值数据(iFinD）'!$Z$69:$AA$69)+SUMPRODUCT(分期持仓明细!$AE$26:$AO$26,'实盘净值数据(iFinD）'!$AB538:$AL538/'实盘净值数据(iFinD）'!$AB$69:$AL$69))*(1-实盘持仓初始配置!$Z$10)^(('实盘净值数据(iFinD）'!$A538-'实盘净值数据(iFinD）'!$A$69)/365))</f>
        <v/>
      </c>
      <c r="U538" s="16">
        <f>IF(OR(T537="",T538=""),"",T538/T537-1)</f>
        <v/>
      </c>
      <c r="V538" s="16">
        <f>IF(T538="","",T538/MAX(T$5:T538)-1)</f>
        <v/>
      </c>
    </row>
    <row r="539" spans="1:19">
      <c r="A539" s="15" t="str">
        <f>IF('实盘净值数据(iFinD）'!A539="","",'实盘净值数据(iFinD）'!A539)</f>
        <v/>
      </c>
      <c r="B539" s="13" t="str">
        <f>IF(OR('实盘净值数据(iFinD）'!$A539="",'实盘净值数据(iFinD）'!$B539=""),"",分期持仓明细!$AB$17*SUMPRODUCT(分期持仓明细!$B$17:$Y$17,'实盘净值数据(iFinD）'!$B539:$Y539/'实盘净值数据(iFinD）'!$B$20:$Y$20)*(1-实盘持仓初始配置!$Z$4)^(('实盘净值数据(iFinD）'!$A539-'实盘净值数据(iFinD）'!$A$6)/365))</f>
        <v/>
      </c>
      <c r="C539" s="16" t="str">
        <f t="shared" si="48"/>
        <v/>
      </c>
      <c r="D539" s="16" t="str">
        <f>IF(B539="","",B539/MAX(B$5:B539)-1)</f>
        <v/>
      </c>
      <c r="E539" s="13" t="str">
        <f>IF(OR('实盘净值数据(iFinD）'!$A539="",'实盘净值数据(iFinD）'!$B539=""),"",分期持仓明细!$AB$18*SUMPRODUCT(分期持仓明细!$B$18:$Y$18,'实盘净值数据(iFinD）'!$B539:$Y539/'实盘净值数据(iFinD）'!$B$20:$Y$20)*(1-实盘持仓初始配置!$Z$5)^(('实盘净值数据(iFinD）'!$A539-'实盘净值数据(iFinD）'!$A$5)/365))</f>
        <v/>
      </c>
      <c r="F539" s="16" t="str">
        <f t="shared" si="49"/>
        <v/>
      </c>
      <c r="G539" s="16" t="str">
        <f>IF(E539="","",E539/MAX(E$5:E539)-1)</f>
        <v/>
      </c>
      <c r="H539" s="13" t="str">
        <f>IF(OR('实盘净值数据(iFinD）'!$A539="",'实盘净值数据(iFinD）'!$B539=""),"",分期持仓明细!$AB$19*SUMPRODUCT(分期持仓明细!$B$19:$Y$19,'实盘净值数据(iFinD）'!$B539:$Y539/'实盘净值数据(iFinD）'!$B$20:$Y$20)*(1-实盘持仓初始配置!$Z$6)^(('实盘净值数据(iFinD）'!$A539-'实盘净值数据(iFinD）'!$A$7)/365))</f>
        <v/>
      </c>
      <c r="I539" s="16" t="str">
        <f t="shared" si="50"/>
        <v/>
      </c>
      <c r="J539" s="16" t="str">
        <f>IF(H539="","",H539/MAX(H$5:H539)-1)</f>
        <v/>
      </c>
      <c r="K539" s="13" t="str">
        <f>IF(OR('实盘净值数据(iFinD）'!$A539="",'实盘净值数据(iFinD）'!$B539="",'实盘净值数据(iFinD）'!$Z539="",'实盘净值数据(iFinD）'!$AA539=""),"",分期持仓明细!$AB$23*(SUMPRODUCT(分期持仓明细!$B$23:$Y$23,'实盘净值数据(iFinD）'!$B539:$Y539/'实盘净值数据(iFinD）'!$B$65:$Y$65)+SUMPRODUCT(分期持仓明细!$AC$23:$AD$23,'实盘净值数据(iFinD）'!$Z539:$AA539/'实盘净值数据(iFinD）'!$Z$65:$AA$65))*(1-实盘持仓初始配置!$Z$7)^(('实盘净值数据(iFinD）'!$A539-'实盘净值数据(iFinD）'!$A$8)/365))</f>
        <v/>
      </c>
      <c r="L539" s="16" t="str">
        <f t="shared" si="51"/>
        <v/>
      </c>
      <c r="M539" s="16" t="str">
        <f>IF(K539="","",K539/MAX(K$5:K539)-1)</f>
        <v/>
      </c>
      <c r="N539" s="13" t="str">
        <f>IF(OR('实盘净值数据(iFinD）'!$A539="",'实盘净值数据(iFinD）'!$B539="",'实盘净值数据(iFinD）'!$Z539="",'实盘净值数据(iFinD）'!$AA539=""),"",分期持仓明细!$AB$24*(SUMPRODUCT(分期持仓明细!$B$24:$Y$24,'实盘净值数据(iFinD）'!$B539:$Y539/'实盘净值数据(iFinD）'!$B$65:$Y$65)+SUMPRODUCT(分期持仓明细!$AC$24:$AD$24,'实盘净值数据(iFinD）'!$Z539:$AA539/'实盘净值数据(iFinD）'!$Z$65:$AA$65))*(1-实盘持仓初始配置!$Z$8)^(('实盘净值数据(iFinD）'!$A539-'实盘净值数据(iFinD）'!$A$5)/365))</f>
        <v/>
      </c>
      <c r="O539" s="16" t="str">
        <f t="shared" si="52"/>
        <v/>
      </c>
      <c r="P539" s="16" t="str">
        <f>IF(N539="","",N539/MAX(N$5:N539)-1)</f>
        <v/>
      </c>
      <c r="Q539" s="13" t="str">
        <f>IF(OR('实盘净值数据(iFinD）'!$A539="",'实盘净值数据(iFinD）'!$B539="",'实盘净值数据(iFinD）'!$Z539="",'实盘净值数据(iFinD）'!$AA539=""),"",分期持仓明细!$AB$25*(SUMPRODUCT(分期持仓明细!$B$25:$Y$25,'实盘净值数据(iFinD）'!$B539:$Y539/'实盘净值数据(iFinD）'!$B$65:$Y$65)+SUMPRODUCT(分期持仓明细!$AC$25:$AD$25,'实盘净值数据(iFinD）'!$Z539:$AA539/'实盘净值数据(iFinD）'!$Z$65:$AA$65))*(1-实盘持仓初始配置!$Z$9)^(('实盘净值数据(iFinD）'!$A539-'实盘净值数据(iFinD）'!$A$8)/365))</f>
        <v/>
      </c>
      <c r="R539" s="16" t="str">
        <f t="shared" si="53"/>
        <v/>
      </c>
      <c r="S539" s="16" t="str">
        <f>IF(Q539="","",Q539/MAX(Q$5:Q539)-1)</f>
        <v/>
      </c>
      <c r="T539" s="13">
        <f>IF(OR('实盘净值数据(iFinD）'!$A539="",'实盘净值数据(iFinD）'!$B539="",'实盘净值数据(iFinD）'!$Z539="",'实盘净值数据(iFinD）'!$AA539="",'实盘净值数据(iFinD）'!$AB539="",'实盘净值数据(iFinD）'!$AL539=""),"",(SUMPRODUCT(分期持仓明细!$B$26:$Y$26,'实盘净值数据(iFinD）'!$B539:$Y539/'实盘净值数据(iFinD）'!$B$69:$Y$69)+SUMPRODUCT(分期持仓明细!$AC$26:$AD$26,'实盘净值数据(iFinD）'!$Z539:$AA539/'实盘净值数据(iFinD）'!$Z$69:$AA$69)+SUMPRODUCT(分期持仓明细!$AE$26:$AO$26,'实盘净值数据(iFinD）'!$AB539:$AL539/'实盘净值数据(iFinD）'!$AB$69:$AL$69))*(1-实盘持仓初始配置!$Z$10)^(('实盘净值数据(iFinD）'!$A539-'实盘净值数据(iFinD）'!$A$69)/365))</f>
        <v/>
      </c>
      <c r="U539" s="16">
        <f>IF(OR(T538="",T539=""),"",T539/T538-1)</f>
        <v/>
      </c>
      <c r="V539" s="16">
        <f>IF(T539="","",T539/MAX(T$5:T539)-1)</f>
        <v/>
      </c>
    </row>
    <row r="540" spans="1:19">
      <c r="A540" s="15" t="str">
        <f>IF('实盘净值数据(iFinD）'!A540="","",'实盘净值数据(iFinD）'!A540)</f>
        <v/>
      </c>
      <c r="B540" s="13" t="str">
        <f>IF(OR('实盘净值数据(iFinD）'!$A540="",'实盘净值数据(iFinD）'!$B540=""),"",分期持仓明细!$AB$17*SUMPRODUCT(分期持仓明细!$B$17:$Y$17,'实盘净值数据(iFinD）'!$B540:$Y540/'实盘净值数据(iFinD）'!$B$20:$Y$20)*(1-实盘持仓初始配置!$Z$4)^(('实盘净值数据(iFinD）'!$A540-'实盘净值数据(iFinD）'!$A$6)/365))</f>
        <v/>
      </c>
      <c r="C540" s="16" t="str">
        <f t="shared" si="48"/>
        <v/>
      </c>
      <c r="D540" s="16" t="str">
        <f>IF(B540="","",B540/MAX(B$5:B540)-1)</f>
        <v/>
      </c>
      <c r="E540" s="13" t="str">
        <f>IF(OR('实盘净值数据(iFinD）'!$A540="",'实盘净值数据(iFinD）'!$B540=""),"",分期持仓明细!$AB$18*SUMPRODUCT(分期持仓明细!$B$18:$Y$18,'实盘净值数据(iFinD）'!$B540:$Y540/'实盘净值数据(iFinD）'!$B$20:$Y$20)*(1-实盘持仓初始配置!$Z$5)^(('实盘净值数据(iFinD）'!$A540-'实盘净值数据(iFinD）'!$A$5)/365))</f>
        <v/>
      </c>
      <c r="F540" s="16" t="str">
        <f t="shared" si="49"/>
        <v/>
      </c>
      <c r="G540" s="16" t="str">
        <f>IF(E540="","",E540/MAX(E$5:E540)-1)</f>
        <v/>
      </c>
      <c r="H540" s="13" t="str">
        <f>IF(OR('实盘净值数据(iFinD）'!$A540="",'实盘净值数据(iFinD）'!$B540=""),"",分期持仓明细!$AB$19*SUMPRODUCT(分期持仓明细!$B$19:$Y$19,'实盘净值数据(iFinD）'!$B540:$Y540/'实盘净值数据(iFinD）'!$B$20:$Y$20)*(1-实盘持仓初始配置!$Z$6)^(('实盘净值数据(iFinD）'!$A540-'实盘净值数据(iFinD）'!$A$7)/365))</f>
        <v/>
      </c>
      <c r="I540" s="16" t="str">
        <f t="shared" si="50"/>
        <v/>
      </c>
      <c r="J540" s="16" t="str">
        <f>IF(H540="","",H540/MAX(H$5:H540)-1)</f>
        <v/>
      </c>
      <c r="K540" s="13" t="str">
        <f>IF(OR('实盘净值数据(iFinD）'!$A540="",'实盘净值数据(iFinD）'!$B540="",'实盘净值数据(iFinD）'!$Z540="",'实盘净值数据(iFinD）'!$AA540=""),"",分期持仓明细!$AB$23*(SUMPRODUCT(分期持仓明细!$B$23:$Y$23,'实盘净值数据(iFinD）'!$B540:$Y540/'实盘净值数据(iFinD）'!$B$65:$Y$65)+SUMPRODUCT(分期持仓明细!$AC$23:$AD$23,'实盘净值数据(iFinD）'!$Z540:$AA540/'实盘净值数据(iFinD）'!$Z$65:$AA$65))*(1-实盘持仓初始配置!$Z$7)^(('实盘净值数据(iFinD）'!$A540-'实盘净值数据(iFinD）'!$A$8)/365))</f>
        <v/>
      </c>
      <c r="L540" s="16" t="str">
        <f t="shared" si="51"/>
        <v/>
      </c>
      <c r="M540" s="16" t="str">
        <f>IF(K540="","",K540/MAX(K$5:K540)-1)</f>
        <v/>
      </c>
      <c r="N540" s="13" t="str">
        <f>IF(OR('实盘净值数据(iFinD）'!$A540="",'实盘净值数据(iFinD）'!$B540="",'实盘净值数据(iFinD）'!$Z540="",'实盘净值数据(iFinD）'!$AA540=""),"",分期持仓明细!$AB$24*(SUMPRODUCT(分期持仓明细!$B$24:$Y$24,'实盘净值数据(iFinD）'!$B540:$Y540/'实盘净值数据(iFinD）'!$B$65:$Y$65)+SUMPRODUCT(分期持仓明细!$AC$24:$AD$24,'实盘净值数据(iFinD）'!$Z540:$AA540/'实盘净值数据(iFinD）'!$Z$65:$AA$65))*(1-实盘持仓初始配置!$Z$8)^(('实盘净值数据(iFinD）'!$A540-'实盘净值数据(iFinD）'!$A$5)/365))</f>
        <v/>
      </c>
      <c r="O540" s="16" t="str">
        <f t="shared" si="52"/>
        <v/>
      </c>
      <c r="P540" s="16" t="str">
        <f>IF(N540="","",N540/MAX(N$5:N540)-1)</f>
        <v/>
      </c>
      <c r="Q540" s="13" t="str">
        <f>IF(OR('实盘净值数据(iFinD）'!$A540="",'实盘净值数据(iFinD）'!$B540="",'实盘净值数据(iFinD）'!$Z540="",'实盘净值数据(iFinD）'!$AA540=""),"",分期持仓明细!$AB$25*(SUMPRODUCT(分期持仓明细!$B$25:$Y$25,'实盘净值数据(iFinD）'!$B540:$Y540/'实盘净值数据(iFinD）'!$B$65:$Y$65)+SUMPRODUCT(分期持仓明细!$AC$25:$AD$25,'实盘净值数据(iFinD）'!$Z540:$AA540/'实盘净值数据(iFinD）'!$Z$65:$AA$65))*(1-实盘持仓初始配置!$Z$9)^(('实盘净值数据(iFinD）'!$A540-'实盘净值数据(iFinD）'!$A$8)/365))</f>
        <v/>
      </c>
      <c r="R540" s="16" t="str">
        <f t="shared" si="53"/>
        <v/>
      </c>
      <c r="S540" s="16" t="str">
        <f>IF(Q540="","",Q540/MAX(Q$5:Q540)-1)</f>
        <v/>
      </c>
      <c r="T540" s="13">
        <f>IF(OR('实盘净值数据(iFinD）'!$A540="",'实盘净值数据(iFinD）'!$B540="",'实盘净值数据(iFinD）'!$Z540="",'实盘净值数据(iFinD）'!$AA540="",'实盘净值数据(iFinD）'!$AB540="",'实盘净值数据(iFinD）'!$AL540=""),"",(SUMPRODUCT(分期持仓明细!$B$26:$Y$26,'实盘净值数据(iFinD）'!$B540:$Y540/'实盘净值数据(iFinD）'!$B$69:$Y$69)+SUMPRODUCT(分期持仓明细!$AC$26:$AD$26,'实盘净值数据(iFinD）'!$Z540:$AA540/'实盘净值数据(iFinD）'!$Z$69:$AA$69)+SUMPRODUCT(分期持仓明细!$AE$26:$AO$26,'实盘净值数据(iFinD）'!$AB540:$AL540/'实盘净值数据(iFinD）'!$AB$69:$AL$69))*(1-实盘持仓初始配置!$Z$10)^(('实盘净值数据(iFinD）'!$A540-'实盘净值数据(iFinD）'!$A$69)/365))</f>
        <v/>
      </c>
      <c r="U540" s="16">
        <f>IF(OR(T539="",T540=""),"",T540/T539-1)</f>
        <v/>
      </c>
      <c r="V540" s="16">
        <f>IF(T540="","",T540/MAX(T$5:T540)-1)</f>
        <v/>
      </c>
    </row>
    <row r="541" spans="1:19">
      <c r="A541" s="15" t="str">
        <f>IF('实盘净值数据(iFinD）'!A541="","",'实盘净值数据(iFinD）'!A541)</f>
        <v/>
      </c>
      <c r="B541" s="13" t="str">
        <f>IF(OR('实盘净值数据(iFinD）'!$A541="",'实盘净值数据(iFinD）'!$B541=""),"",分期持仓明细!$AB$17*SUMPRODUCT(分期持仓明细!$B$17:$Y$17,'实盘净值数据(iFinD）'!$B541:$Y541/'实盘净值数据(iFinD）'!$B$20:$Y$20)*(1-实盘持仓初始配置!$Z$4)^(('实盘净值数据(iFinD）'!$A541-'实盘净值数据(iFinD）'!$A$6)/365))</f>
        <v/>
      </c>
      <c r="C541" s="16" t="str">
        <f t="shared" si="48"/>
        <v/>
      </c>
      <c r="D541" s="16" t="str">
        <f>IF(B541="","",B541/MAX(B$5:B541)-1)</f>
        <v/>
      </c>
      <c r="E541" s="13" t="str">
        <f>IF(OR('实盘净值数据(iFinD）'!$A541="",'实盘净值数据(iFinD）'!$B541=""),"",分期持仓明细!$AB$18*SUMPRODUCT(分期持仓明细!$B$18:$Y$18,'实盘净值数据(iFinD）'!$B541:$Y541/'实盘净值数据(iFinD）'!$B$20:$Y$20)*(1-实盘持仓初始配置!$Z$5)^(('实盘净值数据(iFinD）'!$A541-'实盘净值数据(iFinD）'!$A$5)/365))</f>
        <v/>
      </c>
      <c r="F541" s="16" t="str">
        <f t="shared" si="49"/>
        <v/>
      </c>
      <c r="G541" s="16" t="str">
        <f>IF(E541="","",E541/MAX(E$5:E541)-1)</f>
        <v/>
      </c>
      <c r="H541" s="13" t="str">
        <f>IF(OR('实盘净值数据(iFinD）'!$A541="",'实盘净值数据(iFinD）'!$B541=""),"",分期持仓明细!$AB$19*SUMPRODUCT(分期持仓明细!$B$19:$Y$19,'实盘净值数据(iFinD）'!$B541:$Y541/'实盘净值数据(iFinD）'!$B$20:$Y$20)*(1-实盘持仓初始配置!$Z$6)^(('实盘净值数据(iFinD）'!$A541-'实盘净值数据(iFinD）'!$A$7)/365))</f>
        <v/>
      </c>
      <c r="I541" s="16" t="str">
        <f t="shared" si="50"/>
        <v/>
      </c>
      <c r="J541" s="16" t="str">
        <f>IF(H541="","",H541/MAX(H$5:H541)-1)</f>
        <v/>
      </c>
      <c r="K541" s="13" t="str">
        <f>IF(OR('实盘净值数据(iFinD）'!$A541="",'实盘净值数据(iFinD）'!$B541="",'实盘净值数据(iFinD）'!$Z541="",'实盘净值数据(iFinD）'!$AA541=""),"",分期持仓明细!$AB$23*(SUMPRODUCT(分期持仓明细!$B$23:$Y$23,'实盘净值数据(iFinD）'!$B541:$Y541/'实盘净值数据(iFinD）'!$B$65:$Y$65)+SUMPRODUCT(分期持仓明细!$AC$23:$AD$23,'实盘净值数据(iFinD）'!$Z541:$AA541/'实盘净值数据(iFinD）'!$Z$65:$AA$65))*(1-实盘持仓初始配置!$Z$7)^(('实盘净值数据(iFinD）'!$A541-'实盘净值数据(iFinD）'!$A$8)/365))</f>
        <v/>
      </c>
      <c r="L541" s="16" t="str">
        <f t="shared" si="51"/>
        <v/>
      </c>
      <c r="M541" s="16" t="str">
        <f>IF(K541="","",K541/MAX(K$5:K541)-1)</f>
        <v/>
      </c>
      <c r="N541" s="13" t="str">
        <f>IF(OR('实盘净值数据(iFinD）'!$A541="",'实盘净值数据(iFinD）'!$B541="",'实盘净值数据(iFinD）'!$Z541="",'实盘净值数据(iFinD）'!$AA541=""),"",分期持仓明细!$AB$24*(SUMPRODUCT(分期持仓明细!$B$24:$Y$24,'实盘净值数据(iFinD）'!$B541:$Y541/'实盘净值数据(iFinD）'!$B$65:$Y$65)+SUMPRODUCT(分期持仓明细!$AC$24:$AD$24,'实盘净值数据(iFinD）'!$Z541:$AA541/'实盘净值数据(iFinD）'!$Z$65:$AA$65))*(1-实盘持仓初始配置!$Z$8)^(('实盘净值数据(iFinD）'!$A541-'实盘净值数据(iFinD）'!$A$5)/365))</f>
        <v/>
      </c>
      <c r="O541" s="16" t="str">
        <f t="shared" si="52"/>
        <v/>
      </c>
      <c r="P541" s="16" t="str">
        <f>IF(N541="","",N541/MAX(N$5:N541)-1)</f>
        <v/>
      </c>
      <c r="Q541" s="13" t="str">
        <f>IF(OR('实盘净值数据(iFinD）'!$A541="",'实盘净值数据(iFinD）'!$B541="",'实盘净值数据(iFinD）'!$Z541="",'实盘净值数据(iFinD）'!$AA541=""),"",分期持仓明细!$AB$25*(SUMPRODUCT(分期持仓明细!$B$25:$Y$25,'实盘净值数据(iFinD）'!$B541:$Y541/'实盘净值数据(iFinD）'!$B$65:$Y$65)+SUMPRODUCT(分期持仓明细!$AC$25:$AD$25,'实盘净值数据(iFinD）'!$Z541:$AA541/'实盘净值数据(iFinD）'!$Z$65:$AA$65))*(1-实盘持仓初始配置!$Z$9)^(('实盘净值数据(iFinD）'!$A541-'实盘净值数据(iFinD）'!$A$8)/365))</f>
        <v/>
      </c>
      <c r="R541" s="16" t="str">
        <f t="shared" si="53"/>
        <v/>
      </c>
      <c r="S541" s="16" t="str">
        <f>IF(Q541="","",Q541/MAX(Q$5:Q541)-1)</f>
        <v/>
      </c>
      <c r="T541" s="13">
        <f>IF(OR('实盘净值数据(iFinD）'!$A541="",'实盘净值数据(iFinD）'!$B541="",'实盘净值数据(iFinD）'!$Z541="",'实盘净值数据(iFinD）'!$AA541="",'实盘净值数据(iFinD）'!$AB541="",'实盘净值数据(iFinD）'!$AL541=""),"",(SUMPRODUCT(分期持仓明细!$B$26:$Y$26,'实盘净值数据(iFinD）'!$B541:$Y541/'实盘净值数据(iFinD）'!$B$69:$Y$69)+SUMPRODUCT(分期持仓明细!$AC$26:$AD$26,'实盘净值数据(iFinD）'!$Z541:$AA541/'实盘净值数据(iFinD）'!$Z$69:$AA$69)+SUMPRODUCT(分期持仓明细!$AE$26:$AO$26,'实盘净值数据(iFinD）'!$AB541:$AL541/'实盘净值数据(iFinD）'!$AB$69:$AL$69))*(1-实盘持仓初始配置!$Z$10)^(('实盘净值数据(iFinD）'!$A541-'实盘净值数据(iFinD）'!$A$69)/365))</f>
        <v/>
      </c>
      <c r="U541" s="16">
        <f>IF(OR(T540="",T541=""),"",T541/T540-1)</f>
        <v/>
      </c>
      <c r="V541" s="16">
        <f>IF(T541="","",T541/MAX(T$5:T541)-1)</f>
        <v/>
      </c>
    </row>
    <row r="542" spans="1:19">
      <c r="A542" s="15" t="str">
        <f>IF('实盘净值数据(iFinD）'!A542="","",'实盘净值数据(iFinD）'!A542)</f>
        <v/>
      </c>
      <c r="B542" s="13" t="str">
        <f>IF(OR('实盘净值数据(iFinD）'!$A542="",'实盘净值数据(iFinD）'!$B542=""),"",分期持仓明细!$AB$17*SUMPRODUCT(分期持仓明细!$B$17:$Y$17,'实盘净值数据(iFinD）'!$B542:$Y542/'实盘净值数据(iFinD）'!$B$20:$Y$20)*(1-实盘持仓初始配置!$Z$4)^(('实盘净值数据(iFinD）'!$A542-'实盘净值数据(iFinD）'!$A$6)/365))</f>
        <v/>
      </c>
      <c r="C542" s="16" t="str">
        <f t="shared" si="48"/>
        <v/>
      </c>
      <c r="D542" s="16" t="str">
        <f>IF(B542="","",B542/MAX(B$5:B542)-1)</f>
        <v/>
      </c>
      <c r="E542" s="13" t="str">
        <f>IF(OR('实盘净值数据(iFinD）'!$A542="",'实盘净值数据(iFinD）'!$B542=""),"",分期持仓明细!$AB$18*SUMPRODUCT(分期持仓明细!$B$18:$Y$18,'实盘净值数据(iFinD）'!$B542:$Y542/'实盘净值数据(iFinD）'!$B$20:$Y$20)*(1-实盘持仓初始配置!$Z$5)^(('实盘净值数据(iFinD）'!$A542-'实盘净值数据(iFinD）'!$A$5)/365))</f>
        <v/>
      </c>
      <c r="F542" s="16" t="str">
        <f t="shared" si="49"/>
        <v/>
      </c>
      <c r="G542" s="16" t="str">
        <f>IF(E542="","",E542/MAX(E$5:E542)-1)</f>
        <v/>
      </c>
      <c r="H542" s="13" t="str">
        <f>IF(OR('实盘净值数据(iFinD）'!$A542="",'实盘净值数据(iFinD）'!$B542=""),"",分期持仓明细!$AB$19*SUMPRODUCT(分期持仓明细!$B$19:$Y$19,'实盘净值数据(iFinD）'!$B542:$Y542/'实盘净值数据(iFinD）'!$B$20:$Y$20)*(1-实盘持仓初始配置!$Z$6)^(('实盘净值数据(iFinD）'!$A542-'实盘净值数据(iFinD）'!$A$7)/365))</f>
        <v/>
      </c>
      <c r="I542" s="16" t="str">
        <f t="shared" si="50"/>
        <v/>
      </c>
      <c r="J542" s="16" t="str">
        <f>IF(H542="","",H542/MAX(H$5:H542)-1)</f>
        <v/>
      </c>
      <c r="K542" s="13" t="str">
        <f>IF(OR('实盘净值数据(iFinD）'!$A542="",'实盘净值数据(iFinD）'!$B542="",'实盘净值数据(iFinD）'!$Z542="",'实盘净值数据(iFinD）'!$AA542=""),"",分期持仓明细!$AB$23*(SUMPRODUCT(分期持仓明细!$B$23:$Y$23,'实盘净值数据(iFinD）'!$B542:$Y542/'实盘净值数据(iFinD）'!$B$65:$Y$65)+SUMPRODUCT(分期持仓明细!$AC$23:$AD$23,'实盘净值数据(iFinD）'!$Z542:$AA542/'实盘净值数据(iFinD）'!$Z$65:$AA$65))*(1-实盘持仓初始配置!$Z$7)^(('实盘净值数据(iFinD）'!$A542-'实盘净值数据(iFinD）'!$A$8)/365))</f>
        <v/>
      </c>
      <c r="L542" s="16" t="str">
        <f t="shared" si="51"/>
        <v/>
      </c>
      <c r="M542" s="16" t="str">
        <f>IF(K542="","",K542/MAX(K$5:K542)-1)</f>
        <v/>
      </c>
      <c r="N542" s="13" t="str">
        <f>IF(OR('实盘净值数据(iFinD）'!$A542="",'实盘净值数据(iFinD）'!$B542="",'实盘净值数据(iFinD）'!$Z542="",'实盘净值数据(iFinD）'!$AA542=""),"",分期持仓明细!$AB$24*(SUMPRODUCT(分期持仓明细!$B$24:$Y$24,'实盘净值数据(iFinD）'!$B542:$Y542/'实盘净值数据(iFinD）'!$B$65:$Y$65)+SUMPRODUCT(分期持仓明细!$AC$24:$AD$24,'实盘净值数据(iFinD）'!$Z542:$AA542/'实盘净值数据(iFinD）'!$Z$65:$AA$65))*(1-实盘持仓初始配置!$Z$8)^(('实盘净值数据(iFinD）'!$A542-'实盘净值数据(iFinD）'!$A$5)/365))</f>
        <v/>
      </c>
      <c r="O542" s="16" t="str">
        <f t="shared" si="52"/>
        <v/>
      </c>
      <c r="P542" s="16" t="str">
        <f>IF(N542="","",N542/MAX(N$5:N542)-1)</f>
        <v/>
      </c>
      <c r="Q542" s="13" t="str">
        <f>IF(OR('实盘净值数据(iFinD）'!$A542="",'实盘净值数据(iFinD）'!$B542="",'实盘净值数据(iFinD）'!$Z542="",'实盘净值数据(iFinD）'!$AA542=""),"",分期持仓明细!$AB$25*(SUMPRODUCT(分期持仓明细!$B$25:$Y$25,'实盘净值数据(iFinD）'!$B542:$Y542/'实盘净值数据(iFinD）'!$B$65:$Y$65)+SUMPRODUCT(分期持仓明细!$AC$25:$AD$25,'实盘净值数据(iFinD）'!$Z542:$AA542/'实盘净值数据(iFinD）'!$Z$65:$AA$65))*(1-实盘持仓初始配置!$Z$9)^(('实盘净值数据(iFinD）'!$A542-'实盘净值数据(iFinD）'!$A$8)/365))</f>
        <v/>
      </c>
      <c r="R542" s="16" t="str">
        <f t="shared" si="53"/>
        <v/>
      </c>
      <c r="S542" s="16" t="str">
        <f>IF(Q542="","",Q542/MAX(Q$5:Q542)-1)</f>
        <v/>
      </c>
      <c r="T542" s="13">
        <f>IF(OR('实盘净值数据(iFinD）'!$A542="",'实盘净值数据(iFinD）'!$B542="",'实盘净值数据(iFinD）'!$Z542="",'实盘净值数据(iFinD）'!$AA542="",'实盘净值数据(iFinD）'!$AB542="",'实盘净值数据(iFinD）'!$AL542=""),"",(SUMPRODUCT(分期持仓明细!$B$26:$Y$26,'实盘净值数据(iFinD）'!$B542:$Y542/'实盘净值数据(iFinD）'!$B$69:$Y$69)+SUMPRODUCT(分期持仓明细!$AC$26:$AD$26,'实盘净值数据(iFinD）'!$Z542:$AA542/'实盘净值数据(iFinD）'!$Z$69:$AA$69)+SUMPRODUCT(分期持仓明细!$AE$26:$AO$26,'实盘净值数据(iFinD）'!$AB542:$AL542/'实盘净值数据(iFinD）'!$AB$69:$AL$69))*(1-实盘持仓初始配置!$Z$10)^(('实盘净值数据(iFinD）'!$A542-'实盘净值数据(iFinD）'!$A$69)/365))</f>
        <v/>
      </c>
      <c r="U542" s="16">
        <f>IF(OR(T541="",T542=""),"",T542/T541-1)</f>
        <v/>
      </c>
      <c r="V542" s="16">
        <f>IF(T542="","",T542/MAX(T$5:T542)-1)</f>
        <v/>
      </c>
    </row>
    <row r="543" spans="1:19">
      <c r="A543" s="15" t="str">
        <f>IF('实盘净值数据(iFinD）'!A543="","",'实盘净值数据(iFinD）'!A543)</f>
        <v/>
      </c>
      <c r="B543" s="13" t="str">
        <f>IF(OR('实盘净值数据(iFinD）'!$A543="",'实盘净值数据(iFinD）'!$B543=""),"",分期持仓明细!$AB$17*SUMPRODUCT(分期持仓明细!$B$17:$Y$17,'实盘净值数据(iFinD）'!$B543:$Y543/'实盘净值数据(iFinD）'!$B$20:$Y$20)*(1-实盘持仓初始配置!$Z$4)^(('实盘净值数据(iFinD）'!$A543-'实盘净值数据(iFinD）'!$A$6)/365))</f>
        <v/>
      </c>
      <c r="C543" s="16" t="str">
        <f t="shared" si="48"/>
        <v/>
      </c>
      <c r="D543" s="16" t="str">
        <f>IF(B543="","",B543/MAX(B$5:B543)-1)</f>
        <v/>
      </c>
      <c r="E543" s="13" t="str">
        <f>IF(OR('实盘净值数据(iFinD）'!$A543="",'实盘净值数据(iFinD）'!$B543=""),"",分期持仓明细!$AB$18*SUMPRODUCT(分期持仓明细!$B$18:$Y$18,'实盘净值数据(iFinD）'!$B543:$Y543/'实盘净值数据(iFinD）'!$B$20:$Y$20)*(1-实盘持仓初始配置!$Z$5)^(('实盘净值数据(iFinD）'!$A543-'实盘净值数据(iFinD）'!$A$5)/365))</f>
        <v/>
      </c>
      <c r="F543" s="16" t="str">
        <f t="shared" si="49"/>
        <v/>
      </c>
      <c r="G543" s="16" t="str">
        <f>IF(E543="","",E543/MAX(E$5:E543)-1)</f>
        <v/>
      </c>
      <c r="H543" s="13" t="str">
        <f>IF(OR('实盘净值数据(iFinD）'!$A543="",'实盘净值数据(iFinD）'!$B543=""),"",分期持仓明细!$AB$19*SUMPRODUCT(分期持仓明细!$B$19:$Y$19,'实盘净值数据(iFinD）'!$B543:$Y543/'实盘净值数据(iFinD）'!$B$20:$Y$20)*(1-实盘持仓初始配置!$Z$6)^(('实盘净值数据(iFinD）'!$A543-'实盘净值数据(iFinD）'!$A$7)/365))</f>
        <v/>
      </c>
      <c r="I543" s="16" t="str">
        <f t="shared" si="50"/>
        <v/>
      </c>
      <c r="J543" s="16" t="str">
        <f>IF(H543="","",H543/MAX(H$5:H543)-1)</f>
        <v/>
      </c>
      <c r="K543" s="13" t="str">
        <f>IF(OR('实盘净值数据(iFinD）'!$A543="",'实盘净值数据(iFinD）'!$B543="",'实盘净值数据(iFinD）'!$Z543="",'实盘净值数据(iFinD）'!$AA543=""),"",分期持仓明细!$AB$23*(SUMPRODUCT(分期持仓明细!$B$23:$Y$23,'实盘净值数据(iFinD）'!$B543:$Y543/'实盘净值数据(iFinD）'!$B$65:$Y$65)+SUMPRODUCT(分期持仓明细!$AC$23:$AD$23,'实盘净值数据(iFinD）'!$Z543:$AA543/'实盘净值数据(iFinD）'!$Z$65:$AA$65))*(1-实盘持仓初始配置!$Z$7)^(('实盘净值数据(iFinD）'!$A543-'实盘净值数据(iFinD）'!$A$8)/365))</f>
        <v/>
      </c>
      <c r="L543" s="16" t="str">
        <f t="shared" si="51"/>
        <v/>
      </c>
      <c r="M543" s="16" t="str">
        <f>IF(K543="","",K543/MAX(K$5:K543)-1)</f>
        <v/>
      </c>
      <c r="N543" s="13" t="str">
        <f>IF(OR('实盘净值数据(iFinD）'!$A543="",'实盘净值数据(iFinD）'!$B543="",'实盘净值数据(iFinD）'!$Z543="",'实盘净值数据(iFinD）'!$AA543=""),"",分期持仓明细!$AB$24*(SUMPRODUCT(分期持仓明细!$B$24:$Y$24,'实盘净值数据(iFinD）'!$B543:$Y543/'实盘净值数据(iFinD）'!$B$65:$Y$65)+SUMPRODUCT(分期持仓明细!$AC$24:$AD$24,'实盘净值数据(iFinD）'!$Z543:$AA543/'实盘净值数据(iFinD）'!$Z$65:$AA$65))*(1-实盘持仓初始配置!$Z$8)^(('实盘净值数据(iFinD）'!$A543-'实盘净值数据(iFinD）'!$A$5)/365))</f>
        <v/>
      </c>
      <c r="O543" s="16" t="str">
        <f t="shared" si="52"/>
        <v/>
      </c>
      <c r="P543" s="16" t="str">
        <f>IF(N543="","",N543/MAX(N$5:N543)-1)</f>
        <v/>
      </c>
      <c r="Q543" s="13" t="str">
        <f>IF(OR('实盘净值数据(iFinD）'!$A543="",'实盘净值数据(iFinD）'!$B543="",'实盘净值数据(iFinD）'!$Z543="",'实盘净值数据(iFinD）'!$AA543=""),"",分期持仓明细!$AB$25*(SUMPRODUCT(分期持仓明细!$B$25:$Y$25,'实盘净值数据(iFinD）'!$B543:$Y543/'实盘净值数据(iFinD）'!$B$65:$Y$65)+SUMPRODUCT(分期持仓明细!$AC$25:$AD$25,'实盘净值数据(iFinD）'!$Z543:$AA543/'实盘净值数据(iFinD）'!$Z$65:$AA$65))*(1-实盘持仓初始配置!$Z$9)^(('实盘净值数据(iFinD）'!$A543-'实盘净值数据(iFinD）'!$A$8)/365))</f>
        <v/>
      </c>
      <c r="R543" s="16" t="str">
        <f t="shared" si="53"/>
        <v/>
      </c>
      <c r="S543" s="16" t="str">
        <f>IF(Q543="","",Q543/MAX(Q$5:Q543)-1)</f>
        <v/>
      </c>
      <c r="T543" s="13">
        <f>IF(OR('实盘净值数据(iFinD）'!$A543="",'实盘净值数据(iFinD）'!$B543="",'实盘净值数据(iFinD）'!$Z543="",'实盘净值数据(iFinD）'!$AA543="",'实盘净值数据(iFinD）'!$AB543="",'实盘净值数据(iFinD）'!$AL543=""),"",(SUMPRODUCT(分期持仓明细!$B$26:$Y$26,'实盘净值数据(iFinD）'!$B543:$Y543/'实盘净值数据(iFinD）'!$B$69:$Y$69)+SUMPRODUCT(分期持仓明细!$AC$26:$AD$26,'实盘净值数据(iFinD）'!$Z543:$AA543/'实盘净值数据(iFinD）'!$Z$69:$AA$69)+SUMPRODUCT(分期持仓明细!$AE$26:$AO$26,'实盘净值数据(iFinD）'!$AB543:$AL543/'实盘净值数据(iFinD）'!$AB$69:$AL$69))*(1-实盘持仓初始配置!$Z$10)^(('实盘净值数据(iFinD）'!$A543-'实盘净值数据(iFinD）'!$A$69)/365))</f>
        <v/>
      </c>
      <c r="U543" s="16">
        <f>IF(OR(T542="",T543=""),"",T543/T542-1)</f>
        <v/>
      </c>
      <c r="V543" s="16">
        <f>IF(T543="","",T543/MAX(T$5:T543)-1)</f>
        <v/>
      </c>
    </row>
    <row r="544" spans="1:19">
      <c r="A544" s="15" t="str">
        <f>IF('实盘净值数据(iFinD）'!A544="","",'实盘净值数据(iFinD）'!A544)</f>
        <v/>
      </c>
      <c r="B544" s="13" t="str">
        <f>IF(OR('实盘净值数据(iFinD）'!$A544="",'实盘净值数据(iFinD）'!$B544=""),"",分期持仓明细!$AB$17*SUMPRODUCT(分期持仓明细!$B$17:$Y$17,'实盘净值数据(iFinD）'!$B544:$Y544/'实盘净值数据(iFinD）'!$B$20:$Y$20)*(1-实盘持仓初始配置!$Z$4)^(('实盘净值数据(iFinD）'!$A544-'实盘净值数据(iFinD）'!$A$6)/365))</f>
        <v/>
      </c>
      <c r="C544" s="16" t="str">
        <f t="shared" si="48"/>
        <v/>
      </c>
      <c r="D544" s="16" t="str">
        <f>IF(B544="","",B544/MAX(B$5:B544)-1)</f>
        <v/>
      </c>
      <c r="E544" s="13" t="str">
        <f>IF(OR('实盘净值数据(iFinD）'!$A544="",'实盘净值数据(iFinD）'!$B544=""),"",分期持仓明细!$AB$18*SUMPRODUCT(分期持仓明细!$B$18:$Y$18,'实盘净值数据(iFinD）'!$B544:$Y544/'实盘净值数据(iFinD）'!$B$20:$Y$20)*(1-实盘持仓初始配置!$Z$5)^(('实盘净值数据(iFinD）'!$A544-'实盘净值数据(iFinD）'!$A$5)/365))</f>
        <v/>
      </c>
      <c r="F544" s="16" t="str">
        <f t="shared" si="49"/>
        <v/>
      </c>
      <c r="G544" s="16" t="str">
        <f>IF(E544="","",E544/MAX(E$5:E544)-1)</f>
        <v/>
      </c>
      <c r="H544" s="13" t="str">
        <f>IF(OR('实盘净值数据(iFinD）'!$A544="",'实盘净值数据(iFinD）'!$B544=""),"",分期持仓明细!$AB$19*SUMPRODUCT(分期持仓明细!$B$19:$Y$19,'实盘净值数据(iFinD）'!$B544:$Y544/'实盘净值数据(iFinD）'!$B$20:$Y$20)*(1-实盘持仓初始配置!$Z$6)^(('实盘净值数据(iFinD）'!$A544-'实盘净值数据(iFinD）'!$A$7)/365))</f>
        <v/>
      </c>
      <c r="I544" s="16" t="str">
        <f t="shared" si="50"/>
        <v/>
      </c>
      <c r="J544" s="16" t="str">
        <f>IF(H544="","",H544/MAX(H$5:H544)-1)</f>
        <v/>
      </c>
      <c r="K544" s="13" t="str">
        <f>IF(OR('实盘净值数据(iFinD）'!$A544="",'实盘净值数据(iFinD）'!$B544="",'实盘净值数据(iFinD）'!$Z544="",'实盘净值数据(iFinD）'!$AA544=""),"",分期持仓明细!$AB$23*(SUMPRODUCT(分期持仓明细!$B$23:$Y$23,'实盘净值数据(iFinD）'!$B544:$Y544/'实盘净值数据(iFinD）'!$B$65:$Y$65)+SUMPRODUCT(分期持仓明细!$AC$23:$AD$23,'实盘净值数据(iFinD）'!$Z544:$AA544/'实盘净值数据(iFinD）'!$Z$65:$AA$65))*(1-实盘持仓初始配置!$Z$7)^(('实盘净值数据(iFinD）'!$A544-'实盘净值数据(iFinD）'!$A$8)/365))</f>
        <v/>
      </c>
      <c r="L544" s="16" t="str">
        <f t="shared" si="51"/>
        <v/>
      </c>
      <c r="M544" s="16" t="str">
        <f>IF(K544="","",K544/MAX(K$5:K544)-1)</f>
        <v/>
      </c>
      <c r="N544" s="13" t="str">
        <f>IF(OR('实盘净值数据(iFinD）'!$A544="",'实盘净值数据(iFinD）'!$B544="",'实盘净值数据(iFinD）'!$Z544="",'实盘净值数据(iFinD）'!$AA544=""),"",分期持仓明细!$AB$24*(SUMPRODUCT(分期持仓明细!$B$24:$Y$24,'实盘净值数据(iFinD）'!$B544:$Y544/'实盘净值数据(iFinD）'!$B$65:$Y$65)+SUMPRODUCT(分期持仓明细!$AC$24:$AD$24,'实盘净值数据(iFinD）'!$Z544:$AA544/'实盘净值数据(iFinD）'!$Z$65:$AA$65))*(1-实盘持仓初始配置!$Z$8)^(('实盘净值数据(iFinD）'!$A544-'实盘净值数据(iFinD）'!$A$5)/365))</f>
        <v/>
      </c>
      <c r="O544" s="16" t="str">
        <f t="shared" si="52"/>
        <v/>
      </c>
      <c r="P544" s="16" t="str">
        <f>IF(N544="","",N544/MAX(N$5:N544)-1)</f>
        <v/>
      </c>
      <c r="Q544" s="13" t="str">
        <f>IF(OR('实盘净值数据(iFinD）'!$A544="",'实盘净值数据(iFinD）'!$B544="",'实盘净值数据(iFinD）'!$Z544="",'实盘净值数据(iFinD）'!$AA544=""),"",分期持仓明细!$AB$25*(SUMPRODUCT(分期持仓明细!$B$25:$Y$25,'实盘净值数据(iFinD）'!$B544:$Y544/'实盘净值数据(iFinD）'!$B$65:$Y$65)+SUMPRODUCT(分期持仓明细!$AC$25:$AD$25,'实盘净值数据(iFinD）'!$Z544:$AA544/'实盘净值数据(iFinD）'!$Z$65:$AA$65))*(1-实盘持仓初始配置!$Z$9)^(('实盘净值数据(iFinD）'!$A544-'实盘净值数据(iFinD）'!$A$8)/365))</f>
        <v/>
      </c>
      <c r="R544" s="16" t="str">
        <f t="shared" si="53"/>
        <v/>
      </c>
      <c r="S544" s="16" t="str">
        <f>IF(Q544="","",Q544/MAX(Q$5:Q544)-1)</f>
        <v/>
      </c>
      <c r="T544" s="13">
        <f>IF(OR('实盘净值数据(iFinD）'!$A544="",'实盘净值数据(iFinD）'!$B544="",'实盘净值数据(iFinD）'!$Z544="",'实盘净值数据(iFinD）'!$AA544="",'实盘净值数据(iFinD）'!$AB544="",'实盘净值数据(iFinD）'!$AL544=""),"",(SUMPRODUCT(分期持仓明细!$B$26:$Y$26,'实盘净值数据(iFinD）'!$B544:$Y544/'实盘净值数据(iFinD）'!$B$69:$Y$69)+SUMPRODUCT(分期持仓明细!$AC$26:$AD$26,'实盘净值数据(iFinD）'!$Z544:$AA544/'实盘净值数据(iFinD）'!$Z$69:$AA$69)+SUMPRODUCT(分期持仓明细!$AE$26:$AO$26,'实盘净值数据(iFinD）'!$AB544:$AL544/'实盘净值数据(iFinD）'!$AB$69:$AL$69))*(1-实盘持仓初始配置!$Z$10)^(('实盘净值数据(iFinD）'!$A544-'实盘净值数据(iFinD）'!$A$69)/365))</f>
        <v/>
      </c>
      <c r="U544" s="16">
        <f>IF(OR(T543="",T544=""),"",T544/T543-1)</f>
        <v/>
      </c>
      <c r="V544" s="16">
        <f>IF(T544="","",T544/MAX(T$5:T544)-1)</f>
        <v/>
      </c>
    </row>
    <row r="545" spans="1:19">
      <c r="A545" s="15" t="str">
        <f>IF('实盘净值数据(iFinD）'!A545="","",'实盘净值数据(iFinD）'!A545)</f>
        <v/>
      </c>
      <c r="B545" s="13" t="str">
        <f>IF(OR('实盘净值数据(iFinD）'!$A545="",'实盘净值数据(iFinD）'!$B545=""),"",分期持仓明细!$AB$17*SUMPRODUCT(分期持仓明细!$B$17:$Y$17,'实盘净值数据(iFinD）'!$B545:$Y545/'实盘净值数据(iFinD）'!$B$20:$Y$20)*(1-实盘持仓初始配置!$Z$4)^(('实盘净值数据(iFinD）'!$A545-'实盘净值数据(iFinD）'!$A$6)/365))</f>
        <v/>
      </c>
      <c r="C545" s="16" t="str">
        <f t="shared" si="48"/>
        <v/>
      </c>
      <c r="D545" s="16" t="str">
        <f>IF(B545="","",B545/MAX(B$5:B545)-1)</f>
        <v/>
      </c>
      <c r="E545" s="13" t="str">
        <f>IF(OR('实盘净值数据(iFinD）'!$A545="",'实盘净值数据(iFinD）'!$B545=""),"",分期持仓明细!$AB$18*SUMPRODUCT(分期持仓明细!$B$18:$Y$18,'实盘净值数据(iFinD）'!$B545:$Y545/'实盘净值数据(iFinD）'!$B$20:$Y$20)*(1-实盘持仓初始配置!$Z$5)^(('实盘净值数据(iFinD）'!$A545-'实盘净值数据(iFinD）'!$A$5)/365))</f>
        <v/>
      </c>
      <c r="F545" s="16" t="str">
        <f t="shared" si="49"/>
        <v/>
      </c>
      <c r="G545" s="16" t="str">
        <f>IF(E545="","",E545/MAX(E$5:E545)-1)</f>
        <v/>
      </c>
      <c r="H545" s="13" t="str">
        <f>IF(OR('实盘净值数据(iFinD）'!$A545="",'实盘净值数据(iFinD）'!$B545=""),"",分期持仓明细!$AB$19*SUMPRODUCT(分期持仓明细!$B$19:$Y$19,'实盘净值数据(iFinD）'!$B545:$Y545/'实盘净值数据(iFinD）'!$B$20:$Y$20)*(1-实盘持仓初始配置!$Z$6)^(('实盘净值数据(iFinD）'!$A545-'实盘净值数据(iFinD）'!$A$7)/365))</f>
        <v/>
      </c>
      <c r="I545" s="16" t="str">
        <f t="shared" si="50"/>
        <v/>
      </c>
      <c r="J545" s="16" t="str">
        <f>IF(H545="","",H545/MAX(H$5:H545)-1)</f>
        <v/>
      </c>
      <c r="K545" s="13" t="str">
        <f>IF(OR('实盘净值数据(iFinD）'!$A545="",'实盘净值数据(iFinD）'!$B545="",'实盘净值数据(iFinD）'!$Z545="",'实盘净值数据(iFinD）'!$AA545=""),"",分期持仓明细!$AB$23*(SUMPRODUCT(分期持仓明细!$B$23:$Y$23,'实盘净值数据(iFinD）'!$B545:$Y545/'实盘净值数据(iFinD）'!$B$65:$Y$65)+SUMPRODUCT(分期持仓明细!$AC$23:$AD$23,'实盘净值数据(iFinD）'!$Z545:$AA545/'实盘净值数据(iFinD）'!$Z$65:$AA$65))*(1-实盘持仓初始配置!$Z$7)^(('实盘净值数据(iFinD）'!$A545-'实盘净值数据(iFinD）'!$A$8)/365))</f>
        <v/>
      </c>
      <c r="L545" s="16" t="str">
        <f t="shared" si="51"/>
        <v/>
      </c>
      <c r="M545" s="16" t="str">
        <f>IF(K545="","",K545/MAX(K$5:K545)-1)</f>
        <v/>
      </c>
      <c r="N545" s="13" t="str">
        <f>IF(OR('实盘净值数据(iFinD）'!$A545="",'实盘净值数据(iFinD）'!$B545="",'实盘净值数据(iFinD）'!$Z545="",'实盘净值数据(iFinD）'!$AA545=""),"",分期持仓明细!$AB$24*(SUMPRODUCT(分期持仓明细!$B$24:$Y$24,'实盘净值数据(iFinD）'!$B545:$Y545/'实盘净值数据(iFinD）'!$B$65:$Y$65)+SUMPRODUCT(分期持仓明细!$AC$24:$AD$24,'实盘净值数据(iFinD）'!$Z545:$AA545/'实盘净值数据(iFinD）'!$Z$65:$AA$65))*(1-实盘持仓初始配置!$Z$8)^(('实盘净值数据(iFinD）'!$A545-'实盘净值数据(iFinD）'!$A$5)/365))</f>
        <v/>
      </c>
      <c r="O545" s="16" t="str">
        <f t="shared" si="52"/>
        <v/>
      </c>
      <c r="P545" s="16" t="str">
        <f>IF(N545="","",N545/MAX(N$5:N545)-1)</f>
        <v/>
      </c>
      <c r="Q545" s="13" t="str">
        <f>IF(OR('实盘净值数据(iFinD）'!$A545="",'实盘净值数据(iFinD）'!$B545="",'实盘净值数据(iFinD）'!$Z545="",'实盘净值数据(iFinD）'!$AA545=""),"",分期持仓明细!$AB$25*(SUMPRODUCT(分期持仓明细!$B$25:$Y$25,'实盘净值数据(iFinD）'!$B545:$Y545/'实盘净值数据(iFinD）'!$B$65:$Y$65)+SUMPRODUCT(分期持仓明细!$AC$25:$AD$25,'实盘净值数据(iFinD）'!$Z545:$AA545/'实盘净值数据(iFinD）'!$Z$65:$AA$65))*(1-实盘持仓初始配置!$Z$9)^(('实盘净值数据(iFinD）'!$A545-'实盘净值数据(iFinD）'!$A$8)/365))</f>
        <v/>
      </c>
      <c r="R545" s="16" t="str">
        <f t="shared" si="53"/>
        <v/>
      </c>
      <c r="S545" s="16" t="str">
        <f>IF(Q545="","",Q545/MAX(Q$5:Q545)-1)</f>
        <v/>
      </c>
      <c r="T545" s="13">
        <f>IF(OR('实盘净值数据(iFinD）'!$A545="",'实盘净值数据(iFinD）'!$B545="",'实盘净值数据(iFinD）'!$Z545="",'实盘净值数据(iFinD）'!$AA545="",'实盘净值数据(iFinD）'!$AB545="",'实盘净值数据(iFinD）'!$AL545=""),"",(SUMPRODUCT(分期持仓明细!$B$26:$Y$26,'实盘净值数据(iFinD）'!$B545:$Y545/'实盘净值数据(iFinD）'!$B$69:$Y$69)+SUMPRODUCT(分期持仓明细!$AC$26:$AD$26,'实盘净值数据(iFinD）'!$Z545:$AA545/'实盘净值数据(iFinD）'!$Z$69:$AA$69)+SUMPRODUCT(分期持仓明细!$AE$26:$AO$26,'实盘净值数据(iFinD）'!$AB545:$AL545/'实盘净值数据(iFinD）'!$AB$69:$AL$69))*(1-实盘持仓初始配置!$Z$10)^(('实盘净值数据(iFinD）'!$A545-'实盘净值数据(iFinD）'!$A$69)/365))</f>
        <v/>
      </c>
      <c r="U545" s="16">
        <f>IF(OR(T544="",T545=""),"",T545/T544-1)</f>
        <v/>
      </c>
      <c r="V545" s="16">
        <f>IF(T545="","",T545/MAX(T$5:T545)-1)</f>
        <v/>
      </c>
    </row>
    <row r="546" spans="1:19">
      <c r="A546" s="15" t="str">
        <f>IF('实盘净值数据(iFinD）'!A546="","",'实盘净值数据(iFinD）'!A546)</f>
        <v/>
      </c>
      <c r="B546" s="13" t="str">
        <f>IF(OR('实盘净值数据(iFinD）'!$A546="",'实盘净值数据(iFinD）'!$B546=""),"",分期持仓明细!$AB$17*SUMPRODUCT(分期持仓明细!$B$17:$Y$17,'实盘净值数据(iFinD）'!$B546:$Y546/'实盘净值数据(iFinD）'!$B$20:$Y$20)*(1-实盘持仓初始配置!$Z$4)^(('实盘净值数据(iFinD）'!$A546-'实盘净值数据(iFinD）'!$A$6)/365))</f>
        <v/>
      </c>
      <c r="C546" s="16" t="str">
        <f t="shared" si="48"/>
        <v/>
      </c>
      <c r="D546" s="16" t="str">
        <f>IF(B546="","",B546/MAX(B$5:B546)-1)</f>
        <v/>
      </c>
      <c r="E546" s="13" t="str">
        <f>IF(OR('实盘净值数据(iFinD）'!$A546="",'实盘净值数据(iFinD）'!$B546=""),"",分期持仓明细!$AB$18*SUMPRODUCT(分期持仓明细!$B$18:$Y$18,'实盘净值数据(iFinD）'!$B546:$Y546/'实盘净值数据(iFinD）'!$B$20:$Y$20)*(1-实盘持仓初始配置!$Z$5)^(('实盘净值数据(iFinD）'!$A546-'实盘净值数据(iFinD）'!$A$5)/365))</f>
        <v/>
      </c>
      <c r="F546" s="16" t="str">
        <f t="shared" si="49"/>
        <v/>
      </c>
      <c r="G546" s="16" t="str">
        <f>IF(E546="","",E546/MAX(E$5:E546)-1)</f>
        <v/>
      </c>
      <c r="H546" s="13" t="str">
        <f>IF(OR('实盘净值数据(iFinD）'!$A546="",'实盘净值数据(iFinD）'!$B546=""),"",分期持仓明细!$AB$19*SUMPRODUCT(分期持仓明细!$B$19:$Y$19,'实盘净值数据(iFinD）'!$B546:$Y546/'实盘净值数据(iFinD）'!$B$20:$Y$20)*(1-实盘持仓初始配置!$Z$6)^(('实盘净值数据(iFinD）'!$A546-'实盘净值数据(iFinD）'!$A$7)/365))</f>
        <v/>
      </c>
      <c r="I546" s="16" t="str">
        <f t="shared" si="50"/>
        <v/>
      </c>
      <c r="J546" s="16" t="str">
        <f>IF(H546="","",H546/MAX(H$5:H546)-1)</f>
        <v/>
      </c>
      <c r="K546" s="13" t="str">
        <f>IF(OR('实盘净值数据(iFinD）'!$A546="",'实盘净值数据(iFinD）'!$B546="",'实盘净值数据(iFinD）'!$Z546="",'实盘净值数据(iFinD）'!$AA546=""),"",分期持仓明细!$AB$23*(SUMPRODUCT(分期持仓明细!$B$23:$Y$23,'实盘净值数据(iFinD）'!$B546:$Y546/'实盘净值数据(iFinD）'!$B$65:$Y$65)+SUMPRODUCT(分期持仓明细!$AC$23:$AD$23,'实盘净值数据(iFinD）'!$Z546:$AA546/'实盘净值数据(iFinD）'!$Z$65:$AA$65))*(1-实盘持仓初始配置!$Z$7)^(('实盘净值数据(iFinD）'!$A546-'实盘净值数据(iFinD）'!$A$8)/365))</f>
        <v/>
      </c>
      <c r="L546" s="16" t="str">
        <f t="shared" si="51"/>
        <v/>
      </c>
      <c r="M546" s="16" t="str">
        <f>IF(K546="","",K546/MAX(K$5:K546)-1)</f>
        <v/>
      </c>
      <c r="N546" s="13" t="str">
        <f>IF(OR('实盘净值数据(iFinD）'!$A546="",'实盘净值数据(iFinD）'!$B546="",'实盘净值数据(iFinD）'!$Z546="",'实盘净值数据(iFinD）'!$AA546=""),"",分期持仓明细!$AB$24*(SUMPRODUCT(分期持仓明细!$B$24:$Y$24,'实盘净值数据(iFinD）'!$B546:$Y546/'实盘净值数据(iFinD）'!$B$65:$Y$65)+SUMPRODUCT(分期持仓明细!$AC$24:$AD$24,'实盘净值数据(iFinD）'!$Z546:$AA546/'实盘净值数据(iFinD）'!$Z$65:$AA$65))*(1-实盘持仓初始配置!$Z$8)^(('实盘净值数据(iFinD）'!$A546-'实盘净值数据(iFinD）'!$A$5)/365))</f>
        <v/>
      </c>
      <c r="O546" s="16" t="str">
        <f t="shared" si="52"/>
        <v/>
      </c>
      <c r="P546" s="16" t="str">
        <f>IF(N546="","",N546/MAX(N$5:N546)-1)</f>
        <v/>
      </c>
      <c r="Q546" s="13" t="str">
        <f>IF(OR('实盘净值数据(iFinD）'!$A546="",'实盘净值数据(iFinD）'!$B546="",'实盘净值数据(iFinD）'!$Z546="",'实盘净值数据(iFinD）'!$AA546=""),"",分期持仓明细!$AB$25*(SUMPRODUCT(分期持仓明细!$B$25:$Y$25,'实盘净值数据(iFinD）'!$B546:$Y546/'实盘净值数据(iFinD）'!$B$65:$Y$65)+SUMPRODUCT(分期持仓明细!$AC$25:$AD$25,'实盘净值数据(iFinD）'!$Z546:$AA546/'实盘净值数据(iFinD）'!$Z$65:$AA$65))*(1-实盘持仓初始配置!$Z$9)^(('实盘净值数据(iFinD）'!$A546-'实盘净值数据(iFinD）'!$A$8)/365))</f>
        <v/>
      </c>
      <c r="R546" s="16" t="str">
        <f t="shared" si="53"/>
        <v/>
      </c>
      <c r="S546" s="16" t="str">
        <f>IF(Q546="","",Q546/MAX(Q$5:Q546)-1)</f>
        <v/>
      </c>
      <c r="T546" s="13">
        <f>IF(OR('实盘净值数据(iFinD）'!$A546="",'实盘净值数据(iFinD）'!$B546="",'实盘净值数据(iFinD）'!$Z546="",'实盘净值数据(iFinD）'!$AA546="",'实盘净值数据(iFinD）'!$AB546="",'实盘净值数据(iFinD）'!$AL546=""),"",(SUMPRODUCT(分期持仓明细!$B$26:$Y$26,'实盘净值数据(iFinD）'!$B546:$Y546/'实盘净值数据(iFinD）'!$B$69:$Y$69)+SUMPRODUCT(分期持仓明细!$AC$26:$AD$26,'实盘净值数据(iFinD）'!$Z546:$AA546/'实盘净值数据(iFinD）'!$Z$69:$AA$69)+SUMPRODUCT(分期持仓明细!$AE$26:$AO$26,'实盘净值数据(iFinD）'!$AB546:$AL546/'实盘净值数据(iFinD）'!$AB$69:$AL$69))*(1-实盘持仓初始配置!$Z$10)^(('实盘净值数据(iFinD）'!$A546-'实盘净值数据(iFinD）'!$A$69)/365))</f>
        <v/>
      </c>
      <c r="U546" s="16">
        <f>IF(OR(T545="",T546=""),"",T546/T545-1)</f>
        <v/>
      </c>
      <c r="V546" s="16">
        <f>IF(T546="","",T546/MAX(T$5:T546)-1)</f>
        <v/>
      </c>
    </row>
    <row r="547" spans="1:19">
      <c r="A547" s="15" t="str">
        <f>IF('实盘净值数据(iFinD）'!A547="","",'实盘净值数据(iFinD）'!A547)</f>
        <v/>
      </c>
      <c r="B547" s="13" t="str">
        <f>IF(OR('实盘净值数据(iFinD）'!$A547="",'实盘净值数据(iFinD）'!$B547=""),"",分期持仓明细!$AB$17*SUMPRODUCT(分期持仓明细!$B$17:$Y$17,'实盘净值数据(iFinD）'!$B547:$Y547/'实盘净值数据(iFinD）'!$B$20:$Y$20)*(1-实盘持仓初始配置!$Z$4)^(('实盘净值数据(iFinD）'!$A547-'实盘净值数据(iFinD）'!$A$6)/365))</f>
        <v/>
      </c>
      <c r="C547" s="16" t="str">
        <f t="shared" si="48"/>
        <v/>
      </c>
      <c r="D547" s="16" t="str">
        <f>IF(B547="","",B547/MAX(B$5:B547)-1)</f>
        <v/>
      </c>
      <c r="E547" s="13" t="str">
        <f>IF(OR('实盘净值数据(iFinD）'!$A547="",'实盘净值数据(iFinD）'!$B547=""),"",分期持仓明细!$AB$18*SUMPRODUCT(分期持仓明细!$B$18:$Y$18,'实盘净值数据(iFinD）'!$B547:$Y547/'实盘净值数据(iFinD）'!$B$20:$Y$20)*(1-实盘持仓初始配置!$Z$5)^(('实盘净值数据(iFinD）'!$A547-'实盘净值数据(iFinD）'!$A$5)/365))</f>
        <v/>
      </c>
      <c r="F547" s="16" t="str">
        <f t="shared" si="49"/>
        <v/>
      </c>
      <c r="G547" s="16" t="str">
        <f>IF(E547="","",E547/MAX(E$5:E547)-1)</f>
        <v/>
      </c>
      <c r="H547" s="13" t="str">
        <f>IF(OR('实盘净值数据(iFinD）'!$A547="",'实盘净值数据(iFinD）'!$B547=""),"",分期持仓明细!$AB$19*SUMPRODUCT(分期持仓明细!$B$19:$Y$19,'实盘净值数据(iFinD）'!$B547:$Y547/'实盘净值数据(iFinD）'!$B$20:$Y$20)*(1-实盘持仓初始配置!$Z$6)^(('实盘净值数据(iFinD）'!$A547-'实盘净值数据(iFinD）'!$A$7)/365))</f>
        <v/>
      </c>
      <c r="I547" s="16" t="str">
        <f t="shared" si="50"/>
        <v/>
      </c>
      <c r="J547" s="16" t="str">
        <f>IF(H547="","",H547/MAX(H$5:H547)-1)</f>
        <v/>
      </c>
      <c r="K547" s="13" t="str">
        <f>IF(OR('实盘净值数据(iFinD）'!$A547="",'实盘净值数据(iFinD）'!$B547="",'实盘净值数据(iFinD）'!$Z547="",'实盘净值数据(iFinD）'!$AA547=""),"",分期持仓明细!$AB$23*(SUMPRODUCT(分期持仓明细!$B$23:$Y$23,'实盘净值数据(iFinD）'!$B547:$Y547/'实盘净值数据(iFinD）'!$B$65:$Y$65)+SUMPRODUCT(分期持仓明细!$AC$23:$AD$23,'实盘净值数据(iFinD）'!$Z547:$AA547/'实盘净值数据(iFinD）'!$Z$65:$AA$65))*(1-实盘持仓初始配置!$Z$7)^(('实盘净值数据(iFinD）'!$A547-'实盘净值数据(iFinD）'!$A$8)/365))</f>
        <v/>
      </c>
      <c r="L547" s="16" t="str">
        <f t="shared" si="51"/>
        <v/>
      </c>
      <c r="M547" s="16" t="str">
        <f>IF(K547="","",K547/MAX(K$5:K547)-1)</f>
        <v/>
      </c>
      <c r="N547" s="13" t="str">
        <f>IF(OR('实盘净值数据(iFinD）'!$A547="",'实盘净值数据(iFinD）'!$B547="",'实盘净值数据(iFinD）'!$Z547="",'实盘净值数据(iFinD）'!$AA547=""),"",分期持仓明细!$AB$24*(SUMPRODUCT(分期持仓明细!$B$24:$Y$24,'实盘净值数据(iFinD）'!$B547:$Y547/'实盘净值数据(iFinD）'!$B$65:$Y$65)+SUMPRODUCT(分期持仓明细!$AC$24:$AD$24,'实盘净值数据(iFinD）'!$Z547:$AA547/'实盘净值数据(iFinD）'!$Z$65:$AA$65))*(1-实盘持仓初始配置!$Z$8)^(('实盘净值数据(iFinD）'!$A547-'实盘净值数据(iFinD）'!$A$5)/365))</f>
        <v/>
      </c>
      <c r="O547" s="16" t="str">
        <f t="shared" si="52"/>
        <v/>
      </c>
      <c r="P547" s="16" t="str">
        <f>IF(N547="","",N547/MAX(N$5:N547)-1)</f>
        <v/>
      </c>
      <c r="Q547" s="13" t="str">
        <f>IF(OR('实盘净值数据(iFinD）'!$A547="",'实盘净值数据(iFinD）'!$B547="",'实盘净值数据(iFinD）'!$Z547="",'实盘净值数据(iFinD）'!$AA547=""),"",分期持仓明细!$AB$25*(SUMPRODUCT(分期持仓明细!$B$25:$Y$25,'实盘净值数据(iFinD）'!$B547:$Y547/'实盘净值数据(iFinD）'!$B$65:$Y$65)+SUMPRODUCT(分期持仓明细!$AC$25:$AD$25,'实盘净值数据(iFinD）'!$Z547:$AA547/'实盘净值数据(iFinD）'!$Z$65:$AA$65))*(1-实盘持仓初始配置!$Z$9)^(('实盘净值数据(iFinD）'!$A547-'实盘净值数据(iFinD）'!$A$8)/365))</f>
        <v/>
      </c>
      <c r="R547" s="16" t="str">
        <f t="shared" si="53"/>
        <v/>
      </c>
      <c r="S547" s="16" t="str">
        <f>IF(Q547="","",Q547/MAX(Q$5:Q547)-1)</f>
        <v/>
      </c>
      <c r="T547" s="13">
        <f>IF(OR('实盘净值数据(iFinD）'!$A547="",'实盘净值数据(iFinD）'!$B547="",'实盘净值数据(iFinD）'!$Z547="",'实盘净值数据(iFinD）'!$AA547="",'实盘净值数据(iFinD）'!$AB547="",'实盘净值数据(iFinD）'!$AL547=""),"",(SUMPRODUCT(分期持仓明细!$B$26:$Y$26,'实盘净值数据(iFinD）'!$B547:$Y547/'实盘净值数据(iFinD）'!$B$69:$Y$69)+SUMPRODUCT(分期持仓明细!$AC$26:$AD$26,'实盘净值数据(iFinD）'!$Z547:$AA547/'实盘净值数据(iFinD）'!$Z$69:$AA$69)+SUMPRODUCT(分期持仓明细!$AE$26:$AO$26,'实盘净值数据(iFinD）'!$AB547:$AL547/'实盘净值数据(iFinD）'!$AB$69:$AL$69))*(1-实盘持仓初始配置!$Z$10)^(('实盘净值数据(iFinD）'!$A547-'实盘净值数据(iFinD）'!$A$69)/365))</f>
        <v/>
      </c>
      <c r="U547" s="16">
        <f>IF(OR(T546="",T547=""),"",T547/T546-1)</f>
        <v/>
      </c>
      <c r="V547" s="16">
        <f>IF(T547="","",T547/MAX(T$5:T547)-1)</f>
        <v/>
      </c>
    </row>
    <row r="548" spans="1:19">
      <c r="A548" s="15" t="str">
        <f>IF('实盘净值数据(iFinD）'!A548="","",'实盘净值数据(iFinD）'!A548)</f>
        <v/>
      </c>
      <c r="B548" s="13" t="str">
        <f>IF(OR('实盘净值数据(iFinD）'!$A548="",'实盘净值数据(iFinD）'!$B548=""),"",分期持仓明细!$AB$17*SUMPRODUCT(分期持仓明细!$B$17:$Y$17,'实盘净值数据(iFinD）'!$B548:$Y548/'实盘净值数据(iFinD）'!$B$20:$Y$20)*(1-实盘持仓初始配置!$Z$4)^(('实盘净值数据(iFinD）'!$A548-'实盘净值数据(iFinD）'!$A$6)/365))</f>
        <v/>
      </c>
      <c r="C548" s="16" t="str">
        <f t="shared" si="48"/>
        <v/>
      </c>
      <c r="D548" s="16" t="str">
        <f>IF(B548="","",B548/MAX(B$5:B548)-1)</f>
        <v/>
      </c>
      <c r="E548" s="13" t="str">
        <f>IF(OR('实盘净值数据(iFinD）'!$A548="",'实盘净值数据(iFinD）'!$B548=""),"",分期持仓明细!$AB$18*SUMPRODUCT(分期持仓明细!$B$18:$Y$18,'实盘净值数据(iFinD）'!$B548:$Y548/'实盘净值数据(iFinD）'!$B$20:$Y$20)*(1-实盘持仓初始配置!$Z$5)^(('实盘净值数据(iFinD）'!$A548-'实盘净值数据(iFinD）'!$A$5)/365))</f>
        <v/>
      </c>
      <c r="F548" s="16" t="str">
        <f t="shared" si="49"/>
        <v/>
      </c>
      <c r="G548" s="16" t="str">
        <f>IF(E548="","",E548/MAX(E$5:E548)-1)</f>
        <v/>
      </c>
      <c r="H548" s="13" t="str">
        <f>IF(OR('实盘净值数据(iFinD）'!$A548="",'实盘净值数据(iFinD）'!$B548=""),"",分期持仓明细!$AB$19*SUMPRODUCT(分期持仓明细!$B$19:$Y$19,'实盘净值数据(iFinD）'!$B548:$Y548/'实盘净值数据(iFinD）'!$B$20:$Y$20)*(1-实盘持仓初始配置!$Z$6)^(('实盘净值数据(iFinD）'!$A548-'实盘净值数据(iFinD）'!$A$7)/365))</f>
        <v/>
      </c>
      <c r="I548" s="16" t="str">
        <f t="shared" si="50"/>
        <v/>
      </c>
      <c r="J548" s="16" t="str">
        <f>IF(H548="","",H548/MAX(H$5:H548)-1)</f>
        <v/>
      </c>
      <c r="K548" s="13" t="str">
        <f>IF(OR('实盘净值数据(iFinD）'!$A548="",'实盘净值数据(iFinD）'!$B548="",'实盘净值数据(iFinD）'!$Z548="",'实盘净值数据(iFinD）'!$AA548=""),"",分期持仓明细!$AB$23*(SUMPRODUCT(分期持仓明细!$B$23:$Y$23,'实盘净值数据(iFinD）'!$B548:$Y548/'实盘净值数据(iFinD）'!$B$65:$Y$65)+SUMPRODUCT(分期持仓明细!$AC$23:$AD$23,'实盘净值数据(iFinD）'!$Z548:$AA548/'实盘净值数据(iFinD）'!$Z$65:$AA$65))*(1-实盘持仓初始配置!$Z$7)^(('实盘净值数据(iFinD）'!$A548-'实盘净值数据(iFinD）'!$A$8)/365))</f>
        <v/>
      </c>
      <c r="L548" s="16" t="str">
        <f t="shared" si="51"/>
        <v/>
      </c>
      <c r="M548" s="16" t="str">
        <f>IF(K548="","",K548/MAX(K$5:K548)-1)</f>
        <v/>
      </c>
      <c r="N548" s="13" t="str">
        <f>IF(OR('实盘净值数据(iFinD）'!$A548="",'实盘净值数据(iFinD）'!$B548="",'实盘净值数据(iFinD）'!$Z548="",'实盘净值数据(iFinD）'!$AA548=""),"",分期持仓明细!$AB$24*(SUMPRODUCT(分期持仓明细!$B$24:$Y$24,'实盘净值数据(iFinD）'!$B548:$Y548/'实盘净值数据(iFinD）'!$B$65:$Y$65)+SUMPRODUCT(分期持仓明细!$AC$24:$AD$24,'实盘净值数据(iFinD）'!$Z548:$AA548/'实盘净值数据(iFinD）'!$Z$65:$AA$65))*(1-实盘持仓初始配置!$Z$8)^(('实盘净值数据(iFinD）'!$A548-'实盘净值数据(iFinD）'!$A$5)/365))</f>
        <v/>
      </c>
      <c r="O548" s="16" t="str">
        <f t="shared" si="52"/>
        <v/>
      </c>
      <c r="P548" s="16" t="str">
        <f>IF(N548="","",N548/MAX(N$5:N548)-1)</f>
        <v/>
      </c>
      <c r="Q548" s="13" t="str">
        <f>IF(OR('实盘净值数据(iFinD）'!$A548="",'实盘净值数据(iFinD）'!$B548="",'实盘净值数据(iFinD）'!$Z548="",'实盘净值数据(iFinD）'!$AA548=""),"",分期持仓明细!$AB$25*(SUMPRODUCT(分期持仓明细!$B$25:$Y$25,'实盘净值数据(iFinD）'!$B548:$Y548/'实盘净值数据(iFinD）'!$B$65:$Y$65)+SUMPRODUCT(分期持仓明细!$AC$25:$AD$25,'实盘净值数据(iFinD）'!$Z548:$AA548/'实盘净值数据(iFinD）'!$Z$65:$AA$65))*(1-实盘持仓初始配置!$Z$9)^(('实盘净值数据(iFinD）'!$A548-'实盘净值数据(iFinD）'!$A$8)/365))</f>
        <v/>
      </c>
      <c r="R548" s="16" t="str">
        <f t="shared" si="53"/>
        <v/>
      </c>
      <c r="S548" s="16" t="str">
        <f>IF(Q548="","",Q548/MAX(Q$5:Q548)-1)</f>
        <v/>
      </c>
      <c r="T548" s="13">
        <f>IF(OR('实盘净值数据(iFinD）'!$A548="",'实盘净值数据(iFinD）'!$B548="",'实盘净值数据(iFinD）'!$Z548="",'实盘净值数据(iFinD）'!$AA548="",'实盘净值数据(iFinD）'!$AB548="",'实盘净值数据(iFinD）'!$AL548=""),"",(SUMPRODUCT(分期持仓明细!$B$26:$Y$26,'实盘净值数据(iFinD）'!$B548:$Y548/'实盘净值数据(iFinD）'!$B$69:$Y$69)+SUMPRODUCT(分期持仓明细!$AC$26:$AD$26,'实盘净值数据(iFinD）'!$Z548:$AA548/'实盘净值数据(iFinD）'!$Z$69:$AA$69)+SUMPRODUCT(分期持仓明细!$AE$26:$AO$26,'实盘净值数据(iFinD）'!$AB548:$AL548/'实盘净值数据(iFinD）'!$AB$69:$AL$69))*(1-实盘持仓初始配置!$Z$10)^(('实盘净值数据(iFinD）'!$A548-'实盘净值数据(iFinD）'!$A$69)/365))</f>
        <v/>
      </c>
      <c r="U548" s="16">
        <f>IF(OR(T547="",T548=""),"",T548/T547-1)</f>
        <v/>
      </c>
      <c r="V548" s="16">
        <f>IF(T548="","",T548/MAX(T$5:T548)-1)</f>
        <v/>
      </c>
    </row>
    <row r="549" spans="1:19">
      <c r="A549" s="15" t="str">
        <f>IF('实盘净值数据(iFinD）'!A549="","",'实盘净值数据(iFinD）'!A549)</f>
        <v/>
      </c>
      <c r="B549" s="13" t="str">
        <f>IF(OR('实盘净值数据(iFinD）'!$A549="",'实盘净值数据(iFinD）'!$B549=""),"",分期持仓明细!$AB$17*SUMPRODUCT(分期持仓明细!$B$17:$Y$17,'实盘净值数据(iFinD）'!$B549:$Y549/'实盘净值数据(iFinD）'!$B$20:$Y$20)*(1-实盘持仓初始配置!$Z$4)^(('实盘净值数据(iFinD）'!$A549-'实盘净值数据(iFinD）'!$A$6)/365))</f>
        <v/>
      </c>
      <c r="C549" s="16" t="str">
        <f t="shared" si="48"/>
        <v/>
      </c>
      <c r="D549" s="16" t="str">
        <f>IF(B549="","",B549/MAX(B$5:B549)-1)</f>
        <v/>
      </c>
      <c r="E549" s="13" t="str">
        <f>IF(OR('实盘净值数据(iFinD）'!$A549="",'实盘净值数据(iFinD）'!$B549=""),"",分期持仓明细!$AB$18*SUMPRODUCT(分期持仓明细!$B$18:$Y$18,'实盘净值数据(iFinD）'!$B549:$Y549/'实盘净值数据(iFinD）'!$B$20:$Y$20)*(1-实盘持仓初始配置!$Z$5)^(('实盘净值数据(iFinD）'!$A549-'实盘净值数据(iFinD）'!$A$5)/365))</f>
        <v/>
      </c>
      <c r="F549" s="16" t="str">
        <f t="shared" si="49"/>
        <v/>
      </c>
      <c r="G549" s="16" t="str">
        <f>IF(E549="","",E549/MAX(E$5:E549)-1)</f>
        <v/>
      </c>
      <c r="H549" s="13" t="str">
        <f>IF(OR('实盘净值数据(iFinD）'!$A549="",'实盘净值数据(iFinD）'!$B549=""),"",分期持仓明细!$AB$19*SUMPRODUCT(分期持仓明细!$B$19:$Y$19,'实盘净值数据(iFinD）'!$B549:$Y549/'实盘净值数据(iFinD）'!$B$20:$Y$20)*(1-实盘持仓初始配置!$Z$6)^(('实盘净值数据(iFinD）'!$A549-'实盘净值数据(iFinD）'!$A$7)/365))</f>
        <v/>
      </c>
      <c r="I549" s="16" t="str">
        <f t="shared" si="50"/>
        <v/>
      </c>
      <c r="J549" s="16" t="str">
        <f>IF(H549="","",H549/MAX(H$5:H549)-1)</f>
        <v/>
      </c>
      <c r="K549" s="13" t="str">
        <f>IF(OR('实盘净值数据(iFinD）'!$A549="",'实盘净值数据(iFinD）'!$B549="",'实盘净值数据(iFinD）'!$Z549="",'实盘净值数据(iFinD）'!$AA549=""),"",分期持仓明细!$AB$23*(SUMPRODUCT(分期持仓明细!$B$23:$Y$23,'实盘净值数据(iFinD）'!$B549:$Y549/'实盘净值数据(iFinD）'!$B$65:$Y$65)+SUMPRODUCT(分期持仓明细!$AC$23:$AD$23,'实盘净值数据(iFinD）'!$Z549:$AA549/'实盘净值数据(iFinD）'!$Z$65:$AA$65))*(1-实盘持仓初始配置!$Z$7)^(('实盘净值数据(iFinD）'!$A549-'实盘净值数据(iFinD）'!$A$8)/365))</f>
        <v/>
      </c>
      <c r="L549" s="16" t="str">
        <f t="shared" si="51"/>
        <v/>
      </c>
      <c r="M549" s="16" t="str">
        <f>IF(K549="","",K549/MAX(K$5:K549)-1)</f>
        <v/>
      </c>
      <c r="N549" s="13" t="str">
        <f>IF(OR('实盘净值数据(iFinD）'!$A549="",'实盘净值数据(iFinD）'!$B549="",'实盘净值数据(iFinD）'!$Z549="",'实盘净值数据(iFinD）'!$AA549=""),"",分期持仓明细!$AB$24*(SUMPRODUCT(分期持仓明细!$B$24:$Y$24,'实盘净值数据(iFinD）'!$B549:$Y549/'实盘净值数据(iFinD）'!$B$65:$Y$65)+SUMPRODUCT(分期持仓明细!$AC$24:$AD$24,'实盘净值数据(iFinD）'!$Z549:$AA549/'实盘净值数据(iFinD）'!$Z$65:$AA$65))*(1-实盘持仓初始配置!$Z$8)^(('实盘净值数据(iFinD）'!$A549-'实盘净值数据(iFinD）'!$A$5)/365))</f>
        <v/>
      </c>
      <c r="O549" s="16" t="str">
        <f t="shared" si="52"/>
        <v/>
      </c>
      <c r="P549" s="16" t="str">
        <f>IF(N549="","",N549/MAX(N$5:N549)-1)</f>
        <v/>
      </c>
      <c r="Q549" s="13" t="str">
        <f>IF(OR('实盘净值数据(iFinD）'!$A549="",'实盘净值数据(iFinD）'!$B549="",'实盘净值数据(iFinD）'!$Z549="",'实盘净值数据(iFinD）'!$AA549=""),"",分期持仓明细!$AB$25*(SUMPRODUCT(分期持仓明细!$B$25:$Y$25,'实盘净值数据(iFinD）'!$B549:$Y549/'实盘净值数据(iFinD）'!$B$65:$Y$65)+SUMPRODUCT(分期持仓明细!$AC$25:$AD$25,'实盘净值数据(iFinD）'!$Z549:$AA549/'实盘净值数据(iFinD）'!$Z$65:$AA$65))*(1-实盘持仓初始配置!$Z$9)^(('实盘净值数据(iFinD）'!$A549-'实盘净值数据(iFinD）'!$A$8)/365))</f>
        <v/>
      </c>
      <c r="R549" s="16" t="str">
        <f t="shared" si="53"/>
        <v/>
      </c>
      <c r="S549" s="16" t="str">
        <f>IF(Q549="","",Q549/MAX(Q$5:Q549)-1)</f>
        <v/>
      </c>
      <c r="T549" s="13">
        <f>IF(OR('实盘净值数据(iFinD）'!$A549="",'实盘净值数据(iFinD）'!$B549="",'实盘净值数据(iFinD）'!$Z549="",'实盘净值数据(iFinD）'!$AA549="",'实盘净值数据(iFinD）'!$AB549="",'实盘净值数据(iFinD）'!$AL549=""),"",(SUMPRODUCT(分期持仓明细!$B$26:$Y$26,'实盘净值数据(iFinD）'!$B549:$Y549/'实盘净值数据(iFinD）'!$B$69:$Y$69)+SUMPRODUCT(分期持仓明细!$AC$26:$AD$26,'实盘净值数据(iFinD）'!$Z549:$AA549/'实盘净值数据(iFinD）'!$Z$69:$AA$69)+SUMPRODUCT(分期持仓明细!$AE$26:$AO$26,'实盘净值数据(iFinD）'!$AB549:$AL549/'实盘净值数据(iFinD）'!$AB$69:$AL$69))*(1-实盘持仓初始配置!$Z$10)^(('实盘净值数据(iFinD）'!$A549-'实盘净值数据(iFinD）'!$A$69)/365))</f>
        <v/>
      </c>
      <c r="U549" s="16">
        <f>IF(OR(T548="",T549=""),"",T549/T548-1)</f>
        <v/>
      </c>
      <c r="V549" s="16">
        <f>IF(T549="","",T549/MAX(T$5:T549)-1)</f>
        <v/>
      </c>
    </row>
    <row r="550" spans="1:19">
      <c r="A550" s="15" t="str">
        <f>IF('实盘净值数据(iFinD）'!A550="","",'实盘净值数据(iFinD）'!A550)</f>
        <v/>
      </c>
      <c r="B550" s="13" t="str">
        <f>IF(OR('实盘净值数据(iFinD）'!$A550="",'实盘净值数据(iFinD）'!$B550=""),"",分期持仓明细!$AB$17*SUMPRODUCT(分期持仓明细!$B$17:$Y$17,'实盘净值数据(iFinD）'!$B550:$Y550/'实盘净值数据(iFinD）'!$B$20:$Y$20)*(1-实盘持仓初始配置!$Z$4)^(('实盘净值数据(iFinD）'!$A550-'实盘净值数据(iFinD）'!$A$6)/365))</f>
        <v/>
      </c>
      <c r="C550" s="16" t="str">
        <f t="shared" si="48"/>
        <v/>
      </c>
      <c r="D550" s="16" t="str">
        <f>IF(B550="","",B550/MAX(B$5:B550)-1)</f>
        <v/>
      </c>
      <c r="E550" s="13" t="str">
        <f>IF(OR('实盘净值数据(iFinD）'!$A550="",'实盘净值数据(iFinD）'!$B550=""),"",分期持仓明细!$AB$18*SUMPRODUCT(分期持仓明细!$B$18:$Y$18,'实盘净值数据(iFinD）'!$B550:$Y550/'实盘净值数据(iFinD）'!$B$20:$Y$20)*(1-实盘持仓初始配置!$Z$5)^(('实盘净值数据(iFinD）'!$A550-'实盘净值数据(iFinD）'!$A$5)/365))</f>
        <v/>
      </c>
      <c r="F550" s="16" t="str">
        <f t="shared" si="49"/>
        <v/>
      </c>
      <c r="G550" s="16" t="str">
        <f>IF(E550="","",E550/MAX(E$5:E550)-1)</f>
        <v/>
      </c>
      <c r="H550" s="13" t="str">
        <f>IF(OR('实盘净值数据(iFinD）'!$A550="",'实盘净值数据(iFinD）'!$B550=""),"",分期持仓明细!$AB$19*SUMPRODUCT(分期持仓明细!$B$19:$Y$19,'实盘净值数据(iFinD）'!$B550:$Y550/'实盘净值数据(iFinD）'!$B$20:$Y$20)*(1-实盘持仓初始配置!$Z$6)^(('实盘净值数据(iFinD）'!$A550-'实盘净值数据(iFinD）'!$A$7)/365))</f>
        <v/>
      </c>
      <c r="I550" s="16" t="str">
        <f t="shared" si="50"/>
        <v/>
      </c>
      <c r="J550" s="16" t="str">
        <f>IF(H550="","",H550/MAX(H$5:H550)-1)</f>
        <v/>
      </c>
      <c r="K550" s="13" t="str">
        <f>IF(OR('实盘净值数据(iFinD）'!$A550="",'实盘净值数据(iFinD）'!$B550="",'实盘净值数据(iFinD）'!$Z550="",'实盘净值数据(iFinD）'!$AA550=""),"",分期持仓明细!$AB$23*(SUMPRODUCT(分期持仓明细!$B$23:$Y$23,'实盘净值数据(iFinD）'!$B550:$Y550/'实盘净值数据(iFinD）'!$B$65:$Y$65)+SUMPRODUCT(分期持仓明细!$AC$23:$AD$23,'实盘净值数据(iFinD）'!$Z550:$AA550/'实盘净值数据(iFinD）'!$Z$65:$AA$65))*(1-实盘持仓初始配置!$Z$7)^(('实盘净值数据(iFinD）'!$A550-'实盘净值数据(iFinD）'!$A$8)/365))</f>
        <v/>
      </c>
      <c r="L550" s="16" t="str">
        <f t="shared" si="51"/>
        <v/>
      </c>
      <c r="M550" s="16" t="str">
        <f>IF(K550="","",K550/MAX(K$5:K550)-1)</f>
        <v/>
      </c>
      <c r="N550" s="13" t="str">
        <f>IF(OR('实盘净值数据(iFinD）'!$A550="",'实盘净值数据(iFinD）'!$B550="",'实盘净值数据(iFinD）'!$Z550="",'实盘净值数据(iFinD）'!$AA550=""),"",分期持仓明细!$AB$24*(SUMPRODUCT(分期持仓明细!$B$24:$Y$24,'实盘净值数据(iFinD）'!$B550:$Y550/'实盘净值数据(iFinD）'!$B$65:$Y$65)+SUMPRODUCT(分期持仓明细!$AC$24:$AD$24,'实盘净值数据(iFinD）'!$Z550:$AA550/'实盘净值数据(iFinD）'!$Z$65:$AA$65))*(1-实盘持仓初始配置!$Z$8)^(('实盘净值数据(iFinD）'!$A550-'实盘净值数据(iFinD）'!$A$5)/365))</f>
        <v/>
      </c>
      <c r="O550" s="16" t="str">
        <f t="shared" si="52"/>
        <v/>
      </c>
      <c r="P550" s="16" t="str">
        <f>IF(N550="","",N550/MAX(N$5:N550)-1)</f>
        <v/>
      </c>
      <c r="Q550" s="13" t="str">
        <f>IF(OR('实盘净值数据(iFinD）'!$A550="",'实盘净值数据(iFinD）'!$B550="",'实盘净值数据(iFinD）'!$Z550="",'实盘净值数据(iFinD）'!$AA550=""),"",分期持仓明细!$AB$25*(SUMPRODUCT(分期持仓明细!$B$25:$Y$25,'实盘净值数据(iFinD）'!$B550:$Y550/'实盘净值数据(iFinD）'!$B$65:$Y$65)+SUMPRODUCT(分期持仓明细!$AC$25:$AD$25,'实盘净值数据(iFinD）'!$Z550:$AA550/'实盘净值数据(iFinD）'!$Z$65:$AA$65))*(1-实盘持仓初始配置!$Z$9)^(('实盘净值数据(iFinD）'!$A550-'实盘净值数据(iFinD）'!$A$8)/365))</f>
        <v/>
      </c>
      <c r="R550" s="16" t="str">
        <f t="shared" si="53"/>
        <v/>
      </c>
      <c r="S550" s="16" t="str">
        <f>IF(Q550="","",Q550/MAX(Q$5:Q550)-1)</f>
        <v/>
      </c>
      <c r="T550" s="13">
        <f>IF(OR('实盘净值数据(iFinD）'!$A550="",'实盘净值数据(iFinD）'!$B550="",'实盘净值数据(iFinD）'!$Z550="",'实盘净值数据(iFinD）'!$AA550="",'实盘净值数据(iFinD）'!$AB550="",'实盘净值数据(iFinD）'!$AL550=""),"",(SUMPRODUCT(分期持仓明细!$B$26:$Y$26,'实盘净值数据(iFinD）'!$B550:$Y550/'实盘净值数据(iFinD）'!$B$69:$Y$69)+SUMPRODUCT(分期持仓明细!$AC$26:$AD$26,'实盘净值数据(iFinD）'!$Z550:$AA550/'实盘净值数据(iFinD）'!$Z$69:$AA$69)+SUMPRODUCT(分期持仓明细!$AE$26:$AO$26,'实盘净值数据(iFinD）'!$AB550:$AL550/'实盘净值数据(iFinD）'!$AB$69:$AL$69))*(1-实盘持仓初始配置!$Z$10)^(('实盘净值数据(iFinD）'!$A550-'实盘净值数据(iFinD）'!$A$69)/365))</f>
        <v/>
      </c>
      <c r="U550" s="16">
        <f>IF(OR(T549="",T550=""),"",T550/T549-1)</f>
        <v/>
      </c>
      <c r="V550" s="16">
        <f>IF(T550="","",T550/MAX(T$5:T550)-1)</f>
        <v/>
      </c>
    </row>
    <row r="551" spans="1:19">
      <c r="A551" s="15" t="str">
        <f>IF('实盘净值数据(iFinD）'!A551="","",'实盘净值数据(iFinD）'!A551)</f>
        <v/>
      </c>
      <c r="B551" s="13" t="str">
        <f>IF(OR('实盘净值数据(iFinD）'!$A551="",'实盘净值数据(iFinD）'!$B551=""),"",分期持仓明细!$AB$17*SUMPRODUCT(分期持仓明细!$B$17:$Y$17,'实盘净值数据(iFinD）'!$B551:$Y551/'实盘净值数据(iFinD）'!$B$20:$Y$20)*(1-实盘持仓初始配置!$Z$4)^(('实盘净值数据(iFinD）'!$A551-'实盘净值数据(iFinD）'!$A$6)/365))</f>
        <v/>
      </c>
      <c r="C551" s="16" t="str">
        <f t="shared" si="48"/>
        <v/>
      </c>
      <c r="D551" s="16" t="str">
        <f>IF(B551="","",B551/MAX(B$5:B551)-1)</f>
        <v/>
      </c>
      <c r="E551" s="13" t="str">
        <f>IF(OR('实盘净值数据(iFinD）'!$A551="",'实盘净值数据(iFinD）'!$B551=""),"",分期持仓明细!$AB$18*SUMPRODUCT(分期持仓明细!$B$18:$Y$18,'实盘净值数据(iFinD）'!$B551:$Y551/'实盘净值数据(iFinD）'!$B$20:$Y$20)*(1-实盘持仓初始配置!$Z$5)^(('实盘净值数据(iFinD）'!$A551-'实盘净值数据(iFinD）'!$A$5)/365))</f>
        <v/>
      </c>
      <c r="F551" s="16" t="str">
        <f t="shared" si="49"/>
        <v/>
      </c>
      <c r="G551" s="16" t="str">
        <f>IF(E551="","",E551/MAX(E$5:E551)-1)</f>
        <v/>
      </c>
      <c r="H551" s="13" t="str">
        <f>IF(OR('实盘净值数据(iFinD）'!$A551="",'实盘净值数据(iFinD）'!$B551=""),"",分期持仓明细!$AB$19*SUMPRODUCT(分期持仓明细!$B$19:$Y$19,'实盘净值数据(iFinD）'!$B551:$Y551/'实盘净值数据(iFinD）'!$B$20:$Y$20)*(1-实盘持仓初始配置!$Z$6)^(('实盘净值数据(iFinD）'!$A551-'实盘净值数据(iFinD）'!$A$7)/365))</f>
        <v/>
      </c>
      <c r="I551" s="16" t="str">
        <f t="shared" si="50"/>
        <v/>
      </c>
      <c r="J551" s="16" t="str">
        <f>IF(H551="","",H551/MAX(H$5:H551)-1)</f>
        <v/>
      </c>
      <c r="K551" s="13" t="str">
        <f>IF(OR('实盘净值数据(iFinD）'!$A551="",'实盘净值数据(iFinD）'!$B551="",'实盘净值数据(iFinD）'!$Z551="",'实盘净值数据(iFinD）'!$AA551=""),"",分期持仓明细!$AB$23*(SUMPRODUCT(分期持仓明细!$B$23:$Y$23,'实盘净值数据(iFinD）'!$B551:$Y551/'实盘净值数据(iFinD）'!$B$65:$Y$65)+SUMPRODUCT(分期持仓明细!$AC$23:$AD$23,'实盘净值数据(iFinD）'!$Z551:$AA551/'实盘净值数据(iFinD）'!$Z$65:$AA$65))*(1-实盘持仓初始配置!$Z$7)^(('实盘净值数据(iFinD）'!$A551-'实盘净值数据(iFinD）'!$A$8)/365))</f>
        <v/>
      </c>
      <c r="L551" s="16" t="str">
        <f t="shared" si="51"/>
        <v/>
      </c>
      <c r="M551" s="16" t="str">
        <f>IF(K551="","",K551/MAX(K$5:K551)-1)</f>
        <v/>
      </c>
      <c r="N551" s="13" t="str">
        <f>IF(OR('实盘净值数据(iFinD）'!$A551="",'实盘净值数据(iFinD）'!$B551="",'实盘净值数据(iFinD）'!$Z551="",'实盘净值数据(iFinD）'!$AA551=""),"",分期持仓明细!$AB$24*(SUMPRODUCT(分期持仓明细!$B$24:$Y$24,'实盘净值数据(iFinD）'!$B551:$Y551/'实盘净值数据(iFinD）'!$B$65:$Y$65)+SUMPRODUCT(分期持仓明细!$AC$24:$AD$24,'实盘净值数据(iFinD）'!$Z551:$AA551/'实盘净值数据(iFinD）'!$Z$65:$AA$65))*(1-实盘持仓初始配置!$Z$8)^(('实盘净值数据(iFinD）'!$A551-'实盘净值数据(iFinD）'!$A$5)/365))</f>
        <v/>
      </c>
      <c r="O551" s="16" t="str">
        <f t="shared" si="52"/>
        <v/>
      </c>
      <c r="P551" s="16" t="str">
        <f>IF(N551="","",N551/MAX(N$5:N551)-1)</f>
        <v/>
      </c>
      <c r="Q551" s="13" t="str">
        <f>IF(OR('实盘净值数据(iFinD）'!$A551="",'实盘净值数据(iFinD）'!$B551="",'实盘净值数据(iFinD）'!$Z551="",'实盘净值数据(iFinD）'!$AA551=""),"",分期持仓明细!$AB$25*(SUMPRODUCT(分期持仓明细!$B$25:$Y$25,'实盘净值数据(iFinD）'!$B551:$Y551/'实盘净值数据(iFinD）'!$B$65:$Y$65)+SUMPRODUCT(分期持仓明细!$AC$25:$AD$25,'实盘净值数据(iFinD）'!$Z551:$AA551/'实盘净值数据(iFinD）'!$Z$65:$AA$65))*(1-实盘持仓初始配置!$Z$9)^(('实盘净值数据(iFinD）'!$A551-'实盘净值数据(iFinD）'!$A$8)/365))</f>
        <v/>
      </c>
      <c r="R551" s="16" t="str">
        <f t="shared" si="53"/>
        <v/>
      </c>
      <c r="S551" s="16" t="str">
        <f>IF(Q551="","",Q551/MAX(Q$5:Q551)-1)</f>
        <v/>
      </c>
      <c r="T551" s="13">
        <f>IF(OR('实盘净值数据(iFinD）'!$A551="",'实盘净值数据(iFinD）'!$B551="",'实盘净值数据(iFinD）'!$Z551="",'实盘净值数据(iFinD）'!$AA551="",'实盘净值数据(iFinD）'!$AB551="",'实盘净值数据(iFinD）'!$AL551=""),"",(SUMPRODUCT(分期持仓明细!$B$26:$Y$26,'实盘净值数据(iFinD）'!$B551:$Y551/'实盘净值数据(iFinD）'!$B$69:$Y$69)+SUMPRODUCT(分期持仓明细!$AC$26:$AD$26,'实盘净值数据(iFinD）'!$Z551:$AA551/'实盘净值数据(iFinD）'!$Z$69:$AA$69)+SUMPRODUCT(分期持仓明细!$AE$26:$AO$26,'实盘净值数据(iFinD）'!$AB551:$AL551/'实盘净值数据(iFinD）'!$AB$69:$AL$69))*(1-实盘持仓初始配置!$Z$10)^(('实盘净值数据(iFinD）'!$A551-'实盘净值数据(iFinD）'!$A$69)/365))</f>
        <v/>
      </c>
      <c r="U551" s="16">
        <f>IF(OR(T550="",T551=""),"",T551/T550-1)</f>
        <v/>
      </c>
      <c r="V551" s="16">
        <f>IF(T551="","",T551/MAX(T$5:T551)-1)</f>
        <v/>
      </c>
    </row>
    <row r="552" spans="1:19">
      <c r="A552" s="15" t="str">
        <f>IF('实盘净值数据(iFinD）'!A552="","",'实盘净值数据(iFinD）'!A552)</f>
        <v/>
      </c>
      <c r="B552" s="13" t="str">
        <f>IF(OR('实盘净值数据(iFinD）'!$A552="",'实盘净值数据(iFinD）'!$B552=""),"",分期持仓明细!$AB$17*SUMPRODUCT(分期持仓明细!$B$17:$Y$17,'实盘净值数据(iFinD）'!$B552:$Y552/'实盘净值数据(iFinD）'!$B$20:$Y$20)*(1-实盘持仓初始配置!$Z$4)^(('实盘净值数据(iFinD）'!$A552-'实盘净值数据(iFinD）'!$A$6)/365))</f>
        <v/>
      </c>
      <c r="C552" s="16" t="str">
        <f t="shared" si="48"/>
        <v/>
      </c>
      <c r="D552" s="16" t="str">
        <f>IF(B552="","",B552/MAX(B$5:B552)-1)</f>
        <v/>
      </c>
      <c r="E552" s="13" t="str">
        <f>IF(OR('实盘净值数据(iFinD）'!$A552="",'实盘净值数据(iFinD）'!$B552=""),"",分期持仓明细!$AB$18*SUMPRODUCT(分期持仓明细!$B$18:$Y$18,'实盘净值数据(iFinD）'!$B552:$Y552/'实盘净值数据(iFinD）'!$B$20:$Y$20)*(1-实盘持仓初始配置!$Z$5)^(('实盘净值数据(iFinD）'!$A552-'实盘净值数据(iFinD）'!$A$5)/365))</f>
        <v/>
      </c>
      <c r="F552" s="16" t="str">
        <f t="shared" si="49"/>
        <v/>
      </c>
      <c r="G552" s="16" t="str">
        <f>IF(E552="","",E552/MAX(E$5:E552)-1)</f>
        <v/>
      </c>
      <c r="H552" s="13" t="str">
        <f>IF(OR('实盘净值数据(iFinD）'!$A552="",'实盘净值数据(iFinD）'!$B552=""),"",分期持仓明细!$AB$19*SUMPRODUCT(分期持仓明细!$B$19:$Y$19,'实盘净值数据(iFinD）'!$B552:$Y552/'实盘净值数据(iFinD）'!$B$20:$Y$20)*(1-实盘持仓初始配置!$Z$6)^(('实盘净值数据(iFinD）'!$A552-'实盘净值数据(iFinD）'!$A$7)/365))</f>
        <v/>
      </c>
      <c r="I552" s="16" t="str">
        <f t="shared" si="50"/>
        <v/>
      </c>
      <c r="J552" s="16" t="str">
        <f>IF(H552="","",H552/MAX(H$5:H552)-1)</f>
        <v/>
      </c>
      <c r="K552" s="13" t="str">
        <f>IF(OR('实盘净值数据(iFinD）'!$A552="",'实盘净值数据(iFinD）'!$B552="",'实盘净值数据(iFinD）'!$Z552="",'实盘净值数据(iFinD）'!$AA552=""),"",分期持仓明细!$AB$23*(SUMPRODUCT(分期持仓明细!$B$23:$Y$23,'实盘净值数据(iFinD）'!$B552:$Y552/'实盘净值数据(iFinD）'!$B$65:$Y$65)+SUMPRODUCT(分期持仓明细!$AC$23:$AD$23,'实盘净值数据(iFinD）'!$Z552:$AA552/'实盘净值数据(iFinD）'!$Z$65:$AA$65))*(1-实盘持仓初始配置!$Z$7)^(('实盘净值数据(iFinD）'!$A552-'实盘净值数据(iFinD）'!$A$8)/365))</f>
        <v/>
      </c>
      <c r="L552" s="16" t="str">
        <f t="shared" si="51"/>
        <v/>
      </c>
      <c r="M552" s="16" t="str">
        <f>IF(K552="","",K552/MAX(K$5:K552)-1)</f>
        <v/>
      </c>
      <c r="N552" s="13" t="str">
        <f>IF(OR('实盘净值数据(iFinD）'!$A552="",'实盘净值数据(iFinD）'!$B552="",'实盘净值数据(iFinD）'!$Z552="",'实盘净值数据(iFinD）'!$AA552=""),"",分期持仓明细!$AB$24*(SUMPRODUCT(分期持仓明细!$B$24:$Y$24,'实盘净值数据(iFinD）'!$B552:$Y552/'实盘净值数据(iFinD）'!$B$65:$Y$65)+SUMPRODUCT(分期持仓明细!$AC$24:$AD$24,'实盘净值数据(iFinD）'!$Z552:$AA552/'实盘净值数据(iFinD）'!$Z$65:$AA$65))*(1-实盘持仓初始配置!$Z$8)^(('实盘净值数据(iFinD）'!$A552-'实盘净值数据(iFinD）'!$A$5)/365))</f>
        <v/>
      </c>
      <c r="O552" s="16" t="str">
        <f t="shared" si="52"/>
        <v/>
      </c>
      <c r="P552" s="16" t="str">
        <f>IF(N552="","",N552/MAX(N$5:N552)-1)</f>
        <v/>
      </c>
      <c r="Q552" s="13" t="str">
        <f>IF(OR('实盘净值数据(iFinD）'!$A552="",'实盘净值数据(iFinD）'!$B552="",'实盘净值数据(iFinD）'!$Z552="",'实盘净值数据(iFinD）'!$AA552=""),"",分期持仓明细!$AB$25*(SUMPRODUCT(分期持仓明细!$B$25:$Y$25,'实盘净值数据(iFinD）'!$B552:$Y552/'实盘净值数据(iFinD）'!$B$65:$Y$65)+SUMPRODUCT(分期持仓明细!$AC$25:$AD$25,'实盘净值数据(iFinD）'!$Z552:$AA552/'实盘净值数据(iFinD）'!$Z$65:$AA$65))*(1-实盘持仓初始配置!$Z$9)^(('实盘净值数据(iFinD）'!$A552-'实盘净值数据(iFinD）'!$A$8)/365))</f>
        <v/>
      </c>
      <c r="R552" s="16" t="str">
        <f t="shared" si="53"/>
        <v/>
      </c>
      <c r="S552" s="16" t="str">
        <f>IF(Q552="","",Q552/MAX(Q$5:Q552)-1)</f>
        <v/>
      </c>
      <c r="T552" s="13">
        <f>IF(OR('实盘净值数据(iFinD）'!$A552="",'实盘净值数据(iFinD）'!$B552="",'实盘净值数据(iFinD）'!$Z552="",'实盘净值数据(iFinD）'!$AA552="",'实盘净值数据(iFinD）'!$AB552="",'实盘净值数据(iFinD）'!$AL552=""),"",(SUMPRODUCT(分期持仓明细!$B$26:$Y$26,'实盘净值数据(iFinD）'!$B552:$Y552/'实盘净值数据(iFinD）'!$B$69:$Y$69)+SUMPRODUCT(分期持仓明细!$AC$26:$AD$26,'实盘净值数据(iFinD）'!$Z552:$AA552/'实盘净值数据(iFinD）'!$Z$69:$AA$69)+SUMPRODUCT(分期持仓明细!$AE$26:$AO$26,'实盘净值数据(iFinD）'!$AB552:$AL552/'实盘净值数据(iFinD）'!$AB$69:$AL$69))*(1-实盘持仓初始配置!$Z$10)^(('实盘净值数据(iFinD）'!$A552-'实盘净值数据(iFinD）'!$A$69)/365))</f>
        <v/>
      </c>
      <c r="U552" s="16">
        <f>IF(OR(T551="",T552=""),"",T552/T551-1)</f>
        <v/>
      </c>
      <c r="V552" s="16">
        <f>IF(T552="","",T552/MAX(T$5:T552)-1)</f>
        <v/>
      </c>
    </row>
    <row r="553" spans="1:19">
      <c r="A553" s="15" t="str">
        <f>IF('实盘净值数据(iFinD）'!A553="","",'实盘净值数据(iFinD）'!A553)</f>
        <v/>
      </c>
      <c r="B553" s="13" t="str">
        <f>IF(OR('实盘净值数据(iFinD）'!$A553="",'实盘净值数据(iFinD）'!$B553=""),"",分期持仓明细!$AB$17*SUMPRODUCT(分期持仓明细!$B$17:$Y$17,'实盘净值数据(iFinD）'!$B553:$Y553/'实盘净值数据(iFinD）'!$B$20:$Y$20)*(1-实盘持仓初始配置!$Z$4)^(('实盘净值数据(iFinD）'!$A553-'实盘净值数据(iFinD）'!$A$6)/365))</f>
        <v/>
      </c>
      <c r="C553" s="16" t="str">
        <f t="shared" si="48"/>
        <v/>
      </c>
      <c r="D553" s="16" t="str">
        <f>IF(B553="","",B553/MAX(B$5:B553)-1)</f>
        <v/>
      </c>
      <c r="E553" s="13" t="str">
        <f>IF(OR('实盘净值数据(iFinD）'!$A553="",'实盘净值数据(iFinD）'!$B553=""),"",分期持仓明细!$AB$18*SUMPRODUCT(分期持仓明细!$B$18:$Y$18,'实盘净值数据(iFinD）'!$B553:$Y553/'实盘净值数据(iFinD）'!$B$20:$Y$20)*(1-实盘持仓初始配置!$Z$5)^(('实盘净值数据(iFinD）'!$A553-'实盘净值数据(iFinD）'!$A$5)/365))</f>
        <v/>
      </c>
      <c r="F553" s="16" t="str">
        <f t="shared" si="49"/>
        <v/>
      </c>
      <c r="G553" s="16" t="str">
        <f>IF(E553="","",E553/MAX(E$5:E553)-1)</f>
        <v/>
      </c>
      <c r="H553" s="13" t="str">
        <f>IF(OR('实盘净值数据(iFinD）'!$A553="",'实盘净值数据(iFinD）'!$B553=""),"",分期持仓明细!$AB$19*SUMPRODUCT(分期持仓明细!$B$19:$Y$19,'实盘净值数据(iFinD）'!$B553:$Y553/'实盘净值数据(iFinD）'!$B$20:$Y$20)*(1-实盘持仓初始配置!$Z$6)^(('实盘净值数据(iFinD）'!$A553-'实盘净值数据(iFinD）'!$A$7)/365))</f>
        <v/>
      </c>
      <c r="I553" s="16" t="str">
        <f t="shared" si="50"/>
        <v/>
      </c>
      <c r="J553" s="16" t="str">
        <f>IF(H553="","",H553/MAX(H$5:H553)-1)</f>
        <v/>
      </c>
      <c r="K553" s="13" t="str">
        <f>IF(OR('实盘净值数据(iFinD）'!$A553="",'实盘净值数据(iFinD）'!$B553="",'实盘净值数据(iFinD）'!$Z553="",'实盘净值数据(iFinD）'!$AA553=""),"",分期持仓明细!$AB$23*(SUMPRODUCT(分期持仓明细!$B$23:$Y$23,'实盘净值数据(iFinD）'!$B553:$Y553/'实盘净值数据(iFinD）'!$B$65:$Y$65)+SUMPRODUCT(分期持仓明细!$AC$23:$AD$23,'实盘净值数据(iFinD）'!$Z553:$AA553/'实盘净值数据(iFinD）'!$Z$65:$AA$65))*(1-实盘持仓初始配置!$Z$7)^(('实盘净值数据(iFinD）'!$A553-'实盘净值数据(iFinD）'!$A$8)/365))</f>
        <v/>
      </c>
      <c r="L553" s="16" t="str">
        <f t="shared" si="51"/>
        <v/>
      </c>
      <c r="M553" s="16" t="str">
        <f>IF(K553="","",K553/MAX(K$5:K553)-1)</f>
        <v/>
      </c>
      <c r="N553" s="13" t="str">
        <f>IF(OR('实盘净值数据(iFinD）'!$A553="",'实盘净值数据(iFinD）'!$B553="",'实盘净值数据(iFinD）'!$Z553="",'实盘净值数据(iFinD）'!$AA553=""),"",分期持仓明细!$AB$24*(SUMPRODUCT(分期持仓明细!$B$24:$Y$24,'实盘净值数据(iFinD）'!$B553:$Y553/'实盘净值数据(iFinD）'!$B$65:$Y$65)+SUMPRODUCT(分期持仓明细!$AC$24:$AD$24,'实盘净值数据(iFinD）'!$Z553:$AA553/'实盘净值数据(iFinD）'!$Z$65:$AA$65))*(1-实盘持仓初始配置!$Z$8)^(('实盘净值数据(iFinD）'!$A553-'实盘净值数据(iFinD）'!$A$5)/365))</f>
        <v/>
      </c>
      <c r="O553" s="16" t="str">
        <f t="shared" si="52"/>
        <v/>
      </c>
      <c r="P553" s="16" t="str">
        <f>IF(N553="","",N553/MAX(N$5:N553)-1)</f>
        <v/>
      </c>
      <c r="Q553" s="13" t="str">
        <f>IF(OR('实盘净值数据(iFinD）'!$A553="",'实盘净值数据(iFinD）'!$B553="",'实盘净值数据(iFinD）'!$Z553="",'实盘净值数据(iFinD）'!$AA553=""),"",分期持仓明细!$AB$25*(SUMPRODUCT(分期持仓明细!$B$25:$Y$25,'实盘净值数据(iFinD）'!$B553:$Y553/'实盘净值数据(iFinD）'!$B$65:$Y$65)+SUMPRODUCT(分期持仓明细!$AC$25:$AD$25,'实盘净值数据(iFinD）'!$Z553:$AA553/'实盘净值数据(iFinD）'!$Z$65:$AA$65))*(1-实盘持仓初始配置!$Z$9)^(('实盘净值数据(iFinD）'!$A553-'实盘净值数据(iFinD）'!$A$8)/365))</f>
        <v/>
      </c>
      <c r="R553" s="16" t="str">
        <f t="shared" si="53"/>
        <v/>
      </c>
      <c r="S553" s="16" t="str">
        <f>IF(Q553="","",Q553/MAX(Q$5:Q553)-1)</f>
        <v/>
      </c>
      <c r="T553" s="13">
        <f>IF(OR('实盘净值数据(iFinD）'!$A553="",'实盘净值数据(iFinD）'!$B553="",'实盘净值数据(iFinD）'!$Z553="",'实盘净值数据(iFinD）'!$AA553="",'实盘净值数据(iFinD）'!$AB553="",'实盘净值数据(iFinD）'!$AL553=""),"",(SUMPRODUCT(分期持仓明细!$B$26:$Y$26,'实盘净值数据(iFinD）'!$B553:$Y553/'实盘净值数据(iFinD）'!$B$69:$Y$69)+SUMPRODUCT(分期持仓明细!$AC$26:$AD$26,'实盘净值数据(iFinD）'!$Z553:$AA553/'实盘净值数据(iFinD）'!$Z$69:$AA$69)+SUMPRODUCT(分期持仓明细!$AE$26:$AO$26,'实盘净值数据(iFinD）'!$AB553:$AL553/'实盘净值数据(iFinD）'!$AB$69:$AL$69))*(1-实盘持仓初始配置!$Z$10)^(('实盘净值数据(iFinD）'!$A553-'实盘净值数据(iFinD）'!$A$69)/365))</f>
        <v/>
      </c>
      <c r="U553" s="16">
        <f>IF(OR(T552="",T553=""),"",T553/T552-1)</f>
        <v/>
      </c>
      <c r="V553" s="16">
        <f>IF(T553="","",T553/MAX(T$5:T553)-1)</f>
        <v/>
      </c>
    </row>
    <row r="554" spans="1:19">
      <c r="A554" s="15" t="str">
        <f>IF('实盘净值数据(iFinD）'!A554="","",'实盘净值数据(iFinD）'!A554)</f>
        <v/>
      </c>
      <c r="B554" s="13" t="str">
        <f>IF(OR('实盘净值数据(iFinD）'!$A554="",'实盘净值数据(iFinD）'!$B554=""),"",分期持仓明细!$AB$17*SUMPRODUCT(分期持仓明细!$B$17:$Y$17,'实盘净值数据(iFinD）'!$B554:$Y554/'实盘净值数据(iFinD）'!$B$20:$Y$20)*(1-实盘持仓初始配置!$Z$4)^(('实盘净值数据(iFinD）'!$A554-'实盘净值数据(iFinD）'!$A$6)/365))</f>
        <v/>
      </c>
      <c r="C554" s="16" t="str">
        <f t="shared" si="48"/>
        <v/>
      </c>
      <c r="D554" s="16" t="str">
        <f>IF(B554="","",B554/MAX(B$5:B554)-1)</f>
        <v/>
      </c>
      <c r="E554" s="13" t="str">
        <f>IF(OR('实盘净值数据(iFinD）'!$A554="",'实盘净值数据(iFinD）'!$B554=""),"",分期持仓明细!$AB$18*SUMPRODUCT(分期持仓明细!$B$18:$Y$18,'实盘净值数据(iFinD）'!$B554:$Y554/'实盘净值数据(iFinD）'!$B$20:$Y$20)*(1-实盘持仓初始配置!$Z$5)^(('实盘净值数据(iFinD）'!$A554-'实盘净值数据(iFinD）'!$A$5)/365))</f>
        <v/>
      </c>
      <c r="F554" s="16" t="str">
        <f t="shared" si="49"/>
        <v/>
      </c>
      <c r="G554" s="16" t="str">
        <f>IF(E554="","",E554/MAX(E$5:E554)-1)</f>
        <v/>
      </c>
      <c r="H554" s="13" t="str">
        <f>IF(OR('实盘净值数据(iFinD）'!$A554="",'实盘净值数据(iFinD）'!$B554=""),"",分期持仓明细!$AB$19*SUMPRODUCT(分期持仓明细!$B$19:$Y$19,'实盘净值数据(iFinD）'!$B554:$Y554/'实盘净值数据(iFinD）'!$B$20:$Y$20)*(1-实盘持仓初始配置!$Z$6)^(('实盘净值数据(iFinD）'!$A554-'实盘净值数据(iFinD）'!$A$7)/365))</f>
        <v/>
      </c>
      <c r="I554" s="16" t="str">
        <f t="shared" si="50"/>
        <v/>
      </c>
      <c r="J554" s="16" t="str">
        <f>IF(H554="","",H554/MAX(H$5:H554)-1)</f>
        <v/>
      </c>
      <c r="K554" s="13" t="str">
        <f>IF(OR('实盘净值数据(iFinD）'!$A554="",'实盘净值数据(iFinD）'!$B554="",'实盘净值数据(iFinD）'!$Z554="",'实盘净值数据(iFinD）'!$AA554=""),"",分期持仓明细!$AB$23*(SUMPRODUCT(分期持仓明细!$B$23:$Y$23,'实盘净值数据(iFinD）'!$B554:$Y554/'实盘净值数据(iFinD）'!$B$65:$Y$65)+SUMPRODUCT(分期持仓明细!$AC$23:$AD$23,'实盘净值数据(iFinD）'!$Z554:$AA554/'实盘净值数据(iFinD）'!$Z$65:$AA$65))*(1-实盘持仓初始配置!$Z$7)^(('实盘净值数据(iFinD）'!$A554-'实盘净值数据(iFinD）'!$A$8)/365))</f>
        <v/>
      </c>
      <c r="L554" s="16" t="str">
        <f t="shared" si="51"/>
        <v/>
      </c>
      <c r="M554" s="16" t="str">
        <f>IF(K554="","",K554/MAX(K$5:K554)-1)</f>
        <v/>
      </c>
      <c r="N554" s="13" t="str">
        <f>IF(OR('实盘净值数据(iFinD）'!$A554="",'实盘净值数据(iFinD）'!$B554="",'实盘净值数据(iFinD）'!$Z554="",'实盘净值数据(iFinD）'!$AA554=""),"",分期持仓明细!$AB$24*(SUMPRODUCT(分期持仓明细!$B$24:$Y$24,'实盘净值数据(iFinD）'!$B554:$Y554/'实盘净值数据(iFinD）'!$B$65:$Y$65)+SUMPRODUCT(分期持仓明细!$AC$24:$AD$24,'实盘净值数据(iFinD）'!$Z554:$AA554/'实盘净值数据(iFinD）'!$Z$65:$AA$65))*(1-实盘持仓初始配置!$Z$8)^(('实盘净值数据(iFinD）'!$A554-'实盘净值数据(iFinD）'!$A$5)/365))</f>
        <v/>
      </c>
      <c r="O554" s="16" t="str">
        <f t="shared" si="52"/>
        <v/>
      </c>
      <c r="P554" s="16" t="str">
        <f>IF(N554="","",N554/MAX(N$5:N554)-1)</f>
        <v/>
      </c>
      <c r="Q554" s="13" t="str">
        <f>IF(OR('实盘净值数据(iFinD）'!$A554="",'实盘净值数据(iFinD）'!$B554="",'实盘净值数据(iFinD）'!$Z554="",'实盘净值数据(iFinD）'!$AA554=""),"",分期持仓明细!$AB$25*(SUMPRODUCT(分期持仓明细!$B$25:$Y$25,'实盘净值数据(iFinD）'!$B554:$Y554/'实盘净值数据(iFinD）'!$B$65:$Y$65)+SUMPRODUCT(分期持仓明细!$AC$25:$AD$25,'实盘净值数据(iFinD）'!$Z554:$AA554/'实盘净值数据(iFinD）'!$Z$65:$AA$65))*(1-实盘持仓初始配置!$Z$9)^(('实盘净值数据(iFinD）'!$A554-'实盘净值数据(iFinD）'!$A$8)/365))</f>
        <v/>
      </c>
      <c r="R554" s="16" t="str">
        <f t="shared" si="53"/>
        <v/>
      </c>
      <c r="S554" s="16" t="str">
        <f>IF(Q554="","",Q554/MAX(Q$5:Q554)-1)</f>
        <v/>
      </c>
      <c r="T554" s="13">
        <f>IF(OR('实盘净值数据(iFinD）'!$A554="",'实盘净值数据(iFinD）'!$B554="",'实盘净值数据(iFinD）'!$Z554="",'实盘净值数据(iFinD）'!$AA554="",'实盘净值数据(iFinD）'!$AB554="",'实盘净值数据(iFinD）'!$AL554=""),"",(SUMPRODUCT(分期持仓明细!$B$26:$Y$26,'实盘净值数据(iFinD）'!$B554:$Y554/'实盘净值数据(iFinD）'!$B$69:$Y$69)+SUMPRODUCT(分期持仓明细!$AC$26:$AD$26,'实盘净值数据(iFinD）'!$Z554:$AA554/'实盘净值数据(iFinD）'!$Z$69:$AA$69)+SUMPRODUCT(分期持仓明细!$AE$26:$AO$26,'实盘净值数据(iFinD）'!$AB554:$AL554/'实盘净值数据(iFinD）'!$AB$69:$AL$69))*(1-实盘持仓初始配置!$Z$10)^(('实盘净值数据(iFinD）'!$A554-'实盘净值数据(iFinD）'!$A$69)/365))</f>
        <v/>
      </c>
      <c r="U554" s="16">
        <f>IF(OR(T553="",T554=""),"",T554/T553-1)</f>
        <v/>
      </c>
      <c r="V554" s="16">
        <f>IF(T554="","",T554/MAX(T$5:T554)-1)</f>
        <v/>
      </c>
    </row>
    <row r="555" spans="1:19">
      <c r="A555" s="15" t="str">
        <f>IF('实盘净值数据(iFinD）'!A555="","",'实盘净值数据(iFinD）'!A555)</f>
        <v/>
      </c>
      <c r="B555" s="13" t="str">
        <f>IF(OR('实盘净值数据(iFinD）'!$A555="",'实盘净值数据(iFinD）'!$B555=""),"",分期持仓明细!$AB$17*SUMPRODUCT(分期持仓明细!$B$17:$Y$17,'实盘净值数据(iFinD）'!$B555:$Y555/'实盘净值数据(iFinD）'!$B$20:$Y$20)*(1-实盘持仓初始配置!$Z$4)^(('实盘净值数据(iFinD）'!$A555-'实盘净值数据(iFinD）'!$A$6)/365))</f>
        <v/>
      </c>
      <c r="C555" s="16" t="str">
        <f t="shared" si="48"/>
        <v/>
      </c>
      <c r="D555" s="16" t="str">
        <f>IF(B555="","",B555/MAX(B$5:B555)-1)</f>
        <v/>
      </c>
      <c r="E555" s="13" t="str">
        <f>IF(OR('实盘净值数据(iFinD）'!$A555="",'实盘净值数据(iFinD）'!$B555=""),"",分期持仓明细!$AB$18*SUMPRODUCT(分期持仓明细!$B$18:$Y$18,'实盘净值数据(iFinD）'!$B555:$Y555/'实盘净值数据(iFinD）'!$B$20:$Y$20)*(1-实盘持仓初始配置!$Z$5)^(('实盘净值数据(iFinD）'!$A555-'实盘净值数据(iFinD）'!$A$5)/365))</f>
        <v/>
      </c>
      <c r="F555" s="16" t="str">
        <f t="shared" si="49"/>
        <v/>
      </c>
      <c r="G555" s="16" t="str">
        <f>IF(E555="","",E555/MAX(E$5:E555)-1)</f>
        <v/>
      </c>
      <c r="H555" s="13" t="str">
        <f>IF(OR('实盘净值数据(iFinD）'!$A555="",'实盘净值数据(iFinD）'!$B555=""),"",分期持仓明细!$AB$19*SUMPRODUCT(分期持仓明细!$B$19:$Y$19,'实盘净值数据(iFinD）'!$B555:$Y555/'实盘净值数据(iFinD）'!$B$20:$Y$20)*(1-实盘持仓初始配置!$Z$6)^(('实盘净值数据(iFinD）'!$A555-'实盘净值数据(iFinD）'!$A$7)/365))</f>
        <v/>
      </c>
      <c r="I555" s="16" t="str">
        <f t="shared" si="50"/>
        <v/>
      </c>
      <c r="J555" s="16" t="str">
        <f>IF(H555="","",H555/MAX(H$5:H555)-1)</f>
        <v/>
      </c>
      <c r="K555" s="13" t="str">
        <f>IF(OR('实盘净值数据(iFinD）'!$A555="",'实盘净值数据(iFinD）'!$B555="",'实盘净值数据(iFinD）'!$Z555="",'实盘净值数据(iFinD）'!$AA555=""),"",分期持仓明细!$AB$23*(SUMPRODUCT(分期持仓明细!$B$23:$Y$23,'实盘净值数据(iFinD）'!$B555:$Y555/'实盘净值数据(iFinD）'!$B$65:$Y$65)+SUMPRODUCT(分期持仓明细!$AC$23:$AD$23,'实盘净值数据(iFinD）'!$Z555:$AA555/'实盘净值数据(iFinD）'!$Z$65:$AA$65))*(1-实盘持仓初始配置!$Z$7)^(('实盘净值数据(iFinD）'!$A555-'实盘净值数据(iFinD）'!$A$8)/365))</f>
        <v/>
      </c>
      <c r="L555" s="16" t="str">
        <f t="shared" si="51"/>
        <v/>
      </c>
      <c r="M555" s="16" t="str">
        <f>IF(K555="","",K555/MAX(K$5:K555)-1)</f>
        <v/>
      </c>
      <c r="N555" s="13" t="str">
        <f>IF(OR('实盘净值数据(iFinD）'!$A555="",'实盘净值数据(iFinD）'!$B555="",'实盘净值数据(iFinD）'!$Z555="",'实盘净值数据(iFinD）'!$AA555=""),"",分期持仓明细!$AB$24*(SUMPRODUCT(分期持仓明细!$B$24:$Y$24,'实盘净值数据(iFinD）'!$B555:$Y555/'实盘净值数据(iFinD）'!$B$65:$Y$65)+SUMPRODUCT(分期持仓明细!$AC$24:$AD$24,'实盘净值数据(iFinD）'!$Z555:$AA555/'实盘净值数据(iFinD）'!$Z$65:$AA$65))*(1-实盘持仓初始配置!$Z$8)^(('实盘净值数据(iFinD）'!$A555-'实盘净值数据(iFinD）'!$A$5)/365))</f>
        <v/>
      </c>
      <c r="O555" s="16" t="str">
        <f t="shared" si="52"/>
        <v/>
      </c>
      <c r="P555" s="16" t="str">
        <f>IF(N555="","",N555/MAX(N$5:N555)-1)</f>
        <v/>
      </c>
      <c r="Q555" s="13" t="str">
        <f>IF(OR('实盘净值数据(iFinD）'!$A555="",'实盘净值数据(iFinD）'!$B555="",'实盘净值数据(iFinD）'!$Z555="",'实盘净值数据(iFinD）'!$AA555=""),"",分期持仓明细!$AB$25*(SUMPRODUCT(分期持仓明细!$B$25:$Y$25,'实盘净值数据(iFinD）'!$B555:$Y555/'实盘净值数据(iFinD）'!$B$65:$Y$65)+SUMPRODUCT(分期持仓明细!$AC$25:$AD$25,'实盘净值数据(iFinD）'!$Z555:$AA555/'实盘净值数据(iFinD）'!$Z$65:$AA$65))*(1-实盘持仓初始配置!$Z$9)^(('实盘净值数据(iFinD）'!$A555-'实盘净值数据(iFinD）'!$A$8)/365))</f>
        <v/>
      </c>
      <c r="R555" s="16" t="str">
        <f t="shared" si="53"/>
        <v/>
      </c>
      <c r="S555" s="16" t="str">
        <f>IF(Q555="","",Q555/MAX(Q$5:Q555)-1)</f>
        <v/>
      </c>
      <c r="T555" s="13">
        <f>IF(OR('实盘净值数据(iFinD）'!$A555="",'实盘净值数据(iFinD）'!$B555="",'实盘净值数据(iFinD）'!$Z555="",'实盘净值数据(iFinD）'!$AA555="",'实盘净值数据(iFinD）'!$AB555="",'实盘净值数据(iFinD）'!$AL555=""),"",(SUMPRODUCT(分期持仓明细!$B$26:$Y$26,'实盘净值数据(iFinD）'!$B555:$Y555/'实盘净值数据(iFinD）'!$B$69:$Y$69)+SUMPRODUCT(分期持仓明细!$AC$26:$AD$26,'实盘净值数据(iFinD）'!$Z555:$AA555/'实盘净值数据(iFinD）'!$Z$69:$AA$69)+SUMPRODUCT(分期持仓明细!$AE$26:$AO$26,'实盘净值数据(iFinD）'!$AB555:$AL555/'实盘净值数据(iFinD）'!$AB$69:$AL$69))*(1-实盘持仓初始配置!$Z$10)^(('实盘净值数据(iFinD）'!$A555-'实盘净值数据(iFinD）'!$A$69)/365))</f>
        <v/>
      </c>
      <c r="U555" s="16">
        <f>IF(OR(T554="",T555=""),"",T555/T554-1)</f>
        <v/>
      </c>
      <c r="V555" s="16">
        <f>IF(T555="","",T555/MAX(T$5:T555)-1)</f>
        <v/>
      </c>
    </row>
    <row r="556" spans="1:19">
      <c r="A556" s="15" t="str">
        <f>IF('实盘净值数据(iFinD）'!A556="","",'实盘净值数据(iFinD）'!A556)</f>
        <v/>
      </c>
      <c r="B556" s="13" t="str">
        <f>IF(OR('实盘净值数据(iFinD）'!$A556="",'实盘净值数据(iFinD）'!$B556=""),"",分期持仓明细!$AB$17*SUMPRODUCT(分期持仓明细!$B$17:$Y$17,'实盘净值数据(iFinD）'!$B556:$Y556/'实盘净值数据(iFinD）'!$B$20:$Y$20)*(1-实盘持仓初始配置!$Z$4)^(('实盘净值数据(iFinD）'!$A556-'实盘净值数据(iFinD）'!$A$6)/365))</f>
        <v/>
      </c>
      <c r="C556" s="16" t="str">
        <f t="shared" si="48"/>
        <v/>
      </c>
      <c r="D556" s="16" t="str">
        <f>IF(B556="","",B556/MAX(B$5:B556)-1)</f>
        <v/>
      </c>
      <c r="E556" s="13" t="str">
        <f>IF(OR('实盘净值数据(iFinD）'!$A556="",'实盘净值数据(iFinD）'!$B556=""),"",分期持仓明细!$AB$18*SUMPRODUCT(分期持仓明细!$B$18:$Y$18,'实盘净值数据(iFinD）'!$B556:$Y556/'实盘净值数据(iFinD）'!$B$20:$Y$20)*(1-实盘持仓初始配置!$Z$5)^(('实盘净值数据(iFinD）'!$A556-'实盘净值数据(iFinD）'!$A$5)/365))</f>
        <v/>
      </c>
      <c r="F556" s="16" t="str">
        <f t="shared" si="49"/>
        <v/>
      </c>
      <c r="G556" s="16" t="str">
        <f>IF(E556="","",E556/MAX(E$5:E556)-1)</f>
        <v/>
      </c>
      <c r="H556" s="13" t="str">
        <f>IF(OR('实盘净值数据(iFinD）'!$A556="",'实盘净值数据(iFinD）'!$B556=""),"",分期持仓明细!$AB$19*SUMPRODUCT(分期持仓明细!$B$19:$Y$19,'实盘净值数据(iFinD）'!$B556:$Y556/'实盘净值数据(iFinD）'!$B$20:$Y$20)*(1-实盘持仓初始配置!$Z$6)^(('实盘净值数据(iFinD）'!$A556-'实盘净值数据(iFinD）'!$A$7)/365))</f>
        <v/>
      </c>
      <c r="I556" s="16" t="str">
        <f t="shared" si="50"/>
        <v/>
      </c>
      <c r="J556" s="16" t="str">
        <f>IF(H556="","",H556/MAX(H$5:H556)-1)</f>
        <v/>
      </c>
      <c r="K556" s="13" t="str">
        <f>IF(OR('实盘净值数据(iFinD）'!$A556="",'实盘净值数据(iFinD）'!$B556="",'实盘净值数据(iFinD）'!$Z556="",'实盘净值数据(iFinD）'!$AA556=""),"",分期持仓明细!$AB$23*(SUMPRODUCT(分期持仓明细!$B$23:$Y$23,'实盘净值数据(iFinD）'!$B556:$Y556/'实盘净值数据(iFinD）'!$B$65:$Y$65)+SUMPRODUCT(分期持仓明细!$AC$23:$AD$23,'实盘净值数据(iFinD）'!$Z556:$AA556/'实盘净值数据(iFinD）'!$Z$65:$AA$65))*(1-实盘持仓初始配置!$Z$7)^(('实盘净值数据(iFinD）'!$A556-'实盘净值数据(iFinD）'!$A$8)/365))</f>
        <v/>
      </c>
      <c r="L556" s="16" t="str">
        <f t="shared" si="51"/>
        <v/>
      </c>
      <c r="M556" s="16" t="str">
        <f>IF(K556="","",K556/MAX(K$5:K556)-1)</f>
        <v/>
      </c>
      <c r="N556" s="13" t="str">
        <f>IF(OR('实盘净值数据(iFinD）'!$A556="",'实盘净值数据(iFinD）'!$B556="",'实盘净值数据(iFinD）'!$Z556="",'实盘净值数据(iFinD）'!$AA556=""),"",分期持仓明细!$AB$24*(SUMPRODUCT(分期持仓明细!$B$24:$Y$24,'实盘净值数据(iFinD）'!$B556:$Y556/'实盘净值数据(iFinD）'!$B$65:$Y$65)+SUMPRODUCT(分期持仓明细!$AC$24:$AD$24,'实盘净值数据(iFinD）'!$Z556:$AA556/'实盘净值数据(iFinD）'!$Z$65:$AA$65))*(1-实盘持仓初始配置!$Z$8)^(('实盘净值数据(iFinD）'!$A556-'实盘净值数据(iFinD）'!$A$5)/365))</f>
        <v/>
      </c>
      <c r="O556" s="16" t="str">
        <f t="shared" si="52"/>
        <v/>
      </c>
      <c r="P556" s="16" t="str">
        <f>IF(N556="","",N556/MAX(N$5:N556)-1)</f>
        <v/>
      </c>
      <c r="Q556" s="13" t="str">
        <f>IF(OR('实盘净值数据(iFinD）'!$A556="",'实盘净值数据(iFinD）'!$B556="",'实盘净值数据(iFinD）'!$Z556="",'实盘净值数据(iFinD）'!$AA556=""),"",分期持仓明细!$AB$25*(SUMPRODUCT(分期持仓明细!$B$25:$Y$25,'实盘净值数据(iFinD）'!$B556:$Y556/'实盘净值数据(iFinD）'!$B$65:$Y$65)+SUMPRODUCT(分期持仓明细!$AC$25:$AD$25,'实盘净值数据(iFinD）'!$Z556:$AA556/'实盘净值数据(iFinD）'!$Z$65:$AA$65))*(1-实盘持仓初始配置!$Z$9)^(('实盘净值数据(iFinD）'!$A556-'实盘净值数据(iFinD）'!$A$8)/365))</f>
        <v/>
      </c>
      <c r="R556" s="16" t="str">
        <f t="shared" si="53"/>
        <v/>
      </c>
      <c r="S556" s="16" t="str">
        <f>IF(Q556="","",Q556/MAX(Q$5:Q556)-1)</f>
        <v/>
      </c>
      <c r="T556" s="13">
        <f>IF(OR('实盘净值数据(iFinD）'!$A556="",'实盘净值数据(iFinD）'!$B556="",'实盘净值数据(iFinD）'!$Z556="",'实盘净值数据(iFinD）'!$AA556="",'实盘净值数据(iFinD）'!$AB556="",'实盘净值数据(iFinD）'!$AL556=""),"",(SUMPRODUCT(分期持仓明细!$B$26:$Y$26,'实盘净值数据(iFinD）'!$B556:$Y556/'实盘净值数据(iFinD）'!$B$69:$Y$69)+SUMPRODUCT(分期持仓明细!$AC$26:$AD$26,'实盘净值数据(iFinD）'!$Z556:$AA556/'实盘净值数据(iFinD）'!$Z$69:$AA$69)+SUMPRODUCT(分期持仓明细!$AE$26:$AO$26,'实盘净值数据(iFinD）'!$AB556:$AL556/'实盘净值数据(iFinD）'!$AB$69:$AL$69))*(1-实盘持仓初始配置!$Z$10)^(('实盘净值数据(iFinD）'!$A556-'实盘净值数据(iFinD）'!$A$69)/365))</f>
        <v/>
      </c>
      <c r="U556" s="16">
        <f>IF(OR(T555="",T556=""),"",T556/T555-1)</f>
        <v/>
      </c>
      <c r="V556" s="16">
        <f>IF(T556="","",T556/MAX(T$5:T556)-1)</f>
        <v/>
      </c>
    </row>
    <row r="557" spans="1:19">
      <c r="A557" s="15" t="str">
        <f>IF('实盘净值数据(iFinD）'!A557="","",'实盘净值数据(iFinD）'!A557)</f>
        <v/>
      </c>
      <c r="B557" s="13" t="str">
        <f>IF(OR('实盘净值数据(iFinD）'!$A557="",'实盘净值数据(iFinD）'!$B557=""),"",分期持仓明细!$AB$17*SUMPRODUCT(分期持仓明细!$B$17:$Y$17,'实盘净值数据(iFinD）'!$B557:$Y557/'实盘净值数据(iFinD）'!$B$20:$Y$20)*(1-实盘持仓初始配置!$Z$4)^(('实盘净值数据(iFinD）'!$A557-'实盘净值数据(iFinD）'!$A$6)/365))</f>
        <v/>
      </c>
      <c r="C557" s="16" t="str">
        <f t="shared" si="48"/>
        <v/>
      </c>
      <c r="D557" s="16" t="str">
        <f>IF(B557="","",B557/MAX(B$5:B557)-1)</f>
        <v/>
      </c>
      <c r="E557" s="13" t="str">
        <f>IF(OR('实盘净值数据(iFinD）'!$A557="",'实盘净值数据(iFinD）'!$B557=""),"",分期持仓明细!$AB$18*SUMPRODUCT(分期持仓明细!$B$18:$Y$18,'实盘净值数据(iFinD）'!$B557:$Y557/'实盘净值数据(iFinD）'!$B$20:$Y$20)*(1-实盘持仓初始配置!$Z$5)^(('实盘净值数据(iFinD）'!$A557-'实盘净值数据(iFinD）'!$A$5)/365))</f>
        <v/>
      </c>
      <c r="F557" s="16" t="str">
        <f t="shared" si="49"/>
        <v/>
      </c>
      <c r="G557" s="16" t="str">
        <f>IF(E557="","",E557/MAX(E$5:E557)-1)</f>
        <v/>
      </c>
      <c r="H557" s="13" t="str">
        <f>IF(OR('实盘净值数据(iFinD）'!$A557="",'实盘净值数据(iFinD）'!$B557=""),"",分期持仓明细!$AB$19*SUMPRODUCT(分期持仓明细!$B$19:$Y$19,'实盘净值数据(iFinD）'!$B557:$Y557/'实盘净值数据(iFinD）'!$B$20:$Y$20)*(1-实盘持仓初始配置!$Z$6)^(('实盘净值数据(iFinD）'!$A557-'实盘净值数据(iFinD）'!$A$7)/365))</f>
        <v/>
      </c>
      <c r="I557" s="16" t="str">
        <f t="shared" si="50"/>
        <v/>
      </c>
      <c r="J557" s="16" t="str">
        <f>IF(H557="","",H557/MAX(H$5:H557)-1)</f>
        <v/>
      </c>
      <c r="K557" s="13" t="str">
        <f>IF(OR('实盘净值数据(iFinD）'!$A557="",'实盘净值数据(iFinD）'!$B557="",'实盘净值数据(iFinD）'!$Z557="",'实盘净值数据(iFinD）'!$AA557=""),"",分期持仓明细!$AB$23*(SUMPRODUCT(分期持仓明细!$B$23:$Y$23,'实盘净值数据(iFinD）'!$B557:$Y557/'实盘净值数据(iFinD）'!$B$65:$Y$65)+SUMPRODUCT(分期持仓明细!$AC$23:$AD$23,'实盘净值数据(iFinD）'!$Z557:$AA557/'实盘净值数据(iFinD）'!$Z$65:$AA$65))*(1-实盘持仓初始配置!$Z$7)^(('实盘净值数据(iFinD）'!$A557-'实盘净值数据(iFinD）'!$A$8)/365))</f>
        <v/>
      </c>
      <c r="L557" s="16" t="str">
        <f t="shared" si="51"/>
        <v/>
      </c>
      <c r="M557" s="16" t="str">
        <f>IF(K557="","",K557/MAX(K$5:K557)-1)</f>
        <v/>
      </c>
      <c r="N557" s="13" t="str">
        <f>IF(OR('实盘净值数据(iFinD）'!$A557="",'实盘净值数据(iFinD）'!$B557="",'实盘净值数据(iFinD）'!$Z557="",'实盘净值数据(iFinD）'!$AA557=""),"",分期持仓明细!$AB$24*(SUMPRODUCT(分期持仓明细!$B$24:$Y$24,'实盘净值数据(iFinD）'!$B557:$Y557/'实盘净值数据(iFinD）'!$B$65:$Y$65)+SUMPRODUCT(分期持仓明细!$AC$24:$AD$24,'实盘净值数据(iFinD）'!$Z557:$AA557/'实盘净值数据(iFinD）'!$Z$65:$AA$65))*(1-实盘持仓初始配置!$Z$8)^(('实盘净值数据(iFinD）'!$A557-'实盘净值数据(iFinD）'!$A$5)/365))</f>
        <v/>
      </c>
      <c r="O557" s="16" t="str">
        <f t="shared" si="52"/>
        <v/>
      </c>
      <c r="P557" s="16" t="str">
        <f>IF(N557="","",N557/MAX(N$5:N557)-1)</f>
        <v/>
      </c>
      <c r="Q557" s="13" t="str">
        <f>IF(OR('实盘净值数据(iFinD）'!$A557="",'实盘净值数据(iFinD）'!$B557="",'实盘净值数据(iFinD）'!$Z557="",'实盘净值数据(iFinD）'!$AA557=""),"",分期持仓明细!$AB$25*(SUMPRODUCT(分期持仓明细!$B$25:$Y$25,'实盘净值数据(iFinD）'!$B557:$Y557/'实盘净值数据(iFinD）'!$B$65:$Y$65)+SUMPRODUCT(分期持仓明细!$AC$25:$AD$25,'实盘净值数据(iFinD）'!$Z557:$AA557/'实盘净值数据(iFinD）'!$Z$65:$AA$65))*(1-实盘持仓初始配置!$Z$9)^(('实盘净值数据(iFinD）'!$A557-'实盘净值数据(iFinD）'!$A$8)/365))</f>
        <v/>
      </c>
      <c r="R557" s="16" t="str">
        <f t="shared" si="53"/>
        <v/>
      </c>
      <c r="S557" s="16" t="str">
        <f>IF(Q557="","",Q557/MAX(Q$5:Q557)-1)</f>
        <v/>
      </c>
      <c r="T557" s="13">
        <f>IF(OR('实盘净值数据(iFinD）'!$A557="",'实盘净值数据(iFinD）'!$B557="",'实盘净值数据(iFinD）'!$Z557="",'实盘净值数据(iFinD）'!$AA557="",'实盘净值数据(iFinD）'!$AB557="",'实盘净值数据(iFinD）'!$AL557=""),"",(SUMPRODUCT(分期持仓明细!$B$26:$Y$26,'实盘净值数据(iFinD）'!$B557:$Y557/'实盘净值数据(iFinD）'!$B$69:$Y$69)+SUMPRODUCT(分期持仓明细!$AC$26:$AD$26,'实盘净值数据(iFinD）'!$Z557:$AA557/'实盘净值数据(iFinD）'!$Z$69:$AA$69)+SUMPRODUCT(分期持仓明细!$AE$26:$AO$26,'实盘净值数据(iFinD）'!$AB557:$AL557/'实盘净值数据(iFinD）'!$AB$69:$AL$69))*(1-实盘持仓初始配置!$Z$10)^(('实盘净值数据(iFinD）'!$A557-'实盘净值数据(iFinD）'!$A$69)/365))</f>
        <v/>
      </c>
      <c r="U557" s="16">
        <f>IF(OR(T556="",T557=""),"",T557/T556-1)</f>
        <v/>
      </c>
      <c r="V557" s="16">
        <f>IF(T557="","",T557/MAX(T$5:T557)-1)</f>
        <v/>
      </c>
    </row>
    <row r="558" spans="1:19">
      <c r="A558" s="15" t="str">
        <f>IF('实盘净值数据(iFinD）'!A558="","",'实盘净值数据(iFinD）'!A558)</f>
        <v/>
      </c>
      <c r="B558" s="13" t="str">
        <f>IF(OR('实盘净值数据(iFinD）'!$A558="",'实盘净值数据(iFinD）'!$B558=""),"",分期持仓明细!$AB$17*SUMPRODUCT(分期持仓明细!$B$17:$Y$17,'实盘净值数据(iFinD）'!$B558:$Y558/'实盘净值数据(iFinD）'!$B$20:$Y$20)*(1-实盘持仓初始配置!$Z$4)^(('实盘净值数据(iFinD）'!$A558-'实盘净值数据(iFinD）'!$A$6)/365))</f>
        <v/>
      </c>
      <c r="C558" s="16" t="str">
        <f t="shared" si="48"/>
        <v/>
      </c>
      <c r="D558" s="16" t="str">
        <f>IF(B558="","",B558/MAX(B$5:B558)-1)</f>
        <v/>
      </c>
      <c r="E558" s="13" t="str">
        <f>IF(OR('实盘净值数据(iFinD）'!$A558="",'实盘净值数据(iFinD）'!$B558=""),"",分期持仓明细!$AB$18*SUMPRODUCT(分期持仓明细!$B$18:$Y$18,'实盘净值数据(iFinD）'!$B558:$Y558/'实盘净值数据(iFinD）'!$B$20:$Y$20)*(1-实盘持仓初始配置!$Z$5)^(('实盘净值数据(iFinD）'!$A558-'实盘净值数据(iFinD）'!$A$5)/365))</f>
        <v/>
      </c>
      <c r="F558" s="16" t="str">
        <f t="shared" si="49"/>
        <v/>
      </c>
      <c r="G558" s="16" t="str">
        <f>IF(E558="","",E558/MAX(E$5:E558)-1)</f>
        <v/>
      </c>
      <c r="H558" s="13" t="str">
        <f>IF(OR('实盘净值数据(iFinD）'!$A558="",'实盘净值数据(iFinD）'!$B558=""),"",分期持仓明细!$AB$19*SUMPRODUCT(分期持仓明细!$B$19:$Y$19,'实盘净值数据(iFinD）'!$B558:$Y558/'实盘净值数据(iFinD）'!$B$20:$Y$20)*(1-实盘持仓初始配置!$Z$6)^(('实盘净值数据(iFinD）'!$A558-'实盘净值数据(iFinD）'!$A$7)/365))</f>
        <v/>
      </c>
      <c r="I558" s="16" t="str">
        <f t="shared" si="50"/>
        <v/>
      </c>
      <c r="J558" s="16" t="str">
        <f>IF(H558="","",H558/MAX(H$5:H558)-1)</f>
        <v/>
      </c>
      <c r="K558" s="13" t="str">
        <f>IF(OR('实盘净值数据(iFinD）'!$A558="",'实盘净值数据(iFinD）'!$B558="",'实盘净值数据(iFinD）'!$Z558="",'实盘净值数据(iFinD）'!$AA558=""),"",分期持仓明细!$AB$23*(SUMPRODUCT(分期持仓明细!$B$23:$Y$23,'实盘净值数据(iFinD）'!$B558:$Y558/'实盘净值数据(iFinD）'!$B$65:$Y$65)+SUMPRODUCT(分期持仓明细!$AC$23:$AD$23,'实盘净值数据(iFinD）'!$Z558:$AA558/'实盘净值数据(iFinD）'!$Z$65:$AA$65))*(1-实盘持仓初始配置!$Z$7)^(('实盘净值数据(iFinD）'!$A558-'实盘净值数据(iFinD）'!$A$8)/365))</f>
        <v/>
      </c>
      <c r="L558" s="16" t="str">
        <f t="shared" si="51"/>
        <v/>
      </c>
      <c r="M558" s="16" t="str">
        <f>IF(K558="","",K558/MAX(K$5:K558)-1)</f>
        <v/>
      </c>
      <c r="N558" s="13" t="str">
        <f>IF(OR('实盘净值数据(iFinD）'!$A558="",'实盘净值数据(iFinD）'!$B558="",'实盘净值数据(iFinD）'!$Z558="",'实盘净值数据(iFinD）'!$AA558=""),"",分期持仓明细!$AB$24*(SUMPRODUCT(分期持仓明细!$B$24:$Y$24,'实盘净值数据(iFinD）'!$B558:$Y558/'实盘净值数据(iFinD）'!$B$65:$Y$65)+SUMPRODUCT(分期持仓明细!$AC$24:$AD$24,'实盘净值数据(iFinD）'!$Z558:$AA558/'实盘净值数据(iFinD）'!$Z$65:$AA$65))*(1-实盘持仓初始配置!$Z$8)^(('实盘净值数据(iFinD）'!$A558-'实盘净值数据(iFinD）'!$A$5)/365))</f>
        <v/>
      </c>
      <c r="O558" s="16" t="str">
        <f t="shared" si="52"/>
        <v/>
      </c>
      <c r="P558" s="16" t="str">
        <f>IF(N558="","",N558/MAX(N$5:N558)-1)</f>
        <v/>
      </c>
      <c r="Q558" s="13" t="str">
        <f>IF(OR('实盘净值数据(iFinD）'!$A558="",'实盘净值数据(iFinD）'!$B558="",'实盘净值数据(iFinD）'!$Z558="",'实盘净值数据(iFinD）'!$AA558=""),"",分期持仓明细!$AB$25*(SUMPRODUCT(分期持仓明细!$B$25:$Y$25,'实盘净值数据(iFinD）'!$B558:$Y558/'实盘净值数据(iFinD）'!$B$65:$Y$65)+SUMPRODUCT(分期持仓明细!$AC$25:$AD$25,'实盘净值数据(iFinD）'!$Z558:$AA558/'实盘净值数据(iFinD）'!$Z$65:$AA$65))*(1-实盘持仓初始配置!$Z$9)^(('实盘净值数据(iFinD）'!$A558-'实盘净值数据(iFinD）'!$A$8)/365))</f>
        <v/>
      </c>
      <c r="R558" s="16" t="str">
        <f t="shared" si="53"/>
        <v/>
      </c>
      <c r="S558" s="16" t="str">
        <f>IF(Q558="","",Q558/MAX(Q$5:Q558)-1)</f>
        <v/>
      </c>
      <c r="T558" s="13">
        <f>IF(OR('实盘净值数据(iFinD）'!$A558="",'实盘净值数据(iFinD）'!$B558="",'实盘净值数据(iFinD）'!$Z558="",'实盘净值数据(iFinD）'!$AA558="",'实盘净值数据(iFinD）'!$AB558="",'实盘净值数据(iFinD）'!$AL558=""),"",(SUMPRODUCT(分期持仓明细!$B$26:$Y$26,'实盘净值数据(iFinD）'!$B558:$Y558/'实盘净值数据(iFinD）'!$B$69:$Y$69)+SUMPRODUCT(分期持仓明细!$AC$26:$AD$26,'实盘净值数据(iFinD）'!$Z558:$AA558/'实盘净值数据(iFinD）'!$Z$69:$AA$69)+SUMPRODUCT(分期持仓明细!$AE$26:$AO$26,'实盘净值数据(iFinD）'!$AB558:$AL558/'实盘净值数据(iFinD）'!$AB$69:$AL$69))*(1-实盘持仓初始配置!$Z$10)^(('实盘净值数据(iFinD）'!$A558-'实盘净值数据(iFinD）'!$A$69)/365))</f>
        <v/>
      </c>
      <c r="U558" s="16">
        <f>IF(OR(T557="",T558=""),"",T558/T557-1)</f>
        <v/>
      </c>
      <c r="V558" s="16">
        <f>IF(T558="","",T558/MAX(T$5:T558)-1)</f>
        <v/>
      </c>
    </row>
    <row r="559" spans="1:19">
      <c r="A559" s="15" t="str">
        <f>IF('实盘净值数据(iFinD）'!A559="","",'实盘净值数据(iFinD）'!A559)</f>
        <v/>
      </c>
      <c r="B559" s="13" t="str">
        <f>IF(OR('实盘净值数据(iFinD）'!$A559="",'实盘净值数据(iFinD）'!$B559=""),"",分期持仓明细!$AB$17*SUMPRODUCT(分期持仓明细!$B$17:$Y$17,'实盘净值数据(iFinD）'!$B559:$Y559/'实盘净值数据(iFinD）'!$B$20:$Y$20)*(1-实盘持仓初始配置!$Z$4)^(('实盘净值数据(iFinD）'!$A559-'实盘净值数据(iFinD）'!$A$6)/365))</f>
        <v/>
      </c>
      <c r="C559" s="16" t="str">
        <f t="shared" si="48"/>
        <v/>
      </c>
      <c r="D559" s="16" t="str">
        <f>IF(B559="","",B559/MAX(B$5:B559)-1)</f>
        <v/>
      </c>
      <c r="E559" s="13" t="str">
        <f>IF(OR('实盘净值数据(iFinD）'!$A559="",'实盘净值数据(iFinD）'!$B559=""),"",分期持仓明细!$AB$18*SUMPRODUCT(分期持仓明细!$B$18:$Y$18,'实盘净值数据(iFinD）'!$B559:$Y559/'实盘净值数据(iFinD）'!$B$20:$Y$20)*(1-实盘持仓初始配置!$Z$5)^(('实盘净值数据(iFinD）'!$A559-'实盘净值数据(iFinD）'!$A$5)/365))</f>
        <v/>
      </c>
      <c r="F559" s="16" t="str">
        <f t="shared" si="49"/>
        <v/>
      </c>
      <c r="G559" s="16" t="str">
        <f>IF(E559="","",E559/MAX(E$5:E559)-1)</f>
        <v/>
      </c>
      <c r="H559" s="13" t="str">
        <f>IF(OR('实盘净值数据(iFinD）'!$A559="",'实盘净值数据(iFinD）'!$B559=""),"",分期持仓明细!$AB$19*SUMPRODUCT(分期持仓明细!$B$19:$Y$19,'实盘净值数据(iFinD）'!$B559:$Y559/'实盘净值数据(iFinD）'!$B$20:$Y$20)*(1-实盘持仓初始配置!$Z$6)^(('实盘净值数据(iFinD）'!$A559-'实盘净值数据(iFinD）'!$A$7)/365))</f>
        <v/>
      </c>
      <c r="I559" s="16" t="str">
        <f t="shared" si="50"/>
        <v/>
      </c>
      <c r="J559" s="16" t="str">
        <f>IF(H559="","",H559/MAX(H$5:H559)-1)</f>
        <v/>
      </c>
      <c r="K559" s="13" t="str">
        <f>IF(OR('实盘净值数据(iFinD）'!$A559="",'实盘净值数据(iFinD）'!$B559="",'实盘净值数据(iFinD）'!$Z559="",'实盘净值数据(iFinD）'!$AA559=""),"",分期持仓明细!$AB$23*(SUMPRODUCT(分期持仓明细!$B$23:$Y$23,'实盘净值数据(iFinD）'!$B559:$Y559/'实盘净值数据(iFinD）'!$B$65:$Y$65)+SUMPRODUCT(分期持仓明细!$AC$23:$AD$23,'实盘净值数据(iFinD）'!$Z559:$AA559/'实盘净值数据(iFinD）'!$Z$65:$AA$65))*(1-实盘持仓初始配置!$Z$7)^(('实盘净值数据(iFinD）'!$A559-'实盘净值数据(iFinD）'!$A$8)/365))</f>
        <v/>
      </c>
      <c r="L559" s="16" t="str">
        <f t="shared" si="51"/>
        <v/>
      </c>
      <c r="M559" s="16" t="str">
        <f>IF(K559="","",K559/MAX(K$5:K559)-1)</f>
        <v/>
      </c>
      <c r="N559" s="13" t="str">
        <f>IF(OR('实盘净值数据(iFinD）'!$A559="",'实盘净值数据(iFinD）'!$B559="",'实盘净值数据(iFinD）'!$Z559="",'实盘净值数据(iFinD）'!$AA559=""),"",分期持仓明细!$AB$24*(SUMPRODUCT(分期持仓明细!$B$24:$Y$24,'实盘净值数据(iFinD）'!$B559:$Y559/'实盘净值数据(iFinD）'!$B$65:$Y$65)+SUMPRODUCT(分期持仓明细!$AC$24:$AD$24,'实盘净值数据(iFinD）'!$Z559:$AA559/'实盘净值数据(iFinD）'!$Z$65:$AA$65))*(1-实盘持仓初始配置!$Z$8)^(('实盘净值数据(iFinD）'!$A559-'实盘净值数据(iFinD）'!$A$5)/365))</f>
        <v/>
      </c>
      <c r="O559" s="16" t="str">
        <f t="shared" si="52"/>
        <v/>
      </c>
      <c r="P559" s="16" t="str">
        <f>IF(N559="","",N559/MAX(N$5:N559)-1)</f>
        <v/>
      </c>
      <c r="Q559" s="13" t="str">
        <f>IF(OR('实盘净值数据(iFinD）'!$A559="",'实盘净值数据(iFinD）'!$B559="",'实盘净值数据(iFinD）'!$Z559="",'实盘净值数据(iFinD）'!$AA559=""),"",分期持仓明细!$AB$25*(SUMPRODUCT(分期持仓明细!$B$25:$Y$25,'实盘净值数据(iFinD）'!$B559:$Y559/'实盘净值数据(iFinD）'!$B$65:$Y$65)+SUMPRODUCT(分期持仓明细!$AC$25:$AD$25,'实盘净值数据(iFinD）'!$Z559:$AA559/'实盘净值数据(iFinD）'!$Z$65:$AA$65))*(1-实盘持仓初始配置!$Z$9)^(('实盘净值数据(iFinD）'!$A559-'实盘净值数据(iFinD）'!$A$8)/365))</f>
        <v/>
      </c>
      <c r="R559" s="16" t="str">
        <f t="shared" si="53"/>
        <v/>
      </c>
      <c r="S559" s="16" t="str">
        <f>IF(Q559="","",Q559/MAX(Q$5:Q559)-1)</f>
        <v/>
      </c>
      <c r="T559" s="13">
        <f>IF(OR('实盘净值数据(iFinD）'!$A559="",'实盘净值数据(iFinD）'!$B559="",'实盘净值数据(iFinD）'!$Z559="",'实盘净值数据(iFinD）'!$AA559="",'实盘净值数据(iFinD）'!$AB559="",'实盘净值数据(iFinD）'!$AL559=""),"",(SUMPRODUCT(分期持仓明细!$B$26:$Y$26,'实盘净值数据(iFinD）'!$B559:$Y559/'实盘净值数据(iFinD）'!$B$69:$Y$69)+SUMPRODUCT(分期持仓明细!$AC$26:$AD$26,'实盘净值数据(iFinD）'!$Z559:$AA559/'实盘净值数据(iFinD）'!$Z$69:$AA$69)+SUMPRODUCT(分期持仓明细!$AE$26:$AO$26,'实盘净值数据(iFinD）'!$AB559:$AL559/'实盘净值数据(iFinD）'!$AB$69:$AL$69))*(1-实盘持仓初始配置!$Z$10)^(('实盘净值数据(iFinD）'!$A559-'实盘净值数据(iFinD）'!$A$69)/365))</f>
        <v/>
      </c>
      <c r="U559" s="16">
        <f>IF(OR(T558="",T559=""),"",T559/T558-1)</f>
        <v/>
      </c>
      <c r="V559" s="16">
        <f>IF(T559="","",T559/MAX(T$5:T559)-1)</f>
        <v/>
      </c>
    </row>
    <row r="560" spans="1:19">
      <c r="A560" s="15" t="str">
        <f>IF('实盘净值数据(iFinD）'!A560="","",'实盘净值数据(iFinD）'!A560)</f>
        <v/>
      </c>
      <c r="B560" s="13" t="str">
        <f>IF(OR('实盘净值数据(iFinD）'!$A560="",'实盘净值数据(iFinD）'!$B560=""),"",分期持仓明细!$AB$17*SUMPRODUCT(分期持仓明细!$B$17:$Y$17,'实盘净值数据(iFinD）'!$B560:$Y560/'实盘净值数据(iFinD）'!$B$20:$Y$20)*(1-实盘持仓初始配置!$Z$4)^(('实盘净值数据(iFinD）'!$A560-'实盘净值数据(iFinD）'!$A$6)/365))</f>
        <v/>
      </c>
      <c r="C560" s="16" t="str">
        <f t="shared" si="48"/>
        <v/>
      </c>
      <c r="D560" s="16" t="str">
        <f>IF(B560="","",B560/MAX(B$5:B560)-1)</f>
        <v/>
      </c>
      <c r="E560" s="13" t="str">
        <f>IF(OR('实盘净值数据(iFinD）'!$A560="",'实盘净值数据(iFinD）'!$B560=""),"",分期持仓明细!$AB$18*SUMPRODUCT(分期持仓明细!$B$18:$Y$18,'实盘净值数据(iFinD）'!$B560:$Y560/'实盘净值数据(iFinD）'!$B$20:$Y$20)*(1-实盘持仓初始配置!$Z$5)^(('实盘净值数据(iFinD）'!$A560-'实盘净值数据(iFinD）'!$A$5)/365))</f>
        <v/>
      </c>
      <c r="F560" s="16" t="str">
        <f t="shared" si="49"/>
        <v/>
      </c>
      <c r="G560" s="16" t="str">
        <f>IF(E560="","",E560/MAX(E$5:E560)-1)</f>
        <v/>
      </c>
      <c r="H560" s="13" t="str">
        <f>IF(OR('实盘净值数据(iFinD）'!$A560="",'实盘净值数据(iFinD）'!$B560=""),"",分期持仓明细!$AB$19*SUMPRODUCT(分期持仓明细!$B$19:$Y$19,'实盘净值数据(iFinD）'!$B560:$Y560/'实盘净值数据(iFinD）'!$B$20:$Y$20)*(1-实盘持仓初始配置!$Z$6)^(('实盘净值数据(iFinD）'!$A560-'实盘净值数据(iFinD）'!$A$7)/365))</f>
        <v/>
      </c>
      <c r="I560" s="16" t="str">
        <f t="shared" si="50"/>
        <v/>
      </c>
      <c r="J560" s="16" t="str">
        <f>IF(H560="","",H560/MAX(H$5:H560)-1)</f>
        <v/>
      </c>
      <c r="K560" s="13" t="str">
        <f>IF(OR('实盘净值数据(iFinD）'!$A560="",'实盘净值数据(iFinD）'!$B560="",'实盘净值数据(iFinD）'!$Z560="",'实盘净值数据(iFinD）'!$AA560=""),"",分期持仓明细!$AB$23*(SUMPRODUCT(分期持仓明细!$B$23:$Y$23,'实盘净值数据(iFinD）'!$B560:$Y560/'实盘净值数据(iFinD）'!$B$65:$Y$65)+SUMPRODUCT(分期持仓明细!$AC$23:$AD$23,'实盘净值数据(iFinD）'!$Z560:$AA560/'实盘净值数据(iFinD）'!$Z$65:$AA$65))*(1-实盘持仓初始配置!$Z$7)^(('实盘净值数据(iFinD）'!$A560-'实盘净值数据(iFinD）'!$A$8)/365))</f>
        <v/>
      </c>
      <c r="L560" s="16" t="str">
        <f t="shared" si="51"/>
        <v/>
      </c>
      <c r="M560" s="16" t="str">
        <f>IF(K560="","",K560/MAX(K$5:K560)-1)</f>
        <v/>
      </c>
      <c r="N560" s="13" t="str">
        <f>IF(OR('实盘净值数据(iFinD）'!$A560="",'实盘净值数据(iFinD）'!$B560="",'实盘净值数据(iFinD）'!$Z560="",'实盘净值数据(iFinD）'!$AA560=""),"",分期持仓明细!$AB$24*(SUMPRODUCT(分期持仓明细!$B$24:$Y$24,'实盘净值数据(iFinD）'!$B560:$Y560/'实盘净值数据(iFinD）'!$B$65:$Y$65)+SUMPRODUCT(分期持仓明细!$AC$24:$AD$24,'实盘净值数据(iFinD）'!$Z560:$AA560/'实盘净值数据(iFinD）'!$Z$65:$AA$65))*(1-实盘持仓初始配置!$Z$8)^(('实盘净值数据(iFinD）'!$A560-'实盘净值数据(iFinD）'!$A$5)/365))</f>
        <v/>
      </c>
      <c r="O560" s="16" t="str">
        <f t="shared" si="52"/>
        <v/>
      </c>
      <c r="P560" s="16" t="str">
        <f>IF(N560="","",N560/MAX(N$5:N560)-1)</f>
        <v/>
      </c>
      <c r="Q560" s="13" t="str">
        <f>IF(OR('实盘净值数据(iFinD）'!$A560="",'实盘净值数据(iFinD）'!$B560="",'实盘净值数据(iFinD）'!$Z560="",'实盘净值数据(iFinD）'!$AA560=""),"",分期持仓明细!$AB$25*(SUMPRODUCT(分期持仓明细!$B$25:$Y$25,'实盘净值数据(iFinD）'!$B560:$Y560/'实盘净值数据(iFinD）'!$B$65:$Y$65)+SUMPRODUCT(分期持仓明细!$AC$25:$AD$25,'实盘净值数据(iFinD）'!$Z560:$AA560/'实盘净值数据(iFinD）'!$Z$65:$AA$65))*(1-实盘持仓初始配置!$Z$9)^(('实盘净值数据(iFinD）'!$A560-'实盘净值数据(iFinD）'!$A$8)/365))</f>
        <v/>
      </c>
      <c r="R560" s="16" t="str">
        <f t="shared" si="53"/>
        <v/>
      </c>
      <c r="S560" s="16" t="str">
        <f>IF(Q560="","",Q560/MAX(Q$5:Q560)-1)</f>
        <v/>
      </c>
      <c r="T560" s="13">
        <f>IF(OR('实盘净值数据(iFinD）'!$A560="",'实盘净值数据(iFinD）'!$B560="",'实盘净值数据(iFinD）'!$Z560="",'实盘净值数据(iFinD）'!$AA560="",'实盘净值数据(iFinD）'!$AB560="",'实盘净值数据(iFinD）'!$AL560=""),"",(SUMPRODUCT(分期持仓明细!$B$26:$Y$26,'实盘净值数据(iFinD）'!$B560:$Y560/'实盘净值数据(iFinD）'!$B$69:$Y$69)+SUMPRODUCT(分期持仓明细!$AC$26:$AD$26,'实盘净值数据(iFinD）'!$Z560:$AA560/'实盘净值数据(iFinD）'!$Z$69:$AA$69)+SUMPRODUCT(分期持仓明细!$AE$26:$AO$26,'实盘净值数据(iFinD）'!$AB560:$AL560/'实盘净值数据(iFinD）'!$AB$69:$AL$69))*(1-实盘持仓初始配置!$Z$10)^(('实盘净值数据(iFinD）'!$A560-'实盘净值数据(iFinD）'!$A$69)/365))</f>
        <v/>
      </c>
      <c r="U560" s="16">
        <f>IF(OR(T559="",T560=""),"",T560/T559-1)</f>
        <v/>
      </c>
      <c r="V560" s="16">
        <f>IF(T560="","",T560/MAX(T$5:T560)-1)</f>
        <v/>
      </c>
    </row>
    <row r="561" spans="1:19">
      <c r="A561" s="15" t="str">
        <f>IF('实盘净值数据(iFinD）'!A561="","",'实盘净值数据(iFinD）'!A561)</f>
        <v/>
      </c>
      <c r="B561" s="13" t="str">
        <f>IF(OR('实盘净值数据(iFinD）'!$A561="",'实盘净值数据(iFinD）'!$B561=""),"",分期持仓明细!$AB$17*SUMPRODUCT(分期持仓明细!$B$17:$Y$17,'实盘净值数据(iFinD）'!$B561:$Y561/'实盘净值数据(iFinD）'!$B$20:$Y$20)*(1-实盘持仓初始配置!$Z$4)^(('实盘净值数据(iFinD）'!$A561-'实盘净值数据(iFinD）'!$A$6)/365))</f>
        <v/>
      </c>
      <c r="C561" s="16" t="str">
        <f t="shared" si="48"/>
        <v/>
      </c>
      <c r="D561" s="16" t="str">
        <f>IF(B561="","",B561/MAX(B$5:B561)-1)</f>
        <v/>
      </c>
      <c r="E561" s="13" t="str">
        <f>IF(OR('实盘净值数据(iFinD）'!$A561="",'实盘净值数据(iFinD）'!$B561=""),"",分期持仓明细!$AB$18*SUMPRODUCT(分期持仓明细!$B$18:$Y$18,'实盘净值数据(iFinD）'!$B561:$Y561/'实盘净值数据(iFinD）'!$B$20:$Y$20)*(1-实盘持仓初始配置!$Z$5)^(('实盘净值数据(iFinD）'!$A561-'实盘净值数据(iFinD）'!$A$5)/365))</f>
        <v/>
      </c>
      <c r="F561" s="16" t="str">
        <f t="shared" si="49"/>
        <v/>
      </c>
      <c r="G561" s="16" t="str">
        <f>IF(E561="","",E561/MAX(E$5:E561)-1)</f>
        <v/>
      </c>
      <c r="H561" s="13" t="str">
        <f>IF(OR('实盘净值数据(iFinD）'!$A561="",'实盘净值数据(iFinD）'!$B561=""),"",分期持仓明细!$AB$19*SUMPRODUCT(分期持仓明细!$B$19:$Y$19,'实盘净值数据(iFinD）'!$B561:$Y561/'实盘净值数据(iFinD）'!$B$20:$Y$20)*(1-实盘持仓初始配置!$Z$6)^(('实盘净值数据(iFinD）'!$A561-'实盘净值数据(iFinD）'!$A$7)/365))</f>
        <v/>
      </c>
      <c r="I561" s="16" t="str">
        <f t="shared" si="50"/>
        <v/>
      </c>
      <c r="J561" s="16" t="str">
        <f>IF(H561="","",H561/MAX(H$5:H561)-1)</f>
        <v/>
      </c>
      <c r="K561" s="13" t="str">
        <f>IF(OR('实盘净值数据(iFinD）'!$A561="",'实盘净值数据(iFinD）'!$B561="",'实盘净值数据(iFinD）'!$Z561="",'实盘净值数据(iFinD）'!$AA561=""),"",分期持仓明细!$AB$23*(SUMPRODUCT(分期持仓明细!$B$23:$Y$23,'实盘净值数据(iFinD）'!$B561:$Y561/'实盘净值数据(iFinD）'!$B$65:$Y$65)+SUMPRODUCT(分期持仓明细!$AC$23:$AD$23,'实盘净值数据(iFinD）'!$Z561:$AA561/'实盘净值数据(iFinD）'!$Z$65:$AA$65))*(1-实盘持仓初始配置!$Z$7)^(('实盘净值数据(iFinD）'!$A561-'实盘净值数据(iFinD）'!$A$8)/365))</f>
        <v/>
      </c>
      <c r="L561" s="16" t="str">
        <f t="shared" si="51"/>
        <v/>
      </c>
      <c r="M561" s="16" t="str">
        <f>IF(K561="","",K561/MAX(K$5:K561)-1)</f>
        <v/>
      </c>
      <c r="N561" s="13" t="str">
        <f>IF(OR('实盘净值数据(iFinD）'!$A561="",'实盘净值数据(iFinD）'!$B561="",'实盘净值数据(iFinD）'!$Z561="",'实盘净值数据(iFinD）'!$AA561=""),"",分期持仓明细!$AB$24*(SUMPRODUCT(分期持仓明细!$B$24:$Y$24,'实盘净值数据(iFinD）'!$B561:$Y561/'实盘净值数据(iFinD）'!$B$65:$Y$65)+SUMPRODUCT(分期持仓明细!$AC$24:$AD$24,'实盘净值数据(iFinD）'!$Z561:$AA561/'实盘净值数据(iFinD）'!$Z$65:$AA$65))*(1-实盘持仓初始配置!$Z$8)^(('实盘净值数据(iFinD）'!$A561-'实盘净值数据(iFinD）'!$A$5)/365))</f>
        <v/>
      </c>
      <c r="O561" s="16" t="str">
        <f t="shared" si="52"/>
        <v/>
      </c>
      <c r="P561" s="16" t="str">
        <f>IF(N561="","",N561/MAX(N$5:N561)-1)</f>
        <v/>
      </c>
      <c r="Q561" s="13" t="str">
        <f>IF(OR('实盘净值数据(iFinD）'!$A561="",'实盘净值数据(iFinD）'!$B561="",'实盘净值数据(iFinD）'!$Z561="",'实盘净值数据(iFinD）'!$AA561=""),"",分期持仓明细!$AB$25*(SUMPRODUCT(分期持仓明细!$B$25:$Y$25,'实盘净值数据(iFinD）'!$B561:$Y561/'实盘净值数据(iFinD）'!$B$65:$Y$65)+SUMPRODUCT(分期持仓明细!$AC$25:$AD$25,'实盘净值数据(iFinD）'!$Z561:$AA561/'实盘净值数据(iFinD）'!$Z$65:$AA$65))*(1-实盘持仓初始配置!$Z$9)^(('实盘净值数据(iFinD）'!$A561-'实盘净值数据(iFinD）'!$A$8)/365))</f>
        <v/>
      </c>
      <c r="R561" s="16" t="str">
        <f t="shared" si="53"/>
        <v/>
      </c>
      <c r="S561" s="16" t="str">
        <f>IF(Q561="","",Q561/MAX(Q$5:Q561)-1)</f>
        <v/>
      </c>
      <c r="T561" s="13">
        <f>IF(OR('实盘净值数据(iFinD）'!$A561="",'实盘净值数据(iFinD）'!$B561="",'实盘净值数据(iFinD）'!$Z561="",'实盘净值数据(iFinD）'!$AA561="",'实盘净值数据(iFinD）'!$AB561="",'实盘净值数据(iFinD）'!$AL561=""),"",(SUMPRODUCT(分期持仓明细!$B$26:$Y$26,'实盘净值数据(iFinD）'!$B561:$Y561/'实盘净值数据(iFinD）'!$B$69:$Y$69)+SUMPRODUCT(分期持仓明细!$AC$26:$AD$26,'实盘净值数据(iFinD）'!$Z561:$AA561/'实盘净值数据(iFinD）'!$Z$69:$AA$69)+SUMPRODUCT(分期持仓明细!$AE$26:$AO$26,'实盘净值数据(iFinD）'!$AB561:$AL561/'实盘净值数据(iFinD）'!$AB$69:$AL$69))*(1-实盘持仓初始配置!$Z$10)^(('实盘净值数据(iFinD）'!$A561-'实盘净值数据(iFinD）'!$A$69)/365))</f>
        <v/>
      </c>
      <c r="U561" s="16">
        <f>IF(OR(T560="",T561=""),"",T561/T560-1)</f>
        <v/>
      </c>
      <c r="V561" s="16">
        <f>IF(T561="","",T561/MAX(T$5:T561)-1)</f>
        <v/>
      </c>
    </row>
    <row r="562" spans="1:19">
      <c r="A562" s="15" t="str">
        <f>IF('实盘净值数据(iFinD）'!A562="","",'实盘净值数据(iFinD）'!A562)</f>
        <v/>
      </c>
      <c r="B562" s="13" t="str">
        <f>IF(OR('实盘净值数据(iFinD）'!$A562="",'实盘净值数据(iFinD）'!$B562=""),"",分期持仓明细!$AB$17*SUMPRODUCT(分期持仓明细!$B$17:$Y$17,'实盘净值数据(iFinD）'!$B562:$Y562/'实盘净值数据(iFinD）'!$B$20:$Y$20)*(1-实盘持仓初始配置!$Z$4)^(('实盘净值数据(iFinD）'!$A562-'实盘净值数据(iFinD）'!$A$6)/365))</f>
        <v/>
      </c>
      <c r="C562" s="16" t="str">
        <f t="shared" si="48"/>
        <v/>
      </c>
      <c r="D562" s="16" t="str">
        <f>IF(B562="","",B562/MAX(B$5:B562)-1)</f>
        <v/>
      </c>
      <c r="E562" s="13" t="str">
        <f>IF(OR('实盘净值数据(iFinD）'!$A562="",'实盘净值数据(iFinD）'!$B562=""),"",分期持仓明细!$AB$18*SUMPRODUCT(分期持仓明细!$B$18:$Y$18,'实盘净值数据(iFinD）'!$B562:$Y562/'实盘净值数据(iFinD）'!$B$20:$Y$20)*(1-实盘持仓初始配置!$Z$5)^(('实盘净值数据(iFinD）'!$A562-'实盘净值数据(iFinD）'!$A$5)/365))</f>
        <v/>
      </c>
      <c r="F562" s="16" t="str">
        <f t="shared" si="49"/>
        <v/>
      </c>
      <c r="G562" s="16" t="str">
        <f>IF(E562="","",E562/MAX(E$5:E562)-1)</f>
        <v/>
      </c>
      <c r="H562" s="13" t="str">
        <f>IF(OR('实盘净值数据(iFinD）'!$A562="",'实盘净值数据(iFinD）'!$B562=""),"",分期持仓明细!$AB$19*SUMPRODUCT(分期持仓明细!$B$19:$Y$19,'实盘净值数据(iFinD）'!$B562:$Y562/'实盘净值数据(iFinD）'!$B$20:$Y$20)*(1-实盘持仓初始配置!$Z$6)^(('实盘净值数据(iFinD）'!$A562-'实盘净值数据(iFinD）'!$A$7)/365))</f>
        <v/>
      </c>
      <c r="I562" s="16" t="str">
        <f t="shared" si="50"/>
        <v/>
      </c>
      <c r="J562" s="16" t="str">
        <f>IF(H562="","",H562/MAX(H$5:H562)-1)</f>
        <v/>
      </c>
      <c r="K562" s="13" t="str">
        <f>IF(OR('实盘净值数据(iFinD）'!$A562="",'实盘净值数据(iFinD）'!$B562="",'实盘净值数据(iFinD）'!$Z562="",'实盘净值数据(iFinD）'!$AA562=""),"",分期持仓明细!$AB$23*(SUMPRODUCT(分期持仓明细!$B$23:$Y$23,'实盘净值数据(iFinD）'!$B562:$Y562/'实盘净值数据(iFinD）'!$B$65:$Y$65)+SUMPRODUCT(分期持仓明细!$AC$23:$AD$23,'实盘净值数据(iFinD）'!$Z562:$AA562/'实盘净值数据(iFinD）'!$Z$65:$AA$65))*(1-实盘持仓初始配置!$Z$7)^(('实盘净值数据(iFinD）'!$A562-'实盘净值数据(iFinD）'!$A$8)/365))</f>
        <v/>
      </c>
      <c r="L562" s="16" t="str">
        <f t="shared" si="51"/>
        <v/>
      </c>
      <c r="M562" s="16" t="str">
        <f>IF(K562="","",K562/MAX(K$5:K562)-1)</f>
        <v/>
      </c>
      <c r="N562" s="13" t="str">
        <f>IF(OR('实盘净值数据(iFinD）'!$A562="",'实盘净值数据(iFinD）'!$B562="",'实盘净值数据(iFinD）'!$Z562="",'实盘净值数据(iFinD）'!$AA562=""),"",分期持仓明细!$AB$24*(SUMPRODUCT(分期持仓明细!$B$24:$Y$24,'实盘净值数据(iFinD）'!$B562:$Y562/'实盘净值数据(iFinD）'!$B$65:$Y$65)+SUMPRODUCT(分期持仓明细!$AC$24:$AD$24,'实盘净值数据(iFinD）'!$Z562:$AA562/'实盘净值数据(iFinD）'!$Z$65:$AA$65))*(1-实盘持仓初始配置!$Z$8)^(('实盘净值数据(iFinD）'!$A562-'实盘净值数据(iFinD）'!$A$5)/365))</f>
        <v/>
      </c>
      <c r="O562" s="16" t="str">
        <f t="shared" si="52"/>
        <v/>
      </c>
      <c r="P562" s="16" t="str">
        <f>IF(N562="","",N562/MAX(N$5:N562)-1)</f>
        <v/>
      </c>
      <c r="Q562" s="13" t="str">
        <f>IF(OR('实盘净值数据(iFinD）'!$A562="",'实盘净值数据(iFinD）'!$B562="",'实盘净值数据(iFinD）'!$Z562="",'实盘净值数据(iFinD）'!$AA562=""),"",分期持仓明细!$AB$25*(SUMPRODUCT(分期持仓明细!$B$25:$Y$25,'实盘净值数据(iFinD）'!$B562:$Y562/'实盘净值数据(iFinD）'!$B$65:$Y$65)+SUMPRODUCT(分期持仓明细!$AC$25:$AD$25,'实盘净值数据(iFinD）'!$Z562:$AA562/'实盘净值数据(iFinD）'!$Z$65:$AA$65))*(1-实盘持仓初始配置!$Z$9)^(('实盘净值数据(iFinD）'!$A562-'实盘净值数据(iFinD）'!$A$8)/365))</f>
        <v/>
      </c>
      <c r="R562" s="16" t="str">
        <f t="shared" si="53"/>
        <v/>
      </c>
      <c r="S562" s="16" t="str">
        <f>IF(Q562="","",Q562/MAX(Q$5:Q562)-1)</f>
        <v/>
      </c>
      <c r="T562" s="13">
        <f>IF(OR('实盘净值数据(iFinD）'!$A562="",'实盘净值数据(iFinD）'!$B562="",'实盘净值数据(iFinD）'!$Z562="",'实盘净值数据(iFinD）'!$AA562="",'实盘净值数据(iFinD）'!$AB562="",'实盘净值数据(iFinD）'!$AL562=""),"",(SUMPRODUCT(分期持仓明细!$B$26:$Y$26,'实盘净值数据(iFinD）'!$B562:$Y562/'实盘净值数据(iFinD）'!$B$69:$Y$69)+SUMPRODUCT(分期持仓明细!$AC$26:$AD$26,'实盘净值数据(iFinD）'!$Z562:$AA562/'实盘净值数据(iFinD）'!$Z$69:$AA$69)+SUMPRODUCT(分期持仓明细!$AE$26:$AO$26,'实盘净值数据(iFinD）'!$AB562:$AL562/'实盘净值数据(iFinD）'!$AB$69:$AL$69))*(1-实盘持仓初始配置!$Z$10)^(('实盘净值数据(iFinD）'!$A562-'实盘净值数据(iFinD）'!$A$69)/365))</f>
        <v/>
      </c>
      <c r="U562" s="16">
        <f>IF(OR(T561="",T562=""),"",T562/T561-1)</f>
        <v/>
      </c>
      <c r="V562" s="16">
        <f>IF(T562="","",T562/MAX(T$5:T562)-1)</f>
        <v/>
      </c>
    </row>
    <row r="563" spans="1:19">
      <c r="A563" s="15" t="str">
        <f>IF('实盘净值数据(iFinD）'!A563="","",'实盘净值数据(iFinD）'!A563)</f>
        <v/>
      </c>
      <c r="B563" s="13" t="str">
        <f>IF(OR('实盘净值数据(iFinD）'!$A563="",'实盘净值数据(iFinD）'!$B563=""),"",分期持仓明细!$AB$17*SUMPRODUCT(分期持仓明细!$B$17:$Y$17,'实盘净值数据(iFinD）'!$B563:$Y563/'实盘净值数据(iFinD）'!$B$20:$Y$20)*(1-实盘持仓初始配置!$Z$4)^(('实盘净值数据(iFinD）'!$A563-'实盘净值数据(iFinD）'!$A$6)/365))</f>
        <v/>
      </c>
      <c r="C563" s="16" t="str">
        <f t="shared" si="48"/>
        <v/>
      </c>
      <c r="D563" s="16" t="str">
        <f>IF(B563="","",B563/MAX(B$5:B563)-1)</f>
        <v/>
      </c>
      <c r="E563" s="13" t="str">
        <f>IF(OR('实盘净值数据(iFinD）'!$A563="",'实盘净值数据(iFinD）'!$B563=""),"",分期持仓明细!$AB$18*SUMPRODUCT(分期持仓明细!$B$18:$Y$18,'实盘净值数据(iFinD）'!$B563:$Y563/'实盘净值数据(iFinD）'!$B$20:$Y$20)*(1-实盘持仓初始配置!$Z$5)^(('实盘净值数据(iFinD）'!$A563-'实盘净值数据(iFinD）'!$A$5)/365))</f>
        <v/>
      </c>
      <c r="F563" s="16" t="str">
        <f t="shared" si="49"/>
        <v/>
      </c>
      <c r="G563" s="16" t="str">
        <f>IF(E563="","",E563/MAX(E$5:E563)-1)</f>
        <v/>
      </c>
      <c r="H563" s="13" t="str">
        <f>IF(OR('实盘净值数据(iFinD）'!$A563="",'实盘净值数据(iFinD）'!$B563=""),"",分期持仓明细!$AB$19*SUMPRODUCT(分期持仓明细!$B$19:$Y$19,'实盘净值数据(iFinD）'!$B563:$Y563/'实盘净值数据(iFinD）'!$B$20:$Y$20)*(1-实盘持仓初始配置!$Z$6)^(('实盘净值数据(iFinD）'!$A563-'实盘净值数据(iFinD）'!$A$7)/365))</f>
        <v/>
      </c>
      <c r="I563" s="16" t="str">
        <f t="shared" si="50"/>
        <v/>
      </c>
      <c r="J563" s="16" t="str">
        <f>IF(H563="","",H563/MAX(H$5:H563)-1)</f>
        <v/>
      </c>
      <c r="K563" s="13" t="str">
        <f>IF(OR('实盘净值数据(iFinD）'!$A563="",'实盘净值数据(iFinD）'!$B563="",'实盘净值数据(iFinD）'!$Z563="",'实盘净值数据(iFinD）'!$AA563=""),"",分期持仓明细!$AB$23*(SUMPRODUCT(分期持仓明细!$B$23:$Y$23,'实盘净值数据(iFinD）'!$B563:$Y563/'实盘净值数据(iFinD）'!$B$65:$Y$65)+SUMPRODUCT(分期持仓明细!$AC$23:$AD$23,'实盘净值数据(iFinD）'!$Z563:$AA563/'实盘净值数据(iFinD）'!$Z$65:$AA$65))*(1-实盘持仓初始配置!$Z$7)^(('实盘净值数据(iFinD）'!$A563-'实盘净值数据(iFinD）'!$A$8)/365))</f>
        <v/>
      </c>
      <c r="L563" s="16" t="str">
        <f t="shared" si="51"/>
        <v/>
      </c>
      <c r="M563" s="16" t="str">
        <f>IF(K563="","",K563/MAX(K$5:K563)-1)</f>
        <v/>
      </c>
      <c r="N563" s="13" t="str">
        <f>IF(OR('实盘净值数据(iFinD）'!$A563="",'实盘净值数据(iFinD）'!$B563="",'实盘净值数据(iFinD）'!$Z563="",'实盘净值数据(iFinD）'!$AA563=""),"",分期持仓明细!$AB$24*(SUMPRODUCT(分期持仓明细!$B$24:$Y$24,'实盘净值数据(iFinD）'!$B563:$Y563/'实盘净值数据(iFinD）'!$B$65:$Y$65)+SUMPRODUCT(分期持仓明细!$AC$24:$AD$24,'实盘净值数据(iFinD）'!$Z563:$AA563/'实盘净值数据(iFinD）'!$Z$65:$AA$65))*(1-实盘持仓初始配置!$Z$8)^(('实盘净值数据(iFinD）'!$A563-'实盘净值数据(iFinD）'!$A$5)/365))</f>
        <v/>
      </c>
      <c r="O563" s="16" t="str">
        <f t="shared" si="52"/>
        <v/>
      </c>
      <c r="P563" s="16" t="str">
        <f>IF(N563="","",N563/MAX(N$5:N563)-1)</f>
        <v/>
      </c>
      <c r="Q563" s="13" t="str">
        <f>IF(OR('实盘净值数据(iFinD）'!$A563="",'实盘净值数据(iFinD）'!$B563="",'实盘净值数据(iFinD）'!$Z563="",'实盘净值数据(iFinD）'!$AA563=""),"",分期持仓明细!$AB$25*(SUMPRODUCT(分期持仓明细!$B$25:$Y$25,'实盘净值数据(iFinD）'!$B563:$Y563/'实盘净值数据(iFinD）'!$B$65:$Y$65)+SUMPRODUCT(分期持仓明细!$AC$25:$AD$25,'实盘净值数据(iFinD）'!$Z563:$AA563/'实盘净值数据(iFinD）'!$Z$65:$AA$65))*(1-实盘持仓初始配置!$Z$9)^(('实盘净值数据(iFinD）'!$A563-'实盘净值数据(iFinD）'!$A$8)/365))</f>
        <v/>
      </c>
      <c r="R563" s="16" t="str">
        <f t="shared" si="53"/>
        <v/>
      </c>
      <c r="S563" s="16" t="str">
        <f>IF(Q563="","",Q563/MAX(Q$5:Q563)-1)</f>
        <v/>
      </c>
      <c r="T563" s="13">
        <f>IF(OR('实盘净值数据(iFinD）'!$A563="",'实盘净值数据(iFinD）'!$B563="",'实盘净值数据(iFinD）'!$Z563="",'实盘净值数据(iFinD）'!$AA563="",'实盘净值数据(iFinD）'!$AB563="",'实盘净值数据(iFinD）'!$AL563=""),"",(SUMPRODUCT(分期持仓明细!$B$26:$Y$26,'实盘净值数据(iFinD）'!$B563:$Y563/'实盘净值数据(iFinD）'!$B$69:$Y$69)+SUMPRODUCT(分期持仓明细!$AC$26:$AD$26,'实盘净值数据(iFinD）'!$Z563:$AA563/'实盘净值数据(iFinD）'!$Z$69:$AA$69)+SUMPRODUCT(分期持仓明细!$AE$26:$AO$26,'实盘净值数据(iFinD）'!$AB563:$AL563/'实盘净值数据(iFinD）'!$AB$69:$AL$69))*(1-实盘持仓初始配置!$Z$10)^(('实盘净值数据(iFinD）'!$A563-'实盘净值数据(iFinD）'!$A$69)/365))</f>
        <v/>
      </c>
      <c r="U563" s="16">
        <f>IF(OR(T562="",T563=""),"",T563/T562-1)</f>
        <v/>
      </c>
      <c r="V563" s="16">
        <f>IF(T563="","",T563/MAX(T$5:T563)-1)</f>
        <v/>
      </c>
    </row>
    <row r="564" spans="1:19">
      <c r="A564" s="15" t="str">
        <f>IF('实盘净值数据(iFinD）'!A564="","",'实盘净值数据(iFinD）'!A564)</f>
        <v/>
      </c>
      <c r="B564" s="13" t="str">
        <f>IF(OR('实盘净值数据(iFinD）'!$A564="",'实盘净值数据(iFinD）'!$B564=""),"",分期持仓明细!$AB$17*SUMPRODUCT(分期持仓明细!$B$17:$Y$17,'实盘净值数据(iFinD）'!$B564:$Y564/'实盘净值数据(iFinD）'!$B$20:$Y$20)*(1-实盘持仓初始配置!$Z$4)^(('实盘净值数据(iFinD）'!$A564-'实盘净值数据(iFinD）'!$A$6)/365))</f>
        <v/>
      </c>
      <c r="C564" s="16" t="str">
        <f t="shared" si="48"/>
        <v/>
      </c>
      <c r="D564" s="16" t="str">
        <f>IF(B564="","",B564/MAX(B$5:B564)-1)</f>
        <v/>
      </c>
      <c r="E564" s="13" t="str">
        <f>IF(OR('实盘净值数据(iFinD）'!$A564="",'实盘净值数据(iFinD）'!$B564=""),"",分期持仓明细!$AB$18*SUMPRODUCT(分期持仓明细!$B$18:$Y$18,'实盘净值数据(iFinD）'!$B564:$Y564/'实盘净值数据(iFinD）'!$B$20:$Y$20)*(1-实盘持仓初始配置!$Z$5)^(('实盘净值数据(iFinD）'!$A564-'实盘净值数据(iFinD）'!$A$5)/365))</f>
        <v/>
      </c>
      <c r="F564" s="16" t="str">
        <f t="shared" si="49"/>
        <v/>
      </c>
      <c r="G564" s="16" t="str">
        <f>IF(E564="","",E564/MAX(E$5:E564)-1)</f>
        <v/>
      </c>
      <c r="H564" s="13" t="str">
        <f>IF(OR('实盘净值数据(iFinD）'!$A564="",'实盘净值数据(iFinD）'!$B564=""),"",分期持仓明细!$AB$19*SUMPRODUCT(分期持仓明细!$B$19:$Y$19,'实盘净值数据(iFinD）'!$B564:$Y564/'实盘净值数据(iFinD）'!$B$20:$Y$20)*(1-实盘持仓初始配置!$Z$6)^(('实盘净值数据(iFinD）'!$A564-'实盘净值数据(iFinD）'!$A$7)/365))</f>
        <v/>
      </c>
      <c r="I564" s="16" t="str">
        <f t="shared" si="50"/>
        <v/>
      </c>
      <c r="J564" s="16" t="str">
        <f>IF(H564="","",H564/MAX(H$5:H564)-1)</f>
        <v/>
      </c>
      <c r="K564" s="13" t="str">
        <f>IF(OR('实盘净值数据(iFinD）'!$A564="",'实盘净值数据(iFinD）'!$B564="",'实盘净值数据(iFinD）'!$Z564="",'实盘净值数据(iFinD）'!$AA564=""),"",分期持仓明细!$AB$23*(SUMPRODUCT(分期持仓明细!$B$23:$Y$23,'实盘净值数据(iFinD）'!$B564:$Y564/'实盘净值数据(iFinD）'!$B$65:$Y$65)+SUMPRODUCT(分期持仓明细!$AC$23:$AD$23,'实盘净值数据(iFinD）'!$Z564:$AA564/'实盘净值数据(iFinD）'!$Z$65:$AA$65))*(1-实盘持仓初始配置!$Z$7)^(('实盘净值数据(iFinD）'!$A564-'实盘净值数据(iFinD）'!$A$8)/365))</f>
        <v/>
      </c>
      <c r="L564" s="16" t="str">
        <f t="shared" si="51"/>
        <v/>
      </c>
      <c r="M564" s="16" t="str">
        <f>IF(K564="","",K564/MAX(K$5:K564)-1)</f>
        <v/>
      </c>
      <c r="N564" s="13" t="str">
        <f>IF(OR('实盘净值数据(iFinD）'!$A564="",'实盘净值数据(iFinD）'!$B564="",'实盘净值数据(iFinD）'!$Z564="",'实盘净值数据(iFinD）'!$AA564=""),"",分期持仓明细!$AB$24*(SUMPRODUCT(分期持仓明细!$B$24:$Y$24,'实盘净值数据(iFinD）'!$B564:$Y564/'实盘净值数据(iFinD）'!$B$65:$Y$65)+SUMPRODUCT(分期持仓明细!$AC$24:$AD$24,'实盘净值数据(iFinD）'!$Z564:$AA564/'实盘净值数据(iFinD）'!$Z$65:$AA$65))*(1-实盘持仓初始配置!$Z$8)^(('实盘净值数据(iFinD）'!$A564-'实盘净值数据(iFinD）'!$A$5)/365))</f>
        <v/>
      </c>
      <c r="O564" s="16" t="str">
        <f t="shared" si="52"/>
        <v/>
      </c>
      <c r="P564" s="16" t="str">
        <f>IF(N564="","",N564/MAX(N$5:N564)-1)</f>
        <v/>
      </c>
      <c r="Q564" s="13" t="str">
        <f>IF(OR('实盘净值数据(iFinD）'!$A564="",'实盘净值数据(iFinD）'!$B564="",'实盘净值数据(iFinD）'!$Z564="",'实盘净值数据(iFinD）'!$AA564=""),"",分期持仓明细!$AB$25*(SUMPRODUCT(分期持仓明细!$B$25:$Y$25,'实盘净值数据(iFinD）'!$B564:$Y564/'实盘净值数据(iFinD）'!$B$65:$Y$65)+SUMPRODUCT(分期持仓明细!$AC$25:$AD$25,'实盘净值数据(iFinD）'!$Z564:$AA564/'实盘净值数据(iFinD）'!$Z$65:$AA$65))*(1-实盘持仓初始配置!$Z$9)^(('实盘净值数据(iFinD）'!$A564-'实盘净值数据(iFinD）'!$A$8)/365))</f>
        <v/>
      </c>
      <c r="R564" s="16" t="str">
        <f t="shared" si="53"/>
        <v/>
      </c>
      <c r="S564" s="16" t="str">
        <f>IF(Q564="","",Q564/MAX(Q$5:Q564)-1)</f>
        <v/>
      </c>
      <c r="T564" s="13">
        <f>IF(OR('实盘净值数据(iFinD）'!$A564="",'实盘净值数据(iFinD）'!$B564="",'实盘净值数据(iFinD）'!$Z564="",'实盘净值数据(iFinD）'!$AA564="",'实盘净值数据(iFinD）'!$AB564="",'实盘净值数据(iFinD）'!$AL564=""),"",(SUMPRODUCT(分期持仓明细!$B$26:$Y$26,'实盘净值数据(iFinD）'!$B564:$Y564/'实盘净值数据(iFinD）'!$B$69:$Y$69)+SUMPRODUCT(分期持仓明细!$AC$26:$AD$26,'实盘净值数据(iFinD）'!$Z564:$AA564/'实盘净值数据(iFinD）'!$Z$69:$AA$69)+SUMPRODUCT(分期持仓明细!$AE$26:$AO$26,'实盘净值数据(iFinD）'!$AB564:$AL564/'实盘净值数据(iFinD）'!$AB$69:$AL$69))*(1-实盘持仓初始配置!$Z$10)^(('实盘净值数据(iFinD）'!$A564-'实盘净值数据(iFinD）'!$A$69)/365))</f>
        <v/>
      </c>
      <c r="U564" s="16">
        <f>IF(OR(T563="",T564=""),"",T564/T563-1)</f>
        <v/>
      </c>
      <c r="V564" s="16">
        <f>IF(T564="","",T564/MAX(T$5:T564)-1)</f>
        <v/>
      </c>
    </row>
    <row r="565" spans="1:19">
      <c r="A565" s="15" t="str">
        <f>IF('实盘净值数据(iFinD）'!A565="","",'实盘净值数据(iFinD）'!A565)</f>
        <v/>
      </c>
      <c r="B565" s="13" t="str">
        <f>IF(OR('实盘净值数据(iFinD）'!$A565="",'实盘净值数据(iFinD）'!$B565=""),"",分期持仓明细!$AB$17*SUMPRODUCT(分期持仓明细!$B$17:$Y$17,'实盘净值数据(iFinD）'!$B565:$Y565/'实盘净值数据(iFinD）'!$B$20:$Y$20)*(1-实盘持仓初始配置!$Z$4)^(('实盘净值数据(iFinD）'!$A565-'实盘净值数据(iFinD）'!$A$6)/365))</f>
        <v/>
      </c>
      <c r="C565" s="16" t="str">
        <f t="shared" si="48"/>
        <v/>
      </c>
      <c r="D565" s="16" t="str">
        <f>IF(B565="","",B565/MAX(B$5:B565)-1)</f>
        <v/>
      </c>
      <c r="E565" s="13" t="str">
        <f>IF(OR('实盘净值数据(iFinD）'!$A565="",'实盘净值数据(iFinD）'!$B565=""),"",分期持仓明细!$AB$18*SUMPRODUCT(分期持仓明细!$B$18:$Y$18,'实盘净值数据(iFinD）'!$B565:$Y565/'实盘净值数据(iFinD）'!$B$20:$Y$20)*(1-实盘持仓初始配置!$Z$5)^(('实盘净值数据(iFinD）'!$A565-'实盘净值数据(iFinD）'!$A$5)/365))</f>
        <v/>
      </c>
      <c r="F565" s="16" t="str">
        <f t="shared" si="49"/>
        <v/>
      </c>
      <c r="G565" s="16" t="str">
        <f>IF(E565="","",E565/MAX(E$5:E565)-1)</f>
        <v/>
      </c>
      <c r="H565" s="13" t="str">
        <f>IF(OR('实盘净值数据(iFinD）'!$A565="",'实盘净值数据(iFinD）'!$B565=""),"",分期持仓明细!$AB$19*SUMPRODUCT(分期持仓明细!$B$19:$Y$19,'实盘净值数据(iFinD）'!$B565:$Y565/'实盘净值数据(iFinD）'!$B$20:$Y$20)*(1-实盘持仓初始配置!$Z$6)^(('实盘净值数据(iFinD）'!$A565-'实盘净值数据(iFinD）'!$A$7)/365))</f>
        <v/>
      </c>
      <c r="I565" s="16" t="str">
        <f t="shared" si="50"/>
        <v/>
      </c>
      <c r="J565" s="16" t="str">
        <f>IF(H565="","",H565/MAX(H$5:H565)-1)</f>
        <v/>
      </c>
      <c r="K565" s="13" t="str">
        <f>IF(OR('实盘净值数据(iFinD）'!$A565="",'实盘净值数据(iFinD）'!$B565="",'实盘净值数据(iFinD）'!$Z565="",'实盘净值数据(iFinD）'!$AA565=""),"",分期持仓明细!$AB$23*(SUMPRODUCT(分期持仓明细!$B$23:$Y$23,'实盘净值数据(iFinD）'!$B565:$Y565/'实盘净值数据(iFinD）'!$B$65:$Y$65)+SUMPRODUCT(分期持仓明细!$AC$23:$AD$23,'实盘净值数据(iFinD）'!$Z565:$AA565/'实盘净值数据(iFinD）'!$Z$65:$AA$65))*(1-实盘持仓初始配置!$Z$7)^(('实盘净值数据(iFinD）'!$A565-'实盘净值数据(iFinD）'!$A$8)/365))</f>
        <v/>
      </c>
      <c r="L565" s="16" t="str">
        <f t="shared" si="51"/>
        <v/>
      </c>
      <c r="M565" s="16" t="str">
        <f>IF(K565="","",K565/MAX(K$5:K565)-1)</f>
        <v/>
      </c>
      <c r="N565" s="13" t="str">
        <f>IF(OR('实盘净值数据(iFinD）'!$A565="",'实盘净值数据(iFinD）'!$B565="",'实盘净值数据(iFinD）'!$Z565="",'实盘净值数据(iFinD）'!$AA565=""),"",分期持仓明细!$AB$24*(SUMPRODUCT(分期持仓明细!$B$24:$Y$24,'实盘净值数据(iFinD）'!$B565:$Y565/'实盘净值数据(iFinD）'!$B$65:$Y$65)+SUMPRODUCT(分期持仓明细!$AC$24:$AD$24,'实盘净值数据(iFinD）'!$Z565:$AA565/'实盘净值数据(iFinD）'!$Z$65:$AA$65))*(1-实盘持仓初始配置!$Z$8)^(('实盘净值数据(iFinD）'!$A565-'实盘净值数据(iFinD）'!$A$5)/365))</f>
        <v/>
      </c>
      <c r="O565" s="16" t="str">
        <f t="shared" si="52"/>
        <v/>
      </c>
      <c r="P565" s="16" t="str">
        <f>IF(N565="","",N565/MAX(N$5:N565)-1)</f>
        <v/>
      </c>
      <c r="Q565" s="13" t="str">
        <f>IF(OR('实盘净值数据(iFinD）'!$A565="",'实盘净值数据(iFinD）'!$B565="",'实盘净值数据(iFinD）'!$Z565="",'实盘净值数据(iFinD）'!$AA565=""),"",分期持仓明细!$AB$25*(SUMPRODUCT(分期持仓明细!$B$25:$Y$25,'实盘净值数据(iFinD）'!$B565:$Y565/'实盘净值数据(iFinD）'!$B$65:$Y$65)+SUMPRODUCT(分期持仓明细!$AC$25:$AD$25,'实盘净值数据(iFinD）'!$Z565:$AA565/'实盘净值数据(iFinD）'!$Z$65:$AA$65))*(1-实盘持仓初始配置!$Z$9)^(('实盘净值数据(iFinD）'!$A565-'实盘净值数据(iFinD）'!$A$8)/365))</f>
        <v/>
      </c>
      <c r="R565" s="16" t="str">
        <f t="shared" si="53"/>
        <v/>
      </c>
      <c r="S565" s="16" t="str">
        <f>IF(Q565="","",Q565/MAX(Q$5:Q565)-1)</f>
        <v/>
      </c>
      <c r="T565" s="13">
        <f>IF(OR('实盘净值数据(iFinD）'!$A565="",'实盘净值数据(iFinD）'!$B565="",'实盘净值数据(iFinD）'!$Z565="",'实盘净值数据(iFinD）'!$AA565="",'实盘净值数据(iFinD）'!$AB565="",'实盘净值数据(iFinD）'!$AL565=""),"",(SUMPRODUCT(分期持仓明细!$B$26:$Y$26,'实盘净值数据(iFinD）'!$B565:$Y565/'实盘净值数据(iFinD）'!$B$69:$Y$69)+SUMPRODUCT(分期持仓明细!$AC$26:$AD$26,'实盘净值数据(iFinD）'!$Z565:$AA565/'实盘净值数据(iFinD）'!$Z$69:$AA$69)+SUMPRODUCT(分期持仓明细!$AE$26:$AO$26,'实盘净值数据(iFinD）'!$AB565:$AL565/'实盘净值数据(iFinD）'!$AB$69:$AL$69))*(1-实盘持仓初始配置!$Z$10)^(('实盘净值数据(iFinD）'!$A565-'实盘净值数据(iFinD）'!$A$69)/365))</f>
        <v/>
      </c>
      <c r="U565" s="16">
        <f>IF(OR(T564="",T565=""),"",T565/T564-1)</f>
        <v/>
      </c>
      <c r="V565" s="16">
        <f>IF(T565="","",T565/MAX(T$5:T565)-1)</f>
        <v/>
      </c>
    </row>
    <row r="566" spans="1:19">
      <c r="A566" s="15" t="str">
        <f>IF('实盘净值数据(iFinD）'!A566="","",'实盘净值数据(iFinD）'!A566)</f>
        <v/>
      </c>
      <c r="B566" s="13" t="str">
        <f>IF(OR('实盘净值数据(iFinD）'!$A566="",'实盘净值数据(iFinD）'!$B566=""),"",分期持仓明细!$AB$17*SUMPRODUCT(分期持仓明细!$B$17:$Y$17,'实盘净值数据(iFinD）'!$B566:$Y566/'实盘净值数据(iFinD）'!$B$20:$Y$20)*(1-实盘持仓初始配置!$Z$4)^(('实盘净值数据(iFinD）'!$A566-'实盘净值数据(iFinD）'!$A$6)/365))</f>
        <v/>
      </c>
      <c r="C566" s="16" t="str">
        <f t="shared" si="48"/>
        <v/>
      </c>
      <c r="D566" s="16" t="str">
        <f>IF(B566="","",B566/MAX(B$5:B566)-1)</f>
        <v/>
      </c>
      <c r="E566" s="13" t="str">
        <f>IF(OR('实盘净值数据(iFinD）'!$A566="",'实盘净值数据(iFinD）'!$B566=""),"",分期持仓明细!$AB$18*SUMPRODUCT(分期持仓明细!$B$18:$Y$18,'实盘净值数据(iFinD）'!$B566:$Y566/'实盘净值数据(iFinD）'!$B$20:$Y$20)*(1-实盘持仓初始配置!$Z$5)^(('实盘净值数据(iFinD）'!$A566-'实盘净值数据(iFinD）'!$A$5)/365))</f>
        <v/>
      </c>
      <c r="F566" s="16" t="str">
        <f t="shared" si="49"/>
        <v/>
      </c>
      <c r="G566" s="16" t="str">
        <f>IF(E566="","",E566/MAX(E$5:E566)-1)</f>
        <v/>
      </c>
      <c r="H566" s="13" t="str">
        <f>IF(OR('实盘净值数据(iFinD）'!$A566="",'实盘净值数据(iFinD）'!$B566=""),"",分期持仓明细!$AB$19*SUMPRODUCT(分期持仓明细!$B$19:$Y$19,'实盘净值数据(iFinD）'!$B566:$Y566/'实盘净值数据(iFinD）'!$B$20:$Y$20)*(1-实盘持仓初始配置!$Z$6)^(('实盘净值数据(iFinD）'!$A566-'实盘净值数据(iFinD）'!$A$7)/365))</f>
        <v/>
      </c>
      <c r="I566" s="16" t="str">
        <f t="shared" si="50"/>
        <v/>
      </c>
      <c r="J566" s="16" t="str">
        <f>IF(H566="","",H566/MAX(H$5:H566)-1)</f>
        <v/>
      </c>
      <c r="K566" s="13" t="str">
        <f>IF(OR('实盘净值数据(iFinD）'!$A566="",'实盘净值数据(iFinD）'!$B566="",'实盘净值数据(iFinD）'!$Z566="",'实盘净值数据(iFinD）'!$AA566=""),"",分期持仓明细!$AB$23*(SUMPRODUCT(分期持仓明细!$B$23:$Y$23,'实盘净值数据(iFinD）'!$B566:$Y566/'实盘净值数据(iFinD）'!$B$65:$Y$65)+SUMPRODUCT(分期持仓明细!$AC$23:$AD$23,'实盘净值数据(iFinD）'!$Z566:$AA566/'实盘净值数据(iFinD）'!$Z$65:$AA$65))*(1-实盘持仓初始配置!$Z$7)^(('实盘净值数据(iFinD）'!$A566-'实盘净值数据(iFinD）'!$A$8)/365))</f>
        <v/>
      </c>
      <c r="L566" s="16" t="str">
        <f t="shared" si="51"/>
        <v/>
      </c>
      <c r="M566" s="16" t="str">
        <f>IF(K566="","",K566/MAX(K$5:K566)-1)</f>
        <v/>
      </c>
      <c r="N566" s="13" t="str">
        <f>IF(OR('实盘净值数据(iFinD）'!$A566="",'实盘净值数据(iFinD）'!$B566="",'实盘净值数据(iFinD）'!$Z566="",'实盘净值数据(iFinD）'!$AA566=""),"",分期持仓明细!$AB$24*(SUMPRODUCT(分期持仓明细!$B$24:$Y$24,'实盘净值数据(iFinD）'!$B566:$Y566/'实盘净值数据(iFinD）'!$B$65:$Y$65)+SUMPRODUCT(分期持仓明细!$AC$24:$AD$24,'实盘净值数据(iFinD）'!$Z566:$AA566/'实盘净值数据(iFinD）'!$Z$65:$AA$65))*(1-实盘持仓初始配置!$Z$8)^(('实盘净值数据(iFinD）'!$A566-'实盘净值数据(iFinD）'!$A$5)/365))</f>
        <v/>
      </c>
      <c r="O566" s="16" t="str">
        <f t="shared" si="52"/>
        <v/>
      </c>
      <c r="P566" s="16" t="str">
        <f>IF(N566="","",N566/MAX(N$5:N566)-1)</f>
        <v/>
      </c>
      <c r="Q566" s="13" t="str">
        <f>IF(OR('实盘净值数据(iFinD）'!$A566="",'实盘净值数据(iFinD）'!$B566="",'实盘净值数据(iFinD）'!$Z566="",'实盘净值数据(iFinD）'!$AA566=""),"",分期持仓明细!$AB$25*(SUMPRODUCT(分期持仓明细!$B$25:$Y$25,'实盘净值数据(iFinD）'!$B566:$Y566/'实盘净值数据(iFinD）'!$B$65:$Y$65)+SUMPRODUCT(分期持仓明细!$AC$25:$AD$25,'实盘净值数据(iFinD）'!$Z566:$AA566/'实盘净值数据(iFinD）'!$Z$65:$AA$65))*(1-实盘持仓初始配置!$Z$9)^(('实盘净值数据(iFinD）'!$A566-'实盘净值数据(iFinD）'!$A$8)/365))</f>
        <v/>
      </c>
      <c r="R566" s="16" t="str">
        <f t="shared" si="53"/>
        <v/>
      </c>
      <c r="S566" s="16" t="str">
        <f>IF(Q566="","",Q566/MAX(Q$5:Q566)-1)</f>
        <v/>
      </c>
      <c r="T566" s="13">
        <f>IF(OR('实盘净值数据(iFinD）'!$A566="",'实盘净值数据(iFinD）'!$B566="",'实盘净值数据(iFinD）'!$Z566="",'实盘净值数据(iFinD）'!$AA566="",'实盘净值数据(iFinD）'!$AB566="",'实盘净值数据(iFinD）'!$AL566=""),"",(SUMPRODUCT(分期持仓明细!$B$26:$Y$26,'实盘净值数据(iFinD）'!$B566:$Y566/'实盘净值数据(iFinD）'!$B$69:$Y$69)+SUMPRODUCT(分期持仓明细!$AC$26:$AD$26,'实盘净值数据(iFinD）'!$Z566:$AA566/'实盘净值数据(iFinD）'!$Z$69:$AA$69)+SUMPRODUCT(分期持仓明细!$AE$26:$AO$26,'实盘净值数据(iFinD）'!$AB566:$AL566/'实盘净值数据(iFinD）'!$AB$69:$AL$69))*(1-实盘持仓初始配置!$Z$10)^(('实盘净值数据(iFinD）'!$A566-'实盘净值数据(iFinD）'!$A$69)/365))</f>
        <v/>
      </c>
      <c r="U566" s="16">
        <f>IF(OR(T565="",T566=""),"",T566/T565-1)</f>
        <v/>
      </c>
      <c r="V566" s="16">
        <f>IF(T566="","",T566/MAX(T$5:T566)-1)</f>
        <v/>
      </c>
    </row>
    <row r="567" spans="1:19">
      <c r="A567" s="15" t="str">
        <f>IF('实盘净值数据(iFinD）'!A567="","",'实盘净值数据(iFinD）'!A567)</f>
        <v/>
      </c>
      <c r="B567" s="13" t="str">
        <f>IF(OR('实盘净值数据(iFinD）'!$A567="",'实盘净值数据(iFinD）'!$B567=""),"",分期持仓明细!$AB$17*SUMPRODUCT(分期持仓明细!$B$17:$Y$17,'实盘净值数据(iFinD）'!$B567:$Y567/'实盘净值数据(iFinD）'!$B$20:$Y$20)*(1-实盘持仓初始配置!$Z$4)^(('实盘净值数据(iFinD）'!$A567-'实盘净值数据(iFinD）'!$A$6)/365))</f>
        <v/>
      </c>
      <c r="C567" s="16" t="str">
        <f t="shared" si="48"/>
        <v/>
      </c>
      <c r="D567" s="16" t="str">
        <f>IF(B567="","",B567/MAX(B$5:B567)-1)</f>
        <v/>
      </c>
      <c r="E567" s="13" t="str">
        <f>IF(OR('实盘净值数据(iFinD）'!$A567="",'实盘净值数据(iFinD）'!$B567=""),"",分期持仓明细!$AB$18*SUMPRODUCT(分期持仓明细!$B$18:$Y$18,'实盘净值数据(iFinD）'!$B567:$Y567/'实盘净值数据(iFinD）'!$B$20:$Y$20)*(1-实盘持仓初始配置!$Z$5)^(('实盘净值数据(iFinD）'!$A567-'实盘净值数据(iFinD）'!$A$5)/365))</f>
        <v/>
      </c>
      <c r="F567" s="16" t="str">
        <f t="shared" si="49"/>
        <v/>
      </c>
      <c r="G567" s="16" t="str">
        <f>IF(E567="","",E567/MAX(E$5:E567)-1)</f>
        <v/>
      </c>
      <c r="H567" s="13" t="str">
        <f>IF(OR('实盘净值数据(iFinD）'!$A567="",'实盘净值数据(iFinD）'!$B567=""),"",分期持仓明细!$AB$19*SUMPRODUCT(分期持仓明细!$B$19:$Y$19,'实盘净值数据(iFinD）'!$B567:$Y567/'实盘净值数据(iFinD）'!$B$20:$Y$20)*(1-实盘持仓初始配置!$Z$6)^(('实盘净值数据(iFinD）'!$A567-'实盘净值数据(iFinD）'!$A$7)/365))</f>
        <v/>
      </c>
      <c r="I567" s="16" t="str">
        <f t="shared" si="50"/>
        <v/>
      </c>
      <c r="J567" s="16" t="str">
        <f>IF(H567="","",H567/MAX(H$5:H567)-1)</f>
        <v/>
      </c>
      <c r="K567" s="13" t="str">
        <f>IF(OR('实盘净值数据(iFinD）'!$A567="",'实盘净值数据(iFinD）'!$B567="",'实盘净值数据(iFinD）'!$Z567="",'实盘净值数据(iFinD）'!$AA567=""),"",分期持仓明细!$AB$23*(SUMPRODUCT(分期持仓明细!$B$23:$Y$23,'实盘净值数据(iFinD）'!$B567:$Y567/'实盘净值数据(iFinD）'!$B$65:$Y$65)+SUMPRODUCT(分期持仓明细!$AC$23:$AD$23,'实盘净值数据(iFinD）'!$Z567:$AA567/'实盘净值数据(iFinD）'!$Z$65:$AA$65))*(1-实盘持仓初始配置!$Z$7)^(('实盘净值数据(iFinD）'!$A567-'实盘净值数据(iFinD）'!$A$8)/365))</f>
        <v/>
      </c>
      <c r="L567" s="16" t="str">
        <f t="shared" si="51"/>
        <v/>
      </c>
      <c r="M567" s="16" t="str">
        <f>IF(K567="","",K567/MAX(K$5:K567)-1)</f>
        <v/>
      </c>
      <c r="N567" s="13" t="str">
        <f>IF(OR('实盘净值数据(iFinD）'!$A567="",'实盘净值数据(iFinD）'!$B567="",'实盘净值数据(iFinD）'!$Z567="",'实盘净值数据(iFinD）'!$AA567=""),"",分期持仓明细!$AB$24*(SUMPRODUCT(分期持仓明细!$B$24:$Y$24,'实盘净值数据(iFinD）'!$B567:$Y567/'实盘净值数据(iFinD）'!$B$65:$Y$65)+SUMPRODUCT(分期持仓明细!$AC$24:$AD$24,'实盘净值数据(iFinD）'!$Z567:$AA567/'实盘净值数据(iFinD）'!$Z$65:$AA$65))*(1-实盘持仓初始配置!$Z$8)^(('实盘净值数据(iFinD）'!$A567-'实盘净值数据(iFinD）'!$A$5)/365))</f>
        <v/>
      </c>
      <c r="O567" s="16" t="str">
        <f t="shared" si="52"/>
        <v/>
      </c>
      <c r="P567" s="16" t="str">
        <f>IF(N567="","",N567/MAX(N$5:N567)-1)</f>
        <v/>
      </c>
      <c r="Q567" s="13" t="str">
        <f>IF(OR('实盘净值数据(iFinD）'!$A567="",'实盘净值数据(iFinD）'!$B567="",'实盘净值数据(iFinD）'!$Z567="",'实盘净值数据(iFinD）'!$AA567=""),"",分期持仓明细!$AB$25*(SUMPRODUCT(分期持仓明细!$B$25:$Y$25,'实盘净值数据(iFinD）'!$B567:$Y567/'实盘净值数据(iFinD）'!$B$65:$Y$65)+SUMPRODUCT(分期持仓明细!$AC$25:$AD$25,'实盘净值数据(iFinD）'!$Z567:$AA567/'实盘净值数据(iFinD）'!$Z$65:$AA$65))*(1-实盘持仓初始配置!$Z$9)^(('实盘净值数据(iFinD）'!$A567-'实盘净值数据(iFinD）'!$A$8)/365))</f>
        <v/>
      </c>
      <c r="R567" s="16" t="str">
        <f t="shared" si="53"/>
        <v/>
      </c>
      <c r="S567" s="16" t="str">
        <f>IF(Q567="","",Q567/MAX(Q$5:Q567)-1)</f>
        <v/>
      </c>
      <c r="T567" s="13">
        <f>IF(OR('实盘净值数据(iFinD）'!$A567="",'实盘净值数据(iFinD）'!$B567="",'实盘净值数据(iFinD）'!$Z567="",'实盘净值数据(iFinD）'!$AA567="",'实盘净值数据(iFinD）'!$AB567="",'实盘净值数据(iFinD）'!$AL567=""),"",(SUMPRODUCT(分期持仓明细!$B$26:$Y$26,'实盘净值数据(iFinD）'!$B567:$Y567/'实盘净值数据(iFinD）'!$B$69:$Y$69)+SUMPRODUCT(分期持仓明细!$AC$26:$AD$26,'实盘净值数据(iFinD）'!$Z567:$AA567/'实盘净值数据(iFinD）'!$Z$69:$AA$69)+SUMPRODUCT(分期持仓明细!$AE$26:$AO$26,'实盘净值数据(iFinD）'!$AB567:$AL567/'实盘净值数据(iFinD）'!$AB$69:$AL$69))*(1-实盘持仓初始配置!$Z$10)^(('实盘净值数据(iFinD）'!$A567-'实盘净值数据(iFinD）'!$A$69)/365))</f>
        <v/>
      </c>
      <c r="U567" s="16">
        <f>IF(OR(T566="",T567=""),"",T567/T566-1)</f>
        <v/>
      </c>
      <c r="V567" s="16">
        <f>IF(T567="","",T567/MAX(T$5:T567)-1)</f>
        <v/>
      </c>
    </row>
    <row r="568" spans="1:19">
      <c r="A568" s="15" t="str">
        <f>IF('实盘净值数据(iFinD）'!A568="","",'实盘净值数据(iFinD）'!A568)</f>
        <v/>
      </c>
      <c r="B568" s="13" t="str">
        <f>IF(OR('实盘净值数据(iFinD）'!$A568="",'实盘净值数据(iFinD）'!$B568=""),"",分期持仓明细!$AB$17*SUMPRODUCT(分期持仓明细!$B$17:$Y$17,'实盘净值数据(iFinD）'!$B568:$Y568/'实盘净值数据(iFinD）'!$B$20:$Y$20)*(1-实盘持仓初始配置!$Z$4)^(('实盘净值数据(iFinD）'!$A568-'实盘净值数据(iFinD）'!$A$6)/365))</f>
        <v/>
      </c>
      <c r="C568" s="16" t="str">
        <f t="shared" si="48"/>
        <v/>
      </c>
      <c r="D568" s="16" t="str">
        <f>IF(B568="","",B568/MAX(B$5:B568)-1)</f>
        <v/>
      </c>
      <c r="E568" s="13" t="str">
        <f>IF(OR('实盘净值数据(iFinD）'!$A568="",'实盘净值数据(iFinD）'!$B568=""),"",分期持仓明细!$AB$18*SUMPRODUCT(分期持仓明细!$B$18:$Y$18,'实盘净值数据(iFinD）'!$B568:$Y568/'实盘净值数据(iFinD）'!$B$20:$Y$20)*(1-实盘持仓初始配置!$Z$5)^(('实盘净值数据(iFinD）'!$A568-'实盘净值数据(iFinD）'!$A$5)/365))</f>
        <v/>
      </c>
      <c r="F568" s="16" t="str">
        <f t="shared" si="49"/>
        <v/>
      </c>
      <c r="G568" s="16" t="str">
        <f>IF(E568="","",E568/MAX(E$5:E568)-1)</f>
        <v/>
      </c>
      <c r="H568" s="13" t="str">
        <f>IF(OR('实盘净值数据(iFinD）'!$A568="",'实盘净值数据(iFinD）'!$B568=""),"",分期持仓明细!$AB$19*SUMPRODUCT(分期持仓明细!$B$19:$Y$19,'实盘净值数据(iFinD）'!$B568:$Y568/'实盘净值数据(iFinD）'!$B$20:$Y$20)*(1-实盘持仓初始配置!$Z$6)^(('实盘净值数据(iFinD）'!$A568-'实盘净值数据(iFinD）'!$A$7)/365))</f>
        <v/>
      </c>
      <c r="I568" s="16" t="str">
        <f t="shared" si="50"/>
        <v/>
      </c>
      <c r="J568" s="16" t="str">
        <f>IF(H568="","",H568/MAX(H$5:H568)-1)</f>
        <v/>
      </c>
      <c r="K568" s="13" t="str">
        <f>IF(OR('实盘净值数据(iFinD）'!$A568="",'实盘净值数据(iFinD）'!$B568="",'实盘净值数据(iFinD）'!$Z568="",'实盘净值数据(iFinD）'!$AA568=""),"",分期持仓明细!$AB$23*(SUMPRODUCT(分期持仓明细!$B$23:$Y$23,'实盘净值数据(iFinD）'!$B568:$Y568/'实盘净值数据(iFinD）'!$B$65:$Y$65)+SUMPRODUCT(分期持仓明细!$AC$23:$AD$23,'实盘净值数据(iFinD）'!$Z568:$AA568/'实盘净值数据(iFinD）'!$Z$65:$AA$65))*(1-实盘持仓初始配置!$Z$7)^(('实盘净值数据(iFinD）'!$A568-'实盘净值数据(iFinD）'!$A$8)/365))</f>
        <v/>
      </c>
      <c r="L568" s="16" t="str">
        <f t="shared" si="51"/>
        <v/>
      </c>
      <c r="M568" s="16" t="str">
        <f>IF(K568="","",K568/MAX(K$5:K568)-1)</f>
        <v/>
      </c>
      <c r="N568" s="13" t="str">
        <f>IF(OR('实盘净值数据(iFinD）'!$A568="",'实盘净值数据(iFinD）'!$B568="",'实盘净值数据(iFinD）'!$Z568="",'实盘净值数据(iFinD）'!$AA568=""),"",分期持仓明细!$AB$24*(SUMPRODUCT(分期持仓明细!$B$24:$Y$24,'实盘净值数据(iFinD）'!$B568:$Y568/'实盘净值数据(iFinD）'!$B$65:$Y$65)+SUMPRODUCT(分期持仓明细!$AC$24:$AD$24,'实盘净值数据(iFinD）'!$Z568:$AA568/'实盘净值数据(iFinD）'!$Z$65:$AA$65))*(1-实盘持仓初始配置!$Z$8)^(('实盘净值数据(iFinD）'!$A568-'实盘净值数据(iFinD）'!$A$5)/365))</f>
        <v/>
      </c>
      <c r="O568" s="16" t="str">
        <f t="shared" si="52"/>
        <v/>
      </c>
      <c r="P568" s="16" t="str">
        <f>IF(N568="","",N568/MAX(N$5:N568)-1)</f>
        <v/>
      </c>
      <c r="Q568" s="13" t="str">
        <f>IF(OR('实盘净值数据(iFinD）'!$A568="",'实盘净值数据(iFinD）'!$B568="",'实盘净值数据(iFinD）'!$Z568="",'实盘净值数据(iFinD）'!$AA568=""),"",分期持仓明细!$AB$25*(SUMPRODUCT(分期持仓明细!$B$25:$Y$25,'实盘净值数据(iFinD）'!$B568:$Y568/'实盘净值数据(iFinD）'!$B$65:$Y$65)+SUMPRODUCT(分期持仓明细!$AC$25:$AD$25,'实盘净值数据(iFinD）'!$Z568:$AA568/'实盘净值数据(iFinD）'!$Z$65:$AA$65))*(1-实盘持仓初始配置!$Z$9)^(('实盘净值数据(iFinD）'!$A568-'实盘净值数据(iFinD）'!$A$8)/365))</f>
        <v/>
      </c>
      <c r="R568" s="16" t="str">
        <f t="shared" si="53"/>
        <v/>
      </c>
      <c r="S568" s="16" t="str">
        <f>IF(Q568="","",Q568/MAX(Q$5:Q568)-1)</f>
        <v/>
      </c>
      <c r="T568" s="13">
        <f>IF(OR('实盘净值数据(iFinD）'!$A568="",'实盘净值数据(iFinD）'!$B568="",'实盘净值数据(iFinD）'!$Z568="",'实盘净值数据(iFinD）'!$AA568="",'实盘净值数据(iFinD）'!$AB568="",'实盘净值数据(iFinD）'!$AL568=""),"",(SUMPRODUCT(分期持仓明细!$B$26:$Y$26,'实盘净值数据(iFinD）'!$B568:$Y568/'实盘净值数据(iFinD）'!$B$69:$Y$69)+SUMPRODUCT(分期持仓明细!$AC$26:$AD$26,'实盘净值数据(iFinD）'!$Z568:$AA568/'实盘净值数据(iFinD）'!$Z$69:$AA$69)+SUMPRODUCT(分期持仓明细!$AE$26:$AO$26,'实盘净值数据(iFinD）'!$AB568:$AL568/'实盘净值数据(iFinD）'!$AB$69:$AL$69))*(1-实盘持仓初始配置!$Z$10)^(('实盘净值数据(iFinD）'!$A568-'实盘净值数据(iFinD）'!$A$69)/365))</f>
        <v/>
      </c>
      <c r="U568" s="16">
        <f>IF(OR(T567="",T568=""),"",T568/T567-1)</f>
        <v/>
      </c>
      <c r="V568" s="16">
        <f>IF(T568="","",T568/MAX(T$5:T568)-1)</f>
        <v/>
      </c>
    </row>
    <row r="569" spans="1:19">
      <c r="A569" s="15" t="str">
        <f>IF('实盘净值数据(iFinD）'!A569="","",'实盘净值数据(iFinD）'!A569)</f>
        <v/>
      </c>
      <c r="B569" s="13" t="str">
        <f>IF(OR('实盘净值数据(iFinD）'!$A569="",'实盘净值数据(iFinD）'!$B569=""),"",分期持仓明细!$AB$17*SUMPRODUCT(分期持仓明细!$B$17:$Y$17,'实盘净值数据(iFinD）'!$B569:$Y569/'实盘净值数据(iFinD）'!$B$20:$Y$20)*(1-实盘持仓初始配置!$Z$4)^(('实盘净值数据(iFinD）'!$A569-'实盘净值数据(iFinD）'!$A$6)/365))</f>
        <v/>
      </c>
      <c r="C569" s="16" t="str">
        <f t="shared" si="48"/>
        <v/>
      </c>
      <c r="D569" s="16" t="str">
        <f>IF(B569="","",B569/MAX(B$5:B569)-1)</f>
        <v/>
      </c>
      <c r="E569" s="13" t="str">
        <f>IF(OR('实盘净值数据(iFinD）'!$A569="",'实盘净值数据(iFinD）'!$B569=""),"",分期持仓明细!$AB$18*SUMPRODUCT(分期持仓明细!$B$18:$Y$18,'实盘净值数据(iFinD）'!$B569:$Y569/'实盘净值数据(iFinD）'!$B$20:$Y$20)*(1-实盘持仓初始配置!$Z$5)^(('实盘净值数据(iFinD）'!$A569-'实盘净值数据(iFinD）'!$A$5)/365))</f>
        <v/>
      </c>
      <c r="F569" s="16" t="str">
        <f t="shared" si="49"/>
        <v/>
      </c>
      <c r="G569" s="16" t="str">
        <f>IF(E569="","",E569/MAX(E$5:E569)-1)</f>
        <v/>
      </c>
      <c r="H569" s="13" t="str">
        <f>IF(OR('实盘净值数据(iFinD）'!$A569="",'实盘净值数据(iFinD）'!$B569=""),"",分期持仓明细!$AB$19*SUMPRODUCT(分期持仓明细!$B$19:$Y$19,'实盘净值数据(iFinD）'!$B569:$Y569/'实盘净值数据(iFinD）'!$B$20:$Y$20)*(1-实盘持仓初始配置!$Z$6)^(('实盘净值数据(iFinD）'!$A569-'实盘净值数据(iFinD）'!$A$7)/365))</f>
        <v/>
      </c>
      <c r="I569" s="16" t="str">
        <f t="shared" si="50"/>
        <v/>
      </c>
      <c r="J569" s="16" t="str">
        <f>IF(H569="","",H569/MAX(H$5:H569)-1)</f>
        <v/>
      </c>
      <c r="K569" s="13" t="str">
        <f>IF(OR('实盘净值数据(iFinD）'!$A569="",'实盘净值数据(iFinD）'!$B569="",'实盘净值数据(iFinD）'!$Z569="",'实盘净值数据(iFinD）'!$AA569=""),"",分期持仓明细!$AB$23*(SUMPRODUCT(分期持仓明细!$B$23:$Y$23,'实盘净值数据(iFinD）'!$B569:$Y569/'实盘净值数据(iFinD）'!$B$65:$Y$65)+SUMPRODUCT(分期持仓明细!$AC$23:$AD$23,'实盘净值数据(iFinD）'!$Z569:$AA569/'实盘净值数据(iFinD）'!$Z$65:$AA$65))*(1-实盘持仓初始配置!$Z$7)^(('实盘净值数据(iFinD）'!$A569-'实盘净值数据(iFinD）'!$A$8)/365))</f>
        <v/>
      </c>
      <c r="L569" s="16" t="str">
        <f t="shared" si="51"/>
        <v/>
      </c>
      <c r="M569" s="16" t="str">
        <f>IF(K569="","",K569/MAX(K$5:K569)-1)</f>
        <v/>
      </c>
      <c r="N569" s="13" t="str">
        <f>IF(OR('实盘净值数据(iFinD）'!$A569="",'实盘净值数据(iFinD）'!$B569="",'实盘净值数据(iFinD）'!$Z569="",'实盘净值数据(iFinD）'!$AA569=""),"",分期持仓明细!$AB$24*(SUMPRODUCT(分期持仓明细!$B$24:$Y$24,'实盘净值数据(iFinD）'!$B569:$Y569/'实盘净值数据(iFinD）'!$B$65:$Y$65)+SUMPRODUCT(分期持仓明细!$AC$24:$AD$24,'实盘净值数据(iFinD）'!$Z569:$AA569/'实盘净值数据(iFinD）'!$Z$65:$AA$65))*(1-实盘持仓初始配置!$Z$8)^(('实盘净值数据(iFinD）'!$A569-'实盘净值数据(iFinD）'!$A$5)/365))</f>
        <v/>
      </c>
      <c r="O569" s="16" t="str">
        <f t="shared" si="52"/>
        <v/>
      </c>
      <c r="P569" s="16" t="str">
        <f>IF(N569="","",N569/MAX(N$5:N569)-1)</f>
        <v/>
      </c>
      <c r="Q569" s="13" t="str">
        <f>IF(OR('实盘净值数据(iFinD）'!$A569="",'实盘净值数据(iFinD）'!$B569="",'实盘净值数据(iFinD）'!$Z569="",'实盘净值数据(iFinD）'!$AA569=""),"",分期持仓明细!$AB$25*(SUMPRODUCT(分期持仓明细!$B$25:$Y$25,'实盘净值数据(iFinD）'!$B569:$Y569/'实盘净值数据(iFinD）'!$B$65:$Y$65)+SUMPRODUCT(分期持仓明细!$AC$25:$AD$25,'实盘净值数据(iFinD）'!$Z569:$AA569/'实盘净值数据(iFinD）'!$Z$65:$AA$65))*(1-实盘持仓初始配置!$Z$9)^(('实盘净值数据(iFinD）'!$A569-'实盘净值数据(iFinD）'!$A$8)/365))</f>
        <v/>
      </c>
      <c r="R569" s="16" t="str">
        <f t="shared" si="53"/>
        <v/>
      </c>
      <c r="S569" s="16" t="str">
        <f>IF(Q569="","",Q569/MAX(Q$5:Q569)-1)</f>
        <v/>
      </c>
      <c r="T569" s="13">
        <f>IF(OR('实盘净值数据(iFinD）'!$A569="",'实盘净值数据(iFinD）'!$B569="",'实盘净值数据(iFinD）'!$Z569="",'实盘净值数据(iFinD）'!$AA569="",'实盘净值数据(iFinD）'!$AB569="",'实盘净值数据(iFinD）'!$AL569=""),"",(SUMPRODUCT(分期持仓明细!$B$26:$Y$26,'实盘净值数据(iFinD）'!$B569:$Y569/'实盘净值数据(iFinD）'!$B$69:$Y$69)+SUMPRODUCT(分期持仓明细!$AC$26:$AD$26,'实盘净值数据(iFinD）'!$Z569:$AA569/'实盘净值数据(iFinD）'!$Z$69:$AA$69)+SUMPRODUCT(分期持仓明细!$AE$26:$AO$26,'实盘净值数据(iFinD）'!$AB569:$AL569/'实盘净值数据(iFinD）'!$AB$69:$AL$69))*(1-实盘持仓初始配置!$Z$10)^(('实盘净值数据(iFinD）'!$A569-'实盘净值数据(iFinD）'!$A$69)/365))</f>
        <v/>
      </c>
      <c r="U569" s="16">
        <f>IF(OR(T568="",T569=""),"",T569/T568-1)</f>
        <v/>
      </c>
      <c r="V569" s="16">
        <f>IF(T569="","",T569/MAX(T$5:T569)-1)</f>
        <v/>
      </c>
    </row>
    <row r="570" spans="1:19">
      <c r="A570" s="15" t="str">
        <f>IF('实盘净值数据(iFinD）'!A570="","",'实盘净值数据(iFinD）'!A570)</f>
        <v/>
      </c>
      <c r="B570" s="13" t="str">
        <f>IF(OR('实盘净值数据(iFinD）'!$A570="",'实盘净值数据(iFinD）'!$B570=""),"",分期持仓明细!$AB$17*SUMPRODUCT(分期持仓明细!$B$17:$Y$17,'实盘净值数据(iFinD）'!$B570:$Y570/'实盘净值数据(iFinD）'!$B$20:$Y$20)*(1-实盘持仓初始配置!$Z$4)^(('实盘净值数据(iFinD）'!$A570-'实盘净值数据(iFinD）'!$A$6)/365))</f>
        <v/>
      </c>
      <c r="C570" s="16" t="str">
        <f t="shared" si="48"/>
        <v/>
      </c>
      <c r="D570" s="16" t="str">
        <f>IF(B570="","",B570/MAX(B$5:B570)-1)</f>
        <v/>
      </c>
      <c r="E570" s="13" t="str">
        <f>IF(OR('实盘净值数据(iFinD）'!$A570="",'实盘净值数据(iFinD）'!$B570=""),"",分期持仓明细!$AB$18*SUMPRODUCT(分期持仓明细!$B$18:$Y$18,'实盘净值数据(iFinD）'!$B570:$Y570/'实盘净值数据(iFinD）'!$B$20:$Y$20)*(1-实盘持仓初始配置!$Z$5)^(('实盘净值数据(iFinD）'!$A570-'实盘净值数据(iFinD）'!$A$5)/365))</f>
        <v/>
      </c>
      <c r="F570" s="16" t="str">
        <f t="shared" si="49"/>
        <v/>
      </c>
      <c r="G570" s="16" t="str">
        <f>IF(E570="","",E570/MAX(E$5:E570)-1)</f>
        <v/>
      </c>
      <c r="H570" s="13" t="str">
        <f>IF(OR('实盘净值数据(iFinD）'!$A570="",'实盘净值数据(iFinD）'!$B570=""),"",分期持仓明细!$AB$19*SUMPRODUCT(分期持仓明细!$B$19:$Y$19,'实盘净值数据(iFinD）'!$B570:$Y570/'实盘净值数据(iFinD）'!$B$20:$Y$20)*(1-实盘持仓初始配置!$Z$6)^(('实盘净值数据(iFinD）'!$A570-'实盘净值数据(iFinD）'!$A$7)/365))</f>
        <v/>
      </c>
      <c r="I570" s="16" t="str">
        <f t="shared" si="50"/>
        <v/>
      </c>
      <c r="J570" s="16" t="str">
        <f>IF(H570="","",H570/MAX(H$5:H570)-1)</f>
        <v/>
      </c>
      <c r="K570" s="13" t="str">
        <f>IF(OR('实盘净值数据(iFinD）'!$A570="",'实盘净值数据(iFinD）'!$B570="",'实盘净值数据(iFinD）'!$Z570="",'实盘净值数据(iFinD）'!$AA570=""),"",分期持仓明细!$AB$23*(SUMPRODUCT(分期持仓明细!$B$23:$Y$23,'实盘净值数据(iFinD）'!$B570:$Y570/'实盘净值数据(iFinD）'!$B$65:$Y$65)+SUMPRODUCT(分期持仓明细!$AC$23:$AD$23,'实盘净值数据(iFinD）'!$Z570:$AA570/'实盘净值数据(iFinD）'!$Z$65:$AA$65))*(1-实盘持仓初始配置!$Z$7)^(('实盘净值数据(iFinD）'!$A570-'实盘净值数据(iFinD）'!$A$8)/365))</f>
        <v/>
      </c>
      <c r="L570" s="16" t="str">
        <f t="shared" si="51"/>
        <v/>
      </c>
      <c r="M570" s="16" t="str">
        <f>IF(K570="","",K570/MAX(K$5:K570)-1)</f>
        <v/>
      </c>
      <c r="N570" s="13" t="str">
        <f>IF(OR('实盘净值数据(iFinD）'!$A570="",'实盘净值数据(iFinD）'!$B570="",'实盘净值数据(iFinD）'!$Z570="",'实盘净值数据(iFinD）'!$AA570=""),"",分期持仓明细!$AB$24*(SUMPRODUCT(分期持仓明细!$B$24:$Y$24,'实盘净值数据(iFinD）'!$B570:$Y570/'实盘净值数据(iFinD）'!$B$65:$Y$65)+SUMPRODUCT(分期持仓明细!$AC$24:$AD$24,'实盘净值数据(iFinD）'!$Z570:$AA570/'实盘净值数据(iFinD）'!$Z$65:$AA$65))*(1-实盘持仓初始配置!$Z$8)^(('实盘净值数据(iFinD）'!$A570-'实盘净值数据(iFinD）'!$A$5)/365))</f>
        <v/>
      </c>
      <c r="O570" s="16" t="str">
        <f t="shared" si="52"/>
        <v/>
      </c>
      <c r="P570" s="16" t="str">
        <f>IF(N570="","",N570/MAX(N$5:N570)-1)</f>
        <v/>
      </c>
      <c r="Q570" s="13" t="str">
        <f>IF(OR('实盘净值数据(iFinD）'!$A570="",'实盘净值数据(iFinD）'!$B570="",'实盘净值数据(iFinD）'!$Z570="",'实盘净值数据(iFinD）'!$AA570=""),"",分期持仓明细!$AB$25*(SUMPRODUCT(分期持仓明细!$B$25:$Y$25,'实盘净值数据(iFinD）'!$B570:$Y570/'实盘净值数据(iFinD）'!$B$65:$Y$65)+SUMPRODUCT(分期持仓明细!$AC$25:$AD$25,'实盘净值数据(iFinD）'!$Z570:$AA570/'实盘净值数据(iFinD）'!$Z$65:$AA$65))*(1-实盘持仓初始配置!$Z$9)^(('实盘净值数据(iFinD）'!$A570-'实盘净值数据(iFinD）'!$A$8)/365))</f>
        <v/>
      </c>
      <c r="R570" s="16" t="str">
        <f t="shared" si="53"/>
        <v/>
      </c>
      <c r="S570" s="16" t="str">
        <f>IF(Q570="","",Q570/MAX(Q$5:Q570)-1)</f>
        <v/>
      </c>
      <c r="T570" s="13">
        <f>IF(OR('实盘净值数据(iFinD）'!$A570="",'实盘净值数据(iFinD）'!$B570="",'实盘净值数据(iFinD）'!$Z570="",'实盘净值数据(iFinD）'!$AA570="",'实盘净值数据(iFinD）'!$AB570="",'实盘净值数据(iFinD）'!$AL570=""),"",(SUMPRODUCT(分期持仓明细!$B$26:$Y$26,'实盘净值数据(iFinD）'!$B570:$Y570/'实盘净值数据(iFinD）'!$B$69:$Y$69)+SUMPRODUCT(分期持仓明细!$AC$26:$AD$26,'实盘净值数据(iFinD）'!$Z570:$AA570/'实盘净值数据(iFinD）'!$Z$69:$AA$69)+SUMPRODUCT(分期持仓明细!$AE$26:$AO$26,'实盘净值数据(iFinD）'!$AB570:$AL570/'实盘净值数据(iFinD）'!$AB$69:$AL$69))*(1-实盘持仓初始配置!$Z$10)^(('实盘净值数据(iFinD）'!$A570-'实盘净值数据(iFinD）'!$A$69)/365))</f>
        <v/>
      </c>
      <c r="U570" s="16">
        <f>IF(OR(T569="",T570=""),"",T570/T569-1)</f>
        <v/>
      </c>
      <c r="V570" s="16">
        <f>IF(T570="","",T570/MAX(T$5:T570)-1)</f>
        <v/>
      </c>
    </row>
    <row r="571" spans="1:19">
      <c r="A571" s="15" t="str">
        <f>IF('实盘净值数据(iFinD）'!A571="","",'实盘净值数据(iFinD）'!A571)</f>
        <v/>
      </c>
      <c r="B571" s="13" t="str">
        <f>IF(OR('实盘净值数据(iFinD）'!$A571="",'实盘净值数据(iFinD）'!$B571=""),"",分期持仓明细!$AB$17*SUMPRODUCT(分期持仓明细!$B$17:$Y$17,'实盘净值数据(iFinD）'!$B571:$Y571/'实盘净值数据(iFinD）'!$B$20:$Y$20)*(1-实盘持仓初始配置!$Z$4)^(('实盘净值数据(iFinD）'!$A571-'实盘净值数据(iFinD）'!$A$6)/365))</f>
        <v/>
      </c>
      <c r="C571" s="16" t="str">
        <f t="shared" si="48"/>
        <v/>
      </c>
      <c r="D571" s="16" t="str">
        <f>IF(B571="","",B571/MAX(B$5:B571)-1)</f>
        <v/>
      </c>
      <c r="E571" s="13" t="str">
        <f>IF(OR('实盘净值数据(iFinD）'!$A571="",'实盘净值数据(iFinD）'!$B571=""),"",分期持仓明细!$AB$18*SUMPRODUCT(分期持仓明细!$B$18:$Y$18,'实盘净值数据(iFinD）'!$B571:$Y571/'实盘净值数据(iFinD）'!$B$20:$Y$20)*(1-实盘持仓初始配置!$Z$5)^(('实盘净值数据(iFinD）'!$A571-'实盘净值数据(iFinD）'!$A$5)/365))</f>
        <v/>
      </c>
      <c r="F571" s="16" t="str">
        <f t="shared" si="49"/>
        <v/>
      </c>
      <c r="G571" s="16" t="str">
        <f>IF(E571="","",E571/MAX(E$5:E571)-1)</f>
        <v/>
      </c>
      <c r="H571" s="13" t="str">
        <f>IF(OR('实盘净值数据(iFinD）'!$A571="",'实盘净值数据(iFinD）'!$B571=""),"",分期持仓明细!$AB$19*SUMPRODUCT(分期持仓明细!$B$19:$Y$19,'实盘净值数据(iFinD）'!$B571:$Y571/'实盘净值数据(iFinD）'!$B$20:$Y$20)*(1-实盘持仓初始配置!$Z$6)^(('实盘净值数据(iFinD）'!$A571-'实盘净值数据(iFinD）'!$A$7)/365))</f>
        <v/>
      </c>
      <c r="I571" s="16" t="str">
        <f t="shared" si="50"/>
        <v/>
      </c>
      <c r="J571" s="16" t="str">
        <f>IF(H571="","",H571/MAX(H$5:H571)-1)</f>
        <v/>
      </c>
      <c r="K571" s="13" t="str">
        <f>IF(OR('实盘净值数据(iFinD）'!$A571="",'实盘净值数据(iFinD）'!$B571="",'实盘净值数据(iFinD）'!$Z571="",'实盘净值数据(iFinD）'!$AA571=""),"",分期持仓明细!$AB$23*(SUMPRODUCT(分期持仓明细!$B$23:$Y$23,'实盘净值数据(iFinD）'!$B571:$Y571/'实盘净值数据(iFinD）'!$B$65:$Y$65)+SUMPRODUCT(分期持仓明细!$AC$23:$AD$23,'实盘净值数据(iFinD）'!$Z571:$AA571/'实盘净值数据(iFinD）'!$Z$65:$AA$65))*(1-实盘持仓初始配置!$Z$7)^(('实盘净值数据(iFinD）'!$A571-'实盘净值数据(iFinD）'!$A$8)/365))</f>
        <v/>
      </c>
      <c r="L571" s="16" t="str">
        <f t="shared" si="51"/>
        <v/>
      </c>
      <c r="M571" s="16" t="str">
        <f>IF(K571="","",K571/MAX(K$5:K571)-1)</f>
        <v/>
      </c>
      <c r="N571" s="13" t="str">
        <f>IF(OR('实盘净值数据(iFinD）'!$A571="",'实盘净值数据(iFinD）'!$B571="",'实盘净值数据(iFinD）'!$Z571="",'实盘净值数据(iFinD）'!$AA571=""),"",分期持仓明细!$AB$24*(SUMPRODUCT(分期持仓明细!$B$24:$Y$24,'实盘净值数据(iFinD）'!$B571:$Y571/'实盘净值数据(iFinD）'!$B$65:$Y$65)+SUMPRODUCT(分期持仓明细!$AC$24:$AD$24,'实盘净值数据(iFinD）'!$Z571:$AA571/'实盘净值数据(iFinD）'!$Z$65:$AA$65))*(1-实盘持仓初始配置!$Z$8)^(('实盘净值数据(iFinD）'!$A571-'实盘净值数据(iFinD）'!$A$5)/365))</f>
        <v/>
      </c>
      <c r="O571" s="16" t="str">
        <f t="shared" si="52"/>
        <v/>
      </c>
      <c r="P571" s="16" t="str">
        <f>IF(N571="","",N571/MAX(N$5:N571)-1)</f>
        <v/>
      </c>
      <c r="Q571" s="13" t="str">
        <f>IF(OR('实盘净值数据(iFinD）'!$A571="",'实盘净值数据(iFinD）'!$B571="",'实盘净值数据(iFinD）'!$Z571="",'实盘净值数据(iFinD）'!$AA571=""),"",分期持仓明细!$AB$25*(SUMPRODUCT(分期持仓明细!$B$25:$Y$25,'实盘净值数据(iFinD）'!$B571:$Y571/'实盘净值数据(iFinD）'!$B$65:$Y$65)+SUMPRODUCT(分期持仓明细!$AC$25:$AD$25,'实盘净值数据(iFinD）'!$Z571:$AA571/'实盘净值数据(iFinD）'!$Z$65:$AA$65))*(1-实盘持仓初始配置!$Z$9)^(('实盘净值数据(iFinD）'!$A571-'实盘净值数据(iFinD）'!$A$8)/365))</f>
        <v/>
      </c>
      <c r="R571" s="16" t="str">
        <f t="shared" si="53"/>
        <v/>
      </c>
      <c r="S571" s="16" t="str">
        <f>IF(Q571="","",Q571/MAX(Q$5:Q571)-1)</f>
        <v/>
      </c>
      <c r="T571" s="13">
        <f>IF(OR('实盘净值数据(iFinD）'!$A571="",'实盘净值数据(iFinD）'!$B571="",'实盘净值数据(iFinD）'!$Z571="",'实盘净值数据(iFinD）'!$AA571="",'实盘净值数据(iFinD）'!$AB571="",'实盘净值数据(iFinD）'!$AL571=""),"",(SUMPRODUCT(分期持仓明细!$B$26:$Y$26,'实盘净值数据(iFinD）'!$B571:$Y571/'实盘净值数据(iFinD）'!$B$69:$Y$69)+SUMPRODUCT(分期持仓明细!$AC$26:$AD$26,'实盘净值数据(iFinD）'!$Z571:$AA571/'实盘净值数据(iFinD）'!$Z$69:$AA$69)+SUMPRODUCT(分期持仓明细!$AE$26:$AO$26,'实盘净值数据(iFinD）'!$AB571:$AL571/'实盘净值数据(iFinD）'!$AB$69:$AL$69))*(1-实盘持仓初始配置!$Z$10)^(('实盘净值数据(iFinD）'!$A571-'实盘净值数据(iFinD）'!$A$69)/365))</f>
        <v/>
      </c>
      <c r="U571" s="16">
        <f>IF(OR(T570="",T571=""),"",T571/T570-1)</f>
        <v/>
      </c>
      <c r="V571" s="16">
        <f>IF(T571="","",T571/MAX(T$5:T571)-1)</f>
        <v/>
      </c>
    </row>
    <row r="572" spans="1:19">
      <c r="A572" s="15" t="str">
        <f>IF('实盘净值数据(iFinD）'!A572="","",'实盘净值数据(iFinD）'!A572)</f>
        <v/>
      </c>
      <c r="B572" s="13" t="str">
        <f>IF(OR('实盘净值数据(iFinD）'!$A572="",'实盘净值数据(iFinD）'!$B572=""),"",分期持仓明细!$AB$17*SUMPRODUCT(分期持仓明细!$B$17:$Y$17,'实盘净值数据(iFinD）'!$B572:$Y572/'实盘净值数据(iFinD）'!$B$20:$Y$20)*(1-实盘持仓初始配置!$Z$4)^(('实盘净值数据(iFinD）'!$A572-'实盘净值数据(iFinD）'!$A$6)/365))</f>
        <v/>
      </c>
      <c r="C572" s="16" t="str">
        <f t="shared" ref="C572:C635" si="54">IF(OR(B571="",B572=""),"",B572/B571-1)</f>
        <v/>
      </c>
      <c r="D572" s="16" t="str">
        <f>IF(B572="","",B572/MAX(B$5:B572)-1)</f>
        <v/>
      </c>
      <c r="E572" s="13" t="str">
        <f>IF(OR('实盘净值数据(iFinD）'!$A572="",'实盘净值数据(iFinD）'!$B572=""),"",分期持仓明细!$AB$18*SUMPRODUCT(分期持仓明细!$B$18:$Y$18,'实盘净值数据(iFinD）'!$B572:$Y572/'实盘净值数据(iFinD）'!$B$20:$Y$20)*(1-实盘持仓初始配置!$Z$5)^(('实盘净值数据(iFinD）'!$A572-'实盘净值数据(iFinD）'!$A$5)/365))</f>
        <v/>
      </c>
      <c r="F572" s="16" t="str">
        <f t="shared" ref="F572:F635" si="55">IF(OR(E571="",E572=""),"",E572/E571-1)</f>
        <v/>
      </c>
      <c r="G572" s="16" t="str">
        <f>IF(E572="","",E572/MAX(E$5:E572)-1)</f>
        <v/>
      </c>
      <c r="H572" s="13" t="str">
        <f>IF(OR('实盘净值数据(iFinD）'!$A572="",'实盘净值数据(iFinD）'!$B572=""),"",分期持仓明细!$AB$19*SUMPRODUCT(分期持仓明细!$B$19:$Y$19,'实盘净值数据(iFinD）'!$B572:$Y572/'实盘净值数据(iFinD）'!$B$20:$Y$20)*(1-实盘持仓初始配置!$Z$6)^(('实盘净值数据(iFinD）'!$A572-'实盘净值数据(iFinD）'!$A$7)/365))</f>
        <v/>
      </c>
      <c r="I572" s="16" t="str">
        <f t="shared" ref="I572:I635" si="56">IF(OR(H571="",H572=""),"",H572/H571-1)</f>
        <v/>
      </c>
      <c r="J572" s="16" t="str">
        <f>IF(H572="","",H572/MAX(H$5:H572)-1)</f>
        <v/>
      </c>
      <c r="K572" s="13" t="str">
        <f>IF(OR('实盘净值数据(iFinD）'!$A572="",'实盘净值数据(iFinD）'!$B572="",'实盘净值数据(iFinD）'!$Z572="",'实盘净值数据(iFinD）'!$AA572=""),"",分期持仓明细!$AB$23*(SUMPRODUCT(分期持仓明细!$B$23:$Y$23,'实盘净值数据(iFinD）'!$B572:$Y572/'实盘净值数据(iFinD）'!$B$65:$Y$65)+SUMPRODUCT(分期持仓明细!$AC$23:$AD$23,'实盘净值数据(iFinD）'!$Z572:$AA572/'实盘净值数据(iFinD）'!$Z$65:$AA$65))*(1-实盘持仓初始配置!$Z$7)^(('实盘净值数据(iFinD）'!$A572-'实盘净值数据(iFinD）'!$A$8)/365))</f>
        <v/>
      </c>
      <c r="L572" s="16" t="str">
        <f t="shared" ref="L572:L635" si="57">IF(OR(K571="",K572=""),"",K572/K571-1)</f>
        <v/>
      </c>
      <c r="M572" s="16" t="str">
        <f>IF(K572="","",K572/MAX(K$5:K572)-1)</f>
        <v/>
      </c>
      <c r="N572" s="13" t="str">
        <f>IF(OR('实盘净值数据(iFinD）'!$A572="",'实盘净值数据(iFinD）'!$B572="",'实盘净值数据(iFinD）'!$Z572="",'实盘净值数据(iFinD）'!$AA572=""),"",分期持仓明细!$AB$24*(SUMPRODUCT(分期持仓明细!$B$24:$Y$24,'实盘净值数据(iFinD）'!$B572:$Y572/'实盘净值数据(iFinD）'!$B$65:$Y$65)+SUMPRODUCT(分期持仓明细!$AC$24:$AD$24,'实盘净值数据(iFinD）'!$Z572:$AA572/'实盘净值数据(iFinD）'!$Z$65:$AA$65))*(1-实盘持仓初始配置!$Z$8)^(('实盘净值数据(iFinD）'!$A572-'实盘净值数据(iFinD）'!$A$5)/365))</f>
        <v/>
      </c>
      <c r="O572" s="16" t="str">
        <f t="shared" ref="O572:O635" si="58">IF(OR(N571="",N572=""),"",N572/N571-1)</f>
        <v/>
      </c>
      <c r="P572" s="16" t="str">
        <f>IF(N572="","",N572/MAX(N$5:N572)-1)</f>
        <v/>
      </c>
      <c r="Q572" s="13" t="str">
        <f>IF(OR('实盘净值数据(iFinD）'!$A572="",'实盘净值数据(iFinD）'!$B572="",'实盘净值数据(iFinD）'!$Z572="",'实盘净值数据(iFinD）'!$AA572=""),"",分期持仓明细!$AB$25*(SUMPRODUCT(分期持仓明细!$B$25:$Y$25,'实盘净值数据(iFinD）'!$B572:$Y572/'实盘净值数据(iFinD）'!$B$65:$Y$65)+SUMPRODUCT(分期持仓明细!$AC$25:$AD$25,'实盘净值数据(iFinD）'!$Z572:$AA572/'实盘净值数据(iFinD）'!$Z$65:$AA$65))*(1-实盘持仓初始配置!$Z$9)^(('实盘净值数据(iFinD）'!$A572-'实盘净值数据(iFinD）'!$A$8)/365))</f>
        <v/>
      </c>
      <c r="R572" s="16" t="str">
        <f t="shared" ref="R572:R635" si="59">IF(OR(Q571="",Q572=""),"",Q572/Q571-1)</f>
        <v/>
      </c>
      <c r="S572" s="16" t="str">
        <f>IF(Q572="","",Q572/MAX(Q$5:Q572)-1)</f>
        <v/>
      </c>
      <c r="T572" s="13">
        <f>IF(OR('实盘净值数据(iFinD）'!$A572="",'实盘净值数据(iFinD）'!$B572="",'实盘净值数据(iFinD）'!$Z572="",'实盘净值数据(iFinD）'!$AA572="",'实盘净值数据(iFinD）'!$AB572="",'实盘净值数据(iFinD）'!$AL572=""),"",(SUMPRODUCT(分期持仓明细!$B$26:$Y$26,'实盘净值数据(iFinD）'!$B572:$Y572/'实盘净值数据(iFinD）'!$B$69:$Y$69)+SUMPRODUCT(分期持仓明细!$AC$26:$AD$26,'实盘净值数据(iFinD）'!$Z572:$AA572/'实盘净值数据(iFinD）'!$Z$69:$AA$69)+SUMPRODUCT(分期持仓明细!$AE$26:$AO$26,'实盘净值数据(iFinD）'!$AB572:$AL572/'实盘净值数据(iFinD）'!$AB$69:$AL$69))*(1-实盘持仓初始配置!$Z$10)^(('实盘净值数据(iFinD）'!$A572-'实盘净值数据(iFinD）'!$A$69)/365))</f>
        <v/>
      </c>
      <c r="U572" s="16">
        <f>IF(OR(T571="",T572=""),"",T572/T571-1)</f>
        <v/>
      </c>
      <c r="V572" s="16">
        <f>IF(T572="","",T572/MAX(T$5:T572)-1)</f>
        <v/>
      </c>
    </row>
    <row r="573" spans="1:19">
      <c r="A573" s="15" t="str">
        <f>IF('实盘净值数据(iFinD）'!A573="","",'实盘净值数据(iFinD）'!A573)</f>
        <v/>
      </c>
      <c r="B573" s="13" t="str">
        <f>IF(OR('实盘净值数据(iFinD）'!$A573="",'实盘净值数据(iFinD）'!$B573=""),"",分期持仓明细!$AB$17*SUMPRODUCT(分期持仓明细!$B$17:$Y$17,'实盘净值数据(iFinD）'!$B573:$Y573/'实盘净值数据(iFinD）'!$B$20:$Y$20)*(1-实盘持仓初始配置!$Z$4)^(('实盘净值数据(iFinD）'!$A573-'实盘净值数据(iFinD）'!$A$6)/365))</f>
        <v/>
      </c>
      <c r="C573" s="16" t="str">
        <f t="shared" si="54"/>
        <v/>
      </c>
      <c r="D573" s="16" t="str">
        <f>IF(B573="","",B573/MAX(B$5:B573)-1)</f>
        <v/>
      </c>
      <c r="E573" s="13" t="str">
        <f>IF(OR('实盘净值数据(iFinD）'!$A573="",'实盘净值数据(iFinD）'!$B573=""),"",分期持仓明细!$AB$18*SUMPRODUCT(分期持仓明细!$B$18:$Y$18,'实盘净值数据(iFinD）'!$B573:$Y573/'实盘净值数据(iFinD）'!$B$20:$Y$20)*(1-实盘持仓初始配置!$Z$5)^(('实盘净值数据(iFinD）'!$A573-'实盘净值数据(iFinD）'!$A$5)/365))</f>
        <v/>
      </c>
      <c r="F573" s="16" t="str">
        <f t="shared" si="55"/>
        <v/>
      </c>
      <c r="G573" s="16" t="str">
        <f>IF(E573="","",E573/MAX(E$5:E573)-1)</f>
        <v/>
      </c>
      <c r="H573" s="13" t="str">
        <f>IF(OR('实盘净值数据(iFinD）'!$A573="",'实盘净值数据(iFinD）'!$B573=""),"",分期持仓明细!$AB$19*SUMPRODUCT(分期持仓明细!$B$19:$Y$19,'实盘净值数据(iFinD）'!$B573:$Y573/'实盘净值数据(iFinD）'!$B$20:$Y$20)*(1-实盘持仓初始配置!$Z$6)^(('实盘净值数据(iFinD）'!$A573-'实盘净值数据(iFinD）'!$A$7)/365))</f>
        <v/>
      </c>
      <c r="I573" s="16" t="str">
        <f t="shared" si="56"/>
        <v/>
      </c>
      <c r="J573" s="16" t="str">
        <f>IF(H573="","",H573/MAX(H$5:H573)-1)</f>
        <v/>
      </c>
      <c r="K573" s="13" t="str">
        <f>IF(OR('实盘净值数据(iFinD）'!$A573="",'实盘净值数据(iFinD）'!$B573="",'实盘净值数据(iFinD）'!$Z573="",'实盘净值数据(iFinD）'!$AA573=""),"",分期持仓明细!$AB$23*(SUMPRODUCT(分期持仓明细!$B$23:$Y$23,'实盘净值数据(iFinD）'!$B573:$Y573/'实盘净值数据(iFinD）'!$B$65:$Y$65)+SUMPRODUCT(分期持仓明细!$AC$23:$AD$23,'实盘净值数据(iFinD）'!$Z573:$AA573/'实盘净值数据(iFinD）'!$Z$65:$AA$65))*(1-实盘持仓初始配置!$Z$7)^(('实盘净值数据(iFinD）'!$A573-'实盘净值数据(iFinD）'!$A$8)/365))</f>
        <v/>
      </c>
      <c r="L573" s="16" t="str">
        <f t="shared" si="57"/>
        <v/>
      </c>
      <c r="M573" s="16" t="str">
        <f>IF(K573="","",K573/MAX(K$5:K573)-1)</f>
        <v/>
      </c>
      <c r="N573" s="13" t="str">
        <f>IF(OR('实盘净值数据(iFinD）'!$A573="",'实盘净值数据(iFinD）'!$B573="",'实盘净值数据(iFinD）'!$Z573="",'实盘净值数据(iFinD）'!$AA573=""),"",分期持仓明细!$AB$24*(SUMPRODUCT(分期持仓明细!$B$24:$Y$24,'实盘净值数据(iFinD）'!$B573:$Y573/'实盘净值数据(iFinD）'!$B$65:$Y$65)+SUMPRODUCT(分期持仓明细!$AC$24:$AD$24,'实盘净值数据(iFinD）'!$Z573:$AA573/'实盘净值数据(iFinD）'!$Z$65:$AA$65))*(1-实盘持仓初始配置!$Z$8)^(('实盘净值数据(iFinD）'!$A573-'实盘净值数据(iFinD）'!$A$5)/365))</f>
        <v/>
      </c>
      <c r="O573" s="16" t="str">
        <f t="shared" si="58"/>
        <v/>
      </c>
      <c r="P573" s="16" t="str">
        <f>IF(N573="","",N573/MAX(N$5:N573)-1)</f>
        <v/>
      </c>
      <c r="Q573" s="13" t="str">
        <f>IF(OR('实盘净值数据(iFinD）'!$A573="",'实盘净值数据(iFinD）'!$B573="",'实盘净值数据(iFinD）'!$Z573="",'实盘净值数据(iFinD）'!$AA573=""),"",分期持仓明细!$AB$25*(SUMPRODUCT(分期持仓明细!$B$25:$Y$25,'实盘净值数据(iFinD）'!$B573:$Y573/'实盘净值数据(iFinD）'!$B$65:$Y$65)+SUMPRODUCT(分期持仓明细!$AC$25:$AD$25,'实盘净值数据(iFinD）'!$Z573:$AA573/'实盘净值数据(iFinD）'!$Z$65:$AA$65))*(1-实盘持仓初始配置!$Z$9)^(('实盘净值数据(iFinD）'!$A573-'实盘净值数据(iFinD）'!$A$8)/365))</f>
        <v/>
      </c>
      <c r="R573" s="16" t="str">
        <f t="shared" si="59"/>
        <v/>
      </c>
      <c r="S573" s="16" t="str">
        <f>IF(Q573="","",Q573/MAX(Q$5:Q573)-1)</f>
        <v/>
      </c>
      <c r="T573" s="13">
        <f>IF(OR('实盘净值数据(iFinD）'!$A573="",'实盘净值数据(iFinD）'!$B573="",'实盘净值数据(iFinD）'!$Z573="",'实盘净值数据(iFinD）'!$AA573="",'实盘净值数据(iFinD）'!$AB573="",'实盘净值数据(iFinD）'!$AL573=""),"",(SUMPRODUCT(分期持仓明细!$B$26:$Y$26,'实盘净值数据(iFinD）'!$B573:$Y573/'实盘净值数据(iFinD）'!$B$69:$Y$69)+SUMPRODUCT(分期持仓明细!$AC$26:$AD$26,'实盘净值数据(iFinD）'!$Z573:$AA573/'实盘净值数据(iFinD）'!$Z$69:$AA$69)+SUMPRODUCT(分期持仓明细!$AE$26:$AO$26,'实盘净值数据(iFinD）'!$AB573:$AL573/'实盘净值数据(iFinD）'!$AB$69:$AL$69))*(1-实盘持仓初始配置!$Z$10)^(('实盘净值数据(iFinD）'!$A573-'实盘净值数据(iFinD）'!$A$69)/365))</f>
        <v/>
      </c>
      <c r="U573" s="16">
        <f>IF(OR(T572="",T573=""),"",T573/T572-1)</f>
        <v/>
      </c>
      <c r="V573" s="16">
        <f>IF(T573="","",T573/MAX(T$5:T573)-1)</f>
        <v/>
      </c>
    </row>
    <row r="574" spans="1:19">
      <c r="A574" s="15" t="str">
        <f>IF('实盘净值数据(iFinD）'!A574="","",'实盘净值数据(iFinD）'!A574)</f>
        <v/>
      </c>
      <c r="B574" s="13" t="str">
        <f>IF(OR('实盘净值数据(iFinD）'!$A574="",'实盘净值数据(iFinD）'!$B574=""),"",分期持仓明细!$AB$17*SUMPRODUCT(分期持仓明细!$B$17:$Y$17,'实盘净值数据(iFinD）'!$B574:$Y574/'实盘净值数据(iFinD）'!$B$20:$Y$20)*(1-实盘持仓初始配置!$Z$4)^(('实盘净值数据(iFinD）'!$A574-'实盘净值数据(iFinD）'!$A$6)/365))</f>
        <v/>
      </c>
      <c r="C574" s="16" t="str">
        <f t="shared" si="54"/>
        <v/>
      </c>
      <c r="D574" s="16" t="str">
        <f>IF(B574="","",B574/MAX(B$5:B574)-1)</f>
        <v/>
      </c>
      <c r="E574" s="13" t="str">
        <f>IF(OR('实盘净值数据(iFinD）'!$A574="",'实盘净值数据(iFinD）'!$B574=""),"",分期持仓明细!$AB$18*SUMPRODUCT(分期持仓明细!$B$18:$Y$18,'实盘净值数据(iFinD）'!$B574:$Y574/'实盘净值数据(iFinD）'!$B$20:$Y$20)*(1-实盘持仓初始配置!$Z$5)^(('实盘净值数据(iFinD）'!$A574-'实盘净值数据(iFinD）'!$A$5)/365))</f>
        <v/>
      </c>
      <c r="F574" s="16" t="str">
        <f t="shared" si="55"/>
        <v/>
      </c>
      <c r="G574" s="16" t="str">
        <f>IF(E574="","",E574/MAX(E$5:E574)-1)</f>
        <v/>
      </c>
      <c r="H574" s="13" t="str">
        <f>IF(OR('实盘净值数据(iFinD）'!$A574="",'实盘净值数据(iFinD）'!$B574=""),"",分期持仓明细!$AB$19*SUMPRODUCT(分期持仓明细!$B$19:$Y$19,'实盘净值数据(iFinD）'!$B574:$Y574/'实盘净值数据(iFinD）'!$B$20:$Y$20)*(1-实盘持仓初始配置!$Z$6)^(('实盘净值数据(iFinD）'!$A574-'实盘净值数据(iFinD）'!$A$7)/365))</f>
        <v/>
      </c>
      <c r="I574" s="16" t="str">
        <f t="shared" si="56"/>
        <v/>
      </c>
      <c r="J574" s="16" t="str">
        <f>IF(H574="","",H574/MAX(H$5:H574)-1)</f>
        <v/>
      </c>
      <c r="K574" s="13" t="str">
        <f>IF(OR('实盘净值数据(iFinD）'!$A574="",'实盘净值数据(iFinD）'!$B574="",'实盘净值数据(iFinD）'!$Z574="",'实盘净值数据(iFinD）'!$AA574=""),"",分期持仓明细!$AB$23*(SUMPRODUCT(分期持仓明细!$B$23:$Y$23,'实盘净值数据(iFinD）'!$B574:$Y574/'实盘净值数据(iFinD）'!$B$65:$Y$65)+SUMPRODUCT(分期持仓明细!$AC$23:$AD$23,'实盘净值数据(iFinD）'!$Z574:$AA574/'实盘净值数据(iFinD）'!$Z$65:$AA$65))*(1-实盘持仓初始配置!$Z$7)^(('实盘净值数据(iFinD）'!$A574-'实盘净值数据(iFinD）'!$A$8)/365))</f>
        <v/>
      </c>
      <c r="L574" s="16" t="str">
        <f t="shared" si="57"/>
        <v/>
      </c>
      <c r="M574" s="16" t="str">
        <f>IF(K574="","",K574/MAX(K$5:K574)-1)</f>
        <v/>
      </c>
      <c r="N574" s="13" t="str">
        <f>IF(OR('实盘净值数据(iFinD）'!$A574="",'实盘净值数据(iFinD）'!$B574="",'实盘净值数据(iFinD）'!$Z574="",'实盘净值数据(iFinD）'!$AA574=""),"",分期持仓明细!$AB$24*(SUMPRODUCT(分期持仓明细!$B$24:$Y$24,'实盘净值数据(iFinD）'!$B574:$Y574/'实盘净值数据(iFinD）'!$B$65:$Y$65)+SUMPRODUCT(分期持仓明细!$AC$24:$AD$24,'实盘净值数据(iFinD）'!$Z574:$AA574/'实盘净值数据(iFinD）'!$Z$65:$AA$65))*(1-实盘持仓初始配置!$Z$8)^(('实盘净值数据(iFinD）'!$A574-'实盘净值数据(iFinD）'!$A$5)/365))</f>
        <v/>
      </c>
      <c r="O574" s="16" t="str">
        <f t="shared" si="58"/>
        <v/>
      </c>
      <c r="P574" s="16" t="str">
        <f>IF(N574="","",N574/MAX(N$5:N574)-1)</f>
        <v/>
      </c>
      <c r="Q574" s="13" t="str">
        <f>IF(OR('实盘净值数据(iFinD）'!$A574="",'实盘净值数据(iFinD）'!$B574="",'实盘净值数据(iFinD）'!$Z574="",'实盘净值数据(iFinD）'!$AA574=""),"",分期持仓明细!$AB$25*(SUMPRODUCT(分期持仓明细!$B$25:$Y$25,'实盘净值数据(iFinD）'!$B574:$Y574/'实盘净值数据(iFinD）'!$B$65:$Y$65)+SUMPRODUCT(分期持仓明细!$AC$25:$AD$25,'实盘净值数据(iFinD）'!$Z574:$AA574/'实盘净值数据(iFinD）'!$Z$65:$AA$65))*(1-实盘持仓初始配置!$Z$9)^(('实盘净值数据(iFinD）'!$A574-'实盘净值数据(iFinD）'!$A$8)/365))</f>
        <v/>
      </c>
      <c r="R574" s="16" t="str">
        <f t="shared" si="59"/>
        <v/>
      </c>
      <c r="S574" s="16" t="str">
        <f>IF(Q574="","",Q574/MAX(Q$5:Q574)-1)</f>
        <v/>
      </c>
      <c r="T574" s="13">
        <f>IF(OR('实盘净值数据(iFinD）'!$A574="",'实盘净值数据(iFinD）'!$B574="",'实盘净值数据(iFinD）'!$Z574="",'实盘净值数据(iFinD）'!$AA574="",'实盘净值数据(iFinD）'!$AB574="",'实盘净值数据(iFinD）'!$AL574=""),"",(SUMPRODUCT(分期持仓明细!$B$26:$Y$26,'实盘净值数据(iFinD）'!$B574:$Y574/'实盘净值数据(iFinD）'!$B$69:$Y$69)+SUMPRODUCT(分期持仓明细!$AC$26:$AD$26,'实盘净值数据(iFinD）'!$Z574:$AA574/'实盘净值数据(iFinD）'!$Z$69:$AA$69)+SUMPRODUCT(分期持仓明细!$AE$26:$AO$26,'实盘净值数据(iFinD）'!$AB574:$AL574/'实盘净值数据(iFinD）'!$AB$69:$AL$69))*(1-实盘持仓初始配置!$Z$10)^(('实盘净值数据(iFinD）'!$A574-'实盘净值数据(iFinD）'!$A$69)/365))</f>
        <v/>
      </c>
      <c r="U574" s="16">
        <f>IF(OR(T573="",T574=""),"",T574/T573-1)</f>
        <v/>
      </c>
      <c r="V574" s="16">
        <f>IF(T574="","",T574/MAX(T$5:T574)-1)</f>
        <v/>
      </c>
    </row>
    <row r="575" spans="1:19">
      <c r="A575" s="15" t="str">
        <f>IF('实盘净值数据(iFinD）'!A575="","",'实盘净值数据(iFinD）'!A575)</f>
        <v/>
      </c>
      <c r="B575" s="13" t="str">
        <f>IF(OR('实盘净值数据(iFinD）'!$A575="",'实盘净值数据(iFinD）'!$B575=""),"",分期持仓明细!$AB$17*SUMPRODUCT(分期持仓明细!$B$17:$Y$17,'实盘净值数据(iFinD）'!$B575:$Y575/'实盘净值数据(iFinD）'!$B$20:$Y$20)*(1-实盘持仓初始配置!$Z$4)^(('实盘净值数据(iFinD）'!$A575-'实盘净值数据(iFinD）'!$A$6)/365))</f>
        <v/>
      </c>
      <c r="C575" s="16" t="str">
        <f t="shared" si="54"/>
        <v/>
      </c>
      <c r="D575" s="16" t="str">
        <f>IF(B575="","",B575/MAX(B$5:B575)-1)</f>
        <v/>
      </c>
      <c r="E575" s="13" t="str">
        <f>IF(OR('实盘净值数据(iFinD）'!$A575="",'实盘净值数据(iFinD）'!$B575=""),"",分期持仓明细!$AB$18*SUMPRODUCT(分期持仓明细!$B$18:$Y$18,'实盘净值数据(iFinD）'!$B575:$Y575/'实盘净值数据(iFinD）'!$B$20:$Y$20)*(1-实盘持仓初始配置!$Z$5)^(('实盘净值数据(iFinD）'!$A575-'实盘净值数据(iFinD）'!$A$5)/365))</f>
        <v/>
      </c>
      <c r="F575" s="16" t="str">
        <f t="shared" si="55"/>
        <v/>
      </c>
      <c r="G575" s="16" t="str">
        <f>IF(E575="","",E575/MAX(E$5:E575)-1)</f>
        <v/>
      </c>
      <c r="H575" s="13" t="str">
        <f>IF(OR('实盘净值数据(iFinD）'!$A575="",'实盘净值数据(iFinD）'!$B575=""),"",分期持仓明细!$AB$19*SUMPRODUCT(分期持仓明细!$B$19:$Y$19,'实盘净值数据(iFinD）'!$B575:$Y575/'实盘净值数据(iFinD）'!$B$20:$Y$20)*(1-实盘持仓初始配置!$Z$6)^(('实盘净值数据(iFinD）'!$A575-'实盘净值数据(iFinD）'!$A$7)/365))</f>
        <v/>
      </c>
      <c r="I575" s="16" t="str">
        <f t="shared" si="56"/>
        <v/>
      </c>
      <c r="J575" s="16" t="str">
        <f>IF(H575="","",H575/MAX(H$5:H575)-1)</f>
        <v/>
      </c>
      <c r="K575" s="13" t="str">
        <f>IF(OR('实盘净值数据(iFinD）'!$A575="",'实盘净值数据(iFinD）'!$B575="",'实盘净值数据(iFinD）'!$Z575="",'实盘净值数据(iFinD）'!$AA575=""),"",分期持仓明细!$AB$23*(SUMPRODUCT(分期持仓明细!$B$23:$Y$23,'实盘净值数据(iFinD）'!$B575:$Y575/'实盘净值数据(iFinD）'!$B$65:$Y$65)+SUMPRODUCT(分期持仓明细!$AC$23:$AD$23,'实盘净值数据(iFinD）'!$Z575:$AA575/'实盘净值数据(iFinD）'!$Z$65:$AA$65))*(1-实盘持仓初始配置!$Z$7)^(('实盘净值数据(iFinD）'!$A575-'实盘净值数据(iFinD）'!$A$8)/365))</f>
        <v/>
      </c>
      <c r="L575" s="16" t="str">
        <f t="shared" si="57"/>
        <v/>
      </c>
      <c r="M575" s="16" t="str">
        <f>IF(K575="","",K575/MAX(K$5:K575)-1)</f>
        <v/>
      </c>
      <c r="N575" s="13" t="str">
        <f>IF(OR('实盘净值数据(iFinD）'!$A575="",'实盘净值数据(iFinD）'!$B575="",'实盘净值数据(iFinD）'!$Z575="",'实盘净值数据(iFinD）'!$AA575=""),"",分期持仓明细!$AB$24*(SUMPRODUCT(分期持仓明细!$B$24:$Y$24,'实盘净值数据(iFinD）'!$B575:$Y575/'实盘净值数据(iFinD）'!$B$65:$Y$65)+SUMPRODUCT(分期持仓明细!$AC$24:$AD$24,'实盘净值数据(iFinD）'!$Z575:$AA575/'实盘净值数据(iFinD）'!$Z$65:$AA$65))*(1-实盘持仓初始配置!$Z$8)^(('实盘净值数据(iFinD）'!$A575-'实盘净值数据(iFinD）'!$A$5)/365))</f>
        <v/>
      </c>
      <c r="O575" s="16" t="str">
        <f t="shared" si="58"/>
        <v/>
      </c>
      <c r="P575" s="16" t="str">
        <f>IF(N575="","",N575/MAX(N$5:N575)-1)</f>
        <v/>
      </c>
      <c r="Q575" s="13" t="str">
        <f>IF(OR('实盘净值数据(iFinD）'!$A575="",'实盘净值数据(iFinD）'!$B575="",'实盘净值数据(iFinD）'!$Z575="",'实盘净值数据(iFinD）'!$AA575=""),"",分期持仓明细!$AB$25*(SUMPRODUCT(分期持仓明细!$B$25:$Y$25,'实盘净值数据(iFinD）'!$B575:$Y575/'实盘净值数据(iFinD）'!$B$65:$Y$65)+SUMPRODUCT(分期持仓明细!$AC$25:$AD$25,'实盘净值数据(iFinD）'!$Z575:$AA575/'实盘净值数据(iFinD）'!$Z$65:$AA$65))*(1-实盘持仓初始配置!$Z$9)^(('实盘净值数据(iFinD）'!$A575-'实盘净值数据(iFinD）'!$A$8)/365))</f>
        <v/>
      </c>
      <c r="R575" s="16" t="str">
        <f t="shared" si="59"/>
        <v/>
      </c>
      <c r="S575" s="16" t="str">
        <f>IF(Q575="","",Q575/MAX(Q$5:Q575)-1)</f>
        <v/>
      </c>
      <c r="T575" s="13">
        <f>IF(OR('实盘净值数据(iFinD）'!$A575="",'实盘净值数据(iFinD）'!$B575="",'实盘净值数据(iFinD）'!$Z575="",'实盘净值数据(iFinD）'!$AA575="",'实盘净值数据(iFinD）'!$AB575="",'实盘净值数据(iFinD）'!$AL575=""),"",(SUMPRODUCT(分期持仓明细!$B$26:$Y$26,'实盘净值数据(iFinD）'!$B575:$Y575/'实盘净值数据(iFinD）'!$B$69:$Y$69)+SUMPRODUCT(分期持仓明细!$AC$26:$AD$26,'实盘净值数据(iFinD）'!$Z575:$AA575/'实盘净值数据(iFinD）'!$Z$69:$AA$69)+SUMPRODUCT(分期持仓明细!$AE$26:$AO$26,'实盘净值数据(iFinD）'!$AB575:$AL575/'实盘净值数据(iFinD）'!$AB$69:$AL$69))*(1-实盘持仓初始配置!$Z$10)^(('实盘净值数据(iFinD）'!$A575-'实盘净值数据(iFinD）'!$A$69)/365))</f>
        <v/>
      </c>
      <c r="U575" s="16">
        <f>IF(OR(T574="",T575=""),"",T575/T574-1)</f>
        <v/>
      </c>
      <c r="V575" s="16">
        <f>IF(T575="","",T575/MAX(T$5:T575)-1)</f>
        <v/>
      </c>
    </row>
    <row r="576" spans="1:19">
      <c r="A576" s="15" t="str">
        <f>IF('实盘净值数据(iFinD）'!A576="","",'实盘净值数据(iFinD）'!A576)</f>
        <v/>
      </c>
      <c r="B576" s="13" t="str">
        <f>IF(OR('实盘净值数据(iFinD）'!$A576="",'实盘净值数据(iFinD）'!$B576=""),"",分期持仓明细!$AB$17*SUMPRODUCT(分期持仓明细!$B$17:$Y$17,'实盘净值数据(iFinD）'!$B576:$Y576/'实盘净值数据(iFinD）'!$B$20:$Y$20)*(1-实盘持仓初始配置!$Z$4)^(('实盘净值数据(iFinD）'!$A576-'实盘净值数据(iFinD）'!$A$6)/365))</f>
        <v/>
      </c>
      <c r="C576" s="16" t="str">
        <f t="shared" si="54"/>
        <v/>
      </c>
      <c r="D576" s="16" t="str">
        <f>IF(B576="","",B576/MAX(B$5:B576)-1)</f>
        <v/>
      </c>
      <c r="E576" s="13" t="str">
        <f>IF(OR('实盘净值数据(iFinD）'!$A576="",'实盘净值数据(iFinD）'!$B576=""),"",分期持仓明细!$AB$18*SUMPRODUCT(分期持仓明细!$B$18:$Y$18,'实盘净值数据(iFinD）'!$B576:$Y576/'实盘净值数据(iFinD）'!$B$20:$Y$20)*(1-实盘持仓初始配置!$Z$5)^(('实盘净值数据(iFinD）'!$A576-'实盘净值数据(iFinD）'!$A$5)/365))</f>
        <v/>
      </c>
      <c r="F576" s="16" t="str">
        <f t="shared" si="55"/>
        <v/>
      </c>
      <c r="G576" s="16" t="str">
        <f>IF(E576="","",E576/MAX(E$5:E576)-1)</f>
        <v/>
      </c>
      <c r="H576" s="13" t="str">
        <f>IF(OR('实盘净值数据(iFinD）'!$A576="",'实盘净值数据(iFinD）'!$B576=""),"",分期持仓明细!$AB$19*SUMPRODUCT(分期持仓明细!$B$19:$Y$19,'实盘净值数据(iFinD）'!$B576:$Y576/'实盘净值数据(iFinD）'!$B$20:$Y$20)*(1-实盘持仓初始配置!$Z$6)^(('实盘净值数据(iFinD）'!$A576-'实盘净值数据(iFinD）'!$A$7)/365))</f>
        <v/>
      </c>
      <c r="I576" s="16" t="str">
        <f t="shared" si="56"/>
        <v/>
      </c>
      <c r="J576" s="16" t="str">
        <f>IF(H576="","",H576/MAX(H$5:H576)-1)</f>
        <v/>
      </c>
      <c r="K576" s="13" t="str">
        <f>IF(OR('实盘净值数据(iFinD）'!$A576="",'实盘净值数据(iFinD）'!$B576="",'实盘净值数据(iFinD）'!$Z576="",'实盘净值数据(iFinD）'!$AA576=""),"",分期持仓明细!$AB$23*(SUMPRODUCT(分期持仓明细!$B$23:$Y$23,'实盘净值数据(iFinD）'!$B576:$Y576/'实盘净值数据(iFinD）'!$B$65:$Y$65)+SUMPRODUCT(分期持仓明细!$AC$23:$AD$23,'实盘净值数据(iFinD）'!$Z576:$AA576/'实盘净值数据(iFinD）'!$Z$65:$AA$65))*(1-实盘持仓初始配置!$Z$7)^(('实盘净值数据(iFinD）'!$A576-'实盘净值数据(iFinD）'!$A$8)/365))</f>
        <v/>
      </c>
      <c r="L576" s="16" t="str">
        <f t="shared" si="57"/>
        <v/>
      </c>
      <c r="M576" s="16" t="str">
        <f>IF(K576="","",K576/MAX(K$5:K576)-1)</f>
        <v/>
      </c>
      <c r="N576" s="13" t="str">
        <f>IF(OR('实盘净值数据(iFinD）'!$A576="",'实盘净值数据(iFinD）'!$B576="",'实盘净值数据(iFinD）'!$Z576="",'实盘净值数据(iFinD）'!$AA576=""),"",分期持仓明细!$AB$24*(SUMPRODUCT(分期持仓明细!$B$24:$Y$24,'实盘净值数据(iFinD）'!$B576:$Y576/'实盘净值数据(iFinD）'!$B$65:$Y$65)+SUMPRODUCT(分期持仓明细!$AC$24:$AD$24,'实盘净值数据(iFinD）'!$Z576:$AA576/'实盘净值数据(iFinD）'!$Z$65:$AA$65))*(1-实盘持仓初始配置!$Z$8)^(('实盘净值数据(iFinD）'!$A576-'实盘净值数据(iFinD）'!$A$5)/365))</f>
        <v/>
      </c>
      <c r="O576" s="16" t="str">
        <f t="shared" si="58"/>
        <v/>
      </c>
      <c r="P576" s="16" t="str">
        <f>IF(N576="","",N576/MAX(N$5:N576)-1)</f>
        <v/>
      </c>
      <c r="Q576" s="13" t="str">
        <f>IF(OR('实盘净值数据(iFinD）'!$A576="",'实盘净值数据(iFinD）'!$B576="",'实盘净值数据(iFinD）'!$Z576="",'实盘净值数据(iFinD）'!$AA576=""),"",分期持仓明细!$AB$25*(SUMPRODUCT(分期持仓明细!$B$25:$Y$25,'实盘净值数据(iFinD）'!$B576:$Y576/'实盘净值数据(iFinD）'!$B$65:$Y$65)+SUMPRODUCT(分期持仓明细!$AC$25:$AD$25,'实盘净值数据(iFinD）'!$Z576:$AA576/'实盘净值数据(iFinD）'!$Z$65:$AA$65))*(1-实盘持仓初始配置!$Z$9)^(('实盘净值数据(iFinD）'!$A576-'实盘净值数据(iFinD）'!$A$8)/365))</f>
        <v/>
      </c>
      <c r="R576" s="16" t="str">
        <f t="shared" si="59"/>
        <v/>
      </c>
      <c r="S576" s="16" t="str">
        <f>IF(Q576="","",Q576/MAX(Q$5:Q576)-1)</f>
        <v/>
      </c>
      <c r="T576" s="13">
        <f>IF(OR('实盘净值数据(iFinD）'!$A576="",'实盘净值数据(iFinD）'!$B576="",'实盘净值数据(iFinD）'!$Z576="",'实盘净值数据(iFinD）'!$AA576="",'实盘净值数据(iFinD）'!$AB576="",'实盘净值数据(iFinD）'!$AL576=""),"",(SUMPRODUCT(分期持仓明细!$B$26:$Y$26,'实盘净值数据(iFinD）'!$B576:$Y576/'实盘净值数据(iFinD）'!$B$69:$Y$69)+SUMPRODUCT(分期持仓明细!$AC$26:$AD$26,'实盘净值数据(iFinD）'!$Z576:$AA576/'实盘净值数据(iFinD）'!$Z$69:$AA$69)+SUMPRODUCT(分期持仓明细!$AE$26:$AO$26,'实盘净值数据(iFinD）'!$AB576:$AL576/'实盘净值数据(iFinD）'!$AB$69:$AL$69))*(1-实盘持仓初始配置!$Z$10)^(('实盘净值数据(iFinD）'!$A576-'实盘净值数据(iFinD）'!$A$69)/365))</f>
        <v/>
      </c>
      <c r="U576" s="16">
        <f>IF(OR(T575="",T576=""),"",T576/T575-1)</f>
        <v/>
      </c>
      <c r="V576" s="16">
        <f>IF(T576="","",T576/MAX(T$5:T576)-1)</f>
        <v/>
      </c>
    </row>
    <row r="577" spans="1:19">
      <c r="A577" s="15" t="str">
        <f>IF('实盘净值数据(iFinD）'!A577="","",'实盘净值数据(iFinD）'!A577)</f>
        <v/>
      </c>
      <c r="B577" s="13" t="str">
        <f>IF(OR('实盘净值数据(iFinD）'!$A577="",'实盘净值数据(iFinD）'!$B577=""),"",分期持仓明细!$AB$17*SUMPRODUCT(分期持仓明细!$B$17:$Y$17,'实盘净值数据(iFinD）'!$B577:$Y577/'实盘净值数据(iFinD）'!$B$20:$Y$20)*(1-实盘持仓初始配置!$Z$4)^(('实盘净值数据(iFinD）'!$A577-'实盘净值数据(iFinD）'!$A$6)/365))</f>
        <v/>
      </c>
      <c r="C577" s="16" t="str">
        <f t="shared" si="54"/>
        <v/>
      </c>
      <c r="D577" s="16" t="str">
        <f>IF(B577="","",B577/MAX(B$5:B577)-1)</f>
        <v/>
      </c>
      <c r="E577" s="13" t="str">
        <f>IF(OR('实盘净值数据(iFinD）'!$A577="",'实盘净值数据(iFinD）'!$B577=""),"",分期持仓明细!$AB$18*SUMPRODUCT(分期持仓明细!$B$18:$Y$18,'实盘净值数据(iFinD）'!$B577:$Y577/'实盘净值数据(iFinD）'!$B$20:$Y$20)*(1-实盘持仓初始配置!$Z$5)^(('实盘净值数据(iFinD）'!$A577-'实盘净值数据(iFinD）'!$A$5)/365))</f>
        <v/>
      </c>
      <c r="F577" s="16" t="str">
        <f t="shared" si="55"/>
        <v/>
      </c>
      <c r="G577" s="16" t="str">
        <f>IF(E577="","",E577/MAX(E$5:E577)-1)</f>
        <v/>
      </c>
      <c r="H577" s="13" t="str">
        <f>IF(OR('实盘净值数据(iFinD）'!$A577="",'实盘净值数据(iFinD）'!$B577=""),"",分期持仓明细!$AB$19*SUMPRODUCT(分期持仓明细!$B$19:$Y$19,'实盘净值数据(iFinD）'!$B577:$Y577/'实盘净值数据(iFinD）'!$B$20:$Y$20)*(1-实盘持仓初始配置!$Z$6)^(('实盘净值数据(iFinD）'!$A577-'实盘净值数据(iFinD）'!$A$7)/365))</f>
        <v/>
      </c>
      <c r="I577" s="16" t="str">
        <f t="shared" si="56"/>
        <v/>
      </c>
      <c r="J577" s="16" t="str">
        <f>IF(H577="","",H577/MAX(H$5:H577)-1)</f>
        <v/>
      </c>
      <c r="K577" s="13" t="str">
        <f>IF(OR('实盘净值数据(iFinD）'!$A577="",'实盘净值数据(iFinD）'!$B577="",'实盘净值数据(iFinD）'!$Z577="",'实盘净值数据(iFinD）'!$AA577=""),"",分期持仓明细!$AB$23*(SUMPRODUCT(分期持仓明细!$B$23:$Y$23,'实盘净值数据(iFinD）'!$B577:$Y577/'实盘净值数据(iFinD）'!$B$65:$Y$65)+SUMPRODUCT(分期持仓明细!$AC$23:$AD$23,'实盘净值数据(iFinD）'!$Z577:$AA577/'实盘净值数据(iFinD）'!$Z$65:$AA$65))*(1-实盘持仓初始配置!$Z$7)^(('实盘净值数据(iFinD）'!$A577-'实盘净值数据(iFinD）'!$A$8)/365))</f>
        <v/>
      </c>
      <c r="L577" s="16" t="str">
        <f t="shared" si="57"/>
        <v/>
      </c>
      <c r="M577" s="16" t="str">
        <f>IF(K577="","",K577/MAX(K$5:K577)-1)</f>
        <v/>
      </c>
      <c r="N577" s="13" t="str">
        <f>IF(OR('实盘净值数据(iFinD）'!$A577="",'实盘净值数据(iFinD）'!$B577="",'实盘净值数据(iFinD）'!$Z577="",'实盘净值数据(iFinD）'!$AA577=""),"",分期持仓明细!$AB$24*(SUMPRODUCT(分期持仓明细!$B$24:$Y$24,'实盘净值数据(iFinD）'!$B577:$Y577/'实盘净值数据(iFinD）'!$B$65:$Y$65)+SUMPRODUCT(分期持仓明细!$AC$24:$AD$24,'实盘净值数据(iFinD）'!$Z577:$AA577/'实盘净值数据(iFinD）'!$Z$65:$AA$65))*(1-实盘持仓初始配置!$Z$8)^(('实盘净值数据(iFinD）'!$A577-'实盘净值数据(iFinD）'!$A$5)/365))</f>
        <v/>
      </c>
      <c r="O577" s="16" t="str">
        <f t="shared" si="58"/>
        <v/>
      </c>
      <c r="P577" s="16" t="str">
        <f>IF(N577="","",N577/MAX(N$5:N577)-1)</f>
        <v/>
      </c>
      <c r="Q577" s="13" t="str">
        <f>IF(OR('实盘净值数据(iFinD）'!$A577="",'实盘净值数据(iFinD）'!$B577="",'实盘净值数据(iFinD）'!$Z577="",'实盘净值数据(iFinD）'!$AA577=""),"",分期持仓明细!$AB$25*(SUMPRODUCT(分期持仓明细!$B$25:$Y$25,'实盘净值数据(iFinD）'!$B577:$Y577/'实盘净值数据(iFinD）'!$B$65:$Y$65)+SUMPRODUCT(分期持仓明细!$AC$25:$AD$25,'实盘净值数据(iFinD）'!$Z577:$AA577/'实盘净值数据(iFinD）'!$Z$65:$AA$65))*(1-实盘持仓初始配置!$Z$9)^(('实盘净值数据(iFinD）'!$A577-'实盘净值数据(iFinD）'!$A$8)/365))</f>
        <v/>
      </c>
      <c r="R577" s="16" t="str">
        <f t="shared" si="59"/>
        <v/>
      </c>
      <c r="S577" s="16" t="str">
        <f>IF(Q577="","",Q577/MAX(Q$5:Q577)-1)</f>
        <v/>
      </c>
      <c r="T577" s="13">
        <f>IF(OR('实盘净值数据(iFinD）'!$A577="",'实盘净值数据(iFinD）'!$B577="",'实盘净值数据(iFinD）'!$Z577="",'实盘净值数据(iFinD）'!$AA577="",'实盘净值数据(iFinD）'!$AB577="",'实盘净值数据(iFinD）'!$AL577=""),"",(SUMPRODUCT(分期持仓明细!$B$26:$Y$26,'实盘净值数据(iFinD）'!$B577:$Y577/'实盘净值数据(iFinD）'!$B$69:$Y$69)+SUMPRODUCT(分期持仓明细!$AC$26:$AD$26,'实盘净值数据(iFinD）'!$Z577:$AA577/'实盘净值数据(iFinD）'!$Z$69:$AA$69)+SUMPRODUCT(分期持仓明细!$AE$26:$AO$26,'实盘净值数据(iFinD）'!$AB577:$AL577/'实盘净值数据(iFinD）'!$AB$69:$AL$69))*(1-实盘持仓初始配置!$Z$10)^(('实盘净值数据(iFinD）'!$A577-'实盘净值数据(iFinD）'!$A$69)/365))</f>
        <v/>
      </c>
      <c r="U577" s="16">
        <f>IF(OR(T576="",T577=""),"",T577/T576-1)</f>
        <v/>
      </c>
      <c r="V577" s="16">
        <f>IF(T577="","",T577/MAX(T$5:T577)-1)</f>
        <v/>
      </c>
    </row>
    <row r="578" spans="1:19">
      <c r="A578" s="15" t="str">
        <f>IF('实盘净值数据(iFinD）'!A578="","",'实盘净值数据(iFinD）'!A578)</f>
        <v/>
      </c>
      <c r="B578" s="13" t="str">
        <f>IF(OR('实盘净值数据(iFinD）'!$A578="",'实盘净值数据(iFinD）'!$B578=""),"",分期持仓明细!$AB$17*SUMPRODUCT(分期持仓明细!$B$17:$Y$17,'实盘净值数据(iFinD）'!$B578:$Y578/'实盘净值数据(iFinD）'!$B$20:$Y$20)*(1-实盘持仓初始配置!$Z$4)^(('实盘净值数据(iFinD）'!$A578-'实盘净值数据(iFinD）'!$A$6)/365))</f>
        <v/>
      </c>
      <c r="C578" s="16" t="str">
        <f t="shared" si="54"/>
        <v/>
      </c>
      <c r="D578" s="16" t="str">
        <f>IF(B578="","",B578/MAX(B$5:B578)-1)</f>
        <v/>
      </c>
      <c r="E578" s="13" t="str">
        <f>IF(OR('实盘净值数据(iFinD）'!$A578="",'实盘净值数据(iFinD）'!$B578=""),"",分期持仓明细!$AB$18*SUMPRODUCT(分期持仓明细!$B$18:$Y$18,'实盘净值数据(iFinD）'!$B578:$Y578/'实盘净值数据(iFinD）'!$B$20:$Y$20)*(1-实盘持仓初始配置!$Z$5)^(('实盘净值数据(iFinD）'!$A578-'实盘净值数据(iFinD）'!$A$5)/365))</f>
        <v/>
      </c>
      <c r="F578" s="16" t="str">
        <f t="shared" si="55"/>
        <v/>
      </c>
      <c r="G578" s="16" t="str">
        <f>IF(E578="","",E578/MAX(E$5:E578)-1)</f>
        <v/>
      </c>
      <c r="H578" s="13" t="str">
        <f>IF(OR('实盘净值数据(iFinD）'!$A578="",'实盘净值数据(iFinD）'!$B578=""),"",分期持仓明细!$AB$19*SUMPRODUCT(分期持仓明细!$B$19:$Y$19,'实盘净值数据(iFinD）'!$B578:$Y578/'实盘净值数据(iFinD）'!$B$20:$Y$20)*(1-实盘持仓初始配置!$Z$6)^(('实盘净值数据(iFinD）'!$A578-'实盘净值数据(iFinD）'!$A$7)/365))</f>
        <v/>
      </c>
      <c r="I578" s="16" t="str">
        <f t="shared" si="56"/>
        <v/>
      </c>
      <c r="J578" s="16" t="str">
        <f>IF(H578="","",H578/MAX(H$5:H578)-1)</f>
        <v/>
      </c>
      <c r="K578" s="13" t="str">
        <f>IF(OR('实盘净值数据(iFinD）'!$A578="",'实盘净值数据(iFinD）'!$B578="",'实盘净值数据(iFinD）'!$Z578="",'实盘净值数据(iFinD）'!$AA578=""),"",分期持仓明细!$AB$23*(SUMPRODUCT(分期持仓明细!$B$23:$Y$23,'实盘净值数据(iFinD）'!$B578:$Y578/'实盘净值数据(iFinD）'!$B$65:$Y$65)+SUMPRODUCT(分期持仓明细!$AC$23:$AD$23,'实盘净值数据(iFinD）'!$Z578:$AA578/'实盘净值数据(iFinD）'!$Z$65:$AA$65))*(1-实盘持仓初始配置!$Z$7)^(('实盘净值数据(iFinD）'!$A578-'实盘净值数据(iFinD）'!$A$8)/365))</f>
        <v/>
      </c>
      <c r="L578" s="16" t="str">
        <f t="shared" si="57"/>
        <v/>
      </c>
      <c r="M578" s="16" t="str">
        <f>IF(K578="","",K578/MAX(K$5:K578)-1)</f>
        <v/>
      </c>
      <c r="N578" s="13" t="str">
        <f>IF(OR('实盘净值数据(iFinD）'!$A578="",'实盘净值数据(iFinD）'!$B578="",'实盘净值数据(iFinD）'!$Z578="",'实盘净值数据(iFinD）'!$AA578=""),"",分期持仓明细!$AB$24*(SUMPRODUCT(分期持仓明细!$B$24:$Y$24,'实盘净值数据(iFinD）'!$B578:$Y578/'实盘净值数据(iFinD）'!$B$65:$Y$65)+SUMPRODUCT(分期持仓明细!$AC$24:$AD$24,'实盘净值数据(iFinD）'!$Z578:$AA578/'实盘净值数据(iFinD）'!$Z$65:$AA$65))*(1-实盘持仓初始配置!$Z$8)^(('实盘净值数据(iFinD）'!$A578-'实盘净值数据(iFinD）'!$A$5)/365))</f>
        <v/>
      </c>
      <c r="O578" s="16" t="str">
        <f t="shared" si="58"/>
        <v/>
      </c>
      <c r="P578" s="16" t="str">
        <f>IF(N578="","",N578/MAX(N$5:N578)-1)</f>
        <v/>
      </c>
      <c r="Q578" s="13" t="str">
        <f>IF(OR('实盘净值数据(iFinD）'!$A578="",'实盘净值数据(iFinD）'!$B578="",'实盘净值数据(iFinD）'!$Z578="",'实盘净值数据(iFinD）'!$AA578=""),"",分期持仓明细!$AB$25*(SUMPRODUCT(分期持仓明细!$B$25:$Y$25,'实盘净值数据(iFinD）'!$B578:$Y578/'实盘净值数据(iFinD）'!$B$65:$Y$65)+SUMPRODUCT(分期持仓明细!$AC$25:$AD$25,'实盘净值数据(iFinD）'!$Z578:$AA578/'实盘净值数据(iFinD）'!$Z$65:$AA$65))*(1-实盘持仓初始配置!$Z$9)^(('实盘净值数据(iFinD）'!$A578-'实盘净值数据(iFinD）'!$A$8)/365))</f>
        <v/>
      </c>
      <c r="R578" s="16" t="str">
        <f t="shared" si="59"/>
        <v/>
      </c>
      <c r="S578" s="16" t="str">
        <f>IF(Q578="","",Q578/MAX(Q$5:Q578)-1)</f>
        <v/>
      </c>
      <c r="T578" s="13">
        <f>IF(OR('实盘净值数据(iFinD）'!$A578="",'实盘净值数据(iFinD）'!$B578="",'实盘净值数据(iFinD）'!$Z578="",'实盘净值数据(iFinD）'!$AA578="",'实盘净值数据(iFinD）'!$AB578="",'实盘净值数据(iFinD）'!$AL578=""),"",(SUMPRODUCT(分期持仓明细!$B$26:$Y$26,'实盘净值数据(iFinD）'!$B578:$Y578/'实盘净值数据(iFinD）'!$B$69:$Y$69)+SUMPRODUCT(分期持仓明细!$AC$26:$AD$26,'实盘净值数据(iFinD）'!$Z578:$AA578/'实盘净值数据(iFinD）'!$Z$69:$AA$69)+SUMPRODUCT(分期持仓明细!$AE$26:$AO$26,'实盘净值数据(iFinD）'!$AB578:$AL578/'实盘净值数据(iFinD）'!$AB$69:$AL$69))*(1-实盘持仓初始配置!$Z$10)^(('实盘净值数据(iFinD）'!$A578-'实盘净值数据(iFinD）'!$A$69)/365))</f>
        <v/>
      </c>
      <c r="U578" s="16">
        <f>IF(OR(T577="",T578=""),"",T578/T577-1)</f>
        <v/>
      </c>
      <c r="V578" s="16">
        <f>IF(T578="","",T578/MAX(T$5:T578)-1)</f>
        <v/>
      </c>
    </row>
    <row r="579" spans="1:19">
      <c r="A579" s="15" t="str">
        <f>IF('实盘净值数据(iFinD）'!A579="","",'实盘净值数据(iFinD）'!A579)</f>
        <v/>
      </c>
      <c r="B579" s="13" t="str">
        <f>IF(OR('实盘净值数据(iFinD）'!$A579="",'实盘净值数据(iFinD）'!$B579=""),"",分期持仓明细!$AB$17*SUMPRODUCT(分期持仓明细!$B$17:$Y$17,'实盘净值数据(iFinD）'!$B579:$Y579/'实盘净值数据(iFinD）'!$B$20:$Y$20)*(1-实盘持仓初始配置!$Z$4)^(('实盘净值数据(iFinD）'!$A579-'实盘净值数据(iFinD）'!$A$6)/365))</f>
        <v/>
      </c>
      <c r="C579" s="16" t="str">
        <f t="shared" si="54"/>
        <v/>
      </c>
      <c r="D579" s="16" t="str">
        <f>IF(B579="","",B579/MAX(B$5:B579)-1)</f>
        <v/>
      </c>
      <c r="E579" s="13" t="str">
        <f>IF(OR('实盘净值数据(iFinD）'!$A579="",'实盘净值数据(iFinD）'!$B579=""),"",分期持仓明细!$AB$18*SUMPRODUCT(分期持仓明细!$B$18:$Y$18,'实盘净值数据(iFinD）'!$B579:$Y579/'实盘净值数据(iFinD）'!$B$20:$Y$20)*(1-实盘持仓初始配置!$Z$5)^(('实盘净值数据(iFinD）'!$A579-'实盘净值数据(iFinD）'!$A$5)/365))</f>
        <v/>
      </c>
      <c r="F579" s="16" t="str">
        <f t="shared" si="55"/>
        <v/>
      </c>
      <c r="G579" s="16" t="str">
        <f>IF(E579="","",E579/MAX(E$5:E579)-1)</f>
        <v/>
      </c>
      <c r="H579" s="13" t="str">
        <f>IF(OR('实盘净值数据(iFinD）'!$A579="",'实盘净值数据(iFinD）'!$B579=""),"",分期持仓明细!$AB$19*SUMPRODUCT(分期持仓明细!$B$19:$Y$19,'实盘净值数据(iFinD）'!$B579:$Y579/'实盘净值数据(iFinD）'!$B$20:$Y$20)*(1-实盘持仓初始配置!$Z$6)^(('实盘净值数据(iFinD）'!$A579-'实盘净值数据(iFinD）'!$A$7)/365))</f>
        <v/>
      </c>
      <c r="I579" s="16" t="str">
        <f t="shared" si="56"/>
        <v/>
      </c>
      <c r="J579" s="16" t="str">
        <f>IF(H579="","",H579/MAX(H$5:H579)-1)</f>
        <v/>
      </c>
      <c r="K579" s="13" t="str">
        <f>IF(OR('实盘净值数据(iFinD）'!$A579="",'实盘净值数据(iFinD）'!$B579="",'实盘净值数据(iFinD）'!$Z579="",'实盘净值数据(iFinD）'!$AA579=""),"",分期持仓明细!$AB$23*(SUMPRODUCT(分期持仓明细!$B$23:$Y$23,'实盘净值数据(iFinD）'!$B579:$Y579/'实盘净值数据(iFinD）'!$B$65:$Y$65)+SUMPRODUCT(分期持仓明细!$AC$23:$AD$23,'实盘净值数据(iFinD）'!$Z579:$AA579/'实盘净值数据(iFinD）'!$Z$65:$AA$65))*(1-实盘持仓初始配置!$Z$7)^(('实盘净值数据(iFinD）'!$A579-'实盘净值数据(iFinD）'!$A$8)/365))</f>
        <v/>
      </c>
      <c r="L579" s="16" t="str">
        <f t="shared" si="57"/>
        <v/>
      </c>
      <c r="M579" s="16" t="str">
        <f>IF(K579="","",K579/MAX(K$5:K579)-1)</f>
        <v/>
      </c>
      <c r="N579" s="13" t="str">
        <f>IF(OR('实盘净值数据(iFinD）'!$A579="",'实盘净值数据(iFinD）'!$B579="",'实盘净值数据(iFinD）'!$Z579="",'实盘净值数据(iFinD）'!$AA579=""),"",分期持仓明细!$AB$24*(SUMPRODUCT(分期持仓明细!$B$24:$Y$24,'实盘净值数据(iFinD）'!$B579:$Y579/'实盘净值数据(iFinD）'!$B$65:$Y$65)+SUMPRODUCT(分期持仓明细!$AC$24:$AD$24,'实盘净值数据(iFinD）'!$Z579:$AA579/'实盘净值数据(iFinD）'!$Z$65:$AA$65))*(1-实盘持仓初始配置!$Z$8)^(('实盘净值数据(iFinD）'!$A579-'实盘净值数据(iFinD）'!$A$5)/365))</f>
        <v/>
      </c>
      <c r="O579" s="16" t="str">
        <f t="shared" si="58"/>
        <v/>
      </c>
      <c r="P579" s="16" t="str">
        <f>IF(N579="","",N579/MAX(N$5:N579)-1)</f>
        <v/>
      </c>
      <c r="Q579" s="13" t="str">
        <f>IF(OR('实盘净值数据(iFinD）'!$A579="",'实盘净值数据(iFinD）'!$B579="",'实盘净值数据(iFinD）'!$Z579="",'实盘净值数据(iFinD）'!$AA579=""),"",分期持仓明细!$AB$25*(SUMPRODUCT(分期持仓明细!$B$25:$Y$25,'实盘净值数据(iFinD）'!$B579:$Y579/'实盘净值数据(iFinD）'!$B$65:$Y$65)+SUMPRODUCT(分期持仓明细!$AC$25:$AD$25,'实盘净值数据(iFinD）'!$Z579:$AA579/'实盘净值数据(iFinD）'!$Z$65:$AA$65))*(1-实盘持仓初始配置!$Z$9)^(('实盘净值数据(iFinD）'!$A579-'实盘净值数据(iFinD）'!$A$8)/365))</f>
        <v/>
      </c>
      <c r="R579" s="16" t="str">
        <f t="shared" si="59"/>
        <v/>
      </c>
      <c r="S579" s="16" t="str">
        <f>IF(Q579="","",Q579/MAX(Q$5:Q579)-1)</f>
        <v/>
      </c>
      <c r="T579" s="13">
        <f>IF(OR('实盘净值数据(iFinD）'!$A579="",'实盘净值数据(iFinD）'!$B579="",'实盘净值数据(iFinD）'!$Z579="",'实盘净值数据(iFinD）'!$AA579="",'实盘净值数据(iFinD）'!$AB579="",'实盘净值数据(iFinD）'!$AL579=""),"",(SUMPRODUCT(分期持仓明细!$B$26:$Y$26,'实盘净值数据(iFinD）'!$B579:$Y579/'实盘净值数据(iFinD）'!$B$69:$Y$69)+SUMPRODUCT(分期持仓明细!$AC$26:$AD$26,'实盘净值数据(iFinD）'!$Z579:$AA579/'实盘净值数据(iFinD）'!$Z$69:$AA$69)+SUMPRODUCT(分期持仓明细!$AE$26:$AO$26,'实盘净值数据(iFinD）'!$AB579:$AL579/'实盘净值数据(iFinD）'!$AB$69:$AL$69))*(1-实盘持仓初始配置!$Z$10)^(('实盘净值数据(iFinD）'!$A579-'实盘净值数据(iFinD）'!$A$69)/365))</f>
        <v/>
      </c>
      <c r="U579" s="16">
        <f>IF(OR(T578="",T579=""),"",T579/T578-1)</f>
        <v/>
      </c>
      <c r="V579" s="16">
        <f>IF(T579="","",T579/MAX(T$5:T579)-1)</f>
        <v/>
      </c>
    </row>
    <row r="580" spans="1:19">
      <c r="A580" s="15" t="str">
        <f>IF('实盘净值数据(iFinD）'!A580="","",'实盘净值数据(iFinD）'!A580)</f>
        <v/>
      </c>
      <c r="B580" s="13" t="str">
        <f>IF(OR('实盘净值数据(iFinD）'!$A580="",'实盘净值数据(iFinD）'!$B580=""),"",分期持仓明细!$AB$17*SUMPRODUCT(分期持仓明细!$B$17:$Y$17,'实盘净值数据(iFinD）'!$B580:$Y580/'实盘净值数据(iFinD）'!$B$20:$Y$20)*(1-实盘持仓初始配置!$Z$4)^(('实盘净值数据(iFinD）'!$A580-'实盘净值数据(iFinD）'!$A$6)/365))</f>
        <v/>
      </c>
      <c r="C580" s="16" t="str">
        <f t="shared" si="54"/>
        <v/>
      </c>
      <c r="D580" s="16" t="str">
        <f>IF(B580="","",B580/MAX(B$5:B580)-1)</f>
        <v/>
      </c>
      <c r="E580" s="13" t="str">
        <f>IF(OR('实盘净值数据(iFinD）'!$A580="",'实盘净值数据(iFinD）'!$B580=""),"",分期持仓明细!$AB$18*SUMPRODUCT(分期持仓明细!$B$18:$Y$18,'实盘净值数据(iFinD）'!$B580:$Y580/'实盘净值数据(iFinD）'!$B$20:$Y$20)*(1-实盘持仓初始配置!$Z$5)^(('实盘净值数据(iFinD）'!$A580-'实盘净值数据(iFinD）'!$A$5)/365))</f>
        <v/>
      </c>
      <c r="F580" s="16" t="str">
        <f t="shared" si="55"/>
        <v/>
      </c>
      <c r="G580" s="16" t="str">
        <f>IF(E580="","",E580/MAX(E$5:E580)-1)</f>
        <v/>
      </c>
      <c r="H580" s="13" t="str">
        <f>IF(OR('实盘净值数据(iFinD）'!$A580="",'实盘净值数据(iFinD）'!$B580=""),"",分期持仓明细!$AB$19*SUMPRODUCT(分期持仓明细!$B$19:$Y$19,'实盘净值数据(iFinD）'!$B580:$Y580/'实盘净值数据(iFinD）'!$B$20:$Y$20)*(1-实盘持仓初始配置!$Z$6)^(('实盘净值数据(iFinD）'!$A580-'实盘净值数据(iFinD）'!$A$7)/365))</f>
        <v/>
      </c>
      <c r="I580" s="16" t="str">
        <f t="shared" si="56"/>
        <v/>
      </c>
      <c r="J580" s="16" t="str">
        <f>IF(H580="","",H580/MAX(H$5:H580)-1)</f>
        <v/>
      </c>
      <c r="K580" s="13" t="str">
        <f>IF(OR('实盘净值数据(iFinD）'!$A580="",'实盘净值数据(iFinD）'!$B580="",'实盘净值数据(iFinD）'!$Z580="",'实盘净值数据(iFinD）'!$AA580=""),"",分期持仓明细!$AB$23*(SUMPRODUCT(分期持仓明细!$B$23:$Y$23,'实盘净值数据(iFinD）'!$B580:$Y580/'实盘净值数据(iFinD）'!$B$65:$Y$65)+SUMPRODUCT(分期持仓明细!$AC$23:$AD$23,'实盘净值数据(iFinD）'!$Z580:$AA580/'实盘净值数据(iFinD）'!$Z$65:$AA$65))*(1-实盘持仓初始配置!$Z$7)^(('实盘净值数据(iFinD）'!$A580-'实盘净值数据(iFinD）'!$A$8)/365))</f>
        <v/>
      </c>
      <c r="L580" s="16" t="str">
        <f t="shared" si="57"/>
        <v/>
      </c>
      <c r="M580" s="16" t="str">
        <f>IF(K580="","",K580/MAX(K$5:K580)-1)</f>
        <v/>
      </c>
      <c r="N580" s="13" t="str">
        <f>IF(OR('实盘净值数据(iFinD）'!$A580="",'实盘净值数据(iFinD）'!$B580="",'实盘净值数据(iFinD）'!$Z580="",'实盘净值数据(iFinD）'!$AA580=""),"",分期持仓明细!$AB$24*(SUMPRODUCT(分期持仓明细!$B$24:$Y$24,'实盘净值数据(iFinD）'!$B580:$Y580/'实盘净值数据(iFinD）'!$B$65:$Y$65)+SUMPRODUCT(分期持仓明细!$AC$24:$AD$24,'实盘净值数据(iFinD）'!$Z580:$AA580/'实盘净值数据(iFinD）'!$Z$65:$AA$65))*(1-实盘持仓初始配置!$Z$8)^(('实盘净值数据(iFinD）'!$A580-'实盘净值数据(iFinD）'!$A$5)/365))</f>
        <v/>
      </c>
      <c r="O580" s="16" t="str">
        <f t="shared" si="58"/>
        <v/>
      </c>
      <c r="P580" s="16" t="str">
        <f>IF(N580="","",N580/MAX(N$5:N580)-1)</f>
        <v/>
      </c>
      <c r="Q580" s="13" t="str">
        <f>IF(OR('实盘净值数据(iFinD）'!$A580="",'实盘净值数据(iFinD）'!$B580="",'实盘净值数据(iFinD）'!$Z580="",'实盘净值数据(iFinD）'!$AA580=""),"",分期持仓明细!$AB$25*(SUMPRODUCT(分期持仓明细!$B$25:$Y$25,'实盘净值数据(iFinD）'!$B580:$Y580/'实盘净值数据(iFinD）'!$B$65:$Y$65)+SUMPRODUCT(分期持仓明细!$AC$25:$AD$25,'实盘净值数据(iFinD）'!$Z580:$AA580/'实盘净值数据(iFinD）'!$Z$65:$AA$65))*(1-实盘持仓初始配置!$Z$9)^(('实盘净值数据(iFinD）'!$A580-'实盘净值数据(iFinD）'!$A$8)/365))</f>
        <v/>
      </c>
      <c r="R580" s="16" t="str">
        <f t="shared" si="59"/>
        <v/>
      </c>
      <c r="S580" s="16" t="str">
        <f>IF(Q580="","",Q580/MAX(Q$5:Q580)-1)</f>
        <v/>
      </c>
      <c r="T580" s="13">
        <f>IF(OR('实盘净值数据(iFinD）'!$A580="",'实盘净值数据(iFinD）'!$B580="",'实盘净值数据(iFinD）'!$Z580="",'实盘净值数据(iFinD）'!$AA580="",'实盘净值数据(iFinD）'!$AB580="",'实盘净值数据(iFinD）'!$AL580=""),"",(SUMPRODUCT(分期持仓明细!$B$26:$Y$26,'实盘净值数据(iFinD）'!$B580:$Y580/'实盘净值数据(iFinD）'!$B$69:$Y$69)+SUMPRODUCT(分期持仓明细!$AC$26:$AD$26,'实盘净值数据(iFinD）'!$Z580:$AA580/'实盘净值数据(iFinD）'!$Z$69:$AA$69)+SUMPRODUCT(分期持仓明细!$AE$26:$AO$26,'实盘净值数据(iFinD）'!$AB580:$AL580/'实盘净值数据(iFinD）'!$AB$69:$AL$69))*(1-实盘持仓初始配置!$Z$10)^(('实盘净值数据(iFinD）'!$A580-'实盘净值数据(iFinD）'!$A$69)/365))</f>
        <v/>
      </c>
      <c r="U580" s="16">
        <f>IF(OR(T579="",T580=""),"",T580/T579-1)</f>
        <v/>
      </c>
      <c r="V580" s="16">
        <f>IF(T580="","",T580/MAX(T$5:T580)-1)</f>
        <v/>
      </c>
    </row>
    <row r="581" spans="1:19">
      <c r="A581" s="15" t="str">
        <f>IF('实盘净值数据(iFinD）'!A581="","",'实盘净值数据(iFinD）'!A581)</f>
        <v/>
      </c>
      <c r="B581" s="13" t="str">
        <f>IF(OR('实盘净值数据(iFinD）'!$A581="",'实盘净值数据(iFinD）'!$B581=""),"",分期持仓明细!$AB$17*SUMPRODUCT(分期持仓明细!$B$17:$Y$17,'实盘净值数据(iFinD）'!$B581:$Y581/'实盘净值数据(iFinD）'!$B$20:$Y$20)*(1-实盘持仓初始配置!$Z$4)^(('实盘净值数据(iFinD）'!$A581-'实盘净值数据(iFinD）'!$A$6)/365))</f>
        <v/>
      </c>
      <c r="C581" s="16" t="str">
        <f t="shared" si="54"/>
        <v/>
      </c>
      <c r="D581" s="16" t="str">
        <f>IF(B581="","",B581/MAX(B$5:B581)-1)</f>
        <v/>
      </c>
      <c r="E581" s="13" t="str">
        <f>IF(OR('实盘净值数据(iFinD）'!$A581="",'实盘净值数据(iFinD）'!$B581=""),"",分期持仓明细!$AB$18*SUMPRODUCT(分期持仓明细!$B$18:$Y$18,'实盘净值数据(iFinD）'!$B581:$Y581/'实盘净值数据(iFinD）'!$B$20:$Y$20)*(1-实盘持仓初始配置!$Z$5)^(('实盘净值数据(iFinD）'!$A581-'实盘净值数据(iFinD）'!$A$5)/365))</f>
        <v/>
      </c>
      <c r="F581" s="16" t="str">
        <f t="shared" si="55"/>
        <v/>
      </c>
      <c r="G581" s="16" t="str">
        <f>IF(E581="","",E581/MAX(E$5:E581)-1)</f>
        <v/>
      </c>
      <c r="H581" s="13" t="str">
        <f>IF(OR('实盘净值数据(iFinD）'!$A581="",'实盘净值数据(iFinD）'!$B581=""),"",分期持仓明细!$AB$19*SUMPRODUCT(分期持仓明细!$B$19:$Y$19,'实盘净值数据(iFinD）'!$B581:$Y581/'实盘净值数据(iFinD）'!$B$20:$Y$20)*(1-实盘持仓初始配置!$Z$6)^(('实盘净值数据(iFinD）'!$A581-'实盘净值数据(iFinD）'!$A$7)/365))</f>
        <v/>
      </c>
      <c r="I581" s="16" t="str">
        <f t="shared" si="56"/>
        <v/>
      </c>
      <c r="J581" s="16" t="str">
        <f>IF(H581="","",H581/MAX(H$5:H581)-1)</f>
        <v/>
      </c>
      <c r="K581" s="13" t="str">
        <f>IF(OR('实盘净值数据(iFinD）'!$A581="",'实盘净值数据(iFinD）'!$B581="",'实盘净值数据(iFinD）'!$Z581="",'实盘净值数据(iFinD）'!$AA581=""),"",分期持仓明细!$AB$23*(SUMPRODUCT(分期持仓明细!$B$23:$Y$23,'实盘净值数据(iFinD）'!$B581:$Y581/'实盘净值数据(iFinD）'!$B$65:$Y$65)+SUMPRODUCT(分期持仓明细!$AC$23:$AD$23,'实盘净值数据(iFinD）'!$Z581:$AA581/'实盘净值数据(iFinD）'!$Z$65:$AA$65))*(1-实盘持仓初始配置!$Z$7)^(('实盘净值数据(iFinD）'!$A581-'实盘净值数据(iFinD）'!$A$8)/365))</f>
        <v/>
      </c>
      <c r="L581" s="16" t="str">
        <f t="shared" si="57"/>
        <v/>
      </c>
      <c r="M581" s="16" t="str">
        <f>IF(K581="","",K581/MAX(K$5:K581)-1)</f>
        <v/>
      </c>
      <c r="N581" s="13" t="str">
        <f>IF(OR('实盘净值数据(iFinD）'!$A581="",'实盘净值数据(iFinD）'!$B581="",'实盘净值数据(iFinD）'!$Z581="",'实盘净值数据(iFinD）'!$AA581=""),"",分期持仓明细!$AB$24*(SUMPRODUCT(分期持仓明细!$B$24:$Y$24,'实盘净值数据(iFinD）'!$B581:$Y581/'实盘净值数据(iFinD）'!$B$65:$Y$65)+SUMPRODUCT(分期持仓明细!$AC$24:$AD$24,'实盘净值数据(iFinD）'!$Z581:$AA581/'实盘净值数据(iFinD）'!$Z$65:$AA$65))*(1-实盘持仓初始配置!$Z$8)^(('实盘净值数据(iFinD）'!$A581-'实盘净值数据(iFinD）'!$A$5)/365))</f>
        <v/>
      </c>
      <c r="O581" s="16" t="str">
        <f t="shared" si="58"/>
        <v/>
      </c>
      <c r="P581" s="16" t="str">
        <f>IF(N581="","",N581/MAX(N$5:N581)-1)</f>
        <v/>
      </c>
      <c r="Q581" s="13" t="str">
        <f>IF(OR('实盘净值数据(iFinD）'!$A581="",'实盘净值数据(iFinD）'!$B581="",'实盘净值数据(iFinD）'!$Z581="",'实盘净值数据(iFinD）'!$AA581=""),"",分期持仓明细!$AB$25*(SUMPRODUCT(分期持仓明细!$B$25:$Y$25,'实盘净值数据(iFinD）'!$B581:$Y581/'实盘净值数据(iFinD）'!$B$65:$Y$65)+SUMPRODUCT(分期持仓明细!$AC$25:$AD$25,'实盘净值数据(iFinD）'!$Z581:$AA581/'实盘净值数据(iFinD）'!$Z$65:$AA$65))*(1-实盘持仓初始配置!$Z$9)^(('实盘净值数据(iFinD）'!$A581-'实盘净值数据(iFinD）'!$A$8)/365))</f>
        <v/>
      </c>
      <c r="R581" s="16" t="str">
        <f t="shared" si="59"/>
        <v/>
      </c>
      <c r="S581" s="16" t="str">
        <f>IF(Q581="","",Q581/MAX(Q$5:Q581)-1)</f>
        <v/>
      </c>
      <c r="T581" s="13">
        <f>IF(OR('实盘净值数据(iFinD）'!$A581="",'实盘净值数据(iFinD）'!$B581="",'实盘净值数据(iFinD）'!$Z581="",'实盘净值数据(iFinD）'!$AA581="",'实盘净值数据(iFinD）'!$AB581="",'实盘净值数据(iFinD）'!$AL581=""),"",(SUMPRODUCT(分期持仓明细!$B$26:$Y$26,'实盘净值数据(iFinD）'!$B581:$Y581/'实盘净值数据(iFinD）'!$B$69:$Y$69)+SUMPRODUCT(分期持仓明细!$AC$26:$AD$26,'实盘净值数据(iFinD）'!$Z581:$AA581/'实盘净值数据(iFinD）'!$Z$69:$AA$69)+SUMPRODUCT(分期持仓明细!$AE$26:$AO$26,'实盘净值数据(iFinD）'!$AB581:$AL581/'实盘净值数据(iFinD）'!$AB$69:$AL$69))*(1-实盘持仓初始配置!$Z$10)^(('实盘净值数据(iFinD）'!$A581-'实盘净值数据(iFinD）'!$A$69)/365))</f>
        <v/>
      </c>
      <c r="U581" s="16">
        <f>IF(OR(T580="",T581=""),"",T581/T580-1)</f>
        <v/>
      </c>
      <c r="V581" s="16">
        <f>IF(T581="","",T581/MAX(T$5:T581)-1)</f>
        <v/>
      </c>
    </row>
    <row r="582" spans="1:19">
      <c r="A582" s="15" t="str">
        <f>IF('实盘净值数据(iFinD）'!A582="","",'实盘净值数据(iFinD）'!A582)</f>
        <v/>
      </c>
      <c r="B582" s="13" t="str">
        <f>IF(OR('实盘净值数据(iFinD）'!$A582="",'实盘净值数据(iFinD）'!$B582=""),"",分期持仓明细!$AB$17*SUMPRODUCT(分期持仓明细!$B$17:$Y$17,'实盘净值数据(iFinD）'!$B582:$Y582/'实盘净值数据(iFinD）'!$B$20:$Y$20)*(1-实盘持仓初始配置!$Z$4)^(('实盘净值数据(iFinD）'!$A582-'实盘净值数据(iFinD）'!$A$6)/365))</f>
        <v/>
      </c>
      <c r="C582" s="16" t="str">
        <f t="shared" si="54"/>
        <v/>
      </c>
      <c r="D582" s="16" t="str">
        <f>IF(B582="","",B582/MAX(B$5:B582)-1)</f>
        <v/>
      </c>
      <c r="E582" s="13" t="str">
        <f>IF(OR('实盘净值数据(iFinD）'!$A582="",'实盘净值数据(iFinD）'!$B582=""),"",分期持仓明细!$AB$18*SUMPRODUCT(分期持仓明细!$B$18:$Y$18,'实盘净值数据(iFinD）'!$B582:$Y582/'实盘净值数据(iFinD）'!$B$20:$Y$20)*(1-实盘持仓初始配置!$Z$5)^(('实盘净值数据(iFinD）'!$A582-'实盘净值数据(iFinD）'!$A$5)/365))</f>
        <v/>
      </c>
      <c r="F582" s="16" t="str">
        <f t="shared" si="55"/>
        <v/>
      </c>
      <c r="G582" s="16" t="str">
        <f>IF(E582="","",E582/MAX(E$5:E582)-1)</f>
        <v/>
      </c>
      <c r="H582" s="13" t="str">
        <f>IF(OR('实盘净值数据(iFinD）'!$A582="",'实盘净值数据(iFinD）'!$B582=""),"",分期持仓明细!$AB$19*SUMPRODUCT(分期持仓明细!$B$19:$Y$19,'实盘净值数据(iFinD）'!$B582:$Y582/'实盘净值数据(iFinD）'!$B$20:$Y$20)*(1-实盘持仓初始配置!$Z$6)^(('实盘净值数据(iFinD）'!$A582-'实盘净值数据(iFinD）'!$A$7)/365))</f>
        <v/>
      </c>
      <c r="I582" s="16" t="str">
        <f t="shared" si="56"/>
        <v/>
      </c>
      <c r="J582" s="16" t="str">
        <f>IF(H582="","",H582/MAX(H$5:H582)-1)</f>
        <v/>
      </c>
      <c r="K582" s="13" t="str">
        <f>IF(OR('实盘净值数据(iFinD）'!$A582="",'实盘净值数据(iFinD）'!$B582="",'实盘净值数据(iFinD）'!$Z582="",'实盘净值数据(iFinD）'!$AA582=""),"",分期持仓明细!$AB$23*(SUMPRODUCT(分期持仓明细!$B$23:$Y$23,'实盘净值数据(iFinD）'!$B582:$Y582/'实盘净值数据(iFinD）'!$B$65:$Y$65)+SUMPRODUCT(分期持仓明细!$AC$23:$AD$23,'实盘净值数据(iFinD）'!$Z582:$AA582/'实盘净值数据(iFinD）'!$Z$65:$AA$65))*(1-实盘持仓初始配置!$Z$7)^(('实盘净值数据(iFinD）'!$A582-'实盘净值数据(iFinD）'!$A$8)/365))</f>
        <v/>
      </c>
      <c r="L582" s="16" t="str">
        <f t="shared" si="57"/>
        <v/>
      </c>
      <c r="M582" s="16" t="str">
        <f>IF(K582="","",K582/MAX(K$5:K582)-1)</f>
        <v/>
      </c>
      <c r="N582" s="13" t="str">
        <f>IF(OR('实盘净值数据(iFinD）'!$A582="",'实盘净值数据(iFinD）'!$B582="",'实盘净值数据(iFinD）'!$Z582="",'实盘净值数据(iFinD）'!$AA582=""),"",分期持仓明细!$AB$24*(SUMPRODUCT(分期持仓明细!$B$24:$Y$24,'实盘净值数据(iFinD）'!$B582:$Y582/'实盘净值数据(iFinD）'!$B$65:$Y$65)+SUMPRODUCT(分期持仓明细!$AC$24:$AD$24,'实盘净值数据(iFinD）'!$Z582:$AA582/'实盘净值数据(iFinD）'!$Z$65:$AA$65))*(1-实盘持仓初始配置!$Z$8)^(('实盘净值数据(iFinD）'!$A582-'实盘净值数据(iFinD）'!$A$5)/365))</f>
        <v/>
      </c>
      <c r="O582" s="16" t="str">
        <f t="shared" si="58"/>
        <v/>
      </c>
      <c r="P582" s="16" t="str">
        <f>IF(N582="","",N582/MAX(N$5:N582)-1)</f>
        <v/>
      </c>
      <c r="Q582" s="13" t="str">
        <f>IF(OR('实盘净值数据(iFinD）'!$A582="",'实盘净值数据(iFinD）'!$B582="",'实盘净值数据(iFinD）'!$Z582="",'实盘净值数据(iFinD）'!$AA582=""),"",分期持仓明细!$AB$25*(SUMPRODUCT(分期持仓明细!$B$25:$Y$25,'实盘净值数据(iFinD）'!$B582:$Y582/'实盘净值数据(iFinD）'!$B$65:$Y$65)+SUMPRODUCT(分期持仓明细!$AC$25:$AD$25,'实盘净值数据(iFinD）'!$Z582:$AA582/'实盘净值数据(iFinD）'!$Z$65:$AA$65))*(1-实盘持仓初始配置!$Z$9)^(('实盘净值数据(iFinD）'!$A582-'实盘净值数据(iFinD）'!$A$8)/365))</f>
        <v/>
      </c>
      <c r="R582" s="16" t="str">
        <f t="shared" si="59"/>
        <v/>
      </c>
      <c r="S582" s="16" t="str">
        <f>IF(Q582="","",Q582/MAX(Q$5:Q582)-1)</f>
        <v/>
      </c>
      <c r="T582" s="13">
        <f>IF(OR('实盘净值数据(iFinD）'!$A582="",'实盘净值数据(iFinD）'!$B582="",'实盘净值数据(iFinD）'!$Z582="",'实盘净值数据(iFinD）'!$AA582="",'实盘净值数据(iFinD）'!$AB582="",'实盘净值数据(iFinD）'!$AL582=""),"",(SUMPRODUCT(分期持仓明细!$B$26:$Y$26,'实盘净值数据(iFinD）'!$B582:$Y582/'实盘净值数据(iFinD）'!$B$69:$Y$69)+SUMPRODUCT(分期持仓明细!$AC$26:$AD$26,'实盘净值数据(iFinD）'!$Z582:$AA582/'实盘净值数据(iFinD）'!$Z$69:$AA$69)+SUMPRODUCT(分期持仓明细!$AE$26:$AO$26,'实盘净值数据(iFinD）'!$AB582:$AL582/'实盘净值数据(iFinD）'!$AB$69:$AL$69))*(1-实盘持仓初始配置!$Z$10)^(('实盘净值数据(iFinD）'!$A582-'实盘净值数据(iFinD）'!$A$69)/365))</f>
        <v/>
      </c>
      <c r="U582" s="16">
        <f>IF(OR(T581="",T582=""),"",T582/T581-1)</f>
        <v/>
      </c>
      <c r="V582" s="16">
        <f>IF(T582="","",T582/MAX(T$5:T582)-1)</f>
        <v/>
      </c>
    </row>
    <row r="583" spans="1:19">
      <c r="A583" s="15" t="str">
        <f>IF('实盘净值数据(iFinD）'!A583="","",'实盘净值数据(iFinD）'!A583)</f>
        <v/>
      </c>
      <c r="B583" s="13" t="str">
        <f>IF(OR('实盘净值数据(iFinD）'!$A583="",'实盘净值数据(iFinD）'!$B583=""),"",分期持仓明细!$AB$17*SUMPRODUCT(分期持仓明细!$B$17:$Y$17,'实盘净值数据(iFinD）'!$B583:$Y583/'实盘净值数据(iFinD）'!$B$20:$Y$20)*(1-实盘持仓初始配置!$Z$4)^(('实盘净值数据(iFinD）'!$A583-'实盘净值数据(iFinD）'!$A$6)/365))</f>
        <v/>
      </c>
      <c r="C583" s="16" t="str">
        <f t="shared" si="54"/>
        <v/>
      </c>
      <c r="D583" s="16" t="str">
        <f>IF(B583="","",B583/MAX(B$5:B583)-1)</f>
        <v/>
      </c>
      <c r="E583" s="13" t="str">
        <f>IF(OR('实盘净值数据(iFinD）'!$A583="",'实盘净值数据(iFinD）'!$B583=""),"",分期持仓明细!$AB$18*SUMPRODUCT(分期持仓明细!$B$18:$Y$18,'实盘净值数据(iFinD）'!$B583:$Y583/'实盘净值数据(iFinD）'!$B$20:$Y$20)*(1-实盘持仓初始配置!$Z$5)^(('实盘净值数据(iFinD）'!$A583-'实盘净值数据(iFinD）'!$A$5)/365))</f>
        <v/>
      </c>
      <c r="F583" s="16" t="str">
        <f t="shared" si="55"/>
        <v/>
      </c>
      <c r="G583" s="16" t="str">
        <f>IF(E583="","",E583/MAX(E$5:E583)-1)</f>
        <v/>
      </c>
      <c r="H583" s="13" t="str">
        <f>IF(OR('实盘净值数据(iFinD）'!$A583="",'实盘净值数据(iFinD）'!$B583=""),"",分期持仓明细!$AB$19*SUMPRODUCT(分期持仓明细!$B$19:$Y$19,'实盘净值数据(iFinD）'!$B583:$Y583/'实盘净值数据(iFinD）'!$B$20:$Y$20)*(1-实盘持仓初始配置!$Z$6)^(('实盘净值数据(iFinD）'!$A583-'实盘净值数据(iFinD）'!$A$7)/365))</f>
        <v/>
      </c>
      <c r="I583" s="16" t="str">
        <f t="shared" si="56"/>
        <v/>
      </c>
      <c r="J583" s="16" t="str">
        <f>IF(H583="","",H583/MAX(H$5:H583)-1)</f>
        <v/>
      </c>
      <c r="K583" s="13" t="str">
        <f>IF(OR('实盘净值数据(iFinD）'!$A583="",'实盘净值数据(iFinD）'!$B583="",'实盘净值数据(iFinD）'!$Z583="",'实盘净值数据(iFinD）'!$AA583=""),"",分期持仓明细!$AB$23*(SUMPRODUCT(分期持仓明细!$B$23:$Y$23,'实盘净值数据(iFinD）'!$B583:$Y583/'实盘净值数据(iFinD）'!$B$65:$Y$65)+SUMPRODUCT(分期持仓明细!$AC$23:$AD$23,'实盘净值数据(iFinD）'!$Z583:$AA583/'实盘净值数据(iFinD）'!$Z$65:$AA$65))*(1-实盘持仓初始配置!$Z$7)^(('实盘净值数据(iFinD）'!$A583-'实盘净值数据(iFinD）'!$A$8)/365))</f>
        <v/>
      </c>
      <c r="L583" s="16" t="str">
        <f t="shared" si="57"/>
        <v/>
      </c>
      <c r="M583" s="16" t="str">
        <f>IF(K583="","",K583/MAX(K$5:K583)-1)</f>
        <v/>
      </c>
      <c r="N583" s="13" t="str">
        <f>IF(OR('实盘净值数据(iFinD）'!$A583="",'实盘净值数据(iFinD）'!$B583="",'实盘净值数据(iFinD）'!$Z583="",'实盘净值数据(iFinD）'!$AA583=""),"",分期持仓明细!$AB$24*(SUMPRODUCT(分期持仓明细!$B$24:$Y$24,'实盘净值数据(iFinD）'!$B583:$Y583/'实盘净值数据(iFinD）'!$B$65:$Y$65)+SUMPRODUCT(分期持仓明细!$AC$24:$AD$24,'实盘净值数据(iFinD）'!$Z583:$AA583/'实盘净值数据(iFinD）'!$Z$65:$AA$65))*(1-实盘持仓初始配置!$Z$8)^(('实盘净值数据(iFinD）'!$A583-'实盘净值数据(iFinD）'!$A$5)/365))</f>
        <v/>
      </c>
      <c r="O583" s="16" t="str">
        <f t="shared" si="58"/>
        <v/>
      </c>
      <c r="P583" s="16" t="str">
        <f>IF(N583="","",N583/MAX(N$5:N583)-1)</f>
        <v/>
      </c>
      <c r="Q583" s="13" t="str">
        <f>IF(OR('实盘净值数据(iFinD）'!$A583="",'实盘净值数据(iFinD）'!$B583="",'实盘净值数据(iFinD）'!$Z583="",'实盘净值数据(iFinD）'!$AA583=""),"",分期持仓明细!$AB$25*(SUMPRODUCT(分期持仓明细!$B$25:$Y$25,'实盘净值数据(iFinD）'!$B583:$Y583/'实盘净值数据(iFinD）'!$B$65:$Y$65)+SUMPRODUCT(分期持仓明细!$AC$25:$AD$25,'实盘净值数据(iFinD）'!$Z583:$AA583/'实盘净值数据(iFinD）'!$Z$65:$AA$65))*(1-实盘持仓初始配置!$Z$9)^(('实盘净值数据(iFinD）'!$A583-'实盘净值数据(iFinD）'!$A$8)/365))</f>
        <v/>
      </c>
      <c r="R583" s="16" t="str">
        <f t="shared" si="59"/>
        <v/>
      </c>
      <c r="S583" s="16" t="str">
        <f>IF(Q583="","",Q583/MAX(Q$5:Q583)-1)</f>
        <v/>
      </c>
      <c r="T583" s="13">
        <f>IF(OR('实盘净值数据(iFinD）'!$A583="",'实盘净值数据(iFinD）'!$B583="",'实盘净值数据(iFinD）'!$Z583="",'实盘净值数据(iFinD）'!$AA583="",'实盘净值数据(iFinD）'!$AB583="",'实盘净值数据(iFinD）'!$AL583=""),"",(SUMPRODUCT(分期持仓明细!$B$26:$Y$26,'实盘净值数据(iFinD）'!$B583:$Y583/'实盘净值数据(iFinD）'!$B$69:$Y$69)+SUMPRODUCT(分期持仓明细!$AC$26:$AD$26,'实盘净值数据(iFinD）'!$Z583:$AA583/'实盘净值数据(iFinD）'!$Z$69:$AA$69)+SUMPRODUCT(分期持仓明细!$AE$26:$AO$26,'实盘净值数据(iFinD）'!$AB583:$AL583/'实盘净值数据(iFinD）'!$AB$69:$AL$69))*(1-实盘持仓初始配置!$Z$10)^(('实盘净值数据(iFinD）'!$A583-'实盘净值数据(iFinD）'!$A$69)/365))</f>
        <v/>
      </c>
      <c r="U583" s="16">
        <f>IF(OR(T582="",T583=""),"",T583/T582-1)</f>
        <v/>
      </c>
      <c r="V583" s="16">
        <f>IF(T583="","",T583/MAX(T$5:T583)-1)</f>
        <v/>
      </c>
    </row>
    <row r="584" spans="1:19">
      <c r="A584" s="15" t="str">
        <f>IF('实盘净值数据(iFinD）'!A584="","",'实盘净值数据(iFinD）'!A584)</f>
        <v/>
      </c>
      <c r="B584" s="13" t="str">
        <f>IF(OR('实盘净值数据(iFinD）'!$A584="",'实盘净值数据(iFinD）'!$B584=""),"",分期持仓明细!$AB$17*SUMPRODUCT(分期持仓明细!$B$17:$Y$17,'实盘净值数据(iFinD）'!$B584:$Y584/'实盘净值数据(iFinD）'!$B$20:$Y$20)*(1-实盘持仓初始配置!$Z$4)^(('实盘净值数据(iFinD）'!$A584-'实盘净值数据(iFinD）'!$A$6)/365))</f>
        <v/>
      </c>
      <c r="C584" s="16" t="str">
        <f t="shared" si="54"/>
        <v/>
      </c>
      <c r="D584" s="16" t="str">
        <f>IF(B584="","",B584/MAX(B$5:B584)-1)</f>
        <v/>
      </c>
      <c r="E584" s="13" t="str">
        <f>IF(OR('实盘净值数据(iFinD）'!$A584="",'实盘净值数据(iFinD）'!$B584=""),"",分期持仓明细!$AB$18*SUMPRODUCT(分期持仓明细!$B$18:$Y$18,'实盘净值数据(iFinD）'!$B584:$Y584/'实盘净值数据(iFinD）'!$B$20:$Y$20)*(1-实盘持仓初始配置!$Z$5)^(('实盘净值数据(iFinD）'!$A584-'实盘净值数据(iFinD）'!$A$5)/365))</f>
        <v/>
      </c>
      <c r="F584" s="16" t="str">
        <f t="shared" si="55"/>
        <v/>
      </c>
      <c r="G584" s="16" t="str">
        <f>IF(E584="","",E584/MAX(E$5:E584)-1)</f>
        <v/>
      </c>
      <c r="H584" s="13" t="str">
        <f>IF(OR('实盘净值数据(iFinD）'!$A584="",'实盘净值数据(iFinD）'!$B584=""),"",分期持仓明细!$AB$19*SUMPRODUCT(分期持仓明细!$B$19:$Y$19,'实盘净值数据(iFinD）'!$B584:$Y584/'实盘净值数据(iFinD）'!$B$20:$Y$20)*(1-实盘持仓初始配置!$Z$6)^(('实盘净值数据(iFinD）'!$A584-'实盘净值数据(iFinD）'!$A$7)/365))</f>
        <v/>
      </c>
      <c r="I584" s="16" t="str">
        <f t="shared" si="56"/>
        <v/>
      </c>
      <c r="J584" s="16" t="str">
        <f>IF(H584="","",H584/MAX(H$5:H584)-1)</f>
        <v/>
      </c>
      <c r="K584" s="13" t="str">
        <f>IF(OR('实盘净值数据(iFinD）'!$A584="",'实盘净值数据(iFinD）'!$B584="",'实盘净值数据(iFinD）'!$Z584="",'实盘净值数据(iFinD）'!$AA584=""),"",分期持仓明细!$AB$23*(SUMPRODUCT(分期持仓明细!$B$23:$Y$23,'实盘净值数据(iFinD）'!$B584:$Y584/'实盘净值数据(iFinD）'!$B$65:$Y$65)+SUMPRODUCT(分期持仓明细!$AC$23:$AD$23,'实盘净值数据(iFinD）'!$Z584:$AA584/'实盘净值数据(iFinD）'!$Z$65:$AA$65))*(1-实盘持仓初始配置!$Z$7)^(('实盘净值数据(iFinD）'!$A584-'实盘净值数据(iFinD）'!$A$8)/365))</f>
        <v/>
      </c>
      <c r="L584" s="16" t="str">
        <f t="shared" si="57"/>
        <v/>
      </c>
      <c r="M584" s="16" t="str">
        <f>IF(K584="","",K584/MAX(K$5:K584)-1)</f>
        <v/>
      </c>
      <c r="N584" s="13" t="str">
        <f>IF(OR('实盘净值数据(iFinD）'!$A584="",'实盘净值数据(iFinD）'!$B584="",'实盘净值数据(iFinD）'!$Z584="",'实盘净值数据(iFinD）'!$AA584=""),"",分期持仓明细!$AB$24*(SUMPRODUCT(分期持仓明细!$B$24:$Y$24,'实盘净值数据(iFinD）'!$B584:$Y584/'实盘净值数据(iFinD）'!$B$65:$Y$65)+SUMPRODUCT(分期持仓明细!$AC$24:$AD$24,'实盘净值数据(iFinD）'!$Z584:$AA584/'实盘净值数据(iFinD）'!$Z$65:$AA$65))*(1-实盘持仓初始配置!$Z$8)^(('实盘净值数据(iFinD）'!$A584-'实盘净值数据(iFinD）'!$A$5)/365))</f>
        <v/>
      </c>
      <c r="O584" s="16" t="str">
        <f t="shared" si="58"/>
        <v/>
      </c>
      <c r="P584" s="16" t="str">
        <f>IF(N584="","",N584/MAX(N$5:N584)-1)</f>
        <v/>
      </c>
      <c r="Q584" s="13" t="str">
        <f>IF(OR('实盘净值数据(iFinD）'!$A584="",'实盘净值数据(iFinD）'!$B584="",'实盘净值数据(iFinD）'!$Z584="",'实盘净值数据(iFinD）'!$AA584=""),"",分期持仓明细!$AB$25*(SUMPRODUCT(分期持仓明细!$B$25:$Y$25,'实盘净值数据(iFinD）'!$B584:$Y584/'实盘净值数据(iFinD）'!$B$65:$Y$65)+SUMPRODUCT(分期持仓明细!$AC$25:$AD$25,'实盘净值数据(iFinD）'!$Z584:$AA584/'实盘净值数据(iFinD）'!$Z$65:$AA$65))*(1-实盘持仓初始配置!$Z$9)^(('实盘净值数据(iFinD）'!$A584-'实盘净值数据(iFinD）'!$A$8)/365))</f>
        <v/>
      </c>
      <c r="R584" s="16" t="str">
        <f t="shared" si="59"/>
        <v/>
      </c>
      <c r="S584" s="16" t="str">
        <f>IF(Q584="","",Q584/MAX(Q$5:Q584)-1)</f>
        <v/>
      </c>
      <c r="T584" s="13">
        <f>IF(OR('实盘净值数据(iFinD）'!$A584="",'实盘净值数据(iFinD）'!$B584="",'实盘净值数据(iFinD）'!$Z584="",'实盘净值数据(iFinD）'!$AA584="",'实盘净值数据(iFinD）'!$AB584="",'实盘净值数据(iFinD）'!$AL584=""),"",(SUMPRODUCT(分期持仓明细!$B$26:$Y$26,'实盘净值数据(iFinD）'!$B584:$Y584/'实盘净值数据(iFinD）'!$B$69:$Y$69)+SUMPRODUCT(分期持仓明细!$AC$26:$AD$26,'实盘净值数据(iFinD）'!$Z584:$AA584/'实盘净值数据(iFinD）'!$Z$69:$AA$69)+SUMPRODUCT(分期持仓明细!$AE$26:$AO$26,'实盘净值数据(iFinD）'!$AB584:$AL584/'实盘净值数据(iFinD）'!$AB$69:$AL$69))*(1-实盘持仓初始配置!$Z$10)^(('实盘净值数据(iFinD）'!$A584-'实盘净值数据(iFinD）'!$A$69)/365))</f>
        <v/>
      </c>
      <c r="U584" s="16">
        <f>IF(OR(T583="",T584=""),"",T584/T583-1)</f>
        <v/>
      </c>
      <c r="V584" s="16">
        <f>IF(T584="","",T584/MAX(T$5:T584)-1)</f>
        <v/>
      </c>
    </row>
    <row r="585" spans="1:19">
      <c r="A585" s="15" t="str">
        <f>IF('实盘净值数据(iFinD）'!A585="","",'实盘净值数据(iFinD）'!A585)</f>
        <v/>
      </c>
      <c r="B585" s="13" t="str">
        <f>IF(OR('实盘净值数据(iFinD）'!$A585="",'实盘净值数据(iFinD）'!$B585=""),"",分期持仓明细!$AB$17*SUMPRODUCT(分期持仓明细!$B$17:$Y$17,'实盘净值数据(iFinD）'!$B585:$Y585/'实盘净值数据(iFinD）'!$B$20:$Y$20)*(1-实盘持仓初始配置!$Z$4)^(('实盘净值数据(iFinD）'!$A585-'实盘净值数据(iFinD）'!$A$6)/365))</f>
        <v/>
      </c>
      <c r="C585" s="16" t="str">
        <f t="shared" si="54"/>
        <v/>
      </c>
      <c r="D585" s="16" t="str">
        <f>IF(B585="","",B585/MAX(B$5:B585)-1)</f>
        <v/>
      </c>
      <c r="E585" s="13" t="str">
        <f>IF(OR('实盘净值数据(iFinD）'!$A585="",'实盘净值数据(iFinD）'!$B585=""),"",分期持仓明细!$AB$18*SUMPRODUCT(分期持仓明细!$B$18:$Y$18,'实盘净值数据(iFinD）'!$B585:$Y585/'实盘净值数据(iFinD）'!$B$20:$Y$20)*(1-实盘持仓初始配置!$Z$5)^(('实盘净值数据(iFinD）'!$A585-'实盘净值数据(iFinD）'!$A$5)/365))</f>
        <v/>
      </c>
      <c r="F585" s="16" t="str">
        <f t="shared" si="55"/>
        <v/>
      </c>
      <c r="G585" s="16" t="str">
        <f>IF(E585="","",E585/MAX(E$5:E585)-1)</f>
        <v/>
      </c>
      <c r="H585" s="13" t="str">
        <f>IF(OR('实盘净值数据(iFinD）'!$A585="",'实盘净值数据(iFinD）'!$B585=""),"",分期持仓明细!$AB$19*SUMPRODUCT(分期持仓明细!$B$19:$Y$19,'实盘净值数据(iFinD）'!$B585:$Y585/'实盘净值数据(iFinD）'!$B$20:$Y$20)*(1-实盘持仓初始配置!$Z$6)^(('实盘净值数据(iFinD）'!$A585-'实盘净值数据(iFinD）'!$A$7)/365))</f>
        <v/>
      </c>
      <c r="I585" s="16" t="str">
        <f t="shared" si="56"/>
        <v/>
      </c>
      <c r="J585" s="16" t="str">
        <f>IF(H585="","",H585/MAX(H$5:H585)-1)</f>
        <v/>
      </c>
      <c r="K585" s="13" t="str">
        <f>IF(OR('实盘净值数据(iFinD）'!$A585="",'实盘净值数据(iFinD）'!$B585="",'实盘净值数据(iFinD）'!$Z585="",'实盘净值数据(iFinD）'!$AA585=""),"",分期持仓明细!$AB$23*(SUMPRODUCT(分期持仓明细!$B$23:$Y$23,'实盘净值数据(iFinD）'!$B585:$Y585/'实盘净值数据(iFinD）'!$B$65:$Y$65)+SUMPRODUCT(分期持仓明细!$AC$23:$AD$23,'实盘净值数据(iFinD）'!$Z585:$AA585/'实盘净值数据(iFinD）'!$Z$65:$AA$65))*(1-实盘持仓初始配置!$Z$7)^(('实盘净值数据(iFinD）'!$A585-'实盘净值数据(iFinD）'!$A$8)/365))</f>
        <v/>
      </c>
      <c r="L585" s="16" t="str">
        <f t="shared" si="57"/>
        <v/>
      </c>
      <c r="M585" s="16" t="str">
        <f>IF(K585="","",K585/MAX(K$5:K585)-1)</f>
        <v/>
      </c>
      <c r="N585" s="13" t="str">
        <f>IF(OR('实盘净值数据(iFinD）'!$A585="",'实盘净值数据(iFinD）'!$B585="",'实盘净值数据(iFinD）'!$Z585="",'实盘净值数据(iFinD）'!$AA585=""),"",分期持仓明细!$AB$24*(SUMPRODUCT(分期持仓明细!$B$24:$Y$24,'实盘净值数据(iFinD）'!$B585:$Y585/'实盘净值数据(iFinD）'!$B$65:$Y$65)+SUMPRODUCT(分期持仓明细!$AC$24:$AD$24,'实盘净值数据(iFinD）'!$Z585:$AA585/'实盘净值数据(iFinD）'!$Z$65:$AA$65))*(1-实盘持仓初始配置!$Z$8)^(('实盘净值数据(iFinD）'!$A585-'实盘净值数据(iFinD）'!$A$5)/365))</f>
        <v/>
      </c>
      <c r="O585" s="16" t="str">
        <f t="shared" si="58"/>
        <v/>
      </c>
      <c r="P585" s="16" t="str">
        <f>IF(N585="","",N585/MAX(N$5:N585)-1)</f>
        <v/>
      </c>
      <c r="Q585" s="13" t="str">
        <f>IF(OR('实盘净值数据(iFinD）'!$A585="",'实盘净值数据(iFinD）'!$B585="",'实盘净值数据(iFinD）'!$Z585="",'实盘净值数据(iFinD）'!$AA585=""),"",分期持仓明细!$AB$25*(SUMPRODUCT(分期持仓明细!$B$25:$Y$25,'实盘净值数据(iFinD）'!$B585:$Y585/'实盘净值数据(iFinD）'!$B$65:$Y$65)+SUMPRODUCT(分期持仓明细!$AC$25:$AD$25,'实盘净值数据(iFinD）'!$Z585:$AA585/'实盘净值数据(iFinD）'!$Z$65:$AA$65))*(1-实盘持仓初始配置!$Z$9)^(('实盘净值数据(iFinD）'!$A585-'实盘净值数据(iFinD）'!$A$8)/365))</f>
        <v/>
      </c>
      <c r="R585" s="16" t="str">
        <f t="shared" si="59"/>
        <v/>
      </c>
      <c r="S585" s="16" t="str">
        <f>IF(Q585="","",Q585/MAX(Q$5:Q585)-1)</f>
        <v/>
      </c>
      <c r="T585" s="13">
        <f>IF(OR('实盘净值数据(iFinD）'!$A585="",'实盘净值数据(iFinD）'!$B585="",'实盘净值数据(iFinD）'!$Z585="",'实盘净值数据(iFinD）'!$AA585="",'实盘净值数据(iFinD）'!$AB585="",'实盘净值数据(iFinD）'!$AL585=""),"",(SUMPRODUCT(分期持仓明细!$B$26:$Y$26,'实盘净值数据(iFinD）'!$B585:$Y585/'实盘净值数据(iFinD）'!$B$69:$Y$69)+SUMPRODUCT(分期持仓明细!$AC$26:$AD$26,'实盘净值数据(iFinD）'!$Z585:$AA585/'实盘净值数据(iFinD）'!$Z$69:$AA$69)+SUMPRODUCT(分期持仓明细!$AE$26:$AO$26,'实盘净值数据(iFinD）'!$AB585:$AL585/'实盘净值数据(iFinD）'!$AB$69:$AL$69))*(1-实盘持仓初始配置!$Z$10)^(('实盘净值数据(iFinD）'!$A585-'实盘净值数据(iFinD）'!$A$69)/365))</f>
        <v/>
      </c>
      <c r="U585" s="16">
        <f>IF(OR(T584="",T585=""),"",T585/T584-1)</f>
        <v/>
      </c>
      <c r="V585" s="16">
        <f>IF(T585="","",T585/MAX(T$5:T585)-1)</f>
        <v/>
      </c>
    </row>
    <row r="586" spans="1:19">
      <c r="A586" s="15" t="str">
        <f>IF('实盘净值数据(iFinD）'!A586="","",'实盘净值数据(iFinD）'!A586)</f>
        <v/>
      </c>
      <c r="B586" s="13" t="str">
        <f>IF(OR('实盘净值数据(iFinD）'!$A586="",'实盘净值数据(iFinD）'!$B586=""),"",分期持仓明细!$AB$17*SUMPRODUCT(分期持仓明细!$B$17:$Y$17,'实盘净值数据(iFinD）'!$B586:$Y586/'实盘净值数据(iFinD）'!$B$20:$Y$20)*(1-实盘持仓初始配置!$Z$4)^(('实盘净值数据(iFinD）'!$A586-'实盘净值数据(iFinD）'!$A$6)/365))</f>
        <v/>
      </c>
      <c r="C586" s="16" t="str">
        <f t="shared" si="54"/>
        <v/>
      </c>
      <c r="D586" s="16" t="str">
        <f>IF(B586="","",B586/MAX(B$5:B586)-1)</f>
        <v/>
      </c>
      <c r="E586" s="13" t="str">
        <f>IF(OR('实盘净值数据(iFinD）'!$A586="",'实盘净值数据(iFinD）'!$B586=""),"",分期持仓明细!$AB$18*SUMPRODUCT(分期持仓明细!$B$18:$Y$18,'实盘净值数据(iFinD）'!$B586:$Y586/'实盘净值数据(iFinD）'!$B$20:$Y$20)*(1-实盘持仓初始配置!$Z$5)^(('实盘净值数据(iFinD）'!$A586-'实盘净值数据(iFinD）'!$A$5)/365))</f>
        <v/>
      </c>
      <c r="F586" s="16" t="str">
        <f t="shared" si="55"/>
        <v/>
      </c>
      <c r="G586" s="16" t="str">
        <f>IF(E586="","",E586/MAX(E$5:E586)-1)</f>
        <v/>
      </c>
      <c r="H586" s="13" t="str">
        <f>IF(OR('实盘净值数据(iFinD）'!$A586="",'实盘净值数据(iFinD）'!$B586=""),"",分期持仓明细!$AB$19*SUMPRODUCT(分期持仓明细!$B$19:$Y$19,'实盘净值数据(iFinD）'!$B586:$Y586/'实盘净值数据(iFinD）'!$B$20:$Y$20)*(1-实盘持仓初始配置!$Z$6)^(('实盘净值数据(iFinD）'!$A586-'实盘净值数据(iFinD）'!$A$7)/365))</f>
        <v/>
      </c>
      <c r="I586" s="16" t="str">
        <f t="shared" si="56"/>
        <v/>
      </c>
      <c r="J586" s="16" t="str">
        <f>IF(H586="","",H586/MAX(H$5:H586)-1)</f>
        <v/>
      </c>
      <c r="K586" s="13" t="str">
        <f>IF(OR('实盘净值数据(iFinD）'!$A586="",'实盘净值数据(iFinD）'!$B586="",'实盘净值数据(iFinD）'!$Z586="",'实盘净值数据(iFinD）'!$AA586=""),"",分期持仓明细!$AB$23*(SUMPRODUCT(分期持仓明细!$B$23:$Y$23,'实盘净值数据(iFinD）'!$B586:$Y586/'实盘净值数据(iFinD）'!$B$65:$Y$65)+SUMPRODUCT(分期持仓明细!$AC$23:$AD$23,'实盘净值数据(iFinD）'!$Z586:$AA586/'实盘净值数据(iFinD）'!$Z$65:$AA$65))*(1-实盘持仓初始配置!$Z$7)^(('实盘净值数据(iFinD）'!$A586-'实盘净值数据(iFinD）'!$A$8)/365))</f>
        <v/>
      </c>
      <c r="L586" s="16" t="str">
        <f t="shared" si="57"/>
        <v/>
      </c>
      <c r="M586" s="16" t="str">
        <f>IF(K586="","",K586/MAX(K$5:K586)-1)</f>
        <v/>
      </c>
      <c r="N586" s="13" t="str">
        <f>IF(OR('实盘净值数据(iFinD）'!$A586="",'实盘净值数据(iFinD）'!$B586="",'实盘净值数据(iFinD）'!$Z586="",'实盘净值数据(iFinD）'!$AA586=""),"",分期持仓明细!$AB$24*(SUMPRODUCT(分期持仓明细!$B$24:$Y$24,'实盘净值数据(iFinD）'!$B586:$Y586/'实盘净值数据(iFinD）'!$B$65:$Y$65)+SUMPRODUCT(分期持仓明细!$AC$24:$AD$24,'实盘净值数据(iFinD）'!$Z586:$AA586/'实盘净值数据(iFinD）'!$Z$65:$AA$65))*(1-实盘持仓初始配置!$Z$8)^(('实盘净值数据(iFinD）'!$A586-'实盘净值数据(iFinD）'!$A$5)/365))</f>
        <v/>
      </c>
      <c r="O586" s="16" t="str">
        <f t="shared" si="58"/>
        <v/>
      </c>
      <c r="P586" s="16" t="str">
        <f>IF(N586="","",N586/MAX(N$5:N586)-1)</f>
        <v/>
      </c>
      <c r="Q586" s="13" t="str">
        <f>IF(OR('实盘净值数据(iFinD）'!$A586="",'实盘净值数据(iFinD）'!$B586="",'实盘净值数据(iFinD）'!$Z586="",'实盘净值数据(iFinD）'!$AA586=""),"",分期持仓明细!$AB$25*(SUMPRODUCT(分期持仓明细!$B$25:$Y$25,'实盘净值数据(iFinD）'!$B586:$Y586/'实盘净值数据(iFinD）'!$B$65:$Y$65)+SUMPRODUCT(分期持仓明细!$AC$25:$AD$25,'实盘净值数据(iFinD）'!$Z586:$AA586/'实盘净值数据(iFinD）'!$Z$65:$AA$65))*(1-实盘持仓初始配置!$Z$9)^(('实盘净值数据(iFinD）'!$A586-'实盘净值数据(iFinD）'!$A$8)/365))</f>
        <v/>
      </c>
      <c r="R586" s="16" t="str">
        <f t="shared" si="59"/>
        <v/>
      </c>
      <c r="S586" s="16" t="str">
        <f>IF(Q586="","",Q586/MAX(Q$5:Q586)-1)</f>
        <v/>
      </c>
      <c r="T586" s="13">
        <f>IF(OR('实盘净值数据(iFinD）'!$A586="",'实盘净值数据(iFinD）'!$B586="",'实盘净值数据(iFinD）'!$Z586="",'实盘净值数据(iFinD）'!$AA586="",'实盘净值数据(iFinD）'!$AB586="",'实盘净值数据(iFinD）'!$AL586=""),"",(SUMPRODUCT(分期持仓明细!$B$26:$Y$26,'实盘净值数据(iFinD）'!$B586:$Y586/'实盘净值数据(iFinD）'!$B$69:$Y$69)+SUMPRODUCT(分期持仓明细!$AC$26:$AD$26,'实盘净值数据(iFinD）'!$Z586:$AA586/'实盘净值数据(iFinD）'!$Z$69:$AA$69)+SUMPRODUCT(分期持仓明细!$AE$26:$AO$26,'实盘净值数据(iFinD）'!$AB586:$AL586/'实盘净值数据(iFinD）'!$AB$69:$AL$69))*(1-实盘持仓初始配置!$Z$10)^(('实盘净值数据(iFinD）'!$A586-'实盘净值数据(iFinD）'!$A$69)/365))</f>
        <v/>
      </c>
      <c r="U586" s="16">
        <f>IF(OR(T585="",T586=""),"",T586/T585-1)</f>
        <v/>
      </c>
      <c r="V586" s="16">
        <f>IF(T586="","",T586/MAX(T$5:T586)-1)</f>
        <v/>
      </c>
    </row>
    <row r="587" spans="1:19">
      <c r="A587" s="15" t="str">
        <f>IF('实盘净值数据(iFinD）'!A587="","",'实盘净值数据(iFinD）'!A587)</f>
        <v/>
      </c>
      <c r="B587" s="13" t="str">
        <f>IF(OR('实盘净值数据(iFinD）'!$A587="",'实盘净值数据(iFinD）'!$B587=""),"",分期持仓明细!$AB$17*SUMPRODUCT(分期持仓明细!$B$17:$Y$17,'实盘净值数据(iFinD）'!$B587:$Y587/'实盘净值数据(iFinD）'!$B$20:$Y$20)*(1-实盘持仓初始配置!$Z$4)^(('实盘净值数据(iFinD）'!$A587-'实盘净值数据(iFinD）'!$A$6)/365))</f>
        <v/>
      </c>
      <c r="C587" s="16" t="str">
        <f t="shared" si="54"/>
        <v/>
      </c>
      <c r="D587" s="16" t="str">
        <f>IF(B587="","",B587/MAX(B$5:B587)-1)</f>
        <v/>
      </c>
      <c r="E587" s="13" t="str">
        <f>IF(OR('实盘净值数据(iFinD）'!$A587="",'实盘净值数据(iFinD）'!$B587=""),"",分期持仓明细!$AB$18*SUMPRODUCT(分期持仓明细!$B$18:$Y$18,'实盘净值数据(iFinD）'!$B587:$Y587/'实盘净值数据(iFinD）'!$B$20:$Y$20)*(1-实盘持仓初始配置!$Z$5)^(('实盘净值数据(iFinD）'!$A587-'实盘净值数据(iFinD）'!$A$5)/365))</f>
        <v/>
      </c>
      <c r="F587" s="16" t="str">
        <f t="shared" si="55"/>
        <v/>
      </c>
      <c r="G587" s="16" t="str">
        <f>IF(E587="","",E587/MAX(E$5:E587)-1)</f>
        <v/>
      </c>
      <c r="H587" s="13" t="str">
        <f>IF(OR('实盘净值数据(iFinD）'!$A587="",'实盘净值数据(iFinD）'!$B587=""),"",分期持仓明细!$AB$19*SUMPRODUCT(分期持仓明细!$B$19:$Y$19,'实盘净值数据(iFinD）'!$B587:$Y587/'实盘净值数据(iFinD）'!$B$20:$Y$20)*(1-实盘持仓初始配置!$Z$6)^(('实盘净值数据(iFinD）'!$A587-'实盘净值数据(iFinD）'!$A$7)/365))</f>
        <v/>
      </c>
      <c r="I587" s="16" t="str">
        <f t="shared" si="56"/>
        <v/>
      </c>
      <c r="J587" s="16" t="str">
        <f>IF(H587="","",H587/MAX(H$5:H587)-1)</f>
        <v/>
      </c>
      <c r="K587" s="13" t="str">
        <f>IF(OR('实盘净值数据(iFinD）'!$A587="",'实盘净值数据(iFinD）'!$B587="",'实盘净值数据(iFinD）'!$Z587="",'实盘净值数据(iFinD）'!$AA587=""),"",分期持仓明细!$AB$23*(SUMPRODUCT(分期持仓明细!$B$23:$Y$23,'实盘净值数据(iFinD）'!$B587:$Y587/'实盘净值数据(iFinD）'!$B$65:$Y$65)+SUMPRODUCT(分期持仓明细!$AC$23:$AD$23,'实盘净值数据(iFinD）'!$Z587:$AA587/'实盘净值数据(iFinD）'!$Z$65:$AA$65))*(1-实盘持仓初始配置!$Z$7)^(('实盘净值数据(iFinD）'!$A587-'实盘净值数据(iFinD）'!$A$8)/365))</f>
        <v/>
      </c>
      <c r="L587" s="16" t="str">
        <f t="shared" si="57"/>
        <v/>
      </c>
      <c r="M587" s="16" t="str">
        <f>IF(K587="","",K587/MAX(K$5:K587)-1)</f>
        <v/>
      </c>
      <c r="N587" s="13" t="str">
        <f>IF(OR('实盘净值数据(iFinD）'!$A587="",'实盘净值数据(iFinD）'!$B587="",'实盘净值数据(iFinD）'!$Z587="",'实盘净值数据(iFinD）'!$AA587=""),"",分期持仓明细!$AB$24*(SUMPRODUCT(分期持仓明细!$B$24:$Y$24,'实盘净值数据(iFinD）'!$B587:$Y587/'实盘净值数据(iFinD）'!$B$65:$Y$65)+SUMPRODUCT(分期持仓明细!$AC$24:$AD$24,'实盘净值数据(iFinD）'!$Z587:$AA587/'实盘净值数据(iFinD）'!$Z$65:$AA$65))*(1-实盘持仓初始配置!$Z$8)^(('实盘净值数据(iFinD）'!$A587-'实盘净值数据(iFinD）'!$A$5)/365))</f>
        <v/>
      </c>
      <c r="O587" s="16" t="str">
        <f t="shared" si="58"/>
        <v/>
      </c>
      <c r="P587" s="16" t="str">
        <f>IF(N587="","",N587/MAX(N$5:N587)-1)</f>
        <v/>
      </c>
      <c r="Q587" s="13" t="str">
        <f>IF(OR('实盘净值数据(iFinD）'!$A587="",'实盘净值数据(iFinD）'!$B587="",'实盘净值数据(iFinD）'!$Z587="",'实盘净值数据(iFinD）'!$AA587=""),"",分期持仓明细!$AB$25*(SUMPRODUCT(分期持仓明细!$B$25:$Y$25,'实盘净值数据(iFinD）'!$B587:$Y587/'实盘净值数据(iFinD）'!$B$65:$Y$65)+SUMPRODUCT(分期持仓明细!$AC$25:$AD$25,'实盘净值数据(iFinD）'!$Z587:$AA587/'实盘净值数据(iFinD）'!$Z$65:$AA$65))*(1-实盘持仓初始配置!$Z$9)^(('实盘净值数据(iFinD）'!$A587-'实盘净值数据(iFinD）'!$A$8)/365))</f>
        <v/>
      </c>
      <c r="R587" s="16" t="str">
        <f t="shared" si="59"/>
        <v/>
      </c>
      <c r="S587" s="16" t="str">
        <f>IF(Q587="","",Q587/MAX(Q$5:Q587)-1)</f>
        <v/>
      </c>
      <c r="T587" s="13">
        <f>IF(OR('实盘净值数据(iFinD）'!$A587="",'实盘净值数据(iFinD）'!$B587="",'实盘净值数据(iFinD）'!$Z587="",'实盘净值数据(iFinD）'!$AA587="",'实盘净值数据(iFinD）'!$AB587="",'实盘净值数据(iFinD）'!$AL587=""),"",(SUMPRODUCT(分期持仓明细!$B$26:$Y$26,'实盘净值数据(iFinD）'!$B587:$Y587/'实盘净值数据(iFinD）'!$B$69:$Y$69)+SUMPRODUCT(分期持仓明细!$AC$26:$AD$26,'实盘净值数据(iFinD）'!$Z587:$AA587/'实盘净值数据(iFinD）'!$Z$69:$AA$69)+SUMPRODUCT(分期持仓明细!$AE$26:$AO$26,'实盘净值数据(iFinD）'!$AB587:$AL587/'实盘净值数据(iFinD）'!$AB$69:$AL$69))*(1-实盘持仓初始配置!$Z$10)^(('实盘净值数据(iFinD）'!$A587-'实盘净值数据(iFinD）'!$A$69)/365))</f>
        <v/>
      </c>
      <c r="U587" s="16">
        <f>IF(OR(T586="",T587=""),"",T587/T586-1)</f>
        <v/>
      </c>
      <c r="V587" s="16">
        <f>IF(T587="","",T587/MAX(T$5:T587)-1)</f>
        <v/>
      </c>
    </row>
    <row r="588" spans="1:19">
      <c r="A588" s="15" t="str">
        <f>IF('实盘净值数据(iFinD）'!A588="","",'实盘净值数据(iFinD）'!A588)</f>
        <v/>
      </c>
      <c r="B588" s="13" t="str">
        <f>IF(OR('实盘净值数据(iFinD）'!$A588="",'实盘净值数据(iFinD）'!$B588=""),"",分期持仓明细!$AB$17*SUMPRODUCT(分期持仓明细!$B$17:$Y$17,'实盘净值数据(iFinD）'!$B588:$Y588/'实盘净值数据(iFinD）'!$B$20:$Y$20)*(1-实盘持仓初始配置!$Z$4)^(('实盘净值数据(iFinD）'!$A588-'实盘净值数据(iFinD）'!$A$6)/365))</f>
        <v/>
      </c>
      <c r="C588" s="16" t="str">
        <f t="shared" si="54"/>
        <v/>
      </c>
      <c r="D588" s="16" t="str">
        <f>IF(B588="","",B588/MAX(B$5:B588)-1)</f>
        <v/>
      </c>
      <c r="E588" s="13" t="str">
        <f>IF(OR('实盘净值数据(iFinD）'!$A588="",'实盘净值数据(iFinD）'!$B588=""),"",分期持仓明细!$AB$18*SUMPRODUCT(分期持仓明细!$B$18:$Y$18,'实盘净值数据(iFinD）'!$B588:$Y588/'实盘净值数据(iFinD）'!$B$20:$Y$20)*(1-实盘持仓初始配置!$Z$5)^(('实盘净值数据(iFinD）'!$A588-'实盘净值数据(iFinD）'!$A$5)/365))</f>
        <v/>
      </c>
      <c r="F588" s="16" t="str">
        <f t="shared" si="55"/>
        <v/>
      </c>
      <c r="G588" s="16" t="str">
        <f>IF(E588="","",E588/MAX(E$5:E588)-1)</f>
        <v/>
      </c>
      <c r="H588" s="13" t="str">
        <f>IF(OR('实盘净值数据(iFinD）'!$A588="",'实盘净值数据(iFinD）'!$B588=""),"",分期持仓明细!$AB$19*SUMPRODUCT(分期持仓明细!$B$19:$Y$19,'实盘净值数据(iFinD）'!$B588:$Y588/'实盘净值数据(iFinD）'!$B$20:$Y$20)*(1-实盘持仓初始配置!$Z$6)^(('实盘净值数据(iFinD）'!$A588-'实盘净值数据(iFinD）'!$A$7)/365))</f>
        <v/>
      </c>
      <c r="I588" s="16" t="str">
        <f t="shared" si="56"/>
        <v/>
      </c>
      <c r="J588" s="16" t="str">
        <f>IF(H588="","",H588/MAX(H$5:H588)-1)</f>
        <v/>
      </c>
      <c r="K588" s="13" t="str">
        <f>IF(OR('实盘净值数据(iFinD）'!$A588="",'实盘净值数据(iFinD）'!$B588="",'实盘净值数据(iFinD）'!$Z588="",'实盘净值数据(iFinD）'!$AA588=""),"",分期持仓明细!$AB$23*(SUMPRODUCT(分期持仓明细!$B$23:$Y$23,'实盘净值数据(iFinD）'!$B588:$Y588/'实盘净值数据(iFinD）'!$B$65:$Y$65)+SUMPRODUCT(分期持仓明细!$AC$23:$AD$23,'实盘净值数据(iFinD）'!$Z588:$AA588/'实盘净值数据(iFinD）'!$Z$65:$AA$65))*(1-实盘持仓初始配置!$Z$7)^(('实盘净值数据(iFinD）'!$A588-'实盘净值数据(iFinD）'!$A$8)/365))</f>
        <v/>
      </c>
      <c r="L588" s="16" t="str">
        <f t="shared" si="57"/>
        <v/>
      </c>
      <c r="M588" s="16" t="str">
        <f>IF(K588="","",K588/MAX(K$5:K588)-1)</f>
        <v/>
      </c>
      <c r="N588" s="13" t="str">
        <f>IF(OR('实盘净值数据(iFinD）'!$A588="",'实盘净值数据(iFinD）'!$B588="",'实盘净值数据(iFinD）'!$Z588="",'实盘净值数据(iFinD）'!$AA588=""),"",分期持仓明细!$AB$24*(SUMPRODUCT(分期持仓明细!$B$24:$Y$24,'实盘净值数据(iFinD）'!$B588:$Y588/'实盘净值数据(iFinD）'!$B$65:$Y$65)+SUMPRODUCT(分期持仓明细!$AC$24:$AD$24,'实盘净值数据(iFinD）'!$Z588:$AA588/'实盘净值数据(iFinD）'!$Z$65:$AA$65))*(1-实盘持仓初始配置!$Z$8)^(('实盘净值数据(iFinD）'!$A588-'实盘净值数据(iFinD）'!$A$5)/365))</f>
        <v/>
      </c>
      <c r="O588" s="16" t="str">
        <f t="shared" si="58"/>
        <v/>
      </c>
      <c r="P588" s="16" t="str">
        <f>IF(N588="","",N588/MAX(N$5:N588)-1)</f>
        <v/>
      </c>
      <c r="Q588" s="13" t="str">
        <f>IF(OR('实盘净值数据(iFinD）'!$A588="",'实盘净值数据(iFinD）'!$B588="",'实盘净值数据(iFinD）'!$Z588="",'实盘净值数据(iFinD）'!$AA588=""),"",分期持仓明细!$AB$25*(SUMPRODUCT(分期持仓明细!$B$25:$Y$25,'实盘净值数据(iFinD）'!$B588:$Y588/'实盘净值数据(iFinD）'!$B$65:$Y$65)+SUMPRODUCT(分期持仓明细!$AC$25:$AD$25,'实盘净值数据(iFinD）'!$Z588:$AA588/'实盘净值数据(iFinD）'!$Z$65:$AA$65))*(1-实盘持仓初始配置!$Z$9)^(('实盘净值数据(iFinD）'!$A588-'实盘净值数据(iFinD）'!$A$8)/365))</f>
        <v/>
      </c>
      <c r="R588" s="16" t="str">
        <f t="shared" si="59"/>
        <v/>
      </c>
      <c r="S588" s="16" t="str">
        <f>IF(Q588="","",Q588/MAX(Q$5:Q588)-1)</f>
        <v/>
      </c>
      <c r="T588" s="13">
        <f>IF(OR('实盘净值数据(iFinD）'!$A588="",'实盘净值数据(iFinD）'!$B588="",'实盘净值数据(iFinD）'!$Z588="",'实盘净值数据(iFinD）'!$AA588="",'实盘净值数据(iFinD）'!$AB588="",'实盘净值数据(iFinD）'!$AL588=""),"",(SUMPRODUCT(分期持仓明细!$B$26:$Y$26,'实盘净值数据(iFinD）'!$B588:$Y588/'实盘净值数据(iFinD）'!$B$69:$Y$69)+SUMPRODUCT(分期持仓明细!$AC$26:$AD$26,'实盘净值数据(iFinD）'!$Z588:$AA588/'实盘净值数据(iFinD）'!$Z$69:$AA$69)+SUMPRODUCT(分期持仓明细!$AE$26:$AO$26,'实盘净值数据(iFinD）'!$AB588:$AL588/'实盘净值数据(iFinD）'!$AB$69:$AL$69))*(1-实盘持仓初始配置!$Z$10)^(('实盘净值数据(iFinD）'!$A588-'实盘净值数据(iFinD）'!$A$69)/365))</f>
        <v/>
      </c>
      <c r="U588" s="16">
        <f>IF(OR(T587="",T588=""),"",T588/T587-1)</f>
        <v/>
      </c>
      <c r="V588" s="16">
        <f>IF(T588="","",T588/MAX(T$5:T588)-1)</f>
        <v/>
      </c>
    </row>
    <row r="589" spans="1:19">
      <c r="A589" s="15" t="str">
        <f>IF('实盘净值数据(iFinD）'!A589="","",'实盘净值数据(iFinD）'!A589)</f>
        <v/>
      </c>
      <c r="B589" s="13" t="str">
        <f>IF(OR('实盘净值数据(iFinD）'!$A589="",'实盘净值数据(iFinD）'!$B589=""),"",分期持仓明细!$AB$17*SUMPRODUCT(分期持仓明细!$B$17:$Y$17,'实盘净值数据(iFinD）'!$B589:$Y589/'实盘净值数据(iFinD）'!$B$20:$Y$20)*(1-实盘持仓初始配置!$Z$4)^(('实盘净值数据(iFinD）'!$A589-'实盘净值数据(iFinD）'!$A$6)/365))</f>
        <v/>
      </c>
      <c r="C589" s="16" t="str">
        <f t="shared" si="54"/>
        <v/>
      </c>
      <c r="D589" s="16" t="str">
        <f>IF(B589="","",B589/MAX(B$5:B589)-1)</f>
        <v/>
      </c>
      <c r="E589" s="13" t="str">
        <f>IF(OR('实盘净值数据(iFinD）'!$A589="",'实盘净值数据(iFinD）'!$B589=""),"",分期持仓明细!$AB$18*SUMPRODUCT(分期持仓明细!$B$18:$Y$18,'实盘净值数据(iFinD）'!$B589:$Y589/'实盘净值数据(iFinD）'!$B$20:$Y$20)*(1-实盘持仓初始配置!$Z$5)^(('实盘净值数据(iFinD）'!$A589-'实盘净值数据(iFinD）'!$A$5)/365))</f>
        <v/>
      </c>
      <c r="F589" s="16" t="str">
        <f t="shared" si="55"/>
        <v/>
      </c>
      <c r="G589" s="16" t="str">
        <f>IF(E589="","",E589/MAX(E$5:E589)-1)</f>
        <v/>
      </c>
      <c r="H589" s="13" t="str">
        <f>IF(OR('实盘净值数据(iFinD）'!$A589="",'实盘净值数据(iFinD）'!$B589=""),"",分期持仓明细!$AB$19*SUMPRODUCT(分期持仓明细!$B$19:$Y$19,'实盘净值数据(iFinD）'!$B589:$Y589/'实盘净值数据(iFinD）'!$B$20:$Y$20)*(1-实盘持仓初始配置!$Z$6)^(('实盘净值数据(iFinD）'!$A589-'实盘净值数据(iFinD）'!$A$7)/365))</f>
        <v/>
      </c>
      <c r="I589" s="16" t="str">
        <f t="shared" si="56"/>
        <v/>
      </c>
      <c r="J589" s="16" t="str">
        <f>IF(H589="","",H589/MAX(H$5:H589)-1)</f>
        <v/>
      </c>
      <c r="K589" s="13" t="str">
        <f>IF(OR('实盘净值数据(iFinD）'!$A589="",'实盘净值数据(iFinD）'!$B589="",'实盘净值数据(iFinD）'!$Z589="",'实盘净值数据(iFinD）'!$AA589=""),"",分期持仓明细!$AB$23*(SUMPRODUCT(分期持仓明细!$B$23:$Y$23,'实盘净值数据(iFinD）'!$B589:$Y589/'实盘净值数据(iFinD）'!$B$65:$Y$65)+SUMPRODUCT(分期持仓明细!$AC$23:$AD$23,'实盘净值数据(iFinD）'!$Z589:$AA589/'实盘净值数据(iFinD）'!$Z$65:$AA$65))*(1-实盘持仓初始配置!$Z$7)^(('实盘净值数据(iFinD）'!$A589-'实盘净值数据(iFinD）'!$A$8)/365))</f>
        <v/>
      </c>
      <c r="L589" s="16" t="str">
        <f t="shared" si="57"/>
        <v/>
      </c>
      <c r="M589" s="16" t="str">
        <f>IF(K589="","",K589/MAX(K$5:K589)-1)</f>
        <v/>
      </c>
      <c r="N589" s="13" t="str">
        <f>IF(OR('实盘净值数据(iFinD）'!$A589="",'实盘净值数据(iFinD）'!$B589="",'实盘净值数据(iFinD）'!$Z589="",'实盘净值数据(iFinD）'!$AA589=""),"",分期持仓明细!$AB$24*(SUMPRODUCT(分期持仓明细!$B$24:$Y$24,'实盘净值数据(iFinD）'!$B589:$Y589/'实盘净值数据(iFinD）'!$B$65:$Y$65)+SUMPRODUCT(分期持仓明细!$AC$24:$AD$24,'实盘净值数据(iFinD）'!$Z589:$AA589/'实盘净值数据(iFinD）'!$Z$65:$AA$65))*(1-实盘持仓初始配置!$Z$8)^(('实盘净值数据(iFinD）'!$A589-'实盘净值数据(iFinD）'!$A$5)/365))</f>
        <v/>
      </c>
      <c r="O589" s="16" t="str">
        <f t="shared" si="58"/>
        <v/>
      </c>
      <c r="P589" s="16" t="str">
        <f>IF(N589="","",N589/MAX(N$5:N589)-1)</f>
        <v/>
      </c>
      <c r="Q589" s="13" t="str">
        <f>IF(OR('实盘净值数据(iFinD）'!$A589="",'实盘净值数据(iFinD）'!$B589="",'实盘净值数据(iFinD）'!$Z589="",'实盘净值数据(iFinD）'!$AA589=""),"",分期持仓明细!$AB$25*(SUMPRODUCT(分期持仓明细!$B$25:$Y$25,'实盘净值数据(iFinD）'!$B589:$Y589/'实盘净值数据(iFinD）'!$B$65:$Y$65)+SUMPRODUCT(分期持仓明细!$AC$25:$AD$25,'实盘净值数据(iFinD）'!$Z589:$AA589/'实盘净值数据(iFinD）'!$Z$65:$AA$65))*(1-实盘持仓初始配置!$Z$9)^(('实盘净值数据(iFinD）'!$A589-'实盘净值数据(iFinD）'!$A$8)/365))</f>
        <v/>
      </c>
      <c r="R589" s="16" t="str">
        <f t="shared" si="59"/>
        <v/>
      </c>
      <c r="S589" s="16" t="str">
        <f>IF(Q589="","",Q589/MAX(Q$5:Q589)-1)</f>
        <v/>
      </c>
      <c r="T589" s="13">
        <f>IF(OR('实盘净值数据(iFinD）'!$A589="",'实盘净值数据(iFinD）'!$B589="",'实盘净值数据(iFinD）'!$Z589="",'实盘净值数据(iFinD）'!$AA589="",'实盘净值数据(iFinD）'!$AB589="",'实盘净值数据(iFinD）'!$AL589=""),"",(SUMPRODUCT(分期持仓明细!$B$26:$Y$26,'实盘净值数据(iFinD）'!$B589:$Y589/'实盘净值数据(iFinD）'!$B$69:$Y$69)+SUMPRODUCT(分期持仓明细!$AC$26:$AD$26,'实盘净值数据(iFinD）'!$Z589:$AA589/'实盘净值数据(iFinD）'!$Z$69:$AA$69)+SUMPRODUCT(分期持仓明细!$AE$26:$AO$26,'实盘净值数据(iFinD）'!$AB589:$AL589/'实盘净值数据(iFinD）'!$AB$69:$AL$69))*(1-实盘持仓初始配置!$Z$10)^(('实盘净值数据(iFinD）'!$A589-'实盘净值数据(iFinD）'!$A$69)/365))</f>
        <v/>
      </c>
      <c r="U589" s="16">
        <f>IF(OR(T588="",T589=""),"",T589/T588-1)</f>
        <v/>
      </c>
      <c r="V589" s="16">
        <f>IF(T589="","",T589/MAX(T$5:T589)-1)</f>
        <v/>
      </c>
    </row>
    <row r="590" spans="1:19">
      <c r="A590" s="15" t="str">
        <f>IF('实盘净值数据(iFinD）'!A590="","",'实盘净值数据(iFinD）'!A590)</f>
        <v/>
      </c>
      <c r="B590" s="13" t="str">
        <f>IF(OR('实盘净值数据(iFinD）'!$A590="",'实盘净值数据(iFinD）'!$B590=""),"",分期持仓明细!$AB$17*SUMPRODUCT(分期持仓明细!$B$17:$Y$17,'实盘净值数据(iFinD）'!$B590:$Y590/'实盘净值数据(iFinD）'!$B$20:$Y$20)*(1-实盘持仓初始配置!$Z$4)^(('实盘净值数据(iFinD）'!$A590-'实盘净值数据(iFinD）'!$A$6)/365))</f>
        <v/>
      </c>
      <c r="C590" s="16" t="str">
        <f t="shared" si="54"/>
        <v/>
      </c>
      <c r="D590" s="16" t="str">
        <f>IF(B590="","",B590/MAX(B$5:B590)-1)</f>
        <v/>
      </c>
      <c r="E590" s="13" t="str">
        <f>IF(OR('实盘净值数据(iFinD）'!$A590="",'实盘净值数据(iFinD）'!$B590=""),"",分期持仓明细!$AB$18*SUMPRODUCT(分期持仓明细!$B$18:$Y$18,'实盘净值数据(iFinD）'!$B590:$Y590/'实盘净值数据(iFinD）'!$B$20:$Y$20)*(1-实盘持仓初始配置!$Z$5)^(('实盘净值数据(iFinD）'!$A590-'实盘净值数据(iFinD）'!$A$5)/365))</f>
        <v/>
      </c>
      <c r="F590" s="16" t="str">
        <f t="shared" si="55"/>
        <v/>
      </c>
      <c r="G590" s="16" t="str">
        <f>IF(E590="","",E590/MAX(E$5:E590)-1)</f>
        <v/>
      </c>
      <c r="H590" s="13" t="str">
        <f>IF(OR('实盘净值数据(iFinD）'!$A590="",'实盘净值数据(iFinD）'!$B590=""),"",分期持仓明细!$AB$19*SUMPRODUCT(分期持仓明细!$B$19:$Y$19,'实盘净值数据(iFinD）'!$B590:$Y590/'实盘净值数据(iFinD）'!$B$20:$Y$20)*(1-实盘持仓初始配置!$Z$6)^(('实盘净值数据(iFinD）'!$A590-'实盘净值数据(iFinD）'!$A$7)/365))</f>
        <v/>
      </c>
      <c r="I590" s="16" t="str">
        <f t="shared" si="56"/>
        <v/>
      </c>
      <c r="J590" s="16" t="str">
        <f>IF(H590="","",H590/MAX(H$5:H590)-1)</f>
        <v/>
      </c>
      <c r="K590" s="13" t="str">
        <f>IF(OR('实盘净值数据(iFinD）'!$A590="",'实盘净值数据(iFinD）'!$B590="",'实盘净值数据(iFinD）'!$Z590="",'实盘净值数据(iFinD）'!$AA590=""),"",分期持仓明细!$AB$23*(SUMPRODUCT(分期持仓明细!$B$23:$Y$23,'实盘净值数据(iFinD）'!$B590:$Y590/'实盘净值数据(iFinD）'!$B$65:$Y$65)+SUMPRODUCT(分期持仓明细!$AC$23:$AD$23,'实盘净值数据(iFinD）'!$Z590:$AA590/'实盘净值数据(iFinD）'!$Z$65:$AA$65))*(1-实盘持仓初始配置!$Z$7)^(('实盘净值数据(iFinD）'!$A590-'实盘净值数据(iFinD）'!$A$8)/365))</f>
        <v/>
      </c>
      <c r="L590" s="16" t="str">
        <f t="shared" si="57"/>
        <v/>
      </c>
      <c r="M590" s="16" t="str">
        <f>IF(K590="","",K590/MAX(K$5:K590)-1)</f>
        <v/>
      </c>
      <c r="N590" s="13" t="str">
        <f>IF(OR('实盘净值数据(iFinD）'!$A590="",'实盘净值数据(iFinD）'!$B590="",'实盘净值数据(iFinD）'!$Z590="",'实盘净值数据(iFinD）'!$AA590=""),"",分期持仓明细!$AB$24*(SUMPRODUCT(分期持仓明细!$B$24:$Y$24,'实盘净值数据(iFinD）'!$B590:$Y590/'实盘净值数据(iFinD）'!$B$65:$Y$65)+SUMPRODUCT(分期持仓明细!$AC$24:$AD$24,'实盘净值数据(iFinD）'!$Z590:$AA590/'实盘净值数据(iFinD）'!$Z$65:$AA$65))*(1-实盘持仓初始配置!$Z$8)^(('实盘净值数据(iFinD）'!$A590-'实盘净值数据(iFinD）'!$A$5)/365))</f>
        <v/>
      </c>
      <c r="O590" s="16" t="str">
        <f t="shared" si="58"/>
        <v/>
      </c>
      <c r="P590" s="16" t="str">
        <f>IF(N590="","",N590/MAX(N$5:N590)-1)</f>
        <v/>
      </c>
      <c r="Q590" s="13" t="str">
        <f>IF(OR('实盘净值数据(iFinD）'!$A590="",'实盘净值数据(iFinD）'!$B590="",'实盘净值数据(iFinD）'!$Z590="",'实盘净值数据(iFinD）'!$AA590=""),"",分期持仓明细!$AB$25*(SUMPRODUCT(分期持仓明细!$B$25:$Y$25,'实盘净值数据(iFinD）'!$B590:$Y590/'实盘净值数据(iFinD）'!$B$65:$Y$65)+SUMPRODUCT(分期持仓明细!$AC$25:$AD$25,'实盘净值数据(iFinD）'!$Z590:$AA590/'实盘净值数据(iFinD）'!$Z$65:$AA$65))*(1-实盘持仓初始配置!$Z$9)^(('实盘净值数据(iFinD）'!$A590-'实盘净值数据(iFinD）'!$A$8)/365))</f>
        <v/>
      </c>
      <c r="R590" s="16" t="str">
        <f t="shared" si="59"/>
        <v/>
      </c>
      <c r="S590" s="16" t="str">
        <f>IF(Q590="","",Q590/MAX(Q$5:Q590)-1)</f>
        <v/>
      </c>
      <c r="T590" s="13">
        <f>IF(OR('实盘净值数据(iFinD）'!$A590="",'实盘净值数据(iFinD）'!$B590="",'实盘净值数据(iFinD）'!$Z590="",'实盘净值数据(iFinD）'!$AA590="",'实盘净值数据(iFinD）'!$AB590="",'实盘净值数据(iFinD）'!$AL590=""),"",(SUMPRODUCT(分期持仓明细!$B$26:$Y$26,'实盘净值数据(iFinD）'!$B590:$Y590/'实盘净值数据(iFinD）'!$B$69:$Y$69)+SUMPRODUCT(分期持仓明细!$AC$26:$AD$26,'实盘净值数据(iFinD）'!$Z590:$AA590/'实盘净值数据(iFinD）'!$Z$69:$AA$69)+SUMPRODUCT(分期持仓明细!$AE$26:$AO$26,'实盘净值数据(iFinD）'!$AB590:$AL590/'实盘净值数据(iFinD）'!$AB$69:$AL$69))*(1-实盘持仓初始配置!$Z$10)^(('实盘净值数据(iFinD）'!$A590-'实盘净值数据(iFinD）'!$A$69)/365))</f>
        <v/>
      </c>
      <c r="U590" s="16">
        <f>IF(OR(T589="",T590=""),"",T590/T589-1)</f>
        <v/>
      </c>
      <c r="V590" s="16">
        <f>IF(T590="","",T590/MAX(T$5:T590)-1)</f>
        <v/>
      </c>
    </row>
    <row r="591" spans="1:19">
      <c r="A591" s="15" t="str">
        <f>IF('实盘净值数据(iFinD）'!A591="","",'实盘净值数据(iFinD）'!A591)</f>
        <v/>
      </c>
      <c r="B591" s="13" t="str">
        <f>IF(OR('实盘净值数据(iFinD）'!$A591="",'实盘净值数据(iFinD）'!$B591=""),"",分期持仓明细!$AB$17*SUMPRODUCT(分期持仓明细!$B$17:$Y$17,'实盘净值数据(iFinD）'!$B591:$Y591/'实盘净值数据(iFinD）'!$B$20:$Y$20)*(1-实盘持仓初始配置!$Z$4)^(('实盘净值数据(iFinD）'!$A591-'实盘净值数据(iFinD）'!$A$6)/365))</f>
        <v/>
      </c>
      <c r="C591" s="16" t="str">
        <f t="shared" si="54"/>
        <v/>
      </c>
      <c r="D591" s="16" t="str">
        <f>IF(B591="","",B591/MAX(B$5:B591)-1)</f>
        <v/>
      </c>
      <c r="E591" s="13" t="str">
        <f>IF(OR('实盘净值数据(iFinD）'!$A591="",'实盘净值数据(iFinD）'!$B591=""),"",分期持仓明细!$AB$18*SUMPRODUCT(分期持仓明细!$B$18:$Y$18,'实盘净值数据(iFinD）'!$B591:$Y591/'实盘净值数据(iFinD）'!$B$20:$Y$20)*(1-实盘持仓初始配置!$Z$5)^(('实盘净值数据(iFinD）'!$A591-'实盘净值数据(iFinD）'!$A$5)/365))</f>
        <v/>
      </c>
      <c r="F591" s="16" t="str">
        <f t="shared" si="55"/>
        <v/>
      </c>
      <c r="G591" s="16" t="str">
        <f>IF(E591="","",E591/MAX(E$5:E591)-1)</f>
        <v/>
      </c>
      <c r="H591" s="13" t="str">
        <f>IF(OR('实盘净值数据(iFinD）'!$A591="",'实盘净值数据(iFinD）'!$B591=""),"",分期持仓明细!$AB$19*SUMPRODUCT(分期持仓明细!$B$19:$Y$19,'实盘净值数据(iFinD）'!$B591:$Y591/'实盘净值数据(iFinD）'!$B$20:$Y$20)*(1-实盘持仓初始配置!$Z$6)^(('实盘净值数据(iFinD）'!$A591-'实盘净值数据(iFinD）'!$A$7)/365))</f>
        <v/>
      </c>
      <c r="I591" s="16" t="str">
        <f t="shared" si="56"/>
        <v/>
      </c>
      <c r="J591" s="16" t="str">
        <f>IF(H591="","",H591/MAX(H$5:H591)-1)</f>
        <v/>
      </c>
      <c r="K591" s="13" t="str">
        <f>IF(OR('实盘净值数据(iFinD）'!$A591="",'实盘净值数据(iFinD）'!$B591="",'实盘净值数据(iFinD）'!$Z591="",'实盘净值数据(iFinD）'!$AA591=""),"",分期持仓明细!$AB$23*(SUMPRODUCT(分期持仓明细!$B$23:$Y$23,'实盘净值数据(iFinD）'!$B591:$Y591/'实盘净值数据(iFinD）'!$B$65:$Y$65)+SUMPRODUCT(分期持仓明细!$AC$23:$AD$23,'实盘净值数据(iFinD）'!$Z591:$AA591/'实盘净值数据(iFinD）'!$Z$65:$AA$65))*(1-实盘持仓初始配置!$Z$7)^(('实盘净值数据(iFinD）'!$A591-'实盘净值数据(iFinD）'!$A$8)/365))</f>
        <v/>
      </c>
      <c r="L591" s="16" t="str">
        <f t="shared" si="57"/>
        <v/>
      </c>
      <c r="M591" s="16" t="str">
        <f>IF(K591="","",K591/MAX(K$5:K591)-1)</f>
        <v/>
      </c>
      <c r="N591" s="13" t="str">
        <f>IF(OR('实盘净值数据(iFinD）'!$A591="",'实盘净值数据(iFinD）'!$B591="",'实盘净值数据(iFinD）'!$Z591="",'实盘净值数据(iFinD）'!$AA591=""),"",分期持仓明细!$AB$24*(SUMPRODUCT(分期持仓明细!$B$24:$Y$24,'实盘净值数据(iFinD）'!$B591:$Y591/'实盘净值数据(iFinD）'!$B$65:$Y$65)+SUMPRODUCT(分期持仓明细!$AC$24:$AD$24,'实盘净值数据(iFinD）'!$Z591:$AA591/'实盘净值数据(iFinD）'!$Z$65:$AA$65))*(1-实盘持仓初始配置!$Z$8)^(('实盘净值数据(iFinD）'!$A591-'实盘净值数据(iFinD）'!$A$5)/365))</f>
        <v/>
      </c>
      <c r="O591" s="16" t="str">
        <f t="shared" si="58"/>
        <v/>
      </c>
      <c r="P591" s="16" t="str">
        <f>IF(N591="","",N591/MAX(N$5:N591)-1)</f>
        <v/>
      </c>
      <c r="Q591" s="13" t="str">
        <f>IF(OR('实盘净值数据(iFinD）'!$A591="",'实盘净值数据(iFinD）'!$B591="",'实盘净值数据(iFinD）'!$Z591="",'实盘净值数据(iFinD）'!$AA591=""),"",分期持仓明细!$AB$25*(SUMPRODUCT(分期持仓明细!$B$25:$Y$25,'实盘净值数据(iFinD）'!$B591:$Y591/'实盘净值数据(iFinD）'!$B$65:$Y$65)+SUMPRODUCT(分期持仓明细!$AC$25:$AD$25,'实盘净值数据(iFinD）'!$Z591:$AA591/'实盘净值数据(iFinD）'!$Z$65:$AA$65))*(1-实盘持仓初始配置!$Z$9)^(('实盘净值数据(iFinD）'!$A591-'实盘净值数据(iFinD）'!$A$8)/365))</f>
        <v/>
      </c>
      <c r="R591" s="16" t="str">
        <f t="shared" si="59"/>
        <v/>
      </c>
      <c r="S591" s="16" t="str">
        <f>IF(Q591="","",Q591/MAX(Q$5:Q591)-1)</f>
        <v/>
      </c>
      <c r="T591" s="13">
        <f>IF(OR('实盘净值数据(iFinD）'!$A591="",'实盘净值数据(iFinD）'!$B591="",'实盘净值数据(iFinD）'!$Z591="",'实盘净值数据(iFinD）'!$AA591="",'实盘净值数据(iFinD）'!$AB591="",'实盘净值数据(iFinD）'!$AL591=""),"",(SUMPRODUCT(分期持仓明细!$B$26:$Y$26,'实盘净值数据(iFinD）'!$B591:$Y591/'实盘净值数据(iFinD）'!$B$69:$Y$69)+SUMPRODUCT(分期持仓明细!$AC$26:$AD$26,'实盘净值数据(iFinD）'!$Z591:$AA591/'实盘净值数据(iFinD）'!$Z$69:$AA$69)+SUMPRODUCT(分期持仓明细!$AE$26:$AO$26,'实盘净值数据(iFinD）'!$AB591:$AL591/'实盘净值数据(iFinD）'!$AB$69:$AL$69))*(1-实盘持仓初始配置!$Z$10)^(('实盘净值数据(iFinD）'!$A591-'实盘净值数据(iFinD）'!$A$69)/365))</f>
        <v/>
      </c>
      <c r="U591" s="16">
        <f>IF(OR(T590="",T591=""),"",T591/T590-1)</f>
        <v/>
      </c>
      <c r="V591" s="16">
        <f>IF(T591="","",T591/MAX(T$5:T591)-1)</f>
        <v/>
      </c>
    </row>
    <row r="592" spans="1:19">
      <c r="A592" s="15" t="str">
        <f>IF('实盘净值数据(iFinD）'!A592="","",'实盘净值数据(iFinD）'!A592)</f>
        <v/>
      </c>
      <c r="B592" s="13" t="str">
        <f>IF(OR('实盘净值数据(iFinD）'!$A592="",'实盘净值数据(iFinD）'!$B592=""),"",分期持仓明细!$AB$17*SUMPRODUCT(分期持仓明细!$B$17:$Y$17,'实盘净值数据(iFinD）'!$B592:$Y592/'实盘净值数据(iFinD）'!$B$20:$Y$20)*(1-实盘持仓初始配置!$Z$4)^(('实盘净值数据(iFinD）'!$A592-'实盘净值数据(iFinD）'!$A$6)/365))</f>
        <v/>
      </c>
      <c r="C592" s="16" t="str">
        <f t="shared" si="54"/>
        <v/>
      </c>
      <c r="D592" s="16" t="str">
        <f>IF(B592="","",B592/MAX(B$5:B592)-1)</f>
        <v/>
      </c>
      <c r="E592" s="13" t="str">
        <f>IF(OR('实盘净值数据(iFinD）'!$A592="",'实盘净值数据(iFinD）'!$B592=""),"",分期持仓明细!$AB$18*SUMPRODUCT(分期持仓明细!$B$18:$Y$18,'实盘净值数据(iFinD）'!$B592:$Y592/'实盘净值数据(iFinD）'!$B$20:$Y$20)*(1-实盘持仓初始配置!$Z$5)^(('实盘净值数据(iFinD）'!$A592-'实盘净值数据(iFinD）'!$A$5)/365))</f>
        <v/>
      </c>
      <c r="F592" s="16" t="str">
        <f t="shared" si="55"/>
        <v/>
      </c>
      <c r="G592" s="16" t="str">
        <f>IF(E592="","",E592/MAX(E$5:E592)-1)</f>
        <v/>
      </c>
      <c r="H592" s="13" t="str">
        <f>IF(OR('实盘净值数据(iFinD）'!$A592="",'实盘净值数据(iFinD）'!$B592=""),"",分期持仓明细!$AB$19*SUMPRODUCT(分期持仓明细!$B$19:$Y$19,'实盘净值数据(iFinD）'!$B592:$Y592/'实盘净值数据(iFinD）'!$B$20:$Y$20)*(1-实盘持仓初始配置!$Z$6)^(('实盘净值数据(iFinD）'!$A592-'实盘净值数据(iFinD）'!$A$7)/365))</f>
        <v/>
      </c>
      <c r="I592" s="16" t="str">
        <f t="shared" si="56"/>
        <v/>
      </c>
      <c r="J592" s="16" t="str">
        <f>IF(H592="","",H592/MAX(H$5:H592)-1)</f>
        <v/>
      </c>
      <c r="K592" s="13" t="str">
        <f>IF(OR('实盘净值数据(iFinD）'!$A592="",'实盘净值数据(iFinD）'!$B592="",'实盘净值数据(iFinD）'!$Z592="",'实盘净值数据(iFinD）'!$AA592=""),"",分期持仓明细!$AB$23*(SUMPRODUCT(分期持仓明细!$B$23:$Y$23,'实盘净值数据(iFinD）'!$B592:$Y592/'实盘净值数据(iFinD）'!$B$65:$Y$65)+SUMPRODUCT(分期持仓明细!$AC$23:$AD$23,'实盘净值数据(iFinD）'!$Z592:$AA592/'实盘净值数据(iFinD）'!$Z$65:$AA$65))*(1-实盘持仓初始配置!$Z$7)^(('实盘净值数据(iFinD）'!$A592-'实盘净值数据(iFinD）'!$A$8)/365))</f>
        <v/>
      </c>
      <c r="L592" s="16" t="str">
        <f t="shared" si="57"/>
        <v/>
      </c>
      <c r="M592" s="16" t="str">
        <f>IF(K592="","",K592/MAX(K$5:K592)-1)</f>
        <v/>
      </c>
      <c r="N592" s="13" t="str">
        <f>IF(OR('实盘净值数据(iFinD）'!$A592="",'实盘净值数据(iFinD）'!$B592="",'实盘净值数据(iFinD）'!$Z592="",'实盘净值数据(iFinD）'!$AA592=""),"",分期持仓明细!$AB$24*(SUMPRODUCT(分期持仓明细!$B$24:$Y$24,'实盘净值数据(iFinD）'!$B592:$Y592/'实盘净值数据(iFinD）'!$B$65:$Y$65)+SUMPRODUCT(分期持仓明细!$AC$24:$AD$24,'实盘净值数据(iFinD）'!$Z592:$AA592/'实盘净值数据(iFinD）'!$Z$65:$AA$65))*(1-实盘持仓初始配置!$Z$8)^(('实盘净值数据(iFinD）'!$A592-'实盘净值数据(iFinD）'!$A$5)/365))</f>
        <v/>
      </c>
      <c r="O592" s="16" t="str">
        <f t="shared" si="58"/>
        <v/>
      </c>
      <c r="P592" s="16" t="str">
        <f>IF(N592="","",N592/MAX(N$5:N592)-1)</f>
        <v/>
      </c>
      <c r="Q592" s="13" t="str">
        <f>IF(OR('实盘净值数据(iFinD）'!$A592="",'实盘净值数据(iFinD）'!$B592="",'实盘净值数据(iFinD）'!$Z592="",'实盘净值数据(iFinD）'!$AA592=""),"",分期持仓明细!$AB$25*(SUMPRODUCT(分期持仓明细!$B$25:$Y$25,'实盘净值数据(iFinD）'!$B592:$Y592/'实盘净值数据(iFinD）'!$B$65:$Y$65)+SUMPRODUCT(分期持仓明细!$AC$25:$AD$25,'实盘净值数据(iFinD）'!$Z592:$AA592/'实盘净值数据(iFinD）'!$Z$65:$AA$65))*(1-实盘持仓初始配置!$Z$9)^(('实盘净值数据(iFinD）'!$A592-'实盘净值数据(iFinD）'!$A$8)/365))</f>
        <v/>
      </c>
      <c r="R592" s="16" t="str">
        <f t="shared" si="59"/>
        <v/>
      </c>
      <c r="S592" s="16" t="str">
        <f>IF(Q592="","",Q592/MAX(Q$5:Q592)-1)</f>
        <v/>
      </c>
      <c r="T592" s="13">
        <f>IF(OR('实盘净值数据(iFinD）'!$A592="",'实盘净值数据(iFinD）'!$B592="",'实盘净值数据(iFinD）'!$Z592="",'实盘净值数据(iFinD）'!$AA592="",'实盘净值数据(iFinD）'!$AB592="",'实盘净值数据(iFinD）'!$AL592=""),"",(SUMPRODUCT(分期持仓明细!$B$26:$Y$26,'实盘净值数据(iFinD）'!$B592:$Y592/'实盘净值数据(iFinD）'!$B$69:$Y$69)+SUMPRODUCT(分期持仓明细!$AC$26:$AD$26,'实盘净值数据(iFinD）'!$Z592:$AA592/'实盘净值数据(iFinD）'!$Z$69:$AA$69)+SUMPRODUCT(分期持仓明细!$AE$26:$AO$26,'实盘净值数据(iFinD）'!$AB592:$AL592/'实盘净值数据(iFinD）'!$AB$69:$AL$69))*(1-实盘持仓初始配置!$Z$10)^(('实盘净值数据(iFinD）'!$A592-'实盘净值数据(iFinD）'!$A$69)/365))</f>
        <v/>
      </c>
      <c r="U592" s="16">
        <f>IF(OR(T591="",T592=""),"",T592/T591-1)</f>
        <v/>
      </c>
      <c r="V592" s="16">
        <f>IF(T592="","",T592/MAX(T$5:T592)-1)</f>
        <v/>
      </c>
    </row>
    <row r="593" spans="1:19">
      <c r="A593" s="15" t="str">
        <f>IF('实盘净值数据(iFinD）'!A593="","",'实盘净值数据(iFinD）'!A593)</f>
        <v/>
      </c>
      <c r="B593" s="13" t="str">
        <f>IF(OR('实盘净值数据(iFinD）'!$A593="",'实盘净值数据(iFinD）'!$B593=""),"",分期持仓明细!$AB$17*SUMPRODUCT(分期持仓明细!$B$17:$Y$17,'实盘净值数据(iFinD）'!$B593:$Y593/'实盘净值数据(iFinD）'!$B$20:$Y$20)*(1-实盘持仓初始配置!$Z$4)^(('实盘净值数据(iFinD）'!$A593-'实盘净值数据(iFinD）'!$A$6)/365))</f>
        <v/>
      </c>
      <c r="C593" s="16" t="str">
        <f t="shared" si="54"/>
        <v/>
      </c>
      <c r="D593" s="16" t="str">
        <f>IF(B593="","",B593/MAX(B$5:B593)-1)</f>
        <v/>
      </c>
      <c r="E593" s="13" t="str">
        <f>IF(OR('实盘净值数据(iFinD）'!$A593="",'实盘净值数据(iFinD）'!$B593=""),"",分期持仓明细!$AB$18*SUMPRODUCT(分期持仓明细!$B$18:$Y$18,'实盘净值数据(iFinD）'!$B593:$Y593/'实盘净值数据(iFinD）'!$B$20:$Y$20)*(1-实盘持仓初始配置!$Z$5)^(('实盘净值数据(iFinD）'!$A593-'实盘净值数据(iFinD）'!$A$5)/365))</f>
        <v/>
      </c>
      <c r="F593" s="16" t="str">
        <f t="shared" si="55"/>
        <v/>
      </c>
      <c r="G593" s="16" t="str">
        <f>IF(E593="","",E593/MAX(E$5:E593)-1)</f>
        <v/>
      </c>
      <c r="H593" s="13" t="str">
        <f>IF(OR('实盘净值数据(iFinD）'!$A593="",'实盘净值数据(iFinD）'!$B593=""),"",分期持仓明细!$AB$19*SUMPRODUCT(分期持仓明细!$B$19:$Y$19,'实盘净值数据(iFinD）'!$B593:$Y593/'实盘净值数据(iFinD）'!$B$20:$Y$20)*(1-实盘持仓初始配置!$Z$6)^(('实盘净值数据(iFinD）'!$A593-'实盘净值数据(iFinD）'!$A$7)/365))</f>
        <v/>
      </c>
      <c r="I593" s="16" t="str">
        <f t="shared" si="56"/>
        <v/>
      </c>
      <c r="J593" s="16" t="str">
        <f>IF(H593="","",H593/MAX(H$5:H593)-1)</f>
        <v/>
      </c>
      <c r="K593" s="13" t="str">
        <f>IF(OR('实盘净值数据(iFinD）'!$A593="",'实盘净值数据(iFinD）'!$B593="",'实盘净值数据(iFinD）'!$Z593="",'实盘净值数据(iFinD）'!$AA593=""),"",分期持仓明细!$AB$23*(SUMPRODUCT(分期持仓明细!$B$23:$Y$23,'实盘净值数据(iFinD）'!$B593:$Y593/'实盘净值数据(iFinD）'!$B$65:$Y$65)+SUMPRODUCT(分期持仓明细!$AC$23:$AD$23,'实盘净值数据(iFinD）'!$Z593:$AA593/'实盘净值数据(iFinD）'!$Z$65:$AA$65))*(1-实盘持仓初始配置!$Z$7)^(('实盘净值数据(iFinD）'!$A593-'实盘净值数据(iFinD）'!$A$8)/365))</f>
        <v/>
      </c>
      <c r="L593" s="16" t="str">
        <f t="shared" si="57"/>
        <v/>
      </c>
      <c r="M593" s="16" t="str">
        <f>IF(K593="","",K593/MAX(K$5:K593)-1)</f>
        <v/>
      </c>
      <c r="N593" s="13" t="str">
        <f>IF(OR('实盘净值数据(iFinD）'!$A593="",'实盘净值数据(iFinD）'!$B593="",'实盘净值数据(iFinD）'!$Z593="",'实盘净值数据(iFinD）'!$AA593=""),"",分期持仓明细!$AB$24*(SUMPRODUCT(分期持仓明细!$B$24:$Y$24,'实盘净值数据(iFinD）'!$B593:$Y593/'实盘净值数据(iFinD）'!$B$65:$Y$65)+SUMPRODUCT(分期持仓明细!$AC$24:$AD$24,'实盘净值数据(iFinD）'!$Z593:$AA593/'实盘净值数据(iFinD）'!$Z$65:$AA$65))*(1-实盘持仓初始配置!$Z$8)^(('实盘净值数据(iFinD）'!$A593-'实盘净值数据(iFinD）'!$A$5)/365))</f>
        <v/>
      </c>
      <c r="O593" s="16" t="str">
        <f t="shared" si="58"/>
        <v/>
      </c>
      <c r="P593" s="16" t="str">
        <f>IF(N593="","",N593/MAX(N$5:N593)-1)</f>
        <v/>
      </c>
      <c r="Q593" s="13" t="str">
        <f>IF(OR('实盘净值数据(iFinD）'!$A593="",'实盘净值数据(iFinD）'!$B593="",'实盘净值数据(iFinD）'!$Z593="",'实盘净值数据(iFinD）'!$AA593=""),"",分期持仓明细!$AB$25*(SUMPRODUCT(分期持仓明细!$B$25:$Y$25,'实盘净值数据(iFinD）'!$B593:$Y593/'实盘净值数据(iFinD）'!$B$65:$Y$65)+SUMPRODUCT(分期持仓明细!$AC$25:$AD$25,'实盘净值数据(iFinD）'!$Z593:$AA593/'实盘净值数据(iFinD）'!$Z$65:$AA$65))*(1-实盘持仓初始配置!$Z$9)^(('实盘净值数据(iFinD）'!$A593-'实盘净值数据(iFinD）'!$A$8)/365))</f>
        <v/>
      </c>
      <c r="R593" s="16" t="str">
        <f t="shared" si="59"/>
        <v/>
      </c>
      <c r="S593" s="16" t="str">
        <f>IF(Q593="","",Q593/MAX(Q$5:Q593)-1)</f>
        <v/>
      </c>
      <c r="T593" s="13">
        <f>IF(OR('实盘净值数据(iFinD）'!$A593="",'实盘净值数据(iFinD）'!$B593="",'实盘净值数据(iFinD）'!$Z593="",'实盘净值数据(iFinD）'!$AA593="",'实盘净值数据(iFinD）'!$AB593="",'实盘净值数据(iFinD）'!$AL593=""),"",(SUMPRODUCT(分期持仓明细!$B$26:$Y$26,'实盘净值数据(iFinD）'!$B593:$Y593/'实盘净值数据(iFinD）'!$B$69:$Y$69)+SUMPRODUCT(分期持仓明细!$AC$26:$AD$26,'实盘净值数据(iFinD）'!$Z593:$AA593/'实盘净值数据(iFinD）'!$Z$69:$AA$69)+SUMPRODUCT(分期持仓明细!$AE$26:$AO$26,'实盘净值数据(iFinD）'!$AB593:$AL593/'实盘净值数据(iFinD）'!$AB$69:$AL$69))*(1-实盘持仓初始配置!$Z$10)^(('实盘净值数据(iFinD）'!$A593-'实盘净值数据(iFinD）'!$A$69)/365))</f>
        <v/>
      </c>
      <c r="U593" s="16">
        <f>IF(OR(T592="",T593=""),"",T593/T592-1)</f>
        <v/>
      </c>
      <c r="V593" s="16">
        <f>IF(T593="","",T593/MAX(T$5:T593)-1)</f>
        <v/>
      </c>
    </row>
    <row r="594" spans="1:19">
      <c r="A594" s="15" t="str">
        <f>IF('实盘净值数据(iFinD）'!A594="","",'实盘净值数据(iFinD）'!A594)</f>
        <v/>
      </c>
      <c r="B594" s="13" t="str">
        <f>IF(OR('实盘净值数据(iFinD）'!$A594="",'实盘净值数据(iFinD）'!$B594=""),"",分期持仓明细!$AB$17*SUMPRODUCT(分期持仓明细!$B$17:$Y$17,'实盘净值数据(iFinD）'!$B594:$Y594/'实盘净值数据(iFinD）'!$B$20:$Y$20)*(1-实盘持仓初始配置!$Z$4)^(('实盘净值数据(iFinD）'!$A594-'实盘净值数据(iFinD）'!$A$6)/365))</f>
        <v/>
      </c>
      <c r="C594" s="16" t="str">
        <f t="shared" si="54"/>
        <v/>
      </c>
      <c r="D594" s="16" t="str">
        <f>IF(B594="","",B594/MAX(B$5:B594)-1)</f>
        <v/>
      </c>
      <c r="E594" s="13" t="str">
        <f>IF(OR('实盘净值数据(iFinD）'!$A594="",'实盘净值数据(iFinD）'!$B594=""),"",分期持仓明细!$AB$18*SUMPRODUCT(分期持仓明细!$B$18:$Y$18,'实盘净值数据(iFinD）'!$B594:$Y594/'实盘净值数据(iFinD）'!$B$20:$Y$20)*(1-实盘持仓初始配置!$Z$5)^(('实盘净值数据(iFinD）'!$A594-'实盘净值数据(iFinD）'!$A$5)/365))</f>
        <v/>
      </c>
      <c r="F594" s="16" t="str">
        <f t="shared" si="55"/>
        <v/>
      </c>
      <c r="G594" s="16" t="str">
        <f>IF(E594="","",E594/MAX(E$5:E594)-1)</f>
        <v/>
      </c>
      <c r="H594" s="13" t="str">
        <f>IF(OR('实盘净值数据(iFinD）'!$A594="",'实盘净值数据(iFinD）'!$B594=""),"",分期持仓明细!$AB$19*SUMPRODUCT(分期持仓明细!$B$19:$Y$19,'实盘净值数据(iFinD）'!$B594:$Y594/'实盘净值数据(iFinD）'!$B$20:$Y$20)*(1-实盘持仓初始配置!$Z$6)^(('实盘净值数据(iFinD）'!$A594-'实盘净值数据(iFinD）'!$A$7)/365))</f>
        <v/>
      </c>
      <c r="I594" s="16" t="str">
        <f t="shared" si="56"/>
        <v/>
      </c>
      <c r="J594" s="16" t="str">
        <f>IF(H594="","",H594/MAX(H$5:H594)-1)</f>
        <v/>
      </c>
      <c r="K594" s="13" t="str">
        <f>IF(OR('实盘净值数据(iFinD）'!$A594="",'实盘净值数据(iFinD）'!$B594="",'实盘净值数据(iFinD）'!$Z594="",'实盘净值数据(iFinD）'!$AA594=""),"",分期持仓明细!$AB$23*(SUMPRODUCT(分期持仓明细!$B$23:$Y$23,'实盘净值数据(iFinD）'!$B594:$Y594/'实盘净值数据(iFinD）'!$B$65:$Y$65)+SUMPRODUCT(分期持仓明细!$AC$23:$AD$23,'实盘净值数据(iFinD）'!$Z594:$AA594/'实盘净值数据(iFinD）'!$Z$65:$AA$65))*(1-实盘持仓初始配置!$Z$7)^(('实盘净值数据(iFinD）'!$A594-'实盘净值数据(iFinD）'!$A$8)/365))</f>
        <v/>
      </c>
      <c r="L594" s="16" t="str">
        <f t="shared" si="57"/>
        <v/>
      </c>
      <c r="M594" s="16" t="str">
        <f>IF(K594="","",K594/MAX(K$5:K594)-1)</f>
        <v/>
      </c>
      <c r="N594" s="13" t="str">
        <f>IF(OR('实盘净值数据(iFinD）'!$A594="",'实盘净值数据(iFinD）'!$B594="",'实盘净值数据(iFinD）'!$Z594="",'实盘净值数据(iFinD）'!$AA594=""),"",分期持仓明细!$AB$24*(SUMPRODUCT(分期持仓明细!$B$24:$Y$24,'实盘净值数据(iFinD）'!$B594:$Y594/'实盘净值数据(iFinD）'!$B$65:$Y$65)+SUMPRODUCT(分期持仓明细!$AC$24:$AD$24,'实盘净值数据(iFinD）'!$Z594:$AA594/'实盘净值数据(iFinD）'!$Z$65:$AA$65))*(1-实盘持仓初始配置!$Z$8)^(('实盘净值数据(iFinD）'!$A594-'实盘净值数据(iFinD）'!$A$5)/365))</f>
        <v/>
      </c>
      <c r="O594" s="16" t="str">
        <f t="shared" si="58"/>
        <v/>
      </c>
      <c r="P594" s="16" t="str">
        <f>IF(N594="","",N594/MAX(N$5:N594)-1)</f>
        <v/>
      </c>
      <c r="Q594" s="13" t="str">
        <f>IF(OR('实盘净值数据(iFinD）'!$A594="",'实盘净值数据(iFinD）'!$B594="",'实盘净值数据(iFinD）'!$Z594="",'实盘净值数据(iFinD）'!$AA594=""),"",分期持仓明细!$AB$25*(SUMPRODUCT(分期持仓明细!$B$25:$Y$25,'实盘净值数据(iFinD）'!$B594:$Y594/'实盘净值数据(iFinD）'!$B$65:$Y$65)+SUMPRODUCT(分期持仓明细!$AC$25:$AD$25,'实盘净值数据(iFinD）'!$Z594:$AA594/'实盘净值数据(iFinD）'!$Z$65:$AA$65))*(1-实盘持仓初始配置!$Z$9)^(('实盘净值数据(iFinD）'!$A594-'实盘净值数据(iFinD）'!$A$8)/365))</f>
        <v/>
      </c>
      <c r="R594" s="16" t="str">
        <f t="shared" si="59"/>
        <v/>
      </c>
      <c r="S594" s="16" t="str">
        <f>IF(Q594="","",Q594/MAX(Q$5:Q594)-1)</f>
        <v/>
      </c>
      <c r="T594" s="13">
        <f>IF(OR('实盘净值数据(iFinD）'!$A594="",'实盘净值数据(iFinD）'!$B594="",'实盘净值数据(iFinD）'!$Z594="",'实盘净值数据(iFinD）'!$AA594="",'实盘净值数据(iFinD）'!$AB594="",'实盘净值数据(iFinD）'!$AL594=""),"",(SUMPRODUCT(分期持仓明细!$B$26:$Y$26,'实盘净值数据(iFinD）'!$B594:$Y594/'实盘净值数据(iFinD）'!$B$69:$Y$69)+SUMPRODUCT(分期持仓明细!$AC$26:$AD$26,'实盘净值数据(iFinD）'!$Z594:$AA594/'实盘净值数据(iFinD）'!$Z$69:$AA$69)+SUMPRODUCT(分期持仓明细!$AE$26:$AO$26,'实盘净值数据(iFinD）'!$AB594:$AL594/'实盘净值数据(iFinD）'!$AB$69:$AL$69))*(1-实盘持仓初始配置!$Z$10)^(('实盘净值数据(iFinD）'!$A594-'实盘净值数据(iFinD）'!$A$69)/365))</f>
        <v/>
      </c>
      <c r="U594" s="16">
        <f>IF(OR(T593="",T594=""),"",T594/T593-1)</f>
        <v/>
      </c>
      <c r="V594" s="16">
        <f>IF(T594="","",T594/MAX(T$5:T594)-1)</f>
        <v/>
      </c>
    </row>
    <row r="595" spans="1:19">
      <c r="A595" s="15" t="str">
        <f>IF('实盘净值数据(iFinD）'!A595="","",'实盘净值数据(iFinD）'!A595)</f>
        <v/>
      </c>
      <c r="B595" s="13" t="str">
        <f>IF(OR('实盘净值数据(iFinD）'!$A595="",'实盘净值数据(iFinD）'!$B595=""),"",分期持仓明细!$AB$17*SUMPRODUCT(分期持仓明细!$B$17:$Y$17,'实盘净值数据(iFinD）'!$B595:$Y595/'实盘净值数据(iFinD）'!$B$20:$Y$20)*(1-实盘持仓初始配置!$Z$4)^(('实盘净值数据(iFinD）'!$A595-'实盘净值数据(iFinD）'!$A$6)/365))</f>
        <v/>
      </c>
      <c r="C595" s="16" t="str">
        <f t="shared" si="54"/>
        <v/>
      </c>
      <c r="D595" s="16" t="str">
        <f>IF(B595="","",B595/MAX(B$5:B595)-1)</f>
        <v/>
      </c>
      <c r="E595" s="13" t="str">
        <f>IF(OR('实盘净值数据(iFinD）'!$A595="",'实盘净值数据(iFinD）'!$B595=""),"",分期持仓明细!$AB$18*SUMPRODUCT(分期持仓明细!$B$18:$Y$18,'实盘净值数据(iFinD）'!$B595:$Y595/'实盘净值数据(iFinD）'!$B$20:$Y$20)*(1-实盘持仓初始配置!$Z$5)^(('实盘净值数据(iFinD）'!$A595-'实盘净值数据(iFinD）'!$A$5)/365))</f>
        <v/>
      </c>
      <c r="F595" s="16" t="str">
        <f t="shared" si="55"/>
        <v/>
      </c>
      <c r="G595" s="16" t="str">
        <f>IF(E595="","",E595/MAX(E$5:E595)-1)</f>
        <v/>
      </c>
      <c r="H595" s="13" t="str">
        <f>IF(OR('实盘净值数据(iFinD）'!$A595="",'实盘净值数据(iFinD）'!$B595=""),"",分期持仓明细!$AB$19*SUMPRODUCT(分期持仓明细!$B$19:$Y$19,'实盘净值数据(iFinD）'!$B595:$Y595/'实盘净值数据(iFinD）'!$B$20:$Y$20)*(1-实盘持仓初始配置!$Z$6)^(('实盘净值数据(iFinD）'!$A595-'实盘净值数据(iFinD）'!$A$7)/365))</f>
        <v/>
      </c>
      <c r="I595" s="16" t="str">
        <f t="shared" si="56"/>
        <v/>
      </c>
      <c r="J595" s="16" t="str">
        <f>IF(H595="","",H595/MAX(H$5:H595)-1)</f>
        <v/>
      </c>
      <c r="K595" s="13" t="str">
        <f>IF(OR('实盘净值数据(iFinD）'!$A595="",'实盘净值数据(iFinD）'!$B595="",'实盘净值数据(iFinD）'!$Z595="",'实盘净值数据(iFinD）'!$AA595=""),"",分期持仓明细!$AB$23*(SUMPRODUCT(分期持仓明细!$B$23:$Y$23,'实盘净值数据(iFinD）'!$B595:$Y595/'实盘净值数据(iFinD）'!$B$65:$Y$65)+SUMPRODUCT(分期持仓明细!$AC$23:$AD$23,'实盘净值数据(iFinD）'!$Z595:$AA595/'实盘净值数据(iFinD）'!$Z$65:$AA$65))*(1-实盘持仓初始配置!$Z$7)^(('实盘净值数据(iFinD）'!$A595-'实盘净值数据(iFinD）'!$A$8)/365))</f>
        <v/>
      </c>
      <c r="L595" s="16" t="str">
        <f t="shared" si="57"/>
        <v/>
      </c>
      <c r="M595" s="16" t="str">
        <f>IF(K595="","",K595/MAX(K$5:K595)-1)</f>
        <v/>
      </c>
      <c r="N595" s="13" t="str">
        <f>IF(OR('实盘净值数据(iFinD）'!$A595="",'实盘净值数据(iFinD）'!$B595="",'实盘净值数据(iFinD）'!$Z595="",'实盘净值数据(iFinD）'!$AA595=""),"",分期持仓明细!$AB$24*(SUMPRODUCT(分期持仓明细!$B$24:$Y$24,'实盘净值数据(iFinD）'!$B595:$Y595/'实盘净值数据(iFinD）'!$B$65:$Y$65)+SUMPRODUCT(分期持仓明细!$AC$24:$AD$24,'实盘净值数据(iFinD）'!$Z595:$AA595/'实盘净值数据(iFinD）'!$Z$65:$AA$65))*(1-实盘持仓初始配置!$Z$8)^(('实盘净值数据(iFinD）'!$A595-'实盘净值数据(iFinD）'!$A$5)/365))</f>
        <v/>
      </c>
      <c r="O595" s="16" t="str">
        <f t="shared" si="58"/>
        <v/>
      </c>
      <c r="P595" s="16" t="str">
        <f>IF(N595="","",N595/MAX(N$5:N595)-1)</f>
        <v/>
      </c>
      <c r="Q595" s="13" t="str">
        <f>IF(OR('实盘净值数据(iFinD）'!$A595="",'实盘净值数据(iFinD）'!$B595="",'实盘净值数据(iFinD）'!$Z595="",'实盘净值数据(iFinD）'!$AA595=""),"",分期持仓明细!$AB$25*(SUMPRODUCT(分期持仓明细!$B$25:$Y$25,'实盘净值数据(iFinD）'!$B595:$Y595/'实盘净值数据(iFinD）'!$B$65:$Y$65)+SUMPRODUCT(分期持仓明细!$AC$25:$AD$25,'实盘净值数据(iFinD）'!$Z595:$AA595/'实盘净值数据(iFinD）'!$Z$65:$AA$65))*(1-实盘持仓初始配置!$Z$9)^(('实盘净值数据(iFinD）'!$A595-'实盘净值数据(iFinD）'!$A$8)/365))</f>
        <v/>
      </c>
      <c r="R595" s="16" t="str">
        <f t="shared" si="59"/>
        <v/>
      </c>
      <c r="S595" s="16" t="str">
        <f>IF(Q595="","",Q595/MAX(Q$5:Q595)-1)</f>
        <v/>
      </c>
      <c r="T595" s="13">
        <f>IF(OR('实盘净值数据(iFinD）'!$A595="",'实盘净值数据(iFinD）'!$B595="",'实盘净值数据(iFinD）'!$Z595="",'实盘净值数据(iFinD）'!$AA595="",'实盘净值数据(iFinD）'!$AB595="",'实盘净值数据(iFinD）'!$AL595=""),"",(SUMPRODUCT(分期持仓明细!$B$26:$Y$26,'实盘净值数据(iFinD）'!$B595:$Y595/'实盘净值数据(iFinD）'!$B$69:$Y$69)+SUMPRODUCT(分期持仓明细!$AC$26:$AD$26,'实盘净值数据(iFinD）'!$Z595:$AA595/'实盘净值数据(iFinD）'!$Z$69:$AA$69)+SUMPRODUCT(分期持仓明细!$AE$26:$AO$26,'实盘净值数据(iFinD）'!$AB595:$AL595/'实盘净值数据(iFinD）'!$AB$69:$AL$69))*(1-实盘持仓初始配置!$Z$10)^(('实盘净值数据(iFinD）'!$A595-'实盘净值数据(iFinD）'!$A$69)/365))</f>
        <v/>
      </c>
      <c r="U595" s="16">
        <f>IF(OR(T594="",T595=""),"",T595/T594-1)</f>
        <v/>
      </c>
      <c r="V595" s="16">
        <f>IF(T595="","",T595/MAX(T$5:T595)-1)</f>
        <v/>
      </c>
    </row>
    <row r="596" spans="1:19">
      <c r="A596" s="15" t="str">
        <f>IF('实盘净值数据(iFinD）'!A596="","",'实盘净值数据(iFinD）'!A596)</f>
        <v/>
      </c>
      <c r="B596" s="13" t="str">
        <f>IF(OR('实盘净值数据(iFinD）'!$A596="",'实盘净值数据(iFinD）'!$B596=""),"",分期持仓明细!$AB$17*SUMPRODUCT(分期持仓明细!$B$17:$Y$17,'实盘净值数据(iFinD）'!$B596:$Y596/'实盘净值数据(iFinD）'!$B$20:$Y$20)*(1-实盘持仓初始配置!$Z$4)^(('实盘净值数据(iFinD）'!$A596-'实盘净值数据(iFinD）'!$A$6)/365))</f>
        <v/>
      </c>
      <c r="C596" s="16" t="str">
        <f t="shared" si="54"/>
        <v/>
      </c>
      <c r="D596" s="16" t="str">
        <f>IF(B596="","",B596/MAX(B$5:B596)-1)</f>
        <v/>
      </c>
      <c r="E596" s="13" t="str">
        <f>IF(OR('实盘净值数据(iFinD）'!$A596="",'实盘净值数据(iFinD）'!$B596=""),"",分期持仓明细!$AB$18*SUMPRODUCT(分期持仓明细!$B$18:$Y$18,'实盘净值数据(iFinD）'!$B596:$Y596/'实盘净值数据(iFinD）'!$B$20:$Y$20)*(1-实盘持仓初始配置!$Z$5)^(('实盘净值数据(iFinD）'!$A596-'实盘净值数据(iFinD）'!$A$5)/365))</f>
        <v/>
      </c>
      <c r="F596" s="16" t="str">
        <f t="shared" si="55"/>
        <v/>
      </c>
      <c r="G596" s="16" t="str">
        <f>IF(E596="","",E596/MAX(E$5:E596)-1)</f>
        <v/>
      </c>
      <c r="H596" s="13" t="str">
        <f>IF(OR('实盘净值数据(iFinD）'!$A596="",'实盘净值数据(iFinD）'!$B596=""),"",分期持仓明细!$AB$19*SUMPRODUCT(分期持仓明细!$B$19:$Y$19,'实盘净值数据(iFinD）'!$B596:$Y596/'实盘净值数据(iFinD）'!$B$20:$Y$20)*(1-实盘持仓初始配置!$Z$6)^(('实盘净值数据(iFinD）'!$A596-'实盘净值数据(iFinD）'!$A$7)/365))</f>
        <v/>
      </c>
      <c r="I596" s="16" t="str">
        <f t="shared" si="56"/>
        <v/>
      </c>
      <c r="J596" s="16" t="str">
        <f>IF(H596="","",H596/MAX(H$5:H596)-1)</f>
        <v/>
      </c>
      <c r="K596" s="13" t="str">
        <f>IF(OR('实盘净值数据(iFinD）'!$A596="",'实盘净值数据(iFinD）'!$B596="",'实盘净值数据(iFinD）'!$Z596="",'实盘净值数据(iFinD）'!$AA596=""),"",分期持仓明细!$AB$23*(SUMPRODUCT(分期持仓明细!$B$23:$Y$23,'实盘净值数据(iFinD）'!$B596:$Y596/'实盘净值数据(iFinD）'!$B$65:$Y$65)+SUMPRODUCT(分期持仓明细!$AC$23:$AD$23,'实盘净值数据(iFinD）'!$Z596:$AA596/'实盘净值数据(iFinD）'!$Z$65:$AA$65))*(1-实盘持仓初始配置!$Z$7)^(('实盘净值数据(iFinD）'!$A596-'实盘净值数据(iFinD）'!$A$8)/365))</f>
        <v/>
      </c>
      <c r="L596" s="16" t="str">
        <f t="shared" si="57"/>
        <v/>
      </c>
      <c r="M596" s="16" t="str">
        <f>IF(K596="","",K596/MAX(K$5:K596)-1)</f>
        <v/>
      </c>
      <c r="N596" s="13" t="str">
        <f>IF(OR('实盘净值数据(iFinD）'!$A596="",'实盘净值数据(iFinD）'!$B596="",'实盘净值数据(iFinD）'!$Z596="",'实盘净值数据(iFinD）'!$AA596=""),"",分期持仓明细!$AB$24*(SUMPRODUCT(分期持仓明细!$B$24:$Y$24,'实盘净值数据(iFinD）'!$B596:$Y596/'实盘净值数据(iFinD）'!$B$65:$Y$65)+SUMPRODUCT(分期持仓明细!$AC$24:$AD$24,'实盘净值数据(iFinD）'!$Z596:$AA596/'实盘净值数据(iFinD）'!$Z$65:$AA$65))*(1-实盘持仓初始配置!$Z$8)^(('实盘净值数据(iFinD）'!$A596-'实盘净值数据(iFinD）'!$A$5)/365))</f>
        <v/>
      </c>
      <c r="O596" s="16" t="str">
        <f t="shared" si="58"/>
        <v/>
      </c>
      <c r="P596" s="16" t="str">
        <f>IF(N596="","",N596/MAX(N$5:N596)-1)</f>
        <v/>
      </c>
      <c r="Q596" s="13" t="str">
        <f>IF(OR('实盘净值数据(iFinD）'!$A596="",'实盘净值数据(iFinD）'!$B596="",'实盘净值数据(iFinD）'!$Z596="",'实盘净值数据(iFinD）'!$AA596=""),"",分期持仓明细!$AB$25*(SUMPRODUCT(分期持仓明细!$B$25:$Y$25,'实盘净值数据(iFinD）'!$B596:$Y596/'实盘净值数据(iFinD）'!$B$65:$Y$65)+SUMPRODUCT(分期持仓明细!$AC$25:$AD$25,'实盘净值数据(iFinD）'!$Z596:$AA596/'实盘净值数据(iFinD）'!$Z$65:$AA$65))*(1-实盘持仓初始配置!$Z$9)^(('实盘净值数据(iFinD）'!$A596-'实盘净值数据(iFinD）'!$A$8)/365))</f>
        <v/>
      </c>
      <c r="R596" s="16" t="str">
        <f t="shared" si="59"/>
        <v/>
      </c>
      <c r="S596" s="16" t="str">
        <f>IF(Q596="","",Q596/MAX(Q$5:Q596)-1)</f>
        <v/>
      </c>
      <c r="T596" s="13">
        <f>IF(OR('实盘净值数据(iFinD）'!$A596="",'实盘净值数据(iFinD）'!$B596="",'实盘净值数据(iFinD）'!$Z596="",'实盘净值数据(iFinD）'!$AA596="",'实盘净值数据(iFinD）'!$AB596="",'实盘净值数据(iFinD）'!$AL596=""),"",(SUMPRODUCT(分期持仓明细!$B$26:$Y$26,'实盘净值数据(iFinD）'!$B596:$Y596/'实盘净值数据(iFinD）'!$B$69:$Y$69)+SUMPRODUCT(分期持仓明细!$AC$26:$AD$26,'实盘净值数据(iFinD）'!$Z596:$AA596/'实盘净值数据(iFinD）'!$Z$69:$AA$69)+SUMPRODUCT(分期持仓明细!$AE$26:$AO$26,'实盘净值数据(iFinD）'!$AB596:$AL596/'实盘净值数据(iFinD）'!$AB$69:$AL$69))*(1-实盘持仓初始配置!$Z$10)^(('实盘净值数据(iFinD）'!$A596-'实盘净值数据(iFinD）'!$A$69)/365))</f>
        <v/>
      </c>
      <c r="U596" s="16">
        <f>IF(OR(T595="",T596=""),"",T596/T595-1)</f>
        <v/>
      </c>
      <c r="V596" s="16">
        <f>IF(T596="","",T596/MAX(T$5:T596)-1)</f>
        <v/>
      </c>
    </row>
    <row r="597" spans="1:19">
      <c r="A597" s="15" t="str">
        <f>IF('实盘净值数据(iFinD）'!A597="","",'实盘净值数据(iFinD）'!A597)</f>
        <v/>
      </c>
      <c r="B597" s="13" t="str">
        <f>IF(OR('实盘净值数据(iFinD）'!$A597="",'实盘净值数据(iFinD）'!$B597=""),"",分期持仓明细!$AB$17*SUMPRODUCT(分期持仓明细!$B$17:$Y$17,'实盘净值数据(iFinD）'!$B597:$Y597/'实盘净值数据(iFinD）'!$B$20:$Y$20)*(1-实盘持仓初始配置!$Z$4)^(('实盘净值数据(iFinD）'!$A597-'实盘净值数据(iFinD）'!$A$6)/365))</f>
        <v/>
      </c>
      <c r="C597" s="16" t="str">
        <f t="shared" si="54"/>
        <v/>
      </c>
      <c r="D597" s="16" t="str">
        <f>IF(B597="","",B597/MAX(B$5:B597)-1)</f>
        <v/>
      </c>
      <c r="E597" s="13" t="str">
        <f>IF(OR('实盘净值数据(iFinD）'!$A597="",'实盘净值数据(iFinD）'!$B597=""),"",分期持仓明细!$AB$18*SUMPRODUCT(分期持仓明细!$B$18:$Y$18,'实盘净值数据(iFinD）'!$B597:$Y597/'实盘净值数据(iFinD）'!$B$20:$Y$20)*(1-实盘持仓初始配置!$Z$5)^(('实盘净值数据(iFinD）'!$A597-'实盘净值数据(iFinD）'!$A$5)/365))</f>
        <v/>
      </c>
      <c r="F597" s="16" t="str">
        <f t="shared" si="55"/>
        <v/>
      </c>
      <c r="G597" s="16" t="str">
        <f>IF(E597="","",E597/MAX(E$5:E597)-1)</f>
        <v/>
      </c>
      <c r="H597" s="13" t="str">
        <f>IF(OR('实盘净值数据(iFinD）'!$A597="",'实盘净值数据(iFinD）'!$B597=""),"",分期持仓明细!$AB$19*SUMPRODUCT(分期持仓明细!$B$19:$Y$19,'实盘净值数据(iFinD）'!$B597:$Y597/'实盘净值数据(iFinD）'!$B$20:$Y$20)*(1-实盘持仓初始配置!$Z$6)^(('实盘净值数据(iFinD）'!$A597-'实盘净值数据(iFinD）'!$A$7)/365))</f>
        <v/>
      </c>
      <c r="I597" s="16" t="str">
        <f t="shared" si="56"/>
        <v/>
      </c>
      <c r="J597" s="16" t="str">
        <f>IF(H597="","",H597/MAX(H$5:H597)-1)</f>
        <v/>
      </c>
      <c r="K597" s="13" t="str">
        <f>IF(OR('实盘净值数据(iFinD）'!$A597="",'实盘净值数据(iFinD）'!$B597="",'实盘净值数据(iFinD）'!$Z597="",'实盘净值数据(iFinD）'!$AA597=""),"",分期持仓明细!$AB$23*(SUMPRODUCT(分期持仓明细!$B$23:$Y$23,'实盘净值数据(iFinD）'!$B597:$Y597/'实盘净值数据(iFinD）'!$B$65:$Y$65)+SUMPRODUCT(分期持仓明细!$AC$23:$AD$23,'实盘净值数据(iFinD）'!$Z597:$AA597/'实盘净值数据(iFinD）'!$Z$65:$AA$65))*(1-实盘持仓初始配置!$Z$7)^(('实盘净值数据(iFinD）'!$A597-'实盘净值数据(iFinD）'!$A$8)/365))</f>
        <v/>
      </c>
      <c r="L597" s="16" t="str">
        <f t="shared" si="57"/>
        <v/>
      </c>
      <c r="M597" s="16" t="str">
        <f>IF(K597="","",K597/MAX(K$5:K597)-1)</f>
        <v/>
      </c>
      <c r="N597" s="13" t="str">
        <f>IF(OR('实盘净值数据(iFinD）'!$A597="",'实盘净值数据(iFinD）'!$B597="",'实盘净值数据(iFinD）'!$Z597="",'实盘净值数据(iFinD）'!$AA597=""),"",分期持仓明细!$AB$24*(SUMPRODUCT(分期持仓明细!$B$24:$Y$24,'实盘净值数据(iFinD）'!$B597:$Y597/'实盘净值数据(iFinD）'!$B$65:$Y$65)+SUMPRODUCT(分期持仓明细!$AC$24:$AD$24,'实盘净值数据(iFinD）'!$Z597:$AA597/'实盘净值数据(iFinD）'!$Z$65:$AA$65))*(1-实盘持仓初始配置!$Z$8)^(('实盘净值数据(iFinD）'!$A597-'实盘净值数据(iFinD）'!$A$5)/365))</f>
        <v/>
      </c>
      <c r="O597" s="16" t="str">
        <f t="shared" si="58"/>
        <v/>
      </c>
      <c r="P597" s="16" t="str">
        <f>IF(N597="","",N597/MAX(N$5:N597)-1)</f>
        <v/>
      </c>
      <c r="Q597" s="13" t="str">
        <f>IF(OR('实盘净值数据(iFinD）'!$A597="",'实盘净值数据(iFinD）'!$B597="",'实盘净值数据(iFinD）'!$Z597="",'实盘净值数据(iFinD）'!$AA597=""),"",分期持仓明细!$AB$25*(SUMPRODUCT(分期持仓明细!$B$25:$Y$25,'实盘净值数据(iFinD）'!$B597:$Y597/'实盘净值数据(iFinD）'!$B$65:$Y$65)+SUMPRODUCT(分期持仓明细!$AC$25:$AD$25,'实盘净值数据(iFinD）'!$Z597:$AA597/'实盘净值数据(iFinD）'!$Z$65:$AA$65))*(1-实盘持仓初始配置!$Z$9)^(('实盘净值数据(iFinD）'!$A597-'实盘净值数据(iFinD）'!$A$8)/365))</f>
        <v/>
      </c>
      <c r="R597" s="16" t="str">
        <f t="shared" si="59"/>
        <v/>
      </c>
      <c r="S597" s="16" t="str">
        <f>IF(Q597="","",Q597/MAX(Q$5:Q597)-1)</f>
        <v/>
      </c>
      <c r="T597" s="13">
        <f>IF(OR('实盘净值数据(iFinD）'!$A597="",'实盘净值数据(iFinD）'!$B597="",'实盘净值数据(iFinD）'!$Z597="",'实盘净值数据(iFinD）'!$AA597="",'实盘净值数据(iFinD）'!$AB597="",'实盘净值数据(iFinD）'!$AL597=""),"",(SUMPRODUCT(分期持仓明细!$B$26:$Y$26,'实盘净值数据(iFinD）'!$B597:$Y597/'实盘净值数据(iFinD）'!$B$69:$Y$69)+SUMPRODUCT(分期持仓明细!$AC$26:$AD$26,'实盘净值数据(iFinD）'!$Z597:$AA597/'实盘净值数据(iFinD）'!$Z$69:$AA$69)+SUMPRODUCT(分期持仓明细!$AE$26:$AO$26,'实盘净值数据(iFinD）'!$AB597:$AL597/'实盘净值数据(iFinD）'!$AB$69:$AL$69))*(1-实盘持仓初始配置!$Z$10)^(('实盘净值数据(iFinD）'!$A597-'实盘净值数据(iFinD）'!$A$69)/365))</f>
        <v/>
      </c>
      <c r="U597" s="16">
        <f>IF(OR(T596="",T597=""),"",T597/T596-1)</f>
        <v/>
      </c>
      <c r="V597" s="16">
        <f>IF(T597="","",T597/MAX(T$5:T597)-1)</f>
        <v/>
      </c>
    </row>
    <row r="598" spans="1:19">
      <c r="A598" s="15" t="str">
        <f>IF('实盘净值数据(iFinD）'!A598="","",'实盘净值数据(iFinD）'!A598)</f>
        <v/>
      </c>
      <c r="B598" s="13" t="str">
        <f>IF(OR('实盘净值数据(iFinD）'!$A598="",'实盘净值数据(iFinD）'!$B598=""),"",分期持仓明细!$AB$17*SUMPRODUCT(分期持仓明细!$B$17:$Y$17,'实盘净值数据(iFinD）'!$B598:$Y598/'实盘净值数据(iFinD）'!$B$20:$Y$20)*(1-实盘持仓初始配置!$Z$4)^(('实盘净值数据(iFinD）'!$A598-'实盘净值数据(iFinD）'!$A$6)/365))</f>
        <v/>
      </c>
      <c r="C598" s="16" t="str">
        <f t="shared" si="54"/>
        <v/>
      </c>
      <c r="D598" s="16" t="str">
        <f>IF(B598="","",B598/MAX(B$5:B598)-1)</f>
        <v/>
      </c>
      <c r="E598" s="13" t="str">
        <f>IF(OR('实盘净值数据(iFinD）'!$A598="",'实盘净值数据(iFinD）'!$B598=""),"",分期持仓明细!$AB$18*SUMPRODUCT(分期持仓明细!$B$18:$Y$18,'实盘净值数据(iFinD）'!$B598:$Y598/'实盘净值数据(iFinD）'!$B$20:$Y$20)*(1-实盘持仓初始配置!$Z$5)^(('实盘净值数据(iFinD）'!$A598-'实盘净值数据(iFinD）'!$A$5)/365))</f>
        <v/>
      </c>
      <c r="F598" s="16" t="str">
        <f t="shared" si="55"/>
        <v/>
      </c>
      <c r="G598" s="16" t="str">
        <f>IF(E598="","",E598/MAX(E$5:E598)-1)</f>
        <v/>
      </c>
      <c r="H598" s="13" t="str">
        <f>IF(OR('实盘净值数据(iFinD）'!$A598="",'实盘净值数据(iFinD）'!$B598=""),"",分期持仓明细!$AB$19*SUMPRODUCT(分期持仓明细!$B$19:$Y$19,'实盘净值数据(iFinD）'!$B598:$Y598/'实盘净值数据(iFinD）'!$B$20:$Y$20)*(1-实盘持仓初始配置!$Z$6)^(('实盘净值数据(iFinD）'!$A598-'实盘净值数据(iFinD）'!$A$7)/365))</f>
        <v/>
      </c>
      <c r="I598" s="16" t="str">
        <f t="shared" si="56"/>
        <v/>
      </c>
      <c r="J598" s="16" t="str">
        <f>IF(H598="","",H598/MAX(H$5:H598)-1)</f>
        <v/>
      </c>
      <c r="K598" s="13" t="str">
        <f>IF(OR('实盘净值数据(iFinD）'!$A598="",'实盘净值数据(iFinD）'!$B598="",'实盘净值数据(iFinD）'!$Z598="",'实盘净值数据(iFinD）'!$AA598=""),"",分期持仓明细!$AB$23*(SUMPRODUCT(分期持仓明细!$B$23:$Y$23,'实盘净值数据(iFinD）'!$B598:$Y598/'实盘净值数据(iFinD）'!$B$65:$Y$65)+SUMPRODUCT(分期持仓明细!$AC$23:$AD$23,'实盘净值数据(iFinD）'!$Z598:$AA598/'实盘净值数据(iFinD）'!$Z$65:$AA$65))*(1-实盘持仓初始配置!$Z$7)^(('实盘净值数据(iFinD）'!$A598-'实盘净值数据(iFinD）'!$A$8)/365))</f>
        <v/>
      </c>
      <c r="L598" s="16" t="str">
        <f t="shared" si="57"/>
        <v/>
      </c>
      <c r="M598" s="16" t="str">
        <f>IF(K598="","",K598/MAX(K$5:K598)-1)</f>
        <v/>
      </c>
      <c r="N598" s="13" t="str">
        <f>IF(OR('实盘净值数据(iFinD）'!$A598="",'实盘净值数据(iFinD）'!$B598="",'实盘净值数据(iFinD）'!$Z598="",'实盘净值数据(iFinD）'!$AA598=""),"",分期持仓明细!$AB$24*(SUMPRODUCT(分期持仓明细!$B$24:$Y$24,'实盘净值数据(iFinD）'!$B598:$Y598/'实盘净值数据(iFinD）'!$B$65:$Y$65)+SUMPRODUCT(分期持仓明细!$AC$24:$AD$24,'实盘净值数据(iFinD）'!$Z598:$AA598/'实盘净值数据(iFinD）'!$Z$65:$AA$65))*(1-实盘持仓初始配置!$Z$8)^(('实盘净值数据(iFinD）'!$A598-'实盘净值数据(iFinD）'!$A$5)/365))</f>
        <v/>
      </c>
      <c r="O598" s="16" t="str">
        <f t="shared" si="58"/>
        <v/>
      </c>
      <c r="P598" s="16" t="str">
        <f>IF(N598="","",N598/MAX(N$5:N598)-1)</f>
        <v/>
      </c>
      <c r="Q598" s="13" t="str">
        <f>IF(OR('实盘净值数据(iFinD）'!$A598="",'实盘净值数据(iFinD）'!$B598="",'实盘净值数据(iFinD）'!$Z598="",'实盘净值数据(iFinD）'!$AA598=""),"",分期持仓明细!$AB$25*(SUMPRODUCT(分期持仓明细!$B$25:$Y$25,'实盘净值数据(iFinD）'!$B598:$Y598/'实盘净值数据(iFinD）'!$B$65:$Y$65)+SUMPRODUCT(分期持仓明细!$AC$25:$AD$25,'实盘净值数据(iFinD）'!$Z598:$AA598/'实盘净值数据(iFinD）'!$Z$65:$AA$65))*(1-实盘持仓初始配置!$Z$9)^(('实盘净值数据(iFinD）'!$A598-'实盘净值数据(iFinD）'!$A$8)/365))</f>
        <v/>
      </c>
      <c r="R598" s="16" t="str">
        <f t="shared" si="59"/>
        <v/>
      </c>
      <c r="S598" s="16" t="str">
        <f>IF(Q598="","",Q598/MAX(Q$5:Q598)-1)</f>
        <v/>
      </c>
      <c r="T598" s="13">
        <f>IF(OR('实盘净值数据(iFinD）'!$A598="",'实盘净值数据(iFinD）'!$B598="",'实盘净值数据(iFinD）'!$Z598="",'实盘净值数据(iFinD）'!$AA598="",'实盘净值数据(iFinD）'!$AB598="",'实盘净值数据(iFinD）'!$AL598=""),"",(SUMPRODUCT(分期持仓明细!$B$26:$Y$26,'实盘净值数据(iFinD）'!$B598:$Y598/'实盘净值数据(iFinD）'!$B$69:$Y$69)+SUMPRODUCT(分期持仓明细!$AC$26:$AD$26,'实盘净值数据(iFinD）'!$Z598:$AA598/'实盘净值数据(iFinD）'!$Z$69:$AA$69)+SUMPRODUCT(分期持仓明细!$AE$26:$AO$26,'实盘净值数据(iFinD）'!$AB598:$AL598/'实盘净值数据(iFinD）'!$AB$69:$AL$69))*(1-实盘持仓初始配置!$Z$10)^(('实盘净值数据(iFinD）'!$A598-'实盘净值数据(iFinD）'!$A$69)/365))</f>
        <v/>
      </c>
      <c r="U598" s="16">
        <f>IF(OR(T597="",T598=""),"",T598/T597-1)</f>
        <v/>
      </c>
      <c r="V598" s="16">
        <f>IF(T598="","",T598/MAX(T$5:T598)-1)</f>
        <v/>
      </c>
    </row>
    <row r="599" spans="1:19">
      <c r="A599" s="15" t="str">
        <f>IF('实盘净值数据(iFinD）'!A599="","",'实盘净值数据(iFinD）'!A599)</f>
        <v/>
      </c>
      <c r="B599" s="13" t="str">
        <f>IF(OR('实盘净值数据(iFinD）'!$A599="",'实盘净值数据(iFinD）'!$B599=""),"",分期持仓明细!$AB$17*SUMPRODUCT(分期持仓明细!$B$17:$Y$17,'实盘净值数据(iFinD）'!$B599:$Y599/'实盘净值数据(iFinD）'!$B$20:$Y$20)*(1-实盘持仓初始配置!$Z$4)^(('实盘净值数据(iFinD）'!$A599-'实盘净值数据(iFinD）'!$A$6)/365))</f>
        <v/>
      </c>
      <c r="C599" s="16" t="str">
        <f t="shared" si="54"/>
        <v/>
      </c>
      <c r="D599" s="16" t="str">
        <f>IF(B599="","",B599/MAX(B$5:B599)-1)</f>
        <v/>
      </c>
      <c r="E599" s="13" t="str">
        <f>IF(OR('实盘净值数据(iFinD）'!$A599="",'实盘净值数据(iFinD）'!$B599=""),"",分期持仓明细!$AB$18*SUMPRODUCT(分期持仓明细!$B$18:$Y$18,'实盘净值数据(iFinD）'!$B599:$Y599/'实盘净值数据(iFinD）'!$B$20:$Y$20)*(1-实盘持仓初始配置!$Z$5)^(('实盘净值数据(iFinD）'!$A599-'实盘净值数据(iFinD）'!$A$5)/365))</f>
        <v/>
      </c>
      <c r="F599" s="16" t="str">
        <f t="shared" si="55"/>
        <v/>
      </c>
      <c r="G599" s="16" t="str">
        <f>IF(E599="","",E599/MAX(E$5:E599)-1)</f>
        <v/>
      </c>
      <c r="H599" s="13" t="str">
        <f>IF(OR('实盘净值数据(iFinD）'!$A599="",'实盘净值数据(iFinD）'!$B599=""),"",分期持仓明细!$AB$19*SUMPRODUCT(分期持仓明细!$B$19:$Y$19,'实盘净值数据(iFinD）'!$B599:$Y599/'实盘净值数据(iFinD）'!$B$20:$Y$20)*(1-实盘持仓初始配置!$Z$6)^(('实盘净值数据(iFinD）'!$A599-'实盘净值数据(iFinD）'!$A$7)/365))</f>
        <v/>
      </c>
      <c r="I599" s="16" t="str">
        <f t="shared" si="56"/>
        <v/>
      </c>
      <c r="J599" s="16" t="str">
        <f>IF(H599="","",H599/MAX(H$5:H599)-1)</f>
        <v/>
      </c>
      <c r="K599" s="13" t="str">
        <f>IF(OR('实盘净值数据(iFinD）'!$A599="",'实盘净值数据(iFinD）'!$B599="",'实盘净值数据(iFinD）'!$Z599="",'实盘净值数据(iFinD）'!$AA599=""),"",分期持仓明细!$AB$23*(SUMPRODUCT(分期持仓明细!$B$23:$Y$23,'实盘净值数据(iFinD）'!$B599:$Y599/'实盘净值数据(iFinD）'!$B$65:$Y$65)+SUMPRODUCT(分期持仓明细!$AC$23:$AD$23,'实盘净值数据(iFinD）'!$Z599:$AA599/'实盘净值数据(iFinD）'!$Z$65:$AA$65))*(1-实盘持仓初始配置!$Z$7)^(('实盘净值数据(iFinD）'!$A599-'实盘净值数据(iFinD）'!$A$8)/365))</f>
        <v/>
      </c>
      <c r="L599" s="16" t="str">
        <f t="shared" si="57"/>
        <v/>
      </c>
      <c r="M599" s="16" t="str">
        <f>IF(K599="","",K599/MAX(K$5:K599)-1)</f>
        <v/>
      </c>
      <c r="N599" s="13" t="str">
        <f>IF(OR('实盘净值数据(iFinD）'!$A599="",'实盘净值数据(iFinD）'!$B599="",'实盘净值数据(iFinD）'!$Z599="",'实盘净值数据(iFinD）'!$AA599=""),"",分期持仓明细!$AB$24*(SUMPRODUCT(分期持仓明细!$B$24:$Y$24,'实盘净值数据(iFinD）'!$B599:$Y599/'实盘净值数据(iFinD）'!$B$65:$Y$65)+SUMPRODUCT(分期持仓明细!$AC$24:$AD$24,'实盘净值数据(iFinD）'!$Z599:$AA599/'实盘净值数据(iFinD）'!$Z$65:$AA$65))*(1-实盘持仓初始配置!$Z$8)^(('实盘净值数据(iFinD）'!$A599-'实盘净值数据(iFinD）'!$A$5)/365))</f>
        <v/>
      </c>
      <c r="O599" s="16" t="str">
        <f t="shared" si="58"/>
        <v/>
      </c>
      <c r="P599" s="16" t="str">
        <f>IF(N599="","",N599/MAX(N$5:N599)-1)</f>
        <v/>
      </c>
      <c r="Q599" s="13" t="str">
        <f>IF(OR('实盘净值数据(iFinD）'!$A599="",'实盘净值数据(iFinD）'!$B599="",'实盘净值数据(iFinD）'!$Z599="",'实盘净值数据(iFinD）'!$AA599=""),"",分期持仓明细!$AB$25*(SUMPRODUCT(分期持仓明细!$B$25:$Y$25,'实盘净值数据(iFinD）'!$B599:$Y599/'实盘净值数据(iFinD）'!$B$65:$Y$65)+SUMPRODUCT(分期持仓明细!$AC$25:$AD$25,'实盘净值数据(iFinD）'!$Z599:$AA599/'实盘净值数据(iFinD）'!$Z$65:$AA$65))*(1-实盘持仓初始配置!$Z$9)^(('实盘净值数据(iFinD）'!$A599-'实盘净值数据(iFinD）'!$A$8)/365))</f>
        <v/>
      </c>
      <c r="R599" s="16" t="str">
        <f t="shared" si="59"/>
        <v/>
      </c>
      <c r="S599" s="16" t="str">
        <f>IF(Q599="","",Q599/MAX(Q$5:Q599)-1)</f>
        <v/>
      </c>
      <c r="T599" s="13">
        <f>IF(OR('实盘净值数据(iFinD）'!$A599="",'实盘净值数据(iFinD）'!$B599="",'实盘净值数据(iFinD）'!$Z599="",'实盘净值数据(iFinD）'!$AA599="",'实盘净值数据(iFinD）'!$AB599="",'实盘净值数据(iFinD）'!$AL599=""),"",(SUMPRODUCT(分期持仓明细!$B$26:$Y$26,'实盘净值数据(iFinD）'!$B599:$Y599/'实盘净值数据(iFinD）'!$B$69:$Y$69)+SUMPRODUCT(分期持仓明细!$AC$26:$AD$26,'实盘净值数据(iFinD）'!$Z599:$AA599/'实盘净值数据(iFinD）'!$Z$69:$AA$69)+SUMPRODUCT(分期持仓明细!$AE$26:$AO$26,'实盘净值数据(iFinD）'!$AB599:$AL599/'实盘净值数据(iFinD）'!$AB$69:$AL$69))*(1-实盘持仓初始配置!$Z$10)^(('实盘净值数据(iFinD）'!$A599-'实盘净值数据(iFinD）'!$A$69)/365))</f>
        <v/>
      </c>
      <c r="U599" s="16">
        <f>IF(OR(T598="",T599=""),"",T599/T598-1)</f>
        <v/>
      </c>
      <c r="V599" s="16">
        <f>IF(T599="","",T599/MAX(T$5:T599)-1)</f>
        <v/>
      </c>
    </row>
    <row r="600" spans="1:19">
      <c r="A600" s="15" t="str">
        <f>IF('实盘净值数据(iFinD）'!A600="","",'实盘净值数据(iFinD）'!A600)</f>
        <v/>
      </c>
      <c r="B600" s="13" t="str">
        <f>IF(OR('实盘净值数据(iFinD）'!$A600="",'实盘净值数据(iFinD）'!$B600=""),"",分期持仓明细!$AB$17*SUMPRODUCT(分期持仓明细!$B$17:$Y$17,'实盘净值数据(iFinD）'!$B600:$Y600/'实盘净值数据(iFinD）'!$B$20:$Y$20)*(1-实盘持仓初始配置!$Z$4)^(('实盘净值数据(iFinD）'!$A600-'实盘净值数据(iFinD）'!$A$6)/365))</f>
        <v/>
      </c>
      <c r="C600" s="16" t="str">
        <f t="shared" si="54"/>
        <v/>
      </c>
      <c r="D600" s="16" t="str">
        <f>IF(B600="","",B600/MAX(B$5:B600)-1)</f>
        <v/>
      </c>
      <c r="E600" s="13" t="str">
        <f>IF(OR('实盘净值数据(iFinD）'!$A600="",'实盘净值数据(iFinD）'!$B600=""),"",分期持仓明细!$AB$18*SUMPRODUCT(分期持仓明细!$B$18:$Y$18,'实盘净值数据(iFinD）'!$B600:$Y600/'实盘净值数据(iFinD）'!$B$20:$Y$20)*(1-实盘持仓初始配置!$Z$5)^(('实盘净值数据(iFinD）'!$A600-'实盘净值数据(iFinD）'!$A$5)/365))</f>
        <v/>
      </c>
      <c r="F600" s="16" t="str">
        <f t="shared" si="55"/>
        <v/>
      </c>
      <c r="G600" s="16" t="str">
        <f>IF(E600="","",E600/MAX(E$5:E600)-1)</f>
        <v/>
      </c>
      <c r="H600" s="13" t="str">
        <f>IF(OR('实盘净值数据(iFinD）'!$A600="",'实盘净值数据(iFinD）'!$B600=""),"",分期持仓明细!$AB$19*SUMPRODUCT(分期持仓明细!$B$19:$Y$19,'实盘净值数据(iFinD）'!$B600:$Y600/'实盘净值数据(iFinD）'!$B$20:$Y$20)*(1-实盘持仓初始配置!$Z$6)^(('实盘净值数据(iFinD）'!$A600-'实盘净值数据(iFinD）'!$A$7)/365))</f>
        <v/>
      </c>
      <c r="I600" s="16" t="str">
        <f t="shared" si="56"/>
        <v/>
      </c>
      <c r="J600" s="16" t="str">
        <f>IF(H600="","",H600/MAX(H$5:H600)-1)</f>
        <v/>
      </c>
      <c r="K600" s="13" t="str">
        <f>IF(OR('实盘净值数据(iFinD）'!$A600="",'实盘净值数据(iFinD）'!$B600="",'实盘净值数据(iFinD）'!$Z600="",'实盘净值数据(iFinD）'!$AA600=""),"",分期持仓明细!$AB$23*(SUMPRODUCT(分期持仓明细!$B$23:$Y$23,'实盘净值数据(iFinD）'!$B600:$Y600/'实盘净值数据(iFinD）'!$B$65:$Y$65)+SUMPRODUCT(分期持仓明细!$AC$23:$AD$23,'实盘净值数据(iFinD）'!$Z600:$AA600/'实盘净值数据(iFinD）'!$Z$65:$AA$65))*(1-实盘持仓初始配置!$Z$7)^(('实盘净值数据(iFinD）'!$A600-'实盘净值数据(iFinD）'!$A$8)/365))</f>
        <v/>
      </c>
      <c r="L600" s="16" t="str">
        <f t="shared" si="57"/>
        <v/>
      </c>
      <c r="M600" s="16" t="str">
        <f>IF(K600="","",K600/MAX(K$5:K600)-1)</f>
        <v/>
      </c>
      <c r="N600" s="13" t="str">
        <f>IF(OR('实盘净值数据(iFinD）'!$A600="",'实盘净值数据(iFinD）'!$B600="",'实盘净值数据(iFinD）'!$Z600="",'实盘净值数据(iFinD）'!$AA600=""),"",分期持仓明细!$AB$24*(SUMPRODUCT(分期持仓明细!$B$24:$Y$24,'实盘净值数据(iFinD）'!$B600:$Y600/'实盘净值数据(iFinD）'!$B$65:$Y$65)+SUMPRODUCT(分期持仓明细!$AC$24:$AD$24,'实盘净值数据(iFinD）'!$Z600:$AA600/'实盘净值数据(iFinD）'!$Z$65:$AA$65))*(1-实盘持仓初始配置!$Z$8)^(('实盘净值数据(iFinD）'!$A600-'实盘净值数据(iFinD）'!$A$5)/365))</f>
        <v/>
      </c>
      <c r="O600" s="16" t="str">
        <f t="shared" si="58"/>
        <v/>
      </c>
      <c r="P600" s="16" t="str">
        <f>IF(N600="","",N600/MAX(N$5:N600)-1)</f>
        <v/>
      </c>
      <c r="Q600" s="13" t="str">
        <f>IF(OR('实盘净值数据(iFinD）'!$A600="",'实盘净值数据(iFinD）'!$B600="",'实盘净值数据(iFinD）'!$Z600="",'实盘净值数据(iFinD）'!$AA600=""),"",分期持仓明细!$AB$25*(SUMPRODUCT(分期持仓明细!$B$25:$Y$25,'实盘净值数据(iFinD）'!$B600:$Y600/'实盘净值数据(iFinD）'!$B$65:$Y$65)+SUMPRODUCT(分期持仓明细!$AC$25:$AD$25,'实盘净值数据(iFinD）'!$Z600:$AA600/'实盘净值数据(iFinD）'!$Z$65:$AA$65))*(1-实盘持仓初始配置!$Z$9)^(('实盘净值数据(iFinD）'!$A600-'实盘净值数据(iFinD）'!$A$8)/365))</f>
        <v/>
      </c>
      <c r="R600" s="16" t="str">
        <f t="shared" si="59"/>
        <v/>
      </c>
      <c r="S600" s="16" t="str">
        <f>IF(Q600="","",Q600/MAX(Q$5:Q600)-1)</f>
        <v/>
      </c>
      <c r="T600" s="13">
        <f>IF(OR('实盘净值数据(iFinD）'!$A600="",'实盘净值数据(iFinD）'!$B600="",'实盘净值数据(iFinD）'!$Z600="",'实盘净值数据(iFinD）'!$AA600="",'实盘净值数据(iFinD）'!$AB600="",'实盘净值数据(iFinD）'!$AL600=""),"",(SUMPRODUCT(分期持仓明细!$B$26:$Y$26,'实盘净值数据(iFinD）'!$B600:$Y600/'实盘净值数据(iFinD）'!$B$69:$Y$69)+SUMPRODUCT(分期持仓明细!$AC$26:$AD$26,'实盘净值数据(iFinD）'!$Z600:$AA600/'实盘净值数据(iFinD）'!$Z$69:$AA$69)+SUMPRODUCT(分期持仓明细!$AE$26:$AO$26,'实盘净值数据(iFinD）'!$AB600:$AL600/'实盘净值数据(iFinD）'!$AB$69:$AL$69))*(1-实盘持仓初始配置!$Z$10)^(('实盘净值数据(iFinD）'!$A600-'实盘净值数据(iFinD）'!$A$69)/365))</f>
        <v/>
      </c>
      <c r="U600" s="16">
        <f>IF(OR(T599="",T600=""),"",T600/T599-1)</f>
        <v/>
      </c>
      <c r="V600" s="16">
        <f>IF(T600="","",T600/MAX(T$5:T600)-1)</f>
        <v/>
      </c>
    </row>
    <row r="601" spans="1:19">
      <c r="A601" s="15" t="str">
        <f>IF('实盘净值数据(iFinD）'!A601="","",'实盘净值数据(iFinD）'!A601)</f>
        <v/>
      </c>
      <c r="B601" s="13" t="str">
        <f>IF(OR('实盘净值数据(iFinD）'!$A601="",'实盘净值数据(iFinD）'!$B601=""),"",分期持仓明细!$AB$17*SUMPRODUCT(分期持仓明细!$B$17:$Y$17,'实盘净值数据(iFinD）'!$B601:$Y601/'实盘净值数据(iFinD）'!$B$20:$Y$20)*(1-实盘持仓初始配置!$Z$4)^(('实盘净值数据(iFinD）'!$A601-'实盘净值数据(iFinD）'!$A$6)/365))</f>
        <v/>
      </c>
      <c r="C601" s="16" t="str">
        <f t="shared" si="54"/>
        <v/>
      </c>
      <c r="D601" s="16" t="str">
        <f>IF(B601="","",B601/MAX(B$5:B601)-1)</f>
        <v/>
      </c>
      <c r="E601" s="13" t="str">
        <f>IF(OR('实盘净值数据(iFinD）'!$A601="",'实盘净值数据(iFinD）'!$B601=""),"",分期持仓明细!$AB$18*SUMPRODUCT(分期持仓明细!$B$18:$Y$18,'实盘净值数据(iFinD）'!$B601:$Y601/'实盘净值数据(iFinD）'!$B$20:$Y$20)*(1-实盘持仓初始配置!$Z$5)^(('实盘净值数据(iFinD）'!$A601-'实盘净值数据(iFinD）'!$A$5)/365))</f>
        <v/>
      </c>
      <c r="F601" s="16" t="str">
        <f t="shared" si="55"/>
        <v/>
      </c>
      <c r="G601" s="16" t="str">
        <f>IF(E601="","",E601/MAX(E$5:E601)-1)</f>
        <v/>
      </c>
      <c r="H601" s="13" t="str">
        <f>IF(OR('实盘净值数据(iFinD）'!$A601="",'实盘净值数据(iFinD）'!$B601=""),"",分期持仓明细!$AB$19*SUMPRODUCT(分期持仓明细!$B$19:$Y$19,'实盘净值数据(iFinD）'!$B601:$Y601/'实盘净值数据(iFinD）'!$B$20:$Y$20)*(1-实盘持仓初始配置!$Z$6)^(('实盘净值数据(iFinD）'!$A601-'实盘净值数据(iFinD）'!$A$7)/365))</f>
        <v/>
      </c>
      <c r="I601" s="16" t="str">
        <f t="shared" si="56"/>
        <v/>
      </c>
      <c r="J601" s="16" t="str">
        <f>IF(H601="","",H601/MAX(H$5:H601)-1)</f>
        <v/>
      </c>
      <c r="K601" s="13" t="str">
        <f>IF(OR('实盘净值数据(iFinD）'!$A601="",'实盘净值数据(iFinD）'!$B601="",'实盘净值数据(iFinD）'!$Z601="",'实盘净值数据(iFinD）'!$AA601=""),"",分期持仓明细!$AB$23*(SUMPRODUCT(分期持仓明细!$B$23:$Y$23,'实盘净值数据(iFinD）'!$B601:$Y601/'实盘净值数据(iFinD）'!$B$65:$Y$65)+SUMPRODUCT(分期持仓明细!$AC$23:$AD$23,'实盘净值数据(iFinD）'!$Z601:$AA601/'实盘净值数据(iFinD）'!$Z$65:$AA$65))*(1-实盘持仓初始配置!$Z$7)^(('实盘净值数据(iFinD）'!$A601-'实盘净值数据(iFinD）'!$A$8)/365))</f>
        <v/>
      </c>
      <c r="L601" s="16" t="str">
        <f t="shared" si="57"/>
        <v/>
      </c>
      <c r="M601" s="16" t="str">
        <f>IF(K601="","",K601/MAX(K$5:K601)-1)</f>
        <v/>
      </c>
      <c r="N601" s="13" t="str">
        <f>IF(OR('实盘净值数据(iFinD）'!$A601="",'实盘净值数据(iFinD）'!$B601="",'实盘净值数据(iFinD）'!$Z601="",'实盘净值数据(iFinD）'!$AA601=""),"",分期持仓明细!$AB$24*(SUMPRODUCT(分期持仓明细!$B$24:$Y$24,'实盘净值数据(iFinD）'!$B601:$Y601/'实盘净值数据(iFinD）'!$B$65:$Y$65)+SUMPRODUCT(分期持仓明细!$AC$24:$AD$24,'实盘净值数据(iFinD）'!$Z601:$AA601/'实盘净值数据(iFinD）'!$Z$65:$AA$65))*(1-实盘持仓初始配置!$Z$8)^(('实盘净值数据(iFinD）'!$A601-'实盘净值数据(iFinD）'!$A$5)/365))</f>
        <v/>
      </c>
      <c r="O601" s="16" t="str">
        <f t="shared" si="58"/>
        <v/>
      </c>
      <c r="P601" s="16" t="str">
        <f>IF(N601="","",N601/MAX(N$5:N601)-1)</f>
        <v/>
      </c>
      <c r="Q601" s="13" t="str">
        <f>IF(OR('实盘净值数据(iFinD）'!$A601="",'实盘净值数据(iFinD）'!$B601="",'实盘净值数据(iFinD）'!$Z601="",'实盘净值数据(iFinD）'!$AA601=""),"",分期持仓明细!$AB$25*(SUMPRODUCT(分期持仓明细!$B$25:$Y$25,'实盘净值数据(iFinD）'!$B601:$Y601/'实盘净值数据(iFinD）'!$B$65:$Y$65)+SUMPRODUCT(分期持仓明细!$AC$25:$AD$25,'实盘净值数据(iFinD）'!$Z601:$AA601/'实盘净值数据(iFinD）'!$Z$65:$AA$65))*(1-实盘持仓初始配置!$Z$9)^(('实盘净值数据(iFinD）'!$A601-'实盘净值数据(iFinD）'!$A$8)/365))</f>
        <v/>
      </c>
      <c r="R601" s="16" t="str">
        <f t="shared" si="59"/>
        <v/>
      </c>
      <c r="S601" s="16" t="str">
        <f>IF(Q601="","",Q601/MAX(Q$5:Q601)-1)</f>
        <v/>
      </c>
      <c r="T601" s="13">
        <f>IF(OR('实盘净值数据(iFinD）'!$A601="",'实盘净值数据(iFinD）'!$B601="",'实盘净值数据(iFinD）'!$Z601="",'实盘净值数据(iFinD）'!$AA601="",'实盘净值数据(iFinD）'!$AB601="",'实盘净值数据(iFinD）'!$AL601=""),"",(SUMPRODUCT(分期持仓明细!$B$26:$Y$26,'实盘净值数据(iFinD）'!$B601:$Y601/'实盘净值数据(iFinD）'!$B$69:$Y$69)+SUMPRODUCT(分期持仓明细!$AC$26:$AD$26,'实盘净值数据(iFinD）'!$Z601:$AA601/'实盘净值数据(iFinD）'!$Z$69:$AA$69)+SUMPRODUCT(分期持仓明细!$AE$26:$AO$26,'实盘净值数据(iFinD）'!$AB601:$AL601/'实盘净值数据(iFinD）'!$AB$69:$AL$69))*(1-实盘持仓初始配置!$Z$10)^(('实盘净值数据(iFinD）'!$A601-'实盘净值数据(iFinD）'!$A$69)/365))</f>
        <v/>
      </c>
      <c r="U601" s="16">
        <f>IF(OR(T600="",T601=""),"",T601/T600-1)</f>
        <v/>
      </c>
      <c r="V601" s="16">
        <f>IF(T601="","",T601/MAX(T$5:T601)-1)</f>
        <v/>
      </c>
    </row>
    <row r="602" spans="1:19">
      <c r="A602" s="15" t="str">
        <f>IF('实盘净值数据(iFinD）'!A602="","",'实盘净值数据(iFinD）'!A602)</f>
        <v/>
      </c>
      <c r="B602" s="13" t="str">
        <f>IF(OR('实盘净值数据(iFinD）'!$A602="",'实盘净值数据(iFinD）'!$B602=""),"",分期持仓明细!$AB$17*SUMPRODUCT(分期持仓明细!$B$17:$Y$17,'实盘净值数据(iFinD）'!$B602:$Y602/'实盘净值数据(iFinD）'!$B$20:$Y$20)*(1-实盘持仓初始配置!$Z$4)^(('实盘净值数据(iFinD）'!$A602-'实盘净值数据(iFinD）'!$A$6)/365))</f>
        <v/>
      </c>
      <c r="C602" s="16" t="str">
        <f t="shared" si="54"/>
        <v/>
      </c>
      <c r="D602" s="16" t="str">
        <f>IF(B602="","",B602/MAX(B$5:B602)-1)</f>
        <v/>
      </c>
      <c r="E602" s="13" t="str">
        <f>IF(OR('实盘净值数据(iFinD）'!$A602="",'实盘净值数据(iFinD）'!$B602=""),"",分期持仓明细!$AB$18*SUMPRODUCT(分期持仓明细!$B$18:$Y$18,'实盘净值数据(iFinD）'!$B602:$Y602/'实盘净值数据(iFinD）'!$B$20:$Y$20)*(1-实盘持仓初始配置!$Z$5)^(('实盘净值数据(iFinD）'!$A602-'实盘净值数据(iFinD）'!$A$5)/365))</f>
        <v/>
      </c>
      <c r="F602" s="16" t="str">
        <f t="shared" si="55"/>
        <v/>
      </c>
      <c r="G602" s="16" t="str">
        <f>IF(E602="","",E602/MAX(E$5:E602)-1)</f>
        <v/>
      </c>
      <c r="H602" s="13" t="str">
        <f>IF(OR('实盘净值数据(iFinD）'!$A602="",'实盘净值数据(iFinD）'!$B602=""),"",分期持仓明细!$AB$19*SUMPRODUCT(分期持仓明细!$B$19:$Y$19,'实盘净值数据(iFinD）'!$B602:$Y602/'实盘净值数据(iFinD）'!$B$20:$Y$20)*(1-实盘持仓初始配置!$Z$6)^(('实盘净值数据(iFinD）'!$A602-'实盘净值数据(iFinD）'!$A$7)/365))</f>
        <v/>
      </c>
      <c r="I602" s="16" t="str">
        <f t="shared" si="56"/>
        <v/>
      </c>
      <c r="J602" s="16" t="str">
        <f>IF(H602="","",H602/MAX(H$5:H602)-1)</f>
        <v/>
      </c>
      <c r="K602" s="13" t="str">
        <f>IF(OR('实盘净值数据(iFinD）'!$A602="",'实盘净值数据(iFinD）'!$B602="",'实盘净值数据(iFinD）'!$Z602="",'实盘净值数据(iFinD）'!$AA602=""),"",分期持仓明细!$AB$23*(SUMPRODUCT(分期持仓明细!$B$23:$Y$23,'实盘净值数据(iFinD）'!$B602:$Y602/'实盘净值数据(iFinD）'!$B$65:$Y$65)+SUMPRODUCT(分期持仓明细!$AC$23:$AD$23,'实盘净值数据(iFinD）'!$Z602:$AA602/'实盘净值数据(iFinD）'!$Z$65:$AA$65))*(1-实盘持仓初始配置!$Z$7)^(('实盘净值数据(iFinD）'!$A602-'实盘净值数据(iFinD）'!$A$8)/365))</f>
        <v/>
      </c>
      <c r="L602" s="16" t="str">
        <f t="shared" si="57"/>
        <v/>
      </c>
      <c r="M602" s="16" t="str">
        <f>IF(K602="","",K602/MAX(K$5:K602)-1)</f>
        <v/>
      </c>
      <c r="N602" s="13" t="str">
        <f>IF(OR('实盘净值数据(iFinD）'!$A602="",'实盘净值数据(iFinD）'!$B602="",'实盘净值数据(iFinD）'!$Z602="",'实盘净值数据(iFinD）'!$AA602=""),"",分期持仓明细!$AB$24*(SUMPRODUCT(分期持仓明细!$B$24:$Y$24,'实盘净值数据(iFinD）'!$B602:$Y602/'实盘净值数据(iFinD）'!$B$65:$Y$65)+SUMPRODUCT(分期持仓明细!$AC$24:$AD$24,'实盘净值数据(iFinD）'!$Z602:$AA602/'实盘净值数据(iFinD）'!$Z$65:$AA$65))*(1-实盘持仓初始配置!$Z$8)^(('实盘净值数据(iFinD）'!$A602-'实盘净值数据(iFinD）'!$A$5)/365))</f>
        <v/>
      </c>
      <c r="O602" s="16" t="str">
        <f t="shared" si="58"/>
        <v/>
      </c>
      <c r="P602" s="16" t="str">
        <f>IF(N602="","",N602/MAX(N$5:N602)-1)</f>
        <v/>
      </c>
      <c r="Q602" s="13" t="str">
        <f>IF(OR('实盘净值数据(iFinD）'!$A602="",'实盘净值数据(iFinD）'!$B602="",'实盘净值数据(iFinD）'!$Z602="",'实盘净值数据(iFinD）'!$AA602=""),"",分期持仓明细!$AB$25*(SUMPRODUCT(分期持仓明细!$B$25:$Y$25,'实盘净值数据(iFinD）'!$B602:$Y602/'实盘净值数据(iFinD）'!$B$65:$Y$65)+SUMPRODUCT(分期持仓明细!$AC$25:$AD$25,'实盘净值数据(iFinD）'!$Z602:$AA602/'实盘净值数据(iFinD）'!$Z$65:$AA$65))*(1-实盘持仓初始配置!$Z$9)^(('实盘净值数据(iFinD）'!$A602-'实盘净值数据(iFinD）'!$A$8)/365))</f>
        <v/>
      </c>
      <c r="R602" s="16" t="str">
        <f t="shared" si="59"/>
        <v/>
      </c>
      <c r="S602" s="16" t="str">
        <f>IF(Q602="","",Q602/MAX(Q$5:Q602)-1)</f>
        <v/>
      </c>
      <c r="T602" s="13">
        <f>IF(OR('实盘净值数据(iFinD）'!$A602="",'实盘净值数据(iFinD）'!$B602="",'实盘净值数据(iFinD）'!$Z602="",'实盘净值数据(iFinD）'!$AA602="",'实盘净值数据(iFinD）'!$AB602="",'实盘净值数据(iFinD）'!$AL602=""),"",(SUMPRODUCT(分期持仓明细!$B$26:$Y$26,'实盘净值数据(iFinD）'!$B602:$Y602/'实盘净值数据(iFinD）'!$B$69:$Y$69)+SUMPRODUCT(分期持仓明细!$AC$26:$AD$26,'实盘净值数据(iFinD）'!$Z602:$AA602/'实盘净值数据(iFinD）'!$Z$69:$AA$69)+SUMPRODUCT(分期持仓明细!$AE$26:$AO$26,'实盘净值数据(iFinD）'!$AB602:$AL602/'实盘净值数据(iFinD）'!$AB$69:$AL$69))*(1-实盘持仓初始配置!$Z$10)^(('实盘净值数据(iFinD）'!$A602-'实盘净值数据(iFinD）'!$A$69)/365))</f>
        <v/>
      </c>
      <c r="U602" s="16">
        <f>IF(OR(T601="",T602=""),"",T602/T601-1)</f>
        <v/>
      </c>
      <c r="V602" s="16">
        <f>IF(T602="","",T602/MAX(T$5:T602)-1)</f>
        <v/>
      </c>
    </row>
    <row r="603" spans="1:19">
      <c r="A603" s="15" t="str">
        <f>IF('实盘净值数据(iFinD）'!A603="","",'实盘净值数据(iFinD）'!A603)</f>
        <v/>
      </c>
      <c r="B603" s="13" t="str">
        <f>IF(OR('实盘净值数据(iFinD）'!$A603="",'实盘净值数据(iFinD）'!$B603=""),"",分期持仓明细!$AB$17*SUMPRODUCT(分期持仓明细!$B$17:$Y$17,'实盘净值数据(iFinD）'!$B603:$Y603/'实盘净值数据(iFinD）'!$B$20:$Y$20)*(1-实盘持仓初始配置!$Z$4)^(('实盘净值数据(iFinD）'!$A603-'实盘净值数据(iFinD）'!$A$6)/365))</f>
        <v/>
      </c>
      <c r="C603" s="16" t="str">
        <f t="shared" si="54"/>
        <v/>
      </c>
      <c r="D603" s="16" t="str">
        <f>IF(B603="","",B603/MAX(B$5:B603)-1)</f>
        <v/>
      </c>
      <c r="E603" s="13" t="str">
        <f>IF(OR('实盘净值数据(iFinD）'!$A603="",'实盘净值数据(iFinD）'!$B603=""),"",分期持仓明细!$AB$18*SUMPRODUCT(分期持仓明细!$B$18:$Y$18,'实盘净值数据(iFinD）'!$B603:$Y603/'实盘净值数据(iFinD）'!$B$20:$Y$20)*(1-实盘持仓初始配置!$Z$5)^(('实盘净值数据(iFinD）'!$A603-'实盘净值数据(iFinD）'!$A$5)/365))</f>
        <v/>
      </c>
      <c r="F603" s="16" t="str">
        <f t="shared" si="55"/>
        <v/>
      </c>
      <c r="G603" s="16" t="str">
        <f>IF(E603="","",E603/MAX(E$5:E603)-1)</f>
        <v/>
      </c>
      <c r="H603" s="13" t="str">
        <f>IF(OR('实盘净值数据(iFinD）'!$A603="",'实盘净值数据(iFinD）'!$B603=""),"",分期持仓明细!$AB$19*SUMPRODUCT(分期持仓明细!$B$19:$Y$19,'实盘净值数据(iFinD）'!$B603:$Y603/'实盘净值数据(iFinD）'!$B$20:$Y$20)*(1-实盘持仓初始配置!$Z$6)^(('实盘净值数据(iFinD）'!$A603-'实盘净值数据(iFinD）'!$A$7)/365))</f>
        <v/>
      </c>
      <c r="I603" s="16" t="str">
        <f t="shared" si="56"/>
        <v/>
      </c>
      <c r="J603" s="16" t="str">
        <f>IF(H603="","",H603/MAX(H$5:H603)-1)</f>
        <v/>
      </c>
      <c r="K603" s="13" t="str">
        <f>IF(OR('实盘净值数据(iFinD）'!$A603="",'实盘净值数据(iFinD）'!$B603="",'实盘净值数据(iFinD）'!$Z603="",'实盘净值数据(iFinD）'!$AA603=""),"",分期持仓明细!$AB$23*(SUMPRODUCT(分期持仓明细!$B$23:$Y$23,'实盘净值数据(iFinD）'!$B603:$Y603/'实盘净值数据(iFinD）'!$B$65:$Y$65)+SUMPRODUCT(分期持仓明细!$AC$23:$AD$23,'实盘净值数据(iFinD）'!$Z603:$AA603/'实盘净值数据(iFinD）'!$Z$65:$AA$65))*(1-实盘持仓初始配置!$Z$7)^(('实盘净值数据(iFinD）'!$A603-'实盘净值数据(iFinD）'!$A$8)/365))</f>
        <v/>
      </c>
      <c r="L603" s="16" t="str">
        <f t="shared" si="57"/>
        <v/>
      </c>
      <c r="M603" s="16" t="str">
        <f>IF(K603="","",K603/MAX(K$5:K603)-1)</f>
        <v/>
      </c>
      <c r="N603" s="13" t="str">
        <f>IF(OR('实盘净值数据(iFinD）'!$A603="",'实盘净值数据(iFinD）'!$B603="",'实盘净值数据(iFinD）'!$Z603="",'实盘净值数据(iFinD）'!$AA603=""),"",分期持仓明细!$AB$24*(SUMPRODUCT(分期持仓明细!$B$24:$Y$24,'实盘净值数据(iFinD）'!$B603:$Y603/'实盘净值数据(iFinD）'!$B$65:$Y$65)+SUMPRODUCT(分期持仓明细!$AC$24:$AD$24,'实盘净值数据(iFinD）'!$Z603:$AA603/'实盘净值数据(iFinD）'!$Z$65:$AA$65))*(1-实盘持仓初始配置!$Z$8)^(('实盘净值数据(iFinD）'!$A603-'实盘净值数据(iFinD）'!$A$5)/365))</f>
        <v/>
      </c>
      <c r="O603" s="16" t="str">
        <f t="shared" si="58"/>
        <v/>
      </c>
      <c r="P603" s="16" t="str">
        <f>IF(N603="","",N603/MAX(N$5:N603)-1)</f>
        <v/>
      </c>
      <c r="Q603" s="13" t="str">
        <f>IF(OR('实盘净值数据(iFinD）'!$A603="",'实盘净值数据(iFinD）'!$B603="",'实盘净值数据(iFinD）'!$Z603="",'实盘净值数据(iFinD）'!$AA603=""),"",分期持仓明细!$AB$25*(SUMPRODUCT(分期持仓明细!$B$25:$Y$25,'实盘净值数据(iFinD）'!$B603:$Y603/'实盘净值数据(iFinD）'!$B$65:$Y$65)+SUMPRODUCT(分期持仓明细!$AC$25:$AD$25,'实盘净值数据(iFinD）'!$Z603:$AA603/'实盘净值数据(iFinD）'!$Z$65:$AA$65))*(1-实盘持仓初始配置!$Z$9)^(('实盘净值数据(iFinD）'!$A603-'实盘净值数据(iFinD）'!$A$8)/365))</f>
        <v/>
      </c>
      <c r="R603" s="16" t="str">
        <f t="shared" si="59"/>
        <v/>
      </c>
      <c r="S603" s="16" t="str">
        <f>IF(Q603="","",Q603/MAX(Q$5:Q603)-1)</f>
        <v/>
      </c>
      <c r="T603" s="13">
        <f>IF(OR('实盘净值数据(iFinD）'!$A603="",'实盘净值数据(iFinD）'!$B603="",'实盘净值数据(iFinD）'!$Z603="",'实盘净值数据(iFinD）'!$AA603="",'实盘净值数据(iFinD）'!$AB603="",'实盘净值数据(iFinD）'!$AL603=""),"",(SUMPRODUCT(分期持仓明细!$B$26:$Y$26,'实盘净值数据(iFinD）'!$B603:$Y603/'实盘净值数据(iFinD）'!$B$69:$Y$69)+SUMPRODUCT(分期持仓明细!$AC$26:$AD$26,'实盘净值数据(iFinD）'!$Z603:$AA603/'实盘净值数据(iFinD）'!$Z$69:$AA$69)+SUMPRODUCT(分期持仓明细!$AE$26:$AO$26,'实盘净值数据(iFinD）'!$AB603:$AL603/'实盘净值数据(iFinD）'!$AB$69:$AL$69))*(1-实盘持仓初始配置!$Z$10)^(('实盘净值数据(iFinD）'!$A603-'实盘净值数据(iFinD）'!$A$69)/365))</f>
        <v/>
      </c>
      <c r="U603" s="16">
        <f>IF(OR(T602="",T603=""),"",T603/T602-1)</f>
        <v/>
      </c>
      <c r="V603" s="16">
        <f>IF(T603="","",T603/MAX(T$5:T603)-1)</f>
        <v/>
      </c>
    </row>
    <row r="604" spans="1:19">
      <c r="A604" s="15" t="str">
        <f>IF('实盘净值数据(iFinD）'!A604="","",'实盘净值数据(iFinD）'!A604)</f>
        <v/>
      </c>
      <c r="B604" s="13" t="str">
        <f>IF(OR('实盘净值数据(iFinD）'!$A604="",'实盘净值数据(iFinD）'!$B604=""),"",分期持仓明细!$AB$17*SUMPRODUCT(分期持仓明细!$B$17:$Y$17,'实盘净值数据(iFinD）'!$B604:$Y604/'实盘净值数据(iFinD）'!$B$20:$Y$20)*(1-实盘持仓初始配置!$Z$4)^(('实盘净值数据(iFinD）'!$A604-'实盘净值数据(iFinD）'!$A$6)/365))</f>
        <v/>
      </c>
      <c r="C604" s="16" t="str">
        <f t="shared" si="54"/>
        <v/>
      </c>
      <c r="D604" s="16" t="str">
        <f>IF(B604="","",B604/MAX(B$5:B604)-1)</f>
        <v/>
      </c>
      <c r="E604" s="13" t="str">
        <f>IF(OR('实盘净值数据(iFinD）'!$A604="",'实盘净值数据(iFinD）'!$B604=""),"",分期持仓明细!$AB$18*SUMPRODUCT(分期持仓明细!$B$18:$Y$18,'实盘净值数据(iFinD）'!$B604:$Y604/'实盘净值数据(iFinD）'!$B$20:$Y$20)*(1-实盘持仓初始配置!$Z$5)^(('实盘净值数据(iFinD）'!$A604-'实盘净值数据(iFinD）'!$A$5)/365))</f>
        <v/>
      </c>
      <c r="F604" s="16" t="str">
        <f t="shared" si="55"/>
        <v/>
      </c>
      <c r="G604" s="16" t="str">
        <f>IF(E604="","",E604/MAX(E$5:E604)-1)</f>
        <v/>
      </c>
      <c r="H604" s="13" t="str">
        <f>IF(OR('实盘净值数据(iFinD）'!$A604="",'实盘净值数据(iFinD）'!$B604=""),"",分期持仓明细!$AB$19*SUMPRODUCT(分期持仓明细!$B$19:$Y$19,'实盘净值数据(iFinD）'!$B604:$Y604/'实盘净值数据(iFinD）'!$B$20:$Y$20)*(1-实盘持仓初始配置!$Z$6)^(('实盘净值数据(iFinD）'!$A604-'实盘净值数据(iFinD）'!$A$7)/365))</f>
        <v/>
      </c>
      <c r="I604" s="16" t="str">
        <f t="shared" si="56"/>
        <v/>
      </c>
      <c r="J604" s="16" t="str">
        <f>IF(H604="","",H604/MAX(H$5:H604)-1)</f>
        <v/>
      </c>
      <c r="K604" s="13" t="str">
        <f>IF(OR('实盘净值数据(iFinD）'!$A604="",'实盘净值数据(iFinD）'!$B604="",'实盘净值数据(iFinD）'!$Z604="",'实盘净值数据(iFinD）'!$AA604=""),"",分期持仓明细!$AB$23*(SUMPRODUCT(分期持仓明细!$B$23:$Y$23,'实盘净值数据(iFinD）'!$B604:$Y604/'实盘净值数据(iFinD）'!$B$65:$Y$65)+SUMPRODUCT(分期持仓明细!$AC$23:$AD$23,'实盘净值数据(iFinD）'!$Z604:$AA604/'实盘净值数据(iFinD）'!$Z$65:$AA$65))*(1-实盘持仓初始配置!$Z$7)^(('实盘净值数据(iFinD）'!$A604-'实盘净值数据(iFinD）'!$A$8)/365))</f>
        <v/>
      </c>
      <c r="L604" s="16" t="str">
        <f t="shared" si="57"/>
        <v/>
      </c>
      <c r="M604" s="16" t="str">
        <f>IF(K604="","",K604/MAX(K$5:K604)-1)</f>
        <v/>
      </c>
      <c r="N604" s="13" t="str">
        <f>IF(OR('实盘净值数据(iFinD）'!$A604="",'实盘净值数据(iFinD）'!$B604="",'实盘净值数据(iFinD）'!$Z604="",'实盘净值数据(iFinD）'!$AA604=""),"",分期持仓明细!$AB$24*(SUMPRODUCT(分期持仓明细!$B$24:$Y$24,'实盘净值数据(iFinD）'!$B604:$Y604/'实盘净值数据(iFinD）'!$B$65:$Y$65)+SUMPRODUCT(分期持仓明细!$AC$24:$AD$24,'实盘净值数据(iFinD）'!$Z604:$AA604/'实盘净值数据(iFinD）'!$Z$65:$AA$65))*(1-实盘持仓初始配置!$Z$8)^(('实盘净值数据(iFinD）'!$A604-'实盘净值数据(iFinD）'!$A$5)/365))</f>
        <v/>
      </c>
      <c r="O604" s="16" t="str">
        <f t="shared" si="58"/>
        <v/>
      </c>
      <c r="P604" s="16" t="str">
        <f>IF(N604="","",N604/MAX(N$5:N604)-1)</f>
        <v/>
      </c>
      <c r="Q604" s="13" t="str">
        <f>IF(OR('实盘净值数据(iFinD）'!$A604="",'实盘净值数据(iFinD）'!$B604="",'实盘净值数据(iFinD）'!$Z604="",'实盘净值数据(iFinD）'!$AA604=""),"",分期持仓明细!$AB$25*(SUMPRODUCT(分期持仓明细!$B$25:$Y$25,'实盘净值数据(iFinD）'!$B604:$Y604/'实盘净值数据(iFinD）'!$B$65:$Y$65)+SUMPRODUCT(分期持仓明细!$AC$25:$AD$25,'实盘净值数据(iFinD）'!$Z604:$AA604/'实盘净值数据(iFinD）'!$Z$65:$AA$65))*(1-实盘持仓初始配置!$Z$9)^(('实盘净值数据(iFinD）'!$A604-'实盘净值数据(iFinD）'!$A$8)/365))</f>
        <v/>
      </c>
      <c r="R604" s="16" t="str">
        <f t="shared" si="59"/>
        <v/>
      </c>
      <c r="S604" s="16" t="str">
        <f>IF(Q604="","",Q604/MAX(Q$5:Q604)-1)</f>
        <v/>
      </c>
      <c r="T604" s="13">
        <f>IF(OR('实盘净值数据(iFinD）'!$A604="",'实盘净值数据(iFinD）'!$B604="",'实盘净值数据(iFinD）'!$Z604="",'实盘净值数据(iFinD）'!$AA604="",'实盘净值数据(iFinD）'!$AB604="",'实盘净值数据(iFinD）'!$AL604=""),"",(SUMPRODUCT(分期持仓明细!$B$26:$Y$26,'实盘净值数据(iFinD）'!$B604:$Y604/'实盘净值数据(iFinD）'!$B$69:$Y$69)+SUMPRODUCT(分期持仓明细!$AC$26:$AD$26,'实盘净值数据(iFinD）'!$Z604:$AA604/'实盘净值数据(iFinD）'!$Z$69:$AA$69)+SUMPRODUCT(分期持仓明细!$AE$26:$AO$26,'实盘净值数据(iFinD）'!$AB604:$AL604/'实盘净值数据(iFinD）'!$AB$69:$AL$69))*(1-实盘持仓初始配置!$Z$10)^(('实盘净值数据(iFinD）'!$A604-'实盘净值数据(iFinD）'!$A$69)/365))</f>
        <v/>
      </c>
      <c r="U604" s="16">
        <f>IF(OR(T603="",T604=""),"",T604/T603-1)</f>
        <v/>
      </c>
      <c r="V604" s="16">
        <f>IF(T604="","",T604/MAX(T$5:T604)-1)</f>
        <v/>
      </c>
    </row>
    <row r="605" spans="1:19">
      <c r="A605" s="15" t="str">
        <f>IF('实盘净值数据(iFinD）'!A605="","",'实盘净值数据(iFinD）'!A605)</f>
        <v/>
      </c>
      <c r="B605" s="13" t="str">
        <f>IF(OR('实盘净值数据(iFinD）'!$A605="",'实盘净值数据(iFinD）'!$B605=""),"",分期持仓明细!$AB$17*SUMPRODUCT(分期持仓明细!$B$17:$Y$17,'实盘净值数据(iFinD）'!$B605:$Y605/'实盘净值数据(iFinD）'!$B$20:$Y$20)*(1-实盘持仓初始配置!$Z$4)^(('实盘净值数据(iFinD）'!$A605-'实盘净值数据(iFinD）'!$A$6)/365))</f>
        <v/>
      </c>
      <c r="C605" s="16" t="str">
        <f t="shared" si="54"/>
        <v/>
      </c>
      <c r="D605" s="16" t="str">
        <f>IF(B605="","",B605/MAX(B$5:B605)-1)</f>
        <v/>
      </c>
      <c r="E605" s="13" t="str">
        <f>IF(OR('实盘净值数据(iFinD）'!$A605="",'实盘净值数据(iFinD）'!$B605=""),"",分期持仓明细!$AB$18*SUMPRODUCT(分期持仓明细!$B$18:$Y$18,'实盘净值数据(iFinD）'!$B605:$Y605/'实盘净值数据(iFinD）'!$B$20:$Y$20)*(1-实盘持仓初始配置!$Z$5)^(('实盘净值数据(iFinD）'!$A605-'实盘净值数据(iFinD）'!$A$5)/365))</f>
        <v/>
      </c>
      <c r="F605" s="16" t="str">
        <f t="shared" si="55"/>
        <v/>
      </c>
      <c r="G605" s="16" t="str">
        <f>IF(E605="","",E605/MAX(E$5:E605)-1)</f>
        <v/>
      </c>
      <c r="H605" s="13" t="str">
        <f>IF(OR('实盘净值数据(iFinD）'!$A605="",'实盘净值数据(iFinD）'!$B605=""),"",分期持仓明细!$AB$19*SUMPRODUCT(分期持仓明细!$B$19:$Y$19,'实盘净值数据(iFinD）'!$B605:$Y605/'实盘净值数据(iFinD）'!$B$20:$Y$20)*(1-实盘持仓初始配置!$Z$6)^(('实盘净值数据(iFinD）'!$A605-'实盘净值数据(iFinD）'!$A$7)/365))</f>
        <v/>
      </c>
      <c r="I605" s="16" t="str">
        <f t="shared" si="56"/>
        <v/>
      </c>
      <c r="J605" s="16" t="str">
        <f>IF(H605="","",H605/MAX(H$5:H605)-1)</f>
        <v/>
      </c>
      <c r="K605" s="13" t="str">
        <f>IF(OR('实盘净值数据(iFinD）'!$A605="",'实盘净值数据(iFinD）'!$B605="",'实盘净值数据(iFinD）'!$Z605="",'实盘净值数据(iFinD）'!$AA605=""),"",分期持仓明细!$AB$23*(SUMPRODUCT(分期持仓明细!$B$23:$Y$23,'实盘净值数据(iFinD）'!$B605:$Y605/'实盘净值数据(iFinD）'!$B$65:$Y$65)+SUMPRODUCT(分期持仓明细!$AC$23:$AD$23,'实盘净值数据(iFinD）'!$Z605:$AA605/'实盘净值数据(iFinD）'!$Z$65:$AA$65))*(1-实盘持仓初始配置!$Z$7)^(('实盘净值数据(iFinD）'!$A605-'实盘净值数据(iFinD）'!$A$8)/365))</f>
        <v/>
      </c>
      <c r="L605" s="16" t="str">
        <f t="shared" si="57"/>
        <v/>
      </c>
      <c r="M605" s="16" t="str">
        <f>IF(K605="","",K605/MAX(K$5:K605)-1)</f>
        <v/>
      </c>
      <c r="N605" s="13" t="str">
        <f>IF(OR('实盘净值数据(iFinD）'!$A605="",'实盘净值数据(iFinD）'!$B605="",'实盘净值数据(iFinD）'!$Z605="",'实盘净值数据(iFinD）'!$AA605=""),"",分期持仓明细!$AB$24*(SUMPRODUCT(分期持仓明细!$B$24:$Y$24,'实盘净值数据(iFinD）'!$B605:$Y605/'实盘净值数据(iFinD）'!$B$65:$Y$65)+SUMPRODUCT(分期持仓明细!$AC$24:$AD$24,'实盘净值数据(iFinD）'!$Z605:$AA605/'实盘净值数据(iFinD）'!$Z$65:$AA$65))*(1-实盘持仓初始配置!$Z$8)^(('实盘净值数据(iFinD）'!$A605-'实盘净值数据(iFinD）'!$A$5)/365))</f>
        <v/>
      </c>
      <c r="O605" s="16" t="str">
        <f t="shared" si="58"/>
        <v/>
      </c>
      <c r="P605" s="16" t="str">
        <f>IF(N605="","",N605/MAX(N$5:N605)-1)</f>
        <v/>
      </c>
      <c r="Q605" s="13" t="str">
        <f>IF(OR('实盘净值数据(iFinD）'!$A605="",'实盘净值数据(iFinD）'!$B605="",'实盘净值数据(iFinD）'!$Z605="",'实盘净值数据(iFinD）'!$AA605=""),"",分期持仓明细!$AB$25*(SUMPRODUCT(分期持仓明细!$B$25:$Y$25,'实盘净值数据(iFinD）'!$B605:$Y605/'实盘净值数据(iFinD）'!$B$65:$Y$65)+SUMPRODUCT(分期持仓明细!$AC$25:$AD$25,'实盘净值数据(iFinD）'!$Z605:$AA605/'实盘净值数据(iFinD）'!$Z$65:$AA$65))*(1-实盘持仓初始配置!$Z$9)^(('实盘净值数据(iFinD）'!$A605-'实盘净值数据(iFinD）'!$A$8)/365))</f>
        <v/>
      </c>
      <c r="R605" s="16" t="str">
        <f t="shared" si="59"/>
        <v/>
      </c>
      <c r="S605" s="16" t="str">
        <f>IF(Q605="","",Q605/MAX(Q$5:Q605)-1)</f>
        <v/>
      </c>
      <c r="T605" s="13">
        <f>IF(OR('实盘净值数据(iFinD）'!$A605="",'实盘净值数据(iFinD）'!$B605="",'实盘净值数据(iFinD）'!$Z605="",'实盘净值数据(iFinD）'!$AA605="",'实盘净值数据(iFinD）'!$AB605="",'实盘净值数据(iFinD）'!$AL605=""),"",(SUMPRODUCT(分期持仓明细!$B$26:$Y$26,'实盘净值数据(iFinD）'!$B605:$Y605/'实盘净值数据(iFinD）'!$B$69:$Y$69)+SUMPRODUCT(分期持仓明细!$AC$26:$AD$26,'实盘净值数据(iFinD）'!$Z605:$AA605/'实盘净值数据(iFinD）'!$Z$69:$AA$69)+SUMPRODUCT(分期持仓明细!$AE$26:$AO$26,'实盘净值数据(iFinD）'!$AB605:$AL605/'实盘净值数据(iFinD）'!$AB$69:$AL$69))*(1-实盘持仓初始配置!$Z$10)^(('实盘净值数据(iFinD）'!$A605-'实盘净值数据(iFinD）'!$A$69)/365))</f>
        <v/>
      </c>
      <c r="U605" s="16">
        <f>IF(OR(T604="",T605=""),"",T605/T604-1)</f>
        <v/>
      </c>
      <c r="V605" s="16">
        <f>IF(T605="","",T605/MAX(T$5:T605)-1)</f>
        <v/>
      </c>
    </row>
    <row r="606" spans="1:19">
      <c r="A606" s="15" t="str">
        <f>IF('实盘净值数据(iFinD）'!A606="","",'实盘净值数据(iFinD）'!A606)</f>
        <v/>
      </c>
      <c r="B606" s="13" t="str">
        <f>IF(OR('实盘净值数据(iFinD）'!$A606="",'实盘净值数据(iFinD）'!$B606=""),"",分期持仓明细!$AB$17*SUMPRODUCT(分期持仓明细!$B$17:$Y$17,'实盘净值数据(iFinD）'!$B606:$Y606/'实盘净值数据(iFinD）'!$B$20:$Y$20)*(1-实盘持仓初始配置!$Z$4)^(('实盘净值数据(iFinD）'!$A606-'实盘净值数据(iFinD）'!$A$6)/365))</f>
        <v/>
      </c>
      <c r="C606" s="16" t="str">
        <f t="shared" si="54"/>
        <v/>
      </c>
      <c r="D606" s="16" t="str">
        <f>IF(B606="","",B606/MAX(B$5:B606)-1)</f>
        <v/>
      </c>
      <c r="E606" s="13" t="str">
        <f>IF(OR('实盘净值数据(iFinD）'!$A606="",'实盘净值数据(iFinD）'!$B606=""),"",分期持仓明细!$AB$18*SUMPRODUCT(分期持仓明细!$B$18:$Y$18,'实盘净值数据(iFinD）'!$B606:$Y606/'实盘净值数据(iFinD）'!$B$20:$Y$20)*(1-实盘持仓初始配置!$Z$5)^(('实盘净值数据(iFinD）'!$A606-'实盘净值数据(iFinD）'!$A$5)/365))</f>
        <v/>
      </c>
      <c r="F606" s="16" t="str">
        <f t="shared" si="55"/>
        <v/>
      </c>
      <c r="G606" s="16" t="str">
        <f>IF(E606="","",E606/MAX(E$5:E606)-1)</f>
        <v/>
      </c>
      <c r="H606" s="13" t="str">
        <f>IF(OR('实盘净值数据(iFinD）'!$A606="",'实盘净值数据(iFinD）'!$B606=""),"",分期持仓明细!$AB$19*SUMPRODUCT(分期持仓明细!$B$19:$Y$19,'实盘净值数据(iFinD）'!$B606:$Y606/'实盘净值数据(iFinD）'!$B$20:$Y$20)*(1-实盘持仓初始配置!$Z$6)^(('实盘净值数据(iFinD）'!$A606-'实盘净值数据(iFinD）'!$A$7)/365))</f>
        <v/>
      </c>
      <c r="I606" s="16" t="str">
        <f t="shared" si="56"/>
        <v/>
      </c>
      <c r="J606" s="16" t="str">
        <f>IF(H606="","",H606/MAX(H$5:H606)-1)</f>
        <v/>
      </c>
      <c r="K606" s="13" t="str">
        <f>IF(OR('实盘净值数据(iFinD）'!$A606="",'实盘净值数据(iFinD）'!$B606="",'实盘净值数据(iFinD）'!$Z606="",'实盘净值数据(iFinD）'!$AA606=""),"",分期持仓明细!$AB$23*(SUMPRODUCT(分期持仓明细!$B$23:$Y$23,'实盘净值数据(iFinD）'!$B606:$Y606/'实盘净值数据(iFinD）'!$B$65:$Y$65)+SUMPRODUCT(分期持仓明细!$AC$23:$AD$23,'实盘净值数据(iFinD）'!$Z606:$AA606/'实盘净值数据(iFinD）'!$Z$65:$AA$65))*(1-实盘持仓初始配置!$Z$7)^(('实盘净值数据(iFinD）'!$A606-'实盘净值数据(iFinD）'!$A$8)/365))</f>
        <v/>
      </c>
      <c r="L606" s="16" t="str">
        <f t="shared" si="57"/>
        <v/>
      </c>
      <c r="M606" s="16" t="str">
        <f>IF(K606="","",K606/MAX(K$5:K606)-1)</f>
        <v/>
      </c>
      <c r="N606" s="13" t="str">
        <f>IF(OR('实盘净值数据(iFinD）'!$A606="",'实盘净值数据(iFinD）'!$B606="",'实盘净值数据(iFinD）'!$Z606="",'实盘净值数据(iFinD）'!$AA606=""),"",分期持仓明细!$AB$24*(SUMPRODUCT(分期持仓明细!$B$24:$Y$24,'实盘净值数据(iFinD）'!$B606:$Y606/'实盘净值数据(iFinD）'!$B$65:$Y$65)+SUMPRODUCT(分期持仓明细!$AC$24:$AD$24,'实盘净值数据(iFinD）'!$Z606:$AA606/'实盘净值数据(iFinD）'!$Z$65:$AA$65))*(1-实盘持仓初始配置!$Z$8)^(('实盘净值数据(iFinD）'!$A606-'实盘净值数据(iFinD）'!$A$5)/365))</f>
        <v/>
      </c>
      <c r="O606" s="16" t="str">
        <f t="shared" si="58"/>
        <v/>
      </c>
      <c r="P606" s="16" t="str">
        <f>IF(N606="","",N606/MAX(N$5:N606)-1)</f>
        <v/>
      </c>
      <c r="Q606" s="13" t="str">
        <f>IF(OR('实盘净值数据(iFinD）'!$A606="",'实盘净值数据(iFinD）'!$B606="",'实盘净值数据(iFinD）'!$Z606="",'实盘净值数据(iFinD）'!$AA606=""),"",分期持仓明细!$AB$25*(SUMPRODUCT(分期持仓明细!$B$25:$Y$25,'实盘净值数据(iFinD）'!$B606:$Y606/'实盘净值数据(iFinD）'!$B$65:$Y$65)+SUMPRODUCT(分期持仓明细!$AC$25:$AD$25,'实盘净值数据(iFinD）'!$Z606:$AA606/'实盘净值数据(iFinD）'!$Z$65:$AA$65))*(1-实盘持仓初始配置!$Z$9)^(('实盘净值数据(iFinD）'!$A606-'实盘净值数据(iFinD）'!$A$8)/365))</f>
        <v/>
      </c>
      <c r="R606" s="16" t="str">
        <f t="shared" si="59"/>
        <v/>
      </c>
      <c r="S606" s="16" t="str">
        <f>IF(Q606="","",Q606/MAX(Q$5:Q606)-1)</f>
        <v/>
      </c>
      <c r="T606" s="13">
        <f>IF(OR('实盘净值数据(iFinD）'!$A606="",'实盘净值数据(iFinD）'!$B606="",'实盘净值数据(iFinD）'!$Z606="",'实盘净值数据(iFinD）'!$AA606="",'实盘净值数据(iFinD）'!$AB606="",'实盘净值数据(iFinD）'!$AL606=""),"",(SUMPRODUCT(分期持仓明细!$B$26:$Y$26,'实盘净值数据(iFinD）'!$B606:$Y606/'实盘净值数据(iFinD）'!$B$69:$Y$69)+SUMPRODUCT(分期持仓明细!$AC$26:$AD$26,'实盘净值数据(iFinD）'!$Z606:$AA606/'实盘净值数据(iFinD）'!$Z$69:$AA$69)+SUMPRODUCT(分期持仓明细!$AE$26:$AO$26,'实盘净值数据(iFinD）'!$AB606:$AL606/'实盘净值数据(iFinD）'!$AB$69:$AL$69))*(1-实盘持仓初始配置!$Z$10)^(('实盘净值数据(iFinD）'!$A606-'实盘净值数据(iFinD）'!$A$69)/365))</f>
        <v/>
      </c>
      <c r="U606" s="16">
        <f>IF(OR(T605="",T606=""),"",T606/T605-1)</f>
        <v/>
      </c>
      <c r="V606" s="16">
        <f>IF(T606="","",T606/MAX(T$5:T606)-1)</f>
        <v/>
      </c>
    </row>
    <row r="607" spans="1:19">
      <c r="A607" s="15" t="str">
        <f>IF('实盘净值数据(iFinD）'!A607="","",'实盘净值数据(iFinD）'!A607)</f>
        <v/>
      </c>
      <c r="B607" s="13" t="str">
        <f>IF(OR('实盘净值数据(iFinD）'!$A607="",'实盘净值数据(iFinD）'!$B607=""),"",分期持仓明细!$AB$17*SUMPRODUCT(分期持仓明细!$B$17:$Y$17,'实盘净值数据(iFinD）'!$B607:$Y607/'实盘净值数据(iFinD）'!$B$20:$Y$20)*(1-实盘持仓初始配置!$Z$4)^(('实盘净值数据(iFinD）'!$A607-'实盘净值数据(iFinD）'!$A$6)/365))</f>
        <v/>
      </c>
      <c r="C607" s="16" t="str">
        <f t="shared" si="54"/>
        <v/>
      </c>
      <c r="D607" s="16" t="str">
        <f>IF(B607="","",B607/MAX(B$5:B607)-1)</f>
        <v/>
      </c>
      <c r="E607" s="13" t="str">
        <f>IF(OR('实盘净值数据(iFinD）'!$A607="",'实盘净值数据(iFinD）'!$B607=""),"",分期持仓明细!$AB$18*SUMPRODUCT(分期持仓明细!$B$18:$Y$18,'实盘净值数据(iFinD）'!$B607:$Y607/'实盘净值数据(iFinD）'!$B$20:$Y$20)*(1-实盘持仓初始配置!$Z$5)^(('实盘净值数据(iFinD）'!$A607-'实盘净值数据(iFinD）'!$A$5)/365))</f>
        <v/>
      </c>
      <c r="F607" s="16" t="str">
        <f t="shared" si="55"/>
        <v/>
      </c>
      <c r="G607" s="16" t="str">
        <f>IF(E607="","",E607/MAX(E$5:E607)-1)</f>
        <v/>
      </c>
      <c r="H607" s="13" t="str">
        <f>IF(OR('实盘净值数据(iFinD）'!$A607="",'实盘净值数据(iFinD）'!$B607=""),"",分期持仓明细!$AB$19*SUMPRODUCT(分期持仓明细!$B$19:$Y$19,'实盘净值数据(iFinD）'!$B607:$Y607/'实盘净值数据(iFinD）'!$B$20:$Y$20)*(1-实盘持仓初始配置!$Z$6)^(('实盘净值数据(iFinD）'!$A607-'实盘净值数据(iFinD）'!$A$7)/365))</f>
        <v/>
      </c>
      <c r="I607" s="16" t="str">
        <f t="shared" si="56"/>
        <v/>
      </c>
      <c r="J607" s="16" t="str">
        <f>IF(H607="","",H607/MAX(H$5:H607)-1)</f>
        <v/>
      </c>
      <c r="K607" s="13" t="str">
        <f>IF(OR('实盘净值数据(iFinD）'!$A607="",'实盘净值数据(iFinD）'!$B607="",'实盘净值数据(iFinD）'!$Z607="",'实盘净值数据(iFinD）'!$AA607=""),"",分期持仓明细!$AB$23*(SUMPRODUCT(分期持仓明细!$B$23:$Y$23,'实盘净值数据(iFinD）'!$B607:$Y607/'实盘净值数据(iFinD）'!$B$65:$Y$65)+SUMPRODUCT(分期持仓明细!$AC$23:$AD$23,'实盘净值数据(iFinD）'!$Z607:$AA607/'实盘净值数据(iFinD）'!$Z$65:$AA$65))*(1-实盘持仓初始配置!$Z$7)^(('实盘净值数据(iFinD）'!$A607-'实盘净值数据(iFinD）'!$A$8)/365))</f>
        <v/>
      </c>
      <c r="L607" s="16" t="str">
        <f t="shared" si="57"/>
        <v/>
      </c>
      <c r="M607" s="16" t="str">
        <f>IF(K607="","",K607/MAX(K$5:K607)-1)</f>
        <v/>
      </c>
      <c r="N607" s="13" t="str">
        <f>IF(OR('实盘净值数据(iFinD）'!$A607="",'实盘净值数据(iFinD）'!$B607="",'实盘净值数据(iFinD）'!$Z607="",'实盘净值数据(iFinD）'!$AA607=""),"",分期持仓明细!$AB$24*(SUMPRODUCT(分期持仓明细!$B$24:$Y$24,'实盘净值数据(iFinD）'!$B607:$Y607/'实盘净值数据(iFinD）'!$B$65:$Y$65)+SUMPRODUCT(分期持仓明细!$AC$24:$AD$24,'实盘净值数据(iFinD）'!$Z607:$AA607/'实盘净值数据(iFinD）'!$Z$65:$AA$65))*(1-实盘持仓初始配置!$Z$8)^(('实盘净值数据(iFinD）'!$A607-'实盘净值数据(iFinD）'!$A$5)/365))</f>
        <v/>
      </c>
      <c r="O607" s="16" t="str">
        <f t="shared" si="58"/>
        <v/>
      </c>
      <c r="P607" s="16" t="str">
        <f>IF(N607="","",N607/MAX(N$5:N607)-1)</f>
        <v/>
      </c>
      <c r="Q607" s="13" t="str">
        <f>IF(OR('实盘净值数据(iFinD）'!$A607="",'实盘净值数据(iFinD）'!$B607="",'实盘净值数据(iFinD）'!$Z607="",'实盘净值数据(iFinD）'!$AA607=""),"",分期持仓明细!$AB$25*(SUMPRODUCT(分期持仓明细!$B$25:$Y$25,'实盘净值数据(iFinD）'!$B607:$Y607/'实盘净值数据(iFinD）'!$B$65:$Y$65)+SUMPRODUCT(分期持仓明细!$AC$25:$AD$25,'实盘净值数据(iFinD）'!$Z607:$AA607/'实盘净值数据(iFinD）'!$Z$65:$AA$65))*(1-实盘持仓初始配置!$Z$9)^(('实盘净值数据(iFinD）'!$A607-'实盘净值数据(iFinD）'!$A$8)/365))</f>
        <v/>
      </c>
      <c r="R607" s="16" t="str">
        <f t="shared" si="59"/>
        <v/>
      </c>
      <c r="S607" s="16" t="str">
        <f>IF(Q607="","",Q607/MAX(Q$5:Q607)-1)</f>
        <v/>
      </c>
      <c r="T607" s="13">
        <f>IF(OR('实盘净值数据(iFinD）'!$A607="",'实盘净值数据(iFinD）'!$B607="",'实盘净值数据(iFinD）'!$Z607="",'实盘净值数据(iFinD）'!$AA607="",'实盘净值数据(iFinD）'!$AB607="",'实盘净值数据(iFinD）'!$AL607=""),"",(SUMPRODUCT(分期持仓明细!$B$26:$Y$26,'实盘净值数据(iFinD）'!$B607:$Y607/'实盘净值数据(iFinD）'!$B$69:$Y$69)+SUMPRODUCT(分期持仓明细!$AC$26:$AD$26,'实盘净值数据(iFinD）'!$Z607:$AA607/'实盘净值数据(iFinD）'!$Z$69:$AA$69)+SUMPRODUCT(分期持仓明细!$AE$26:$AO$26,'实盘净值数据(iFinD）'!$AB607:$AL607/'实盘净值数据(iFinD）'!$AB$69:$AL$69))*(1-实盘持仓初始配置!$Z$10)^(('实盘净值数据(iFinD）'!$A607-'实盘净值数据(iFinD）'!$A$69)/365))</f>
        <v/>
      </c>
      <c r="U607" s="16">
        <f>IF(OR(T606="",T607=""),"",T607/T606-1)</f>
        <v/>
      </c>
      <c r="V607" s="16">
        <f>IF(T607="","",T607/MAX(T$5:T607)-1)</f>
        <v/>
      </c>
    </row>
    <row r="608" spans="1:19">
      <c r="A608" s="15" t="str">
        <f>IF('实盘净值数据(iFinD）'!A608="","",'实盘净值数据(iFinD）'!A608)</f>
        <v/>
      </c>
      <c r="B608" s="13" t="str">
        <f>IF(OR('实盘净值数据(iFinD）'!$A608="",'实盘净值数据(iFinD）'!$B608=""),"",分期持仓明细!$AB$17*SUMPRODUCT(分期持仓明细!$B$17:$Y$17,'实盘净值数据(iFinD）'!$B608:$Y608/'实盘净值数据(iFinD）'!$B$20:$Y$20)*(1-实盘持仓初始配置!$Z$4)^(('实盘净值数据(iFinD）'!$A608-'实盘净值数据(iFinD）'!$A$6)/365))</f>
        <v/>
      </c>
      <c r="C608" s="16" t="str">
        <f t="shared" si="54"/>
        <v/>
      </c>
      <c r="D608" s="16" t="str">
        <f>IF(B608="","",B608/MAX(B$5:B608)-1)</f>
        <v/>
      </c>
      <c r="E608" s="13" t="str">
        <f>IF(OR('实盘净值数据(iFinD）'!$A608="",'实盘净值数据(iFinD）'!$B608=""),"",分期持仓明细!$AB$18*SUMPRODUCT(分期持仓明细!$B$18:$Y$18,'实盘净值数据(iFinD）'!$B608:$Y608/'实盘净值数据(iFinD）'!$B$20:$Y$20)*(1-实盘持仓初始配置!$Z$5)^(('实盘净值数据(iFinD）'!$A608-'实盘净值数据(iFinD）'!$A$5)/365))</f>
        <v/>
      </c>
      <c r="F608" s="16" t="str">
        <f t="shared" si="55"/>
        <v/>
      </c>
      <c r="G608" s="16" t="str">
        <f>IF(E608="","",E608/MAX(E$5:E608)-1)</f>
        <v/>
      </c>
      <c r="H608" s="13" t="str">
        <f>IF(OR('实盘净值数据(iFinD）'!$A608="",'实盘净值数据(iFinD）'!$B608=""),"",分期持仓明细!$AB$19*SUMPRODUCT(分期持仓明细!$B$19:$Y$19,'实盘净值数据(iFinD）'!$B608:$Y608/'实盘净值数据(iFinD）'!$B$20:$Y$20)*(1-实盘持仓初始配置!$Z$6)^(('实盘净值数据(iFinD）'!$A608-'实盘净值数据(iFinD）'!$A$7)/365))</f>
        <v/>
      </c>
      <c r="I608" s="16" t="str">
        <f t="shared" si="56"/>
        <v/>
      </c>
      <c r="J608" s="16" t="str">
        <f>IF(H608="","",H608/MAX(H$5:H608)-1)</f>
        <v/>
      </c>
      <c r="K608" s="13" t="str">
        <f>IF(OR('实盘净值数据(iFinD）'!$A608="",'实盘净值数据(iFinD）'!$B608="",'实盘净值数据(iFinD）'!$Z608="",'实盘净值数据(iFinD）'!$AA608=""),"",分期持仓明细!$AB$23*(SUMPRODUCT(分期持仓明细!$B$23:$Y$23,'实盘净值数据(iFinD）'!$B608:$Y608/'实盘净值数据(iFinD）'!$B$65:$Y$65)+SUMPRODUCT(分期持仓明细!$AC$23:$AD$23,'实盘净值数据(iFinD）'!$Z608:$AA608/'实盘净值数据(iFinD）'!$Z$65:$AA$65))*(1-实盘持仓初始配置!$Z$7)^(('实盘净值数据(iFinD）'!$A608-'实盘净值数据(iFinD）'!$A$8)/365))</f>
        <v/>
      </c>
      <c r="L608" s="16" t="str">
        <f t="shared" si="57"/>
        <v/>
      </c>
      <c r="M608" s="16" t="str">
        <f>IF(K608="","",K608/MAX(K$5:K608)-1)</f>
        <v/>
      </c>
      <c r="N608" s="13" t="str">
        <f>IF(OR('实盘净值数据(iFinD）'!$A608="",'实盘净值数据(iFinD）'!$B608="",'实盘净值数据(iFinD）'!$Z608="",'实盘净值数据(iFinD）'!$AA608=""),"",分期持仓明细!$AB$24*(SUMPRODUCT(分期持仓明细!$B$24:$Y$24,'实盘净值数据(iFinD）'!$B608:$Y608/'实盘净值数据(iFinD）'!$B$65:$Y$65)+SUMPRODUCT(分期持仓明细!$AC$24:$AD$24,'实盘净值数据(iFinD）'!$Z608:$AA608/'实盘净值数据(iFinD）'!$Z$65:$AA$65))*(1-实盘持仓初始配置!$Z$8)^(('实盘净值数据(iFinD）'!$A608-'实盘净值数据(iFinD）'!$A$5)/365))</f>
        <v/>
      </c>
      <c r="O608" s="16" t="str">
        <f t="shared" si="58"/>
        <v/>
      </c>
      <c r="P608" s="16" t="str">
        <f>IF(N608="","",N608/MAX(N$5:N608)-1)</f>
        <v/>
      </c>
      <c r="Q608" s="13" t="str">
        <f>IF(OR('实盘净值数据(iFinD）'!$A608="",'实盘净值数据(iFinD）'!$B608="",'实盘净值数据(iFinD）'!$Z608="",'实盘净值数据(iFinD）'!$AA608=""),"",分期持仓明细!$AB$25*(SUMPRODUCT(分期持仓明细!$B$25:$Y$25,'实盘净值数据(iFinD）'!$B608:$Y608/'实盘净值数据(iFinD）'!$B$65:$Y$65)+SUMPRODUCT(分期持仓明细!$AC$25:$AD$25,'实盘净值数据(iFinD）'!$Z608:$AA608/'实盘净值数据(iFinD）'!$Z$65:$AA$65))*(1-实盘持仓初始配置!$Z$9)^(('实盘净值数据(iFinD）'!$A608-'实盘净值数据(iFinD）'!$A$8)/365))</f>
        <v/>
      </c>
      <c r="R608" s="16" t="str">
        <f t="shared" si="59"/>
        <v/>
      </c>
      <c r="S608" s="16" t="str">
        <f>IF(Q608="","",Q608/MAX(Q$5:Q608)-1)</f>
        <v/>
      </c>
      <c r="T608" s="13">
        <f>IF(OR('实盘净值数据(iFinD）'!$A608="",'实盘净值数据(iFinD）'!$B608="",'实盘净值数据(iFinD）'!$Z608="",'实盘净值数据(iFinD）'!$AA608="",'实盘净值数据(iFinD）'!$AB608="",'实盘净值数据(iFinD）'!$AL608=""),"",(SUMPRODUCT(分期持仓明细!$B$26:$Y$26,'实盘净值数据(iFinD）'!$B608:$Y608/'实盘净值数据(iFinD）'!$B$69:$Y$69)+SUMPRODUCT(分期持仓明细!$AC$26:$AD$26,'实盘净值数据(iFinD）'!$Z608:$AA608/'实盘净值数据(iFinD）'!$Z$69:$AA$69)+SUMPRODUCT(分期持仓明细!$AE$26:$AO$26,'实盘净值数据(iFinD）'!$AB608:$AL608/'实盘净值数据(iFinD）'!$AB$69:$AL$69))*(1-实盘持仓初始配置!$Z$10)^(('实盘净值数据(iFinD）'!$A608-'实盘净值数据(iFinD）'!$A$69)/365))</f>
        <v/>
      </c>
      <c r="U608" s="16">
        <f>IF(OR(T607="",T608=""),"",T608/T607-1)</f>
        <v/>
      </c>
      <c r="V608" s="16">
        <f>IF(T608="","",T608/MAX(T$5:T608)-1)</f>
        <v/>
      </c>
    </row>
    <row r="609" spans="1:19">
      <c r="A609" s="15" t="str">
        <f>IF('实盘净值数据(iFinD）'!A609="","",'实盘净值数据(iFinD）'!A609)</f>
        <v/>
      </c>
      <c r="B609" s="13" t="str">
        <f>IF(OR('实盘净值数据(iFinD）'!$A609="",'实盘净值数据(iFinD）'!$B609=""),"",分期持仓明细!$AB$17*SUMPRODUCT(分期持仓明细!$B$17:$Y$17,'实盘净值数据(iFinD）'!$B609:$Y609/'实盘净值数据(iFinD）'!$B$20:$Y$20)*(1-实盘持仓初始配置!$Z$4)^(('实盘净值数据(iFinD）'!$A609-'实盘净值数据(iFinD）'!$A$6)/365))</f>
        <v/>
      </c>
      <c r="C609" s="16" t="str">
        <f t="shared" si="54"/>
        <v/>
      </c>
      <c r="D609" s="16" t="str">
        <f>IF(B609="","",B609/MAX(B$5:B609)-1)</f>
        <v/>
      </c>
      <c r="E609" s="13" t="str">
        <f>IF(OR('实盘净值数据(iFinD）'!$A609="",'实盘净值数据(iFinD）'!$B609=""),"",分期持仓明细!$AB$18*SUMPRODUCT(分期持仓明细!$B$18:$Y$18,'实盘净值数据(iFinD）'!$B609:$Y609/'实盘净值数据(iFinD）'!$B$20:$Y$20)*(1-实盘持仓初始配置!$Z$5)^(('实盘净值数据(iFinD）'!$A609-'实盘净值数据(iFinD）'!$A$5)/365))</f>
        <v/>
      </c>
      <c r="F609" s="16" t="str">
        <f t="shared" si="55"/>
        <v/>
      </c>
      <c r="G609" s="16" t="str">
        <f>IF(E609="","",E609/MAX(E$5:E609)-1)</f>
        <v/>
      </c>
      <c r="H609" s="13" t="str">
        <f>IF(OR('实盘净值数据(iFinD）'!$A609="",'实盘净值数据(iFinD）'!$B609=""),"",分期持仓明细!$AB$19*SUMPRODUCT(分期持仓明细!$B$19:$Y$19,'实盘净值数据(iFinD）'!$B609:$Y609/'实盘净值数据(iFinD）'!$B$20:$Y$20)*(1-实盘持仓初始配置!$Z$6)^(('实盘净值数据(iFinD）'!$A609-'实盘净值数据(iFinD）'!$A$7)/365))</f>
        <v/>
      </c>
      <c r="I609" s="16" t="str">
        <f t="shared" si="56"/>
        <v/>
      </c>
      <c r="J609" s="16" t="str">
        <f>IF(H609="","",H609/MAX(H$5:H609)-1)</f>
        <v/>
      </c>
      <c r="K609" s="13" t="str">
        <f>IF(OR('实盘净值数据(iFinD）'!$A609="",'实盘净值数据(iFinD）'!$B609="",'实盘净值数据(iFinD）'!$Z609="",'实盘净值数据(iFinD）'!$AA609=""),"",分期持仓明细!$AB$23*(SUMPRODUCT(分期持仓明细!$B$23:$Y$23,'实盘净值数据(iFinD）'!$B609:$Y609/'实盘净值数据(iFinD）'!$B$65:$Y$65)+SUMPRODUCT(分期持仓明细!$AC$23:$AD$23,'实盘净值数据(iFinD）'!$Z609:$AA609/'实盘净值数据(iFinD）'!$Z$65:$AA$65))*(1-实盘持仓初始配置!$Z$7)^(('实盘净值数据(iFinD）'!$A609-'实盘净值数据(iFinD）'!$A$8)/365))</f>
        <v/>
      </c>
      <c r="L609" s="16" t="str">
        <f t="shared" si="57"/>
        <v/>
      </c>
      <c r="M609" s="16" t="str">
        <f>IF(K609="","",K609/MAX(K$5:K609)-1)</f>
        <v/>
      </c>
      <c r="N609" s="13" t="str">
        <f>IF(OR('实盘净值数据(iFinD）'!$A609="",'实盘净值数据(iFinD）'!$B609="",'实盘净值数据(iFinD）'!$Z609="",'实盘净值数据(iFinD）'!$AA609=""),"",分期持仓明细!$AB$24*(SUMPRODUCT(分期持仓明细!$B$24:$Y$24,'实盘净值数据(iFinD）'!$B609:$Y609/'实盘净值数据(iFinD）'!$B$65:$Y$65)+SUMPRODUCT(分期持仓明细!$AC$24:$AD$24,'实盘净值数据(iFinD）'!$Z609:$AA609/'实盘净值数据(iFinD）'!$Z$65:$AA$65))*(1-实盘持仓初始配置!$Z$8)^(('实盘净值数据(iFinD）'!$A609-'实盘净值数据(iFinD）'!$A$5)/365))</f>
        <v/>
      </c>
      <c r="O609" s="16" t="str">
        <f t="shared" si="58"/>
        <v/>
      </c>
      <c r="P609" s="16" t="str">
        <f>IF(N609="","",N609/MAX(N$5:N609)-1)</f>
        <v/>
      </c>
      <c r="Q609" s="13" t="str">
        <f>IF(OR('实盘净值数据(iFinD）'!$A609="",'实盘净值数据(iFinD）'!$B609="",'实盘净值数据(iFinD）'!$Z609="",'实盘净值数据(iFinD）'!$AA609=""),"",分期持仓明细!$AB$25*(SUMPRODUCT(分期持仓明细!$B$25:$Y$25,'实盘净值数据(iFinD）'!$B609:$Y609/'实盘净值数据(iFinD）'!$B$65:$Y$65)+SUMPRODUCT(分期持仓明细!$AC$25:$AD$25,'实盘净值数据(iFinD）'!$Z609:$AA609/'实盘净值数据(iFinD）'!$Z$65:$AA$65))*(1-实盘持仓初始配置!$Z$9)^(('实盘净值数据(iFinD）'!$A609-'实盘净值数据(iFinD）'!$A$8)/365))</f>
        <v/>
      </c>
      <c r="R609" s="16" t="str">
        <f t="shared" si="59"/>
        <v/>
      </c>
      <c r="S609" s="16" t="str">
        <f>IF(Q609="","",Q609/MAX(Q$5:Q609)-1)</f>
        <v/>
      </c>
      <c r="T609" s="13">
        <f>IF(OR('实盘净值数据(iFinD）'!$A609="",'实盘净值数据(iFinD）'!$B609="",'实盘净值数据(iFinD）'!$Z609="",'实盘净值数据(iFinD）'!$AA609="",'实盘净值数据(iFinD）'!$AB609="",'实盘净值数据(iFinD）'!$AL609=""),"",(SUMPRODUCT(分期持仓明细!$B$26:$Y$26,'实盘净值数据(iFinD）'!$B609:$Y609/'实盘净值数据(iFinD）'!$B$69:$Y$69)+SUMPRODUCT(分期持仓明细!$AC$26:$AD$26,'实盘净值数据(iFinD）'!$Z609:$AA609/'实盘净值数据(iFinD）'!$Z$69:$AA$69)+SUMPRODUCT(分期持仓明细!$AE$26:$AO$26,'实盘净值数据(iFinD）'!$AB609:$AL609/'实盘净值数据(iFinD）'!$AB$69:$AL$69))*(1-实盘持仓初始配置!$Z$10)^(('实盘净值数据(iFinD）'!$A609-'实盘净值数据(iFinD）'!$A$69)/365))</f>
        <v/>
      </c>
      <c r="U609" s="16">
        <f>IF(OR(T608="",T609=""),"",T609/T608-1)</f>
        <v/>
      </c>
      <c r="V609" s="16">
        <f>IF(T609="","",T609/MAX(T$5:T609)-1)</f>
        <v/>
      </c>
    </row>
    <row r="610" spans="1:19">
      <c r="A610" s="15" t="str">
        <f>IF('实盘净值数据(iFinD）'!A610="","",'实盘净值数据(iFinD）'!A610)</f>
        <v/>
      </c>
      <c r="B610" s="13" t="str">
        <f>IF(OR('实盘净值数据(iFinD）'!$A610="",'实盘净值数据(iFinD）'!$B610=""),"",分期持仓明细!$AB$17*SUMPRODUCT(分期持仓明细!$B$17:$Y$17,'实盘净值数据(iFinD）'!$B610:$Y610/'实盘净值数据(iFinD）'!$B$20:$Y$20)*(1-实盘持仓初始配置!$Z$4)^(('实盘净值数据(iFinD）'!$A610-'实盘净值数据(iFinD）'!$A$6)/365))</f>
        <v/>
      </c>
      <c r="C610" s="16" t="str">
        <f t="shared" si="54"/>
        <v/>
      </c>
      <c r="D610" s="16" t="str">
        <f>IF(B610="","",B610/MAX(B$5:B610)-1)</f>
        <v/>
      </c>
      <c r="E610" s="13" t="str">
        <f>IF(OR('实盘净值数据(iFinD）'!$A610="",'实盘净值数据(iFinD）'!$B610=""),"",分期持仓明细!$AB$18*SUMPRODUCT(分期持仓明细!$B$18:$Y$18,'实盘净值数据(iFinD）'!$B610:$Y610/'实盘净值数据(iFinD）'!$B$20:$Y$20)*(1-实盘持仓初始配置!$Z$5)^(('实盘净值数据(iFinD）'!$A610-'实盘净值数据(iFinD）'!$A$5)/365))</f>
        <v/>
      </c>
      <c r="F610" s="16" t="str">
        <f t="shared" si="55"/>
        <v/>
      </c>
      <c r="G610" s="16" t="str">
        <f>IF(E610="","",E610/MAX(E$5:E610)-1)</f>
        <v/>
      </c>
      <c r="H610" s="13" t="str">
        <f>IF(OR('实盘净值数据(iFinD）'!$A610="",'实盘净值数据(iFinD）'!$B610=""),"",分期持仓明细!$AB$19*SUMPRODUCT(分期持仓明细!$B$19:$Y$19,'实盘净值数据(iFinD）'!$B610:$Y610/'实盘净值数据(iFinD）'!$B$20:$Y$20)*(1-实盘持仓初始配置!$Z$6)^(('实盘净值数据(iFinD）'!$A610-'实盘净值数据(iFinD）'!$A$7)/365))</f>
        <v/>
      </c>
      <c r="I610" s="16" t="str">
        <f t="shared" si="56"/>
        <v/>
      </c>
      <c r="J610" s="16" t="str">
        <f>IF(H610="","",H610/MAX(H$5:H610)-1)</f>
        <v/>
      </c>
      <c r="K610" s="13" t="str">
        <f>IF(OR('实盘净值数据(iFinD）'!$A610="",'实盘净值数据(iFinD）'!$B610="",'实盘净值数据(iFinD）'!$Z610="",'实盘净值数据(iFinD）'!$AA610=""),"",分期持仓明细!$AB$23*(SUMPRODUCT(分期持仓明细!$B$23:$Y$23,'实盘净值数据(iFinD）'!$B610:$Y610/'实盘净值数据(iFinD）'!$B$65:$Y$65)+SUMPRODUCT(分期持仓明细!$AC$23:$AD$23,'实盘净值数据(iFinD）'!$Z610:$AA610/'实盘净值数据(iFinD）'!$Z$65:$AA$65))*(1-实盘持仓初始配置!$Z$7)^(('实盘净值数据(iFinD）'!$A610-'实盘净值数据(iFinD）'!$A$8)/365))</f>
        <v/>
      </c>
      <c r="L610" s="16" t="str">
        <f t="shared" si="57"/>
        <v/>
      </c>
      <c r="M610" s="16" t="str">
        <f>IF(K610="","",K610/MAX(K$5:K610)-1)</f>
        <v/>
      </c>
      <c r="N610" s="13" t="str">
        <f>IF(OR('实盘净值数据(iFinD）'!$A610="",'实盘净值数据(iFinD）'!$B610="",'实盘净值数据(iFinD）'!$Z610="",'实盘净值数据(iFinD）'!$AA610=""),"",分期持仓明细!$AB$24*(SUMPRODUCT(分期持仓明细!$B$24:$Y$24,'实盘净值数据(iFinD）'!$B610:$Y610/'实盘净值数据(iFinD）'!$B$65:$Y$65)+SUMPRODUCT(分期持仓明细!$AC$24:$AD$24,'实盘净值数据(iFinD）'!$Z610:$AA610/'实盘净值数据(iFinD）'!$Z$65:$AA$65))*(1-实盘持仓初始配置!$Z$8)^(('实盘净值数据(iFinD）'!$A610-'实盘净值数据(iFinD）'!$A$5)/365))</f>
        <v/>
      </c>
      <c r="O610" s="16" t="str">
        <f t="shared" si="58"/>
        <v/>
      </c>
      <c r="P610" s="16" t="str">
        <f>IF(N610="","",N610/MAX(N$5:N610)-1)</f>
        <v/>
      </c>
      <c r="Q610" s="13" t="str">
        <f>IF(OR('实盘净值数据(iFinD）'!$A610="",'实盘净值数据(iFinD）'!$B610="",'实盘净值数据(iFinD）'!$Z610="",'实盘净值数据(iFinD）'!$AA610=""),"",分期持仓明细!$AB$25*(SUMPRODUCT(分期持仓明细!$B$25:$Y$25,'实盘净值数据(iFinD）'!$B610:$Y610/'实盘净值数据(iFinD）'!$B$65:$Y$65)+SUMPRODUCT(分期持仓明细!$AC$25:$AD$25,'实盘净值数据(iFinD）'!$Z610:$AA610/'实盘净值数据(iFinD）'!$Z$65:$AA$65))*(1-实盘持仓初始配置!$Z$9)^(('实盘净值数据(iFinD）'!$A610-'实盘净值数据(iFinD）'!$A$8)/365))</f>
        <v/>
      </c>
      <c r="R610" s="16" t="str">
        <f t="shared" si="59"/>
        <v/>
      </c>
      <c r="S610" s="16" t="str">
        <f>IF(Q610="","",Q610/MAX(Q$5:Q610)-1)</f>
        <v/>
      </c>
      <c r="T610" s="13">
        <f>IF(OR('实盘净值数据(iFinD）'!$A610="",'实盘净值数据(iFinD）'!$B610="",'实盘净值数据(iFinD）'!$Z610="",'实盘净值数据(iFinD）'!$AA610="",'实盘净值数据(iFinD）'!$AB610="",'实盘净值数据(iFinD）'!$AL610=""),"",(SUMPRODUCT(分期持仓明细!$B$26:$Y$26,'实盘净值数据(iFinD）'!$B610:$Y610/'实盘净值数据(iFinD）'!$B$69:$Y$69)+SUMPRODUCT(分期持仓明细!$AC$26:$AD$26,'实盘净值数据(iFinD）'!$Z610:$AA610/'实盘净值数据(iFinD）'!$Z$69:$AA$69)+SUMPRODUCT(分期持仓明细!$AE$26:$AO$26,'实盘净值数据(iFinD）'!$AB610:$AL610/'实盘净值数据(iFinD）'!$AB$69:$AL$69))*(1-实盘持仓初始配置!$Z$10)^(('实盘净值数据(iFinD）'!$A610-'实盘净值数据(iFinD）'!$A$69)/365))</f>
        <v/>
      </c>
      <c r="U610" s="16">
        <f>IF(OR(T609="",T610=""),"",T610/T609-1)</f>
        <v/>
      </c>
      <c r="V610" s="16">
        <f>IF(T610="","",T610/MAX(T$5:T610)-1)</f>
        <v/>
      </c>
    </row>
    <row r="611" spans="1:19">
      <c r="A611" s="15" t="str">
        <f>IF('实盘净值数据(iFinD）'!A611="","",'实盘净值数据(iFinD）'!A611)</f>
        <v/>
      </c>
      <c r="B611" s="13" t="str">
        <f>IF(OR('实盘净值数据(iFinD）'!$A611="",'实盘净值数据(iFinD）'!$B611=""),"",分期持仓明细!$AB$17*SUMPRODUCT(分期持仓明细!$B$17:$Y$17,'实盘净值数据(iFinD）'!$B611:$Y611/'实盘净值数据(iFinD）'!$B$20:$Y$20)*(1-实盘持仓初始配置!$Z$4)^(('实盘净值数据(iFinD）'!$A611-'实盘净值数据(iFinD）'!$A$6)/365))</f>
        <v/>
      </c>
      <c r="C611" s="16" t="str">
        <f t="shared" si="54"/>
        <v/>
      </c>
      <c r="D611" s="16" t="str">
        <f>IF(B611="","",B611/MAX(B$5:B611)-1)</f>
        <v/>
      </c>
      <c r="E611" s="13" t="str">
        <f>IF(OR('实盘净值数据(iFinD）'!$A611="",'实盘净值数据(iFinD）'!$B611=""),"",分期持仓明细!$AB$18*SUMPRODUCT(分期持仓明细!$B$18:$Y$18,'实盘净值数据(iFinD）'!$B611:$Y611/'实盘净值数据(iFinD）'!$B$20:$Y$20)*(1-实盘持仓初始配置!$Z$5)^(('实盘净值数据(iFinD）'!$A611-'实盘净值数据(iFinD）'!$A$5)/365))</f>
        <v/>
      </c>
      <c r="F611" s="16" t="str">
        <f t="shared" si="55"/>
        <v/>
      </c>
      <c r="G611" s="16" t="str">
        <f>IF(E611="","",E611/MAX(E$5:E611)-1)</f>
        <v/>
      </c>
      <c r="H611" s="13" t="str">
        <f>IF(OR('实盘净值数据(iFinD）'!$A611="",'实盘净值数据(iFinD）'!$B611=""),"",分期持仓明细!$AB$19*SUMPRODUCT(分期持仓明细!$B$19:$Y$19,'实盘净值数据(iFinD）'!$B611:$Y611/'实盘净值数据(iFinD）'!$B$20:$Y$20)*(1-实盘持仓初始配置!$Z$6)^(('实盘净值数据(iFinD）'!$A611-'实盘净值数据(iFinD）'!$A$7)/365))</f>
        <v/>
      </c>
      <c r="I611" s="16" t="str">
        <f t="shared" si="56"/>
        <v/>
      </c>
      <c r="J611" s="16" t="str">
        <f>IF(H611="","",H611/MAX(H$5:H611)-1)</f>
        <v/>
      </c>
      <c r="K611" s="13" t="str">
        <f>IF(OR('实盘净值数据(iFinD）'!$A611="",'实盘净值数据(iFinD）'!$B611="",'实盘净值数据(iFinD）'!$Z611="",'实盘净值数据(iFinD）'!$AA611=""),"",分期持仓明细!$AB$23*(SUMPRODUCT(分期持仓明细!$B$23:$Y$23,'实盘净值数据(iFinD）'!$B611:$Y611/'实盘净值数据(iFinD）'!$B$65:$Y$65)+SUMPRODUCT(分期持仓明细!$AC$23:$AD$23,'实盘净值数据(iFinD）'!$Z611:$AA611/'实盘净值数据(iFinD）'!$Z$65:$AA$65))*(1-实盘持仓初始配置!$Z$7)^(('实盘净值数据(iFinD）'!$A611-'实盘净值数据(iFinD）'!$A$8)/365))</f>
        <v/>
      </c>
      <c r="L611" s="16" t="str">
        <f t="shared" si="57"/>
        <v/>
      </c>
      <c r="M611" s="16" t="str">
        <f>IF(K611="","",K611/MAX(K$5:K611)-1)</f>
        <v/>
      </c>
      <c r="N611" s="13" t="str">
        <f>IF(OR('实盘净值数据(iFinD）'!$A611="",'实盘净值数据(iFinD）'!$B611="",'实盘净值数据(iFinD）'!$Z611="",'实盘净值数据(iFinD）'!$AA611=""),"",分期持仓明细!$AB$24*(SUMPRODUCT(分期持仓明细!$B$24:$Y$24,'实盘净值数据(iFinD）'!$B611:$Y611/'实盘净值数据(iFinD）'!$B$65:$Y$65)+SUMPRODUCT(分期持仓明细!$AC$24:$AD$24,'实盘净值数据(iFinD）'!$Z611:$AA611/'实盘净值数据(iFinD）'!$Z$65:$AA$65))*(1-实盘持仓初始配置!$Z$8)^(('实盘净值数据(iFinD）'!$A611-'实盘净值数据(iFinD）'!$A$5)/365))</f>
        <v/>
      </c>
      <c r="O611" s="16" t="str">
        <f t="shared" si="58"/>
        <v/>
      </c>
      <c r="P611" s="16" t="str">
        <f>IF(N611="","",N611/MAX(N$5:N611)-1)</f>
        <v/>
      </c>
      <c r="Q611" s="13" t="str">
        <f>IF(OR('实盘净值数据(iFinD）'!$A611="",'实盘净值数据(iFinD）'!$B611="",'实盘净值数据(iFinD）'!$Z611="",'实盘净值数据(iFinD）'!$AA611=""),"",分期持仓明细!$AB$25*(SUMPRODUCT(分期持仓明细!$B$25:$Y$25,'实盘净值数据(iFinD）'!$B611:$Y611/'实盘净值数据(iFinD）'!$B$65:$Y$65)+SUMPRODUCT(分期持仓明细!$AC$25:$AD$25,'实盘净值数据(iFinD）'!$Z611:$AA611/'实盘净值数据(iFinD）'!$Z$65:$AA$65))*(1-实盘持仓初始配置!$Z$9)^(('实盘净值数据(iFinD）'!$A611-'实盘净值数据(iFinD）'!$A$8)/365))</f>
        <v/>
      </c>
      <c r="R611" s="16" t="str">
        <f t="shared" si="59"/>
        <v/>
      </c>
      <c r="S611" s="16" t="str">
        <f>IF(Q611="","",Q611/MAX(Q$5:Q611)-1)</f>
        <v/>
      </c>
      <c r="T611" s="13">
        <f>IF(OR('实盘净值数据(iFinD）'!$A611="",'实盘净值数据(iFinD）'!$B611="",'实盘净值数据(iFinD）'!$Z611="",'实盘净值数据(iFinD）'!$AA611="",'实盘净值数据(iFinD）'!$AB611="",'实盘净值数据(iFinD）'!$AL611=""),"",(SUMPRODUCT(分期持仓明细!$B$26:$Y$26,'实盘净值数据(iFinD）'!$B611:$Y611/'实盘净值数据(iFinD）'!$B$69:$Y$69)+SUMPRODUCT(分期持仓明细!$AC$26:$AD$26,'实盘净值数据(iFinD）'!$Z611:$AA611/'实盘净值数据(iFinD）'!$Z$69:$AA$69)+SUMPRODUCT(分期持仓明细!$AE$26:$AO$26,'实盘净值数据(iFinD）'!$AB611:$AL611/'实盘净值数据(iFinD）'!$AB$69:$AL$69))*(1-实盘持仓初始配置!$Z$10)^(('实盘净值数据(iFinD）'!$A611-'实盘净值数据(iFinD）'!$A$69)/365))</f>
        <v/>
      </c>
      <c r="U611" s="16">
        <f>IF(OR(T610="",T611=""),"",T611/T610-1)</f>
        <v/>
      </c>
      <c r="V611" s="16">
        <f>IF(T611="","",T611/MAX(T$5:T611)-1)</f>
        <v/>
      </c>
    </row>
    <row r="612" spans="1:19">
      <c r="A612" s="15" t="str">
        <f>IF('实盘净值数据(iFinD）'!A612="","",'实盘净值数据(iFinD）'!A612)</f>
        <v/>
      </c>
      <c r="B612" s="13" t="str">
        <f>IF(OR('实盘净值数据(iFinD）'!$A612="",'实盘净值数据(iFinD）'!$B612=""),"",分期持仓明细!$AB$17*SUMPRODUCT(分期持仓明细!$B$17:$Y$17,'实盘净值数据(iFinD）'!$B612:$Y612/'实盘净值数据(iFinD）'!$B$20:$Y$20)*(1-实盘持仓初始配置!$Z$4)^(('实盘净值数据(iFinD）'!$A612-'实盘净值数据(iFinD）'!$A$6)/365))</f>
        <v/>
      </c>
      <c r="C612" s="16" t="str">
        <f t="shared" si="54"/>
        <v/>
      </c>
      <c r="D612" s="16" t="str">
        <f>IF(B612="","",B612/MAX(B$5:B612)-1)</f>
        <v/>
      </c>
      <c r="E612" s="13" t="str">
        <f>IF(OR('实盘净值数据(iFinD）'!$A612="",'实盘净值数据(iFinD）'!$B612=""),"",分期持仓明细!$AB$18*SUMPRODUCT(分期持仓明细!$B$18:$Y$18,'实盘净值数据(iFinD）'!$B612:$Y612/'实盘净值数据(iFinD）'!$B$20:$Y$20)*(1-实盘持仓初始配置!$Z$5)^(('实盘净值数据(iFinD）'!$A612-'实盘净值数据(iFinD）'!$A$5)/365))</f>
        <v/>
      </c>
      <c r="F612" s="16" t="str">
        <f t="shared" si="55"/>
        <v/>
      </c>
      <c r="G612" s="16" t="str">
        <f>IF(E612="","",E612/MAX(E$5:E612)-1)</f>
        <v/>
      </c>
      <c r="H612" s="13" t="str">
        <f>IF(OR('实盘净值数据(iFinD）'!$A612="",'实盘净值数据(iFinD）'!$B612=""),"",分期持仓明细!$AB$19*SUMPRODUCT(分期持仓明细!$B$19:$Y$19,'实盘净值数据(iFinD）'!$B612:$Y612/'实盘净值数据(iFinD）'!$B$20:$Y$20)*(1-实盘持仓初始配置!$Z$6)^(('实盘净值数据(iFinD）'!$A612-'实盘净值数据(iFinD）'!$A$7)/365))</f>
        <v/>
      </c>
      <c r="I612" s="16" t="str">
        <f t="shared" si="56"/>
        <v/>
      </c>
      <c r="J612" s="16" t="str">
        <f>IF(H612="","",H612/MAX(H$5:H612)-1)</f>
        <v/>
      </c>
      <c r="K612" s="13" t="str">
        <f>IF(OR('实盘净值数据(iFinD）'!$A612="",'实盘净值数据(iFinD）'!$B612="",'实盘净值数据(iFinD）'!$Z612="",'实盘净值数据(iFinD）'!$AA612=""),"",分期持仓明细!$AB$23*(SUMPRODUCT(分期持仓明细!$B$23:$Y$23,'实盘净值数据(iFinD）'!$B612:$Y612/'实盘净值数据(iFinD）'!$B$65:$Y$65)+SUMPRODUCT(分期持仓明细!$AC$23:$AD$23,'实盘净值数据(iFinD）'!$Z612:$AA612/'实盘净值数据(iFinD）'!$Z$65:$AA$65))*(1-实盘持仓初始配置!$Z$7)^(('实盘净值数据(iFinD）'!$A612-'实盘净值数据(iFinD）'!$A$8)/365))</f>
        <v/>
      </c>
      <c r="L612" s="16" t="str">
        <f t="shared" si="57"/>
        <v/>
      </c>
      <c r="M612" s="16" t="str">
        <f>IF(K612="","",K612/MAX(K$5:K612)-1)</f>
        <v/>
      </c>
      <c r="N612" s="13" t="str">
        <f>IF(OR('实盘净值数据(iFinD）'!$A612="",'实盘净值数据(iFinD）'!$B612="",'实盘净值数据(iFinD）'!$Z612="",'实盘净值数据(iFinD）'!$AA612=""),"",分期持仓明细!$AB$24*(SUMPRODUCT(分期持仓明细!$B$24:$Y$24,'实盘净值数据(iFinD）'!$B612:$Y612/'实盘净值数据(iFinD）'!$B$65:$Y$65)+SUMPRODUCT(分期持仓明细!$AC$24:$AD$24,'实盘净值数据(iFinD）'!$Z612:$AA612/'实盘净值数据(iFinD）'!$Z$65:$AA$65))*(1-实盘持仓初始配置!$Z$8)^(('实盘净值数据(iFinD）'!$A612-'实盘净值数据(iFinD）'!$A$5)/365))</f>
        <v/>
      </c>
      <c r="O612" s="16" t="str">
        <f t="shared" si="58"/>
        <v/>
      </c>
      <c r="P612" s="16" t="str">
        <f>IF(N612="","",N612/MAX(N$5:N612)-1)</f>
        <v/>
      </c>
      <c r="Q612" s="13" t="str">
        <f>IF(OR('实盘净值数据(iFinD）'!$A612="",'实盘净值数据(iFinD）'!$B612="",'实盘净值数据(iFinD）'!$Z612="",'实盘净值数据(iFinD）'!$AA612=""),"",分期持仓明细!$AB$25*(SUMPRODUCT(分期持仓明细!$B$25:$Y$25,'实盘净值数据(iFinD）'!$B612:$Y612/'实盘净值数据(iFinD）'!$B$65:$Y$65)+SUMPRODUCT(分期持仓明细!$AC$25:$AD$25,'实盘净值数据(iFinD）'!$Z612:$AA612/'实盘净值数据(iFinD）'!$Z$65:$AA$65))*(1-实盘持仓初始配置!$Z$9)^(('实盘净值数据(iFinD）'!$A612-'实盘净值数据(iFinD）'!$A$8)/365))</f>
        <v/>
      </c>
      <c r="R612" s="16" t="str">
        <f t="shared" si="59"/>
        <v/>
      </c>
      <c r="S612" s="16" t="str">
        <f>IF(Q612="","",Q612/MAX(Q$5:Q612)-1)</f>
        <v/>
      </c>
      <c r="T612" s="13">
        <f>IF(OR('实盘净值数据(iFinD）'!$A612="",'实盘净值数据(iFinD）'!$B612="",'实盘净值数据(iFinD）'!$Z612="",'实盘净值数据(iFinD）'!$AA612="",'实盘净值数据(iFinD）'!$AB612="",'实盘净值数据(iFinD）'!$AL612=""),"",(SUMPRODUCT(分期持仓明细!$B$26:$Y$26,'实盘净值数据(iFinD）'!$B612:$Y612/'实盘净值数据(iFinD）'!$B$69:$Y$69)+SUMPRODUCT(分期持仓明细!$AC$26:$AD$26,'实盘净值数据(iFinD）'!$Z612:$AA612/'实盘净值数据(iFinD）'!$Z$69:$AA$69)+SUMPRODUCT(分期持仓明细!$AE$26:$AO$26,'实盘净值数据(iFinD）'!$AB612:$AL612/'实盘净值数据(iFinD）'!$AB$69:$AL$69))*(1-实盘持仓初始配置!$Z$10)^(('实盘净值数据(iFinD）'!$A612-'实盘净值数据(iFinD）'!$A$69)/365))</f>
        <v/>
      </c>
      <c r="U612" s="16">
        <f>IF(OR(T611="",T612=""),"",T612/T611-1)</f>
        <v/>
      </c>
      <c r="V612" s="16">
        <f>IF(T612="","",T612/MAX(T$5:T612)-1)</f>
        <v/>
      </c>
    </row>
    <row r="613" spans="1:19">
      <c r="A613" s="15" t="str">
        <f>IF('实盘净值数据(iFinD）'!A613="","",'实盘净值数据(iFinD）'!A613)</f>
        <v/>
      </c>
      <c r="B613" s="13" t="str">
        <f>IF(OR('实盘净值数据(iFinD）'!$A613="",'实盘净值数据(iFinD）'!$B613=""),"",分期持仓明细!$AB$17*SUMPRODUCT(分期持仓明细!$B$17:$Y$17,'实盘净值数据(iFinD）'!$B613:$Y613/'实盘净值数据(iFinD）'!$B$20:$Y$20)*(1-实盘持仓初始配置!$Z$4)^(('实盘净值数据(iFinD）'!$A613-'实盘净值数据(iFinD）'!$A$6)/365))</f>
        <v/>
      </c>
      <c r="C613" s="16" t="str">
        <f t="shared" si="54"/>
        <v/>
      </c>
      <c r="D613" s="16" t="str">
        <f>IF(B613="","",B613/MAX(B$5:B613)-1)</f>
        <v/>
      </c>
      <c r="E613" s="13" t="str">
        <f>IF(OR('实盘净值数据(iFinD）'!$A613="",'实盘净值数据(iFinD）'!$B613=""),"",分期持仓明细!$AB$18*SUMPRODUCT(分期持仓明细!$B$18:$Y$18,'实盘净值数据(iFinD）'!$B613:$Y613/'实盘净值数据(iFinD）'!$B$20:$Y$20)*(1-实盘持仓初始配置!$Z$5)^(('实盘净值数据(iFinD）'!$A613-'实盘净值数据(iFinD）'!$A$5)/365))</f>
        <v/>
      </c>
      <c r="F613" s="16" t="str">
        <f t="shared" si="55"/>
        <v/>
      </c>
      <c r="G613" s="16" t="str">
        <f>IF(E613="","",E613/MAX(E$5:E613)-1)</f>
        <v/>
      </c>
      <c r="H613" s="13" t="str">
        <f>IF(OR('实盘净值数据(iFinD）'!$A613="",'实盘净值数据(iFinD）'!$B613=""),"",分期持仓明细!$AB$19*SUMPRODUCT(分期持仓明细!$B$19:$Y$19,'实盘净值数据(iFinD）'!$B613:$Y613/'实盘净值数据(iFinD）'!$B$20:$Y$20)*(1-实盘持仓初始配置!$Z$6)^(('实盘净值数据(iFinD）'!$A613-'实盘净值数据(iFinD）'!$A$7)/365))</f>
        <v/>
      </c>
      <c r="I613" s="16" t="str">
        <f t="shared" si="56"/>
        <v/>
      </c>
      <c r="J613" s="16" t="str">
        <f>IF(H613="","",H613/MAX(H$5:H613)-1)</f>
        <v/>
      </c>
      <c r="K613" s="13" t="str">
        <f>IF(OR('实盘净值数据(iFinD）'!$A613="",'实盘净值数据(iFinD）'!$B613="",'实盘净值数据(iFinD）'!$Z613="",'实盘净值数据(iFinD）'!$AA613=""),"",分期持仓明细!$AB$23*(SUMPRODUCT(分期持仓明细!$B$23:$Y$23,'实盘净值数据(iFinD）'!$B613:$Y613/'实盘净值数据(iFinD）'!$B$65:$Y$65)+SUMPRODUCT(分期持仓明细!$AC$23:$AD$23,'实盘净值数据(iFinD）'!$Z613:$AA613/'实盘净值数据(iFinD）'!$Z$65:$AA$65))*(1-实盘持仓初始配置!$Z$7)^(('实盘净值数据(iFinD）'!$A613-'实盘净值数据(iFinD）'!$A$8)/365))</f>
        <v/>
      </c>
      <c r="L613" s="16" t="str">
        <f t="shared" si="57"/>
        <v/>
      </c>
      <c r="M613" s="16" t="str">
        <f>IF(K613="","",K613/MAX(K$5:K613)-1)</f>
        <v/>
      </c>
      <c r="N613" s="13" t="str">
        <f>IF(OR('实盘净值数据(iFinD）'!$A613="",'实盘净值数据(iFinD）'!$B613="",'实盘净值数据(iFinD）'!$Z613="",'实盘净值数据(iFinD）'!$AA613=""),"",分期持仓明细!$AB$24*(SUMPRODUCT(分期持仓明细!$B$24:$Y$24,'实盘净值数据(iFinD）'!$B613:$Y613/'实盘净值数据(iFinD）'!$B$65:$Y$65)+SUMPRODUCT(分期持仓明细!$AC$24:$AD$24,'实盘净值数据(iFinD）'!$Z613:$AA613/'实盘净值数据(iFinD）'!$Z$65:$AA$65))*(1-实盘持仓初始配置!$Z$8)^(('实盘净值数据(iFinD）'!$A613-'实盘净值数据(iFinD）'!$A$5)/365))</f>
        <v/>
      </c>
      <c r="O613" s="16" t="str">
        <f t="shared" si="58"/>
        <v/>
      </c>
      <c r="P613" s="16" t="str">
        <f>IF(N613="","",N613/MAX(N$5:N613)-1)</f>
        <v/>
      </c>
      <c r="Q613" s="13" t="str">
        <f>IF(OR('实盘净值数据(iFinD）'!$A613="",'实盘净值数据(iFinD）'!$B613="",'实盘净值数据(iFinD）'!$Z613="",'实盘净值数据(iFinD）'!$AA613=""),"",分期持仓明细!$AB$25*(SUMPRODUCT(分期持仓明细!$B$25:$Y$25,'实盘净值数据(iFinD）'!$B613:$Y613/'实盘净值数据(iFinD）'!$B$65:$Y$65)+SUMPRODUCT(分期持仓明细!$AC$25:$AD$25,'实盘净值数据(iFinD）'!$Z613:$AA613/'实盘净值数据(iFinD）'!$Z$65:$AA$65))*(1-实盘持仓初始配置!$Z$9)^(('实盘净值数据(iFinD）'!$A613-'实盘净值数据(iFinD）'!$A$8)/365))</f>
        <v/>
      </c>
      <c r="R613" s="16" t="str">
        <f t="shared" si="59"/>
        <v/>
      </c>
      <c r="S613" s="16" t="str">
        <f>IF(Q613="","",Q613/MAX(Q$5:Q613)-1)</f>
        <v/>
      </c>
      <c r="T613" s="13">
        <f>IF(OR('实盘净值数据(iFinD）'!$A613="",'实盘净值数据(iFinD）'!$B613="",'实盘净值数据(iFinD）'!$Z613="",'实盘净值数据(iFinD）'!$AA613="",'实盘净值数据(iFinD）'!$AB613="",'实盘净值数据(iFinD）'!$AL613=""),"",(SUMPRODUCT(分期持仓明细!$B$26:$Y$26,'实盘净值数据(iFinD）'!$B613:$Y613/'实盘净值数据(iFinD）'!$B$69:$Y$69)+SUMPRODUCT(分期持仓明细!$AC$26:$AD$26,'实盘净值数据(iFinD）'!$Z613:$AA613/'实盘净值数据(iFinD）'!$Z$69:$AA$69)+SUMPRODUCT(分期持仓明细!$AE$26:$AO$26,'实盘净值数据(iFinD）'!$AB613:$AL613/'实盘净值数据(iFinD）'!$AB$69:$AL$69))*(1-实盘持仓初始配置!$Z$10)^(('实盘净值数据(iFinD）'!$A613-'实盘净值数据(iFinD）'!$A$69)/365))</f>
        <v/>
      </c>
      <c r="U613" s="16">
        <f>IF(OR(T612="",T613=""),"",T613/T612-1)</f>
        <v/>
      </c>
      <c r="V613" s="16">
        <f>IF(T613="","",T613/MAX(T$5:T613)-1)</f>
        <v/>
      </c>
    </row>
    <row r="614" spans="1:19">
      <c r="A614" s="15" t="str">
        <f>IF('实盘净值数据(iFinD）'!A614="","",'实盘净值数据(iFinD）'!A614)</f>
        <v/>
      </c>
      <c r="B614" s="13" t="str">
        <f>IF(OR('实盘净值数据(iFinD）'!$A614="",'实盘净值数据(iFinD）'!$B614=""),"",分期持仓明细!$AB$17*SUMPRODUCT(分期持仓明细!$B$17:$Y$17,'实盘净值数据(iFinD）'!$B614:$Y614/'实盘净值数据(iFinD）'!$B$20:$Y$20)*(1-实盘持仓初始配置!$Z$4)^(('实盘净值数据(iFinD）'!$A614-'实盘净值数据(iFinD）'!$A$6)/365))</f>
        <v/>
      </c>
      <c r="C614" s="16" t="str">
        <f t="shared" si="54"/>
        <v/>
      </c>
      <c r="D614" s="16" t="str">
        <f>IF(B614="","",B614/MAX(B$5:B614)-1)</f>
        <v/>
      </c>
      <c r="E614" s="13" t="str">
        <f>IF(OR('实盘净值数据(iFinD）'!$A614="",'实盘净值数据(iFinD）'!$B614=""),"",分期持仓明细!$AB$18*SUMPRODUCT(分期持仓明细!$B$18:$Y$18,'实盘净值数据(iFinD）'!$B614:$Y614/'实盘净值数据(iFinD）'!$B$20:$Y$20)*(1-实盘持仓初始配置!$Z$5)^(('实盘净值数据(iFinD）'!$A614-'实盘净值数据(iFinD）'!$A$5)/365))</f>
        <v/>
      </c>
      <c r="F614" s="16" t="str">
        <f t="shared" si="55"/>
        <v/>
      </c>
      <c r="G614" s="16" t="str">
        <f>IF(E614="","",E614/MAX(E$5:E614)-1)</f>
        <v/>
      </c>
      <c r="H614" s="13" t="str">
        <f>IF(OR('实盘净值数据(iFinD）'!$A614="",'实盘净值数据(iFinD）'!$B614=""),"",分期持仓明细!$AB$19*SUMPRODUCT(分期持仓明细!$B$19:$Y$19,'实盘净值数据(iFinD）'!$B614:$Y614/'实盘净值数据(iFinD）'!$B$20:$Y$20)*(1-实盘持仓初始配置!$Z$6)^(('实盘净值数据(iFinD）'!$A614-'实盘净值数据(iFinD）'!$A$7)/365))</f>
        <v/>
      </c>
      <c r="I614" s="16" t="str">
        <f t="shared" si="56"/>
        <v/>
      </c>
      <c r="J614" s="16" t="str">
        <f>IF(H614="","",H614/MAX(H$5:H614)-1)</f>
        <v/>
      </c>
      <c r="K614" s="13" t="str">
        <f>IF(OR('实盘净值数据(iFinD）'!$A614="",'实盘净值数据(iFinD）'!$B614="",'实盘净值数据(iFinD）'!$Z614="",'实盘净值数据(iFinD）'!$AA614=""),"",分期持仓明细!$AB$23*(SUMPRODUCT(分期持仓明细!$B$23:$Y$23,'实盘净值数据(iFinD）'!$B614:$Y614/'实盘净值数据(iFinD）'!$B$65:$Y$65)+SUMPRODUCT(分期持仓明细!$AC$23:$AD$23,'实盘净值数据(iFinD）'!$Z614:$AA614/'实盘净值数据(iFinD）'!$Z$65:$AA$65))*(1-实盘持仓初始配置!$Z$7)^(('实盘净值数据(iFinD）'!$A614-'实盘净值数据(iFinD）'!$A$8)/365))</f>
        <v/>
      </c>
      <c r="L614" s="16" t="str">
        <f t="shared" si="57"/>
        <v/>
      </c>
      <c r="M614" s="16" t="str">
        <f>IF(K614="","",K614/MAX(K$5:K614)-1)</f>
        <v/>
      </c>
      <c r="N614" s="13" t="str">
        <f>IF(OR('实盘净值数据(iFinD）'!$A614="",'实盘净值数据(iFinD）'!$B614="",'实盘净值数据(iFinD）'!$Z614="",'实盘净值数据(iFinD）'!$AA614=""),"",分期持仓明细!$AB$24*(SUMPRODUCT(分期持仓明细!$B$24:$Y$24,'实盘净值数据(iFinD）'!$B614:$Y614/'实盘净值数据(iFinD）'!$B$65:$Y$65)+SUMPRODUCT(分期持仓明细!$AC$24:$AD$24,'实盘净值数据(iFinD）'!$Z614:$AA614/'实盘净值数据(iFinD）'!$Z$65:$AA$65))*(1-实盘持仓初始配置!$Z$8)^(('实盘净值数据(iFinD）'!$A614-'实盘净值数据(iFinD）'!$A$5)/365))</f>
        <v/>
      </c>
      <c r="O614" s="16" t="str">
        <f t="shared" si="58"/>
        <v/>
      </c>
      <c r="P614" s="16" t="str">
        <f>IF(N614="","",N614/MAX(N$5:N614)-1)</f>
        <v/>
      </c>
      <c r="Q614" s="13" t="str">
        <f>IF(OR('实盘净值数据(iFinD）'!$A614="",'实盘净值数据(iFinD）'!$B614="",'实盘净值数据(iFinD）'!$Z614="",'实盘净值数据(iFinD）'!$AA614=""),"",分期持仓明细!$AB$25*(SUMPRODUCT(分期持仓明细!$B$25:$Y$25,'实盘净值数据(iFinD）'!$B614:$Y614/'实盘净值数据(iFinD）'!$B$65:$Y$65)+SUMPRODUCT(分期持仓明细!$AC$25:$AD$25,'实盘净值数据(iFinD）'!$Z614:$AA614/'实盘净值数据(iFinD）'!$Z$65:$AA$65))*(1-实盘持仓初始配置!$Z$9)^(('实盘净值数据(iFinD）'!$A614-'实盘净值数据(iFinD）'!$A$8)/365))</f>
        <v/>
      </c>
      <c r="R614" s="16" t="str">
        <f t="shared" si="59"/>
        <v/>
      </c>
      <c r="S614" s="16" t="str">
        <f>IF(Q614="","",Q614/MAX(Q$5:Q614)-1)</f>
        <v/>
      </c>
      <c r="T614" s="13">
        <f>IF(OR('实盘净值数据(iFinD）'!$A614="",'实盘净值数据(iFinD）'!$B614="",'实盘净值数据(iFinD）'!$Z614="",'实盘净值数据(iFinD）'!$AA614="",'实盘净值数据(iFinD）'!$AB614="",'实盘净值数据(iFinD）'!$AL614=""),"",(SUMPRODUCT(分期持仓明细!$B$26:$Y$26,'实盘净值数据(iFinD）'!$B614:$Y614/'实盘净值数据(iFinD）'!$B$69:$Y$69)+SUMPRODUCT(分期持仓明细!$AC$26:$AD$26,'实盘净值数据(iFinD）'!$Z614:$AA614/'实盘净值数据(iFinD）'!$Z$69:$AA$69)+SUMPRODUCT(分期持仓明细!$AE$26:$AO$26,'实盘净值数据(iFinD）'!$AB614:$AL614/'实盘净值数据(iFinD）'!$AB$69:$AL$69))*(1-实盘持仓初始配置!$Z$10)^(('实盘净值数据(iFinD）'!$A614-'实盘净值数据(iFinD）'!$A$69)/365))</f>
        <v/>
      </c>
      <c r="U614" s="16">
        <f>IF(OR(T613="",T614=""),"",T614/T613-1)</f>
        <v/>
      </c>
      <c r="V614" s="16">
        <f>IF(T614="","",T614/MAX(T$5:T614)-1)</f>
        <v/>
      </c>
    </row>
    <row r="615" spans="1:19">
      <c r="A615" s="15" t="str">
        <f>IF('实盘净值数据(iFinD）'!A615="","",'实盘净值数据(iFinD）'!A615)</f>
        <v/>
      </c>
      <c r="B615" s="13" t="str">
        <f>IF(OR('实盘净值数据(iFinD）'!$A615="",'实盘净值数据(iFinD）'!$B615=""),"",分期持仓明细!$AB$17*SUMPRODUCT(分期持仓明细!$B$17:$Y$17,'实盘净值数据(iFinD）'!$B615:$Y615/'实盘净值数据(iFinD）'!$B$20:$Y$20)*(1-实盘持仓初始配置!$Z$4)^(('实盘净值数据(iFinD）'!$A615-'实盘净值数据(iFinD）'!$A$6)/365))</f>
        <v/>
      </c>
      <c r="C615" s="16" t="str">
        <f t="shared" si="54"/>
        <v/>
      </c>
      <c r="D615" s="16" t="str">
        <f>IF(B615="","",B615/MAX(B$5:B615)-1)</f>
        <v/>
      </c>
      <c r="E615" s="13" t="str">
        <f>IF(OR('实盘净值数据(iFinD）'!$A615="",'实盘净值数据(iFinD）'!$B615=""),"",分期持仓明细!$AB$18*SUMPRODUCT(分期持仓明细!$B$18:$Y$18,'实盘净值数据(iFinD）'!$B615:$Y615/'实盘净值数据(iFinD）'!$B$20:$Y$20)*(1-实盘持仓初始配置!$Z$5)^(('实盘净值数据(iFinD）'!$A615-'实盘净值数据(iFinD）'!$A$5)/365))</f>
        <v/>
      </c>
      <c r="F615" s="16" t="str">
        <f t="shared" si="55"/>
        <v/>
      </c>
      <c r="G615" s="16" t="str">
        <f>IF(E615="","",E615/MAX(E$5:E615)-1)</f>
        <v/>
      </c>
      <c r="H615" s="13" t="str">
        <f>IF(OR('实盘净值数据(iFinD）'!$A615="",'实盘净值数据(iFinD）'!$B615=""),"",分期持仓明细!$AB$19*SUMPRODUCT(分期持仓明细!$B$19:$Y$19,'实盘净值数据(iFinD）'!$B615:$Y615/'实盘净值数据(iFinD）'!$B$20:$Y$20)*(1-实盘持仓初始配置!$Z$6)^(('实盘净值数据(iFinD）'!$A615-'实盘净值数据(iFinD）'!$A$7)/365))</f>
        <v/>
      </c>
      <c r="I615" s="16" t="str">
        <f t="shared" si="56"/>
        <v/>
      </c>
      <c r="J615" s="16" t="str">
        <f>IF(H615="","",H615/MAX(H$5:H615)-1)</f>
        <v/>
      </c>
      <c r="K615" s="13" t="str">
        <f>IF(OR('实盘净值数据(iFinD）'!$A615="",'实盘净值数据(iFinD）'!$B615="",'实盘净值数据(iFinD）'!$Z615="",'实盘净值数据(iFinD）'!$AA615=""),"",分期持仓明细!$AB$23*(SUMPRODUCT(分期持仓明细!$B$23:$Y$23,'实盘净值数据(iFinD）'!$B615:$Y615/'实盘净值数据(iFinD）'!$B$65:$Y$65)+SUMPRODUCT(分期持仓明细!$AC$23:$AD$23,'实盘净值数据(iFinD）'!$Z615:$AA615/'实盘净值数据(iFinD）'!$Z$65:$AA$65))*(1-实盘持仓初始配置!$Z$7)^(('实盘净值数据(iFinD）'!$A615-'实盘净值数据(iFinD）'!$A$8)/365))</f>
        <v/>
      </c>
      <c r="L615" s="16" t="str">
        <f t="shared" si="57"/>
        <v/>
      </c>
      <c r="M615" s="16" t="str">
        <f>IF(K615="","",K615/MAX(K$5:K615)-1)</f>
        <v/>
      </c>
      <c r="N615" s="13" t="str">
        <f>IF(OR('实盘净值数据(iFinD）'!$A615="",'实盘净值数据(iFinD）'!$B615="",'实盘净值数据(iFinD）'!$Z615="",'实盘净值数据(iFinD）'!$AA615=""),"",分期持仓明细!$AB$24*(SUMPRODUCT(分期持仓明细!$B$24:$Y$24,'实盘净值数据(iFinD）'!$B615:$Y615/'实盘净值数据(iFinD）'!$B$65:$Y$65)+SUMPRODUCT(分期持仓明细!$AC$24:$AD$24,'实盘净值数据(iFinD）'!$Z615:$AA615/'实盘净值数据(iFinD）'!$Z$65:$AA$65))*(1-实盘持仓初始配置!$Z$8)^(('实盘净值数据(iFinD）'!$A615-'实盘净值数据(iFinD）'!$A$5)/365))</f>
        <v/>
      </c>
      <c r="O615" s="16" t="str">
        <f t="shared" si="58"/>
        <v/>
      </c>
      <c r="P615" s="16" t="str">
        <f>IF(N615="","",N615/MAX(N$5:N615)-1)</f>
        <v/>
      </c>
      <c r="Q615" s="13" t="str">
        <f>IF(OR('实盘净值数据(iFinD）'!$A615="",'实盘净值数据(iFinD）'!$B615="",'实盘净值数据(iFinD）'!$Z615="",'实盘净值数据(iFinD）'!$AA615=""),"",分期持仓明细!$AB$25*(SUMPRODUCT(分期持仓明细!$B$25:$Y$25,'实盘净值数据(iFinD）'!$B615:$Y615/'实盘净值数据(iFinD）'!$B$65:$Y$65)+SUMPRODUCT(分期持仓明细!$AC$25:$AD$25,'实盘净值数据(iFinD）'!$Z615:$AA615/'实盘净值数据(iFinD）'!$Z$65:$AA$65))*(1-实盘持仓初始配置!$Z$9)^(('实盘净值数据(iFinD）'!$A615-'实盘净值数据(iFinD）'!$A$8)/365))</f>
        <v/>
      </c>
      <c r="R615" s="16" t="str">
        <f t="shared" si="59"/>
        <v/>
      </c>
      <c r="S615" s="16" t="str">
        <f>IF(Q615="","",Q615/MAX(Q$5:Q615)-1)</f>
        <v/>
      </c>
      <c r="T615" s="13">
        <f>IF(OR('实盘净值数据(iFinD）'!$A615="",'实盘净值数据(iFinD）'!$B615="",'实盘净值数据(iFinD）'!$Z615="",'实盘净值数据(iFinD）'!$AA615="",'实盘净值数据(iFinD）'!$AB615="",'实盘净值数据(iFinD）'!$AL615=""),"",(SUMPRODUCT(分期持仓明细!$B$26:$Y$26,'实盘净值数据(iFinD）'!$B615:$Y615/'实盘净值数据(iFinD）'!$B$69:$Y$69)+SUMPRODUCT(分期持仓明细!$AC$26:$AD$26,'实盘净值数据(iFinD）'!$Z615:$AA615/'实盘净值数据(iFinD）'!$Z$69:$AA$69)+SUMPRODUCT(分期持仓明细!$AE$26:$AO$26,'实盘净值数据(iFinD）'!$AB615:$AL615/'实盘净值数据(iFinD）'!$AB$69:$AL$69))*(1-实盘持仓初始配置!$Z$10)^(('实盘净值数据(iFinD）'!$A615-'实盘净值数据(iFinD）'!$A$69)/365))</f>
        <v/>
      </c>
      <c r="U615" s="16">
        <f>IF(OR(T614="",T615=""),"",T615/T614-1)</f>
        <v/>
      </c>
      <c r="V615" s="16">
        <f>IF(T615="","",T615/MAX(T$5:T615)-1)</f>
        <v/>
      </c>
    </row>
    <row r="616" spans="1:19">
      <c r="A616" s="15" t="str">
        <f>IF('实盘净值数据(iFinD）'!A616="","",'实盘净值数据(iFinD）'!A616)</f>
        <v/>
      </c>
      <c r="B616" s="13" t="str">
        <f>IF(OR('实盘净值数据(iFinD）'!$A616="",'实盘净值数据(iFinD）'!$B616=""),"",分期持仓明细!$AB$17*SUMPRODUCT(分期持仓明细!$B$17:$Y$17,'实盘净值数据(iFinD）'!$B616:$Y616/'实盘净值数据(iFinD）'!$B$20:$Y$20)*(1-实盘持仓初始配置!$Z$4)^(('实盘净值数据(iFinD）'!$A616-'实盘净值数据(iFinD）'!$A$6)/365))</f>
        <v/>
      </c>
      <c r="C616" s="16" t="str">
        <f t="shared" si="54"/>
        <v/>
      </c>
      <c r="D616" s="16" t="str">
        <f>IF(B616="","",B616/MAX(B$5:B616)-1)</f>
        <v/>
      </c>
      <c r="E616" s="13" t="str">
        <f>IF(OR('实盘净值数据(iFinD）'!$A616="",'实盘净值数据(iFinD）'!$B616=""),"",分期持仓明细!$AB$18*SUMPRODUCT(分期持仓明细!$B$18:$Y$18,'实盘净值数据(iFinD）'!$B616:$Y616/'实盘净值数据(iFinD）'!$B$20:$Y$20)*(1-实盘持仓初始配置!$Z$5)^(('实盘净值数据(iFinD）'!$A616-'实盘净值数据(iFinD）'!$A$5)/365))</f>
        <v/>
      </c>
      <c r="F616" s="16" t="str">
        <f t="shared" si="55"/>
        <v/>
      </c>
      <c r="G616" s="16" t="str">
        <f>IF(E616="","",E616/MAX(E$5:E616)-1)</f>
        <v/>
      </c>
      <c r="H616" s="13" t="str">
        <f>IF(OR('实盘净值数据(iFinD）'!$A616="",'实盘净值数据(iFinD）'!$B616=""),"",分期持仓明细!$AB$19*SUMPRODUCT(分期持仓明细!$B$19:$Y$19,'实盘净值数据(iFinD）'!$B616:$Y616/'实盘净值数据(iFinD）'!$B$20:$Y$20)*(1-实盘持仓初始配置!$Z$6)^(('实盘净值数据(iFinD）'!$A616-'实盘净值数据(iFinD）'!$A$7)/365))</f>
        <v/>
      </c>
      <c r="I616" s="16" t="str">
        <f t="shared" si="56"/>
        <v/>
      </c>
      <c r="J616" s="16" t="str">
        <f>IF(H616="","",H616/MAX(H$5:H616)-1)</f>
        <v/>
      </c>
      <c r="K616" s="13" t="str">
        <f>IF(OR('实盘净值数据(iFinD）'!$A616="",'实盘净值数据(iFinD）'!$B616="",'实盘净值数据(iFinD）'!$Z616="",'实盘净值数据(iFinD）'!$AA616=""),"",分期持仓明细!$AB$23*(SUMPRODUCT(分期持仓明细!$B$23:$Y$23,'实盘净值数据(iFinD）'!$B616:$Y616/'实盘净值数据(iFinD）'!$B$65:$Y$65)+SUMPRODUCT(分期持仓明细!$AC$23:$AD$23,'实盘净值数据(iFinD）'!$Z616:$AA616/'实盘净值数据(iFinD）'!$Z$65:$AA$65))*(1-实盘持仓初始配置!$Z$7)^(('实盘净值数据(iFinD）'!$A616-'实盘净值数据(iFinD）'!$A$8)/365))</f>
        <v/>
      </c>
      <c r="L616" s="16" t="str">
        <f t="shared" si="57"/>
        <v/>
      </c>
      <c r="M616" s="16" t="str">
        <f>IF(K616="","",K616/MAX(K$5:K616)-1)</f>
        <v/>
      </c>
      <c r="N616" s="13" t="str">
        <f>IF(OR('实盘净值数据(iFinD）'!$A616="",'实盘净值数据(iFinD）'!$B616="",'实盘净值数据(iFinD）'!$Z616="",'实盘净值数据(iFinD）'!$AA616=""),"",分期持仓明细!$AB$24*(SUMPRODUCT(分期持仓明细!$B$24:$Y$24,'实盘净值数据(iFinD）'!$B616:$Y616/'实盘净值数据(iFinD）'!$B$65:$Y$65)+SUMPRODUCT(分期持仓明细!$AC$24:$AD$24,'实盘净值数据(iFinD）'!$Z616:$AA616/'实盘净值数据(iFinD）'!$Z$65:$AA$65))*(1-实盘持仓初始配置!$Z$8)^(('实盘净值数据(iFinD）'!$A616-'实盘净值数据(iFinD）'!$A$5)/365))</f>
        <v/>
      </c>
      <c r="O616" s="16" t="str">
        <f t="shared" si="58"/>
        <v/>
      </c>
      <c r="P616" s="16" t="str">
        <f>IF(N616="","",N616/MAX(N$5:N616)-1)</f>
        <v/>
      </c>
      <c r="Q616" s="13" t="str">
        <f>IF(OR('实盘净值数据(iFinD）'!$A616="",'实盘净值数据(iFinD）'!$B616="",'实盘净值数据(iFinD）'!$Z616="",'实盘净值数据(iFinD）'!$AA616=""),"",分期持仓明细!$AB$25*(SUMPRODUCT(分期持仓明细!$B$25:$Y$25,'实盘净值数据(iFinD）'!$B616:$Y616/'实盘净值数据(iFinD）'!$B$65:$Y$65)+SUMPRODUCT(分期持仓明细!$AC$25:$AD$25,'实盘净值数据(iFinD）'!$Z616:$AA616/'实盘净值数据(iFinD）'!$Z$65:$AA$65))*(1-实盘持仓初始配置!$Z$9)^(('实盘净值数据(iFinD）'!$A616-'实盘净值数据(iFinD）'!$A$8)/365))</f>
        <v/>
      </c>
      <c r="R616" s="16" t="str">
        <f t="shared" si="59"/>
        <v/>
      </c>
      <c r="S616" s="16" t="str">
        <f>IF(Q616="","",Q616/MAX(Q$5:Q616)-1)</f>
        <v/>
      </c>
      <c r="T616" s="13">
        <f>IF(OR('实盘净值数据(iFinD）'!$A616="",'实盘净值数据(iFinD）'!$B616="",'实盘净值数据(iFinD）'!$Z616="",'实盘净值数据(iFinD）'!$AA616="",'实盘净值数据(iFinD）'!$AB616="",'实盘净值数据(iFinD）'!$AL616=""),"",(SUMPRODUCT(分期持仓明细!$B$26:$Y$26,'实盘净值数据(iFinD）'!$B616:$Y616/'实盘净值数据(iFinD）'!$B$69:$Y$69)+SUMPRODUCT(分期持仓明细!$AC$26:$AD$26,'实盘净值数据(iFinD）'!$Z616:$AA616/'实盘净值数据(iFinD）'!$Z$69:$AA$69)+SUMPRODUCT(分期持仓明细!$AE$26:$AO$26,'实盘净值数据(iFinD）'!$AB616:$AL616/'实盘净值数据(iFinD）'!$AB$69:$AL$69))*(1-实盘持仓初始配置!$Z$10)^(('实盘净值数据(iFinD）'!$A616-'实盘净值数据(iFinD）'!$A$69)/365))</f>
        <v/>
      </c>
      <c r="U616" s="16">
        <f>IF(OR(T615="",T616=""),"",T616/T615-1)</f>
        <v/>
      </c>
      <c r="V616" s="16">
        <f>IF(T616="","",T616/MAX(T$5:T616)-1)</f>
        <v/>
      </c>
    </row>
    <row r="617" spans="1:19">
      <c r="A617" s="15" t="str">
        <f>IF('实盘净值数据(iFinD）'!A617="","",'实盘净值数据(iFinD）'!A617)</f>
        <v/>
      </c>
      <c r="B617" s="13" t="str">
        <f>IF(OR('实盘净值数据(iFinD）'!$A617="",'实盘净值数据(iFinD）'!$B617=""),"",分期持仓明细!$AB$17*SUMPRODUCT(分期持仓明细!$B$17:$Y$17,'实盘净值数据(iFinD）'!$B617:$Y617/'实盘净值数据(iFinD）'!$B$20:$Y$20)*(1-实盘持仓初始配置!$Z$4)^(('实盘净值数据(iFinD）'!$A617-'实盘净值数据(iFinD）'!$A$6)/365))</f>
        <v/>
      </c>
      <c r="C617" s="16" t="str">
        <f t="shared" si="54"/>
        <v/>
      </c>
      <c r="D617" s="16" t="str">
        <f>IF(B617="","",B617/MAX(B$5:B617)-1)</f>
        <v/>
      </c>
      <c r="E617" s="13" t="str">
        <f>IF(OR('实盘净值数据(iFinD）'!$A617="",'实盘净值数据(iFinD）'!$B617=""),"",分期持仓明细!$AB$18*SUMPRODUCT(分期持仓明细!$B$18:$Y$18,'实盘净值数据(iFinD）'!$B617:$Y617/'实盘净值数据(iFinD）'!$B$20:$Y$20)*(1-实盘持仓初始配置!$Z$5)^(('实盘净值数据(iFinD）'!$A617-'实盘净值数据(iFinD）'!$A$5)/365))</f>
        <v/>
      </c>
      <c r="F617" s="16" t="str">
        <f t="shared" si="55"/>
        <v/>
      </c>
      <c r="G617" s="16" t="str">
        <f>IF(E617="","",E617/MAX(E$5:E617)-1)</f>
        <v/>
      </c>
      <c r="H617" s="13" t="str">
        <f>IF(OR('实盘净值数据(iFinD）'!$A617="",'实盘净值数据(iFinD）'!$B617=""),"",分期持仓明细!$AB$19*SUMPRODUCT(分期持仓明细!$B$19:$Y$19,'实盘净值数据(iFinD）'!$B617:$Y617/'实盘净值数据(iFinD）'!$B$20:$Y$20)*(1-实盘持仓初始配置!$Z$6)^(('实盘净值数据(iFinD）'!$A617-'实盘净值数据(iFinD）'!$A$7)/365))</f>
        <v/>
      </c>
      <c r="I617" s="16" t="str">
        <f t="shared" si="56"/>
        <v/>
      </c>
      <c r="J617" s="16" t="str">
        <f>IF(H617="","",H617/MAX(H$5:H617)-1)</f>
        <v/>
      </c>
      <c r="K617" s="13" t="str">
        <f>IF(OR('实盘净值数据(iFinD）'!$A617="",'实盘净值数据(iFinD）'!$B617="",'实盘净值数据(iFinD）'!$Z617="",'实盘净值数据(iFinD）'!$AA617=""),"",分期持仓明细!$AB$23*(SUMPRODUCT(分期持仓明细!$B$23:$Y$23,'实盘净值数据(iFinD）'!$B617:$Y617/'实盘净值数据(iFinD）'!$B$65:$Y$65)+SUMPRODUCT(分期持仓明细!$AC$23:$AD$23,'实盘净值数据(iFinD）'!$Z617:$AA617/'实盘净值数据(iFinD）'!$Z$65:$AA$65))*(1-实盘持仓初始配置!$Z$7)^(('实盘净值数据(iFinD）'!$A617-'实盘净值数据(iFinD）'!$A$8)/365))</f>
        <v/>
      </c>
      <c r="L617" s="16" t="str">
        <f t="shared" si="57"/>
        <v/>
      </c>
      <c r="M617" s="16" t="str">
        <f>IF(K617="","",K617/MAX(K$5:K617)-1)</f>
        <v/>
      </c>
      <c r="N617" s="13" t="str">
        <f>IF(OR('实盘净值数据(iFinD）'!$A617="",'实盘净值数据(iFinD）'!$B617="",'实盘净值数据(iFinD）'!$Z617="",'实盘净值数据(iFinD）'!$AA617=""),"",分期持仓明细!$AB$24*(SUMPRODUCT(分期持仓明细!$B$24:$Y$24,'实盘净值数据(iFinD）'!$B617:$Y617/'实盘净值数据(iFinD）'!$B$65:$Y$65)+SUMPRODUCT(分期持仓明细!$AC$24:$AD$24,'实盘净值数据(iFinD）'!$Z617:$AA617/'实盘净值数据(iFinD）'!$Z$65:$AA$65))*(1-实盘持仓初始配置!$Z$8)^(('实盘净值数据(iFinD）'!$A617-'实盘净值数据(iFinD）'!$A$5)/365))</f>
        <v/>
      </c>
      <c r="O617" s="16" t="str">
        <f t="shared" si="58"/>
        <v/>
      </c>
      <c r="P617" s="16" t="str">
        <f>IF(N617="","",N617/MAX(N$5:N617)-1)</f>
        <v/>
      </c>
      <c r="Q617" s="13" t="str">
        <f>IF(OR('实盘净值数据(iFinD）'!$A617="",'实盘净值数据(iFinD）'!$B617="",'实盘净值数据(iFinD）'!$Z617="",'实盘净值数据(iFinD）'!$AA617=""),"",分期持仓明细!$AB$25*(SUMPRODUCT(分期持仓明细!$B$25:$Y$25,'实盘净值数据(iFinD）'!$B617:$Y617/'实盘净值数据(iFinD）'!$B$65:$Y$65)+SUMPRODUCT(分期持仓明细!$AC$25:$AD$25,'实盘净值数据(iFinD）'!$Z617:$AA617/'实盘净值数据(iFinD）'!$Z$65:$AA$65))*(1-实盘持仓初始配置!$Z$9)^(('实盘净值数据(iFinD）'!$A617-'实盘净值数据(iFinD）'!$A$8)/365))</f>
        <v/>
      </c>
      <c r="R617" s="16" t="str">
        <f t="shared" si="59"/>
        <v/>
      </c>
      <c r="S617" s="16" t="str">
        <f>IF(Q617="","",Q617/MAX(Q$5:Q617)-1)</f>
        <v/>
      </c>
      <c r="T617" s="13">
        <f>IF(OR('实盘净值数据(iFinD）'!$A617="",'实盘净值数据(iFinD）'!$B617="",'实盘净值数据(iFinD）'!$Z617="",'实盘净值数据(iFinD）'!$AA617="",'实盘净值数据(iFinD）'!$AB617="",'实盘净值数据(iFinD）'!$AL617=""),"",(SUMPRODUCT(分期持仓明细!$B$26:$Y$26,'实盘净值数据(iFinD）'!$B617:$Y617/'实盘净值数据(iFinD）'!$B$69:$Y$69)+SUMPRODUCT(分期持仓明细!$AC$26:$AD$26,'实盘净值数据(iFinD）'!$Z617:$AA617/'实盘净值数据(iFinD）'!$Z$69:$AA$69)+SUMPRODUCT(分期持仓明细!$AE$26:$AO$26,'实盘净值数据(iFinD）'!$AB617:$AL617/'实盘净值数据(iFinD）'!$AB$69:$AL$69))*(1-实盘持仓初始配置!$Z$10)^(('实盘净值数据(iFinD）'!$A617-'实盘净值数据(iFinD）'!$A$69)/365))</f>
        <v/>
      </c>
      <c r="U617" s="16">
        <f>IF(OR(T616="",T617=""),"",T617/T616-1)</f>
        <v/>
      </c>
      <c r="V617" s="16">
        <f>IF(T617="","",T617/MAX(T$5:T617)-1)</f>
        <v/>
      </c>
    </row>
    <row r="618" spans="1:19">
      <c r="A618" s="15" t="str">
        <f>IF('实盘净值数据(iFinD）'!A618="","",'实盘净值数据(iFinD）'!A618)</f>
        <v/>
      </c>
      <c r="B618" s="13" t="str">
        <f>IF(OR('实盘净值数据(iFinD）'!$A618="",'实盘净值数据(iFinD）'!$B618=""),"",分期持仓明细!$AB$17*SUMPRODUCT(分期持仓明细!$B$17:$Y$17,'实盘净值数据(iFinD）'!$B618:$Y618/'实盘净值数据(iFinD）'!$B$20:$Y$20)*(1-实盘持仓初始配置!$Z$4)^(('实盘净值数据(iFinD）'!$A618-'实盘净值数据(iFinD）'!$A$6)/365))</f>
        <v/>
      </c>
      <c r="C618" s="16" t="str">
        <f t="shared" si="54"/>
        <v/>
      </c>
      <c r="D618" s="16" t="str">
        <f>IF(B618="","",B618/MAX(B$5:B618)-1)</f>
        <v/>
      </c>
      <c r="E618" s="13" t="str">
        <f>IF(OR('实盘净值数据(iFinD）'!$A618="",'实盘净值数据(iFinD）'!$B618=""),"",分期持仓明细!$AB$18*SUMPRODUCT(分期持仓明细!$B$18:$Y$18,'实盘净值数据(iFinD）'!$B618:$Y618/'实盘净值数据(iFinD）'!$B$20:$Y$20)*(1-实盘持仓初始配置!$Z$5)^(('实盘净值数据(iFinD）'!$A618-'实盘净值数据(iFinD）'!$A$5)/365))</f>
        <v/>
      </c>
      <c r="F618" s="16" t="str">
        <f t="shared" si="55"/>
        <v/>
      </c>
      <c r="G618" s="16" t="str">
        <f>IF(E618="","",E618/MAX(E$5:E618)-1)</f>
        <v/>
      </c>
      <c r="H618" s="13" t="str">
        <f>IF(OR('实盘净值数据(iFinD）'!$A618="",'实盘净值数据(iFinD）'!$B618=""),"",分期持仓明细!$AB$19*SUMPRODUCT(分期持仓明细!$B$19:$Y$19,'实盘净值数据(iFinD）'!$B618:$Y618/'实盘净值数据(iFinD）'!$B$20:$Y$20)*(1-实盘持仓初始配置!$Z$6)^(('实盘净值数据(iFinD）'!$A618-'实盘净值数据(iFinD）'!$A$7)/365))</f>
        <v/>
      </c>
      <c r="I618" s="16" t="str">
        <f t="shared" si="56"/>
        <v/>
      </c>
      <c r="J618" s="16" t="str">
        <f>IF(H618="","",H618/MAX(H$5:H618)-1)</f>
        <v/>
      </c>
      <c r="K618" s="13" t="str">
        <f>IF(OR('实盘净值数据(iFinD）'!$A618="",'实盘净值数据(iFinD）'!$B618="",'实盘净值数据(iFinD）'!$Z618="",'实盘净值数据(iFinD）'!$AA618=""),"",分期持仓明细!$AB$23*(SUMPRODUCT(分期持仓明细!$B$23:$Y$23,'实盘净值数据(iFinD）'!$B618:$Y618/'实盘净值数据(iFinD）'!$B$65:$Y$65)+SUMPRODUCT(分期持仓明细!$AC$23:$AD$23,'实盘净值数据(iFinD）'!$Z618:$AA618/'实盘净值数据(iFinD）'!$Z$65:$AA$65))*(1-实盘持仓初始配置!$Z$7)^(('实盘净值数据(iFinD）'!$A618-'实盘净值数据(iFinD）'!$A$8)/365))</f>
        <v/>
      </c>
      <c r="L618" s="16" t="str">
        <f t="shared" si="57"/>
        <v/>
      </c>
      <c r="M618" s="16" t="str">
        <f>IF(K618="","",K618/MAX(K$5:K618)-1)</f>
        <v/>
      </c>
      <c r="N618" s="13" t="str">
        <f>IF(OR('实盘净值数据(iFinD）'!$A618="",'实盘净值数据(iFinD）'!$B618="",'实盘净值数据(iFinD）'!$Z618="",'实盘净值数据(iFinD）'!$AA618=""),"",分期持仓明细!$AB$24*(SUMPRODUCT(分期持仓明细!$B$24:$Y$24,'实盘净值数据(iFinD）'!$B618:$Y618/'实盘净值数据(iFinD）'!$B$65:$Y$65)+SUMPRODUCT(分期持仓明细!$AC$24:$AD$24,'实盘净值数据(iFinD）'!$Z618:$AA618/'实盘净值数据(iFinD）'!$Z$65:$AA$65))*(1-实盘持仓初始配置!$Z$8)^(('实盘净值数据(iFinD）'!$A618-'实盘净值数据(iFinD）'!$A$5)/365))</f>
        <v/>
      </c>
      <c r="O618" s="16" t="str">
        <f t="shared" si="58"/>
        <v/>
      </c>
      <c r="P618" s="16" t="str">
        <f>IF(N618="","",N618/MAX(N$5:N618)-1)</f>
        <v/>
      </c>
      <c r="Q618" s="13" t="str">
        <f>IF(OR('实盘净值数据(iFinD）'!$A618="",'实盘净值数据(iFinD）'!$B618="",'实盘净值数据(iFinD）'!$Z618="",'实盘净值数据(iFinD）'!$AA618=""),"",分期持仓明细!$AB$25*(SUMPRODUCT(分期持仓明细!$B$25:$Y$25,'实盘净值数据(iFinD）'!$B618:$Y618/'实盘净值数据(iFinD）'!$B$65:$Y$65)+SUMPRODUCT(分期持仓明细!$AC$25:$AD$25,'实盘净值数据(iFinD）'!$Z618:$AA618/'实盘净值数据(iFinD）'!$Z$65:$AA$65))*(1-实盘持仓初始配置!$Z$9)^(('实盘净值数据(iFinD）'!$A618-'实盘净值数据(iFinD）'!$A$8)/365))</f>
        <v/>
      </c>
      <c r="R618" s="16" t="str">
        <f t="shared" si="59"/>
        <v/>
      </c>
      <c r="S618" s="16" t="str">
        <f>IF(Q618="","",Q618/MAX(Q$5:Q618)-1)</f>
        <v/>
      </c>
      <c r="T618" s="13">
        <f>IF(OR('实盘净值数据(iFinD）'!$A618="",'实盘净值数据(iFinD）'!$B618="",'实盘净值数据(iFinD）'!$Z618="",'实盘净值数据(iFinD）'!$AA618="",'实盘净值数据(iFinD）'!$AB618="",'实盘净值数据(iFinD）'!$AL618=""),"",(SUMPRODUCT(分期持仓明细!$B$26:$Y$26,'实盘净值数据(iFinD）'!$B618:$Y618/'实盘净值数据(iFinD）'!$B$69:$Y$69)+SUMPRODUCT(分期持仓明细!$AC$26:$AD$26,'实盘净值数据(iFinD）'!$Z618:$AA618/'实盘净值数据(iFinD）'!$Z$69:$AA$69)+SUMPRODUCT(分期持仓明细!$AE$26:$AO$26,'实盘净值数据(iFinD）'!$AB618:$AL618/'实盘净值数据(iFinD）'!$AB$69:$AL$69))*(1-实盘持仓初始配置!$Z$10)^(('实盘净值数据(iFinD）'!$A618-'实盘净值数据(iFinD）'!$A$69)/365))</f>
        <v/>
      </c>
      <c r="U618" s="16">
        <f>IF(OR(T617="",T618=""),"",T618/T617-1)</f>
        <v/>
      </c>
      <c r="V618" s="16">
        <f>IF(T618="","",T618/MAX(T$5:T618)-1)</f>
        <v/>
      </c>
    </row>
    <row r="619" spans="1:19">
      <c r="A619" s="15" t="str">
        <f>IF('实盘净值数据(iFinD）'!A619="","",'实盘净值数据(iFinD）'!A619)</f>
        <v/>
      </c>
      <c r="B619" s="13" t="str">
        <f>IF(OR('实盘净值数据(iFinD）'!$A619="",'实盘净值数据(iFinD）'!$B619=""),"",分期持仓明细!$AB$17*SUMPRODUCT(分期持仓明细!$B$17:$Y$17,'实盘净值数据(iFinD）'!$B619:$Y619/'实盘净值数据(iFinD）'!$B$20:$Y$20)*(1-实盘持仓初始配置!$Z$4)^(('实盘净值数据(iFinD）'!$A619-'实盘净值数据(iFinD）'!$A$6)/365))</f>
        <v/>
      </c>
      <c r="C619" s="16" t="str">
        <f t="shared" si="54"/>
        <v/>
      </c>
      <c r="D619" s="16" t="str">
        <f>IF(B619="","",B619/MAX(B$5:B619)-1)</f>
        <v/>
      </c>
      <c r="E619" s="13" t="str">
        <f>IF(OR('实盘净值数据(iFinD）'!$A619="",'实盘净值数据(iFinD）'!$B619=""),"",分期持仓明细!$AB$18*SUMPRODUCT(分期持仓明细!$B$18:$Y$18,'实盘净值数据(iFinD）'!$B619:$Y619/'实盘净值数据(iFinD）'!$B$20:$Y$20)*(1-实盘持仓初始配置!$Z$5)^(('实盘净值数据(iFinD）'!$A619-'实盘净值数据(iFinD）'!$A$5)/365))</f>
        <v/>
      </c>
      <c r="F619" s="16" t="str">
        <f t="shared" si="55"/>
        <v/>
      </c>
      <c r="G619" s="16" t="str">
        <f>IF(E619="","",E619/MAX(E$5:E619)-1)</f>
        <v/>
      </c>
      <c r="H619" s="13" t="str">
        <f>IF(OR('实盘净值数据(iFinD）'!$A619="",'实盘净值数据(iFinD）'!$B619=""),"",分期持仓明细!$AB$19*SUMPRODUCT(分期持仓明细!$B$19:$Y$19,'实盘净值数据(iFinD）'!$B619:$Y619/'实盘净值数据(iFinD）'!$B$20:$Y$20)*(1-实盘持仓初始配置!$Z$6)^(('实盘净值数据(iFinD）'!$A619-'实盘净值数据(iFinD）'!$A$7)/365))</f>
        <v/>
      </c>
      <c r="I619" s="16" t="str">
        <f t="shared" si="56"/>
        <v/>
      </c>
      <c r="J619" s="16" t="str">
        <f>IF(H619="","",H619/MAX(H$5:H619)-1)</f>
        <v/>
      </c>
      <c r="K619" s="13" t="str">
        <f>IF(OR('实盘净值数据(iFinD）'!$A619="",'实盘净值数据(iFinD）'!$B619="",'实盘净值数据(iFinD）'!$Z619="",'实盘净值数据(iFinD）'!$AA619=""),"",分期持仓明细!$AB$23*(SUMPRODUCT(分期持仓明细!$B$23:$Y$23,'实盘净值数据(iFinD）'!$B619:$Y619/'实盘净值数据(iFinD）'!$B$65:$Y$65)+SUMPRODUCT(分期持仓明细!$AC$23:$AD$23,'实盘净值数据(iFinD）'!$Z619:$AA619/'实盘净值数据(iFinD）'!$Z$65:$AA$65))*(1-实盘持仓初始配置!$Z$7)^(('实盘净值数据(iFinD）'!$A619-'实盘净值数据(iFinD）'!$A$8)/365))</f>
        <v/>
      </c>
      <c r="L619" s="16" t="str">
        <f t="shared" si="57"/>
        <v/>
      </c>
      <c r="M619" s="16" t="str">
        <f>IF(K619="","",K619/MAX(K$5:K619)-1)</f>
        <v/>
      </c>
      <c r="N619" s="13" t="str">
        <f>IF(OR('实盘净值数据(iFinD）'!$A619="",'实盘净值数据(iFinD）'!$B619="",'实盘净值数据(iFinD）'!$Z619="",'实盘净值数据(iFinD）'!$AA619=""),"",分期持仓明细!$AB$24*(SUMPRODUCT(分期持仓明细!$B$24:$Y$24,'实盘净值数据(iFinD）'!$B619:$Y619/'实盘净值数据(iFinD）'!$B$65:$Y$65)+SUMPRODUCT(分期持仓明细!$AC$24:$AD$24,'实盘净值数据(iFinD）'!$Z619:$AA619/'实盘净值数据(iFinD）'!$Z$65:$AA$65))*(1-实盘持仓初始配置!$Z$8)^(('实盘净值数据(iFinD）'!$A619-'实盘净值数据(iFinD）'!$A$5)/365))</f>
        <v/>
      </c>
      <c r="O619" s="16" t="str">
        <f t="shared" si="58"/>
        <v/>
      </c>
      <c r="P619" s="16" t="str">
        <f>IF(N619="","",N619/MAX(N$5:N619)-1)</f>
        <v/>
      </c>
      <c r="Q619" s="13" t="str">
        <f>IF(OR('实盘净值数据(iFinD）'!$A619="",'实盘净值数据(iFinD）'!$B619="",'实盘净值数据(iFinD）'!$Z619="",'实盘净值数据(iFinD）'!$AA619=""),"",分期持仓明细!$AB$25*(SUMPRODUCT(分期持仓明细!$B$25:$Y$25,'实盘净值数据(iFinD）'!$B619:$Y619/'实盘净值数据(iFinD）'!$B$65:$Y$65)+SUMPRODUCT(分期持仓明细!$AC$25:$AD$25,'实盘净值数据(iFinD）'!$Z619:$AA619/'实盘净值数据(iFinD）'!$Z$65:$AA$65))*(1-实盘持仓初始配置!$Z$9)^(('实盘净值数据(iFinD）'!$A619-'实盘净值数据(iFinD）'!$A$8)/365))</f>
        <v/>
      </c>
      <c r="R619" s="16" t="str">
        <f t="shared" si="59"/>
        <v/>
      </c>
      <c r="S619" s="16" t="str">
        <f>IF(Q619="","",Q619/MAX(Q$5:Q619)-1)</f>
        <v/>
      </c>
      <c r="T619" s="13">
        <f>IF(OR('实盘净值数据(iFinD）'!$A619="",'实盘净值数据(iFinD）'!$B619="",'实盘净值数据(iFinD）'!$Z619="",'实盘净值数据(iFinD）'!$AA619="",'实盘净值数据(iFinD）'!$AB619="",'实盘净值数据(iFinD）'!$AL619=""),"",(SUMPRODUCT(分期持仓明细!$B$26:$Y$26,'实盘净值数据(iFinD）'!$B619:$Y619/'实盘净值数据(iFinD）'!$B$69:$Y$69)+SUMPRODUCT(分期持仓明细!$AC$26:$AD$26,'实盘净值数据(iFinD）'!$Z619:$AA619/'实盘净值数据(iFinD）'!$Z$69:$AA$69)+SUMPRODUCT(分期持仓明细!$AE$26:$AO$26,'实盘净值数据(iFinD）'!$AB619:$AL619/'实盘净值数据(iFinD）'!$AB$69:$AL$69))*(1-实盘持仓初始配置!$Z$10)^(('实盘净值数据(iFinD）'!$A619-'实盘净值数据(iFinD）'!$A$69)/365))</f>
        <v/>
      </c>
      <c r="U619" s="16">
        <f>IF(OR(T618="",T619=""),"",T619/T618-1)</f>
        <v/>
      </c>
      <c r="V619" s="16">
        <f>IF(T619="","",T619/MAX(T$5:T619)-1)</f>
        <v/>
      </c>
    </row>
    <row r="620" spans="1:19">
      <c r="A620" s="15" t="str">
        <f>IF('实盘净值数据(iFinD）'!A620="","",'实盘净值数据(iFinD）'!A620)</f>
        <v/>
      </c>
      <c r="B620" s="13" t="str">
        <f>IF(OR('实盘净值数据(iFinD）'!$A620="",'实盘净值数据(iFinD）'!$B620=""),"",分期持仓明细!$AB$17*SUMPRODUCT(分期持仓明细!$B$17:$Y$17,'实盘净值数据(iFinD）'!$B620:$Y620/'实盘净值数据(iFinD）'!$B$20:$Y$20)*(1-实盘持仓初始配置!$Z$4)^(('实盘净值数据(iFinD）'!$A620-'实盘净值数据(iFinD）'!$A$6)/365))</f>
        <v/>
      </c>
      <c r="C620" s="16" t="str">
        <f t="shared" si="54"/>
        <v/>
      </c>
      <c r="D620" s="16" t="str">
        <f>IF(B620="","",B620/MAX(B$5:B620)-1)</f>
        <v/>
      </c>
      <c r="E620" s="13" t="str">
        <f>IF(OR('实盘净值数据(iFinD）'!$A620="",'实盘净值数据(iFinD）'!$B620=""),"",分期持仓明细!$AB$18*SUMPRODUCT(分期持仓明细!$B$18:$Y$18,'实盘净值数据(iFinD）'!$B620:$Y620/'实盘净值数据(iFinD）'!$B$20:$Y$20)*(1-实盘持仓初始配置!$Z$5)^(('实盘净值数据(iFinD）'!$A620-'实盘净值数据(iFinD）'!$A$5)/365))</f>
        <v/>
      </c>
      <c r="F620" s="16" t="str">
        <f t="shared" si="55"/>
        <v/>
      </c>
      <c r="G620" s="16" t="str">
        <f>IF(E620="","",E620/MAX(E$5:E620)-1)</f>
        <v/>
      </c>
      <c r="H620" s="13" t="str">
        <f>IF(OR('实盘净值数据(iFinD）'!$A620="",'实盘净值数据(iFinD）'!$B620=""),"",分期持仓明细!$AB$19*SUMPRODUCT(分期持仓明细!$B$19:$Y$19,'实盘净值数据(iFinD）'!$B620:$Y620/'实盘净值数据(iFinD）'!$B$20:$Y$20)*(1-实盘持仓初始配置!$Z$6)^(('实盘净值数据(iFinD）'!$A620-'实盘净值数据(iFinD）'!$A$7)/365))</f>
        <v/>
      </c>
      <c r="I620" s="16" t="str">
        <f t="shared" si="56"/>
        <v/>
      </c>
      <c r="J620" s="16" t="str">
        <f>IF(H620="","",H620/MAX(H$5:H620)-1)</f>
        <v/>
      </c>
      <c r="K620" s="13" t="str">
        <f>IF(OR('实盘净值数据(iFinD）'!$A620="",'实盘净值数据(iFinD）'!$B620="",'实盘净值数据(iFinD）'!$Z620="",'实盘净值数据(iFinD）'!$AA620=""),"",分期持仓明细!$AB$23*(SUMPRODUCT(分期持仓明细!$B$23:$Y$23,'实盘净值数据(iFinD）'!$B620:$Y620/'实盘净值数据(iFinD）'!$B$65:$Y$65)+SUMPRODUCT(分期持仓明细!$AC$23:$AD$23,'实盘净值数据(iFinD）'!$Z620:$AA620/'实盘净值数据(iFinD）'!$Z$65:$AA$65))*(1-实盘持仓初始配置!$Z$7)^(('实盘净值数据(iFinD）'!$A620-'实盘净值数据(iFinD）'!$A$8)/365))</f>
        <v/>
      </c>
      <c r="L620" s="16" t="str">
        <f t="shared" si="57"/>
        <v/>
      </c>
      <c r="M620" s="16" t="str">
        <f>IF(K620="","",K620/MAX(K$5:K620)-1)</f>
        <v/>
      </c>
      <c r="N620" s="13" t="str">
        <f>IF(OR('实盘净值数据(iFinD）'!$A620="",'实盘净值数据(iFinD）'!$B620="",'实盘净值数据(iFinD）'!$Z620="",'实盘净值数据(iFinD）'!$AA620=""),"",分期持仓明细!$AB$24*(SUMPRODUCT(分期持仓明细!$B$24:$Y$24,'实盘净值数据(iFinD）'!$B620:$Y620/'实盘净值数据(iFinD）'!$B$65:$Y$65)+SUMPRODUCT(分期持仓明细!$AC$24:$AD$24,'实盘净值数据(iFinD）'!$Z620:$AA620/'实盘净值数据(iFinD）'!$Z$65:$AA$65))*(1-实盘持仓初始配置!$Z$8)^(('实盘净值数据(iFinD）'!$A620-'实盘净值数据(iFinD）'!$A$5)/365))</f>
        <v/>
      </c>
      <c r="O620" s="16" t="str">
        <f t="shared" si="58"/>
        <v/>
      </c>
      <c r="P620" s="16" t="str">
        <f>IF(N620="","",N620/MAX(N$5:N620)-1)</f>
        <v/>
      </c>
      <c r="Q620" s="13" t="str">
        <f>IF(OR('实盘净值数据(iFinD）'!$A620="",'实盘净值数据(iFinD）'!$B620="",'实盘净值数据(iFinD）'!$Z620="",'实盘净值数据(iFinD）'!$AA620=""),"",分期持仓明细!$AB$25*(SUMPRODUCT(分期持仓明细!$B$25:$Y$25,'实盘净值数据(iFinD）'!$B620:$Y620/'实盘净值数据(iFinD）'!$B$65:$Y$65)+SUMPRODUCT(分期持仓明细!$AC$25:$AD$25,'实盘净值数据(iFinD）'!$Z620:$AA620/'实盘净值数据(iFinD）'!$Z$65:$AA$65))*(1-实盘持仓初始配置!$Z$9)^(('实盘净值数据(iFinD）'!$A620-'实盘净值数据(iFinD）'!$A$8)/365))</f>
        <v/>
      </c>
      <c r="R620" s="16" t="str">
        <f t="shared" si="59"/>
        <v/>
      </c>
      <c r="S620" s="16" t="str">
        <f>IF(Q620="","",Q620/MAX(Q$5:Q620)-1)</f>
        <v/>
      </c>
      <c r="T620" s="13">
        <f>IF(OR('实盘净值数据(iFinD）'!$A620="",'实盘净值数据(iFinD）'!$B620="",'实盘净值数据(iFinD）'!$Z620="",'实盘净值数据(iFinD）'!$AA620="",'实盘净值数据(iFinD）'!$AB620="",'实盘净值数据(iFinD）'!$AL620=""),"",(SUMPRODUCT(分期持仓明细!$B$26:$Y$26,'实盘净值数据(iFinD）'!$B620:$Y620/'实盘净值数据(iFinD）'!$B$69:$Y$69)+SUMPRODUCT(分期持仓明细!$AC$26:$AD$26,'实盘净值数据(iFinD）'!$Z620:$AA620/'实盘净值数据(iFinD）'!$Z$69:$AA$69)+SUMPRODUCT(分期持仓明细!$AE$26:$AO$26,'实盘净值数据(iFinD）'!$AB620:$AL620/'实盘净值数据(iFinD）'!$AB$69:$AL$69))*(1-实盘持仓初始配置!$Z$10)^(('实盘净值数据(iFinD）'!$A620-'实盘净值数据(iFinD）'!$A$69)/365))</f>
        <v/>
      </c>
      <c r="U620" s="16">
        <f>IF(OR(T619="",T620=""),"",T620/T619-1)</f>
        <v/>
      </c>
      <c r="V620" s="16">
        <f>IF(T620="","",T620/MAX(T$5:T620)-1)</f>
        <v/>
      </c>
    </row>
    <row r="621" spans="1:19">
      <c r="A621" s="15" t="str">
        <f>IF('实盘净值数据(iFinD）'!A621="","",'实盘净值数据(iFinD）'!A621)</f>
        <v/>
      </c>
      <c r="B621" s="13" t="str">
        <f>IF(OR('实盘净值数据(iFinD）'!$A621="",'实盘净值数据(iFinD）'!$B621=""),"",分期持仓明细!$AB$17*SUMPRODUCT(分期持仓明细!$B$17:$Y$17,'实盘净值数据(iFinD）'!$B621:$Y621/'实盘净值数据(iFinD）'!$B$20:$Y$20)*(1-实盘持仓初始配置!$Z$4)^(('实盘净值数据(iFinD）'!$A621-'实盘净值数据(iFinD）'!$A$6)/365))</f>
        <v/>
      </c>
      <c r="C621" s="16" t="str">
        <f t="shared" si="54"/>
        <v/>
      </c>
      <c r="D621" s="16" t="str">
        <f>IF(B621="","",B621/MAX(B$5:B621)-1)</f>
        <v/>
      </c>
      <c r="E621" s="13" t="str">
        <f>IF(OR('实盘净值数据(iFinD）'!$A621="",'实盘净值数据(iFinD）'!$B621=""),"",分期持仓明细!$AB$18*SUMPRODUCT(分期持仓明细!$B$18:$Y$18,'实盘净值数据(iFinD）'!$B621:$Y621/'实盘净值数据(iFinD）'!$B$20:$Y$20)*(1-实盘持仓初始配置!$Z$5)^(('实盘净值数据(iFinD）'!$A621-'实盘净值数据(iFinD）'!$A$5)/365))</f>
        <v/>
      </c>
      <c r="F621" s="16" t="str">
        <f t="shared" si="55"/>
        <v/>
      </c>
      <c r="G621" s="16" t="str">
        <f>IF(E621="","",E621/MAX(E$5:E621)-1)</f>
        <v/>
      </c>
      <c r="H621" s="13" t="str">
        <f>IF(OR('实盘净值数据(iFinD）'!$A621="",'实盘净值数据(iFinD）'!$B621=""),"",分期持仓明细!$AB$19*SUMPRODUCT(分期持仓明细!$B$19:$Y$19,'实盘净值数据(iFinD）'!$B621:$Y621/'实盘净值数据(iFinD）'!$B$20:$Y$20)*(1-实盘持仓初始配置!$Z$6)^(('实盘净值数据(iFinD）'!$A621-'实盘净值数据(iFinD）'!$A$7)/365))</f>
        <v/>
      </c>
      <c r="I621" s="16" t="str">
        <f t="shared" si="56"/>
        <v/>
      </c>
      <c r="J621" s="16" t="str">
        <f>IF(H621="","",H621/MAX(H$5:H621)-1)</f>
        <v/>
      </c>
      <c r="K621" s="13" t="str">
        <f>IF(OR('实盘净值数据(iFinD）'!$A621="",'实盘净值数据(iFinD）'!$B621="",'实盘净值数据(iFinD）'!$Z621="",'实盘净值数据(iFinD）'!$AA621=""),"",分期持仓明细!$AB$23*(SUMPRODUCT(分期持仓明细!$B$23:$Y$23,'实盘净值数据(iFinD）'!$B621:$Y621/'实盘净值数据(iFinD）'!$B$65:$Y$65)+SUMPRODUCT(分期持仓明细!$AC$23:$AD$23,'实盘净值数据(iFinD）'!$Z621:$AA621/'实盘净值数据(iFinD）'!$Z$65:$AA$65))*(1-实盘持仓初始配置!$Z$7)^(('实盘净值数据(iFinD）'!$A621-'实盘净值数据(iFinD）'!$A$8)/365))</f>
        <v/>
      </c>
      <c r="L621" s="16" t="str">
        <f t="shared" si="57"/>
        <v/>
      </c>
      <c r="M621" s="16" t="str">
        <f>IF(K621="","",K621/MAX(K$5:K621)-1)</f>
        <v/>
      </c>
      <c r="N621" s="13" t="str">
        <f>IF(OR('实盘净值数据(iFinD）'!$A621="",'实盘净值数据(iFinD）'!$B621="",'实盘净值数据(iFinD）'!$Z621="",'实盘净值数据(iFinD）'!$AA621=""),"",分期持仓明细!$AB$24*(SUMPRODUCT(分期持仓明细!$B$24:$Y$24,'实盘净值数据(iFinD）'!$B621:$Y621/'实盘净值数据(iFinD）'!$B$65:$Y$65)+SUMPRODUCT(分期持仓明细!$AC$24:$AD$24,'实盘净值数据(iFinD）'!$Z621:$AA621/'实盘净值数据(iFinD）'!$Z$65:$AA$65))*(1-实盘持仓初始配置!$Z$8)^(('实盘净值数据(iFinD）'!$A621-'实盘净值数据(iFinD）'!$A$5)/365))</f>
        <v/>
      </c>
      <c r="O621" s="16" t="str">
        <f t="shared" si="58"/>
        <v/>
      </c>
      <c r="P621" s="16" t="str">
        <f>IF(N621="","",N621/MAX(N$5:N621)-1)</f>
        <v/>
      </c>
      <c r="Q621" s="13" t="str">
        <f>IF(OR('实盘净值数据(iFinD）'!$A621="",'实盘净值数据(iFinD）'!$B621="",'实盘净值数据(iFinD）'!$Z621="",'实盘净值数据(iFinD）'!$AA621=""),"",分期持仓明细!$AB$25*(SUMPRODUCT(分期持仓明细!$B$25:$Y$25,'实盘净值数据(iFinD）'!$B621:$Y621/'实盘净值数据(iFinD）'!$B$65:$Y$65)+SUMPRODUCT(分期持仓明细!$AC$25:$AD$25,'实盘净值数据(iFinD）'!$Z621:$AA621/'实盘净值数据(iFinD）'!$Z$65:$AA$65))*(1-实盘持仓初始配置!$Z$9)^(('实盘净值数据(iFinD）'!$A621-'实盘净值数据(iFinD）'!$A$8)/365))</f>
        <v/>
      </c>
      <c r="R621" s="16" t="str">
        <f t="shared" si="59"/>
        <v/>
      </c>
      <c r="S621" s="16" t="str">
        <f>IF(Q621="","",Q621/MAX(Q$5:Q621)-1)</f>
        <v/>
      </c>
      <c r="T621" s="13">
        <f>IF(OR('实盘净值数据(iFinD）'!$A621="",'实盘净值数据(iFinD）'!$B621="",'实盘净值数据(iFinD）'!$Z621="",'实盘净值数据(iFinD）'!$AA621="",'实盘净值数据(iFinD）'!$AB621="",'实盘净值数据(iFinD）'!$AL621=""),"",(SUMPRODUCT(分期持仓明细!$B$26:$Y$26,'实盘净值数据(iFinD）'!$B621:$Y621/'实盘净值数据(iFinD）'!$B$69:$Y$69)+SUMPRODUCT(分期持仓明细!$AC$26:$AD$26,'实盘净值数据(iFinD）'!$Z621:$AA621/'实盘净值数据(iFinD）'!$Z$69:$AA$69)+SUMPRODUCT(分期持仓明细!$AE$26:$AO$26,'实盘净值数据(iFinD）'!$AB621:$AL621/'实盘净值数据(iFinD）'!$AB$69:$AL$69))*(1-实盘持仓初始配置!$Z$10)^(('实盘净值数据(iFinD）'!$A621-'实盘净值数据(iFinD）'!$A$69)/365))</f>
        <v/>
      </c>
      <c r="U621" s="16">
        <f>IF(OR(T620="",T621=""),"",T621/T620-1)</f>
        <v/>
      </c>
      <c r="V621" s="16">
        <f>IF(T621="","",T621/MAX(T$5:T621)-1)</f>
        <v/>
      </c>
    </row>
    <row r="622" spans="1:19">
      <c r="A622" s="15" t="str">
        <f>IF('实盘净值数据(iFinD）'!A622="","",'实盘净值数据(iFinD）'!A622)</f>
        <v/>
      </c>
      <c r="B622" s="13" t="str">
        <f>IF(OR('实盘净值数据(iFinD）'!$A622="",'实盘净值数据(iFinD）'!$B622=""),"",分期持仓明细!$AB$17*SUMPRODUCT(分期持仓明细!$B$17:$Y$17,'实盘净值数据(iFinD）'!$B622:$Y622/'实盘净值数据(iFinD）'!$B$20:$Y$20)*(1-实盘持仓初始配置!$Z$4)^(('实盘净值数据(iFinD）'!$A622-'实盘净值数据(iFinD）'!$A$6)/365))</f>
        <v/>
      </c>
      <c r="C622" s="16" t="str">
        <f t="shared" si="54"/>
        <v/>
      </c>
      <c r="D622" s="16" t="str">
        <f>IF(B622="","",B622/MAX(B$5:B622)-1)</f>
        <v/>
      </c>
      <c r="E622" s="13" t="str">
        <f>IF(OR('实盘净值数据(iFinD）'!$A622="",'实盘净值数据(iFinD）'!$B622=""),"",分期持仓明细!$AB$18*SUMPRODUCT(分期持仓明细!$B$18:$Y$18,'实盘净值数据(iFinD）'!$B622:$Y622/'实盘净值数据(iFinD）'!$B$20:$Y$20)*(1-实盘持仓初始配置!$Z$5)^(('实盘净值数据(iFinD）'!$A622-'实盘净值数据(iFinD）'!$A$5)/365))</f>
        <v/>
      </c>
      <c r="F622" s="16" t="str">
        <f t="shared" si="55"/>
        <v/>
      </c>
      <c r="G622" s="16" t="str">
        <f>IF(E622="","",E622/MAX(E$5:E622)-1)</f>
        <v/>
      </c>
      <c r="H622" s="13" t="str">
        <f>IF(OR('实盘净值数据(iFinD）'!$A622="",'实盘净值数据(iFinD）'!$B622=""),"",分期持仓明细!$AB$19*SUMPRODUCT(分期持仓明细!$B$19:$Y$19,'实盘净值数据(iFinD）'!$B622:$Y622/'实盘净值数据(iFinD）'!$B$20:$Y$20)*(1-实盘持仓初始配置!$Z$6)^(('实盘净值数据(iFinD）'!$A622-'实盘净值数据(iFinD）'!$A$7)/365))</f>
        <v/>
      </c>
      <c r="I622" s="16" t="str">
        <f t="shared" si="56"/>
        <v/>
      </c>
      <c r="J622" s="16" t="str">
        <f>IF(H622="","",H622/MAX(H$5:H622)-1)</f>
        <v/>
      </c>
      <c r="K622" s="13" t="str">
        <f>IF(OR('实盘净值数据(iFinD）'!$A622="",'实盘净值数据(iFinD）'!$B622="",'实盘净值数据(iFinD）'!$Z622="",'实盘净值数据(iFinD）'!$AA622=""),"",分期持仓明细!$AB$23*(SUMPRODUCT(分期持仓明细!$B$23:$Y$23,'实盘净值数据(iFinD）'!$B622:$Y622/'实盘净值数据(iFinD）'!$B$65:$Y$65)+SUMPRODUCT(分期持仓明细!$AC$23:$AD$23,'实盘净值数据(iFinD）'!$Z622:$AA622/'实盘净值数据(iFinD）'!$Z$65:$AA$65))*(1-实盘持仓初始配置!$Z$7)^(('实盘净值数据(iFinD）'!$A622-'实盘净值数据(iFinD）'!$A$8)/365))</f>
        <v/>
      </c>
      <c r="L622" s="16" t="str">
        <f t="shared" si="57"/>
        <v/>
      </c>
      <c r="M622" s="16" t="str">
        <f>IF(K622="","",K622/MAX(K$5:K622)-1)</f>
        <v/>
      </c>
      <c r="N622" s="13" t="str">
        <f>IF(OR('实盘净值数据(iFinD）'!$A622="",'实盘净值数据(iFinD）'!$B622="",'实盘净值数据(iFinD）'!$Z622="",'实盘净值数据(iFinD）'!$AA622=""),"",分期持仓明细!$AB$24*(SUMPRODUCT(分期持仓明细!$B$24:$Y$24,'实盘净值数据(iFinD）'!$B622:$Y622/'实盘净值数据(iFinD）'!$B$65:$Y$65)+SUMPRODUCT(分期持仓明细!$AC$24:$AD$24,'实盘净值数据(iFinD）'!$Z622:$AA622/'实盘净值数据(iFinD）'!$Z$65:$AA$65))*(1-实盘持仓初始配置!$Z$8)^(('实盘净值数据(iFinD）'!$A622-'实盘净值数据(iFinD）'!$A$5)/365))</f>
        <v/>
      </c>
      <c r="O622" s="16" t="str">
        <f t="shared" si="58"/>
        <v/>
      </c>
      <c r="P622" s="16" t="str">
        <f>IF(N622="","",N622/MAX(N$5:N622)-1)</f>
        <v/>
      </c>
      <c r="Q622" s="13" t="str">
        <f>IF(OR('实盘净值数据(iFinD）'!$A622="",'实盘净值数据(iFinD）'!$B622="",'实盘净值数据(iFinD）'!$Z622="",'实盘净值数据(iFinD）'!$AA622=""),"",分期持仓明细!$AB$25*(SUMPRODUCT(分期持仓明细!$B$25:$Y$25,'实盘净值数据(iFinD）'!$B622:$Y622/'实盘净值数据(iFinD）'!$B$65:$Y$65)+SUMPRODUCT(分期持仓明细!$AC$25:$AD$25,'实盘净值数据(iFinD）'!$Z622:$AA622/'实盘净值数据(iFinD）'!$Z$65:$AA$65))*(1-实盘持仓初始配置!$Z$9)^(('实盘净值数据(iFinD）'!$A622-'实盘净值数据(iFinD）'!$A$8)/365))</f>
        <v/>
      </c>
      <c r="R622" s="16" t="str">
        <f t="shared" si="59"/>
        <v/>
      </c>
      <c r="S622" s="16" t="str">
        <f>IF(Q622="","",Q622/MAX(Q$5:Q622)-1)</f>
        <v/>
      </c>
      <c r="T622" s="13">
        <f>IF(OR('实盘净值数据(iFinD）'!$A622="",'实盘净值数据(iFinD）'!$B622="",'实盘净值数据(iFinD）'!$Z622="",'实盘净值数据(iFinD）'!$AA622="",'实盘净值数据(iFinD）'!$AB622="",'实盘净值数据(iFinD）'!$AL622=""),"",(SUMPRODUCT(分期持仓明细!$B$26:$Y$26,'实盘净值数据(iFinD）'!$B622:$Y622/'实盘净值数据(iFinD）'!$B$69:$Y$69)+SUMPRODUCT(分期持仓明细!$AC$26:$AD$26,'实盘净值数据(iFinD）'!$Z622:$AA622/'实盘净值数据(iFinD）'!$Z$69:$AA$69)+SUMPRODUCT(分期持仓明细!$AE$26:$AO$26,'实盘净值数据(iFinD）'!$AB622:$AL622/'实盘净值数据(iFinD）'!$AB$69:$AL$69))*(1-实盘持仓初始配置!$Z$10)^(('实盘净值数据(iFinD）'!$A622-'实盘净值数据(iFinD）'!$A$69)/365))</f>
        <v/>
      </c>
      <c r="U622" s="16">
        <f>IF(OR(T621="",T622=""),"",T622/T621-1)</f>
        <v/>
      </c>
      <c r="V622" s="16">
        <f>IF(T622="","",T622/MAX(T$5:T622)-1)</f>
        <v/>
      </c>
    </row>
    <row r="623" spans="1:19">
      <c r="A623" s="15" t="str">
        <f>IF('实盘净值数据(iFinD）'!A623="","",'实盘净值数据(iFinD）'!A623)</f>
        <v/>
      </c>
      <c r="B623" s="13" t="str">
        <f>IF(OR('实盘净值数据(iFinD）'!$A623="",'实盘净值数据(iFinD）'!$B623=""),"",分期持仓明细!$AB$17*SUMPRODUCT(分期持仓明细!$B$17:$Y$17,'实盘净值数据(iFinD）'!$B623:$Y623/'实盘净值数据(iFinD）'!$B$20:$Y$20)*(1-实盘持仓初始配置!$Z$4)^(('实盘净值数据(iFinD）'!$A623-'实盘净值数据(iFinD）'!$A$6)/365))</f>
        <v/>
      </c>
      <c r="C623" s="16" t="str">
        <f t="shared" si="54"/>
        <v/>
      </c>
      <c r="D623" s="16" t="str">
        <f>IF(B623="","",B623/MAX(B$5:B623)-1)</f>
        <v/>
      </c>
      <c r="E623" s="13" t="str">
        <f>IF(OR('实盘净值数据(iFinD）'!$A623="",'实盘净值数据(iFinD）'!$B623=""),"",分期持仓明细!$AB$18*SUMPRODUCT(分期持仓明细!$B$18:$Y$18,'实盘净值数据(iFinD）'!$B623:$Y623/'实盘净值数据(iFinD）'!$B$20:$Y$20)*(1-实盘持仓初始配置!$Z$5)^(('实盘净值数据(iFinD）'!$A623-'实盘净值数据(iFinD）'!$A$5)/365))</f>
        <v/>
      </c>
      <c r="F623" s="16" t="str">
        <f t="shared" si="55"/>
        <v/>
      </c>
      <c r="G623" s="16" t="str">
        <f>IF(E623="","",E623/MAX(E$5:E623)-1)</f>
        <v/>
      </c>
      <c r="H623" s="13" t="str">
        <f>IF(OR('实盘净值数据(iFinD）'!$A623="",'实盘净值数据(iFinD）'!$B623=""),"",分期持仓明细!$AB$19*SUMPRODUCT(分期持仓明细!$B$19:$Y$19,'实盘净值数据(iFinD）'!$B623:$Y623/'实盘净值数据(iFinD）'!$B$20:$Y$20)*(1-实盘持仓初始配置!$Z$6)^(('实盘净值数据(iFinD）'!$A623-'实盘净值数据(iFinD）'!$A$7)/365))</f>
        <v/>
      </c>
      <c r="I623" s="16" t="str">
        <f t="shared" si="56"/>
        <v/>
      </c>
      <c r="J623" s="16" t="str">
        <f>IF(H623="","",H623/MAX(H$5:H623)-1)</f>
        <v/>
      </c>
      <c r="K623" s="13" t="str">
        <f>IF(OR('实盘净值数据(iFinD）'!$A623="",'实盘净值数据(iFinD）'!$B623="",'实盘净值数据(iFinD）'!$Z623="",'实盘净值数据(iFinD）'!$AA623=""),"",分期持仓明细!$AB$23*(SUMPRODUCT(分期持仓明细!$B$23:$Y$23,'实盘净值数据(iFinD）'!$B623:$Y623/'实盘净值数据(iFinD）'!$B$65:$Y$65)+SUMPRODUCT(分期持仓明细!$AC$23:$AD$23,'实盘净值数据(iFinD）'!$Z623:$AA623/'实盘净值数据(iFinD）'!$Z$65:$AA$65))*(1-实盘持仓初始配置!$Z$7)^(('实盘净值数据(iFinD）'!$A623-'实盘净值数据(iFinD）'!$A$8)/365))</f>
        <v/>
      </c>
      <c r="L623" s="16" t="str">
        <f t="shared" si="57"/>
        <v/>
      </c>
      <c r="M623" s="16" t="str">
        <f>IF(K623="","",K623/MAX(K$5:K623)-1)</f>
        <v/>
      </c>
      <c r="N623" s="13" t="str">
        <f>IF(OR('实盘净值数据(iFinD）'!$A623="",'实盘净值数据(iFinD）'!$B623="",'实盘净值数据(iFinD）'!$Z623="",'实盘净值数据(iFinD）'!$AA623=""),"",分期持仓明细!$AB$24*(SUMPRODUCT(分期持仓明细!$B$24:$Y$24,'实盘净值数据(iFinD）'!$B623:$Y623/'实盘净值数据(iFinD）'!$B$65:$Y$65)+SUMPRODUCT(分期持仓明细!$AC$24:$AD$24,'实盘净值数据(iFinD）'!$Z623:$AA623/'实盘净值数据(iFinD）'!$Z$65:$AA$65))*(1-实盘持仓初始配置!$Z$8)^(('实盘净值数据(iFinD）'!$A623-'实盘净值数据(iFinD）'!$A$5)/365))</f>
        <v/>
      </c>
      <c r="O623" s="16" t="str">
        <f t="shared" si="58"/>
        <v/>
      </c>
      <c r="P623" s="16" t="str">
        <f>IF(N623="","",N623/MAX(N$5:N623)-1)</f>
        <v/>
      </c>
      <c r="Q623" s="13" t="str">
        <f>IF(OR('实盘净值数据(iFinD）'!$A623="",'实盘净值数据(iFinD）'!$B623="",'实盘净值数据(iFinD）'!$Z623="",'实盘净值数据(iFinD）'!$AA623=""),"",分期持仓明细!$AB$25*(SUMPRODUCT(分期持仓明细!$B$25:$Y$25,'实盘净值数据(iFinD）'!$B623:$Y623/'实盘净值数据(iFinD）'!$B$65:$Y$65)+SUMPRODUCT(分期持仓明细!$AC$25:$AD$25,'实盘净值数据(iFinD）'!$Z623:$AA623/'实盘净值数据(iFinD）'!$Z$65:$AA$65))*(1-实盘持仓初始配置!$Z$9)^(('实盘净值数据(iFinD）'!$A623-'实盘净值数据(iFinD）'!$A$8)/365))</f>
        <v/>
      </c>
      <c r="R623" s="16" t="str">
        <f t="shared" si="59"/>
        <v/>
      </c>
      <c r="S623" s="16" t="str">
        <f>IF(Q623="","",Q623/MAX(Q$5:Q623)-1)</f>
        <v/>
      </c>
      <c r="T623" s="13">
        <f>IF(OR('实盘净值数据(iFinD）'!$A623="",'实盘净值数据(iFinD）'!$B623="",'实盘净值数据(iFinD）'!$Z623="",'实盘净值数据(iFinD）'!$AA623="",'实盘净值数据(iFinD）'!$AB623="",'实盘净值数据(iFinD）'!$AL623=""),"",(SUMPRODUCT(分期持仓明细!$B$26:$Y$26,'实盘净值数据(iFinD）'!$B623:$Y623/'实盘净值数据(iFinD）'!$B$69:$Y$69)+SUMPRODUCT(分期持仓明细!$AC$26:$AD$26,'实盘净值数据(iFinD）'!$Z623:$AA623/'实盘净值数据(iFinD）'!$Z$69:$AA$69)+SUMPRODUCT(分期持仓明细!$AE$26:$AO$26,'实盘净值数据(iFinD）'!$AB623:$AL623/'实盘净值数据(iFinD）'!$AB$69:$AL$69))*(1-实盘持仓初始配置!$Z$10)^(('实盘净值数据(iFinD）'!$A623-'实盘净值数据(iFinD）'!$A$69)/365))</f>
        <v/>
      </c>
      <c r="U623" s="16">
        <f>IF(OR(T622="",T623=""),"",T623/T622-1)</f>
        <v/>
      </c>
      <c r="V623" s="16">
        <f>IF(T623="","",T623/MAX(T$5:T623)-1)</f>
        <v/>
      </c>
    </row>
    <row r="624" spans="1:19">
      <c r="A624" s="15" t="str">
        <f>IF('实盘净值数据(iFinD）'!A624="","",'实盘净值数据(iFinD）'!A624)</f>
        <v/>
      </c>
      <c r="B624" s="13" t="str">
        <f>IF(OR('实盘净值数据(iFinD）'!$A624="",'实盘净值数据(iFinD）'!$B624=""),"",分期持仓明细!$AB$17*SUMPRODUCT(分期持仓明细!$B$17:$Y$17,'实盘净值数据(iFinD）'!$B624:$Y624/'实盘净值数据(iFinD）'!$B$20:$Y$20)*(1-实盘持仓初始配置!$Z$4)^(('实盘净值数据(iFinD）'!$A624-'实盘净值数据(iFinD）'!$A$6)/365))</f>
        <v/>
      </c>
      <c r="C624" s="16" t="str">
        <f t="shared" si="54"/>
        <v/>
      </c>
      <c r="D624" s="16" t="str">
        <f>IF(B624="","",B624/MAX(B$5:B624)-1)</f>
        <v/>
      </c>
      <c r="E624" s="13" t="str">
        <f>IF(OR('实盘净值数据(iFinD）'!$A624="",'实盘净值数据(iFinD）'!$B624=""),"",分期持仓明细!$AB$18*SUMPRODUCT(分期持仓明细!$B$18:$Y$18,'实盘净值数据(iFinD）'!$B624:$Y624/'实盘净值数据(iFinD）'!$B$20:$Y$20)*(1-实盘持仓初始配置!$Z$5)^(('实盘净值数据(iFinD）'!$A624-'实盘净值数据(iFinD）'!$A$5)/365))</f>
        <v/>
      </c>
      <c r="F624" s="16" t="str">
        <f t="shared" si="55"/>
        <v/>
      </c>
      <c r="G624" s="16" t="str">
        <f>IF(E624="","",E624/MAX(E$5:E624)-1)</f>
        <v/>
      </c>
      <c r="H624" s="13" t="str">
        <f>IF(OR('实盘净值数据(iFinD）'!$A624="",'实盘净值数据(iFinD）'!$B624=""),"",分期持仓明细!$AB$19*SUMPRODUCT(分期持仓明细!$B$19:$Y$19,'实盘净值数据(iFinD）'!$B624:$Y624/'实盘净值数据(iFinD）'!$B$20:$Y$20)*(1-实盘持仓初始配置!$Z$6)^(('实盘净值数据(iFinD）'!$A624-'实盘净值数据(iFinD）'!$A$7)/365))</f>
        <v/>
      </c>
      <c r="I624" s="16" t="str">
        <f t="shared" si="56"/>
        <v/>
      </c>
      <c r="J624" s="16" t="str">
        <f>IF(H624="","",H624/MAX(H$5:H624)-1)</f>
        <v/>
      </c>
      <c r="K624" s="13" t="str">
        <f>IF(OR('实盘净值数据(iFinD）'!$A624="",'实盘净值数据(iFinD）'!$B624="",'实盘净值数据(iFinD）'!$Z624="",'实盘净值数据(iFinD）'!$AA624=""),"",分期持仓明细!$AB$23*(SUMPRODUCT(分期持仓明细!$B$23:$Y$23,'实盘净值数据(iFinD）'!$B624:$Y624/'实盘净值数据(iFinD）'!$B$65:$Y$65)+SUMPRODUCT(分期持仓明细!$AC$23:$AD$23,'实盘净值数据(iFinD）'!$Z624:$AA624/'实盘净值数据(iFinD）'!$Z$65:$AA$65))*(1-实盘持仓初始配置!$Z$7)^(('实盘净值数据(iFinD）'!$A624-'实盘净值数据(iFinD）'!$A$8)/365))</f>
        <v/>
      </c>
      <c r="L624" s="16" t="str">
        <f t="shared" si="57"/>
        <v/>
      </c>
      <c r="M624" s="16" t="str">
        <f>IF(K624="","",K624/MAX(K$5:K624)-1)</f>
        <v/>
      </c>
      <c r="N624" s="13" t="str">
        <f>IF(OR('实盘净值数据(iFinD）'!$A624="",'实盘净值数据(iFinD）'!$B624="",'实盘净值数据(iFinD）'!$Z624="",'实盘净值数据(iFinD）'!$AA624=""),"",分期持仓明细!$AB$24*(SUMPRODUCT(分期持仓明细!$B$24:$Y$24,'实盘净值数据(iFinD）'!$B624:$Y624/'实盘净值数据(iFinD）'!$B$65:$Y$65)+SUMPRODUCT(分期持仓明细!$AC$24:$AD$24,'实盘净值数据(iFinD）'!$Z624:$AA624/'实盘净值数据(iFinD）'!$Z$65:$AA$65))*(1-实盘持仓初始配置!$Z$8)^(('实盘净值数据(iFinD）'!$A624-'实盘净值数据(iFinD）'!$A$5)/365))</f>
        <v/>
      </c>
      <c r="O624" s="16" t="str">
        <f t="shared" si="58"/>
        <v/>
      </c>
      <c r="P624" s="16" t="str">
        <f>IF(N624="","",N624/MAX(N$5:N624)-1)</f>
        <v/>
      </c>
      <c r="Q624" s="13" t="str">
        <f>IF(OR('实盘净值数据(iFinD）'!$A624="",'实盘净值数据(iFinD）'!$B624="",'实盘净值数据(iFinD）'!$Z624="",'实盘净值数据(iFinD）'!$AA624=""),"",分期持仓明细!$AB$25*(SUMPRODUCT(分期持仓明细!$B$25:$Y$25,'实盘净值数据(iFinD）'!$B624:$Y624/'实盘净值数据(iFinD）'!$B$65:$Y$65)+SUMPRODUCT(分期持仓明细!$AC$25:$AD$25,'实盘净值数据(iFinD）'!$Z624:$AA624/'实盘净值数据(iFinD）'!$Z$65:$AA$65))*(1-实盘持仓初始配置!$Z$9)^(('实盘净值数据(iFinD）'!$A624-'实盘净值数据(iFinD）'!$A$8)/365))</f>
        <v/>
      </c>
      <c r="R624" s="16" t="str">
        <f t="shared" si="59"/>
        <v/>
      </c>
      <c r="S624" s="16" t="str">
        <f>IF(Q624="","",Q624/MAX(Q$5:Q624)-1)</f>
        <v/>
      </c>
      <c r="T624" s="13">
        <f>IF(OR('实盘净值数据(iFinD）'!$A624="",'实盘净值数据(iFinD）'!$B624="",'实盘净值数据(iFinD）'!$Z624="",'实盘净值数据(iFinD）'!$AA624="",'实盘净值数据(iFinD）'!$AB624="",'实盘净值数据(iFinD）'!$AL624=""),"",(SUMPRODUCT(分期持仓明细!$B$26:$Y$26,'实盘净值数据(iFinD）'!$B624:$Y624/'实盘净值数据(iFinD）'!$B$69:$Y$69)+SUMPRODUCT(分期持仓明细!$AC$26:$AD$26,'实盘净值数据(iFinD）'!$Z624:$AA624/'实盘净值数据(iFinD）'!$Z$69:$AA$69)+SUMPRODUCT(分期持仓明细!$AE$26:$AO$26,'实盘净值数据(iFinD）'!$AB624:$AL624/'实盘净值数据(iFinD）'!$AB$69:$AL$69))*(1-实盘持仓初始配置!$Z$10)^(('实盘净值数据(iFinD）'!$A624-'实盘净值数据(iFinD）'!$A$69)/365))</f>
        <v/>
      </c>
      <c r="U624" s="16">
        <f>IF(OR(T623="",T624=""),"",T624/T623-1)</f>
        <v/>
      </c>
      <c r="V624" s="16">
        <f>IF(T624="","",T624/MAX(T$5:T624)-1)</f>
        <v/>
      </c>
    </row>
    <row r="625" spans="1:19">
      <c r="A625" s="15" t="str">
        <f>IF('实盘净值数据(iFinD）'!A625="","",'实盘净值数据(iFinD）'!A625)</f>
        <v/>
      </c>
      <c r="B625" s="13" t="str">
        <f>IF(OR('实盘净值数据(iFinD）'!$A625="",'实盘净值数据(iFinD）'!$B625=""),"",分期持仓明细!$AB$17*SUMPRODUCT(分期持仓明细!$B$17:$Y$17,'实盘净值数据(iFinD）'!$B625:$Y625/'实盘净值数据(iFinD）'!$B$20:$Y$20)*(1-实盘持仓初始配置!$Z$4)^(('实盘净值数据(iFinD）'!$A625-'实盘净值数据(iFinD）'!$A$6)/365))</f>
        <v/>
      </c>
      <c r="C625" s="16" t="str">
        <f t="shared" si="54"/>
        <v/>
      </c>
      <c r="D625" s="16" t="str">
        <f>IF(B625="","",B625/MAX(B$5:B625)-1)</f>
        <v/>
      </c>
      <c r="E625" s="13" t="str">
        <f>IF(OR('实盘净值数据(iFinD）'!$A625="",'实盘净值数据(iFinD）'!$B625=""),"",分期持仓明细!$AB$18*SUMPRODUCT(分期持仓明细!$B$18:$Y$18,'实盘净值数据(iFinD）'!$B625:$Y625/'实盘净值数据(iFinD）'!$B$20:$Y$20)*(1-实盘持仓初始配置!$Z$5)^(('实盘净值数据(iFinD）'!$A625-'实盘净值数据(iFinD）'!$A$5)/365))</f>
        <v/>
      </c>
      <c r="F625" s="16" t="str">
        <f t="shared" si="55"/>
        <v/>
      </c>
      <c r="G625" s="16" t="str">
        <f>IF(E625="","",E625/MAX(E$5:E625)-1)</f>
        <v/>
      </c>
      <c r="H625" s="13" t="str">
        <f>IF(OR('实盘净值数据(iFinD）'!$A625="",'实盘净值数据(iFinD）'!$B625=""),"",分期持仓明细!$AB$19*SUMPRODUCT(分期持仓明细!$B$19:$Y$19,'实盘净值数据(iFinD）'!$B625:$Y625/'实盘净值数据(iFinD）'!$B$20:$Y$20)*(1-实盘持仓初始配置!$Z$6)^(('实盘净值数据(iFinD）'!$A625-'实盘净值数据(iFinD）'!$A$7)/365))</f>
        <v/>
      </c>
      <c r="I625" s="16" t="str">
        <f t="shared" si="56"/>
        <v/>
      </c>
      <c r="J625" s="16" t="str">
        <f>IF(H625="","",H625/MAX(H$5:H625)-1)</f>
        <v/>
      </c>
      <c r="K625" s="13" t="str">
        <f>IF(OR('实盘净值数据(iFinD）'!$A625="",'实盘净值数据(iFinD）'!$B625="",'实盘净值数据(iFinD）'!$Z625="",'实盘净值数据(iFinD）'!$AA625=""),"",分期持仓明细!$AB$23*(SUMPRODUCT(分期持仓明细!$B$23:$Y$23,'实盘净值数据(iFinD）'!$B625:$Y625/'实盘净值数据(iFinD）'!$B$65:$Y$65)+SUMPRODUCT(分期持仓明细!$AC$23:$AD$23,'实盘净值数据(iFinD）'!$Z625:$AA625/'实盘净值数据(iFinD）'!$Z$65:$AA$65))*(1-实盘持仓初始配置!$Z$7)^(('实盘净值数据(iFinD）'!$A625-'实盘净值数据(iFinD）'!$A$8)/365))</f>
        <v/>
      </c>
      <c r="L625" s="16" t="str">
        <f t="shared" si="57"/>
        <v/>
      </c>
      <c r="M625" s="16" t="str">
        <f>IF(K625="","",K625/MAX(K$5:K625)-1)</f>
        <v/>
      </c>
      <c r="N625" s="13" t="str">
        <f>IF(OR('实盘净值数据(iFinD）'!$A625="",'实盘净值数据(iFinD）'!$B625="",'实盘净值数据(iFinD）'!$Z625="",'实盘净值数据(iFinD）'!$AA625=""),"",分期持仓明细!$AB$24*(SUMPRODUCT(分期持仓明细!$B$24:$Y$24,'实盘净值数据(iFinD）'!$B625:$Y625/'实盘净值数据(iFinD）'!$B$65:$Y$65)+SUMPRODUCT(分期持仓明细!$AC$24:$AD$24,'实盘净值数据(iFinD）'!$Z625:$AA625/'实盘净值数据(iFinD）'!$Z$65:$AA$65))*(1-实盘持仓初始配置!$Z$8)^(('实盘净值数据(iFinD）'!$A625-'实盘净值数据(iFinD）'!$A$5)/365))</f>
        <v/>
      </c>
      <c r="O625" s="16" t="str">
        <f t="shared" si="58"/>
        <v/>
      </c>
      <c r="P625" s="16" t="str">
        <f>IF(N625="","",N625/MAX(N$5:N625)-1)</f>
        <v/>
      </c>
      <c r="Q625" s="13" t="str">
        <f>IF(OR('实盘净值数据(iFinD）'!$A625="",'实盘净值数据(iFinD）'!$B625="",'实盘净值数据(iFinD）'!$Z625="",'实盘净值数据(iFinD）'!$AA625=""),"",分期持仓明细!$AB$25*(SUMPRODUCT(分期持仓明细!$B$25:$Y$25,'实盘净值数据(iFinD）'!$B625:$Y625/'实盘净值数据(iFinD）'!$B$65:$Y$65)+SUMPRODUCT(分期持仓明细!$AC$25:$AD$25,'实盘净值数据(iFinD）'!$Z625:$AA625/'实盘净值数据(iFinD）'!$Z$65:$AA$65))*(1-实盘持仓初始配置!$Z$9)^(('实盘净值数据(iFinD）'!$A625-'实盘净值数据(iFinD）'!$A$8)/365))</f>
        <v/>
      </c>
      <c r="R625" s="16" t="str">
        <f t="shared" si="59"/>
        <v/>
      </c>
      <c r="S625" s="16" t="str">
        <f>IF(Q625="","",Q625/MAX(Q$5:Q625)-1)</f>
        <v/>
      </c>
      <c r="T625" s="13">
        <f>IF(OR('实盘净值数据(iFinD）'!$A625="",'实盘净值数据(iFinD）'!$B625="",'实盘净值数据(iFinD）'!$Z625="",'实盘净值数据(iFinD）'!$AA625="",'实盘净值数据(iFinD）'!$AB625="",'实盘净值数据(iFinD）'!$AL625=""),"",(SUMPRODUCT(分期持仓明细!$B$26:$Y$26,'实盘净值数据(iFinD）'!$B625:$Y625/'实盘净值数据(iFinD）'!$B$69:$Y$69)+SUMPRODUCT(分期持仓明细!$AC$26:$AD$26,'实盘净值数据(iFinD）'!$Z625:$AA625/'实盘净值数据(iFinD）'!$Z$69:$AA$69)+SUMPRODUCT(分期持仓明细!$AE$26:$AO$26,'实盘净值数据(iFinD）'!$AB625:$AL625/'实盘净值数据(iFinD）'!$AB$69:$AL$69))*(1-实盘持仓初始配置!$Z$10)^(('实盘净值数据(iFinD）'!$A625-'实盘净值数据(iFinD）'!$A$69)/365))</f>
        <v/>
      </c>
      <c r="U625" s="16">
        <f>IF(OR(T624="",T625=""),"",T625/T624-1)</f>
        <v/>
      </c>
      <c r="V625" s="16">
        <f>IF(T625="","",T625/MAX(T$5:T625)-1)</f>
        <v/>
      </c>
    </row>
    <row r="626" spans="1:19">
      <c r="A626" s="15" t="str">
        <f>IF('实盘净值数据(iFinD）'!A626="","",'实盘净值数据(iFinD）'!A626)</f>
        <v/>
      </c>
      <c r="B626" s="13" t="str">
        <f>IF(OR('实盘净值数据(iFinD）'!$A626="",'实盘净值数据(iFinD）'!$B626=""),"",分期持仓明细!$AB$17*SUMPRODUCT(分期持仓明细!$B$17:$Y$17,'实盘净值数据(iFinD）'!$B626:$Y626/'实盘净值数据(iFinD）'!$B$20:$Y$20)*(1-实盘持仓初始配置!$Z$4)^(('实盘净值数据(iFinD）'!$A626-'实盘净值数据(iFinD）'!$A$6)/365))</f>
        <v/>
      </c>
      <c r="C626" s="16" t="str">
        <f t="shared" si="54"/>
        <v/>
      </c>
      <c r="D626" s="16" t="str">
        <f>IF(B626="","",B626/MAX(B$5:B626)-1)</f>
        <v/>
      </c>
      <c r="E626" s="13" t="str">
        <f>IF(OR('实盘净值数据(iFinD）'!$A626="",'实盘净值数据(iFinD）'!$B626=""),"",分期持仓明细!$AB$18*SUMPRODUCT(分期持仓明细!$B$18:$Y$18,'实盘净值数据(iFinD）'!$B626:$Y626/'实盘净值数据(iFinD）'!$B$20:$Y$20)*(1-实盘持仓初始配置!$Z$5)^(('实盘净值数据(iFinD）'!$A626-'实盘净值数据(iFinD）'!$A$5)/365))</f>
        <v/>
      </c>
      <c r="F626" s="16" t="str">
        <f t="shared" si="55"/>
        <v/>
      </c>
      <c r="G626" s="16" t="str">
        <f>IF(E626="","",E626/MAX(E$5:E626)-1)</f>
        <v/>
      </c>
      <c r="H626" s="13" t="str">
        <f>IF(OR('实盘净值数据(iFinD）'!$A626="",'实盘净值数据(iFinD）'!$B626=""),"",分期持仓明细!$AB$19*SUMPRODUCT(分期持仓明细!$B$19:$Y$19,'实盘净值数据(iFinD）'!$B626:$Y626/'实盘净值数据(iFinD）'!$B$20:$Y$20)*(1-实盘持仓初始配置!$Z$6)^(('实盘净值数据(iFinD）'!$A626-'实盘净值数据(iFinD）'!$A$7)/365))</f>
        <v/>
      </c>
      <c r="I626" s="16" t="str">
        <f t="shared" si="56"/>
        <v/>
      </c>
      <c r="J626" s="16" t="str">
        <f>IF(H626="","",H626/MAX(H$5:H626)-1)</f>
        <v/>
      </c>
      <c r="K626" s="13" t="str">
        <f>IF(OR('实盘净值数据(iFinD）'!$A626="",'实盘净值数据(iFinD）'!$B626="",'实盘净值数据(iFinD）'!$Z626="",'实盘净值数据(iFinD）'!$AA626=""),"",分期持仓明细!$AB$23*(SUMPRODUCT(分期持仓明细!$B$23:$Y$23,'实盘净值数据(iFinD）'!$B626:$Y626/'实盘净值数据(iFinD）'!$B$65:$Y$65)+SUMPRODUCT(分期持仓明细!$AC$23:$AD$23,'实盘净值数据(iFinD）'!$Z626:$AA626/'实盘净值数据(iFinD）'!$Z$65:$AA$65))*(1-实盘持仓初始配置!$Z$7)^(('实盘净值数据(iFinD）'!$A626-'实盘净值数据(iFinD）'!$A$8)/365))</f>
        <v/>
      </c>
      <c r="L626" s="16" t="str">
        <f t="shared" si="57"/>
        <v/>
      </c>
      <c r="M626" s="16" t="str">
        <f>IF(K626="","",K626/MAX(K$5:K626)-1)</f>
        <v/>
      </c>
      <c r="N626" s="13" t="str">
        <f>IF(OR('实盘净值数据(iFinD）'!$A626="",'实盘净值数据(iFinD）'!$B626="",'实盘净值数据(iFinD）'!$Z626="",'实盘净值数据(iFinD）'!$AA626=""),"",分期持仓明细!$AB$24*(SUMPRODUCT(分期持仓明细!$B$24:$Y$24,'实盘净值数据(iFinD）'!$B626:$Y626/'实盘净值数据(iFinD）'!$B$65:$Y$65)+SUMPRODUCT(分期持仓明细!$AC$24:$AD$24,'实盘净值数据(iFinD）'!$Z626:$AA626/'实盘净值数据(iFinD）'!$Z$65:$AA$65))*(1-实盘持仓初始配置!$Z$8)^(('实盘净值数据(iFinD）'!$A626-'实盘净值数据(iFinD）'!$A$5)/365))</f>
        <v/>
      </c>
      <c r="O626" s="16" t="str">
        <f t="shared" si="58"/>
        <v/>
      </c>
      <c r="P626" s="16" t="str">
        <f>IF(N626="","",N626/MAX(N$5:N626)-1)</f>
        <v/>
      </c>
      <c r="Q626" s="13" t="str">
        <f>IF(OR('实盘净值数据(iFinD）'!$A626="",'实盘净值数据(iFinD）'!$B626="",'实盘净值数据(iFinD）'!$Z626="",'实盘净值数据(iFinD）'!$AA626=""),"",分期持仓明细!$AB$25*(SUMPRODUCT(分期持仓明细!$B$25:$Y$25,'实盘净值数据(iFinD）'!$B626:$Y626/'实盘净值数据(iFinD）'!$B$65:$Y$65)+SUMPRODUCT(分期持仓明细!$AC$25:$AD$25,'实盘净值数据(iFinD）'!$Z626:$AA626/'实盘净值数据(iFinD）'!$Z$65:$AA$65))*(1-实盘持仓初始配置!$Z$9)^(('实盘净值数据(iFinD）'!$A626-'实盘净值数据(iFinD）'!$A$8)/365))</f>
        <v/>
      </c>
      <c r="R626" s="16" t="str">
        <f t="shared" si="59"/>
        <v/>
      </c>
      <c r="S626" s="16" t="str">
        <f>IF(Q626="","",Q626/MAX(Q$5:Q626)-1)</f>
        <v/>
      </c>
      <c r="T626" s="13">
        <f>IF(OR('实盘净值数据(iFinD）'!$A626="",'实盘净值数据(iFinD）'!$B626="",'实盘净值数据(iFinD）'!$Z626="",'实盘净值数据(iFinD）'!$AA626="",'实盘净值数据(iFinD）'!$AB626="",'实盘净值数据(iFinD）'!$AL626=""),"",(SUMPRODUCT(分期持仓明细!$B$26:$Y$26,'实盘净值数据(iFinD）'!$B626:$Y626/'实盘净值数据(iFinD）'!$B$69:$Y$69)+SUMPRODUCT(分期持仓明细!$AC$26:$AD$26,'实盘净值数据(iFinD）'!$Z626:$AA626/'实盘净值数据(iFinD）'!$Z$69:$AA$69)+SUMPRODUCT(分期持仓明细!$AE$26:$AO$26,'实盘净值数据(iFinD）'!$AB626:$AL626/'实盘净值数据(iFinD）'!$AB$69:$AL$69))*(1-实盘持仓初始配置!$Z$10)^(('实盘净值数据(iFinD）'!$A626-'实盘净值数据(iFinD）'!$A$69)/365))</f>
        <v/>
      </c>
      <c r="U626" s="16">
        <f>IF(OR(T625="",T626=""),"",T626/T625-1)</f>
        <v/>
      </c>
      <c r="V626" s="16">
        <f>IF(T626="","",T626/MAX(T$5:T626)-1)</f>
        <v/>
      </c>
    </row>
    <row r="627" spans="1:19">
      <c r="A627" s="15" t="str">
        <f>IF('实盘净值数据(iFinD）'!A627="","",'实盘净值数据(iFinD）'!A627)</f>
        <v/>
      </c>
      <c r="B627" s="13" t="str">
        <f>IF(OR('实盘净值数据(iFinD）'!$A627="",'实盘净值数据(iFinD）'!$B627=""),"",分期持仓明细!$AB$17*SUMPRODUCT(分期持仓明细!$B$17:$Y$17,'实盘净值数据(iFinD）'!$B627:$Y627/'实盘净值数据(iFinD）'!$B$20:$Y$20)*(1-实盘持仓初始配置!$Z$4)^(('实盘净值数据(iFinD）'!$A627-'实盘净值数据(iFinD）'!$A$6)/365))</f>
        <v/>
      </c>
      <c r="C627" s="16" t="str">
        <f t="shared" si="54"/>
        <v/>
      </c>
      <c r="D627" s="16" t="str">
        <f>IF(B627="","",B627/MAX(B$5:B627)-1)</f>
        <v/>
      </c>
      <c r="E627" s="13" t="str">
        <f>IF(OR('实盘净值数据(iFinD）'!$A627="",'实盘净值数据(iFinD）'!$B627=""),"",分期持仓明细!$AB$18*SUMPRODUCT(分期持仓明细!$B$18:$Y$18,'实盘净值数据(iFinD）'!$B627:$Y627/'实盘净值数据(iFinD）'!$B$20:$Y$20)*(1-实盘持仓初始配置!$Z$5)^(('实盘净值数据(iFinD）'!$A627-'实盘净值数据(iFinD）'!$A$5)/365))</f>
        <v/>
      </c>
      <c r="F627" s="16" t="str">
        <f t="shared" si="55"/>
        <v/>
      </c>
      <c r="G627" s="16" t="str">
        <f>IF(E627="","",E627/MAX(E$5:E627)-1)</f>
        <v/>
      </c>
      <c r="H627" s="13" t="str">
        <f>IF(OR('实盘净值数据(iFinD）'!$A627="",'实盘净值数据(iFinD）'!$B627=""),"",分期持仓明细!$AB$19*SUMPRODUCT(分期持仓明细!$B$19:$Y$19,'实盘净值数据(iFinD）'!$B627:$Y627/'实盘净值数据(iFinD）'!$B$20:$Y$20)*(1-实盘持仓初始配置!$Z$6)^(('实盘净值数据(iFinD）'!$A627-'实盘净值数据(iFinD）'!$A$7)/365))</f>
        <v/>
      </c>
      <c r="I627" s="16" t="str">
        <f t="shared" si="56"/>
        <v/>
      </c>
      <c r="J627" s="16" t="str">
        <f>IF(H627="","",H627/MAX(H$5:H627)-1)</f>
        <v/>
      </c>
      <c r="K627" s="13" t="str">
        <f>IF(OR('实盘净值数据(iFinD）'!$A627="",'实盘净值数据(iFinD）'!$B627="",'实盘净值数据(iFinD）'!$Z627="",'实盘净值数据(iFinD）'!$AA627=""),"",分期持仓明细!$AB$23*(SUMPRODUCT(分期持仓明细!$B$23:$Y$23,'实盘净值数据(iFinD）'!$B627:$Y627/'实盘净值数据(iFinD）'!$B$65:$Y$65)+SUMPRODUCT(分期持仓明细!$AC$23:$AD$23,'实盘净值数据(iFinD）'!$Z627:$AA627/'实盘净值数据(iFinD）'!$Z$65:$AA$65))*(1-实盘持仓初始配置!$Z$7)^(('实盘净值数据(iFinD）'!$A627-'实盘净值数据(iFinD）'!$A$8)/365))</f>
        <v/>
      </c>
      <c r="L627" s="16" t="str">
        <f t="shared" si="57"/>
        <v/>
      </c>
      <c r="M627" s="16" t="str">
        <f>IF(K627="","",K627/MAX(K$5:K627)-1)</f>
        <v/>
      </c>
      <c r="N627" s="13" t="str">
        <f>IF(OR('实盘净值数据(iFinD）'!$A627="",'实盘净值数据(iFinD）'!$B627="",'实盘净值数据(iFinD）'!$Z627="",'实盘净值数据(iFinD）'!$AA627=""),"",分期持仓明细!$AB$24*(SUMPRODUCT(分期持仓明细!$B$24:$Y$24,'实盘净值数据(iFinD）'!$B627:$Y627/'实盘净值数据(iFinD）'!$B$65:$Y$65)+SUMPRODUCT(分期持仓明细!$AC$24:$AD$24,'实盘净值数据(iFinD）'!$Z627:$AA627/'实盘净值数据(iFinD）'!$Z$65:$AA$65))*(1-实盘持仓初始配置!$Z$8)^(('实盘净值数据(iFinD）'!$A627-'实盘净值数据(iFinD）'!$A$5)/365))</f>
        <v/>
      </c>
      <c r="O627" s="16" t="str">
        <f t="shared" si="58"/>
        <v/>
      </c>
      <c r="P627" s="16" t="str">
        <f>IF(N627="","",N627/MAX(N$5:N627)-1)</f>
        <v/>
      </c>
      <c r="Q627" s="13" t="str">
        <f>IF(OR('实盘净值数据(iFinD）'!$A627="",'实盘净值数据(iFinD）'!$B627="",'实盘净值数据(iFinD）'!$Z627="",'实盘净值数据(iFinD）'!$AA627=""),"",分期持仓明细!$AB$25*(SUMPRODUCT(分期持仓明细!$B$25:$Y$25,'实盘净值数据(iFinD）'!$B627:$Y627/'实盘净值数据(iFinD）'!$B$65:$Y$65)+SUMPRODUCT(分期持仓明细!$AC$25:$AD$25,'实盘净值数据(iFinD）'!$Z627:$AA627/'实盘净值数据(iFinD）'!$Z$65:$AA$65))*(1-实盘持仓初始配置!$Z$9)^(('实盘净值数据(iFinD）'!$A627-'实盘净值数据(iFinD）'!$A$8)/365))</f>
        <v/>
      </c>
      <c r="R627" s="16" t="str">
        <f t="shared" si="59"/>
        <v/>
      </c>
      <c r="S627" s="16" t="str">
        <f>IF(Q627="","",Q627/MAX(Q$5:Q627)-1)</f>
        <v/>
      </c>
      <c r="T627" s="13">
        <f>IF(OR('实盘净值数据(iFinD）'!$A627="",'实盘净值数据(iFinD）'!$B627="",'实盘净值数据(iFinD）'!$Z627="",'实盘净值数据(iFinD）'!$AA627="",'实盘净值数据(iFinD）'!$AB627="",'实盘净值数据(iFinD）'!$AL627=""),"",(SUMPRODUCT(分期持仓明细!$B$26:$Y$26,'实盘净值数据(iFinD）'!$B627:$Y627/'实盘净值数据(iFinD）'!$B$69:$Y$69)+SUMPRODUCT(分期持仓明细!$AC$26:$AD$26,'实盘净值数据(iFinD）'!$Z627:$AA627/'实盘净值数据(iFinD）'!$Z$69:$AA$69)+SUMPRODUCT(分期持仓明细!$AE$26:$AO$26,'实盘净值数据(iFinD）'!$AB627:$AL627/'实盘净值数据(iFinD）'!$AB$69:$AL$69))*(1-实盘持仓初始配置!$Z$10)^(('实盘净值数据(iFinD）'!$A627-'实盘净值数据(iFinD）'!$A$69)/365))</f>
        <v/>
      </c>
      <c r="U627" s="16">
        <f>IF(OR(T626="",T627=""),"",T627/T626-1)</f>
        <v/>
      </c>
      <c r="V627" s="16">
        <f>IF(T627="","",T627/MAX(T$5:T627)-1)</f>
        <v/>
      </c>
    </row>
    <row r="628" spans="1:19">
      <c r="A628" s="15" t="str">
        <f>IF('实盘净值数据(iFinD）'!A628="","",'实盘净值数据(iFinD）'!A628)</f>
        <v/>
      </c>
      <c r="B628" s="13" t="str">
        <f>IF(OR('实盘净值数据(iFinD）'!$A628="",'实盘净值数据(iFinD）'!$B628=""),"",分期持仓明细!$AB$17*SUMPRODUCT(分期持仓明细!$B$17:$Y$17,'实盘净值数据(iFinD）'!$B628:$Y628/'实盘净值数据(iFinD）'!$B$20:$Y$20)*(1-实盘持仓初始配置!$Z$4)^(('实盘净值数据(iFinD）'!$A628-'实盘净值数据(iFinD）'!$A$6)/365))</f>
        <v/>
      </c>
      <c r="C628" s="16" t="str">
        <f t="shared" si="54"/>
        <v/>
      </c>
      <c r="D628" s="16" t="str">
        <f>IF(B628="","",B628/MAX(B$5:B628)-1)</f>
        <v/>
      </c>
      <c r="E628" s="13" t="str">
        <f>IF(OR('实盘净值数据(iFinD）'!$A628="",'实盘净值数据(iFinD）'!$B628=""),"",分期持仓明细!$AB$18*SUMPRODUCT(分期持仓明细!$B$18:$Y$18,'实盘净值数据(iFinD）'!$B628:$Y628/'实盘净值数据(iFinD）'!$B$20:$Y$20)*(1-实盘持仓初始配置!$Z$5)^(('实盘净值数据(iFinD）'!$A628-'实盘净值数据(iFinD）'!$A$5)/365))</f>
        <v/>
      </c>
      <c r="F628" s="16" t="str">
        <f t="shared" si="55"/>
        <v/>
      </c>
      <c r="G628" s="16" t="str">
        <f>IF(E628="","",E628/MAX(E$5:E628)-1)</f>
        <v/>
      </c>
      <c r="H628" s="13" t="str">
        <f>IF(OR('实盘净值数据(iFinD）'!$A628="",'实盘净值数据(iFinD）'!$B628=""),"",分期持仓明细!$AB$19*SUMPRODUCT(分期持仓明细!$B$19:$Y$19,'实盘净值数据(iFinD）'!$B628:$Y628/'实盘净值数据(iFinD）'!$B$20:$Y$20)*(1-实盘持仓初始配置!$Z$6)^(('实盘净值数据(iFinD）'!$A628-'实盘净值数据(iFinD）'!$A$7)/365))</f>
        <v/>
      </c>
      <c r="I628" s="16" t="str">
        <f t="shared" si="56"/>
        <v/>
      </c>
      <c r="J628" s="16" t="str">
        <f>IF(H628="","",H628/MAX(H$5:H628)-1)</f>
        <v/>
      </c>
      <c r="K628" s="13" t="str">
        <f>IF(OR('实盘净值数据(iFinD）'!$A628="",'实盘净值数据(iFinD）'!$B628="",'实盘净值数据(iFinD）'!$Z628="",'实盘净值数据(iFinD）'!$AA628=""),"",分期持仓明细!$AB$23*(SUMPRODUCT(分期持仓明细!$B$23:$Y$23,'实盘净值数据(iFinD）'!$B628:$Y628/'实盘净值数据(iFinD）'!$B$65:$Y$65)+SUMPRODUCT(分期持仓明细!$AC$23:$AD$23,'实盘净值数据(iFinD）'!$Z628:$AA628/'实盘净值数据(iFinD）'!$Z$65:$AA$65))*(1-实盘持仓初始配置!$Z$7)^(('实盘净值数据(iFinD）'!$A628-'实盘净值数据(iFinD）'!$A$8)/365))</f>
        <v/>
      </c>
      <c r="L628" s="16" t="str">
        <f t="shared" si="57"/>
        <v/>
      </c>
      <c r="M628" s="16" t="str">
        <f>IF(K628="","",K628/MAX(K$5:K628)-1)</f>
        <v/>
      </c>
      <c r="N628" s="13" t="str">
        <f>IF(OR('实盘净值数据(iFinD）'!$A628="",'实盘净值数据(iFinD）'!$B628="",'实盘净值数据(iFinD）'!$Z628="",'实盘净值数据(iFinD）'!$AA628=""),"",分期持仓明细!$AB$24*(SUMPRODUCT(分期持仓明细!$B$24:$Y$24,'实盘净值数据(iFinD）'!$B628:$Y628/'实盘净值数据(iFinD）'!$B$65:$Y$65)+SUMPRODUCT(分期持仓明细!$AC$24:$AD$24,'实盘净值数据(iFinD）'!$Z628:$AA628/'实盘净值数据(iFinD）'!$Z$65:$AA$65))*(1-实盘持仓初始配置!$Z$8)^(('实盘净值数据(iFinD）'!$A628-'实盘净值数据(iFinD）'!$A$5)/365))</f>
        <v/>
      </c>
      <c r="O628" s="16" t="str">
        <f t="shared" si="58"/>
        <v/>
      </c>
      <c r="P628" s="16" t="str">
        <f>IF(N628="","",N628/MAX(N$5:N628)-1)</f>
        <v/>
      </c>
      <c r="Q628" s="13" t="str">
        <f>IF(OR('实盘净值数据(iFinD）'!$A628="",'实盘净值数据(iFinD）'!$B628="",'实盘净值数据(iFinD）'!$Z628="",'实盘净值数据(iFinD）'!$AA628=""),"",分期持仓明细!$AB$25*(SUMPRODUCT(分期持仓明细!$B$25:$Y$25,'实盘净值数据(iFinD）'!$B628:$Y628/'实盘净值数据(iFinD）'!$B$65:$Y$65)+SUMPRODUCT(分期持仓明细!$AC$25:$AD$25,'实盘净值数据(iFinD）'!$Z628:$AA628/'实盘净值数据(iFinD）'!$Z$65:$AA$65))*(1-实盘持仓初始配置!$Z$9)^(('实盘净值数据(iFinD）'!$A628-'实盘净值数据(iFinD）'!$A$8)/365))</f>
        <v/>
      </c>
      <c r="R628" s="16" t="str">
        <f t="shared" si="59"/>
        <v/>
      </c>
      <c r="S628" s="16" t="str">
        <f>IF(Q628="","",Q628/MAX(Q$5:Q628)-1)</f>
        <v/>
      </c>
      <c r="T628" s="13">
        <f>IF(OR('实盘净值数据(iFinD）'!$A628="",'实盘净值数据(iFinD）'!$B628="",'实盘净值数据(iFinD）'!$Z628="",'实盘净值数据(iFinD）'!$AA628="",'实盘净值数据(iFinD）'!$AB628="",'实盘净值数据(iFinD）'!$AL628=""),"",(SUMPRODUCT(分期持仓明细!$B$26:$Y$26,'实盘净值数据(iFinD）'!$B628:$Y628/'实盘净值数据(iFinD）'!$B$69:$Y$69)+SUMPRODUCT(分期持仓明细!$AC$26:$AD$26,'实盘净值数据(iFinD）'!$Z628:$AA628/'实盘净值数据(iFinD）'!$Z$69:$AA$69)+SUMPRODUCT(分期持仓明细!$AE$26:$AO$26,'实盘净值数据(iFinD）'!$AB628:$AL628/'实盘净值数据(iFinD）'!$AB$69:$AL$69))*(1-实盘持仓初始配置!$Z$10)^(('实盘净值数据(iFinD）'!$A628-'实盘净值数据(iFinD）'!$A$69)/365))</f>
        <v/>
      </c>
      <c r="U628" s="16">
        <f>IF(OR(T627="",T628=""),"",T628/T627-1)</f>
        <v/>
      </c>
      <c r="V628" s="16">
        <f>IF(T628="","",T628/MAX(T$5:T628)-1)</f>
        <v/>
      </c>
    </row>
    <row r="629" spans="1:19">
      <c r="A629" s="15" t="str">
        <f>IF('实盘净值数据(iFinD）'!A629="","",'实盘净值数据(iFinD）'!A629)</f>
        <v/>
      </c>
      <c r="B629" s="13" t="str">
        <f>IF(OR('实盘净值数据(iFinD）'!$A629="",'实盘净值数据(iFinD）'!$B629=""),"",分期持仓明细!$AB$17*SUMPRODUCT(分期持仓明细!$B$17:$Y$17,'实盘净值数据(iFinD）'!$B629:$Y629/'实盘净值数据(iFinD）'!$B$20:$Y$20)*(1-实盘持仓初始配置!$Z$4)^(('实盘净值数据(iFinD）'!$A629-'实盘净值数据(iFinD）'!$A$6)/365))</f>
        <v/>
      </c>
      <c r="C629" s="16" t="str">
        <f t="shared" si="54"/>
        <v/>
      </c>
      <c r="D629" s="16" t="str">
        <f>IF(B629="","",B629/MAX(B$5:B629)-1)</f>
        <v/>
      </c>
      <c r="E629" s="13" t="str">
        <f>IF(OR('实盘净值数据(iFinD）'!$A629="",'实盘净值数据(iFinD）'!$B629=""),"",分期持仓明细!$AB$18*SUMPRODUCT(分期持仓明细!$B$18:$Y$18,'实盘净值数据(iFinD）'!$B629:$Y629/'实盘净值数据(iFinD）'!$B$20:$Y$20)*(1-实盘持仓初始配置!$Z$5)^(('实盘净值数据(iFinD）'!$A629-'实盘净值数据(iFinD）'!$A$5)/365))</f>
        <v/>
      </c>
      <c r="F629" s="16" t="str">
        <f t="shared" si="55"/>
        <v/>
      </c>
      <c r="G629" s="16" t="str">
        <f>IF(E629="","",E629/MAX(E$5:E629)-1)</f>
        <v/>
      </c>
      <c r="H629" s="13" t="str">
        <f>IF(OR('实盘净值数据(iFinD）'!$A629="",'实盘净值数据(iFinD）'!$B629=""),"",分期持仓明细!$AB$19*SUMPRODUCT(分期持仓明细!$B$19:$Y$19,'实盘净值数据(iFinD）'!$B629:$Y629/'实盘净值数据(iFinD）'!$B$20:$Y$20)*(1-实盘持仓初始配置!$Z$6)^(('实盘净值数据(iFinD）'!$A629-'实盘净值数据(iFinD）'!$A$7)/365))</f>
        <v/>
      </c>
      <c r="I629" s="16" t="str">
        <f t="shared" si="56"/>
        <v/>
      </c>
      <c r="J629" s="16" t="str">
        <f>IF(H629="","",H629/MAX(H$5:H629)-1)</f>
        <v/>
      </c>
      <c r="K629" s="13" t="str">
        <f>IF(OR('实盘净值数据(iFinD）'!$A629="",'实盘净值数据(iFinD）'!$B629="",'实盘净值数据(iFinD）'!$Z629="",'实盘净值数据(iFinD）'!$AA629=""),"",分期持仓明细!$AB$23*(SUMPRODUCT(分期持仓明细!$B$23:$Y$23,'实盘净值数据(iFinD）'!$B629:$Y629/'实盘净值数据(iFinD）'!$B$65:$Y$65)+SUMPRODUCT(分期持仓明细!$AC$23:$AD$23,'实盘净值数据(iFinD）'!$Z629:$AA629/'实盘净值数据(iFinD）'!$Z$65:$AA$65))*(1-实盘持仓初始配置!$Z$7)^(('实盘净值数据(iFinD）'!$A629-'实盘净值数据(iFinD）'!$A$8)/365))</f>
        <v/>
      </c>
      <c r="L629" s="16" t="str">
        <f t="shared" si="57"/>
        <v/>
      </c>
      <c r="M629" s="16" t="str">
        <f>IF(K629="","",K629/MAX(K$5:K629)-1)</f>
        <v/>
      </c>
      <c r="N629" s="13" t="str">
        <f>IF(OR('实盘净值数据(iFinD）'!$A629="",'实盘净值数据(iFinD）'!$B629="",'实盘净值数据(iFinD）'!$Z629="",'实盘净值数据(iFinD）'!$AA629=""),"",分期持仓明细!$AB$24*(SUMPRODUCT(分期持仓明细!$B$24:$Y$24,'实盘净值数据(iFinD）'!$B629:$Y629/'实盘净值数据(iFinD）'!$B$65:$Y$65)+SUMPRODUCT(分期持仓明细!$AC$24:$AD$24,'实盘净值数据(iFinD）'!$Z629:$AA629/'实盘净值数据(iFinD）'!$Z$65:$AA$65))*(1-实盘持仓初始配置!$Z$8)^(('实盘净值数据(iFinD）'!$A629-'实盘净值数据(iFinD）'!$A$5)/365))</f>
        <v/>
      </c>
      <c r="O629" s="16" t="str">
        <f t="shared" si="58"/>
        <v/>
      </c>
      <c r="P629" s="16" t="str">
        <f>IF(N629="","",N629/MAX(N$5:N629)-1)</f>
        <v/>
      </c>
      <c r="Q629" s="13" t="str">
        <f>IF(OR('实盘净值数据(iFinD）'!$A629="",'实盘净值数据(iFinD）'!$B629="",'实盘净值数据(iFinD）'!$Z629="",'实盘净值数据(iFinD）'!$AA629=""),"",分期持仓明细!$AB$25*(SUMPRODUCT(分期持仓明细!$B$25:$Y$25,'实盘净值数据(iFinD）'!$B629:$Y629/'实盘净值数据(iFinD）'!$B$65:$Y$65)+SUMPRODUCT(分期持仓明细!$AC$25:$AD$25,'实盘净值数据(iFinD）'!$Z629:$AA629/'实盘净值数据(iFinD）'!$Z$65:$AA$65))*(1-实盘持仓初始配置!$Z$9)^(('实盘净值数据(iFinD）'!$A629-'实盘净值数据(iFinD）'!$A$8)/365))</f>
        <v/>
      </c>
      <c r="R629" s="16" t="str">
        <f t="shared" si="59"/>
        <v/>
      </c>
      <c r="S629" s="16" t="str">
        <f>IF(Q629="","",Q629/MAX(Q$5:Q629)-1)</f>
        <v/>
      </c>
      <c r="T629" s="13">
        <f>IF(OR('实盘净值数据(iFinD）'!$A629="",'实盘净值数据(iFinD）'!$B629="",'实盘净值数据(iFinD）'!$Z629="",'实盘净值数据(iFinD）'!$AA629="",'实盘净值数据(iFinD）'!$AB629="",'实盘净值数据(iFinD）'!$AL629=""),"",(SUMPRODUCT(分期持仓明细!$B$26:$Y$26,'实盘净值数据(iFinD）'!$B629:$Y629/'实盘净值数据(iFinD）'!$B$69:$Y$69)+SUMPRODUCT(分期持仓明细!$AC$26:$AD$26,'实盘净值数据(iFinD）'!$Z629:$AA629/'实盘净值数据(iFinD）'!$Z$69:$AA$69)+SUMPRODUCT(分期持仓明细!$AE$26:$AO$26,'实盘净值数据(iFinD）'!$AB629:$AL629/'实盘净值数据(iFinD）'!$AB$69:$AL$69))*(1-实盘持仓初始配置!$Z$10)^(('实盘净值数据(iFinD）'!$A629-'实盘净值数据(iFinD）'!$A$69)/365))</f>
        <v/>
      </c>
      <c r="U629" s="16">
        <f>IF(OR(T628="",T629=""),"",T629/T628-1)</f>
        <v/>
      </c>
      <c r="V629" s="16">
        <f>IF(T629="","",T629/MAX(T$5:T629)-1)</f>
        <v/>
      </c>
    </row>
    <row r="630" spans="1:19">
      <c r="A630" s="15" t="str">
        <f>IF('实盘净值数据(iFinD）'!A630="","",'实盘净值数据(iFinD）'!A630)</f>
        <v/>
      </c>
      <c r="B630" s="13" t="str">
        <f>IF(OR('实盘净值数据(iFinD）'!$A630="",'实盘净值数据(iFinD）'!$B630=""),"",分期持仓明细!$AB$17*SUMPRODUCT(分期持仓明细!$B$17:$Y$17,'实盘净值数据(iFinD）'!$B630:$Y630/'实盘净值数据(iFinD）'!$B$20:$Y$20)*(1-实盘持仓初始配置!$Z$4)^(('实盘净值数据(iFinD）'!$A630-'实盘净值数据(iFinD）'!$A$6)/365))</f>
        <v/>
      </c>
      <c r="C630" s="16" t="str">
        <f t="shared" si="54"/>
        <v/>
      </c>
      <c r="D630" s="16" t="str">
        <f>IF(B630="","",B630/MAX(B$5:B630)-1)</f>
        <v/>
      </c>
      <c r="E630" s="13" t="str">
        <f>IF(OR('实盘净值数据(iFinD）'!$A630="",'实盘净值数据(iFinD）'!$B630=""),"",分期持仓明细!$AB$18*SUMPRODUCT(分期持仓明细!$B$18:$Y$18,'实盘净值数据(iFinD）'!$B630:$Y630/'实盘净值数据(iFinD）'!$B$20:$Y$20)*(1-实盘持仓初始配置!$Z$5)^(('实盘净值数据(iFinD）'!$A630-'实盘净值数据(iFinD）'!$A$5)/365))</f>
        <v/>
      </c>
      <c r="F630" s="16" t="str">
        <f t="shared" si="55"/>
        <v/>
      </c>
      <c r="G630" s="16" t="str">
        <f>IF(E630="","",E630/MAX(E$5:E630)-1)</f>
        <v/>
      </c>
      <c r="H630" s="13" t="str">
        <f>IF(OR('实盘净值数据(iFinD）'!$A630="",'实盘净值数据(iFinD）'!$B630=""),"",分期持仓明细!$AB$19*SUMPRODUCT(分期持仓明细!$B$19:$Y$19,'实盘净值数据(iFinD）'!$B630:$Y630/'实盘净值数据(iFinD）'!$B$20:$Y$20)*(1-实盘持仓初始配置!$Z$6)^(('实盘净值数据(iFinD）'!$A630-'实盘净值数据(iFinD）'!$A$7)/365))</f>
        <v/>
      </c>
      <c r="I630" s="16" t="str">
        <f t="shared" si="56"/>
        <v/>
      </c>
      <c r="J630" s="16" t="str">
        <f>IF(H630="","",H630/MAX(H$5:H630)-1)</f>
        <v/>
      </c>
      <c r="K630" s="13" t="str">
        <f>IF(OR('实盘净值数据(iFinD）'!$A630="",'实盘净值数据(iFinD）'!$B630="",'实盘净值数据(iFinD）'!$Z630="",'实盘净值数据(iFinD）'!$AA630=""),"",分期持仓明细!$AB$23*(SUMPRODUCT(分期持仓明细!$B$23:$Y$23,'实盘净值数据(iFinD）'!$B630:$Y630/'实盘净值数据(iFinD）'!$B$65:$Y$65)+SUMPRODUCT(分期持仓明细!$AC$23:$AD$23,'实盘净值数据(iFinD）'!$Z630:$AA630/'实盘净值数据(iFinD）'!$Z$65:$AA$65))*(1-实盘持仓初始配置!$Z$7)^(('实盘净值数据(iFinD）'!$A630-'实盘净值数据(iFinD）'!$A$8)/365))</f>
        <v/>
      </c>
      <c r="L630" s="16" t="str">
        <f t="shared" si="57"/>
        <v/>
      </c>
      <c r="M630" s="16" t="str">
        <f>IF(K630="","",K630/MAX(K$5:K630)-1)</f>
        <v/>
      </c>
      <c r="N630" s="13" t="str">
        <f>IF(OR('实盘净值数据(iFinD）'!$A630="",'实盘净值数据(iFinD）'!$B630="",'实盘净值数据(iFinD）'!$Z630="",'实盘净值数据(iFinD）'!$AA630=""),"",分期持仓明细!$AB$24*(SUMPRODUCT(分期持仓明细!$B$24:$Y$24,'实盘净值数据(iFinD）'!$B630:$Y630/'实盘净值数据(iFinD）'!$B$65:$Y$65)+SUMPRODUCT(分期持仓明细!$AC$24:$AD$24,'实盘净值数据(iFinD）'!$Z630:$AA630/'实盘净值数据(iFinD）'!$Z$65:$AA$65))*(1-实盘持仓初始配置!$Z$8)^(('实盘净值数据(iFinD）'!$A630-'实盘净值数据(iFinD）'!$A$5)/365))</f>
        <v/>
      </c>
      <c r="O630" s="16" t="str">
        <f t="shared" si="58"/>
        <v/>
      </c>
      <c r="P630" s="16" t="str">
        <f>IF(N630="","",N630/MAX(N$5:N630)-1)</f>
        <v/>
      </c>
      <c r="Q630" s="13" t="str">
        <f>IF(OR('实盘净值数据(iFinD）'!$A630="",'实盘净值数据(iFinD）'!$B630="",'实盘净值数据(iFinD）'!$Z630="",'实盘净值数据(iFinD）'!$AA630=""),"",分期持仓明细!$AB$25*(SUMPRODUCT(分期持仓明细!$B$25:$Y$25,'实盘净值数据(iFinD）'!$B630:$Y630/'实盘净值数据(iFinD）'!$B$65:$Y$65)+SUMPRODUCT(分期持仓明细!$AC$25:$AD$25,'实盘净值数据(iFinD）'!$Z630:$AA630/'实盘净值数据(iFinD）'!$Z$65:$AA$65))*(1-实盘持仓初始配置!$Z$9)^(('实盘净值数据(iFinD）'!$A630-'实盘净值数据(iFinD）'!$A$8)/365))</f>
        <v/>
      </c>
      <c r="R630" s="16" t="str">
        <f t="shared" si="59"/>
        <v/>
      </c>
      <c r="S630" s="16" t="str">
        <f>IF(Q630="","",Q630/MAX(Q$5:Q630)-1)</f>
        <v/>
      </c>
      <c r="T630" s="13">
        <f>IF(OR('实盘净值数据(iFinD）'!$A630="",'实盘净值数据(iFinD）'!$B630="",'实盘净值数据(iFinD）'!$Z630="",'实盘净值数据(iFinD）'!$AA630="",'实盘净值数据(iFinD）'!$AB630="",'实盘净值数据(iFinD）'!$AL630=""),"",(SUMPRODUCT(分期持仓明细!$B$26:$Y$26,'实盘净值数据(iFinD）'!$B630:$Y630/'实盘净值数据(iFinD）'!$B$69:$Y$69)+SUMPRODUCT(分期持仓明细!$AC$26:$AD$26,'实盘净值数据(iFinD）'!$Z630:$AA630/'实盘净值数据(iFinD）'!$Z$69:$AA$69)+SUMPRODUCT(分期持仓明细!$AE$26:$AO$26,'实盘净值数据(iFinD）'!$AB630:$AL630/'实盘净值数据(iFinD）'!$AB$69:$AL$69))*(1-实盘持仓初始配置!$Z$10)^(('实盘净值数据(iFinD）'!$A630-'实盘净值数据(iFinD）'!$A$69)/365))</f>
        <v/>
      </c>
      <c r="U630" s="16">
        <f>IF(OR(T629="",T630=""),"",T630/T629-1)</f>
        <v/>
      </c>
      <c r="V630" s="16">
        <f>IF(T630="","",T630/MAX(T$5:T630)-1)</f>
        <v/>
      </c>
    </row>
    <row r="631" spans="1:19">
      <c r="A631" s="15" t="str">
        <f>IF('实盘净值数据(iFinD）'!A631="","",'实盘净值数据(iFinD）'!A631)</f>
        <v/>
      </c>
      <c r="B631" s="13" t="str">
        <f>IF(OR('实盘净值数据(iFinD）'!$A631="",'实盘净值数据(iFinD）'!$B631=""),"",分期持仓明细!$AB$17*SUMPRODUCT(分期持仓明细!$B$17:$Y$17,'实盘净值数据(iFinD）'!$B631:$Y631/'实盘净值数据(iFinD）'!$B$20:$Y$20)*(1-实盘持仓初始配置!$Z$4)^(('实盘净值数据(iFinD）'!$A631-'实盘净值数据(iFinD）'!$A$6)/365))</f>
        <v/>
      </c>
      <c r="C631" s="16" t="str">
        <f t="shared" si="54"/>
        <v/>
      </c>
      <c r="D631" s="16" t="str">
        <f>IF(B631="","",B631/MAX(B$5:B631)-1)</f>
        <v/>
      </c>
      <c r="E631" s="13" t="str">
        <f>IF(OR('实盘净值数据(iFinD）'!$A631="",'实盘净值数据(iFinD）'!$B631=""),"",分期持仓明细!$AB$18*SUMPRODUCT(分期持仓明细!$B$18:$Y$18,'实盘净值数据(iFinD）'!$B631:$Y631/'实盘净值数据(iFinD）'!$B$20:$Y$20)*(1-实盘持仓初始配置!$Z$5)^(('实盘净值数据(iFinD）'!$A631-'实盘净值数据(iFinD）'!$A$5)/365))</f>
        <v/>
      </c>
      <c r="F631" s="16" t="str">
        <f t="shared" si="55"/>
        <v/>
      </c>
      <c r="G631" s="16" t="str">
        <f>IF(E631="","",E631/MAX(E$5:E631)-1)</f>
        <v/>
      </c>
      <c r="H631" s="13" t="str">
        <f>IF(OR('实盘净值数据(iFinD）'!$A631="",'实盘净值数据(iFinD）'!$B631=""),"",分期持仓明细!$AB$19*SUMPRODUCT(分期持仓明细!$B$19:$Y$19,'实盘净值数据(iFinD）'!$B631:$Y631/'实盘净值数据(iFinD）'!$B$20:$Y$20)*(1-实盘持仓初始配置!$Z$6)^(('实盘净值数据(iFinD）'!$A631-'实盘净值数据(iFinD）'!$A$7)/365))</f>
        <v/>
      </c>
      <c r="I631" s="16" t="str">
        <f t="shared" si="56"/>
        <v/>
      </c>
      <c r="J631" s="16" t="str">
        <f>IF(H631="","",H631/MAX(H$5:H631)-1)</f>
        <v/>
      </c>
      <c r="K631" s="13" t="str">
        <f>IF(OR('实盘净值数据(iFinD）'!$A631="",'实盘净值数据(iFinD）'!$B631="",'实盘净值数据(iFinD）'!$Z631="",'实盘净值数据(iFinD）'!$AA631=""),"",分期持仓明细!$AB$23*(SUMPRODUCT(分期持仓明细!$B$23:$Y$23,'实盘净值数据(iFinD）'!$B631:$Y631/'实盘净值数据(iFinD）'!$B$65:$Y$65)+SUMPRODUCT(分期持仓明细!$AC$23:$AD$23,'实盘净值数据(iFinD）'!$Z631:$AA631/'实盘净值数据(iFinD）'!$Z$65:$AA$65))*(1-实盘持仓初始配置!$Z$7)^(('实盘净值数据(iFinD）'!$A631-'实盘净值数据(iFinD）'!$A$8)/365))</f>
        <v/>
      </c>
      <c r="L631" s="16" t="str">
        <f t="shared" si="57"/>
        <v/>
      </c>
      <c r="M631" s="16" t="str">
        <f>IF(K631="","",K631/MAX(K$5:K631)-1)</f>
        <v/>
      </c>
      <c r="N631" s="13" t="str">
        <f>IF(OR('实盘净值数据(iFinD）'!$A631="",'实盘净值数据(iFinD）'!$B631="",'实盘净值数据(iFinD）'!$Z631="",'实盘净值数据(iFinD）'!$AA631=""),"",分期持仓明细!$AB$24*(SUMPRODUCT(分期持仓明细!$B$24:$Y$24,'实盘净值数据(iFinD）'!$B631:$Y631/'实盘净值数据(iFinD）'!$B$65:$Y$65)+SUMPRODUCT(分期持仓明细!$AC$24:$AD$24,'实盘净值数据(iFinD）'!$Z631:$AA631/'实盘净值数据(iFinD）'!$Z$65:$AA$65))*(1-实盘持仓初始配置!$Z$8)^(('实盘净值数据(iFinD）'!$A631-'实盘净值数据(iFinD）'!$A$5)/365))</f>
        <v/>
      </c>
      <c r="O631" s="16" t="str">
        <f t="shared" si="58"/>
        <v/>
      </c>
      <c r="P631" s="16" t="str">
        <f>IF(N631="","",N631/MAX(N$5:N631)-1)</f>
        <v/>
      </c>
      <c r="Q631" s="13" t="str">
        <f>IF(OR('实盘净值数据(iFinD）'!$A631="",'实盘净值数据(iFinD）'!$B631="",'实盘净值数据(iFinD）'!$Z631="",'实盘净值数据(iFinD）'!$AA631=""),"",分期持仓明细!$AB$25*(SUMPRODUCT(分期持仓明细!$B$25:$Y$25,'实盘净值数据(iFinD）'!$B631:$Y631/'实盘净值数据(iFinD）'!$B$65:$Y$65)+SUMPRODUCT(分期持仓明细!$AC$25:$AD$25,'实盘净值数据(iFinD）'!$Z631:$AA631/'实盘净值数据(iFinD）'!$Z$65:$AA$65))*(1-实盘持仓初始配置!$Z$9)^(('实盘净值数据(iFinD）'!$A631-'实盘净值数据(iFinD）'!$A$8)/365))</f>
        <v/>
      </c>
      <c r="R631" s="16" t="str">
        <f t="shared" si="59"/>
        <v/>
      </c>
      <c r="S631" s="16" t="str">
        <f>IF(Q631="","",Q631/MAX(Q$5:Q631)-1)</f>
        <v/>
      </c>
      <c r="T631" s="13">
        <f>IF(OR('实盘净值数据(iFinD）'!$A631="",'实盘净值数据(iFinD）'!$B631="",'实盘净值数据(iFinD）'!$Z631="",'实盘净值数据(iFinD）'!$AA631="",'实盘净值数据(iFinD）'!$AB631="",'实盘净值数据(iFinD）'!$AL631=""),"",(SUMPRODUCT(分期持仓明细!$B$26:$Y$26,'实盘净值数据(iFinD）'!$B631:$Y631/'实盘净值数据(iFinD）'!$B$69:$Y$69)+SUMPRODUCT(分期持仓明细!$AC$26:$AD$26,'实盘净值数据(iFinD）'!$Z631:$AA631/'实盘净值数据(iFinD）'!$Z$69:$AA$69)+SUMPRODUCT(分期持仓明细!$AE$26:$AO$26,'实盘净值数据(iFinD）'!$AB631:$AL631/'实盘净值数据(iFinD）'!$AB$69:$AL$69))*(1-实盘持仓初始配置!$Z$10)^(('实盘净值数据(iFinD）'!$A631-'实盘净值数据(iFinD）'!$A$69)/365))</f>
        <v/>
      </c>
      <c r="U631" s="16">
        <f>IF(OR(T630="",T631=""),"",T631/T630-1)</f>
        <v/>
      </c>
      <c r="V631" s="16">
        <f>IF(T631="","",T631/MAX(T$5:T631)-1)</f>
        <v/>
      </c>
    </row>
    <row r="632" spans="1:19">
      <c r="A632" s="15" t="str">
        <f>IF('实盘净值数据(iFinD）'!A632="","",'实盘净值数据(iFinD）'!A632)</f>
        <v/>
      </c>
      <c r="B632" s="13" t="str">
        <f>IF(OR('实盘净值数据(iFinD）'!$A632="",'实盘净值数据(iFinD）'!$B632=""),"",分期持仓明细!$AB$17*SUMPRODUCT(分期持仓明细!$B$17:$Y$17,'实盘净值数据(iFinD）'!$B632:$Y632/'实盘净值数据(iFinD）'!$B$20:$Y$20)*(1-实盘持仓初始配置!$Z$4)^(('实盘净值数据(iFinD）'!$A632-'实盘净值数据(iFinD）'!$A$6)/365))</f>
        <v/>
      </c>
      <c r="C632" s="16" t="str">
        <f t="shared" si="54"/>
        <v/>
      </c>
      <c r="D632" s="16" t="str">
        <f>IF(B632="","",B632/MAX(B$5:B632)-1)</f>
        <v/>
      </c>
      <c r="E632" s="13" t="str">
        <f>IF(OR('实盘净值数据(iFinD）'!$A632="",'实盘净值数据(iFinD）'!$B632=""),"",分期持仓明细!$AB$18*SUMPRODUCT(分期持仓明细!$B$18:$Y$18,'实盘净值数据(iFinD）'!$B632:$Y632/'实盘净值数据(iFinD）'!$B$20:$Y$20)*(1-实盘持仓初始配置!$Z$5)^(('实盘净值数据(iFinD）'!$A632-'实盘净值数据(iFinD）'!$A$5)/365))</f>
        <v/>
      </c>
      <c r="F632" s="16" t="str">
        <f t="shared" si="55"/>
        <v/>
      </c>
      <c r="G632" s="16" t="str">
        <f>IF(E632="","",E632/MAX(E$5:E632)-1)</f>
        <v/>
      </c>
      <c r="H632" s="13" t="str">
        <f>IF(OR('实盘净值数据(iFinD）'!$A632="",'实盘净值数据(iFinD）'!$B632=""),"",分期持仓明细!$AB$19*SUMPRODUCT(分期持仓明细!$B$19:$Y$19,'实盘净值数据(iFinD）'!$B632:$Y632/'实盘净值数据(iFinD）'!$B$20:$Y$20)*(1-实盘持仓初始配置!$Z$6)^(('实盘净值数据(iFinD）'!$A632-'实盘净值数据(iFinD）'!$A$7)/365))</f>
        <v/>
      </c>
      <c r="I632" s="16" t="str">
        <f t="shared" si="56"/>
        <v/>
      </c>
      <c r="J632" s="16" t="str">
        <f>IF(H632="","",H632/MAX(H$5:H632)-1)</f>
        <v/>
      </c>
      <c r="K632" s="13" t="str">
        <f>IF(OR('实盘净值数据(iFinD）'!$A632="",'实盘净值数据(iFinD）'!$B632="",'实盘净值数据(iFinD）'!$Z632="",'实盘净值数据(iFinD）'!$AA632=""),"",分期持仓明细!$AB$23*(SUMPRODUCT(分期持仓明细!$B$23:$Y$23,'实盘净值数据(iFinD）'!$B632:$Y632/'实盘净值数据(iFinD）'!$B$65:$Y$65)+SUMPRODUCT(分期持仓明细!$AC$23:$AD$23,'实盘净值数据(iFinD）'!$Z632:$AA632/'实盘净值数据(iFinD）'!$Z$65:$AA$65))*(1-实盘持仓初始配置!$Z$7)^(('实盘净值数据(iFinD）'!$A632-'实盘净值数据(iFinD）'!$A$8)/365))</f>
        <v/>
      </c>
      <c r="L632" s="16" t="str">
        <f t="shared" si="57"/>
        <v/>
      </c>
      <c r="M632" s="16" t="str">
        <f>IF(K632="","",K632/MAX(K$5:K632)-1)</f>
        <v/>
      </c>
      <c r="N632" s="13" t="str">
        <f>IF(OR('实盘净值数据(iFinD）'!$A632="",'实盘净值数据(iFinD）'!$B632="",'实盘净值数据(iFinD）'!$Z632="",'实盘净值数据(iFinD）'!$AA632=""),"",分期持仓明细!$AB$24*(SUMPRODUCT(分期持仓明细!$B$24:$Y$24,'实盘净值数据(iFinD）'!$B632:$Y632/'实盘净值数据(iFinD）'!$B$65:$Y$65)+SUMPRODUCT(分期持仓明细!$AC$24:$AD$24,'实盘净值数据(iFinD）'!$Z632:$AA632/'实盘净值数据(iFinD）'!$Z$65:$AA$65))*(1-实盘持仓初始配置!$Z$8)^(('实盘净值数据(iFinD）'!$A632-'实盘净值数据(iFinD）'!$A$5)/365))</f>
        <v/>
      </c>
      <c r="O632" s="16" t="str">
        <f t="shared" si="58"/>
        <v/>
      </c>
      <c r="P632" s="16" t="str">
        <f>IF(N632="","",N632/MAX(N$5:N632)-1)</f>
        <v/>
      </c>
      <c r="Q632" s="13" t="str">
        <f>IF(OR('实盘净值数据(iFinD）'!$A632="",'实盘净值数据(iFinD）'!$B632="",'实盘净值数据(iFinD）'!$Z632="",'实盘净值数据(iFinD）'!$AA632=""),"",分期持仓明细!$AB$25*(SUMPRODUCT(分期持仓明细!$B$25:$Y$25,'实盘净值数据(iFinD）'!$B632:$Y632/'实盘净值数据(iFinD）'!$B$65:$Y$65)+SUMPRODUCT(分期持仓明细!$AC$25:$AD$25,'实盘净值数据(iFinD）'!$Z632:$AA632/'实盘净值数据(iFinD）'!$Z$65:$AA$65))*(1-实盘持仓初始配置!$Z$9)^(('实盘净值数据(iFinD）'!$A632-'实盘净值数据(iFinD）'!$A$8)/365))</f>
        <v/>
      </c>
      <c r="R632" s="16" t="str">
        <f t="shared" si="59"/>
        <v/>
      </c>
      <c r="S632" s="16" t="str">
        <f>IF(Q632="","",Q632/MAX(Q$5:Q632)-1)</f>
        <v/>
      </c>
      <c r="T632" s="13">
        <f>IF(OR('实盘净值数据(iFinD）'!$A632="",'实盘净值数据(iFinD）'!$B632="",'实盘净值数据(iFinD）'!$Z632="",'实盘净值数据(iFinD）'!$AA632="",'实盘净值数据(iFinD）'!$AB632="",'实盘净值数据(iFinD）'!$AL632=""),"",(SUMPRODUCT(分期持仓明细!$B$26:$Y$26,'实盘净值数据(iFinD）'!$B632:$Y632/'实盘净值数据(iFinD）'!$B$69:$Y$69)+SUMPRODUCT(分期持仓明细!$AC$26:$AD$26,'实盘净值数据(iFinD）'!$Z632:$AA632/'实盘净值数据(iFinD）'!$Z$69:$AA$69)+SUMPRODUCT(分期持仓明细!$AE$26:$AO$26,'实盘净值数据(iFinD）'!$AB632:$AL632/'实盘净值数据(iFinD）'!$AB$69:$AL$69))*(1-实盘持仓初始配置!$Z$10)^(('实盘净值数据(iFinD）'!$A632-'实盘净值数据(iFinD）'!$A$69)/365))</f>
        <v/>
      </c>
      <c r="U632" s="16">
        <f>IF(OR(T631="",T632=""),"",T632/T631-1)</f>
        <v/>
      </c>
      <c r="V632" s="16">
        <f>IF(T632="","",T632/MAX(T$5:T632)-1)</f>
        <v/>
      </c>
    </row>
    <row r="633" spans="1:19">
      <c r="A633" s="15" t="str">
        <f>IF('实盘净值数据(iFinD）'!A633="","",'实盘净值数据(iFinD）'!A633)</f>
        <v/>
      </c>
      <c r="B633" s="13" t="str">
        <f>IF(OR('实盘净值数据(iFinD）'!$A633="",'实盘净值数据(iFinD）'!$B633=""),"",分期持仓明细!$AB$17*SUMPRODUCT(分期持仓明细!$B$17:$Y$17,'实盘净值数据(iFinD）'!$B633:$Y633/'实盘净值数据(iFinD）'!$B$20:$Y$20)*(1-实盘持仓初始配置!$Z$4)^(('实盘净值数据(iFinD）'!$A633-'实盘净值数据(iFinD）'!$A$6)/365))</f>
        <v/>
      </c>
      <c r="C633" s="16" t="str">
        <f t="shared" si="54"/>
        <v/>
      </c>
      <c r="D633" s="16" t="str">
        <f>IF(B633="","",B633/MAX(B$5:B633)-1)</f>
        <v/>
      </c>
      <c r="E633" s="13" t="str">
        <f>IF(OR('实盘净值数据(iFinD）'!$A633="",'实盘净值数据(iFinD）'!$B633=""),"",分期持仓明细!$AB$18*SUMPRODUCT(分期持仓明细!$B$18:$Y$18,'实盘净值数据(iFinD）'!$B633:$Y633/'实盘净值数据(iFinD）'!$B$20:$Y$20)*(1-实盘持仓初始配置!$Z$5)^(('实盘净值数据(iFinD）'!$A633-'实盘净值数据(iFinD）'!$A$5)/365))</f>
        <v/>
      </c>
      <c r="F633" s="16" t="str">
        <f t="shared" si="55"/>
        <v/>
      </c>
      <c r="G633" s="16" t="str">
        <f>IF(E633="","",E633/MAX(E$5:E633)-1)</f>
        <v/>
      </c>
      <c r="H633" s="13" t="str">
        <f>IF(OR('实盘净值数据(iFinD）'!$A633="",'实盘净值数据(iFinD）'!$B633=""),"",分期持仓明细!$AB$19*SUMPRODUCT(分期持仓明细!$B$19:$Y$19,'实盘净值数据(iFinD）'!$B633:$Y633/'实盘净值数据(iFinD）'!$B$20:$Y$20)*(1-实盘持仓初始配置!$Z$6)^(('实盘净值数据(iFinD）'!$A633-'实盘净值数据(iFinD）'!$A$7)/365))</f>
        <v/>
      </c>
      <c r="I633" s="16" t="str">
        <f t="shared" si="56"/>
        <v/>
      </c>
      <c r="J633" s="16" t="str">
        <f>IF(H633="","",H633/MAX(H$5:H633)-1)</f>
        <v/>
      </c>
      <c r="K633" s="13" t="str">
        <f>IF(OR('实盘净值数据(iFinD）'!$A633="",'实盘净值数据(iFinD）'!$B633="",'实盘净值数据(iFinD）'!$Z633="",'实盘净值数据(iFinD）'!$AA633=""),"",分期持仓明细!$AB$23*(SUMPRODUCT(分期持仓明细!$B$23:$Y$23,'实盘净值数据(iFinD）'!$B633:$Y633/'实盘净值数据(iFinD）'!$B$65:$Y$65)+SUMPRODUCT(分期持仓明细!$AC$23:$AD$23,'实盘净值数据(iFinD）'!$Z633:$AA633/'实盘净值数据(iFinD）'!$Z$65:$AA$65))*(1-实盘持仓初始配置!$Z$7)^(('实盘净值数据(iFinD）'!$A633-'实盘净值数据(iFinD）'!$A$8)/365))</f>
        <v/>
      </c>
      <c r="L633" s="16" t="str">
        <f t="shared" si="57"/>
        <v/>
      </c>
      <c r="M633" s="16" t="str">
        <f>IF(K633="","",K633/MAX(K$5:K633)-1)</f>
        <v/>
      </c>
      <c r="N633" s="13" t="str">
        <f>IF(OR('实盘净值数据(iFinD）'!$A633="",'实盘净值数据(iFinD）'!$B633="",'实盘净值数据(iFinD）'!$Z633="",'实盘净值数据(iFinD）'!$AA633=""),"",分期持仓明细!$AB$24*(SUMPRODUCT(分期持仓明细!$B$24:$Y$24,'实盘净值数据(iFinD）'!$B633:$Y633/'实盘净值数据(iFinD）'!$B$65:$Y$65)+SUMPRODUCT(分期持仓明细!$AC$24:$AD$24,'实盘净值数据(iFinD）'!$Z633:$AA633/'实盘净值数据(iFinD）'!$Z$65:$AA$65))*(1-实盘持仓初始配置!$Z$8)^(('实盘净值数据(iFinD）'!$A633-'实盘净值数据(iFinD）'!$A$5)/365))</f>
        <v/>
      </c>
      <c r="O633" s="16" t="str">
        <f t="shared" si="58"/>
        <v/>
      </c>
      <c r="P633" s="16" t="str">
        <f>IF(N633="","",N633/MAX(N$5:N633)-1)</f>
        <v/>
      </c>
      <c r="Q633" s="13" t="str">
        <f>IF(OR('实盘净值数据(iFinD）'!$A633="",'实盘净值数据(iFinD）'!$B633="",'实盘净值数据(iFinD）'!$Z633="",'实盘净值数据(iFinD）'!$AA633=""),"",分期持仓明细!$AB$25*(SUMPRODUCT(分期持仓明细!$B$25:$Y$25,'实盘净值数据(iFinD）'!$B633:$Y633/'实盘净值数据(iFinD）'!$B$65:$Y$65)+SUMPRODUCT(分期持仓明细!$AC$25:$AD$25,'实盘净值数据(iFinD）'!$Z633:$AA633/'实盘净值数据(iFinD）'!$Z$65:$AA$65))*(1-实盘持仓初始配置!$Z$9)^(('实盘净值数据(iFinD）'!$A633-'实盘净值数据(iFinD）'!$A$8)/365))</f>
        <v/>
      </c>
      <c r="R633" s="16" t="str">
        <f t="shared" si="59"/>
        <v/>
      </c>
      <c r="S633" s="16" t="str">
        <f>IF(Q633="","",Q633/MAX(Q$5:Q633)-1)</f>
        <v/>
      </c>
      <c r="T633" s="13">
        <f>IF(OR('实盘净值数据(iFinD）'!$A633="",'实盘净值数据(iFinD）'!$B633="",'实盘净值数据(iFinD）'!$Z633="",'实盘净值数据(iFinD）'!$AA633="",'实盘净值数据(iFinD）'!$AB633="",'实盘净值数据(iFinD）'!$AL633=""),"",(SUMPRODUCT(分期持仓明细!$B$26:$Y$26,'实盘净值数据(iFinD）'!$B633:$Y633/'实盘净值数据(iFinD）'!$B$69:$Y$69)+SUMPRODUCT(分期持仓明细!$AC$26:$AD$26,'实盘净值数据(iFinD）'!$Z633:$AA633/'实盘净值数据(iFinD）'!$Z$69:$AA$69)+SUMPRODUCT(分期持仓明细!$AE$26:$AO$26,'实盘净值数据(iFinD）'!$AB633:$AL633/'实盘净值数据(iFinD）'!$AB$69:$AL$69))*(1-实盘持仓初始配置!$Z$10)^(('实盘净值数据(iFinD）'!$A633-'实盘净值数据(iFinD）'!$A$69)/365))</f>
        <v/>
      </c>
      <c r="U633" s="16">
        <f>IF(OR(T632="",T633=""),"",T633/T632-1)</f>
        <v/>
      </c>
      <c r="V633" s="16">
        <f>IF(T633="","",T633/MAX(T$5:T633)-1)</f>
        <v/>
      </c>
    </row>
    <row r="634" spans="1:19">
      <c r="A634" s="15" t="str">
        <f>IF('实盘净值数据(iFinD）'!A634="","",'实盘净值数据(iFinD）'!A634)</f>
        <v/>
      </c>
      <c r="B634" s="13" t="str">
        <f>IF(OR('实盘净值数据(iFinD）'!$A634="",'实盘净值数据(iFinD）'!$B634=""),"",分期持仓明细!$AB$17*SUMPRODUCT(分期持仓明细!$B$17:$Y$17,'实盘净值数据(iFinD）'!$B634:$Y634/'实盘净值数据(iFinD）'!$B$20:$Y$20)*(1-实盘持仓初始配置!$Z$4)^(('实盘净值数据(iFinD）'!$A634-'实盘净值数据(iFinD）'!$A$6)/365))</f>
        <v/>
      </c>
      <c r="C634" s="16" t="str">
        <f t="shared" si="54"/>
        <v/>
      </c>
      <c r="D634" s="16" t="str">
        <f>IF(B634="","",B634/MAX(B$5:B634)-1)</f>
        <v/>
      </c>
      <c r="E634" s="13" t="str">
        <f>IF(OR('实盘净值数据(iFinD）'!$A634="",'实盘净值数据(iFinD）'!$B634=""),"",分期持仓明细!$AB$18*SUMPRODUCT(分期持仓明细!$B$18:$Y$18,'实盘净值数据(iFinD）'!$B634:$Y634/'实盘净值数据(iFinD）'!$B$20:$Y$20)*(1-实盘持仓初始配置!$Z$5)^(('实盘净值数据(iFinD）'!$A634-'实盘净值数据(iFinD）'!$A$5)/365))</f>
        <v/>
      </c>
      <c r="F634" s="16" t="str">
        <f t="shared" si="55"/>
        <v/>
      </c>
      <c r="G634" s="16" t="str">
        <f>IF(E634="","",E634/MAX(E$5:E634)-1)</f>
        <v/>
      </c>
      <c r="H634" s="13" t="str">
        <f>IF(OR('实盘净值数据(iFinD）'!$A634="",'实盘净值数据(iFinD）'!$B634=""),"",分期持仓明细!$AB$19*SUMPRODUCT(分期持仓明细!$B$19:$Y$19,'实盘净值数据(iFinD）'!$B634:$Y634/'实盘净值数据(iFinD）'!$B$20:$Y$20)*(1-实盘持仓初始配置!$Z$6)^(('实盘净值数据(iFinD）'!$A634-'实盘净值数据(iFinD）'!$A$7)/365))</f>
        <v/>
      </c>
      <c r="I634" s="16" t="str">
        <f t="shared" si="56"/>
        <v/>
      </c>
      <c r="J634" s="16" t="str">
        <f>IF(H634="","",H634/MAX(H$5:H634)-1)</f>
        <v/>
      </c>
      <c r="K634" s="13" t="str">
        <f>IF(OR('实盘净值数据(iFinD）'!$A634="",'实盘净值数据(iFinD）'!$B634="",'实盘净值数据(iFinD）'!$Z634="",'实盘净值数据(iFinD）'!$AA634=""),"",分期持仓明细!$AB$23*(SUMPRODUCT(分期持仓明细!$B$23:$Y$23,'实盘净值数据(iFinD）'!$B634:$Y634/'实盘净值数据(iFinD）'!$B$65:$Y$65)+SUMPRODUCT(分期持仓明细!$AC$23:$AD$23,'实盘净值数据(iFinD）'!$Z634:$AA634/'实盘净值数据(iFinD）'!$Z$65:$AA$65))*(1-实盘持仓初始配置!$Z$7)^(('实盘净值数据(iFinD）'!$A634-'实盘净值数据(iFinD）'!$A$8)/365))</f>
        <v/>
      </c>
      <c r="L634" s="16" t="str">
        <f t="shared" si="57"/>
        <v/>
      </c>
      <c r="M634" s="16" t="str">
        <f>IF(K634="","",K634/MAX(K$5:K634)-1)</f>
        <v/>
      </c>
      <c r="N634" s="13" t="str">
        <f>IF(OR('实盘净值数据(iFinD）'!$A634="",'实盘净值数据(iFinD）'!$B634="",'实盘净值数据(iFinD）'!$Z634="",'实盘净值数据(iFinD）'!$AA634=""),"",分期持仓明细!$AB$24*(SUMPRODUCT(分期持仓明细!$B$24:$Y$24,'实盘净值数据(iFinD）'!$B634:$Y634/'实盘净值数据(iFinD）'!$B$65:$Y$65)+SUMPRODUCT(分期持仓明细!$AC$24:$AD$24,'实盘净值数据(iFinD）'!$Z634:$AA634/'实盘净值数据(iFinD）'!$Z$65:$AA$65))*(1-实盘持仓初始配置!$Z$8)^(('实盘净值数据(iFinD）'!$A634-'实盘净值数据(iFinD）'!$A$5)/365))</f>
        <v/>
      </c>
      <c r="O634" s="16" t="str">
        <f t="shared" si="58"/>
        <v/>
      </c>
      <c r="P634" s="16" t="str">
        <f>IF(N634="","",N634/MAX(N$5:N634)-1)</f>
        <v/>
      </c>
      <c r="Q634" s="13" t="str">
        <f>IF(OR('实盘净值数据(iFinD）'!$A634="",'实盘净值数据(iFinD）'!$B634="",'实盘净值数据(iFinD）'!$Z634="",'实盘净值数据(iFinD）'!$AA634=""),"",分期持仓明细!$AB$25*(SUMPRODUCT(分期持仓明细!$B$25:$Y$25,'实盘净值数据(iFinD）'!$B634:$Y634/'实盘净值数据(iFinD）'!$B$65:$Y$65)+SUMPRODUCT(分期持仓明细!$AC$25:$AD$25,'实盘净值数据(iFinD）'!$Z634:$AA634/'实盘净值数据(iFinD）'!$Z$65:$AA$65))*(1-实盘持仓初始配置!$Z$9)^(('实盘净值数据(iFinD）'!$A634-'实盘净值数据(iFinD）'!$A$8)/365))</f>
        <v/>
      </c>
      <c r="R634" s="16" t="str">
        <f t="shared" si="59"/>
        <v/>
      </c>
      <c r="S634" s="16" t="str">
        <f>IF(Q634="","",Q634/MAX(Q$5:Q634)-1)</f>
        <v/>
      </c>
      <c r="T634" s="13">
        <f>IF(OR('实盘净值数据(iFinD）'!$A634="",'实盘净值数据(iFinD）'!$B634="",'实盘净值数据(iFinD）'!$Z634="",'实盘净值数据(iFinD）'!$AA634="",'实盘净值数据(iFinD）'!$AB634="",'实盘净值数据(iFinD）'!$AL634=""),"",(SUMPRODUCT(分期持仓明细!$B$26:$Y$26,'实盘净值数据(iFinD）'!$B634:$Y634/'实盘净值数据(iFinD）'!$B$69:$Y$69)+SUMPRODUCT(分期持仓明细!$AC$26:$AD$26,'实盘净值数据(iFinD）'!$Z634:$AA634/'实盘净值数据(iFinD）'!$Z$69:$AA$69)+SUMPRODUCT(分期持仓明细!$AE$26:$AO$26,'实盘净值数据(iFinD）'!$AB634:$AL634/'实盘净值数据(iFinD）'!$AB$69:$AL$69))*(1-实盘持仓初始配置!$Z$10)^(('实盘净值数据(iFinD）'!$A634-'实盘净值数据(iFinD）'!$A$69)/365))</f>
        <v/>
      </c>
      <c r="U634" s="16">
        <f>IF(OR(T633="",T634=""),"",T634/T633-1)</f>
        <v/>
      </c>
      <c r="V634" s="16">
        <f>IF(T634="","",T634/MAX(T$5:T634)-1)</f>
        <v/>
      </c>
    </row>
    <row r="635" spans="1:19">
      <c r="A635" s="15" t="str">
        <f>IF('实盘净值数据(iFinD）'!A635="","",'实盘净值数据(iFinD）'!A635)</f>
        <v/>
      </c>
      <c r="B635" s="13" t="str">
        <f>IF(OR('实盘净值数据(iFinD）'!$A635="",'实盘净值数据(iFinD）'!$B635=""),"",分期持仓明细!$AB$17*SUMPRODUCT(分期持仓明细!$B$17:$Y$17,'实盘净值数据(iFinD）'!$B635:$Y635/'实盘净值数据(iFinD）'!$B$20:$Y$20)*(1-实盘持仓初始配置!$Z$4)^(('实盘净值数据(iFinD）'!$A635-'实盘净值数据(iFinD）'!$A$6)/365))</f>
        <v/>
      </c>
      <c r="C635" s="16" t="str">
        <f t="shared" si="54"/>
        <v/>
      </c>
      <c r="D635" s="16" t="str">
        <f>IF(B635="","",B635/MAX(B$5:B635)-1)</f>
        <v/>
      </c>
      <c r="E635" s="13" t="str">
        <f>IF(OR('实盘净值数据(iFinD）'!$A635="",'实盘净值数据(iFinD）'!$B635=""),"",分期持仓明细!$AB$18*SUMPRODUCT(分期持仓明细!$B$18:$Y$18,'实盘净值数据(iFinD）'!$B635:$Y635/'实盘净值数据(iFinD）'!$B$20:$Y$20)*(1-实盘持仓初始配置!$Z$5)^(('实盘净值数据(iFinD）'!$A635-'实盘净值数据(iFinD）'!$A$5)/365))</f>
        <v/>
      </c>
      <c r="F635" s="16" t="str">
        <f t="shared" si="55"/>
        <v/>
      </c>
      <c r="G635" s="16" t="str">
        <f>IF(E635="","",E635/MAX(E$5:E635)-1)</f>
        <v/>
      </c>
      <c r="H635" s="13" t="str">
        <f>IF(OR('实盘净值数据(iFinD）'!$A635="",'实盘净值数据(iFinD）'!$B635=""),"",分期持仓明细!$AB$19*SUMPRODUCT(分期持仓明细!$B$19:$Y$19,'实盘净值数据(iFinD）'!$B635:$Y635/'实盘净值数据(iFinD）'!$B$20:$Y$20)*(1-实盘持仓初始配置!$Z$6)^(('实盘净值数据(iFinD）'!$A635-'实盘净值数据(iFinD）'!$A$7)/365))</f>
        <v/>
      </c>
      <c r="I635" s="16" t="str">
        <f t="shared" si="56"/>
        <v/>
      </c>
      <c r="J635" s="16" t="str">
        <f>IF(H635="","",H635/MAX(H$5:H635)-1)</f>
        <v/>
      </c>
      <c r="K635" s="13" t="str">
        <f>IF(OR('实盘净值数据(iFinD）'!$A635="",'实盘净值数据(iFinD）'!$B635="",'实盘净值数据(iFinD）'!$Z635="",'实盘净值数据(iFinD）'!$AA635=""),"",分期持仓明细!$AB$23*(SUMPRODUCT(分期持仓明细!$B$23:$Y$23,'实盘净值数据(iFinD）'!$B635:$Y635/'实盘净值数据(iFinD）'!$B$65:$Y$65)+SUMPRODUCT(分期持仓明细!$AC$23:$AD$23,'实盘净值数据(iFinD）'!$Z635:$AA635/'实盘净值数据(iFinD）'!$Z$65:$AA$65))*(1-实盘持仓初始配置!$Z$7)^(('实盘净值数据(iFinD）'!$A635-'实盘净值数据(iFinD）'!$A$8)/365))</f>
        <v/>
      </c>
      <c r="L635" s="16" t="str">
        <f t="shared" si="57"/>
        <v/>
      </c>
      <c r="M635" s="16" t="str">
        <f>IF(K635="","",K635/MAX(K$5:K635)-1)</f>
        <v/>
      </c>
      <c r="N635" s="13" t="str">
        <f>IF(OR('实盘净值数据(iFinD）'!$A635="",'实盘净值数据(iFinD）'!$B635="",'实盘净值数据(iFinD）'!$Z635="",'实盘净值数据(iFinD）'!$AA635=""),"",分期持仓明细!$AB$24*(SUMPRODUCT(分期持仓明细!$B$24:$Y$24,'实盘净值数据(iFinD）'!$B635:$Y635/'实盘净值数据(iFinD）'!$B$65:$Y$65)+SUMPRODUCT(分期持仓明细!$AC$24:$AD$24,'实盘净值数据(iFinD）'!$Z635:$AA635/'实盘净值数据(iFinD）'!$Z$65:$AA$65))*(1-实盘持仓初始配置!$Z$8)^(('实盘净值数据(iFinD）'!$A635-'实盘净值数据(iFinD）'!$A$5)/365))</f>
        <v/>
      </c>
      <c r="O635" s="16" t="str">
        <f t="shared" si="58"/>
        <v/>
      </c>
      <c r="P635" s="16" t="str">
        <f>IF(N635="","",N635/MAX(N$5:N635)-1)</f>
        <v/>
      </c>
      <c r="Q635" s="13" t="str">
        <f>IF(OR('实盘净值数据(iFinD）'!$A635="",'实盘净值数据(iFinD）'!$B635="",'实盘净值数据(iFinD）'!$Z635="",'实盘净值数据(iFinD）'!$AA635=""),"",分期持仓明细!$AB$25*(SUMPRODUCT(分期持仓明细!$B$25:$Y$25,'实盘净值数据(iFinD）'!$B635:$Y635/'实盘净值数据(iFinD）'!$B$65:$Y$65)+SUMPRODUCT(分期持仓明细!$AC$25:$AD$25,'实盘净值数据(iFinD）'!$Z635:$AA635/'实盘净值数据(iFinD）'!$Z$65:$AA$65))*(1-实盘持仓初始配置!$Z$9)^(('实盘净值数据(iFinD）'!$A635-'实盘净值数据(iFinD）'!$A$8)/365))</f>
        <v/>
      </c>
      <c r="R635" s="16" t="str">
        <f t="shared" si="59"/>
        <v/>
      </c>
      <c r="S635" s="16" t="str">
        <f>IF(Q635="","",Q635/MAX(Q$5:Q635)-1)</f>
        <v/>
      </c>
      <c r="T635" s="13">
        <f>IF(OR('实盘净值数据(iFinD）'!$A635="",'实盘净值数据(iFinD）'!$B635="",'实盘净值数据(iFinD）'!$Z635="",'实盘净值数据(iFinD）'!$AA635="",'实盘净值数据(iFinD）'!$AB635="",'实盘净值数据(iFinD）'!$AL635=""),"",(SUMPRODUCT(分期持仓明细!$B$26:$Y$26,'实盘净值数据(iFinD）'!$B635:$Y635/'实盘净值数据(iFinD）'!$B$69:$Y$69)+SUMPRODUCT(分期持仓明细!$AC$26:$AD$26,'实盘净值数据(iFinD）'!$Z635:$AA635/'实盘净值数据(iFinD）'!$Z$69:$AA$69)+SUMPRODUCT(分期持仓明细!$AE$26:$AO$26,'实盘净值数据(iFinD）'!$AB635:$AL635/'实盘净值数据(iFinD）'!$AB$69:$AL$69))*(1-实盘持仓初始配置!$Z$10)^(('实盘净值数据(iFinD）'!$A635-'实盘净值数据(iFinD）'!$A$69)/365))</f>
        <v/>
      </c>
      <c r="U635" s="16">
        <f>IF(OR(T634="",T635=""),"",T635/T634-1)</f>
        <v/>
      </c>
      <c r="V635" s="16">
        <f>IF(T635="","",T635/MAX(T$5:T635)-1)</f>
        <v/>
      </c>
    </row>
    <row r="636" spans="1:19">
      <c r="A636" s="15" t="str">
        <f>IF('实盘净值数据(iFinD）'!A636="","",'实盘净值数据(iFinD）'!A636)</f>
        <v/>
      </c>
      <c r="B636" s="13" t="str">
        <f>IF(OR('实盘净值数据(iFinD）'!$A636="",'实盘净值数据(iFinD）'!$B636=""),"",分期持仓明细!$AB$17*SUMPRODUCT(分期持仓明细!$B$17:$Y$17,'实盘净值数据(iFinD）'!$B636:$Y636/'实盘净值数据(iFinD）'!$B$20:$Y$20)*(1-实盘持仓初始配置!$Z$4)^(('实盘净值数据(iFinD）'!$A636-'实盘净值数据(iFinD）'!$A$6)/365))</f>
        <v/>
      </c>
      <c r="C636" s="16" t="str">
        <f t="shared" ref="C636:C699" si="60">IF(OR(B635="",B636=""),"",B636/B635-1)</f>
        <v/>
      </c>
      <c r="D636" s="16" t="str">
        <f>IF(B636="","",B636/MAX(B$5:B636)-1)</f>
        <v/>
      </c>
      <c r="E636" s="13" t="str">
        <f>IF(OR('实盘净值数据(iFinD）'!$A636="",'实盘净值数据(iFinD）'!$B636=""),"",分期持仓明细!$AB$18*SUMPRODUCT(分期持仓明细!$B$18:$Y$18,'实盘净值数据(iFinD）'!$B636:$Y636/'实盘净值数据(iFinD）'!$B$20:$Y$20)*(1-实盘持仓初始配置!$Z$5)^(('实盘净值数据(iFinD）'!$A636-'实盘净值数据(iFinD）'!$A$5)/365))</f>
        <v/>
      </c>
      <c r="F636" s="16" t="str">
        <f t="shared" ref="F636:F699" si="61">IF(OR(E635="",E636=""),"",E636/E635-1)</f>
        <v/>
      </c>
      <c r="G636" s="16" t="str">
        <f>IF(E636="","",E636/MAX(E$5:E636)-1)</f>
        <v/>
      </c>
      <c r="H636" s="13" t="str">
        <f>IF(OR('实盘净值数据(iFinD）'!$A636="",'实盘净值数据(iFinD）'!$B636=""),"",分期持仓明细!$AB$19*SUMPRODUCT(分期持仓明细!$B$19:$Y$19,'实盘净值数据(iFinD）'!$B636:$Y636/'实盘净值数据(iFinD）'!$B$20:$Y$20)*(1-实盘持仓初始配置!$Z$6)^(('实盘净值数据(iFinD）'!$A636-'实盘净值数据(iFinD）'!$A$7)/365))</f>
        <v/>
      </c>
      <c r="I636" s="16" t="str">
        <f t="shared" ref="I636:I699" si="62">IF(OR(H635="",H636=""),"",H636/H635-1)</f>
        <v/>
      </c>
      <c r="J636" s="16" t="str">
        <f>IF(H636="","",H636/MAX(H$5:H636)-1)</f>
        <v/>
      </c>
      <c r="K636" s="13" t="str">
        <f>IF(OR('实盘净值数据(iFinD）'!$A636="",'实盘净值数据(iFinD）'!$B636="",'实盘净值数据(iFinD）'!$Z636="",'实盘净值数据(iFinD）'!$AA636=""),"",分期持仓明细!$AB$23*(SUMPRODUCT(分期持仓明细!$B$23:$Y$23,'实盘净值数据(iFinD）'!$B636:$Y636/'实盘净值数据(iFinD）'!$B$65:$Y$65)+SUMPRODUCT(分期持仓明细!$AC$23:$AD$23,'实盘净值数据(iFinD）'!$Z636:$AA636/'实盘净值数据(iFinD）'!$Z$65:$AA$65))*(1-实盘持仓初始配置!$Z$7)^(('实盘净值数据(iFinD）'!$A636-'实盘净值数据(iFinD）'!$A$8)/365))</f>
        <v/>
      </c>
      <c r="L636" s="16" t="str">
        <f t="shared" ref="L636:L699" si="63">IF(OR(K635="",K636=""),"",K636/K635-1)</f>
        <v/>
      </c>
      <c r="M636" s="16" t="str">
        <f>IF(K636="","",K636/MAX(K$5:K636)-1)</f>
        <v/>
      </c>
      <c r="N636" s="13" t="str">
        <f>IF(OR('实盘净值数据(iFinD）'!$A636="",'实盘净值数据(iFinD）'!$B636="",'实盘净值数据(iFinD）'!$Z636="",'实盘净值数据(iFinD）'!$AA636=""),"",分期持仓明细!$AB$24*(SUMPRODUCT(分期持仓明细!$B$24:$Y$24,'实盘净值数据(iFinD）'!$B636:$Y636/'实盘净值数据(iFinD）'!$B$65:$Y$65)+SUMPRODUCT(分期持仓明细!$AC$24:$AD$24,'实盘净值数据(iFinD）'!$Z636:$AA636/'实盘净值数据(iFinD）'!$Z$65:$AA$65))*(1-实盘持仓初始配置!$Z$8)^(('实盘净值数据(iFinD）'!$A636-'实盘净值数据(iFinD）'!$A$5)/365))</f>
        <v/>
      </c>
      <c r="O636" s="16" t="str">
        <f t="shared" ref="O636:O699" si="64">IF(OR(N635="",N636=""),"",N636/N635-1)</f>
        <v/>
      </c>
      <c r="P636" s="16" t="str">
        <f>IF(N636="","",N636/MAX(N$5:N636)-1)</f>
        <v/>
      </c>
      <c r="Q636" s="13" t="str">
        <f>IF(OR('实盘净值数据(iFinD）'!$A636="",'实盘净值数据(iFinD）'!$B636="",'实盘净值数据(iFinD）'!$Z636="",'实盘净值数据(iFinD）'!$AA636=""),"",分期持仓明细!$AB$25*(SUMPRODUCT(分期持仓明细!$B$25:$Y$25,'实盘净值数据(iFinD）'!$B636:$Y636/'实盘净值数据(iFinD）'!$B$65:$Y$65)+SUMPRODUCT(分期持仓明细!$AC$25:$AD$25,'实盘净值数据(iFinD）'!$Z636:$AA636/'实盘净值数据(iFinD）'!$Z$65:$AA$65))*(1-实盘持仓初始配置!$Z$9)^(('实盘净值数据(iFinD）'!$A636-'实盘净值数据(iFinD）'!$A$8)/365))</f>
        <v/>
      </c>
      <c r="R636" s="16" t="str">
        <f t="shared" ref="R636:R699" si="65">IF(OR(Q635="",Q636=""),"",Q636/Q635-1)</f>
        <v/>
      </c>
      <c r="S636" s="16" t="str">
        <f>IF(Q636="","",Q636/MAX(Q$5:Q636)-1)</f>
        <v/>
      </c>
      <c r="T636" s="13">
        <f>IF(OR('实盘净值数据(iFinD）'!$A636="",'实盘净值数据(iFinD）'!$B636="",'实盘净值数据(iFinD）'!$Z636="",'实盘净值数据(iFinD）'!$AA636="",'实盘净值数据(iFinD）'!$AB636="",'实盘净值数据(iFinD）'!$AL636=""),"",(SUMPRODUCT(分期持仓明细!$B$26:$Y$26,'实盘净值数据(iFinD）'!$B636:$Y636/'实盘净值数据(iFinD）'!$B$69:$Y$69)+SUMPRODUCT(分期持仓明细!$AC$26:$AD$26,'实盘净值数据(iFinD）'!$Z636:$AA636/'实盘净值数据(iFinD）'!$Z$69:$AA$69)+SUMPRODUCT(分期持仓明细!$AE$26:$AO$26,'实盘净值数据(iFinD）'!$AB636:$AL636/'实盘净值数据(iFinD）'!$AB$69:$AL$69))*(1-实盘持仓初始配置!$Z$10)^(('实盘净值数据(iFinD）'!$A636-'实盘净值数据(iFinD）'!$A$69)/365))</f>
        <v/>
      </c>
      <c r="U636" s="16">
        <f>IF(OR(T635="",T636=""),"",T636/T635-1)</f>
        <v/>
      </c>
      <c r="V636" s="16">
        <f>IF(T636="","",T636/MAX(T$5:T636)-1)</f>
        <v/>
      </c>
    </row>
    <row r="637" spans="1:19">
      <c r="A637" s="15" t="str">
        <f>IF('实盘净值数据(iFinD）'!A637="","",'实盘净值数据(iFinD）'!A637)</f>
        <v/>
      </c>
      <c r="B637" s="13" t="str">
        <f>IF(OR('实盘净值数据(iFinD）'!$A637="",'实盘净值数据(iFinD）'!$B637=""),"",分期持仓明细!$AB$17*SUMPRODUCT(分期持仓明细!$B$17:$Y$17,'实盘净值数据(iFinD）'!$B637:$Y637/'实盘净值数据(iFinD）'!$B$20:$Y$20)*(1-实盘持仓初始配置!$Z$4)^(('实盘净值数据(iFinD）'!$A637-'实盘净值数据(iFinD）'!$A$6)/365))</f>
        <v/>
      </c>
      <c r="C637" s="16" t="str">
        <f t="shared" si="60"/>
        <v/>
      </c>
      <c r="D637" s="16" t="str">
        <f>IF(B637="","",B637/MAX(B$5:B637)-1)</f>
        <v/>
      </c>
      <c r="E637" s="13" t="str">
        <f>IF(OR('实盘净值数据(iFinD）'!$A637="",'实盘净值数据(iFinD）'!$B637=""),"",分期持仓明细!$AB$18*SUMPRODUCT(分期持仓明细!$B$18:$Y$18,'实盘净值数据(iFinD）'!$B637:$Y637/'实盘净值数据(iFinD）'!$B$20:$Y$20)*(1-实盘持仓初始配置!$Z$5)^(('实盘净值数据(iFinD）'!$A637-'实盘净值数据(iFinD）'!$A$5)/365))</f>
        <v/>
      </c>
      <c r="F637" s="16" t="str">
        <f t="shared" si="61"/>
        <v/>
      </c>
      <c r="G637" s="16" t="str">
        <f>IF(E637="","",E637/MAX(E$5:E637)-1)</f>
        <v/>
      </c>
      <c r="H637" s="13" t="str">
        <f>IF(OR('实盘净值数据(iFinD）'!$A637="",'实盘净值数据(iFinD）'!$B637=""),"",分期持仓明细!$AB$19*SUMPRODUCT(分期持仓明细!$B$19:$Y$19,'实盘净值数据(iFinD）'!$B637:$Y637/'实盘净值数据(iFinD）'!$B$20:$Y$20)*(1-实盘持仓初始配置!$Z$6)^(('实盘净值数据(iFinD）'!$A637-'实盘净值数据(iFinD）'!$A$7)/365))</f>
        <v/>
      </c>
      <c r="I637" s="16" t="str">
        <f t="shared" si="62"/>
        <v/>
      </c>
      <c r="J637" s="16" t="str">
        <f>IF(H637="","",H637/MAX(H$5:H637)-1)</f>
        <v/>
      </c>
      <c r="K637" s="13" t="str">
        <f>IF(OR('实盘净值数据(iFinD）'!$A637="",'实盘净值数据(iFinD）'!$B637="",'实盘净值数据(iFinD）'!$Z637="",'实盘净值数据(iFinD）'!$AA637=""),"",分期持仓明细!$AB$23*(SUMPRODUCT(分期持仓明细!$B$23:$Y$23,'实盘净值数据(iFinD）'!$B637:$Y637/'实盘净值数据(iFinD）'!$B$65:$Y$65)+SUMPRODUCT(分期持仓明细!$AC$23:$AD$23,'实盘净值数据(iFinD）'!$Z637:$AA637/'实盘净值数据(iFinD）'!$Z$65:$AA$65))*(1-实盘持仓初始配置!$Z$7)^(('实盘净值数据(iFinD）'!$A637-'实盘净值数据(iFinD）'!$A$8)/365))</f>
        <v/>
      </c>
      <c r="L637" s="16" t="str">
        <f t="shared" si="63"/>
        <v/>
      </c>
      <c r="M637" s="16" t="str">
        <f>IF(K637="","",K637/MAX(K$5:K637)-1)</f>
        <v/>
      </c>
      <c r="N637" s="13" t="str">
        <f>IF(OR('实盘净值数据(iFinD）'!$A637="",'实盘净值数据(iFinD）'!$B637="",'实盘净值数据(iFinD）'!$Z637="",'实盘净值数据(iFinD）'!$AA637=""),"",分期持仓明细!$AB$24*(SUMPRODUCT(分期持仓明细!$B$24:$Y$24,'实盘净值数据(iFinD）'!$B637:$Y637/'实盘净值数据(iFinD）'!$B$65:$Y$65)+SUMPRODUCT(分期持仓明细!$AC$24:$AD$24,'实盘净值数据(iFinD）'!$Z637:$AA637/'实盘净值数据(iFinD）'!$Z$65:$AA$65))*(1-实盘持仓初始配置!$Z$8)^(('实盘净值数据(iFinD）'!$A637-'实盘净值数据(iFinD）'!$A$5)/365))</f>
        <v/>
      </c>
      <c r="O637" s="16" t="str">
        <f t="shared" si="64"/>
        <v/>
      </c>
      <c r="P637" s="16" t="str">
        <f>IF(N637="","",N637/MAX(N$5:N637)-1)</f>
        <v/>
      </c>
      <c r="Q637" s="13" t="str">
        <f>IF(OR('实盘净值数据(iFinD）'!$A637="",'实盘净值数据(iFinD）'!$B637="",'实盘净值数据(iFinD）'!$Z637="",'实盘净值数据(iFinD）'!$AA637=""),"",分期持仓明细!$AB$25*(SUMPRODUCT(分期持仓明细!$B$25:$Y$25,'实盘净值数据(iFinD）'!$B637:$Y637/'实盘净值数据(iFinD）'!$B$65:$Y$65)+SUMPRODUCT(分期持仓明细!$AC$25:$AD$25,'实盘净值数据(iFinD）'!$Z637:$AA637/'实盘净值数据(iFinD）'!$Z$65:$AA$65))*(1-实盘持仓初始配置!$Z$9)^(('实盘净值数据(iFinD）'!$A637-'实盘净值数据(iFinD）'!$A$8)/365))</f>
        <v/>
      </c>
      <c r="R637" s="16" t="str">
        <f t="shared" si="65"/>
        <v/>
      </c>
      <c r="S637" s="16" t="str">
        <f>IF(Q637="","",Q637/MAX(Q$5:Q637)-1)</f>
        <v/>
      </c>
      <c r="T637" s="13">
        <f>IF(OR('实盘净值数据(iFinD）'!$A637="",'实盘净值数据(iFinD）'!$B637="",'实盘净值数据(iFinD）'!$Z637="",'实盘净值数据(iFinD）'!$AA637="",'实盘净值数据(iFinD）'!$AB637="",'实盘净值数据(iFinD）'!$AL637=""),"",(SUMPRODUCT(分期持仓明细!$B$26:$Y$26,'实盘净值数据(iFinD）'!$B637:$Y637/'实盘净值数据(iFinD）'!$B$69:$Y$69)+SUMPRODUCT(分期持仓明细!$AC$26:$AD$26,'实盘净值数据(iFinD）'!$Z637:$AA637/'实盘净值数据(iFinD）'!$Z$69:$AA$69)+SUMPRODUCT(分期持仓明细!$AE$26:$AO$26,'实盘净值数据(iFinD）'!$AB637:$AL637/'实盘净值数据(iFinD）'!$AB$69:$AL$69))*(1-实盘持仓初始配置!$Z$10)^(('实盘净值数据(iFinD）'!$A637-'实盘净值数据(iFinD）'!$A$69)/365))</f>
        <v/>
      </c>
      <c r="U637" s="16">
        <f>IF(OR(T636="",T637=""),"",T637/T636-1)</f>
        <v/>
      </c>
      <c r="V637" s="16">
        <f>IF(T637="","",T637/MAX(T$5:T637)-1)</f>
        <v/>
      </c>
    </row>
    <row r="638" spans="1:19">
      <c r="A638" s="15" t="str">
        <f>IF('实盘净值数据(iFinD）'!A638="","",'实盘净值数据(iFinD）'!A638)</f>
        <v/>
      </c>
      <c r="B638" s="13" t="str">
        <f>IF(OR('实盘净值数据(iFinD）'!$A638="",'实盘净值数据(iFinD）'!$B638=""),"",分期持仓明细!$AB$17*SUMPRODUCT(分期持仓明细!$B$17:$Y$17,'实盘净值数据(iFinD）'!$B638:$Y638/'实盘净值数据(iFinD）'!$B$20:$Y$20)*(1-实盘持仓初始配置!$Z$4)^(('实盘净值数据(iFinD）'!$A638-'实盘净值数据(iFinD）'!$A$6)/365))</f>
        <v/>
      </c>
      <c r="C638" s="16" t="str">
        <f t="shared" si="60"/>
        <v/>
      </c>
      <c r="D638" s="16" t="str">
        <f>IF(B638="","",B638/MAX(B$5:B638)-1)</f>
        <v/>
      </c>
      <c r="E638" s="13" t="str">
        <f>IF(OR('实盘净值数据(iFinD）'!$A638="",'实盘净值数据(iFinD）'!$B638=""),"",分期持仓明细!$AB$18*SUMPRODUCT(分期持仓明细!$B$18:$Y$18,'实盘净值数据(iFinD）'!$B638:$Y638/'实盘净值数据(iFinD）'!$B$20:$Y$20)*(1-实盘持仓初始配置!$Z$5)^(('实盘净值数据(iFinD）'!$A638-'实盘净值数据(iFinD）'!$A$5)/365))</f>
        <v/>
      </c>
      <c r="F638" s="16" t="str">
        <f t="shared" si="61"/>
        <v/>
      </c>
      <c r="G638" s="16" t="str">
        <f>IF(E638="","",E638/MAX(E$5:E638)-1)</f>
        <v/>
      </c>
      <c r="H638" s="13" t="str">
        <f>IF(OR('实盘净值数据(iFinD）'!$A638="",'实盘净值数据(iFinD）'!$B638=""),"",分期持仓明细!$AB$19*SUMPRODUCT(分期持仓明细!$B$19:$Y$19,'实盘净值数据(iFinD）'!$B638:$Y638/'实盘净值数据(iFinD）'!$B$20:$Y$20)*(1-实盘持仓初始配置!$Z$6)^(('实盘净值数据(iFinD）'!$A638-'实盘净值数据(iFinD）'!$A$7)/365))</f>
        <v/>
      </c>
      <c r="I638" s="16" t="str">
        <f t="shared" si="62"/>
        <v/>
      </c>
      <c r="J638" s="16" t="str">
        <f>IF(H638="","",H638/MAX(H$5:H638)-1)</f>
        <v/>
      </c>
      <c r="K638" s="13" t="str">
        <f>IF(OR('实盘净值数据(iFinD）'!$A638="",'实盘净值数据(iFinD）'!$B638="",'实盘净值数据(iFinD）'!$Z638="",'实盘净值数据(iFinD）'!$AA638=""),"",分期持仓明细!$AB$23*(SUMPRODUCT(分期持仓明细!$B$23:$Y$23,'实盘净值数据(iFinD）'!$B638:$Y638/'实盘净值数据(iFinD）'!$B$65:$Y$65)+SUMPRODUCT(分期持仓明细!$AC$23:$AD$23,'实盘净值数据(iFinD）'!$Z638:$AA638/'实盘净值数据(iFinD）'!$Z$65:$AA$65))*(1-实盘持仓初始配置!$Z$7)^(('实盘净值数据(iFinD）'!$A638-'实盘净值数据(iFinD）'!$A$8)/365))</f>
        <v/>
      </c>
      <c r="L638" s="16" t="str">
        <f t="shared" si="63"/>
        <v/>
      </c>
      <c r="M638" s="16" t="str">
        <f>IF(K638="","",K638/MAX(K$5:K638)-1)</f>
        <v/>
      </c>
      <c r="N638" s="13" t="str">
        <f>IF(OR('实盘净值数据(iFinD）'!$A638="",'实盘净值数据(iFinD）'!$B638="",'实盘净值数据(iFinD）'!$Z638="",'实盘净值数据(iFinD）'!$AA638=""),"",分期持仓明细!$AB$24*(SUMPRODUCT(分期持仓明细!$B$24:$Y$24,'实盘净值数据(iFinD）'!$B638:$Y638/'实盘净值数据(iFinD）'!$B$65:$Y$65)+SUMPRODUCT(分期持仓明细!$AC$24:$AD$24,'实盘净值数据(iFinD）'!$Z638:$AA638/'实盘净值数据(iFinD）'!$Z$65:$AA$65))*(1-实盘持仓初始配置!$Z$8)^(('实盘净值数据(iFinD）'!$A638-'实盘净值数据(iFinD）'!$A$5)/365))</f>
        <v/>
      </c>
      <c r="O638" s="16" t="str">
        <f t="shared" si="64"/>
        <v/>
      </c>
      <c r="P638" s="16" t="str">
        <f>IF(N638="","",N638/MAX(N$5:N638)-1)</f>
        <v/>
      </c>
      <c r="Q638" s="13" t="str">
        <f>IF(OR('实盘净值数据(iFinD）'!$A638="",'实盘净值数据(iFinD）'!$B638="",'实盘净值数据(iFinD）'!$Z638="",'实盘净值数据(iFinD）'!$AA638=""),"",分期持仓明细!$AB$25*(SUMPRODUCT(分期持仓明细!$B$25:$Y$25,'实盘净值数据(iFinD）'!$B638:$Y638/'实盘净值数据(iFinD）'!$B$65:$Y$65)+SUMPRODUCT(分期持仓明细!$AC$25:$AD$25,'实盘净值数据(iFinD）'!$Z638:$AA638/'实盘净值数据(iFinD）'!$Z$65:$AA$65))*(1-实盘持仓初始配置!$Z$9)^(('实盘净值数据(iFinD）'!$A638-'实盘净值数据(iFinD）'!$A$8)/365))</f>
        <v/>
      </c>
      <c r="R638" s="16" t="str">
        <f t="shared" si="65"/>
        <v/>
      </c>
      <c r="S638" s="16" t="str">
        <f>IF(Q638="","",Q638/MAX(Q$5:Q638)-1)</f>
        <v/>
      </c>
      <c r="T638" s="13">
        <f>IF(OR('实盘净值数据(iFinD）'!$A638="",'实盘净值数据(iFinD）'!$B638="",'实盘净值数据(iFinD）'!$Z638="",'实盘净值数据(iFinD）'!$AA638="",'实盘净值数据(iFinD）'!$AB638="",'实盘净值数据(iFinD）'!$AL638=""),"",(SUMPRODUCT(分期持仓明细!$B$26:$Y$26,'实盘净值数据(iFinD）'!$B638:$Y638/'实盘净值数据(iFinD）'!$B$69:$Y$69)+SUMPRODUCT(分期持仓明细!$AC$26:$AD$26,'实盘净值数据(iFinD）'!$Z638:$AA638/'实盘净值数据(iFinD）'!$Z$69:$AA$69)+SUMPRODUCT(分期持仓明细!$AE$26:$AO$26,'实盘净值数据(iFinD）'!$AB638:$AL638/'实盘净值数据(iFinD）'!$AB$69:$AL$69))*(1-实盘持仓初始配置!$Z$10)^(('实盘净值数据(iFinD）'!$A638-'实盘净值数据(iFinD）'!$A$69)/365))</f>
        <v/>
      </c>
      <c r="U638" s="16">
        <f>IF(OR(T637="",T638=""),"",T638/T637-1)</f>
        <v/>
      </c>
      <c r="V638" s="16">
        <f>IF(T638="","",T638/MAX(T$5:T638)-1)</f>
        <v/>
      </c>
    </row>
    <row r="639" spans="1:19">
      <c r="A639" s="15" t="str">
        <f>IF('实盘净值数据(iFinD）'!A639="","",'实盘净值数据(iFinD）'!A639)</f>
        <v/>
      </c>
      <c r="B639" s="13" t="str">
        <f>IF(OR('实盘净值数据(iFinD）'!$A639="",'实盘净值数据(iFinD）'!$B639=""),"",分期持仓明细!$AB$17*SUMPRODUCT(分期持仓明细!$B$17:$Y$17,'实盘净值数据(iFinD）'!$B639:$Y639/'实盘净值数据(iFinD）'!$B$20:$Y$20)*(1-实盘持仓初始配置!$Z$4)^(('实盘净值数据(iFinD）'!$A639-'实盘净值数据(iFinD）'!$A$6)/365))</f>
        <v/>
      </c>
      <c r="C639" s="16" t="str">
        <f t="shared" si="60"/>
        <v/>
      </c>
      <c r="D639" s="16" t="str">
        <f>IF(B639="","",B639/MAX(B$5:B639)-1)</f>
        <v/>
      </c>
      <c r="E639" s="13" t="str">
        <f>IF(OR('实盘净值数据(iFinD）'!$A639="",'实盘净值数据(iFinD）'!$B639=""),"",分期持仓明细!$AB$18*SUMPRODUCT(分期持仓明细!$B$18:$Y$18,'实盘净值数据(iFinD）'!$B639:$Y639/'实盘净值数据(iFinD）'!$B$20:$Y$20)*(1-实盘持仓初始配置!$Z$5)^(('实盘净值数据(iFinD）'!$A639-'实盘净值数据(iFinD）'!$A$5)/365))</f>
        <v/>
      </c>
      <c r="F639" s="16" t="str">
        <f t="shared" si="61"/>
        <v/>
      </c>
      <c r="G639" s="16" t="str">
        <f>IF(E639="","",E639/MAX(E$5:E639)-1)</f>
        <v/>
      </c>
      <c r="H639" s="13" t="str">
        <f>IF(OR('实盘净值数据(iFinD）'!$A639="",'实盘净值数据(iFinD）'!$B639=""),"",分期持仓明细!$AB$19*SUMPRODUCT(分期持仓明细!$B$19:$Y$19,'实盘净值数据(iFinD）'!$B639:$Y639/'实盘净值数据(iFinD）'!$B$20:$Y$20)*(1-实盘持仓初始配置!$Z$6)^(('实盘净值数据(iFinD）'!$A639-'实盘净值数据(iFinD）'!$A$7)/365))</f>
        <v/>
      </c>
      <c r="I639" s="16" t="str">
        <f t="shared" si="62"/>
        <v/>
      </c>
      <c r="J639" s="16" t="str">
        <f>IF(H639="","",H639/MAX(H$5:H639)-1)</f>
        <v/>
      </c>
      <c r="K639" s="13" t="str">
        <f>IF(OR('实盘净值数据(iFinD）'!$A639="",'实盘净值数据(iFinD）'!$B639="",'实盘净值数据(iFinD）'!$Z639="",'实盘净值数据(iFinD）'!$AA639=""),"",分期持仓明细!$AB$23*(SUMPRODUCT(分期持仓明细!$B$23:$Y$23,'实盘净值数据(iFinD）'!$B639:$Y639/'实盘净值数据(iFinD）'!$B$65:$Y$65)+SUMPRODUCT(分期持仓明细!$AC$23:$AD$23,'实盘净值数据(iFinD）'!$Z639:$AA639/'实盘净值数据(iFinD）'!$Z$65:$AA$65))*(1-实盘持仓初始配置!$Z$7)^(('实盘净值数据(iFinD）'!$A639-'实盘净值数据(iFinD）'!$A$8)/365))</f>
        <v/>
      </c>
      <c r="L639" s="16" t="str">
        <f t="shared" si="63"/>
        <v/>
      </c>
      <c r="M639" s="16" t="str">
        <f>IF(K639="","",K639/MAX(K$5:K639)-1)</f>
        <v/>
      </c>
      <c r="N639" s="13" t="str">
        <f>IF(OR('实盘净值数据(iFinD）'!$A639="",'实盘净值数据(iFinD）'!$B639="",'实盘净值数据(iFinD）'!$Z639="",'实盘净值数据(iFinD）'!$AA639=""),"",分期持仓明细!$AB$24*(SUMPRODUCT(分期持仓明细!$B$24:$Y$24,'实盘净值数据(iFinD）'!$B639:$Y639/'实盘净值数据(iFinD）'!$B$65:$Y$65)+SUMPRODUCT(分期持仓明细!$AC$24:$AD$24,'实盘净值数据(iFinD）'!$Z639:$AA639/'实盘净值数据(iFinD）'!$Z$65:$AA$65))*(1-实盘持仓初始配置!$Z$8)^(('实盘净值数据(iFinD）'!$A639-'实盘净值数据(iFinD）'!$A$5)/365))</f>
        <v/>
      </c>
      <c r="O639" s="16" t="str">
        <f t="shared" si="64"/>
        <v/>
      </c>
      <c r="P639" s="16" t="str">
        <f>IF(N639="","",N639/MAX(N$5:N639)-1)</f>
        <v/>
      </c>
      <c r="Q639" s="13" t="str">
        <f>IF(OR('实盘净值数据(iFinD）'!$A639="",'实盘净值数据(iFinD）'!$B639="",'实盘净值数据(iFinD）'!$Z639="",'实盘净值数据(iFinD）'!$AA639=""),"",分期持仓明细!$AB$25*(SUMPRODUCT(分期持仓明细!$B$25:$Y$25,'实盘净值数据(iFinD）'!$B639:$Y639/'实盘净值数据(iFinD）'!$B$65:$Y$65)+SUMPRODUCT(分期持仓明细!$AC$25:$AD$25,'实盘净值数据(iFinD）'!$Z639:$AA639/'实盘净值数据(iFinD）'!$Z$65:$AA$65))*(1-实盘持仓初始配置!$Z$9)^(('实盘净值数据(iFinD）'!$A639-'实盘净值数据(iFinD）'!$A$8)/365))</f>
        <v/>
      </c>
      <c r="R639" s="16" t="str">
        <f t="shared" si="65"/>
        <v/>
      </c>
      <c r="S639" s="16" t="str">
        <f>IF(Q639="","",Q639/MAX(Q$5:Q639)-1)</f>
        <v/>
      </c>
      <c r="T639" s="13">
        <f>IF(OR('实盘净值数据(iFinD）'!$A639="",'实盘净值数据(iFinD）'!$B639="",'实盘净值数据(iFinD）'!$Z639="",'实盘净值数据(iFinD）'!$AA639="",'实盘净值数据(iFinD）'!$AB639="",'实盘净值数据(iFinD）'!$AL639=""),"",(SUMPRODUCT(分期持仓明细!$B$26:$Y$26,'实盘净值数据(iFinD）'!$B639:$Y639/'实盘净值数据(iFinD）'!$B$69:$Y$69)+SUMPRODUCT(分期持仓明细!$AC$26:$AD$26,'实盘净值数据(iFinD）'!$Z639:$AA639/'实盘净值数据(iFinD）'!$Z$69:$AA$69)+SUMPRODUCT(分期持仓明细!$AE$26:$AO$26,'实盘净值数据(iFinD）'!$AB639:$AL639/'实盘净值数据(iFinD）'!$AB$69:$AL$69))*(1-实盘持仓初始配置!$Z$10)^(('实盘净值数据(iFinD）'!$A639-'实盘净值数据(iFinD）'!$A$69)/365))</f>
        <v/>
      </c>
      <c r="U639" s="16">
        <f>IF(OR(T638="",T639=""),"",T639/T638-1)</f>
        <v/>
      </c>
      <c r="V639" s="16">
        <f>IF(T639="","",T639/MAX(T$5:T639)-1)</f>
        <v/>
      </c>
    </row>
    <row r="640" spans="1:19">
      <c r="A640" s="15" t="str">
        <f>IF('实盘净值数据(iFinD）'!A640="","",'实盘净值数据(iFinD）'!A640)</f>
        <v/>
      </c>
      <c r="B640" s="13" t="str">
        <f>IF(OR('实盘净值数据(iFinD）'!$A640="",'实盘净值数据(iFinD）'!$B640=""),"",分期持仓明细!$AB$17*SUMPRODUCT(分期持仓明细!$B$17:$Y$17,'实盘净值数据(iFinD）'!$B640:$Y640/'实盘净值数据(iFinD）'!$B$20:$Y$20)*(1-实盘持仓初始配置!$Z$4)^(('实盘净值数据(iFinD）'!$A640-'实盘净值数据(iFinD）'!$A$6)/365))</f>
        <v/>
      </c>
      <c r="C640" s="16" t="str">
        <f t="shared" si="60"/>
        <v/>
      </c>
      <c r="D640" s="16" t="str">
        <f>IF(B640="","",B640/MAX(B$5:B640)-1)</f>
        <v/>
      </c>
      <c r="E640" s="13" t="str">
        <f>IF(OR('实盘净值数据(iFinD）'!$A640="",'实盘净值数据(iFinD）'!$B640=""),"",分期持仓明细!$AB$18*SUMPRODUCT(分期持仓明细!$B$18:$Y$18,'实盘净值数据(iFinD）'!$B640:$Y640/'实盘净值数据(iFinD）'!$B$20:$Y$20)*(1-实盘持仓初始配置!$Z$5)^(('实盘净值数据(iFinD）'!$A640-'实盘净值数据(iFinD）'!$A$5)/365))</f>
        <v/>
      </c>
      <c r="F640" s="16" t="str">
        <f t="shared" si="61"/>
        <v/>
      </c>
      <c r="G640" s="16" t="str">
        <f>IF(E640="","",E640/MAX(E$5:E640)-1)</f>
        <v/>
      </c>
      <c r="H640" s="13" t="str">
        <f>IF(OR('实盘净值数据(iFinD）'!$A640="",'实盘净值数据(iFinD）'!$B640=""),"",分期持仓明细!$AB$19*SUMPRODUCT(分期持仓明细!$B$19:$Y$19,'实盘净值数据(iFinD）'!$B640:$Y640/'实盘净值数据(iFinD）'!$B$20:$Y$20)*(1-实盘持仓初始配置!$Z$6)^(('实盘净值数据(iFinD）'!$A640-'实盘净值数据(iFinD）'!$A$7)/365))</f>
        <v/>
      </c>
      <c r="I640" s="16" t="str">
        <f t="shared" si="62"/>
        <v/>
      </c>
      <c r="J640" s="16" t="str">
        <f>IF(H640="","",H640/MAX(H$5:H640)-1)</f>
        <v/>
      </c>
      <c r="K640" s="13" t="str">
        <f>IF(OR('实盘净值数据(iFinD）'!$A640="",'实盘净值数据(iFinD）'!$B640="",'实盘净值数据(iFinD）'!$Z640="",'实盘净值数据(iFinD）'!$AA640=""),"",分期持仓明细!$AB$23*(SUMPRODUCT(分期持仓明细!$B$23:$Y$23,'实盘净值数据(iFinD）'!$B640:$Y640/'实盘净值数据(iFinD）'!$B$65:$Y$65)+SUMPRODUCT(分期持仓明细!$AC$23:$AD$23,'实盘净值数据(iFinD）'!$Z640:$AA640/'实盘净值数据(iFinD）'!$Z$65:$AA$65))*(1-实盘持仓初始配置!$Z$7)^(('实盘净值数据(iFinD）'!$A640-'实盘净值数据(iFinD）'!$A$8)/365))</f>
        <v/>
      </c>
      <c r="L640" s="16" t="str">
        <f t="shared" si="63"/>
        <v/>
      </c>
      <c r="M640" s="16" t="str">
        <f>IF(K640="","",K640/MAX(K$5:K640)-1)</f>
        <v/>
      </c>
      <c r="N640" s="13" t="str">
        <f>IF(OR('实盘净值数据(iFinD）'!$A640="",'实盘净值数据(iFinD）'!$B640="",'实盘净值数据(iFinD）'!$Z640="",'实盘净值数据(iFinD）'!$AA640=""),"",分期持仓明细!$AB$24*(SUMPRODUCT(分期持仓明细!$B$24:$Y$24,'实盘净值数据(iFinD）'!$B640:$Y640/'实盘净值数据(iFinD）'!$B$65:$Y$65)+SUMPRODUCT(分期持仓明细!$AC$24:$AD$24,'实盘净值数据(iFinD）'!$Z640:$AA640/'实盘净值数据(iFinD）'!$Z$65:$AA$65))*(1-实盘持仓初始配置!$Z$8)^(('实盘净值数据(iFinD）'!$A640-'实盘净值数据(iFinD）'!$A$5)/365))</f>
        <v/>
      </c>
      <c r="O640" s="16" t="str">
        <f t="shared" si="64"/>
        <v/>
      </c>
      <c r="P640" s="16" t="str">
        <f>IF(N640="","",N640/MAX(N$5:N640)-1)</f>
        <v/>
      </c>
      <c r="Q640" s="13" t="str">
        <f>IF(OR('实盘净值数据(iFinD）'!$A640="",'实盘净值数据(iFinD）'!$B640="",'实盘净值数据(iFinD）'!$Z640="",'实盘净值数据(iFinD）'!$AA640=""),"",分期持仓明细!$AB$25*(SUMPRODUCT(分期持仓明细!$B$25:$Y$25,'实盘净值数据(iFinD）'!$B640:$Y640/'实盘净值数据(iFinD）'!$B$65:$Y$65)+SUMPRODUCT(分期持仓明细!$AC$25:$AD$25,'实盘净值数据(iFinD）'!$Z640:$AA640/'实盘净值数据(iFinD）'!$Z$65:$AA$65))*(1-实盘持仓初始配置!$Z$9)^(('实盘净值数据(iFinD）'!$A640-'实盘净值数据(iFinD）'!$A$8)/365))</f>
        <v/>
      </c>
      <c r="R640" s="16" t="str">
        <f t="shared" si="65"/>
        <v/>
      </c>
      <c r="S640" s="16" t="str">
        <f>IF(Q640="","",Q640/MAX(Q$5:Q640)-1)</f>
        <v/>
      </c>
      <c r="T640" s="13">
        <f>IF(OR('实盘净值数据(iFinD）'!$A640="",'实盘净值数据(iFinD）'!$B640="",'实盘净值数据(iFinD）'!$Z640="",'实盘净值数据(iFinD）'!$AA640="",'实盘净值数据(iFinD）'!$AB640="",'实盘净值数据(iFinD）'!$AL640=""),"",(SUMPRODUCT(分期持仓明细!$B$26:$Y$26,'实盘净值数据(iFinD）'!$B640:$Y640/'实盘净值数据(iFinD）'!$B$69:$Y$69)+SUMPRODUCT(分期持仓明细!$AC$26:$AD$26,'实盘净值数据(iFinD）'!$Z640:$AA640/'实盘净值数据(iFinD）'!$Z$69:$AA$69)+SUMPRODUCT(分期持仓明细!$AE$26:$AO$26,'实盘净值数据(iFinD）'!$AB640:$AL640/'实盘净值数据(iFinD）'!$AB$69:$AL$69))*(1-实盘持仓初始配置!$Z$10)^(('实盘净值数据(iFinD）'!$A640-'实盘净值数据(iFinD）'!$A$69)/365))</f>
        <v/>
      </c>
      <c r="U640" s="16">
        <f>IF(OR(T639="",T640=""),"",T640/T639-1)</f>
        <v/>
      </c>
      <c r="V640" s="16">
        <f>IF(T640="","",T640/MAX(T$5:T640)-1)</f>
        <v/>
      </c>
    </row>
    <row r="641" spans="1:19">
      <c r="A641" s="15" t="str">
        <f>IF('实盘净值数据(iFinD）'!A641="","",'实盘净值数据(iFinD）'!A641)</f>
        <v/>
      </c>
      <c r="B641" s="13" t="str">
        <f>IF(OR('实盘净值数据(iFinD）'!$A641="",'实盘净值数据(iFinD）'!$B641=""),"",分期持仓明细!$AB$17*SUMPRODUCT(分期持仓明细!$B$17:$Y$17,'实盘净值数据(iFinD）'!$B641:$Y641/'实盘净值数据(iFinD）'!$B$20:$Y$20)*(1-实盘持仓初始配置!$Z$4)^(('实盘净值数据(iFinD）'!$A641-'实盘净值数据(iFinD）'!$A$6)/365))</f>
        <v/>
      </c>
      <c r="C641" s="16" t="str">
        <f t="shared" si="60"/>
        <v/>
      </c>
      <c r="D641" s="16" t="str">
        <f>IF(B641="","",B641/MAX(B$5:B641)-1)</f>
        <v/>
      </c>
      <c r="E641" s="13" t="str">
        <f>IF(OR('实盘净值数据(iFinD）'!$A641="",'实盘净值数据(iFinD）'!$B641=""),"",分期持仓明细!$AB$18*SUMPRODUCT(分期持仓明细!$B$18:$Y$18,'实盘净值数据(iFinD）'!$B641:$Y641/'实盘净值数据(iFinD）'!$B$20:$Y$20)*(1-实盘持仓初始配置!$Z$5)^(('实盘净值数据(iFinD）'!$A641-'实盘净值数据(iFinD）'!$A$5)/365))</f>
        <v/>
      </c>
      <c r="F641" s="16" t="str">
        <f t="shared" si="61"/>
        <v/>
      </c>
      <c r="G641" s="16" t="str">
        <f>IF(E641="","",E641/MAX(E$5:E641)-1)</f>
        <v/>
      </c>
      <c r="H641" s="13" t="str">
        <f>IF(OR('实盘净值数据(iFinD）'!$A641="",'实盘净值数据(iFinD）'!$B641=""),"",分期持仓明细!$AB$19*SUMPRODUCT(分期持仓明细!$B$19:$Y$19,'实盘净值数据(iFinD）'!$B641:$Y641/'实盘净值数据(iFinD）'!$B$20:$Y$20)*(1-实盘持仓初始配置!$Z$6)^(('实盘净值数据(iFinD）'!$A641-'实盘净值数据(iFinD）'!$A$7)/365))</f>
        <v/>
      </c>
      <c r="I641" s="16" t="str">
        <f t="shared" si="62"/>
        <v/>
      </c>
      <c r="J641" s="16" t="str">
        <f>IF(H641="","",H641/MAX(H$5:H641)-1)</f>
        <v/>
      </c>
      <c r="K641" s="13" t="str">
        <f>IF(OR('实盘净值数据(iFinD）'!$A641="",'实盘净值数据(iFinD）'!$B641="",'实盘净值数据(iFinD）'!$Z641="",'实盘净值数据(iFinD）'!$AA641=""),"",分期持仓明细!$AB$23*(SUMPRODUCT(分期持仓明细!$B$23:$Y$23,'实盘净值数据(iFinD）'!$B641:$Y641/'实盘净值数据(iFinD）'!$B$65:$Y$65)+SUMPRODUCT(分期持仓明细!$AC$23:$AD$23,'实盘净值数据(iFinD）'!$Z641:$AA641/'实盘净值数据(iFinD）'!$Z$65:$AA$65))*(1-实盘持仓初始配置!$Z$7)^(('实盘净值数据(iFinD）'!$A641-'实盘净值数据(iFinD）'!$A$8)/365))</f>
        <v/>
      </c>
      <c r="L641" s="16" t="str">
        <f t="shared" si="63"/>
        <v/>
      </c>
      <c r="M641" s="16" t="str">
        <f>IF(K641="","",K641/MAX(K$5:K641)-1)</f>
        <v/>
      </c>
      <c r="N641" s="13" t="str">
        <f>IF(OR('实盘净值数据(iFinD）'!$A641="",'实盘净值数据(iFinD）'!$B641="",'实盘净值数据(iFinD）'!$Z641="",'实盘净值数据(iFinD）'!$AA641=""),"",分期持仓明细!$AB$24*(SUMPRODUCT(分期持仓明细!$B$24:$Y$24,'实盘净值数据(iFinD）'!$B641:$Y641/'实盘净值数据(iFinD）'!$B$65:$Y$65)+SUMPRODUCT(分期持仓明细!$AC$24:$AD$24,'实盘净值数据(iFinD）'!$Z641:$AA641/'实盘净值数据(iFinD）'!$Z$65:$AA$65))*(1-实盘持仓初始配置!$Z$8)^(('实盘净值数据(iFinD）'!$A641-'实盘净值数据(iFinD）'!$A$5)/365))</f>
        <v/>
      </c>
      <c r="O641" s="16" t="str">
        <f t="shared" si="64"/>
        <v/>
      </c>
      <c r="P641" s="16" t="str">
        <f>IF(N641="","",N641/MAX(N$5:N641)-1)</f>
        <v/>
      </c>
      <c r="Q641" s="13" t="str">
        <f>IF(OR('实盘净值数据(iFinD）'!$A641="",'实盘净值数据(iFinD）'!$B641="",'实盘净值数据(iFinD）'!$Z641="",'实盘净值数据(iFinD）'!$AA641=""),"",分期持仓明细!$AB$25*(SUMPRODUCT(分期持仓明细!$B$25:$Y$25,'实盘净值数据(iFinD）'!$B641:$Y641/'实盘净值数据(iFinD）'!$B$65:$Y$65)+SUMPRODUCT(分期持仓明细!$AC$25:$AD$25,'实盘净值数据(iFinD）'!$Z641:$AA641/'实盘净值数据(iFinD）'!$Z$65:$AA$65))*(1-实盘持仓初始配置!$Z$9)^(('实盘净值数据(iFinD）'!$A641-'实盘净值数据(iFinD）'!$A$8)/365))</f>
        <v/>
      </c>
      <c r="R641" s="16" t="str">
        <f t="shared" si="65"/>
        <v/>
      </c>
      <c r="S641" s="16" t="str">
        <f>IF(Q641="","",Q641/MAX(Q$5:Q641)-1)</f>
        <v/>
      </c>
      <c r="T641" s="13">
        <f>IF(OR('实盘净值数据(iFinD）'!$A641="",'实盘净值数据(iFinD）'!$B641="",'实盘净值数据(iFinD）'!$Z641="",'实盘净值数据(iFinD）'!$AA641="",'实盘净值数据(iFinD）'!$AB641="",'实盘净值数据(iFinD）'!$AL641=""),"",(SUMPRODUCT(分期持仓明细!$B$26:$Y$26,'实盘净值数据(iFinD）'!$B641:$Y641/'实盘净值数据(iFinD）'!$B$69:$Y$69)+SUMPRODUCT(分期持仓明细!$AC$26:$AD$26,'实盘净值数据(iFinD）'!$Z641:$AA641/'实盘净值数据(iFinD）'!$Z$69:$AA$69)+SUMPRODUCT(分期持仓明细!$AE$26:$AO$26,'实盘净值数据(iFinD）'!$AB641:$AL641/'实盘净值数据(iFinD）'!$AB$69:$AL$69))*(1-实盘持仓初始配置!$Z$10)^(('实盘净值数据(iFinD）'!$A641-'实盘净值数据(iFinD）'!$A$69)/365))</f>
        <v/>
      </c>
      <c r="U641" s="16">
        <f>IF(OR(T640="",T641=""),"",T641/T640-1)</f>
        <v/>
      </c>
      <c r="V641" s="16">
        <f>IF(T641="","",T641/MAX(T$5:T641)-1)</f>
        <v/>
      </c>
    </row>
    <row r="642" spans="1:19">
      <c r="A642" s="15" t="str">
        <f>IF('实盘净值数据(iFinD）'!A642="","",'实盘净值数据(iFinD）'!A642)</f>
        <v/>
      </c>
      <c r="B642" s="13" t="str">
        <f>IF(OR('实盘净值数据(iFinD）'!$A642="",'实盘净值数据(iFinD）'!$B642=""),"",分期持仓明细!$AB$17*SUMPRODUCT(分期持仓明细!$B$17:$Y$17,'实盘净值数据(iFinD）'!$B642:$Y642/'实盘净值数据(iFinD）'!$B$20:$Y$20)*(1-实盘持仓初始配置!$Z$4)^(('实盘净值数据(iFinD）'!$A642-'实盘净值数据(iFinD）'!$A$6)/365))</f>
        <v/>
      </c>
      <c r="C642" s="16" t="str">
        <f t="shared" si="60"/>
        <v/>
      </c>
      <c r="D642" s="16" t="str">
        <f>IF(B642="","",B642/MAX(B$5:B642)-1)</f>
        <v/>
      </c>
      <c r="E642" s="13" t="str">
        <f>IF(OR('实盘净值数据(iFinD）'!$A642="",'实盘净值数据(iFinD）'!$B642=""),"",分期持仓明细!$AB$18*SUMPRODUCT(分期持仓明细!$B$18:$Y$18,'实盘净值数据(iFinD）'!$B642:$Y642/'实盘净值数据(iFinD）'!$B$20:$Y$20)*(1-实盘持仓初始配置!$Z$5)^(('实盘净值数据(iFinD）'!$A642-'实盘净值数据(iFinD）'!$A$5)/365))</f>
        <v/>
      </c>
      <c r="F642" s="16" t="str">
        <f t="shared" si="61"/>
        <v/>
      </c>
      <c r="G642" s="16" t="str">
        <f>IF(E642="","",E642/MAX(E$5:E642)-1)</f>
        <v/>
      </c>
      <c r="H642" s="13" t="str">
        <f>IF(OR('实盘净值数据(iFinD）'!$A642="",'实盘净值数据(iFinD）'!$B642=""),"",分期持仓明细!$AB$19*SUMPRODUCT(分期持仓明细!$B$19:$Y$19,'实盘净值数据(iFinD）'!$B642:$Y642/'实盘净值数据(iFinD）'!$B$20:$Y$20)*(1-实盘持仓初始配置!$Z$6)^(('实盘净值数据(iFinD）'!$A642-'实盘净值数据(iFinD）'!$A$7)/365))</f>
        <v/>
      </c>
      <c r="I642" s="16" t="str">
        <f t="shared" si="62"/>
        <v/>
      </c>
      <c r="J642" s="16" t="str">
        <f>IF(H642="","",H642/MAX(H$5:H642)-1)</f>
        <v/>
      </c>
      <c r="K642" s="13" t="str">
        <f>IF(OR('实盘净值数据(iFinD）'!$A642="",'实盘净值数据(iFinD）'!$B642="",'实盘净值数据(iFinD）'!$Z642="",'实盘净值数据(iFinD）'!$AA642=""),"",分期持仓明细!$AB$23*(SUMPRODUCT(分期持仓明细!$B$23:$Y$23,'实盘净值数据(iFinD）'!$B642:$Y642/'实盘净值数据(iFinD）'!$B$65:$Y$65)+SUMPRODUCT(分期持仓明细!$AC$23:$AD$23,'实盘净值数据(iFinD）'!$Z642:$AA642/'实盘净值数据(iFinD）'!$Z$65:$AA$65))*(1-实盘持仓初始配置!$Z$7)^(('实盘净值数据(iFinD）'!$A642-'实盘净值数据(iFinD）'!$A$8)/365))</f>
        <v/>
      </c>
      <c r="L642" s="16" t="str">
        <f t="shared" si="63"/>
        <v/>
      </c>
      <c r="M642" s="16" t="str">
        <f>IF(K642="","",K642/MAX(K$5:K642)-1)</f>
        <v/>
      </c>
      <c r="N642" s="13" t="str">
        <f>IF(OR('实盘净值数据(iFinD）'!$A642="",'实盘净值数据(iFinD）'!$B642="",'实盘净值数据(iFinD）'!$Z642="",'实盘净值数据(iFinD）'!$AA642=""),"",分期持仓明细!$AB$24*(SUMPRODUCT(分期持仓明细!$B$24:$Y$24,'实盘净值数据(iFinD）'!$B642:$Y642/'实盘净值数据(iFinD）'!$B$65:$Y$65)+SUMPRODUCT(分期持仓明细!$AC$24:$AD$24,'实盘净值数据(iFinD）'!$Z642:$AA642/'实盘净值数据(iFinD）'!$Z$65:$AA$65))*(1-实盘持仓初始配置!$Z$8)^(('实盘净值数据(iFinD）'!$A642-'实盘净值数据(iFinD）'!$A$5)/365))</f>
        <v/>
      </c>
      <c r="O642" s="16" t="str">
        <f t="shared" si="64"/>
        <v/>
      </c>
      <c r="P642" s="16" t="str">
        <f>IF(N642="","",N642/MAX(N$5:N642)-1)</f>
        <v/>
      </c>
      <c r="Q642" s="13" t="str">
        <f>IF(OR('实盘净值数据(iFinD）'!$A642="",'实盘净值数据(iFinD）'!$B642="",'实盘净值数据(iFinD）'!$Z642="",'实盘净值数据(iFinD）'!$AA642=""),"",分期持仓明细!$AB$25*(SUMPRODUCT(分期持仓明细!$B$25:$Y$25,'实盘净值数据(iFinD）'!$B642:$Y642/'实盘净值数据(iFinD）'!$B$65:$Y$65)+SUMPRODUCT(分期持仓明细!$AC$25:$AD$25,'实盘净值数据(iFinD）'!$Z642:$AA642/'实盘净值数据(iFinD）'!$Z$65:$AA$65))*(1-实盘持仓初始配置!$Z$9)^(('实盘净值数据(iFinD）'!$A642-'实盘净值数据(iFinD）'!$A$8)/365))</f>
        <v/>
      </c>
      <c r="R642" s="16" t="str">
        <f t="shared" si="65"/>
        <v/>
      </c>
      <c r="S642" s="16" t="str">
        <f>IF(Q642="","",Q642/MAX(Q$5:Q642)-1)</f>
        <v/>
      </c>
      <c r="T642" s="13">
        <f>IF(OR('实盘净值数据(iFinD）'!$A642="",'实盘净值数据(iFinD）'!$B642="",'实盘净值数据(iFinD）'!$Z642="",'实盘净值数据(iFinD）'!$AA642="",'实盘净值数据(iFinD）'!$AB642="",'实盘净值数据(iFinD）'!$AL642=""),"",(SUMPRODUCT(分期持仓明细!$B$26:$Y$26,'实盘净值数据(iFinD）'!$B642:$Y642/'实盘净值数据(iFinD）'!$B$69:$Y$69)+SUMPRODUCT(分期持仓明细!$AC$26:$AD$26,'实盘净值数据(iFinD）'!$Z642:$AA642/'实盘净值数据(iFinD）'!$Z$69:$AA$69)+SUMPRODUCT(分期持仓明细!$AE$26:$AO$26,'实盘净值数据(iFinD）'!$AB642:$AL642/'实盘净值数据(iFinD）'!$AB$69:$AL$69))*(1-实盘持仓初始配置!$Z$10)^(('实盘净值数据(iFinD）'!$A642-'实盘净值数据(iFinD）'!$A$69)/365))</f>
        <v/>
      </c>
      <c r="U642" s="16">
        <f>IF(OR(T641="",T642=""),"",T642/T641-1)</f>
        <v/>
      </c>
      <c r="V642" s="16">
        <f>IF(T642="","",T642/MAX(T$5:T642)-1)</f>
        <v/>
      </c>
    </row>
    <row r="643" spans="1:19">
      <c r="A643" s="15" t="str">
        <f>IF('实盘净值数据(iFinD）'!A643="","",'实盘净值数据(iFinD）'!A643)</f>
        <v/>
      </c>
      <c r="B643" s="13" t="str">
        <f>IF(OR('实盘净值数据(iFinD）'!$A643="",'实盘净值数据(iFinD）'!$B643=""),"",分期持仓明细!$AB$17*SUMPRODUCT(分期持仓明细!$B$17:$Y$17,'实盘净值数据(iFinD）'!$B643:$Y643/'实盘净值数据(iFinD）'!$B$20:$Y$20)*(1-实盘持仓初始配置!$Z$4)^(('实盘净值数据(iFinD）'!$A643-'实盘净值数据(iFinD）'!$A$6)/365))</f>
        <v/>
      </c>
      <c r="C643" s="16" t="str">
        <f t="shared" si="60"/>
        <v/>
      </c>
      <c r="D643" s="16" t="str">
        <f>IF(B643="","",B643/MAX(B$5:B643)-1)</f>
        <v/>
      </c>
      <c r="E643" s="13" t="str">
        <f>IF(OR('实盘净值数据(iFinD）'!$A643="",'实盘净值数据(iFinD）'!$B643=""),"",分期持仓明细!$AB$18*SUMPRODUCT(分期持仓明细!$B$18:$Y$18,'实盘净值数据(iFinD）'!$B643:$Y643/'实盘净值数据(iFinD）'!$B$20:$Y$20)*(1-实盘持仓初始配置!$Z$5)^(('实盘净值数据(iFinD）'!$A643-'实盘净值数据(iFinD）'!$A$5)/365))</f>
        <v/>
      </c>
      <c r="F643" s="16" t="str">
        <f t="shared" si="61"/>
        <v/>
      </c>
      <c r="G643" s="16" t="str">
        <f>IF(E643="","",E643/MAX(E$5:E643)-1)</f>
        <v/>
      </c>
      <c r="H643" s="13" t="str">
        <f>IF(OR('实盘净值数据(iFinD）'!$A643="",'实盘净值数据(iFinD）'!$B643=""),"",分期持仓明细!$AB$19*SUMPRODUCT(分期持仓明细!$B$19:$Y$19,'实盘净值数据(iFinD）'!$B643:$Y643/'实盘净值数据(iFinD）'!$B$20:$Y$20)*(1-实盘持仓初始配置!$Z$6)^(('实盘净值数据(iFinD）'!$A643-'实盘净值数据(iFinD）'!$A$7)/365))</f>
        <v/>
      </c>
      <c r="I643" s="16" t="str">
        <f t="shared" si="62"/>
        <v/>
      </c>
      <c r="J643" s="16" t="str">
        <f>IF(H643="","",H643/MAX(H$5:H643)-1)</f>
        <v/>
      </c>
      <c r="K643" s="13" t="str">
        <f>IF(OR('实盘净值数据(iFinD）'!$A643="",'实盘净值数据(iFinD）'!$B643="",'实盘净值数据(iFinD）'!$Z643="",'实盘净值数据(iFinD）'!$AA643=""),"",分期持仓明细!$AB$23*(SUMPRODUCT(分期持仓明细!$B$23:$Y$23,'实盘净值数据(iFinD）'!$B643:$Y643/'实盘净值数据(iFinD）'!$B$65:$Y$65)+SUMPRODUCT(分期持仓明细!$AC$23:$AD$23,'实盘净值数据(iFinD）'!$Z643:$AA643/'实盘净值数据(iFinD）'!$Z$65:$AA$65))*(1-实盘持仓初始配置!$Z$7)^(('实盘净值数据(iFinD）'!$A643-'实盘净值数据(iFinD）'!$A$8)/365))</f>
        <v/>
      </c>
      <c r="L643" s="16" t="str">
        <f t="shared" si="63"/>
        <v/>
      </c>
      <c r="M643" s="16" t="str">
        <f>IF(K643="","",K643/MAX(K$5:K643)-1)</f>
        <v/>
      </c>
      <c r="N643" s="13" t="str">
        <f>IF(OR('实盘净值数据(iFinD）'!$A643="",'实盘净值数据(iFinD）'!$B643="",'实盘净值数据(iFinD）'!$Z643="",'实盘净值数据(iFinD）'!$AA643=""),"",分期持仓明细!$AB$24*(SUMPRODUCT(分期持仓明细!$B$24:$Y$24,'实盘净值数据(iFinD）'!$B643:$Y643/'实盘净值数据(iFinD）'!$B$65:$Y$65)+SUMPRODUCT(分期持仓明细!$AC$24:$AD$24,'实盘净值数据(iFinD）'!$Z643:$AA643/'实盘净值数据(iFinD）'!$Z$65:$AA$65))*(1-实盘持仓初始配置!$Z$8)^(('实盘净值数据(iFinD）'!$A643-'实盘净值数据(iFinD）'!$A$5)/365))</f>
        <v/>
      </c>
      <c r="O643" s="16" t="str">
        <f t="shared" si="64"/>
        <v/>
      </c>
      <c r="P643" s="16" t="str">
        <f>IF(N643="","",N643/MAX(N$5:N643)-1)</f>
        <v/>
      </c>
      <c r="Q643" s="13" t="str">
        <f>IF(OR('实盘净值数据(iFinD）'!$A643="",'实盘净值数据(iFinD）'!$B643="",'实盘净值数据(iFinD）'!$Z643="",'实盘净值数据(iFinD）'!$AA643=""),"",分期持仓明细!$AB$25*(SUMPRODUCT(分期持仓明细!$B$25:$Y$25,'实盘净值数据(iFinD）'!$B643:$Y643/'实盘净值数据(iFinD）'!$B$65:$Y$65)+SUMPRODUCT(分期持仓明细!$AC$25:$AD$25,'实盘净值数据(iFinD）'!$Z643:$AA643/'实盘净值数据(iFinD）'!$Z$65:$AA$65))*(1-实盘持仓初始配置!$Z$9)^(('实盘净值数据(iFinD）'!$A643-'实盘净值数据(iFinD）'!$A$8)/365))</f>
        <v/>
      </c>
      <c r="R643" s="16" t="str">
        <f t="shared" si="65"/>
        <v/>
      </c>
      <c r="S643" s="16" t="str">
        <f>IF(Q643="","",Q643/MAX(Q$5:Q643)-1)</f>
        <v/>
      </c>
      <c r="T643" s="13">
        <f>IF(OR('实盘净值数据(iFinD）'!$A643="",'实盘净值数据(iFinD）'!$B643="",'实盘净值数据(iFinD）'!$Z643="",'实盘净值数据(iFinD）'!$AA643="",'实盘净值数据(iFinD）'!$AB643="",'实盘净值数据(iFinD）'!$AL643=""),"",(SUMPRODUCT(分期持仓明细!$B$26:$Y$26,'实盘净值数据(iFinD）'!$B643:$Y643/'实盘净值数据(iFinD）'!$B$69:$Y$69)+SUMPRODUCT(分期持仓明细!$AC$26:$AD$26,'实盘净值数据(iFinD）'!$Z643:$AA643/'实盘净值数据(iFinD）'!$Z$69:$AA$69)+SUMPRODUCT(分期持仓明细!$AE$26:$AO$26,'实盘净值数据(iFinD）'!$AB643:$AL643/'实盘净值数据(iFinD）'!$AB$69:$AL$69))*(1-实盘持仓初始配置!$Z$10)^(('实盘净值数据(iFinD）'!$A643-'实盘净值数据(iFinD）'!$A$69)/365))</f>
        <v/>
      </c>
      <c r="U643" s="16">
        <f>IF(OR(T642="",T643=""),"",T643/T642-1)</f>
        <v/>
      </c>
      <c r="V643" s="16">
        <f>IF(T643="","",T643/MAX(T$5:T643)-1)</f>
        <v/>
      </c>
    </row>
    <row r="644" spans="1:19">
      <c r="A644" s="15" t="str">
        <f>IF('实盘净值数据(iFinD）'!A644="","",'实盘净值数据(iFinD）'!A644)</f>
        <v/>
      </c>
      <c r="B644" s="13" t="str">
        <f>IF(OR('实盘净值数据(iFinD）'!$A644="",'实盘净值数据(iFinD）'!$B644=""),"",分期持仓明细!$AB$17*SUMPRODUCT(分期持仓明细!$B$17:$Y$17,'实盘净值数据(iFinD）'!$B644:$Y644/'实盘净值数据(iFinD）'!$B$20:$Y$20)*(1-实盘持仓初始配置!$Z$4)^(('实盘净值数据(iFinD）'!$A644-'实盘净值数据(iFinD）'!$A$6)/365))</f>
        <v/>
      </c>
      <c r="C644" s="16" t="str">
        <f t="shared" si="60"/>
        <v/>
      </c>
      <c r="D644" s="16" t="str">
        <f>IF(B644="","",B644/MAX(B$5:B644)-1)</f>
        <v/>
      </c>
      <c r="E644" s="13" t="str">
        <f>IF(OR('实盘净值数据(iFinD）'!$A644="",'实盘净值数据(iFinD）'!$B644=""),"",分期持仓明细!$AB$18*SUMPRODUCT(分期持仓明细!$B$18:$Y$18,'实盘净值数据(iFinD）'!$B644:$Y644/'实盘净值数据(iFinD）'!$B$20:$Y$20)*(1-实盘持仓初始配置!$Z$5)^(('实盘净值数据(iFinD）'!$A644-'实盘净值数据(iFinD）'!$A$5)/365))</f>
        <v/>
      </c>
      <c r="F644" s="16" t="str">
        <f t="shared" si="61"/>
        <v/>
      </c>
      <c r="G644" s="16" t="str">
        <f>IF(E644="","",E644/MAX(E$5:E644)-1)</f>
        <v/>
      </c>
      <c r="H644" s="13" t="str">
        <f>IF(OR('实盘净值数据(iFinD）'!$A644="",'实盘净值数据(iFinD）'!$B644=""),"",分期持仓明细!$AB$19*SUMPRODUCT(分期持仓明细!$B$19:$Y$19,'实盘净值数据(iFinD）'!$B644:$Y644/'实盘净值数据(iFinD）'!$B$20:$Y$20)*(1-实盘持仓初始配置!$Z$6)^(('实盘净值数据(iFinD）'!$A644-'实盘净值数据(iFinD）'!$A$7)/365))</f>
        <v/>
      </c>
      <c r="I644" s="16" t="str">
        <f t="shared" si="62"/>
        <v/>
      </c>
      <c r="J644" s="16" t="str">
        <f>IF(H644="","",H644/MAX(H$5:H644)-1)</f>
        <v/>
      </c>
      <c r="K644" s="13" t="str">
        <f>IF(OR('实盘净值数据(iFinD）'!$A644="",'实盘净值数据(iFinD）'!$B644="",'实盘净值数据(iFinD）'!$Z644="",'实盘净值数据(iFinD）'!$AA644=""),"",分期持仓明细!$AB$23*(SUMPRODUCT(分期持仓明细!$B$23:$Y$23,'实盘净值数据(iFinD）'!$B644:$Y644/'实盘净值数据(iFinD）'!$B$65:$Y$65)+SUMPRODUCT(分期持仓明细!$AC$23:$AD$23,'实盘净值数据(iFinD）'!$Z644:$AA644/'实盘净值数据(iFinD）'!$Z$65:$AA$65))*(1-实盘持仓初始配置!$Z$7)^(('实盘净值数据(iFinD）'!$A644-'实盘净值数据(iFinD）'!$A$8)/365))</f>
        <v/>
      </c>
      <c r="L644" s="16" t="str">
        <f t="shared" si="63"/>
        <v/>
      </c>
      <c r="M644" s="16" t="str">
        <f>IF(K644="","",K644/MAX(K$5:K644)-1)</f>
        <v/>
      </c>
      <c r="N644" s="13" t="str">
        <f>IF(OR('实盘净值数据(iFinD）'!$A644="",'实盘净值数据(iFinD）'!$B644="",'实盘净值数据(iFinD）'!$Z644="",'实盘净值数据(iFinD）'!$AA644=""),"",分期持仓明细!$AB$24*(SUMPRODUCT(分期持仓明细!$B$24:$Y$24,'实盘净值数据(iFinD）'!$B644:$Y644/'实盘净值数据(iFinD）'!$B$65:$Y$65)+SUMPRODUCT(分期持仓明细!$AC$24:$AD$24,'实盘净值数据(iFinD）'!$Z644:$AA644/'实盘净值数据(iFinD）'!$Z$65:$AA$65))*(1-实盘持仓初始配置!$Z$8)^(('实盘净值数据(iFinD）'!$A644-'实盘净值数据(iFinD）'!$A$5)/365))</f>
        <v/>
      </c>
      <c r="O644" s="16" t="str">
        <f t="shared" si="64"/>
        <v/>
      </c>
      <c r="P644" s="16" t="str">
        <f>IF(N644="","",N644/MAX(N$5:N644)-1)</f>
        <v/>
      </c>
      <c r="Q644" s="13" t="str">
        <f>IF(OR('实盘净值数据(iFinD）'!$A644="",'实盘净值数据(iFinD）'!$B644="",'实盘净值数据(iFinD）'!$Z644="",'实盘净值数据(iFinD）'!$AA644=""),"",分期持仓明细!$AB$25*(SUMPRODUCT(分期持仓明细!$B$25:$Y$25,'实盘净值数据(iFinD）'!$B644:$Y644/'实盘净值数据(iFinD）'!$B$65:$Y$65)+SUMPRODUCT(分期持仓明细!$AC$25:$AD$25,'实盘净值数据(iFinD）'!$Z644:$AA644/'实盘净值数据(iFinD）'!$Z$65:$AA$65))*(1-实盘持仓初始配置!$Z$9)^(('实盘净值数据(iFinD）'!$A644-'实盘净值数据(iFinD）'!$A$8)/365))</f>
        <v/>
      </c>
      <c r="R644" s="16" t="str">
        <f t="shared" si="65"/>
        <v/>
      </c>
      <c r="S644" s="16" t="str">
        <f>IF(Q644="","",Q644/MAX(Q$5:Q644)-1)</f>
        <v/>
      </c>
      <c r="T644" s="13">
        <f>IF(OR('实盘净值数据(iFinD）'!$A644="",'实盘净值数据(iFinD）'!$B644="",'实盘净值数据(iFinD）'!$Z644="",'实盘净值数据(iFinD）'!$AA644="",'实盘净值数据(iFinD）'!$AB644="",'实盘净值数据(iFinD）'!$AL644=""),"",(SUMPRODUCT(分期持仓明细!$B$26:$Y$26,'实盘净值数据(iFinD）'!$B644:$Y644/'实盘净值数据(iFinD）'!$B$69:$Y$69)+SUMPRODUCT(分期持仓明细!$AC$26:$AD$26,'实盘净值数据(iFinD）'!$Z644:$AA644/'实盘净值数据(iFinD）'!$Z$69:$AA$69)+SUMPRODUCT(分期持仓明细!$AE$26:$AO$26,'实盘净值数据(iFinD）'!$AB644:$AL644/'实盘净值数据(iFinD）'!$AB$69:$AL$69))*(1-实盘持仓初始配置!$Z$10)^(('实盘净值数据(iFinD）'!$A644-'实盘净值数据(iFinD）'!$A$69)/365))</f>
        <v/>
      </c>
      <c r="U644" s="16">
        <f>IF(OR(T643="",T644=""),"",T644/T643-1)</f>
        <v/>
      </c>
      <c r="V644" s="16">
        <f>IF(T644="","",T644/MAX(T$5:T644)-1)</f>
        <v/>
      </c>
    </row>
    <row r="645" spans="1:19">
      <c r="A645" s="15" t="str">
        <f>IF('实盘净值数据(iFinD）'!A645="","",'实盘净值数据(iFinD）'!A645)</f>
        <v/>
      </c>
      <c r="B645" s="13" t="str">
        <f>IF(OR('实盘净值数据(iFinD）'!$A645="",'实盘净值数据(iFinD）'!$B645=""),"",分期持仓明细!$AB$17*SUMPRODUCT(分期持仓明细!$B$17:$Y$17,'实盘净值数据(iFinD）'!$B645:$Y645/'实盘净值数据(iFinD）'!$B$20:$Y$20)*(1-实盘持仓初始配置!$Z$4)^(('实盘净值数据(iFinD）'!$A645-'实盘净值数据(iFinD）'!$A$6)/365))</f>
        <v/>
      </c>
      <c r="C645" s="16" t="str">
        <f t="shared" si="60"/>
        <v/>
      </c>
      <c r="D645" s="16" t="str">
        <f>IF(B645="","",B645/MAX(B$5:B645)-1)</f>
        <v/>
      </c>
      <c r="E645" s="13" t="str">
        <f>IF(OR('实盘净值数据(iFinD）'!$A645="",'实盘净值数据(iFinD）'!$B645=""),"",分期持仓明细!$AB$18*SUMPRODUCT(分期持仓明细!$B$18:$Y$18,'实盘净值数据(iFinD）'!$B645:$Y645/'实盘净值数据(iFinD）'!$B$20:$Y$20)*(1-实盘持仓初始配置!$Z$5)^(('实盘净值数据(iFinD）'!$A645-'实盘净值数据(iFinD）'!$A$5)/365))</f>
        <v/>
      </c>
      <c r="F645" s="16" t="str">
        <f t="shared" si="61"/>
        <v/>
      </c>
      <c r="G645" s="16" t="str">
        <f>IF(E645="","",E645/MAX(E$5:E645)-1)</f>
        <v/>
      </c>
      <c r="H645" s="13" t="str">
        <f>IF(OR('实盘净值数据(iFinD）'!$A645="",'实盘净值数据(iFinD）'!$B645=""),"",分期持仓明细!$AB$19*SUMPRODUCT(分期持仓明细!$B$19:$Y$19,'实盘净值数据(iFinD）'!$B645:$Y645/'实盘净值数据(iFinD）'!$B$20:$Y$20)*(1-实盘持仓初始配置!$Z$6)^(('实盘净值数据(iFinD）'!$A645-'实盘净值数据(iFinD）'!$A$7)/365))</f>
        <v/>
      </c>
      <c r="I645" s="16" t="str">
        <f t="shared" si="62"/>
        <v/>
      </c>
      <c r="J645" s="16" t="str">
        <f>IF(H645="","",H645/MAX(H$5:H645)-1)</f>
        <v/>
      </c>
      <c r="K645" s="13" t="str">
        <f>IF(OR('实盘净值数据(iFinD）'!$A645="",'实盘净值数据(iFinD）'!$B645="",'实盘净值数据(iFinD）'!$Z645="",'实盘净值数据(iFinD）'!$AA645=""),"",分期持仓明细!$AB$23*(SUMPRODUCT(分期持仓明细!$B$23:$Y$23,'实盘净值数据(iFinD）'!$B645:$Y645/'实盘净值数据(iFinD）'!$B$65:$Y$65)+SUMPRODUCT(分期持仓明细!$AC$23:$AD$23,'实盘净值数据(iFinD）'!$Z645:$AA645/'实盘净值数据(iFinD）'!$Z$65:$AA$65))*(1-实盘持仓初始配置!$Z$7)^(('实盘净值数据(iFinD）'!$A645-'实盘净值数据(iFinD）'!$A$8)/365))</f>
        <v/>
      </c>
      <c r="L645" s="16" t="str">
        <f t="shared" si="63"/>
        <v/>
      </c>
      <c r="M645" s="16" t="str">
        <f>IF(K645="","",K645/MAX(K$5:K645)-1)</f>
        <v/>
      </c>
      <c r="N645" s="13" t="str">
        <f>IF(OR('实盘净值数据(iFinD）'!$A645="",'实盘净值数据(iFinD）'!$B645="",'实盘净值数据(iFinD）'!$Z645="",'实盘净值数据(iFinD）'!$AA645=""),"",分期持仓明细!$AB$24*(SUMPRODUCT(分期持仓明细!$B$24:$Y$24,'实盘净值数据(iFinD）'!$B645:$Y645/'实盘净值数据(iFinD）'!$B$65:$Y$65)+SUMPRODUCT(分期持仓明细!$AC$24:$AD$24,'实盘净值数据(iFinD）'!$Z645:$AA645/'实盘净值数据(iFinD）'!$Z$65:$AA$65))*(1-实盘持仓初始配置!$Z$8)^(('实盘净值数据(iFinD）'!$A645-'实盘净值数据(iFinD）'!$A$5)/365))</f>
        <v/>
      </c>
      <c r="O645" s="16" t="str">
        <f t="shared" si="64"/>
        <v/>
      </c>
      <c r="P645" s="16" t="str">
        <f>IF(N645="","",N645/MAX(N$5:N645)-1)</f>
        <v/>
      </c>
      <c r="Q645" s="13" t="str">
        <f>IF(OR('实盘净值数据(iFinD）'!$A645="",'实盘净值数据(iFinD）'!$B645="",'实盘净值数据(iFinD）'!$Z645="",'实盘净值数据(iFinD）'!$AA645=""),"",分期持仓明细!$AB$25*(SUMPRODUCT(分期持仓明细!$B$25:$Y$25,'实盘净值数据(iFinD）'!$B645:$Y645/'实盘净值数据(iFinD）'!$B$65:$Y$65)+SUMPRODUCT(分期持仓明细!$AC$25:$AD$25,'实盘净值数据(iFinD）'!$Z645:$AA645/'实盘净值数据(iFinD）'!$Z$65:$AA$65))*(1-实盘持仓初始配置!$Z$9)^(('实盘净值数据(iFinD）'!$A645-'实盘净值数据(iFinD）'!$A$8)/365))</f>
        <v/>
      </c>
      <c r="R645" s="16" t="str">
        <f t="shared" si="65"/>
        <v/>
      </c>
      <c r="S645" s="16" t="str">
        <f>IF(Q645="","",Q645/MAX(Q$5:Q645)-1)</f>
        <v/>
      </c>
      <c r="T645" s="13">
        <f>IF(OR('实盘净值数据(iFinD）'!$A645="",'实盘净值数据(iFinD）'!$B645="",'实盘净值数据(iFinD）'!$Z645="",'实盘净值数据(iFinD）'!$AA645="",'实盘净值数据(iFinD）'!$AB645="",'实盘净值数据(iFinD）'!$AL645=""),"",(SUMPRODUCT(分期持仓明细!$B$26:$Y$26,'实盘净值数据(iFinD）'!$B645:$Y645/'实盘净值数据(iFinD）'!$B$69:$Y$69)+SUMPRODUCT(分期持仓明细!$AC$26:$AD$26,'实盘净值数据(iFinD）'!$Z645:$AA645/'实盘净值数据(iFinD）'!$Z$69:$AA$69)+SUMPRODUCT(分期持仓明细!$AE$26:$AO$26,'实盘净值数据(iFinD）'!$AB645:$AL645/'实盘净值数据(iFinD）'!$AB$69:$AL$69))*(1-实盘持仓初始配置!$Z$10)^(('实盘净值数据(iFinD）'!$A645-'实盘净值数据(iFinD）'!$A$69)/365))</f>
        <v/>
      </c>
      <c r="U645" s="16">
        <f>IF(OR(T644="",T645=""),"",T645/T644-1)</f>
        <v/>
      </c>
      <c r="V645" s="16">
        <f>IF(T645="","",T645/MAX(T$5:T645)-1)</f>
        <v/>
      </c>
    </row>
    <row r="646" spans="1:19">
      <c r="A646" s="15" t="str">
        <f>IF('实盘净值数据(iFinD）'!A646="","",'实盘净值数据(iFinD）'!A646)</f>
        <v/>
      </c>
      <c r="B646" s="13" t="str">
        <f>IF(OR('实盘净值数据(iFinD）'!$A646="",'实盘净值数据(iFinD）'!$B646=""),"",分期持仓明细!$AB$17*SUMPRODUCT(分期持仓明细!$B$17:$Y$17,'实盘净值数据(iFinD）'!$B646:$Y646/'实盘净值数据(iFinD）'!$B$20:$Y$20)*(1-实盘持仓初始配置!$Z$4)^(('实盘净值数据(iFinD）'!$A646-'实盘净值数据(iFinD）'!$A$6)/365))</f>
        <v/>
      </c>
      <c r="C646" s="16" t="str">
        <f t="shared" si="60"/>
        <v/>
      </c>
      <c r="D646" s="16" t="str">
        <f>IF(B646="","",B646/MAX(B$5:B646)-1)</f>
        <v/>
      </c>
      <c r="E646" s="13" t="str">
        <f>IF(OR('实盘净值数据(iFinD）'!$A646="",'实盘净值数据(iFinD）'!$B646=""),"",分期持仓明细!$AB$18*SUMPRODUCT(分期持仓明细!$B$18:$Y$18,'实盘净值数据(iFinD）'!$B646:$Y646/'实盘净值数据(iFinD）'!$B$20:$Y$20)*(1-实盘持仓初始配置!$Z$5)^(('实盘净值数据(iFinD）'!$A646-'实盘净值数据(iFinD）'!$A$5)/365))</f>
        <v/>
      </c>
      <c r="F646" s="16" t="str">
        <f t="shared" si="61"/>
        <v/>
      </c>
      <c r="G646" s="16" t="str">
        <f>IF(E646="","",E646/MAX(E$5:E646)-1)</f>
        <v/>
      </c>
      <c r="H646" s="13" t="str">
        <f>IF(OR('实盘净值数据(iFinD）'!$A646="",'实盘净值数据(iFinD）'!$B646=""),"",分期持仓明细!$AB$19*SUMPRODUCT(分期持仓明细!$B$19:$Y$19,'实盘净值数据(iFinD）'!$B646:$Y646/'实盘净值数据(iFinD）'!$B$20:$Y$20)*(1-实盘持仓初始配置!$Z$6)^(('实盘净值数据(iFinD）'!$A646-'实盘净值数据(iFinD）'!$A$7)/365))</f>
        <v/>
      </c>
      <c r="I646" s="16" t="str">
        <f t="shared" si="62"/>
        <v/>
      </c>
      <c r="J646" s="16" t="str">
        <f>IF(H646="","",H646/MAX(H$5:H646)-1)</f>
        <v/>
      </c>
      <c r="K646" s="13" t="str">
        <f>IF(OR('实盘净值数据(iFinD）'!$A646="",'实盘净值数据(iFinD）'!$B646="",'实盘净值数据(iFinD）'!$Z646="",'实盘净值数据(iFinD）'!$AA646=""),"",分期持仓明细!$AB$23*(SUMPRODUCT(分期持仓明细!$B$23:$Y$23,'实盘净值数据(iFinD）'!$B646:$Y646/'实盘净值数据(iFinD）'!$B$65:$Y$65)+SUMPRODUCT(分期持仓明细!$AC$23:$AD$23,'实盘净值数据(iFinD）'!$Z646:$AA646/'实盘净值数据(iFinD）'!$Z$65:$AA$65))*(1-实盘持仓初始配置!$Z$7)^(('实盘净值数据(iFinD）'!$A646-'实盘净值数据(iFinD）'!$A$8)/365))</f>
        <v/>
      </c>
      <c r="L646" s="16" t="str">
        <f t="shared" si="63"/>
        <v/>
      </c>
      <c r="M646" s="16" t="str">
        <f>IF(K646="","",K646/MAX(K$5:K646)-1)</f>
        <v/>
      </c>
      <c r="N646" s="13" t="str">
        <f>IF(OR('实盘净值数据(iFinD）'!$A646="",'实盘净值数据(iFinD）'!$B646="",'实盘净值数据(iFinD）'!$Z646="",'实盘净值数据(iFinD）'!$AA646=""),"",分期持仓明细!$AB$24*(SUMPRODUCT(分期持仓明细!$B$24:$Y$24,'实盘净值数据(iFinD）'!$B646:$Y646/'实盘净值数据(iFinD）'!$B$65:$Y$65)+SUMPRODUCT(分期持仓明细!$AC$24:$AD$24,'实盘净值数据(iFinD）'!$Z646:$AA646/'实盘净值数据(iFinD）'!$Z$65:$AA$65))*(1-实盘持仓初始配置!$Z$8)^(('实盘净值数据(iFinD）'!$A646-'实盘净值数据(iFinD）'!$A$5)/365))</f>
        <v/>
      </c>
      <c r="O646" s="16" t="str">
        <f t="shared" si="64"/>
        <v/>
      </c>
      <c r="P646" s="16" t="str">
        <f>IF(N646="","",N646/MAX(N$5:N646)-1)</f>
        <v/>
      </c>
      <c r="Q646" s="13" t="str">
        <f>IF(OR('实盘净值数据(iFinD）'!$A646="",'实盘净值数据(iFinD）'!$B646="",'实盘净值数据(iFinD）'!$Z646="",'实盘净值数据(iFinD）'!$AA646=""),"",分期持仓明细!$AB$25*(SUMPRODUCT(分期持仓明细!$B$25:$Y$25,'实盘净值数据(iFinD）'!$B646:$Y646/'实盘净值数据(iFinD）'!$B$65:$Y$65)+SUMPRODUCT(分期持仓明细!$AC$25:$AD$25,'实盘净值数据(iFinD）'!$Z646:$AA646/'实盘净值数据(iFinD）'!$Z$65:$AA$65))*(1-实盘持仓初始配置!$Z$9)^(('实盘净值数据(iFinD）'!$A646-'实盘净值数据(iFinD）'!$A$8)/365))</f>
        <v/>
      </c>
      <c r="R646" s="16" t="str">
        <f t="shared" si="65"/>
        <v/>
      </c>
      <c r="S646" s="16" t="str">
        <f>IF(Q646="","",Q646/MAX(Q$5:Q646)-1)</f>
        <v/>
      </c>
      <c r="T646" s="13">
        <f>IF(OR('实盘净值数据(iFinD）'!$A646="",'实盘净值数据(iFinD）'!$B646="",'实盘净值数据(iFinD）'!$Z646="",'实盘净值数据(iFinD）'!$AA646="",'实盘净值数据(iFinD）'!$AB646="",'实盘净值数据(iFinD）'!$AL646=""),"",(SUMPRODUCT(分期持仓明细!$B$26:$Y$26,'实盘净值数据(iFinD）'!$B646:$Y646/'实盘净值数据(iFinD）'!$B$69:$Y$69)+SUMPRODUCT(分期持仓明细!$AC$26:$AD$26,'实盘净值数据(iFinD）'!$Z646:$AA646/'实盘净值数据(iFinD）'!$Z$69:$AA$69)+SUMPRODUCT(分期持仓明细!$AE$26:$AO$26,'实盘净值数据(iFinD）'!$AB646:$AL646/'实盘净值数据(iFinD）'!$AB$69:$AL$69))*(1-实盘持仓初始配置!$Z$10)^(('实盘净值数据(iFinD）'!$A646-'实盘净值数据(iFinD）'!$A$69)/365))</f>
        <v/>
      </c>
      <c r="U646" s="16">
        <f>IF(OR(T645="",T646=""),"",T646/T645-1)</f>
        <v/>
      </c>
      <c r="V646" s="16">
        <f>IF(T646="","",T646/MAX(T$5:T646)-1)</f>
        <v/>
      </c>
    </row>
    <row r="647" spans="1:19">
      <c r="A647" s="15" t="str">
        <f>IF('实盘净值数据(iFinD）'!A647="","",'实盘净值数据(iFinD）'!A647)</f>
        <v/>
      </c>
      <c r="B647" s="13" t="str">
        <f>IF(OR('实盘净值数据(iFinD）'!$A647="",'实盘净值数据(iFinD）'!$B647=""),"",分期持仓明细!$AB$17*SUMPRODUCT(分期持仓明细!$B$17:$Y$17,'实盘净值数据(iFinD）'!$B647:$Y647/'实盘净值数据(iFinD）'!$B$20:$Y$20)*(1-实盘持仓初始配置!$Z$4)^(('实盘净值数据(iFinD）'!$A647-'实盘净值数据(iFinD）'!$A$6)/365))</f>
        <v/>
      </c>
      <c r="C647" s="16" t="str">
        <f t="shared" si="60"/>
        <v/>
      </c>
      <c r="D647" s="16" t="str">
        <f>IF(B647="","",B647/MAX(B$5:B647)-1)</f>
        <v/>
      </c>
      <c r="E647" s="13" t="str">
        <f>IF(OR('实盘净值数据(iFinD）'!$A647="",'实盘净值数据(iFinD）'!$B647=""),"",分期持仓明细!$AB$18*SUMPRODUCT(分期持仓明细!$B$18:$Y$18,'实盘净值数据(iFinD）'!$B647:$Y647/'实盘净值数据(iFinD）'!$B$20:$Y$20)*(1-实盘持仓初始配置!$Z$5)^(('实盘净值数据(iFinD）'!$A647-'实盘净值数据(iFinD）'!$A$5)/365))</f>
        <v/>
      </c>
      <c r="F647" s="16" t="str">
        <f t="shared" si="61"/>
        <v/>
      </c>
      <c r="G647" s="16" t="str">
        <f>IF(E647="","",E647/MAX(E$5:E647)-1)</f>
        <v/>
      </c>
      <c r="H647" s="13" t="str">
        <f>IF(OR('实盘净值数据(iFinD）'!$A647="",'实盘净值数据(iFinD）'!$B647=""),"",分期持仓明细!$AB$19*SUMPRODUCT(分期持仓明细!$B$19:$Y$19,'实盘净值数据(iFinD）'!$B647:$Y647/'实盘净值数据(iFinD）'!$B$20:$Y$20)*(1-实盘持仓初始配置!$Z$6)^(('实盘净值数据(iFinD）'!$A647-'实盘净值数据(iFinD）'!$A$7)/365))</f>
        <v/>
      </c>
      <c r="I647" s="16" t="str">
        <f t="shared" si="62"/>
        <v/>
      </c>
      <c r="J647" s="16" t="str">
        <f>IF(H647="","",H647/MAX(H$5:H647)-1)</f>
        <v/>
      </c>
      <c r="K647" s="13" t="str">
        <f>IF(OR('实盘净值数据(iFinD）'!$A647="",'实盘净值数据(iFinD）'!$B647="",'实盘净值数据(iFinD）'!$Z647="",'实盘净值数据(iFinD）'!$AA647=""),"",分期持仓明细!$AB$23*(SUMPRODUCT(分期持仓明细!$B$23:$Y$23,'实盘净值数据(iFinD）'!$B647:$Y647/'实盘净值数据(iFinD）'!$B$65:$Y$65)+SUMPRODUCT(分期持仓明细!$AC$23:$AD$23,'实盘净值数据(iFinD）'!$Z647:$AA647/'实盘净值数据(iFinD）'!$Z$65:$AA$65))*(1-实盘持仓初始配置!$Z$7)^(('实盘净值数据(iFinD）'!$A647-'实盘净值数据(iFinD）'!$A$8)/365))</f>
        <v/>
      </c>
      <c r="L647" s="16" t="str">
        <f t="shared" si="63"/>
        <v/>
      </c>
      <c r="M647" s="16" t="str">
        <f>IF(K647="","",K647/MAX(K$5:K647)-1)</f>
        <v/>
      </c>
      <c r="N647" s="13" t="str">
        <f>IF(OR('实盘净值数据(iFinD）'!$A647="",'实盘净值数据(iFinD）'!$B647="",'实盘净值数据(iFinD）'!$Z647="",'实盘净值数据(iFinD）'!$AA647=""),"",分期持仓明细!$AB$24*(SUMPRODUCT(分期持仓明细!$B$24:$Y$24,'实盘净值数据(iFinD）'!$B647:$Y647/'实盘净值数据(iFinD）'!$B$65:$Y$65)+SUMPRODUCT(分期持仓明细!$AC$24:$AD$24,'实盘净值数据(iFinD）'!$Z647:$AA647/'实盘净值数据(iFinD）'!$Z$65:$AA$65))*(1-实盘持仓初始配置!$Z$8)^(('实盘净值数据(iFinD）'!$A647-'实盘净值数据(iFinD）'!$A$5)/365))</f>
        <v/>
      </c>
      <c r="O647" s="16" t="str">
        <f t="shared" si="64"/>
        <v/>
      </c>
      <c r="P647" s="16" t="str">
        <f>IF(N647="","",N647/MAX(N$5:N647)-1)</f>
        <v/>
      </c>
      <c r="Q647" s="13" t="str">
        <f>IF(OR('实盘净值数据(iFinD）'!$A647="",'实盘净值数据(iFinD）'!$B647="",'实盘净值数据(iFinD）'!$Z647="",'实盘净值数据(iFinD）'!$AA647=""),"",分期持仓明细!$AB$25*(SUMPRODUCT(分期持仓明细!$B$25:$Y$25,'实盘净值数据(iFinD）'!$B647:$Y647/'实盘净值数据(iFinD）'!$B$65:$Y$65)+SUMPRODUCT(分期持仓明细!$AC$25:$AD$25,'实盘净值数据(iFinD）'!$Z647:$AA647/'实盘净值数据(iFinD）'!$Z$65:$AA$65))*(1-实盘持仓初始配置!$Z$9)^(('实盘净值数据(iFinD）'!$A647-'实盘净值数据(iFinD）'!$A$8)/365))</f>
        <v/>
      </c>
      <c r="R647" s="16" t="str">
        <f t="shared" si="65"/>
        <v/>
      </c>
      <c r="S647" s="16" t="str">
        <f>IF(Q647="","",Q647/MAX(Q$5:Q647)-1)</f>
        <v/>
      </c>
      <c r="T647" s="13">
        <f>IF(OR('实盘净值数据(iFinD）'!$A647="",'实盘净值数据(iFinD）'!$B647="",'实盘净值数据(iFinD）'!$Z647="",'实盘净值数据(iFinD）'!$AA647="",'实盘净值数据(iFinD）'!$AB647="",'实盘净值数据(iFinD）'!$AL647=""),"",(SUMPRODUCT(分期持仓明细!$B$26:$Y$26,'实盘净值数据(iFinD）'!$B647:$Y647/'实盘净值数据(iFinD）'!$B$69:$Y$69)+SUMPRODUCT(分期持仓明细!$AC$26:$AD$26,'实盘净值数据(iFinD）'!$Z647:$AA647/'实盘净值数据(iFinD）'!$Z$69:$AA$69)+SUMPRODUCT(分期持仓明细!$AE$26:$AO$26,'实盘净值数据(iFinD）'!$AB647:$AL647/'实盘净值数据(iFinD）'!$AB$69:$AL$69))*(1-实盘持仓初始配置!$Z$10)^(('实盘净值数据(iFinD）'!$A647-'实盘净值数据(iFinD）'!$A$69)/365))</f>
        <v/>
      </c>
      <c r="U647" s="16">
        <f>IF(OR(T646="",T647=""),"",T647/T646-1)</f>
        <v/>
      </c>
      <c r="V647" s="16">
        <f>IF(T647="","",T647/MAX(T$5:T647)-1)</f>
        <v/>
      </c>
    </row>
    <row r="648" spans="1:19">
      <c r="A648" s="15" t="str">
        <f>IF('实盘净值数据(iFinD）'!A648="","",'实盘净值数据(iFinD）'!A648)</f>
        <v/>
      </c>
      <c r="B648" s="13" t="str">
        <f>IF(OR('实盘净值数据(iFinD）'!$A648="",'实盘净值数据(iFinD）'!$B648=""),"",分期持仓明细!$AB$17*SUMPRODUCT(分期持仓明细!$B$17:$Y$17,'实盘净值数据(iFinD）'!$B648:$Y648/'实盘净值数据(iFinD）'!$B$20:$Y$20)*(1-实盘持仓初始配置!$Z$4)^(('实盘净值数据(iFinD）'!$A648-'实盘净值数据(iFinD）'!$A$6)/365))</f>
        <v/>
      </c>
      <c r="C648" s="16" t="str">
        <f t="shared" si="60"/>
        <v/>
      </c>
      <c r="D648" s="16" t="str">
        <f>IF(B648="","",B648/MAX(B$5:B648)-1)</f>
        <v/>
      </c>
      <c r="E648" s="13" t="str">
        <f>IF(OR('实盘净值数据(iFinD）'!$A648="",'实盘净值数据(iFinD）'!$B648=""),"",分期持仓明细!$AB$18*SUMPRODUCT(分期持仓明细!$B$18:$Y$18,'实盘净值数据(iFinD）'!$B648:$Y648/'实盘净值数据(iFinD）'!$B$20:$Y$20)*(1-实盘持仓初始配置!$Z$5)^(('实盘净值数据(iFinD）'!$A648-'实盘净值数据(iFinD）'!$A$5)/365))</f>
        <v/>
      </c>
      <c r="F648" s="16" t="str">
        <f t="shared" si="61"/>
        <v/>
      </c>
      <c r="G648" s="16" t="str">
        <f>IF(E648="","",E648/MAX(E$5:E648)-1)</f>
        <v/>
      </c>
      <c r="H648" s="13" t="str">
        <f>IF(OR('实盘净值数据(iFinD）'!$A648="",'实盘净值数据(iFinD）'!$B648=""),"",分期持仓明细!$AB$19*SUMPRODUCT(分期持仓明细!$B$19:$Y$19,'实盘净值数据(iFinD）'!$B648:$Y648/'实盘净值数据(iFinD）'!$B$20:$Y$20)*(1-实盘持仓初始配置!$Z$6)^(('实盘净值数据(iFinD）'!$A648-'实盘净值数据(iFinD）'!$A$7)/365))</f>
        <v/>
      </c>
      <c r="I648" s="16" t="str">
        <f t="shared" si="62"/>
        <v/>
      </c>
      <c r="J648" s="16" t="str">
        <f>IF(H648="","",H648/MAX(H$5:H648)-1)</f>
        <v/>
      </c>
      <c r="K648" s="13" t="str">
        <f>IF(OR('实盘净值数据(iFinD）'!$A648="",'实盘净值数据(iFinD）'!$B648="",'实盘净值数据(iFinD）'!$Z648="",'实盘净值数据(iFinD）'!$AA648=""),"",分期持仓明细!$AB$23*(SUMPRODUCT(分期持仓明细!$B$23:$Y$23,'实盘净值数据(iFinD）'!$B648:$Y648/'实盘净值数据(iFinD）'!$B$65:$Y$65)+SUMPRODUCT(分期持仓明细!$AC$23:$AD$23,'实盘净值数据(iFinD）'!$Z648:$AA648/'实盘净值数据(iFinD）'!$Z$65:$AA$65))*(1-实盘持仓初始配置!$Z$7)^(('实盘净值数据(iFinD）'!$A648-'实盘净值数据(iFinD）'!$A$8)/365))</f>
        <v/>
      </c>
      <c r="L648" s="16" t="str">
        <f t="shared" si="63"/>
        <v/>
      </c>
      <c r="M648" s="16" t="str">
        <f>IF(K648="","",K648/MAX(K$5:K648)-1)</f>
        <v/>
      </c>
      <c r="N648" s="13" t="str">
        <f>IF(OR('实盘净值数据(iFinD）'!$A648="",'实盘净值数据(iFinD）'!$B648="",'实盘净值数据(iFinD）'!$Z648="",'实盘净值数据(iFinD）'!$AA648=""),"",分期持仓明细!$AB$24*(SUMPRODUCT(分期持仓明细!$B$24:$Y$24,'实盘净值数据(iFinD）'!$B648:$Y648/'实盘净值数据(iFinD）'!$B$65:$Y$65)+SUMPRODUCT(分期持仓明细!$AC$24:$AD$24,'实盘净值数据(iFinD）'!$Z648:$AA648/'实盘净值数据(iFinD）'!$Z$65:$AA$65))*(1-实盘持仓初始配置!$Z$8)^(('实盘净值数据(iFinD）'!$A648-'实盘净值数据(iFinD）'!$A$5)/365))</f>
        <v/>
      </c>
      <c r="O648" s="16" t="str">
        <f t="shared" si="64"/>
        <v/>
      </c>
      <c r="P648" s="16" t="str">
        <f>IF(N648="","",N648/MAX(N$5:N648)-1)</f>
        <v/>
      </c>
      <c r="Q648" s="13" t="str">
        <f>IF(OR('实盘净值数据(iFinD）'!$A648="",'实盘净值数据(iFinD）'!$B648="",'实盘净值数据(iFinD）'!$Z648="",'实盘净值数据(iFinD）'!$AA648=""),"",分期持仓明细!$AB$25*(SUMPRODUCT(分期持仓明细!$B$25:$Y$25,'实盘净值数据(iFinD）'!$B648:$Y648/'实盘净值数据(iFinD）'!$B$65:$Y$65)+SUMPRODUCT(分期持仓明细!$AC$25:$AD$25,'实盘净值数据(iFinD）'!$Z648:$AA648/'实盘净值数据(iFinD）'!$Z$65:$AA$65))*(1-实盘持仓初始配置!$Z$9)^(('实盘净值数据(iFinD）'!$A648-'实盘净值数据(iFinD）'!$A$8)/365))</f>
        <v/>
      </c>
      <c r="R648" s="16" t="str">
        <f t="shared" si="65"/>
        <v/>
      </c>
      <c r="S648" s="16" t="str">
        <f>IF(Q648="","",Q648/MAX(Q$5:Q648)-1)</f>
        <v/>
      </c>
      <c r="T648" s="13">
        <f>IF(OR('实盘净值数据(iFinD）'!$A648="",'实盘净值数据(iFinD）'!$B648="",'实盘净值数据(iFinD）'!$Z648="",'实盘净值数据(iFinD）'!$AA648="",'实盘净值数据(iFinD）'!$AB648="",'实盘净值数据(iFinD）'!$AL648=""),"",(SUMPRODUCT(分期持仓明细!$B$26:$Y$26,'实盘净值数据(iFinD）'!$B648:$Y648/'实盘净值数据(iFinD）'!$B$69:$Y$69)+SUMPRODUCT(分期持仓明细!$AC$26:$AD$26,'实盘净值数据(iFinD）'!$Z648:$AA648/'实盘净值数据(iFinD）'!$Z$69:$AA$69)+SUMPRODUCT(分期持仓明细!$AE$26:$AO$26,'实盘净值数据(iFinD）'!$AB648:$AL648/'实盘净值数据(iFinD）'!$AB$69:$AL$69))*(1-实盘持仓初始配置!$Z$10)^(('实盘净值数据(iFinD）'!$A648-'实盘净值数据(iFinD）'!$A$69)/365))</f>
        <v/>
      </c>
      <c r="U648" s="16">
        <f>IF(OR(T647="",T648=""),"",T648/T647-1)</f>
        <v/>
      </c>
      <c r="V648" s="16">
        <f>IF(T648="","",T648/MAX(T$5:T648)-1)</f>
        <v/>
      </c>
    </row>
    <row r="649" spans="1:19">
      <c r="A649" s="15" t="str">
        <f>IF('实盘净值数据(iFinD）'!A649="","",'实盘净值数据(iFinD）'!A649)</f>
        <v/>
      </c>
      <c r="B649" s="13" t="str">
        <f>IF(OR('实盘净值数据(iFinD）'!$A649="",'实盘净值数据(iFinD）'!$B649=""),"",分期持仓明细!$AB$17*SUMPRODUCT(分期持仓明细!$B$17:$Y$17,'实盘净值数据(iFinD）'!$B649:$Y649/'实盘净值数据(iFinD）'!$B$20:$Y$20)*(1-实盘持仓初始配置!$Z$4)^(('实盘净值数据(iFinD）'!$A649-'实盘净值数据(iFinD）'!$A$6)/365))</f>
        <v/>
      </c>
      <c r="C649" s="16" t="str">
        <f t="shared" si="60"/>
        <v/>
      </c>
      <c r="D649" s="16" t="str">
        <f>IF(B649="","",B649/MAX(B$5:B649)-1)</f>
        <v/>
      </c>
      <c r="E649" s="13" t="str">
        <f>IF(OR('实盘净值数据(iFinD）'!$A649="",'实盘净值数据(iFinD）'!$B649=""),"",分期持仓明细!$AB$18*SUMPRODUCT(分期持仓明细!$B$18:$Y$18,'实盘净值数据(iFinD）'!$B649:$Y649/'实盘净值数据(iFinD）'!$B$20:$Y$20)*(1-实盘持仓初始配置!$Z$5)^(('实盘净值数据(iFinD）'!$A649-'实盘净值数据(iFinD）'!$A$5)/365))</f>
        <v/>
      </c>
      <c r="F649" s="16" t="str">
        <f t="shared" si="61"/>
        <v/>
      </c>
      <c r="G649" s="16" t="str">
        <f>IF(E649="","",E649/MAX(E$5:E649)-1)</f>
        <v/>
      </c>
      <c r="H649" s="13" t="str">
        <f>IF(OR('实盘净值数据(iFinD）'!$A649="",'实盘净值数据(iFinD）'!$B649=""),"",分期持仓明细!$AB$19*SUMPRODUCT(分期持仓明细!$B$19:$Y$19,'实盘净值数据(iFinD）'!$B649:$Y649/'实盘净值数据(iFinD）'!$B$20:$Y$20)*(1-实盘持仓初始配置!$Z$6)^(('实盘净值数据(iFinD）'!$A649-'实盘净值数据(iFinD）'!$A$7)/365))</f>
        <v/>
      </c>
      <c r="I649" s="16" t="str">
        <f t="shared" si="62"/>
        <v/>
      </c>
      <c r="J649" s="16" t="str">
        <f>IF(H649="","",H649/MAX(H$5:H649)-1)</f>
        <v/>
      </c>
      <c r="K649" s="13" t="str">
        <f>IF(OR('实盘净值数据(iFinD）'!$A649="",'实盘净值数据(iFinD）'!$B649="",'实盘净值数据(iFinD）'!$Z649="",'实盘净值数据(iFinD）'!$AA649=""),"",分期持仓明细!$AB$23*(SUMPRODUCT(分期持仓明细!$B$23:$Y$23,'实盘净值数据(iFinD）'!$B649:$Y649/'实盘净值数据(iFinD）'!$B$65:$Y$65)+SUMPRODUCT(分期持仓明细!$AC$23:$AD$23,'实盘净值数据(iFinD）'!$Z649:$AA649/'实盘净值数据(iFinD）'!$Z$65:$AA$65))*(1-实盘持仓初始配置!$Z$7)^(('实盘净值数据(iFinD）'!$A649-'实盘净值数据(iFinD）'!$A$8)/365))</f>
        <v/>
      </c>
      <c r="L649" s="16" t="str">
        <f t="shared" si="63"/>
        <v/>
      </c>
      <c r="M649" s="16" t="str">
        <f>IF(K649="","",K649/MAX(K$5:K649)-1)</f>
        <v/>
      </c>
      <c r="N649" s="13" t="str">
        <f>IF(OR('实盘净值数据(iFinD）'!$A649="",'实盘净值数据(iFinD）'!$B649="",'实盘净值数据(iFinD）'!$Z649="",'实盘净值数据(iFinD）'!$AA649=""),"",分期持仓明细!$AB$24*(SUMPRODUCT(分期持仓明细!$B$24:$Y$24,'实盘净值数据(iFinD）'!$B649:$Y649/'实盘净值数据(iFinD）'!$B$65:$Y$65)+SUMPRODUCT(分期持仓明细!$AC$24:$AD$24,'实盘净值数据(iFinD）'!$Z649:$AA649/'实盘净值数据(iFinD）'!$Z$65:$AA$65))*(1-实盘持仓初始配置!$Z$8)^(('实盘净值数据(iFinD）'!$A649-'实盘净值数据(iFinD）'!$A$5)/365))</f>
        <v/>
      </c>
      <c r="O649" s="16" t="str">
        <f t="shared" si="64"/>
        <v/>
      </c>
      <c r="P649" s="16" t="str">
        <f>IF(N649="","",N649/MAX(N$5:N649)-1)</f>
        <v/>
      </c>
      <c r="Q649" s="13" t="str">
        <f>IF(OR('实盘净值数据(iFinD）'!$A649="",'实盘净值数据(iFinD）'!$B649="",'实盘净值数据(iFinD）'!$Z649="",'实盘净值数据(iFinD）'!$AA649=""),"",分期持仓明细!$AB$25*(SUMPRODUCT(分期持仓明细!$B$25:$Y$25,'实盘净值数据(iFinD）'!$B649:$Y649/'实盘净值数据(iFinD）'!$B$65:$Y$65)+SUMPRODUCT(分期持仓明细!$AC$25:$AD$25,'实盘净值数据(iFinD）'!$Z649:$AA649/'实盘净值数据(iFinD）'!$Z$65:$AA$65))*(1-实盘持仓初始配置!$Z$9)^(('实盘净值数据(iFinD）'!$A649-'实盘净值数据(iFinD）'!$A$8)/365))</f>
        <v/>
      </c>
      <c r="R649" s="16" t="str">
        <f t="shared" si="65"/>
        <v/>
      </c>
      <c r="S649" s="16" t="str">
        <f>IF(Q649="","",Q649/MAX(Q$5:Q649)-1)</f>
        <v/>
      </c>
      <c r="T649" s="13">
        <f>IF(OR('实盘净值数据(iFinD）'!$A649="",'实盘净值数据(iFinD）'!$B649="",'实盘净值数据(iFinD）'!$Z649="",'实盘净值数据(iFinD）'!$AA649="",'实盘净值数据(iFinD）'!$AB649="",'实盘净值数据(iFinD）'!$AL649=""),"",(SUMPRODUCT(分期持仓明细!$B$26:$Y$26,'实盘净值数据(iFinD）'!$B649:$Y649/'实盘净值数据(iFinD）'!$B$69:$Y$69)+SUMPRODUCT(分期持仓明细!$AC$26:$AD$26,'实盘净值数据(iFinD）'!$Z649:$AA649/'实盘净值数据(iFinD）'!$Z$69:$AA$69)+SUMPRODUCT(分期持仓明细!$AE$26:$AO$26,'实盘净值数据(iFinD）'!$AB649:$AL649/'实盘净值数据(iFinD）'!$AB$69:$AL$69))*(1-实盘持仓初始配置!$Z$10)^(('实盘净值数据(iFinD）'!$A649-'实盘净值数据(iFinD）'!$A$69)/365))</f>
        <v/>
      </c>
      <c r="U649" s="16">
        <f>IF(OR(T648="",T649=""),"",T649/T648-1)</f>
        <v/>
      </c>
      <c r="V649" s="16">
        <f>IF(T649="","",T649/MAX(T$5:T649)-1)</f>
        <v/>
      </c>
    </row>
    <row r="650" spans="1:19">
      <c r="A650" s="15" t="str">
        <f>IF('实盘净值数据(iFinD）'!A650="","",'实盘净值数据(iFinD）'!A650)</f>
        <v/>
      </c>
      <c r="B650" s="13" t="str">
        <f>IF(OR('实盘净值数据(iFinD）'!$A650="",'实盘净值数据(iFinD）'!$B650=""),"",分期持仓明细!$AB$17*SUMPRODUCT(分期持仓明细!$B$17:$Y$17,'实盘净值数据(iFinD）'!$B650:$Y650/'实盘净值数据(iFinD）'!$B$20:$Y$20)*(1-实盘持仓初始配置!$Z$4)^(('实盘净值数据(iFinD）'!$A650-'实盘净值数据(iFinD）'!$A$6)/365))</f>
        <v/>
      </c>
      <c r="C650" s="16" t="str">
        <f t="shared" si="60"/>
        <v/>
      </c>
      <c r="D650" s="16" t="str">
        <f>IF(B650="","",B650/MAX(B$5:B650)-1)</f>
        <v/>
      </c>
      <c r="E650" s="13" t="str">
        <f>IF(OR('实盘净值数据(iFinD）'!$A650="",'实盘净值数据(iFinD）'!$B650=""),"",分期持仓明细!$AB$18*SUMPRODUCT(分期持仓明细!$B$18:$Y$18,'实盘净值数据(iFinD）'!$B650:$Y650/'实盘净值数据(iFinD）'!$B$20:$Y$20)*(1-实盘持仓初始配置!$Z$5)^(('实盘净值数据(iFinD）'!$A650-'实盘净值数据(iFinD）'!$A$5)/365))</f>
        <v/>
      </c>
      <c r="F650" s="16" t="str">
        <f t="shared" si="61"/>
        <v/>
      </c>
      <c r="G650" s="16" t="str">
        <f>IF(E650="","",E650/MAX(E$5:E650)-1)</f>
        <v/>
      </c>
      <c r="H650" s="13" t="str">
        <f>IF(OR('实盘净值数据(iFinD）'!$A650="",'实盘净值数据(iFinD）'!$B650=""),"",分期持仓明细!$AB$19*SUMPRODUCT(分期持仓明细!$B$19:$Y$19,'实盘净值数据(iFinD）'!$B650:$Y650/'实盘净值数据(iFinD）'!$B$20:$Y$20)*(1-实盘持仓初始配置!$Z$6)^(('实盘净值数据(iFinD）'!$A650-'实盘净值数据(iFinD）'!$A$7)/365))</f>
        <v/>
      </c>
      <c r="I650" s="16" t="str">
        <f t="shared" si="62"/>
        <v/>
      </c>
      <c r="J650" s="16" t="str">
        <f>IF(H650="","",H650/MAX(H$5:H650)-1)</f>
        <v/>
      </c>
      <c r="K650" s="13" t="str">
        <f>IF(OR('实盘净值数据(iFinD）'!$A650="",'实盘净值数据(iFinD）'!$B650="",'实盘净值数据(iFinD）'!$Z650="",'实盘净值数据(iFinD）'!$AA650=""),"",分期持仓明细!$AB$23*(SUMPRODUCT(分期持仓明细!$B$23:$Y$23,'实盘净值数据(iFinD）'!$B650:$Y650/'实盘净值数据(iFinD）'!$B$65:$Y$65)+SUMPRODUCT(分期持仓明细!$AC$23:$AD$23,'实盘净值数据(iFinD）'!$Z650:$AA650/'实盘净值数据(iFinD）'!$Z$65:$AA$65))*(1-实盘持仓初始配置!$Z$7)^(('实盘净值数据(iFinD）'!$A650-'实盘净值数据(iFinD）'!$A$8)/365))</f>
        <v/>
      </c>
      <c r="L650" s="16" t="str">
        <f t="shared" si="63"/>
        <v/>
      </c>
      <c r="M650" s="16" t="str">
        <f>IF(K650="","",K650/MAX(K$5:K650)-1)</f>
        <v/>
      </c>
      <c r="N650" s="13" t="str">
        <f>IF(OR('实盘净值数据(iFinD）'!$A650="",'实盘净值数据(iFinD）'!$B650="",'实盘净值数据(iFinD）'!$Z650="",'实盘净值数据(iFinD）'!$AA650=""),"",分期持仓明细!$AB$24*(SUMPRODUCT(分期持仓明细!$B$24:$Y$24,'实盘净值数据(iFinD）'!$B650:$Y650/'实盘净值数据(iFinD）'!$B$65:$Y$65)+SUMPRODUCT(分期持仓明细!$AC$24:$AD$24,'实盘净值数据(iFinD）'!$Z650:$AA650/'实盘净值数据(iFinD）'!$Z$65:$AA$65))*(1-实盘持仓初始配置!$Z$8)^(('实盘净值数据(iFinD）'!$A650-'实盘净值数据(iFinD）'!$A$5)/365))</f>
        <v/>
      </c>
      <c r="O650" s="16" t="str">
        <f t="shared" si="64"/>
        <v/>
      </c>
      <c r="P650" s="16" t="str">
        <f>IF(N650="","",N650/MAX(N$5:N650)-1)</f>
        <v/>
      </c>
      <c r="Q650" s="13" t="str">
        <f>IF(OR('实盘净值数据(iFinD）'!$A650="",'实盘净值数据(iFinD）'!$B650="",'实盘净值数据(iFinD）'!$Z650="",'实盘净值数据(iFinD）'!$AA650=""),"",分期持仓明细!$AB$25*(SUMPRODUCT(分期持仓明细!$B$25:$Y$25,'实盘净值数据(iFinD）'!$B650:$Y650/'实盘净值数据(iFinD）'!$B$65:$Y$65)+SUMPRODUCT(分期持仓明细!$AC$25:$AD$25,'实盘净值数据(iFinD）'!$Z650:$AA650/'实盘净值数据(iFinD）'!$Z$65:$AA$65))*(1-实盘持仓初始配置!$Z$9)^(('实盘净值数据(iFinD）'!$A650-'实盘净值数据(iFinD）'!$A$8)/365))</f>
        <v/>
      </c>
      <c r="R650" s="16" t="str">
        <f t="shared" si="65"/>
        <v/>
      </c>
      <c r="S650" s="16" t="str">
        <f>IF(Q650="","",Q650/MAX(Q$5:Q650)-1)</f>
        <v/>
      </c>
      <c r="T650" s="13">
        <f>IF(OR('实盘净值数据(iFinD）'!$A650="",'实盘净值数据(iFinD）'!$B650="",'实盘净值数据(iFinD）'!$Z650="",'实盘净值数据(iFinD）'!$AA650="",'实盘净值数据(iFinD）'!$AB650="",'实盘净值数据(iFinD）'!$AL650=""),"",(SUMPRODUCT(分期持仓明细!$B$26:$Y$26,'实盘净值数据(iFinD）'!$B650:$Y650/'实盘净值数据(iFinD）'!$B$69:$Y$69)+SUMPRODUCT(分期持仓明细!$AC$26:$AD$26,'实盘净值数据(iFinD）'!$Z650:$AA650/'实盘净值数据(iFinD）'!$Z$69:$AA$69)+SUMPRODUCT(分期持仓明细!$AE$26:$AO$26,'实盘净值数据(iFinD）'!$AB650:$AL650/'实盘净值数据(iFinD）'!$AB$69:$AL$69))*(1-实盘持仓初始配置!$Z$10)^(('实盘净值数据(iFinD）'!$A650-'实盘净值数据(iFinD）'!$A$69)/365))</f>
        <v/>
      </c>
      <c r="U650" s="16">
        <f>IF(OR(T649="",T650=""),"",T650/T649-1)</f>
        <v/>
      </c>
      <c r="V650" s="16">
        <f>IF(T650="","",T650/MAX(T$5:T650)-1)</f>
        <v/>
      </c>
    </row>
    <row r="651" spans="1:19">
      <c r="A651" s="15" t="str">
        <f>IF('实盘净值数据(iFinD）'!A651="","",'实盘净值数据(iFinD）'!A651)</f>
        <v/>
      </c>
      <c r="B651" s="13" t="str">
        <f>IF(OR('实盘净值数据(iFinD）'!$A651="",'实盘净值数据(iFinD）'!$B651=""),"",分期持仓明细!$AB$17*SUMPRODUCT(分期持仓明细!$B$17:$Y$17,'实盘净值数据(iFinD）'!$B651:$Y651/'实盘净值数据(iFinD）'!$B$20:$Y$20)*(1-实盘持仓初始配置!$Z$4)^(('实盘净值数据(iFinD）'!$A651-'实盘净值数据(iFinD）'!$A$6)/365))</f>
        <v/>
      </c>
      <c r="C651" s="16" t="str">
        <f t="shared" si="60"/>
        <v/>
      </c>
      <c r="D651" s="16" t="str">
        <f>IF(B651="","",B651/MAX(B$5:B651)-1)</f>
        <v/>
      </c>
      <c r="E651" s="13" t="str">
        <f>IF(OR('实盘净值数据(iFinD）'!$A651="",'实盘净值数据(iFinD）'!$B651=""),"",分期持仓明细!$AB$18*SUMPRODUCT(分期持仓明细!$B$18:$Y$18,'实盘净值数据(iFinD）'!$B651:$Y651/'实盘净值数据(iFinD）'!$B$20:$Y$20)*(1-实盘持仓初始配置!$Z$5)^(('实盘净值数据(iFinD）'!$A651-'实盘净值数据(iFinD）'!$A$5)/365))</f>
        <v/>
      </c>
      <c r="F651" s="16" t="str">
        <f t="shared" si="61"/>
        <v/>
      </c>
      <c r="G651" s="16" t="str">
        <f>IF(E651="","",E651/MAX(E$5:E651)-1)</f>
        <v/>
      </c>
      <c r="H651" s="13" t="str">
        <f>IF(OR('实盘净值数据(iFinD）'!$A651="",'实盘净值数据(iFinD）'!$B651=""),"",分期持仓明细!$AB$19*SUMPRODUCT(分期持仓明细!$B$19:$Y$19,'实盘净值数据(iFinD）'!$B651:$Y651/'实盘净值数据(iFinD）'!$B$20:$Y$20)*(1-实盘持仓初始配置!$Z$6)^(('实盘净值数据(iFinD）'!$A651-'实盘净值数据(iFinD）'!$A$7)/365))</f>
        <v/>
      </c>
      <c r="I651" s="16" t="str">
        <f t="shared" si="62"/>
        <v/>
      </c>
      <c r="J651" s="16" t="str">
        <f>IF(H651="","",H651/MAX(H$5:H651)-1)</f>
        <v/>
      </c>
      <c r="K651" s="13" t="str">
        <f>IF(OR('实盘净值数据(iFinD）'!$A651="",'实盘净值数据(iFinD）'!$B651="",'实盘净值数据(iFinD）'!$Z651="",'实盘净值数据(iFinD）'!$AA651=""),"",分期持仓明细!$AB$23*(SUMPRODUCT(分期持仓明细!$B$23:$Y$23,'实盘净值数据(iFinD）'!$B651:$Y651/'实盘净值数据(iFinD）'!$B$65:$Y$65)+SUMPRODUCT(分期持仓明细!$AC$23:$AD$23,'实盘净值数据(iFinD）'!$Z651:$AA651/'实盘净值数据(iFinD）'!$Z$65:$AA$65))*(1-实盘持仓初始配置!$Z$7)^(('实盘净值数据(iFinD）'!$A651-'实盘净值数据(iFinD）'!$A$8)/365))</f>
        <v/>
      </c>
      <c r="L651" s="16" t="str">
        <f t="shared" si="63"/>
        <v/>
      </c>
      <c r="M651" s="16" t="str">
        <f>IF(K651="","",K651/MAX(K$5:K651)-1)</f>
        <v/>
      </c>
      <c r="N651" s="13" t="str">
        <f>IF(OR('实盘净值数据(iFinD）'!$A651="",'实盘净值数据(iFinD）'!$B651="",'实盘净值数据(iFinD）'!$Z651="",'实盘净值数据(iFinD）'!$AA651=""),"",分期持仓明细!$AB$24*(SUMPRODUCT(分期持仓明细!$B$24:$Y$24,'实盘净值数据(iFinD）'!$B651:$Y651/'实盘净值数据(iFinD）'!$B$65:$Y$65)+SUMPRODUCT(分期持仓明细!$AC$24:$AD$24,'实盘净值数据(iFinD）'!$Z651:$AA651/'实盘净值数据(iFinD）'!$Z$65:$AA$65))*(1-实盘持仓初始配置!$Z$8)^(('实盘净值数据(iFinD）'!$A651-'实盘净值数据(iFinD）'!$A$5)/365))</f>
        <v/>
      </c>
      <c r="O651" s="16" t="str">
        <f t="shared" si="64"/>
        <v/>
      </c>
      <c r="P651" s="16" t="str">
        <f>IF(N651="","",N651/MAX(N$5:N651)-1)</f>
        <v/>
      </c>
      <c r="Q651" s="13" t="str">
        <f>IF(OR('实盘净值数据(iFinD）'!$A651="",'实盘净值数据(iFinD）'!$B651="",'实盘净值数据(iFinD）'!$Z651="",'实盘净值数据(iFinD）'!$AA651=""),"",分期持仓明细!$AB$25*(SUMPRODUCT(分期持仓明细!$B$25:$Y$25,'实盘净值数据(iFinD）'!$B651:$Y651/'实盘净值数据(iFinD）'!$B$65:$Y$65)+SUMPRODUCT(分期持仓明细!$AC$25:$AD$25,'实盘净值数据(iFinD）'!$Z651:$AA651/'实盘净值数据(iFinD）'!$Z$65:$AA$65))*(1-实盘持仓初始配置!$Z$9)^(('实盘净值数据(iFinD）'!$A651-'实盘净值数据(iFinD）'!$A$8)/365))</f>
        <v/>
      </c>
      <c r="R651" s="16" t="str">
        <f t="shared" si="65"/>
        <v/>
      </c>
      <c r="S651" s="16" t="str">
        <f>IF(Q651="","",Q651/MAX(Q$5:Q651)-1)</f>
        <v/>
      </c>
      <c r="T651" s="13">
        <f>IF(OR('实盘净值数据(iFinD）'!$A651="",'实盘净值数据(iFinD）'!$B651="",'实盘净值数据(iFinD）'!$Z651="",'实盘净值数据(iFinD）'!$AA651="",'实盘净值数据(iFinD）'!$AB651="",'实盘净值数据(iFinD）'!$AL651=""),"",(SUMPRODUCT(分期持仓明细!$B$26:$Y$26,'实盘净值数据(iFinD）'!$B651:$Y651/'实盘净值数据(iFinD）'!$B$69:$Y$69)+SUMPRODUCT(分期持仓明细!$AC$26:$AD$26,'实盘净值数据(iFinD）'!$Z651:$AA651/'实盘净值数据(iFinD）'!$Z$69:$AA$69)+SUMPRODUCT(分期持仓明细!$AE$26:$AO$26,'实盘净值数据(iFinD）'!$AB651:$AL651/'实盘净值数据(iFinD）'!$AB$69:$AL$69))*(1-实盘持仓初始配置!$Z$10)^(('实盘净值数据(iFinD）'!$A651-'实盘净值数据(iFinD）'!$A$69)/365))</f>
        <v/>
      </c>
      <c r="U651" s="16">
        <f>IF(OR(T650="",T651=""),"",T651/T650-1)</f>
        <v/>
      </c>
      <c r="V651" s="16">
        <f>IF(T651="","",T651/MAX(T$5:T651)-1)</f>
        <v/>
      </c>
    </row>
    <row r="652" spans="1:19">
      <c r="A652" s="15" t="str">
        <f>IF('实盘净值数据(iFinD）'!A652="","",'实盘净值数据(iFinD）'!A652)</f>
        <v/>
      </c>
      <c r="B652" s="13" t="str">
        <f>IF(OR('实盘净值数据(iFinD）'!$A652="",'实盘净值数据(iFinD）'!$B652=""),"",分期持仓明细!$AB$17*SUMPRODUCT(分期持仓明细!$B$17:$Y$17,'实盘净值数据(iFinD）'!$B652:$Y652/'实盘净值数据(iFinD）'!$B$20:$Y$20)*(1-实盘持仓初始配置!$Z$4)^(('实盘净值数据(iFinD）'!$A652-'实盘净值数据(iFinD）'!$A$6)/365))</f>
        <v/>
      </c>
      <c r="C652" s="16" t="str">
        <f t="shared" si="60"/>
        <v/>
      </c>
      <c r="D652" s="16" t="str">
        <f>IF(B652="","",B652/MAX(B$5:B652)-1)</f>
        <v/>
      </c>
      <c r="E652" s="13" t="str">
        <f>IF(OR('实盘净值数据(iFinD）'!$A652="",'实盘净值数据(iFinD）'!$B652=""),"",分期持仓明细!$AB$18*SUMPRODUCT(分期持仓明细!$B$18:$Y$18,'实盘净值数据(iFinD）'!$B652:$Y652/'实盘净值数据(iFinD）'!$B$20:$Y$20)*(1-实盘持仓初始配置!$Z$5)^(('实盘净值数据(iFinD）'!$A652-'实盘净值数据(iFinD）'!$A$5)/365))</f>
        <v/>
      </c>
      <c r="F652" s="16" t="str">
        <f t="shared" si="61"/>
        <v/>
      </c>
      <c r="G652" s="16" t="str">
        <f>IF(E652="","",E652/MAX(E$5:E652)-1)</f>
        <v/>
      </c>
      <c r="H652" s="13" t="str">
        <f>IF(OR('实盘净值数据(iFinD）'!$A652="",'实盘净值数据(iFinD）'!$B652=""),"",分期持仓明细!$AB$19*SUMPRODUCT(分期持仓明细!$B$19:$Y$19,'实盘净值数据(iFinD）'!$B652:$Y652/'实盘净值数据(iFinD）'!$B$20:$Y$20)*(1-实盘持仓初始配置!$Z$6)^(('实盘净值数据(iFinD）'!$A652-'实盘净值数据(iFinD）'!$A$7)/365))</f>
        <v/>
      </c>
      <c r="I652" s="16" t="str">
        <f t="shared" si="62"/>
        <v/>
      </c>
      <c r="J652" s="16" t="str">
        <f>IF(H652="","",H652/MAX(H$5:H652)-1)</f>
        <v/>
      </c>
      <c r="K652" s="13" t="str">
        <f>IF(OR('实盘净值数据(iFinD）'!$A652="",'实盘净值数据(iFinD）'!$B652="",'实盘净值数据(iFinD）'!$Z652="",'实盘净值数据(iFinD）'!$AA652=""),"",分期持仓明细!$AB$23*(SUMPRODUCT(分期持仓明细!$B$23:$Y$23,'实盘净值数据(iFinD）'!$B652:$Y652/'实盘净值数据(iFinD）'!$B$65:$Y$65)+SUMPRODUCT(分期持仓明细!$AC$23:$AD$23,'实盘净值数据(iFinD）'!$Z652:$AA652/'实盘净值数据(iFinD）'!$Z$65:$AA$65))*(1-实盘持仓初始配置!$Z$7)^(('实盘净值数据(iFinD）'!$A652-'实盘净值数据(iFinD）'!$A$8)/365))</f>
        <v/>
      </c>
      <c r="L652" s="16" t="str">
        <f t="shared" si="63"/>
        <v/>
      </c>
      <c r="M652" s="16" t="str">
        <f>IF(K652="","",K652/MAX(K$5:K652)-1)</f>
        <v/>
      </c>
      <c r="N652" s="13" t="str">
        <f>IF(OR('实盘净值数据(iFinD）'!$A652="",'实盘净值数据(iFinD）'!$B652="",'实盘净值数据(iFinD）'!$Z652="",'实盘净值数据(iFinD）'!$AA652=""),"",分期持仓明细!$AB$24*(SUMPRODUCT(分期持仓明细!$B$24:$Y$24,'实盘净值数据(iFinD）'!$B652:$Y652/'实盘净值数据(iFinD）'!$B$65:$Y$65)+SUMPRODUCT(分期持仓明细!$AC$24:$AD$24,'实盘净值数据(iFinD）'!$Z652:$AA652/'实盘净值数据(iFinD）'!$Z$65:$AA$65))*(1-实盘持仓初始配置!$Z$8)^(('实盘净值数据(iFinD）'!$A652-'实盘净值数据(iFinD）'!$A$5)/365))</f>
        <v/>
      </c>
      <c r="O652" s="16" t="str">
        <f t="shared" si="64"/>
        <v/>
      </c>
      <c r="P652" s="16" t="str">
        <f>IF(N652="","",N652/MAX(N$5:N652)-1)</f>
        <v/>
      </c>
      <c r="Q652" s="13" t="str">
        <f>IF(OR('实盘净值数据(iFinD）'!$A652="",'实盘净值数据(iFinD）'!$B652="",'实盘净值数据(iFinD）'!$Z652="",'实盘净值数据(iFinD）'!$AA652=""),"",分期持仓明细!$AB$25*(SUMPRODUCT(分期持仓明细!$B$25:$Y$25,'实盘净值数据(iFinD）'!$B652:$Y652/'实盘净值数据(iFinD）'!$B$65:$Y$65)+SUMPRODUCT(分期持仓明细!$AC$25:$AD$25,'实盘净值数据(iFinD）'!$Z652:$AA652/'实盘净值数据(iFinD）'!$Z$65:$AA$65))*(1-实盘持仓初始配置!$Z$9)^(('实盘净值数据(iFinD）'!$A652-'实盘净值数据(iFinD）'!$A$8)/365))</f>
        <v/>
      </c>
      <c r="R652" s="16" t="str">
        <f t="shared" si="65"/>
        <v/>
      </c>
      <c r="S652" s="16" t="str">
        <f>IF(Q652="","",Q652/MAX(Q$5:Q652)-1)</f>
        <v/>
      </c>
      <c r="T652" s="13">
        <f>IF(OR('实盘净值数据(iFinD）'!$A652="",'实盘净值数据(iFinD）'!$B652="",'实盘净值数据(iFinD）'!$Z652="",'实盘净值数据(iFinD）'!$AA652="",'实盘净值数据(iFinD）'!$AB652="",'实盘净值数据(iFinD）'!$AL652=""),"",(SUMPRODUCT(分期持仓明细!$B$26:$Y$26,'实盘净值数据(iFinD）'!$B652:$Y652/'实盘净值数据(iFinD）'!$B$69:$Y$69)+SUMPRODUCT(分期持仓明细!$AC$26:$AD$26,'实盘净值数据(iFinD）'!$Z652:$AA652/'实盘净值数据(iFinD）'!$Z$69:$AA$69)+SUMPRODUCT(分期持仓明细!$AE$26:$AO$26,'实盘净值数据(iFinD）'!$AB652:$AL652/'实盘净值数据(iFinD）'!$AB$69:$AL$69))*(1-实盘持仓初始配置!$Z$10)^(('实盘净值数据(iFinD）'!$A652-'实盘净值数据(iFinD）'!$A$69)/365))</f>
        <v/>
      </c>
      <c r="U652" s="16">
        <f>IF(OR(T651="",T652=""),"",T652/T651-1)</f>
        <v/>
      </c>
      <c r="V652" s="16">
        <f>IF(T652="","",T652/MAX(T$5:T652)-1)</f>
        <v/>
      </c>
    </row>
    <row r="653" spans="1:19">
      <c r="A653" s="15" t="str">
        <f>IF('实盘净值数据(iFinD）'!A653="","",'实盘净值数据(iFinD）'!A653)</f>
        <v/>
      </c>
      <c r="B653" s="13" t="str">
        <f>IF(OR('实盘净值数据(iFinD）'!$A653="",'实盘净值数据(iFinD）'!$B653=""),"",分期持仓明细!$AB$17*SUMPRODUCT(分期持仓明细!$B$17:$Y$17,'实盘净值数据(iFinD）'!$B653:$Y653/'实盘净值数据(iFinD）'!$B$20:$Y$20)*(1-实盘持仓初始配置!$Z$4)^(('实盘净值数据(iFinD）'!$A653-'实盘净值数据(iFinD）'!$A$6)/365))</f>
        <v/>
      </c>
      <c r="C653" s="16" t="str">
        <f t="shared" si="60"/>
        <v/>
      </c>
      <c r="D653" s="16" t="str">
        <f>IF(B653="","",B653/MAX(B$5:B653)-1)</f>
        <v/>
      </c>
      <c r="E653" s="13" t="str">
        <f>IF(OR('实盘净值数据(iFinD）'!$A653="",'实盘净值数据(iFinD）'!$B653=""),"",分期持仓明细!$AB$18*SUMPRODUCT(分期持仓明细!$B$18:$Y$18,'实盘净值数据(iFinD）'!$B653:$Y653/'实盘净值数据(iFinD）'!$B$20:$Y$20)*(1-实盘持仓初始配置!$Z$5)^(('实盘净值数据(iFinD）'!$A653-'实盘净值数据(iFinD）'!$A$5)/365))</f>
        <v/>
      </c>
      <c r="F653" s="16" t="str">
        <f t="shared" si="61"/>
        <v/>
      </c>
      <c r="G653" s="16" t="str">
        <f>IF(E653="","",E653/MAX(E$5:E653)-1)</f>
        <v/>
      </c>
      <c r="H653" s="13" t="str">
        <f>IF(OR('实盘净值数据(iFinD）'!$A653="",'实盘净值数据(iFinD）'!$B653=""),"",分期持仓明细!$AB$19*SUMPRODUCT(分期持仓明细!$B$19:$Y$19,'实盘净值数据(iFinD）'!$B653:$Y653/'实盘净值数据(iFinD）'!$B$20:$Y$20)*(1-实盘持仓初始配置!$Z$6)^(('实盘净值数据(iFinD）'!$A653-'实盘净值数据(iFinD）'!$A$7)/365))</f>
        <v/>
      </c>
      <c r="I653" s="16" t="str">
        <f t="shared" si="62"/>
        <v/>
      </c>
      <c r="J653" s="16" t="str">
        <f>IF(H653="","",H653/MAX(H$5:H653)-1)</f>
        <v/>
      </c>
      <c r="K653" s="13" t="str">
        <f>IF(OR('实盘净值数据(iFinD）'!$A653="",'实盘净值数据(iFinD）'!$B653="",'实盘净值数据(iFinD）'!$Z653="",'实盘净值数据(iFinD）'!$AA653=""),"",分期持仓明细!$AB$23*(SUMPRODUCT(分期持仓明细!$B$23:$Y$23,'实盘净值数据(iFinD）'!$B653:$Y653/'实盘净值数据(iFinD）'!$B$65:$Y$65)+SUMPRODUCT(分期持仓明细!$AC$23:$AD$23,'实盘净值数据(iFinD）'!$Z653:$AA653/'实盘净值数据(iFinD）'!$Z$65:$AA$65))*(1-实盘持仓初始配置!$Z$7)^(('实盘净值数据(iFinD）'!$A653-'实盘净值数据(iFinD）'!$A$8)/365))</f>
        <v/>
      </c>
      <c r="L653" s="16" t="str">
        <f t="shared" si="63"/>
        <v/>
      </c>
      <c r="M653" s="16" t="str">
        <f>IF(K653="","",K653/MAX(K$5:K653)-1)</f>
        <v/>
      </c>
      <c r="N653" s="13" t="str">
        <f>IF(OR('实盘净值数据(iFinD）'!$A653="",'实盘净值数据(iFinD）'!$B653="",'实盘净值数据(iFinD）'!$Z653="",'实盘净值数据(iFinD）'!$AA653=""),"",分期持仓明细!$AB$24*(SUMPRODUCT(分期持仓明细!$B$24:$Y$24,'实盘净值数据(iFinD）'!$B653:$Y653/'实盘净值数据(iFinD）'!$B$65:$Y$65)+SUMPRODUCT(分期持仓明细!$AC$24:$AD$24,'实盘净值数据(iFinD）'!$Z653:$AA653/'实盘净值数据(iFinD）'!$Z$65:$AA$65))*(1-实盘持仓初始配置!$Z$8)^(('实盘净值数据(iFinD）'!$A653-'实盘净值数据(iFinD）'!$A$5)/365))</f>
        <v/>
      </c>
      <c r="O653" s="16" t="str">
        <f t="shared" si="64"/>
        <v/>
      </c>
      <c r="P653" s="16" t="str">
        <f>IF(N653="","",N653/MAX(N$5:N653)-1)</f>
        <v/>
      </c>
      <c r="Q653" s="13" t="str">
        <f>IF(OR('实盘净值数据(iFinD）'!$A653="",'实盘净值数据(iFinD）'!$B653="",'实盘净值数据(iFinD）'!$Z653="",'实盘净值数据(iFinD）'!$AA653=""),"",分期持仓明细!$AB$25*(SUMPRODUCT(分期持仓明细!$B$25:$Y$25,'实盘净值数据(iFinD）'!$B653:$Y653/'实盘净值数据(iFinD）'!$B$65:$Y$65)+SUMPRODUCT(分期持仓明细!$AC$25:$AD$25,'实盘净值数据(iFinD）'!$Z653:$AA653/'实盘净值数据(iFinD）'!$Z$65:$AA$65))*(1-实盘持仓初始配置!$Z$9)^(('实盘净值数据(iFinD）'!$A653-'实盘净值数据(iFinD）'!$A$8)/365))</f>
        <v/>
      </c>
      <c r="R653" s="16" t="str">
        <f t="shared" si="65"/>
        <v/>
      </c>
      <c r="S653" s="16" t="str">
        <f>IF(Q653="","",Q653/MAX(Q$5:Q653)-1)</f>
        <v/>
      </c>
      <c r="T653" s="13">
        <f>IF(OR('实盘净值数据(iFinD）'!$A653="",'实盘净值数据(iFinD）'!$B653="",'实盘净值数据(iFinD）'!$Z653="",'实盘净值数据(iFinD）'!$AA653="",'实盘净值数据(iFinD）'!$AB653="",'实盘净值数据(iFinD）'!$AL653=""),"",(SUMPRODUCT(分期持仓明细!$B$26:$Y$26,'实盘净值数据(iFinD）'!$B653:$Y653/'实盘净值数据(iFinD）'!$B$69:$Y$69)+SUMPRODUCT(分期持仓明细!$AC$26:$AD$26,'实盘净值数据(iFinD）'!$Z653:$AA653/'实盘净值数据(iFinD）'!$Z$69:$AA$69)+SUMPRODUCT(分期持仓明细!$AE$26:$AO$26,'实盘净值数据(iFinD）'!$AB653:$AL653/'实盘净值数据(iFinD）'!$AB$69:$AL$69))*(1-实盘持仓初始配置!$Z$10)^(('实盘净值数据(iFinD）'!$A653-'实盘净值数据(iFinD）'!$A$69)/365))</f>
        <v/>
      </c>
      <c r="U653" s="16">
        <f>IF(OR(T652="",T653=""),"",T653/T652-1)</f>
        <v/>
      </c>
      <c r="V653" s="16">
        <f>IF(T653="","",T653/MAX(T$5:T653)-1)</f>
        <v/>
      </c>
    </row>
    <row r="654" spans="1:19">
      <c r="A654" s="15" t="str">
        <f>IF('实盘净值数据(iFinD）'!A654="","",'实盘净值数据(iFinD）'!A654)</f>
        <v/>
      </c>
      <c r="B654" s="13" t="str">
        <f>IF(OR('实盘净值数据(iFinD）'!$A654="",'实盘净值数据(iFinD）'!$B654=""),"",分期持仓明细!$AB$17*SUMPRODUCT(分期持仓明细!$B$17:$Y$17,'实盘净值数据(iFinD）'!$B654:$Y654/'实盘净值数据(iFinD）'!$B$20:$Y$20)*(1-实盘持仓初始配置!$Z$4)^(('实盘净值数据(iFinD）'!$A654-'实盘净值数据(iFinD）'!$A$6)/365))</f>
        <v/>
      </c>
      <c r="C654" s="16" t="str">
        <f t="shared" si="60"/>
        <v/>
      </c>
      <c r="D654" s="16" t="str">
        <f>IF(B654="","",B654/MAX(B$5:B654)-1)</f>
        <v/>
      </c>
      <c r="E654" s="13" t="str">
        <f>IF(OR('实盘净值数据(iFinD）'!$A654="",'实盘净值数据(iFinD）'!$B654=""),"",分期持仓明细!$AB$18*SUMPRODUCT(分期持仓明细!$B$18:$Y$18,'实盘净值数据(iFinD）'!$B654:$Y654/'实盘净值数据(iFinD）'!$B$20:$Y$20)*(1-实盘持仓初始配置!$Z$5)^(('实盘净值数据(iFinD）'!$A654-'实盘净值数据(iFinD）'!$A$5)/365))</f>
        <v/>
      </c>
      <c r="F654" s="16" t="str">
        <f t="shared" si="61"/>
        <v/>
      </c>
      <c r="G654" s="16" t="str">
        <f>IF(E654="","",E654/MAX(E$5:E654)-1)</f>
        <v/>
      </c>
      <c r="H654" s="13" t="str">
        <f>IF(OR('实盘净值数据(iFinD）'!$A654="",'实盘净值数据(iFinD）'!$B654=""),"",分期持仓明细!$AB$19*SUMPRODUCT(分期持仓明细!$B$19:$Y$19,'实盘净值数据(iFinD）'!$B654:$Y654/'实盘净值数据(iFinD）'!$B$20:$Y$20)*(1-实盘持仓初始配置!$Z$6)^(('实盘净值数据(iFinD）'!$A654-'实盘净值数据(iFinD）'!$A$7)/365))</f>
        <v/>
      </c>
      <c r="I654" s="16" t="str">
        <f t="shared" si="62"/>
        <v/>
      </c>
      <c r="J654" s="16" t="str">
        <f>IF(H654="","",H654/MAX(H$5:H654)-1)</f>
        <v/>
      </c>
      <c r="K654" s="13" t="str">
        <f>IF(OR('实盘净值数据(iFinD）'!$A654="",'实盘净值数据(iFinD）'!$B654="",'实盘净值数据(iFinD）'!$Z654="",'实盘净值数据(iFinD）'!$AA654=""),"",分期持仓明细!$AB$23*(SUMPRODUCT(分期持仓明细!$B$23:$Y$23,'实盘净值数据(iFinD）'!$B654:$Y654/'实盘净值数据(iFinD）'!$B$65:$Y$65)+SUMPRODUCT(分期持仓明细!$AC$23:$AD$23,'实盘净值数据(iFinD）'!$Z654:$AA654/'实盘净值数据(iFinD）'!$Z$65:$AA$65))*(1-实盘持仓初始配置!$Z$7)^(('实盘净值数据(iFinD）'!$A654-'实盘净值数据(iFinD）'!$A$8)/365))</f>
        <v/>
      </c>
      <c r="L654" s="16" t="str">
        <f t="shared" si="63"/>
        <v/>
      </c>
      <c r="M654" s="16" t="str">
        <f>IF(K654="","",K654/MAX(K$5:K654)-1)</f>
        <v/>
      </c>
      <c r="N654" s="13" t="str">
        <f>IF(OR('实盘净值数据(iFinD）'!$A654="",'实盘净值数据(iFinD）'!$B654="",'实盘净值数据(iFinD）'!$Z654="",'实盘净值数据(iFinD）'!$AA654=""),"",分期持仓明细!$AB$24*(SUMPRODUCT(分期持仓明细!$B$24:$Y$24,'实盘净值数据(iFinD）'!$B654:$Y654/'实盘净值数据(iFinD）'!$B$65:$Y$65)+SUMPRODUCT(分期持仓明细!$AC$24:$AD$24,'实盘净值数据(iFinD）'!$Z654:$AA654/'实盘净值数据(iFinD）'!$Z$65:$AA$65))*(1-实盘持仓初始配置!$Z$8)^(('实盘净值数据(iFinD）'!$A654-'实盘净值数据(iFinD）'!$A$5)/365))</f>
        <v/>
      </c>
      <c r="O654" s="16" t="str">
        <f t="shared" si="64"/>
        <v/>
      </c>
      <c r="P654" s="16" t="str">
        <f>IF(N654="","",N654/MAX(N$5:N654)-1)</f>
        <v/>
      </c>
      <c r="Q654" s="13" t="str">
        <f>IF(OR('实盘净值数据(iFinD）'!$A654="",'实盘净值数据(iFinD）'!$B654="",'实盘净值数据(iFinD）'!$Z654="",'实盘净值数据(iFinD）'!$AA654=""),"",分期持仓明细!$AB$25*(SUMPRODUCT(分期持仓明细!$B$25:$Y$25,'实盘净值数据(iFinD）'!$B654:$Y654/'实盘净值数据(iFinD）'!$B$65:$Y$65)+SUMPRODUCT(分期持仓明细!$AC$25:$AD$25,'实盘净值数据(iFinD）'!$Z654:$AA654/'实盘净值数据(iFinD）'!$Z$65:$AA$65))*(1-实盘持仓初始配置!$Z$9)^(('实盘净值数据(iFinD）'!$A654-'实盘净值数据(iFinD）'!$A$8)/365))</f>
        <v/>
      </c>
      <c r="R654" s="16" t="str">
        <f t="shared" si="65"/>
        <v/>
      </c>
      <c r="S654" s="16" t="str">
        <f>IF(Q654="","",Q654/MAX(Q$5:Q654)-1)</f>
        <v/>
      </c>
      <c r="T654" s="13">
        <f>IF(OR('实盘净值数据(iFinD）'!$A654="",'实盘净值数据(iFinD）'!$B654="",'实盘净值数据(iFinD）'!$Z654="",'实盘净值数据(iFinD）'!$AA654="",'实盘净值数据(iFinD）'!$AB654="",'实盘净值数据(iFinD）'!$AL654=""),"",(SUMPRODUCT(分期持仓明细!$B$26:$Y$26,'实盘净值数据(iFinD）'!$B654:$Y654/'实盘净值数据(iFinD）'!$B$69:$Y$69)+SUMPRODUCT(分期持仓明细!$AC$26:$AD$26,'实盘净值数据(iFinD）'!$Z654:$AA654/'实盘净值数据(iFinD）'!$Z$69:$AA$69)+SUMPRODUCT(分期持仓明细!$AE$26:$AO$26,'实盘净值数据(iFinD）'!$AB654:$AL654/'实盘净值数据(iFinD）'!$AB$69:$AL$69))*(1-实盘持仓初始配置!$Z$10)^(('实盘净值数据(iFinD）'!$A654-'实盘净值数据(iFinD）'!$A$69)/365))</f>
        <v/>
      </c>
      <c r="U654" s="16">
        <f>IF(OR(T653="",T654=""),"",T654/T653-1)</f>
        <v/>
      </c>
      <c r="V654" s="16">
        <f>IF(T654="","",T654/MAX(T$5:T654)-1)</f>
        <v/>
      </c>
    </row>
    <row r="655" spans="1:19">
      <c r="A655" s="15" t="str">
        <f>IF('实盘净值数据(iFinD）'!A655="","",'实盘净值数据(iFinD）'!A655)</f>
        <v/>
      </c>
      <c r="B655" s="13" t="str">
        <f>IF(OR('实盘净值数据(iFinD）'!$A655="",'实盘净值数据(iFinD）'!$B655=""),"",分期持仓明细!$AB$17*SUMPRODUCT(分期持仓明细!$B$17:$Y$17,'实盘净值数据(iFinD）'!$B655:$Y655/'实盘净值数据(iFinD）'!$B$20:$Y$20)*(1-实盘持仓初始配置!$Z$4)^(('实盘净值数据(iFinD）'!$A655-'实盘净值数据(iFinD）'!$A$6)/365))</f>
        <v/>
      </c>
      <c r="C655" s="16" t="str">
        <f t="shared" si="60"/>
        <v/>
      </c>
      <c r="D655" s="16" t="str">
        <f>IF(B655="","",B655/MAX(B$5:B655)-1)</f>
        <v/>
      </c>
      <c r="E655" s="13" t="str">
        <f>IF(OR('实盘净值数据(iFinD）'!$A655="",'实盘净值数据(iFinD）'!$B655=""),"",分期持仓明细!$AB$18*SUMPRODUCT(分期持仓明细!$B$18:$Y$18,'实盘净值数据(iFinD）'!$B655:$Y655/'实盘净值数据(iFinD）'!$B$20:$Y$20)*(1-实盘持仓初始配置!$Z$5)^(('实盘净值数据(iFinD）'!$A655-'实盘净值数据(iFinD）'!$A$5)/365))</f>
        <v/>
      </c>
      <c r="F655" s="16" t="str">
        <f t="shared" si="61"/>
        <v/>
      </c>
      <c r="G655" s="16" t="str">
        <f>IF(E655="","",E655/MAX(E$5:E655)-1)</f>
        <v/>
      </c>
      <c r="H655" s="13" t="str">
        <f>IF(OR('实盘净值数据(iFinD）'!$A655="",'实盘净值数据(iFinD）'!$B655=""),"",分期持仓明细!$AB$19*SUMPRODUCT(分期持仓明细!$B$19:$Y$19,'实盘净值数据(iFinD）'!$B655:$Y655/'实盘净值数据(iFinD）'!$B$20:$Y$20)*(1-实盘持仓初始配置!$Z$6)^(('实盘净值数据(iFinD）'!$A655-'实盘净值数据(iFinD）'!$A$7)/365))</f>
        <v/>
      </c>
      <c r="I655" s="16" t="str">
        <f t="shared" si="62"/>
        <v/>
      </c>
      <c r="J655" s="16" t="str">
        <f>IF(H655="","",H655/MAX(H$5:H655)-1)</f>
        <v/>
      </c>
      <c r="K655" s="13" t="str">
        <f>IF(OR('实盘净值数据(iFinD）'!$A655="",'实盘净值数据(iFinD）'!$B655="",'实盘净值数据(iFinD）'!$Z655="",'实盘净值数据(iFinD）'!$AA655=""),"",分期持仓明细!$AB$23*(SUMPRODUCT(分期持仓明细!$B$23:$Y$23,'实盘净值数据(iFinD）'!$B655:$Y655/'实盘净值数据(iFinD）'!$B$65:$Y$65)+SUMPRODUCT(分期持仓明细!$AC$23:$AD$23,'实盘净值数据(iFinD）'!$Z655:$AA655/'实盘净值数据(iFinD）'!$Z$65:$AA$65))*(1-实盘持仓初始配置!$Z$7)^(('实盘净值数据(iFinD）'!$A655-'实盘净值数据(iFinD）'!$A$8)/365))</f>
        <v/>
      </c>
      <c r="L655" s="16" t="str">
        <f t="shared" si="63"/>
        <v/>
      </c>
      <c r="M655" s="16" t="str">
        <f>IF(K655="","",K655/MAX(K$5:K655)-1)</f>
        <v/>
      </c>
      <c r="N655" s="13" t="str">
        <f>IF(OR('实盘净值数据(iFinD）'!$A655="",'实盘净值数据(iFinD）'!$B655="",'实盘净值数据(iFinD）'!$Z655="",'实盘净值数据(iFinD）'!$AA655=""),"",分期持仓明细!$AB$24*(SUMPRODUCT(分期持仓明细!$B$24:$Y$24,'实盘净值数据(iFinD）'!$B655:$Y655/'实盘净值数据(iFinD）'!$B$65:$Y$65)+SUMPRODUCT(分期持仓明细!$AC$24:$AD$24,'实盘净值数据(iFinD）'!$Z655:$AA655/'实盘净值数据(iFinD）'!$Z$65:$AA$65))*(1-实盘持仓初始配置!$Z$8)^(('实盘净值数据(iFinD）'!$A655-'实盘净值数据(iFinD）'!$A$5)/365))</f>
        <v/>
      </c>
      <c r="O655" s="16" t="str">
        <f t="shared" si="64"/>
        <v/>
      </c>
      <c r="P655" s="16" t="str">
        <f>IF(N655="","",N655/MAX(N$5:N655)-1)</f>
        <v/>
      </c>
      <c r="Q655" s="13" t="str">
        <f>IF(OR('实盘净值数据(iFinD）'!$A655="",'实盘净值数据(iFinD）'!$B655="",'实盘净值数据(iFinD）'!$Z655="",'实盘净值数据(iFinD）'!$AA655=""),"",分期持仓明细!$AB$25*(SUMPRODUCT(分期持仓明细!$B$25:$Y$25,'实盘净值数据(iFinD）'!$B655:$Y655/'实盘净值数据(iFinD）'!$B$65:$Y$65)+SUMPRODUCT(分期持仓明细!$AC$25:$AD$25,'实盘净值数据(iFinD）'!$Z655:$AA655/'实盘净值数据(iFinD）'!$Z$65:$AA$65))*(1-实盘持仓初始配置!$Z$9)^(('实盘净值数据(iFinD）'!$A655-'实盘净值数据(iFinD）'!$A$8)/365))</f>
        <v/>
      </c>
      <c r="R655" s="16" t="str">
        <f t="shared" si="65"/>
        <v/>
      </c>
      <c r="S655" s="16" t="str">
        <f>IF(Q655="","",Q655/MAX(Q$5:Q655)-1)</f>
        <v/>
      </c>
      <c r="T655" s="13">
        <f>IF(OR('实盘净值数据(iFinD）'!$A655="",'实盘净值数据(iFinD）'!$B655="",'实盘净值数据(iFinD）'!$Z655="",'实盘净值数据(iFinD）'!$AA655="",'实盘净值数据(iFinD）'!$AB655="",'实盘净值数据(iFinD）'!$AL655=""),"",(SUMPRODUCT(分期持仓明细!$B$26:$Y$26,'实盘净值数据(iFinD）'!$B655:$Y655/'实盘净值数据(iFinD）'!$B$69:$Y$69)+SUMPRODUCT(分期持仓明细!$AC$26:$AD$26,'实盘净值数据(iFinD）'!$Z655:$AA655/'实盘净值数据(iFinD）'!$Z$69:$AA$69)+SUMPRODUCT(分期持仓明细!$AE$26:$AO$26,'实盘净值数据(iFinD）'!$AB655:$AL655/'实盘净值数据(iFinD）'!$AB$69:$AL$69))*(1-实盘持仓初始配置!$Z$10)^(('实盘净值数据(iFinD）'!$A655-'实盘净值数据(iFinD）'!$A$69)/365))</f>
        <v/>
      </c>
      <c r="U655" s="16">
        <f>IF(OR(T654="",T655=""),"",T655/T654-1)</f>
        <v/>
      </c>
      <c r="V655" s="16">
        <f>IF(T655="","",T655/MAX(T$5:T655)-1)</f>
        <v/>
      </c>
    </row>
    <row r="656" spans="1:19">
      <c r="A656" s="15" t="str">
        <f>IF('实盘净值数据(iFinD）'!A656="","",'实盘净值数据(iFinD）'!A656)</f>
        <v/>
      </c>
      <c r="B656" s="13" t="str">
        <f>IF(OR('实盘净值数据(iFinD）'!$A656="",'实盘净值数据(iFinD）'!$B656=""),"",分期持仓明细!$AB$17*SUMPRODUCT(分期持仓明细!$B$17:$Y$17,'实盘净值数据(iFinD）'!$B656:$Y656/'实盘净值数据(iFinD）'!$B$20:$Y$20)*(1-实盘持仓初始配置!$Z$4)^(('实盘净值数据(iFinD）'!$A656-'实盘净值数据(iFinD）'!$A$6)/365))</f>
        <v/>
      </c>
      <c r="C656" s="16" t="str">
        <f t="shared" si="60"/>
        <v/>
      </c>
      <c r="D656" s="16" t="str">
        <f>IF(B656="","",B656/MAX(B$5:B656)-1)</f>
        <v/>
      </c>
      <c r="E656" s="13" t="str">
        <f>IF(OR('实盘净值数据(iFinD）'!$A656="",'实盘净值数据(iFinD）'!$B656=""),"",分期持仓明细!$AB$18*SUMPRODUCT(分期持仓明细!$B$18:$Y$18,'实盘净值数据(iFinD）'!$B656:$Y656/'实盘净值数据(iFinD）'!$B$20:$Y$20)*(1-实盘持仓初始配置!$Z$5)^(('实盘净值数据(iFinD）'!$A656-'实盘净值数据(iFinD）'!$A$5)/365))</f>
        <v/>
      </c>
      <c r="F656" s="16" t="str">
        <f t="shared" si="61"/>
        <v/>
      </c>
      <c r="G656" s="16" t="str">
        <f>IF(E656="","",E656/MAX(E$5:E656)-1)</f>
        <v/>
      </c>
      <c r="H656" s="13" t="str">
        <f>IF(OR('实盘净值数据(iFinD）'!$A656="",'实盘净值数据(iFinD）'!$B656=""),"",分期持仓明细!$AB$19*SUMPRODUCT(分期持仓明细!$B$19:$Y$19,'实盘净值数据(iFinD）'!$B656:$Y656/'实盘净值数据(iFinD）'!$B$20:$Y$20)*(1-实盘持仓初始配置!$Z$6)^(('实盘净值数据(iFinD）'!$A656-'实盘净值数据(iFinD）'!$A$7)/365))</f>
        <v/>
      </c>
      <c r="I656" s="16" t="str">
        <f t="shared" si="62"/>
        <v/>
      </c>
      <c r="J656" s="16" t="str">
        <f>IF(H656="","",H656/MAX(H$5:H656)-1)</f>
        <v/>
      </c>
      <c r="K656" s="13" t="str">
        <f>IF(OR('实盘净值数据(iFinD）'!$A656="",'实盘净值数据(iFinD）'!$B656="",'实盘净值数据(iFinD）'!$Z656="",'实盘净值数据(iFinD）'!$AA656=""),"",分期持仓明细!$AB$23*(SUMPRODUCT(分期持仓明细!$B$23:$Y$23,'实盘净值数据(iFinD）'!$B656:$Y656/'实盘净值数据(iFinD）'!$B$65:$Y$65)+SUMPRODUCT(分期持仓明细!$AC$23:$AD$23,'实盘净值数据(iFinD）'!$Z656:$AA656/'实盘净值数据(iFinD）'!$Z$65:$AA$65))*(1-实盘持仓初始配置!$Z$7)^(('实盘净值数据(iFinD）'!$A656-'实盘净值数据(iFinD）'!$A$8)/365))</f>
        <v/>
      </c>
      <c r="L656" s="16" t="str">
        <f t="shared" si="63"/>
        <v/>
      </c>
      <c r="M656" s="16" t="str">
        <f>IF(K656="","",K656/MAX(K$5:K656)-1)</f>
        <v/>
      </c>
      <c r="N656" s="13" t="str">
        <f>IF(OR('实盘净值数据(iFinD）'!$A656="",'实盘净值数据(iFinD）'!$B656="",'实盘净值数据(iFinD）'!$Z656="",'实盘净值数据(iFinD）'!$AA656=""),"",分期持仓明细!$AB$24*(SUMPRODUCT(分期持仓明细!$B$24:$Y$24,'实盘净值数据(iFinD）'!$B656:$Y656/'实盘净值数据(iFinD）'!$B$65:$Y$65)+SUMPRODUCT(分期持仓明细!$AC$24:$AD$24,'实盘净值数据(iFinD）'!$Z656:$AA656/'实盘净值数据(iFinD）'!$Z$65:$AA$65))*(1-实盘持仓初始配置!$Z$8)^(('实盘净值数据(iFinD）'!$A656-'实盘净值数据(iFinD）'!$A$5)/365))</f>
        <v/>
      </c>
      <c r="O656" s="16" t="str">
        <f t="shared" si="64"/>
        <v/>
      </c>
      <c r="P656" s="16" t="str">
        <f>IF(N656="","",N656/MAX(N$5:N656)-1)</f>
        <v/>
      </c>
      <c r="Q656" s="13" t="str">
        <f>IF(OR('实盘净值数据(iFinD）'!$A656="",'实盘净值数据(iFinD）'!$B656="",'实盘净值数据(iFinD）'!$Z656="",'实盘净值数据(iFinD）'!$AA656=""),"",分期持仓明细!$AB$25*(SUMPRODUCT(分期持仓明细!$B$25:$Y$25,'实盘净值数据(iFinD）'!$B656:$Y656/'实盘净值数据(iFinD）'!$B$65:$Y$65)+SUMPRODUCT(分期持仓明细!$AC$25:$AD$25,'实盘净值数据(iFinD）'!$Z656:$AA656/'实盘净值数据(iFinD）'!$Z$65:$AA$65))*(1-实盘持仓初始配置!$Z$9)^(('实盘净值数据(iFinD）'!$A656-'实盘净值数据(iFinD）'!$A$8)/365))</f>
        <v/>
      </c>
      <c r="R656" s="16" t="str">
        <f t="shared" si="65"/>
        <v/>
      </c>
      <c r="S656" s="16" t="str">
        <f>IF(Q656="","",Q656/MAX(Q$5:Q656)-1)</f>
        <v/>
      </c>
      <c r="T656" s="13">
        <f>IF(OR('实盘净值数据(iFinD）'!$A656="",'实盘净值数据(iFinD）'!$B656="",'实盘净值数据(iFinD）'!$Z656="",'实盘净值数据(iFinD）'!$AA656="",'实盘净值数据(iFinD）'!$AB656="",'实盘净值数据(iFinD）'!$AL656=""),"",(SUMPRODUCT(分期持仓明细!$B$26:$Y$26,'实盘净值数据(iFinD）'!$B656:$Y656/'实盘净值数据(iFinD）'!$B$69:$Y$69)+SUMPRODUCT(分期持仓明细!$AC$26:$AD$26,'实盘净值数据(iFinD）'!$Z656:$AA656/'实盘净值数据(iFinD）'!$Z$69:$AA$69)+SUMPRODUCT(分期持仓明细!$AE$26:$AO$26,'实盘净值数据(iFinD）'!$AB656:$AL656/'实盘净值数据(iFinD）'!$AB$69:$AL$69))*(1-实盘持仓初始配置!$Z$10)^(('实盘净值数据(iFinD）'!$A656-'实盘净值数据(iFinD）'!$A$69)/365))</f>
        <v/>
      </c>
      <c r="U656" s="16">
        <f>IF(OR(T655="",T656=""),"",T656/T655-1)</f>
        <v/>
      </c>
      <c r="V656" s="16">
        <f>IF(T656="","",T656/MAX(T$5:T656)-1)</f>
        <v/>
      </c>
    </row>
    <row r="657" spans="1:19">
      <c r="A657" s="15" t="str">
        <f>IF('实盘净值数据(iFinD）'!A657="","",'实盘净值数据(iFinD）'!A657)</f>
        <v/>
      </c>
      <c r="B657" s="13" t="str">
        <f>IF(OR('实盘净值数据(iFinD）'!$A657="",'实盘净值数据(iFinD）'!$B657=""),"",分期持仓明细!$AB$17*SUMPRODUCT(分期持仓明细!$B$17:$Y$17,'实盘净值数据(iFinD）'!$B657:$Y657/'实盘净值数据(iFinD）'!$B$20:$Y$20)*(1-实盘持仓初始配置!$Z$4)^(('实盘净值数据(iFinD）'!$A657-'实盘净值数据(iFinD）'!$A$6)/365))</f>
        <v/>
      </c>
      <c r="C657" s="16" t="str">
        <f t="shared" si="60"/>
        <v/>
      </c>
      <c r="D657" s="16" t="str">
        <f>IF(B657="","",B657/MAX(B$5:B657)-1)</f>
        <v/>
      </c>
      <c r="E657" s="13" t="str">
        <f>IF(OR('实盘净值数据(iFinD）'!$A657="",'实盘净值数据(iFinD）'!$B657=""),"",分期持仓明细!$AB$18*SUMPRODUCT(分期持仓明细!$B$18:$Y$18,'实盘净值数据(iFinD）'!$B657:$Y657/'实盘净值数据(iFinD）'!$B$20:$Y$20)*(1-实盘持仓初始配置!$Z$5)^(('实盘净值数据(iFinD）'!$A657-'实盘净值数据(iFinD）'!$A$5)/365))</f>
        <v/>
      </c>
      <c r="F657" s="16" t="str">
        <f t="shared" si="61"/>
        <v/>
      </c>
      <c r="G657" s="16" t="str">
        <f>IF(E657="","",E657/MAX(E$5:E657)-1)</f>
        <v/>
      </c>
      <c r="H657" s="13" t="str">
        <f>IF(OR('实盘净值数据(iFinD）'!$A657="",'实盘净值数据(iFinD）'!$B657=""),"",分期持仓明细!$AB$19*SUMPRODUCT(分期持仓明细!$B$19:$Y$19,'实盘净值数据(iFinD）'!$B657:$Y657/'实盘净值数据(iFinD）'!$B$20:$Y$20)*(1-实盘持仓初始配置!$Z$6)^(('实盘净值数据(iFinD）'!$A657-'实盘净值数据(iFinD）'!$A$7)/365))</f>
        <v/>
      </c>
      <c r="I657" s="16" t="str">
        <f t="shared" si="62"/>
        <v/>
      </c>
      <c r="J657" s="16" t="str">
        <f>IF(H657="","",H657/MAX(H$5:H657)-1)</f>
        <v/>
      </c>
      <c r="K657" s="13" t="str">
        <f>IF(OR('实盘净值数据(iFinD）'!$A657="",'实盘净值数据(iFinD）'!$B657="",'实盘净值数据(iFinD）'!$Z657="",'实盘净值数据(iFinD）'!$AA657=""),"",分期持仓明细!$AB$23*(SUMPRODUCT(分期持仓明细!$B$23:$Y$23,'实盘净值数据(iFinD）'!$B657:$Y657/'实盘净值数据(iFinD）'!$B$65:$Y$65)+SUMPRODUCT(分期持仓明细!$AC$23:$AD$23,'实盘净值数据(iFinD）'!$Z657:$AA657/'实盘净值数据(iFinD）'!$Z$65:$AA$65))*(1-实盘持仓初始配置!$Z$7)^(('实盘净值数据(iFinD）'!$A657-'实盘净值数据(iFinD）'!$A$8)/365))</f>
        <v/>
      </c>
      <c r="L657" s="16" t="str">
        <f t="shared" si="63"/>
        <v/>
      </c>
      <c r="M657" s="16" t="str">
        <f>IF(K657="","",K657/MAX(K$5:K657)-1)</f>
        <v/>
      </c>
      <c r="N657" s="13" t="str">
        <f>IF(OR('实盘净值数据(iFinD）'!$A657="",'实盘净值数据(iFinD）'!$B657="",'实盘净值数据(iFinD）'!$Z657="",'实盘净值数据(iFinD）'!$AA657=""),"",分期持仓明细!$AB$24*(SUMPRODUCT(分期持仓明细!$B$24:$Y$24,'实盘净值数据(iFinD）'!$B657:$Y657/'实盘净值数据(iFinD）'!$B$65:$Y$65)+SUMPRODUCT(分期持仓明细!$AC$24:$AD$24,'实盘净值数据(iFinD）'!$Z657:$AA657/'实盘净值数据(iFinD）'!$Z$65:$AA$65))*(1-实盘持仓初始配置!$Z$8)^(('实盘净值数据(iFinD）'!$A657-'实盘净值数据(iFinD）'!$A$5)/365))</f>
        <v/>
      </c>
      <c r="O657" s="16" t="str">
        <f t="shared" si="64"/>
        <v/>
      </c>
      <c r="P657" s="16" t="str">
        <f>IF(N657="","",N657/MAX(N$5:N657)-1)</f>
        <v/>
      </c>
      <c r="Q657" s="13" t="str">
        <f>IF(OR('实盘净值数据(iFinD）'!$A657="",'实盘净值数据(iFinD）'!$B657="",'实盘净值数据(iFinD）'!$Z657="",'实盘净值数据(iFinD）'!$AA657=""),"",分期持仓明细!$AB$25*(SUMPRODUCT(分期持仓明细!$B$25:$Y$25,'实盘净值数据(iFinD）'!$B657:$Y657/'实盘净值数据(iFinD）'!$B$65:$Y$65)+SUMPRODUCT(分期持仓明细!$AC$25:$AD$25,'实盘净值数据(iFinD）'!$Z657:$AA657/'实盘净值数据(iFinD）'!$Z$65:$AA$65))*(1-实盘持仓初始配置!$Z$9)^(('实盘净值数据(iFinD）'!$A657-'实盘净值数据(iFinD）'!$A$8)/365))</f>
        <v/>
      </c>
      <c r="R657" s="16" t="str">
        <f t="shared" si="65"/>
        <v/>
      </c>
      <c r="S657" s="16" t="str">
        <f>IF(Q657="","",Q657/MAX(Q$5:Q657)-1)</f>
        <v/>
      </c>
      <c r="T657" s="13">
        <f>IF(OR('实盘净值数据(iFinD）'!$A657="",'实盘净值数据(iFinD）'!$B657="",'实盘净值数据(iFinD）'!$Z657="",'实盘净值数据(iFinD）'!$AA657="",'实盘净值数据(iFinD）'!$AB657="",'实盘净值数据(iFinD）'!$AL657=""),"",(SUMPRODUCT(分期持仓明细!$B$26:$Y$26,'实盘净值数据(iFinD）'!$B657:$Y657/'实盘净值数据(iFinD）'!$B$69:$Y$69)+SUMPRODUCT(分期持仓明细!$AC$26:$AD$26,'实盘净值数据(iFinD）'!$Z657:$AA657/'实盘净值数据(iFinD）'!$Z$69:$AA$69)+SUMPRODUCT(分期持仓明细!$AE$26:$AO$26,'实盘净值数据(iFinD）'!$AB657:$AL657/'实盘净值数据(iFinD）'!$AB$69:$AL$69))*(1-实盘持仓初始配置!$Z$10)^(('实盘净值数据(iFinD）'!$A657-'实盘净值数据(iFinD）'!$A$69)/365))</f>
        <v/>
      </c>
      <c r="U657" s="16">
        <f>IF(OR(T656="",T657=""),"",T657/T656-1)</f>
        <v/>
      </c>
      <c r="V657" s="16">
        <f>IF(T657="","",T657/MAX(T$5:T657)-1)</f>
        <v/>
      </c>
    </row>
    <row r="658" spans="1:19">
      <c r="A658" s="15" t="str">
        <f>IF('实盘净值数据(iFinD）'!A658="","",'实盘净值数据(iFinD）'!A658)</f>
        <v/>
      </c>
      <c r="B658" s="13" t="str">
        <f>IF(OR('实盘净值数据(iFinD）'!$A658="",'实盘净值数据(iFinD）'!$B658=""),"",分期持仓明细!$AB$17*SUMPRODUCT(分期持仓明细!$B$17:$Y$17,'实盘净值数据(iFinD）'!$B658:$Y658/'实盘净值数据(iFinD）'!$B$20:$Y$20)*(1-实盘持仓初始配置!$Z$4)^(('实盘净值数据(iFinD）'!$A658-'实盘净值数据(iFinD）'!$A$6)/365))</f>
        <v/>
      </c>
      <c r="C658" s="16" t="str">
        <f t="shared" si="60"/>
        <v/>
      </c>
      <c r="D658" s="16" t="str">
        <f>IF(B658="","",B658/MAX(B$5:B658)-1)</f>
        <v/>
      </c>
      <c r="E658" s="13" t="str">
        <f>IF(OR('实盘净值数据(iFinD）'!$A658="",'实盘净值数据(iFinD）'!$B658=""),"",分期持仓明细!$AB$18*SUMPRODUCT(分期持仓明细!$B$18:$Y$18,'实盘净值数据(iFinD）'!$B658:$Y658/'实盘净值数据(iFinD）'!$B$20:$Y$20)*(1-实盘持仓初始配置!$Z$5)^(('实盘净值数据(iFinD）'!$A658-'实盘净值数据(iFinD）'!$A$5)/365))</f>
        <v/>
      </c>
      <c r="F658" s="16" t="str">
        <f t="shared" si="61"/>
        <v/>
      </c>
      <c r="G658" s="16" t="str">
        <f>IF(E658="","",E658/MAX(E$5:E658)-1)</f>
        <v/>
      </c>
      <c r="H658" s="13" t="str">
        <f>IF(OR('实盘净值数据(iFinD）'!$A658="",'实盘净值数据(iFinD）'!$B658=""),"",分期持仓明细!$AB$19*SUMPRODUCT(分期持仓明细!$B$19:$Y$19,'实盘净值数据(iFinD）'!$B658:$Y658/'实盘净值数据(iFinD）'!$B$20:$Y$20)*(1-实盘持仓初始配置!$Z$6)^(('实盘净值数据(iFinD）'!$A658-'实盘净值数据(iFinD）'!$A$7)/365))</f>
        <v/>
      </c>
      <c r="I658" s="16" t="str">
        <f t="shared" si="62"/>
        <v/>
      </c>
      <c r="J658" s="16" t="str">
        <f>IF(H658="","",H658/MAX(H$5:H658)-1)</f>
        <v/>
      </c>
      <c r="K658" s="13" t="str">
        <f>IF(OR('实盘净值数据(iFinD）'!$A658="",'实盘净值数据(iFinD）'!$B658="",'实盘净值数据(iFinD）'!$Z658="",'实盘净值数据(iFinD）'!$AA658=""),"",分期持仓明细!$AB$23*(SUMPRODUCT(分期持仓明细!$B$23:$Y$23,'实盘净值数据(iFinD）'!$B658:$Y658/'实盘净值数据(iFinD）'!$B$65:$Y$65)+SUMPRODUCT(分期持仓明细!$AC$23:$AD$23,'实盘净值数据(iFinD）'!$Z658:$AA658/'实盘净值数据(iFinD）'!$Z$65:$AA$65))*(1-实盘持仓初始配置!$Z$7)^(('实盘净值数据(iFinD）'!$A658-'实盘净值数据(iFinD）'!$A$8)/365))</f>
        <v/>
      </c>
      <c r="L658" s="16" t="str">
        <f t="shared" si="63"/>
        <v/>
      </c>
      <c r="M658" s="16" t="str">
        <f>IF(K658="","",K658/MAX(K$5:K658)-1)</f>
        <v/>
      </c>
      <c r="N658" s="13" t="str">
        <f>IF(OR('实盘净值数据(iFinD）'!$A658="",'实盘净值数据(iFinD）'!$B658="",'实盘净值数据(iFinD）'!$Z658="",'实盘净值数据(iFinD）'!$AA658=""),"",分期持仓明细!$AB$24*(SUMPRODUCT(分期持仓明细!$B$24:$Y$24,'实盘净值数据(iFinD）'!$B658:$Y658/'实盘净值数据(iFinD）'!$B$65:$Y$65)+SUMPRODUCT(分期持仓明细!$AC$24:$AD$24,'实盘净值数据(iFinD）'!$Z658:$AA658/'实盘净值数据(iFinD）'!$Z$65:$AA$65))*(1-实盘持仓初始配置!$Z$8)^(('实盘净值数据(iFinD）'!$A658-'实盘净值数据(iFinD）'!$A$5)/365))</f>
        <v/>
      </c>
      <c r="O658" s="16" t="str">
        <f t="shared" si="64"/>
        <v/>
      </c>
      <c r="P658" s="16" t="str">
        <f>IF(N658="","",N658/MAX(N$5:N658)-1)</f>
        <v/>
      </c>
      <c r="Q658" s="13" t="str">
        <f>IF(OR('实盘净值数据(iFinD）'!$A658="",'实盘净值数据(iFinD）'!$B658="",'实盘净值数据(iFinD）'!$Z658="",'实盘净值数据(iFinD）'!$AA658=""),"",分期持仓明细!$AB$25*(SUMPRODUCT(分期持仓明细!$B$25:$Y$25,'实盘净值数据(iFinD）'!$B658:$Y658/'实盘净值数据(iFinD）'!$B$65:$Y$65)+SUMPRODUCT(分期持仓明细!$AC$25:$AD$25,'实盘净值数据(iFinD）'!$Z658:$AA658/'实盘净值数据(iFinD）'!$Z$65:$AA$65))*(1-实盘持仓初始配置!$Z$9)^(('实盘净值数据(iFinD）'!$A658-'实盘净值数据(iFinD）'!$A$8)/365))</f>
        <v/>
      </c>
      <c r="R658" s="16" t="str">
        <f t="shared" si="65"/>
        <v/>
      </c>
      <c r="S658" s="16" t="str">
        <f>IF(Q658="","",Q658/MAX(Q$5:Q658)-1)</f>
        <v/>
      </c>
      <c r="T658" s="13">
        <f>IF(OR('实盘净值数据(iFinD）'!$A658="",'实盘净值数据(iFinD）'!$B658="",'实盘净值数据(iFinD）'!$Z658="",'实盘净值数据(iFinD）'!$AA658="",'实盘净值数据(iFinD）'!$AB658="",'实盘净值数据(iFinD）'!$AL658=""),"",(SUMPRODUCT(分期持仓明细!$B$26:$Y$26,'实盘净值数据(iFinD）'!$B658:$Y658/'实盘净值数据(iFinD）'!$B$69:$Y$69)+SUMPRODUCT(分期持仓明细!$AC$26:$AD$26,'实盘净值数据(iFinD）'!$Z658:$AA658/'实盘净值数据(iFinD）'!$Z$69:$AA$69)+SUMPRODUCT(分期持仓明细!$AE$26:$AO$26,'实盘净值数据(iFinD）'!$AB658:$AL658/'实盘净值数据(iFinD）'!$AB$69:$AL$69))*(1-实盘持仓初始配置!$Z$10)^(('实盘净值数据(iFinD）'!$A658-'实盘净值数据(iFinD）'!$A$69)/365))</f>
        <v/>
      </c>
      <c r="U658" s="16">
        <f>IF(OR(T657="",T658=""),"",T658/T657-1)</f>
        <v/>
      </c>
      <c r="V658" s="16">
        <f>IF(T658="","",T658/MAX(T$5:T658)-1)</f>
        <v/>
      </c>
    </row>
    <row r="659" spans="1:19">
      <c r="A659" s="15" t="str">
        <f>IF('实盘净值数据(iFinD）'!A659="","",'实盘净值数据(iFinD）'!A659)</f>
        <v/>
      </c>
      <c r="B659" s="13" t="str">
        <f>IF(OR('实盘净值数据(iFinD）'!$A659="",'实盘净值数据(iFinD）'!$B659=""),"",分期持仓明细!$AB$17*SUMPRODUCT(分期持仓明细!$B$17:$Y$17,'实盘净值数据(iFinD）'!$B659:$Y659/'实盘净值数据(iFinD）'!$B$20:$Y$20)*(1-实盘持仓初始配置!$Z$4)^(('实盘净值数据(iFinD）'!$A659-'实盘净值数据(iFinD）'!$A$6)/365))</f>
        <v/>
      </c>
      <c r="C659" s="16" t="str">
        <f t="shared" si="60"/>
        <v/>
      </c>
      <c r="D659" s="16" t="str">
        <f>IF(B659="","",B659/MAX(B$5:B659)-1)</f>
        <v/>
      </c>
      <c r="E659" s="13" t="str">
        <f>IF(OR('实盘净值数据(iFinD）'!$A659="",'实盘净值数据(iFinD）'!$B659=""),"",分期持仓明细!$AB$18*SUMPRODUCT(分期持仓明细!$B$18:$Y$18,'实盘净值数据(iFinD）'!$B659:$Y659/'实盘净值数据(iFinD）'!$B$20:$Y$20)*(1-实盘持仓初始配置!$Z$5)^(('实盘净值数据(iFinD）'!$A659-'实盘净值数据(iFinD）'!$A$5)/365))</f>
        <v/>
      </c>
      <c r="F659" s="16" t="str">
        <f t="shared" si="61"/>
        <v/>
      </c>
      <c r="G659" s="16" t="str">
        <f>IF(E659="","",E659/MAX(E$5:E659)-1)</f>
        <v/>
      </c>
      <c r="H659" s="13" t="str">
        <f>IF(OR('实盘净值数据(iFinD）'!$A659="",'实盘净值数据(iFinD）'!$B659=""),"",分期持仓明细!$AB$19*SUMPRODUCT(分期持仓明细!$B$19:$Y$19,'实盘净值数据(iFinD）'!$B659:$Y659/'实盘净值数据(iFinD）'!$B$20:$Y$20)*(1-实盘持仓初始配置!$Z$6)^(('实盘净值数据(iFinD）'!$A659-'实盘净值数据(iFinD）'!$A$7)/365))</f>
        <v/>
      </c>
      <c r="I659" s="16" t="str">
        <f t="shared" si="62"/>
        <v/>
      </c>
      <c r="J659" s="16" t="str">
        <f>IF(H659="","",H659/MAX(H$5:H659)-1)</f>
        <v/>
      </c>
      <c r="K659" s="13" t="str">
        <f>IF(OR('实盘净值数据(iFinD）'!$A659="",'实盘净值数据(iFinD）'!$B659="",'实盘净值数据(iFinD）'!$Z659="",'实盘净值数据(iFinD）'!$AA659=""),"",分期持仓明细!$AB$23*(SUMPRODUCT(分期持仓明细!$B$23:$Y$23,'实盘净值数据(iFinD）'!$B659:$Y659/'实盘净值数据(iFinD）'!$B$65:$Y$65)+SUMPRODUCT(分期持仓明细!$AC$23:$AD$23,'实盘净值数据(iFinD）'!$Z659:$AA659/'实盘净值数据(iFinD）'!$Z$65:$AA$65))*(1-实盘持仓初始配置!$Z$7)^(('实盘净值数据(iFinD）'!$A659-'实盘净值数据(iFinD）'!$A$8)/365))</f>
        <v/>
      </c>
      <c r="L659" s="16" t="str">
        <f t="shared" si="63"/>
        <v/>
      </c>
      <c r="M659" s="16" t="str">
        <f>IF(K659="","",K659/MAX(K$5:K659)-1)</f>
        <v/>
      </c>
      <c r="N659" s="13" t="str">
        <f>IF(OR('实盘净值数据(iFinD）'!$A659="",'实盘净值数据(iFinD）'!$B659="",'实盘净值数据(iFinD）'!$Z659="",'实盘净值数据(iFinD）'!$AA659=""),"",分期持仓明细!$AB$24*(SUMPRODUCT(分期持仓明细!$B$24:$Y$24,'实盘净值数据(iFinD）'!$B659:$Y659/'实盘净值数据(iFinD）'!$B$65:$Y$65)+SUMPRODUCT(分期持仓明细!$AC$24:$AD$24,'实盘净值数据(iFinD）'!$Z659:$AA659/'实盘净值数据(iFinD）'!$Z$65:$AA$65))*(1-实盘持仓初始配置!$Z$8)^(('实盘净值数据(iFinD）'!$A659-'实盘净值数据(iFinD）'!$A$5)/365))</f>
        <v/>
      </c>
      <c r="O659" s="16" t="str">
        <f t="shared" si="64"/>
        <v/>
      </c>
      <c r="P659" s="16" t="str">
        <f>IF(N659="","",N659/MAX(N$5:N659)-1)</f>
        <v/>
      </c>
      <c r="Q659" s="13" t="str">
        <f>IF(OR('实盘净值数据(iFinD）'!$A659="",'实盘净值数据(iFinD）'!$B659="",'实盘净值数据(iFinD）'!$Z659="",'实盘净值数据(iFinD）'!$AA659=""),"",分期持仓明细!$AB$25*(SUMPRODUCT(分期持仓明细!$B$25:$Y$25,'实盘净值数据(iFinD）'!$B659:$Y659/'实盘净值数据(iFinD）'!$B$65:$Y$65)+SUMPRODUCT(分期持仓明细!$AC$25:$AD$25,'实盘净值数据(iFinD）'!$Z659:$AA659/'实盘净值数据(iFinD）'!$Z$65:$AA$65))*(1-实盘持仓初始配置!$Z$9)^(('实盘净值数据(iFinD）'!$A659-'实盘净值数据(iFinD）'!$A$8)/365))</f>
        <v/>
      </c>
      <c r="R659" s="16" t="str">
        <f t="shared" si="65"/>
        <v/>
      </c>
      <c r="S659" s="16" t="str">
        <f>IF(Q659="","",Q659/MAX(Q$5:Q659)-1)</f>
        <v/>
      </c>
      <c r="T659" s="13">
        <f>IF(OR('实盘净值数据(iFinD）'!$A659="",'实盘净值数据(iFinD）'!$B659="",'实盘净值数据(iFinD）'!$Z659="",'实盘净值数据(iFinD）'!$AA659="",'实盘净值数据(iFinD）'!$AB659="",'实盘净值数据(iFinD）'!$AL659=""),"",(SUMPRODUCT(分期持仓明细!$B$26:$Y$26,'实盘净值数据(iFinD）'!$B659:$Y659/'实盘净值数据(iFinD）'!$B$69:$Y$69)+SUMPRODUCT(分期持仓明细!$AC$26:$AD$26,'实盘净值数据(iFinD）'!$Z659:$AA659/'实盘净值数据(iFinD）'!$Z$69:$AA$69)+SUMPRODUCT(分期持仓明细!$AE$26:$AO$26,'实盘净值数据(iFinD）'!$AB659:$AL659/'实盘净值数据(iFinD）'!$AB$69:$AL$69))*(1-实盘持仓初始配置!$Z$10)^(('实盘净值数据(iFinD）'!$A659-'实盘净值数据(iFinD）'!$A$69)/365))</f>
        <v/>
      </c>
      <c r="U659" s="16">
        <f>IF(OR(T658="",T659=""),"",T659/T658-1)</f>
        <v/>
      </c>
      <c r="V659" s="16">
        <f>IF(T659="","",T659/MAX(T$5:T659)-1)</f>
        <v/>
      </c>
    </row>
    <row r="660" spans="1:19">
      <c r="A660" s="15" t="str">
        <f>IF('实盘净值数据(iFinD）'!A660="","",'实盘净值数据(iFinD）'!A660)</f>
        <v/>
      </c>
      <c r="B660" s="13" t="str">
        <f>IF(OR('实盘净值数据(iFinD）'!$A660="",'实盘净值数据(iFinD）'!$B660=""),"",分期持仓明细!$AB$17*SUMPRODUCT(分期持仓明细!$B$17:$Y$17,'实盘净值数据(iFinD）'!$B660:$Y660/'实盘净值数据(iFinD）'!$B$20:$Y$20)*(1-实盘持仓初始配置!$Z$4)^(('实盘净值数据(iFinD）'!$A660-'实盘净值数据(iFinD）'!$A$6)/365))</f>
        <v/>
      </c>
      <c r="C660" s="16" t="str">
        <f t="shared" si="60"/>
        <v/>
      </c>
      <c r="D660" s="16" t="str">
        <f>IF(B660="","",B660/MAX(B$5:B660)-1)</f>
        <v/>
      </c>
      <c r="E660" s="13" t="str">
        <f>IF(OR('实盘净值数据(iFinD）'!$A660="",'实盘净值数据(iFinD）'!$B660=""),"",分期持仓明细!$AB$18*SUMPRODUCT(分期持仓明细!$B$18:$Y$18,'实盘净值数据(iFinD）'!$B660:$Y660/'实盘净值数据(iFinD）'!$B$20:$Y$20)*(1-实盘持仓初始配置!$Z$5)^(('实盘净值数据(iFinD）'!$A660-'实盘净值数据(iFinD）'!$A$5)/365))</f>
        <v/>
      </c>
      <c r="F660" s="16" t="str">
        <f t="shared" si="61"/>
        <v/>
      </c>
      <c r="G660" s="16" t="str">
        <f>IF(E660="","",E660/MAX(E$5:E660)-1)</f>
        <v/>
      </c>
      <c r="H660" s="13" t="str">
        <f>IF(OR('实盘净值数据(iFinD）'!$A660="",'实盘净值数据(iFinD）'!$B660=""),"",分期持仓明细!$AB$19*SUMPRODUCT(分期持仓明细!$B$19:$Y$19,'实盘净值数据(iFinD）'!$B660:$Y660/'实盘净值数据(iFinD）'!$B$20:$Y$20)*(1-实盘持仓初始配置!$Z$6)^(('实盘净值数据(iFinD）'!$A660-'实盘净值数据(iFinD）'!$A$7)/365))</f>
        <v/>
      </c>
      <c r="I660" s="16" t="str">
        <f t="shared" si="62"/>
        <v/>
      </c>
      <c r="J660" s="16" t="str">
        <f>IF(H660="","",H660/MAX(H$5:H660)-1)</f>
        <v/>
      </c>
      <c r="K660" s="13" t="str">
        <f>IF(OR('实盘净值数据(iFinD）'!$A660="",'实盘净值数据(iFinD）'!$B660="",'实盘净值数据(iFinD）'!$Z660="",'实盘净值数据(iFinD）'!$AA660=""),"",分期持仓明细!$AB$23*(SUMPRODUCT(分期持仓明细!$B$23:$Y$23,'实盘净值数据(iFinD）'!$B660:$Y660/'实盘净值数据(iFinD）'!$B$65:$Y$65)+SUMPRODUCT(分期持仓明细!$AC$23:$AD$23,'实盘净值数据(iFinD）'!$Z660:$AA660/'实盘净值数据(iFinD）'!$Z$65:$AA$65))*(1-实盘持仓初始配置!$Z$7)^(('实盘净值数据(iFinD）'!$A660-'实盘净值数据(iFinD）'!$A$8)/365))</f>
        <v/>
      </c>
      <c r="L660" s="16" t="str">
        <f t="shared" si="63"/>
        <v/>
      </c>
      <c r="M660" s="16" t="str">
        <f>IF(K660="","",K660/MAX(K$5:K660)-1)</f>
        <v/>
      </c>
      <c r="N660" s="13" t="str">
        <f>IF(OR('实盘净值数据(iFinD）'!$A660="",'实盘净值数据(iFinD）'!$B660="",'实盘净值数据(iFinD）'!$Z660="",'实盘净值数据(iFinD）'!$AA660=""),"",分期持仓明细!$AB$24*(SUMPRODUCT(分期持仓明细!$B$24:$Y$24,'实盘净值数据(iFinD）'!$B660:$Y660/'实盘净值数据(iFinD）'!$B$65:$Y$65)+SUMPRODUCT(分期持仓明细!$AC$24:$AD$24,'实盘净值数据(iFinD）'!$Z660:$AA660/'实盘净值数据(iFinD）'!$Z$65:$AA$65))*(1-实盘持仓初始配置!$Z$8)^(('实盘净值数据(iFinD）'!$A660-'实盘净值数据(iFinD）'!$A$5)/365))</f>
        <v/>
      </c>
      <c r="O660" s="16" t="str">
        <f t="shared" si="64"/>
        <v/>
      </c>
      <c r="P660" s="16" t="str">
        <f>IF(N660="","",N660/MAX(N$5:N660)-1)</f>
        <v/>
      </c>
      <c r="Q660" s="13" t="str">
        <f>IF(OR('实盘净值数据(iFinD）'!$A660="",'实盘净值数据(iFinD）'!$B660="",'实盘净值数据(iFinD）'!$Z660="",'实盘净值数据(iFinD）'!$AA660=""),"",分期持仓明细!$AB$25*(SUMPRODUCT(分期持仓明细!$B$25:$Y$25,'实盘净值数据(iFinD）'!$B660:$Y660/'实盘净值数据(iFinD）'!$B$65:$Y$65)+SUMPRODUCT(分期持仓明细!$AC$25:$AD$25,'实盘净值数据(iFinD）'!$Z660:$AA660/'实盘净值数据(iFinD）'!$Z$65:$AA$65))*(1-实盘持仓初始配置!$Z$9)^(('实盘净值数据(iFinD）'!$A660-'实盘净值数据(iFinD）'!$A$8)/365))</f>
        <v/>
      </c>
      <c r="R660" s="16" t="str">
        <f t="shared" si="65"/>
        <v/>
      </c>
      <c r="S660" s="16" t="str">
        <f>IF(Q660="","",Q660/MAX(Q$5:Q660)-1)</f>
        <v/>
      </c>
      <c r="T660" s="13">
        <f>IF(OR('实盘净值数据(iFinD）'!$A660="",'实盘净值数据(iFinD）'!$B660="",'实盘净值数据(iFinD）'!$Z660="",'实盘净值数据(iFinD）'!$AA660="",'实盘净值数据(iFinD）'!$AB660="",'实盘净值数据(iFinD）'!$AL660=""),"",(SUMPRODUCT(分期持仓明细!$B$26:$Y$26,'实盘净值数据(iFinD）'!$B660:$Y660/'实盘净值数据(iFinD）'!$B$69:$Y$69)+SUMPRODUCT(分期持仓明细!$AC$26:$AD$26,'实盘净值数据(iFinD）'!$Z660:$AA660/'实盘净值数据(iFinD）'!$Z$69:$AA$69)+SUMPRODUCT(分期持仓明细!$AE$26:$AO$26,'实盘净值数据(iFinD）'!$AB660:$AL660/'实盘净值数据(iFinD）'!$AB$69:$AL$69))*(1-实盘持仓初始配置!$Z$10)^(('实盘净值数据(iFinD）'!$A660-'实盘净值数据(iFinD）'!$A$69)/365))</f>
        <v/>
      </c>
      <c r="U660" s="16">
        <f>IF(OR(T659="",T660=""),"",T660/T659-1)</f>
        <v/>
      </c>
      <c r="V660" s="16">
        <f>IF(T660="","",T660/MAX(T$5:T660)-1)</f>
        <v/>
      </c>
    </row>
    <row r="661" spans="1:19">
      <c r="A661" s="15" t="str">
        <f>IF('实盘净值数据(iFinD）'!A661="","",'实盘净值数据(iFinD）'!A661)</f>
        <v/>
      </c>
      <c r="B661" s="13" t="str">
        <f>IF(OR('实盘净值数据(iFinD）'!$A661="",'实盘净值数据(iFinD）'!$B661=""),"",分期持仓明细!$AB$17*SUMPRODUCT(分期持仓明细!$B$17:$Y$17,'实盘净值数据(iFinD）'!$B661:$Y661/'实盘净值数据(iFinD）'!$B$20:$Y$20)*(1-实盘持仓初始配置!$Z$4)^(('实盘净值数据(iFinD）'!$A661-'实盘净值数据(iFinD）'!$A$6)/365))</f>
        <v/>
      </c>
      <c r="C661" s="16" t="str">
        <f t="shared" si="60"/>
        <v/>
      </c>
      <c r="D661" s="16" t="str">
        <f>IF(B661="","",B661/MAX(B$5:B661)-1)</f>
        <v/>
      </c>
      <c r="E661" s="13" t="str">
        <f>IF(OR('实盘净值数据(iFinD）'!$A661="",'实盘净值数据(iFinD）'!$B661=""),"",分期持仓明细!$AB$18*SUMPRODUCT(分期持仓明细!$B$18:$Y$18,'实盘净值数据(iFinD）'!$B661:$Y661/'实盘净值数据(iFinD）'!$B$20:$Y$20)*(1-实盘持仓初始配置!$Z$5)^(('实盘净值数据(iFinD）'!$A661-'实盘净值数据(iFinD）'!$A$5)/365))</f>
        <v/>
      </c>
      <c r="F661" s="16" t="str">
        <f t="shared" si="61"/>
        <v/>
      </c>
      <c r="G661" s="16" t="str">
        <f>IF(E661="","",E661/MAX(E$5:E661)-1)</f>
        <v/>
      </c>
      <c r="H661" s="13" t="str">
        <f>IF(OR('实盘净值数据(iFinD）'!$A661="",'实盘净值数据(iFinD）'!$B661=""),"",分期持仓明细!$AB$19*SUMPRODUCT(分期持仓明细!$B$19:$Y$19,'实盘净值数据(iFinD）'!$B661:$Y661/'实盘净值数据(iFinD）'!$B$20:$Y$20)*(1-实盘持仓初始配置!$Z$6)^(('实盘净值数据(iFinD）'!$A661-'实盘净值数据(iFinD）'!$A$7)/365))</f>
        <v/>
      </c>
      <c r="I661" s="16" t="str">
        <f t="shared" si="62"/>
        <v/>
      </c>
      <c r="J661" s="16" t="str">
        <f>IF(H661="","",H661/MAX(H$5:H661)-1)</f>
        <v/>
      </c>
      <c r="K661" s="13" t="str">
        <f>IF(OR('实盘净值数据(iFinD）'!$A661="",'实盘净值数据(iFinD）'!$B661="",'实盘净值数据(iFinD）'!$Z661="",'实盘净值数据(iFinD）'!$AA661=""),"",分期持仓明细!$AB$23*(SUMPRODUCT(分期持仓明细!$B$23:$Y$23,'实盘净值数据(iFinD）'!$B661:$Y661/'实盘净值数据(iFinD）'!$B$65:$Y$65)+SUMPRODUCT(分期持仓明细!$AC$23:$AD$23,'实盘净值数据(iFinD）'!$Z661:$AA661/'实盘净值数据(iFinD）'!$Z$65:$AA$65))*(1-实盘持仓初始配置!$Z$7)^(('实盘净值数据(iFinD）'!$A661-'实盘净值数据(iFinD）'!$A$8)/365))</f>
        <v/>
      </c>
      <c r="L661" s="16" t="str">
        <f t="shared" si="63"/>
        <v/>
      </c>
      <c r="M661" s="16" t="str">
        <f>IF(K661="","",K661/MAX(K$5:K661)-1)</f>
        <v/>
      </c>
      <c r="N661" s="13" t="str">
        <f>IF(OR('实盘净值数据(iFinD）'!$A661="",'实盘净值数据(iFinD）'!$B661="",'实盘净值数据(iFinD）'!$Z661="",'实盘净值数据(iFinD）'!$AA661=""),"",分期持仓明细!$AB$24*(SUMPRODUCT(分期持仓明细!$B$24:$Y$24,'实盘净值数据(iFinD）'!$B661:$Y661/'实盘净值数据(iFinD）'!$B$65:$Y$65)+SUMPRODUCT(分期持仓明细!$AC$24:$AD$24,'实盘净值数据(iFinD）'!$Z661:$AA661/'实盘净值数据(iFinD）'!$Z$65:$AA$65))*(1-实盘持仓初始配置!$Z$8)^(('实盘净值数据(iFinD）'!$A661-'实盘净值数据(iFinD）'!$A$5)/365))</f>
        <v/>
      </c>
      <c r="O661" s="16" t="str">
        <f t="shared" si="64"/>
        <v/>
      </c>
      <c r="P661" s="16" t="str">
        <f>IF(N661="","",N661/MAX(N$5:N661)-1)</f>
        <v/>
      </c>
      <c r="Q661" s="13" t="str">
        <f>IF(OR('实盘净值数据(iFinD）'!$A661="",'实盘净值数据(iFinD）'!$B661="",'实盘净值数据(iFinD）'!$Z661="",'实盘净值数据(iFinD）'!$AA661=""),"",分期持仓明细!$AB$25*(SUMPRODUCT(分期持仓明细!$B$25:$Y$25,'实盘净值数据(iFinD）'!$B661:$Y661/'实盘净值数据(iFinD）'!$B$65:$Y$65)+SUMPRODUCT(分期持仓明细!$AC$25:$AD$25,'实盘净值数据(iFinD）'!$Z661:$AA661/'实盘净值数据(iFinD）'!$Z$65:$AA$65))*(1-实盘持仓初始配置!$Z$9)^(('实盘净值数据(iFinD）'!$A661-'实盘净值数据(iFinD）'!$A$8)/365))</f>
        <v/>
      </c>
      <c r="R661" s="16" t="str">
        <f t="shared" si="65"/>
        <v/>
      </c>
      <c r="S661" s="16" t="str">
        <f>IF(Q661="","",Q661/MAX(Q$5:Q661)-1)</f>
        <v/>
      </c>
      <c r="T661" s="13">
        <f>IF(OR('实盘净值数据(iFinD）'!$A661="",'实盘净值数据(iFinD）'!$B661="",'实盘净值数据(iFinD）'!$Z661="",'实盘净值数据(iFinD）'!$AA661="",'实盘净值数据(iFinD）'!$AB661="",'实盘净值数据(iFinD）'!$AL661=""),"",(SUMPRODUCT(分期持仓明细!$B$26:$Y$26,'实盘净值数据(iFinD）'!$B661:$Y661/'实盘净值数据(iFinD）'!$B$69:$Y$69)+SUMPRODUCT(分期持仓明细!$AC$26:$AD$26,'实盘净值数据(iFinD）'!$Z661:$AA661/'实盘净值数据(iFinD）'!$Z$69:$AA$69)+SUMPRODUCT(分期持仓明细!$AE$26:$AO$26,'实盘净值数据(iFinD）'!$AB661:$AL661/'实盘净值数据(iFinD）'!$AB$69:$AL$69))*(1-实盘持仓初始配置!$Z$10)^(('实盘净值数据(iFinD）'!$A661-'实盘净值数据(iFinD）'!$A$69)/365))</f>
        <v/>
      </c>
      <c r="U661" s="16">
        <f>IF(OR(T660="",T661=""),"",T661/T660-1)</f>
        <v/>
      </c>
      <c r="V661" s="16">
        <f>IF(T661="","",T661/MAX(T$5:T661)-1)</f>
        <v/>
      </c>
    </row>
    <row r="662" spans="1:19">
      <c r="A662" s="15" t="str">
        <f>IF('实盘净值数据(iFinD）'!A662="","",'实盘净值数据(iFinD）'!A662)</f>
        <v/>
      </c>
      <c r="B662" s="13" t="str">
        <f>IF(OR('实盘净值数据(iFinD）'!$A662="",'实盘净值数据(iFinD）'!$B662=""),"",分期持仓明细!$AB$17*SUMPRODUCT(分期持仓明细!$B$17:$Y$17,'实盘净值数据(iFinD）'!$B662:$Y662/'实盘净值数据(iFinD）'!$B$20:$Y$20)*(1-实盘持仓初始配置!$Z$4)^(('实盘净值数据(iFinD）'!$A662-'实盘净值数据(iFinD）'!$A$6)/365))</f>
        <v/>
      </c>
      <c r="C662" s="16" t="str">
        <f t="shared" si="60"/>
        <v/>
      </c>
      <c r="D662" s="16" t="str">
        <f>IF(B662="","",B662/MAX(B$5:B662)-1)</f>
        <v/>
      </c>
      <c r="E662" s="13" t="str">
        <f>IF(OR('实盘净值数据(iFinD）'!$A662="",'实盘净值数据(iFinD）'!$B662=""),"",分期持仓明细!$AB$18*SUMPRODUCT(分期持仓明细!$B$18:$Y$18,'实盘净值数据(iFinD）'!$B662:$Y662/'实盘净值数据(iFinD）'!$B$20:$Y$20)*(1-实盘持仓初始配置!$Z$5)^(('实盘净值数据(iFinD）'!$A662-'实盘净值数据(iFinD）'!$A$5)/365))</f>
        <v/>
      </c>
      <c r="F662" s="16" t="str">
        <f t="shared" si="61"/>
        <v/>
      </c>
      <c r="G662" s="16" t="str">
        <f>IF(E662="","",E662/MAX(E$5:E662)-1)</f>
        <v/>
      </c>
      <c r="H662" s="13" t="str">
        <f>IF(OR('实盘净值数据(iFinD）'!$A662="",'实盘净值数据(iFinD）'!$B662=""),"",分期持仓明细!$AB$19*SUMPRODUCT(分期持仓明细!$B$19:$Y$19,'实盘净值数据(iFinD）'!$B662:$Y662/'实盘净值数据(iFinD）'!$B$20:$Y$20)*(1-实盘持仓初始配置!$Z$6)^(('实盘净值数据(iFinD）'!$A662-'实盘净值数据(iFinD）'!$A$7)/365))</f>
        <v/>
      </c>
      <c r="I662" s="16" t="str">
        <f t="shared" si="62"/>
        <v/>
      </c>
      <c r="J662" s="16" t="str">
        <f>IF(H662="","",H662/MAX(H$5:H662)-1)</f>
        <v/>
      </c>
      <c r="K662" s="13" t="str">
        <f>IF(OR('实盘净值数据(iFinD）'!$A662="",'实盘净值数据(iFinD）'!$B662="",'实盘净值数据(iFinD）'!$Z662="",'实盘净值数据(iFinD）'!$AA662=""),"",分期持仓明细!$AB$23*(SUMPRODUCT(分期持仓明细!$B$23:$Y$23,'实盘净值数据(iFinD）'!$B662:$Y662/'实盘净值数据(iFinD）'!$B$65:$Y$65)+SUMPRODUCT(分期持仓明细!$AC$23:$AD$23,'实盘净值数据(iFinD）'!$Z662:$AA662/'实盘净值数据(iFinD）'!$Z$65:$AA$65))*(1-实盘持仓初始配置!$Z$7)^(('实盘净值数据(iFinD）'!$A662-'实盘净值数据(iFinD）'!$A$8)/365))</f>
        <v/>
      </c>
      <c r="L662" s="16" t="str">
        <f t="shared" si="63"/>
        <v/>
      </c>
      <c r="M662" s="16" t="str">
        <f>IF(K662="","",K662/MAX(K$5:K662)-1)</f>
        <v/>
      </c>
      <c r="N662" s="13" t="str">
        <f>IF(OR('实盘净值数据(iFinD）'!$A662="",'实盘净值数据(iFinD）'!$B662="",'实盘净值数据(iFinD）'!$Z662="",'实盘净值数据(iFinD）'!$AA662=""),"",分期持仓明细!$AB$24*(SUMPRODUCT(分期持仓明细!$B$24:$Y$24,'实盘净值数据(iFinD）'!$B662:$Y662/'实盘净值数据(iFinD）'!$B$65:$Y$65)+SUMPRODUCT(分期持仓明细!$AC$24:$AD$24,'实盘净值数据(iFinD）'!$Z662:$AA662/'实盘净值数据(iFinD）'!$Z$65:$AA$65))*(1-实盘持仓初始配置!$Z$8)^(('实盘净值数据(iFinD）'!$A662-'实盘净值数据(iFinD）'!$A$5)/365))</f>
        <v/>
      </c>
      <c r="O662" s="16" t="str">
        <f t="shared" si="64"/>
        <v/>
      </c>
      <c r="P662" s="16" t="str">
        <f>IF(N662="","",N662/MAX(N$5:N662)-1)</f>
        <v/>
      </c>
      <c r="Q662" s="13" t="str">
        <f>IF(OR('实盘净值数据(iFinD）'!$A662="",'实盘净值数据(iFinD）'!$B662="",'实盘净值数据(iFinD）'!$Z662="",'实盘净值数据(iFinD）'!$AA662=""),"",分期持仓明细!$AB$25*(SUMPRODUCT(分期持仓明细!$B$25:$Y$25,'实盘净值数据(iFinD）'!$B662:$Y662/'实盘净值数据(iFinD）'!$B$65:$Y$65)+SUMPRODUCT(分期持仓明细!$AC$25:$AD$25,'实盘净值数据(iFinD）'!$Z662:$AA662/'实盘净值数据(iFinD）'!$Z$65:$AA$65))*(1-实盘持仓初始配置!$Z$9)^(('实盘净值数据(iFinD）'!$A662-'实盘净值数据(iFinD）'!$A$8)/365))</f>
        <v/>
      </c>
      <c r="R662" s="16" t="str">
        <f t="shared" si="65"/>
        <v/>
      </c>
      <c r="S662" s="16" t="str">
        <f>IF(Q662="","",Q662/MAX(Q$5:Q662)-1)</f>
        <v/>
      </c>
      <c r="T662" s="13">
        <f>IF(OR('实盘净值数据(iFinD）'!$A662="",'实盘净值数据(iFinD）'!$B662="",'实盘净值数据(iFinD）'!$Z662="",'实盘净值数据(iFinD）'!$AA662="",'实盘净值数据(iFinD）'!$AB662="",'实盘净值数据(iFinD）'!$AL662=""),"",(SUMPRODUCT(分期持仓明细!$B$26:$Y$26,'实盘净值数据(iFinD）'!$B662:$Y662/'实盘净值数据(iFinD）'!$B$69:$Y$69)+SUMPRODUCT(分期持仓明细!$AC$26:$AD$26,'实盘净值数据(iFinD）'!$Z662:$AA662/'实盘净值数据(iFinD）'!$Z$69:$AA$69)+SUMPRODUCT(分期持仓明细!$AE$26:$AO$26,'实盘净值数据(iFinD）'!$AB662:$AL662/'实盘净值数据(iFinD）'!$AB$69:$AL$69))*(1-实盘持仓初始配置!$Z$10)^(('实盘净值数据(iFinD）'!$A662-'实盘净值数据(iFinD）'!$A$69)/365))</f>
        <v/>
      </c>
      <c r="U662" s="16">
        <f>IF(OR(T661="",T662=""),"",T662/T661-1)</f>
        <v/>
      </c>
      <c r="V662" s="16">
        <f>IF(T662="","",T662/MAX(T$5:T662)-1)</f>
        <v/>
      </c>
    </row>
    <row r="663" spans="1:19">
      <c r="A663" s="15" t="str">
        <f>IF('实盘净值数据(iFinD）'!A663="","",'实盘净值数据(iFinD）'!A663)</f>
        <v/>
      </c>
      <c r="B663" s="13" t="str">
        <f>IF(OR('实盘净值数据(iFinD）'!$A663="",'实盘净值数据(iFinD）'!$B663=""),"",分期持仓明细!$AB$17*SUMPRODUCT(分期持仓明细!$B$17:$Y$17,'实盘净值数据(iFinD）'!$B663:$Y663/'实盘净值数据(iFinD）'!$B$20:$Y$20)*(1-实盘持仓初始配置!$Z$4)^(('实盘净值数据(iFinD）'!$A663-'实盘净值数据(iFinD）'!$A$6)/365))</f>
        <v/>
      </c>
      <c r="C663" s="16" t="str">
        <f t="shared" si="60"/>
        <v/>
      </c>
      <c r="D663" s="16" t="str">
        <f>IF(B663="","",B663/MAX(B$5:B663)-1)</f>
        <v/>
      </c>
      <c r="E663" s="13" t="str">
        <f>IF(OR('实盘净值数据(iFinD）'!$A663="",'实盘净值数据(iFinD）'!$B663=""),"",分期持仓明细!$AB$18*SUMPRODUCT(分期持仓明细!$B$18:$Y$18,'实盘净值数据(iFinD）'!$B663:$Y663/'实盘净值数据(iFinD）'!$B$20:$Y$20)*(1-实盘持仓初始配置!$Z$5)^(('实盘净值数据(iFinD）'!$A663-'实盘净值数据(iFinD）'!$A$5)/365))</f>
        <v/>
      </c>
      <c r="F663" s="16" t="str">
        <f t="shared" si="61"/>
        <v/>
      </c>
      <c r="G663" s="16" t="str">
        <f>IF(E663="","",E663/MAX(E$5:E663)-1)</f>
        <v/>
      </c>
      <c r="H663" s="13" t="str">
        <f>IF(OR('实盘净值数据(iFinD）'!$A663="",'实盘净值数据(iFinD）'!$B663=""),"",分期持仓明细!$AB$19*SUMPRODUCT(分期持仓明细!$B$19:$Y$19,'实盘净值数据(iFinD）'!$B663:$Y663/'实盘净值数据(iFinD）'!$B$20:$Y$20)*(1-实盘持仓初始配置!$Z$6)^(('实盘净值数据(iFinD）'!$A663-'实盘净值数据(iFinD）'!$A$7)/365))</f>
        <v/>
      </c>
      <c r="I663" s="16" t="str">
        <f t="shared" si="62"/>
        <v/>
      </c>
      <c r="J663" s="16" t="str">
        <f>IF(H663="","",H663/MAX(H$5:H663)-1)</f>
        <v/>
      </c>
      <c r="K663" s="13" t="str">
        <f>IF(OR('实盘净值数据(iFinD）'!$A663="",'实盘净值数据(iFinD）'!$B663="",'实盘净值数据(iFinD）'!$Z663="",'实盘净值数据(iFinD）'!$AA663=""),"",分期持仓明细!$AB$23*(SUMPRODUCT(分期持仓明细!$B$23:$Y$23,'实盘净值数据(iFinD）'!$B663:$Y663/'实盘净值数据(iFinD）'!$B$65:$Y$65)+SUMPRODUCT(分期持仓明细!$AC$23:$AD$23,'实盘净值数据(iFinD）'!$Z663:$AA663/'实盘净值数据(iFinD）'!$Z$65:$AA$65))*(1-实盘持仓初始配置!$Z$7)^(('实盘净值数据(iFinD）'!$A663-'实盘净值数据(iFinD）'!$A$8)/365))</f>
        <v/>
      </c>
      <c r="L663" s="16" t="str">
        <f t="shared" si="63"/>
        <v/>
      </c>
      <c r="M663" s="16" t="str">
        <f>IF(K663="","",K663/MAX(K$5:K663)-1)</f>
        <v/>
      </c>
      <c r="N663" s="13" t="str">
        <f>IF(OR('实盘净值数据(iFinD）'!$A663="",'实盘净值数据(iFinD）'!$B663="",'实盘净值数据(iFinD）'!$Z663="",'实盘净值数据(iFinD）'!$AA663=""),"",分期持仓明细!$AB$24*(SUMPRODUCT(分期持仓明细!$B$24:$Y$24,'实盘净值数据(iFinD）'!$B663:$Y663/'实盘净值数据(iFinD）'!$B$65:$Y$65)+SUMPRODUCT(分期持仓明细!$AC$24:$AD$24,'实盘净值数据(iFinD）'!$Z663:$AA663/'实盘净值数据(iFinD）'!$Z$65:$AA$65))*(1-实盘持仓初始配置!$Z$8)^(('实盘净值数据(iFinD）'!$A663-'实盘净值数据(iFinD）'!$A$5)/365))</f>
        <v/>
      </c>
      <c r="O663" s="16" t="str">
        <f t="shared" si="64"/>
        <v/>
      </c>
      <c r="P663" s="16" t="str">
        <f>IF(N663="","",N663/MAX(N$5:N663)-1)</f>
        <v/>
      </c>
      <c r="Q663" s="13" t="str">
        <f>IF(OR('实盘净值数据(iFinD）'!$A663="",'实盘净值数据(iFinD）'!$B663="",'实盘净值数据(iFinD）'!$Z663="",'实盘净值数据(iFinD）'!$AA663=""),"",分期持仓明细!$AB$25*(SUMPRODUCT(分期持仓明细!$B$25:$Y$25,'实盘净值数据(iFinD）'!$B663:$Y663/'实盘净值数据(iFinD）'!$B$65:$Y$65)+SUMPRODUCT(分期持仓明细!$AC$25:$AD$25,'实盘净值数据(iFinD）'!$Z663:$AA663/'实盘净值数据(iFinD）'!$Z$65:$AA$65))*(1-实盘持仓初始配置!$Z$9)^(('实盘净值数据(iFinD）'!$A663-'实盘净值数据(iFinD）'!$A$8)/365))</f>
        <v/>
      </c>
      <c r="R663" s="16" t="str">
        <f t="shared" si="65"/>
        <v/>
      </c>
      <c r="S663" s="16" t="str">
        <f>IF(Q663="","",Q663/MAX(Q$5:Q663)-1)</f>
        <v/>
      </c>
      <c r="T663" s="13">
        <f>IF(OR('实盘净值数据(iFinD）'!$A663="",'实盘净值数据(iFinD）'!$B663="",'实盘净值数据(iFinD）'!$Z663="",'实盘净值数据(iFinD）'!$AA663="",'实盘净值数据(iFinD）'!$AB663="",'实盘净值数据(iFinD）'!$AL663=""),"",(SUMPRODUCT(分期持仓明细!$B$26:$Y$26,'实盘净值数据(iFinD）'!$B663:$Y663/'实盘净值数据(iFinD）'!$B$69:$Y$69)+SUMPRODUCT(分期持仓明细!$AC$26:$AD$26,'实盘净值数据(iFinD）'!$Z663:$AA663/'实盘净值数据(iFinD）'!$Z$69:$AA$69)+SUMPRODUCT(分期持仓明细!$AE$26:$AO$26,'实盘净值数据(iFinD）'!$AB663:$AL663/'实盘净值数据(iFinD）'!$AB$69:$AL$69))*(1-实盘持仓初始配置!$Z$10)^(('实盘净值数据(iFinD）'!$A663-'实盘净值数据(iFinD）'!$A$69)/365))</f>
        <v/>
      </c>
      <c r="U663" s="16">
        <f>IF(OR(T662="",T663=""),"",T663/T662-1)</f>
        <v/>
      </c>
      <c r="V663" s="16">
        <f>IF(T663="","",T663/MAX(T$5:T663)-1)</f>
        <v/>
      </c>
    </row>
    <row r="664" spans="1:19">
      <c r="A664" s="15" t="str">
        <f>IF('实盘净值数据(iFinD）'!A664="","",'实盘净值数据(iFinD）'!A664)</f>
        <v/>
      </c>
      <c r="B664" s="13" t="str">
        <f>IF(OR('实盘净值数据(iFinD）'!$A664="",'实盘净值数据(iFinD）'!$B664=""),"",分期持仓明细!$AB$17*SUMPRODUCT(分期持仓明细!$B$17:$Y$17,'实盘净值数据(iFinD）'!$B664:$Y664/'实盘净值数据(iFinD）'!$B$20:$Y$20)*(1-实盘持仓初始配置!$Z$4)^(('实盘净值数据(iFinD）'!$A664-'实盘净值数据(iFinD）'!$A$6)/365))</f>
        <v/>
      </c>
      <c r="C664" s="16" t="str">
        <f t="shared" si="60"/>
        <v/>
      </c>
      <c r="D664" s="16" t="str">
        <f>IF(B664="","",B664/MAX(B$5:B664)-1)</f>
        <v/>
      </c>
      <c r="E664" s="13" t="str">
        <f>IF(OR('实盘净值数据(iFinD）'!$A664="",'实盘净值数据(iFinD）'!$B664=""),"",分期持仓明细!$AB$18*SUMPRODUCT(分期持仓明细!$B$18:$Y$18,'实盘净值数据(iFinD）'!$B664:$Y664/'实盘净值数据(iFinD）'!$B$20:$Y$20)*(1-实盘持仓初始配置!$Z$5)^(('实盘净值数据(iFinD）'!$A664-'实盘净值数据(iFinD）'!$A$5)/365))</f>
        <v/>
      </c>
      <c r="F664" s="16" t="str">
        <f t="shared" si="61"/>
        <v/>
      </c>
      <c r="G664" s="16" t="str">
        <f>IF(E664="","",E664/MAX(E$5:E664)-1)</f>
        <v/>
      </c>
      <c r="H664" s="13" t="str">
        <f>IF(OR('实盘净值数据(iFinD）'!$A664="",'实盘净值数据(iFinD）'!$B664=""),"",分期持仓明细!$AB$19*SUMPRODUCT(分期持仓明细!$B$19:$Y$19,'实盘净值数据(iFinD）'!$B664:$Y664/'实盘净值数据(iFinD）'!$B$20:$Y$20)*(1-实盘持仓初始配置!$Z$6)^(('实盘净值数据(iFinD）'!$A664-'实盘净值数据(iFinD）'!$A$7)/365))</f>
        <v/>
      </c>
      <c r="I664" s="16" t="str">
        <f t="shared" si="62"/>
        <v/>
      </c>
      <c r="J664" s="16" t="str">
        <f>IF(H664="","",H664/MAX(H$5:H664)-1)</f>
        <v/>
      </c>
      <c r="K664" s="13" t="str">
        <f>IF(OR('实盘净值数据(iFinD）'!$A664="",'实盘净值数据(iFinD）'!$B664="",'实盘净值数据(iFinD）'!$Z664="",'实盘净值数据(iFinD）'!$AA664=""),"",分期持仓明细!$AB$23*(SUMPRODUCT(分期持仓明细!$B$23:$Y$23,'实盘净值数据(iFinD）'!$B664:$Y664/'实盘净值数据(iFinD）'!$B$65:$Y$65)+SUMPRODUCT(分期持仓明细!$AC$23:$AD$23,'实盘净值数据(iFinD）'!$Z664:$AA664/'实盘净值数据(iFinD）'!$Z$65:$AA$65))*(1-实盘持仓初始配置!$Z$7)^(('实盘净值数据(iFinD）'!$A664-'实盘净值数据(iFinD）'!$A$8)/365))</f>
        <v/>
      </c>
      <c r="L664" s="16" t="str">
        <f t="shared" si="63"/>
        <v/>
      </c>
      <c r="M664" s="16" t="str">
        <f>IF(K664="","",K664/MAX(K$5:K664)-1)</f>
        <v/>
      </c>
      <c r="N664" s="13" t="str">
        <f>IF(OR('实盘净值数据(iFinD）'!$A664="",'实盘净值数据(iFinD）'!$B664="",'实盘净值数据(iFinD）'!$Z664="",'实盘净值数据(iFinD）'!$AA664=""),"",分期持仓明细!$AB$24*(SUMPRODUCT(分期持仓明细!$B$24:$Y$24,'实盘净值数据(iFinD）'!$B664:$Y664/'实盘净值数据(iFinD）'!$B$65:$Y$65)+SUMPRODUCT(分期持仓明细!$AC$24:$AD$24,'实盘净值数据(iFinD）'!$Z664:$AA664/'实盘净值数据(iFinD）'!$Z$65:$AA$65))*(1-实盘持仓初始配置!$Z$8)^(('实盘净值数据(iFinD）'!$A664-'实盘净值数据(iFinD）'!$A$5)/365))</f>
        <v/>
      </c>
      <c r="O664" s="16" t="str">
        <f t="shared" si="64"/>
        <v/>
      </c>
      <c r="P664" s="16" t="str">
        <f>IF(N664="","",N664/MAX(N$5:N664)-1)</f>
        <v/>
      </c>
      <c r="Q664" s="13" t="str">
        <f>IF(OR('实盘净值数据(iFinD）'!$A664="",'实盘净值数据(iFinD）'!$B664="",'实盘净值数据(iFinD）'!$Z664="",'实盘净值数据(iFinD）'!$AA664=""),"",分期持仓明细!$AB$25*(SUMPRODUCT(分期持仓明细!$B$25:$Y$25,'实盘净值数据(iFinD）'!$B664:$Y664/'实盘净值数据(iFinD）'!$B$65:$Y$65)+SUMPRODUCT(分期持仓明细!$AC$25:$AD$25,'实盘净值数据(iFinD）'!$Z664:$AA664/'实盘净值数据(iFinD）'!$Z$65:$AA$65))*(1-实盘持仓初始配置!$Z$9)^(('实盘净值数据(iFinD）'!$A664-'实盘净值数据(iFinD）'!$A$8)/365))</f>
        <v/>
      </c>
      <c r="R664" s="16" t="str">
        <f t="shared" si="65"/>
        <v/>
      </c>
      <c r="S664" s="16" t="str">
        <f>IF(Q664="","",Q664/MAX(Q$5:Q664)-1)</f>
        <v/>
      </c>
      <c r="T664" s="13">
        <f>IF(OR('实盘净值数据(iFinD）'!$A664="",'实盘净值数据(iFinD）'!$B664="",'实盘净值数据(iFinD）'!$Z664="",'实盘净值数据(iFinD）'!$AA664="",'实盘净值数据(iFinD）'!$AB664="",'实盘净值数据(iFinD）'!$AL664=""),"",(SUMPRODUCT(分期持仓明细!$B$26:$Y$26,'实盘净值数据(iFinD）'!$B664:$Y664/'实盘净值数据(iFinD）'!$B$69:$Y$69)+SUMPRODUCT(分期持仓明细!$AC$26:$AD$26,'实盘净值数据(iFinD）'!$Z664:$AA664/'实盘净值数据(iFinD）'!$Z$69:$AA$69)+SUMPRODUCT(分期持仓明细!$AE$26:$AO$26,'实盘净值数据(iFinD）'!$AB664:$AL664/'实盘净值数据(iFinD）'!$AB$69:$AL$69))*(1-实盘持仓初始配置!$Z$10)^(('实盘净值数据(iFinD）'!$A664-'实盘净值数据(iFinD）'!$A$69)/365))</f>
        <v/>
      </c>
      <c r="U664" s="16">
        <f>IF(OR(T663="",T664=""),"",T664/T663-1)</f>
        <v/>
      </c>
      <c r="V664" s="16">
        <f>IF(T664="","",T664/MAX(T$5:T664)-1)</f>
        <v/>
      </c>
    </row>
    <row r="665" spans="1:19">
      <c r="A665" s="15" t="str">
        <f>IF('实盘净值数据(iFinD）'!A665="","",'实盘净值数据(iFinD）'!A665)</f>
        <v/>
      </c>
      <c r="B665" s="13" t="str">
        <f>IF(OR('实盘净值数据(iFinD）'!$A665="",'实盘净值数据(iFinD）'!$B665=""),"",分期持仓明细!$AB$17*SUMPRODUCT(分期持仓明细!$B$17:$Y$17,'实盘净值数据(iFinD）'!$B665:$Y665/'实盘净值数据(iFinD）'!$B$20:$Y$20)*(1-实盘持仓初始配置!$Z$4)^(('实盘净值数据(iFinD）'!$A665-'实盘净值数据(iFinD）'!$A$6)/365))</f>
        <v/>
      </c>
      <c r="C665" s="16" t="str">
        <f t="shared" si="60"/>
        <v/>
      </c>
      <c r="D665" s="16" t="str">
        <f>IF(B665="","",B665/MAX(B$5:B665)-1)</f>
        <v/>
      </c>
      <c r="E665" s="13" t="str">
        <f>IF(OR('实盘净值数据(iFinD）'!$A665="",'实盘净值数据(iFinD）'!$B665=""),"",分期持仓明细!$AB$18*SUMPRODUCT(分期持仓明细!$B$18:$Y$18,'实盘净值数据(iFinD）'!$B665:$Y665/'实盘净值数据(iFinD）'!$B$20:$Y$20)*(1-实盘持仓初始配置!$Z$5)^(('实盘净值数据(iFinD）'!$A665-'实盘净值数据(iFinD）'!$A$5)/365))</f>
        <v/>
      </c>
      <c r="F665" s="16" t="str">
        <f t="shared" si="61"/>
        <v/>
      </c>
      <c r="G665" s="16" t="str">
        <f>IF(E665="","",E665/MAX(E$5:E665)-1)</f>
        <v/>
      </c>
      <c r="H665" s="13" t="str">
        <f>IF(OR('实盘净值数据(iFinD）'!$A665="",'实盘净值数据(iFinD）'!$B665=""),"",分期持仓明细!$AB$19*SUMPRODUCT(分期持仓明细!$B$19:$Y$19,'实盘净值数据(iFinD）'!$B665:$Y665/'实盘净值数据(iFinD）'!$B$20:$Y$20)*(1-实盘持仓初始配置!$Z$6)^(('实盘净值数据(iFinD）'!$A665-'实盘净值数据(iFinD）'!$A$7)/365))</f>
        <v/>
      </c>
      <c r="I665" s="16" t="str">
        <f t="shared" si="62"/>
        <v/>
      </c>
      <c r="J665" s="16" t="str">
        <f>IF(H665="","",H665/MAX(H$5:H665)-1)</f>
        <v/>
      </c>
      <c r="K665" s="13" t="str">
        <f>IF(OR('实盘净值数据(iFinD）'!$A665="",'实盘净值数据(iFinD）'!$B665="",'实盘净值数据(iFinD）'!$Z665="",'实盘净值数据(iFinD）'!$AA665=""),"",分期持仓明细!$AB$23*(SUMPRODUCT(分期持仓明细!$B$23:$Y$23,'实盘净值数据(iFinD）'!$B665:$Y665/'实盘净值数据(iFinD）'!$B$65:$Y$65)+SUMPRODUCT(分期持仓明细!$AC$23:$AD$23,'实盘净值数据(iFinD）'!$Z665:$AA665/'实盘净值数据(iFinD）'!$Z$65:$AA$65))*(1-实盘持仓初始配置!$Z$7)^(('实盘净值数据(iFinD）'!$A665-'实盘净值数据(iFinD）'!$A$8)/365))</f>
        <v/>
      </c>
      <c r="L665" s="16" t="str">
        <f t="shared" si="63"/>
        <v/>
      </c>
      <c r="M665" s="16" t="str">
        <f>IF(K665="","",K665/MAX(K$5:K665)-1)</f>
        <v/>
      </c>
      <c r="N665" s="13" t="str">
        <f>IF(OR('实盘净值数据(iFinD）'!$A665="",'实盘净值数据(iFinD）'!$B665="",'实盘净值数据(iFinD）'!$Z665="",'实盘净值数据(iFinD）'!$AA665=""),"",分期持仓明细!$AB$24*(SUMPRODUCT(分期持仓明细!$B$24:$Y$24,'实盘净值数据(iFinD）'!$B665:$Y665/'实盘净值数据(iFinD）'!$B$65:$Y$65)+SUMPRODUCT(分期持仓明细!$AC$24:$AD$24,'实盘净值数据(iFinD）'!$Z665:$AA665/'实盘净值数据(iFinD）'!$Z$65:$AA$65))*(1-实盘持仓初始配置!$Z$8)^(('实盘净值数据(iFinD）'!$A665-'实盘净值数据(iFinD）'!$A$5)/365))</f>
        <v/>
      </c>
      <c r="O665" s="16" t="str">
        <f t="shared" si="64"/>
        <v/>
      </c>
      <c r="P665" s="16" t="str">
        <f>IF(N665="","",N665/MAX(N$5:N665)-1)</f>
        <v/>
      </c>
      <c r="Q665" s="13" t="str">
        <f>IF(OR('实盘净值数据(iFinD）'!$A665="",'实盘净值数据(iFinD）'!$B665="",'实盘净值数据(iFinD）'!$Z665="",'实盘净值数据(iFinD）'!$AA665=""),"",分期持仓明细!$AB$25*(SUMPRODUCT(分期持仓明细!$B$25:$Y$25,'实盘净值数据(iFinD）'!$B665:$Y665/'实盘净值数据(iFinD）'!$B$65:$Y$65)+SUMPRODUCT(分期持仓明细!$AC$25:$AD$25,'实盘净值数据(iFinD）'!$Z665:$AA665/'实盘净值数据(iFinD）'!$Z$65:$AA$65))*(1-实盘持仓初始配置!$Z$9)^(('实盘净值数据(iFinD）'!$A665-'实盘净值数据(iFinD）'!$A$8)/365))</f>
        <v/>
      </c>
      <c r="R665" s="16" t="str">
        <f t="shared" si="65"/>
        <v/>
      </c>
      <c r="S665" s="16" t="str">
        <f>IF(Q665="","",Q665/MAX(Q$5:Q665)-1)</f>
        <v/>
      </c>
      <c r="T665" s="13">
        <f>IF(OR('实盘净值数据(iFinD）'!$A665="",'实盘净值数据(iFinD）'!$B665="",'实盘净值数据(iFinD）'!$Z665="",'实盘净值数据(iFinD）'!$AA665="",'实盘净值数据(iFinD）'!$AB665="",'实盘净值数据(iFinD）'!$AL665=""),"",(SUMPRODUCT(分期持仓明细!$B$26:$Y$26,'实盘净值数据(iFinD）'!$B665:$Y665/'实盘净值数据(iFinD）'!$B$69:$Y$69)+SUMPRODUCT(分期持仓明细!$AC$26:$AD$26,'实盘净值数据(iFinD）'!$Z665:$AA665/'实盘净值数据(iFinD）'!$Z$69:$AA$69)+SUMPRODUCT(分期持仓明细!$AE$26:$AO$26,'实盘净值数据(iFinD）'!$AB665:$AL665/'实盘净值数据(iFinD）'!$AB$69:$AL$69))*(1-实盘持仓初始配置!$Z$10)^(('实盘净值数据(iFinD）'!$A665-'实盘净值数据(iFinD）'!$A$69)/365))</f>
        <v/>
      </c>
      <c r="U665" s="16">
        <f>IF(OR(T664="",T665=""),"",T665/T664-1)</f>
        <v/>
      </c>
      <c r="V665" s="16">
        <f>IF(T665="","",T665/MAX(T$5:T665)-1)</f>
        <v/>
      </c>
    </row>
    <row r="666" spans="1:19">
      <c r="A666" s="15" t="str">
        <f>IF('实盘净值数据(iFinD）'!A666="","",'实盘净值数据(iFinD）'!A666)</f>
        <v/>
      </c>
      <c r="B666" s="13" t="str">
        <f>IF(OR('实盘净值数据(iFinD）'!$A666="",'实盘净值数据(iFinD）'!$B666=""),"",分期持仓明细!$AB$17*SUMPRODUCT(分期持仓明细!$B$17:$Y$17,'实盘净值数据(iFinD）'!$B666:$Y666/'实盘净值数据(iFinD）'!$B$20:$Y$20)*(1-实盘持仓初始配置!$Z$4)^(('实盘净值数据(iFinD）'!$A666-'实盘净值数据(iFinD）'!$A$6)/365))</f>
        <v/>
      </c>
      <c r="C666" s="16" t="str">
        <f t="shared" si="60"/>
        <v/>
      </c>
      <c r="D666" s="16" t="str">
        <f>IF(B666="","",B666/MAX(B$5:B666)-1)</f>
        <v/>
      </c>
      <c r="E666" s="13" t="str">
        <f>IF(OR('实盘净值数据(iFinD）'!$A666="",'实盘净值数据(iFinD）'!$B666=""),"",分期持仓明细!$AB$18*SUMPRODUCT(分期持仓明细!$B$18:$Y$18,'实盘净值数据(iFinD）'!$B666:$Y666/'实盘净值数据(iFinD）'!$B$20:$Y$20)*(1-实盘持仓初始配置!$Z$5)^(('实盘净值数据(iFinD）'!$A666-'实盘净值数据(iFinD）'!$A$5)/365))</f>
        <v/>
      </c>
      <c r="F666" s="16" t="str">
        <f t="shared" si="61"/>
        <v/>
      </c>
      <c r="G666" s="16" t="str">
        <f>IF(E666="","",E666/MAX(E$5:E666)-1)</f>
        <v/>
      </c>
      <c r="H666" s="13" t="str">
        <f>IF(OR('实盘净值数据(iFinD）'!$A666="",'实盘净值数据(iFinD）'!$B666=""),"",分期持仓明细!$AB$19*SUMPRODUCT(分期持仓明细!$B$19:$Y$19,'实盘净值数据(iFinD）'!$B666:$Y666/'实盘净值数据(iFinD）'!$B$20:$Y$20)*(1-实盘持仓初始配置!$Z$6)^(('实盘净值数据(iFinD）'!$A666-'实盘净值数据(iFinD）'!$A$7)/365))</f>
        <v/>
      </c>
      <c r="I666" s="16" t="str">
        <f t="shared" si="62"/>
        <v/>
      </c>
      <c r="J666" s="16" t="str">
        <f>IF(H666="","",H666/MAX(H$5:H666)-1)</f>
        <v/>
      </c>
      <c r="K666" s="13" t="str">
        <f>IF(OR('实盘净值数据(iFinD）'!$A666="",'实盘净值数据(iFinD）'!$B666="",'实盘净值数据(iFinD）'!$Z666="",'实盘净值数据(iFinD）'!$AA666=""),"",分期持仓明细!$AB$23*(SUMPRODUCT(分期持仓明细!$B$23:$Y$23,'实盘净值数据(iFinD）'!$B666:$Y666/'实盘净值数据(iFinD）'!$B$65:$Y$65)+SUMPRODUCT(分期持仓明细!$AC$23:$AD$23,'实盘净值数据(iFinD）'!$Z666:$AA666/'实盘净值数据(iFinD）'!$Z$65:$AA$65))*(1-实盘持仓初始配置!$Z$7)^(('实盘净值数据(iFinD）'!$A666-'实盘净值数据(iFinD）'!$A$8)/365))</f>
        <v/>
      </c>
      <c r="L666" s="16" t="str">
        <f t="shared" si="63"/>
        <v/>
      </c>
      <c r="M666" s="16" t="str">
        <f>IF(K666="","",K666/MAX(K$5:K666)-1)</f>
        <v/>
      </c>
      <c r="N666" s="13" t="str">
        <f>IF(OR('实盘净值数据(iFinD）'!$A666="",'实盘净值数据(iFinD）'!$B666="",'实盘净值数据(iFinD）'!$Z666="",'实盘净值数据(iFinD）'!$AA666=""),"",分期持仓明细!$AB$24*(SUMPRODUCT(分期持仓明细!$B$24:$Y$24,'实盘净值数据(iFinD）'!$B666:$Y666/'实盘净值数据(iFinD）'!$B$65:$Y$65)+SUMPRODUCT(分期持仓明细!$AC$24:$AD$24,'实盘净值数据(iFinD）'!$Z666:$AA666/'实盘净值数据(iFinD）'!$Z$65:$AA$65))*(1-实盘持仓初始配置!$Z$8)^(('实盘净值数据(iFinD）'!$A666-'实盘净值数据(iFinD）'!$A$5)/365))</f>
        <v/>
      </c>
      <c r="O666" s="16" t="str">
        <f t="shared" si="64"/>
        <v/>
      </c>
      <c r="P666" s="16" t="str">
        <f>IF(N666="","",N666/MAX(N$5:N666)-1)</f>
        <v/>
      </c>
      <c r="Q666" s="13" t="str">
        <f>IF(OR('实盘净值数据(iFinD）'!$A666="",'实盘净值数据(iFinD）'!$B666="",'实盘净值数据(iFinD）'!$Z666="",'实盘净值数据(iFinD）'!$AA666=""),"",分期持仓明细!$AB$25*(SUMPRODUCT(分期持仓明细!$B$25:$Y$25,'实盘净值数据(iFinD）'!$B666:$Y666/'实盘净值数据(iFinD）'!$B$65:$Y$65)+SUMPRODUCT(分期持仓明细!$AC$25:$AD$25,'实盘净值数据(iFinD）'!$Z666:$AA666/'实盘净值数据(iFinD）'!$Z$65:$AA$65))*(1-实盘持仓初始配置!$Z$9)^(('实盘净值数据(iFinD）'!$A666-'实盘净值数据(iFinD）'!$A$8)/365))</f>
        <v/>
      </c>
      <c r="R666" s="16" t="str">
        <f t="shared" si="65"/>
        <v/>
      </c>
      <c r="S666" s="16" t="str">
        <f>IF(Q666="","",Q666/MAX(Q$5:Q666)-1)</f>
        <v/>
      </c>
      <c r="T666" s="13">
        <f>IF(OR('实盘净值数据(iFinD）'!$A666="",'实盘净值数据(iFinD）'!$B666="",'实盘净值数据(iFinD）'!$Z666="",'实盘净值数据(iFinD）'!$AA666="",'实盘净值数据(iFinD）'!$AB666="",'实盘净值数据(iFinD）'!$AL666=""),"",(SUMPRODUCT(分期持仓明细!$B$26:$Y$26,'实盘净值数据(iFinD）'!$B666:$Y666/'实盘净值数据(iFinD）'!$B$69:$Y$69)+SUMPRODUCT(分期持仓明细!$AC$26:$AD$26,'实盘净值数据(iFinD）'!$Z666:$AA666/'实盘净值数据(iFinD）'!$Z$69:$AA$69)+SUMPRODUCT(分期持仓明细!$AE$26:$AO$26,'实盘净值数据(iFinD）'!$AB666:$AL666/'实盘净值数据(iFinD）'!$AB$69:$AL$69))*(1-实盘持仓初始配置!$Z$10)^(('实盘净值数据(iFinD）'!$A666-'实盘净值数据(iFinD）'!$A$69)/365))</f>
        <v/>
      </c>
      <c r="U666" s="16">
        <f>IF(OR(T665="",T666=""),"",T666/T665-1)</f>
        <v/>
      </c>
      <c r="V666" s="16">
        <f>IF(T666="","",T666/MAX(T$5:T666)-1)</f>
        <v/>
      </c>
    </row>
    <row r="667" spans="1:19">
      <c r="A667" s="15" t="str">
        <f>IF('实盘净值数据(iFinD）'!A667="","",'实盘净值数据(iFinD）'!A667)</f>
        <v/>
      </c>
      <c r="B667" s="13" t="str">
        <f>IF(OR('实盘净值数据(iFinD）'!$A667="",'实盘净值数据(iFinD）'!$B667=""),"",分期持仓明细!$AB$17*SUMPRODUCT(分期持仓明细!$B$17:$Y$17,'实盘净值数据(iFinD）'!$B667:$Y667/'实盘净值数据(iFinD）'!$B$20:$Y$20)*(1-实盘持仓初始配置!$Z$4)^(('实盘净值数据(iFinD）'!$A667-'实盘净值数据(iFinD）'!$A$6)/365))</f>
        <v/>
      </c>
      <c r="C667" s="16" t="str">
        <f t="shared" si="60"/>
        <v/>
      </c>
      <c r="D667" s="16" t="str">
        <f>IF(B667="","",B667/MAX(B$5:B667)-1)</f>
        <v/>
      </c>
      <c r="E667" s="13" t="str">
        <f>IF(OR('实盘净值数据(iFinD）'!$A667="",'实盘净值数据(iFinD）'!$B667=""),"",分期持仓明细!$AB$18*SUMPRODUCT(分期持仓明细!$B$18:$Y$18,'实盘净值数据(iFinD）'!$B667:$Y667/'实盘净值数据(iFinD）'!$B$20:$Y$20)*(1-实盘持仓初始配置!$Z$5)^(('实盘净值数据(iFinD）'!$A667-'实盘净值数据(iFinD）'!$A$5)/365))</f>
        <v/>
      </c>
      <c r="F667" s="16" t="str">
        <f t="shared" si="61"/>
        <v/>
      </c>
      <c r="G667" s="16" t="str">
        <f>IF(E667="","",E667/MAX(E$5:E667)-1)</f>
        <v/>
      </c>
      <c r="H667" s="13" t="str">
        <f>IF(OR('实盘净值数据(iFinD）'!$A667="",'实盘净值数据(iFinD）'!$B667=""),"",分期持仓明细!$AB$19*SUMPRODUCT(分期持仓明细!$B$19:$Y$19,'实盘净值数据(iFinD）'!$B667:$Y667/'实盘净值数据(iFinD）'!$B$20:$Y$20)*(1-实盘持仓初始配置!$Z$6)^(('实盘净值数据(iFinD）'!$A667-'实盘净值数据(iFinD）'!$A$7)/365))</f>
        <v/>
      </c>
      <c r="I667" s="16" t="str">
        <f t="shared" si="62"/>
        <v/>
      </c>
      <c r="J667" s="16" t="str">
        <f>IF(H667="","",H667/MAX(H$5:H667)-1)</f>
        <v/>
      </c>
      <c r="K667" s="13" t="str">
        <f>IF(OR('实盘净值数据(iFinD）'!$A667="",'实盘净值数据(iFinD）'!$B667="",'实盘净值数据(iFinD）'!$Z667="",'实盘净值数据(iFinD）'!$AA667=""),"",分期持仓明细!$AB$23*(SUMPRODUCT(分期持仓明细!$B$23:$Y$23,'实盘净值数据(iFinD）'!$B667:$Y667/'实盘净值数据(iFinD）'!$B$65:$Y$65)+SUMPRODUCT(分期持仓明细!$AC$23:$AD$23,'实盘净值数据(iFinD）'!$Z667:$AA667/'实盘净值数据(iFinD）'!$Z$65:$AA$65))*(1-实盘持仓初始配置!$Z$7)^(('实盘净值数据(iFinD）'!$A667-'实盘净值数据(iFinD）'!$A$8)/365))</f>
        <v/>
      </c>
      <c r="L667" s="16" t="str">
        <f t="shared" si="63"/>
        <v/>
      </c>
      <c r="M667" s="16" t="str">
        <f>IF(K667="","",K667/MAX(K$5:K667)-1)</f>
        <v/>
      </c>
      <c r="N667" s="13" t="str">
        <f>IF(OR('实盘净值数据(iFinD）'!$A667="",'实盘净值数据(iFinD）'!$B667="",'实盘净值数据(iFinD）'!$Z667="",'实盘净值数据(iFinD）'!$AA667=""),"",分期持仓明细!$AB$24*(SUMPRODUCT(分期持仓明细!$B$24:$Y$24,'实盘净值数据(iFinD）'!$B667:$Y667/'实盘净值数据(iFinD）'!$B$65:$Y$65)+SUMPRODUCT(分期持仓明细!$AC$24:$AD$24,'实盘净值数据(iFinD）'!$Z667:$AA667/'实盘净值数据(iFinD）'!$Z$65:$AA$65))*(1-实盘持仓初始配置!$Z$8)^(('实盘净值数据(iFinD）'!$A667-'实盘净值数据(iFinD）'!$A$5)/365))</f>
        <v/>
      </c>
      <c r="O667" s="16" t="str">
        <f t="shared" si="64"/>
        <v/>
      </c>
      <c r="P667" s="16" t="str">
        <f>IF(N667="","",N667/MAX(N$5:N667)-1)</f>
        <v/>
      </c>
      <c r="Q667" s="13" t="str">
        <f>IF(OR('实盘净值数据(iFinD）'!$A667="",'实盘净值数据(iFinD）'!$B667="",'实盘净值数据(iFinD）'!$Z667="",'实盘净值数据(iFinD）'!$AA667=""),"",分期持仓明细!$AB$25*(SUMPRODUCT(分期持仓明细!$B$25:$Y$25,'实盘净值数据(iFinD）'!$B667:$Y667/'实盘净值数据(iFinD）'!$B$65:$Y$65)+SUMPRODUCT(分期持仓明细!$AC$25:$AD$25,'实盘净值数据(iFinD）'!$Z667:$AA667/'实盘净值数据(iFinD）'!$Z$65:$AA$65))*(1-实盘持仓初始配置!$Z$9)^(('实盘净值数据(iFinD）'!$A667-'实盘净值数据(iFinD）'!$A$8)/365))</f>
        <v/>
      </c>
      <c r="R667" s="16" t="str">
        <f t="shared" si="65"/>
        <v/>
      </c>
      <c r="S667" s="16" t="str">
        <f>IF(Q667="","",Q667/MAX(Q$5:Q667)-1)</f>
        <v/>
      </c>
      <c r="T667" s="13">
        <f>IF(OR('实盘净值数据(iFinD）'!$A667="",'实盘净值数据(iFinD）'!$B667="",'实盘净值数据(iFinD）'!$Z667="",'实盘净值数据(iFinD）'!$AA667="",'实盘净值数据(iFinD）'!$AB667="",'实盘净值数据(iFinD）'!$AL667=""),"",(SUMPRODUCT(分期持仓明细!$B$26:$Y$26,'实盘净值数据(iFinD）'!$B667:$Y667/'实盘净值数据(iFinD）'!$B$69:$Y$69)+SUMPRODUCT(分期持仓明细!$AC$26:$AD$26,'实盘净值数据(iFinD）'!$Z667:$AA667/'实盘净值数据(iFinD）'!$Z$69:$AA$69)+SUMPRODUCT(分期持仓明细!$AE$26:$AO$26,'实盘净值数据(iFinD）'!$AB667:$AL667/'实盘净值数据(iFinD）'!$AB$69:$AL$69))*(1-实盘持仓初始配置!$Z$10)^(('实盘净值数据(iFinD）'!$A667-'实盘净值数据(iFinD）'!$A$69)/365))</f>
        <v/>
      </c>
      <c r="U667" s="16">
        <f>IF(OR(T666="",T667=""),"",T667/T666-1)</f>
        <v/>
      </c>
      <c r="V667" s="16">
        <f>IF(T667="","",T667/MAX(T$5:T667)-1)</f>
        <v/>
      </c>
    </row>
    <row r="668" spans="1:19">
      <c r="A668" s="15" t="str">
        <f>IF('实盘净值数据(iFinD）'!A668="","",'实盘净值数据(iFinD）'!A668)</f>
        <v/>
      </c>
      <c r="B668" s="13" t="str">
        <f>IF(OR('实盘净值数据(iFinD）'!$A668="",'实盘净值数据(iFinD）'!$B668=""),"",分期持仓明细!$AB$17*SUMPRODUCT(分期持仓明细!$B$17:$Y$17,'实盘净值数据(iFinD）'!$B668:$Y668/'实盘净值数据(iFinD）'!$B$20:$Y$20)*(1-实盘持仓初始配置!$Z$4)^(('实盘净值数据(iFinD）'!$A668-'实盘净值数据(iFinD）'!$A$6)/365))</f>
        <v/>
      </c>
      <c r="C668" s="16" t="str">
        <f t="shared" si="60"/>
        <v/>
      </c>
      <c r="D668" s="16" t="str">
        <f>IF(B668="","",B668/MAX(B$5:B668)-1)</f>
        <v/>
      </c>
      <c r="E668" s="13" t="str">
        <f>IF(OR('实盘净值数据(iFinD）'!$A668="",'实盘净值数据(iFinD）'!$B668=""),"",分期持仓明细!$AB$18*SUMPRODUCT(分期持仓明细!$B$18:$Y$18,'实盘净值数据(iFinD）'!$B668:$Y668/'实盘净值数据(iFinD）'!$B$20:$Y$20)*(1-实盘持仓初始配置!$Z$5)^(('实盘净值数据(iFinD）'!$A668-'实盘净值数据(iFinD）'!$A$5)/365))</f>
        <v/>
      </c>
      <c r="F668" s="16" t="str">
        <f t="shared" si="61"/>
        <v/>
      </c>
      <c r="G668" s="16" t="str">
        <f>IF(E668="","",E668/MAX(E$5:E668)-1)</f>
        <v/>
      </c>
      <c r="H668" s="13" t="str">
        <f>IF(OR('实盘净值数据(iFinD）'!$A668="",'实盘净值数据(iFinD）'!$B668=""),"",分期持仓明细!$AB$19*SUMPRODUCT(分期持仓明细!$B$19:$Y$19,'实盘净值数据(iFinD）'!$B668:$Y668/'实盘净值数据(iFinD）'!$B$20:$Y$20)*(1-实盘持仓初始配置!$Z$6)^(('实盘净值数据(iFinD）'!$A668-'实盘净值数据(iFinD）'!$A$7)/365))</f>
        <v/>
      </c>
      <c r="I668" s="16" t="str">
        <f t="shared" si="62"/>
        <v/>
      </c>
      <c r="J668" s="16" t="str">
        <f>IF(H668="","",H668/MAX(H$5:H668)-1)</f>
        <v/>
      </c>
      <c r="K668" s="13" t="str">
        <f>IF(OR('实盘净值数据(iFinD）'!$A668="",'实盘净值数据(iFinD）'!$B668="",'实盘净值数据(iFinD）'!$Z668="",'实盘净值数据(iFinD）'!$AA668=""),"",分期持仓明细!$AB$23*(SUMPRODUCT(分期持仓明细!$B$23:$Y$23,'实盘净值数据(iFinD）'!$B668:$Y668/'实盘净值数据(iFinD）'!$B$65:$Y$65)+SUMPRODUCT(分期持仓明细!$AC$23:$AD$23,'实盘净值数据(iFinD）'!$Z668:$AA668/'实盘净值数据(iFinD）'!$Z$65:$AA$65))*(1-实盘持仓初始配置!$Z$7)^(('实盘净值数据(iFinD）'!$A668-'实盘净值数据(iFinD）'!$A$8)/365))</f>
        <v/>
      </c>
      <c r="L668" s="16" t="str">
        <f t="shared" si="63"/>
        <v/>
      </c>
      <c r="M668" s="16" t="str">
        <f>IF(K668="","",K668/MAX(K$5:K668)-1)</f>
        <v/>
      </c>
      <c r="N668" s="13" t="str">
        <f>IF(OR('实盘净值数据(iFinD）'!$A668="",'实盘净值数据(iFinD）'!$B668="",'实盘净值数据(iFinD）'!$Z668="",'实盘净值数据(iFinD）'!$AA668=""),"",分期持仓明细!$AB$24*(SUMPRODUCT(分期持仓明细!$B$24:$Y$24,'实盘净值数据(iFinD）'!$B668:$Y668/'实盘净值数据(iFinD）'!$B$65:$Y$65)+SUMPRODUCT(分期持仓明细!$AC$24:$AD$24,'实盘净值数据(iFinD）'!$Z668:$AA668/'实盘净值数据(iFinD）'!$Z$65:$AA$65))*(1-实盘持仓初始配置!$Z$8)^(('实盘净值数据(iFinD）'!$A668-'实盘净值数据(iFinD）'!$A$5)/365))</f>
        <v/>
      </c>
      <c r="O668" s="16" t="str">
        <f t="shared" si="64"/>
        <v/>
      </c>
      <c r="P668" s="16" t="str">
        <f>IF(N668="","",N668/MAX(N$5:N668)-1)</f>
        <v/>
      </c>
      <c r="Q668" s="13" t="str">
        <f>IF(OR('实盘净值数据(iFinD）'!$A668="",'实盘净值数据(iFinD）'!$B668="",'实盘净值数据(iFinD）'!$Z668="",'实盘净值数据(iFinD）'!$AA668=""),"",分期持仓明细!$AB$25*(SUMPRODUCT(分期持仓明细!$B$25:$Y$25,'实盘净值数据(iFinD）'!$B668:$Y668/'实盘净值数据(iFinD）'!$B$65:$Y$65)+SUMPRODUCT(分期持仓明细!$AC$25:$AD$25,'实盘净值数据(iFinD）'!$Z668:$AA668/'实盘净值数据(iFinD）'!$Z$65:$AA$65))*(1-实盘持仓初始配置!$Z$9)^(('实盘净值数据(iFinD）'!$A668-'实盘净值数据(iFinD）'!$A$8)/365))</f>
        <v/>
      </c>
      <c r="R668" s="16" t="str">
        <f t="shared" si="65"/>
        <v/>
      </c>
      <c r="S668" s="16" t="str">
        <f>IF(Q668="","",Q668/MAX(Q$5:Q668)-1)</f>
        <v/>
      </c>
      <c r="T668" s="13">
        <f>IF(OR('实盘净值数据(iFinD）'!$A668="",'实盘净值数据(iFinD）'!$B668="",'实盘净值数据(iFinD）'!$Z668="",'实盘净值数据(iFinD）'!$AA668="",'实盘净值数据(iFinD）'!$AB668="",'实盘净值数据(iFinD）'!$AL668=""),"",(SUMPRODUCT(分期持仓明细!$B$26:$Y$26,'实盘净值数据(iFinD）'!$B668:$Y668/'实盘净值数据(iFinD）'!$B$69:$Y$69)+SUMPRODUCT(分期持仓明细!$AC$26:$AD$26,'实盘净值数据(iFinD）'!$Z668:$AA668/'实盘净值数据(iFinD）'!$Z$69:$AA$69)+SUMPRODUCT(分期持仓明细!$AE$26:$AO$26,'实盘净值数据(iFinD）'!$AB668:$AL668/'实盘净值数据(iFinD）'!$AB$69:$AL$69))*(1-实盘持仓初始配置!$Z$10)^(('实盘净值数据(iFinD）'!$A668-'实盘净值数据(iFinD）'!$A$69)/365))</f>
        <v/>
      </c>
      <c r="U668" s="16">
        <f>IF(OR(T667="",T668=""),"",T668/T667-1)</f>
        <v/>
      </c>
      <c r="V668" s="16">
        <f>IF(T668="","",T668/MAX(T$5:T668)-1)</f>
        <v/>
      </c>
    </row>
    <row r="669" spans="1:19">
      <c r="A669" s="15" t="str">
        <f>IF('实盘净值数据(iFinD）'!A669="","",'实盘净值数据(iFinD）'!A669)</f>
        <v/>
      </c>
      <c r="B669" s="13" t="str">
        <f>IF(OR('实盘净值数据(iFinD）'!$A669="",'实盘净值数据(iFinD）'!$B669=""),"",分期持仓明细!$AB$17*SUMPRODUCT(分期持仓明细!$B$17:$Y$17,'实盘净值数据(iFinD）'!$B669:$Y669/'实盘净值数据(iFinD）'!$B$20:$Y$20)*(1-实盘持仓初始配置!$Z$4)^(('实盘净值数据(iFinD）'!$A669-'实盘净值数据(iFinD）'!$A$6)/365))</f>
        <v/>
      </c>
      <c r="C669" s="16" t="str">
        <f t="shared" si="60"/>
        <v/>
      </c>
      <c r="D669" s="16" t="str">
        <f>IF(B669="","",B669/MAX(B$5:B669)-1)</f>
        <v/>
      </c>
      <c r="E669" s="13" t="str">
        <f>IF(OR('实盘净值数据(iFinD）'!$A669="",'实盘净值数据(iFinD）'!$B669=""),"",分期持仓明细!$AB$18*SUMPRODUCT(分期持仓明细!$B$18:$Y$18,'实盘净值数据(iFinD）'!$B669:$Y669/'实盘净值数据(iFinD）'!$B$20:$Y$20)*(1-实盘持仓初始配置!$Z$5)^(('实盘净值数据(iFinD）'!$A669-'实盘净值数据(iFinD）'!$A$5)/365))</f>
        <v/>
      </c>
      <c r="F669" s="16" t="str">
        <f t="shared" si="61"/>
        <v/>
      </c>
      <c r="G669" s="16" t="str">
        <f>IF(E669="","",E669/MAX(E$5:E669)-1)</f>
        <v/>
      </c>
      <c r="H669" s="13" t="str">
        <f>IF(OR('实盘净值数据(iFinD）'!$A669="",'实盘净值数据(iFinD）'!$B669=""),"",分期持仓明细!$AB$19*SUMPRODUCT(分期持仓明细!$B$19:$Y$19,'实盘净值数据(iFinD）'!$B669:$Y669/'实盘净值数据(iFinD）'!$B$20:$Y$20)*(1-实盘持仓初始配置!$Z$6)^(('实盘净值数据(iFinD）'!$A669-'实盘净值数据(iFinD）'!$A$7)/365))</f>
        <v/>
      </c>
      <c r="I669" s="16" t="str">
        <f t="shared" si="62"/>
        <v/>
      </c>
      <c r="J669" s="16" t="str">
        <f>IF(H669="","",H669/MAX(H$5:H669)-1)</f>
        <v/>
      </c>
      <c r="K669" s="13" t="str">
        <f>IF(OR('实盘净值数据(iFinD）'!$A669="",'实盘净值数据(iFinD）'!$B669="",'实盘净值数据(iFinD）'!$Z669="",'实盘净值数据(iFinD）'!$AA669=""),"",分期持仓明细!$AB$23*(SUMPRODUCT(分期持仓明细!$B$23:$Y$23,'实盘净值数据(iFinD）'!$B669:$Y669/'实盘净值数据(iFinD）'!$B$65:$Y$65)+SUMPRODUCT(分期持仓明细!$AC$23:$AD$23,'实盘净值数据(iFinD）'!$Z669:$AA669/'实盘净值数据(iFinD）'!$Z$65:$AA$65))*(1-实盘持仓初始配置!$Z$7)^(('实盘净值数据(iFinD）'!$A669-'实盘净值数据(iFinD）'!$A$8)/365))</f>
        <v/>
      </c>
      <c r="L669" s="16" t="str">
        <f t="shared" si="63"/>
        <v/>
      </c>
      <c r="M669" s="16" t="str">
        <f>IF(K669="","",K669/MAX(K$5:K669)-1)</f>
        <v/>
      </c>
      <c r="N669" s="13" t="str">
        <f>IF(OR('实盘净值数据(iFinD）'!$A669="",'实盘净值数据(iFinD）'!$B669="",'实盘净值数据(iFinD）'!$Z669="",'实盘净值数据(iFinD）'!$AA669=""),"",分期持仓明细!$AB$24*(SUMPRODUCT(分期持仓明细!$B$24:$Y$24,'实盘净值数据(iFinD）'!$B669:$Y669/'实盘净值数据(iFinD）'!$B$65:$Y$65)+SUMPRODUCT(分期持仓明细!$AC$24:$AD$24,'实盘净值数据(iFinD）'!$Z669:$AA669/'实盘净值数据(iFinD）'!$Z$65:$AA$65))*(1-实盘持仓初始配置!$Z$8)^(('实盘净值数据(iFinD）'!$A669-'实盘净值数据(iFinD）'!$A$5)/365))</f>
        <v/>
      </c>
      <c r="O669" s="16" t="str">
        <f t="shared" si="64"/>
        <v/>
      </c>
      <c r="P669" s="16" t="str">
        <f>IF(N669="","",N669/MAX(N$5:N669)-1)</f>
        <v/>
      </c>
      <c r="Q669" s="13" t="str">
        <f>IF(OR('实盘净值数据(iFinD）'!$A669="",'实盘净值数据(iFinD）'!$B669="",'实盘净值数据(iFinD）'!$Z669="",'实盘净值数据(iFinD）'!$AA669=""),"",分期持仓明细!$AB$25*(SUMPRODUCT(分期持仓明细!$B$25:$Y$25,'实盘净值数据(iFinD）'!$B669:$Y669/'实盘净值数据(iFinD）'!$B$65:$Y$65)+SUMPRODUCT(分期持仓明细!$AC$25:$AD$25,'实盘净值数据(iFinD）'!$Z669:$AA669/'实盘净值数据(iFinD）'!$Z$65:$AA$65))*(1-实盘持仓初始配置!$Z$9)^(('实盘净值数据(iFinD）'!$A669-'实盘净值数据(iFinD）'!$A$8)/365))</f>
        <v/>
      </c>
      <c r="R669" s="16" t="str">
        <f t="shared" si="65"/>
        <v/>
      </c>
      <c r="S669" s="16" t="str">
        <f>IF(Q669="","",Q669/MAX(Q$5:Q669)-1)</f>
        <v/>
      </c>
      <c r="T669" s="13">
        <f>IF(OR('实盘净值数据(iFinD）'!$A669="",'实盘净值数据(iFinD）'!$B669="",'实盘净值数据(iFinD）'!$Z669="",'实盘净值数据(iFinD）'!$AA669="",'实盘净值数据(iFinD）'!$AB669="",'实盘净值数据(iFinD）'!$AL669=""),"",(SUMPRODUCT(分期持仓明细!$B$26:$Y$26,'实盘净值数据(iFinD）'!$B669:$Y669/'实盘净值数据(iFinD）'!$B$69:$Y$69)+SUMPRODUCT(分期持仓明细!$AC$26:$AD$26,'实盘净值数据(iFinD）'!$Z669:$AA669/'实盘净值数据(iFinD）'!$Z$69:$AA$69)+SUMPRODUCT(分期持仓明细!$AE$26:$AO$26,'实盘净值数据(iFinD）'!$AB669:$AL669/'实盘净值数据(iFinD）'!$AB$69:$AL$69))*(1-实盘持仓初始配置!$Z$10)^(('实盘净值数据(iFinD）'!$A669-'实盘净值数据(iFinD）'!$A$69)/365))</f>
        <v/>
      </c>
      <c r="U669" s="16">
        <f>IF(OR(T668="",T669=""),"",T669/T668-1)</f>
        <v/>
      </c>
      <c r="V669" s="16">
        <f>IF(T669="","",T669/MAX(T$5:T669)-1)</f>
        <v/>
      </c>
    </row>
    <row r="670" spans="1:19">
      <c r="A670" s="15" t="str">
        <f>IF('实盘净值数据(iFinD）'!A670="","",'实盘净值数据(iFinD）'!A670)</f>
        <v/>
      </c>
      <c r="B670" s="13" t="str">
        <f>IF(OR('实盘净值数据(iFinD）'!$A670="",'实盘净值数据(iFinD）'!$B670=""),"",分期持仓明细!$AB$17*SUMPRODUCT(分期持仓明细!$B$17:$Y$17,'实盘净值数据(iFinD）'!$B670:$Y670/'实盘净值数据(iFinD）'!$B$20:$Y$20)*(1-实盘持仓初始配置!$Z$4)^(('实盘净值数据(iFinD）'!$A670-'实盘净值数据(iFinD）'!$A$6)/365))</f>
        <v/>
      </c>
      <c r="C670" s="16" t="str">
        <f t="shared" si="60"/>
        <v/>
      </c>
      <c r="D670" s="16" t="str">
        <f>IF(B670="","",B670/MAX(B$5:B670)-1)</f>
        <v/>
      </c>
      <c r="E670" s="13" t="str">
        <f>IF(OR('实盘净值数据(iFinD）'!$A670="",'实盘净值数据(iFinD）'!$B670=""),"",分期持仓明细!$AB$18*SUMPRODUCT(分期持仓明细!$B$18:$Y$18,'实盘净值数据(iFinD）'!$B670:$Y670/'实盘净值数据(iFinD）'!$B$20:$Y$20)*(1-实盘持仓初始配置!$Z$5)^(('实盘净值数据(iFinD）'!$A670-'实盘净值数据(iFinD）'!$A$5)/365))</f>
        <v/>
      </c>
      <c r="F670" s="16" t="str">
        <f t="shared" si="61"/>
        <v/>
      </c>
      <c r="G670" s="16" t="str">
        <f>IF(E670="","",E670/MAX(E$5:E670)-1)</f>
        <v/>
      </c>
      <c r="H670" s="13" t="str">
        <f>IF(OR('实盘净值数据(iFinD）'!$A670="",'实盘净值数据(iFinD）'!$B670=""),"",分期持仓明细!$AB$19*SUMPRODUCT(分期持仓明细!$B$19:$Y$19,'实盘净值数据(iFinD）'!$B670:$Y670/'实盘净值数据(iFinD）'!$B$20:$Y$20)*(1-实盘持仓初始配置!$Z$6)^(('实盘净值数据(iFinD）'!$A670-'实盘净值数据(iFinD）'!$A$7)/365))</f>
        <v/>
      </c>
      <c r="I670" s="16" t="str">
        <f t="shared" si="62"/>
        <v/>
      </c>
      <c r="J670" s="16" t="str">
        <f>IF(H670="","",H670/MAX(H$5:H670)-1)</f>
        <v/>
      </c>
      <c r="K670" s="13" t="str">
        <f>IF(OR('实盘净值数据(iFinD）'!$A670="",'实盘净值数据(iFinD）'!$B670="",'实盘净值数据(iFinD）'!$Z670="",'实盘净值数据(iFinD）'!$AA670=""),"",分期持仓明细!$AB$23*(SUMPRODUCT(分期持仓明细!$B$23:$Y$23,'实盘净值数据(iFinD）'!$B670:$Y670/'实盘净值数据(iFinD）'!$B$65:$Y$65)+SUMPRODUCT(分期持仓明细!$AC$23:$AD$23,'实盘净值数据(iFinD）'!$Z670:$AA670/'实盘净值数据(iFinD）'!$Z$65:$AA$65))*(1-实盘持仓初始配置!$Z$7)^(('实盘净值数据(iFinD）'!$A670-'实盘净值数据(iFinD）'!$A$8)/365))</f>
        <v/>
      </c>
      <c r="L670" s="16" t="str">
        <f t="shared" si="63"/>
        <v/>
      </c>
      <c r="M670" s="16" t="str">
        <f>IF(K670="","",K670/MAX(K$5:K670)-1)</f>
        <v/>
      </c>
      <c r="N670" s="13" t="str">
        <f>IF(OR('实盘净值数据(iFinD）'!$A670="",'实盘净值数据(iFinD）'!$B670="",'实盘净值数据(iFinD）'!$Z670="",'实盘净值数据(iFinD）'!$AA670=""),"",分期持仓明细!$AB$24*(SUMPRODUCT(分期持仓明细!$B$24:$Y$24,'实盘净值数据(iFinD）'!$B670:$Y670/'实盘净值数据(iFinD）'!$B$65:$Y$65)+SUMPRODUCT(分期持仓明细!$AC$24:$AD$24,'实盘净值数据(iFinD）'!$Z670:$AA670/'实盘净值数据(iFinD）'!$Z$65:$AA$65))*(1-实盘持仓初始配置!$Z$8)^(('实盘净值数据(iFinD）'!$A670-'实盘净值数据(iFinD）'!$A$5)/365))</f>
        <v/>
      </c>
      <c r="O670" s="16" t="str">
        <f t="shared" si="64"/>
        <v/>
      </c>
      <c r="P670" s="16" t="str">
        <f>IF(N670="","",N670/MAX(N$5:N670)-1)</f>
        <v/>
      </c>
      <c r="Q670" s="13" t="str">
        <f>IF(OR('实盘净值数据(iFinD）'!$A670="",'实盘净值数据(iFinD）'!$B670="",'实盘净值数据(iFinD）'!$Z670="",'实盘净值数据(iFinD）'!$AA670=""),"",分期持仓明细!$AB$25*(SUMPRODUCT(分期持仓明细!$B$25:$Y$25,'实盘净值数据(iFinD）'!$B670:$Y670/'实盘净值数据(iFinD）'!$B$65:$Y$65)+SUMPRODUCT(分期持仓明细!$AC$25:$AD$25,'实盘净值数据(iFinD）'!$Z670:$AA670/'实盘净值数据(iFinD）'!$Z$65:$AA$65))*(1-实盘持仓初始配置!$Z$9)^(('实盘净值数据(iFinD）'!$A670-'实盘净值数据(iFinD）'!$A$8)/365))</f>
        <v/>
      </c>
      <c r="R670" s="16" t="str">
        <f t="shared" si="65"/>
        <v/>
      </c>
      <c r="S670" s="16" t="str">
        <f>IF(Q670="","",Q670/MAX(Q$5:Q670)-1)</f>
        <v/>
      </c>
      <c r="T670" s="13">
        <f>IF(OR('实盘净值数据(iFinD）'!$A670="",'实盘净值数据(iFinD）'!$B670="",'实盘净值数据(iFinD）'!$Z670="",'实盘净值数据(iFinD）'!$AA670="",'实盘净值数据(iFinD）'!$AB670="",'实盘净值数据(iFinD）'!$AL670=""),"",(SUMPRODUCT(分期持仓明细!$B$26:$Y$26,'实盘净值数据(iFinD）'!$B670:$Y670/'实盘净值数据(iFinD）'!$B$69:$Y$69)+SUMPRODUCT(分期持仓明细!$AC$26:$AD$26,'实盘净值数据(iFinD）'!$Z670:$AA670/'实盘净值数据(iFinD）'!$Z$69:$AA$69)+SUMPRODUCT(分期持仓明细!$AE$26:$AO$26,'实盘净值数据(iFinD）'!$AB670:$AL670/'实盘净值数据(iFinD）'!$AB$69:$AL$69))*(1-实盘持仓初始配置!$Z$10)^(('实盘净值数据(iFinD）'!$A670-'实盘净值数据(iFinD）'!$A$69)/365))</f>
        <v/>
      </c>
      <c r="U670" s="16">
        <f>IF(OR(T669="",T670=""),"",T670/T669-1)</f>
        <v/>
      </c>
      <c r="V670" s="16">
        <f>IF(T670="","",T670/MAX(T$5:T670)-1)</f>
        <v/>
      </c>
    </row>
    <row r="671" spans="1:19">
      <c r="A671" s="15" t="str">
        <f>IF('实盘净值数据(iFinD）'!A671="","",'实盘净值数据(iFinD）'!A671)</f>
        <v/>
      </c>
      <c r="B671" s="13" t="str">
        <f>IF(OR('实盘净值数据(iFinD）'!$A671="",'实盘净值数据(iFinD）'!$B671=""),"",分期持仓明细!$AB$17*SUMPRODUCT(分期持仓明细!$B$17:$Y$17,'实盘净值数据(iFinD）'!$B671:$Y671/'实盘净值数据(iFinD）'!$B$20:$Y$20)*(1-实盘持仓初始配置!$Z$4)^(('实盘净值数据(iFinD）'!$A671-'实盘净值数据(iFinD）'!$A$6)/365))</f>
        <v/>
      </c>
      <c r="C671" s="16" t="str">
        <f t="shared" si="60"/>
        <v/>
      </c>
      <c r="D671" s="16" t="str">
        <f>IF(B671="","",B671/MAX(B$5:B671)-1)</f>
        <v/>
      </c>
      <c r="E671" s="13" t="str">
        <f>IF(OR('实盘净值数据(iFinD）'!$A671="",'实盘净值数据(iFinD）'!$B671=""),"",分期持仓明细!$AB$18*SUMPRODUCT(分期持仓明细!$B$18:$Y$18,'实盘净值数据(iFinD）'!$B671:$Y671/'实盘净值数据(iFinD）'!$B$20:$Y$20)*(1-实盘持仓初始配置!$Z$5)^(('实盘净值数据(iFinD）'!$A671-'实盘净值数据(iFinD）'!$A$5)/365))</f>
        <v/>
      </c>
      <c r="F671" s="16" t="str">
        <f t="shared" si="61"/>
        <v/>
      </c>
      <c r="G671" s="16" t="str">
        <f>IF(E671="","",E671/MAX(E$5:E671)-1)</f>
        <v/>
      </c>
      <c r="H671" s="13" t="str">
        <f>IF(OR('实盘净值数据(iFinD）'!$A671="",'实盘净值数据(iFinD）'!$B671=""),"",分期持仓明细!$AB$19*SUMPRODUCT(分期持仓明细!$B$19:$Y$19,'实盘净值数据(iFinD）'!$B671:$Y671/'实盘净值数据(iFinD）'!$B$20:$Y$20)*(1-实盘持仓初始配置!$Z$6)^(('实盘净值数据(iFinD）'!$A671-'实盘净值数据(iFinD）'!$A$7)/365))</f>
        <v/>
      </c>
      <c r="I671" s="16" t="str">
        <f t="shared" si="62"/>
        <v/>
      </c>
      <c r="J671" s="16" t="str">
        <f>IF(H671="","",H671/MAX(H$5:H671)-1)</f>
        <v/>
      </c>
      <c r="K671" s="13" t="str">
        <f>IF(OR('实盘净值数据(iFinD）'!$A671="",'实盘净值数据(iFinD）'!$B671="",'实盘净值数据(iFinD）'!$Z671="",'实盘净值数据(iFinD）'!$AA671=""),"",分期持仓明细!$AB$23*(SUMPRODUCT(分期持仓明细!$B$23:$Y$23,'实盘净值数据(iFinD）'!$B671:$Y671/'实盘净值数据(iFinD）'!$B$65:$Y$65)+SUMPRODUCT(分期持仓明细!$AC$23:$AD$23,'实盘净值数据(iFinD）'!$Z671:$AA671/'实盘净值数据(iFinD）'!$Z$65:$AA$65))*(1-实盘持仓初始配置!$Z$7)^(('实盘净值数据(iFinD）'!$A671-'实盘净值数据(iFinD）'!$A$8)/365))</f>
        <v/>
      </c>
      <c r="L671" s="16" t="str">
        <f t="shared" si="63"/>
        <v/>
      </c>
      <c r="M671" s="16" t="str">
        <f>IF(K671="","",K671/MAX(K$5:K671)-1)</f>
        <v/>
      </c>
      <c r="N671" s="13" t="str">
        <f>IF(OR('实盘净值数据(iFinD）'!$A671="",'实盘净值数据(iFinD）'!$B671="",'实盘净值数据(iFinD）'!$Z671="",'实盘净值数据(iFinD）'!$AA671=""),"",分期持仓明细!$AB$24*(SUMPRODUCT(分期持仓明细!$B$24:$Y$24,'实盘净值数据(iFinD）'!$B671:$Y671/'实盘净值数据(iFinD）'!$B$65:$Y$65)+SUMPRODUCT(分期持仓明细!$AC$24:$AD$24,'实盘净值数据(iFinD）'!$Z671:$AA671/'实盘净值数据(iFinD）'!$Z$65:$AA$65))*(1-实盘持仓初始配置!$Z$8)^(('实盘净值数据(iFinD）'!$A671-'实盘净值数据(iFinD）'!$A$5)/365))</f>
        <v/>
      </c>
      <c r="O671" s="16" t="str">
        <f t="shared" si="64"/>
        <v/>
      </c>
      <c r="P671" s="16" t="str">
        <f>IF(N671="","",N671/MAX(N$5:N671)-1)</f>
        <v/>
      </c>
      <c r="Q671" s="13" t="str">
        <f>IF(OR('实盘净值数据(iFinD）'!$A671="",'实盘净值数据(iFinD）'!$B671="",'实盘净值数据(iFinD）'!$Z671="",'实盘净值数据(iFinD）'!$AA671=""),"",分期持仓明细!$AB$25*(SUMPRODUCT(分期持仓明细!$B$25:$Y$25,'实盘净值数据(iFinD）'!$B671:$Y671/'实盘净值数据(iFinD）'!$B$65:$Y$65)+SUMPRODUCT(分期持仓明细!$AC$25:$AD$25,'实盘净值数据(iFinD）'!$Z671:$AA671/'实盘净值数据(iFinD）'!$Z$65:$AA$65))*(1-实盘持仓初始配置!$Z$9)^(('实盘净值数据(iFinD）'!$A671-'实盘净值数据(iFinD）'!$A$8)/365))</f>
        <v/>
      </c>
      <c r="R671" s="16" t="str">
        <f t="shared" si="65"/>
        <v/>
      </c>
      <c r="S671" s="16" t="str">
        <f>IF(Q671="","",Q671/MAX(Q$5:Q671)-1)</f>
        <v/>
      </c>
      <c r="T671" s="13">
        <f>IF(OR('实盘净值数据(iFinD）'!$A671="",'实盘净值数据(iFinD）'!$B671="",'实盘净值数据(iFinD）'!$Z671="",'实盘净值数据(iFinD）'!$AA671="",'实盘净值数据(iFinD）'!$AB671="",'实盘净值数据(iFinD）'!$AL671=""),"",(SUMPRODUCT(分期持仓明细!$B$26:$Y$26,'实盘净值数据(iFinD）'!$B671:$Y671/'实盘净值数据(iFinD）'!$B$69:$Y$69)+SUMPRODUCT(分期持仓明细!$AC$26:$AD$26,'实盘净值数据(iFinD）'!$Z671:$AA671/'实盘净值数据(iFinD）'!$Z$69:$AA$69)+SUMPRODUCT(分期持仓明细!$AE$26:$AO$26,'实盘净值数据(iFinD）'!$AB671:$AL671/'实盘净值数据(iFinD）'!$AB$69:$AL$69))*(1-实盘持仓初始配置!$Z$10)^(('实盘净值数据(iFinD）'!$A671-'实盘净值数据(iFinD）'!$A$69)/365))</f>
        <v/>
      </c>
      <c r="U671" s="16">
        <f>IF(OR(T670="",T671=""),"",T671/T670-1)</f>
        <v/>
      </c>
      <c r="V671" s="16">
        <f>IF(T671="","",T671/MAX(T$5:T671)-1)</f>
        <v/>
      </c>
    </row>
    <row r="672" spans="1:19">
      <c r="A672" s="15" t="str">
        <f>IF('实盘净值数据(iFinD）'!A672="","",'实盘净值数据(iFinD）'!A672)</f>
        <v/>
      </c>
      <c r="B672" s="13" t="str">
        <f>IF(OR('实盘净值数据(iFinD）'!$A672="",'实盘净值数据(iFinD）'!$B672=""),"",分期持仓明细!$AB$17*SUMPRODUCT(分期持仓明细!$B$17:$Y$17,'实盘净值数据(iFinD）'!$B672:$Y672/'实盘净值数据(iFinD）'!$B$20:$Y$20)*(1-实盘持仓初始配置!$Z$4)^(('实盘净值数据(iFinD）'!$A672-'实盘净值数据(iFinD）'!$A$6)/365))</f>
        <v/>
      </c>
      <c r="C672" s="16" t="str">
        <f t="shared" si="60"/>
        <v/>
      </c>
      <c r="D672" s="16" t="str">
        <f>IF(B672="","",B672/MAX(B$5:B672)-1)</f>
        <v/>
      </c>
      <c r="E672" s="13" t="str">
        <f>IF(OR('实盘净值数据(iFinD）'!$A672="",'实盘净值数据(iFinD）'!$B672=""),"",分期持仓明细!$AB$18*SUMPRODUCT(分期持仓明细!$B$18:$Y$18,'实盘净值数据(iFinD）'!$B672:$Y672/'实盘净值数据(iFinD）'!$B$20:$Y$20)*(1-实盘持仓初始配置!$Z$5)^(('实盘净值数据(iFinD）'!$A672-'实盘净值数据(iFinD）'!$A$5)/365))</f>
        <v/>
      </c>
      <c r="F672" s="16" t="str">
        <f t="shared" si="61"/>
        <v/>
      </c>
      <c r="G672" s="16" t="str">
        <f>IF(E672="","",E672/MAX(E$5:E672)-1)</f>
        <v/>
      </c>
      <c r="H672" s="13" t="str">
        <f>IF(OR('实盘净值数据(iFinD）'!$A672="",'实盘净值数据(iFinD）'!$B672=""),"",分期持仓明细!$AB$19*SUMPRODUCT(分期持仓明细!$B$19:$Y$19,'实盘净值数据(iFinD）'!$B672:$Y672/'实盘净值数据(iFinD）'!$B$20:$Y$20)*(1-实盘持仓初始配置!$Z$6)^(('实盘净值数据(iFinD）'!$A672-'实盘净值数据(iFinD）'!$A$7)/365))</f>
        <v/>
      </c>
      <c r="I672" s="16" t="str">
        <f t="shared" si="62"/>
        <v/>
      </c>
      <c r="J672" s="16" t="str">
        <f>IF(H672="","",H672/MAX(H$5:H672)-1)</f>
        <v/>
      </c>
      <c r="K672" s="13" t="str">
        <f>IF(OR('实盘净值数据(iFinD）'!$A672="",'实盘净值数据(iFinD）'!$B672="",'实盘净值数据(iFinD）'!$Z672="",'实盘净值数据(iFinD）'!$AA672=""),"",分期持仓明细!$AB$23*(SUMPRODUCT(分期持仓明细!$B$23:$Y$23,'实盘净值数据(iFinD）'!$B672:$Y672/'实盘净值数据(iFinD）'!$B$65:$Y$65)+SUMPRODUCT(分期持仓明细!$AC$23:$AD$23,'实盘净值数据(iFinD）'!$Z672:$AA672/'实盘净值数据(iFinD）'!$Z$65:$AA$65))*(1-实盘持仓初始配置!$Z$7)^(('实盘净值数据(iFinD）'!$A672-'实盘净值数据(iFinD）'!$A$8)/365))</f>
        <v/>
      </c>
      <c r="L672" s="16" t="str">
        <f t="shared" si="63"/>
        <v/>
      </c>
      <c r="M672" s="16" t="str">
        <f>IF(K672="","",K672/MAX(K$5:K672)-1)</f>
        <v/>
      </c>
      <c r="N672" s="13" t="str">
        <f>IF(OR('实盘净值数据(iFinD）'!$A672="",'实盘净值数据(iFinD）'!$B672="",'实盘净值数据(iFinD）'!$Z672="",'实盘净值数据(iFinD）'!$AA672=""),"",分期持仓明细!$AB$24*(SUMPRODUCT(分期持仓明细!$B$24:$Y$24,'实盘净值数据(iFinD）'!$B672:$Y672/'实盘净值数据(iFinD）'!$B$65:$Y$65)+SUMPRODUCT(分期持仓明细!$AC$24:$AD$24,'实盘净值数据(iFinD）'!$Z672:$AA672/'实盘净值数据(iFinD）'!$Z$65:$AA$65))*(1-实盘持仓初始配置!$Z$8)^(('实盘净值数据(iFinD）'!$A672-'实盘净值数据(iFinD）'!$A$5)/365))</f>
        <v/>
      </c>
      <c r="O672" s="16" t="str">
        <f t="shared" si="64"/>
        <v/>
      </c>
      <c r="P672" s="16" t="str">
        <f>IF(N672="","",N672/MAX(N$5:N672)-1)</f>
        <v/>
      </c>
      <c r="Q672" s="13" t="str">
        <f>IF(OR('实盘净值数据(iFinD）'!$A672="",'实盘净值数据(iFinD）'!$B672="",'实盘净值数据(iFinD）'!$Z672="",'实盘净值数据(iFinD）'!$AA672=""),"",分期持仓明细!$AB$25*(SUMPRODUCT(分期持仓明细!$B$25:$Y$25,'实盘净值数据(iFinD）'!$B672:$Y672/'实盘净值数据(iFinD）'!$B$65:$Y$65)+SUMPRODUCT(分期持仓明细!$AC$25:$AD$25,'实盘净值数据(iFinD）'!$Z672:$AA672/'实盘净值数据(iFinD）'!$Z$65:$AA$65))*(1-实盘持仓初始配置!$Z$9)^(('实盘净值数据(iFinD）'!$A672-'实盘净值数据(iFinD）'!$A$8)/365))</f>
        <v/>
      </c>
      <c r="R672" s="16" t="str">
        <f t="shared" si="65"/>
        <v/>
      </c>
      <c r="S672" s="16" t="str">
        <f>IF(Q672="","",Q672/MAX(Q$5:Q672)-1)</f>
        <v/>
      </c>
      <c r="T672" s="13">
        <f>IF(OR('实盘净值数据(iFinD）'!$A672="",'实盘净值数据(iFinD）'!$B672="",'实盘净值数据(iFinD）'!$Z672="",'实盘净值数据(iFinD）'!$AA672="",'实盘净值数据(iFinD）'!$AB672="",'实盘净值数据(iFinD）'!$AL672=""),"",(SUMPRODUCT(分期持仓明细!$B$26:$Y$26,'实盘净值数据(iFinD）'!$B672:$Y672/'实盘净值数据(iFinD）'!$B$69:$Y$69)+SUMPRODUCT(分期持仓明细!$AC$26:$AD$26,'实盘净值数据(iFinD）'!$Z672:$AA672/'实盘净值数据(iFinD）'!$Z$69:$AA$69)+SUMPRODUCT(分期持仓明细!$AE$26:$AO$26,'实盘净值数据(iFinD）'!$AB672:$AL672/'实盘净值数据(iFinD）'!$AB$69:$AL$69))*(1-实盘持仓初始配置!$Z$10)^(('实盘净值数据(iFinD）'!$A672-'实盘净值数据(iFinD）'!$A$69)/365))</f>
        <v/>
      </c>
      <c r="U672" s="16">
        <f>IF(OR(T671="",T672=""),"",T672/T671-1)</f>
        <v/>
      </c>
      <c r="V672" s="16">
        <f>IF(T672="","",T672/MAX(T$5:T672)-1)</f>
        <v/>
      </c>
    </row>
    <row r="673" spans="1:19">
      <c r="A673" s="15" t="str">
        <f>IF('实盘净值数据(iFinD）'!A673="","",'实盘净值数据(iFinD）'!A673)</f>
        <v/>
      </c>
      <c r="B673" s="13" t="str">
        <f>IF(OR('实盘净值数据(iFinD）'!$A673="",'实盘净值数据(iFinD）'!$B673=""),"",分期持仓明细!$AB$17*SUMPRODUCT(分期持仓明细!$B$17:$Y$17,'实盘净值数据(iFinD）'!$B673:$Y673/'实盘净值数据(iFinD）'!$B$20:$Y$20)*(1-实盘持仓初始配置!$Z$4)^(('实盘净值数据(iFinD）'!$A673-'实盘净值数据(iFinD）'!$A$6)/365))</f>
        <v/>
      </c>
      <c r="C673" s="16" t="str">
        <f t="shared" si="60"/>
        <v/>
      </c>
      <c r="D673" s="16" t="str">
        <f>IF(B673="","",B673/MAX(B$5:B673)-1)</f>
        <v/>
      </c>
      <c r="E673" s="13" t="str">
        <f>IF(OR('实盘净值数据(iFinD）'!$A673="",'实盘净值数据(iFinD）'!$B673=""),"",分期持仓明细!$AB$18*SUMPRODUCT(分期持仓明细!$B$18:$Y$18,'实盘净值数据(iFinD）'!$B673:$Y673/'实盘净值数据(iFinD）'!$B$20:$Y$20)*(1-实盘持仓初始配置!$Z$5)^(('实盘净值数据(iFinD）'!$A673-'实盘净值数据(iFinD）'!$A$5)/365))</f>
        <v/>
      </c>
      <c r="F673" s="16" t="str">
        <f t="shared" si="61"/>
        <v/>
      </c>
      <c r="G673" s="16" t="str">
        <f>IF(E673="","",E673/MAX(E$5:E673)-1)</f>
        <v/>
      </c>
      <c r="H673" s="13" t="str">
        <f>IF(OR('实盘净值数据(iFinD）'!$A673="",'实盘净值数据(iFinD）'!$B673=""),"",分期持仓明细!$AB$19*SUMPRODUCT(分期持仓明细!$B$19:$Y$19,'实盘净值数据(iFinD）'!$B673:$Y673/'实盘净值数据(iFinD）'!$B$20:$Y$20)*(1-实盘持仓初始配置!$Z$6)^(('实盘净值数据(iFinD）'!$A673-'实盘净值数据(iFinD）'!$A$7)/365))</f>
        <v/>
      </c>
      <c r="I673" s="16" t="str">
        <f t="shared" si="62"/>
        <v/>
      </c>
      <c r="J673" s="16" t="str">
        <f>IF(H673="","",H673/MAX(H$5:H673)-1)</f>
        <v/>
      </c>
      <c r="K673" s="13" t="str">
        <f>IF(OR('实盘净值数据(iFinD）'!$A673="",'实盘净值数据(iFinD）'!$B673="",'实盘净值数据(iFinD）'!$Z673="",'实盘净值数据(iFinD）'!$AA673=""),"",分期持仓明细!$AB$23*(SUMPRODUCT(分期持仓明细!$B$23:$Y$23,'实盘净值数据(iFinD）'!$B673:$Y673/'实盘净值数据(iFinD）'!$B$65:$Y$65)+SUMPRODUCT(分期持仓明细!$AC$23:$AD$23,'实盘净值数据(iFinD）'!$Z673:$AA673/'实盘净值数据(iFinD）'!$Z$65:$AA$65))*(1-实盘持仓初始配置!$Z$7)^(('实盘净值数据(iFinD）'!$A673-'实盘净值数据(iFinD）'!$A$8)/365))</f>
        <v/>
      </c>
      <c r="L673" s="16" t="str">
        <f t="shared" si="63"/>
        <v/>
      </c>
      <c r="M673" s="16" t="str">
        <f>IF(K673="","",K673/MAX(K$5:K673)-1)</f>
        <v/>
      </c>
      <c r="N673" s="13" t="str">
        <f>IF(OR('实盘净值数据(iFinD）'!$A673="",'实盘净值数据(iFinD）'!$B673="",'实盘净值数据(iFinD）'!$Z673="",'实盘净值数据(iFinD）'!$AA673=""),"",分期持仓明细!$AB$24*(SUMPRODUCT(分期持仓明细!$B$24:$Y$24,'实盘净值数据(iFinD）'!$B673:$Y673/'实盘净值数据(iFinD）'!$B$65:$Y$65)+SUMPRODUCT(分期持仓明细!$AC$24:$AD$24,'实盘净值数据(iFinD）'!$Z673:$AA673/'实盘净值数据(iFinD）'!$Z$65:$AA$65))*(1-实盘持仓初始配置!$Z$8)^(('实盘净值数据(iFinD）'!$A673-'实盘净值数据(iFinD）'!$A$5)/365))</f>
        <v/>
      </c>
      <c r="O673" s="16" t="str">
        <f t="shared" si="64"/>
        <v/>
      </c>
      <c r="P673" s="16" t="str">
        <f>IF(N673="","",N673/MAX(N$5:N673)-1)</f>
        <v/>
      </c>
      <c r="Q673" s="13" t="str">
        <f>IF(OR('实盘净值数据(iFinD）'!$A673="",'实盘净值数据(iFinD）'!$B673="",'实盘净值数据(iFinD）'!$Z673="",'实盘净值数据(iFinD）'!$AA673=""),"",分期持仓明细!$AB$25*(SUMPRODUCT(分期持仓明细!$B$25:$Y$25,'实盘净值数据(iFinD）'!$B673:$Y673/'实盘净值数据(iFinD）'!$B$65:$Y$65)+SUMPRODUCT(分期持仓明细!$AC$25:$AD$25,'实盘净值数据(iFinD）'!$Z673:$AA673/'实盘净值数据(iFinD）'!$Z$65:$AA$65))*(1-实盘持仓初始配置!$Z$9)^(('实盘净值数据(iFinD）'!$A673-'实盘净值数据(iFinD）'!$A$8)/365))</f>
        <v/>
      </c>
      <c r="R673" s="16" t="str">
        <f t="shared" si="65"/>
        <v/>
      </c>
      <c r="S673" s="16" t="str">
        <f>IF(Q673="","",Q673/MAX(Q$5:Q673)-1)</f>
        <v/>
      </c>
      <c r="T673" s="13">
        <f>IF(OR('实盘净值数据(iFinD）'!$A673="",'实盘净值数据(iFinD）'!$B673="",'实盘净值数据(iFinD）'!$Z673="",'实盘净值数据(iFinD）'!$AA673="",'实盘净值数据(iFinD）'!$AB673="",'实盘净值数据(iFinD）'!$AL673=""),"",(SUMPRODUCT(分期持仓明细!$B$26:$Y$26,'实盘净值数据(iFinD）'!$B673:$Y673/'实盘净值数据(iFinD）'!$B$69:$Y$69)+SUMPRODUCT(分期持仓明细!$AC$26:$AD$26,'实盘净值数据(iFinD）'!$Z673:$AA673/'实盘净值数据(iFinD）'!$Z$69:$AA$69)+SUMPRODUCT(分期持仓明细!$AE$26:$AO$26,'实盘净值数据(iFinD）'!$AB673:$AL673/'实盘净值数据(iFinD）'!$AB$69:$AL$69))*(1-实盘持仓初始配置!$Z$10)^(('实盘净值数据(iFinD）'!$A673-'实盘净值数据(iFinD）'!$A$69)/365))</f>
        <v/>
      </c>
      <c r="U673" s="16">
        <f>IF(OR(T672="",T673=""),"",T673/T672-1)</f>
        <v/>
      </c>
      <c r="V673" s="16">
        <f>IF(T673="","",T673/MAX(T$5:T673)-1)</f>
        <v/>
      </c>
    </row>
    <row r="674" spans="1:19">
      <c r="A674" s="15" t="str">
        <f>IF('实盘净值数据(iFinD）'!A674="","",'实盘净值数据(iFinD）'!A674)</f>
        <v/>
      </c>
      <c r="B674" s="13" t="str">
        <f>IF(OR('实盘净值数据(iFinD）'!$A674="",'实盘净值数据(iFinD）'!$B674=""),"",分期持仓明细!$AB$17*SUMPRODUCT(分期持仓明细!$B$17:$Y$17,'实盘净值数据(iFinD）'!$B674:$Y674/'实盘净值数据(iFinD）'!$B$20:$Y$20)*(1-实盘持仓初始配置!$Z$4)^(('实盘净值数据(iFinD）'!$A674-'实盘净值数据(iFinD）'!$A$6)/365))</f>
        <v/>
      </c>
      <c r="C674" s="16" t="str">
        <f t="shared" si="60"/>
        <v/>
      </c>
      <c r="D674" s="16" t="str">
        <f>IF(B674="","",B674/MAX(B$5:B674)-1)</f>
        <v/>
      </c>
      <c r="E674" s="13" t="str">
        <f>IF(OR('实盘净值数据(iFinD）'!$A674="",'实盘净值数据(iFinD）'!$B674=""),"",分期持仓明细!$AB$18*SUMPRODUCT(分期持仓明细!$B$18:$Y$18,'实盘净值数据(iFinD）'!$B674:$Y674/'实盘净值数据(iFinD）'!$B$20:$Y$20)*(1-实盘持仓初始配置!$Z$5)^(('实盘净值数据(iFinD）'!$A674-'实盘净值数据(iFinD）'!$A$5)/365))</f>
        <v/>
      </c>
      <c r="F674" s="16" t="str">
        <f t="shared" si="61"/>
        <v/>
      </c>
      <c r="G674" s="16" t="str">
        <f>IF(E674="","",E674/MAX(E$5:E674)-1)</f>
        <v/>
      </c>
      <c r="H674" s="13" t="str">
        <f>IF(OR('实盘净值数据(iFinD）'!$A674="",'实盘净值数据(iFinD）'!$B674=""),"",分期持仓明细!$AB$19*SUMPRODUCT(分期持仓明细!$B$19:$Y$19,'实盘净值数据(iFinD）'!$B674:$Y674/'实盘净值数据(iFinD）'!$B$20:$Y$20)*(1-实盘持仓初始配置!$Z$6)^(('实盘净值数据(iFinD）'!$A674-'实盘净值数据(iFinD）'!$A$7)/365))</f>
        <v/>
      </c>
      <c r="I674" s="16" t="str">
        <f t="shared" si="62"/>
        <v/>
      </c>
      <c r="J674" s="16" t="str">
        <f>IF(H674="","",H674/MAX(H$5:H674)-1)</f>
        <v/>
      </c>
      <c r="K674" s="13" t="str">
        <f>IF(OR('实盘净值数据(iFinD）'!$A674="",'实盘净值数据(iFinD）'!$B674="",'实盘净值数据(iFinD）'!$Z674="",'实盘净值数据(iFinD）'!$AA674=""),"",分期持仓明细!$AB$23*(SUMPRODUCT(分期持仓明细!$B$23:$Y$23,'实盘净值数据(iFinD）'!$B674:$Y674/'实盘净值数据(iFinD）'!$B$65:$Y$65)+SUMPRODUCT(分期持仓明细!$AC$23:$AD$23,'实盘净值数据(iFinD）'!$Z674:$AA674/'实盘净值数据(iFinD）'!$Z$65:$AA$65))*(1-实盘持仓初始配置!$Z$7)^(('实盘净值数据(iFinD）'!$A674-'实盘净值数据(iFinD）'!$A$8)/365))</f>
        <v/>
      </c>
      <c r="L674" s="16" t="str">
        <f t="shared" si="63"/>
        <v/>
      </c>
      <c r="M674" s="16" t="str">
        <f>IF(K674="","",K674/MAX(K$5:K674)-1)</f>
        <v/>
      </c>
      <c r="N674" s="13" t="str">
        <f>IF(OR('实盘净值数据(iFinD）'!$A674="",'实盘净值数据(iFinD）'!$B674="",'实盘净值数据(iFinD）'!$Z674="",'实盘净值数据(iFinD）'!$AA674=""),"",分期持仓明细!$AB$24*(SUMPRODUCT(分期持仓明细!$B$24:$Y$24,'实盘净值数据(iFinD）'!$B674:$Y674/'实盘净值数据(iFinD）'!$B$65:$Y$65)+SUMPRODUCT(分期持仓明细!$AC$24:$AD$24,'实盘净值数据(iFinD）'!$Z674:$AA674/'实盘净值数据(iFinD）'!$Z$65:$AA$65))*(1-实盘持仓初始配置!$Z$8)^(('实盘净值数据(iFinD）'!$A674-'实盘净值数据(iFinD）'!$A$5)/365))</f>
        <v/>
      </c>
      <c r="O674" s="16" t="str">
        <f t="shared" si="64"/>
        <v/>
      </c>
      <c r="P674" s="16" t="str">
        <f>IF(N674="","",N674/MAX(N$5:N674)-1)</f>
        <v/>
      </c>
      <c r="Q674" s="13" t="str">
        <f>IF(OR('实盘净值数据(iFinD）'!$A674="",'实盘净值数据(iFinD）'!$B674="",'实盘净值数据(iFinD）'!$Z674="",'实盘净值数据(iFinD）'!$AA674=""),"",分期持仓明细!$AB$25*(SUMPRODUCT(分期持仓明细!$B$25:$Y$25,'实盘净值数据(iFinD）'!$B674:$Y674/'实盘净值数据(iFinD）'!$B$65:$Y$65)+SUMPRODUCT(分期持仓明细!$AC$25:$AD$25,'实盘净值数据(iFinD）'!$Z674:$AA674/'实盘净值数据(iFinD）'!$Z$65:$AA$65))*(1-实盘持仓初始配置!$Z$9)^(('实盘净值数据(iFinD）'!$A674-'实盘净值数据(iFinD）'!$A$8)/365))</f>
        <v/>
      </c>
      <c r="R674" s="16" t="str">
        <f t="shared" si="65"/>
        <v/>
      </c>
      <c r="S674" s="16" t="str">
        <f>IF(Q674="","",Q674/MAX(Q$5:Q674)-1)</f>
        <v/>
      </c>
      <c r="T674" s="13">
        <f>IF(OR('实盘净值数据(iFinD）'!$A674="",'实盘净值数据(iFinD）'!$B674="",'实盘净值数据(iFinD）'!$Z674="",'实盘净值数据(iFinD）'!$AA674="",'实盘净值数据(iFinD）'!$AB674="",'实盘净值数据(iFinD）'!$AL674=""),"",(SUMPRODUCT(分期持仓明细!$B$26:$Y$26,'实盘净值数据(iFinD）'!$B674:$Y674/'实盘净值数据(iFinD）'!$B$69:$Y$69)+SUMPRODUCT(分期持仓明细!$AC$26:$AD$26,'实盘净值数据(iFinD）'!$Z674:$AA674/'实盘净值数据(iFinD）'!$Z$69:$AA$69)+SUMPRODUCT(分期持仓明细!$AE$26:$AO$26,'实盘净值数据(iFinD）'!$AB674:$AL674/'实盘净值数据(iFinD）'!$AB$69:$AL$69))*(1-实盘持仓初始配置!$Z$10)^(('实盘净值数据(iFinD）'!$A674-'实盘净值数据(iFinD）'!$A$69)/365))</f>
        <v/>
      </c>
      <c r="U674" s="16">
        <f>IF(OR(T673="",T674=""),"",T674/T673-1)</f>
        <v/>
      </c>
      <c r="V674" s="16">
        <f>IF(T674="","",T674/MAX(T$5:T674)-1)</f>
        <v/>
      </c>
    </row>
    <row r="675" spans="1:19">
      <c r="A675" s="15" t="str">
        <f>IF('实盘净值数据(iFinD）'!A675="","",'实盘净值数据(iFinD）'!A675)</f>
        <v/>
      </c>
      <c r="B675" s="13" t="str">
        <f>IF(OR('实盘净值数据(iFinD）'!$A675="",'实盘净值数据(iFinD）'!$B675=""),"",分期持仓明细!$AB$17*SUMPRODUCT(分期持仓明细!$B$17:$Y$17,'实盘净值数据(iFinD）'!$B675:$Y675/'实盘净值数据(iFinD）'!$B$20:$Y$20)*(1-实盘持仓初始配置!$Z$4)^(('实盘净值数据(iFinD）'!$A675-'实盘净值数据(iFinD）'!$A$6)/365))</f>
        <v/>
      </c>
      <c r="C675" s="16" t="str">
        <f t="shared" si="60"/>
        <v/>
      </c>
      <c r="D675" s="16" t="str">
        <f>IF(B675="","",B675/MAX(B$5:B675)-1)</f>
        <v/>
      </c>
      <c r="E675" s="13" t="str">
        <f>IF(OR('实盘净值数据(iFinD）'!$A675="",'实盘净值数据(iFinD）'!$B675=""),"",分期持仓明细!$AB$18*SUMPRODUCT(分期持仓明细!$B$18:$Y$18,'实盘净值数据(iFinD）'!$B675:$Y675/'实盘净值数据(iFinD）'!$B$20:$Y$20)*(1-实盘持仓初始配置!$Z$5)^(('实盘净值数据(iFinD）'!$A675-'实盘净值数据(iFinD）'!$A$5)/365))</f>
        <v/>
      </c>
      <c r="F675" s="16" t="str">
        <f t="shared" si="61"/>
        <v/>
      </c>
      <c r="G675" s="16" t="str">
        <f>IF(E675="","",E675/MAX(E$5:E675)-1)</f>
        <v/>
      </c>
      <c r="H675" s="13" t="str">
        <f>IF(OR('实盘净值数据(iFinD）'!$A675="",'实盘净值数据(iFinD）'!$B675=""),"",分期持仓明细!$AB$19*SUMPRODUCT(分期持仓明细!$B$19:$Y$19,'实盘净值数据(iFinD）'!$B675:$Y675/'实盘净值数据(iFinD）'!$B$20:$Y$20)*(1-实盘持仓初始配置!$Z$6)^(('实盘净值数据(iFinD）'!$A675-'实盘净值数据(iFinD）'!$A$7)/365))</f>
        <v/>
      </c>
      <c r="I675" s="16" t="str">
        <f t="shared" si="62"/>
        <v/>
      </c>
      <c r="J675" s="16" t="str">
        <f>IF(H675="","",H675/MAX(H$5:H675)-1)</f>
        <v/>
      </c>
      <c r="K675" s="13" t="str">
        <f>IF(OR('实盘净值数据(iFinD）'!$A675="",'实盘净值数据(iFinD）'!$B675="",'实盘净值数据(iFinD）'!$Z675="",'实盘净值数据(iFinD）'!$AA675=""),"",分期持仓明细!$AB$23*(SUMPRODUCT(分期持仓明细!$B$23:$Y$23,'实盘净值数据(iFinD）'!$B675:$Y675/'实盘净值数据(iFinD）'!$B$65:$Y$65)+SUMPRODUCT(分期持仓明细!$AC$23:$AD$23,'实盘净值数据(iFinD）'!$Z675:$AA675/'实盘净值数据(iFinD）'!$Z$65:$AA$65))*(1-实盘持仓初始配置!$Z$7)^(('实盘净值数据(iFinD）'!$A675-'实盘净值数据(iFinD）'!$A$8)/365))</f>
        <v/>
      </c>
      <c r="L675" s="16" t="str">
        <f t="shared" si="63"/>
        <v/>
      </c>
      <c r="M675" s="16" t="str">
        <f>IF(K675="","",K675/MAX(K$5:K675)-1)</f>
        <v/>
      </c>
      <c r="N675" s="13" t="str">
        <f>IF(OR('实盘净值数据(iFinD）'!$A675="",'实盘净值数据(iFinD）'!$B675="",'实盘净值数据(iFinD）'!$Z675="",'实盘净值数据(iFinD）'!$AA675=""),"",分期持仓明细!$AB$24*(SUMPRODUCT(分期持仓明细!$B$24:$Y$24,'实盘净值数据(iFinD）'!$B675:$Y675/'实盘净值数据(iFinD）'!$B$65:$Y$65)+SUMPRODUCT(分期持仓明细!$AC$24:$AD$24,'实盘净值数据(iFinD）'!$Z675:$AA675/'实盘净值数据(iFinD）'!$Z$65:$AA$65))*(1-实盘持仓初始配置!$Z$8)^(('实盘净值数据(iFinD）'!$A675-'实盘净值数据(iFinD）'!$A$5)/365))</f>
        <v/>
      </c>
      <c r="O675" s="16" t="str">
        <f t="shared" si="64"/>
        <v/>
      </c>
      <c r="P675" s="16" t="str">
        <f>IF(N675="","",N675/MAX(N$5:N675)-1)</f>
        <v/>
      </c>
      <c r="Q675" s="13" t="str">
        <f>IF(OR('实盘净值数据(iFinD）'!$A675="",'实盘净值数据(iFinD）'!$B675="",'实盘净值数据(iFinD）'!$Z675="",'实盘净值数据(iFinD）'!$AA675=""),"",分期持仓明细!$AB$25*(SUMPRODUCT(分期持仓明细!$B$25:$Y$25,'实盘净值数据(iFinD）'!$B675:$Y675/'实盘净值数据(iFinD）'!$B$65:$Y$65)+SUMPRODUCT(分期持仓明细!$AC$25:$AD$25,'实盘净值数据(iFinD）'!$Z675:$AA675/'实盘净值数据(iFinD）'!$Z$65:$AA$65))*(1-实盘持仓初始配置!$Z$9)^(('实盘净值数据(iFinD）'!$A675-'实盘净值数据(iFinD）'!$A$8)/365))</f>
        <v/>
      </c>
      <c r="R675" s="16" t="str">
        <f t="shared" si="65"/>
        <v/>
      </c>
      <c r="S675" s="16" t="str">
        <f>IF(Q675="","",Q675/MAX(Q$5:Q675)-1)</f>
        <v/>
      </c>
      <c r="T675" s="13">
        <f>IF(OR('实盘净值数据(iFinD）'!$A675="",'实盘净值数据(iFinD）'!$B675="",'实盘净值数据(iFinD）'!$Z675="",'实盘净值数据(iFinD）'!$AA675="",'实盘净值数据(iFinD）'!$AB675="",'实盘净值数据(iFinD）'!$AL675=""),"",(SUMPRODUCT(分期持仓明细!$B$26:$Y$26,'实盘净值数据(iFinD）'!$B675:$Y675/'实盘净值数据(iFinD）'!$B$69:$Y$69)+SUMPRODUCT(分期持仓明细!$AC$26:$AD$26,'实盘净值数据(iFinD）'!$Z675:$AA675/'实盘净值数据(iFinD）'!$Z$69:$AA$69)+SUMPRODUCT(分期持仓明细!$AE$26:$AO$26,'实盘净值数据(iFinD）'!$AB675:$AL675/'实盘净值数据(iFinD）'!$AB$69:$AL$69))*(1-实盘持仓初始配置!$Z$10)^(('实盘净值数据(iFinD）'!$A675-'实盘净值数据(iFinD）'!$A$69)/365))</f>
        <v/>
      </c>
      <c r="U675" s="16">
        <f>IF(OR(T674="",T675=""),"",T675/T674-1)</f>
        <v/>
      </c>
      <c r="V675" s="16">
        <f>IF(T675="","",T675/MAX(T$5:T675)-1)</f>
        <v/>
      </c>
    </row>
    <row r="676" spans="1:19">
      <c r="A676" s="15" t="str">
        <f>IF('实盘净值数据(iFinD）'!A676="","",'实盘净值数据(iFinD）'!A676)</f>
        <v/>
      </c>
      <c r="B676" s="13" t="str">
        <f>IF(OR('实盘净值数据(iFinD）'!$A676="",'实盘净值数据(iFinD）'!$B676=""),"",分期持仓明细!$AB$17*SUMPRODUCT(分期持仓明细!$B$17:$Y$17,'实盘净值数据(iFinD）'!$B676:$Y676/'实盘净值数据(iFinD）'!$B$20:$Y$20)*(1-实盘持仓初始配置!$Z$4)^(('实盘净值数据(iFinD）'!$A676-'实盘净值数据(iFinD）'!$A$6)/365))</f>
        <v/>
      </c>
      <c r="C676" s="16" t="str">
        <f t="shared" si="60"/>
        <v/>
      </c>
      <c r="D676" s="16" t="str">
        <f>IF(B676="","",B676/MAX(B$5:B676)-1)</f>
        <v/>
      </c>
      <c r="E676" s="13" t="str">
        <f>IF(OR('实盘净值数据(iFinD）'!$A676="",'实盘净值数据(iFinD）'!$B676=""),"",分期持仓明细!$AB$18*SUMPRODUCT(分期持仓明细!$B$18:$Y$18,'实盘净值数据(iFinD）'!$B676:$Y676/'实盘净值数据(iFinD）'!$B$20:$Y$20)*(1-实盘持仓初始配置!$Z$5)^(('实盘净值数据(iFinD）'!$A676-'实盘净值数据(iFinD）'!$A$5)/365))</f>
        <v/>
      </c>
      <c r="F676" s="16" t="str">
        <f t="shared" si="61"/>
        <v/>
      </c>
      <c r="G676" s="16" t="str">
        <f>IF(E676="","",E676/MAX(E$5:E676)-1)</f>
        <v/>
      </c>
      <c r="H676" s="13" t="str">
        <f>IF(OR('实盘净值数据(iFinD）'!$A676="",'实盘净值数据(iFinD）'!$B676=""),"",分期持仓明细!$AB$19*SUMPRODUCT(分期持仓明细!$B$19:$Y$19,'实盘净值数据(iFinD）'!$B676:$Y676/'实盘净值数据(iFinD）'!$B$20:$Y$20)*(1-实盘持仓初始配置!$Z$6)^(('实盘净值数据(iFinD）'!$A676-'实盘净值数据(iFinD）'!$A$7)/365))</f>
        <v/>
      </c>
      <c r="I676" s="16" t="str">
        <f t="shared" si="62"/>
        <v/>
      </c>
      <c r="J676" s="16" t="str">
        <f>IF(H676="","",H676/MAX(H$5:H676)-1)</f>
        <v/>
      </c>
      <c r="K676" s="13" t="str">
        <f>IF(OR('实盘净值数据(iFinD）'!$A676="",'实盘净值数据(iFinD）'!$B676="",'实盘净值数据(iFinD）'!$Z676="",'实盘净值数据(iFinD）'!$AA676=""),"",分期持仓明细!$AB$23*(SUMPRODUCT(分期持仓明细!$B$23:$Y$23,'实盘净值数据(iFinD）'!$B676:$Y676/'实盘净值数据(iFinD）'!$B$65:$Y$65)+SUMPRODUCT(分期持仓明细!$AC$23:$AD$23,'实盘净值数据(iFinD）'!$Z676:$AA676/'实盘净值数据(iFinD）'!$Z$65:$AA$65))*(1-实盘持仓初始配置!$Z$7)^(('实盘净值数据(iFinD）'!$A676-'实盘净值数据(iFinD）'!$A$8)/365))</f>
        <v/>
      </c>
      <c r="L676" s="16" t="str">
        <f t="shared" si="63"/>
        <v/>
      </c>
      <c r="M676" s="16" t="str">
        <f>IF(K676="","",K676/MAX(K$5:K676)-1)</f>
        <v/>
      </c>
      <c r="N676" s="13" t="str">
        <f>IF(OR('实盘净值数据(iFinD）'!$A676="",'实盘净值数据(iFinD）'!$B676="",'实盘净值数据(iFinD）'!$Z676="",'实盘净值数据(iFinD）'!$AA676=""),"",分期持仓明细!$AB$24*(SUMPRODUCT(分期持仓明细!$B$24:$Y$24,'实盘净值数据(iFinD）'!$B676:$Y676/'实盘净值数据(iFinD）'!$B$65:$Y$65)+SUMPRODUCT(分期持仓明细!$AC$24:$AD$24,'实盘净值数据(iFinD）'!$Z676:$AA676/'实盘净值数据(iFinD）'!$Z$65:$AA$65))*(1-实盘持仓初始配置!$Z$8)^(('实盘净值数据(iFinD）'!$A676-'实盘净值数据(iFinD）'!$A$5)/365))</f>
        <v/>
      </c>
      <c r="O676" s="16" t="str">
        <f t="shared" si="64"/>
        <v/>
      </c>
      <c r="P676" s="16" t="str">
        <f>IF(N676="","",N676/MAX(N$5:N676)-1)</f>
        <v/>
      </c>
      <c r="Q676" s="13" t="str">
        <f>IF(OR('实盘净值数据(iFinD）'!$A676="",'实盘净值数据(iFinD）'!$B676="",'实盘净值数据(iFinD）'!$Z676="",'实盘净值数据(iFinD）'!$AA676=""),"",分期持仓明细!$AB$25*(SUMPRODUCT(分期持仓明细!$B$25:$Y$25,'实盘净值数据(iFinD）'!$B676:$Y676/'实盘净值数据(iFinD）'!$B$65:$Y$65)+SUMPRODUCT(分期持仓明细!$AC$25:$AD$25,'实盘净值数据(iFinD）'!$Z676:$AA676/'实盘净值数据(iFinD）'!$Z$65:$AA$65))*(1-实盘持仓初始配置!$Z$9)^(('实盘净值数据(iFinD）'!$A676-'实盘净值数据(iFinD）'!$A$8)/365))</f>
        <v/>
      </c>
      <c r="R676" s="16" t="str">
        <f t="shared" si="65"/>
        <v/>
      </c>
      <c r="S676" s="16" t="str">
        <f>IF(Q676="","",Q676/MAX(Q$5:Q676)-1)</f>
        <v/>
      </c>
      <c r="T676" s="13">
        <f>IF(OR('实盘净值数据(iFinD）'!$A676="",'实盘净值数据(iFinD）'!$B676="",'实盘净值数据(iFinD）'!$Z676="",'实盘净值数据(iFinD）'!$AA676="",'实盘净值数据(iFinD）'!$AB676="",'实盘净值数据(iFinD）'!$AL676=""),"",(SUMPRODUCT(分期持仓明细!$B$26:$Y$26,'实盘净值数据(iFinD）'!$B676:$Y676/'实盘净值数据(iFinD）'!$B$69:$Y$69)+SUMPRODUCT(分期持仓明细!$AC$26:$AD$26,'实盘净值数据(iFinD）'!$Z676:$AA676/'实盘净值数据(iFinD）'!$Z$69:$AA$69)+SUMPRODUCT(分期持仓明细!$AE$26:$AO$26,'实盘净值数据(iFinD）'!$AB676:$AL676/'实盘净值数据(iFinD）'!$AB$69:$AL$69))*(1-实盘持仓初始配置!$Z$10)^(('实盘净值数据(iFinD）'!$A676-'实盘净值数据(iFinD）'!$A$69)/365))</f>
        <v/>
      </c>
      <c r="U676" s="16">
        <f>IF(OR(T675="",T676=""),"",T676/T675-1)</f>
        <v/>
      </c>
      <c r="V676" s="16">
        <f>IF(T676="","",T676/MAX(T$5:T676)-1)</f>
        <v/>
      </c>
    </row>
    <row r="677" spans="1:19">
      <c r="A677" s="15" t="str">
        <f>IF('实盘净值数据(iFinD）'!A677="","",'实盘净值数据(iFinD）'!A677)</f>
        <v/>
      </c>
      <c r="B677" s="13" t="str">
        <f>IF(OR('实盘净值数据(iFinD）'!$A677="",'实盘净值数据(iFinD）'!$B677=""),"",分期持仓明细!$AB$17*SUMPRODUCT(分期持仓明细!$B$17:$Y$17,'实盘净值数据(iFinD）'!$B677:$Y677/'实盘净值数据(iFinD）'!$B$20:$Y$20)*(1-实盘持仓初始配置!$Z$4)^(('实盘净值数据(iFinD）'!$A677-'实盘净值数据(iFinD）'!$A$6)/365))</f>
        <v/>
      </c>
      <c r="C677" s="16" t="str">
        <f t="shared" si="60"/>
        <v/>
      </c>
      <c r="D677" s="16" t="str">
        <f>IF(B677="","",B677/MAX(B$5:B677)-1)</f>
        <v/>
      </c>
      <c r="E677" s="13" t="str">
        <f>IF(OR('实盘净值数据(iFinD）'!$A677="",'实盘净值数据(iFinD）'!$B677=""),"",分期持仓明细!$AB$18*SUMPRODUCT(分期持仓明细!$B$18:$Y$18,'实盘净值数据(iFinD）'!$B677:$Y677/'实盘净值数据(iFinD）'!$B$20:$Y$20)*(1-实盘持仓初始配置!$Z$5)^(('实盘净值数据(iFinD）'!$A677-'实盘净值数据(iFinD）'!$A$5)/365))</f>
        <v/>
      </c>
      <c r="F677" s="16" t="str">
        <f t="shared" si="61"/>
        <v/>
      </c>
      <c r="G677" s="16" t="str">
        <f>IF(E677="","",E677/MAX(E$5:E677)-1)</f>
        <v/>
      </c>
      <c r="H677" s="13" t="str">
        <f>IF(OR('实盘净值数据(iFinD）'!$A677="",'实盘净值数据(iFinD）'!$B677=""),"",分期持仓明细!$AB$19*SUMPRODUCT(分期持仓明细!$B$19:$Y$19,'实盘净值数据(iFinD）'!$B677:$Y677/'实盘净值数据(iFinD）'!$B$20:$Y$20)*(1-实盘持仓初始配置!$Z$6)^(('实盘净值数据(iFinD）'!$A677-'实盘净值数据(iFinD）'!$A$7)/365))</f>
        <v/>
      </c>
      <c r="I677" s="16" t="str">
        <f t="shared" si="62"/>
        <v/>
      </c>
      <c r="J677" s="16" t="str">
        <f>IF(H677="","",H677/MAX(H$5:H677)-1)</f>
        <v/>
      </c>
      <c r="K677" s="13" t="str">
        <f>IF(OR('实盘净值数据(iFinD）'!$A677="",'实盘净值数据(iFinD）'!$B677="",'实盘净值数据(iFinD）'!$Z677="",'实盘净值数据(iFinD）'!$AA677=""),"",分期持仓明细!$AB$23*(SUMPRODUCT(分期持仓明细!$B$23:$Y$23,'实盘净值数据(iFinD）'!$B677:$Y677/'实盘净值数据(iFinD）'!$B$65:$Y$65)+SUMPRODUCT(分期持仓明细!$AC$23:$AD$23,'实盘净值数据(iFinD）'!$Z677:$AA677/'实盘净值数据(iFinD）'!$Z$65:$AA$65))*(1-实盘持仓初始配置!$Z$7)^(('实盘净值数据(iFinD）'!$A677-'实盘净值数据(iFinD）'!$A$8)/365))</f>
        <v/>
      </c>
      <c r="L677" s="16" t="str">
        <f t="shared" si="63"/>
        <v/>
      </c>
      <c r="M677" s="16" t="str">
        <f>IF(K677="","",K677/MAX(K$5:K677)-1)</f>
        <v/>
      </c>
      <c r="N677" s="13" t="str">
        <f>IF(OR('实盘净值数据(iFinD）'!$A677="",'实盘净值数据(iFinD）'!$B677="",'实盘净值数据(iFinD）'!$Z677="",'实盘净值数据(iFinD）'!$AA677=""),"",分期持仓明细!$AB$24*(SUMPRODUCT(分期持仓明细!$B$24:$Y$24,'实盘净值数据(iFinD）'!$B677:$Y677/'实盘净值数据(iFinD）'!$B$65:$Y$65)+SUMPRODUCT(分期持仓明细!$AC$24:$AD$24,'实盘净值数据(iFinD）'!$Z677:$AA677/'实盘净值数据(iFinD）'!$Z$65:$AA$65))*(1-实盘持仓初始配置!$Z$8)^(('实盘净值数据(iFinD）'!$A677-'实盘净值数据(iFinD）'!$A$5)/365))</f>
        <v/>
      </c>
      <c r="O677" s="16" t="str">
        <f t="shared" si="64"/>
        <v/>
      </c>
      <c r="P677" s="16" t="str">
        <f>IF(N677="","",N677/MAX(N$5:N677)-1)</f>
        <v/>
      </c>
      <c r="Q677" s="13" t="str">
        <f>IF(OR('实盘净值数据(iFinD）'!$A677="",'实盘净值数据(iFinD）'!$B677="",'实盘净值数据(iFinD）'!$Z677="",'实盘净值数据(iFinD）'!$AA677=""),"",分期持仓明细!$AB$25*(SUMPRODUCT(分期持仓明细!$B$25:$Y$25,'实盘净值数据(iFinD）'!$B677:$Y677/'实盘净值数据(iFinD）'!$B$65:$Y$65)+SUMPRODUCT(分期持仓明细!$AC$25:$AD$25,'实盘净值数据(iFinD）'!$Z677:$AA677/'实盘净值数据(iFinD）'!$Z$65:$AA$65))*(1-实盘持仓初始配置!$Z$9)^(('实盘净值数据(iFinD）'!$A677-'实盘净值数据(iFinD）'!$A$8)/365))</f>
        <v/>
      </c>
      <c r="R677" s="16" t="str">
        <f t="shared" si="65"/>
        <v/>
      </c>
      <c r="S677" s="16" t="str">
        <f>IF(Q677="","",Q677/MAX(Q$5:Q677)-1)</f>
        <v/>
      </c>
      <c r="T677" s="13">
        <f>IF(OR('实盘净值数据(iFinD）'!$A677="",'实盘净值数据(iFinD）'!$B677="",'实盘净值数据(iFinD）'!$Z677="",'实盘净值数据(iFinD）'!$AA677="",'实盘净值数据(iFinD）'!$AB677="",'实盘净值数据(iFinD）'!$AL677=""),"",(SUMPRODUCT(分期持仓明细!$B$26:$Y$26,'实盘净值数据(iFinD）'!$B677:$Y677/'实盘净值数据(iFinD）'!$B$69:$Y$69)+SUMPRODUCT(分期持仓明细!$AC$26:$AD$26,'实盘净值数据(iFinD）'!$Z677:$AA677/'实盘净值数据(iFinD）'!$Z$69:$AA$69)+SUMPRODUCT(分期持仓明细!$AE$26:$AO$26,'实盘净值数据(iFinD）'!$AB677:$AL677/'实盘净值数据(iFinD）'!$AB$69:$AL$69))*(1-实盘持仓初始配置!$Z$10)^(('实盘净值数据(iFinD）'!$A677-'实盘净值数据(iFinD）'!$A$69)/365))</f>
        <v/>
      </c>
      <c r="U677" s="16">
        <f>IF(OR(T676="",T677=""),"",T677/T676-1)</f>
        <v/>
      </c>
      <c r="V677" s="16">
        <f>IF(T677="","",T677/MAX(T$5:T677)-1)</f>
        <v/>
      </c>
    </row>
    <row r="678" spans="1:19">
      <c r="A678" s="15" t="str">
        <f>IF('实盘净值数据(iFinD）'!A678="","",'实盘净值数据(iFinD）'!A678)</f>
        <v/>
      </c>
      <c r="B678" s="13" t="str">
        <f>IF(OR('实盘净值数据(iFinD）'!$A678="",'实盘净值数据(iFinD）'!$B678=""),"",分期持仓明细!$AB$17*SUMPRODUCT(分期持仓明细!$B$17:$Y$17,'实盘净值数据(iFinD）'!$B678:$Y678/'实盘净值数据(iFinD）'!$B$20:$Y$20)*(1-实盘持仓初始配置!$Z$4)^(('实盘净值数据(iFinD）'!$A678-'实盘净值数据(iFinD）'!$A$6)/365))</f>
        <v/>
      </c>
      <c r="C678" s="16" t="str">
        <f t="shared" si="60"/>
        <v/>
      </c>
      <c r="D678" s="16" t="str">
        <f>IF(B678="","",B678/MAX(B$5:B678)-1)</f>
        <v/>
      </c>
      <c r="E678" s="13" t="str">
        <f>IF(OR('实盘净值数据(iFinD）'!$A678="",'实盘净值数据(iFinD）'!$B678=""),"",分期持仓明细!$AB$18*SUMPRODUCT(分期持仓明细!$B$18:$Y$18,'实盘净值数据(iFinD）'!$B678:$Y678/'实盘净值数据(iFinD）'!$B$20:$Y$20)*(1-实盘持仓初始配置!$Z$5)^(('实盘净值数据(iFinD）'!$A678-'实盘净值数据(iFinD）'!$A$5)/365))</f>
        <v/>
      </c>
      <c r="F678" s="16" t="str">
        <f t="shared" si="61"/>
        <v/>
      </c>
      <c r="G678" s="16" t="str">
        <f>IF(E678="","",E678/MAX(E$5:E678)-1)</f>
        <v/>
      </c>
      <c r="H678" s="13" t="str">
        <f>IF(OR('实盘净值数据(iFinD）'!$A678="",'实盘净值数据(iFinD）'!$B678=""),"",分期持仓明细!$AB$19*SUMPRODUCT(分期持仓明细!$B$19:$Y$19,'实盘净值数据(iFinD）'!$B678:$Y678/'实盘净值数据(iFinD）'!$B$20:$Y$20)*(1-实盘持仓初始配置!$Z$6)^(('实盘净值数据(iFinD）'!$A678-'实盘净值数据(iFinD）'!$A$7)/365))</f>
        <v/>
      </c>
      <c r="I678" s="16" t="str">
        <f t="shared" si="62"/>
        <v/>
      </c>
      <c r="J678" s="16" t="str">
        <f>IF(H678="","",H678/MAX(H$5:H678)-1)</f>
        <v/>
      </c>
      <c r="K678" s="13" t="str">
        <f>IF(OR('实盘净值数据(iFinD）'!$A678="",'实盘净值数据(iFinD）'!$B678="",'实盘净值数据(iFinD）'!$Z678="",'实盘净值数据(iFinD）'!$AA678=""),"",分期持仓明细!$AB$23*(SUMPRODUCT(分期持仓明细!$B$23:$Y$23,'实盘净值数据(iFinD）'!$B678:$Y678/'实盘净值数据(iFinD）'!$B$65:$Y$65)+SUMPRODUCT(分期持仓明细!$AC$23:$AD$23,'实盘净值数据(iFinD）'!$Z678:$AA678/'实盘净值数据(iFinD）'!$Z$65:$AA$65))*(1-实盘持仓初始配置!$Z$7)^(('实盘净值数据(iFinD）'!$A678-'实盘净值数据(iFinD）'!$A$8)/365))</f>
        <v/>
      </c>
      <c r="L678" s="16" t="str">
        <f t="shared" si="63"/>
        <v/>
      </c>
      <c r="M678" s="16" t="str">
        <f>IF(K678="","",K678/MAX(K$5:K678)-1)</f>
        <v/>
      </c>
      <c r="N678" s="13" t="str">
        <f>IF(OR('实盘净值数据(iFinD）'!$A678="",'实盘净值数据(iFinD）'!$B678="",'实盘净值数据(iFinD）'!$Z678="",'实盘净值数据(iFinD）'!$AA678=""),"",分期持仓明细!$AB$24*(SUMPRODUCT(分期持仓明细!$B$24:$Y$24,'实盘净值数据(iFinD）'!$B678:$Y678/'实盘净值数据(iFinD）'!$B$65:$Y$65)+SUMPRODUCT(分期持仓明细!$AC$24:$AD$24,'实盘净值数据(iFinD）'!$Z678:$AA678/'实盘净值数据(iFinD）'!$Z$65:$AA$65))*(1-实盘持仓初始配置!$Z$8)^(('实盘净值数据(iFinD）'!$A678-'实盘净值数据(iFinD）'!$A$5)/365))</f>
        <v/>
      </c>
      <c r="O678" s="16" t="str">
        <f t="shared" si="64"/>
        <v/>
      </c>
      <c r="P678" s="16" t="str">
        <f>IF(N678="","",N678/MAX(N$5:N678)-1)</f>
        <v/>
      </c>
      <c r="Q678" s="13" t="str">
        <f>IF(OR('实盘净值数据(iFinD）'!$A678="",'实盘净值数据(iFinD）'!$B678="",'实盘净值数据(iFinD）'!$Z678="",'实盘净值数据(iFinD）'!$AA678=""),"",分期持仓明细!$AB$25*(SUMPRODUCT(分期持仓明细!$B$25:$Y$25,'实盘净值数据(iFinD）'!$B678:$Y678/'实盘净值数据(iFinD）'!$B$65:$Y$65)+SUMPRODUCT(分期持仓明细!$AC$25:$AD$25,'实盘净值数据(iFinD）'!$Z678:$AA678/'实盘净值数据(iFinD）'!$Z$65:$AA$65))*(1-实盘持仓初始配置!$Z$9)^(('实盘净值数据(iFinD）'!$A678-'实盘净值数据(iFinD）'!$A$8)/365))</f>
        <v/>
      </c>
      <c r="R678" s="16" t="str">
        <f t="shared" si="65"/>
        <v/>
      </c>
      <c r="S678" s="16" t="str">
        <f>IF(Q678="","",Q678/MAX(Q$5:Q678)-1)</f>
        <v/>
      </c>
      <c r="T678" s="13">
        <f>IF(OR('实盘净值数据(iFinD）'!$A678="",'实盘净值数据(iFinD）'!$B678="",'实盘净值数据(iFinD）'!$Z678="",'实盘净值数据(iFinD）'!$AA678="",'实盘净值数据(iFinD）'!$AB678="",'实盘净值数据(iFinD）'!$AL678=""),"",(SUMPRODUCT(分期持仓明细!$B$26:$Y$26,'实盘净值数据(iFinD）'!$B678:$Y678/'实盘净值数据(iFinD）'!$B$69:$Y$69)+SUMPRODUCT(分期持仓明细!$AC$26:$AD$26,'实盘净值数据(iFinD）'!$Z678:$AA678/'实盘净值数据(iFinD）'!$Z$69:$AA$69)+SUMPRODUCT(分期持仓明细!$AE$26:$AO$26,'实盘净值数据(iFinD）'!$AB678:$AL678/'实盘净值数据(iFinD）'!$AB$69:$AL$69))*(1-实盘持仓初始配置!$Z$10)^(('实盘净值数据(iFinD）'!$A678-'实盘净值数据(iFinD）'!$A$69)/365))</f>
        <v/>
      </c>
      <c r="U678" s="16">
        <f>IF(OR(T677="",T678=""),"",T678/T677-1)</f>
        <v/>
      </c>
      <c r="V678" s="16">
        <f>IF(T678="","",T678/MAX(T$5:T678)-1)</f>
        <v/>
      </c>
    </row>
    <row r="679" spans="1:19">
      <c r="A679" s="15" t="str">
        <f>IF('实盘净值数据(iFinD）'!A679="","",'实盘净值数据(iFinD）'!A679)</f>
        <v/>
      </c>
      <c r="B679" s="13" t="str">
        <f>IF(OR('实盘净值数据(iFinD）'!$A679="",'实盘净值数据(iFinD）'!$B679=""),"",分期持仓明细!$AB$17*SUMPRODUCT(分期持仓明细!$B$17:$Y$17,'实盘净值数据(iFinD）'!$B679:$Y679/'实盘净值数据(iFinD）'!$B$20:$Y$20)*(1-实盘持仓初始配置!$Z$4)^(('实盘净值数据(iFinD）'!$A679-'实盘净值数据(iFinD）'!$A$6)/365))</f>
        <v/>
      </c>
      <c r="C679" s="16" t="str">
        <f t="shared" si="60"/>
        <v/>
      </c>
      <c r="D679" s="16" t="str">
        <f>IF(B679="","",B679/MAX(B$5:B679)-1)</f>
        <v/>
      </c>
      <c r="E679" s="13" t="str">
        <f>IF(OR('实盘净值数据(iFinD）'!$A679="",'实盘净值数据(iFinD）'!$B679=""),"",分期持仓明细!$AB$18*SUMPRODUCT(分期持仓明细!$B$18:$Y$18,'实盘净值数据(iFinD）'!$B679:$Y679/'实盘净值数据(iFinD）'!$B$20:$Y$20)*(1-实盘持仓初始配置!$Z$5)^(('实盘净值数据(iFinD）'!$A679-'实盘净值数据(iFinD）'!$A$5)/365))</f>
        <v/>
      </c>
      <c r="F679" s="16" t="str">
        <f t="shared" si="61"/>
        <v/>
      </c>
      <c r="G679" s="16" t="str">
        <f>IF(E679="","",E679/MAX(E$5:E679)-1)</f>
        <v/>
      </c>
      <c r="H679" s="13" t="str">
        <f>IF(OR('实盘净值数据(iFinD）'!$A679="",'实盘净值数据(iFinD）'!$B679=""),"",分期持仓明细!$AB$19*SUMPRODUCT(分期持仓明细!$B$19:$Y$19,'实盘净值数据(iFinD）'!$B679:$Y679/'实盘净值数据(iFinD）'!$B$20:$Y$20)*(1-实盘持仓初始配置!$Z$6)^(('实盘净值数据(iFinD）'!$A679-'实盘净值数据(iFinD）'!$A$7)/365))</f>
        <v/>
      </c>
      <c r="I679" s="16" t="str">
        <f t="shared" si="62"/>
        <v/>
      </c>
      <c r="J679" s="16" t="str">
        <f>IF(H679="","",H679/MAX(H$5:H679)-1)</f>
        <v/>
      </c>
      <c r="K679" s="13" t="str">
        <f>IF(OR('实盘净值数据(iFinD）'!$A679="",'实盘净值数据(iFinD）'!$B679="",'实盘净值数据(iFinD）'!$Z679="",'实盘净值数据(iFinD）'!$AA679=""),"",分期持仓明细!$AB$23*(SUMPRODUCT(分期持仓明细!$B$23:$Y$23,'实盘净值数据(iFinD）'!$B679:$Y679/'实盘净值数据(iFinD）'!$B$65:$Y$65)+SUMPRODUCT(分期持仓明细!$AC$23:$AD$23,'实盘净值数据(iFinD）'!$Z679:$AA679/'实盘净值数据(iFinD）'!$Z$65:$AA$65))*(1-实盘持仓初始配置!$Z$7)^(('实盘净值数据(iFinD）'!$A679-'实盘净值数据(iFinD）'!$A$8)/365))</f>
        <v/>
      </c>
      <c r="L679" s="16" t="str">
        <f t="shared" si="63"/>
        <v/>
      </c>
      <c r="M679" s="16" t="str">
        <f>IF(K679="","",K679/MAX(K$5:K679)-1)</f>
        <v/>
      </c>
      <c r="N679" s="13" t="str">
        <f>IF(OR('实盘净值数据(iFinD）'!$A679="",'实盘净值数据(iFinD）'!$B679="",'实盘净值数据(iFinD）'!$Z679="",'实盘净值数据(iFinD）'!$AA679=""),"",分期持仓明细!$AB$24*(SUMPRODUCT(分期持仓明细!$B$24:$Y$24,'实盘净值数据(iFinD）'!$B679:$Y679/'实盘净值数据(iFinD）'!$B$65:$Y$65)+SUMPRODUCT(分期持仓明细!$AC$24:$AD$24,'实盘净值数据(iFinD）'!$Z679:$AA679/'实盘净值数据(iFinD）'!$Z$65:$AA$65))*(1-实盘持仓初始配置!$Z$8)^(('实盘净值数据(iFinD）'!$A679-'实盘净值数据(iFinD）'!$A$5)/365))</f>
        <v/>
      </c>
      <c r="O679" s="16" t="str">
        <f t="shared" si="64"/>
        <v/>
      </c>
      <c r="P679" s="16" t="str">
        <f>IF(N679="","",N679/MAX(N$5:N679)-1)</f>
        <v/>
      </c>
      <c r="Q679" s="13" t="str">
        <f>IF(OR('实盘净值数据(iFinD）'!$A679="",'实盘净值数据(iFinD）'!$B679="",'实盘净值数据(iFinD）'!$Z679="",'实盘净值数据(iFinD）'!$AA679=""),"",分期持仓明细!$AB$25*(SUMPRODUCT(分期持仓明细!$B$25:$Y$25,'实盘净值数据(iFinD）'!$B679:$Y679/'实盘净值数据(iFinD）'!$B$65:$Y$65)+SUMPRODUCT(分期持仓明细!$AC$25:$AD$25,'实盘净值数据(iFinD）'!$Z679:$AA679/'实盘净值数据(iFinD）'!$Z$65:$AA$65))*(1-实盘持仓初始配置!$Z$9)^(('实盘净值数据(iFinD）'!$A679-'实盘净值数据(iFinD）'!$A$8)/365))</f>
        <v/>
      </c>
      <c r="R679" s="16" t="str">
        <f t="shared" si="65"/>
        <v/>
      </c>
      <c r="S679" s="16" t="str">
        <f>IF(Q679="","",Q679/MAX(Q$5:Q679)-1)</f>
        <v/>
      </c>
      <c r="T679" s="13">
        <f>IF(OR('实盘净值数据(iFinD）'!$A679="",'实盘净值数据(iFinD）'!$B679="",'实盘净值数据(iFinD）'!$Z679="",'实盘净值数据(iFinD）'!$AA679="",'实盘净值数据(iFinD）'!$AB679="",'实盘净值数据(iFinD）'!$AL679=""),"",(SUMPRODUCT(分期持仓明细!$B$26:$Y$26,'实盘净值数据(iFinD）'!$B679:$Y679/'实盘净值数据(iFinD）'!$B$69:$Y$69)+SUMPRODUCT(分期持仓明细!$AC$26:$AD$26,'实盘净值数据(iFinD）'!$Z679:$AA679/'实盘净值数据(iFinD）'!$Z$69:$AA$69)+SUMPRODUCT(分期持仓明细!$AE$26:$AO$26,'实盘净值数据(iFinD）'!$AB679:$AL679/'实盘净值数据(iFinD）'!$AB$69:$AL$69))*(1-实盘持仓初始配置!$Z$10)^(('实盘净值数据(iFinD）'!$A679-'实盘净值数据(iFinD）'!$A$69)/365))</f>
        <v/>
      </c>
      <c r="U679" s="16">
        <f>IF(OR(T678="",T679=""),"",T679/T678-1)</f>
        <v/>
      </c>
      <c r="V679" s="16">
        <f>IF(T679="","",T679/MAX(T$5:T679)-1)</f>
        <v/>
      </c>
    </row>
    <row r="680" spans="1:19">
      <c r="A680" s="15" t="str">
        <f>IF('实盘净值数据(iFinD）'!A680="","",'实盘净值数据(iFinD）'!A680)</f>
        <v/>
      </c>
      <c r="B680" s="13" t="str">
        <f>IF(OR('实盘净值数据(iFinD）'!$A680="",'实盘净值数据(iFinD）'!$B680=""),"",分期持仓明细!$AB$17*SUMPRODUCT(分期持仓明细!$B$17:$Y$17,'实盘净值数据(iFinD）'!$B680:$Y680/'实盘净值数据(iFinD）'!$B$20:$Y$20)*(1-实盘持仓初始配置!$Z$4)^(('实盘净值数据(iFinD）'!$A680-'实盘净值数据(iFinD）'!$A$6)/365))</f>
        <v/>
      </c>
      <c r="C680" s="16" t="str">
        <f t="shared" si="60"/>
        <v/>
      </c>
      <c r="D680" s="16" t="str">
        <f>IF(B680="","",B680/MAX(B$5:B680)-1)</f>
        <v/>
      </c>
      <c r="E680" s="13" t="str">
        <f>IF(OR('实盘净值数据(iFinD）'!$A680="",'实盘净值数据(iFinD）'!$B680=""),"",分期持仓明细!$AB$18*SUMPRODUCT(分期持仓明细!$B$18:$Y$18,'实盘净值数据(iFinD）'!$B680:$Y680/'实盘净值数据(iFinD）'!$B$20:$Y$20)*(1-实盘持仓初始配置!$Z$5)^(('实盘净值数据(iFinD）'!$A680-'实盘净值数据(iFinD）'!$A$5)/365))</f>
        <v/>
      </c>
      <c r="F680" s="16" t="str">
        <f t="shared" si="61"/>
        <v/>
      </c>
      <c r="G680" s="16" t="str">
        <f>IF(E680="","",E680/MAX(E$5:E680)-1)</f>
        <v/>
      </c>
      <c r="H680" s="13" t="str">
        <f>IF(OR('实盘净值数据(iFinD）'!$A680="",'实盘净值数据(iFinD）'!$B680=""),"",分期持仓明细!$AB$19*SUMPRODUCT(分期持仓明细!$B$19:$Y$19,'实盘净值数据(iFinD）'!$B680:$Y680/'实盘净值数据(iFinD）'!$B$20:$Y$20)*(1-实盘持仓初始配置!$Z$6)^(('实盘净值数据(iFinD）'!$A680-'实盘净值数据(iFinD）'!$A$7)/365))</f>
        <v/>
      </c>
      <c r="I680" s="16" t="str">
        <f t="shared" si="62"/>
        <v/>
      </c>
      <c r="J680" s="16" t="str">
        <f>IF(H680="","",H680/MAX(H$5:H680)-1)</f>
        <v/>
      </c>
      <c r="K680" s="13" t="str">
        <f>IF(OR('实盘净值数据(iFinD）'!$A680="",'实盘净值数据(iFinD）'!$B680="",'实盘净值数据(iFinD）'!$Z680="",'实盘净值数据(iFinD）'!$AA680=""),"",分期持仓明细!$AB$23*(SUMPRODUCT(分期持仓明细!$B$23:$Y$23,'实盘净值数据(iFinD）'!$B680:$Y680/'实盘净值数据(iFinD）'!$B$65:$Y$65)+SUMPRODUCT(分期持仓明细!$AC$23:$AD$23,'实盘净值数据(iFinD）'!$Z680:$AA680/'实盘净值数据(iFinD）'!$Z$65:$AA$65))*(1-实盘持仓初始配置!$Z$7)^(('实盘净值数据(iFinD）'!$A680-'实盘净值数据(iFinD）'!$A$8)/365))</f>
        <v/>
      </c>
      <c r="L680" s="16" t="str">
        <f t="shared" si="63"/>
        <v/>
      </c>
      <c r="M680" s="16" t="str">
        <f>IF(K680="","",K680/MAX(K$5:K680)-1)</f>
        <v/>
      </c>
      <c r="N680" s="13" t="str">
        <f>IF(OR('实盘净值数据(iFinD）'!$A680="",'实盘净值数据(iFinD）'!$B680="",'实盘净值数据(iFinD）'!$Z680="",'实盘净值数据(iFinD）'!$AA680=""),"",分期持仓明细!$AB$24*(SUMPRODUCT(分期持仓明细!$B$24:$Y$24,'实盘净值数据(iFinD）'!$B680:$Y680/'实盘净值数据(iFinD）'!$B$65:$Y$65)+SUMPRODUCT(分期持仓明细!$AC$24:$AD$24,'实盘净值数据(iFinD）'!$Z680:$AA680/'实盘净值数据(iFinD）'!$Z$65:$AA$65))*(1-实盘持仓初始配置!$Z$8)^(('实盘净值数据(iFinD）'!$A680-'实盘净值数据(iFinD）'!$A$5)/365))</f>
        <v/>
      </c>
      <c r="O680" s="16" t="str">
        <f t="shared" si="64"/>
        <v/>
      </c>
      <c r="P680" s="16" t="str">
        <f>IF(N680="","",N680/MAX(N$5:N680)-1)</f>
        <v/>
      </c>
      <c r="Q680" s="13" t="str">
        <f>IF(OR('实盘净值数据(iFinD）'!$A680="",'实盘净值数据(iFinD）'!$B680="",'实盘净值数据(iFinD）'!$Z680="",'实盘净值数据(iFinD）'!$AA680=""),"",分期持仓明细!$AB$25*(SUMPRODUCT(分期持仓明细!$B$25:$Y$25,'实盘净值数据(iFinD）'!$B680:$Y680/'实盘净值数据(iFinD）'!$B$65:$Y$65)+SUMPRODUCT(分期持仓明细!$AC$25:$AD$25,'实盘净值数据(iFinD）'!$Z680:$AA680/'实盘净值数据(iFinD）'!$Z$65:$AA$65))*(1-实盘持仓初始配置!$Z$9)^(('实盘净值数据(iFinD）'!$A680-'实盘净值数据(iFinD）'!$A$8)/365))</f>
        <v/>
      </c>
      <c r="R680" s="16" t="str">
        <f t="shared" si="65"/>
        <v/>
      </c>
      <c r="S680" s="16" t="str">
        <f>IF(Q680="","",Q680/MAX(Q$5:Q680)-1)</f>
        <v/>
      </c>
      <c r="T680" s="13">
        <f>IF(OR('实盘净值数据(iFinD）'!$A680="",'实盘净值数据(iFinD）'!$B680="",'实盘净值数据(iFinD）'!$Z680="",'实盘净值数据(iFinD）'!$AA680="",'实盘净值数据(iFinD）'!$AB680="",'实盘净值数据(iFinD）'!$AL680=""),"",(SUMPRODUCT(分期持仓明细!$B$26:$Y$26,'实盘净值数据(iFinD）'!$B680:$Y680/'实盘净值数据(iFinD）'!$B$69:$Y$69)+SUMPRODUCT(分期持仓明细!$AC$26:$AD$26,'实盘净值数据(iFinD）'!$Z680:$AA680/'实盘净值数据(iFinD）'!$Z$69:$AA$69)+SUMPRODUCT(分期持仓明细!$AE$26:$AO$26,'实盘净值数据(iFinD）'!$AB680:$AL680/'实盘净值数据(iFinD）'!$AB$69:$AL$69))*(1-实盘持仓初始配置!$Z$10)^(('实盘净值数据(iFinD）'!$A680-'实盘净值数据(iFinD）'!$A$69)/365))</f>
        <v/>
      </c>
      <c r="U680" s="16">
        <f>IF(OR(T679="",T680=""),"",T680/T679-1)</f>
        <v/>
      </c>
      <c r="V680" s="16">
        <f>IF(T680="","",T680/MAX(T$5:T680)-1)</f>
        <v/>
      </c>
    </row>
    <row r="681" spans="1:19">
      <c r="A681" s="15" t="str">
        <f>IF('实盘净值数据(iFinD）'!A681="","",'实盘净值数据(iFinD）'!A681)</f>
        <v/>
      </c>
      <c r="B681" s="13" t="str">
        <f>IF(OR('实盘净值数据(iFinD）'!$A681="",'实盘净值数据(iFinD）'!$B681=""),"",分期持仓明细!$AB$17*SUMPRODUCT(分期持仓明细!$B$17:$Y$17,'实盘净值数据(iFinD）'!$B681:$Y681/'实盘净值数据(iFinD）'!$B$20:$Y$20)*(1-实盘持仓初始配置!$Z$4)^(('实盘净值数据(iFinD）'!$A681-'实盘净值数据(iFinD）'!$A$6)/365))</f>
        <v/>
      </c>
      <c r="C681" s="16" t="str">
        <f t="shared" si="60"/>
        <v/>
      </c>
      <c r="D681" s="16" t="str">
        <f>IF(B681="","",B681/MAX(B$5:B681)-1)</f>
        <v/>
      </c>
      <c r="E681" s="13" t="str">
        <f>IF(OR('实盘净值数据(iFinD）'!$A681="",'实盘净值数据(iFinD）'!$B681=""),"",分期持仓明细!$AB$18*SUMPRODUCT(分期持仓明细!$B$18:$Y$18,'实盘净值数据(iFinD）'!$B681:$Y681/'实盘净值数据(iFinD）'!$B$20:$Y$20)*(1-实盘持仓初始配置!$Z$5)^(('实盘净值数据(iFinD）'!$A681-'实盘净值数据(iFinD）'!$A$5)/365))</f>
        <v/>
      </c>
      <c r="F681" s="16" t="str">
        <f t="shared" si="61"/>
        <v/>
      </c>
      <c r="G681" s="16" t="str">
        <f>IF(E681="","",E681/MAX(E$5:E681)-1)</f>
        <v/>
      </c>
      <c r="H681" s="13" t="str">
        <f>IF(OR('实盘净值数据(iFinD）'!$A681="",'实盘净值数据(iFinD）'!$B681=""),"",分期持仓明细!$AB$19*SUMPRODUCT(分期持仓明细!$B$19:$Y$19,'实盘净值数据(iFinD）'!$B681:$Y681/'实盘净值数据(iFinD）'!$B$20:$Y$20)*(1-实盘持仓初始配置!$Z$6)^(('实盘净值数据(iFinD）'!$A681-'实盘净值数据(iFinD）'!$A$7)/365))</f>
        <v/>
      </c>
      <c r="I681" s="16" t="str">
        <f t="shared" si="62"/>
        <v/>
      </c>
      <c r="J681" s="16" t="str">
        <f>IF(H681="","",H681/MAX(H$5:H681)-1)</f>
        <v/>
      </c>
      <c r="K681" s="13" t="str">
        <f>IF(OR('实盘净值数据(iFinD）'!$A681="",'实盘净值数据(iFinD）'!$B681="",'实盘净值数据(iFinD）'!$Z681="",'实盘净值数据(iFinD）'!$AA681=""),"",分期持仓明细!$AB$23*(SUMPRODUCT(分期持仓明细!$B$23:$Y$23,'实盘净值数据(iFinD）'!$B681:$Y681/'实盘净值数据(iFinD）'!$B$65:$Y$65)+SUMPRODUCT(分期持仓明细!$AC$23:$AD$23,'实盘净值数据(iFinD）'!$Z681:$AA681/'实盘净值数据(iFinD）'!$Z$65:$AA$65))*(1-实盘持仓初始配置!$Z$7)^(('实盘净值数据(iFinD）'!$A681-'实盘净值数据(iFinD）'!$A$8)/365))</f>
        <v/>
      </c>
      <c r="L681" s="16" t="str">
        <f t="shared" si="63"/>
        <v/>
      </c>
      <c r="M681" s="16" t="str">
        <f>IF(K681="","",K681/MAX(K$5:K681)-1)</f>
        <v/>
      </c>
      <c r="N681" s="13" t="str">
        <f>IF(OR('实盘净值数据(iFinD）'!$A681="",'实盘净值数据(iFinD）'!$B681="",'实盘净值数据(iFinD）'!$Z681="",'实盘净值数据(iFinD）'!$AA681=""),"",分期持仓明细!$AB$24*(SUMPRODUCT(分期持仓明细!$B$24:$Y$24,'实盘净值数据(iFinD）'!$B681:$Y681/'实盘净值数据(iFinD）'!$B$65:$Y$65)+SUMPRODUCT(分期持仓明细!$AC$24:$AD$24,'实盘净值数据(iFinD）'!$Z681:$AA681/'实盘净值数据(iFinD）'!$Z$65:$AA$65))*(1-实盘持仓初始配置!$Z$8)^(('实盘净值数据(iFinD）'!$A681-'实盘净值数据(iFinD）'!$A$5)/365))</f>
        <v/>
      </c>
      <c r="O681" s="16" t="str">
        <f t="shared" si="64"/>
        <v/>
      </c>
      <c r="P681" s="16" t="str">
        <f>IF(N681="","",N681/MAX(N$5:N681)-1)</f>
        <v/>
      </c>
      <c r="Q681" s="13" t="str">
        <f>IF(OR('实盘净值数据(iFinD）'!$A681="",'实盘净值数据(iFinD）'!$B681="",'实盘净值数据(iFinD）'!$Z681="",'实盘净值数据(iFinD）'!$AA681=""),"",分期持仓明细!$AB$25*(SUMPRODUCT(分期持仓明细!$B$25:$Y$25,'实盘净值数据(iFinD）'!$B681:$Y681/'实盘净值数据(iFinD）'!$B$65:$Y$65)+SUMPRODUCT(分期持仓明细!$AC$25:$AD$25,'实盘净值数据(iFinD）'!$Z681:$AA681/'实盘净值数据(iFinD）'!$Z$65:$AA$65))*(1-实盘持仓初始配置!$Z$9)^(('实盘净值数据(iFinD）'!$A681-'实盘净值数据(iFinD）'!$A$8)/365))</f>
        <v/>
      </c>
      <c r="R681" s="16" t="str">
        <f t="shared" si="65"/>
        <v/>
      </c>
      <c r="S681" s="16" t="str">
        <f>IF(Q681="","",Q681/MAX(Q$5:Q681)-1)</f>
        <v/>
      </c>
      <c r="T681" s="13">
        <f>IF(OR('实盘净值数据(iFinD）'!$A681="",'实盘净值数据(iFinD）'!$B681="",'实盘净值数据(iFinD）'!$Z681="",'实盘净值数据(iFinD）'!$AA681="",'实盘净值数据(iFinD）'!$AB681="",'实盘净值数据(iFinD）'!$AL681=""),"",(SUMPRODUCT(分期持仓明细!$B$26:$Y$26,'实盘净值数据(iFinD）'!$B681:$Y681/'实盘净值数据(iFinD）'!$B$69:$Y$69)+SUMPRODUCT(分期持仓明细!$AC$26:$AD$26,'实盘净值数据(iFinD）'!$Z681:$AA681/'实盘净值数据(iFinD）'!$Z$69:$AA$69)+SUMPRODUCT(分期持仓明细!$AE$26:$AO$26,'实盘净值数据(iFinD）'!$AB681:$AL681/'实盘净值数据(iFinD）'!$AB$69:$AL$69))*(1-实盘持仓初始配置!$Z$10)^(('实盘净值数据(iFinD）'!$A681-'实盘净值数据(iFinD）'!$A$69)/365))</f>
        <v/>
      </c>
      <c r="U681" s="16">
        <f>IF(OR(T680="",T681=""),"",T681/T680-1)</f>
        <v/>
      </c>
      <c r="V681" s="16">
        <f>IF(T681="","",T681/MAX(T$5:T681)-1)</f>
        <v/>
      </c>
    </row>
    <row r="682" spans="1:19">
      <c r="A682" s="15" t="str">
        <f>IF('实盘净值数据(iFinD）'!A682="","",'实盘净值数据(iFinD）'!A682)</f>
        <v/>
      </c>
      <c r="B682" s="13" t="str">
        <f>IF(OR('实盘净值数据(iFinD）'!$A682="",'实盘净值数据(iFinD）'!$B682=""),"",分期持仓明细!$AB$17*SUMPRODUCT(分期持仓明细!$B$17:$Y$17,'实盘净值数据(iFinD）'!$B682:$Y682/'实盘净值数据(iFinD）'!$B$20:$Y$20)*(1-实盘持仓初始配置!$Z$4)^(('实盘净值数据(iFinD）'!$A682-'实盘净值数据(iFinD）'!$A$6)/365))</f>
        <v/>
      </c>
      <c r="C682" s="16" t="str">
        <f t="shared" si="60"/>
        <v/>
      </c>
      <c r="D682" s="16" t="str">
        <f>IF(B682="","",B682/MAX(B$5:B682)-1)</f>
        <v/>
      </c>
      <c r="E682" s="13" t="str">
        <f>IF(OR('实盘净值数据(iFinD）'!$A682="",'实盘净值数据(iFinD）'!$B682=""),"",分期持仓明细!$AB$18*SUMPRODUCT(分期持仓明细!$B$18:$Y$18,'实盘净值数据(iFinD）'!$B682:$Y682/'实盘净值数据(iFinD）'!$B$20:$Y$20)*(1-实盘持仓初始配置!$Z$5)^(('实盘净值数据(iFinD）'!$A682-'实盘净值数据(iFinD）'!$A$5)/365))</f>
        <v/>
      </c>
      <c r="F682" s="16" t="str">
        <f t="shared" si="61"/>
        <v/>
      </c>
      <c r="G682" s="16" t="str">
        <f>IF(E682="","",E682/MAX(E$5:E682)-1)</f>
        <v/>
      </c>
      <c r="H682" s="13" t="str">
        <f>IF(OR('实盘净值数据(iFinD）'!$A682="",'实盘净值数据(iFinD）'!$B682=""),"",分期持仓明细!$AB$19*SUMPRODUCT(分期持仓明细!$B$19:$Y$19,'实盘净值数据(iFinD）'!$B682:$Y682/'实盘净值数据(iFinD）'!$B$20:$Y$20)*(1-实盘持仓初始配置!$Z$6)^(('实盘净值数据(iFinD）'!$A682-'实盘净值数据(iFinD）'!$A$7)/365))</f>
        <v/>
      </c>
      <c r="I682" s="16" t="str">
        <f t="shared" si="62"/>
        <v/>
      </c>
      <c r="J682" s="16" t="str">
        <f>IF(H682="","",H682/MAX(H$5:H682)-1)</f>
        <v/>
      </c>
      <c r="K682" s="13" t="str">
        <f>IF(OR('实盘净值数据(iFinD）'!$A682="",'实盘净值数据(iFinD）'!$B682="",'实盘净值数据(iFinD）'!$Z682="",'实盘净值数据(iFinD）'!$AA682=""),"",分期持仓明细!$AB$23*(SUMPRODUCT(分期持仓明细!$B$23:$Y$23,'实盘净值数据(iFinD）'!$B682:$Y682/'实盘净值数据(iFinD）'!$B$65:$Y$65)+SUMPRODUCT(分期持仓明细!$AC$23:$AD$23,'实盘净值数据(iFinD）'!$Z682:$AA682/'实盘净值数据(iFinD）'!$Z$65:$AA$65))*(1-实盘持仓初始配置!$Z$7)^(('实盘净值数据(iFinD）'!$A682-'实盘净值数据(iFinD）'!$A$8)/365))</f>
        <v/>
      </c>
      <c r="L682" s="16" t="str">
        <f t="shared" si="63"/>
        <v/>
      </c>
      <c r="M682" s="16" t="str">
        <f>IF(K682="","",K682/MAX(K$5:K682)-1)</f>
        <v/>
      </c>
      <c r="N682" s="13" t="str">
        <f>IF(OR('实盘净值数据(iFinD）'!$A682="",'实盘净值数据(iFinD）'!$B682="",'实盘净值数据(iFinD）'!$Z682="",'实盘净值数据(iFinD）'!$AA682=""),"",分期持仓明细!$AB$24*(SUMPRODUCT(分期持仓明细!$B$24:$Y$24,'实盘净值数据(iFinD）'!$B682:$Y682/'实盘净值数据(iFinD）'!$B$65:$Y$65)+SUMPRODUCT(分期持仓明细!$AC$24:$AD$24,'实盘净值数据(iFinD）'!$Z682:$AA682/'实盘净值数据(iFinD）'!$Z$65:$AA$65))*(1-实盘持仓初始配置!$Z$8)^(('实盘净值数据(iFinD）'!$A682-'实盘净值数据(iFinD）'!$A$5)/365))</f>
        <v/>
      </c>
      <c r="O682" s="16" t="str">
        <f t="shared" si="64"/>
        <v/>
      </c>
      <c r="P682" s="16" t="str">
        <f>IF(N682="","",N682/MAX(N$5:N682)-1)</f>
        <v/>
      </c>
      <c r="Q682" s="13" t="str">
        <f>IF(OR('实盘净值数据(iFinD）'!$A682="",'实盘净值数据(iFinD）'!$B682="",'实盘净值数据(iFinD）'!$Z682="",'实盘净值数据(iFinD）'!$AA682=""),"",分期持仓明细!$AB$25*(SUMPRODUCT(分期持仓明细!$B$25:$Y$25,'实盘净值数据(iFinD）'!$B682:$Y682/'实盘净值数据(iFinD）'!$B$65:$Y$65)+SUMPRODUCT(分期持仓明细!$AC$25:$AD$25,'实盘净值数据(iFinD）'!$Z682:$AA682/'实盘净值数据(iFinD）'!$Z$65:$AA$65))*(1-实盘持仓初始配置!$Z$9)^(('实盘净值数据(iFinD）'!$A682-'实盘净值数据(iFinD）'!$A$8)/365))</f>
        <v/>
      </c>
      <c r="R682" s="16" t="str">
        <f t="shared" si="65"/>
        <v/>
      </c>
      <c r="S682" s="16" t="str">
        <f>IF(Q682="","",Q682/MAX(Q$5:Q682)-1)</f>
        <v/>
      </c>
      <c r="T682" s="13">
        <f>IF(OR('实盘净值数据(iFinD）'!$A682="",'实盘净值数据(iFinD）'!$B682="",'实盘净值数据(iFinD）'!$Z682="",'实盘净值数据(iFinD）'!$AA682="",'实盘净值数据(iFinD）'!$AB682="",'实盘净值数据(iFinD）'!$AL682=""),"",(SUMPRODUCT(分期持仓明细!$B$26:$Y$26,'实盘净值数据(iFinD）'!$B682:$Y682/'实盘净值数据(iFinD）'!$B$69:$Y$69)+SUMPRODUCT(分期持仓明细!$AC$26:$AD$26,'实盘净值数据(iFinD）'!$Z682:$AA682/'实盘净值数据(iFinD）'!$Z$69:$AA$69)+SUMPRODUCT(分期持仓明细!$AE$26:$AO$26,'实盘净值数据(iFinD）'!$AB682:$AL682/'实盘净值数据(iFinD）'!$AB$69:$AL$69))*(1-实盘持仓初始配置!$Z$10)^(('实盘净值数据(iFinD）'!$A682-'实盘净值数据(iFinD）'!$A$69)/365))</f>
        <v/>
      </c>
      <c r="U682" s="16">
        <f>IF(OR(T681="",T682=""),"",T682/T681-1)</f>
        <v/>
      </c>
      <c r="V682" s="16">
        <f>IF(T682="","",T682/MAX(T$5:T682)-1)</f>
        <v/>
      </c>
    </row>
    <row r="683" spans="1:19">
      <c r="A683" s="15" t="str">
        <f>IF('实盘净值数据(iFinD）'!A683="","",'实盘净值数据(iFinD）'!A683)</f>
        <v/>
      </c>
      <c r="B683" s="13" t="str">
        <f>IF(OR('实盘净值数据(iFinD）'!$A683="",'实盘净值数据(iFinD）'!$B683=""),"",分期持仓明细!$AB$17*SUMPRODUCT(分期持仓明细!$B$17:$Y$17,'实盘净值数据(iFinD）'!$B683:$Y683/'实盘净值数据(iFinD）'!$B$20:$Y$20)*(1-实盘持仓初始配置!$Z$4)^(('实盘净值数据(iFinD）'!$A683-'实盘净值数据(iFinD）'!$A$6)/365))</f>
        <v/>
      </c>
      <c r="C683" s="16" t="str">
        <f t="shared" si="60"/>
        <v/>
      </c>
      <c r="D683" s="16" t="str">
        <f>IF(B683="","",B683/MAX(B$5:B683)-1)</f>
        <v/>
      </c>
      <c r="E683" s="13" t="str">
        <f>IF(OR('实盘净值数据(iFinD）'!$A683="",'实盘净值数据(iFinD）'!$B683=""),"",分期持仓明细!$AB$18*SUMPRODUCT(分期持仓明细!$B$18:$Y$18,'实盘净值数据(iFinD）'!$B683:$Y683/'实盘净值数据(iFinD）'!$B$20:$Y$20)*(1-实盘持仓初始配置!$Z$5)^(('实盘净值数据(iFinD）'!$A683-'实盘净值数据(iFinD）'!$A$5)/365))</f>
        <v/>
      </c>
      <c r="F683" s="16" t="str">
        <f t="shared" si="61"/>
        <v/>
      </c>
      <c r="G683" s="16" t="str">
        <f>IF(E683="","",E683/MAX(E$5:E683)-1)</f>
        <v/>
      </c>
      <c r="H683" s="13" t="str">
        <f>IF(OR('实盘净值数据(iFinD）'!$A683="",'实盘净值数据(iFinD）'!$B683=""),"",分期持仓明细!$AB$19*SUMPRODUCT(分期持仓明细!$B$19:$Y$19,'实盘净值数据(iFinD）'!$B683:$Y683/'实盘净值数据(iFinD）'!$B$20:$Y$20)*(1-实盘持仓初始配置!$Z$6)^(('实盘净值数据(iFinD）'!$A683-'实盘净值数据(iFinD）'!$A$7)/365))</f>
        <v/>
      </c>
      <c r="I683" s="16" t="str">
        <f t="shared" si="62"/>
        <v/>
      </c>
      <c r="J683" s="16" t="str">
        <f>IF(H683="","",H683/MAX(H$5:H683)-1)</f>
        <v/>
      </c>
      <c r="K683" s="13" t="str">
        <f>IF(OR('实盘净值数据(iFinD）'!$A683="",'实盘净值数据(iFinD）'!$B683="",'实盘净值数据(iFinD）'!$Z683="",'实盘净值数据(iFinD）'!$AA683=""),"",分期持仓明细!$AB$23*(SUMPRODUCT(分期持仓明细!$B$23:$Y$23,'实盘净值数据(iFinD）'!$B683:$Y683/'实盘净值数据(iFinD）'!$B$65:$Y$65)+SUMPRODUCT(分期持仓明细!$AC$23:$AD$23,'实盘净值数据(iFinD）'!$Z683:$AA683/'实盘净值数据(iFinD）'!$Z$65:$AA$65))*(1-实盘持仓初始配置!$Z$7)^(('实盘净值数据(iFinD）'!$A683-'实盘净值数据(iFinD）'!$A$8)/365))</f>
        <v/>
      </c>
      <c r="L683" s="16" t="str">
        <f t="shared" si="63"/>
        <v/>
      </c>
      <c r="M683" s="16" t="str">
        <f>IF(K683="","",K683/MAX(K$5:K683)-1)</f>
        <v/>
      </c>
      <c r="N683" s="13" t="str">
        <f>IF(OR('实盘净值数据(iFinD）'!$A683="",'实盘净值数据(iFinD）'!$B683="",'实盘净值数据(iFinD）'!$Z683="",'实盘净值数据(iFinD）'!$AA683=""),"",分期持仓明细!$AB$24*(SUMPRODUCT(分期持仓明细!$B$24:$Y$24,'实盘净值数据(iFinD）'!$B683:$Y683/'实盘净值数据(iFinD）'!$B$65:$Y$65)+SUMPRODUCT(分期持仓明细!$AC$24:$AD$24,'实盘净值数据(iFinD）'!$Z683:$AA683/'实盘净值数据(iFinD）'!$Z$65:$AA$65))*(1-实盘持仓初始配置!$Z$8)^(('实盘净值数据(iFinD）'!$A683-'实盘净值数据(iFinD）'!$A$5)/365))</f>
        <v/>
      </c>
      <c r="O683" s="16" t="str">
        <f t="shared" si="64"/>
        <v/>
      </c>
      <c r="P683" s="16" t="str">
        <f>IF(N683="","",N683/MAX(N$5:N683)-1)</f>
        <v/>
      </c>
      <c r="Q683" s="13" t="str">
        <f>IF(OR('实盘净值数据(iFinD）'!$A683="",'实盘净值数据(iFinD）'!$B683="",'实盘净值数据(iFinD）'!$Z683="",'实盘净值数据(iFinD）'!$AA683=""),"",分期持仓明细!$AB$25*(SUMPRODUCT(分期持仓明细!$B$25:$Y$25,'实盘净值数据(iFinD）'!$B683:$Y683/'实盘净值数据(iFinD）'!$B$65:$Y$65)+SUMPRODUCT(分期持仓明细!$AC$25:$AD$25,'实盘净值数据(iFinD）'!$Z683:$AA683/'实盘净值数据(iFinD）'!$Z$65:$AA$65))*(1-实盘持仓初始配置!$Z$9)^(('实盘净值数据(iFinD）'!$A683-'实盘净值数据(iFinD）'!$A$8)/365))</f>
        <v/>
      </c>
      <c r="R683" s="16" t="str">
        <f t="shared" si="65"/>
        <v/>
      </c>
      <c r="S683" s="16" t="str">
        <f>IF(Q683="","",Q683/MAX(Q$5:Q683)-1)</f>
        <v/>
      </c>
      <c r="T683" s="13">
        <f>IF(OR('实盘净值数据(iFinD）'!$A683="",'实盘净值数据(iFinD）'!$B683="",'实盘净值数据(iFinD）'!$Z683="",'实盘净值数据(iFinD）'!$AA683="",'实盘净值数据(iFinD）'!$AB683="",'实盘净值数据(iFinD）'!$AL683=""),"",(SUMPRODUCT(分期持仓明细!$B$26:$Y$26,'实盘净值数据(iFinD）'!$B683:$Y683/'实盘净值数据(iFinD）'!$B$69:$Y$69)+SUMPRODUCT(分期持仓明细!$AC$26:$AD$26,'实盘净值数据(iFinD）'!$Z683:$AA683/'实盘净值数据(iFinD）'!$Z$69:$AA$69)+SUMPRODUCT(分期持仓明细!$AE$26:$AO$26,'实盘净值数据(iFinD）'!$AB683:$AL683/'实盘净值数据(iFinD）'!$AB$69:$AL$69))*(1-实盘持仓初始配置!$Z$10)^(('实盘净值数据(iFinD）'!$A683-'实盘净值数据(iFinD）'!$A$69)/365))</f>
        <v/>
      </c>
      <c r="U683" s="16">
        <f>IF(OR(T682="",T683=""),"",T683/T682-1)</f>
        <v/>
      </c>
      <c r="V683" s="16">
        <f>IF(T683="","",T683/MAX(T$5:T683)-1)</f>
        <v/>
      </c>
    </row>
    <row r="684" spans="1:19">
      <c r="A684" s="15" t="str">
        <f>IF('实盘净值数据(iFinD）'!A684="","",'实盘净值数据(iFinD）'!A684)</f>
        <v/>
      </c>
      <c r="B684" s="13" t="str">
        <f>IF(OR('实盘净值数据(iFinD）'!$A684="",'实盘净值数据(iFinD）'!$B684=""),"",分期持仓明细!$AB$17*SUMPRODUCT(分期持仓明细!$B$17:$Y$17,'实盘净值数据(iFinD）'!$B684:$Y684/'实盘净值数据(iFinD）'!$B$20:$Y$20)*(1-实盘持仓初始配置!$Z$4)^(('实盘净值数据(iFinD）'!$A684-'实盘净值数据(iFinD）'!$A$6)/365))</f>
        <v/>
      </c>
      <c r="C684" s="16" t="str">
        <f t="shared" si="60"/>
        <v/>
      </c>
      <c r="D684" s="16" t="str">
        <f>IF(B684="","",B684/MAX(B$5:B684)-1)</f>
        <v/>
      </c>
      <c r="E684" s="13" t="str">
        <f>IF(OR('实盘净值数据(iFinD）'!$A684="",'实盘净值数据(iFinD）'!$B684=""),"",分期持仓明细!$AB$18*SUMPRODUCT(分期持仓明细!$B$18:$Y$18,'实盘净值数据(iFinD）'!$B684:$Y684/'实盘净值数据(iFinD）'!$B$20:$Y$20)*(1-实盘持仓初始配置!$Z$5)^(('实盘净值数据(iFinD）'!$A684-'实盘净值数据(iFinD）'!$A$5)/365))</f>
        <v/>
      </c>
      <c r="F684" s="16" t="str">
        <f t="shared" si="61"/>
        <v/>
      </c>
      <c r="G684" s="16" t="str">
        <f>IF(E684="","",E684/MAX(E$5:E684)-1)</f>
        <v/>
      </c>
      <c r="H684" s="13" t="str">
        <f>IF(OR('实盘净值数据(iFinD）'!$A684="",'实盘净值数据(iFinD）'!$B684=""),"",分期持仓明细!$AB$19*SUMPRODUCT(分期持仓明细!$B$19:$Y$19,'实盘净值数据(iFinD）'!$B684:$Y684/'实盘净值数据(iFinD）'!$B$20:$Y$20)*(1-实盘持仓初始配置!$Z$6)^(('实盘净值数据(iFinD）'!$A684-'实盘净值数据(iFinD）'!$A$7)/365))</f>
        <v/>
      </c>
      <c r="I684" s="16" t="str">
        <f t="shared" si="62"/>
        <v/>
      </c>
      <c r="J684" s="16" t="str">
        <f>IF(H684="","",H684/MAX(H$5:H684)-1)</f>
        <v/>
      </c>
      <c r="K684" s="13" t="str">
        <f>IF(OR('实盘净值数据(iFinD）'!$A684="",'实盘净值数据(iFinD）'!$B684="",'实盘净值数据(iFinD）'!$Z684="",'实盘净值数据(iFinD）'!$AA684=""),"",分期持仓明细!$AB$23*(SUMPRODUCT(分期持仓明细!$B$23:$Y$23,'实盘净值数据(iFinD）'!$B684:$Y684/'实盘净值数据(iFinD）'!$B$65:$Y$65)+SUMPRODUCT(分期持仓明细!$AC$23:$AD$23,'实盘净值数据(iFinD）'!$Z684:$AA684/'实盘净值数据(iFinD）'!$Z$65:$AA$65))*(1-实盘持仓初始配置!$Z$7)^(('实盘净值数据(iFinD）'!$A684-'实盘净值数据(iFinD）'!$A$8)/365))</f>
        <v/>
      </c>
      <c r="L684" s="16" t="str">
        <f t="shared" si="63"/>
        <v/>
      </c>
      <c r="M684" s="16" t="str">
        <f>IF(K684="","",K684/MAX(K$5:K684)-1)</f>
        <v/>
      </c>
      <c r="N684" s="13" t="str">
        <f>IF(OR('实盘净值数据(iFinD）'!$A684="",'实盘净值数据(iFinD）'!$B684="",'实盘净值数据(iFinD）'!$Z684="",'实盘净值数据(iFinD）'!$AA684=""),"",分期持仓明细!$AB$24*(SUMPRODUCT(分期持仓明细!$B$24:$Y$24,'实盘净值数据(iFinD）'!$B684:$Y684/'实盘净值数据(iFinD）'!$B$65:$Y$65)+SUMPRODUCT(分期持仓明细!$AC$24:$AD$24,'实盘净值数据(iFinD）'!$Z684:$AA684/'实盘净值数据(iFinD）'!$Z$65:$AA$65))*(1-实盘持仓初始配置!$Z$8)^(('实盘净值数据(iFinD）'!$A684-'实盘净值数据(iFinD）'!$A$5)/365))</f>
        <v/>
      </c>
      <c r="O684" s="16" t="str">
        <f t="shared" si="64"/>
        <v/>
      </c>
      <c r="P684" s="16" t="str">
        <f>IF(N684="","",N684/MAX(N$5:N684)-1)</f>
        <v/>
      </c>
      <c r="Q684" s="13" t="str">
        <f>IF(OR('实盘净值数据(iFinD）'!$A684="",'实盘净值数据(iFinD）'!$B684="",'实盘净值数据(iFinD）'!$Z684="",'实盘净值数据(iFinD）'!$AA684=""),"",分期持仓明细!$AB$25*(SUMPRODUCT(分期持仓明细!$B$25:$Y$25,'实盘净值数据(iFinD）'!$B684:$Y684/'实盘净值数据(iFinD）'!$B$65:$Y$65)+SUMPRODUCT(分期持仓明细!$AC$25:$AD$25,'实盘净值数据(iFinD）'!$Z684:$AA684/'实盘净值数据(iFinD）'!$Z$65:$AA$65))*(1-实盘持仓初始配置!$Z$9)^(('实盘净值数据(iFinD）'!$A684-'实盘净值数据(iFinD）'!$A$8)/365))</f>
        <v/>
      </c>
      <c r="R684" s="16" t="str">
        <f t="shared" si="65"/>
        <v/>
      </c>
      <c r="S684" s="16" t="str">
        <f>IF(Q684="","",Q684/MAX(Q$5:Q684)-1)</f>
        <v/>
      </c>
      <c r="T684" s="13">
        <f>IF(OR('实盘净值数据(iFinD）'!$A684="",'实盘净值数据(iFinD）'!$B684="",'实盘净值数据(iFinD）'!$Z684="",'实盘净值数据(iFinD）'!$AA684="",'实盘净值数据(iFinD）'!$AB684="",'实盘净值数据(iFinD）'!$AL684=""),"",(SUMPRODUCT(分期持仓明细!$B$26:$Y$26,'实盘净值数据(iFinD）'!$B684:$Y684/'实盘净值数据(iFinD）'!$B$69:$Y$69)+SUMPRODUCT(分期持仓明细!$AC$26:$AD$26,'实盘净值数据(iFinD）'!$Z684:$AA684/'实盘净值数据(iFinD）'!$Z$69:$AA$69)+SUMPRODUCT(分期持仓明细!$AE$26:$AO$26,'实盘净值数据(iFinD）'!$AB684:$AL684/'实盘净值数据(iFinD）'!$AB$69:$AL$69))*(1-实盘持仓初始配置!$Z$10)^(('实盘净值数据(iFinD）'!$A684-'实盘净值数据(iFinD）'!$A$69)/365))</f>
        <v/>
      </c>
      <c r="U684" s="16">
        <f>IF(OR(T683="",T684=""),"",T684/T683-1)</f>
        <v/>
      </c>
      <c r="V684" s="16">
        <f>IF(T684="","",T684/MAX(T$5:T684)-1)</f>
        <v/>
      </c>
    </row>
    <row r="685" spans="1:19">
      <c r="A685" s="15" t="str">
        <f>IF('实盘净值数据(iFinD）'!A685="","",'实盘净值数据(iFinD）'!A685)</f>
        <v/>
      </c>
      <c r="B685" s="13" t="str">
        <f>IF(OR('实盘净值数据(iFinD）'!$A685="",'实盘净值数据(iFinD）'!$B685=""),"",分期持仓明细!$AB$17*SUMPRODUCT(分期持仓明细!$B$17:$Y$17,'实盘净值数据(iFinD）'!$B685:$Y685/'实盘净值数据(iFinD）'!$B$20:$Y$20)*(1-实盘持仓初始配置!$Z$4)^(('实盘净值数据(iFinD）'!$A685-'实盘净值数据(iFinD）'!$A$6)/365))</f>
        <v/>
      </c>
      <c r="C685" s="16" t="str">
        <f t="shared" si="60"/>
        <v/>
      </c>
      <c r="D685" s="16" t="str">
        <f>IF(B685="","",B685/MAX(B$5:B685)-1)</f>
        <v/>
      </c>
      <c r="E685" s="13" t="str">
        <f>IF(OR('实盘净值数据(iFinD）'!$A685="",'实盘净值数据(iFinD）'!$B685=""),"",分期持仓明细!$AB$18*SUMPRODUCT(分期持仓明细!$B$18:$Y$18,'实盘净值数据(iFinD）'!$B685:$Y685/'实盘净值数据(iFinD）'!$B$20:$Y$20)*(1-实盘持仓初始配置!$Z$5)^(('实盘净值数据(iFinD）'!$A685-'实盘净值数据(iFinD）'!$A$5)/365))</f>
        <v/>
      </c>
      <c r="F685" s="16" t="str">
        <f t="shared" si="61"/>
        <v/>
      </c>
      <c r="G685" s="16" t="str">
        <f>IF(E685="","",E685/MAX(E$5:E685)-1)</f>
        <v/>
      </c>
      <c r="H685" s="13" t="str">
        <f>IF(OR('实盘净值数据(iFinD）'!$A685="",'实盘净值数据(iFinD）'!$B685=""),"",分期持仓明细!$AB$19*SUMPRODUCT(分期持仓明细!$B$19:$Y$19,'实盘净值数据(iFinD）'!$B685:$Y685/'实盘净值数据(iFinD）'!$B$20:$Y$20)*(1-实盘持仓初始配置!$Z$6)^(('实盘净值数据(iFinD）'!$A685-'实盘净值数据(iFinD）'!$A$7)/365))</f>
        <v/>
      </c>
      <c r="I685" s="16" t="str">
        <f t="shared" si="62"/>
        <v/>
      </c>
      <c r="J685" s="16" t="str">
        <f>IF(H685="","",H685/MAX(H$5:H685)-1)</f>
        <v/>
      </c>
      <c r="K685" s="13" t="str">
        <f>IF(OR('实盘净值数据(iFinD）'!$A685="",'实盘净值数据(iFinD）'!$B685="",'实盘净值数据(iFinD）'!$Z685="",'实盘净值数据(iFinD）'!$AA685=""),"",分期持仓明细!$AB$23*(SUMPRODUCT(分期持仓明细!$B$23:$Y$23,'实盘净值数据(iFinD）'!$B685:$Y685/'实盘净值数据(iFinD）'!$B$65:$Y$65)+SUMPRODUCT(分期持仓明细!$AC$23:$AD$23,'实盘净值数据(iFinD）'!$Z685:$AA685/'实盘净值数据(iFinD）'!$Z$65:$AA$65))*(1-实盘持仓初始配置!$Z$7)^(('实盘净值数据(iFinD）'!$A685-'实盘净值数据(iFinD）'!$A$8)/365))</f>
        <v/>
      </c>
      <c r="L685" s="16" t="str">
        <f t="shared" si="63"/>
        <v/>
      </c>
      <c r="M685" s="16" t="str">
        <f>IF(K685="","",K685/MAX(K$5:K685)-1)</f>
        <v/>
      </c>
      <c r="N685" s="13" t="str">
        <f>IF(OR('实盘净值数据(iFinD）'!$A685="",'实盘净值数据(iFinD）'!$B685="",'实盘净值数据(iFinD）'!$Z685="",'实盘净值数据(iFinD）'!$AA685=""),"",分期持仓明细!$AB$24*(SUMPRODUCT(分期持仓明细!$B$24:$Y$24,'实盘净值数据(iFinD）'!$B685:$Y685/'实盘净值数据(iFinD）'!$B$65:$Y$65)+SUMPRODUCT(分期持仓明细!$AC$24:$AD$24,'实盘净值数据(iFinD）'!$Z685:$AA685/'实盘净值数据(iFinD）'!$Z$65:$AA$65))*(1-实盘持仓初始配置!$Z$8)^(('实盘净值数据(iFinD）'!$A685-'实盘净值数据(iFinD）'!$A$5)/365))</f>
        <v/>
      </c>
      <c r="O685" s="16" t="str">
        <f t="shared" si="64"/>
        <v/>
      </c>
      <c r="P685" s="16" t="str">
        <f>IF(N685="","",N685/MAX(N$5:N685)-1)</f>
        <v/>
      </c>
      <c r="Q685" s="13" t="str">
        <f>IF(OR('实盘净值数据(iFinD）'!$A685="",'实盘净值数据(iFinD）'!$B685="",'实盘净值数据(iFinD）'!$Z685="",'实盘净值数据(iFinD）'!$AA685=""),"",分期持仓明细!$AB$25*(SUMPRODUCT(分期持仓明细!$B$25:$Y$25,'实盘净值数据(iFinD）'!$B685:$Y685/'实盘净值数据(iFinD）'!$B$65:$Y$65)+SUMPRODUCT(分期持仓明细!$AC$25:$AD$25,'实盘净值数据(iFinD）'!$Z685:$AA685/'实盘净值数据(iFinD）'!$Z$65:$AA$65))*(1-实盘持仓初始配置!$Z$9)^(('实盘净值数据(iFinD）'!$A685-'实盘净值数据(iFinD）'!$A$8)/365))</f>
        <v/>
      </c>
      <c r="R685" s="16" t="str">
        <f t="shared" si="65"/>
        <v/>
      </c>
      <c r="S685" s="16" t="str">
        <f>IF(Q685="","",Q685/MAX(Q$5:Q685)-1)</f>
        <v/>
      </c>
      <c r="T685" s="13">
        <f>IF(OR('实盘净值数据(iFinD）'!$A685="",'实盘净值数据(iFinD）'!$B685="",'实盘净值数据(iFinD）'!$Z685="",'实盘净值数据(iFinD）'!$AA685="",'实盘净值数据(iFinD）'!$AB685="",'实盘净值数据(iFinD）'!$AL685=""),"",(SUMPRODUCT(分期持仓明细!$B$26:$Y$26,'实盘净值数据(iFinD）'!$B685:$Y685/'实盘净值数据(iFinD）'!$B$69:$Y$69)+SUMPRODUCT(分期持仓明细!$AC$26:$AD$26,'实盘净值数据(iFinD）'!$Z685:$AA685/'实盘净值数据(iFinD）'!$Z$69:$AA$69)+SUMPRODUCT(分期持仓明细!$AE$26:$AO$26,'实盘净值数据(iFinD）'!$AB685:$AL685/'实盘净值数据(iFinD）'!$AB$69:$AL$69))*(1-实盘持仓初始配置!$Z$10)^(('实盘净值数据(iFinD）'!$A685-'实盘净值数据(iFinD）'!$A$69)/365))</f>
        <v/>
      </c>
      <c r="U685" s="16">
        <f>IF(OR(T684="",T685=""),"",T685/T684-1)</f>
        <v/>
      </c>
      <c r="V685" s="16">
        <f>IF(T685="","",T685/MAX(T$5:T685)-1)</f>
        <v/>
      </c>
    </row>
    <row r="686" spans="1:19">
      <c r="A686" s="15" t="str">
        <f>IF('实盘净值数据(iFinD）'!A686="","",'实盘净值数据(iFinD）'!A686)</f>
        <v/>
      </c>
      <c r="B686" s="13" t="str">
        <f>IF(OR('实盘净值数据(iFinD）'!$A686="",'实盘净值数据(iFinD）'!$B686=""),"",分期持仓明细!$AB$17*SUMPRODUCT(分期持仓明细!$B$17:$Y$17,'实盘净值数据(iFinD）'!$B686:$Y686/'实盘净值数据(iFinD）'!$B$20:$Y$20)*(1-实盘持仓初始配置!$Z$4)^(('实盘净值数据(iFinD）'!$A686-'实盘净值数据(iFinD）'!$A$6)/365))</f>
        <v/>
      </c>
      <c r="C686" s="16" t="str">
        <f t="shared" si="60"/>
        <v/>
      </c>
      <c r="D686" s="16" t="str">
        <f>IF(B686="","",B686/MAX(B$5:B686)-1)</f>
        <v/>
      </c>
      <c r="E686" s="13" t="str">
        <f>IF(OR('实盘净值数据(iFinD）'!$A686="",'实盘净值数据(iFinD）'!$B686=""),"",分期持仓明细!$AB$18*SUMPRODUCT(分期持仓明细!$B$18:$Y$18,'实盘净值数据(iFinD）'!$B686:$Y686/'实盘净值数据(iFinD）'!$B$20:$Y$20)*(1-实盘持仓初始配置!$Z$5)^(('实盘净值数据(iFinD）'!$A686-'实盘净值数据(iFinD）'!$A$5)/365))</f>
        <v/>
      </c>
      <c r="F686" s="16" t="str">
        <f t="shared" si="61"/>
        <v/>
      </c>
      <c r="G686" s="16" t="str">
        <f>IF(E686="","",E686/MAX(E$5:E686)-1)</f>
        <v/>
      </c>
      <c r="H686" s="13" t="str">
        <f>IF(OR('实盘净值数据(iFinD）'!$A686="",'实盘净值数据(iFinD）'!$B686=""),"",分期持仓明细!$AB$19*SUMPRODUCT(分期持仓明细!$B$19:$Y$19,'实盘净值数据(iFinD）'!$B686:$Y686/'实盘净值数据(iFinD）'!$B$20:$Y$20)*(1-实盘持仓初始配置!$Z$6)^(('实盘净值数据(iFinD）'!$A686-'实盘净值数据(iFinD）'!$A$7)/365))</f>
        <v/>
      </c>
      <c r="I686" s="16" t="str">
        <f t="shared" si="62"/>
        <v/>
      </c>
      <c r="J686" s="16" t="str">
        <f>IF(H686="","",H686/MAX(H$5:H686)-1)</f>
        <v/>
      </c>
      <c r="K686" s="13" t="str">
        <f>IF(OR('实盘净值数据(iFinD）'!$A686="",'实盘净值数据(iFinD）'!$B686="",'实盘净值数据(iFinD）'!$Z686="",'实盘净值数据(iFinD）'!$AA686=""),"",分期持仓明细!$AB$23*(SUMPRODUCT(分期持仓明细!$B$23:$Y$23,'实盘净值数据(iFinD）'!$B686:$Y686/'实盘净值数据(iFinD）'!$B$65:$Y$65)+SUMPRODUCT(分期持仓明细!$AC$23:$AD$23,'实盘净值数据(iFinD）'!$Z686:$AA686/'实盘净值数据(iFinD）'!$Z$65:$AA$65))*(1-实盘持仓初始配置!$Z$7)^(('实盘净值数据(iFinD）'!$A686-'实盘净值数据(iFinD）'!$A$8)/365))</f>
        <v/>
      </c>
      <c r="L686" s="16" t="str">
        <f t="shared" si="63"/>
        <v/>
      </c>
      <c r="M686" s="16" t="str">
        <f>IF(K686="","",K686/MAX(K$5:K686)-1)</f>
        <v/>
      </c>
      <c r="N686" s="13" t="str">
        <f>IF(OR('实盘净值数据(iFinD）'!$A686="",'实盘净值数据(iFinD）'!$B686="",'实盘净值数据(iFinD）'!$Z686="",'实盘净值数据(iFinD）'!$AA686=""),"",分期持仓明细!$AB$24*(SUMPRODUCT(分期持仓明细!$B$24:$Y$24,'实盘净值数据(iFinD）'!$B686:$Y686/'实盘净值数据(iFinD）'!$B$65:$Y$65)+SUMPRODUCT(分期持仓明细!$AC$24:$AD$24,'实盘净值数据(iFinD）'!$Z686:$AA686/'实盘净值数据(iFinD）'!$Z$65:$AA$65))*(1-实盘持仓初始配置!$Z$8)^(('实盘净值数据(iFinD）'!$A686-'实盘净值数据(iFinD）'!$A$5)/365))</f>
        <v/>
      </c>
      <c r="O686" s="16" t="str">
        <f t="shared" si="64"/>
        <v/>
      </c>
      <c r="P686" s="16" t="str">
        <f>IF(N686="","",N686/MAX(N$5:N686)-1)</f>
        <v/>
      </c>
      <c r="Q686" s="13" t="str">
        <f>IF(OR('实盘净值数据(iFinD）'!$A686="",'实盘净值数据(iFinD）'!$B686="",'实盘净值数据(iFinD）'!$Z686="",'实盘净值数据(iFinD）'!$AA686=""),"",分期持仓明细!$AB$25*(SUMPRODUCT(分期持仓明细!$B$25:$Y$25,'实盘净值数据(iFinD）'!$B686:$Y686/'实盘净值数据(iFinD）'!$B$65:$Y$65)+SUMPRODUCT(分期持仓明细!$AC$25:$AD$25,'实盘净值数据(iFinD）'!$Z686:$AA686/'实盘净值数据(iFinD）'!$Z$65:$AA$65))*(1-实盘持仓初始配置!$Z$9)^(('实盘净值数据(iFinD）'!$A686-'实盘净值数据(iFinD）'!$A$8)/365))</f>
        <v/>
      </c>
      <c r="R686" s="16" t="str">
        <f t="shared" si="65"/>
        <v/>
      </c>
      <c r="S686" s="16" t="str">
        <f>IF(Q686="","",Q686/MAX(Q$5:Q686)-1)</f>
        <v/>
      </c>
      <c r="T686" s="13">
        <f>IF(OR('实盘净值数据(iFinD）'!$A686="",'实盘净值数据(iFinD）'!$B686="",'实盘净值数据(iFinD）'!$Z686="",'实盘净值数据(iFinD）'!$AA686="",'实盘净值数据(iFinD）'!$AB686="",'实盘净值数据(iFinD）'!$AL686=""),"",(SUMPRODUCT(分期持仓明细!$B$26:$Y$26,'实盘净值数据(iFinD）'!$B686:$Y686/'实盘净值数据(iFinD）'!$B$69:$Y$69)+SUMPRODUCT(分期持仓明细!$AC$26:$AD$26,'实盘净值数据(iFinD）'!$Z686:$AA686/'实盘净值数据(iFinD）'!$Z$69:$AA$69)+SUMPRODUCT(分期持仓明细!$AE$26:$AO$26,'实盘净值数据(iFinD）'!$AB686:$AL686/'实盘净值数据(iFinD）'!$AB$69:$AL$69))*(1-实盘持仓初始配置!$Z$10)^(('实盘净值数据(iFinD）'!$A686-'实盘净值数据(iFinD）'!$A$69)/365))</f>
        <v/>
      </c>
      <c r="U686" s="16">
        <f>IF(OR(T685="",T686=""),"",T686/T685-1)</f>
        <v/>
      </c>
      <c r="V686" s="16">
        <f>IF(T686="","",T686/MAX(T$5:T686)-1)</f>
        <v/>
      </c>
    </row>
    <row r="687" spans="1:19">
      <c r="A687" s="15" t="str">
        <f>IF('实盘净值数据(iFinD）'!A687="","",'实盘净值数据(iFinD）'!A687)</f>
        <v/>
      </c>
      <c r="B687" s="13" t="str">
        <f>IF(OR('实盘净值数据(iFinD）'!$A687="",'实盘净值数据(iFinD）'!$B687=""),"",分期持仓明细!$AB$17*SUMPRODUCT(分期持仓明细!$B$17:$Y$17,'实盘净值数据(iFinD）'!$B687:$Y687/'实盘净值数据(iFinD）'!$B$20:$Y$20)*(1-实盘持仓初始配置!$Z$4)^(('实盘净值数据(iFinD）'!$A687-'实盘净值数据(iFinD）'!$A$6)/365))</f>
        <v/>
      </c>
      <c r="C687" s="16" t="str">
        <f t="shared" si="60"/>
        <v/>
      </c>
      <c r="D687" s="16" t="str">
        <f>IF(B687="","",B687/MAX(B$5:B687)-1)</f>
        <v/>
      </c>
      <c r="E687" s="13" t="str">
        <f>IF(OR('实盘净值数据(iFinD）'!$A687="",'实盘净值数据(iFinD）'!$B687=""),"",分期持仓明细!$AB$18*SUMPRODUCT(分期持仓明细!$B$18:$Y$18,'实盘净值数据(iFinD）'!$B687:$Y687/'实盘净值数据(iFinD）'!$B$20:$Y$20)*(1-实盘持仓初始配置!$Z$5)^(('实盘净值数据(iFinD）'!$A687-'实盘净值数据(iFinD）'!$A$5)/365))</f>
        <v/>
      </c>
      <c r="F687" s="16" t="str">
        <f t="shared" si="61"/>
        <v/>
      </c>
      <c r="G687" s="16" t="str">
        <f>IF(E687="","",E687/MAX(E$5:E687)-1)</f>
        <v/>
      </c>
      <c r="H687" s="13" t="str">
        <f>IF(OR('实盘净值数据(iFinD）'!$A687="",'实盘净值数据(iFinD）'!$B687=""),"",分期持仓明细!$AB$19*SUMPRODUCT(分期持仓明细!$B$19:$Y$19,'实盘净值数据(iFinD）'!$B687:$Y687/'实盘净值数据(iFinD）'!$B$20:$Y$20)*(1-实盘持仓初始配置!$Z$6)^(('实盘净值数据(iFinD）'!$A687-'实盘净值数据(iFinD）'!$A$7)/365))</f>
        <v/>
      </c>
      <c r="I687" s="16" t="str">
        <f t="shared" si="62"/>
        <v/>
      </c>
      <c r="J687" s="16" t="str">
        <f>IF(H687="","",H687/MAX(H$5:H687)-1)</f>
        <v/>
      </c>
      <c r="K687" s="13" t="str">
        <f>IF(OR('实盘净值数据(iFinD）'!$A687="",'实盘净值数据(iFinD）'!$B687="",'实盘净值数据(iFinD）'!$Z687="",'实盘净值数据(iFinD）'!$AA687=""),"",分期持仓明细!$AB$23*(SUMPRODUCT(分期持仓明细!$B$23:$Y$23,'实盘净值数据(iFinD）'!$B687:$Y687/'实盘净值数据(iFinD）'!$B$65:$Y$65)+SUMPRODUCT(分期持仓明细!$AC$23:$AD$23,'实盘净值数据(iFinD）'!$Z687:$AA687/'实盘净值数据(iFinD）'!$Z$65:$AA$65))*(1-实盘持仓初始配置!$Z$7)^(('实盘净值数据(iFinD）'!$A687-'实盘净值数据(iFinD）'!$A$8)/365))</f>
        <v/>
      </c>
      <c r="L687" s="16" t="str">
        <f t="shared" si="63"/>
        <v/>
      </c>
      <c r="M687" s="16" t="str">
        <f>IF(K687="","",K687/MAX(K$5:K687)-1)</f>
        <v/>
      </c>
      <c r="N687" s="13" t="str">
        <f>IF(OR('实盘净值数据(iFinD）'!$A687="",'实盘净值数据(iFinD）'!$B687="",'实盘净值数据(iFinD）'!$Z687="",'实盘净值数据(iFinD）'!$AA687=""),"",分期持仓明细!$AB$24*(SUMPRODUCT(分期持仓明细!$B$24:$Y$24,'实盘净值数据(iFinD）'!$B687:$Y687/'实盘净值数据(iFinD）'!$B$65:$Y$65)+SUMPRODUCT(分期持仓明细!$AC$24:$AD$24,'实盘净值数据(iFinD）'!$Z687:$AA687/'实盘净值数据(iFinD）'!$Z$65:$AA$65))*(1-实盘持仓初始配置!$Z$8)^(('实盘净值数据(iFinD）'!$A687-'实盘净值数据(iFinD）'!$A$5)/365))</f>
        <v/>
      </c>
      <c r="O687" s="16" t="str">
        <f t="shared" si="64"/>
        <v/>
      </c>
      <c r="P687" s="16" t="str">
        <f>IF(N687="","",N687/MAX(N$5:N687)-1)</f>
        <v/>
      </c>
      <c r="Q687" s="13" t="str">
        <f>IF(OR('实盘净值数据(iFinD）'!$A687="",'实盘净值数据(iFinD）'!$B687="",'实盘净值数据(iFinD）'!$Z687="",'实盘净值数据(iFinD）'!$AA687=""),"",分期持仓明细!$AB$25*(SUMPRODUCT(分期持仓明细!$B$25:$Y$25,'实盘净值数据(iFinD）'!$B687:$Y687/'实盘净值数据(iFinD）'!$B$65:$Y$65)+SUMPRODUCT(分期持仓明细!$AC$25:$AD$25,'实盘净值数据(iFinD）'!$Z687:$AA687/'实盘净值数据(iFinD）'!$Z$65:$AA$65))*(1-实盘持仓初始配置!$Z$9)^(('实盘净值数据(iFinD）'!$A687-'实盘净值数据(iFinD）'!$A$8)/365))</f>
        <v/>
      </c>
      <c r="R687" s="16" t="str">
        <f t="shared" si="65"/>
        <v/>
      </c>
      <c r="S687" s="16" t="str">
        <f>IF(Q687="","",Q687/MAX(Q$5:Q687)-1)</f>
        <v/>
      </c>
      <c r="T687" s="13">
        <f>IF(OR('实盘净值数据(iFinD）'!$A687="",'实盘净值数据(iFinD）'!$B687="",'实盘净值数据(iFinD）'!$Z687="",'实盘净值数据(iFinD）'!$AA687="",'实盘净值数据(iFinD）'!$AB687="",'实盘净值数据(iFinD）'!$AL687=""),"",(SUMPRODUCT(分期持仓明细!$B$26:$Y$26,'实盘净值数据(iFinD）'!$B687:$Y687/'实盘净值数据(iFinD）'!$B$69:$Y$69)+SUMPRODUCT(分期持仓明细!$AC$26:$AD$26,'实盘净值数据(iFinD）'!$Z687:$AA687/'实盘净值数据(iFinD）'!$Z$69:$AA$69)+SUMPRODUCT(分期持仓明细!$AE$26:$AO$26,'实盘净值数据(iFinD）'!$AB687:$AL687/'实盘净值数据(iFinD）'!$AB$69:$AL$69))*(1-实盘持仓初始配置!$Z$10)^(('实盘净值数据(iFinD）'!$A687-'实盘净值数据(iFinD）'!$A$69)/365))</f>
        <v/>
      </c>
      <c r="U687" s="16">
        <f>IF(OR(T686="",T687=""),"",T687/T686-1)</f>
        <v/>
      </c>
      <c r="V687" s="16">
        <f>IF(T687="","",T687/MAX(T$5:T687)-1)</f>
        <v/>
      </c>
    </row>
    <row r="688" spans="1:19">
      <c r="A688" s="15" t="str">
        <f>IF('实盘净值数据(iFinD）'!A688="","",'实盘净值数据(iFinD）'!A688)</f>
        <v/>
      </c>
      <c r="B688" s="13" t="str">
        <f>IF(OR('实盘净值数据(iFinD）'!$A688="",'实盘净值数据(iFinD）'!$B688=""),"",分期持仓明细!$AB$17*SUMPRODUCT(分期持仓明细!$B$17:$Y$17,'实盘净值数据(iFinD）'!$B688:$Y688/'实盘净值数据(iFinD）'!$B$20:$Y$20)*(1-实盘持仓初始配置!$Z$4)^(('实盘净值数据(iFinD）'!$A688-'实盘净值数据(iFinD）'!$A$6)/365))</f>
        <v/>
      </c>
      <c r="C688" s="16" t="str">
        <f t="shared" si="60"/>
        <v/>
      </c>
      <c r="D688" s="16" t="str">
        <f>IF(B688="","",B688/MAX(B$5:B688)-1)</f>
        <v/>
      </c>
      <c r="E688" s="13" t="str">
        <f>IF(OR('实盘净值数据(iFinD）'!$A688="",'实盘净值数据(iFinD）'!$B688=""),"",分期持仓明细!$AB$18*SUMPRODUCT(分期持仓明细!$B$18:$Y$18,'实盘净值数据(iFinD）'!$B688:$Y688/'实盘净值数据(iFinD）'!$B$20:$Y$20)*(1-实盘持仓初始配置!$Z$5)^(('实盘净值数据(iFinD）'!$A688-'实盘净值数据(iFinD）'!$A$5)/365))</f>
        <v/>
      </c>
      <c r="F688" s="16" t="str">
        <f t="shared" si="61"/>
        <v/>
      </c>
      <c r="G688" s="16" t="str">
        <f>IF(E688="","",E688/MAX(E$5:E688)-1)</f>
        <v/>
      </c>
      <c r="H688" s="13" t="str">
        <f>IF(OR('实盘净值数据(iFinD）'!$A688="",'实盘净值数据(iFinD）'!$B688=""),"",分期持仓明细!$AB$19*SUMPRODUCT(分期持仓明细!$B$19:$Y$19,'实盘净值数据(iFinD）'!$B688:$Y688/'实盘净值数据(iFinD）'!$B$20:$Y$20)*(1-实盘持仓初始配置!$Z$6)^(('实盘净值数据(iFinD）'!$A688-'实盘净值数据(iFinD）'!$A$7)/365))</f>
        <v/>
      </c>
      <c r="I688" s="16" t="str">
        <f t="shared" si="62"/>
        <v/>
      </c>
      <c r="J688" s="16" t="str">
        <f>IF(H688="","",H688/MAX(H$5:H688)-1)</f>
        <v/>
      </c>
      <c r="K688" s="13" t="str">
        <f>IF(OR('实盘净值数据(iFinD）'!$A688="",'实盘净值数据(iFinD）'!$B688="",'实盘净值数据(iFinD）'!$Z688="",'实盘净值数据(iFinD）'!$AA688=""),"",分期持仓明细!$AB$23*(SUMPRODUCT(分期持仓明细!$B$23:$Y$23,'实盘净值数据(iFinD）'!$B688:$Y688/'实盘净值数据(iFinD）'!$B$65:$Y$65)+SUMPRODUCT(分期持仓明细!$AC$23:$AD$23,'实盘净值数据(iFinD）'!$Z688:$AA688/'实盘净值数据(iFinD）'!$Z$65:$AA$65))*(1-实盘持仓初始配置!$Z$7)^(('实盘净值数据(iFinD）'!$A688-'实盘净值数据(iFinD）'!$A$8)/365))</f>
        <v/>
      </c>
      <c r="L688" s="16" t="str">
        <f t="shared" si="63"/>
        <v/>
      </c>
      <c r="M688" s="16" t="str">
        <f>IF(K688="","",K688/MAX(K$5:K688)-1)</f>
        <v/>
      </c>
      <c r="N688" s="13" t="str">
        <f>IF(OR('实盘净值数据(iFinD）'!$A688="",'实盘净值数据(iFinD）'!$B688="",'实盘净值数据(iFinD）'!$Z688="",'实盘净值数据(iFinD）'!$AA688=""),"",分期持仓明细!$AB$24*(SUMPRODUCT(分期持仓明细!$B$24:$Y$24,'实盘净值数据(iFinD）'!$B688:$Y688/'实盘净值数据(iFinD）'!$B$65:$Y$65)+SUMPRODUCT(分期持仓明细!$AC$24:$AD$24,'实盘净值数据(iFinD）'!$Z688:$AA688/'实盘净值数据(iFinD）'!$Z$65:$AA$65))*(1-实盘持仓初始配置!$Z$8)^(('实盘净值数据(iFinD）'!$A688-'实盘净值数据(iFinD）'!$A$5)/365))</f>
        <v/>
      </c>
      <c r="O688" s="16" t="str">
        <f t="shared" si="64"/>
        <v/>
      </c>
      <c r="P688" s="16" t="str">
        <f>IF(N688="","",N688/MAX(N$5:N688)-1)</f>
        <v/>
      </c>
      <c r="Q688" s="13" t="str">
        <f>IF(OR('实盘净值数据(iFinD）'!$A688="",'实盘净值数据(iFinD）'!$B688="",'实盘净值数据(iFinD）'!$Z688="",'实盘净值数据(iFinD）'!$AA688=""),"",分期持仓明细!$AB$25*(SUMPRODUCT(分期持仓明细!$B$25:$Y$25,'实盘净值数据(iFinD）'!$B688:$Y688/'实盘净值数据(iFinD）'!$B$65:$Y$65)+SUMPRODUCT(分期持仓明细!$AC$25:$AD$25,'实盘净值数据(iFinD）'!$Z688:$AA688/'实盘净值数据(iFinD）'!$Z$65:$AA$65))*(1-实盘持仓初始配置!$Z$9)^(('实盘净值数据(iFinD）'!$A688-'实盘净值数据(iFinD）'!$A$8)/365))</f>
        <v/>
      </c>
      <c r="R688" s="16" t="str">
        <f t="shared" si="65"/>
        <v/>
      </c>
      <c r="S688" s="16" t="str">
        <f>IF(Q688="","",Q688/MAX(Q$5:Q688)-1)</f>
        <v/>
      </c>
      <c r="T688" s="13">
        <f>IF(OR('实盘净值数据(iFinD）'!$A688="",'实盘净值数据(iFinD）'!$B688="",'实盘净值数据(iFinD）'!$Z688="",'实盘净值数据(iFinD）'!$AA688="",'实盘净值数据(iFinD）'!$AB688="",'实盘净值数据(iFinD）'!$AL688=""),"",(SUMPRODUCT(分期持仓明细!$B$26:$Y$26,'实盘净值数据(iFinD）'!$B688:$Y688/'实盘净值数据(iFinD）'!$B$69:$Y$69)+SUMPRODUCT(分期持仓明细!$AC$26:$AD$26,'实盘净值数据(iFinD）'!$Z688:$AA688/'实盘净值数据(iFinD）'!$Z$69:$AA$69)+SUMPRODUCT(分期持仓明细!$AE$26:$AO$26,'实盘净值数据(iFinD）'!$AB688:$AL688/'实盘净值数据(iFinD）'!$AB$69:$AL$69))*(1-实盘持仓初始配置!$Z$10)^(('实盘净值数据(iFinD）'!$A688-'实盘净值数据(iFinD）'!$A$69)/365))</f>
        <v/>
      </c>
      <c r="U688" s="16">
        <f>IF(OR(T687="",T688=""),"",T688/T687-1)</f>
        <v/>
      </c>
      <c r="V688" s="16">
        <f>IF(T688="","",T688/MAX(T$5:T688)-1)</f>
        <v/>
      </c>
    </row>
    <row r="689" spans="1:19">
      <c r="A689" s="15" t="str">
        <f>IF('实盘净值数据(iFinD）'!A689="","",'实盘净值数据(iFinD）'!A689)</f>
        <v/>
      </c>
      <c r="B689" s="13" t="str">
        <f>IF(OR('实盘净值数据(iFinD）'!$A689="",'实盘净值数据(iFinD）'!$B689=""),"",分期持仓明细!$AB$17*SUMPRODUCT(分期持仓明细!$B$17:$Y$17,'实盘净值数据(iFinD）'!$B689:$Y689/'实盘净值数据(iFinD）'!$B$20:$Y$20)*(1-实盘持仓初始配置!$Z$4)^(('实盘净值数据(iFinD）'!$A689-'实盘净值数据(iFinD）'!$A$6)/365))</f>
        <v/>
      </c>
      <c r="C689" s="16" t="str">
        <f t="shared" si="60"/>
        <v/>
      </c>
      <c r="D689" s="16" t="str">
        <f>IF(B689="","",B689/MAX(B$5:B689)-1)</f>
        <v/>
      </c>
      <c r="E689" s="13" t="str">
        <f>IF(OR('实盘净值数据(iFinD）'!$A689="",'实盘净值数据(iFinD）'!$B689=""),"",分期持仓明细!$AB$18*SUMPRODUCT(分期持仓明细!$B$18:$Y$18,'实盘净值数据(iFinD）'!$B689:$Y689/'实盘净值数据(iFinD）'!$B$20:$Y$20)*(1-实盘持仓初始配置!$Z$5)^(('实盘净值数据(iFinD）'!$A689-'实盘净值数据(iFinD）'!$A$5)/365))</f>
        <v/>
      </c>
      <c r="F689" s="16" t="str">
        <f t="shared" si="61"/>
        <v/>
      </c>
      <c r="G689" s="16" t="str">
        <f>IF(E689="","",E689/MAX(E$5:E689)-1)</f>
        <v/>
      </c>
      <c r="H689" s="13" t="str">
        <f>IF(OR('实盘净值数据(iFinD）'!$A689="",'实盘净值数据(iFinD）'!$B689=""),"",分期持仓明细!$AB$19*SUMPRODUCT(分期持仓明细!$B$19:$Y$19,'实盘净值数据(iFinD）'!$B689:$Y689/'实盘净值数据(iFinD）'!$B$20:$Y$20)*(1-实盘持仓初始配置!$Z$6)^(('实盘净值数据(iFinD）'!$A689-'实盘净值数据(iFinD）'!$A$7)/365))</f>
        <v/>
      </c>
      <c r="I689" s="16" t="str">
        <f t="shared" si="62"/>
        <v/>
      </c>
      <c r="J689" s="16" t="str">
        <f>IF(H689="","",H689/MAX(H$5:H689)-1)</f>
        <v/>
      </c>
      <c r="K689" s="13" t="str">
        <f>IF(OR('实盘净值数据(iFinD）'!$A689="",'实盘净值数据(iFinD）'!$B689="",'实盘净值数据(iFinD）'!$Z689="",'实盘净值数据(iFinD）'!$AA689=""),"",分期持仓明细!$AB$23*(SUMPRODUCT(分期持仓明细!$B$23:$Y$23,'实盘净值数据(iFinD）'!$B689:$Y689/'实盘净值数据(iFinD）'!$B$65:$Y$65)+SUMPRODUCT(分期持仓明细!$AC$23:$AD$23,'实盘净值数据(iFinD）'!$Z689:$AA689/'实盘净值数据(iFinD）'!$Z$65:$AA$65))*(1-实盘持仓初始配置!$Z$7)^(('实盘净值数据(iFinD）'!$A689-'实盘净值数据(iFinD）'!$A$8)/365))</f>
        <v/>
      </c>
      <c r="L689" s="16" t="str">
        <f t="shared" si="63"/>
        <v/>
      </c>
      <c r="M689" s="16" t="str">
        <f>IF(K689="","",K689/MAX(K$5:K689)-1)</f>
        <v/>
      </c>
      <c r="N689" s="13" t="str">
        <f>IF(OR('实盘净值数据(iFinD）'!$A689="",'实盘净值数据(iFinD）'!$B689="",'实盘净值数据(iFinD）'!$Z689="",'实盘净值数据(iFinD）'!$AA689=""),"",分期持仓明细!$AB$24*(SUMPRODUCT(分期持仓明细!$B$24:$Y$24,'实盘净值数据(iFinD）'!$B689:$Y689/'实盘净值数据(iFinD）'!$B$65:$Y$65)+SUMPRODUCT(分期持仓明细!$AC$24:$AD$24,'实盘净值数据(iFinD）'!$Z689:$AA689/'实盘净值数据(iFinD）'!$Z$65:$AA$65))*(1-实盘持仓初始配置!$Z$8)^(('实盘净值数据(iFinD）'!$A689-'实盘净值数据(iFinD）'!$A$5)/365))</f>
        <v/>
      </c>
      <c r="O689" s="16" t="str">
        <f t="shared" si="64"/>
        <v/>
      </c>
      <c r="P689" s="16" t="str">
        <f>IF(N689="","",N689/MAX(N$5:N689)-1)</f>
        <v/>
      </c>
      <c r="Q689" s="13" t="str">
        <f>IF(OR('实盘净值数据(iFinD）'!$A689="",'实盘净值数据(iFinD）'!$B689="",'实盘净值数据(iFinD）'!$Z689="",'实盘净值数据(iFinD）'!$AA689=""),"",分期持仓明细!$AB$25*(SUMPRODUCT(分期持仓明细!$B$25:$Y$25,'实盘净值数据(iFinD）'!$B689:$Y689/'实盘净值数据(iFinD）'!$B$65:$Y$65)+SUMPRODUCT(分期持仓明细!$AC$25:$AD$25,'实盘净值数据(iFinD）'!$Z689:$AA689/'实盘净值数据(iFinD）'!$Z$65:$AA$65))*(1-实盘持仓初始配置!$Z$9)^(('实盘净值数据(iFinD）'!$A689-'实盘净值数据(iFinD）'!$A$8)/365))</f>
        <v/>
      </c>
      <c r="R689" s="16" t="str">
        <f t="shared" si="65"/>
        <v/>
      </c>
      <c r="S689" s="16" t="str">
        <f>IF(Q689="","",Q689/MAX(Q$5:Q689)-1)</f>
        <v/>
      </c>
      <c r="T689" s="13">
        <f>IF(OR('实盘净值数据(iFinD）'!$A689="",'实盘净值数据(iFinD）'!$B689="",'实盘净值数据(iFinD）'!$Z689="",'实盘净值数据(iFinD）'!$AA689="",'实盘净值数据(iFinD）'!$AB689="",'实盘净值数据(iFinD）'!$AL689=""),"",(SUMPRODUCT(分期持仓明细!$B$26:$Y$26,'实盘净值数据(iFinD）'!$B689:$Y689/'实盘净值数据(iFinD）'!$B$69:$Y$69)+SUMPRODUCT(分期持仓明细!$AC$26:$AD$26,'实盘净值数据(iFinD）'!$Z689:$AA689/'实盘净值数据(iFinD）'!$Z$69:$AA$69)+SUMPRODUCT(分期持仓明细!$AE$26:$AO$26,'实盘净值数据(iFinD）'!$AB689:$AL689/'实盘净值数据(iFinD）'!$AB$69:$AL$69))*(1-实盘持仓初始配置!$Z$10)^(('实盘净值数据(iFinD）'!$A689-'实盘净值数据(iFinD）'!$A$69)/365))</f>
        <v/>
      </c>
      <c r="U689" s="16">
        <f>IF(OR(T688="",T689=""),"",T689/T688-1)</f>
        <v/>
      </c>
      <c r="V689" s="16">
        <f>IF(T689="","",T689/MAX(T$5:T689)-1)</f>
        <v/>
      </c>
    </row>
    <row r="690" spans="1:19">
      <c r="A690" s="15" t="str">
        <f>IF('实盘净值数据(iFinD）'!A690="","",'实盘净值数据(iFinD）'!A690)</f>
        <v/>
      </c>
      <c r="B690" s="13" t="str">
        <f>IF(OR('实盘净值数据(iFinD）'!$A690="",'实盘净值数据(iFinD）'!$B690=""),"",分期持仓明细!$AB$17*SUMPRODUCT(分期持仓明细!$B$17:$Y$17,'实盘净值数据(iFinD）'!$B690:$Y690/'实盘净值数据(iFinD）'!$B$20:$Y$20)*(1-实盘持仓初始配置!$Z$4)^(('实盘净值数据(iFinD）'!$A690-'实盘净值数据(iFinD）'!$A$6)/365))</f>
        <v/>
      </c>
      <c r="C690" s="16" t="str">
        <f t="shared" si="60"/>
        <v/>
      </c>
      <c r="D690" s="16" t="str">
        <f>IF(B690="","",B690/MAX(B$5:B690)-1)</f>
        <v/>
      </c>
      <c r="E690" s="13" t="str">
        <f>IF(OR('实盘净值数据(iFinD）'!$A690="",'实盘净值数据(iFinD）'!$B690=""),"",分期持仓明细!$AB$18*SUMPRODUCT(分期持仓明细!$B$18:$Y$18,'实盘净值数据(iFinD）'!$B690:$Y690/'实盘净值数据(iFinD）'!$B$20:$Y$20)*(1-实盘持仓初始配置!$Z$5)^(('实盘净值数据(iFinD）'!$A690-'实盘净值数据(iFinD）'!$A$5)/365))</f>
        <v/>
      </c>
      <c r="F690" s="16" t="str">
        <f t="shared" si="61"/>
        <v/>
      </c>
      <c r="G690" s="16" t="str">
        <f>IF(E690="","",E690/MAX(E$5:E690)-1)</f>
        <v/>
      </c>
      <c r="H690" s="13" t="str">
        <f>IF(OR('实盘净值数据(iFinD）'!$A690="",'实盘净值数据(iFinD）'!$B690=""),"",分期持仓明细!$AB$19*SUMPRODUCT(分期持仓明细!$B$19:$Y$19,'实盘净值数据(iFinD）'!$B690:$Y690/'实盘净值数据(iFinD）'!$B$20:$Y$20)*(1-实盘持仓初始配置!$Z$6)^(('实盘净值数据(iFinD）'!$A690-'实盘净值数据(iFinD）'!$A$7)/365))</f>
        <v/>
      </c>
      <c r="I690" s="16" t="str">
        <f t="shared" si="62"/>
        <v/>
      </c>
      <c r="J690" s="16" t="str">
        <f>IF(H690="","",H690/MAX(H$5:H690)-1)</f>
        <v/>
      </c>
      <c r="K690" s="13" t="str">
        <f>IF(OR('实盘净值数据(iFinD）'!$A690="",'实盘净值数据(iFinD）'!$B690="",'实盘净值数据(iFinD）'!$Z690="",'实盘净值数据(iFinD）'!$AA690=""),"",分期持仓明细!$AB$23*(SUMPRODUCT(分期持仓明细!$B$23:$Y$23,'实盘净值数据(iFinD）'!$B690:$Y690/'实盘净值数据(iFinD）'!$B$65:$Y$65)+SUMPRODUCT(分期持仓明细!$AC$23:$AD$23,'实盘净值数据(iFinD）'!$Z690:$AA690/'实盘净值数据(iFinD）'!$Z$65:$AA$65))*(1-实盘持仓初始配置!$Z$7)^(('实盘净值数据(iFinD）'!$A690-'实盘净值数据(iFinD）'!$A$8)/365))</f>
        <v/>
      </c>
      <c r="L690" s="16" t="str">
        <f t="shared" si="63"/>
        <v/>
      </c>
      <c r="M690" s="16" t="str">
        <f>IF(K690="","",K690/MAX(K$5:K690)-1)</f>
        <v/>
      </c>
      <c r="N690" s="13" t="str">
        <f>IF(OR('实盘净值数据(iFinD）'!$A690="",'实盘净值数据(iFinD）'!$B690="",'实盘净值数据(iFinD）'!$Z690="",'实盘净值数据(iFinD）'!$AA690=""),"",分期持仓明细!$AB$24*(SUMPRODUCT(分期持仓明细!$B$24:$Y$24,'实盘净值数据(iFinD）'!$B690:$Y690/'实盘净值数据(iFinD）'!$B$65:$Y$65)+SUMPRODUCT(分期持仓明细!$AC$24:$AD$24,'实盘净值数据(iFinD）'!$Z690:$AA690/'实盘净值数据(iFinD）'!$Z$65:$AA$65))*(1-实盘持仓初始配置!$Z$8)^(('实盘净值数据(iFinD）'!$A690-'实盘净值数据(iFinD）'!$A$5)/365))</f>
        <v/>
      </c>
      <c r="O690" s="16" t="str">
        <f t="shared" si="64"/>
        <v/>
      </c>
      <c r="P690" s="16" t="str">
        <f>IF(N690="","",N690/MAX(N$5:N690)-1)</f>
        <v/>
      </c>
      <c r="Q690" s="13" t="str">
        <f>IF(OR('实盘净值数据(iFinD）'!$A690="",'实盘净值数据(iFinD）'!$B690="",'实盘净值数据(iFinD）'!$Z690="",'实盘净值数据(iFinD）'!$AA690=""),"",分期持仓明细!$AB$25*(SUMPRODUCT(分期持仓明细!$B$25:$Y$25,'实盘净值数据(iFinD）'!$B690:$Y690/'实盘净值数据(iFinD）'!$B$65:$Y$65)+SUMPRODUCT(分期持仓明细!$AC$25:$AD$25,'实盘净值数据(iFinD）'!$Z690:$AA690/'实盘净值数据(iFinD）'!$Z$65:$AA$65))*(1-实盘持仓初始配置!$Z$9)^(('实盘净值数据(iFinD）'!$A690-'实盘净值数据(iFinD）'!$A$8)/365))</f>
        <v/>
      </c>
      <c r="R690" s="16" t="str">
        <f t="shared" si="65"/>
        <v/>
      </c>
      <c r="S690" s="16" t="str">
        <f>IF(Q690="","",Q690/MAX(Q$5:Q690)-1)</f>
        <v/>
      </c>
      <c r="T690" s="13">
        <f>IF(OR('实盘净值数据(iFinD）'!$A690="",'实盘净值数据(iFinD）'!$B690="",'实盘净值数据(iFinD）'!$Z690="",'实盘净值数据(iFinD）'!$AA690="",'实盘净值数据(iFinD）'!$AB690="",'实盘净值数据(iFinD）'!$AL690=""),"",(SUMPRODUCT(分期持仓明细!$B$26:$Y$26,'实盘净值数据(iFinD）'!$B690:$Y690/'实盘净值数据(iFinD）'!$B$69:$Y$69)+SUMPRODUCT(分期持仓明细!$AC$26:$AD$26,'实盘净值数据(iFinD）'!$Z690:$AA690/'实盘净值数据(iFinD）'!$Z$69:$AA$69)+SUMPRODUCT(分期持仓明细!$AE$26:$AO$26,'实盘净值数据(iFinD）'!$AB690:$AL690/'实盘净值数据(iFinD）'!$AB$69:$AL$69))*(1-实盘持仓初始配置!$Z$10)^(('实盘净值数据(iFinD）'!$A690-'实盘净值数据(iFinD）'!$A$69)/365))</f>
        <v/>
      </c>
      <c r="U690" s="16">
        <f>IF(OR(T689="",T690=""),"",T690/T689-1)</f>
        <v/>
      </c>
      <c r="V690" s="16">
        <f>IF(T690="","",T690/MAX(T$5:T690)-1)</f>
        <v/>
      </c>
    </row>
    <row r="691" spans="1:19">
      <c r="A691" s="15" t="str">
        <f>IF('实盘净值数据(iFinD）'!A691="","",'实盘净值数据(iFinD）'!A691)</f>
        <v/>
      </c>
      <c r="B691" s="13" t="str">
        <f>IF(OR('实盘净值数据(iFinD）'!$A691="",'实盘净值数据(iFinD）'!$B691=""),"",分期持仓明细!$AB$17*SUMPRODUCT(分期持仓明细!$B$17:$Y$17,'实盘净值数据(iFinD）'!$B691:$Y691/'实盘净值数据(iFinD）'!$B$20:$Y$20)*(1-实盘持仓初始配置!$Z$4)^(('实盘净值数据(iFinD）'!$A691-'实盘净值数据(iFinD）'!$A$6)/365))</f>
        <v/>
      </c>
      <c r="C691" s="16" t="str">
        <f t="shared" si="60"/>
        <v/>
      </c>
      <c r="D691" s="16" t="str">
        <f>IF(B691="","",B691/MAX(B$5:B691)-1)</f>
        <v/>
      </c>
      <c r="E691" s="13" t="str">
        <f>IF(OR('实盘净值数据(iFinD）'!$A691="",'实盘净值数据(iFinD）'!$B691=""),"",分期持仓明细!$AB$18*SUMPRODUCT(分期持仓明细!$B$18:$Y$18,'实盘净值数据(iFinD）'!$B691:$Y691/'实盘净值数据(iFinD）'!$B$20:$Y$20)*(1-实盘持仓初始配置!$Z$5)^(('实盘净值数据(iFinD）'!$A691-'实盘净值数据(iFinD）'!$A$5)/365))</f>
        <v/>
      </c>
      <c r="F691" s="16" t="str">
        <f t="shared" si="61"/>
        <v/>
      </c>
      <c r="G691" s="16" t="str">
        <f>IF(E691="","",E691/MAX(E$5:E691)-1)</f>
        <v/>
      </c>
      <c r="H691" s="13" t="str">
        <f>IF(OR('实盘净值数据(iFinD）'!$A691="",'实盘净值数据(iFinD）'!$B691=""),"",分期持仓明细!$AB$19*SUMPRODUCT(分期持仓明细!$B$19:$Y$19,'实盘净值数据(iFinD）'!$B691:$Y691/'实盘净值数据(iFinD）'!$B$20:$Y$20)*(1-实盘持仓初始配置!$Z$6)^(('实盘净值数据(iFinD）'!$A691-'实盘净值数据(iFinD）'!$A$7)/365))</f>
        <v/>
      </c>
      <c r="I691" s="16" t="str">
        <f t="shared" si="62"/>
        <v/>
      </c>
      <c r="J691" s="16" t="str">
        <f>IF(H691="","",H691/MAX(H$5:H691)-1)</f>
        <v/>
      </c>
      <c r="K691" s="13" t="str">
        <f>IF(OR('实盘净值数据(iFinD）'!$A691="",'实盘净值数据(iFinD）'!$B691="",'实盘净值数据(iFinD）'!$Z691="",'实盘净值数据(iFinD）'!$AA691=""),"",分期持仓明细!$AB$23*(SUMPRODUCT(分期持仓明细!$B$23:$Y$23,'实盘净值数据(iFinD）'!$B691:$Y691/'实盘净值数据(iFinD）'!$B$65:$Y$65)+SUMPRODUCT(分期持仓明细!$AC$23:$AD$23,'实盘净值数据(iFinD）'!$Z691:$AA691/'实盘净值数据(iFinD）'!$Z$65:$AA$65))*(1-实盘持仓初始配置!$Z$7)^(('实盘净值数据(iFinD）'!$A691-'实盘净值数据(iFinD）'!$A$8)/365))</f>
        <v/>
      </c>
      <c r="L691" s="16" t="str">
        <f t="shared" si="63"/>
        <v/>
      </c>
      <c r="M691" s="16" t="str">
        <f>IF(K691="","",K691/MAX(K$5:K691)-1)</f>
        <v/>
      </c>
      <c r="N691" s="13" t="str">
        <f>IF(OR('实盘净值数据(iFinD）'!$A691="",'实盘净值数据(iFinD）'!$B691="",'实盘净值数据(iFinD）'!$Z691="",'实盘净值数据(iFinD）'!$AA691=""),"",分期持仓明细!$AB$24*(SUMPRODUCT(分期持仓明细!$B$24:$Y$24,'实盘净值数据(iFinD）'!$B691:$Y691/'实盘净值数据(iFinD）'!$B$65:$Y$65)+SUMPRODUCT(分期持仓明细!$AC$24:$AD$24,'实盘净值数据(iFinD）'!$Z691:$AA691/'实盘净值数据(iFinD）'!$Z$65:$AA$65))*(1-实盘持仓初始配置!$Z$8)^(('实盘净值数据(iFinD）'!$A691-'实盘净值数据(iFinD）'!$A$5)/365))</f>
        <v/>
      </c>
      <c r="O691" s="16" t="str">
        <f t="shared" si="64"/>
        <v/>
      </c>
      <c r="P691" s="16" t="str">
        <f>IF(N691="","",N691/MAX(N$5:N691)-1)</f>
        <v/>
      </c>
      <c r="Q691" s="13" t="str">
        <f>IF(OR('实盘净值数据(iFinD）'!$A691="",'实盘净值数据(iFinD）'!$B691="",'实盘净值数据(iFinD）'!$Z691="",'实盘净值数据(iFinD）'!$AA691=""),"",分期持仓明细!$AB$25*(SUMPRODUCT(分期持仓明细!$B$25:$Y$25,'实盘净值数据(iFinD）'!$B691:$Y691/'实盘净值数据(iFinD）'!$B$65:$Y$65)+SUMPRODUCT(分期持仓明细!$AC$25:$AD$25,'实盘净值数据(iFinD）'!$Z691:$AA691/'实盘净值数据(iFinD）'!$Z$65:$AA$65))*(1-实盘持仓初始配置!$Z$9)^(('实盘净值数据(iFinD）'!$A691-'实盘净值数据(iFinD）'!$A$8)/365))</f>
        <v/>
      </c>
      <c r="R691" s="16" t="str">
        <f t="shared" si="65"/>
        <v/>
      </c>
      <c r="S691" s="16" t="str">
        <f>IF(Q691="","",Q691/MAX(Q$5:Q691)-1)</f>
        <v/>
      </c>
      <c r="T691" s="13">
        <f>IF(OR('实盘净值数据(iFinD）'!$A691="",'实盘净值数据(iFinD）'!$B691="",'实盘净值数据(iFinD）'!$Z691="",'实盘净值数据(iFinD）'!$AA691="",'实盘净值数据(iFinD）'!$AB691="",'实盘净值数据(iFinD）'!$AL691=""),"",(SUMPRODUCT(分期持仓明细!$B$26:$Y$26,'实盘净值数据(iFinD）'!$B691:$Y691/'实盘净值数据(iFinD）'!$B$69:$Y$69)+SUMPRODUCT(分期持仓明细!$AC$26:$AD$26,'实盘净值数据(iFinD）'!$Z691:$AA691/'实盘净值数据(iFinD）'!$Z$69:$AA$69)+SUMPRODUCT(分期持仓明细!$AE$26:$AO$26,'实盘净值数据(iFinD）'!$AB691:$AL691/'实盘净值数据(iFinD）'!$AB$69:$AL$69))*(1-实盘持仓初始配置!$Z$10)^(('实盘净值数据(iFinD）'!$A691-'实盘净值数据(iFinD）'!$A$69)/365))</f>
        <v/>
      </c>
      <c r="U691" s="16">
        <f>IF(OR(T690="",T691=""),"",T691/T690-1)</f>
        <v/>
      </c>
      <c r="V691" s="16">
        <f>IF(T691="","",T691/MAX(T$5:T691)-1)</f>
        <v/>
      </c>
    </row>
    <row r="692" spans="1:19">
      <c r="A692" s="15" t="str">
        <f>IF('实盘净值数据(iFinD）'!A692="","",'实盘净值数据(iFinD）'!A692)</f>
        <v/>
      </c>
      <c r="B692" s="13" t="str">
        <f>IF(OR('实盘净值数据(iFinD）'!$A692="",'实盘净值数据(iFinD）'!$B692=""),"",分期持仓明细!$AB$17*SUMPRODUCT(分期持仓明细!$B$17:$Y$17,'实盘净值数据(iFinD）'!$B692:$Y692/'实盘净值数据(iFinD）'!$B$20:$Y$20)*(1-实盘持仓初始配置!$Z$4)^(('实盘净值数据(iFinD）'!$A692-'实盘净值数据(iFinD）'!$A$6)/365))</f>
        <v/>
      </c>
      <c r="C692" s="16" t="str">
        <f t="shared" si="60"/>
        <v/>
      </c>
      <c r="D692" s="16" t="str">
        <f>IF(B692="","",B692/MAX(B$5:B692)-1)</f>
        <v/>
      </c>
      <c r="E692" s="13" t="str">
        <f>IF(OR('实盘净值数据(iFinD）'!$A692="",'实盘净值数据(iFinD）'!$B692=""),"",分期持仓明细!$AB$18*SUMPRODUCT(分期持仓明细!$B$18:$Y$18,'实盘净值数据(iFinD）'!$B692:$Y692/'实盘净值数据(iFinD）'!$B$20:$Y$20)*(1-实盘持仓初始配置!$Z$5)^(('实盘净值数据(iFinD）'!$A692-'实盘净值数据(iFinD）'!$A$5)/365))</f>
        <v/>
      </c>
      <c r="F692" s="16" t="str">
        <f t="shared" si="61"/>
        <v/>
      </c>
      <c r="G692" s="16" t="str">
        <f>IF(E692="","",E692/MAX(E$5:E692)-1)</f>
        <v/>
      </c>
      <c r="H692" s="13" t="str">
        <f>IF(OR('实盘净值数据(iFinD）'!$A692="",'实盘净值数据(iFinD）'!$B692=""),"",分期持仓明细!$AB$19*SUMPRODUCT(分期持仓明细!$B$19:$Y$19,'实盘净值数据(iFinD）'!$B692:$Y692/'实盘净值数据(iFinD）'!$B$20:$Y$20)*(1-实盘持仓初始配置!$Z$6)^(('实盘净值数据(iFinD）'!$A692-'实盘净值数据(iFinD）'!$A$7)/365))</f>
        <v/>
      </c>
      <c r="I692" s="16" t="str">
        <f t="shared" si="62"/>
        <v/>
      </c>
      <c r="J692" s="16" t="str">
        <f>IF(H692="","",H692/MAX(H$5:H692)-1)</f>
        <v/>
      </c>
      <c r="K692" s="13" t="str">
        <f>IF(OR('实盘净值数据(iFinD）'!$A692="",'实盘净值数据(iFinD）'!$B692="",'实盘净值数据(iFinD）'!$Z692="",'实盘净值数据(iFinD）'!$AA692=""),"",分期持仓明细!$AB$23*(SUMPRODUCT(分期持仓明细!$B$23:$Y$23,'实盘净值数据(iFinD）'!$B692:$Y692/'实盘净值数据(iFinD）'!$B$65:$Y$65)+SUMPRODUCT(分期持仓明细!$AC$23:$AD$23,'实盘净值数据(iFinD）'!$Z692:$AA692/'实盘净值数据(iFinD）'!$Z$65:$AA$65))*(1-实盘持仓初始配置!$Z$7)^(('实盘净值数据(iFinD）'!$A692-'实盘净值数据(iFinD）'!$A$8)/365))</f>
        <v/>
      </c>
      <c r="L692" s="16" t="str">
        <f t="shared" si="63"/>
        <v/>
      </c>
      <c r="M692" s="16" t="str">
        <f>IF(K692="","",K692/MAX(K$5:K692)-1)</f>
        <v/>
      </c>
      <c r="N692" s="13" t="str">
        <f>IF(OR('实盘净值数据(iFinD）'!$A692="",'实盘净值数据(iFinD）'!$B692="",'实盘净值数据(iFinD）'!$Z692="",'实盘净值数据(iFinD）'!$AA692=""),"",分期持仓明细!$AB$24*(SUMPRODUCT(分期持仓明细!$B$24:$Y$24,'实盘净值数据(iFinD）'!$B692:$Y692/'实盘净值数据(iFinD）'!$B$65:$Y$65)+SUMPRODUCT(分期持仓明细!$AC$24:$AD$24,'实盘净值数据(iFinD）'!$Z692:$AA692/'实盘净值数据(iFinD）'!$Z$65:$AA$65))*(1-实盘持仓初始配置!$Z$8)^(('实盘净值数据(iFinD）'!$A692-'实盘净值数据(iFinD）'!$A$5)/365))</f>
        <v/>
      </c>
      <c r="O692" s="16" t="str">
        <f t="shared" si="64"/>
        <v/>
      </c>
      <c r="P692" s="16" t="str">
        <f>IF(N692="","",N692/MAX(N$5:N692)-1)</f>
        <v/>
      </c>
      <c r="Q692" s="13" t="str">
        <f>IF(OR('实盘净值数据(iFinD）'!$A692="",'实盘净值数据(iFinD）'!$B692="",'实盘净值数据(iFinD）'!$Z692="",'实盘净值数据(iFinD）'!$AA692=""),"",分期持仓明细!$AB$25*(SUMPRODUCT(分期持仓明细!$B$25:$Y$25,'实盘净值数据(iFinD）'!$B692:$Y692/'实盘净值数据(iFinD）'!$B$65:$Y$65)+SUMPRODUCT(分期持仓明细!$AC$25:$AD$25,'实盘净值数据(iFinD）'!$Z692:$AA692/'实盘净值数据(iFinD）'!$Z$65:$AA$65))*(1-实盘持仓初始配置!$Z$9)^(('实盘净值数据(iFinD）'!$A692-'实盘净值数据(iFinD）'!$A$8)/365))</f>
        <v/>
      </c>
      <c r="R692" s="16" t="str">
        <f t="shared" si="65"/>
        <v/>
      </c>
      <c r="S692" s="16" t="str">
        <f>IF(Q692="","",Q692/MAX(Q$5:Q692)-1)</f>
        <v/>
      </c>
      <c r="T692" s="13">
        <f>IF(OR('实盘净值数据(iFinD）'!$A692="",'实盘净值数据(iFinD）'!$B692="",'实盘净值数据(iFinD）'!$Z692="",'实盘净值数据(iFinD）'!$AA692="",'实盘净值数据(iFinD）'!$AB692="",'实盘净值数据(iFinD）'!$AL692=""),"",(SUMPRODUCT(分期持仓明细!$B$26:$Y$26,'实盘净值数据(iFinD）'!$B692:$Y692/'实盘净值数据(iFinD）'!$B$69:$Y$69)+SUMPRODUCT(分期持仓明细!$AC$26:$AD$26,'实盘净值数据(iFinD）'!$Z692:$AA692/'实盘净值数据(iFinD）'!$Z$69:$AA$69)+SUMPRODUCT(分期持仓明细!$AE$26:$AO$26,'实盘净值数据(iFinD）'!$AB692:$AL692/'实盘净值数据(iFinD）'!$AB$69:$AL$69))*(1-实盘持仓初始配置!$Z$10)^(('实盘净值数据(iFinD）'!$A692-'实盘净值数据(iFinD）'!$A$69)/365))</f>
        <v/>
      </c>
      <c r="U692" s="16">
        <f>IF(OR(T691="",T692=""),"",T692/T691-1)</f>
        <v/>
      </c>
      <c r="V692" s="16">
        <f>IF(T692="","",T692/MAX(T$5:T692)-1)</f>
        <v/>
      </c>
    </row>
    <row r="693" spans="1:19">
      <c r="A693" s="15" t="str">
        <f>IF('实盘净值数据(iFinD）'!A693="","",'实盘净值数据(iFinD）'!A693)</f>
        <v/>
      </c>
      <c r="B693" s="13" t="str">
        <f>IF(OR('实盘净值数据(iFinD）'!$A693="",'实盘净值数据(iFinD）'!$B693=""),"",分期持仓明细!$AB$17*SUMPRODUCT(分期持仓明细!$B$17:$Y$17,'实盘净值数据(iFinD）'!$B693:$Y693/'实盘净值数据(iFinD）'!$B$20:$Y$20)*(1-实盘持仓初始配置!$Z$4)^(('实盘净值数据(iFinD）'!$A693-'实盘净值数据(iFinD）'!$A$6)/365))</f>
        <v/>
      </c>
      <c r="C693" s="16" t="str">
        <f t="shared" si="60"/>
        <v/>
      </c>
      <c r="D693" s="16" t="str">
        <f>IF(B693="","",B693/MAX(B$5:B693)-1)</f>
        <v/>
      </c>
      <c r="E693" s="13" t="str">
        <f>IF(OR('实盘净值数据(iFinD）'!$A693="",'实盘净值数据(iFinD）'!$B693=""),"",分期持仓明细!$AB$18*SUMPRODUCT(分期持仓明细!$B$18:$Y$18,'实盘净值数据(iFinD）'!$B693:$Y693/'实盘净值数据(iFinD）'!$B$20:$Y$20)*(1-实盘持仓初始配置!$Z$5)^(('实盘净值数据(iFinD）'!$A693-'实盘净值数据(iFinD）'!$A$5)/365))</f>
        <v/>
      </c>
      <c r="F693" s="16" t="str">
        <f t="shared" si="61"/>
        <v/>
      </c>
      <c r="G693" s="16" t="str">
        <f>IF(E693="","",E693/MAX(E$5:E693)-1)</f>
        <v/>
      </c>
      <c r="H693" s="13" t="str">
        <f>IF(OR('实盘净值数据(iFinD）'!$A693="",'实盘净值数据(iFinD）'!$B693=""),"",分期持仓明细!$AB$19*SUMPRODUCT(分期持仓明细!$B$19:$Y$19,'实盘净值数据(iFinD）'!$B693:$Y693/'实盘净值数据(iFinD）'!$B$20:$Y$20)*(1-实盘持仓初始配置!$Z$6)^(('实盘净值数据(iFinD）'!$A693-'实盘净值数据(iFinD）'!$A$7)/365))</f>
        <v/>
      </c>
      <c r="I693" s="16" t="str">
        <f t="shared" si="62"/>
        <v/>
      </c>
      <c r="J693" s="16" t="str">
        <f>IF(H693="","",H693/MAX(H$5:H693)-1)</f>
        <v/>
      </c>
      <c r="K693" s="13" t="str">
        <f>IF(OR('实盘净值数据(iFinD）'!$A693="",'实盘净值数据(iFinD）'!$B693="",'实盘净值数据(iFinD）'!$Z693="",'实盘净值数据(iFinD）'!$AA693=""),"",分期持仓明细!$AB$23*(SUMPRODUCT(分期持仓明细!$B$23:$Y$23,'实盘净值数据(iFinD）'!$B693:$Y693/'实盘净值数据(iFinD）'!$B$65:$Y$65)+SUMPRODUCT(分期持仓明细!$AC$23:$AD$23,'实盘净值数据(iFinD）'!$Z693:$AA693/'实盘净值数据(iFinD）'!$Z$65:$AA$65))*(1-实盘持仓初始配置!$Z$7)^(('实盘净值数据(iFinD）'!$A693-'实盘净值数据(iFinD）'!$A$8)/365))</f>
        <v/>
      </c>
      <c r="L693" s="16" t="str">
        <f t="shared" si="63"/>
        <v/>
      </c>
      <c r="M693" s="16" t="str">
        <f>IF(K693="","",K693/MAX(K$5:K693)-1)</f>
        <v/>
      </c>
      <c r="N693" s="13" t="str">
        <f>IF(OR('实盘净值数据(iFinD）'!$A693="",'实盘净值数据(iFinD）'!$B693="",'实盘净值数据(iFinD）'!$Z693="",'实盘净值数据(iFinD）'!$AA693=""),"",分期持仓明细!$AB$24*(SUMPRODUCT(分期持仓明细!$B$24:$Y$24,'实盘净值数据(iFinD）'!$B693:$Y693/'实盘净值数据(iFinD）'!$B$65:$Y$65)+SUMPRODUCT(分期持仓明细!$AC$24:$AD$24,'实盘净值数据(iFinD）'!$Z693:$AA693/'实盘净值数据(iFinD）'!$Z$65:$AA$65))*(1-实盘持仓初始配置!$Z$8)^(('实盘净值数据(iFinD）'!$A693-'实盘净值数据(iFinD）'!$A$5)/365))</f>
        <v/>
      </c>
      <c r="O693" s="16" t="str">
        <f t="shared" si="64"/>
        <v/>
      </c>
      <c r="P693" s="16" t="str">
        <f>IF(N693="","",N693/MAX(N$5:N693)-1)</f>
        <v/>
      </c>
      <c r="Q693" s="13" t="str">
        <f>IF(OR('实盘净值数据(iFinD）'!$A693="",'实盘净值数据(iFinD）'!$B693="",'实盘净值数据(iFinD）'!$Z693="",'实盘净值数据(iFinD）'!$AA693=""),"",分期持仓明细!$AB$25*(SUMPRODUCT(分期持仓明细!$B$25:$Y$25,'实盘净值数据(iFinD）'!$B693:$Y693/'实盘净值数据(iFinD）'!$B$65:$Y$65)+SUMPRODUCT(分期持仓明细!$AC$25:$AD$25,'实盘净值数据(iFinD）'!$Z693:$AA693/'实盘净值数据(iFinD）'!$Z$65:$AA$65))*(1-实盘持仓初始配置!$Z$9)^(('实盘净值数据(iFinD）'!$A693-'实盘净值数据(iFinD）'!$A$8)/365))</f>
        <v/>
      </c>
      <c r="R693" s="16" t="str">
        <f t="shared" si="65"/>
        <v/>
      </c>
      <c r="S693" s="16" t="str">
        <f>IF(Q693="","",Q693/MAX(Q$5:Q693)-1)</f>
        <v/>
      </c>
      <c r="T693" s="13">
        <f>IF(OR('实盘净值数据(iFinD）'!$A693="",'实盘净值数据(iFinD）'!$B693="",'实盘净值数据(iFinD）'!$Z693="",'实盘净值数据(iFinD）'!$AA693="",'实盘净值数据(iFinD）'!$AB693="",'实盘净值数据(iFinD）'!$AL693=""),"",(SUMPRODUCT(分期持仓明细!$B$26:$Y$26,'实盘净值数据(iFinD）'!$B693:$Y693/'实盘净值数据(iFinD）'!$B$69:$Y$69)+SUMPRODUCT(分期持仓明细!$AC$26:$AD$26,'实盘净值数据(iFinD）'!$Z693:$AA693/'实盘净值数据(iFinD）'!$Z$69:$AA$69)+SUMPRODUCT(分期持仓明细!$AE$26:$AO$26,'实盘净值数据(iFinD）'!$AB693:$AL693/'实盘净值数据(iFinD）'!$AB$69:$AL$69))*(1-实盘持仓初始配置!$Z$10)^(('实盘净值数据(iFinD）'!$A693-'实盘净值数据(iFinD）'!$A$69)/365))</f>
        <v/>
      </c>
      <c r="U693" s="16">
        <f>IF(OR(T692="",T693=""),"",T693/T692-1)</f>
        <v/>
      </c>
      <c r="V693" s="16">
        <f>IF(T693="","",T693/MAX(T$5:T693)-1)</f>
        <v/>
      </c>
    </row>
    <row r="694" spans="1:19">
      <c r="A694" s="15" t="str">
        <f>IF('实盘净值数据(iFinD）'!A694="","",'实盘净值数据(iFinD）'!A694)</f>
        <v/>
      </c>
      <c r="B694" s="13" t="str">
        <f>IF(OR('实盘净值数据(iFinD）'!$A694="",'实盘净值数据(iFinD）'!$B694=""),"",分期持仓明细!$AB$17*SUMPRODUCT(分期持仓明细!$B$17:$Y$17,'实盘净值数据(iFinD）'!$B694:$Y694/'实盘净值数据(iFinD）'!$B$20:$Y$20)*(1-实盘持仓初始配置!$Z$4)^(('实盘净值数据(iFinD）'!$A694-'实盘净值数据(iFinD）'!$A$6)/365))</f>
        <v/>
      </c>
      <c r="C694" s="16" t="str">
        <f t="shared" si="60"/>
        <v/>
      </c>
      <c r="D694" s="16" t="str">
        <f>IF(B694="","",B694/MAX(B$5:B694)-1)</f>
        <v/>
      </c>
      <c r="E694" s="13" t="str">
        <f>IF(OR('实盘净值数据(iFinD）'!$A694="",'实盘净值数据(iFinD）'!$B694=""),"",分期持仓明细!$AB$18*SUMPRODUCT(分期持仓明细!$B$18:$Y$18,'实盘净值数据(iFinD）'!$B694:$Y694/'实盘净值数据(iFinD）'!$B$20:$Y$20)*(1-实盘持仓初始配置!$Z$5)^(('实盘净值数据(iFinD）'!$A694-'实盘净值数据(iFinD）'!$A$5)/365))</f>
        <v/>
      </c>
      <c r="F694" s="16" t="str">
        <f t="shared" si="61"/>
        <v/>
      </c>
      <c r="G694" s="16" t="str">
        <f>IF(E694="","",E694/MAX(E$5:E694)-1)</f>
        <v/>
      </c>
      <c r="H694" s="13" t="str">
        <f>IF(OR('实盘净值数据(iFinD）'!$A694="",'实盘净值数据(iFinD）'!$B694=""),"",分期持仓明细!$AB$19*SUMPRODUCT(分期持仓明细!$B$19:$Y$19,'实盘净值数据(iFinD）'!$B694:$Y694/'实盘净值数据(iFinD）'!$B$20:$Y$20)*(1-实盘持仓初始配置!$Z$6)^(('实盘净值数据(iFinD）'!$A694-'实盘净值数据(iFinD）'!$A$7)/365))</f>
        <v/>
      </c>
      <c r="I694" s="16" t="str">
        <f t="shared" si="62"/>
        <v/>
      </c>
      <c r="J694" s="16" t="str">
        <f>IF(H694="","",H694/MAX(H$5:H694)-1)</f>
        <v/>
      </c>
      <c r="K694" s="13" t="str">
        <f>IF(OR('实盘净值数据(iFinD）'!$A694="",'实盘净值数据(iFinD）'!$B694="",'实盘净值数据(iFinD）'!$Z694="",'实盘净值数据(iFinD）'!$AA694=""),"",分期持仓明细!$AB$23*(SUMPRODUCT(分期持仓明细!$B$23:$Y$23,'实盘净值数据(iFinD）'!$B694:$Y694/'实盘净值数据(iFinD）'!$B$65:$Y$65)+SUMPRODUCT(分期持仓明细!$AC$23:$AD$23,'实盘净值数据(iFinD）'!$Z694:$AA694/'实盘净值数据(iFinD）'!$Z$65:$AA$65))*(1-实盘持仓初始配置!$Z$7)^(('实盘净值数据(iFinD）'!$A694-'实盘净值数据(iFinD）'!$A$8)/365))</f>
        <v/>
      </c>
      <c r="L694" s="16" t="str">
        <f t="shared" si="63"/>
        <v/>
      </c>
      <c r="M694" s="16" t="str">
        <f>IF(K694="","",K694/MAX(K$5:K694)-1)</f>
        <v/>
      </c>
      <c r="N694" s="13" t="str">
        <f>IF(OR('实盘净值数据(iFinD）'!$A694="",'实盘净值数据(iFinD）'!$B694="",'实盘净值数据(iFinD）'!$Z694="",'实盘净值数据(iFinD）'!$AA694=""),"",分期持仓明细!$AB$24*(SUMPRODUCT(分期持仓明细!$B$24:$Y$24,'实盘净值数据(iFinD）'!$B694:$Y694/'实盘净值数据(iFinD）'!$B$65:$Y$65)+SUMPRODUCT(分期持仓明细!$AC$24:$AD$24,'实盘净值数据(iFinD）'!$Z694:$AA694/'实盘净值数据(iFinD）'!$Z$65:$AA$65))*(1-实盘持仓初始配置!$Z$8)^(('实盘净值数据(iFinD）'!$A694-'实盘净值数据(iFinD）'!$A$5)/365))</f>
        <v/>
      </c>
      <c r="O694" s="16" t="str">
        <f t="shared" si="64"/>
        <v/>
      </c>
      <c r="P694" s="16" t="str">
        <f>IF(N694="","",N694/MAX(N$5:N694)-1)</f>
        <v/>
      </c>
      <c r="Q694" s="13" t="str">
        <f>IF(OR('实盘净值数据(iFinD）'!$A694="",'实盘净值数据(iFinD）'!$B694="",'实盘净值数据(iFinD）'!$Z694="",'实盘净值数据(iFinD）'!$AA694=""),"",分期持仓明细!$AB$25*(SUMPRODUCT(分期持仓明细!$B$25:$Y$25,'实盘净值数据(iFinD）'!$B694:$Y694/'实盘净值数据(iFinD）'!$B$65:$Y$65)+SUMPRODUCT(分期持仓明细!$AC$25:$AD$25,'实盘净值数据(iFinD）'!$Z694:$AA694/'实盘净值数据(iFinD）'!$Z$65:$AA$65))*(1-实盘持仓初始配置!$Z$9)^(('实盘净值数据(iFinD）'!$A694-'实盘净值数据(iFinD）'!$A$8)/365))</f>
        <v/>
      </c>
      <c r="R694" s="16" t="str">
        <f t="shared" si="65"/>
        <v/>
      </c>
      <c r="S694" s="16" t="str">
        <f>IF(Q694="","",Q694/MAX(Q$5:Q694)-1)</f>
        <v/>
      </c>
      <c r="T694" s="13">
        <f>IF(OR('实盘净值数据(iFinD）'!$A694="",'实盘净值数据(iFinD）'!$B694="",'实盘净值数据(iFinD）'!$Z694="",'实盘净值数据(iFinD）'!$AA694="",'实盘净值数据(iFinD）'!$AB694="",'实盘净值数据(iFinD）'!$AL694=""),"",(SUMPRODUCT(分期持仓明细!$B$26:$Y$26,'实盘净值数据(iFinD）'!$B694:$Y694/'实盘净值数据(iFinD）'!$B$69:$Y$69)+SUMPRODUCT(分期持仓明细!$AC$26:$AD$26,'实盘净值数据(iFinD）'!$Z694:$AA694/'实盘净值数据(iFinD）'!$Z$69:$AA$69)+SUMPRODUCT(分期持仓明细!$AE$26:$AO$26,'实盘净值数据(iFinD）'!$AB694:$AL694/'实盘净值数据(iFinD）'!$AB$69:$AL$69))*(1-实盘持仓初始配置!$Z$10)^(('实盘净值数据(iFinD）'!$A694-'实盘净值数据(iFinD）'!$A$69)/365))</f>
        <v/>
      </c>
      <c r="U694" s="16">
        <f>IF(OR(T693="",T694=""),"",T694/T693-1)</f>
        <v/>
      </c>
      <c r="V694" s="16">
        <f>IF(T694="","",T694/MAX(T$5:T694)-1)</f>
        <v/>
      </c>
    </row>
    <row r="695" spans="1:19">
      <c r="A695" s="15" t="str">
        <f>IF('实盘净值数据(iFinD）'!A695="","",'实盘净值数据(iFinD）'!A695)</f>
        <v/>
      </c>
      <c r="B695" s="13" t="str">
        <f>IF(OR('实盘净值数据(iFinD）'!$A695="",'实盘净值数据(iFinD）'!$B695=""),"",分期持仓明细!$AB$17*SUMPRODUCT(分期持仓明细!$B$17:$Y$17,'实盘净值数据(iFinD）'!$B695:$Y695/'实盘净值数据(iFinD）'!$B$20:$Y$20)*(1-实盘持仓初始配置!$Z$4)^(('实盘净值数据(iFinD）'!$A695-'实盘净值数据(iFinD）'!$A$6)/365))</f>
        <v/>
      </c>
      <c r="C695" s="16" t="str">
        <f t="shared" si="60"/>
        <v/>
      </c>
      <c r="D695" s="16" t="str">
        <f>IF(B695="","",B695/MAX(B$5:B695)-1)</f>
        <v/>
      </c>
      <c r="E695" s="13" t="str">
        <f>IF(OR('实盘净值数据(iFinD）'!$A695="",'实盘净值数据(iFinD）'!$B695=""),"",分期持仓明细!$AB$18*SUMPRODUCT(分期持仓明细!$B$18:$Y$18,'实盘净值数据(iFinD）'!$B695:$Y695/'实盘净值数据(iFinD）'!$B$20:$Y$20)*(1-实盘持仓初始配置!$Z$5)^(('实盘净值数据(iFinD）'!$A695-'实盘净值数据(iFinD）'!$A$5)/365))</f>
        <v/>
      </c>
      <c r="F695" s="16" t="str">
        <f t="shared" si="61"/>
        <v/>
      </c>
      <c r="G695" s="16" t="str">
        <f>IF(E695="","",E695/MAX(E$5:E695)-1)</f>
        <v/>
      </c>
      <c r="H695" s="13" t="str">
        <f>IF(OR('实盘净值数据(iFinD）'!$A695="",'实盘净值数据(iFinD）'!$B695=""),"",分期持仓明细!$AB$19*SUMPRODUCT(分期持仓明细!$B$19:$Y$19,'实盘净值数据(iFinD）'!$B695:$Y695/'实盘净值数据(iFinD）'!$B$20:$Y$20)*(1-实盘持仓初始配置!$Z$6)^(('实盘净值数据(iFinD）'!$A695-'实盘净值数据(iFinD）'!$A$7)/365))</f>
        <v/>
      </c>
      <c r="I695" s="16" t="str">
        <f t="shared" si="62"/>
        <v/>
      </c>
      <c r="J695" s="16" t="str">
        <f>IF(H695="","",H695/MAX(H$5:H695)-1)</f>
        <v/>
      </c>
      <c r="K695" s="13" t="str">
        <f>IF(OR('实盘净值数据(iFinD）'!$A695="",'实盘净值数据(iFinD）'!$B695="",'实盘净值数据(iFinD）'!$Z695="",'实盘净值数据(iFinD）'!$AA695=""),"",分期持仓明细!$AB$23*(SUMPRODUCT(分期持仓明细!$B$23:$Y$23,'实盘净值数据(iFinD）'!$B695:$Y695/'实盘净值数据(iFinD）'!$B$65:$Y$65)+SUMPRODUCT(分期持仓明细!$AC$23:$AD$23,'实盘净值数据(iFinD）'!$Z695:$AA695/'实盘净值数据(iFinD）'!$Z$65:$AA$65))*(1-实盘持仓初始配置!$Z$7)^(('实盘净值数据(iFinD）'!$A695-'实盘净值数据(iFinD）'!$A$8)/365))</f>
        <v/>
      </c>
      <c r="L695" s="16" t="str">
        <f t="shared" si="63"/>
        <v/>
      </c>
      <c r="M695" s="16" t="str">
        <f>IF(K695="","",K695/MAX(K$5:K695)-1)</f>
        <v/>
      </c>
      <c r="N695" s="13" t="str">
        <f>IF(OR('实盘净值数据(iFinD）'!$A695="",'实盘净值数据(iFinD）'!$B695="",'实盘净值数据(iFinD）'!$Z695="",'实盘净值数据(iFinD）'!$AA695=""),"",分期持仓明细!$AB$24*(SUMPRODUCT(分期持仓明细!$B$24:$Y$24,'实盘净值数据(iFinD）'!$B695:$Y695/'实盘净值数据(iFinD）'!$B$65:$Y$65)+SUMPRODUCT(分期持仓明细!$AC$24:$AD$24,'实盘净值数据(iFinD）'!$Z695:$AA695/'实盘净值数据(iFinD）'!$Z$65:$AA$65))*(1-实盘持仓初始配置!$Z$8)^(('实盘净值数据(iFinD）'!$A695-'实盘净值数据(iFinD）'!$A$5)/365))</f>
        <v/>
      </c>
      <c r="O695" s="16" t="str">
        <f t="shared" si="64"/>
        <v/>
      </c>
      <c r="P695" s="16" t="str">
        <f>IF(N695="","",N695/MAX(N$5:N695)-1)</f>
        <v/>
      </c>
      <c r="Q695" s="13" t="str">
        <f>IF(OR('实盘净值数据(iFinD）'!$A695="",'实盘净值数据(iFinD）'!$B695="",'实盘净值数据(iFinD）'!$Z695="",'实盘净值数据(iFinD）'!$AA695=""),"",分期持仓明细!$AB$25*(SUMPRODUCT(分期持仓明细!$B$25:$Y$25,'实盘净值数据(iFinD）'!$B695:$Y695/'实盘净值数据(iFinD）'!$B$65:$Y$65)+SUMPRODUCT(分期持仓明细!$AC$25:$AD$25,'实盘净值数据(iFinD）'!$Z695:$AA695/'实盘净值数据(iFinD）'!$Z$65:$AA$65))*(1-实盘持仓初始配置!$Z$9)^(('实盘净值数据(iFinD）'!$A695-'实盘净值数据(iFinD）'!$A$8)/365))</f>
        <v/>
      </c>
      <c r="R695" s="16" t="str">
        <f t="shared" si="65"/>
        <v/>
      </c>
      <c r="S695" s="16" t="str">
        <f>IF(Q695="","",Q695/MAX(Q$5:Q695)-1)</f>
        <v/>
      </c>
      <c r="T695" s="13">
        <f>IF(OR('实盘净值数据(iFinD）'!$A695="",'实盘净值数据(iFinD）'!$B695="",'实盘净值数据(iFinD）'!$Z695="",'实盘净值数据(iFinD）'!$AA695="",'实盘净值数据(iFinD）'!$AB695="",'实盘净值数据(iFinD）'!$AL695=""),"",(SUMPRODUCT(分期持仓明细!$B$26:$Y$26,'实盘净值数据(iFinD）'!$B695:$Y695/'实盘净值数据(iFinD）'!$B$69:$Y$69)+SUMPRODUCT(分期持仓明细!$AC$26:$AD$26,'实盘净值数据(iFinD）'!$Z695:$AA695/'实盘净值数据(iFinD）'!$Z$69:$AA$69)+SUMPRODUCT(分期持仓明细!$AE$26:$AO$26,'实盘净值数据(iFinD）'!$AB695:$AL695/'实盘净值数据(iFinD）'!$AB$69:$AL$69))*(1-实盘持仓初始配置!$Z$10)^(('实盘净值数据(iFinD）'!$A695-'实盘净值数据(iFinD）'!$A$69)/365))</f>
        <v/>
      </c>
      <c r="U695" s="16">
        <f>IF(OR(T694="",T695=""),"",T695/T694-1)</f>
        <v/>
      </c>
      <c r="V695" s="16">
        <f>IF(T695="","",T695/MAX(T$5:T695)-1)</f>
        <v/>
      </c>
    </row>
    <row r="696" spans="1:19">
      <c r="A696" s="15" t="str">
        <f>IF('实盘净值数据(iFinD）'!A696="","",'实盘净值数据(iFinD）'!A696)</f>
        <v/>
      </c>
      <c r="B696" s="13" t="str">
        <f>IF(OR('实盘净值数据(iFinD）'!$A696="",'实盘净值数据(iFinD）'!$B696=""),"",分期持仓明细!$AB$17*SUMPRODUCT(分期持仓明细!$B$17:$Y$17,'实盘净值数据(iFinD）'!$B696:$Y696/'实盘净值数据(iFinD）'!$B$20:$Y$20)*(1-实盘持仓初始配置!$Z$4)^(('实盘净值数据(iFinD）'!$A696-'实盘净值数据(iFinD）'!$A$6)/365))</f>
        <v/>
      </c>
      <c r="C696" s="16" t="str">
        <f t="shared" si="60"/>
        <v/>
      </c>
      <c r="D696" s="16" t="str">
        <f>IF(B696="","",B696/MAX(B$5:B696)-1)</f>
        <v/>
      </c>
      <c r="E696" s="13" t="str">
        <f>IF(OR('实盘净值数据(iFinD）'!$A696="",'实盘净值数据(iFinD）'!$B696=""),"",分期持仓明细!$AB$18*SUMPRODUCT(分期持仓明细!$B$18:$Y$18,'实盘净值数据(iFinD）'!$B696:$Y696/'实盘净值数据(iFinD）'!$B$20:$Y$20)*(1-实盘持仓初始配置!$Z$5)^(('实盘净值数据(iFinD）'!$A696-'实盘净值数据(iFinD）'!$A$5)/365))</f>
        <v/>
      </c>
      <c r="F696" s="16" t="str">
        <f t="shared" si="61"/>
        <v/>
      </c>
      <c r="G696" s="16" t="str">
        <f>IF(E696="","",E696/MAX(E$5:E696)-1)</f>
        <v/>
      </c>
      <c r="H696" s="13" t="str">
        <f>IF(OR('实盘净值数据(iFinD）'!$A696="",'实盘净值数据(iFinD）'!$B696=""),"",分期持仓明细!$AB$19*SUMPRODUCT(分期持仓明细!$B$19:$Y$19,'实盘净值数据(iFinD）'!$B696:$Y696/'实盘净值数据(iFinD）'!$B$20:$Y$20)*(1-实盘持仓初始配置!$Z$6)^(('实盘净值数据(iFinD）'!$A696-'实盘净值数据(iFinD）'!$A$7)/365))</f>
        <v/>
      </c>
      <c r="I696" s="16" t="str">
        <f t="shared" si="62"/>
        <v/>
      </c>
      <c r="J696" s="16" t="str">
        <f>IF(H696="","",H696/MAX(H$5:H696)-1)</f>
        <v/>
      </c>
      <c r="K696" s="13" t="str">
        <f>IF(OR('实盘净值数据(iFinD）'!$A696="",'实盘净值数据(iFinD）'!$B696="",'实盘净值数据(iFinD）'!$Z696="",'实盘净值数据(iFinD）'!$AA696=""),"",分期持仓明细!$AB$23*(SUMPRODUCT(分期持仓明细!$B$23:$Y$23,'实盘净值数据(iFinD）'!$B696:$Y696/'实盘净值数据(iFinD）'!$B$65:$Y$65)+SUMPRODUCT(分期持仓明细!$AC$23:$AD$23,'实盘净值数据(iFinD）'!$Z696:$AA696/'实盘净值数据(iFinD）'!$Z$65:$AA$65))*(1-实盘持仓初始配置!$Z$7)^(('实盘净值数据(iFinD）'!$A696-'实盘净值数据(iFinD）'!$A$8)/365))</f>
        <v/>
      </c>
      <c r="L696" s="16" t="str">
        <f t="shared" si="63"/>
        <v/>
      </c>
      <c r="M696" s="16" t="str">
        <f>IF(K696="","",K696/MAX(K$5:K696)-1)</f>
        <v/>
      </c>
      <c r="N696" s="13" t="str">
        <f>IF(OR('实盘净值数据(iFinD）'!$A696="",'实盘净值数据(iFinD）'!$B696="",'实盘净值数据(iFinD）'!$Z696="",'实盘净值数据(iFinD）'!$AA696=""),"",分期持仓明细!$AB$24*(SUMPRODUCT(分期持仓明细!$B$24:$Y$24,'实盘净值数据(iFinD）'!$B696:$Y696/'实盘净值数据(iFinD）'!$B$65:$Y$65)+SUMPRODUCT(分期持仓明细!$AC$24:$AD$24,'实盘净值数据(iFinD）'!$Z696:$AA696/'实盘净值数据(iFinD）'!$Z$65:$AA$65))*(1-实盘持仓初始配置!$Z$8)^(('实盘净值数据(iFinD）'!$A696-'实盘净值数据(iFinD）'!$A$5)/365))</f>
        <v/>
      </c>
      <c r="O696" s="16" t="str">
        <f t="shared" si="64"/>
        <v/>
      </c>
      <c r="P696" s="16" t="str">
        <f>IF(N696="","",N696/MAX(N$5:N696)-1)</f>
        <v/>
      </c>
      <c r="Q696" s="13" t="str">
        <f>IF(OR('实盘净值数据(iFinD）'!$A696="",'实盘净值数据(iFinD）'!$B696="",'实盘净值数据(iFinD）'!$Z696="",'实盘净值数据(iFinD）'!$AA696=""),"",分期持仓明细!$AB$25*(SUMPRODUCT(分期持仓明细!$B$25:$Y$25,'实盘净值数据(iFinD）'!$B696:$Y696/'实盘净值数据(iFinD）'!$B$65:$Y$65)+SUMPRODUCT(分期持仓明细!$AC$25:$AD$25,'实盘净值数据(iFinD）'!$Z696:$AA696/'实盘净值数据(iFinD）'!$Z$65:$AA$65))*(1-实盘持仓初始配置!$Z$9)^(('实盘净值数据(iFinD）'!$A696-'实盘净值数据(iFinD）'!$A$8)/365))</f>
        <v/>
      </c>
      <c r="R696" s="16" t="str">
        <f t="shared" si="65"/>
        <v/>
      </c>
      <c r="S696" s="16" t="str">
        <f>IF(Q696="","",Q696/MAX(Q$5:Q696)-1)</f>
        <v/>
      </c>
      <c r="T696" s="13">
        <f>IF(OR('实盘净值数据(iFinD）'!$A696="",'实盘净值数据(iFinD）'!$B696="",'实盘净值数据(iFinD）'!$Z696="",'实盘净值数据(iFinD）'!$AA696="",'实盘净值数据(iFinD）'!$AB696="",'实盘净值数据(iFinD）'!$AL696=""),"",(SUMPRODUCT(分期持仓明细!$B$26:$Y$26,'实盘净值数据(iFinD）'!$B696:$Y696/'实盘净值数据(iFinD）'!$B$69:$Y$69)+SUMPRODUCT(分期持仓明细!$AC$26:$AD$26,'实盘净值数据(iFinD）'!$Z696:$AA696/'实盘净值数据(iFinD）'!$Z$69:$AA$69)+SUMPRODUCT(分期持仓明细!$AE$26:$AO$26,'实盘净值数据(iFinD）'!$AB696:$AL696/'实盘净值数据(iFinD）'!$AB$69:$AL$69))*(1-实盘持仓初始配置!$Z$10)^(('实盘净值数据(iFinD）'!$A696-'实盘净值数据(iFinD）'!$A$69)/365))</f>
        <v/>
      </c>
      <c r="U696" s="16">
        <f>IF(OR(T695="",T696=""),"",T696/T695-1)</f>
        <v/>
      </c>
      <c r="V696" s="16">
        <f>IF(T696="","",T696/MAX(T$5:T696)-1)</f>
        <v/>
      </c>
    </row>
    <row r="697" spans="1:19">
      <c r="A697" s="15" t="str">
        <f>IF('实盘净值数据(iFinD）'!A697="","",'实盘净值数据(iFinD）'!A697)</f>
        <v/>
      </c>
      <c r="B697" s="13" t="str">
        <f>IF(OR('实盘净值数据(iFinD）'!$A697="",'实盘净值数据(iFinD）'!$B697=""),"",分期持仓明细!$AB$17*SUMPRODUCT(分期持仓明细!$B$17:$Y$17,'实盘净值数据(iFinD）'!$B697:$Y697/'实盘净值数据(iFinD）'!$B$20:$Y$20)*(1-实盘持仓初始配置!$Z$4)^(('实盘净值数据(iFinD）'!$A697-'实盘净值数据(iFinD）'!$A$6)/365))</f>
        <v/>
      </c>
      <c r="C697" s="16" t="str">
        <f t="shared" si="60"/>
        <v/>
      </c>
      <c r="D697" s="16" t="str">
        <f>IF(B697="","",B697/MAX(B$5:B697)-1)</f>
        <v/>
      </c>
      <c r="E697" s="13" t="str">
        <f>IF(OR('实盘净值数据(iFinD）'!$A697="",'实盘净值数据(iFinD）'!$B697=""),"",分期持仓明细!$AB$18*SUMPRODUCT(分期持仓明细!$B$18:$Y$18,'实盘净值数据(iFinD）'!$B697:$Y697/'实盘净值数据(iFinD）'!$B$20:$Y$20)*(1-实盘持仓初始配置!$Z$5)^(('实盘净值数据(iFinD）'!$A697-'实盘净值数据(iFinD）'!$A$5)/365))</f>
        <v/>
      </c>
      <c r="F697" s="16" t="str">
        <f t="shared" si="61"/>
        <v/>
      </c>
      <c r="G697" s="16" t="str">
        <f>IF(E697="","",E697/MAX(E$5:E697)-1)</f>
        <v/>
      </c>
      <c r="H697" s="13" t="str">
        <f>IF(OR('实盘净值数据(iFinD）'!$A697="",'实盘净值数据(iFinD）'!$B697=""),"",分期持仓明细!$AB$19*SUMPRODUCT(分期持仓明细!$B$19:$Y$19,'实盘净值数据(iFinD）'!$B697:$Y697/'实盘净值数据(iFinD）'!$B$20:$Y$20)*(1-实盘持仓初始配置!$Z$6)^(('实盘净值数据(iFinD）'!$A697-'实盘净值数据(iFinD）'!$A$7)/365))</f>
        <v/>
      </c>
      <c r="I697" s="16" t="str">
        <f t="shared" si="62"/>
        <v/>
      </c>
      <c r="J697" s="16" t="str">
        <f>IF(H697="","",H697/MAX(H$5:H697)-1)</f>
        <v/>
      </c>
      <c r="K697" s="13" t="str">
        <f>IF(OR('实盘净值数据(iFinD）'!$A697="",'实盘净值数据(iFinD）'!$B697="",'实盘净值数据(iFinD）'!$Z697="",'实盘净值数据(iFinD）'!$AA697=""),"",分期持仓明细!$AB$23*(SUMPRODUCT(分期持仓明细!$B$23:$Y$23,'实盘净值数据(iFinD）'!$B697:$Y697/'实盘净值数据(iFinD）'!$B$65:$Y$65)+SUMPRODUCT(分期持仓明细!$AC$23:$AD$23,'实盘净值数据(iFinD）'!$Z697:$AA697/'实盘净值数据(iFinD）'!$Z$65:$AA$65))*(1-实盘持仓初始配置!$Z$7)^(('实盘净值数据(iFinD）'!$A697-'实盘净值数据(iFinD）'!$A$8)/365))</f>
        <v/>
      </c>
      <c r="L697" s="16" t="str">
        <f t="shared" si="63"/>
        <v/>
      </c>
      <c r="M697" s="16" t="str">
        <f>IF(K697="","",K697/MAX(K$5:K697)-1)</f>
        <v/>
      </c>
      <c r="N697" s="13" t="str">
        <f>IF(OR('实盘净值数据(iFinD）'!$A697="",'实盘净值数据(iFinD）'!$B697="",'实盘净值数据(iFinD）'!$Z697="",'实盘净值数据(iFinD）'!$AA697=""),"",分期持仓明细!$AB$24*(SUMPRODUCT(分期持仓明细!$B$24:$Y$24,'实盘净值数据(iFinD）'!$B697:$Y697/'实盘净值数据(iFinD）'!$B$65:$Y$65)+SUMPRODUCT(分期持仓明细!$AC$24:$AD$24,'实盘净值数据(iFinD）'!$Z697:$AA697/'实盘净值数据(iFinD）'!$Z$65:$AA$65))*(1-实盘持仓初始配置!$Z$8)^(('实盘净值数据(iFinD）'!$A697-'实盘净值数据(iFinD）'!$A$5)/365))</f>
        <v/>
      </c>
      <c r="O697" s="16" t="str">
        <f t="shared" si="64"/>
        <v/>
      </c>
      <c r="P697" s="16" t="str">
        <f>IF(N697="","",N697/MAX(N$5:N697)-1)</f>
        <v/>
      </c>
      <c r="Q697" s="13" t="str">
        <f>IF(OR('实盘净值数据(iFinD）'!$A697="",'实盘净值数据(iFinD）'!$B697="",'实盘净值数据(iFinD）'!$Z697="",'实盘净值数据(iFinD）'!$AA697=""),"",分期持仓明细!$AB$25*(SUMPRODUCT(分期持仓明细!$B$25:$Y$25,'实盘净值数据(iFinD）'!$B697:$Y697/'实盘净值数据(iFinD）'!$B$65:$Y$65)+SUMPRODUCT(分期持仓明细!$AC$25:$AD$25,'实盘净值数据(iFinD）'!$Z697:$AA697/'实盘净值数据(iFinD）'!$Z$65:$AA$65))*(1-实盘持仓初始配置!$Z$9)^(('实盘净值数据(iFinD）'!$A697-'实盘净值数据(iFinD）'!$A$8)/365))</f>
        <v/>
      </c>
      <c r="R697" s="16" t="str">
        <f t="shared" si="65"/>
        <v/>
      </c>
      <c r="S697" s="16" t="str">
        <f>IF(Q697="","",Q697/MAX(Q$5:Q697)-1)</f>
        <v/>
      </c>
      <c r="T697" s="13">
        <f>IF(OR('实盘净值数据(iFinD）'!$A697="",'实盘净值数据(iFinD）'!$B697="",'实盘净值数据(iFinD）'!$Z697="",'实盘净值数据(iFinD）'!$AA697="",'实盘净值数据(iFinD）'!$AB697="",'实盘净值数据(iFinD）'!$AL697=""),"",(SUMPRODUCT(分期持仓明细!$B$26:$Y$26,'实盘净值数据(iFinD）'!$B697:$Y697/'实盘净值数据(iFinD）'!$B$69:$Y$69)+SUMPRODUCT(分期持仓明细!$AC$26:$AD$26,'实盘净值数据(iFinD）'!$Z697:$AA697/'实盘净值数据(iFinD）'!$Z$69:$AA$69)+SUMPRODUCT(分期持仓明细!$AE$26:$AO$26,'实盘净值数据(iFinD）'!$AB697:$AL697/'实盘净值数据(iFinD）'!$AB$69:$AL$69))*(1-实盘持仓初始配置!$Z$10)^(('实盘净值数据(iFinD）'!$A697-'实盘净值数据(iFinD）'!$A$69)/365))</f>
        <v/>
      </c>
      <c r="U697" s="16">
        <f>IF(OR(T696="",T697=""),"",T697/T696-1)</f>
        <v/>
      </c>
      <c r="V697" s="16">
        <f>IF(T697="","",T697/MAX(T$5:T697)-1)</f>
        <v/>
      </c>
    </row>
    <row r="698" spans="1:19">
      <c r="A698" s="15" t="str">
        <f>IF('实盘净值数据(iFinD）'!A698="","",'实盘净值数据(iFinD）'!A698)</f>
        <v/>
      </c>
      <c r="B698" s="13" t="str">
        <f>IF(OR('实盘净值数据(iFinD）'!$A698="",'实盘净值数据(iFinD）'!$B698=""),"",分期持仓明细!$AB$17*SUMPRODUCT(分期持仓明细!$B$17:$Y$17,'实盘净值数据(iFinD）'!$B698:$Y698/'实盘净值数据(iFinD）'!$B$20:$Y$20)*(1-实盘持仓初始配置!$Z$4)^(('实盘净值数据(iFinD）'!$A698-'实盘净值数据(iFinD）'!$A$6)/365))</f>
        <v/>
      </c>
      <c r="C698" s="16" t="str">
        <f t="shared" si="60"/>
        <v/>
      </c>
      <c r="D698" s="16" t="str">
        <f>IF(B698="","",B698/MAX(B$5:B698)-1)</f>
        <v/>
      </c>
      <c r="E698" s="13" t="str">
        <f>IF(OR('实盘净值数据(iFinD）'!$A698="",'实盘净值数据(iFinD）'!$B698=""),"",分期持仓明细!$AB$18*SUMPRODUCT(分期持仓明细!$B$18:$Y$18,'实盘净值数据(iFinD）'!$B698:$Y698/'实盘净值数据(iFinD）'!$B$20:$Y$20)*(1-实盘持仓初始配置!$Z$5)^(('实盘净值数据(iFinD）'!$A698-'实盘净值数据(iFinD）'!$A$5)/365))</f>
        <v/>
      </c>
      <c r="F698" s="16" t="str">
        <f t="shared" si="61"/>
        <v/>
      </c>
      <c r="G698" s="16" t="str">
        <f>IF(E698="","",E698/MAX(E$5:E698)-1)</f>
        <v/>
      </c>
      <c r="H698" s="13" t="str">
        <f>IF(OR('实盘净值数据(iFinD）'!$A698="",'实盘净值数据(iFinD）'!$B698=""),"",分期持仓明细!$AB$19*SUMPRODUCT(分期持仓明细!$B$19:$Y$19,'实盘净值数据(iFinD）'!$B698:$Y698/'实盘净值数据(iFinD）'!$B$20:$Y$20)*(1-实盘持仓初始配置!$Z$6)^(('实盘净值数据(iFinD）'!$A698-'实盘净值数据(iFinD）'!$A$7)/365))</f>
        <v/>
      </c>
      <c r="I698" s="16" t="str">
        <f t="shared" si="62"/>
        <v/>
      </c>
      <c r="J698" s="16" t="str">
        <f>IF(H698="","",H698/MAX(H$5:H698)-1)</f>
        <v/>
      </c>
      <c r="K698" s="13" t="str">
        <f>IF(OR('实盘净值数据(iFinD）'!$A698="",'实盘净值数据(iFinD）'!$B698="",'实盘净值数据(iFinD）'!$Z698="",'实盘净值数据(iFinD）'!$AA698=""),"",分期持仓明细!$AB$23*(SUMPRODUCT(分期持仓明细!$B$23:$Y$23,'实盘净值数据(iFinD）'!$B698:$Y698/'实盘净值数据(iFinD）'!$B$65:$Y$65)+SUMPRODUCT(分期持仓明细!$AC$23:$AD$23,'实盘净值数据(iFinD）'!$Z698:$AA698/'实盘净值数据(iFinD）'!$Z$65:$AA$65))*(1-实盘持仓初始配置!$Z$7)^(('实盘净值数据(iFinD）'!$A698-'实盘净值数据(iFinD）'!$A$8)/365))</f>
        <v/>
      </c>
      <c r="L698" s="16" t="str">
        <f t="shared" si="63"/>
        <v/>
      </c>
      <c r="M698" s="16" t="str">
        <f>IF(K698="","",K698/MAX(K$5:K698)-1)</f>
        <v/>
      </c>
      <c r="N698" s="13" t="str">
        <f>IF(OR('实盘净值数据(iFinD）'!$A698="",'实盘净值数据(iFinD）'!$B698="",'实盘净值数据(iFinD）'!$Z698="",'实盘净值数据(iFinD）'!$AA698=""),"",分期持仓明细!$AB$24*(SUMPRODUCT(分期持仓明细!$B$24:$Y$24,'实盘净值数据(iFinD）'!$B698:$Y698/'实盘净值数据(iFinD）'!$B$65:$Y$65)+SUMPRODUCT(分期持仓明细!$AC$24:$AD$24,'实盘净值数据(iFinD）'!$Z698:$AA698/'实盘净值数据(iFinD）'!$Z$65:$AA$65))*(1-实盘持仓初始配置!$Z$8)^(('实盘净值数据(iFinD）'!$A698-'实盘净值数据(iFinD）'!$A$5)/365))</f>
        <v/>
      </c>
      <c r="O698" s="16" t="str">
        <f t="shared" si="64"/>
        <v/>
      </c>
      <c r="P698" s="16" t="str">
        <f>IF(N698="","",N698/MAX(N$5:N698)-1)</f>
        <v/>
      </c>
      <c r="Q698" s="13" t="str">
        <f>IF(OR('实盘净值数据(iFinD）'!$A698="",'实盘净值数据(iFinD）'!$B698="",'实盘净值数据(iFinD）'!$Z698="",'实盘净值数据(iFinD）'!$AA698=""),"",分期持仓明细!$AB$25*(SUMPRODUCT(分期持仓明细!$B$25:$Y$25,'实盘净值数据(iFinD）'!$B698:$Y698/'实盘净值数据(iFinD）'!$B$65:$Y$65)+SUMPRODUCT(分期持仓明细!$AC$25:$AD$25,'实盘净值数据(iFinD）'!$Z698:$AA698/'实盘净值数据(iFinD）'!$Z$65:$AA$65))*(1-实盘持仓初始配置!$Z$9)^(('实盘净值数据(iFinD）'!$A698-'实盘净值数据(iFinD）'!$A$8)/365))</f>
        <v/>
      </c>
      <c r="R698" s="16" t="str">
        <f t="shared" si="65"/>
        <v/>
      </c>
      <c r="S698" s="16" t="str">
        <f>IF(Q698="","",Q698/MAX(Q$5:Q698)-1)</f>
        <v/>
      </c>
      <c r="T698" s="13">
        <f>IF(OR('实盘净值数据(iFinD）'!$A698="",'实盘净值数据(iFinD）'!$B698="",'实盘净值数据(iFinD）'!$Z698="",'实盘净值数据(iFinD）'!$AA698="",'实盘净值数据(iFinD）'!$AB698="",'实盘净值数据(iFinD）'!$AL698=""),"",(SUMPRODUCT(分期持仓明细!$B$26:$Y$26,'实盘净值数据(iFinD）'!$B698:$Y698/'实盘净值数据(iFinD）'!$B$69:$Y$69)+SUMPRODUCT(分期持仓明细!$AC$26:$AD$26,'实盘净值数据(iFinD）'!$Z698:$AA698/'实盘净值数据(iFinD）'!$Z$69:$AA$69)+SUMPRODUCT(分期持仓明细!$AE$26:$AO$26,'实盘净值数据(iFinD）'!$AB698:$AL698/'实盘净值数据(iFinD）'!$AB$69:$AL$69))*(1-实盘持仓初始配置!$Z$10)^(('实盘净值数据(iFinD）'!$A698-'实盘净值数据(iFinD）'!$A$69)/365))</f>
        <v/>
      </c>
      <c r="U698" s="16">
        <f>IF(OR(T697="",T698=""),"",T698/T697-1)</f>
        <v/>
      </c>
      <c r="V698" s="16">
        <f>IF(T698="","",T698/MAX(T$5:T698)-1)</f>
        <v/>
      </c>
    </row>
    <row r="699" spans="1:19">
      <c r="A699" s="15" t="str">
        <f>IF('实盘净值数据(iFinD）'!A699="","",'实盘净值数据(iFinD）'!A699)</f>
        <v/>
      </c>
      <c r="B699" s="13" t="str">
        <f>IF(OR('实盘净值数据(iFinD）'!$A699="",'实盘净值数据(iFinD）'!$B699=""),"",分期持仓明细!$AB$17*SUMPRODUCT(分期持仓明细!$B$17:$Y$17,'实盘净值数据(iFinD）'!$B699:$Y699/'实盘净值数据(iFinD）'!$B$20:$Y$20)*(1-实盘持仓初始配置!$Z$4)^(('实盘净值数据(iFinD）'!$A699-'实盘净值数据(iFinD）'!$A$6)/365))</f>
        <v/>
      </c>
      <c r="C699" s="16" t="str">
        <f t="shared" si="60"/>
        <v/>
      </c>
      <c r="D699" s="16" t="str">
        <f>IF(B699="","",B699/MAX(B$5:B699)-1)</f>
        <v/>
      </c>
      <c r="E699" s="13" t="str">
        <f>IF(OR('实盘净值数据(iFinD）'!$A699="",'实盘净值数据(iFinD）'!$B699=""),"",分期持仓明细!$AB$18*SUMPRODUCT(分期持仓明细!$B$18:$Y$18,'实盘净值数据(iFinD）'!$B699:$Y699/'实盘净值数据(iFinD）'!$B$20:$Y$20)*(1-实盘持仓初始配置!$Z$5)^(('实盘净值数据(iFinD）'!$A699-'实盘净值数据(iFinD）'!$A$5)/365))</f>
        <v/>
      </c>
      <c r="F699" s="16" t="str">
        <f t="shared" si="61"/>
        <v/>
      </c>
      <c r="G699" s="16" t="str">
        <f>IF(E699="","",E699/MAX(E$5:E699)-1)</f>
        <v/>
      </c>
      <c r="H699" s="13" t="str">
        <f>IF(OR('实盘净值数据(iFinD）'!$A699="",'实盘净值数据(iFinD）'!$B699=""),"",分期持仓明细!$AB$19*SUMPRODUCT(分期持仓明细!$B$19:$Y$19,'实盘净值数据(iFinD）'!$B699:$Y699/'实盘净值数据(iFinD）'!$B$20:$Y$20)*(1-实盘持仓初始配置!$Z$6)^(('实盘净值数据(iFinD）'!$A699-'实盘净值数据(iFinD）'!$A$7)/365))</f>
        <v/>
      </c>
      <c r="I699" s="16" t="str">
        <f t="shared" si="62"/>
        <v/>
      </c>
      <c r="J699" s="16" t="str">
        <f>IF(H699="","",H699/MAX(H$5:H699)-1)</f>
        <v/>
      </c>
      <c r="K699" s="13" t="str">
        <f>IF(OR('实盘净值数据(iFinD）'!$A699="",'实盘净值数据(iFinD）'!$B699="",'实盘净值数据(iFinD）'!$Z699="",'实盘净值数据(iFinD）'!$AA699=""),"",分期持仓明细!$AB$23*(SUMPRODUCT(分期持仓明细!$B$23:$Y$23,'实盘净值数据(iFinD）'!$B699:$Y699/'实盘净值数据(iFinD）'!$B$65:$Y$65)+SUMPRODUCT(分期持仓明细!$AC$23:$AD$23,'实盘净值数据(iFinD）'!$Z699:$AA699/'实盘净值数据(iFinD）'!$Z$65:$AA$65))*(1-实盘持仓初始配置!$Z$7)^(('实盘净值数据(iFinD）'!$A699-'实盘净值数据(iFinD）'!$A$8)/365))</f>
        <v/>
      </c>
      <c r="L699" s="16" t="str">
        <f t="shared" si="63"/>
        <v/>
      </c>
      <c r="M699" s="16" t="str">
        <f>IF(K699="","",K699/MAX(K$5:K699)-1)</f>
        <v/>
      </c>
      <c r="N699" s="13" t="str">
        <f>IF(OR('实盘净值数据(iFinD）'!$A699="",'实盘净值数据(iFinD）'!$B699="",'实盘净值数据(iFinD）'!$Z699="",'实盘净值数据(iFinD）'!$AA699=""),"",分期持仓明细!$AB$24*(SUMPRODUCT(分期持仓明细!$B$24:$Y$24,'实盘净值数据(iFinD）'!$B699:$Y699/'实盘净值数据(iFinD）'!$B$65:$Y$65)+SUMPRODUCT(分期持仓明细!$AC$24:$AD$24,'实盘净值数据(iFinD）'!$Z699:$AA699/'实盘净值数据(iFinD）'!$Z$65:$AA$65))*(1-实盘持仓初始配置!$Z$8)^(('实盘净值数据(iFinD）'!$A699-'实盘净值数据(iFinD）'!$A$5)/365))</f>
        <v/>
      </c>
      <c r="O699" s="16" t="str">
        <f t="shared" si="64"/>
        <v/>
      </c>
      <c r="P699" s="16" t="str">
        <f>IF(N699="","",N699/MAX(N$5:N699)-1)</f>
        <v/>
      </c>
      <c r="Q699" s="13" t="str">
        <f>IF(OR('实盘净值数据(iFinD）'!$A699="",'实盘净值数据(iFinD）'!$B699="",'实盘净值数据(iFinD）'!$Z699="",'实盘净值数据(iFinD）'!$AA699=""),"",分期持仓明细!$AB$25*(SUMPRODUCT(分期持仓明细!$B$25:$Y$25,'实盘净值数据(iFinD）'!$B699:$Y699/'实盘净值数据(iFinD）'!$B$65:$Y$65)+SUMPRODUCT(分期持仓明细!$AC$25:$AD$25,'实盘净值数据(iFinD）'!$Z699:$AA699/'实盘净值数据(iFinD）'!$Z$65:$AA$65))*(1-实盘持仓初始配置!$Z$9)^(('实盘净值数据(iFinD）'!$A699-'实盘净值数据(iFinD）'!$A$8)/365))</f>
        <v/>
      </c>
      <c r="R699" s="16" t="str">
        <f t="shared" si="65"/>
        <v/>
      </c>
      <c r="S699" s="16" t="str">
        <f>IF(Q699="","",Q699/MAX(Q$5:Q699)-1)</f>
        <v/>
      </c>
      <c r="T699" s="13">
        <f>IF(OR('实盘净值数据(iFinD）'!$A699="",'实盘净值数据(iFinD）'!$B699="",'实盘净值数据(iFinD）'!$Z699="",'实盘净值数据(iFinD）'!$AA699="",'实盘净值数据(iFinD）'!$AB699="",'实盘净值数据(iFinD）'!$AL699=""),"",(SUMPRODUCT(分期持仓明细!$B$26:$Y$26,'实盘净值数据(iFinD）'!$B699:$Y699/'实盘净值数据(iFinD）'!$B$69:$Y$69)+SUMPRODUCT(分期持仓明细!$AC$26:$AD$26,'实盘净值数据(iFinD）'!$Z699:$AA699/'实盘净值数据(iFinD）'!$Z$69:$AA$69)+SUMPRODUCT(分期持仓明细!$AE$26:$AO$26,'实盘净值数据(iFinD）'!$AB699:$AL699/'实盘净值数据(iFinD）'!$AB$69:$AL$69))*(1-实盘持仓初始配置!$Z$10)^(('实盘净值数据(iFinD）'!$A699-'实盘净值数据(iFinD）'!$A$69)/365))</f>
        <v/>
      </c>
      <c r="U699" s="16">
        <f>IF(OR(T698="",T699=""),"",T699/T698-1)</f>
        <v/>
      </c>
      <c r="V699" s="16">
        <f>IF(T699="","",T699/MAX(T$5:T699)-1)</f>
        <v/>
      </c>
    </row>
    <row r="700" spans="1:19">
      <c r="A700" s="15" t="str">
        <f>IF('实盘净值数据(iFinD）'!A700="","",'实盘净值数据(iFinD）'!A700)</f>
        <v/>
      </c>
      <c r="B700" s="13" t="str">
        <f>IF(OR('实盘净值数据(iFinD）'!$A700="",'实盘净值数据(iFinD）'!$B700=""),"",分期持仓明细!$AB$17*SUMPRODUCT(分期持仓明细!$B$17:$Y$17,'实盘净值数据(iFinD）'!$B700:$Y700/'实盘净值数据(iFinD）'!$B$20:$Y$20)*(1-实盘持仓初始配置!$Z$4)^(('实盘净值数据(iFinD）'!$A700-'实盘净值数据(iFinD）'!$A$6)/365))</f>
        <v/>
      </c>
      <c r="C700" s="16" t="str">
        <f t="shared" ref="C700:C763" si="66">IF(OR(B699="",B700=""),"",B700/B699-1)</f>
        <v/>
      </c>
      <c r="D700" s="16" t="str">
        <f>IF(B700="","",B700/MAX(B$5:B700)-1)</f>
        <v/>
      </c>
      <c r="E700" s="13" t="str">
        <f>IF(OR('实盘净值数据(iFinD）'!$A700="",'实盘净值数据(iFinD）'!$B700=""),"",分期持仓明细!$AB$18*SUMPRODUCT(分期持仓明细!$B$18:$Y$18,'实盘净值数据(iFinD）'!$B700:$Y700/'实盘净值数据(iFinD）'!$B$20:$Y$20)*(1-实盘持仓初始配置!$Z$5)^(('实盘净值数据(iFinD）'!$A700-'实盘净值数据(iFinD）'!$A$5)/365))</f>
        <v/>
      </c>
      <c r="F700" s="16" t="str">
        <f t="shared" ref="F700:F763" si="67">IF(OR(E699="",E700=""),"",E700/E699-1)</f>
        <v/>
      </c>
      <c r="G700" s="16" t="str">
        <f>IF(E700="","",E700/MAX(E$5:E700)-1)</f>
        <v/>
      </c>
      <c r="H700" s="13" t="str">
        <f>IF(OR('实盘净值数据(iFinD）'!$A700="",'实盘净值数据(iFinD）'!$B700=""),"",分期持仓明细!$AB$19*SUMPRODUCT(分期持仓明细!$B$19:$Y$19,'实盘净值数据(iFinD）'!$B700:$Y700/'实盘净值数据(iFinD）'!$B$20:$Y$20)*(1-实盘持仓初始配置!$Z$6)^(('实盘净值数据(iFinD）'!$A700-'实盘净值数据(iFinD）'!$A$7)/365))</f>
        <v/>
      </c>
      <c r="I700" s="16" t="str">
        <f t="shared" ref="I700:I763" si="68">IF(OR(H699="",H700=""),"",H700/H699-1)</f>
        <v/>
      </c>
      <c r="J700" s="16" t="str">
        <f>IF(H700="","",H700/MAX(H$5:H700)-1)</f>
        <v/>
      </c>
      <c r="K700" s="13" t="str">
        <f>IF(OR('实盘净值数据(iFinD）'!$A700="",'实盘净值数据(iFinD）'!$B700="",'实盘净值数据(iFinD）'!$Z700="",'实盘净值数据(iFinD）'!$AA700=""),"",分期持仓明细!$AB$23*(SUMPRODUCT(分期持仓明细!$B$23:$Y$23,'实盘净值数据(iFinD）'!$B700:$Y700/'实盘净值数据(iFinD）'!$B$65:$Y$65)+SUMPRODUCT(分期持仓明细!$AC$23:$AD$23,'实盘净值数据(iFinD）'!$Z700:$AA700/'实盘净值数据(iFinD）'!$Z$65:$AA$65))*(1-实盘持仓初始配置!$Z$7)^(('实盘净值数据(iFinD）'!$A700-'实盘净值数据(iFinD）'!$A$8)/365))</f>
        <v/>
      </c>
      <c r="L700" s="16" t="str">
        <f t="shared" ref="L700:L763" si="69">IF(OR(K699="",K700=""),"",K700/K699-1)</f>
        <v/>
      </c>
      <c r="M700" s="16" t="str">
        <f>IF(K700="","",K700/MAX(K$5:K700)-1)</f>
        <v/>
      </c>
      <c r="N700" s="13" t="str">
        <f>IF(OR('实盘净值数据(iFinD）'!$A700="",'实盘净值数据(iFinD）'!$B700="",'实盘净值数据(iFinD）'!$Z700="",'实盘净值数据(iFinD）'!$AA700=""),"",分期持仓明细!$AB$24*(SUMPRODUCT(分期持仓明细!$B$24:$Y$24,'实盘净值数据(iFinD）'!$B700:$Y700/'实盘净值数据(iFinD）'!$B$65:$Y$65)+SUMPRODUCT(分期持仓明细!$AC$24:$AD$24,'实盘净值数据(iFinD）'!$Z700:$AA700/'实盘净值数据(iFinD）'!$Z$65:$AA$65))*(1-实盘持仓初始配置!$Z$8)^(('实盘净值数据(iFinD）'!$A700-'实盘净值数据(iFinD）'!$A$5)/365))</f>
        <v/>
      </c>
      <c r="O700" s="16" t="str">
        <f t="shared" ref="O700:O763" si="70">IF(OR(N699="",N700=""),"",N700/N699-1)</f>
        <v/>
      </c>
      <c r="P700" s="16" t="str">
        <f>IF(N700="","",N700/MAX(N$5:N700)-1)</f>
        <v/>
      </c>
      <c r="Q700" s="13" t="str">
        <f>IF(OR('实盘净值数据(iFinD）'!$A700="",'实盘净值数据(iFinD）'!$B700="",'实盘净值数据(iFinD）'!$Z700="",'实盘净值数据(iFinD）'!$AA700=""),"",分期持仓明细!$AB$25*(SUMPRODUCT(分期持仓明细!$B$25:$Y$25,'实盘净值数据(iFinD）'!$B700:$Y700/'实盘净值数据(iFinD）'!$B$65:$Y$65)+SUMPRODUCT(分期持仓明细!$AC$25:$AD$25,'实盘净值数据(iFinD）'!$Z700:$AA700/'实盘净值数据(iFinD）'!$Z$65:$AA$65))*(1-实盘持仓初始配置!$Z$9)^(('实盘净值数据(iFinD）'!$A700-'实盘净值数据(iFinD）'!$A$8)/365))</f>
        <v/>
      </c>
      <c r="R700" s="16" t="str">
        <f t="shared" ref="R700:R763" si="71">IF(OR(Q699="",Q700=""),"",Q700/Q699-1)</f>
        <v/>
      </c>
      <c r="S700" s="16" t="str">
        <f>IF(Q700="","",Q700/MAX(Q$5:Q700)-1)</f>
        <v/>
      </c>
      <c r="T700" s="13">
        <f>IF(OR('实盘净值数据(iFinD）'!$A700="",'实盘净值数据(iFinD）'!$B700="",'实盘净值数据(iFinD）'!$Z700="",'实盘净值数据(iFinD）'!$AA700="",'实盘净值数据(iFinD）'!$AB700="",'实盘净值数据(iFinD）'!$AL700=""),"",(SUMPRODUCT(分期持仓明细!$B$26:$Y$26,'实盘净值数据(iFinD）'!$B700:$Y700/'实盘净值数据(iFinD）'!$B$69:$Y$69)+SUMPRODUCT(分期持仓明细!$AC$26:$AD$26,'实盘净值数据(iFinD）'!$Z700:$AA700/'实盘净值数据(iFinD）'!$Z$69:$AA$69)+SUMPRODUCT(分期持仓明细!$AE$26:$AO$26,'实盘净值数据(iFinD）'!$AB700:$AL700/'实盘净值数据(iFinD）'!$AB$69:$AL$69))*(1-实盘持仓初始配置!$Z$10)^(('实盘净值数据(iFinD）'!$A700-'实盘净值数据(iFinD）'!$A$69)/365))</f>
        <v/>
      </c>
      <c r="U700" s="16">
        <f>IF(OR(T699="",T700=""),"",T700/T699-1)</f>
        <v/>
      </c>
      <c r="V700" s="16">
        <f>IF(T700="","",T700/MAX(T$5:T700)-1)</f>
        <v/>
      </c>
    </row>
    <row r="701" spans="1:19">
      <c r="A701" s="15" t="str">
        <f>IF('实盘净值数据(iFinD）'!A701="","",'实盘净值数据(iFinD）'!A701)</f>
        <v/>
      </c>
      <c r="B701" s="13" t="str">
        <f>IF(OR('实盘净值数据(iFinD）'!$A701="",'实盘净值数据(iFinD）'!$B701=""),"",分期持仓明细!$AB$17*SUMPRODUCT(分期持仓明细!$B$17:$Y$17,'实盘净值数据(iFinD）'!$B701:$Y701/'实盘净值数据(iFinD）'!$B$20:$Y$20)*(1-实盘持仓初始配置!$Z$4)^(('实盘净值数据(iFinD）'!$A701-'实盘净值数据(iFinD）'!$A$6)/365))</f>
        <v/>
      </c>
      <c r="C701" s="16" t="str">
        <f t="shared" si="66"/>
        <v/>
      </c>
      <c r="D701" s="16" t="str">
        <f>IF(B701="","",B701/MAX(B$5:B701)-1)</f>
        <v/>
      </c>
      <c r="E701" s="13" t="str">
        <f>IF(OR('实盘净值数据(iFinD）'!$A701="",'实盘净值数据(iFinD）'!$B701=""),"",分期持仓明细!$AB$18*SUMPRODUCT(分期持仓明细!$B$18:$Y$18,'实盘净值数据(iFinD）'!$B701:$Y701/'实盘净值数据(iFinD）'!$B$20:$Y$20)*(1-实盘持仓初始配置!$Z$5)^(('实盘净值数据(iFinD）'!$A701-'实盘净值数据(iFinD）'!$A$5)/365))</f>
        <v/>
      </c>
      <c r="F701" s="16" t="str">
        <f t="shared" si="67"/>
        <v/>
      </c>
      <c r="G701" s="16" t="str">
        <f>IF(E701="","",E701/MAX(E$5:E701)-1)</f>
        <v/>
      </c>
      <c r="H701" s="13" t="str">
        <f>IF(OR('实盘净值数据(iFinD）'!$A701="",'实盘净值数据(iFinD）'!$B701=""),"",分期持仓明细!$AB$19*SUMPRODUCT(分期持仓明细!$B$19:$Y$19,'实盘净值数据(iFinD）'!$B701:$Y701/'实盘净值数据(iFinD）'!$B$20:$Y$20)*(1-实盘持仓初始配置!$Z$6)^(('实盘净值数据(iFinD）'!$A701-'实盘净值数据(iFinD）'!$A$7)/365))</f>
        <v/>
      </c>
      <c r="I701" s="16" t="str">
        <f t="shared" si="68"/>
        <v/>
      </c>
      <c r="J701" s="16" t="str">
        <f>IF(H701="","",H701/MAX(H$5:H701)-1)</f>
        <v/>
      </c>
      <c r="K701" s="13" t="str">
        <f>IF(OR('实盘净值数据(iFinD）'!$A701="",'实盘净值数据(iFinD）'!$B701="",'实盘净值数据(iFinD）'!$Z701="",'实盘净值数据(iFinD）'!$AA701=""),"",分期持仓明细!$AB$23*(SUMPRODUCT(分期持仓明细!$B$23:$Y$23,'实盘净值数据(iFinD）'!$B701:$Y701/'实盘净值数据(iFinD）'!$B$65:$Y$65)+SUMPRODUCT(分期持仓明细!$AC$23:$AD$23,'实盘净值数据(iFinD）'!$Z701:$AA701/'实盘净值数据(iFinD）'!$Z$65:$AA$65))*(1-实盘持仓初始配置!$Z$7)^(('实盘净值数据(iFinD）'!$A701-'实盘净值数据(iFinD）'!$A$8)/365))</f>
        <v/>
      </c>
      <c r="L701" s="16" t="str">
        <f t="shared" si="69"/>
        <v/>
      </c>
      <c r="M701" s="16" t="str">
        <f>IF(K701="","",K701/MAX(K$5:K701)-1)</f>
        <v/>
      </c>
      <c r="N701" s="13" t="str">
        <f>IF(OR('实盘净值数据(iFinD）'!$A701="",'实盘净值数据(iFinD）'!$B701="",'实盘净值数据(iFinD）'!$Z701="",'实盘净值数据(iFinD）'!$AA701=""),"",分期持仓明细!$AB$24*(SUMPRODUCT(分期持仓明细!$B$24:$Y$24,'实盘净值数据(iFinD）'!$B701:$Y701/'实盘净值数据(iFinD）'!$B$65:$Y$65)+SUMPRODUCT(分期持仓明细!$AC$24:$AD$24,'实盘净值数据(iFinD）'!$Z701:$AA701/'实盘净值数据(iFinD）'!$Z$65:$AA$65))*(1-实盘持仓初始配置!$Z$8)^(('实盘净值数据(iFinD）'!$A701-'实盘净值数据(iFinD）'!$A$5)/365))</f>
        <v/>
      </c>
      <c r="O701" s="16" t="str">
        <f t="shared" si="70"/>
        <v/>
      </c>
      <c r="P701" s="16" t="str">
        <f>IF(N701="","",N701/MAX(N$5:N701)-1)</f>
        <v/>
      </c>
      <c r="Q701" s="13" t="str">
        <f>IF(OR('实盘净值数据(iFinD）'!$A701="",'实盘净值数据(iFinD）'!$B701="",'实盘净值数据(iFinD）'!$Z701="",'实盘净值数据(iFinD）'!$AA701=""),"",分期持仓明细!$AB$25*(SUMPRODUCT(分期持仓明细!$B$25:$Y$25,'实盘净值数据(iFinD）'!$B701:$Y701/'实盘净值数据(iFinD）'!$B$65:$Y$65)+SUMPRODUCT(分期持仓明细!$AC$25:$AD$25,'实盘净值数据(iFinD）'!$Z701:$AA701/'实盘净值数据(iFinD）'!$Z$65:$AA$65))*(1-实盘持仓初始配置!$Z$9)^(('实盘净值数据(iFinD）'!$A701-'实盘净值数据(iFinD）'!$A$8)/365))</f>
        <v/>
      </c>
      <c r="R701" s="16" t="str">
        <f t="shared" si="71"/>
        <v/>
      </c>
      <c r="S701" s="16" t="str">
        <f>IF(Q701="","",Q701/MAX(Q$5:Q701)-1)</f>
        <v/>
      </c>
      <c r="T701" s="13">
        <f>IF(OR('实盘净值数据(iFinD）'!$A701="",'实盘净值数据(iFinD）'!$B701="",'实盘净值数据(iFinD）'!$Z701="",'实盘净值数据(iFinD）'!$AA701="",'实盘净值数据(iFinD）'!$AB701="",'实盘净值数据(iFinD）'!$AL701=""),"",(SUMPRODUCT(分期持仓明细!$B$26:$Y$26,'实盘净值数据(iFinD）'!$B701:$Y701/'实盘净值数据(iFinD）'!$B$69:$Y$69)+SUMPRODUCT(分期持仓明细!$AC$26:$AD$26,'实盘净值数据(iFinD）'!$Z701:$AA701/'实盘净值数据(iFinD）'!$Z$69:$AA$69)+SUMPRODUCT(分期持仓明细!$AE$26:$AO$26,'实盘净值数据(iFinD）'!$AB701:$AL701/'实盘净值数据(iFinD）'!$AB$69:$AL$69))*(1-实盘持仓初始配置!$Z$10)^(('实盘净值数据(iFinD）'!$A701-'实盘净值数据(iFinD）'!$A$69)/365))</f>
        <v/>
      </c>
      <c r="U701" s="16">
        <f>IF(OR(T700="",T701=""),"",T701/T700-1)</f>
        <v/>
      </c>
      <c r="V701" s="16">
        <f>IF(T701="","",T701/MAX(T$5:T701)-1)</f>
        <v/>
      </c>
    </row>
    <row r="702" spans="1:19">
      <c r="A702" s="15" t="str">
        <f>IF('实盘净值数据(iFinD）'!A702="","",'实盘净值数据(iFinD）'!A702)</f>
        <v/>
      </c>
      <c r="B702" s="13" t="str">
        <f>IF(OR('实盘净值数据(iFinD）'!$A702="",'实盘净值数据(iFinD）'!$B702=""),"",分期持仓明细!$AB$17*SUMPRODUCT(分期持仓明细!$B$17:$Y$17,'实盘净值数据(iFinD）'!$B702:$Y702/'实盘净值数据(iFinD）'!$B$20:$Y$20)*(1-实盘持仓初始配置!$Z$4)^(('实盘净值数据(iFinD）'!$A702-'实盘净值数据(iFinD）'!$A$6)/365))</f>
        <v/>
      </c>
      <c r="C702" s="16" t="str">
        <f t="shared" si="66"/>
        <v/>
      </c>
      <c r="D702" s="16" t="str">
        <f>IF(B702="","",B702/MAX(B$5:B702)-1)</f>
        <v/>
      </c>
      <c r="E702" s="13" t="str">
        <f>IF(OR('实盘净值数据(iFinD）'!$A702="",'实盘净值数据(iFinD）'!$B702=""),"",分期持仓明细!$AB$18*SUMPRODUCT(分期持仓明细!$B$18:$Y$18,'实盘净值数据(iFinD）'!$B702:$Y702/'实盘净值数据(iFinD）'!$B$20:$Y$20)*(1-实盘持仓初始配置!$Z$5)^(('实盘净值数据(iFinD）'!$A702-'实盘净值数据(iFinD）'!$A$5)/365))</f>
        <v/>
      </c>
      <c r="F702" s="16" t="str">
        <f t="shared" si="67"/>
        <v/>
      </c>
      <c r="G702" s="16" t="str">
        <f>IF(E702="","",E702/MAX(E$5:E702)-1)</f>
        <v/>
      </c>
      <c r="H702" s="13" t="str">
        <f>IF(OR('实盘净值数据(iFinD）'!$A702="",'实盘净值数据(iFinD）'!$B702=""),"",分期持仓明细!$AB$19*SUMPRODUCT(分期持仓明细!$B$19:$Y$19,'实盘净值数据(iFinD）'!$B702:$Y702/'实盘净值数据(iFinD）'!$B$20:$Y$20)*(1-实盘持仓初始配置!$Z$6)^(('实盘净值数据(iFinD）'!$A702-'实盘净值数据(iFinD）'!$A$7)/365))</f>
        <v/>
      </c>
      <c r="I702" s="16" t="str">
        <f t="shared" si="68"/>
        <v/>
      </c>
      <c r="J702" s="16" t="str">
        <f>IF(H702="","",H702/MAX(H$5:H702)-1)</f>
        <v/>
      </c>
      <c r="K702" s="13" t="str">
        <f>IF(OR('实盘净值数据(iFinD）'!$A702="",'实盘净值数据(iFinD）'!$B702="",'实盘净值数据(iFinD）'!$Z702="",'实盘净值数据(iFinD）'!$AA702=""),"",分期持仓明细!$AB$23*(SUMPRODUCT(分期持仓明细!$B$23:$Y$23,'实盘净值数据(iFinD）'!$B702:$Y702/'实盘净值数据(iFinD）'!$B$65:$Y$65)+SUMPRODUCT(分期持仓明细!$AC$23:$AD$23,'实盘净值数据(iFinD）'!$Z702:$AA702/'实盘净值数据(iFinD）'!$Z$65:$AA$65))*(1-实盘持仓初始配置!$Z$7)^(('实盘净值数据(iFinD）'!$A702-'实盘净值数据(iFinD）'!$A$8)/365))</f>
        <v/>
      </c>
      <c r="L702" s="16" t="str">
        <f t="shared" si="69"/>
        <v/>
      </c>
      <c r="M702" s="16" t="str">
        <f>IF(K702="","",K702/MAX(K$5:K702)-1)</f>
        <v/>
      </c>
      <c r="N702" s="13" t="str">
        <f>IF(OR('实盘净值数据(iFinD）'!$A702="",'实盘净值数据(iFinD）'!$B702="",'实盘净值数据(iFinD）'!$Z702="",'实盘净值数据(iFinD）'!$AA702=""),"",分期持仓明细!$AB$24*(SUMPRODUCT(分期持仓明细!$B$24:$Y$24,'实盘净值数据(iFinD）'!$B702:$Y702/'实盘净值数据(iFinD）'!$B$65:$Y$65)+SUMPRODUCT(分期持仓明细!$AC$24:$AD$24,'实盘净值数据(iFinD）'!$Z702:$AA702/'实盘净值数据(iFinD）'!$Z$65:$AA$65))*(1-实盘持仓初始配置!$Z$8)^(('实盘净值数据(iFinD）'!$A702-'实盘净值数据(iFinD）'!$A$5)/365))</f>
        <v/>
      </c>
      <c r="O702" s="16" t="str">
        <f t="shared" si="70"/>
        <v/>
      </c>
      <c r="P702" s="16" t="str">
        <f>IF(N702="","",N702/MAX(N$5:N702)-1)</f>
        <v/>
      </c>
      <c r="Q702" s="13" t="str">
        <f>IF(OR('实盘净值数据(iFinD）'!$A702="",'实盘净值数据(iFinD）'!$B702="",'实盘净值数据(iFinD）'!$Z702="",'实盘净值数据(iFinD）'!$AA702=""),"",分期持仓明细!$AB$25*(SUMPRODUCT(分期持仓明细!$B$25:$Y$25,'实盘净值数据(iFinD）'!$B702:$Y702/'实盘净值数据(iFinD）'!$B$65:$Y$65)+SUMPRODUCT(分期持仓明细!$AC$25:$AD$25,'实盘净值数据(iFinD）'!$Z702:$AA702/'实盘净值数据(iFinD）'!$Z$65:$AA$65))*(1-实盘持仓初始配置!$Z$9)^(('实盘净值数据(iFinD）'!$A702-'实盘净值数据(iFinD）'!$A$8)/365))</f>
        <v/>
      </c>
      <c r="R702" s="16" t="str">
        <f t="shared" si="71"/>
        <v/>
      </c>
      <c r="S702" s="16" t="str">
        <f>IF(Q702="","",Q702/MAX(Q$5:Q702)-1)</f>
        <v/>
      </c>
      <c r="T702" s="13">
        <f>IF(OR('实盘净值数据(iFinD）'!$A702="",'实盘净值数据(iFinD）'!$B702="",'实盘净值数据(iFinD）'!$Z702="",'实盘净值数据(iFinD）'!$AA702="",'实盘净值数据(iFinD）'!$AB702="",'实盘净值数据(iFinD）'!$AL702=""),"",(SUMPRODUCT(分期持仓明细!$B$26:$Y$26,'实盘净值数据(iFinD）'!$B702:$Y702/'实盘净值数据(iFinD）'!$B$69:$Y$69)+SUMPRODUCT(分期持仓明细!$AC$26:$AD$26,'实盘净值数据(iFinD）'!$Z702:$AA702/'实盘净值数据(iFinD）'!$Z$69:$AA$69)+SUMPRODUCT(分期持仓明细!$AE$26:$AO$26,'实盘净值数据(iFinD）'!$AB702:$AL702/'实盘净值数据(iFinD）'!$AB$69:$AL$69))*(1-实盘持仓初始配置!$Z$10)^(('实盘净值数据(iFinD）'!$A702-'实盘净值数据(iFinD）'!$A$69)/365))</f>
        <v/>
      </c>
      <c r="U702" s="16">
        <f>IF(OR(T701="",T702=""),"",T702/T701-1)</f>
        <v/>
      </c>
      <c r="V702" s="16">
        <f>IF(T702="","",T702/MAX(T$5:T702)-1)</f>
        <v/>
      </c>
    </row>
    <row r="703" spans="1:19">
      <c r="A703" s="15" t="str">
        <f>IF('实盘净值数据(iFinD）'!A703="","",'实盘净值数据(iFinD）'!A703)</f>
        <v/>
      </c>
      <c r="B703" s="13" t="str">
        <f>IF(OR('实盘净值数据(iFinD）'!$A703="",'实盘净值数据(iFinD）'!$B703=""),"",分期持仓明细!$AB$17*SUMPRODUCT(分期持仓明细!$B$17:$Y$17,'实盘净值数据(iFinD）'!$B703:$Y703/'实盘净值数据(iFinD）'!$B$20:$Y$20)*(1-实盘持仓初始配置!$Z$4)^(('实盘净值数据(iFinD）'!$A703-'实盘净值数据(iFinD）'!$A$6)/365))</f>
        <v/>
      </c>
      <c r="C703" s="16" t="str">
        <f t="shared" si="66"/>
        <v/>
      </c>
      <c r="D703" s="16" t="str">
        <f>IF(B703="","",B703/MAX(B$5:B703)-1)</f>
        <v/>
      </c>
      <c r="E703" s="13" t="str">
        <f>IF(OR('实盘净值数据(iFinD）'!$A703="",'实盘净值数据(iFinD）'!$B703=""),"",分期持仓明细!$AB$18*SUMPRODUCT(分期持仓明细!$B$18:$Y$18,'实盘净值数据(iFinD）'!$B703:$Y703/'实盘净值数据(iFinD）'!$B$20:$Y$20)*(1-实盘持仓初始配置!$Z$5)^(('实盘净值数据(iFinD）'!$A703-'实盘净值数据(iFinD）'!$A$5)/365))</f>
        <v/>
      </c>
      <c r="F703" s="16" t="str">
        <f t="shared" si="67"/>
        <v/>
      </c>
      <c r="G703" s="16" t="str">
        <f>IF(E703="","",E703/MAX(E$5:E703)-1)</f>
        <v/>
      </c>
      <c r="H703" s="13" t="str">
        <f>IF(OR('实盘净值数据(iFinD）'!$A703="",'实盘净值数据(iFinD）'!$B703=""),"",分期持仓明细!$AB$19*SUMPRODUCT(分期持仓明细!$B$19:$Y$19,'实盘净值数据(iFinD）'!$B703:$Y703/'实盘净值数据(iFinD）'!$B$20:$Y$20)*(1-实盘持仓初始配置!$Z$6)^(('实盘净值数据(iFinD）'!$A703-'实盘净值数据(iFinD）'!$A$7)/365))</f>
        <v/>
      </c>
      <c r="I703" s="16" t="str">
        <f t="shared" si="68"/>
        <v/>
      </c>
      <c r="J703" s="16" t="str">
        <f>IF(H703="","",H703/MAX(H$5:H703)-1)</f>
        <v/>
      </c>
      <c r="K703" s="13" t="str">
        <f>IF(OR('实盘净值数据(iFinD）'!$A703="",'实盘净值数据(iFinD）'!$B703="",'实盘净值数据(iFinD）'!$Z703="",'实盘净值数据(iFinD）'!$AA703=""),"",分期持仓明细!$AB$23*(SUMPRODUCT(分期持仓明细!$B$23:$Y$23,'实盘净值数据(iFinD）'!$B703:$Y703/'实盘净值数据(iFinD）'!$B$65:$Y$65)+SUMPRODUCT(分期持仓明细!$AC$23:$AD$23,'实盘净值数据(iFinD）'!$Z703:$AA703/'实盘净值数据(iFinD）'!$Z$65:$AA$65))*(1-实盘持仓初始配置!$Z$7)^(('实盘净值数据(iFinD）'!$A703-'实盘净值数据(iFinD）'!$A$8)/365))</f>
        <v/>
      </c>
      <c r="L703" s="16" t="str">
        <f t="shared" si="69"/>
        <v/>
      </c>
      <c r="M703" s="16" t="str">
        <f>IF(K703="","",K703/MAX(K$5:K703)-1)</f>
        <v/>
      </c>
      <c r="N703" s="13" t="str">
        <f>IF(OR('实盘净值数据(iFinD）'!$A703="",'实盘净值数据(iFinD）'!$B703="",'实盘净值数据(iFinD）'!$Z703="",'实盘净值数据(iFinD）'!$AA703=""),"",分期持仓明细!$AB$24*(SUMPRODUCT(分期持仓明细!$B$24:$Y$24,'实盘净值数据(iFinD）'!$B703:$Y703/'实盘净值数据(iFinD）'!$B$65:$Y$65)+SUMPRODUCT(分期持仓明细!$AC$24:$AD$24,'实盘净值数据(iFinD）'!$Z703:$AA703/'实盘净值数据(iFinD）'!$Z$65:$AA$65))*(1-实盘持仓初始配置!$Z$8)^(('实盘净值数据(iFinD）'!$A703-'实盘净值数据(iFinD）'!$A$5)/365))</f>
        <v/>
      </c>
      <c r="O703" s="16" t="str">
        <f t="shared" si="70"/>
        <v/>
      </c>
      <c r="P703" s="16" t="str">
        <f>IF(N703="","",N703/MAX(N$5:N703)-1)</f>
        <v/>
      </c>
      <c r="Q703" s="13" t="str">
        <f>IF(OR('实盘净值数据(iFinD）'!$A703="",'实盘净值数据(iFinD）'!$B703="",'实盘净值数据(iFinD）'!$Z703="",'实盘净值数据(iFinD）'!$AA703=""),"",分期持仓明细!$AB$25*(SUMPRODUCT(分期持仓明细!$B$25:$Y$25,'实盘净值数据(iFinD）'!$B703:$Y703/'实盘净值数据(iFinD）'!$B$65:$Y$65)+SUMPRODUCT(分期持仓明细!$AC$25:$AD$25,'实盘净值数据(iFinD）'!$Z703:$AA703/'实盘净值数据(iFinD）'!$Z$65:$AA$65))*(1-实盘持仓初始配置!$Z$9)^(('实盘净值数据(iFinD）'!$A703-'实盘净值数据(iFinD）'!$A$8)/365))</f>
        <v/>
      </c>
      <c r="R703" s="16" t="str">
        <f t="shared" si="71"/>
        <v/>
      </c>
      <c r="S703" s="16" t="str">
        <f>IF(Q703="","",Q703/MAX(Q$5:Q703)-1)</f>
        <v/>
      </c>
      <c r="T703" s="13">
        <f>IF(OR('实盘净值数据(iFinD）'!$A703="",'实盘净值数据(iFinD）'!$B703="",'实盘净值数据(iFinD）'!$Z703="",'实盘净值数据(iFinD）'!$AA703="",'实盘净值数据(iFinD）'!$AB703="",'实盘净值数据(iFinD）'!$AL703=""),"",(SUMPRODUCT(分期持仓明细!$B$26:$Y$26,'实盘净值数据(iFinD）'!$B703:$Y703/'实盘净值数据(iFinD）'!$B$69:$Y$69)+SUMPRODUCT(分期持仓明细!$AC$26:$AD$26,'实盘净值数据(iFinD）'!$Z703:$AA703/'实盘净值数据(iFinD）'!$Z$69:$AA$69)+SUMPRODUCT(分期持仓明细!$AE$26:$AO$26,'实盘净值数据(iFinD）'!$AB703:$AL703/'实盘净值数据(iFinD）'!$AB$69:$AL$69))*(1-实盘持仓初始配置!$Z$10)^(('实盘净值数据(iFinD）'!$A703-'实盘净值数据(iFinD）'!$A$69)/365))</f>
        <v/>
      </c>
      <c r="U703" s="16">
        <f>IF(OR(T702="",T703=""),"",T703/T702-1)</f>
        <v/>
      </c>
      <c r="V703" s="16">
        <f>IF(T703="","",T703/MAX(T$5:T703)-1)</f>
        <v/>
      </c>
    </row>
    <row r="704" spans="1:19">
      <c r="A704" s="15" t="str">
        <f>IF('实盘净值数据(iFinD）'!A704="","",'实盘净值数据(iFinD）'!A704)</f>
        <v/>
      </c>
      <c r="B704" s="13" t="str">
        <f>IF(OR('实盘净值数据(iFinD）'!$A704="",'实盘净值数据(iFinD）'!$B704=""),"",分期持仓明细!$AB$17*SUMPRODUCT(分期持仓明细!$B$17:$Y$17,'实盘净值数据(iFinD）'!$B704:$Y704/'实盘净值数据(iFinD）'!$B$20:$Y$20)*(1-实盘持仓初始配置!$Z$4)^(('实盘净值数据(iFinD）'!$A704-'实盘净值数据(iFinD）'!$A$6)/365))</f>
        <v/>
      </c>
      <c r="C704" s="16" t="str">
        <f t="shared" si="66"/>
        <v/>
      </c>
      <c r="D704" s="16" t="str">
        <f>IF(B704="","",B704/MAX(B$5:B704)-1)</f>
        <v/>
      </c>
      <c r="E704" s="13" t="str">
        <f>IF(OR('实盘净值数据(iFinD）'!$A704="",'实盘净值数据(iFinD）'!$B704=""),"",分期持仓明细!$AB$18*SUMPRODUCT(分期持仓明细!$B$18:$Y$18,'实盘净值数据(iFinD）'!$B704:$Y704/'实盘净值数据(iFinD）'!$B$20:$Y$20)*(1-实盘持仓初始配置!$Z$5)^(('实盘净值数据(iFinD）'!$A704-'实盘净值数据(iFinD）'!$A$5)/365))</f>
        <v/>
      </c>
      <c r="F704" s="16" t="str">
        <f t="shared" si="67"/>
        <v/>
      </c>
      <c r="G704" s="16" t="str">
        <f>IF(E704="","",E704/MAX(E$5:E704)-1)</f>
        <v/>
      </c>
      <c r="H704" s="13" t="str">
        <f>IF(OR('实盘净值数据(iFinD）'!$A704="",'实盘净值数据(iFinD）'!$B704=""),"",分期持仓明细!$AB$19*SUMPRODUCT(分期持仓明细!$B$19:$Y$19,'实盘净值数据(iFinD）'!$B704:$Y704/'实盘净值数据(iFinD）'!$B$20:$Y$20)*(1-实盘持仓初始配置!$Z$6)^(('实盘净值数据(iFinD）'!$A704-'实盘净值数据(iFinD）'!$A$7)/365))</f>
        <v/>
      </c>
      <c r="I704" s="16" t="str">
        <f t="shared" si="68"/>
        <v/>
      </c>
      <c r="J704" s="16" t="str">
        <f>IF(H704="","",H704/MAX(H$5:H704)-1)</f>
        <v/>
      </c>
      <c r="K704" s="13" t="str">
        <f>IF(OR('实盘净值数据(iFinD）'!$A704="",'实盘净值数据(iFinD）'!$B704="",'实盘净值数据(iFinD）'!$Z704="",'实盘净值数据(iFinD）'!$AA704=""),"",分期持仓明细!$AB$23*(SUMPRODUCT(分期持仓明细!$B$23:$Y$23,'实盘净值数据(iFinD）'!$B704:$Y704/'实盘净值数据(iFinD）'!$B$65:$Y$65)+SUMPRODUCT(分期持仓明细!$AC$23:$AD$23,'实盘净值数据(iFinD）'!$Z704:$AA704/'实盘净值数据(iFinD）'!$Z$65:$AA$65))*(1-实盘持仓初始配置!$Z$7)^(('实盘净值数据(iFinD）'!$A704-'实盘净值数据(iFinD）'!$A$8)/365))</f>
        <v/>
      </c>
      <c r="L704" s="16" t="str">
        <f t="shared" si="69"/>
        <v/>
      </c>
      <c r="M704" s="16" t="str">
        <f>IF(K704="","",K704/MAX(K$5:K704)-1)</f>
        <v/>
      </c>
      <c r="N704" s="13" t="str">
        <f>IF(OR('实盘净值数据(iFinD）'!$A704="",'实盘净值数据(iFinD）'!$B704="",'实盘净值数据(iFinD）'!$Z704="",'实盘净值数据(iFinD）'!$AA704=""),"",分期持仓明细!$AB$24*(SUMPRODUCT(分期持仓明细!$B$24:$Y$24,'实盘净值数据(iFinD）'!$B704:$Y704/'实盘净值数据(iFinD）'!$B$65:$Y$65)+SUMPRODUCT(分期持仓明细!$AC$24:$AD$24,'实盘净值数据(iFinD）'!$Z704:$AA704/'实盘净值数据(iFinD）'!$Z$65:$AA$65))*(1-实盘持仓初始配置!$Z$8)^(('实盘净值数据(iFinD）'!$A704-'实盘净值数据(iFinD）'!$A$5)/365))</f>
        <v/>
      </c>
      <c r="O704" s="16" t="str">
        <f t="shared" si="70"/>
        <v/>
      </c>
      <c r="P704" s="16" t="str">
        <f>IF(N704="","",N704/MAX(N$5:N704)-1)</f>
        <v/>
      </c>
      <c r="Q704" s="13" t="str">
        <f>IF(OR('实盘净值数据(iFinD）'!$A704="",'实盘净值数据(iFinD）'!$B704="",'实盘净值数据(iFinD）'!$Z704="",'实盘净值数据(iFinD）'!$AA704=""),"",分期持仓明细!$AB$25*(SUMPRODUCT(分期持仓明细!$B$25:$Y$25,'实盘净值数据(iFinD）'!$B704:$Y704/'实盘净值数据(iFinD）'!$B$65:$Y$65)+SUMPRODUCT(分期持仓明细!$AC$25:$AD$25,'实盘净值数据(iFinD）'!$Z704:$AA704/'实盘净值数据(iFinD）'!$Z$65:$AA$65))*(1-实盘持仓初始配置!$Z$9)^(('实盘净值数据(iFinD）'!$A704-'实盘净值数据(iFinD）'!$A$8)/365))</f>
        <v/>
      </c>
      <c r="R704" s="16" t="str">
        <f t="shared" si="71"/>
        <v/>
      </c>
      <c r="S704" s="16" t="str">
        <f>IF(Q704="","",Q704/MAX(Q$5:Q704)-1)</f>
        <v/>
      </c>
      <c r="T704" s="13">
        <f>IF(OR('实盘净值数据(iFinD）'!$A704="",'实盘净值数据(iFinD）'!$B704="",'实盘净值数据(iFinD）'!$Z704="",'实盘净值数据(iFinD）'!$AA704="",'实盘净值数据(iFinD）'!$AB704="",'实盘净值数据(iFinD）'!$AL704=""),"",(SUMPRODUCT(分期持仓明细!$B$26:$Y$26,'实盘净值数据(iFinD）'!$B704:$Y704/'实盘净值数据(iFinD）'!$B$69:$Y$69)+SUMPRODUCT(分期持仓明细!$AC$26:$AD$26,'实盘净值数据(iFinD）'!$Z704:$AA704/'实盘净值数据(iFinD）'!$Z$69:$AA$69)+SUMPRODUCT(分期持仓明细!$AE$26:$AO$26,'实盘净值数据(iFinD）'!$AB704:$AL704/'实盘净值数据(iFinD）'!$AB$69:$AL$69))*(1-实盘持仓初始配置!$Z$10)^(('实盘净值数据(iFinD）'!$A704-'实盘净值数据(iFinD）'!$A$69)/365))</f>
        <v/>
      </c>
      <c r="U704" s="16">
        <f>IF(OR(T703="",T704=""),"",T704/T703-1)</f>
        <v/>
      </c>
      <c r="V704" s="16">
        <f>IF(T704="","",T704/MAX(T$5:T704)-1)</f>
        <v/>
      </c>
    </row>
    <row r="705" spans="1:19">
      <c r="A705" s="15" t="str">
        <f>IF('实盘净值数据(iFinD）'!A705="","",'实盘净值数据(iFinD）'!A705)</f>
        <v/>
      </c>
      <c r="B705" s="13" t="str">
        <f>IF(OR('实盘净值数据(iFinD）'!$A705="",'实盘净值数据(iFinD）'!$B705=""),"",分期持仓明细!$AB$17*SUMPRODUCT(分期持仓明细!$B$17:$Y$17,'实盘净值数据(iFinD）'!$B705:$Y705/'实盘净值数据(iFinD）'!$B$20:$Y$20)*(1-实盘持仓初始配置!$Z$4)^(('实盘净值数据(iFinD）'!$A705-'实盘净值数据(iFinD）'!$A$6)/365))</f>
        <v/>
      </c>
      <c r="C705" s="16" t="str">
        <f t="shared" si="66"/>
        <v/>
      </c>
      <c r="D705" s="16" t="str">
        <f>IF(B705="","",B705/MAX(B$5:B705)-1)</f>
        <v/>
      </c>
      <c r="E705" s="13" t="str">
        <f>IF(OR('实盘净值数据(iFinD）'!$A705="",'实盘净值数据(iFinD）'!$B705=""),"",分期持仓明细!$AB$18*SUMPRODUCT(分期持仓明细!$B$18:$Y$18,'实盘净值数据(iFinD）'!$B705:$Y705/'实盘净值数据(iFinD）'!$B$20:$Y$20)*(1-实盘持仓初始配置!$Z$5)^(('实盘净值数据(iFinD）'!$A705-'实盘净值数据(iFinD）'!$A$5)/365))</f>
        <v/>
      </c>
      <c r="F705" s="16" t="str">
        <f t="shared" si="67"/>
        <v/>
      </c>
      <c r="G705" s="16" t="str">
        <f>IF(E705="","",E705/MAX(E$5:E705)-1)</f>
        <v/>
      </c>
      <c r="H705" s="13" t="str">
        <f>IF(OR('实盘净值数据(iFinD）'!$A705="",'实盘净值数据(iFinD）'!$B705=""),"",分期持仓明细!$AB$19*SUMPRODUCT(分期持仓明细!$B$19:$Y$19,'实盘净值数据(iFinD）'!$B705:$Y705/'实盘净值数据(iFinD）'!$B$20:$Y$20)*(1-实盘持仓初始配置!$Z$6)^(('实盘净值数据(iFinD）'!$A705-'实盘净值数据(iFinD）'!$A$7)/365))</f>
        <v/>
      </c>
      <c r="I705" s="16" t="str">
        <f t="shared" si="68"/>
        <v/>
      </c>
      <c r="J705" s="16" t="str">
        <f>IF(H705="","",H705/MAX(H$5:H705)-1)</f>
        <v/>
      </c>
      <c r="K705" s="13" t="str">
        <f>IF(OR('实盘净值数据(iFinD）'!$A705="",'实盘净值数据(iFinD）'!$B705="",'实盘净值数据(iFinD）'!$Z705="",'实盘净值数据(iFinD）'!$AA705=""),"",分期持仓明细!$AB$23*(SUMPRODUCT(分期持仓明细!$B$23:$Y$23,'实盘净值数据(iFinD）'!$B705:$Y705/'实盘净值数据(iFinD）'!$B$65:$Y$65)+SUMPRODUCT(分期持仓明细!$AC$23:$AD$23,'实盘净值数据(iFinD）'!$Z705:$AA705/'实盘净值数据(iFinD）'!$Z$65:$AA$65))*(1-实盘持仓初始配置!$Z$7)^(('实盘净值数据(iFinD）'!$A705-'实盘净值数据(iFinD）'!$A$8)/365))</f>
        <v/>
      </c>
      <c r="L705" s="16" t="str">
        <f t="shared" si="69"/>
        <v/>
      </c>
      <c r="M705" s="16" t="str">
        <f>IF(K705="","",K705/MAX(K$5:K705)-1)</f>
        <v/>
      </c>
      <c r="N705" s="13" t="str">
        <f>IF(OR('实盘净值数据(iFinD）'!$A705="",'实盘净值数据(iFinD）'!$B705="",'实盘净值数据(iFinD）'!$Z705="",'实盘净值数据(iFinD）'!$AA705=""),"",分期持仓明细!$AB$24*(SUMPRODUCT(分期持仓明细!$B$24:$Y$24,'实盘净值数据(iFinD）'!$B705:$Y705/'实盘净值数据(iFinD）'!$B$65:$Y$65)+SUMPRODUCT(分期持仓明细!$AC$24:$AD$24,'实盘净值数据(iFinD）'!$Z705:$AA705/'实盘净值数据(iFinD）'!$Z$65:$AA$65))*(1-实盘持仓初始配置!$Z$8)^(('实盘净值数据(iFinD）'!$A705-'实盘净值数据(iFinD）'!$A$5)/365))</f>
        <v/>
      </c>
      <c r="O705" s="16" t="str">
        <f t="shared" si="70"/>
        <v/>
      </c>
      <c r="P705" s="16" t="str">
        <f>IF(N705="","",N705/MAX(N$5:N705)-1)</f>
        <v/>
      </c>
      <c r="Q705" s="13" t="str">
        <f>IF(OR('实盘净值数据(iFinD）'!$A705="",'实盘净值数据(iFinD）'!$B705="",'实盘净值数据(iFinD）'!$Z705="",'实盘净值数据(iFinD）'!$AA705=""),"",分期持仓明细!$AB$25*(SUMPRODUCT(分期持仓明细!$B$25:$Y$25,'实盘净值数据(iFinD）'!$B705:$Y705/'实盘净值数据(iFinD）'!$B$65:$Y$65)+SUMPRODUCT(分期持仓明细!$AC$25:$AD$25,'实盘净值数据(iFinD）'!$Z705:$AA705/'实盘净值数据(iFinD）'!$Z$65:$AA$65))*(1-实盘持仓初始配置!$Z$9)^(('实盘净值数据(iFinD）'!$A705-'实盘净值数据(iFinD）'!$A$8)/365))</f>
        <v/>
      </c>
      <c r="R705" s="16" t="str">
        <f t="shared" si="71"/>
        <v/>
      </c>
      <c r="S705" s="16" t="str">
        <f>IF(Q705="","",Q705/MAX(Q$5:Q705)-1)</f>
        <v/>
      </c>
      <c r="T705" s="13">
        <f>IF(OR('实盘净值数据(iFinD）'!$A705="",'实盘净值数据(iFinD）'!$B705="",'实盘净值数据(iFinD）'!$Z705="",'实盘净值数据(iFinD）'!$AA705="",'实盘净值数据(iFinD）'!$AB705="",'实盘净值数据(iFinD）'!$AL705=""),"",(SUMPRODUCT(分期持仓明细!$B$26:$Y$26,'实盘净值数据(iFinD）'!$B705:$Y705/'实盘净值数据(iFinD）'!$B$69:$Y$69)+SUMPRODUCT(分期持仓明细!$AC$26:$AD$26,'实盘净值数据(iFinD）'!$Z705:$AA705/'实盘净值数据(iFinD）'!$Z$69:$AA$69)+SUMPRODUCT(分期持仓明细!$AE$26:$AO$26,'实盘净值数据(iFinD）'!$AB705:$AL705/'实盘净值数据(iFinD）'!$AB$69:$AL$69))*(1-实盘持仓初始配置!$Z$10)^(('实盘净值数据(iFinD）'!$A705-'实盘净值数据(iFinD）'!$A$69)/365))</f>
        <v/>
      </c>
      <c r="U705" s="16">
        <f>IF(OR(T704="",T705=""),"",T705/T704-1)</f>
        <v/>
      </c>
      <c r="V705" s="16">
        <f>IF(T705="","",T705/MAX(T$5:T705)-1)</f>
        <v/>
      </c>
    </row>
    <row r="706" spans="1:19">
      <c r="A706" s="15" t="str">
        <f>IF('实盘净值数据(iFinD）'!A706="","",'实盘净值数据(iFinD）'!A706)</f>
        <v/>
      </c>
      <c r="B706" s="13" t="str">
        <f>IF(OR('实盘净值数据(iFinD）'!$A706="",'实盘净值数据(iFinD）'!$B706=""),"",分期持仓明细!$AB$17*SUMPRODUCT(分期持仓明细!$B$17:$Y$17,'实盘净值数据(iFinD）'!$B706:$Y706/'实盘净值数据(iFinD）'!$B$20:$Y$20)*(1-实盘持仓初始配置!$Z$4)^(('实盘净值数据(iFinD）'!$A706-'实盘净值数据(iFinD）'!$A$6)/365))</f>
        <v/>
      </c>
      <c r="C706" s="16" t="str">
        <f t="shared" si="66"/>
        <v/>
      </c>
      <c r="D706" s="16" t="str">
        <f>IF(B706="","",B706/MAX(B$5:B706)-1)</f>
        <v/>
      </c>
      <c r="E706" s="13" t="str">
        <f>IF(OR('实盘净值数据(iFinD）'!$A706="",'实盘净值数据(iFinD）'!$B706=""),"",分期持仓明细!$AB$18*SUMPRODUCT(分期持仓明细!$B$18:$Y$18,'实盘净值数据(iFinD）'!$B706:$Y706/'实盘净值数据(iFinD）'!$B$20:$Y$20)*(1-实盘持仓初始配置!$Z$5)^(('实盘净值数据(iFinD）'!$A706-'实盘净值数据(iFinD）'!$A$5)/365))</f>
        <v/>
      </c>
      <c r="F706" s="16" t="str">
        <f t="shared" si="67"/>
        <v/>
      </c>
      <c r="G706" s="16" t="str">
        <f>IF(E706="","",E706/MAX(E$5:E706)-1)</f>
        <v/>
      </c>
      <c r="H706" s="13" t="str">
        <f>IF(OR('实盘净值数据(iFinD）'!$A706="",'实盘净值数据(iFinD）'!$B706=""),"",分期持仓明细!$AB$19*SUMPRODUCT(分期持仓明细!$B$19:$Y$19,'实盘净值数据(iFinD）'!$B706:$Y706/'实盘净值数据(iFinD）'!$B$20:$Y$20)*(1-实盘持仓初始配置!$Z$6)^(('实盘净值数据(iFinD）'!$A706-'实盘净值数据(iFinD）'!$A$7)/365))</f>
        <v/>
      </c>
      <c r="I706" s="16" t="str">
        <f t="shared" si="68"/>
        <v/>
      </c>
      <c r="J706" s="16" t="str">
        <f>IF(H706="","",H706/MAX(H$5:H706)-1)</f>
        <v/>
      </c>
      <c r="K706" s="13" t="str">
        <f>IF(OR('实盘净值数据(iFinD）'!$A706="",'实盘净值数据(iFinD）'!$B706="",'实盘净值数据(iFinD）'!$Z706="",'实盘净值数据(iFinD）'!$AA706=""),"",分期持仓明细!$AB$23*(SUMPRODUCT(分期持仓明细!$B$23:$Y$23,'实盘净值数据(iFinD）'!$B706:$Y706/'实盘净值数据(iFinD）'!$B$65:$Y$65)+SUMPRODUCT(分期持仓明细!$AC$23:$AD$23,'实盘净值数据(iFinD）'!$Z706:$AA706/'实盘净值数据(iFinD）'!$Z$65:$AA$65))*(1-实盘持仓初始配置!$Z$7)^(('实盘净值数据(iFinD）'!$A706-'实盘净值数据(iFinD）'!$A$8)/365))</f>
        <v/>
      </c>
      <c r="L706" s="16" t="str">
        <f t="shared" si="69"/>
        <v/>
      </c>
      <c r="M706" s="16" t="str">
        <f>IF(K706="","",K706/MAX(K$5:K706)-1)</f>
        <v/>
      </c>
      <c r="N706" s="13" t="str">
        <f>IF(OR('实盘净值数据(iFinD）'!$A706="",'实盘净值数据(iFinD）'!$B706="",'实盘净值数据(iFinD）'!$Z706="",'实盘净值数据(iFinD）'!$AA706=""),"",分期持仓明细!$AB$24*(SUMPRODUCT(分期持仓明细!$B$24:$Y$24,'实盘净值数据(iFinD）'!$B706:$Y706/'实盘净值数据(iFinD）'!$B$65:$Y$65)+SUMPRODUCT(分期持仓明细!$AC$24:$AD$24,'实盘净值数据(iFinD）'!$Z706:$AA706/'实盘净值数据(iFinD）'!$Z$65:$AA$65))*(1-实盘持仓初始配置!$Z$8)^(('实盘净值数据(iFinD）'!$A706-'实盘净值数据(iFinD）'!$A$5)/365))</f>
        <v/>
      </c>
      <c r="O706" s="16" t="str">
        <f t="shared" si="70"/>
        <v/>
      </c>
      <c r="P706" s="16" t="str">
        <f>IF(N706="","",N706/MAX(N$5:N706)-1)</f>
        <v/>
      </c>
      <c r="Q706" s="13" t="str">
        <f>IF(OR('实盘净值数据(iFinD）'!$A706="",'实盘净值数据(iFinD）'!$B706="",'实盘净值数据(iFinD）'!$Z706="",'实盘净值数据(iFinD）'!$AA706=""),"",分期持仓明细!$AB$25*(SUMPRODUCT(分期持仓明细!$B$25:$Y$25,'实盘净值数据(iFinD）'!$B706:$Y706/'实盘净值数据(iFinD）'!$B$65:$Y$65)+SUMPRODUCT(分期持仓明细!$AC$25:$AD$25,'实盘净值数据(iFinD）'!$Z706:$AA706/'实盘净值数据(iFinD）'!$Z$65:$AA$65))*(1-实盘持仓初始配置!$Z$9)^(('实盘净值数据(iFinD）'!$A706-'实盘净值数据(iFinD）'!$A$8)/365))</f>
        <v/>
      </c>
      <c r="R706" s="16" t="str">
        <f t="shared" si="71"/>
        <v/>
      </c>
      <c r="S706" s="16" t="str">
        <f>IF(Q706="","",Q706/MAX(Q$5:Q706)-1)</f>
        <v/>
      </c>
      <c r="T706" s="13">
        <f>IF(OR('实盘净值数据(iFinD）'!$A706="",'实盘净值数据(iFinD）'!$B706="",'实盘净值数据(iFinD）'!$Z706="",'实盘净值数据(iFinD）'!$AA706="",'实盘净值数据(iFinD）'!$AB706="",'实盘净值数据(iFinD）'!$AL706=""),"",(SUMPRODUCT(分期持仓明细!$B$26:$Y$26,'实盘净值数据(iFinD）'!$B706:$Y706/'实盘净值数据(iFinD）'!$B$69:$Y$69)+SUMPRODUCT(分期持仓明细!$AC$26:$AD$26,'实盘净值数据(iFinD）'!$Z706:$AA706/'实盘净值数据(iFinD）'!$Z$69:$AA$69)+SUMPRODUCT(分期持仓明细!$AE$26:$AO$26,'实盘净值数据(iFinD）'!$AB706:$AL706/'实盘净值数据(iFinD）'!$AB$69:$AL$69))*(1-实盘持仓初始配置!$Z$10)^(('实盘净值数据(iFinD）'!$A706-'实盘净值数据(iFinD）'!$A$69)/365))</f>
        <v/>
      </c>
      <c r="U706" s="16">
        <f>IF(OR(T705="",T706=""),"",T706/T705-1)</f>
        <v/>
      </c>
      <c r="V706" s="16">
        <f>IF(T706="","",T706/MAX(T$5:T706)-1)</f>
        <v/>
      </c>
    </row>
    <row r="707" spans="1:19">
      <c r="A707" s="15" t="str">
        <f>IF('实盘净值数据(iFinD）'!A707="","",'实盘净值数据(iFinD）'!A707)</f>
        <v/>
      </c>
      <c r="B707" s="13" t="str">
        <f>IF(OR('实盘净值数据(iFinD）'!$A707="",'实盘净值数据(iFinD）'!$B707=""),"",分期持仓明细!$AB$17*SUMPRODUCT(分期持仓明细!$B$17:$Y$17,'实盘净值数据(iFinD）'!$B707:$Y707/'实盘净值数据(iFinD）'!$B$20:$Y$20)*(1-实盘持仓初始配置!$Z$4)^(('实盘净值数据(iFinD）'!$A707-'实盘净值数据(iFinD）'!$A$6)/365))</f>
        <v/>
      </c>
      <c r="C707" s="16" t="str">
        <f t="shared" si="66"/>
        <v/>
      </c>
      <c r="D707" s="16" t="str">
        <f>IF(B707="","",B707/MAX(B$5:B707)-1)</f>
        <v/>
      </c>
      <c r="E707" s="13" t="str">
        <f>IF(OR('实盘净值数据(iFinD）'!$A707="",'实盘净值数据(iFinD）'!$B707=""),"",分期持仓明细!$AB$18*SUMPRODUCT(分期持仓明细!$B$18:$Y$18,'实盘净值数据(iFinD）'!$B707:$Y707/'实盘净值数据(iFinD）'!$B$20:$Y$20)*(1-实盘持仓初始配置!$Z$5)^(('实盘净值数据(iFinD）'!$A707-'实盘净值数据(iFinD）'!$A$5)/365))</f>
        <v/>
      </c>
      <c r="F707" s="16" t="str">
        <f t="shared" si="67"/>
        <v/>
      </c>
      <c r="G707" s="16" t="str">
        <f>IF(E707="","",E707/MAX(E$5:E707)-1)</f>
        <v/>
      </c>
      <c r="H707" s="13" t="str">
        <f>IF(OR('实盘净值数据(iFinD）'!$A707="",'实盘净值数据(iFinD）'!$B707=""),"",分期持仓明细!$AB$19*SUMPRODUCT(分期持仓明细!$B$19:$Y$19,'实盘净值数据(iFinD）'!$B707:$Y707/'实盘净值数据(iFinD）'!$B$20:$Y$20)*(1-实盘持仓初始配置!$Z$6)^(('实盘净值数据(iFinD）'!$A707-'实盘净值数据(iFinD）'!$A$7)/365))</f>
        <v/>
      </c>
      <c r="I707" s="16" t="str">
        <f t="shared" si="68"/>
        <v/>
      </c>
      <c r="J707" s="16" t="str">
        <f>IF(H707="","",H707/MAX(H$5:H707)-1)</f>
        <v/>
      </c>
      <c r="K707" s="13" t="str">
        <f>IF(OR('实盘净值数据(iFinD）'!$A707="",'实盘净值数据(iFinD）'!$B707="",'实盘净值数据(iFinD）'!$Z707="",'实盘净值数据(iFinD）'!$AA707=""),"",分期持仓明细!$AB$23*(SUMPRODUCT(分期持仓明细!$B$23:$Y$23,'实盘净值数据(iFinD）'!$B707:$Y707/'实盘净值数据(iFinD）'!$B$65:$Y$65)+SUMPRODUCT(分期持仓明细!$AC$23:$AD$23,'实盘净值数据(iFinD）'!$Z707:$AA707/'实盘净值数据(iFinD）'!$Z$65:$AA$65))*(1-实盘持仓初始配置!$Z$7)^(('实盘净值数据(iFinD）'!$A707-'实盘净值数据(iFinD）'!$A$8)/365))</f>
        <v/>
      </c>
      <c r="L707" s="16" t="str">
        <f t="shared" si="69"/>
        <v/>
      </c>
      <c r="M707" s="16" t="str">
        <f>IF(K707="","",K707/MAX(K$5:K707)-1)</f>
        <v/>
      </c>
      <c r="N707" s="13" t="str">
        <f>IF(OR('实盘净值数据(iFinD）'!$A707="",'实盘净值数据(iFinD）'!$B707="",'实盘净值数据(iFinD）'!$Z707="",'实盘净值数据(iFinD）'!$AA707=""),"",分期持仓明细!$AB$24*(SUMPRODUCT(分期持仓明细!$B$24:$Y$24,'实盘净值数据(iFinD）'!$B707:$Y707/'实盘净值数据(iFinD）'!$B$65:$Y$65)+SUMPRODUCT(分期持仓明细!$AC$24:$AD$24,'实盘净值数据(iFinD）'!$Z707:$AA707/'实盘净值数据(iFinD）'!$Z$65:$AA$65))*(1-实盘持仓初始配置!$Z$8)^(('实盘净值数据(iFinD）'!$A707-'实盘净值数据(iFinD）'!$A$5)/365))</f>
        <v/>
      </c>
      <c r="O707" s="16" t="str">
        <f t="shared" si="70"/>
        <v/>
      </c>
      <c r="P707" s="16" t="str">
        <f>IF(N707="","",N707/MAX(N$5:N707)-1)</f>
        <v/>
      </c>
      <c r="Q707" s="13" t="str">
        <f>IF(OR('实盘净值数据(iFinD）'!$A707="",'实盘净值数据(iFinD）'!$B707="",'实盘净值数据(iFinD）'!$Z707="",'实盘净值数据(iFinD）'!$AA707=""),"",分期持仓明细!$AB$25*(SUMPRODUCT(分期持仓明细!$B$25:$Y$25,'实盘净值数据(iFinD）'!$B707:$Y707/'实盘净值数据(iFinD）'!$B$65:$Y$65)+SUMPRODUCT(分期持仓明细!$AC$25:$AD$25,'实盘净值数据(iFinD）'!$Z707:$AA707/'实盘净值数据(iFinD）'!$Z$65:$AA$65))*(1-实盘持仓初始配置!$Z$9)^(('实盘净值数据(iFinD）'!$A707-'实盘净值数据(iFinD）'!$A$8)/365))</f>
        <v/>
      </c>
      <c r="R707" s="16" t="str">
        <f t="shared" si="71"/>
        <v/>
      </c>
      <c r="S707" s="16" t="str">
        <f>IF(Q707="","",Q707/MAX(Q$5:Q707)-1)</f>
        <v/>
      </c>
      <c r="T707" s="13">
        <f>IF(OR('实盘净值数据(iFinD）'!$A707="",'实盘净值数据(iFinD）'!$B707="",'实盘净值数据(iFinD）'!$Z707="",'实盘净值数据(iFinD）'!$AA707="",'实盘净值数据(iFinD）'!$AB707="",'实盘净值数据(iFinD）'!$AL707=""),"",(SUMPRODUCT(分期持仓明细!$B$26:$Y$26,'实盘净值数据(iFinD）'!$B707:$Y707/'实盘净值数据(iFinD）'!$B$69:$Y$69)+SUMPRODUCT(分期持仓明细!$AC$26:$AD$26,'实盘净值数据(iFinD）'!$Z707:$AA707/'实盘净值数据(iFinD）'!$Z$69:$AA$69)+SUMPRODUCT(分期持仓明细!$AE$26:$AO$26,'实盘净值数据(iFinD）'!$AB707:$AL707/'实盘净值数据(iFinD）'!$AB$69:$AL$69))*(1-实盘持仓初始配置!$Z$10)^(('实盘净值数据(iFinD）'!$A707-'实盘净值数据(iFinD）'!$A$69)/365))</f>
        <v/>
      </c>
      <c r="U707" s="16">
        <f>IF(OR(T706="",T707=""),"",T707/T706-1)</f>
        <v/>
      </c>
      <c r="V707" s="16">
        <f>IF(T707="","",T707/MAX(T$5:T707)-1)</f>
        <v/>
      </c>
    </row>
    <row r="708" spans="1:19">
      <c r="A708" s="15" t="str">
        <f>IF('实盘净值数据(iFinD）'!A708="","",'实盘净值数据(iFinD）'!A708)</f>
        <v/>
      </c>
      <c r="B708" s="13" t="str">
        <f>IF(OR('实盘净值数据(iFinD）'!$A708="",'实盘净值数据(iFinD）'!$B708=""),"",分期持仓明细!$AB$17*SUMPRODUCT(分期持仓明细!$B$17:$Y$17,'实盘净值数据(iFinD）'!$B708:$Y708/'实盘净值数据(iFinD）'!$B$20:$Y$20)*(1-实盘持仓初始配置!$Z$4)^(('实盘净值数据(iFinD）'!$A708-'实盘净值数据(iFinD）'!$A$6)/365))</f>
        <v/>
      </c>
      <c r="C708" s="16" t="str">
        <f t="shared" si="66"/>
        <v/>
      </c>
      <c r="D708" s="16" t="str">
        <f>IF(B708="","",B708/MAX(B$5:B708)-1)</f>
        <v/>
      </c>
      <c r="E708" s="13" t="str">
        <f>IF(OR('实盘净值数据(iFinD）'!$A708="",'实盘净值数据(iFinD）'!$B708=""),"",分期持仓明细!$AB$18*SUMPRODUCT(分期持仓明细!$B$18:$Y$18,'实盘净值数据(iFinD）'!$B708:$Y708/'实盘净值数据(iFinD）'!$B$20:$Y$20)*(1-实盘持仓初始配置!$Z$5)^(('实盘净值数据(iFinD）'!$A708-'实盘净值数据(iFinD）'!$A$5)/365))</f>
        <v/>
      </c>
      <c r="F708" s="16" t="str">
        <f t="shared" si="67"/>
        <v/>
      </c>
      <c r="G708" s="16" t="str">
        <f>IF(E708="","",E708/MAX(E$5:E708)-1)</f>
        <v/>
      </c>
      <c r="H708" s="13" t="str">
        <f>IF(OR('实盘净值数据(iFinD）'!$A708="",'实盘净值数据(iFinD）'!$B708=""),"",分期持仓明细!$AB$19*SUMPRODUCT(分期持仓明细!$B$19:$Y$19,'实盘净值数据(iFinD）'!$B708:$Y708/'实盘净值数据(iFinD）'!$B$20:$Y$20)*(1-实盘持仓初始配置!$Z$6)^(('实盘净值数据(iFinD）'!$A708-'实盘净值数据(iFinD）'!$A$7)/365))</f>
        <v/>
      </c>
      <c r="I708" s="16" t="str">
        <f t="shared" si="68"/>
        <v/>
      </c>
      <c r="J708" s="16" t="str">
        <f>IF(H708="","",H708/MAX(H$5:H708)-1)</f>
        <v/>
      </c>
      <c r="K708" s="13" t="str">
        <f>IF(OR('实盘净值数据(iFinD）'!$A708="",'实盘净值数据(iFinD）'!$B708="",'实盘净值数据(iFinD）'!$Z708="",'实盘净值数据(iFinD）'!$AA708=""),"",分期持仓明细!$AB$23*(SUMPRODUCT(分期持仓明细!$B$23:$Y$23,'实盘净值数据(iFinD）'!$B708:$Y708/'实盘净值数据(iFinD）'!$B$65:$Y$65)+SUMPRODUCT(分期持仓明细!$AC$23:$AD$23,'实盘净值数据(iFinD）'!$Z708:$AA708/'实盘净值数据(iFinD）'!$Z$65:$AA$65))*(1-实盘持仓初始配置!$Z$7)^(('实盘净值数据(iFinD）'!$A708-'实盘净值数据(iFinD）'!$A$8)/365))</f>
        <v/>
      </c>
      <c r="L708" s="16" t="str">
        <f t="shared" si="69"/>
        <v/>
      </c>
      <c r="M708" s="16" t="str">
        <f>IF(K708="","",K708/MAX(K$5:K708)-1)</f>
        <v/>
      </c>
      <c r="N708" s="13" t="str">
        <f>IF(OR('实盘净值数据(iFinD）'!$A708="",'实盘净值数据(iFinD）'!$B708="",'实盘净值数据(iFinD）'!$Z708="",'实盘净值数据(iFinD）'!$AA708=""),"",分期持仓明细!$AB$24*(SUMPRODUCT(分期持仓明细!$B$24:$Y$24,'实盘净值数据(iFinD）'!$B708:$Y708/'实盘净值数据(iFinD）'!$B$65:$Y$65)+SUMPRODUCT(分期持仓明细!$AC$24:$AD$24,'实盘净值数据(iFinD）'!$Z708:$AA708/'实盘净值数据(iFinD）'!$Z$65:$AA$65))*(1-实盘持仓初始配置!$Z$8)^(('实盘净值数据(iFinD）'!$A708-'实盘净值数据(iFinD）'!$A$5)/365))</f>
        <v/>
      </c>
      <c r="O708" s="16" t="str">
        <f t="shared" si="70"/>
        <v/>
      </c>
      <c r="P708" s="16" t="str">
        <f>IF(N708="","",N708/MAX(N$5:N708)-1)</f>
        <v/>
      </c>
      <c r="Q708" s="13" t="str">
        <f>IF(OR('实盘净值数据(iFinD）'!$A708="",'实盘净值数据(iFinD）'!$B708="",'实盘净值数据(iFinD）'!$Z708="",'实盘净值数据(iFinD）'!$AA708=""),"",分期持仓明细!$AB$25*(SUMPRODUCT(分期持仓明细!$B$25:$Y$25,'实盘净值数据(iFinD）'!$B708:$Y708/'实盘净值数据(iFinD）'!$B$65:$Y$65)+SUMPRODUCT(分期持仓明细!$AC$25:$AD$25,'实盘净值数据(iFinD）'!$Z708:$AA708/'实盘净值数据(iFinD）'!$Z$65:$AA$65))*(1-实盘持仓初始配置!$Z$9)^(('实盘净值数据(iFinD）'!$A708-'实盘净值数据(iFinD）'!$A$8)/365))</f>
        <v/>
      </c>
      <c r="R708" s="16" t="str">
        <f t="shared" si="71"/>
        <v/>
      </c>
      <c r="S708" s="16" t="str">
        <f>IF(Q708="","",Q708/MAX(Q$5:Q708)-1)</f>
        <v/>
      </c>
      <c r="T708" s="13">
        <f>IF(OR('实盘净值数据(iFinD）'!$A708="",'实盘净值数据(iFinD）'!$B708="",'实盘净值数据(iFinD）'!$Z708="",'实盘净值数据(iFinD）'!$AA708="",'实盘净值数据(iFinD）'!$AB708="",'实盘净值数据(iFinD）'!$AL708=""),"",(SUMPRODUCT(分期持仓明细!$B$26:$Y$26,'实盘净值数据(iFinD）'!$B708:$Y708/'实盘净值数据(iFinD）'!$B$69:$Y$69)+SUMPRODUCT(分期持仓明细!$AC$26:$AD$26,'实盘净值数据(iFinD）'!$Z708:$AA708/'实盘净值数据(iFinD）'!$Z$69:$AA$69)+SUMPRODUCT(分期持仓明细!$AE$26:$AO$26,'实盘净值数据(iFinD）'!$AB708:$AL708/'实盘净值数据(iFinD）'!$AB$69:$AL$69))*(1-实盘持仓初始配置!$Z$10)^(('实盘净值数据(iFinD）'!$A708-'实盘净值数据(iFinD）'!$A$69)/365))</f>
        <v/>
      </c>
      <c r="U708" s="16">
        <f>IF(OR(T707="",T708=""),"",T708/T707-1)</f>
        <v/>
      </c>
      <c r="V708" s="16">
        <f>IF(T708="","",T708/MAX(T$5:T708)-1)</f>
        <v/>
      </c>
    </row>
    <row r="709" spans="1:19">
      <c r="A709" s="15" t="str">
        <f>IF('实盘净值数据(iFinD）'!A709="","",'实盘净值数据(iFinD）'!A709)</f>
        <v/>
      </c>
      <c r="B709" s="13" t="str">
        <f>IF(OR('实盘净值数据(iFinD）'!$A709="",'实盘净值数据(iFinD）'!$B709=""),"",分期持仓明细!$AB$17*SUMPRODUCT(分期持仓明细!$B$17:$Y$17,'实盘净值数据(iFinD）'!$B709:$Y709/'实盘净值数据(iFinD）'!$B$20:$Y$20)*(1-实盘持仓初始配置!$Z$4)^(('实盘净值数据(iFinD）'!$A709-'实盘净值数据(iFinD）'!$A$6)/365))</f>
        <v/>
      </c>
      <c r="C709" s="16" t="str">
        <f t="shared" si="66"/>
        <v/>
      </c>
      <c r="D709" s="16" t="str">
        <f>IF(B709="","",B709/MAX(B$5:B709)-1)</f>
        <v/>
      </c>
      <c r="E709" s="13" t="str">
        <f>IF(OR('实盘净值数据(iFinD）'!$A709="",'实盘净值数据(iFinD）'!$B709=""),"",分期持仓明细!$AB$18*SUMPRODUCT(分期持仓明细!$B$18:$Y$18,'实盘净值数据(iFinD）'!$B709:$Y709/'实盘净值数据(iFinD）'!$B$20:$Y$20)*(1-实盘持仓初始配置!$Z$5)^(('实盘净值数据(iFinD）'!$A709-'实盘净值数据(iFinD）'!$A$5)/365))</f>
        <v/>
      </c>
      <c r="F709" s="16" t="str">
        <f t="shared" si="67"/>
        <v/>
      </c>
      <c r="G709" s="16" t="str">
        <f>IF(E709="","",E709/MAX(E$5:E709)-1)</f>
        <v/>
      </c>
      <c r="H709" s="13" t="str">
        <f>IF(OR('实盘净值数据(iFinD）'!$A709="",'实盘净值数据(iFinD）'!$B709=""),"",分期持仓明细!$AB$19*SUMPRODUCT(分期持仓明细!$B$19:$Y$19,'实盘净值数据(iFinD）'!$B709:$Y709/'实盘净值数据(iFinD）'!$B$20:$Y$20)*(1-实盘持仓初始配置!$Z$6)^(('实盘净值数据(iFinD）'!$A709-'实盘净值数据(iFinD）'!$A$7)/365))</f>
        <v/>
      </c>
      <c r="I709" s="16" t="str">
        <f t="shared" si="68"/>
        <v/>
      </c>
      <c r="J709" s="16" t="str">
        <f>IF(H709="","",H709/MAX(H$5:H709)-1)</f>
        <v/>
      </c>
      <c r="K709" s="13" t="str">
        <f>IF(OR('实盘净值数据(iFinD）'!$A709="",'实盘净值数据(iFinD）'!$B709="",'实盘净值数据(iFinD）'!$Z709="",'实盘净值数据(iFinD）'!$AA709=""),"",分期持仓明细!$AB$23*(SUMPRODUCT(分期持仓明细!$B$23:$Y$23,'实盘净值数据(iFinD）'!$B709:$Y709/'实盘净值数据(iFinD）'!$B$65:$Y$65)+SUMPRODUCT(分期持仓明细!$AC$23:$AD$23,'实盘净值数据(iFinD）'!$Z709:$AA709/'实盘净值数据(iFinD）'!$Z$65:$AA$65))*(1-实盘持仓初始配置!$Z$7)^(('实盘净值数据(iFinD）'!$A709-'实盘净值数据(iFinD）'!$A$8)/365))</f>
        <v/>
      </c>
      <c r="L709" s="16" t="str">
        <f t="shared" si="69"/>
        <v/>
      </c>
      <c r="M709" s="16" t="str">
        <f>IF(K709="","",K709/MAX(K$5:K709)-1)</f>
        <v/>
      </c>
      <c r="N709" s="13" t="str">
        <f>IF(OR('实盘净值数据(iFinD）'!$A709="",'实盘净值数据(iFinD）'!$B709="",'实盘净值数据(iFinD）'!$Z709="",'实盘净值数据(iFinD）'!$AA709=""),"",分期持仓明细!$AB$24*(SUMPRODUCT(分期持仓明细!$B$24:$Y$24,'实盘净值数据(iFinD）'!$B709:$Y709/'实盘净值数据(iFinD）'!$B$65:$Y$65)+SUMPRODUCT(分期持仓明细!$AC$24:$AD$24,'实盘净值数据(iFinD）'!$Z709:$AA709/'实盘净值数据(iFinD）'!$Z$65:$AA$65))*(1-实盘持仓初始配置!$Z$8)^(('实盘净值数据(iFinD）'!$A709-'实盘净值数据(iFinD）'!$A$5)/365))</f>
        <v/>
      </c>
      <c r="O709" s="16" t="str">
        <f t="shared" si="70"/>
        <v/>
      </c>
      <c r="P709" s="16" t="str">
        <f>IF(N709="","",N709/MAX(N$5:N709)-1)</f>
        <v/>
      </c>
      <c r="Q709" s="13" t="str">
        <f>IF(OR('实盘净值数据(iFinD）'!$A709="",'实盘净值数据(iFinD）'!$B709="",'实盘净值数据(iFinD）'!$Z709="",'实盘净值数据(iFinD）'!$AA709=""),"",分期持仓明细!$AB$25*(SUMPRODUCT(分期持仓明细!$B$25:$Y$25,'实盘净值数据(iFinD）'!$B709:$Y709/'实盘净值数据(iFinD）'!$B$65:$Y$65)+SUMPRODUCT(分期持仓明细!$AC$25:$AD$25,'实盘净值数据(iFinD）'!$Z709:$AA709/'实盘净值数据(iFinD）'!$Z$65:$AA$65))*(1-实盘持仓初始配置!$Z$9)^(('实盘净值数据(iFinD）'!$A709-'实盘净值数据(iFinD）'!$A$8)/365))</f>
        <v/>
      </c>
      <c r="R709" s="16" t="str">
        <f t="shared" si="71"/>
        <v/>
      </c>
      <c r="S709" s="16" t="str">
        <f>IF(Q709="","",Q709/MAX(Q$5:Q709)-1)</f>
        <v/>
      </c>
      <c r="T709" s="13">
        <f>IF(OR('实盘净值数据(iFinD）'!$A709="",'实盘净值数据(iFinD）'!$B709="",'实盘净值数据(iFinD）'!$Z709="",'实盘净值数据(iFinD）'!$AA709="",'实盘净值数据(iFinD）'!$AB709="",'实盘净值数据(iFinD）'!$AL709=""),"",(SUMPRODUCT(分期持仓明细!$B$26:$Y$26,'实盘净值数据(iFinD）'!$B709:$Y709/'实盘净值数据(iFinD）'!$B$69:$Y$69)+SUMPRODUCT(分期持仓明细!$AC$26:$AD$26,'实盘净值数据(iFinD）'!$Z709:$AA709/'实盘净值数据(iFinD）'!$Z$69:$AA$69)+SUMPRODUCT(分期持仓明细!$AE$26:$AO$26,'实盘净值数据(iFinD）'!$AB709:$AL709/'实盘净值数据(iFinD）'!$AB$69:$AL$69))*(1-实盘持仓初始配置!$Z$10)^(('实盘净值数据(iFinD）'!$A709-'实盘净值数据(iFinD）'!$A$69)/365))</f>
        <v/>
      </c>
      <c r="U709" s="16">
        <f>IF(OR(T708="",T709=""),"",T709/T708-1)</f>
        <v/>
      </c>
      <c r="V709" s="16">
        <f>IF(T709="","",T709/MAX(T$5:T709)-1)</f>
        <v/>
      </c>
    </row>
    <row r="710" spans="1:19">
      <c r="A710" s="15" t="str">
        <f>IF('实盘净值数据(iFinD）'!A710="","",'实盘净值数据(iFinD）'!A710)</f>
        <v/>
      </c>
      <c r="B710" s="13" t="str">
        <f>IF(OR('实盘净值数据(iFinD）'!$A710="",'实盘净值数据(iFinD）'!$B710=""),"",分期持仓明细!$AB$17*SUMPRODUCT(分期持仓明细!$B$17:$Y$17,'实盘净值数据(iFinD）'!$B710:$Y710/'实盘净值数据(iFinD）'!$B$20:$Y$20)*(1-实盘持仓初始配置!$Z$4)^(('实盘净值数据(iFinD）'!$A710-'实盘净值数据(iFinD）'!$A$6)/365))</f>
        <v/>
      </c>
      <c r="C710" s="16" t="str">
        <f t="shared" si="66"/>
        <v/>
      </c>
      <c r="D710" s="16" t="str">
        <f>IF(B710="","",B710/MAX(B$5:B710)-1)</f>
        <v/>
      </c>
      <c r="E710" s="13" t="str">
        <f>IF(OR('实盘净值数据(iFinD）'!$A710="",'实盘净值数据(iFinD）'!$B710=""),"",分期持仓明细!$AB$18*SUMPRODUCT(分期持仓明细!$B$18:$Y$18,'实盘净值数据(iFinD）'!$B710:$Y710/'实盘净值数据(iFinD）'!$B$20:$Y$20)*(1-实盘持仓初始配置!$Z$5)^(('实盘净值数据(iFinD）'!$A710-'实盘净值数据(iFinD）'!$A$5)/365))</f>
        <v/>
      </c>
      <c r="F710" s="16" t="str">
        <f t="shared" si="67"/>
        <v/>
      </c>
      <c r="G710" s="16" t="str">
        <f>IF(E710="","",E710/MAX(E$5:E710)-1)</f>
        <v/>
      </c>
      <c r="H710" s="13" t="str">
        <f>IF(OR('实盘净值数据(iFinD）'!$A710="",'实盘净值数据(iFinD）'!$B710=""),"",分期持仓明细!$AB$19*SUMPRODUCT(分期持仓明细!$B$19:$Y$19,'实盘净值数据(iFinD）'!$B710:$Y710/'实盘净值数据(iFinD）'!$B$20:$Y$20)*(1-实盘持仓初始配置!$Z$6)^(('实盘净值数据(iFinD）'!$A710-'实盘净值数据(iFinD）'!$A$7)/365))</f>
        <v/>
      </c>
      <c r="I710" s="16" t="str">
        <f t="shared" si="68"/>
        <v/>
      </c>
      <c r="J710" s="16" t="str">
        <f>IF(H710="","",H710/MAX(H$5:H710)-1)</f>
        <v/>
      </c>
      <c r="K710" s="13" t="str">
        <f>IF(OR('实盘净值数据(iFinD）'!$A710="",'实盘净值数据(iFinD）'!$B710="",'实盘净值数据(iFinD）'!$Z710="",'实盘净值数据(iFinD）'!$AA710=""),"",分期持仓明细!$AB$23*(SUMPRODUCT(分期持仓明细!$B$23:$Y$23,'实盘净值数据(iFinD）'!$B710:$Y710/'实盘净值数据(iFinD）'!$B$65:$Y$65)+SUMPRODUCT(分期持仓明细!$AC$23:$AD$23,'实盘净值数据(iFinD）'!$Z710:$AA710/'实盘净值数据(iFinD）'!$Z$65:$AA$65))*(1-实盘持仓初始配置!$Z$7)^(('实盘净值数据(iFinD）'!$A710-'实盘净值数据(iFinD）'!$A$8)/365))</f>
        <v/>
      </c>
      <c r="L710" s="16" t="str">
        <f t="shared" si="69"/>
        <v/>
      </c>
      <c r="M710" s="16" t="str">
        <f>IF(K710="","",K710/MAX(K$5:K710)-1)</f>
        <v/>
      </c>
      <c r="N710" s="13" t="str">
        <f>IF(OR('实盘净值数据(iFinD）'!$A710="",'实盘净值数据(iFinD）'!$B710="",'实盘净值数据(iFinD）'!$Z710="",'实盘净值数据(iFinD）'!$AA710=""),"",分期持仓明细!$AB$24*(SUMPRODUCT(分期持仓明细!$B$24:$Y$24,'实盘净值数据(iFinD）'!$B710:$Y710/'实盘净值数据(iFinD）'!$B$65:$Y$65)+SUMPRODUCT(分期持仓明细!$AC$24:$AD$24,'实盘净值数据(iFinD）'!$Z710:$AA710/'实盘净值数据(iFinD）'!$Z$65:$AA$65))*(1-实盘持仓初始配置!$Z$8)^(('实盘净值数据(iFinD）'!$A710-'实盘净值数据(iFinD）'!$A$5)/365))</f>
        <v/>
      </c>
      <c r="O710" s="16" t="str">
        <f t="shared" si="70"/>
        <v/>
      </c>
      <c r="P710" s="16" t="str">
        <f>IF(N710="","",N710/MAX(N$5:N710)-1)</f>
        <v/>
      </c>
      <c r="Q710" s="13" t="str">
        <f>IF(OR('实盘净值数据(iFinD）'!$A710="",'实盘净值数据(iFinD）'!$B710="",'实盘净值数据(iFinD）'!$Z710="",'实盘净值数据(iFinD）'!$AA710=""),"",分期持仓明细!$AB$25*(SUMPRODUCT(分期持仓明细!$B$25:$Y$25,'实盘净值数据(iFinD）'!$B710:$Y710/'实盘净值数据(iFinD）'!$B$65:$Y$65)+SUMPRODUCT(分期持仓明细!$AC$25:$AD$25,'实盘净值数据(iFinD）'!$Z710:$AA710/'实盘净值数据(iFinD）'!$Z$65:$AA$65))*(1-实盘持仓初始配置!$Z$9)^(('实盘净值数据(iFinD）'!$A710-'实盘净值数据(iFinD）'!$A$8)/365))</f>
        <v/>
      </c>
      <c r="R710" s="16" t="str">
        <f t="shared" si="71"/>
        <v/>
      </c>
      <c r="S710" s="16" t="str">
        <f>IF(Q710="","",Q710/MAX(Q$5:Q710)-1)</f>
        <v/>
      </c>
      <c r="T710" s="13">
        <f>IF(OR('实盘净值数据(iFinD）'!$A710="",'实盘净值数据(iFinD）'!$B710="",'实盘净值数据(iFinD）'!$Z710="",'实盘净值数据(iFinD）'!$AA710="",'实盘净值数据(iFinD）'!$AB710="",'实盘净值数据(iFinD）'!$AL710=""),"",(SUMPRODUCT(分期持仓明细!$B$26:$Y$26,'实盘净值数据(iFinD）'!$B710:$Y710/'实盘净值数据(iFinD）'!$B$69:$Y$69)+SUMPRODUCT(分期持仓明细!$AC$26:$AD$26,'实盘净值数据(iFinD）'!$Z710:$AA710/'实盘净值数据(iFinD）'!$Z$69:$AA$69)+SUMPRODUCT(分期持仓明细!$AE$26:$AO$26,'实盘净值数据(iFinD）'!$AB710:$AL710/'实盘净值数据(iFinD）'!$AB$69:$AL$69))*(1-实盘持仓初始配置!$Z$10)^(('实盘净值数据(iFinD）'!$A710-'实盘净值数据(iFinD）'!$A$69)/365))</f>
        <v/>
      </c>
      <c r="U710" s="16">
        <f>IF(OR(T709="",T710=""),"",T710/T709-1)</f>
        <v/>
      </c>
      <c r="V710" s="16">
        <f>IF(T710="","",T710/MAX(T$5:T710)-1)</f>
        <v/>
      </c>
    </row>
    <row r="711" spans="1:19">
      <c r="A711" s="15" t="str">
        <f>IF('实盘净值数据(iFinD）'!A711="","",'实盘净值数据(iFinD）'!A711)</f>
        <v/>
      </c>
      <c r="B711" s="13" t="str">
        <f>IF(OR('实盘净值数据(iFinD）'!$A711="",'实盘净值数据(iFinD）'!$B711=""),"",分期持仓明细!$AB$17*SUMPRODUCT(分期持仓明细!$B$17:$Y$17,'实盘净值数据(iFinD）'!$B711:$Y711/'实盘净值数据(iFinD）'!$B$20:$Y$20)*(1-实盘持仓初始配置!$Z$4)^(('实盘净值数据(iFinD）'!$A711-'实盘净值数据(iFinD）'!$A$6)/365))</f>
        <v/>
      </c>
      <c r="C711" s="16" t="str">
        <f t="shared" si="66"/>
        <v/>
      </c>
      <c r="D711" s="16" t="str">
        <f>IF(B711="","",B711/MAX(B$5:B711)-1)</f>
        <v/>
      </c>
      <c r="E711" s="13" t="str">
        <f>IF(OR('实盘净值数据(iFinD）'!$A711="",'实盘净值数据(iFinD）'!$B711=""),"",分期持仓明细!$AB$18*SUMPRODUCT(分期持仓明细!$B$18:$Y$18,'实盘净值数据(iFinD）'!$B711:$Y711/'实盘净值数据(iFinD）'!$B$20:$Y$20)*(1-实盘持仓初始配置!$Z$5)^(('实盘净值数据(iFinD）'!$A711-'实盘净值数据(iFinD）'!$A$5)/365))</f>
        <v/>
      </c>
      <c r="F711" s="16" t="str">
        <f t="shared" si="67"/>
        <v/>
      </c>
      <c r="G711" s="16" t="str">
        <f>IF(E711="","",E711/MAX(E$5:E711)-1)</f>
        <v/>
      </c>
      <c r="H711" s="13" t="str">
        <f>IF(OR('实盘净值数据(iFinD）'!$A711="",'实盘净值数据(iFinD）'!$B711=""),"",分期持仓明细!$AB$19*SUMPRODUCT(分期持仓明细!$B$19:$Y$19,'实盘净值数据(iFinD）'!$B711:$Y711/'实盘净值数据(iFinD）'!$B$20:$Y$20)*(1-实盘持仓初始配置!$Z$6)^(('实盘净值数据(iFinD）'!$A711-'实盘净值数据(iFinD）'!$A$7)/365))</f>
        <v/>
      </c>
      <c r="I711" s="16" t="str">
        <f t="shared" si="68"/>
        <v/>
      </c>
      <c r="J711" s="16" t="str">
        <f>IF(H711="","",H711/MAX(H$5:H711)-1)</f>
        <v/>
      </c>
      <c r="K711" s="13" t="str">
        <f>IF(OR('实盘净值数据(iFinD）'!$A711="",'实盘净值数据(iFinD）'!$B711="",'实盘净值数据(iFinD）'!$Z711="",'实盘净值数据(iFinD）'!$AA711=""),"",分期持仓明细!$AB$23*(SUMPRODUCT(分期持仓明细!$B$23:$Y$23,'实盘净值数据(iFinD）'!$B711:$Y711/'实盘净值数据(iFinD）'!$B$65:$Y$65)+SUMPRODUCT(分期持仓明细!$AC$23:$AD$23,'实盘净值数据(iFinD）'!$Z711:$AA711/'实盘净值数据(iFinD）'!$Z$65:$AA$65))*(1-实盘持仓初始配置!$Z$7)^(('实盘净值数据(iFinD）'!$A711-'实盘净值数据(iFinD）'!$A$8)/365))</f>
        <v/>
      </c>
      <c r="L711" s="16" t="str">
        <f t="shared" si="69"/>
        <v/>
      </c>
      <c r="M711" s="16" t="str">
        <f>IF(K711="","",K711/MAX(K$5:K711)-1)</f>
        <v/>
      </c>
      <c r="N711" s="13" t="str">
        <f>IF(OR('实盘净值数据(iFinD）'!$A711="",'实盘净值数据(iFinD）'!$B711="",'实盘净值数据(iFinD）'!$Z711="",'实盘净值数据(iFinD）'!$AA711=""),"",分期持仓明细!$AB$24*(SUMPRODUCT(分期持仓明细!$B$24:$Y$24,'实盘净值数据(iFinD）'!$B711:$Y711/'实盘净值数据(iFinD）'!$B$65:$Y$65)+SUMPRODUCT(分期持仓明细!$AC$24:$AD$24,'实盘净值数据(iFinD）'!$Z711:$AA711/'实盘净值数据(iFinD）'!$Z$65:$AA$65))*(1-实盘持仓初始配置!$Z$8)^(('实盘净值数据(iFinD）'!$A711-'实盘净值数据(iFinD）'!$A$5)/365))</f>
        <v/>
      </c>
      <c r="O711" s="16" t="str">
        <f t="shared" si="70"/>
        <v/>
      </c>
      <c r="P711" s="16" t="str">
        <f>IF(N711="","",N711/MAX(N$5:N711)-1)</f>
        <v/>
      </c>
      <c r="Q711" s="13" t="str">
        <f>IF(OR('实盘净值数据(iFinD）'!$A711="",'实盘净值数据(iFinD）'!$B711="",'实盘净值数据(iFinD）'!$Z711="",'实盘净值数据(iFinD）'!$AA711=""),"",分期持仓明细!$AB$25*(SUMPRODUCT(分期持仓明细!$B$25:$Y$25,'实盘净值数据(iFinD）'!$B711:$Y711/'实盘净值数据(iFinD）'!$B$65:$Y$65)+SUMPRODUCT(分期持仓明细!$AC$25:$AD$25,'实盘净值数据(iFinD）'!$Z711:$AA711/'实盘净值数据(iFinD）'!$Z$65:$AA$65))*(1-实盘持仓初始配置!$Z$9)^(('实盘净值数据(iFinD）'!$A711-'实盘净值数据(iFinD）'!$A$8)/365))</f>
        <v/>
      </c>
      <c r="R711" s="16" t="str">
        <f t="shared" si="71"/>
        <v/>
      </c>
      <c r="S711" s="16" t="str">
        <f>IF(Q711="","",Q711/MAX(Q$5:Q711)-1)</f>
        <v/>
      </c>
      <c r="T711" s="13">
        <f>IF(OR('实盘净值数据(iFinD）'!$A711="",'实盘净值数据(iFinD）'!$B711="",'实盘净值数据(iFinD）'!$Z711="",'实盘净值数据(iFinD）'!$AA711="",'实盘净值数据(iFinD）'!$AB711="",'实盘净值数据(iFinD）'!$AL711=""),"",(SUMPRODUCT(分期持仓明细!$B$26:$Y$26,'实盘净值数据(iFinD）'!$B711:$Y711/'实盘净值数据(iFinD）'!$B$69:$Y$69)+SUMPRODUCT(分期持仓明细!$AC$26:$AD$26,'实盘净值数据(iFinD）'!$Z711:$AA711/'实盘净值数据(iFinD）'!$Z$69:$AA$69)+SUMPRODUCT(分期持仓明细!$AE$26:$AO$26,'实盘净值数据(iFinD）'!$AB711:$AL711/'实盘净值数据(iFinD）'!$AB$69:$AL$69))*(1-实盘持仓初始配置!$Z$10)^(('实盘净值数据(iFinD）'!$A711-'实盘净值数据(iFinD）'!$A$69)/365))</f>
        <v/>
      </c>
      <c r="U711" s="16">
        <f>IF(OR(T710="",T711=""),"",T711/T710-1)</f>
        <v/>
      </c>
      <c r="V711" s="16">
        <f>IF(T711="","",T711/MAX(T$5:T711)-1)</f>
        <v/>
      </c>
    </row>
    <row r="712" spans="1:19">
      <c r="A712" s="15" t="str">
        <f>IF('实盘净值数据(iFinD）'!A712="","",'实盘净值数据(iFinD）'!A712)</f>
        <v/>
      </c>
      <c r="B712" s="13" t="str">
        <f>IF(OR('实盘净值数据(iFinD）'!$A712="",'实盘净值数据(iFinD）'!$B712=""),"",分期持仓明细!$AB$17*SUMPRODUCT(分期持仓明细!$B$17:$Y$17,'实盘净值数据(iFinD）'!$B712:$Y712/'实盘净值数据(iFinD）'!$B$20:$Y$20)*(1-实盘持仓初始配置!$Z$4)^(('实盘净值数据(iFinD）'!$A712-'实盘净值数据(iFinD）'!$A$6)/365))</f>
        <v/>
      </c>
      <c r="C712" s="16" t="str">
        <f t="shared" si="66"/>
        <v/>
      </c>
      <c r="D712" s="16" t="str">
        <f>IF(B712="","",B712/MAX(B$5:B712)-1)</f>
        <v/>
      </c>
      <c r="E712" s="13" t="str">
        <f>IF(OR('实盘净值数据(iFinD）'!$A712="",'实盘净值数据(iFinD）'!$B712=""),"",分期持仓明细!$AB$18*SUMPRODUCT(分期持仓明细!$B$18:$Y$18,'实盘净值数据(iFinD）'!$B712:$Y712/'实盘净值数据(iFinD）'!$B$20:$Y$20)*(1-实盘持仓初始配置!$Z$5)^(('实盘净值数据(iFinD）'!$A712-'实盘净值数据(iFinD）'!$A$5)/365))</f>
        <v/>
      </c>
      <c r="F712" s="16" t="str">
        <f t="shared" si="67"/>
        <v/>
      </c>
      <c r="G712" s="16" t="str">
        <f>IF(E712="","",E712/MAX(E$5:E712)-1)</f>
        <v/>
      </c>
      <c r="H712" s="13" t="str">
        <f>IF(OR('实盘净值数据(iFinD）'!$A712="",'实盘净值数据(iFinD）'!$B712=""),"",分期持仓明细!$AB$19*SUMPRODUCT(分期持仓明细!$B$19:$Y$19,'实盘净值数据(iFinD）'!$B712:$Y712/'实盘净值数据(iFinD）'!$B$20:$Y$20)*(1-实盘持仓初始配置!$Z$6)^(('实盘净值数据(iFinD）'!$A712-'实盘净值数据(iFinD）'!$A$7)/365))</f>
        <v/>
      </c>
      <c r="I712" s="16" t="str">
        <f t="shared" si="68"/>
        <v/>
      </c>
      <c r="J712" s="16" t="str">
        <f>IF(H712="","",H712/MAX(H$5:H712)-1)</f>
        <v/>
      </c>
      <c r="K712" s="13" t="str">
        <f>IF(OR('实盘净值数据(iFinD）'!$A712="",'实盘净值数据(iFinD）'!$B712="",'实盘净值数据(iFinD）'!$Z712="",'实盘净值数据(iFinD）'!$AA712=""),"",分期持仓明细!$AB$23*(SUMPRODUCT(分期持仓明细!$B$23:$Y$23,'实盘净值数据(iFinD）'!$B712:$Y712/'实盘净值数据(iFinD）'!$B$65:$Y$65)+SUMPRODUCT(分期持仓明细!$AC$23:$AD$23,'实盘净值数据(iFinD）'!$Z712:$AA712/'实盘净值数据(iFinD）'!$Z$65:$AA$65))*(1-实盘持仓初始配置!$Z$7)^(('实盘净值数据(iFinD）'!$A712-'实盘净值数据(iFinD）'!$A$8)/365))</f>
        <v/>
      </c>
      <c r="L712" s="16" t="str">
        <f t="shared" si="69"/>
        <v/>
      </c>
      <c r="M712" s="16" t="str">
        <f>IF(K712="","",K712/MAX(K$5:K712)-1)</f>
        <v/>
      </c>
      <c r="N712" s="13" t="str">
        <f>IF(OR('实盘净值数据(iFinD）'!$A712="",'实盘净值数据(iFinD）'!$B712="",'实盘净值数据(iFinD）'!$Z712="",'实盘净值数据(iFinD）'!$AA712=""),"",分期持仓明细!$AB$24*(SUMPRODUCT(分期持仓明细!$B$24:$Y$24,'实盘净值数据(iFinD）'!$B712:$Y712/'实盘净值数据(iFinD）'!$B$65:$Y$65)+SUMPRODUCT(分期持仓明细!$AC$24:$AD$24,'实盘净值数据(iFinD）'!$Z712:$AA712/'实盘净值数据(iFinD）'!$Z$65:$AA$65))*(1-实盘持仓初始配置!$Z$8)^(('实盘净值数据(iFinD）'!$A712-'实盘净值数据(iFinD）'!$A$5)/365))</f>
        <v/>
      </c>
      <c r="O712" s="16" t="str">
        <f t="shared" si="70"/>
        <v/>
      </c>
      <c r="P712" s="16" t="str">
        <f>IF(N712="","",N712/MAX(N$5:N712)-1)</f>
        <v/>
      </c>
      <c r="Q712" s="13" t="str">
        <f>IF(OR('实盘净值数据(iFinD）'!$A712="",'实盘净值数据(iFinD）'!$B712="",'实盘净值数据(iFinD）'!$Z712="",'实盘净值数据(iFinD）'!$AA712=""),"",分期持仓明细!$AB$25*(SUMPRODUCT(分期持仓明细!$B$25:$Y$25,'实盘净值数据(iFinD）'!$B712:$Y712/'实盘净值数据(iFinD）'!$B$65:$Y$65)+SUMPRODUCT(分期持仓明细!$AC$25:$AD$25,'实盘净值数据(iFinD）'!$Z712:$AA712/'实盘净值数据(iFinD）'!$Z$65:$AA$65))*(1-实盘持仓初始配置!$Z$9)^(('实盘净值数据(iFinD）'!$A712-'实盘净值数据(iFinD）'!$A$8)/365))</f>
        <v/>
      </c>
      <c r="R712" s="16" t="str">
        <f t="shared" si="71"/>
        <v/>
      </c>
      <c r="S712" s="16" t="str">
        <f>IF(Q712="","",Q712/MAX(Q$5:Q712)-1)</f>
        <v/>
      </c>
      <c r="T712" s="13">
        <f>IF(OR('实盘净值数据(iFinD）'!$A712="",'实盘净值数据(iFinD）'!$B712="",'实盘净值数据(iFinD）'!$Z712="",'实盘净值数据(iFinD）'!$AA712="",'实盘净值数据(iFinD）'!$AB712="",'实盘净值数据(iFinD）'!$AL712=""),"",(SUMPRODUCT(分期持仓明细!$B$26:$Y$26,'实盘净值数据(iFinD）'!$B712:$Y712/'实盘净值数据(iFinD）'!$B$69:$Y$69)+SUMPRODUCT(分期持仓明细!$AC$26:$AD$26,'实盘净值数据(iFinD）'!$Z712:$AA712/'实盘净值数据(iFinD）'!$Z$69:$AA$69)+SUMPRODUCT(分期持仓明细!$AE$26:$AO$26,'实盘净值数据(iFinD）'!$AB712:$AL712/'实盘净值数据(iFinD）'!$AB$69:$AL$69))*(1-实盘持仓初始配置!$Z$10)^(('实盘净值数据(iFinD）'!$A712-'实盘净值数据(iFinD）'!$A$69)/365))</f>
        <v/>
      </c>
      <c r="U712" s="16">
        <f>IF(OR(T711="",T712=""),"",T712/T711-1)</f>
        <v/>
      </c>
      <c r="V712" s="16">
        <f>IF(T712="","",T712/MAX(T$5:T712)-1)</f>
        <v/>
      </c>
    </row>
    <row r="713" spans="1:19">
      <c r="A713" s="15" t="str">
        <f>IF('实盘净值数据(iFinD）'!A713="","",'实盘净值数据(iFinD）'!A713)</f>
        <v/>
      </c>
      <c r="B713" s="13" t="str">
        <f>IF(OR('实盘净值数据(iFinD）'!$A713="",'实盘净值数据(iFinD）'!$B713=""),"",分期持仓明细!$AB$17*SUMPRODUCT(分期持仓明细!$B$17:$Y$17,'实盘净值数据(iFinD）'!$B713:$Y713/'实盘净值数据(iFinD）'!$B$20:$Y$20)*(1-实盘持仓初始配置!$Z$4)^(('实盘净值数据(iFinD）'!$A713-'实盘净值数据(iFinD）'!$A$6)/365))</f>
        <v/>
      </c>
      <c r="C713" s="16" t="str">
        <f t="shared" si="66"/>
        <v/>
      </c>
      <c r="D713" s="16" t="str">
        <f>IF(B713="","",B713/MAX(B$5:B713)-1)</f>
        <v/>
      </c>
      <c r="E713" s="13" t="str">
        <f>IF(OR('实盘净值数据(iFinD）'!$A713="",'实盘净值数据(iFinD）'!$B713=""),"",分期持仓明细!$AB$18*SUMPRODUCT(分期持仓明细!$B$18:$Y$18,'实盘净值数据(iFinD）'!$B713:$Y713/'实盘净值数据(iFinD）'!$B$20:$Y$20)*(1-实盘持仓初始配置!$Z$5)^(('实盘净值数据(iFinD）'!$A713-'实盘净值数据(iFinD）'!$A$5)/365))</f>
        <v/>
      </c>
      <c r="F713" s="16" t="str">
        <f t="shared" si="67"/>
        <v/>
      </c>
      <c r="G713" s="16" t="str">
        <f>IF(E713="","",E713/MAX(E$5:E713)-1)</f>
        <v/>
      </c>
      <c r="H713" s="13" t="str">
        <f>IF(OR('实盘净值数据(iFinD）'!$A713="",'实盘净值数据(iFinD）'!$B713=""),"",分期持仓明细!$AB$19*SUMPRODUCT(分期持仓明细!$B$19:$Y$19,'实盘净值数据(iFinD）'!$B713:$Y713/'实盘净值数据(iFinD）'!$B$20:$Y$20)*(1-实盘持仓初始配置!$Z$6)^(('实盘净值数据(iFinD）'!$A713-'实盘净值数据(iFinD）'!$A$7)/365))</f>
        <v/>
      </c>
      <c r="I713" s="16" t="str">
        <f t="shared" si="68"/>
        <v/>
      </c>
      <c r="J713" s="16" t="str">
        <f>IF(H713="","",H713/MAX(H$5:H713)-1)</f>
        <v/>
      </c>
      <c r="K713" s="13" t="str">
        <f>IF(OR('实盘净值数据(iFinD）'!$A713="",'实盘净值数据(iFinD）'!$B713="",'实盘净值数据(iFinD）'!$Z713="",'实盘净值数据(iFinD）'!$AA713=""),"",分期持仓明细!$AB$23*(SUMPRODUCT(分期持仓明细!$B$23:$Y$23,'实盘净值数据(iFinD）'!$B713:$Y713/'实盘净值数据(iFinD）'!$B$65:$Y$65)+SUMPRODUCT(分期持仓明细!$AC$23:$AD$23,'实盘净值数据(iFinD）'!$Z713:$AA713/'实盘净值数据(iFinD）'!$Z$65:$AA$65))*(1-实盘持仓初始配置!$Z$7)^(('实盘净值数据(iFinD）'!$A713-'实盘净值数据(iFinD）'!$A$8)/365))</f>
        <v/>
      </c>
      <c r="L713" s="16" t="str">
        <f t="shared" si="69"/>
        <v/>
      </c>
      <c r="M713" s="16" t="str">
        <f>IF(K713="","",K713/MAX(K$5:K713)-1)</f>
        <v/>
      </c>
      <c r="N713" s="13" t="str">
        <f>IF(OR('实盘净值数据(iFinD）'!$A713="",'实盘净值数据(iFinD）'!$B713="",'实盘净值数据(iFinD）'!$Z713="",'实盘净值数据(iFinD）'!$AA713=""),"",分期持仓明细!$AB$24*(SUMPRODUCT(分期持仓明细!$B$24:$Y$24,'实盘净值数据(iFinD）'!$B713:$Y713/'实盘净值数据(iFinD）'!$B$65:$Y$65)+SUMPRODUCT(分期持仓明细!$AC$24:$AD$24,'实盘净值数据(iFinD）'!$Z713:$AA713/'实盘净值数据(iFinD）'!$Z$65:$AA$65))*(1-实盘持仓初始配置!$Z$8)^(('实盘净值数据(iFinD）'!$A713-'实盘净值数据(iFinD）'!$A$5)/365))</f>
        <v/>
      </c>
      <c r="O713" s="16" t="str">
        <f t="shared" si="70"/>
        <v/>
      </c>
      <c r="P713" s="16" t="str">
        <f>IF(N713="","",N713/MAX(N$5:N713)-1)</f>
        <v/>
      </c>
      <c r="Q713" s="13" t="str">
        <f>IF(OR('实盘净值数据(iFinD）'!$A713="",'实盘净值数据(iFinD）'!$B713="",'实盘净值数据(iFinD）'!$Z713="",'实盘净值数据(iFinD）'!$AA713=""),"",分期持仓明细!$AB$25*(SUMPRODUCT(分期持仓明细!$B$25:$Y$25,'实盘净值数据(iFinD）'!$B713:$Y713/'实盘净值数据(iFinD）'!$B$65:$Y$65)+SUMPRODUCT(分期持仓明细!$AC$25:$AD$25,'实盘净值数据(iFinD）'!$Z713:$AA713/'实盘净值数据(iFinD）'!$Z$65:$AA$65))*(1-实盘持仓初始配置!$Z$9)^(('实盘净值数据(iFinD）'!$A713-'实盘净值数据(iFinD）'!$A$8)/365))</f>
        <v/>
      </c>
      <c r="R713" s="16" t="str">
        <f t="shared" si="71"/>
        <v/>
      </c>
      <c r="S713" s="16" t="str">
        <f>IF(Q713="","",Q713/MAX(Q$5:Q713)-1)</f>
        <v/>
      </c>
      <c r="T713" s="13">
        <f>IF(OR('实盘净值数据(iFinD）'!$A713="",'实盘净值数据(iFinD）'!$B713="",'实盘净值数据(iFinD）'!$Z713="",'实盘净值数据(iFinD）'!$AA713="",'实盘净值数据(iFinD）'!$AB713="",'实盘净值数据(iFinD）'!$AL713=""),"",(SUMPRODUCT(分期持仓明细!$B$26:$Y$26,'实盘净值数据(iFinD）'!$B713:$Y713/'实盘净值数据(iFinD）'!$B$69:$Y$69)+SUMPRODUCT(分期持仓明细!$AC$26:$AD$26,'实盘净值数据(iFinD）'!$Z713:$AA713/'实盘净值数据(iFinD）'!$Z$69:$AA$69)+SUMPRODUCT(分期持仓明细!$AE$26:$AO$26,'实盘净值数据(iFinD）'!$AB713:$AL713/'实盘净值数据(iFinD）'!$AB$69:$AL$69))*(1-实盘持仓初始配置!$Z$10)^(('实盘净值数据(iFinD）'!$A713-'实盘净值数据(iFinD）'!$A$69)/365))</f>
        <v/>
      </c>
      <c r="U713" s="16">
        <f>IF(OR(T712="",T713=""),"",T713/T712-1)</f>
        <v/>
      </c>
      <c r="V713" s="16">
        <f>IF(T713="","",T713/MAX(T$5:T713)-1)</f>
        <v/>
      </c>
    </row>
    <row r="714" spans="1:19">
      <c r="A714" s="15" t="str">
        <f>IF('实盘净值数据(iFinD）'!A714="","",'实盘净值数据(iFinD）'!A714)</f>
        <v/>
      </c>
      <c r="B714" s="13" t="str">
        <f>IF(OR('实盘净值数据(iFinD）'!$A714="",'实盘净值数据(iFinD）'!$B714=""),"",分期持仓明细!$AB$17*SUMPRODUCT(分期持仓明细!$B$17:$Y$17,'实盘净值数据(iFinD）'!$B714:$Y714/'实盘净值数据(iFinD）'!$B$20:$Y$20)*(1-实盘持仓初始配置!$Z$4)^(('实盘净值数据(iFinD）'!$A714-'实盘净值数据(iFinD）'!$A$6)/365))</f>
        <v/>
      </c>
      <c r="C714" s="16" t="str">
        <f t="shared" si="66"/>
        <v/>
      </c>
      <c r="D714" s="16" t="str">
        <f>IF(B714="","",B714/MAX(B$5:B714)-1)</f>
        <v/>
      </c>
      <c r="E714" s="13" t="str">
        <f>IF(OR('实盘净值数据(iFinD）'!$A714="",'实盘净值数据(iFinD）'!$B714=""),"",分期持仓明细!$AB$18*SUMPRODUCT(分期持仓明细!$B$18:$Y$18,'实盘净值数据(iFinD）'!$B714:$Y714/'实盘净值数据(iFinD）'!$B$20:$Y$20)*(1-实盘持仓初始配置!$Z$5)^(('实盘净值数据(iFinD）'!$A714-'实盘净值数据(iFinD）'!$A$5)/365))</f>
        <v/>
      </c>
      <c r="F714" s="16" t="str">
        <f t="shared" si="67"/>
        <v/>
      </c>
      <c r="G714" s="16" t="str">
        <f>IF(E714="","",E714/MAX(E$5:E714)-1)</f>
        <v/>
      </c>
      <c r="H714" s="13" t="str">
        <f>IF(OR('实盘净值数据(iFinD）'!$A714="",'实盘净值数据(iFinD）'!$B714=""),"",分期持仓明细!$AB$19*SUMPRODUCT(分期持仓明细!$B$19:$Y$19,'实盘净值数据(iFinD）'!$B714:$Y714/'实盘净值数据(iFinD）'!$B$20:$Y$20)*(1-实盘持仓初始配置!$Z$6)^(('实盘净值数据(iFinD）'!$A714-'实盘净值数据(iFinD）'!$A$7)/365))</f>
        <v/>
      </c>
      <c r="I714" s="16" t="str">
        <f t="shared" si="68"/>
        <v/>
      </c>
      <c r="J714" s="16" t="str">
        <f>IF(H714="","",H714/MAX(H$5:H714)-1)</f>
        <v/>
      </c>
      <c r="K714" s="13" t="str">
        <f>IF(OR('实盘净值数据(iFinD）'!$A714="",'实盘净值数据(iFinD）'!$B714="",'实盘净值数据(iFinD）'!$Z714="",'实盘净值数据(iFinD）'!$AA714=""),"",分期持仓明细!$AB$23*(SUMPRODUCT(分期持仓明细!$B$23:$Y$23,'实盘净值数据(iFinD）'!$B714:$Y714/'实盘净值数据(iFinD）'!$B$65:$Y$65)+SUMPRODUCT(分期持仓明细!$AC$23:$AD$23,'实盘净值数据(iFinD）'!$Z714:$AA714/'实盘净值数据(iFinD）'!$Z$65:$AA$65))*(1-实盘持仓初始配置!$Z$7)^(('实盘净值数据(iFinD）'!$A714-'实盘净值数据(iFinD）'!$A$8)/365))</f>
        <v/>
      </c>
      <c r="L714" s="16" t="str">
        <f t="shared" si="69"/>
        <v/>
      </c>
      <c r="M714" s="16" t="str">
        <f>IF(K714="","",K714/MAX(K$5:K714)-1)</f>
        <v/>
      </c>
      <c r="N714" s="13" t="str">
        <f>IF(OR('实盘净值数据(iFinD）'!$A714="",'实盘净值数据(iFinD）'!$B714="",'实盘净值数据(iFinD）'!$Z714="",'实盘净值数据(iFinD）'!$AA714=""),"",分期持仓明细!$AB$24*(SUMPRODUCT(分期持仓明细!$B$24:$Y$24,'实盘净值数据(iFinD）'!$B714:$Y714/'实盘净值数据(iFinD）'!$B$65:$Y$65)+SUMPRODUCT(分期持仓明细!$AC$24:$AD$24,'实盘净值数据(iFinD）'!$Z714:$AA714/'实盘净值数据(iFinD）'!$Z$65:$AA$65))*(1-实盘持仓初始配置!$Z$8)^(('实盘净值数据(iFinD）'!$A714-'实盘净值数据(iFinD）'!$A$5)/365))</f>
        <v/>
      </c>
      <c r="O714" s="16" t="str">
        <f t="shared" si="70"/>
        <v/>
      </c>
      <c r="P714" s="16" t="str">
        <f>IF(N714="","",N714/MAX(N$5:N714)-1)</f>
        <v/>
      </c>
      <c r="Q714" s="13" t="str">
        <f>IF(OR('实盘净值数据(iFinD）'!$A714="",'实盘净值数据(iFinD）'!$B714="",'实盘净值数据(iFinD）'!$Z714="",'实盘净值数据(iFinD）'!$AA714=""),"",分期持仓明细!$AB$25*(SUMPRODUCT(分期持仓明细!$B$25:$Y$25,'实盘净值数据(iFinD）'!$B714:$Y714/'实盘净值数据(iFinD）'!$B$65:$Y$65)+SUMPRODUCT(分期持仓明细!$AC$25:$AD$25,'实盘净值数据(iFinD）'!$Z714:$AA714/'实盘净值数据(iFinD）'!$Z$65:$AA$65))*(1-实盘持仓初始配置!$Z$9)^(('实盘净值数据(iFinD）'!$A714-'实盘净值数据(iFinD）'!$A$8)/365))</f>
        <v/>
      </c>
      <c r="R714" s="16" t="str">
        <f t="shared" si="71"/>
        <v/>
      </c>
      <c r="S714" s="16" t="str">
        <f>IF(Q714="","",Q714/MAX(Q$5:Q714)-1)</f>
        <v/>
      </c>
      <c r="T714" s="13">
        <f>IF(OR('实盘净值数据(iFinD）'!$A714="",'实盘净值数据(iFinD）'!$B714="",'实盘净值数据(iFinD）'!$Z714="",'实盘净值数据(iFinD）'!$AA714="",'实盘净值数据(iFinD）'!$AB714="",'实盘净值数据(iFinD）'!$AL714=""),"",(SUMPRODUCT(分期持仓明细!$B$26:$Y$26,'实盘净值数据(iFinD）'!$B714:$Y714/'实盘净值数据(iFinD）'!$B$69:$Y$69)+SUMPRODUCT(分期持仓明细!$AC$26:$AD$26,'实盘净值数据(iFinD）'!$Z714:$AA714/'实盘净值数据(iFinD）'!$Z$69:$AA$69)+SUMPRODUCT(分期持仓明细!$AE$26:$AO$26,'实盘净值数据(iFinD）'!$AB714:$AL714/'实盘净值数据(iFinD）'!$AB$69:$AL$69))*(1-实盘持仓初始配置!$Z$10)^(('实盘净值数据(iFinD）'!$A714-'实盘净值数据(iFinD）'!$A$69)/365))</f>
        <v/>
      </c>
      <c r="U714" s="16">
        <f>IF(OR(T713="",T714=""),"",T714/T713-1)</f>
        <v/>
      </c>
      <c r="V714" s="16">
        <f>IF(T714="","",T714/MAX(T$5:T714)-1)</f>
        <v/>
      </c>
    </row>
    <row r="715" spans="1:19">
      <c r="A715" s="15" t="str">
        <f>IF('实盘净值数据(iFinD）'!A715="","",'实盘净值数据(iFinD）'!A715)</f>
        <v/>
      </c>
      <c r="B715" s="13" t="str">
        <f>IF(OR('实盘净值数据(iFinD）'!$A715="",'实盘净值数据(iFinD）'!$B715=""),"",分期持仓明细!$AB$17*SUMPRODUCT(分期持仓明细!$B$17:$Y$17,'实盘净值数据(iFinD）'!$B715:$Y715/'实盘净值数据(iFinD）'!$B$20:$Y$20)*(1-实盘持仓初始配置!$Z$4)^(('实盘净值数据(iFinD）'!$A715-'实盘净值数据(iFinD）'!$A$6)/365))</f>
        <v/>
      </c>
      <c r="C715" s="16" t="str">
        <f t="shared" si="66"/>
        <v/>
      </c>
      <c r="D715" s="16" t="str">
        <f>IF(B715="","",B715/MAX(B$5:B715)-1)</f>
        <v/>
      </c>
      <c r="E715" s="13" t="str">
        <f>IF(OR('实盘净值数据(iFinD）'!$A715="",'实盘净值数据(iFinD）'!$B715=""),"",分期持仓明细!$AB$18*SUMPRODUCT(分期持仓明细!$B$18:$Y$18,'实盘净值数据(iFinD）'!$B715:$Y715/'实盘净值数据(iFinD）'!$B$20:$Y$20)*(1-实盘持仓初始配置!$Z$5)^(('实盘净值数据(iFinD）'!$A715-'实盘净值数据(iFinD）'!$A$5)/365))</f>
        <v/>
      </c>
      <c r="F715" s="16" t="str">
        <f t="shared" si="67"/>
        <v/>
      </c>
      <c r="G715" s="16" t="str">
        <f>IF(E715="","",E715/MAX(E$5:E715)-1)</f>
        <v/>
      </c>
      <c r="H715" s="13" t="str">
        <f>IF(OR('实盘净值数据(iFinD）'!$A715="",'实盘净值数据(iFinD）'!$B715=""),"",分期持仓明细!$AB$19*SUMPRODUCT(分期持仓明细!$B$19:$Y$19,'实盘净值数据(iFinD）'!$B715:$Y715/'实盘净值数据(iFinD）'!$B$20:$Y$20)*(1-实盘持仓初始配置!$Z$6)^(('实盘净值数据(iFinD）'!$A715-'实盘净值数据(iFinD）'!$A$7)/365))</f>
        <v/>
      </c>
      <c r="I715" s="16" t="str">
        <f t="shared" si="68"/>
        <v/>
      </c>
      <c r="J715" s="16" t="str">
        <f>IF(H715="","",H715/MAX(H$5:H715)-1)</f>
        <v/>
      </c>
      <c r="K715" s="13" t="str">
        <f>IF(OR('实盘净值数据(iFinD）'!$A715="",'实盘净值数据(iFinD）'!$B715="",'实盘净值数据(iFinD）'!$Z715="",'实盘净值数据(iFinD）'!$AA715=""),"",分期持仓明细!$AB$23*(SUMPRODUCT(分期持仓明细!$B$23:$Y$23,'实盘净值数据(iFinD）'!$B715:$Y715/'实盘净值数据(iFinD）'!$B$65:$Y$65)+SUMPRODUCT(分期持仓明细!$AC$23:$AD$23,'实盘净值数据(iFinD）'!$Z715:$AA715/'实盘净值数据(iFinD）'!$Z$65:$AA$65))*(1-实盘持仓初始配置!$Z$7)^(('实盘净值数据(iFinD）'!$A715-'实盘净值数据(iFinD）'!$A$8)/365))</f>
        <v/>
      </c>
      <c r="L715" s="16" t="str">
        <f t="shared" si="69"/>
        <v/>
      </c>
      <c r="M715" s="16" t="str">
        <f>IF(K715="","",K715/MAX(K$5:K715)-1)</f>
        <v/>
      </c>
      <c r="N715" s="13" t="str">
        <f>IF(OR('实盘净值数据(iFinD）'!$A715="",'实盘净值数据(iFinD）'!$B715="",'实盘净值数据(iFinD）'!$Z715="",'实盘净值数据(iFinD）'!$AA715=""),"",分期持仓明细!$AB$24*(SUMPRODUCT(分期持仓明细!$B$24:$Y$24,'实盘净值数据(iFinD）'!$B715:$Y715/'实盘净值数据(iFinD）'!$B$65:$Y$65)+SUMPRODUCT(分期持仓明细!$AC$24:$AD$24,'实盘净值数据(iFinD）'!$Z715:$AA715/'实盘净值数据(iFinD）'!$Z$65:$AA$65))*(1-实盘持仓初始配置!$Z$8)^(('实盘净值数据(iFinD）'!$A715-'实盘净值数据(iFinD）'!$A$5)/365))</f>
        <v/>
      </c>
      <c r="O715" s="16" t="str">
        <f t="shared" si="70"/>
        <v/>
      </c>
      <c r="P715" s="16" t="str">
        <f>IF(N715="","",N715/MAX(N$5:N715)-1)</f>
        <v/>
      </c>
      <c r="Q715" s="13" t="str">
        <f>IF(OR('实盘净值数据(iFinD）'!$A715="",'实盘净值数据(iFinD）'!$B715="",'实盘净值数据(iFinD）'!$Z715="",'实盘净值数据(iFinD）'!$AA715=""),"",分期持仓明细!$AB$25*(SUMPRODUCT(分期持仓明细!$B$25:$Y$25,'实盘净值数据(iFinD）'!$B715:$Y715/'实盘净值数据(iFinD）'!$B$65:$Y$65)+SUMPRODUCT(分期持仓明细!$AC$25:$AD$25,'实盘净值数据(iFinD）'!$Z715:$AA715/'实盘净值数据(iFinD）'!$Z$65:$AA$65))*(1-实盘持仓初始配置!$Z$9)^(('实盘净值数据(iFinD）'!$A715-'实盘净值数据(iFinD）'!$A$8)/365))</f>
        <v/>
      </c>
      <c r="R715" s="16" t="str">
        <f t="shared" si="71"/>
        <v/>
      </c>
      <c r="S715" s="16" t="str">
        <f>IF(Q715="","",Q715/MAX(Q$5:Q715)-1)</f>
        <v/>
      </c>
      <c r="T715" s="13">
        <f>IF(OR('实盘净值数据(iFinD）'!$A715="",'实盘净值数据(iFinD）'!$B715="",'实盘净值数据(iFinD）'!$Z715="",'实盘净值数据(iFinD）'!$AA715="",'实盘净值数据(iFinD）'!$AB715="",'实盘净值数据(iFinD）'!$AL715=""),"",(SUMPRODUCT(分期持仓明细!$B$26:$Y$26,'实盘净值数据(iFinD）'!$B715:$Y715/'实盘净值数据(iFinD）'!$B$69:$Y$69)+SUMPRODUCT(分期持仓明细!$AC$26:$AD$26,'实盘净值数据(iFinD）'!$Z715:$AA715/'实盘净值数据(iFinD）'!$Z$69:$AA$69)+SUMPRODUCT(分期持仓明细!$AE$26:$AO$26,'实盘净值数据(iFinD）'!$AB715:$AL715/'实盘净值数据(iFinD）'!$AB$69:$AL$69))*(1-实盘持仓初始配置!$Z$10)^(('实盘净值数据(iFinD）'!$A715-'实盘净值数据(iFinD）'!$A$69)/365))</f>
        <v/>
      </c>
      <c r="U715" s="16">
        <f>IF(OR(T714="",T715=""),"",T715/T714-1)</f>
        <v/>
      </c>
      <c r="V715" s="16">
        <f>IF(T715="","",T715/MAX(T$5:T715)-1)</f>
        <v/>
      </c>
    </row>
    <row r="716" spans="1:19">
      <c r="A716" s="15" t="str">
        <f>IF('实盘净值数据(iFinD）'!A716="","",'实盘净值数据(iFinD）'!A716)</f>
        <v/>
      </c>
      <c r="B716" s="13" t="str">
        <f>IF(OR('实盘净值数据(iFinD）'!$A716="",'实盘净值数据(iFinD）'!$B716=""),"",分期持仓明细!$AB$17*SUMPRODUCT(分期持仓明细!$B$17:$Y$17,'实盘净值数据(iFinD）'!$B716:$Y716/'实盘净值数据(iFinD）'!$B$20:$Y$20)*(1-实盘持仓初始配置!$Z$4)^(('实盘净值数据(iFinD）'!$A716-'实盘净值数据(iFinD）'!$A$6)/365))</f>
        <v/>
      </c>
      <c r="C716" s="16" t="str">
        <f t="shared" si="66"/>
        <v/>
      </c>
      <c r="D716" s="16" t="str">
        <f>IF(B716="","",B716/MAX(B$5:B716)-1)</f>
        <v/>
      </c>
      <c r="E716" s="13" t="str">
        <f>IF(OR('实盘净值数据(iFinD）'!$A716="",'实盘净值数据(iFinD）'!$B716=""),"",分期持仓明细!$AB$18*SUMPRODUCT(分期持仓明细!$B$18:$Y$18,'实盘净值数据(iFinD）'!$B716:$Y716/'实盘净值数据(iFinD）'!$B$20:$Y$20)*(1-实盘持仓初始配置!$Z$5)^(('实盘净值数据(iFinD）'!$A716-'实盘净值数据(iFinD）'!$A$5)/365))</f>
        <v/>
      </c>
      <c r="F716" s="16" t="str">
        <f t="shared" si="67"/>
        <v/>
      </c>
      <c r="G716" s="16" t="str">
        <f>IF(E716="","",E716/MAX(E$5:E716)-1)</f>
        <v/>
      </c>
      <c r="H716" s="13" t="str">
        <f>IF(OR('实盘净值数据(iFinD）'!$A716="",'实盘净值数据(iFinD）'!$B716=""),"",分期持仓明细!$AB$19*SUMPRODUCT(分期持仓明细!$B$19:$Y$19,'实盘净值数据(iFinD）'!$B716:$Y716/'实盘净值数据(iFinD）'!$B$20:$Y$20)*(1-实盘持仓初始配置!$Z$6)^(('实盘净值数据(iFinD）'!$A716-'实盘净值数据(iFinD）'!$A$7)/365))</f>
        <v/>
      </c>
      <c r="I716" s="16" t="str">
        <f t="shared" si="68"/>
        <v/>
      </c>
      <c r="J716" s="16" t="str">
        <f>IF(H716="","",H716/MAX(H$5:H716)-1)</f>
        <v/>
      </c>
      <c r="K716" s="13" t="str">
        <f>IF(OR('实盘净值数据(iFinD）'!$A716="",'实盘净值数据(iFinD）'!$B716="",'实盘净值数据(iFinD）'!$Z716="",'实盘净值数据(iFinD）'!$AA716=""),"",分期持仓明细!$AB$23*(SUMPRODUCT(分期持仓明细!$B$23:$Y$23,'实盘净值数据(iFinD）'!$B716:$Y716/'实盘净值数据(iFinD）'!$B$65:$Y$65)+SUMPRODUCT(分期持仓明细!$AC$23:$AD$23,'实盘净值数据(iFinD）'!$Z716:$AA716/'实盘净值数据(iFinD）'!$Z$65:$AA$65))*(1-实盘持仓初始配置!$Z$7)^(('实盘净值数据(iFinD）'!$A716-'实盘净值数据(iFinD）'!$A$8)/365))</f>
        <v/>
      </c>
      <c r="L716" s="16" t="str">
        <f t="shared" si="69"/>
        <v/>
      </c>
      <c r="M716" s="16" t="str">
        <f>IF(K716="","",K716/MAX(K$5:K716)-1)</f>
        <v/>
      </c>
      <c r="N716" s="13" t="str">
        <f>IF(OR('实盘净值数据(iFinD）'!$A716="",'实盘净值数据(iFinD）'!$B716="",'实盘净值数据(iFinD）'!$Z716="",'实盘净值数据(iFinD）'!$AA716=""),"",分期持仓明细!$AB$24*(SUMPRODUCT(分期持仓明细!$B$24:$Y$24,'实盘净值数据(iFinD）'!$B716:$Y716/'实盘净值数据(iFinD）'!$B$65:$Y$65)+SUMPRODUCT(分期持仓明细!$AC$24:$AD$24,'实盘净值数据(iFinD）'!$Z716:$AA716/'实盘净值数据(iFinD）'!$Z$65:$AA$65))*(1-实盘持仓初始配置!$Z$8)^(('实盘净值数据(iFinD）'!$A716-'实盘净值数据(iFinD）'!$A$5)/365))</f>
        <v/>
      </c>
      <c r="O716" s="16" t="str">
        <f t="shared" si="70"/>
        <v/>
      </c>
      <c r="P716" s="16" t="str">
        <f>IF(N716="","",N716/MAX(N$5:N716)-1)</f>
        <v/>
      </c>
      <c r="Q716" s="13" t="str">
        <f>IF(OR('实盘净值数据(iFinD）'!$A716="",'实盘净值数据(iFinD）'!$B716="",'实盘净值数据(iFinD）'!$Z716="",'实盘净值数据(iFinD）'!$AA716=""),"",分期持仓明细!$AB$25*(SUMPRODUCT(分期持仓明细!$B$25:$Y$25,'实盘净值数据(iFinD）'!$B716:$Y716/'实盘净值数据(iFinD）'!$B$65:$Y$65)+SUMPRODUCT(分期持仓明细!$AC$25:$AD$25,'实盘净值数据(iFinD）'!$Z716:$AA716/'实盘净值数据(iFinD）'!$Z$65:$AA$65))*(1-实盘持仓初始配置!$Z$9)^(('实盘净值数据(iFinD）'!$A716-'实盘净值数据(iFinD）'!$A$8)/365))</f>
        <v/>
      </c>
      <c r="R716" s="16" t="str">
        <f t="shared" si="71"/>
        <v/>
      </c>
      <c r="S716" s="16" t="str">
        <f>IF(Q716="","",Q716/MAX(Q$5:Q716)-1)</f>
        <v/>
      </c>
      <c r="T716" s="13">
        <f>IF(OR('实盘净值数据(iFinD）'!$A716="",'实盘净值数据(iFinD）'!$B716="",'实盘净值数据(iFinD）'!$Z716="",'实盘净值数据(iFinD）'!$AA716="",'实盘净值数据(iFinD）'!$AB716="",'实盘净值数据(iFinD）'!$AL716=""),"",(SUMPRODUCT(分期持仓明细!$B$26:$Y$26,'实盘净值数据(iFinD）'!$B716:$Y716/'实盘净值数据(iFinD）'!$B$69:$Y$69)+SUMPRODUCT(分期持仓明细!$AC$26:$AD$26,'实盘净值数据(iFinD）'!$Z716:$AA716/'实盘净值数据(iFinD）'!$Z$69:$AA$69)+SUMPRODUCT(分期持仓明细!$AE$26:$AO$26,'实盘净值数据(iFinD）'!$AB716:$AL716/'实盘净值数据(iFinD）'!$AB$69:$AL$69))*(1-实盘持仓初始配置!$Z$10)^(('实盘净值数据(iFinD）'!$A716-'实盘净值数据(iFinD）'!$A$69)/365))</f>
        <v/>
      </c>
      <c r="U716" s="16">
        <f>IF(OR(T715="",T716=""),"",T716/T715-1)</f>
        <v/>
      </c>
      <c r="V716" s="16">
        <f>IF(T716="","",T716/MAX(T$5:T716)-1)</f>
        <v/>
      </c>
    </row>
    <row r="717" spans="1:19">
      <c r="A717" s="15" t="str">
        <f>IF('实盘净值数据(iFinD）'!A717="","",'实盘净值数据(iFinD）'!A717)</f>
        <v/>
      </c>
      <c r="B717" s="13" t="str">
        <f>IF(OR('实盘净值数据(iFinD）'!$A717="",'实盘净值数据(iFinD）'!$B717=""),"",分期持仓明细!$AB$17*SUMPRODUCT(分期持仓明细!$B$17:$Y$17,'实盘净值数据(iFinD）'!$B717:$Y717/'实盘净值数据(iFinD）'!$B$20:$Y$20)*(1-实盘持仓初始配置!$Z$4)^(('实盘净值数据(iFinD）'!$A717-'实盘净值数据(iFinD）'!$A$6)/365))</f>
        <v/>
      </c>
      <c r="C717" s="16" t="str">
        <f t="shared" si="66"/>
        <v/>
      </c>
      <c r="D717" s="16" t="str">
        <f>IF(B717="","",B717/MAX(B$5:B717)-1)</f>
        <v/>
      </c>
      <c r="E717" s="13" t="str">
        <f>IF(OR('实盘净值数据(iFinD）'!$A717="",'实盘净值数据(iFinD）'!$B717=""),"",分期持仓明细!$AB$18*SUMPRODUCT(分期持仓明细!$B$18:$Y$18,'实盘净值数据(iFinD）'!$B717:$Y717/'实盘净值数据(iFinD）'!$B$20:$Y$20)*(1-实盘持仓初始配置!$Z$5)^(('实盘净值数据(iFinD）'!$A717-'实盘净值数据(iFinD）'!$A$5)/365))</f>
        <v/>
      </c>
      <c r="F717" s="16" t="str">
        <f t="shared" si="67"/>
        <v/>
      </c>
      <c r="G717" s="16" t="str">
        <f>IF(E717="","",E717/MAX(E$5:E717)-1)</f>
        <v/>
      </c>
      <c r="H717" s="13" t="str">
        <f>IF(OR('实盘净值数据(iFinD）'!$A717="",'实盘净值数据(iFinD）'!$B717=""),"",分期持仓明细!$AB$19*SUMPRODUCT(分期持仓明细!$B$19:$Y$19,'实盘净值数据(iFinD）'!$B717:$Y717/'实盘净值数据(iFinD）'!$B$20:$Y$20)*(1-实盘持仓初始配置!$Z$6)^(('实盘净值数据(iFinD）'!$A717-'实盘净值数据(iFinD）'!$A$7)/365))</f>
        <v/>
      </c>
      <c r="I717" s="16" t="str">
        <f t="shared" si="68"/>
        <v/>
      </c>
      <c r="J717" s="16" t="str">
        <f>IF(H717="","",H717/MAX(H$5:H717)-1)</f>
        <v/>
      </c>
      <c r="K717" s="13" t="str">
        <f>IF(OR('实盘净值数据(iFinD）'!$A717="",'实盘净值数据(iFinD）'!$B717="",'实盘净值数据(iFinD）'!$Z717="",'实盘净值数据(iFinD）'!$AA717=""),"",分期持仓明细!$AB$23*(SUMPRODUCT(分期持仓明细!$B$23:$Y$23,'实盘净值数据(iFinD）'!$B717:$Y717/'实盘净值数据(iFinD）'!$B$65:$Y$65)+SUMPRODUCT(分期持仓明细!$AC$23:$AD$23,'实盘净值数据(iFinD）'!$Z717:$AA717/'实盘净值数据(iFinD）'!$Z$65:$AA$65))*(1-实盘持仓初始配置!$Z$7)^(('实盘净值数据(iFinD）'!$A717-'实盘净值数据(iFinD）'!$A$8)/365))</f>
        <v/>
      </c>
      <c r="L717" s="16" t="str">
        <f t="shared" si="69"/>
        <v/>
      </c>
      <c r="M717" s="16" t="str">
        <f>IF(K717="","",K717/MAX(K$5:K717)-1)</f>
        <v/>
      </c>
      <c r="N717" s="13" t="str">
        <f>IF(OR('实盘净值数据(iFinD）'!$A717="",'实盘净值数据(iFinD）'!$B717="",'实盘净值数据(iFinD）'!$Z717="",'实盘净值数据(iFinD）'!$AA717=""),"",分期持仓明细!$AB$24*(SUMPRODUCT(分期持仓明细!$B$24:$Y$24,'实盘净值数据(iFinD）'!$B717:$Y717/'实盘净值数据(iFinD）'!$B$65:$Y$65)+SUMPRODUCT(分期持仓明细!$AC$24:$AD$24,'实盘净值数据(iFinD）'!$Z717:$AA717/'实盘净值数据(iFinD）'!$Z$65:$AA$65))*(1-实盘持仓初始配置!$Z$8)^(('实盘净值数据(iFinD）'!$A717-'实盘净值数据(iFinD）'!$A$5)/365))</f>
        <v/>
      </c>
      <c r="O717" s="16" t="str">
        <f t="shared" si="70"/>
        <v/>
      </c>
      <c r="P717" s="16" t="str">
        <f>IF(N717="","",N717/MAX(N$5:N717)-1)</f>
        <v/>
      </c>
      <c r="Q717" s="13" t="str">
        <f>IF(OR('实盘净值数据(iFinD）'!$A717="",'实盘净值数据(iFinD）'!$B717="",'实盘净值数据(iFinD）'!$Z717="",'实盘净值数据(iFinD）'!$AA717=""),"",分期持仓明细!$AB$25*(SUMPRODUCT(分期持仓明细!$B$25:$Y$25,'实盘净值数据(iFinD）'!$B717:$Y717/'实盘净值数据(iFinD）'!$B$65:$Y$65)+SUMPRODUCT(分期持仓明细!$AC$25:$AD$25,'实盘净值数据(iFinD）'!$Z717:$AA717/'实盘净值数据(iFinD）'!$Z$65:$AA$65))*(1-实盘持仓初始配置!$Z$9)^(('实盘净值数据(iFinD）'!$A717-'实盘净值数据(iFinD）'!$A$8)/365))</f>
        <v/>
      </c>
      <c r="R717" s="16" t="str">
        <f t="shared" si="71"/>
        <v/>
      </c>
      <c r="S717" s="16" t="str">
        <f>IF(Q717="","",Q717/MAX(Q$5:Q717)-1)</f>
        <v/>
      </c>
      <c r="T717" s="13">
        <f>IF(OR('实盘净值数据(iFinD）'!$A717="",'实盘净值数据(iFinD）'!$B717="",'实盘净值数据(iFinD）'!$Z717="",'实盘净值数据(iFinD）'!$AA717="",'实盘净值数据(iFinD）'!$AB717="",'实盘净值数据(iFinD）'!$AL717=""),"",(SUMPRODUCT(分期持仓明细!$B$26:$Y$26,'实盘净值数据(iFinD）'!$B717:$Y717/'实盘净值数据(iFinD）'!$B$69:$Y$69)+SUMPRODUCT(分期持仓明细!$AC$26:$AD$26,'实盘净值数据(iFinD）'!$Z717:$AA717/'实盘净值数据(iFinD）'!$Z$69:$AA$69)+SUMPRODUCT(分期持仓明细!$AE$26:$AO$26,'实盘净值数据(iFinD）'!$AB717:$AL717/'实盘净值数据(iFinD）'!$AB$69:$AL$69))*(1-实盘持仓初始配置!$Z$10)^(('实盘净值数据(iFinD）'!$A717-'实盘净值数据(iFinD）'!$A$69)/365))</f>
        <v/>
      </c>
      <c r="U717" s="16">
        <f>IF(OR(T716="",T717=""),"",T717/T716-1)</f>
        <v/>
      </c>
      <c r="V717" s="16">
        <f>IF(T717="","",T717/MAX(T$5:T717)-1)</f>
        <v/>
      </c>
    </row>
    <row r="718" spans="1:19">
      <c r="A718" s="15" t="str">
        <f>IF('实盘净值数据(iFinD）'!A718="","",'实盘净值数据(iFinD）'!A718)</f>
        <v/>
      </c>
      <c r="B718" s="13" t="str">
        <f>IF(OR('实盘净值数据(iFinD）'!$A718="",'实盘净值数据(iFinD）'!$B718=""),"",分期持仓明细!$AB$17*SUMPRODUCT(分期持仓明细!$B$17:$Y$17,'实盘净值数据(iFinD）'!$B718:$Y718/'实盘净值数据(iFinD）'!$B$20:$Y$20)*(1-实盘持仓初始配置!$Z$4)^(('实盘净值数据(iFinD）'!$A718-'实盘净值数据(iFinD）'!$A$6)/365))</f>
        <v/>
      </c>
      <c r="C718" s="16" t="str">
        <f t="shared" si="66"/>
        <v/>
      </c>
      <c r="D718" s="16" t="str">
        <f>IF(B718="","",B718/MAX(B$5:B718)-1)</f>
        <v/>
      </c>
      <c r="E718" s="13" t="str">
        <f>IF(OR('实盘净值数据(iFinD）'!$A718="",'实盘净值数据(iFinD）'!$B718=""),"",分期持仓明细!$AB$18*SUMPRODUCT(分期持仓明细!$B$18:$Y$18,'实盘净值数据(iFinD）'!$B718:$Y718/'实盘净值数据(iFinD）'!$B$20:$Y$20)*(1-实盘持仓初始配置!$Z$5)^(('实盘净值数据(iFinD）'!$A718-'实盘净值数据(iFinD）'!$A$5)/365))</f>
        <v/>
      </c>
      <c r="F718" s="16" t="str">
        <f t="shared" si="67"/>
        <v/>
      </c>
      <c r="G718" s="16" t="str">
        <f>IF(E718="","",E718/MAX(E$5:E718)-1)</f>
        <v/>
      </c>
      <c r="H718" s="13" t="str">
        <f>IF(OR('实盘净值数据(iFinD）'!$A718="",'实盘净值数据(iFinD）'!$B718=""),"",分期持仓明细!$AB$19*SUMPRODUCT(分期持仓明细!$B$19:$Y$19,'实盘净值数据(iFinD）'!$B718:$Y718/'实盘净值数据(iFinD）'!$B$20:$Y$20)*(1-实盘持仓初始配置!$Z$6)^(('实盘净值数据(iFinD）'!$A718-'实盘净值数据(iFinD）'!$A$7)/365))</f>
        <v/>
      </c>
      <c r="I718" s="16" t="str">
        <f t="shared" si="68"/>
        <v/>
      </c>
      <c r="J718" s="16" t="str">
        <f>IF(H718="","",H718/MAX(H$5:H718)-1)</f>
        <v/>
      </c>
      <c r="K718" s="13" t="str">
        <f>IF(OR('实盘净值数据(iFinD）'!$A718="",'实盘净值数据(iFinD）'!$B718="",'实盘净值数据(iFinD）'!$Z718="",'实盘净值数据(iFinD）'!$AA718=""),"",分期持仓明细!$AB$23*(SUMPRODUCT(分期持仓明细!$B$23:$Y$23,'实盘净值数据(iFinD）'!$B718:$Y718/'实盘净值数据(iFinD）'!$B$65:$Y$65)+SUMPRODUCT(分期持仓明细!$AC$23:$AD$23,'实盘净值数据(iFinD）'!$Z718:$AA718/'实盘净值数据(iFinD）'!$Z$65:$AA$65))*(1-实盘持仓初始配置!$Z$7)^(('实盘净值数据(iFinD）'!$A718-'实盘净值数据(iFinD）'!$A$8)/365))</f>
        <v/>
      </c>
      <c r="L718" s="16" t="str">
        <f t="shared" si="69"/>
        <v/>
      </c>
      <c r="M718" s="16" t="str">
        <f>IF(K718="","",K718/MAX(K$5:K718)-1)</f>
        <v/>
      </c>
      <c r="N718" s="13" t="str">
        <f>IF(OR('实盘净值数据(iFinD）'!$A718="",'实盘净值数据(iFinD）'!$B718="",'实盘净值数据(iFinD）'!$Z718="",'实盘净值数据(iFinD）'!$AA718=""),"",分期持仓明细!$AB$24*(SUMPRODUCT(分期持仓明细!$B$24:$Y$24,'实盘净值数据(iFinD）'!$B718:$Y718/'实盘净值数据(iFinD）'!$B$65:$Y$65)+SUMPRODUCT(分期持仓明细!$AC$24:$AD$24,'实盘净值数据(iFinD）'!$Z718:$AA718/'实盘净值数据(iFinD）'!$Z$65:$AA$65))*(1-实盘持仓初始配置!$Z$8)^(('实盘净值数据(iFinD）'!$A718-'实盘净值数据(iFinD）'!$A$5)/365))</f>
        <v/>
      </c>
      <c r="O718" s="16" t="str">
        <f t="shared" si="70"/>
        <v/>
      </c>
      <c r="P718" s="16" t="str">
        <f>IF(N718="","",N718/MAX(N$5:N718)-1)</f>
        <v/>
      </c>
      <c r="Q718" s="13" t="str">
        <f>IF(OR('实盘净值数据(iFinD）'!$A718="",'实盘净值数据(iFinD）'!$B718="",'实盘净值数据(iFinD）'!$Z718="",'实盘净值数据(iFinD）'!$AA718=""),"",分期持仓明细!$AB$25*(SUMPRODUCT(分期持仓明细!$B$25:$Y$25,'实盘净值数据(iFinD）'!$B718:$Y718/'实盘净值数据(iFinD）'!$B$65:$Y$65)+SUMPRODUCT(分期持仓明细!$AC$25:$AD$25,'实盘净值数据(iFinD）'!$Z718:$AA718/'实盘净值数据(iFinD）'!$Z$65:$AA$65))*(1-实盘持仓初始配置!$Z$9)^(('实盘净值数据(iFinD）'!$A718-'实盘净值数据(iFinD）'!$A$8)/365))</f>
        <v/>
      </c>
      <c r="R718" s="16" t="str">
        <f t="shared" si="71"/>
        <v/>
      </c>
      <c r="S718" s="16" t="str">
        <f>IF(Q718="","",Q718/MAX(Q$5:Q718)-1)</f>
        <v/>
      </c>
      <c r="T718" s="13">
        <f>IF(OR('实盘净值数据(iFinD）'!$A718="",'实盘净值数据(iFinD）'!$B718="",'实盘净值数据(iFinD）'!$Z718="",'实盘净值数据(iFinD）'!$AA718="",'实盘净值数据(iFinD）'!$AB718="",'实盘净值数据(iFinD）'!$AL718=""),"",(SUMPRODUCT(分期持仓明细!$B$26:$Y$26,'实盘净值数据(iFinD）'!$B718:$Y718/'实盘净值数据(iFinD）'!$B$69:$Y$69)+SUMPRODUCT(分期持仓明细!$AC$26:$AD$26,'实盘净值数据(iFinD）'!$Z718:$AA718/'实盘净值数据(iFinD）'!$Z$69:$AA$69)+SUMPRODUCT(分期持仓明细!$AE$26:$AO$26,'实盘净值数据(iFinD）'!$AB718:$AL718/'实盘净值数据(iFinD）'!$AB$69:$AL$69))*(1-实盘持仓初始配置!$Z$10)^(('实盘净值数据(iFinD）'!$A718-'实盘净值数据(iFinD）'!$A$69)/365))</f>
        <v/>
      </c>
      <c r="U718" s="16">
        <f>IF(OR(T717="",T718=""),"",T718/T717-1)</f>
        <v/>
      </c>
      <c r="V718" s="16">
        <f>IF(T718="","",T718/MAX(T$5:T718)-1)</f>
        <v/>
      </c>
    </row>
    <row r="719" spans="1:19">
      <c r="A719" s="15" t="str">
        <f>IF('实盘净值数据(iFinD）'!A719="","",'实盘净值数据(iFinD）'!A719)</f>
        <v/>
      </c>
      <c r="B719" s="13" t="str">
        <f>IF(OR('实盘净值数据(iFinD）'!$A719="",'实盘净值数据(iFinD）'!$B719=""),"",分期持仓明细!$AB$17*SUMPRODUCT(分期持仓明细!$B$17:$Y$17,'实盘净值数据(iFinD）'!$B719:$Y719/'实盘净值数据(iFinD）'!$B$20:$Y$20)*(1-实盘持仓初始配置!$Z$4)^(('实盘净值数据(iFinD）'!$A719-'实盘净值数据(iFinD）'!$A$6)/365))</f>
        <v/>
      </c>
      <c r="C719" s="16" t="str">
        <f t="shared" si="66"/>
        <v/>
      </c>
      <c r="D719" s="16" t="str">
        <f>IF(B719="","",B719/MAX(B$5:B719)-1)</f>
        <v/>
      </c>
      <c r="E719" s="13" t="str">
        <f>IF(OR('实盘净值数据(iFinD）'!$A719="",'实盘净值数据(iFinD）'!$B719=""),"",分期持仓明细!$AB$18*SUMPRODUCT(分期持仓明细!$B$18:$Y$18,'实盘净值数据(iFinD）'!$B719:$Y719/'实盘净值数据(iFinD）'!$B$20:$Y$20)*(1-实盘持仓初始配置!$Z$5)^(('实盘净值数据(iFinD）'!$A719-'实盘净值数据(iFinD）'!$A$5)/365))</f>
        <v/>
      </c>
      <c r="F719" s="16" t="str">
        <f t="shared" si="67"/>
        <v/>
      </c>
      <c r="G719" s="16" t="str">
        <f>IF(E719="","",E719/MAX(E$5:E719)-1)</f>
        <v/>
      </c>
      <c r="H719" s="13" t="str">
        <f>IF(OR('实盘净值数据(iFinD）'!$A719="",'实盘净值数据(iFinD）'!$B719=""),"",分期持仓明细!$AB$19*SUMPRODUCT(分期持仓明细!$B$19:$Y$19,'实盘净值数据(iFinD）'!$B719:$Y719/'实盘净值数据(iFinD）'!$B$20:$Y$20)*(1-实盘持仓初始配置!$Z$6)^(('实盘净值数据(iFinD）'!$A719-'实盘净值数据(iFinD）'!$A$7)/365))</f>
        <v/>
      </c>
      <c r="I719" s="16" t="str">
        <f t="shared" si="68"/>
        <v/>
      </c>
      <c r="J719" s="16" t="str">
        <f>IF(H719="","",H719/MAX(H$5:H719)-1)</f>
        <v/>
      </c>
      <c r="K719" s="13" t="str">
        <f>IF(OR('实盘净值数据(iFinD）'!$A719="",'实盘净值数据(iFinD）'!$B719="",'实盘净值数据(iFinD）'!$Z719="",'实盘净值数据(iFinD）'!$AA719=""),"",分期持仓明细!$AB$23*(SUMPRODUCT(分期持仓明细!$B$23:$Y$23,'实盘净值数据(iFinD）'!$B719:$Y719/'实盘净值数据(iFinD）'!$B$65:$Y$65)+SUMPRODUCT(分期持仓明细!$AC$23:$AD$23,'实盘净值数据(iFinD）'!$Z719:$AA719/'实盘净值数据(iFinD）'!$Z$65:$AA$65))*(1-实盘持仓初始配置!$Z$7)^(('实盘净值数据(iFinD）'!$A719-'实盘净值数据(iFinD）'!$A$8)/365))</f>
        <v/>
      </c>
      <c r="L719" s="16" t="str">
        <f t="shared" si="69"/>
        <v/>
      </c>
      <c r="M719" s="16" t="str">
        <f>IF(K719="","",K719/MAX(K$5:K719)-1)</f>
        <v/>
      </c>
      <c r="N719" s="13" t="str">
        <f>IF(OR('实盘净值数据(iFinD）'!$A719="",'实盘净值数据(iFinD）'!$B719="",'实盘净值数据(iFinD）'!$Z719="",'实盘净值数据(iFinD）'!$AA719=""),"",分期持仓明细!$AB$24*(SUMPRODUCT(分期持仓明细!$B$24:$Y$24,'实盘净值数据(iFinD）'!$B719:$Y719/'实盘净值数据(iFinD）'!$B$65:$Y$65)+SUMPRODUCT(分期持仓明细!$AC$24:$AD$24,'实盘净值数据(iFinD）'!$Z719:$AA719/'实盘净值数据(iFinD）'!$Z$65:$AA$65))*(1-实盘持仓初始配置!$Z$8)^(('实盘净值数据(iFinD）'!$A719-'实盘净值数据(iFinD）'!$A$5)/365))</f>
        <v/>
      </c>
      <c r="O719" s="16" t="str">
        <f t="shared" si="70"/>
        <v/>
      </c>
      <c r="P719" s="16" t="str">
        <f>IF(N719="","",N719/MAX(N$5:N719)-1)</f>
        <v/>
      </c>
      <c r="Q719" s="13" t="str">
        <f>IF(OR('实盘净值数据(iFinD）'!$A719="",'实盘净值数据(iFinD）'!$B719="",'实盘净值数据(iFinD）'!$Z719="",'实盘净值数据(iFinD）'!$AA719=""),"",分期持仓明细!$AB$25*(SUMPRODUCT(分期持仓明细!$B$25:$Y$25,'实盘净值数据(iFinD）'!$B719:$Y719/'实盘净值数据(iFinD）'!$B$65:$Y$65)+SUMPRODUCT(分期持仓明细!$AC$25:$AD$25,'实盘净值数据(iFinD）'!$Z719:$AA719/'实盘净值数据(iFinD）'!$Z$65:$AA$65))*(1-实盘持仓初始配置!$Z$9)^(('实盘净值数据(iFinD）'!$A719-'实盘净值数据(iFinD）'!$A$8)/365))</f>
        <v/>
      </c>
      <c r="R719" s="16" t="str">
        <f t="shared" si="71"/>
        <v/>
      </c>
      <c r="S719" s="16" t="str">
        <f>IF(Q719="","",Q719/MAX(Q$5:Q719)-1)</f>
        <v/>
      </c>
      <c r="T719" s="13">
        <f>IF(OR('实盘净值数据(iFinD）'!$A719="",'实盘净值数据(iFinD）'!$B719="",'实盘净值数据(iFinD）'!$Z719="",'实盘净值数据(iFinD）'!$AA719="",'实盘净值数据(iFinD）'!$AB719="",'实盘净值数据(iFinD）'!$AL719=""),"",(SUMPRODUCT(分期持仓明细!$B$26:$Y$26,'实盘净值数据(iFinD）'!$B719:$Y719/'实盘净值数据(iFinD）'!$B$69:$Y$69)+SUMPRODUCT(分期持仓明细!$AC$26:$AD$26,'实盘净值数据(iFinD）'!$Z719:$AA719/'实盘净值数据(iFinD）'!$Z$69:$AA$69)+SUMPRODUCT(分期持仓明细!$AE$26:$AO$26,'实盘净值数据(iFinD）'!$AB719:$AL719/'实盘净值数据(iFinD）'!$AB$69:$AL$69))*(1-实盘持仓初始配置!$Z$10)^(('实盘净值数据(iFinD）'!$A719-'实盘净值数据(iFinD）'!$A$69)/365))</f>
        <v/>
      </c>
      <c r="U719" s="16">
        <f>IF(OR(T718="",T719=""),"",T719/T718-1)</f>
        <v/>
      </c>
      <c r="V719" s="16">
        <f>IF(T719="","",T719/MAX(T$5:T719)-1)</f>
        <v/>
      </c>
    </row>
    <row r="720" spans="1:19">
      <c r="A720" s="15" t="str">
        <f>IF('实盘净值数据(iFinD）'!A720="","",'实盘净值数据(iFinD）'!A720)</f>
        <v/>
      </c>
      <c r="B720" s="13" t="str">
        <f>IF(OR('实盘净值数据(iFinD）'!$A720="",'实盘净值数据(iFinD）'!$B720=""),"",分期持仓明细!$AB$17*SUMPRODUCT(分期持仓明细!$B$17:$Y$17,'实盘净值数据(iFinD）'!$B720:$Y720/'实盘净值数据(iFinD）'!$B$20:$Y$20)*(1-实盘持仓初始配置!$Z$4)^(('实盘净值数据(iFinD）'!$A720-'实盘净值数据(iFinD）'!$A$6)/365))</f>
        <v/>
      </c>
      <c r="C720" s="16" t="str">
        <f t="shared" si="66"/>
        <v/>
      </c>
      <c r="D720" s="16" t="str">
        <f>IF(B720="","",B720/MAX(B$5:B720)-1)</f>
        <v/>
      </c>
      <c r="E720" s="13" t="str">
        <f>IF(OR('实盘净值数据(iFinD）'!$A720="",'实盘净值数据(iFinD）'!$B720=""),"",分期持仓明细!$AB$18*SUMPRODUCT(分期持仓明细!$B$18:$Y$18,'实盘净值数据(iFinD）'!$B720:$Y720/'实盘净值数据(iFinD）'!$B$20:$Y$20)*(1-实盘持仓初始配置!$Z$5)^(('实盘净值数据(iFinD）'!$A720-'实盘净值数据(iFinD）'!$A$5)/365))</f>
        <v/>
      </c>
      <c r="F720" s="16" t="str">
        <f t="shared" si="67"/>
        <v/>
      </c>
      <c r="G720" s="16" t="str">
        <f>IF(E720="","",E720/MAX(E$5:E720)-1)</f>
        <v/>
      </c>
      <c r="H720" s="13" t="str">
        <f>IF(OR('实盘净值数据(iFinD）'!$A720="",'实盘净值数据(iFinD）'!$B720=""),"",分期持仓明细!$AB$19*SUMPRODUCT(分期持仓明细!$B$19:$Y$19,'实盘净值数据(iFinD）'!$B720:$Y720/'实盘净值数据(iFinD）'!$B$20:$Y$20)*(1-实盘持仓初始配置!$Z$6)^(('实盘净值数据(iFinD）'!$A720-'实盘净值数据(iFinD）'!$A$7)/365))</f>
        <v/>
      </c>
      <c r="I720" s="16" t="str">
        <f t="shared" si="68"/>
        <v/>
      </c>
      <c r="J720" s="16" t="str">
        <f>IF(H720="","",H720/MAX(H$5:H720)-1)</f>
        <v/>
      </c>
      <c r="K720" s="13" t="str">
        <f>IF(OR('实盘净值数据(iFinD）'!$A720="",'实盘净值数据(iFinD）'!$B720="",'实盘净值数据(iFinD）'!$Z720="",'实盘净值数据(iFinD）'!$AA720=""),"",分期持仓明细!$AB$23*(SUMPRODUCT(分期持仓明细!$B$23:$Y$23,'实盘净值数据(iFinD）'!$B720:$Y720/'实盘净值数据(iFinD）'!$B$65:$Y$65)+SUMPRODUCT(分期持仓明细!$AC$23:$AD$23,'实盘净值数据(iFinD）'!$Z720:$AA720/'实盘净值数据(iFinD）'!$Z$65:$AA$65))*(1-实盘持仓初始配置!$Z$7)^(('实盘净值数据(iFinD）'!$A720-'实盘净值数据(iFinD）'!$A$8)/365))</f>
        <v/>
      </c>
      <c r="L720" s="16" t="str">
        <f t="shared" si="69"/>
        <v/>
      </c>
      <c r="M720" s="16" t="str">
        <f>IF(K720="","",K720/MAX(K$5:K720)-1)</f>
        <v/>
      </c>
      <c r="N720" s="13" t="str">
        <f>IF(OR('实盘净值数据(iFinD）'!$A720="",'实盘净值数据(iFinD）'!$B720="",'实盘净值数据(iFinD）'!$Z720="",'实盘净值数据(iFinD）'!$AA720=""),"",分期持仓明细!$AB$24*(SUMPRODUCT(分期持仓明细!$B$24:$Y$24,'实盘净值数据(iFinD）'!$B720:$Y720/'实盘净值数据(iFinD）'!$B$65:$Y$65)+SUMPRODUCT(分期持仓明细!$AC$24:$AD$24,'实盘净值数据(iFinD）'!$Z720:$AA720/'实盘净值数据(iFinD）'!$Z$65:$AA$65))*(1-实盘持仓初始配置!$Z$8)^(('实盘净值数据(iFinD）'!$A720-'实盘净值数据(iFinD）'!$A$5)/365))</f>
        <v/>
      </c>
      <c r="O720" s="16" t="str">
        <f t="shared" si="70"/>
        <v/>
      </c>
      <c r="P720" s="16" t="str">
        <f>IF(N720="","",N720/MAX(N$5:N720)-1)</f>
        <v/>
      </c>
      <c r="Q720" s="13" t="str">
        <f>IF(OR('实盘净值数据(iFinD）'!$A720="",'实盘净值数据(iFinD）'!$B720="",'实盘净值数据(iFinD）'!$Z720="",'实盘净值数据(iFinD）'!$AA720=""),"",分期持仓明细!$AB$25*(SUMPRODUCT(分期持仓明细!$B$25:$Y$25,'实盘净值数据(iFinD）'!$B720:$Y720/'实盘净值数据(iFinD）'!$B$65:$Y$65)+SUMPRODUCT(分期持仓明细!$AC$25:$AD$25,'实盘净值数据(iFinD）'!$Z720:$AA720/'实盘净值数据(iFinD）'!$Z$65:$AA$65))*(1-实盘持仓初始配置!$Z$9)^(('实盘净值数据(iFinD）'!$A720-'实盘净值数据(iFinD）'!$A$8)/365))</f>
        <v/>
      </c>
      <c r="R720" s="16" t="str">
        <f t="shared" si="71"/>
        <v/>
      </c>
      <c r="S720" s="16" t="str">
        <f>IF(Q720="","",Q720/MAX(Q$5:Q720)-1)</f>
        <v/>
      </c>
      <c r="T720" s="13">
        <f>IF(OR('实盘净值数据(iFinD）'!$A720="",'实盘净值数据(iFinD）'!$B720="",'实盘净值数据(iFinD）'!$Z720="",'实盘净值数据(iFinD）'!$AA720="",'实盘净值数据(iFinD）'!$AB720="",'实盘净值数据(iFinD）'!$AL720=""),"",(SUMPRODUCT(分期持仓明细!$B$26:$Y$26,'实盘净值数据(iFinD）'!$B720:$Y720/'实盘净值数据(iFinD）'!$B$69:$Y$69)+SUMPRODUCT(分期持仓明细!$AC$26:$AD$26,'实盘净值数据(iFinD）'!$Z720:$AA720/'实盘净值数据(iFinD）'!$Z$69:$AA$69)+SUMPRODUCT(分期持仓明细!$AE$26:$AO$26,'实盘净值数据(iFinD）'!$AB720:$AL720/'实盘净值数据(iFinD）'!$AB$69:$AL$69))*(1-实盘持仓初始配置!$Z$10)^(('实盘净值数据(iFinD）'!$A720-'实盘净值数据(iFinD）'!$A$69)/365))</f>
        <v/>
      </c>
      <c r="U720" s="16">
        <f>IF(OR(T719="",T720=""),"",T720/T719-1)</f>
        <v/>
      </c>
      <c r="V720" s="16">
        <f>IF(T720="","",T720/MAX(T$5:T720)-1)</f>
        <v/>
      </c>
    </row>
    <row r="721" spans="1:19">
      <c r="A721" s="15" t="str">
        <f>IF('实盘净值数据(iFinD）'!A721="","",'实盘净值数据(iFinD）'!A721)</f>
        <v/>
      </c>
      <c r="B721" s="13" t="str">
        <f>IF(OR('实盘净值数据(iFinD）'!$A721="",'实盘净值数据(iFinD）'!$B721=""),"",分期持仓明细!$AB$17*SUMPRODUCT(分期持仓明细!$B$17:$Y$17,'实盘净值数据(iFinD）'!$B721:$Y721/'实盘净值数据(iFinD）'!$B$20:$Y$20)*(1-实盘持仓初始配置!$Z$4)^(('实盘净值数据(iFinD）'!$A721-'实盘净值数据(iFinD）'!$A$6)/365))</f>
        <v/>
      </c>
      <c r="C721" s="16" t="str">
        <f t="shared" si="66"/>
        <v/>
      </c>
      <c r="D721" s="16" t="str">
        <f>IF(B721="","",B721/MAX(B$5:B721)-1)</f>
        <v/>
      </c>
      <c r="E721" s="13" t="str">
        <f>IF(OR('实盘净值数据(iFinD）'!$A721="",'实盘净值数据(iFinD）'!$B721=""),"",分期持仓明细!$AB$18*SUMPRODUCT(分期持仓明细!$B$18:$Y$18,'实盘净值数据(iFinD）'!$B721:$Y721/'实盘净值数据(iFinD）'!$B$20:$Y$20)*(1-实盘持仓初始配置!$Z$5)^(('实盘净值数据(iFinD）'!$A721-'实盘净值数据(iFinD）'!$A$5)/365))</f>
        <v/>
      </c>
      <c r="F721" s="16" t="str">
        <f t="shared" si="67"/>
        <v/>
      </c>
      <c r="G721" s="16" t="str">
        <f>IF(E721="","",E721/MAX(E$5:E721)-1)</f>
        <v/>
      </c>
      <c r="H721" s="13" t="str">
        <f>IF(OR('实盘净值数据(iFinD）'!$A721="",'实盘净值数据(iFinD）'!$B721=""),"",分期持仓明细!$AB$19*SUMPRODUCT(分期持仓明细!$B$19:$Y$19,'实盘净值数据(iFinD）'!$B721:$Y721/'实盘净值数据(iFinD）'!$B$20:$Y$20)*(1-实盘持仓初始配置!$Z$6)^(('实盘净值数据(iFinD）'!$A721-'实盘净值数据(iFinD）'!$A$7)/365))</f>
        <v/>
      </c>
      <c r="I721" s="16" t="str">
        <f t="shared" si="68"/>
        <v/>
      </c>
      <c r="J721" s="16" t="str">
        <f>IF(H721="","",H721/MAX(H$5:H721)-1)</f>
        <v/>
      </c>
      <c r="K721" s="13" t="str">
        <f>IF(OR('实盘净值数据(iFinD）'!$A721="",'实盘净值数据(iFinD）'!$B721="",'实盘净值数据(iFinD）'!$Z721="",'实盘净值数据(iFinD）'!$AA721=""),"",分期持仓明细!$AB$23*(SUMPRODUCT(分期持仓明细!$B$23:$Y$23,'实盘净值数据(iFinD）'!$B721:$Y721/'实盘净值数据(iFinD）'!$B$65:$Y$65)+SUMPRODUCT(分期持仓明细!$AC$23:$AD$23,'实盘净值数据(iFinD）'!$Z721:$AA721/'实盘净值数据(iFinD）'!$Z$65:$AA$65))*(1-实盘持仓初始配置!$Z$7)^(('实盘净值数据(iFinD）'!$A721-'实盘净值数据(iFinD）'!$A$8)/365))</f>
        <v/>
      </c>
      <c r="L721" s="16" t="str">
        <f t="shared" si="69"/>
        <v/>
      </c>
      <c r="M721" s="16" t="str">
        <f>IF(K721="","",K721/MAX(K$5:K721)-1)</f>
        <v/>
      </c>
      <c r="N721" s="13" t="str">
        <f>IF(OR('实盘净值数据(iFinD）'!$A721="",'实盘净值数据(iFinD）'!$B721="",'实盘净值数据(iFinD）'!$Z721="",'实盘净值数据(iFinD）'!$AA721=""),"",分期持仓明细!$AB$24*(SUMPRODUCT(分期持仓明细!$B$24:$Y$24,'实盘净值数据(iFinD）'!$B721:$Y721/'实盘净值数据(iFinD）'!$B$65:$Y$65)+SUMPRODUCT(分期持仓明细!$AC$24:$AD$24,'实盘净值数据(iFinD）'!$Z721:$AA721/'实盘净值数据(iFinD）'!$Z$65:$AA$65))*(1-实盘持仓初始配置!$Z$8)^(('实盘净值数据(iFinD）'!$A721-'实盘净值数据(iFinD）'!$A$5)/365))</f>
        <v/>
      </c>
      <c r="O721" s="16" t="str">
        <f t="shared" si="70"/>
        <v/>
      </c>
      <c r="P721" s="16" t="str">
        <f>IF(N721="","",N721/MAX(N$5:N721)-1)</f>
        <v/>
      </c>
      <c r="Q721" s="13" t="str">
        <f>IF(OR('实盘净值数据(iFinD）'!$A721="",'实盘净值数据(iFinD）'!$B721="",'实盘净值数据(iFinD）'!$Z721="",'实盘净值数据(iFinD）'!$AA721=""),"",分期持仓明细!$AB$25*(SUMPRODUCT(分期持仓明细!$B$25:$Y$25,'实盘净值数据(iFinD）'!$B721:$Y721/'实盘净值数据(iFinD）'!$B$65:$Y$65)+SUMPRODUCT(分期持仓明细!$AC$25:$AD$25,'实盘净值数据(iFinD）'!$Z721:$AA721/'实盘净值数据(iFinD）'!$Z$65:$AA$65))*(1-实盘持仓初始配置!$Z$9)^(('实盘净值数据(iFinD）'!$A721-'实盘净值数据(iFinD）'!$A$8)/365))</f>
        <v/>
      </c>
      <c r="R721" s="16" t="str">
        <f t="shared" si="71"/>
        <v/>
      </c>
      <c r="S721" s="16" t="str">
        <f>IF(Q721="","",Q721/MAX(Q$5:Q721)-1)</f>
        <v/>
      </c>
      <c r="T721" s="13">
        <f>IF(OR('实盘净值数据(iFinD）'!$A721="",'实盘净值数据(iFinD）'!$B721="",'实盘净值数据(iFinD）'!$Z721="",'实盘净值数据(iFinD）'!$AA721="",'实盘净值数据(iFinD）'!$AB721="",'实盘净值数据(iFinD）'!$AL721=""),"",(SUMPRODUCT(分期持仓明细!$B$26:$Y$26,'实盘净值数据(iFinD）'!$B721:$Y721/'实盘净值数据(iFinD）'!$B$69:$Y$69)+SUMPRODUCT(分期持仓明细!$AC$26:$AD$26,'实盘净值数据(iFinD）'!$Z721:$AA721/'实盘净值数据(iFinD）'!$Z$69:$AA$69)+SUMPRODUCT(分期持仓明细!$AE$26:$AO$26,'实盘净值数据(iFinD）'!$AB721:$AL721/'实盘净值数据(iFinD）'!$AB$69:$AL$69))*(1-实盘持仓初始配置!$Z$10)^(('实盘净值数据(iFinD）'!$A721-'实盘净值数据(iFinD）'!$A$69)/365))</f>
        <v/>
      </c>
      <c r="U721" s="16">
        <f>IF(OR(T720="",T721=""),"",T721/T720-1)</f>
        <v/>
      </c>
      <c r="V721" s="16">
        <f>IF(T721="","",T721/MAX(T$5:T721)-1)</f>
        <v/>
      </c>
    </row>
    <row r="722" spans="1:19">
      <c r="A722" s="15" t="str">
        <f>IF('实盘净值数据(iFinD）'!A722="","",'实盘净值数据(iFinD）'!A722)</f>
        <v/>
      </c>
      <c r="B722" s="13" t="str">
        <f>IF(OR('实盘净值数据(iFinD）'!$A722="",'实盘净值数据(iFinD）'!$B722=""),"",分期持仓明细!$AB$17*SUMPRODUCT(分期持仓明细!$B$17:$Y$17,'实盘净值数据(iFinD）'!$B722:$Y722/'实盘净值数据(iFinD）'!$B$20:$Y$20)*(1-实盘持仓初始配置!$Z$4)^(('实盘净值数据(iFinD）'!$A722-'实盘净值数据(iFinD）'!$A$6)/365))</f>
        <v/>
      </c>
      <c r="C722" s="16" t="str">
        <f t="shared" si="66"/>
        <v/>
      </c>
      <c r="D722" s="16" t="str">
        <f>IF(B722="","",B722/MAX(B$5:B722)-1)</f>
        <v/>
      </c>
      <c r="E722" s="13" t="str">
        <f>IF(OR('实盘净值数据(iFinD）'!$A722="",'实盘净值数据(iFinD）'!$B722=""),"",分期持仓明细!$AB$18*SUMPRODUCT(分期持仓明细!$B$18:$Y$18,'实盘净值数据(iFinD）'!$B722:$Y722/'实盘净值数据(iFinD）'!$B$20:$Y$20)*(1-实盘持仓初始配置!$Z$5)^(('实盘净值数据(iFinD）'!$A722-'实盘净值数据(iFinD）'!$A$5)/365))</f>
        <v/>
      </c>
      <c r="F722" s="16" t="str">
        <f t="shared" si="67"/>
        <v/>
      </c>
      <c r="G722" s="16" t="str">
        <f>IF(E722="","",E722/MAX(E$5:E722)-1)</f>
        <v/>
      </c>
      <c r="H722" s="13" t="str">
        <f>IF(OR('实盘净值数据(iFinD）'!$A722="",'实盘净值数据(iFinD）'!$B722=""),"",分期持仓明细!$AB$19*SUMPRODUCT(分期持仓明细!$B$19:$Y$19,'实盘净值数据(iFinD）'!$B722:$Y722/'实盘净值数据(iFinD）'!$B$20:$Y$20)*(1-实盘持仓初始配置!$Z$6)^(('实盘净值数据(iFinD）'!$A722-'实盘净值数据(iFinD）'!$A$7)/365))</f>
        <v/>
      </c>
      <c r="I722" s="16" t="str">
        <f t="shared" si="68"/>
        <v/>
      </c>
      <c r="J722" s="16" t="str">
        <f>IF(H722="","",H722/MAX(H$5:H722)-1)</f>
        <v/>
      </c>
      <c r="K722" s="13" t="str">
        <f>IF(OR('实盘净值数据(iFinD）'!$A722="",'实盘净值数据(iFinD）'!$B722="",'实盘净值数据(iFinD）'!$Z722="",'实盘净值数据(iFinD）'!$AA722=""),"",分期持仓明细!$AB$23*(SUMPRODUCT(分期持仓明细!$B$23:$Y$23,'实盘净值数据(iFinD）'!$B722:$Y722/'实盘净值数据(iFinD）'!$B$65:$Y$65)+SUMPRODUCT(分期持仓明细!$AC$23:$AD$23,'实盘净值数据(iFinD）'!$Z722:$AA722/'实盘净值数据(iFinD）'!$Z$65:$AA$65))*(1-实盘持仓初始配置!$Z$7)^(('实盘净值数据(iFinD）'!$A722-'实盘净值数据(iFinD）'!$A$8)/365))</f>
        <v/>
      </c>
      <c r="L722" s="16" t="str">
        <f t="shared" si="69"/>
        <v/>
      </c>
      <c r="M722" s="16" t="str">
        <f>IF(K722="","",K722/MAX(K$5:K722)-1)</f>
        <v/>
      </c>
      <c r="N722" s="13" t="str">
        <f>IF(OR('实盘净值数据(iFinD）'!$A722="",'实盘净值数据(iFinD）'!$B722="",'实盘净值数据(iFinD）'!$Z722="",'实盘净值数据(iFinD）'!$AA722=""),"",分期持仓明细!$AB$24*(SUMPRODUCT(分期持仓明细!$B$24:$Y$24,'实盘净值数据(iFinD）'!$B722:$Y722/'实盘净值数据(iFinD）'!$B$65:$Y$65)+SUMPRODUCT(分期持仓明细!$AC$24:$AD$24,'实盘净值数据(iFinD）'!$Z722:$AA722/'实盘净值数据(iFinD）'!$Z$65:$AA$65))*(1-实盘持仓初始配置!$Z$8)^(('实盘净值数据(iFinD）'!$A722-'实盘净值数据(iFinD）'!$A$5)/365))</f>
        <v/>
      </c>
      <c r="O722" s="16" t="str">
        <f t="shared" si="70"/>
        <v/>
      </c>
      <c r="P722" s="16" t="str">
        <f>IF(N722="","",N722/MAX(N$5:N722)-1)</f>
        <v/>
      </c>
      <c r="Q722" s="13" t="str">
        <f>IF(OR('实盘净值数据(iFinD）'!$A722="",'实盘净值数据(iFinD）'!$B722="",'实盘净值数据(iFinD）'!$Z722="",'实盘净值数据(iFinD）'!$AA722=""),"",分期持仓明细!$AB$25*(SUMPRODUCT(分期持仓明细!$B$25:$Y$25,'实盘净值数据(iFinD）'!$B722:$Y722/'实盘净值数据(iFinD）'!$B$65:$Y$65)+SUMPRODUCT(分期持仓明细!$AC$25:$AD$25,'实盘净值数据(iFinD）'!$Z722:$AA722/'实盘净值数据(iFinD）'!$Z$65:$AA$65))*(1-实盘持仓初始配置!$Z$9)^(('实盘净值数据(iFinD）'!$A722-'实盘净值数据(iFinD）'!$A$8)/365))</f>
        <v/>
      </c>
      <c r="R722" s="16" t="str">
        <f t="shared" si="71"/>
        <v/>
      </c>
      <c r="S722" s="16" t="str">
        <f>IF(Q722="","",Q722/MAX(Q$5:Q722)-1)</f>
        <v/>
      </c>
      <c r="T722" s="13">
        <f>IF(OR('实盘净值数据(iFinD）'!$A722="",'实盘净值数据(iFinD）'!$B722="",'实盘净值数据(iFinD）'!$Z722="",'实盘净值数据(iFinD）'!$AA722="",'实盘净值数据(iFinD）'!$AB722="",'实盘净值数据(iFinD）'!$AL722=""),"",(SUMPRODUCT(分期持仓明细!$B$26:$Y$26,'实盘净值数据(iFinD）'!$B722:$Y722/'实盘净值数据(iFinD）'!$B$69:$Y$69)+SUMPRODUCT(分期持仓明细!$AC$26:$AD$26,'实盘净值数据(iFinD）'!$Z722:$AA722/'实盘净值数据(iFinD）'!$Z$69:$AA$69)+SUMPRODUCT(分期持仓明细!$AE$26:$AO$26,'实盘净值数据(iFinD）'!$AB722:$AL722/'实盘净值数据(iFinD）'!$AB$69:$AL$69))*(1-实盘持仓初始配置!$Z$10)^(('实盘净值数据(iFinD）'!$A722-'实盘净值数据(iFinD）'!$A$69)/365))</f>
        <v/>
      </c>
      <c r="U722" s="16">
        <f>IF(OR(T721="",T722=""),"",T722/T721-1)</f>
        <v/>
      </c>
      <c r="V722" s="16">
        <f>IF(T722="","",T722/MAX(T$5:T722)-1)</f>
        <v/>
      </c>
    </row>
    <row r="723" spans="1:19">
      <c r="A723" s="15" t="str">
        <f>IF('实盘净值数据(iFinD）'!A723="","",'实盘净值数据(iFinD）'!A723)</f>
        <v/>
      </c>
      <c r="B723" s="13" t="str">
        <f>IF(OR('实盘净值数据(iFinD）'!$A723="",'实盘净值数据(iFinD）'!$B723=""),"",分期持仓明细!$AB$17*SUMPRODUCT(分期持仓明细!$B$17:$Y$17,'实盘净值数据(iFinD）'!$B723:$Y723/'实盘净值数据(iFinD）'!$B$20:$Y$20)*(1-实盘持仓初始配置!$Z$4)^(('实盘净值数据(iFinD）'!$A723-'实盘净值数据(iFinD）'!$A$6)/365))</f>
        <v/>
      </c>
      <c r="C723" s="16" t="str">
        <f t="shared" si="66"/>
        <v/>
      </c>
      <c r="D723" s="16" t="str">
        <f>IF(B723="","",B723/MAX(B$5:B723)-1)</f>
        <v/>
      </c>
      <c r="E723" s="13" t="str">
        <f>IF(OR('实盘净值数据(iFinD）'!$A723="",'实盘净值数据(iFinD）'!$B723=""),"",分期持仓明细!$AB$18*SUMPRODUCT(分期持仓明细!$B$18:$Y$18,'实盘净值数据(iFinD）'!$B723:$Y723/'实盘净值数据(iFinD）'!$B$20:$Y$20)*(1-实盘持仓初始配置!$Z$5)^(('实盘净值数据(iFinD）'!$A723-'实盘净值数据(iFinD）'!$A$5)/365))</f>
        <v/>
      </c>
      <c r="F723" s="16" t="str">
        <f t="shared" si="67"/>
        <v/>
      </c>
      <c r="G723" s="16" t="str">
        <f>IF(E723="","",E723/MAX(E$5:E723)-1)</f>
        <v/>
      </c>
      <c r="H723" s="13" t="str">
        <f>IF(OR('实盘净值数据(iFinD）'!$A723="",'实盘净值数据(iFinD）'!$B723=""),"",分期持仓明细!$AB$19*SUMPRODUCT(分期持仓明细!$B$19:$Y$19,'实盘净值数据(iFinD）'!$B723:$Y723/'实盘净值数据(iFinD）'!$B$20:$Y$20)*(1-实盘持仓初始配置!$Z$6)^(('实盘净值数据(iFinD）'!$A723-'实盘净值数据(iFinD）'!$A$7)/365))</f>
        <v/>
      </c>
      <c r="I723" s="16" t="str">
        <f t="shared" si="68"/>
        <v/>
      </c>
      <c r="J723" s="16" t="str">
        <f>IF(H723="","",H723/MAX(H$5:H723)-1)</f>
        <v/>
      </c>
      <c r="K723" s="13" t="str">
        <f>IF(OR('实盘净值数据(iFinD）'!$A723="",'实盘净值数据(iFinD）'!$B723="",'实盘净值数据(iFinD）'!$Z723="",'实盘净值数据(iFinD）'!$AA723=""),"",分期持仓明细!$AB$23*(SUMPRODUCT(分期持仓明细!$B$23:$Y$23,'实盘净值数据(iFinD）'!$B723:$Y723/'实盘净值数据(iFinD）'!$B$65:$Y$65)+SUMPRODUCT(分期持仓明细!$AC$23:$AD$23,'实盘净值数据(iFinD）'!$Z723:$AA723/'实盘净值数据(iFinD）'!$Z$65:$AA$65))*(1-实盘持仓初始配置!$Z$7)^(('实盘净值数据(iFinD）'!$A723-'实盘净值数据(iFinD）'!$A$8)/365))</f>
        <v/>
      </c>
      <c r="L723" s="16" t="str">
        <f t="shared" si="69"/>
        <v/>
      </c>
      <c r="M723" s="16" t="str">
        <f>IF(K723="","",K723/MAX(K$5:K723)-1)</f>
        <v/>
      </c>
      <c r="N723" s="13" t="str">
        <f>IF(OR('实盘净值数据(iFinD）'!$A723="",'实盘净值数据(iFinD）'!$B723="",'实盘净值数据(iFinD）'!$Z723="",'实盘净值数据(iFinD）'!$AA723=""),"",分期持仓明细!$AB$24*(SUMPRODUCT(分期持仓明细!$B$24:$Y$24,'实盘净值数据(iFinD）'!$B723:$Y723/'实盘净值数据(iFinD）'!$B$65:$Y$65)+SUMPRODUCT(分期持仓明细!$AC$24:$AD$24,'实盘净值数据(iFinD）'!$Z723:$AA723/'实盘净值数据(iFinD）'!$Z$65:$AA$65))*(1-实盘持仓初始配置!$Z$8)^(('实盘净值数据(iFinD）'!$A723-'实盘净值数据(iFinD）'!$A$5)/365))</f>
        <v/>
      </c>
      <c r="O723" s="16" t="str">
        <f t="shared" si="70"/>
        <v/>
      </c>
      <c r="P723" s="16" t="str">
        <f>IF(N723="","",N723/MAX(N$5:N723)-1)</f>
        <v/>
      </c>
      <c r="Q723" s="13" t="str">
        <f>IF(OR('实盘净值数据(iFinD）'!$A723="",'实盘净值数据(iFinD）'!$B723="",'实盘净值数据(iFinD）'!$Z723="",'实盘净值数据(iFinD）'!$AA723=""),"",分期持仓明细!$AB$25*(SUMPRODUCT(分期持仓明细!$B$25:$Y$25,'实盘净值数据(iFinD）'!$B723:$Y723/'实盘净值数据(iFinD）'!$B$65:$Y$65)+SUMPRODUCT(分期持仓明细!$AC$25:$AD$25,'实盘净值数据(iFinD）'!$Z723:$AA723/'实盘净值数据(iFinD）'!$Z$65:$AA$65))*(1-实盘持仓初始配置!$Z$9)^(('实盘净值数据(iFinD）'!$A723-'实盘净值数据(iFinD）'!$A$8)/365))</f>
        <v/>
      </c>
      <c r="R723" s="16" t="str">
        <f t="shared" si="71"/>
        <v/>
      </c>
      <c r="S723" s="16" t="str">
        <f>IF(Q723="","",Q723/MAX(Q$5:Q723)-1)</f>
        <v/>
      </c>
      <c r="T723" s="13">
        <f>IF(OR('实盘净值数据(iFinD）'!$A723="",'实盘净值数据(iFinD）'!$B723="",'实盘净值数据(iFinD）'!$Z723="",'实盘净值数据(iFinD）'!$AA723="",'实盘净值数据(iFinD）'!$AB723="",'实盘净值数据(iFinD）'!$AL723=""),"",(SUMPRODUCT(分期持仓明细!$B$26:$Y$26,'实盘净值数据(iFinD）'!$B723:$Y723/'实盘净值数据(iFinD）'!$B$69:$Y$69)+SUMPRODUCT(分期持仓明细!$AC$26:$AD$26,'实盘净值数据(iFinD）'!$Z723:$AA723/'实盘净值数据(iFinD）'!$Z$69:$AA$69)+SUMPRODUCT(分期持仓明细!$AE$26:$AO$26,'实盘净值数据(iFinD）'!$AB723:$AL723/'实盘净值数据(iFinD）'!$AB$69:$AL$69))*(1-实盘持仓初始配置!$Z$10)^(('实盘净值数据(iFinD）'!$A723-'实盘净值数据(iFinD）'!$A$69)/365))</f>
        <v/>
      </c>
      <c r="U723" s="16">
        <f>IF(OR(T722="",T723=""),"",T723/T722-1)</f>
        <v/>
      </c>
      <c r="V723" s="16">
        <f>IF(T723="","",T723/MAX(T$5:T723)-1)</f>
        <v/>
      </c>
    </row>
    <row r="724" spans="1:19">
      <c r="A724" s="15" t="str">
        <f>IF('实盘净值数据(iFinD）'!A724="","",'实盘净值数据(iFinD）'!A724)</f>
        <v/>
      </c>
      <c r="B724" s="13" t="str">
        <f>IF(OR('实盘净值数据(iFinD）'!$A724="",'实盘净值数据(iFinD）'!$B724=""),"",分期持仓明细!$AB$17*SUMPRODUCT(分期持仓明细!$B$17:$Y$17,'实盘净值数据(iFinD）'!$B724:$Y724/'实盘净值数据(iFinD）'!$B$20:$Y$20)*(1-实盘持仓初始配置!$Z$4)^(('实盘净值数据(iFinD）'!$A724-'实盘净值数据(iFinD）'!$A$6)/365))</f>
        <v/>
      </c>
      <c r="C724" s="16" t="str">
        <f t="shared" si="66"/>
        <v/>
      </c>
      <c r="D724" s="16" t="str">
        <f>IF(B724="","",B724/MAX(B$5:B724)-1)</f>
        <v/>
      </c>
      <c r="E724" s="13" t="str">
        <f>IF(OR('实盘净值数据(iFinD）'!$A724="",'实盘净值数据(iFinD）'!$B724=""),"",分期持仓明细!$AB$18*SUMPRODUCT(分期持仓明细!$B$18:$Y$18,'实盘净值数据(iFinD）'!$B724:$Y724/'实盘净值数据(iFinD）'!$B$20:$Y$20)*(1-实盘持仓初始配置!$Z$5)^(('实盘净值数据(iFinD）'!$A724-'实盘净值数据(iFinD）'!$A$5)/365))</f>
        <v/>
      </c>
      <c r="F724" s="16" t="str">
        <f t="shared" si="67"/>
        <v/>
      </c>
      <c r="G724" s="16" t="str">
        <f>IF(E724="","",E724/MAX(E$5:E724)-1)</f>
        <v/>
      </c>
      <c r="H724" s="13" t="str">
        <f>IF(OR('实盘净值数据(iFinD）'!$A724="",'实盘净值数据(iFinD）'!$B724=""),"",分期持仓明细!$AB$19*SUMPRODUCT(分期持仓明细!$B$19:$Y$19,'实盘净值数据(iFinD）'!$B724:$Y724/'实盘净值数据(iFinD）'!$B$20:$Y$20)*(1-实盘持仓初始配置!$Z$6)^(('实盘净值数据(iFinD）'!$A724-'实盘净值数据(iFinD）'!$A$7)/365))</f>
        <v/>
      </c>
      <c r="I724" s="16" t="str">
        <f t="shared" si="68"/>
        <v/>
      </c>
      <c r="J724" s="16" t="str">
        <f>IF(H724="","",H724/MAX(H$5:H724)-1)</f>
        <v/>
      </c>
      <c r="K724" s="13" t="str">
        <f>IF(OR('实盘净值数据(iFinD）'!$A724="",'实盘净值数据(iFinD）'!$B724="",'实盘净值数据(iFinD）'!$Z724="",'实盘净值数据(iFinD）'!$AA724=""),"",分期持仓明细!$AB$23*(SUMPRODUCT(分期持仓明细!$B$23:$Y$23,'实盘净值数据(iFinD）'!$B724:$Y724/'实盘净值数据(iFinD）'!$B$65:$Y$65)+SUMPRODUCT(分期持仓明细!$AC$23:$AD$23,'实盘净值数据(iFinD）'!$Z724:$AA724/'实盘净值数据(iFinD）'!$Z$65:$AA$65))*(1-实盘持仓初始配置!$Z$7)^(('实盘净值数据(iFinD）'!$A724-'实盘净值数据(iFinD）'!$A$8)/365))</f>
        <v/>
      </c>
      <c r="L724" s="16" t="str">
        <f t="shared" si="69"/>
        <v/>
      </c>
      <c r="M724" s="16" t="str">
        <f>IF(K724="","",K724/MAX(K$5:K724)-1)</f>
        <v/>
      </c>
      <c r="N724" s="13" t="str">
        <f>IF(OR('实盘净值数据(iFinD）'!$A724="",'实盘净值数据(iFinD）'!$B724="",'实盘净值数据(iFinD）'!$Z724="",'实盘净值数据(iFinD）'!$AA724=""),"",分期持仓明细!$AB$24*(SUMPRODUCT(分期持仓明细!$B$24:$Y$24,'实盘净值数据(iFinD）'!$B724:$Y724/'实盘净值数据(iFinD）'!$B$65:$Y$65)+SUMPRODUCT(分期持仓明细!$AC$24:$AD$24,'实盘净值数据(iFinD）'!$Z724:$AA724/'实盘净值数据(iFinD）'!$Z$65:$AA$65))*(1-实盘持仓初始配置!$Z$8)^(('实盘净值数据(iFinD）'!$A724-'实盘净值数据(iFinD）'!$A$5)/365))</f>
        <v/>
      </c>
      <c r="O724" s="16" t="str">
        <f t="shared" si="70"/>
        <v/>
      </c>
      <c r="P724" s="16" t="str">
        <f>IF(N724="","",N724/MAX(N$5:N724)-1)</f>
        <v/>
      </c>
      <c r="Q724" s="13" t="str">
        <f>IF(OR('实盘净值数据(iFinD）'!$A724="",'实盘净值数据(iFinD）'!$B724="",'实盘净值数据(iFinD）'!$Z724="",'实盘净值数据(iFinD）'!$AA724=""),"",分期持仓明细!$AB$25*(SUMPRODUCT(分期持仓明细!$B$25:$Y$25,'实盘净值数据(iFinD）'!$B724:$Y724/'实盘净值数据(iFinD）'!$B$65:$Y$65)+SUMPRODUCT(分期持仓明细!$AC$25:$AD$25,'实盘净值数据(iFinD）'!$Z724:$AA724/'实盘净值数据(iFinD）'!$Z$65:$AA$65))*(1-实盘持仓初始配置!$Z$9)^(('实盘净值数据(iFinD）'!$A724-'实盘净值数据(iFinD）'!$A$8)/365))</f>
        <v/>
      </c>
      <c r="R724" s="16" t="str">
        <f t="shared" si="71"/>
        <v/>
      </c>
      <c r="S724" s="16" t="str">
        <f>IF(Q724="","",Q724/MAX(Q$5:Q724)-1)</f>
        <v/>
      </c>
      <c r="T724" s="13">
        <f>IF(OR('实盘净值数据(iFinD）'!$A724="",'实盘净值数据(iFinD）'!$B724="",'实盘净值数据(iFinD）'!$Z724="",'实盘净值数据(iFinD）'!$AA724="",'实盘净值数据(iFinD）'!$AB724="",'实盘净值数据(iFinD）'!$AL724=""),"",(SUMPRODUCT(分期持仓明细!$B$26:$Y$26,'实盘净值数据(iFinD）'!$B724:$Y724/'实盘净值数据(iFinD）'!$B$69:$Y$69)+SUMPRODUCT(分期持仓明细!$AC$26:$AD$26,'实盘净值数据(iFinD）'!$Z724:$AA724/'实盘净值数据(iFinD）'!$Z$69:$AA$69)+SUMPRODUCT(分期持仓明细!$AE$26:$AO$26,'实盘净值数据(iFinD）'!$AB724:$AL724/'实盘净值数据(iFinD）'!$AB$69:$AL$69))*(1-实盘持仓初始配置!$Z$10)^(('实盘净值数据(iFinD）'!$A724-'实盘净值数据(iFinD）'!$A$69)/365))</f>
        <v/>
      </c>
      <c r="U724" s="16">
        <f>IF(OR(T723="",T724=""),"",T724/T723-1)</f>
        <v/>
      </c>
      <c r="V724" s="16">
        <f>IF(T724="","",T724/MAX(T$5:T724)-1)</f>
        <v/>
      </c>
    </row>
    <row r="725" spans="1:19">
      <c r="A725" s="15" t="str">
        <f>IF('实盘净值数据(iFinD）'!A725="","",'实盘净值数据(iFinD）'!A725)</f>
        <v/>
      </c>
      <c r="B725" s="13" t="str">
        <f>IF(OR('实盘净值数据(iFinD）'!$A725="",'实盘净值数据(iFinD）'!$B725=""),"",分期持仓明细!$AB$17*SUMPRODUCT(分期持仓明细!$B$17:$Y$17,'实盘净值数据(iFinD）'!$B725:$Y725/'实盘净值数据(iFinD）'!$B$20:$Y$20)*(1-实盘持仓初始配置!$Z$4)^(('实盘净值数据(iFinD）'!$A725-'实盘净值数据(iFinD）'!$A$6)/365))</f>
        <v/>
      </c>
      <c r="C725" s="16" t="str">
        <f t="shared" si="66"/>
        <v/>
      </c>
      <c r="D725" s="16" t="str">
        <f>IF(B725="","",B725/MAX(B$5:B725)-1)</f>
        <v/>
      </c>
      <c r="E725" s="13" t="str">
        <f>IF(OR('实盘净值数据(iFinD）'!$A725="",'实盘净值数据(iFinD）'!$B725=""),"",分期持仓明细!$AB$18*SUMPRODUCT(分期持仓明细!$B$18:$Y$18,'实盘净值数据(iFinD）'!$B725:$Y725/'实盘净值数据(iFinD）'!$B$20:$Y$20)*(1-实盘持仓初始配置!$Z$5)^(('实盘净值数据(iFinD）'!$A725-'实盘净值数据(iFinD）'!$A$5)/365))</f>
        <v/>
      </c>
      <c r="F725" s="16" t="str">
        <f t="shared" si="67"/>
        <v/>
      </c>
      <c r="G725" s="16" t="str">
        <f>IF(E725="","",E725/MAX(E$5:E725)-1)</f>
        <v/>
      </c>
      <c r="H725" s="13" t="str">
        <f>IF(OR('实盘净值数据(iFinD）'!$A725="",'实盘净值数据(iFinD）'!$B725=""),"",分期持仓明细!$AB$19*SUMPRODUCT(分期持仓明细!$B$19:$Y$19,'实盘净值数据(iFinD）'!$B725:$Y725/'实盘净值数据(iFinD）'!$B$20:$Y$20)*(1-实盘持仓初始配置!$Z$6)^(('实盘净值数据(iFinD）'!$A725-'实盘净值数据(iFinD）'!$A$7)/365))</f>
        <v/>
      </c>
      <c r="I725" s="16" t="str">
        <f t="shared" si="68"/>
        <v/>
      </c>
      <c r="J725" s="16" t="str">
        <f>IF(H725="","",H725/MAX(H$5:H725)-1)</f>
        <v/>
      </c>
      <c r="K725" s="13" t="str">
        <f>IF(OR('实盘净值数据(iFinD）'!$A725="",'实盘净值数据(iFinD）'!$B725="",'实盘净值数据(iFinD）'!$Z725="",'实盘净值数据(iFinD）'!$AA725=""),"",分期持仓明细!$AB$23*(SUMPRODUCT(分期持仓明细!$B$23:$Y$23,'实盘净值数据(iFinD）'!$B725:$Y725/'实盘净值数据(iFinD）'!$B$65:$Y$65)+SUMPRODUCT(分期持仓明细!$AC$23:$AD$23,'实盘净值数据(iFinD）'!$Z725:$AA725/'实盘净值数据(iFinD）'!$Z$65:$AA$65))*(1-实盘持仓初始配置!$Z$7)^(('实盘净值数据(iFinD）'!$A725-'实盘净值数据(iFinD）'!$A$8)/365))</f>
        <v/>
      </c>
      <c r="L725" s="16" t="str">
        <f t="shared" si="69"/>
        <v/>
      </c>
      <c r="M725" s="16" t="str">
        <f>IF(K725="","",K725/MAX(K$5:K725)-1)</f>
        <v/>
      </c>
      <c r="N725" s="13" t="str">
        <f>IF(OR('实盘净值数据(iFinD）'!$A725="",'实盘净值数据(iFinD）'!$B725="",'实盘净值数据(iFinD）'!$Z725="",'实盘净值数据(iFinD）'!$AA725=""),"",分期持仓明细!$AB$24*(SUMPRODUCT(分期持仓明细!$B$24:$Y$24,'实盘净值数据(iFinD）'!$B725:$Y725/'实盘净值数据(iFinD）'!$B$65:$Y$65)+SUMPRODUCT(分期持仓明细!$AC$24:$AD$24,'实盘净值数据(iFinD）'!$Z725:$AA725/'实盘净值数据(iFinD）'!$Z$65:$AA$65))*(1-实盘持仓初始配置!$Z$8)^(('实盘净值数据(iFinD）'!$A725-'实盘净值数据(iFinD）'!$A$5)/365))</f>
        <v/>
      </c>
      <c r="O725" s="16" t="str">
        <f t="shared" si="70"/>
        <v/>
      </c>
      <c r="P725" s="16" t="str">
        <f>IF(N725="","",N725/MAX(N$5:N725)-1)</f>
        <v/>
      </c>
      <c r="Q725" s="13" t="str">
        <f>IF(OR('实盘净值数据(iFinD）'!$A725="",'实盘净值数据(iFinD）'!$B725="",'实盘净值数据(iFinD）'!$Z725="",'实盘净值数据(iFinD）'!$AA725=""),"",分期持仓明细!$AB$25*(SUMPRODUCT(分期持仓明细!$B$25:$Y$25,'实盘净值数据(iFinD）'!$B725:$Y725/'实盘净值数据(iFinD）'!$B$65:$Y$65)+SUMPRODUCT(分期持仓明细!$AC$25:$AD$25,'实盘净值数据(iFinD）'!$Z725:$AA725/'实盘净值数据(iFinD）'!$Z$65:$AA$65))*(1-实盘持仓初始配置!$Z$9)^(('实盘净值数据(iFinD）'!$A725-'实盘净值数据(iFinD）'!$A$8)/365))</f>
        <v/>
      </c>
      <c r="R725" s="16" t="str">
        <f t="shared" si="71"/>
        <v/>
      </c>
      <c r="S725" s="16" t="str">
        <f>IF(Q725="","",Q725/MAX(Q$5:Q725)-1)</f>
        <v/>
      </c>
      <c r="T725" s="13">
        <f>IF(OR('实盘净值数据(iFinD）'!$A725="",'实盘净值数据(iFinD）'!$B725="",'实盘净值数据(iFinD）'!$Z725="",'实盘净值数据(iFinD）'!$AA725="",'实盘净值数据(iFinD）'!$AB725="",'实盘净值数据(iFinD）'!$AL725=""),"",(SUMPRODUCT(分期持仓明细!$B$26:$Y$26,'实盘净值数据(iFinD）'!$B725:$Y725/'实盘净值数据(iFinD）'!$B$69:$Y$69)+SUMPRODUCT(分期持仓明细!$AC$26:$AD$26,'实盘净值数据(iFinD）'!$Z725:$AA725/'实盘净值数据(iFinD）'!$Z$69:$AA$69)+SUMPRODUCT(分期持仓明细!$AE$26:$AO$26,'实盘净值数据(iFinD）'!$AB725:$AL725/'实盘净值数据(iFinD）'!$AB$69:$AL$69))*(1-实盘持仓初始配置!$Z$10)^(('实盘净值数据(iFinD）'!$A725-'实盘净值数据(iFinD）'!$A$69)/365))</f>
        <v/>
      </c>
      <c r="U725" s="16">
        <f>IF(OR(T724="",T725=""),"",T725/T724-1)</f>
        <v/>
      </c>
      <c r="V725" s="16">
        <f>IF(T725="","",T725/MAX(T$5:T725)-1)</f>
        <v/>
      </c>
    </row>
    <row r="726" spans="1:19">
      <c r="A726" s="15" t="str">
        <f>IF('实盘净值数据(iFinD）'!A726="","",'实盘净值数据(iFinD）'!A726)</f>
        <v/>
      </c>
      <c r="B726" s="13" t="str">
        <f>IF(OR('实盘净值数据(iFinD）'!$A726="",'实盘净值数据(iFinD）'!$B726=""),"",分期持仓明细!$AB$17*SUMPRODUCT(分期持仓明细!$B$17:$Y$17,'实盘净值数据(iFinD）'!$B726:$Y726/'实盘净值数据(iFinD）'!$B$20:$Y$20)*(1-实盘持仓初始配置!$Z$4)^(('实盘净值数据(iFinD）'!$A726-'实盘净值数据(iFinD）'!$A$6)/365))</f>
        <v/>
      </c>
      <c r="C726" s="16" t="str">
        <f t="shared" si="66"/>
        <v/>
      </c>
      <c r="D726" s="16" t="str">
        <f>IF(B726="","",B726/MAX(B$5:B726)-1)</f>
        <v/>
      </c>
      <c r="E726" s="13" t="str">
        <f>IF(OR('实盘净值数据(iFinD）'!$A726="",'实盘净值数据(iFinD）'!$B726=""),"",分期持仓明细!$AB$18*SUMPRODUCT(分期持仓明细!$B$18:$Y$18,'实盘净值数据(iFinD）'!$B726:$Y726/'实盘净值数据(iFinD）'!$B$20:$Y$20)*(1-实盘持仓初始配置!$Z$5)^(('实盘净值数据(iFinD）'!$A726-'实盘净值数据(iFinD）'!$A$5)/365))</f>
        <v/>
      </c>
      <c r="F726" s="16" t="str">
        <f t="shared" si="67"/>
        <v/>
      </c>
      <c r="G726" s="16" t="str">
        <f>IF(E726="","",E726/MAX(E$5:E726)-1)</f>
        <v/>
      </c>
      <c r="H726" s="13" t="str">
        <f>IF(OR('实盘净值数据(iFinD）'!$A726="",'实盘净值数据(iFinD）'!$B726=""),"",分期持仓明细!$AB$19*SUMPRODUCT(分期持仓明细!$B$19:$Y$19,'实盘净值数据(iFinD）'!$B726:$Y726/'实盘净值数据(iFinD）'!$B$20:$Y$20)*(1-实盘持仓初始配置!$Z$6)^(('实盘净值数据(iFinD）'!$A726-'实盘净值数据(iFinD）'!$A$7)/365))</f>
        <v/>
      </c>
      <c r="I726" s="16" t="str">
        <f t="shared" si="68"/>
        <v/>
      </c>
      <c r="J726" s="16" t="str">
        <f>IF(H726="","",H726/MAX(H$5:H726)-1)</f>
        <v/>
      </c>
      <c r="K726" s="13" t="str">
        <f>IF(OR('实盘净值数据(iFinD）'!$A726="",'实盘净值数据(iFinD）'!$B726="",'实盘净值数据(iFinD）'!$Z726="",'实盘净值数据(iFinD）'!$AA726=""),"",分期持仓明细!$AB$23*(SUMPRODUCT(分期持仓明细!$B$23:$Y$23,'实盘净值数据(iFinD）'!$B726:$Y726/'实盘净值数据(iFinD）'!$B$65:$Y$65)+SUMPRODUCT(分期持仓明细!$AC$23:$AD$23,'实盘净值数据(iFinD）'!$Z726:$AA726/'实盘净值数据(iFinD）'!$Z$65:$AA$65))*(1-实盘持仓初始配置!$Z$7)^(('实盘净值数据(iFinD）'!$A726-'实盘净值数据(iFinD）'!$A$8)/365))</f>
        <v/>
      </c>
      <c r="L726" s="16" t="str">
        <f t="shared" si="69"/>
        <v/>
      </c>
      <c r="M726" s="16" t="str">
        <f>IF(K726="","",K726/MAX(K$5:K726)-1)</f>
        <v/>
      </c>
      <c r="N726" s="13" t="str">
        <f>IF(OR('实盘净值数据(iFinD）'!$A726="",'实盘净值数据(iFinD）'!$B726="",'实盘净值数据(iFinD）'!$Z726="",'实盘净值数据(iFinD）'!$AA726=""),"",分期持仓明细!$AB$24*(SUMPRODUCT(分期持仓明细!$B$24:$Y$24,'实盘净值数据(iFinD）'!$B726:$Y726/'实盘净值数据(iFinD）'!$B$65:$Y$65)+SUMPRODUCT(分期持仓明细!$AC$24:$AD$24,'实盘净值数据(iFinD）'!$Z726:$AA726/'实盘净值数据(iFinD）'!$Z$65:$AA$65))*(1-实盘持仓初始配置!$Z$8)^(('实盘净值数据(iFinD）'!$A726-'实盘净值数据(iFinD）'!$A$5)/365))</f>
        <v/>
      </c>
      <c r="O726" s="16" t="str">
        <f t="shared" si="70"/>
        <v/>
      </c>
      <c r="P726" s="16" t="str">
        <f>IF(N726="","",N726/MAX(N$5:N726)-1)</f>
        <v/>
      </c>
      <c r="Q726" s="13" t="str">
        <f>IF(OR('实盘净值数据(iFinD）'!$A726="",'实盘净值数据(iFinD）'!$B726="",'实盘净值数据(iFinD）'!$Z726="",'实盘净值数据(iFinD）'!$AA726=""),"",分期持仓明细!$AB$25*(SUMPRODUCT(分期持仓明细!$B$25:$Y$25,'实盘净值数据(iFinD）'!$B726:$Y726/'实盘净值数据(iFinD）'!$B$65:$Y$65)+SUMPRODUCT(分期持仓明细!$AC$25:$AD$25,'实盘净值数据(iFinD）'!$Z726:$AA726/'实盘净值数据(iFinD）'!$Z$65:$AA$65))*(1-实盘持仓初始配置!$Z$9)^(('实盘净值数据(iFinD）'!$A726-'实盘净值数据(iFinD）'!$A$8)/365))</f>
        <v/>
      </c>
      <c r="R726" s="16" t="str">
        <f t="shared" si="71"/>
        <v/>
      </c>
      <c r="S726" s="16" t="str">
        <f>IF(Q726="","",Q726/MAX(Q$5:Q726)-1)</f>
        <v/>
      </c>
      <c r="T726" s="13">
        <f>IF(OR('实盘净值数据(iFinD）'!$A726="",'实盘净值数据(iFinD）'!$B726="",'实盘净值数据(iFinD）'!$Z726="",'实盘净值数据(iFinD）'!$AA726="",'实盘净值数据(iFinD）'!$AB726="",'实盘净值数据(iFinD）'!$AL726=""),"",(SUMPRODUCT(分期持仓明细!$B$26:$Y$26,'实盘净值数据(iFinD）'!$B726:$Y726/'实盘净值数据(iFinD）'!$B$69:$Y$69)+SUMPRODUCT(分期持仓明细!$AC$26:$AD$26,'实盘净值数据(iFinD）'!$Z726:$AA726/'实盘净值数据(iFinD）'!$Z$69:$AA$69)+SUMPRODUCT(分期持仓明细!$AE$26:$AO$26,'实盘净值数据(iFinD）'!$AB726:$AL726/'实盘净值数据(iFinD）'!$AB$69:$AL$69))*(1-实盘持仓初始配置!$Z$10)^(('实盘净值数据(iFinD）'!$A726-'实盘净值数据(iFinD）'!$A$69)/365))</f>
        <v/>
      </c>
      <c r="U726" s="16">
        <f>IF(OR(T725="",T726=""),"",T726/T725-1)</f>
        <v/>
      </c>
      <c r="V726" s="16">
        <f>IF(T726="","",T726/MAX(T$5:T726)-1)</f>
        <v/>
      </c>
    </row>
    <row r="727" spans="1:19">
      <c r="A727" s="15" t="str">
        <f>IF('实盘净值数据(iFinD）'!A727="","",'实盘净值数据(iFinD）'!A727)</f>
        <v/>
      </c>
      <c r="B727" s="13" t="str">
        <f>IF(OR('实盘净值数据(iFinD）'!$A727="",'实盘净值数据(iFinD）'!$B727=""),"",分期持仓明细!$AB$17*SUMPRODUCT(分期持仓明细!$B$17:$Y$17,'实盘净值数据(iFinD）'!$B727:$Y727/'实盘净值数据(iFinD）'!$B$20:$Y$20)*(1-实盘持仓初始配置!$Z$4)^(('实盘净值数据(iFinD）'!$A727-'实盘净值数据(iFinD）'!$A$6)/365))</f>
        <v/>
      </c>
      <c r="C727" s="16" t="str">
        <f t="shared" si="66"/>
        <v/>
      </c>
      <c r="D727" s="16" t="str">
        <f>IF(B727="","",B727/MAX(B$5:B727)-1)</f>
        <v/>
      </c>
      <c r="E727" s="13" t="str">
        <f>IF(OR('实盘净值数据(iFinD）'!$A727="",'实盘净值数据(iFinD）'!$B727=""),"",分期持仓明细!$AB$18*SUMPRODUCT(分期持仓明细!$B$18:$Y$18,'实盘净值数据(iFinD）'!$B727:$Y727/'实盘净值数据(iFinD）'!$B$20:$Y$20)*(1-实盘持仓初始配置!$Z$5)^(('实盘净值数据(iFinD）'!$A727-'实盘净值数据(iFinD）'!$A$5)/365))</f>
        <v/>
      </c>
      <c r="F727" s="16" t="str">
        <f t="shared" si="67"/>
        <v/>
      </c>
      <c r="G727" s="16" t="str">
        <f>IF(E727="","",E727/MAX(E$5:E727)-1)</f>
        <v/>
      </c>
      <c r="H727" s="13" t="str">
        <f>IF(OR('实盘净值数据(iFinD）'!$A727="",'实盘净值数据(iFinD）'!$B727=""),"",分期持仓明细!$AB$19*SUMPRODUCT(分期持仓明细!$B$19:$Y$19,'实盘净值数据(iFinD）'!$B727:$Y727/'实盘净值数据(iFinD）'!$B$20:$Y$20)*(1-实盘持仓初始配置!$Z$6)^(('实盘净值数据(iFinD）'!$A727-'实盘净值数据(iFinD）'!$A$7)/365))</f>
        <v/>
      </c>
      <c r="I727" s="16" t="str">
        <f t="shared" si="68"/>
        <v/>
      </c>
      <c r="J727" s="16" t="str">
        <f>IF(H727="","",H727/MAX(H$5:H727)-1)</f>
        <v/>
      </c>
      <c r="K727" s="13" t="str">
        <f>IF(OR('实盘净值数据(iFinD）'!$A727="",'实盘净值数据(iFinD）'!$B727="",'实盘净值数据(iFinD）'!$Z727="",'实盘净值数据(iFinD）'!$AA727=""),"",分期持仓明细!$AB$23*(SUMPRODUCT(分期持仓明细!$B$23:$Y$23,'实盘净值数据(iFinD）'!$B727:$Y727/'实盘净值数据(iFinD）'!$B$65:$Y$65)+SUMPRODUCT(分期持仓明细!$AC$23:$AD$23,'实盘净值数据(iFinD）'!$Z727:$AA727/'实盘净值数据(iFinD）'!$Z$65:$AA$65))*(1-实盘持仓初始配置!$Z$7)^(('实盘净值数据(iFinD）'!$A727-'实盘净值数据(iFinD）'!$A$8)/365))</f>
        <v/>
      </c>
      <c r="L727" s="16" t="str">
        <f t="shared" si="69"/>
        <v/>
      </c>
      <c r="M727" s="16" t="str">
        <f>IF(K727="","",K727/MAX(K$5:K727)-1)</f>
        <v/>
      </c>
      <c r="N727" s="13" t="str">
        <f>IF(OR('实盘净值数据(iFinD）'!$A727="",'实盘净值数据(iFinD）'!$B727="",'实盘净值数据(iFinD）'!$Z727="",'实盘净值数据(iFinD）'!$AA727=""),"",分期持仓明细!$AB$24*(SUMPRODUCT(分期持仓明细!$B$24:$Y$24,'实盘净值数据(iFinD）'!$B727:$Y727/'实盘净值数据(iFinD）'!$B$65:$Y$65)+SUMPRODUCT(分期持仓明细!$AC$24:$AD$24,'实盘净值数据(iFinD）'!$Z727:$AA727/'实盘净值数据(iFinD）'!$Z$65:$AA$65))*(1-实盘持仓初始配置!$Z$8)^(('实盘净值数据(iFinD）'!$A727-'实盘净值数据(iFinD）'!$A$5)/365))</f>
        <v/>
      </c>
      <c r="O727" s="16" t="str">
        <f t="shared" si="70"/>
        <v/>
      </c>
      <c r="P727" s="16" t="str">
        <f>IF(N727="","",N727/MAX(N$5:N727)-1)</f>
        <v/>
      </c>
      <c r="Q727" s="13" t="str">
        <f>IF(OR('实盘净值数据(iFinD）'!$A727="",'实盘净值数据(iFinD）'!$B727="",'实盘净值数据(iFinD）'!$Z727="",'实盘净值数据(iFinD）'!$AA727=""),"",分期持仓明细!$AB$25*(SUMPRODUCT(分期持仓明细!$B$25:$Y$25,'实盘净值数据(iFinD）'!$B727:$Y727/'实盘净值数据(iFinD）'!$B$65:$Y$65)+SUMPRODUCT(分期持仓明细!$AC$25:$AD$25,'实盘净值数据(iFinD）'!$Z727:$AA727/'实盘净值数据(iFinD）'!$Z$65:$AA$65))*(1-实盘持仓初始配置!$Z$9)^(('实盘净值数据(iFinD）'!$A727-'实盘净值数据(iFinD）'!$A$8)/365))</f>
        <v/>
      </c>
      <c r="R727" s="16" t="str">
        <f t="shared" si="71"/>
        <v/>
      </c>
      <c r="S727" s="16" t="str">
        <f>IF(Q727="","",Q727/MAX(Q$5:Q727)-1)</f>
        <v/>
      </c>
      <c r="T727" s="13">
        <f>IF(OR('实盘净值数据(iFinD）'!$A727="",'实盘净值数据(iFinD）'!$B727="",'实盘净值数据(iFinD）'!$Z727="",'实盘净值数据(iFinD）'!$AA727="",'实盘净值数据(iFinD）'!$AB727="",'实盘净值数据(iFinD）'!$AL727=""),"",(SUMPRODUCT(分期持仓明细!$B$26:$Y$26,'实盘净值数据(iFinD）'!$B727:$Y727/'实盘净值数据(iFinD）'!$B$69:$Y$69)+SUMPRODUCT(分期持仓明细!$AC$26:$AD$26,'实盘净值数据(iFinD）'!$Z727:$AA727/'实盘净值数据(iFinD）'!$Z$69:$AA$69)+SUMPRODUCT(分期持仓明细!$AE$26:$AO$26,'实盘净值数据(iFinD）'!$AB727:$AL727/'实盘净值数据(iFinD）'!$AB$69:$AL$69))*(1-实盘持仓初始配置!$Z$10)^(('实盘净值数据(iFinD）'!$A727-'实盘净值数据(iFinD）'!$A$69)/365))</f>
        <v/>
      </c>
      <c r="U727" s="16">
        <f>IF(OR(T726="",T727=""),"",T727/T726-1)</f>
        <v/>
      </c>
      <c r="V727" s="16">
        <f>IF(T727="","",T727/MAX(T$5:T727)-1)</f>
        <v/>
      </c>
    </row>
    <row r="728" spans="1:19">
      <c r="A728" s="15" t="str">
        <f>IF('实盘净值数据(iFinD）'!A728="","",'实盘净值数据(iFinD）'!A728)</f>
        <v/>
      </c>
      <c r="B728" s="13" t="str">
        <f>IF(OR('实盘净值数据(iFinD）'!$A728="",'实盘净值数据(iFinD）'!$B728=""),"",分期持仓明细!$AB$17*SUMPRODUCT(分期持仓明细!$B$17:$Y$17,'实盘净值数据(iFinD）'!$B728:$Y728/'实盘净值数据(iFinD）'!$B$20:$Y$20)*(1-实盘持仓初始配置!$Z$4)^(('实盘净值数据(iFinD）'!$A728-'实盘净值数据(iFinD）'!$A$6)/365))</f>
        <v/>
      </c>
      <c r="C728" s="16" t="str">
        <f t="shared" si="66"/>
        <v/>
      </c>
      <c r="D728" s="16" t="str">
        <f>IF(B728="","",B728/MAX(B$5:B728)-1)</f>
        <v/>
      </c>
      <c r="E728" s="13" t="str">
        <f>IF(OR('实盘净值数据(iFinD）'!$A728="",'实盘净值数据(iFinD）'!$B728=""),"",分期持仓明细!$AB$18*SUMPRODUCT(分期持仓明细!$B$18:$Y$18,'实盘净值数据(iFinD）'!$B728:$Y728/'实盘净值数据(iFinD）'!$B$20:$Y$20)*(1-实盘持仓初始配置!$Z$5)^(('实盘净值数据(iFinD）'!$A728-'实盘净值数据(iFinD）'!$A$5)/365))</f>
        <v/>
      </c>
      <c r="F728" s="16" t="str">
        <f t="shared" si="67"/>
        <v/>
      </c>
      <c r="G728" s="16" t="str">
        <f>IF(E728="","",E728/MAX(E$5:E728)-1)</f>
        <v/>
      </c>
      <c r="H728" s="13" t="str">
        <f>IF(OR('实盘净值数据(iFinD）'!$A728="",'实盘净值数据(iFinD）'!$B728=""),"",分期持仓明细!$AB$19*SUMPRODUCT(分期持仓明细!$B$19:$Y$19,'实盘净值数据(iFinD）'!$B728:$Y728/'实盘净值数据(iFinD）'!$B$20:$Y$20)*(1-实盘持仓初始配置!$Z$6)^(('实盘净值数据(iFinD）'!$A728-'实盘净值数据(iFinD）'!$A$7)/365))</f>
        <v/>
      </c>
      <c r="I728" s="16" t="str">
        <f t="shared" si="68"/>
        <v/>
      </c>
      <c r="J728" s="16" t="str">
        <f>IF(H728="","",H728/MAX(H$5:H728)-1)</f>
        <v/>
      </c>
      <c r="K728" s="13" t="str">
        <f>IF(OR('实盘净值数据(iFinD）'!$A728="",'实盘净值数据(iFinD）'!$B728="",'实盘净值数据(iFinD）'!$Z728="",'实盘净值数据(iFinD）'!$AA728=""),"",分期持仓明细!$AB$23*(SUMPRODUCT(分期持仓明细!$B$23:$Y$23,'实盘净值数据(iFinD）'!$B728:$Y728/'实盘净值数据(iFinD）'!$B$65:$Y$65)+SUMPRODUCT(分期持仓明细!$AC$23:$AD$23,'实盘净值数据(iFinD）'!$Z728:$AA728/'实盘净值数据(iFinD）'!$Z$65:$AA$65))*(1-实盘持仓初始配置!$Z$7)^(('实盘净值数据(iFinD）'!$A728-'实盘净值数据(iFinD）'!$A$8)/365))</f>
        <v/>
      </c>
      <c r="L728" s="16" t="str">
        <f t="shared" si="69"/>
        <v/>
      </c>
      <c r="M728" s="16" t="str">
        <f>IF(K728="","",K728/MAX(K$5:K728)-1)</f>
        <v/>
      </c>
      <c r="N728" s="13" t="str">
        <f>IF(OR('实盘净值数据(iFinD）'!$A728="",'实盘净值数据(iFinD）'!$B728="",'实盘净值数据(iFinD）'!$Z728="",'实盘净值数据(iFinD）'!$AA728=""),"",分期持仓明细!$AB$24*(SUMPRODUCT(分期持仓明细!$B$24:$Y$24,'实盘净值数据(iFinD）'!$B728:$Y728/'实盘净值数据(iFinD）'!$B$65:$Y$65)+SUMPRODUCT(分期持仓明细!$AC$24:$AD$24,'实盘净值数据(iFinD）'!$Z728:$AA728/'实盘净值数据(iFinD）'!$Z$65:$AA$65))*(1-实盘持仓初始配置!$Z$8)^(('实盘净值数据(iFinD）'!$A728-'实盘净值数据(iFinD）'!$A$5)/365))</f>
        <v/>
      </c>
      <c r="O728" s="16" t="str">
        <f t="shared" si="70"/>
        <v/>
      </c>
      <c r="P728" s="16" t="str">
        <f>IF(N728="","",N728/MAX(N$5:N728)-1)</f>
        <v/>
      </c>
      <c r="Q728" s="13" t="str">
        <f>IF(OR('实盘净值数据(iFinD）'!$A728="",'实盘净值数据(iFinD）'!$B728="",'实盘净值数据(iFinD）'!$Z728="",'实盘净值数据(iFinD）'!$AA728=""),"",分期持仓明细!$AB$25*(SUMPRODUCT(分期持仓明细!$B$25:$Y$25,'实盘净值数据(iFinD）'!$B728:$Y728/'实盘净值数据(iFinD）'!$B$65:$Y$65)+SUMPRODUCT(分期持仓明细!$AC$25:$AD$25,'实盘净值数据(iFinD）'!$Z728:$AA728/'实盘净值数据(iFinD）'!$Z$65:$AA$65))*(1-实盘持仓初始配置!$Z$9)^(('实盘净值数据(iFinD）'!$A728-'实盘净值数据(iFinD）'!$A$8)/365))</f>
        <v/>
      </c>
      <c r="R728" s="16" t="str">
        <f t="shared" si="71"/>
        <v/>
      </c>
      <c r="S728" s="16" t="str">
        <f>IF(Q728="","",Q728/MAX(Q$5:Q728)-1)</f>
        <v/>
      </c>
      <c r="T728" s="13">
        <f>IF(OR('实盘净值数据(iFinD）'!$A728="",'实盘净值数据(iFinD）'!$B728="",'实盘净值数据(iFinD）'!$Z728="",'实盘净值数据(iFinD）'!$AA728="",'实盘净值数据(iFinD）'!$AB728="",'实盘净值数据(iFinD）'!$AL728=""),"",(SUMPRODUCT(分期持仓明细!$B$26:$Y$26,'实盘净值数据(iFinD）'!$B728:$Y728/'实盘净值数据(iFinD）'!$B$69:$Y$69)+SUMPRODUCT(分期持仓明细!$AC$26:$AD$26,'实盘净值数据(iFinD）'!$Z728:$AA728/'实盘净值数据(iFinD）'!$Z$69:$AA$69)+SUMPRODUCT(分期持仓明细!$AE$26:$AO$26,'实盘净值数据(iFinD）'!$AB728:$AL728/'实盘净值数据(iFinD）'!$AB$69:$AL$69))*(1-实盘持仓初始配置!$Z$10)^(('实盘净值数据(iFinD）'!$A728-'实盘净值数据(iFinD）'!$A$69)/365))</f>
        <v/>
      </c>
      <c r="U728" s="16">
        <f>IF(OR(T727="",T728=""),"",T728/T727-1)</f>
        <v/>
      </c>
      <c r="V728" s="16">
        <f>IF(T728="","",T728/MAX(T$5:T728)-1)</f>
        <v/>
      </c>
    </row>
    <row r="729" spans="1:19">
      <c r="A729" s="15" t="str">
        <f>IF('实盘净值数据(iFinD）'!A729="","",'实盘净值数据(iFinD）'!A729)</f>
        <v/>
      </c>
      <c r="B729" s="13" t="str">
        <f>IF(OR('实盘净值数据(iFinD）'!$A729="",'实盘净值数据(iFinD）'!$B729=""),"",分期持仓明细!$AB$17*SUMPRODUCT(分期持仓明细!$B$17:$Y$17,'实盘净值数据(iFinD）'!$B729:$Y729/'实盘净值数据(iFinD）'!$B$20:$Y$20)*(1-实盘持仓初始配置!$Z$4)^(('实盘净值数据(iFinD）'!$A729-'实盘净值数据(iFinD）'!$A$6)/365))</f>
        <v/>
      </c>
      <c r="C729" s="16" t="str">
        <f t="shared" si="66"/>
        <v/>
      </c>
      <c r="D729" s="16" t="str">
        <f>IF(B729="","",B729/MAX(B$5:B729)-1)</f>
        <v/>
      </c>
      <c r="E729" s="13" t="str">
        <f>IF(OR('实盘净值数据(iFinD）'!$A729="",'实盘净值数据(iFinD）'!$B729=""),"",分期持仓明细!$AB$18*SUMPRODUCT(分期持仓明细!$B$18:$Y$18,'实盘净值数据(iFinD）'!$B729:$Y729/'实盘净值数据(iFinD）'!$B$20:$Y$20)*(1-实盘持仓初始配置!$Z$5)^(('实盘净值数据(iFinD）'!$A729-'实盘净值数据(iFinD）'!$A$5)/365))</f>
        <v/>
      </c>
      <c r="F729" s="16" t="str">
        <f t="shared" si="67"/>
        <v/>
      </c>
      <c r="G729" s="16" t="str">
        <f>IF(E729="","",E729/MAX(E$5:E729)-1)</f>
        <v/>
      </c>
      <c r="H729" s="13" t="str">
        <f>IF(OR('实盘净值数据(iFinD）'!$A729="",'实盘净值数据(iFinD）'!$B729=""),"",分期持仓明细!$AB$19*SUMPRODUCT(分期持仓明细!$B$19:$Y$19,'实盘净值数据(iFinD）'!$B729:$Y729/'实盘净值数据(iFinD）'!$B$20:$Y$20)*(1-实盘持仓初始配置!$Z$6)^(('实盘净值数据(iFinD）'!$A729-'实盘净值数据(iFinD）'!$A$7)/365))</f>
        <v/>
      </c>
      <c r="I729" s="16" t="str">
        <f t="shared" si="68"/>
        <v/>
      </c>
      <c r="J729" s="16" t="str">
        <f>IF(H729="","",H729/MAX(H$5:H729)-1)</f>
        <v/>
      </c>
      <c r="K729" s="13" t="str">
        <f>IF(OR('实盘净值数据(iFinD）'!$A729="",'实盘净值数据(iFinD）'!$B729="",'实盘净值数据(iFinD）'!$Z729="",'实盘净值数据(iFinD）'!$AA729=""),"",分期持仓明细!$AB$23*(SUMPRODUCT(分期持仓明细!$B$23:$Y$23,'实盘净值数据(iFinD）'!$B729:$Y729/'实盘净值数据(iFinD）'!$B$65:$Y$65)+SUMPRODUCT(分期持仓明细!$AC$23:$AD$23,'实盘净值数据(iFinD）'!$Z729:$AA729/'实盘净值数据(iFinD）'!$Z$65:$AA$65))*(1-实盘持仓初始配置!$Z$7)^(('实盘净值数据(iFinD）'!$A729-'实盘净值数据(iFinD）'!$A$8)/365))</f>
        <v/>
      </c>
      <c r="L729" s="16" t="str">
        <f t="shared" si="69"/>
        <v/>
      </c>
      <c r="M729" s="16" t="str">
        <f>IF(K729="","",K729/MAX(K$5:K729)-1)</f>
        <v/>
      </c>
      <c r="N729" s="13" t="str">
        <f>IF(OR('实盘净值数据(iFinD）'!$A729="",'实盘净值数据(iFinD）'!$B729="",'实盘净值数据(iFinD）'!$Z729="",'实盘净值数据(iFinD）'!$AA729=""),"",分期持仓明细!$AB$24*(SUMPRODUCT(分期持仓明细!$B$24:$Y$24,'实盘净值数据(iFinD）'!$B729:$Y729/'实盘净值数据(iFinD）'!$B$65:$Y$65)+SUMPRODUCT(分期持仓明细!$AC$24:$AD$24,'实盘净值数据(iFinD）'!$Z729:$AA729/'实盘净值数据(iFinD）'!$Z$65:$AA$65))*(1-实盘持仓初始配置!$Z$8)^(('实盘净值数据(iFinD）'!$A729-'实盘净值数据(iFinD）'!$A$5)/365))</f>
        <v/>
      </c>
      <c r="O729" s="16" t="str">
        <f t="shared" si="70"/>
        <v/>
      </c>
      <c r="P729" s="16" t="str">
        <f>IF(N729="","",N729/MAX(N$5:N729)-1)</f>
        <v/>
      </c>
      <c r="Q729" s="13" t="str">
        <f>IF(OR('实盘净值数据(iFinD）'!$A729="",'实盘净值数据(iFinD）'!$B729="",'实盘净值数据(iFinD）'!$Z729="",'实盘净值数据(iFinD）'!$AA729=""),"",分期持仓明细!$AB$25*(SUMPRODUCT(分期持仓明细!$B$25:$Y$25,'实盘净值数据(iFinD）'!$B729:$Y729/'实盘净值数据(iFinD）'!$B$65:$Y$65)+SUMPRODUCT(分期持仓明细!$AC$25:$AD$25,'实盘净值数据(iFinD）'!$Z729:$AA729/'实盘净值数据(iFinD）'!$Z$65:$AA$65))*(1-实盘持仓初始配置!$Z$9)^(('实盘净值数据(iFinD）'!$A729-'实盘净值数据(iFinD）'!$A$8)/365))</f>
        <v/>
      </c>
      <c r="R729" s="16" t="str">
        <f t="shared" si="71"/>
        <v/>
      </c>
      <c r="S729" s="16" t="str">
        <f>IF(Q729="","",Q729/MAX(Q$5:Q729)-1)</f>
        <v/>
      </c>
      <c r="T729" s="13">
        <f>IF(OR('实盘净值数据(iFinD）'!$A729="",'实盘净值数据(iFinD）'!$B729="",'实盘净值数据(iFinD）'!$Z729="",'实盘净值数据(iFinD）'!$AA729="",'实盘净值数据(iFinD）'!$AB729="",'实盘净值数据(iFinD）'!$AL729=""),"",(SUMPRODUCT(分期持仓明细!$B$26:$Y$26,'实盘净值数据(iFinD）'!$B729:$Y729/'实盘净值数据(iFinD）'!$B$69:$Y$69)+SUMPRODUCT(分期持仓明细!$AC$26:$AD$26,'实盘净值数据(iFinD）'!$Z729:$AA729/'实盘净值数据(iFinD）'!$Z$69:$AA$69)+SUMPRODUCT(分期持仓明细!$AE$26:$AO$26,'实盘净值数据(iFinD）'!$AB729:$AL729/'实盘净值数据(iFinD）'!$AB$69:$AL$69))*(1-实盘持仓初始配置!$Z$10)^(('实盘净值数据(iFinD）'!$A729-'实盘净值数据(iFinD）'!$A$69)/365))</f>
        <v/>
      </c>
      <c r="U729" s="16">
        <f>IF(OR(T728="",T729=""),"",T729/T728-1)</f>
        <v/>
      </c>
      <c r="V729" s="16">
        <f>IF(T729="","",T729/MAX(T$5:T729)-1)</f>
        <v/>
      </c>
    </row>
    <row r="730" spans="1:19">
      <c r="A730" s="15" t="str">
        <f>IF('实盘净值数据(iFinD）'!A730="","",'实盘净值数据(iFinD）'!A730)</f>
        <v/>
      </c>
      <c r="B730" s="13" t="str">
        <f>IF(OR('实盘净值数据(iFinD）'!$A730="",'实盘净值数据(iFinD）'!$B730=""),"",分期持仓明细!$AB$17*SUMPRODUCT(分期持仓明细!$B$17:$Y$17,'实盘净值数据(iFinD）'!$B730:$Y730/'实盘净值数据(iFinD）'!$B$20:$Y$20)*(1-实盘持仓初始配置!$Z$4)^(('实盘净值数据(iFinD）'!$A730-'实盘净值数据(iFinD）'!$A$6)/365))</f>
        <v/>
      </c>
      <c r="C730" s="16" t="str">
        <f t="shared" si="66"/>
        <v/>
      </c>
      <c r="D730" s="16" t="str">
        <f>IF(B730="","",B730/MAX(B$5:B730)-1)</f>
        <v/>
      </c>
      <c r="E730" s="13" t="str">
        <f>IF(OR('实盘净值数据(iFinD）'!$A730="",'实盘净值数据(iFinD）'!$B730=""),"",分期持仓明细!$AB$18*SUMPRODUCT(分期持仓明细!$B$18:$Y$18,'实盘净值数据(iFinD）'!$B730:$Y730/'实盘净值数据(iFinD）'!$B$20:$Y$20)*(1-实盘持仓初始配置!$Z$5)^(('实盘净值数据(iFinD）'!$A730-'实盘净值数据(iFinD）'!$A$5)/365))</f>
        <v/>
      </c>
      <c r="F730" s="16" t="str">
        <f t="shared" si="67"/>
        <v/>
      </c>
      <c r="G730" s="16" t="str">
        <f>IF(E730="","",E730/MAX(E$5:E730)-1)</f>
        <v/>
      </c>
      <c r="H730" s="13" t="str">
        <f>IF(OR('实盘净值数据(iFinD）'!$A730="",'实盘净值数据(iFinD）'!$B730=""),"",分期持仓明细!$AB$19*SUMPRODUCT(分期持仓明细!$B$19:$Y$19,'实盘净值数据(iFinD）'!$B730:$Y730/'实盘净值数据(iFinD）'!$B$20:$Y$20)*(1-实盘持仓初始配置!$Z$6)^(('实盘净值数据(iFinD）'!$A730-'实盘净值数据(iFinD）'!$A$7)/365))</f>
        <v/>
      </c>
      <c r="I730" s="16" t="str">
        <f t="shared" si="68"/>
        <v/>
      </c>
      <c r="J730" s="16" t="str">
        <f>IF(H730="","",H730/MAX(H$5:H730)-1)</f>
        <v/>
      </c>
      <c r="K730" s="13" t="str">
        <f>IF(OR('实盘净值数据(iFinD）'!$A730="",'实盘净值数据(iFinD）'!$B730="",'实盘净值数据(iFinD）'!$Z730="",'实盘净值数据(iFinD）'!$AA730=""),"",分期持仓明细!$AB$23*(SUMPRODUCT(分期持仓明细!$B$23:$Y$23,'实盘净值数据(iFinD）'!$B730:$Y730/'实盘净值数据(iFinD）'!$B$65:$Y$65)+SUMPRODUCT(分期持仓明细!$AC$23:$AD$23,'实盘净值数据(iFinD）'!$Z730:$AA730/'实盘净值数据(iFinD）'!$Z$65:$AA$65))*(1-实盘持仓初始配置!$Z$7)^(('实盘净值数据(iFinD）'!$A730-'实盘净值数据(iFinD）'!$A$8)/365))</f>
        <v/>
      </c>
      <c r="L730" s="16" t="str">
        <f t="shared" si="69"/>
        <v/>
      </c>
      <c r="M730" s="16" t="str">
        <f>IF(K730="","",K730/MAX(K$5:K730)-1)</f>
        <v/>
      </c>
      <c r="N730" s="13" t="str">
        <f>IF(OR('实盘净值数据(iFinD）'!$A730="",'实盘净值数据(iFinD）'!$B730="",'实盘净值数据(iFinD）'!$Z730="",'实盘净值数据(iFinD）'!$AA730=""),"",分期持仓明细!$AB$24*(SUMPRODUCT(分期持仓明细!$B$24:$Y$24,'实盘净值数据(iFinD）'!$B730:$Y730/'实盘净值数据(iFinD）'!$B$65:$Y$65)+SUMPRODUCT(分期持仓明细!$AC$24:$AD$24,'实盘净值数据(iFinD）'!$Z730:$AA730/'实盘净值数据(iFinD）'!$Z$65:$AA$65))*(1-实盘持仓初始配置!$Z$8)^(('实盘净值数据(iFinD）'!$A730-'实盘净值数据(iFinD）'!$A$5)/365))</f>
        <v/>
      </c>
      <c r="O730" s="16" t="str">
        <f t="shared" si="70"/>
        <v/>
      </c>
      <c r="P730" s="16" t="str">
        <f>IF(N730="","",N730/MAX(N$5:N730)-1)</f>
        <v/>
      </c>
      <c r="Q730" s="13" t="str">
        <f>IF(OR('实盘净值数据(iFinD）'!$A730="",'实盘净值数据(iFinD）'!$B730="",'实盘净值数据(iFinD）'!$Z730="",'实盘净值数据(iFinD）'!$AA730=""),"",分期持仓明细!$AB$25*(SUMPRODUCT(分期持仓明细!$B$25:$Y$25,'实盘净值数据(iFinD）'!$B730:$Y730/'实盘净值数据(iFinD）'!$B$65:$Y$65)+SUMPRODUCT(分期持仓明细!$AC$25:$AD$25,'实盘净值数据(iFinD）'!$Z730:$AA730/'实盘净值数据(iFinD）'!$Z$65:$AA$65))*(1-实盘持仓初始配置!$Z$9)^(('实盘净值数据(iFinD）'!$A730-'实盘净值数据(iFinD）'!$A$8)/365))</f>
        <v/>
      </c>
      <c r="R730" s="16" t="str">
        <f t="shared" si="71"/>
        <v/>
      </c>
      <c r="S730" s="16" t="str">
        <f>IF(Q730="","",Q730/MAX(Q$5:Q730)-1)</f>
        <v/>
      </c>
      <c r="T730" s="13">
        <f>IF(OR('实盘净值数据(iFinD）'!$A730="",'实盘净值数据(iFinD）'!$B730="",'实盘净值数据(iFinD）'!$Z730="",'实盘净值数据(iFinD）'!$AA730="",'实盘净值数据(iFinD）'!$AB730="",'实盘净值数据(iFinD）'!$AL730=""),"",(SUMPRODUCT(分期持仓明细!$B$26:$Y$26,'实盘净值数据(iFinD）'!$B730:$Y730/'实盘净值数据(iFinD）'!$B$69:$Y$69)+SUMPRODUCT(分期持仓明细!$AC$26:$AD$26,'实盘净值数据(iFinD）'!$Z730:$AA730/'实盘净值数据(iFinD）'!$Z$69:$AA$69)+SUMPRODUCT(分期持仓明细!$AE$26:$AO$26,'实盘净值数据(iFinD）'!$AB730:$AL730/'实盘净值数据(iFinD）'!$AB$69:$AL$69))*(1-实盘持仓初始配置!$Z$10)^(('实盘净值数据(iFinD）'!$A730-'实盘净值数据(iFinD）'!$A$69)/365))</f>
        <v/>
      </c>
      <c r="U730" s="16">
        <f>IF(OR(T729="",T730=""),"",T730/T729-1)</f>
        <v/>
      </c>
      <c r="V730" s="16">
        <f>IF(T730="","",T730/MAX(T$5:T730)-1)</f>
        <v/>
      </c>
    </row>
    <row r="731" spans="1:19">
      <c r="A731" s="15" t="str">
        <f>IF('实盘净值数据(iFinD）'!A731="","",'实盘净值数据(iFinD）'!A731)</f>
        <v/>
      </c>
      <c r="B731" s="13" t="str">
        <f>IF(OR('实盘净值数据(iFinD）'!$A731="",'实盘净值数据(iFinD）'!$B731=""),"",分期持仓明细!$AB$17*SUMPRODUCT(分期持仓明细!$B$17:$Y$17,'实盘净值数据(iFinD）'!$B731:$Y731/'实盘净值数据(iFinD）'!$B$20:$Y$20)*(1-实盘持仓初始配置!$Z$4)^(('实盘净值数据(iFinD）'!$A731-'实盘净值数据(iFinD）'!$A$6)/365))</f>
        <v/>
      </c>
      <c r="C731" s="16" t="str">
        <f t="shared" si="66"/>
        <v/>
      </c>
      <c r="D731" s="16" t="str">
        <f>IF(B731="","",B731/MAX(B$5:B731)-1)</f>
        <v/>
      </c>
      <c r="E731" s="13" t="str">
        <f>IF(OR('实盘净值数据(iFinD）'!$A731="",'实盘净值数据(iFinD）'!$B731=""),"",分期持仓明细!$AB$18*SUMPRODUCT(分期持仓明细!$B$18:$Y$18,'实盘净值数据(iFinD）'!$B731:$Y731/'实盘净值数据(iFinD）'!$B$20:$Y$20)*(1-实盘持仓初始配置!$Z$5)^(('实盘净值数据(iFinD）'!$A731-'实盘净值数据(iFinD）'!$A$5)/365))</f>
        <v/>
      </c>
      <c r="F731" s="16" t="str">
        <f t="shared" si="67"/>
        <v/>
      </c>
      <c r="G731" s="16" t="str">
        <f>IF(E731="","",E731/MAX(E$5:E731)-1)</f>
        <v/>
      </c>
      <c r="H731" s="13" t="str">
        <f>IF(OR('实盘净值数据(iFinD）'!$A731="",'实盘净值数据(iFinD）'!$B731=""),"",分期持仓明细!$AB$19*SUMPRODUCT(分期持仓明细!$B$19:$Y$19,'实盘净值数据(iFinD）'!$B731:$Y731/'实盘净值数据(iFinD）'!$B$20:$Y$20)*(1-实盘持仓初始配置!$Z$6)^(('实盘净值数据(iFinD）'!$A731-'实盘净值数据(iFinD）'!$A$7)/365))</f>
        <v/>
      </c>
      <c r="I731" s="16" t="str">
        <f t="shared" si="68"/>
        <v/>
      </c>
      <c r="J731" s="16" t="str">
        <f>IF(H731="","",H731/MAX(H$5:H731)-1)</f>
        <v/>
      </c>
      <c r="K731" s="13" t="str">
        <f>IF(OR('实盘净值数据(iFinD）'!$A731="",'实盘净值数据(iFinD）'!$B731="",'实盘净值数据(iFinD）'!$Z731="",'实盘净值数据(iFinD）'!$AA731=""),"",分期持仓明细!$AB$23*(SUMPRODUCT(分期持仓明细!$B$23:$Y$23,'实盘净值数据(iFinD）'!$B731:$Y731/'实盘净值数据(iFinD）'!$B$65:$Y$65)+SUMPRODUCT(分期持仓明细!$AC$23:$AD$23,'实盘净值数据(iFinD）'!$Z731:$AA731/'实盘净值数据(iFinD）'!$Z$65:$AA$65))*(1-实盘持仓初始配置!$Z$7)^(('实盘净值数据(iFinD）'!$A731-'实盘净值数据(iFinD）'!$A$8)/365))</f>
        <v/>
      </c>
      <c r="L731" s="16" t="str">
        <f t="shared" si="69"/>
        <v/>
      </c>
      <c r="M731" s="16" t="str">
        <f>IF(K731="","",K731/MAX(K$5:K731)-1)</f>
        <v/>
      </c>
      <c r="N731" s="13" t="str">
        <f>IF(OR('实盘净值数据(iFinD）'!$A731="",'实盘净值数据(iFinD）'!$B731="",'实盘净值数据(iFinD）'!$Z731="",'实盘净值数据(iFinD）'!$AA731=""),"",分期持仓明细!$AB$24*(SUMPRODUCT(分期持仓明细!$B$24:$Y$24,'实盘净值数据(iFinD）'!$B731:$Y731/'实盘净值数据(iFinD）'!$B$65:$Y$65)+SUMPRODUCT(分期持仓明细!$AC$24:$AD$24,'实盘净值数据(iFinD）'!$Z731:$AA731/'实盘净值数据(iFinD）'!$Z$65:$AA$65))*(1-实盘持仓初始配置!$Z$8)^(('实盘净值数据(iFinD）'!$A731-'实盘净值数据(iFinD）'!$A$5)/365))</f>
        <v/>
      </c>
      <c r="O731" s="16" t="str">
        <f t="shared" si="70"/>
        <v/>
      </c>
      <c r="P731" s="16" t="str">
        <f>IF(N731="","",N731/MAX(N$5:N731)-1)</f>
        <v/>
      </c>
      <c r="Q731" s="13" t="str">
        <f>IF(OR('实盘净值数据(iFinD）'!$A731="",'实盘净值数据(iFinD）'!$B731="",'实盘净值数据(iFinD）'!$Z731="",'实盘净值数据(iFinD）'!$AA731=""),"",分期持仓明细!$AB$25*(SUMPRODUCT(分期持仓明细!$B$25:$Y$25,'实盘净值数据(iFinD）'!$B731:$Y731/'实盘净值数据(iFinD）'!$B$65:$Y$65)+SUMPRODUCT(分期持仓明细!$AC$25:$AD$25,'实盘净值数据(iFinD）'!$Z731:$AA731/'实盘净值数据(iFinD）'!$Z$65:$AA$65))*(1-实盘持仓初始配置!$Z$9)^(('实盘净值数据(iFinD）'!$A731-'实盘净值数据(iFinD）'!$A$8)/365))</f>
        <v/>
      </c>
      <c r="R731" s="16" t="str">
        <f t="shared" si="71"/>
        <v/>
      </c>
      <c r="S731" s="16" t="str">
        <f>IF(Q731="","",Q731/MAX(Q$5:Q731)-1)</f>
        <v/>
      </c>
      <c r="T731" s="13">
        <f>IF(OR('实盘净值数据(iFinD）'!$A731="",'实盘净值数据(iFinD）'!$B731="",'实盘净值数据(iFinD）'!$Z731="",'实盘净值数据(iFinD）'!$AA731="",'实盘净值数据(iFinD）'!$AB731="",'实盘净值数据(iFinD）'!$AL731=""),"",(SUMPRODUCT(分期持仓明细!$B$26:$Y$26,'实盘净值数据(iFinD）'!$B731:$Y731/'实盘净值数据(iFinD）'!$B$69:$Y$69)+SUMPRODUCT(分期持仓明细!$AC$26:$AD$26,'实盘净值数据(iFinD）'!$Z731:$AA731/'实盘净值数据(iFinD）'!$Z$69:$AA$69)+SUMPRODUCT(分期持仓明细!$AE$26:$AO$26,'实盘净值数据(iFinD）'!$AB731:$AL731/'实盘净值数据(iFinD）'!$AB$69:$AL$69))*(1-实盘持仓初始配置!$Z$10)^(('实盘净值数据(iFinD）'!$A731-'实盘净值数据(iFinD）'!$A$69)/365))</f>
        <v/>
      </c>
      <c r="U731" s="16">
        <f>IF(OR(T730="",T731=""),"",T731/T730-1)</f>
        <v/>
      </c>
      <c r="V731" s="16">
        <f>IF(T731="","",T731/MAX(T$5:T731)-1)</f>
        <v/>
      </c>
    </row>
    <row r="732" spans="1:19">
      <c r="A732" s="15" t="str">
        <f>IF('实盘净值数据(iFinD）'!A732="","",'实盘净值数据(iFinD）'!A732)</f>
        <v/>
      </c>
      <c r="B732" s="13" t="str">
        <f>IF(OR('实盘净值数据(iFinD）'!$A732="",'实盘净值数据(iFinD）'!$B732=""),"",分期持仓明细!$AB$17*SUMPRODUCT(分期持仓明细!$B$17:$Y$17,'实盘净值数据(iFinD）'!$B732:$Y732/'实盘净值数据(iFinD）'!$B$20:$Y$20)*(1-实盘持仓初始配置!$Z$4)^(('实盘净值数据(iFinD）'!$A732-'实盘净值数据(iFinD）'!$A$6)/365))</f>
        <v/>
      </c>
      <c r="C732" s="16" t="str">
        <f t="shared" si="66"/>
        <v/>
      </c>
      <c r="D732" s="16" t="str">
        <f>IF(B732="","",B732/MAX(B$5:B732)-1)</f>
        <v/>
      </c>
      <c r="E732" s="13" t="str">
        <f>IF(OR('实盘净值数据(iFinD）'!$A732="",'实盘净值数据(iFinD）'!$B732=""),"",分期持仓明细!$AB$18*SUMPRODUCT(分期持仓明细!$B$18:$Y$18,'实盘净值数据(iFinD）'!$B732:$Y732/'实盘净值数据(iFinD）'!$B$20:$Y$20)*(1-实盘持仓初始配置!$Z$5)^(('实盘净值数据(iFinD）'!$A732-'实盘净值数据(iFinD）'!$A$5)/365))</f>
        <v/>
      </c>
      <c r="F732" s="16" t="str">
        <f t="shared" si="67"/>
        <v/>
      </c>
      <c r="G732" s="16" t="str">
        <f>IF(E732="","",E732/MAX(E$5:E732)-1)</f>
        <v/>
      </c>
      <c r="H732" s="13" t="str">
        <f>IF(OR('实盘净值数据(iFinD）'!$A732="",'实盘净值数据(iFinD）'!$B732=""),"",分期持仓明细!$AB$19*SUMPRODUCT(分期持仓明细!$B$19:$Y$19,'实盘净值数据(iFinD）'!$B732:$Y732/'实盘净值数据(iFinD）'!$B$20:$Y$20)*(1-实盘持仓初始配置!$Z$6)^(('实盘净值数据(iFinD）'!$A732-'实盘净值数据(iFinD）'!$A$7)/365))</f>
        <v/>
      </c>
      <c r="I732" s="16" t="str">
        <f t="shared" si="68"/>
        <v/>
      </c>
      <c r="J732" s="16" t="str">
        <f>IF(H732="","",H732/MAX(H$5:H732)-1)</f>
        <v/>
      </c>
      <c r="K732" s="13" t="str">
        <f>IF(OR('实盘净值数据(iFinD）'!$A732="",'实盘净值数据(iFinD）'!$B732="",'实盘净值数据(iFinD）'!$Z732="",'实盘净值数据(iFinD）'!$AA732=""),"",分期持仓明细!$AB$23*(SUMPRODUCT(分期持仓明细!$B$23:$Y$23,'实盘净值数据(iFinD）'!$B732:$Y732/'实盘净值数据(iFinD）'!$B$65:$Y$65)+SUMPRODUCT(分期持仓明细!$AC$23:$AD$23,'实盘净值数据(iFinD）'!$Z732:$AA732/'实盘净值数据(iFinD）'!$Z$65:$AA$65))*(1-实盘持仓初始配置!$Z$7)^(('实盘净值数据(iFinD）'!$A732-'实盘净值数据(iFinD）'!$A$8)/365))</f>
        <v/>
      </c>
      <c r="L732" s="16" t="str">
        <f t="shared" si="69"/>
        <v/>
      </c>
      <c r="M732" s="16" t="str">
        <f>IF(K732="","",K732/MAX(K$5:K732)-1)</f>
        <v/>
      </c>
      <c r="N732" s="13" t="str">
        <f>IF(OR('实盘净值数据(iFinD）'!$A732="",'实盘净值数据(iFinD）'!$B732="",'实盘净值数据(iFinD）'!$Z732="",'实盘净值数据(iFinD）'!$AA732=""),"",分期持仓明细!$AB$24*(SUMPRODUCT(分期持仓明细!$B$24:$Y$24,'实盘净值数据(iFinD）'!$B732:$Y732/'实盘净值数据(iFinD）'!$B$65:$Y$65)+SUMPRODUCT(分期持仓明细!$AC$24:$AD$24,'实盘净值数据(iFinD）'!$Z732:$AA732/'实盘净值数据(iFinD）'!$Z$65:$AA$65))*(1-实盘持仓初始配置!$Z$8)^(('实盘净值数据(iFinD）'!$A732-'实盘净值数据(iFinD）'!$A$5)/365))</f>
        <v/>
      </c>
      <c r="O732" s="16" t="str">
        <f t="shared" si="70"/>
        <v/>
      </c>
      <c r="P732" s="16" t="str">
        <f>IF(N732="","",N732/MAX(N$5:N732)-1)</f>
        <v/>
      </c>
      <c r="Q732" s="13" t="str">
        <f>IF(OR('实盘净值数据(iFinD）'!$A732="",'实盘净值数据(iFinD）'!$B732="",'实盘净值数据(iFinD）'!$Z732="",'实盘净值数据(iFinD）'!$AA732=""),"",分期持仓明细!$AB$25*(SUMPRODUCT(分期持仓明细!$B$25:$Y$25,'实盘净值数据(iFinD）'!$B732:$Y732/'实盘净值数据(iFinD）'!$B$65:$Y$65)+SUMPRODUCT(分期持仓明细!$AC$25:$AD$25,'实盘净值数据(iFinD）'!$Z732:$AA732/'实盘净值数据(iFinD）'!$Z$65:$AA$65))*(1-实盘持仓初始配置!$Z$9)^(('实盘净值数据(iFinD）'!$A732-'实盘净值数据(iFinD）'!$A$8)/365))</f>
        <v/>
      </c>
      <c r="R732" s="16" t="str">
        <f t="shared" si="71"/>
        <v/>
      </c>
      <c r="S732" s="16" t="str">
        <f>IF(Q732="","",Q732/MAX(Q$5:Q732)-1)</f>
        <v/>
      </c>
      <c r="T732" s="13">
        <f>IF(OR('实盘净值数据(iFinD）'!$A732="",'实盘净值数据(iFinD）'!$B732="",'实盘净值数据(iFinD）'!$Z732="",'实盘净值数据(iFinD）'!$AA732="",'实盘净值数据(iFinD）'!$AB732="",'实盘净值数据(iFinD）'!$AL732=""),"",(SUMPRODUCT(分期持仓明细!$B$26:$Y$26,'实盘净值数据(iFinD）'!$B732:$Y732/'实盘净值数据(iFinD）'!$B$69:$Y$69)+SUMPRODUCT(分期持仓明细!$AC$26:$AD$26,'实盘净值数据(iFinD）'!$Z732:$AA732/'实盘净值数据(iFinD）'!$Z$69:$AA$69)+SUMPRODUCT(分期持仓明细!$AE$26:$AO$26,'实盘净值数据(iFinD）'!$AB732:$AL732/'实盘净值数据(iFinD）'!$AB$69:$AL$69))*(1-实盘持仓初始配置!$Z$10)^(('实盘净值数据(iFinD）'!$A732-'实盘净值数据(iFinD）'!$A$69)/365))</f>
        <v/>
      </c>
      <c r="U732" s="16">
        <f>IF(OR(T731="",T732=""),"",T732/T731-1)</f>
        <v/>
      </c>
      <c r="V732" s="16">
        <f>IF(T732="","",T732/MAX(T$5:T732)-1)</f>
        <v/>
      </c>
    </row>
    <row r="733" spans="1:19">
      <c r="A733" s="15" t="str">
        <f>IF('实盘净值数据(iFinD）'!A733="","",'实盘净值数据(iFinD）'!A733)</f>
        <v/>
      </c>
      <c r="B733" s="13" t="str">
        <f>IF(OR('实盘净值数据(iFinD）'!$A733="",'实盘净值数据(iFinD）'!$B733=""),"",分期持仓明细!$AB$17*SUMPRODUCT(分期持仓明细!$B$17:$Y$17,'实盘净值数据(iFinD）'!$B733:$Y733/'实盘净值数据(iFinD）'!$B$20:$Y$20)*(1-实盘持仓初始配置!$Z$4)^(('实盘净值数据(iFinD）'!$A733-'实盘净值数据(iFinD）'!$A$6)/365))</f>
        <v/>
      </c>
      <c r="C733" s="16" t="str">
        <f t="shared" si="66"/>
        <v/>
      </c>
      <c r="D733" s="16" t="str">
        <f>IF(B733="","",B733/MAX(B$5:B733)-1)</f>
        <v/>
      </c>
      <c r="E733" s="13" t="str">
        <f>IF(OR('实盘净值数据(iFinD）'!$A733="",'实盘净值数据(iFinD）'!$B733=""),"",分期持仓明细!$AB$18*SUMPRODUCT(分期持仓明细!$B$18:$Y$18,'实盘净值数据(iFinD）'!$B733:$Y733/'实盘净值数据(iFinD）'!$B$20:$Y$20)*(1-实盘持仓初始配置!$Z$5)^(('实盘净值数据(iFinD）'!$A733-'实盘净值数据(iFinD）'!$A$5)/365))</f>
        <v/>
      </c>
      <c r="F733" s="16" t="str">
        <f t="shared" si="67"/>
        <v/>
      </c>
      <c r="G733" s="16" t="str">
        <f>IF(E733="","",E733/MAX(E$5:E733)-1)</f>
        <v/>
      </c>
      <c r="H733" s="13" t="str">
        <f>IF(OR('实盘净值数据(iFinD）'!$A733="",'实盘净值数据(iFinD）'!$B733=""),"",分期持仓明细!$AB$19*SUMPRODUCT(分期持仓明细!$B$19:$Y$19,'实盘净值数据(iFinD）'!$B733:$Y733/'实盘净值数据(iFinD）'!$B$20:$Y$20)*(1-实盘持仓初始配置!$Z$6)^(('实盘净值数据(iFinD）'!$A733-'实盘净值数据(iFinD）'!$A$7)/365))</f>
        <v/>
      </c>
      <c r="I733" s="16" t="str">
        <f t="shared" si="68"/>
        <v/>
      </c>
      <c r="J733" s="16" t="str">
        <f>IF(H733="","",H733/MAX(H$5:H733)-1)</f>
        <v/>
      </c>
      <c r="K733" s="13" t="str">
        <f>IF(OR('实盘净值数据(iFinD）'!$A733="",'实盘净值数据(iFinD）'!$B733="",'实盘净值数据(iFinD）'!$Z733="",'实盘净值数据(iFinD）'!$AA733=""),"",分期持仓明细!$AB$23*(SUMPRODUCT(分期持仓明细!$B$23:$Y$23,'实盘净值数据(iFinD）'!$B733:$Y733/'实盘净值数据(iFinD）'!$B$65:$Y$65)+SUMPRODUCT(分期持仓明细!$AC$23:$AD$23,'实盘净值数据(iFinD）'!$Z733:$AA733/'实盘净值数据(iFinD）'!$Z$65:$AA$65))*(1-实盘持仓初始配置!$Z$7)^(('实盘净值数据(iFinD）'!$A733-'实盘净值数据(iFinD）'!$A$8)/365))</f>
        <v/>
      </c>
      <c r="L733" s="16" t="str">
        <f t="shared" si="69"/>
        <v/>
      </c>
      <c r="M733" s="16" t="str">
        <f>IF(K733="","",K733/MAX(K$5:K733)-1)</f>
        <v/>
      </c>
      <c r="N733" s="13" t="str">
        <f>IF(OR('实盘净值数据(iFinD）'!$A733="",'实盘净值数据(iFinD）'!$B733="",'实盘净值数据(iFinD）'!$Z733="",'实盘净值数据(iFinD）'!$AA733=""),"",分期持仓明细!$AB$24*(SUMPRODUCT(分期持仓明细!$B$24:$Y$24,'实盘净值数据(iFinD）'!$B733:$Y733/'实盘净值数据(iFinD）'!$B$65:$Y$65)+SUMPRODUCT(分期持仓明细!$AC$24:$AD$24,'实盘净值数据(iFinD）'!$Z733:$AA733/'实盘净值数据(iFinD）'!$Z$65:$AA$65))*(1-实盘持仓初始配置!$Z$8)^(('实盘净值数据(iFinD）'!$A733-'实盘净值数据(iFinD）'!$A$5)/365))</f>
        <v/>
      </c>
      <c r="O733" s="16" t="str">
        <f t="shared" si="70"/>
        <v/>
      </c>
      <c r="P733" s="16" t="str">
        <f>IF(N733="","",N733/MAX(N$5:N733)-1)</f>
        <v/>
      </c>
      <c r="Q733" s="13" t="str">
        <f>IF(OR('实盘净值数据(iFinD）'!$A733="",'实盘净值数据(iFinD）'!$B733="",'实盘净值数据(iFinD）'!$Z733="",'实盘净值数据(iFinD）'!$AA733=""),"",分期持仓明细!$AB$25*(SUMPRODUCT(分期持仓明细!$B$25:$Y$25,'实盘净值数据(iFinD）'!$B733:$Y733/'实盘净值数据(iFinD）'!$B$65:$Y$65)+SUMPRODUCT(分期持仓明细!$AC$25:$AD$25,'实盘净值数据(iFinD）'!$Z733:$AA733/'实盘净值数据(iFinD）'!$Z$65:$AA$65))*(1-实盘持仓初始配置!$Z$9)^(('实盘净值数据(iFinD）'!$A733-'实盘净值数据(iFinD）'!$A$8)/365))</f>
        <v/>
      </c>
      <c r="R733" s="16" t="str">
        <f t="shared" si="71"/>
        <v/>
      </c>
      <c r="S733" s="16" t="str">
        <f>IF(Q733="","",Q733/MAX(Q$5:Q733)-1)</f>
        <v/>
      </c>
      <c r="T733" s="13">
        <f>IF(OR('实盘净值数据(iFinD）'!$A733="",'实盘净值数据(iFinD）'!$B733="",'实盘净值数据(iFinD）'!$Z733="",'实盘净值数据(iFinD）'!$AA733="",'实盘净值数据(iFinD）'!$AB733="",'实盘净值数据(iFinD）'!$AL733=""),"",(SUMPRODUCT(分期持仓明细!$B$26:$Y$26,'实盘净值数据(iFinD）'!$B733:$Y733/'实盘净值数据(iFinD）'!$B$69:$Y$69)+SUMPRODUCT(分期持仓明细!$AC$26:$AD$26,'实盘净值数据(iFinD）'!$Z733:$AA733/'实盘净值数据(iFinD）'!$Z$69:$AA$69)+SUMPRODUCT(分期持仓明细!$AE$26:$AO$26,'实盘净值数据(iFinD）'!$AB733:$AL733/'实盘净值数据(iFinD）'!$AB$69:$AL$69))*(1-实盘持仓初始配置!$Z$10)^(('实盘净值数据(iFinD）'!$A733-'实盘净值数据(iFinD）'!$A$69)/365))</f>
        <v/>
      </c>
      <c r="U733" s="16">
        <f>IF(OR(T732="",T733=""),"",T733/T732-1)</f>
        <v/>
      </c>
      <c r="V733" s="16">
        <f>IF(T733="","",T733/MAX(T$5:T733)-1)</f>
        <v/>
      </c>
    </row>
    <row r="734" spans="1:19">
      <c r="A734" s="15" t="str">
        <f>IF('实盘净值数据(iFinD）'!A734="","",'实盘净值数据(iFinD）'!A734)</f>
        <v/>
      </c>
      <c r="B734" s="13" t="str">
        <f>IF(OR('实盘净值数据(iFinD）'!$A734="",'实盘净值数据(iFinD）'!$B734=""),"",分期持仓明细!$AB$17*SUMPRODUCT(分期持仓明细!$B$17:$Y$17,'实盘净值数据(iFinD）'!$B734:$Y734/'实盘净值数据(iFinD）'!$B$20:$Y$20)*(1-实盘持仓初始配置!$Z$4)^(('实盘净值数据(iFinD）'!$A734-'实盘净值数据(iFinD）'!$A$6)/365))</f>
        <v/>
      </c>
      <c r="C734" s="16" t="str">
        <f t="shared" si="66"/>
        <v/>
      </c>
      <c r="D734" s="16" t="str">
        <f>IF(B734="","",B734/MAX(B$5:B734)-1)</f>
        <v/>
      </c>
      <c r="E734" s="13" t="str">
        <f>IF(OR('实盘净值数据(iFinD）'!$A734="",'实盘净值数据(iFinD）'!$B734=""),"",分期持仓明细!$AB$18*SUMPRODUCT(分期持仓明细!$B$18:$Y$18,'实盘净值数据(iFinD）'!$B734:$Y734/'实盘净值数据(iFinD）'!$B$20:$Y$20)*(1-实盘持仓初始配置!$Z$5)^(('实盘净值数据(iFinD）'!$A734-'实盘净值数据(iFinD）'!$A$5)/365))</f>
        <v/>
      </c>
      <c r="F734" s="16" t="str">
        <f t="shared" si="67"/>
        <v/>
      </c>
      <c r="G734" s="16" t="str">
        <f>IF(E734="","",E734/MAX(E$5:E734)-1)</f>
        <v/>
      </c>
      <c r="H734" s="13" t="str">
        <f>IF(OR('实盘净值数据(iFinD）'!$A734="",'实盘净值数据(iFinD）'!$B734=""),"",分期持仓明细!$AB$19*SUMPRODUCT(分期持仓明细!$B$19:$Y$19,'实盘净值数据(iFinD）'!$B734:$Y734/'实盘净值数据(iFinD）'!$B$20:$Y$20)*(1-实盘持仓初始配置!$Z$6)^(('实盘净值数据(iFinD）'!$A734-'实盘净值数据(iFinD）'!$A$7)/365))</f>
        <v/>
      </c>
      <c r="I734" s="16" t="str">
        <f t="shared" si="68"/>
        <v/>
      </c>
      <c r="J734" s="16" t="str">
        <f>IF(H734="","",H734/MAX(H$5:H734)-1)</f>
        <v/>
      </c>
      <c r="K734" s="13" t="str">
        <f>IF(OR('实盘净值数据(iFinD）'!$A734="",'实盘净值数据(iFinD）'!$B734="",'实盘净值数据(iFinD）'!$Z734="",'实盘净值数据(iFinD）'!$AA734=""),"",分期持仓明细!$AB$23*(SUMPRODUCT(分期持仓明细!$B$23:$Y$23,'实盘净值数据(iFinD）'!$B734:$Y734/'实盘净值数据(iFinD）'!$B$65:$Y$65)+SUMPRODUCT(分期持仓明细!$AC$23:$AD$23,'实盘净值数据(iFinD）'!$Z734:$AA734/'实盘净值数据(iFinD）'!$Z$65:$AA$65))*(1-实盘持仓初始配置!$Z$7)^(('实盘净值数据(iFinD）'!$A734-'实盘净值数据(iFinD）'!$A$8)/365))</f>
        <v/>
      </c>
      <c r="L734" s="16" t="str">
        <f t="shared" si="69"/>
        <v/>
      </c>
      <c r="M734" s="16" t="str">
        <f>IF(K734="","",K734/MAX(K$5:K734)-1)</f>
        <v/>
      </c>
      <c r="N734" s="13" t="str">
        <f>IF(OR('实盘净值数据(iFinD）'!$A734="",'实盘净值数据(iFinD）'!$B734="",'实盘净值数据(iFinD）'!$Z734="",'实盘净值数据(iFinD）'!$AA734=""),"",分期持仓明细!$AB$24*(SUMPRODUCT(分期持仓明细!$B$24:$Y$24,'实盘净值数据(iFinD）'!$B734:$Y734/'实盘净值数据(iFinD）'!$B$65:$Y$65)+SUMPRODUCT(分期持仓明细!$AC$24:$AD$24,'实盘净值数据(iFinD）'!$Z734:$AA734/'实盘净值数据(iFinD）'!$Z$65:$AA$65))*(1-实盘持仓初始配置!$Z$8)^(('实盘净值数据(iFinD）'!$A734-'实盘净值数据(iFinD）'!$A$5)/365))</f>
        <v/>
      </c>
      <c r="O734" s="16" t="str">
        <f t="shared" si="70"/>
        <v/>
      </c>
      <c r="P734" s="16" t="str">
        <f>IF(N734="","",N734/MAX(N$5:N734)-1)</f>
        <v/>
      </c>
      <c r="Q734" s="13" t="str">
        <f>IF(OR('实盘净值数据(iFinD）'!$A734="",'实盘净值数据(iFinD）'!$B734="",'实盘净值数据(iFinD）'!$Z734="",'实盘净值数据(iFinD）'!$AA734=""),"",分期持仓明细!$AB$25*(SUMPRODUCT(分期持仓明细!$B$25:$Y$25,'实盘净值数据(iFinD）'!$B734:$Y734/'实盘净值数据(iFinD）'!$B$65:$Y$65)+SUMPRODUCT(分期持仓明细!$AC$25:$AD$25,'实盘净值数据(iFinD）'!$Z734:$AA734/'实盘净值数据(iFinD）'!$Z$65:$AA$65))*(1-实盘持仓初始配置!$Z$9)^(('实盘净值数据(iFinD）'!$A734-'实盘净值数据(iFinD）'!$A$8)/365))</f>
        <v/>
      </c>
      <c r="R734" s="16" t="str">
        <f t="shared" si="71"/>
        <v/>
      </c>
      <c r="S734" s="16" t="str">
        <f>IF(Q734="","",Q734/MAX(Q$5:Q734)-1)</f>
        <v/>
      </c>
      <c r="T734" s="13">
        <f>IF(OR('实盘净值数据(iFinD）'!$A734="",'实盘净值数据(iFinD）'!$B734="",'实盘净值数据(iFinD）'!$Z734="",'实盘净值数据(iFinD）'!$AA734="",'实盘净值数据(iFinD）'!$AB734="",'实盘净值数据(iFinD）'!$AL734=""),"",(SUMPRODUCT(分期持仓明细!$B$26:$Y$26,'实盘净值数据(iFinD）'!$B734:$Y734/'实盘净值数据(iFinD）'!$B$69:$Y$69)+SUMPRODUCT(分期持仓明细!$AC$26:$AD$26,'实盘净值数据(iFinD）'!$Z734:$AA734/'实盘净值数据(iFinD）'!$Z$69:$AA$69)+SUMPRODUCT(分期持仓明细!$AE$26:$AO$26,'实盘净值数据(iFinD）'!$AB734:$AL734/'实盘净值数据(iFinD）'!$AB$69:$AL$69))*(1-实盘持仓初始配置!$Z$10)^(('实盘净值数据(iFinD）'!$A734-'实盘净值数据(iFinD）'!$A$69)/365))</f>
        <v/>
      </c>
      <c r="U734" s="16">
        <f>IF(OR(T733="",T734=""),"",T734/T733-1)</f>
        <v/>
      </c>
      <c r="V734" s="16">
        <f>IF(T734="","",T734/MAX(T$5:T734)-1)</f>
        <v/>
      </c>
    </row>
    <row r="735" spans="1:19">
      <c r="A735" s="15" t="str">
        <f>IF('实盘净值数据(iFinD）'!A735="","",'实盘净值数据(iFinD）'!A735)</f>
        <v/>
      </c>
      <c r="B735" s="13" t="str">
        <f>IF(OR('实盘净值数据(iFinD）'!$A735="",'实盘净值数据(iFinD）'!$B735=""),"",分期持仓明细!$AB$17*SUMPRODUCT(分期持仓明细!$B$17:$Y$17,'实盘净值数据(iFinD）'!$B735:$Y735/'实盘净值数据(iFinD）'!$B$20:$Y$20)*(1-实盘持仓初始配置!$Z$4)^(('实盘净值数据(iFinD）'!$A735-'实盘净值数据(iFinD）'!$A$6)/365))</f>
        <v/>
      </c>
      <c r="C735" s="16" t="str">
        <f t="shared" si="66"/>
        <v/>
      </c>
      <c r="D735" s="16" t="str">
        <f>IF(B735="","",B735/MAX(B$5:B735)-1)</f>
        <v/>
      </c>
      <c r="E735" s="13" t="str">
        <f>IF(OR('实盘净值数据(iFinD）'!$A735="",'实盘净值数据(iFinD）'!$B735=""),"",分期持仓明细!$AB$18*SUMPRODUCT(分期持仓明细!$B$18:$Y$18,'实盘净值数据(iFinD）'!$B735:$Y735/'实盘净值数据(iFinD）'!$B$20:$Y$20)*(1-实盘持仓初始配置!$Z$5)^(('实盘净值数据(iFinD）'!$A735-'实盘净值数据(iFinD）'!$A$5)/365))</f>
        <v/>
      </c>
      <c r="F735" s="16" t="str">
        <f t="shared" si="67"/>
        <v/>
      </c>
      <c r="G735" s="16" t="str">
        <f>IF(E735="","",E735/MAX(E$5:E735)-1)</f>
        <v/>
      </c>
      <c r="H735" s="13" t="str">
        <f>IF(OR('实盘净值数据(iFinD）'!$A735="",'实盘净值数据(iFinD）'!$B735=""),"",分期持仓明细!$AB$19*SUMPRODUCT(分期持仓明细!$B$19:$Y$19,'实盘净值数据(iFinD）'!$B735:$Y735/'实盘净值数据(iFinD）'!$B$20:$Y$20)*(1-实盘持仓初始配置!$Z$6)^(('实盘净值数据(iFinD）'!$A735-'实盘净值数据(iFinD）'!$A$7)/365))</f>
        <v/>
      </c>
      <c r="I735" s="16" t="str">
        <f t="shared" si="68"/>
        <v/>
      </c>
      <c r="J735" s="16" t="str">
        <f>IF(H735="","",H735/MAX(H$5:H735)-1)</f>
        <v/>
      </c>
      <c r="K735" s="13" t="str">
        <f>IF(OR('实盘净值数据(iFinD）'!$A735="",'实盘净值数据(iFinD）'!$B735="",'实盘净值数据(iFinD）'!$Z735="",'实盘净值数据(iFinD）'!$AA735=""),"",分期持仓明细!$AB$23*(SUMPRODUCT(分期持仓明细!$B$23:$Y$23,'实盘净值数据(iFinD）'!$B735:$Y735/'实盘净值数据(iFinD）'!$B$65:$Y$65)+SUMPRODUCT(分期持仓明细!$AC$23:$AD$23,'实盘净值数据(iFinD）'!$Z735:$AA735/'实盘净值数据(iFinD）'!$Z$65:$AA$65))*(1-实盘持仓初始配置!$Z$7)^(('实盘净值数据(iFinD）'!$A735-'实盘净值数据(iFinD）'!$A$8)/365))</f>
        <v/>
      </c>
      <c r="L735" s="16" t="str">
        <f t="shared" si="69"/>
        <v/>
      </c>
      <c r="M735" s="16" t="str">
        <f>IF(K735="","",K735/MAX(K$5:K735)-1)</f>
        <v/>
      </c>
      <c r="N735" s="13" t="str">
        <f>IF(OR('实盘净值数据(iFinD）'!$A735="",'实盘净值数据(iFinD）'!$B735="",'实盘净值数据(iFinD）'!$Z735="",'实盘净值数据(iFinD）'!$AA735=""),"",分期持仓明细!$AB$24*(SUMPRODUCT(分期持仓明细!$B$24:$Y$24,'实盘净值数据(iFinD）'!$B735:$Y735/'实盘净值数据(iFinD）'!$B$65:$Y$65)+SUMPRODUCT(分期持仓明细!$AC$24:$AD$24,'实盘净值数据(iFinD）'!$Z735:$AA735/'实盘净值数据(iFinD）'!$Z$65:$AA$65))*(1-实盘持仓初始配置!$Z$8)^(('实盘净值数据(iFinD）'!$A735-'实盘净值数据(iFinD）'!$A$5)/365))</f>
        <v/>
      </c>
      <c r="O735" s="16" t="str">
        <f t="shared" si="70"/>
        <v/>
      </c>
      <c r="P735" s="16" t="str">
        <f>IF(N735="","",N735/MAX(N$5:N735)-1)</f>
        <v/>
      </c>
      <c r="Q735" s="13" t="str">
        <f>IF(OR('实盘净值数据(iFinD）'!$A735="",'实盘净值数据(iFinD）'!$B735="",'实盘净值数据(iFinD）'!$Z735="",'实盘净值数据(iFinD）'!$AA735=""),"",分期持仓明细!$AB$25*(SUMPRODUCT(分期持仓明细!$B$25:$Y$25,'实盘净值数据(iFinD）'!$B735:$Y735/'实盘净值数据(iFinD）'!$B$65:$Y$65)+SUMPRODUCT(分期持仓明细!$AC$25:$AD$25,'实盘净值数据(iFinD）'!$Z735:$AA735/'实盘净值数据(iFinD）'!$Z$65:$AA$65))*(1-实盘持仓初始配置!$Z$9)^(('实盘净值数据(iFinD）'!$A735-'实盘净值数据(iFinD）'!$A$8)/365))</f>
        <v/>
      </c>
      <c r="R735" s="16" t="str">
        <f t="shared" si="71"/>
        <v/>
      </c>
      <c r="S735" s="16" t="str">
        <f>IF(Q735="","",Q735/MAX(Q$5:Q735)-1)</f>
        <v/>
      </c>
      <c r="T735" s="13">
        <f>IF(OR('实盘净值数据(iFinD）'!$A735="",'实盘净值数据(iFinD）'!$B735="",'实盘净值数据(iFinD）'!$Z735="",'实盘净值数据(iFinD）'!$AA735="",'实盘净值数据(iFinD）'!$AB735="",'实盘净值数据(iFinD）'!$AL735=""),"",(SUMPRODUCT(分期持仓明细!$B$26:$Y$26,'实盘净值数据(iFinD）'!$B735:$Y735/'实盘净值数据(iFinD）'!$B$69:$Y$69)+SUMPRODUCT(分期持仓明细!$AC$26:$AD$26,'实盘净值数据(iFinD）'!$Z735:$AA735/'实盘净值数据(iFinD）'!$Z$69:$AA$69)+SUMPRODUCT(分期持仓明细!$AE$26:$AO$26,'实盘净值数据(iFinD）'!$AB735:$AL735/'实盘净值数据(iFinD）'!$AB$69:$AL$69))*(1-实盘持仓初始配置!$Z$10)^(('实盘净值数据(iFinD）'!$A735-'实盘净值数据(iFinD）'!$A$69)/365))</f>
        <v/>
      </c>
      <c r="U735" s="16">
        <f>IF(OR(T734="",T735=""),"",T735/T734-1)</f>
        <v/>
      </c>
      <c r="V735" s="16">
        <f>IF(T735="","",T735/MAX(T$5:T735)-1)</f>
        <v/>
      </c>
    </row>
    <row r="736" spans="1:19">
      <c r="A736" s="15" t="str">
        <f>IF('实盘净值数据(iFinD）'!A736="","",'实盘净值数据(iFinD）'!A736)</f>
        <v/>
      </c>
      <c r="B736" s="13" t="str">
        <f>IF(OR('实盘净值数据(iFinD）'!$A736="",'实盘净值数据(iFinD）'!$B736=""),"",分期持仓明细!$AB$17*SUMPRODUCT(分期持仓明细!$B$17:$Y$17,'实盘净值数据(iFinD）'!$B736:$Y736/'实盘净值数据(iFinD）'!$B$20:$Y$20)*(1-实盘持仓初始配置!$Z$4)^(('实盘净值数据(iFinD）'!$A736-'实盘净值数据(iFinD）'!$A$6)/365))</f>
        <v/>
      </c>
      <c r="C736" s="16" t="str">
        <f t="shared" si="66"/>
        <v/>
      </c>
      <c r="D736" s="16" t="str">
        <f>IF(B736="","",B736/MAX(B$5:B736)-1)</f>
        <v/>
      </c>
      <c r="E736" s="13" t="str">
        <f>IF(OR('实盘净值数据(iFinD）'!$A736="",'实盘净值数据(iFinD）'!$B736=""),"",分期持仓明细!$AB$18*SUMPRODUCT(分期持仓明细!$B$18:$Y$18,'实盘净值数据(iFinD）'!$B736:$Y736/'实盘净值数据(iFinD）'!$B$20:$Y$20)*(1-实盘持仓初始配置!$Z$5)^(('实盘净值数据(iFinD）'!$A736-'实盘净值数据(iFinD）'!$A$5)/365))</f>
        <v/>
      </c>
      <c r="F736" s="16" t="str">
        <f t="shared" si="67"/>
        <v/>
      </c>
      <c r="G736" s="16" t="str">
        <f>IF(E736="","",E736/MAX(E$5:E736)-1)</f>
        <v/>
      </c>
      <c r="H736" s="13" t="str">
        <f>IF(OR('实盘净值数据(iFinD）'!$A736="",'实盘净值数据(iFinD）'!$B736=""),"",分期持仓明细!$AB$19*SUMPRODUCT(分期持仓明细!$B$19:$Y$19,'实盘净值数据(iFinD）'!$B736:$Y736/'实盘净值数据(iFinD）'!$B$20:$Y$20)*(1-实盘持仓初始配置!$Z$6)^(('实盘净值数据(iFinD）'!$A736-'实盘净值数据(iFinD）'!$A$7)/365))</f>
        <v/>
      </c>
      <c r="I736" s="16" t="str">
        <f t="shared" si="68"/>
        <v/>
      </c>
      <c r="J736" s="16" t="str">
        <f>IF(H736="","",H736/MAX(H$5:H736)-1)</f>
        <v/>
      </c>
      <c r="K736" s="13" t="str">
        <f>IF(OR('实盘净值数据(iFinD）'!$A736="",'实盘净值数据(iFinD）'!$B736="",'实盘净值数据(iFinD）'!$Z736="",'实盘净值数据(iFinD）'!$AA736=""),"",分期持仓明细!$AB$23*(SUMPRODUCT(分期持仓明细!$B$23:$Y$23,'实盘净值数据(iFinD）'!$B736:$Y736/'实盘净值数据(iFinD）'!$B$65:$Y$65)+SUMPRODUCT(分期持仓明细!$AC$23:$AD$23,'实盘净值数据(iFinD）'!$Z736:$AA736/'实盘净值数据(iFinD）'!$Z$65:$AA$65))*(1-实盘持仓初始配置!$Z$7)^(('实盘净值数据(iFinD）'!$A736-'实盘净值数据(iFinD）'!$A$8)/365))</f>
        <v/>
      </c>
      <c r="L736" s="16" t="str">
        <f t="shared" si="69"/>
        <v/>
      </c>
      <c r="M736" s="16" t="str">
        <f>IF(K736="","",K736/MAX(K$5:K736)-1)</f>
        <v/>
      </c>
      <c r="N736" s="13" t="str">
        <f>IF(OR('实盘净值数据(iFinD）'!$A736="",'实盘净值数据(iFinD）'!$B736="",'实盘净值数据(iFinD）'!$Z736="",'实盘净值数据(iFinD）'!$AA736=""),"",分期持仓明细!$AB$24*(SUMPRODUCT(分期持仓明细!$B$24:$Y$24,'实盘净值数据(iFinD）'!$B736:$Y736/'实盘净值数据(iFinD）'!$B$65:$Y$65)+SUMPRODUCT(分期持仓明细!$AC$24:$AD$24,'实盘净值数据(iFinD）'!$Z736:$AA736/'实盘净值数据(iFinD）'!$Z$65:$AA$65))*(1-实盘持仓初始配置!$Z$8)^(('实盘净值数据(iFinD）'!$A736-'实盘净值数据(iFinD）'!$A$5)/365))</f>
        <v/>
      </c>
      <c r="O736" s="16" t="str">
        <f t="shared" si="70"/>
        <v/>
      </c>
      <c r="P736" s="16" t="str">
        <f>IF(N736="","",N736/MAX(N$5:N736)-1)</f>
        <v/>
      </c>
      <c r="Q736" s="13" t="str">
        <f>IF(OR('实盘净值数据(iFinD）'!$A736="",'实盘净值数据(iFinD）'!$B736="",'实盘净值数据(iFinD）'!$Z736="",'实盘净值数据(iFinD）'!$AA736=""),"",分期持仓明细!$AB$25*(SUMPRODUCT(分期持仓明细!$B$25:$Y$25,'实盘净值数据(iFinD）'!$B736:$Y736/'实盘净值数据(iFinD）'!$B$65:$Y$65)+SUMPRODUCT(分期持仓明细!$AC$25:$AD$25,'实盘净值数据(iFinD）'!$Z736:$AA736/'实盘净值数据(iFinD）'!$Z$65:$AA$65))*(1-实盘持仓初始配置!$Z$9)^(('实盘净值数据(iFinD）'!$A736-'实盘净值数据(iFinD）'!$A$8)/365))</f>
        <v/>
      </c>
      <c r="R736" s="16" t="str">
        <f t="shared" si="71"/>
        <v/>
      </c>
      <c r="S736" s="16" t="str">
        <f>IF(Q736="","",Q736/MAX(Q$5:Q736)-1)</f>
        <v/>
      </c>
      <c r="T736" s="13">
        <f>IF(OR('实盘净值数据(iFinD）'!$A736="",'实盘净值数据(iFinD）'!$B736="",'实盘净值数据(iFinD）'!$Z736="",'实盘净值数据(iFinD）'!$AA736="",'实盘净值数据(iFinD）'!$AB736="",'实盘净值数据(iFinD）'!$AL736=""),"",(SUMPRODUCT(分期持仓明细!$B$26:$Y$26,'实盘净值数据(iFinD）'!$B736:$Y736/'实盘净值数据(iFinD）'!$B$69:$Y$69)+SUMPRODUCT(分期持仓明细!$AC$26:$AD$26,'实盘净值数据(iFinD）'!$Z736:$AA736/'实盘净值数据(iFinD）'!$Z$69:$AA$69)+SUMPRODUCT(分期持仓明细!$AE$26:$AO$26,'实盘净值数据(iFinD）'!$AB736:$AL736/'实盘净值数据(iFinD）'!$AB$69:$AL$69))*(1-实盘持仓初始配置!$Z$10)^(('实盘净值数据(iFinD）'!$A736-'实盘净值数据(iFinD）'!$A$69)/365))</f>
        <v/>
      </c>
      <c r="U736" s="16">
        <f>IF(OR(T735="",T736=""),"",T736/T735-1)</f>
        <v/>
      </c>
      <c r="V736" s="16">
        <f>IF(T736="","",T736/MAX(T$5:T736)-1)</f>
        <v/>
      </c>
    </row>
    <row r="737" spans="1:19">
      <c r="A737" s="15" t="str">
        <f>IF('实盘净值数据(iFinD）'!A737="","",'实盘净值数据(iFinD）'!A737)</f>
        <v/>
      </c>
      <c r="B737" s="13" t="str">
        <f>IF(OR('实盘净值数据(iFinD）'!$A737="",'实盘净值数据(iFinD）'!$B737=""),"",分期持仓明细!$AB$17*SUMPRODUCT(分期持仓明细!$B$17:$Y$17,'实盘净值数据(iFinD）'!$B737:$Y737/'实盘净值数据(iFinD）'!$B$20:$Y$20)*(1-实盘持仓初始配置!$Z$4)^(('实盘净值数据(iFinD）'!$A737-'实盘净值数据(iFinD）'!$A$6)/365))</f>
        <v/>
      </c>
      <c r="C737" s="16" t="str">
        <f t="shared" si="66"/>
        <v/>
      </c>
      <c r="D737" s="16" t="str">
        <f>IF(B737="","",B737/MAX(B$5:B737)-1)</f>
        <v/>
      </c>
      <c r="E737" s="13" t="str">
        <f>IF(OR('实盘净值数据(iFinD）'!$A737="",'实盘净值数据(iFinD）'!$B737=""),"",分期持仓明细!$AB$18*SUMPRODUCT(分期持仓明细!$B$18:$Y$18,'实盘净值数据(iFinD）'!$B737:$Y737/'实盘净值数据(iFinD）'!$B$20:$Y$20)*(1-实盘持仓初始配置!$Z$5)^(('实盘净值数据(iFinD）'!$A737-'实盘净值数据(iFinD）'!$A$5)/365))</f>
        <v/>
      </c>
      <c r="F737" s="16" t="str">
        <f t="shared" si="67"/>
        <v/>
      </c>
      <c r="G737" s="16" t="str">
        <f>IF(E737="","",E737/MAX(E$5:E737)-1)</f>
        <v/>
      </c>
      <c r="H737" s="13" t="str">
        <f>IF(OR('实盘净值数据(iFinD）'!$A737="",'实盘净值数据(iFinD）'!$B737=""),"",分期持仓明细!$AB$19*SUMPRODUCT(分期持仓明细!$B$19:$Y$19,'实盘净值数据(iFinD）'!$B737:$Y737/'实盘净值数据(iFinD）'!$B$20:$Y$20)*(1-实盘持仓初始配置!$Z$6)^(('实盘净值数据(iFinD）'!$A737-'实盘净值数据(iFinD）'!$A$7)/365))</f>
        <v/>
      </c>
      <c r="I737" s="16" t="str">
        <f t="shared" si="68"/>
        <v/>
      </c>
      <c r="J737" s="16" t="str">
        <f>IF(H737="","",H737/MAX(H$5:H737)-1)</f>
        <v/>
      </c>
      <c r="K737" s="13" t="str">
        <f>IF(OR('实盘净值数据(iFinD）'!$A737="",'实盘净值数据(iFinD）'!$B737="",'实盘净值数据(iFinD）'!$Z737="",'实盘净值数据(iFinD）'!$AA737=""),"",分期持仓明细!$AB$23*(SUMPRODUCT(分期持仓明细!$B$23:$Y$23,'实盘净值数据(iFinD）'!$B737:$Y737/'实盘净值数据(iFinD）'!$B$65:$Y$65)+SUMPRODUCT(分期持仓明细!$AC$23:$AD$23,'实盘净值数据(iFinD）'!$Z737:$AA737/'实盘净值数据(iFinD）'!$Z$65:$AA$65))*(1-实盘持仓初始配置!$Z$7)^(('实盘净值数据(iFinD）'!$A737-'实盘净值数据(iFinD）'!$A$8)/365))</f>
        <v/>
      </c>
      <c r="L737" s="16" t="str">
        <f t="shared" si="69"/>
        <v/>
      </c>
      <c r="M737" s="16" t="str">
        <f>IF(K737="","",K737/MAX(K$5:K737)-1)</f>
        <v/>
      </c>
      <c r="N737" s="13" t="str">
        <f>IF(OR('实盘净值数据(iFinD）'!$A737="",'实盘净值数据(iFinD）'!$B737="",'实盘净值数据(iFinD）'!$Z737="",'实盘净值数据(iFinD）'!$AA737=""),"",分期持仓明细!$AB$24*(SUMPRODUCT(分期持仓明细!$B$24:$Y$24,'实盘净值数据(iFinD）'!$B737:$Y737/'实盘净值数据(iFinD）'!$B$65:$Y$65)+SUMPRODUCT(分期持仓明细!$AC$24:$AD$24,'实盘净值数据(iFinD）'!$Z737:$AA737/'实盘净值数据(iFinD）'!$Z$65:$AA$65))*(1-实盘持仓初始配置!$Z$8)^(('实盘净值数据(iFinD）'!$A737-'实盘净值数据(iFinD）'!$A$5)/365))</f>
        <v/>
      </c>
      <c r="O737" s="16" t="str">
        <f t="shared" si="70"/>
        <v/>
      </c>
      <c r="P737" s="16" t="str">
        <f>IF(N737="","",N737/MAX(N$5:N737)-1)</f>
        <v/>
      </c>
      <c r="Q737" s="13" t="str">
        <f>IF(OR('实盘净值数据(iFinD）'!$A737="",'实盘净值数据(iFinD）'!$B737="",'实盘净值数据(iFinD）'!$Z737="",'实盘净值数据(iFinD）'!$AA737=""),"",分期持仓明细!$AB$25*(SUMPRODUCT(分期持仓明细!$B$25:$Y$25,'实盘净值数据(iFinD）'!$B737:$Y737/'实盘净值数据(iFinD）'!$B$65:$Y$65)+SUMPRODUCT(分期持仓明细!$AC$25:$AD$25,'实盘净值数据(iFinD）'!$Z737:$AA737/'实盘净值数据(iFinD）'!$Z$65:$AA$65))*(1-实盘持仓初始配置!$Z$9)^(('实盘净值数据(iFinD）'!$A737-'实盘净值数据(iFinD）'!$A$8)/365))</f>
        <v/>
      </c>
      <c r="R737" s="16" t="str">
        <f t="shared" si="71"/>
        <v/>
      </c>
      <c r="S737" s="16" t="str">
        <f>IF(Q737="","",Q737/MAX(Q$5:Q737)-1)</f>
        <v/>
      </c>
      <c r="T737" s="13">
        <f>IF(OR('实盘净值数据(iFinD）'!$A737="",'实盘净值数据(iFinD）'!$B737="",'实盘净值数据(iFinD）'!$Z737="",'实盘净值数据(iFinD）'!$AA737="",'实盘净值数据(iFinD）'!$AB737="",'实盘净值数据(iFinD）'!$AL737=""),"",(SUMPRODUCT(分期持仓明细!$B$26:$Y$26,'实盘净值数据(iFinD）'!$B737:$Y737/'实盘净值数据(iFinD）'!$B$69:$Y$69)+SUMPRODUCT(分期持仓明细!$AC$26:$AD$26,'实盘净值数据(iFinD）'!$Z737:$AA737/'实盘净值数据(iFinD）'!$Z$69:$AA$69)+SUMPRODUCT(分期持仓明细!$AE$26:$AO$26,'实盘净值数据(iFinD）'!$AB737:$AL737/'实盘净值数据(iFinD）'!$AB$69:$AL$69))*(1-实盘持仓初始配置!$Z$10)^(('实盘净值数据(iFinD）'!$A737-'实盘净值数据(iFinD）'!$A$69)/365))</f>
        <v/>
      </c>
      <c r="U737" s="16">
        <f>IF(OR(T736="",T737=""),"",T737/T736-1)</f>
        <v/>
      </c>
      <c r="V737" s="16">
        <f>IF(T737="","",T737/MAX(T$5:T737)-1)</f>
        <v/>
      </c>
    </row>
    <row r="738" spans="1:19">
      <c r="A738" s="15" t="str">
        <f>IF('实盘净值数据(iFinD）'!A738="","",'实盘净值数据(iFinD）'!A738)</f>
        <v/>
      </c>
      <c r="B738" s="13" t="str">
        <f>IF(OR('实盘净值数据(iFinD）'!$A738="",'实盘净值数据(iFinD）'!$B738=""),"",分期持仓明细!$AB$17*SUMPRODUCT(分期持仓明细!$B$17:$Y$17,'实盘净值数据(iFinD）'!$B738:$Y738/'实盘净值数据(iFinD）'!$B$20:$Y$20)*(1-实盘持仓初始配置!$Z$4)^(('实盘净值数据(iFinD）'!$A738-'实盘净值数据(iFinD）'!$A$6)/365))</f>
        <v/>
      </c>
      <c r="C738" s="16" t="str">
        <f t="shared" si="66"/>
        <v/>
      </c>
      <c r="D738" s="16" t="str">
        <f>IF(B738="","",B738/MAX(B$5:B738)-1)</f>
        <v/>
      </c>
      <c r="E738" s="13" t="str">
        <f>IF(OR('实盘净值数据(iFinD）'!$A738="",'实盘净值数据(iFinD）'!$B738=""),"",分期持仓明细!$AB$18*SUMPRODUCT(分期持仓明细!$B$18:$Y$18,'实盘净值数据(iFinD）'!$B738:$Y738/'实盘净值数据(iFinD）'!$B$20:$Y$20)*(1-实盘持仓初始配置!$Z$5)^(('实盘净值数据(iFinD）'!$A738-'实盘净值数据(iFinD）'!$A$5)/365))</f>
        <v/>
      </c>
      <c r="F738" s="16" t="str">
        <f t="shared" si="67"/>
        <v/>
      </c>
      <c r="G738" s="16" t="str">
        <f>IF(E738="","",E738/MAX(E$5:E738)-1)</f>
        <v/>
      </c>
      <c r="H738" s="13" t="str">
        <f>IF(OR('实盘净值数据(iFinD）'!$A738="",'实盘净值数据(iFinD）'!$B738=""),"",分期持仓明细!$AB$19*SUMPRODUCT(分期持仓明细!$B$19:$Y$19,'实盘净值数据(iFinD）'!$B738:$Y738/'实盘净值数据(iFinD）'!$B$20:$Y$20)*(1-实盘持仓初始配置!$Z$6)^(('实盘净值数据(iFinD）'!$A738-'实盘净值数据(iFinD）'!$A$7)/365))</f>
        <v/>
      </c>
      <c r="I738" s="16" t="str">
        <f t="shared" si="68"/>
        <v/>
      </c>
      <c r="J738" s="16" t="str">
        <f>IF(H738="","",H738/MAX(H$5:H738)-1)</f>
        <v/>
      </c>
      <c r="K738" s="13" t="str">
        <f>IF(OR('实盘净值数据(iFinD）'!$A738="",'实盘净值数据(iFinD）'!$B738="",'实盘净值数据(iFinD）'!$Z738="",'实盘净值数据(iFinD）'!$AA738=""),"",分期持仓明细!$AB$23*(SUMPRODUCT(分期持仓明细!$B$23:$Y$23,'实盘净值数据(iFinD）'!$B738:$Y738/'实盘净值数据(iFinD）'!$B$65:$Y$65)+SUMPRODUCT(分期持仓明细!$AC$23:$AD$23,'实盘净值数据(iFinD）'!$Z738:$AA738/'实盘净值数据(iFinD）'!$Z$65:$AA$65))*(1-实盘持仓初始配置!$Z$7)^(('实盘净值数据(iFinD）'!$A738-'实盘净值数据(iFinD）'!$A$8)/365))</f>
        <v/>
      </c>
      <c r="L738" s="16" t="str">
        <f t="shared" si="69"/>
        <v/>
      </c>
      <c r="M738" s="16" t="str">
        <f>IF(K738="","",K738/MAX(K$5:K738)-1)</f>
        <v/>
      </c>
      <c r="N738" s="13" t="str">
        <f>IF(OR('实盘净值数据(iFinD）'!$A738="",'实盘净值数据(iFinD）'!$B738="",'实盘净值数据(iFinD）'!$Z738="",'实盘净值数据(iFinD）'!$AA738=""),"",分期持仓明细!$AB$24*(SUMPRODUCT(分期持仓明细!$B$24:$Y$24,'实盘净值数据(iFinD）'!$B738:$Y738/'实盘净值数据(iFinD）'!$B$65:$Y$65)+SUMPRODUCT(分期持仓明细!$AC$24:$AD$24,'实盘净值数据(iFinD）'!$Z738:$AA738/'实盘净值数据(iFinD）'!$Z$65:$AA$65))*(1-实盘持仓初始配置!$Z$8)^(('实盘净值数据(iFinD）'!$A738-'实盘净值数据(iFinD）'!$A$5)/365))</f>
        <v/>
      </c>
      <c r="O738" s="16" t="str">
        <f t="shared" si="70"/>
        <v/>
      </c>
      <c r="P738" s="16" t="str">
        <f>IF(N738="","",N738/MAX(N$5:N738)-1)</f>
        <v/>
      </c>
      <c r="Q738" s="13" t="str">
        <f>IF(OR('实盘净值数据(iFinD）'!$A738="",'实盘净值数据(iFinD）'!$B738="",'实盘净值数据(iFinD）'!$Z738="",'实盘净值数据(iFinD）'!$AA738=""),"",分期持仓明细!$AB$25*(SUMPRODUCT(分期持仓明细!$B$25:$Y$25,'实盘净值数据(iFinD）'!$B738:$Y738/'实盘净值数据(iFinD）'!$B$65:$Y$65)+SUMPRODUCT(分期持仓明细!$AC$25:$AD$25,'实盘净值数据(iFinD）'!$Z738:$AA738/'实盘净值数据(iFinD）'!$Z$65:$AA$65))*(1-实盘持仓初始配置!$Z$9)^(('实盘净值数据(iFinD）'!$A738-'实盘净值数据(iFinD）'!$A$8)/365))</f>
        <v/>
      </c>
      <c r="R738" s="16" t="str">
        <f t="shared" si="71"/>
        <v/>
      </c>
      <c r="S738" s="16" t="str">
        <f>IF(Q738="","",Q738/MAX(Q$5:Q738)-1)</f>
        <v/>
      </c>
      <c r="T738" s="13">
        <f>IF(OR('实盘净值数据(iFinD）'!$A738="",'实盘净值数据(iFinD）'!$B738="",'实盘净值数据(iFinD）'!$Z738="",'实盘净值数据(iFinD）'!$AA738="",'实盘净值数据(iFinD）'!$AB738="",'实盘净值数据(iFinD）'!$AL738=""),"",(SUMPRODUCT(分期持仓明细!$B$26:$Y$26,'实盘净值数据(iFinD）'!$B738:$Y738/'实盘净值数据(iFinD）'!$B$69:$Y$69)+SUMPRODUCT(分期持仓明细!$AC$26:$AD$26,'实盘净值数据(iFinD）'!$Z738:$AA738/'实盘净值数据(iFinD）'!$Z$69:$AA$69)+SUMPRODUCT(分期持仓明细!$AE$26:$AO$26,'实盘净值数据(iFinD）'!$AB738:$AL738/'实盘净值数据(iFinD）'!$AB$69:$AL$69))*(1-实盘持仓初始配置!$Z$10)^(('实盘净值数据(iFinD）'!$A738-'实盘净值数据(iFinD）'!$A$69)/365))</f>
        <v/>
      </c>
      <c r="U738" s="16">
        <f>IF(OR(T737="",T738=""),"",T738/T737-1)</f>
        <v/>
      </c>
      <c r="V738" s="16">
        <f>IF(T738="","",T738/MAX(T$5:T738)-1)</f>
        <v/>
      </c>
    </row>
    <row r="739" spans="1:19">
      <c r="A739" s="15" t="str">
        <f>IF('实盘净值数据(iFinD）'!A739="","",'实盘净值数据(iFinD）'!A739)</f>
        <v/>
      </c>
      <c r="B739" s="13" t="str">
        <f>IF(OR('实盘净值数据(iFinD）'!$A739="",'实盘净值数据(iFinD）'!$B739=""),"",分期持仓明细!$AB$17*SUMPRODUCT(分期持仓明细!$B$17:$Y$17,'实盘净值数据(iFinD）'!$B739:$Y739/'实盘净值数据(iFinD）'!$B$20:$Y$20)*(1-实盘持仓初始配置!$Z$4)^(('实盘净值数据(iFinD）'!$A739-'实盘净值数据(iFinD）'!$A$6)/365))</f>
        <v/>
      </c>
      <c r="C739" s="16" t="str">
        <f t="shared" si="66"/>
        <v/>
      </c>
      <c r="D739" s="16" t="str">
        <f>IF(B739="","",B739/MAX(B$5:B739)-1)</f>
        <v/>
      </c>
      <c r="E739" s="13" t="str">
        <f>IF(OR('实盘净值数据(iFinD）'!$A739="",'实盘净值数据(iFinD）'!$B739=""),"",分期持仓明细!$AB$18*SUMPRODUCT(分期持仓明细!$B$18:$Y$18,'实盘净值数据(iFinD）'!$B739:$Y739/'实盘净值数据(iFinD）'!$B$20:$Y$20)*(1-实盘持仓初始配置!$Z$5)^(('实盘净值数据(iFinD）'!$A739-'实盘净值数据(iFinD）'!$A$5)/365))</f>
        <v/>
      </c>
      <c r="F739" s="16" t="str">
        <f t="shared" si="67"/>
        <v/>
      </c>
      <c r="G739" s="16" t="str">
        <f>IF(E739="","",E739/MAX(E$5:E739)-1)</f>
        <v/>
      </c>
      <c r="H739" s="13" t="str">
        <f>IF(OR('实盘净值数据(iFinD）'!$A739="",'实盘净值数据(iFinD）'!$B739=""),"",分期持仓明细!$AB$19*SUMPRODUCT(分期持仓明细!$B$19:$Y$19,'实盘净值数据(iFinD）'!$B739:$Y739/'实盘净值数据(iFinD）'!$B$20:$Y$20)*(1-实盘持仓初始配置!$Z$6)^(('实盘净值数据(iFinD）'!$A739-'实盘净值数据(iFinD）'!$A$7)/365))</f>
        <v/>
      </c>
      <c r="I739" s="16" t="str">
        <f t="shared" si="68"/>
        <v/>
      </c>
      <c r="J739" s="16" t="str">
        <f>IF(H739="","",H739/MAX(H$5:H739)-1)</f>
        <v/>
      </c>
      <c r="K739" s="13" t="str">
        <f>IF(OR('实盘净值数据(iFinD）'!$A739="",'实盘净值数据(iFinD）'!$B739="",'实盘净值数据(iFinD）'!$Z739="",'实盘净值数据(iFinD）'!$AA739=""),"",分期持仓明细!$AB$23*(SUMPRODUCT(分期持仓明细!$B$23:$Y$23,'实盘净值数据(iFinD）'!$B739:$Y739/'实盘净值数据(iFinD）'!$B$65:$Y$65)+SUMPRODUCT(分期持仓明细!$AC$23:$AD$23,'实盘净值数据(iFinD）'!$Z739:$AA739/'实盘净值数据(iFinD）'!$Z$65:$AA$65))*(1-实盘持仓初始配置!$Z$7)^(('实盘净值数据(iFinD）'!$A739-'实盘净值数据(iFinD）'!$A$8)/365))</f>
        <v/>
      </c>
      <c r="L739" s="16" t="str">
        <f t="shared" si="69"/>
        <v/>
      </c>
      <c r="M739" s="16" t="str">
        <f>IF(K739="","",K739/MAX(K$5:K739)-1)</f>
        <v/>
      </c>
      <c r="N739" s="13" t="str">
        <f>IF(OR('实盘净值数据(iFinD）'!$A739="",'实盘净值数据(iFinD）'!$B739="",'实盘净值数据(iFinD）'!$Z739="",'实盘净值数据(iFinD）'!$AA739=""),"",分期持仓明细!$AB$24*(SUMPRODUCT(分期持仓明细!$B$24:$Y$24,'实盘净值数据(iFinD）'!$B739:$Y739/'实盘净值数据(iFinD）'!$B$65:$Y$65)+SUMPRODUCT(分期持仓明细!$AC$24:$AD$24,'实盘净值数据(iFinD）'!$Z739:$AA739/'实盘净值数据(iFinD）'!$Z$65:$AA$65))*(1-实盘持仓初始配置!$Z$8)^(('实盘净值数据(iFinD）'!$A739-'实盘净值数据(iFinD）'!$A$5)/365))</f>
        <v/>
      </c>
      <c r="O739" s="16" t="str">
        <f t="shared" si="70"/>
        <v/>
      </c>
      <c r="P739" s="16" t="str">
        <f>IF(N739="","",N739/MAX(N$5:N739)-1)</f>
        <v/>
      </c>
      <c r="Q739" s="13" t="str">
        <f>IF(OR('实盘净值数据(iFinD）'!$A739="",'实盘净值数据(iFinD）'!$B739="",'实盘净值数据(iFinD）'!$Z739="",'实盘净值数据(iFinD）'!$AA739=""),"",分期持仓明细!$AB$25*(SUMPRODUCT(分期持仓明细!$B$25:$Y$25,'实盘净值数据(iFinD）'!$B739:$Y739/'实盘净值数据(iFinD）'!$B$65:$Y$65)+SUMPRODUCT(分期持仓明细!$AC$25:$AD$25,'实盘净值数据(iFinD）'!$Z739:$AA739/'实盘净值数据(iFinD）'!$Z$65:$AA$65))*(1-实盘持仓初始配置!$Z$9)^(('实盘净值数据(iFinD）'!$A739-'实盘净值数据(iFinD）'!$A$8)/365))</f>
        <v/>
      </c>
      <c r="R739" s="16" t="str">
        <f t="shared" si="71"/>
        <v/>
      </c>
      <c r="S739" s="16" t="str">
        <f>IF(Q739="","",Q739/MAX(Q$5:Q739)-1)</f>
        <v/>
      </c>
      <c r="T739" s="13">
        <f>IF(OR('实盘净值数据(iFinD）'!$A739="",'实盘净值数据(iFinD）'!$B739="",'实盘净值数据(iFinD）'!$Z739="",'实盘净值数据(iFinD）'!$AA739="",'实盘净值数据(iFinD）'!$AB739="",'实盘净值数据(iFinD）'!$AL739=""),"",(SUMPRODUCT(分期持仓明细!$B$26:$Y$26,'实盘净值数据(iFinD）'!$B739:$Y739/'实盘净值数据(iFinD）'!$B$69:$Y$69)+SUMPRODUCT(分期持仓明细!$AC$26:$AD$26,'实盘净值数据(iFinD）'!$Z739:$AA739/'实盘净值数据(iFinD）'!$Z$69:$AA$69)+SUMPRODUCT(分期持仓明细!$AE$26:$AO$26,'实盘净值数据(iFinD）'!$AB739:$AL739/'实盘净值数据(iFinD）'!$AB$69:$AL$69))*(1-实盘持仓初始配置!$Z$10)^(('实盘净值数据(iFinD）'!$A739-'实盘净值数据(iFinD）'!$A$69)/365))</f>
        <v/>
      </c>
      <c r="U739" s="16">
        <f>IF(OR(T738="",T739=""),"",T739/T738-1)</f>
        <v/>
      </c>
      <c r="V739" s="16">
        <f>IF(T739="","",T739/MAX(T$5:T739)-1)</f>
        <v/>
      </c>
    </row>
    <row r="740" spans="1:19">
      <c r="A740" s="15" t="str">
        <f>IF('实盘净值数据(iFinD）'!A740="","",'实盘净值数据(iFinD）'!A740)</f>
        <v/>
      </c>
      <c r="B740" s="13" t="str">
        <f>IF(OR('实盘净值数据(iFinD）'!$A740="",'实盘净值数据(iFinD）'!$B740=""),"",分期持仓明细!$AB$17*SUMPRODUCT(分期持仓明细!$B$17:$Y$17,'实盘净值数据(iFinD）'!$B740:$Y740/'实盘净值数据(iFinD）'!$B$20:$Y$20)*(1-实盘持仓初始配置!$Z$4)^(('实盘净值数据(iFinD）'!$A740-'实盘净值数据(iFinD）'!$A$6)/365))</f>
        <v/>
      </c>
      <c r="C740" s="16" t="str">
        <f t="shared" si="66"/>
        <v/>
      </c>
      <c r="D740" s="16" t="str">
        <f>IF(B740="","",B740/MAX(B$5:B740)-1)</f>
        <v/>
      </c>
      <c r="E740" s="13" t="str">
        <f>IF(OR('实盘净值数据(iFinD）'!$A740="",'实盘净值数据(iFinD）'!$B740=""),"",分期持仓明细!$AB$18*SUMPRODUCT(分期持仓明细!$B$18:$Y$18,'实盘净值数据(iFinD）'!$B740:$Y740/'实盘净值数据(iFinD）'!$B$20:$Y$20)*(1-实盘持仓初始配置!$Z$5)^(('实盘净值数据(iFinD）'!$A740-'实盘净值数据(iFinD）'!$A$5)/365))</f>
        <v/>
      </c>
      <c r="F740" s="16" t="str">
        <f t="shared" si="67"/>
        <v/>
      </c>
      <c r="G740" s="16" t="str">
        <f>IF(E740="","",E740/MAX(E$5:E740)-1)</f>
        <v/>
      </c>
      <c r="H740" s="13" t="str">
        <f>IF(OR('实盘净值数据(iFinD）'!$A740="",'实盘净值数据(iFinD）'!$B740=""),"",分期持仓明细!$AB$19*SUMPRODUCT(分期持仓明细!$B$19:$Y$19,'实盘净值数据(iFinD）'!$B740:$Y740/'实盘净值数据(iFinD）'!$B$20:$Y$20)*(1-实盘持仓初始配置!$Z$6)^(('实盘净值数据(iFinD）'!$A740-'实盘净值数据(iFinD）'!$A$7)/365))</f>
        <v/>
      </c>
      <c r="I740" s="16" t="str">
        <f t="shared" si="68"/>
        <v/>
      </c>
      <c r="J740" s="16" t="str">
        <f>IF(H740="","",H740/MAX(H$5:H740)-1)</f>
        <v/>
      </c>
      <c r="K740" s="13" t="str">
        <f>IF(OR('实盘净值数据(iFinD）'!$A740="",'实盘净值数据(iFinD）'!$B740="",'实盘净值数据(iFinD）'!$Z740="",'实盘净值数据(iFinD）'!$AA740=""),"",分期持仓明细!$AB$23*(SUMPRODUCT(分期持仓明细!$B$23:$Y$23,'实盘净值数据(iFinD）'!$B740:$Y740/'实盘净值数据(iFinD）'!$B$65:$Y$65)+SUMPRODUCT(分期持仓明细!$AC$23:$AD$23,'实盘净值数据(iFinD）'!$Z740:$AA740/'实盘净值数据(iFinD）'!$Z$65:$AA$65))*(1-实盘持仓初始配置!$Z$7)^(('实盘净值数据(iFinD）'!$A740-'实盘净值数据(iFinD）'!$A$8)/365))</f>
        <v/>
      </c>
      <c r="L740" s="16" t="str">
        <f t="shared" si="69"/>
        <v/>
      </c>
      <c r="M740" s="16" t="str">
        <f>IF(K740="","",K740/MAX(K$5:K740)-1)</f>
        <v/>
      </c>
      <c r="N740" s="13" t="str">
        <f>IF(OR('实盘净值数据(iFinD）'!$A740="",'实盘净值数据(iFinD）'!$B740="",'实盘净值数据(iFinD）'!$Z740="",'实盘净值数据(iFinD）'!$AA740=""),"",分期持仓明细!$AB$24*(SUMPRODUCT(分期持仓明细!$B$24:$Y$24,'实盘净值数据(iFinD）'!$B740:$Y740/'实盘净值数据(iFinD）'!$B$65:$Y$65)+SUMPRODUCT(分期持仓明细!$AC$24:$AD$24,'实盘净值数据(iFinD）'!$Z740:$AA740/'实盘净值数据(iFinD）'!$Z$65:$AA$65))*(1-实盘持仓初始配置!$Z$8)^(('实盘净值数据(iFinD）'!$A740-'实盘净值数据(iFinD）'!$A$5)/365))</f>
        <v/>
      </c>
      <c r="O740" s="16" t="str">
        <f t="shared" si="70"/>
        <v/>
      </c>
      <c r="P740" s="16" t="str">
        <f>IF(N740="","",N740/MAX(N$5:N740)-1)</f>
        <v/>
      </c>
      <c r="Q740" s="13" t="str">
        <f>IF(OR('实盘净值数据(iFinD）'!$A740="",'实盘净值数据(iFinD）'!$B740="",'实盘净值数据(iFinD）'!$Z740="",'实盘净值数据(iFinD）'!$AA740=""),"",分期持仓明细!$AB$25*(SUMPRODUCT(分期持仓明细!$B$25:$Y$25,'实盘净值数据(iFinD）'!$B740:$Y740/'实盘净值数据(iFinD）'!$B$65:$Y$65)+SUMPRODUCT(分期持仓明细!$AC$25:$AD$25,'实盘净值数据(iFinD）'!$Z740:$AA740/'实盘净值数据(iFinD）'!$Z$65:$AA$65))*(1-实盘持仓初始配置!$Z$9)^(('实盘净值数据(iFinD）'!$A740-'实盘净值数据(iFinD）'!$A$8)/365))</f>
        <v/>
      </c>
      <c r="R740" s="16" t="str">
        <f t="shared" si="71"/>
        <v/>
      </c>
      <c r="S740" s="16" t="str">
        <f>IF(Q740="","",Q740/MAX(Q$5:Q740)-1)</f>
        <v/>
      </c>
      <c r="T740" s="13">
        <f>IF(OR('实盘净值数据(iFinD）'!$A740="",'实盘净值数据(iFinD）'!$B740="",'实盘净值数据(iFinD）'!$Z740="",'实盘净值数据(iFinD）'!$AA740="",'实盘净值数据(iFinD）'!$AB740="",'实盘净值数据(iFinD）'!$AL740=""),"",(SUMPRODUCT(分期持仓明细!$B$26:$Y$26,'实盘净值数据(iFinD）'!$B740:$Y740/'实盘净值数据(iFinD）'!$B$69:$Y$69)+SUMPRODUCT(分期持仓明细!$AC$26:$AD$26,'实盘净值数据(iFinD）'!$Z740:$AA740/'实盘净值数据(iFinD）'!$Z$69:$AA$69)+SUMPRODUCT(分期持仓明细!$AE$26:$AO$26,'实盘净值数据(iFinD）'!$AB740:$AL740/'实盘净值数据(iFinD）'!$AB$69:$AL$69))*(1-实盘持仓初始配置!$Z$10)^(('实盘净值数据(iFinD）'!$A740-'实盘净值数据(iFinD）'!$A$69)/365))</f>
        <v/>
      </c>
      <c r="U740" s="16">
        <f>IF(OR(T739="",T740=""),"",T740/T739-1)</f>
        <v/>
      </c>
      <c r="V740" s="16">
        <f>IF(T740="","",T740/MAX(T$5:T740)-1)</f>
        <v/>
      </c>
    </row>
    <row r="741" spans="1:19">
      <c r="A741" s="15" t="str">
        <f>IF('实盘净值数据(iFinD）'!A741="","",'实盘净值数据(iFinD）'!A741)</f>
        <v/>
      </c>
      <c r="B741" s="13" t="str">
        <f>IF(OR('实盘净值数据(iFinD）'!$A741="",'实盘净值数据(iFinD）'!$B741=""),"",分期持仓明细!$AB$17*SUMPRODUCT(分期持仓明细!$B$17:$Y$17,'实盘净值数据(iFinD）'!$B741:$Y741/'实盘净值数据(iFinD）'!$B$20:$Y$20)*(1-实盘持仓初始配置!$Z$4)^(('实盘净值数据(iFinD）'!$A741-'实盘净值数据(iFinD）'!$A$6)/365))</f>
        <v/>
      </c>
      <c r="C741" s="16" t="str">
        <f t="shared" si="66"/>
        <v/>
      </c>
      <c r="D741" s="16" t="str">
        <f>IF(B741="","",B741/MAX(B$5:B741)-1)</f>
        <v/>
      </c>
      <c r="E741" s="13" t="str">
        <f>IF(OR('实盘净值数据(iFinD）'!$A741="",'实盘净值数据(iFinD）'!$B741=""),"",分期持仓明细!$AB$18*SUMPRODUCT(分期持仓明细!$B$18:$Y$18,'实盘净值数据(iFinD）'!$B741:$Y741/'实盘净值数据(iFinD）'!$B$20:$Y$20)*(1-实盘持仓初始配置!$Z$5)^(('实盘净值数据(iFinD）'!$A741-'实盘净值数据(iFinD）'!$A$5)/365))</f>
        <v/>
      </c>
      <c r="F741" s="16" t="str">
        <f t="shared" si="67"/>
        <v/>
      </c>
      <c r="G741" s="16" t="str">
        <f>IF(E741="","",E741/MAX(E$5:E741)-1)</f>
        <v/>
      </c>
      <c r="H741" s="13" t="str">
        <f>IF(OR('实盘净值数据(iFinD）'!$A741="",'实盘净值数据(iFinD）'!$B741=""),"",分期持仓明细!$AB$19*SUMPRODUCT(分期持仓明细!$B$19:$Y$19,'实盘净值数据(iFinD）'!$B741:$Y741/'实盘净值数据(iFinD）'!$B$20:$Y$20)*(1-实盘持仓初始配置!$Z$6)^(('实盘净值数据(iFinD）'!$A741-'实盘净值数据(iFinD）'!$A$7)/365))</f>
        <v/>
      </c>
      <c r="I741" s="16" t="str">
        <f t="shared" si="68"/>
        <v/>
      </c>
      <c r="J741" s="16" t="str">
        <f>IF(H741="","",H741/MAX(H$5:H741)-1)</f>
        <v/>
      </c>
      <c r="K741" s="13" t="str">
        <f>IF(OR('实盘净值数据(iFinD）'!$A741="",'实盘净值数据(iFinD）'!$B741="",'实盘净值数据(iFinD）'!$Z741="",'实盘净值数据(iFinD）'!$AA741=""),"",分期持仓明细!$AB$23*(SUMPRODUCT(分期持仓明细!$B$23:$Y$23,'实盘净值数据(iFinD）'!$B741:$Y741/'实盘净值数据(iFinD）'!$B$65:$Y$65)+SUMPRODUCT(分期持仓明细!$AC$23:$AD$23,'实盘净值数据(iFinD）'!$Z741:$AA741/'实盘净值数据(iFinD）'!$Z$65:$AA$65))*(1-实盘持仓初始配置!$Z$7)^(('实盘净值数据(iFinD）'!$A741-'实盘净值数据(iFinD）'!$A$8)/365))</f>
        <v/>
      </c>
      <c r="L741" s="16" t="str">
        <f t="shared" si="69"/>
        <v/>
      </c>
      <c r="M741" s="16" t="str">
        <f>IF(K741="","",K741/MAX(K$5:K741)-1)</f>
        <v/>
      </c>
      <c r="N741" s="13" t="str">
        <f>IF(OR('实盘净值数据(iFinD）'!$A741="",'实盘净值数据(iFinD）'!$B741="",'实盘净值数据(iFinD）'!$Z741="",'实盘净值数据(iFinD）'!$AA741=""),"",分期持仓明细!$AB$24*(SUMPRODUCT(分期持仓明细!$B$24:$Y$24,'实盘净值数据(iFinD）'!$B741:$Y741/'实盘净值数据(iFinD）'!$B$65:$Y$65)+SUMPRODUCT(分期持仓明细!$AC$24:$AD$24,'实盘净值数据(iFinD）'!$Z741:$AA741/'实盘净值数据(iFinD）'!$Z$65:$AA$65))*(1-实盘持仓初始配置!$Z$8)^(('实盘净值数据(iFinD）'!$A741-'实盘净值数据(iFinD）'!$A$5)/365))</f>
        <v/>
      </c>
      <c r="O741" s="16" t="str">
        <f t="shared" si="70"/>
        <v/>
      </c>
      <c r="P741" s="16" t="str">
        <f>IF(N741="","",N741/MAX(N$5:N741)-1)</f>
        <v/>
      </c>
      <c r="Q741" s="13" t="str">
        <f>IF(OR('实盘净值数据(iFinD）'!$A741="",'实盘净值数据(iFinD）'!$B741="",'实盘净值数据(iFinD）'!$Z741="",'实盘净值数据(iFinD）'!$AA741=""),"",分期持仓明细!$AB$25*(SUMPRODUCT(分期持仓明细!$B$25:$Y$25,'实盘净值数据(iFinD）'!$B741:$Y741/'实盘净值数据(iFinD）'!$B$65:$Y$65)+SUMPRODUCT(分期持仓明细!$AC$25:$AD$25,'实盘净值数据(iFinD）'!$Z741:$AA741/'实盘净值数据(iFinD）'!$Z$65:$AA$65))*(1-实盘持仓初始配置!$Z$9)^(('实盘净值数据(iFinD）'!$A741-'实盘净值数据(iFinD）'!$A$8)/365))</f>
        <v/>
      </c>
      <c r="R741" s="16" t="str">
        <f t="shared" si="71"/>
        <v/>
      </c>
      <c r="S741" s="16" t="str">
        <f>IF(Q741="","",Q741/MAX(Q$5:Q741)-1)</f>
        <v/>
      </c>
      <c r="T741" s="13">
        <f>IF(OR('实盘净值数据(iFinD）'!$A741="",'实盘净值数据(iFinD）'!$B741="",'实盘净值数据(iFinD）'!$Z741="",'实盘净值数据(iFinD）'!$AA741="",'实盘净值数据(iFinD）'!$AB741="",'实盘净值数据(iFinD）'!$AL741=""),"",(SUMPRODUCT(分期持仓明细!$B$26:$Y$26,'实盘净值数据(iFinD）'!$B741:$Y741/'实盘净值数据(iFinD）'!$B$69:$Y$69)+SUMPRODUCT(分期持仓明细!$AC$26:$AD$26,'实盘净值数据(iFinD）'!$Z741:$AA741/'实盘净值数据(iFinD）'!$Z$69:$AA$69)+SUMPRODUCT(分期持仓明细!$AE$26:$AO$26,'实盘净值数据(iFinD）'!$AB741:$AL741/'实盘净值数据(iFinD）'!$AB$69:$AL$69))*(1-实盘持仓初始配置!$Z$10)^(('实盘净值数据(iFinD）'!$A741-'实盘净值数据(iFinD）'!$A$69)/365))</f>
        <v/>
      </c>
      <c r="U741" s="16">
        <f>IF(OR(T740="",T741=""),"",T741/T740-1)</f>
        <v/>
      </c>
      <c r="V741" s="16">
        <f>IF(T741="","",T741/MAX(T$5:T741)-1)</f>
        <v/>
      </c>
    </row>
    <row r="742" spans="1:19">
      <c r="A742" s="15" t="str">
        <f>IF('实盘净值数据(iFinD）'!A742="","",'实盘净值数据(iFinD）'!A742)</f>
        <v/>
      </c>
      <c r="B742" s="13" t="str">
        <f>IF(OR('实盘净值数据(iFinD）'!$A742="",'实盘净值数据(iFinD）'!$B742=""),"",分期持仓明细!$AB$17*SUMPRODUCT(分期持仓明细!$B$17:$Y$17,'实盘净值数据(iFinD）'!$B742:$Y742/'实盘净值数据(iFinD）'!$B$20:$Y$20)*(1-实盘持仓初始配置!$Z$4)^(('实盘净值数据(iFinD）'!$A742-'实盘净值数据(iFinD）'!$A$6)/365))</f>
        <v/>
      </c>
      <c r="C742" s="16" t="str">
        <f t="shared" si="66"/>
        <v/>
      </c>
      <c r="D742" s="16" t="str">
        <f>IF(B742="","",B742/MAX(B$5:B742)-1)</f>
        <v/>
      </c>
      <c r="E742" s="13" t="str">
        <f>IF(OR('实盘净值数据(iFinD）'!$A742="",'实盘净值数据(iFinD）'!$B742=""),"",分期持仓明细!$AB$18*SUMPRODUCT(分期持仓明细!$B$18:$Y$18,'实盘净值数据(iFinD）'!$B742:$Y742/'实盘净值数据(iFinD）'!$B$20:$Y$20)*(1-实盘持仓初始配置!$Z$5)^(('实盘净值数据(iFinD）'!$A742-'实盘净值数据(iFinD）'!$A$5)/365))</f>
        <v/>
      </c>
      <c r="F742" s="16" t="str">
        <f t="shared" si="67"/>
        <v/>
      </c>
      <c r="G742" s="16" t="str">
        <f>IF(E742="","",E742/MAX(E$5:E742)-1)</f>
        <v/>
      </c>
      <c r="H742" s="13" t="str">
        <f>IF(OR('实盘净值数据(iFinD）'!$A742="",'实盘净值数据(iFinD）'!$B742=""),"",分期持仓明细!$AB$19*SUMPRODUCT(分期持仓明细!$B$19:$Y$19,'实盘净值数据(iFinD）'!$B742:$Y742/'实盘净值数据(iFinD）'!$B$20:$Y$20)*(1-实盘持仓初始配置!$Z$6)^(('实盘净值数据(iFinD）'!$A742-'实盘净值数据(iFinD）'!$A$7)/365))</f>
        <v/>
      </c>
      <c r="I742" s="16" t="str">
        <f t="shared" si="68"/>
        <v/>
      </c>
      <c r="J742" s="16" t="str">
        <f>IF(H742="","",H742/MAX(H$5:H742)-1)</f>
        <v/>
      </c>
      <c r="K742" s="13" t="str">
        <f>IF(OR('实盘净值数据(iFinD）'!$A742="",'实盘净值数据(iFinD）'!$B742="",'实盘净值数据(iFinD）'!$Z742="",'实盘净值数据(iFinD）'!$AA742=""),"",分期持仓明细!$AB$23*(SUMPRODUCT(分期持仓明细!$B$23:$Y$23,'实盘净值数据(iFinD）'!$B742:$Y742/'实盘净值数据(iFinD）'!$B$65:$Y$65)+SUMPRODUCT(分期持仓明细!$AC$23:$AD$23,'实盘净值数据(iFinD）'!$Z742:$AA742/'实盘净值数据(iFinD）'!$Z$65:$AA$65))*(1-实盘持仓初始配置!$Z$7)^(('实盘净值数据(iFinD）'!$A742-'实盘净值数据(iFinD）'!$A$8)/365))</f>
        <v/>
      </c>
      <c r="L742" s="16" t="str">
        <f t="shared" si="69"/>
        <v/>
      </c>
      <c r="M742" s="16" t="str">
        <f>IF(K742="","",K742/MAX(K$5:K742)-1)</f>
        <v/>
      </c>
      <c r="N742" s="13" t="str">
        <f>IF(OR('实盘净值数据(iFinD）'!$A742="",'实盘净值数据(iFinD）'!$B742="",'实盘净值数据(iFinD）'!$Z742="",'实盘净值数据(iFinD）'!$AA742=""),"",分期持仓明细!$AB$24*(SUMPRODUCT(分期持仓明细!$B$24:$Y$24,'实盘净值数据(iFinD）'!$B742:$Y742/'实盘净值数据(iFinD）'!$B$65:$Y$65)+SUMPRODUCT(分期持仓明细!$AC$24:$AD$24,'实盘净值数据(iFinD）'!$Z742:$AA742/'实盘净值数据(iFinD）'!$Z$65:$AA$65))*(1-实盘持仓初始配置!$Z$8)^(('实盘净值数据(iFinD）'!$A742-'实盘净值数据(iFinD）'!$A$5)/365))</f>
        <v/>
      </c>
      <c r="O742" s="16" t="str">
        <f t="shared" si="70"/>
        <v/>
      </c>
      <c r="P742" s="16" t="str">
        <f>IF(N742="","",N742/MAX(N$5:N742)-1)</f>
        <v/>
      </c>
      <c r="Q742" s="13" t="str">
        <f>IF(OR('实盘净值数据(iFinD）'!$A742="",'实盘净值数据(iFinD）'!$B742="",'实盘净值数据(iFinD）'!$Z742="",'实盘净值数据(iFinD）'!$AA742=""),"",分期持仓明细!$AB$25*(SUMPRODUCT(分期持仓明细!$B$25:$Y$25,'实盘净值数据(iFinD）'!$B742:$Y742/'实盘净值数据(iFinD）'!$B$65:$Y$65)+SUMPRODUCT(分期持仓明细!$AC$25:$AD$25,'实盘净值数据(iFinD）'!$Z742:$AA742/'实盘净值数据(iFinD）'!$Z$65:$AA$65))*(1-实盘持仓初始配置!$Z$9)^(('实盘净值数据(iFinD）'!$A742-'实盘净值数据(iFinD）'!$A$8)/365))</f>
        <v/>
      </c>
      <c r="R742" s="16" t="str">
        <f t="shared" si="71"/>
        <v/>
      </c>
      <c r="S742" s="16" t="str">
        <f>IF(Q742="","",Q742/MAX(Q$5:Q742)-1)</f>
        <v/>
      </c>
      <c r="T742" s="13">
        <f>IF(OR('实盘净值数据(iFinD）'!$A742="",'实盘净值数据(iFinD）'!$B742="",'实盘净值数据(iFinD）'!$Z742="",'实盘净值数据(iFinD）'!$AA742="",'实盘净值数据(iFinD）'!$AB742="",'实盘净值数据(iFinD）'!$AL742=""),"",(SUMPRODUCT(分期持仓明细!$B$26:$Y$26,'实盘净值数据(iFinD）'!$B742:$Y742/'实盘净值数据(iFinD）'!$B$69:$Y$69)+SUMPRODUCT(分期持仓明细!$AC$26:$AD$26,'实盘净值数据(iFinD）'!$Z742:$AA742/'实盘净值数据(iFinD）'!$Z$69:$AA$69)+SUMPRODUCT(分期持仓明细!$AE$26:$AO$26,'实盘净值数据(iFinD）'!$AB742:$AL742/'实盘净值数据(iFinD）'!$AB$69:$AL$69))*(1-实盘持仓初始配置!$Z$10)^(('实盘净值数据(iFinD）'!$A742-'实盘净值数据(iFinD）'!$A$69)/365))</f>
        <v/>
      </c>
      <c r="U742" s="16">
        <f>IF(OR(T741="",T742=""),"",T742/T741-1)</f>
        <v/>
      </c>
      <c r="V742" s="16">
        <f>IF(T742="","",T742/MAX(T$5:T742)-1)</f>
        <v/>
      </c>
    </row>
    <row r="743" spans="1:19">
      <c r="A743" s="15" t="str">
        <f>IF('实盘净值数据(iFinD）'!A743="","",'实盘净值数据(iFinD）'!A743)</f>
        <v/>
      </c>
      <c r="B743" s="13" t="str">
        <f>IF(OR('实盘净值数据(iFinD）'!$A743="",'实盘净值数据(iFinD）'!$B743=""),"",分期持仓明细!$AB$17*SUMPRODUCT(分期持仓明细!$B$17:$Y$17,'实盘净值数据(iFinD）'!$B743:$Y743/'实盘净值数据(iFinD）'!$B$20:$Y$20)*(1-实盘持仓初始配置!$Z$4)^(('实盘净值数据(iFinD）'!$A743-'实盘净值数据(iFinD）'!$A$6)/365))</f>
        <v/>
      </c>
      <c r="C743" s="16" t="str">
        <f t="shared" si="66"/>
        <v/>
      </c>
      <c r="D743" s="16" t="str">
        <f>IF(B743="","",B743/MAX(B$5:B743)-1)</f>
        <v/>
      </c>
      <c r="E743" s="13" t="str">
        <f>IF(OR('实盘净值数据(iFinD）'!$A743="",'实盘净值数据(iFinD）'!$B743=""),"",分期持仓明细!$AB$18*SUMPRODUCT(分期持仓明细!$B$18:$Y$18,'实盘净值数据(iFinD）'!$B743:$Y743/'实盘净值数据(iFinD）'!$B$20:$Y$20)*(1-实盘持仓初始配置!$Z$5)^(('实盘净值数据(iFinD）'!$A743-'实盘净值数据(iFinD）'!$A$5)/365))</f>
        <v/>
      </c>
      <c r="F743" s="16" t="str">
        <f t="shared" si="67"/>
        <v/>
      </c>
      <c r="G743" s="16" t="str">
        <f>IF(E743="","",E743/MAX(E$5:E743)-1)</f>
        <v/>
      </c>
      <c r="H743" s="13" t="str">
        <f>IF(OR('实盘净值数据(iFinD）'!$A743="",'实盘净值数据(iFinD）'!$B743=""),"",分期持仓明细!$AB$19*SUMPRODUCT(分期持仓明细!$B$19:$Y$19,'实盘净值数据(iFinD）'!$B743:$Y743/'实盘净值数据(iFinD）'!$B$20:$Y$20)*(1-实盘持仓初始配置!$Z$6)^(('实盘净值数据(iFinD）'!$A743-'实盘净值数据(iFinD）'!$A$7)/365))</f>
        <v/>
      </c>
      <c r="I743" s="16" t="str">
        <f t="shared" si="68"/>
        <v/>
      </c>
      <c r="J743" s="16" t="str">
        <f>IF(H743="","",H743/MAX(H$5:H743)-1)</f>
        <v/>
      </c>
      <c r="K743" s="13" t="str">
        <f>IF(OR('实盘净值数据(iFinD）'!$A743="",'实盘净值数据(iFinD）'!$B743="",'实盘净值数据(iFinD）'!$Z743="",'实盘净值数据(iFinD）'!$AA743=""),"",分期持仓明细!$AB$23*(SUMPRODUCT(分期持仓明细!$B$23:$Y$23,'实盘净值数据(iFinD）'!$B743:$Y743/'实盘净值数据(iFinD）'!$B$65:$Y$65)+SUMPRODUCT(分期持仓明细!$AC$23:$AD$23,'实盘净值数据(iFinD）'!$Z743:$AA743/'实盘净值数据(iFinD）'!$Z$65:$AA$65))*(1-实盘持仓初始配置!$Z$7)^(('实盘净值数据(iFinD）'!$A743-'实盘净值数据(iFinD）'!$A$8)/365))</f>
        <v/>
      </c>
      <c r="L743" s="16" t="str">
        <f t="shared" si="69"/>
        <v/>
      </c>
      <c r="M743" s="16" t="str">
        <f>IF(K743="","",K743/MAX(K$5:K743)-1)</f>
        <v/>
      </c>
      <c r="N743" s="13" t="str">
        <f>IF(OR('实盘净值数据(iFinD）'!$A743="",'实盘净值数据(iFinD）'!$B743="",'实盘净值数据(iFinD）'!$Z743="",'实盘净值数据(iFinD）'!$AA743=""),"",分期持仓明细!$AB$24*(SUMPRODUCT(分期持仓明细!$B$24:$Y$24,'实盘净值数据(iFinD）'!$B743:$Y743/'实盘净值数据(iFinD）'!$B$65:$Y$65)+SUMPRODUCT(分期持仓明细!$AC$24:$AD$24,'实盘净值数据(iFinD）'!$Z743:$AA743/'实盘净值数据(iFinD）'!$Z$65:$AA$65))*(1-实盘持仓初始配置!$Z$8)^(('实盘净值数据(iFinD）'!$A743-'实盘净值数据(iFinD）'!$A$5)/365))</f>
        <v/>
      </c>
      <c r="O743" s="16" t="str">
        <f t="shared" si="70"/>
        <v/>
      </c>
      <c r="P743" s="16" t="str">
        <f>IF(N743="","",N743/MAX(N$5:N743)-1)</f>
        <v/>
      </c>
      <c r="Q743" s="13" t="str">
        <f>IF(OR('实盘净值数据(iFinD）'!$A743="",'实盘净值数据(iFinD）'!$B743="",'实盘净值数据(iFinD）'!$Z743="",'实盘净值数据(iFinD）'!$AA743=""),"",分期持仓明细!$AB$25*(SUMPRODUCT(分期持仓明细!$B$25:$Y$25,'实盘净值数据(iFinD）'!$B743:$Y743/'实盘净值数据(iFinD）'!$B$65:$Y$65)+SUMPRODUCT(分期持仓明细!$AC$25:$AD$25,'实盘净值数据(iFinD）'!$Z743:$AA743/'实盘净值数据(iFinD）'!$Z$65:$AA$65))*(1-实盘持仓初始配置!$Z$9)^(('实盘净值数据(iFinD）'!$A743-'实盘净值数据(iFinD）'!$A$8)/365))</f>
        <v/>
      </c>
      <c r="R743" s="16" t="str">
        <f t="shared" si="71"/>
        <v/>
      </c>
      <c r="S743" s="16" t="str">
        <f>IF(Q743="","",Q743/MAX(Q$5:Q743)-1)</f>
        <v/>
      </c>
      <c r="T743" s="13">
        <f>IF(OR('实盘净值数据(iFinD）'!$A743="",'实盘净值数据(iFinD）'!$B743="",'实盘净值数据(iFinD）'!$Z743="",'实盘净值数据(iFinD）'!$AA743="",'实盘净值数据(iFinD）'!$AB743="",'实盘净值数据(iFinD）'!$AL743=""),"",(SUMPRODUCT(分期持仓明细!$B$26:$Y$26,'实盘净值数据(iFinD）'!$B743:$Y743/'实盘净值数据(iFinD）'!$B$69:$Y$69)+SUMPRODUCT(分期持仓明细!$AC$26:$AD$26,'实盘净值数据(iFinD）'!$Z743:$AA743/'实盘净值数据(iFinD）'!$Z$69:$AA$69)+SUMPRODUCT(分期持仓明细!$AE$26:$AO$26,'实盘净值数据(iFinD）'!$AB743:$AL743/'实盘净值数据(iFinD）'!$AB$69:$AL$69))*(1-实盘持仓初始配置!$Z$10)^(('实盘净值数据(iFinD）'!$A743-'实盘净值数据(iFinD）'!$A$69)/365))</f>
        <v/>
      </c>
      <c r="U743" s="16">
        <f>IF(OR(T742="",T743=""),"",T743/T742-1)</f>
        <v/>
      </c>
      <c r="V743" s="16">
        <f>IF(T743="","",T743/MAX(T$5:T743)-1)</f>
        <v/>
      </c>
    </row>
    <row r="744" spans="1:19">
      <c r="A744" s="15" t="str">
        <f>IF('实盘净值数据(iFinD）'!A744="","",'实盘净值数据(iFinD）'!A744)</f>
        <v/>
      </c>
      <c r="B744" s="13" t="str">
        <f>IF(OR('实盘净值数据(iFinD）'!$A744="",'实盘净值数据(iFinD）'!$B744=""),"",分期持仓明细!$AB$17*SUMPRODUCT(分期持仓明细!$B$17:$Y$17,'实盘净值数据(iFinD）'!$B744:$Y744/'实盘净值数据(iFinD）'!$B$20:$Y$20)*(1-实盘持仓初始配置!$Z$4)^(('实盘净值数据(iFinD）'!$A744-'实盘净值数据(iFinD）'!$A$6)/365))</f>
        <v/>
      </c>
      <c r="C744" s="16" t="str">
        <f t="shared" si="66"/>
        <v/>
      </c>
      <c r="D744" s="16" t="str">
        <f>IF(B744="","",B744/MAX(B$5:B744)-1)</f>
        <v/>
      </c>
      <c r="E744" s="13" t="str">
        <f>IF(OR('实盘净值数据(iFinD）'!$A744="",'实盘净值数据(iFinD）'!$B744=""),"",分期持仓明细!$AB$18*SUMPRODUCT(分期持仓明细!$B$18:$Y$18,'实盘净值数据(iFinD）'!$B744:$Y744/'实盘净值数据(iFinD）'!$B$20:$Y$20)*(1-实盘持仓初始配置!$Z$5)^(('实盘净值数据(iFinD）'!$A744-'实盘净值数据(iFinD）'!$A$5)/365))</f>
        <v/>
      </c>
      <c r="F744" s="16" t="str">
        <f t="shared" si="67"/>
        <v/>
      </c>
      <c r="G744" s="16" t="str">
        <f>IF(E744="","",E744/MAX(E$5:E744)-1)</f>
        <v/>
      </c>
      <c r="H744" s="13" t="str">
        <f>IF(OR('实盘净值数据(iFinD）'!$A744="",'实盘净值数据(iFinD）'!$B744=""),"",分期持仓明细!$AB$19*SUMPRODUCT(分期持仓明细!$B$19:$Y$19,'实盘净值数据(iFinD）'!$B744:$Y744/'实盘净值数据(iFinD）'!$B$20:$Y$20)*(1-实盘持仓初始配置!$Z$6)^(('实盘净值数据(iFinD）'!$A744-'实盘净值数据(iFinD）'!$A$7)/365))</f>
        <v/>
      </c>
      <c r="I744" s="16" t="str">
        <f t="shared" si="68"/>
        <v/>
      </c>
      <c r="J744" s="16" t="str">
        <f>IF(H744="","",H744/MAX(H$5:H744)-1)</f>
        <v/>
      </c>
      <c r="K744" s="13" t="str">
        <f>IF(OR('实盘净值数据(iFinD）'!$A744="",'实盘净值数据(iFinD）'!$B744="",'实盘净值数据(iFinD）'!$Z744="",'实盘净值数据(iFinD）'!$AA744=""),"",分期持仓明细!$AB$23*(SUMPRODUCT(分期持仓明细!$B$23:$Y$23,'实盘净值数据(iFinD）'!$B744:$Y744/'实盘净值数据(iFinD）'!$B$65:$Y$65)+SUMPRODUCT(分期持仓明细!$AC$23:$AD$23,'实盘净值数据(iFinD）'!$Z744:$AA744/'实盘净值数据(iFinD）'!$Z$65:$AA$65))*(1-实盘持仓初始配置!$Z$7)^(('实盘净值数据(iFinD）'!$A744-'实盘净值数据(iFinD）'!$A$8)/365))</f>
        <v/>
      </c>
      <c r="L744" s="16" t="str">
        <f t="shared" si="69"/>
        <v/>
      </c>
      <c r="M744" s="16" t="str">
        <f>IF(K744="","",K744/MAX(K$5:K744)-1)</f>
        <v/>
      </c>
      <c r="N744" s="13" t="str">
        <f>IF(OR('实盘净值数据(iFinD）'!$A744="",'实盘净值数据(iFinD）'!$B744="",'实盘净值数据(iFinD）'!$Z744="",'实盘净值数据(iFinD）'!$AA744=""),"",分期持仓明细!$AB$24*(SUMPRODUCT(分期持仓明细!$B$24:$Y$24,'实盘净值数据(iFinD）'!$B744:$Y744/'实盘净值数据(iFinD）'!$B$65:$Y$65)+SUMPRODUCT(分期持仓明细!$AC$24:$AD$24,'实盘净值数据(iFinD）'!$Z744:$AA744/'实盘净值数据(iFinD）'!$Z$65:$AA$65))*(1-实盘持仓初始配置!$Z$8)^(('实盘净值数据(iFinD）'!$A744-'实盘净值数据(iFinD）'!$A$5)/365))</f>
        <v/>
      </c>
      <c r="O744" s="16" t="str">
        <f t="shared" si="70"/>
        <v/>
      </c>
      <c r="P744" s="16" t="str">
        <f>IF(N744="","",N744/MAX(N$5:N744)-1)</f>
        <v/>
      </c>
      <c r="Q744" s="13" t="str">
        <f>IF(OR('实盘净值数据(iFinD）'!$A744="",'实盘净值数据(iFinD）'!$B744="",'实盘净值数据(iFinD）'!$Z744="",'实盘净值数据(iFinD）'!$AA744=""),"",分期持仓明细!$AB$25*(SUMPRODUCT(分期持仓明细!$B$25:$Y$25,'实盘净值数据(iFinD）'!$B744:$Y744/'实盘净值数据(iFinD）'!$B$65:$Y$65)+SUMPRODUCT(分期持仓明细!$AC$25:$AD$25,'实盘净值数据(iFinD）'!$Z744:$AA744/'实盘净值数据(iFinD）'!$Z$65:$AA$65))*(1-实盘持仓初始配置!$Z$9)^(('实盘净值数据(iFinD）'!$A744-'实盘净值数据(iFinD）'!$A$8)/365))</f>
        <v/>
      </c>
      <c r="R744" s="16" t="str">
        <f t="shared" si="71"/>
        <v/>
      </c>
      <c r="S744" s="16" t="str">
        <f>IF(Q744="","",Q744/MAX(Q$5:Q744)-1)</f>
        <v/>
      </c>
      <c r="T744" s="13">
        <f>IF(OR('实盘净值数据(iFinD）'!$A744="",'实盘净值数据(iFinD）'!$B744="",'实盘净值数据(iFinD）'!$Z744="",'实盘净值数据(iFinD）'!$AA744="",'实盘净值数据(iFinD）'!$AB744="",'实盘净值数据(iFinD）'!$AL744=""),"",(SUMPRODUCT(分期持仓明细!$B$26:$Y$26,'实盘净值数据(iFinD）'!$B744:$Y744/'实盘净值数据(iFinD）'!$B$69:$Y$69)+SUMPRODUCT(分期持仓明细!$AC$26:$AD$26,'实盘净值数据(iFinD）'!$Z744:$AA744/'实盘净值数据(iFinD）'!$Z$69:$AA$69)+SUMPRODUCT(分期持仓明细!$AE$26:$AO$26,'实盘净值数据(iFinD）'!$AB744:$AL744/'实盘净值数据(iFinD）'!$AB$69:$AL$69))*(1-实盘持仓初始配置!$Z$10)^(('实盘净值数据(iFinD）'!$A744-'实盘净值数据(iFinD）'!$A$69)/365))</f>
        <v/>
      </c>
      <c r="U744" s="16">
        <f>IF(OR(T743="",T744=""),"",T744/T743-1)</f>
        <v/>
      </c>
      <c r="V744" s="16">
        <f>IF(T744="","",T744/MAX(T$5:T744)-1)</f>
        <v/>
      </c>
    </row>
    <row r="745" spans="1:19">
      <c r="A745" s="15" t="str">
        <f>IF('实盘净值数据(iFinD）'!A745="","",'实盘净值数据(iFinD）'!A745)</f>
        <v/>
      </c>
      <c r="B745" s="13" t="str">
        <f>IF(OR('实盘净值数据(iFinD）'!$A745="",'实盘净值数据(iFinD）'!$B745=""),"",分期持仓明细!$AB$17*SUMPRODUCT(分期持仓明细!$B$17:$Y$17,'实盘净值数据(iFinD）'!$B745:$Y745/'实盘净值数据(iFinD）'!$B$20:$Y$20)*(1-实盘持仓初始配置!$Z$4)^(('实盘净值数据(iFinD）'!$A745-'实盘净值数据(iFinD）'!$A$6)/365))</f>
        <v/>
      </c>
      <c r="C745" s="16" t="str">
        <f t="shared" si="66"/>
        <v/>
      </c>
      <c r="D745" s="16" t="str">
        <f>IF(B745="","",B745/MAX(B$5:B745)-1)</f>
        <v/>
      </c>
      <c r="E745" s="13" t="str">
        <f>IF(OR('实盘净值数据(iFinD）'!$A745="",'实盘净值数据(iFinD）'!$B745=""),"",分期持仓明细!$AB$18*SUMPRODUCT(分期持仓明细!$B$18:$Y$18,'实盘净值数据(iFinD）'!$B745:$Y745/'实盘净值数据(iFinD）'!$B$20:$Y$20)*(1-实盘持仓初始配置!$Z$5)^(('实盘净值数据(iFinD）'!$A745-'实盘净值数据(iFinD）'!$A$5)/365))</f>
        <v/>
      </c>
      <c r="F745" s="16" t="str">
        <f t="shared" si="67"/>
        <v/>
      </c>
      <c r="G745" s="16" t="str">
        <f>IF(E745="","",E745/MAX(E$5:E745)-1)</f>
        <v/>
      </c>
      <c r="H745" s="13" t="str">
        <f>IF(OR('实盘净值数据(iFinD）'!$A745="",'实盘净值数据(iFinD）'!$B745=""),"",分期持仓明细!$AB$19*SUMPRODUCT(分期持仓明细!$B$19:$Y$19,'实盘净值数据(iFinD）'!$B745:$Y745/'实盘净值数据(iFinD）'!$B$20:$Y$20)*(1-实盘持仓初始配置!$Z$6)^(('实盘净值数据(iFinD）'!$A745-'实盘净值数据(iFinD）'!$A$7)/365))</f>
        <v/>
      </c>
      <c r="I745" s="16" t="str">
        <f t="shared" si="68"/>
        <v/>
      </c>
      <c r="J745" s="16" t="str">
        <f>IF(H745="","",H745/MAX(H$5:H745)-1)</f>
        <v/>
      </c>
      <c r="K745" s="13" t="str">
        <f>IF(OR('实盘净值数据(iFinD）'!$A745="",'实盘净值数据(iFinD）'!$B745="",'实盘净值数据(iFinD）'!$Z745="",'实盘净值数据(iFinD）'!$AA745=""),"",分期持仓明细!$AB$23*(SUMPRODUCT(分期持仓明细!$B$23:$Y$23,'实盘净值数据(iFinD）'!$B745:$Y745/'实盘净值数据(iFinD）'!$B$65:$Y$65)+SUMPRODUCT(分期持仓明细!$AC$23:$AD$23,'实盘净值数据(iFinD）'!$Z745:$AA745/'实盘净值数据(iFinD）'!$Z$65:$AA$65))*(1-实盘持仓初始配置!$Z$7)^(('实盘净值数据(iFinD）'!$A745-'实盘净值数据(iFinD）'!$A$8)/365))</f>
        <v/>
      </c>
      <c r="L745" s="16" t="str">
        <f t="shared" si="69"/>
        <v/>
      </c>
      <c r="M745" s="16" t="str">
        <f>IF(K745="","",K745/MAX(K$5:K745)-1)</f>
        <v/>
      </c>
      <c r="N745" s="13" t="str">
        <f>IF(OR('实盘净值数据(iFinD）'!$A745="",'实盘净值数据(iFinD）'!$B745="",'实盘净值数据(iFinD）'!$Z745="",'实盘净值数据(iFinD）'!$AA745=""),"",分期持仓明细!$AB$24*(SUMPRODUCT(分期持仓明细!$B$24:$Y$24,'实盘净值数据(iFinD）'!$B745:$Y745/'实盘净值数据(iFinD）'!$B$65:$Y$65)+SUMPRODUCT(分期持仓明细!$AC$24:$AD$24,'实盘净值数据(iFinD）'!$Z745:$AA745/'实盘净值数据(iFinD）'!$Z$65:$AA$65))*(1-实盘持仓初始配置!$Z$8)^(('实盘净值数据(iFinD）'!$A745-'实盘净值数据(iFinD）'!$A$5)/365))</f>
        <v/>
      </c>
      <c r="O745" s="16" t="str">
        <f t="shared" si="70"/>
        <v/>
      </c>
      <c r="P745" s="16" t="str">
        <f>IF(N745="","",N745/MAX(N$5:N745)-1)</f>
        <v/>
      </c>
      <c r="Q745" s="13" t="str">
        <f>IF(OR('实盘净值数据(iFinD）'!$A745="",'实盘净值数据(iFinD）'!$B745="",'实盘净值数据(iFinD）'!$Z745="",'实盘净值数据(iFinD）'!$AA745=""),"",分期持仓明细!$AB$25*(SUMPRODUCT(分期持仓明细!$B$25:$Y$25,'实盘净值数据(iFinD）'!$B745:$Y745/'实盘净值数据(iFinD）'!$B$65:$Y$65)+SUMPRODUCT(分期持仓明细!$AC$25:$AD$25,'实盘净值数据(iFinD）'!$Z745:$AA745/'实盘净值数据(iFinD）'!$Z$65:$AA$65))*(1-实盘持仓初始配置!$Z$9)^(('实盘净值数据(iFinD）'!$A745-'实盘净值数据(iFinD）'!$A$8)/365))</f>
        <v/>
      </c>
      <c r="R745" s="16" t="str">
        <f t="shared" si="71"/>
        <v/>
      </c>
      <c r="S745" s="16" t="str">
        <f>IF(Q745="","",Q745/MAX(Q$5:Q745)-1)</f>
        <v/>
      </c>
      <c r="T745" s="13">
        <f>IF(OR('实盘净值数据(iFinD）'!$A745="",'实盘净值数据(iFinD）'!$B745="",'实盘净值数据(iFinD）'!$Z745="",'实盘净值数据(iFinD）'!$AA745="",'实盘净值数据(iFinD）'!$AB745="",'实盘净值数据(iFinD）'!$AL745=""),"",(SUMPRODUCT(分期持仓明细!$B$26:$Y$26,'实盘净值数据(iFinD）'!$B745:$Y745/'实盘净值数据(iFinD）'!$B$69:$Y$69)+SUMPRODUCT(分期持仓明细!$AC$26:$AD$26,'实盘净值数据(iFinD）'!$Z745:$AA745/'实盘净值数据(iFinD）'!$Z$69:$AA$69)+SUMPRODUCT(分期持仓明细!$AE$26:$AO$26,'实盘净值数据(iFinD）'!$AB745:$AL745/'实盘净值数据(iFinD）'!$AB$69:$AL$69))*(1-实盘持仓初始配置!$Z$10)^(('实盘净值数据(iFinD）'!$A745-'实盘净值数据(iFinD）'!$A$69)/365))</f>
        <v/>
      </c>
      <c r="U745" s="16">
        <f>IF(OR(T744="",T745=""),"",T745/T744-1)</f>
        <v/>
      </c>
      <c r="V745" s="16">
        <f>IF(T745="","",T745/MAX(T$5:T745)-1)</f>
        <v/>
      </c>
    </row>
    <row r="746" spans="1:19">
      <c r="A746" s="15" t="str">
        <f>IF('实盘净值数据(iFinD）'!A746="","",'实盘净值数据(iFinD）'!A746)</f>
        <v/>
      </c>
      <c r="B746" s="13" t="str">
        <f>IF(OR('实盘净值数据(iFinD）'!$A746="",'实盘净值数据(iFinD）'!$B746=""),"",分期持仓明细!$AB$17*SUMPRODUCT(分期持仓明细!$B$17:$Y$17,'实盘净值数据(iFinD）'!$B746:$Y746/'实盘净值数据(iFinD）'!$B$20:$Y$20)*(1-实盘持仓初始配置!$Z$4)^(('实盘净值数据(iFinD）'!$A746-'实盘净值数据(iFinD）'!$A$6)/365))</f>
        <v/>
      </c>
      <c r="C746" s="16" t="str">
        <f t="shared" si="66"/>
        <v/>
      </c>
      <c r="D746" s="16" t="str">
        <f>IF(B746="","",B746/MAX(B$5:B746)-1)</f>
        <v/>
      </c>
      <c r="E746" s="13" t="str">
        <f>IF(OR('实盘净值数据(iFinD）'!$A746="",'实盘净值数据(iFinD）'!$B746=""),"",分期持仓明细!$AB$18*SUMPRODUCT(分期持仓明细!$B$18:$Y$18,'实盘净值数据(iFinD）'!$B746:$Y746/'实盘净值数据(iFinD）'!$B$20:$Y$20)*(1-实盘持仓初始配置!$Z$5)^(('实盘净值数据(iFinD）'!$A746-'实盘净值数据(iFinD）'!$A$5)/365))</f>
        <v/>
      </c>
      <c r="F746" s="16" t="str">
        <f t="shared" si="67"/>
        <v/>
      </c>
      <c r="G746" s="16" t="str">
        <f>IF(E746="","",E746/MAX(E$5:E746)-1)</f>
        <v/>
      </c>
      <c r="H746" s="13" t="str">
        <f>IF(OR('实盘净值数据(iFinD）'!$A746="",'实盘净值数据(iFinD）'!$B746=""),"",分期持仓明细!$AB$19*SUMPRODUCT(分期持仓明细!$B$19:$Y$19,'实盘净值数据(iFinD）'!$B746:$Y746/'实盘净值数据(iFinD）'!$B$20:$Y$20)*(1-实盘持仓初始配置!$Z$6)^(('实盘净值数据(iFinD）'!$A746-'实盘净值数据(iFinD）'!$A$7)/365))</f>
        <v/>
      </c>
      <c r="I746" s="16" t="str">
        <f t="shared" si="68"/>
        <v/>
      </c>
      <c r="J746" s="16" t="str">
        <f>IF(H746="","",H746/MAX(H$5:H746)-1)</f>
        <v/>
      </c>
      <c r="K746" s="13" t="str">
        <f>IF(OR('实盘净值数据(iFinD）'!$A746="",'实盘净值数据(iFinD）'!$B746="",'实盘净值数据(iFinD）'!$Z746="",'实盘净值数据(iFinD）'!$AA746=""),"",分期持仓明细!$AB$23*(SUMPRODUCT(分期持仓明细!$B$23:$Y$23,'实盘净值数据(iFinD）'!$B746:$Y746/'实盘净值数据(iFinD）'!$B$65:$Y$65)+SUMPRODUCT(分期持仓明细!$AC$23:$AD$23,'实盘净值数据(iFinD）'!$Z746:$AA746/'实盘净值数据(iFinD）'!$Z$65:$AA$65))*(1-实盘持仓初始配置!$Z$7)^(('实盘净值数据(iFinD）'!$A746-'实盘净值数据(iFinD）'!$A$8)/365))</f>
        <v/>
      </c>
      <c r="L746" s="16" t="str">
        <f t="shared" si="69"/>
        <v/>
      </c>
      <c r="M746" s="16" t="str">
        <f>IF(K746="","",K746/MAX(K$5:K746)-1)</f>
        <v/>
      </c>
      <c r="N746" s="13" t="str">
        <f>IF(OR('实盘净值数据(iFinD）'!$A746="",'实盘净值数据(iFinD）'!$B746="",'实盘净值数据(iFinD）'!$Z746="",'实盘净值数据(iFinD）'!$AA746=""),"",分期持仓明细!$AB$24*(SUMPRODUCT(分期持仓明细!$B$24:$Y$24,'实盘净值数据(iFinD）'!$B746:$Y746/'实盘净值数据(iFinD）'!$B$65:$Y$65)+SUMPRODUCT(分期持仓明细!$AC$24:$AD$24,'实盘净值数据(iFinD）'!$Z746:$AA746/'实盘净值数据(iFinD）'!$Z$65:$AA$65))*(1-实盘持仓初始配置!$Z$8)^(('实盘净值数据(iFinD）'!$A746-'实盘净值数据(iFinD）'!$A$5)/365))</f>
        <v/>
      </c>
      <c r="O746" s="16" t="str">
        <f t="shared" si="70"/>
        <v/>
      </c>
      <c r="P746" s="16" t="str">
        <f>IF(N746="","",N746/MAX(N$5:N746)-1)</f>
        <v/>
      </c>
      <c r="Q746" s="13" t="str">
        <f>IF(OR('实盘净值数据(iFinD）'!$A746="",'实盘净值数据(iFinD）'!$B746="",'实盘净值数据(iFinD）'!$Z746="",'实盘净值数据(iFinD）'!$AA746=""),"",分期持仓明细!$AB$25*(SUMPRODUCT(分期持仓明细!$B$25:$Y$25,'实盘净值数据(iFinD）'!$B746:$Y746/'实盘净值数据(iFinD）'!$B$65:$Y$65)+SUMPRODUCT(分期持仓明细!$AC$25:$AD$25,'实盘净值数据(iFinD）'!$Z746:$AA746/'实盘净值数据(iFinD）'!$Z$65:$AA$65))*(1-实盘持仓初始配置!$Z$9)^(('实盘净值数据(iFinD）'!$A746-'实盘净值数据(iFinD）'!$A$8)/365))</f>
        <v/>
      </c>
      <c r="R746" s="16" t="str">
        <f t="shared" si="71"/>
        <v/>
      </c>
      <c r="S746" s="16" t="str">
        <f>IF(Q746="","",Q746/MAX(Q$5:Q746)-1)</f>
        <v/>
      </c>
      <c r="T746" s="13">
        <f>IF(OR('实盘净值数据(iFinD）'!$A746="",'实盘净值数据(iFinD）'!$B746="",'实盘净值数据(iFinD）'!$Z746="",'实盘净值数据(iFinD）'!$AA746="",'实盘净值数据(iFinD）'!$AB746="",'实盘净值数据(iFinD）'!$AL746=""),"",(SUMPRODUCT(分期持仓明细!$B$26:$Y$26,'实盘净值数据(iFinD）'!$B746:$Y746/'实盘净值数据(iFinD）'!$B$69:$Y$69)+SUMPRODUCT(分期持仓明细!$AC$26:$AD$26,'实盘净值数据(iFinD）'!$Z746:$AA746/'实盘净值数据(iFinD）'!$Z$69:$AA$69)+SUMPRODUCT(分期持仓明细!$AE$26:$AO$26,'实盘净值数据(iFinD）'!$AB746:$AL746/'实盘净值数据(iFinD）'!$AB$69:$AL$69))*(1-实盘持仓初始配置!$Z$10)^(('实盘净值数据(iFinD）'!$A746-'实盘净值数据(iFinD）'!$A$69)/365))</f>
        <v/>
      </c>
      <c r="U746" s="16">
        <f>IF(OR(T745="",T746=""),"",T746/T745-1)</f>
        <v/>
      </c>
      <c r="V746" s="16">
        <f>IF(T746="","",T746/MAX(T$5:T746)-1)</f>
        <v/>
      </c>
    </row>
    <row r="747" spans="1:19">
      <c r="A747" s="15" t="str">
        <f>IF('实盘净值数据(iFinD）'!A747="","",'实盘净值数据(iFinD）'!A747)</f>
        <v/>
      </c>
      <c r="B747" s="13" t="str">
        <f>IF(OR('实盘净值数据(iFinD）'!$A747="",'实盘净值数据(iFinD）'!$B747=""),"",分期持仓明细!$AB$17*SUMPRODUCT(分期持仓明细!$B$17:$Y$17,'实盘净值数据(iFinD）'!$B747:$Y747/'实盘净值数据(iFinD）'!$B$20:$Y$20)*(1-实盘持仓初始配置!$Z$4)^(('实盘净值数据(iFinD）'!$A747-'实盘净值数据(iFinD）'!$A$6)/365))</f>
        <v/>
      </c>
      <c r="C747" s="16" t="str">
        <f t="shared" si="66"/>
        <v/>
      </c>
      <c r="D747" s="16" t="str">
        <f>IF(B747="","",B747/MAX(B$5:B747)-1)</f>
        <v/>
      </c>
      <c r="E747" s="13" t="str">
        <f>IF(OR('实盘净值数据(iFinD）'!$A747="",'实盘净值数据(iFinD）'!$B747=""),"",分期持仓明细!$AB$18*SUMPRODUCT(分期持仓明细!$B$18:$Y$18,'实盘净值数据(iFinD）'!$B747:$Y747/'实盘净值数据(iFinD）'!$B$20:$Y$20)*(1-实盘持仓初始配置!$Z$5)^(('实盘净值数据(iFinD）'!$A747-'实盘净值数据(iFinD）'!$A$5)/365))</f>
        <v/>
      </c>
      <c r="F747" s="16" t="str">
        <f t="shared" si="67"/>
        <v/>
      </c>
      <c r="G747" s="16" t="str">
        <f>IF(E747="","",E747/MAX(E$5:E747)-1)</f>
        <v/>
      </c>
      <c r="H747" s="13" t="str">
        <f>IF(OR('实盘净值数据(iFinD）'!$A747="",'实盘净值数据(iFinD）'!$B747=""),"",分期持仓明细!$AB$19*SUMPRODUCT(分期持仓明细!$B$19:$Y$19,'实盘净值数据(iFinD）'!$B747:$Y747/'实盘净值数据(iFinD）'!$B$20:$Y$20)*(1-实盘持仓初始配置!$Z$6)^(('实盘净值数据(iFinD）'!$A747-'实盘净值数据(iFinD）'!$A$7)/365))</f>
        <v/>
      </c>
      <c r="I747" s="16" t="str">
        <f t="shared" si="68"/>
        <v/>
      </c>
      <c r="J747" s="16" t="str">
        <f>IF(H747="","",H747/MAX(H$5:H747)-1)</f>
        <v/>
      </c>
      <c r="K747" s="13" t="str">
        <f>IF(OR('实盘净值数据(iFinD）'!$A747="",'实盘净值数据(iFinD）'!$B747="",'实盘净值数据(iFinD）'!$Z747="",'实盘净值数据(iFinD）'!$AA747=""),"",分期持仓明细!$AB$23*(SUMPRODUCT(分期持仓明细!$B$23:$Y$23,'实盘净值数据(iFinD）'!$B747:$Y747/'实盘净值数据(iFinD）'!$B$65:$Y$65)+SUMPRODUCT(分期持仓明细!$AC$23:$AD$23,'实盘净值数据(iFinD）'!$Z747:$AA747/'实盘净值数据(iFinD）'!$Z$65:$AA$65))*(1-实盘持仓初始配置!$Z$7)^(('实盘净值数据(iFinD）'!$A747-'实盘净值数据(iFinD）'!$A$8)/365))</f>
        <v/>
      </c>
      <c r="L747" s="16" t="str">
        <f t="shared" si="69"/>
        <v/>
      </c>
      <c r="M747" s="16" t="str">
        <f>IF(K747="","",K747/MAX(K$5:K747)-1)</f>
        <v/>
      </c>
      <c r="N747" s="13" t="str">
        <f>IF(OR('实盘净值数据(iFinD）'!$A747="",'实盘净值数据(iFinD）'!$B747="",'实盘净值数据(iFinD）'!$Z747="",'实盘净值数据(iFinD）'!$AA747=""),"",分期持仓明细!$AB$24*(SUMPRODUCT(分期持仓明细!$B$24:$Y$24,'实盘净值数据(iFinD）'!$B747:$Y747/'实盘净值数据(iFinD）'!$B$65:$Y$65)+SUMPRODUCT(分期持仓明细!$AC$24:$AD$24,'实盘净值数据(iFinD）'!$Z747:$AA747/'实盘净值数据(iFinD）'!$Z$65:$AA$65))*(1-实盘持仓初始配置!$Z$8)^(('实盘净值数据(iFinD）'!$A747-'实盘净值数据(iFinD）'!$A$5)/365))</f>
        <v/>
      </c>
      <c r="O747" s="16" t="str">
        <f t="shared" si="70"/>
        <v/>
      </c>
      <c r="P747" s="16" t="str">
        <f>IF(N747="","",N747/MAX(N$5:N747)-1)</f>
        <v/>
      </c>
      <c r="Q747" s="13" t="str">
        <f>IF(OR('实盘净值数据(iFinD）'!$A747="",'实盘净值数据(iFinD）'!$B747="",'实盘净值数据(iFinD）'!$Z747="",'实盘净值数据(iFinD）'!$AA747=""),"",分期持仓明细!$AB$25*(SUMPRODUCT(分期持仓明细!$B$25:$Y$25,'实盘净值数据(iFinD）'!$B747:$Y747/'实盘净值数据(iFinD）'!$B$65:$Y$65)+SUMPRODUCT(分期持仓明细!$AC$25:$AD$25,'实盘净值数据(iFinD）'!$Z747:$AA747/'实盘净值数据(iFinD）'!$Z$65:$AA$65))*(1-实盘持仓初始配置!$Z$9)^(('实盘净值数据(iFinD）'!$A747-'实盘净值数据(iFinD）'!$A$8)/365))</f>
        <v/>
      </c>
      <c r="R747" s="16" t="str">
        <f t="shared" si="71"/>
        <v/>
      </c>
      <c r="S747" s="16" t="str">
        <f>IF(Q747="","",Q747/MAX(Q$5:Q747)-1)</f>
        <v/>
      </c>
      <c r="T747" s="13">
        <f>IF(OR('实盘净值数据(iFinD）'!$A747="",'实盘净值数据(iFinD）'!$B747="",'实盘净值数据(iFinD）'!$Z747="",'实盘净值数据(iFinD）'!$AA747="",'实盘净值数据(iFinD）'!$AB747="",'实盘净值数据(iFinD）'!$AL747=""),"",(SUMPRODUCT(分期持仓明细!$B$26:$Y$26,'实盘净值数据(iFinD）'!$B747:$Y747/'实盘净值数据(iFinD）'!$B$69:$Y$69)+SUMPRODUCT(分期持仓明细!$AC$26:$AD$26,'实盘净值数据(iFinD）'!$Z747:$AA747/'实盘净值数据(iFinD）'!$Z$69:$AA$69)+SUMPRODUCT(分期持仓明细!$AE$26:$AO$26,'实盘净值数据(iFinD）'!$AB747:$AL747/'实盘净值数据(iFinD）'!$AB$69:$AL$69))*(1-实盘持仓初始配置!$Z$10)^(('实盘净值数据(iFinD）'!$A747-'实盘净值数据(iFinD）'!$A$69)/365))</f>
        <v/>
      </c>
      <c r="U747" s="16">
        <f>IF(OR(T746="",T747=""),"",T747/T746-1)</f>
        <v/>
      </c>
      <c r="V747" s="16">
        <f>IF(T747="","",T747/MAX(T$5:T747)-1)</f>
        <v/>
      </c>
    </row>
    <row r="748" spans="1:19">
      <c r="A748" s="15" t="str">
        <f>IF('实盘净值数据(iFinD）'!A748="","",'实盘净值数据(iFinD）'!A748)</f>
        <v/>
      </c>
      <c r="B748" s="13" t="str">
        <f>IF(OR('实盘净值数据(iFinD）'!$A748="",'实盘净值数据(iFinD）'!$B748=""),"",分期持仓明细!$AB$17*SUMPRODUCT(分期持仓明细!$B$17:$Y$17,'实盘净值数据(iFinD）'!$B748:$Y748/'实盘净值数据(iFinD）'!$B$20:$Y$20)*(1-实盘持仓初始配置!$Z$4)^(('实盘净值数据(iFinD）'!$A748-'实盘净值数据(iFinD）'!$A$6)/365))</f>
        <v/>
      </c>
      <c r="C748" s="16" t="str">
        <f t="shared" si="66"/>
        <v/>
      </c>
      <c r="D748" s="16" t="str">
        <f>IF(B748="","",B748/MAX(B$5:B748)-1)</f>
        <v/>
      </c>
      <c r="E748" s="13" t="str">
        <f>IF(OR('实盘净值数据(iFinD）'!$A748="",'实盘净值数据(iFinD）'!$B748=""),"",分期持仓明细!$AB$18*SUMPRODUCT(分期持仓明细!$B$18:$Y$18,'实盘净值数据(iFinD）'!$B748:$Y748/'实盘净值数据(iFinD）'!$B$20:$Y$20)*(1-实盘持仓初始配置!$Z$5)^(('实盘净值数据(iFinD）'!$A748-'实盘净值数据(iFinD）'!$A$5)/365))</f>
        <v/>
      </c>
      <c r="F748" s="16" t="str">
        <f t="shared" si="67"/>
        <v/>
      </c>
      <c r="G748" s="16" t="str">
        <f>IF(E748="","",E748/MAX(E$5:E748)-1)</f>
        <v/>
      </c>
      <c r="H748" s="13" t="str">
        <f>IF(OR('实盘净值数据(iFinD）'!$A748="",'实盘净值数据(iFinD）'!$B748=""),"",分期持仓明细!$AB$19*SUMPRODUCT(分期持仓明细!$B$19:$Y$19,'实盘净值数据(iFinD）'!$B748:$Y748/'实盘净值数据(iFinD）'!$B$20:$Y$20)*(1-实盘持仓初始配置!$Z$6)^(('实盘净值数据(iFinD）'!$A748-'实盘净值数据(iFinD）'!$A$7)/365))</f>
        <v/>
      </c>
      <c r="I748" s="16" t="str">
        <f t="shared" si="68"/>
        <v/>
      </c>
      <c r="J748" s="16" t="str">
        <f>IF(H748="","",H748/MAX(H$5:H748)-1)</f>
        <v/>
      </c>
      <c r="K748" s="13" t="str">
        <f>IF(OR('实盘净值数据(iFinD）'!$A748="",'实盘净值数据(iFinD）'!$B748="",'实盘净值数据(iFinD）'!$Z748="",'实盘净值数据(iFinD）'!$AA748=""),"",分期持仓明细!$AB$23*(SUMPRODUCT(分期持仓明细!$B$23:$Y$23,'实盘净值数据(iFinD）'!$B748:$Y748/'实盘净值数据(iFinD）'!$B$65:$Y$65)+SUMPRODUCT(分期持仓明细!$AC$23:$AD$23,'实盘净值数据(iFinD）'!$Z748:$AA748/'实盘净值数据(iFinD）'!$Z$65:$AA$65))*(1-实盘持仓初始配置!$Z$7)^(('实盘净值数据(iFinD）'!$A748-'实盘净值数据(iFinD）'!$A$8)/365))</f>
        <v/>
      </c>
      <c r="L748" s="16" t="str">
        <f t="shared" si="69"/>
        <v/>
      </c>
      <c r="M748" s="16" t="str">
        <f>IF(K748="","",K748/MAX(K$5:K748)-1)</f>
        <v/>
      </c>
      <c r="N748" s="13" t="str">
        <f>IF(OR('实盘净值数据(iFinD）'!$A748="",'实盘净值数据(iFinD）'!$B748="",'实盘净值数据(iFinD）'!$Z748="",'实盘净值数据(iFinD）'!$AA748=""),"",分期持仓明细!$AB$24*(SUMPRODUCT(分期持仓明细!$B$24:$Y$24,'实盘净值数据(iFinD）'!$B748:$Y748/'实盘净值数据(iFinD）'!$B$65:$Y$65)+SUMPRODUCT(分期持仓明细!$AC$24:$AD$24,'实盘净值数据(iFinD）'!$Z748:$AA748/'实盘净值数据(iFinD）'!$Z$65:$AA$65))*(1-实盘持仓初始配置!$Z$8)^(('实盘净值数据(iFinD）'!$A748-'实盘净值数据(iFinD）'!$A$5)/365))</f>
        <v/>
      </c>
      <c r="O748" s="16" t="str">
        <f t="shared" si="70"/>
        <v/>
      </c>
      <c r="P748" s="16" t="str">
        <f>IF(N748="","",N748/MAX(N$5:N748)-1)</f>
        <v/>
      </c>
      <c r="Q748" s="13" t="str">
        <f>IF(OR('实盘净值数据(iFinD）'!$A748="",'实盘净值数据(iFinD）'!$B748="",'实盘净值数据(iFinD）'!$Z748="",'实盘净值数据(iFinD）'!$AA748=""),"",分期持仓明细!$AB$25*(SUMPRODUCT(分期持仓明细!$B$25:$Y$25,'实盘净值数据(iFinD）'!$B748:$Y748/'实盘净值数据(iFinD）'!$B$65:$Y$65)+SUMPRODUCT(分期持仓明细!$AC$25:$AD$25,'实盘净值数据(iFinD）'!$Z748:$AA748/'实盘净值数据(iFinD）'!$Z$65:$AA$65))*(1-实盘持仓初始配置!$Z$9)^(('实盘净值数据(iFinD）'!$A748-'实盘净值数据(iFinD）'!$A$8)/365))</f>
        <v/>
      </c>
      <c r="R748" s="16" t="str">
        <f t="shared" si="71"/>
        <v/>
      </c>
      <c r="S748" s="16" t="str">
        <f>IF(Q748="","",Q748/MAX(Q$5:Q748)-1)</f>
        <v/>
      </c>
      <c r="T748" s="13">
        <f>IF(OR('实盘净值数据(iFinD）'!$A748="",'实盘净值数据(iFinD）'!$B748="",'实盘净值数据(iFinD）'!$Z748="",'实盘净值数据(iFinD）'!$AA748="",'实盘净值数据(iFinD）'!$AB748="",'实盘净值数据(iFinD）'!$AL748=""),"",(SUMPRODUCT(分期持仓明细!$B$26:$Y$26,'实盘净值数据(iFinD）'!$B748:$Y748/'实盘净值数据(iFinD）'!$B$69:$Y$69)+SUMPRODUCT(分期持仓明细!$AC$26:$AD$26,'实盘净值数据(iFinD）'!$Z748:$AA748/'实盘净值数据(iFinD）'!$Z$69:$AA$69)+SUMPRODUCT(分期持仓明细!$AE$26:$AO$26,'实盘净值数据(iFinD）'!$AB748:$AL748/'实盘净值数据(iFinD）'!$AB$69:$AL$69))*(1-实盘持仓初始配置!$Z$10)^(('实盘净值数据(iFinD）'!$A748-'实盘净值数据(iFinD）'!$A$69)/365))</f>
        <v/>
      </c>
      <c r="U748" s="16">
        <f>IF(OR(T747="",T748=""),"",T748/T747-1)</f>
        <v/>
      </c>
      <c r="V748" s="16">
        <f>IF(T748="","",T748/MAX(T$5:T748)-1)</f>
        <v/>
      </c>
    </row>
    <row r="749" spans="1:19">
      <c r="A749" s="15" t="str">
        <f>IF('实盘净值数据(iFinD）'!A749="","",'实盘净值数据(iFinD）'!A749)</f>
        <v/>
      </c>
      <c r="B749" s="13" t="str">
        <f>IF(OR('实盘净值数据(iFinD）'!$A749="",'实盘净值数据(iFinD）'!$B749=""),"",分期持仓明细!$AB$17*SUMPRODUCT(分期持仓明细!$B$17:$Y$17,'实盘净值数据(iFinD）'!$B749:$Y749/'实盘净值数据(iFinD）'!$B$20:$Y$20)*(1-实盘持仓初始配置!$Z$4)^(('实盘净值数据(iFinD）'!$A749-'实盘净值数据(iFinD）'!$A$6)/365))</f>
        <v/>
      </c>
      <c r="C749" s="16" t="str">
        <f t="shared" si="66"/>
        <v/>
      </c>
      <c r="D749" s="16" t="str">
        <f>IF(B749="","",B749/MAX(B$5:B749)-1)</f>
        <v/>
      </c>
      <c r="E749" s="13" t="str">
        <f>IF(OR('实盘净值数据(iFinD）'!$A749="",'实盘净值数据(iFinD）'!$B749=""),"",分期持仓明细!$AB$18*SUMPRODUCT(分期持仓明细!$B$18:$Y$18,'实盘净值数据(iFinD）'!$B749:$Y749/'实盘净值数据(iFinD）'!$B$20:$Y$20)*(1-实盘持仓初始配置!$Z$5)^(('实盘净值数据(iFinD）'!$A749-'实盘净值数据(iFinD）'!$A$5)/365))</f>
        <v/>
      </c>
      <c r="F749" s="16" t="str">
        <f t="shared" si="67"/>
        <v/>
      </c>
      <c r="G749" s="16" t="str">
        <f>IF(E749="","",E749/MAX(E$5:E749)-1)</f>
        <v/>
      </c>
      <c r="H749" s="13" t="str">
        <f>IF(OR('实盘净值数据(iFinD）'!$A749="",'实盘净值数据(iFinD）'!$B749=""),"",分期持仓明细!$AB$19*SUMPRODUCT(分期持仓明细!$B$19:$Y$19,'实盘净值数据(iFinD）'!$B749:$Y749/'实盘净值数据(iFinD）'!$B$20:$Y$20)*(1-实盘持仓初始配置!$Z$6)^(('实盘净值数据(iFinD）'!$A749-'实盘净值数据(iFinD）'!$A$7)/365))</f>
        <v/>
      </c>
      <c r="I749" s="16" t="str">
        <f t="shared" si="68"/>
        <v/>
      </c>
      <c r="J749" s="16" t="str">
        <f>IF(H749="","",H749/MAX(H$5:H749)-1)</f>
        <v/>
      </c>
      <c r="K749" s="13" t="str">
        <f>IF(OR('实盘净值数据(iFinD）'!$A749="",'实盘净值数据(iFinD）'!$B749="",'实盘净值数据(iFinD）'!$Z749="",'实盘净值数据(iFinD）'!$AA749=""),"",分期持仓明细!$AB$23*(SUMPRODUCT(分期持仓明细!$B$23:$Y$23,'实盘净值数据(iFinD）'!$B749:$Y749/'实盘净值数据(iFinD）'!$B$65:$Y$65)+SUMPRODUCT(分期持仓明细!$AC$23:$AD$23,'实盘净值数据(iFinD）'!$Z749:$AA749/'实盘净值数据(iFinD）'!$Z$65:$AA$65))*(1-实盘持仓初始配置!$Z$7)^(('实盘净值数据(iFinD）'!$A749-'实盘净值数据(iFinD）'!$A$8)/365))</f>
        <v/>
      </c>
      <c r="L749" s="16" t="str">
        <f t="shared" si="69"/>
        <v/>
      </c>
      <c r="M749" s="16" t="str">
        <f>IF(K749="","",K749/MAX(K$5:K749)-1)</f>
        <v/>
      </c>
      <c r="N749" s="13" t="str">
        <f>IF(OR('实盘净值数据(iFinD）'!$A749="",'实盘净值数据(iFinD）'!$B749="",'实盘净值数据(iFinD）'!$Z749="",'实盘净值数据(iFinD）'!$AA749=""),"",分期持仓明细!$AB$24*(SUMPRODUCT(分期持仓明细!$B$24:$Y$24,'实盘净值数据(iFinD）'!$B749:$Y749/'实盘净值数据(iFinD）'!$B$65:$Y$65)+SUMPRODUCT(分期持仓明细!$AC$24:$AD$24,'实盘净值数据(iFinD）'!$Z749:$AA749/'实盘净值数据(iFinD）'!$Z$65:$AA$65))*(1-实盘持仓初始配置!$Z$8)^(('实盘净值数据(iFinD）'!$A749-'实盘净值数据(iFinD）'!$A$5)/365))</f>
        <v/>
      </c>
      <c r="O749" s="16" t="str">
        <f t="shared" si="70"/>
        <v/>
      </c>
      <c r="P749" s="16" t="str">
        <f>IF(N749="","",N749/MAX(N$5:N749)-1)</f>
        <v/>
      </c>
      <c r="Q749" s="13" t="str">
        <f>IF(OR('实盘净值数据(iFinD）'!$A749="",'实盘净值数据(iFinD）'!$B749="",'实盘净值数据(iFinD）'!$Z749="",'实盘净值数据(iFinD）'!$AA749=""),"",分期持仓明细!$AB$25*(SUMPRODUCT(分期持仓明细!$B$25:$Y$25,'实盘净值数据(iFinD）'!$B749:$Y749/'实盘净值数据(iFinD）'!$B$65:$Y$65)+SUMPRODUCT(分期持仓明细!$AC$25:$AD$25,'实盘净值数据(iFinD）'!$Z749:$AA749/'实盘净值数据(iFinD）'!$Z$65:$AA$65))*(1-实盘持仓初始配置!$Z$9)^(('实盘净值数据(iFinD）'!$A749-'实盘净值数据(iFinD）'!$A$8)/365))</f>
        <v/>
      </c>
      <c r="R749" s="16" t="str">
        <f t="shared" si="71"/>
        <v/>
      </c>
      <c r="S749" s="16" t="str">
        <f>IF(Q749="","",Q749/MAX(Q$5:Q749)-1)</f>
        <v/>
      </c>
      <c r="T749" s="13">
        <f>IF(OR('实盘净值数据(iFinD）'!$A749="",'实盘净值数据(iFinD）'!$B749="",'实盘净值数据(iFinD）'!$Z749="",'实盘净值数据(iFinD）'!$AA749="",'实盘净值数据(iFinD）'!$AB749="",'实盘净值数据(iFinD）'!$AL749=""),"",(SUMPRODUCT(分期持仓明细!$B$26:$Y$26,'实盘净值数据(iFinD）'!$B749:$Y749/'实盘净值数据(iFinD）'!$B$69:$Y$69)+SUMPRODUCT(分期持仓明细!$AC$26:$AD$26,'实盘净值数据(iFinD）'!$Z749:$AA749/'实盘净值数据(iFinD）'!$Z$69:$AA$69)+SUMPRODUCT(分期持仓明细!$AE$26:$AO$26,'实盘净值数据(iFinD）'!$AB749:$AL749/'实盘净值数据(iFinD）'!$AB$69:$AL$69))*(1-实盘持仓初始配置!$Z$10)^(('实盘净值数据(iFinD）'!$A749-'实盘净值数据(iFinD）'!$A$69)/365))</f>
        <v/>
      </c>
      <c r="U749" s="16">
        <f>IF(OR(T748="",T749=""),"",T749/T748-1)</f>
        <v/>
      </c>
      <c r="V749" s="16">
        <f>IF(T749="","",T749/MAX(T$5:T749)-1)</f>
        <v/>
      </c>
    </row>
    <row r="750" spans="1:19">
      <c r="A750" s="15" t="str">
        <f>IF('实盘净值数据(iFinD）'!A750="","",'实盘净值数据(iFinD）'!A750)</f>
        <v/>
      </c>
      <c r="B750" s="13" t="str">
        <f>IF(OR('实盘净值数据(iFinD）'!$A750="",'实盘净值数据(iFinD）'!$B750=""),"",分期持仓明细!$AB$17*SUMPRODUCT(分期持仓明细!$B$17:$Y$17,'实盘净值数据(iFinD）'!$B750:$Y750/'实盘净值数据(iFinD）'!$B$20:$Y$20)*(1-实盘持仓初始配置!$Z$4)^(('实盘净值数据(iFinD）'!$A750-'实盘净值数据(iFinD）'!$A$6)/365))</f>
        <v/>
      </c>
      <c r="C750" s="16" t="str">
        <f t="shared" si="66"/>
        <v/>
      </c>
      <c r="D750" s="16" t="str">
        <f>IF(B750="","",B750/MAX(B$5:B750)-1)</f>
        <v/>
      </c>
      <c r="E750" s="13" t="str">
        <f>IF(OR('实盘净值数据(iFinD）'!$A750="",'实盘净值数据(iFinD）'!$B750=""),"",分期持仓明细!$AB$18*SUMPRODUCT(分期持仓明细!$B$18:$Y$18,'实盘净值数据(iFinD）'!$B750:$Y750/'实盘净值数据(iFinD）'!$B$20:$Y$20)*(1-实盘持仓初始配置!$Z$5)^(('实盘净值数据(iFinD）'!$A750-'实盘净值数据(iFinD）'!$A$5)/365))</f>
        <v/>
      </c>
      <c r="F750" s="16" t="str">
        <f t="shared" si="67"/>
        <v/>
      </c>
      <c r="G750" s="16" t="str">
        <f>IF(E750="","",E750/MAX(E$5:E750)-1)</f>
        <v/>
      </c>
      <c r="H750" s="13" t="str">
        <f>IF(OR('实盘净值数据(iFinD）'!$A750="",'实盘净值数据(iFinD）'!$B750=""),"",分期持仓明细!$AB$19*SUMPRODUCT(分期持仓明细!$B$19:$Y$19,'实盘净值数据(iFinD）'!$B750:$Y750/'实盘净值数据(iFinD）'!$B$20:$Y$20)*(1-实盘持仓初始配置!$Z$6)^(('实盘净值数据(iFinD）'!$A750-'实盘净值数据(iFinD）'!$A$7)/365))</f>
        <v/>
      </c>
      <c r="I750" s="16" t="str">
        <f t="shared" si="68"/>
        <v/>
      </c>
      <c r="J750" s="16" t="str">
        <f>IF(H750="","",H750/MAX(H$5:H750)-1)</f>
        <v/>
      </c>
      <c r="K750" s="13" t="str">
        <f>IF(OR('实盘净值数据(iFinD）'!$A750="",'实盘净值数据(iFinD）'!$B750="",'实盘净值数据(iFinD）'!$Z750="",'实盘净值数据(iFinD）'!$AA750=""),"",分期持仓明细!$AB$23*(SUMPRODUCT(分期持仓明细!$B$23:$Y$23,'实盘净值数据(iFinD）'!$B750:$Y750/'实盘净值数据(iFinD）'!$B$65:$Y$65)+SUMPRODUCT(分期持仓明细!$AC$23:$AD$23,'实盘净值数据(iFinD）'!$Z750:$AA750/'实盘净值数据(iFinD）'!$Z$65:$AA$65))*(1-实盘持仓初始配置!$Z$7)^(('实盘净值数据(iFinD）'!$A750-'实盘净值数据(iFinD）'!$A$8)/365))</f>
        <v/>
      </c>
      <c r="L750" s="16" t="str">
        <f t="shared" si="69"/>
        <v/>
      </c>
      <c r="M750" s="16" t="str">
        <f>IF(K750="","",K750/MAX(K$5:K750)-1)</f>
        <v/>
      </c>
      <c r="N750" s="13" t="str">
        <f>IF(OR('实盘净值数据(iFinD）'!$A750="",'实盘净值数据(iFinD）'!$B750="",'实盘净值数据(iFinD）'!$Z750="",'实盘净值数据(iFinD）'!$AA750=""),"",分期持仓明细!$AB$24*(SUMPRODUCT(分期持仓明细!$B$24:$Y$24,'实盘净值数据(iFinD）'!$B750:$Y750/'实盘净值数据(iFinD）'!$B$65:$Y$65)+SUMPRODUCT(分期持仓明细!$AC$24:$AD$24,'实盘净值数据(iFinD）'!$Z750:$AA750/'实盘净值数据(iFinD）'!$Z$65:$AA$65))*(1-实盘持仓初始配置!$Z$8)^(('实盘净值数据(iFinD）'!$A750-'实盘净值数据(iFinD）'!$A$5)/365))</f>
        <v/>
      </c>
      <c r="O750" s="16" t="str">
        <f t="shared" si="70"/>
        <v/>
      </c>
      <c r="P750" s="16" t="str">
        <f>IF(N750="","",N750/MAX(N$5:N750)-1)</f>
        <v/>
      </c>
      <c r="Q750" s="13" t="str">
        <f>IF(OR('实盘净值数据(iFinD）'!$A750="",'实盘净值数据(iFinD）'!$B750="",'实盘净值数据(iFinD）'!$Z750="",'实盘净值数据(iFinD）'!$AA750=""),"",分期持仓明细!$AB$25*(SUMPRODUCT(分期持仓明细!$B$25:$Y$25,'实盘净值数据(iFinD）'!$B750:$Y750/'实盘净值数据(iFinD）'!$B$65:$Y$65)+SUMPRODUCT(分期持仓明细!$AC$25:$AD$25,'实盘净值数据(iFinD）'!$Z750:$AA750/'实盘净值数据(iFinD）'!$Z$65:$AA$65))*(1-实盘持仓初始配置!$Z$9)^(('实盘净值数据(iFinD）'!$A750-'实盘净值数据(iFinD）'!$A$8)/365))</f>
        <v/>
      </c>
      <c r="R750" s="16" t="str">
        <f t="shared" si="71"/>
        <v/>
      </c>
      <c r="S750" s="16" t="str">
        <f>IF(Q750="","",Q750/MAX(Q$5:Q750)-1)</f>
        <v/>
      </c>
      <c r="T750" s="13">
        <f>IF(OR('实盘净值数据(iFinD）'!$A750="",'实盘净值数据(iFinD）'!$B750="",'实盘净值数据(iFinD）'!$Z750="",'实盘净值数据(iFinD）'!$AA750="",'实盘净值数据(iFinD）'!$AB750="",'实盘净值数据(iFinD）'!$AL750=""),"",(SUMPRODUCT(分期持仓明细!$B$26:$Y$26,'实盘净值数据(iFinD）'!$B750:$Y750/'实盘净值数据(iFinD）'!$B$69:$Y$69)+SUMPRODUCT(分期持仓明细!$AC$26:$AD$26,'实盘净值数据(iFinD）'!$Z750:$AA750/'实盘净值数据(iFinD）'!$Z$69:$AA$69)+SUMPRODUCT(分期持仓明细!$AE$26:$AO$26,'实盘净值数据(iFinD）'!$AB750:$AL750/'实盘净值数据(iFinD）'!$AB$69:$AL$69))*(1-实盘持仓初始配置!$Z$10)^(('实盘净值数据(iFinD）'!$A750-'实盘净值数据(iFinD）'!$A$69)/365))</f>
        <v/>
      </c>
      <c r="U750" s="16">
        <f>IF(OR(T749="",T750=""),"",T750/T749-1)</f>
        <v/>
      </c>
      <c r="V750" s="16">
        <f>IF(T750="","",T750/MAX(T$5:T750)-1)</f>
        <v/>
      </c>
    </row>
    <row r="751" spans="1:19">
      <c r="A751" s="15" t="str">
        <f>IF('实盘净值数据(iFinD）'!A751="","",'实盘净值数据(iFinD）'!A751)</f>
        <v/>
      </c>
      <c r="B751" s="13" t="str">
        <f>IF(OR('实盘净值数据(iFinD）'!$A751="",'实盘净值数据(iFinD）'!$B751=""),"",分期持仓明细!$AB$17*SUMPRODUCT(分期持仓明细!$B$17:$Y$17,'实盘净值数据(iFinD）'!$B751:$Y751/'实盘净值数据(iFinD）'!$B$20:$Y$20)*(1-实盘持仓初始配置!$Z$4)^(('实盘净值数据(iFinD）'!$A751-'实盘净值数据(iFinD）'!$A$6)/365))</f>
        <v/>
      </c>
      <c r="C751" s="16" t="str">
        <f t="shared" si="66"/>
        <v/>
      </c>
      <c r="D751" s="16" t="str">
        <f>IF(B751="","",B751/MAX(B$5:B751)-1)</f>
        <v/>
      </c>
      <c r="E751" s="13" t="str">
        <f>IF(OR('实盘净值数据(iFinD）'!$A751="",'实盘净值数据(iFinD）'!$B751=""),"",分期持仓明细!$AB$18*SUMPRODUCT(分期持仓明细!$B$18:$Y$18,'实盘净值数据(iFinD）'!$B751:$Y751/'实盘净值数据(iFinD）'!$B$20:$Y$20)*(1-实盘持仓初始配置!$Z$5)^(('实盘净值数据(iFinD）'!$A751-'实盘净值数据(iFinD）'!$A$5)/365))</f>
        <v/>
      </c>
      <c r="F751" s="16" t="str">
        <f t="shared" si="67"/>
        <v/>
      </c>
      <c r="G751" s="16" t="str">
        <f>IF(E751="","",E751/MAX(E$5:E751)-1)</f>
        <v/>
      </c>
      <c r="H751" s="13" t="str">
        <f>IF(OR('实盘净值数据(iFinD）'!$A751="",'实盘净值数据(iFinD）'!$B751=""),"",分期持仓明细!$AB$19*SUMPRODUCT(分期持仓明细!$B$19:$Y$19,'实盘净值数据(iFinD）'!$B751:$Y751/'实盘净值数据(iFinD）'!$B$20:$Y$20)*(1-实盘持仓初始配置!$Z$6)^(('实盘净值数据(iFinD）'!$A751-'实盘净值数据(iFinD）'!$A$7)/365))</f>
        <v/>
      </c>
      <c r="I751" s="16" t="str">
        <f t="shared" si="68"/>
        <v/>
      </c>
      <c r="J751" s="16" t="str">
        <f>IF(H751="","",H751/MAX(H$5:H751)-1)</f>
        <v/>
      </c>
      <c r="K751" s="13" t="str">
        <f>IF(OR('实盘净值数据(iFinD）'!$A751="",'实盘净值数据(iFinD）'!$B751="",'实盘净值数据(iFinD）'!$Z751="",'实盘净值数据(iFinD）'!$AA751=""),"",分期持仓明细!$AB$23*(SUMPRODUCT(分期持仓明细!$B$23:$Y$23,'实盘净值数据(iFinD）'!$B751:$Y751/'实盘净值数据(iFinD）'!$B$65:$Y$65)+SUMPRODUCT(分期持仓明细!$AC$23:$AD$23,'实盘净值数据(iFinD）'!$Z751:$AA751/'实盘净值数据(iFinD）'!$Z$65:$AA$65))*(1-实盘持仓初始配置!$Z$7)^(('实盘净值数据(iFinD）'!$A751-'实盘净值数据(iFinD）'!$A$8)/365))</f>
        <v/>
      </c>
      <c r="L751" s="16" t="str">
        <f t="shared" si="69"/>
        <v/>
      </c>
      <c r="M751" s="16" t="str">
        <f>IF(K751="","",K751/MAX(K$5:K751)-1)</f>
        <v/>
      </c>
      <c r="N751" s="13" t="str">
        <f>IF(OR('实盘净值数据(iFinD）'!$A751="",'实盘净值数据(iFinD）'!$B751="",'实盘净值数据(iFinD）'!$Z751="",'实盘净值数据(iFinD）'!$AA751=""),"",分期持仓明细!$AB$24*(SUMPRODUCT(分期持仓明细!$B$24:$Y$24,'实盘净值数据(iFinD）'!$B751:$Y751/'实盘净值数据(iFinD）'!$B$65:$Y$65)+SUMPRODUCT(分期持仓明细!$AC$24:$AD$24,'实盘净值数据(iFinD）'!$Z751:$AA751/'实盘净值数据(iFinD）'!$Z$65:$AA$65))*(1-实盘持仓初始配置!$Z$8)^(('实盘净值数据(iFinD）'!$A751-'实盘净值数据(iFinD）'!$A$5)/365))</f>
        <v/>
      </c>
      <c r="O751" s="16" t="str">
        <f t="shared" si="70"/>
        <v/>
      </c>
      <c r="P751" s="16" t="str">
        <f>IF(N751="","",N751/MAX(N$5:N751)-1)</f>
        <v/>
      </c>
      <c r="Q751" s="13" t="str">
        <f>IF(OR('实盘净值数据(iFinD）'!$A751="",'实盘净值数据(iFinD）'!$B751="",'实盘净值数据(iFinD）'!$Z751="",'实盘净值数据(iFinD）'!$AA751=""),"",分期持仓明细!$AB$25*(SUMPRODUCT(分期持仓明细!$B$25:$Y$25,'实盘净值数据(iFinD）'!$B751:$Y751/'实盘净值数据(iFinD）'!$B$65:$Y$65)+SUMPRODUCT(分期持仓明细!$AC$25:$AD$25,'实盘净值数据(iFinD）'!$Z751:$AA751/'实盘净值数据(iFinD）'!$Z$65:$AA$65))*(1-实盘持仓初始配置!$Z$9)^(('实盘净值数据(iFinD）'!$A751-'实盘净值数据(iFinD）'!$A$8)/365))</f>
        <v/>
      </c>
      <c r="R751" s="16" t="str">
        <f t="shared" si="71"/>
        <v/>
      </c>
      <c r="S751" s="16" t="str">
        <f>IF(Q751="","",Q751/MAX(Q$5:Q751)-1)</f>
        <v/>
      </c>
      <c r="T751" s="13">
        <f>IF(OR('实盘净值数据(iFinD）'!$A751="",'实盘净值数据(iFinD）'!$B751="",'实盘净值数据(iFinD）'!$Z751="",'实盘净值数据(iFinD）'!$AA751="",'实盘净值数据(iFinD）'!$AB751="",'实盘净值数据(iFinD）'!$AL751=""),"",(SUMPRODUCT(分期持仓明细!$B$26:$Y$26,'实盘净值数据(iFinD）'!$B751:$Y751/'实盘净值数据(iFinD）'!$B$69:$Y$69)+SUMPRODUCT(分期持仓明细!$AC$26:$AD$26,'实盘净值数据(iFinD）'!$Z751:$AA751/'实盘净值数据(iFinD）'!$Z$69:$AA$69)+SUMPRODUCT(分期持仓明细!$AE$26:$AO$26,'实盘净值数据(iFinD）'!$AB751:$AL751/'实盘净值数据(iFinD）'!$AB$69:$AL$69))*(1-实盘持仓初始配置!$Z$10)^(('实盘净值数据(iFinD）'!$A751-'实盘净值数据(iFinD）'!$A$69)/365))</f>
        <v/>
      </c>
      <c r="U751" s="16">
        <f>IF(OR(T750="",T751=""),"",T751/T750-1)</f>
        <v/>
      </c>
      <c r="V751" s="16">
        <f>IF(T751="","",T751/MAX(T$5:T751)-1)</f>
        <v/>
      </c>
    </row>
    <row r="752" spans="1:19">
      <c r="A752" s="15" t="str">
        <f>IF('实盘净值数据(iFinD）'!A752="","",'实盘净值数据(iFinD）'!A752)</f>
        <v/>
      </c>
      <c r="B752" s="13" t="str">
        <f>IF(OR('实盘净值数据(iFinD）'!$A752="",'实盘净值数据(iFinD）'!$B752=""),"",分期持仓明细!$AB$17*SUMPRODUCT(分期持仓明细!$B$17:$Y$17,'实盘净值数据(iFinD）'!$B752:$Y752/'实盘净值数据(iFinD）'!$B$20:$Y$20)*(1-实盘持仓初始配置!$Z$4)^(('实盘净值数据(iFinD）'!$A752-'实盘净值数据(iFinD）'!$A$6)/365))</f>
        <v/>
      </c>
      <c r="C752" s="16" t="str">
        <f t="shared" si="66"/>
        <v/>
      </c>
      <c r="D752" s="16" t="str">
        <f>IF(B752="","",B752/MAX(B$5:B752)-1)</f>
        <v/>
      </c>
      <c r="E752" s="13" t="str">
        <f>IF(OR('实盘净值数据(iFinD）'!$A752="",'实盘净值数据(iFinD）'!$B752=""),"",分期持仓明细!$AB$18*SUMPRODUCT(分期持仓明细!$B$18:$Y$18,'实盘净值数据(iFinD）'!$B752:$Y752/'实盘净值数据(iFinD）'!$B$20:$Y$20)*(1-实盘持仓初始配置!$Z$5)^(('实盘净值数据(iFinD）'!$A752-'实盘净值数据(iFinD）'!$A$5)/365))</f>
        <v/>
      </c>
      <c r="F752" s="16" t="str">
        <f t="shared" si="67"/>
        <v/>
      </c>
      <c r="G752" s="16" t="str">
        <f>IF(E752="","",E752/MAX(E$5:E752)-1)</f>
        <v/>
      </c>
      <c r="H752" s="13" t="str">
        <f>IF(OR('实盘净值数据(iFinD）'!$A752="",'实盘净值数据(iFinD）'!$B752=""),"",分期持仓明细!$AB$19*SUMPRODUCT(分期持仓明细!$B$19:$Y$19,'实盘净值数据(iFinD）'!$B752:$Y752/'实盘净值数据(iFinD）'!$B$20:$Y$20)*(1-实盘持仓初始配置!$Z$6)^(('实盘净值数据(iFinD）'!$A752-'实盘净值数据(iFinD）'!$A$7)/365))</f>
        <v/>
      </c>
      <c r="I752" s="16" t="str">
        <f t="shared" si="68"/>
        <v/>
      </c>
      <c r="J752" s="16" t="str">
        <f>IF(H752="","",H752/MAX(H$5:H752)-1)</f>
        <v/>
      </c>
      <c r="K752" s="13" t="str">
        <f>IF(OR('实盘净值数据(iFinD）'!$A752="",'实盘净值数据(iFinD）'!$B752="",'实盘净值数据(iFinD）'!$Z752="",'实盘净值数据(iFinD）'!$AA752=""),"",分期持仓明细!$AB$23*(SUMPRODUCT(分期持仓明细!$B$23:$Y$23,'实盘净值数据(iFinD）'!$B752:$Y752/'实盘净值数据(iFinD）'!$B$65:$Y$65)+SUMPRODUCT(分期持仓明细!$AC$23:$AD$23,'实盘净值数据(iFinD）'!$Z752:$AA752/'实盘净值数据(iFinD）'!$Z$65:$AA$65))*(1-实盘持仓初始配置!$Z$7)^(('实盘净值数据(iFinD）'!$A752-'实盘净值数据(iFinD）'!$A$8)/365))</f>
        <v/>
      </c>
      <c r="L752" s="16" t="str">
        <f t="shared" si="69"/>
        <v/>
      </c>
      <c r="M752" s="16" t="str">
        <f>IF(K752="","",K752/MAX(K$5:K752)-1)</f>
        <v/>
      </c>
      <c r="N752" s="13" t="str">
        <f>IF(OR('实盘净值数据(iFinD）'!$A752="",'实盘净值数据(iFinD）'!$B752="",'实盘净值数据(iFinD）'!$Z752="",'实盘净值数据(iFinD）'!$AA752=""),"",分期持仓明细!$AB$24*(SUMPRODUCT(分期持仓明细!$B$24:$Y$24,'实盘净值数据(iFinD）'!$B752:$Y752/'实盘净值数据(iFinD）'!$B$65:$Y$65)+SUMPRODUCT(分期持仓明细!$AC$24:$AD$24,'实盘净值数据(iFinD）'!$Z752:$AA752/'实盘净值数据(iFinD）'!$Z$65:$AA$65))*(1-实盘持仓初始配置!$Z$8)^(('实盘净值数据(iFinD）'!$A752-'实盘净值数据(iFinD）'!$A$5)/365))</f>
        <v/>
      </c>
      <c r="O752" s="16" t="str">
        <f t="shared" si="70"/>
        <v/>
      </c>
      <c r="P752" s="16" t="str">
        <f>IF(N752="","",N752/MAX(N$5:N752)-1)</f>
        <v/>
      </c>
      <c r="Q752" s="13" t="str">
        <f>IF(OR('实盘净值数据(iFinD）'!$A752="",'实盘净值数据(iFinD）'!$B752="",'实盘净值数据(iFinD）'!$Z752="",'实盘净值数据(iFinD）'!$AA752=""),"",分期持仓明细!$AB$25*(SUMPRODUCT(分期持仓明细!$B$25:$Y$25,'实盘净值数据(iFinD）'!$B752:$Y752/'实盘净值数据(iFinD）'!$B$65:$Y$65)+SUMPRODUCT(分期持仓明细!$AC$25:$AD$25,'实盘净值数据(iFinD）'!$Z752:$AA752/'实盘净值数据(iFinD）'!$Z$65:$AA$65))*(1-实盘持仓初始配置!$Z$9)^(('实盘净值数据(iFinD）'!$A752-'实盘净值数据(iFinD）'!$A$8)/365))</f>
        <v/>
      </c>
      <c r="R752" s="16" t="str">
        <f t="shared" si="71"/>
        <v/>
      </c>
      <c r="S752" s="16" t="str">
        <f>IF(Q752="","",Q752/MAX(Q$5:Q752)-1)</f>
        <v/>
      </c>
      <c r="T752" s="13">
        <f>IF(OR('实盘净值数据(iFinD）'!$A752="",'实盘净值数据(iFinD）'!$B752="",'实盘净值数据(iFinD）'!$Z752="",'实盘净值数据(iFinD）'!$AA752="",'实盘净值数据(iFinD）'!$AB752="",'实盘净值数据(iFinD）'!$AL752=""),"",(SUMPRODUCT(分期持仓明细!$B$26:$Y$26,'实盘净值数据(iFinD）'!$B752:$Y752/'实盘净值数据(iFinD）'!$B$69:$Y$69)+SUMPRODUCT(分期持仓明细!$AC$26:$AD$26,'实盘净值数据(iFinD）'!$Z752:$AA752/'实盘净值数据(iFinD）'!$Z$69:$AA$69)+SUMPRODUCT(分期持仓明细!$AE$26:$AO$26,'实盘净值数据(iFinD）'!$AB752:$AL752/'实盘净值数据(iFinD）'!$AB$69:$AL$69))*(1-实盘持仓初始配置!$Z$10)^(('实盘净值数据(iFinD）'!$A752-'实盘净值数据(iFinD）'!$A$69)/365))</f>
        <v/>
      </c>
      <c r="U752" s="16">
        <f>IF(OR(T751="",T752=""),"",T752/T751-1)</f>
        <v/>
      </c>
      <c r="V752" s="16">
        <f>IF(T752="","",T752/MAX(T$5:T752)-1)</f>
        <v/>
      </c>
    </row>
    <row r="753" spans="1:19">
      <c r="A753" s="15" t="str">
        <f>IF('实盘净值数据(iFinD）'!A753="","",'实盘净值数据(iFinD）'!A753)</f>
        <v/>
      </c>
      <c r="B753" s="13" t="str">
        <f>IF(OR('实盘净值数据(iFinD）'!$A753="",'实盘净值数据(iFinD）'!$B753=""),"",分期持仓明细!$AB$17*SUMPRODUCT(分期持仓明细!$B$17:$Y$17,'实盘净值数据(iFinD）'!$B753:$Y753/'实盘净值数据(iFinD）'!$B$20:$Y$20)*(1-实盘持仓初始配置!$Z$4)^(('实盘净值数据(iFinD）'!$A753-'实盘净值数据(iFinD）'!$A$6)/365))</f>
        <v/>
      </c>
      <c r="C753" s="16" t="str">
        <f t="shared" si="66"/>
        <v/>
      </c>
      <c r="D753" s="16" t="str">
        <f>IF(B753="","",B753/MAX(B$5:B753)-1)</f>
        <v/>
      </c>
      <c r="E753" s="13" t="str">
        <f>IF(OR('实盘净值数据(iFinD）'!$A753="",'实盘净值数据(iFinD）'!$B753=""),"",分期持仓明细!$AB$18*SUMPRODUCT(分期持仓明细!$B$18:$Y$18,'实盘净值数据(iFinD）'!$B753:$Y753/'实盘净值数据(iFinD）'!$B$20:$Y$20)*(1-实盘持仓初始配置!$Z$5)^(('实盘净值数据(iFinD）'!$A753-'实盘净值数据(iFinD）'!$A$5)/365))</f>
        <v/>
      </c>
      <c r="F753" s="16" t="str">
        <f t="shared" si="67"/>
        <v/>
      </c>
      <c r="G753" s="16" t="str">
        <f>IF(E753="","",E753/MAX(E$5:E753)-1)</f>
        <v/>
      </c>
      <c r="H753" s="13" t="str">
        <f>IF(OR('实盘净值数据(iFinD）'!$A753="",'实盘净值数据(iFinD）'!$B753=""),"",分期持仓明细!$AB$19*SUMPRODUCT(分期持仓明细!$B$19:$Y$19,'实盘净值数据(iFinD）'!$B753:$Y753/'实盘净值数据(iFinD）'!$B$20:$Y$20)*(1-实盘持仓初始配置!$Z$6)^(('实盘净值数据(iFinD）'!$A753-'实盘净值数据(iFinD）'!$A$7)/365))</f>
        <v/>
      </c>
      <c r="I753" s="16" t="str">
        <f t="shared" si="68"/>
        <v/>
      </c>
      <c r="J753" s="16" t="str">
        <f>IF(H753="","",H753/MAX(H$5:H753)-1)</f>
        <v/>
      </c>
      <c r="K753" s="13" t="str">
        <f>IF(OR('实盘净值数据(iFinD）'!$A753="",'实盘净值数据(iFinD）'!$B753="",'实盘净值数据(iFinD）'!$Z753="",'实盘净值数据(iFinD）'!$AA753=""),"",分期持仓明细!$AB$23*(SUMPRODUCT(分期持仓明细!$B$23:$Y$23,'实盘净值数据(iFinD）'!$B753:$Y753/'实盘净值数据(iFinD）'!$B$65:$Y$65)+SUMPRODUCT(分期持仓明细!$AC$23:$AD$23,'实盘净值数据(iFinD）'!$Z753:$AA753/'实盘净值数据(iFinD）'!$Z$65:$AA$65))*(1-实盘持仓初始配置!$Z$7)^(('实盘净值数据(iFinD）'!$A753-'实盘净值数据(iFinD）'!$A$8)/365))</f>
        <v/>
      </c>
      <c r="L753" s="16" t="str">
        <f t="shared" si="69"/>
        <v/>
      </c>
      <c r="M753" s="16" t="str">
        <f>IF(K753="","",K753/MAX(K$5:K753)-1)</f>
        <v/>
      </c>
      <c r="N753" s="13" t="str">
        <f>IF(OR('实盘净值数据(iFinD）'!$A753="",'实盘净值数据(iFinD）'!$B753="",'实盘净值数据(iFinD）'!$Z753="",'实盘净值数据(iFinD）'!$AA753=""),"",分期持仓明细!$AB$24*(SUMPRODUCT(分期持仓明细!$B$24:$Y$24,'实盘净值数据(iFinD）'!$B753:$Y753/'实盘净值数据(iFinD）'!$B$65:$Y$65)+SUMPRODUCT(分期持仓明细!$AC$24:$AD$24,'实盘净值数据(iFinD）'!$Z753:$AA753/'实盘净值数据(iFinD）'!$Z$65:$AA$65))*(1-实盘持仓初始配置!$Z$8)^(('实盘净值数据(iFinD）'!$A753-'实盘净值数据(iFinD）'!$A$5)/365))</f>
        <v/>
      </c>
      <c r="O753" s="16" t="str">
        <f t="shared" si="70"/>
        <v/>
      </c>
      <c r="P753" s="16" t="str">
        <f>IF(N753="","",N753/MAX(N$5:N753)-1)</f>
        <v/>
      </c>
      <c r="Q753" s="13" t="str">
        <f>IF(OR('实盘净值数据(iFinD）'!$A753="",'实盘净值数据(iFinD）'!$B753="",'实盘净值数据(iFinD）'!$Z753="",'实盘净值数据(iFinD）'!$AA753=""),"",分期持仓明细!$AB$25*(SUMPRODUCT(分期持仓明细!$B$25:$Y$25,'实盘净值数据(iFinD）'!$B753:$Y753/'实盘净值数据(iFinD）'!$B$65:$Y$65)+SUMPRODUCT(分期持仓明细!$AC$25:$AD$25,'实盘净值数据(iFinD）'!$Z753:$AA753/'实盘净值数据(iFinD）'!$Z$65:$AA$65))*(1-实盘持仓初始配置!$Z$9)^(('实盘净值数据(iFinD）'!$A753-'实盘净值数据(iFinD）'!$A$8)/365))</f>
        <v/>
      </c>
      <c r="R753" s="16" t="str">
        <f t="shared" si="71"/>
        <v/>
      </c>
      <c r="S753" s="16" t="str">
        <f>IF(Q753="","",Q753/MAX(Q$5:Q753)-1)</f>
        <v/>
      </c>
      <c r="T753" s="13">
        <f>IF(OR('实盘净值数据(iFinD）'!$A753="",'实盘净值数据(iFinD）'!$B753="",'实盘净值数据(iFinD）'!$Z753="",'实盘净值数据(iFinD）'!$AA753="",'实盘净值数据(iFinD）'!$AB753="",'实盘净值数据(iFinD）'!$AL753=""),"",(SUMPRODUCT(分期持仓明细!$B$26:$Y$26,'实盘净值数据(iFinD）'!$B753:$Y753/'实盘净值数据(iFinD）'!$B$69:$Y$69)+SUMPRODUCT(分期持仓明细!$AC$26:$AD$26,'实盘净值数据(iFinD）'!$Z753:$AA753/'实盘净值数据(iFinD）'!$Z$69:$AA$69)+SUMPRODUCT(分期持仓明细!$AE$26:$AO$26,'实盘净值数据(iFinD）'!$AB753:$AL753/'实盘净值数据(iFinD）'!$AB$69:$AL$69))*(1-实盘持仓初始配置!$Z$10)^(('实盘净值数据(iFinD）'!$A753-'实盘净值数据(iFinD）'!$A$69)/365))</f>
        <v/>
      </c>
      <c r="U753" s="16">
        <f>IF(OR(T752="",T753=""),"",T753/T752-1)</f>
        <v/>
      </c>
      <c r="V753" s="16">
        <f>IF(T753="","",T753/MAX(T$5:T753)-1)</f>
        <v/>
      </c>
    </row>
    <row r="754" spans="1:19">
      <c r="A754" s="15" t="str">
        <f>IF('实盘净值数据(iFinD）'!A754="","",'实盘净值数据(iFinD）'!A754)</f>
        <v/>
      </c>
      <c r="B754" s="13" t="str">
        <f>IF(OR('实盘净值数据(iFinD）'!$A754="",'实盘净值数据(iFinD）'!$B754=""),"",分期持仓明细!$AB$17*SUMPRODUCT(分期持仓明细!$B$17:$Y$17,'实盘净值数据(iFinD）'!$B754:$Y754/'实盘净值数据(iFinD）'!$B$20:$Y$20)*(1-实盘持仓初始配置!$Z$4)^(('实盘净值数据(iFinD）'!$A754-'实盘净值数据(iFinD）'!$A$6)/365))</f>
        <v/>
      </c>
      <c r="C754" s="16" t="str">
        <f t="shared" si="66"/>
        <v/>
      </c>
      <c r="D754" s="16" t="str">
        <f>IF(B754="","",B754/MAX(B$5:B754)-1)</f>
        <v/>
      </c>
      <c r="E754" s="13" t="str">
        <f>IF(OR('实盘净值数据(iFinD）'!$A754="",'实盘净值数据(iFinD）'!$B754=""),"",分期持仓明细!$AB$18*SUMPRODUCT(分期持仓明细!$B$18:$Y$18,'实盘净值数据(iFinD）'!$B754:$Y754/'实盘净值数据(iFinD）'!$B$20:$Y$20)*(1-实盘持仓初始配置!$Z$5)^(('实盘净值数据(iFinD）'!$A754-'实盘净值数据(iFinD）'!$A$5)/365))</f>
        <v/>
      </c>
      <c r="F754" s="16" t="str">
        <f t="shared" si="67"/>
        <v/>
      </c>
      <c r="G754" s="16" t="str">
        <f>IF(E754="","",E754/MAX(E$5:E754)-1)</f>
        <v/>
      </c>
      <c r="H754" s="13" t="str">
        <f>IF(OR('实盘净值数据(iFinD）'!$A754="",'实盘净值数据(iFinD）'!$B754=""),"",分期持仓明细!$AB$19*SUMPRODUCT(分期持仓明细!$B$19:$Y$19,'实盘净值数据(iFinD）'!$B754:$Y754/'实盘净值数据(iFinD）'!$B$20:$Y$20)*(1-实盘持仓初始配置!$Z$6)^(('实盘净值数据(iFinD）'!$A754-'实盘净值数据(iFinD）'!$A$7)/365))</f>
        <v/>
      </c>
      <c r="I754" s="16" t="str">
        <f t="shared" si="68"/>
        <v/>
      </c>
      <c r="J754" s="16" t="str">
        <f>IF(H754="","",H754/MAX(H$5:H754)-1)</f>
        <v/>
      </c>
      <c r="K754" s="13" t="str">
        <f>IF(OR('实盘净值数据(iFinD）'!$A754="",'实盘净值数据(iFinD）'!$B754="",'实盘净值数据(iFinD）'!$Z754="",'实盘净值数据(iFinD）'!$AA754=""),"",分期持仓明细!$AB$23*(SUMPRODUCT(分期持仓明细!$B$23:$Y$23,'实盘净值数据(iFinD）'!$B754:$Y754/'实盘净值数据(iFinD）'!$B$65:$Y$65)+SUMPRODUCT(分期持仓明细!$AC$23:$AD$23,'实盘净值数据(iFinD）'!$Z754:$AA754/'实盘净值数据(iFinD）'!$Z$65:$AA$65))*(1-实盘持仓初始配置!$Z$7)^(('实盘净值数据(iFinD）'!$A754-'实盘净值数据(iFinD）'!$A$8)/365))</f>
        <v/>
      </c>
      <c r="L754" s="16" t="str">
        <f t="shared" si="69"/>
        <v/>
      </c>
      <c r="M754" s="16" t="str">
        <f>IF(K754="","",K754/MAX(K$5:K754)-1)</f>
        <v/>
      </c>
      <c r="N754" s="13" t="str">
        <f>IF(OR('实盘净值数据(iFinD）'!$A754="",'实盘净值数据(iFinD）'!$B754="",'实盘净值数据(iFinD）'!$Z754="",'实盘净值数据(iFinD）'!$AA754=""),"",分期持仓明细!$AB$24*(SUMPRODUCT(分期持仓明细!$B$24:$Y$24,'实盘净值数据(iFinD）'!$B754:$Y754/'实盘净值数据(iFinD）'!$B$65:$Y$65)+SUMPRODUCT(分期持仓明细!$AC$24:$AD$24,'实盘净值数据(iFinD）'!$Z754:$AA754/'实盘净值数据(iFinD）'!$Z$65:$AA$65))*(1-实盘持仓初始配置!$Z$8)^(('实盘净值数据(iFinD）'!$A754-'实盘净值数据(iFinD）'!$A$5)/365))</f>
        <v/>
      </c>
      <c r="O754" s="16" t="str">
        <f t="shared" si="70"/>
        <v/>
      </c>
      <c r="P754" s="16" t="str">
        <f>IF(N754="","",N754/MAX(N$5:N754)-1)</f>
        <v/>
      </c>
      <c r="Q754" s="13" t="str">
        <f>IF(OR('实盘净值数据(iFinD）'!$A754="",'实盘净值数据(iFinD）'!$B754="",'实盘净值数据(iFinD）'!$Z754="",'实盘净值数据(iFinD）'!$AA754=""),"",分期持仓明细!$AB$25*(SUMPRODUCT(分期持仓明细!$B$25:$Y$25,'实盘净值数据(iFinD）'!$B754:$Y754/'实盘净值数据(iFinD）'!$B$65:$Y$65)+SUMPRODUCT(分期持仓明细!$AC$25:$AD$25,'实盘净值数据(iFinD）'!$Z754:$AA754/'实盘净值数据(iFinD）'!$Z$65:$AA$65))*(1-实盘持仓初始配置!$Z$9)^(('实盘净值数据(iFinD）'!$A754-'实盘净值数据(iFinD）'!$A$8)/365))</f>
        <v/>
      </c>
      <c r="R754" s="16" t="str">
        <f t="shared" si="71"/>
        <v/>
      </c>
      <c r="S754" s="16" t="str">
        <f>IF(Q754="","",Q754/MAX(Q$5:Q754)-1)</f>
        <v/>
      </c>
      <c r="T754" s="13">
        <f>IF(OR('实盘净值数据(iFinD）'!$A754="",'实盘净值数据(iFinD）'!$B754="",'实盘净值数据(iFinD）'!$Z754="",'实盘净值数据(iFinD）'!$AA754="",'实盘净值数据(iFinD）'!$AB754="",'实盘净值数据(iFinD）'!$AL754=""),"",(SUMPRODUCT(分期持仓明细!$B$26:$Y$26,'实盘净值数据(iFinD）'!$B754:$Y754/'实盘净值数据(iFinD）'!$B$69:$Y$69)+SUMPRODUCT(分期持仓明细!$AC$26:$AD$26,'实盘净值数据(iFinD）'!$Z754:$AA754/'实盘净值数据(iFinD）'!$Z$69:$AA$69)+SUMPRODUCT(分期持仓明细!$AE$26:$AO$26,'实盘净值数据(iFinD）'!$AB754:$AL754/'实盘净值数据(iFinD）'!$AB$69:$AL$69))*(1-实盘持仓初始配置!$Z$10)^(('实盘净值数据(iFinD）'!$A754-'实盘净值数据(iFinD）'!$A$69)/365))</f>
        <v/>
      </c>
      <c r="U754" s="16">
        <f>IF(OR(T753="",T754=""),"",T754/T753-1)</f>
        <v/>
      </c>
      <c r="V754" s="16">
        <f>IF(T754="","",T754/MAX(T$5:T754)-1)</f>
        <v/>
      </c>
    </row>
    <row r="755" spans="1:19">
      <c r="A755" s="15" t="str">
        <f>IF('实盘净值数据(iFinD）'!A755="","",'实盘净值数据(iFinD）'!A755)</f>
        <v/>
      </c>
      <c r="B755" s="13" t="str">
        <f>IF(OR('实盘净值数据(iFinD）'!$A755="",'实盘净值数据(iFinD）'!$B755=""),"",分期持仓明细!$AB$17*SUMPRODUCT(分期持仓明细!$B$17:$Y$17,'实盘净值数据(iFinD）'!$B755:$Y755/'实盘净值数据(iFinD）'!$B$20:$Y$20)*(1-实盘持仓初始配置!$Z$4)^(('实盘净值数据(iFinD）'!$A755-'实盘净值数据(iFinD）'!$A$6)/365))</f>
        <v/>
      </c>
      <c r="C755" s="16" t="str">
        <f t="shared" si="66"/>
        <v/>
      </c>
      <c r="D755" s="16" t="str">
        <f>IF(B755="","",B755/MAX(B$5:B755)-1)</f>
        <v/>
      </c>
      <c r="E755" s="13" t="str">
        <f>IF(OR('实盘净值数据(iFinD）'!$A755="",'实盘净值数据(iFinD）'!$B755=""),"",分期持仓明细!$AB$18*SUMPRODUCT(分期持仓明细!$B$18:$Y$18,'实盘净值数据(iFinD）'!$B755:$Y755/'实盘净值数据(iFinD）'!$B$20:$Y$20)*(1-实盘持仓初始配置!$Z$5)^(('实盘净值数据(iFinD）'!$A755-'实盘净值数据(iFinD）'!$A$5)/365))</f>
        <v/>
      </c>
      <c r="F755" s="16" t="str">
        <f t="shared" si="67"/>
        <v/>
      </c>
      <c r="G755" s="16" t="str">
        <f>IF(E755="","",E755/MAX(E$5:E755)-1)</f>
        <v/>
      </c>
      <c r="H755" s="13" t="str">
        <f>IF(OR('实盘净值数据(iFinD）'!$A755="",'实盘净值数据(iFinD）'!$B755=""),"",分期持仓明细!$AB$19*SUMPRODUCT(分期持仓明细!$B$19:$Y$19,'实盘净值数据(iFinD）'!$B755:$Y755/'实盘净值数据(iFinD）'!$B$20:$Y$20)*(1-实盘持仓初始配置!$Z$6)^(('实盘净值数据(iFinD）'!$A755-'实盘净值数据(iFinD）'!$A$7)/365))</f>
        <v/>
      </c>
      <c r="I755" s="16" t="str">
        <f t="shared" si="68"/>
        <v/>
      </c>
      <c r="J755" s="16" t="str">
        <f>IF(H755="","",H755/MAX(H$5:H755)-1)</f>
        <v/>
      </c>
      <c r="K755" s="13" t="str">
        <f>IF(OR('实盘净值数据(iFinD）'!$A755="",'实盘净值数据(iFinD）'!$B755="",'实盘净值数据(iFinD）'!$Z755="",'实盘净值数据(iFinD）'!$AA755=""),"",分期持仓明细!$AB$23*(SUMPRODUCT(分期持仓明细!$B$23:$Y$23,'实盘净值数据(iFinD）'!$B755:$Y755/'实盘净值数据(iFinD）'!$B$65:$Y$65)+SUMPRODUCT(分期持仓明细!$AC$23:$AD$23,'实盘净值数据(iFinD）'!$Z755:$AA755/'实盘净值数据(iFinD）'!$Z$65:$AA$65))*(1-实盘持仓初始配置!$Z$7)^(('实盘净值数据(iFinD）'!$A755-'实盘净值数据(iFinD）'!$A$8)/365))</f>
        <v/>
      </c>
      <c r="L755" s="16" t="str">
        <f t="shared" si="69"/>
        <v/>
      </c>
      <c r="M755" s="16" t="str">
        <f>IF(K755="","",K755/MAX(K$5:K755)-1)</f>
        <v/>
      </c>
      <c r="N755" s="13" t="str">
        <f>IF(OR('实盘净值数据(iFinD）'!$A755="",'实盘净值数据(iFinD）'!$B755="",'实盘净值数据(iFinD）'!$Z755="",'实盘净值数据(iFinD）'!$AA755=""),"",分期持仓明细!$AB$24*(SUMPRODUCT(分期持仓明细!$B$24:$Y$24,'实盘净值数据(iFinD）'!$B755:$Y755/'实盘净值数据(iFinD）'!$B$65:$Y$65)+SUMPRODUCT(分期持仓明细!$AC$24:$AD$24,'实盘净值数据(iFinD）'!$Z755:$AA755/'实盘净值数据(iFinD）'!$Z$65:$AA$65))*(1-实盘持仓初始配置!$Z$8)^(('实盘净值数据(iFinD）'!$A755-'实盘净值数据(iFinD）'!$A$5)/365))</f>
        <v/>
      </c>
      <c r="O755" s="16" t="str">
        <f t="shared" si="70"/>
        <v/>
      </c>
      <c r="P755" s="16" t="str">
        <f>IF(N755="","",N755/MAX(N$5:N755)-1)</f>
        <v/>
      </c>
      <c r="Q755" s="13" t="str">
        <f>IF(OR('实盘净值数据(iFinD）'!$A755="",'实盘净值数据(iFinD）'!$B755="",'实盘净值数据(iFinD）'!$Z755="",'实盘净值数据(iFinD）'!$AA755=""),"",分期持仓明细!$AB$25*(SUMPRODUCT(分期持仓明细!$B$25:$Y$25,'实盘净值数据(iFinD）'!$B755:$Y755/'实盘净值数据(iFinD）'!$B$65:$Y$65)+SUMPRODUCT(分期持仓明细!$AC$25:$AD$25,'实盘净值数据(iFinD）'!$Z755:$AA755/'实盘净值数据(iFinD）'!$Z$65:$AA$65))*(1-实盘持仓初始配置!$Z$9)^(('实盘净值数据(iFinD）'!$A755-'实盘净值数据(iFinD）'!$A$8)/365))</f>
        <v/>
      </c>
      <c r="R755" s="16" t="str">
        <f t="shared" si="71"/>
        <v/>
      </c>
      <c r="S755" s="16" t="str">
        <f>IF(Q755="","",Q755/MAX(Q$5:Q755)-1)</f>
        <v/>
      </c>
      <c r="T755" s="13">
        <f>IF(OR('实盘净值数据(iFinD）'!$A755="",'实盘净值数据(iFinD）'!$B755="",'实盘净值数据(iFinD）'!$Z755="",'实盘净值数据(iFinD）'!$AA755="",'实盘净值数据(iFinD）'!$AB755="",'实盘净值数据(iFinD）'!$AL755=""),"",(SUMPRODUCT(分期持仓明细!$B$26:$Y$26,'实盘净值数据(iFinD）'!$B755:$Y755/'实盘净值数据(iFinD）'!$B$69:$Y$69)+SUMPRODUCT(分期持仓明细!$AC$26:$AD$26,'实盘净值数据(iFinD）'!$Z755:$AA755/'实盘净值数据(iFinD）'!$Z$69:$AA$69)+SUMPRODUCT(分期持仓明细!$AE$26:$AO$26,'实盘净值数据(iFinD）'!$AB755:$AL755/'实盘净值数据(iFinD）'!$AB$69:$AL$69))*(1-实盘持仓初始配置!$Z$10)^(('实盘净值数据(iFinD）'!$A755-'实盘净值数据(iFinD）'!$A$69)/365))</f>
        <v/>
      </c>
      <c r="U755" s="16">
        <f>IF(OR(T754="",T755=""),"",T755/T754-1)</f>
        <v/>
      </c>
      <c r="V755" s="16">
        <f>IF(T755="","",T755/MAX(T$5:T755)-1)</f>
        <v/>
      </c>
    </row>
    <row r="756" spans="1:19">
      <c r="A756" s="15" t="str">
        <f>IF('实盘净值数据(iFinD）'!A756="","",'实盘净值数据(iFinD）'!A756)</f>
        <v/>
      </c>
      <c r="B756" s="13" t="str">
        <f>IF(OR('实盘净值数据(iFinD）'!$A756="",'实盘净值数据(iFinD）'!$B756=""),"",分期持仓明细!$AB$17*SUMPRODUCT(分期持仓明细!$B$17:$Y$17,'实盘净值数据(iFinD）'!$B756:$Y756/'实盘净值数据(iFinD）'!$B$20:$Y$20)*(1-实盘持仓初始配置!$Z$4)^(('实盘净值数据(iFinD）'!$A756-'实盘净值数据(iFinD）'!$A$6)/365))</f>
        <v/>
      </c>
      <c r="C756" s="16" t="str">
        <f t="shared" si="66"/>
        <v/>
      </c>
      <c r="D756" s="16" t="str">
        <f>IF(B756="","",B756/MAX(B$5:B756)-1)</f>
        <v/>
      </c>
      <c r="E756" s="13" t="str">
        <f>IF(OR('实盘净值数据(iFinD）'!$A756="",'实盘净值数据(iFinD）'!$B756=""),"",分期持仓明细!$AB$18*SUMPRODUCT(分期持仓明细!$B$18:$Y$18,'实盘净值数据(iFinD）'!$B756:$Y756/'实盘净值数据(iFinD）'!$B$20:$Y$20)*(1-实盘持仓初始配置!$Z$5)^(('实盘净值数据(iFinD）'!$A756-'实盘净值数据(iFinD）'!$A$5)/365))</f>
        <v/>
      </c>
      <c r="F756" s="16" t="str">
        <f t="shared" si="67"/>
        <v/>
      </c>
      <c r="G756" s="16" t="str">
        <f>IF(E756="","",E756/MAX(E$5:E756)-1)</f>
        <v/>
      </c>
      <c r="H756" s="13" t="str">
        <f>IF(OR('实盘净值数据(iFinD）'!$A756="",'实盘净值数据(iFinD）'!$B756=""),"",分期持仓明细!$AB$19*SUMPRODUCT(分期持仓明细!$B$19:$Y$19,'实盘净值数据(iFinD）'!$B756:$Y756/'实盘净值数据(iFinD）'!$B$20:$Y$20)*(1-实盘持仓初始配置!$Z$6)^(('实盘净值数据(iFinD）'!$A756-'实盘净值数据(iFinD）'!$A$7)/365))</f>
        <v/>
      </c>
      <c r="I756" s="16" t="str">
        <f t="shared" si="68"/>
        <v/>
      </c>
      <c r="J756" s="16" t="str">
        <f>IF(H756="","",H756/MAX(H$5:H756)-1)</f>
        <v/>
      </c>
      <c r="K756" s="13" t="str">
        <f>IF(OR('实盘净值数据(iFinD）'!$A756="",'实盘净值数据(iFinD）'!$B756="",'实盘净值数据(iFinD）'!$Z756="",'实盘净值数据(iFinD）'!$AA756=""),"",分期持仓明细!$AB$23*(SUMPRODUCT(分期持仓明细!$B$23:$Y$23,'实盘净值数据(iFinD）'!$B756:$Y756/'实盘净值数据(iFinD）'!$B$65:$Y$65)+SUMPRODUCT(分期持仓明细!$AC$23:$AD$23,'实盘净值数据(iFinD）'!$Z756:$AA756/'实盘净值数据(iFinD）'!$Z$65:$AA$65))*(1-实盘持仓初始配置!$Z$7)^(('实盘净值数据(iFinD）'!$A756-'实盘净值数据(iFinD）'!$A$8)/365))</f>
        <v/>
      </c>
      <c r="L756" s="16" t="str">
        <f t="shared" si="69"/>
        <v/>
      </c>
      <c r="M756" s="16" t="str">
        <f>IF(K756="","",K756/MAX(K$5:K756)-1)</f>
        <v/>
      </c>
      <c r="N756" s="13" t="str">
        <f>IF(OR('实盘净值数据(iFinD）'!$A756="",'实盘净值数据(iFinD）'!$B756="",'实盘净值数据(iFinD）'!$Z756="",'实盘净值数据(iFinD）'!$AA756=""),"",分期持仓明细!$AB$24*(SUMPRODUCT(分期持仓明细!$B$24:$Y$24,'实盘净值数据(iFinD）'!$B756:$Y756/'实盘净值数据(iFinD）'!$B$65:$Y$65)+SUMPRODUCT(分期持仓明细!$AC$24:$AD$24,'实盘净值数据(iFinD）'!$Z756:$AA756/'实盘净值数据(iFinD）'!$Z$65:$AA$65))*(1-实盘持仓初始配置!$Z$8)^(('实盘净值数据(iFinD）'!$A756-'实盘净值数据(iFinD）'!$A$5)/365))</f>
        <v/>
      </c>
      <c r="O756" s="16" t="str">
        <f t="shared" si="70"/>
        <v/>
      </c>
      <c r="P756" s="16" t="str">
        <f>IF(N756="","",N756/MAX(N$5:N756)-1)</f>
        <v/>
      </c>
      <c r="Q756" s="13" t="str">
        <f>IF(OR('实盘净值数据(iFinD）'!$A756="",'实盘净值数据(iFinD）'!$B756="",'实盘净值数据(iFinD）'!$Z756="",'实盘净值数据(iFinD）'!$AA756=""),"",分期持仓明细!$AB$25*(SUMPRODUCT(分期持仓明细!$B$25:$Y$25,'实盘净值数据(iFinD）'!$B756:$Y756/'实盘净值数据(iFinD）'!$B$65:$Y$65)+SUMPRODUCT(分期持仓明细!$AC$25:$AD$25,'实盘净值数据(iFinD）'!$Z756:$AA756/'实盘净值数据(iFinD）'!$Z$65:$AA$65))*(1-实盘持仓初始配置!$Z$9)^(('实盘净值数据(iFinD）'!$A756-'实盘净值数据(iFinD）'!$A$8)/365))</f>
        <v/>
      </c>
      <c r="R756" s="16" t="str">
        <f t="shared" si="71"/>
        <v/>
      </c>
      <c r="S756" s="16" t="str">
        <f>IF(Q756="","",Q756/MAX(Q$5:Q756)-1)</f>
        <v/>
      </c>
      <c r="T756" s="13">
        <f>IF(OR('实盘净值数据(iFinD）'!$A756="",'实盘净值数据(iFinD）'!$B756="",'实盘净值数据(iFinD）'!$Z756="",'实盘净值数据(iFinD）'!$AA756="",'实盘净值数据(iFinD）'!$AB756="",'实盘净值数据(iFinD）'!$AL756=""),"",(SUMPRODUCT(分期持仓明细!$B$26:$Y$26,'实盘净值数据(iFinD）'!$B756:$Y756/'实盘净值数据(iFinD）'!$B$69:$Y$69)+SUMPRODUCT(分期持仓明细!$AC$26:$AD$26,'实盘净值数据(iFinD）'!$Z756:$AA756/'实盘净值数据(iFinD）'!$Z$69:$AA$69)+SUMPRODUCT(分期持仓明细!$AE$26:$AO$26,'实盘净值数据(iFinD）'!$AB756:$AL756/'实盘净值数据(iFinD）'!$AB$69:$AL$69))*(1-实盘持仓初始配置!$Z$10)^(('实盘净值数据(iFinD）'!$A756-'实盘净值数据(iFinD）'!$A$69)/365))</f>
        <v/>
      </c>
      <c r="U756" s="16">
        <f>IF(OR(T755="",T756=""),"",T756/T755-1)</f>
        <v/>
      </c>
      <c r="V756" s="16">
        <f>IF(T756="","",T756/MAX(T$5:T756)-1)</f>
        <v/>
      </c>
    </row>
    <row r="757" spans="1:19">
      <c r="A757" s="15" t="str">
        <f>IF('实盘净值数据(iFinD）'!A757="","",'实盘净值数据(iFinD）'!A757)</f>
        <v/>
      </c>
      <c r="B757" s="13" t="str">
        <f>IF(OR('实盘净值数据(iFinD）'!$A757="",'实盘净值数据(iFinD）'!$B757=""),"",分期持仓明细!$AB$17*SUMPRODUCT(分期持仓明细!$B$17:$Y$17,'实盘净值数据(iFinD）'!$B757:$Y757/'实盘净值数据(iFinD）'!$B$20:$Y$20)*(1-实盘持仓初始配置!$Z$4)^(('实盘净值数据(iFinD）'!$A757-'实盘净值数据(iFinD）'!$A$6)/365))</f>
        <v/>
      </c>
      <c r="C757" s="16" t="str">
        <f t="shared" si="66"/>
        <v/>
      </c>
      <c r="D757" s="16" t="str">
        <f>IF(B757="","",B757/MAX(B$5:B757)-1)</f>
        <v/>
      </c>
      <c r="E757" s="13" t="str">
        <f>IF(OR('实盘净值数据(iFinD）'!$A757="",'实盘净值数据(iFinD）'!$B757=""),"",分期持仓明细!$AB$18*SUMPRODUCT(分期持仓明细!$B$18:$Y$18,'实盘净值数据(iFinD）'!$B757:$Y757/'实盘净值数据(iFinD）'!$B$20:$Y$20)*(1-实盘持仓初始配置!$Z$5)^(('实盘净值数据(iFinD）'!$A757-'实盘净值数据(iFinD）'!$A$5)/365))</f>
        <v/>
      </c>
      <c r="F757" s="16" t="str">
        <f t="shared" si="67"/>
        <v/>
      </c>
      <c r="G757" s="16" t="str">
        <f>IF(E757="","",E757/MAX(E$5:E757)-1)</f>
        <v/>
      </c>
      <c r="H757" s="13" t="str">
        <f>IF(OR('实盘净值数据(iFinD）'!$A757="",'实盘净值数据(iFinD）'!$B757=""),"",分期持仓明细!$AB$19*SUMPRODUCT(分期持仓明细!$B$19:$Y$19,'实盘净值数据(iFinD）'!$B757:$Y757/'实盘净值数据(iFinD）'!$B$20:$Y$20)*(1-实盘持仓初始配置!$Z$6)^(('实盘净值数据(iFinD）'!$A757-'实盘净值数据(iFinD）'!$A$7)/365))</f>
        <v/>
      </c>
      <c r="I757" s="16" t="str">
        <f t="shared" si="68"/>
        <v/>
      </c>
      <c r="J757" s="16" t="str">
        <f>IF(H757="","",H757/MAX(H$5:H757)-1)</f>
        <v/>
      </c>
      <c r="K757" s="13" t="str">
        <f>IF(OR('实盘净值数据(iFinD）'!$A757="",'实盘净值数据(iFinD）'!$B757="",'实盘净值数据(iFinD）'!$Z757="",'实盘净值数据(iFinD）'!$AA757=""),"",分期持仓明细!$AB$23*(SUMPRODUCT(分期持仓明细!$B$23:$Y$23,'实盘净值数据(iFinD）'!$B757:$Y757/'实盘净值数据(iFinD）'!$B$65:$Y$65)+SUMPRODUCT(分期持仓明细!$AC$23:$AD$23,'实盘净值数据(iFinD）'!$Z757:$AA757/'实盘净值数据(iFinD）'!$Z$65:$AA$65))*(1-实盘持仓初始配置!$Z$7)^(('实盘净值数据(iFinD）'!$A757-'实盘净值数据(iFinD）'!$A$8)/365))</f>
        <v/>
      </c>
      <c r="L757" s="16" t="str">
        <f t="shared" si="69"/>
        <v/>
      </c>
      <c r="M757" s="16" t="str">
        <f>IF(K757="","",K757/MAX(K$5:K757)-1)</f>
        <v/>
      </c>
      <c r="N757" s="13" t="str">
        <f>IF(OR('实盘净值数据(iFinD）'!$A757="",'实盘净值数据(iFinD）'!$B757="",'实盘净值数据(iFinD）'!$Z757="",'实盘净值数据(iFinD）'!$AA757=""),"",分期持仓明细!$AB$24*(SUMPRODUCT(分期持仓明细!$B$24:$Y$24,'实盘净值数据(iFinD）'!$B757:$Y757/'实盘净值数据(iFinD）'!$B$65:$Y$65)+SUMPRODUCT(分期持仓明细!$AC$24:$AD$24,'实盘净值数据(iFinD）'!$Z757:$AA757/'实盘净值数据(iFinD）'!$Z$65:$AA$65))*(1-实盘持仓初始配置!$Z$8)^(('实盘净值数据(iFinD）'!$A757-'实盘净值数据(iFinD）'!$A$5)/365))</f>
        <v/>
      </c>
      <c r="O757" s="16" t="str">
        <f t="shared" si="70"/>
        <v/>
      </c>
      <c r="P757" s="16" t="str">
        <f>IF(N757="","",N757/MAX(N$5:N757)-1)</f>
        <v/>
      </c>
      <c r="Q757" s="13" t="str">
        <f>IF(OR('实盘净值数据(iFinD）'!$A757="",'实盘净值数据(iFinD）'!$B757="",'实盘净值数据(iFinD）'!$Z757="",'实盘净值数据(iFinD）'!$AA757=""),"",分期持仓明细!$AB$25*(SUMPRODUCT(分期持仓明细!$B$25:$Y$25,'实盘净值数据(iFinD）'!$B757:$Y757/'实盘净值数据(iFinD）'!$B$65:$Y$65)+SUMPRODUCT(分期持仓明细!$AC$25:$AD$25,'实盘净值数据(iFinD）'!$Z757:$AA757/'实盘净值数据(iFinD）'!$Z$65:$AA$65))*(1-实盘持仓初始配置!$Z$9)^(('实盘净值数据(iFinD）'!$A757-'实盘净值数据(iFinD）'!$A$8)/365))</f>
        <v/>
      </c>
      <c r="R757" s="16" t="str">
        <f t="shared" si="71"/>
        <v/>
      </c>
      <c r="S757" s="16" t="str">
        <f>IF(Q757="","",Q757/MAX(Q$5:Q757)-1)</f>
        <v/>
      </c>
      <c r="T757" s="13">
        <f>IF(OR('实盘净值数据(iFinD）'!$A757="",'实盘净值数据(iFinD）'!$B757="",'实盘净值数据(iFinD）'!$Z757="",'实盘净值数据(iFinD）'!$AA757="",'实盘净值数据(iFinD）'!$AB757="",'实盘净值数据(iFinD）'!$AL757=""),"",(SUMPRODUCT(分期持仓明细!$B$26:$Y$26,'实盘净值数据(iFinD）'!$B757:$Y757/'实盘净值数据(iFinD）'!$B$69:$Y$69)+SUMPRODUCT(分期持仓明细!$AC$26:$AD$26,'实盘净值数据(iFinD）'!$Z757:$AA757/'实盘净值数据(iFinD）'!$Z$69:$AA$69)+SUMPRODUCT(分期持仓明细!$AE$26:$AO$26,'实盘净值数据(iFinD）'!$AB757:$AL757/'实盘净值数据(iFinD）'!$AB$69:$AL$69))*(1-实盘持仓初始配置!$Z$10)^(('实盘净值数据(iFinD）'!$A757-'实盘净值数据(iFinD）'!$A$69)/365))</f>
        <v/>
      </c>
      <c r="U757" s="16">
        <f>IF(OR(T756="",T757=""),"",T757/T756-1)</f>
        <v/>
      </c>
      <c r="V757" s="16">
        <f>IF(T757="","",T757/MAX(T$5:T757)-1)</f>
        <v/>
      </c>
    </row>
    <row r="758" spans="1:19">
      <c r="A758" s="15" t="str">
        <f>IF('实盘净值数据(iFinD）'!A758="","",'实盘净值数据(iFinD）'!A758)</f>
        <v/>
      </c>
      <c r="B758" s="13" t="str">
        <f>IF(OR('实盘净值数据(iFinD）'!$A758="",'实盘净值数据(iFinD）'!$B758=""),"",分期持仓明细!$AB$17*SUMPRODUCT(分期持仓明细!$B$17:$Y$17,'实盘净值数据(iFinD）'!$B758:$Y758/'实盘净值数据(iFinD）'!$B$20:$Y$20)*(1-实盘持仓初始配置!$Z$4)^(('实盘净值数据(iFinD）'!$A758-'实盘净值数据(iFinD）'!$A$6)/365))</f>
        <v/>
      </c>
      <c r="C758" s="16" t="str">
        <f t="shared" si="66"/>
        <v/>
      </c>
      <c r="D758" s="16" t="str">
        <f>IF(B758="","",B758/MAX(B$5:B758)-1)</f>
        <v/>
      </c>
      <c r="E758" s="13" t="str">
        <f>IF(OR('实盘净值数据(iFinD）'!$A758="",'实盘净值数据(iFinD）'!$B758=""),"",分期持仓明细!$AB$18*SUMPRODUCT(分期持仓明细!$B$18:$Y$18,'实盘净值数据(iFinD）'!$B758:$Y758/'实盘净值数据(iFinD）'!$B$20:$Y$20)*(1-实盘持仓初始配置!$Z$5)^(('实盘净值数据(iFinD）'!$A758-'实盘净值数据(iFinD）'!$A$5)/365))</f>
        <v/>
      </c>
      <c r="F758" s="16" t="str">
        <f t="shared" si="67"/>
        <v/>
      </c>
      <c r="G758" s="16" t="str">
        <f>IF(E758="","",E758/MAX(E$5:E758)-1)</f>
        <v/>
      </c>
      <c r="H758" s="13" t="str">
        <f>IF(OR('实盘净值数据(iFinD）'!$A758="",'实盘净值数据(iFinD）'!$B758=""),"",分期持仓明细!$AB$19*SUMPRODUCT(分期持仓明细!$B$19:$Y$19,'实盘净值数据(iFinD）'!$B758:$Y758/'实盘净值数据(iFinD）'!$B$20:$Y$20)*(1-实盘持仓初始配置!$Z$6)^(('实盘净值数据(iFinD）'!$A758-'实盘净值数据(iFinD）'!$A$7)/365))</f>
        <v/>
      </c>
      <c r="I758" s="16" t="str">
        <f t="shared" si="68"/>
        <v/>
      </c>
      <c r="J758" s="16" t="str">
        <f>IF(H758="","",H758/MAX(H$5:H758)-1)</f>
        <v/>
      </c>
      <c r="K758" s="13" t="str">
        <f>IF(OR('实盘净值数据(iFinD）'!$A758="",'实盘净值数据(iFinD）'!$B758="",'实盘净值数据(iFinD）'!$Z758="",'实盘净值数据(iFinD）'!$AA758=""),"",分期持仓明细!$AB$23*(SUMPRODUCT(分期持仓明细!$B$23:$Y$23,'实盘净值数据(iFinD）'!$B758:$Y758/'实盘净值数据(iFinD）'!$B$65:$Y$65)+SUMPRODUCT(分期持仓明细!$AC$23:$AD$23,'实盘净值数据(iFinD）'!$Z758:$AA758/'实盘净值数据(iFinD）'!$Z$65:$AA$65))*(1-实盘持仓初始配置!$Z$7)^(('实盘净值数据(iFinD）'!$A758-'实盘净值数据(iFinD）'!$A$8)/365))</f>
        <v/>
      </c>
      <c r="L758" s="16" t="str">
        <f t="shared" si="69"/>
        <v/>
      </c>
      <c r="M758" s="16" t="str">
        <f>IF(K758="","",K758/MAX(K$5:K758)-1)</f>
        <v/>
      </c>
      <c r="N758" s="13" t="str">
        <f>IF(OR('实盘净值数据(iFinD）'!$A758="",'实盘净值数据(iFinD）'!$B758="",'实盘净值数据(iFinD）'!$Z758="",'实盘净值数据(iFinD）'!$AA758=""),"",分期持仓明细!$AB$24*(SUMPRODUCT(分期持仓明细!$B$24:$Y$24,'实盘净值数据(iFinD）'!$B758:$Y758/'实盘净值数据(iFinD）'!$B$65:$Y$65)+SUMPRODUCT(分期持仓明细!$AC$24:$AD$24,'实盘净值数据(iFinD）'!$Z758:$AA758/'实盘净值数据(iFinD）'!$Z$65:$AA$65))*(1-实盘持仓初始配置!$Z$8)^(('实盘净值数据(iFinD）'!$A758-'实盘净值数据(iFinD）'!$A$5)/365))</f>
        <v/>
      </c>
      <c r="O758" s="16" t="str">
        <f t="shared" si="70"/>
        <v/>
      </c>
      <c r="P758" s="16" t="str">
        <f>IF(N758="","",N758/MAX(N$5:N758)-1)</f>
        <v/>
      </c>
      <c r="Q758" s="13" t="str">
        <f>IF(OR('实盘净值数据(iFinD）'!$A758="",'实盘净值数据(iFinD）'!$B758="",'实盘净值数据(iFinD）'!$Z758="",'实盘净值数据(iFinD）'!$AA758=""),"",分期持仓明细!$AB$25*(SUMPRODUCT(分期持仓明细!$B$25:$Y$25,'实盘净值数据(iFinD）'!$B758:$Y758/'实盘净值数据(iFinD）'!$B$65:$Y$65)+SUMPRODUCT(分期持仓明细!$AC$25:$AD$25,'实盘净值数据(iFinD）'!$Z758:$AA758/'实盘净值数据(iFinD）'!$Z$65:$AA$65))*(1-实盘持仓初始配置!$Z$9)^(('实盘净值数据(iFinD）'!$A758-'实盘净值数据(iFinD）'!$A$8)/365))</f>
        <v/>
      </c>
      <c r="R758" s="16" t="str">
        <f t="shared" si="71"/>
        <v/>
      </c>
      <c r="S758" s="16" t="str">
        <f>IF(Q758="","",Q758/MAX(Q$5:Q758)-1)</f>
        <v/>
      </c>
      <c r="T758" s="13">
        <f>IF(OR('实盘净值数据(iFinD）'!$A758="",'实盘净值数据(iFinD）'!$B758="",'实盘净值数据(iFinD）'!$Z758="",'实盘净值数据(iFinD）'!$AA758="",'实盘净值数据(iFinD）'!$AB758="",'实盘净值数据(iFinD）'!$AL758=""),"",(SUMPRODUCT(分期持仓明细!$B$26:$Y$26,'实盘净值数据(iFinD）'!$B758:$Y758/'实盘净值数据(iFinD）'!$B$69:$Y$69)+SUMPRODUCT(分期持仓明细!$AC$26:$AD$26,'实盘净值数据(iFinD）'!$Z758:$AA758/'实盘净值数据(iFinD）'!$Z$69:$AA$69)+SUMPRODUCT(分期持仓明细!$AE$26:$AO$26,'实盘净值数据(iFinD）'!$AB758:$AL758/'实盘净值数据(iFinD）'!$AB$69:$AL$69))*(1-实盘持仓初始配置!$Z$10)^(('实盘净值数据(iFinD）'!$A758-'实盘净值数据(iFinD）'!$A$69)/365))</f>
        <v/>
      </c>
      <c r="U758" s="16">
        <f>IF(OR(T757="",T758=""),"",T758/T757-1)</f>
        <v/>
      </c>
      <c r="V758" s="16">
        <f>IF(T758="","",T758/MAX(T$5:T758)-1)</f>
        <v/>
      </c>
    </row>
    <row r="759" spans="1:19">
      <c r="A759" s="15" t="str">
        <f>IF('实盘净值数据(iFinD）'!A759="","",'实盘净值数据(iFinD）'!A759)</f>
        <v/>
      </c>
      <c r="B759" s="13" t="str">
        <f>IF(OR('实盘净值数据(iFinD）'!$A759="",'实盘净值数据(iFinD）'!$B759=""),"",分期持仓明细!$AB$17*SUMPRODUCT(分期持仓明细!$B$17:$Y$17,'实盘净值数据(iFinD）'!$B759:$Y759/'实盘净值数据(iFinD）'!$B$20:$Y$20)*(1-实盘持仓初始配置!$Z$4)^(('实盘净值数据(iFinD）'!$A759-'实盘净值数据(iFinD）'!$A$6)/365))</f>
        <v/>
      </c>
      <c r="C759" s="16" t="str">
        <f t="shared" si="66"/>
        <v/>
      </c>
      <c r="D759" s="16" t="str">
        <f>IF(B759="","",B759/MAX(B$5:B759)-1)</f>
        <v/>
      </c>
      <c r="E759" s="13" t="str">
        <f>IF(OR('实盘净值数据(iFinD）'!$A759="",'实盘净值数据(iFinD）'!$B759=""),"",分期持仓明细!$AB$18*SUMPRODUCT(分期持仓明细!$B$18:$Y$18,'实盘净值数据(iFinD）'!$B759:$Y759/'实盘净值数据(iFinD）'!$B$20:$Y$20)*(1-实盘持仓初始配置!$Z$5)^(('实盘净值数据(iFinD）'!$A759-'实盘净值数据(iFinD）'!$A$5)/365))</f>
        <v/>
      </c>
      <c r="F759" s="16" t="str">
        <f t="shared" si="67"/>
        <v/>
      </c>
      <c r="G759" s="16" t="str">
        <f>IF(E759="","",E759/MAX(E$5:E759)-1)</f>
        <v/>
      </c>
      <c r="H759" s="13" t="str">
        <f>IF(OR('实盘净值数据(iFinD）'!$A759="",'实盘净值数据(iFinD）'!$B759=""),"",分期持仓明细!$AB$19*SUMPRODUCT(分期持仓明细!$B$19:$Y$19,'实盘净值数据(iFinD）'!$B759:$Y759/'实盘净值数据(iFinD）'!$B$20:$Y$20)*(1-实盘持仓初始配置!$Z$6)^(('实盘净值数据(iFinD）'!$A759-'实盘净值数据(iFinD）'!$A$7)/365))</f>
        <v/>
      </c>
      <c r="I759" s="16" t="str">
        <f t="shared" si="68"/>
        <v/>
      </c>
      <c r="J759" s="16" t="str">
        <f>IF(H759="","",H759/MAX(H$5:H759)-1)</f>
        <v/>
      </c>
      <c r="K759" s="13" t="str">
        <f>IF(OR('实盘净值数据(iFinD）'!$A759="",'实盘净值数据(iFinD）'!$B759="",'实盘净值数据(iFinD）'!$Z759="",'实盘净值数据(iFinD）'!$AA759=""),"",分期持仓明细!$AB$23*(SUMPRODUCT(分期持仓明细!$B$23:$Y$23,'实盘净值数据(iFinD）'!$B759:$Y759/'实盘净值数据(iFinD）'!$B$65:$Y$65)+SUMPRODUCT(分期持仓明细!$AC$23:$AD$23,'实盘净值数据(iFinD）'!$Z759:$AA759/'实盘净值数据(iFinD）'!$Z$65:$AA$65))*(1-实盘持仓初始配置!$Z$7)^(('实盘净值数据(iFinD）'!$A759-'实盘净值数据(iFinD）'!$A$8)/365))</f>
        <v/>
      </c>
      <c r="L759" s="16" t="str">
        <f t="shared" si="69"/>
        <v/>
      </c>
      <c r="M759" s="16" t="str">
        <f>IF(K759="","",K759/MAX(K$5:K759)-1)</f>
        <v/>
      </c>
      <c r="N759" s="13" t="str">
        <f>IF(OR('实盘净值数据(iFinD）'!$A759="",'实盘净值数据(iFinD）'!$B759="",'实盘净值数据(iFinD）'!$Z759="",'实盘净值数据(iFinD）'!$AA759=""),"",分期持仓明细!$AB$24*(SUMPRODUCT(分期持仓明细!$B$24:$Y$24,'实盘净值数据(iFinD）'!$B759:$Y759/'实盘净值数据(iFinD）'!$B$65:$Y$65)+SUMPRODUCT(分期持仓明细!$AC$24:$AD$24,'实盘净值数据(iFinD）'!$Z759:$AA759/'实盘净值数据(iFinD）'!$Z$65:$AA$65))*(1-实盘持仓初始配置!$Z$8)^(('实盘净值数据(iFinD）'!$A759-'实盘净值数据(iFinD）'!$A$5)/365))</f>
        <v/>
      </c>
      <c r="O759" s="16" t="str">
        <f t="shared" si="70"/>
        <v/>
      </c>
      <c r="P759" s="16" t="str">
        <f>IF(N759="","",N759/MAX(N$5:N759)-1)</f>
        <v/>
      </c>
      <c r="Q759" s="13" t="str">
        <f>IF(OR('实盘净值数据(iFinD）'!$A759="",'实盘净值数据(iFinD）'!$B759="",'实盘净值数据(iFinD）'!$Z759="",'实盘净值数据(iFinD）'!$AA759=""),"",分期持仓明细!$AB$25*(SUMPRODUCT(分期持仓明细!$B$25:$Y$25,'实盘净值数据(iFinD）'!$B759:$Y759/'实盘净值数据(iFinD）'!$B$65:$Y$65)+SUMPRODUCT(分期持仓明细!$AC$25:$AD$25,'实盘净值数据(iFinD）'!$Z759:$AA759/'实盘净值数据(iFinD）'!$Z$65:$AA$65))*(1-实盘持仓初始配置!$Z$9)^(('实盘净值数据(iFinD）'!$A759-'实盘净值数据(iFinD）'!$A$8)/365))</f>
        <v/>
      </c>
      <c r="R759" s="16" t="str">
        <f t="shared" si="71"/>
        <v/>
      </c>
      <c r="S759" s="16" t="str">
        <f>IF(Q759="","",Q759/MAX(Q$5:Q759)-1)</f>
        <v/>
      </c>
      <c r="T759" s="13">
        <f>IF(OR('实盘净值数据(iFinD）'!$A759="",'实盘净值数据(iFinD）'!$B759="",'实盘净值数据(iFinD）'!$Z759="",'实盘净值数据(iFinD）'!$AA759="",'实盘净值数据(iFinD）'!$AB759="",'实盘净值数据(iFinD）'!$AL759=""),"",(SUMPRODUCT(分期持仓明细!$B$26:$Y$26,'实盘净值数据(iFinD）'!$B759:$Y759/'实盘净值数据(iFinD）'!$B$69:$Y$69)+SUMPRODUCT(分期持仓明细!$AC$26:$AD$26,'实盘净值数据(iFinD）'!$Z759:$AA759/'实盘净值数据(iFinD）'!$Z$69:$AA$69)+SUMPRODUCT(分期持仓明细!$AE$26:$AO$26,'实盘净值数据(iFinD）'!$AB759:$AL759/'实盘净值数据(iFinD）'!$AB$69:$AL$69))*(1-实盘持仓初始配置!$Z$10)^(('实盘净值数据(iFinD）'!$A759-'实盘净值数据(iFinD）'!$A$69)/365))</f>
        <v/>
      </c>
      <c r="U759" s="16">
        <f>IF(OR(T758="",T759=""),"",T759/T758-1)</f>
        <v/>
      </c>
      <c r="V759" s="16">
        <f>IF(T759="","",T759/MAX(T$5:T759)-1)</f>
        <v/>
      </c>
    </row>
    <row r="760" spans="1:19">
      <c r="A760" s="15" t="str">
        <f>IF('实盘净值数据(iFinD）'!A760="","",'实盘净值数据(iFinD）'!A760)</f>
        <v/>
      </c>
      <c r="B760" s="13" t="str">
        <f>IF(OR('实盘净值数据(iFinD）'!$A760="",'实盘净值数据(iFinD）'!$B760=""),"",分期持仓明细!$AB$17*SUMPRODUCT(分期持仓明细!$B$17:$Y$17,'实盘净值数据(iFinD）'!$B760:$Y760/'实盘净值数据(iFinD）'!$B$20:$Y$20)*(1-实盘持仓初始配置!$Z$4)^(('实盘净值数据(iFinD）'!$A760-'实盘净值数据(iFinD）'!$A$6)/365))</f>
        <v/>
      </c>
      <c r="C760" s="16" t="str">
        <f t="shared" si="66"/>
        <v/>
      </c>
      <c r="D760" s="16" t="str">
        <f>IF(B760="","",B760/MAX(B$5:B760)-1)</f>
        <v/>
      </c>
      <c r="E760" s="13" t="str">
        <f>IF(OR('实盘净值数据(iFinD）'!$A760="",'实盘净值数据(iFinD）'!$B760=""),"",分期持仓明细!$AB$18*SUMPRODUCT(分期持仓明细!$B$18:$Y$18,'实盘净值数据(iFinD）'!$B760:$Y760/'实盘净值数据(iFinD）'!$B$20:$Y$20)*(1-实盘持仓初始配置!$Z$5)^(('实盘净值数据(iFinD）'!$A760-'实盘净值数据(iFinD）'!$A$5)/365))</f>
        <v/>
      </c>
      <c r="F760" s="16" t="str">
        <f t="shared" si="67"/>
        <v/>
      </c>
      <c r="G760" s="16" t="str">
        <f>IF(E760="","",E760/MAX(E$5:E760)-1)</f>
        <v/>
      </c>
      <c r="H760" s="13" t="str">
        <f>IF(OR('实盘净值数据(iFinD）'!$A760="",'实盘净值数据(iFinD）'!$B760=""),"",分期持仓明细!$AB$19*SUMPRODUCT(分期持仓明细!$B$19:$Y$19,'实盘净值数据(iFinD）'!$B760:$Y760/'实盘净值数据(iFinD）'!$B$20:$Y$20)*(1-实盘持仓初始配置!$Z$6)^(('实盘净值数据(iFinD）'!$A760-'实盘净值数据(iFinD）'!$A$7)/365))</f>
        <v/>
      </c>
      <c r="I760" s="16" t="str">
        <f t="shared" si="68"/>
        <v/>
      </c>
      <c r="J760" s="16" t="str">
        <f>IF(H760="","",H760/MAX(H$5:H760)-1)</f>
        <v/>
      </c>
      <c r="K760" s="13" t="str">
        <f>IF(OR('实盘净值数据(iFinD）'!$A760="",'实盘净值数据(iFinD）'!$B760="",'实盘净值数据(iFinD）'!$Z760="",'实盘净值数据(iFinD）'!$AA760=""),"",分期持仓明细!$AB$23*(SUMPRODUCT(分期持仓明细!$B$23:$Y$23,'实盘净值数据(iFinD）'!$B760:$Y760/'实盘净值数据(iFinD）'!$B$65:$Y$65)+SUMPRODUCT(分期持仓明细!$AC$23:$AD$23,'实盘净值数据(iFinD）'!$Z760:$AA760/'实盘净值数据(iFinD）'!$Z$65:$AA$65))*(1-实盘持仓初始配置!$Z$7)^(('实盘净值数据(iFinD）'!$A760-'实盘净值数据(iFinD）'!$A$8)/365))</f>
        <v/>
      </c>
      <c r="L760" s="16" t="str">
        <f t="shared" si="69"/>
        <v/>
      </c>
      <c r="M760" s="16" t="str">
        <f>IF(K760="","",K760/MAX(K$5:K760)-1)</f>
        <v/>
      </c>
      <c r="N760" s="13" t="str">
        <f>IF(OR('实盘净值数据(iFinD）'!$A760="",'实盘净值数据(iFinD）'!$B760="",'实盘净值数据(iFinD）'!$Z760="",'实盘净值数据(iFinD）'!$AA760=""),"",分期持仓明细!$AB$24*(SUMPRODUCT(分期持仓明细!$B$24:$Y$24,'实盘净值数据(iFinD）'!$B760:$Y760/'实盘净值数据(iFinD）'!$B$65:$Y$65)+SUMPRODUCT(分期持仓明细!$AC$24:$AD$24,'实盘净值数据(iFinD）'!$Z760:$AA760/'实盘净值数据(iFinD）'!$Z$65:$AA$65))*(1-实盘持仓初始配置!$Z$8)^(('实盘净值数据(iFinD）'!$A760-'实盘净值数据(iFinD）'!$A$5)/365))</f>
        <v/>
      </c>
      <c r="O760" s="16" t="str">
        <f t="shared" si="70"/>
        <v/>
      </c>
      <c r="P760" s="16" t="str">
        <f>IF(N760="","",N760/MAX(N$5:N760)-1)</f>
        <v/>
      </c>
      <c r="Q760" s="13" t="str">
        <f>IF(OR('实盘净值数据(iFinD）'!$A760="",'实盘净值数据(iFinD）'!$B760="",'实盘净值数据(iFinD）'!$Z760="",'实盘净值数据(iFinD）'!$AA760=""),"",分期持仓明细!$AB$25*(SUMPRODUCT(分期持仓明细!$B$25:$Y$25,'实盘净值数据(iFinD）'!$B760:$Y760/'实盘净值数据(iFinD）'!$B$65:$Y$65)+SUMPRODUCT(分期持仓明细!$AC$25:$AD$25,'实盘净值数据(iFinD）'!$Z760:$AA760/'实盘净值数据(iFinD）'!$Z$65:$AA$65))*(1-实盘持仓初始配置!$Z$9)^(('实盘净值数据(iFinD）'!$A760-'实盘净值数据(iFinD）'!$A$8)/365))</f>
        <v/>
      </c>
      <c r="R760" s="16" t="str">
        <f t="shared" si="71"/>
        <v/>
      </c>
      <c r="S760" s="16" t="str">
        <f>IF(Q760="","",Q760/MAX(Q$5:Q760)-1)</f>
        <v/>
      </c>
      <c r="T760" s="13">
        <f>IF(OR('实盘净值数据(iFinD）'!$A760="",'实盘净值数据(iFinD）'!$B760="",'实盘净值数据(iFinD）'!$Z760="",'实盘净值数据(iFinD）'!$AA760="",'实盘净值数据(iFinD）'!$AB760="",'实盘净值数据(iFinD）'!$AL760=""),"",(SUMPRODUCT(分期持仓明细!$B$26:$Y$26,'实盘净值数据(iFinD）'!$B760:$Y760/'实盘净值数据(iFinD）'!$B$69:$Y$69)+SUMPRODUCT(分期持仓明细!$AC$26:$AD$26,'实盘净值数据(iFinD）'!$Z760:$AA760/'实盘净值数据(iFinD）'!$Z$69:$AA$69)+SUMPRODUCT(分期持仓明细!$AE$26:$AO$26,'实盘净值数据(iFinD）'!$AB760:$AL760/'实盘净值数据(iFinD）'!$AB$69:$AL$69))*(1-实盘持仓初始配置!$Z$10)^(('实盘净值数据(iFinD）'!$A760-'实盘净值数据(iFinD）'!$A$69)/365))</f>
        <v/>
      </c>
      <c r="U760" s="16">
        <f>IF(OR(T759="",T760=""),"",T760/T759-1)</f>
        <v/>
      </c>
      <c r="V760" s="16">
        <f>IF(T760="","",T760/MAX(T$5:T760)-1)</f>
        <v/>
      </c>
    </row>
    <row r="761" spans="1:19">
      <c r="A761" s="15" t="str">
        <f>IF('实盘净值数据(iFinD）'!A761="","",'实盘净值数据(iFinD）'!A761)</f>
        <v/>
      </c>
      <c r="B761" s="13" t="str">
        <f>IF(OR('实盘净值数据(iFinD）'!$A761="",'实盘净值数据(iFinD）'!$B761=""),"",分期持仓明细!$AB$17*SUMPRODUCT(分期持仓明细!$B$17:$Y$17,'实盘净值数据(iFinD）'!$B761:$Y761/'实盘净值数据(iFinD）'!$B$20:$Y$20)*(1-实盘持仓初始配置!$Z$4)^(('实盘净值数据(iFinD）'!$A761-'实盘净值数据(iFinD）'!$A$6)/365))</f>
        <v/>
      </c>
      <c r="C761" s="16" t="str">
        <f t="shared" si="66"/>
        <v/>
      </c>
      <c r="D761" s="16" t="str">
        <f>IF(B761="","",B761/MAX(B$5:B761)-1)</f>
        <v/>
      </c>
      <c r="E761" s="13" t="str">
        <f>IF(OR('实盘净值数据(iFinD）'!$A761="",'实盘净值数据(iFinD）'!$B761=""),"",分期持仓明细!$AB$18*SUMPRODUCT(分期持仓明细!$B$18:$Y$18,'实盘净值数据(iFinD）'!$B761:$Y761/'实盘净值数据(iFinD）'!$B$20:$Y$20)*(1-实盘持仓初始配置!$Z$5)^(('实盘净值数据(iFinD）'!$A761-'实盘净值数据(iFinD）'!$A$5)/365))</f>
        <v/>
      </c>
      <c r="F761" s="16" t="str">
        <f t="shared" si="67"/>
        <v/>
      </c>
      <c r="G761" s="16" t="str">
        <f>IF(E761="","",E761/MAX(E$5:E761)-1)</f>
        <v/>
      </c>
      <c r="H761" s="13" t="str">
        <f>IF(OR('实盘净值数据(iFinD）'!$A761="",'实盘净值数据(iFinD）'!$B761=""),"",分期持仓明细!$AB$19*SUMPRODUCT(分期持仓明细!$B$19:$Y$19,'实盘净值数据(iFinD）'!$B761:$Y761/'实盘净值数据(iFinD）'!$B$20:$Y$20)*(1-实盘持仓初始配置!$Z$6)^(('实盘净值数据(iFinD）'!$A761-'实盘净值数据(iFinD）'!$A$7)/365))</f>
        <v/>
      </c>
      <c r="I761" s="16" t="str">
        <f t="shared" si="68"/>
        <v/>
      </c>
      <c r="J761" s="16" t="str">
        <f>IF(H761="","",H761/MAX(H$5:H761)-1)</f>
        <v/>
      </c>
      <c r="K761" s="13" t="str">
        <f>IF(OR('实盘净值数据(iFinD）'!$A761="",'实盘净值数据(iFinD）'!$B761="",'实盘净值数据(iFinD）'!$Z761="",'实盘净值数据(iFinD）'!$AA761=""),"",分期持仓明细!$AB$23*(SUMPRODUCT(分期持仓明细!$B$23:$Y$23,'实盘净值数据(iFinD）'!$B761:$Y761/'实盘净值数据(iFinD）'!$B$65:$Y$65)+SUMPRODUCT(分期持仓明细!$AC$23:$AD$23,'实盘净值数据(iFinD）'!$Z761:$AA761/'实盘净值数据(iFinD）'!$Z$65:$AA$65))*(1-实盘持仓初始配置!$Z$7)^(('实盘净值数据(iFinD）'!$A761-'实盘净值数据(iFinD）'!$A$8)/365))</f>
        <v/>
      </c>
      <c r="L761" s="16" t="str">
        <f t="shared" si="69"/>
        <v/>
      </c>
      <c r="M761" s="16" t="str">
        <f>IF(K761="","",K761/MAX(K$5:K761)-1)</f>
        <v/>
      </c>
      <c r="N761" s="13" t="str">
        <f>IF(OR('实盘净值数据(iFinD）'!$A761="",'实盘净值数据(iFinD）'!$B761="",'实盘净值数据(iFinD）'!$Z761="",'实盘净值数据(iFinD）'!$AA761=""),"",分期持仓明细!$AB$24*(SUMPRODUCT(分期持仓明细!$B$24:$Y$24,'实盘净值数据(iFinD）'!$B761:$Y761/'实盘净值数据(iFinD）'!$B$65:$Y$65)+SUMPRODUCT(分期持仓明细!$AC$24:$AD$24,'实盘净值数据(iFinD）'!$Z761:$AA761/'实盘净值数据(iFinD）'!$Z$65:$AA$65))*(1-实盘持仓初始配置!$Z$8)^(('实盘净值数据(iFinD）'!$A761-'实盘净值数据(iFinD）'!$A$5)/365))</f>
        <v/>
      </c>
      <c r="O761" s="16" t="str">
        <f t="shared" si="70"/>
        <v/>
      </c>
      <c r="P761" s="16" t="str">
        <f>IF(N761="","",N761/MAX(N$5:N761)-1)</f>
        <v/>
      </c>
      <c r="Q761" s="13" t="str">
        <f>IF(OR('实盘净值数据(iFinD）'!$A761="",'实盘净值数据(iFinD）'!$B761="",'实盘净值数据(iFinD）'!$Z761="",'实盘净值数据(iFinD）'!$AA761=""),"",分期持仓明细!$AB$25*(SUMPRODUCT(分期持仓明细!$B$25:$Y$25,'实盘净值数据(iFinD）'!$B761:$Y761/'实盘净值数据(iFinD）'!$B$65:$Y$65)+SUMPRODUCT(分期持仓明细!$AC$25:$AD$25,'实盘净值数据(iFinD）'!$Z761:$AA761/'实盘净值数据(iFinD）'!$Z$65:$AA$65))*(1-实盘持仓初始配置!$Z$9)^(('实盘净值数据(iFinD）'!$A761-'实盘净值数据(iFinD）'!$A$8)/365))</f>
        <v/>
      </c>
      <c r="R761" s="16" t="str">
        <f t="shared" si="71"/>
        <v/>
      </c>
      <c r="S761" s="16" t="str">
        <f>IF(Q761="","",Q761/MAX(Q$5:Q761)-1)</f>
        <v/>
      </c>
      <c r="T761" s="13">
        <f>IF(OR('实盘净值数据(iFinD）'!$A761="",'实盘净值数据(iFinD）'!$B761="",'实盘净值数据(iFinD）'!$Z761="",'实盘净值数据(iFinD）'!$AA761="",'实盘净值数据(iFinD）'!$AB761="",'实盘净值数据(iFinD）'!$AL761=""),"",(SUMPRODUCT(分期持仓明细!$B$26:$Y$26,'实盘净值数据(iFinD）'!$B761:$Y761/'实盘净值数据(iFinD）'!$B$69:$Y$69)+SUMPRODUCT(分期持仓明细!$AC$26:$AD$26,'实盘净值数据(iFinD）'!$Z761:$AA761/'实盘净值数据(iFinD）'!$Z$69:$AA$69)+SUMPRODUCT(分期持仓明细!$AE$26:$AO$26,'实盘净值数据(iFinD）'!$AB761:$AL761/'实盘净值数据(iFinD）'!$AB$69:$AL$69))*(1-实盘持仓初始配置!$Z$10)^(('实盘净值数据(iFinD）'!$A761-'实盘净值数据(iFinD）'!$A$69)/365))</f>
        <v/>
      </c>
      <c r="U761" s="16">
        <f>IF(OR(T760="",T761=""),"",T761/T760-1)</f>
        <v/>
      </c>
      <c r="V761" s="16">
        <f>IF(T761="","",T761/MAX(T$5:T761)-1)</f>
        <v/>
      </c>
    </row>
    <row r="762" spans="1:19">
      <c r="A762" s="15" t="str">
        <f>IF('实盘净值数据(iFinD）'!A762="","",'实盘净值数据(iFinD）'!A762)</f>
        <v/>
      </c>
      <c r="B762" s="13" t="str">
        <f>IF(OR('实盘净值数据(iFinD）'!$A762="",'实盘净值数据(iFinD）'!$B762=""),"",分期持仓明细!$AB$17*SUMPRODUCT(分期持仓明细!$B$17:$Y$17,'实盘净值数据(iFinD）'!$B762:$Y762/'实盘净值数据(iFinD）'!$B$20:$Y$20)*(1-实盘持仓初始配置!$Z$4)^(('实盘净值数据(iFinD）'!$A762-'实盘净值数据(iFinD）'!$A$6)/365))</f>
        <v/>
      </c>
      <c r="C762" s="16" t="str">
        <f t="shared" si="66"/>
        <v/>
      </c>
      <c r="D762" s="16" t="str">
        <f>IF(B762="","",B762/MAX(B$5:B762)-1)</f>
        <v/>
      </c>
      <c r="E762" s="13" t="str">
        <f>IF(OR('实盘净值数据(iFinD）'!$A762="",'实盘净值数据(iFinD）'!$B762=""),"",分期持仓明细!$AB$18*SUMPRODUCT(分期持仓明细!$B$18:$Y$18,'实盘净值数据(iFinD）'!$B762:$Y762/'实盘净值数据(iFinD）'!$B$20:$Y$20)*(1-实盘持仓初始配置!$Z$5)^(('实盘净值数据(iFinD）'!$A762-'实盘净值数据(iFinD）'!$A$5)/365))</f>
        <v/>
      </c>
      <c r="F762" s="16" t="str">
        <f t="shared" si="67"/>
        <v/>
      </c>
      <c r="G762" s="16" t="str">
        <f>IF(E762="","",E762/MAX(E$5:E762)-1)</f>
        <v/>
      </c>
      <c r="H762" s="13" t="str">
        <f>IF(OR('实盘净值数据(iFinD）'!$A762="",'实盘净值数据(iFinD）'!$B762=""),"",分期持仓明细!$AB$19*SUMPRODUCT(分期持仓明细!$B$19:$Y$19,'实盘净值数据(iFinD）'!$B762:$Y762/'实盘净值数据(iFinD）'!$B$20:$Y$20)*(1-实盘持仓初始配置!$Z$6)^(('实盘净值数据(iFinD）'!$A762-'实盘净值数据(iFinD）'!$A$7)/365))</f>
        <v/>
      </c>
      <c r="I762" s="16" t="str">
        <f t="shared" si="68"/>
        <v/>
      </c>
      <c r="J762" s="16" t="str">
        <f>IF(H762="","",H762/MAX(H$5:H762)-1)</f>
        <v/>
      </c>
      <c r="K762" s="13" t="str">
        <f>IF(OR('实盘净值数据(iFinD）'!$A762="",'实盘净值数据(iFinD）'!$B762="",'实盘净值数据(iFinD）'!$Z762="",'实盘净值数据(iFinD）'!$AA762=""),"",分期持仓明细!$AB$23*(SUMPRODUCT(分期持仓明细!$B$23:$Y$23,'实盘净值数据(iFinD）'!$B762:$Y762/'实盘净值数据(iFinD）'!$B$65:$Y$65)+SUMPRODUCT(分期持仓明细!$AC$23:$AD$23,'实盘净值数据(iFinD）'!$Z762:$AA762/'实盘净值数据(iFinD）'!$Z$65:$AA$65))*(1-实盘持仓初始配置!$Z$7)^(('实盘净值数据(iFinD）'!$A762-'实盘净值数据(iFinD）'!$A$8)/365))</f>
        <v/>
      </c>
      <c r="L762" s="16" t="str">
        <f t="shared" si="69"/>
        <v/>
      </c>
      <c r="M762" s="16" t="str">
        <f>IF(K762="","",K762/MAX(K$5:K762)-1)</f>
        <v/>
      </c>
      <c r="N762" s="13" t="str">
        <f>IF(OR('实盘净值数据(iFinD）'!$A762="",'实盘净值数据(iFinD）'!$B762="",'实盘净值数据(iFinD）'!$Z762="",'实盘净值数据(iFinD）'!$AA762=""),"",分期持仓明细!$AB$24*(SUMPRODUCT(分期持仓明细!$B$24:$Y$24,'实盘净值数据(iFinD）'!$B762:$Y762/'实盘净值数据(iFinD）'!$B$65:$Y$65)+SUMPRODUCT(分期持仓明细!$AC$24:$AD$24,'实盘净值数据(iFinD）'!$Z762:$AA762/'实盘净值数据(iFinD）'!$Z$65:$AA$65))*(1-实盘持仓初始配置!$Z$8)^(('实盘净值数据(iFinD）'!$A762-'实盘净值数据(iFinD）'!$A$5)/365))</f>
        <v/>
      </c>
      <c r="O762" s="16" t="str">
        <f t="shared" si="70"/>
        <v/>
      </c>
      <c r="P762" s="16" t="str">
        <f>IF(N762="","",N762/MAX(N$5:N762)-1)</f>
        <v/>
      </c>
      <c r="Q762" s="13" t="str">
        <f>IF(OR('实盘净值数据(iFinD）'!$A762="",'实盘净值数据(iFinD）'!$B762="",'实盘净值数据(iFinD）'!$Z762="",'实盘净值数据(iFinD）'!$AA762=""),"",分期持仓明细!$AB$25*(SUMPRODUCT(分期持仓明细!$B$25:$Y$25,'实盘净值数据(iFinD）'!$B762:$Y762/'实盘净值数据(iFinD）'!$B$65:$Y$65)+SUMPRODUCT(分期持仓明细!$AC$25:$AD$25,'实盘净值数据(iFinD）'!$Z762:$AA762/'实盘净值数据(iFinD）'!$Z$65:$AA$65))*(1-实盘持仓初始配置!$Z$9)^(('实盘净值数据(iFinD）'!$A762-'实盘净值数据(iFinD）'!$A$8)/365))</f>
        <v/>
      </c>
      <c r="R762" s="16" t="str">
        <f t="shared" si="71"/>
        <v/>
      </c>
      <c r="S762" s="16" t="str">
        <f>IF(Q762="","",Q762/MAX(Q$5:Q762)-1)</f>
        <v/>
      </c>
      <c r="T762" s="13">
        <f>IF(OR('实盘净值数据(iFinD）'!$A762="",'实盘净值数据(iFinD）'!$B762="",'实盘净值数据(iFinD）'!$Z762="",'实盘净值数据(iFinD）'!$AA762="",'实盘净值数据(iFinD）'!$AB762="",'实盘净值数据(iFinD）'!$AL762=""),"",(SUMPRODUCT(分期持仓明细!$B$26:$Y$26,'实盘净值数据(iFinD）'!$B762:$Y762/'实盘净值数据(iFinD）'!$B$69:$Y$69)+SUMPRODUCT(分期持仓明细!$AC$26:$AD$26,'实盘净值数据(iFinD）'!$Z762:$AA762/'实盘净值数据(iFinD）'!$Z$69:$AA$69)+SUMPRODUCT(分期持仓明细!$AE$26:$AO$26,'实盘净值数据(iFinD）'!$AB762:$AL762/'实盘净值数据(iFinD）'!$AB$69:$AL$69))*(1-实盘持仓初始配置!$Z$10)^(('实盘净值数据(iFinD）'!$A762-'实盘净值数据(iFinD）'!$A$69)/365))</f>
        <v/>
      </c>
      <c r="U762" s="16">
        <f>IF(OR(T761="",T762=""),"",T762/T761-1)</f>
        <v/>
      </c>
      <c r="V762" s="16">
        <f>IF(T762="","",T762/MAX(T$5:T762)-1)</f>
        <v/>
      </c>
    </row>
    <row r="763" spans="1:19">
      <c r="A763" s="15" t="str">
        <f>IF('实盘净值数据(iFinD）'!A763="","",'实盘净值数据(iFinD）'!A763)</f>
        <v/>
      </c>
      <c r="B763" s="13" t="str">
        <f>IF(OR('实盘净值数据(iFinD）'!$A763="",'实盘净值数据(iFinD）'!$B763=""),"",分期持仓明细!$AB$17*SUMPRODUCT(分期持仓明细!$B$17:$Y$17,'实盘净值数据(iFinD）'!$B763:$Y763/'实盘净值数据(iFinD）'!$B$20:$Y$20)*(1-实盘持仓初始配置!$Z$4)^(('实盘净值数据(iFinD）'!$A763-'实盘净值数据(iFinD）'!$A$6)/365))</f>
        <v/>
      </c>
      <c r="C763" s="16" t="str">
        <f t="shared" si="66"/>
        <v/>
      </c>
      <c r="D763" s="16" t="str">
        <f>IF(B763="","",B763/MAX(B$5:B763)-1)</f>
        <v/>
      </c>
      <c r="E763" s="13" t="str">
        <f>IF(OR('实盘净值数据(iFinD）'!$A763="",'实盘净值数据(iFinD）'!$B763=""),"",分期持仓明细!$AB$18*SUMPRODUCT(分期持仓明细!$B$18:$Y$18,'实盘净值数据(iFinD）'!$B763:$Y763/'实盘净值数据(iFinD）'!$B$20:$Y$20)*(1-实盘持仓初始配置!$Z$5)^(('实盘净值数据(iFinD）'!$A763-'实盘净值数据(iFinD）'!$A$5)/365))</f>
        <v/>
      </c>
      <c r="F763" s="16" t="str">
        <f t="shared" si="67"/>
        <v/>
      </c>
      <c r="G763" s="16" t="str">
        <f>IF(E763="","",E763/MAX(E$5:E763)-1)</f>
        <v/>
      </c>
      <c r="H763" s="13" t="str">
        <f>IF(OR('实盘净值数据(iFinD）'!$A763="",'实盘净值数据(iFinD）'!$B763=""),"",分期持仓明细!$AB$19*SUMPRODUCT(分期持仓明细!$B$19:$Y$19,'实盘净值数据(iFinD）'!$B763:$Y763/'实盘净值数据(iFinD）'!$B$20:$Y$20)*(1-实盘持仓初始配置!$Z$6)^(('实盘净值数据(iFinD）'!$A763-'实盘净值数据(iFinD）'!$A$7)/365))</f>
        <v/>
      </c>
      <c r="I763" s="16" t="str">
        <f t="shared" si="68"/>
        <v/>
      </c>
      <c r="J763" s="16" t="str">
        <f>IF(H763="","",H763/MAX(H$5:H763)-1)</f>
        <v/>
      </c>
      <c r="K763" s="13" t="str">
        <f>IF(OR('实盘净值数据(iFinD）'!$A763="",'实盘净值数据(iFinD）'!$B763="",'实盘净值数据(iFinD）'!$Z763="",'实盘净值数据(iFinD）'!$AA763=""),"",分期持仓明细!$AB$23*(SUMPRODUCT(分期持仓明细!$B$23:$Y$23,'实盘净值数据(iFinD）'!$B763:$Y763/'实盘净值数据(iFinD）'!$B$65:$Y$65)+SUMPRODUCT(分期持仓明细!$AC$23:$AD$23,'实盘净值数据(iFinD）'!$Z763:$AA763/'实盘净值数据(iFinD）'!$Z$65:$AA$65))*(1-实盘持仓初始配置!$Z$7)^(('实盘净值数据(iFinD）'!$A763-'实盘净值数据(iFinD）'!$A$8)/365))</f>
        <v/>
      </c>
      <c r="L763" s="16" t="str">
        <f t="shared" si="69"/>
        <v/>
      </c>
      <c r="M763" s="16" t="str">
        <f>IF(K763="","",K763/MAX(K$5:K763)-1)</f>
        <v/>
      </c>
      <c r="N763" s="13" t="str">
        <f>IF(OR('实盘净值数据(iFinD）'!$A763="",'实盘净值数据(iFinD）'!$B763="",'实盘净值数据(iFinD）'!$Z763="",'实盘净值数据(iFinD）'!$AA763=""),"",分期持仓明细!$AB$24*(SUMPRODUCT(分期持仓明细!$B$24:$Y$24,'实盘净值数据(iFinD）'!$B763:$Y763/'实盘净值数据(iFinD）'!$B$65:$Y$65)+SUMPRODUCT(分期持仓明细!$AC$24:$AD$24,'实盘净值数据(iFinD）'!$Z763:$AA763/'实盘净值数据(iFinD）'!$Z$65:$AA$65))*(1-实盘持仓初始配置!$Z$8)^(('实盘净值数据(iFinD）'!$A763-'实盘净值数据(iFinD）'!$A$5)/365))</f>
        <v/>
      </c>
      <c r="O763" s="16" t="str">
        <f t="shared" si="70"/>
        <v/>
      </c>
      <c r="P763" s="16" t="str">
        <f>IF(N763="","",N763/MAX(N$5:N763)-1)</f>
        <v/>
      </c>
      <c r="Q763" s="13" t="str">
        <f>IF(OR('实盘净值数据(iFinD）'!$A763="",'实盘净值数据(iFinD）'!$B763="",'实盘净值数据(iFinD）'!$Z763="",'实盘净值数据(iFinD）'!$AA763=""),"",分期持仓明细!$AB$25*(SUMPRODUCT(分期持仓明细!$B$25:$Y$25,'实盘净值数据(iFinD）'!$B763:$Y763/'实盘净值数据(iFinD）'!$B$65:$Y$65)+SUMPRODUCT(分期持仓明细!$AC$25:$AD$25,'实盘净值数据(iFinD）'!$Z763:$AA763/'实盘净值数据(iFinD）'!$Z$65:$AA$65))*(1-实盘持仓初始配置!$Z$9)^(('实盘净值数据(iFinD）'!$A763-'实盘净值数据(iFinD）'!$A$8)/365))</f>
        <v/>
      </c>
      <c r="R763" s="16" t="str">
        <f t="shared" si="71"/>
        <v/>
      </c>
      <c r="S763" s="16" t="str">
        <f>IF(Q763="","",Q763/MAX(Q$5:Q763)-1)</f>
        <v/>
      </c>
      <c r="T763" s="13">
        <f>IF(OR('实盘净值数据(iFinD）'!$A763="",'实盘净值数据(iFinD）'!$B763="",'实盘净值数据(iFinD）'!$Z763="",'实盘净值数据(iFinD）'!$AA763="",'实盘净值数据(iFinD）'!$AB763="",'实盘净值数据(iFinD）'!$AL763=""),"",(SUMPRODUCT(分期持仓明细!$B$26:$Y$26,'实盘净值数据(iFinD）'!$B763:$Y763/'实盘净值数据(iFinD）'!$B$69:$Y$69)+SUMPRODUCT(分期持仓明细!$AC$26:$AD$26,'实盘净值数据(iFinD）'!$Z763:$AA763/'实盘净值数据(iFinD）'!$Z$69:$AA$69)+SUMPRODUCT(分期持仓明细!$AE$26:$AO$26,'实盘净值数据(iFinD）'!$AB763:$AL763/'实盘净值数据(iFinD）'!$AB$69:$AL$69))*(1-实盘持仓初始配置!$Z$10)^(('实盘净值数据(iFinD）'!$A763-'实盘净值数据(iFinD）'!$A$69)/365))</f>
        <v/>
      </c>
      <c r="U763" s="16">
        <f>IF(OR(T762="",T763=""),"",T763/T762-1)</f>
        <v/>
      </c>
      <c r="V763" s="16">
        <f>IF(T763="","",T763/MAX(T$5:T763)-1)</f>
        <v/>
      </c>
    </row>
    <row r="764" spans="1:19">
      <c r="A764" s="15" t="str">
        <f>IF('实盘净值数据(iFinD）'!A764="","",'实盘净值数据(iFinD）'!A764)</f>
        <v/>
      </c>
      <c r="B764" s="13" t="str">
        <f>IF(OR('实盘净值数据(iFinD）'!$A764="",'实盘净值数据(iFinD）'!$B764=""),"",分期持仓明细!$AB$17*SUMPRODUCT(分期持仓明细!$B$17:$Y$17,'实盘净值数据(iFinD）'!$B764:$Y764/'实盘净值数据(iFinD）'!$B$20:$Y$20)*(1-实盘持仓初始配置!$Z$4)^(('实盘净值数据(iFinD）'!$A764-'实盘净值数据(iFinD）'!$A$6)/365))</f>
        <v/>
      </c>
      <c r="C764" s="16" t="str">
        <f t="shared" ref="C764:C827" si="72">IF(OR(B763="",B764=""),"",B764/B763-1)</f>
        <v/>
      </c>
      <c r="D764" s="16" t="str">
        <f>IF(B764="","",B764/MAX(B$5:B764)-1)</f>
        <v/>
      </c>
      <c r="E764" s="13" t="str">
        <f>IF(OR('实盘净值数据(iFinD）'!$A764="",'实盘净值数据(iFinD）'!$B764=""),"",分期持仓明细!$AB$18*SUMPRODUCT(分期持仓明细!$B$18:$Y$18,'实盘净值数据(iFinD）'!$B764:$Y764/'实盘净值数据(iFinD）'!$B$20:$Y$20)*(1-实盘持仓初始配置!$Z$5)^(('实盘净值数据(iFinD）'!$A764-'实盘净值数据(iFinD）'!$A$5)/365))</f>
        <v/>
      </c>
      <c r="F764" s="16" t="str">
        <f t="shared" ref="F764:F827" si="73">IF(OR(E763="",E764=""),"",E764/E763-1)</f>
        <v/>
      </c>
      <c r="G764" s="16" t="str">
        <f>IF(E764="","",E764/MAX(E$5:E764)-1)</f>
        <v/>
      </c>
      <c r="H764" s="13" t="str">
        <f>IF(OR('实盘净值数据(iFinD）'!$A764="",'实盘净值数据(iFinD）'!$B764=""),"",分期持仓明细!$AB$19*SUMPRODUCT(分期持仓明细!$B$19:$Y$19,'实盘净值数据(iFinD）'!$B764:$Y764/'实盘净值数据(iFinD）'!$B$20:$Y$20)*(1-实盘持仓初始配置!$Z$6)^(('实盘净值数据(iFinD）'!$A764-'实盘净值数据(iFinD）'!$A$7)/365))</f>
        <v/>
      </c>
      <c r="I764" s="16" t="str">
        <f t="shared" ref="I764:I827" si="74">IF(OR(H763="",H764=""),"",H764/H763-1)</f>
        <v/>
      </c>
      <c r="J764" s="16" t="str">
        <f>IF(H764="","",H764/MAX(H$5:H764)-1)</f>
        <v/>
      </c>
      <c r="K764" s="13" t="str">
        <f>IF(OR('实盘净值数据(iFinD）'!$A764="",'实盘净值数据(iFinD）'!$B764="",'实盘净值数据(iFinD）'!$Z764="",'实盘净值数据(iFinD）'!$AA764=""),"",分期持仓明细!$AB$23*(SUMPRODUCT(分期持仓明细!$B$23:$Y$23,'实盘净值数据(iFinD）'!$B764:$Y764/'实盘净值数据(iFinD）'!$B$65:$Y$65)+SUMPRODUCT(分期持仓明细!$AC$23:$AD$23,'实盘净值数据(iFinD）'!$Z764:$AA764/'实盘净值数据(iFinD）'!$Z$65:$AA$65))*(1-实盘持仓初始配置!$Z$7)^(('实盘净值数据(iFinD）'!$A764-'实盘净值数据(iFinD）'!$A$8)/365))</f>
        <v/>
      </c>
      <c r="L764" s="16" t="str">
        <f t="shared" ref="L764:L827" si="75">IF(OR(K763="",K764=""),"",K764/K763-1)</f>
        <v/>
      </c>
      <c r="M764" s="16" t="str">
        <f>IF(K764="","",K764/MAX(K$5:K764)-1)</f>
        <v/>
      </c>
      <c r="N764" s="13" t="str">
        <f>IF(OR('实盘净值数据(iFinD）'!$A764="",'实盘净值数据(iFinD）'!$B764="",'实盘净值数据(iFinD）'!$Z764="",'实盘净值数据(iFinD）'!$AA764=""),"",分期持仓明细!$AB$24*(SUMPRODUCT(分期持仓明细!$B$24:$Y$24,'实盘净值数据(iFinD）'!$B764:$Y764/'实盘净值数据(iFinD）'!$B$65:$Y$65)+SUMPRODUCT(分期持仓明细!$AC$24:$AD$24,'实盘净值数据(iFinD）'!$Z764:$AA764/'实盘净值数据(iFinD）'!$Z$65:$AA$65))*(1-实盘持仓初始配置!$Z$8)^(('实盘净值数据(iFinD）'!$A764-'实盘净值数据(iFinD）'!$A$5)/365))</f>
        <v/>
      </c>
      <c r="O764" s="16" t="str">
        <f t="shared" ref="O764:O827" si="76">IF(OR(N763="",N764=""),"",N764/N763-1)</f>
        <v/>
      </c>
      <c r="P764" s="16" t="str">
        <f>IF(N764="","",N764/MAX(N$5:N764)-1)</f>
        <v/>
      </c>
      <c r="Q764" s="13" t="str">
        <f>IF(OR('实盘净值数据(iFinD）'!$A764="",'实盘净值数据(iFinD）'!$B764="",'实盘净值数据(iFinD）'!$Z764="",'实盘净值数据(iFinD）'!$AA764=""),"",分期持仓明细!$AB$25*(SUMPRODUCT(分期持仓明细!$B$25:$Y$25,'实盘净值数据(iFinD）'!$B764:$Y764/'实盘净值数据(iFinD）'!$B$65:$Y$65)+SUMPRODUCT(分期持仓明细!$AC$25:$AD$25,'实盘净值数据(iFinD）'!$Z764:$AA764/'实盘净值数据(iFinD）'!$Z$65:$AA$65))*(1-实盘持仓初始配置!$Z$9)^(('实盘净值数据(iFinD）'!$A764-'实盘净值数据(iFinD）'!$A$8)/365))</f>
        <v/>
      </c>
      <c r="R764" s="16" t="str">
        <f t="shared" ref="R764:R827" si="77">IF(OR(Q763="",Q764=""),"",Q764/Q763-1)</f>
        <v/>
      </c>
      <c r="S764" s="16" t="str">
        <f>IF(Q764="","",Q764/MAX(Q$5:Q764)-1)</f>
        <v/>
      </c>
      <c r="T764" s="13">
        <f>IF(OR('实盘净值数据(iFinD）'!$A764="",'实盘净值数据(iFinD）'!$B764="",'实盘净值数据(iFinD）'!$Z764="",'实盘净值数据(iFinD）'!$AA764="",'实盘净值数据(iFinD）'!$AB764="",'实盘净值数据(iFinD）'!$AL764=""),"",(SUMPRODUCT(分期持仓明细!$B$26:$Y$26,'实盘净值数据(iFinD）'!$B764:$Y764/'实盘净值数据(iFinD）'!$B$69:$Y$69)+SUMPRODUCT(分期持仓明细!$AC$26:$AD$26,'实盘净值数据(iFinD）'!$Z764:$AA764/'实盘净值数据(iFinD）'!$Z$69:$AA$69)+SUMPRODUCT(分期持仓明细!$AE$26:$AO$26,'实盘净值数据(iFinD）'!$AB764:$AL764/'实盘净值数据(iFinD）'!$AB$69:$AL$69))*(1-实盘持仓初始配置!$Z$10)^(('实盘净值数据(iFinD）'!$A764-'实盘净值数据(iFinD）'!$A$69)/365))</f>
        <v/>
      </c>
      <c r="U764" s="16">
        <f>IF(OR(T763="",T764=""),"",T764/T763-1)</f>
        <v/>
      </c>
      <c r="V764" s="16">
        <f>IF(T764="","",T764/MAX(T$5:T764)-1)</f>
        <v/>
      </c>
    </row>
    <row r="765" spans="1:19">
      <c r="A765" s="15" t="str">
        <f>IF('实盘净值数据(iFinD）'!A765="","",'实盘净值数据(iFinD）'!A765)</f>
        <v/>
      </c>
      <c r="B765" s="13" t="str">
        <f>IF(OR('实盘净值数据(iFinD）'!$A765="",'实盘净值数据(iFinD）'!$B765=""),"",分期持仓明细!$AB$17*SUMPRODUCT(分期持仓明细!$B$17:$Y$17,'实盘净值数据(iFinD）'!$B765:$Y765/'实盘净值数据(iFinD）'!$B$20:$Y$20)*(1-实盘持仓初始配置!$Z$4)^(('实盘净值数据(iFinD）'!$A765-'实盘净值数据(iFinD）'!$A$6)/365))</f>
        <v/>
      </c>
      <c r="C765" s="16" t="str">
        <f t="shared" si="72"/>
        <v/>
      </c>
      <c r="D765" s="16" t="str">
        <f>IF(B765="","",B765/MAX(B$5:B765)-1)</f>
        <v/>
      </c>
      <c r="E765" s="13" t="str">
        <f>IF(OR('实盘净值数据(iFinD）'!$A765="",'实盘净值数据(iFinD）'!$B765=""),"",分期持仓明细!$AB$18*SUMPRODUCT(分期持仓明细!$B$18:$Y$18,'实盘净值数据(iFinD）'!$B765:$Y765/'实盘净值数据(iFinD）'!$B$20:$Y$20)*(1-实盘持仓初始配置!$Z$5)^(('实盘净值数据(iFinD）'!$A765-'实盘净值数据(iFinD）'!$A$5)/365))</f>
        <v/>
      </c>
      <c r="F765" s="16" t="str">
        <f t="shared" si="73"/>
        <v/>
      </c>
      <c r="G765" s="16" t="str">
        <f>IF(E765="","",E765/MAX(E$5:E765)-1)</f>
        <v/>
      </c>
      <c r="H765" s="13" t="str">
        <f>IF(OR('实盘净值数据(iFinD）'!$A765="",'实盘净值数据(iFinD）'!$B765=""),"",分期持仓明细!$AB$19*SUMPRODUCT(分期持仓明细!$B$19:$Y$19,'实盘净值数据(iFinD）'!$B765:$Y765/'实盘净值数据(iFinD）'!$B$20:$Y$20)*(1-实盘持仓初始配置!$Z$6)^(('实盘净值数据(iFinD）'!$A765-'实盘净值数据(iFinD）'!$A$7)/365))</f>
        <v/>
      </c>
      <c r="I765" s="16" t="str">
        <f t="shared" si="74"/>
        <v/>
      </c>
      <c r="J765" s="16" t="str">
        <f>IF(H765="","",H765/MAX(H$5:H765)-1)</f>
        <v/>
      </c>
      <c r="K765" s="13" t="str">
        <f>IF(OR('实盘净值数据(iFinD）'!$A765="",'实盘净值数据(iFinD）'!$B765="",'实盘净值数据(iFinD）'!$Z765="",'实盘净值数据(iFinD）'!$AA765=""),"",分期持仓明细!$AB$23*(SUMPRODUCT(分期持仓明细!$B$23:$Y$23,'实盘净值数据(iFinD）'!$B765:$Y765/'实盘净值数据(iFinD）'!$B$65:$Y$65)+SUMPRODUCT(分期持仓明细!$AC$23:$AD$23,'实盘净值数据(iFinD）'!$Z765:$AA765/'实盘净值数据(iFinD）'!$Z$65:$AA$65))*(1-实盘持仓初始配置!$Z$7)^(('实盘净值数据(iFinD）'!$A765-'实盘净值数据(iFinD）'!$A$8)/365))</f>
        <v/>
      </c>
      <c r="L765" s="16" t="str">
        <f t="shared" si="75"/>
        <v/>
      </c>
      <c r="M765" s="16" t="str">
        <f>IF(K765="","",K765/MAX(K$5:K765)-1)</f>
        <v/>
      </c>
      <c r="N765" s="13" t="str">
        <f>IF(OR('实盘净值数据(iFinD）'!$A765="",'实盘净值数据(iFinD）'!$B765="",'实盘净值数据(iFinD）'!$Z765="",'实盘净值数据(iFinD）'!$AA765=""),"",分期持仓明细!$AB$24*(SUMPRODUCT(分期持仓明细!$B$24:$Y$24,'实盘净值数据(iFinD）'!$B765:$Y765/'实盘净值数据(iFinD）'!$B$65:$Y$65)+SUMPRODUCT(分期持仓明细!$AC$24:$AD$24,'实盘净值数据(iFinD）'!$Z765:$AA765/'实盘净值数据(iFinD）'!$Z$65:$AA$65))*(1-实盘持仓初始配置!$Z$8)^(('实盘净值数据(iFinD）'!$A765-'实盘净值数据(iFinD）'!$A$5)/365))</f>
        <v/>
      </c>
      <c r="O765" s="16" t="str">
        <f t="shared" si="76"/>
        <v/>
      </c>
      <c r="P765" s="16" t="str">
        <f>IF(N765="","",N765/MAX(N$5:N765)-1)</f>
        <v/>
      </c>
      <c r="Q765" s="13" t="str">
        <f>IF(OR('实盘净值数据(iFinD）'!$A765="",'实盘净值数据(iFinD）'!$B765="",'实盘净值数据(iFinD）'!$Z765="",'实盘净值数据(iFinD）'!$AA765=""),"",分期持仓明细!$AB$25*(SUMPRODUCT(分期持仓明细!$B$25:$Y$25,'实盘净值数据(iFinD）'!$B765:$Y765/'实盘净值数据(iFinD）'!$B$65:$Y$65)+SUMPRODUCT(分期持仓明细!$AC$25:$AD$25,'实盘净值数据(iFinD）'!$Z765:$AA765/'实盘净值数据(iFinD）'!$Z$65:$AA$65))*(1-实盘持仓初始配置!$Z$9)^(('实盘净值数据(iFinD）'!$A765-'实盘净值数据(iFinD）'!$A$8)/365))</f>
        <v/>
      </c>
      <c r="R765" s="16" t="str">
        <f t="shared" si="77"/>
        <v/>
      </c>
      <c r="S765" s="16" t="str">
        <f>IF(Q765="","",Q765/MAX(Q$5:Q765)-1)</f>
        <v/>
      </c>
      <c r="T765" s="13">
        <f>IF(OR('实盘净值数据(iFinD）'!$A765="",'实盘净值数据(iFinD）'!$B765="",'实盘净值数据(iFinD）'!$Z765="",'实盘净值数据(iFinD）'!$AA765="",'实盘净值数据(iFinD）'!$AB765="",'实盘净值数据(iFinD）'!$AL765=""),"",(SUMPRODUCT(分期持仓明细!$B$26:$Y$26,'实盘净值数据(iFinD）'!$B765:$Y765/'实盘净值数据(iFinD）'!$B$69:$Y$69)+SUMPRODUCT(分期持仓明细!$AC$26:$AD$26,'实盘净值数据(iFinD）'!$Z765:$AA765/'实盘净值数据(iFinD）'!$Z$69:$AA$69)+SUMPRODUCT(分期持仓明细!$AE$26:$AO$26,'实盘净值数据(iFinD）'!$AB765:$AL765/'实盘净值数据(iFinD）'!$AB$69:$AL$69))*(1-实盘持仓初始配置!$Z$10)^(('实盘净值数据(iFinD）'!$A765-'实盘净值数据(iFinD）'!$A$69)/365))</f>
        <v/>
      </c>
      <c r="U765" s="16">
        <f>IF(OR(T764="",T765=""),"",T765/T764-1)</f>
        <v/>
      </c>
      <c r="V765" s="16">
        <f>IF(T765="","",T765/MAX(T$5:T765)-1)</f>
        <v/>
      </c>
    </row>
    <row r="766" spans="1:19">
      <c r="A766" s="15" t="str">
        <f>IF('实盘净值数据(iFinD）'!A766="","",'实盘净值数据(iFinD）'!A766)</f>
        <v/>
      </c>
      <c r="B766" s="13" t="str">
        <f>IF(OR('实盘净值数据(iFinD）'!$A766="",'实盘净值数据(iFinD）'!$B766=""),"",分期持仓明细!$AB$17*SUMPRODUCT(分期持仓明细!$B$17:$Y$17,'实盘净值数据(iFinD）'!$B766:$Y766/'实盘净值数据(iFinD）'!$B$20:$Y$20)*(1-实盘持仓初始配置!$Z$4)^(('实盘净值数据(iFinD）'!$A766-'实盘净值数据(iFinD）'!$A$6)/365))</f>
        <v/>
      </c>
      <c r="C766" s="16" t="str">
        <f t="shared" si="72"/>
        <v/>
      </c>
      <c r="D766" s="16" t="str">
        <f>IF(B766="","",B766/MAX(B$5:B766)-1)</f>
        <v/>
      </c>
      <c r="E766" s="13" t="str">
        <f>IF(OR('实盘净值数据(iFinD）'!$A766="",'实盘净值数据(iFinD）'!$B766=""),"",分期持仓明细!$AB$18*SUMPRODUCT(分期持仓明细!$B$18:$Y$18,'实盘净值数据(iFinD）'!$B766:$Y766/'实盘净值数据(iFinD）'!$B$20:$Y$20)*(1-实盘持仓初始配置!$Z$5)^(('实盘净值数据(iFinD）'!$A766-'实盘净值数据(iFinD）'!$A$5)/365))</f>
        <v/>
      </c>
      <c r="F766" s="16" t="str">
        <f t="shared" si="73"/>
        <v/>
      </c>
      <c r="G766" s="16" t="str">
        <f>IF(E766="","",E766/MAX(E$5:E766)-1)</f>
        <v/>
      </c>
      <c r="H766" s="13" t="str">
        <f>IF(OR('实盘净值数据(iFinD）'!$A766="",'实盘净值数据(iFinD）'!$B766=""),"",分期持仓明细!$AB$19*SUMPRODUCT(分期持仓明细!$B$19:$Y$19,'实盘净值数据(iFinD）'!$B766:$Y766/'实盘净值数据(iFinD）'!$B$20:$Y$20)*(1-实盘持仓初始配置!$Z$6)^(('实盘净值数据(iFinD）'!$A766-'实盘净值数据(iFinD）'!$A$7)/365))</f>
        <v/>
      </c>
      <c r="I766" s="16" t="str">
        <f t="shared" si="74"/>
        <v/>
      </c>
      <c r="J766" s="16" t="str">
        <f>IF(H766="","",H766/MAX(H$5:H766)-1)</f>
        <v/>
      </c>
      <c r="K766" s="13" t="str">
        <f>IF(OR('实盘净值数据(iFinD）'!$A766="",'实盘净值数据(iFinD）'!$B766="",'实盘净值数据(iFinD）'!$Z766="",'实盘净值数据(iFinD）'!$AA766=""),"",分期持仓明细!$AB$23*(SUMPRODUCT(分期持仓明细!$B$23:$Y$23,'实盘净值数据(iFinD）'!$B766:$Y766/'实盘净值数据(iFinD）'!$B$65:$Y$65)+SUMPRODUCT(分期持仓明细!$AC$23:$AD$23,'实盘净值数据(iFinD）'!$Z766:$AA766/'实盘净值数据(iFinD）'!$Z$65:$AA$65))*(1-实盘持仓初始配置!$Z$7)^(('实盘净值数据(iFinD）'!$A766-'实盘净值数据(iFinD）'!$A$8)/365))</f>
        <v/>
      </c>
      <c r="L766" s="16" t="str">
        <f t="shared" si="75"/>
        <v/>
      </c>
      <c r="M766" s="16" t="str">
        <f>IF(K766="","",K766/MAX(K$5:K766)-1)</f>
        <v/>
      </c>
      <c r="N766" s="13" t="str">
        <f>IF(OR('实盘净值数据(iFinD）'!$A766="",'实盘净值数据(iFinD）'!$B766="",'实盘净值数据(iFinD）'!$Z766="",'实盘净值数据(iFinD）'!$AA766=""),"",分期持仓明细!$AB$24*(SUMPRODUCT(分期持仓明细!$B$24:$Y$24,'实盘净值数据(iFinD）'!$B766:$Y766/'实盘净值数据(iFinD）'!$B$65:$Y$65)+SUMPRODUCT(分期持仓明细!$AC$24:$AD$24,'实盘净值数据(iFinD）'!$Z766:$AA766/'实盘净值数据(iFinD）'!$Z$65:$AA$65))*(1-实盘持仓初始配置!$Z$8)^(('实盘净值数据(iFinD）'!$A766-'实盘净值数据(iFinD）'!$A$5)/365))</f>
        <v/>
      </c>
      <c r="O766" s="16" t="str">
        <f t="shared" si="76"/>
        <v/>
      </c>
      <c r="P766" s="16" t="str">
        <f>IF(N766="","",N766/MAX(N$5:N766)-1)</f>
        <v/>
      </c>
      <c r="Q766" s="13" t="str">
        <f>IF(OR('实盘净值数据(iFinD）'!$A766="",'实盘净值数据(iFinD）'!$B766="",'实盘净值数据(iFinD）'!$Z766="",'实盘净值数据(iFinD）'!$AA766=""),"",分期持仓明细!$AB$25*(SUMPRODUCT(分期持仓明细!$B$25:$Y$25,'实盘净值数据(iFinD）'!$B766:$Y766/'实盘净值数据(iFinD）'!$B$65:$Y$65)+SUMPRODUCT(分期持仓明细!$AC$25:$AD$25,'实盘净值数据(iFinD）'!$Z766:$AA766/'实盘净值数据(iFinD）'!$Z$65:$AA$65))*(1-实盘持仓初始配置!$Z$9)^(('实盘净值数据(iFinD）'!$A766-'实盘净值数据(iFinD）'!$A$8)/365))</f>
        <v/>
      </c>
      <c r="R766" s="16" t="str">
        <f t="shared" si="77"/>
        <v/>
      </c>
      <c r="S766" s="16" t="str">
        <f>IF(Q766="","",Q766/MAX(Q$5:Q766)-1)</f>
        <v/>
      </c>
      <c r="T766" s="13">
        <f>IF(OR('实盘净值数据(iFinD）'!$A766="",'实盘净值数据(iFinD）'!$B766="",'实盘净值数据(iFinD）'!$Z766="",'实盘净值数据(iFinD）'!$AA766="",'实盘净值数据(iFinD）'!$AB766="",'实盘净值数据(iFinD）'!$AL766=""),"",(SUMPRODUCT(分期持仓明细!$B$26:$Y$26,'实盘净值数据(iFinD）'!$B766:$Y766/'实盘净值数据(iFinD）'!$B$69:$Y$69)+SUMPRODUCT(分期持仓明细!$AC$26:$AD$26,'实盘净值数据(iFinD）'!$Z766:$AA766/'实盘净值数据(iFinD）'!$Z$69:$AA$69)+SUMPRODUCT(分期持仓明细!$AE$26:$AO$26,'实盘净值数据(iFinD）'!$AB766:$AL766/'实盘净值数据(iFinD）'!$AB$69:$AL$69))*(1-实盘持仓初始配置!$Z$10)^(('实盘净值数据(iFinD）'!$A766-'实盘净值数据(iFinD）'!$A$69)/365))</f>
        <v/>
      </c>
      <c r="U766" s="16">
        <f>IF(OR(T765="",T766=""),"",T766/T765-1)</f>
        <v/>
      </c>
      <c r="V766" s="16">
        <f>IF(T766="","",T766/MAX(T$5:T766)-1)</f>
        <v/>
      </c>
    </row>
    <row r="767" spans="1:19">
      <c r="A767" s="15" t="str">
        <f>IF('实盘净值数据(iFinD）'!A767="","",'实盘净值数据(iFinD）'!A767)</f>
        <v/>
      </c>
      <c r="B767" s="13" t="str">
        <f>IF(OR('实盘净值数据(iFinD）'!$A767="",'实盘净值数据(iFinD）'!$B767=""),"",分期持仓明细!$AB$17*SUMPRODUCT(分期持仓明细!$B$17:$Y$17,'实盘净值数据(iFinD）'!$B767:$Y767/'实盘净值数据(iFinD）'!$B$20:$Y$20)*(1-实盘持仓初始配置!$Z$4)^(('实盘净值数据(iFinD）'!$A767-'实盘净值数据(iFinD）'!$A$6)/365))</f>
        <v/>
      </c>
      <c r="C767" s="16" t="str">
        <f t="shared" si="72"/>
        <v/>
      </c>
      <c r="D767" s="16" t="str">
        <f>IF(B767="","",B767/MAX(B$5:B767)-1)</f>
        <v/>
      </c>
      <c r="E767" s="13" t="str">
        <f>IF(OR('实盘净值数据(iFinD）'!$A767="",'实盘净值数据(iFinD）'!$B767=""),"",分期持仓明细!$AB$18*SUMPRODUCT(分期持仓明细!$B$18:$Y$18,'实盘净值数据(iFinD）'!$B767:$Y767/'实盘净值数据(iFinD）'!$B$20:$Y$20)*(1-实盘持仓初始配置!$Z$5)^(('实盘净值数据(iFinD）'!$A767-'实盘净值数据(iFinD）'!$A$5)/365))</f>
        <v/>
      </c>
      <c r="F767" s="16" t="str">
        <f t="shared" si="73"/>
        <v/>
      </c>
      <c r="G767" s="16" t="str">
        <f>IF(E767="","",E767/MAX(E$5:E767)-1)</f>
        <v/>
      </c>
      <c r="H767" s="13" t="str">
        <f>IF(OR('实盘净值数据(iFinD）'!$A767="",'实盘净值数据(iFinD）'!$B767=""),"",分期持仓明细!$AB$19*SUMPRODUCT(分期持仓明细!$B$19:$Y$19,'实盘净值数据(iFinD）'!$B767:$Y767/'实盘净值数据(iFinD）'!$B$20:$Y$20)*(1-实盘持仓初始配置!$Z$6)^(('实盘净值数据(iFinD）'!$A767-'实盘净值数据(iFinD）'!$A$7)/365))</f>
        <v/>
      </c>
      <c r="I767" s="16" t="str">
        <f t="shared" si="74"/>
        <v/>
      </c>
      <c r="J767" s="16" t="str">
        <f>IF(H767="","",H767/MAX(H$5:H767)-1)</f>
        <v/>
      </c>
      <c r="K767" s="13" t="str">
        <f>IF(OR('实盘净值数据(iFinD）'!$A767="",'实盘净值数据(iFinD）'!$B767="",'实盘净值数据(iFinD）'!$Z767="",'实盘净值数据(iFinD）'!$AA767=""),"",分期持仓明细!$AB$23*(SUMPRODUCT(分期持仓明细!$B$23:$Y$23,'实盘净值数据(iFinD）'!$B767:$Y767/'实盘净值数据(iFinD）'!$B$65:$Y$65)+SUMPRODUCT(分期持仓明细!$AC$23:$AD$23,'实盘净值数据(iFinD）'!$Z767:$AA767/'实盘净值数据(iFinD）'!$Z$65:$AA$65))*(1-实盘持仓初始配置!$Z$7)^(('实盘净值数据(iFinD）'!$A767-'实盘净值数据(iFinD）'!$A$8)/365))</f>
        <v/>
      </c>
      <c r="L767" s="16" t="str">
        <f t="shared" si="75"/>
        <v/>
      </c>
      <c r="M767" s="16" t="str">
        <f>IF(K767="","",K767/MAX(K$5:K767)-1)</f>
        <v/>
      </c>
      <c r="N767" s="13" t="str">
        <f>IF(OR('实盘净值数据(iFinD）'!$A767="",'实盘净值数据(iFinD）'!$B767="",'实盘净值数据(iFinD）'!$Z767="",'实盘净值数据(iFinD）'!$AA767=""),"",分期持仓明细!$AB$24*(SUMPRODUCT(分期持仓明细!$B$24:$Y$24,'实盘净值数据(iFinD）'!$B767:$Y767/'实盘净值数据(iFinD）'!$B$65:$Y$65)+SUMPRODUCT(分期持仓明细!$AC$24:$AD$24,'实盘净值数据(iFinD）'!$Z767:$AA767/'实盘净值数据(iFinD）'!$Z$65:$AA$65))*(1-实盘持仓初始配置!$Z$8)^(('实盘净值数据(iFinD）'!$A767-'实盘净值数据(iFinD）'!$A$5)/365))</f>
        <v/>
      </c>
      <c r="O767" s="16" t="str">
        <f t="shared" si="76"/>
        <v/>
      </c>
      <c r="P767" s="16" t="str">
        <f>IF(N767="","",N767/MAX(N$5:N767)-1)</f>
        <v/>
      </c>
      <c r="Q767" s="13" t="str">
        <f>IF(OR('实盘净值数据(iFinD）'!$A767="",'实盘净值数据(iFinD）'!$B767="",'实盘净值数据(iFinD）'!$Z767="",'实盘净值数据(iFinD）'!$AA767=""),"",分期持仓明细!$AB$25*(SUMPRODUCT(分期持仓明细!$B$25:$Y$25,'实盘净值数据(iFinD）'!$B767:$Y767/'实盘净值数据(iFinD）'!$B$65:$Y$65)+SUMPRODUCT(分期持仓明细!$AC$25:$AD$25,'实盘净值数据(iFinD）'!$Z767:$AA767/'实盘净值数据(iFinD）'!$Z$65:$AA$65))*(1-实盘持仓初始配置!$Z$9)^(('实盘净值数据(iFinD）'!$A767-'实盘净值数据(iFinD）'!$A$8)/365))</f>
        <v/>
      </c>
      <c r="R767" s="16" t="str">
        <f t="shared" si="77"/>
        <v/>
      </c>
      <c r="S767" s="16" t="str">
        <f>IF(Q767="","",Q767/MAX(Q$5:Q767)-1)</f>
        <v/>
      </c>
      <c r="T767" s="13">
        <f>IF(OR('实盘净值数据(iFinD）'!$A767="",'实盘净值数据(iFinD）'!$B767="",'实盘净值数据(iFinD）'!$Z767="",'实盘净值数据(iFinD）'!$AA767="",'实盘净值数据(iFinD）'!$AB767="",'实盘净值数据(iFinD）'!$AL767=""),"",(SUMPRODUCT(分期持仓明细!$B$26:$Y$26,'实盘净值数据(iFinD）'!$B767:$Y767/'实盘净值数据(iFinD）'!$B$69:$Y$69)+SUMPRODUCT(分期持仓明细!$AC$26:$AD$26,'实盘净值数据(iFinD）'!$Z767:$AA767/'实盘净值数据(iFinD）'!$Z$69:$AA$69)+SUMPRODUCT(分期持仓明细!$AE$26:$AO$26,'实盘净值数据(iFinD）'!$AB767:$AL767/'实盘净值数据(iFinD）'!$AB$69:$AL$69))*(1-实盘持仓初始配置!$Z$10)^(('实盘净值数据(iFinD）'!$A767-'实盘净值数据(iFinD）'!$A$69)/365))</f>
        <v/>
      </c>
      <c r="U767" s="16">
        <f>IF(OR(T766="",T767=""),"",T767/T766-1)</f>
        <v/>
      </c>
      <c r="V767" s="16">
        <f>IF(T767="","",T767/MAX(T$5:T767)-1)</f>
        <v/>
      </c>
    </row>
    <row r="768" spans="1:19">
      <c r="A768" s="15" t="str">
        <f>IF('实盘净值数据(iFinD）'!A768="","",'实盘净值数据(iFinD）'!A768)</f>
        <v/>
      </c>
      <c r="B768" s="13" t="str">
        <f>IF(OR('实盘净值数据(iFinD）'!$A768="",'实盘净值数据(iFinD）'!$B768=""),"",分期持仓明细!$AB$17*SUMPRODUCT(分期持仓明细!$B$17:$Y$17,'实盘净值数据(iFinD）'!$B768:$Y768/'实盘净值数据(iFinD）'!$B$20:$Y$20)*(1-实盘持仓初始配置!$Z$4)^(('实盘净值数据(iFinD）'!$A768-'实盘净值数据(iFinD）'!$A$6)/365))</f>
        <v/>
      </c>
      <c r="C768" s="16" t="str">
        <f t="shared" si="72"/>
        <v/>
      </c>
      <c r="D768" s="16" t="str">
        <f>IF(B768="","",B768/MAX(B$5:B768)-1)</f>
        <v/>
      </c>
      <c r="E768" s="13" t="str">
        <f>IF(OR('实盘净值数据(iFinD）'!$A768="",'实盘净值数据(iFinD）'!$B768=""),"",分期持仓明细!$AB$18*SUMPRODUCT(分期持仓明细!$B$18:$Y$18,'实盘净值数据(iFinD）'!$B768:$Y768/'实盘净值数据(iFinD）'!$B$20:$Y$20)*(1-实盘持仓初始配置!$Z$5)^(('实盘净值数据(iFinD）'!$A768-'实盘净值数据(iFinD）'!$A$5)/365))</f>
        <v/>
      </c>
      <c r="F768" s="16" t="str">
        <f t="shared" si="73"/>
        <v/>
      </c>
      <c r="G768" s="16" t="str">
        <f>IF(E768="","",E768/MAX(E$5:E768)-1)</f>
        <v/>
      </c>
      <c r="H768" s="13" t="str">
        <f>IF(OR('实盘净值数据(iFinD）'!$A768="",'实盘净值数据(iFinD）'!$B768=""),"",分期持仓明细!$AB$19*SUMPRODUCT(分期持仓明细!$B$19:$Y$19,'实盘净值数据(iFinD）'!$B768:$Y768/'实盘净值数据(iFinD）'!$B$20:$Y$20)*(1-实盘持仓初始配置!$Z$6)^(('实盘净值数据(iFinD）'!$A768-'实盘净值数据(iFinD）'!$A$7)/365))</f>
        <v/>
      </c>
      <c r="I768" s="16" t="str">
        <f t="shared" si="74"/>
        <v/>
      </c>
      <c r="J768" s="16" t="str">
        <f>IF(H768="","",H768/MAX(H$5:H768)-1)</f>
        <v/>
      </c>
      <c r="K768" s="13" t="str">
        <f>IF(OR('实盘净值数据(iFinD）'!$A768="",'实盘净值数据(iFinD）'!$B768="",'实盘净值数据(iFinD）'!$Z768="",'实盘净值数据(iFinD）'!$AA768=""),"",分期持仓明细!$AB$23*(SUMPRODUCT(分期持仓明细!$B$23:$Y$23,'实盘净值数据(iFinD）'!$B768:$Y768/'实盘净值数据(iFinD）'!$B$65:$Y$65)+SUMPRODUCT(分期持仓明细!$AC$23:$AD$23,'实盘净值数据(iFinD）'!$Z768:$AA768/'实盘净值数据(iFinD）'!$Z$65:$AA$65))*(1-实盘持仓初始配置!$Z$7)^(('实盘净值数据(iFinD）'!$A768-'实盘净值数据(iFinD）'!$A$8)/365))</f>
        <v/>
      </c>
      <c r="L768" s="16" t="str">
        <f t="shared" si="75"/>
        <v/>
      </c>
      <c r="M768" s="16" t="str">
        <f>IF(K768="","",K768/MAX(K$5:K768)-1)</f>
        <v/>
      </c>
      <c r="N768" s="13" t="str">
        <f>IF(OR('实盘净值数据(iFinD）'!$A768="",'实盘净值数据(iFinD）'!$B768="",'实盘净值数据(iFinD）'!$Z768="",'实盘净值数据(iFinD）'!$AA768=""),"",分期持仓明细!$AB$24*(SUMPRODUCT(分期持仓明细!$B$24:$Y$24,'实盘净值数据(iFinD）'!$B768:$Y768/'实盘净值数据(iFinD）'!$B$65:$Y$65)+SUMPRODUCT(分期持仓明细!$AC$24:$AD$24,'实盘净值数据(iFinD）'!$Z768:$AA768/'实盘净值数据(iFinD）'!$Z$65:$AA$65))*(1-实盘持仓初始配置!$Z$8)^(('实盘净值数据(iFinD）'!$A768-'实盘净值数据(iFinD）'!$A$5)/365))</f>
        <v/>
      </c>
      <c r="O768" s="16" t="str">
        <f t="shared" si="76"/>
        <v/>
      </c>
      <c r="P768" s="16" t="str">
        <f>IF(N768="","",N768/MAX(N$5:N768)-1)</f>
        <v/>
      </c>
      <c r="Q768" s="13" t="str">
        <f>IF(OR('实盘净值数据(iFinD）'!$A768="",'实盘净值数据(iFinD）'!$B768="",'实盘净值数据(iFinD）'!$Z768="",'实盘净值数据(iFinD）'!$AA768=""),"",分期持仓明细!$AB$25*(SUMPRODUCT(分期持仓明细!$B$25:$Y$25,'实盘净值数据(iFinD）'!$B768:$Y768/'实盘净值数据(iFinD）'!$B$65:$Y$65)+SUMPRODUCT(分期持仓明细!$AC$25:$AD$25,'实盘净值数据(iFinD）'!$Z768:$AA768/'实盘净值数据(iFinD）'!$Z$65:$AA$65))*(1-实盘持仓初始配置!$Z$9)^(('实盘净值数据(iFinD）'!$A768-'实盘净值数据(iFinD）'!$A$8)/365))</f>
        <v/>
      </c>
      <c r="R768" s="16" t="str">
        <f t="shared" si="77"/>
        <v/>
      </c>
      <c r="S768" s="16" t="str">
        <f>IF(Q768="","",Q768/MAX(Q$5:Q768)-1)</f>
        <v/>
      </c>
      <c r="T768" s="13">
        <f>IF(OR('实盘净值数据(iFinD）'!$A768="",'实盘净值数据(iFinD）'!$B768="",'实盘净值数据(iFinD）'!$Z768="",'实盘净值数据(iFinD）'!$AA768="",'实盘净值数据(iFinD）'!$AB768="",'实盘净值数据(iFinD）'!$AL768=""),"",(SUMPRODUCT(分期持仓明细!$B$26:$Y$26,'实盘净值数据(iFinD）'!$B768:$Y768/'实盘净值数据(iFinD）'!$B$69:$Y$69)+SUMPRODUCT(分期持仓明细!$AC$26:$AD$26,'实盘净值数据(iFinD）'!$Z768:$AA768/'实盘净值数据(iFinD）'!$Z$69:$AA$69)+SUMPRODUCT(分期持仓明细!$AE$26:$AO$26,'实盘净值数据(iFinD）'!$AB768:$AL768/'实盘净值数据(iFinD）'!$AB$69:$AL$69))*(1-实盘持仓初始配置!$Z$10)^(('实盘净值数据(iFinD）'!$A768-'实盘净值数据(iFinD）'!$A$69)/365))</f>
        <v/>
      </c>
      <c r="U768" s="16">
        <f>IF(OR(T767="",T768=""),"",T768/T767-1)</f>
        <v/>
      </c>
      <c r="V768" s="16">
        <f>IF(T768="","",T768/MAX(T$5:T768)-1)</f>
        <v/>
      </c>
    </row>
    <row r="769" spans="1:19">
      <c r="A769" s="15" t="str">
        <f>IF('实盘净值数据(iFinD）'!A769="","",'实盘净值数据(iFinD）'!A769)</f>
        <v/>
      </c>
      <c r="B769" s="13" t="str">
        <f>IF(OR('实盘净值数据(iFinD）'!$A769="",'实盘净值数据(iFinD）'!$B769=""),"",分期持仓明细!$AB$17*SUMPRODUCT(分期持仓明细!$B$17:$Y$17,'实盘净值数据(iFinD）'!$B769:$Y769/'实盘净值数据(iFinD）'!$B$20:$Y$20)*(1-实盘持仓初始配置!$Z$4)^(('实盘净值数据(iFinD）'!$A769-'实盘净值数据(iFinD）'!$A$6)/365))</f>
        <v/>
      </c>
      <c r="C769" s="16" t="str">
        <f t="shared" si="72"/>
        <v/>
      </c>
      <c r="D769" s="16" t="str">
        <f>IF(B769="","",B769/MAX(B$5:B769)-1)</f>
        <v/>
      </c>
      <c r="E769" s="13" t="str">
        <f>IF(OR('实盘净值数据(iFinD）'!$A769="",'实盘净值数据(iFinD）'!$B769=""),"",分期持仓明细!$AB$18*SUMPRODUCT(分期持仓明细!$B$18:$Y$18,'实盘净值数据(iFinD）'!$B769:$Y769/'实盘净值数据(iFinD）'!$B$20:$Y$20)*(1-实盘持仓初始配置!$Z$5)^(('实盘净值数据(iFinD）'!$A769-'实盘净值数据(iFinD）'!$A$5)/365))</f>
        <v/>
      </c>
      <c r="F769" s="16" t="str">
        <f t="shared" si="73"/>
        <v/>
      </c>
      <c r="G769" s="16" t="str">
        <f>IF(E769="","",E769/MAX(E$5:E769)-1)</f>
        <v/>
      </c>
      <c r="H769" s="13" t="str">
        <f>IF(OR('实盘净值数据(iFinD）'!$A769="",'实盘净值数据(iFinD）'!$B769=""),"",分期持仓明细!$AB$19*SUMPRODUCT(分期持仓明细!$B$19:$Y$19,'实盘净值数据(iFinD）'!$B769:$Y769/'实盘净值数据(iFinD）'!$B$20:$Y$20)*(1-实盘持仓初始配置!$Z$6)^(('实盘净值数据(iFinD）'!$A769-'实盘净值数据(iFinD）'!$A$7)/365))</f>
        <v/>
      </c>
      <c r="I769" s="16" t="str">
        <f t="shared" si="74"/>
        <v/>
      </c>
      <c r="J769" s="16" t="str">
        <f>IF(H769="","",H769/MAX(H$5:H769)-1)</f>
        <v/>
      </c>
      <c r="K769" s="13" t="str">
        <f>IF(OR('实盘净值数据(iFinD）'!$A769="",'实盘净值数据(iFinD）'!$B769="",'实盘净值数据(iFinD）'!$Z769="",'实盘净值数据(iFinD）'!$AA769=""),"",分期持仓明细!$AB$23*(SUMPRODUCT(分期持仓明细!$B$23:$Y$23,'实盘净值数据(iFinD）'!$B769:$Y769/'实盘净值数据(iFinD）'!$B$65:$Y$65)+SUMPRODUCT(分期持仓明细!$AC$23:$AD$23,'实盘净值数据(iFinD）'!$Z769:$AA769/'实盘净值数据(iFinD）'!$Z$65:$AA$65))*(1-实盘持仓初始配置!$Z$7)^(('实盘净值数据(iFinD）'!$A769-'实盘净值数据(iFinD）'!$A$8)/365))</f>
        <v/>
      </c>
      <c r="L769" s="16" t="str">
        <f t="shared" si="75"/>
        <v/>
      </c>
      <c r="M769" s="16" t="str">
        <f>IF(K769="","",K769/MAX(K$5:K769)-1)</f>
        <v/>
      </c>
      <c r="N769" s="13" t="str">
        <f>IF(OR('实盘净值数据(iFinD）'!$A769="",'实盘净值数据(iFinD）'!$B769="",'实盘净值数据(iFinD）'!$Z769="",'实盘净值数据(iFinD）'!$AA769=""),"",分期持仓明细!$AB$24*(SUMPRODUCT(分期持仓明细!$B$24:$Y$24,'实盘净值数据(iFinD）'!$B769:$Y769/'实盘净值数据(iFinD）'!$B$65:$Y$65)+SUMPRODUCT(分期持仓明细!$AC$24:$AD$24,'实盘净值数据(iFinD）'!$Z769:$AA769/'实盘净值数据(iFinD）'!$Z$65:$AA$65))*(1-实盘持仓初始配置!$Z$8)^(('实盘净值数据(iFinD）'!$A769-'实盘净值数据(iFinD）'!$A$5)/365))</f>
        <v/>
      </c>
      <c r="O769" s="16" t="str">
        <f t="shared" si="76"/>
        <v/>
      </c>
      <c r="P769" s="16" t="str">
        <f>IF(N769="","",N769/MAX(N$5:N769)-1)</f>
        <v/>
      </c>
      <c r="Q769" s="13" t="str">
        <f>IF(OR('实盘净值数据(iFinD）'!$A769="",'实盘净值数据(iFinD）'!$B769="",'实盘净值数据(iFinD）'!$Z769="",'实盘净值数据(iFinD）'!$AA769=""),"",分期持仓明细!$AB$25*(SUMPRODUCT(分期持仓明细!$B$25:$Y$25,'实盘净值数据(iFinD）'!$B769:$Y769/'实盘净值数据(iFinD）'!$B$65:$Y$65)+SUMPRODUCT(分期持仓明细!$AC$25:$AD$25,'实盘净值数据(iFinD）'!$Z769:$AA769/'实盘净值数据(iFinD）'!$Z$65:$AA$65))*(1-实盘持仓初始配置!$Z$9)^(('实盘净值数据(iFinD）'!$A769-'实盘净值数据(iFinD）'!$A$8)/365))</f>
        <v/>
      </c>
      <c r="R769" s="16" t="str">
        <f t="shared" si="77"/>
        <v/>
      </c>
      <c r="S769" s="16" t="str">
        <f>IF(Q769="","",Q769/MAX(Q$5:Q769)-1)</f>
        <v/>
      </c>
      <c r="T769" s="13">
        <f>IF(OR('实盘净值数据(iFinD）'!$A769="",'实盘净值数据(iFinD）'!$B769="",'实盘净值数据(iFinD）'!$Z769="",'实盘净值数据(iFinD）'!$AA769="",'实盘净值数据(iFinD）'!$AB769="",'实盘净值数据(iFinD）'!$AL769=""),"",(SUMPRODUCT(分期持仓明细!$B$26:$Y$26,'实盘净值数据(iFinD）'!$B769:$Y769/'实盘净值数据(iFinD）'!$B$69:$Y$69)+SUMPRODUCT(分期持仓明细!$AC$26:$AD$26,'实盘净值数据(iFinD）'!$Z769:$AA769/'实盘净值数据(iFinD）'!$Z$69:$AA$69)+SUMPRODUCT(分期持仓明细!$AE$26:$AO$26,'实盘净值数据(iFinD）'!$AB769:$AL769/'实盘净值数据(iFinD）'!$AB$69:$AL$69))*(1-实盘持仓初始配置!$Z$10)^(('实盘净值数据(iFinD）'!$A769-'实盘净值数据(iFinD）'!$A$69)/365))</f>
        <v/>
      </c>
      <c r="U769" s="16">
        <f>IF(OR(T768="",T769=""),"",T769/T768-1)</f>
        <v/>
      </c>
      <c r="V769" s="16">
        <f>IF(T769="","",T769/MAX(T$5:T769)-1)</f>
        <v/>
      </c>
    </row>
    <row r="770" spans="1:19">
      <c r="A770" s="15" t="str">
        <f>IF('实盘净值数据(iFinD）'!A770="","",'实盘净值数据(iFinD）'!A770)</f>
        <v/>
      </c>
      <c r="B770" s="13" t="str">
        <f>IF(OR('实盘净值数据(iFinD）'!$A770="",'实盘净值数据(iFinD）'!$B770=""),"",分期持仓明细!$AB$17*SUMPRODUCT(分期持仓明细!$B$17:$Y$17,'实盘净值数据(iFinD）'!$B770:$Y770/'实盘净值数据(iFinD）'!$B$20:$Y$20)*(1-实盘持仓初始配置!$Z$4)^(('实盘净值数据(iFinD）'!$A770-'实盘净值数据(iFinD）'!$A$6)/365))</f>
        <v/>
      </c>
      <c r="C770" s="16" t="str">
        <f t="shared" si="72"/>
        <v/>
      </c>
      <c r="D770" s="16" t="str">
        <f>IF(B770="","",B770/MAX(B$5:B770)-1)</f>
        <v/>
      </c>
      <c r="E770" s="13" t="str">
        <f>IF(OR('实盘净值数据(iFinD）'!$A770="",'实盘净值数据(iFinD）'!$B770=""),"",分期持仓明细!$AB$18*SUMPRODUCT(分期持仓明细!$B$18:$Y$18,'实盘净值数据(iFinD）'!$B770:$Y770/'实盘净值数据(iFinD）'!$B$20:$Y$20)*(1-实盘持仓初始配置!$Z$5)^(('实盘净值数据(iFinD）'!$A770-'实盘净值数据(iFinD）'!$A$5)/365))</f>
        <v/>
      </c>
      <c r="F770" s="16" t="str">
        <f t="shared" si="73"/>
        <v/>
      </c>
      <c r="G770" s="16" t="str">
        <f>IF(E770="","",E770/MAX(E$5:E770)-1)</f>
        <v/>
      </c>
      <c r="H770" s="13" t="str">
        <f>IF(OR('实盘净值数据(iFinD）'!$A770="",'实盘净值数据(iFinD）'!$B770=""),"",分期持仓明细!$AB$19*SUMPRODUCT(分期持仓明细!$B$19:$Y$19,'实盘净值数据(iFinD）'!$B770:$Y770/'实盘净值数据(iFinD）'!$B$20:$Y$20)*(1-实盘持仓初始配置!$Z$6)^(('实盘净值数据(iFinD）'!$A770-'实盘净值数据(iFinD）'!$A$7)/365))</f>
        <v/>
      </c>
      <c r="I770" s="16" t="str">
        <f t="shared" si="74"/>
        <v/>
      </c>
      <c r="J770" s="16" t="str">
        <f>IF(H770="","",H770/MAX(H$5:H770)-1)</f>
        <v/>
      </c>
      <c r="K770" s="13" t="str">
        <f>IF(OR('实盘净值数据(iFinD）'!$A770="",'实盘净值数据(iFinD）'!$B770="",'实盘净值数据(iFinD）'!$Z770="",'实盘净值数据(iFinD）'!$AA770=""),"",分期持仓明细!$AB$23*(SUMPRODUCT(分期持仓明细!$B$23:$Y$23,'实盘净值数据(iFinD）'!$B770:$Y770/'实盘净值数据(iFinD）'!$B$65:$Y$65)+SUMPRODUCT(分期持仓明细!$AC$23:$AD$23,'实盘净值数据(iFinD）'!$Z770:$AA770/'实盘净值数据(iFinD）'!$Z$65:$AA$65))*(1-实盘持仓初始配置!$Z$7)^(('实盘净值数据(iFinD）'!$A770-'实盘净值数据(iFinD）'!$A$8)/365))</f>
        <v/>
      </c>
      <c r="L770" s="16" t="str">
        <f t="shared" si="75"/>
        <v/>
      </c>
      <c r="M770" s="16" t="str">
        <f>IF(K770="","",K770/MAX(K$5:K770)-1)</f>
        <v/>
      </c>
      <c r="N770" s="13" t="str">
        <f>IF(OR('实盘净值数据(iFinD）'!$A770="",'实盘净值数据(iFinD）'!$B770="",'实盘净值数据(iFinD）'!$Z770="",'实盘净值数据(iFinD）'!$AA770=""),"",分期持仓明细!$AB$24*(SUMPRODUCT(分期持仓明细!$B$24:$Y$24,'实盘净值数据(iFinD）'!$B770:$Y770/'实盘净值数据(iFinD）'!$B$65:$Y$65)+SUMPRODUCT(分期持仓明细!$AC$24:$AD$24,'实盘净值数据(iFinD）'!$Z770:$AA770/'实盘净值数据(iFinD）'!$Z$65:$AA$65))*(1-实盘持仓初始配置!$Z$8)^(('实盘净值数据(iFinD）'!$A770-'实盘净值数据(iFinD）'!$A$5)/365))</f>
        <v/>
      </c>
      <c r="O770" s="16" t="str">
        <f t="shared" si="76"/>
        <v/>
      </c>
      <c r="P770" s="16" t="str">
        <f>IF(N770="","",N770/MAX(N$5:N770)-1)</f>
        <v/>
      </c>
      <c r="Q770" s="13" t="str">
        <f>IF(OR('实盘净值数据(iFinD）'!$A770="",'实盘净值数据(iFinD）'!$B770="",'实盘净值数据(iFinD）'!$Z770="",'实盘净值数据(iFinD）'!$AA770=""),"",分期持仓明细!$AB$25*(SUMPRODUCT(分期持仓明细!$B$25:$Y$25,'实盘净值数据(iFinD）'!$B770:$Y770/'实盘净值数据(iFinD）'!$B$65:$Y$65)+SUMPRODUCT(分期持仓明细!$AC$25:$AD$25,'实盘净值数据(iFinD）'!$Z770:$AA770/'实盘净值数据(iFinD）'!$Z$65:$AA$65))*(1-实盘持仓初始配置!$Z$9)^(('实盘净值数据(iFinD）'!$A770-'实盘净值数据(iFinD）'!$A$8)/365))</f>
        <v/>
      </c>
      <c r="R770" s="16" t="str">
        <f t="shared" si="77"/>
        <v/>
      </c>
      <c r="S770" s="16" t="str">
        <f>IF(Q770="","",Q770/MAX(Q$5:Q770)-1)</f>
        <v/>
      </c>
      <c r="T770" s="13">
        <f>IF(OR('实盘净值数据(iFinD）'!$A770="",'实盘净值数据(iFinD）'!$B770="",'实盘净值数据(iFinD）'!$Z770="",'实盘净值数据(iFinD）'!$AA770="",'实盘净值数据(iFinD）'!$AB770="",'实盘净值数据(iFinD）'!$AL770=""),"",(SUMPRODUCT(分期持仓明细!$B$26:$Y$26,'实盘净值数据(iFinD）'!$B770:$Y770/'实盘净值数据(iFinD）'!$B$69:$Y$69)+SUMPRODUCT(分期持仓明细!$AC$26:$AD$26,'实盘净值数据(iFinD）'!$Z770:$AA770/'实盘净值数据(iFinD）'!$Z$69:$AA$69)+SUMPRODUCT(分期持仓明细!$AE$26:$AO$26,'实盘净值数据(iFinD）'!$AB770:$AL770/'实盘净值数据(iFinD）'!$AB$69:$AL$69))*(1-实盘持仓初始配置!$Z$10)^(('实盘净值数据(iFinD）'!$A770-'实盘净值数据(iFinD）'!$A$69)/365))</f>
        <v/>
      </c>
      <c r="U770" s="16">
        <f>IF(OR(T769="",T770=""),"",T770/T769-1)</f>
        <v/>
      </c>
      <c r="V770" s="16">
        <f>IF(T770="","",T770/MAX(T$5:T770)-1)</f>
        <v/>
      </c>
    </row>
    <row r="771" spans="1:19">
      <c r="A771" s="15" t="str">
        <f>IF('实盘净值数据(iFinD）'!A771="","",'实盘净值数据(iFinD）'!A771)</f>
        <v/>
      </c>
      <c r="B771" s="13" t="str">
        <f>IF(OR('实盘净值数据(iFinD）'!$A771="",'实盘净值数据(iFinD）'!$B771=""),"",分期持仓明细!$AB$17*SUMPRODUCT(分期持仓明细!$B$17:$Y$17,'实盘净值数据(iFinD）'!$B771:$Y771/'实盘净值数据(iFinD）'!$B$20:$Y$20)*(1-实盘持仓初始配置!$Z$4)^(('实盘净值数据(iFinD）'!$A771-'实盘净值数据(iFinD）'!$A$6)/365))</f>
        <v/>
      </c>
      <c r="C771" s="16" t="str">
        <f t="shared" si="72"/>
        <v/>
      </c>
      <c r="D771" s="16" t="str">
        <f>IF(B771="","",B771/MAX(B$5:B771)-1)</f>
        <v/>
      </c>
      <c r="E771" s="13" t="str">
        <f>IF(OR('实盘净值数据(iFinD）'!$A771="",'实盘净值数据(iFinD）'!$B771=""),"",分期持仓明细!$AB$18*SUMPRODUCT(分期持仓明细!$B$18:$Y$18,'实盘净值数据(iFinD）'!$B771:$Y771/'实盘净值数据(iFinD）'!$B$20:$Y$20)*(1-实盘持仓初始配置!$Z$5)^(('实盘净值数据(iFinD）'!$A771-'实盘净值数据(iFinD）'!$A$5)/365))</f>
        <v/>
      </c>
      <c r="F771" s="16" t="str">
        <f t="shared" si="73"/>
        <v/>
      </c>
      <c r="G771" s="16" t="str">
        <f>IF(E771="","",E771/MAX(E$5:E771)-1)</f>
        <v/>
      </c>
      <c r="H771" s="13" t="str">
        <f>IF(OR('实盘净值数据(iFinD）'!$A771="",'实盘净值数据(iFinD）'!$B771=""),"",分期持仓明细!$AB$19*SUMPRODUCT(分期持仓明细!$B$19:$Y$19,'实盘净值数据(iFinD）'!$B771:$Y771/'实盘净值数据(iFinD）'!$B$20:$Y$20)*(1-实盘持仓初始配置!$Z$6)^(('实盘净值数据(iFinD）'!$A771-'实盘净值数据(iFinD）'!$A$7)/365))</f>
        <v/>
      </c>
      <c r="I771" s="16" t="str">
        <f t="shared" si="74"/>
        <v/>
      </c>
      <c r="J771" s="16" t="str">
        <f>IF(H771="","",H771/MAX(H$5:H771)-1)</f>
        <v/>
      </c>
      <c r="K771" s="13" t="str">
        <f>IF(OR('实盘净值数据(iFinD）'!$A771="",'实盘净值数据(iFinD）'!$B771="",'实盘净值数据(iFinD）'!$Z771="",'实盘净值数据(iFinD）'!$AA771=""),"",分期持仓明细!$AB$23*(SUMPRODUCT(分期持仓明细!$B$23:$Y$23,'实盘净值数据(iFinD）'!$B771:$Y771/'实盘净值数据(iFinD）'!$B$65:$Y$65)+SUMPRODUCT(分期持仓明细!$AC$23:$AD$23,'实盘净值数据(iFinD）'!$Z771:$AA771/'实盘净值数据(iFinD）'!$Z$65:$AA$65))*(1-实盘持仓初始配置!$Z$7)^(('实盘净值数据(iFinD）'!$A771-'实盘净值数据(iFinD）'!$A$8)/365))</f>
        <v/>
      </c>
      <c r="L771" s="16" t="str">
        <f t="shared" si="75"/>
        <v/>
      </c>
      <c r="M771" s="16" t="str">
        <f>IF(K771="","",K771/MAX(K$5:K771)-1)</f>
        <v/>
      </c>
      <c r="N771" s="13" t="str">
        <f>IF(OR('实盘净值数据(iFinD）'!$A771="",'实盘净值数据(iFinD）'!$B771="",'实盘净值数据(iFinD）'!$Z771="",'实盘净值数据(iFinD）'!$AA771=""),"",分期持仓明细!$AB$24*(SUMPRODUCT(分期持仓明细!$B$24:$Y$24,'实盘净值数据(iFinD）'!$B771:$Y771/'实盘净值数据(iFinD）'!$B$65:$Y$65)+SUMPRODUCT(分期持仓明细!$AC$24:$AD$24,'实盘净值数据(iFinD）'!$Z771:$AA771/'实盘净值数据(iFinD）'!$Z$65:$AA$65))*(1-实盘持仓初始配置!$Z$8)^(('实盘净值数据(iFinD）'!$A771-'实盘净值数据(iFinD）'!$A$5)/365))</f>
        <v/>
      </c>
      <c r="O771" s="16" t="str">
        <f t="shared" si="76"/>
        <v/>
      </c>
      <c r="P771" s="16" t="str">
        <f>IF(N771="","",N771/MAX(N$5:N771)-1)</f>
        <v/>
      </c>
      <c r="Q771" s="13" t="str">
        <f>IF(OR('实盘净值数据(iFinD）'!$A771="",'实盘净值数据(iFinD）'!$B771="",'实盘净值数据(iFinD）'!$Z771="",'实盘净值数据(iFinD）'!$AA771=""),"",分期持仓明细!$AB$25*(SUMPRODUCT(分期持仓明细!$B$25:$Y$25,'实盘净值数据(iFinD）'!$B771:$Y771/'实盘净值数据(iFinD）'!$B$65:$Y$65)+SUMPRODUCT(分期持仓明细!$AC$25:$AD$25,'实盘净值数据(iFinD）'!$Z771:$AA771/'实盘净值数据(iFinD）'!$Z$65:$AA$65))*(1-实盘持仓初始配置!$Z$9)^(('实盘净值数据(iFinD）'!$A771-'实盘净值数据(iFinD）'!$A$8)/365))</f>
        <v/>
      </c>
      <c r="R771" s="16" t="str">
        <f t="shared" si="77"/>
        <v/>
      </c>
      <c r="S771" s="16" t="str">
        <f>IF(Q771="","",Q771/MAX(Q$5:Q771)-1)</f>
        <v/>
      </c>
      <c r="T771" s="13">
        <f>IF(OR('实盘净值数据(iFinD）'!$A771="",'实盘净值数据(iFinD）'!$B771="",'实盘净值数据(iFinD）'!$Z771="",'实盘净值数据(iFinD）'!$AA771="",'实盘净值数据(iFinD）'!$AB771="",'实盘净值数据(iFinD）'!$AL771=""),"",(SUMPRODUCT(分期持仓明细!$B$26:$Y$26,'实盘净值数据(iFinD）'!$B771:$Y771/'实盘净值数据(iFinD）'!$B$69:$Y$69)+SUMPRODUCT(分期持仓明细!$AC$26:$AD$26,'实盘净值数据(iFinD）'!$Z771:$AA771/'实盘净值数据(iFinD）'!$Z$69:$AA$69)+SUMPRODUCT(分期持仓明细!$AE$26:$AO$26,'实盘净值数据(iFinD）'!$AB771:$AL771/'实盘净值数据(iFinD）'!$AB$69:$AL$69))*(1-实盘持仓初始配置!$Z$10)^(('实盘净值数据(iFinD）'!$A771-'实盘净值数据(iFinD）'!$A$69)/365))</f>
        <v/>
      </c>
      <c r="U771" s="16">
        <f>IF(OR(T770="",T771=""),"",T771/T770-1)</f>
        <v/>
      </c>
      <c r="V771" s="16">
        <f>IF(T771="","",T771/MAX(T$5:T771)-1)</f>
        <v/>
      </c>
    </row>
    <row r="772" spans="1:19">
      <c r="A772" s="15" t="str">
        <f>IF('实盘净值数据(iFinD）'!A772="","",'实盘净值数据(iFinD）'!A772)</f>
        <v/>
      </c>
      <c r="B772" s="13" t="str">
        <f>IF(OR('实盘净值数据(iFinD）'!$A772="",'实盘净值数据(iFinD）'!$B772=""),"",分期持仓明细!$AB$17*SUMPRODUCT(分期持仓明细!$B$17:$Y$17,'实盘净值数据(iFinD）'!$B772:$Y772/'实盘净值数据(iFinD）'!$B$20:$Y$20)*(1-实盘持仓初始配置!$Z$4)^(('实盘净值数据(iFinD）'!$A772-'实盘净值数据(iFinD）'!$A$6)/365))</f>
        <v/>
      </c>
      <c r="C772" s="16" t="str">
        <f t="shared" si="72"/>
        <v/>
      </c>
      <c r="D772" s="16" t="str">
        <f>IF(B772="","",B772/MAX(B$5:B772)-1)</f>
        <v/>
      </c>
      <c r="E772" s="13" t="str">
        <f>IF(OR('实盘净值数据(iFinD）'!$A772="",'实盘净值数据(iFinD）'!$B772=""),"",分期持仓明细!$AB$18*SUMPRODUCT(分期持仓明细!$B$18:$Y$18,'实盘净值数据(iFinD）'!$B772:$Y772/'实盘净值数据(iFinD）'!$B$20:$Y$20)*(1-实盘持仓初始配置!$Z$5)^(('实盘净值数据(iFinD）'!$A772-'实盘净值数据(iFinD）'!$A$5)/365))</f>
        <v/>
      </c>
      <c r="F772" s="16" t="str">
        <f t="shared" si="73"/>
        <v/>
      </c>
      <c r="G772" s="16" t="str">
        <f>IF(E772="","",E772/MAX(E$5:E772)-1)</f>
        <v/>
      </c>
      <c r="H772" s="13" t="str">
        <f>IF(OR('实盘净值数据(iFinD）'!$A772="",'实盘净值数据(iFinD）'!$B772=""),"",分期持仓明细!$AB$19*SUMPRODUCT(分期持仓明细!$B$19:$Y$19,'实盘净值数据(iFinD）'!$B772:$Y772/'实盘净值数据(iFinD）'!$B$20:$Y$20)*(1-实盘持仓初始配置!$Z$6)^(('实盘净值数据(iFinD）'!$A772-'实盘净值数据(iFinD）'!$A$7)/365))</f>
        <v/>
      </c>
      <c r="I772" s="16" t="str">
        <f t="shared" si="74"/>
        <v/>
      </c>
      <c r="J772" s="16" t="str">
        <f>IF(H772="","",H772/MAX(H$5:H772)-1)</f>
        <v/>
      </c>
      <c r="K772" s="13" t="str">
        <f>IF(OR('实盘净值数据(iFinD）'!$A772="",'实盘净值数据(iFinD）'!$B772="",'实盘净值数据(iFinD）'!$Z772="",'实盘净值数据(iFinD）'!$AA772=""),"",分期持仓明细!$AB$23*(SUMPRODUCT(分期持仓明细!$B$23:$Y$23,'实盘净值数据(iFinD）'!$B772:$Y772/'实盘净值数据(iFinD）'!$B$65:$Y$65)+SUMPRODUCT(分期持仓明细!$AC$23:$AD$23,'实盘净值数据(iFinD）'!$Z772:$AA772/'实盘净值数据(iFinD）'!$Z$65:$AA$65))*(1-实盘持仓初始配置!$Z$7)^(('实盘净值数据(iFinD）'!$A772-'实盘净值数据(iFinD）'!$A$8)/365))</f>
        <v/>
      </c>
      <c r="L772" s="16" t="str">
        <f t="shared" si="75"/>
        <v/>
      </c>
      <c r="M772" s="16" t="str">
        <f>IF(K772="","",K772/MAX(K$5:K772)-1)</f>
        <v/>
      </c>
      <c r="N772" s="13" t="str">
        <f>IF(OR('实盘净值数据(iFinD）'!$A772="",'实盘净值数据(iFinD）'!$B772="",'实盘净值数据(iFinD）'!$Z772="",'实盘净值数据(iFinD）'!$AA772=""),"",分期持仓明细!$AB$24*(SUMPRODUCT(分期持仓明细!$B$24:$Y$24,'实盘净值数据(iFinD）'!$B772:$Y772/'实盘净值数据(iFinD）'!$B$65:$Y$65)+SUMPRODUCT(分期持仓明细!$AC$24:$AD$24,'实盘净值数据(iFinD）'!$Z772:$AA772/'实盘净值数据(iFinD）'!$Z$65:$AA$65))*(1-实盘持仓初始配置!$Z$8)^(('实盘净值数据(iFinD）'!$A772-'实盘净值数据(iFinD）'!$A$5)/365))</f>
        <v/>
      </c>
      <c r="O772" s="16" t="str">
        <f t="shared" si="76"/>
        <v/>
      </c>
      <c r="P772" s="16" t="str">
        <f>IF(N772="","",N772/MAX(N$5:N772)-1)</f>
        <v/>
      </c>
      <c r="Q772" s="13" t="str">
        <f>IF(OR('实盘净值数据(iFinD）'!$A772="",'实盘净值数据(iFinD）'!$B772="",'实盘净值数据(iFinD）'!$Z772="",'实盘净值数据(iFinD）'!$AA772=""),"",分期持仓明细!$AB$25*(SUMPRODUCT(分期持仓明细!$B$25:$Y$25,'实盘净值数据(iFinD）'!$B772:$Y772/'实盘净值数据(iFinD）'!$B$65:$Y$65)+SUMPRODUCT(分期持仓明细!$AC$25:$AD$25,'实盘净值数据(iFinD）'!$Z772:$AA772/'实盘净值数据(iFinD）'!$Z$65:$AA$65))*(1-实盘持仓初始配置!$Z$9)^(('实盘净值数据(iFinD）'!$A772-'实盘净值数据(iFinD）'!$A$8)/365))</f>
        <v/>
      </c>
      <c r="R772" s="16" t="str">
        <f t="shared" si="77"/>
        <v/>
      </c>
      <c r="S772" s="16" t="str">
        <f>IF(Q772="","",Q772/MAX(Q$5:Q772)-1)</f>
        <v/>
      </c>
      <c r="T772" s="13">
        <f>IF(OR('实盘净值数据(iFinD）'!$A772="",'实盘净值数据(iFinD）'!$B772="",'实盘净值数据(iFinD）'!$Z772="",'实盘净值数据(iFinD）'!$AA772="",'实盘净值数据(iFinD）'!$AB772="",'实盘净值数据(iFinD）'!$AL772=""),"",(SUMPRODUCT(分期持仓明细!$B$26:$Y$26,'实盘净值数据(iFinD）'!$B772:$Y772/'实盘净值数据(iFinD）'!$B$69:$Y$69)+SUMPRODUCT(分期持仓明细!$AC$26:$AD$26,'实盘净值数据(iFinD）'!$Z772:$AA772/'实盘净值数据(iFinD）'!$Z$69:$AA$69)+SUMPRODUCT(分期持仓明细!$AE$26:$AO$26,'实盘净值数据(iFinD）'!$AB772:$AL772/'实盘净值数据(iFinD）'!$AB$69:$AL$69))*(1-实盘持仓初始配置!$Z$10)^(('实盘净值数据(iFinD）'!$A772-'实盘净值数据(iFinD）'!$A$69)/365))</f>
        <v/>
      </c>
      <c r="U772" s="16">
        <f>IF(OR(T771="",T772=""),"",T772/T771-1)</f>
        <v/>
      </c>
      <c r="V772" s="16">
        <f>IF(T772="","",T772/MAX(T$5:T772)-1)</f>
        <v/>
      </c>
    </row>
    <row r="773" spans="1:19">
      <c r="A773" s="15" t="str">
        <f>IF('实盘净值数据(iFinD）'!A773="","",'实盘净值数据(iFinD）'!A773)</f>
        <v/>
      </c>
      <c r="B773" s="13" t="str">
        <f>IF(OR('实盘净值数据(iFinD）'!$A773="",'实盘净值数据(iFinD）'!$B773=""),"",分期持仓明细!$AB$17*SUMPRODUCT(分期持仓明细!$B$17:$Y$17,'实盘净值数据(iFinD）'!$B773:$Y773/'实盘净值数据(iFinD）'!$B$20:$Y$20)*(1-实盘持仓初始配置!$Z$4)^(('实盘净值数据(iFinD）'!$A773-'实盘净值数据(iFinD）'!$A$6)/365))</f>
        <v/>
      </c>
      <c r="C773" s="16" t="str">
        <f t="shared" si="72"/>
        <v/>
      </c>
      <c r="D773" s="16" t="str">
        <f>IF(B773="","",B773/MAX(B$5:B773)-1)</f>
        <v/>
      </c>
      <c r="E773" s="13" t="str">
        <f>IF(OR('实盘净值数据(iFinD）'!$A773="",'实盘净值数据(iFinD）'!$B773=""),"",分期持仓明细!$AB$18*SUMPRODUCT(分期持仓明细!$B$18:$Y$18,'实盘净值数据(iFinD）'!$B773:$Y773/'实盘净值数据(iFinD）'!$B$20:$Y$20)*(1-实盘持仓初始配置!$Z$5)^(('实盘净值数据(iFinD）'!$A773-'实盘净值数据(iFinD）'!$A$5)/365))</f>
        <v/>
      </c>
      <c r="F773" s="16" t="str">
        <f t="shared" si="73"/>
        <v/>
      </c>
      <c r="G773" s="16" t="str">
        <f>IF(E773="","",E773/MAX(E$5:E773)-1)</f>
        <v/>
      </c>
      <c r="H773" s="13" t="str">
        <f>IF(OR('实盘净值数据(iFinD）'!$A773="",'实盘净值数据(iFinD）'!$B773=""),"",分期持仓明细!$AB$19*SUMPRODUCT(分期持仓明细!$B$19:$Y$19,'实盘净值数据(iFinD）'!$B773:$Y773/'实盘净值数据(iFinD）'!$B$20:$Y$20)*(1-实盘持仓初始配置!$Z$6)^(('实盘净值数据(iFinD）'!$A773-'实盘净值数据(iFinD）'!$A$7)/365))</f>
        <v/>
      </c>
      <c r="I773" s="16" t="str">
        <f t="shared" si="74"/>
        <v/>
      </c>
      <c r="J773" s="16" t="str">
        <f>IF(H773="","",H773/MAX(H$5:H773)-1)</f>
        <v/>
      </c>
      <c r="K773" s="13" t="str">
        <f>IF(OR('实盘净值数据(iFinD）'!$A773="",'实盘净值数据(iFinD）'!$B773="",'实盘净值数据(iFinD）'!$Z773="",'实盘净值数据(iFinD）'!$AA773=""),"",分期持仓明细!$AB$23*(SUMPRODUCT(分期持仓明细!$B$23:$Y$23,'实盘净值数据(iFinD）'!$B773:$Y773/'实盘净值数据(iFinD）'!$B$65:$Y$65)+SUMPRODUCT(分期持仓明细!$AC$23:$AD$23,'实盘净值数据(iFinD）'!$Z773:$AA773/'实盘净值数据(iFinD）'!$Z$65:$AA$65))*(1-实盘持仓初始配置!$Z$7)^(('实盘净值数据(iFinD）'!$A773-'实盘净值数据(iFinD）'!$A$8)/365))</f>
        <v/>
      </c>
      <c r="L773" s="16" t="str">
        <f t="shared" si="75"/>
        <v/>
      </c>
      <c r="M773" s="16" t="str">
        <f>IF(K773="","",K773/MAX(K$5:K773)-1)</f>
        <v/>
      </c>
      <c r="N773" s="13" t="str">
        <f>IF(OR('实盘净值数据(iFinD）'!$A773="",'实盘净值数据(iFinD）'!$B773="",'实盘净值数据(iFinD）'!$Z773="",'实盘净值数据(iFinD）'!$AA773=""),"",分期持仓明细!$AB$24*(SUMPRODUCT(分期持仓明细!$B$24:$Y$24,'实盘净值数据(iFinD）'!$B773:$Y773/'实盘净值数据(iFinD）'!$B$65:$Y$65)+SUMPRODUCT(分期持仓明细!$AC$24:$AD$24,'实盘净值数据(iFinD）'!$Z773:$AA773/'实盘净值数据(iFinD）'!$Z$65:$AA$65))*(1-实盘持仓初始配置!$Z$8)^(('实盘净值数据(iFinD）'!$A773-'实盘净值数据(iFinD）'!$A$5)/365))</f>
        <v/>
      </c>
      <c r="O773" s="16" t="str">
        <f t="shared" si="76"/>
        <v/>
      </c>
      <c r="P773" s="16" t="str">
        <f>IF(N773="","",N773/MAX(N$5:N773)-1)</f>
        <v/>
      </c>
      <c r="Q773" s="13" t="str">
        <f>IF(OR('实盘净值数据(iFinD）'!$A773="",'实盘净值数据(iFinD）'!$B773="",'实盘净值数据(iFinD）'!$Z773="",'实盘净值数据(iFinD）'!$AA773=""),"",分期持仓明细!$AB$25*(SUMPRODUCT(分期持仓明细!$B$25:$Y$25,'实盘净值数据(iFinD）'!$B773:$Y773/'实盘净值数据(iFinD）'!$B$65:$Y$65)+SUMPRODUCT(分期持仓明细!$AC$25:$AD$25,'实盘净值数据(iFinD）'!$Z773:$AA773/'实盘净值数据(iFinD）'!$Z$65:$AA$65))*(1-实盘持仓初始配置!$Z$9)^(('实盘净值数据(iFinD）'!$A773-'实盘净值数据(iFinD）'!$A$8)/365))</f>
        <v/>
      </c>
      <c r="R773" s="16" t="str">
        <f t="shared" si="77"/>
        <v/>
      </c>
      <c r="S773" s="16" t="str">
        <f>IF(Q773="","",Q773/MAX(Q$5:Q773)-1)</f>
        <v/>
      </c>
      <c r="T773" s="13">
        <f>IF(OR('实盘净值数据(iFinD）'!$A773="",'实盘净值数据(iFinD）'!$B773="",'实盘净值数据(iFinD）'!$Z773="",'实盘净值数据(iFinD）'!$AA773="",'实盘净值数据(iFinD）'!$AB773="",'实盘净值数据(iFinD）'!$AL773=""),"",(SUMPRODUCT(分期持仓明细!$B$26:$Y$26,'实盘净值数据(iFinD）'!$B773:$Y773/'实盘净值数据(iFinD）'!$B$69:$Y$69)+SUMPRODUCT(分期持仓明细!$AC$26:$AD$26,'实盘净值数据(iFinD）'!$Z773:$AA773/'实盘净值数据(iFinD）'!$Z$69:$AA$69)+SUMPRODUCT(分期持仓明细!$AE$26:$AO$26,'实盘净值数据(iFinD）'!$AB773:$AL773/'实盘净值数据(iFinD）'!$AB$69:$AL$69))*(1-实盘持仓初始配置!$Z$10)^(('实盘净值数据(iFinD）'!$A773-'实盘净值数据(iFinD）'!$A$69)/365))</f>
        <v/>
      </c>
      <c r="U773" s="16">
        <f>IF(OR(T772="",T773=""),"",T773/T772-1)</f>
        <v/>
      </c>
      <c r="V773" s="16">
        <f>IF(T773="","",T773/MAX(T$5:T773)-1)</f>
        <v/>
      </c>
    </row>
    <row r="774" spans="1:19">
      <c r="A774" s="15" t="str">
        <f>IF('实盘净值数据(iFinD）'!A774="","",'实盘净值数据(iFinD）'!A774)</f>
        <v/>
      </c>
      <c r="B774" s="13" t="str">
        <f>IF(OR('实盘净值数据(iFinD）'!$A774="",'实盘净值数据(iFinD）'!$B774=""),"",分期持仓明细!$AB$17*SUMPRODUCT(分期持仓明细!$B$17:$Y$17,'实盘净值数据(iFinD）'!$B774:$Y774/'实盘净值数据(iFinD）'!$B$20:$Y$20)*(1-实盘持仓初始配置!$Z$4)^(('实盘净值数据(iFinD）'!$A774-'实盘净值数据(iFinD）'!$A$6)/365))</f>
        <v/>
      </c>
      <c r="C774" s="16" t="str">
        <f t="shared" si="72"/>
        <v/>
      </c>
      <c r="D774" s="16" t="str">
        <f>IF(B774="","",B774/MAX(B$5:B774)-1)</f>
        <v/>
      </c>
      <c r="E774" s="13" t="str">
        <f>IF(OR('实盘净值数据(iFinD）'!$A774="",'实盘净值数据(iFinD）'!$B774=""),"",分期持仓明细!$AB$18*SUMPRODUCT(分期持仓明细!$B$18:$Y$18,'实盘净值数据(iFinD）'!$B774:$Y774/'实盘净值数据(iFinD）'!$B$20:$Y$20)*(1-实盘持仓初始配置!$Z$5)^(('实盘净值数据(iFinD）'!$A774-'实盘净值数据(iFinD）'!$A$5)/365))</f>
        <v/>
      </c>
      <c r="F774" s="16" t="str">
        <f t="shared" si="73"/>
        <v/>
      </c>
      <c r="G774" s="16" t="str">
        <f>IF(E774="","",E774/MAX(E$5:E774)-1)</f>
        <v/>
      </c>
      <c r="H774" s="13" t="str">
        <f>IF(OR('实盘净值数据(iFinD）'!$A774="",'实盘净值数据(iFinD）'!$B774=""),"",分期持仓明细!$AB$19*SUMPRODUCT(分期持仓明细!$B$19:$Y$19,'实盘净值数据(iFinD）'!$B774:$Y774/'实盘净值数据(iFinD）'!$B$20:$Y$20)*(1-实盘持仓初始配置!$Z$6)^(('实盘净值数据(iFinD）'!$A774-'实盘净值数据(iFinD）'!$A$7)/365))</f>
        <v/>
      </c>
      <c r="I774" s="16" t="str">
        <f t="shared" si="74"/>
        <v/>
      </c>
      <c r="J774" s="16" t="str">
        <f>IF(H774="","",H774/MAX(H$5:H774)-1)</f>
        <v/>
      </c>
      <c r="K774" s="13" t="str">
        <f>IF(OR('实盘净值数据(iFinD）'!$A774="",'实盘净值数据(iFinD）'!$B774="",'实盘净值数据(iFinD）'!$Z774="",'实盘净值数据(iFinD）'!$AA774=""),"",分期持仓明细!$AB$23*(SUMPRODUCT(分期持仓明细!$B$23:$Y$23,'实盘净值数据(iFinD）'!$B774:$Y774/'实盘净值数据(iFinD）'!$B$65:$Y$65)+SUMPRODUCT(分期持仓明细!$AC$23:$AD$23,'实盘净值数据(iFinD）'!$Z774:$AA774/'实盘净值数据(iFinD）'!$Z$65:$AA$65))*(1-实盘持仓初始配置!$Z$7)^(('实盘净值数据(iFinD）'!$A774-'实盘净值数据(iFinD）'!$A$8)/365))</f>
        <v/>
      </c>
      <c r="L774" s="16" t="str">
        <f t="shared" si="75"/>
        <v/>
      </c>
      <c r="M774" s="16" t="str">
        <f>IF(K774="","",K774/MAX(K$5:K774)-1)</f>
        <v/>
      </c>
      <c r="N774" s="13" t="str">
        <f>IF(OR('实盘净值数据(iFinD）'!$A774="",'实盘净值数据(iFinD）'!$B774="",'实盘净值数据(iFinD）'!$Z774="",'实盘净值数据(iFinD）'!$AA774=""),"",分期持仓明细!$AB$24*(SUMPRODUCT(分期持仓明细!$B$24:$Y$24,'实盘净值数据(iFinD）'!$B774:$Y774/'实盘净值数据(iFinD）'!$B$65:$Y$65)+SUMPRODUCT(分期持仓明细!$AC$24:$AD$24,'实盘净值数据(iFinD）'!$Z774:$AA774/'实盘净值数据(iFinD）'!$Z$65:$AA$65))*(1-实盘持仓初始配置!$Z$8)^(('实盘净值数据(iFinD）'!$A774-'实盘净值数据(iFinD）'!$A$5)/365))</f>
        <v/>
      </c>
      <c r="O774" s="16" t="str">
        <f t="shared" si="76"/>
        <v/>
      </c>
      <c r="P774" s="16" t="str">
        <f>IF(N774="","",N774/MAX(N$5:N774)-1)</f>
        <v/>
      </c>
      <c r="Q774" s="13" t="str">
        <f>IF(OR('实盘净值数据(iFinD）'!$A774="",'实盘净值数据(iFinD）'!$B774="",'实盘净值数据(iFinD）'!$Z774="",'实盘净值数据(iFinD）'!$AA774=""),"",分期持仓明细!$AB$25*(SUMPRODUCT(分期持仓明细!$B$25:$Y$25,'实盘净值数据(iFinD）'!$B774:$Y774/'实盘净值数据(iFinD）'!$B$65:$Y$65)+SUMPRODUCT(分期持仓明细!$AC$25:$AD$25,'实盘净值数据(iFinD）'!$Z774:$AA774/'实盘净值数据(iFinD）'!$Z$65:$AA$65))*(1-实盘持仓初始配置!$Z$9)^(('实盘净值数据(iFinD）'!$A774-'实盘净值数据(iFinD）'!$A$8)/365))</f>
        <v/>
      </c>
      <c r="R774" s="16" t="str">
        <f t="shared" si="77"/>
        <v/>
      </c>
      <c r="S774" s="16" t="str">
        <f>IF(Q774="","",Q774/MAX(Q$5:Q774)-1)</f>
        <v/>
      </c>
      <c r="T774" s="13">
        <f>IF(OR('实盘净值数据(iFinD）'!$A774="",'实盘净值数据(iFinD）'!$B774="",'实盘净值数据(iFinD）'!$Z774="",'实盘净值数据(iFinD）'!$AA774="",'实盘净值数据(iFinD）'!$AB774="",'实盘净值数据(iFinD）'!$AL774=""),"",(SUMPRODUCT(分期持仓明细!$B$26:$Y$26,'实盘净值数据(iFinD）'!$B774:$Y774/'实盘净值数据(iFinD）'!$B$69:$Y$69)+SUMPRODUCT(分期持仓明细!$AC$26:$AD$26,'实盘净值数据(iFinD）'!$Z774:$AA774/'实盘净值数据(iFinD）'!$Z$69:$AA$69)+SUMPRODUCT(分期持仓明细!$AE$26:$AO$26,'实盘净值数据(iFinD）'!$AB774:$AL774/'实盘净值数据(iFinD）'!$AB$69:$AL$69))*(1-实盘持仓初始配置!$Z$10)^(('实盘净值数据(iFinD）'!$A774-'实盘净值数据(iFinD）'!$A$69)/365))</f>
        <v/>
      </c>
      <c r="U774" s="16">
        <f>IF(OR(T773="",T774=""),"",T774/T773-1)</f>
        <v/>
      </c>
      <c r="V774" s="16">
        <f>IF(T774="","",T774/MAX(T$5:T774)-1)</f>
        <v/>
      </c>
    </row>
    <row r="775" spans="1:19">
      <c r="A775" s="15" t="str">
        <f>IF('实盘净值数据(iFinD）'!A775="","",'实盘净值数据(iFinD）'!A775)</f>
        <v/>
      </c>
      <c r="B775" s="13" t="str">
        <f>IF(OR('实盘净值数据(iFinD）'!$A775="",'实盘净值数据(iFinD）'!$B775=""),"",分期持仓明细!$AB$17*SUMPRODUCT(分期持仓明细!$B$17:$Y$17,'实盘净值数据(iFinD）'!$B775:$Y775/'实盘净值数据(iFinD）'!$B$20:$Y$20)*(1-实盘持仓初始配置!$Z$4)^(('实盘净值数据(iFinD）'!$A775-'实盘净值数据(iFinD）'!$A$6)/365))</f>
        <v/>
      </c>
      <c r="C775" s="16" t="str">
        <f t="shared" si="72"/>
        <v/>
      </c>
      <c r="D775" s="16" t="str">
        <f>IF(B775="","",B775/MAX(B$5:B775)-1)</f>
        <v/>
      </c>
      <c r="E775" s="13" t="str">
        <f>IF(OR('实盘净值数据(iFinD）'!$A775="",'实盘净值数据(iFinD）'!$B775=""),"",分期持仓明细!$AB$18*SUMPRODUCT(分期持仓明细!$B$18:$Y$18,'实盘净值数据(iFinD）'!$B775:$Y775/'实盘净值数据(iFinD）'!$B$20:$Y$20)*(1-实盘持仓初始配置!$Z$5)^(('实盘净值数据(iFinD）'!$A775-'实盘净值数据(iFinD）'!$A$5)/365))</f>
        <v/>
      </c>
      <c r="F775" s="16" t="str">
        <f t="shared" si="73"/>
        <v/>
      </c>
      <c r="G775" s="16" t="str">
        <f>IF(E775="","",E775/MAX(E$5:E775)-1)</f>
        <v/>
      </c>
      <c r="H775" s="13" t="str">
        <f>IF(OR('实盘净值数据(iFinD）'!$A775="",'实盘净值数据(iFinD）'!$B775=""),"",分期持仓明细!$AB$19*SUMPRODUCT(分期持仓明细!$B$19:$Y$19,'实盘净值数据(iFinD）'!$B775:$Y775/'实盘净值数据(iFinD）'!$B$20:$Y$20)*(1-实盘持仓初始配置!$Z$6)^(('实盘净值数据(iFinD）'!$A775-'实盘净值数据(iFinD）'!$A$7)/365))</f>
        <v/>
      </c>
      <c r="I775" s="16" t="str">
        <f t="shared" si="74"/>
        <v/>
      </c>
      <c r="J775" s="16" t="str">
        <f>IF(H775="","",H775/MAX(H$5:H775)-1)</f>
        <v/>
      </c>
      <c r="K775" s="13" t="str">
        <f>IF(OR('实盘净值数据(iFinD）'!$A775="",'实盘净值数据(iFinD）'!$B775="",'实盘净值数据(iFinD）'!$Z775="",'实盘净值数据(iFinD）'!$AA775=""),"",分期持仓明细!$AB$23*(SUMPRODUCT(分期持仓明细!$B$23:$Y$23,'实盘净值数据(iFinD）'!$B775:$Y775/'实盘净值数据(iFinD）'!$B$65:$Y$65)+SUMPRODUCT(分期持仓明细!$AC$23:$AD$23,'实盘净值数据(iFinD）'!$Z775:$AA775/'实盘净值数据(iFinD）'!$Z$65:$AA$65))*(1-实盘持仓初始配置!$Z$7)^(('实盘净值数据(iFinD）'!$A775-'实盘净值数据(iFinD）'!$A$8)/365))</f>
        <v/>
      </c>
      <c r="L775" s="16" t="str">
        <f t="shared" si="75"/>
        <v/>
      </c>
      <c r="M775" s="16" t="str">
        <f>IF(K775="","",K775/MAX(K$5:K775)-1)</f>
        <v/>
      </c>
      <c r="N775" s="13" t="str">
        <f>IF(OR('实盘净值数据(iFinD）'!$A775="",'实盘净值数据(iFinD）'!$B775="",'实盘净值数据(iFinD）'!$Z775="",'实盘净值数据(iFinD）'!$AA775=""),"",分期持仓明细!$AB$24*(SUMPRODUCT(分期持仓明细!$B$24:$Y$24,'实盘净值数据(iFinD）'!$B775:$Y775/'实盘净值数据(iFinD）'!$B$65:$Y$65)+SUMPRODUCT(分期持仓明细!$AC$24:$AD$24,'实盘净值数据(iFinD）'!$Z775:$AA775/'实盘净值数据(iFinD）'!$Z$65:$AA$65))*(1-实盘持仓初始配置!$Z$8)^(('实盘净值数据(iFinD）'!$A775-'实盘净值数据(iFinD）'!$A$5)/365))</f>
        <v/>
      </c>
      <c r="O775" s="16" t="str">
        <f t="shared" si="76"/>
        <v/>
      </c>
      <c r="P775" s="16" t="str">
        <f>IF(N775="","",N775/MAX(N$5:N775)-1)</f>
        <v/>
      </c>
      <c r="Q775" s="13" t="str">
        <f>IF(OR('实盘净值数据(iFinD）'!$A775="",'实盘净值数据(iFinD）'!$B775="",'实盘净值数据(iFinD）'!$Z775="",'实盘净值数据(iFinD）'!$AA775=""),"",分期持仓明细!$AB$25*(SUMPRODUCT(分期持仓明细!$B$25:$Y$25,'实盘净值数据(iFinD）'!$B775:$Y775/'实盘净值数据(iFinD）'!$B$65:$Y$65)+SUMPRODUCT(分期持仓明细!$AC$25:$AD$25,'实盘净值数据(iFinD）'!$Z775:$AA775/'实盘净值数据(iFinD）'!$Z$65:$AA$65))*(1-实盘持仓初始配置!$Z$9)^(('实盘净值数据(iFinD）'!$A775-'实盘净值数据(iFinD）'!$A$8)/365))</f>
        <v/>
      </c>
      <c r="R775" s="16" t="str">
        <f t="shared" si="77"/>
        <v/>
      </c>
      <c r="S775" s="16" t="str">
        <f>IF(Q775="","",Q775/MAX(Q$5:Q775)-1)</f>
        <v/>
      </c>
      <c r="T775" s="13">
        <f>IF(OR('实盘净值数据(iFinD）'!$A775="",'实盘净值数据(iFinD）'!$B775="",'实盘净值数据(iFinD）'!$Z775="",'实盘净值数据(iFinD）'!$AA775="",'实盘净值数据(iFinD）'!$AB775="",'实盘净值数据(iFinD）'!$AL775=""),"",(SUMPRODUCT(分期持仓明细!$B$26:$Y$26,'实盘净值数据(iFinD）'!$B775:$Y775/'实盘净值数据(iFinD）'!$B$69:$Y$69)+SUMPRODUCT(分期持仓明细!$AC$26:$AD$26,'实盘净值数据(iFinD）'!$Z775:$AA775/'实盘净值数据(iFinD）'!$Z$69:$AA$69)+SUMPRODUCT(分期持仓明细!$AE$26:$AO$26,'实盘净值数据(iFinD）'!$AB775:$AL775/'实盘净值数据(iFinD）'!$AB$69:$AL$69))*(1-实盘持仓初始配置!$Z$10)^(('实盘净值数据(iFinD）'!$A775-'实盘净值数据(iFinD）'!$A$69)/365))</f>
        <v/>
      </c>
      <c r="U775" s="16">
        <f>IF(OR(T774="",T775=""),"",T775/T774-1)</f>
        <v/>
      </c>
      <c r="V775" s="16">
        <f>IF(T775="","",T775/MAX(T$5:T775)-1)</f>
        <v/>
      </c>
    </row>
    <row r="776" spans="1:19">
      <c r="A776" s="15" t="str">
        <f>IF('实盘净值数据(iFinD）'!A776="","",'实盘净值数据(iFinD）'!A776)</f>
        <v/>
      </c>
      <c r="B776" s="13" t="str">
        <f>IF(OR('实盘净值数据(iFinD）'!$A776="",'实盘净值数据(iFinD）'!$B776=""),"",分期持仓明细!$AB$17*SUMPRODUCT(分期持仓明细!$B$17:$Y$17,'实盘净值数据(iFinD）'!$B776:$Y776/'实盘净值数据(iFinD）'!$B$20:$Y$20)*(1-实盘持仓初始配置!$Z$4)^(('实盘净值数据(iFinD）'!$A776-'实盘净值数据(iFinD）'!$A$6)/365))</f>
        <v/>
      </c>
      <c r="C776" s="16" t="str">
        <f t="shared" si="72"/>
        <v/>
      </c>
      <c r="D776" s="16" t="str">
        <f>IF(B776="","",B776/MAX(B$5:B776)-1)</f>
        <v/>
      </c>
      <c r="E776" s="13" t="str">
        <f>IF(OR('实盘净值数据(iFinD）'!$A776="",'实盘净值数据(iFinD）'!$B776=""),"",分期持仓明细!$AB$18*SUMPRODUCT(分期持仓明细!$B$18:$Y$18,'实盘净值数据(iFinD）'!$B776:$Y776/'实盘净值数据(iFinD）'!$B$20:$Y$20)*(1-实盘持仓初始配置!$Z$5)^(('实盘净值数据(iFinD）'!$A776-'实盘净值数据(iFinD）'!$A$5)/365))</f>
        <v/>
      </c>
      <c r="F776" s="16" t="str">
        <f t="shared" si="73"/>
        <v/>
      </c>
      <c r="G776" s="16" t="str">
        <f>IF(E776="","",E776/MAX(E$5:E776)-1)</f>
        <v/>
      </c>
      <c r="H776" s="13" t="str">
        <f>IF(OR('实盘净值数据(iFinD）'!$A776="",'实盘净值数据(iFinD）'!$B776=""),"",分期持仓明细!$AB$19*SUMPRODUCT(分期持仓明细!$B$19:$Y$19,'实盘净值数据(iFinD）'!$B776:$Y776/'实盘净值数据(iFinD）'!$B$20:$Y$20)*(1-实盘持仓初始配置!$Z$6)^(('实盘净值数据(iFinD）'!$A776-'实盘净值数据(iFinD）'!$A$7)/365))</f>
        <v/>
      </c>
      <c r="I776" s="16" t="str">
        <f t="shared" si="74"/>
        <v/>
      </c>
      <c r="J776" s="16" t="str">
        <f>IF(H776="","",H776/MAX(H$5:H776)-1)</f>
        <v/>
      </c>
      <c r="K776" s="13" t="str">
        <f>IF(OR('实盘净值数据(iFinD）'!$A776="",'实盘净值数据(iFinD）'!$B776="",'实盘净值数据(iFinD）'!$Z776="",'实盘净值数据(iFinD）'!$AA776=""),"",分期持仓明细!$AB$23*(SUMPRODUCT(分期持仓明细!$B$23:$Y$23,'实盘净值数据(iFinD）'!$B776:$Y776/'实盘净值数据(iFinD）'!$B$65:$Y$65)+SUMPRODUCT(分期持仓明细!$AC$23:$AD$23,'实盘净值数据(iFinD）'!$Z776:$AA776/'实盘净值数据(iFinD）'!$Z$65:$AA$65))*(1-实盘持仓初始配置!$Z$7)^(('实盘净值数据(iFinD）'!$A776-'实盘净值数据(iFinD）'!$A$8)/365))</f>
        <v/>
      </c>
      <c r="L776" s="16" t="str">
        <f t="shared" si="75"/>
        <v/>
      </c>
      <c r="M776" s="16" t="str">
        <f>IF(K776="","",K776/MAX(K$5:K776)-1)</f>
        <v/>
      </c>
      <c r="N776" s="13" t="str">
        <f>IF(OR('实盘净值数据(iFinD）'!$A776="",'实盘净值数据(iFinD）'!$B776="",'实盘净值数据(iFinD）'!$Z776="",'实盘净值数据(iFinD）'!$AA776=""),"",分期持仓明细!$AB$24*(SUMPRODUCT(分期持仓明细!$B$24:$Y$24,'实盘净值数据(iFinD）'!$B776:$Y776/'实盘净值数据(iFinD）'!$B$65:$Y$65)+SUMPRODUCT(分期持仓明细!$AC$24:$AD$24,'实盘净值数据(iFinD）'!$Z776:$AA776/'实盘净值数据(iFinD）'!$Z$65:$AA$65))*(1-实盘持仓初始配置!$Z$8)^(('实盘净值数据(iFinD）'!$A776-'实盘净值数据(iFinD）'!$A$5)/365))</f>
        <v/>
      </c>
      <c r="O776" s="16" t="str">
        <f t="shared" si="76"/>
        <v/>
      </c>
      <c r="P776" s="16" t="str">
        <f>IF(N776="","",N776/MAX(N$5:N776)-1)</f>
        <v/>
      </c>
      <c r="Q776" s="13" t="str">
        <f>IF(OR('实盘净值数据(iFinD）'!$A776="",'实盘净值数据(iFinD）'!$B776="",'实盘净值数据(iFinD）'!$Z776="",'实盘净值数据(iFinD）'!$AA776=""),"",分期持仓明细!$AB$25*(SUMPRODUCT(分期持仓明细!$B$25:$Y$25,'实盘净值数据(iFinD）'!$B776:$Y776/'实盘净值数据(iFinD）'!$B$65:$Y$65)+SUMPRODUCT(分期持仓明细!$AC$25:$AD$25,'实盘净值数据(iFinD）'!$Z776:$AA776/'实盘净值数据(iFinD）'!$Z$65:$AA$65))*(1-实盘持仓初始配置!$Z$9)^(('实盘净值数据(iFinD）'!$A776-'实盘净值数据(iFinD）'!$A$8)/365))</f>
        <v/>
      </c>
      <c r="R776" s="16" t="str">
        <f t="shared" si="77"/>
        <v/>
      </c>
      <c r="S776" s="16" t="str">
        <f>IF(Q776="","",Q776/MAX(Q$5:Q776)-1)</f>
        <v/>
      </c>
      <c r="T776" s="13">
        <f>IF(OR('实盘净值数据(iFinD）'!$A776="",'实盘净值数据(iFinD）'!$B776="",'实盘净值数据(iFinD）'!$Z776="",'实盘净值数据(iFinD）'!$AA776="",'实盘净值数据(iFinD）'!$AB776="",'实盘净值数据(iFinD）'!$AL776=""),"",(SUMPRODUCT(分期持仓明细!$B$26:$Y$26,'实盘净值数据(iFinD）'!$B776:$Y776/'实盘净值数据(iFinD）'!$B$69:$Y$69)+SUMPRODUCT(分期持仓明细!$AC$26:$AD$26,'实盘净值数据(iFinD）'!$Z776:$AA776/'实盘净值数据(iFinD）'!$Z$69:$AA$69)+SUMPRODUCT(分期持仓明细!$AE$26:$AO$26,'实盘净值数据(iFinD）'!$AB776:$AL776/'实盘净值数据(iFinD）'!$AB$69:$AL$69))*(1-实盘持仓初始配置!$Z$10)^(('实盘净值数据(iFinD）'!$A776-'实盘净值数据(iFinD）'!$A$69)/365))</f>
        <v/>
      </c>
      <c r="U776" s="16">
        <f>IF(OR(T775="",T776=""),"",T776/T775-1)</f>
        <v/>
      </c>
      <c r="V776" s="16">
        <f>IF(T776="","",T776/MAX(T$5:T776)-1)</f>
        <v/>
      </c>
    </row>
    <row r="777" spans="1:19">
      <c r="A777" s="15" t="str">
        <f>IF('实盘净值数据(iFinD）'!A777="","",'实盘净值数据(iFinD）'!A777)</f>
        <v/>
      </c>
      <c r="B777" s="13" t="str">
        <f>IF(OR('实盘净值数据(iFinD）'!$A777="",'实盘净值数据(iFinD）'!$B777=""),"",分期持仓明细!$AB$17*SUMPRODUCT(分期持仓明细!$B$17:$Y$17,'实盘净值数据(iFinD）'!$B777:$Y777/'实盘净值数据(iFinD）'!$B$20:$Y$20)*(1-实盘持仓初始配置!$Z$4)^(('实盘净值数据(iFinD）'!$A777-'实盘净值数据(iFinD）'!$A$6)/365))</f>
        <v/>
      </c>
      <c r="C777" s="16" t="str">
        <f t="shared" si="72"/>
        <v/>
      </c>
      <c r="D777" s="16" t="str">
        <f>IF(B777="","",B777/MAX(B$5:B777)-1)</f>
        <v/>
      </c>
      <c r="E777" s="13" t="str">
        <f>IF(OR('实盘净值数据(iFinD）'!$A777="",'实盘净值数据(iFinD）'!$B777=""),"",分期持仓明细!$AB$18*SUMPRODUCT(分期持仓明细!$B$18:$Y$18,'实盘净值数据(iFinD）'!$B777:$Y777/'实盘净值数据(iFinD）'!$B$20:$Y$20)*(1-实盘持仓初始配置!$Z$5)^(('实盘净值数据(iFinD）'!$A777-'实盘净值数据(iFinD）'!$A$5)/365))</f>
        <v/>
      </c>
      <c r="F777" s="16" t="str">
        <f t="shared" si="73"/>
        <v/>
      </c>
      <c r="G777" s="16" t="str">
        <f>IF(E777="","",E777/MAX(E$5:E777)-1)</f>
        <v/>
      </c>
      <c r="H777" s="13" t="str">
        <f>IF(OR('实盘净值数据(iFinD）'!$A777="",'实盘净值数据(iFinD）'!$B777=""),"",分期持仓明细!$AB$19*SUMPRODUCT(分期持仓明细!$B$19:$Y$19,'实盘净值数据(iFinD）'!$B777:$Y777/'实盘净值数据(iFinD）'!$B$20:$Y$20)*(1-实盘持仓初始配置!$Z$6)^(('实盘净值数据(iFinD）'!$A777-'实盘净值数据(iFinD）'!$A$7)/365))</f>
        <v/>
      </c>
      <c r="I777" s="16" t="str">
        <f t="shared" si="74"/>
        <v/>
      </c>
      <c r="J777" s="16" t="str">
        <f>IF(H777="","",H777/MAX(H$5:H777)-1)</f>
        <v/>
      </c>
      <c r="K777" s="13" t="str">
        <f>IF(OR('实盘净值数据(iFinD）'!$A777="",'实盘净值数据(iFinD）'!$B777="",'实盘净值数据(iFinD）'!$Z777="",'实盘净值数据(iFinD）'!$AA777=""),"",分期持仓明细!$AB$23*(SUMPRODUCT(分期持仓明细!$B$23:$Y$23,'实盘净值数据(iFinD）'!$B777:$Y777/'实盘净值数据(iFinD）'!$B$65:$Y$65)+SUMPRODUCT(分期持仓明细!$AC$23:$AD$23,'实盘净值数据(iFinD）'!$Z777:$AA777/'实盘净值数据(iFinD）'!$Z$65:$AA$65))*(1-实盘持仓初始配置!$Z$7)^(('实盘净值数据(iFinD）'!$A777-'实盘净值数据(iFinD）'!$A$8)/365))</f>
        <v/>
      </c>
      <c r="L777" s="16" t="str">
        <f t="shared" si="75"/>
        <v/>
      </c>
      <c r="M777" s="16" t="str">
        <f>IF(K777="","",K777/MAX(K$5:K777)-1)</f>
        <v/>
      </c>
      <c r="N777" s="13" t="str">
        <f>IF(OR('实盘净值数据(iFinD）'!$A777="",'实盘净值数据(iFinD）'!$B777="",'实盘净值数据(iFinD）'!$Z777="",'实盘净值数据(iFinD）'!$AA777=""),"",分期持仓明细!$AB$24*(SUMPRODUCT(分期持仓明细!$B$24:$Y$24,'实盘净值数据(iFinD）'!$B777:$Y777/'实盘净值数据(iFinD）'!$B$65:$Y$65)+SUMPRODUCT(分期持仓明细!$AC$24:$AD$24,'实盘净值数据(iFinD）'!$Z777:$AA777/'实盘净值数据(iFinD）'!$Z$65:$AA$65))*(1-实盘持仓初始配置!$Z$8)^(('实盘净值数据(iFinD）'!$A777-'实盘净值数据(iFinD）'!$A$5)/365))</f>
        <v/>
      </c>
      <c r="O777" s="16" t="str">
        <f t="shared" si="76"/>
        <v/>
      </c>
      <c r="P777" s="16" t="str">
        <f>IF(N777="","",N777/MAX(N$5:N777)-1)</f>
        <v/>
      </c>
      <c r="Q777" s="13" t="str">
        <f>IF(OR('实盘净值数据(iFinD）'!$A777="",'实盘净值数据(iFinD）'!$B777="",'实盘净值数据(iFinD）'!$Z777="",'实盘净值数据(iFinD）'!$AA777=""),"",分期持仓明细!$AB$25*(SUMPRODUCT(分期持仓明细!$B$25:$Y$25,'实盘净值数据(iFinD）'!$B777:$Y777/'实盘净值数据(iFinD）'!$B$65:$Y$65)+SUMPRODUCT(分期持仓明细!$AC$25:$AD$25,'实盘净值数据(iFinD）'!$Z777:$AA777/'实盘净值数据(iFinD）'!$Z$65:$AA$65))*(1-实盘持仓初始配置!$Z$9)^(('实盘净值数据(iFinD）'!$A777-'实盘净值数据(iFinD）'!$A$8)/365))</f>
        <v/>
      </c>
      <c r="R777" s="16" t="str">
        <f t="shared" si="77"/>
        <v/>
      </c>
      <c r="S777" s="16" t="str">
        <f>IF(Q777="","",Q777/MAX(Q$5:Q777)-1)</f>
        <v/>
      </c>
      <c r="T777" s="13">
        <f>IF(OR('实盘净值数据(iFinD）'!$A777="",'实盘净值数据(iFinD）'!$B777="",'实盘净值数据(iFinD）'!$Z777="",'实盘净值数据(iFinD）'!$AA777="",'实盘净值数据(iFinD）'!$AB777="",'实盘净值数据(iFinD）'!$AL777=""),"",(SUMPRODUCT(分期持仓明细!$B$26:$Y$26,'实盘净值数据(iFinD）'!$B777:$Y777/'实盘净值数据(iFinD）'!$B$69:$Y$69)+SUMPRODUCT(分期持仓明细!$AC$26:$AD$26,'实盘净值数据(iFinD）'!$Z777:$AA777/'实盘净值数据(iFinD）'!$Z$69:$AA$69)+SUMPRODUCT(分期持仓明细!$AE$26:$AO$26,'实盘净值数据(iFinD）'!$AB777:$AL777/'实盘净值数据(iFinD）'!$AB$69:$AL$69))*(1-实盘持仓初始配置!$Z$10)^(('实盘净值数据(iFinD）'!$A777-'实盘净值数据(iFinD）'!$A$69)/365))</f>
        <v/>
      </c>
      <c r="U777" s="16">
        <f>IF(OR(T776="",T777=""),"",T777/T776-1)</f>
        <v/>
      </c>
      <c r="V777" s="16">
        <f>IF(T777="","",T777/MAX(T$5:T777)-1)</f>
        <v/>
      </c>
    </row>
    <row r="778" spans="1:19">
      <c r="A778" s="15" t="str">
        <f>IF('实盘净值数据(iFinD）'!A778="","",'实盘净值数据(iFinD）'!A778)</f>
        <v/>
      </c>
      <c r="B778" s="13" t="str">
        <f>IF(OR('实盘净值数据(iFinD）'!$A778="",'实盘净值数据(iFinD）'!$B778=""),"",分期持仓明细!$AB$17*SUMPRODUCT(分期持仓明细!$B$17:$Y$17,'实盘净值数据(iFinD）'!$B778:$Y778/'实盘净值数据(iFinD）'!$B$20:$Y$20)*(1-实盘持仓初始配置!$Z$4)^(('实盘净值数据(iFinD）'!$A778-'实盘净值数据(iFinD）'!$A$6)/365))</f>
        <v/>
      </c>
      <c r="C778" s="16" t="str">
        <f t="shared" si="72"/>
        <v/>
      </c>
      <c r="D778" s="16" t="str">
        <f>IF(B778="","",B778/MAX(B$5:B778)-1)</f>
        <v/>
      </c>
      <c r="E778" s="13" t="str">
        <f>IF(OR('实盘净值数据(iFinD）'!$A778="",'实盘净值数据(iFinD）'!$B778=""),"",分期持仓明细!$AB$18*SUMPRODUCT(分期持仓明细!$B$18:$Y$18,'实盘净值数据(iFinD）'!$B778:$Y778/'实盘净值数据(iFinD）'!$B$20:$Y$20)*(1-实盘持仓初始配置!$Z$5)^(('实盘净值数据(iFinD）'!$A778-'实盘净值数据(iFinD）'!$A$5)/365))</f>
        <v/>
      </c>
      <c r="F778" s="16" t="str">
        <f t="shared" si="73"/>
        <v/>
      </c>
      <c r="G778" s="16" t="str">
        <f>IF(E778="","",E778/MAX(E$5:E778)-1)</f>
        <v/>
      </c>
      <c r="H778" s="13" t="str">
        <f>IF(OR('实盘净值数据(iFinD）'!$A778="",'实盘净值数据(iFinD）'!$B778=""),"",分期持仓明细!$AB$19*SUMPRODUCT(分期持仓明细!$B$19:$Y$19,'实盘净值数据(iFinD）'!$B778:$Y778/'实盘净值数据(iFinD）'!$B$20:$Y$20)*(1-实盘持仓初始配置!$Z$6)^(('实盘净值数据(iFinD）'!$A778-'实盘净值数据(iFinD）'!$A$7)/365))</f>
        <v/>
      </c>
      <c r="I778" s="16" t="str">
        <f t="shared" si="74"/>
        <v/>
      </c>
      <c r="J778" s="16" t="str">
        <f>IF(H778="","",H778/MAX(H$5:H778)-1)</f>
        <v/>
      </c>
      <c r="K778" s="13" t="str">
        <f>IF(OR('实盘净值数据(iFinD）'!$A778="",'实盘净值数据(iFinD）'!$B778="",'实盘净值数据(iFinD）'!$Z778="",'实盘净值数据(iFinD）'!$AA778=""),"",分期持仓明细!$AB$23*(SUMPRODUCT(分期持仓明细!$B$23:$Y$23,'实盘净值数据(iFinD）'!$B778:$Y778/'实盘净值数据(iFinD）'!$B$65:$Y$65)+SUMPRODUCT(分期持仓明细!$AC$23:$AD$23,'实盘净值数据(iFinD）'!$Z778:$AA778/'实盘净值数据(iFinD）'!$Z$65:$AA$65))*(1-实盘持仓初始配置!$Z$7)^(('实盘净值数据(iFinD）'!$A778-'实盘净值数据(iFinD）'!$A$8)/365))</f>
        <v/>
      </c>
      <c r="L778" s="16" t="str">
        <f t="shared" si="75"/>
        <v/>
      </c>
      <c r="M778" s="16" t="str">
        <f>IF(K778="","",K778/MAX(K$5:K778)-1)</f>
        <v/>
      </c>
      <c r="N778" s="13" t="str">
        <f>IF(OR('实盘净值数据(iFinD）'!$A778="",'实盘净值数据(iFinD）'!$B778="",'实盘净值数据(iFinD）'!$Z778="",'实盘净值数据(iFinD）'!$AA778=""),"",分期持仓明细!$AB$24*(SUMPRODUCT(分期持仓明细!$B$24:$Y$24,'实盘净值数据(iFinD）'!$B778:$Y778/'实盘净值数据(iFinD）'!$B$65:$Y$65)+SUMPRODUCT(分期持仓明细!$AC$24:$AD$24,'实盘净值数据(iFinD）'!$Z778:$AA778/'实盘净值数据(iFinD）'!$Z$65:$AA$65))*(1-实盘持仓初始配置!$Z$8)^(('实盘净值数据(iFinD）'!$A778-'实盘净值数据(iFinD）'!$A$5)/365))</f>
        <v/>
      </c>
      <c r="O778" s="16" t="str">
        <f t="shared" si="76"/>
        <v/>
      </c>
      <c r="P778" s="16" t="str">
        <f>IF(N778="","",N778/MAX(N$5:N778)-1)</f>
        <v/>
      </c>
      <c r="Q778" s="13" t="str">
        <f>IF(OR('实盘净值数据(iFinD）'!$A778="",'实盘净值数据(iFinD）'!$B778="",'实盘净值数据(iFinD）'!$Z778="",'实盘净值数据(iFinD）'!$AA778=""),"",分期持仓明细!$AB$25*(SUMPRODUCT(分期持仓明细!$B$25:$Y$25,'实盘净值数据(iFinD）'!$B778:$Y778/'实盘净值数据(iFinD）'!$B$65:$Y$65)+SUMPRODUCT(分期持仓明细!$AC$25:$AD$25,'实盘净值数据(iFinD）'!$Z778:$AA778/'实盘净值数据(iFinD）'!$Z$65:$AA$65))*(1-实盘持仓初始配置!$Z$9)^(('实盘净值数据(iFinD）'!$A778-'实盘净值数据(iFinD）'!$A$8)/365))</f>
        <v/>
      </c>
      <c r="R778" s="16" t="str">
        <f t="shared" si="77"/>
        <v/>
      </c>
      <c r="S778" s="16" t="str">
        <f>IF(Q778="","",Q778/MAX(Q$5:Q778)-1)</f>
        <v/>
      </c>
      <c r="T778" s="13">
        <f>IF(OR('实盘净值数据(iFinD）'!$A778="",'实盘净值数据(iFinD）'!$B778="",'实盘净值数据(iFinD）'!$Z778="",'实盘净值数据(iFinD）'!$AA778="",'实盘净值数据(iFinD）'!$AB778="",'实盘净值数据(iFinD）'!$AL778=""),"",(SUMPRODUCT(分期持仓明细!$B$26:$Y$26,'实盘净值数据(iFinD）'!$B778:$Y778/'实盘净值数据(iFinD）'!$B$69:$Y$69)+SUMPRODUCT(分期持仓明细!$AC$26:$AD$26,'实盘净值数据(iFinD）'!$Z778:$AA778/'实盘净值数据(iFinD）'!$Z$69:$AA$69)+SUMPRODUCT(分期持仓明细!$AE$26:$AO$26,'实盘净值数据(iFinD）'!$AB778:$AL778/'实盘净值数据(iFinD）'!$AB$69:$AL$69))*(1-实盘持仓初始配置!$Z$10)^(('实盘净值数据(iFinD）'!$A778-'实盘净值数据(iFinD）'!$A$69)/365))</f>
        <v/>
      </c>
      <c r="U778" s="16">
        <f>IF(OR(T777="",T778=""),"",T778/T777-1)</f>
        <v/>
      </c>
      <c r="V778" s="16">
        <f>IF(T778="","",T778/MAX(T$5:T778)-1)</f>
        <v/>
      </c>
    </row>
    <row r="779" spans="1:19">
      <c r="A779" s="15" t="str">
        <f>IF('实盘净值数据(iFinD）'!A779="","",'实盘净值数据(iFinD）'!A779)</f>
        <v/>
      </c>
      <c r="B779" s="13" t="str">
        <f>IF(OR('实盘净值数据(iFinD）'!$A779="",'实盘净值数据(iFinD）'!$B779=""),"",分期持仓明细!$AB$17*SUMPRODUCT(分期持仓明细!$B$17:$Y$17,'实盘净值数据(iFinD）'!$B779:$Y779/'实盘净值数据(iFinD）'!$B$20:$Y$20)*(1-实盘持仓初始配置!$Z$4)^(('实盘净值数据(iFinD）'!$A779-'实盘净值数据(iFinD）'!$A$6)/365))</f>
        <v/>
      </c>
      <c r="C779" s="16" t="str">
        <f t="shared" si="72"/>
        <v/>
      </c>
      <c r="D779" s="16" t="str">
        <f>IF(B779="","",B779/MAX(B$5:B779)-1)</f>
        <v/>
      </c>
      <c r="E779" s="13" t="str">
        <f>IF(OR('实盘净值数据(iFinD）'!$A779="",'实盘净值数据(iFinD）'!$B779=""),"",分期持仓明细!$AB$18*SUMPRODUCT(分期持仓明细!$B$18:$Y$18,'实盘净值数据(iFinD）'!$B779:$Y779/'实盘净值数据(iFinD）'!$B$20:$Y$20)*(1-实盘持仓初始配置!$Z$5)^(('实盘净值数据(iFinD）'!$A779-'实盘净值数据(iFinD）'!$A$5)/365))</f>
        <v/>
      </c>
      <c r="F779" s="16" t="str">
        <f t="shared" si="73"/>
        <v/>
      </c>
      <c r="G779" s="16" t="str">
        <f>IF(E779="","",E779/MAX(E$5:E779)-1)</f>
        <v/>
      </c>
      <c r="H779" s="13" t="str">
        <f>IF(OR('实盘净值数据(iFinD）'!$A779="",'实盘净值数据(iFinD）'!$B779=""),"",分期持仓明细!$AB$19*SUMPRODUCT(分期持仓明细!$B$19:$Y$19,'实盘净值数据(iFinD）'!$B779:$Y779/'实盘净值数据(iFinD）'!$B$20:$Y$20)*(1-实盘持仓初始配置!$Z$6)^(('实盘净值数据(iFinD）'!$A779-'实盘净值数据(iFinD）'!$A$7)/365))</f>
        <v/>
      </c>
      <c r="I779" s="16" t="str">
        <f t="shared" si="74"/>
        <v/>
      </c>
      <c r="J779" s="16" t="str">
        <f>IF(H779="","",H779/MAX(H$5:H779)-1)</f>
        <v/>
      </c>
      <c r="K779" s="13" t="str">
        <f>IF(OR('实盘净值数据(iFinD）'!$A779="",'实盘净值数据(iFinD）'!$B779="",'实盘净值数据(iFinD）'!$Z779="",'实盘净值数据(iFinD）'!$AA779=""),"",分期持仓明细!$AB$23*(SUMPRODUCT(分期持仓明细!$B$23:$Y$23,'实盘净值数据(iFinD）'!$B779:$Y779/'实盘净值数据(iFinD）'!$B$65:$Y$65)+SUMPRODUCT(分期持仓明细!$AC$23:$AD$23,'实盘净值数据(iFinD）'!$Z779:$AA779/'实盘净值数据(iFinD）'!$Z$65:$AA$65))*(1-实盘持仓初始配置!$Z$7)^(('实盘净值数据(iFinD）'!$A779-'实盘净值数据(iFinD）'!$A$8)/365))</f>
        <v/>
      </c>
      <c r="L779" s="16" t="str">
        <f t="shared" si="75"/>
        <v/>
      </c>
      <c r="M779" s="16" t="str">
        <f>IF(K779="","",K779/MAX(K$5:K779)-1)</f>
        <v/>
      </c>
      <c r="N779" s="13" t="str">
        <f>IF(OR('实盘净值数据(iFinD）'!$A779="",'实盘净值数据(iFinD）'!$B779="",'实盘净值数据(iFinD）'!$Z779="",'实盘净值数据(iFinD）'!$AA779=""),"",分期持仓明细!$AB$24*(SUMPRODUCT(分期持仓明细!$B$24:$Y$24,'实盘净值数据(iFinD）'!$B779:$Y779/'实盘净值数据(iFinD）'!$B$65:$Y$65)+SUMPRODUCT(分期持仓明细!$AC$24:$AD$24,'实盘净值数据(iFinD）'!$Z779:$AA779/'实盘净值数据(iFinD）'!$Z$65:$AA$65))*(1-实盘持仓初始配置!$Z$8)^(('实盘净值数据(iFinD）'!$A779-'实盘净值数据(iFinD）'!$A$5)/365))</f>
        <v/>
      </c>
      <c r="O779" s="16" t="str">
        <f t="shared" si="76"/>
        <v/>
      </c>
      <c r="P779" s="16" t="str">
        <f>IF(N779="","",N779/MAX(N$5:N779)-1)</f>
        <v/>
      </c>
      <c r="Q779" s="13" t="str">
        <f>IF(OR('实盘净值数据(iFinD）'!$A779="",'实盘净值数据(iFinD）'!$B779="",'实盘净值数据(iFinD）'!$Z779="",'实盘净值数据(iFinD）'!$AA779=""),"",分期持仓明细!$AB$25*(SUMPRODUCT(分期持仓明细!$B$25:$Y$25,'实盘净值数据(iFinD）'!$B779:$Y779/'实盘净值数据(iFinD）'!$B$65:$Y$65)+SUMPRODUCT(分期持仓明细!$AC$25:$AD$25,'实盘净值数据(iFinD）'!$Z779:$AA779/'实盘净值数据(iFinD）'!$Z$65:$AA$65))*(1-实盘持仓初始配置!$Z$9)^(('实盘净值数据(iFinD）'!$A779-'实盘净值数据(iFinD）'!$A$8)/365))</f>
        <v/>
      </c>
      <c r="R779" s="16" t="str">
        <f t="shared" si="77"/>
        <v/>
      </c>
      <c r="S779" s="16" t="str">
        <f>IF(Q779="","",Q779/MAX(Q$5:Q779)-1)</f>
        <v/>
      </c>
      <c r="T779" s="13">
        <f>IF(OR('实盘净值数据(iFinD）'!$A779="",'实盘净值数据(iFinD）'!$B779="",'实盘净值数据(iFinD）'!$Z779="",'实盘净值数据(iFinD）'!$AA779="",'实盘净值数据(iFinD）'!$AB779="",'实盘净值数据(iFinD）'!$AL779=""),"",(SUMPRODUCT(分期持仓明细!$B$26:$Y$26,'实盘净值数据(iFinD）'!$B779:$Y779/'实盘净值数据(iFinD）'!$B$69:$Y$69)+SUMPRODUCT(分期持仓明细!$AC$26:$AD$26,'实盘净值数据(iFinD）'!$Z779:$AA779/'实盘净值数据(iFinD）'!$Z$69:$AA$69)+SUMPRODUCT(分期持仓明细!$AE$26:$AO$26,'实盘净值数据(iFinD）'!$AB779:$AL779/'实盘净值数据(iFinD）'!$AB$69:$AL$69))*(1-实盘持仓初始配置!$Z$10)^(('实盘净值数据(iFinD）'!$A779-'实盘净值数据(iFinD）'!$A$69)/365))</f>
        <v/>
      </c>
      <c r="U779" s="16">
        <f>IF(OR(T778="",T779=""),"",T779/T778-1)</f>
        <v/>
      </c>
      <c r="V779" s="16">
        <f>IF(T779="","",T779/MAX(T$5:T779)-1)</f>
        <v/>
      </c>
    </row>
    <row r="780" spans="1:19">
      <c r="A780" s="15" t="str">
        <f>IF('实盘净值数据(iFinD）'!A780="","",'实盘净值数据(iFinD）'!A780)</f>
        <v/>
      </c>
      <c r="B780" s="13" t="str">
        <f>IF(OR('实盘净值数据(iFinD）'!$A780="",'实盘净值数据(iFinD）'!$B780=""),"",分期持仓明细!$AB$17*SUMPRODUCT(分期持仓明细!$B$17:$Y$17,'实盘净值数据(iFinD）'!$B780:$Y780/'实盘净值数据(iFinD）'!$B$20:$Y$20)*(1-实盘持仓初始配置!$Z$4)^(('实盘净值数据(iFinD）'!$A780-'实盘净值数据(iFinD）'!$A$6)/365))</f>
        <v/>
      </c>
      <c r="C780" s="16" t="str">
        <f t="shared" si="72"/>
        <v/>
      </c>
      <c r="D780" s="16" t="str">
        <f>IF(B780="","",B780/MAX(B$5:B780)-1)</f>
        <v/>
      </c>
      <c r="E780" s="13" t="str">
        <f>IF(OR('实盘净值数据(iFinD）'!$A780="",'实盘净值数据(iFinD）'!$B780=""),"",分期持仓明细!$AB$18*SUMPRODUCT(分期持仓明细!$B$18:$Y$18,'实盘净值数据(iFinD）'!$B780:$Y780/'实盘净值数据(iFinD）'!$B$20:$Y$20)*(1-实盘持仓初始配置!$Z$5)^(('实盘净值数据(iFinD）'!$A780-'实盘净值数据(iFinD）'!$A$5)/365))</f>
        <v/>
      </c>
      <c r="F780" s="16" t="str">
        <f t="shared" si="73"/>
        <v/>
      </c>
      <c r="G780" s="16" t="str">
        <f>IF(E780="","",E780/MAX(E$5:E780)-1)</f>
        <v/>
      </c>
      <c r="H780" s="13" t="str">
        <f>IF(OR('实盘净值数据(iFinD）'!$A780="",'实盘净值数据(iFinD）'!$B780=""),"",分期持仓明细!$AB$19*SUMPRODUCT(分期持仓明细!$B$19:$Y$19,'实盘净值数据(iFinD）'!$B780:$Y780/'实盘净值数据(iFinD）'!$B$20:$Y$20)*(1-实盘持仓初始配置!$Z$6)^(('实盘净值数据(iFinD）'!$A780-'实盘净值数据(iFinD）'!$A$7)/365))</f>
        <v/>
      </c>
      <c r="I780" s="16" t="str">
        <f t="shared" si="74"/>
        <v/>
      </c>
      <c r="J780" s="16" t="str">
        <f>IF(H780="","",H780/MAX(H$5:H780)-1)</f>
        <v/>
      </c>
      <c r="K780" s="13" t="str">
        <f>IF(OR('实盘净值数据(iFinD）'!$A780="",'实盘净值数据(iFinD）'!$B780="",'实盘净值数据(iFinD）'!$Z780="",'实盘净值数据(iFinD）'!$AA780=""),"",分期持仓明细!$AB$23*(SUMPRODUCT(分期持仓明细!$B$23:$Y$23,'实盘净值数据(iFinD）'!$B780:$Y780/'实盘净值数据(iFinD）'!$B$65:$Y$65)+SUMPRODUCT(分期持仓明细!$AC$23:$AD$23,'实盘净值数据(iFinD）'!$Z780:$AA780/'实盘净值数据(iFinD）'!$Z$65:$AA$65))*(1-实盘持仓初始配置!$Z$7)^(('实盘净值数据(iFinD）'!$A780-'实盘净值数据(iFinD）'!$A$8)/365))</f>
        <v/>
      </c>
      <c r="L780" s="16" t="str">
        <f t="shared" si="75"/>
        <v/>
      </c>
      <c r="M780" s="16" t="str">
        <f>IF(K780="","",K780/MAX(K$5:K780)-1)</f>
        <v/>
      </c>
      <c r="N780" s="13" t="str">
        <f>IF(OR('实盘净值数据(iFinD）'!$A780="",'实盘净值数据(iFinD）'!$B780="",'实盘净值数据(iFinD）'!$Z780="",'实盘净值数据(iFinD）'!$AA780=""),"",分期持仓明细!$AB$24*(SUMPRODUCT(分期持仓明细!$B$24:$Y$24,'实盘净值数据(iFinD）'!$B780:$Y780/'实盘净值数据(iFinD）'!$B$65:$Y$65)+SUMPRODUCT(分期持仓明细!$AC$24:$AD$24,'实盘净值数据(iFinD）'!$Z780:$AA780/'实盘净值数据(iFinD）'!$Z$65:$AA$65))*(1-实盘持仓初始配置!$Z$8)^(('实盘净值数据(iFinD）'!$A780-'实盘净值数据(iFinD）'!$A$5)/365))</f>
        <v/>
      </c>
      <c r="O780" s="16" t="str">
        <f t="shared" si="76"/>
        <v/>
      </c>
      <c r="P780" s="16" t="str">
        <f>IF(N780="","",N780/MAX(N$5:N780)-1)</f>
        <v/>
      </c>
      <c r="Q780" s="13" t="str">
        <f>IF(OR('实盘净值数据(iFinD）'!$A780="",'实盘净值数据(iFinD）'!$B780="",'实盘净值数据(iFinD）'!$Z780="",'实盘净值数据(iFinD）'!$AA780=""),"",分期持仓明细!$AB$25*(SUMPRODUCT(分期持仓明细!$B$25:$Y$25,'实盘净值数据(iFinD）'!$B780:$Y780/'实盘净值数据(iFinD）'!$B$65:$Y$65)+SUMPRODUCT(分期持仓明细!$AC$25:$AD$25,'实盘净值数据(iFinD）'!$Z780:$AA780/'实盘净值数据(iFinD）'!$Z$65:$AA$65))*(1-实盘持仓初始配置!$Z$9)^(('实盘净值数据(iFinD）'!$A780-'实盘净值数据(iFinD）'!$A$8)/365))</f>
        <v/>
      </c>
      <c r="R780" s="16" t="str">
        <f t="shared" si="77"/>
        <v/>
      </c>
      <c r="S780" s="16" t="str">
        <f>IF(Q780="","",Q780/MAX(Q$5:Q780)-1)</f>
        <v/>
      </c>
      <c r="T780" s="13">
        <f>IF(OR('实盘净值数据(iFinD）'!$A780="",'实盘净值数据(iFinD）'!$B780="",'实盘净值数据(iFinD）'!$Z780="",'实盘净值数据(iFinD）'!$AA780="",'实盘净值数据(iFinD）'!$AB780="",'实盘净值数据(iFinD）'!$AL780=""),"",(SUMPRODUCT(分期持仓明细!$B$26:$Y$26,'实盘净值数据(iFinD）'!$B780:$Y780/'实盘净值数据(iFinD）'!$B$69:$Y$69)+SUMPRODUCT(分期持仓明细!$AC$26:$AD$26,'实盘净值数据(iFinD）'!$Z780:$AA780/'实盘净值数据(iFinD）'!$Z$69:$AA$69)+SUMPRODUCT(分期持仓明细!$AE$26:$AO$26,'实盘净值数据(iFinD）'!$AB780:$AL780/'实盘净值数据(iFinD）'!$AB$69:$AL$69))*(1-实盘持仓初始配置!$Z$10)^(('实盘净值数据(iFinD）'!$A780-'实盘净值数据(iFinD）'!$A$69)/365))</f>
        <v/>
      </c>
      <c r="U780" s="16">
        <f>IF(OR(T779="",T780=""),"",T780/T779-1)</f>
        <v/>
      </c>
      <c r="V780" s="16">
        <f>IF(T780="","",T780/MAX(T$5:T780)-1)</f>
        <v/>
      </c>
    </row>
    <row r="781" spans="1:19">
      <c r="A781" s="15" t="str">
        <f>IF('实盘净值数据(iFinD）'!A781="","",'实盘净值数据(iFinD）'!A781)</f>
        <v/>
      </c>
      <c r="B781" s="13" t="str">
        <f>IF(OR('实盘净值数据(iFinD）'!$A781="",'实盘净值数据(iFinD）'!$B781=""),"",分期持仓明细!$AB$17*SUMPRODUCT(分期持仓明细!$B$17:$Y$17,'实盘净值数据(iFinD）'!$B781:$Y781/'实盘净值数据(iFinD）'!$B$20:$Y$20)*(1-实盘持仓初始配置!$Z$4)^(('实盘净值数据(iFinD）'!$A781-'实盘净值数据(iFinD）'!$A$6)/365))</f>
        <v/>
      </c>
      <c r="C781" s="16" t="str">
        <f t="shared" si="72"/>
        <v/>
      </c>
      <c r="D781" s="16" t="str">
        <f>IF(B781="","",B781/MAX(B$5:B781)-1)</f>
        <v/>
      </c>
      <c r="E781" s="13" t="str">
        <f>IF(OR('实盘净值数据(iFinD）'!$A781="",'实盘净值数据(iFinD）'!$B781=""),"",分期持仓明细!$AB$18*SUMPRODUCT(分期持仓明细!$B$18:$Y$18,'实盘净值数据(iFinD）'!$B781:$Y781/'实盘净值数据(iFinD）'!$B$20:$Y$20)*(1-实盘持仓初始配置!$Z$5)^(('实盘净值数据(iFinD）'!$A781-'实盘净值数据(iFinD）'!$A$5)/365))</f>
        <v/>
      </c>
      <c r="F781" s="16" t="str">
        <f t="shared" si="73"/>
        <v/>
      </c>
      <c r="G781" s="16" t="str">
        <f>IF(E781="","",E781/MAX(E$5:E781)-1)</f>
        <v/>
      </c>
      <c r="H781" s="13" t="str">
        <f>IF(OR('实盘净值数据(iFinD）'!$A781="",'实盘净值数据(iFinD）'!$B781=""),"",分期持仓明细!$AB$19*SUMPRODUCT(分期持仓明细!$B$19:$Y$19,'实盘净值数据(iFinD）'!$B781:$Y781/'实盘净值数据(iFinD）'!$B$20:$Y$20)*(1-实盘持仓初始配置!$Z$6)^(('实盘净值数据(iFinD）'!$A781-'实盘净值数据(iFinD）'!$A$7)/365))</f>
        <v/>
      </c>
      <c r="I781" s="16" t="str">
        <f t="shared" si="74"/>
        <v/>
      </c>
      <c r="J781" s="16" t="str">
        <f>IF(H781="","",H781/MAX(H$5:H781)-1)</f>
        <v/>
      </c>
      <c r="K781" s="13" t="str">
        <f>IF(OR('实盘净值数据(iFinD）'!$A781="",'实盘净值数据(iFinD）'!$B781="",'实盘净值数据(iFinD）'!$Z781="",'实盘净值数据(iFinD）'!$AA781=""),"",分期持仓明细!$AB$23*(SUMPRODUCT(分期持仓明细!$B$23:$Y$23,'实盘净值数据(iFinD）'!$B781:$Y781/'实盘净值数据(iFinD）'!$B$65:$Y$65)+SUMPRODUCT(分期持仓明细!$AC$23:$AD$23,'实盘净值数据(iFinD）'!$Z781:$AA781/'实盘净值数据(iFinD）'!$Z$65:$AA$65))*(1-实盘持仓初始配置!$Z$7)^(('实盘净值数据(iFinD）'!$A781-'实盘净值数据(iFinD）'!$A$8)/365))</f>
        <v/>
      </c>
      <c r="L781" s="16" t="str">
        <f t="shared" si="75"/>
        <v/>
      </c>
      <c r="M781" s="16" t="str">
        <f>IF(K781="","",K781/MAX(K$5:K781)-1)</f>
        <v/>
      </c>
      <c r="N781" s="13" t="str">
        <f>IF(OR('实盘净值数据(iFinD）'!$A781="",'实盘净值数据(iFinD）'!$B781="",'实盘净值数据(iFinD）'!$Z781="",'实盘净值数据(iFinD）'!$AA781=""),"",分期持仓明细!$AB$24*(SUMPRODUCT(分期持仓明细!$B$24:$Y$24,'实盘净值数据(iFinD）'!$B781:$Y781/'实盘净值数据(iFinD）'!$B$65:$Y$65)+SUMPRODUCT(分期持仓明细!$AC$24:$AD$24,'实盘净值数据(iFinD）'!$Z781:$AA781/'实盘净值数据(iFinD）'!$Z$65:$AA$65))*(1-实盘持仓初始配置!$Z$8)^(('实盘净值数据(iFinD）'!$A781-'实盘净值数据(iFinD）'!$A$5)/365))</f>
        <v/>
      </c>
      <c r="O781" s="16" t="str">
        <f t="shared" si="76"/>
        <v/>
      </c>
      <c r="P781" s="16" t="str">
        <f>IF(N781="","",N781/MAX(N$5:N781)-1)</f>
        <v/>
      </c>
      <c r="Q781" s="13" t="str">
        <f>IF(OR('实盘净值数据(iFinD）'!$A781="",'实盘净值数据(iFinD）'!$B781="",'实盘净值数据(iFinD）'!$Z781="",'实盘净值数据(iFinD）'!$AA781=""),"",分期持仓明细!$AB$25*(SUMPRODUCT(分期持仓明细!$B$25:$Y$25,'实盘净值数据(iFinD）'!$B781:$Y781/'实盘净值数据(iFinD）'!$B$65:$Y$65)+SUMPRODUCT(分期持仓明细!$AC$25:$AD$25,'实盘净值数据(iFinD）'!$Z781:$AA781/'实盘净值数据(iFinD）'!$Z$65:$AA$65))*(1-实盘持仓初始配置!$Z$9)^(('实盘净值数据(iFinD）'!$A781-'实盘净值数据(iFinD）'!$A$8)/365))</f>
        <v/>
      </c>
      <c r="R781" s="16" t="str">
        <f t="shared" si="77"/>
        <v/>
      </c>
      <c r="S781" s="16" t="str">
        <f>IF(Q781="","",Q781/MAX(Q$5:Q781)-1)</f>
        <v/>
      </c>
      <c r="T781" s="13">
        <f>IF(OR('实盘净值数据(iFinD）'!$A781="",'实盘净值数据(iFinD）'!$B781="",'实盘净值数据(iFinD）'!$Z781="",'实盘净值数据(iFinD）'!$AA781="",'实盘净值数据(iFinD）'!$AB781="",'实盘净值数据(iFinD）'!$AL781=""),"",(SUMPRODUCT(分期持仓明细!$B$26:$Y$26,'实盘净值数据(iFinD）'!$B781:$Y781/'实盘净值数据(iFinD）'!$B$69:$Y$69)+SUMPRODUCT(分期持仓明细!$AC$26:$AD$26,'实盘净值数据(iFinD）'!$Z781:$AA781/'实盘净值数据(iFinD）'!$Z$69:$AA$69)+SUMPRODUCT(分期持仓明细!$AE$26:$AO$26,'实盘净值数据(iFinD）'!$AB781:$AL781/'实盘净值数据(iFinD）'!$AB$69:$AL$69))*(1-实盘持仓初始配置!$Z$10)^(('实盘净值数据(iFinD）'!$A781-'实盘净值数据(iFinD）'!$A$69)/365))</f>
        <v/>
      </c>
      <c r="U781" s="16">
        <f>IF(OR(T780="",T781=""),"",T781/T780-1)</f>
        <v/>
      </c>
      <c r="V781" s="16">
        <f>IF(T781="","",T781/MAX(T$5:T781)-1)</f>
        <v/>
      </c>
    </row>
    <row r="782" spans="1:19">
      <c r="A782" s="15" t="str">
        <f>IF('实盘净值数据(iFinD）'!A782="","",'实盘净值数据(iFinD）'!A782)</f>
        <v/>
      </c>
      <c r="B782" s="13" t="str">
        <f>IF(OR('实盘净值数据(iFinD）'!$A782="",'实盘净值数据(iFinD）'!$B782=""),"",分期持仓明细!$AB$17*SUMPRODUCT(分期持仓明细!$B$17:$Y$17,'实盘净值数据(iFinD）'!$B782:$Y782/'实盘净值数据(iFinD）'!$B$20:$Y$20)*(1-实盘持仓初始配置!$Z$4)^(('实盘净值数据(iFinD）'!$A782-'实盘净值数据(iFinD）'!$A$6)/365))</f>
        <v/>
      </c>
      <c r="C782" s="16" t="str">
        <f t="shared" si="72"/>
        <v/>
      </c>
      <c r="D782" s="16" t="str">
        <f>IF(B782="","",B782/MAX(B$5:B782)-1)</f>
        <v/>
      </c>
      <c r="E782" s="13" t="str">
        <f>IF(OR('实盘净值数据(iFinD）'!$A782="",'实盘净值数据(iFinD）'!$B782=""),"",分期持仓明细!$AB$18*SUMPRODUCT(分期持仓明细!$B$18:$Y$18,'实盘净值数据(iFinD）'!$B782:$Y782/'实盘净值数据(iFinD）'!$B$20:$Y$20)*(1-实盘持仓初始配置!$Z$5)^(('实盘净值数据(iFinD）'!$A782-'实盘净值数据(iFinD）'!$A$5)/365))</f>
        <v/>
      </c>
      <c r="F782" s="16" t="str">
        <f t="shared" si="73"/>
        <v/>
      </c>
      <c r="G782" s="16" t="str">
        <f>IF(E782="","",E782/MAX(E$5:E782)-1)</f>
        <v/>
      </c>
      <c r="H782" s="13" t="str">
        <f>IF(OR('实盘净值数据(iFinD）'!$A782="",'实盘净值数据(iFinD）'!$B782=""),"",分期持仓明细!$AB$19*SUMPRODUCT(分期持仓明细!$B$19:$Y$19,'实盘净值数据(iFinD）'!$B782:$Y782/'实盘净值数据(iFinD）'!$B$20:$Y$20)*(1-实盘持仓初始配置!$Z$6)^(('实盘净值数据(iFinD）'!$A782-'实盘净值数据(iFinD）'!$A$7)/365))</f>
        <v/>
      </c>
      <c r="I782" s="16" t="str">
        <f t="shared" si="74"/>
        <v/>
      </c>
      <c r="J782" s="16" t="str">
        <f>IF(H782="","",H782/MAX(H$5:H782)-1)</f>
        <v/>
      </c>
      <c r="K782" s="13" t="str">
        <f>IF(OR('实盘净值数据(iFinD）'!$A782="",'实盘净值数据(iFinD）'!$B782="",'实盘净值数据(iFinD）'!$Z782="",'实盘净值数据(iFinD）'!$AA782=""),"",分期持仓明细!$AB$23*(SUMPRODUCT(分期持仓明细!$B$23:$Y$23,'实盘净值数据(iFinD）'!$B782:$Y782/'实盘净值数据(iFinD）'!$B$65:$Y$65)+SUMPRODUCT(分期持仓明细!$AC$23:$AD$23,'实盘净值数据(iFinD）'!$Z782:$AA782/'实盘净值数据(iFinD）'!$Z$65:$AA$65))*(1-实盘持仓初始配置!$Z$7)^(('实盘净值数据(iFinD）'!$A782-'实盘净值数据(iFinD）'!$A$8)/365))</f>
        <v/>
      </c>
      <c r="L782" s="16" t="str">
        <f t="shared" si="75"/>
        <v/>
      </c>
      <c r="M782" s="16" t="str">
        <f>IF(K782="","",K782/MAX(K$5:K782)-1)</f>
        <v/>
      </c>
      <c r="N782" s="13" t="str">
        <f>IF(OR('实盘净值数据(iFinD）'!$A782="",'实盘净值数据(iFinD）'!$B782="",'实盘净值数据(iFinD）'!$Z782="",'实盘净值数据(iFinD）'!$AA782=""),"",分期持仓明细!$AB$24*(SUMPRODUCT(分期持仓明细!$B$24:$Y$24,'实盘净值数据(iFinD）'!$B782:$Y782/'实盘净值数据(iFinD）'!$B$65:$Y$65)+SUMPRODUCT(分期持仓明细!$AC$24:$AD$24,'实盘净值数据(iFinD）'!$Z782:$AA782/'实盘净值数据(iFinD）'!$Z$65:$AA$65))*(1-实盘持仓初始配置!$Z$8)^(('实盘净值数据(iFinD）'!$A782-'实盘净值数据(iFinD）'!$A$5)/365))</f>
        <v/>
      </c>
      <c r="O782" s="16" t="str">
        <f t="shared" si="76"/>
        <v/>
      </c>
      <c r="P782" s="16" t="str">
        <f>IF(N782="","",N782/MAX(N$5:N782)-1)</f>
        <v/>
      </c>
      <c r="Q782" s="13" t="str">
        <f>IF(OR('实盘净值数据(iFinD）'!$A782="",'实盘净值数据(iFinD）'!$B782="",'实盘净值数据(iFinD）'!$Z782="",'实盘净值数据(iFinD）'!$AA782=""),"",分期持仓明细!$AB$25*(SUMPRODUCT(分期持仓明细!$B$25:$Y$25,'实盘净值数据(iFinD）'!$B782:$Y782/'实盘净值数据(iFinD）'!$B$65:$Y$65)+SUMPRODUCT(分期持仓明细!$AC$25:$AD$25,'实盘净值数据(iFinD）'!$Z782:$AA782/'实盘净值数据(iFinD）'!$Z$65:$AA$65))*(1-实盘持仓初始配置!$Z$9)^(('实盘净值数据(iFinD）'!$A782-'实盘净值数据(iFinD）'!$A$8)/365))</f>
        <v/>
      </c>
      <c r="R782" s="16" t="str">
        <f t="shared" si="77"/>
        <v/>
      </c>
      <c r="S782" s="16" t="str">
        <f>IF(Q782="","",Q782/MAX(Q$5:Q782)-1)</f>
        <v/>
      </c>
      <c r="T782" s="13">
        <f>IF(OR('实盘净值数据(iFinD）'!$A782="",'实盘净值数据(iFinD）'!$B782="",'实盘净值数据(iFinD）'!$Z782="",'实盘净值数据(iFinD）'!$AA782="",'实盘净值数据(iFinD）'!$AB782="",'实盘净值数据(iFinD）'!$AL782=""),"",(SUMPRODUCT(分期持仓明细!$B$26:$Y$26,'实盘净值数据(iFinD）'!$B782:$Y782/'实盘净值数据(iFinD）'!$B$69:$Y$69)+SUMPRODUCT(分期持仓明细!$AC$26:$AD$26,'实盘净值数据(iFinD）'!$Z782:$AA782/'实盘净值数据(iFinD）'!$Z$69:$AA$69)+SUMPRODUCT(分期持仓明细!$AE$26:$AO$26,'实盘净值数据(iFinD）'!$AB782:$AL782/'实盘净值数据(iFinD）'!$AB$69:$AL$69))*(1-实盘持仓初始配置!$Z$10)^(('实盘净值数据(iFinD）'!$A782-'实盘净值数据(iFinD）'!$A$69)/365))</f>
        <v/>
      </c>
      <c r="U782" s="16">
        <f>IF(OR(T781="",T782=""),"",T782/T781-1)</f>
        <v/>
      </c>
      <c r="V782" s="16">
        <f>IF(T782="","",T782/MAX(T$5:T782)-1)</f>
        <v/>
      </c>
    </row>
    <row r="783" spans="1:19">
      <c r="A783" s="15" t="str">
        <f>IF('实盘净值数据(iFinD）'!A783="","",'实盘净值数据(iFinD）'!A783)</f>
        <v/>
      </c>
      <c r="B783" s="13" t="str">
        <f>IF(OR('实盘净值数据(iFinD）'!$A783="",'实盘净值数据(iFinD）'!$B783=""),"",分期持仓明细!$AB$17*SUMPRODUCT(分期持仓明细!$B$17:$Y$17,'实盘净值数据(iFinD）'!$B783:$Y783/'实盘净值数据(iFinD）'!$B$20:$Y$20)*(1-实盘持仓初始配置!$Z$4)^(('实盘净值数据(iFinD）'!$A783-'实盘净值数据(iFinD）'!$A$6)/365))</f>
        <v/>
      </c>
      <c r="C783" s="16" t="str">
        <f t="shared" si="72"/>
        <v/>
      </c>
      <c r="D783" s="16" t="str">
        <f>IF(B783="","",B783/MAX(B$5:B783)-1)</f>
        <v/>
      </c>
      <c r="E783" s="13" t="str">
        <f>IF(OR('实盘净值数据(iFinD）'!$A783="",'实盘净值数据(iFinD）'!$B783=""),"",分期持仓明细!$AB$18*SUMPRODUCT(分期持仓明细!$B$18:$Y$18,'实盘净值数据(iFinD）'!$B783:$Y783/'实盘净值数据(iFinD）'!$B$20:$Y$20)*(1-实盘持仓初始配置!$Z$5)^(('实盘净值数据(iFinD）'!$A783-'实盘净值数据(iFinD）'!$A$5)/365))</f>
        <v/>
      </c>
      <c r="F783" s="16" t="str">
        <f t="shared" si="73"/>
        <v/>
      </c>
      <c r="G783" s="16" t="str">
        <f>IF(E783="","",E783/MAX(E$5:E783)-1)</f>
        <v/>
      </c>
      <c r="H783" s="13" t="str">
        <f>IF(OR('实盘净值数据(iFinD）'!$A783="",'实盘净值数据(iFinD）'!$B783=""),"",分期持仓明细!$AB$19*SUMPRODUCT(分期持仓明细!$B$19:$Y$19,'实盘净值数据(iFinD）'!$B783:$Y783/'实盘净值数据(iFinD）'!$B$20:$Y$20)*(1-实盘持仓初始配置!$Z$6)^(('实盘净值数据(iFinD）'!$A783-'实盘净值数据(iFinD）'!$A$7)/365))</f>
        <v/>
      </c>
      <c r="I783" s="16" t="str">
        <f t="shared" si="74"/>
        <v/>
      </c>
      <c r="J783" s="16" t="str">
        <f>IF(H783="","",H783/MAX(H$5:H783)-1)</f>
        <v/>
      </c>
      <c r="K783" s="13" t="str">
        <f>IF(OR('实盘净值数据(iFinD）'!$A783="",'实盘净值数据(iFinD）'!$B783="",'实盘净值数据(iFinD）'!$Z783="",'实盘净值数据(iFinD）'!$AA783=""),"",分期持仓明细!$AB$23*(SUMPRODUCT(分期持仓明细!$B$23:$Y$23,'实盘净值数据(iFinD）'!$B783:$Y783/'实盘净值数据(iFinD）'!$B$65:$Y$65)+SUMPRODUCT(分期持仓明细!$AC$23:$AD$23,'实盘净值数据(iFinD）'!$Z783:$AA783/'实盘净值数据(iFinD）'!$Z$65:$AA$65))*(1-实盘持仓初始配置!$Z$7)^(('实盘净值数据(iFinD）'!$A783-'实盘净值数据(iFinD）'!$A$8)/365))</f>
        <v/>
      </c>
      <c r="L783" s="16" t="str">
        <f t="shared" si="75"/>
        <v/>
      </c>
      <c r="M783" s="16" t="str">
        <f>IF(K783="","",K783/MAX(K$5:K783)-1)</f>
        <v/>
      </c>
      <c r="N783" s="13" t="str">
        <f>IF(OR('实盘净值数据(iFinD）'!$A783="",'实盘净值数据(iFinD）'!$B783="",'实盘净值数据(iFinD）'!$Z783="",'实盘净值数据(iFinD）'!$AA783=""),"",分期持仓明细!$AB$24*(SUMPRODUCT(分期持仓明细!$B$24:$Y$24,'实盘净值数据(iFinD）'!$B783:$Y783/'实盘净值数据(iFinD）'!$B$65:$Y$65)+SUMPRODUCT(分期持仓明细!$AC$24:$AD$24,'实盘净值数据(iFinD）'!$Z783:$AA783/'实盘净值数据(iFinD）'!$Z$65:$AA$65))*(1-实盘持仓初始配置!$Z$8)^(('实盘净值数据(iFinD）'!$A783-'实盘净值数据(iFinD）'!$A$5)/365))</f>
        <v/>
      </c>
      <c r="O783" s="16" t="str">
        <f t="shared" si="76"/>
        <v/>
      </c>
      <c r="P783" s="16" t="str">
        <f>IF(N783="","",N783/MAX(N$5:N783)-1)</f>
        <v/>
      </c>
      <c r="Q783" s="13" t="str">
        <f>IF(OR('实盘净值数据(iFinD）'!$A783="",'实盘净值数据(iFinD）'!$B783="",'实盘净值数据(iFinD）'!$Z783="",'实盘净值数据(iFinD）'!$AA783=""),"",分期持仓明细!$AB$25*(SUMPRODUCT(分期持仓明细!$B$25:$Y$25,'实盘净值数据(iFinD）'!$B783:$Y783/'实盘净值数据(iFinD）'!$B$65:$Y$65)+SUMPRODUCT(分期持仓明细!$AC$25:$AD$25,'实盘净值数据(iFinD）'!$Z783:$AA783/'实盘净值数据(iFinD）'!$Z$65:$AA$65))*(1-实盘持仓初始配置!$Z$9)^(('实盘净值数据(iFinD）'!$A783-'实盘净值数据(iFinD）'!$A$8)/365))</f>
        <v/>
      </c>
      <c r="R783" s="16" t="str">
        <f t="shared" si="77"/>
        <v/>
      </c>
      <c r="S783" s="16" t="str">
        <f>IF(Q783="","",Q783/MAX(Q$5:Q783)-1)</f>
        <v/>
      </c>
      <c r="T783" s="13">
        <f>IF(OR('实盘净值数据(iFinD）'!$A783="",'实盘净值数据(iFinD）'!$B783="",'实盘净值数据(iFinD）'!$Z783="",'实盘净值数据(iFinD）'!$AA783="",'实盘净值数据(iFinD）'!$AB783="",'实盘净值数据(iFinD）'!$AL783=""),"",(SUMPRODUCT(分期持仓明细!$B$26:$Y$26,'实盘净值数据(iFinD）'!$B783:$Y783/'实盘净值数据(iFinD）'!$B$69:$Y$69)+SUMPRODUCT(分期持仓明细!$AC$26:$AD$26,'实盘净值数据(iFinD）'!$Z783:$AA783/'实盘净值数据(iFinD）'!$Z$69:$AA$69)+SUMPRODUCT(分期持仓明细!$AE$26:$AO$26,'实盘净值数据(iFinD）'!$AB783:$AL783/'实盘净值数据(iFinD）'!$AB$69:$AL$69))*(1-实盘持仓初始配置!$Z$10)^(('实盘净值数据(iFinD）'!$A783-'实盘净值数据(iFinD）'!$A$69)/365))</f>
        <v/>
      </c>
      <c r="U783" s="16">
        <f>IF(OR(T782="",T783=""),"",T783/T782-1)</f>
        <v/>
      </c>
      <c r="V783" s="16">
        <f>IF(T783="","",T783/MAX(T$5:T783)-1)</f>
        <v/>
      </c>
    </row>
    <row r="784" spans="1:19">
      <c r="A784" s="15" t="str">
        <f>IF('实盘净值数据(iFinD）'!A784="","",'实盘净值数据(iFinD）'!A784)</f>
        <v/>
      </c>
      <c r="B784" s="13" t="str">
        <f>IF(OR('实盘净值数据(iFinD）'!$A784="",'实盘净值数据(iFinD）'!$B784=""),"",分期持仓明细!$AB$17*SUMPRODUCT(分期持仓明细!$B$17:$Y$17,'实盘净值数据(iFinD）'!$B784:$Y784/'实盘净值数据(iFinD）'!$B$20:$Y$20)*(1-实盘持仓初始配置!$Z$4)^(('实盘净值数据(iFinD）'!$A784-'实盘净值数据(iFinD）'!$A$6)/365))</f>
        <v/>
      </c>
      <c r="C784" s="16" t="str">
        <f t="shared" si="72"/>
        <v/>
      </c>
      <c r="D784" s="16" t="str">
        <f>IF(B784="","",B784/MAX(B$5:B784)-1)</f>
        <v/>
      </c>
      <c r="E784" s="13" t="str">
        <f>IF(OR('实盘净值数据(iFinD）'!$A784="",'实盘净值数据(iFinD）'!$B784=""),"",分期持仓明细!$AB$18*SUMPRODUCT(分期持仓明细!$B$18:$Y$18,'实盘净值数据(iFinD）'!$B784:$Y784/'实盘净值数据(iFinD）'!$B$20:$Y$20)*(1-实盘持仓初始配置!$Z$5)^(('实盘净值数据(iFinD）'!$A784-'实盘净值数据(iFinD）'!$A$5)/365))</f>
        <v/>
      </c>
      <c r="F784" s="16" t="str">
        <f t="shared" si="73"/>
        <v/>
      </c>
      <c r="G784" s="16" t="str">
        <f>IF(E784="","",E784/MAX(E$5:E784)-1)</f>
        <v/>
      </c>
      <c r="H784" s="13" t="str">
        <f>IF(OR('实盘净值数据(iFinD）'!$A784="",'实盘净值数据(iFinD）'!$B784=""),"",分期持仓明细!$AB$19*SUMPRODUCT(分期持仓明细!$B$19:$Y$19,'实盘净值数据(iFinD）'!$B784:$Y784/'实盘净值数据(iFinD）'!$B$20:$Y$20)*(1-实盘持仓初始配置!$Z$6)^(('实盘净值数据(iFinD）'!$A784-'实盘净值数据(iFinD）'!$A$7)/365))</f>
        <v/>
      </c>
      <c r="I784" s="16" t="str">
        <f t="shared" si="74"/>
        <v/>
      </c>
      <c r="J784" s="16" t="str">
        <f>IF(H784="","",H784/MAX(H$5:H784)-1)</f>
        <v/>
      </c>
      <c r="K784" s="13" t="str">
        <f>IF(OR('实盘净值数据(iFinD）'!$A784="",'实盘净值数据(iFinD）'!$B784="",'实盘净值数据(iFinD）'!$Z784="",'实盘净值数据(iFinD）'!$AA784=""),"",分期持仓明细!$AB$23*(SUMPRODUCT(分期持仓明细!$B$23:$Y$23,'实盘净值数据(iFinD）'!$B784:$Y784/'实盘净值数据(iFinD）'!$B$65:$Y$65)+SUMPRODUCT(分期持仓明细!$AC$23:$AD$23,'实盘净值数据(iFinD）'!$Z784:$AA784/'实盘净值数据(iFinD）'!$Z$65:$AA$65))*(1-实盘持仓初始配置!$Z$7)^(('实盘净值数据(iFinD）'!$A784-'实盘净值数据(iFinD）'!$A$8)/365))</f>
        <v/>
      </c>
      <c r="L784" s="16" t="str">
        <f t="shared" si="75"/>
        <v/>
      </c>
      <c r="M784" s="16" t="str">
        <f>IF(K784="","",K784/MAX(K$5:K784)-1)</f>
        <v/>
      </c>
      <c r="N784" s="13" t="str">
        <f>IF(OR('实盘净值数据(iFinD）'!$A784="",'实盘净值数据(iFinD）'!$B784="",'实盘净值数据(iFinD）'!$Z784="",'实盘净值数据(iFinD）'!$AA784=""),"",分期持仓明细!$AB$24*(SUMPRODUCT(分期持仓明细!$B$24:$Y$24,'实盘净值数据(iFinD）'!$B784:$Y784/'实盘净值数据(iFinD）'!$B$65:$Y$65)+SUMPRODUCT(分期持仓明细!$AC$24:$AD$24,'实盘净值数据(iFinD）'!$Z784:$AA784/'实盘净值数据(iFinD）'!$Z$65:$AA$65))*(1-实盘持仓初始配置!$Z$8)^(('实盘净值数据(iFinD）'!$A784-'实盘净值数据(iFinD）'!$A$5)/365))</f>
        <v/>
      </c>
      <c r="O784" s="16" t="str">
        <f t="shared" si="76"/>
        <v/>
      </c>
      <c r="P784" s="16" t="str">
        <f>IF(N784="","",N784/MAX(N$5:N784)-1)</f>
        <v/>
      </c>
      <c r="Q784" s="13" t="str">
        <f>IF(OR('实盘净值数据(iFinD）'!$A784="",'实盘净值数据(iFinD）'!$B784="",'实盘净值数据(iFinD）'!$Z784="",'实盘净值数据(iFinD）'!$AA784=""),"",分期持仓明细!$AB$25*(SUMPRODUCT(分期持仓明细!$B$25:$Y$25,'实盘净值数据(iFinD）'!$B784:$Y784/'实盘净值数据(iFinD）'!$B$65:$Y$65)+SUMPRODUCT(分期持仓明细!$AC$25:$AD$25,'实盘净值数据(iFinD）'!$Z784:$AA784/'实盘净值数据(iFinD）'!$Z$65:$AA$65))*(1-实盘持仓初始配置!$Z$9)^(('实盘净值数据(iFinD）'!$A784-'实盘净值数据(iFinD）'!$A$8)/365))</f>
        <v/>
      </c>
      <c r="R784" s="16" t="str">
        <f t="shared" si="77"/>
        <v/>
      </c>
      <c r="S784" s="16" t="str">
        <f>IF(Q784="","",Q784/MAX(Q$5:Q784)-1)</f>
        <v/>
      </c>
      <c r="T784" s="13">
        <f>IF(OR('实盘净值数据(iFinD）'!$A784="",'实盘净值数据(iFinD）'!$B784="",'实盘净值数据(iFinD）'!$Z784="",'实盘净值数据(iFinD）'!$AA784="",'实盘净值数据(iFinD）'!$AB784="",'实盘净值数据(iFinD）'!$AL784=""),"",(SUMPRODUCT(分期持仓明细!$B$26:$Y$26,'实盘净值数据(iFinD）'!$B784:$Y784/'实盘净值数据(iFinD）'!$B$69:$Y$69)+SUMPRODUCT(分期持仓明细!$AC$26:$AD$26,'实盘净值数据(iFinD）'!$Z784:$AA784/'实盘净值数据(iFinD）'!$Z$69:$AA$69)+SUMPRODUCT(分期持仓明细!$AE$26:$AO$26,'实盘净值数据(iFinD）'!$AB784:$AL784/'实盘净值数据(iFinD）'!$AB$69:$AL$69))*(1-实盘持仓初始配置!$Z$10)^(('实盘净值数据(iFinD）'!$A784-'实盘净值数据(iFinD）'!$A$69)/365))</f>
        <v/>
      </c>
      <c r="U784" s="16">
        <f>IF(OR(T783="",T784=""),"",T784/T783-1)</f>
        <v/>
      </c>
      <c r="V784" s="16">
        <f>IF(T784="","",T784/MAX(T$5:T784)-1)</f>
        <v/>
      </c>
    </row>
    <row r="785" spans="1:19">
      <c r="A785" s="15" t="str">
        <f>IF('实盘净值数据(iFinD）'!A785="","",'实盘净值数据(iFinD）'!A785)</f>
        <v/>
      </c>
      <c r="B785" s="13" t="str">
        <f>IF(OR('实盘净值数据(iFinD）'!$A785="",'实盘净值数据(iFinD）'!$B785=""),"",分期持仓明细!$AB$17*SUMPRODUCT(分期持仓明细!$B$17:$Y$17,'实盘净值数据(iFinD）'!$B785:$Y785/'实盘净值数据(iFinD）'!$B$20:$Y$20)*(1-实盘持仓初始配置!$Z$4)^(('实盘净值数据(iFinD）'!$A785-'实盘净值数据(iFinD）'!$A$6)/365))</f>
        <v/>
      </c>
      <c r="C785" s="16" t="str">
        <f t="shared" si="72"/>
        <v/>
      </c>
      <c r="D785" s="16" t="str">
        <f>IF(B785="","",B785/MAX(B$5:B785)-1)</f>
        <v/>
      </c>
      <c r="E785" s="13" t="str">
        <f>IF(OR('实盘净值数据(iFinD）'!$A785="",'实盘净值数据(iFinD）'!$B785=""),"",分期持仓明细!$AB$18*SUMPRODUCT(分期持仓明细!$B$18:$Y$18,'实盘净值数据(iFinD）'!$B785:$Y785/'实盘净值数据(iFinD）'!$B$20:$Y$20)*(1-实盘持仓初始配置!$Z$5)^(('实盘净值数据(iFinD）'!$A785-'实盘净值数据(iFinD）'!$A$5)/365))</f>
        <v/>
      </c>
      <c r="F785" s="16" t="str">
        <f t="shared" si="73"/>
        <v/>
      </c>
      <c r="G785" s="16" t="str">
        <f>IF(E785="","",E785/MAX(E$5:E785)-1)</f>
        <v/>
      </c>
      <c r="H785" s="13" t="str">
        <f>IF(OR('实盘净值数据(iFinD）'!$A785="",'实盘净值数据(iFinD）'!$B785=""),"",分期持仓明细!$AB$19*SUMPRODUCT(分期持仓明细!$B$19:$Y$19,'实盘净值数据(iFinD）'!$B785:$Y785/'实盘净值数据(iFinD）'!$B$20:$Y$20)*(1-实盘持仓初始配置!$Z$6)^(('实盘净值数据(iFinD）'!$A785-'实盘净值数据(iFinD）'!$A$7)/365))</f>
        <v/>
      </c>
      <c r="I785" s="16" t="str">
        <f t="shared" si="74"/>
        <v/>
      </c>
      <c r="J785" s="16" t="str">
        <f>IF(H785="","",H785/MAX(H$5:H785)-1)</f>
        <v/>
      </c>
      <c r="K785" s="13" t="str">
        <f>IF(OR('实盘净值数据(iFinD）'!$A785="",'实盘净值数据(iFinD）'!$B785="",'实盘净值数据(iFinD）'!$Z785="",'实盘净值数据(iFinD）'!$AA785=""),"",分期持仓明细!$AB$23*(SUMPRODUCT(分期持仓明细!$B$23:$Y$23,'实盘净值数据(iFinD）'!$B785:$Y785/'实盘净值数据(iFinD）'!$B$65:$Y$65)+SUMPRODUCT(分期持仓明细!$AC$23:$AD$23,'实盘净值数据(iFinD）'!$Z785:$AA785/'实盘净值数据(iFinD）'!$Z$65:$AA$65))*(1-实盘持仓初始配置!$Z$7)^(('实盘净值数据(iFinD）'!$A785-'实盘净值数据(iFinD）'!$A$8)/365))</f>
        <v/>
      </c>
      <c r="L785" s="16" t="str">
        <f t="shared" si="75"/>
        <v/>
      </c>
      <c r="M785" s="16" t="str">
        <f>IF(K785="","",K785/MAX(K$5:K785)-1)</f>
        <v/>
      </c>
      <c r="N785" s="13" t="str">
        <f>IF(OR('实盘净值数据(iFinD）'!$A785="",'实盘净值数据(iFinD）'!$B785="",'实盘净值数据(iFinD）'!$Z785="",'实盘净值数据(iFinD）'!$AA785=""),"",分期持仓明细!$AB$24*(SUMPRODUCT(分期持仓明细!$B$24:$Y$24,'实盘净值数据(iFinD）'!$B785:$Y785/'实盘净值数据(iFinD）'!$B$65:$Y$65)+SUMPRODUCT(分期持仓明细!$AC$24:$AD$24,'实盘净值数据(iFinD）'!$Z785:$AA785/'实盘净值数据(iFinD）'!$Z$65:$AA$65))*(1-实盘持仓初始配置!$Z$8)^(('实盘净值数据(iFinD）'!$A785-'实盘净值数据(iFinD）'!$A$5)/365))</f>
        <v/>
      </c>
      <c r="O785" s="16" t="str">
        <f t="shared" si="76"/>
        <v/>
      </c>
      <c r="P785" s="16" t="str">
        <f>IF(N785="","",N785/MAX(N$5:N785)-1)</f>
        <v/>
      </c>
      <c r="Q785" s="13" t="str">
        <f>IF(OR('实盘净值数据(iFinD）'!$A785="",'实盘净值数据(iFinD）'!$B785="",'实盘净值数据(iFinD）'!$Z785="",'实盘净值数据(iFinD）'!$AA785=""),"",分期持仓明细!$AB$25*(SUMPRODUCT(分期持仓明细!$B$25:$Y$25,'实盘净值数据(iFinD）'!$B785:$Y785/'实盘净值数据(iFinD）'!$B$65:$Y$65)+SUMPRODUCT(分期持仓明细!$AC$25:$AD$25,'实盘净值数据(iFinD）'!$Z785:$AA785/'实盘净值数据(iFinD）'!$Z$65:$AA$65))*(1-实盘持仓初始配置!$Z$9)^(('实盘净值数据(iFinD）'!$A785-'实盘净值数据(iFinD）'!$A$8)/365))</f>
        <v/>
      </c>
      <c r="R785" s="16" t="str">
        <f t="shared" si="77"/>
        <v/>
      </c>
      <c r="S785" s="16" t="str">
        <f>IF(Q785="","",Q785/MAX(Q$5:Q785)-1)</f>
        <v/>
      </c>
      <c r="T785" s="13">
        <f>IF(OR('实盘净值数据(iFinD）'!$A785="",'实盘净值数据(iFinD）'!$B785="",'实盘净值数据(iFinD）'!$Z785="",'实盘净值数据(iFinD）'!$AA785="",'实盘净值数据(iFinD）'!$AB785="",'实盘净值数据(iFinD）'!$AL785=""),"",(SUMPRODUCT(分期持仓明细!$B$26:$Y$26,'实盘净值数据(iFinD）'!$B785:$Y785/'实盘净值数据(iFinD）'!$B$69:$Y$69)+SUMPRODUCT(分期持仓明细!$AC$26:$AD$26,'实盘净值数据(iFinD）'!$Z785:$AA785/'实盘净值数据(iFinD）'!$Z$69:$AA$69)+SUMPRODUCT(分期持仓明细!$AE$26:$AO$26,'实盘净值数据(iFinD）'!$AB785:$AL785/'实盘净值数据(iFinD）'!$AB$69:$AL$69))*(1-实盘持仓初始配置!$Z$10)^(('实盘净值数据(iFinD）'!$A785-'实盘净值数据(iFinD）'!$A$69)/365))</f>
        <v/>
      </c>
      <c r="U785" s="16">
        <f>IF(OR(T784="",T785=""),"",T785/T784-1)</f>
        <v/>
      </c>
      <c r="V785" s="16">
        <f>IF(T785="","",T785/MAX(T$5:T785)-1)</f>
        <v/>
      </c>
    </row>
    <row r="786" spans="1:19">
      <c r="A786" s="15" t="str">
        <f>IF('实盘净值数据(iFinD）'!A786="","",'实盘净值数据(iFinD）'!A786)</f>
        <v/>
      </c>
      <c r="B786" s="13" t="str">
        <f>IF(OR('实盘净值数据(iFinD）'!$A786="",'实盘净值数据(iFinD）'!$B786=""),"",分期持仓明细!$AB$17*SUMPRODUCT(分期持仓明细!$B$17:$Y$17,'实盘净值数据(iFinD）'!$B786:$Y786/'实盘净值数据(iFinD）'!$B$20:$Y$20)*(1-实盘持仓初始配置!$Z$4)^(('实盘净值数据(iFinD）'!$A786-'实盘净值数据(iFinD）'!$A$6)/365))</f>
        <v/>
      </c>
      <c r="C786" s="16" t="str">
        <f t="shared" si="72"/>
        <v/>
      </c>
      <c r="D786" s="16" t="str">
        <f>IF(B786="","",B786/MAX(B$5:B786)-1)</f>
        <v/>
      </c>
      <c r="E786" s="13" t="str">
        <f>IF(OR('实盘净值数据(iFinD）'!$A786="",'实盘净值数据(iFinD）'!$B786=""),"",分期持仓明细!$AB$18*SUMPRODUCT(分期持仓明细!$B$18:$Y$18,'实盘净值数据(iFinD）'!$B786:$Y786/'实盘净值数据(iFinD）'!$B$20:$Y$20)*(1-实盘持仓初始配置!$Z$5)^(('实盘净值数据(iFinD）'!$A786-'实盘净值数据(iFinD）'!$A$5)/365))</f>
        <v/>
      </c>
      <c r="F786" s="16" t="str">
        <f t="shared" si="73"/>
        <v/>
      </c>
      <c r="G786" s="16" t="str">
        <f>IF(E786="","",E786/MAX(E$5:E786)-1)</f>
        <v/>
      </c>
      <c r="H786" s="13" t="str">
        <f>IF(OR('实盘净值数据(iFinD）'!$A786="",'实盘净值数据(iFinD）'!$B786=""),"",分期持仓明细!$AB$19*SUMPRODUCT(分期持仓明细!$B$19:$Y$19,'实盘净值数据(iFinD）'!$B786:$Y786/'实盘净值数据(iFinD）'!$B$20:$Y$20)*(1-实盘持仓初始配置!$Z$6)^(('实盘净值数据(iFinD）'!$A786-'实盘净值数据(iFinD）'!$A$7)/365))</f>
        <v/>
      </c>
      <c r="I786" s="16" t="str">
        <f t="shared" si="74"/>
        <v/>
      </c>
      <c r="J786" s="16" t="str">
        <f>IF(H786="","",H786/MAX(H$5:H786)-1)</f>
        <v/>
      </c>
      <c r="K786" s="13" t="str">
        <f>IF(OR('实盘净值数据(iFinD）'!$A786="",'实盘净值数据(iFinD）'!$B786="",'实盘净值数据(iFinD）'!$Z786="",'实盘净值数据(iFinD）'!$AA786=""),"",分期持仓明细!$AB$23*(SUMPRODUCT(分期持仓明细!$B$23:$Y$23,'实盘净值数据(iFinD）'!$B786:$Y786/'实盘净值数据(iFinD）'!$B$65:$Y$65)+SUMPRODUCT(分期持仓明细!$AC$23:$AD$23,'实盘净值数据(iFinD）'!$Z786:$AA786/'实盘净值数据(iFinD）'!$Z$65:$AA$65))*(1-实盘持仓初始配置!$Z$7)^(('实盘净值数据(iFinD）'!$A786-'实盘净值数据(iFinD）'!$A$8)/365))</f>
        <v/>
      </c>
      <c r="L786" s="16" t="str">
        <f t="shared" si="75"/>
        <v/>
      </c>
      <c r="M786" s="16" t="str">
        <f>IF(K786="","",K786/MAX(K$5:K786)-1)</f>
        <v/>
      </c>
      <c r="N786" s="13" t="str">
        <f>IF(OR('实盘净值数据(iFinD）'!$A786="",'实盘净值数据(iFinD）'!$B786="",'实盘净值数据(iFinD）'!$Z786="",'实盘净值数据(iFinD）'!$AA786=""),"",分期持仓明细!$AB$24*(SUMPRODUCT(分期持仓明细!$B$24:$Y$24,'实盘净值数据(iFinD）'!$B786:$Y786/'实盘净值数据(iFinD）'!$B$65:$Y$65)+SUMPRODUCT(分期持仓明细!$AC$24:$AD$24,'实盘净值数据(iFinD）'!$Z786:$AA786/'实盘净值数据(iFinD）'!$Z$65:$AA$65))*(1-实盘持仓初始配置!$Z$8)^(('实盘净值数据(iFinD）'!$A786-'实盘净值数据(iFinD）'!$A$5)/365))</f>
        <v/>
      </c>
      <c r="O786" s="16" t="str">
        <f t="shared" si="76"/>
        <v/>
      </c>
      <c r="P786" s="16" t="str">
        <f>IF(N786="","",N786/MAX(N$5:N786)-1)</f>
        <v/>
      </c>
      <c r="Q786" s="13" t="str">
        <f>IF(OR('实盘净值数据(iFinD）'!$A786="",'实盘净值数据(iFinD）'!$B786="",'实盘净值数据(iFinD）'!$Z786="",'实盘净值数据(iFinD）'!$AA786=""),"",分期持仓明细!$AB$25*(SUMPRODUCT(分期持仓明细!$B$25:$Y$25,'实盘净值数据(iFinD）'!$B786:$Y786/'实盘净值数据(iFinD）'!$B$65:$Y$65)+SUMPRODUCT(分期持仓明细!$AC$25:$AD$25,'实盘净值数据(iFinD）'!$Z786:$AA786/'实盘净值数据(iFinD）'!$Z$65:$AA$65))*(1-实盘持仓初始配置!$Z$9)^(('实盘净值数据(iFinD）'!$A786-'实盘净值数据(iFinD）'!$A$8)/365))</f>
        <v/>
      </c>
      <c r="R786" s="16" t="str">
        <f t="shared" si="77"/>
        <v/>
      </c>
      <c r="S786" s="16" t="str">
        <f>IF(Q786="","",Q786/MAX(Q$5:Q786)-1)</f>
        <v/>
      </c>
      <c r="T786" s="13">
        <f>IF(OR('实盘净值数据(iFinD）'!$A786="",'实盘净值数据(iFinD）'!$B786="",'实盘净值数据(iFinD）'!$Z786="",'实盘净值数据(iFinD）'!$AA786="",'实盘净值数据(iFinD）'!$AB786="",'实盘净值数据(iFinD）'!$AL786=""),"",(SUMPRODUCT(分期持仓明细!$B$26:$Y$26,'实盘净值数据(iFinD）'!$B786:$Y786/'实盘净值数据(iFinD）'!$B$69:$Y$69)+SUMPRODUCT(分期持仓明细!$AC$26:$AD$26,'实盘净值数据(iFinD）'!$Z786:$AA786/'实盘净值数据(iFinD）'!$Z$69:$AA$69)+SUMPRODUCT(分期持仓明细!$AE$26:$AO$26,'实盘净值数据(iFinD）'!$AB786:$AL786/'实盘净值数据(iFinD）'!$AB$69:$AL$69))*(1-实盘持仓初始配置!$Z$10)^(('实盘净值数据(iFinD）'!$A786-'实盘净值数据(iFinD）'!$A$69)/365))</f>
        <v/>
      </c>
      <c r="U786" s="16">
        <f>IF(OR(T785="",T786=""),"",T786/T785-1)</f>
        <v/>
      </c>
      <c r="V786" s="16">
        <f>IF(T786="","",T786/MAX(T$5:T786)-1)</f>
        <v/>
      </c>
    </row>
    <row r="787" spans="1:19">
      <c r="A787" s="15" t="str">
        <f>IF('实盘净值数据(iFinD）'!A787="","",'实盘净值数据(iFinD）'!A787)</f>
        <v/>
      </c>
      <c r="B787" s="13" t="str">
        <f>IF(OR('实盘净值数据(iFinD）'!$A787="",'实盘净值数据(iFinD）'!$B787=""),"",分期持仓明细!$AB$17*SUMPRODUCT(分期持仓明细!$B$17:$Y$17,'实盘净值数据(iFinD）'!$B787:$Y787/'实盘净值数据(iFinD）'!$B$20:$Y$20)*(1-实盘持仓初始配置!$Z$4)^(('实盘净值数据(iFinD）'!$A787-'实盘净值数据(iFinD）'!$A$6)/365))</f>
        <v/>
      </c>
      <c r="C787" s="16" t="str">
        <f t="shared" si="72"/>
        <v/>
      </c>
      <c r="D787" s="16" t="str">
        <f>IF(B787="","",B787/MAX(B$5:B787)-1)</f>
        <v/>
      </c>
      <c r="E787" s="13" t="str">
        <f>IF(OR('实盘净值数据(iFinD）'!$A787="",'实盘净值数据(iFinD）'!$B787=""),"",分期持仓明细!$AB$18*SUMPRODUCT(分期持仓明细!$B$18:$Y$18,'实盘净值数据(iFinD）'!$B787:$Y787/'实盘净值数据(iFinD）'!$B$20:$Y$20)*(1-实盘持仓初始配置!$Z$5)^(('实盘净值数据(iFinD）'!$A787-'实盘净值数据(iFinD）'!$A$5)/365))</f>
        <v/>
      </c>
      <c r="F787" s="16" t="str">
        <f t="shared" si="73"/>
        <v/>
      </c>
      <c r="G787" s="16" t="str">
        <f>IF(E787="","",E787/MAX(E$5:E787)-1)</f>
        <v/>
      </c>
      <c r="H787" s="13" t="str">
        <f>IF(OR('实盘净值数据(iFinD）'!$A787="",'实盘净值数据(iFinD）'!$B787=""),"",分期持仓明细!$AB$19*SUMPRODUCT(分期持仓明细!$B$19:$Y$19,'实盘净值数据(iFinD）'!$B787:$Y787/'实盘净值数据(iFinD）'!$B$20:$Y$20)*(1-实盘持仓初始配置!$Z$6)^(('实盘净值数据(iFinD）'!$A787-'实盘净值数据(iFinD）'!$A$7)/365))</f>
        <v/>
      </c>
      <c r="I787" s="16" t="str">
        <f t="shared" si="74"/>
        <v/>
      </c>
      <c r="J787" s="16" t="str">
        <f>IF(H787="","",H787/MAX(H$5:H787)-1)</f>
        <v/>
      </c>
      <c r="K787" s="13" t="str">
        <f>IF(OR('实盘净值数据(iFinD）'!$A787="",'实盘净值数据(iFinD）'!$B787="",'实盘净值数据(iFinD）'!$Z787="",'实盘净值数据(iFinD）'!$AA787=""),"",分期持仓明细!$AB$23*(SUMPRODUCT(分期持仓明细!$B$23:$Y$23,'实盘净值数据(iFinD）'!$B787:$Y787/'实盘净值数据(iFinD）'!$B$65:$Y$65)+SUMPRODUCT(分期持仓明细!$AC$23:$AD$23,'实盘净值数据(iFinD）'!$Z787:$AA787/'实盘净值数据(iFinD）'!$Z$65:$AA$65))*(1-实盘持仓初始配置!$Z$7)^(('实盘净值数据(iFinD）'!$A787-'实盘净值数据(iFinD）'!$A$8)/365))</f>
        <v/>
      </c>
      <c r="L787" s="16" t="str">
        <f t="shared" si="75"/>
        <v/>
      </c>
      <c r="M787" s="16" t="str">
        <f>IF(K787="","",K787/MAX(K$5:K787)-1)</f>
        <v/>
      </c>
      <c r="N787" s="13" t="str">
        <f>IF(OR('实盘净值数据(iFinD）'!$A787="",'实盘净值数据(iFinD）'!$B787="",'实盘净值数据(iFinD）'!$Z787="",'实盘净值数据(iFinD）'!$AA787=""),"",分期持仓明细!$AB$24*(SUMPRODUCT(分期持仓明细!$B$24:$Y$24,'实盘净值数据(iFinD）'!$B787:$Y787/'实盘净值数据(iFinD）'!$B$65:$Y$65)+SUMPRODUCT(分期持仓明细!$AC$24:$AD$24,'实盘净值数据(iFinD）'!$Z787:$AA787/'实盘净值数据(iFinD）'!$Z$65:$AA$65))*(1-实盘持仓初始配置!$Z$8)^(('实盘净值数据(iFinD）'!$A787-'实盘净值数据(iFinD）'!$A$5)/365))</f>
        <v/>
      </c>
      <c r="O787" s="16" t="str">
        <f t="shared" si="76"/>
        <v/>
      </c>
      <c r="P787" s="16" t="str">
        <f>IF(N787="","",N787/MAX(N$5:N787)-1)</f>
        <v/>
      </c>
      <c r="Q787" s="13" t="str">
        <f>IF(OR('实盘净值数据(iFinD）'!$A787="",'实盘净值数据(iFinD）'!$B787="",'实盘净值数据(iFinD）'!$Z787="",'实盘净值数据(iFinD）'!$AA787=""),"",分期持仓明细!$AB$25*(SUMPRODUCT(分期持仓明细!$B$25:$Y$25,'实盘净值数据(iFinD）'!$B787:$Y787/'实盘净值数据(iFinD）'!$B$65:$Y$65)+SUMPRODUCT(分期持仓明细!$AC$25:$AD$25,'实盘净值数据(iFinD）'!$Z787:$AA787/'实盘净值数据(iFinD）'!$Z$65:$AA$65))*(1-实盘持仓初始配置!$Z$9)^(('实盘净值数据(iFinD）'!$A787-'实盘净值数据(iFinD）'!$A$8)/365))</f>
        <v/>
      </c>
      <c r="R787" s="16" t="str">
        <f t="shared" si="77"/>
        <v/>
      </c>
      <c r="S787" s="16" t="str">
        <f>IF(Q787="","",Q787/MAX(Q$5:Q787)-1)</f>
        <v/>
      </c>
      <c r="T787" s="13">
        <f>IF(OR('实盘净值数据(iFinD）'!$A787="",'实盘净值数据(iFinD）'!$B787="",'实盘净值数据(iFinD）'!$Z787="",'实盘净值数据(iFinD）'!$AA787="",'实盘净值数据(iFinD）'!$AB787="",'实盘净值数据(iFinD）'!$AL787=""),"",(SUMPRODUCT(分期持仓明细!$B$26:$Y$26,'实盘净值数据(iFinD）'!$B787:$Y787/'实盘净值数据(iFinD）'!$B$69:$Y$69)+SUMPRODUCT(分期持仓明细!$AC$26:$AD$26,'实盘净值数据(iFinD）'!$Z787:$AA787/'实盘净值数据(iFinD）'!$Z$69:$AA$69)+SUMPRODUCT(分期持仓明细!$AE$26:$AO$26,'实盘净值数据(iFinD）'!$AB787:$AL787/'实盘净值数据(iFinD）'!$AB$69:$AL$69))*(1-实盘持仓初始配置!$Z$10)^(('实盘净值数据(iFinD）'!$A787-'实盘净值数据(iFinD）'!$A$69)/365))</f>
        <v/>
      </c>
      <c r="U787" s="16">
        <f>IF(OR(T786="",T787=""),"",T787/T786-1)</f>
        <v/>
      </c>
      <c r="V787" s="16">
        <f>IF(T787="","",T787/MAX(T$5:T787)-1)</f>
        <v/>
      </c>
    </row>
    <row r="788" spans="1:19">
      <c r="A788" s="15" t="str">
        <f>IF('实盘净值数据(iFinD）'!A788="","",'实盘净值数据(iFinD）'!A788)</f>
        <v/>
      </c>
      <c r="B788" s="13" t="str">
        <f>IF(OR('实盘净值数据(iFinD）'!$A788="",'实盘净值数据(iFinD）'!$B788=""),"",分期持仓明细!$AB$17*SUMPRODUCT(分期持仓明细!$B$17:$Y$17,'实盘净值数据(iFinD）'!$B788:$Y788/'实盘净值数据(iFinD）'!$B$20:$Y$20)*(1-实盘持仓初始配置!$Z$4)^(('实盘净值数据(iFinD）'!$A788-'实盘净值数据(iFinD）'!$A$6)/365))</f>
        <v/>
      </c>
      <c r="C788" s="16" t="str">
        <f t="shared" si="72"/>
        <v/>
      </c>
      <c r="D788" s="16" t="str">
        <f>IF(B788="","",B788/MAX(B$5:B788)-1)</f>
        <v/>
      </c>
      <c r="E788" s="13" t="str">
        <f>IF(OR('实盘净值数据(iFinD）'!$A788="",'实盘净值数据(iFinD）'!$B788=""),"",分期持仓明细!$AB$18*SUMPRODUCT(分期持仓明细!$B$18:$Y$18,'实盘净值数据(iFinD）'!$B788:$Y788/'实盘净值数据(iFinD）'!$B$20:$Y$20)*(1-实盘持仓初始配置!$Z$5)^(('实盘净值数据(iFinD）'!$A788-'实盘净值数据(iFinD）'!$A$5)/365))</f>
        <v/>
      </c>
      <c r="F788" s="16" t="str">
        <f t="shared" si="73"/>
        <v/>
      </c>
      <c r="G788" s="16" t="str">
        <f>IF(E788="","",E788/MAX(E$5:E788)-1)</f>
        <v/>
      </c>
      <c r="H788" s="13" t="str">
        <f>IF(OR('实盘净值数据(iFinD）'!$A788="",'实盘净值数据(iFinD）'!$B788=""),"",分期持仓明细!$AB$19*SUMPRODUCT(分期持仓明细!$B$19:$Y$19,'实盘净值数据(iFinD）'!$B788:$Y788/'实盘净值数据(iFinD）'!$B$20:$Y$20)*(1-实盘持仓初始配置!$Z$6)^(('实盘净值数据(iFinD）'!$A788-'实盘净值数据(iFinD）'!$A$7)/365))</f>
        <v/>
      </c>
      <c r="I788" s="16" t="str">
        <f t="shared" si="74"/>
        <v/>
      </c>
      <c r="J788" s="16" t="str">
        <f>IF(H788="","",H788/MAX(H$5:H788)-1)</f>
        <v/>
      </c>
      <c r="K788" s="13" t="str">
        <f>IF(OR('实盘净值数据(iFinD）'!$A788="",'实盘净值数据(iFinD）'!$B788="",'实盘净值数据(iFinD）'!$Z788="",'实盘净值数据(iFinD）'!$AA788=""),"",分期持仓明细!$AB$23*(SUMPRODUCT(分期持仓明细!$B$23:$Y$23,'实盘净值数据(iFinD）'!$B788:$Y788/'实盘净值数据(iFinD）'!$B$65:$Y$65)+SUMPRODUCT(分期持仓明细!$AC$23:$AD$23,'实盘净值数据(iFinD）'!$Z788:$AA788/'实盘净值数据(iFinD）'!$Z$65:$AA$65))*(1-实盘持仓初始配置!$Z$7)^(('实盘净值数据(iFinD）'!$A788-'实盘净值数据(iFinD）'!$A$8)/365))</f>
        <v/>
      </c>
      <c r="L788" s="16" t="str">
        <f t="shared" si="75"/>
        <v/>
      </c>
      <c r="M788" s="16" t="str">
        <f>IF(K788="","",K788/MAX(K$5:K788)-1)</f>
        <v/>
      </c>
      <c r="N788" s="13" t="str">
        <f>IF(OR('实盘净值数据(iFinD）'!$A788="",'实盘净值数据(iFinD）'!$B788="",'实盘净值数据(iFinD）'!$Z788="",'实盘净值数据(iFinD）'!$AA788=""),"",分期持仓明细!$AB$24*(SUMPRODUCT(分期持仓明细!$B$24:$Y$24,'实盘净值数据(iFinD）'!$B788:$Y788/'实盘净值数据(iFinD）'!$B$65:$Y$65)+SUMPRODUCT(分期持仓明细!$AC$24:$AD$24,'实盘净值数据(iFinD）'!$Z788:$AA788/'实盘净值数据(iFinD）'!$Z$65:$AA$65))*(1-实盘持仓初始配置!$Z$8)^(('实盘净值数据(iFinD）'!$A788-'实盘净值数据(iFinD）'!$A$5)/365))</f>
        <v/>
      </c>
      <c r="O788" s="16" t="str">
        <f t="shared" si="76"/>
        <v/>
      </c>
      <c r="P788" s="16" t="str">
        <f>IF(N788="","",N788/MAX(N$5:N788)-1)</f>
        <v/>
      </c>
      <c r="Q788" s="13" t="str">
        <f>IF(OR('实盘净值数据(iFinD）'!$A788="",'实盘净值数据(iFinD）'!$B788="",'实盘净值数据(iFinD）'!$Z788="",'实盘净值数据(iFinD）'!$AA788=""),"",分期持仓明细!$AB$25*(SUMPRODUCT(分期持仓明细!$B$25:$Y$25,'实盘净值数据(iFinD）'!$B788:$Y788/'实盘净值数据(iFinD）'!$B$65:$Y$65)+SUMPRODUCT(分期持仓明细!$AC$25:$AD$25,'实盘净值数据(iFinD）'!$Z788:$AA788/'实盘净值数据(iFinD）'!$Z$65:$AA$65))*(1-实盘持仓初始配置!$Z$9)^(('实盘净值数据(iFinD）'!$A788-'实盘净值数据(iFinD）'!$A$8)/365))</f>
        <v/>
      </c>
      <c r="R788" s="16" t="str">
        <f t="shared" si="77"/>
        <v/>
      </c>
      <c r="S788" s="16" t="str">
        <f>IF(Q788="","",Q788/MAX(Q$5:Q788)-1)</f>
        <v/>
      </c>
      <c r="T788" s="13">
        <f>IF(OR('实盘净值数据(iFinD）'!$A788="",'实盘净值数据(iFinD）'!$B788="",'实盘净值数据(iFinD）'!$Z788="",'实盘净值数据(iFinD）'!$AA788="",'实盘净值数据(iFinD）'!$AB788="",'实盘净值数据(iFinD）'!$AL788=""),"",(SUMPRODUCT(分期持仓明细!$B$26:$Y$26,'实盘净值数据(iFinD）'!$B788:$Y788/'实盘净值数据(iFinD）'!$B$69:$Y$69)+SUMPRODUCT(分期持仓明细!$AC$26:$AD$26,'实盘净值数据(iFinD）'!$Z788:$AA788/'实盘净值数据(iFinD）'!$Z$69:$AA$69)+SUMPRODUCT(分期持仓明细!$AE$26:$AO$26,'实盘净值数据(iFinD）'!$AB788:$AL788/'实盘净值数据(iFinD）'!$AB$69:$AL$69))*(1-实盘持仓初始配置!$Z$10)^(('实盘净值数据(iFinD）'!$A788-'实盘净值数据(iFinD）'!$A$69)/365))</f>
        <v/>
      </c>
      <c r="U788" s="16">
        <f>IF(OR(T787="",T788=""),"",T788/T787-1)</f>
        <v/>
      </c>
      <c r="V788" s="16">
        <f>IF(T788="","",T788/MAX(T$5:T788)-1)</f>
        <v/>
      </c>
    </row>
    <row r="789" spans="1:19">
      <c r="A789" s="15" t="str">
        <f>IF('实盘净值数据(iFinD）'!A789="","",'实盘净值数据(iFinD）'!A789)</f>
        <v/>
      </c>
      <c r="B789" s="13" t="str">
        <f>IF(OR('实盘净值数据(iFinD）'!$A789="",'实盘净值数据(iFinD）'!$B789=""),"",分期持仓明细!$AB$17*SUMPRODUCT(分期持仓明细!$B$17:$Y$17,'实盘净值数据(iFinD）'!$B789:$Y789/'实盘净值数据(iFinD）'!$B$20:$Y$20)*(1-实盘持仓初始配置!$Z$4)^(('实盘净值数据(iFinD）'!$A789-'实盘净值数据(iFinD）'!$A$6)/365))</f>
        <v/>
      </c>
      <c r="C789" s="16" t="str">
        <f t="shared" si="72"/>
        <v/>
      </c>
      <c r="D789" s="16" t="str">
        <f>IF(B789="","",B789/MAX(B$5:B789)-1)</f>
        <v/>
      </c>
      <c r="E789" s="13" t="str">
        <f>IF(OR('实盘净值数据(iFinD）'!$A789="",'实盘净值数据(iFinD）'!$B789=""),"",分期持仓明细!$AB$18*SUMPRODUCT(分期持仓明细!$B$18:$Y$18,'实盘净值数据(iFinD）'!$B789:$Y789/'实盘净值数据(iFinD）'!$B$20:$Y$20)*(1-实盘持仓初始配置!$Z$5)^(('实盘净值数据(iFinD）'!$A789-'实盘净值数据(iFinD）'!$A$5)/365))</f>
        <v/>
      </c>
      <c r="F789" s="16" t="str">
        <f t="shared" si="73"/>
        <v/>
      </c>
      <c r="G789" s="16" t="str">
        <f>IF(E789="","",E789/MAX(E$5:E789)-1)</f>
        <v/>
      </c>
      <c r="H789" s="13" t="str">
        <f>IF(OR('实盘净值数据(iFinD）'!$A789="",'实盘净值数据(iFinD）'!$B789=""),"",分期持仓明细!$AB$19*SUMPRODUCT(分期持仓明细!$B$19:$Y$19,'实盘净值数据(iFinD）'!$B789:$Y789/'实盘净值数据(iFinD）'!$B$20:$Y$20)*(1-实盘持仓初始配置!$Z$6)^(('实盘净值数据(iFinD）'!$A789-'实盘净值数据(iFinD）'!$A$7)/365))</f>
        <v/>
      </c>
      <c r="I789" s="16" t="str">
        <f t="shared" si="74"/>
        <v/>
      </c>
      <c r="J789" s="16" t="str">
        <f>IF(H789="","",H789/MAX(H$5:H789)-1)</f>
        <v/>
      </c>
      <c r="K789" s="13" t="str">
        <f>IF(OR('实盘净值数据(iFinD）'!$A789="",'实盘净值数据(iFinD）'!$B789="",'实盘净值数据(iFinD）'!$Z789="",'实盘净值数据(iFinD）'!$AA789=""),"",分期持仓明细!$AB$23*(SUMPRODUCT(分期持仓明细!$B$23:$Y$23,'实盘净值数据(iFinD）'!$B789:$Y789/'实盘净值数据(iFinD）'!$B$65:$Y$65)+SUMPRODUCT(分期持仓明细!$AC$23:$AD$23,'实盘净值数据(iFinD）'!$Z789:$AA789/'实盘净值数据(iFinD）'!$Z$65:$AA$65))*(1-实盘持仓初始配置!$Z$7)^(('实盘净值数据(iFinD）'!$A789-'实盘净值数据(iFinD）'!$A$8)/365))</f>
        <v/>
      </c>
      <c r="L789" s="16" t="str">
        <f t="shared" si="75"/>
        <v/>
      </c>
      <c r="M789" s="16" t="str">
        <f>IF(K789="","",K789/MAX(K$5:K789)-1)</f>
        <v/>
      </c>
      <c r="N789" s="13" t="str">
        <f>IF(OR('实盘净值数据(iFinD）'!$A789="",'实盘净值数据(iFinD）'!$B789="",'实盘净值数据(iFinD）'!$Z789="",'实盘净值数据(iFinD）'!$AA789=""),"",分期持仓明细!$AB$24*(SUMPRODUCT(分期持仓明细!$B$24:$Y$24,'实盘净值数据(iFinD）'!$B789:$Y789/'实盘净值数据(iFinD）'!$B$65:$Y$65)+SUMPRODUCT(分期持仓明细!$AC$24:$AD$24,'实盘净值数据(iFinD）'!$Z789:$AA789/'实盘净值数据(iFinD）'!$Z$65:$AA$65))*(1-实盘持仓初始配置!$Z$8)^(('实盘净值数据(iFinD）'!$A789-'实盘净值数据(iFinD）'!$A$5)/365))</f>
        <v/>
      </c>
      <c r="O789" s="16" t="str">
        <f t="shared" si="76"/>
        <v/>
      </c>
      <c r="P789" s="16" t="str">
        <f>IF(N789="","",N789/MAX(N$5:N789)-1)</f>
        <v/>
      </c>
      <c r="Q789" s="13" t="str">
        <f>IF(OR('实盘净值数据(iFinD）'!$A789="",'实盘净值数据(iFinD）'!$B789="",'实盘净值数据(iFinD）'!$Z789="",'实盘净值数据(iFinD）'!$AA789=""),"",分期持仓明细!$AB$25*(SUMPRODUCT(分期持仓明细!$B$25:$Y$25,'实盘净值数据(iFinD）'!$B789:$Y789/'实盘净值数据(iFinD）'!$B$65:$Y$65)+SUMPRODUCT(分期持仓明细!$AC$25:$AD$25,'实盘净值数据(iFinD）'!$Z789:$AA789/'实盘净值数据(iFinD）'!$Z$65:$AA$65))*(1-实盘持仓初始配置!$Z$9)^(('实盘净值数据(iFinD）'!$A789-'实盘净值数据(iFinD）'!$A$8)/365))</f>
        <v/>
      </c>
      <c r="R789" s="16" t="str">
        <f t="shared" si="77"/>
        <v/>
      </c>
      <c r="S789" s="16" t="str">
        <f>IF(Q789="","",Q789/MAX(Q$5:Q789)-1)</f>
        <v/>
      </c>
      <c r="T789" s="13">
        <f>IF(OR('实盘净值数据(iFinD）'!$A789="",'实盘净值数据(iFinD）'!$B789="",'实盘净值数据(iFinD）'!$Z789="",'实盘净值数据(iFinD）'!$AA789="",'实盘净值数据(iFinD）'!$AB789="",'实盘净值数据(iFinD）'!$AL789=""),"",(SUMPRODUCT(分期持仓明细!$B$26:$Y$26,'实盘净值数据(iFinD）'!$B789:$Y789/'实盘净值数据(iFinD）'!$B$69:$Y$69)+SUMPRODUCT(分期持仓明细!$AC$26:$AD$26,'实盘净值数据(iFinD）'!$Z789:$AA789/'实盘净值数据(iFinD）'!$Z$69:$AA$69)+SUMPRODUCT(分期持仓明细!$AE$26:$AO$26,'实盘净值数据(iFinD）'!$AB789:$AL789/'实盘净值数据(iFinD）'!$AB$69:$AL$69))*(1-实盘持仓初始配置!$Z$10)^(('实盘净值数据(iFinD）'!$A789-'实盘净值数据(iFinD）'!$A$69)/365))</f>
        <v/>
      </c>
      <c r="U789" s="16">
        <f>IF(OR(T788="",T789=""),"",T789/T788-1)</f>
        <v/>
      </c>
      <c r="V789" s="16">
        <f>IF(T789="","",T789/MAX(T$5:T789)-1)</f>
        <v/>
      </c>
    </row>
    <row r="790" spans="1:19">
      <c r="A790" s="15" t="str">
        <f>IF('实盘净值数据(iFinD）'!A790="","",'实盘净值数据(iFinD）'!A790)</f>
        <v/>
      </c>
      <c r="B790" s="13" t="str">
        <f>IF(OR('实盘净值数据(iFinD）'!$A790="",'实盘净值数据(iFinD）'!$B790=""),"",分期持仓明细!$AB$17*SUMPRODUCT(分期持仓明细!$B$17:$Y$17,'实盘净值数据(iFinD）'!$B790:$Y790/'实盘净值数据(iFinD）'!$B$20:$Y$20)*(1-实盘持仓初始配置!$Z$4)^(('实盘净值数据(iFinD）'!$A790-'实盘净值数据(iFinD）'!$A$6)/365))</f>
        <v/>
      </c>
      <c r="C790" s="16" t="str">
        <f t="shared" si="72"/>
        <v/>
      </c>
      <c r="D790" s="16" t="str">
        <f>IF(B790="","",B790/MAX(B$5:B790)-1)</f>
        <v/>
      </c>
      <c r="E790" s="13" t="str">
        <f>IF(OR('实盘净值数据(iFinD）'!$A790="",'实盘净值数据(iFinD）'!$B790=""),"",分期持仓明细!$AB$18*SUMPRODUCT(分期持仓明细!$B$18:$Y$18,'实盘净值数据(iFinD）'!$B790:$Y790/'实盘净值数据(iFinD）'!$B$20:$Y$20)*(1-实盘持仓初始配置!$Z$5)^(('实盘净值数据(iFinD）'!$A790-'实盘净值数据(iFinD）'!$A$5)/365))</f>
        <v/>
      </c>
      <c r="F790" s="16" t="str">
        <f t="shared" si="73"/>
        <v/>
      </c>
      <c r="G790" s="16" t="str">
        <f>IF(E790="","",E790/MAX(E$5:E790)-1)</f>
        <v/>
      </c>
      <c r="H790" s="13" t="str">
        <f>IF(OR('实盘净值数据(iFinD）'!$A790="",'实盘净值数据(iFinD）'!$B790=""),"",分期持仓明细!$AB$19*SUMPRODUCT(分期持仓明细!$B$19:$Y$19,'实盘净值数据(iFinD）'!$B790:$Y790/'实盘净值数据(iFinD）'!$B$20:$Y$20)*(1-实盘持仓初始配置!$Z$6)^(('实盘净值数据(iFinD）'!$A790-'实盘净值数据(iFinD）'!$A$7)/365))</f>
        <v/>
      </c>
      <c r="I790" s="16" t="str">
        <f t="shared" si="74"/>
        <v/>
      </c>
      <c r="J790" s="16" t="str">
        <f>IF(H790="","",H790/MAX(H$5:H790)-1)</f>
        <v/>
      </c>
      <c r="K790" s="13" t="str">
        <f>IF(OR('实盘净值数据(iFinD）'!$A790="",'实盘净值数据(iFinD）'!$B790="",'实盘净值数据(iFinD）'!$Z790="",'实盘净值数据(iFinD）'!$AA790=""),"",分期持仓明细!$AB$23*(SUMPRODUCT(分期持仓明细!$B$23:$Y$23,'实盘净值数据(iFinD）'!$B790:$Y790/'实盘净值数据(iFinD）'!$B$65:$Y$65)+SUMPRODUCT(分期持仓明细!$AC$23:$AD$23,'实盘净值数据(iFinD）'!$Z790:$AA790/'实盘净值数据(iFinD）'!$Z$65:$AA$65))*(1-实盘持仓初始配置!$Z$7)^(('实盘净值数据(iFinD）'!$A790-'实盘净值数据(iFinD）'!$A$8)/365))</f>
        <v/>
      </c>
      <c r="L790" s="16" t="str">
        <f t="shared" si="75"/>
        <v/>
      </c>
      <c r="M790" s="16" t="str">
        <f>IF(K790="","",K790/MAX(K$5:K790)-1)</f>
        <v/>
      </c>
      <c r="N790" s="13" t="str">
        <f>IF(OR('实盘净值数据(iFinD）'!$A790="",'实盘净值数据(iFinD）'!$B790="",'实盘净值数据(iFinD）'!$Z790="",'实盘净值数据(iFinD）'!$AA790=""),"",分期持仓明细!$AB$24*(SUMPRODUCT(分期持仓明细!$B$24:$Y$24,'实盘净值数据(iFinD）'!$B790:$Y790/'实盘净值数据(iFinD）'!$B$65:$Y$65)+SUMPRODUCT(分期持仓明细!$AC$24:$AD$24,'实盘净值数据(iFinD）'!$Z790:$AA790/'实盘净值数据(iFinD）'!$Z$65:$AA$65))*(1-实盘持仓初始配置!$Z$8)^(('实盘净值数据(iFinD）'!$A790-'实盘净值数据(iFinD）'!$A$5)/365))</f>
        <v/>
      </c>
      <c r="O790" s="16" t="str">
        <f t="shared" si="76"/>
        <v/>
      </c>
      <c r="P790" s="16" t="str">
        <f>IF(N790="","",N790/MAX(N$5:N790)-1)</f>
        <v/>
      </c>
      <c r="Q790" s="13" t="str">
        <f>IF(OR('实盘净值数据(iFinD）'!$A790="",'实盘净值数据(iFinD）'!$B790="",'实盘净值数据(iFinD）'!$Z790="",'实盘净值数据(iFinD）'!$AA790=""),"",分期持仓明细!$AB$25*(SUMPRODUCT(分期持仓明细!$B$25:$Y$25,'实盘净值数据(iFinD）'!$B790:$Y790/'实盘净值数据(iFinD）'!$B$65:$Y$65)+SUMPRODUCT(分期持仓明细!$AC$25:$AD$25,'实盘净值数据(iFinD）'!$Z790:$AA790/'实盘净值数据(iFinD）'!$Z$65:$AA$65))*(1-实盘持仓初始配置!$Z$9)^(('实盘净值数据(iFinD）'!$A790-'实盘净值数据(iFinD）'!$A$8)/365))</f>
        <v/>
      </c>
      <c r="R790" s="16" t="str">
        <f t="shared" si="77"/>
        <v/>
      </c>
      <c r="S790" s="16" t="str">
        <f>IF(Q790="","",Q790/MAX(Q$5:Q790)-1)</f>
        <v/>
      </c>
      <c r="T790" s="13">
        <f>IF(OR('实盘净值数据(iFinD）'!$A790="",'实盘净值数据(iFinD）'!$B790="",'实盘净值数据(iFinD）'!$Z790="",'实盘净值数据(iFinD）'!$AA790="",'实盘净值数据(iFinD）'!$AB790="",'实盘净值数据(iFinD）'!$AL790=""),"",(SUMPRODUCT(分期持仓明细!$B$26:$Y$26,'实盘净值数据(iFinD）'!$B790:$Y790/'实盘净值数据(iFinD）'!$B$69:$Y$69)+SUMPRODUCT(分期持仓明细!$AC$26:$AD$26,'实盘净值数据(iFinD）'!$Z790:$AA790/'实盘净值数据(iFinD）'!$Z$69:$AA$69)+SUMPRODUCT(分期持仓明细!$AE$26:$AO$26,'实盘净值数据(iFinD）'!$AB790:$AL790/'实盘净值数据(iFinD）'!$AB$69:$AL$69))*(1-实盘持仓初始配置!$Z$10)^(('实盘净值数据(iFinD）'!$A790-'实盘净值数据(iFinD）'!$A$69)/365))</f>
        <v/>
      </c>
      <c r="U790" s="16">
        <f>IF(OR(T789="",T790=""),"",T790/T789-1)</f>
        <v/>
      </c>
      <c r="V790" s="16">
        <f>IF(T790="","",T790/MAX(T$5:T790)-1)</f>
        <v/>
      </c>
    </row>
    <row r="791" spans="1:19">
      <c r="A791" s="15" t="str">
        <f>IF('实盘净值数据(iFinD）'!A791="","",'实盘净值数据(iFinD）'!A791)</f>
        <v/>
      </c>
      <c r="B791" s="13" t="str">
        <f>IF(OR('实盘净值数据(iFinD）'!$A791="",'实盘净值数据(iFinD）'!$B791=""),"",分期持仓明细!$AB$17*SUMPRODUCT(分期持仓明细!$B$17:$Y$17,'实盘净值数据(iFinD）'!$B791:$Y791/'实盘净值数据(iFinD）'!$B$20:$Y$20)*(1-实盘持仓初始配置!$Z$4)^(('实盘净值数据(iFinD）'!$A791-'实盘净值数据(iFinD）'!$A$6)/365))</f>
        <v/>
      </c>
      <c r="C791" s="16" t="str">
        <f t="shared" si="72"/>
        <v/>
      </c>
      <c r="D791" s="16" t="str">
        <f>IF(B791="","",B791/MAX(B$5:B791)-1)</f>
        <v/>
      </c>
      <c r="E791" s="13" t="str">
        <f>IF(OR('实盘净值数据(iFinD）'!$A791="",'实盘净值数据(iFinD）'!$B791=""),"",分期持仓明细!$AB$18*SUMPRODUCT(分期持仓明细!$B$18:$Y$18,'实盘净值数据(iFinD）'!$B791:$Y791/'实盘净值数据(iFinD）'!$B$20:$Y$20)*(1-实盘持仓初始配置!$Z$5)^(('实盘净值数据(iFinD）'!$A791-'实盘净值数据(iFinD）'!$A$5)/365))</f>
        <v/>
      </c>
      <c r="F791" s="16" t="str">
        <f t="shared" si="73"/>
        <v/>
      </c>
      <c r="G791" s="16" t="str">
        <f>IF(E791="","",E791/MAX(E$5:E791)-1)</f>
        <v/>
      </c>
      <c r="H791" s="13" t="str">
        <f>IF(OR('实盘净值数据(iFinD）'!$A791="",'实盘净值数据(iFinD）'!$B791=""),"",分期持仓明细!$AB$19*SUMPRODUCT(分期持仓明细!$B$19:$Y$19,'实盘净值数据(iFinD）'!$B791:$Y791/'实盘净值数据(iFinD）'!$B$20:$Y$20)*(1-实盘持仓初始配置!$Z$6)^(('实盘净值数据(iFinD）'!$A791-'实盘净值数据(iFinD）'!$A$7)/365))</f>
        <v/>
      </c>
      <c r="I791" s="16" t="str">
        <f t="shared" si="74"/>
        <v/>
      </c>
      <c r="J791" s="16" t="str">
        <f>IF(H791="","",H791/MAX(H$5:H791)-1)</f>
        <v/>
      </c>
      <c r="K791" s="13" t="str">
        <f>IF(OR('实盘净值数据(iFinD）'!$A791="",'实盘净值数据(iFinD）'!$B791="",'实盘净值数据(iFinD）'!$Z791="",'实盘净值数据(iFinD）'!$AA791=""),"",分期持仓明细!$AB$23*(SUMPRODUCT(分期持仓明细!$B$23:$Y$23,'实盘净值数据(iFinD）'!$B791:$Y791/'实盘净值数据(iFinD）'!$B$65:$Y$65)+SUMPRODUCT(分期持仓明细!$AC$23:$AD$23,'实盘净值数据(iFinD）'!$Z791:$AA791/'实盘净值数据(iFinD）'!$Z$65:$AA$65))*(1-实盘持仓初始配置!$Z$7)^(('实盘净值数据(iFinD）'!$A791-'实盘净值数据(iFinD）'!$A$8)/365))</f>
        <v/>
      </c>
      <c r="L791" s="16" t="str">
        <f t="shared" si="75"/>
        <v/>
      </c>
      <c r="M791" s="16" t="str">
        <f>IF(K791="","",K791/MAX(K$5:K791)-1)</f>
        <v/>
      </c>
      <c r="N791" s="13" t="str">
        <f>IF(OR('实盘净值数据(iFinD）'!$A791="",'实盘净值数据(iFinD）'!$B791="",'实盘净值数据(iFinD）'!$Z791="",'实盘净值数据(iFinD）'!$AA791=""),"",分期持仓明细!$AB$24*(SUMPRODUCT(分期持仓明细!$B$24:$Y$24,'实盘净值数据(iFinD）'!$B791:$Y791/'实盘净值数据(iFinD）'!$B$65:$Y$65)+SUMPRODUCT(分期持仓明细!$AC$24:$AD$24,'实盘净值数据(iFinD）'!$Z791:$AA791/'实盘净值数据(iFinD）'!$Z$65:$AA$65))*(1-实盘持仓初始配置!$Z$8)^(('实盘净值数据(iFinD）'!$A791-'实盘净值数据(iFinD）'!$A$5)/365))</f>
        <v/>
      </c>
      <c r="O791" s="16" t="str">
        <f t="shared" si="76"/>
        <v/>
      </c>
      <c r="P791" s="16" t="str">
        <f>IF(N791="","",N791/MAX(N$5:N791)-1)</f>
        <v/>
      </c>
      <c r="Q791" s="13" t="str">
        <f>IF(OR('实盘净值数据(iFinD）'!$A791="",'实盘净值数据(iFinD）'!$B791="",'实盘净值数据(iFinD）'!$Z791="",'实盘净值数据(iFinD）'!$AA791=""),"",分期持仓明细!$AB$25*(SUMPRODUCT(分期持仓明细!$B$25:$Y$25,'实盘净值数据(iFinD）'!$B791:$Y791/'实盘净值数据(iFinD）'!$B$65:$Y$65)+SUMPRODUCT(分期持仓明细!$AC$25:$AD$25,'实盘净值数据(iFinD）'!$Z791:$AA791/'实盘净值数据(iFinD）'!$Z$65:$AA$65))*(1-实盘持仓初始配置!$Z$9)^(('实盘净值数据(iFinD）'!$A791-'实盘净值数据(iFinD）'!$A$8)/365))</f>
        <v/>
      </c>
      <c r="R791" s="16" t="str">
        <f t="shared" si="77"/>
        <v/>
      </c>
      <c r="S791" s="16" t="str">
        <f>IF(Q791="","",Q791/MAX(Q$5:Q791)-1)</f>
        <v/>
      </c>
      <c r="T791" s="13">
        <f>IF(OR('实盘净值数据(iFinD）'!$A791="",'实盘净值数据(iFinD）'!$B791="",'实盘净值数据(iFinD）'!$Z791="",'实盘净值数据(iFinD）'!$AA791="",'实盘净值数据(iFinD）'!$AB791="",'实盘净值数据(iFinD）'!$AL791=""),"",(SUMPRODUCT(分期持仓明细!$B$26:$Y$26,'实盘净值数据(iFinD）'!$B791:$Y791/'实盘净值数据(iFinD）'!$B$69:$Y$69)+SUMPRODUCT(分期持仓明细!$AC$26:$AD$26,'实盘净值数据(iFinD）'!$Z791:$AA791/'实盘净值数据(iFinD）'!$Z$69:$AA$69)+SUMPRODUCT(分期持仓明细!$AE$26:$AO$26,'实盘净值数据(iFinD）'!$AB791:$AL791/'实盘净值数据(iFinD）'!$AB$69:$AL$69))*(1-实盘持仓初始配置!$Z$10)^(('实盘净值数据(iFinD）'!$A791-'实盘净值数据(iFinD）'!$A$69)/365))</f>
        <v/>
      </c>
      <c r="U791" s="16">
        <f>IF(OR(T790="",T791=""),"",T791/T790-1)</f>
        <v/>
      </c>
      <c r="V791" s="16">
        <f>IF(T791="","",T791/MAX(T$5:T791)-1)</f>
        <v/>
      </c>
    </row>
    <row r="792" spans="1:19">
      <c r="A792" s="15" t="str">
        <f>IF('实盘净值数据(iFinD）'!A792="","",'实盘净值数据(iFinD）'!A792)</f>
        <v/>
      </c>
      <c r="B792" s="13" t="str">
        <f>IF(OR('实盘净值数据(iFinD）'!$A792="",'实盘净值数据(iFinD）'!$B792=""),"",分期持仓明细!$AB$17*SUMPRODUCT(分期持仓明细!$B$17:$Y$17,'实盘净值数据(iFinD）'!$B792:$Y792/'实盘净值数据(iFinD）'!$B$20:$Y$20)*(1-实盘持仓初始配置!$Z$4)^(('实盘净值数据(iFinD）'!$A792-'实盘净值数据(iFinD）'!$A$6)/365))</f>
        <v/>
      </c>
      <c r="C792" s="16" t="str">
        <f t="shared" si="72"/>
        <v/>
      </c>
      <c r="D792" s="16" t="str">
        <f>IF(B792="","",B792/MAX(B$5:B792)-1)</f>
        <v/>
      </c>
      <c r="E792" s="13" t="str">
        <f>IF(OR('实盘净值数据(iFinD）'!$A792="",'实盘净值数据(iFinD）'!$B792=""),"",分期持仓明细!$AB$18*SUMPRODUCT(分期持仓明细!$B$18:$Y$18,'实盘净值数据(iFinD）'!$B792:$Y792/'实盘净值数据(iFinD）'!$B$20:$Y$20)*(1-实盘持仓初始配置!$Z$5)^(('实盘净值数据(iFinD）'!$A792-'实盘净值数据(iFinD）'!$A$5)/365))</f>
        <v/>
      </c>
      <c r="F792" s="16" t="str">
        <f t="shared" si="73"/>
        <v/>
      </c>
      <c r="G792" s="16" t="str">
        <f>IF(E792="","",E792/MAX(E$5:E792)-1)</f>
        <v/>
      </c>
      <c r="H792" s="13" t="str">
        <f>IF(OR('实盘净值数据(iFinD）'!$A792="",'实盘净值数据(iFinD）'!$B792=""),"",分期持仓明细!$AB$19*SUMPRODUCT(分期持仓明细!$B$19:$Y$19,'实盘净值数据(iFinD）'!$B792:$Y792/'实盘净值数据(iFinD）'!$B$20:$Y$20)*(1-实盘持仓初始配置!$Z$6)^(('实盘净值数据(iFinD）'!$A792-'实盘净值数据(iFinD）'!$A$7)/365))</f>
        <v/>
      </c>
      <c r="I792" s="16" t="str">
        <f t="shared" si="74"/>
        <v/>
      </c>
      <c r="J792" s="16" t="str">
        <f>IF(H792="","",H792/MAX(H$5:H792)-1)</f>
        <v/>
      </c>
      <c r="K792" s="13" t="str">
        <f>IF(OR('实盘净值数据(iFinD）'!$A792="",'实盘净值数据(iFinD）'!$B792="",'实盘净值数据(iFinD）'!$Z792="",'实盘净值数据(iFinD）'!$AA792=""),"",分期持仓明细!$AB$23*(SUMPRODUCT(分期持仓明细!$B$23:$Y$23,'实盘净值数据(iFinD）'!$B792:$Y792/'实盘净值数据(iFinD）'!$B$65:$Y$65)+SUMPRODUCT(分期持仓明细!$AC$23:$AD$23,'实盘净值数据(iFinD）'!$Z792:$AA792/'实盘净值数据(iFinD）'!$Z$65:$AA$65))*(1-实盘持仓初始配置!$Z$7)^(('实盘净值数据(iFinD）'!$A792-'实盘净值数据(iFinD）'!$A$8)/365))</f>
        <v/>
      </c>
      <c r="L792" s="16" t="str">
        <f t="shared" si="75"/>
        <v/>
      </c>
      <c r="M792" s="16" t="str">
        <f>IF(K792="","",K792/MAX(K$5:K792)-1)</f>
        <v/>
      </c>
      <c r="N792" s="13" t="str">
        <f>IF(OR('实盘净值数据(iFinD）'!$A792="",'实盘净值数据(iFinD）'!$B792="",'实盘净值数据(iFinD）'!$Z792="",'实盘净值数据(iFinD）'!$AA792=""),"",分期持仓明细!$AB$24*(SUMPRODUCT(分期持仓明细!$B$24:$Y$24,'实盘净值数据(iFinD）'!$B792:$Y792/'实盘净值数据(iFinD）'!$B$65:$Y$65)+SUMPRODUCT(分期持仓明细!$AC$24:$AD$24,'实盘净值数据(iFinD）'!$Z792:$AA792/'实盘净值数据(iFinD）'!$Z$65:$AA$65))*(1-实盘持仓初始配置!$Z$8)^(('实盘净值数据(iFinD）'!$A792-'实盘净值数据(iFinD）'!$A$5)/365))</f>
        <v/>
      </c>
      <c r="O792" s="16" t="str">
        <f t="shared" si="76"/>
        <v/>
      </c>
      <c r="P792" s="16" t="str">
        <f>IF(N792="","",N792/MAX(N$5:N792)-1)</f>
        <v/>
      </c>
      <c r="Q792" s="13" t="str">
        <f>IF(OR('实盘净值数据(iFinD）'!$A792="",'实盘净值数据(iFinD）'!$B792="",'实盘净值数据(iFinD）'!$Z792="",'实盘净值数据(iFinD）'!$AA792=""),"",分期持仓明细!$AB$25*(SUMPRODUCT(分期持仓明细!$B$25:$Y$25,'实盘净值数据(iFinD）'!$B792:$Y792/'实盘净值数据(iFinD）'!$B$65:$Y$65)+SUMPRODUCT(分期持仓明细!$AC$25:$AD$25,'实盘净值数据(iFinD）'!$Z792:$AA792/'实盘净值数据(iFinD）'!$Z$65:$AA$65))*(1-实盘持仓初始配置!$Z$9)^(('实盘净值数据(iFinD）'!$A792-'实盘净值数据(iFinD）'!$A$8)/365))</f>
        <v/>
      </c>
      <c r="R792" s="16" t="str">
        <f t="shared" si="77"/>
        <v/>
      </c>
      <c r="S792" s="16" t="str">
        <f>IF(Q792="","",Q792/MAX(Q$5:Q792)-1)</f>
        <v/>
      </c>
      <c r="T792" s="13">
        <f>IF(OR('实盘净值数据(iFinD）'!$A792="",'实盘净值数据(iFinD）'!$B792="",'实盘净值数据(iFinD）'!$Z792="",'实盘净值数据(iFinD）'!$AA792="",'实盘净值数据(iFinD）'!$AB792="",'实盘净值数据(iFinD）'!$AL792=""),"",(SUMPRODUCT(分期持仓明细!$B$26:$Y$26,'实盘净值数据(iFinD）'!$B792:$Y792/'实盘净值数据(iFinD）'!$B$69:$Y$69)+SUMPRODUCT(分期持仓明细!$AC$26:$AD$26,'实盘净值数据(iFinD）'!$Z792:$AA792/'实盘净值数据(iFinD）'!$Z$69:$AA$69)+SUMPRODUCT(分期持仓明细!$AE$26:$AO$26,'实盘净值数据(iFinD）'!$AB792:$AL792/'实盘净值数据(iFinD）'!$AB$69:$AL$69))*(1-实盘持仓初始配置!$Z$10)^(('实盘净值数据(iFinD）'!$A792-'实盘净值数据(iFinD）'!$A$69)/365))</f>
        <v/>
      </c>
      <c r="U792" s="16">
        <f>IF(OR(T791="",T792=""),"",T792/T791-1)</f>
        <v/>
      </c>
      <c r="V792" s="16">
        <f>IF(T792="","",T792/MAX(T$5:T792)-1)</f>
        <v/>
      </c>
    </row>
    <row r="793" spans="1:19">
      <c r="A793" s="15" t="str">
        <f>IF('实盘净值数据(iFinD）'!A793="","",'实盘净值数据(iFinD）'!A793)</f>
        <v/>
      </c>
      <c r="B793" s="13" t="str">
        <f>IF(OR('实盘净值数据(iFinD）'!$A793="",'实盘净值数据(iFinD）'!$B793=""),"",分期持仓明细!$AB$17*SUMPRODUCT(分期持仓明细!$B$17:$Y$17,'实盘净值数据(iFinD）'!$B793:$Y793/'实盘净值数据(iFinD）'!$B$20:$Y$20)*(1-实盘持仓初始配置!$Z$4)^(('实盘净值数据(iFinD）'!$A793-'实盘净值数据(iFinD）'!$A$6)/365))</f>
        <v/>
      </c>
      <c r="C793" s="16" t="str">
        <f t="shared" si="72"/>
        <v/>
      </c>
      <c r="D793" s="16" t="str">
        <f>IF(B793="","",B793/MAX(B$5:B793)-1)</f>
        <v/>
      </c>
      <c r="E793" s="13" t="str">
        <f>IF(OR('实盘净值数据(iFinD）'!$A793="",'实盘净值数据(iFinD）'!$B793=""),"",分期持仓明细!$AB$18*SUMPRODUCT(分期持仓明细!$B$18:$Y$18,'实盘净值数据(iFinD）'!$B793:$Y793/'实盘净值数据(iFinD）'!$B$20:$Y$20)*(1-实盘持仓初始配置!$Z$5)^(('实盘净值数据(iFinD）'!$A793-'实盘净值数据(iFinD）'!$A$5)/365))</f>
        <v/>
      </c>
      <c r="F793" s="16" t="str">
        <f t="shared" si="73"/>
        <v/>
      </c>
      <c r="G793" s="16" t="str">
        <f>IF(E793="","",E793/MAX(E$5:E793)-1)</f>
        <v/>
      </c>
      <c r="H793" s="13" t="str">
        <f>IF(OR('实盘净值数据(iFinD）'!$A793="",'实盘净值数据(iFinD）'!$B793=""),"",分期持仓明细!$AB$19*SUMPRODUCT(分期持仓明细!$B$19:$Y$19,'实盘净值数据(iFinD）'!$B793:$Y793/'实盘净值数据(iFinD）'!$B$20:$Y$20)*(1-实盘持仓初始配置!$Z$6)^(('实盘净值数据(iFinD）'!$A793-'实盘净值数据(iFinD）'!$A$7)/365))</f>
        <v/>
      </c>
      <c r="I793" s="16" t="str">
        <f t="shared" si="74"/>
        <v/>
      </c>
      <c r="J793" s="16" t="str">
        <f>IF(H793="","",H793/MAX(H$5:H793)-1)</f>
        <v/>
      </c>
      <c r="K793" s="13" t="str">
        <f>IF(OR('实盘净值数据(iFinD）'!$A793="",'实盘净值数据(iFinD）'!$B793="",'实盘净值数据(iFinD）'!$Z793="",'实盘净值数据(iFinD）'!$AA793=""),"",分期持仓明细!$AB$23*(SUMPRODUCT(分期持仓明细!$B$23:$Y$23,'实盘净值数据(iFinD）'!$B793:$Y793/'实盘净值数据(iFinD）'!$B$65:$Y$65)+SUMPRODUCT(分期持仓明细!$AC$23:$AD$23,'实盘净值数据(iFinD）'!$Z793:$AA793/'实盘净值数据(iFinD）'!$Z$65:$AA$65))*(1-实盘持仓初始配置!$Z$7)^(('实盘净值数据(iFinD）'!$A793-'实盘净值数据(iFinD）'!$A$8)/365))</f>
        <v/>
      </c>
      <c r="L793" s="16" t="str">
        <f t="shared" si="75"/>
        <v/>
      </c>
      <c r="M793" s="16" t="str">
        <f>IF(K793="","",K793/MAX(K$5:K793)-1)</f>
        <v/>
      </c>
      <c r="N793" s="13" t="str">
        <f>IF(OR('实盘净值数据(iFinD）'!$A793="",'实盘净值数据(iFinD）'!$B793="",'实盘净值数据(iFinD）'!$Z793="",'实盘净值数据(iFinD）'!$AA793=""),"",分期持仓明细!$AB$24*(SUMPRODUCT(分期持仓明细!$B$24:$Y$24,'实盘净值数据(iFinD）'!$B793:$Y793/'实盘净值数据(iFinD）'!$B$65:$Y$65)+SUMPRODUCT(分期持仓明细!$AC$24:$AD$24,'实盘净值数据(iFinD）'!$Z793:$AA793/'实盘净值数据(iFinD）'!$Z$65:$AA$65))*(1-实盘持仓初始配置!$Z$8)^(('实盘净值数据(iFinD）'!$A793-'实盘净值数据(iFinD）'!$A$5)/365))</f>
        <v/>
      </c>
      <c r="O793" s="16" t="str">
        <f t="shared" si="76"/>
        <v/>
      </c>
      <c r="P793" s="16" t="str">
        <f>IF(N793="","",N793/MAX(N$5:N793)-1)</f>
        <v/>
      </c>
      <c r="Q793" s="13" t="str">
        <f>IF(OR('实盘净值数据(iFinD）'!$A793="",'实盘净值数据(iFinD）'!$B793="",'实盘净值数据(iFinD）'!$Z793="",'实盘净值数据(iFinD）'!$AA793=""),"",分期持仓明细!$AB$25*(SUMPRODUCT(分期持仓明细!$B$25:$Y$25,'实盘净值数据(iFinD）'!$B793:$Y793/'实盘净值数据(iFinD）'!$B$65:$Y$65)+SUMPRODUCT(分期持仓明细!$AC$25:$AD$25,'实盘净值数据(iFinD）'!$Z793:$AA793/'实盘净值数据(iFinD）'!$Z$65:$AA$65))*(1-实盘持仓初始配置!$Z$9)^(('实盘净值数据(iFinD）'!$A793-'实盘净值数据(iFinD）'!$A$8)/365))</f>
        <v/>
      </c>
      <c r="R793" s="16" t="str">
        <f t="shared" si="77"/>
        <v/>
      </c>
      <c r="S793" s="16" t="str">
        <f>IF(Q793="","",Q793/MAX(Q$5:Q793)-1)</f>
        <v/>
      </c>
      <c r="T793" s="13">
        <f>IF(OR('实盘净值数据(iFinD）'!$A793="",'实盘净值数据(iFinD）'!$B793="",'实盘净值数据(iFinD）'!$Z793="",'实盘净值数据(iFinD）'!$AA793="",'实盘净值数据(iFinD）'!$AB793="",'实盘净值数据(iFinD）'!$AL793=""),"",(SUMPRODUCT(分期持仓明细!$B$26:$Y$26,'实盘净值数据(iFinD）'!$B793:$Y793/'实盘净值数据(iFinD）'!$B$69:$Y$69)+SUMPRODUCT(分期持仓明细!$AC$26:$AD$26,'实盘净值数据(iFinD）'!$Z793:$AA793/'实盘净值数据(iFinD）'!$Z$69:$AA$69)+SUMPRODUCT(分期持仓明细!$AE$26:$AO$26,'实盘净值数据(iFinD）'!$AB793:$AL793/'实盘净值数据(iFinD）'!$AB$69:$AL$69))*(1-实盘持仓初始配置!$Z$10)^(('实盘净值数据(iFinD）'!$A793-'实盘净值数据(iFinD）'!$A$69)/365))</f>
        <v/>
      </c>
      <c r="U793" s="16">
        <f>IF(OR(T792="",T793=""),"",T793/T792-1)</f>
        <v/>
      </c>
      <c r="V793" s="16">
        <f>IF(T793="","",T793/MAX(T$5:T793)-1)</f>
        <v/>
      </c>
    </row>
    <row r="794" spans="1:19">
      <c r="A794" s="15" t="str">
        <f>IF('实盘净值数据(iFinD）'!A794="","",'实盘净值数据(iFinD）'!A794)</f>
        <v/>
      </c>
      <c r="B794" s="13" t="str">
        <f>IF(OR('实盘净值数据(iFinD）'!$A794="",'实盘净值数据(iFinD）'!$B794=""),"",分期持仓明细!$AB$17*SUMPRODUCT(分期持仓明细!$B$17:$Y$17,'实盘净值数据(iFinD）'!$B794:$Y794/'实盘净值数据(iFinD）'!$B$20:$Y$20)*(1-实盘持仓初始配置!$Z$4)^(('实盘净值数据(iFinD）'!$A794-'实盘净值数据(iFinD）'!$A$6)/365))</f>
        <v/>
      </c>
      <c r="C794" s="16" t="str">
        <f t="shared" si="72"/>
        <v/>
      </c>
      <c r="D794" s="16" t="str">
        <f>IF(B794="","",B794/MAX(B$5:B794)-1)</f>
        <v/>
      </c>
      <c r="E794" s="13" t="str">
        <f>IF(OR('实盘净值数据(iFinD）'!$A794="",'实盘净值数据(iFinD）'!$B794=""),"",分期持仓明细!$AB$18*SUMPRODUCT(分期持仓明细!$B$18:$Y$18,'实盘净值数据(iFinD）'!$B794:$Y794/'实盘净值数据(iFinD）'!$B$20:$Y$20)*(1-实盘持仓初始配置!$Z$5)^(('实盘净值数据(iFinD）'!$A794-'实盘净值数据(iFinD）'!$A$5)/365))</f>
        <v/>
      </c>
      <c r="F794" s="16" t="str">
        <f t="shared" si="73"/>
        <v/>
      </c>
      <c r="G794" s="16" t="str">
        <f>IF(E794="","",E794/MAX(E$5:E794)-1)</f>
        <v/>
      </c>
      <c r="H794" s="13" t="str">
        <f>IF(OR('实盘净值数据(iFinD）'!$A794="",'实盘净值数据(iFinD）'!$B794=""),"",分期持仓明细!$AB$19*SUMPRODUCT(分期持仓明细!$B$19:$Y$19,'实盘净值数据(iFinD）'!$B794:$Y794/'实盘净值数据(iFinD）'!$B$20:$Y$20)*(1-实盘持仓初始配置!$Z$6)^(('实盘净值数据(iFinD）'!$A794-'实盘净值数据(iFinD）'!$A$7)/365))</f>
        <v/>
      </c>
      <c r="I794" s="16" t="str">
        <f t="shared" si="74"/>
        <v/>
      </c>
      <c r="J794" s="16" t="str">
        <f>IF(H794="","",H794/MAX(H$5:H794)-1)</f>
        <v/>
      </c>
      <c r="K794" s="13" t="str">
        <f>IF(OR('实盘净值数据(iFinD）'!$A794="",'实盘净值数据(iFinD）'!$B794="",'实盘净值数据(iFinD）'!$Z794="",'实盘净值数据(iFinD）'!$AA794=""),"",分期持仓明细!$AB$23*(SUMPRODUCT(分期持仓明细!$B$23:$Y$23,'实盘净值数据(iFinD）'!$B794:$Y794/'实盘净值数据(iFinD）'!$B$65:$Y$65)+SUMPRODUCT(分期持仓明细!$AC$23:$AD$23,'实盘净值数据(iFinD）'!$Z794:$AA794/'实盘净值数据(iFinD）'!$Z$65:$AA$65))*(1-实盘持仓初始配置!$Z$7)^(('实盘净值数据(iFinD）'!$A794-'实盘净值数据(iFinD）'!$A$8)/365))</f>
        <v/>
      </c>
      <c r="L794" s="16" t="str">
        <f t="shared" si="75"/>
        <v/>
      </c>
      <c r="M794" s="16" t="str">
        <f>IF(K794="","",K794/MAX(K$5:K794)-1)</f>
        <v/>
      </c>
      <c r="N794" s="13" t="str">
        <f>IF(OR('实盘净值数据(iFinD）'!$A794="",'实盘净值数据(iFinD）'!$B794="",'实盘净值数据(iFinD）'!$Z794="",'实盘净值数据(iFinD）'!$AA794=""),"",分期持仓明细!$AB$24*(SUMPRODUCT(分期持仓明细!$B$24:$Y$24,'实盘净值数据(iFinD）'!$B794:$Y794/'实盘净值数据(iFinD）'!$B$65:$Y$65)+SUMPRODUCT(分期持仓明细!$AC$24:$AD$24,'实盘净值数据(iFinD）'!$Z794:$AA794/'实盘净值数据(iFinD）'!$Z$65:$AA$65))*(1-实盘持仓初始配置!$Z$8)^(('实盘净值数据(iFinD）'!$A794-'实盘净值数据(iFinD）'!$A$5)/365))</f>
        <v/>
      </c>
      <c r="O794" s="16" t="str">
        <f t="shared" si="76"/>
        <v/>
      </c>
      <c r="P794" s="16" t="str">
        <f>IF(N794="","",N794/MAX(N$5:N794)-1)</f>
        <v/>
      </c>
      <c r="Q794" s="13" t="str">
        <f>IF(OR('实盘净值数据(iFinD）'!$A794="",'实盘净值数据(iFinD）'!$B794="",'实盘净值数据(iFinD）'!$Z794="",'实盘净值数据(iFinD）'!$AA794=""),"",分期持仓明细!$AB$25*(SUMPRODUCT(分期持仓明细!$B$25:$Y$25,'实盘净值数据(iFinD）'!$B794:$Y794/'实盘净值数据(iFinD）'!$B$65:$Y$65)+SUMPRODUCT(分期持仓明细!$AC$25:$AD$25,'实盘净值数据(iFinD）'!$Z794:$AA794/'实盘净值数据(iFinD）'!$Z$65:$AA$65))*(1-实盘持仓初始配置!$Z$9)^(('实盘净值数据(iFinD）'!$A794-'实盘净值数据(iFinD）'!$A$8)/365))</f>
        <v/>
      </c>
      <c r="R794" s="16" t="str">
        <f t="shared" si="77"/>
        <v/>
      </c>
      <c r="S794" s="16" t="str">
        <f>IF(Q794="","",Q794/MAX(Q$5:Q794)-1)</f>
        <v/>
      </c>
      <c r="T794" s="13">
        <f>IF(OR('实盘净值数据(iFinD）'!$A794="",'实盘净值数据(iFinD）'!$B794="",'实盘净值数据(iFinD）'!$Z794="",'实盘净值数据(iFinD）'!$AA794="",'实盘净值数据(iFinD）'!$AB794="",'实盘净值数据(iFinD）'!$AL794=""),"",(SUMPRODUCT(分期持仓明细!$B$26:$Y$26,'实盘净值数据(iFinD）'!$B794:$Y794/'实盘净值数据(iFinD）'!$B$69:$Y$69)+SUMPRODUCT(分期持仓明细!$AC$26:$AD$26,'实盘净值数据(iFinD）'!$Z794:$AA794/'实盘净值数据(iFinD）'!$Z$69:$AA$69)+SUMPRODUCT(分期持仓明细!$AE$26:$AO$26,'实盘净值数据(iFinD）'!$AB794:$AL794/'实盘净值数据(iFinD）'!$AB$69:$AL$69))*(1-实盘持仓初始配置!$Z$10)^(('实盘净值数据(iFinD）'!$A794-'实盘净值数据(iFinD）'!$A$69)/365))</f>
        <v/>
      </c>
      <c r="U794" s="16">
        <f>IF(OR(T793="",T794=""),"",T794/T793-1)</f>
        <v/>
      </c>
      <c r="V794" s="16">
        <f>IF(T794="","",T794/MAX(T$5:T794)-1)</f>
        <v/>
      </c>
    </row>
    <row r="795" spans="1:19">
      <c r="A795" s="15" t="str">
        <f>IF('实盘净值数据(iFinD）'!A795="","",'实盘净值数据(iFinD）'!A795)</f>
        <v/>
      </c>
      <c r="B795" s="13" t="str">
        <f>IF(OR('实盘净值数据(iFinD）'!$A795="",'实盘净值数据(iFinD）'!$B795=""),"",分期持仓明细!$AB$17*SUMPRODUCT(分期持仓明细!$B$17:$Y$17,'实盘净值数据(iFinD）'!$B795:$Y795/'实盘净值数据(iFinD）'!$B$20:$Y$20)*(1-实盘持仓初始配置!$Z$4)^(('实盘净值数据(iFinD）'!$A795-'实盘净值数据(iFinD）'!$A$6)/365))</f>
        <v/>
      </c>
      <c r="C795" s="16" t="str">
        <f t="shared" si="72"/>
        <v/>
      </c>
      <c r="D795" s="16" t="str">
        <f>IF(B795="","",B795/MAX(B$5:B795)-1)</f>
        <v/>
      </c>
      <c r="E795" s="13" t="str">
        <f>IF(OR('实盘净值数据(iFinD）'!$A795="",'实盘净值数据(iFinD）'!$B795=""),"",分期持仓明细!$AB$18*SUMPRODUCT(分期持仓明细!$B$18:$Y$18,'实盘净值数据(iFinD）'!$B795:$Y795/'实盘净值数据(iFinD）'!$B$20:$Y$20)*(1-实盘持仓初始配置!$Z$5)^(('实盘净值数据(iFinD）'!$A795-'实盘净值数据(iFinD）'!$A$5)/365))</f>
        <v/>
      </c>
      <c r="F795" s="16" t="str">
        <f t="shared" si="73"/>
        <v/>
      </c>
      <c r="G795" s="16" t="str">
        <f>IF(E795="","",E795/MAX(E$5:E795)-1)</f>
        <v/>
      </c>
      <c r="H795" s="13" t="str">
        <f>IF(OR('实盘净值数据(iFinD）'!$A795="",'实盘净值数据(iFinD）'!$B795=""),"",分期持仓明细!$AB$19*SUMPRODUCT(分期持仓明细!$B$19:$Y$19,'实盘净值数据(iFinD）'!$B795:$Y795/'实盘净值数据(iFinD）'!$B$20:$Y$20)*(1-实盘持仓初始配置!$Z$6)^(('实盘净值数据(iFinD）'!$A795-'实盘净值数据(iFinD）'!$A$7)/365))</f>
        <v/>
      </c>
      <c r="I795" s="16" t="str">
        <f t="shared" si="74"/>
        <v/>
      </c>
      <c r="J795" s="16" t="str">
        <f>IF(H795="","",H795/MAX(H$5:H795)-1)</f>
        <v/>
      </c>
      <c r="K795" s="13" t="str">
        <f>IF(OR('实盘净值数据(iFinD）'!$A795="",'实盘净值数据(iFinD）'!$B795="",'实盘净值数据(iFinD）'!$Z795="",'实盘净值数据(iFinD）'!$AA795=""),"",分期持仓明细!$AB$23*(SUMPRODUCT(分期持仓明细!$B$23:$Y$23,'实盘净值数据(iFinD）'!$B795:$Y795/'实盘净值数据(iFinD）'!$B$65:$Y$65)+SUMPRODUCT(分期持仓明细!$AC$23:$AD$23,'实盘净值数据(iFinD）'!$Z795:$AA795/'实盘净值数据(iFinD）'!$Z$65:$AA$65))*(1-实盘持仓初始配置!$Z$7)^(('实盘净值数据(iFinD）'!$A795-'实盘净值数据(iFinD）'!$A$8)/365))</f>
        <v/>
      </c>
      <c r="L795" s="16" t="str">
        <f t="shared" si="75"/>
        <v/>
      </c>
      <c r="M795" s="16" t="str">
        <f>IF(K795="","",K795/MAX(K$5:K795)-1)</f>
        <v/>
      </c>
      <c r="N795" s="13" t="str">
        <f>IF(OR('实盘净值数据(iFinD）'!$A795="",'实盘净值数据(iFinD）'!$B795="",'实盘净值数据(iFinD）'!$Z795="",'实盘净值数据(iFinD）'!$AA795=""),"",分期持仓明细!$AB$24*(SUMPRODUCT(分期持仓明细!$B$24:$Y$24,'实盘净值数据(iFinD）'!$B795:$Y795/'实盘净值数据(iFinD）'!$B$65:$Y$65)+SUMPRODUCT(分期持仓明细!$AC$24:$AD$24,'实盘净值数据(iFinD）'!$Z795:$AA795/'实盘净值数据(iFinD）'!$Z$65:$AA$65))*(1-实盘持仓初始配置!$Z$8)^(('实盘净值数据(iFinD）'!$A795-'实盘净值数据(iFinD）'!$A$5)/365))</f>
        <v/>
      </c>
      <c r="O795" s="16" t="str">
        <f t="shared" si="76"/>
        <v/>
      </c>
      <c r="P795" s="16" t="str">
        <f>IF(N795="","",N795/MAX(N$5:N795)-1)</f>
        <v/>
      </c>
      <c r="Q795" s="13" t="str">
        <f>IF(OR('实盘净值数据(iFinD）'!$A795="",'实盘净值数据(iFinD）'!$B795="",'实盘净值数据(iFinD）'!$Z795="",'实盘净值数据(iFinD）'!$AA795=""),"",分期持仓明细!$AB$25*(SUMPRODUCT(分期持仓明细!$B$25:$Y$25,'实盘净值数据(iFinD）'!$B795:$Y795/'实盘净值数据(iFinD）'!$B$65:$Y$65)+SUMPRODUCT(分期持仓明细!$AC$25:$AD$25,'实盘净值数据(iFinD）'!$Z795:$AA795/'实盘净值数据(iFinD）'!$Z$65:$AA$65))*(1-实盘持仓初始配置!$Z$9)^(('实盘净值数据(iFinD）'!$A795-'实盘净值数据(iFinD）'!$A$8)/365))</f>
        <v/>
      </c>
      <c r="R795" s="16" t="str">
        <f t="shared" si="77"/>
        <v/>
      </c>
      <c r="S795" s="16" t="str">
        <f>IF(Q795="","",Q795/MAX(Q$5:Q795)-1)</f>
        <v/>
      </c>
      <c r="T795" s="13">
        <f>IF(OR('实盘净值数据(iFinD）'!$A795="",'实盘净值数据(iFinD）'!$B795="",'实盘净值数据(iFinD）'!$Z795="",'实盘净值数据(iFinD）'!$AA795="",'实盘净值数据(iFinD）'!$AB795="",'实盘净值数据(iFinD）'!$AL795=""),"",(SUMPRODUCT(分期持仓明细!$B$26:$Y$26,'实盘净值数据(iFinD）'!$B795:$Y795/'实盘净值数据(iFinD）'!$B$69:$Y$69)+SUMPRODUCT(分期持仓明细!$AC$26:$AD$26,'实盘净值数据(iFinD）'!$Z795:$AA795/'实盘净值数据(iFinD）'!$Z$69:$AA$69)+SUMPRODUCT(分期持仓明细!$AE$26:$AO$26,'实盘净值数据(iFinD）'!$AB795:$AL795/'实盘净值数据(iFinD）'!$AB$69:$AL$69))*(1-实盘持仓初始配置!$Z$10)^(('实盘净值数据(iFinD）'!$A795-'实盘净值数据(iFinD）'!$A$69)/365))</f>
        <v/>
      </c>
      <c r="U795" s="16">
        <f>IF(OR(T794="",T795=""),"",T795/T794-1)</f>
        <v/>
      </c>
      <c r="V795" s="16">
        <f>IF(T795="","",T795/MAX(T$5:T795)-1)</f>
        <v/>
      </c>
    </row>
    <row r="796" spans="1:19">
      <c r="A796" s="15" t="str">
        <f>IF('实盘净值数据(iFinD）'!A796="","",'实盘净值数据(iFinD）'!A796)</f>
        <v/>
      </c>
      <c r="B796" s="13" t="str">
        <f>IF(OR('实盘净值数据(iFinD）'!$A796="",'实盘净值数据(iFinD）'!$B796=""),"",分期持仓明细!$AB$17*SUMPRODUCT(分期持仓明细!$B$17:$Y$17,'实盘净值数据(iFinD）'!$B796:$Y796/'实盘净值数据(iFinD）'!$B$20:$Y$20)*(1-实盘持仓初始配置!$Z$4)^(('实盘净值数据(iFinD）'!$A796-'实盘净值数据(iFinD）'!$A$6)/365))</f>
        <v/>
      </c>
      <c r="C796" s="16" t="str">
        <f t="shared" si="72"/>
        <v/>
      </c>
      <c r="D796" s="16" t="str">
        <f>IF(B796="","",B796/MAX(B$5:B796)-1)</f>
        <v/>
      </c>
      <c r="E796" s="13" t="str">
        <f>IF(OR('实盘净值数据(iFinD）'!$A796="",'实盘净值数据(iFinD）'!$B796=""),"",分期持仓明细!$AB$18*SUMPRODUCT(分期持仓明细!$B$18:$Y$18,'实盘净值数据(iFinD）'!$B796:$Y796/'实盘净值数据(iFinD）'!$B$20:$Y$20)*(1-实盘持仓初始配置!$Z$5)^(('实盘净值数据(iFinD）'!$A796-'实盘净值数据(iFinD）'!$A$5)/365))</f>
        <v/>
      </c>
      <c r="F796" s="16" t="str">
        <f t="shared" si="73"/>
        <v/>
      </c>
      <c r="G796" s="16" t="str">
        <f>IF(E796="","",E796/MAX(E$5:E796)-1)</f>
        <v/>
      </c>
      <c r="H796" s="13" t="str">
        <f>IF(OR('实盘净值数据(iFinD）'!$A796="",'实盘净值数据(iFinD）'!$B796=""),"",分期持仓明细!$AB$19*SUMPRODUCT(分期持仓明细!$B$19:$Y$19,'实盘净值数据(iFinD）'!$B796:$Y796/'实盘净值数据(iFinD）'!$B$20:$Y$20)*(1-实盘持仓初始配置!$Z$6)^(('实盘净值数据(iFinD）'!$A796-'实盘净值数据(iFinD）'!$A$7)/365))</f>
        <v/>
      </c>
      <c r="I796" s="16" t="str">
        <f t="shared" si="74"/>
        <v/>
      </c>
      <c r="J796" s="16" t="str">
        <f>IF(H796="","",H796/MAX(H$5:H796)-1)</f>
        <v/>
      </c>
      <c r="K796" s="13" t="str">
        <f>IF(OR('实盘净值数据(iFinD）'!$A796="",'实盘净值数据(iFinD）'!$B796="",'实盘净值数据(iFinD）'!$Z796="",'实盘净值数据(iFinD）'!$AA796=""),"",分期持仓明细!$AB$23*(SUMPRODUCT(分期持仓明细!$B$23:$Y$23,'实盘净值数据(iFinD）'!$B796:$Y796/'实盘净值数据(iFinD）'!$B$65:$Y$65)+SUMPRODUCT(分期持仓明细!$AC$23:$AD$23,'实盘净值数据(iFinD）'!$Z796:$AA796/'实盘净值数据(iFinD）'!$Z$65:$AA$65))*(1-实盘持仓初始配置!$Z$7)^(('实盘净值数据(iFinD）'!$A796-'实盘净值数据(iFinD）'!$A$8)/365))</f>
        <v/>
      </c>
      <c r="L796" s="16" t="str">
        <f t="shared" si="75"/>
        <v/>
      </c>
      <c r="M796" s="16" t="str">
        <f>IF(K796="","",K796/MAX(K$5:K796)-1)</f>
        <v/>
      </c>
      <c r="N796" s="13" t="str">
        <f>IF(OR('实盘净值数据(iFinD）'!$A796="",'实盘净值数据(iFinD）'!$B796="",'实盘净值数据(iFinD）'!$Z796="",'实盘净值数据(iFinD）'!$AA796=""),"",分期持仓明细!$AB$24*(SUMPRODUCT(分期持仓明细!$B$24:$Y$24,'实盘净值数据(iFinD）'!$B796:$Y796/'实盘净值数据(iFinD）'!$B$65:$Y$65)+SUMPRODUCT(分期持仓明细!$AC$24:$AD$24,'实盘净值数据(iFinD）'!$Z796:$AA796/'实盘净值数据(iFinD）'!$Z$65:$AA$65))*(1-实盘持仓初始配置!$Z$8)^(('实盘净值数据(iFinD）'!$A796-'实盘净值数据(iFinD）'!$A$5)/365))</f>
        <v/>
      </c>
      <c r="O796" s="16" t="str">
        <f t="shared" si="76"/>
        <v/>
      </c>
      <c r="P796" s="16" t="str">
        <f>IF(N796="","",N796/MAX(N$5:N796)-1)</f>
        <v/>
      </c>
      <c r="Q796" s="13" t="str">
        <f>IF(OR('实盘净值数据(iFinD）'!$A796="",'实盘净值数据(iFinD）'!$B796="",'实盘净值数据(iFinD）'!$Z796="",'实盘净值数据(iFinD）'!$AA796=""),"",分期持仓明细!$AB$25*(SUMPRODUCT(分期持仓明细!$B$25:$Y$25,'实盘净值数据(iFinD）'!$B796:$Y796/'实盘净值数据(iFinD）'!$B$65:$Y$65)+SUMPRODUCT(分期持仓明细!$AC$25:$AD$25,'实盘净值数据(iFinD）'!$Z796:$AA796/'实盘净值数据(iFinD）'!$Z$65:$AA$65))*(1-实盘持仓初始配置!$Z$9)^(('实盘净值数据(iFinD）'!$A796-'实盘净值数据(iFinD）'!$A$8)/365))</f>
        <v/>
      </c>
      <c r="R796" s="16" t="str">
        <f t="shared" si="77"/>
        <v/>
      </c>
      <c r="S796" s="16" t="str">
        <f>IF(Q796="","",Q796/MAX(Q$5:Q796)-1)</f>
        <v/>
      </c>
      <c r="T796" s="13">
        <f>IF(OR('实盘净值数据(iFinD）'!$A796="",'实盘净值数据(iFinD）'!$B796="",'实盘净值数据(iFinD）'!$Z796="",'实盘净值数据(iFinD）'!$AA796="",'实盘净值数据(iFinD）'!$AB796="",'实盘净值数据(iFinD）'!$AL796=""),"",(SUMPRODUCT(分期持仓明细!$B$26:$Y$26,'实盘净值数据(iFinD）'!$B796:$Y796/'实盘净值数据(iFinD）'!$B$69:$Y$69)+SUMPRODUCT(分期持仓明细!$AC$26:$AD$26,'实盘净值数据(iFinD）'!$Z796:$AA796/'实盘净值数据(iFinD）'!$Z$69:$AA$69)+SUMPRODUCT(分期持仓明细!$AE$26:$AO$26,'实盘净值数据(iFinD）'!$AB796:$AL796/'实盘净值数据(iFinD）'!$AB$69:$AL$69))*(1-实盘持仓初始配置!$Z$10)^(('实盘净值数据(iFinD）'!$A796-'实盘净值数据(iFinD）'!$A$69)/365))</f>
        <v/>
      </c>
      <c r="U796" s="16">
        <f>IF(OR(T795="",T796=""),"",T796/T795-1)</f>
        <v/>
      </c>
      <c r="V796" s="16">
        <f>IF(T796="","",T796/MAX(T$5:T796)-1)</f>
        <v/>
      </c>
    </row>
    <row r="797" spans="1:19">
      <c r="A797" s="15" t="str">
        <f>IF('实盘净值数据(iFinD）'!A797="","",'实盘净值数据(iFinD）'!A797)</f>
        <v/>
      </c>
      <c r="B797" s="13" t="str">
        <f>IF(OR('实盘净值数据(iFinD）'!$A797="",'实盘净值数据(iFinD）'!$B797=""),"",分期持仓明细!$AB$17*SUMPRODUCT(分期持仓明细!$B$17:$Y$17,'实盘净值数据(iFinD）'!$B797:$Y797/'实盘净值数据(iFinD）'!$B$20:$Y$20)*(1-实盘持仓初始配置!$Z$4)^(('实盘净值数据(iFinD）'!$A797-'实盘净值数据(iFinD）'!$A$6)/365))</f>
        <v/>
      </c>
      <c r="C797" s="16" t="str">
        <f t="shared" si="72"/>
        <v/>
      </c>
      <c r="D797" s="16" t="str">
        <f>IF(B797="","",B797/MAX(B$5:B797)-1)</f>
        <v/>
      </c>
      <c r="E797" s="13" t="str">
        <f>IF(OR('实盘净值数据(iFinD）'!$A797="",'实盘净值数据(iFinD）'!$B797=""),"",分期持仓明细!$AB$18*SUMPRODUCT(分期持仓明细!$B$18:$Y$18,'实盘净值数据(iFinD）'!$B797:$Y797/'实盘净值数据(iFinD）'!$B$20:$Y$20)*(1-实盘持仓初始配置!$Z$5)^(('实盘净值数据(iFinD）'!$A797-'实盘净值数据(iFinD）'!$A$5)/365))</f>
        <v/>
      </c>
      <c r="F797" s="16" t="str">
        <f t="shared" si="73"/>
        <v/>
      </c>
      <c r="G797" s="16" t="str">
        <f>IF(E797="","",E797/MAX(E$5:E797)-1)</f>
        <v/>
      </c>
      <c r="H797" s="13" t="str">
        <f>IF(OR('实盘净值数据(iFinD）'!$A797="",'实盘净值数据(iFinD）'!$B797=""),"",分期持仓明细!$AB$19*SUMPRODUCT(分期持仓明细!$B$19:$Y$19,'实盘净值数据(iFinD）'!$B797:$Y797/'实盘净值数据(iFinD）'!$B$20:$Y$20)*(1-实盘持仓初始配置!$Z$6)^(('实盘净值数据(iFinD）'!$A797-'实盘净值数据(iFinD）'!$A$7)/365))</f>
        <v/>
      </c>
      <c r="I797" s="16" t="str">
        <f t="shared" si="74"/>
        <v/>
      </c>
      <c r="J797" s="16" t="str">
        <f>IF(H797="","",H797/MAX(H$5:H797)-1)</f>
        <v/>
      </c>
      <c r="K797" s="13" t="str">
        <f>IF(OR('实盘净值数据(iFinD）'!$A797="",'实盘净值数据(iFinD）'!$B797="",'实盘净值数据(iFinD）'!$Z797="",'实盘净值数据(iFinD）'!$AA797=""),"",分期持仓明细!$AB$23*(SUMPRODUCT(分期持仓明细!$B$23:$Y$23,'实盘净值数据(iFinD）'!$B797:$Y797/'实盘净值数据(iFinD）'!$B$65:$Y$65)+SUMPRODUCT(分期持仓明细!$AC$23:$AD$23,'实盘净值数据(iFinD）'!$Z797:$AA797/'实盘净值数据(iFinD）'!$Z$65:$AA$65))*(1-实盘持仓初始配置!$Z$7)^(('实盘净值数据(iFinD）'!$A797-'实盘净值数据(iFinD）'!$A$8)/365))</f>
        <v/>
      </c>
      <c r="L797" s="16" t="str">
        <f t="shared" si="75"/>
        <v/>
      </c>
      <c r="M797" s="16" t="str">
        <f>IF(K797="","",K797/MAX(K$5:K797)-1)</f>
        <v/>
      </c>
      <c r="N797" s="13" t="str">
        <f>IF(OR('实盘净值数据(iFinD）'!$A797="",'实盘净值数据(iFinD）'!$B797="",'实盘净值数据(iFinD）'!$Z797="",'实盘净值数据(iFinD）'!$AA797=""),"",分期持仓明细!$AB$24*(SUMPRODUCT(分期持仓明细!$B$24:$Y$24,'实盘净值数据(iFinD）'!$B797:$Y797/'实盘净值数据(iFinD）'!$B$65:$Y$65)+SUMPRODUCT(分期持仓明细!$AC$24:$AD$24,'实盘净值数据(iFinD）'!$Z797:$AA797/'实盘净值数据(iFinD）'!$Z$65:$AA$65))*(1-实盘持仓初始配置!$Z$8)^(('实盘净值数据(iFinD）'!$A797-'实盘净值数据(iFinD）'!$A$5)/365))</f>
        <v/>
      </c>
      <c r="O797" s="16" t="str">
        <f t="shared" si="76"/>
        <v/>
      </c>
      <c r="P797" s="16" t="str">
        <f>IF(N797="","",N797/MAX(N$5:N797)-1)</f>
        <v/>
      </c>
      <c r="Q797" s="13" t="str">
        <f>IF(OR('实盘净值数据(iFinD）'!$A797="",'实盘净值数据(iFinD）'!$B797="",'实盘净值数据(iFinD）'!$Z797="",'实盘净值数据(iFinD）'!$AA797=""),"",分期持仓明细!$AB$25*(SUMPRODUCT(分期持仓明细!$B$25:$Y$25,'实盘净值数据(iFinD）'!$B797:$Y797/'实盘净值数据(iFinD）'!$B$65:$Y$65)+SUMPRODUCT(分期持仓明细!$AC$25:$AD$25,'实盘净值数据(iFinD）'!$Z797:$AA797/'实盘净值数据(iFinD）'!$Z$65:$AA$65))*(1-实盘持仓初始配置!$Z$9)^(('实盘净值数据(iFinD）'!$A797-'实盘净值数据(iFinD）'!$A$8)/365))</f>
        <v/>
      </c>
      <c r="R797" s="16" t="str">
        <f t="shared" si="77"/>
        <v/>
      </c>
      <c r="S797" s="16" t="str">
        <f>IF(Q797="","",Q797/MAX(Q$5:Q797)-1)</f>
        <v/>
      </c>
      <c r="T797" s="13">
        <f>IF(OR('实盘净值数据(iFinD）'!$A797="",'实盘净值数据(iFinD）'!$B797="",'实盘净值数据(iFinD）'!$Z797="",'实盘净值数据(iFinD）'!$AA797="",'实盘净值数据(iFinD）'!$AB797="",'实盘净值数据(iFinD）'!$AL797=""),"",(SUMPRODUCT(分期持仓明细!$B$26:$Y$26,'实盘净值数据(iFinD）'!$B797:$Y797/'实盘净值数据(iFinD）'!$B$69:$Y$69)+SUMPRODUCT(分期持仓明细!$AC$26:$AD$26,'实盘净值数据(iFinD）'!$Z797:$AA797/'实盘净值数据(iFinD）'!$Z$69:$AA$69)+SUMPRODUCT(分期持仓明细!$AE$26:$AO$26,'实盘净值数据(iFinD）'!$AB797:$AL797/'实盘净值数据(iFinD）'!$AB$69:$AL$69))*(1-实盘持仓初始配置!$Z$10)^(('实盘净值数据(iFinD）'!$A797-'实盘净值数据(iFinD）'!$A$69)/365))</f>
        <v/>
      </c>
      <c r="U797" s="16">
        <f>IF(OR(T796="",T797=""),"",T797/T796-1)</f>
        <v/>
      </c>
      <c r="V797" s="16">
        <f>IF(T797="","",T797/MAX(T$5:T797)-1)</f>
        <v/>
      </c>
    </row>
    <row r="798" spans="1:19">
      <c r="A798" s="15" t="str">
        <f>IF('实盘净值数据(iFinD）'!A798="","",'实盘净值数据(iFinD）'!A798)</f>
        <v/>
      </c>
      <c r="B798" s="13" t="str">
        <f>IF(OR('实盘净值数据(iFinD）'!$A798="",'实盘净值数据(iFinD）'!$B798=""),"",分期持仓明细!$AB$17*SUMPRODUCT(分期持仓明细!$B$17:$Y$17,'实盘净值数据(iFinD）'!$B798:$Y798/'实盘净值数据(iFinD）'!$B$20:$Y$20)*(1-实盘持仓初始配置!$Z$4)^(('实盘净值数据(iFinD）'!$A798-'实盘净值数据(iFinD）'!$A$6)/365))</f>
        <v/>
      </c>
      <c r="C798" s="16" t="str">
        <f t="shared" si="72"/>
        <v/>
      </c>
      <c r="D798" s="16" t="str">
        <f>IF(B798="","",B798/MAX(B$5:B798)-1)</f>
        <v/>
      </c>
      <c r="E798" s="13" t="str">
        <f>IF(OR('实盘净值数据(iFinD）'!$A798="",'实盘净值数据(iFinD）'!$B798=""),"",分期持仓明细!$AB$18*SUMPRODUCT(分期持仓明细!$B$18:$Y$18,'实盘净值数据(iFinD）'!$B798:$Y798/'实盘净值数据(iFinD）'!$B$20:$Y$20)*(1-实盘持仓初始配置!$Z$5)^(('实盘净值数据(iFinD）'!$A798-'实盘净值数据(iFinD）'!$A$5)/365))</f>
        <v/>
      </c>
      <c r="F798" s="16" t="str">
        <f t="shared" si="73"/>
        <v/>
      </c>
      <c r="G798" s="16" t="str">
        <f>IF(E798="","",E798/MAX(E$5:E798)-1)</f>
        <v/>
      </c>
      <c r="H798" s="13" t="str">
        <f>IF(OR('实盘净值数据(iFinD）'!$A798="",'实盘净值数据(iFinD）'!$B798=""),"",分期持仓明细!$AB$19*SUMPRODUCT(分期持仓明细!$B$19:$Y$19,'实盘净值数据(iFinD）'!$B798:$Y798/'实盘净值数据(iFinD）'!$B$20:$Y$20)*(1-实盘持仓初始配置!$Z$6)^(('实盘净值数据(iFinD）'!$A798-'实盘净值数据(iFinD）'!$A$7)/365))</f>
        <v/>
      </c>
      <c r="I798" s="16" t="str">
        <f t="shared" si="74"/>
        <v/>
      </c>
      <c r="J798" s="16" t="str">
        <f>IF(H798="","",H798/MAX(H$5:H798)-1)</f>
        <v/>
      </c>
      <c r="K798" s="13" t="str">
        <f>IF(OR('实盘净值数据(iFinD）'!$A798="",'实盘净值数据(iFinD）'!$B798="",'实盘净值数据(iFinD）'!$Z798="",'实盘净值数据(iFinD）'!$AA798=""),"",分期持仓明细!$AB$23*(SUMPRODUCT(分期持仓明细!$B$23:$Y$23,'实盘净值数据(iFinD）'!$B798:$Y798/'实盘净值数据(iFinD）'!$B$65:$Y$65)+SUMPRODUCT(分期持仓明细!$AC$23:$AD$23,'实盘净值数据(iFinD）'!$Z798:$AA798/'实盘净值数据(iFinD）'!$Z$65:$AA$65))*(1-实盘持仓初始配置!$Z$7)^(('实盘净值数据(iFinD）'!$A798-'实盘净值数据(iFinD）'!$A$8)/365))</f>
        <v/>
      </c>
      <c r="L798" s="16" t="str">
        <f t="shared" si="75"/>
        <v/>
      </c>
      <c r="M798" s="16" t="str">
        <f>IF(K798="","",K798/MAX(K$5:K798)-1)</f>
        <v/>
      </c>
      <c r="N798" s="13" t="str">
        <f>IF(OR('实盘净值数据(iFinD）'!$A798="",'实盘净值数据(iFinD）'!$B798="",'实盘净值数据(iFinD）'!$Z798="",'实盘净值数据(iFinD）'!$AA798=""),"",分期持仓明细!$AB$24*(SUMPRODUCT(分期持仓明细!$B$24:$Y$24,'实盘净值数据(iFinD）'!$B798:$Y798/'实盘净值数据(iFinD）'!$B$65:$Y$65)+SUMPRODUCT(分期持仓明细!$AC$24:$AD$24,'实盘净值数据(iFinD）'!$Z798:$AA798/'实盘净值数据(iFinD）'!$Z$65:$AA$65))*(1-实盘持仓初始配置!$Z$8)^(('实盘净值数据(iFinD）'!$A798-'实盘净值数据(iFinD）'!$A$5)/365))</f>
        <v/>
      </c>
      <c r="O798" s="16" t="str">
        <f t="shared" si="76"/>
        <v/>
      </c>
      <c r="P798" s="16" t="str">
        <f>IF(N798="","",N798/MAX(N$5:N798)-1)</f>
        <v/>
      </c>
      <c r="Q798" s="13" t="str">
        <f>IF(OR('实盘净值数据(iFinD）'!$A798="",'实盘净值数据(iFinD）'!$B798="",'实盘净值数据(iFinD）'!$Z798="",'实盘净值数据(iFinD）'!$AA798=""),"",分期持仓明细!$AB$25*(SUMPRODUCT(分期持仓明细!$B$25:$Y$25,'实盘净值数据(iFinD）'!$B798:$Y798/'实盘净值数据(iFinD）'!$B$65:$Y$65)+SUMPRODUCT(分期持仓明细!$AC$25:$AD$25,'实盘净值数据(iFinD）'!$Z798:$AA798/'实盘净值数据(iFinD）'!$Z$65:$AA$65))*(1-实盘持仓初始配置!$Z$9)^(('实盘净值数据(iFinD）'!$A798-'实盘净值数据(iFinD）'!$A$8)/365))</f>
        <v/>
      </c>
      <c r="R798" s="16" t="str">
        <f t="shared" si="77"/>
        <v/>
      </c>
      <c r="S798" s="16" t="str">
        <f>IF(Q798="","",Q798/MAX(Q$5:Q798)-1)</f>
        <v/>
      </c>
      <c r="T798" s="13">
        <f>IF(OR('实盘净值数据(iFinD）'!$A798="",'实盘净值数据(iFinD）'!$B798="",'实盘净值数据(iFinD）'!$Z798="",'实盘净值数据(iFinD）'!$AA798="",'实盘净值数据(iFinD）'!$AB798="",'实盘净值数据(iFinD）'!$AL798=""),"",(SUMPRODUCT(分期持仓明细!$B$26:$Y$26,'实盘净值数据(iFinD）'!$B798:$Y798/'实盘净值数据(iFinD）'!$B$69:$Y$69)+SUMPRODUCT(分期持仓明细!$AC$26:$AD$26,'实盘净值数据(iFinD）'!$Z798:$AA798/'实盘净值数据(iFinD）'!$Z$69:$AA$69)+SUMPRODUCT(分期持仓明细!$AE$26:$AO$26,'实盘净值数据(iFinD）'!$AB798:$AL798/'实盘净值数据(iFinD）'!$AB$69:$AL$69))*(1-实盘持仓初始配置!$Z$10)^(('实盘净值数据(iFinD）'!$A798-'实盘净值数据(iFinD）'!$A$69)/365))</f>
        <v/>
      </c>
      <c r="U798" s="16">
        <f>IF(OR(T797="",T798=""),"",T798/T797-1)</f>
        <v/>
      </c>
      <c r="V798" s="16">
        <f>IF(T798="","",T798/MAX(T$5:T798)-1)</f>
        <v/>
      </c>
    </row>
    <row r="799" spans="1:19">
      <c r="A799" s="15" t="str">
        <f>IF('实盘净值数据(iFinD）'!A799="","",'实盘净值数据(iFinD）'!A799)</f>
        <v/>
      </c>
      <c r="B799" s="13" t="str">
        <f>IF(OR('实盘净值数据(iFinD）'!$A799="",'实盘净值数据(iFinD）'!$B799=""),"",分期持仓明细!$AB$17*SUMPRODUCT(分期持仓明细!$B$17:$Y$17,'实盘净值数据(iFinD）'!$B799:$Y799/'实盘净值数据(iFinD）'!$B$20:$Y$20)*(1-实盘持仓初始配置!$Z$4)^(('实盘净值数据(iFinD）'!$A799-'实盘净值数据(iFinD）'!$A$6)/365))</f>
        <v/>
      </c>
      <c r="C799" s="16" t="str">
        <f t="shared" si="72"/>
        <v/>
      </c>
      <c r="D799" s="16" t="str">
        <f>IF(B799="","",B799/MAX(B$5:B799)-1)</f>
        <v/>
      </c>
      <c r="E799" s="13" t="str">
        <f>IF(OR('实盘净值数据(iFinD）'!$A799="",'实盘净值数据(iFinD）'!$B799=""),"",分期持仓明细!$AB$18*SUMPRODUCT(分期持仓明细!$B$18:$Y$18,'实盘净值数据(iFinD）'!$B799:$Y799/'实盘净值数据(iFinD）'!$B$20:$Y$20)*(1-实盘持仓初始配置!$Z$5)^(('实盘净值数据(iFinD）'!$A799-'实盘净值数据(iFinD）'!$A$5)/365))</f>
        <v/>
      </c>
      <c r="F799" s="16" t="str">
        <f t="shared" si="73"/>
        <v/>
      </c>
      <c r="G799" s="16" t="str">
        <f>IF(E799="","",E799/MAX(E$5:E799)-1)</f>
        <v/>
      </c>
      <c r="H799" s="13" t="str">
        <f>IF(OR('实盘净值数据(iFinD）'!$A799="",'实盘净值数据(iFinD）'!$B799=""),"",分期持仓明细!$AB$19*SUMPRODUCT(分期持仓明细!$B$19:$Y$19,'实盘净值数据(iFinD）'!$B799:$Y799/'实盘净值数据(iFinD）'!$B$20:$Y$20)*(1-实盘持仓初始配置!$Z$6)^(('实盘净值数据(iFinD）'!$A799-'实盘净值数据(iFinD）'!$A$7)/365))</f>
        <v/>
      </c>
      <c r="I799" s="16" t="str">
        <f t="shared" si="74"/>
        <v/>
      </c>
      <c r="J799" s="16" t="str">
        <f>IF(H799="","",H799/MAX(H$5:H799)-1)</f>
        <v/>
      </c>
      <c r="K799" s="13" t="str">
        <f>IF(OR('实盘净值数据(iFinD）'!$A799="",'实盘净值数据(iFinD）'!$B799="",'实盘净值数据(iFinD）'!$Z799="",'实盘净值数据(iFinD）'!$AA799=""),"",分期持仓明细!$AB$23*(SUMPRODUCT(分期持仓明细!$B$23:$Y$23,'实盘净值数据(iFinD）'!$B799:$Y799/'实盘净值数据(iFinD）'!$B$65:$Y$65)+SUMPRODUCT(分期持仓明细!$AC$23:$AD$23,'实盘净值数据(iFinD）'!$Z799:$AA799/'实盘净值数据(iFinD）'!$Z$65:$AA$65))*(1-实盘持仓初始配置!$Z$7)^(('实盘净值数据(iFinD）'!$A799-'实盘净值数据(iFinD）'!$A$8)/365))</f>
        <v/>
      </c>
      <c r="L799" s="16" t="str">
        <f t="shared" si="75"/>
        <v/>
      </c>
      <c r="M799" s="16" t="str">
        <f>IF(K799="","",K799/MAX(K$5:K799)-1)</f>
        <v/>
      </c>
      <c r="N799" s="13" t="str">
        <f>IF(OR('实盘净值数据(iFinD）'!$A799="",'实盘净值数据(iFinD）'!$B799="",'实盘净值数据(iFinD）'!$Z799="",'实盘净值数据(iFinD）'!$AA799=""),"",分期持仓明细!$AB$24*(SUMPRODUCT(分期持仓明细!$B$24:$Y$24,'实盘净值数据(iFinD）'!$B799:$Y799/'实盘净值数据(iFinD）'!$B$65:$Y$65)+SUMPRODUCT(分期持仓明细!$AC$24:$AD$24,'实盘净值数据(iFinD）'!$Z799:$AA799/'实盘净值数据(iFinD）'!$Z$65:$AA$65))*(1-实盘持仓初始配置!$Z$8)^(('实盘净值数据(iFinD）'!$A799-'实盘净值数据(iFinD）'!$A$5)/365))</f>
        <v/>
      </c>
      <c r="O799" s="16" t="str">
        <f t="shared" si="76"/>
        <v/>
      </c>
      <c r="P799" s="16" t="str">
        <f>IF(N799="","",N799/MAX(N$5:N799)-1)</f>
        <v/>
      </c>
      <c r="Q799" s="13" t="str">
        <f>IF(OR('实盘净值数据(iFinD）'!$A799="",'实盘净值数据(iFinD）'!$B799="",'实盘净值数据(iFinD）'!$Z799="",'实盘净值数据(iFinD）'!$AA799=""),"",分期持仓明细!$AB$25*(SUMPRODUCT(分期持仓明细!$B$25:$Y$25,'实盘净值数据(iFinD）'!$B799:$Y799/'实盘净值数据(iFinD）'!$B$65:$Y$65)+SUMPRODUCT(分期持仓明细!$AC$25:$AD$25,'实盘净值数据(iFinD）'!$Z799:$AA799/'实盘净值数据(iFinD）'!$Z$65:$AA$65))*(1-实盘持仓初始配置!$Z$9)^(('实盘净值数据(iFinD）'!$A799-'实盘净值数据(iFinD）'!$A$8)/365))</f>
        <v/>
      </c>
      <c r="R799" s="16" t="str">
        <f t="shared" si="77"/>
        <v/>
      </c>
      <c r="S799" s="16" t="str">
        <f>IF(Q799="","",Q799/MAX(Q$5:Q799)-1)</f>
        <v/>
      </c>
      <c r="T799" s="13">
        <f>IF(OR('实盘净值数据(iFinD）'!$A799="",'实盘净值数据(iFinD）'!$B799="",'实盘净值数据(iFinD）'!$Z799="",'实盘净值数据(iFinD）'!$AA799="",'实盘净值数据(iFinD）'!$AB799="",'实盘净值数据(iFinD）'!$AL799=""),"",(SUMPRODUCT(分期持仓明细!$B$26:$Y$26,'实盘净值数据(iFinD）'!$B799:$Y799/'实盘净值数据(iFinD）'!$B$69:$Y$69)+SUMPRODUCT(分期持仓明细!$AC$26:$AD$26,'实盘净值数据(iFinD）'!$Z799:$AA799/'实盘净值数据(iFinD）'!$Z$69:$AA$69)+SUMPRODUCT(分期持仓明细!$AE$26:$AO$26,'实盘净值数据(iFinD）'!$AB799:$AL799/'实盘净值数据(iFinD）'!$AB$69:$AL$69))*(1-实盘持仓初始配置!$Z$10)^(('实盘净值数据(iFinD）'!$A799-'实盘净值数据(iFinD）'!$A$69)/365))</f>
        <v/>
      </c>
      <c r="U799" s="16">
        <f>IF(OR(T798="",T799=""),"",T799/T798-1)</f>
        <v/>
      </c>
      <c r="V799" s="16">
        <f>IF(T799="","",T799/MAX(T$5:T799)-1)</f>
        <v/>
      </c>
    </row>
    <row r="800" spans="1:19">
      <c r="A800" s="15" t="str">
        <f>IF('实盘净值数据(iFinD）'!A800="","",'实盘净值数据(iFinD）'!A800)</f>
        <v/>
      </c>
      <c r="B800" s="13" t="str">
        <f>IF(OR('实盘净值数据(iFinD）'!$A800="",'实盘净值数据(iFinD）'!$B800=""),"",分期持仓明细!$AB$17*SUMPRODUCT(分期持仓明细!$B$17:$Y$17,'实盘净值数据(iFinD）'!$B800:$Y800/'实盘净值数据(iFinD）'!$B$20:$Y$20)*(1-实盘持仓初始配置!$Z$4)^(('实盘净值数据(iFinD）'!$A800-'实盘净值数据(iFinD）'!$A$6)/365))</f>
        <v/>
      </c>
      <c r="C800" s="16" t="str">
        <f t="shared" si="72"/>
        <v/>
      </c>
      <c r="D800" s="16" t="str">
        <f>IF(B800="","",B800/MAX(B$5:B800)-1)</f>
        <v/>
      </c>
      <c r="E800" s="13" t="str">
        <f>IF(OR('实盘净值数据(iFinD）'!$A800="",'实盘净值数据(iFinD）'!$B800=""),"",分期持仓明细!$AB$18*SUMPRODUCT(分期持仓明细!$B$18:$Y$18,'实盘净值数据(iFinD）'!$B800:$Y800/'实盘净值数据(iFinD）'!$B$20:$Y$20)*(1-实盘持仓初始配置!$Z$5)^(('实盘净值数据(iFinD）'!$A800-'实盘净值数据(iFinD）'!$A$5)/365))</f>
        <v/>
      </c>
      <c r="F800" s="16" t="str">
        <f t="shared" si="73"/>
        <v/>
      </c>
      <c r="G800" s="16" t="str">
        <f>IF(E800="","",E800/MAX(E$5:E800)-1)</f>
        <v/>
      </c>
      <c r="H800" s="13" t="str">
        <f>IF(OR('实盘净值数据(iFinD）'!$A800="",'实盘净值数据(iFinD）'!$B800=""),"",分期持仓明细!$AB$19*SUMPRODUCT(分期持仓明细!$B$19:$Y$19,'实盘净值数据(iFinD）'!$B800:$Y800/'实盘净值数据(iFinD）'!$B$20:$Y$20)*(1-实盘持仓初始配置!$Z$6)^(('实盘净值数据(iFinD）'!$A800-'实盘净值数据(iFinD）'!$A$7)/365))</f>
        <v/>
      </c>
      <c r="I800" s="16" t="str">
        <f t="shared" si="74"/>
        <v/>
      </c>
      <c r="J800" s="16" t="str">
        <f>IF(H800="","",H800/MAX(H$5:H800)-1)</f>
        <v/>
      </c>
      <c r="K800" s="13" t="str">
        <f>IF(OR('实盘净值数据(iFinD）'!$A800="",'实盘净值数据(iFinD）'!$B800="",'实盘净值数据(iFinD）'!$Z800="",'实盘净值数据(iFinD）'!$AA800=""),"",分期持仓明细!$AB$23*(SUMPRODUCT(分期持仓明细!$B$23:$Y$23,'实盘净值数据(iFinD）'!$B800:$Y800/'实盘净值数据(iFinD）'!$B$65:$Y$65)+SUMPRODUCT(分期持仓明细!$AC$23:$AD$23,'实盘净值数据(iFinD）'!$Z800:$AA800/'实盘净值数据(iFinD）'!$Z$65:$AA$65))*(1-实盘持仓初始配置!$Z$7)^(('实盘净值数据(iFinD）'!$A800-'实盘净值数据(iFinD）'!$A$8)/365))</f>
        <v/>
      </c>
      <c r="L800" s="16" t="str">
        <f t="shared" si="75"/>
        <v/>
      </c>
      <c r="M800" s="16" t="str">
        <f>IF(K800="","",K800/MAX(K$5:K800)-1)</f>
        <v/>
      </c>
      <c r="N800" s="13" t="str">
        <f>IF(OR('实盘净值数据(iFinD）'!$A800="",'实盘净值数据(iFinD）'!$B800="",'实盘净值数据(iFinD）'!$Z800="",'实盘净值数据(iFinD）'!$AA800=""),"",分期持仓明细!$AB$24*(SUMPRODUCT(分期持仓明细!$B$24:$Y$24,'实盘净值数据(iFinD）'!$B800:$Y800/'实盘净值数据(iFinD）'!$B$65:$Y$65)+SUMPRODUCT(分期持仓明细!$AC$24:$AD$24,'实盘净值数据(iFinD）'!$Z800:$AA800/'实盘净值数据(iFinD）'!$Z$65:$AA$65))*(1-实盘持仓初始配置!$Z$8)^(('实盘净值数据(iFinD）'!$A800-'实盘净值数据(iFinD）'!$A$5)/365))</f>
        <v/>
      </c>
      <c r="O800" s="16" t="str">
        <f t="shared" si="76"/>
        <v/>
      </c>
      <c r="P800" s="16" t="str">
        <f>IF(N800="","",N800/MAX(N$5:N800)-1)</f>
        <v/>
      </c>
      <c r="Q800" s="13" t="str">
        <f>IF(OR('实盘净值数据(iFinD）'!$A800="",'实盘净值数据(iFinD）'!$B800="",'实盘净值数据(iFinD）'!$Z800="",'实盘净值数据(iFinD）'!$AA800=""),"",分期持仓明细!$AB$25*(SUMPRODUCT(分期持仓明细!$B$25:$Y$25,'实盘净值数据(iFinD）'!$B800:$Y800/'实盘净值数据(iFinD）'!$B$65:$Y$65)+SUMPRODUCT(分期持仓明细!$AC$25:$AD$25,'实盘净值数据(iFinD）'!$Z800:$AA800/'实盘净值数据(iFinD）'!$Z$65:$AA$65))*(1-实盘持仓初始配置!$Z$9)^(('实盘净值数据(iFinD）'!$A800-'实盘净值数据(iFinD）'!$A$8)/365))</f>
        <v/>
      </c>
      <c r="R800" s="16" t="str">
        <f t="shared" si="77"/>
        <v/>
      </c>
      <c r="S800" s="16" t="str">
        <f>IF(Q800="","",Q800/MAX(Q$5:Q800)-1)</f>
        <v/>
      </c>
      <c r="T800" s="13">
        <f>IF(OR('实盘净值数据(iFinD）'!$A800="",'实盘净值数据(iFinD）'!$B800="",'实盘净值数据(iFinD）'!$Z800="",'实盘净值数据(iFinD）'!$AA800="",'实盘净值数据(iFinD）'!$AB800="",'实盘净值数据(iFinD）'!$AL800=""),"",(SUMPRODUCT(分期持仓明细!$B$26:$Y$26,'实盘净值数据(iFinD）'!$B800:$Y800/'实盘净值数据(iFinD）'!$B$69:$Y$69)+SUMPRODUCT(分期持仓明细!$AC$26:$AD$26,'实盘净值数据(iFinD）'!$Z800:$AA800/'实盘净值数据(iFinD）'!$Z$69:$AA$69)+SUMPRODUCT(分期持仓明细!$AE$26:$AO$26,'实盘净值数据(iFinD）'!$AB800:$AL800/'实盘净值数据(iFinD）'!$AB$69:$AL$69))*(1-实盘持仓初始配置!$Z$10)^(('实盘净值数据(iFinD）'!$A800-'实盘净值数据(iFinD）'!$A$69)/365))</f>
        <v/>
      </c>
      <c r="U800" s="16">
        <f>IF(OR(T799="",T800=""),"",T800/T799-1)</f>
        <v/>
      </c>
      <c r="V800" s="16">
        <f>IF(T800="","",T800/MAX(T$5:T800)-1)</f>
        <v/>
      </c>
    </row>
    <row r="801" spans="1:19">
      <c r="A801" s="15" t="str">
        <f>IF('实盘净值数据(iFinD）'!A801="","",'实盘净值数据(iFinD）'!A801)</f>
        <v/>
      </c>
      <c r="B801" s="13" t="str">
        <f>IF(OR('实盘净值数据(iFinD）'!$A801="",'实盘净值数据(iFinD）'!$B801=""),"",分期持仓明细!$AB$17*SUMPRODUCT(分期持仓明细!$B$17:$Y$17,'实盘净值数据(iFinD）'!$B801:$Y801/'实盘净值数据(iFinD）'!$B$20:$Y$20)*(1-实盘持仓初始配置!$Z$4)^(('实盘净值数据(iFinD）'!$A801-'实盘净值数据(iFinD）'!$A$6)/365))</f>
        <v/>
      </c>
      <c r="C801" s="16" t="str">
        <f t="shared" si="72"/>
        <v/>
      </c>
      <c r="D801" s="16" t="str">
        <f>IF(B801="","",B801/MAX(B$5:B801)-1)</f>
        <v/>
      </c>
      <c r="E801" s="13" t="str">
        <f>IF(OR('实盘净值数据(iFinD）'!$A801="",'实盘净值数据(iFinD）'!$B801=""),"",分期持仓明细!$AB$18*SUMPRODUCT(分期持仓明细!$B$18:$Y$18,'实盘净值数据(iFinD）'!$B801:$Y801/'实盘净值数据(iFinD）'!$B$20:$Y$20)*(1-实盘持仓初始配置!$Z$5)^(('实盘净值数据(iFinD）'!$A801-'实盘净值数据(iFinD）'!$A$5)/365))</f>
        <v/>
      </c>
      <c r="F801" s="16" t="str">
        <f t="shared" si="73"/>
        <v/>
      </c>
      <c r="G801" s="16" t="str">
        <f>IF(E801="","",E801/MAX(E$5:E801)-1)</f>
        <v/>
      </c>
      <c r="H801" s="13" t="str">
        <f>IF(OR('实盘净值数据(iFinD）'!$A801="",'实盘净值数据(iFinD）'!$B801=""),"",分期持仓明细!$AB$19*SUMPRODUCT(分期持仓明细!$B$19:$Y$19,'实盘净值数据(iFinD）'!$B801:$Y801/'实盘净值数据(iFinD）'!$B$20:$Y$20)*(1-实盘持仓初始配置!$Z$6)^(('实盘净值数据(iFinD）'!$A801-'实盘净值数据(iFinD）'!$A$7)/365))</f>
        <v/>
      </c>
      <c r="I801" s="16" t="str">
        <f t="shared" si="74"/>
        <v/>
      </c>
      <c r="J801" s="16" t="str">
        <f>IF(H801="","",H801/MAX(H$5:H801)-1)</f>
        <v/>
      </c>
      <c r="K801" s="13" t="str">
        <f>IF(OR('实盘净值数据(iFinD）'!$A801="",'实盘净值数据(iFinD）'!$B801="",'实盘净值数据(iFinD）'!$Z801="",'实盘净值数据(iFinD）'!$AA801=""),"",分期持仓明细!$AB$23*(SUMPRODUCT(分期持仓明细!$B$23:$Y$23,'实盘净值数据(iFinD）'!$B801:$Y801/'实盘净值数据(iFinD）'!$B$65:$Y$65)+SUMPRODUCT(分期持仓明细!$AC$23:$AD$23,'实盘净值数据(iFinD）'!$Z801:$AA801/'实盘净值数据(iFinD）'!$Z$65:$AA$65))*(1-实盘持仓初始配置!$Z$7)^(('实盘净值数据(iFinD）'!$A801-'实盘净值数据(iFinD）'!$A$8)/365))</f>
        <v/>
      </c>
      <c r="L801" s="16" t="str">
        <f t="shared" si="75"/>
        <v/>
      </c>
      <c r="M801" s="16" t="str">
        <f>IF(K801="","",K801/MAX(K$5:K801)-1)</f>
        <v/>
      </c>
      <c r="N801" s="13" t="str">
        <f>IF(OR('实盘净值数据(iFinD）'!$A801="",'实盘净值数据(iFinD）'!$B801="",'实盘净值数据(iFinD）'!$Z801="",'实盘净值数据(iFinD）'!$AA801=""),"",分期持仓明细!$AB$24*(SUMPRODUCT(分期持仓明细!$B$24:$Y$24,'实盘净值数据(iFinD）'!$B801:$Y801/'实盘净值数据(iFinD）'!$B$65:$Y$65)+SUMPRODUCT(分期持仓明细!$AC$24:$AD$24,'实盘净值数据(iFinD）'!$Z801:$AA801/'实盘净值数据(iFinD）'!$Z$65:$AA$65))*(1-实盘持仓初始配置!$Z$8)^(('实盘净值数据(iFinD）'!$A801-'实盘净值数据(iFinD）'!$A$5)/365))</f>
        <v/>
      </c>
      <c r="O801" s="16" t="str">
        <f t="shared" si="76"/>
        <v/>
      </c>
      <c r="P801" s="16" t="str">
        <f>IF(N801="","",N801/MAX(N$5:N801)-1)</f>
        <v/>
      </c>
      <c r="Q801" s="13" t="str">
        <f>IF(OR('实盘净值数据(iFinD）'!$A801="",'实盘净值数据(iFinD）'!$B801="",'实盘净值数据(iFinD）'!$Z801="",'实盘净值数据(iFinD）'!$AA801=""),"",分期持仓明细!$AB$25*(SUMPRODUCT(分期持仓明细!$B$25:$Y$25,'实盘净值数据(iFinD）'!$B801:$Y801/'实盘净值数据(iFinD）'!$B$65:$Y$65)+SUMPRODUCT(分期持仓明细!$AC$25:$AD$25,'实盘净值数据(iFinD）'!$Z801:$AA801/'实盘净值数据(iFinD）'!$Z$65:$AA$65))*(1-实盘持仓初始配置!$Z$9)^(('实盘净值数据(iFinD）'!$A801-'实盘净值数据(iFinD）'!$A$8)/365))</f>
        <v/>
      </c>
      <c r="R801" s="16" t="str">
        <f t="shared" si="77"/>
        <v/>
      </c>
      <c r="S801" s="16" t="str">
        <f>IF(Q801="","",Q801/MAX(Q$5:Q801)-1)</f>
        <v/>
      </c>
      <c r="T801" s="13">
        <f>IF(OR('实盘净值数据(iFinD）'!$A801="",'实盘净值数据(iFinD）'!$B801="",'实盘净值数据(iFinD）'!$Z801="",'实盘净值数据(iFinD）'!$AA801="",'实盘净值数据(iFinD）'!$AB801="",'实盘净值数据(iFinD）'!$AL801=""),"",(SUMPRODUCT(分期持仓明细!$B$26:$Y$26,'实盘净值数据(iFinD）'!$B801:$Y801/'实盘净值数据(iFinD）'!$B$69:$Y$69)+SUMPRODUCT(分期持仓明细!$AC$26:$AD$26,'实盘净值数据(iFinD）'!$Z801:$AA801/'实盘净值数据(iFinD）'!$Z$69:$AA$69)+SUMPRODUCT(分期持仓明细!$AE$26:$AO$26,'实盘净值数据(iFinD）'!$AB801:$AL801/'实盘净值数据(iFinD）'!$AB$69:$AL$69))*(1-实盘持仓初始配置!$Z$10)^(('实盘净值数据(iFinD）'!$A801-'实盘净值数据(iFinD）'!$A$69)/365))</f>
        <v/>
      </c>
      <c r="U801" s="16">
        <f>IF(OR(T800="",T801=""),"",T801/T800-1)</f>
        <v/>
      </c>
      <c r="V801" s="16">
        <f>IF(T801="","",T801/MAX(T$5:T801)-1)</f>
        <v/>
      </c>
    </row>
    <row r="802" spans="1:19">
      <c r="A802" s="15" t="str">
        <f>IF('实盘净值数据(iFinD）'!A802="","",'实盘净值数据(iFinD）'!A802)</f>
        <v/>
      </c>
      <c r="B802" s="13" t="str">
        <f>IF(OR('实盘净值数据(iFinD）'!$A802="",'实盘净值数据(iFinD）'!$B802=""),"",分期持仓明细!$AB$17*SUMPRODUCT(分期持仓明细!$B$17:$Y$17,'实盘净值数据(iFinD）'!$B802:$Y802/'实盘净值数据(iFinD）'!$B$20:$Y$20)*(1-实盘持仓初始配置!$Z$4)^(('实盘净值数据(iFinD）'!$A802-'实盘净值数据(iFinD）'!$A$6)/365))</f>
        <v/>
      </c>
      <c r="C802" s="16" t="str">
        <f t="shared" si="72"/>
        <v/>
      </c>
      <c r="D802" s="16" t="str">
        <f>IF(B802="","",B802/MAX(B$5:B802)-1)</f>
        <v/>
      </c>
      <c r="E802" s="13" t="str">
        <f>IF(OR('实盘净值数据(iFinD）'!$A802="",'实盘净值数据(iFinD）'!$B802=""),"",分期持仓明细!$AB$18*SUMPRODUCT(分期持仓明细!$B$18:$Y$18,'实盘净值数据(iFinD）'!$B802:$Y802/'实盘净值数据(iFinD）'!$B$20:$Y$20)*(1-实盘持仓初始配置!$Z$5)^(('实盘净值数据(iFinD）'!$A802-'实盘净值数据(iFinD）'!$A$5)/365))</f>
        <v/>
      </c>
      <c r="F802" s="16" t="str">
        <f t="shared" si="73"/>
        <v/>
      </c>
      <c r="G802" s="16" t="str">
        <f>IF(E802="","",E802/MAX(E$5:E802)-1)</f>
        <v/>
      </c>
      <c r="H802" s="13" t="str">
        <f>IF(OR('实盘净值数据(iFinD）'!$A802="",'实盘净值数据(iFinD）'!$B802=""),"",分期持仓明细!$AB$19*SUMPRODUCT(分期持仓明细!$B$19:$Y$19,'实盘净值数据(iFinD）'!$B802:$Y802/'实盘净值数据(iFinD）'!$B$20:$Y$20)*(1-实盘持仓初始配置!$Z$6)^(('实盘净值数据(iFinD）'!$A802-'实盘净值数据(iFinD）'!$A$7)/365))</f>
        <v/>
      </c>
      <c r="I802" s="16" t="str">
        <f t="shared" si="74"/>
        <v/>
      </c>
      <c r="J802" s="16" t="str">
        <f>IF(H802="","",H802/MAX(H$5:H802)-1)</f>
        <v/>
      </c>
      <c r="K802" s="13" t="str">
        <f>IF(OR('实盘净值数据(iFinD）'!$A802="",'实盘净值数据(iFinD）'!$B802="",'实盘净值数据(iFinD）'!$Z802="",'实盘净值数据(iFinD）'!$AA802=""),"",分期持仓明细!$AB$23*(SUMPRODUCT(分期持仓明细!$B$23:$Y$23,'实盘净值数据(iFinD）'!$B802:$Y802/'实盘净值数据(iFinD）'!$B$65:$Y$65)+SUMPRODUCT(分期持仓明细!$AC$23:$AD$23,'实盘净值数据(iFinD）'!$Z802:$AA802/'实盘净值数据(iFinD）'!$Z$65:$AA$65))*(1-实盘持仓初始配置!$Z$7)^(('实盘净值数据(iFinD）'!$A802-'实盘净值数据(iFinD）'!$A$8)/365))</f>
        <v/>
      </c>
      <c r="L802" s="16" t="str">
        <f t="shared" si="75"/>
        <v/>
      </c>
      <c r="M802" s="16" t="str">
        <f>IF(K802="","",K802/MAX(K$5:K802)-1)</f>
        <v/>
      </c>
      <c r="N802" s="13" t="str">
        <f>IF(OR('实盘净值数据(iFinD）'!$A802="",'实盘净值数据(iFinD）'!$B802="",'实盘净值数据(iFinD）'!$Z802="",'实盘净值数据(iFinD）'!$AA802=""),"",分期持仓明细!$AB$24*(SUMPRODUCT(分期持仓明细!$B$24:$Y$24,'实盘净值数据(iFinD）'!$B802:$Y802/'实盘净值数据(iFinD）'!$B$65:$Y$65)+SUMPRODUCT(分期持仓明细!$AC$24:$AD$24,'实盘净值数据(iFinD）'!$Z802:$AA802/'实盘净值数据(iFinD）'!$Z$65:$AA$65))*(1-实盘持仓初始配置!$Z$8)^(('实盘净值数据(iFinD）'!$A802-'实盘净值数据(iFinD）'!$A$5)/365))</f>
        <v/>
      </c>
      <c r="O802" s="16" t="str">
        <f t="shared" si="76"/>
        <v/>
      </c>
      <c r="P802" s="16" t="str">
        <f>IF(N802="","",N802/MAX(N$5:N802)-1)</f>
        <v/>
      </c>
      <c r="Q802" s="13" t="str">
        <f>IF(OR('实盘净值数据(iFinD）'!$A802="",'实盘净值数据(iFinD）'!$B802="",'实盘净值数据(iFinD）'!$Z802="",'实盘净值数据(iFinD）'!$AA802=""),"",分期持仓明细!$AB$25*(SUMPRODUCT(分期持仓明细!$B$25:$Y$25,'实盘净值数据(iFinD）'!$B802:$Y802/'实盘净值数据(iFinD）'!$B$65:$Y$65)+SUMPRODUCT(分期持仓明细!$AC$25:$AD$25,'实盘净值数据(iFinD）'!$Z802:$AA802/'实盘净值数据(iFinD）'!$Z$65:$AA$65))*(1-实盘持仓初始配置!$Z$9)^(('实盘净值数据(iFinD）'!$A802-'实盘净值数据(iFinD）'!$A$8)/365))</f>
        <v/>
      </c>
      <c r="R802" s="16" t="str">
        <f t="shared" si="77"/>
        <v/>
      </c>
      <c r="S802" s="16" t="str">
        <f>IF(Q802="","",Q802/MAX(Q$5:Q802)-1)</f>
        <v/>
      </c>
      <c r="T802" s="13">
        <f>IF(OR('实盘净值数据(iFinD）'!$A802="",'实盘净值数据(iFinD）'!$B802="",'实盘净值数据(iFinD）'!$Z802="",'实盘净值数据(iFinD）'!$AA802="",'实盘净值数据(iFinD）'!$AB802="",'实盘净值数据(iFinD）'!$AL802=""),"",(SUMPRODUCT(分期持仓明细!$B$26:$Y$26,'实盘净值数据(iFinD）'!$B802:$Y802/'实盘净值数据(iFinD）'!$B$69:$Y$69)+SUMPRODUCT(分期持仓明细!$AC$26:$AD$26,'实盘净值数据(iFinD）'!$Z802:$AA802/'实盘净值数据(iFinD）'!$Z$69:$AA$69)+SUMPRODUCT(分期持仓明细!$AE$26:$AO$26,'实盘净值数据(iFinD）'!$AB802:$AL802/'实盘净值数据(iFinD）'!$AB$69:$AL$69))*(1-实盘持仓初始配置!$Z$10)^(('实盘净值数据(iFinD）'!$A802-'实盘净值数据(iFinD）'!$A$69)/365))</f>
        <v/>
      </c>
      <c r="U802" s="16">
        <f>IF(OR(T801="",T802=""),"",T802/T801-1)</f>
        <v/>
      </c>
      <c r="V802" s="16">
        <f>IF(T802="","",T802/MAX(T$5:T802)-1)</f>
        <v/>
      </c>
    </row>
    <row r="803" spans="1:19">
      <c r="A803" s="15" t="str">
        <f>IF('实盘净值数据(iFinD）'!A803="","",'实盘净值数据(iFinD）'!A803)</f>
        <v/>
      </c>
      <c r="B803" s="13" t="str">
        <f>IF(OR('实盘净值数据(iFinD）'!$A803="",'实盘净值数据(iFinD）'!$B803=""),"",分期持仓明细!$AB$17*SUMPRODUCT(分期持仓明细!$B$17:$Y$17,'实盘净值数据(iFinD）'!$B803:$Y803/'实盘净值数据(iFinD）'!$B$20:$Y$20)*(1-实盘持仓初始配置!$Z$4)^(('实盘净值数据(iFinD）'!$A803-'实盘净值数据(iFinD）'!$A$6)/365))</f>
        <v/>
      </c>
      <c r="C803" s="16" t="str">
        <f t="shared" si="72"/>
        <v/>
      </c>
      <c r="D803" s="16" t="str">
        <f>IF(B803="","",B803/MAX(B$5:B803)-1)</f>
        <v/>
      </c>
      <c r="E803" s="13" t="str">
        <f>IF(OR('实盘净值数据(iFinD）'!$A803="",'实盘净值数据(iFinD）'!$B803=""),"",分期持仓明细!$AB$18*SUMPRODUCT(分期持仓明细!$B$18:$Y$18,'实盘净值数据(iFinD）'!$B803:$Y803/'实盘净值数据(iFinD）'!$B$20:$Y$20)*(1-实盘持仓初始配置!$Z$5)^(('实盘净值数据(iFinD）'!$A803-'实盘净值数据(iFinD）'!$A$5)/365))</f>
        <v/>
      </c>
      <c r="F803" s="16" t="str">
        <f t="shared" si="73"/>
        <v/>
      </c>
      <c r="G803" s="16" t="str">
        <f>IF(E803="","",E803/MAX(E$5:E803)-1)</f>
        <v/>
      </c>
      <c r="H803" s="13" t="str">
        <f>IF(OR('实盘净值数据(iFinD）'!$A803="",'实盘净值数据(iFinD）'!$B803=""),"",分期持仓明细!$AB$19*SUMPRODUCT(分期持仓明细!$B$19:$Y$19,'实盘净值数据(iFinD）'!$B803:$Y803/'实盘净值数据(iFinD）'!$B$20:$Y$20)*(1-实盘持仓初始配置!$Z$6)^(('实盘净值数据(iFinD）'!$A803-'实盘净值数据(iFinD）'!$A$7)/365))</f>
        <v/>
      </c>
      <c r="I803" s="16" t="str">
        <f t="shared" si="74"/>
        <v/>
      </c>
      <c r="J803" s="16" t="str">
        <f>IF(H803="","",H803/MAX(H$5:H803)-1)</f>
        <v/>
      </c>
      <c r="K803" s="13" t="str">
        <f>IF(OR('实盘净值数据(iFinD）'!$A803="",'实盘净值数据(iFinD）'!$B803="",'实盘净值数据(iFinD）'!$Z803="",'实盘净值数据(iFinD）'!$AA803=""),"",分期持仓明细!$AB$23*(SUMPRODUCT(分期持仓明细!$B$23:$Y$23,'实盘净值数据(iFinD）'!$B803:$Y803/'实盘净值数据(iFinD）'!$B$65:$Y$65)+SUMPRODUCT(分期持仓明细!$AC$23:$AD$23,'实盘净值数据(iFinD）'!$Z803:$AA803/'实盘净值数据(iFinD）'!$Z$65:$AA$65))*(1-实盘持仓初始配置!$Z$7)^(('实盘净值数据(iFinD）'!$A803-'实盘净值数据(iFinD）'!$A$8)/365))</f>
        <v/>
      </c>
      <c r="L803" s="16" t="str">
        <f t="shared" si="75"/>
        <v/>
      </c>
      <c r="M803" s="16" t="str">
        <f>IF(K803="","",K803/MAX(K$5:K803)-1)</f>
        <v/>
      </c>
      <c r="N803" s="13" t="str">
        <f>IF(OR('实盘净值数据(iFinD）'!$A803="",'实盘净值数据(iFinD）'!$B803="",'实盘净值数据(iFinD）'!$Z803="",'实盘净值数据(iFinD）'!$AA803=""),"",分期持仓明细!$AB$24*(SUMPRODUCT(分期持仓明细!$B$24:$Y$24,'实盘净值数据(iFinD）'!$B803:$Y803/'实盘净值数据(iFinD）'!$B$65:$Y$65)+SUMPRODUCT(分期持仓明细!$AC$24:$AD$24,'实盘净值数据(iFinD）'!$Z803:$AA803/'实盘净值数据(iFinD）'!$Z$65:$AA$65))*(1-实盘持仓初始配置!$Z$8)^(('实盘净值数据(iFinD）'!$A803-'实盘净值数据(iFinD）'!$A$5)/365))</f>
        <v/>
      </c>
      <c r="O803" s="16" t="str">
        <f t="shared" si="76"/>
        <v/>
      </c>
      <c r="P803" s="16" t="str">
        <f>IF(N803="","",N803/MAX(N$5:N803)-1)</f>
        <v/>
      </c>
      <c r="Q803" s="13" t="str">
        <f>IF(OR('实盘净值数据(iFinD）'!$A803="",'实盘净值数据(iFinD）'!$B803="",'实盘净值数据(iFinD）'!$Z803="",'实盘净值数据(iFinD）'!$AA803=""),"",分期持仓明细!$AB$25*(SUMPRODUCT(分期持仓明细!$B$25:$Y$25,'实盘净值数据(iFinD）'!$B803:$Y803/'实盘净值数据(iFinD）'!$B$65:$Y$65)+SUMPRODUCT(分期持仓明细!$AC$25:$AD$25,'实盘净值数据(iFinD）'!$Z803:$AA803/'实盘净值数据(iFinD）'!$Z$65:$AA$65))*(1-实盘持仓初始配置!$Z$9)^(('实盘净值数据(iFinD）'!$A803-'实盘净值数据(iFinD）'!$A$8)/365))</f>
        <v/>
      </c>
      <c r="R803" s="16" t="str">
        <f t="shared" si="77"/>
        <v/>
      </c>
      <c r="S803" s="16" t="str">
        <f>IF(Q803="","",Q803/MAX(Q$5:Q803)-1)</f>
        <v/>
      </c>
      <c r="T803" s="13">
        <f>IF(OR('实盘净值数据(iFinD）'!$A803="",'实盘净值数据(iFinD）'!$B803="",'实盘净值数据(iFinD）'!$Z803="",'实盘净值数据(iFinD）'!$AA803="",'实盘净值数据(iFinD）'!$AB803="",'实盘净值数据(iFinD）'!$AL803=""),"",(SUMPRODUCT(分期持仓明细!$B$26:$Y$26,'实盘净值数据(iFinD）'!$B803:$Y803/'实盘净值数据(iFinD）'!$B$69:$Y$69)+SUMPRODUCT(分期持仓明细!$AC$26:$AD$26,'实盘净值数据(iFinD）'!$Z803:$AA803/'实盘净值数据(iFinD）'!$Z$69:$AA$69)+SUMPRODUCT(分期持仓明细!$AE$26:$AO$26,'实盘净值数据(iFinD）'!$AB803:$AL803/'实盘净值数据(iFinD）'!$AB$69:$AL$69))*(1-实盘持仓初始配置!$Z$10)^(('实盘净值数据(iFinD）'!$A803-'实盘净值数据(iFinD）'!$A$69)/365))</f>
        <v/>
      </c>
      <c r="U803" s="16">
        <f>IF(OR(T802="",T803=""),"",T803/T802-1)</f>
        <v/>
      </c>
      <c r="V803" s="16">
        <f>IF(T803="","",T803/MAX(T$5:T803)-1)</f>
        <v/>
      </c>
    </row>
    <row r="804" spans="1:19">
      <c r="A804" s="15" t="str">
        <f>IF('实盘净值数据(iFinD）'!A804="","",'实盘净值数据(iFinD）'!A804)</f>
        <v/>
      </c>
      <c r="B804" s="13" t="str">
        <f>IF(OR('实盘净值数据(iFinD）'!$A804="",'实盘净值数据(iFinD）'!$B804=""),"",分期持仓明细!$AB$17*SUMPRODUCT(分期持仓明细!$B$17:$Y$17,'实盘净值数据(iFinD）'!$B804:$Y804/'实盘净值数据(iFinD）'!$B$20:$Y$20)*(1-实盘持仓初始配置!$Z$4)^(('实盘净值数据(iFinD）'!$A804-'实盘净值数据(iFinD）'!$A$6)/365))</f>
        <v/>
      </c>
      <c r="C804" s="16" t="str">
        <f t="shared" si="72"/>
        <v/>
      </c>
      <c r="D804" s="16" t="str">
        <f>IF(B804="","",B804/MAX(B$5:B804)-1)</f>
        <v/>
      </c>
      <c r="E804" s="13" t="str">
        <f>IF(OR('实盘净值数据(iFinD）'!$A804="",'实盘净值数据(iFinD）'!$B804=""),"",分期持仓明细!$AB$18*SUMPRODUCT(分期持仓明细!$B$18:$Y$18,'实盘净值数据(iFinD）'!$B804:$Y804/'实盘净值数据(iFinD）'!$B$20:$Y$20)*(1-实盘持仓初始配置!$Z$5)^(('实盘净值数据(iFinD）'!$A804-'实盘净值数据(iFinD）'!$A$5)/365))</f>
        <v/>
      </c>
      <c r="F804" s="16" t="str">
        <f t="shared" si="73"/>
        <v/>
      </c>
      <c r="G804" s="16" t="str">
        <f>IF(E804="","",E804/MAX(E$5:E804)-1)</f>
        <v/>
      </c>
      <c r="H804" s="13" t="str">
        <f>IF(OR('实盘净值数据(iFinD）'!$A804="",'实盘净值数据(iFinD）'!$B804=""),"",分期持仓明细!$AB$19*SUMPRODUCT(分期持仓明细!$B$19:$Y$19,'实盘净值数据(iFinD）'!$B804:$Y804/'实盘净值数据(iFinD）'!$B$20:$Y$20)*(1-实盘持仓初始配置!$Z$6)^(('实盘净值数据(iFinD）'!$A804-'实盘净值数据(iFinD）'!$A$7)/365))</f>
        <v/>
      </c>
      <c r="I804" s="16" t="str">
        <f t="shared" si="74"/>
        <v/>
      </c>
      <c r="J804" s="16" t="str">
        <f>IF(H804="","",H804/MAX(H$5:H804)-1)</f>
        <v/>
      </c>
      <c r="K804" s="13" t="str">
        <f>IF(OR('实盘净值数据(iFinD）'!$A804="",'实盘净值数据(iFinD）'!$B804="",'实盘净值数据(iFinD）'!$Z804="",'实盘净值数据(iFinD）'!$AA804=""),"",分期持仓明细!$AB$23*(SUMPRODUCT(分期持仓明细!$B$23:$Y$23,'实盘净值数据(iFinD）'!$B804:$Y804/'实盘净值数据(iFinD）'!$B$65:$Y$65)+SUMPRODUCT(分期持仓明细!$AC$23:$AD$23,'实盘净值数据(iFinD）'!$Z804:$AA804/'实盘净值数据(iFinD）'!$Z$65:$AA$65))*(1-实盘持仓初始配置!$Z$7)^(('实盘净值数据(iFinD）'!$A804-'实盘净值数据(iFinD）'!$A$8)/365))</f>
        <v/>
      </c>
      <c r="L804" s="16" t="str">
        <f t="shared" si="75"/>
        <v/>
      </c>
      <c r="M804" s="16" t="str">
        <f>IF(K804="","",K804/MAX(K$5:K804)-1)</f>
        <v/>
      </c>
      <c r="N804" s="13" t="str">
        <f>IF(OR('实盘净值数据(iFinD）'!$A804="",'实盘净值数据(iFinD）'!$B804="",'实盘净值数据(iFinD）'!$Z804="",'实盘净值数据(iFinD）'!$AA804=""),"",分期持仓明细!$AB$24*(SUMPRODUCT(分期持仓明细!$B$24:$Y$24,'实盘净值数据(iFinD）'!$B804:$Y804/'实盘净值数据(iFinD）'!$B$65:$Y$65)+SUMPRODUCT(分期持仓明细!$AC$24:$AD$24,'实盘净值数据(iFinD）'!$Z804:$AA804/'实盘净值数据(iFinD）'!$Z$65:$AA$65))*(1-实盘持仓初始配置!$Z$8)^(('实盘净值数据(iFinD）'!$A804-'实盘净值数据(iFinD）'!$A$5)/365))</f>
        <v/>
      </c>
      <c r="O804" s="16" t="str">
        <f t="shared" si="76"/>
        <v/>
      </c>
      <c r="P804" s="16" t="str">
        <f>IF(N804="","",N804/MAX(N$5:N804)-1)</f>
        <v/>
      </c>
      <c r="Q804" s="13" t="str">
        <f>IF(OR('实盘净值数据(iFinD）'!$A804="",'实盘净值数据(iFinD）'!$B804="",'实盘净值数据(iFinD）'!$Z804="",'实盘净值数据(iFinD）'!$AA804=""),"",分期持仓明细!$AB$25*(SUMPRODUCT(分期持仓明细!$B$25:$Y$25,'实盘净值数据(iFinD）'!$B804:$Y804/'实盘净值数据(iFinD）'!$B$65:$Y$65)+SUMPRODUCT(分期持仓明细!$AC$25:$AD$25,'实盘净值数据(iFinD）'!$Z804:$AA804/'实盘净值数据(iFinD）'!$Z$65:$AA$65))*(1-实盘持仓初始配置!$Z$9)^(('实盘净值数据(iFinD）'!$A804-'实盘净值数据(iFinD）'!$A$8)/365))</f>
        <v/>
      </c>
      <c r="R804" s="16" t="str">
        <f t="shared" si="77"/>
        <v/>
      </c>
      <c r="S804" s="16" t="str">
        <f>IF(Q804="","",Q804/MAX(Q$5:Q804)-1)</f>
        <v/>
      </c>
      <c r="T804" s="13">
        <f>IF(OR('实盘净值数据(iFinD）'!$A804="",'实盘净值数据(iFinD）'!$B804="",'实盘净值数据(iFinD）'!$Z804="",'实盘净值数据(iFinD）'!$AA804="",'实盘净值数据(iFinD）'!$AB804="",'实盘净值数据(iFinD）'!$AL804=""),"",(SUMPRODUCT(分期持仓明细!$B$26:$Y$26,'实盘净值数据(iFinD）'!$B804:$Y804/'实盘净值数据(iFinD）'!$B$69:$Y$69)+SUMPRODUCT(分期持仓明细!$AC$26:$AD$26,'实盘净值数据(iFinD）'!$Z804:$AA804/'实盘净值数据(iFinD）'!$Z$69:$AA$69)+SUMPRODUCT(分期持仓明细!$AE$26:$AO$26,'实盘净值数据(iFinD）'!$AB804:$AL804/'实盘净值数据(iFinD）'!$AB$69:$AL$69))*(1-实盘持仓初始配置!$Z$10)^(('实盘净值数据(iFinD）'!$A804-'实盘净值数据(iFinD）'!$A$69)/365))</f>
        <v/>
      </c>
      <c r="U804" s="16">
        <f>IF(OR(T803="",T804=""),"",T804/T803-1)</f>
        <v/>
      </c>
      <c r="V804" s="16">
        <f>IF(T804="","",T804/MAX(T$5:T804)-1)</f>
        <v/>
      </c>
    </row>
    <row r="805" spans="1:19">
      <c r="A805" s="15" t="str">
        <f>IF('实盘净值数据(iFinD）'!A805="","",'实盘净值数据(iFinD）'!A805)</f>
        <v/>
      </c>
      <c r="B805" s="13" t="str">
        <f>IF(OR('实盘净值数据(iFinD）'!$A805="",'实盘净值数据(iFinD）'!$B805=""),"",分期持仓明细!$AB$17*SUMPRODUCT(分期持仓明细!$B$17:$Y$17,'实盘净值数据(iFinD）'!$B805:$Y805/'实盘净值数据(iFinD）'!$B$20:$Y$20)*(1-实盘持仓初始配置!$Z$4)^(('实盘净值数据(iFinD）'!$A805-'实盘净值数据(iFinD）'!$A$6)/365))</f>
        <v/>
      </c>
      <c r="C805" s="16" t="str">
        <f t="shared" si="72"/>
        <v/>
      </c>
      <c r="D805" s="16" t="str">
        <f>IF(B805="","",B805/MAX(B$5:B805)-1)</f>
        <v/>
      </c>
      <c r="E805" s="13" t="str">
        <f>IF(OR('实盘净值数据(iFinD）'!$A805="",'实盘净值数据(iFinD）'!$B805=""),"",分期持仓明细!$AB$18*SUMPRODUCT(分期持仓明细!$B$18:$Y$18,'实盘净值数据(iFinD）'!$B805:$Y805/'实盘净值数据(iFinD）'!$B$20:$Y$20)*(1-实盘持仓初始配置!$Z$5)^(('实盘净值数据(iFinD）'!$A805-'实盘净值数据(iFinD）'!$A$5)/365))</f>
        <v/>
      </c>
      <c r="F805" s="16" t="str">
        <f t="shared" si="73"/>
        <v/>
      </c>
      <c r="G805" s="16" t="str">
        <f>IF(E805="","",E805/MAX(E$5:E805)-1)</f>
        <v/>
      </c>
      <c r="H805" s="13" t="str">
        <f>IF(OR('实盘净值数据(iFinD）'!$A805="",'实盘净值数据(iFinD）'!$B805=""),"",分期持仓明细!$AB$19*SUMPRODUCT(分期持仓明细!$B$19:$Y$19,'实盘净值数据(iFinD）'!$B805:$Y805/'实盘净值数据(iFinD）'!$B$20:$Y$20)*(1-实盘持仓初始配置!$Z$6)^(('实盘净值数据(iFinD）'!$A805-'实盘净值数据(iFinD）'!$A$7)/365))</f>
        <v/>
      </c>
      <c r="I805" s="16" t="str">
        <f t="shared" si="74"/>
        <v/>
      </c>
      <c r="J805" s="16" t="str">
        <f>IF(H805="","",H805/MAX(H$5:H805)-1)</f>
        <v/>
      </c>
      <c r="K805" s="13" t="str">
        <f>IF(OR('实盘净值数据(iFinD）'!$A805="",'实盘净值数据(iFinD）'!$B805="",'实盘净值数据(iFinD）'!$Z805="",'实盘净值数据(iFinD）'!$AA805=""),"",分期持仓明细!$AB$23*(SUMPRODUCT(分期持仓明细!$B$23:$Y$23,'实盘净值数据(iFinD）'!$B805:$Y805/'实盘净值数据(iFinD）'!$B$65:$Y$65)+SUMPRODUCT(分期持仓明细!$AC$23:$AD$23,'实盘净值数据(iFinD）'!$Z805:$AA805/'实盘净值数据(iFinD）'!$Z$65:$AA$65))*(1-实盘持仓初始配置!$Z$7)^(('实盘净值数据(iFinD）'!$A805-'实盘净值数据(iFinD）'!$A$8)/365))</f>
        <v/>
      </c>
      <c r="L805" s="16" t="str">
        <f t="shared" si="75"/>
        <v/>
      </c>
      <c r="M805" s="16" t="str">
        <f>IF(K805="","",K805/MAX(K$5:K805)-1)</f>
        <v/>
      </c>
      <c r="N805" s="13" t="str">
        <f>IF(OR('实盘净值数据(iFinD）'!$A805="",'实盘净值数据(iFinD）'!$B805="",'实盘净值数据(iFinD）'!$Z805="",'实盘净值数据(iFinD）'!$AA805=""),"",分期持仓明细!$AB$24*(SUMPRODUCT(分期持仓明细!$B$24:$Y$24,'实盘净值数据(iFinD）'!$B805:$Y805/'实盘净值数据(iFinD）'!$B$65:$Y$65)+SUMPRODUCT(分期持仓明细!$AC$24:$AD$24,'实盘净值数据(iFinD）'!$Z805:$AA805/'实盘净值数据(iFinD）'!$Z$65:$AA$65))*(1-实盘持仓初始配置!$Z$8)^(('实盘净值数据(iFinD）'!$A805-'实盘净值数据(iFinD）'!$A$5)/365))</f>
        <v/>
      </c>
      <c r="O805" s="16" t="str">
        <f t="shared" si="76"/>
        <v/>
      </c>
      <c r="P805" s="16" t="str">
        <f>IF(N805="","",N805/MAX(N$5:N805)-1)</f>
        <v/>
      </c>
      <c r="Q805" s="13" t="str">
        <f>IF(OR('实盘净值数据(iFinD）'!$A805="",'实盘净值数据(iFinD）'!$B805="",'实盘净值数据(iFinD）'!$Z805="",'实盘净值数据(iFinD）'!$AA805=""),"",分期持仓明细!$AB$25*(SUMPRODUCT(分期持仓明细!$B$25:$Y$25,'实盘净值数据(iFinD）'!$B805:$Y805/'实盘净值数据(iFinD）'!$B$65:$Y$65)+SUMPRODUCT(分期持仓明细!$AC$25:$AD$25,'实盘净值数据(iFinD）'!$Z805:$AA805/'实盘净值数据(iFinD）'!$Z$65:$AA$65))*(1-实盘持仓初始配置!$Z$9)^(('实盘净值数据(iFinD）'!$A805-'实盘净值数据(iFinD）'!$A$8)/365))</f>
        <v/>
      </c>
      <c r="R805" s="16" t="str">
        <f t="shared" si="77"/>
        <v/>
      </c>
      <c r="S805" s="16" t="str">
        <f>IF(Q805="","",Q805/MAX(Q$5:Q805)-1)</f>
        <v/>
      </c>
      <c r="T805" s="13">
        <f>IF(OR('实盘净值数据(iFinD）'!$A805="",'实盘净值数据(iFinD）'!$B805="",'实盘净值数据(iFinD）'!$Z805="",'实盘净值数据(iFinD）'!$AA805="",'实盘净值数据(iFinD）'!$AB805="",'实盘净值数据(iFinD）'!$AL805=""),"",(SUMPRODUCT(分期持仓明细!$B$26:$Y$26,'实盘净值数据(iFinD）'!$B805:$Y805/'实盘净值数据(iFinD）'!$B$69:$Y$69)+SUMPRODUCT(分期持仓明细!$AC$26:$AD$26,'实盘净值数据(iFinD）'!$Z805:$AA805/'实盘净值数据(iFinD）'!$Z$69:$AA$69)+SUMPRODUCT(分期持仓明细!$AE$26:$AO$26,'实盘净值数据(iFinD）'!$AB805:$AL805/'实盘净值数据(iFinD）'!$AB$69:$AL$69))*(1-实盘持仓初始配置!$Z$10)^(('实盘净值数据(iFinD）'!$A805-'实盘净值数据(iFinD）'!$A$69)/365))</f>
        <v/>
      </c>
      <c r="U805" s="16">
        <f>IF(OR(T804="",T805=""),"",T805/T804-1)</f>
        <v/>
      </c>
      <c r="V805" s="16">
        <f>IF(T805="","",T805/MAX(T$5:T805)-1)</f>
        <v/>
      </c>
    </row>
    <row r="806" spans="1:19">
      <c r="A806" s="15" t="str">
        <f>IF('实盘净值数据(iFinD）'!A806="","",'实盘净值数据(iFinD）'!A806)</f>
        <v/>
      </c>
      <c r="B806" s="13" t="str">
        <f>IF(OR('实盘净值数据(iFinD）'!$A806="",'实盘净值数据(iFinD）'!$B806=""),"",分期持仓明细!$AB$17*SUMPRODUCT(分期持仓明细!$B$17:$Y$17,'实盘净值数据(iFinD）'!$B806:$Y806/'实盘净值数据(iFinD）'!$B$20:$Y$20)*(1-实盘持仓初始配置!$Z$4)^(('实盘净值数据(iFinD）'!$A806-'实盘净值数据(iFinD）'!$A$6)/365))</f>
        <v/>
      </c>
      <c r="C806" s="16" t="str">
        <f t="shared" si="72"/>
        <v/>
      </c>
      <c r="D806" s="16" t="str">
        <f>IF(B806="","",B806/MAX(B$5:B806)-1)</f>
        <v/>
      </c>
      <c r="E806" s="13" t="str">
        <f>IF(OR('实盘净值数据(iFinD）'!$A806="",'实盘净值数据(iFinD）'!$B806=""),"",分期持仓明细!$AB$18*SUMPRODUCT(分期持仓明细!$B$18:$Y$18,'实盘净值数据(iFinD）'!$B806:$Y806/'实盘净值数据(iFinD）'!$B$20:$Y$20)*(1-实盘持仓初始配置!$Z$5)^(('实盘净值数据(iFinD）'!$A806-'实盘净值数据(iFinD）'!$A$5)/365))</f>
        <v/>
      </c>
      <c r="F806" s="16" t="str">
        <f t="shared" si="73"/>
        <v/>
      </c>
      <c r="G806" s="16" t="str">
        <f>IF(E806="","",E806/MAX(E$5:E806)-1)</f>
        <v/>
      </c>
      <c r="H806" s="13" t="str">
        <f>IF(OR('实盘净值数据(iFinD）'!$A806="",'实盘净值数据(iFinD）'!$B806=""),"",分期持仓明细!$AB$19*SUMPRODUCT(分期持仓明细!$B$19:$Y$19,'实盘净值数据(iFinD）'!$B806:$Y806/'实盘净值数据(iFinD）'!$B$20:$Y$20)*(1-实盘持仓初始配置!$Z$6)^(('实盘净值数据(iFinD）'!$A806-'实盘净值数据(iFinD）'!$A$7)/365))</f>
        <v/>
      </c>
      <c r="I806" s="16" t="str">
        <f t="shared" si="74"/>
        <v/>
      </c>
      <c r="J806" s="16" t="str">
        <f>IF(H806="","",H806/MAX(H$5:H806)-1)</f>
        <v/>
      </c>
      <c r="K806" s="13" t="str">
        <f>IF(OR('实盘净值数据(iFinD）'!$A806="",'实盘净值数据(iFinD）'!$B806="",'实盘净值数据(iFinD）'!$Z806="",'实盘净值数据(iFinD）'!$AA806=""),"",分期持仓明细!$AB$23*(SUMPRODUCT(分期持仓明细!$B$23:$Y$23,'实盘净值数据(iFinD）'!$B806:$Y806/'实盘净值数据(iFinD）'!$B$65:$Y$65)+SUMPRODUCT(分期持仓明细!$AC$23:$AD$23,'实盘净值数据(iFinD）'!$Z806:$AA806/'实盘净值数据(iFinD）'!$Z$65:$AA$65))*(1-实盘持仓初始配置!$Z$7)^(('实盘净值数据(iFinD）'!$A806-'实盘净值数据(iFinD）'!$A$8)/365))</f>
        <v/>
      </c>
      <c r="L806" s="16" t="str">
        <f t="shared" si="75"/>
        <v/>
      </c>
      <c r="M806" s="16" t="str">
        <f>IF(K806="","",K806/MAX(K$5:K806)-1)</f>
        <v/>
      </c>
      <c r="N806" s="13" t="str">
        <f>IF(OR('实盘净值数据(iFinD）'!$A806="",'实盘净值数据(iFinD）'!$B806="",'实盘净值数据(iFinD）'!$Z806="",'实盘净值数据(iFinD）'!$AA806=""),"",分期持仓明细!$AB$24*(SUMPRODUCT(分期持仓明细!$B$24:$Y$24,'实盘净值数据(iFinD）'!$B806:$Y806/'实盘净值数据(iFinD）'!$B$65:$Y$65)+SUMPRODUCT(分期持仓明细!$AC$24:$AD$24,'实盘净值数据(iFinD）'!$Z806:$AA806/'实盘净值数据(iFinD）'!$Z$65:$AA$65))*(1-实盘持仓初始配置!$Z$8)^(('实盘净值数据(iFinD）'!$A806-'实盘净值数据(iFinD）'!$A$5)/365))</f>
        <v/>
      </c>
      <c r="O806" s="16" t="str">
        <f t="shared" si="76"/>
        <v/>
      </c>
      <c r="P806" s="16" t="str">
        <f>IF(N806="","",N806/MAX(N$5:N806)-1)</f>
        <v/>
      </c>
      <c r="Q806" s="13" t="str">
        <f>IF(OR('实盘净值数据(iFinD）'!$A806="",'实盘净值数据(iFinD）'!$B806="",'实盘净值数据(iFinD）'!$Z806="",'实盘净值数据(iFinD）'!$AA806=""),"",分期持仓明细!$AB$25*(SUMPRODUCT(分期持仓明细!$B$25:$Y$25,'实盘净值数据(iFinD）'!$B806:$Y806/'实盘净值数据(iFinD）'!$B$65:$Y$65)+SUMPRODUCT(分期持仓明细!$AC$25:$AD$25,'实盘净值数据(iFinD）'!$Z806:$AA806/'实盘净值数据(iFinD）'!$Z$65:$AA$65))*(1-实盘持仓初始配置!$Z$9)^(('实盘净值数据(iFinD）'!$A806-'实盘净值数据(iFinD）'!$A$8)/365))</f>
        <v/>
      </c>
      <c r="R806" s="16" t="str">
        <f t="shared" si="77"/>
        <v/>
      </c>
      <c r="S806" s="16" t="str">
        <f>IF(Q806="","",Q806/MAX(Q$5:Q806)-1)</f>
        <v/>
      </c>
      <c r="T806" s="13">
        <f>IF(OR('实盘净值数据(iFinD）'!$A806="",'实盘净值数据(iFinD）'!$B806="",'实盘净值数据(iFinD）'!$Z806="",'实盘净值数据(iFinD）'!$AA806="",'实盘净值数据(iFinD）'!$AB806="",'实盘净值数据(iFinD）'!$AL806=""),"",(SUMPRODUCT(分期持仓明细!$B$26:$Y$26,'实盘净值数据(iFinD）'!$B806:$Y806/'实盘净值数据(iFinD）'!$B$69:$Y$69)+SUMPRODUCT(分期持仓明细!$AC$26:$AD$26,'实盘净值数据(iFinD）'!$Z806:$AA806/'实盘净值数据(iFinD）'!$Z$69:$AA$69)+SUMPRODUCT(分期持仓明细!$AE$26:$AO$26,'实盘净值数据(iFinD）'!$AB806:$AL806/'实盘净值数据(iFinD）'!$AB$69:$AL$69))*(1-实盘持仓初始配置!$Z$10)^(('实盘净值数据(iFinD）'!$A806-'实盘净值数据(iFinD）'!$A$69)/365))</f>
        <v/>
      </c>
      <c r="U806" s="16">
        <f>IF(OR(T805="",T806=""),"",T806/T805-1)</f>
        <v/>
      </c>
      <c r="V806" s="16">
        <f>IF(T806="","",T806/MAX(T$5:T806)-1)</f>
        <v/>
      </c>
    </row>
    <row r="807" spans="1:19">
      <c r="A807" s="15" t="str">
        <f>IF('实盘净值数据(iFinD）'!A807="","",'实盘净值数据(iFinD）'!A807)</f>
        <v/>
      </c>
      <c r="B807" s="13" t="str">
        <f>IF(OR('实盘净值数据(iFinD）'!$A807="",'实盘净值数据(iFinD）'!$B807=""),"",分期持仓明细!$AB$17*SUMPRODUCT(分期持仓明细!$B$17:$Y$17,'实盘净值数据(iFinD）'!$B807:$Y807/'实盘净值数据(iFinD）'!$B$20:$Y$20)*(1-实盘持仓初始配置!$Z$4)^(('实盘净值数据(iFinD）'!$A807-'实盘净值数据(iFinD）'!$A$6)/365))</f>
        <v/>
      </c>
      <c r="C807" s="16" t="str">
        <f t="shared" si="72"/>
        <v/>
      </c>
      <c r="D807" s="16" t="str">
        <f>IF(B807="","",B807/MAX(B$5:B807)-1)</f>
        <v/>
      </c>
      <c r="E807" s="13" t="str">
        <f>IF(OR('实盘净值数据(iFinD）'!$A807="",'实盘净值数据(iFinD）'!$B807=""),"",分期持仓明细!$AB$18*SUMPRODUCT(分期持仓明细!$B$18:$Y$18,'实盘净值数据(iFinD）'!$B807:$Y807/'实盘净值数据(iFinD）'!$B$20:$Y$20)*(1-实盘持仓初始配置!$Z$5)^(('实盘净值数据(iFinD）'!$A807-'实盘净值数据(iFinD）'!$A$5)/365))</f>
        <v/>
      </c>
      <c r="F807" s="16" t="str">
        <f t="shared" si="73"/>
        <v/>
      </c>
      <c r="G807" s="16" t="str">
        <f>IF(E807="","",E807/MAX(E$5:E807)-1)</f>
        <v/>
      </c>
      <c r="H807" s="13" t="str">
        <f>IF(OR('实盘净值数据(iFinD）'!$A807="",'实盘净值数据(iFinD）'!$B807=""),"",分期持仓明细!$AB$19*SUMPRODUCT(分期持仓明细!$B$19:$Y$19,'实盘净值数据(iFinD）'!$B807:$Y807/'实盘净值数据(iFinD）'!$B$20:$Y$20)*(1-实盘持仓初始配置!$Z$6)^(('实盘净值数据(iFinD）'!$A807-'实盘净值数据(iFinD）'!$A$7)/365))</f>
        <v/>
      </c>
      <c r="I807" s="16" t="str">
        <f t="shared" si="74"/>
        <v/>
      </c>
      <c r="J807" s="16" t="str">
        <f>IF(H807="","",H807/MAX(H$5:H807)-1)</f>
        <v/>
      </c>
      <c r="K807" s="13" t="str">
        <f>IF(OR('实盘净值数据(iFinD）'!$A807="",'实盘净值数据(iFinD）'!$B807="",'实盘净值数据(iFinD）'!$Z807="",'实盘净值数据(iFinD）'!$AA807=""),"",分期持仓明细!$AB$23*(SUMPRODUCT(分期持仓明细!$B$23:$Y$23,'实盘净值数据(iFinD）'!$B807:$Y807/'实盘净值数据(iFinD）'!$B$65:$Y$65)+SUMPRODUCT(分期持仓明细!$AC$23:$AD$23,'实盘净值数据(iFinD）'!$Z807:$AA807/'实盘净值数据(iFinD）'!$Z$65:$AA$65))*(1-实盘持仓初始配置!$Z$7)^(('实盘净值数据(iFinD）'!$A807-'实盘净值数据(iFinD）'!$A$8)/365))</f>
        <v/>
      </c>
      <c r="L807" s="16" t="str">
        <f t="shared" si="75"/>
        <v/>
      </c>
      <c r="M807" s="16" t="str">
        <f>IF(K807="","",K807/MAX(K$5:K807)-1)</f>
        <v/>
      </c>
      <c r="N807" s="13" t="str">
        <f>IF(OR('实盘净值数据(iFinD）'!$A807="",'实盘净值数据(iFinD）'!$B807="",'实盘净值数据(iFinD）'!$Z807="",'实盘净值数据(iFinD）'!$AA807=""),"",分期持仓明细!$AB$24*(SUMPRODUCT(分期持仓明细!$B$24:$Y$24,'实盘净值数据(iFinD）'!$B807:$Y807/'实盘净值数据(iFinD）'!$B$65:$Y$65)+SUMPRODUCT(分期持仓明细!$AC$24:$AD$24,'实盘净值数据(iFinD）'!$Z807:$AA807/'实盘净值数据(iFinD）'!$Z$65:$AA$65))*(1-实盘持仓初始配置!$Z$8)^(('实盘净值数据(iFinD）'!$A807-'实盘净值数据(iFinD）'!$A$5)/365))</f>
        <v/>
      </c>
      <c r="O807" s="16" t="str">
        <f t="shared" si="76"/>
        <v/>
      </c>
      <c r="P807" s="16" t="str">
        <f>IF(N807="","",N807/MAX(N$5:N807)-1)</f>
        <v/>
      </c>
      <c r="Q807" s="13" t="str">
        <f>IF(OR('实盘净值数据(iFinD）'!$A807="",'实盘净值数据(iFinD）'!$B807="",'实盘净值数据(iFinD）'!$Z807="",'实盘净值数据(iFinD）'!$AA807=""),"",分期持仓明细!$AB$25*(SUMPRODUCT(分期持仓明细!$B$25:$Y$25,'实盘净值数据(iFinD）'!$B807:$Y807/'实盘净值数据(iFinD）'!$B$65:$Y$65)+SUMPRODUCT(分期持仓明细!$AC$25:$AD$25,'实盘净值数据(iFinD）'!$Z807:$AA807/'实盘净值数据(iFinD）'!$Z$65:$AA$65))*(1-实盘持仓初始配置!$Z$9)^(('实盘净值数据(iFinD）'!$A807-'实盘净值数据(iFinD）'!$A$8)/365))</f>
        <v/>
      </c>
      <c r="R807" s="16" t="str">
        <f t="shared" si="77"/>
        <v/>
      </c>
      <c r="S807" s="16" t="str">
        <f>IF(Q807="","",Q807/MAX(Q$5:Q807)-1)</f>
        <v/>
      </c>
      <c r="T807" s="13">
        <f>IF(OR('实盘净值数据(iFinD）'!$A807="",'实盘净值数据(iFinD）'!$B807="",'实盘净值数据(iFinD）'!$Z807="",'实盘净值数据(iFinD）'!$AA807="",'实盘净值数据(iFinD）'!$AB807="",'实盘净值数据(iFinD）'!$AL807=""),"",(SUMPRODUCT(分期持仓明细!$B$26:$Y$26,'实盘净值数据(iFinD）'!$B807:$Y807/'实盘净值数据(iFinD）'!$B$69:$Y$69)+SUMPRODUCT(分期持仓明细!$AC$26:$AD$26,'实盘净值数据(iFinD）'!$Z807:$AA807/'实盘净值数据(iFinD）'!$Z$69:$AA$69)+SUMPRODUCT(分期持仓明细!$AE$26:$AO$26,'实盘净值数据(iFinD）'!$AB807:$AL807/'实盘净值数据(iFinD）'!$AB$69:$AL$69))*(1-实盘持仓初始配置!$Z$10)^(('实盘净值数据(iFinD）'!$A807-'实盘净值数据(iFinD）'!$A$69)/365))</f>
        <v/>
      </c>
      <c r="U807" s="16">
        <f>IF(OR(T806="",T807=""),"",T807/T806-1)</f>
        <v/>
      </c>
      <c r="V807" s="16">
        <f>IF(T807="","",T807/MAX(T$5:T807)-1)</f>
        <v/>
      </c>
    </row>
    <row r="808" spans="1:19">
      <c r="A808" s="15" t="str">
        <f>IF('实盘净值数据(iFinD）'!A808="","",'实盘净值数据(iFinD）'!A808)</f>
        <v/>
      </c>
      <c r="B808" s="13" t="str">
        <f>IF(OR('实盘净值数据(iFinD）'!$A808="",'实盘净值数据(iFinD）'!$B808=""),"",分期持仓明细!$AB$17*SUMPRODUCT(分期持仓明细!$B$17:$Y$17,'实盘净值数据(iFinD）'!$B808:$Y808/'实盘净值数据(iFinD）'!$B$20:$Y$20)*(1-实盘持仓初始配置!$Z$4)^(('实盘净值数据(iFinD）'!$A808-'实盘净值数据(iFinD）'!$A$6)/365))</f>
        <v/>
      </c>
      <c r="C808" s="16" t="str">
        <f t="shared" si="72"/>
        <v/>
      </c>
      <c r="D808" s="16" t="str">
        <f>IF(B808="","",B808/MAX(B$5:B808)-1)</f>
        <v/>
      </c>
      <c r="E808" s="13" t="str">
        <f>IF(OR('实盘净值数据(iFinD）'!$A808="",'实盘净值数据(iFinD）'!$B808=""),"",分期持仓明细!$AB$18*SUMPRODUCT(分期持仓明细!$B$18:$Y$18,'实盘净值数据(iFinD）'!$B808:$Y808/'实盘净值数据(iFinD）'!$B$20:$Y$20)*(1-实盘持仓初始配置!$Z$5)^(('实盘净值数据(iFinD）'!$A808-'实盘净值数据(iFinD）'!$A$5)/365))</f>
        <v/>
      </c>
      <c r="F808" s="16" t="str">
        <f t="shared" si="73"/>
        <v/>
      </c>
      <c r="G808" s="16" t="str">
        <f>IF(E808="","",E808/MAX(E$5:E808)-1)</f>
        <v/>
      </c>
      <c r="H808" s="13" t="str">
        <f>IF(OR('实盘净值数据(iFinD）'!$A808="",'实盘净值数据(iFinD）'!$B808=""),"",分期持仓明细!$AB$19*SUMPRODUCT(分期持仓明细!$B$19:$Y$19,'实盘净值数据(iFinD）'!$B808:$Y808/'实盘净值数据(iFinD）'!$B$20:$Y$20)*(1-实盘持仓初始配置!$Z$6)^(('实盘净值数据(iFinD）'!$A808-'实盘净值数据(iFinD）'!$A$7)/365))</f>
        <v/>
      </c>
      <c r="I808" s="16" t="str">
        <f t="shared" si="74"/>
        <v/>
      </c>
      <c r="J808" s="16" t="str">
        <f>IF(H808="","",H808/MAX(H$5:H808)-1)</f>
        <v/>
      </c>
      <c r="K808" s="13" t="str">
        <f>IF(OR('实盘净值数据(iFinD）'!$A808="",'实盘净值数据(iFinD）'!$B808="",'实盘净值数据(iFinD）'!$Z808="",'实盘净值数据(iFinD）'!$AA808=""),"",分期持仓明细!$AB$23*(SUMPRODUCT(分期持仓明细!$B$23:$Y$23,'实盘净值数据(iFinD）'!$B808:$Y808/'实盘净值数据(iFinD）'!$B$65:$Y$65)+SUMPRODUCT(分期持仓明细!$AC$23:$AD$23,'实盘净值数据(iFinD）'!$Z808:$AA808/'实盘净值数据(iFinD）'!$Z$65:$AA$65))*(1-实盘持仓初始配置!$Z$7)^(('实盘净值数据(iFinD）'!$A808-'实盘净值数据(iFinD）'!$A$8)/365))</f>
        <v/>
      </c>
      <c r="L808" s="16" t="str">
        <f t="shared" si="75"/>
        <v/>
      </c>
      <c r="M808" s="16" t="str">
        <f>IF(K808="","",K808/MAX(K$5:K808)-1)</f>
        <v/>
      </c>
      <c r="N808" s="13" t="str">
        <f>IF(OR('实盘净值数据(iFinD）'!$A808="",'实盘净值数据(iFinD）'!$B808="",'实盘净值数据(iFinD）'!$Z808="",'实盘净值数据(iFinD）'!$AA808=""),"",分期持仓明细!$AB$24*(SUMPRODUCT(分期持仓明细!$B$24:$Y$24,'实盘净值数据(iFinD）'!$B808:$Y808/'实盘净值数据(iFinD）'!$B$65:$Y$65)+SUMPRODUCT(分期持仓明细!$AC$24:$AD$24,'实盘净值数据(iFinD）'!$Z808:$AA808/'实盘净值数据(iFinD）'!$Z$65:$AA$65))*(1-实盘持仓初始配置!$Z$8)^(('实盘净值数据(iFinD）'!$A808-'实盘净值数据(iFinD）'!$A$5)/365))</f>
        <v/>
      </c>
      <c r="O808" s="16" t="str">
        <f t="shared" si="76"/>
        <v/>
      </c>
      <c r="P808" s="16" t="str">
        <f>IF(N808="","",N808/MAX(N$5:N808)-1)</f>
        <v/>
      </c>
      <c r="Q808" s="13" t="str">
        <f>IF(OR('实盘净值数据(iFinD）'!$A808="",'实盘净值数据(iFinD）'!$B808="",'实盘净值数据(iFinD）'!$Z808="",'实盘净值数据(iFinD）'!$AA808=""),"",分期持仓明细!$AB$25*(SUMPRODUCT(分期持仓明细!$B$25:$Y$25,'实盘净值数据(iFinD）'!$B808:$Y808/'实盘净值数据(iFinD）'!$B$65:$Y$65)+SUMPRODUCT(分期持仓明细!$AC$25:$AD$25,'实盘净值数据(iFinD）'!$Z808:$AA808/'实盘净值数据(iFinD）'!$Z$65:$AA$65))*(1-实盘持仓初始配置!$Z$9)^(('实盘净值数据(iFinD）'!$A808-'实盘净值数据(iFinD）'!$A$8)/365))</f>
        <v/>
      </c>
      <c r="R808" s="16" t="str">
        <f t="shared" si="77"/>
        <v/>
      </c>
      <c r="S808" s="16" t="str">
        <f>IF(Q808="","",Q808/MAX(Q$5:Q808)-1)</f>
        <v/>
      </c>
      <c r="T808" s="13">
        <f>IF(OR('实盘净值数据(iFinD）'!$A808="",'实盘净值数据(iFinD）'!$B808="",'实盘净值数据(iFinD）'!$Z808="",'实盘净值数据(iFinD）'!$AA808="",'实盘净值数据(iFinD）'!$AB808="",'实盘净值数据(iFinD）'!$AL808=""),"",(SUMPRODUCT(分期持仓明细!$B$26:$Y$26,'实盘净值数据(iFinD）'!$B808:$Y808/'实盘净值数据(iFinD）'!$B$69:$Y$69)+SUMPRODUCT(分期持仓明细!$AC$26:$AD$26,'实盘净值数据(iFinD）'!$Z808:$AA808/'实盘净值数据(iFinD）'!$Z$69:$AA$69)+SUMPRODUCT(分期持仓明细!$AE$26:$AO$26,'实盘净值数据(iFinD）'!$AB808:$AL808/'实盘净值数据(iFinD）'!$AB$69:$AL$69))*(1-实盘持仓初始配置!$Z$10)^(('实盘净值数据(iFinD）'!$A808-'实盘净值数据(iFinD）'!$A$69)/365))</f>
        <v/>
      </c>
      <c r="U808" s="16">
        <f>IF(OR(T807="",T808=""),"",T808/T807-1)</f>
        <v/>
      </c>
      <c r="V808" s="16">
        <f>IF(T808="","",T808/MAX(T$5:T808)-1)</f>
        <v/>
      </c>
    </row>
    <row r="809" spans="1:19">
      <c r="A809" s="15" t="str">
        <f>IF('实盘净值数据(iFinD）'!A809="","",'实盘净值数据(iFinD）'!A809)</f>
        <v/>
      </c>
      <c r="B809" s="13" t="str">
        <f>IF(OR('实盘净值数据(iFinD）'!$A809="",'实盘净值数据(iFinD）'!$B809=""),"",分期持仓明细!$AB$17*SUMPRODUCT(分期持仓明细!$B$17:$Y$17,'实盘净值数据(iFinD）'!$B809:$Y809/'实盘净值数据(iFinD）'!$B$20:$Y$20)*(1-实盘持仓初始配置!$Z$4)^(('实盘净值数据(iFinD）'!$A809-'实盘净值数据(iFinD）'!$A$6)/365))</f>
        <v/>
      </c>
      <c r="C809" s="16" t="str">
        <f t="shared" si="72"/>
        <v/>
      </c>
      <c r="D809" s="16" t="str">
        <f>IF(B809="","",B809/MAX(B$5:B809)-1)</f>
        <v/>
      </c>
      <c r="E809" s="13" t="str">
        <f>IF(OR('实盘净值数据(iFinD）'!$A809="",'实盘净值数据(iFinD）'!$B809=""),"",分期持仓明细!$AB$18*SUMPRODUCT(分期持仓明细!$B$18:$Y$18,'实盘净值数据(iFinD）'!$B809:$Y809/'实盘净值数据(iFinD）'!$B$20:$Y$20)*(1-实盘持仓初始配置!$Z$5)^(('实盘净值数据(iFinD）'!$A809-'实盘净值数据(iFinD）'!$A$5)/365))</f>
        <v/>
      </c>
      <c r="F809" s="16" t="str">
        <f t="shared" si="73"/>
        <v/>
      </c>
      <c r="G809" s="16" t="str">
        <f>IF(E809="","",E809/MAX(E$5:E809)-1)</f>
        <v/>
      </c>
      <c r="H809" s="13" t="str">
        <f>IF(OR('实盘净值数据(iFinD）'!$A809="",'实盘净值数据(iFinD）'!$B809=""),"",分期持仓明细!$AB$19*SUMPRODUCT(分期持仓明细!$B$19:$Y$19,'实盘净值数据(iFinD）'!$B809:$Y809/'实盘净值数据(iFinD）'!$B$20:$Y$20)*(1-实盘持仓初始配置!$Z$6)^(('实盘净值数据(iFinD）'!$A809-'实盘净值数据(iFinD）'!$A$7)/365))</f>
        <v/>
      </c>
      <c r="I809" s="16" t="str">
        <f t="shared" si="74"/>
        <v/>
      </c>
      <c r="J809" s="16" t="str">
        <f>IF(H809="","",H809/MAX(H$5:H809)-1)</f>
        <v/>
      </c>
      <c r="K809" s="13" t="str">
        <f>IF(OR('实盘净值数据(iFinD）'!$A809="",'实盘净值数据(iFinD）'!$B809="",'实盘净值数据(iFinD）'!$Z809="",'实盘净值数据(iFinD）'!$AA809=""),"",分期持仓明细!$AB$23*(SUMPRODUCT(分期持仓明细!$B$23:$Y$23,'实盘净值数据(iFinD）'!$B809:$Y809/'实盘净值数据(iFinD）'!$B$65:$Y$65)+SUMPRODUCT(分期持仓明细!$AC$23:$AD$23,'实盘净值数据(iFinD）'!$Z809:$AA809/'实盘净值数据(iFinD）'!$Z$65:$AA$65))*(1-实盘持仓初始配置!$Z$7)^(('实盘净值数据(iFinD）'!$A809-'实盘净值数据(iFinD）'!$A$8)/365))</f>
        <v/>
      </c>
      <c r="L809" s="16" t="str">
        <f t="shared" si="75"/>
        <v/>
      </c>
      <c r="M809" s="16" t="str">
        <f>IF(K809="","",K809/MAX(K$5:K809)-1)</f>
        <v/>
      </c>
      <c r="N809" s="13" t="str">
        <f>IF(OR('实盘净值数据(iFinD）'!$A809="",'实盘净值数据(iFinD）'!$B809="",'实盘净值数据(iFinD）'!$Z809="",'实盘净值数据(iFinD）'!$AA809=""),"",分期持仓明细!$AB$24*(SUMPRODUCT(分期持仓明细!$B$24:$Y$24,'实盘净值数据(iFinD）'!$B809:$Y809/'实盘净值数据(iFinD）'!$B$65:$Y$65)+SUMPRODUCT(分期持仓明细!$AC$24:$AD$24,'实盘净值数据(iFinD）'!$Z809:$AA809/'实盘净值数据(iFinD）'!$Z$65:$AA$65))*(1-实盘持仓初始配置!$Z$8)^(('实盘净值数据(iFinD）'!$A809-'实盘净值数据(iFinD）'!$A$5)/365))</f>
        <v/>
      </c>
      <c r="O809" s="16" t="str">
        <f t="shared" si="76"/>
        <v/>
      </c>
      <c r="P809" s="16" t="str">
        <f>IF(N809="","",N809/MAX(N$5:N809)-1)</f>
        <v/>
      </c>
      <c r="Q809" s="13" t="str">
        <f>IF(OR('实盘净值数据(iFinD）'!$A809="",'实盘净值数据(iFinD）'!$B809="",'实盘净值数据(iFinD）'!$Z809="",'实盘净值数据(iFinD）'!$AA809=""),"",分期持仓明细!$AB$25*(SUMPRODUCT(分期持仓明细!$B$25:$Y$25,'实盘净值数据(iFinD）'!$B809:$Y809/'实盘净值数据(iFinD）'!$B$65:$Y$65)+SUMPRODUCT(分期持仓明细!$AC$25:$AD$25,'实盘净值数据(iFinD）'!$Z809:$AA809/'实盘净值数据(iFinD）'!$Z$65:$AA$65))*(1-实盘持仓初始配置!$Z$9)^(('实盘净值数据(iFinD）'!$A809-'实盘净值数据(iFinD）'!$A$8)/365))</f>
        <v/>
      </c>
      <c r="R809" s="16" t="str">
        <f t="shared" si="77"/>
        <v/>
      </c>
      <c r="S809" s="16" t="str">
        <f>IF(Q809="","",Q809/MAX(Q$5:Q809)-1)</f>
        <v/>
      </c>
      <c r="T809" s="13">
        <f>IF(OR('实盘净值数据(iFinD）'!$A809="",'实盘净值数据(iFinD）'!$B809="",'实盘净值数据(iFinD）'!$Z809="",'实盘净值数据(iFinD）'!$AA809="",'实盘净值数据(iFinD）'!$AB809="",'实盘净值数据(iFinD）'!$AL809=""),"",(SUMPRODUCT(分期持仓明细!$B$26:$Y$26,'实盘净值数据(iFinD）'!$B809:$Y809/'实盘净值数据(iFinD）'!$B$69:$Y$69)+SUMPRODUCT(分期持仓明细!$AC$26:$AD$26,'实盘净值数据(iFinD）'!$Z809:$AA809/'实盘净值数据(iFinD）'!$Z$69:$AA$69)+SUMPRODUCT(分期持仓明细!$AE$26:$AO$26,'实盘净值数据(iFinD）'!$AB809:$AL809/'实盘净值数据(iFinD）'!$AB$69:$AL$69))*(1-实盘持仓初始配置!$Z$10)^(('实盘净值数据(iFinD）'!$A809-'实盘净值数据(iFinD）'!$A$69)/365))</f>
        <v/>
      </c>
      <c r="U809" s="16">
        <f>IF(OR(T808="",T809=""),"",T809/T808-1)</f>
        <v/>
      </c>
      <c r="V809" s="16">
        <f>IF(T809="","",T809/MAX(T$5:T809)-1)</f>
        <v/>
      </c>
    </row>
    <row r="810" spans="1:19">
      <c r="A810" s="15" t="str">
        <f>IF('实盘净值数据(iFinD）'!A810="","",'实盘净值数据(iFinD）'!A810)</f>
        <v/>
      </c>
      <c r="B810" s="13" t="str">
        <f>IF(OR('实盘净值数据(iFinD）'!$A810="",'实盘净值数据(iFinD）'!$B810=""),"",分期持仓明细!$AB$17*SUMPRODUCT(分期持仓明细!$B$17:$Y$17,'实盘净值数据(iFinD）'!$B810:$Y810/'实盘净值数据(iFinD）'!$B$20:$Y$20)*(1-实盘持仓初始配置!$Z$4)^(('实盘净值数据(iFinD）'!$A810-'实盘净值数据(iFinD）'!$A$6)/365))</f>
        <v/>
      </c>
      <c r="C810" s="16" t="str">
        <f t="shared" si="72"/>
        <v/>
      </c>
      <c r="D810" s="16" t="str">
        <f>IF(B810="","",B810/MAX(B$5:B810)-1)</f>
        <v/>
      </c>
      <c r="E810" s="13" t="str">
        <f>IF(OR('实盘净值数据(iFinD）'!$A810="",'实盘净值数据(iFinD）'!$B810=""),"",分期持仓明细!$AB$18*SUMPRODUCT(分期持仓明细!$B$18:$Y$18,'实盘净值数据(iFinD）'!$B810:$Y810/'实盘净值数据(iFinD）'!$B$20:$Y$20)*(1-实盘持仓初始配置!$Z$5)^(('实盘净值数据(iFinD）'!$A810-'实盘净值数据(iFinD）'!$A$5)/365))</f>
        <v/>
      </c>
      <c r="F810" s="16" t="str">
        <f t="shared" si="73"/>
        <v/>
      </c>
      <c r="G810" s="16" t="str">
        <f>IF(E810="","",E810/MAX(E$5:E810)-1)</f>
        <v/>
      </c>
      <c r="H810" s="13" t="str">
        <f>IF(OR('实盘净值数据(iFinD）'!$A810="",'实盘净值数据(iFinD）'!$B810=""),"",分期持仓明细!$AB$19*SUMPRODUCT(分期持仓明细!$B$19:$Y$19,'实盘净值数据(iFinD）'!$B810:$Y810/'实盘净值数据(iFinD）'!$B$20:$Y$20)*(1-实盘持仓初始配置!$Z$6)^(('实盘净值数据(iFinD）'!$A810-'实盘净值数据(iFinD）'!$A$7)/365))</f>
        <v/>
      </c>
      <c r="I810" s="16" t="str">
        <f t="shared" si="74"/>
        <v/>
      </c>
      <c r="J810" s="16" t="str">
        <f>IF(H810="","",H810/MAX(H$5:H810)-1)</f>
        <v/>
      </c>
      <c r="K810" s="13" t="str">
        <f>IF(OR('实盘净值数据(iFinD）'!$A810="",'实盘净值数据(iFinD）'!$B810="",'实盘净值数据(iFinD）'!$Z810="",'实盘净值数据(iFinD）'!$AA810=""),"",分期持仓明细!$AB$23*(SUMPRODUCT(分期持仓明细!$B$23:$Y$23,'实盘净值数据(iFinD）'!$B810:$Y810/'实盘净值数据(iFinD）'!$B$65:$Y$65)+SUMPRODUCT(分期持仓明细!$AC$23:$AD$23,'实盘净值数据(iFinD）'!$Z810:$AA810/'实盘净值数据(iFinD）'!$Z$65:$AA$65))*(1-实盘持仓初始配置!$Z$7)^(('实盘净值数据(iFinD）'!$A810-'实盘净值数据(iFinD）'!$A$8)/365))</f>
        <v/>
      </c>
      <c r="L810" s="16" t="str">
        <f t="shared" si="75"/>
        <v/>
      </c>
      <c r="M810" s="16" t="str">
        <f>IF(K810="","",K810/MAX(K$5:K810)-1)</f>
        <v/>
      </c>
      <c r="N810" s="13" t="str">
        <f>IF(OR('实盘净值数据(iFinD）'!$A810="",'实盘净值数据(iFinD）'!$B810="",'实盘净值数据(iFinD）'!$Z810="",'实盘净值数据(iFinD）'!$AA810=""),"",分期持仓明细!$AB$24*(SUMPRODUCT(分期持仓明细!$B$24:$Y$24,'实盘净值数据(iFinD）'!$B810:$Y810/'实盘净值数据(iFinD）'!$B$65:$Y$65)+SUMPRODUCT(分期持仓明细!$AC$24:$AD$24,'实盘净值数据(iFinD）'!$Z810:$AA810/'实盘净值数据(iFinD）'!$Z$65:$AA$65))*(1-实盘持仓初始配置!$Z$8)^(('实盘净值数据(iFinD）'!$A810-'实盘净值数据(iFinD）'!$A$5)/365))</f>
        <v/>
      </c>
      <c r="O810" s="16" t="str">
        <f t="shared" si="76"/>
        <v/>
      </c>
      <c r="P810" s="16" t="str">
        <f>IF(N810="","",N810/MAX(N$5:N810)-1)</f>
        <v/>
      </c>
      <c r="Q810" s="13" t="str">
        <f>IF(OR('实盘净值数据(iFinD）'!$A810="",'实盘净值数据(iFinD）'!$B810="",'实盘净值数据(iFinD）'!$Z810="",'实盘净值数据(iFinD）'!$AA810=""),"",分期持仓明细!$AB$25*(SUMPRODUCT(分期持仓明细!$B$25:$Y$25,'实盘净值数据(iFinD）'!$B810:$Y810/'实盘净值数据(iFinD）'!$B$65:$Y$65)+SUMPRODUCT(分期持仓明细!$AC$25:$AD$25,'实盘净值数据(iFinD）'!$Z810:$AA810/'实盘净值数据(iFinD）'!$Z$65:$AA$65))*(1-实盘持仓初始配置!$Z$9)^(('实盘净值数据(iFinD）'!$A810-'实盘净值数据(iFinD）'!$A$8)/365))</f>
        <v/>
      </c>
      <c r="R810" s="16" t="str">
        <f t="shared" si="77"/>
        <v/>
      </c>
      <c r="S810" s="16" t="str">
        <f>IF(Q810="","",Q810/MAX(Q$5:Q810)-1)</f>
        <v/>
      </c>
      <c r="T810" s="13">
        <f>IF(OR('实盘净值数据(iFinD）'!$A810="",'实盘净值数据(iFinD）'!$B810="",'实盘净值数据(iFinD）'!$Z810="",'实盘净值数据(iFinD）'!$AA810="",'实盘净值数据(iFinD）'!$AB810="",'实盘净值数据(iFinD）'!$AL810=""),"",(SUMPRODUCT(分期持仓明细!$B$26:$Y$26,'实盘净值数据(iFinD）'!$B810:$Y810/'实盘净值数据(iFinD）'!$B$69:$Y$69)+SUMPRODUCT(分期持仓明细!$AC$26:$AD$26,'实盘净值数据(iFinD）'!$Z810:$AA810/'实盘净值数据(iFinD）'!$Z$69:$AA$69)+SUMPRODUCT(分期持仓明细!$AE$26:$AO$26,'实盘净值数据(iFinD）'!$AB810:$AL810/'实盘净值数据(iFinD）'!$AB$69:$AL$69))*(1-实盘持仓初始配置!$Z$10)^(('实盘净值数据(iFinD）'!$A810-'实盘净值数据(iFinD）'!$A$69)/365))</f>
        <v/>
      </c>
      <c r="U810" s="16">
        <f>IF(OR(T809="",T810=""),"",T810/T809-1)</f>
        <v/>
      </c>
      <c r="V810" s="16">
        <f>IF(T810="","",T810/MAX(T$5:T810)-1)</f>
        <v/>
      </c>
    </row>
    <row r="811" spans="1:19">
      <c r="A811" s="15" t="str">
        <f>IF('实盘净值数据(iFinD）'!A811="","",'实盘净值数据(iFinD）'!A811)</f>
        <v/>
      </c>
      <c r="B811" s="13" t="str">
        <f>IF(OR('实盘净值数据(iFinD）'!$A811="",'实盘净值数据(iFinD）'!$B811=""),"",分期持仓明细!$AB$17*SUMPRODUCT(分期持仓明细!$B$17:$Y$17,'实盘净值数据(iFinD）'!$B811:$Y811/'实盘净值数据(iFinD）'!$B$20:$Y$20)*(1-实盘持仓初始配置!$Z$4)^(('实盘净值数据(iFinD）'!$A811-'实盘净值数据(iFinD）'!$A$6)/365))</f>
        <v/>
      </c>
      <c r="C811" s="16" t="str">
        <f t="shared" si="72"/>
        <v/>
      </c>
      <c r="D811" s="16" t="str">
        <f>IF(B811="","",B811/MAX(B$5:B811)-1)</f>
        <v/>
      </c>
      <c r="E811" s="13" t="str">
        <f>IF(OR('实盘净值数据(iFinD）'!$A811="",'实盘净值数据(iFinD）'!$B811=""),"",分期持仓明细!$AB$18*SUMPRODUCT(分期持仓明细!$B$18:$Y$18,'实盘净值数据(iFinD）'!$B811:$Y811/'实盘净值数据(iFinD）'!$B$20:$Y$20)*(1-实盘持仓初始配置!$Z$5)^(('实盘净值数据(iFinD）'!$A811-'实盘净值数据(iFinD）'!$A$5)/365))</f>
        <v/>
      </c>
      <c r="F811" s="16" t="str">
        <f t="shared" si="73"/>
        <v/>
      </c>
      <c r="G811" s="16" t="str">
        <f>IF(E811="","",E811/MAX(E$5:E811)-1)</f>
        <v/>
      </c>
      <c r="H811" s="13" t="str">
        <f>IF(OR('实盘净值数据(iFinD）'!$A811="",'实盘净值数据(iFinD）'!$B811=""),"",分期持仓明细!$AB$19*SUMPRODUCT(分期持仓明细!$B$19:$Y$19,'实盘净值数据(iFinD）'!$B811:$Y811/'实盘净值数据(iFinD）'!$B$20:$Y$20)*(1-实盘持仓初始配置!$Z$6)^(('实盘净值数据(iFinD）'!$A811-'实盘净值数据(iFinD）'!$A$7)/365))</f>
        <v/>
      </c>
      <c r="I811" s="16" t="str">
        <f t="shared" si="74"/>
        <v/>
      </c>
      <c r="J811" s="16" t="str">
        <f>IF(H811="","",H811/MAX(H$5:H811)-1)</f>
        <v/>
      </c>
      <c r="K811" s="13" t="str">
        <f>IF(OR('实盘净值数据(iFinD）'!$A811="",'实盘净值数据(iFinD）'!$B811="",'实盘净值数据(iFinD）'!$Z811="",'实盘净值数据(iFinD）'!$AA811=""),"",分期持仓明细!$AB$23*(SUMPRODUCT(分期持仓明细!$B$23:$Y$23,'实盘净值数据(iFinD）'!$B811:$Y811/'实盘净值数据(iFinD）'!$B$65:$Y$65)+SUMPRODUCT(分期持仓明细!$AC$23:$AD$23,'实盘净值数据(iFinD）'!$Z811:$AA811/'实盘净值数据(iFinD）'!$Z$65:$AA$65))*(1-实盘持仓初始配置!$Z$7)^(('实盘净值数据(iFinD）'!$A811-'实盘净值数据(iFinD）'!$A$8)/365))</f>
        <v/>
      </c>
      <c r="L811" s="16" t="str">
        <f t="shared" si="75"/>
        <v/>
      </c>
      <c r="M811" s="16" t="str">
        <f>IF(K811="","",K811/MAX(K$5:K811)-1)</f>
        <v/>
      </c>
      <c r="N811" s="13" t="str">
        <f>IF(OR('实盘净值数据(iFinD）'!$A811="",'实盘净值数据(iFinD）'!$B811="",'实盘净值数据(iFinD）'!$Z811="",'实盘净值数据(iFinD）'!$AA811=""),"",分期持仓明细!$AB$24*(SUMPRODUCT(分期持仓明细!$B$24:$Y$24,'实盘净值数据(iFinD）'!$B811:$Y811/'实盘净值数据(iFinD）'!$B$65:$Y$65)+SUMPRODUCT(分期持仓明细!$AC$24:$AD$24,'实盘净值数据(iFinD）'!$Z811:$AA811/'实盘净值数据(iFinD）'!$Z$65:$AA$65))*(1-实盘持仓初始配置!$Z$8)^(('实盘净值数据(iFinD）'!$A811-'实盘净值数据(iFinD）'!$A$5)/365))</f>
        <v/>
      </c>
      <c r="O811" s="16" t="str">
        <f t="shared" si="76"/>
        <v/>
      </c>
      <c r="P811" s="16" t="str">
        <f>IF(N811="","",N811/MAX(N$5:N811)-1)</f>
        <v/>
      </c>
      <c r="Q811" s="13" t="str">
        <f>IF(OR('实盘净值数据(iFinD）'!$A811="",'实盘净值数据(iFinD）'!$B811="",'实盘净值数据(iFinD）'!$Z811="",'实盘净值数据(iFinD）'!$AA811=""),"",分期持仓明细!$AB$25*(SUMPRODUCT(分期持仓明细!$B$25:$Y$25,'实盘净值数据(iFinD）'!$B811:$Y811/'实盘净值数据(iFinD）'!$B$65:$Y$65)+SUMPRODUCT(分期持仓明细!$AC$25:$AD$25,'实盘净值数据(iFinD）'!$Z811:$AA811/'实盘净值数据(iFinD）'!$Z$65:$AA$65))*(1-实盘持仓初始配置!$Z$9)^(('实盘净值数据(iFinD）'!$A811-'实盘净值数据(iFinD）'!$A$8)/365))</f>
        <v/>
      </c>
      <c r="R811" s="16" t="str">
        <f t="shared" si="77"/>
        <v/>
      </c>
      <c r="S811" s="16" t="str">
        <f>IF(Q811="","",Q811/MAX(Q$5:Q811)-1)</f>
        <v/>
      </c>
      <c r="T811" s="13">
        <f>IF(OR('实盘净值数据(iFinD）'!$A811="",'实盘净值数据(iFinD）'!$B811="",'实盘净值数据(iFinD）'!$Z811="",'实盘净值数据(iFinD）'!$AA811="",'实盘净值数据(iFinD）'!$AB811="",'实盘净值数据(iFinD）'!$AL811=""),"",(SUMPRODUCT(分期持仓明细!$B$26:$Y$26,'实盘净值数据(iFinD）'!$B811:$Y811/'实盘净值数据(iFinD）'!$B$69:$Y$69)+SUMPRODUCT(分期持仓明细!$AC$26:$AD$26,'实盘净值数据(iFinD）'!$Z811:$AA811/'实盘净值数据(iFinD）'!$Z$69:$AA$69)+SUMPRODUCT(分期持仓明细!$AE$26:$AO$26,'实盘净值数据(iFinD）'!$AB811:$AL811/'实盘净值数据(iFinD）'!$AB$69:$AL$69))*(1-实盘持仓初始配置!$Z$10)^(('实盘净值数据(iFinD）'!$A811-'实盘净值数据(iFinD）'!$A$69)/365))</f>
        <v/>
      </c>
      <c r="U811" s="16">
        <f>IF(OR(T810="",T811=""),"",T811/T810-1)</f>
        <v/>
      </c>
      <c r="V811" s="16">
        <f>IF(T811="","",T811/MAX(T$5:T811)-1)</f>
        <v/>
      </c>
    </row>
    <row r="812" spans="1:19">
      <c r="A812" s="15" t="str">
        <f>IF('实盘净值数据(iFinD）'!A812="","",'实盘净值数据(iFinD）'!A812)</f>
        <v/>
      </c>
      <c r="B812" s="13" t="str">
        <f>IF(OR('实盘净值数据(iFinD）'!$A812="",'实盘净值数据(iFinD）'!$B812=""),"",分期持仓明细!$AB$17*SUMPRODUCT(分期持仓明细!$B$17:$Y$17,'实盘净值数据(iFinD）'!$B812:$Y812/'实盘净值数据(iFinD）'!$B$20:$Y$20)*(1-实盘持仓初始配置!$Z$4)^(('实盘净值数据(iFinD）'!$A812-'实盘净值数据(iFinD）'!$A$6)/365))</f>
        <v/>
      </c>
      <c r="C812" s="16" t="str">
        <f t="shared" si="72"/>
        <v/>
      </c>
      <c r="D812" s="16" t="str">
        <f>IF(B812="","",B812/MAX(B$5:B812)-1)</f>
        <v/>
      </c>
      <c r="E812" s="13" t="str">
        <f>IF(OR('实盘净值数据(iFinD）'!$A812="",'实盘净值数据(iFinD）'!$B812=""),"",分期持仓明细!$AB$18*SUMPRODUCT(分期持仓明细!$B$18:$Y$18,'实盘净值数据(iFinD）'!$B812:$Y812/'实盘净值数据(iFinD）'!$B$20:$Y$20)*(1-实盘持仓初始配置!$Z$5)^(('实盘净值数据(iFinD）'!$A812-'实盘净值数据(iFinD）'!$A$5)/365))</f>
        <v/>
      </c>
      <c r="F812" s="16" t="str">
        <f t="shared" si="73"/>
        <v/>
      </c>
      <c r="G812" s="16" t="str">
        <f>IF(E812="","",E812/MAX(E$5:E812)-1)</f>
        <v/>
      </c>
      <c r="H812" s="13" t="str">
        <f>IF(OR('实盘净值数据(iFinD）'!$A812="",'实盘净值数据(iFinD）'!$B812=""),"",分期持仓明细!$AB$19*SUMPRODUCT(分期持仓明细!$B$19:$Y$19,'实盘净值数据(iFinD）'!$B812:$Y812/'实盘净值数据(iFinD）'!$B$20:$Y$20)*(1-实盘持仓初始配置!$Z$6)^(('实盘净值数据(iFinD）'!$A812-'实盘净值数据(iFinD）'!$A$7)/365))</f>
        <v/>
      </c>
      <c r="I812" s="16" t="str">
        <f t="shared" si="74"/>
        <v/>
      </c>
      <c r="J812" s="16" t="str">
        <f>IF(H812="","",H812/MAX(H$5:H812)-1)</f>
        <v/>
      </c>
      <c r="K812" s="13" t="str">
        <f>IF(OR('实盘净值数据(iFinD）'!$A812="",'实盘净值数据(iFinD）'!$B812="",'实盘净值数据(iFinD）'!$Z812="",'实盘净值数据(iFinD）'!$AA812=""),"",分期持仓明细!$AB$23*(SUMPRODUCT(分期持仓明细!$B$23:$Y$23,'实盘净值数据(iFinD）'!$B812:$Y812/'实盘净值数据(iFinD）'!$B$65:$Y$65)+SUMPRODUCT(分期持仓明细!$AC$23:$AD$23,'实盘净值数据(iFinD）'!$Z812:$AA812/'实盘净值数据(iFinD）'!$Z$65:$AA$65))*(1-实盘持仓初始配置!$Z$7)^(('实盘净值数据(iFinD）'!$A812-'实盘净值数据(iFinD）'!$A$8)/365))</f>
        <v/>
      </c>
      <c r="L812" s="16" t="str">
        <f t="shared" si="75"/>
        <v/>
      </c>
      <c r="M812" s="16" t="str">
        <f>IF(K812="","",K812/MAX(K$5:K812)-1)</f>
        <v/>
      </c>
      <c r="N812" s="13" t="str">
        <f>IF(OR('实盘净值数据(iFinD）'!$A812="",'实盘净值数据(iFinD）'!$B812="",'实盘净值数据(iFinD）'!$Z812="",'实盘净值数据(iFinD）'!$AA812=""),"",分期持仓明细!$AB$24*(SUMPRODUCT(分期持仓明细!$B$24:$Y$24,'实盘净值数据(iFinD）'!$B812:$Y812/'实盘净值数据(iFinD）'!$B$65:$Y$65)+SUMPRODUCT(分期持仓明细!$AC$24:$AD$24,'实盘净值数据(iFinD）'!$Z812:$AA812/'实盘净值数据(iFinD）'!$Z$65:$AA$65))*(1-实盘持仓初始配置!$Z$8)^(('实盘净值数据(iFinD）'!$A812-'实盘净值数据(iFinD）'!$A$5)/365))</f>
        <v/>
      </c>
      <c r="O812" s="16" t="str">
        <f t="shared" si="76"/>
        <v/>
      </c>
      <c r="P812" s="16" t="str">
        <f>IF(N812="","",N812/MAX(N$5:N812)-1)</f>
        <v/>
      </c>
      <c r="Q812" s="13" t="str">
        <f>IF(OR('实盘净值数据(iFinD）'!$A812="",'实盘净值数据(iFinD）'!$B812="",'实盘净值数据(iFinD）'!$Z812="",'实盘净值数据(iFinD）'!$AA812=""),"",分期持仓明细!$AB$25*(SUMPRODUCT(分期持仓明细!$B$25:$Y$25,'实盘净值数据(iFinD）'!$B812:$Y812/'实盘净值数据(iFinD）'!$B$65:$Y$65)+SUMPRODUCT(分期持仓明细!$AC$25:$AD$25,'实盘净值数据(iFinD）'!$Z812:$AA812/'实盘净值数据(iFinD）'!$Z$65:$AA$65))*(1-实盘持仓初始配置!$Z$9)^(('实盘净值数据(iFinD）'!$A812-'实盘净值数据(iFinD）'!$A$8)/365))</f>
        <v/>
      </c>
      <c r="R812" s="16" t="str">
        <f t="shared" si="77"/>
        <v/>
      </c>
      <c r="S812" s="16" t="str">
        <f>IF(Q812="","",Q812/MAX(Q$5:Q812)-1)</f>
        <v/>
      </c>
      <c r="T812" s="13">
        <f>IF(OR('实盘净值数据(iFinD）'!$A812="",'实盘净值数据(iFinD）'!$B812="",'实盘净值数据(iFinD）'!$Z812="",'实盘净值数据(iFinD）'!$AA812="",'实盘净值数据(iFinD）'!$AB812="",'实盘净值数据(iFinD）'!$AL812=""),"",(SUMPRODUCT(分期持仓明细!$B$26:$Y$26,'实盘净值数据(iFinD）'!$B812:$Y812/'实盘净值数据(iFinD）'!$B$69:$Y$69)+SUMPRODUCT(分期持仓明细!$AC$26:$AD$26,'实盘净值数据(iFinD）'!$Z812:$AA812/'实盘净值数据(iFinD）'!$Z$69:$AA$69)+SUMPRODUCT(分期持仓明细!$AE$26:$AO$26,'实盘净值数据(iFinD）'!$AB812:$AL812/'实盘净值数据(iFinD）'!$AB$69:$AL$69))*(1-实盘持仓初始配置!$Z$10)^(('实盘净值数据(iFinD）'!$A812-'实盘净值数据(iFinD）'!$A$69)/365))</f>
        <v/>
      </c>
      <c r="U812" s="16">
        <f>IF(OR(T811="",T812=""),"",T812/T811-1)</f>
        <v/>
      </c>
      <c r="V812" s="16">
        <f>IF(T812="","",T812/MAX(T$5:T812)-1)</f>
        <v/>
      </c>
    </row>
    <row r="813" spans="1:19">
      <c r="A813" s="15" t="str">
        <f>IF('实盘净值数据(iFinD）'!A813="","",'实盘净值数据(iFinD）'!A813)</f>
        <v/>
      </c>
      <c r="B813" s="13" t="str">
        <f>IF(OR('实盘净值数据(iFinD）'!$A813="",'实盘净值数据(iFinD）'!$B813=""),"",分期持仓明细!$AB$17*SUMPRODUCT(分期持仓明细!$B$17:$Y$17,'实盘净值数据(iFinD）'!$B813:$Y813/'实盘净值数据(iFinD）'!$B$20:$Y$20)*(1-实盘持仓初始配置!$Z$4)^(('实盘净值数据(iFinD）'!$A813-'实盘净值数据(iFinD）'!$A$6)/365))</f>
        <v/>
      </c>
      <c r="C813" s="16" t="str">
        <f t="shared" si="72"/>
        <v/>
      </c>
      <c r="D813" s="16" t="str">
        <f>IF(B813="","",B813/MAX(B$5:B813)-1)</f>
        <v/>
      </c>
      <c r="E813" s="13" t="str">
        <f>IF(OR('实盘净值数据(iFinD）'!$A813="",'实盘净值数据(iFinD）'!$B813=""),"",分期持仓明细!$AB$18*SUMPRODUCT(分期持仓明细!$B$18:$Y$18,'实盘净值数据(iFinD）'!$B813:$Y813/'实盘净值数据(iFinD）'!$B$20:$Y$20)*(1-实盘持仓初始配置!$Z$5)^(('实盘净值数据(iFinD）'!$A813-'实盘净值数据(iFinD）'!$A$5)/365))</f>
        <v/>
      </c>
      <c r="F813" s="16" t="str">
        <f t="shared" si="73"/>
        <v/>
      </c>
      <c r="G813" s="16" t="str">
        <f>IF(E813="","",E813/MAX(E$5:E813)-1)</f>
        <v/>
      </c>
      <c r="H813" s="13" t="str">
        <f>IF(OR('实盘净值数据(iFinD）'!$A813="",'实盘净值数据(iFinD）'!$B813=""),"",分期持仓明细!$AB$19*SUMPRODUCT(分期持仓明细!$B$19:$Y$19,'实盘净值数据(iFinD）'!$B813:$Y813/'实盘净值数据(iFinD）'!$B$20:$Y$20)*(1-实盘持仓初始配置!$Z$6)^(('实盘净值数据(iFinD）'!$A813-'实盘净值数据(iFinD）'!$A$7)/365))</f>
        <v/>
      </c>
      <c r="I813" s="16" t="str">
        <f t="shared" si="74"/>
        <v/>
      </c>
      <c r="J813" s="16" t="str">
        <f>IF(H813="","",H813/MAX(H$5:H813)-1)</f>
        <v/>
      </c>
      <c r="K813" s="13" t="str">
        <f>IF(OR('实盘净值数据(iFinD）'!$A813="",'实盘净值数据(iFinD）'!$B813="",'实盘净值数据(iFinD）'!$Z813="",'实盘净值数据(iFinD）'!$AA813=""),"",分期持仓明细!$AB$23*(SUMPRODUCT(分期持仓明细!$B$23:$Y$23,'实盘净值数据(iFinD）'!$B813:$Y813/'实盘净值数据(iFinD）'!$B$65:$Y$65)+SUMPRODUCT(分期持仓明细!$AC$23:$AD$23,'实盘净值数据(iFinD）'!$Z813:$AA813/'实盘净值数据(iFinD）'!$Z$65:$AA$65))*(1-实盘持仓初始配置!$Z$7)^(('实盘净值数据(iFinD）'!$A813-'实盘净值数据(iFinD）'!$A$8)/365))</f>
        <v/>
      </c>
      <c r="L813" s="16" t="str">
        <f t="shared" si="75"/>
        <v/>
      </c>
      <c r="M813" s="16" t="str">
        <f>IF(K813="","",K813/MAX(K$5:K813)-1)</f>
        <v/>
      </c>
      <c r="N813" s="13" t="str">
        <f>IF(OR('实盘净值数据(iFinD）'!$A813="",'实盘净值数据(iFinD）'!$B813="",'实盘净值数据(iFinD）'!$Z813="",'实盘净值数据(iFinD）'!$AA813=""),"",分期持仓明细!$AB$24*(SUMPRODUCT(分期持仓明细!$B$24:$Y$24,'实盘净值数据(iFinD）'!$B813:$Y813/'实盘净值数据(iFinD）'!$B$65:$Y$65)+SUMPRODUCT(分期持仓明细!$AC$24:$AD$24,'实盘净值数据(iFinD）'!$Z813:$AA813/'实盘净值数据(iFinD）'!$Z$65:$AA$65))*(1-实盘持仓初始配置!$Z$8)^(('实盘净值数据(iFinD）'!$A813-'实盘净值数据(iFinD）'!$A$5)/365))</f>
        <v/>
      </c>
      <c r="O813" s="16" t="str">
        <f t="shared" si="76"/>
        <v/>
      </c>
      <c r="P813" s="16" t="str">
        <f>IF(N813="","",N813/MAX(N$5:N813)-1)</f>
        <v/>
      </c>
      <c r="Q813" s="13" t="str">
        <f>IF(OR('实盘净值数据(iFinD）'!$A813="",'实盘净值数据(iFinD）'!$B813="",'实盘净值数据(iFinD）'!$Z813="",'实盘净值数据(iFinD）'!$AA813=""),"",分期持仓明细!$AB$25*(SUMPRODUCT(分期持仓明细!$B$25:$Y$25,'实盘净值数据(iFinD）'!$B813:$Y813/'实盘净值数据(iFinD）'!$B$65:$Y$65)+SUMPRODUCT(分期持仓明细!$AC$25:$AD$25,'实盘净值数据(iFinD）'!$Z813:$AA813/'实盘净值数据(iFinD）'!$Z$65:$AA$65))*(1-实盘持仓初始配置!$Z$9)^(('实盘净值数据(iFinD）'!$A813-'实盘净值数据(iFinD）'!$A$8)/365))</f>
        <v/>
      </c>
      <c r="R813" s="16" t="str">
        <f t="shared" si="77"/>
        <v/>
      </c>
      <c r="S813" s="16" t="str">
        <f>IF(Q813="","",Q813/MAX(Q$5:Q813)-1)</f>
        <v/>
      </c>
      <c r="T813" s="13">
        <f>IF(OR('实盘净值数据(iFinD）'!$A813="",'实盘净值数据(iFinD）'!$B813="",'实盘净值数据(iFinD）'!$Z813="",'实盘净值数据(iFinD）'!$AA813="",'实盘净值数据(iFinD）'!$AB813="",'实盘净值数据(iFinD）'!$AL813=""),"",(SUMPRODUCT(分期持仓明细!$B$26:$Y$26,'实盘净值数据(iFinD）'!$B813:$Y813/'实盘净值数据(iFinD）'!$B$69:$Y$69)+SUMPRODUCT(分期持仓明细!$AC$26:$AD$26,'实盘净值数据(iFinD）'!$Z813:$AA813/'实盘净值数据(iFinD）'!$Z$69:$AA$69)+SUMPRODUCT(分期持仓明细!$AE$26:$AO$26,'实盘净值数据(iFinD）'!$AB813:$AL813/'实盘净值数据(iFinD）'!$AB$69:$AL$69))*(1-实盘持仓初始配置!$Z$10)^(('实盘净值数据(iFinD）'!$A813-'实盘净值数据(iFinD）'!$A$69)/365))</f>
        <v/>
      </c>
      <c r="U813" s="16">
        <f>IF(OR(T812="",T813=""),"",T813/T812-1)</f>
        <v/>
      </c>
      <c r="V813" s="16">
        <f>IF(T813="","",T813/MAX(T$5:T813)-1)</f>
        <v/>
      </c>
    </row>
    <row r="814" spans="1:19">
      <c r="A814" s="15" t="str">
        <f>IF('实盘净值数据(iFinD）'!A814="","",'实盘净值数据(iFinD）'!A814)</f>
        <v/>
      </c>
      <c r="B814" s="13" t="str">
        <f>IF(OR('实盘净值数据(iFinD）'!$A814="",'实盘净值数据(iFinD）'!$B814=""),"",分期持仓明细!$AB$17*SUMPRODUCT(分期持仓明细!$B$17:$Y$17,'实盘净值数据(iFinD）'!$B814:$Y814/'实盘净值数据(iFinD）'!$B$20:$Y$20)*(1-实盘持仓初始配置!$Z$4)^(('实盘净值数据(iFinD）'!$A814-'实盘净值数据(iFinD）'!$A$6)/365))</f>
        <v/>
      </c>
      <c r="C814" s="16" t="str">
        <f t="shared" si="72"/>
        <v/>
      </c>
      <c r="D814" s="16" t="str">
        <f>IF(B814="","",B814/MAX(B$5:B814)-1)</f>
        <v/>
      </c>
      <c r="E814" s="13" t="str">
        <f>IF(OR('实盘净值数据(iFinD）'!$A814="",'实盘净值数据(iFinD）'!$B814=""),"",分期持仓明细!$AB$18*SUMPRODUCT(分期持仓明细!$B$18:$Y$18,'实盘净值数据(iFinD）'!$B814:$Y814/'实盘净值数据(iFinD）'!$B$20:$Y$20)*(1-实盘持仓初始配置!$Z$5)^(('实盘净值数据(iFinD）'!$A814-'实盘净值数据(iFinD）'!$A$5)/365))</f>
        <v/>
      </c>
      <c r="F814" s="16" t="str">
        <f t="shared" si="73"/>
        <v/>
      </c>
      <c r="G814" s="16" t="str">
        <f>IF(E814="","",E814/MAX(E$5:E814)-1)</f>
        <v/>
      </c>
      <c r="H814" s="13" t="str">
        <f>IF(OR('实盘净值数据(iFinD）'!$A814="",'实盘净值数据(iFinD）'!$B814=""),"",分期持仓明细!$AB$19*SUMPRODUCT(分期持仓明细!$B$19:$Y$19,'实盘净值数据(iFinD）'!$B814:$Y814/'实盘净值数据(iFinD）'!$B$20:$Y$20)*(1-实盘持仓初始配置!$Z$6)^(('实盘净值数据(iFinD）'!$A814-'实盘净值数据(iFinD）'!$A$7)/365))</f>
        <v/>
      </c>
      <c r="I814" s="16" t="str">
        <f t="shared" si="74"/>
        <v/>
      </c>
      <c r="J814" s="16" t="str">
        <f>IF(H814="","",H814/MAX(H$5:H814)-1)</f>
        <v/>
      </c>
      <c r="K814" s="13" t="str">
        <f>IF(OR('实盘净值数据(iFinD）'!$A814="",'实盘净值数据(iFinD）'!$B814="",'实盘净值数据(iFinD）'!$Z814="",'实盘净值数据(iFinD）'!$AA814=""),"",分期持仓明细!$AB$23*(SUMPRODUCT(分期持仓明细!$B$23:$Y$23,'实盘净值数据(iFinD）'!$B814:$Y814/'实盘净值数据(iFinD）'!$B$65:$Y$65)+SUMPRODUCT(分期持仓明细!$AC$23:$AD$23,'实盘净值数据(iFinD）'!$Z814:$AA814/'实盘净值数据(iFinD）'!$Z$65:$AA$65))*(1-实盘持仓初始配置!$Z$7)^(('实盘净值数据(iFinD）'!$A814-'实盘净值数据(iFinD）'!$A$8)/365))</f>
        <v/>
      </c>
      <c r="L814" s="16" t="str">
        <f t="shared" si="75"/>
        <v/>
      </c>
      <c r="M814" s="16" t="str">
        <f>IF(K814="","",K814/MAX(K$5:K814)-1)</f>
        <v/>
      </c>
      <c r="N814" s="13" t="str">
        <f>IF(OR('实盘净值数据(iFinD）'!$A814="",'实盘净值数据(iFinD）'!$B814="",'实盘净值数据(iFinD）'!$Z814="",'实盘净值数据(iFinD）'!$AA814=""),"",分期持仓明细!$AB$24*(SUMPRODUCT(分期持仓明细!$B$24:$Y$24,'实盘净值数据(iFinD）'!$B814:$Y814/'实盘净值数据(iFinD）'!$B$65:$Y$65)+SUMPRODUCT(分期持仓明细!$AC$24:$AD$24,'实盘净值数据(iFinD）'!$Z814:$AA814/'实盘净值数据(iFinD）'!$Z$65:$AA$65))*(1-实盘持仓初始配置!$Z$8)^(('实盘净值数据(iFinD）'!$A814-'实盘净值数据(iFinD）'!$A$5)/365))</f>
        <v/>
      </c>
      <c r="O814" s="16" t="str">
        <f t="shared" si="76"/>
        <v/>
      </c>
      <c r="P814" s="16" t="str">
        <f>IF(N814="","",N814/MAX(N$5:N814)-1)</f>
        <v/>
      </c>
      <c r="Q814" s="13" t="str">
        <f>IF(OR('实盘净值数据(iFinD）'!$A814="",'实盘净值数据(iFinD）'!$B814="",'实盘净值数据(iFinD）'!$Z814="",'实盘净值数据(iFinD）'!$AA814=""),"",分期持仓明细!$AB$25*(SUMPRODUCT(分期持仓明细!$B$25:$Y$25,'实盘净值数据(iFinD）'!$B814:$Y814/'实盘净值数据(iFinD）'!$B$65:$Y$65)+SUMPRODUCT(分期持仓明细!$AC$25:$AD$25,'实盘净值数据(iFinD）'!$Z814:$AA814/'实盘净值数据(iFinD）'!$Z$65:$AA$65))*(1-实盘持仓初始配置!$Z$9)^(('实盘净值数据(iFinD）'!$A814-'实盘净值数据(iFinD）'!$A$8)/365))</f>
        <v/>
      </c>
      <c r="R814" s="16" t="str">
        <f t="shared" si="77"/>
        <v/>
      </c>
      <c r="S814" s="16" t="str">
        <f>IF(Q814="","",Q814/MAX(Q$5:Q814)-1)</f>
        <v/>
      </c>
      <c r="T814" s="13">
        <f>IF(OR('实盘净值数据(iFinD）'!$A814="",'实盘净值数据(iFinD）'!$B814="",'实盘净值数据(iFinD）'!$Z814="",'实盘净值数据(iFinD）'!$AA814="",'实盘净值数据(iFinD）'!$AB814="",'实盘净值数据(iFinD）'!$AL814=""),"",(SUMPRODUCT(分期持仓明细!$B$26:$Y$26,'实盘净值数据(iFinD）'!$B814:$Y814/'实盘净值数据(iFinD）'!$B$69:$Y$69)+SUMPRODUCT(分期持仓明细!$AC$26:$AD$26,'实盘净值数据(iFinD）'!$Z814:$AA814/'实盘净值数据(iFinD）'!$Z$69:$AA$69)+SUMPRODUCT(分期持仓明细!$AE$26:$AO$26,'实盘净值数据(iFinD）'!$AB814:$AL814/'实盘净值数据(iFinD）'!$AB$69:$AL$69))*(1-实盘持仓初始配置!$Z$10)^(('实盘净值数据(iFinD）'!$A814-'实盘净值数据(iFinD）'!$A$69)/365))</f>
        <v/>
      </c>
      <c r="U814" s="16">
        <f>IF(OR(T813="",T814=""),"",T814/T813-1)</f>
        <v/>
      </c>
      <c r="V814" s="16">
        <f>IF(T814="","",T814/MAX(T$5:T814)-1)</f>
        <v/>
      </c>
    </row>
    <row r="815" spans="1:19">
      <c r="A815" s="15" t="str">
        <f>IF('实盘净值数据(iFinD）'!A815="","",'实盘净值数据(iFinD）'!A815)</f>
        <v/>
      </c>
      <c r="B815" s="13" t="str">
        <f>IF(OR('实盘净值数据(iFinD）'!$A815="",'实盘净值数据(iFinD）'!$B815=""),"",分期持仓明细!$AB$17*SUMPRODUCT(分期持仓明细!$B$17:$Y$17,'实盘净值数据(iFinD）'!$B815:$Y815/'实盘净值数据(iFinD）'!$B$20:$Y$20)*(1-实盘持仓初始配置!$Z$4)^(('实盘净值数据(iFinD）'!$A815-'实盘净值数据(iFinD）'!$A$6)/365))</f>
        <v/>
      </c>
      <c r="C815" s="16" t="str">
        <f t="shared" si="72"/>
        <v/>
      </c>
      <c r="D815" s="16" t="str">
        <f>IF(B815="","",B815/MAX(B$5:B815)-1)</f>
        <v/>
      </c>
      <c r="E815" s="13" t="str">
        <f>IF(OR('实盘净值数据(iFinD）'!$A815="",'实盘净值数据(iFinD）'!$B815=""),"",分期持仓明细!$AB$18*SUMPRODUCT(分期持仓明细!$B$18:$Y$18,'实盘净值数据(iFinD）'!$B815:$Y815/'实盘净值数据(iFinD）'!$B$20:$Y$20)*(1-实盘持仓初始配置!$Z$5)^(('实盘净值数据(iFinD）'!$A815-'实盘净值数据(iFinD）'!$A$5)/365))</f>
        <v/>
      </c>
      <c r="F815" s="16" t="str">
        <f t="shared" si="73"/>
        <v/>
      </c>
      <c r="G815" s="16" t="str">
        <f>IF(E815="","",E815/MAX(E$5:E815)-1)</f>
        <v/>
      </c>
      <c r="H815" s="13" t="str">
        <f>IF(OR('实盘净值数据(iFinD）'!$A815="",'实盘净值数据(iFinD）'!$B815=""),"",分期持仓明细!$AB$19*SUMPRODUCT(分期持仓明细!$B$19:$Y$19,'实盘净值数据(iFinD）'!$B815:$Y815/'实盘净值数据(iFinD）'!$B$20:$Y$20)*(1-实盘持仓初始配置!$Z$6)^(('实盘净值数据(iFinD）'!$A815-'实盘净值数据(iFinD）'!$A$7)/365))</f>
        <v/>
      </c>
      <c r="I815" s="16" t="str">
        <f t="shared" si="74"/>
        <v/>
      </c>
      <c r="J815" s="16" t="str">
        <f>IF(H815="","",H815/MAX(H$5:H815)-1)</f>
        <v/>
      </c>
      <c r="K815" s="13" t="str">
        <f>IF(OR('实盘净值数据(iFinD）'!$A815="",'实盘净值数据(iFinD）'!$B815="",'实盘净值数据(iFinD）'!$Z815="",'实盘净值数据(iFinD）'!$AA815=""),"",分期持仓明细!$AB$23*(SUMPRODUCT(分期持仓明细!$B$23:$Y$23,'实盘净值数据(iFinD）'!$B815:$Y815/'实盘净值数据(iFinD）'!$B$65:$Y$65)+SUMPRODUCT(分期持仓明细!$AC$23:$AD$23,'实盘净值数据(iFinD）'!$Z815:$AA815/'实盘净值数据(iFinD）'!$Z$65:$AA$65))*(1-实盘持仓初始配置!$Z$7)^(('实盘净值数据(iFinD）'!$A815-'实盘净值数据(iFinD）'!$A$8)/365))</f>
        <v/>
      </c>
      <c r="L815" s="16" t="str">
        <f t="shared" si="75"/>
        <v/>
      </c>
      <c r="M815" s="16" t="str">
        <f>IF(K815="","",K815/MAX(K$5:K815)-1)</f>
        <v/>
      </c>
      <c r="N815" s="13" t="str">
        <f>IF(OR('实盘净值数据(iFinD）'!$A815="",'实盘净值数据(iFinD）'!$B815="",'实盘净值数据(iFinD）'!$Z815="",'实盘净值数据(iFinD）'!$AA815=""),"",分期持仓明细!$AB$24*(SUMPRODUCT(分期持仓明细!$B$24:$Y$24,'实盘净值数据(iFinD）'!$B815:$Y815/'实盘净值数据(iFinD）'!$B$65:$Y$65)+SUMPRODUCT(分期持仓明细!$AC$24:$AD$24,'实盘净值数据(iFinD）'!$Z815:$AA815/'实盘净值数据(iFinD）'!$Z$65:$AA$65))*(1-实盘持仓初始配置!$Z$8)^(('实盘净值数据(iFinD）'!$A815-'实盘净值数据(iFinD）'!$A$5)/365))</f>
        <v/>
      </c>
      <c r="O815" s="16" t="str">
        <f t="shared" si="76"/>
        <v/>
      </c>
      <c r="P815" s="16" t="str">
        <f>IF(N815="","",N815/MAX(N$5:N815)-1)</f>
        <v/>
      </c>
      <c r="Q815" s="13" t="str">
        <f>IF(OR('实盘净值数据(iFinD）'!$A815="",'实盘净值数据(iFinD）'!$B815="",'实盘净值数据(iFinD）'!$Z815="",'实盘净值数据(iFinD）'!$AA815=""),"",分期持仓明细!$AB$25*(SUMPRODUCT(分期持仓明细!$B$25:$Y$25,'实盘净值数据(iFinD）'!$B815:$Y815/'实盘净值数据(iFinD）'!$B$65:$Y$65)+SUMPRODUCT(分期持仓明细!$AC$25:$AD$25,'实盘净值数据(iFinD）'!$Z815:$AA815/'实盘净值数据(iFinD）'!$Z$65:$AA$65))*(1-实盘持仓初始配置!$Z$9)^(('实盘净值数据(iFinD）'!$A815-'实盘净值数据(iFinD）'!$A$8)/365))</f>
        <v/>
      </c>
      <c r="R815" s="16" t="str">
        <f t="shared" si="77"/>
        <v/>
      </c>
      <c r="S815" s="16" t="str">
        <f>IF(Q815="","",Q815/MAX(Q$5:Q815)-1)</f>
        <v/>
      </c>
      <c r="T815" s="13">
        <f>IF(OR('实盘净值数据(iFinD）'!$A815="",'实盘净值数据(iFinD）'!$B815="",'实盘净值数据(iFinD）'!$Z815="",'实盘净值数据(iFinD）'!$AA815="",'实盘净值数据(iFinD）'!$AB815="",'实盘净值数据(iFinD）'!$AL815=""),"",(SUMPRODUCT(分期持仓明细!$B$26:$Y$26,'实盘净值数据(iFinD）'!$B815:$Y815/'实盘净值数据(iFinD）'!$B$69:$Y$69)+SUMPRODUCT(分期持仓明细!$AC$26:$AD$26,'实盘净值数据(iFinD）'!$Z815:$AA815/'实盘净值数据(iFinD）'!$Z$69:$AA$69)+SUMPRODUCT(分期持仓明细!$AE$26:$AO$26,'实盘净值数据(iFinD）'!$AB815:$AL815/'实盘净值数据(iFinD）'!$AB$69:$AL$69))*(1-实盘持仓初始配置!$Z$10)^(('实盘净值数据(iFinD）'!$A815-'实盘净值数据(iFinD）'!$A$69)/365))</f>
        <v/>
      </c>
      <c r="U815" s="16">
        <f>IF(OR(T814="",T815=""),"",T815/T814-1)</f>
        <v/>
      </c>
      <c r="V815" s="16">
        <f>IF(T815="","",T815/MAX(T$5:T815)-1)</f>
        <v/>
      </c>
    </row>
    <row r="816" spans="1:19">
      <c r="A816" s="15" t="str">
        <f>IF('实盘净值数据(iFinD）'!A816="","",'实盘净值数据(iFinD）'!A816)</f>
        <v/>
      </c>
      <c r="B816" s="13" t="str">
        <f>IF(OR('实盘净值数据(iFinD）'!$A816="",'实盘净值数据(iFinD）'!$B816=""),"",分期持仓明细!$AB$17*SUMPRODUCT(分期持仓明细!$B$17:$Y$17,'实盘净值数据(iFinD）'!$B816:$Y816/'实盘净值数据(iFinD）'!$B$20:$Y$20)*(1-实盘持仓初始配置!$Z$4)^(('实盘净值数据(iFinD）'!$A816-'实盘净值数据(iFinD）'!$A$6)/365))</f>
        <v/>
      </c>
      <c r="C816" s="16" t="str">
        <f t="shared" si="72"/>
        <v/>
      </c>
      <c r="D816" s="16" t="str">
        <f>IF(B816="","",B816/MAX(B$5:B816)-1)</f>
        <v/>
      </c>
      <c r="E816" s="13" t="str">
        <f>IF(OR('实盘净值数据(iFinD）'!$A816="",'实盘净值数据(iFinD）'!$B816=""),"",分期持仓明细!$AB$18*SUMPRODUCT(分期持仓明细!$B$18:$Y$18,'实盘净值数据(iFinD）'!$B816:$Y816/'实盘净值数据(iFinD）'!$B$20:$Y$20)*(1-实盘持仓初始配置!$Z$5)^(('实盘净值数据(iFinD）'!$A816-'实盘净值数据(iFinD）'!$A$5)/365))</f>
        <v/>
      </c>
      <c r="F816" s="16" t="str">
        <f t="shared" si="73"/>
        <v/>
      </c>
      <c r="G816" s="16" t="str">
        <f>IF(E816="","",E816/MAX(E$5:E816)-1)</f>
        <v/>
      </c>
      <c r="H816" s="13" t="str">
        <f>IF(OR('实盘净值数据(iFinD）'!$A816="",'实盘净值数据(iFinD）'!$B816=""),"",分期持仓明细!$AB$19*SUMPRODUCT(分期持仓明细!$B$19:$Y$19,'实盘净值数据(iFinD）'!$B816:$Y816/'实盘净值数据(iFinD）'!$B$20:$Y$20)*(1-实盘持仓初始配置!$Z$6)^(('实盘净值数据(iFinD）'!$A816-'实盘净值数据(iFinD）'!$A$7)/365))</f>
        <v/>
      </c>
      <c r="I816" s="16" t="str">
        <f t="shared" si="74"/>
        <v/>
      </c>
      <c r="J816" s="16" t="str">
        <f>IF(H816="","",H816/MAX(H$5:H816)-1)</f>
        <v/>
      </c>
      <c r="K816" s="13" t="str">
        <f>IF(OR('实盘净值数据(iFinD）'!$A816="",'实盘净值数据(iFinD）'!$B816="",'实盘净值数据(iFinD）'!$Z816="",'实盘净值数据(iFinD）'!$AA816=""),"",分期持仓明细!$AB$23*(SUMPRODUCT(分期持仓明细!$B$23:$Y$23,'实盘净值数据(iFinD）'!$B816:$Y816/'实盘净值数据(iFinD）'!$B$65:$Y$65)+SUMPRODUCT(分期持仓明细!$AC$23:$AD$23,'实盘净值数据(iFinD）'!$Z816:$AA816/'实盘净值数据(iFinD）'!$Z$65:$AA$65))*(1-实盘持仓初始配置!$Z$7)^(('实盘净值数据(iFinD）'!$A816-'实盘净值数据(iFinD）'!$A$8)/365))</f>
        <v/>
      </c>
      <c r="L816" s="16" t="str">
        <f t="shared" si="75"/>
        <v/>
      </c>
      <c r="M816" s="16" t="str">
        <f>IF(K816="","",K816/MAX(K$5:K816)-1)</f>
        <v/>
      </c>
      <c r="N816" s="13" t="str">
        <f>IF(OR('实盘净值数据(iFinD）'!$A816="",'实盘净值数据(iFinD）'!$B816="",'实盘净值数据(iFinD）'!$Z816="",'实盘净值数据(iFinD）'!$AA816=""),"",分期持仓明细!$AB$24*(SUMPRODUCT(分期持仓明细!$B$24:$Y$24,'实盘净值数据(iFinD）'!$B816:$Y816/'实盘净值数据(iFinD）'!$B$65:$Y$65)+SUMPRODUCT(分期持仓明细!$AC$24:$AD$24,'实盘净值数据(iFinD）'!$Z816:$AA816/'实盘净值数据(iFinD）'!$Z$65:$AA$65))*(1-实盘持仓初始配置!$Z$8)^(('实盘净值数据(iFinD）'!$A816-'实盘净值数据(iFinD）'!$A$5)/365))</f>
        <v/>
      </c>
      <c r="O816" s="16" t="str">
        <f t="shared" si="76"/>
        <v/>
      </c>
      <c r="P816" s="16" t="str">
        <f>IF(N816="","",N816/MAX(N$5:N816)-1)</f>
        <v/>
      </c>
      <c r="Q816" s="13" t="str">
        <f>IF(OR('实盘净值数据(iFinD）'!$A816="",'实盘净值数据(iFinD）'!$B816="",'实盘净值数据(iFinD）'!$Z816="",'实盘净值数据(iFinD）'!$AA816=""),"",分期持仓明细!$AB$25*(SUMPRODUCT(分期持仓明细!$B$25:$Y$25,'实盘净值数据(iFinD）'!$B816:$Y816/'实盘净值数据(iFinD）'!$B$65:$Y$65)+SUMPRODUCT(分期持仓明细!$AC$25:$AD$25,'实盘净值数据(iFinD）'!$Z816:$AA816/'实盘净值数据(iFinD）'!$Z$65:$AA$65))*(1-实盘持仓初始配置!$Z$9)^(('实盘净值数据(iFinD）'!$A816-'实盘净值数据(iFinD）'!$A$8)/365))</f>
        <v/>
      </c>
      <c r="R816" s="16" t="str">
        <f t="shared" si="77"/>
        <v/>
      </c>
      <c r="S816" s="16" t="str">
        <f>IF(Q816="","",Q816/MAX(Q$5:Q816)-1)</f>
        <v/>
      </c>
      <c r="T816" s="13">
        <f>IF(OR('实盘净值数据(iFinD）'!$A816="",'实盘净值数据(iFinD）'!$B816="",'实盘净值数据(iFinD）'!$Z816="",'实盘净值数据(iFinD）'!$AA816="",'实盘净值数据(iFinD）'!$AB816="",'实盘净值数据(iFinD）'!$AL816=""),"",(SUMPRODUCT(分期持仓明细!$B$26:$Y$26,'实盘净值数据(iFinD）'!$B816:$Y816/'实盘净值数据(iFinD）'!$B$69:$Y$69)+SUMPRODUCT(分期持仓明细!$AC$26:$AD$26,'实盘净值数据(iFinD）'!$Z816:$AA816/'实盘净值数据(iFinD）'!$Z$69:$AA$69)+SUMPRODUCT(分期持仓明细!$AE$26:$AO$26,'实盘净值数据(iFinD）'!$AB816:$AL816/'实盘净值数据(iFinD）'!$AB$69:$AL$69))*(1-实盘持仓初始配置!$Z$10)^(('实盘净值数据(iFinD）'!$A816-'实盘净值数据(iFinD）'!$A$69)/365))</f>
        <v/>
      </c>
      <c r="U816" s="16">
        <f>IF(OR(T815="",T816=""),"",T816/T815-1)</f>
        <v/>
      </c>
      <c r="V816" s="16">
        <f>IF(T816="","",T816/MAX(T$5:T816)-1)</f>
        <v/>
      </c>
    </row>
    <row r="817" spans="1:19">
      <c r="A817" s="15" t="str">
        <f>IF('实盘净值数据(iFinD）'!A817="","",'实盘净值数据(iFinD）'!A817)</f>
        <v/>
      </c>
      <c r="B817" s="13" t="str">
        <f>IF(OR('实盘净值数据(iFinD）'!$A817="",'实盘净值数据(iFinD）'!$B817=""),"",分期持仓明细!$AB$17*SUMPRODUCT(分期持仓明细!$B$17:$Y$17,'实盘净值数据(iFinD）'!$B817:$Y817/'实盘净值数据(iFinD）'!$B$20:$Y$20)*(1-实盘持仓初始配置!$Z$4)^(('实盘净值数据(iFinD）'!$A817-'实盘净值数据(iFinD）'!$A$6)/365))</f>
        <v/>
      </c>
      <c r="C817" s="16" t="str">
        <f t="shared" si="72"/>
        <v/>
      </c>
      <c r="D817" s="16" t="str">
        <f>IF(B817="","",B817/MAX(B$5:B817)-1)</f>
        <v/>
      </c>
      <c r="E817" s="13" t="str">
        <f>IF(OR('实盘净值数据(iFinD）'!$A817="",'实盘净值数据(iFinD）'!$B817=""),"",分期持仓明细!$AB$18*SUMPRODUCT(分期持仓明细!$B$18:$Y$18,'实盘净值数据(iFinD）'!$B817:$Y817/'实盘净值数据(iFinD）'!$B$20:$Y$20)*(1-实盘持仓初始配置!$Z$5)^(('实盘净值数据(iFinD）'!$A817-'实盘净值数据(iFinD）'!$A$5)/365))</f>
        <v/>
      </c>
      <c r="F817" s="16" t="str">
        <f t="shared" si="73"/>
        <v/>
      </c>
      <c r="G817" s="16" t="str">
        <f>IF(E817="","",E817/MAX(E$5:E817)-1)</f>
        <v/>
      </c>
      <c r="H817" s="13" t="str">
        <f>IF(OR('实盘净值数据(iFinD）'!$A817="",'实盘净值数据(iFinD）'!$B817=""),"",分期持仓明细!$AB$19*SUMPRODUCT(分期持仓明细!$B$19:$Y$19,'实盘净值数据(iFinD）'!$B817:$Y817/'实盘净值数据(iFinD）'!$B$20:$Y$20)*(1-实盘持仓初始配置!$Z$6)^(('实盘净值数据(iFinD）'!$A817-'实盘净值数据(iFinD）'!$A$7)/365))</f>
        <v/>
      </c>
      <c r="I817" s="16" t="str">
        <f t="shared" si="74"/>
        <v/>
      </c>
      <c r="J817" s="16" t="str">
        <f>IF(H817="","",H817/MAX(H$5:H817)-1)</f>
        <v/>
      </c>
      <c r="K817" s="13" t="str">
        <f>IF(OR('实盘净值数据(iFinD）'!$A817="",'实盘净值数据(iFinD）'!$B817="",'实盘净值数据(iFinD）'!$Z817="",'实盘净值数据(iFinD）'!$AA817=""),"",分期持仓明细!$AB$23*(SUMPRODUCT(分期持仓明细!$B$23:$Y$23,'实盘净值数据(iFinD）'!$B817:$Y817/'实盘净值数据(iFinD）'!$B$65:$Y$65)+SUMPRODUCT(分期持仓明细!$AC$23:$AD$23,'实盘净值数据(iFinD）'!$Z817:$AA817/'实盘净值数据(iFinD）'!$Z$65:$AA$65))*(1-实盘持仓初始配置!$Z$7)^(('实盘净值数据(iFinD）'!$A817-'实盘净值数据(iFinD）'!$A$8)/365))</f>
        <v/>
      </c>
      <c r="L817" s="16" t="str">
        <f t="shared" si="75"/>
        <v/>
      </c>
      <c r="M817" s="16" t="str">
        <f>IF(K817="","",K817/MAX(K$5:K817)-1)</f>
        <v/>
      </c>
      <c r="N817" s="13" t="str">
        <f>IF(OR('实盘净值数据(iFinD）'!$A817="",'实盘净值数据(iFinD）'!$B817="",'实盘净值数据(iFinD）'!$Z817="",'实盘净值数据(iFinD）'!$AA817=""),"",分期持仓明细!$AB$24*(SUMPRODUCT(分期持仓明细!$B$24:$Y$24,'实盘净值数据(iFinD）'!$B817:$Y817/'实盘净值数据(iFinD）'!$B$65:$Y$65)+SUMPRODUCT(分期持仓明细!$AC$24:$AD$24,'实盘净值数据(iFinD）'!$Z817:$AA817/'实盘净值数据(iFinD）'!$Z$65:$AA$65))*(1-实盘持仓初始配置!$Z$8)^(('实盘净值数据(iFinD）'!$A817-'实盘净值数据(iFinD）'!$A$5)/365))</f>
        <v/>
      </c>
      <c r="O817" s="16" t="str">
        <f t="shared" si="76"/>
        <v/>
      </c>
      <c r="P817" s="16" t="str">
        <f>IF(N817="","",N817/MAX(N$5:N817)-1)</f>
        <v/>
      </c>
      <c r="Q817" s="13" t="str">
        <f>IF(OR('实盘净值数据(iFinD）'!$A817="",'实盘净值数据(iFinD）'!$B817="",'实盘净值数据(iFinD）'!$Z817="",'实盘净值数据(iFinD）'!$AA817=""),"",分期持仓明细!$AB$25*(SUMPRODUCT(分期持仓明细!$B$25:$Y$25,'实盘净值数据(iFinD）'!$B817:$Y817/'实盘净值数据(iFinD）'!$B$65:$Y$65)+SUMPRODUCT(分期持仓明细!$AC$25:$AD$25,'实盘净值数据(iFinD）'!$Z817:$AA817/'实盘净值数据(iFinD）'!$Z$65:$AA$65))*(1-实盘持仓初始配置!$Z$9)^(('实盘净值数据(iFinD）'!$A817-'实盘净值数据(iFinD）'!$A$8)/365))</f>
        <v/>
      </c>
      <c r="R817" s="16" t="str">
        <f t="shared" si="77"/>
        <v/>
      </c>
      <c r="S817" s="16" t="str">
        <f>IF(Q817="","",Q817/MAX(Q$5:Q817)-1)</f>
        <v/>
      </c>
      <c r="T817" s="13">
        <f>IF(OR('实盘净值数据(iFinD）'!$A817="",'实盘净值数据(iFinD）'!$B817="",'实盘净值数据(iFinD）'!$Z817="",'实盘净值数据(iFinD）'!$AA817="",'实盘净值数据(iFinD）'!$AB817="",'实盘净值数据(iFinD）'!$AL817=""),"",(SUMPRODUCT(分期持仓明细!$B$26:$Y$26,'实盘净值数据(iFinD）'!$B817:$Y817/'实盘净值数据(iFinD）'!$B$69:$Y$69)+SUMPRODUCT(分期持仓明细!$AC$26:$AD$26,'实盘净值数据(iFinD）'!$Z817:$AA817/'实盘净值数据(iFinD）'!$Z$69:$AA$69)+SUMPRODUCT(分期持仓明细!$AE$26:$AO$26,'实盘净值数据(iFinD）'!$AB817:$AL817/'实盘净值数据(iFinD）'!$AB$69:$AL$69))*(1-实盘持仓初始配置!$Z$10)^(('实盘净值数据(iFinD）'!$A817-'实盘净值数据(iFinD）'!$A$69)/365))</f>
        <v/>
      </c>
      <c r="U817" s="16">
        <f>IF(OR(T816="",T817=""),"",T817/T816-1)</f>
        <v/>
      </c>
      <c r="V817" s="16">
        <f>IF(T817="","",T817/MAX(T$5:T817)-1)</f>
        <v/>
      </c>
    </row>
    <row r="818" spans="1:19">
      <c r="A818" s="15" t="str">
        <f>IF('实盘净值数据(iFinD）'!A818="","",'实盘净值数据(iFinD）'!A818)</f>
        <v/>
      </c>
      <c r="B818" s="13" t="str">
        <f>IF(OR('实盘净值数据(iFinD）'!$A818="",'实盘净值数据(iFinD）'!$B818=""),"",分期持仓明细!$AB$17*SUMPRODUCT(分期持仓明细!$B$17:$Y$17,'实盘净值数据(iFinD）'!$B818:$Y818/'实盘净值数据(iFinD）'!$B$20:$Y$20)*(1-实盘持仓初始配置!$Z$4)^(('实盘净值数据(iFinD）'!$A818-'实盘净值数据(iFinD）'!$A$6)/365))</f>
        <v/>
      </c>
      <c r="C818" s="16" t="str">
        <f t="shared" si="72"/>
        <v/>
      </c>
      <c r="D818" s="16" t="str">
        <f>IF(B818="","",B818/MAX(B$5:B818)-1)</f>
        <v/>
      </c>
      <c r="E818" s="13" t="str">
        <f>IF(OR('实盘净值数据(iFinD）'!$A818="",'实盘净值数据(iFinD）'!$B818=""),"",分期持仓明细!$AB$18*SUMPRODUCT(分期持仓明细!$B$18:$Y$18,'实盘净值数据(iFinD）'!$B818:$Y818/'实盘净值数据(iFinD）'!$B$20:$Y$20)*(1-实盘持仓初始配置!$Z$5)^(('实盘净值数据(iFinD）'!$A818-'实盘净值数据(iFinD）'!$A$5)/365))</f>
        <v/>
      </c>
      <c r="F818" s="16" t="str">
        <f t="shared" si="73"/>
        <v/>
      </c>
      <c r="G818" s="16" t="str">
        <f>IF(E818="","",E818/MAX(E$5:E818)-1)</f>
        <v/>
      </c>
      <c r="H818" s="13" t="str">
        <f>IF(OR('实盘净值数据(iFinD）'!$A818="",'实盘净值数据(iFinD）'!$B818=""),"",分期持仓明细!$AB$19*SUMPRODUCT(分期持仓明细!$B$19:$Y$19,'实盘净值数据(iFinD）'!$B818:$Y818/'实盘净值数据(iFinD）'!$B$20:$Y$20)*(1-实盘持仓初始配置!$Z$6)^(('实盘净值数据(iFinD）'!$A818-'实盘净值数据(iFinD）'!$A$7)/365))</f>
        <v/>
      </c>
      <c r="I818" s="16" t="str">
        <f t="shared" si="74"/>
        <v/>
      </c>
      <c r="J818" s="16" t="str">
        <f>IF(H818="","",H818/MAX(H$5:H818)-1)</f>
        <v/>
      </c>
      <c r="K818" s="13" t="str">
        <f>IF(OR('实盘净值数据(iFinD）'!$A818="",'实盘净值数据(iFinD）'!$B818="",'实盘净值数据(iFinD）'!$Z818="",'实盘净值数据(iFinD）'!$AA818=""),"",分期持仓明细!$AB$23*(SUMPRODUCT(分期持仓明细!$B$23:$Y$23,'实盘净值数据(iFinD）'!$B818:$Y818/'实盘净值数据(iFinD）'!$B$65:$Y$65)+SUMPRODUCT(分期持仓明细!$AC$23:$AD$23,'实盘净值数据(iFinD）'!$Z818:$AA818/'实盘净值数据(iFinD）'!$Z$65:$AA$65))*(1-实盘持仓初始配置!$Z$7)^(('实盘净值数据(iFinD）'!$A818-'实盘净值数据(iFinD）'!$A$8)/365))</f>
        <v/>
      </c>
      <c r="L818" s="16" t="str">
        <f t="shared" si="75"/>
        <v/>
      </c>
      <c r="M818" s="16" t="str">
        <f>IF(K818="","",K818/MAX(K$5:K818)-1)</f>
        <v/>
      </c>
      <c r="N818" s="13" t="str">
        <f>IF(OR('实盘净值数据(iFinD）'!$A818="",'实盘净值数据(iFinD）'!$B818="",'实盘净值数据(iFinD）'!$Z818="",'实盘净值数据(iFinD）'!$AA818=""),"",分期持仓明细!$AB$24*(SUMPRODUCT(分期持仓明细!$B$24:$Y$24,'实盘净值数据(iFinD）'!$B818:$Y818/'实盘净值数据(iFinD）'!$B$65:$Y$65)+SUMPRODUCT(分期持仓明细!$AC$24:$AD$24,'实盘净值数据(iFinD）'!$Z818:$AA818/'实盘净值数据(iFinD）'!$Z$65:$AA$65))*(1-实盘持仓初始配置!$Z$8)^(('实盘净值数据(iFinD）'!$A818-'实盘净值数据(iFinD）'!$A$5)/365))</f>
        <v/>
      </c>
      <c r="O818" s="16" t="str">
        <f t="shared" si="76"/>
        <v/>
      </c>
      <c r="P818" s="16" t="str">
        <f>IF(N818="","",N818/MAX(N$5:N818)-1)</f>
        <v/>
      </c>
      <c r="Q818" s="13" t="str">
        <f>IF(OR('实盘净值数据(iFinD）'!$A818="",'实盘净值数据(iFinD）'!$B818="",'实盘净值数据(iFinD）'!$Z818="",'实盘净值数据(iFinD）'!$AA818=""),"",分期持仓明细!$AB$25*(SUMPRODUCT(分期持仓明细!$B$25:$Y$25,'实盘净值数据(iFinD）'!$B818:$Y818/'实盘净值数据(iFinD）'!$B$65:$Y$65)+SUMPRODUCT(分期持仓明细!$AC$25:$AD$25,'实盘净值数据(iFinD）'!$Z818:$AA818/'实盘净值数据(iFinD）'!$Z$65:$AA$65))*(1-实盘持仓初始配置!$Z$9)^(('实盘净值数据(iFinD）'!$A818-'实盘净值数据(iFinD）'!$A$8)/365))</f>
        <v/>
      </c>
      <c r="R818" s="16" t="str">
        <f t="shared" si="77"/>
        <v/>
      </c>
      <c r="S818" s="16" t="str">
        <f>IF(Q818="","",Q818/MAX(Q$5:Q818)-1)</f>
        <v/>
      </c>
      <c r="T818" s="13">
        <f>IF(OR('实盘净值数据(iFinD）'!$A818="",'实盘净值数据(iFinD）'!$B818="",'实盘净值数据(iFinD）'!$Z818="",'实盘净值数据(iFinD）'!$AA818="",'实盘净值数据(iFinD）'!$AB818="",'实盘净值数据(iFinD）'!$AL818=""),"",(SUMPRODUCT(分期持仓明细!$B$26:$Y$26,'实盘净值数据(iFinD）'!$B818:$Y818/'实盘净值数据(iFinD）'!$B$69:$Y$69)+SUMPRODUCT(分期持仓明细!$AC$26:$AD$26,'实盘净值数据(iFinD）'!$Z818:$AA818/'实盘净值数据(iFinD）'!$Z$69:$AA$69)+SUMPRODUCT(分期持仓明细!$AE$26:$AO$26,'实盘净值数据(iFinD）'!$AB818:$AL818/'实盘净值数据(iFinD）'!$AB$69:$AL$69))*(1-实盘持仓初始配置!$Z$10)^(('实盘净值数据(iFinD）'!$A818-'实盘净值数据(iFinD）'!$A$69)/365))</f>
        <v/>
      </c>
      <c r="U818" s="16">
        <f>IF(OR(T817="",T818=""),"",T818/T817-1)</f>
        <v/>
      </c>
      <c r="V818" s="16">
        <f>IF(T818="","",T818/MAX(T$5:T818)-1)</f>
        <v/>
      </c>
    </row>
    <row r="819" spans="1:19">
      <c r="A819" s="15" t="str">
        <f>IF('实盘净值数据(iFinD）'!A819="","",'实盘净值数据(iFinD）'!A819)</f>
        <v/>
      </c>
      <c r="B819" s="13" t="str">
        <f>IF(OR('实盘净值数据(iFinD）'!$A819="",'实盘净值数据(iFinD）'!$B819=""),"",分期持仓明细!$AB$17*SUMPRODUCT(分期持仓明细!$B$17:$Y$17,'实盘净值数据(iFinD）'!$B819:$Y819/'实盘净值数据(iFinD）'!$B$20:$Y$20)*(1-实盘持仓初始配置!$Z$4)^(('实盘净值数据(iFinD）'!$A819-'实盘净值数据(iFinD）'!$A$6)/365))</f>
        <v/>
      </c>
      <c r="C819" s="16" t="str">
        <f t="shared" si="72"/>
        <v/>
      </c>
      <c r="D819" s="16" t="str">
        <f>IF(B819="","",B819/MAX(B$5:B819)-1)</f>
        <v/>
      </c>
      <c r="E819" s="13" t="str">
        <f>IF(OR('实盘净值数据(iFinD）'!$A819="",'实盘净值数据(iFinD）'!$B819=""),"",分期持仓明细!$AB$18*SUMPRODUCT(分期持仓明细!$B$18:$Y$18,'实盘净值数据(iFinD）'!$B819:$Y819/'实盘净值数据(iFinD）'!$B$20:$Y$20)*(1-实盘持仓初始配置!$Z$5)^(('实盘净值数据(iFinD）'!$A819-'实盘净值数据(iFinD）'!$A$5)/365))</f>
        <v/>
      </c>
      <c r="F819" s="16" t="str">
        <f t="shared" si="73"/>
        <v/>
      </c>
      <c r="G819" s="16" t="str">
        <f>IF(E819="","",E819/MAX(E$5:E819)-1)</f>
        <v/>
      </c>
      <c r="H819" s="13" t="str">
        <f>IF(OR('实盘净值数据(iFinD）'!$A819="",'实盘净值数据(iFinD）'!$B819=""),"",分期持仓明细!$AB$19*SUMPRODUCT(分期持仓明细!$B$19:$Y$19,'实盘净值数据(iFinD）'!$B819:$Y819/'实盘净值数据(iFinD）'!$B$20:$Y$20)*(1-实盘持仓初始配置!$Z$6)^(('实盘净值数据(iFinD）'!$A819-'实盘净值数据(iFinD）'!$A$7)/365))</f>
        <v/>
      </c>
      <c r="I819" s="16" t="str">
        <f t="shared" si="74"/>
        <v/>
      </c>
      <c r="J819" s="16" t="str">
        <f>IF(H819="","",H819/MAX(H$5:H819)-1)</f>
        <v/>
      </c>
      <c r="K819" s="13" t="str">
        <f>IF(OR('实盘净值数据(iFinD）'!$A819="",'实盘净值数据(iFinD）'!$B819="",'实盘净值数据(iFinD）'!$Z819="",'实盘净值数据(iFinD）'!$AA819=""),"",分期持仓明细!$AB$23*(SUMPRODUCT(分期持仓明细!$B$23:$Y$23,'实盘净值数据(iFinD）'!$B819:$Y819/'实盘净值数据(iFinD）'!$B$65:$Y$65)+SUMPRODUCT(分期持仓明细!$AC$23:$AD$23,'实盘净值数据(iFinD）'!$Z819:$AA819/'实盘净值数据(iFinD）'!$Z$65:$AA$65))*(1-实盘持仓初始配置!$Z$7)^(('实盘净值数据(iFinD）'!$A819-'实盘净值数据(iFinD）'!$A$8)/365))</f>
        <v/>
      </c>
      <c r="L819" s="16" t="str">
        <f t="shared" si="75"/>
        <v/>
      </c>
      <c r="M819" s="16" t="str">
        <f>IF(K819="","",K819/MAX(K$5:K819)-1)</f>
        <v/>
      </c>
      <c r="N819" s="13" t="str">
        <f>IF(OR('实盘净值数据(iFinD）'!$A819="",'实盘净值数据(iFinD）'!$B819="",'实盘净值数据(iFinD）'!$Z819="",'实盘净值数据(iFinD）'!$AA819=""),"",分期持仓明细!$AB$24*(SUMPRODUCT(分期持仓明细!$B$24:$Y$24,'实盘净值数据(iFinD）'!$B819:$Y819/'实盘净值数据(iFinD）'!$B$65:$Y$65)+SUMPRODUCT(分期持仓明细!$AC$24:$AD$24,'实盘净值数据(iFinD）'!$Z819:$AA819/'实盘净值数据(iFinD）'!$Z$65:$AA$65))*(1-实盘持仓初始配置!$Z$8)^(('实盘净值数据(iFinD）'!$A819-'实盘净值数据(iFinD）'!$A$5)/365))</f>
        <v/>
      </c>
      <c r="O819" s="16" t="str">
        <f t="shared" si="76"/>
        <v/>
      </c>
      <c r="P819" s="16" t="str">
        <f>IF(N819="","",N819/MAX(N$5:N819)-1)</f>
        <v/>
      </c>
      <c r="Q819" s="13" t="str">
        <f>IF(OR('实盘净值数据(iFinD）'!$A819="",'实盘净值数据(iFinD）'!$B819="",'实盘净值数据(iFinD）'!$Z819="",'实盘净值数据(iFinD）'!$AA819=""),"",分期持仓明细!$AB$25*(SUMPRODUCT(分期持仓明细!$B$25:$Y$25,'实盘净值数据(iFinD）'!$B819:$Y819/'实盘净值数据(iFinD）'!$B$65:$Y$65)+SUMPRODUCT(分期持仓明细!$AC$25:$AD$25,'实盘净值数据(iFinD）'!$Z819:$AA819/'实盘净值数据(iFinD）'!$Z$65:$AA$65))*(1-实盘持仓初始配置!$Z$9)^(('实盘净值数据(iFinD）'!$A819-'实盘净值数据(iFinD）'!$A$8)/365))</f>
        <v/>
      </c>
      <c r="R819" s="16" t="str">
        <f t="shared" si="77"/>
        <v/>
      </c>
      <c r="S819" s="16" t="str">
        <f>IF(Q819="","",Q819/MAX(Q$5:Q819)-1)</f>
        <v/>
      </c>
      <c r="T819" s="13">
        <f>IF(OR('实盘净值数据(iFinD）'!$A819="",'实盘净值数据(iFinD）'!$B819="",'实盘净值数据(iFinD）'!$Z819="",'实盘净值数据(iFinD）'!$AA819="",'实盘净值数据(iFinD）'!$AB819="",'实盘净值数据(iFinD）'!$AL819=""),"",(SUMPRODUCT(分期持仓明细!$B$26:$Y$26,'实盘净值数据(iFinD）'!$B819:$Y819/'实盘净值数据(iFinD）'!$B$69:$Y$69)+SUMPRODUCT(分期持仓明细!$AC$26:$AD$26,'实盘净值数据(iFinD）'!$Z819:$AA819/'实盘净值数据(iFinD）'!$Z$69:$AA$69)+SUMPRODUCT(分期持仓明细!$AE$26:$AO$26,'实盘净值数据(iFinD）'!$AB819:$AL819/'实盘净值数据(iFinD）'!$AB$69:$AL$69))*(1-实盘持仓初始配置!$Z$10)^(('实盘净值数据(iFinD）'!$A819-'实盘净值数据(iFinD）'!$A$69)/365))</f>
        <v/>
      </c>
      <c r="U819" s="16">
        <f>IF(OR(T818="",T819=""),"",T819/T818-1)</f>
        <v/>
      </c>
      <c r="V819" s="16">
        <f>IF(T819="","",T819/MAX(T$5:T819)-1)</f>
        <v/>
      </c>
    </row>
    <row r="820" spans="1:19">
      <c r="A820" s="15" t="str">
        <f>IF('实盘净值数据(iFinD）'!A820="","",'实盘净值数据(iFinD）'!A820)</f>
        <v/>
      </c>
      <c r="B820" s="13" t="str">
        <f>IF(OR('实盘净值数据(iFinD）'!$A820="",'实盘净值数据(iFinD）'!$B820=""),"",分期持仓明细!$AB$17*SUMPRODUCT(分期持仓明细!$B$17:$Y$17,'实盘净值数据(iFinD）'!$B820:$Y820/'实盘净值数据(iFinD）'!$B$20:$Y$20)*(1-实盘持仓初始配置!$Z$4)^(('实盘净值数据(iFinD）'!$A820-'实盘净值数据(iFinD）'!$A$6)/365))</f>
        <v/>
      </c>
      <c r="C820" s="16" t="str">
        <f t="shared" si="72"/>
        <v/>
      </c>
      <c r="D820" s="16" t="str">
        <f>IF(B820="","",B820/MAX(B$5:B820)-1)</f>
        <v/>
      </c>
      <c r="E820" s="13" t="str">
        <f>IF(OR('实盘净值数据(iFinD）'!$A820="",'实盘净值数据(iFinD）'!$B820=""),"",分期持仓明细!$AB$18*SUMPRODUCT(分期持仓明细!$B$18:$Y$18,'实盘净值数据(iFinD）'!$B820:$Y820/'实盘净值数据(iFinD）'!$B$20:$Y$20)*(1-实盘持仓初始配置!$Z$5)^(('实盘净值数据(iFinD）'!$A820-'实盘净值数据(iFinD）'!$A$5)/365))</f>
        <v/>
      </c>
      <c r="F820" s="16" t="str">
        <f t="shared" si="73"/>
        <v/>
      </c>
      <c r="G820" s="16" t="str">
        <f>IF(E820="","",E820/MAX(E$5:E820)-1)</f>
        <v/>
      </c>
      <c r="H820" s="13" t="str">
        <f>IF(OR('实盘净值数据(iFinD）'!$A820="",'实盘净值数据(iFinD）'!$B820=""),"",分期持仓明细!$AB$19*SUMPRODUCT(分期持仓明细!$B$19:$Y$19,'实盘净值数据(iFinD）'!$B820:$Y820/'实盘净值数据(iFinD）'!$B$20:$Y$20)*(1-实盘持仓初始配置!$Z$6)^(('实盘净值数据(iFinD）'!$A820-'实盘净值数据(iFinD）'!$A$7)/365))</f>
        <v/>
      </c>
      <c r="I820" s="16" t="str">
        <f t="shared" si="74"/>
        <v/>
      </c>
      <c r="J820" s="16" t="str">
        <f>IF(H820="","",H820/MAX(H$5:H820)-1)</f>
        <v/>
      </c>
      <c r="K820" s="13" t="str">
        <f>IF(OR('实盘净值数据(iFinD）'!$A820="",'实盘净值数据(iFinD）'!$B820="",'实盘净值数据(iFinD）'!$Z820="",'实盘净值数据(iFinD）'!$AA820=""),"",分期持仓明细!$AB$23*(SUMPRODUCT(分期持仓明细!$B$23:$Y$23,'实盘净值数据(iFinD）'!$B820:$Y820/'实盘净值数据(iFinD）'!$B$65:$Y$65)+SUMPRODUCT(分期持仓明细!$AC$23:$AD$23,'实盘净值数据(iFinD）'!$Z820:$AA820/'实盘净值数据(iFinD）'!$Z$65:$AA$65))*(1-实盘持仓初始配置!$Z$7)^(('实盘净值数据(iFinD）'!$A820-'实盘净值数据(iFinD）'!$A$8)/365))</f>
        <v/>
      </c>
      <c r="L820" s="16" t="str">
        <f t="shared" si="75"/>
        <v/>
      </c>
      <c r="M820" s="16" t="str">
        <f>IF(K820="","",K820/MAX(K$5:K820)-1)</f>
        <v/>
      </c>
      <c r="N820" s="13" t="str">
        <f>IF(OR('实盘净值数据(iFinD）'!$A820="",'实盘净值数据(iFinD）'!$B820="",'实盘净值数据(iFinD）'!$Z820="",'实盘净值数据(iFinD）'!$AA820=""),"",分期持仓明细!$AB$24*(SUMPRODUCT(分期持仓明细!$B$24:$Y$24,'实盘净值数据(iFinD）'!$B820:$Y820/'实盘净值数据(iFinD）'!$B$65:$Y$65)+SUMPRODUCT(分期持仓明细!$AC$24:$AD$24,'实盘净值数据(iFinD）'!$Z820:$AA820/'实盘净值数据(iFinD）'!$Z$65:$AA$65))*(1-实盘持仓初始配置!$Z$8)^(('实盘净值数据(iFinD）'!$A820-'实盘净值数据(iFinD）'!$A$5)/365))</f>
        <v/>
      </c>
      <c r="O820" s="16" t="str">
        <f t="shared" si="76"/>
        <v/>
      </c>
      <c r="P820" s="16" t="str">
        <f>IF(N820="","",N820/MAX(N$5:N820)-1)</f>
        <v/>
      </c>
      <c r="Q820" s="13" t="str">
        <f>IF(OR('实盘净值数据(iFinD）'!$A820="",'实盘净值数据(iFinD）'!$B820="",'实盘净值数据(iFinD）'!$Z820="",'实盘净值数据(iFinD）'!$AA820=""),"",分期持仓明细!$AB$25*(SUMPRODUCT(分期持仓明细!$B$25:$Y$25,'实盘净值数据(iFinD）'!$B820:$Y820/'实盘净值数据(iFinD）'!$B$65:$Y$65)+SUMPRODUCT(分期持仓明细!$AC$25:$AD$25,'实盘净值数据(iFinD）'!$Z820:$AA820/'实盘净值数据(iFinD）'!$Z$65:$AA$65))*(1-实盘持仓初始配置!$Z$9)^(('实盘净值数据(iFinD）'!$A820-'实盘净值数据(iFinD）'!$A$8)/365))</f>
        <v/>
      </c>
      <c r="R820" s="16" t="str">
        <f t="shared" si="77"/>
        <v/>
      </c>
      <c r="S820" s="16" t="str">
        <f>IF(Q820="","",Q820/MAX(Q$5:Q820)-1)</f>
        <v/>
      </c>
      <c r="T820" s="13">
        <f>IF(OR('实盘净值数据(iFinD）'!$A820="",'实盘净值数据(iFinD）'!$B820="",'实盘净值数据(iFinD）'!$Z820="",'实盘净值数据(iFinD）'!$AA820="",'实盘净值数据(iFinD）'!$AB820="",'实盘净值数据(iFinD）'!$AL820=""),"",(SUMPRODUCT(分期持仓明细!$B$26:$Y$26,'实盘净值数据(iFinD）'!$B820:$Y820/'实盘净值数据(iFinD）'!$B$69:$Y$69)+SUMPRODUCT(分期持仓明细!$AC$26:$AD$26,'实盘净值数据(iFinD）'!$Z820:$AA820/'实盘净值数据(iFinD）'!$Z$69:$AA$69)+SUMPRODUCT(分期持仓明细!$AE$26:$AO$26,'实盘净值数据(iFinD）'!$AB820:$AL820/'实盘净值数据(iFinD）'!$AB$69:$AL$69))*(1-实盘持仓初始配置!$Z$10)^(('实盘净值数据(iFinD）'!$A820-'实盘净值数据(iFinD）'!$A$69)/365))</f>
        <v/>
      </c>
      <c r="U820" s="16">
        <f>IF(OR(T819="",T820=""),"",T820/T819-1)</f>
        <v/>
      </c>
      <c r="V820" s="16">
        <f>IF(T820="","",T820/MAX(T$5:T820)-1)</f>
        <v/>
      </c>
    </row>
    <row r="821" spans="1:19">
      <c r="A821" s="15" t="str">
        <f>IF('实盘净值数据(iFinD）'!A821="","",'实盘净值数据(iFinD）'!A821)</f>
        <v/>
      </c>
      <c r="B821" s="13" t="str">
        <f>IF(OR('实盘净值数据(iFinD）'!$A821="",'实盘净值数据(iFinD）'!$B821=""),"",分期持仓明细!$AB$17*SUMPRODUCT(分期持仓明细!$B$17:$Y$17,'实盘净值数据(iFinD）'!$B821:$Y821/'实盘净值数据(iFinD）'!$B$20:$Y$20)*(1-实盘持仓初始配置!$Z$4)^(('实盘净值数据(iFinD）'!$A821-'实盘净值数据(iFinD）'!$A$6)/365))</f>
        <v/>
      </c>
      <c r="C821" s="16" t="str">
        <f t="shared" si="72"/>
        <v/>
      </c>
      <c r="D821" s="16" t="str">
        <f>IF(B821="","",B821/MAX(B$5:B821)-1)</f>
        <v/>
      </c>
      <c r="E821" s="13" t="str">
        <f>IF(OR('实盘净值数据(iFinD）'!$A821="",'实盘净值数据(iFinD）'!$B821=""),"",分期持仓明细!$AB$18*SUMPRODUCT(分期持仓明细!$B$18:$Y$18,'实盘净值数据(iFinD）'!$B821:$Y821/'实盘净值数据(iFinD）'!$B$20:$Y$20)*(1-实盘持仓初始配置!$Z$5)^(('实盘净值数据(iFinD）'!$A821-'实盘净值数据(iFinD）'!$A$5)/365))</f>
        <v/>
      </c>
      <c r="F821" s="16" t="str">
        <f t="shared" si="73"/>
        <v/>
      </c>
      <c r="G821" s="16" t="str">
        <f>IF(E821="","",E821/MAX(E$5:E821)-1)</f>
        <v/>
      </c>
      <c r="H821" s="13" t="str">
        <f>IF(OR('实盘净值数据(iFinD）'!$A821="",'实盘净值数据(iFinD）'!$B821=""),"",分期持仓明细!$AB$19*SUMPRODUCT(分期持仓明细!$B$19:$Y$19,'实盘净值数据(iFinD）'!$B821:$Y821/'实盘净值数据(iFinD）'!$B$20:$Y$20)*(1-实盘持仓初始配置!$Z$6)^(('实盘净值数据(iFinD）'!$A821-'实盘净值数据(iFinD）'!$A$7)/365))</f>
        <v/>
      </c>
      <c r="I821" s="16" t="str">
        <f t="shared" si="74"/>
        <v/>
      </c>
      <c r="J821" s="16" t="str">
        <f>IF(H821="","",H821/MAX(H$5:H821)-1)</f>
        <v/>
      </c>
      <c r="K821" s="13" t="str">
        <f>IF(OR('实盘净值数据(iFinD）'!$A821="",'实盘净值数据(iFinD）'!$B821="",'实盘净值数据(iFinD）'!$Z821="",'实盘净值数据(iFinD）'!$AA821=""),"",分期持仓明细!$AB$23*(SUMPRODUCT(分期持仓明细!$B$23:$Y$23,'实盘净值数据(iFinD）'!$B821:$Y821/'实盘净值数据(iFinD）'!$B$65:$Y$65)+SUMPRODUCT(分期持仓明细!$AC$23:$AD$23,'实盘净值数据(iFinD）'!$Z821:$AA821/'实盘净值数据(iFinD）'!$Z$65:$AA$65))*(1-实盘持仓初始配置!$Z$7)^(('实盘净值数据(iFinD）'!$A821-'实盘净值数据(iFinD）'!$A$8)/365))</f>
        <v/>
      </c>
      <c r="L821" s="16" t="str">
        <f t="shared" si="75"/>
        <v/>
      </c>
      <c r="M821" s="16" t="str">
        <f>IF(K821="","",K821/MAX(K$5:K821)-1)</f>
        <v/>
      </c>
      <c r="N821" s="13" t="str">
        <f>IF(OR('实盘净值数据(iFinD）'!$A821="",'实盘净值数据(iFinD）'!$B821="",'实盘净值数据(iFinD）'!$Z821="",'实盘净值数据(iFinD）'!$AA821=""),"",分期持仓明细!$AB$24*(SUMPRODUCT(分期持仓明细!$B$24:$Y$24,'实盘净值数据(iFinD）'!$B821:$Y821/'实盘净值数据(iFinD）'!$B$65:$Y$65)+SUMPRODUCT(分期持仓明细!$AC$24:$AD$24,'实盘净值数据(iFinD）'!$Z821:$AA821/'实盘净值数据(iFinD）'!$Z$65:$AA$65))*(1-实盘持仓初始配置!$Z$8)^(('实盘净值数据(iFinD）'!$A821-'实盘净值数据(iFinD）'!$A$5)/365))</f>
        <v/>
      </c>
      <c r="O821" s="16" t="str">
        <f t="shared" si="76"/>
        <v/>
      </c>
      <c r="P821" s="16" t="str">
        <f>IF(N821="","",N821/MAX(N$5:N821)-1)</f>
        <v/>
      </c>
      <c r="Q821" s="13" t="str">
        <f>IF(OR('实盘净值数据(iFinD）'!$A821="",'实盘净值数据(iFinD）'!$B821="",'实盘净值数据(iFinD）'!$Z821="",'实盘净值数据(iFinD）'!$AA821=""),"",分期持仓明细!$AB$25*(SUMPRODUCT(分期持仓明细!$B$25:$Y$25,'实盘净值数据(iFinD）'!$B821:$Y821/'实盘净值数据(iFinD）'!$B$65:$Y$65)+SUMPRODUCT(分期持仓明细!$AC$25:$AD$25,'实盘净值数据(iFinD）'!$Z821:$AA821/'实盘净值数据(iFinD）'!$Z$65:$AA$65))*(1-实盘持仓初始配置!$Z$9)^(('实盘净值数据(iFinD）'!$A821-'实盘净值数据(iFinD）'!$A$8)/365))</f>
        <v/>
      </c>
      <c r="R821" s="16" t="str">
        <f t="shared" si="77"/>
        <v/>
      </c>
      <c r="S821" s="16" t="str">
        <f>IF(Q821="","",Q821/MAX(Q$5:Q821)-1)</f>
        <v/>
      </c>
      <c r="T821" s="13">
        <f>IF(OR('实盘净值数据(iFinD）'!$A821="",'实盘净值数据(iFinD）'!$B821="",'实盘净值数据(iFinD）'!$Z821="",'实盘净值数据(iFinD）'!$AA821="",'实盘净值数据(iFinD）'!$AB821="",'实盘净值数据(iFinD）'!$AL821=""),"",(SUMPRODUCT(分期持仓明细!$B$26:$Y$26,'实盘净值数据(iFinD）'!$B821:$Y821/'实盘净值数据(iFinD）'!$B$69:$Y$69)+SUMPRODUCT(分期持仓明细!$AC$26:$AD$26,'实盘净值数据(iFinD）'!$Z821:$AA821/'实盘净值数据(iFinD）'!$Z$69:$AA$69)+SUMPRODUCT(分期持仓明细!$AE$26:$AO$26,'实盘净值数据(iFinD）'!$AB821:$AL821/'实盘净值数据(iFinD）'!$AB$69:$AL$69))*(1-实盘持仓初始配置!$Z$10)^(('实盘净值数据(iFinD）'!$A821-'实盘净值数据(iFinD）'!$A$69)/365))</f>
        <v/>
      </c>
      <c r="U821" s="16">
        <f>IF(OR(T820="",T821=""),"",T821/T820-1)</f>
        <v/>
      </c>
      <c r="V821" s="16">
        <f>IF(T821="","",T821/MAX(T$5:T821)-1)</f>
        <v/>
      </c>
    </row>
    <row r="822" spans="1:19">
      <c r="A822" s="15" t="str">
        <f>IF('实盘净值数据(iFinD）'!A822="","",'实盘净值数据(iFinD）'!A822)</f>
        <v/>
      </c>
      <c r="B822" s="13" t="str">
        <f>IF(OR('实盘净值数据(iFinD）'!$A822="",'实盘净值数据(iFinD）'!$B822=""),"",分期持仓明细!$AB$17*SUMPRODUCT(分期持仓明细!$B$17:$Y$17,'实盘净值数据(iFinD）'!$B822:$Y822/'实盘净值数据(iFinD）'!$B$20:$Y$20)*(1-实盘持仓初始配置!$Z$4)^(('实盘净值数据(iFinD）'!$A822-'实盘净值数据(iFinD）'!$A$6)/365))</f>
        <v/>
      </c>
      <c r="C822" s="16" t="str">
        <f t="shared" si="72"/>
        <v/>
      </c>
      <c r="D822" s="16" t="str">
        <f>IF(B822="","",B822/MAX(B$5:B822)-1)</f>
        <v/>
      </c>
      <c r="E822" s="13" t="str">
        <f>IF(OR('实盘净值数据(iFinD）'!$A822="",'实盘净值数据(iFinD）'!$B822=""),"",分期持仓明细!$AB$18*SUMPRODUCT(分期持仓明细!$B$18:$Y$18,'实盘净值数据(iFinD）'!$B822:$Y822/'实盘净值数据(iFinD）'!$B$20:$Y$20)*(1-实盘持仓初始配置!$Z$5)^(('实盘净值数据(iFinD）'!$A822-'实盘净值数据(iFinD）'!$A$5)/365))</f>
        <v/>
      </c>
      <c r="F822" s="16" t="str">
        <f t="shared" si="73"/>
        <v/>
      </c>
      <c r="G822" s="16" t="str">
        <f>IF(E822="","",E822/MAX(E$5:E822)-1)</f>
        <v/>
      </c>
      <c r="H822" s="13" t="str">
        <f>IF(OR('实盘净值数据(iFinD）'!$A822="",'实盘净值数据(iFinD）'!$B822=""),"",分期持仓明细!$AB$19*SUMPRODUCT(分期持仓明细!$B$19:$Y$19,'实盘净值数据(iFinD）'!$B822:$Y822/'实盘净值数据(iFinD）'!$B$20:$Y$20)*(1-实盘持仓初始配置!$Z$6)^(('实盘净值数据(iFinD）'!$A822-'实盘净值数据(iFinD）'!$A$7)/365))</f>
        <v/>
      </c>
      <c r="I822" s="16" t="str">
        <f t="shared" si="74"/>
        <v/>
      </c>
      <c r="J822" s="16" t="str">
        <f>IF(H822="","",H822/MAX(H$5:H822)-1)</f>
        <v/>
      </c>
      <c r="K822" s="13" t="str">
        <f>IF(OR('实盘净值数据(iFinD）'!$A822="",'实盘净值数据(iFinD）'!$B822="",'实盘净值数据(iFinD）'!$Z822="",'实盘净值数据(iFinD）'!$AA822=""),"",分期持仓明细!$AB$23*(SUMPRODUCT(分期持仓明细!$B$23:$Y$23,'实盘净值数据(iFinD）'!$B822:$Y822/'实盘净值数据(iFinD）'!$B$65:$Y$65)+SUMPRODUCT(分期持仓明细!$AC$23:$AD$23,'实盘净值数据(iFinD）'!$Z822:$AA822/'实盘净值数据(iFinD）'!$Z$65:$AA$65))*(1-实盘持仓初始配置!$Z$7)^(('实盘净值数据(iFinD）'!$A822-'实盘净值数据(iFinD）'!$A$8)/365))</f>
        <v/>
      </c>
      <c r="L822" s="16" t="str">
        <f t="shared" si="75"/>
        <v/>
      </c>
      <c r="M822" s="16" t="str">
        <f>IF(K822="","",K822/MAX(K$5:K822)-1)</f>
        <v/>
      </c>
      <c r="N822" s="13" t="str">
        <f>IF(OR('实盘净值数据(iFinD）'!$A822="",'实盘净值数据(iFinD）'!$B822="",'实盘净值数据(iFinD）'!$Z822="",'实盘净值数据(iFinD）'!$AA822=""),"",分期持仓明细!$AB$24*(SUMPRODUCT(分期持仓明细!$B$24:$Y$24,'实盘净值数据(iFinD）'!$B822:$Y822/'实盘净值数据(iFinD）'!$B$65:$Y$65)+SUMPRODUCT(分期持仓明细!$AC$24:$AD$24,'实盘净值数据(iFinD）'!$Z822:$AA822/'实盘净值数据(iFinD）'!$Z$65:$AA$65))*(1-实盘持仓初始配置!$Z$8)^(('实盘净值数据(iFinD）'!$A822-'实盘净值数据(iFinD）'!$A$5)/365))</f>
        <v/>
      </c>
      <c r="O822" s="16" t="str">
        <f t="shared" si="76"/>
        <v/>
      </c>
      <c r="P822" s="16" t="str">
        <f>IF(N822="","",N822/MAX(N$5:N822)-1)</f>
        <v/>
      </c>
      <c r="Q822" s="13" t="str">
        <f>IF(OR('实盘净值数据(iFinD）'!$A822="",'实盘净值数据(iFinD）'!$B822="",'实盘净值数据(iFinD）'!$Z822="",'实盘净值数据(iFinD）'!$AA822=""),"",分期持仓明细!$AB$25*(SUMPRODUCT(分期持仓明细!$B$25:$Y$25,'实盘净值数据(iFinD）'!$B822:$Y822/'实盘净值数据(iFinD）'!$B$65:$Y$65)+SUMPRODUCT(分期持仓明细!$AC$25:$AD$25,'实盘净值数据(iFinD）'!$Z822:$AA822/'实盘净值数据(iFinD）'!$Z$65:$AA$65))*(1-实盘持仓初始配置!$Z$9)^(('实盘净值数据(iFinD）'!$A822-'实盘净值数据(iFinD）'!$A$8)/365))</f>
        <v/>
      </c>
      <c r="R822" s="16" t="str">
        <f t="shared" si="77"/>
        <v/>
      </c>
      <c r="S822" s="16" t="str">
        <f>IF(Q822="","",Q822/MAX(Q$5:Q822)-1)</f>
        <v/>
      </c>
      <c r="T822" s="13">
        <f>IF(OR('实盘净值数据(iFinD）'!$A822="",'实盘净值数据(iFinD）'!$B822="",'实盘净值数据(iFinD）'!$Z822="",'实盘净值数据(iFinD）'!$AA822="",'实盘净值数据(iFinD）'!$AB822="",'实盘净值数据(iFinD）'!$AL822=""),"",(SUMPRODUCT(分期持仓明细!$B$26:$Y$26,'实盘净值数据(iFinD）'!$B822:$Y822/'实盘净值数据(iFinD）'!$B$69:$Y$69)+SUMPRODUCT(分期持仓明细!$AC$26:$AD$26,'实盘净值数据(iFinD）'!$Z822:$AA822/'实盘净值数据(iFinD）'!$Z$69:$AA$69)+SUMPRODUCT(分期持仓明细!$AE$26:$AO$26,'实盘净值数据(iFinD）'!$AB822:$AL822/'实盘净值数据(iFinD）'!$AB$69:$AL$69))*(1-实盘持仓初始配置!$Z$10)^(('实盘净值数据(iFinD）'!$A822-'实盘净值数据(iFinD）'!$A$69)/365))</f>
        <v/>
      </c>
      <c r="U822" s="16">
        <f>IF(OR(T821="",T822=""),"",T822/T821-1)</f>
        <v/>
      </c>
      <c r="V822" s="16">
        <f>IF(T822="","",T822/MAX(T$5:T822)-1)</f>
        <v/>
      </c>
    </row>
    <row r="823" spans="1:19">
      <c r="A823" s="15" t="str">
        <f>IF('实盘净值数据(iFinD）'!A823="","",'实盘净值数据(iFinD）'!A823)</f>
        <v/>
      </c>
      <c r="B823" s="13" t="str">
        <f>IF(OR('实盘净值数据(iFinD）'!$A823="",'实盘净值数据(iFinD）'!$B823=""),"",分期持仓明细!$AB$17*SUMPRODUCT(分期持仓明细!$B$17:$Y$17,'实盘净值数据(iFinD）'!$B823:$Y823/'实盘净值数据(iFinD）'!$B$20:$Y$20)*(1-实盘持仓初始配置!$Z$4)^(('实盘净值数据(iFinD）'!$A823-'实盘净值数据(iFinD）'!$A$6)/365))</f>
        <v/>
      </c>
      <c r="C823" s="16" t="str">
        <f t="shared" si="72"/>
        <v/>
      </c>
      <c r="D823" s="16" t="str">
        <f>IF(B823="","",B823/MAX(B$5:B823)-1)</f>
        <v/>
      </c>
      <c r="E823" s="13" t="str">
        <f>IF(OR('实盘净值数据(iFinD）'!$A823="",'实盘净值数据(iFinD）'!$B823=""),"",分期持仓明细!$AB$18*SUMPRODUCT(分期持仓明细!$B$18:$Y$18,'实盘净值数据(iFinD）'!$B823:$Y823/'实盘净值数据(iFinD）'!$B$20:$Y$20)*(1-实盘持仓初始配置!$Z$5)^(('实盘净值数据(iFinD）'!$A823-'实盘净值数据(iFinD）'!$A$5)/365))</f>
        <v/>
      </c>
      <c r="F823" s="16" t="str">
        <f t="shared" si="73"/>
        <v/>
      </c>
      <c r="G823" s="16" t="str">
        <f>IF(E823="","",E823/MAX(E$5:E823)-1)</f>
        <v/>
      </c>
      <c r="H823" s="13" t="str">
        <f>IF(OR('实盘净值数据(iFinD）'!$A823="",'实盘净值数据(iFinD）'!$B823=""),"",分期持仓明细!$AB$19*SUMPRODUCT(分期持仓明细!$B$19:$Y$19,'实盘净值数据(iFinD）'!$B823:$Y823/'实盘净值数据(iFinD）'!$B$20:$Y$20)*(1-实盘持仓初始配置!$Z$6)^(('实盘净值数据(iFinD）'!$A823-'实盘净值数据(iFinD）'!$A$7)/365))</f>
        <v/>
      </c>
      <c r="I823" s="16" t="str">
        <f t="shared" si="74"/>
        <v/>
      </c>
      <c r="J823" s="16" t="str">
        <f>IF(H823="","",H823/MAX(H$5:H823)-1)</f>
        <v/>
      </c>
      <c r="K823" s="13" t="str">
        <f>IF(OR('实盘净值数据(iFinD）'!$A823="",'实盘净值数据(iFinD）'!$B823="",'实盘净值数据(iFinD）'!$Z823="",'实盘净值数据(iFinD）'!$AA823=""),"",分期持仓明细!$AB$23*(SUMPRODUCT(分期持仓明细!$B$23:$Y$23,'实盘净值数据(iFinD）'!$B823:$Y823/'实盘净值数据(iFinD）'!$B$65:$Y$65)+SUMPRODUCT(分期持仓明细!$AC$23:$AD$23,'实盘净值数据(iFinD）'!$Z823:$AA823/'实盘净值数据(iFinD）'!$Z$65:$AA$65))*(1-实盘持仓初始配置!$Z$7)^(('实盘净值数据(iFinD）'!$A823-'实盘净值数据(iFinD）'!$A$8)/365))</f>
        <v/>
      </c>
      <c r="L823" s="16" t="str">
        <f t="shared" si="75"/>
        <v/>
      </c>
      <c r="M823" s="16" t="str">
        <f>IF(K823="","",K823/MAX(K$5:K823)-1)</f>
        <v/>
      </c>
      <c r="N823" s="13" t="str">
        <f>IF(OR('实盘净值数据(iFinD）'!$A823="",'实盘净值数据(iFinD）'!$B823="",'实盘净值数据(iFinD）'!$Z823="",'实盘净值数据(iFinD）'!$AA823=""),"",分期持仓明细!$AB$24*(SUMPRODUCT(分期持仓明细!$B$24:$Y$24,'实盘净值数据(iFinD）'!$B823:$Y823/'实盘净值数据(iFinD）'!$B$65:$Y$65)+SUMPRODUCT(分期持仓明细!$AC$24:$AD$24,'实盘净值数据(iFinD）'!$Z823:$AA823/'实盘净值数据(iFinD）'!$Z$65:$AA$65))*(1-实盘持仓初始配置!$Z$8)^(('实盘净值数据(iFinD）'!$A823-'实盘净值数据(iFinD）'!$A$5)/365))</f>
        <v/>
      </c>
      <c r="O823" s="16" t="str">
        <f t="shared" si="76"/>
        <v/>
      </c>
      <c r="P823" s="16" t="str">
        <f>IF(N823="","",N823/MAX(N$5:N823)-1)</f>
        <v/>
      </c>
      <c r="Q823" s="13" t="str">
        <f>IF(OR('实盘净值数据(iFinD）'!$A823="",'实盘净值数据(iFinD）'!$B823="",'实盘净值数据(iFinD）'!$Z823="",'实盘净值数据(iFinD）'!$AA823=""),"",分期持仓明细!$AB$25*(SUMPRODUCT(分期持仓明细!$B$25:$Y$25,'实盘净值数据(iFinD）'!$B823:$Y823/'实盘净值数据(iFinD）'!$B$65:$Y$65)+SUMPRODUCT(分期持仓明细!$AC$25:$AD$25,'实盘净值数据(iFinD）'!$Z823:$AA823/'实盘净值数据(iFinD）'!$Z$65:$AA$65))*(1-实盘持仓初始配置!$Z$9)^(('实盘净值数据(iFinD）'!$A823-'实盘净值数据(iFinD）'!$A$8)/365))</f>
        <v/>
      </c>
      <c r="R823" s="16" t="str">
        <f t="shared" si="77"/>
        <v/>
      </c>
      <c r="S823" s="16" t="str">
        <f>IF(Q823="","",Q823/MAX(Q$5:Q823)-1)</f>
        <v/>
      </c>
      <c r="T823" s="13">
        <f>IF(OR('实盘净值数据(iFinD）'!$A823="",'实盘净值数据(iFinD）'!$B823="",'实盘净值数据(iFinD）'!$Z823="",'实盘净值数据(iFinD）'!$AA823="",'实盘净值数据(iFinD）'!$AB823="",'实盘净值数据(iFinD）'!$AL823=""),"",(SUMPRODUCT(分期持仓明细!$B$26:$Y$26,'实盘净值数据(iFinD）'!$B823:$Y823/'实盘净值数据(iFinD）'!$B$69:$Y$69)+SUMPRODUCT(分期持仓明细!$AC$26:$AD$26,'实盘净值数据(iFinD）'!$Z823:$AA823/'实盘净值数据(iFinD）'!$Z$69:$AA$69)+SUMPRODUCT(分期持仓明细!$AE$26:$AO$26,'实盘净值数据(iFinD）'!$AB823:$AL823/'实盘净值数据(iFinD）'!$AB$69:$AL$69))*(1-实盘持仓初始配置!$Z$10)^(('实盘净值数据(iFinD）'!$A823-'实盘净值数据(iFinD）'!$A$69)/365))</f>
        <v/>
      </c>
      <c r="U823" s="16">
        <f>IF(OR(T822="",T823=""),"",T823/T822-1)</f>
        <v/>
      </c>
      <c r="V823" s="16">
        <f>IF(T823="","",T823/MAX(T$5:T823)-1)</f>
        <v/>
      </c>
    </row>
    <row r="824" spans="1:19">
      <c r="A824" s="15" t="str">
        <f>IF('实盘净值数据(iFinD）'!A824="","",'实盘净值数据(iFinD）'!A824)</f>
        <v/>
      </c>
      <c r="B824" s="13" t="str">
        <f>IF(OR('实盘净值数据(iFinD）'!$A824="",'实盘净值数据(iFinD）'!$B824=""),"",分期持仓明细!$AB$17*SUMPRODUCT(分期持仓明细!$B$17:$Y$17,'实盘净值数据(iFinD）'!$B824:$Y824/'实盘净值数据(iFinD）'!$B$20:$Y$20)*(1-实盘持仓初始配置!$Z$4)^(('实盘净值数据(iFinD）'!$A824-'实盘净值数据(iFinD）'!$A$6)/365))</f>
        <v/>
      </c>
      <c r="C824" s="16" t="str">
        <f t="shared" si="72"/>
        <v/>
      </c>
      <c r="D824" s="16" t="str">
        <f>IF(B824="","",B824/MAX(B$5:B824)-1)</f>
        <v/>
      </c>
      <c r="E824" s="13" t="str">
        <f>IF(OR('实盘净值数据(iFinD）'!$A824="",'实盘净值数据(iFinD）'!$B824=""),"",分期持仓明细!$AB$18*SUMPRODUCT(分期持仓明细!$B$18:$Y$18,'实盘净值数据(iFinD）'!$B824:$Y824/'实盘净值数据(iFinD）'!$B$20:$Y$20)*(1-实盘持仓初始配置!$Z$5)^(('实盘净值数据(iFinD）'!$A824-'实盘净值数据(iFinD）'!$A$5)/365))</f>
        <v/>
      </c>
      <c r="F824" s="16" t="str">
        <f t="shared" si="73"/>
        <v/>
      </c>
      <c r="G824" s="16" t="str">
        <f>IF(E824="","",E824/MAX(E$5:E824)-1)</f>
        <v/>
      </c>
      <c r="H824" s="13" t="str">
        <f>IF(OR('实盘净值数据(iFinD）'!$A824="",'实盘净值数据(iFinD）'!$B824=""),"",分期持仓明细!$AB$19*SUMPRODUCT(分期持仓明细!$B$19:$Y$19,'实盘净值数据(iFinD）'!$B824:$Y824/'实盘净值数据(iFinD）'!$B$20:$Y$20)*(1-实盘持仓初始配置!$Z$6)^(('实盘净值数据(iFinD）'!$A824-'实盘净值数据(iFinD）'!$A$7)/365))</f>
        <v/>
      </c>
      <c r="I824" s="16" t="str">
        <f t="shared" si="74"/>
        <v/>
      </c>
      <c r="J824" s="16" t="str">
        <f>IF(H824="","",H824/MAX(H$5:H824)-1)</f>
        <v/>
      </c>
      <c r="K824" s="13" t="str">
        <f>IF(OR('实盘净值数据(iFinD）'!$A824="",'实盘净值数据(iFinD）'!$B824="",'实盘净值数据(iFinD）'!$Z824="",'实盘净值数据(iFinD）'!$AA824=""),"",分期持仓明细!$AB$23*(SUMPRODUCT(分期持仓明细!$B$23:$Y$23,'实盘净值数据(iFinD）'!$B824:$Y824/'实盘净值数据(iFinD）'!$B$65:$Y$65)+SUMPRODUCT(分期持仓明细!$AC$23:$AD$23,'实盘净值数据(iFinD）'!$Z824:$AA824/'实盘净值数据(iFinD）'!$Z$65:$AA$65))*(1-实盘持仓初始配置!$Z$7)^(('实盘净值数据(iFinD）'!$A824-'实盘净值数据(iFinD）'!$A$8)/365))</f>
        <v/>
      </c>
      <c r="L824" s="16" t="str">
        <f t="shared" si="75"/>
        <v/>
      </c>
      <c r="M824" s="16" t="str">
        <f>IF(K824="","",K824/MAX(K$5:K824)-1)</f>
        <v/>
      </c>
      <c r="N824" s="13" t="str">
        <f>IF(OR('实盘净值数据(iFinD）'!$A824="",'实盘净值数据(iFinD）'!$B824="",'实盘净值数据(iFinD）'!$Z824="",'实盘净值数据(iFinD）'!$AA824=""),"",分期持仓明细!$AB$24*(SUMPRODUCT(分期持仓明细!$B$24:$Y$24,'实盘净值数据(iFinD）'!$B824:$Y824/'实盘净值数据(iFinD）'!$B$65:$Y$65)+SUMPRODUCT(分期持仓明细!$AC$24:$AD$24,'实盘净值数据(iFinD）'!$Z824:$AA824/'实盘净值数据(iFinD）'!$Z$65:$AA$65))*(1-实盘持仓初始配置!$Z$8)^(('实盘净值数据(iFinD）'!$A824-'实盘净值数据(iFinD）'!$A$5)/365))</f>
        <v/>
      </c>
      <c r="O824" s="16" t="str">
        <f t="shared" si="76"/>
        <v/>
      </c>
      <c r="P824" s="16" t="str">
        <f>IF(N824="","",N824/MAX(N$5:N824)-1)</f>
        <v/>
      </c>
      <c r="Q824" s="13" t="str">
        <f>IF(OR('实盘净值数据(iFinD）'!$A824="",'实盘净值数据(iFinD）'!$B824="",'实盘净值数据(iFinD）'!$Z824="",'实盘净值数据(iFinD）'!$AA824=""),"",分期持仓明细!$AB$25*(SUMPRODUCT(分期持仓明细!$B$25:$Y$25,'实盘净值数据(iFinD）'!$B824:$Y824/'实盘净值数据(iFinD）'!$B$65:$Y$65)+SUMPRODUCT(分期持仓明细!$AC$25:$AD$25,'实盘净值数据(iFinD）'!$Z824:$AA824/'实盘净值数据(iFinD）'!$Z$65:$AA$65))*(1-实盘持仓初始配置!$Z$9)^(('实盘净值数据(iFinD）'!$A824-'实盘净值数据(iFinD）'!$A$8)/365))</f>
        <v/>
      </c>
      <c r="R824" s="16" t="str">
        <f t="shared" si="77"/>
        <v/>
      </c>
      <c r="S824" s="16" t="str">
        <f>IF(Q824="","",Q824/MAX(Q$5:Q824)-1)</f>
        <v/>
      </c>
      <c r="T824" s="13">
        <f>IF(OR('实盘净值数据(iFinD）'!$A824="",'实盘净值数据(iFinD）'!$B824="",'实盘净值数据(iFinD）'!$Z824="",'实盘净值数据(iFinD）'!$AA824="",'实盘净值数据(iFinD）'!$AB824="",'实盘净值数据(iFinD）'!$AL824=""),"",(SUMPRODUCT(分期持仓明细!$B$26:$Y$26,'实盘净值数据(iFinD）'!$B824:$Y824/'实盘净值数据(iFinD）'!$B$69:$Y$69)+SUMPRODUCT(分期持仓明细!$AC$26:$AD$26,'实盘净值数据(iFinD）'!$Z824:$AA824/'实盘净值数据(iFinD）'!$Z$69:$AA$69)+SUMPRODUCT(分期持仓明细!$AE$26:$AO$26,'实盘净值数据(iFinD）'!$AB824:$AL824/'实盘净值数据(iFinD）'!$AB$69:$AL$69))*(1-实盘持仓初始配置!$Z$10)^(('实盘净值数据(iFinD）'!$A824-'实盘净值数据(iFinD）'!$A$69)/365))</f>
        <v/>
      </c>
      <c r="U824" s="16">
        <f>IF(OR(T823="",T824=""),"",T824/T823-1)</f>
        <v/>
      </c>
      <c r="V824" s="16">
        <f>IF(T824="","",T824/MAX(T$5:T824)-1)</f>
        <v/>
      </c>
    </row>
    <row r="825" spans="1:19">
      <c r="A825" s="15" t="str">
        <f>IF('实盘净值数据(iFinD）'!A825="","",'实盘净值数据(iFinD）'!A825)</f>
        <v/>
      </c>
      <c r="B825" s="13" t="str">
        <f>IF(OR('实盘净值数据(iFinD）'!$A825="",'实盘净值数据(iFinD）'!$B825=""),"",分期持仓明细!$AB$17*SUMPRODUCT(分期持仓明细!$B$17:$Y$17,'实盘净值数据(iFinD）'!$B825:$Y825/'实盘净值数据(iFinD）'!$B$20:$Y$20)*(1-实盘持仓初始配置!$Z$4)^(('实盘净值数据(iFinD）'!$A825-'实盘净值数据(iFinD）'!$A$6)/365))</f>
        <v/>
      </c>
      <c r="C825" s="16" t="str">
        <f t="shared" si="72"/>
        <v/>
      </c>
      <c r="D825" s="16" t="str">
        <f>IF(B825="","",B825/MAX(B$5:B825)-1)</f>
        <v/>
      </c>
      <c r="E825" s="13" t="str">
        <f>IF(OR('实盘净值数据(iFinD）'!$A825="",'实盘净值数据(iFinD）'!$B825=""),"",分期持仓明细!$AB$18*SUMPRODUCT(分期持仓明细!$B$18:$Y$18,'实盘净值数据(iFinD）'!$B825:$Y825/'实盘净值数据(iFinD）'!$B$20:$Y$20)*(1-实盘持仓初始配置!$Z$5)^(('实盘净值数据(iFinD）'!$A825-'实盘净值数据(iFinD）'!$A$5)/365))</f>
        <v/>
      </c>
      <c r="F825" s="16" t="str">
        <f t="shared" si="73"/>
        <v/>
      </c>
      <c r="G825" s="16" t="str">
        <f>IF(E825="","",E825/MAX(E$5:E825)-1)</f>
        <v/>
      </c>
      <c r="H825" s="13" t="str">
        <f>IF(OR('实盘净值数据(iFinD）'!$A825="",'实盘净值数据(iFinD）'!$B825=""),"",分期持仓明细!$AB$19*SUMPRODUCT(分期持仓明细!$B$19:$Y$19,'实盘净值数据(iFinD）'!$B825:$Y825/'实盘净值数据(iFinD）'!$B$20:$Y$20)*(1-实盘持仓初始配置!$Z$6)^(('实盘净值数据(iFinD）'!$A825-'实盘净值数据(iFinD）'!$A$7)/365))</f>
        <v/>
      </c>
      <c r="I825" s="16" t="str">
        <f t="shared" si="74"/>
        <v/>
      </c>
      <c r="J825" s="16" t="str">
        <f>IF(H825="","",H825/MAX(H$5:H825)-1)</f>
        <v/>
      </c>
      <c r="K825" s="13" t="str">
        <f>IF(OR('实盘净值数据(iFinD）'!$A825="",'实盘净值数据(iFinD）'!$B825="",'实盘净值数据(iFinD）'!$Z825="",'实盘净值数据(iFinD）'!$AA825=""),"",分期持仓明细!$AB$23*(SUMPRODUCT(分期持仓明细!$B$23:$Y$23,'实盘净值数据(iFinD）'!$B825:$Y825/'实盘净值数据(iFinD）'!$B$65:$Y$65)+SUMPRODUCT(分期持仓明细!$AC$23:$AD$23,'实盘净值数据(iFinD）'!$Z825:$AA825/'实盘净值数据(iFinD）'!$Z$65:$AA$65))*(1-实盘持仓初始配置!$Z$7)^(('实盘净值数据(iFinD）'!$A825-'实盘净值数据(iFinD）'!$A$8)/365))</f>
        <v/>
      </c>
      <c r="L825" s="16" t="str">
        <f t="shared" si="75"/>
        <v/>
      </c>
      <c r="M825" s="16" t="str">
        <f>IF(K825="","",K825/MAX(K$5:K825)-1)</f>
        <v/>
      </c>
      <c r="N825" s="13" t="str">
        <f>IF(OR('实盘净值数据(iFinD）'!$A825="",'实盘净值数据(iFinD）'!$B825="",'实盘净值数据(iFinD）'!$Z825="",'实盘净值数据(iFinD）'!$AA825=""),"",分期持仓明细!$AB$24*(SUMPRODUCT(分期持仓明细!$B$24:$Y$24,'实盘净值数据(iFinD）'!$B825:$Y825/'实盘净值数据(iFinD）'!$B$65:$Y$65)+SUMPRODUCT(分期持仓明细!$AC$24:$AD$24,'实盘净值数据(iFinD）'!$Z825:$AA825/'实盘净值数据(iFinD）'!$Z$65:$AA$65))*(1-实盘持仓初始配置!$Z$8)^(('实盘净值数据(iFinD）'!$A825-'实盘净值数据(iFinD）'!$A$5)/365))</f>
        <v/>
      </c>
      <c r="O825" s="16" t="str">
        <f t="shared" si="76"/>
        <v/>
      </c>
      <c r="P825" s="16" t="str">
        <f>IF(N825="","",N825/MAX(N$5:N825)-1)</f>
        <v/>
      </c>
      <c r="Q825" s="13" t="str">
        <f>IF(OR('实盘净值数据(iFinD）'!$A825="",'实盘净值数据(iFinD）'!$B825="",'实盘净值数据(iFinD）'!$Z825="",'实盘净值数据(iFinD）'!$AA825=""),"",分期持仓明细!$AB$25*(SUMPRODUCT(分期持仓明细!$B$25:$Y$25,'实盘净值数据(iFinD）'!$B825:$Y825/'实盘净值数据(iFinD）'!$B$65:$Y$65)+SUMPRODUCT(分期持仓明细!$AC$25:$AD$25,'实盘净值数据(iFinD）'!$Z825:$AA825/'实盘净值数据(iFinD）'!$Z$65:$AA$65))*(1-实盘持仓初始配置!$Z$9)^(('实盘净值数据(iFinD）'!$A825-'实盘净值数据(iFinD）'!$A$8)/365))</f>
        <v/>
      </c>
      <c r="R825" s="16" t="str">
        <f t="shared" si="77"/>
        <v/>
      </c>
      <c r="S825" s="16" t="str">
        <f>IF(Q825="","",Q825/MAX(Q$5:Q825)-1)</f>
        <v/>
      </c>
      <c r="T825" s="13">
        <f>IF(OR('实盘净值数据(iFinD）'!$A825="",'实盘净值数据(iFinD）'!$B825="",'实盘净值数据(iFinD）'!$Z825="",'实盘净值数据(iFinD）'!$AA825="",'实盘净值数据(iFinD）'!$AB825="",'实盘净值数据(iFinD）'!$AL825=""),"",(SUMPRODUCT(分期持仓明细!$B$26:$Y$26,'实盘净值数据(iFinD）'!$B825:$Y825/'实盘净值数据(iFinD）'!$B$69:$Y$69)+SUMPRODUCT(分期持仓明细!$AC$26:$AD$26,'实盘净值数据(iFinD）'!$Z825:$AA825/'实盘净值数据(iFinD）'!$Z$69:$AA$69)+SUMPRODUCT(分期持仓明细!$AE$26:$AO$26,'实盘净值数据(iFinD）'!$AB825:$AL825/'实盘净值数据(iFinD）'!$AB$69:$AL$69))*(1-实盘持仓初始配置!$Z$10)^(('实盘净值数据(iFinD）'!$A825-'实盘净值数据(iFinD）'!$A$69)/365))</f>
        <v/>
      </c>
      <c r="U825" s="16">
        <f>IF(OR(T824="",T825=""),"",T825/T824-1)</f>
        <v/>
      </c>
      <c r="V825" s="16">
        <f>IF(T825="","",T825/MAX(T$5:T825)-1)</f>
        <v/>
      </c>
    </row>
    <row r="826" spans="1:19">
      <c r="A826" s="15" t="str">
        <f>IF('实盘净值数据(iFinD）'!A826="","",'实盘净值数据(iFinD）'!A826)</f>
        <v/>
      </c>
      <c r="B826" s="13" t="str">
        <f>IF(OR('实盘净值数据(iFinD）'!$A826="",'实盘净值数据(iFinD）'!$B826=""),"",分期持仓明细!$AB$17*SUMPRODUCT(分期持仓明细!$B$17:$Y$17,'实盘净值数据(iFinD）'!$B826:$Y826/'实盘净值数据(iFinD）'!$B$20:$Y$20)*(1-实盘持仓初始配置!$Z$4)^(('实盘净值数据(iFinD）'!$A826-'实盘净值数据(iFinD）'!$A$6)/365))</f>
        <v/>
      </c>
      <c r="C826" s="16" t="str">
        <f t="shared" si="72"/>
        <v/>
      </c>
      <c r="D826" s="16" t="str">
        <f>IF(B826="","",B826/MAX(B$5:B826)-1)</f>
        <v/>
      </c>
      <c r="E826" s="13" t="str">
        <f>IF(OR('实盘净值数据(iFinD）'!$A826="",'实盘净值数据(iFinD）'!$B826=""),"",分期持仓明细!$AB$18*SUMPRODUCT(分期持仓明细!$B$18:$Y$18,'实盘净值数据(iFinD）'!$B826:$Y826/'实盘净值数据(iFinD）'!$B$20:$Y$20)*(1-实盘持仓初始配置!$Z$5)^(('实盘净值数据(iFinD）'!$A826-'实盘净值数据(iFinD）'!$A$5)/365))</f>
        <v/>
      </c>
      <c r="F826" s="16" t="str">
        <f t="shared" si="73"/>
        <v/>
      </c>
      <c r="G826" s="16" t="str">
        <f>IF(E826="","",E826/MAX(E$5:E826)-1)</f>
        <v/>
      </c>
      <c r="H826" s="13" t="str">
        <f>IF(OR('实盘净值数据(iFinD）'!$A826="",'实盘净值数据(iFinD）'!$B826=""),"",分期持仓明细!$AB$19*SUMPRODUCT(分期持仓明细!$B$19:$Y$19,'实盘净值数据(iFinD）'!$B826:$Y826/'实盘净值数据(iFinD）'!$B$20:$Y$20)*(1-实盘持仓初始配置!$Z$6)^(('实盘净值数据(iFinD）'!$A826-'实盘净值数据(iFinD）'!$A$7)/365))</f>
        <v/>
      </c>
      <c r="I826" s="16" t="str">
        <f t="shared" si="74"/>
        <v/>
      </c>
      <c r="J826" s="16" t="str">
        <f>IF(H826="","",H826/MAX(H$5:H826)-1)</f>
        <v/>
      </c>
      <c r="K826" s="13" t="str">
        <f>IF(OR('实盘净值数据(iFinD）'!$A826="",'实盘净值数据(iFinD）'!$B826="",'实盘净值数据(iFinD）'!$Z826="",'实盘净值数据(iFinD）'!$AA826=""),"",分期持仓明细!$AB$23*(SUMPRODUCT(分期持仓明细!$B$23:$Y$23,'实盘净值数据(iFinD）'!$B826:$Y826/'实盘净值数据(iFinD）'!$B$65:$Y$65)+SUMPRODUCT(分期持仓明细!$AC$23:$AD$23,'实盘净值数据(iFinD）'!$Z826:$AA826/'实盘净值数据(iFinD）'!$Z$65:$AA$65))*(1-实盘持仓初始配置!$Z$7)^(('实盘净值数据(iFinD）'!$A826-'实盘净值数据(iFinD）'!$A$8)/365))</f>
        <v/>
      </c>
      <c r="L826" s="16" t="str">
        <f t="shared" si="75"/>
        <v/>
      </c>
      <c r="M826" s="16" t="str">
        <f>IF(K826="","",K826/MAX(K$5:K826)-1)</f>
        <v/>
      </c>
      <c r="N826" s="13" t="str">
        <f>IF(OR('实盘净值数据(iFinD）'!$A826="",'实盘净值数据(iFinD）'!$B826="",'实盘净值数据(iFinD）'!$Z826="",'实盘净值数据(iFinD）'!$AA826=""),"",分期持仓明细!$AB$24*(SUMPRODUCT(分期持仓明细!$B$24:$Y$24,'实盘净值数据(iFinD）'!$B826:$Y826/'实盘净值数据(iFinD）'!$B$65:$Y$65)+SUMPRODUCT(分期持仓明细!$AC$24:$AD$24,'实盘净值数据(iFinD）'!$Z826:$AA826/'实盘净值数据(iFinD）'!$Z$65:$AA$65))*(1-实盘持仓初始配置!$Z$8)^(('实盘净值数据(iFinD）'!$A826-'实盘净值数据(iFinD）'!$A$5)/365))</f>
        <v/>
      </c>
      <c r="O826" s="16" t="str">
        <f t="shared" si="76"/>
        <v/>
      </c>
      <c r="P826" s="16" t="str">
        <f>IF(N826="","",N826/MAX(N$5:N826)-1)</f>
        <v/>
      </c>
      <c r="Q826" s="13" t="str">
        <f>IF(OR('实盘净值数据(iFinD）'!$A826="",'实盘净值数据(iFinD）'!$B826="",'实盘净值数据(iFinD）'!$Z826="",'实盘净值数据(iFinD）'!$AA826=""),"",分期持仓明细!$AB$25*(SUMPRODUCT(分期持仓明细!$B$25:$Y$25,'实盘净值数据(iFinD）'!$B826:$Y826/'实盘净值数据(iFinD）'!$B$65:$Y$65)+SUMPRODUCT(分期持仓明细!$AC$25:$AD$25,'实盘净值数据(iFinD）'!$Z826:$AA826/'实盘净值数据(iFinD）'!$Z$65:$AA$65))*(1-实盘持仓初始配置!$Z$9)^(('实盘净值数据(iFinD）'!$A826-'实盘净值数据(iFinD）'!$A$8)/365))</f>
        <v/>
      </c>
      <c r="R826" s="16" t="str">
        <f t="shared" si="77"/>
        <v/>
      </c>
      <c r="S826" s="16" t="str">
        <f>IF(Q826="","",Q826/MAX(Q$5:Q826)-1)</f>
        <v/>
      </c>
      <c r="T826" s="13">
        <f>IF(OR('实盘净值数据(iFinD）'!$A826="",'实盘净值数据(iFinD）'!$B826="",'实盘净值数据(iFinD）'!$Z826="",'实盘净值数据(iFinD）'!$AA826="",'实盘净值数据(iFinD）'!$AB826="",'实盘净值数据(iFinD）'!$AL826=""),"",(SUMPRODUCT(分期持仓明细!$B$26:$Y$26,'实盘净值数据(iFinD）'!$B826:$Y826/'实盘净值数据(iFinD）'!$B$69:$Y$69)+SUMPRODUCT(分期持仓明细!$AC$26:$AD$26,'实盘净值数据(iFinD）'!$Z826:$AA826/'实盘净值数据(iFinD）'!$Z$69:$AA$69)+SUMPRODUCT(分期持仓明细!$AE$26:$AO$26,'实盘净值数据(iFinD）'!$AB826:$AL826/'实盘净值数据(iFinD）'!$AB$69:$AL$69))*(1-实盘持仓初始配置!$Z$10)^(('实盘净值数据(iFinD）'!$A826-'实盘净值数据(iFinD）'!$A$69)/365))</f>
        <v/>
      </c>
      <c r="U826" s="16">
        <f>IF(OR(T825="",T826=""),"",T826/T825-1)</f>
        <v/>
      </c>
      <c r="V826" s="16">
        <f>IF(T826="","",T826/MAX(T$5:T826)-1)</f>
        <v/>
      </c>
    </row>
    <row r="827" spans="1:19">
      <c r="A827" s="15" t="str">
        <f>IF('实盘净值数据(iFinD）'!A827="","",'实盘净值数据(iFinD）'!A827)</f>
        <v/>
      </c>
      <c r="B827" s="13" t="str">
        <f>IF(OR('实盘净值数据(iFinD）'!$A827="",'实盘净值数据(iFinD）'!$B827=""),"",分期持仓明细!$AB$17*SUMPRODUCT(分期持仓明细!$B$17:$Y$17,'实盘净值数据(iFinD）'!$B827:$Y827/'实盘净值数据(iFinD）'!$B$20:$Y$20)*(1-实盘持仓初始配置!$Z$4)^(('实盘净值数据(iFinD）'!$A827-'实盘净值数据(iFinD）'!$A$6)/365))</f>
        <v/>
      </c>
      <c r="C827" s="16" t="str">
        <f t="shared" si="72"/>
        <v/>
      </c>
      <c r="D827" s="16" t="str">
        <f>IF(B827="","",B827/MAX(B$5:B827)-1)</f>
        <v/>
      </c>
      <c r="E827" s="13" t="str">
        <f>IF(OR('实盘净值数据(iFinD）'!$A827="",'实盘净值数据(iFinD）'!$B827=""),"",分期持仓明细!$AB$18*SUMPRODUCT(分期持仓明细!$B$18:$Y$18,'实盘净值数据(iFinD）'!$B827:$Y827/'实盘净值数据(iFinD）'!$B$20:$Y$20)*(1-实盘持仓初始配置!$Z$5)^(('实盘净值数据(iFinD）'!$A827-'实盘净值数据(iFinD）'!$A$5)/365))</f>
        <v/>
      </c>
      <c r="F827" s="16" t="str">
        <f t="shared" si="73"/>
        <v/>
      </c>
      <c r="G827" s="16" t="str">
        <f>IF(E827="","",E827/MAX(E$5:E827)-1)</f>
        <v/>
      </c>
      <c r="H827" s="13" t="str">
        <f>IF(OR('实盘净值数据(iFinD）'!$A827="",'实盘净值数据(iFinD）'!$B827=""),"",分期持仓明细!$AB$19*SUMPRODUCT(分期持仓明细!$B$19:$Y$19,'实盘净值数据(iFinD）'!$B827:$Y827/'实盘净值数据(iFinD）'!$B$20:$Y$20)*(1-实盘持仓初始配置!$Z$6)^(('实盘净值数据(iFinD）'!$A827-'实盘净值数据(iFinD）'!$A$7)/365))</f>
        <v/>
      </c>
      <c r="I827" s="16" t="str">
        <f t="shared" si="74"/>
        <v/>
      </c>
      <c r="J827" s="16" t="str">
        <f>IF(H827="","",H827/MAX(H$5:H827)-1)</f>
        <v/>
      </c>
      <c r="K827" s="13" t="str">
        <f>IF(OR('实盘净值数据(iFinD）'!$A827="",'实盘净值数据(iFinD）'!$B827="",'实盘净值数据(iFinD）'!$Z827="",'实盘净值数据(iFinD）'!$AA827=""),"",分期持仓明细!$AB$23*(SUMPRODUCT(分期持仓明细!$B$23:$Y$23,'实盘净值数据(iFinD）'!$B827:$Y827/'实盘净值数据(iFinD）'!$B$65:$Y$65)+SUMPRODUCT(分期持仓明细!$AC$23:$AD$23,'实盘净值数据(iFinD）'!$Z827:$AA827/'实盘净值数据(iFinD）'!$Z$65:$AA$65))*(1-实盘持仓初始配置!$Z$7)^(('实盘净值数据(iFinD）'!$A827-'实盘净值数据(iFinD）'!$A$8)/365))</f>
        <v/>
      </c>
      <c r="L827" s="16" t="str">
        <f t="shared" si="75"/>
        <v/>
      </c>
      <c r="M827" s="16" t="str">
        <f>IF(K827="","",K827/MAX(K$5:K827)-1)</f>
        <v/>
      </c>
      <c r="N827" s="13" t="str">
        <f>IF(OR('实盘净值数据(iFinD）'!$A827="",'实盘净值数据(iFinD）'!$B827="",'实盘净值数据(iFinD）'!$Z827="",'实盘净值数据(iFinD）'!$AA827=""),"",分期持仓明细!$AB$24*(SUMPRODUCT(分期持仓明细!$B$24:$Y$24,'实盘净值数据(iFinD）'!$B827:$Y827/'实盘净值数据(iFinD）'!$B$65:$Y$65)+SUMPRODUCT(分期持仓明细!$AC$24:$AD$24,'实盘净值数据(iFinD）'!$Z827:$AA827/'实盘净值数据(iFinD）'!$Z$65:$AA$65))*(1-实盘持仓初始配置!$Z$8)^(('实盘净值数据(iFinD）'!$A827-'实盘净值数据(iFinD）'!$A$5)/365))</f>
        <v/>
      </c>
      <c r="O827" s="16" t="str">
        <f t="shared" si="76"/>
        <v/>
      </c>
      <c r="P827" s="16" t="str">
        <f>IF(N827="","",N827/MAX(N$5:N827)-1)</f>
        <v/>
      </c>
      <c r="Q827" s="13" t="str">
        <f>IF(OR('实盘净值数据(iFinD）'!$A827="",'实盘净值数据(iFinD）'!$B827="",'实盘净值数据(iFinD）'!$Z827="",'实盘净值数据(iFinD）'!$AA827=""),"",分期持仓明细!$AB$25*(SUMPRODUCT(分期持仓明细!$B$25:$Y$25,'实盘净值数据(iFinD）'!$B827:$Y827/'实盘净值数据(iFinD）'!$B$65:$Y$65)+SUMPRODUCT(分期持仓明细!$AC$25:$AD$25,'实盘净值数据(iFinD）'!$Z827:$AA827/'实盘净值数据(iFinD）'!$Z$65:$AA$65))*(1-实盘持仓初始配置!$Z$9)^(('实盘净值数据(iFinD）'!$A827-'实盘净值数据(iFinD）'!$A$8)/365))</f>
        <v/>
      </c>
      <c r="R827" s="16" t="str">
        <f t="shared" si="77"/>
        <v/>
      </c>
      <c r="S827" s="16" t="str">
        <f>IF(Q827="","",Q827/MAX(Q$5:Q827)-1)</f>
        <v/>
      </c>
      <c r="T827" s="13">
        <f>IF(OR('实盘净值数据(iFinD）'!$A827="",'实盘净值数据(iFinD）'!$B827="",'实盘净值数据(iFinD）'!$Z827="",'实盘净值数据(iFinD）'!$AA827="",'实盘净值数据(iFinD）'!$AB827="",'实盘净值数据(iFinD）'!$AL827=""),"",(SUMPRODUCT(分期持仓明细!$B$26:$Y$26,'实盘净值数据(iFinD）'!$B827:$Y827/'实盘净值数据(iFinD）'!$B$69:$Y$69)+SUMPRODUCT(分期持仓明细!$AC$26:$AD$26,'实盘净值数据(iFinD）'!$Z827:$AA827/'实盘净值数据(iFinD）'!$Z$69:$AA$69)+SUMPRODUCT(分期持仓明细!$AE$26:$AO$26,'实盘净值数据(iFinD）'!$AB827:$AL827/'实盘净值数据(iFinD）'!$AB$69:$AL$69))*(1-实盘持仓初始配置!$Z$10)^(('实盘净值数据(iFinD）'!$A827-'实盘净值数据(iFinD）'!$A$69)/365))</f>
        <v/>
      </c>
      <c r="U827" s="16">
        <f>IF(OR(T826="",T827=""),"",T827/T826-1)</f>
        <v/>
      </c>
      <c r="V827" s="16">
        <f>IF(T827="","",T827/MAX(T$5:T827)-1)</f>
        <v/>
      </c>
    </row>
    <row r="828" spans="1:19">
      <c r="A828" s="15" t="str">
        <f>IF('实盘净值数据(iFinD）'!A828="","",'实盘净值数据(iFinD）'!A828)</f>
        <v/>
      </c>
      <c r="B828" s="13" t="str">
        <f>IF(OR('实盘净值数据(iFinD）'!$A828="",'实盘净值数据(iFinD）'!$B828=""),"",分期持仓明细!$AB$17*SUMPRODUCT(分期持仓明细!$B$17:$Y$17,'实盘净值数据(iFinD）'!$B828:$Y828/'实盘净值数据(iFinD）'!$B$20:$Y$20)*(1-实盘持仓初始配置!$Z$4)^(('实盘净值数据(iFinD）'!$A828-'实盘净值数据(iFinD）'!$A$6)/365))</f>
        <v/>
      </c>
      <c r="C828" s="16" t="str">
        <f t="shared" ref="C828:C891" si="78">IF(OR(B827="",B828=""),"",B828/B827-1)</f>
        <v/>
      </c>
      <c r="D828" s="16" t="str">
        <f>IF(B828="","",B828/MAX(B$5:B828)-1)</f>
        <v/>
      </c>
      <c r="E828" s="13" t="str">
        <f>IF(OR('实盘净值数据(iFinD）'!$A828="",'实盘净值数据(iFinD）'!$B828=""),"",分期持仓明细!$AB$18*SUMPRODUCT(分期持仓明细!$B$18:$Y$18,'实盘净值数据(iFinD）'!$B828:$Y828/'实盘净值数据(iFinD）'!$B$20:$Y$20)*(1-实盘持仓初始配置!$Z$5)^(('实盘净值数据(iFinD）'!$A828-'实盘净值数据(iFinD）'!$A$5)/365))</f>
        <v/>
      </c>
      <c r="F828" s="16" t="str">
        <f t="shared" ref="F828:F891" si="79">IF(OR(E827="",E828=""),"",E828/E827-1)</f>
        <v/>
      </c>
      <c r="G828" s="16" t="str">
        <f>IF(E828="","",E828/MAX(E$5:E828)-1)</f>
        <v/>
      </c>
      <c r="H828" s="13" t="str">
        <f>IF(OR('实盘净值数据(iFinD）'!$A828="",'实盘净值数据(iFinD）'!$B828=""),"",分期持仓明细!$AB$19*SUMPRODUCT(分期持仓明细!$B$19:$Y$19,'实盘净值数据(iFinD）'!$B828:$Y828/'实盘净值数据(iFinD）'!$B$20:$Y$20)*(1-实盘持仓初始配置!$Z$6)^(('实盘净值数据(iFinD）'!$A828-'实盘净值数据(iFinD）'!$A$7)/365))</f>
        <v/>
      </c>
      <c r="I828" s="16" t="str">
        <f t="shared" ref="I828:I891" si="80">IF(OR(H827="",H828=""),"",H828/H827-1)</f>
        <v/>
      </c>
      <c r="J828" s="16" t="str">
        <f>IF(H828="","",H828/MAX(H$5:H828)-1)</f>
        <v/>
      </c>
      <c r="K828" s="13" t="str">
        <f>IF(OR('实盘净值数据(iFinD）'!$A828="",'实盘净值数据(iFinD）'!$B828="",'实盘净值数据(iFinD）'!$Z828="",'实盘净值数据(iFinD）'!$AA828=""),"",分期持仓明细!$AB$23*(SUMPRODUCT(分期持仓明细!$B$23:$Y$23,'实盘净值数据(iFinD）'!$B828:$Y828/'实盘净值数据(iFinD）'!$B$65:$Y$65)+SUMPRODUCT(分期持仓明细!$AC$23:$AD$23,'实盘净值数据(iFinD）'!$Z828:$AA828/'实盘净值数据(iFinD）'!$Z$65:$AA$65))*(1-实盘持仓初始配置!$Z$7)^(('实盘净值数据(iFinD）'!$A828-'实盘净值数据(iFinD）'!$A$8)/365))</f>
        <v/>
      </c>
      <c r="L828" s="16" t="str">
        <f t="shared" ref="L828:L891" si="81">IF(OR(K827="",K828=""),"",K828/K827-1)</f>
        <v/>
      </c>
      <c r="M828" s="16" t="str">
        <f>IF(K828="","",K828/MAX(K$5:K828)-1)</f>
        <v/>
      </c>
      <c r="N828" s="13" t="str">
        <f>IF(OR('实盘净值数据(iFinD）'!$A828="",'实盘净值数据(iFinD）'!$B828="",'实盘净值数据(iFinD）'!$Z828="",'实盘净值数据(iFinD）'!$AA828=""),"",分期持仓明细!$AB$24*(SUMPRODUCT(分期持仓明细!$B$24:$Y$24,'实盘净值数据(iFinD）'!$B828:$Y828/'实盘净值数据(iFinD）'!$B$65:$Y$65)+SUMPRODUCT(分期持仓明细!$AC$24:$AD$24,'实盘净值数据(iFinD）'!$Z828:$AA828/'实盘净值数据(iFinD）'!$Z$65:$AA$65))*(1-实盘持仓初始配置!$Z$8)^(('实盘净值数据(iFinD）'!$A828-'实盘净值数据(iFinD）'!$A$5)/365))</f>
        <v/>
      </c>
      <c r="O828" s="16" t="str">
        <f t="shared" ref="O828:O891" si="82">IF(OR(N827="",N828=""),"",N828/N827-1)</f>
        <v/>
      </c>
      <c r="P828" s="16" t="str">
        <f>IF(N828="","",N828/MAX(N$5:N828)-1)</f>
        <v/>
      </c>
      <c r="Q828" s="13" t="str">
        <f>IF(OR('实盘净值数据(iFinD）'!$A828="",'实盘净值数据(iFinD）'!$B828="",'实盘净值数据(iFinD）'!$Z828="",'实盘净值数据(iFinD）'!$AA828=""),"",分期持仓明细!$AB$25*(SUMPRODUCT(分期持仓明细!$B$25:$Y$25,'实盘净值数据(iFinD）'!$B828:$Y828/'实盘净值数据(iFinD）'!$B$65:$Y$65)+SUMPRODUCT(分期持仓明细!$AC$25:$AD$25,'实盘净值数据(iFinD）'!$Z828:$AA828/'实盘净值数据(iFinD）'!$Z$65:$AA$65))*(1-实盘持仓初始配置!$Z$9)^(('实盘净值数据(iFinD）'!$A828-'实盘净值数据(iFinD）'!$A$8)/365))</f>
        <v/>
      </c>
      <c r="R828" s="16" t="str">
        <f t="shared" ref="R828:R891" si="83">IF(OR(Q827="",Q828=""),"",Q828/Q827-1)</f>
        <v/>
      </c>
      <c r="S828" s="16" t="str">
        <f>IF(Q828="","",Q828/MAX(Q$5:Q828)-1)</f>
        <v/>
      </c>
      <c r="T828" s="13">
        <f>IF(OR('实盘净值数据(iFinD）'!$A828="",'实盘净值数据(iFinD）'!$B828="",'实盘净值数据(iFinD）'!$Z828="",'实盘净值数据(iFinD）'!$AA828="",'实盘净值数据(iFinD）'!$AB828="",'实盘净值数据(iFinD）'!$AL828=""),"",(SUMPRODUCT(分期持仓明细!$B$26:$Y$26,'实盘净值数据(iFinD）'!$B828:$Y828/'实盘净值数据(iFinD）'!$B$69:$Y$69)+SUMPRODUCT(分期持仓明细!$AC$26:$AD$26,'实盘净值数据(iFinD）'!$Z828:$AA828/'实盘净值数据(iFinD）'!$Z$69:$AA$69)+SUMPRODUCT(分期持仓明细!$AE$26:$AO$26,'实盘净值数据(iFinD）'!$AB828:$AL828/'实盘净值数据(iFinD）'!$AB$69:$AL$69))*(1-实盘持仓初始配置!$Z$10)^(('实盘净值数据(iFinD）'!$A828-'实盘净值数据(iFinD）'!$A$69)/365))</f>
        <v/>
      </c>
      <c r="U828" s="16">
        <f>IF(OR(T827="",T828=""),"",T828/T827-1)</f>
        <v/>
      </c>
      <c r="V828" s="16">
        <f>IF(T828="","",T828/MAX(T$5:T828)-1)</f>
        <v/>
      </c>
    </row>
    <row r="829" spans="1:19">
      <c r="A829" s="15" t="str">
        <f>IF('实盘净值数据(iFinD）'!A829="","",'实盘净值数据(iFinD）'!A829)</f>
        <v/>
      </c>
      <c r="B829" s="13" t="str">
        <f>IF(OR('实盘净值数据(iFinD）'!$A829="",'实盘净值数据(iFinD）'!$B829=""),"",分期持仓明细!$AB$17*SUMPRODUCT(分期持仓明细!$B$17:$Y$17,'实盘净值数据(iFinD）'!$B829:$Y829/'实盘净值数据(iFinD）'!$B$20:$Y$20)*(1-实盘持仓初始配置!$Z$4)^(('实盘净值数据(iFinD）'!$A829-'实盘净值数据(iFinD）'!$A$6)/365))</f>
        <v/>
      </c>
      <c r="C829" s="16" t="str">
        <f t="shared" si="78"/>
        <v/>
      </c>
      <c r="D829" s="16" t="str">
        <f>IF(B829="","",B829/MAX(B$5:B829)-1)</f>
        <v/>
      </c>
      <c r="E829" s="13" t="str">
        <f>IF(OR('实盘净值数据(iFinD）'!$A829="",'实盘净值数据(iFinD）'!$B829=""),"",分期持仓明细!$AB$18*SUMPRODUCT(分期持仓明细!$B$18:$Y$18,'实盘净值数据(iFinD）'!$B829:$Y829/'实盘净值数据(iFinD）'!$B$20:$Y$20)*(1-实盘持仓初始配置!$Z$5)^(('实盘净值数据(iFinD）'!$A829-'实盘净值数据(iFinD）'!$A$5)/365))</f>
        <v/>
      </c>
      <c r="F829" s="16" t="str">
        <f t="shared" si="79"/>
        <v/>
      </c>
      <c r="G829" s="16" t="str">
        <f>IF(E829="","",E829/MAX(E$5:E829)-1)</f>
        <v/>
      </c>
      <c r="H829" s="13" t="str">
        <f>IF(OR('实盘净值数据(iFinD）'!$A829="",'实盘净值数据(iFinD）'!$B829=""),"",分期持仓明细!$AB$19*SUMPRODUCT(分期持仓明细!$B$19:$Y$19,'实盘净值数据(iFinD）'!$B829:$Y829/'实盘净值数据(iFinD）'!$B$20:$Y$20)*(1-实盘持仓初始配置!$Z$6)^(('实盘净值数据(iFinD）'!$A829-'实盘净值数据(iFinD）'!$A$7)/365))</f>
        <v/>
      </c>
      <c r="I829" s="16" t="str">
        <f t="shared" si="80"/>
        <v/>
      </c>
      <c r="J829" s="16" t="str">
        <f>IF(H829="","",H829/MAX(H$5:H829)-1)</f>
        <v/>
      </c>
      <c r="K829" s="13" t="str">
        <f>IF(OR('实盘净值数据(iFinD）'!$A829="",'实盘净值数据(iFinD）'!$B829="",'实盘净值数据(iFinD）'!$Z829="",'实盘净值数据(iFinD）'!$AA829=""),"",分期持仓明细!$AB$23*(SUMPRODUCT(分期持仓明细!$B$23:$Y$23,'实盘净值数据(iFinD）'!$B829:$Y829/'实盘净值数据(iFinD）'!$B$65:$Y$65)+SUMPRODUCT(分期持仓明细!$AC$23:$AD$23,'实盘净值数据(iFinD）'!$Z829:$AA829/'实盘净值数据(iFinD）'!$Z$65:$AA$65))*(1-实盘持仓初始配置!$Z$7)^(('实盘净值数据(iFinD）'!$A829-'实盘净值数据(iFinD）'!$A$8)/365))</f>
        <v/>
      </c>
      <c r="L829" s="16" t="str">
        <f t="shared" si="81"/>
        <v/>
      </c>
      <c r="M829" s="16" t="str">
        <f>IF(K829="","",K829/MAX(K$5:K829)-1)</f>
        <v/>
      </c>
      <c r="N829" s="13" t="str">
        <f>IF(OR('实盘净值数据(iFinD）'!$A829="",'实盘净值数据(iFinD）'!$B829="",'实盘净值数据(iFinD）'!$Z829="",'实盘净值数据(iFinD）'!$AA829=""),"",分期持仓明细!$AB$24*(SUMPRODUCT(分期持仓明细!$B$24:$Y$24,'实盘净值数据(iFinD）'!$B829:$Y829/'实盘净值数据(iFinD）'!$B$65:$Y$65)+SUMPRODUCT(分期持仓明细!$AC$24:$AD$24,'实盘净值数据(iFinD）'!$Z829:$AA829/'实盘净值数据(iFinD）'!$Z$65:$AA$65))*(1-实盘持仓初始配置!$Z$8)^(('实盘净值数据(iFinD）'!$A829-'实盘净值数据(iFinD）'!$A$5)/365))</f>
        <v/>
      </c>
      <c r="O829" s="16" t="str">
        <f t="shared" si="82"/>
        <v/>
      </c>
      <c r="P829" s="16" t="str">
        <f>IF(N829="","",N829/MAX(N$5:N829)-1)</f>
        <v/>
      </c>
      <c r="Q829" s="13" t="str">
        <f>IF(OR('实盘净值数据(iFinD）'!$A829="",'实盘净值数据(iFinD）'!$B829="",'实盘净值数据(iFinD）'!$Z829="",'实盘净值数据(iFinD）'!$AA829=""),"",分期持仓明细!$AB$25*(SUMPRODUCT(分期持仓明细!$B$25:$Y$25,'实盘净值数据(iFinD）'!$B829:$Y829/'实盘净值数据(iFinD）'!$B$65:$Y$65)+SUMPRODUCT(分期持仓明细!$AC$25:$AD$25,'实盘净值数据(iFinD）'!$Z829:$AA829/'实盘净值数据(iFinD）'!$Z$65:$AA$65))*(1-实盘持仓初始配置!$Z$9)^(('实盘净值数据(iFinD）'!$A829-'实盘净值数据(iFinD）'!$A$8)/365))</f>
        <v/>
      </c>
      <c r="R829" s="16" t="str">
        <f t="shared" si="83"/>
        <v/>
      </c>
      <c r="S829" s="16" t="str">
        <f>IF(Q829="","",Q829/MAX(Q$5:Q829)-1)</f>
        <v/>
      </c>
      <c r="T829" s="13">
        <f>IF(OR('实盘净值数据(iFinD）'!$A829="",'实盘净值数据(iFinD）'!$B829="",'实盘净值数据(iFinD）'!$Z829="",'实盘净值数据(iFinD）'!$AA829="",'实盘净值数据(iFinD）'!$AB829="",'实盘净值数据(iFinD）'!$AL829=""),"",(SUMPRODUCT(分期持仓明细!$B$26:$Y$26,'实盘净值数据(iFinD）'!$B829:$Y829/'实盘净值数据(iFinD）'!$B$69:$Y$69)+SUMPRODUCT(分期持仓明细!$AC$26:$AD$26,'实盘净值数据(iFinD）'!$Z829:$AA829/'实盘净值数据(iFinD）'!$Z$69:$AA$69)+SUMPRODUCT(分期持仓明细!$AE$26:$AO$26,'实盘净值数据(iFinD）'!$AB829:$AL829/'实盘净值数据(iFinD）'!$AB$69:$AL$69))*(1-实盘持仓初始配置!$Z$10)^(('实盘净值数据(iFinD）'!$A829-'实盘净值数据(iFinD）'!$A$69)/365))</f>
        <v/>
      </c>
      <c r="U829" s="16">
        <f>IF(OR(T828="",T829=""),"",T829/T828-1)</f>
        <v/>
      </c>
      <c r="V829" s="16">
        <f>IF(T829="","",T829/MAX(T$5:T829)-1)</f>
        <v/>
      </c>
    </row>
    <row r="830" spans="1:19">
      <c r="A830" s="15" t="str">
        <f>IF('实盘净值数据(iFinD）'!A830="","",'实盘净值数据(iFinD）'!A830)</f>
        <v/>
      </c>
      <c r="B830" s="13" t="str">
        <f>IF(OR('实盘净值数据(iFinD）'!$A830="",'实盘净值数据(iFinD）'!$B830=""),"",分期持仓明细!$AB$17*SUMPRODUCT(分期持仓明细!$B$17:$Y$17,'实盘净值数据(iFinD）'!$B830:$Y830/'实盘净值数据(iFinD）'!$B$20:$Y$20)*(1-实盘持仓初始配置!$Z$4)^(('实盘净值数据(iFinD）'!$A830-'实盘净值数据(iFinD）'!$A$6)/365))</f>
        <v/>
      </c>
      <c r="C830" s="16" t="str">
        <f t="shared" si="78"/>
        <v/>
      </c>
      <c r="D830" s="16" t="str">
        <f>IF(B830="","",B830/MAX(B$5:B830)-1)</f>
        <v/>
      </c>
      <c r="E830" s="13" t="str">
        <f>IF(OR('实盘净值数据(iFinD）'!$A830="",'实盘净值数据(iFinD）'!$B830=""),"",分期持仓明细!$AB$18*SUMPRODUCT(分期持仓明细!$B$18:$Y$18,'实盘净值数据(iFinD）'!$B830:$Y830/'实盘净值数据(iFinD）'!$B$20:$Y$20)*(1-实盘持仓初始配置!$Z$5)^(('实盘净值数据(iFinD）'!$A830-'实盘净值数据(iFinD）'!$A$5)/365))</f>
        <v/>
      </c>
      <c r="F830" s="16" t="str">
        <f t="shared" si="79"/>
        <v/>
      </c>
      <c r="G830" s="16" t="str">
        <f>IF(E830="","",E830/MAX(E$5:E830)-1)</f>
        <v/>
      </c>
      <c r="H830" s="13" t="str">
        <f>IF(OR('实盘净值数据(iFinD）'!$A830="",'实盘净值数据(iFinD）'!$B830=""),"",分期持仓明细!$AB$19*SUMPRODUCT(分期持仓明细!$B$19:$Y$19,'实盘净值数据(iFinD）'!$B830:$Y830/'实盘净值数据(iFinD）'!$B$20:$Y$20)*(1-实盘持仓初始配置!$Z$6)^(('实盘净值数据(iFinD）'!$A830-'实盘净值数据(iFinD）'!$A$7)/365))</f>
        <v/>
      </c>
      <c r="I830" s="16" t="str">
        <f t="shared" si="80"/>
        <v/>
      </c>
      <c r="J830" s="16" t="str">
        <f>IF(H830="","",H830/MAX(H$5:H830)-1)</f>
        <v/>
      </c>
      <c r="K830" s="13" t="str">
        <f>IF(OR('实盘净值数据(iFinD）'!$A830="",'实盘净值数据(iFinD）'!$B830="",'实盘净值数据(iFinD）'!$Z830="",'实盘净值数据(iFinD）'!$AA830=""),"",分期持仓明细!$AB$23*(SUMPRODUCT(分期持仓明细!$B$23:$Y$23,'实盘净值数据(iFinD）'!$B830:$Y830/'实盘净值数据(iFinD）'!$B$65:$Y$65)+SUMPRODUCT(分期持仓明细!$AC$23:$AD$23,'实盘净值数据(iFinD）'!$Z830:$AA830/'实盘净值数据(iFinD）'!$Z$65:$AA$65))*(1-实盘持仓初始配置!$Z$7)^(('实盘净值数据(iFinD）'!$A830-'实盘净值数据(iFinD）'!$A$8)/365))</f>
        <v/>
      </c>
      <c r="L830" s="16" t="str">
        <f t="shared" si="81"/>
        <v/>
      </c>
      <c r="M830" s="16" t="str">
        <f>IF(K830="","",K830/MAX(K$5:K830)-1)</f>
        <v/>
      </c>
      <c r="N830" s="13" t="str">
        <f>IF(OR('实盘净值数据(iFinD）'!$A830="",'实盘净值数据(iFinD）'!$B830="",'实盘净值数据(iFinD）'!$Z830="",'实盘净值数据(iFinD）'!$AA830=""),"",分期持仓明细!$AB$24*(SUMPRODUCT(分期持仓明细!$B$24:$Y$24,'实盘净值数据(iFinD）'!$B830:$Y830/'实盘净值数据(iFinD）'!$B$65:$Y$65)+SUMPRODUCT(分期持仓明细!$AC$24:$AD$24,'实盘净值数据(iFinD）'!$Z830:$AA830/'实盘净值数据(iFinD）'!$Z$65:$AA$65))*(1-实盘持仓初始配置!$Z$8)^(('实盘净值数据(iFinD）'!$A830-'实盘净值数据(iFinD）'!$A$5)/365))</f>
        <v/>
      </c>
      <c r="O830" s="16" t="str">
        <f t="shared" si="82"/>
        <v/>
      </c>
      <c r="P830" s="16" t="str">
        <f>IF(N830="","",N830/MAX(N$5:N830)-1)</f>
        <v/>
      </c>
      <c r="Q830" s="13" t="str">
        <f>IF(OR('实盘净值数据(iFinD）'!$A830="",'实盘净值数据(iFinD）'!$B830="",'实盘净值数据(iFinD）'!$Z830="",'实盘净值数据(iFinD）'!$AA830=""),"",分期持仓明细!$AB$25*(SUMPRODUCT(分期持仓明细!$B$25:$Y$25,'实盘净值数据(iFinD）'!$B830:$Y830/'实盘净值数据(iFinD）'!$B$65:$Y$65)+SUMPRODUCT(分期持仓明细!$AC$25:$AD$25,'实盘净值数据(iFinD）'!$Z830:$AA830/'实盘净值数据(iFinD）'!$Z$65:$AA$65))*(1-实盘持仓初始配置!$Z$9)^(('实盘净值数据(iFinD）'!$A830-'实盘净值数据(iFinD）'!$A$8)/365))</f>
        <v/>
      </c>
      <c r="R830" s="16" t="str">
        <f t="shared" si="83"/>
        <v/>
      </c>
      <c r="S830" s="16" t="str">
        <f>IF(Q830="","",Q830/MAX(Q$5:Q830)-1)</f>
        <v/>
      </c>
      <c r="T830" s="13">
        <f>IF(OR('实盘净值数据(iFinD）'!$A830="",'实盘净值数据(iFinD）'!$B830="",'实盘净值数据(iFinD）'!$Z830="",'实盘净值数据(iFinD）'!$AA830="",'实盘净值数据(iFinD）'!$AB830="",'实盘净值数据(iFinD）'!$AL830=""),"",(SUMPRODUCT(分期持仓明细!$B$26:$Y$26,'实盘净值数据(iFinD）'!$B830:$Y830/'实盘净值数据(iFinD）'!$B$69:$Y$69)+SUMPRODUCT(分期持仓明细!$AC$26:$AD$26,'实盘净值数据(iFinD）'!$Z830:$AA830/'实盘净值数据(iFinD）'!$Z$69:$AA$69)+SUMPRODUCT(分期持仓明细!$AE$26:$AO$26,'实盘净值数据(iFinD）'!$AB830:$AL830/'实盘净值数据(iFinD）'!$AB$69:$AL$69))*(1-实盘持仓初始配置!$Z$10)^(('实盘净值数据(iFinD）'!$A830-'实盘净值数据(iFinD）'!$A$69)/365))</f>
        <v/>
      </c>
      <c r="U830" s="16">
        <f>IF(OR(T829="",T830=""),"",T830/T829-1)</f>
        <v/>
      </c>
      <c r="V830" s="16">
        <f>IF(T830="","",T830/MAX(T$5:T830)-1)</f>
        <v/>
      </c>
    </row>
    <row r="831" spans="1:19">
      <c r="A831" s="15" t="str">
        <f>IF('实盘净值数据(iFinD）'!A831="","",'实盘净值数据(iFinD）'!A831)</f>
        <v/>
      </c>
      <c r="B831" s="13" t="str">
        <f>IF(OR('实盘净值数据(iFinD）'!$A831="",'实盘净值数据(iFinD）'!$B831=""),"",分期持仓明细!$AB$17*SUMPRODUCT(分期持仓明细!$B$17:$Y$17,'实盘净值数据(iFinD）'!$B831:$Y831/'实盘净值数据(iFinD）'!$B$20:$Y$20)*(1-实盘持仓初始配置!$Z$4)^(('实盘净值数据(iFinD）'!$A831-'实盘净值数据(iFinD）'!$A$6)/365))</f>
        <v/>
      </c>
      <c r="C831" s="16" t="str">
        <f t="shared" si="78"/>
        <v/>
      </c>
      <c r="D831" s="16" t="str">
        <f>IF(B831="","",B831/MAX(B$5:B831)-1)</f>
        <v/>
      </c>
      <c r="E831" s="13" t="str">
        <f>IF(OR('实盘净值数据(iFinD）'!$A831="",'实盘净值数据(iFinD）'!$B831=""),"",分期持仓明细!$AB$18*SUMPRODUCT(分期持仓明细!$B$18:$Y$18,'实盘净值数据(iFinD）'!$B831:$Y831/'实盘净值数据(iFinD）'!$B$20:$Y$20)*(1-实盘持仓初始配置!$Z$5)^(('实盘净值数据(iFinD）'!$A831-'实盘净值数据(iFinD）'!$A$5)/365))</f>
        <v/>
      </c>
      <c r="F831" s="16" t="str">
        <f t="shared" si="79"/>
        <v/>
      </c>
      <c r="G831" s="16" t="str">
        <f>IF(E831="","",E831/MAX(E$5:E831)-1)</f>
        <v/>
      </c>
      <c r="H831" s="13" t="str">
        <f>IF(OR('实盘净值数据(iFinD）'!$A831="",'实盘净值数据(iFinD）'!$B831=""),"",分期持仓明细!$AB$19*SUMPRODUCT(分期持仓明细!$B$19:$Y$19,'实盘净值数据(iFinD）'!$B831:$Y831/'实盘净值数据(iFinD）'!$B$20:$Y$20)*(1-实盘持仓初始配置!$Z$6)^(('实盘净值数据(iFinD）'!$A831-'实盘净值数据(iFinD）'!$A$7)/365))</f>
        <v/>
      </c>
      <c r="I831" s="16" t="str">
        <f t="shared" si="80"/>
        <v/>
      </c>
      <c r="J831" s="16" t="str">
        <f>IF(H831="","",H831/MAX(H$5:H831)-1)</f>
        <v/>
      </c>
      <c r="K831" s="13" t="str">
        <f>IF(OR('实盘净值数据(iFinD）'!$A831="",'实盘净值数据(iFinD）'!$B831="",'实盘净值数据(iFinD）'!$Z831="",'实盘净值数据(iFinD）'!$AA831=""),"",分期持仓明细!$AB$23*(SUMPRODUCT(分期持仓明细!$B$23:$Y$23,'实盘净值数据(iFinD）'!$B831:$Y831/'实盘净值数据(iFinD）'!$B$65:$Y$65)+SUMPRODUCT(分期持仓明细!$AC$23:$AD$23,'实盘净值数据(iFinD）'!$Z831:$AA831/'实盘净值数据(iFinD）'!$Z$65:$AA$65))*(1-实盘持仓初始配置!$Z$7)^(('实盘净值数据(iFinD）'!$A831-'实盘净值数据(iFinD）'!$A$8)/365))</f>
        <v/>
      </c>
      <c r="L831" s="16" t="str">
        <f t="shared" si="81"/>
        <v/>
      </c>
      <c r="M831" s="16" t="str">
        <f>IF(K831="","",K831/MAX(K$5:K831)-1)</f>
        <v/>
      </c>
      <c r="N831" s="13" t="str">
        <f>IF(OR('实盘净值数据(iFinD）'!$A831="",'实盘净值数据(iFinD）'!$B831="",'实盘净值数据(iFinD）'!$Z831="",'实盘净值数据(iFinD）'!$AA831=""),"",分期持仓明细!$AB$24*(SUMPRODUCT(分期持仓明细!$B$24:$Y$24,'实盘净值数据(iFinD）'!$B831:$Y831/'实盘净值数据(iFinD）'!$B$65:$Y$65)+SUMPRODUCT(分期持仓明细!$AC$24:$AD$24,'实盘净值数据(iFinD）'!$Z831:$AA831/'实盘净值数据(iFinD）'!$Z$65:$AA$65))*(1-实盘持仓初始配置!$Z$8)^(('实盘净值数据(iFinD）'!$A831-'实盘净值数据(iFinD）'!$A$5)/365))</f>
        <v/>
      </c>
      <c r="O831" s="16" t="str">
        <f t="shared" si="82"/>
        <v/>
      </c>
      <c r="P831" s="16" t="str">
        <f>IF(N831="","",N831/MAX(N$5:N831)-1)</f>
        <v/>
      </c>
      <c r="Q831" s="13" t="str">
        <f>IF(OR('实盘净值数据(iFinD）'!$A831="",'实盘净值数据(iFinD）'!$B831="",'实盘净值数据(iFinD）'!$Z831="",'实盘净值数据(iFinD）'!$AA831=""),"",分期持仓明细!$AB$25*(SUMPRODUCT(分期持仓明细!$B$25:$Y$25,'实盘净值数据(iFinD）'!$B831:$Y831/'实盘净值数据(iFinD）'!$B$65:$Y$65)+SUMPRODUCT(分期持仓明细!$AC$25:$AD$25,'实盘净值数据(iFinD）'!$Z831:$AA831/'实盘净值数据(iFinD）'!$Z$65:$AA$65))*(1-实盘持仓初始配置!$Z$9)^(('实盘净值数据(iFinD）'!$A831-'实盘净值数据(iFinD）'!$A$8)/365))</f>
        <v/>
      </c>
      <c r="R831" s="16" t="str">
        <f t="shared" si="83"/>
        <v/>
      </c>
      <c r="S831" s="16" t="str">
        <f>IF(Q831="","",Q831/MAX(Q$5:Q831)-1)</f>
        <v/>
      </c>
      <c r="T831" s="13">
        <f>IF(OR('实盘净值数据(iFinD）'!$A831="",'实盘净值数据(iFinD）'!$B831="",'实盘净值数据(iFinD）'!$Z831="",'实盘净值数据(iFinD）'!$AA831="",'实盘净值数据(iFinD）'!$AB831="",'实盘净值数据(iFinD）'!$AL831=""),"",(SUMPRODUCT(分期持仓明细!$B$26:$Y$26,'实盘净值数据(iFinD）'!$B831:$Y831/'实盘净值数据(iFinD）'!$B$69:$Y$69)+SUMPRODUCT(分期持仓明细!$AC$26:$AD$26,'实盘净值数据(iFinD）'!$Z831:$AA831/'实盘净值数据(iFinD）'!$Z$69:$AA$69)+SUMPRODUCT(分期持仓明细!$AE$26:$AO$26,'实盘净值数据(iFinD）'!$AB831:$AL831/'实盘净值数据(iFinD）'!$AB$69:$AL$69))*(1-实盘持仓初始配置!$Z$10)^(('实盘净值数据(iFinD）'!$A831-'实盘净值数据(iFinD）'!$A$69)/365))</f>
        <v/>
      </c>
      <c r="U831" s="16">
        <f>IF(OR(T830="",T831=""),"",T831/T830-1)</f>
        <v/>
      </c>
      <c r="V831" s="16">
        <f>IF(T831="","",T831/MAX(T$5:T831)-1)</f>
        <v/>
      </c>
    </row>
    <row r="832" spans="1:19">
      <c r="A832" s="15" t="str">
        <f>IF('实盘净值数据(iFinD）'!A832="","",'实盘净值数据(iFinD）'!A832)</f>
        <v/>
      </c>
      <c r="B832" s="13" t="str">
        <f>IF(OR('实盘净值数据(iFinD）'!$A832="",'实盘净值数据(iFinD）'!$B832=""),"",分期持仓明细!$AB$17*SUMPRODUCT(分期持仓明细!$B$17:$Y$17,'实盘净值数据(iFinD）'!$B832:$Y832/'实盘净值数据(iFinD）'!$B$20:$Y$20)*(1-实盘持仓初始配置!$Z$4)^(('实盘净值数据(iFinD）'!$A832-'实盘净值数据(iFinD）'!$A$6)/365))</f>
        <v/>
      </c>
      <c r="C832" s="16" t="str">
        <f t="shared" si="78"/>
        <v/>
      </c>
      <c r="D832" s="16" t="str">
        <f>IF(B832="","",B832/MAX(B$5:B832)-1)</f>
        <v/>
      </c>
      <c r="E832" s="13" t="str">
        <f>IF(OR('实盘净值数据(iFinD）'!$A832="",'实盘净值数据(iFinD）'!$B832=""),"",分期持仓明细!$AB$18*SUMPRODUCT(分期持仓明细!$B$18:$Y$18,'实盘净值数据(iFinD）'!$B832:$Y832/'实盘净值数据(iFinD）'!$B$20:$Y$20)*(1-实盘持仓初始配置!$Z$5)^(('实盘净值数据(iFinD）'!$A832-'实盘净值数据(iFinD）'!$A$5)/365))</f>
        <v/>
      </c>
      <c r="F832" s="16" t="str">
        <f t="shared" si="79"/>
        <v/>
      </c>
      <c r="G832" s="16" t="str">
        <f>IF(E832="","",E832/MAX(E$5:E832)-1)</f>
        <v/>
      </c>
      <c r="H832" s="13" t="str">
        <f>IF(OR('实盘净值数据(iFinD）'!$A832="",'实盘净值数据(iFinD）'!$B832=""),"",分期持仓明细!$AB$19*SUMPRODUCT(分期持仓明细!$B$19:$Y$19,'实盘净值数据(iFinD）'!$B832:$Y832/'实盘净值数据(iFinD）'!$B$20:$Y$20)*(1-实盘持仓初始配置!$Z$6)^(('实盘净值数据(iFinD）'!$A832-'实盘净值数据(iFinD）'!$A$7)/365))</f>
        <v/>
      </c>
      <c r="I832" s="16" t="str">
        <f t="shared" si="80"/>
        <v/>
      </c>
      <c r="J832" s="16" t="str">
        <f>IF(H832="","",H832/MAX(H$5:H832)-1)</f>
        <v/>
      </c>
      <c r="K832" s="13" t="str">
        <f>IF(OR('实盘净值数据(iFinD）'!$A832="",'实盘净值数据(iFinD）'!$B832="",'实盘净值数据(iFinD）'!$Z832="",'实盘净值数据(iFinD）'!$AA832=""),"",分期持仓明细!$AB$23*(SUMPRODUCT(分期持仓明细!$B$23:$Y$23,'实盘净值数据(iFinD）'!$B832:$Y832/'实盘净值数据(iFinD）'!$B$65:$Y$65)+SUMPRODUCT(分期持仓明细!$AC$23:$AD$23,'实盘净值数据(iFinD）'!$Z832:$AA832/'实盘净值数据(iFinD）'!$Z$65:$AA$65))*(1-实盘持仓初始配置!$Z$7)^(('实盘净值数据(iFinD）'!$A832-'实盘净值数据(iFinD）'!$A$8)/365))</f>
        <v/>
      </c>
      <c r="L832" s="16" t="str">
        <f t="shared" si="81"/>
        <v/>
      </c>
      <c r="M832" s="16" t="str">
        <f>IF(K832="","",K832/MAX(K$5:K832)-1)</f>
        <v/>
      </c>
      <c r="N832" s="13" t="str">
        <f>IF(OR('实盘净值数据(iFinD）'!$A832="",'实盘净值数据(iFinD）'!$B832="",'实盘净值数据(iFinD）'!$Z832="",'实盘净值数据(iFinD）'!$AA832=""),"",分期持仓明细!$AB$24*(SUMPRODUCT(分期持仓明细!$B$24:$Y$24,'实盘净值数据(iFinD）'!$B832:$Y832/'实盘净值数据(iFinD）'!$B$65:$Y$65)+SUMPRODUCT(分期持仓明细!$AC$24:$AD$24,'实盘净值数据(iFinD）'!$Z832:$AA832/'实盘净值数据(iFinD）'!$Z$65:$AA$65))*(1-实盘持仓初始配置!$Z$8)^(('实盘净值数据(iFinD）'!$A832-'实盘净值数据(iFinD）'!$A$5)/365))</f>
        <v/>
      </c>
      <c r="O832" s="16" t="str">
        <f t="shared" si="82"/>
        <v/>
      </c>
      <c r="P832" s="16" t="str">
        <f>IF(N832="","",N832/MAX(N$5:N832)-1)</f>
        <v/>
      </c>
      <c r="Q832" s="13" t="str">
        <f>IF(OR('实盘净值数据(iFinD）'!$A832="",'实盘净值数据(iFinD）'!$B832="",'实盘净值数据(iFinD）'!$Z832="",'实盘净值数据(iFinD）'!$AA832=""),"",分期持仓明细!$AB$25*(SUMPRODUCT(分期持仓明细!$B$25:$Y$25,'实盘净值数据(iFinD）'!$B832:$Y832/'实盘净值数据(iFinD）'!$B$65:$Y$65)+SUMPRODUCT(分期持仓明细!$AC$25:$AD$25,'实盘净值数据(iFinD）'!$Z832:$AA832/'实盘净值数据(iFinD）'!$Z$65:$AA$65))*(1-实盘持仓初始配置!$Z$9)^(('实盘净值数据(iFinD）'!$A832-'实盘净值数据(iFinD）'!$A$8)/365))</f>
        <v/>
      </c>
      <c r="R832" s="16" t="str">
        <f t="shared" si="83"/>
        <v/>
      </c>
      <c r="S832" s="16" t="str">
        <f>IF(Q832="","",Q832/MAX(Q$5:Q832)-1)</f>
        <v/>
      </c>
      <c r="T832" s="13">
        <f>IF(OR('实盘净值数据(iFinD）'!$A832="",'实盘净值数据(iFinD）'!$B832="",'实盘净值数据(iFinD）'!$Z832="",'实盘净值数据(iFinD）'!$AA832="",'实盘净值数据(iFinD）'!$AB832="",'实盘净值数据(iFinD）'!$AL832=""),"",(SUMPRODUCT(分期持仓明细!$B$26:$Y$26,'实盘净值数据(iFinD）'!$B832:$Y832/'实盘净值数据(iFinD）'!$B$69:$Y$69)+SUMPRODUCT(分期持仓明细!$AC$26:$AD$26,'实盘净值数据(iFinD）'!$Z832:$AA832/'实盘净值数据(iFinD）'!$Z$69:$AA$69)+SUMPRODUCT(分期持仓明细!$AE$26:$AO$26,'实盘净值数据(iFinD）'!$AB832:$AL832/'实盘净值数据(iFinD）'!$AB$69:$AL$69))*(1-实盘持仓初始配置!$Z$10)^(('实盘净值数据(iFinD）'!$A832-'实盘净值数据(iFinD）'!$A$69)/365))</f>
        <v/>
      </c>
      <c r="U832" s="16">
        <f>IF(OR(T831="",T832=""),"",T832/T831-1)</f>
        <v/>
      </c>
      <c r="V832" s="16">
        <f>IF(T832="","",T832/MAX(T$5:T832)-1)</f>
        <v/>
      </c>
    </row>
    <row r="833" spans="1:19">
      <c r="A833" s="15" t="str">
        <f>IF('实盘净值数据(iFinD）'!A833="","",'实盘净值数据(iFinD）'!A833)</f>
        <v/>
      </c>
      <c r="B833" s="13" t="str">
        <f>IF(OR('实盘净值数据(iFinD）'!$A833="",'实盘净值数据(iFinD）'!$B833=""),"",分期持仓明细!$AB$17*SUMPRODUCT(分期持仓明细!$B$17:$Y$17,'实盘净值数据(iFinD）'!$B833:$Y833/'实盘净值数据(iFinD）'!$B$20:$Y$20)*(1-实盘持仓初始配置!$Z$4)^(('实盘净值数据(iFinD）'!$A833-'实盘净值数据(iFinD）'!$A$6)/365))</f>
        <v/>
      </c>
      <c r="C833" s="16" t="str">
        <f t="shared" si="78"/>
        <v/>
      </c>
      <c r="D833" s="16" t="str">
        <f>IF(B833="","",B833/MAX(B$5:B833)-1)</f>
        <v/>
      </c>
      <c r="E833" s="13" t="str">
        <f>IF(OR('实盘净值数据(iFinD）'!$A833="",'实盘净值数据(iFinD）'!$B833=""),"",分期持仓明细!$AB$18*SUMPRODUCT(分期持仓明细!$B$18:$Y$18,'实盘净值数据(iFinD）'!$B833:$Y833/'实盘净值数据(iFinD）'!$B$20:$Y$20)*(1-实盘持仓初始配置!$Z$5)^(('实盘净值数据(iFinD）'!$A833-'实盘净值数据(iFinD）'!$A$5)/365))</f>
        <v/>
      </c>
      <c r="F833" s="16" t="str">
        <f t="shared" si="79"/>
        <v/>
      </c>
      <c r="G833" s="16" t="str">
        <f>IF(E833="","",E833/MAX(E$5:E833)-1)</f>
        <v/>
      </c>
      <c r="H833" s="13" t="str">
        <f>IF(OR('实盘净值数据(iFinD）'!$A833="",'实盘净值数据(iFinD）'!$B833=""),"",分期持仓明细!$AB$19*SUMPRODUCT(分期持仓明细!$B$19:$Y$19,'实盘净值数据(iFinD）'!$B833:$Y833/'实盘净值数据(iFinD）'!$B$20:$Y$20)*(1-实盘持仓初始配置!$Z$6)^(('实盘净值数据(iFinD）'!$A833-'实盘净值数据(iFinD）'!$A$7)/365))</f>
        <v/>
      </c>
      <c r="I833" s="16" t="str">
        <f t="shared" si="80"/>
        <v/>
      </c>
      <c r="J833" s="16" t="str">
        <f>IF(H833="","",H833/MAX(H$5:H833)-1)</f>
        <v/>
      </c>
      <c r="K833" s="13" t="str">
        <f>IF(OR('实盘净值数据(iFinD）'!$A833="",'实盘净值数据(iFinD）'!$B833="",'实盘净值数据(iFinD）'!$Z833="",'实盘净值数据(iFinD）'!$AA833=""),"",分期持仓明细!$AB$23*(SUMPRODUCT(分期持仓明细!$B$23:$Y$23,'实盘净值数据(iFinD）'!$B833:$Y833/'实盘净值数据(iFinD）'!$B$65:$Y$65)+SUMPRODUCT(分期持仓明细!$AC$23:$AD$23,'实盘净值数据(iFinD）'!$Z833:$AA833/'实盘净值数据(iFinD）'!$Z$65:$AA$65))*(1-实盘持仓初始配置!$Z$7)^(('实盘净值数据(iFinD）'!$A833-'实盘净值数据(iFinD）'!$A$8)/365))</f>
        <v/>
      </c>
      <c r="L833" s="16" t="str">
        <f t="shared" si="81"/>
        <v/>
      </c>
      <c r="M833" s="16" t="str">
        <f>IF(K833="","",K833/MAX(K$5:K833)-1)</f>
        <v/>
      </c>
      <c r="N833" s="13" t="str">
        <f>IF(OR('实盘净值数据(iFinD）'!$A833="",'实盘净值数据(iFinD）'!$B833="",'实盘净值数据(iFinD）'!$Z833="",'实盘净值数据(iFinD）'!$AA833=""),"",分期持仓明细!$AB$24*(SUMPRODUCT(分期持仓明细!$B$24:$Y$24,'实盘净值数据(iFinD）'!$B833:$Y833/'实盘净值数据(iFinD）'!$B$65:$Y$65)+SUMPRODUCT(分期持仓明细!$AC$24:$AD$24,'实盘净值数据(iFinD）'!$Z833:$AA833/'实盘净值数据(iFinD）'!$Z$65:$AA$65))*(1-实盘持仓初始配置!$Z$8)^(('实盘净值数据(iFinD）'!$A833-'实盘净值数据(iFinD）'!$A$5)/365))</f>
        <v/>
      </c>
      <c r="O833" s="16" t="str">
        <f t="shared" si="82"/>
        <v/>
      </c>
      <c r="P833" s="16" t="str">
        <f>IF(N833="","",N833/MAX(N$5:N833)-1)</f>
        <v/>
      </c>
      <c r="Q833" s="13" t="str">
        <f>IF(OR('实盘净值数据(iFinD）'!$A833="",'实盘净值数据(iFinD）'!$B833="",'实盘净值数据(iFinD）'!$Z833="",'实盘净值数据(iFinD）'!$AA833=""),"",分期持仓明细!$AB$25*(SUMPRODUCT(分期持仓明细!$B$25:$Y$25,'实盘净值数据(iFinD）'!$B833:$Y833/'实盘净值数据(iFinD）'!$B$65:$Y$65)+SUMPRODUCT(分期持仓明细!$AC$25:$AD$25,'实盘净值数据(iFinD）'!$Z833:$AA833/'实盘净值数据(iFinD）'!$Z$65:$AA$65))*(1-实盘持仓初始配置!$Z$9)^(('实盘净值数据(iFinD）'!$A833-'实盘净值数据(iFinD）'!$A$8)/365))</f>
        <v/>
      </c>
      <c r="R833" s="16" t="str">
        <f t="shared" si="83"/>
        <v/>
      </c>
      <c r="S833" s="16" t="str">
        <f>IF(Q833="","",Q833/MAX(Q$5:Q833)-1)</f>
        <v/>
      </c>
      <c r="T833" s="13">
        <f>IF(OR('实盘净值数据(iFinD）'!$A833="",'实盘净值数据(iFinD）'!$B833="",'实盘净值数据(iFinD）'!$Z833="",'实盘净值数据(iFinD）'!$AA833="",'实盘净值数据(iFinD）'!$AB833="",'实盘净值数据(iFinD）'!$AL833=""),"",(SUMPRODUCT(分期持仓明细!$B$26:$Y$26,'实盘净值数据(iFinD）'!$B833:$Y833/'实盘净值数据(iFinD）'!$B$69:$Y$69)+SUMPRODUCT(分期持仓明细!$AC$26:$AD$26,'实盘净值数据(iFinD）'!$Z833:$AA833/'实盘净值数据(iFinD）'!$Z$69:$AA$69)+SUMPRODUCT(分期持仓明细!$AE$26:$AO$26,'实盘净值数据(iFinD）'!$AB833:$AL833/'实盘净值数据(iFinD）'!$AB$69:$AL$69))*(1-实盘持仓初始配置!$Z$10)^(('实盘净值数据(iFinD）'!$A833-'实盘净值数据(iFinD）'!$A$69)/365))</f>
        <v/>
      </c>
      <c r="U833" s="16">
        <f>IF(OR(T832="",T833=""),"",T833/T832-1)</f>
        <v/>
      </c>
      <c r="V833" s="16">
        <f>IF(T833="","",T833/MAX(T$5:T833)-1)</f>
        <v/>
      </c>
    </row>
    <row r="834" spans="1:19">
      <c r="A834" s="15" t="str">
        <f>IF('实盘净值数据(iFinD）'!A834="","",'实盘净值数据(iFinD）'!A834)</f>
        <v/>
      </c>
      <c r="B834" s="13" t="str">
        <f>IF(OR('实盘净值数据(iFinD）'!$A834="",'实盘净值数据(iFinD）'!$B834=""),"",分期持仓明细!$AB$17*SUMPRODUCT(分期持仓明细!$B$17:$Y$17,'实盘净值数据(iFinD）'!$B834:$Y834/'实盘净值数据(iFinD）'!$B$20:$Y$20)*(1-实盘持仓初始配置!$Z$4)^(('实盘净值数据(iFinD）'!$A834-'实盘净值数据(iFinD）'!$A$6)/365))</f>
        <v/>
      </c>
      <c r="C834" s="16" t="str">
        <f t="shared" si="78"/>
        <v/>
      </c>
      <c r="D834" s="16" t="str">
        <f>IF(B834="","",B834/MAX(B$5:B834)-1)</f>
        <v/>
      </c>
      <c r="E834" s="13" t="str">
        <f>IF(OR('实盘净值数据(iFinD）'!$A834="",'实盘净值数据(iFinD）'!$B834=""),"",分期持仓明细!$AB$18*SUMPRODUCT(分期持仓明细!$B$18:$Y$18,'实盘净值数据(iFinD）'!$B834:$Y834/'实盘净值数据(iFinD）'!$B$20:$Y$20)*(1-实盘持仓初始配置!$Z$5)^(('实盘净值数据(iFinD）'!$A834-'实盘净值数据(iFinD）'!$A$5)/365))</f>
        <v/>
      </c>
      <c r="F834" s="16" t="str">
        <f t="shared" si="79"/>
        <v/>
      </c>
      <c r="G834" s="16" t="str">
        <f>IF(E834="","",E834/MAX(E$5:E834)-1)</f>
        <v/>
      </c>
      <c r="H834" s="13" t="str">
        <f>IF(OR('实盘净值数据(iFinD）'!$A834="",'实盘净值数据(iFinD）'!$B834=""),"",分期持仓明细!$AB$19*SUMPRODUCT(分期持仓明细!$B$19:$Y$19,'实盘净值数据(iFinD）'!$B834:$Y834/'实盘净值数据(iFinD）'!$B$20:$Y$20)*(1-实盘持仓初始配置!$Z$6)^(('实盘净值数据(iFinD）'!$A834-'实盘净值数据(iFinD）'!$A$7)/365))</f>
        <v/>
      </c>
      <c r="I834" s="16" t="str">
        <f t="shared" si="80"/>
        <v/>
      </c>
      <c r="J834" s="16" t="str">
        <f>IF(H834="","",H834/MAX(H$5:H834)-1)</f>
        <v/>
      </c>
      <c r="K834" s="13" t="str">
        <f>IF(OR('实盘净值数据(iFinD）'!$A834="",'实盘净值数据(iFinD）'!$B834="",'实盘净值数据(iFinD）'!$Z834="",'实盘净值数据(iFinD）'!$AA834=""),"",分期持仓明细!$AB$23*(SUMPRODUCT(分期持仓明细!$B$23:$Y$23,'实盘净值数据(iFinD）'!$B834:$Y834/'实盘净值数据(iFinD）'!$B$65:$Y$65)+SUMPRODUCT(分期持仓明细!$AC$23:$AD$23,'实盘净值数据(iFinD）'!$Z834:$AA834/'实盘净值数据(iFinD）'!$Z$65:$AA$65))*(1-实盘持仓初始配置!$Z$7)^(('实盘净值数据(iFinD）'!$A834-'实盘净值数据(iFinD）'!$A$8)/365))</f>
        <v/>
      </c>
      <c r="L834" s="16" t="str">
        <f t="shared" si="81"/>
        <v/>
      </c>
      <c r="M834" s="16" t="str">
        <f>IF(K834="","",K834/MAX(K$5:K834)-1)</f>
        <v/>
      </c>
      <c r="N834" s="13" t="str">
        <f>IF(OR('实盘净值数据(iFinD）'!$A834="",'实盘净值数据(iFinD）'!$B834="",'实盘净值数据(iFinD）'!$Z834="",'实盘净值数据(iFinD）'!$AA834=""),"",分期持仓明细!$AB$24*(SUMPRODUCT(分期持仓明细!$B$24:$Y$24,'实盘净值数据(iFinD）'!$B834:$Y834/'实盘净值数据(iFinD）'!$B$65:$Y$65)+SUMPRODUCT(分期持仓明细!$AC$24:$AD$24,'实盘净值数据(iFinD）'!$Z834:$AA834/'实盘净值数据(iFinD）'!$Z$65:$AA$65))*(1-实盘持仓初始配置!$Z$8)^(('实盘净值数据(iFinD）'!$A834-'实盘净值数据(iFinD）'!$A$5)/365))</f>
        <v/>
      </c>
      <c r="O834" s="16" t="str">
        <f t="shared" si="82"/>
        <v/>
      </c>
      <c r="P834" s="16" t="str">
        <f>IF(N834="","",N834/MAX(N$5:N834)-1)</f>
        <v/>
      </c>
      <c r="Q834" s="13" t="str">
        <f>IF(OR('实盘净值数据(iFinD）'!$A834="",'实盘净值数据(iFinD）'!$B834="",'实盘净值数据(iFinD）'!$Z834="",'实盘净值数据(iFinD）'!$AA834=""),"",分期持仓明细!$AB$25*(SUMPRODUCT(分期持仓明细!$B$25:$Y$25,'实盘净值数据(iFinD）'!$B834:$Y834/'实盘净值数据(iFinD）'!$B$65:$Y$65)+SUMPRODUCT(分期持仓明细!$AC$25:$AD$25,'实盘净值数据(iFinD）'!$Z834:$AA834/'实盘净值数据(iFinD）'!$Z$65:$AA$65))*(1-实盘持仓初始配置!$Z$9)^(('实盘净值数据(iFinD）'!$A834-'实盘净值数据(iFinD）'!$A$8)/365))</f>
        <v/>
      </c>
      <c r="R834" s="16" t="str">
        <f t="shared" si="83"/>
        <v/>
      </c>
      <c r="S834" s="16" t="str">
        <f>IF(Q834="","",Q834/MAX(Q$5:Q834)-1)</f>
        <v/>
      </c>
      <c r="T834" s="13">
        <f>IF(OR('实盘净值数据(iFinD）'!$A834="",'实盘净值数据(iFinD）'!$B834="",'实盘净值数据(iFinD）'!$Z834="",'实盘净值数据(iFinD）'!$AA834="",'实盘净值数据(iFinD）'!$AB834="",'实盘净值数据(iFinD）'!$AL834=""),"",(SUMPRODUCT(分期持仓明细!$B$26:$Y$26,'实盘净值数据(iFinD）'!$B834:$Y834/'实盘净值数据(iFinD）'!$B$69:$Y$69)+SUMPRODUCT(分期持仓明细!$AC$26:$AD$26,'实盘净值数据(iFinD）'!$Z834:$AA834/'实盘净值数据(iFinD）'!$Z$69:$AA$69)+SUMPRODUCT(分期持仓明细!$AE$26:$AO$26,'实盘净值数据(iFinD）'!$AB834:$AL834/'实盘净值数据(iFinD）'!$AB$69:$AL$69))*(1-实盘持仓初始配置!$Z$10)^(('实盘净值数据(iFinD）'!$A834-'实盘净值数据(iFinD）'!$A$69)/365))</f>
        <v/>
      </c>
      <c r="U834" s="16">
        <f>IF(OR(T833="",T834=""),"",T834/T833-1)</f>
        <v/>
      </c>
      <c r="V834" s="16">
        <f>IF(T834="","",T834/MAX(T$5:T834)-1)</f>
        <v/>
      </c>
    </row>
    <row r="835" spans="1:19">
      <c r="A835" s="15" t="str">
        <f>IF('实盘净值数据(iFinD）'!A835="","",'实盘净值数据(iFinD）'!A835)</f>
        <v/>
      </c>
      <c r="B835" s="13" t="str">
        <f>IF(OR('实盘净值数据(iFinD）'!$A835="",'实盘净值数据(iFinD）'!$B835=""),"",分期持仓明细!$AB$17*SUMPRODUCT(分期持仓明细!$B$17:$Y$17,'实盘净值数据(iFinD）'!$B835:$Y835/'实盘净值数据(iFinD）'!$B$20:$Y$20)*(1-实盘持仓初始配置!$Z$4)^(('实盘净值数据(iFinD）'!$A835-'实盘净值数据(iFinD）'!$A$6)/365))</f>
        <v/>
      </c>
      <c r="C835" s="16" t="str">
        <f t="shared" si="78"/>
        <v/>
      </c>
      <c r="D835" s="16" t="str">
        <f>IF(B835="","",B835/MAX(B$5:B835)-1)</f>
        <v/>
      </c>
      <c r="E835" s="13" t="str">
        <f>IF(OR('实盘净值数据(iFinD）'!$A835="",'实盘净值数据(iFinD）'!$B835=""),"",分期持仓明细!$AB$18*SUMPRODUCT(分期持仓明细!$B$18:$Y$18,'实盘净值数据(iFinD）'!$B835:$Y835/'实盘净值数据(iFinD）'!$B$20:$Y$20)*(1-实盘持仓初始配置!$Z$5)^(('实盘净值数据(iFinD）'!$A835-'实盘净值数据(iFinD）'!$A$5)/365))</f>
        <v/>
      </c>
      <c r="F835" s="16" t="str">
        <f t="shared" si="79"/>
        <v/>
      </c>
      <c r="G835" s="16" t="str">
        <f>IF(E835="","",E835/MAX(E$5:E835)-1)</f>
        <v/>
      </c>
      <c r="H835" s="13" t="str">
        <f>IF(OR('实盘净值数据(iFinD）'!$A835="",'实盘净值数据(iFinD）'!$B835=""),"",分期持仓明细!$AB$19*SUMPRODUCT(分期持仓明细!$B$19:$Y$19,'实盘净值数据(iFinD）'!$B835:$Y835/'实盘净值数据(iFinD）'!$B$20:$Y$20)*(1-实盘持仓初始配置!$Z$6)^(('实盘净值数据(iFinD）'!$A835-'实盘净值数据(iFinD）'!$A$7)/365))</f>
        <v/>
      </c>
      <c r="I835" s="16" t="str">
        <f t="shared" si="80"/>
        <v/>
      </c>
      <c r="J835" s="16" t="str">
        <f>IF(H835="","",H835/MAX(H$5:H835)-1)</f>
        <v/>
      </c>
      <c r="K835" s="13" t="str">
        <f>IF(OR('实盘净值数据(iFinD）'!$A835="",'实盘净值数据(iFinD）'!$B835="",'实盘净值数据(iFinD）'!$Z835="",'实盘净值数据(iFinD）'!$AA835=""),"",分期持仓明细!$AB$23*(SUMPRODUCT(分期持仓明细!$B$23:$Y$23,'实盘净值数据(iFinD）'!$B835:$Y835/'实盘净值数据(iFinD）'!$B$65:$Y$65)+SUMPRODUCT(分期持仓明细!$AC$23:$AD$23,'实盘净值数据(iFinD）'!$Z835:$AA835/'实盘净值数据(iFinD）'!$Z$65:$AA$65))*(1-实盘持仓初始配置!$Z$7)^(('实盘净值数据(iFinD）'!$A835-'实盘净值数据(iFinD）'!$A$8)/365))</f>
        <v/>
      </c>
      <c r="L835" s="16" t="str">
        <f t="shared" si="81"/>
        <v/>
      </c>
      <c r="M835" s="16" t="str">
        <f>IF(K835="","",K835/MAX(K$5:K835)-1)</f>
        <v/>
      </c>
      <c r="N835" s="13" t="str">
        <f>IF(OR('实盘净值数据(iFinD）'!$A835="",'实盘净值数据(iFinD）'!$B835="",'实盘净值数据(iFinD）'!$Z835="",'实盘净值数据(iFinD）'!$AA835=""),"",分期持仓明细!$AB$24*(SUMPRODUCT(分期持仓明细!$B$24:$Y$24,'实盘净值数据(iFinD）'!$B835:$Y835/'实盘净值数据(iFinD）'!$B$65:$Y$65)+SUMPRODUCT(分期持仓明细!$AC$24:$AD$24,'实盘净值数据(iFinD）'!$Z835:$AA835/'实盘净值数据(iFinD）'!$Z$65:$AA$65))*(1-实盘持仓初始配置!$Z$8)^(('实盘净值数据(iFinD）'!$A835-'实盘净值数据(iFinD）'!$A$5)/365))</f>
        <v/>
      </c>
      <c r="O835" s="16" t="str">
        <f t="shared" si="82"/>
        <v/>
      </c>
      <c r="P835" s="16" t="str">
        <f>IF(N835="","",N835/MAX(N$5:N835)-1)</f>
        <v/>
      </c>
      <c r="Q835" s="13" t="str">
        <f>IF(OR('实盘净值数据(iFinD）'!$A835="",'实盘净值数据(iFinD）'!$B835="",'实盘净值数据(iFinD）'!$Z835="",'实盘净值数据(iFinD）'!$AA835=""),"",分期持仓明细!$AB$25*(SUMPRODUCT(分期持仓明细!$B$25:$Y$25,'实盘净值数据(iFinD）'!$B835:$Y835/'实盘净值数据(iFinD）'!$B$65:$Y$65)+SUMPRODUCT(分期持仓明细!$AC$25:$AD$25,'实盘净值数据(iFinD）'!$Z835:$AA835/'实盘净值数据(iFinD）'!$Z$65:$AA$65))*(1-实盘持仓初始配置!$Z$9)^(('实盘净值数据(iFinD）'!$A835-'实盘净值数据(iFinD）'!$A$8)/365))</f>
        <v/>
      </c>
      <c r="R835" s="16" t="str">
        <f t="shared" si="83"/>
        <v/>
      </c>
      <c r="S835" s="16" t="str">
        <f>IF(Q835="","",Q835/MAX(Q$5:Q835)-1)</f>
        <v/>
      </c>
      <c r="T835" s="13">
        <f>IF(OR('实盘净值数据(iFinD）'!$A835="",'实盘净值数据(iFinD）'!$B835="",'实盘净值数据(iFinD）'!$Z835="",'实盘净值数据(iFinD）'!$AA835="",'实盘净值数据(iFinD）'!$AB835="",'实盘净值数据(iFinD）'!$AL835=""),"",(SUMPRODUCT(分期持仓明细!$B$26:$Y$26,'实盘净值数据(iFinD）'!$B835:$Y835/'实盘净值数据(iFinD）'!$B$69:$Y$69)+SUMPRODUCT(分期持仓明细!$AC$26:$AD$26,'实盘净值数据(iFinD）'!$Z835:$AA835/'实盘净值数据(iFinD）'!$Z$69:$AA$69)+SUMPRODUCT(分期持仓明细!$AE$26:$AO$26,'实盘净值数据(iFinD）'!$AB835:$AL835/'实盘净值数据(iFinD）'!$AB$69:$AL$69))*(1-实盘持仓初始配置!$Z$10)^(('实盘净值数据(iFinD）'!$A835-'实盘净值数据(iFinD）'!$A$69)/365))</f>
        <v/>
      </c>
      <c r="U835" s="16">
        <f>IF(OR(T834="",T835=""),"",T835/T834-1)</f>
        <v/>
      </c>
      <c r="V835" s="16">
        <f>IF(T835="","",T835/MAX(T$5:T835)-1)</f>
        <v/>
      </c>
    </row>
    <row r="836" spans="1:19">
      <c r="A836" s="15" t="str">
        <f>IF('实盘净值数据(iFinD）'!A836="","",'实盘净值数据(iFinD）'!A836)</f>
        <v/>
      </c>
      <c r="B836" s="13" t="str">
        <f>IF(OR('实盘净值数据(iFinD）'!$A836="",'实盘净值数据(iFinD）'!$B836=""),"",分期持仓明细!$AB$17*SUMPRODUCT(分期持仓明细!$B$17:$Y$17,'实盘净值数据(iFinD）'!$B836:$Y836/'实盘净值数据(iFinD）'!$B$20:$Y$20)*(1-实盘持仓初始配置!$Z$4)^(('实盘净值数据(iFinD）'!$A836-'实盘净值数据(iFinD）'!$A$6)/365))</f>
        <v/>
      </c>
      <c r="C836" s="16" t="str">
        <f t="shared" si="78"/>
        <v/>
      </c>
      <c r="D836" s="16" t="str">
        <f>IF(B836="","",B836/MAX(B$5:B836)-1)</f>
        <v/>
      </c>
      <c r="E836" s="13" t="str">
        <f>IF(OR('实盘净值数据(iFinD）'!$A836="",'实盘净值数据(iFinD）'!$B836=""),"",分期持仓明细!$AB$18*SUMPRODUCT(分期持仓明细!$B$18:$Y$18,'实盘净值数据(iFinD）'!$B836:$Y836/'实盘净值数据(iFinD）'!$B$20:$Y$20)*(1-实盘持仓初始配置!$Z$5)^(('实盘净值数据(iFinD）'!$A836-'实盘净值数据(iFinD）'!$A$5)/365))</f>
        <v/>
      </c>
      <c r="F836" s="16" t="str">
        <f t="shared" si="79"/>
        <v/>
      </c>
      <c r="G836" s="16" t="str">
        <f>IF(E836="","",E836/MAX(E$5:E836)-1)</f>
        <v/>
      </c>
      <c r="H836" s="13" t="str">
        <f>IF(OR('实盘净值数据(iFinD）'!$A836="",'实盘净值数据(iFinD）'!$B836=""),"",分期持仓明细!$AB$19*SUMPRODUCT(分期持仓明细!$B$19:$Y$19,'实盘净值数据(iFinD）'!$B836:$Y836/'实盘净值数据(iFinD）'!$B$20:$Y$20)*(1-实盘持仓初始配置!$Z$6)^(('实盘净值数据(iFinD）'!$A836-'实盘净值数据(iFinD）'!$A$7)/365))</f>
        <v/>
      </c>
      <c r="I836" s="16" t="str">
        <f t="shared" si="80"/>
        <v/>
      </c>
      <c r="J836" s="16" t="str">
        <f>IF(H836="","",H836/MAX(H$5:H836)-1)</f>
        <v/>
      </c>
      <c r="K836" s="13" t="str">
        <f>IF(OR('实盘净值数据(iFinD）'!$A836="",'实盘净值数据(iFinD）'!$B836="",'实盘净值数据(iFinD）'!$Z836="",'实盘净值数据(iFinD）'!$AA836=""),"",分期持仓明细!$AB$23*(SUMPRODUCT(分期持仓明细!$B$23:$Y$23,'实盘净值数据(iFinD）'!$B836:$Y836/'实盘净值数据(iFinD）'!$B$65:$Y$65)+SUMPRODUCT(分期持仓明细!$AC$23:$AD$23,'实盘净值数据(iFinD）'!$Z836:$AA836/'实盘净值数据(iFinD）'!$Z$65:$AA$65))*(1-实盘持仓初始配置!$Z$7)^(('实盘净值数据(iFinD）'!$A836-'实盘净值数据(iFinD）'!$A$8)/365))</f>
        <v/>
      </c>
      <c r="L836" s="16" t="str">
        <f t="shared" si="81"/>
        <v/>
      </c>
      <c r="M836" s="16" t="str">
        <f>IF(K836="","",K836/MAX(K$5:K836)-1)</f>
        <v/>
      </c>
      <c r="N836" s="13" t="str">
        <f>IF(OR('实盘净值数据(iFinD）'!$A836="",'实盘净值数据(iFinD）'!$B836="",'实盘净值数据(iFinD）'!$Z836="",'实盘净值数据(iFinD）'!$AA836=""),"",分期持仓明细!$AB$24*(SUMPRODUCT(分期持仓明细!$B$24:$Y$24,'实盘净值数据(iFinD）'!$B836:$Y836/'实盘净值数据(iFinD）'!$B$65:$Y$65)+SUMPRODUCT(分期持仓明细!$AC$24:$AD$24,'实盘净值数据(iFinD）'!$Z836:$AA836/'实盘净值数据(iFinD）'!$Z$65:$AA$65))*(1-实盘持仓初始配置!$Z$8)^(('实盘净值数据(iFinD）'!$A836-'实盘净值数据(iFinD）'!$A$5)/365))</f>
        <v/>
      </c>
      <c r="O836" s="16" t="str">
        <f t="shared" si="82"/>
        <v/>
      </c>
      <c r="P836" s="16" t="str">
        <f>IF(N836="","",N836/MAX(N$5:N836)-1)</f>
        <v/>
      </c>
      <c r="Q836" s="13" t="str">
        <f>IF(OR('实盘净值数据(iFinD）'!$A836="",'实盘净值数据(iFinD）'!$B836="",'实盘净值数据(iFinD）'!$Z836="",'实盘净值数据(iFinD）'!$AA836=""),"",分期持仓明细!$AB$25*(SUMPRODUCT(分期持仓明细!$B$25:$Y$25,'实盘净值数据(iFinD）'!$B836:$Y836/'实盘净值数据(iFinD）'!$B$65:$Y$65)+SUMPRODUCT(分期持仓明细!$AC$25:$AD$25,'实盘净值数据(iFinD）'!$Z836:$AA836/'实盘净值数据(iFinD）'!$Z$65:$AA$65))*(1-实盘持仓初始配置!$Z$9)^(('实盘净值数据(iFinD）'!$A836-'实盘净值数据(iFinD）'!$A$8)/365))</f>
        <v/>
      </c>
      <c r="R836" s="16" t="str">
        <f t="shared" si="83"/>
        <v/>
      </c>
      <c r="S836" s="16" t="str">
        <f>IF(Q836="","",Q836/MAX(Q$5:Q836)-1)</f>
        <v/>
      </c>
      <c r="T836" s="13">
        <f>IF(OR('实盘净值数据(iFinD）'!$A836="",'实盘净值数据(iFinD）'!$B836="",'实盘净值数据(iFinD）'!$Z836="",'实盘净值数据(iFinD）'!$AA836="",'实盘净值数据(iFinD）'!$AB836="",'实盘净值数据(iFinD）'!$AL836=""),"",(SUMPRODUCT(分期持仓明细!$B$26:$Y$26,'实盘净值数据(iFinD）'!$B836:$Y836/'实盘净值数据(iFinD）'!$B$69:$Y$69)+SUMPRODUCT(分期持仓明细!$AC$26:$AD$26,'实盘净值数据(iFinD）'!$Z836:$AA836/'实盘净值数据(iFinD）'!$Z$69:$AA$69)+SUMPRODUCT(分期持仓明细!$AE$26:$AO$26,'实盘净值数据(iFinD）'!$AB836:$AL836/'实盘净值数据(iFinD）'!$AB$69:$AL$69))*(1-实盘持仓初始配置!$Z$10)^(('实盘净值数据(iFinD）'!$A836-'实盘净值数据(iFinD）'!$A$69)/365))</f>
        <v/>
      </c>
      <c r="U836" s="16">
        <f>IF(OR(T835="",T836=""),"",T836/T835-1)</f>
        <v/>
      </c>
      <c r="V836" s="16">
        <f>IF(T836="","",T836/MAX(T$5:T836)-1)</f>
        <v/>
      </c>
    </row>
    <row r="837" spans="1:19">
      <c r="A837" s="15" t="str">
        <f>IF('实盘净值数据(iFinD）'!A837="","",'实盘净值数据(iFinD）'!A837)</f>
        <v/>
      </c>
      <c r="B837" s="13" t="str">
        <f>IF(OR('实盘净值数据(iFinD）'!$A837="",'实盘净值数据(iFinD）'!$B837=""),"",分期持仓明细!$AB$17*SUMPRODUCT(分期持仓明细!$B$17:$Y$17,'实盘净值数据(iFinD）'!$B837:$Y837/'实盘净值数据(iFinD）'!$B$20:$Y$20)*(1-实盘持仓初始配置!$Z$4)^(('实盘净值数据(iFinD）'!$A837-'实盘净值数据(iFinD）'!$A$6)/365))</f>
        <v/>
      </c>
      <c r="C837" s="16" t="str">
        <f t="shared" si="78"/>
        <v/>
      </c>
      <c r="D837" s="16" t="str">
        <f>IF(B837="","",B837/MAX(B$5:B837)-1)</f>
        <v/>
      </c>
      <c r="E837" s="13" t="str">
        <f>IF(OR('实盘净值数据(iFinD）'!$A837="",'实盘净值数据(iFinD）'!$B837=""),"",分期持仓明细!$AB$18*SUMPRODUCT(分期持仓明细!$B$18:$Y$18,'实盘净值数据(iFinD）'!$B837:$Y837/'实盘净值数据(iFinD）'!$B$20:$Y$20)*(1-实盘持仓初始配置!$Z$5)^(('实盘净值数据(iFinD）'!$A837-'实盘净值数据(iFinD）'!$A$5)/365))</f>
        <v/>
      </c>
      <c r="F837" s="16" t="str">
        <f t="shared" si="79"/>
        <v/>
      </c>
      <c r="G837" s="16" t="str">
        <f>IF(E837="","",E837/MAX(E$5:E837)-1)</f>
        <v/>
      </c>
      <c r="H837" s="13" t="str">
        <f>IF(OR('实盘净值数据(iFinD）'!$A837="",'实盘净值数据(iFinD）'!$B837=""),"",分期持仓明细!$AB$19*SUMPRODUCT(分期持仓明细!$B$19:$Y$19,'实盘净值数据(iFinD）'!$B837:$Y837/'实盘净值数据(iFinD）'!$B$20:$Y$20)*(1-实盘持仓初始配置!$Z$6)^(('实盘净值数据(iFinD）'!$A837-'实盘净值数据(iFinD）'!$A$7)/365))</f>
        <v/>
      </c>
      <c r="I837" s="16" t="str">
        <f t="shared" si="80"/>
        <v/>
      </c>
      <c r="J837" s="16" t="str">
        <f>IF(H837="","",H837/MAX(H$5:H837)-1)</f>
        <v/>
      </c>
      <c r="K837" s="13" t="str">
        <f>IF(OR('实盘净值数据(iFinD）'!$A837="",'实盘净值数据(iFinD）'!$B837="",'实盘净值数据(iFinD）'!$Z837="",'实盘净值数据(iFinD）'!$AA837=""),"",分期持仓明细!$AB$23*(SUMPRODUCT(分期持仓明细!$B$23:$Y$23,'实盘净值数据(iFinD）'!$B837:$Y837/'实盘净值数据(iFinD）'!$B$65:$Y$65)+SUMPRODUCT(分期持仓明细!$AC$23:$AD$23,'实盘净值数据(iFinD）'!$Z837:$AA837/'实盘净值数据(iFinD）'!$Z$65:$AA$65))*(1-实盘持仓初始配置!$Z$7)^(('实盘净值数据(iFinD）'!$A837-'实盘净值数据(iFinD）'!$A$8)/365))</f>
        <v/>
      </c>
      <c r="L837" s="16" t="str">
        <f t="shared" si="81"/>
        <v/>
      </c>
      <c r="M837" s="16" t="str">
        <f>IF(K837="","",K837/MAX(K$5:K837)-1)</f>
        <v/>
      </c>
      <c r="N837" s="13" t="str">
        <f>IF(OR('实盘净值数据(iFinD）'!$A837="",'实盘净值数据(iFinD）'!$B837="",'实盘净值数据(iFinD）'!$Z837="",'实盘净值数据(iFinD）'!$AA837=""),"",分期持仓明细!$AB$24*(SUMPRODUCT(分期持仓明细!$B$24:$Y$24,'实盘净值数据(iFinD）'!$B837:$Y837/'实盘净值数据(iFinD）'!$B$65:$Y$65)+SUMPRODUCT(分期持仓明细!$AC$24:$AD$24,'实盘净值数据(iFinD）'!$Z837:$AA837/'实盘净值数据(iFinD）'!$Z$65:$AA$65))*(1-实盘持仓初始配置!$Z$8)^(('实盘净值数据(iFinD）'!$A837-'实盘净值数据(iFinD）'!$A$5)/365))</f>
        <v/>
      </c>
      <c r="O837" s="16" t="str">
        <f t="shared" si="82"/>
        <v/>
      </c>
      <c r="P837" s="16" t="str">
        <f>IF(N837="","",N837/MAX(N$5:N837)-1)</f>
        <v/>
      </c>
      <c r="Q837" s="13" t="str">
        <f>IF(OR('实盘净值数据(iFinD）'!$A837="",'实盘净值数据(iFinD）'!$B837="",'实盘净值数据(iFinD）'!$Z837="",'实盘净值数据(iFinD）'!$AA837=""),"",分期持仓明细!$AB$25*(SUMPRODUCT(分期持仓明细!$B$25:$Y$25,'实盘净值数据(iFinD）'!$B837:$Y837/'实盘净值数据(iFinD）'!$B$65:$Y$65)+SUMPRODUCT(分期持仓明细!$AC$25:$AD$25,'实盘净值数据(iFinD）'!$Z837:$AA837/'实盘净值数据(iFinD）'!$Z$65:$AA$65))*(1-实盘持仓初始配置!$Z$9)^(('实盘净值数据(iFinD）'!$A837-'实盘净值数据(iFinD）'!$A$8)/365))</f>
        <v/>
      </c>
      <c r="R837" s="16" t="str">
        <f t="shared" si="83"/>
        <v/>
      </c>
      <c r="S837" s="16" t="str">
        <f>IF(Q837="","",Q837/MAX(Q$5:Q837)-1)</f>
        <v/>
      </c>
      <c r="T837" s="13">
        <f>IF(OR('实盘净值数据(iFinD）'!$A837="",'实盘净值数据(iFinD）'!$B837="",'实盘净值数据(iFinD）'!$Z837="",'实盘净值数据(iFinD）'!$AA837="",'实盘净值数据(iFinD）'!$AB837="",'实盘净值数据(iFinD）'!$AL837=""),"",(SUMPRODUCT(分期持仓明细!$B$26:$Y$26,'实盘净值数据(iFinD）'!$B837:$Y837/'实盘净值数据(iFinD）'!$B$69:$Y$69)+SUMPRODUCT(分期持仓明细!$AC$26:$AD$26,'实盘净值数据(iFinD）'!$Z837:$AA837/'实盘净值数据(iFinD）'!$Z$69:$AA$69)+SUMPRODUCT(分期持仓明细!$AE$26:$AO$26,'实盘净值数据(iFinD）'!$AB837:$AL837/'实盘净值数据(iFinD）'!$AB$69:$AL$69))*(1-实盘持仓初始配置!$Z$10)^(('实盘净值数据(iFinD）'!$A837-'实盘净值数据(iFinD）'!$A$69)/365))</f>
        <v/>
      </c>
      <c r="U837" s="16">
        <f>IF(OR(T836="",T837=""),"",T837/T836-1)</f>
        <v/>
      </c>
      <c r="V837" s="16">
        <f>IF(T837="","",T837/MAX(T$5:T837)-1)</f>
        <v/>
      </c>
    </row>
    <row r="838" spans="1:19">
      <c r="A838" s="15" t="str">
        <f>IF('实盘净值数据(iFinD）'!A838="","",'实盘净值数据(iFinD）'!A838)</f>
        <v/>
      </c>
      <c r="B838" s="13" t="str">
        <f>IF(OR('实盘净值数据(iFinD）'!$A838="",'实盘净值数据(iFinD）'!$B838=""),"",分期持仓明细!$AB$17*SUMPRODUCT(分期持仓明细!$B$17:$Y$17,'实盘净值数据(iFinD）'!$B838:$Y838/'实盘净值数据(iFinD）'!$B$20:$Y$20)*(1-实盘持仓初始配置!$Z$4)^(('实盘净值数据(iFinD）'!$A838-'实盘净值数据(iFinD）'!$A$6)/365))</f>
        <v/>
      </c>
      <c r="C838" s="16" t="str">
        <f t="shared" si="78"/>
        <v/>
      </c>
      <c r="D838" s="16" t="str">
        <f>IF(B838="","",B838/MAX(B$5:B838)-1)</f>
        <v/>
      </c>
      <c r="E838" s="13" t="str">
        <f>IF(OR('实盘净值数据(iFinD）'!$A838="",'实盘净值数据(iFinD）'!$B838=""),"",分期持仓明细!$AB$18*SUMPRODUCT(分期持仓明细!$B$18:$Y$18,'实盘净值数据(iFinD）'!$B838:$Y838/'实盘净值数据(iFinD）'!$B$20:$Y$20)*(1-实盘持仓初始配置!$Z$5)^(('实盘净值数据(iFinD）'!$A838-'实盘净值数据(iFinD）'!$A$5)/365))</f>
        <v/>
      </c>
      <c r="F838" s="16" t="str">
        <f t="shared" si="79"/>
        <v/>
      </c>
      <c r="G838" s="16" t="str">
        <f>IF(E838="","",E838/MAX(E$5:E838)-1)</f>
        <v/>
      </c>
      <c r="H838" s="13" t="str">
        <f>IF(OR('实盘净值数据(iFinD）'!$A838="",'实盘净值数据(iFinD）'!$B838=""),"",分期持仓明细!$AB$19*SUMPRODUCT(分期持仓明细!$B$19:$Y$19,'实盘净值数据(iFinD）'!$B838:$Y838/'实盘净值数据(iFinD）'!$B$20:$Y$20)*(1-实盘持仓初始配置!$Z$6)^(('实盘净值数据(iFinD）'!$A838-'实盘净值数据(iFinD）'!$A$7)/365))</f>
        <v/>
      </c>
      <c r="I838" s="16" t="str">
        <f t="shared" si="80"/>
        <v/>
      </c>
      <c r="J838" s="16" t="str">
        <f>IF(H838="","",H838/MAX(H$5:H838)-1)</f>
        <v/>
      </c>
      <c r="K838" s="13" t="str">
        <f>IF(OR('实盘净值数据(iFinD）'!$A838="",'实盘净值数据(iFinD）'!$B838="",'实盘净值数据(iFinD）'!$Z838="",'实盘净值数据(iFinD）'!$AA838=""),"",分期持仓明细!$AB$23*(SUMPRODUCT(分期持仓明细!$B$23:$Y$23,'实盘净值数据(iFinD）'!$B838:$Y838/'实盘净值数据(iFinD）'!$B$65:$Y$65)+SUMPRODUCT(分期持仓明细!$AC$23:$AD$23,'实盘净值数据(iFinD）'!$Z838:$AA838/'实盘净值数据(iFinD）'!$Z$65:$AA$65))*(1-实盘持仓初始配置!$Z$7)^(('实盘净值数据(iFinD）'!$A838-'实盘净值数据(iFinD）'!$A$8)/365))</f>
        <v/>
      </c>
      <c r="L838" s="16" t="str">
        <f t="shared" si="81"/>
        <v/>
      </c>
      <c r="M838" s="16" t="str">
        <f>IF(K838="","",K838/MAX(K$5:K838)-1)</f>
        <v/>
      </c>
      <c r="N838" s="13" t="str">
        <f>IF(OR('实盘净值数据(iFinD）'!$A838="",'实盘净值数据(iFinD）'!$B838="",'实盘净值数据(iFinD）'!$Z838="",'实盘净值数据(iFinD）'!$AA838=""),"",分期持仓明细!$AB$24*(SUMPRODUCT(分期持仓明细!$B$24:$Y$24,'实盘净值数据(iFinD）'!$B838:$Y838/'实盘净值数据(iFinD）'!$B$65:$Y$65)+SUMPRODUCT(分期持仓明细!$AC$24:$AD$24,'实盘净值数据(iFinD）'!$Z838:$AA838/'实盘净值数据(iFinD）'!$Z$65:$AA$65))*(1-实盘持仓初始配置!$Z$8)^(('实盘净值数据(iFinD）'!$A838-'实盘净值数据(iFinD）'!$A$5)/365))</f>
        <v/>
      </c>
      <c r="O838" s="16" t="str">
        <f t="shared" si="82"/>
        <v/>
      </c>
      <c r="P838" s="16" t="str">
        <f>IF(N838="","",N838/MAX(N$5:N838)-1)</f>
        <v/>
      </c>
      <c r="Q838" s="13" t="str">
        <f>IF(OR('实盘净值数据(iFinD）'!$A838="",'实盘净值数据(iFinD）'!$B838="",'实盘净值数据(iFinD）'!$Z838="",'实盘净值数据(iFinD）'!$AA838=""),"",分期持仓明细!$AB$25*(SUMPRODUCT(分期持仓明细!$B$25:$Y$25,'实盘净值数据(iFinD）'!$B838:$Y838/'实盘净值数据(iFinD）'!$B$65:$Y$65)+SUMPRODUCT(分期持仓明细!$AC$25:$AD$25,'实盘净值数据(iFinD）'!$Z838:$AA838/'实盘净值数据(iFinD）'!$Z$65:$AA$65))*(1-实盘持仓初始配置!$Z$9)^(('实盘净值数据(iFinD）'!$A838-'实盘净值数据(iFinD）'!$A$8)/365))</f>
        <v/>
      </c>
      <c r="R838" s="16" t="str">
        <f t="shared" si="83"/>
        <v/>
      </c>
      <c r="S838" s="16" t="str">
        <f>IF(Q838="","",Q838/MAX(Q$5:Q838)-1)</f>
        <v/>
      </c>
      <c r="T838" s="13">
        <f>IF(OR('实盘净值数据(iFinD）'!$A838="",'实盘净值数据(iFinD）'!$B838="",'实盘净值数据(iFinD）'!$Z838="",'实盘净值数据(iFinD）'!$AA838="",'实盘净值数据(iFinD）'!$AB838="",'实盘净值数据(iFinD）'!$AL838=""),"",(SUMPRODUCT(分期持仓明细!$B$26:$Y$26,'实盘净值数据(iFinD）'!$B838:$Y838/'实盘净值数据(iFinD）'!$B$69:$Y$69)+SUMPRODUCT(分期持仓明细!$AC$26:$AD$26,'实盘净值数据(iFinD）'!$Z838:$AA838/'实盘净值数据(iFinD）'!$Z$69:$AA$69)+SUMPRODUCT(分期持仓明细!$AE$26:$AO$26,'实盘净值数据(iFinD）'!$AB838:$AL838/'实盘净值数据(iFinD）'!$AB$69:$AL$69))*(1-实盘持仓初始配置!$Z$10)^(('实盘净值数据(iFinD）'!$A838-'实盘净值数据(iFinD）'!$A$69)/365))</f>
        <v/>
      </c>
      <c r="U838" s="16">
        <f>IF(OR(T837="",T838=""),"",T838/T837-1)</f>
        <v/>
      </c>
      <c r="V838" s="16">
        <f>IF(T838="","",T838/MAX(T$5:T838)-1)</f>
        <v/>
      </c>
    </row>
    <row r="839" spans="1:19">
      <c r="A839" s="15" t="str">
        <f>IF('实盘净值数据(iFinD）'!A839="","",'实盘净值数据(iFinD）'!A839)</f>
        <v/>
      </c>
      <c r="B839" s="13" t="str">
        <f>IF(OR('实盘净值数据(iFinD）'!$A839="",'实盘净值数据(iFinD）'!$B839=""),"",分期持仓明细!$AB$17*SUMPRODUCT(分期持仓明细!$B$17:$Y$17,'实盘净值数据(iFinD）'!$B839:$Y839/'实盘净值数据(iFinD）'!$B$20:$Y$20)*(1-实盘持仓初始配置!$Z$4)^(('实盘净值数据(iFinD）'!$A839-'实盘净值数据(iFinD）'!$A$6)/365))</f>
        <v/>
      </c>
      <c r="C839" s="16" t="str">
        <f t="shared" si="78"/>
        <v/>
      </c>
      <c r="D839" s="16" t="str">
        <f>IF(B839="","",B839/MAX(B$5:B839)-1)</f>
        <v/>
      </c>
      <c r="E839" s="13" t="str">
        <f>IF(OR('实盘净值数据(iFinD）'!$A839="",'实盘净值数据(iFinD）'!$B839=""),"",分期持仓明细!$AB$18*SUMPRODUCT(分期持仓明细!$B$18:$Y$18,'实盘净值数据(iFinD）'!$B839:$Y839/'实盘净值数据(iFinD）'!$B$20:$Y$20)*(1-实盘持仓初始配置!$Z$5)^(('实盘净值数据(iFinD）'!$A839-'实盘净值数据(iFinD）'!$A$5)/365))</f>
        <v/>
      </c>
      <c r="F839" s="16" t="str">
        <f t="shared" si="79"/>
        <v/>
      </c>
      <c r="G839" s="16" t="str">
        <f>IF(E839="","",E839/MAX(E$5:E839)-1)</f>
        <v/>
      </c>
      <c r="H839" s="13" t="str">
        <f>IF(OR('实盘净值数据(iFinD）'!$A839="",'实盘净值数据(iFinD）'!$B839=""),"",分期持仓明细!$AB$19*SUMPRODUCT(分期持仓明细!$B$19:$Y$19,'实盘净值数据(iFinD）'!$B839:$Y839/'实盘净值数据(iFinD）'!$B$20:$Y$20)*(1-实盘持仓初始配置!$Z$6)^(('实盘净值数据(iFinD）'!$A839-'实盘净值数据(iFinD）'!$A$7)/365))</f>
        <v/>
      </c>
      <c r="I839" s="16" t="str">
        <f t="shared" si="80"/>
        <v/>
      </c>
      <c r="J839" s="16" t="str">
        <f>IF(H839="","",H839/MAX(H$5:H839)-1)</f>
        <v/>
      </c>
      <c r="K839" s="13" t="str">
        <f>IF(OR('实盘净值数据(iFinD）'!$A839="",'实盘净值数据(iFinD）'!$B839="",'实盘净值数据(iFinD）'!$Z839="",'实盘净值数据(iFinD）'!$AA839=""),"",分期持仓明细!$AB$23*(SUMPRODUCT(分期持仓明细!$B$23:$Y$23,'实盘净值数据(iFinD）'!$B839:$Y839/'实盘净值数据(iFinD）'!$B$65:$Y$65)+SUMPRODUCT(分期持仓明细!$AC$23:$AD$23,'实盘净值数据(iFinD）'!$Z839:$AA839/'实盘净值数据(iFinD）'!$Z$65:$AA$65))*(1-实盘持仓初始配置!$Z$7)^(('实盘净值数据(iFinD）'!$A839-'实盘净值数据(iFinD）'!$A$8)/365))</f>
        <v/>
      </c>
      <c r="L839" s="16" t="str">
        <f t="shared" si="81"/>
        <v/>
      </c>
      <c r="M839" s="16" t="str">
        <f>IF(K839="","",K839/MAX(K$5:K839)-1)</f>
        <v/>
      </c>
      <c r="N839" s="13" t="str">
        <f>IF(OR('实盘净值数据(iFinD）'!$A839="",'实盘净值数据(iFinD）'!$B839="",'实盘净值数据(iFinD）'!$Z839="",'实盘净值数据(iFinD）'!$AA839=""),"",分期持仓明细!$AB$24*(SUMPRODUCT(分期持仓明细!$B$24:$Y$24,'实盘净值数据(iFinD）'!$B839:$Y839/'实盘净值数据(iFinD）'!$B$65:$Y$65)+SUMPRODUCT(分期持仓明细!$AC$24:$AD$24,'实盘净值数据(iFinD）'!$Z839:$AA839/'实盘净值数据(iFinD）'!$Z$65:$AA$65))*(1-实盘持仓初始配置!$Z$8)^(('实盘净值数据(iFinD）'!$A839-'实盘净值数据(iFinD）'!$A$5)/365))</f>
        <v/>
      </c>
      <c r="O839" s="16" t="str">
        <f t="shared" si="82"/>
        <v/>
      </c>
      <c r="P839" s="16" t="str">
        <f>IF(N839="","",N839/MAX(N$5:N839)-1)</f>
        <v/>
      </c>
      <c r="Q839" s="13" t="str">
        <f>IF(OR('实盘净值数据(iFinD）'!$A839="",'实盘净值数据(iFinD）'!$B839="",'实盘净值数据(iFinD）'!$Z839="",'实盘净值数据(iFinD）'!$AA839=""),"",分期持仓明细!$AB$25*(SUMPRODUCT(分期持仓明细!$B$25:$Y$25,'实盘净值数据(iFinD）'!$B839:$Y839/'实盘净值数据(iFinD）'!$B$65:$Y$65)+SUMPRODUCT(分期持仓明细!$AC$25:$AD$25,'实盘净值数据(iFinD）'!$Z839:$AA839/'实盘净值数据(iFinD）'!$Z$65:$AA$65))*(1-实盘持仓初始配置!$Z$9)^(('实盘净值数据(iFinD）'!$A839-'实盘净值数据(iFinD）'!$A$8)/365))</f>
        <v/>
      </c>
      <c r="R839" s="16" t="str">
        <f t="shared" si="83"/>
        <v/>
      </c>
      <c r="S839" s="16" t="str">
        <f>IF(Q839="","",Q839/MAX(Q$5:Q839)-1)</f>
        <v/>
      </c>
      <c r="T839" s="13">
        <f>IF(OR('实盘净值数据(iFinD）'!$A839="",'实盘净值数据(iFinD）'!$B839="",'实盘净值数据(iFinD）'!$Z839="",'实盘净值数据(iFinD）'!$AA839="",'实盘净值数据(iFinD）'!$AB839="",'实盘净值数据(iFinD）'!$AL839=""),"",(SUMPRODUCT(分期持仓明细!$B$26:$Y$26,'实盘净值数据(iFinD）'!$B839:$Y839/'实盘净值数据(iFinD）'!$B$69:$Y$69)+SUMPRODUCT(分期持仓明细!$AC$26:$AD$26,'实盘净值数据(iFinD）'!$Z839:$AA839/'实盘净值数据(iFinD）'!$Z$69:$AA$69)+SUMPRODUCT(分期持仓明细!$AE$26:$AO$26,'实盘净值数据(iFinD）'!$AB839:$AL839/'实盘净值数据(iFinD）'!$AB$69:$AL$69))*(1-实盘持仓初始配置!$Z$10)^(('实盘净值数据(iFinD）'!$A839-'实盘净值数据(iFinD）'!$A$69)/365))</f>
        <v/>
      </c>
      <c r="U839" s="16">
        <f>IF(OR(T838="",T839=""),"",T839/T838-1)</f>
        <v/>
      </c>
      <c r="V839" s="16">
        <f>IF(T839="","",T839/MAX(T$5:T839)-1)</f>
        <v/>
      </c>
    </row>
    <row r="840" spans="1:19">
      <c r="A840" s="15" t="str">
        <f>IF('实盘净值数据(iFinD）'!A840="","",'实盘净值数据(iFinD）'!A840)</f>
        <v/>
      </c>
      <c r="B840" s="13" t="str">
        <f>IF(OR('实盘净值数据(iFinD）'!$A840="",'实盘净值数据(iFinD）'!$B840=""),"",分期持仓明细!$AB$17*SUMPRODUCT(分期持仓明细!$B$17:$Y$17,'实盘净值数据(iFinD）'!$B840:$Y840/'实盘净值数据(iFinD）'!$B$20:$Y$20)*(1-实盘持仓初始配置!$Z$4)^(('实盘净值数据(iFinD）'!$A840-'实盘净值数据(iFinD）'!$A$6)/365))</f>
        <v/>
      </c>
      <c r="C840" s="16" t="str">
        <f t="shared" si="78"/>
        <v/>
      </c>
      <c r="D840" s="16" t="str">
        <f>IF(B840="","",B840/MAX(B$5:B840)-1)</f>
        <v/>
      </c>
      <c r="E840" s="13" t="str">
        <f>IF(OR('实盘净值数据(iFinD）'!$A840="",'实盘净值数据(iFinD）'!$B840=""),"",分期持仓明细!$AB$18*SUMPRODUCT(分期持仓明细!$B$18:$Y$18,'实盘净值数据(iFinD）'!$B840:$Y840/'实盘净值数据(iFinD）'!$B$20:$Y$20)*(1-实盘持仓初始配置!$Z$5)^(('实盘净值数据(iFinD）'!$A840-'实盘净值数据(iFinD）'!$A$5)/365))</f>
        <v/>
      </c>
      <c r="F840" s="16" t="str">
        <f t="shared" si="79"/>
        <v/>
      </c>
      <c r="G840" s="16" t="str">
        <f>IF(E840="","",E840/MAX(E$5:E840)-1)</f>
        <v/>
      </c>
      <c r="H840" s="13" t="str">
        <f>IF(OR('实盘净值数据(iFinD）'!$A840="",'实盘净值数据(iFinD）'!$B840=""),"",分期持仓明细!$AB$19*SUMPRODUCT(分期持仓明细!$B$19:$Y$19,'实盘净值数据(iFinD）'!$B840:$Y840/'实盘净值数据(iFinD）'!$B$20:$Y$20)*(1-实盘持仓初始配置!$Z$6)^(('实盘净值数据(iFinD）'!$A840-'实盘净值数据(iFinD）'!$A$7)/365))</f>
        <v/>
      </c>
      <c r="I840" s="16" t="str">
        <f t="shared" si="80"/>
        <v/>
      </c>
      <c r="J840" s="16" t="str">
        <f>IF(H840="","",H840/MAX(H$5:H840)-1)</f>
        <v/>
      </c>
      <c r="K840" s="13" t="str">
        <f>IF(OR('实盘净值数据(iFinD）'!$A840="",'实盘净值数据(iFinD）'!$B840="",'实盘净值数据(iFinD）'!$Z840="",'实盘净值数据(iFinD）'!$AA840=""),"",分期持仓明细!$AB$23*(SUMPRODUCT(分期持仓明细!$B$23:$Y$23,'实盘净值数据(iFinD）'!$B840:$Y840/'实盘净值数据(iFinD）'!$B$65:$Y$65)+SUMPRODUCT(分期持仓明细!$AC$23:$AD$23,'实盘净值数据(iFinD）'!$Z840:$AA840/'实盘净值数据(iFinD）'!$Z$65:$AA$65))*(1-实盘持仓初始配置!$Z$7)^(('实盘净值数据(iFinD）'!$A840-'实盘净值数据(iFinD）'!$A$8)/365))</f>
        <v/>
      </c>
      <c r="L840" s="16" t="str">
        <f t="shared" si="81"/>
        <v/>
      </c>
      <c r="M840" s="16" t="str">
        <f>IF(K840="","",K840/MAX(K$5:K840)-1)</f>
        <v/>
      </c>
      <c r="N840" s="13" t="str">
        <f>IF(OR('实盘净值数据(iFinD）'!$A840="",'实盘净值数据(iFinD）'!$B840="",'实盘净值数据(iFinD）'!$Z840="",'实盘净值数据(iFinD）'!$AA840=""),"",分期持仓明细!$AB$24*(SUMPRODUCT(分期持仓明细!$B$24:$Y$24,'实盘净值数据(iFinD）'!$B840:$Y840/'实盘净值数据(iFinD）'!$B$65:$Y$65)+SUMPRODUCT(分期持仓明细!$AC$24:$AD$24,'实盘净值数据(iFinD）'!$Z840:$AA840/'实盘净值数据(iFinD）'!$Z$65:$AA$65))*(1-实盘持仓初始配置!$Z$8)^(('实盘净值数据(iFinD）'!$A840-'实盘净值数据(iFinD）'!$A$5)/365))</f>
        <v/>
      </c>
      <c r="O840" s="16" t="str">
        <f t="shared" si="82"/>
        <v/>
      </c>
      <c r="P840" s="16" t="str">
        <f>IF(N840="","",N840/MAX(N$5:N840)-1)</f>
        <v/>
      </c>
      <c r="Q840" s="13" t="str">
        <f>IF(OR('实盘净值数据(iFinD）'!$A840="",'实盘净值数据(iFinD）'!$B840="",'实盘净值数据(iFinD）'!$Z840="",'实盘净值数据(iFinD）'!$AA840=""),"",分期持仓明细!$AB$25*(SUMPRODUCT(分期持仓明细!$B$25:$Y$25,'实盘净值数据(iFinD）'!$B840:$Y840/'实盘净值数据(iFinD）'!$B$65:$Y$65)+SUMPRODUCT(分期持仓明细!$AC$25:$AD$25,'实盘净值数据(iFinD）'!$Z840:$AA840/'实盘净值数据(iFinD）'!$Z$65:$AA$65))*(1-实盘持仓初始配置!$Z$9)^(('实盘净值数据(iFinD）'!$A840-'实盘净值数据(iFinD）'!$A$8)/365))</f>
        <v/>
      </c>
      <c r="R840" s="16" t="str">
        <f t="shared" si="83"/>
        <v/>
      </c>
      <c r="S840" s="16" t="str">
        <f>IF(Q840="","",Q840/MAX(Q$5:Q840)-1)</f>
        <v/>
      </c>
      <c r="T840" s="13">
        <f>IF(OR('实盘净值数据(iFinD）'!$A840="",'实盘净值数据(iFinD）'!$B840="",'实盘净值数据(iFinD）'!$Z840="",'实盘净值数据(iFinD）'!$AA840="",'实盘净值数据(iFinD）'!$AB840="",'实盘净值数据(iFinD）'!$AL840=""),"",(SUMPRODUCT(分期持仓明细!$B$26:$Y$26,'实盘净值数据(iFinD）'!$B840:$Y840/'实盘净值数据(iFinD）'!$B$69:$Y$69)+SUMPRODUCT(分期持仓明细!$AC$26:$AD$26,'实盘净值数据(iFinD）'!$Z840:$AA840/'实盘净值数据(iFinD）'!$Z$69:$AA$69)+SUMPRODUCT(分期持仓明细!$AE$26:$AO$26,'实盘净值数据(iFinD）'!$AB840:$AL840/'实盘净值数据(iFinD）'!$AB$69:$AL$69))*(1-实盘持仓初始配置!$Z$10)^(('实盘净值数据(iFinD）'!$A840-'实盘净值数据(iFinD）'!$A$69)/365))</f>
        <v/>
      </c>
      <c r="U840" s="16">
        <f>IF(OR(T839="",T840=""),"",T840/T839-1)</f>
        <v/>
      </c>
      <c r="V840" s="16">
        <f>IF(T840="","",T840/MAX(T$5:T840)-1)</f>
        <v/>
      </c>
    </row>
    <row r="841" spans="1:19">
      <c r="A841" s="15" t="str">
        <f>IF('实盘净值数据(iFinD）'!A841="","",'实盘净值数据(iFinD）'!A841)</f>
        <v/>
      </c>
      <c r="B841" s="13" t="str">
        <f>IF(OR('实盘净值数据(iFinD）'!$A841="",'实盘净值数据(iFinD）'!$B841=""),"",分期持仓明细!$AB$17*SUMPRODUCT(分期持仓明细!$B$17:$Y$17,'实盘净值数据(iFinD）'!$B841:$Y841/'实盘净值数据(iFinD）'!$B$20:$Y$20)*(1-实盘持仓初始配置!$Z$4)^(('实盘净值数据(iFinD）'!$A841-'实盘净值数据(iFinD）'!$A$6)/365))</f>
        <v/>
      </c>
      <c r="C841" s="16" t="str">
        <f t="shared" si="78"/>
        <v/>
      </c>
      <c r="D841" s="16" t="str">
        <f>IF(B841="","",B841/MAX(B$5:B841)-1)</f>
        <v/>
      </c>
      <c r="E841" s="13" t="str">
        <f>IF(OR('实盘净值数据(iFinD）'!$A841="",'实盘净值数据(iFinD）'!$B841=""),"",分期持仓明细!$AB$18*SUMPRODUCT(分期持仓明细!$B$18:$Y$18,'实盘净值数据(iFinD）'!$B841:$Y841/'实盘净值数据(iFinD）'!$B$20:$Y$20)*(1-实盘持仓初始配置!$Z$5)^(('实盘净值数据(iFinD）'!$A841-'实盘净值数据(iFinD）'!$A$5)/365))</f>
        <v/>
      </c>
      <c r="F841" s="16" t="str">
        <f t="shared" si="79"/>
        <v/>
      </c>
      <c r="G841" s="16" t="str">
        <f>IF(E841="","",E841/MAX(E$5:E841)-1)</f>
        <v/>
      </c>
      <c r="H841" s="13" t="str">
        <f>IF(OR('实盘净值数据(iFinD）'!$A841="",'实盘净值数据(iFinD）'!$B841=""),"",分期持仓明细!$AB$19*SUMPRODUCT(分期持仓明细!$B$19:$Y$19,'实盘净值数据(iFinD）'!$B841:$Y841/'实盘净值数据(iFinD）'!$B$20:$Y$20)*(1-实盘持仓初始配置!$Z$6)^(('实盘净值数据(iFinD）'!$A841-'实盘净值数据(iFinD）'!$A$7)/365))</f>
        <v/>
      </c>
      <c r="I841" s="16" t="str">
        <f t="shared" si="80"/>
        <v/>
      </c>
      <c r="J841" s="16" t="str">
        <f>IF(H841="","",H841/MAX(H$5:H841)-1)</f>
        <v/>
      </c>
      <c r="K841" s="13" t="str">
        <f>IF(OR('实盘净值数据(iFinD）'!$A841="",'实盘净值数据(iFinD）'!$B841="",'实盘净值数据(iFinD）'!$Z841="",'实盘净值数据(iFinD）'!$AA841=""),"",分期持仓明细!$AB$23*(SUMPRODUCT(分期持仓明细!$B$23:$Y$23,'实盘净值数据(iFinD）'!$B841:$Y841/'实盘净值数据(iFinD）'!$B$65:$Y$65)+SUMPRODUCT(分期持仓明细!$AC$23:$AD$23,'实盘净值数据(iFinD）'!$Z841:$AA841/'实盘净值数据(iFinD）'!$Z$65:$AA$65))*(1-实盘持仓初始配置!$Z$7)^(('实盘净值数据(iFinD）'!$A841-'实盘净值数据(iFinD）'!$A$8)/365))</f>
        <v/>
      </c>
      <c r="L841" s="16" t="str">
        <f t="shared" si="81"/>
        <v/>
      </c>
      <c r="M841" s="16" t="str">
        <f>IF(K841="","",K841/MAX(K$5:K841)-1)</f>
        <v/>
      </c>
      <c r="N841" s="13" t="str">
        <f>IF(OR('实盘净值数据(iFinD）'!$A841="",'实盘净值数据(iFinD）'!$B841="",'实盘净值数据(iFinD）'!$Z841="",'实盘净值数据(iFinD）'!$AA841=""),"",分期持仓明细!$AB$24*(SUMPRODUCT(分期持仓明细!$B$24:$Y$24,'实盘净值数据(iFinD）'!$B841:$Y841/'实盘净值数据(iFinD）'!$B$65:$Y$65)+SUMPRODUCT(分期持仓明细!$AC$24:$AD$24,'实盘净值数据(iFinD）'!$Z841:$AA841/'实盘净值数据(iFinD）'!$Z$65:$AA$65))*(1-实盘持仓初始配置!$Z$8)^(('实盘净值数据(iFinD）'!$A841-'实盘净值数据(iFinD）'!$A$5)/365))</f>
        <v/>
      </c>
      <c r="O841" s="16" t="str">
        <f t="shared" si="82"/>
        <v/>
      </c>
      <c r="P841" s="16" t="str">
        <f>IF(N841="","",N841/MAX(N$5:N841)-1)</f>
        <v/>
      </c>
      <c r="Q841" s="13" t="str">
        <f>IF(OR('实盘净值数据(iFinD）'!$A841="",'实盘净值数据(iFinD）'!$B841="",'实盘净值数据(iFinD）'!$Z841="",'实盘净值数据(iFinD）'!$AA841=""),"",分期持仓明细!$AB$25*(SUMPRODUCT(分期持仓明细!$B$25:$Y$25,'实盘净值数据(iFinD）'!$B841:$Y841/'实盘净值数据(iFinD）'!$B$65:$Y$65)+SUMPRODUCT(分期持仓明细!$AC$25:$AD$25,'实盘净值数据(iFinD）'!$Z841:$AA841/'实盘净值数据(iFinD）'!$Z$65:$AA$65))*(1-实盘持仓初始配置!$Z$9)^(('实盘净值数据(iFinD）'!$A841-'实盘净值数据(iFinD）'!$A$8)/365))</f>
        <v/>
      </c>
      <c r="R841" s="16" t="str">
        <f t="shared" si="83"/>
        <v/>
      </c>
      <c r="S841" s="16" t="str">
        <f>IF(Q841="","",Q841/MAX(Q$5:Q841)-1)</f>
        <v/>
      </c>
      <c r="T841" s="13">
        <f>IF(OR('实盘净值数据(iFinD）'!$A841="",'实盘净值数据(iFinD）'!$B841="",'实盘净值数据(iFinD）'!$Z841="",'实盘净值数据(iFinD）'!$AA841="",'实盘净值数据(iFinD）'!$AB841="",'实盘净值数据(iFinD）'!$AL841=""),"",(SUMPRODUCT(分期持仓明细!$B$26:$Y$26,'实盘净值数据(iFinD）'!$B841:$Y841/'实盘净值数据(iFinD）'!$B$69:$Y$69)+SUMPRODUCT(分期持仓明细!$AC$26:$AD$26,'实盘净值数据(iFinD）'!$Z841:$AA841/'实盘净值数据(iFinD）'!$Z$69:$AA$69)+SUMPRODUCT(分期持仓明细!$AE$26:$AO$26,'实盘净值数据(iFinD）'!$AB841:$AL841/'实盘净值数据(iFinD）'!$AB$69:$AL$69))*(1-实盘持仓初始配置!$Z$10)^(('实盘净值数据(iFinD）'!$A841-'实盘净值数据(iFinD）'!$A$69)/365))</f>
        <v/>
      </c>
      <c r="U841" s="16">
        <f>IF(OR(T840="",T841=""),"",T841/T840-1)</f>
        <v/>
      </c>
      <c r="V841" s="16">
        <f>IF(T841="","",T841/MAX(T$5:T841)-1)</f>
        <v/>
      </c>
    </row>
    <row r="842" spans="1:19">
      <c r="A842" s="15" t="str">
        <f>IF('实盘净值数据(iFinD）'!A842="","",'实盘净值数据(iFinD）'!A842)</f>
        <v/>
      </c>
      <c r="B842" s="13" t="str">
        <f>IF(OR('实盘净值数据(iFinD）'!$A842="",'实盘净值数据(iFinD）'!$B842=""),"",分期持仓明细!$AB$17*SUMPRODUCT(分期持仓明细!$B$17:$Y$17,'实盘净值数据(iFinD）'!$B842:$Y842/'实盘净值数据(iFinD）'!$B$20:$Y$20)*(1-实盘持仓初始配置!$Z$4)^(('实盘净值数据(iFinD）'!$A842-'实盘净值数据(iFinD）'!$A$6)/365))</f>
        <v/>
      </c>
      <c r="C842" s="16" t="str">
        <f t="shared" si="78"/>
        <v/>
      </c>
      <c r="D842" s="16" t="str">
        <f>IF(B842="","",B842/MAX(B$5:B842)-1)</f>
        <v/>
      </c>
      <c r="E842" s="13" t="str">
        <f>IF(OR('实盘净值数据(iFinD）'!$A842="",'实盘净值数据(iFinD）'!$B842=""),"",分期持仓明细!$AB$18*SUMPRODUCT(分期持仓明细!$B$18:$Y$18,'实盘净值数据(iFinD）'!$B842:$Y842/'实盘净值数据(iFinD）'!$B$20:$Y$20)*(1-实盘持仓初始配置!$Z$5)^(('实盘净值数据(iFinD）'!$A842-'实盘净值数据(iFinD）'!$A$5)/365))</f>
        <v/>
      </c>
      <c r="F842" s="16" t="str">
        <f t="shared" si="79"/>
        <v/>
      </c>
      <c r="G842" s="16" t="str">
        <f>IF(E842="","",E842/MAX(E$5:E842)-1)</f>
        <v/>
      </c>
      <c r="H842" s="13" t="str">
        <f>IF(OR('实盘净值数据(iFinD）'!$A842="",'实盘净值数据(iFinD）'!$B842=""),"",分期持仓明细!$AB$19*SUMPRODUCT(分期持仓明细!$B$19:$Y$19,'实盘净值数据(iFinD）'!$B842:$Y842/'实盘净值数据(iFinD）'!$B$20:$Y$20)*(1-实盘持仓初始配置!$Z$6)^(('实盘净值数据(iFinD）'!$A842-'实盘净值数据(iFinD）'!$A$7)/365))</f>
        <v/>
      </c>
      <c r="I842" s="16" t="str">
        <f t="shared" si="80"/>
        <v/>
      </c>
      <c r="J842" s="16" t="str">
        <f>IF(H842="","",H842/MAX(H$5:H842)-1)</f>
        <v/>
      </c>
      <c r="K842" s="13" t="str">
        <f>IF(OR('实盘净值数据(iFinD）'!$A842="",'实盘净值数据(iFinD）'!$B842="",'实盘净值数据(iFinD）'!$Z842="",'实盘净值数据(iFinD）'!$AA842=""),"",分期持仓明细!$AB$23*(SUMPRODUCT(分期持仓明细!$B$23:$Y$23,'实盘净值数据(iFinD）'!$B842:$Y842/'实盘净值数据(iFinD）'!$B$65:$Y$65)+SUMPRODUCT(分期持仓明细!$AC$23:$AD$23,'实盘净值数据(iFinD）'!$Z842:$AA842/'实盘净值数据(iFinD）'!$Z$65:$AA$65))*(1-实盘持仓初始配置!$Z$7)^(('实盘净值数据(iFinD）'!$A842-'实盘净值数据(iFinD）'!$A$8)/365))</f>
        <v/>
      </c>
      <c r="L842" s="16" t="str">
        <f t="shared" si="81"/>
        <v/>
      </c>
      <c r="M842" s="16" t="str">
        <f>IF(K842="","",K842/MAX(K$5:K842)-1)</f>
        <v/>
      </c>
      <c r="N842" s="13" t="str">
        <f>IF(OR('实盘净值数据(iFinD）'!$A842="",'实盘净值数据(iFinD）'!$B842="",'实盘净值数据(iFinD）'!$Z842="",'实盘净值数据(iFinD）'!$AA842=""),"",分期持仓明细!$AB$24*(SUMPRODUCT(分期持仓明细!$B$24:$Y$24,'实盘净值数据(iFinD）'!$B842:$Y842/'实盘净值数据(iFinD）'!$B$65:$Y$65)+SUMPRODUCT(分期持仓明细!$AC$24:$AD$24,'实盘净值数据(iFinD）'!$Z842:$AA842/'实盘净值数据(iFinD）'!$Z$65:$AA$65))*(1-实盘持仓初始配置!$Z$8)^(('实盘净值数据(iFinD）'!$A842-'实盘净值数据(iFinD）'!$A$5)/365))</f>
        <v/>
      </c>
      <c r="O842" s="16" t="str">
        <f t="shared" si="82"/>
        <v/>
      </c>
      <c r="P842" s="16" t="str">
        <f>IF(N842="","",N842/MAX(N$5:N842)-1)</f>
        <v/>
      </c>
      <c r="Q842" s="13" t="str">
        <f>IF(OR('实盘净值数据(iFinD）'!$A842="",'实盘净值数据(iFinD）'!$B842="",'实盘净值数据(iFinD）'!$Z842="",'实盘净值数据(iFinD）'!$AA842=""),"",分期持仓明细!$AB$25*(SUMPRODUCT(分期持仓明细!$B$25:$Y$25,'实盘净值数据(iFinD）'!$B842:$Y842/'实盘净值数据(iFinD）'!$B$65:$Y$65)+SUMPRODUCT(分期持仓明细!$AC$25:$AD$25,'实盘净值数据(iFinD）'!$Z842:$AA842/'实盘净值数据(iFinD）'!$Z$65:$AA$65))*(1-实盘持仓初始配置!$Z$9)^(('实盘净值数据(iFinD）'!$A842-'实盘净值数据(iFinD）'!$A$8)/365))</f>
        <v/>
      </c>
      <c r="R842" s="16" t="str">
        <f t="shared" si="83"/>
        <v/>
      </c>
      <c r="S842" s="16" t="str">
        <f>IF(Q842="","",Q842/MAX(Q$5:Q842)-1)</f>
        <v/>
      </c>
      <c r="T842" s="13">
        <f>IF(OR('实盘净值数据(iFinD）'!$A842="",'实盘净值数据(iFinD）'!$B842="",'实盘净值数据(iFinD）'!$Z842="",'实盘净值数据(iFinD）'!$AA842="",'实盘净值数据(iFinD）'!$AB842="",'实盘净值数据(iFinD）'!$AL842=""),"",(SUMPRODUCT(分期持仓明细!$B$26:$Y$26,'实盘净值数据(iFinD）'!$B842:$Y842/'实盘净值数据(iFinD）'!$B$69:$Y$69)+SUMPRODUCT(分期持仓明细!$AC$26:$AD$26,'实盘净值数据(iFinD）'!$Z842:$AA842/'实盘净值数据(iFinD）'!$Z$69:$AA$69)+SUMPRODUCT(分期持仓明细!$AE$26:$AO$26,'实盘净值数据(iFinD）'!$AB842:$AL842/'实盘净值数据(iFinD）'!$AB$69:$AL$69))*(1-实盘持仓初始配置!$Z$10)^(('实盘净值数据(iFinD）'!$A842-'实盘净值数据(iFinD）'!$A$69)/365))</f>
        <v/>
      </c>
      <c r="U842" s="16">
        <f>IF(OR(T841="",T842=""),"",T842/T841-1)</f>
        <v/>
      </c>
      <c r="V842" s="16">
        <f>IF(T842="","",T842/MAX(T$5:T842)-1)</f>
        <v/>
      </c>
    </row>
    <row r="843" spans="1:19">
      <c r="A843" s="15" t="str">
        <f>IF('实盘净值数据(iFinD）'!A843="","",'实盘净值数据(iFinD）'!A843)</f>
        <v/>
      </c>
      <c r="B843" s="13" t="str">
        <f>IF(OR('实盘净值数据(iFinD）'!$A843="",'实盘净值数据(iFinD）'!$B843=""),"",分期持仓明细!$AB$17*SUMPRODUCT(分期持仓明细!$B$17:$Y$17,'实盘净值数据(iFinD）'!$B843:$Y843/'实盘净值数据(iFinD）'!$B$20:$Y$20)*(1-实盘持仓初始配置!$Z$4)^(('实盘净值数据(iFinD）'!$A843-'实盘净值数据(iFinD）'!$A$6)/365))</f>
        <v/>
      </c>
      <c r="C843" s="16" t="str">
        <f t="shared" si="78"/>
        <v/>
      </c>
      <c r="D843" s="16" t="str">
        <f>IF(B843="","",B843/MAX(B$5:B843)-1)</f>
        <v/>
      </c>
      <c r="E843" s="13" t="str">
        <f>IF(OR('实盘净值数据(iFinD）'!$A843="",'实盘净值数据(iFinD）'!$B843=""),"",分期持仓明细!$AB$18*SUMPRODUCT(分期持仓明细!$B$18:$Y$18,'实盘净值数据(iFinD）'!$B843:$Y843/'实盘净值数据(iFinD）'!$B$20:$Y$20)*(1-实盘持仓初始配置!$Z$5)^(('实盘净值数据(iFinD）'!$A843-'实盘净值数据(iFinD）'!$A$5)/365))</f>
        <v/>
      </c>
      <c r="F843" s="16" t="str">
        <f t="shared" si="79"/>
        <v/>
      </c>
      <c r="G843" s="16" t="str">
        <f>IF(E843="","",E843/MAX(E$5:E843)-1)</f>
        <v/>
      </c>
      <c r="H843" s="13" t="str">
        <f>IF(OR('实盘净值数据(iFinD）'!$A843="",'实盘净值数据(iFinD）'!$B843=""),"",分期持仓明细!$AB$19*SUMPRODUCT(分期持仓明细!$B$19:$Y$19,'实盘净值数据(iFinD）'!$B843:$Y843/'实盘净值数据(iFinD）'!$B$20:$Y$20)*(1-实盘持仓初始配置!$Z$6)^(('实盘净值数据(iFinD）'!$A843-'实盘净值数据(iFinD）'!$A$7)/365))</f>
        <v/>
      </c>
      <c r="I843" s="16" t="str">
        <f t="shared" si="80"/>
        <v/>
      </c>
      <c r="J843" s="16" t="str">
        <f>IF(H843="","",H843/MAX(H$5:H843)-1)</f>
        <v/>
      </c>
      <c r="K843" s="13" t="str">
        <f>IF(OR('实盘净值数据(iFinD）'!$A843="",'实盘净值数据(iFinD）'!$B843="",'实盘净值数据(iFinD）'!$Z843="",'实盘净值数据(iFinD）'!$AA843=""),"",分期持仓明细!$AB$23*(SUMPRODUCT(分期持仓明细!$B$23:$Y$23,'实盘净值数据(iFinD）'!$B843:$Y843/'实盘净值数据(iFinD）'!$B$65:$Y$65)+SUMPRODUCT(分期持仓明细!$AC$23:$AD$23,'实盘净值数据(iFinD）'!$Z843:$AA843/'实盘净值数据(iFinD）'!$Z$65:$AA$65))*(1-实盘持仓初始配置!$Z$7)^(('实盘净值数据(iFinD）'!$A843-'实盘净值数据(iFinD）'!$A$8)/365))</f>
        <v/>
      </c>
      <c r="L843" s="16" t="str">
        <f t="shared" si="81"/>
        <v/>
      </c>
      <c r="M843" s="16" t="str">
        <f>IF(K843="","",K843/MAX(K$5:K843)-1)</f>
        <v/>
      </c>
      <c r="N843" s="13" t="str">
        <f>IF(OR('实盘净值数据(iFinD）'!$A843="",'实盘净值数据(iFinD）'!$B843="",'实盘净值数据(iFinD）'!$Z843="",'实盘净值数据(iFinD）'!$AA843=""),"",分期持仓明细!$AB$24*(SUMPRODUCT(分期持仓明细!$B$24:$Y$24,'实盘净值数据(iFinD）'!$B843:$Y843/'实盘净值数据(iFinD）'!$B$65:$Y$65)+SUMPRODUCT(分期持仓明细!$AC$24:$AD$24,'实盘净值数据(iFinD）'!$Z843:$AA843/'实盘净值数据(iFinD）'!$Z$65:$AA$65))*(1-实盘持仓初始配置!$Z$8)^(('实盘净值数据(iFinD）'!$A843-'实盘净值数据(iFinD）'!$A$5)/365))</f>
        <v/>
      </c>
      <c r="O843" s="16" t="str">
        <f t="shared" si="82"/>
        <v/>
      </c>
      <c r="P843" s="16" t="str">
        <f>IF(N843="","",N843/MAX(N$5:N843)-1)</f>
        <v/>
      </c>
      <c r="Q843" s="13" t="str">
        <f>IF(OR('实盘净值数据(iFinD）'!$A843="",'实盘净值数据(iFinD）'!$B843="",'实盘净值数据(iFinD）'!$Z843="",'实盘净值数据(iFinD）'!$AA843=""),"",分期持仓明细!$AB$25*(SUMPRODUCT(分期持仓明细!$B$25:$Y$25,'实盘净值数据(iFinD）'!$B843:$Y843/'实盘净值数据(iFinD）'!$B$65:$Y$65)+SUMPRODUCT(分期持仓明细!$AC$25:$AD$25,'实盘净值数据(iFinD）'!$Z843:$AA843/'实盘净值数据(iFinD）'!$Z$65:$AA$65))*(1-实盘持仓初始配置!$Z$9)^(('实盘净值数据(iFinD）'!$A843-'实盘净值数据(iFinD）'!$A$8)/365))</f>
        <v/>
      </c>
      <c r="R843" s="16" t="str">
        <f t="shared" si="83"/>
        <v/>
      </c>
      <c r="S843" s="16" t="str">
        <f>IF(Q843="","",Q843/MAX(Q$5:Q843)-1)</f>
        <v/>
      </c>
      <c r="T843" s="13">
        <f>IF(OR('实盘净值数据(iFinD）'!$A843="",'实盘净值数据(iFinD）'!$B843="",'实盘净值数据(iFinD）'!$Z843="",'实盘净值数据(iFinD）'!$AA843="",'实盘净值数据(iFinD）'!$AB843="",'实盘净值数据(iFinD）'!$AL843=""),"",(SUMPRODUCT(分期持仓明细!$B$26:$Y$26,'实盘净值数据(iFinD）'!$B843:$Y843/'实盘净值数据(iFinD）'!$B$69:$Y$69)+SUMPRODUCT(分期持仓明细!$AC$26:$AD$26,'实盘净值数据(iFinD）'!$Z843:$AA843/'实盘净值数据(iFinD）'!$Z$69:$AA$69)+SUMPRODUCT(分期持仓明细!$AE$26:$AO$26,'实盘净值数据(iFinD）'!$AB843:$AL843/'实盘净值数据(iFinD）'!$AB$69:$AL$69))*(1-实盘持仓初始配置!$Z$10)^(('实盘净值数据(iFinD）'!$A843-'实盘净值数据(iFinD）'!$A$69)/365))</f>
        <v/>
      </c>
      <c r="U843" s="16">
        <f>IF(OR(T842="",T843=""),"",T843/T842-1)</f>
        <v/>
      </c>
      <c r="V843" s="16">
        <f>IF(T843="","",T843/MAX(T$5:T843)-1)</f>
        <v/>
      </c>
    </row>
    <row r="844" spans="1:19">
      <c r="A844" s="15" t="str">
        <f>IF('实盘净值数据(iFinD）'!A844="","",'实盘净值数据(iFinD）'!A844)</f>
        <v/>
      </c>
      <c r="B844" s="13" t="str">
        <f>IF(OR('实盘净值数据(iFinD）'!$A844="",'实盘净值数据(iFinD）'!$B844=""),"",分期持仓明细!$AB$17*SUMPRODUCT(分期持仓明细!$B$17:$Y$17,'实盘净值数据(iFinD）'!$B844:$Y844/'实盘净值数据(iFinD）'!$B$20:$Y$20)*(1-实盘持仓初始配置!$Z$4)^(('实盘净值数据(iFinD）'!$A844-'实盘净值数据(iFinD）'!$A$6)/365))</f>
        <v/>
      </c>
      <c r="C844" s="16" t="str">
        <f t="shared" si="78"/>
        <v/>
      </c>
      <c r="D844" s="16" t="str">
        <f>IF(B844="","",B844/MAX(B$5:B844)-1)</f>
        <v/>
      </c>
      <c r="E844" s="13" t="str">
        <f>IF(OR('实盘净值数据(iFinD）'!$A844="",'实盘净值数据(iFinD）'!$B844=""),"",分期持仓明细!$AB$18*SUMPRODUCT(分期持仓明细!$B$18:$Y$18,'实盘净值数据(iFinD）'!$B844:$Y844/'实盘净值数据(iFinD）'!$B$20:$Y$20)*(1-实盘持仓初始配置!$Z$5)^(('实盘净值数据(iFinD）'!$A844-'实盘净值数据(iFinD）'!$A$5)/365))</f>
        <v/>
      </c>
      <c r="F844" s="16" t="str">
        <f t="shared" si="79"/>
        <v/>
      </c>
      <c r="G844" s="16" t="str">
        <f>IF(E844="","",E844/MAX(E$5:E844)-1)</f>
        <v/>
      </c>
      <c r="H844" s="13" t="str">
        <f>IF(OR('实盘净值数据(iFinD）'!$A844="",'实盘净值数据(iFinD）'!$B844=""),"",分期持仓明细!$AB$19*SUMPRODUCT(分期持仓明细!$B$19:$Y$19,'实盘净值数据(iFinD）'!$B844:$Y844/'实盘净值数据(iFinD）'!$B$20:$Y$20)*(1-实盘持仓初始配置!$Z$6)^(('实盘净值数据(iFinD）'!$A844-'实盘净值数据(iFinD）'!$A$7)/365))</f>
        <v/>
      </c>
      <c r="I844" s="16" t="str">
        <f t="shared" si="80"/>
        <v/>
      </c>
      <c r="J844" s="16" t="str">
        <f>IF(H844="","",H844/MAX(H$5:H844)-1)</f>
        <v/>
      </c>
      <c r="K844" s="13" t="str">
        <f>IF(OR('实盘净值数据(iFinD）'!$A844="",'实盘净值数据(iFinD）'!$B844="",'实盘净值数据(iFinD）'!$Z844="",'实盘净值数据(iFinD）'!$AA844=""),"",分期持仓明细!$AB$23*(SUMPRODUCT(分期持仓明细!$B$23:$Y$23,'实盘净值数据(iFinD）'!$B844:$Y844/'实盘净值数据(iFinD）'!$B$65:$Y$65)+SUMPRODUCT(分期持仓明细!$AC$23:$AD$23,'实盘净值数据(iFinD）'!$Z844:$AA844/'实盘净值数据(iFinD）'!$Z$65:$AA$65))*(1-实盘持仓初始配置!$Z$7)^(('实盘净值数据(iFinD）'!$A844-'实盘净值数据(iFinD）'!$A$8)/365))</f>
        <v/>
      </c>
      <c r="L844" s="16" t="str">
        <f t="shared" si="81"/>
        <v/>
      </c>
      <c r="M844" s="16" t="str">
        <f>IF(K844="","",K844/MAX(K$5:K844)-1)</f>
        <v/>
      </c>
      <c r="N844" s="13" t="str">
        <f>IF(OR('实盘净值数据(iFinD）'!$A844="",'实盘净值数据(iFinD）'!$B844="",'实盘净值数据(iFinD）'!$Z844="",'实盘净值数据(iFinD）'!$AA844=""),"",分期持仓明细!$AB$24*(SUMPRODUCT(分期持仓明细!$B$24:$Y$24,'实盘净值数据(iFinD）'!$B844:$Y844/'实盘净值数据(iFinD）'!$B$65:$Y$65)+SUMPRODUCT(分期持仓明细!$AC$24:$AD$24,'实盘净值数据(iFinD）'!$Z844:$AA844/'实盘净值数据(iFinD）'!$Z$65:$AA$65))*(1-实盘持仓初始配置!$Z$8)^(('实盘净值数据(iFinD）'!$A844-'实盘净值数据(iFinD）'!$A$5)/365))</f>
        <v/>
      </c>
      <c r="O844" s="16" t="str">
        <f t="shared" si="82"/>
        <v/>
      </c>
      <c r="P844" s="16" t="str">
        <f>IF(N844="","",N844/MAX(N$5:N844)-1)</f>
        <v/>
      </c>
      <c r="Q844" s="13" t="str">
        <f>IF(OR('实盘净值数据(iFinD）'!$A844="",'实盘净值数据(iFinD）'!$B844="",'实盘净值数据(iFinD）'!$Z844="",'实盘净值数据(iFinD）'!$AA844=""),"",分期持仓明细!$AB$25*(SUMPRODUCT(分期持仓明细!$B$25:$Y$25,'实盘净值数据(iFinD）'!$B844:$Y844/'实盘净值数据(iFinD）'!$B$65:$Y$65)+SUMPRODUCT(分期持仓明细!$AC$25:$AD$25,'实盘净值数据(iFinD）'!$Z844:$AA844/'实盘净值数据(iFinD）'!$Z$65:$AA$65))*(1-实盘持仓初始配置!$Z$9)^(('实盘净值数据(iFinD）'!$A844-'实盘净值数据(iFinD）'!$A$8)/365))</f>
        <v/>
      </c>
      <c r="R844" s="16" t="str">
        <f t="shared" si="83"/>
        <v/>
      </c>
      <c r="S844" s="16" t="str">
        <f>IF(Q844="","",Q844/MAX(Q$5:Q844)-1)</f>
        <v/>
      </c>
      <c r="T844" s="13">
        <f>IF(OR('实盘净值数据(iFinD）'!$A844="",'实盘净值数据(iFinD）'!$B844="",'实盘净值数据(iFinD）'!$Z844="",'实盘净值数据(iFinD）'!$AA844="",'实盘净值数据(iFinD）'!$AB844="",'实盘净值数据(iFinD）'!$AL844=""),"",(SUMPRODUCT(分期持仓明细!$B$26:$Y$26,'实盘净值数据(iFinD）'!$B844:$Y844/'实盘净值数据(iFinD）'!$B$69:$Y$69)+SUMPRODUCT(分期持仓明细!$AC$26:$AD$26,'实盘净值数据(iFinD）'!$Z844:$AA844/'实盘净值数据(iFinD）'!$Z$69:$AA$69)+SUMPRODUCT(分期持仓明细!$AE$26:$AO$26,'实盘净值数据(iFinD）'!$AB844:$AL844/'实盘净值数据(iFinD）'!$AB$69:$AL$69))*(1-实盘持仓初始配置!$Z$10)^(('实盘净值数据(iFinD）'!$A844-'实盘净值数据(iFinD）'!$A$69)/365))</f>
        <v/>
      </c>
      <c r="U844" s="16">
        <f>IF(OR(T843="",T844=""),"",T844/T843-1)</f>
        <v/>
      </c>
      <c r="V844" s="16">
        <f>IF(T844="","",T844/MAX(T$5:T844)-1)</f>
        <v/>
      </c>
    </row>
    <row r="845" spans="1:19">
      <c r="A845" s="15" t="str">
        <f>IF('实盘净值数据(iFinD）'!A845="","",'实盘净值数据(iFinD）'!A845)</f>
        <v/>
      </c>
      <c r="B845" s="13" t="str">
        <f>IF(OR('实盘净值数据(iFinD）'!$A845="",'实盘净值数据(iFinD）'!$B845=""),"",分期持仓明细!$AB$17*SUMPRODUCT(分期持仓明细!$B$17:$Y$17,'实盘净值数据(iFinD）'!$B845:$Y845/'实盘净值数据(iFinD）'!$B$20:$Y$20)*(1-实盘持仓初始配置!$Z$4)^(('实盘净值数据(iFinD）'!$A845-'实盘净值数据(iFinD）'!$A$6)/365))</f>
        <v/>
      </c>
      <c r="C845" s="16" t="str">
        <f t="shared" si="78"/>
        <v/>
      </c>
      <c r="D845" s="16" t="str">
        <f>IF(B845="","",B845/MAX(B$5:B845)-1)</f>
        <v/>
      </c>
      <c r="E845" s="13" t="str">
        <f>IF(OR('实盘净值数据(iFinD）'!$A845="",'实盘净值数据(iFinD）'!$B845=""),"",分期持仓明细!$AB$18*SUMPRODUCT(分期持仓明细!$B$18:$Y$18,'实盘净值数据(iFinD）'!$B845:$Y845/'实盘净值数据(iFinD）'!$B$20:$Y$20)*(1-实盘持仓初始配置!$Z$5)^(('实盘净值数据(iFinD）'!$A845-'实盘净值数据(iFinD）'!$A$5)/365))</f>
        <v/>
      </c>
      <c r="F845" s="16" t="str">
        <f t="shared" si="79"/>
        <v/>
      </c>
      <c r="G845" s="16" t="str">
        <f>IF(E845="","",E845/MAX(E$5:E845)-1)</f>
        <v/>
      </c>
      <c r="H845" s="13" t="str">
        <f>IF(OR('实盘净值数据(iFinD）'!$A845="",'实盘净值数据(iFinD）'!$B845=""),"",分期持仓明细!$AB$19*SUMPRODUCT(分期持仓明细!$B$19:$Y$19,'实盘净值数据(iFinD）'!$B845:$Y845/'实盘净值数据(iFinD）'!$B$20:$Y$20)*(1-实盘持仓初始配置!$Z$6)^(('实盘净值数据(iFinD）'!$A845-'实盘净值数据(iFinD）'!$A$7)/365))</f>
        <v/>
      </c>
      <c r="I845" s="16" t="str">
        <f t="shared" si="80"/>
        <v/>
      </c>
      <c r="J845" s="16" t="str">
        <f>IF(H845="","",H845/MAX(H$5:H845)-1)</f>
        <v/>
      </c>
      <c r="K845" s="13" t="str">
        <f>IF(OR('实盘净值数据(iFinD）'!$A845="",'实盘净值数据(iFinD）'!$B845="",'实盘净值数据(iFinD）'!$Z845="",'实盘净值数据(iFinD）'!$AA845=""),"",分期持仓明细!$AB$23*(SUMPRODUCT(分期持仓明细!$B$23:$Y$23,'实盘净值数据(iFinD）'!$B845:$Y845/'实盘净值数据(iFinD）'!$B$65:$Y$65)+SUMPRODUCT(分期持仓明细!$AC$23:$AD$23,'实盘净值数据(iFinD）'!$Z845:$AA845/'实盘净值数据(iFinD）'!$Z$65:$AA$65))*(1-实盘持仓初始配置!$Z$7)^(('实盘净值数据(iFinD）'!$A845-'实盘净值数据(iFinD）'!$A$8)/365))</f>
        <v/>
      </c>
      <c r="L845" s="16" t="str">
        <f t="shared" si="81"/>
        <v/>
      </c>
      <c r="M845" s="16" t="str">
        <f>IF(K845="","",K845/MAX(K$5:K845)-1)</f>
        <v/>
      </c>
      <c r="N845" s="13" t="str">
        <f>IF(OR('实盘净值数据(iFinD）'!$A845="",'实盘净值数据(iFinD）'!$B845="",'实盘净值数据(iFinD）'!$Z845="",'实盘净值数据(iFinD）'!$AA845=""),"",分期持仓明细!$AB$24*(SUMPRODUCT(分期持仓明细!$B$24:$Y$24,'实盘净值数据(iFinD）'!$B845:$Y845/'实盘净值数据(iFinD）'!$B$65:$Y$65)+SUMPRODUCT(分期持仓明细!$AC$24:$AD$24,'实盘净值数据(iFinD）'!$Z845:$AA845/'实盘净值数据(iFinD）'!$Z$65:$AA$65))*(1-实盘持仓初始配置!$Z$8)^(('实盘净值数据(iFinD）'!$A845-'实盘净值数据(iFinD）'!$A$5)/365))</f>
        <v/>
      </c>
      <c r="O845" s="16" t="str">
        <f t="shared" si="82"/>
        <v/>
      </c>
      <c r="P845" s="16" t="str">
        <f>IF(N845="","",N845/MAX(N$5:N845)-1)</f>
        <v/>
      </c>
      <c r="Q845" s="13" t="str">
        <f>IF(OR('实盘净值数据(iFinD）'!$A845="",'实盘净值数据(iFinD）'!$B845="",'实盘净值数据(iFinD）'!$Z845="",'实盘净值数据(iFinD）'!$AA845=""),"",分期持仓明细!$AB$25*(SUMPRODUCT(分期持仓明细!$B$25:$Y$25,'实盘净值数据(iFinD）'!$B845:$Y845/'实盘净值数据(iFinD）'!$B$65:$Y$65)+SUMPRODUCT(分期持仓明细!$AC$25:$AD$25,'实盘净值数据(iFinD）'!$Z845:$AA845/'实盘净值数据(iFinD）'!$Z$65:$AA$65))*(1-实盘持仓初始配置!$Z$9)^(('实盘净值数据(iFinD）'!$A845-'实盘净值数据(iFinD）'!$A$8)/365))</f>
        <v/>
      </c>
      <c r="R845" s="16" t="str">
        <f t="shared" si="83"/>
        <v/>
      </c>
      <c r="S845" s="16" t="str">
        <f>IF(Q845="","",Q845/MAX(Q$5:Q845)-1)</f>
        <v/>
      </c>
      <c r="T845" s="13">
        <f>IF(OR('实盘净值数据(iFinD）'!$A845="",'实盘净值数据(iFinD）'!$B845="",'实盘净值数据(iFinD）'!$Z845="",'实盘净值数据(iFinD）'!$AA845="",'实盘净值数据(iFinD）'!$AB845="",'实盘净值数据(iFinD）'!$AL845=""),"",(SUMPRODUCT(分期持仓明细!$B$26:$Y$26,'实盘净值数据(iFinD）'!$B845:$Y845/'实盘净值数据(iFinD）'!$B$69:$Y$69)+SUMPRODUCT(分期持仓明细!$AC$26:$AD$26,'实盘净值数据(iFinD）'!$Z845:$AA845/'实盘净值数据(iFinD）'!$Z$69:$AA$69)+SUMPRODUCT(分期持仓明细!$AE$26:$AO$26,'实盘净值数据(iFinD）'!$AB845:$AL845/'实盘净值数据(iFinD）'!$AB$69:$AL$69))*(1-实盘持仓初始配置!$Z$10)^(('实盘净值数据(iFinD）'!$A845-'实盘净值数据(iFinD）'!$A$69)/365))</f>
        <v/>
      </c>
      <c r="U845" s="16">
        <f>IF(OR(T844="",T845=""),"",T845/T844-1)</f>
        <v/>
      </c>
      <c r="V845" s="16">
        <f>IF(T845="","",T845/MAX(T$5:T845)-1)</f>
        <v/>
      </c>
    </row>
    <row r="846" spans="1:19">
      <c r="A846" s="15" t="str">
        <f>IF('实盘净值数据(iFinD）'!A846="","",'实盘净值数据(iFinD）'!A846)</f>
        <v/>
      </c>
      <c r="B846" s="13" t="str">
        <f>IF(OR('实盘净值数据(iFinD）'!$A846="",'实盘净值数据(iFinD）'!$B846=""),"",分期持仓明细!$AB$17*SUMPRODUCT(分期持仓明细!$B$17:$Y$17,'实盘净值数据(iFinD）'!$B846:$Y846/'实盘净值数据(iFinD）'!$B$20:$Y$20)*(1-实盘持仓初始配置!$Z$4)^(('实盘净值数据(iFinD）'!$A846-'实盘净值数据(iFinD）'!$A$6)/365))</f>
        <v/>
      </c>
      <c r="C846" s="16" t="str">
        <f t="shared" si="78"/>
        <v/>
      </c>
      <c r="D846" s="16" t="str">
        <f>IF(B846="","",B846/MAX(B$5:B846)-1)</f>
        <v/>
      </c>
      <c r="E846" s="13" t="str">
        <f>IF(OR('实盘净值数据(iFinD）'!$A846="",'实盘净值数据(iFinD）'!$B846=""),"",分期持仓明细!$AB$18*SUMPRODUCT(分期持仓明细!$B$18:$Y$18,'实盘净值数据(iFinD）'!$B846:$Y846/'实盘净值数据(iFinD）'!$B$20:$Y$20)*(1-实盘持仓初始配置!$Z$5)^(('实盘净值数据(iFinD）'!$A846-'实盘净值数据(iFinD）'!$A$5)/365))</f>
        <v/>
      </c>
      <c r="F846" s="16" t="str">
        <f t="shared" si="79"/>
        <v/>
      </c>
      <c r="G846" s="16" t="str">
        <f>IF(E846="","",E846/MAX(E$5:E846)-1)</f>
        <v/>
      </c>
      <c r="H846" s="13" t="str">
        <f>IF(OR('实盘净值数据(iFinD）'!$A846="",'实盘净值数据(iFinD）'!$B846=""),"",分期持仓明细!$AB$19*SUMPRODUCT(分期持仓明细!$B$19:$Y$19,'实盘净值数据(iFinD）'!$B846:$Y846/'实盘净值数据(iFinD）'!$B$20:$Y$20)*(1-实盘持仓初始配置!$Z$6)^(('实盘净值数据(iFinD）'!$A846-'实盘净值数据(iFinD）'!$A$7)/365))</f>
        <v/>
      </c>
      <c r="I846" s="16" t="str">
        <f t="shared" si="80"/>
        <v/>
      </c>
      <c r="J846" s="16" t="str">
        <f>IF(H846="","",H846/MAX(H$5:H846)-1)</f>
        <v/>
      </c>
      <c r="K846" s="13" t="str">
        <f>IF(OR('实盘净值数据(iFinD）'!$A846="",'实盘净值数据(iFinD）'!$B846="",'实盘净值数据(iFinD）'!$Z846="",'实盘净值数据(iFinD）'!$AA846=""),"",分期持仓明细!$AB$23*(SUMPRODUCT(分期持仓明细!$B$23:$Y$23,'实盘净值数据(iFinD）'!$B846:$Y846/'实盘净值数据(iFinD）'!$B$65:$Y$65)+SUMPRODUCT(分期持仓明细!$AC$23:$AD$23,'实盘净值数据(iFinD）'!$Z846:$AA846/'实盘净值数据(iFinD）'!$Z$65:$AA$65))*(1-实盘持仓初始配置!$Z$7)^(('实盘净值数据(iFinD）'!$A846-'实盘净值数据(iFinD）'!$A$8)/365))</f>
        <v/>
      </c>
      <c r="L846" s="16" t="str">
        <f t="shared" si="81"/>
        <v/>
      </c>
      <c r="M846" s="16" t="str">
        <f>IF(K846="","",K846/MAX(K$5:K846)-1)</f>
        <v/>
      </c>
      <c r="N846" s="13" t="str">
        <f>IF(OR('实盘净值数据(iFinD）'!$A846="",'实盘净值数据(iFinD）'!$B846="",'实盘净值数据(iFinD）'!$Z846="",'实盘净值数据(iFinD）'!$AA846=""),"",分期持仓明细!$AB$24*(SUMPRODUCT(分期持仓明细!$B$24:$Y$24,'实盘净值数据(iFinD）'!$B846:$Y846/'实盘净值数据(iFinD）'!$B$65:$Y$65)+SUMPRODUCT(分期持仓明细!$AC$24:$AD$24,'实盘净值数据(iFinD）'!$Z846:$AA846/'实盘净值数据(iFinD）'!$Z$65:$AA$65))*(1-实盘持仓初始配置!$Z$8)^(('实盘净值数据(iFinD）'!$A846-'实盘净值数据(iFinD）'!$A$5)/365))</f>
        <v/>
      </c>
      <c r="O846" s="16" t="str">
        <f t="shared" si="82"/>
        <v/>
      </c>
      <c r="P846" s="16" t="str">
        <f>IF(N846="","",N846/MAX(N$5:N846)-1)</f>
        <v/>
      </c>
      <c r="Q846" s="13" t="str">
        <f>IF(OR('实盘净值数据(iFinD）'!$A846="",'实盘净值数据(iFinD）'!$B846="",'实盘净值数据(iFinD）'!$Z846="",'实盘净值数据(iFinD）'!$AA846=""),"",分期持仓明细!$AB$25*(SUMPRODUCT(分期持仓明细!$B$25:$Y$25,'实盘净值数据(iFinD）'!$B846:$Y846/'实盘净值数据(iFinD）'!$B$65:$Y$65)+SUMPRODUCT(分期持仓明细!$AC$25:$AD$25,'实盘净值数据(iFinD）'!$Z846:$AA846/'实盘净值数据(iFinD）'!$Z$65:$AA$65))*(1-实盘持仓初始配置!$Z$9)^(('实盘净值数据(iFinD）'!$A846-'实盘净值数据(iFinD）'!$A$8)/365))</f>
        <v/>
      </c>
      <c r="R846" s="16" t="str">
        <f t="shared" si="83"/>
        <v/>
      </c>
      <c r="S846" s="16" t="str">
        <f>IF(Q846="","",Q846/MAX(Q$5:Q846)-1)</f>
        <v/>
      </c>
      <c r="T846" s="13">
        <f>IF(OR('实盘净值数据(iFinD）'!$A846="",'实盘净值数据(iFinD）'!$B846="",'实盘净值数据(iFinD）'!$Z846="",'实盘净值数据(iFinD）'!$AA846="",'实盘净值数据(iFinD）'!$AB846="",'实盘净值数据(iFinD）'!$AL846=""),"",(SUMPRODUCT(分期持仓明细!$B$26:$Y$26,'实盘净值数据(iFinD）'!$B846:$Y846/'实盘净值数据(iFinD）'!$B$69:$Y$69)+SUMPRODUCT(分期持仓明细!$AC$26:$AD$26,'实盘净值数据(iFinD）'!$Z846:$AA846/'实盘净值数据(iFinD）'!$Z$69:$AA$69)+SUMPRODUCT(分期持仓明细!$AE$26:$AO$26,'实盘净值数据(iFinD）'!$AB846:$AL846/'实盘净值数据(iFinD）'!$AB$69:$AL$69))*(1-实盘持仓初始配置!$Z$10)^(('实盘净值数据(iFinD）'!$A846-'实盘净值数据(iFinD）'!$A$69)/365))</f>
        <v/>
      </c>
      <c r="U846" s="16">
        <f>IF(OR(T845="",T846=""),"",T846/T845-1)</f>
        <v/>
      </c>
      <c r="V846" s="16">
        <f>IF(T846="","",T846/MAX(T$5:T846)-1)</f>
        <v/>
      </c>
    </row>
    <row r="847" spans="1:19">
      <c r="A847" s="15" t="str">
        <f>IF('实盘净值数据(iFinD）'!A847="","",'实盘净值数据(iFinD）'!A847)</f>
        <v/>
      </c>
      <c r="B847" s="13" t="str">
        <f>IF(OR('实盘净值数据(iFinD）'!$A847="",'实盘净值数据(iFinD）'!$B847=""),"",分期持仓明细!$AB$17*SUMPRODUCT(分期持仓明细!$B$17:$Y$17,'实盘净值数据(iFinD）'!$B847:$Y847/'实盘净值数据(iFinD）'!$B$20:$Y$20)*(1-实盘持仓初始配置!$Z$4)^(('实盘净值数据(iFinD）'!$A847-'实盘净值数据(iFinD）'!$A$6)/365))</f>
        <v/>
      </c>
      <c r="C847" s="16" t="str">
        <f t="shared" si="78"/>
        <v/>
      </c>
      <c r="D847" s="16" t="str">
        <f>IF(B847="","",B847/MAX(B$5:B847)-1)</f>
        <v/>
      </c>
      <c r="E847" s="13" t="str">
        <f>IF(OR('实盘净值数据(iFinD）'!$A847="",'实盘净值数据(iFinD）'!$B847=""),"",分期持仓明细!$AB$18*SUMPRODUCT(分期持仓明细!$B$18:$Y$18,'实盘净值数据(iFinD）'!$B847:$Y847/'实盘净值数据(iFinD）'!$B$20:$Y$20)*(1-实盘持仓初始配置!$Z$5)^(('实盘净值数据(iFinD）'!$A847-'实盘净值数据(iFinD）'!$A$5)/365))</f>
        <v/>
      </c>
      <c r="F847" s="16" t="str">
        <f t="shared" si="79"/>
        <v/>
      </c>
      <c r="G847" s="16" t="str">
        <f>IF(E847="","",E847/MAX(E$5:E847)-1)</f>
        <v/>
      </c>
      <c r="H847" s="13" t="str">
        <f>IF(OR('实盘净值数据(iFinD）'!$A847="",'实盘净值数据(iFinD）'!$B847=""),"",分期持仓明细!$AB$19*SUMPRODUCT(分期持仓明细!$B$19:$Y$19,'实盘净值数据(iFinD）'!$B847:$Y847/'实盘净值数据(iFinD）'!$B$20:$Y$20)*(1-实盘持仓初始配置!$Z$6)^(('实盘净值数据(iFinD）'!$A847-'实盘净值数据(iFinD）'!$A$7)/365))</f>
        <v/>
      </c>
      <c r="I847" s="16" t="str">
        <f t="shared" si="80"/>
        <v/>
      </c>
      <c r="J847" s="16" t="str">
        <f>IF(H847="","",H847/MAX(H$5:H847)-1)</f>
        <v/>
      </c>
      <c r="K847" s="13" t="str">
        <f>IF(OR('实盘净值数据(iFinD）'!$A847="",'实盘净值数据(iFinD）'!$B847="",'实盘净值数据(iFinD）'!$Z847="",'实盘净值数据(iFinD）'!$AA847=""),"",分期持仓明细!$AB$23*(SUMPRODUCT(分期持仓明细!$B$23:$Y$23,'实盘净值数据(iFinD）'!$B847:$Y847/'实盘净值数据(iFinD）'!$B$65:$Y$65)+SUMPRODUCT(分期持仓明细!$AC$23:$AD$23,'实盘净值数据(iFinD）'!$Z847:$AA847/'实盘净值数据(iFinD）'!$Z$65:$AA$65))*(1-实盘持仓初始配置!$Z$7)^(('实盘净值数据(iFinD）'!$A847-'实盘净值数据(iFinD）'!$A$8)/365))</f>
        <v/>
      </c>
      <c r="L847" s="16" t="str">
        <f t="shared" si="81"/>
        <v/>
      </c>
      <c r="M847" s="16" t="str">
        <f>IF(K847="","",K847/MAX(K$5:K847)-1)</f>
        <v/>
      </c>
      <c r="N847" s="13" t="str">
        <f>IF(OR('实盘净值数据(iFinD）'!$A847="",'实盘净值数据(iFinD）'!$B847="",'实盘净值数据(iFinD）'!$Z847="",'实盘净值数据(iFinD）'!$AA847=""),"",分期持仓明细!$AB$24*(SUMPRODUCT(分期持仓明细!$B$24:$Y$24,'实盘净值数据(iFinD）'!$B847:$Y847/'实盘净值数据(iFinD）'!$B$65:$Y$65)+SUMPRODUCT(分期持仓明细!$AC$24:$AD$24,'实盘净值数据(iFinD）'!$Z847:$AA847/'实盘净值数据(iFinD）'!$Z$65:$AA$65))*(1-实盘持仓初始配置!$Z$8)^(('实盘净值数据(iFinD）'!$A847-'实盘净值数据(iFinD）'!$A$5)/365))</f>
        <v/>
      </c>
      <c r="O847" s="16" t="str">
        <f t="shared" si="82"/>
        <v/>
      </c>
      <c r="P847" s="16" t="str">
        <f>IF(N847="","",N847/MAX(N$5:N847)-1)</f>
        <v/>
      </c>
      <c r="Q847" s="13" t="str">
        <f>IF(OR('实盘净值数据(iFinD）'!$A847="",'实盘净值数据(iFinD）'!$B847="",'实盘净值数据(iFinD）'!$Z847="",'实盘净值数据(iFinD）'!$AA847=""),"",分期持仓明细!$AB$25*(SUMPRODUCT(分期持仓明细!$B$25:$Y$25,'实盘净值数据(iFinD）'!$B847:$Y847/'实盘净值数据(iFinD）'!$B$65:$Y$65)+SUMPRODUCT(分期持仓明细!$AC$25:$AD$25,'实盘净值数据(iFinD）'!$Z847:$AA847/'实盘净值数据(iFinD）'!$Z$65:$AA$65))*(1-实盘持仓初始配置!$Z$9)^(('实盘净值数据(iFinD）'!$A847-'实盘净值数据(iFinD）'!$A$8)/365))</f>
        <v/>
      </c>
      <c r="R847" s="16" t="str">
        <f t="shared" si="83"/>
        <v/>
      </c>
      <c r="S847" s="16" t="str">
        <f>IF(Q847="","",Q847/MAX(Q$5:Q847)-1)</f>
        <v/>
      </c>
      <c r="T847" s="13">
        <f>IF(OR('实盘净值数据(iFinD）'!$A847="",'实盘净值数据(iFinD）'!$B847="",'实盘净值数据(iFinD）'!$Z847="",'实盘净值数据(iFinD）'!$AA847="",'实盘净值数据(iFinD）'!$AB847="",'实盘净值数据(iFinD）'!$AL847=""),"",(SUMPRODUCT(分期持仓明细!$B$26:$Y$26,'实盘净值数据(iFinD）'!$B847:$Y847/'实盘净值数据(iFinD）'!$B$69:$Y$69)+SUMPRODUCT(分期持仓明细!$AC$26:$AD$26,'实盘净值数据(iFinD）'!$Z847:$AA847/'实盘净值数据(iFinD）'!$Z$69:$AA$69)+SUMPRODUCT(分期持仓明细!$AE$26:$AO$26,'实盘净值数据(iFinD）'!$AB847:$AL847/'实盘净值数据(iFinD）'!$AB$69:$AL$69))*(1-实盘持仓初始配置!$Z$10)^(('实盘净值数据(iFinD）'!$A847-'实盘净值数据(iFinD）'!$A$69)/365))</f>
        <v/>
      </c>
      <c r="U847" s="16">
        <f>IF(OR(T846="",T847=""),"",T847/T846-1)</f>
        <v/>
      </c>
      <c r="V847" s="16">
        <f>IF(T847="","",T847/MAX(T$5:T847)-1)</f>
        <v/>
      </c>
    </row>
    <row r="848" spans="1:19">
      <c r="A848" s="15" t="str">
        <f>IF('实盘净值数据(iFinD）'!A848="","",'实盘净值数据(iFinD）'!A848)</f>
        <v/>
      </c>
      <c r="B848" s="13" t="str">
        <f>IF(OR('实盘净值数据(iFinD）'!$A848="",'实盘净值数据(iFinD）'!$B848=""),"",分期持仓明细!$AB$17*SUMPRODUCT(分期持仓明细!$B$17:$Y$17,'实盘净值数据(iFinD）'!$B848:$Y848/'实盘净值数据(iFinD）'!$B$20:$Y$20)*(1-实盘持仓初始配置!$Z$4)^(('实盘净值数据(iFinD）'!$A848-'实盘净值数据(iFinD）'!$A$6)/365))</f>
        <v/>
      </c>
      <c r="C848" s="16" t="str">
        <f t="shared" si="78"/>
        <v/>
      </c>
      <c r="D848" s="16" t="str">
        <f>IF(B848="","",B848/MAX(B$5:B848)-1)</f>
        <v/>
      </c>
      <c r="E848" s="13" t="str">
        <f>IF(OR('实盘净值数据(iFinD）'!$A848="",'实盘净值数据(iFinD）'!$B848=""),"",分期持仓明细!$AB$18*SUMPRODUCT(分期持仓明细!$B$18:$Y$18,'实盘净值数据(iFinD）'!$B848:$Y848/'实盘净值数据(iFinD）'!$B$20:$Y$20)*(1-实盘持仓初始配置!$Z$5)^(('实盘净值数据(iFinD）'!$A848-'实盘净值数据(iFinD）'!$A$5)/365))</f>
        <v/>
      </c>
      <c r="F848" s="16" t="str">
        <f t="shared" si="79"/>
        <v/>
      </c>
      <c r="G848" s="16" t="str">
        <f>IF(E848="","",E848/MAX(E$5:E848)-1)</f>
        <v/>
      </c>
      <c r="H848" s="13" t="str">
        <f>IF(OR('实盘净值数据(iFinD）'!$A848="",'实盘净值数据(iFinD）'!$B848=""),"",分期持仓明细!$AB$19*SUMPRODUCT(分期持仓明细!$B$19:$Y$19,'实盘净值数据(iFinD）'!$B848:$Y848/'实盘净值数据(iFinD）'!$B$20:$Y$20)*(1-实盘持仓初始配置!$Z$6)^(('实盘净值数据(iFinD）'!$A848-'实盘净值数据(iFinD）'!$A$7)/365))</f>
        <v/>
      </c>
      <c r="I848" s="16" t="str">
        <f t="shared" si="80"/>
        <v/>
      </c>
      <c r="J848" s="16" t="str">
        <f>IF(H848="","",H848/MAX(H$5:H848)-1)</f>
        <v/>
      </c>
      <c r="K848" s="13" t="str">
        <f>IF(OR('实盘净值数据(iFinD）'!$A848="",'实盘净值数据(iFinD）'!$B848="",'实盘净值数据(iFinD）'!$Z848="",'实盘净值数据(iFinD）'!$AA848=""),"",分期持仓明细!$AB$23*(SUMPRODUCT(分期持仓明细!$B$23:$Y$23,'实盘净值数据(iFinD）'!$B848:$Y848/'实盘净值数据(iFinD）'!$B$65:$Y$65)+SUMPRODUCT(分期持仓明细!$AC$23:$AD$23,'实盘净值数据(iFinD）'!$Z848:$AA848/'实盘净值数据(iFinD）'!$Z$65:$AA$65))*(1-实盘持仓初始配置!$Z$7)^(('实盘净值数据(iFinD）'!$A848-'实盘净值数据(iFinD）'!$A$8)/365))</f>
        <v/>
      </c>
      <c r="L848" s="16" t="str">
        <f t="shared" si="81"/>
        <v/>
      </c>
      <c r="M848" s="16" t="str">
        <f>IF(K848="","",K848/MAX(K$5:K848)-1)</f>
        <v/>
      </c>
      <c r="N848" s="13" t="str">
        <f>IF(OR('实盘净值数据(iFinD）'!$A848="",'实盘净值数据(iFinD）'!$B848="",'实盘净值数据(iFinD）'!$Z848="",'实盘净值数据(iFinD）'!$AA848=""),"",分期持仓明细!$AB$24*(SUMPRODUCT(分期持仓明细!$B$24:$Y$24,'实盘净值数据(iFinD）'!$B848:$Y848/'实盘净值数据(iFinD）'!$B$65:$Y$65)+SUMPRODUCT(分期持仓明细!$AC$24:$AD$24,'实盘净值数据(iFinD）'!$Z848:$AA848/'实盘净值数据(iFinD）'!$Z$65:$AA$65))*(1-实盘持仓初始配置!$Z$8)^(('实盘净值数据(iFinD）'!$A848-'实盘净值数据(iFinD）'!$A$5)/365))</f>
        <v/>
      </c>
      <c r="O848" s="16" t="str">
        <f t="shared" si="82"/>
        <v/>
      </c>
      <c r="P848" s="16" t="str">
        <f>IF(N848="","",N848/MAX(N$5:N848)-1)</f>
        <v/>
      </c>
      <c r="Q848" s="13" t="str">
        <f>IF(OR('实盘净值数据(iFinD）'!$A848="",'实盘净值数据(iFinD）'!$B848="",'实盘净值数据(iFinD）'!$Z848="",'实盘净值数据(iFinD）'!$AA848=""),"",分期持仓明细!$AB$25*(SUMPRODUCT(分期持仓明细!$B$25:$Y$25,'实盘净值数据(iFinD）'!$B848:$Y848/'实盘净值数据(iFinD）'!$B$65:$Y$65)+SUMPRODUCT(分期持仓明细!$AC$25:$AD$25,'实盘净值数据(iFinD）'!$Z848:$AA848/'实盘净值数据(iFinD）'!$Z$65:$AA$65))*(1-实盘持仓初始配置!$Z$9)^(('实盘净值数据(iFinD）'!$A848-'实盘净值数据(iFinD）'!$A$8)/365))</f>
        <v/>
      </c>
      <c r="R848" s="16" t="str">
        <f t="shared" si="83"/>
        <v/>
      </c>
      <c r="S848" s="16" t="str">
        <f>IF(Q848="","",Q848/MAX(Q$5:Q848)-1)</f>
        <v/>
      </c>
      <c r="T848" s="13">
        <f>IF(OR('实盘净值数据(iFinD）'!$A848="",'实盘净值数据(iFinD）'!$B848="",'实盘净值数据(iFinD）'!$Z848="",'实盘净值数据(iFinD）'!$AA848="",'实盘净值数据(iFinD）'!$AB848="",'实盘净值数据(iFinD）'!$AL848=""),"",(SUMPRODUCT(分期持仓明细!$B$26:$Y$26,'实盘净值数据(iFinD）'!$B848:$Y848/'实盘净值数据(iFinD）'!$B$69:$Y$69)+SUMPRODUCT(分期持仓明细!$AC$26:$AD$26,'实盘净值数据(iFinD）'!$Z848:$AA848/'实盘净值数据(iFinD）'!$Z$69:$AA$69)+SUMPRODUCT(分期持仓明细!$AE$26:$AO$26,'实盘净值数据(iFinD）'!$AB848:$AL848/'实盘净值数据(iFinD）'!$AB$69:$AL$69))*(1-实盘持仓初始配置!$Z$10)^(('实盘净值数据(iFinD）'!$A848-'实盘净值数据(iFinD）'!$A$69)/365))</f>
        <v/>
      </c>
      <c r="U848" s="16">
        <f>IF(OR(T847="",T848=""),"",T848/T847-1)</f>
        <v/>
      </c>
      <c r="V848" s="16">
        <f>IF(T848="","",T848/MAX(T$5:T848)-1)</f>
        <v/>
      </c>
    </row>
    <row r="849" spans="1:19">
      <c r="A849" s="15" t="str">
        <f>IF('实盘净值数据(iFinD）'!A849="","",'实盘净值数据(iFinD）'!A849)</f>
        <v/>
      </c>
      <c r="B849" s="13" t="str">
        <f>IF(OR('实盘净值数据(iFinD）'!$A849="",'实盘净值数据(iFinD）'!$B849=""),"",分期持仓明细!$AB$17*SUMPRODUCT(分期持仓明细!$B$17:$Y$17,'实盘净值数据(iFinD）'!$B849:$Y849/'实盘净值数据(iFinD）'!$B$20:$Y$20)*(1-实盘持仓初始配置!$Z$4)^(('实盘净值数据(iFinD）'!$A849-'实盘净值数据(iFinD）'!$A$6)/365))</f>
        <v/>
      </c>
      <c r="C849" s="16" t="str">
        <f t="shared" si="78"/>
        <v/>
      </c>
      <c r="D849" s="16" t="str">
        <f>IF(B849="","",B849/MAX(B$5:B849)-1)</f>
        <v/>
      </c>
      <c r="E849" s="13" t="str">
        <f>IF(OR('实盘净值数据(iFinD）'!$A849="",'实盘净值数据(iFinD）'!$B849=""),"",分期持仓明细!$AB$18*SUMPRODUCT(分期持仓明细!$B$18:$Y$18,'实盘净值数据(iFinD）'!$B849:$Y849/'实盘净值数据(iFinD）'!$B$20:$Y$20)*(1-实盘持仓初始配置!$Z$5)^(('实盘净值数据(iFinD）'!$A849-'实盘净值数据(iFinD）'!$A$5)/365))</f>
        <v/>
      </c>
      <c r="F849" s="16" t="str">
        <f t="shared" si="79"/>
        <v/>
      </c>
      <c r="G849" s="16" t="str">
        <f>IF(E849="","",E849/MAX(E$5:E849)-1)</f>
        <v/>
      </c>
      <c r="H849" s="13" t="str">
        <f>IF(OR('实盘净值数据(iFinD）'!$A849="",'实盘净值数据(iFinD）'!$B849=""),"",分期持仓明细!$AB$19*SUMPRODUCT(分期持仓明细!$B$19:$Y$19,'实盘净值数据(iFinD）'!$B849:$Y849/'实盘净值数据(iFinD）'!$B$20:$Y$20)*(1-实盘持仓初始配置!$Z$6)^(('实盘净值数据(iFinD）'!$A849-'实盘净值数据(iFinD）'!$A$7)/365))</f>
        <v/>
      </c>
      <c r="I849" s="16" t="str">
        <f t="shared" si="80"/>
        <v/>
      </c>
      <c r="J849" s="16" t="str">
        <f>IF(H849="","",H849/MAX(H$5:H849)-1)</f>
        <v/>
      </c>
      <c r="K849" s="13" t="str">
        <f>IF(OR('实盘净值数据(iFinD）'!$A849="",'实盘净值数据(iFinD）'!$B849="",'实盘净值数据(iFinD）'!$Z849="",'实盘净值数据(iFinD）'!$AA849=""),"",分期持仓明细!$AB$23*(SUMPRODUCT(分期持仓明细!$B$23:$Y$23,'实盘净值数据(iFinD）'!$B849:$Y849/'实盘净值数据(iFinD）'!$B$65:$Y$65)+SUMPRODUCT(分期持仓明细!$AC$23:$AD$23,'实盘净值数据(iFinD）'!$Z849:$AA849/'实盘净值数据(iFinD）'!$Z$65:$AA$65))*(1-实盘持仓初始配置!$Z$7)^(('实盘净值数据(iFinD）'!$A849-'实盘净值数据(iFinD）'!$A$8)/365))</f>
        <v/>
      </c>
      <c r="L849" s="16" t="str">
        <f t="shared" si="81"/>
        <v/>
      </c>
      <c r="M849" s="16" t="str">
        <f>IF(K849="","",K849/MAX(K$5:K849)-1)</f>
        <v/>
      </c>
      <c r="N849" s="13" t="str">
        <f>IF(OR('实盘净值数据(iFinD）'!$A849="",'实盘净值数据(iFinD）'!$B849="",'实盘净值数据(iFinD）'!$Z849="",'实盘净值数据(iFinD）'!$AA849=""),"",分期持仓明细!$AB$24*(SUMPRODUCT(分期持仓明细!$B$24:$Y$24,'实盘净值数据(iFinD）'!$B849:$Y849/'实盘净值数据(iFinD）'!$B$65:$Y$65)+SUMPRODUCT(分期持仓明细!$AC$24:$AD$24,'实盘净值数据(iFinD）'!$Z849:$AA849/'实盘净值数据(iFinD）'!$Z$65:$AA$65))*(1-实盘持仓初始配置!$Z$8)^(('实盘净值数据(iFinD）'!$A849-'实盘净值数据(iFinD）'!$A$5)/365))</f>
        <v/>
      </c>
      <c r="O849" s="16" t="str">
        <f t="shared" si="82"/>
        <v/>
      </c>
      <c r="P849" s="16" t="str">
        <f>IF(N849="","",N849/MAX(N$5:N849)-1)</f>
        <v/>
      </c>
      <c r="Q849" s="13" t="str">
        <f>IF(OR('实盘净值数据(iFinD）'!$A849="",'实盘净值数据(iFinD）'!$B849="",'实盘净值数据(iFinD）'!$Z849="",'实盘净值数据(iFinD）'!$AA849=""),"",分期持仓明细!$AB$25*(SUMPRODUCT(分期持仓明细!$B$25:$Y$25,'实盘净值数据(iFinD）'!$B849:$Y849/'实盘净值数据(iFinD）'!$B$65:$Y$65)+SUMPRODUCT(分期持仓明细!$AC$25:$AD$25,'实盘净值数据(iFinD）'!$Z849:$AA849/'实盘净值数据(iFinD）'!$Z$65:$AA$65))*(1-实盘持仓初始配置!$Z$9)^(('实盘净值数据(iFinD）'!$A849-'实盘净值数据(iFinD）'!$A$8)/365))</f>
        <v/>
      </c>
      <c r="R849" s="16" t="str">
        <f t="shared" si="83"/>
        <v/>
      </c>
      <c r="S849" s="16" t="str">
        <f>IF(Q849="","",Q849/MAX(Q$5:Q849)-1)</f>
        <v/>
      </c>
      <c r="T849" s="13">
        <f>IF(OR('实盘净值数据(iFinD）'!$A849="",'实盘净值数据(iFinD）'!$B849="",'实盘净值数据(iFinD）'!$Z849="",'实盘净值数据(iFinD）'!$AA849="",'实盘净值数据(iFinD）'!$AB849="",'实盘净值数据(iFinD）'!$AL849=""),"",(SUMPRODUCT(分期持仓明细!$B$26:$Y$26,'实盘净值数据(iFinD）'!$B849:$Y849/'实盘净值数据(iFinD）'!$B$69:$Y$69)+SUMPRODUCT(分期持仓明细!$AC$26:$AD$26,'实盘净值数据(iFinD）'!$Z849:$AA849/'实盘净值数据(iFinD）'!$Z$69:$AA$69)+SUMPRODUCT(分期持仓明细!$AE$26:$AO$26,'实盘净值数据(iFinD）'!$AB849:$AL849/'实盘净值数据(iFinD）'!$AB$69:$AL$69))*(1-实盘持仓初始配置!$Z$10)^(('实盘净值数据(iFinD）'!$A849-'实盘净值数据(iFinD）'!$A$69)/365))</f>
        <v/>
      </c>
      <c r="U849" s="16">
        <f>IF(OR(T848="",T849=""),"",T849/T848-1)</f>
        <v/>
      </c>
      <c r="V849" s="16">
        <f>IF(T849="","",T849/MAX(T$5:T849)-1)</f>
        <v/>
      </c>
    </row>
    <row r="850" spans="1:19">
      <c r="A850" s="15" t="str">
        <f>IF('实盘净值数据(iFinD）'!A850="","",'实盘净值数据(iFinD）'!A850)</f>
        <v/>
      </c>
      <c r="B850" s="13" t="str">
        <f>IF(OR('实盘净值数据(iFinD）'!$A850="",'实盘净值数据(iFinD）'!$B850=""),"",分期持仓明细!$AB$17*SUMPRODUCT(分期持仓明细!$B$17:$Y$17,'实盘净值数据(iFinD）'!$B850:$Y850/'实盘净值数据(iFinD）'!$B$20:$Y$20)*(1-实盘持仓初始配置!$Z$4)^(('实盘净值数据(iFinD）'!$A850-'实盘净值数据(iFinD）'!$A$6)/365))</f>
        <v/>
      </c>
      <c r="C850" s="16" t="str">
        <f t="shared" si="78"/>
        <v/>
      </c>
      <c r="D850" s="16" t="str">
        <f>IF(B850="","",B850/MAX(B$5:B850)-1)</f>
        <v/>
      </c>
      <c r="E850" s="13" t="str">
        <f>IF(OR('实盘净值数据(iFinD）'!$A850="",'实盘净值数据(iFinD）'!$B850=""),"",分期持仓明细!$AB$18*SUMPRODUCT(分期持仓明细!$B$18:$Y$18,'实盘净值数据(iFinD）'!$B850:$Y850/'实盘净值数据(iFinD）'!$B$20:$Y$20)*(1-实盘持仓初始配置!$Z$5)^(('实盘净值数据(iFinD）'!$A850-'实盘净值数据(iFinD）'!$A$5)/365))</f>
        <v/>
      </c>
      <c r="F850" s="16" t="str">
        <f t="shared" si="79"/>
        <v/>
      </c>
      <c r="G850" s="16" t="str">
        <f>IF(E850="","",E850/MAX(E$5:E850)-1)</f>
        <v/>
      </c>
      <c r="H850" s="13" t="str">
        <f>IF(OR('实盘净值数据(iFinD）'!$A850="",'实盘净值数据(iFinD）'!$B850=""),"",分期持仓明细!$AB$19*SUMPRODUCT(分期持仓明细!$B$19:$Y$19,'实盘净值数据(iFinD）'!$B850:$Y850/'实盘净值数据(iFinD）'!$B$20:$Y$20)*(1-实盘持仓初始配置!$Z$6)^(('实盘净值数据(iFinD）'!$A850-'实盘净值数据(iFinD）'!$A$7)/365))</f>
        <v/>
      </c>
      <c r="I850" s="16" t="str">
        <f t="shared" si="80"/>
        <v/>
      </c>
      <c r="J850" s="16" t="str">
        <f>IF(H850="","",H850/MAX(H$5:H850)-1)</f>
        <v/>
      </c>
      <c r="K850" s="13" t="str">
        <f>IF(OR('实盘净值数据(iFinD）'!$A850="",'实盘净值数据(iFinD）'!$B850="",'实盘净值数据(iFinD）'!$Z850="",'实盘净值数据(iFinD）'!$AA850=""),"",分期持仓明细!$AB$23*(SUMPRODUCT(分期持仓明细!$B$23:$Y$23,'实盘净值数据(iFinD）'!$B850:$Y850/'实盘净值数据(iFinD）'!$B$65:$Y$65)+SUMPRODUCT(分期持仓明细!$AC$23:$AD$23,'实盘净值数据(iFinD）'!$Z850:$AA850/'实盘净值数据(iFinD）'!$Z$65:$AA$65))*(1-实盘持仓初始配置!$Z$7)^(('实盘净值数据(iFinD）'!$A850-'实盘净值数据(iFinD）'!$A$8)/365))</f>
        <v/>
      </c>
      <c r="L850" s="16" t="str">
        <f t="shared" si="81"/>
        <v/>
      </c>
      <c r="M850" s="16" t="str">
        <f>IF(K850="","",K850/MAX(K$5:K850)-1)</f>
        <v/>
      </c>
      <c r="N850" s="13" t="str">
        <f>IF(OR('实盘净值数据(iFinD）'!$A850="",'实盘净值数据(iFinD）'!$B850="",'实盘净值数据(iFinD）'!$Z850="",'实盘净值数据(iFinD）'!$AA850=""),"",分期持仓明细!$AB$24*(SUMPRODUCT(分期持仓明细!$B$24:$Y$24,'实盘净值数据(iFinD）'!$B850:$Y850/'实盘净值数据(iFinD）'!$B$65:$Y$65)+SUMPRODUCT(分期持仓明细!$AC$24:$AD$24,'实盘净值数据(iFinD）'!$Z850:$AA850/'实盘净值数据(iFinD）'!$Z$65:$AA$65))*(1-实盘持仓初始配置!$Z$8)^(('实盘净值数据(iFinD）'!$A850-'实盘净值数据(iFinD）'!$A$5)/365))</f>
        <v/>
      </c>
      <c r="O850" s="16" t="str">
        <f t="shared" si="82"/>
        <v/>
      </c>
      <c r="P850" s="16" t="str">
        <f>IF(N850="","",N850/MAX(N$5:N850)-1)</f>
        <v/>
      </c>
      <c r="Q850" s="13" t="str">
        <f>IF(OR('实盘净值数据(iFinD）'!$A850="",'实盘净值数据(iFinD）'!$B850="",'实盘净值数据(iFinD）'!$Z850="",'实盘净值数据(iFinD）'!$AA850=""),"",分期持仓明细!$AB$25*(SUMPRODUCT(分期持仓明细!$B$25:$Y$25,'实盘净值数据(iFinD）'!$B850:$Y850/'实盘净值数据(iFinD）'!$B$65:$Y$65)+SUMPRODUCT(分期持仓明细!$AC$25:$AD$25,'实盘净值数据(iFinD）'!$Z850:$AA850/'实盘净值数据(iFinD）'!$Z$65:$AA$65))*(1-实盘持仓初始配置!$Z$9)^(('实盘净值数据(iFinD）'!$A850-'实盘净值数据(iFinD）'!$A$8)/365))</f>
        <v/>
      </c>
      <c r="R850" s="16" t="str">
        <f t="shared" si="83"/>
        <v/>
      </c>
      <c r="S850" s="16" t="str">
        <f>IF(Q850="","",Q850/MAX(Q$5:Q850)-1)</f>
        <v/>
      </c>
      <c r="T850" s="13">
        <f>IF(OR('实盘净值数据(iFinD）'!$A850="",'实盘净值数据(iFinD）'!$B850="",'实盘净值数据(iFinD）'!$Z850="",'实盘净值数据(iFinD）'!$AA850="",'实盘净值数据(iFinD）'!$AB850="",'实盘净值数据(iFinD）'!$AL850=""),"",(SUMPRODUCT(分期持仓明细!$B$26:$Y$26,'实盘净值数据(iFinD）'!$B850:$Y850/'实盘净值数据(iFinD）'!$B$69:$Y$69)+SUMPRODUCT(分期持仓明细!$AC$26:$AD$26,'实盘净值数据(iFinD）'!$Z850:$AA850/'实盘净值数据(iFinD）'!$Z$69:$AA$69)+SUMPRODUCT(分期持仓明细!$AE$26:$AO$26,'实盘净值数据(iFinD）'!$AB850:$AL850/'实盘净值数据(iFinD）'!$AB$69:$AL$69))*(1-实盘持仓初始配置!$Z$10)^(('实盘净值数据(iFinD）'!$A850-'实盘净值数据(iFinD）'!$A$69)/365))</f>
        <v/>
      </c>
      <c r="U850" s="16">
        <f>IF(OR(T849="",T850=""),"",T850/T849-1)</f>
        <v/>
      </c>
      <c r="V850" s="16">
        <f>IF(T850="","",T850/MAX(T$5:T850)-1)</f>
        <v/>
      </c>
    </row>
    <row r="851" spans="1:19">
      <c r="A851" s="15" t="str">
        <f>IF('实盘净值数据(iFinD）'!A851="","",'实盘净值数据(iFinD）'!A851)</f>
        <v/>
      </c>
      <c r="B851" s="13" t="str">
        <f>IF(OR('实盘净值数据(iFinD）'!$A851="",'实盘净值数据(iFinD）'!$B851=""),"",分期持仓明细!$AB$17*SUMPRODUCT(分期持仓明细!$B$17:$Y$17,'实盘净值数据(iFinD）'!$B851:$Y851/'实盘净值数据(iFinD）'!$B$20:$Y$20)*(1-实盘持仓初始配置!$Z$4)^(('实盘净值数据(iFinD）'!$A851-'实盘净值数据(iFinD）'!$A$6)/365))</f>
        <v/>
      </c>
      <c r="C851" s="16" t="str">
        <f t="shared" si="78"/>
        <v/>
      </c>
      <c r="D851" s="16" t="str">
        <f>IF(B851="","",B851/MAX(B$5:B851)-1)</f>
        <v/>
      </c>
      <c r="E851" s="13" t="str">
        <f>IF(OR('实盘净值数据(iFinD）'!$A851="",'实盘净值数据(iFinD）'!$B851=""),"",分期持仓明细!$AB$18*SUMPRODUCT(分期持仓明细!$B$18:$Y$18,'实盘净值数据(iFinD）'!$B851:$Y851/'实盘净值数据(iFinD）'!$B$20:$Y$20)*(1-实盘持仓初始配置!$Z$5)^(('实盘净值数据(iFinD）'!$A851-'实盘净值数据(iFinD）'!$A$5)/365))</f>
        <v/>
      </c>
      <c r="F851" s="16" t="str">
        <f t="shared" si="79"/>
        <v/>
      </c>
      <c r="G851" s="16" t="str">
        <f>IF(E851="","",E851/MAX(E$5:E851)-1)</f>
        <v/>
      </c>
      <c r="H851" s="13" t="str">
        <f>IF(OR('实盘净值数据(iFinD）'!$A851="",'实盘净值数据(iFinD）'!$B851=""),"",分期持仓明细!$AB$19*SUMPRODUCT(分期持仓明细!$B$19:$Y$19,'实盘净值数据(iFinD）'!$B851:$Y851/'实盘净值数据(iFinD）'!$B$20:$Y$20)*(1-实盘持仓初始配置!$Z$6)^(('实盘净值数据(iFinD）'!$A851-'实盘净值数据(iFinD）'!$A$7)/365))</f>
        <v/>
      </c>
      <c r="I851" s="16" t="str">
        <f t="shared" si="80"/>
        <v/>
      </c>
      <c r="J851" s="16" t="str">
        <f>IF(H851="","",H851/MAX(H$5:H851)-1)</f>
        <v/>
      </c>
      <c r="K851" s="13" t="str">
        <f>IF(OR('实盘净值数据(iFinD）'!$A851="",'实盘净值数据(iFinD）'!$B851="",'实盘净值数据(iFinD）'!$Z851="",'实盘净值数据(iFinD）'!$AA851=""),"",分期持仓明细!$AB$23*(SUMPRODUCT(分期持仓明细!$B$23:$Y$23,'实盘净值数据(iFinD）'!$B851:$Y851/'实盘净值数据(iFinD）'!$B$65:$Y$65)+SUMPRODUCT(分期持仓明细!$AC$23:$AD$23,'实盘净值数据(iFinD）'!$Z851:$AA851/'实盘净值数据(iFinD）'!$Z$65:$AA$65))*(1-实盘持仓初始配置!$Z$7)^(('实盘净值数据(iFinD）'!$A851-'实盘净值数据(iFinD）'!$A$8)/365))</f>
        <v/>
      </c>
      <c r="L851" s="16" t="str">
        <f t="shared" si="81"/>
        <v/>
      </c>
      <c r="M851" s="16" t="str">
        <f>IF(K851="","",K851/MAX(K$5:K851)-1)</f>
        <v/>
      </c>
      <c r="N851" s="13" t="str">
        <f>IF(OR('实盘净值数据(iFinD）'!$A851="",'实盘净值数据(iFinD）'!$B851="",'实盘净值数据(iFinD）'!$Z851="",'实盘净值数据(iFinD）'!$AA851=""),"",分期持仓明细!$AB$24*(SUMPRODUCT(分期持仓明细!$B$24:$Y$24,'实盘净值数据(iFinD）'!$B851:$Y851/'实盘净值数据(iFinD）'!$B$65:$Y$65)+SUMPRODUCT(分期持仓明细!$AC$24:$AD$24,'实盘净值数据(iFinD）'!$Z851:$AA851/'实盘净值数据(iFinD）'!$Z$65:$AA$65))*(1-实盘持仓初始配置!$Z$8)^(('实盘净值数据(iFinD）'!$A851-'实盘净值数据(iFinD）'!$A$5)/365))</f>
        <v/>
      </c>
      <c r="O851" s="16" t="str">
        <f t="shared" si="82"/>
        <v/>
      </c>
      <c r="P851" s="16" t="str">
        <f>IF(N851="","",N851/MAX(N$5:N851)-1)</f>
        <v/>
      </c>
      <c r="Q851" s="13" t="str">
        <f>IF(OR('实盘净值数据(iFinD）'!$A851="",'实盘净值数据(iFinD）'!$B851="",'实盘净值数据(iFinD）'!$Z851="",'实盘净值数据(iFinD）'!$AA851=""),"",分期持仓明细!$AB$25*(SUMPRODUCT(分期持仓明细!$B$25:$Y$25,'实盘净值数据(iFinD）'!$B851:$Y851/'实盘净值数据(iFinD）'!$B$65:$Y$65)+SUMPRODUCT(分期持仓明细!$AC$25:$AD$25,'实盘净值数据(iFinD）'!$Z851:$AA851/'实盘净值数据(iFinD）'!$Z$65:$AA$65))*(1-实盘持仓初始配置!$Z$9)^(('实盘净值数据(iFinD）'!$A851-'实盘净值数据(iFinD）'!$A$8)/365))</f>
        <v/>
      </c>
      <c r="R851" s="16" t="str">
        <f t="shared" si="83"/>
        <v/>
      </c>
      <c r="S851" s="16" t="str">
        <f>IF(Q851="","",Q851/MAX(Q$5:Q851)-1)</f>
        <v/>
      </c>
      <c r="T851" s="13">
        <f>IF(OR('实盘净值数据(iFinD）'!$A851="",'实盘净值数据(iFinD）'!$B851="",'实盘净值数据(iFinD）'!$Z851="",'实盘净值数据(iFinD）'!$AA851="",'实盘净值数据(iFinD）'!$AB851="",'实盘净值数据(iFinD）'!$AL851=""),"",(SUMPRODUCT(分期持仓明细!$B$26:$Y$26,'实盘净值数据(iFinD）'!$B851:$Y851/'实盘净值数据(iFinD）'!$B$69:$Y$69)+SUMPRODUCT(分期持仓明细!$AC$26:$AD$26,'实盘净值数据(iFinD）'!$Z851:$AA851/'实盘净值数据(iFinD）'!$Z$69:$AA$69)+SUMPRODUCT(分期持仓明细!$AE$26:$AO$26,'实盘净值数据(iFinD）'!$AB851:$AL851/'实盘净值数据(iFinD）'!$AB$69:$AL$69))*(1-实盘持仓初始配置!$Z$10)^(('实盘净值数据(iFinD）'!$A851-'实盘净值数据(iFinD）'!$A$69)/365))</f>
        <v/>
      </c>
      <c r="U851" s="16">
        <f>IF(OR(T850="",T851=""),"",T851/T850-1)</f>
        <v/>
      </c>
      <c r="V851" s="16">
        <f>IF(T851="","",T851/MAX(T$5:T851)-1)</f>
        <v/>
      </c>
    </row>
    <row r="852" spans="1:19">
      <c r="A852" s="15" t="str">
        <f>IF('实盘净值数据(iFinD）'!A852="","",'实盘净值数据(iFinD）'!A852)</f>
        <v/>
      </c>
      <c r="B852" s="13" t="str">
        <f>IF(OR('实盘净值数据(iFinD）'!$A852="",'实盘净值数据(iFinD）'!$B852=""),"",分期持仓明细!$AB$17*SUMPRODUCT(分期持仓明细!$B$17:$Y$17,'实盘净值数据(iFinD）'!$B852:$Y852/'实盘净值数据(iFinD）'!$B$20:$Y$20)*(1-实盘持仓初始配置!$Z$4)^(('实盘净值数据(iFinD）'!$A852-'实盘净值数据(iFinD）'!$A$6)/365))</f>
        <v/>
      </c>
      <c r="C852" s="16" t="str">
        <f t="shared" si="78"/>
        <v/>
      </c>
      <c r="D852" s="16" t="str">
        <f>IF(B852="","",B852/MAX(B$5:B852)-1)</f>
        <v/>
      </c>
      <c r="E852" s="13" t="str">
        <f>IF(OR('实盘净值数据(iFinD）'!$A852="",'实盘净值数据(iFinD）'!$B852=""),"",分期持仓明细!$AB$18*SUMPRODUCT(分期持仓明细!$B$18:$Y$18,'实盘净值数据(iFinD）'!$B852:$Y852/'实盘净值数据(iFinD）'!$B$20:$Y$20)*(1-实盘持仓初始配置!$Z$5)^(('实盘净值数据(iFinD）'!$A852-'实盘净值数据(iFinD）'!$A$5)/365))</f>
        <v/>
      </c>
      <c r="F852" s="16" t="str">
        <f t="shared" si="79"/>
        <v/>
      </c>
      <c r="G852" s="16" t="str">
        <f>IF(E852="","",E852/MAX(E$5:E852)-1)</f>
        <v/>
      </c>
      <c r="H852" s="13" t="str">
        <f>IF(OR('实盘净值数据(iFinD）'!$A852="",'实盘净值数据(iFinD）'!$B852=""),"",分期持仓明细!$AB$19*SUMPRODUCT(分期持仓明细!$B$19:$Y$19,'实盘净值数据(iFinD）'!$B852:$Y852/'实盘净值数据(iFinD）'!$B$20:$Y$20)*(1-实盘持仓初始配置!$Z$6)^(('实盘净值数据(iFinD）'!$A852-'实盘净值数据(iFinD）'!$A$7)/365))</f>
        <v/>
      </c>
      <c r="I852" s="16" t="str">
        <f t="shared" si="80"/>
        <v/>
      </c>
      <c r="J852" s="16" t="str">
        <f>IF(H852="","",H852/MAX(H$5:H852)-1)</f>
        <v/>
      </c>
      <c r="K852" s="13" t="str">
        <f>IF(OR('实盘净值数据(iFinD）'!$A852="",'实盘净值数据(iFinD）'!$B852="",'实盘净值数据(iFinD）'!$Z852="",'实盘净值数据(iFinD）'!$AA852=""),"",分期持仓明细!$AB$23*(SUMPRODUCT(分期持仓明细!$B$23:$Y$23,'实盘净值数据(iFinD）'!$B852:$Y852/'实盘净值数据(iFinD）'!$B$65:$Y$65)+SUMPRODUCT(分期持仓明细!$AC$23:$AD$23,'实盘净值数据(iFinD）'!$Z852:$AA852/'实盘净值数据(iFinD）'!$Z$65:$AA$65))*(1-实盘持仓初始配置!$Z$7)^(('实盘净值数据(iFinD）'!$A852-'实盘净值数据(iFinD）'!$A$8)/365))</f>
        <v/>
      </c>
      <c r="L852" s="16" t="str">
        <f t="shared" si="81"/>
        <v/>
      </c>
      <c r="M852" s="16" t="str">
        <f>IF(K852="","",K852/MAX(K$5:K852)-1)</f>
        <v/>
      </c>
      <c r="N852" s="13" t="str">
        <f>IF(OR('实盘净值数据(iFinD）'!$A852="",'实盘净值数据(iFinD）'!$B852="",'实盘净值数据(iFinD）'!$Z852="",'实盘净值数据(iFinD）'!$AA852=""),"",分期持仓明细!$AB$24*(SUMPRODUCT(分期持仓明细!$B$24:$Y$24,'实盘净值数据(iFinD）'!$B852:$Y852/'实盘净值数据(iFinD）'!$B$65:$Y$65)+SUMPRODUCT(分期持仓明细!$AC$24:$AD$24,'实盘净值数据(iFinD）'!$Z852:$AA852/'实盘净值数据(iFinD）'!$Z$65:$AA$65))*(1-实盘持仓初始配置!$Z$8)^(('实盘净值数据(iFinD）'!$A852-'实盘净值数据(iFinD）'!$A$5)/365))</f>
        <v/>
      </c>
      <c r="O852" s="16" t="str">
        <f t="shared" si="82"/>
        <v/>
      </c>
      <c r="P852" s="16" t="str">
        <f>IF(N852="","",N852/MAX(N$5:N852)-1)</f>
        <v/>
      </c>
      <c r="Q852" s="13" t="str">
        <f>IF(OR('实盘净值数据(iFinD）'!$A852="",'实盘净值数据(iFinD）'!$B852="",'实盘净值数据(iFinD）'!$Z852="",'实盘净值数据(iFinD）'!$AA852=""),"",分期持仓明细!$AB$25*(SUMPRODUCT(分期持仓明细!$B$25:$Y$25,'实盘净值数据(iFinD）'!$B852:$Y852/'实盘净值数据(iFinD）'!$B$65:$Y$65)+SUMPRODUCT(分期持仓明细!$AC$25:$AD$25,'实盘净值数据(iFinD）'!$Z852:$AA852/'实盘净值数据(iFinD）'!$Z$65:$AA$65))*(1-实盘持仓初始配置!$Z$9)^(('实盘净值数据(iFinD）'!$A852-'实盘净值数据(iFinD）'!$A$8)/365))</f>
        <v/>
      </c>
      <c r="R852" s="16" t="str">
        <f t="shared" si="83"/>
        <v/>
      </c>
      <c r="S852" s="16" t="str">
        <f>IF(Q852="","",Q852/MAX(Q$5:Q852)-1)</f>
        <v/>
      </c>
      <c r="T852" s="13">
        <f>IF(OR('实盘净值数据(iFinD）'!$A852="",'实盘净值数据(iFinD）'!$B852="",'实盘净值数据(iFinD）'!$Z852="",'实盘净值数据(iFinD）'!$AA852="",'实盘净值数据(iFinD）'!$AB852="",'实盘净值数据(iFinD）'!$AL852=""),"",(SUMPRODUCT(分期持仓明细!$B$26:$Y$26,'实盘净值数据(iFinD）'!$B852:$Y852/'实盘净值数据(iFinD）'!$B$69:$Y$69)+SUMPRODUCT(分期持仓明细!$AC$26:$AD$26,'实盘净值数据(iFinD）'!$Z852:$AA852/'实盘净值数据(iFinD）'!$Z$69:$AA$69)+SUMPRODUCT(分期持仓明细!$AE$26:$AO$26,'实盘净值数据(iFinD）'!$AB852:$AL852/'实盘净值数据(iFinD）'!$AB$69:$AL$69))*(1-实盘持仓初始配置!$Z$10)^(('实盘净值数据(iFinD）'!$A852-'实盘净值数据(iFinD）'!$A$69)/365))</f>
        <v/>
      </c>
      <c r="U852" s="16">
        <f>IF(OR(T851="",T852=""),"",T852/T851-1)</f>
        <v/>
      </c>
      <c r="V852" s="16">
        <f>IF(T852="","",T852/MAX(T$5:T852)-1)</f>
        <v/>
      </c>
    </row>
    <row r="853" spans="1:19">
      <c r="A853" s="15" t="str">
        <f>IF('实盘净值数据(iFinD）'!A853="","",'实盘净值数据(iFinD）'!A853)</f>
        <v/>
      </c>
      <c r="B853" s="13" t="str">
        <f>IF(OR('实盘净值数据(iFinD）'!$A853="",'实盘净值数据(iFinD）'!$B853=""),"",分期持仓明细!$AB$17*SUMPRODUCT(分期持仓明细!$B$17:$Y$17,'实盘净值数据(iFinD）'!$B853:$Y853/'实盘净值数据(iFinD）'!$B$20:$Y$20)*(1-实盘持仓初始配置!$Z$4)^(('实盘净值数据(iFinD）'!$A853-'实盘净值数据(iFinD）'!$A$6)/365))</f>
        <v/>
      </c>
      <c r="C853" s="16" t="str">
        <f t="shared" si="78"/>
        <v/>
      </c>
      <c r="D853" s="16" t="str">
        <f>IF(B853="","",B853/MAX(B$5:B853)-1)</f>
        <v/>
      </c>
      <c r="E853" s="13" t="str">
        <f>IF(OR('实盘净值数据(iFinD）'!$A853="",'实盘净值数据(iFinD）'!$B853=""),"",分期持仓明细!$AB$18*SUMPRODUCT(分期持仓明细!$B$18:$Y$18,'实盘净值数据(iFinD）'!$B853:$Y853/'实盘净值数据(iFinD）'!$B$20:$Y$20)*(1-实盘持仓初始配置!$Z$5)^(('实盘净值数据(iFinD）'!$A853-'实盘净值数据(iFinD）'!$A$5)/365))</f>
        <v/>
      </c>
      <c r="F853" s="16" t="str">
        <f t="shared" si="79"/>
        <v/>
      </c>
      <c r="G853" s="16" t="str">
        <f>IF(E853="","",E853/MAX(E$5:E853)-1)</f>
        <v/>
      </c>
      <c r="H853" s="13" t="str">
        <f>IF(OR('实盘净值数据(iFinD）'!$A853="",'实盘净值数据(iFinD）'!$B853=""),"",分期持仓明细!$AB$19*SUMPRODUCT(分期持仓明细!$B$19:$Y$19,'实盘净值数据(iFinD）'!$B853:$Y853/'实盘净值数据(iFinD）'!$B$20:$Y$20)*(1-实盘持仓初始配置!$Z$6)^(('实盘净值数据(iFinD）'!$A853-'实盘净值数据(iFinD）'!$A$7)/365))</f>
        <v/>
      </c>
      <c r="I853" s="16" t="str">
        <f t="shared" si="80"/>
        <v/>
      </c>
      <c r="J853" s="16" t="str">
        <f>IF(H853="","",H853/MAX(H$5:H853)-1)</f>
        <v/>
      </c>
      <c r="K853" s="13" t="str">
        <f>IF(OR('实盘净值数据(iFinD）'!$A853="",'实盘净值数据(iFinD）'!$B853="",'实盘净值数据(iFinD）'!$Z853="",'实盘净值数据(iFinD）'!$AA853=""),"",分期持仓明细!$AB$23*(SUMPRODUCT(分期持仓明细!$B$23:$Y$23,'实盘净值数据(iFinD）'!$B853:$Y853/'实盘净值数据(iFinD）'!$B$65:$Y$65)+SUMPRODUCT(分期持仓明细!$AC$23:$AD$23,'实盘净值数据(iFinD）'!$Z853:$AA853/'实盘净值数据(iFinD）'!$Z$65:$AA$65))*(1-实盘持仓初始配置!$Z$7)^(('实盘净值数据(iFinD）'!$A853-'实盘净值数据(iFinD）'!$A$8)/365))</f>
        <v/>
      </c>
      <c r="L853" s="16" t="str">
        <f t="shared" si="81"/>
        <v/>
      </c>
      <c r="M853" s="16" t="str">
        <f>IF(K853="","",K853/MAX(K$5:K853)-1)</f>
        <v/>
      </c>
      <c r="N853" s="13" t="str">
        <f>IF(OR('实盘净值数据(iFinD）'!$A853="",'实盘净值数据(iFinD）'!$B853="",'实盘净值数据(iFinD）'!$Z853="",'实盘净值数据(iFinD）'!$AA853=""),"",分期持仓明细!$AB$24*(SUMPRODUCT(分期持仓明细!$B$24:$Y$24,'实盘净值数据(iFinD）'!$B853:$Y853/'实盘净值数据(iFinD）'!$B$65:$Y$65)+SUMPRODUCT(分期持仓明细!$AC$24:$AD$24,'实盘净值数据(iFinD）'!$Z853:$AA853/'实盘净值数据(iFinD）'!$Z$65:$AA$65))*(1-实盘持仓初始配置!$Z$8)^(('实盘净值数据(iFinD）'!$A853-'实盘净值数据(iFinD）'!$A$5)/365))</f>
        <v/>
      </c>
      <c r="O853" s="16" t="str">
        <f t="shared" si="82"/>
        <v/>
      </c>
      <c r="P853" s="16" t="str">
        <f>IF(N853="","",N853/MAX(N$5:N853)-1)</f>
        <v/>
      </c>
      <c r="Q853" s="13" t="str">
        <f>IF(OR('实盘净值数据(iFinD）'!$A853="",'实盘净值数据(iFinD）'!$B853="",'实盘净值数据(iFinD）'!$Z853="",'实盘净值数据(iFinD）'!$AA853=""),"",分期持仓明细!$AB$25*(SUMPRODUCT(分期持仓明细!$B$25:$Y$25,'实盘净值数据(iFinD）'!$B853:$Y853/'实盘净值数据(iFinD）'!$B$65:$Y$65)+SUMPRODUCT(分期持仓明细!$AC$25:$AD$25,'实盘净值数据(iFinD）'!$Z853:$AA853/'实盘净值数据(iFinD）'!$Z$65:$AA$65))*(1-实盘持仓初始配置!$Z$9)^(('实盘净值数据(iFinD）'!$A853-'实盘净值数据(iFinD）'!$A$8)/365))</f>
        <v/>
      </c>
      <c r="R853" s="16" t="str">
        <f t="shared" si="83"/>
        <v/>
      </c>
      <c r="S853" s="16" t="str">
        <f>IF(Q853="","",Q853/MAX(Q$5:Q853)-1)</f>
        <v/>
      </c>
      <c r="T853" s="13">
        <f>IF(OR('实盘净值数据(iFinD）'!$A853="",'实盘净值数据(iFinD）'!$B853="",'实盘净值数据(iFinD）'!$Z853="",'实盘净值数据(iFinD）'!$AA853="",'实盘净值数据(iFinD）'!$AB853="",'实盘净值数据(iFinD）'!$AL853=""),"",(SUMPRODUCT(分期持仓明细!$B$26:$Y$26,'实盘净值数据(iFinD）'!$B853:$Y853/'实盘净值数据(iFinD）'!$B$69:$Y$69)+SUMPRODUCT(分期持仓明细!$AC$26:$AD$26,'实盘净值数据(iFinD）'!$Z853:$AA853/'实盘净值数据(iFinD）'!$Z$69:$AA$69)+SUMPRODUCT(分期持仓明细!$AE$26:$AO$26,'实盘净值数据(iFinD）'!$AB853:$AL853/'实盘净值数据(iFinD）'!$AB$69:$AL$69))*(1-实盘持仓初始配置!$Z$10)^(('实盘净值数据(iFinD）'!$A853-'实盘净值数据(iFinD）'!$A$69)/365))</f>
        <v/>
      </c>
      <c r="U853" s="16">
        <f>IF(OR(T852="",T853=""),"",T853/T852-1)</f>
        <v/>
      </c>
      <c r="V853" s="16">
        <f>IF(T853="","",T853/MAX(T$5:T853)-1)</f>
        <v/>
      </c>
    </row>
    <row r="854" spans="1:19">
      <c r="A854" s="15" t="str">
        <f>IF('实盘净值数据(iFinD）'!A854="","",'实盘净值数据(iFinD）'!A854)</f>
        <v/>
      </c>
      <c r="B854" s="13" t="str">
        <f>IF(OR('实盘净值数据(iFinD）'!$A854="",'实盘净值数据(iFinD）'!$B854=""),"",分期持仓明细!$AB$17*SUMPRODUCT(分期持仓明细!$B$17:$Y$17,'实盘净值数据(iFinD）'!$B854:$Y854/'实盘净值数据(iFinD）'!$B$20:$Y$20)*(1-实盘持仓初始配置!$Z$4)^(('实盘净值数据(iFinD）'!$A854-'实盘净值数据(iFinD）'!$A$6)/365))</f>
        <v/>
      </c>
      <c r="C854" s="16" t="str">
        <f t="shared" si="78"/>
        <v/>
      </c>
      <c r="D854" s="16" t="str">
        <f>IF(B854="","",B854/MAX(B$5:B854)-1)</f>
        <v/>
      </c>
      <c r="E854" s="13" t="str">
        <f>IF(OR('实盘净值数据(iFinD）'!$A854="",'实盘净值数据(iFinD）'!$B854=""),"",分期持仓明细!$AB$18*SUMPRODUCT(分期持仓明细!$B$18:$Y$18,'实盘净值数据(iFinD）'!$B854:$Y854/'实盘净值数据(iFinD）'!$B$20:$Y$20)*(1-实盘持仓初始配置!$Z$5)^(('实盘净值数据(iFinD）'!$A854-'实盘净值数据(iFinD）'!$A$5)/365))</f>
        <v/>
      </c>
      <c r="F854" s="16" t="str">
        <f t="shared" si="79"/>
        <v/>
      </c>
      <c r="G854" s="16" t="str">
        <f>IF(E854="","",E854/MAX(E$5:E854)-1)</f>
        <v/>
      </c>
      <c r="H854" s="13" t="str">
        <f>IF(OR('实盘净值数据(iFinD）'!$A854="",'实盘净值数据(iFinD）'!$B854=""),"",分期持仓明细!$AB$19*SUMPRODUCT(分期持仓明细!$B$19:$Y$19,'实盘净值数据(iFinD）'!$B854:$Y854/'实盘净值数据(iFinD）'!$B$20:$Y$20)*(1-实盘持仓初始配置!$Z$6)^(('实盘净值数据(iFinD）'!$A854-'实盘净值数据(iFinD）'!$A$7)/365))</f>
        <v/>
      </c>
      <c r="I854" s="16" t="str">
        <f t="shared" si="80"/>
        <v/>
      </c>
      <c r="J854" s="16" t="str">
        <f>IF(H854="","",H854/MAX(H$5:H854)-1)</f>
        <v/>
      </c>
      <c r="K854" s="13" t="str">
        <f>IF(OR('实盘净值数据(iFinD）'!$A854="",'实盘净值数据(iFinD）'!$B854="",'实盘净值数据(iFinD）'!$Z854="",'实盘净值数据(iFinD）'!$AA854=""),"",分期持仓明细!$AB$23*(SUMPRODUCT(分期持仓明细!$B$23:$Y$23,'实盘净值数据(iFinD）'!$B854:$Y854/'实盘净值数据(iFinD）'!$B$65:$Y$65)+SUMPRODUCT(分期持仓明细!$AC$23:$AD$23,'实盘净值数据(iFinD）'!$Z854:$AA854/'实盘净值数据(iFinD）'!$Z$65:$AA$65))*(1-实盘持仓初始配置!$Z$7)^(('实盘净值数据(iFinD）'!$A854-'实盘净值数据(iFinD）'!$A$8)/365))</f>
        <v/>
      </c>
      <c r="L854" s="16" t="str">
        <f t="shared" si="81"/>
        <v/>
      </c>
      <c r="M854" s="16" t="str">
        <f>IF(K854="","",K854/MAX(K$5:K854)-1)</f>
        <v/>
      </c>
      <c r="N854" s="13" t="str">
        <f>IF(OR('实盘净值数据(iFinD）'!$A854="",'实盘净值数据(iFinD）'!$B854="",'实盘净值数据(iFinD）'!$Z854="",'实盘净值数据(iFinD）'!$AA854=""),"",分期持仓明细!$AB$24*(SUMPRODUCT(分期持仓明细!$B$24:$Y$24,'实盘净值数据(iFinD）'!$B854:$Y854/'实盘净值数据(iFinD）'!$B$65:$Y$65)+SUMPRODUCT(分期持仓明细!$AC$24:$AD$24,'实盘净值数据(iFinD）'!$Z854:$AA854/'实盘净值数据(iFinD）'!$Z$65:$AA$65))*(1-实盘持仓初始配置!$Z$8)^(('实盘净值数据(iFinD）'!$A854-'实盘净值数据(iFinD）'!$A$5)/365))</f>
        <v/>
      </c>
      <c r="O854" s="16" t="str">
        <f t="shared" si="82"/>
        <v/>
      </c>
      <c r="P854" s="16" t="str">
        <f>IF(N854="","",N854/MAX(N$5:N854)-1)</f>
        <v/>
      </c>
      <c r="Q854" s="13" t="str">
        <f>IF(OR('实盘净值数据(iFinD）'!$A854="",'实盘净值数据(iFinD）'!$B854="",'实盘净值数据(iFinD）'!$Z854="",'实盘净值数据(iFinD）'!$AA854=""),"",分期持仓明细!$AB$25*(SUMPRODUCT(分期持仓明细!$B$25:$Y$25,'实盘净值数据(iFinD）'!$B854:$Y854/'实盘净值数据(iFinD）'!$B$65:$Y$65)+SUMPRODUCT(分期持仓明细!$AC$25:$AD$25,'实盘净值数据(iFinD）'!$Z854:$AA854/'实盘净值数据(iFinD）'!$Z$65:$AA$65))*(1-实盘持仓初始配置!$Z$9)^(('实盘净值数据(iFinD）'!$A854-'实盘净值数据(iFinD）'!$A$8)/365))</f>
        <v/>
      </c>
      <c r="R854" s="16" t="str">
        <f t="shared" si="83"/>
        <v/>
      </c>
      <c r="S854" s="16" t="str">
        <f>IF(Q854="","",Q854/MAX(Q$5:Q854)-1)</f>
        <v/>
      </c>
      <c r="T854" s="13">
        <f>IF(OR('实盘净值数据(iFinD）'!$A854="",'实盘净值数据(iFinD）'!$B854="",'实盘净值数据(iFinD）'!$Z854="",'实盘净值数据(iFinD）'!$AA854="",'实盘净值数据(iFinD）'!$AB854="",'实盘净值数据(iFinD）'!$AL854=""),"",(SUMPRODUCT(分期持仓明细!$B$26:$Y$26,'实盘净值数据(iFinD）'!$B854:$Y854/'实盘净值数据(iFinD）'!$B$69:$Y$69)+SUMPRODUCT(分期持仓明细!$AC$26:$AD$26,'实盘净值数据(iFinD）'!$Z854:$AA854/'实盘净值数据(iFinD）'!$Z$69:$AA$69)+SUMPRODUCT(分期持仓明细!$AE$26:$AO$26,'实盘净值数据(iFinD）'!$AB854:$AL854/'实盘净值数据(iFinD）'!$AB$69:$AL$69))*(1-实盘持仓初始配置!$Z$10)^(('实盘净值数据(iFinD）'!$A854-'实盘净值数据(iFinD）'!$A$69)/365))</f>
        <v/>
      </c>
      <c r="U854" s="16">
        <f>IF(OR(T853="",T854=""),"",T854/T853-1)</f>
        <v/>
      </c>
      <c r="V854" s="16">
        <f>IF(T854="","",T854/MAX(T$5:T854)-1)</f>
        <v/>
      </c>
    </row>
    <row r="855" spans="1:19">
      <c r="A855" s="15" t="str">
        <f>IF('实盘净值数据(iFinD）'!A855="","",'实盘净值数据(iFinD）'!A855)</f>
        <v/>
      </c>
      <c r="B855" s="13" t="str">
        <f>IF(OR('实盘净值数据(iFinD）'!$A855="",'实盘净值数据(iFinD）'!$B855=""),"",分期持仓明细!$AB$17*SUMPRODUCT(分期持仓明细!$B$17:$Y$17,'实盘净值数据(iFinD）'!$B855:$Y855/'实盘净值数据(iFinD）'!$B$20:$Y$20)*(1-实盘持仓初始配置!$Z$4)^(('实盘净值数据(iFinD）'!$A855-'实盘净值数据(iFinD）'!$A$6)/365))</f>
        <v/>
      </c>
      <c r="C855" s="16" t="str">
        <f t="shared" si="78"/>
        <v/>
      </c>
      <c r="D855" s="16" t="str">
        <f>IF(B855="","",B855/MAX(B$5:B855)-1)</f>
        <v/>
      </c>
      <c r="E855" s="13" t="str">
        <f>IF(OR('实盘净值数据(iFinD）'!$A855="",'实盘净值数据(iFinD）'!$B855=""),"",分期持仓明细!$AB$18*SUMPRODUCT(分期持仓明细!$B$18:$Y$18,'实盘净值数据(iFinD）'!$B855:$Y855/'实盘净值数据(iFinD）'!$B$20:$Y$20)*(1-实盘持仓初始配置!$Z$5)^(('实盘净值数据(iFinD）'!$A855-'实盘净值数据(iFinD）'!$A$5)/365))</f>
        <v/>
      </c>
      <c r="F855" s="16" t="str">
        <f t="shared" si="79"/>
        <v/>
      </c>
      <c r="G855" s="16" t="str">
        <f>IF(E855="","",E855/MAX(E$5:E855)-1)</f>
        <v/>
      </c>
      <c r="H855" s="13" t="str">
        <f>IF(OR('实盘净值数据(iFinD）'!$A855="",'实盘净值数据(iFinD）'!$B855=""),"",分期持仓明细!$AB$19*SUMPRODUCT(分期持仓明细!$B$19:$Y$19,'实盘净值数据(iFinD）'!$B855:$Y855/'实盘净值数据(iFinD）'!$B$20:$Y$20)*(1-实盘持仓初始配置!$Z$6)^(('实盘净值数据(iFinD）'!$A855-'实盘净值数据(iFinD）'!$A$7)/365))</f>
        <v/>
      </c>
      <c r="I855" s="16" t="str">
        <f t="shared" si="80"/>
        <v/>
      </c>
      <c r="J855" s="16" t="str">
        <f>IF(H855="","",H855/MAX(H$5:H855)-1)</f>
        <v/>
      </c>
      <c r="K855" s="13" t="str">
        <f>IF(OR('实盘净值数据(iFinD）'!$A855="",'实盘净值数据(iFinD）'!$B855="",'实盘净值数据(iFinD）'!$Z855="",'实盘净值数据(iFinD）'!$AA855=""),"",分期持仓明细!$AB$23*(SUMPRODUCT(分期持仓明细!$B$23:$Y$23,'实盘净值数据(iFinD）'!$B855:$Y855/'实盘净值数据(iFinD）'!$B$65:$Y$65)+SUMPRODUCT(分期持仓明细!$AC$23:$AD$23,'实盘净值数据(iFinD）'!$Z855:$AA855/'实盘净值数据(iFinD）'!$Z$65:$AA$65))*(1-实盘持仓初始配置!$Z$7)^(('实盘净值数据(iFinD）'!$A855-'实盘净值数据(iFinD）'!$A$8)/365))</f>
        <v/>
      </c>
      <c r="L855" s="16" t="str">
        <f t="shared" si="81"/>
        <v/>
      </c>
      <c r="M855" s="16" t="str">
        <f>IF(K855="","",K855/MAX(K$5:K855)-1)</f>
        <v/>
      </c>
      <c r="N855" s="13" t="str">
        <f>IF(OR('实盘净值数据(iFinD）'!$A855="",'实盘净值数据(iFinD）'!$B855="",'实盘净值数据(iFinD）'!$Z855="",'实盘净值数据(iFinD）'!$AA855=""),"",分期持仓明细!$AB$24*(SUMPRODUCT(分期持仓明细!$B$24:$Y$24,'实盘净值数据(iFinD）'!$B855:$Y855/'实盘净值数据(iFinD）'!$B$65:$Y$65)+SUMPRODUCT(分期持仓明细!$AC$24:$AD$24,'实盘净值数据(iFinD）'!$Z855:$AA855/'实盘净值数据(iFinD）'!$Z$65:$AA$65))*(1-实盘持仓初始配置!$Z$8)^(('实盘净值数据(iFinD）'!$A855-'实盘净值数据(iFinD）'!$A$5)/365))</f>
        <v/>
      </c>
      <c r="O855" s="16" t="str">
        <f t="shared" si="82"/>
        <v/>
      </c>
      <c r="P855" s="16" t="str">
        <f>IF(N855="","",N855/MAX(N$5:N855)-1)</f>
        <v/>
      </c>
      <c r="Q855" s="13" t="str">
        <f>IF(OR('实盘净值数据(iFinD）'!$A855="",'实盘净值数据(iFinD）'!$B855="",'实盘净值数据(iFinD）'!$Z855="",'实盘净值数据(iFinD）'!$AA855=""),"",分期持仓明细!$AB$25*(SUMPRODUCT(分期持仓明细!$B$25:$Y$25,'实盘净值数据(iFinD）'!$B855:$Y855/'实盘净值数据(iFinD）'!$B$65:$Y$65)+SUMPRODUCT(分期持仓明细!$AC$25:$AD$25,'实盘净值数据(iFinD）'!$Z855:$AA855/'实盘净值数据(iFinD）'!$Z$65:$AA$65))*(1-实盘持仓初始配置!$Z$9)^(('实盘净值数据(iFinD）'!$A855-'实盘净值数据(iFinD）'!$A$8)/365))</f>
        <v/>
      </c>
      <c r="R855" s="16" t="str">
        <f t="shared" si="83"/>
        <v/>
      </c>
      <c r="S855" s="16" t="str">
        <f>IF(Q855="","",Q855/MAX(Q$5:Q855)-1)</f>
        <v/>
      </c>
      <c r="T855" s="13">
        <f>IF(OR('实盘净值数据(iFinD）'!$A855="",'实盘净值数据(iFinD）'!$B855="",'实盘净值数据(iFinD）'!$Z855="",'实盘净值数据(iFinD）'!$AA855="",'实盘净值数据(iFinD）'!$AB855="",'实盘净值数据(iFinD）'!$AL855=""),"",(SUMPRODUCT(分期持仓明细!$B$26:$Y$26,'实盘净值数据(iFinD）'!$B855:$Y855/'实盘净值数据(iFinD）'!$B$69:$Y$69)+SUMPRODUCT(分期持仓明细!$AC$26:$AD$26,'实盘净值数据(iFinD）'!$Z855:$AA855/'实盘净值数据(iFinD）'!$Z$69:$AA$69)+SUMPRODUCT(分期持仓明细!$AE$26:$AO$26,'实盘净值数据(iFinD）'!$AB855:$AL855/'实盘净值数据(iFinD）'!$AB$69:$AL$69))*(1-实盘持仓初始配置!$Z$10)^(('实盘净值数据(iFinD）'!$A855-'实盘净值数据(iFinD）'!$A$69)/365))</f>
        <v/>
      </c>
      <c r="U855" s="16">
        <f>IF(OR(T854="",T855=""),"",T855/T854-1)</f>
        <v/>
      </c>
      <c r="V855" s="16">
        <f>IF(T855="","",T855/MAX(T$5:T855)-1)</f>
        <v/>
      </c>
    </row>
    <row r="856" spans="1:19">
      <c r="A856" s="15" t="str">
        <f>IF('实盘净值数据(iFinD）'!A856="","",'实盘净值数据(iFinD）'!A856)</f>
        <v/>
      </c>
      <c r="B856" s="13" t="str">
        <f>IF(OR('实盘净值数据(iFinD）'!$A856="",'实盘净值数据(iFinD）'!$B856=""),"",分期持仓明细!$AB$17*SUMPRODUCT(分期持仓明细!$B$17:$Y$17,'实盘净值数据(iFinD）'!$B856:$Y856/'实盘净值数据(iFinD）'!$B$20:$Y$20)*(1-实盘持仓初始配置!$Z$4)^(('实盘净值数据(iFinD）'!$A856-'实盘净值数据(iFinD）'!$A$6)/365))</f>
        <v/>
      </c>
      <c r="C856" s="16" t="str">
        <f t="shared" si="78"/>
        <v/>
      </c>
      <c r="D856" s="16" t="str">
        <f>IF(B856="","",B856/MAX(B$5:B856)-1)</f>
        <v/>
      </c>
      <c r="E856" s="13" t="str">
        <f>IF(OR('实盘净值数据(iFinD）'!$A856="",'实盘净值数据(iFinD）'!$B856=""),"",分期持仓明细!$AB$18*SUMPRODUCT(分期持仓明细!$B$18:$Y$18,'实盘净值数据(iFinD）'!$B856:$Y856/'实盘净值数据(iFinD）'!$B$20:$Y$20)*(1-实盘持仓初始配置!$Z$5)^(('实盘净值数据(iFinD）'!$A856-'实盘净值数据(iFinD）'!$A$5)/365))</f>
        <v/>
      </c>
      <c r="F856" s="16" t="str">
        <f t="shared" si="79"/>
        <v/>
      </c>
      <c r="G856" s="16" t="str">
        <f>IF(E856="","",E856/MAX(E$5:E856)-1)</f>
        <v/>
      </c>
      <c r="H856" s="13" t="str">
        <f>IF(OR('实盘净值数据(iFinD）'!$A856="",'实盘净值数据(iFinD）'!$B856=""),"",分期持仓明细!$AB$19*SUMPRODUCT(分期持仓明细!$B$19:$Y$19,'实盘净值数据(iFinD）'!$B856:$Y856/'实盘净值数据(iFinD）'!$B$20:$Y$20)*(1-实盘持仓初始配置!$Z$6)^(('实盘净值数据(iFinD）'!$A856-'实盘净值数据(iFinD）'!$A$7)/365))</f>
        <v/>
      </c>
      <c r="I856" s="16" t="str">
        <f t="shared" si="80"/>
        <v/>
      </c>
      <c r="J856" s="16" t="str">
        <f>IF(H856="","",H856/MAX(H$5:H856)-1)</f>
        <v/>
      </c>
      <c r="K856" s="13" t="str">
        <f>IF(OR('实盘净值数据(iFinD）'!$A856="",'实盘净值数据(iFinD）'!$B856="",'实盘净值数据(iFinD）'!$Z856="",'实盘净值数据(iFinD）'!$AA856=""),"",分期持仓明细!$AB$23*(SUMPRODUCT(分期持仓明细!$B$23:$Y$23,'实盘净值数据(iFinD）'!$B856:$Y856/'实盘净值数据(iFinD）'!$B$65:$Y$65)+SUMPRODUCT(分期持仓明细!$AC$23:$AD$23,'实盘净值数据(iFinD）'!$Z856:$AA856/'实盘净值数据(iFinD）'!$Z$65:$AA$65))*(1-实盘持仓初始配置!$Z$7)^(('实盘净值数据(iFinD）'!$A856-'实盘净值数据(iFinD）'!$A$8)/365))</f>
        <v/>
      </c>
      <c r="L856" s="16" t="str">
        <f t="shared" si="81"/>
        <v/>
      </c>
      <c r="M856" s="16" t="str">
        <f>IF(K856="","",K856/MAX(K$5:K856)-1)</f>
        <v/>
      </c>
      <c r="N856" s="13" t="str">
        <f>IF(OR('实盘净值数据(iFinD）'!$A856="",'实盘净值数据(iFinD）'!$B856="",'实盘净值数据(iFinD）'!$Z856="",'实盘净值数据(iFinD）'!$AA856=""),"",分期持仓明细!$AB$24*(SUMPRODUCT(分期持仓明细!$B$24:$Y$24,'实盘净值数据(iFinD）'!$B856:$Y856/'实盘净值数据(iFinD）'!$B$65:$Y$65)+SUMPRODUCT(分期持仓明细!$AC$24:$AD$24,'实盘净值数据(iFinD）'!$Z856:$AA856/'实盘净值数据(iFinD）'!$Z$65:$AA$65))*(1-实盘持仓初始配置!$Z$8)^(('实盘净值数据(iFinD）'!$A856-'实盘净值数据(iFinD）'!$A$5)/365))</f>
        <v/>
      </c>
      <c r="O856" s="16" t="str">
        <f t="shared" si="82"/>
        <v/>
      </c>
      <c r="P856" s="16" t="str">
        <f>IF(N856="","",N856/MAX(N$5:N856)-1)</f>
        <v/>
      </c>
      <c r="Q856" s="13" t="str">
        <f>IF(OR('实盘净值数据(iFinD）'!$A856="",'实盘净值数据(iFinD）'!$B856="",'实盘净值数据(iFinD）'!$Z856="",'实盘净值数据(iFinD）'!$AA856=""),"",分期持仓明细!$AB$25*(SUMPRODUCT(分期持仓明细!$B$25:$Y$25,'实盘净值数据(iFinD）'!$B856:$Y856/'实盘净值数据(iFinD）'!$B$65:$Y$65)+SUMPRODUCT(分期持仓明细!$AC$25:$AD$25,'实盘净值数据(iFinD）'!$Z856:$AA856/'实盘净值数据(iFinD）'!$Z$65:$AA$65))*(1-实盘持仓初始配置!$Z$9)^(('实盘净值数据(iFinD）'!$A856-'实盘净值数据(iFinD）'!$A$8)/365))</f>
        <v/>
      </c>
      <c r="R856" s="16" t="str">
        <f t="shared" si="83"/>
        <v/>
      </c>
      <c r="S856" s="16" t="str">
        <f>IF(Q856="","",Q856/MAX(Q$5:Q856)-1)</f>
        <v/>
      </c>
      <c r="T856" s="13">
        <f>IF(OR('实盘净值数据(iFinD）'!$A856="",'实盘净值数据(iFinD）'!$B856="",'实盘净值数据(iFinD）'!$Z856="",'实盘净值数据(iFinD）'!$AA856="",'实盘净值数据(iFinD）'!$AB856="",'实盘净值数据(iFinD）'!$AL856=""),"",(SUMPRODUCT(分期持仓明细!$B$26:$Y$26,'实盘净值数据(iFinD）'!$B856:$Y856/'实盘净值数据(iFinD）'!$B$69:$Y$69)+SUMPRODUCT(分期持仓明细!$AC$26:$AD$26,'实盘净值数据(iFinD）'!$Z856:$AA856/'实盘净值数据(iFinD）'!$Z$69:$AA$69)+SUMPRODUCT(分期持仓明细!$AE$26:$AO$26,'实盘净值数据(iFinD）'!$AB856:$AL856/'实盘净值数据(iFinD）'!$AB$69:$AL$69))*(1-实盘持仓初始配置!$Z$10)^(('实盘净值数据(iFinD）'!$A856-'实盘净值数据(iFinD）'!$A$69)/365))</f>
        <v/>
      </c>
      <c r="U856" s="16">
        <f>IF(OR(T855="",T856=""),"",T856/T855-1)</f>
        <v/>
      </c>
      <c r="V856" s="16">
        <f>IF(T856="","",T856/MAX(T$5:T856)-1)</f>
        <v/>
      </c>
    </row>
    <row r="857" spans="1:19">
      <c r="A857" s="15" t="str">
        <f>IF('实盘净值数据(iFinD）'!A857="","",'实盘净值数据(iFinD）'!A857)</f>
        <v/>
      </c>
      <c r="B857" s="13" t="str">
        <f>IF(OR('实盘净值数据(iFinD）'!$A857="",'实盘净值数据(iFinD）'!$B857=""),"",分期持仓明细!$AB$17*SUMPRODUCT(分期持仓明细!$B$17:$Y$17,'实盘净值数据(iFinD）'!$B857:$Y857/'实盘净值数据(iFinD）'!$B$20:$Y$20)*(1-实盘持仓初始配置!$Z$4)^(('实盘净值数据(iFinD）'!$A857-'实盘净值数据(iFinD）'!$A$6)/365))</f>
        <v/>
      </c>
      <c r="C857" s="16" t="str">
        <f t="shared" si="78"/>
        <v/>
      </c>
      <c r="D857" s="16" t="str">
        <f>IF(B857="","",B857/MAX(B$5:B857)-1)</f>
        <v/>
      </c>
      <c r="E857" s="13" t="str">
        <f>IF(OR('实盘净值数据(iFinD）'!$A857="",'实盘净值数据(iFinD）'!$B857=""),"",分期持仓明细!$AB$18*SUMPRODUCT(分期持仓明细!$B$18:$Y$18,'实盘净值数据(iFinD）'!$B857:$Y857/'实盘净值数据(iFinD）'!$B$20:$Y$20)*(1-实盘持仓初始配置!$Z$5)^(('实盘净值数据(iFinD）'!$A857-'实盘净值数据(iFinD）'!$A$5)/365))</f>
        <v/>
      </c>
      <c r="F857" s="16" t="str">
        <f t="shared" si="79"/>
        <v/>
      </c>
      <c r="G857" s="16" t="str">
        <f>IF(E857="","",E857/MAX(E$5:E857)-1)</f>
        <v/>
      </c>
      <c r="H857" s="13" t="str">
        <f>IF(OR('实盘净值数据(iFinD）'!$A857="",'实盘净值数据(iFinD）'!$B857=""),"",分期持仓明细!$AB$19*SUMPRODUCT(分期持仓明细!$B$19:$Y$19,'实盘净值数据(iFinD）'!$B857:$Y857/'实盘净值数据(iFinD）'!$B$20:$Y$20)*(1-实盘持仓初始配置!$Z$6)^(('实盘净值数据(iFinD）'!$A857-'实盘净值数据(iFinD）'!$A$7)/365))</f>
        <v/>
      </c>
      <c r="I857" s="16" t="str">
        <f t="shared" si="80"/>
        <v/>
      </c>
      <c r="J857" s="16" t="str">
        <f>IF(H857="","",H857/MAX(H$5:H857)-1)</f>
        <v/>
      </c>
      <c r="K857" s="13" t="str">
        <f>IF(OR('实盘净值数据(iFinD）'!$A857="",'实盘净值数据(iFinD）'!$B857="",'实盘净值数据(iFinD）'!$Z857="",'实盘净值数据(iFinD）'!$AA857=""),"",分期持仓明细!$AB$23*(SUMPRODUCT(分期持仓明细!$B$23:$Y$23,'实盘净值数据(iFinD）'!$B857:$Y857/'实盘净值数据(iFinD）'!$B$65:$Y$65)+SUMPRODUCT(分期持仓明细!$AC$23:$AD$23,'实盘净值数据(iFinD）'!$Z857:$AA857/'实盘净值数据(iFinD）'!$Z$65:$AA$65))*(1-实盘持仓初始配置!$Z$7)^(('实盘净值数据(iFinD）'!$A857-'实盘净值数据(iFinD）'!$A$8)/365))</f>
        <v/>
      </c>
      <c r="L857" s="16" t="str">
        <f t="shared" si="81"/>
        <v/>
      </c>
      <c r="M857" s="16" t="str">
        <f>IF(K857="","",K857/MAX(K$5:K857)-1)</f>
        <v/>
      </c>
      <c r="N857" s="13" t="str">
        <f>IF(OR('实盘净值数据(iFinD）'!$A857="",'实盘净值数据(iFinD）'!$B857="",'实盘净值数据(iFinD）'!$Z857="",'实盘净值数据(iFinD）'!$AA857=""),"",分期持仓明细!$AB$24*(SUMPRODUCT(分期持仓明细!$B$24:$Y$24,'实盘净值数据(iFinD）'!$B857:$Y857/'实盘净值数据(iFinD）'!$B$65:$Y$65)+SUMPRODUCT(分期持仓明细!$AC$24:$AD$24,'实盘净值数据(iFinD）'!$Z857:$AA857/'实盘净值数据(iFinD）'!$Z$65:$AA$65))*(1-实盘持仓初始配置!$Z$8)^(('实盘净值数据(iFinD）'!$A857-'实盘净值数据(iFinD）'!$A$5)/365))</f>
        <v/>
      </c>
      <c r="O857" s="16" t="str">
        <f t="shared" si="82"/>
        <v/>
      </c>
      <c r="P857" s="16" t="str">
        <f>IF(N857="","",N857/MAX(N$5:N857)-1)</f>
        <v/>
      </c>
      <c r="Q857" s="13" t="str">
        <f>IF(OR('实盘净值数据(iFinD）'!$A857="",'实盘净值数据(iFinD）'!$B857="",'实盘净值数据(iFinD）'!$Z857="",'实盘净值数据(iFinD）'!$AA857=""),"",分期持仓明细!$AB$25*(SUMPRODUCT(分期持仓明细!$B$25:$Y$25,'实盘净值数据(iFinD）'!$B857:$Y857/'实盘净值数据(iFinD）'!$B$65:$Y$65)+SUMPRODUCT(分期持仓明细!$AC$25:$AD$25,'实盘净值数据(iFinD）'!$Z857:$AA857/'实盘净值数据(iFinD）'!$Z$65:$AA$65))*(1-实盘持仓初始配置!$Z$9)^(('实盘净值数据(iFinD）'!$A857-'实盘净值数据(iFinD）'!$A$8)/365))</f>
        <v/>
      </c>
      <c r="R857" s="16" t="str">
        <f t="shared" si="83"/>
        <v/>
      </c>
      <c r="S857" s="16" t="str">
        <f>IF(Q857="","",Q857/MAX(Q$5:Q857)-1)</f>
        <v/>
      </c>
      <c r="T857" s="13">
        <f>IF(OR('实盘净值数据(iFinD）'!$A857="",'实盘净值数据(iFinD）'!$B857="",'实盘净值数据(iFinD）'!$Z857="",'实盘净值数据(iFinD）'!$AA857="",'实盘净值数据(iFinD）'!$AB857="",'实盘净值数据(iFinD）'!$AL857=""),"",(SUMPRODUCT(分期持仓明细!$B$26:$Y$26,'实盘净值数据(iFinD）'!$B857:$Y857/'实盘净值数据(iFinD）'!$B$69:$Y$69)+SUMPRODUCT(分期持仓明细!$AC$26:$AD$26,'实盘净值数据(iFinD）'!$Z857:$AA857/'实盘净值数据(iFinD）'!$Z$69:$AA$69)+SUMPRODUCT(分期持仓明细!$AE$26:$AO$26,'实盘净值数据(iFinD）'!$AB857:$AL857/'实盘净值数据(iFinD）'!$AB$69:$AL$69))*(1-实盘持仓初始配置!$Z$10)^(('实盘净值数据(iFinD）'!$A857-'实盘净值数据(iFinD）'!$A$69)/365))</f>
        <v/>
      </c>
      <c r="U857" s="16">
        <f>IF(OR(T856="",T857=""),"",T857/T856-1)</f>
        <v/>
      </c>
      <c r="V857" s="16">
        <f>IF(T857="","",T857/MAX(T$5:T857)-1)</f>
        <v/>
      </c>
    </row>
    <row r="858" spans="1:19">
      <c r="A858" s="15" t="str">
        <f>IF('实盘净值数据(iFinD）'!A858="","",'实盘净值数据(iFinD）'!A858)</f>
        <v/>
      </c>
      <c r="B858" s="13" t="str">
        <f>IF(OR('实盘净值数据(iFinD）'!$A858="",'实盘净值数据(iFinD）'!$B858=""),"",分期持仓明细!$AB$17*SUMPRODUCT(分期持仓明细!$B$17:$Y$17,'实盘净值数据(iFinD）'!$B858:$Y858/'实盘净值数据(iFinD）'!$B$20:$Y$20)*(1-实盘持仓初始配置!$Z$4)^(('实盘净值数据(iFinD）'!$A858-'实盘净值数据(iFinD）'!$A$6)/365))</f>
        <v/>
      </c>
      <c r="C858" s="16" t="str">
        <f t="shared" si="78"/>
        <v/>
      </c>
      <c r="D858" s="16" t="str">
        <f>IF(B858="","",B858/MAX(B$5:B858)-1)</f>
        <v/>
      </c>
      <c r="E858" s="13" t="str">
        <f>IF(OR('实盘净值数据(iFinD）'!$A858="",'实盘净值数据(iFinD）'!$B858=""),"",分期持仓明细!$AB$18*SUMPRODUCT(分期持仓明细!$B$18:$Y$18,'实盘净值数据(iFinD）'!$B858:$Y858/'实盘净值数据(iFinD）'!$B$20:$Y$20)*(1-实盘持仓初始配置!$Z$5)^(('实盘净值数据(iFinD）'!$A858-'实盘净值数据(iFinD）'!$A$5)/365))</f>
        <v/>
      </c>
      <c r="F858" s="16" t="str">
        <f t="shared" si="79"/>
        <v/>
      </c>
      <c r="G858" s="16" t="str">
        <f>IF(E858="","",E858/MAX(E$5:E858)-1)</f>
        <v/>
      </c>
      <c r="H858" s="13" t="str">
        <f>IF(OR('实盘净值数据(iFinD）'!$A858="",'实盘净值数据(iFinD）'!$B858=""),"",分期持仓明细!$AB$19*SUMPRODUCT(分期持仓明细!$B$19:$Y$19,'实盘净值数据(iFinD）'!$B858:$Y858/'实盘净值数据(iFinD）'!$B$20:$Y$20)*(1-实盘持仓初始配置!$Z$6)^(('实盘净值数据(iFinD）'!$A858-'实盘净值数据(iFinD）'!$A$7)/365))</f>
        <v/>
      </c>
      <c r="I858" s="16" t="str">
        <f t="shared" si="80"/>
        <v/>
      </c>
      <c r="J858" s="16" t="str">
        <f>IF(H858="","",H858/MAX(H$5:H858)-1)</f>
        <v/>
      </c>
      <c r="K858" s="13" t="str">
        <f>IF(OR('实盘净值数据(iFinD）'!$A858="",'实盘净值数据(iFinD）'!$B858="",'实盘净值数据(iFinD）'!$Z858="",'实盘净值数据(iFinD）'!$AA858=""),"",分期持仓明细!$AB$23*(SUMPRODUCT(分期持仓明细!$B$23:$Y$23,'实盘净值数据(iFinD）'!$B858:$Y858/'实盘净值数据(iFinD）'!$B$65:$Y$65)+SUMPRODUCT(分期持仓明细!$AC$23:$AD$23,'实盘净值数据(iFinD）'!$Z858:$AA858/'实盘净值数据(iFinD）'!$Z$65:$AA$65))*(1-实盘持仓初始配置!$Z$7)^(('实盘净值数据(iFinD）'!$A858-'实盘净值数据(iFinD）'!$A$8)/365))</f>
        <v/>
      </c>
      <c r="L858" s="16" t="str">
        <f t="shared" si="81"/>
        <v/>
      </c>
      <c r="M858" s="16" t="str">
        <f>IF(K858="","",K858/MAX(K$5:K858)-1)</f>
        <v/>
      </c>
      <c r="N858" s="13" t="str">
        <f>IF(OR('实盘净值数据(iFinD）'!$A858="",'实盘净值数据(iFinD）'!$B858="",'实盘净值数据(iFinD）'!$Z858="",'实盘净值数据(iFinD）'!$AA858=""),"",分期持仓明细!$AB$24*(SUMPRODUCT(分期持仓明细!$B$24:$Y$24,'实盘净值数据(iFinD）'!$B858:$Y858/'实盘净值数据(iFinD）'!$B$65:$Y$65)+SUMPRODUCT(分期持仓明细!$AC$24:$AD$24,'实盘净值数据(iFinD）'!$Z858:$AA858/'实盘净值数据(iFinD）'!$Z$65:$AA$65))*(1-实盘持仓初始配置!$Z$8)^(('实盘净值数据(iFinD）'!$A858-'实盘净值数据(iFinD）'!$A$5)/365))</f>
        <v/>
      </c>
      <c r="O858" s="16" t="str">
        <f t="shared" si="82"/>
        <v/>
      </c>
      <c r="P858" s="16" t="str">
        <f>IF(N858="","",N858/MAX(N$5:N858)-1)</f>
        <v/>
      </c>
      <c r="Q858" s="13" t="str">
        <f>IF(OR('实盘净值数据(iFinD）'!$A858="",'实盘净值数据(iFinD）'!$B858="",'实盘净值数据(iFinD）'!$Z858="",'实盘净值数据(iFinD）'!$AA858=""),"",分期持仓明细!$AB$25*(SUMPRODUCT(分期持仓明细!$B$25:$Y$25,'实盘净值数据(iFinD）'!$B858:$Y858/'实盘净值数据(iFinD）'!$B$65:$Y$65)+SUMPRODUCT(分期持仓明细!$AC$25:$AD$25,'实盘净值数据(iFinD）'!$Z858:$AA858/'实盘净值数据(iFinD）'!$Z$65:$AA$65))*(1-实盘持仓初始配置!$Z$9)^(('实盘净值数据(iFinD）'!$A858-'实盘净值数据(iFinD）'!$A$8)/365))</f>
        <v/>
      </c>
      <c r="R858" s="16" t="str">
        <f t="shared" si="83"/>
        <v/>
      </c>
      <c r="S858" s="16" t="str">
        <f>IF(Q858="","",Q858/MAX(Q$5:Q858)-1)</f>
        <v/>
      </c>
      <c r="T858" s="13">
        <f>IF(OR('实盘净值数据(iFinD）'!$A858="",'实盘净值数据(iFinD）'!$B858="",'实盘净值数据(iFinD）'!$Z858="",'实盘净值数据(iFinD）'!$AA858="",'实盘净值数据(iFinD）'!$AB858="",'实盘净值数据(iFinD）'!$AL858=""),"",(SUMPRODUCT(分期持仓明细!$B$26:$Y$26,'实盘净值数据(iFinD）'!$B858:$Y858/'实盘净值数据(iFinD）'!$B$69:$Y$69)+SUMPRODUCT(分期持仓明细!$AC$26:$AD$26,'实盘净值数据(iFinD）'!$Z858:$AA858/'实盘净值数据(iFinD）'!$Z$69:$AA$69)+SUMPRODUCT(分期持仓明细!$AE$26:$AO$26,'实盘净值数据(iFinD）'!$AB858:$AL858/'实盘净值数据(iFinD）'!$AB$69:$AL$69))*(1-实盘持仓初始配置!$Z$10)^(('实盘净值数据(iFinD）'!$A858-'实盘净值数据(iFinD）'!$A$69)/365))</f>
        <v/>
      </c>
      <c r="U858" s="16">
        <f>IF(OR(T857="",T858=""),"",T858/T857-1)</f>
        <v/>
      </c>
      <c r="V858" s="16">
        <f>IF(T858="","",T858/MAX(T$5:T858)-1)</f>
        <v/>
      </c>
    </row>
    <row r="859" spans="1:19">
      <c r="A859" s="15" t="str">
        <f>IF('实盘净值数据(iFinD）'!A859="","",'实盘净值数据(iFinD）'!A859)</f>
        <v/>
      </c>
      <c r="B859" s="13" t="str">
        <f>IF(OR('实盘净值数据(iFinD）'!$A859="",'实盘净值数据(iFinD）'!$B859=""),"",分期持仓明细!$AB$17*SUMPRODUCT(分期持仓明细!$B$17:$Y$17,'实盘净值数据(iFinD）'!$B859:$Y859/'实盘净值数据(iFinD）'!$B$20:$Y$20)*(1-实盘持仓初始配置!$Z$4)^(('实盘净值数据(iFinD）'!$A859-'实盘净值数据(iFinD）'!$A$6)/365))</f>
        <v/>
      </c>
      <c r="C859" s="16" t="str">
        <f t="shared" si="78"/>
        <v/>
      </c>
      <c r="D859" s="16" t="str">
        <f>IF(B859="","",B859/MAX(B$5:B859)-1)</f>
        <v/>
      </c>
      <c r="E859" s="13" t="str">
        <f>IF(OR('实盘净值数据(iFinD）'!$A859="",'实盘净值数据(iFinD）'!$B859=""),"",分期持仓明细!$AB$18*SUMPRODUCT(分期持仓明细!$B$18:$Y$18,'实盘净值数据(iFinD）'!$B859:$Y859/'实盘净值数据(iFinD）'!$B$20:$Y$20)*(1-实盘持仓初始配置!$Z$5)^(('实盘净值数据(iFinD）'!$A859-'实盘净值数据(iFinD）'!$A$5)/365))</f>
        <v/>
      </c>
      <c r="F859" s="16" t="str">
        <f t="shared" si="79"/>
        <v/>
      </c>
      <c r="G859" s="16" t="str">
        <f>IF(E859="","",E859/MAX(E$5:E859)-1)</f>
        <v/>
      </c>
      <c r="H859" s="13" t="str">
        <f>IF(OR('实盘净值数据(iFinD）'!$A859="",'实盘净值数据(iFinD）'!$B859=""),"",分期持仓明细!$AB$19*SUMPRODUCT(分期持仓明细!$B$19:$Y$19,'实盘净值数据(iFinD）'!$B859:$Y859/'实盘净值数据(iFinD）'!$B$20:$Y$20)*(1-实盘持仓初始配置!$Z$6)^(('实盘净值数据(iFinD）'!$A859-'实盘净值数据(iFinD）'!$A$7)/365))</f>
        <v/>
      </c>
      <c r="I859" s="16" t="str">
        <f t="shared" si="80"/>
        <v/>
      </c>
      <c r="J859" s="16" t="str">
        <f>IF(H859="","",H859/MAX(H$5:H859)-1)</f>
        <v/>
      </c>
      <c r="K859" s="13" t="str">
        <f>IF(OR('实盘净值数据(iFinD）'!$A859="",'实盘净值数据(iFinD）'!$B859="",'实盘净值数据(iFinD）'!$Z859="",'实盘净值数据(iFinD）'!$AA859=""),"",分期持仓明细!$AB$23*(SUMPRODUCT(分期持仓明细!$B$23:$Y$23,'实盘净值数据(iFinD）'!$B859:$Y859/'实盘净值数据(iFinD）'!$B$65:$Y$65)+SUMPRODUCT(分期持仓明细!$AC$23:$AD$23,'实盘净值数据(iFinD）'!$Z859:$AA859/'实盘净值数据(iFinD）'!$Z$65:$AA$65))*(1-实盘持仓初始配置!$Z$7)^(('实盘净值数据(iFinD）'!$A859-'实盘净值数据(iFinD）'!$A$8)/365))</f>
        <v/>
      </c>
      <c r="L859" s="16" t="str">
        <f t="shared" si="81"/>
        <v/>
      </c>
      <c r="M859" s="16" t="str">
        <f>IF(K859="","",K859/MAX(K$5:K859)-1)</f>
        <v/>
      </c>
      <c r="N859" s="13" t="str">
        <f>IF(OR('实盘净值数据(iFinD）'!$A859="",'实盘净值数据(iFinD）'!$B859="",'实盘净值数据(iFinD）'!$Z859="",'实盘净值数据(iFinD）'!$AA859=""),"",分期持仓明细!$AB$24*(SUMPRODUCT(分期持仓明细!$B$24:$Y$24,'实盘净值数据(iFinD）'!$B859:$Y859/'实盘净值数据(iFinD）'!$B$65:$Y$65)+SUMPRODUCT(分期持仓明细!$AC$24:$AD$24,'实盘净值数据(iFinD）'!$Z859:$AA859/'实盘净值数据(iFinD）'!$Z$65:$AA$65))*(1-实盘持仓初始配置!$Z$8)^(('实盘净值数据(iFinD）'!$A859-'实盘净值数据(iFinD）'!$A$5)/365))</f>
        <v/>
      </c>
      <c r="O859" s="16" t="str">
        <f t="shared" si="82"/>
        <v/>
      </c>
      <c r="P859" s="16" t="str">
        <f>IF(N859="","",N859/MAX(N$5:N859)-1)</f>
        <v/>
      </c>
      <c r="Q859" s="13" t="str">
        <f>IF(OR('实盘净值数据(iFinD）'!$A859="",'实盘净值数据(iFinD）'!$B859="",'实盘净值数据(iFinD）'!$Z859="",'实盘净值数据(iFinD）'!$AA859=""),"",分期持仓明细!$AB$25*(SUMPRODUCT(分期持仓明细!$B$25:$Y$25,'实盘净值数据(iFinD）'!$B859:$Y859/'实盘净值数据(iFinD）'!$B$65:$Y$65)+SUMPRODUCT(分期持仓明细!$AC$25:$AD$25,'实盘净值数据(iFinD）'!$Z859:$AA859/'实盘净值数据(iFinD）'!$Z$65:$AA$65))*(1-实盘持仓初始配置!$Z$9)^(('实盘净值数据(iFinD）'!$A859-'实盘净值数据(iFinD）'!$A$8)/365))</f>
        <v/>
      </c>
      <c r="R859" s="16" t="str">
        <f t="shared" si="83"/>
        <v/>
      </c>
      <c r="S859" s="16" t="str">
        <f>IF(Q859="","",Q859/MAX(Q$5:Q859)-1)</f>
        <v/>
      </c>
      <c r="T859" s="13">
        <f>IF(OR('实盘净值数据(iFinD）'!$A859="",'实盘净值数据(iFinD）'!$B859="",'实盘净值数据(iFinD）'!$Z859="",'实盘净值数据(iFinD）'!$AA859="",'实盘净值数据(iFinD）'!$AB859="",'实盘净值数据(iFinD）'!$AL859=""),"",(SUMPRODUCT(分期持仓明细!$B$26:$Y$26,'实盘净值数据(iFinD）'!$B859:$Y859/'实盘净值数据(iFinD）'!$B$69:$Y$69)+SUMPRODUCT(分期持仓明细!$AC$26:$AD$26,'实盘净值数据(iFinD）'!$Z859:$AA859/'实盘净值数据(iFinD）'!$Z$69:$AA$69)+SUMPRODUCT(分期持仓明细!$AE$26:$AO$26,'实盘净值数据(iFinD）'!$AB859:$AL859/'实盘净值数据(iFinD）'!$AB$69:$AL$69))*(1-实盘持仓初始配置!$Z$10)^(('实盘净值数据(iFinD）'!$A859-'实盘净值数据(iFinD）'!$A$69)/365))</f>
        <v/>
      </c>
      <c r="U859" s="16">
        <f>IF(OR(T858="",T859=""),"",T859/T858-1)</f>
        <v/>
      </c>
      <c r="V859" s="16">
        <f>IF(T859="","",T859/MAX(T$5:T859)-1)</f>
        <v/>
      </c>
    </row>
    <row r="860" spans="1:19">
      <c r="A860" s="15" t="str">
        <f>IF('实盘净值数据(iFinD）'!A860="","",'实盘净值数据(iFinD）'!A860)</f>
        <v/>
      </c>
      <c r="B860" s="13" t="str">
        <f>IF(OR('实盘净值数据(iFinD）'!$A860="",'实盘净值数据(iFinD）'!$B860=""),"",分期持仓明细!$AB$17*SUMPRODUCT(分期持仓明细!$B$17:$Y$17,'实盘净值数据(iFinD）'!$B860:$Y860/'实盘净值数据(iFinD）'!$B$20:$Y$20)*(1-实盘持仓初始配置!$Z$4)^(('实盘净值数据(iFinD）'!$A860-'实盘净值数据(iFinD）'!$A$6)/365))</f>
        <v/>
      </c>
      <c r="C860" s="16" t="str">
        <f t="shared" si="78"/>
        <v/>
      </c>
      <c r="D860" s="16" t="str">
        <f>IF(B860="","",B860/MAX(B$5:B860)-1)</f>
        <v/>
      </c>
      <c r="E860" s="13" t="str">
        <f>IF(OR('实盘净值数据(iFinD）'!$A860="",'实盘净值数据(iFinD）'!$B860=""),"",分期持仓明细!$AB$18*SUMPRODUCT(分期持仓明细!$B$18:$Y$18,'实盘净值数据(iFinD）'!$B860:$Y860/'实盘净值数据(iFinD）'!$B$20:$Y$20)*(1-实盘持仓初始配置!$Z$5)^(('实盘净值数据(iFinD）'!$A860-'实盘净值数据(iFinD）'!$A$5)/365))</f>
        <v/>
      </c>
      <c r="F860" s="16" t="str">
        <f t="shared" si="79"/>
        <v/>
      </c>
      <c r="G860" s="16" t="str">
        <f>IF(E860="","",E860/MAX(E$5:E860)-1)</f>
        <v/>
      </c>
      <c r="H860" s="13" t="str">
        <f>IF(OR('实盘净值数据(iFinD）'!$A860="",'实盘净值数据(iFinD）'!$B860=""),"",分期持仓明细!$AB$19*SUMPRODUCT(分期持仓明细!$B$19:$Y$19,'实盘净值数据(iFinD）'!$B860:$Y860/'实盘净值数据(iFinD）'!$B$20:$Y$20)*(1-实盘持仓初始配置!$Z$6)^(('实盘净值数据(iFinD）'!$A860-'实盘净值数据(iFinD）'!$A$7)/365))</f>
        <v/>
      </c>
      <c r="I860" s="16" t="str">
        <f t="shared" si="80"/>
        <v/>
      </c>
      <c r="J860" s="16" t="str">
        <f>IF(H860="","",H860/MAX(H$5:H860)-1)</f>
        <v/>
      </c>
      <c r="K860" s="13" t="str">
        <f>IF(OR('实盘净值数据(iFinD）'!$A860="",'实盘净值数据(iFinD）'!$B860="",'实盘净值数据(iFinD）'!$Z860="",'实盘净值数据(iFinD）'!$AA860=""),"",分期持仓明细!$AB$23*(SUMPRODUCT(分期持仓明细!$B$23:$Y$23,'实盘净值数据(iFinD）'!$B860:$Y860/'实盘净值数据(iFinD）'!$B$65:$Y$65)+SUMPRODUCT(分期持仓明细!$AC$23:$AD$23,'实盘净值数据(iFinD）'!$Z860:$AA860/'实盘净值数据(iFinD）'!$Z$65:$AA$65))*(1-实盘持仓初始配置!$Z$7)^(('实盘净值数据(iFinD）'!$A860-'实盘净值数据(iFinD）'!$A$8)/365))</f>
        <v/>
      </c>
      <c r="L860" s="16" t="str">
        <f t="shared" si="81"/>
        <v/>
      </c>
      <c r="M860" s="16" t="str">
        <f>IF(K860="","",K860/MAX(K$5:K860)-1)</f>
        <v/>
      </c>
      <c r="N860" s="13" t="str">
        <f>IF(OR('实盘净值数据(iFinD）'!$A860="",'实盘净值数据(iFinD）'!$B860="",'实盘净值数据(iFinD）'!$Z860="",'实盘净值数据(iFinD）'!$AA860=""),"",分期持仓明细!$AB$24*(SUMPRODUCT(分期持仓明细!$B$24:$Y$24,'实盘净值数据(iFinD）'!$B860:$Y860/'实盘净值数据(iFinD）'!$B$65:$Y$65)+SUMPRODUCT(分期持仓明细!$AC$24:$AD$24,'实盘净值数据(iFinD）'!$Z860:$AA860/'实盘净值数据(iFinD）'!$Z$65:$AA$65))*(1-实盘持仓初始配置!$Z$8)^(('实盘净值数据(iFinD）'!$A860-'实盘净值数据(iFinD）'!$A$5)/365))</f>
        <v/>
      </c>
      <c r="O860" s="16" t="str">
        <f t="shared" si="82"/>
        <v/>
      </c>
      <c r="P860" s="16" t="str">
        <f>IF(N860="","",N860/MAX(N$5:N860)-1)</f>
        <v/>
      </c>
      <c r="Q860" s="13" t="str">
        <f>IF(OR('实盘净值数据(iFinD）'!$A860="",'实盘净值数据(iFinD）'!$B860="",'实盘净值数据(iFinD）'!$Z860="",'实盘净值数据(iFinD）'!$AA860=""),"",分期持仓明细!$AB$25*(SUMPRODUCT(分期持仓明细!$B$25:$Y$25,'实盘净值数据(iFinD）'!$B860:$Y860/'实盘净值数据(iFinD）'!$B$65:$Y$65)+SUMPRODUCT(分期持仓明细!$AC$25:$AD$25,'实盘净值数据(iFinD）'!$Z860:$AA860/'实盘净值数据(iFinD）'!$Z$65:$AA$65))*(1-实盘持仓初始配置!$Z$9)^(('实盘净值数据(iFinD）'!$A860-'实盘净值数据(iFinD）'!$A$8)/365))</f>
        <v/>
      </c>
      <c r="R860" s="16" t="str">
        <f t="shared" si="83"/>
        <v/>
      </c>
      <c r="S860" s="16" t="str">
        <f>IF(Q860="","",Q860/MAX(Q$5:Q860)-1)</f>
        <v/>
      </c>
      <c r="T860" s="13">
        <f>IF(OR('实盘净值数据(iFinD）'!$A860="",'实盘净值数据(iFinD）'!$B860="",'实盘净值数据(iFinD）'!$Z860="",'实盘净值数据(iFinD）'!$AA860="",'实盘净值数据(iFinD）'!$AB860="",'实盘净值数据(iFinD）'!$AL860=""),"",(SUMPRODUCT(分期持仓明细!$B$26:$Y$26,'实盘净值数据(iFinD）'!$B860:$Y860/'实盘净值数据(iFinD）'!$B$69:$Y$69)+SUMPRODUCT(分期持仓明细!$AC$26:$AD$26,'实盘净值数据(iFinD）'!$Z860:$AA860/'实盘净值数据(iFinD）'!$Z$69:$AA$69)+SUMPRODUCT(分期持仓明细!$AE$26:$AO$26,'实盘净值数据(iFinD）'!$AB860:$AL860/'实盘净值数据(iFinD）'!$AB$69:$AL$69))*(1-实盘持仓初始配置!$Z$10)^(('实盘净值数据(iFinD）'!$A860-'实盘净值数据(iFinD）'!$A$69)/365))</f>
        <v/>
      </c>
      <c r="U860" s="16">
        <f>IF(OR(T859="",T860=""),"",T860/T859-1)</f>
        <v/>
      </c>
      <c r="V860" s="16">
        <f>IF(T860="","",T860/MAX(T$5:T860)-1)</f>
        <v/>
      </c>
    </row>
    <row r="861" spans="1:19">
      <c r="A861" s="15" t="str">
        <f>IF('实盘净值数据(iFinD）'!A861="","",'实盘净值数据(iFinD）'!A861)</f>
        <v/>
      </c>
      <c r="B861" s="13" t="str">
        <f>IF(OR('实盘净值数据(iFinD）'!$A861="",'实盘净值数据(iFinD）'!$B861=""),"",分期持仓明细!$AB$17*SUMPRODUCT(分期持仓明细!$B$17:$Y$17,'实盘净值数据(iFinD）'!$B861:$Y861/'实盘净值数据(iFinD）'!$B$20:$Y$20)*(1-实盘持仓初始配置!$Z$4)^(('实盘净值数据(iFinD）'!$A861-'实盘净值数据(iFinD）'!$A$6)/365))</f>
        <v/>
      </c>
      <c r="C861" s="16" t="str">
        <f t="shared" si="78"/>
        <v/>
      </c>
      <c r="D861" s="16" t="str">
        <f>IF(B861="","",B861/MAX(B$5:B861)-1)</f>
        <v/>
      </c>
      <c r="E861" s="13" t="str">
        <f>IF(OR('实盘净值数据(iFinD）'!$A861="",'实盘净值数据(iFinD）'!$B861=""),"",分期持仓明细!$AB$18*SUMPRODUCT(分期持仓明细!$B$18:$Y$18,'实盘净值数据(iFinD）'!$B861:$Y861/'实盘净值数据(iFinD）'!$B$20:$Y$20)*(1-实盘持仓初始配置!$Z$5)^(('实盘净值数据(iFinD）'!$A861-'实盘净值数据(iFinD）'!$A$5)/365))</f>
        <v/>
      </c>
      <c r="F861" s="16" t="str">
        <f t="shared" si="79"/>
        <v/>
      </c>
      <c r="G861" s="16" t="str">
        <f>IF(E861="","",E861/MAX(E$5:E861)-1)</f>
        <v/>
      </c>
      <c r="H861" s="13" t="str">
        <f>IF(OR('实盘净值数据(iFinD）'!$A861="",'实盘净值数据(iFinD）'!$B861=""),"",分期持仓明细!$AB$19*SUMPRODUCT(分期持仓明细!$B$19:$Y$19,'实盘净值数据(iFinD）'!$B861:$Y861/'实盘净值数据(iFinD）'!$B$20:$Y$20)*(1-实盘持仓初始配置!$Z$6)^(('实盘净值数据(iFinD）'!$A861-'实盘净值数据(iFinD）'!$A$7)/365))</f>
        <v/>
      </c>
      <c r="I861" s="16" t="str">
        <f t="shared" si="80"/>
        <v/>
      </c>
      <c r="J861" s="16" t="str">
        <f>IF(H861="","",H861/MAX(H$5:H861)-1)</f>
        <v/>
      </c>
      <c r="K861" s="13" t="str">
        <f>IF(OR('实盘净值数据(iFinD）'!$A861="",'实盘净值数据(iFinD）'!$B861="",'实盘净值数据(iFinD）'!$Z861="",'实盘净值数据(iFinD）'!$AA861=""),"",分期持仓明细!$AB$23*(SUMPRODUCT(分期持仓明细!$B$23:$Y$23,'实盘净值数据(iFinD）'!$B861:$Y861/'实盘净值数据(iFinD）'!$B$65:$Y$65)+SUMPRODUCT(分期持仓明细!$AC$23:$AD$23,'实盘净值数据(iFinD）'!$Z861:$AA861/'实盘净值数据(iFinD）'!$Z$65:$AA$65))*(1-实盘持仓初始配置!$Z$7)^(('实盘净值数据(iFinD）'!$A861-'实盘净值数据(iFinD）'!$A$8)/365))</f>
        <v/>
      </c>
      <c r="L861" s="16" t="str">
        <f t="shared" si="81"/>
        <v/>
      </c>
      <c r="M861" s="16" t="str">
        <f>IF(K861="","",K861/MAX(K$5:K861)-1)</f>
        <v/>
      </c>
      <c r="N861" s="13" t="str">
        <f>IF(OR('实盘净值数据(iFinD）'!$A861="",'实盘净值数据(iFinD）'!$B861="",'实盘净值数据(iFinD）'!$Z861="",'实盘净值数据(iFinD）'!$AA861=""),"",分期持仓明细!$AB$24*(SUMPRODUCT(分期持仓明细!$B$24:$Y$24,'实盘净值数据(iFinD）'!$B861:$Y861/'实盘净值数据(iFinD）'!$B$65:$Y$65)+SUMPRODUCT(分期持仓明细!$AC$24:$AD$24,'实盘净值数据(iFinD）'!$Z861:$AA861/'实盘净值数据(iFinD）'!$Z$65:$AA$65))*(1-实盘持仓初始配置!$Z$8)^(('实盘净值数据(iFinD）'!$A861-'实盘净值数据(iFinD）'!$A$5)/365))</f>
        <v/>
      </c>
      <c r="O861" s="16" t="str">
        <f t="shared" si="82"/>
        <v/>
      </c>
      <c r="P861" s="16" t="str">
        <f>IF(N861="","",N861/MAX(N$5:N861)-1)</f>
        <v/>
      </c>
      <c r="Q861" s="13" t="str">
        <f>IF(OR('实盘净值数据(iFinD）'!$A861="",'实盘净值数据(iFinD）'!$B861="",'实盘净值数据(iFinD）'!$Z861="",'实盘净值数据(iFinD）'!$AA861=""),"",分期持仓明细!$AB$25*(SUMPRODUCT(分期持仓明细!$B$25:$Y$25,'实盘净值数据(iFinD）'!$B861:$Y861/'实盘净值数据(iFinD）'!$B$65:$Y$65)+SUMPRODUCT(分期持仓明细!$AC$25:$AD$25,'实盘净值数据(iFinD）'!$Z861:$AA861/'实盘净值数据(iFinD）'!$Z$65:$AA$65))*(1-实盘持仓初始配置!$Z$9)^(('实盘净值数据(iFinD）'!$A861-'实盘净值数据(iFinD）'!$A$8)/365))</f>
        <v/>
      </c>
      <c r="R861" s="16" t="str">
        <f t="shared" si="83"/>
        <v/>
      </c>
      <c r="S861" s="16" t="str">
        <f>IF(Q861="","",Q861/MAX(Q$5:Q861)-1)</f>
        <v/>
      </c>
      <c r="T861" s="13">
        <f>IF(OR('实盘净值数据(iFinD）'!$A861="",'实盘净值数据(iFinD）'!$B861="",'实盘净值数据(iFinD）'!$Z861="",'实盘净值数据(iFinD）'!$AA861="",'实盘净值数据(iFinD）'!$AB861="",'实盘净值数据(iFinD）'!$AL861=""),"",(SUMPRODUCT(分期持仓明细!$B$26:$Y$26,'实盘净值数据(iFinD）'!$B861:$Y861/'实盘净值数据(iFinD）'!$B$69:$Y$69)+SUMPRODUCT(分期持仓明细!$AC$26:$AD$26,'实盘净值数据(iFinD）'!$Z861:$AA861/'实盘净值数据(iFinD）'!$Z$69:$AA$69)+SUMPRODUCT(分期持仓明细!$AE$26:$AO$26,'实盘净值数据(iFinD）'!$AB861:$AL861/'实盘净值数据(iFinD）'!$AB$69:$AL$69))*(1-实盘持仓初始配置!$Z$10)^(('实盘净值数据(iFinD）'!$A861-'实盘净值数据(iFinD）'!$A$69)/365))</f>
        <v/>
      </c>
      <c r="U861" s="16">
        <f>IF(OR(T860="",T861=""),"",T861/T860-1)</f>
        <v/>
      </c>
      <c r="V861" s="16">
        <f>IF(T861="","",T861/MAX(T$5:T861)-1)</f>
        <v/>
      </c>
    </row>
    <row r="862" spans="1:19">
      <c r="A862" s="15" t="str">
        <f>IF('实盘净值数据(iFinD）'!A862="","",'实盘净值数据(iFinD）'!A862)</f>
        <v/>
      </c>
      <c r="B862" s="13" t="str">
        <f>IF(OR('实盘净值数据(iFinD）'!$A862="",'实盘净值数据(iFinD）'!$B862=""),"",分期持仓明细!$AB$17*SUMPRODUCT(分期持仓明细!$B$17:$Y$17,'实盘净值数据(iFinD）'!$B862:$Y862/'实盘净值数据(iFinD）'!$B$20:$Y$20)*(1-实盘持仓初始配置!$Z$4)^(('实盘净值数据(iFinD）'!$A862-'实盘净值数据(iFinD）'!$A$6)/365))</f>
        <v/>
      </c>
      <c r="C862" s="16" t="str">
        <f t="shared" si="78"/>
        <v/>
      </c>
      <c r="D862" s="16" t="str">
        <f>IF(B862="","",B862/MAX(B$5:B862)-1)</f>
        <v/>
      </c>
      <c r="E862" s="13" t="str">
        <f>IF(OR('实盘净值数据(iFinD）'!$A862="",'实盘净值数据(iFinD）'!$B862=""),"",分期持仓明细!$AB$18*SUMPRODUCT(分期持仓明细!$B$18:$Y$18,'实盘净值数据(iFinD）'!$B862:$Y862/'实盘净值数据(iFinD）'!$B$20:$Y$20)*(1-实盘持仓初始配置!$Z$5)^(('实盘净值数据(iFinD）'!$A862-'实盘净值数据(iFinD）'!$A$5)/365))</f>
        <v/>
      </c>
      <c r="F862" s="16" t="str">
        <f t="shared" si="79"/>
        <v/>
      </c>
      <c r="G862" s="16" t="str">
        <f>IF(E862="","",E862/MAX(E$5:E862)-1)</f>
        <v/>
      </c>
      <c r="H862" s="13" t="str">
        <f>IF(OR('实盘净值数据(iFinD）'!$A862="",'实盘净值数据(iFinD）'!$B862=""),"",分期持仓明细!$AB$19*SUMPRODUCT(分期持仓明细!$B$19:$Y$19,'实盘净值数据(iFinD）'!$B862:$Y862/'实盘净值数据(iFinD）'!$B$20:$Y$20)*(1-实盘持仓初始配置!$Z$6)^(('实盘净值数据(iFinD）'!$A862-'实盘净值数据(iFinD）'!$A$7)/365))</f>
        <v/>
      </c>
      <c r="I862" s="16" t="str">
        <f t="shared" si="80"/>
        <v/>
      </c>
      <c r="J862" s="16" t="str">
        <f>IF(H862="","",H862/MAX(H$5:H862)-1)</f>
        <v/>
      </c>
      <c r="K862" s="13" t="str">
        <f>IF(OR('实盘净值数据(iFinD）'!$A862="",'实盘净值数据(iFinD）'!$B862="",'实盘净值数据(iFinD）'!$Z862="",'实盘净值数据(iFinD）'!$AA862=""),"",分期持仓明细!$AB$23*(SUMPRODUCT(分期持仓明细!$B$23:$Y$23,'实盘净值数据(iFinD）'!$B862:$Y862/'实盘净值数据(iFinD）'!$B$65:$Y$65)+SUMPRODUCT(分期持仓明细!$AC$23:$AD$23,'实盘净值数据(iFinD）'!$Z862:$AA862/'实盘净值数据(iFinD）'!$Z$65:$AA$65))*(1-实盘持仓初始配置!$Z$7)^(('实盘净值数据(iFinD）'!$A862-'实盘净值数据(iFinD）'!$A$8)/365))</f>
        <v/>
      </c>
      <c r="L862" s="16" t="str">
        <f t="shared" si="81"/>
        <v/>
      </c>
      <c r="M862" s="16" t="str">
        <f>IF(K862="","",K862/MAX(K$5:K862)-1)</f>
        <v/>
      </c>
      <c r="N862" s="13" t="str">
        <f>IF(OR('实盘净值数据(iFinD）'!$A862="",'实盘净值数据(iFinD）'!$B862="",'实盘净值数据(iFinD）'!$Z862="",'实盘净值数据(iFinD）'!$AA862=""),"",分期持仓明细!$AB$24*(SUMPRODUCT(分期持仓明细!$B$24:$Y$24,'实盘净值数据(iFinD）'!$B862:$Y862/'实盘净值数据(iFinD）'!$B$65:$Y$65)+SUMPRODUCT(分期持仓明细!$AC$24:$AD$24,'实盘净值数据(iFinD）'!$Z862:$AA862/'实盘净值数据(iFinD）'!$Z$65:$AA$65))*(1-实盘持仓初始配置!$Z$8)^(('实盘净值数据(iFinD）'!$A862-'实盘净值数据(iFinD）'!$A$5)/365))</f>
        <v/>
      </c>
      <c r="O862" s="16" t="str">
        <f t="shared" si="82"/>
        <v/>
      </c>
      <c r="P862" s="16" t="str">
        <f>IF(N862="","",N862/MAX(N$5:N862)-1)</f>
        <v/>
      </c>
      <c r="Q862" s="13" t="str">
        <f>IF(OR('实盘净值数据(iFinD）'!$A862="",'实盘净值数据(iFinD）'!$B862="",'实盘净值数据(iFinD）'!$Z862="",'实盘净值数据(iFinD）'!$AA862=""),"",分期持仓明细!$AB$25*(SUMPRODUCT(分期持仓明细!$B$25:$Y$25,'实盘净值数据(iFinD）'!$B862:$Y862/'实盘净值数据(iFinD）'!$B$65:$Y$65)+SUMPRODUCT(分期持仓明细!$AC$25:$AD$25,'实盘净值数据(iFinD）'!$Z862:$AA862/'实盘净值数据(iFinD）'!$Z$65:$AA$65))*(1-实盘持仓初始配置!$Z$9)^(('实盘净值数据(iFinD）'!$A862-'实盘净值数据(iFinD）'!$A$8)/365))</f>
        <v/>
      </c>
      <c r="R862" s="16" t="str">
        <f t="shared" si="83"/>
        <v/>
      </c>
      <c r="S862" s="16" t="str">
        <f>IF(Q862="","",Q862/MAX(Q$5:Q862)-1)</f>
        <v/>
      </c>
      <c r="T862" s="13">
        <f>IF(OR('实盘净值数据(iFinD）'!$A862="",'实盘净值数据(iFinD）'!$B862="",'实盘净值数据(iFinD）'!$Z862="",'实盘净值数据(iFinD）'!$AA862="",'实盘净值数据(iFinD）'!$AB862="",'实盘净值数据(iFinD）'!$AL862=""),"",(SUMPRODUCT(分期持仓明细!$B$26:$Y$26,'实盘净值数据(iFinD）'!$B862:$Y862/'实盘净值数据(iFinD）'!$B$69:$Y$69)+SUMPRODUCT(分期持仓明细!$AC$26:$AD$26,'实盘净值数据(iFinD）'!$Z862:$AA862/'实盘净值数据(iFinD）'!$Z$69:$AA$69)+SUMPRODUCT(分期持仓明细!$AE$26:$AO$26,'实盘净值数据(iFinD）'!$AB862:$AL862/'实盘净值数据(iFinD）'!$AB$69:$AL$69))*(1-实盘持仓初始配置!$Z$10)^(('实盘净值数据(iFinD）'!$A862-'实盘净值数据(iFinD）'!$A$69)/365))</f>
        <v/>
      </c>
      <c r="U862" s="16">
        <f>IF(OR(T861="",T862=""),"",T862/T861-1)</f>
        <v/>
      </c>
      <c r="V862" s="16">
        <f>IF(T862="","",T862/MAX(T$5:T862)-1)</f>
        <v/>
      </c>
    </row>
    <row r="863" spans="1:19">
      <c r="A863" s="15" t="str">
        <f>IF('实盘净值数据(iFinD）'!A863="","",'实盘净值数据(iFinD）'!A863)</f>
        <v/>
      </c>
      <c r="B863" s="13" t="str">
        <f>IF(OR('实盘净值数据(iFinD）'!$A863="",'实盘净值数据(iFinD）'!$B863=""),"",分期持仓明细!$AB$17*SUMPRODUCT(分期持仓明细!$B$17:$Y$17,'实盘净值数据(iFinD）'!$B863:$Y863/'实盘净值数据(iFinD）'!$B$20:$Y$20)*(1-实盘持仓初始配置!$Z$4)^(('实盘净值数据(iFinD）'!$A863-'实盘净值数据(iFinD）'!$A$6)/365))</f>
        <v/>
      </c>
      <c r="C863" s="16" t="str">
        <f t="shared" si="78"/>
        <v/>
      </c>
      <c r="D863" s="16" t="str">
        <f>IF(B863="","",B863/MAX(B$5:B863)-1)</f>
        <v/>
      </c>
      <c r="E863" s="13" t="str">
        <f>IF(OR('实盘净值数据(iFinD）'!$A863="",'实盘净值数据(iFinD）'!$B863=""),"",分期持仓明细!$AB$18*SUMPRODUCT(分期持仓明细!$B$18:$Y$18,'实盘净值数据(iFinD）'!$B863:$Y863/'实盘净值数据(iFinD）'!$B$20:$Y$20)*(1-实盘持仓初始配置!$Z$5)^(('实盘净值数据(iFinD）'!$A863-'实盘净值数据(iFinD）'!$A$5)/365))</f>
        <v/>
      </c>
      <c r="F863" s="16" t="str">
        <f t="shared" si="79"/>
        <v/>
      </c>
      <c r="G863" s="16" t="str">
        <f>IF(E863="","",E863/MAX(E$5:E863)-1)</f>
        <v/>
      </c>
      <c r="H863" s="13" t="str">
        <f>IF(OR('实盘净值数据(iFinD）'!$A863="",'实盘净值数据(iFinD）'!$B863=""),"",分期持仓明细!$AB$19*SUMPRODUCT(分期持仓明细!$B$19:$Y$19,'实盘净值数据(iFinD）'!$B863:$Y863/'实盘净值数据(iFinD）'!$B$20:$Y$20)*(1-实盘持仓初始配置!$Z$6)^(('实盘净值数据(iFinD）'!$A863-'实盘净值数据(iFinD）'!$A$7)/365))</f>
        <v/>
      </c>
      <c r="I863" s="16" t="str">
        <f t="shared" si="80"/>
        <v/>
      </c>
      <c r="J863" s="16" t="str">
        <f>IF(H863="","",H863/MAX(H$5:H863)-1)</f>
        <v/>
      </c>
      <c r="K863" s="13" t="str">
        <f>IF(OR('实盘净值数据(iFinD）'!$A863="",'实盘净值数据(iFinD）'!$B863="",'实盘净值数据(iFinD）'!$Z863="",'实盘净值数据(iFinD）'!$AA863=""),"",分期持仓明细!$AB$23*(SUMPRODUCT(分期持仓明细!$B$23:$Y$23,'实盘净值数据(iFinD）'!$B863:$Y863/'实盘净值数据(iFinD）'!$B$65:$Y$65)+SUMPRODUCT(分期持仓明细!$AC$23:$AD$23,'实盘净值数据(iFinD）'!$Z863:$AA863/'实盘净值数据(iFinD）'!$Z$65:$AA$65))*(1-实盘持仓初始配置!$Z$7)^(('实盘净值数据(iFinD）'!$A863-'实盘净值数据(iFinD）'!$A$8)/365))</f>
        <v/>
      </c>
      <c r="L863" s="16" t="str">
        <f t="shared" si="81"/>
        <v/>
      </c>
      <c r="M863" s="16" t="str">
        <f>IF(K863="","",K863/MAX(K$5:K863)-1)</f>
        <v/>
      </c>
      <c r="N863" s="13" t="str">
        <f>IF(OR('实盘净值数据(iFinD）'!$A863="",'实盘净值数据(iFinD）'!$B863="",'实盘净值数据(iFinD）'!$Z863="",'实盘净值数据(iFinD）'!$AA863=""),"",分期持仓明细!$AB$24*(SUMPRODUCT(分期持仓明细!$B$24:$Y$24,'实盘净值数据(iFinD）'!$B863:$Y863/'实盘净值数据(iFinD）'!$B$65:$Y$65)+SUMPRODUCT(分期持仓明细!$AC$24:$AD$24,'实盘净值数据(iFinD）'!$Z863:$AA863/'实盘净值数据(iFinD）'!$Z$65:$AA$65))*(1-实盘持仓初始配置!$Z$8)^(('实盘净值数据(iFinD）'!$A863-'实盘净值数据(iFinD）'!$A$5)/365))</f>
        <v/>
      </c>
      <c r="O863" s="16" t="str">
        <f t="shared" si="82"/>
        <v/>
      </c>
      <c r="P863" s="16" t="str">
        <f>IF(N863="","",N863/MAX(N$5:N863)-1)</f>
        <v/>
      </c>
      <c r="Q863" s="13" t="str">
        <f>IF(OR('实盘净值数据(iFinD）'!$A863="",'实盘净值数据(iFinD）'!$B863="",'实盘净值数据(iFinD）'!$Z863="",'实盘净值数据(iFinD）'!$AA863=""),"",分期持仓明细!$AB$25*(SUMPRODUCT(分期持仓明细!$B$25:$Y$25,'实盘净值数据(iFinD）'!$B863:$Y863/'实盘净值数据(iFinD）'!$B$65:$Y$65)+SUMPRODUCT(分期持仓明细!$AC$25:$AD$25,'实盘净值数据(iFinD）'!$Z863:$AA863/'实盘净值数据(iFinD）'!$Z$65:$AA$65))*(1-实盘持仓初始配置!$Z$9)^(('实盘净值数据(iFinD）'!$A863-'实盘净值数据(iFinD）'!$A$8)/365))</f>
        <v/>
      </c>
      <c r="R863" s="16" t="str">
        <f t="shared" si="83"/>
        <v/>
      </c>
      <c r="S863" s="16" t="str">
        <f>IF(Q863="","",Q863/MAX(Q$5:Q863)-1)</f>
        <v/>
      </c>
      <c r="T863" s="13">
        <f>IF(OR('实盘净值数据(iFinD）'!$A863="",'实盘净值数据(iFinD）'!$B863="",'实盘净值数据(iFinD）'!$Z863="",'实盘净值数据(iFinD）'!$AA863="",'实盘净值数据(iFinD）'!$AB863="",'实盘净值数据(iFinD）'!$AL863=""),"",(SUMPRODUCT(分期持仓明细!$B$26:$Y$26,'实盘净值数据(iFinD）'!$B863:$Y863/'实盘净值数据(iFinD）'!$B$69:$Y$69)+SUMPRODUCT(分期持仓明细!$AC$26:$AD$26,'实盘净值数据(iFinD）'!$Z863:$AA863/'实盘净值数据(iFinD）'!$Z$69:$AA$69)+SUMPRODUCT(分期持仓明细!$AE$26:$AO$26,'实盘净值数据(iFinD）'!$AB863:$AL863/'实盘净值数据(iFinD）'!$AB$69:$AL$69))*(1-实盘持仓初始配置!$Z$10)^(('实盘净值数据(iFinD）'!$A863-'实盘净值数据(iFinD）'!$A$69)/365))</f>
        <v/>
      </c>
      <c r="U863" s="16">
        <f>IF(OR(T862="",T863=""),"",T863/T862-1)</f>
        <v/>
      </c>
      <c r="V863" s="16">
        <f>IF(T863="","",T863/MAX(T$5:T863)-1)</f>
        <v/>
      </c>
    </row>
    <row r="864" spans="1:19">
      <c r="A864" s="15" t="str">
        <f>IF('实盘净值数据(iFinD）'!A864="","",'实盘净值数据(iFinD）'!A864)</f>
        <v/>
      </c>
      <c r="B864" s="13" t="str">
        <f>IF(OR('实盘净值数据(iFinD）'!$A864="",'实盘净值数据(iFinD）'!$B864=""),"",分期持仓明细!$AB$17*SUMPRODUCT(分期持仓明细!$B$17:$Y$17,'实盘净值数据(iFinD）'!$B864:$Y864/'实盘净值数据(iFinD）'!$B$20:$Y$20)*(1-实盘持仓初始配置!$Z$4)^(('实盘净值数据(iFinD）'!$A864-'实盘净值数据(iFinD）'!$A$6)/365))</f>
        <v/>
      </c>
      <c r="C864" s="16" t="str">
        <f t="shared" si="78"/>
        <v/>
      </c>
      <c r="D864" s="16" t="str">
        <f>IF(B864="","",B864/MAX(B$5:B864)-1)</f>
        <v/>
      </c>
      <c r="E864" s="13" t="str">
        <f>IF(OR('实盘净值数据(iFinD）'!$A864="",'实盘净值数据(iFinD）'!$B864=""),"",分期持仓明细!$AB$18*SUMPRODUCT(分期持仓明细!$B$18:$Y$18,'实盘净值数据(iFinD）'!$B864:$Y864/'实盘净值数据(iFinD）'!$B$20:$Y$20)*(1-实盘持仓初始配置!$Z$5)^(('实盘净值数据(iFinD）'!$A864-'实盘净值数据(iFinD）'!$A$5)/365))</f>
        <v/>
      </c>
      <c r="F864" s="16" t="str">
        <f t="shared" si="79"/>
        <v/>
      </c>
      <c r="G864" s="16" t="str">
        <f>IF(E864="","",E864/MAX(E$5:E864)-1)</f>
        <v/>
      </c>
      <c r="H864" s="13" t="str">
        <f>IF(OR('实盘净值数据(iFinD）'!$A864="",'实盘净值数据(iFinD）'!$B864=""),"",分期持仓明细!$AB$19*SUMPRODUCT(分期持仓明细!$B$19:$Y$19,'实盘净值数据(iFinD）'!$B864:$Y864/'实盘净值数据(iFinD）'!$B$20:$Y$20)*(1-实盘持仓初始配置!$Z$6)^(('实盘净值数据(iFinD）'!$A864-'实盘净值数据(iFinD）'!$A$7)/365))</f>
        <v/>
      </c>
      <c r="I864" s="16" t="str">
        <f t="shared" si="80"/>
        <v/>
      </c>
      <c r="J864" s="16" t="str">
        <f>IF(H864="","",H864/MAX(H$5:H864)-1)</f>
        <v/>
      </c>
      <c r="K864" s="13" t="str">
        <f>IF(OR('实盘净值数据(iFinD）'!$A864="",'实盘净值数据(iFinD）'!$B864="",'实盘净值数据(iFinD）'!$Z864="",'实盘净值数据(iFinD）'!$AA864=""),"",分期持仓明细!$AB$23*(SUMPRODUCT(分期持仓明细!$B$23:$Y$23,'实盘净值数据(iFinD）'!$B864:$Y864/'实盘净值数据(iFinD）'!$B$65:$Y$65)+SUMPRODUCT(分期持仓明细!$AC$23:$AD$23,'实盘净值数据(iFinD）'!$Z864:$AA864/'实盘净值数据(iFinD）'!$Z$65:$AA$65))*(1-实盘持仓初始配置!$Z$7)^(('实盘净值数据(iFinD）'!$A864-'实盘净值数据(iFinD）'!$A$8)/365))</f>
        <v/>
      </c>
      <c r="L864" s="16" t="str">
        <f t="shared" si="81"/>
        <v/>
      </c>
      <c r="M864" s="16" t="str">
        <f>IF(K864="","",K864/MAX(K$5:K864)-1)</f>
        <v/>
      </c>
      <c r="N864" s="13" t="str">
        <f>IF(OR('实盘净值数据(iFinD）'!$A864="",'实盘净值数据(iFinD）'!$B864="",'实盘净值数据(iFinD）'!$Z864="",'实盘净值数据(iFinD）'!$AA864=""),"",分期持仓明细!$AB$24*(SUMPRODUCT(分期持仓明细!$B$24:$Y$24,'实盘净值数据(iFinD）'!$B864:$Y864/'实盘净值数据(iFinD）'!$B$65:$Y$65)+SUMPRODUCT(分期持仓明细!$AC$24:$AD$24,'实盘净值数据(iFinD）'!$Z864:$AA864/'实盘净值数据(iFinD）'!$Z$65:$AA$65))*(1-实盘持仓初始配置!$Z$8)^(('实盘净值数据(iFinD）'!$A864-'实盘净值数据(iFinD）'!$A$5)/365))</f>
        <v/>
      </c>
      <c r="O864" s="16" t="str">
        <f t="shared" si="82"/>
        <v/>
      </c>
      <c r="P864" s="16" t="str">
        <f>IF(N864="","",N864/MAX(N$5:N864)-1)</f>
        <v/>
      </c>
      <c r="Q864" s="13" t="str">
        <f>IF(OR('实盘净值数据(iFinD）'!$A864="",'实盘净值数据(iFinD）'!$B864="",'实盘净值数据(iFinD）'!$Z864="",'实盘净值数据(iFinD）'!$AA864=""),"",分期持仓明细!$AB$25*(SUMPRODUCT(分期持仓明细!$B$25:$Y$25,'实盘净值数据(iFinD）'!$B864:$Y864/'实盘净值数据(iFinD）'!$B$65:$Y$65)+SUMPRODUCT(分期持仓明细!$AC$25:$AD$25,'实盘净值数据(iFinD）'!$Z864:$AA864/'实盘净值数据(iFinD）'!$Z$65:$AA$65))*(1-实盘持仓初始配置!$Z$9)^(('实盘净值数据(iFinD）'!$A864-'实盘净值数据(iFinD）'!$A$8)/365))</f>
        <v/>
      </c>
      <c r="R864" s="16" t="str">
        <f t="shared" si="83"/>
        <v/>
      </c>
      <c r="S864" s="16" t="str">
        <f>IF(Q864="","",Q864/MAX(Q$5:Q864)-1)</f>
        <v/>
      </c>
      <c r="T864" s="13">
        <f>IF(OR('实盘净值数据(iFinD）'!$A864="",'实盘净值数据(iFinD）'!$B864="",'实盘净值数据(iFinD）'!$Z864="",'实盘净值数据(iFinD）'!$AA864="",'实盘净值数据(iFinD）'!$AB864="",'实盘净值数据(iFinD）'!$AL864=""),"",(SUMPRODUCT(分期持仓明细!$B$26:$Y$26,'实盘净值数据(iFinD）'!$B864:$Y864/'实盘净值数据(iFinD）'!$B$69:$Y$69)+SUMPRODUCT(分期持仓明细!$AC$26:$AD$26,'实盘净值数据(iFinD）'!$Z864:$AA864/'实盘净值数据(iFinD）'!$Z$69:$AA$69)+SUMPRODUCT(分期持仓明细!$AE$26:$AO$26,'实盘净值数据(iFinD）'!$AB864:$AL864/'实盘净值数据(iFinD）'!$AB$69:$AL$69))*(1-实盘持仓初始配置!$Z$10)^(('实盘净值数据(iFinD）'!$A864-'实盘净值数据(iFinD）'!$A$69)/365))</f>
        <v/>
      </c>
      <c r="U864" s="16">
        <f>IF(OR(T863="",T864=""),"",T864/T863-1)</f>
        <v/>
      </c>
      <c r="V864" s="16">
        <f>IF(T864="","",T864/MAX(T$5:T864)-1)</f>
        <v/>
      </c>
    </row>
    <row r="865" spans="1:19">
      <c r="A865" s="15" t="str">
        <f>IF('实盘净值数据(iFinD）'!A865="","",'实盘净值数据(iFinD）'!A865)</f>
        <v/>
      </c>
      <c r="B865" s="13" t="str">
        <f>IF(OR('实盘净值数据(iFinD）'!$A865="",'实盘净值数据(iFinD）'!$B865=""),"",分期持仓明细!$AB$17*SUMPRODUCT(分期持仓明细!$B$17:$Y$17,'实盘净值数据(iFinD）'!$B865:$Y865/'实盘净值数据(iFinD）'!$B$20:$Y$20)*(1-实盘持仓初始配置!$Z$4)^(('实盘净值数据(iFinD）'!$A865-'实盘净值数据(iFinD）'!$A$6)/365))</f>
        <v/>
      </c>
      <c r="C865" s="16" t="str">
        <f t="shared" si="78"/>
        <v/>
      </c>
      <c r="D865" s="16" t="str">
        <f>IF(B865="","",B865/MAX(B$5:B865)-1)</f>
        <v/>
      </c>
      <c r="E865" s="13" t="str">
        <f>IF(OR('实盘净值数据(iFinD）'!$A865="",'实盘净值数据(iFinD）'!$B865=""),"",分期持仓明细!$AB$18*SUMPRODUCT(分期持仓明细!$B$18:$Y$18,'实盘净值数据(iFinD）'!$B865:$Y865/'实盘净值数据(iFinD）'!$B$20:$Y$20)*(1-实盘持仓初始配置!$Z$5)^(('实盘净值数据(iFinD）'!$A865-'实盘净值数据(iFinD）'!$A$5)/365))</f>
        <v/>
      </c>
      <c r="F865" s="16" t="str">
        <f t="shared" si="79"/>
        <v/>
      </c>
      <c r="G865" s="16" t="str">
        <f>IF(E865="","",E865/MAX(E$5:E865)-1)</f>
        <v/>
      </c>
      <c r="H865" s="13" t="str">
        <f>IF(OR('实盘净值数据(iFinD）'!$A865="",'实盘净值数据(iFinD）'!$B865=""),"",分期持仓明细!$AB$19*SUMPRODUCT(分期持仓明细!$B$19:$Y$19,'实盘净值数据(iFinD）'!$B865:$Y865/'实盘净值数据(iFinD）'!$B$20:$Y$20)*(1-实盘持仓初始配置!$Z$6)^(('实盘净值数据(iFinD）'!$A865-'实盘净值数据(iFinD）'!$A$7)/365))</f>
        <v/>
      </c>
      <c r="I865" s="16" t="str">
        <f t="shared" si="80"/>
        <v/>
      </c>
      <c r="J865" s="16" t="str">
        <f>IF(H865="","",H865/MAX(H$5:H865)-1)</f>
        <v/>
      </c>
      <c r="K865" s="13" t="str">
        <f>IF(OR('实盘净值数据(iFinD）'!$A865="",'实盘净值数据(iFinD）'!$B865="",'实盘净值数据(iFinD）'!$Z865="",'实盘净值数据(iFinD）'!$AA865=""),"",分期持仓明细!$AB$23*(SUMPRODUCT(分期持仓明细!$B$23:$Y$23,'实盘净值数据(iFinD）'!$B865:$Y865/'实盘净值数据(iFinD）'!$B$65:$Y$65)+SUMPRODUCT(分期持仓明细!$AC$23:$AD$23,'实盘净值数据(iFinD）'!$Z865:$AA865/'实盘净值数据(iFinD）'!$Z$65:$AA$65))*(1-实盘持仓初始配置!$Z$7)^(('实盘净值数据(iFinD）'!$A865-'实盘净值数据(iFinD）'!$A$8)/365))</f>
        <v/>
      </c>
      <c r="L865" s="16" t="str">
        <f t="shared" si="81"/>
        <v/>
      </c>
      <c r="M865" s="16" t="str">
        <f>IF(K865="","",K865/MAX(K$5:K865)-1)</f>
        <v/>
      </c>
      <c r="N865" s="13" t="str">
        <f>IF(OR('实盘净值数据(iFinD）'!$A865="",'实盘净值数据(iFinD）'!$B865="",'实盘净值数据(iFinD）'!$Z865="",'实盘净值数据(iFinD）'!$AA865=""),"",分期持仓明细!$AB$24*(SUMPRODUCT(分期持仓明细!$B$24:$Y$24,'实盘净值数据(iFinD）'!$B865:$Y865/'实盘净值数据(iFinD）'!$B$65:$Y$65)+SUMPRODUCT(分期持仓明细!$AC$24:$AD$24,'实盘净值数据(iFinD）'!$Z865:$AA865/'实盘净值数据(iFinD）'!$Z$65:$AA$65))*(1-实盘持仓初始配置!$Z$8)^(('实盘净值数据(iFinD）'!$A865-'实盘净值数据(iFinD）'!$A$5)/365))</f>
        <v/>
      </c>
      <c r="O865" s="16" t="str">
        <f t="shared" si="82"/>
        <v/>
      </c>
      <c r="P865" s="16" t="str">
        <f>IF(N865="","",N865/MAX(N$5:N865)-1)</f>
        <v/>
      </c>
      <c r="Q865" s="13" t="str">
        <f>IF(OR('实盘净值数据(iFinD）'!$A865="",'实盘净值数据(iFinD）'!$B865="",'实盘净值数据(iFinD）'!$Z865="",'实盘净值数据(iFinD）'!$AA865=""),"",分期持仓明细!$AB$25*(SUMPRODUCT(分期持仓明细!$B$25:$Y$25,'实盘净值数据(iFinD）'!$B865:$Y865/'实盘净值数据(iFinD）'!$B$65:$Y$65)+SUMPRODUCT(分期持仓明细!$AC$25:$AD$25,'实盘净值数据(iFinD）'!$Z865:$AA865/'实盘净值数据(iFinD）'!$Z$65:$AA$65))*(1-实盘持仓初始配置!$Z$9)^(('实盘净值数据(iFinD）'!$A865-'实盘净值数据(iFinD）'!$A$8)/365))</f>
        <v/>
      </c>
      <c r="R865" s="16" t="str">
        <f t="shared" si="83"/>
        <v/>
      </c>
      <c r="S865" s="16" t="str">
        <f>IF(Q865="","",Q865/MAX(Q$5:Q865)-1)</f>
        <v/>
      </c>
      <c r="T865" s="13">
        <f>IF(OR('实盘净值数据(iFinD）'!$A865="",'实盘净值数据(iFinD）'!$B865="",'实盘净值数据(iFinD）'!$Z865="",'实盘净值数据(iFinD）'!$AA865="",'实盘净值数据(iFinD）'!$AB865="",'实盘净值数据(iFinD）'!$AL865=""),"",(SUMPRODUCT(分期持仓明细!$B$26:$Y$26,'实盘净值数据(iFinD）'!$B865:$Y865/'实盘净值数据(iFinD）'!$B$69:$Y$69)+SUMPRODUCT(分期持仓明细!$AC$26:$AD$26,'实盘净值数据(iFinD）'!$Z865:$AA865/'实盘净值数据(iFinD）'!$Z$69:$AA$69)+SUMPRODUCT(分期持仓明细!$AE$26:$AO$26,'实盘净值数据(iFinD）'!$AB865:$AL865/'实盘净值数据(iFinD）'!$AB$69:$AL$69))*(1-实盘持仓初始配置!$Z$10)^(('实盘净值数据(iFinD）'!$A865-'实盘净值数据(iFinD）'!$A$69)/365))</f>
        <v/>
      </c>
      <c r="U865" s="16">
        <f>IF(OR(T864="",T865=""),"",T865/T864-1)</f>
        <v/>
      </c>
      <c r="V865" s="16">
        <f>IF(T865="","",T865/MAX(T$5:T865)-1)</f>
        <v/>
      </c>
    </row>
    <row r="866" spans="1:19">
      <c r="A866" s="15" t="str">
        <f>IF('实盘净值数据(iFinD）'!A866="","",'实盘净值数据(iFinD）'!A866)</f>
        <v/>
      </c>
      <c r="B866" s="13" t="str">
        <f>IF(OR('实盘净值数据(iFinD）'!$A866="",'实盘净值数据(iFinD）'!$B866=""),"",分期持仓明细!$AB$17*SUMPRODUCT(分期持仓明细!$B$17:$Y$17,'实盘净值数据(iFinD）'!$B866:$Y866/'实盘净值数据(iFinD）'!$B$20:$Y$20)*(1-实盘持仓初始配置!$Z$4)^(('实盘净值数据(iFinD）'!$A866-'实盘净值数据(iFinD）'!$A$6)/365))</f>
        <v/>
      </c>
      <c r="C866" s="16" t="str">
        <f t="shared" si="78"/>
        <v/>
      </c>
      <c r="D866" s="16" t="str">
        <f>IF(B866="","",B866/MAX(B$5:B866)-1)</f>
        <v/>
      </c>
      <c r="E866" s="13" t="str">
        <f>IF(OR('实盘净值数据(iFinD）'!$A866="",'实盘净值数据(iFinD）'!$B866=""),"",分期持仓明细!$AB$18*SUMPRODUCT(分期持仓明细!$B$18:$Y$18,'实盘净值数据(iFinD）'!$B866:$Y866/'实盘净值数据(iFinD）'!$B$20:$Y$20)*(1-实盘持仓初始配置!$Z$5)^(('实盘净值数据(iFinD）'!$A866-'实盘净值数据(iFinD）'!$A$5)/365))</f>
        <v/>
      </c>
      <c r="F866" s="16" t="str">
        <f t="shared" si="79"/>
        <v/>
      </c>
      <c r="G866" s="16" t="str">
        <f>IF(E866="","",E866/MAX(E$5:E866)-1)</f>
        <v/>
      </c>
      <c r="H866" s="13" t="str">
        <f>IF(OR('实盘净值数据(iFinD）'!$A866="",'实盘净值数据(iFinD）'!$B866=""),"",分期持仓明细!$AB$19*SUMPRODUCT(分期持仓明细!$B$19:$Y$19,'实盘净值数据(iFinD）'!$B866:$Y866/'实盘净值数据(iFinD）'!$B$20:$Y$20)*(1-实盘持仓初始配置!$Z$6)^(('实盘净值数据(iFinD）'!$A866-'实盘净值数据(iFinD）'!$A$7)/365))</f>
        <v/>
      </c>
      <c r="I866" s="16" t="str">
        <f t="shared" si="80"/>
        <v/>
      </c>
      <c r="J866" s="16" t="str">
        <f>IF(H866="","",H866/MAX(H$5:H866)-1)</f>
        <v/>
      </c>
      <c r="K866" s="13" t="str">
        <f>IF(OR('实盘净值数据(iFinD）'!$A866="",'实盘净值数据(iFinD）'!$B866="",'实盘净值数据(iFinD）'!$Z866="",'实盘净值数据(iFinD）'!$AA866=""),"",分期持仓明细!$AB$23*(SUMPRODUCT(分期持仓明细!$B$23:$Y$23,'实盘净值数据(iFinD）'!$B866:$Y866/'实盘净值数据(iFinD）'!$B$65:$Y$65)+SUMPRODUCT(分期持仓明细!$AC$23:$AD$23,'实盘净值数据(iFinD）'!$Z866:$AA866/'实盘净值数据(iFinD）'!$Z$65:$AA$65))*(1-实盘持仓初始配置!$Z$7)^(('实盘净值数据(iFinD）'!$A866-'实盘净值数据(iFinD）'!$A$8)/365))</f>
        <v/>
      </c>
      <c r="L866" s="16" t="str">
        <f t="shared" si="81"/>
        <v/>
      </c>
      <c r="M866" s="16" t="str">
        <f>IF(K866="","",K866/MAX(K$5:K866)-1)</f>
        <v/>
      </c>
      <c r="N866" s="13" t="str">
        <f>IF(OR('实盘净值数据(iFinD）'!$A866="",'实盘净值数据(iFinD）'!$B866="",'实盘净值数据(iFinD）'!$Z866="",'实盘净值数据(iFinD）'!$AA866=""),"",分期持仓明细!$AB$24*(SUMPRODUCT(分期持仓明细!$B$24:$Y$24,'实盘净值数据(iFinD）'!$B866:$Y866/'实盘净值数据(iFinD）'!$B$65:$Y$65)+SUMPRODUCT(分期持仓明细!$AC$24:$AD$24,'实盘净值数据(iFinD）'!$Z866:$AA866/'实盘净值数据(iFinD）'!$Z$65:$AA$65))*(1-实盘持仓初始配置!$Z$8)^(('实盘净值数据(iFinD）'!$A866-'实盘净值数据(iFinD）'!$A$5)/365))</f>
        <v/>
      </c>
      <c r="O866" s="16" t="str">
        <f t="shared" si="82"/>
        <v/>
      </c>
      <c r="P866" s="16" t="str">
        <f>IF(N866="","",N866/MAX(N$5:N866)-1)</f>
        <v/>
      </c>
      <c r="Q866" s="13" t="str">
        <f>IF(OR('实盘净值数据(iFinD）'!$A866="",'实盘净值数据(iFinD）'!$B866="",'实盘净值数据(iFinD）'!$Z866="",'实盘净值数据(iFinD）'!$AA866=""),"",分期持仓明细!$AB$25*(SUMPRODUCT(分期持仓明细!$B$25:$Y$25,'实盘净值数据(iFinD）'!$B866:$Y866/'实盘净值数据(iFinD）'!$B$65:$Y$65)+SUMPRODUCT(分期持仓明细!$AC$25:$AD$25,'实盘净值数据(iFinD）'!$Z866:$AA866/'实盘净值数据(iFinD）'!$Z$65:$AA$65))*(1-实盘持仓初始配置!$Z$9)^(('实盘净值数据(iFinD）'!$A866-'实盘净值数据(iFinD）'!$A$8)/365))</f>
        <v/>
      </c>
      <c r="R866" s="16" t="str">
        <f t="shared" si="83"/>
        <v/>
      </c>
      <c r="S866" s="16" t="str">
        <f>IF(Q866="","",Q866/MAX(Q$5:Q866)-1)</f>
        <v/>
      </c>
      <c r="T866" s="13">
        <f>IF(OR('实盘净值数据(iFinD）'!$A866="",'实盘净值数据(iFinD）'!$B866="",'实盘净值数据(iFinD）'!$Z866="",'实盘净值数据(iFinD）'!$AA866="",'实盘净值数据(iFinD）'!$AB866="",'实盘净值数据(iFinD）'!$AL866=""),"",(SUMPRODUCT(分期持仓明细!$B$26:$Y$26,'实盘净值数据(iFinD）'!$B866:$Y866/'实盘净值数据(iFinD）'!$B$69:$Y$69)+SUMPRODUCT(分期持仓明细!$AC$26:$AD$26,'实盘净值数据(iFinD）'!$Z866:$AA866/'实盘净值数据(iFinD）'!$Z$69:$AA$69)+SUMPRODUCT(分期持仓明细!$AE$26:$AO$26,'实盘净值数据(iFinD）'!$AB866:$AL866/'实盘净值数据(iFinD）'!$AB$69:$AL$69))*(1-实盘持仓初始配置!$Z$10)^(('实盘净值数据(iFinD）'!$A866-'实盘净值数据(iFinD）'!$A$69)/365))</f>
        <v/>
      </c>
      <c r="U866" s="16">
        <f>IF(OR(T865="",T866=""),"",T866/T865-1)</f>
        <v/>
      </c>
      <c r="V866" s="16">
        <f>IF(T866="","",T866/MAX(T$5:T866)-1)</f>
        <v/>
      </c>
    </row>
    <row r="867" spans="1:19">
      <c r="A867" s="15" t="str">
        <f>IF('实盘净值数据(iFinD）'!A867="","",'实盘净值数据(iFinD）'!A867)</f>
        <v/>
      </c>
      <c r="B867" s="13" t="str">
        <f>IF(OR('实盘净值数据(iFinD）'!$A867="",'实盘净值数据(iFinD）'!$B867=""),"",分期持仓明细!$AB$17*SUMPRODUCT(分期持仓明细!$B$17:$Y$17,'实盘净值数据(iFinD）'!$B867:$Y867/'实盘净值数据(iFinD）'!$B$20:$Y$20)*(1-实盘持仓初始配置!$Z$4)^(('实盘净值数据(iFinD）'!$A867-'实盘净值数据(iFinD）'!$A$6)/365))</f>
        <v/>
      </c>
      <c r="C867" s="16" t="str">
        <f t="shared" si="78"/>
        <v/>
      </c>
      <c r="D867" s="16" t="str">
        <f>IF(B867="","",B867/MAX(B$5:B867)-1)</f>
        <v/>
      </c>
      <c r="E867" s="13" t="str">
        <f>IF(OR('实盘净值数据(iFinD）'!$A867="",'实盘净值数据(iFinD）'!$B867=""),"",分期持仓明细!$AB$18*SUMPRODUCT(分期持仓明细!$B$18:$Y$18,'实盘净值数据(iFinD）'!$B867:$Y867/'实盘净值数据(iFinD）'!$B$20:$Y$20)*(1-实盘持仓初始配置!$Z$5)^(('实盘净值数据(iFinD）'!$A867-'实盘净值数据(iFinD）'!$A$5)/365))</f>
        <v/>
      </c>
      <c r="F867" s="16" t="str">
        <f t="shared" si="79"/>
        <v/>
      </c>
      <c r="G867" s="16" t="str">
        <f>IF(E867="","",E867/MAX(E$5:E867)-1)</f>
        <v/>
      </c>
      <c r="H867" s="13" t="str">
        <f>IF(OR('实盘净值数据(iFinD）'!$A867="",'实盘净值数据(iFinD）'!$B867=""),"",分期持仓明细!$AB$19*SUMPRODUCT(分期持仓明细!$B$19:$Y$19,'实盘净值数据(iFinD）'!$B867:$Y867/'实盘净值数据(iFinD）'!$B$20:$Y$20)*(1-实盘持仓初始配置!$Z$6)^(('实盘净值数据(iFinD）'!$A867-'实盘净值数据(iFinD）'!$A$7)/365))</f>
        <v/>
      </c>
      <c r="I867" s="16" t="str">
        <f t="shared" si="80"/>
        <v/>
      </c>
      <c r="J867" s="16" t="str">
        <f>IF(H867="","",H867/MAX(H$5:H867)-1)</f>
        <v/>
      </c>
      <c r="K867" s="13" t="str">
        <f>IF(OR('实盘净值数据(iFinD）'!$A867="",'实盘净值数据(iFinD）'!$B867="",'实盘净值数据(iFinD）'!$Z867="",'实盘净值数据(iFinD）'!$AA867=""),"",分期持仓明细!$AB$23*(SUMPRODUCT(分期持仓明细!$B$23:$Y$23,'实盘净值数据(iFinD）'!$B867:$Y867/'实盘净值数据(iFinD）'!$B$65:$Y$65)+SUMPRODUCT(分期持仓明细!$AC$23:$AD$23,'实盘净值数据(iFinD）'!$Z867:$AA867/'实盘净值数据(iFinD）'!$Z$65:$AA$65))*(1-实盘持仓初始配置!$Z$7)^(('实盘净值数据(iFinD）'!$A867-'实盘净值数据(iFinD）'!$A$8)/365))</f>
        <v/>
      </c>
      <c r="L867" s="16" t="str">
        <f t="shared" si="81"/>
        <v/>
      </c>
      <c r="M867" s="16" t="str">
        <f>IF(K867="","",K867/MAX(K$5:K867)-1)</f>
        <v/>
      </c>
      <c r="N867" s="13" t="str">
        <f>IF(OR('实盘净值数据(iFinD）'!$A867="",'实盘净值数据(iFinD）'!$B867="",'实盘净值数据(iFinD）'!$Z867="",'实盘净值数据(iFinD）'!$AA867=""),"",分期持仓明细!$AB$24*(SUMPRODUCT(分期持仓明细!$B$24:$Y$24,'实盘净值数据(iFinD）'!$B867:$Y867/'实盘净值数据(iFinD）'!$B$65:$Y$65)+SUMPRODUCT(分期持仓明细!$AC$24:$AD$24,'实盘净值数据(iFinD）'!$Z867:$AA867/'实盘净值数据(iFinD）'!$Z$65:$AA$65))*(1-实盘持仓初始配置!$Z$8)^(('实盘净值数据(iFinD）'!$A867-'实盘净值数据(iFinD）'!$A$5)/365))</f>
        <v/>
      </c>
      <c r="O867" s="16" t="str">
        <f t="shared" si="82"/>
        <v/>
      </c>
      <c r="P867" s="16" t="str">
        <f>IF(N867="","",N867/MAX(N$5:N867)-1)</f>
        <v/>
      </c>
      <c r="Q867" s="13" t="str">
        <f>IF(OR('实盘净值数据(iFinD）'!$A867="",'实盘净值数据(iFinD）'!$B867="",'实盘净值数据(iFinD）'!$Z867="",'实盘净值数据(iFinD）'!$AA867=""),"",分期持仓明细!$AB$25*(SUMPRODUCT(分期持仓明细!$B$25:$Y$25,'实盘净值数据(iFinD）'!$B867:$Y867/'实盘净值数据(iFinD）'!$B$65:$Y$65)+SUMPRODUCT(分期持仓明细!$AC$25:$AD$25,'实盘净值数据(iFinD）'!$Z867:$AA867/'实盘净值数据(iFinD）'!$Z$65:$AA$65))*(1-实盘持仓初始配置!$Z$9)^(('实盘净值数据(iFinD）'!$A867-'实盘净值数据(iFinD）'!$A$8)/365))</f>
        <v/>
      </c>
      <c r="R867" s="16" t="str">
        <f t="shared" si="83"/>
        <v/>
      </c>
      <c r="S867" s="16" t="str">
        <f>IF(Q867="","",Q867/MAX(Q$5:Q867)-1)</f>
        <v/>
      </c>
      <c r="T867" s="13">
        <f>IF(OR('实盘净值数据(iFinD）'!$A867="",'实盘净值数据(iFinD）'!$B867="",'实盘净值数据(iFinD）'!$Z867="",'实盘净值数据(iFinD）'!$AA867="",'实盘净值数据(iFinD）'!$AB867="",'实盘净值数据(iFinD）'!$AL867=""),"",(SUMPRODUCT(分期持仓明细!$B$26:$Y$26,'实盘净值数据(iFinD）'!$B867:$Y867/'实盘净值数据(iFinD）'!$B$69:$Y$69)+SUMPRODUCT(分期持仓明细!$AC$26:$AD$26,'实盘净值数据(iFinD）'!$Z867:$AA867/'实盘净值数据(iFinD）'!$Z$69:$AA$69)+SUMPRODUCT(分期持仓明细!$AE$26:$AO$26,'实盘净值数据(iFinD）'!$AB867:$AL867/'实盘净值数据(iFinD）'!$AB$69:$AL$69))*(1-实盘持仓初始配置!$Z$10)^(('实盘净值数据(iFinD）'!$A867-'实盘净值数据(iFinD）'!$A$69)/365))</f>
        <v/>
      </c>
      <c r="U867" s="16">
        <f>IF(OR(T866="",T867=""),"",T867/T866-1)</f>
        <v/>
      </c>
      <c r="V867" s="16">
        <f>IF(T867="","",T867/MAX(T$5:T867)-1)</f>
        <v/>
      </c>
    </row>
    <row r="868" spans="1:19">
      <c r="A868" s="15" t="str">
        <f>IF('实盘净值数据(iFinD）'!A868="","",'实盘净值数据(iFinD）'!A868)</f>
        <v/>
      </c>
      <c r="B868" s="13" t="str">
        <f>IF(OR('实盘净值数据(iFinD）'!$A868="",'实盘净值数据(iFinD）'!$B868=""),"",分期持仓明细!$AB$17*SUMPRODUCT(分期持仓明细!$B$17:$Y$17,'实盘净值数据(iFinD）'!$B868:$Y868/'实盘净值数据(iFinD）'!$B$20:$Y$20)*(1-实盘持仓初始配置!$Z$4)^(('实盘净值数据(iFinD）'!$A868-'实盘净值数据(iFinD）'!$A$6)/365))</f>
        <v/>
      </c>
      <c r="C868" s="16" t="str">
        <f t="shared" si="78"/>
        <v/>
      </c>
      <c r="D868" s="16" t="str">
        <f>IF(B868="","",B868/MAX(B$5:B868)-1)</f>
        <v/>
      </c>
      <c r="E868" s="13" t="str">
        <f>IF(OR('实盘净值数据(iFinD）'!$A868="",'实盘净值数据(iFinD）'!$B868=""),"",分期持仓明细!$AB$18*SUMPRODUCT(分期持仓明细!$B$18:$Y$18,'实盘净值数据(iFinD）'!$B868:$Y868/'实盘净值数据(iFinD）'!$B$20:$Y$20)*(1-实盘持仓初始配置!$Z$5)^(('实盘净值数据(iFinD）'!$A868-'实盘净值数据(iFinD）'!$A$5)/365))</f>
        <v/>
      </c>
      <c r="F868" s="16" t="str">
        <f t="shared" si="79"/>
        <v/>
      </c>
      <c r="G868" s="16" t="str">
        <f>IF(E868="","",E868/MAX(E$5:E868)-1)</f>
        <v/>
      </c>
      <c r="H868" s="13" t="str">
        <f>IF(OR('实盘净值数据(iFinD）'!$A868="",'实盘净值数据(iFinD）'!$B868=""),"",分期持仓明细!$AB$19*SUMPRODUCT(分期持仓明细!$B$19:$Y$19,'实盘净值数据(iFinD）'!$B868:$Y868/'实盘净值数据(iFinD）'!$B$20:$Y$20)*(1-实盘持仓初始配置!$Z$6)^(('实盘净值数据(iFinD）'!$A868-'实盘净值数据(iFinD）'!$A$7)/365))</f>
        <v/>
      </c>
      <c r="I868" s="16" t="str">
        <f t="shared" si="80"/>
        <v/>
      </c>
      <c r="J868" s="16" t="str">
        <f>IF(H868="","",H868/MAX(H$5:H868)-1)</f>
        <v/>
      </c>
      <c r="K868" s="13" t="str">
        <f>IF(OR('实盘净值数据(iFinD）'!$A868="",'实盘净值数据(iFinD）'!$B868="",'实盘净值数据(iFinD）'!$Z868="",'实盘净值数据(iFinD）'!$AA868=""),"",分期持仓明细!$AB$23*(SUMPRODUCT(分期持仓明细!$B$23:$Y$23,'实盘净值数据(iFinD）'!$B868:$Y868/'实盘净值数据(iFinD）'!$B$65:$Y$65)+SUMPRODUCT(分期持仓明细!$AC$23:$AD$23,'实盘净值数据(iFinD）'!$Z868:$AA868/'实盘净值数据(iFinD）'!$Z$65:$AA$65))*(1-实盘持仓初始配置!$Z$7)^(('实盘净值数据(iFinD）'!$A868-'实盘净值数据(iFinD）'!$A$8)/365))</f>
        <v/>
      </c>
      <c r="L868" s="16" t="str">
        <f t="shared" si="81"/>
        <v/>
      </c>
      <c r="M868" s="16" t="str">
        <f>IF(K868="","",K868/MAX(K$5:K868)-1)</f>
        <v/>
      </c>
      <c r="N868" s="13" t="str">
        <f>IF(OR('实盘净值数据(iFinD）'!$A868="",'实盘净值数据(iFinD）'!$B868="",'实盘净值数据(iFinD）'!$Z868="",'实盘净值数据(iFinD）'!$AA868=""),"",分期持仓明细!$AB$24*(SUMPRODUCT(分期持仓明细!$B$24:$Y$24,'实盘净值数据(iFinD）'!$B868:$Y868/'实盘净值数据(iFinD）'!$B$65:$Y$65)+SUMPRODUCT(分期持仓明细!$AC$24:$AD$24,'实盘净值数据(iFinD）'!$Z868:$AA868/'实盘净值数据(iFinD）'!$Z$65:$AA$65))*(1-实盘持仓初始配置!$Z$8)^(('实盘净值数据(iFinD）'!$A868-'实盘净值数据(iFinD）'!$A$5)/365))</f>
        <v/>
      </c>
      <c r="O868" s="16" t="str">
        <f t="shared" si="82"/>
        <v/>
      </c>
      <c r="P868" s="16" t="str">
        <f>IF(N868="","",N868/MAX(N$5:N868)-1)</f>
        <v/>
      </c>
      <c r="Q868" s="13" t="str">
        <f>IF(OR('实盘净值数据(iFinD）'!$A868="",'实盘净值数据(iFinD）'!$B868="",'实盘净值数据(iFinD）'!$Z868="",'实盘净值数据(iFinD）'!$AA868=""),"",分期持仓明细!$AB$25*(SUMPRODUCT(分期持仓明细!$B$25:$Y$25,'实盘净值数据(iFinD）'!$B868:$Y868/'实盘净值数据(iFinD）'!$B$65:$Y$65)+SUMPRODUCT(分期持仓明细!$AC$25:$AD$25,'实盘净值数据(iFinD）'!$Z868:$AA868/'实盘净值数据(iFinD）'!$Z$65:$AA$65))*(1-实盘持仓初始配置!$Z$9)^(('实盘净值数据(iFinD）'!$A868-'实盘净值数据(iFinD）'!$A$8)/365))</f>
        <v/>
      </c>
      <c r="R868" s="16" t="str">
        <f t="shared" si="83"/>
        <v/>
      </c>
      <c r="S868" s="16" t="str">
        <f>IF(Q868="","",Q868/MAX(Q$5:Q868)-1)</f>
        <v/>
      </c>
      <c r="T868" s="13">
        <f>IF(OR('实盘净值数据(iFinD）'!$A868="",'实盘净值数据(iFinD）'!$B868="",'实盘净值数据(iFinD）'!$Z868="",'实盘净值数据(iFinD）'!$AA868="",'实盘净值数据(iFinD）'!$AB868="",'实盘净值数据(iFinD）'!$AL868=""),"",(SUMPRODUCT(分期持仓明细!$B$26:$Y$26,'实盘净值数据(iFinD）'!$B868:$Y868/'实盘净值数据(iFinD）'!$B$69:$Y$69)+SUMPRODUCT(分期持仓明细!$AC$26:$AD$26,'实盘净值数据(iFinD）'!$Z868:$AA868/'实盘净值数据(iFinD）'!$Z$69:$AA$69)+SUMPRODUCT(分期持仓明细!$AE$26:$AO$26,'实盘净值数据(iFinD）'!$AB868:$AL868/'实盘净值数据(iFinD）'!$AB$69:$AL$69))*(1-实盘持仓初始配置!$Z$10)^(('实盘净值数据(iFinD）'!$A868-'实盘净值数据(iFinD）'!$A$69)/365))</f>
        <v/>
      </c>
      <c r="U868" s="16">
        <f>IF(OR(T867="",T868=""),"",T868/T867-1)</f>
        <v/>
      </c>
      <c r="V868" s="16">
        <f>IF(T868="","",T868/MAX(T$5:T868)-1)</f>
        <v/>
      </c>
    </row>
    <row r="869" spans="1:19">
      <c r="A869" s="15" t="str">
        <f>IF('实盘净值数据(iFinD）'!A869="","",'实盘净值数据(iFinD）'!A869)</f>
        <v/>
      </c>
      <c r="B869" s="13" t="str">
        <f>IF(OR('实盘净值数据(iFinD）'!$A869="",'实盘净值数据(iFinD）'!$B869=""),"",分期持仓明细!$AB$17*SUMPRODUCT(分期持仓明细!$B$17:$Y$17,'实盘净值数据(iFinD）'!$B869:$Y869/'实盘净值数据(iFinD）'!$B$20:$Y$20)*(1-实盘持仓初始配置!$Z$4)^(('实盘净值数据(iFinD）'!$A869-'实盘净值数据(iFinD）'!$A$6)/365))</f>
        <v/>
      </c>
      <c r="C869" s="16" t="str">
        <f t="shared" si="78"/>
        <v/>
      </c>
      <c r="D869" s="16" t="str">
        <f>IF(B869="","",B869/MAX(B$5:B869)-1)</f>
        <v/>
      </c>
      <c r="E869" s="13" t="str">
        <f>IF(OR('实盘净值数据(iFinD）'!$A869="",'实盘净值数据(iFinD）'!$B869=""),"",分期持仓明细!$AB$18*SUMPRODUCT(分期持仓明细!$B$18:$Y$18,'实盘净值数据(iFinD）'!$B869:$Y869/'实盘净值数据(iFinD）'!$B$20:$Y$20)*(1-实盘持仓初始配置!$Z$5)^(('实盘净值数据(iFinD）'!$A869-'实盘净值数据(iFinD）'!$A$5)/365))</f>
        <v/>
      </c>
      <c r="F869" s="16" t="str">
        <f t="shared" si="79"/>
        <v/>
      </c>
      <c r="G869" s="16" t="str">
        <f>IF(E869="","",E869/MAX(E$5:E869)-1)</f>
        <v/>
      </c>
      <c r="H869" s="13" t="str">
        <f>IF(OR('实盘净值数据(iFinD）'!$A869="",'实盘净值数据(iFinD）'!$B869=""),"",分期持仓明细!$AB$19*SUMPRODUCT(分期持仓明细!$B$19:$Y$19,'实盘净值数据(iFinD）'!$B869:$Y869/'实盘净值数据(iFinD）'!$B$20:$Y$20)*(1-实盘持仓初始配置!$Z$6)^(('实盘净值数据(iFinD）'!$A869-'实盘净值数据(iFinD）'!$A$7)/365))</f>
        <v/>
      </c>
      <c r="I869" s="16" t="str">
        <f t="shared" si="80"/>
        <v/>
      </c>
      <c r="J869" s="16" t="str">
        <f>IF(H869="","",H869/MAX(H$5:H869)-1)</f>
        <v/>
      </c>
      <c r="K869" s="13" t="str">
        <f>IF(OR('实盘净值数据(iFinD）'!$A869="",'实盘净值数据(iFinD）'!$B869="",'实盘净值数据(iFinD）'!$Z869="",'实盘净值数据(iFinD）'!$AA869=""),"",分期持仓明细!$AB$23*(SUMPRODUCT(分期持仓明细!$B$23:$Y$23,'实盘净值数据(iFinD）'!$B869:$Y869/'实盘净值数据(iFinD）'!$B$65:$Y$65)+SUMPRODUCT(分期持仓明细!$AC$23:$AD$23,'实盘净值数据(iFinD）'!$Z869:$AA869/'实盘净值数据(iFinD）'!$Z$65:$AA$65))*(1-实盘持仓初始配置!$Z$7)^(('实盘净值数据(iFinD）'!$A869-'实盘净值数据(iFinD）'!$A$8)/365))</f>
        <v/>
      </c>
      <c r="L869" s="16" t="str">
        <f t="shared" si="81"/>
        <v/>
      </c>
      <c r="M869" s="16" t="str">
        <f>IF(K869="","",K869/MAX(K$5:K869)-1)</f>
        <v/>
      </c>
      <c r="N869" s="13" t="str">
        <f>IF(OR('实盘净值数据(iFinD）'!$A869="",'实盘净值数据(iFinD）'!$B869="",'实盘净值数据(iFinD）'!$Z869="",'实盘净值数据(iFinD）'!$AA869=""),"",分期持仓明细!$AB$24*(SUMPRODUCT(分期持仓明细!$B$24:$Y$24,'实盘净值数据(iFinD）'!$B869:$Y869/'实盘净值数据(iFinD）'!$B$65:$Y$65)+SUMPRODUCT(分期持仓明细!$AC$24:$AD$24,'实盘净值数据(iFinD）'!$Z869:$AA869/'实盘净值数据(iFinD）'!$Z$65:$AA$65))*(1-实盘持仓初始配置!$Z$8)^(('实盘净值数据(iFinD）'!$A869-'实盘净值数据(iFinD）'!$A$5)/365))</f>
        <v/>
      </c>
      <c r="O869" s="16" t="str">
        <f t="shared" si="82"/>
        <v/>
      </c>
      <c r="P869" s="16" t="str">
        <f>IF(N869="","",N869/MAX(N$5:N869)-1)</f>
        <v/>
      </c>
      <c r="Q869" s="13" t="str">
        <f>IF(OR('实盘净值数据(iFinD）'!$A869="",'实盘净值数据(iFinD）'!$B869="",'实盘净值数据(iFinD）'!$Z869="",'实盘净值数据(iFinD）'!$AA869=""),"",分期持仓明细!$AB$25*(SUMPRODUCT(分期持仓明细!$B$25:$Y$25,'实盘净值数据(iFinD）'!$B869:$Y869/'实盘净值数据(iFinD）'!$B$65:$Y$65)+SUMPRODUCT(分期持仓明细!$AC$25:$AD$25,'实盘净值数据(iFinD）'!$Z869:$AA869/'实盘净值数据(iFinD）'!$Z$65:$AA$65))*(1-实盘持仓初始配置!$Z$9)^(('实盘净值数据(iFinD）'!$A869-'实盘净值数据(iFinD）'!$A$8)/365))</f>
        <v/>
      </c>
      <c r="R869" s="16" t="str">
        <f t="shared" si="83"/>
        <v/>
      </c>
      <c r="S869" s="16" t="str">
        <f>IF(Q869="","",Q869/MAX(Q$5:Q869)-1)</f>
        <v/>
      </c>
      <c r="T869" s="13">
        <f>IF(OR('实盘净值数据(iFinD）'!$A869="",'实盘净值数据(iFinD）'!$B869="",'实盘净值数据(iFinD）'!$Z869="",'实盘净值数据(iFinD）'!$AA869="",'实盘净值数据(iFinD）'!$AB869="",'实盘净值数据(iFinD）'!$AL869=""),"",(SUMPRODUCT(分期持仓明细!$B$26:$Y$26,'实盘净值数据(iFinD）'!$B869:$Y869/'实盘净值数据(iFinD）'!$B$69:$Y$69)+SUMPRODUCT(分期持仓明细!$AC$26:$AD$26,'实盘净值数据(iFinD）'!$Z869:$AA869/'实盘净值数据(iFinD）'!$Z$69:$AA$69)+SUMPRODUCT(分期持仓明细!$AE$26:$AO$26,'实盘净值数据(iFinD）'!$AB869:$AL869/'实盘净值数据(iFinD）'!$AB$69:$AL$69))*(1-实盘持仓初始配置!$Z$10)^(('实盘净值数据(iFinD）'!$A869-'实盘净值数据(iFinD）'!$A$69)/365))</f>
        <v/>
      </c>
      <c r="U869" s="16">
        <f>IF(OR(T868="",T869=""),"",T869/T868-1)</f>
        <v/>
      </c>
      <c r="V869" s="16">
        <f>IF(T869="","",T869/MAX(T$5:T869)-1)</f>
        <v/>
      </c>
    </row>
    <row r="870" spans="1:19">
      <c r="A870" s="15" t="str">
        <f>IF('实盘净值数据(iFinD）'!A870="","",'实盘净值数据(iFinD）'!A870)</f>
        <v/>
      </c>
      <c r="B870" s="13" t="str">
        <f>IF(OR('实盘净值数据(iFinD）'!$A870="",'实盘净值数据(iFinD）'!$B870=""),"",分期持仓明细!$AB$17*SUMPRODUCT(分期持仓明细!$B$17:$Y$17,'实盘净值数据(iFinD）'!$B870:$Y870/'实盘净值数据(iFinD）'!$B$20:$Y$20)*(1-实盘持仓初始配置!$Z$4)^(('实盘净值数据(iFinD）'!$A870-'实盘净值数据(iFinD）'!$A$6)/365))</f>
        <v/>
      </c>
      <c r="C870" s="16" t="str">
        <f t="shared" si="78"/>
        <v/>
      </c>
      <c r="D870" s="16" t="str">
        <f>IF(B870="","",B870/MAX(B$5:B870)-1)</f>
        <v/>
      </c>
      <c r="E870" s="13" t="str">
        <f>IF(OR('实盘净值数据(iFinD）'!$A870="",'实盘净值数据(iFinD）'!$B870=""),"",分期持仓明细!$AB$18*SUMPRODUCT(分期持仓明细!$B$18:$Y$18,'实盘净值数据(iFinD）'!$B870:$Y870/'实盘净值数据(iFinD）'!$B$20:$Y$20)*(1-实盘持仓初始配置!$Z$5)^(('实盘净值数据(iFinD）'!$A870-'实盘净值数据(iFinD）'!$A$5)/365))</f>
        <v/>
      </c>
      <c r="F870" s="16" t="str">
        <f t="shared" si="79"/>
        <v/>
      </c>
      <c r="G870" s="16" t="str">
        <f>IF(E870="","",E870/MAX(E$5:E870)-1)</f>
        <v/>
      </c>
      <c r="H870" s="13" t="str">
        <f>IF(OR('实盘净值数据(iFinD）'!$A870="",'实盘净值数据(iFinD）'!$B870=""),"",分期持仓明细!$AB$19*SUMPRODUCT(分期持仓明细!$B$19:$Y$19,'实盘净值数据(iFinD）'!$B870:$Y870/'实盘净值数据(iFinD）'!$B$20:$Y$20)*(1-实盘持仓初始配置!$Z$6)^(('实盘净值数据(iFinD）'!$A870-'实盘净值数据(iFinD）'!$A$7)/365))</f>
        <v/>
      </c>
      <c r="I870" s="16" t="str">
        <f t="shared" si="80"/>
        <v/>
      </c>
      <c r="J870" s="16" t="str">
        <f>IF(H870="","",H870/MAX(H$5:H870)-1)</f>
        <v/>
      </c>
      <c r="K870" s="13" t="str">
        <f>IF(OR('实盘净值数据(iFinD）'!$A870="",'实盘净值数据(iFinD）'!$B870="",'实盘净值数据(iFinD）'!$Z870="",'实盘净值数据(iFinD）'!$AA870=""),"",分期持仓明细!$AB$23*(SUMPRODUCT(分期持仓明细!$B$23:$Y$23,'实盘净值数据(iFinD）'!$B870:$Y870/'实盘净值数据(iFinD）'!$B$65:$Y$65)+SUMPRODUCT(分期持仓明细!$AC$23:$AD$23,'实盘净值数据(iFinD）'!$Z870:$AA870/'实盘净值数据(iFinD）'!$Z$65:$AA$65))*(1-实盘持仓初始配置!$Z$7)^(('实盘净值数据(iFinD）'!$A870-'实盘净值数据(iFinD）'!$A$8)/365))</f>
        <v/>
      </c>
      <c r="L870" s="16" t="str">
        <f t="shared" si="81"/>
        <v/>
      </c>
      <c r="M870" s="16" t="str">
        <f>IF(K870="","",K870/MAX(K$5:K870)-1)</f>
        <v/>
      </c>
      <c r="N870" s="13" t="str">
        <f>IF(OR('实盘净值数据(iFinD）'!$A870="",'实盘净值数据(iFinD）'!$B870="",'实盘净值数据(iFinD）'!$Z870="",'实盘净值数据(iFinD）'!$AA870=""),"",分期持仓明细!$AB$24*(SUMPRODUCT(分期持仓明细!$B$24:$Y$24,'实盘净值数据(iFinD）'!$B870:$Y870/'实盘净值数据(iFinD）'!$B$65:$Y$65)+SUMPRODUCT(分期持仓明细!$AC$24:$AD$24,'实盘净值数据(iFinD）'!$Z870:$AA870/'实盘净值数据(iFinD）'!$Z$65:$AA$65))*(1-实盘持仓初始配置!$Z$8)^(('实盘净值数据(iFinD）'!$A870-'实盘净值数据(iFinD）'!$A$5)/365))</f>
        <v/>
      </c>
      <c r="O870" s="16" t="str">
        <f t="shared" si="82"/>
        <v/>
      </c>
      <c r="P870" s="16" t="str">
        <f>IF(N870="","",N870/MAX(N$5:N870)-1)</f>
        <v/>
      </c>
      <c r="Q870" s="13" t="str">
        <f>IF(OR('实盘净值数据(iFinD）'!$A870="",'实盘净值数据(iFinD）'!$B870="",'实盘净值数据(iFinD）'!$Z870="",'实盘净值数据(iFinD）'!$AA870=""),"",分期持仓明细!$AB$25*(SUMPRODUCT(分期持仓明细!$B$25:$Y$25,'实盘净值数据(iFinD）'!$B870:$Y870/'实盘净值数据(iFinD）'!$B$65:$Y$65)+SUMPRODUCT(分期持仓明细!$AC$25:$AD$25,'实盘净值数据(iFinD）'!$Z870:$AA870/'实盘净值数据(iFinD）'!$Z$65:$AA$65))*(1-实盘持仓初始配置!$Z$9)^(('实盘净值数据(iFinD）'!$A870-'实盘净值数据(iFinD）'!$A$8)/365))</f>
        <v/>
      </c>
      <c r="R870" s="16" t="str">
        <f t="shared" si="83"/>
        <v/>
      </c>
      <c r="S870" s="16" t="str">
        <f>IF(Q870="","",Q870/MAX(Q$5:Q870)-1)</f>
        <v/>
      </c>
      <c r="T870" s="13">
        <f>IF(OR('实盘净值数据(iFinD）'!$A870="",'实盘净值数据(iFinD）'!$B870="",'实盘净值数据(iFinD）'!$Z870="",'实盘净值数据(iFinD）'!$AA870="",'实盘净值数据(iFinD）'!$AB870="",'实盘净值数据(iFinD）'!$AL870=""),"",(SUMPRODUCT(分期持仓明细!$B$26:$Y$26,'实盘净值数据(iFinD）'!$B870:$Y870/'实盘净值数据(iFinD）'!$B$69:$Y$69)+SUMPRODUCT(分期持仓明细!$AC$26:$AD$26,'实盘净值数据(iFinD）'!$Z870:$AA870/'实盘净值数据(iFinD）'!$Z$69:$AA$69)+SUMPRODUCT(分期持仓明细!$AE$26:$AO$26,'实盘净值数据(iFinD）'!$AB870:$AL870/'实盘净值数据(iFinD）'!$AB$69:$AL$69))*(1-实盘持仓初始配置!$Z$10)^(('实盘净值数据(iFinD）'!$A870-'实盘净值数据(iFinD）'!$A$69)/365))</f>
        <v/>
      </c>
      <c r="U870" s="16">
        <f>IF(OR(T869="",T870=""),"",T870/T869-1)</f>
        <v/>
      </c>
      <c r="V870" s="16">
        <f>IF(T870="","",T870/MAX(T$5:T870)-1)</f>
        <v/>
      </c>
    </row>
    <row r="871" spans="1:19">
      <c r="A871" s="15" t="str">
        <f>IF('实盘净值数据(iFinD）'!A871="","",'实盘净值数据(iFinD）'!A871)</f>
        <v/>
      </c>
      <c r="B871" s="13" t="str">
        <f>IF(OR('实盘净值数据(iFinD）'!$A871="",'实盘净值数据(iFinD）'!$B871=""),"",分期持仓明细!$AB$17*SUMPRODUCT(分期持仓明细!$B$17:$Y$17,'实盘净值数据(iFinD）'!$B871:$Y871/'实盘净值数据(iFinD）'!$B$20:$Y$20)*(1-实盘持仓初始配置!$Z$4)^(('实盘净值数据(iFinD）'!$A871-'实盘净值数据(iFinD）'!$A$6)/365))</f>
        <v/>
      </c>
      <c r="C871" s="16" t="str">
        <f t="shared" si="78"/>
        <v/>
      </c>
      <c r="D871" s="16" t="str">
        <f>IF(B871="","",B871/MAX(B$5:B871)-1)</f>
        <v/>
      </c>
      <c r="E871" s="13" t="str">
        <f>IF(OR('实盘净值数据(iFinD）'!$A871="",'实盘净值数据(iFinD）'!$B871=""),"",分期持仓明细!$AB$18*SUMPRODUCT(分期持仓明细!$B$18:$Y$18,'实盘净值数据(iFinD）'!$B871:$Y871/'实盘净值数据(iFinD）'!$B$20:$Y$20)*(1-实盘持仓初始配置!$Z$5)^(('实盘净值数据(iFinD）'!$A871-'实盘净值数据(iFinD）'!$A$5)/365))</f>
        <v/>
      </c>
      <c r="F871" s="16" t="str">
        <f t="shared" si="79"/>
        <v/>
      </c>
      <c r="G871" s="16" t="str">
        <f>IF(E871="","",E871/MAX(E$5:E871)-1)</f>
        <v/>
      </c>
      <c r="H871" s="13" t="str">
        <f>IF(OR('实盘净值数据(iFinD）'!$A871="",'实盘净值数据(iFinD）'!$B871=""),"",分期持仓明细!$AB$19*SUMPRODUCT(分期持仓明细!$B$19:$Y$19,'实盘净值数据(iFinD）'!$B871:$Y871/'实盘净值数据(iFinD）'!$B$20:$Y$20)*(1-实盘持仓初始配置!$Z$6)^(('实盘净值数据(iFinD）'!$A871-'实盘净值数据(iFinD）'!$A$7)/365))</f>
        <v/>
      </c>
      <c r="I871" s="16" t="str">
        <f t="shared" si="80"/>
        <v/>
      </c>
      <c r="J871" s="16" t="str">
        <f>IF(H871="","",H871/MAX(H$5:H871)-1)</f>
        <v/>
      </c>
      <c r="K871" s="13" t="str">
        <f>IF(OR('实盘净值数据(iFinD）'!$A871="",'实盘净值数据(iFinD）'!$B871="",'实盘净值数据(iFinD）'!$Z871="",'实盘净值数据(iFinD）'!$AA871=""),"",分期持仓明细!$AB$23*(SUMPRODUCT(分期持仓明细!$B$23:$Y$23,'实盘净值数据(iFinD）'!$B871:$Y871/'实盘净值数据(iFinD）'!$B$65:$Y$65)+SUMPRODUCT(分期持仓明细!$AC$23:$AD$23,'实盘净值数据(iFinD）'!$Z871:$AA871/'实盘净值数据(iFinD）'!$Z$65:$AA$65))*(1-实盘持仓初始配置!$Z$7)^(('实盘净值数据(iFinD）'!$A871-'实盘净值数据(iFinD）'!$A$8)/365))</f>
        <v/>
      </c>
      <c r="L871" s="16" t="str">
        <f t="shared" si="81"/>
        <v/>
      </c>
      <c r="M871" s="16" t="str">
        <f>IF(K871="","",K871/MAX(K$5:K871)-1)</f>
        <v/>
      </c>
      <c r="N871" s="13" t="str">
        <f>IF(OR('实盘净值数据(iFinD）'!$A871="",'实盘净值数据(iFinD）'!$B871="",'实盘净值数据(iFinD）'!$Z871="",'实盘净值数据(iFinD）'!$AA871=""),"",分期持仓明细!$AB$24*(SUMPRODUCT(分期持仓明细!$B$24:$Y$24,'实盘净值数据(iFinD）'!$B871:$Y871/'实盘净值数据(iFinD）'!$B$65:$Y$65)+SUMPRODUCT(分期持仓明细!$AC$24:$AD$24,'实盘净值数据(iFinD）'!$Z871:$AA871/'实盘净值数据(iFinD）'!$Z$65:$AA$65))*(1-实盘持仓初始配置!$Z$8)^(('实盘净值数据(iFinD）'!$A871-'实盘净值数据(iFinD）'!$A$5)/365))</f>
        <v/>
      </c>
      <c r="O871" s="16" t="str">
        <f t="shared" si="82"/>
        <v/>
      </c>
      <c r="P871" s="16" t="str">
        <f>IF(N871="","",N871/MAX(N$5:N871)-1)</f>
        <v/>
      </c>
      <c r="Q871" s="13" t="str">
        <f>IF(OR('实盘净值数据(iFinD）'!$A871="",'实盘净值数据(iFinD）'!$B871="",'实盘净值数据(iFinD）'!$Z871="",'实盘净值数据(iFinD）'!$AA871=""),"",分期持仓明细!$AB$25*(SUMPRODUCT(分期持仓明细!$B$25:$Y$25,'实盘净值数据(iFinD）'!$B871:$Y871/'实盘净值数据(iFinD）'!$B$65:$Y$65)+SUMPRODUCT(分期持仓明细!$AC$25:$AD$25,'实盘净值数据(iFinD）'!$Z871:$AA871/'实盘净值数据(iFinD）'!$Z$65:$AA$65))*(1-实盘持仓初始配置!$Z$9)^(('实盘净值数据(iFinD）'!$A871-'实盘净值数据(iFinD）'!$A$8)/365))</f>
        <v/>
      </c>
      <c r="R871" s="16" t="str">
        <f t="shared" si="83"/>
        <v/>
      </c>
      <c r="S871" s="16" t="str">
        <f>IF(Q871="","",Q871/MAX(Q$5:Q871)-1)</f>
        <v/>
      </c>
      <c r="T871" s="13">
        <f>IF(OR('实盘净值数据(iFinD）'!$A871="",'实盘净值数据(iFinD）'!$B871="",'实盘净值数据(iFinD）'!$Z871="",'实盘净值数据(iFinD）'!$AA871="",'实盘净值数据(iFinD）'!$AB871="",'实盘净值数据(iFinD）'!$AL871=""),"",(SUMPRODUCT(分期持仓明细!$B$26:$Y$26,'实盘净值数据(iFinD）'!$B871:$Y871/'实盘净值数据(iFinD）'!$B$69:$Y$69)+SUMPRODUCT(分期持仓明细!$AC$26:$AD$26,'实盘净值数据(iFinD）'!$Z871:$AA871/'实盘净值数据(iFinD）'!$Z$69:$AA$69)+SUMPRODUCT(分期持仓明细!$AE$26:$AO$26,'实盘净值数据(iFinD）'!$AB871:$AL871/'实盘净值数据(iFinD）'!$AB$69:$AL$69))*(1-实盘持仓初始配置!$Z$10)^(('实盘净值数据(iFinD）'!$A871-'实盘净值数据(iFinD）'!$A$69)/365))</f>
        <v/>
      </c>
      <c r="U871" s="16">
        <f>IF(OR(T870="",T871=""),"",T871/T870-1)</f>
        <v/>
      </c>
      <c r="V871" s="16">
        <f>IF(T871="","",T871/MAX(T$5:T871)-1)</f>
        <v/>
      </c>
    </row>
    <row r="872" spans="1:19">
      <c r="A872" s="15" t="str">
        <f>IF('实盘净值数据(iFinD）'!A872="","",'实盘净值数据(iFinD）'!A872)</f>
        <v/>
      </c>
      <c r="B872" s="13" t="str">
        <f>IF(OR('实盘净值数据(iFinD）'!$A872="",'实盘净值数据(iFinD）'!$B872=""),"",分期持仓明细!$AB$17*SUMPRODUCT(分期持仓明细!$B$17:$Y$17,'实盘净值数据(iFinD）'!$B872:$Y872/'实盘净值数据(iFinD）'!$B$20:$Y$20)*(1-实盘持仓初始配置!$Z$4)^(('实盘净值数据(iFinD）'!$A872-'实盘净值数据(iFinD）'!$A$6)/365))</f>
        <v/>
      </c>
      <c r="C872" s="16" t="str">
        <f t="shared" si="78"/>
        <v/>
      </c>
      <c r="D872" s="16" t="str">
        <f>IF(B872="","",B872/MAX(B$5:B872)-1)</f>
        <v/>
      </c>
      <c r="E872" s="13" t="str">
        <f>IF(OR('实盘净值数据(iFinD）'!$A872="",'实盘净值数据(iFinD）'!$B872=""),"",分期持仓明细!$AB$18*SUMPRODUCT(分期持仓明细!$B$18:$Y$18,'实盘净值数据(iFinD）'!$B872:$Y872/'实盘净值数据(iFinD）'!$B$20:$Y$20)*(1-实盘持仓初始配置!$Z$5)^(('实盘净值数据(iFinD）'!$A872-'实盘净值数据(iFinD）'!$A$5)/365))</f>
        <v/>
      </c>
      <c r="F872" s="16" t="str">
        <f t="shared" si="79"/>
        <v/>
      </c>
      <c r="G872" s="16" t="str">
        <f>IF(E872="","",E872/MAX(E$5:E872)-1)</f>
        <v/>
      </c>
      <c r="H872" s="13" t="str">
        <f>IF(OR('实盘净值数据(iFinD）'!$A872="",'实盘净值数据(iFinD）'!$B872=""),"",分期持仓明细!$AB$19*SUMPRODUCT(分期持仓明细!$B$19:$Y$19,'实盘净值数据(iFinD）'!$B872:$Y872/'实盘净值数据(iFinD）'!$B$20:$Y$20)*(1-实盘持仓初始配置!$Z$6)^(('实盘净值数据(iFinD）'!$A872-'实盘净值数据(iFinD）'!$A$7)/365))</f>
        <v/>
      </c>
      <c r="I872" s="16" t="str">
        <f t="shared" si="80"/>
        <v/>
      </c>
      <c r="J872" s="16" t="str">
        <f>IF(H872="","",H872/MAX(H$5:H872)-1)</f>
        <v/>
      </c>
      <c r="K872" s="13" t="str">
        <f>IF(OR('实盘净值数据(iFinD）'!$A872="",'实盘净值数据(iFinD）'!$B872="",'实盘净值数据(iFinD）'!$Z872="",'实盘净值数据(iFinD）'!$AA872=""),"",分期持仓明细!$AB$23*(SUMPRODUCT(分期持仓明细!$B$23:$Y$23,'实盘净值数据(iFinD）'!$B872:$Y872/'实盘净值数据(iFinD）'!$B$65:$Y$65)+SUMPRODUCT(分期持仓明细!$AC$23:$AD$23,'实盘净值数据(iFinD）'!$Z872:$AA872/'实盘净值数据(iFinD）'!$Z$65:$AA$65))*(1-实盘持仓初始配置!$Z$7)^(('实盘净值数据(iFinD）'!$A872-'实盘净值数据(iFinD）'!$A$8)/365))</f>
        <v/>
      </c>
      <c r="L872" s="16" t="str">
        <f t="shared" si="81"/>
        <v/>
      </c>
      <c r="M872" s="16" t="str">
        <f>IF(K872="","",K872/MAX(K$5:K872)-1)</f>
        <v/>
      </c>
      <c r="N872" s="13" t="str">
        <f>IF(OR('实盘净值数据(iFinD）'!$A872="",'实盘净值数据(iFinD）'!$B872="",'实盘净值数据(iFinD）'!$Z872="",'实盘净值数据(iFinD）'!$AA872=""),"",分期持仓明细!$AB$24*(SUMPRODUCT(分期持仓明细!$B$24:$Y$24,'实盘净值数据(iFinD）'!$B872:$Y872/'实盘净值数据(iFinD）'!$B$65:$Y$65)+SUMPRODUCT(分期持仓明细!$AC$24:$AD$24,'实盘净值数据(iFinD）'!$Z872:$AA872/'实盘净值数据(iFinD）'!$Z$65:$AA$65))*(1-实盘持仓初始配置!$Z$8)^(('实盘净值数据(iFinD）'!$A872-'实盘净值数据(iFinD）'!$A$5)/365))</f>
        <v/>
      </c>
      <c r="O872" s="16" t="str">
        <f t="shared" si="82"/>
        <v/>
      </c>
      <c r="P872" s="16" t="str">
        <f>IF(N872="","",N872/MAX(N$5:N872)-1)</f>
        <v/>
      </c>
      <c r="Q872" s="13" t="str">
        <f>IF(OR('实盘净值数据(iFinD）'!$A872="",'实盘净值数据(iFinD）'!$B872="",'实盘净值数据(iFinD）'!$Z872="",'实盘净值数据(iFinD）'!$AA872=""),"",分期持仓明细!$AB$25*(SUMPRODUCT(分期持仓明细!$B$25:$Y$25,'实盘净值数据(iFinD）'!$B872:$Y872/'实盘净值数据(iFinD）'!$B$65:$Y$65)+SUMPRODUCT(分期持仓明细!$AC$25:$AD$25,'实盘净值数据(iFinD）'!$Z872:$AA872/'实盘净值数据(iFinD）'!$Z$65:$AA$65))*(1-实盘持仓初始配置!$Z$9)^(('实盘净值数据(iFinD）'!$A872-'实盘净值数据(iFinD）'!$A$8)/365))</f>
        <v/>
      </c>
      <c r="R872" s="16" t="str">
        <f t="shared" si="83"/>
        <v/>
      </c>
      <c r="S872" s="16" t="str">
        <f>IF(Q872="","",Q872/MAX(Q$5:Q872)-1)</f>
        <v/>
      </c>
      <c r="T872" s="13">
        <f>IF(OR('实盘净值数据(iFinD）'!$A872="",'实盘净值数据(iFinD）'!$B872="",'实盘净值数据(iFinD）'!$Z872="",'实盘净值数据(iFinD）'!$AA872="",'实盘净值数据(iFinD）'!$AB872="",'实盘净值数据(iFinD）'!$AL872=""),"",(SUMPRODUCT(分期持仓明细!$B$26:$Y$26,'实盘净值数据(iFinD）'!$B872:$Y872/'实盘净值数据(iFinD）'!$B$69:$Y$69)+SUMPRODUCT(分期持仓明细!$AC$26:$AD$26,'实盘净值数据(iFinD）'!$Z872:$AA872/'实盘净值数据(iFinD）'!$Z$69:$AA$69)+SUMPRODUCT(分期持仓明细!$AE$26:$AO$26,'实盘净值数据(iFinD）'!$AB872:$AL872/'实盘净值数据(iFinD）'!$AB$69:$AL$69))*(1-实盘持仓初始配置!$Z$10)^(('实盘净值数据(iFinD）'!$A872-'实盘净值数据(iFinD）'!$A$69)/365))</f>
        <v/>
      </c>
      <c r="U872" s="16">
        <f>IF(OR(T871="",T872=""),"",T872/T871-1)</f>
        <v/>
      </c>
      <c r="V872" s="16">
        <f>IF(T872="","",T872/MAX(T$5:T872)-1)</f>
        <v/>
      </c>
    </row>
    <row r="873" spans="1:19">
      <c r="A873" s="15" t="str">
        <f>IF('实盘净值数据(iFinD）'!A873="","",'实盘净值数据(iFinD）'!A873)</f>
        <v/>
      </c>
      <c r="B873" s="13" t="str">
        <f>IF(OR('实盘净值数据(iFinD）'!$A873="",'实盘净值数据(iFinD）'!$B873=""),"",分期持仓明细!$AB$17*SUMPRODUCT(分期持仓明细!$B$17:$Y$17,'实盘净值数据(iFinD）'!$B873:$Y873/'实盘净值数据(iFinD）'!$B$20:$Y$20)*(1-实盘持仓初始配置!$Z$4)^(('实盘净值数据(iFinD）'!$A873-'实盘净值数据(iFinD）'!$A$6)/365))</f>
        <v/>
      </c>
      <c r="C873" s="16" t="str">
        <f t="shared" si="78"/>
        <v/>
      </c>
      <c r="D873" s="16" t="str">
        <f>IF(B873="","",B873/MAX(B$5:B873)-1)</f>
        <v/>
      </c>
      <c r="E873" s="13" t="str">
        <f>IF(OR('实盘净值数据(iFinD）'!$A873="",'实盘净值数据(iFinD）'!$B873=""),"",分期持仓明细!$AB$18*SUMPRODUCT(分期持仓明细!$B$18:$Y$18,'实盘净值数据(iFinD）'!$B873:$Y873/'实盘净值数据(iFinD）'!$B$20:$Y$20)*(1-实盘持仓初始配置!$Z$5)^(('实盘净值数据(iFinD）'!$A873-'实盘净值数据(iFinD）'!$A$5)/365))</f>
        <v/>
      </c>
      <c r="F873" s="16" t="str">
        <f t="shared" si="79"/>
        <v/>
      </c>
      <c r="G873" s="16" t="str">
        <f>IF(E873="","",E873/MAX(E$5:E873)-1)</f>
        <v/>
      </c>
      <c r="H873" s="13" t="str">
        <f>IF(OR('实盘净值数据(iFinD）'!$A873="",'实盘净值数据(iFinD）'!$B873=""),"",分期持仓明细!$AB$19*SUMPRODUCT(分期持仓明细!$B$19:$Y$19,'实盘净值数据(iFinD）'!$B873:$Y873/'实盘净值数据(iFinD）'!$B$20:$Y$20)*(1-实盘持仓初始配置!$Z$6)^(('实盘净值数据(iFinD）'!$A873-'实盘净值数据(iFinD）'!$A$7)/365))</f>
        <v/>
      </c>
      <c r="I873" s="16" t="str">
        <f t="shared" si="80"/>
        <v/>
      </c>
      <c r="J873" s="16" t="str">
        <f>IF(H873="","",H873/MAX(H$5:H873)-1)</f>
        <v/>
      </c>
      <c r="K873" s="13" t="str">
        <f>IF(OR('实盘净值数据(iFinD）'!$A873="",'实盘净值数据(iFinD）'!$B873="",'实盘净值数据(iFinD）'!$Z873="",'实盘净值数据(iFinD）'!$AA873=""),"",分期持仓明细!$AB$23*(SUMPRODUCT(分期持仓明细!$B$23:$Y$23,'实盘净值数据(iFinD）'!$B873:$Y873/'实盘净值数据(iFinD）'!$B$65:$Y$65)+SUMPRODUCT(分期持仓明细!$AC$23:$AD$23,'实盘净值数据(iFinD）'!$Z873:$AA873/'实盘净值数据(iFinD）'!$Z$65:$AA$65))*(1-实盘持仓初始配置!$Z$7)^(('实盘净值数据(iFinD）'!$A873-'实盘净值数据(iFinD）'!$A$8)/365))</f>
        <v/>
      </c>
      <c r="L873" s="16" t="str">
        <f t="shared" si="81"/>
        <v/>
      </c>
      <c r="M873" s="16" t="str">
        <f>IF(K873="","",K873/MAX(K$5:K873)-1)</f>
        <v/>
      </c>
      <c r="N873" s="13" t="str">
        <f>IF(OR('实盘净值数据(iFinD）'!$A873="",'实盘净值数据(iFinD）'!$B873="",'实盘净值数据(iFinD）'!$Z873="",'实盘净值数据(iFinD）'!$AA873=""),"",分期持仓明细!$AB$24*(SUMPRODUCT(分期持仓明细!$B$24:$Y$24,'实盘净值数据(iFinD）'!$B873:$Y873/'实盘净值数据(iFinD）'!$B$65:$Y$65)+SUMPRODUCT(分期持仓明细!$AC$24:$AD$24,'实盘净值数据(iFinD）'!$Z873:$AA873/'实盘净值数据(iFinD）'!$Z$65:$AA$65))*(1-实盘持仓初始配置!$Z$8)^(('实盘净值数据(iFinD）'!$A873-'实盘净值数据(iFinD）'!$A$5)/365))</f>
        <v/>
      </c>
      <c r="O873" s="16" t="str">
        <f t="shared" si="82"/>
        <v/>
      </c>
      <c r="P873" s="16" t="str">
        <f>IF(N873="","",N873/MAX(N$5:N873)-1)</f>
        <v/>
      </c>
      <c r="Q873" s="13" t="str">
        <f>IF(OR('实盘净值数据(iFinD）'!$A873="",'实盘净值数据(iFinD）'!$B873="",'实盘净值数据(iFinD）'!$Z873="",'实盘净值数据(iFinD）'!$AA873=""),"",分期持仓明细!$AB$25*(SUMPRODUCT(分期持仓明细!$B$25:$Y$25,'实盘净值数据(iFinD）'!$B873:$Y873/'实盘净值数据(iFinD）'!$B$65:$Y$65)+SUMPRODUCT(分期持仓明细!$AC$25:$AD$25,'实盘净值数据(iFinD）'!$Z873:$AA873/'实盘净值数据(iFinD）'!$Z$65:$AA$65))*(1-实盘持仓初始配置!$Z$9)^(('实盘净值数据(iFinD）'!$A873-'实盘净值数据(iFinD）'!$A$8)/365))</f>
        <v/>
      </c>
      <c r="R873" s="16" t="str">
        <f t="shared" si="83"/>
        <v/>
      </c>
      <c r="S873" s="16" t="str">
        <f>IF(Q873="","",Q873/MAX(Q$5:Q873)-1)</f>
        <v/>
      </c>
      <c r="T873" s="13">
        <f>IF(OR('实盘净值数据(iFinD）'!$A873="",'实盘净值数据(iFinD）'!$B873="",'实盘净值数据(iFinD）'!$Z873="",'实盘净值数据(iFinD）'!$AA873="",'实盘净值数据(iFinD）'!$AB873="",'实盘净值数据(iFinD）'!$AL873=""),"",(SUMPRODUCT(分期持仓明细!$B$26:$Y$26,'实盘净值数据(iFinD）'!$B873:$Y873/'实盘净值数据(iFinD）'!$B$69:$Y$69)+SUMPRODUCT(分期持仓明细!$AC$26:$AD$26,'实盘净值数据(iFinD）'!$Z873:$AA873/'实盘净值数据(iFinD）'!$Z$69:$AA$69)+SUMPRODUCT(分期持仓明细!$AE$26:$AO$26,'实盘净值数据(iFinD）'!$AB873:$AL873/'实盘净值数据(iFinD）'!$AB$69:$AL$69))*(1-实盘持仓初始配置!$Z$10)^(('实盘净值数据(iFinD）'!$A873-'实盘净值数据(iFinD）'!$A$69)/365))</f>
        <v/>
      </c>
      <c r="U873" s="16">
        <f>IF(OR(T872="",T873=""),"",T873/T872-1)</f>
        <v/>
      </c>
      <c r="V873" s="16">
        <f>IF(T873="","",T873/MAX(T$5:T873)-1)</f>
        <v/>
      </c>
    </row>
    <row r="874" spans="1:19">
      <c r="A874" s="15" t="str">
        <f>IF('实盘净值数据(iFinD）'!A874="","",'实盘净值数据(iFinD）'!A874)</f>
        <v/>
      </c>
      <c r="B874" s="13" t="str">
        <f>IF(OR('实盘净值数据(iFinD）'!$A874="",'实盘净值数据(iFinD）'!$B874=""),"",分期持仓明细!$AB$17*SUMPRODUCT(分期持仓明细!$B$17:$Y$17,'实盘净值数据(iFinD）'!$B874:$Y874/'实盘净值数据(iFinD）'!$B$20:$Y$20)*(1-实盘持仓初始配置!$Z$4)^(('实盘净值数据(iFinD）'!$A874-'实盘净值数据(iFinD）'!$A$6)/365))</f>
        <v/>
      </c>
      <c r="C874" s="16" t="str">
        <f t="shared" si="78"/>
        <v/>
      </c>
      <c r="D874" s="16" t="str">
        <f>IF(B874="","",B874/MAX(B$5:B874)-1)</f>
        <v/>
      </c>
      <c r="E874" s="13" t="str">
        <f>IF(OR('实盘净值数据(iFinD）'!$A874="",'实盘净值数据(iFinD）'!$B874=""),"",分期持仓明细!$AB$18*SUMPRODUCT(分期持仓明细!$B$18:$Y$18,'实盘净值数据(iFinD）'!$B874:$Y874/'实盘净值数据(iFinD）'!$B$20:$Y$20)*(1-实盘持仓初始配置!$Z$5)^(('实盘净值数据(iFinD）'!$A874-'实盘净值数据(iFinD）'!$A$5)/365))</f>
        <v/>
      </c>
      <c r="F874" s="16" t="str">
        <f t="shared" si="79"/>
        <v/>
      </c>
      <c r="G874" s="16" t="str">
        <f>IF(E874="","",E874/MAX(E$5:E874)-1)</f>
        <v/>
      </c>
      <c r="H874" s="13" t="str">
        <f>IF(OR('实盘净值数据(iFinD）'!$A874="",'实盘净值数据(iFinD）'!$B874=""),"",分期持仓明细!$AB$19*SUMPRODUCT(分期持仓明细!$B$19:$Y$19,'实盘净值数据(iFinD）'!$B874:$Y874/'实盘净值数据(iFinD）'!$B$20:$Y$20)*(1-实盘持仓初始配置!$Z$6)^(('实盘净值数据(iFinD）'!$A874-'实盘净值数据(iFinD）'!$A$7)/365))</f>
        <v/>
      </c>
      <c r="I874" s="16" t="str">
        <f t="shared" si="80"/>
        <v/>
      </c>
      <c r="J874" s="16" t="str">
        <f>IF(H874="","",H874/MAX(H$5:H874)-1)</f>
        <v/>
      </c>
      <c r="K874" s="13" t="str">
        <f>IF(OR('实盘净值数据(iFinD）'!$A874="",'实盘净值数据(iFinD）'!$B874="",'实盘净值数据(iFinD）'!$Z874="",'实盘净值数据(iFinD）'!$AA874=""),"",分期持仓明细!$AB$23*(SUMPRODUCT(分期持仓明细!$B$23:$Y$23,'实盘净值数据(iFinD）'!$B874:$Y874/'实盘净值数据(iFinD）'!$B$65:$Y$65)+SUMPRODUCT(分期持仓明细!$AC$23:$AD$23,'实盘净值数据(iFinD）'!$Z874:$AA874/'实盘净值数据(iFinD）'!$Z$65:$AA$65))*(1-实盘持仓初始配置!$Z$7)^(('实盘净值数据(iFinD）'!$A874-'实盘净值数据(iFinD）'!$A$8)/365))</f>
        <v/>
      </c>
      <c r="L874" s="16" t="str">
        <f t="shared" si="81"/>
        <v/>
      </c>
      <c r="M874" s="16" t="str">
        <f>IF(K874="","",K874/MAX(K$5:K874)-1)</f>
        <v/>
      </c>
      <c r="N874" s="13" t="str">
        <f>IF(OR('实盘净值数据(iFinD）'!$A874="",'实盘净值数据(iFinD）'!$B874="",'实盘净值数据(iFinD）'!$Z874="",'实盘净值数据(iFinD）'!$AA874=""),"",分期持仓明细!$AB$24*(SUMPRODUCT(分期持仓明细!$B$24:$Y$24,'实盘净值数据(iFinD）'!$B874:$Y874/'实盘净值数据(iFinD）'!$B$65:$Y$65)+SUMPRODUCT(分期持仓明细!$AC$24:$AD$24,'实盘净值数据(iFinD）'!$Z874:$AA874/'实盘净值数据(iFinD）'!$Z$65:$AA$65))*(1-实盘持仓初始配置!$Z$8)^(('实盘净值数据(iFinD）'!$A874-'实盘净值数据(iFinD）'!$A$5)/365))</f>
        <v/>
      </c>
      <c r="O874" s="16" t="str">
        <f t="shared" si="82"/>
        <v/>
      </c>
      <c r="P874" s="16" t="str">
        <f>IF(N874="","",N874/MAX(N$5:N874)-1)</f>
        <v/>
      </c>
      <c r="Q874" s="13" t="str">
        <f>IF(OR('实盘净值数据(iFinD）'!$A874="",'实盘净值数据(iFinD）'!$B874="",'实盘净值数据(iFinD）'!$Z874="",'实盘净值数据(iFinD）'!$AA874=""),"",分期持仓明细!$AB$25*(SUMPRODUCT(分期持仓明细!$B$25:$Y$25,'实盘净值数据(iFinD）'!$B874:$Y874/'实盘净值数据(iFinD）'!$B$65:$Y$65)+SUMPRODUCT(分期持仓明细!$AC$25:$AD$25,'实盘净值数据(iFinD）'!$Z874:$AA874/'实盘净值数据(iFinD）'!$Z$65:$AA$65))*(1-实盘持仓初始配置!$Z$9)^(('实盘净值数据(iFinD）'!$A874-'实盘净值数据(iFinD）'!$A$8)/365))</f>
        <v/>
      </c>
      <c r="R874" s="16" t="str">
        <f t="shared" si="83"/>
        <v/>
      </c>
      <c r="S874" s="16" t="str">
        <f>IF(Q874="","",Q874/MAX(Q$5:Q874)-1)</f>
        <v/>
      </c>
      <c r="T874" s="13">
        <f>IF(OR('实盘净值数据(iFinD）'!$A874="",'实盘净值数据(iFinD）'!$B874="",'实盘净值数据(iFinD）'!$Z874="",'实盘净值数据(iFinD）'!$AA874="",'实盘净值数据(iFinD）'!$AB874="",'实盘净值数据(iFinD）'!$AL874=""),"",(SUMPRODUCT(分期持仓明细!$B$26:$Y$26,'实盘净值数据(iFinD）'!$B874:$Y874/'实盘净值数据(iFinD）'!$B$69:$Y$69)+SUMPRODUCT(分期持仓明细!$AC$26:$AD$26,'实盘净值数据(iFinD）'!$Z874:$AA874/'实盘净值数据(iFinD）'!$Z$69:$AA$69)+SUMPRODUCT(分期持仓明细!$AE$26:$AO$26,'实盘净值数据(iFinD）'!$AB874:$AL874/'实盘净值数据(iFinD）'!$AB$69:$AL$69))*(1-实盘持仓初始配置!$Z$10)^(('实盘净值数据(iFinD）'!$A874-'实盘净值数据(iFinD）'!$A$69)/365))</f>
        <v/>
      </c>
      <c r="U874" s="16">
        <f>IF(OR(T873="",T874=""),"",T874/T873-1)</f>
        <v/>
      </c>
      <c r="V874" s="16">
        <f>IF(T874="","",T874/MAX(T$5:T874)-1)</f>
        <v/>
      </c>
    </row>
    <row r="875" spans="1:19">
      <c r="A875" s="15" t="str">
        <f>IF('实盘净值数据(iFinD）'!A875="","",'实盘净值数据(iFinD）'!A875)</f>
        <v/>
      </c>
      <c r="B875" s="13" t="str">
        <f>IF(OR('实盘净值数据(iFinD）'!$A875="",'实盘净值数据(iFinD）'!$B875=""),"",分期持仓明细!$AB$17*SUMPRODUCT(分期持仓明细!$B$17:$Y$17,'实盘净值数据(iFinD）'!$B875:$Y875/'实盘净值数据(iFinD）'!$B$20:$Y$20)*(1-实盘持仓初始配置!$Z$4)^(('实盘净值数据(iFinD）'!$A875-'实盘净值数据(iFinD）'!$A$6)/365))</f>
        <v/>
      </c>
      <c r="C875" s="16" t="str">
        <f t="shared" si="78"/>
        <v/>
      </c>
      <c r="D875" s="16" t="str">
        <f>IF(B875="","",B875/MAX(B$5:B875)-1)</f>
        <v/>
      </c>
      <c r="E875" s="13" t="str">
        <f>IF(OR('实盘净值数据(iFinD）'!$A875="",'实盘净值数据(iFinD）'!$B875=""),"",分期持仓明细!$AB$18*SUMPRODUCT(分期持仓明细!$B$18:$Y$18,'实盘净值数据(iFinD）'!$B875:$Y875/'实盘净值数据(iFinD）'!$B$20:$Y$20)*(1-实盘持仓初始配置!$Z$5)^(('实盘净值数据(iFinD）'!$A875-'实盘净值数据(iFinD）'!$A$5)/365))</f>
        <v/>
      </c>
      <c r="F875" s="16" t="str">
        <f t="shared" si="79"/>
        <v/>
      </c>
      <c r="G875" s="16" t="str">
        <f>IF(E875="","",E875/MAX(E$5:E875)-1)</f>
        <v/>
      </c>
      <c r="H875" s="13" t="str">
        <f>IF(OR('实盘净值数据(iFinD）'!$A875="",'实盘净值数据(iFinD）'!$B875=""),"",分期持仓明细!$AB$19*SUMPRODUCT(分期持仓明细!$B$19:$Y$19,'实盘净值数据(iFinD）'!$B875:$Y875/'实盘净值数据(iFinD）'!$B$20:$Y$20)*(1-实盘持仓初始配置!$Z$6)^(('实盘净值数据(iFinD）'!$A875-'实盘净值数据(iFinD）'!$A$7)/365))</f>
        <v/>
      </c>
      <c r="I875" s="16" t="str">
        <f t="shared" si="80"/>
        <v/>
      </c>
      <c r="J875" s="16" t="str">
        <f>IF(H875="","",H875/MAX(H$5:H875)-1)</f>
        <v/>
      </c>
      <c r="K875" s="13" t="str">
        <f>IF(OR('实盘净值数据(iFinD）'!$A875="",'实盘净值数据(iFinD）'!$B875="",'实盘净值数据(iFinD）'!$Z875="",'实盘净值数据(iFinD）'!$AA875=""),"",分期持仓明细!$AB$23*(SUMPRODUCT(分期持仓明细!$B$23:$Y$23,'实盘净值数据(iFinD）'!$B875:$Y875/'实盘净值数据(iFinD）'!$B$65:$Y$65)+SUMPRODUCT(分期持仓明细!$AC$23:$AD$23,'实盘净值数据(iFinD）'!$Z875:$AA875/'实盘净值数据(iFinD）'!$Z$65:$AA$65))*(1-实盘持仓初始配置!$Z$7)^(('实盘净值数据(iFinD）'!$A875-'实盘净值数据(iFinD）'!$A$8)/365))</f>
        <v/>
      </c>
      <c r="L875" s="16" t="str">
        <f t="shared" si="81"/>
        <v/>
      </c>
      <c r="M875" s="16" t="str">
        <f>IF(K875="","",K875/MAX(K$5:K875)-1)</f>
        <v/>
      </c>
      <c r="N875" s="13" t="str">
        <f>IF(OR('实盘净值数据(iFinD）'!$A875="",'实盘净值数据(iFinD）'!$B875="",'实盘净值数据(iFinD）'!$Z875="",'实盘净值数据(iFinD）'!$AA875=""),"",分期持仓明细!$AB$24*(SUMPRODUCT(分期持仓明细!$B$24:$Y$24,'实盘净值数据(iFinD）'!$B875:$Y875/'实盘净值数据(iFinD）'!$B$65:$Y$65)+SUMPRODUCT(分期持仓明细!$AC$24:$AD$24,'实盘净值数据(iFinD）'!$Z875:$AA875/'实盘净值数据(iFinD）'!$Z$65:$AA$65))*(1-实盘持仓初始配置!$Z$8)^(('实盘净值数据(iFinD）'!$A875-'实盘净值数据(iFinD）'!$A$5)/365))</f>
        <v/>
      </c>
      <c r="O875" s="16" t="str">
        <f t="shared" si="82"/>
        <v/>
      </c>
      <c r="P875" s="16" t="str">
        <f>IF(N875="","",N875/MAX(N$5:N875)-1)</f>
        <v/>
      </c>
      <c r="Q875" s="13" t="str">
        <f>IF(OR('实盘净值数据(iFinD）'!$A875="",'实盘净值数据(iFinD）'!$B875="",'实盘净值数据(iFinD）'!$Z875="",'实盘净值数据(iFinD）'!$AA875=""),"",分期持仓明细!$AB$25*(SUMPRODUCT(分期持仓明细!$B$25:$Y$25,'实盘净值数据(iFinD）'!$B875:$Y875/'实盘净值数据(iFinD）'!$B$65:$Y$65)+SUMPRODUCT(分期持仓明细!$AC$25:$AD$25,'实盘净值数据(iFinD）'!$Z875:$AA875/'实盘净值数据(iFinD）'!$Z$65:$AA$65))*(1-实盘持仓初始配置!$Z$9)^(('实盘净值数据(iFinD）'!$A875-'实盘净值数据(iFinD）'!$A$8)/365))</f>
        <v/>
      </c>
      <c r="R875" s="16" t="str">
        <f t="shared" si="83"/>
        <v/>
      </c>
      <c r="S875" s="16" t="str">
        <f>IF(Q875="","",Q875/MAX(Q$5:Q875)-1)</f>
        <v/>
      </c>
      <c r="T875" s="13">
        <f>IF(OR('实盘净值数据(iFinD）'!$A875="",'实盘净值数据(iFinD）'!$B875="",'实盘净值数据(iFinD）'!$Z875="",'实盘净值数据(iFinD）'!$AA875="",'实盘净值数据(iFinD）'!$AB875="",'实盘净值数据(iFinD）'!$AL875=""),"",(SUMPRODUCT(分期持仓明细!$B$26:$Y$26,'实盘净值数据(iFinD）'!$B875:$Y875/'实盘净值数据(iFinD）'!$B$69:$Y$69)+SUMPRODUCT(分期持仓明细!$AC$26:$AD$26,'实盘净值数据(iFinD）'!$Z875:$AA875/'实盘净值数据(iFinD）'!$Z$69:$AA$69)+SUMPRODUCT(分期持仓明细!$AE$26:$AO$26,'实盘净值数据(iFinD）'!$AB875:$AL875/'实盘净值数据(iFinD）'!$AB$69:$AL$69))*(1-实盘持仓初始配置!$Z$10)^(('实盘净值数据(iFinD）'!$A875-'实盘净值数据(iFinD）'!$A$69)/365))</f>
        <v/>
      </c>
      <c r="U875" s="16">
        <f>IF(OR(T874="",T875=""),"",T875/T874-1)</f>
        <v/>
      </c>
      <c r="V875" s="16">
        <f>IF(T875="","",T875/MAX(T$5:T875)-1)</f>
        <v/>
      </c>
    </row>
    <row r="876" spans="1:19">
      <c r="A876" s="15" t="str">
        <f>IF('实盘净值数据(iFinD）'!A876="","",'实盘净值数据(iFinD）'!A876)</f>
        <v/>
      </c>
      <c r="B876" s="13" t="str">
        <f>IF(OR('实盘净值数据(iFinD）'!$A876="",'实盘净值数据(iFinD）'!$B876=""),"",分期持仓明细!$AB$17*SUMPRODUCT(分期持仓明细!$B$17:$Y$17,'实盘净值数据(iFinD）'!$B876:$Y876/'实盘净值数据(iFinD）'!$B$20:$Y$20)*(1-实盘持仓初始配置!$Z$4)^(('实盘净值数据(iFinD）'!$A876-'实盘净值数据(iFinD）'!$A$6)/365))</f>
        <v/>
      </c>
      <c r="C876" s="16" t="str">
        <f t="shared" si="78"/>
        <v/>
      </c>
      <c r="D876" s="16" t="str">
        <f>IF(B876="","",B876/MAX(B$5:B876)-1)</f>
        <v/>
      </c>
      <c r="E876" s="13" t="str">
        <f>IF(OR('实盘净值数据(iFinD）'!$A876="",'实盘净值数据(iFinD）'!$B876=""),"",分期持仓明细!$AB$18*SUMPRODUCT(分期持仓明细!$B$18:$Y$18,'实盘净值数据(iFinD）'!$B876:$Y876/'实盘净值数据(iFinD）'!$B$20:$Y$20)*(1-实盘持仓初始配置!$Z$5)^(('实盘净值数据(iFinD）'!$A876-'实盘净值数据(iFinD）'!$A$5)/365))</f>
        <v/>
      </c>
      <c r="F876" s="16" t="str">
        <f t="shared" si="79"/>
        <v/>
      </c>
      <c r="G876" s="16" t="str">
        <f>IF(E876="","",E876/MAX(E$5:E876)-1)</f>
        <v/>
      </c>
      <c r="H876" s="13" t="str">
        <f>IF(OR('实盘净值数据(iFinD）'!$A876="",'实盘净值数据(iFinD）'!$B876=""),"",分期持仓明细!$AB$19*SUMPRODUCT(分期持仓明细!$B$19:$Y$19,'实盘净值数据(iFinD）'!$B876:$Y876/'实盘净值数据(iFinD）'!$B$20:$Y$20)*(1-实盘持仓初始配置!$Z$6)^(('实盘净值数据(iFinD）'!$A876-'实盘净值数据(iFinD）'!$A$7)/365))</f>
        <v/>
      </c>
      <c r="I876" s="16" t="str">
        <f t="shared" si="80"/>
        <v/>
      </c>
      <c r="J876" s="16" t="str">
        <f>IF(H876="","",H876/MAX(H$5:H876)-1)</f>
        <v/>
      </c>
      <c r="K876" s="13" t="str">
        <f>IF(OR('实盘净值数据(iFinD）'!$A876="",'实盘净值数据(iFinD）'!$B876="",'实盘净值数据(iFinD）'!$Z876="",'实盘净值数据(iFinD）'!$AA876=""),"",分期持仓明细!$AB$23*(SUMPRODUCT(分期持仓明细!$B$23:$Y$23,'实盘净值数据(iFinD）'!$B876:$Y876/'实盘净值数据(iFinD）'!$B$65:$Y$65)+SUMPRODUCT(分期持仓明细!$AC$23:$AD$23,'实盘净值数据(iFinD）'!$Z876:$AA876/'实盘净值数据(iFinD）'!$Z$65:$AA$65))*(1-实盘持仓初始配置!$Z$7)^(('实盘净值数据(iFinD）'!$A876-'实盘净值数据(iFinD）'!$A$8)/365))</f>
        <v/>
      </c>
      <c r="L876" s="16" t="str">
        <f t="shared" si="81"/>
        <v/>
      </c>
      <c r="M876" s="16" t="str">
        <f>IF(K876="","",K876/MAX(K$5:K876)-1)</f>
        <v/>
      </c>
      <c r="N876" s="13" t="str">
        <f>IF(OR('实盘净值数据(iFinD）'!$A876="",'实盘净值数据(iFinD）'!$B876="",'实盘净值数据(iFinD）'!$Z876="",'实盘净值数据(iFinD）'!$AA876=""),"",分期持仓明细!$AB$24*(SUMPRODUCT(分期持仓明细!$B$24:$Y$24,'实盘净值数据(iFinD）'!$B876:$Y876/'实盘净值数据(iFinD）'!$B$65:$Y$65)+SUMPRODUCT(分期持仓明细!$AC$24:$AD$24,'实盘净值数据(iFinD）'!$Z876:$AA876/'实盘净值数据(iFinD）'!$Z$65:$AA$65))*(1-实盘持仓初始配置!$Z$8)^(('实盘净值数据(iFinD）'!$A876-'实盘净值数据(iFinD）'!$A$5)/365))</f>
        <v/>
      </c>
      <c r="O876" s="16" t="str">
        <f t="shared" si="82"/>
        <v/>
      </c>
      <c r="P876" s="16" t="str">
        <f>IF(N876="","",N876/MAX(N$5:N876)-1)</f>
        <v/>
      </c>
      <c r="Q876" s="13" t="str">
        <f>IF(OR('实盘净值数据(iFinD）'!$A876="",'实盘净值数据(iFinD）'!$B876="",'实盘净值数据(iFinD）'!$Z876="",'实盘净值数据(iFinD）'!$AA876=""),"",分期持仓明细!$AB$25*(SUMPRODUCT(分期持仓明细!$B$25:$Y$25,'实盘净值数据(iFinD）'!$B876:$Y876/'实盘净值数据(iFinD）'!$B$65:$Y$65)+SUMPRODUCT(分期持仓明细!$AC$25:$AD$25,'实盘净值数据(iFinD）'!$Z876:$AA876/'实盘净值数据(iFinD）'!$Z$65:$AA$65))*(1-实盘持仓初始配置!$Z$9)^(('实盘净值数据(iFinD）'!$A876-'实盘净值数据(iFinD）'!$A$8)/365))</f>
        <v/>
      </c>
      <c r="R876" s="16" t="str">
        <f t="shared" si="83"/>
        <v/>
      </c>
      <c r="S876" s="16" t="str">
        <f>IF(Q876="","",Q876/MAX(Q$5:Q876)-1)</f>
        <v/>
      </c>
      <c r="T876" s="13">
        <f>IF(OR('实盘净值数据(iFinD）'!$A876="",'实盘净值数据(iFinD）'!$B876="",'实盘净值数据(iFinD）'!$Z876="",'实盘净值数据(iFinD）'!$AA876="",'实盘净值数据(iFinD）'!$AB876="",'实盘净值数据(iFinD）'!$AL876=""),"",(SUMPRODUCT(分期持仓明细!$B$26:$Y$26,'实盘净值数据(iFinD）'!$B876:$Y876/'实盘净值数据(iFinD）'!$B$69:$Y$69)+SUMPRODUCT(分期持仓明细!$AC$26:$AD$26,'实盘净值数据(iFinD）'!$Z876:$AA876/'实盘净值数据(iFinD）'!$Z$69:$AA$69)+SUMPRODUCT(分期持仓明细!$AE$26:$AO$26,'实盘净值数据(iFinD）'!$AB876:$AL876/'实盘净值数据(iFinD）'!$AB$69:$AL$69))*(1-实盘持仓初始配置!$Z$10)^(('实盘净值数据(iFinD）'!$A876-'实盘净值数据(iFinD）'!$A$69)/365))</f>
        <v/>
      </c>
      <c r="U876" s="16">
        <f>IF(OR(T875="",T876=""),"",T876/T875-1)</f>
        <v/>
      </c>
      <c r="V876" s="16">
        <f>IF(T876="","",T876/MAX(T$5:T876)-1)</f>
        <v/>
      </c>
    </row>
    <row r="877" spans="1:19">
      <c r="A877" s="15" t="str">
        <f>IF('实盘净值数据(iFinD）'!A877="","",'实盘净值数据(iFinD）'!A877)</f>
        <v/>
      </c>
      <c r="B877" s="13" t="str">
        <f>IF(OR('实盘净值数据(iFinD）'!$A877="",'实盘净值数据(iFinD）'!$B877=""),"",分期持仓明细!$AB$17*SUMPRODUCT(分期持仓明细!$B$17:$Y$17,'实盘净值数据(iFinD）'!$B877:$Y877/'实盘净值数据(iFinD）'!$B$20:$Y$20)*(1-实盘持仓初始配置!$Z$4)^(('实盘净值数据(iFinD）'!$A877-'实盘净值数据(iFinD）'!$A$6)/365))</f>
        <v/>
      </c>
      <c r="C877" s="16" t="str">
        <f t="shared" si="78"/>
        <v/>
      </c>
      <c r="D877" s="16" t="str">
        <f>IF(B877="","",B877/MAX(B$5:B877)-1)</f>
        <v/>
      </c>
      <c r="E877" s="13" t="str">
        <f>IF(OR('实盘净值数据(iFinD）'!$A877="",'实盘净值数据(iFinD）'!$B877=""),"",分期持仓明细!$AB$18*SUMPRODUCT(分期持仓明细!$B$18:$Y$18,'实盘净值数据(iFinD）'!$B877:$Y877/'实盘净值数据(iFinD）'!$B$20:$Y$20)*(1-实盘持仓初始配置!$Z$5)^(('实盘净值数据(iFinD）'!$A877-'实盘净值数据(iFinD）'!$A$5)/365))</f>
        <v/>
      </c>
      <c r="F877" s="16" t="str">
        <f t="shared" si="79"/>
        <v/>
      </c>
      <c r="G877" s="16" t="str">
        <f>IF(E877="","",E877/MAX(E$5:E877)-1)</f>
        <v/>
      </c>
      <c r="H877" s="13" t="str">
        <f>IF(OR('实盘净值数据(iFinD）'!$A877="",'实盘净值数据(iFinD）'!$B877=""),"",分期持仓明细!$AB$19*SUMPRODUCT(分期持仓明细!$B$19:$Y$19,'实盘净值数据(iFinD）'!$B877:$Y877/'实盘净值数据(iFinD）'!$B$20:$Y$20)*(1-实盘持仓初始配置!$Z$6)^(('实盘净值数据(iFinD）'!$A877-'实盘净值数据(iFinD）'!$A$7)/365))</f>
        <v/>
      </c>
      <c r="I877" s="16" t="str">
        <f t="shared" si="80"/>
        <v/>
      </c>
      <c r="J877" s="16" t="str">
        <f>IF(H877="","",H877/MAX(H$5:H877)-1)</f>
        <v/>
      </c>
      <c r="K877" s="13" t="str">
        <f>IF(OR('实盘净值数据(iFinD）'!$A877="",'实盘净值数据(iFinD）'!$B877="",'实盘净值数据(iFinD）'!$Z877="",'实盘净值数据(iFinD）'!$AA877=""),"",分期持仓明细!$AB$23*(SUMPRODUCT(分期持仓明细!$B$23:$Y$23,'实盘净值数据(iFinD）'!$B877:$Y877/'实盘净值数据(iFinD）'!$B$65:$Y$65)+SUMPRODUCT(分期持仓明细!$AC$23:$AD$23,'实盘净值数据(iFinD）'!$Z877:$AA877/'实盘净值数据(iFinD）'!$Z$65:$AA$65))*(1-实盘持仓初始配置!$Z$7)^(('实盘净值数据(iFinD）'!$A877-'实盘净值数据(iFinD）'!$A$8)/365))</f>
        <v/>
      </c>
      <c r="L877" s="16" t="str">
        <f t="shared" si="81"/>
        <v/>
      </c>
      <c r="M877" s="16" t="str">
        <f>IF(K877="","",K877/MAX(K$5:K877)-1)</f>
        <v/>
      </c>
      <c r="N877" s="13" t="str">
        <f>IF(OR('实盘净值数据(iFinD）'!$A877="",'实盘净值数据(iFinD）'!$B877="",'实盘净值数据(iFinD）'!$Z877="",'实盘净值数据(iFinD）'!$AA877=""),"",分期持仓明细!$AB$24*(SUMPRODUCT(分期持仓明细!$B$24:$Y$24,'实盘净值数据(iFinD）'!$B877:$Y877/'实盘净值数据(iFinD）'!$B$65:$Y$65)+SUMPRODUCT(分期持仓明细!$AC$24:$AD$24,'实盘净值数据(iFinD）'!$Z877:$AA877/'实盘净值数据(iFinD）'!$Z$65:$AA$65))*(1-实盘持仓初始配置!$Z$8)^(('实盘净值数据(iFinD）'!$A877-'实盘净值数据(iFinD）'!$A$5)/365))</f>
        <v/>
      </c>
      <c r="O877" s="16" t="str">
        <f t="shared" si="82"/>
        <v/>
      </c>
      <c r="P877" s="16" t="str">
        <f>IF(N877="","",N877/MAX(N$5:N877)-1)</f>
        <v/>
      </c>
      <c r="Q877" s="13" t="str">
        <f>IF(OR('实盘净值数据(iFinD）'!$A877="",'实盘净值数据(iFinD）'!$B877="",'实盘净值数据(iFinD）'!$Z877="",'实盘净值数据(iFinD）'!$AA877=""),"",分期持仓明细!$AB$25*(SUMPRODUCT(分期持仓明细!$B$25:$Y$25,'实盘净值数据(iFinD）'!$B877:$Y877/'实盘净值数据(iFinD）'!$B$65:$Y$65)+SUMPRODUCT(分期持仓明细!$AC$25:$AD$25,'实盘净值数据(iFinD）'!$Z877:$AA877/'实盘净值数据(iFinD）'!$Z$65:$AA$65))*(1-实盘持仓初始配置!$Z$9)^(('实盘净值数据(iFinD）'!$A877-'实盘净值数据(iFinD）'!$A$8)/365))</f>
        <v/>
      </c>
      <c r="R877" s="16" t="str">
        <f t="shared" si="83"/>
        <v/>
      </c>
      <c r="S877" s="16" t="str">
        <f>IF(Q877="","",Q877/MAX(Q$5:Q877)-1)</f>
        <v/>
      </c>
      <c r="T877" s="13">
        <f>IF(OR('实盘净值数据(iFinD）'!$A877="",'实盘净值数据(iFinD）'!$B877="",'实盘净值数据(iFinD）'!$Z877="",'实盘净值数据(iFinD）'!$AA877="",'实盘净值数据(iFinD）'!$AB877="",'实盘净值数据(iFinD）'!$AL877=""),"",(SUMPRODUCT(分期持仓明细!$B$26:$Y$26,'实盘净值数据(iFinD）'!$B877:$Y877/'实盘净值数据(iFinD）'!$B$69:$Y$69)+SUMPRODUCT(分期持仓明细!$AC$26:$AD$26,'实盘净值数据(iFinD）'!$Z877:$AA877/'实盘净值数据(iFinD）'!$Z$69:$AA$69)+SUMPRODUCT(分期持仓明细!$AE$26:$AO$26,'实盘净值数据(iFinD）'!$AB877:$AL877/'实盘净值数据(iFinD）'!$AB$69:$AL$69))*(1-实盘持仓初始配置!$Z$10)^(('实盘净值数据(iFinD）'!$A877-'实盘净值数据(iFinD）'!$A$69)/365))</f>
        <v/>
      </c>
      <c r="U877" s="16">
        <f>IF(OR(T876="",T877=""),"",T877/T876-1)</f>
        <v/>
      </c>
      <c r="V877" s="16">
        <f>IF(T877="","",T877/MAX(T$5:T877)-1)</f>
        <v/>
      </c>
    </row>
    <row r="878" spans="1:19">
      <c r="A878" s="15" t="str">
        <f>IF('实盘净值数据(iFinD）'!A878="","",'实盘净值数据(iFinD）'!A878)</f>
        <v/>
      </c>
      <c r="B878" s="13" t="str">
        <f>IF(OR('实盘净值数据(iFinD）'!$A878="",'实盘净值数据(iFinD）'!$B878=""),"",分期持仓明细!$AB$17*SUMPRODUCT(分期持仓明细!$B$17:$Y$17,'实盘净值数据(iFinD）'!$B878:$Y878/'实盘净值数据(iFinD）'!$B$20:$Y$20)*(1-实盘持仓初始配置!$Z$4)^(('实盘净值数据(iFinD）'!$A878-'实盘净值数据(iFinD）'!$A$6)/365))</f>
        <v/>
      </c>
      <c r="C878" s="16" t="str">
        <f t="shared" si="78"/>
        <v/>
      </c>
      <c r="D878" s="16" t="str">
        <f>IF(B878="","",B878/MAX(B$5:B878)-1)</f>
        <v/>
      </c>
      <c r="E878" s="13" t="str">
        <f>IF(OR('实盘净值数据(iFinD）'!$A878="",'实盘净值数据(iFinD）'!$B878=""),"",分期持仓明细!$AB$18*SUMPRODUCT(分期持仓明细!$B$18:$Y$18,'实盘净值数据(iFinD）'!$B878:$Y878/'实盘净值数据(iFinD）'!$B$20:$Y$20)*(1-实盘持仓初始配置!$Z$5)^(('实盘净值数据(iFinD）'!$A878-'实盘净值数据(iFinD）'!$A$5)/365))</f>
        <v/>
      </c>
      <c r="F878" s="16" t="str">
        <f t="shared" si="79"/>
        <v/>
      </c>
      <c r="G878" s="16" t="str">
        <f>IF(E878="","",E878/MAX(E$5:E878)-1)</f>
        <v/>
      </c>
      <c r="H878" s="13" t="str">
        <f>IF(OR('实盘净值数据(iFinD）'!$A878="",'实盘净值数据(iFinD）'!$B878=""),"",分期持仓明细!$AB$19*SUMPRODUCT(分期持仓明细!$B$19:$Y$19,'实盘净值数据(iFinD）'!$B878:$Y878/'实盘净值数据(iFinD）'!$B$20:$Y$20)*(1-实盘持仓初始配置!$Z$6)^(('实盘净值数据(iFinD）'!$A878-'实盘净值数据(iFinD）'!$A$7)/365))</f>
        <v/>
      </c>
      <c r="I878" s="16" t="str">
        <f t="shared" si="80"/>
        <v/>
      </c>
      <c r="J878" s="16" t="str">
        <f>IF(H878="","",H878/MAX(H$5:H878)-1)</f>
        <v/>
      </c>
      <c r="K878" s="13" t="str">
        <f>IF(OR('实盘净值数据(iFinD）'!$A878="",'实盘净值数据(iFinD）'!$B878="",'实盘净值数据(iFinD）'!$Z878="",'实盘净值数据(iFinD）'!$AA878=""),"",分期持仓明细!$AB$23*(SUMPRODUCT(分期持仓明细!$B$23:$Y$23,'实盘净值数据(iFinD）'!$B878:$Y878/'实盘净值数据(iFinD）'!$B$65:$Y$65)+SUMPRODUCT(分期持仓明细!$AC$23:$AD$23,'实盘净值数据(iFinD）'!$Z878:$AA878/'实盘净值数据(iFinD）'!$Z$65:$AA$65))*(1-实盘持仓初始配置!$Z$7)^(('实盘净值数据(iFinD）'!$A878-'实盘净值数据(iFinD）'!$A$8)/365))</f>
        <v/>
      </c>
      <c r="L878" s="16" t="str">
        <f t="shared" si="81"/>
        <v/>
      </c>
      <c r="M878" s="16" t="str">
        <f>IF(K878="","",K878/MAX(K$5:K878)-1)</f>
        <v/>
      </c>
      <c r="N878" s="13" t="str">
        <f>IF(OR('实盘净值数据(iFinD）'!$A878="",'实盘净值数据(iFinD）'!$B878="",'实盘净值数据(iFinD）'!$Z878="",'实盘净值数据(iFinD）'!$AA878=""),"",分期持仓明细!$AB$24*(SUMPRODUCT(分期持仓明细!$B$24:$Y$24,'实盘净值数据(iFinD）'!$B878:$Y878/'实盘净值数据(iFinD）'!$B$65:$Y$65)+SUMPRODUCT(分期持仓明细!$AC$24:$AD$24,'实盘净值数据(iFinD）'!$Z878:$AA878/'实盘净值数据(iFinD）'!$Z$65:$AA$65))*(1-实盘持仓初始配置!$Z$8)^(('实盘净值数据(iFinD）'!$A878-'实盘净值数据(iFinD）'!$A$5)/365))</f>
        <v/>
      </c>
      <c r="O878" s="16" t="str">
        <f t="shared" si="82"/>
        <v/>
      </c>
      <c r="P878" s="16" t="str">
        <f>IF(N878="","",N878/MAX(N$5:N878)-1)</f>
        <v/>
      </c>
      <c r="Q878" s="13" t="str">
        <f>IF(OR('实盘净值数据(iFinD）'!$A878="",'实盘净值数据(iFinD）'!$B878="",'实盘净值数据(iFinD）'!$Z878="",'实盘净值数据(iFinD）'!$AA878=""),"",分期持仓明细!$AB$25*(SUMPRODUCT(分期持仓明细!$B$25:$Y$25,'实盘净值数据(iFinD）'!$B878:$Y878/'实盘净值数据(iFinD）'!$B$65:$Y$65)+SUMPRODUCT(分期持仓明细!$AC$25:$AD$25,'实盘净值数据(iFinD）'!$Z878:$AA878/'实盘净值数据(iFinD）'!$Z$65:$AA$65))*(1-实盘持仓初始配置!$Z$9)^(('实盘净值数据(iFinD）'!$A878-'实盘净值数据(iFinD）'!$A$8)/365))</f>
        <v/>
      </c>
      <c r="R878" s="16" t="str">
        <f t="shared" si="83"/>
        <v/>
      </c>
      <c r="S878" s="16" t="str">
        <f>IF(Q878="","",Q878/MAX(Q$5:Q878)-1)</f>
        <v/>
      </c>
      <c r="T878" s="13">
        <f>IF(OR('实盘净值数据(iFinD）'!$A878="",'实盘净值数据(iFinD）'!$B878="",'实盘净值数据(iFinD）'!$Z878="",'实盘净值数据(iFinD）'!$AA878="",'实盘净值数据(iFinD）'!$AB878="",'实盘净值数据(iFinD）'!$AL878=""),"",(SUMPRODUCT(分期持仓明细!$B$26:$Y$26,'实盘净值数据(iFinD）'!$B878:$Y878/'实盘净值数据(iFinD）'!$B$69:$Y$69)+SUMPRODUCT(分期持仓明细!$AC$26:$AD$26,'实盘净值数据(iFinD）'!$Z878:$AA878/'实盘净值数据(iFinD）'!$Z$69:$AA$69)+SUMPRODUCT(分期持仓明细!$AE$26:$AO$26,'实盘净值数据(iFinD）'!$AB878:$AL878/'实盘净值数据(iFinD）'!$AB$69:$AL$69))*(1-实盘持仓初始配置!$Z$10)^(('实盘净值数据(iFinD）'!$A878-'实盘净值数据(iFinD）'!$A$69)/365))</f>
        <v/>
      </c>
      <c r="U878" s="16">
        <f>IF(OR(T877="",T878=""),"",T878/T877-1)</f>
        <v/>
      </c>
      <c r="V878" s="16">
        <f>IF(T878="","",T878/MAX(T$5:T878)-1)</f>
        <v/>
      </c>
    </row>
    <row r="879" spans="1:19">
      <c r="A879" s="15" t="str">
        <f>IF('实盘净值数据(iFinD）'!A879="","",'实盘净值数据(iFinD）'!A879)</f>
        <v/>
      </c>
      <c r="B879" s="13" t="str">
        <f>IF(OR('实盘净值数据(iFinD）'!$A879="",'实盘净值数据(iFinD）'!$B879=""),"",分期持仓明细!$AB$17*SUMPRODUCT(分期持仓明细!$B$17:$Y$17,'实盘净值数据(iFinD）'!$B879:$Y879/'实盘净值数据(iFinD）'!$B$20:$Y$20)*(1-实盘持仓初始配置!$Z$4)^(('实盘净值数据(iFinD）'!$A879-'实盘净值数据(iFinD）'!$A$6)/365))</f>
        <v/>
      </c>
      <c r="C879" s="16" t="str">
        <f t="shared" si="78"/>
        <v/>
      </c>
      <c r="D879" s="16" t="str">
        <f>IF(B879="","",B879/MAX(B$5:B879)-1)</f>
        <v/>
      </c>
      <c r="E879" s="13" t="str">
        <f>IF(OR('实盘净值数据(iFinD）'!$A879="",'实盘净值数据(iFinD）'!$B879=""),"",分期持仓明细!$AB$18*SUMPRODUCT(分期持仓明细!$B$18:$Y$18,'实盘净值数据(iFinD）'!$B879:$Y879/'实盘净值数据(iFinD）'!$B$20:$Y$20)*(1-实盘持仓初始配置!$Z$5)^(('实盘净值数据(iFinD）'!$A879-'实盘净值数据(iFinD）'!$A$5)/365))</f>
        <v/>
      </c>
      <c r="F879" s="16" t="str">
        <f t="shared" si="79"/>
        <v/>
      </c>
      <c r="G879" s="16" t="str">
        <f>IF(E879="","",E879/MAX(E$5:E879)-1)</f>
        <v/>
      </c>
      <c r="H879" s="13" t="str">
        <f>IF(OR('实盘净值数据(iFinD）'!$A879="",'实盘净值数据(iFinD）'!$B879=""),"",分期持仓明细!$AB$19*SUMPRODUCT(分期持仓明细!$B$19:$Y$19,'实盘净值数据(iFinD）'!$B879:$Y879/'实盘净值数据(iFinD）'!$B$20:$Y$20)*(1-实盘持仓初始配置!$Z$6)^(('实盘净值数据(iFinD）'!$A879-'实盘净值数据(iFinD）'!$A$7)/365))</f>
        <v/>
      </c>
      <c r="I879" s="16" t="str">
        <f t="shared" si="80"/>
        <v/>
      </c>
      <c r="J879" s="16" t="str">
        <f>IF(H879="","",H879/MAX(H$5:H879)-1)</f>
        <v/>
      </c>
      <c r="K879" s="13" t="str">
        <f>IF(OR('实盘净值数据(iFinD）'!$A879="",'实盘净值数据(iFinD）'!$B879="",'实盘净值数据(iFinD）'!$Z879="",'实盘净值数据(iFinD）'!$AA879=""),"",分期持仓明细!$AB$23*(SUMPRODUCT(分期持仓明细!$B$23:$Y$23,'实盘净值数据(iFinD）'!$B879:$Y879/'实盘净值数据(iFinD）'!$B$65:$Y$65)+SUMPRODUCT(分期持仓明细!$AC$23:$AD$23,'实盘净值数据(iFinD）'!$Z879:$AA879/'实盘净值数据(iFinD）'!$Z$65:$AA$65))*(1-实盘持仓初始配置!$Z$7)^(('实盘净值数据(iFinD）'!$A879-'实盘净值数据(iFinD）'!$A$8)/365))</f>
        <v/>
      </c>
      <c r="L879" s="16" t="str">
        <f t="shared" si="81"/>
        <v/>
      </c>
      <c r="M879" s="16" t="str">
        <f>IF(K879="","",K879/MAX(K$5:K879)-1)</f>
        <v/>
      </c>
      <c r="N879" s="13" t="str">
        <f>IF(OR('实盘净值数据(iFinD）'!$A879="",'实盘净值数据(iFinD）'!$B879="",'实盘净值数据(iFinD）'!$Z879="",'实盘净值数据(iFinD）'!$AA879=""),"",分期持仓明细!$AB$24*(SUMPRODUCT(分期持仓明细!$B$24:$Y$24,'实盘净值数据(iFinD）'!$B879:$Y879/'实盘净值数据(iFinD）'!$B$65:$Y$65)+SUMPRODUCT(分期持仓明细!$AC$24:$AD$24,'实盘净值数据(iFinD）'!$Z879:$AA879/'实盘净值数据(iFinD）'!$Z$65:$AA$65))*(1-实盘持仓初始配置!$Z$8)^(('实盘净值数据(iFinD）'!$A879-'实盘净值数据(iFinD）'!$A$5)/365))</f>
        <v/>
      </c>
      <c r="O879" s="16" t="str">
        <f t="shared" si="82"/>
        <v/>
      </c>
      <c r="P879" s="16" t="str">
        <f>IF(N879="","",N879/MAX(N$5:N879)-1)</f>
        <v/>
      </c>
      <c r="Q879" s="13" t="str">
        <f>IF(OR('实盘净值数据(iFinD）'!$A879="",'实盘净值数据(iFinD）'!$B879="",'实盘净值数据(iFinD）'!$Z879="",'实盘净值数据(iFinD）'!$AA879=""),"",分期持仓明细!$AB$25*(SUMPRODUCT(分期持仓明细!$B$25:$Y$25,'实盘净值数据(iFinD）'!$B879:$Y879/'实盘净值数据(iFinD）'!$B$65:$Y$65)+SUMPRODUCT(分期持仓明细!$AC$25:$AD$25,'实盘净值数据(iFinD）'!$Z879:$AA879/'实盘净值数据(iFinD）'!$Z$65:$AA$65))*(1-实盘持仓初始配置!$Z$9)^(('实盘净值数据(iFinD）'!$A879-'实盘净值数据(iFinD）'!$A$8)/365))</f>
        <v/>
      </c>
      <c r="R879" s="16" t="str">
        <f t="shared" si="83"/>
        <v/>
      </c>
      <c r="S879" s="16" t="str">
        <f>IF(Q879="","",Q879/MAX(Q$5:Q879)-1)</f>
        <v/>
      </c>
      <c r="T879" s="13">
        <f>IF(OR('实盘净值数据(iFinD）'!$A879="",'实盘净值数据(iFinD）'!$B879="",'实盘净值数据(iFinD）'!$Z879="",'实盘净值数据(iFinD）'!$AA879="",'实盘净值数据(iFinD）'!$AB879="",'实盘净值数据(iFinD）'!$AL879=""),"",(SUMPRODUCT(分期持仓明细!$B$26:$Y$26,'实盘净值数据(iFinD）'!$B879:$Y879/'实盘净值数据(iFinD）'!$B$69:$Y$69)+SUMPRODUCT(分期持仓明细!$AC$26:$AD$26,'实盘净值数据(iFinD）'!$Z879:$AA879/'实盘净值数据(iFinD）'!$Z$69:$AA$69)+SUMPRODUCT(分期持仓明细!$AE$26:$AO$26,'实盘净值数据(iFinD）'!$AB879:$AL879/'实盘净值数据(iFinD）'!$AB$69:$AL$69))*(1-实盘持仓初始配置!$Z$10)^(('实盘净值数据(iFinD）'!$A879-'实盘净值数据(iFinD）'!$A$69)/365))</f>
        <v/>
      </c>
      <c r="U879" s="16">
        <f>IF(OR(T878="",T879=""),"",T879/T878-1)</f>
        <v/>
      </c>
      <c r="V879" s="16">
        <f>IF(T879="","",T879/MAX(T$5:T879)-1)</f>
        <v/>
      </c>
    </row>
    <row r="880" spans="1:19">
      <c r="A880" s="15" t="str">
        <f>IF('实盘净值数据(iFinD）'!A880="","",'实盘净值数据(iFinD）'!A880)</f>
        <v/>
      </c>
      <c r="B880" s="13" t="str">
        <f>IF(OR('实盘净值数据(iFinD）'!$A880="",'实盘净值数据(iFinD）'!$B880=""),"",分期持仓明细!$AB$17*SUMPRODUCT(分期持仓明细!$B$17:$Y$17,'实盘净值数据(iFinD）'!$B880:$Y880/'实盘净值数据(iFinD）'!$B$20:$Y$20)*(1-实盘持仓初始配置!$Z$4)^(('实盘净值数据(iFinD）'!$A880-'实盘净值数据(iFinD）'!$A$6)/365))</f>
        <v/>
      </c>
      <c r="C880" s="16" t="str">
        <f t="shared" si="78"/>
        <v/>
      </c>
      <c r="D880" s="16" t="str">
        <f>IF(B880="","",B880/MAX(B$5:B880)-1)</f>
        <v/>
      </c>
      <c r="E880" s="13" t="str">
        <f>IF(OR('实盘净值数据(iFinD）'!$A880="",'实盘净值数据(iFinD）'!$B880=""),"",分期持仓明细!$AB$18*SUMPRODUCT(分期持仓明细!$B$18:$Y$18,'实盘净值数据(iFinD）'!$B880:$Y880/'实盘净值数据(iFinD）'!$B$20:$Y$20)*(1-实盘持仓初始配置!$Z$5)^(('实盘净值数据(iFinD）'!$A880-'实盘净值数据(iFinD）'!$A$5)/365))</f>
        <v/>
      </c>
      <c r="F880" s="16" t="str">
        <f t="shared" si="79"/>
        <v/>
      </c>
      <c r="G880" s="16" t="str">
        <f>IF(E880="","",E880/MAX(E$5:E880)-1)</f>
        <v/>
      </c>
      <c r="H880" s="13" t="str">
        <f>IF(OR('实盘净值数据(iFinD）'!$A880="",'实盘净值数据(iFinD）'!$B880=""),"",分期持仓明细!$AB$19*SUMPRODUCT(分期持仓明细!$B$19:$Y$19,'实盘净值数据(iFinD）'!$B880:$Y880/'实盘净值数据(iFinD）'!$B$20:$Y$20)*(1-实盘持仓初始配置!$Z$6)^(('实盘净值数据(iFinD）'!$A880-'实盘净值数据(iFinD）'!$A$7)/365))</f>
        <v/>
      </c>
      <c r="I880" s="16" t="str">
        <f t="shared" si="80"/>
        <v/>
      </c>
      <c r="J880" s="16" t="str">
        <f>IF(H880="","",H880/MAX(H$5:H880)-1)</f>
        <v/>
      </c>
      <c r="K880" s="13" t="str">
        <f>IF(OR('实盘净值数据(iFinD）'!$A880="",'实盘净值数据(iFinD）'!$B880="",'实盘净值数据(iFinD）'!$Z880="",'实盘净值数据(iFinD）'!$AA880=""),"",分期持仓明细!$AB$23*(SUMPRODUCT(分期持仓明细!$B$23:$Y$23,'实盘净值数据(iFinD）'!$B880:$Y880/'实盘净值数据(iFinD）'!$B$65:$Y$65)+SUMPRODUCT(分期持仓明细!$AC$23:$AD$23,'实盘净值数据(iFinD）'!$Z880:$AA880/'实盘净值数据(iFinD）'!$Z$65:$AA$65))*(1-实盘持仓初始配置!$Z$7)^(('实盘净值数据(iFinD）'!$A880-'实盘净值数据(iFinD）'!$A$8)/365))</f>
        <v/>
      </c>
      <c r="L880" s="16" t="str">
        <f t="shared" si="81"/>
        <v/>
      </c>
      <c r="M880" s="16" t="str">
        <f>IF(K880="","",K880/MAX(K$5:K880)-1)</f>
        <v/>
      </c>
      <c r="N880" s="13" t="str">
        <f>IF(OR('实盘净值数据(iFinD）'!$A880="",'实盘净值数据(iFinD）'!$B880="",'实盘净值数据(iFinD）'!$Z880="",'实盘净值数据(iFinD）'!$AA880=""),"",分期持仓明细!$AB$24*(SUMPRODUCT(分期持仓明细!$B$24:$Y$24,'实盘净值数据(iFinD）'!$B880:$Y880/'实盘净值数据(iFinD）'!$B$65:$Y$65)+SUMPRODUCT(分期持仓明细!$AC$24:$AD$24,'实盘净值数据(iFinD）'!$Z880:$AA880/'实盘净值数据(iFinD）'!$Z$65:$AA$65))*(1-实盘持仓初始配置!$Z$8)^(('实盘净值数据(iFinD）'!$A880-'实盘净值数据(iFinD）'!$A$5)/365))</f>
        <v/>
      </c>
      <c r="O880" s="16" t="str">
        <f t="shared" si="82"/>
        <v/>
      </c>
      <c r="P880" s="16" t="str">
        <f>IF(N880="","",N880/MAX(N$5:N880)-1)</f>
        <v/>
      </c>
      <c r="Q880" s="13" t="str">
        <f>IF(OR('实盘净值数据(iFinD）'!$A880="",'实盘净值数据(iFinD）'!$B880="",'实盘净值数据(iFinD）'!$Z880="",'实盘净值数据(iFinD）'!$AA880=""),"",分期持仓明细!$AB$25*(SUMPRODUCT(分期持仓明细!$B$25:$Y$25,'实盘净值数据(iFinD）'!$B880:$Y880/'实盘净值数据(iFinD）'!$B$65:$Y$65)+SUMPRODUCT(分期持仓明细!$AC$25:$AD$25,'实盘净值数据(iFinD）'!$Z880:$AA880/'实盘净值数据(iFinD）'!$Z$65:$AA$65))*(1-实盘持仓初始配置!$Z$9)^(('实盘净值数据(iFinD）'!$A880-'实盘净值数据(iFinD）'!$A$8)/365))</f>
        <v/>
      </c>
      <c r="R880" s="16" t="str">
        <f t="shared" si="83"/>
        <v/>
      </c>
      <c r="S880" s="16" t="str">
        <f>IF(Q880="","",Q880/MAX(Q$5:Q880)-1)</f>
        <v/>
      </c>
      <c r="T880" s="13">
        <f>IF(OR('实盘净值数据(iFinD）'!$A880="",'实盘净值数据(iFinD）'!$B880="",'实盘净值数据(iFinD）'!$Z880="",'实盘净值数据(iFinD）'!$AA880="",'实盘净值数据(iFinD）'!$AB880="",'实盘净值数据(iFinD）'!$AL880=""),"",(SUMPRODUCT(分期持仓明细!$B$26:$Y$26,'实盘净值数据(iFinD）'!$B880:$Y880/'实盘净值数据(iFinD）'!$B$69:$Y$69)+SUMPRODUCT(分期持仓明细!$AC$26:$AD$26,'实盘净值数据(iFinD）'!$Z880:$AA880/'实盘净值数据(iFinD）'!$Z$69:$AA$69)+SUMPRODUCT(分期持仓明细!$AE$26:$AO$26,'实盘净值数据(iFinD）'!$AB880:$AL880/'实盘净值数据(iFinD）'!$AB$69:$AL$69))*(1-实盘持仓初始配置!$Z$10)^(('实盘净值数据(iFinD）'!$A880-'实盘净值数据(iFinD）'!$A$69)/365))</f>
        <v/>
      </c>
      <c r="U880" s="16">
        <f>IF(OR(T879="",T880=""),"",T880/T879-1)</f>
        <v/>
      </c>
      <c r="V880" s="16">
        <f>IF(T880="","",T880/MAX(T$5:T880)-1)</f>
        <v/>
      </c>
    </row>
    <row r="881" spans="1:19">
      <c r="A881" s="15" t="str">
        <f>IF('实盘净值数据(iFinD）'!A881="","",'实盘净值数据(iFinD）'!A881)</f>
        <v/>
      </c>
      <c r="B881" s="13" t="str">
        <f>IF(OR('实盘净值数据(iFinD）'!$A881="",'实盘净值数据(iFinD）'!$B881=""),"",分期持仓明细!$AB$17*SUMPRODUCT(分期持仓明细!$B$17:$Y$17,'实盘净值数据(iFinD）'!$B881:$Y881/'实盘净值数据(iFinD）'!$B$20:$Y$20)*(1-实盘持仓初始配置!$Z$4)^(('实盘净值数据(iFinD）'!$A881-'实盘净值数据(iFinD）'!$A$6)/365))</f>
        <v/>
      </c>
      <c r="C881" s="16" t="str">
        <f t="shared" si="78"/>
        <v/>
      </c>
      <c r="D881" s="16" t="str">
        <f>IF(B881="","",B881/MAX(B$5:B881)-1)</f>
        <v/>
      </c>
      <c r="E881" s="13" t="str">
        <f>IF(OR('实盘净值数据(iFinD）'!$A881="",'实盘净值数据(iFinD）'!$B881=""),"",分期持仓明细!$AB$18*SUMPRODUCT(分期持仓明细!$B$18:$Y$18,'实盘净值数据(iFinD）'!$B881:$Y881/'实盘净值数据(iFinD）'!$B$20:$Y$20)*(1-实盘持仓初始配置!$Z$5)^(('实盘净值数据(iFinD）'!$A881-'实盘净值数据(iFinD）'!$A$5)/365))</f>
        <v/>
      </c>
      <c r="F881" s="16" t="str">
        <f t="shared" si="79"/>
        <v/>
      </c>
      <c r="G881" s="16" t="str">
        <f>IF(E881="","",E881/MAX(E$5:E881)-1)</f>
        <v/>
      </c>
      <c r="H881" s="13" t="str">
        <f>IF(OR('实盘净值数据(iFinD）'!$A881="",'实盘净值数据(iFinD）'!$B881=""),"",分期持仓明细!$AB$19*SUMPRODUCT(分期持仓明细!$B$19:$Y$19,'实盘净值数据(iFinD）'!$B881:$Y881/'实盘净值数据(iFinD）'!$B$20:$Y$20)*(1-实盘持仓初始配置!$Z$6)^(('实盘净值数据(iFinD）'!$A881-'实盘净值数据(iFinD）'!$A$7)/365))</f>
        <v/>
      </c>
      <c r="I881" s="16" t="str">
        <f t="shared" si="80"/>
        <v/>
      </c>
      <c r="J881" s="16" t="str">
        <f>IF(H881="","",H881/MAX(H$5:H881)-1)</f>
        <v/>
      </c>
      <c r="K881" s="13" t="str">
        <f>IF(OR('实盘净值数据(iFinD）'!$A881="",'实盘净值数据(iFinD）'!$B881="",'实盘净值数据(iFinD）'!$Z881="",'实盘净值数据(iFinD）'!$AA881=""),"",分期持仓明细!$AB$23*(SUMPRODUCT(分期持仓明细!$B$23:$Y$23,'实盘净值数据(iFinD）'!$B881:$Y881/'实盘净值数据(iFinD）'!$B$65:$Y$65)+SUMPRODUCT(分期持仓明细!$AC$23:$AD$23,'实盘净值数据(iFinD）'!$Z881:$AA881/'实盘净值数据(iFinD）'!$Z$65:$AA$65))*(1-实盘持仓初始配置!$Z$7)^(('实盘净值数据(iFinD）'!$A881-'实盘净值数据(iFinD）'!$A$8)/365))</f>
        <v/>
      </c>
      <c r="L881" s="16" t="str">
        <f t="shared" si="81"/>
        <v/>
      </c>
      <c r="M881" s="16" t="str">
        <f>IF(K881="","",K881/MAX(K$5:K881)-1)</f>
        <v/>
      </c>
      <c r="N881" s="13" t="str">
        <f>IF(OR('实盘净值数据(iFinD）'!$A881="",'实盘净值数据(iFinD）'!$B881="",'实盘净值数据(iFinD）'!$Z881="",'实盘净值数据(iFinD）'!$AA881=""),"",分期持仓明细!$AB$24*(SUMPRODUCT(分期持仓明细!$B$24:$Y$24,'实盘净值数据(iFinD）'!$B881:$Y881/'实盘净值数据(iFinD）'!$B$65:$Y$65)+SUMPRODUCT(分期持仓明细!$AC$24:$AD$24,'实盘净值数据(iFinD）'!$Z881:$AA881/'实盘净值数据(iFinD）'!$Z$65:$AA$65))*(1-实盘持仓初始配置!$Z$8)^(('实盘净值数据(iFinD）'!$A881-'实盘净值数据(iFinD）'!$A$5)/365))</f>
        <v/>
      </c>
      <c r="O881" s="16" t="str">
        <f t="shared" si="82"/>
        <v/>
      </c>
      <c r="P881" s="16" t="str">
        <f>IF(N881="","",N881/MAX(N$5:N881)-1)</f>
        <v/>
      </c>
      <c r="Q881" s="13" t="str">
        <f>IF(OR('实盘净值数据(iFinD）'!$A881="",'实盘净值数据(iFinD）'!$B881="",'实盘净值数据(iFinD）'!$Z881="",'实盘净值数据(iFinD）'!$AA881=""),"",分期持仓明细!$AB$25*(SUMPRODUCT(分期持仓明细!$B$25:$Y$25,'实盘净值数据(iFinD）'!$B881:$Y881/'实盘净值数据(iFinD）'!$B$65:$Y$65)+SUMPRODUCT(分期持仓明细!$AC$25:$AD$25,'实盘净值数据(iFinD）'!$Z881:$AA881/'实盘净值数据(iFinD）'!$Z$65:$AA$65))*(1-实盘持仓初始配置!$Z$9)^(('实盘净值数据(iFinD）'!$A881-'实盘净值数据(iFinD）'!$A$8)/365))</f>
        <v/>
      </c>
      <c r="R881" s="16" t="str">
        <f t="shared" si="83"/>
        <v/>
      </c>
      <c r="S881" s="16" t="str">
        <f>IF(Q881="","",Q881/MAX(Q$5:Q881)-1)</f>
        <v/>
      </c>
      <c r="T881" s="13">
        <f>IF(OR('实盘净值数据(iFinD）'!$A881="",'实盘净值数据(iFinD）'!$B881="",'实盘净值数据(iFinD）'!$Z881="",'实盘净值数据(iFinD）'!$AA881="",'实盘净值数据(iFinD）'!$AB881="",'实盘净值数据(iFinD）'!$AL881=""),"",(SUMPRODUCT(分期持仓明细!$B$26:$Y$26,'实盘净值数据(iFinD）'!$B881:$Y881/'实盘净值数据(iFinD）'!$B$69:$Y$69)+SUMPRODUCT(分期持仓明细!$AC$26:$AD$26,'实盘净值数据(iFinD）'!$Z881:$AA881/'实盘净值数据(iFinD）'!$Z$69:$AA$69)+SUMPRODUCT(分期持仓明细!$AE$26:$AO$26,'实盘净值数据(iFinD）'!$AB881:$AL881/'实盘净值数据(iFinD）'!$AB$69:$AL$69))*(1-实盘持仓初始配置!$Z$10)^(('实盘净值数据(iFinD）'!$A881-'实盘净值数据(iFinD）'!$A$69)/365))</f>
        <v/>
      </c>
      <c r="U881" s="16">
        <f>IF(OR(T880="",T881=""),"",T881/T880-1)</f>
        <v/>
      </c>
      <c r="V881" s="16">
        <f>IF(T881="","",T881/MAX(T$5:T881)-1)</f>
        <v/>
      </c>
    </row>
    <row r="882" spans="1:19">
      <c r="A882" s="15" t="str">
        <f>IF('实盘净值数据(iFinD）'!A882="","",'实盘净值数据(iFinD）'!A882)</f>
        <v/>
      </c>
      <c r="B882" s="13" t="str">
        <f>IF(OR('实盘净值数据(iFinD）'!$A882="",'实盘净值数据(iFinD）'!$B882=""),"",分期持仓明细!$AB$17*SUMPRODUCT(分期持仓明细!$B$17:$Y$17,'实盘净值数据(iFinD）'!$B882:$Y882/'实盘净值数据(iFinD）'!$B$20:$Y$20)*(1-实盘持仓初始配置!$Z$4)^(('实盘净值数据(iFinD）'!$A882-'实盘净值数据(iFinD）'!$A$6)/365))</f>
        <v/>
      </c>
      <c r="C882" s="16" t="str">
        <f t="shared" si="78"/>
        <v/>
      </c>
      <c r="D882" s="16" t="str">
        <f>IF(B882="","",B882/MAX(B$5:B882)-1)</f>
        <v/>
      </c>
      <c r="E882" s="13" t="str">
        <f>IF(OR('实盘净值数据(iFinD）'!$A882="",'实盘净值数据(iFinD）'!$B882=""),"",分期持仓明细!$AB$18*SUMPRODUCT(分期持仓明细!$B$18:$Y$18,'实盘净值数据(iFinD）'!$B882:$Y882/'实盘净值数据(iFinD）'!$B$20:$Y$20)*(1-实盘持仓初始配置!$Z$5)^(('实盘净值数据(iFinD）'!$A882-'实盘净值数据(iFinD）'!$A$5)/365))</f>
        <v/>
      </c>
      <c r="F882" s="16" t="str">
        <f t="shared" si="79"/>
        <v/>
      </c>
      <c r="G882" s="16" t="str">
        <f>IF(E882="","",E882/MAX(E$5:E882)-1)</f>
        <v/>
      </c>
      <c r="H882" s="13" t="str">
        <f>IF(OR('实盘净值数据(iFinD）'!$A882="",'实盘净值数据(iFinD）'!$B882=""),"",分期持仓明细!$AB$19*SUMPRODUCT(分期持仓明细!$B$19:$Y$19,'实盘净值数据(iFinD）'!$B882:$Y882/'实盘净值数据(iFinD）'!$B$20:$Y$20)*(1-实盘持仓初始配置!$Z$6)^(('实盘净值数据(iFinD）'!$A882-'实盘净值数据(iFinD）'!$A$7)/365))</f>
        <v/>
      </c>
      <c r="I882" s="16" t="str">
        <f t="shared" si="80"/>
        <v/>
      </c>
      <c r="J882" s="16" t="str">
        <f>IF(H882="","",H882/MAX(H$5:H882)-1)</f>
        <v/>
      </c>
      <c r="K882" s="13" t="str">
        <f>IF(OR('实盘净值数据(iFinD）'!$A882="",'实盘净值数据(iFinD）'!$B882="",'实盘净值数据(iFinD）'!$Z882="",'实盘净值数据(iFinD）'!$AA882=""),"",分期持仓明细!$AB$23*(SUMPRODUCT(分期持仓明细!$B$23:$Y$23,'实盘净值数据(iFinD）'!$B882:$Y882/'实盘净值数据(iFinD）'!$B$65:$Y$65)+SUMPRODUCT(分期持仓明细!$AC$23:$AD$23,'实盘净值数据(iFinD）'!$Z882:$AA882/'实盘净值数据(iFinD）'!$Z$65:$AA$65))*(1-实盘持仓初始配置!$Z$7)^(('实盘净值数据(iFinD）'!$A882-'实盘净值数据(iFinD）'!$A$8)/365))</f>
        <v/>
      </c>
      <c r="L882" s="16" t="str">
        <f t="shared" si="81"/>
        <v/>
      </c>
      <c r="M882" s="16" t="str">
        <f>IF(K882="","",K882/MAX(K$5:K882)-1)</f>
        <v/>
      </c>
      <c r="N882" s="13" t="str">
        <f>IF(OR('实盘净值数据(iFinD）'!$A882="",'实盘净值数据(iFinD）'!$B882="",'实盘净值数据(iFinD）'!$Z882="",'实盘净值数据(iFinD）'!$AA882=""),"",分期持仓明细!$AB$24*(SUMPRODUCT(分期持仓明细!$B$24:$Y$24,'实盘净值数据(iFinD）'!$B882:$Y882/'实盘净值数据(iFinD）'!$B$65:$Y$65)+SUMPRODUCT(分期持仓明细!$AC$24:$AD$24,'实盘净值数据(iFinD）'!$Z882:$AA882/'实盘净值数据(iFinD）'!$Z$65:$AA$65))*(1-实盘持仓初始配置!$Z$8)^(('实盘净值数据(iFinD）'!$A882-'实盘净值数据(iFinD）'!$A$5)/365))</f>
        <v/>
      </c>
      <c r="O882" s="16" t="str">
        <f t="shared" si="82"/>
        <v/>
      </c>
      <c r="P882" s="16" t="str">
        <f>IF(N882="","",N882/MAX(N$5:N882)-1)</f>
        <v/>
      </c>
      <c r="Q882" s="13" t="str">
        <f>IF(OR('实盘净值数据(iFinD）'!$A882="",'实盘净值数据(iFinD）'!$B882="",'实盘净值数据(iFinD）'!$Z882="",'实盘净值数据(iFinD）'!$AA882=""),"",分期持仓明细!$AB$25*(SUMPRODUCT(分期持仓明细!$B$25:$Y$25,'实盘净值数据(iFinD）'!$B882:$Y882/'实盘净值数据(iFinD）'!$B$65:$Y$65)+SUMPRODUCT(分期持仓明细!$AC$25:$AD$25,'实盘净值数据(iFinD）'!$Z882:$AA882/'实盘净值数据(iFinD）'!$Z$65:$AA$65))*(1-实盘持仓初始配置!$Z$9)^(('实盘净值数据(iFinD）'!$A882-'实盘净值数据(iFinD）'!$A$8)/365))</f>
        <v/>
      </c>
      <c r="R882" s="16" t="str">
        <f t="shared" si="83"/>
        <v/>
      </c>
      <c r="S882" s="16" t="str">
        <f>IF(Q882="","",Q882/MAX(Q$5:Q882)-1)</f>
        <v/>
      </c>
      <c r="T882" s="13">
        <f>IF(OR('实盘净值数据(iFinD）'!$A882="",'实盘净值数据(iFinD）'!$B882="",'实盘净值数据(iFinD）'!$Z882="",'实盘净值数据(iFinD）'!$AA882="",'实盘净值数据(iFinD）'!$AB882="",'实盘净值数据(iFinD）'!$AL882=""),"",(SUMPRODUCT(分期持仓明细!$B$26:$Y$26,'实盘净值数据(iFinD）'!$B882:$Y882/'实盘净值数据(iFinD）'!$B$69:$Y$69)+SUMPRODUCT(分期持仓明细!$AC$26:$AD$26,'实盘净值数据(iFinD）'!$Z882:$AA882/'实盘净值数据(iFinD）'!$Z$69:$AA$69)+SUMPRODUCT(分期持仓明细!$AE$26:$AO$26,'实盘净值数据(iFinD）'!$AB882:$AL882/'实盘净值数据(iFinD）'!$AB$69:$AL$69))*(1-实盘持仓初始配置!$Z$10)^(('实盘净值数据(iFinD）'!$A882-'实盘净值数据(iFinD）'!$A$69)/365))</f>
        <v/>
      </c>
      <c r="U882" s="16">
        <f>IF(OR(T881="",T882=""),"",T882/T881-1)</f>
        <v/>
      </c>
      <c r="V882" s="16">
        <f>IF(T882="","",T882/MAX(T$5:T882)-1)</f>
        <v/>
      </c>
    </row>
    <row r="883" spans="1:19">
      <c r="A883" s="15" t="str">
        <f>IF('实盘净值数据(iFinD）'!A883="","",'实盘净值数据(iFinD）'!A883)</f>
        <v/>
      </c>
      <c r="B883" s="13" t="str">
        <f>IF(OR('实盘净值数据(iFinD）'!$A883="",'实盘净值数据(iFinD）'!$B883=""),"",分期持仓明细!$AB$17*SUMPRODUCT(分期持仓明细!$B$17:$Y$17,'实盘净值数据(iFinD）'!$B883:$Y883/'实盘净值数据(iFinD）'!$B$20:$Y$20)*(1-实盘持仓初始配置!$Z$4)^(('实盘净值数据(iFinD）'!$A883-'实盘净值数据(iFinD）'!$A$6)/365))</f>
        <v/>
      </c>
      <c r="C883" s="16" t="str">
        <f t="shared" si="78"/>
        <v/>
      </c>
      <c r="D883" s="16" t="str">
        <f>IF(B883="","",B883/MAX(B$5:B883)-1)</f>
        <v/>
      </c>
      <c r="E883" s="13" t="str">
        <f>IF(OR('实盘净值数据(iFinD）'!$A883="",'实盘净值数据(iFinD）'!$B883=""),"",分期持仓明细!$AB$18*SUMPRODUCT(分期持仓明细!$B$18:$Y$18,'实盘净值数据(iFinD）'!$B883:$Y883/'实盘净值数据(iFinD）'!$B$20:$Y$20)*(1-实盘持仓初始配置!$Z$5)^(('实盘净值数据(iFinD）'!$A883-'实盘净值数据(iFinD）'!$A$5)/365))</f>
        <v/>
      </c>
      <c r="F883" s="16" t="str">
        <f t="shared" si="79"/>
        <v/>
      </c>
      <c r="G883" s="16" t="str">
        <f>IF(E883="","",E883/MAX(E$5:E883)-1)</f>
        <v/>
      </c>
      <c r="H883" s="13" t="str">
        <f>IF(OR('实盘净值数据(iFinD）'!$A883="",'实盘净值数据(iFinD）'!$B883=""),"",分期持仓明细!$AB$19*SUMPRODUCT(分期持仓明细!$B$19:$Y$19,'实盘净值数据(iFinD）'!$B883:$Y883/'实盘净值数据(iFinD）'!$B$20:$Y$20)*(1-实盘持仓初始配置!$Z$6)^(('实盘净值数据(iFinD）'!$A883-'实盘净值数据(iFinD）'!$A$7)/365))</f>
        <v/>
      </c>
      <c r="I883" s="16" t="str">
        <f t="shared" si="80"/>
        <v/>
      </c>
      <c r="J883" s="16" t="str">
        <f>IF(H883="","",H883/MAX(H$5:H883)-1)</f>
        <v/>
      </c>
      <c r="K883" s="13" t="str">
        <f>IF(OR('实盘净值数据(iFinD）'!$A883="",'实盘净值数据(iFinD）'!$B883="",'实盘净值数据(iFinD）'!$Z883="",'实盘净值数据(iFinD）'!$AA883=""),"",分期持仓明细!$AB$23*(SUMPRODUCT(分期持仓明细!$B$23:$Y$23,'实盘净值数据(iFinD）'!$B883:$Y883/'实盘净值数据(iFinD）'!$B$65:$Y$65)+SUMPRODUCT(分期持仓明细!$AC$23:$AD$23,'实盘净值数据(iFinD）'!$Z883:$AA883/'实盘净值数据(iFinD）'!$Z$65:$AA$65))*(1-实盘持仓初始配置!$Z$7)^(('实盘净值数据(iFinD）'!$A883-'实盘净值数据(iFinD）'!$A$8)/365))</f>
        <v/>
      </c>
      <c r="L883" s="16" t="str">
        <f t="shared" si="81"/>
        <v/>
      </c>
      <c r="M883" s="16" t="str">
        <f>IF(K883="","",K883/MAX(K$5:K883)-1)</f>
        <v/>
      </c>
      <c r="N883" s="13" t="str">
        <f>IF(OR('实盘净值数据(iFinD）'!$A883="",'实盘净值数据(iFinD）'!$B883="",'实盘净值数据(iFinD）'!$Z883="",'实盘净值数据(iFinD）'!$AA883=""),"",分期持仓明细!$AB$24*(SUMPRODUCT(分期持仓明细!$B$24:$Y$24,'实盘净值数据(iFinD）'!$B883:$Y883/'实盘净值数据(iFinD）'!$B$65:$Y$65)+SUMPRODUCT(分期持仓明细!$AC$24:$AD$24,'实盘净值数据(iFinD）'!$Z883:$AA883/'实盘净值数据(iFinD）'!$Z$65:$AA$65))*(1-实盘持仓初始配置!$Z$8)^(('实盘净值数据(iFinD）'!$A883-'实盘净值数据(iFinD）'!$A$5)/365))</f>
        <v/>
      </c>
      <c r="O883" s="16" t="str">
        <f t="shared" si="82"/>
        <v/>
      </c>
      <c r="P883" s="16" t="str">
        <f>IF(N883="","",N883/MAX(N$5:N883)-1)</f>
        <v/>
      </c>
      <c r="Q883" s="13" t="str">
        <f>IF(OR('实盘净值数据(iFinD）'!$A883="",'实盘净值数据(iFinD）'!$B883="",'实盘净值数据(iFinD）'!$Z883="",'实盘净值数据(iFinD）'!$AA883=""),"",分期持仓明细!$AB$25*(SUMPRODUCT(分期持仓明细!$B$25:$Y$25,'实盘净值数据(iFinD）'!$B883:$Y883/'实盘净值数据(iFinD）'!$B$65:$Y$65)+SUMPRODUCT(分期持仓明细!$AC$25:$AD$25,'实盘净值数据(iFinD）'!$Z883:$AA883/'实盘净值数据(iFinD）'!$Z$65:$AA$65))*(1-实盘持仓初始配置!$Z$9)^(('实盘净值数据(iFinD）'!$A883-'实盘净值数据(iFinD）'!$A$8)/365))</f>
        <v/>
      </c>
      <c r="R883" s="16" t="str">
        <f t="shared" si="83"/>
        <v/>
      </c>
      <c r="S883" s="16" t="str">
        <f>IF(Q883="","",Q883/MAX(Q$5:Q883)-1)</f>
        <v/>
      </c>
      <c r="T883" s="13">
        <f>IF(OR('实盘净值数据(iFinD）'!$A883="",'实盘净值数据(iFinD）'!$B883="",'实盘净值数据(iFinD）'!$Z883="",'实盘净值数据(iFinD）'!$AA883="",'实盘净值数据(iFinD）'!$AB883="",'实盘净值数据(iFinD）'!$AL883=""),"",(SUMPRODUCT(分期持仓明细!$B$26:$Y$26,'实盘净值数据(iFinD）'!$B883:$Y883/'实盘净值数据(iFinD）'!$B$69:$Y$69)+SUMPRODUCT(分期持仓明细!$AC$26:$AD$26,'实盘净值数据(iFinD）'!$Z883:$AA883/'实盘净值数据(iFinD）'!$Z$69:$AA$69)+SUMPRODUCT(分期持仓明细!$AE$26:$AO$26,'实盘净值数据(iFinD）'!$AB883:$AL883/'实盘净值数据(iFinD）'!$AB$69:$AL$69))*(1-实盘持仓初始配置!$Z$10)^(('实盘净值数据(iFinD）'!$A883-'实盘净值数据(iFinD）'!$A$69)/365))</f>
        <v/>
      </c>
      <c r="U883" s="16">
        <f>IF(OR(T882="",T883=""),"",T883/T882-1)</f>
        <v/>
      </c>
      <c r="V883" s="16">
        <f>IF(T883="","",T883/MAX(T$5:T883)-1)</f>
        <v/>
      </c>
    </row>
    <row r="884" spans="1:19">
      <c r="A884" s="15" t="str">
        <f>IF('实盘净值数据(iFinD）'!A884="","",'实盘净值数据(iFinD）'!A884)</f>
        <v/>
      </c>
      <c r="B884" s="13" t="str">
        <f>IF(OR('实盘净值数据(iFinD）'!$A884="",'实盘净值数据(iFinD）'!$B884=""),"",分期持仓明细!$AB$17*SUMPRODUCT(分期持仓明细!$B$17:$Y$17,'实盘净值数据(iFinD）'!$B884:$Y884/'实盘净值数据(iFinD）'!$B$20:$Y$20)*(1-实盘持仓初始配置!$Z$4)^(('实盘净值数据(iFinD）'!$A884-'实盘净值数据(iFinD）'!$A$6)/365))</f>
        <v/>
      </c>
      <c r="C884" s="16" t="str">
        <f t="shared" si="78"/>
        <v/>
      </c>
      <c r="D884" s="16" t="str">
        <f>IF(B884="","",B884/MAX(B$5:B884)-1)</f>
        <v/>
      </c>
      <c r="E884" s="13" t="str">
        <f>IF(OR('实盘净值数据(iFinD）'!$A884="",'实盘净值数据(iFinD）'!$B884=""),"",分期持仓明细!$AB$18*SUMPRODUCT(分期持仓明细!$B$18:$Y$18,'实盘净值数据(iFinD）'!$B884:$Y884/'实盘净值数据(iFinD）'!$B$20:$Y$20)*(1-实盘持仓初始配置!$Z$5)^(('实盘净值数据(iFinD）'!$A884-'实盘净值数据(iFinD）'!$A$5)/365))</f>
        <v/>
      </c>
      <c r="F884" s="16" t="str">
        <f t="shared" si="79"/>
        <v/>
      </c>
      <c r="G884" s="16" t="str">
        <f>IF(E884="","",E884/MAX(E$5:E884)-1)</f>
        <v/>
      </c>
      <c r="H884" s="13" t="str">
        <f>IF(OR('实盘净值数据(iFinD）'!$A884="",'实盘净值数据(iFinD）'!$B884=""),"",分期持仓明细!$AB$19*SUMPRODUCT(分期持仓明细!$B$19:$Y$19,'实盘净值数据(iFinD）'!$B884:$Y884/'实盘净值数据(iFinD）'!$B$20:$Y$20)*(1-实盘持仓初始配置!$Z$6)^(('实盘净值数据(iFinD）'!$A884-'实盘净值数据(iFinD）'!$A$7)/365))</f>
        <v/>
      </c>
      <c r="I884" s="16" t="str">
        <f t="shared" si="80"/>
        <v/>
      </c>
      <c r="J884" s="16" t="str">
        <f>IF(H884="","",H884/MAX(H$5:H884)-1)</f>
        <v/>
      </c>
      <c r="K884" s="13" t="str">
        <f>IF(OR('实盘净值数据(iFinD）'!$A884="",'实盘净值数据(iFinD）'!$B884="",'实盘净值数据(iFinD）'!$Z884="",'实盘净值数据(iFinD）'!$AA884=""),"",分期持仓明细!$AB$23*(SUMPRODUCT(分期持仓明细!$B$23:$Y$23,'实盘净值数据(iFinD）'!$B884:$Y884/'实盘净值数据(iFinD）'!$B$65:$Y$65)+SUMPRODUCT(分期持仓明细!$AC$23:$AD$23,'实盘净值数据(iFinD）'!$Z884:$AA884/'实盘净值数据(iFinD）'!$Z$65:$AA$65))*(1-实盘持仓初始配置!$Z$7)^(('实盘净值数据(iFinD）'!$A884-'实盘净值数据(iFinD）'!$A$8)/365))</f>
        <v/>
      </c>
      <c r="L884" s="16" t="str">
        <f t="shared" si="81"/>
        <v/>
      </c>
      <c r="M884" s="16" t="str">
        <f>IF(K884="","",K884/MAX(K$5:K884)-1)</f>
        <v/>
      </c>
      <c r="N884" s="13" t="str">
        <f>IF(OR('实盘净值数据(iFinD）'!$A884="",'实盘净值数据(iFinD）'!$B884="",'实盘净值数据(iFinD）'!$Z884="",'实盘净值数据(iFinD）'!$AA884=""),"",分期持仓明细!$AB$24*(SUMPRODUCT(分期持仓明细!$B$24:$Y$24,'实盘净值数据(iFinD）'!$B884:$Y884/'实盘净值数据(iFinD）'!$B$65:$Y$65)+SUMPRODUCT(分期持仓明细!$AC$24:$AD$24,'实盘净值数据(iFinD）'!$Z884:$AA884/'实盘净值数据(iFinD）'!$Z$65:$AA$65))*(1-实盘持仓初始配置!$Z$8)^(('实盘净值数据(iFinD）'!$A884-'实盘净值数据(iFinD）'!$A$5)/365))</f>
        <v/>
      </c>
      <c r="O884" s="16" t="str">
        <f t="shared" si="82"/>
        <v/>
      </c>
      <c r="P884" s="16" t="str">
        <f>IF(N884="","",N884/MAX(N$5:N884)-1)</f>
        <v/>
      </c>
      <c r="Q884" s="13" t="str">
        <f>IF(OR('实盘净值数据(iFinD）'!$A884="",'实盘净值数据(iFinD）'!$B884="",'实盘净值数据(iFinD）'!$Z884="",'实盘净值数据(iFinD）'!$AA884=""),"",分期持仓明细!$AB$25*(SUMPRODUCT(分期持仓明细!$B$25:$Y$25,'实盘净值数据(iFinD）'!$B884:$Y884/'实盘净值数据(iFinD）'!$B$65:$Y$65)+SUMPRODUCT(分期持仓明细!$AC$25:$AD$25,'实盘净值数据(iFinD）'!$Z884:$AA884/'实盘净值数据(iFinD）'!$Z$65:$AA$65))*(1-实盘持仓初始配置!$Z$9)^(('实盘净值数据(iFinD）'!$A884-'实盘净值数据(iFinD）'!$A$8)/365))</f>
        <v/>
      </c>
      <c r="R884" s="16" t="str">
        <f t="shared" si="83"/>
        <v/>
      </c>
      <c r="S884" s="16" t="str">
        <f>IF(Q884="","",Q884/MAX(Q$5:Q884)-1)</f>
        <v/>
      </c>
      <c r="T884" s="13">
        <f>IF(OR('实盘净值数据(iFinD）'!$A884="",'实盘净值数据(iFinD）'!$B884="",'实盘净值数据(iFinD）'!$Z884="",'实盘净值数据(iFinD）'!$AA884="",'实盘净值数据(iFinD）'!$AB884="",'实盘净值数据(iFinD）'!$AL884=""),"",(SUMPRODUCT(分期持仓明细!$B$26:$Y$26,'实盘净值数据(iFinD）'!$B884:$Y884/'实盘净值数据(iFinD）'!$B$69:$Y$69)+SUMPRODUCT(分期持仓明细!$AC$26:$AD$26,'实盘净值数据(iFinD）'!$Z884:$AA884/'实盘净值数据(iFinD）'!$Z$69:$AA$69)+SUMPRODUCT(分期持仓明细!$AE$26:$AO$26,'实盘净值数据(iFinD）'!$AB884:$AL884/'实盘净值数据(iFinD）'!$AB$69:$AL$69))*(1-实盘持仓初始配置!$Z$10)^(('实盘净值数据(iFinD）'!$A884-'实盘净值数据(iFinD）'!$A$69)/365))</f>
        <v/>
      </c>
      <c r="U884" s="16">
        <f>IF(OR(T883="",T884=""),"",T884/T883-1)</f>
        <v/>
      </c>
      <c r="V884" s="16">
        <f>IF(T884="","",T884/MAX(T$5:T884)-1)</f>
        <v/>
      </c>
    </row>
    <row r="885" spans="1:19">
      <c r="A885" s="15" t="str">
        <f>IF('实盘净值数据(iFinD）'!A885="","",'实盘净值数据(iFinD）'!A885)</f>
        <v/>
      </c>
      <c r="B885" s="13" t="str">
        <f>IF(OR('实盘净值数据(iFinD）'!$A885="",'实盘净值数据(iFinD）'!$B885=""),"",分期持仓明细!$AB$17*SUMPRODUCT(分期持仓明细!$B$17:$Y$17,'实盘净值数据(iFinD）'!$B885:$Y885/'实盘净值数据(iFinD）'!$B$20:$Y$20)*(1-实盘持仓初始配置!$Z$4)^(('实盘净值数据(iFinD）'!$A885-'实盘净值数据(iFinD）'!$A$6)/365))</f>
        <v/>
      </c>
      <c r="C885" s="16" t="str">
        <f t="shared" si="78"/>
        <v/>
      </c>
      <c r="D885" s="16" t="str">
        <f>IF(B885="","",B885/MAX(B$5:B885)-1)</f>
        <v/>
      </c>
      <c r="E885" s="13" t="str">
        <f>IF(OR('实盘净值数据(iFinD）'!$A885="",'实盘净值数据(iFinD）'!$B885=""),"",分期持仓明细!$AB$18*SUMPRODUCT(分期持仓明细!$B$18:$Y$18,'实盘净值数据(iFinD）'!$B885:$Y885/'实盘净值数据(iFinD）'!$B$20:$Y$20)*(1-实盘持仓初始配置!$Z$5)^(('实盘净值数据(iFinD）'!$A885-'实盘净值数据(iFinD）'!$A$5)/365))</f>
        <v/>
      </c>
      <c r="F885" s="16" t="str">
        <f t="shared" si="79"/>
        <v/>
      </c>
      <c r="G885" s="16" t="str">
        <f>IF(E885="","",E885/MAX(E$5:E885)-1)</f>
        <v/>
      </c>
      <c r="H885" s="13" t="str">
        <f>IF(OR('实盘净值数据(iFinD）'!$A885="",'实盘净值数据(iFinD）'!$B885=""),"",分期持仓明细!$AB$19*SUMPRODUCT(分期持仓明细!$B$19:$Y$19,'实盘净值数据(iFinD）'!$B885:$Y885/'实盘净值数据(iFinD）'!$B$20:$Y$20)*(1-实盘持仓初始配置!$Z$6)^(('实盘净值数据(iFinD）'!$A885-'实盘净值数据(iFinD）'!$A$7)/365))</f>
        <v/>
      </c>
      <c r="I885" s="16" t="str">
        <f t="shared" si="80"/>
        <v/>
      </c>
      <c r="J885" s="16" t="str">
        <f>IF(H885="","",H885/MAX(H$5:H885)-1)</f>
        <v/>
      </c>
      <c r="K885" s="13" t="str">
        <f>IF(OR('实盘净值数据(iFinD）'!$A885="",'实盘净值数据(iFinD）'!$B885="",'实盘净值数据(iFinD）'!$Z885="",'实盘净值数据(iFinD）'!$AA885=""),"",分期持仓明细!$AB$23*(SUMPRODUCT(分期持仓明细!$B$23:$Y$23,'实盘净值数据(iFinD）'!$B885:$Y885/'实盘净值数据(iFinD）'!$B$65:$Y$65)+SUMPRODUCT(分期持仓明细!$AC$23:$AD$23,'实盘净值数据(iFinD）'!$Z885:$AA885/'实盘净值数据(iFinD）'!$Z$65:$AA$65))*(1-实盘持仓初始配置!$Z$7)^(('实盘净值数据(iFinD）'!$A885-'实盘净值数据(iFinD）'!$A$8)/365))</f>
        <v/>
      </c>
      <c r="L885" s="16" t="str">
        <f t="shared" si="81"/>
        <v/>
      </c>
      <c r="M885" s="16" t="str">
        <f>IF(K885="","",K885/MAX(K$5:K885)-1)</f>
        <v/>
      </c>
      <c r="N885" s="13" t="str">
        <f>IF(OR('实盘净值数据(iFinD）'!$A885="",'实盘净值数据(iFinD）'!$B885="",'实盘净值数据(iFinD）'!$Z885="",'实盘净值数据(iFinD）'!$AA885=""),"",分期持仓明细!$AB$24*(SUMPRODUCT(分期持仓明细!$B$24:$Y$24,'实盘净值数据(iFinD）'!$B885:$Y885/'实盘净值数据(iFinD）'!$B$65:$Y$65)+SUMPRODUCT(分期持仓明细!$AC$24:$AD$24,'实盘净值数据(iFinD）'!$Z885:$AA885/'实盘净值数据(iFinD）'!$Z$65:$AA$65))*(1-实盘持仓初始配置!$Z$8)^(('实盘净值数据(iFinD）'!$A885-'实盘净值数据(iFinD）'!$A$5)/365))</f>
        <v/>
      </c>
      <c r="O885" s="16" t="str">
        <f t="shared" si="82"/>
        <v/>
      </c>
      <c r="P885" s="16" t="str">
        <f>IF(N885="","",N885/MAX(N$5:N885)-1)</f>
        <v/>
      </c>
      <c r="Q885" s="13" t="str">
        <f>IF(OR('实盘净值数据(iFinD）'!$A885="",'实盘净值数据(iFinD）'!$B885="",'实盘净值数据(iFinD）'!$Z885="",'实盘净值数据(iFinD）'!$AA885=""),"",分期持仓明细!$AB$25*(SUMPRODUCT(分期持仓明细!$B$25:$Y$25,'实盘净值数据(iFinD）'!$B885:$Y885/'实盘净值数据(iFinD）'!$B$65:$Y$65)+SUMPRODUCT(分期持仓明细!$AC$25:$AD$25,'实盘净值数据(iFinD）'!$Z885:$AA885/'实盘净值数据(iFinD）'!$Z$65:$AA$65))*(1-实盘持仓初始配置!$Z$9)^(('实盘净值数据(iFinD）'!$A885-'实盘净值数据(iFinD）'!$A$8)/365))</f>
        <v/>
      </c>
      <c r="R885" s="16" t="str">
        <f t="shared" si="83"/>
        <v/>
      </c>
      <c r="S885" s="16" t="str">
        <f>IF(Q885="","",Q885/MAX(Q$5:Q885)-1)</f>
        <v/>
      </c>
      <c r="T885" s="13">
        <f>IF(OR('实盘净值数据(iFinD）'!$A885="",'实盘净值数据(iFinD）'!$B885="",'实盘净值数据(iFinD）'!$Z885="",'实盘净值数据(iFinD）'!$AA885="",'实盘净值数据(iFinD）'!$AB885="",'实盘净值数据(iFinD）'!$AL885=""),"",(SUMPRODUCT(分期持仓明细!$B$26:$Y$26,'实盘净值数据(iFinD）'!$B885:$Y885/'实盘净值数据(iFinD）'!$B$69:$Y$69)+SUMPRODUCT(分期持仓明细!$AC$26:$AD$26,'实盘净值数据(iFinD）'!$Z885:$AA885/'实盘净值数据(iFinD）'!$Z$69:$AA$69)+SUMPRODUCT(分期持仓明细!$AE$26:$AO$26,'实盘净值数据(iFinD）'!$AB885:$AL885/'实盘净值数据(iFinD）'!$AB$69:$AL$69))*(1-实盘持仓初始配置!$Z$10)^(('实盘净值数据(iFinD）'!$A885-'实盘净值数据(iFinD）'!$A$69)/365))</f>
        <v/>
      </c>
      <c r="U885" s="16">
        <f>IF(OR(T884="",T885=""),"",T885/T884-1)</f>
        <v/>
      </c>
      <c r="V885" s="16">
        <f>IF(T885="","",T885/MAX(T$5:T885)-1)</f>
        <v/>
      </c>
    </row>
    <row r="886" spans="1:19">
      <c r="A886" s="15" t="str">
        <f>IF('实盘净值数据(iFinD）'!A886="","",'实盘净值数据(iFinD）'!A886)</f>
        <v/>
      </c>
      <c r="B886" s="13" t="str">
        <f>IF(OR('实盘净值数据(iFinD）'!$A886="",'实盘净值数据(iFinD）'!$B886=""),"",分期持仓明细!$AB$17*SUMPRODUCT(分期持仓明细!$B$17:$Y$17,'实盘净值数据(iFinD）'!$B886:$Y886/'实盘净值数据(iFinD）'!$B$20:$Y$20)*(1-实盘持仓初始配置!$Z$4)^(('实盘净值数据(iFinD）'!$A886-'实盘净值数据(iFinD）'!$A$6)/365))</f>
        <v/>
      </c>
      <c r="C886" s="16" t="str">
        <f t="shared" si="78"/>
        <v/>
      </c>
      <c r="D886" s="16" t="str">
        <f>IF(B886="","",B886/MAX(B$5:B886)-1)</f>
        <v/>
      </c>
      <c r="E886" s="13" t="str">
        <f>IF(OR('实盘净值数据(iFinD）'!$A886="",'实盘净值数据(iFinD）'!$B886=""),"",分期持仓明细!$AB$18*SUMPRODUCT(分期持仓明细!$B$18:$Y$18,'实盘净值数据(iFinD）'!$B886:$Y886/'实盘净值数据(iFinD）'!$B$20:$Y$20)*(1-实盘持仓初始配置!$Z$5)^(('实盘净值数据(iFinD）'!$A886-'实盘净值数据(iFinD）'!$A$5)/365))</f>
        <v/>
      </c>
      <c r="F886" s="16" t="str">
        <f t="shared" si="79"/>
        <v/>
      </c>
      <c r="G886" s="16" t="str">
        <f>IF(E886="","",E886/MAX(E$5:E886)-1)</f>
        <v/>
      </c>
      <c r="H886" s="13" t="str">
        <f>IF(OR('实盘净值数据(iFinD）'!$A886="",'实盘净值数据(iFinD）'!$B886=""),"",分期持仓明细!$AB$19*SUMPRODUCT(分期持仓明细!$B$19:$Y$19,'实盘净值数据(iFinD）'!$B886:$Y886/'实盘净值数据(iFinD）'!$B$20:$Y$20)*(1-实盘持仓初始配置!$Z$6)^(('实盘净值数据(iFinD）'!$A886-'实盘净值数据(iFinD）'!$A$7)/365))</f>
        <v/>
      </c>
      <c r="I886" s="16" t="str">
        <f t="shared" si="80"/>
        <v/>
      </c>
      <c r="J886" s="16" t="str">
        <f>IF(H886="","",H886/MAX(H$5:H886)-1)</f>
        <v/>
      </c>
      <c r="K886" s="13" t="str">
        <f>IF(OR('实盘净值数据(iFinD）'!$A886="",'实盘净值数据(iFinD）'!$B886="",'实盘净值数据(iFinD）'!$Z886="",'实盘净值数据(iFinD）'!$AA886=""),"",分期持仓明细!$AB$23*(SUMPRODUCT(分期持仓明细!$B$23:$Y$23,'实盘净值数据(iFinD）'!$B886:$Y886/'实盘净值数据(iFinD）'!$B$65:$Y$65)+SUMPRODUCT(分期持仓明细!$AC$23:$AD$23,'实盘净值数据(iFinD）'!$Z886:$AA886/'实盘净值数据(iFinD）'!$Z$65:$AA$65))*(1-实盘持仓初始配置!$Z$7)^(('实盘净值数据(iFinD）'!$A886-'实盘净值数据(iFinD）'!$A$8)/365))</f>
        <v/>
      </c>
      <c r="L886" s="16" t="str">
        <f t="shared" si="81"/>
        <v/>
      </c>
      <c r="M886" s="16" t="str">
        <f>IF(K886="","",K886/MAX(K$5:K886)-1)</f>
        <v/>
      </c>
      <c r="N886" s="13" t="str">
        <f>IF(OR('实盘净值数据(iFinD）'!$A886="",'实盘净值数据(iFinD）'!$B886="",'实盘净值数据(iFinD）'!$Z886="",'实盘净值数据(iFinD）'!$AA886=""),"",分期持仓明细!$AB$24*(SUMPRODUCT(分期持仓明细!$B$24:$Y$24,'实盘净值数据(iFinD）'!$B886:$Y886/'实盘净值数据(iFinD）'!$B$65:$Y$65)+SUMPRODUCT(分期持仓明细!$AC$24:$AD$24,'实盘净值数据(iFinD）'!$Z886:$AA886/'实盘净值数据(iFinD）'!$Z$65:$AA$65))*(1-实盘持仓初始配置!$Z$8)^(('实盘净值数据(iFinD）'!$A886-'实盘净值数据(iFinD）'!$A$5)/365))</f>
        <v/>
      </c>
      <c r="O886" s="16" t="str">
        <f t="shared" si="82"/>
        <v/>
      </c>
      <c r="P886" s="16" t="str">
        <f>IF(N886="","",N886/MAX(N$5:N886)-1)</f>
        <v/>
      </c>
      <c r="Q886" s="13" t="str">
        <f>IF(OR('实盘净值数据(iFinD）'!$A886="",'实盘净值数据(iFinD）'!$B886="",'实盘净值数据(iFinD）'!$Z886="",'实盘净值数据(iFinD）'!$AA886=""),"",分期持仓明细!$AB$25*(SUMPRODUCT(分期持仓明细!$B$25:$Y$25,'实盘净值数据(iFinD）'!$B886:$Y886/'实盘净值数据(iFinD）'!$B$65:$Y$65)+SUMPRODUCT(分期持仓明细!$AC$25:$AD$25,'实盘净值数据(iFinD）'!$Z886:$AA886/'实盘净值数据(iFinD）'!$Z$65:$AA$65))*(1-实盘持仓初始配置!$Z$9)^(('实盘净值数据(iFinD）'!$A886-'实盘净值数据(iFinD）'!$A$8)/365))</f>
        <v/>
      </c>
      <c r="R886" s="16" t="str">
        <f t="shared" si="83"/>
        <v/>
      </c>
      <c r="S886" s="16" t="str">
        <f>IF(Q886="","",Q886/MAX(Q$5:Q886)-1)</f>
        <v/>
      </c>
      <c r="T886" s="13">
        <f>IF(OR('实盘净值数据(iFinD）'!$A886="",'实盘净值数据(iFinD）'!$B886="",'实盘净值数据(iFinD）'!$Z886="",'实盘净值数据(iFinD）'!$AA886="",'实盘净值数据(iFinD）'!$AB886="",'实盘净值数据(iFinD）'!$AL886=""),"",(SUMPRODUCT(分期持仓明细!$B$26:$Y$26,'实盘净值数据(iFinD）'!$B886:$Y886/'实盘净值数据(iFinD）'!$B$69:$Y$69)+SUMPRODUCT(分期持仓明细!$AC$26:$AD$26,'实盘净值数据(iFinD）'!$Z886:$AA886/'实盘净值数据(iFinD）'!$Z$69:$AA$69)+SUMPRODUCT(分期持仓明细!$AE$26:$AO$26,'实盘净值数据(iFinD）'!$AB886:$AL886/'实盘净值数据(iFinD）'!$AB$69:$AL$69))*(1-实盘持仓初始配置!$Z$10)^(('实盘净值数据(iFinD）'!$A886-'实盘净值数据(iFinD）'!$A$69)/365))</f>
        <v/>
      </c>
      <c r="U886" s="16">
        <f>IF(OR(T885="",T886=""),"",T886/T885-1)</f>
        <v/>
      </c>
      <c r="V886" s="16">
        <f>IF(T886="","",T886/MAX(T$5:T886)-1)</f>
        <v/>
      </c>
    </row>
    <row r="887" spans="1:19">
      <c r="A887" s="15" t="str">
        <f>IF('实盘净值数据(iFinD）'!A887="","",'实盘净值数据(iFinD）'!A887)</f>
        <v/>
      </c>
      <c r="B887" s="13" t="str">
        <f>IF(OR('实盘净值数据(iFinD）'!$A887="",'实盘净值数据(iFinD）'!$B887=""),"",分期持仓明细!$AB$17*SUMPRODUCT(分期持仓明细!$B$17:$Y$17,'实盘净值数据(iFinD）'!$B887:$Y887/'实盘净值数据(iFinD）'!$B$20:$Y$20)*(1-实盘持仓初始配置!$Z$4)^(('实盘净值数据(iFinD）'!$A887-'实盘净值数据(iFinD）'!$A$6)/365))</f>
        <v/>
      </c>
      <c r="C887" s="16" t="str">
        <f t="shared" si="78"/>
        <v/>
      </c>
      <c r="D887" s="16" t="str">
        <f>IF(B887="","",B887/MAX(B$5:B887)-1)</f>
        <v/>
      </c>
      <c r="E887" s="13" t="str">
        <f>IF(OR('实盘净值数据(iFinD）'!$A887="",'实盘净值数据(iFinD）'!$B887=""),"",分期持仓明细!$AB$18*SUMPRODUCT(分期持仓明细!$B$18:$Y$18,'实盘净值数据(iFinD）'!$B887:$Y887/'实盘净值数据(iFinD）'!$B$20:$Y$20)*(1-实盘持仓初始配置!$Z$5)^(('实盘净值数据(iFinD）'!$A887-'实盘净值数据(iFinD）'!$A$5)/365))</f>
        <v/>
      </c>
      <c r="F887" s="16" t="str">
        <f t="shared" si="79"/>
        <v/>
      </c>
      <c r="G887" s="16" t="str">
        <f>IF(E887="","",E887/MAX(E$5:E887)-1)</f>
        <v/>
      </c>
      <c r="H887" s="13" t="str">
        <f>IF(OR('实盘净值数据(iFinD）'!$A887="",'实盘净值数据(iFinD）'!$B887=""),"",分期持仓明细!$AB$19*SUMPRODUCT(分期持仓明细!$B$19:$Y$19,'实盘净值数据(iFinD）'!$B887:$Y887/'实盘净值数据(iFinD）'!$B$20:$Y$20)*(1-实盘持仓初始配置!$Z$6)^(('实盘净值数据(iFinD）'!$A887-'实盘净值数据(iFinD）'!$A$7)/365))</f>
        <v/>
      </c>
      <c r="I887" s="16" t="str">
        <f t="shared" si="80"/>
        <v/>
      </c>
      <c r="J887" s="16" t="str">
        <f>IF(H887="","",H887/MAX(H$5:H887)-1)</f>
        <v/>
      </c>
      <c r="K887" s="13" t="str">
        <f>IF(OR('实盘净值数据(iFinD）'!$A887="",'实盘净值数据(iFinD）'!$B887="",'实盘净值数据(iFinD）'!$Z887="",'实盘净值数据(iFinD）'!$AA887=""),"",分期持仓明细!$AB$23*(SUMPRODUCT(分期持仓明细!$B$23:$Y$23,'实盘净值数据(iFinD）'!$B887:$Y887/'实盘净值数据(iFinD）'!$B$65:$Y$65)+SUMPRODUCT(分期持仓明细!$AC$23:$AD$23,'实盘净值数据(iFinD）'!$Z887:$AA887/'实盘净值数据(iFinD）'!$Z$65:$AA$65))*(1-实盘持仓初始配置!$Z$7)^(('实盘净值数据(iFinD）'!$A887-'实盘净值数据(iFinD）'!$A$8)/365))</f>
        <v/>
      </c>
      <c r="L887" s="16" t="str">
        <f t="shared" si="81"/>
        <v/>
      </c>
      <c r="M887" s="16" t="str">
        <f>IF(K887="","",K887/MAX(K$5:K887)-1)</f>
        <v/>
      </c>
      <c r="N887" s="13" t="str">
        <f>IF(OR('实盘净值数据(iFinD）'!$A887="",'实盘净值数据(iFinD）'!$B887="",'实盘净值数据(iFinD）'!$Z887="",'实盘净值数据(iFinD）'!$AA887=""),"",分期持仓明细!$AB$24*(SUMPRODUCT(分期持仓明细!$B$24:$Y$24,'实盘净值数据(iFinD）'!$B887:$Y887/'实盘净值数据(iFinD）'!$B$65:$Y$65)+SUMPRODUCT(分期持仓明细!$AC$24:$AD$24,'实盘净值数据(iFinD）'!$Z887:$AA887/'实盘净值数据(iFinD）'!$Z$65:$AA$65))*(1-实盘持仓初始配置!$Z$8)^(('实盘净值数据(iFinD）'!$A887-'实盘净值数据(iFinD）'!$A$5)/365))</f>
        <v/>
      </c>
      <c r="O887" s="16" t="str">
        <f t="shared" si="82"/>
        <v/>
      </c>
      <c r="P887" s="16" t="str">
        <f>IF(N887="","",N887/MAX(N$5:N887)-1)</f>
        <v/>
      </c>
      <c r="Q887" s="13" t="str">
        <f>IF(OR('实盘净值数据(iFinD）'!$A887="",'实盘净值数据(iFinD）'!$B887="",'实盘净值数据(iFinD）'!$Z887="",'实盘净值数据(iFinD）'!$AA887=""),"",分期持仓明细!$AB$25*(SUMPRODUCT(分期持仓明细!$B$25:$Y$25,'实盘净值数据(iFinD）'!$B887:$Y887/'实盘净值数据(iFinD）'!$B$65:$Y$65)+SUMPRODUCT(分期持仓明细!$AC$25:$AD$25,'实盘净值数据(iFinD）'!$Z887:$AA887/'实盘净值数据(iFinD）'!$Z$65:$AA$65))*(1-实盘持仓初始配置!$Z$9)^(('实盘净值数据(iFinD）'!$A887-'实盘净值数据(iFinD）'!$A$8)/365))</f>
        <v/>
      </c>
      <c r="R887" s="16" t="str">
        <f t="shared" si="83"/>
        <v/>
      </c>
      <c r="S887" s="16" t="str">
        <f>IF(Q887="","",Q887/MAX(Q$5:Q887)-1)</f>
        <v/>
      </c>
      <c r="T887" s="13">
        <f>IF(OR('实盘净值数据(iFinD）'!$A887="",'实盘净值数据(iFinD）'!$B887="",'实盘净值数据(iFinD）'!$Z887="",'实盘净值数据(iFinD）'!$AA887="",'实盘净值数据(iFinD）'!$AB887="",'实盘净值数据(iFinD）'!$AL887=""),"",(SUMPRODUCT(分期持仓明细!$B$26:$Y$26,'实盘净值数据(iFinD）'!$B887:$Y887/'实盘净值数据(iFinD）'!$B$69:$Y$69)+SUMPRODUCT(分期持仓明细!$AC$26:$AD$26,'实盘净值数据(iFinD）'!$Z887:$AA887/'实盘净值数据(iFinD）'!$Z$69:$AA$69)+SUMPRODUCT(分期持仓明细!$AE$26:$AO$26,'实盘净值数据(iFinD）'!$AB887:$AL887/'实盘净值数据(iFinD）'!$AB$69:$AL$69))*(1-实盘持仓初始配置!$Z$10)^(('实盘净值数据(iFinD）'!$A887-'实盘净值数据(iFinD）'!$A$69)/365))</f>
        <v/>
      </c>
      <c r="U887" s="16">
        <f>IF(OR(T886="",T887=""),"",T887/T886-1)</f>
        <v/>
      </c>
      <c r="V887" s="16">
        <f>IF(T887="","",T887/MAX(T$5:T887)-1)</f>
        <v/>
      </c>
    </row>
    <row r="888" spans="1:19">
      <c r="A888" s="15" t="str">
        <f>IF('实盘净值数据(iFinD）'!A888="","",'实盘净值数据(iFinD）'!A888)</f>
        <v/>
      </c>
      <c r="B888" s="13" t="str">
        <f>IF(OR('实盘净值数据(iFinD）'!$A888="",'实盘净值数据(iFinD）'!$B888=""),"",分期持仓明细!$AB$17*SUMPRODUCT(分期持仓明细!$B$17:$Y$17,'实盘净值数据(iFinD）'!$B888:$Y888/'实盘净值数据(iFinD）'!$B$20:$Y$20)*(1-实盘持仓初始配置!$Z$4)^(('实盘净值数据(iFinD）'!$A888-'实盘净值数据(iFinD）'!$A$6)/365))</f>
        <v/>
      </c>
      <c r="C888" s="16" t="str">
        <f t="shared" si="78"/>
        <v/>
      </c>
      <c r="D888" s="16" t="str">
        <f>IF(B888="","",B888/MAX(B$5:B888)-1)</f>
        <v/>
      </c>
      <c r="E888" s="13" t="str">
        <f>IF(OR('实盘净值数据(iFinD）'!$A888="",'实盘净值数据(iFinD）'!$B888=""),"",分期持仓明细!$AB$18*SUMPRODUCT(分期持仓明细!$B$18:$Y$18,'实盘净值数据(iFinD）'!$B888:$Y888/'实盘净值数据(iFinD）'!$B$20:$Y$20)*(1-实盘持仓初始配置!$Z$5)^(('实盘净值数据(iFinD）'!$A888-'实盘净值数据(iFinD）'!$A$5)/365))</f>
        <v/>
      </c>
      <c r="F888" s="16" t="str">
        <f t="shared" si="79"/>
        <v/>
      </c>
      <c r="G888" s="16" t="str">
        <f>IF(E888="","",E888/MAX(E$5:E888)-1)</f>
        <v/>
      </c>
      <c r="H888" s="13" t="str">
        <f>IF(OR('实盘净值数据(iFinD）'!$A888="",'实盘净值数据(iFinD）'!$B888=""),"",分期持仓明细!$AB$19*SUMPRODUCT(分期持仓明细!$B$19:$Y$19,'实盘净值数据(iFinD）'!$B888:$Y888/'实盘净值数据(iFinD）'!$B$20:$Y$20)*(1-实盘持仓初始配置!$Z$6)^(('实盘净值数据(iFinD）'!$A888-'实盘净值数据(iFinD）'!$A$7)/365))</f>
        <v/>
      </c>
      <c r="I888" s="16" t="str">
        <f t="shared" si="80"/>
        <v/>
      </c>
      <c r="J888" s="16" t="str">
        <f>IF(H888="","",H888/MAX(H$5:H888)-1)</f>
        <v/>
      </c>
      <c r="K888" s="13" t="str">
        <f>IF(OR('实盘净值数据(iFinD）'!$A888="",'实盘净值数据(iFinD）'!$B888="",'实盘净值数据(iFinD）'!$Z888="",'实盘净值数据(iFinD）'!$AA888=""),"",分期持仓明细!$AB$23*(SUMPRODUCT(分期持仓明细!$B$23:$Y$23,'实盘净值数据(iFinD）'!$B888:$Y888/'实盘净值数据(iFinD）'!$B$65:$Y$65)+SUMPRODUCT(分期持仓明细!$AC$23:$AD$23,'实盘净值数据(iFinD）'!$Z888:$AA888/'实盘净值数据(iFinD）'!$Z$65:$AA$65))*(1-实盘持仓初始配置!$Z$7)^(('实盘净值数据(iFinD）'!$A888-'实盘净值数据(iFinD）'!$A$8)/365))</f>
        <v/>
      </c>
      <c r="L888" s="16" t="str">
        <f t="shared" si="81"/>
        <v/>
      </c>
      <c r="M888" s="16" t="str">
        <f>IF(K888="","",K888/MAX(K$5:K888)-1)</f>
        <v/>
      </c>
      <c r="N888" s="13" t="str">
        <f>IF(OR('实盘净值数据(iFinD）'!$A888="",'实盘净值数据(iFinD）'!$B888="",'实盘净值数据(iFinD）'!$Z888="",'实盘净值数据(iFinD）'!$AA888=""),"",分期持仓明细!$AB$24*(SUMPRODUCT(分期持仓明细!$B$24:$Y$24,'实盘净值数据(iFinD）'!$B888:$Y888/'实盘净值数据(iFinD）'!$B$65:$Y$65)+SUMPRODUCT(分期持仓明细!$AC$24:$AD$24,'实盘净值数据(iFinD）'!$Z888:$AA888/'实盘净值数据(iFinD）'!$Z$65:$AA$65))*(1-实盘持仓初始配置!$Z$8)^(('实盘净值数据(iFinD）'!$A888-'实盘净值数据(iFinD）'!$A$5)/365))</f>
        <v/>
      </c>
      <c r="O888" s="16" t="str">
        <f t="shared" si="82"/>
        <v/>
      </c>
      <c r="P888" s="16" t="str">
        <f>IF(N888="","",N888/MAX(N$5:N888)-1)</f>
        <v/>
      </c>
      <c r="Q888" s="13" t="str">
        <f>IF(OR('实盘净值数据(iFinD）'!$A888="",'实盘净值数据(iFinD）'!$B888="",'实盘净值数据(iFinD）'!$Z888="",'实盘净值数据(iFinD）'!$AA888=""),"",分期持仓明细!$AB$25*(SUMPRODUCT(分期持仓明细!$B$25:$Y$25,'实盘净值数据(iFinD）'!$B888:$Y888/'实盘净值数据(iFinD）'!$B$65:$Y$65)+SUMPRODUCT(分期持仓明细!$AC$25:$AD$25,'实盘净值数据(iFinD）'!$Z888:$AA888/'实盘净值数据(iFinD）'!$Z$65:$AA$65))*(1-实盘持仓初始配置!$Z$9)^(('实盘净值数据(iFinD）'!$A888-'实盘净值数据(iFinD）'!$A$8)/365))</f>
        <v/>
      </c>
      <c r="R888" s="16" t="str">
        <f t="shared" si="83"/>
        <v/>
      </c>
      <c r="S888" s="16" t="str">
        <f>IF(Q888="","",Q888/MAX(Q$5:Q888)-1)</f>
        <v/>
      </c>
      <c r="T888" s="13">
        <f>IF(OR('实盘净值数据(iFinD）'!$A888="",'实盘净值数据(iFinD）'!$B888="",'实盘净值数据(iFinD）'!$Z888="",'实盘净值数据(iFinD）'!$AA888="",'实盘净值数据(iFinD）'!$AB888="",'实盘净值数据(iFinD）'!$AL888=""),"",(SUMPRODUCT(分期持仓明细!$B$26:$Y$26,'实盘净值数据(iFinD）'!$B888:$Y888/'实盘净值数据(iFinD）'!$B$69:$Y$69)+SUMPRODUCT(分期持仓明细!$AC$26:$AD$26,'实盘净值数据(iFinD）'!$Z888:$AA888/'实盘净值数据(iFinD）'!$Z$69:$AA$69)+SUMPRODUCT(分期持仓明细!$AE$26:$AO$26,'实盘净值数据(iFinD）'!$AB888:$AL888/'实盘净值数据(iFinD）'!$AB$69:$AL$69))*(1-实盘持仓初始配置!$Z$10)^(('实盘净值数据(iFinD）'!$A888-'实盘净值数据(iFinD）'!$A$69)/365))</f>
        <v/>
      </c>
      <c r="U888" s="16">
        <f>IF(OR(T887="",T888=""),"",T888/T887-1)</f>
        <v/>
      </c>
      <c r="V888" s="16">
        <f>IF(T888="","",T888/MAX(T$5:T888)-1)</f>
        <v/>
      </c>
    </row>
    <row r="889" spans="1:19">
      <c r="A889" s="15" t="str">
        <f>IF('实盘净值数据(iFinD）'!A889="","",'实盘净值数据(iFinD）'!A889)</f>
        <v/>
      </c>
      <c r="B889" s="13" t="str">
        <f>IF(OR('实盘净值数据(iFinD）'!$A889="",'实盘净值数据(iFinD）'!$B889=""),"",分期持仓明细!$AB$17*SUMPRODUCT(分期持仓明细!$B$17:$Y$17,'实盘净值数据(iFinD）'!$B889:$Y889/'实盘净值数据(iFinD）'!$B$20:$Y$20)*(1-实盘持仓初始配置!$Z$4)^(('实盘净值数据(iFinD）'!$A889-'实盘净值数据(iFinD）'!$A$6)/365))</f>
        <v/>
      </c>
      <c r="C889" s="16" t="str">
        <f t="shared" si="78"/>
        <v/>
      </c>
      <c r="D889" s="16" t="str">
        <f>IF(B889="","",B889/MAX(B$5:B889)-1)</f>
        <v/>
      </c>
      <c r="E889" s="13" t="str">
        <f>IF(OR('实盘净值数据(iFinD）'!$A889="",'实盘净值数据(iFinD）'!$B889=""),"",分期持仓明细!$AB$18*SUMPRODUCT(分期持仓明细!$B$18:$Y$18,'实盘净值数据(iFinD）'!$B889:$Y889/'实盘净值数据(iFinD）'!$B$20:$Y$20)*(1-实盘持仓初始配置!$Z$5)^(('实盘净值数据(iFinD）'!$A889-'实盘净值数据(iFinD）'!$A$5)/365))</f>
        <v/>
      </c>
      <c r="F889" s="16" t="str">
        <f t="shared" si="79"/>
        <v/>
      </c>
      <c r="G889" s="16" t="str">
        <f>IF(E889="","",E889/MAX(E$5:E889)-1)</f>
        <v/>
      </c>
      <c r="H889" s="13" t="str">
        <f>IF(OR('实盘净值数据(iFinD）'!$A889="",'实盘净值数据(iFinD）'!$B889=""),"",分期持仓明细!$AB$19*SUMPRODUCT(分期持仓明细!$B$19:$Y$19,'实盘净值数据(iFinD）'!$B889:$Y889/'实盘净值数据(iFinD）'!$B$20:$Y$20)*(1-实盘持仓初始配置!$Z$6)^(('实盘净值数据(iFinD）'!$A889-'实盘净值数据(iFinD）'!$A$7)/365))</f>
        <v/>
      </c>
      <c r="I889" s="16" t="str">
        <f t="shared" si="80"/>
        <v/>
      </c>
      <c r="J889" s="16" t="str">
        <f>IF(H889="","",H889/MAX(H$5:H889)-1)</f>
        <v/>
      </c>
      <c r="K889" s="13" t="str">
        <f>IF(OR('实盘净值数据(iFinD）'!$A889="",'实盘净值数据(iFinD）'!$B889="",'实盘净值数据(iFinD）'!$Z889="",'实盘净值数据(iFinD）'!$AA889=""),"",分期持仓明细!$AB$23*(SUMPRODUCT(分期持仓明细!$B$23:$Y$23,'实盘净值数据(iFinD）'!$B889:$Y889/'实盘净值数据(iFinD）'!$B$65:$Y$65)+SUMPRODUCT(分期持仓明细!$AC$23:$AD$23,'实盘净值数据(iFinD）'!$Z889:$AA889/'实盘净值数据(iFinD）'!$Z$65:$AA$65))*(1-实盘持仓初始配置!$Z$7)^(('实盘净值数据(iFinD）'!$A889-'实盘净值数据(iFinD）'!$A$8)/365))</f>
        <v/>
      </c>
      <c r="L889" s="16" t="str">
        <f t="shared" si="81"/>
        <v/>
      </c>
      <c r="M889" s="16" t="str">
        <f>IF(K889="","",K889/MAX(K$5:K889)-1)</f>
        <v/>
      </c>
      <c r="N889" s="13" t="str">
        <f>IF(OR('实盘净值数据(iFinD）'!$A889="",'实盘净值数据(iFinD）'!$B889="",'实盘净值数据(iFinD）'!$Z889="",'实盘净值数据(iFinD）'!$AA889=""),"",分期持仓明细!$AB$24*(SUMPRODUCT(分期持仓明细!$B$24:$Y$24,'实盘净值数据(iFinD）'!$B889:$Y889/'实盘净值数据(iFinD）'!$B$65:$Y$65)+SUMPRODUCT(分期持仓明细!$AC$24:$AD$24,'实盘净值数据(iFinD）'!$Z889:$AA889/'实盘净值数据(iFinD）'!$Z$65:$AA$65))*(1-实盘持仓初始配置!$Z$8)^(('实盘净值数据(iFinD）'!$A889-'实盘净值数据(iFinD）'!$A$5)/365))</f>
        <v/>
      </c>
      <c r="O889" s="16" t="str">
        <f t="shared" si="82"/>
        <v/>
      </c>
      <c r="P889" s="16" t="str">
        <f>IF(N889="","",N889/MAX(N$5:N889)-1)</f>
        <v/>
      </c>
      <c r="Q889" s="13" t="str">
        <f>IF(OR('实盘净值数据(iFinD）'!$A889="",'实盘净值数据(iFinD）'!$B889="",'实盘净值数据(iFinD）'!$Z889="",'实盘净值数据(iFinD）'!$AA889=""),"",分期持仓明细!$AB$25*(SUMPRODUCT(分期持仓明细!$B$25:$Y$25,'实盘净值数据(iFinD）'!$B889:$Y889/'实盘净值数据(iFinD）'!$B$65:$Y$65)+SUMPRODUCT(分期持仓明细!$AC$25:$AD$25,'实盘净值数据(iFinD）'!$Z889:$AA889/'实盘净值数据(iFinD）'!$Z$65:$AA$65))*(1-实盘持仓初始配置!$Z$9)^(('实盘净值数据(iFinD）'!$A889-'实盘净值数据(iFinD）'!$A$8)/365))</f>
        <v/>
      </c>
      <c r="R889" s="16" t="str">
        <f t="shared" si="83"/>
        <v/>
      </c>
      <c r="S889" s="16" t="str">
        <f>IF(Q889="","",Q889/MAX(Q$5:Q889)-1)</f>
        <v/>
      </c>
      <c r="T889" s="13">
        <f>IF(OR('实盘净值数据(iFinD）'!$A889="",'实盘净值数据(iFinD）'!$B889="",'实盘净值数据(iFinD）'!$Z889="",'实盘净值数据(iFinD）'!$AA889="",'实盘净值数据(iFinD）'!$AB889="",'实盘净值数据(iFinD）'!$AL889=""),"",(SUMPRODUCT(分期持仓明细!$B$26:$Y$26,'实盘净值数据(iFinD）'!$B889:$Y889/'实盘净值数据(iFinD）'!$B$69:$Y$69)+SUMPRODUCT(分期持仓明细!$AC$26:$AD$26,'实盘净值数据(iFinD）'!$Z889:$AA889/'实盘净值数据(iFinD）'!$Z$69:$AA$69)+SUMPRODUCT(分期持仓明细!$AE$26:$AO$26,'实盘净值数据(iFinD）'!$AB889:$AL889/'实盘净值数据(iFinD）'!$AB$69:$AL$69))*(1-实盘持仓初始配置!$Z$10)^(('实盘净值数据(iFinD）'!$A889-'实盘净值数据(iFinD）'!$A$69)/365))</f>
        <v/>
      </c>
      <c r="U889" s="16">
        <f>IF(OR(T888="",T889=""),"",T889/T888-1)</f>
        <v/>
      </c>
      <c r="V889" s="16">
        <f>IF(T889="","",T889/MAX(T$5:T889)-1)</f>
        <v/>
      </c>
    </row>
    <row r="890" spans="1:19">
      <c r="A890" s="15" t="str">
        <f>IF('实盘净值数据(iFinD）'!A890="","",'实盘净值数据(iFinD）'!A890)</f>
        <v/>
      </c>
      <c r="B890" s="13" t="str">
        <f>IF(OR('实盘净值数据(iFinD）'!$A890="",'实盘净值数据(iFinD）'!$B890=""),"",分期持仓明细!$AB$17*SUMPRODUCT(分期持仓明细!$B$17:$Y$17,'实盘净值数据(iFinD）'!$B890:$Y890/'实盘净值数据(iFinD）'!$B$20:$Y$20)*(1-实盘持仓初始配置!$Z$4)^(('实盘净值数据(iFinD）'!$A890-'实盘净值数据(iFinD）'!$A$6)/365))</f>
        <v/>
      </c>
      <c r="C890" s="16" t="str">
        <f t="shared" si="78"/>
        <v/>
      </c>
      <c r="D890" s="16" t="str">
        <f>IF(B890="","",B890/MAX(B$5:B890)-1)</f>
        <v/>
      </c>
      <c r="E890" s="13" t="str">
        <f>IF(OR('实盘净值数据(iFinD）'!$A890="",'实盘净值数据(iFinD）'!$B890=""),"",分期持仓明细!$AB$18*SUMPRODUCT(分期持仓明细!$B$18:$Y$18,'实盘净值数据(iFinD）'!$B890:$Y890/'实盘净值数据(iFinD）'!$B$20:$Y$20)*(1-实盘持仓初始配置!$Z$5)^(('实盘净值数据(iFinD）'!$A890-'实盘净值数据(iFinD）'!$A$5)/365))</f>
        <v/>
      </c>
      <c r="F890" s="16" t="str">
        <f t="shared" si="79"/>
        <v/>
      </c>
      <c r="G890" s="16" t="str">
        <f>IF(E890="","",E890/MAX(E$5:E890)-1)</f>
        <v/>
      </c>
      <c r="H890" s="13" t="str">
        <f>IF(OR('实盘净值数据(iFinD）'!$A890="",'实盘净值数据(iFinD）'!$B890=""),"",分期持仓明细!$AB$19*SUMPRODUCT(分期持仓明细!$B$19:$Y$19,'实盘净值数据(iFinD）'!$B890:$Y890/'实盘净值数据(iFinD）'!$B$20:$Y$20)*(1-实盘持仓初始配置!$Z$6)^(('实盘净值数据(iFinD）'!$A890-'实盘净值数据(iFinD）'!$A$7)/365))</f>
        <v/>
      </c>
      <c r="I890" s="16" t="str">
        <f t="shared" si="80"/>
        <v/>
      </c>
      <c r="J890" s="16" t="str">
        <f>IF(H890="","",H890/MAX(H$5:H890)-1)</f>
        <v/>
      </c>
      <c r="K890" s="13" t="str">
        <f>IF(OR('实盘净值数据(iFinD）'!$A890="",'实盘净值数据(iFinD）'!$B890="",'实盘净值数据(iFinD）'!$Z890="",'实盘净值数据(iFinD）'!$AA890=""),"",分期持仓明细!$AB$23*(SUMPRODUCT(分期持仓明细!$B$23:$Y$23,'实盘净值数据(iFinD）'!$B890:$Y890/'实盘净值数据(iFinD）'!$B$65:$Y$65)+SUMPRODUCT(分期持仓明细!$AC$23:$AD$23,'实盘净值数据(iFinD）'!$Z890:$AA890/'实盘净值数据(iFinD）'!$Z$65:$AA$65))*(1-实盘持仓初始配置!$Z$7)^(('实盘净值数据(iFinD）'!$A890-'实盘净值数据(iFinD）'!$A$8)/365))</f>
        <v/>
      </c>
      <c r="L890" s="16" t="str">
        <f t="shared" si="81"/>
        <v/>
      </c>
      <c r="M890" s="16" t="str">
        <f>IF(K890="","",K890/MAX(K$5:K890)-1)</f>
        <v/>
      </c>
      <c r="N890" s="13" t="str">
        <f>IF(OR('实盘净值数据(iFinD）'!$A890="",'实盘净值数据(iFinD）'!$B890="",'实盘净值数据(iFinD）'!$Z890="",'实盘净值数据(iFinD）'!$AA890=""),"",分期持仓明细!$AB$24*(SUMPRODUCT(分期持仓明细!$B$24:$Y$24,'实盘净值数据(iFinD）'!$B890:$Y890/'实盘净值数据(iFinD）'!$B$65:$Y$65)+SUMPRODUCT(分期持仓明细!$AC$24:$AD$24,'实盘净值数据(iFinD）'!$Z890:$AA890/'实盘净值数据(iFinD）'!$Z$65:$AA$65))*(1-实盘持仓初始配置!$Z$8)^(('实盘净值数据(iFinD）'!$A890-'实盘净值数据(iFinD）'!$A$5)/365))</f>
        <v/>
      </c>
      <c r="O890" s="16" t="str">
        <f t="shared" si="82"/>
        <v/>
      </c>
      <c r="P890" s="16" t="str">
        <f>IF(N890="","",N890/MAX(N$5:N890)-1)</f>
        <v/>
      </c>
      <c r="Q890" s="13" t="str">
        <f>IF(OR('实盘净值数据(iFinD）'!$A890="",'实盘净值数据(iFinD）'!$B890="",'实盘净值数据(iFinD）'!$Z890="",'实盘净值数据(iFinD）'!$AA890=""),"",分期持仓明细!$AB$25*(SUMPRODUCT(分期持仓明细!$B$25:$Y$25,'实盘净值数据(iFinD）'!$B890:$Y890/'实盘净值数据(iFinD）'!$B$65:$Y$65)+SUMPRODUCT(分期持仓明细!$AC$25:$AD$25,'实盘净值数据(iFinD）'!$Z890:$AA890/'实盘净值数据(iFinD）'!$Z$65:$AA$65))*(1-实盘持仓初始配置!$Z$9)^(('实盘净值数据(iFinD）'!$A890-'实盘净值数据(iFinD）'!$A$8)/365))</f>
        <v/>
      </c>
      <c r="R890" s="16" t="str">
        <f t="shared" si="83"/>
        <v/>
      </c>
      <c r="S890" s="16" t="str">
        <f>IF(Q890="","",Q890/MAX(Q$5:Q890)-1)</f>
        <v/>
      </c>
      <c r="T890" s="13">
        <f>IF(OR('实盘净值数据(iFinD）'!$A890="",'实盘净值数据(iFinD）'!$B890="",'实盘净值数据(iFinD）'!$Z890="",'实盘净值数据(iFinD）'!$AA890="",'实盘净值数据(iFinD）'!$AB890="",'实盘净值数据(iFinD）'!$AL890=""),"",(SUMPRODUCT(分期持仓明细!$B$26:$Y$26,'实盘净值数据(iFinD）'!$B890:$Y890/'实盘净值数据(iFinD）'!$B$69:$Y$69)+SUMPRODUCT(分期持仓明细!$AC$26:$AD$26,'实盘净值数据(iFinD）'!$Z890:$AA890/'实盘净值数据(iFinD）'!$Z$69:$AA$69)+SUMPRODUCT(分期持仓明细!$AE$26:$AO$26,'实盘净值数据(iFinD）'!$AB890:$AL890/'实盘净值数据(iFinD）'!$AB$69:$AL$69))*(1-实盘持仓初始配置!$Z$10)^(('实盘净值数据(iFinD）'!$A890-'实盘净值数据(iFinD）'!$A$69)/365))</f>
        <v/>
      </c>
      <c r="U890" s="16">
        <f>IF(OR(T889="",T890=""),"",T890/T889-1)</f>
        <v/>
      </c>
      <c r="V890" s="16">
        <f>IF(T890="","",T890/MAX(T$5:T890)-1)</f>
        <v/>
      </c>
    </row>
    <row r="891" spans="1:19">
      <c r="A891" s="15" t="str">
        <f>IF('实盘净值数据(iFinD）'!A891="","",'实盘净值数据(iFinD）'!A891)</f>
        <v/>
      </c>
      <c r="B891" s="13" t="str">
        <f>IF(OR('实盘净值数据(iFinD）'!$A891="",'实盘净值数据(iFinD）'!$B891=""),"",分期持仓明细!$AB$17*SUMPRODUCT(分期持仓明细!$B$17:$Y$17,'实盘净值数据(iFinD）'!$B891:$Y891/'实盘净值数据(iFinD）'!$B$20:$Y$20)*(1-实盘持仓初始配置!$Z$4)^(('实盘净值数据(iFinD）'!$A891-'实盘净值数据(iFinD）'!$A$6)/365))</f>
        <v/>
      </c>
      <c r="C891" s="16" t="str">
        <f t="shared" si="78"/>
        <v/>
      </c>
      <c r="D891" s="16" t="str">
        <f>IF(B891="","",B891/MAX(B$5:B891)-1)</f>
        <v/>
      </c>
      <c r="E891" s="13" t="str">
        <f>IF(OR('实盘净值数据(iFinD）'!$A891="",'实盘净值数据(iFinD）'!$B891=""),"",分期持仓明细!$AB$18*SUMPRODUCT(分期持仓明细!$B$18:$Y$18,'实盘净值数据(iFinD）'!$B891:$Y891/'实盘净值数据(iFinD）'!$B$20:$Y$20)*(1-实盘持仓初始配置!$Z$5)^(('实盘净值数据(iFinD）'!$A891-'实盘净值数据(iFinD）'!$A$5)/365))</f>
        <v/>
      </c>
      <c r="F891" s="16" t="str">
        <f t="shared" si="79"/>
        <v/>
      </c>
      <c r="G891" s="16" t="str">
        <f>IF(E891="","",E891/MAX(E$5:E891)-1)</f>
        <v/>
      </c>
      <c r="H891" s="13" t="str">
        <f>IF(OR('实盘净值数据(iFinD）'!$A891="",'实盘净值数据(iFinD）'!$B891=""),"",分期持仓明细!$AB$19*SUMPRODUCT(分期持仓明细!$B$19:$Y$19,'实盘净值数据(iFinD）'!$B891:$Y891/'实盘净值数据(iFinD）'!$B$20:$Y$20)*(1-实盘持仓初始配置!$Z$6)^(('实盘净值数据(iFinD）'!$A891-'实盘净值数据(iFinD）'!$A$7)/365))</f>
        <v/>
      </c>
      <c r="I891" s="16" t="str">
        <f t="shared" si="80"/>
        <v/>
      </c>
      <c r="J891" s="16" t="str">
        <f>IF(H891="","",H891/MAX(H$5:H891)-1)</f>
        <v/>
      </c>
      <c r="K891" s="13" t="str">
        <f>IF(OR('实盘净值数据(iFinD）'!$A891="",'实盘净值数据(iFinD）'!$B891="",'实盘净值数据(iFinD）'!$Z891="",'实盘净值数据(iFinD）'!$AA891=""),"",分期持仓明细!$AB$23*(SUMPRODUCT(分期持仓明细!$B$23:$Y$23,'实盘净值数据(iFinD）'!$B891:$Y891/'实盘净值数据(iFinD）'!$B$65:$Y$65)+SUMPRODUCT(分期持仓明细!$AC$23:$AD$23,'实盘净值数据(iFinD）'!$Z891:$AA891/'实盘净值数据(iFinD）'!$Z$65:$AA$65))*(1-实盘持仓初始配置!$Z$7)^(('实盘净值数据(iFinD）'!$A891-'实盘净值数据(iFinD）'!$A$8)/365))</f>
        <v/>
      </c>
      <c r="L891" s="16" t="str">
        <f t="shared" si="81"/>
        <v/>
      </c>
      <c r="M891" s="16" t="str">
        <f>IF(K891="","",K891/MAX(K$5:K891)-1)</f>
        <v/>
      </c>
      <c r="N891" s="13" t="str">
        <f>IF(OR('实盘净值数据(iFinD）'!$A891="",'实盘净值数据(iFinD）'!$B891="",'实盘净值数据(iFinD）'!$Z891="",'实盘净值数据(iFinD）'!$AA891=""),"",分期持仓明细!$AB$24*(SUMPRODUCT(分期持仓明细!$B$24:$Y$24,'实盘净值数据(iFinD）'!$B891:$Y891/'实盘净值数据(iFinD）'!$B$65:$Y$65)+SUMPRODUCT(分期持仓明细!$AC$24:$AD$24,'实盘净值数据(iFinD）'!$Z891:$AA891/'实盘净值数据(iFinD）'!$Z$65:$AA$65))*(1-实盘持仓初始配置!$Z$8)^(('实盘净值数据(iFinD）'!$A891-'实盘净值数据(iFinD）'!$A$5)/365))</f>
        <v/>
      </c>
      <c r="O891" s="16" t="str">
        <f t="shared" si="82"/>
        <v/>
      </c>
      <c r="P891" s="16" t="str">
        <f>IF(N891="","",N891/MAX(N$5:N891)-1)</f>
        <v/>
      </c>
      <c r="Q891" s="13" t="str">
        <f>IF(OR('实盘净值数据(iFinD）'!$A891="",'实盘净值数据(iFinD）'!$B891="",'实盘净值数据(iFinD）'!$Z891="",'实盘净值数据(iFinD）'!$AA891=""),"",分期持仓明细!$AB$25*(SUMPRODUCT(分期持仓明细!$B$25:$Y$25,'实盘净值数据(iFinD）'!$B891:$Y891/'实盘净值数据(iFinD）'!$B$65:$Y$65)+SUMPRODUCT(分期持仓明细!$AC$25:$AD$25,'实盘净值数据(iFinD）'!$Z891:$AA891/'实盘净值数据(iFinD）'!$Z$65:$AA$65))*(1-实盘持仓初始配置!$Z$9)^(('实盘净值数据(iFinD）'!$A891-'实盘净值数据(iFinD）'!$A$8)/365))</f>
        <v/>
      </c>
      <c r="R891" s="16" t="str">
        <f t="shared" si="83"/>
        <v/>
      </c>
      <c r="S891" s="16" t="str">
        <f>IF(Q891="","",Q891/MAX(Q$5:Q891)-1)</f>
        <v/>
      </c>
      <c r="T891" s="13">
        <f>IF(OR('实盘净值数据(iFinD）'!$A891="",'实盘净值数据(iFinD）'!$B891="",'实盘净值数据(iFinD）'!$Z891="",'实盘净值数据(iFinD）'!$AA891="",'实盘净值数据(iFinD）'!$AB891="",'实盘净值数据(iFinD）'!$AL891=""),"",(SUMPRODUCT(分期持仓明细!$B$26:$Y$26,'实盘净值数据(iFinD）'!$B891:$Y891/'实盘净值数据(iFinD）'!$B$69:$Y$69)+SUMPRODUCT(分期持仓明细!$AC$26:$AD$26,'实盘净值数据(iFinD）'!$Z891:$AA891/'实盘净值数据(iFinD）'!$Z$69:$AA$69)+SUMPRODUCT(分期持仓明细!$AE$26:$AO$26,'实盘净值数据(iFinD）'!$AB891:$AL891/'实盘净值数据(iFinD）'!$AB$69:$AL$69))*(1-实盘持仓初始配置!$Z$10)^(('实盘净值数据(iFinD）'!$A891-'实盘净值数据(iFinD）'!$A$69)/365))</f>
        <v/>
      </c>
      <c r="U891" s="16">
        <f>IF(OR(T890="",T891=""),"",T891/T890-1)</f>
        <v/>
      </c>
      <c r="V891" s="16">
        <f>IF(T891="","",T891/MAX(T$5:T891)-1)</f>
        <v/>
      </c>
    </row>
    <row r="892" spans="1:19">
      <c r="A892" s="15" t="str">
        <f>IF('实盘净值数据(iFinD）'!A892="","",'实盘净值数据(iFinD）'!A892)</f>
        <v/>
      </c>
      <c r="B892" s="13" t="str">
        <f>IF(OR('实盘净值数据(iFinD）'!$A892="",'实盘净值数据(iFinD）'!$B892=""),"",分期持仓明细!$AB$17*SUMPRODUCT(分期持仓明细!$B$17:$Y$17,'实盘净值数据(iFinD）'!$B892:$Y892/'实盘净值数据(iFinD）'!$B$20:$Y$20)*(1-实盘持仓初始配置!$Z$4)^(('实盘净值数据(iFinD）'!$A892-'实盘净值数据(iFinD）'!$A$6)/365))</f>
        <v/>
      </c>
      <c r="C892" s="16" t="str">
        <f t="shared" ref="C892:C955" si="84">IF(OR(B891="",B892=""),"",B892/B891-1)</f>
        <v/>
      </c>
      <c r="D892" s="16" t="str">
        <f>IF(B892="","",B892/MAX(B$5:B892)-1)</f>
        <v/>
      </c>
      <c r="E892" s="13" t="str">
        <f>IF(OR('实盘净值数据(iFinD）'!$A892="",'实盘净值数据(iFinD）'!$B892=""),"",分期持仓明细!$AB$18*SUMPRODUCT(分期持仓明细!$B$18:$Y$18,'实盘净值数据(iFinD）'!$B892:$Y892/'实盘净值数据(iFinD）'!$B$20:$Y$20)*(1-实盘持仓初始配置!$Z$5)^(('实盘净值数据(iFinD）'!$A892-'实盘净值数据(iFinD）'!$A$5)/365))</f>
        <v/>
      </c>
      <c r="F892" s="16" t="str">
        <f t="shared" ref="F892:F955" si="85">IF(OR(E891="",E892=""),"",E892/E891-1)</f>
        <v/>
      </c>
      <c r="G892" s="16" t="str">
        <f>IF(E892="","",E892/MAX(E$5:E892)-1)</f>
        <v/>
      </c>
      <c r="H892" s="13" t="str">
        <f>IF(OR('实盘净值数据(iFinD）'!$A892="",'实盘净值数据(iFinD）'!$B892=""),"",分期持仓明细!$AB$19*SUMPRODUCT(分期持仓明细!$B$19:$Y$19,'实盘净值数据(iFinD）'!$B892:$Y892/'实盘净值数据(iFinD）'!$B$20:$Y$20)*(1-实盘持仓初始配置!$Z$6)^(('实盘净值数据(iFinD）'!$A892-'实盘净值数据(iFinD）'!$A$7)/365))</f>
        <v/>
      </c>
      <c r="I892" s="16" t="str">
        <f t="shared" ref="I892:I955" si="86">IF(OR(H891="",H892=""),"",H892/H891-1)</f>
        <v/>
      </c>
      <c r="J892" s="16" t="str">
        <f>IF(H892="","",H892/MAX(H$5:H892)-1)</f>
        <v/>
      </c>
      <c r="K892" s="13" t="str">
        <f>IF(OR('实盘净值数据(iFinD）'!$A892="",'实盘净值数据(iFinD）'!$B892="",'实盘净值数据(iFinD）'!$Z892="",'实盘净值数据(iFinD）'!$AA892=""),"",分期持仓明细!$AB$23*(SUMPRODUCT(分期持仓明细!$B$23:$Y$23,'实盘净值数据(iFinD）'!$B892:$Y892/'实盘净值数据(iFinD）'!$B$65:$Y$65)+SUMPRODUCT(分期持仓明细!$AC$23:$AD$23,'实盘净值数据(iFinD）'!$Z892:$AA892/'实盘净值数据(iFinD）'!$Z$65:$AA$65))*(1-实盘持仓初始配置!$Z$7)^(('实盘净值数据(iFinD）'!$A892-'实盘净值数据(iFinD）'!$A$8)/365))</f>
        <v/>
      </c>
      <c r="L892" s="16" t="str">
        <f t="shared" ref="L892:L955" si="87">IF(OR(K891="",K892=""),"",K892/K891-1)</f>
        <v/>
      </c>
      <c r="M892" s="16" t="str">
        <f>IF(K892="","",K892/MAX(K$5:K892)-1)</f>
        <v/>
      </c>
      <c r="N892" s="13" t="str">
        <f>IF(OR('实盘净值数据(iFinD）'!$A892="",'实盘净值数据(iFinD）'!$B892="",'实盘净值数据(iFinD）'!$Z892="",'实盘净值数据(iFinD）'!$AA892=""),"",分期持仓明细!$AB$24*(SUMPRODUCT(分期持仓明细!$B$24:$Y$24,'实盘净值数据(iFinD）'!$B892:$Y892/'实盘净值数据(iFinD）'!$B$65:$Y$65)+SUMPRODUCT(分期持仓明细!$AC$24:$AD$24,'实盘净值数据(iFinD）'!$Z892:$AA892/'实盘净值数据(iFinD）'!$Z$65:$AA$65))*(1-实盘持仓初始配置!$Z$8)^(('实盘净值数据(iFinD）'!$A892-'实盘净值数据(iFinD）'!$A$5)/365))</f>
        <v/>
      </c>
      <c r="O892" s="16" t="str">
        <f t="shared" ref="O892:O955" si="88">IF(OR(N891="",N892=""),"",N892/N891-1)</f>
        <v/>
      </c>
      <c r="P892" s="16" t="str">
        <f>IF(N892="","",N892/MAX(N$5:N892)-1)</f>
        <v/>
      </c>
      <c r="Q892" s="13" t="str">
        <f>IF(OR('实盘净值数据(iFinD）'!$A892="",'实盘净值数据(iFinD）'!$B892="",'实盘净值数据(iFinD）'!$Z892="",'实盘净值数据(iFinD）'!$AA892=""),"",分期持仓明细!$AB$25*(SUMPRODUCT(分期持仓明细!$B$25:$Y$25,'实盘净值数据(iFinD）'!$B892:$Y892/'实盘净值数据(iFinD）'!$B$65:$Y$65)+SUMPRODUCT(分期持仓明细!$AC$25:$AD$25,'实盘净值数据(iFinD）'!$Z892:$AA892/'实盘净值数据(iFinD）'!$Z$65:$AA$65))*(1-实盘持仓初始配置!$Z$9)^(('实盘净值数据(iFinD）'!$A892-'实盘净值数据(iFinD）'!$A$8)/365))</f>
        <v/>
      </c>
      <c r="R892" s="16" t="str">
        <f t="shared" ref="R892:R955" si="89">IF(OR(Q891="",Q892=""),"",Q892/Q891-1)</f>
        <v/>
      </c>
      <c r="S892" s="16" t="str">
        <f>IF(Q892="","",Q892/MAX(Q$5:Q892)-1)</f>
        <v/>
      </c>
      <c r="T892" s="13">
        <f>IF(OR('实盘净值数据(iFinD）'!$A892="",'实盘净值数据(iFinD）'!$B892="",'实盘净值数据(iFinD）'!$Z892="",'实盘净值数据(iFinD）'!$AA892="",'实盘净值数据(iFinD）'!$AB892="",'实盘净值数据(iFinD）'!$AL892=""),"",(SUMPRODUCT(分期持仓明细!$B$26:$Y$26,'实盘净值数据(iFinD）'!$B892:$Y892/'实盘净值数据(iFinD）'!$B$69:$Y$69)+SUMPRODUCT(分期持仓明细!$AC$26:$AD$26,'实盘净值数据(iFinD）'!$Z892:$AA892/'实盘净值数据(iFinD）'!$Z$69:$AA$69)+SUMPRODUCT(分期持仓明细!$AE$26:$AO$26,'实盘净值数据(iFinD）'!$AB892:$AL892/'实盘净值数据(iFinD）'!$AB$69:$AL$69))*(1-实盘持仓初始配置!$Z$10)^(('实盘净值数据(iFinD）'!$A892-'实盘净值数据(iFinD）'!$A$69)/365))</f>
        <v/>
      </c>
      <c r="U892" s="16">
        <f>IF(OR(T891="",T892=""),"",T892/T891-1)</f>
        <v/>
      </c>
      <c r="V892" s="16">
        <f>IF(T892="","",T892/MAX(T$5:T892)-1)</f>
        <v/>
      </c>
    </row>
    <row r="893" spans="1:19">
      <c r="A893" s="15" t="str">
        <f>IF('实盘净值数据(iFinD）'!A893="","",'实盘净值数据(iFinD）'!A893)</f>
        <v/>
      </c>
      <c r="B893" s="13" t="str">
        <f>IF(OR('实盘净值数据(iFinD）'!$A893="",'实盘净值数据(iFinD）'!$B893=""),"",分期持仓明细!$AB$17*SUMPRODUCT(分期持仓明细!$B$17:$Y$17,'实盘净值数据(iFinD）'!$B893:$Y893/'实盘净值数据(iFinD）'!$B$20:$Y$20)*(1-实盘持仓初始配置!$Z$4)^(('实盘净值数据(iFinD）'!$A893-'实盘净值数据(iFinD）'!$A$6)/365))</f>
        <v/>
      </c>
      <c r="C893" s="16" t="str">
        <f t="shared" si="84"/>
        <v/>
      </c>
      <c r="D893" s="16" t="str">
        <f>IF(B893="","",B893/MAX(B$5:B893)-1)</f>
        <v/>
      </c>
      <c r="E893" s="13" t="str">
        <f>IF(OR('实盘净值数据(iFinD）'!$A893="",'实盘净值数据(iFinD）'!$B893=""),"",分期持仓明细!$AB$18*SUMPRODUCT(分期持仓明细!$B$18:$Y$18,'实盘净值数据(iFinD）'!$B893:$Y893/'实盘净值数据(iFinD）'!$B$20:$Y$20)*(1-实盘持仓初始配置!$Z$5)^(('实盘净值数据(iFinD）'!$A893-'实盘净值数据(iFinD）'!$A$5)/365))</f>
        <v/>
      </c>
      <c r="F893" s="16" t="str">
        <f t="shared" si="85"/>
        <v/>
      </c>
      <c r="G893" s="16" t="str">
        <f>IF(E893="","",E893/MAX(E$5:E893)-1)</f>
        <v/>
      </c>
      <c r="H893" s="13" t="str">
        <f>IF(OR('实盘净值数据(iFinD）'!$A893="",'实盘净值数据(iFinD）'!$B893=""),"",分期持仓明细!$AB$19*SUMPRODUCT(分期持仓明细!$B$19:$Y$19,'实盘净值数据(iFinD）'!$B893:$Y893/'实盘净值数据(iFinD）'!$B$20:$Y$20)*(1-实盘持仓初始配置!$Z$6)^(('实盘净值数据(iFinD）'!$A893-'实盘净值数据(iFinD）'!$A$7)/365))</f>
        <v/>
      </c>
      <c r="I893" s="16" t="str">
        <f t="shared" si="86"/>
        <v/>
      </c>
      <c r="J893" s="16" t="str">
        <f>IF(H893="","",H893/MAX(H$5:H893)-1)</f>
        <v/>
      </c>
      <c r="K893" s="13" t="str">
        <f>IF(OR('实盘净值数据(iFinD）'!$A893="",'实盘净值数据(iFinD）'!$B893="",'实盘净值数据(iFinD）'!$Z893="",'实盘净值数据(iFinD）'!$AA893=""),"",分期持仓明细!$AB$23*(SUMPRODUCT(分期持仓明细!$B$23:$Y$23,'实盘净值数据(iFinD）'!$B893:$Y893/'实盘净值数据(iFinD）'!$B$65:$Y$65)+SUMPRODUCT(分期持仓明细!$AC$23:$AD$23,'实盘净值数据(iFinD）'!$Z893:$AA893/'实盘净值数据(iFinD）'!$Z$65:$AA$65))*(1-实盘持仓初始配置!$Z$7)^(('实盘净值数据(iFinD）'!$A893-'实盘净值数据(iFinD）'!$A$8)/365))</f>
        <v/>
      </c>
      <c r="L893" s="16" t="str">
        <f t="shared" si="87"/>
        <v/>
      </c>
      <c r="M893" s="16" t="str">
        <f>IF(K893="","",K893/MAX(K$5:K893)-1)</f>
        <v/>
      </c>
      <c r="N893" s="13" t="str">
        <f>IF(OR('实盘净值数据(iFinD）'!$A893="",'实盘净值数据(iFinD）'!$B893="",'实盘净值数据(iFinD）'!$Z893="",'实盘净值数据(iFinD）'!$AA893=""),"",分期持仓明细!$AB$24*(SUMPRODUCT(分期持仓明细!$B$24:$Y$24,'实盘净值数据(iFinD）'!$B893:$Y893/'实盘净值数据(iFinD）'!$B$65:$Y$65)+SUMPRODUCT(分期持仓明细!$AC$24:$AD$24,'实盘净值数据(iFinD）'!$Z893:$AA893/'实盘净值数据(iFinD）'!$Z$65:$AA$65))*(1-实盘持仓初始配置!$Z$8)^(('实盘净值数据(iFinD）'!$A893-'实盘净值数据(iFinD）'!$A$5)/365))</f>
        <v/>
      </c>
      <c r="O893" s="16" t="str">
        <f t="shared" si="88"/>
        <v/>
      </c>
      <c r="P893" s="16" t="str">
        <f>IF(N893="","",N893/MAX(N$5:N893)-1)</f>
        <v/>
      </c>
      <c r="Q893" s="13" t="str">
        <f>IF(OR('实盘净值数据(iFinD）'!$A893="",'实盘净值数据(iFinD）'!$B893="",'实盘净值数据(iFinD）'!$Z893="",'实盘净值数据(iFinD）'!$AA893=""),"",分期持仓明细!$AB$25*(SUMPRODUCT(分期持仓明细!$B$25:$Y$25,'实盘净值数据(iFinD）'!$B893:$Y893/'实盘净值数据(iFinD）'!$B$65:$Y$65)+SUMPRODUCT(分期持仓明细!$AC$25:$AD$25,'实盘净值数据(iFinD）'!$Z893:$AA893/'实盘净值数据(iFinD）'!$Z$65:$AA$65))*(1-实盘持仓初始配置!$Z$9)^(('实盘净值数据(iFinD）'!$A893-'实盘净值数据(iFinD）'!$A$8)/365))</f>
        <v/>
      </c>
      <c r="R893" s="16" t="str">
        <f t="shared" si="89"/>
        <v/>
      </c>
      <c r="S893" s="16" t="str">
        <f>IF(Q893="","",Q893/MAX(Q$5:Q893)-1)</f>
        <v/>
      </c>
      <c r="T893" s="13">
        <f>IF(OR('实盘净值数据(iFinD）'!$A893="",'实盘净值数据(iFinD）'!$B893="",'实盘净值数据(iFinD）'!$Z893="",'实盘净值数据(iFinD）'!$AA893="",'实盘净值数据(iFinD）'!$AB893="",'实盘净值数据(iFinD）'!$AL893=""),"",(SUMPRODUCT(分期持仓明细!$B$26:$Y$26,'实盘净值数据(iFinD）'!$B893:$Y893/'实盘净值数据(iFinD）'!$B$69:$Y$69)+SUMPRODUCT(分期持仓明细!$AC$26:$AD$26,'实盘净值数据(iFinD）'!$Z893:$AA893/'实盘净值数据(iFinD）'!$Z$69:$AA$69)+SUMPRODUCT(分期持仓明细!$AE$26:$AO$26,'实盘净值数据(iFinD）'!$AB893:$AL893/'实盘净值数据(iFinD）'!$AB$69:$AL$69))*(1-实盘持仓初始配置!$Z$10)^(('实盘净值数据(iFinD）'!$A893-'实盘净值数据(iFinD）'!$A$69)/365))</f>
        <v/>
      </c>
      <c r="U893" s="16">
        <f>IF(OR(T892="",T893=""),"",T893/T892-1)</f>
        <v/>
      </c>
      <c r="V893" s="16">
        <f>IF(T893="","",T893/MAX(T$5:T893)-1)</f>
        <v/>
      </c>
    </row>
    <row r="894" spans="1:19">
      <c r="A894" s="15" t="str">
        <f>IF('实盘净值数据(iFinD）'!A894="","",'实盘净值数据(iFinD）'!A894)</f>
        <v/>
      </c>
      <c r="B894" s="13" t="str">
        <f>IF(OR('实盘净值数据(iFinD）'!$A894="",'实盘净值数据(iFinD）'!$B894=""),"",分期持仓明细!$AB$17*SUMPRODUCT(分期持仓明细!$B$17:$Y$17,'实盘净值数据(iFinD）'!$B894:$Y894/'实盘净值数据(iFinD）'!$B$20:$Y$20)*(1-实盘持仓初始配置!$Z$4)^(('实盘净值数据(iFinD）'!$A894-'实盘净值数据(iFinD）'!$A$6)/365))</f>
        <v/>
      </c>
      <c r="C894" s="16" t="str">
        <f t="shared" si="84"/>
        <v/>
      </c>
      <c r="D894" s="16" t="str">
        <f>IF(B894="","",B894/MAX(B$5:B894)-1)</f>
        <v/>
      </c>
      <c r="E894" s="13" t="str">
        <f>IF(OR('实盘净值数据(iFinD）'!$A894="",'实盘净值数据(iFinD）'!$B894=""),"",分期持仓明细!$AB$18*SUMPRODUCT(分期持仓明细!$B$18:$Y$18,'实盘净值数据(iFinD）'!$B894:$Y894/'实盘净值数据(iFinD）'!$B$20:$Y$20)*(1-实盘持仓初始配置!$Z$5)^(('实盘净值数据(iFinD）'!$A894-'实盘净值数据(iFinD）'!$A$5)/365))</f>
        <v/>
      </c>
      <c r="F894" s="16" t="str">
        <f t="shared" si="85"/>
        <v/>
      </c>
      <c r="G894" s="16" t="str">
        <f>IF(E894="","",E894/MAX(E$5:E894)-1)</f>
        <v/>
      </c>
      <c r="H894" s="13" t="str">
        <f>IF(OR('实盘净值数据(iFinD）'!$A894="",'实盘净值数据(iFinD）'!$B894=""),"",分期持仓明细!$AB$19*SUMPRODUCT(分期持仓明细!$B$19:$Y$19,'实盘净值数据(iFinD）'!$B894:$Y894/'实盘净值数据(iFinD）'!$B$20:$Y$20)*(1-实盘持仓初始配置!$Z$6)^(('实盘净值数据(iFinD）'!$A894-'实盘净值数据(iFinD）'!$A$7)/365))</f>
        <v/>
      </c>
      <c r="I894" s="16" t="str">
        <f t="shared" si="86"/>
        <v/>
      </c>
      <c r="J894" s="16" t="str">
        <f>IF(H894="","",H894/MAX(H$5:H894)-1)</f>
        <v/>
      </c>
      <c r="K894" s="13" t="str">
        <f>IF(OR('实盘净值数据(iFinD）'!$A894="",'实盘净值数据(iFinD）'!$B894="",'实盘净值数据(iFinD）'!$Z894="",'实盘净值数据(iFinD）'!$AA894=""),"",分期持仓明细!$AB$23*(SUMPRODUCT(分期持仓明细!$B$23:$Y$23,'实盘净值数据(iFinD）'!$B894:$Y894/'实盘净值数据(iFinD）'!$B$65:$Y$65)+SUMPRODUCT(分期持仓明细!$AC$23:$AD$23,'实盘净值数据(iFinD）'!$Z894:$AA894/'实盘净值数据(iFinD）'!$Z$65:$AA$65))*(1-实盘持仓初始配置!$Z$7)^(('实盘净值数据(iFinD）'!$A894-'实盘净值数据(iFinD）'!$A$8)/365))</f>
        <v/>
      </c>
      <c r="L894" s="16" t="str">
        <f t="shared" si="87"/>
        <v/>
      </c>
      <c r="M894" s="16" t="str">
        <f>IF(K894="","",K894/MAX(K$5:K894)-1)</f>
        <v/>
      </c>
      <c r="N894" s="13" t="str">
        <f>IF(OR('实盘净值数据(iFinD）'!$A894="",'实盘净值数据(iFinD）'!$B894="",'实盘净值数据(iFinD）'!$Z894="",'实盘净值数据(iFinD）'!$AA894=""),"",分期持仓明细!$AB$24*(SUMPRODUCT(分期持仓明细!$B$24:$Y$24,'实盘净值数据(iFinD）'!$B894:$Y894/'实盘净值数据(iFinD）'!$B$65:$Y$65)+SUMPRODUCT(分期持仓明细!$AC$24:$AD$24,'实盘净值数据(iFinD）'!$Z894:$AA894/'实盘净值数据(iFinD）'!$Z$65:$AA$65))*(1-实盘持仓初始配置!$Z$8)^(('实盘净值数据(iFinD）'!$A894-'实盘净值数据(iFinD）'!$A$5)/365))</f>
        <v/>
      </c>
      <c r="O894" s="16" t="str">
        <f t="shared" si="88"/>
        <v/>
      </c>
      <c r="P894" s="16" t="str">
        <f>IF(N894="","",N894/MAX(N$5:N894)-1)</f>
        <v/>
      </c>
      <c r="Q894" s="13" t="str">
        <f>IF(OR('实盘净值数据(iFinD）'!$A894="",'实盘净值数据(iFinD）'!$B894="",'实盘净值数据(iFinD）'!$Z894="",'实盘净值数据(iFinD）'!$AA894=""),"",分期持仓明细!$AB$25*(SUMPRODUCT(分期持仓明细!$B$25:$Y$25,'实盘净值数据(iFinD）'!$B894:$Y894/'实盘净值数据(iFinD）'!$B$65:$Y$65)+SUMPRODUCT(分期持仓明细!$AC$25:$AD$25,'实盘净值数据(iFinD）'!$Z894:$AA894/'实盘净值数据(iFinD）'!$Z$65:$AA$65))*(1-实盘持仓初始配置!$Z$9)^(('实盘净值数据(iFinD）'!$A894-'实盘净值数据(iFinD）'!$A$8)/365))</f>
        <v/>
      </c>
      <c r="R894" s="16" t="str">
        <f t="shared" si="89"/>
        <v/>
      </c>
      <c r="S894" s="16" t="str">
        <f>IF(Q894="","",Q894/MAX(Q$5:Q894)-1)</f>
        <v/>
      </c>
      <c r="T894" s="13">
        <f>IF(OR('实盘净值数据(iFinD）'!$A894="",'实盘净值数据(iFinD）'!$B894="",'实盘净值数据(iFinD）'!$Z894="",'实盘净值数据(iFinD）'!$AA894="",'实盘净值数据(iFinD）'!$AB894="",'实盘净值数据(iFinD）'!$AL894=""),"",(SUMPRODUCT(分期持仓明细!$B$26:$Y$26,'实盘净值数据(iFinD）'!$B894:$Y894/'实盘净值数据(iFinD）'!$B$69:$Y$69)+SUMPRODUCT(分期持仓明细!$AC$26:$AD$26,'实盘净值数据(iFinD）'!$Z894:$AA894/'实盘净值数据(iFinD）'!$Z$69:$AA$69)+SUMPRODUCT(分期持仓明细!$AE$26:$AO$26,'实盘净值数据(iFinD）'!$AB894:$AL894/'实盘净值数据(iFinD）'!$AB$69:$AL$69))*(1-实盘持仓初始配置!$Z$10)^(('实盘净值数据(iFinD）'!$A894-'实盘净值数据(iFinD）'!$A$69)/365))</f>
        <v/>
      </c>
      <c r="U894" s="16">
        <f>IF(OR(T893="",T894=""),"",T894/T893-1)</f>
        <v/>
      </c>
      <c r="V894" s="16">
        <f>IF(T894="","",T894/MAX(T$5:T894)-1)</f>
        <v/>
      </c>
    </row>
    <row r="895" spans="1:19">
      <c r="A895" s="15" t="str">
        <f>IF('实盘净值数据(iFinD）'!A895="","",'实盘净值数据(iFinD）'!A895)</f>
        <v/>
      </c>
      <c r="B895" s="13" t="str">
        <f>IF(OR('实盘净值数据(iFinD）'!$A895="",'实盘净值数据(iFinD）'!$B895=""),"",分期持仓明细!$AB$17*SUMPRODUCT(分期持仓明细!$B$17:$Y$17,'实盘净值数据(iFinD）'!$B895:$Y895/'实盘净值数据(iFinD）'!$B$20:$Y$20)*(1-实盘持仓初始配置!$Z$4)^(('实盘净值数据(iFinD）'!$A895-'实盘净值数据(iFinD）'!$A$6)/365))</f>
        <v/>
      </c>
      <c r="C895" s="16" t="str">
        <f t="shared" si="84"/>
        <v/>
      </c>
      <c r="D895" s="16" t="str">
        <f>IF(B895="","",B895/MAX(B$5:B895)-1)</f>
        <v/>
      </c>
      <c r="E895" s="13" t="str">
        <f>IF(OR('实盘净值数据(iFinD）'!$A895="",'实盘净值数据(iFinD）'!$B895=""),"",分期持仓明细!$AB$18*SUMPRODUCT(分期持仓明细!$B$18:$Y$18,'实盘净值数据(iFinD）'!$B895:$Y895/'实盘净值数据(iFinD）'!$B$20:$Y$20)*(1-实盘持仓初始配置!$Z$5)^(('实盘净值数据(iFinD）'!$A895-'实盘净值数据(iFinD）'!$A$5)/365))</f>
        <v/>
      </c>
      <c r="F895" s="16" t="str">
        <f t="shared" si="85"/>
        <v/>
      </c>
      <c r="G895" s="16" t="str">
        <f>IF(E895="","",E895/MAX(E$5:E895)-1)</f>
        <v/>
      </c>
      <c r="H895" s="13" t="str">
        <f>IF(OR('实盘净值数据(iFinD）'!$A895="",'实盘净值数据(iFinD）'!$B895=""),"",分期持仓明细!$AB$19*SUMPRODUCT(分期持仓明细!$B$19:$Y$19,'实盘净值数据(iFinD）'!$B895:$Y895/'实盘净值数据(iFinD）'!$B$20:$Y$20)*(1-实盘持仓初始配置!$Z$6)^(('实盘净值数据(iFinD）'!$A895-'实盘净值数据(iFinD）'!$A$7)/365))</f>
        <v/>
      </c>
      <c r="I895" s="16" t="str">
        <f t="shared" si="86"/>
        <v/>
      </c>
      <c r="J895" s="16" t="str">
        <f>IF(H895="","",H895/MAX(H$5:H895)-1)</f>
        <v/>
      </c>
      <c r="K895" s="13" t="str">
        <f>IF(OR('实盘净值数据(iFinD）'!$A895="",'实盘净值数据(iFinD）'!$B895="",'实盘净值数据(iFinD）'!$Z895="",'实盘净值数据(iFinD）'!$AA895=""),"",分期持仓明细!$AB$23*(SUMPRODUCT(分期持仓明细!$B$23:$Y$23,'实盘净值数据(iFinD）'!$B895:$Y895/'实盘净值数据(iFinD）'!$B$65:$Y$65)+SUMPRODUCT(分期持仓明细!$AC$23:$AD$23,'实盘净值数据(iFinD）'!$Z895:$AA895/'实盘净值数据(iFinD）'!$Z$65:$AA$65))*(1-实盘持仓初始配置!$Z$7)^(('实盘净值数据(iFinD）'!$A895-'实盘净值数据(iFinD）'!$A$8)/365))</f>
        <v/>
      </c>
      <c r="L895" s="16" t="str">
        <f t="shared" si="87"/>
        <v/>
      </c>
      <c r="M895" s="16" t="str">
        <f>IF(K895="","",K895/MAX(K$5:K895)-1)</f>
        <v/>
      </c>
      <c r="N895" s="13" t="str">
        <f>IF(OR('实盘净值数据(iFinD）'!$A895="",'实盘净值数据(iFinD）'!$B895="",'实盘净值数据(iFinD）'!$Z895="",'实盘净值数据(iFinD）'!$AA895=""),"",分期持仓明细!$AB$24*(SUMPRODUCT(分期持仓明细!$B$24:$Y$24,'实盘净值数据(iFinD）'!$B895:$Y895/'实盘净值数据(iFinD）'!$B$65:$Y$65)+SUMPRODUCT(分期持仓明细!$AC$24:$AD$24,'实盘净值数据(iFinD）'!$Z895:$AA895/'实盘净值数据(iFinD）'!$Z$65:$AA$65))*(1-实盘持仓初始配置!$Z$8)^(('实盘净值数据(iFinD）'!$A895-'实盘净值数据(iFinD）'!$A$5)/365))</f>
        <v/>
      </c>
      <c r="O895" s="16" t="str">
        <f t="shared" si="88"/>
        <v/>
      </c>
      <c r="P895" s="16" t="str">
        <f>IF(N895="","",N895/MAX(N$5:N895)-1)</f>
        <v/>
      </c>
      <c r="Q895" s="13" t="str">
        <f>IF(OR('实盘净值数据(iFinD）'!$A895="",'实盘净值数据(iFinD）'!$B895="",'实盘净值数据(iFinD）'!$Z895="",'实盘净值数据(iFinD）'!$AA895=""),"",分期持仓明细!$AB$25*(SUMPRODUCT(分期持仓明细!$B$25:$Y$25,'实盘净值数据(iFinD）'!$B895:$Y895/'实盘净值数据(iFinD）'!$B$65:$Y$65)+SUMPRODUCT(分期持仓明细!$AC$25:$AD$25,'实盘净值数据(iFinD）'!$Z895:$AA895/'实盘净值数据(iFinD）'!$Z$65:$AA$65))*(1-实盘持仓初始配置!$Z$9)^(('实盘净值数据(iFinD）'!$A895-'实盘净值数据(iFinD）'!$A$8)/365))</f>
        <v/>
      </c>
      <c r="R895" s="16" t="str">
        <f t="shared" si="89"/>
        <v/>
      </c>
      <c r="S895" s="16" t="str">
        <f>IF(Q895="","",Q895/MAX(Q$5:Q895)-1)</f>
        <v/>
      </c>
      <c r="T895" s="13">
        <f>IF(OR('实盘净值数据(iFinD）'!$A895="",'实盘净值数据(iFinD）'!$B895="",'实盘净值数据(iFinD）'!$Z895="",'实盘净值数据(iFinD）'!$AA895="",'实盘净值数据(iFinD）'!$AB895="",'实盘净值数据(iFinD）'!$AL895=""),"",(SUMPRODUCT(分期持仓明细!$B$26:$Y$26,'实盘净值数据(iFinD）'!$B895:$Y895/'实盘净值数据(iFinD）'!$B$69:$Y$69)+SUMPRODUCT(分期持仓明细!$AC$26:$AD$26,'实盘净值数据(iFinD）'!$Z895:$AA895/'实盘净值数据(iFinD）'!$Z$69:$AA$69)+SUMPRODUCT(分期持仓明细!$AE$26:$AO$26,'实盘净值数据(iFinD）'!$AB895:$AL895/'实盘净值数据(iFinD）'!$AB$69:$AL$69))*(1-实盘持仓初始配置!$Z$10)^(('实盘净值数据(iFinD）'!$A895-'实盘净值数据(iFinD）'!$A$69)/365))</f>
        <v/>
      </c>
      <c r="U895" s="16">
        <f>IF(OR(T894="",T895=""),"",T895/T894-1)</f>
        <v/>
      </c>
      <c r="V895" s="16">
        <f>IF(T895="","",T895/MAX(T$5:T895)-1)</f>
        <v/>
      </c>
    </row>
    <row r="896" spans="1:19">
      <c r="A896" s="15" t="str">
        <f>IF('实盘净值数据(iFinD）'!A896="","",'实盘净值数据(iFinD）'!A896)</f>
        <v/>
      </c>
      <c r="B896" s="13" t="str">
        <f>IF(OR('实盘净值数据(iFinD）'!$A896="",'实盘净值数据(iFinD）'!$B896=""),"",分期持仓明细!$AB$17*SUMPRODUCT(分期持仓明细!$B$17:$Y$17,'实盘净值数据(iFinD）'!$B896:$Y896/'实盘净值数据(iFinD）'!$B$20:$Y$20)*(1-实盘持仓初始配置!$Z$4)^(('实盘净值数据(iFinD）'!$A896-'实盘净值数据(iFinD）'!$A$6)/365))</f>
        <v/>
      </c>
      <c r="C896" s="16" t="str">
        <f t="shared" si="84"/>
        <v/>
      </c>
      <c r="D896" s="16" t="str">
        <f>IF(B896="","",B896/MAX(B$5:B896)-1)</f>
        <v/>
      </c>
      <c r="E896" s="13" t="str">
        <f>IF(OR('实盘净值数据(iFinD）'!$A896="",'实盘净值数据(iFinD）'!$B896=""),"",分期持仓明细!$AB$18*SUMPRODUCT(分期持仓明细!$B$18:$Y$18,'实盘净值数据(iFinD）'!$B896:$Y896/'实盘净值数据(iFinD）'!$B$20:$Y$20)*(1-实盘持仓初始配置!$Z$5)^(('实盘净值数据(iFinD）'!$A896-'实盘净值数据(iFinD）'!$A$5)/365))</f>
        <v/>
      </c>
      <c r="F896" s="16" t="str">
        <f t="shared" si="85"/>
        <v/>
      </c>
      <c r="G896" s="16" t="str">
        <f>IF(E896="","",E896/MAX(E$5:E896)-1)</f>
        <v/>
      </c>
      <c r="H896" s="13" t="str">
        <f>IF(OR('实盘净值数据(iFinD）'!$A896="",'实盘净值数据(iFinD）'!$B896=""),"",分期持仓明细!$AB$19*SUMPRODUCT(分期持仓明细!$B$19:$Y$19,'实盘净值数据(iFinD）'!$B896:$Y896/'实盘净值数据(iFinD）'!$B$20:$Y$20)*(1-实盘持仓初始配置!$Z$6)^(('实盘净值数据(iFinD）'!$A896-'实盘净值数据(iFinD）'!$A$7)/365))</f>
        <v/>
      </c>
      <c r="I896" s="16" t="str">
        <f t="shared" si="86"/>
        <v/>
      </c>
      <c r="J896" s="16" t="str">
        <f>IF(H896="","",H896/MAX(H$5:H896)-1)</f>
        <v/>
      </c>
      <c r="K896" s="13" t="str">
        <f>IF(OR('实盘净值数据(iFinD）'!$A896="",'实盘净值数据(iFinD）'!$B896="",'实盘净值数据(iFinD）'!$Z896="",'实盘净值数据(iFinD）'!$AA896=""),"",分期持仓明细!$AB$23*(SUMPRODUCT(分期持仓明细!$B$23:$Y$23,'实盘净值数据(iFinD）'!$B896:$Y896/'实盘净值数据(iFinD）'!$B$65:$Y$65)+SUMPRODUCT(分期持仓明细!$AC$23:$AD$23,'实盘净值数据(iFinD）'!$Z896:$AA896/'实盘净值数据(iFinD）'!$Z$65:$AA$65))*(1-实盘持仓初始配置!$Z$7)^(('实盘净值数据(iFinD）'!$A896-'实盘净值数据(iFinD）'!$A$8)/365))</f>
        <v/>
      </c>
      <c r="L896" s="16" t="str">
        <f t="shared" si="87"/>
        <v/>
      </c>
      <c r="M896" s="16" t="str">
        <f>IF(K896="","",K896/MAX(K$5:K896)-1)</f>
        <v/>
      </c>
      <c r="N896" s="13" t="str">
        <f>IF(OR('实盘净值数据(iFinD）'!$A896="",'实盘净值数据(iFinD）'!$B896="",'实盘净值数据(iFinD）'!$Z896="",'实盘净值数据(iFinD）'!$AA896=""),"",分期持仓明细!$AB$24*(SUMPRODUCT(分期持仓明细!$B$24:$Y$24,'实盘净值数据(iFinD）'!$B896:$Y896/'实盘净值数据(iFinD）'!$B$65:$Y$65)+SUMPRODUCT(分期持仓明细!$AC$24:$AD$24,'实盘净值数据(iFinD）'!$Z896:$AA896/'实盘净值数据(iFinD）'!$Z$65:$AA$65))*(1-实盘持仓初始配置!$Z$8)^(('实盘净值数据(iFinD）'!$A896-'实盘净值数据(iFinD）'!$A$5)/365))</f>
        <v/>
      </c>
      <c r="O896" s="16" t="str">
        <f t="shared" si="88"/>
        <v/>
      </c>
      <c r="P896" s="16" t="str">
        <f>IF(N896="","",N896/MAX(N$5:N896)-1)</f>
        <v/>
      </c>
      <c r="Q896" s="13" t="str">
        <f>IF(OR('实盘净值数据(iFinD）'!$A896="",'实盘净值数据(iFinD）'!$B896="",'实盘净值数据(iFinD）'!$Z896="",'实盘净值数据(iFinD）'!$AA896=""),"",分期持仓明细!$AB$25*(SUMPRODUCT(分期持仓明细!$B$25:$Y$25,'实盘净值数据(iFinD）'!$B896:$Y896/'实盘净值数据(iFinD）'!$B$65:$Y$65)+SUMPRODUCT(分期持仓明细!$AC$25:$AD$25,'实盘净值数据(iFinD）'!$Z896:$AA896/'实盘净值数据(iFinD）'!$Z$65:$AA$65))*(1-实盘持仓初始配置!$Z$9)^(('实盘净值数据(iFinD）'!$A896-'实盘净值数据(iFinD）'!$A$8)/365))</f>
        <v/>
      </c>
      <c r="R896" s="16" t="str">
        <f t="shared" si="89"/>
        <v/>
      </c>
      <c r="S896" s="16" t="str">
        <f>IF(Q896="","",Q896/MAX(Q$5:Q896)-1)</f>
        <v/>
      </c>
      <c r="T896" s="13">
        <f>IF(OR('实盘净值数据(iFinD）'!$A896="",'实盘净值数据(iFinD）'!$B896="",'实盘净值数据(iFinD）'!$Z896="",'实盘净值数据(iFinD）'!$AA896="",'实盘净值数据(iFinD）'!$AB896="",'实盘净值数据(iFinD）'!$AL896=""),"",(SUMPRODUCT(分期持仓明细!$B$26:$Y$26,'实盘净值数据(iFinD）'!$B896:$Y896/'实盘净值数据(iFinD）'!$B$69:$Y$69)+SUMPRODUCT(分期持仓明细!$AC$26:$AD$26,'实盘净值数据(iFinD）'!$Z896:$AA896/'实盘净值数据(iFinD）'!$Z$69:$AA$69)+SUMPRODUCT(分期持仓明细!$AE$26:$AO$26,'实盘净值数据(iFinD）'!$AB896:$AL896/'实盘净值数据(iFinD）'!$AB$69:$AL$69))*(1-实盘持仓初始配置!$Z$10)^(('实盘净值数据(iFinD）'!$A896-'实盘净值数据(iFinD）'!$A$69)/365))</f>
        <v/>
      </c>
      <c r="U896" s="16">
        <f>IF(OR(T895="",T896=""),"",T896/T895-1)</f>
        <v/>
      </c>
      <c r="V896" s="16">
        <f>IF(T896="","",T896/MAX(T$5:T896)-1)</f>
        <v/>
      </c>
    </row>
    <row r="897" spans="1:19">
      <c r="A897" s="15" t="str">
        <f>IF('实盘净值数据(iFinD）'!A897="","",'实盘净值数据(iFinD）'!A897)</f>
        <v/>
      </c>
      <c r="B897" s="13" t="str">
        <f>IF(OR('实盘净值数据(iFinD）'!$A897="",'实盘净值数据(iFinD）'!$B897=""),"",分期持仓明细!$AB$17*SUMPRODUCT(分期持仓明细!$B$17:$Y$17,'实盘净值数据(iFinD）'!$B897:$Y897/'实盘净值数据(iFinD）'!$B$20:$Y$20)*(1-实盘持仓初始配置!$Z$4)^(('实盘净值数据(iFinD）'!$A897-'实盘净值数据(iFinD）'!$A$6)/365))</f>
        <v/>
      </c>
      <c r="C897" s="16" t="str">
        <f t="shared" si="84"/>
        <v/>
      </c>
      <c r="D897" s="16" t="str">
        <f>IF(B897="","",B897/MAX(B$5:B897)-1)</f>
        <v/>
      </c>
      <c r="E897" s="13" t="str">
        <f>IF(OR('实盘净值数据(iFinD）'!$A897="",'实盘净值数据(iFinD）'!$B897=""),"",分期持仓明细!$AB$18*SUMPRODUCT(分期持仓明细!$B$18:$Y$18,'实盘净值数据(iFinD）'!$B897:$Y897/'实盘净值数据(iFinD）'!$B$20:$Y$20)*(1-实盘持仓初始配置!$Z$5)^(('实盘净值数据(iFinD）'!$A897-'实盘净值数据(iFinD）'!$A$5)/365))</f>
        <v/>
      </c>
      <c r="F897" s="16" t="str">
        <f t="shared" si="85"/>
        <v/>
      </c>
      <c r="G897" s="16" t="str">
        <f>IF(E897="","",E897/MAX(E$5:E897)-1)</f>
        <v/>
      </c>
      <c r="H897" s="13" t="str">
        <f>IF(OR('实盘净值数据(iFinD）'!$A897="",'实盘净值数据(iFinD）'!$B897=""),"",分期持仓明细!$AB$19*SUMPRODUCT(分期持仓明细!$B$19:$Y$19,'实盘净值数据(iFinD）'!$B897:$Y897/'实盘净值数据(iFinD）'!$B$20:$Y$20)*(1-实盘持仓初始配置!$Z$6)^(('实盘净值数据(iFinD）'!$A897-'实盘净值数据(iFinD）'!$A$7)/365))</f>
        <v/>
      </c>
      <c r="I897" s="16" t="str">
        <f t="shared" si="86"/>
        <v/>
      </c>
      <c r="J897" s="16" t="str">
        <f>IF(H897="","",H897/MAX(H$5:H897)-1)</f>
        <v/>
      </c>
      <c r="K897" s="13" t="str">
        <f>IF(OR('实盘净值数据(iFinD）'!$A897="",'实盘净值数据(iFinD）'!$B897="",'实盘净值数据(iFinD）'!$Z897="",'实盘净值数据(iFinD）'!$AA897=""),"",分期持仓明细!$AB$23*(SUMPRODUCT(分期持仓明细!$B$23:$Y$23,'实盘净值数据(iFinD）'!$B897:$Y897/'实盘净值数据(iFinD）'!$B$65:$Y$65)+SUMPRODUCT(分期持仓明细!$AC$23:$AD$23,'实盘净值数据(iFinD）'!$Z897:$AA897/'实盘净值数据(iFinD）'!$Z$65:$AA$65))*(1-实盘持仓初始配置!$Z$7)^(('实盘净值数据(iFinD）'!$A897-'实盘净值数据(iFinD）'!$A$8)/365))</f>
        <v/>
      </c>
      <c r="L897" s="16" t="str">
        <f t="shared" si="87"/>
        <v/>
      </c>
      <c r="M897" s="16" t="str">
        <f>IF(K897="","",K897/MAX(K$5:K897)-1)</f>
        <v/>
      </c>
      <c r="N897" s="13" t="str">
        <f>IF(OR('实盘净值数据(iFinD）'!$A897="",'实盘净值数据(iFinD）'!$B897="",'实盘净值数据(iFinD）'!$Z897="",'实盘净值数据(iFinD）'!$AA897=""),"",分期持仓明细!$AB$24*(SUMPRODUCT(分期持仓明细!$B$24:$Y$24,'实盘净值数据(iFinD）'!$B897:$Y897/'实盘净值数据(iFinD）'!$B$65:$Y$65)+SUMPRODUCT(分期持仓明细!$AC$24:$AD$24,'实盘净值数据(iFinD）'!$Z897:$AA897/'实盘净值数据(iFinD）'!$Z$65:$AA$65))*(1-实盘持仓初始配置!$Z$8)^(('实盘净值数据(iFinD）'!$A897-'实盘净值数据(iFinD）'!$A$5)/365))</f>
        <v/>
      </c>
      <c r="O897" s="16" t="str">
        <f t="shared" si="88"/>
        <v/>
      </c>
      <c r="P897" s="16" t="str">
        <f>IF(N897="","",N897/MAX(N$5:N897)-1)</f>
        <v/>
      </c>
      <c r="Q897" s="13" t="str">
        <f>IF(OR('实盘净值数据(iFinD）'!$A897="",'实盘净值数据(iFinD）'!$B897="",'实盘净值数据(iFinD）'!$Z897="",'实盘净值数据(iFinD）'!$AA897=""),"",分期持仓明细!$AB$25*(SUMPRODUCT(分期持仓明细!$B$25:$Y$25,'实盘净值数据(iFinD）'!$B897:$Y897/'实盘净值数据(iFinD）'!$B$65:$Y$65)+SUMPRODUCT(分期持仓明细!$AC$25:$AD$25,'实盘净值数据(iFinD）'!$Z897:$AA897/'实盘净值数据(iFinD）'!$Z$65:$AA$65))*(1-实盘持仓初始配置!$Z$9)^(('实盘净值数据(iFinD）'!$A897-'实盘净值数据(iFinD）'!$A$8)/365))</f>
        <v/>
      </c>
      <c r="R897" s="16" t="str">
        <f t="shared" si="89"/>
        <v/>
      </c>
      <c r="S897" s="16" t="str">
        <f>IF(Q897="","",Q897/MAX(Q$5:Q897)-1)</f>
        <v/>
      </c>
      <c r="T897" s="13">
        <f>IF(OR('实盘净值数据(iFinD）'!$A897="",'实盘净值数据(iFinD）'!$B897="",'实盘净值数据(iFinD）'!$Z897="",'实盘净值数据(iFinD）'!$AA897="",'实盘净值数据(iFinD）'!$AB897="",'实盘净值数据(iFinD）'!$AL897=""),"",(SUMPRODUCT(分期持仓明细!$B$26:$Y$26,'实盘净值数据(iFinD）'!$B897:$Y897/'实盘净值数据(iFinD）'!$B$69:$Y$69)+SUMPRODUCT(分期持仓明细!$AC$26:$AD$26,'实盘净值数据(iFinD）'!$Z897:$AA897/'实盘净值数据(iFinD）'!$Z$69:$AA$69)+SUMPRODUCT(分期持仓明细!$AE$26:$AO$26,'实盘净值数据(iFinD）'!$AB897:$AL897/'实盘净值数据(iFinD）'!$AB$69:$AL$69))*(1-实盘持仓初始配置!$Z$10)^(('实盘净值数据(iFinD）'!$A897-'实盘净值数据(iFinD）'!$A$69)/365))</f>
        <v/>
      </c>
      <c r="U897" s="16">
        <f>IF(OR(T896="",T897=""),"",T897/T896-1)</f>
        <v/>
      </c>
      <c r="V897" s="16">
        <f>IF(T897="","",T897/MAX(T$5:T897)-1)</f>
        <v/>
      </c>
    </row>
    <row r="898" spans="1:19">
      <c r="A898" s="15" t="str">
        <f>IF('实盘净值数据(iFinD）'!A898="","",'实盘净值数据(iFinD）'!A898)</f>
        <v/>
      </c>
      <c r="B898" s="13" t="str">
        <f>IF(OR('实盘净值数据(iFinD）'!$A898="",'实盘净值数据(iFinD）'!$B898=""),"",分期持仓明细!$AB$17*SUMPRODUCT(分期持仓明细!$B$17:$Y$17,'实盘净值数据(iFinD）'!$B898:$Y898/'实盘净值数据(iFinD）'!$B$20:$Y$20)*(1-实盘持仓初始配置!$Z$4)^(('实盘净值数据(iFinD）'!$A898-'实盘净值数据(iFinD）'!$A$6)/365))</f>
        <v/>
      </c>
      <c r="C898" s="16" t="str">
        <f t="shared" si="84"/>
        <v/>
      </c>
      <c r="D898" s="16" t="str">
        <f>IF(B898="","",B898/MAX(B$5:B898)-1)</f>
        <v/>
      </c>
      <c r="E898" s="13" t="str">
        <f>IF(OR('实盘净值数据(iFinD）'!$A898="",'实盘净值数据(iFinD）'!$B898=""),"",分期持仓明细!$AB$18*SUMPRODUCT(分期持仓明细!$B$18:$Y$18,'实盘净值数据(iFinD）'!$B898:$Y898/'实盘净值数据(iFinD）'!$B$20:$Y$20)*(1-实盘持仓初始配置!$Z$5)^(('实盘净值数据(iFinD）'!$A898-'实盘净值数据(iFinD）'!$A$5)/365))</f>
        <v/>
      </c>
      <c r="F898" s="16" t="str">
        <f t="shared" si="85"/>
        <v/>
      </c>
      <c r="G898" s="16" t="str">
        <f>IF(E898="","",E898/MAX(E$5:E898)-1)</f>
        <v/>
      </c>
      <c r="H898" s="13" t="str">
        <f>IF(OR('实盘净值数据(iFinD）'!$A898="",'实盘净值数据(iFinD）'!$B898=""),"",分期持仓明细!$AB$19*SUMPRODUCT(分期持仓明细!$B$19:$Y$19,'实盘净值数据(iFinD）'!$B898:$Y898/'实盘净值数据(iFinD）'!$B$20:$Y$20)*(1-实盘持仓初始配置!$Z$6)^(('实盘净值数据(iFinD）'!$A898-'实盘净值数据(iFinD）'!$A$7)/365))</f>
        <v/>
      </c>
      <c r="I898" s="16" t="str">
        <f t="shared" si="86"/>
        <v/>
      </c>
      <c r="J898" s="16" t="str">
        <f>IF(H898="","",H898/MAX(H$5:H898)-1)</f>
        <v/>
      </c>
      <c r="K898" s="13" t="str">
        <f>IF(OR('实盘净值数据(iFinD）'!$A898="",'实盘净值数据(iFinD）'!$B898="",'实盘净值数据(iFinD）'!$Z898="",'实盘净值数据(iFinD）'!$AA898=""),"",分期持仓明细!$AB$23*(SUMPRODUCT(分期持仓明细!$B$23:$Y$23,'实盘净值数据(iFinD）'!$B898:$Y898/'实盘净值数据(iFinD）'!$B$65:$Y$65)+SUMPRODUCT(分期持仓明细!$AC$23:$AD$23,'实盘净值数据(iFinD）'!$Z898:$AA898/'实盘净值数据(iFinD）'!$Z$65:$AA$65))*(1-实盘持仓初始配置!$Z$7)^(('实盘净值数据(iFinD）'!$A898-'实盘净值数据(iFinD）'!$A$8)/365))</f>
        <v/>
      </c>
      <c r="L898" s="16" t="str">
        <f t="shared" si="87"/>
        <v/>
      </c>
      <c r="M898" s="16" t="str">
        <f>IF(K898="","",K898/MAX(K$5:K898)-1)</f>
        <v/>
      </c>
      <c r="N898" s="13" t="str">
        <f>IF(OR('实盘净值数据(iFinD）'!$A898="",'实盘净值数据(iFinD）'!$B898="",'实盘净值数据(iFinD）'!$Z898="",'实盘净值数据(iFinD）'!$AA898=""),"",分期持仓明细!$AB$24*(SUMPRODUCT(分期持仓明细!$B$24:$Y$24,'实盘净值数据(iFinD）'!$B898:$Y898/'实盘净值数据(iFinD）'!$B$65:$Y$65)+SUMPRODUCT(分期持仓明细!$AC$24:$AD$24,'实盘净值数据(iFinD）'!$Z898:$AA898/'实盘净值数据(iFinD）'!$Z$65:$AA$65))*(1-实盘持仓初始配置!$Z$8)^(('实盘净值数据(iFinD）'!$A898-'实盘净值数据(iFinD）'!$A$5)/365))</f>
        <v/>
      </c>
      <c r="O898" s="16" t="str">
        <f t="shared" si="88"/>
        <v/>
      </c>
      <c r="P898" s="16" t="str">
        <f>IF(N898="","",N898/MAX(N$5:N898)-1)</f>
        <v/>
      </c>
      <c r="Q898" s="13" t="str">
        <f>IF(OR('实盘净值数据(iFinD）'!$A898="",'实盘净值数据(iFinD）'!$B898="",'实盘净值数据(iFinD）'!$Z898="",'实盘净值数据(iFinD）'!$AA898=""),"",分期持仓明细!$AB$25*(SUMPRODUCT(分期持仓明细!$B$25:$Y$25,'实盘净值数据(iFinD）'!$B898:$Y898/'实盘净值数据(iFinD）'!$B$65:$Y$65)+SUMPRODUCT(分期持仓明细!$AC$25:$AD$25,'实盘净值数据(iFinD）'!$Z898:$AA898/'实盘净值数据(iFinD）'!$Z$65:$AA$65))*(1-实盘持仓初始配置!$Z$9)^(('实盘净值数据(iFinD）'!$A898-'实盘净值数据(iFinD）'!$A$8)/365))</f>
        <v/>
      </c>
      <c r="R898" s="16" t="str">
        <f t="shared" si="89"/>
        <v/>
      </c>
      <c r="S898" s="16" t="str">
        <f>IF(Q898="","",Q898/MAX(Q$5:Q898)-1)</f>
        <v/>
      </c>
      <c r="T898" s="13">
        <f>IF(OR('实盘净值数据(iFinD）'!$A898="",'实盘净值数据(iFinD）'!$B898="",'实盘净值数据(iFinD）'!$Z898="",'实盘净值数据(iFinD）'!$AA898="",'实盘净值数据(iFinD）'!$AB898="",'实盘净值数据(iFinD）'!$AL898=""),"",(SUMPRODUCT(分期持仓明细!$B$26:$Y$26,'实盘净值数据(iFinD）'!$B898:$Y898/'实盘净值数据(iFinD）'!$B$69:$Y$69)+SUMPRODUCT(分期持仓明细!$AC$26:$AD$26,'实盘净值数据(iFinD）'!$Z898:$AA898/'实盘净值数据(iFinD）'!$Z$69:$AA$69)+SUMPRODUCT(分期持仓明细!$AE$26:$AO$26,'实盘净值数据(iFinD）'!$AB898:$AL898/'实盘净值数据(iFinD）'!$AB$69:$AL$69))*(1-实盘持仓初始配置!$Z$10)^(('实盘净值数据(iFinD）'!$A898-'实盘净值数据(iFinD）'!$A$69)/365))</f>
        <v/>
      </c>
      <c r="U898" s="16">
        <f>IF(OR(T897="",T898=""),"",T898/T897-1)</f>
        <v/>
      </c>
      <c r="V898" s="16">
        <f>IF(T898="","",T898/MAX(T$5:T898)-1)</f>
        <v/>
      </c>
    </row>
    <row r="899" spans="1:19">
      <c r="A899" s="15" t="str">
        <f>IF('实盘净值数据(iFinD）'!A899="","",'实盘净值数据(iFinD）'!A899)</f>
        <v/>
      </c>
      <c r="B899" s="13" t="str">
        <f>IF(OR('实盘净值数据(iFinD）'!$A899="",'实盘净值数据(iFinD）'!$B899=""),"",分期持仓明细!$AB$17*SUMPRODUCT(分期持仓明细!$B$17:$Y$17,'实盘净值数据(iFinD）'!$B899:$Y899/'实盘净值数据(iFinD）'!$B$20:$Y$20)*(1-实盘持仓初始配置!$Z$4)^(('实盘净值数据(iFinD）'!$A899-'实盘净值数据(iFinD）'!$A$6)/365))</f>
        <v/>
      </c>
      <c r="C899" s="16" t="str">
        <f t="shared" si="84"/>
        <v/>
      </c>
      <c r="D899" s="16" t="str">
        <f>IF(B899="","",B899/MAX(B$5:B899)-1)</f>
        <v/>
      </c>
      <c r="E899" s="13" t="str">
        <f>IF(OR('实盘净值数据(iFinD）'!$A899="",'实盘净值数据(iFinD）'!$B899=""),"",分期持仓明细!$AB$18*SUMPRODUCT(分期持仓明细!$B$18:$Y$18,'实盘净值数据(iFinD）'!$B899:$Y899/'实盘净值数据(iFinD）'!$B$20:$Y$20)*(1-实盘持仓初始配置!$Z$5)^(('实盘净值数据(iFinD）'!$A899-'实盘净值数据(iFinD）'!$A$5)/365))</f>
        <v/>
      </c>
      <c r="F899" s="16" t="str">
        <f t="shared" si="85"/>
        <v/>
      </c>
      <c r="G899" s="16" t="str">
        <f>IF(E899="","",E899/MAX(E$5:E899)-1)</f>
        <v/>
      </c>
      <c r="H899" s="13" t="str">
        <f>IF(OR('实盘净值数据(iFinD）'!$A899="",'实盘净值数据(iFinD）'!$B899=""),"",分期持仓明细!$AB$19*SUMPRODUCT(分期持仓明细!$B$19:$Y$19,'实盘净值数据(iFinD）'!$B899:$Y899/'实盘净值数据(iFinD）'!$B$20:$Y$20)*(1-实盘持仓初始配置!$Z$6)^(('实盘净值数据(iFinD）'!$A899-'实盘净值数据(iFinD）'!$A$7)/365))</f>
        <v/>
      </c>
      <c r="I899" s="16" t="str">
        <f t="shared" si="86"/>
        <v/>
      </c>
      <c r="J899" s="16" t="str">
        <f>IF(H899="","",H899/MAX(H$5:H899)-1)</f>
        <v/>
      </c>
      <c r="K899" s="13" t="str">
        <f>IF(OR('实盘净值数据(iFinD）'!$A899="",'实盘净值数据(iFinD）'!$B899="",'实盘净值数据(iFinD）'!$Z899="",'实盘净值数据(iFinD）'!$AA899=""),"",分期持仓明细!$AB$23*(SUMPRODUCT(分期持仓明细!$B$23:$Y$23,'实盘净值数据(iFinD）'!$B899:$Y899/'实盘净值数据(iFinD）'!$B$65:$Y$65)+SUMPRODUCT(分期持仓明细!$AC$23:$AD$23,'实盘净值数据(iFinD）'!$Z899:$AA899/'实盘净值数据(iFinD）'!$Z$65:$AA$65))*(1-实盘持仓初始配置!$Z$7)^(('实盘净值数据(iFinD）'!$A899-'实盘净值数据(iFinD）'!$A$8)/365))</f>
        <v/>
      </c>
      <c r="L899" s="16" t="str">
        <f t="shared" si="87"/>
        <v/>
      </c>
      <c r="M899" s="16" t="str">
        <f>IF(K899="","",K899/MAX(K$5:K899)-1)</f>
        <v/>
      </c>
      <c r="N899" s="13" t="str">
        <f>IF(OR('实盘净值数据(iFinD）'!$A899="",'实盘净值数据(iFinD）'!$B899="",'实盘净值数据(iFinD）'!$Z899="",'实盘净值数据(iFinD）'!$AA899=""),"",分期持仓明细!$AB$24*(SUMPRODUCT(分期持仓明细!$B$24:$Y$24,'实盘净值数据(iFinD）'!$B899:$Y899/'实盘净值数据(iFinD）'!$B$65:$Y$65)+SUMPRODUCT(分期持仓明细!$AC$24:$AD$24,'实盘净值数据(iFinD）'!$Z899:$AA899/'实盘净值数据(iFinD）'!$Z$65:$AA$65))*(1-实盘持仓初始配置!$Z$8)^(('实盘净值数据(iFinD）'!$A899-'实盘净值数据(iFinD）'!$A$5)/365))</f>
        <v/>
      </c>
      <c r="O899" s="16" t="str">
        <f t="shared" si="88"/>
        <v/>
      </c>
      <c r="P899" s="16" t="str">
        <f>IF(N899="","",N899/MAX(N$5:N899)-1)</f>
        <v/>
      </c>
      <c r="Q899" s="13" t="str">
        <f>IF(OR('实盘净值数据(iFinD）'!$A899="",'实盘净值数据(iFinD）'!$B899="",'实盘净值数据(iFinD）'!$Z899="",'实盘净值数据(iFinD）'!$AA899=""),"",分期持仓明细!$AB$25*(SUMPRODUCT(分期持仓明细!$B$25:$Y$25,'实盘净值数据(iFinD）'!$B899:$Y899/'实盘净值数据(iFinD）'!$B$65:$Y$65)+SUMPRODUCT(分期持仓明细!$AC$25:$AD$25,'实盘净值数据(iFinD）'!$Z899:$AA899/'实盘净值数据(iFinD）'!$Z$65:$AA$65))*(1-实盘持仓初始配置!$Z$9)^(('实盘净值数据(iFinD）'!$A899-'实盘净值数据(iFinD）'!$A$8)/365))</f>
        <v/>
      </c>
      <c r="R899" s="16" t="str">
        <f t="shared" si="89"/>
        <v/>
      </c>
      <c r="S899" s="16" t="str">
        <f>IF(Q899="","",Q899/MAX(Q$5:Q899)-1)</f>
        <v/>
      </c>
      <c r="T899" s="13">
        <f>IF(OR('实盘净值数据(iFinD）'!$A899="",'实盘净值数据(iFinD）'!$B899="",'实盘净值数据(iFinD）'!$Z899="",'实盘净值数据(iFinD）'!$AA899="",'实盘净值数据(iFinD）'!$AB899="",'实盘净值数据(iFinD）'!$AL899=""),"",(SUMPRODUCT(分期持仓明细!$B$26:$Y$26,'实盘净值数据(iFinD）'!$B899:$Y899/'实盘净值数据(iFinD）'!$B$69:$Y$69)+SUMPRODUCT(分期持仓明细!$AC$26:$AD$26,'实盘净值数据(iFinD）'!$Z899:$AA899/'实盘净值数据(iFinD）'!$Z$69:$AA$69)+SUMPRODUCT(分期持仓明细!$AE$26:$AO$26,'实盘净值数据(iFinD）'!$AB899:$AL899/'实盘净值数据(iFinD）'!$AB$69:$AL$69))*(1-实盘持仓初始配置!$Z$10)^(('实盘净值数据(iFinD）'!$A899-'实盘净值数据(iFinD）'!$A$69)/365))</f>
        <v/>
      </c>
      <c r="U899" s="16">
        <f>IF(OR(T898="",T899=""),"",T899/T898-1)</f>
        <v/>
      </c>
      <c r="V899" s="16">
        <f>IF(T899="","",T899/MAX(T$5:T899)-1)</f>
        <v/>
      </c>
    </row>
    <row r="900" spans="1:19">
      <c r="A900" s="15" t="str">
        <f>IF('实盘净值数据(iFinD）'!A900="","",'实盘净值数据(iFinD）'!A900)</f>
        <v/>
      </c>
      <c r="B900" s="13" t="str">
        <f>IF(OR('实盘净值数据(iFinD）'!$A900="",'实盘净值数据(iFinD）'!$B900=""),"",分期持仓明细!$AB$17*SUMPRODUCT(分期持仓明细!$B$17:$Y$17,'实盘净值数据(iFinD）'!$B900:$Y900/'实盘净值数据(iFinD）'!$B$20:$Y$20)*(1-实盘持仓初始配置!$Z$4)^(('实盘净值数据(iFinD）'!$A900-'实盘净值数据(iFinD）'!$A$6)/365))</f>
        <v/>
      </c>
      <c r="C900" s="16" t="str">
        <f t="shared" si="84"/>
        <v/>
      </c>
      <c r="D900" s="16" t="str">
        <f>IF(B900="","",B900/MAX(B$5:B900)-1)</f>
        <v/>
      </c>
      <c r="E900" s="13" t="str">
        <f>IF(OR('实盘净值数据(iFinD）'!$A900="",'实盘净值数据(iFinD）'!$B900=""),"",分期持仓明细!$AB$18*SUMPRODUCT(分期持仓明细!$B$18:$Y$18,'实盘净值数据(iFinD）'!$B900:$Y900/'实盘净值数据(iFinD）'!$B$20:$Y$20)*(1-实盘持仓初始配置!$Z$5)^(('实盘净值数据(iFinD）'!$A900-'实盘净值数据(iFinD）'!$A$5)/365))</f>
        <v/>
      </c>
      <c r="F900" s="16" t="str">
        <f t="shared" si="85"/>
        <v/>
      </c>
      <c r="G900" s="16" t="str">
        <f>IF(E900="","",E900/MAX(E$5:E900)-1)</f>
        <v/>
      </c>
      <c r="H900" s="13" t="str">
        <f>IF(OR('实盘净值数据(iFinD）'!$A900="",'实盘净值数据(iFinD）'!$B900=""),"",分期持仓明细!$AB$19*SUMPRODUCT(分期持仓明细!$B$19:$Y$19,'实盘净值数据(iFinD）'!$B900:$Y900/'实盘净值数据(iFinD）'!$B$20:$Y$20)*(1-实盘持仓初始配置!$Z$6)^(('实盘净值数据(iFinD）'!$A900-'实盘净值数据(iFinD）'!$A$7)/365))</f>
        <v/>
      </c>
      <c r="I900" s="16" t="str">
        <f t="shared" si="86"/>
        <v/>
      </c>
      <c r="J900" s="16" t="str">
        <f>IF(H900="","",H900/MAX(H$5:H900)-1)</f>
        <v/>
      </c>
      <c r="K900" s="13" t="str">
        <f>IF(OR('实盘净值数据(iFinD）'!$A900="",'实盘净值数据(iFinD）'!$B900="",'实盘净值数据(iFinD）'!$Z900="",'实盘净值数据(iFinD）'!$AA900=""),"",分期持仓明细!$AB$23*(SUMPRODUCT(分期持仓明细!$B$23:$Y$23,'实盘净值数据(iFinD）'!$B900:$Y900/'实盘净值数据(iFinD）'!$B$65:$Y$65)+SUMPRODUCT(分期持仓明细!$AC$23:$AD$23,'实盘净值数据(iFinD）'!$Z900:$AA900/'实盘净值数据(iFinD）'!$Z$65:$AA$65))*(1-实盘持仓初始配置!$Z$7)^(('实盘净值数据(iFinD）'!$A900-'实盘净值数据(iFinD）'!$A$8)/365))</f>
        <v/>
      </c>
      <c r="L900" s="16" t="str">
        <f t="shared" si="87"/>
        <v/>
      </c>
      <c r="M900" s="16" t="str">
        <f>IF(K900="","",K900/MAX(K$5:K900)-1)</f>
        <v/>
      </c>
      <c r="N900" s="13" t="str">
        <f>IF(OR('实盘净值数据(iFinD）'!$A900="",'实盘净值数据(iFinD）'!$B900="",'实盘净值数据(iFinD）'!$Z900="",'实盘净值数据(iFinD）'!$AA900=""),"",分期持仓明细!$AB$24*(SUMPRODUCT(分期持仓明细!$B$24:$Y$24,'实盘净值数据(iFinD）'!$B900:$Y900/'实盘净值数据(iFinD）'!$B$65:$Y$65)+SUMPRODUCT(分期持仓明细!$AC$24:$AD$24,'实盘净值数据(iFinD）'!$Z900:$AA900/'实盘净值数据(iFinD）'!$Z$65:$AA$65))*(1-实盘持仓初始配置!$Z$8)^(('实盘净值数据(iFinD）'!$A900-'实盘净值数据(iFinD）'!$A$5)/365))</f>
        <v/>
      </c>
      <c r="O900" s="16" t="str">
        <f t="shared" si="88"/>
        <v/>
      </c>
      <c r="P900" s="16" t="str">
        <f>IF(N900="","",N900/MAX(N$5:N900)-1)</f>
        <v/>
      </c>
      <c r="Q900" s="13" t="str">
        <f>IF(OR('实盘净值数据(iFinD）'!$A900="",'实盘净值数据(iFinD）'!$B900="",'实盘净值数据(iFinD）'!$Z900="",'实盘净值数据(iFinD）'!$AA900=""),"",分期持仓明细!$AB$25*(SUMPRODUCT(分期持仓明细!$B$25:$Y$25,'实盘净值数据(iFinD）'!$B900:$Y900/'实盘净值数据(iFinD）'!$B$65:$Y$65)+SUMPRODUCT(分期持仓明细!$AC$25:$AD$25,'实盘净值数据(iFinD）'!$Z900:$AA900/'实盘净值数据(iFinD）'!$Z$65:$AA$65))*(1-实盘持仓初始配置!$Z$9)^(('实盘净值数据(iFinD）'!$A900-'实盘净值数据(iFinD）'!$A$8)/365))</f>
        <v/>
      </c>
      <c r="R900" s="16" t="str">
        <f t="shared" si="89"/>
        <v/>
      </c>
      <c r="S900" s="16" t="str">
        <f>IF(Q900="","",Q900/MAX(Q$5:Q900)-1)</f>
        <v/>
      </c>
      <c r="T900" s="13">
        <f>IF(OR('实盘净值数据(iFinD）'!$A900="",'实盘净值数据(iFinD）'!$B900="",'实盘净值数据(iFinD）'!$Z900="",'实盘净值数据(iFinD）'!$AA900="",'实盘净值数据(iFinD）'!$AB900="",'实盘净值数据(iFinD）'!$AL900=""),"",(SUMPRODUCT(分期持仓明细!$B$26:$Y$26,'实盘净值数据(iFinD）'!$B900:$Y900/'实盘净值数据(iFinD）'!$B$69:$Y$69)+SUMPRODUCT(分期持仓明细!$AC$26:$AD$26,'实盘净值数据(iFinD）'!$Z900:$AA900/'实盘净值数据(iFinD）'!$Z$69:$AA$69)+SUMPRODUCT(分期持仓明细!$AE$26:$AO$26,'实盘净值数据(iFinD）'!$AB900:$AL900/'实盘净值数据(iFinD）'!$AB$69:$AL$69))*(1-实盘持仓初始配置!$Z$10)^(('实盘净值数据(iFinD）'!$A900-'实盘净值数据(iFinD）'!$A$69)/365))</f>
        <v/>
      </c>
      <c r="U900" s="16">
        <f>IF(OR(T899="",T900=""),"",T900/T899-1)</f>
        <v/>
      </c>
      <c r="V900" s="16">
        <f>IF(T900="","",T900/MAX(T$5:T900)-1)</f>
        <v/>
      </c>
    </row>
    <row r="901" spans="1:19">
      <c r="A901" s="15" t="str">
        <f>IF('实盘净值数据(iFinD）'!A901="","",'实盘净值数据(iFinD）'!A901)</f>
        <v/>
      </c>
      <c r="B901" s="13" t="str">
        <f>IF(OR('实盘净值数据(iFinD）'!$A901="",'实盘净值数据(iFinD）'!$B901=""),"",分期持仓明细!$AB$17*SUMPRODUCT(分期持仓明细!$B$17:$Y$17,'实盘净值数据(iFinD）'!$B901:$Y901/'实盘净值数据(iFinD）'!$B$20:$Y$20)*(1-实盘持仓初始配置!$Z$4)^(('实盘净值数据(iFinD）'!$A901-'实盘净值数据(iFinD）'!$A$6)/365))</f>
        <v/>
      </c>
      <c r="C901" s="16" t="str">
        <f t="shared" si="84"/>
        <v/>
      </c>
      <c r="D901" s="16" t="str">
        <f>IF(B901="","",B901/MAX(B$5:B901)-1)</f>
        <v/>
      </c>
      <c r="E901" s="13" t="str">
        <f>IF(OR('实盘净值数据(iFinD）'!$A901="",'实盘净值数据(iFinD）'!$B901=""),"",分期持仓明细!$AB$18*SUMPRODUCT(分期持仓明细!$B$18:$Y$18,'实盘净值数据(iFinD）'!$B901:$Y901/'实盘净值数据(iFinD）'!$B$20:$Y$20)*(1-实盘持仓初始配置!$Z$5)^(('实盘净值数据(iFinD）'!$A901-'实盘净值数据(iFinD）'!$A$5)/365))</f>
        <v/>
      </c>
      <c r="F901" s="16" t="str">
        <f t="shared" si="85"/>
        <v/>
      </c>
      <c r="G901" s="16" t="str">
        <f>IF(E901="","",E901/MAX(E$5:E901)-1)</f>
        <v/>
      </c>
      <c r="H901" s="13" t="str">
        <f>IF(OR('实盘净值数据(iFinD）'!$A901="",'实盘净值数据(iFinD）'!$B901=""),"",分期持仓明细!$AB$19*SUMPRODUCT(分期持仓明细!$B$19:$Y$19,'实盘净值数据(iFinD）'!$B901:$Y901/'实盘净值数据(iFinD）'!$B$20:$Y$20)*(1-实盘持仓初始配置!$Z$6)^(('实盘净值数据(iFinD）'!$A901-'实盘净值数据(iFinD）'!$A$7)/365))</f>
        <v/>
      </c>
      <c r="I901" s="16" t="str">
        <f t="shared" si="86"/>
        <v/>
      </c>
      <c r="J901" s="16" t="str">
        <f>IF(H901="","",H901/MAX(H$5:H901)-1)</f>
        <v/>
      </c>
      <c r="K901" s="13" t="str">
        <f>IF(OR('实盘净值数据(iFinD）'!$A901="",'实盘净值数据(iFinD）'!$B901="",'实盘净值数据(iFinD）'!$Z901="",'实盘净值数据(iFinD）'!$AA901=""),"",分期持仓明细!$AB$23*(SUMPRODUCT(分期持仓明细!$B$23:$Y$23,'实盘净值数据(iFinD）'!$B901:$Y901/'实盘净值数据(iFinD）'!$B$65:$Y$65)+SUMPRODUCT(分期持仓明细!$AC$23:$AD$23,'实盘净值数据(iFinD）'!$Z901:$AA901/'实盘净值数据(iFinD）'!$Z$65:$AA$65))*(1-实盘持仓初始配置!$Z$7)^(('实盘净值数据(iFinD）'!$A901-'实盘净值数据(iFinD）'!$A$8)/365))</f>
        <v/>
      </c>
      <c r="L901" s="16" t="str">
        <f t="shared" si="87"/>
        <v/>
      </c>
      <c r="M901" s="16" t="str">
        <f>IF(K901="","",K901/MAX(K$5:K901)-1)</f>
        <v/>
      </c>
      <c r="N901" s="13" t="str">
        <f>IF(OR('实盘净值数据(iFinD）'!$A901="",'实盘净值数据(iFinD）'!$B901="",'实盘净值数据(iFinD）'!$Z901="",'实盘净值数据(iFinD）'!$AA901=""),"",分期持仓明细!$AB$24*(SUMPRODUCT(分期持仓明细!$B$24:$Y$24,'实盘净值数据(iFinD）'!$B901:$Y901/'实盘净值数据(iFinD）'!$B$65:$Y$65)+SUMPRODUCT(分期持仓明细!$AC$24:$AD$24,'实盘净值数据(iFinD）'!$Z901:$AA901/'实盘净值数据(iFinD）'!$Z$65:$AA$65))*(1-实盘持仓初始配置!$Z$8)^(('实盘净值数据(iFinD）'!$A901-'实盘净值数据(iFinD）'!$A$5)/365))</f>
        <v/>
      </c>
      <c r="O901" s="16" t="str">
        <f t="shared" si="88"/>
        <v/>
      </c>
      <c r="P901" s="16" t="str">
        <f>IF(N901="","",N901/MAX(N$5:N901)-1)</f>
        <v/>
      </c>
      <c r="Q901" s="13" t="str">
        <f>IF(OR('实盘净值数据(iFinD）'!$A901="",'实盘净值数据(iFinD）'!$B901="",'实盘净值数据(iFinD）'!$Z901="",'实盘净值数据(iFinD）'!$AA901=""),"",分期持仓明细!$AB$25*(SUMPRODUCT(分期持仓明细!$B$25:$Y$25,'实盘净值数据(iFinD）'!$B901:$Y901/'实盘净值数据(iFinD）'!$B$65:$Y$65)+SUMPRODUCT(分期持仓明细!$AC$25:$AD$25,'实盘净值数据(iFinD）'!$Z901:$AA901/'实盘净值数据(iFinD）'!$Z$65:$AA$65))*(1-实盘持仓初始配置!$Z$9)^(('实盘净值数据(iFinD）'!$A901-'实盘净值数据(iFinD）'!$A$8)/365))</f>
        <v/>
      </c>
      <c r="R901" s="16" t="str">
        <f t="shared" si="89"/>
        <v/>
      </c>
      <c r="S901" s="16" t="str">
        <f>IF(Q901="","",Q901/MAX(Q$5:Q901)-1)</f>
        <v/>
      </c>
      <c r="T901" s="13">
        <f>IF(OR('实盘净值数据(iFinD）'!$A901="",'实盘净值数据(iFinD）'!$B901="",'实盘净值数据(iFinD）'!$Z901="",'实盘净值数据(iFinD）'!$AA901="",'实盘净值数据(iFinD）'!$AB901="",'实盘净值数据(iFinD）'!$AL901=""),"",(SUMPRODUCT(分期持仓明细!$B$26:$Y$26,'实盘净值数据(iFinD）'!$B901:$Y901/'实盘净值数据(iFinD）'!$B$69:$Y$69)+SUMPRODUCT(分期持仓明细!$AC$26:$AD$26,'实盘净值数据(iFinD）'!$Z901:$AA901/'实盘净值数据(iFinD）'!$Z$69:$AA$69)+SUMPRODUCT(分期持仓明细!$AE$26:$AO$26,'实盘净值数据(iFinD）'!$AB901:$AL901/'实盘净值数据(iFinD）'!$AB$69:$AL$69))*(1-实盘持仓初始配置!$Z$10)^(('实盘净值数据(iFinD）'!$A901-'实盘净值数据(iFinD）'!$A$69)/365))</f>
        <v/>
      </c>
      <c r="U901" s="16">
        <f>IF(OR(T900="",T901=""),"",T901/T900-1)</f>
        <v/>
      </c>
      <c r="V901" s="16">
        <f>IF(T901="","",T901/MAX(T$5:T901)-1)</f>
        <v/>
      </c>
    </row>
    <row r="902" spans="1:19">
      <c r="A902" s="15" t="str">
        <f>IF('实盘净值数据(iFinD）'!A902="","",'实盘净值数据(iFinD）'!A902)</f>
        <v/>
      </c>
      <c r="B902" s="13" t="str">
        <f>IF(OR('实盘净值数据(iFinD）'!$A902="",'实盘净值数据(iFinD）'!$B902=""),"",分期持仓明细!$AB$17*SUMPRODUCT(分期持仓明细!$B$17:$Y$17,'实盘净值数据(iFinD）'!$B902:$Y902/'实盘净值数据(iFinD）'!$B$20:$Y$20)*(1-实盘持仓初始配置!$Z$4)^(('实盘净值数据(iFinD）'!$A902-'实盘净值数据(iFinD）'!$A$6)/365))</f>
        <v/>
      </c>
      <c r="C902" s="16" t="str">
        <f t="shared" si="84"/>
        <v/>
      </c>
      <c r="D902" s="16" t="str">
        <f>IF(B902="","",B902/MAX(B$5:B902)-1)</f>
        <v/>
      </c>
      <c r="E902" s="13" t="str">
        <f>IF(OR('实盘净值数据(iFinD）'!$A902="",'实盘净值数据(iFinD）'!$B902=""),"",分期持仓明细!$AB$18*SUMPRODUCT(分期持仓明细!$B$18:$Y$18,'实盘净值数据(iFinD）'!$B902:$Y902/'实盘净值数据(iFinD）'!$B$20:$Y$20)*(1-实盘持仓初始配置!$Z$5)^(('实盘净值数据(iFinD）'!$A902-'实盘净值数据(iFinD）'!$A$5)/365))</f>
        <v/>
      </c>
      <c r="F902" s="16" t="str">
        <f t="shared" si="85"/>
        <v/>
      </c>
      <c r="G902" s="16" t="str">
        <f>IF(E902="","",E902/MAX(E$5:E902)-1)</f>
        <v/>
      </c>
      <c r="H902" s="13" t="str">
        <f>IF(OR('实盘净值数据(iFinD）'!$A902="",'实盘净值数据(iFinD）'!$B902=""),"",分期持仓明细!$AB$19*SUMPRODUCT(分期持仓明细!$B$19:$Y$19,'实盘净值数据(iFinD）'!$B902:$Y902/'实盘净值数据(iFinD）'!$B$20:$Y$20)*(1-实盘持仓初始配置!$Z$6)^(('实盘净值数据(iFinD）'!$A902-'实盘净值数据(iFinD）'!$A$7)/365))</f>
        <v/>
      </c>
      <c r="I902" s="16" t="str">
        <f t="shared" si="86"/>
        <v/>
      </c>
      <c r="J902" s="16" t="str">
        <f>IF(H902="","",H902/MAX(H$5:H902)-1)</f>
        <v/>
      </c>
      <c r="K902" s="13" t="str">
        <f>IF(OR('实盘净值数据(iFinD）'!$A902="",'实盘净值数据(iFinD）'!$B902="",'实盘净值数据(iFinD）'!$Z902="",'实盘净值数据(iFinD）'!$AA902=""),"",分期持仓明细!$AB$23*(SUMPRODUCT(分期持仓明细!$B$23:$Y$23,'实盘净值数据(iFinD）'!$B902:$Y902/'实盘净值数据(iFinD）'!$B$65:$Y$65)+SUMPRODUCT(分期持仓明细!$AC$23:$AD$23,'实盘净值数据(iFinD）'!$Z902:$AA902/'实盘净值数据(iFinD）'!$Z$65:$AA$65))*(1-实盘持仓初始配置!$Z$7)^(('实盘净值数据(iFinD）'!$A902-'实盘净值数据(iFinD）'!$A$8)/365))</f>
        <v/>
      </c>
      <c r="L902" s="16" t="str">
        <f t="shared" si="87"/>
        <v/>
      </c>
      <c r="M902" s="16" t="str">
        <f>IF(K902="","",K902/MAX(K$5:K902)-1)</f>
        <v/>
      </c>
      <c r="N902" s="13" t="str">
        <f>IF(OR('实盘净值数据(iFinD）'!$A902="",'实盘净值数据(iFinD）'!$B902="",'实盘净值数据(iFinD）'!$Z902="",'实盘净值数据(iFinD）'!$AA902=""),"",分期持仓明细!$AB$24*(SUMPRODUCT(分期持仓明细!$B$24:$Y$24,'实盘净值数据(iFinD）'!$B902:$Y902/'实盘净值数据(iFinD）'!$B$65:$Y$65)+SUMPRODUCT(分期持仓明细!$AC$24:$AD$24,'实盘净值数据(iFinD）'!$Z902:$AA902/'实盘净值数据(iFinD）'!$Z$65:$AA$65))*(1-实盘持仓初始配置!$Z$8)^(('实盘净值数据(iFinD）'!$A902-'实盘净值数据(iFinD）'!$A$5)/365))</f>
        <v/>
      </c>
      <c r="O902" s="16" t="str">
        <f t="shared" si="88"/>
        <v/>
      </c>
      <c r="P902" s="16" t="str">
        <f>IF(N902="","",N902/MAX(N$5:N902)-1)</f>
        <v/>
      </c>
      <c r="Q902" s="13" t="str">
        <f>IF(OR('实盘净值数据(iFinD）'!$A902="",'实盘净值数据(iFinD）'!$B902="",'实盘净值数据(iFinD）'!$Z902="",'实盘净值数据(iFinD）'!$AA902=""),"",分期持仓明细!$AB$25*(SUMPRODUCT(分期持仓明细!$B$25:$Y$25,'实盘净值数据(iFinD）'!$B902:$Y902/'实盘净值数据(iFinD）'!$B$65:$Y$65)+SUMPRODUCT(分期持仓明细!$AC$25:$AD$25,'实盘净值数据(iFinD）'!$Z902:$AA902/'实盘净值数据(iFinD）'!$Z$65:$AA$65))*(1-实盘持仓初始配置!$Z$9)^(('实盘净值数据(iFinD）'!$A902-'实盘净值数据(iFinD）'!$A$8)/365))</f>
        <v/>
      </c>
      <c r="R902" s="16" t="str">
        <f t="shared" si="89"/>
        <v/>
      </c>
      <c r="S902" s="16" t="str">
        <f>IF(Q902="","",Q902/MAX(Q$5:Q902)-1)</f>
        <v/>
      </c>
      <c r="T902" s="13">
        <f>IF(OR('实盘净值数据(iFinD）'!$A902="",'实盘净值数据(iFinD）'!$B902="",'实盘净值数据(iFinD）'!$Z902="",'实盘净值数据(iFinD）'!$AA902="",'实盘净值数据(iFinD）'!$AB902="",'实盘净值数据(iFinD）'!$AL902=""),"",(SUMPRODUCT(分期持仓明细!$B$26:$Y$26,'实盘净值数据(iFinD）'!$B902:$Y902/'实盘净值数据(iFinD）'!$B$69:$Y$69)+SUMPRODUCT(分期持仓明细!$AC$26:$AD$26,'实盘净值数据(iFinD）'!$Z902:$AA902/'实盘净值数据(iFinD）'!$Z$69:$AA$69)+SUMPRODUCT(分期持仓明细!$AE$26:$AO$26,'实盘净值数据(iFinD）'!$AB902:$AL902/'实盘净值数据(iFinD）'!$AB$69:$AL$69))*(1-实盘持仓初始配置!$Z$10)^(('实盘净值数据(iFinD）'!$A902-'实盘净值数据(iFinD）'!$A$69)/365))</f>
        <v/>
      </c>
      <c r="U902" s="16">
        <f>IF(OR(T901="",T902=""),"",T902/T901-1)</f>
        <v/>
      </c>
      <c r="V902" s="16">
        <f>IF(T902="","",T902/MAX(T$5:T902)-1)</f>
        <v/>
      </c>
    </row>
    <row r="903" spans="1:19">
      <c r="A903" s="15" t="str">
        <f>IF('实盘净值数据(iFinD）'!A903="","",'实盘净值数据(iFinD）'!A903)</f>
        <v/>
      </c>
      <c r="B903" s="13" t="str">
        <f>IF(OR('实盘净值数据(iFinD）'!$A903="",'实盘净值数据(iFinD）'!$B903=""),"",分期持仓明细!$AB$17*SUMPRODUCT(分期持仓明细!$B$17:$Y$17,'实盘净值数据(iFinD）'!$B903:$Y903/'实盘净值数据(iFinD）'!$B$20:$Y$20)*(1-实盘持仓初始配置!$Z$4)^(('实盘净值数据(iFinD）'!$A903-'实盘净值数据(iFinD）'!$A$6)/365))</f>
        <v/>
      </c>
      <c r="C903" s="16" t="str">
        <f t="shared" si="84"/>
        <v/>
      </c>
      <c r="D903" s="16" t="str">
        <f>IF(B903="","",B903/MAX(B$5:B903)-1)</f>
        <v/>
      </c>
      <c r="E903" s="13" t="str">
        <f>IF(OR('实盘净值数据(iFinD）'!$A903="",'实盘净值数据(iFinD）'!$B903=""),"",分期持仓明细!$AB$18*SUMPRODUCT(分期持仓明细!$B$18:$Y$18,'实盘净值数据(iFinD）'!$B903:$Y903/'实盘净值数据(iFinD）'!$B$20:$Y$20)*(1-实盘持仓初始配置!$Z$5)^(('实盘净值数据(iFinD）'!$A903-'实盘净值数据(iFinD）'!$A$5)/365))</f>
        <v/>
      </c>
      <c r="F903" s="16" t="str">
        <f t="shared" si="85"/>
        <v/>
      </c>
      <c r="G903" s="16" t="str">
        <f>IF(E903="","",E903/MAX(E$5:E903)-1)</f>
        <v/>
      </c>
      <c r="H903" s="13" t="str">
        <f>IF(OR('实盘净值数据(iFinD）'!$A903="",'实盘净值数据(iFinD）'!$B903=""),"",分期持仓明细!$AB$19*SUMPRODUCT(分期持仓明细!$B$19:$Y$19,'实盘净值数据(iFinD）'!$B903:$Y903/'实盘净值数据(iFinD）'!$B$20:$Y$20)*(1-实盘持仓初始配置!$Z$6)^(('实盘净值数据(iFinD）'!$A903-'实盘净值数据(iFinD）'!$A$7)/365))</f>
        <v/>
      </c>
      <c r="I903" s="16" t="str">
        <f t="shared" si="86"/>
        <v/>
      </c>
      <c r="J903" s="16" t="str">
        <f>IF(H903="","",H903/MAX(H$5:H903)-1)</f>
        <v/>
      </c>
      <c r="K903" s="13" t="str">
        <f>IF(OR('实盘净值数据(iFinD）'!$A903="",'实盘净值数据(iFinD）'!$B903="",'实盘净值数据(iFinD）'!$Z903="",'实盘净值数据(iFinD）'!$AA903=""),"",分期持仓明细!$AB$23*(SUMPRODUCT(分期持仓明细!$B$23:$Y$23,'实盘净值数据(iFinD）'!$B903:$Y903/'实盘净值数据(iFinD）'!$B$65:$Y$65)+SUMPRODUCT(分期持仓明细!$AC$23:$AD$23,'实盘净值数据(iFinD）'!$Z903:$AA903/'实盘净值数据(iFinD）'!$Z$65:$AA$65))*(1-实盘持仓初始配置!$Z$7)^(('实盘净值数据(iFinD）'!$A903-'实盘净值数据(iFinD）'!$A$8)/365))</f>
        <v/>
      </c>
      <c r="L903" s="16" t="str">
        <f t="shared" si="87"/>
        <v/>
      </c>
      <c r="M903" s="16" t="str">
        <f>IF(K903="","",K903/MAX(K$5:K903)-1)</f>
        <v/>
      </c>
      <c r="N903" s="13" t="str">
        <f>IF(OR('实盘净值数据(iFinD）'!$A903="",'实盘净值数据(iFinD）'!$B903="",'实盘净值数据(iFinD）'!$Z903="",'实盘净值数据(iFinD）'!$AA903=""),"",分期持仓明细!$AB$24*(SUMPRODUCT(分期持仓明细!$B$24:$Y$24,'实盘净值数据(iFinD）'!$B903:$Y903/'实盘净值数据(iFinD）'!$B$65:$Y$65)+SUMPRODUCT(分期持仓明细!$AC$24:$AD$24,'实盘净值数据(iFinD）'!$Z903:$AA903/'实盘净值数据(iFinD）'!$Z$65:$AA$65))*(1-实盘持仓初始配置!$Z$8)^(('实盘净值数据(iFinD）'!$A903-'实盘净值数据(iFinD）'!$A$5)/365))</f>
        <v/>
      </c>
      <c r="O903" s="16" t="str">
        <f t="shared" si="88"/>
        <v/>
      </c>
      <c r="P903" s="16" t="str">
        <f>IF(N903="","",N903/MAX(N$5:N903)-1)</f>
        <v/>
      </c>
      <c r="Q903" s="13" t="str">
        <f>IF(OR('实盘净值数据(iFinD）'!$A903="",'实盘净值数据(iFinD）'!$B903="",'实盘净值数据(iFinD）'!$Z903="",'实盘净值数据(iFinD）'!$AA903=""),"",分期持仓明细!$AB$25*(SUMPRODUCT(分期持仓明细!$B$25:$Y$25,'实盘净值数据(iFinD）'!$B903:$Y903/'实盘净值数据(iFinD）'!$B$65:$Y$65)+SUMPRODUCT(分期持仓明细!$AC$25:$AD$25,'实盘净值数据(iFinD）'!$Z903:$AA903/'实盘净值数据(iFinD）'!$Z$65:$AA$65))*(1-实盘持仓初始配置!$Z$9)^(('实盘净值数据(iFinD）'!$A903-'实盘净值数据(iFinD）'!$A$8)/365))</f>
        <v/>
      </c>
      <c r="R903" s="16" t="str">
        <f t="shared" si="89"/>
        <v/>
      </c>
      <c r="S903" s="16" t="str">
        <f>IF(Q903="","",Q903/MAX(Q$5:Q903)-1)</f>
        <v/>
      </c>
      <c r="T903" s="13">
        <f>IF(OR('实盘净值数据(iFinD）'!$A903="",'实盘净值数据(iFinD）'!$B903="",'实盘净值数据(iFinD）'!$Z903="",'实盘净值数据(iFinD）'!$AA903="",'实盘净值数据(iFinD）'!$AB903="",'实盘净值数据(iFinD）'!$AL903=""),"",(SUMPRODUCT(分期持仓明细!$B$26:$Y$26,'实盘净值数据(iFinD）'!$B903:$Y903/'实盘净值数据(iFinD）'!$B$69:$Y$69)+SUMPRODUCT(分期持仓明细!$AC$26:$AD$26,'实盘净值数据(iFinD）'!$Z903:$AA903/'实盘净值数据(iFinD）'!$Z$69:$AA$69)+SUMPRODUCT(分期持仓明细!$AE$26:$AO$26,'实盘净值数据(iFinD）'!$AB903:$AL903/'实盘净值数据(iFinD）'!$AB$69:$AL$69))*(1-实盘持仓初始配置!$Z$10)^(('实盘净值数据(iFinD）'!$A903-'实盘净值数据(iFinD）'!$A$69)/365))</f>
        <v/>
      </c>
      <c r="U903" s="16">
        <f>IF(OR(T902="",T903=""),"",T903/T902-1)</f>
        <v/>
      </c>
      <c r="V903" s="16">
        <f>IF(T903="","",T903/MAX(T$5:T903)-1)</f>
        <v/>
      </c>
    </row>
    <row r="904" spans="1:19">
      <c r="A904" s="15" t="str">
        <f>IF('实盘净值数据(iFinD）'!A904="","",'实盘净值数据(iFinD）'!A904)</f>
        <v/>
      </c>
      <c r="B904" s="13" t="str">
        <f>IF(OR('实盘净值数据(iFinD）'!$A904="",'实盘净值数据(iFinD）'!$B904=""),"",分期持仓明细!$AB$17*SUMPRODUCT(分期持仓明细!$B$17:$Y$17,'实盘净值数据(iFinD）'!$B904:$Y904/'实盘净值数据(iFinD）'!$B$20:$Y$20)*(1-实盘持仓初始配置!$Z$4)^(('实盘净值数据(iFinD）'!$A904-'实盘净值数据(iFinD）'!$A$6)/365))</f>
        <v/>
      </c>
      <c r="C904" s="16" t="str">
        <f t="shared" si="84"/>
        <v/>
      </c>
      <c r="D904" s="16" t="str">
        <f>IF(B904="","",B904/MAX(B$5:B904)-1)</f>
        <v/>
      </c>
      <c r="E904" s="13" t="str">
        <f>IF(OR('实盘净值数据(iFinD）'!$A904="",'实盘净值数据(iFinD）'!$B904=""),"",分期持仓明细!$AB$18*SUMPRODUCT(分期持仓明细!$B$18:$Y$18,'实盘净值数据(iFinD）'!$B904:$Y904/'实盘净值数据(iFinD）'!$B$20:$Y$20)*(1-实盘持仓初始配置!$Z$5)^(('实盘净值数据(iFinD）'!$A904-'实盘净值数据(iFinD）'!$A$5)/365))</f>
        <v/>
      </c>
      <c r="F904" s="16" t="str">
        <f t="shared" si="85"/>
        <v/>
      </c>
      <c r="G904" s="16" t="str">
        <f>IF(E904="","",E904/MAX(E$5:E904)-1)</f>
        <v/>
      </c>
      <c r="H904" s="13" t="str">
        <f>IF(OR('实盘净值数据(iFinD）'!$A904="",'实盘净值数据(iFinD）'!$B904=""),"",分期持仓明细!$AB$19*SUMPRODUCT(分期持仓明细!$B$19:$Y$19,'实盘净值数据(iFinD）'!$B904:$Y904/'实盘净值数据(iFinD）'!$B$20:$Y$20)*(1-实盘持仓初始配置!$Z$6)^(('实盘净值数据(iFinD）'!$A904-'实盘净值数据(iFinD）'!$A$7)/365))</f>
        <v/>
      </c>
      <c r="I904" s="16" t="str">
        <f t="shared" si="86"/>
        <v/>
      </c>
      <c r="J904" s="16" t="str">
        <f>IF(H904="","",H904/MAX(H$5:H904)-1)</f>
        <v/>
      </c>
      <c r="K904" s="13" t="str">
        <f>IF(OR('实盘净值数据(iFinD）'!$A904="",'实盘净值数据(iFinD）'!$B904="",'实盘净值数据(iFinD）'!$Z904="",'实盘净值数据(iFinD）'!$AA904=""),"",分期持仓明细!$AB$23*(SUMPRODUCT(分期持仓明细!$B$23:$Y$23,'实盘净值数据(iFinD）'!$B904:$Y904/'实盘净值数据(iFinD）'!$B$65:$Y$65)+SUMPRODUCT(分期持仓明细!$AC$23:$AD$23,'实盘净值数据(iFinD）'!$Z904:$AA904/'实盘净值数据(iFinD）'!$Z$65:$AA$65))*(1-实盘持仓初始配置!$Z$7)^(('实盘净值数据(iFinD）'!$A904-'实盘净值数据(iFinD）'!$A$8)/365))</f>
        <v/>
      </c>
      <c r="L904" s="16" t="str">
        <f t="shared" si="87"/>
        <v/>
      </c>
      <c r="M904" s="16" t="str">
        <f>IF(K904="","",K904/MAX(K$5:K904)-1)</f>
        <v/>
      </c>
      <c r="N904" s="13" t="str">
        <f>IF(OR('实盘净值数据(iFinD）'!$A904="",'实盘净值数据(iFinD）'!$B904="",'实盘净值数据(iFinD）'!$Z904="",'实盘净值数据(iFinD）'!$AA904=""),"",分期持仓明细!$AB$24*(SUMPRODUCT(分期持仓明细!$B$24:$Y$24,'实盘净值数据(iFinD）'!$B904:$Y904/'实盘净值数据(iFinD）'!$B$65:$Y$65)+SUMPRODUCT(分期持仓明细!$AC$24:$AD$24,'实盘净值数据(iFinD）'!$Z904:$AA904/'实盘净值数据(iFinD）'!$Z$65:$AA$65))*(1-实盘持仓初始配置!$Z$8)^(('实盘净值数据(iFinD）'!$A904-'实盘净值数据(iFinD）'!$A$5)/365))</f>
        <v/>
      </c>
      <c r="O904" s="16" t="str">
        <f t="shared" si="88"/>
        <v/>
      </c>
      <c r="P904" s="16" t="str">
        <f>IF(N904="","",N904/MAX(N$5:N904)-1)</f>
        <v/>
      </c>
      <c r="Q904" s="13" t="str">
        <f>IF(OR('实盘净值数据(iFinD）'!$A904="",'实盘净值数据(iFinD）'!$B904="",'实盘净值数据(iFinD）'!$Z904="",'实盘净值数据(iFinD）'!$AA904=""),"",分期持仓明细!$AB$25*(SUMPRODUCT(分期持仓明细!$B$25:$Y$25,'实盘净值数据(iFinD）'!$B904:$Y904/'实盘净值数据(iFinD）'!$B$65:$Y$65)+SUMPRODUCT(分期持仓明细!$AC$25:$AD$25,'实盘净值数据(iFinD）'!$Z904:$AA904/'实盘净值数据(iFinD）'!$Z$65:$AA$65))*(1-实盘持仓初始配置!$Z$9)^(('实盘净值数据(iFinD）'!$A904-'实盘净值数据(iFinD）'!$A$8)/365))</f>
        <v/>
      </c>
      <c r="R904" s="16" t="str">
        <f t="shared" si="89"/>
        <v/>
      </c>
      <c r="S904" s="16" t="str">
        <f>IF(Q904="","",Q904/MAX(Q$5:Q904)-1)</f>
        <v/>
      </c>
      <c r="T904" s="13">
        <f>IF(OR('实盘净值数据(iFinD）'!$A904="",'实盘净值数据(iFinD）'!$B904="",'实盘净值数据(iFinD）'!$Z904="",'实盘净值数据(iFinD）'!$AA904="",'实盘净值数据(iFinD）'!$AB904="",'实盘净值数据(iFinD）'!$AL904=""),"",(SUMPRODUCT(分期持仓明细!$B$26:$Y$26,'实盘净值数据(iFinD）'!$B904:$Y904/'实盘净值数据(iFinD）'!$B$69:$Y$69)+SUMPRODUCT(分期持仓明细!$AC$26:$AD$26,'实盘净值数据(iFinD）'!$Z904:$AA904/'实盘净值数据(iFinD）'!$Z$69:$AA$69)+SUMPRODUCT(分期持仓明细!$AE$26:$AO$26,'实盘净值数据(iFinD）'!$AB904:$AL904/'实盘净值数据(iFinD）'!$AB$69:$AL$69))*(1-实盘持仓初始配置!$Z$10)^(('实盘净值数据(iFinD）'!$A904-'实盘净值数据(iFinD）'!$A$69)/365))</f>
        <v/>
      </c>
      <c r="U904" s="16">
        <f>IF(OR(T903="",T904=""),"",T904/T903-1)</f>
        <v/>
      </c>
      <c r="V904" s="16">
        <f>IF(T904="","",T904/MAX(T$5:T904)-1)</f>
        <v/>
      </c>
    </row>
    <row r="905" spans="1:19">
      <c r="A905" s="15" t="str">
        <f>IF('实盘净值数据(iFinD）'!A905="","",'实盘净值数据(iFinD）'!A905)</f>
        <v/>
      </c>
      <c r="B905" s="13" t="str">
        <f>IF(OR('实盘净值数据(iFinD）'!$A905="",'实盘净值数据(iFinD）'!$B905=""),"",分期持仓明细!$AB$17*SUMPRODUCT(分期持仓明细!$B$17:$Y$17,'实盘净值数据(iFinD）'!$B905:$Y905/'实盘净值数据(iFinD）'!$B$20:$Y$20)*(1-实盘持仓初始配置!$Z$4)^(('实盘净值数据(iFinD）'!$A905-'实盘净值数据(iFinD）'!$A$6)/365))</f>
        <v/>
      </c>
      <c r="C905" s="16" t="str">
        <f t="shared" si="84"/>
        <v/>
      </c>
      <c r="D905" s="16" t="str">
        <f>IF(B905="","",B905/MAX(B$5:B905)-1)</f>
        <v/>
      </c>
      <c r="E905" s="13" t="str">
        <f>IF(OR('实盘净值数据(iFinD）'!$A905="",'实盘净值数据(iFinD）'!$B905=""),"",分期持仓明细!$AB$18*SUMPRODUCT(分期持仓明细!$B$18:$Y$18,'实盘净值数据(iFinD）'!$B905:$Y905/'实盘净值数据(iFinD）'!$B$20:$Y$20)*(1-实盘持仓初始配置!$Z$5)^(('实盘净值数据(iFinD）'!$A905-'实盘净值数据(iFinD）'!$A$5)/365))</f>
        <v/>
      </c>
      <c r="F905" s="16" t="str">
        <f t="shared" si="85"/>
        <v/>
      </c>
      <c r="G905" s="16" t="str">
        <f>IF(E905="","",E905/MAX(E$5:E905)-1)</f>
        <v/>
      </c>
      <c r="H905" s="13" t="str">
        <f>IF(OR('实盘净值数据(iFinD）'!$A905="",'实盘净值数据(iFinD）'!$B905=""),"",分期持仓明细!$AB$19*SUMPRODUCT(分期持仓明细!$B$19:$Y$19,'实盘净值数据(iFinD）'!$B905:$Y905/'实盘净值数据(iFinD）'!$B$20:$Y$20)*(1-实盘持仓初始配置!$Z$6)^(('实盘净值数据(iFinD）'!$A905-'实盘净值数据(iFinD）'!$A$7)/365))</f>
        <v/>
      </c>
      <c r="I905" s="16" t="str">
        <f t="shared" si="86"/>
        <v/>
      </c>
      <c r="J905" s="16" t="str">
        <f>IF(H905="","",H905/MAX(H$5:H905)-1)</f>
        <v/>
      </c>
      <c r="K905" s="13" t="str">
        <f>IF(OR('实盘净值数据(iFinD）'!$A905="",'实盘净值数据(iFinD）'!$B905="",'实盘净值数据(iFinD）'!$Z905="",'实盘净值数据(iFinD）'!$AA905=""),"",分期持仓明细!$AB$23*(SUMPRODUCT(分期持仓明细!$B$23:$Y$23,'实盘净值数据(iFinD）'!$B905:$Y905/'实盘净值数据(iFinD）'!$B$65:$Y$65)+SUMPRODUCT(分期持仓明细!$AC$23:$AD$23,'实盘净值数据(iFinD）'!$Z905:$AA905/'实盘净值数据(iFinD）'!$Z$65:$AA$65))*(1-实盘持仓初始配置!$Z$7)^(('实盘净值数据(iFinD）'!$A905-'实盘净值数据(iFinD）'!$A$8)/365))</f>
        <v/>
      </c>
      <c r="L905" s="16" t="str">
        <f t="shared" si="87"/>
        <v/>
      </c>
      <c r="M905" s="16" t="str">
        <f>IF(K905="","",K905/MAX(K$5:K905)-1)</f>
        <v/>
      </c>
      <c r="N905" s="13" t="str">
        <f>IF(OR('实盘净值数据(iFinD）'!$A905="",'实盘净值数据(iFinD）'!$B905="",'实盘净值数据(iFinD）'!$Z905="",'实盘净值数据(iFinD）'!$AA905=""),"",分期持仓明细!$AB$24*(SUMPRODUCT(分期持仓明细!$B$24:$Y$24,'实盘净值数据(iFinD）'!$B905:$Y905/'实盘净值数据(iFinD）'!$B$65:$Y$65)+SUMPRODUCT(分期持仓明细!$AC$24:$AD$24,'实盘净值数据(iFinD）'!$Z905:$AA905/'实盘净值数据(iFinD）'!$Z$65:$AA$65))*(1-实盘持仓初始配置!$Z$8)^(('实盘净值数据(iFinD）'!$A905-'实盘净值数据(iFinD）'!$A$5)/365))</f>
        <v/>
      </c>
      <c r="O905" s="16" t="str">
        <f t="shared" si="88"/>
        <v/>
      </c>
      <c r="P905" s="16" t="str">
        <f>IF(N905="","",N905/MAX(N$5:N905)-1)</f>
        <v/>
      </c>
      <c r="Q905" s="13" t="str">
        <f>IF(OR('实盘净值数据(iFinD）'!$A905="",'实盘净值数据(iFinD）'!$B905="",'实盘净值数据(iFinD）'!$Z905="",'实盘净值数据(iFinD）'!$AA905=""),"",分期持仓明细!$AB$25*(SUMPRODUCT(分期持仓明细!$B$25:$Y$25,'实盘净值数据(iFinD）'!$B905:$Y905/'实盘净值数据(iFinD）'!$B$65:$Y$65)+SUMPRODUCT(分期持仓明细!$AC$25:$AD$25,'实盘净值数据(iFinD）'!$Z905:$AA905/'实盘净值数据(iFinD）'!$Z$65:$AA$65))*(1-实盘持仓初始配置!$Z$9)^(('实盘净值数据(iFinD）'!$A905-'实盘净值数据(iFinD）'!$A$8)/365))</f>
        <v/>
      </c>
      <c r="R905" s="16" t="str">
        <f t="shared" si="89"/>
        <v/>
      </c>
      <c r="S905" s="16" t="str">
        <f>IF(Q905="","",Q905/MAX(Q$5:Q905)-1)</f>
        <v/>
      </c>
      <c r="T905" s="13">
        <f>IF(OR('实盘净值数据(iFinD）'!$A905="",'实盘净值数据(iFinD）'!$B905="",'实盘净值数据(iFinD）'!$Z905="",'实盘净值数据(iFinD）'!$AA905="",'实盘净值数据(iFinD）'!$AB905="",'实盘净值数据(iFinD）'!$AL905=""),"",(SUMPRODUCT(分期持仓明细!$B$26:$Y$26,'实盘净值数据(iFinD）'!$B905:$Y905/'实盘净值数据(iFinD）'!$B$69:$Y$69)+SUMPRODUCT(分期持仓明细!$AC$26:$AD$26,'实盘净值数据(iFinD）'!$Z905:$AA905/'实盘净值数据(iFinD）'!$Z$69:$AA$69)+SUMPRODUCT(分期持仓明细!$AE$26:$AO$26,'实盘净值数据(iFinD）'!$AB905:$AL905/'实盘净值数据(iFinD）'!$AB$69:$AL$69))*(1-实盘持仓初始配置!$Z$10)^(('实盘净值数据(iFinD）'!$A905-'实盘净值数据(iFinD）'!$A$69)/365))</f>
        <v/>
      </c>
      <c r="U905" s="16">
        <f>IF(OR(T904="",T905=""),"",T905/T904-1)</f>
        <v/>
      </c>
      <c r="V905" s="16">
        <f>IF(T905="","",T905/MAX(T$5:T905)-1)</f>
        <v/>
      </c>
    </row>
    <row r="906" spans="1:19">
      <c r="A906" s="15" t="str">
        <f>IF('实盘净值数据(iFinD）'!A906="","",'实盘净值数据(iFinD）'!A906)</f>
        <v/>
      </c>
      <c r="B906" s="13" t="str">
        <f>IF(OR('实盘净值数据(iFinD）'!$A906="",'实盘净值数据(iFinD）'!$B906=""),"",分期持仓明细!$AB$17*SUMPRODUCT(分期持仓明细!$B$17:$Y$17,'实盘净值数据(iFinD）'!$B906:$Y906/'实盘净值数据(iFinD）'!$B$20:$Y$20)*(1-实盘持仓初始配置!$Z$4)^(('实盘净值数据(iFinD）'!$A906-'实盘净值数据(iFinD）'!$A$6)/365))</f>
        <v/>
      </c>
      <c r="C906" s="16" t="str">
        <f t="shared" si="84"/>
        <v/>
      </c>
      <c r="D906" s="16" t="str">
        <f>IF(B906="","",B906/MAX(B$5:B906)-1)</f>
        <v/>
      </c>
      <c r="E906" s="13" t="str">
        <f>IF(OR('实盘净值数据(iFinD）'!$A906="",'实盘净值数据(iFinD）'!$B906=""),"",分期持仓明细!$AB$18*SUMPRODUCT(分期持仓明细!$B$18:$Y$18,'实盘净值数据(iFinD）'!$B906:$Y906/'实盘净值数据(iFinD）'!$B$20:$Y$20)*(1-实盘持仓初始配置!$Z$5)^(('实盘净值数据(iFinD）'!$A906-'实盘净值数据(iFinD）'!$A$5)/365))</f>
        <v/>
      </c>
      <c r="F906" s="16" t="str">
        <f t="shared" si="85"/>
        <v/>
      </c>
      <c r="G906" s="16" t="str">
        <f>IF(E906="","",E906/MAX(E$5:E906)-1)</f>
        <v/>
      </c>
      <c r="H906" s="13" t="str">
        <f>IF(OR('实盘净值数据(iFinD）'!$A906="",'实盘净值数据(iFinD）'!$B906=""),"",分期持仓明细!$AB$19*SUMPRODUCT(分期持仓明细!$B$19:$Y$19,'实盘净值数据(iFinD）'!$B906:$Y906/'实盘净值数据(iFinD）'!$B$20:$Y$20)*(1-实盘持仓初始配置!$Z$6)^(('实盘净值数据(iFinD）'!$A906-'实盘净值数据(iFinD）'!$A$7)/365))</f>
        <v/>
      </c>
      <c r="I906" s="16" t="str">
        <f t="shared" si="86"/>
        <v/>
      </c>
      <c r="J906" s="16" t="str">
        <f>IF(H906="","",H906/MAX(H$5:H906)-1)</f>
        <v/>
      </c>
      <c r="K906" s="13" t="str">
        <f>IF(OR('实盘净值数据(iFinD）'!$A906="",'实盘净值数据(iFinD）'!$B906="",'实盘净值数据(iFinD）'!$Z906="",'实盘净值数据(iFinD）'!$AA906=""),"",分期持仓明细!$AB$23*(SUMPRODUCT(分期持仓明细!$B$23:$Y$23,'实盘净值数据(iFinD）'!$B906:$Y906/'实盘净值数据(iFinD）'!$B$65:$Y$65)+SUMPRODUCT(分期持仓明细!$AC$23:$AD$23,'实盘净值数据(iFinD）'!$Z906:$AA906/'实盘净值数据(iFinD）'!$Z$65:$AA$65))*(1-实盘持仓初始配置!$Z$7)^(('实盘净值数据(iFinD）'!$A906-'实盘净值数据(iFinD）'!$A$8)/365))</f>
        <v/>
      </c>
      <c r="L906" s="16" t="str">
        <f t="shared" si="87"/>
        <v/>
      </c>
      <c r="M906" s="16" t="str">
        <f>IF(K906="","",K906/MAX(K$5:K906)-1)</f>
        <v/>
      </c>
      <c r="N906" s="13" t="str">
        <f>IF(OR('实盘净值数据(iFinD）'!$A906="",'实盘净值数据(iFinD）'!$B906="",'实盘净值数据(iFinD）'!$Z906="",'实盘净值数据(iFinD）'!$AA906=""),"",分期持仓明细!$AB$24*(SUMPRODUCT(分期持仓明细!$B$24:$Y$24,'实盘净值数据(iFinD）'!$B906:$Y906/'实盘净值数据(iFinD）'!$B$65:$Y$65)+SUMPRODUCT(分期持仓明细!$AC$24:$AD$24,'实盘净值数据(iFinD）'!$Z906:$AA906/'实盘净值数据(iFinD）'!$Z$65:$AA$65))*(1-实盘持仓初始配置!$Z$8)^(('实盘净值数据(iFinD）'!$A906-'实盘净值数据(iFinD）'!$A$5)/365))</f>
        <v/>
      </c>
      <c r="O906" s="16" t="str">
        <f t="shared" si="88"/>
        <v/>
      </c>
      <c r="P906" s="16" t="str">
        <f>IF(N906="","",N906/MAX(N$5:N906)-1)</f>
        <v/>
      </c>
      <c r="Q906" s="13" t="str">
        <f>IF(OR('实盘净值数据(iFinD）'!$A906="",'实盘净值数据(iFinD）'!$B906="",'实盘净值数据(iFinD）'!$Z906="",'实盘净值数据(iFinD）'!$AA906=""),"",分期持仓明细!$AB$25*(SUMPRODUCT(分期持仓明细!$B$25:$Y$25,'实盘净值数据(iFinD）'!$B906:$Y906/'实盘净值数据(iFinD）'!$B$65:$Y$65)+SUMPRODUCT(分期持仓明细!$AC$25:$AD$25,'实盘净值数据(iFinD）'!$Z906:$AA906/'实盘净值数据(iFinD）'!$Z$65:$AA$65))*(1-实盘持仓初始配置!$Z$9)^(('实盘净值数据(iFinD）'!$A906-'实盘净值数据(iFinD）'!$A$8)/365))</f>
        <v/>
      </c>
      <c r="R906" s="16" t="str">
        <f t="shared" si="89"/>
        <v/>
      </c>
      <c r="S906" s="16" t="str">
        <f>IF(Q906="","",Q906/MAX(Q$5:Q906)-1)</f>
        <v/>
      </c>
      <c r="T906" s="13">
        <f>IF(OR('实盘净值数据(iFinD）'!$A906="",'实盘净值数据(iFinD）'!$B906="",'实盘净值数据(iFinD）'!$Z906="",'实盘净值数据(iFinD）'!$AA906="",'实盘净值数据(iFinD）'!$AB906="",'实盘净值数据(iFinD）'!$AL906=""),"",(SUMPRODUCT(分期持仓明细!$B$26:$Y$26,'实盘净值数据(iFinD）'!$B906:$Y906/'实盘净值数据(iFinD）'!$B$69:$Y$69)+SUMPRODUCT(分期持仓明细!$AC$26:$AD$26,'实盘净值数据(iFinD）'!$Z906:$AA906/'实盘净值数据(iFinD）'!$Z$69:$AA$69)+SUMPRODUCT(分期持仓明细!$AE$26:$AO$26,'实盘净值数据(iFinD）'!$AB906:$AL906/'实盘净值数据(iFinD）'!$AB$69:$AL$69))*(1-实盘持仓初始配置!$Z$10)^(('实盘净值数据(iFinD）'!$A906-'实盘净值数据(iFinD）'!$A$69)/365))</f>
        <v/>
      </c>
      <c r="U906" s="16">
        <f>IF(OR(T905="",T906=""),"",T906/T905-1)</f>
        <v/>
      </c>
      <c r="V906" s="16">
        <f>IF(T906="","",T906/MAX(T$5:T906)-1)</f>
        <v/>
      </c>
    </row>
    <row r="907" spans="1:19">
      <c r="A907" s="15" t="str">
        <f>IF('实盘净值数据(iFinD）'!A907="","",'实盘净值数据(iFinD）'!A907)</f>
        <v/>
      </c>
      <c r="B907" s="13" t="str">
        <f>IF(OR('实盘净值数据(iFinD）'!$A907="",'实盘净值数据(iFinD）'!$B907=""),"",分期持仓明细!$AB$17*SUMPRODUCT(分期持仓明细!$B$17:$Y$17,'实盘净值数据(iFinD）'!$B907:$Y907/'实盘净值数据(iFinD）'!$B$20:$Y$20)*(1-实盘持仓初始配置!$Z$4)^(('实盘净值数据(iFinD）'!$A907-'实盘净值数据(iFinD）'!$A$6)/365))</f>
        <v/>
      </c>
      <c r="C907" s="16" t="str">
        <f t="shared" si="84"/>
        <v/>
      </c>
      <c r="D907" s="16" t="str">
        <f>IF(B907="","",B907/MAX(B$5:B907)-1)</f>
        <v/>
      </c>
      <c r="E907" s="13" t="str">
        <f>IF(OR('实盘净值数据(iFinD）'!$A907="",'实盘净值数据(iFinD）'!$B907=""),"",分期持仓明细!$AB$18*SUMPRODUCT(分期持仓明细!$B$18:$Y$18,'实盘净值数据(iFinD）'!$B907:$Y907/'实盘净值数据(iFinD）'!$B$20:$Y$20)*(1-实盘持仓初始配置!$Z$5)^(('实盘净值数据(iFinD）'!$A907-'实盘净值数据(iFinD）'!$A$5)/365))</f>
        <v/>
      </c>
      <c r="F907" s="16" t="str">
        <f t="shared" si="85"/>
        <v/>
      </c>
      <c r="G907" s="16" t="str">
        <f>IF(E907="","",E907/MAX(E$5:E907)-1)</f>
        <v/>
      </c>
      <c r="H907" s="13" t="str">
        <f>IF(OR('实盘净值数据(iFinD）'!$A907="",'实盘净值数据(iFinD）'!$B907=""),"",分期持仓明细!$AB$19*SUMPRODUCT(分期持仓明细!$B$19:$Y$19,'实盘净值数据(iFinD）'!$B907:$Y907/'实盘净值数据(iFinD）'!$B$20:$Y$20)*(1-实盘持仓初始配置!$Z$6)^(('实盘净值数据(iFinD）'!$A907-'实盘净值数据(iFinD）'!$A$7)/365))</f>
        <v/>
      </c>
      <c r="I907" s="16" t="str">
        <f t="shared" si="86"/>
        <v/>
      </c>
      <c r="J907" s="16" t="str">
        <f>IF(H907="","",H907/MAX(H$5:H907)-1)</f>
        <v/>
      </c>
      <c r="K907" s="13" t="str">
        <f>IF(OR('实盘净值数据(iFinD）'!$A907="",'实盘净值数据(iFinD）'!$B907="",'实盘净值数据(iFinD）'!$Z907="",'实盘净值数据(iFinD）'!$AA907=""),"",分期持仓明细!$AB$23*(SUMPRODUCT(分期持仓明细!$B$23:$Y$23,'实盘净值数据(iFinD）'!$B907:$Y907/'实盘净值数据(iFinD）'!$B$65:$Y$65)+SUMPRODUCT(分期持仓明细!$AC$23:$AD$23,'实盘净值数据(iFinD）'!$Z907:$AA907/'实盘净值数据(iFinD）'!$Z$65:$AA$65))*(1-实盘持仓初始配置!$Z$7)^(('实盘净值数据(iFinD）'!$A907-'实盘净值数据(iFinD）'!$A$8)/365))</f>
        <v/>
      </c>
      <c r="L907" s="16" t="str">
        <f t="shared" si="87"/>
        <v/>
      </c>
      <c r="M907" s="16" t="str">
        <f>IF(K907="","",K907/MAX(K$5:K907)-1)</f>
        <v/>
      </c>
      <c r="N907" s="13" t="str">
        <f>IF(OR('实盘净值数据(iFinD）'!$A907="",'实盘净值数据(iFinD）'!$B907="",'实盘净值数据(iFinD）'!$Z907="",'实盘净值数据(iFinD）'!$AA907=""),"",分期持仓明细!$AB$24*(SUMPRODUCT(分期持仓明细!$B$24:$Y$24,'实盘净值数据(iFinD）'!$B907:$Y907/'实盘净值数据(iFinD）'!$B$65:$Y$65)+SUMPRODUCT(分期持仓明细!$AC$24:$AD$24,'实盘净值数据(iFinD）'!$Z907:$AA907/'实盘净值数据(iFinD）'!$Z$65:$AA$65))*(1-实盘持仓初始配置!$Z$8)^(('实盘净值数据(iFinD）'!$A907-'实盘净值数据(iFinD）'!$A$5)/365))</f>
        <v/>
      </c>
      <c r="O907" s="16" t="str">
        <f t="shared" si="88"/>
        <v/>
      </c>
      <c r="P907" s="16" t="str">
        <f>IF(N907="","",N907/MAX(N$5:N907)-1)</f>
        <v/>
      </c>
      <c r="Q907" s="13" t="str">
        <f>IF(OR('实盘净值数据(iFinD）'!$A907="",'实盘净值数据(iFinD）'!$B907="",'实盘净值数据(iFinD）'!$Z907="",'实盘净值数据(iFinD）'!$AA907=""),"",分期持仓明细!$AB$25*(SUMPRODUCT(分期持仓明细!$B$25:$Y$25,'实盘净值数据(iFinD）'!$B907:$Y907/'实盘净值数据(iFinD）'!$B$65:$Y$65)+SUMPRODUCT(分期持仓明细!$AC$25:$AD$25,'实盘净值数据(iFinD）'!$Z907:$AA907/'实盘净值数据(iFinD）'!$Z$65:$AA$65))*(1-实盘持仓初始配置!$Z$9)^(('实盘净值数据(iFinD）'!$A907-'实盘净值数据(iFinD）'!$A$8)/365))</f>
        <v/>
      </c>
      <c r="R907" s="16" t="str">
        <f t="shared" si="89"/>
        <v/>
      </c>
      <c r="S907" s="16" t="str">
        <f>IF(Q907="","",Q907/MAX(Q$5:Q907)-1)</f>
        <v/>
      </c>
      <c r="T907" s="13">
        <f>IF(OR('实盘净值数据(iFinD）'!$A907="",'实盘净值数据(iFinD）'!$B907="",'实盘净值数据(iFinD）'!$Z907="",'实盘净值数据(iFinD）'!$AA907="",'实盘净值数据(iFinD）'!$AB907="",'实盘净值数据(iFinD）'!$AL907=""),"",(SUMPRODUCT(分期持仓明细!$B$26:$Y$26,'实盘净值数据(iFinD）'!$B907:$Y907/'实盘净值数据(iFinD）'!$B$69:$Y$69)+SUMPRODUCT(分期持仓明细!$AC$26:$AD$26,'实盘净值数据(iFinD）'!$Z907:$AA907/'实盘净值数据(iFinD）'!$Z$69:$AA$69)+SUMPRODUCT(分期持仓明细!$AE$26:$AO$26,'实盘净值数据(iFinD）'!$AB907:$AL907/'实盘净值数据(iFinD）'!$AB$69:$AL$69))*(1-实盘持仓初始配置!$Z$10)^(('实盘净值数据(iFinD）'!$A907-'实盘净值数据(iFinD）'!$A$69)/365))</f>
        <v/>
      </c>
      <c r="U907" s="16">
        <f>IF(OR(T906="",T907=""),"",T907/T906-1)</f>
        <v/>
      </c>
      <c r="V907" s="16">
        <f>IF(T907="","",T907/MAX(T$5:T907)-1)</f>
        <v/>
      </c>
    </row>
    <row r="908" spans="1:19">
      <c r="A908" s="15" t="str">
        <f>IF('实盘净值数据(iFinD）'!A908="","",'实盘净值数据(iFinD）'!A908)</f>
        <v/>
      </c>
      <c r="B908" s="13" t="str">
        <f>IF(OR('实盘净值数据(iFinD）'!$A908="",'实盘净值数据(iFinD）'!$B908=""),"",分期持仓明细!$AB$17*SUMPRODUCT(分期持仓明细!$B$17:$Y$17,'实盘净值数据(iFinD）'!$B908:$Y908/'实盘净值数据(iFinD）'!$B$20:$Y$20)*(1-实盘持仓初始配置!$Z$4)^(('实盘净值数据(iFinD）'!$A908-'实盘净值数据(iFinD）'!$A$6)/365))</f>
        <v/>
      </c>
      <c r="C908" s="16" t="str">
        <f t="shared" si="84"/>
        <v/>
      </c>
      <c r="D908" s="16" t="str">
        <f>IF(B908="","",B908/MAX(B$5:B908)-1)</f>
        <v/>
      </c>
      <c r="E908" s="13" t="str">
        <f>IF(OR('实盘净值数据(iFinD）'!$A908="",'实盘净值数据(iFinD）'!$B908=""),"",分期持仓明细!$AB$18*SUMPRODUCT(分期持仓明细!$B$18:$Y$18,'实盘净值数据(iFinD）'!$B908:$Y908/'实盘净值数据(iFinD）'!$B$20:$Y$20)*(1-实盘持仓初始配置!$Z$5)^(('实盘净值数据(iFinD）'!$A908-'实盘净值数据(iFinD）'!$A$5)/365))</f>
        <v/>
      </c>
      <c r="F908" s="16" t="str">
        <f t="shared" si="85"/>
        <v/>
      </c>
      <c r="G908" s="16" t="str">
        <f>IF(E908="","",E908/MAX(E$5:E908)-1)</f>
        <v/>
      </c>
      <c r="H908" s="13" t="str">
        <f>IF(OR('实盘净值数据(iFinD）'!$A908="",'实盘净值数据(iFinD）'!$B908=""),"",分期持仓明细!$AB$19*SUMPRODUCT(分期持仓明细!$B$19:$Y$19,'实盘净值数据(iFinD）'!$B908:$Y908/'实盘净值数据(iFinD）'!$B$20:$Y$20)*(1-实盘持仓初始配置!$Z$6)^(('实盘净值数据(iFinD）'!$A908-'实盘净值数据(iFinD）'!$A$7)/365))</f>
        <v/>
      </c>
      <c r="I908" s="16" t="str">
        <f t="shared" si="86"/>
        <v/>
      </c>
      <c r="J908" s="16" t="str">
        <f>IF(H908="","",H908/MAX(H$5:H908)-1)</f>
        <v/>
      </c>
      <c r="K908" s="13" t="str">
        <f>IF(OR('实盘净值数据(iFinD）'!$A908="",'实盘净值数据(iFinD）'!$B908="",'实盘净值数据(iFinD）'!$Z908="",'实盘净值数据(iFinD）'!$AA908=""),"",分期持仓明细!$AB$23*(SUMPRODUCT(分期持仓明细!$B$23:$Y$23,'实盘净值数据(iFinD）'!$B908:$Y908/'实盘净值数据(iFinD）'!$B$65:$Y$65)+SUMPRODUCT(分期持仓明细!$AC$23:$AD$23,'实盘净值数据(iFinD）'!$Z908:$AA908/'实盘净值数据(iFinD）'!$Z$65:$AA$65))*(1-实盘持仓初始配置!$Z$7)^(('实盘净值数据(iFinD）'!$A908-'实盘净值数据(iFinD）'!$A$8)/365))</f>
        <v/>
      </c>
      <c r="L908" s="16" t="str">
        <f t="shared" si="87"/>
        <v/>
      </c>
      <c r="M908" s="16" t="str">
        <f>IF(K908="","",K908/MAX(K$5:K908)-1)</f>
        <v/>
      </c>
      <c r="N908" s="13" t="str">
        <f>IF(OR('实盘净值数据(iFinD）'!$A908="",'实盘净值数据(iFinD）'!$B908="",'实盘净值数据(iFinD）'!$Z908="",'实盘净值数据(iFinD）'!$AA908=""),"",分期持仓明细!$AB$24*(SUMPRODUCT(分期持仓明细!$B$24:$Y$24,'实盘净值数据(iFinD）'!$B908:$Y908/'实盘净值数据(iFinD）'!$B$65:$Y$65)+SUMPRODUCT(分期持仓明细!$AC$24:$AD$24,'实盘净值数据(iFinD）'!$Z908:$AA908/'实盘净值数据(iFinD）'!$Z$65:$AA$65))*(1-实盘持仓初始配置!$Z$8)^(('实盘净值数据(iFinD）'!$A908-'实盘净值数据(iFinD）'!$A$5)/365))</f>
        <v/>
      </c>
      <c r="O908" s="16" t="str">
        <f t="shared" si="88"/>
        <v/>
      </c>
      <c r="P908" s="16" t="str">
        <f>IF(N908="","",N908/MAX(N$5:N908)-1)</f>
        <v/>
      </c>
      <c r="Q908" s="13" t="str">
        <f>IF(OR('实盘净值数据(iFinD）'!$A908="",'实盘净值数据(iFinD）'!$B908="",'实盘净值数据(iFinD）'!$Z908="",'实盘净值数据(iFinD）'!$AA908=""),"",分期持仓明细!$AB$25*(SUMPRODUCT(分期持仓明细!$B$25:$Y$25,'实盘净值数据(iFinD）'!$B908:$Y908/'实盘净值数据(iFinD）'!$B$65:$Y$65)+SUMPRODUCT(分期持仓明细!$AC$25:$AD$25,'实盘净值数据(iFinD）'!$Z908:$AA908/'实盘净值数据(iFinD）'!$Z$65:$AA$65))*(1-实盘持仓初始配置!$Z$9)^(('实盘净值数据(iFinD）'!$A908-'实盘净值数据(iFinD）'!$A$8)/365))</f>
        <v/>
      </c>
      <c r="R908" s="16" t="str">
        <f t="shared" si="89"/>
        <v/>
      </c>
      <c r="S908" s="16" t="str">
        <f>IF(Q908="","",Q908/MAX(Q$5:Q908)-1)</f>
        <v/>
      </c>
      <c r="T908" s="13">
        <f>IF(OR('实盘净值数据(iFinD）'!$A908="",'实盘净值数据(iFinD）'!$B908="",'实盘净值数据(iFinD）'!$Z908="",'实盘净值数据(iFinD）'!$AA908="",'实盘净值数据(iFinD）'!$AB908="",'实盘净值数据(iFinD）'!$AL908=""),"",(SUMPRODUCT(分期持仓明细!$B$26:$Y$26,'实盘净值数据(iFinD）'!$B908:$Y908/'实盘净值数据(iFinD）'!$B$69:$Y$69)+SUMPRODUCT(分期持仓明细!$AC$26:$AD$26,'实盘净值数据(iFinD）'!$Z908:$AA908/'实盘净值数据(iFinD）'!$Z$69:$AA$69)+SUMPRODUCT(分期持仓明细!$AE$26:$AO$26,'实盘净值数据(iFinD）'!$AB908:$AL908/'实盘净值数据(iFinD）'!$AB$69:$AL$69))*(1-实盘持仓初始配置!$Z$10)^(('实盘净值数据(iFinD）'!$A908-'实盘净值数据(iFinD）'!$A$69)/365))</f>
        <v/>
      </c>
      <c r="U908" s="16">
        <f>IF(OR(T907="",T908=""),"",T908/T907-1)</f>
        <v/>
      </c>
      <c r="V908" s="16">
        <f>IF(T908="","",T908/MAX(T$5:T908)-1)</f>
        <v/>
      </c>
    </row>
    <row r="909" spans="1:19">
      <c r="A909" s="15" t="str">
        <f>IF('实盘净值数据(iFinD）'!A909="","",'实盘净值数据(iFinD）'!A909)</f>
        <v/>
      </c>
      <c r="B909" s="13" t="str">
        <f>IF(OR('实盘净值数据(iFinD）'!$A909="",'实盘净值数据(iFinD）'!$B909=""),"",分期持仓明细!$AB$17*SUMPRODUCT(分期持仓明细!$B$17:$Y$17,'实盘净值数据(iFinD）'!$B909:$Y909/'实盘净值数据(iFinD）'!$B$20:$Y$20)*(1-实盘持仓初始配置!$Z$4)^(('实盘净值数据(iFinD）'!$A909-'实盘净值数据(iFinD）'!$A$6)/365))</f>
        <v/>
      </c>
      <c r="C909" s="16" t="str">
        <f t="shared" si="84"/>
        <v/>
      </c>
      <c r="D909" s="16" t="str">
        <f>IF(B909="","",B909/MAX(B$5:B909)-1)</f>
        <v/>
      </c>
      <c r="E909" s="13" t="str">
        <f>IF(OR('实盘净值数据(iFinD）'!$A909="",'实盘净值数据(iFinD）'!$B909=""),"",分期持仓明细!$AB$18*SUMPRODUCT(分期持仓明细!$B$18:$Y$18,'实盘净值数据(iFinD）'!$B909:$Y909/'实盘净值数据(iFinD）'!$B$20:$Y$20)*(1-实盘持仓初始配置!$Z$5)^(('实盘净值数据(iFinD）'!$A909-'实盘净值数据(iFinD）'!$A$5)/365))</f>
        <v/>
      </c>
      <c r="F909" s="16" t="str">
        <f t="shared" si="85"/>
        <v/>
      </c>
      <c r="G909" s="16" t="str">
        <f>IF(E909="","",E909/MAX(E$5:E909)-1)</f>
        <v/>
      </c>
      <c r="H909" s="13" t="str">
        <f>IF(OR('实盘净值数据(iFinD）'!$A909="",'实盘净值数据(iFinD）'!$B909=""),"",分期持仓明细!$AB$19*SUMPRODUCT(分期持仓明细!$B$19:$Y$19,'实盘净值数据(iFinD）'!$B909:$Y909/'实盘净值数据(iFinD）'!$B$20:$Y$20)*(1-实盘持仓初始配置!$Z$6)^(('实盘净值数据(iFinD）'!$A909-'实盘净值数据(iFinD）'!$A$7)/365))</f>
        <v/>
      </c>
      <c r="I909" s="16" t="str">
        <f t="shared" si="86"/>
        <v/>
      </c>
      <c r="J909" s="16" t="str">
        <f>IF(H909="","",H909/MAX(H$5:H909)-1)</f>
        <v/>
      </c>
      <c r="K909" s="13" t="str">
        <f>IF(OR('实盘净值数据(iFinD）'!$A909="",'实盘净值数据(iFinD）'!$B909="",'实盘净值数据(iFinD）'!$Z909="",'实盘净值数据(iFinD）'!$AA909=""),"",分期持仓明细!$AB$23*(SUMPRODUCT(分期持仓明细!$B$23:$Y$23,'实盘净值数据(iFinD）'!$B909:$Y909/'实盘净值数据(iFinD）'!$B$65:$Y$65)+SUMPRODUCT(分期持仓明细!$AC$23:$AD$23,'实盘净值数据(iFinD）'!$Z909:$AA909/'实盘净值数据(iFinD）'!$Z$65:$AA$65))*(1-实盘持仓初始配置!$Z$7)^(('实盘净值数据(iFinD）'!$A909-'实盘净值数据(iFinD）'!$A$8)/365))</f>
        <v/>
      </c>
      <c r="L909" s="16" t="str">
        <f t="shared" si="87"/>
        <v/>
      </c>
      <c r="M909" s="16" t="str">
        <f>IF(K909="","",K909/MAX(K$5:K909)-1)</f>
        <v/>
      </c>
      <c r="N909" s="13" t="str">
        <f>IF(OR('实盘净值数据(iFinD）'!$A909="",'实盘净值数据(iFinD）'!$B909="",'实盘净值数据(iFinD）'!$Z909="",'实盘净值数据(iFinD）'!$AA909=""),"",分期持仓明细!$AB$24*(SUMPRODUCT(分期持仓明细!$B$24:$Y$24,'实盘净值数据(iFinD）'!$B909:$Y909/'实盘净值数据(iFinD）'!$B$65:$Y$65)+SUMPRODUCT(分期持仓明细!$AC$24:$AD$24,'实盘净值数据(iFinD）'!$Z909:$AA909/'实盘净值数据(iFinD）'!$Z$65:$AA$65))*(1-实盘持仓初始配置!$Z$8)^(('实盘净值数据(iFinD）'!$A909-'实盘净值数据(iFinD）'!$A$5)/365))</f>
        <v/>
      </c>
      <c r="O909" s="16" t="str">
        <f t="shared" si="88"/>
        <v/>
      </c>
      <c r="P909" s="16" t="str">
        <f>IF(N909="","",N909/MAX(N$5:N909)-1)</f>
        <v/>
      </c>
      <c r="Q909" s="13" t="str">
        <f>IF(OR('实盘净值数据(iFinD）'!$A909="",'实盘净值数据(iFinD）'!$B909="",'实盘净值数据(iFinD）'!$Z909="",'实盘净值数据(iFinD）'!$AA909=""),"",分期持仓明细!$AB$25*(SUMPRODUCT(分期持仓明细!$B$25:$Y$25,'实盘净值数据(iFinD）'!$B909:$Y909/'实盘净值数据(iFinD）'!$B$65:$Y$65)+SUMPRODUCT(分期持仓明细!$AC$25:$AD$25,'实盘净值数据(iFinD）'!$Z909:$AA909/'实盘净值数据(iFinD）'!$Z$65:$AA$65))*(1-实盘持仓初始配置!$Z$9)^(('实盘净值数据(iFinD）'!$A909-'实盘净值数据(iFinD）'!$A$8)/365))</f>
        <v/>
      </c>
      <c r="R909" s="16" t="str">
        <f t="shared" si="89"/>
        <v/>
      </c>
      <c r="S909" s="16" t="str">
        <f>IF(Q909="","",Q909/MAX(Q$5:Q909)-1)</f>
        <v/>
      </c>
      <c r="T909" s="13">
        <f>IF(OR('实盘净值数据(iFinD）'!$A909="",'实盘净值数据(iFinD）'!$B909="",'实盘净值数据(iFinD）'!$Z909="",'实盘净值数据(iFinD）'!$AA909="",'实盘净值数据(iFinD）'!$AB909="",'实盘净值数据(iFinD）'!$AL909=""),"",(SUMPRODUCT(分期持仓明细!$B$26:$Y$26,'实盘净值数据(iFinD）'!$B909:$Y909/'实盘净值数据(iFinD）'!$B$69:$Y$69)+SUMPRODUCT(分期持仓明细!$AC$26:$AD$26,'实盘净值数据(iFinD）'!$Z909:$AA909/'实盘净值数据(iFinD）'!$Z$69:$AA$69)+SUMPRODUCT(分期持仓明细!$AE$26:$AO$26,'实盘净值数据(iFinD）'!$AB909:$AL909/'实盘净值数据(iFinD）'!$AB$69:$AL$69))*(1-实盘持仓初始配置!$Z$10)^(('实盘净值数据(iFinD）'!$A909-'实盘净值数据(iFinD）'!$A$69)/365))</f>
        <v/>
      </c>
      <c r="U909" s="16">
        <f>IF(OR(T908="",T909=""),"",T909/T908-1)</f>
        <v/>
      </c>
      <c r="V909" s="16">
        <f>IF(T909="","",T909/MAX(T$5:T909)-1)</f>
        <v/>
      </c>
    </row>
    <row r="910" spans="1:19">
      <c r="A910" s="15" t="str">
        <f>IF('实盘净值数据(iFinD）'!A910="","",'实盘净值数据(iFinD）'!A910)</f>
        <v/>
      </c>
      <c r="B910" s="13" t="str">
        <f>IF(OR('实盘净值数据(iFinD）'!$A910="",'实盘净值数据(iFinD）'!$B910=""),"",分期持仓明细!$AB$17*SUMPRODUCT(分期持仓明细!$B$17:$Y$17,'实盘净值数据(iFinD）'!$B910:$Y910/'实盘净值数据(iFinD）'!$B$20:$Y$20)*(1-实盘持仓初始配置!$Z$4)^(('实盘净值数据(iFinD）'!$A910-'实盘净值数据(iFinD）'!$A$6)/365))</f>
        <v/>
      </c>
      <c r="C910" s="16" t="str">
        <f t="shared" si="84"/>
        <v/>
      </c>
      <c r="D910" s="16" t="str">
        <f>IF(B910="","",B910/MAX(B$5:B910)-1)</f>
        <v/>
      </c>
      <c r="E910" s="13" t="str">
        <f>IF(OR('实盘净值数据(iFinD）'!$A910="",'实盘净值数据(iFinD）'!$B910=""),"",分期持仓明细!$AB$18*SUMPRODUCT(分期持仓明细!$B$18:$Y$18,'实盘净值数据(iFinD）'!$B910:$Y910/'实盘净值数据(iFinD）'!$B$20:$Y$20)*(1-实盘持仓初始配置!$Z$5)^(('实盘净值数据(iFinD）'!$A910-'实盘净值数据(iFinD）'!$A$5)/365))</f>
        <v/>
      </c>
      <c r="F910" s="16" t="str">
        <f t="shared" si="85"/>
        <v/>
      </c>
      <c r="G910" s="16" t="str">
        <f>IF(E910="","",E910/MAX(E$5:E910)-1)</f>
        <v/>
      </c>
      <c r="H910" s="13" t="str">
        <f>IF(OR('实盘净值数据(iFinD）'!$A910="",'实盘净值数据(iFinD）'!$B910=""),"",分期持仓明细!$AB$19*SUMPRODUCT(分期持仓明细!$B$19:$Y$19,'实盘净值数据(iFinD）'!$B910:$Y910/'实盘净值数据(iFinD）'!$B$20:$Y$20)*(1-实盘持仓初始配置!$Z$6)^(('实盘净值数据(iFinD）'!$A910-'实盘净值数据(iFinD）'!$A$7)/365))</f>
        <v/>
      </c>
      <c r="I910" s="16" t="str">
        <f t="shared" si="86"/>
        <v/>
      </c>
      <c r="J910" s="16" t="str">
        <f>IF(H910="","",H910/MAX(H$5:H910)-1)</f>
        <v/>
      </c>
      <c r="K910" s="13" t="str">
        <f>IF(OR('实盘净值数据(iFinD）'!$A910="",'实盘净值数据(iFinD）'!$B910="",'实盘净值数据(iFinD）'!$Z910="",'实盘净值数据(iFinD）'!$AA910=""),"",分期持仓明细!$AB$23*(SUMPRODUCT(分期持仓明细!$B$23:$Y$23,'实盘净值数据(iFinD）'!$B910:$Y910/'实盘净值数据(iFinD）'!$B$65:$Y$65)+SUMPRODUCT(分期持仓明细!$AC$23:$AD$23,'实盘净值数据(iFinD）'!$Z910:$AA910/'实盘净值数据(iFinD）'!$Z$65:$AA$65))*(1-实盘持仓初始配置!$Z$7)^(('实盘净值数据(iFinD）'!$A910-'实盘净值数据(iFinD）'!$A$8)/365))</f>
        <v/>
      </c>
      <c r="L910" s="16" t="str">
        <f t="shared" si="87"/>
        <v/>
      </c>
      <c r="M910" s="16" t="str">
        <f>IF(K910="","",K910/MAX(K$5:K910)-1)</f>
        <v/>
      </c>
      <c r="N910" s="13" t="str">
        <f>IF(OR('实盘净值数据(iFinD）'!$A910="",'实盘净值数据(iFinD）'!$B910="",'实盘净值数据(iFinD）'!$Z910="",'实盘净值数据(iFinD）'!$AA910=""),"",分期持仓明细!$AB$24*(SUMPRODUCT(分期持仓明细!$B$24:$Y$24,'实盘净值数据(iFinD）'!$B910:$Y910/'实盘净值数据(iFinD）'!$B$65:$Y$65)+SUMPRODUCT(分期持仓明细!$AC$24:$AD$24,'实盘净值数据(iFinD）'!$Z910:$AA910/'实盘净值数据(iFinD）'!$Z$65:$AA$65))*(1-实盘持仓初始配置!$Z$8)^(('实盘净值数据(iFinD）'!$A910-'实盘净值数据(iFinD）'!$A$5)/365))</f>
        <v/>
      </c>
      <c r="O910" s="16" t="str">
        <f t="shared" si="88"/>
        <v/>
      </c>
      <c r="P910" s="16" t="str">
        <f>IF(N910="","",N910/MAX(N$5:N910)-1)</f>
        <v/>
      </c>
      <c r="Q910" s="13" t="str">
        <f>IF(OR('实盘净值数据(iFinD）'!$A910="",'实盘净值数据(iFinD）'!$B910="",'实盘净值数据(iFinD）'!$Z910="",'实盘净值数据(iFinD）'!$AA910=""),"",分期持仓明细!$AB$25*(SUMPRODUCT(分期持仓明细!$B$25:$Y$25,'实盘净值数据(iFinD）'!$B910:$Y910/'实盘净值数据(iFinD）'!$B$65:$Y$65)+SUMPRODUCT(分期持仓明细!$AC$25:$AD$25,'实盘净值数据(iFinD）'!$Z910:$AA910/'实盘净值数据(iFinD）'!$Z$65:$AA$65))*(1-实盘持仓初始配置!$Z$9)^(('实盘净值数据(iFinD）'!$A910-'实盘净值数据(iFinD）'!$A$8)/365))</f>
        <v/>
      </c>
      <c r="R910" s="16" t="str">
        <f t="shared" si="89"/>
        <v/>
      </c>
      <c r="S910" s="16" t="str">
        <f>IF(Q910="","",Q910/MAX(Q$5:Q910)-1)</f>
        <v/>
      </c>
      <c r="T910" s="13">
        <f>IF(OR('实盘净值数据(iFinD）'!$A910="",'实盘净值数据(iFinD）'!$B910="",'实盘净值数据(iFinD）'!$Z910="",'实盘净值数据(iFinD）'!$AA910="",'实盘净值数据(iFinD）'!$AB910="",'实盘净值数据(iFinD）'!$AL910=""),"",(SUMPRODUCT(分期持仓明细!$B$26:$Y$26,'实盘净值数据(iFinD）'!$B910:$Y910/'实盘净值数据(iFinD）'!$B$69:$Y$69)+SUMPRODUCT(分期持仓明细!$AC$26:$AD$26,'实盘净值数据(iFinD）'!$Z910:$AA910/'实盘净值数据(iFinD）'!$Z$69:$AA$69)+SUMPRODUCT(分期持仓明细!$AE$26:$AO$26,'实盘净值数据(iFinD）'!$AB910:$AL910/'实盘净值数据(iFinD）'!$AB$69:$AL$69))*(1-实盘持仓初始配置!$Z$10)^(('实盘净值数据(iFinD）'!$A910-'实盘净值数据(iFinD）'!$A$69)/365))</f>
        <v/>
      </c>
      <c r="U910" s="16">
        <f>IF(OR(T909="",T910=""),"",T910/T909-1)</f>
        <v/>
      </c>
      <c r="V910" s="16">
        <f>IF(T910="","",T910/MAX(T$5:T910)-1)</f>
        <v/>
      </c>
    </row>
    <row r="911" spans="1:19">
      <c r="A911" s="15" t="str">
        <f>IF('实盘净值数据(iFinD）'!A911="","",'实盘净值数据(iFinD）'!A911)</f>
        <v/>
      </c>
      <c r="B911" s="13" t="str">
        <f>IF(OR('实盘净值数据(iFinD）'!$A911="",'实盘净值数据(iFinD）'!$B911=""),"",分期持仓明细!$AB$17*SUMPRODUCT(分期持仓明细!$B$17:$Y$17,'实盘净值数据(iFinD）'!$B911:$Y911/'实盘净值数据(iFinD）'!$B$20:$Y$20)*(1-实盘持仓初始配置!$Z$4)^(('实盘净值数据(iFinD）'!$A911-'实盘净值数据(iFinD）'!$A$6)/365))</f>
        <v/>
      </c>
      <c r="C911" s="16" t="str">
        <f t="shared" si="84"/>
        <v/>
      </c>
      <c r="D911" s="16" t="str">
        <f>IF(B911="","",B911/MAX(B$5:B911)-1)</f>
        <v/>
      </c>
      <c r="E911" s="13" t="str">
        <f>IF(OR('实盘净值数据(iFinD）'!$A911="",'实盘净值数据(iFinD）'!$B911=""),"",分期持仓明细!$AB$18*SUMPRODUCT(分期持仓明细!$B$18:$Y$18,'实盘净值数据(iFinD）'!$B911:$Y911/'实盘净值数据(iFinD）'!$B$20:$Y$20)*(1-实盘持仓初始配置!$Z$5)^(('实盘净值数据(iFinD）'!$A911-'实盘净值数据(iFinD）'!$A$5)/365))</f>
        <v/>
      </c>
      <c r="F911" s="16" t="str">
        <f t="shared" si="85"/>
        <v/>
      </c>
      <c r="G911" s="16" t="str">
        <f>IF(E911="","",E911/MAX(E$5:E911)-1)</f>
        <v/>
      </c>
      <c r="H911" s="13" t="str">
        <f>IF(OR('实盘净值数据(iFinD）'!$A911="",'实盘净值数据(iFinD）'!$B911=""),"",分期持仓明细!$AB$19*SUMPRODUCT(分期持仓明细!$B$19:$Y$19,'实盘净值数据(iFinD）'!$B911:$Y911/'实盘净值数据(iFinD）'!$B$20:$Y$20)*(1-实盘持仓初始配置!$Z$6)^(('实盘净值数据(iFinD）'!$A911-'实盘净值数据(iFinD）'!$A$7)/365))</f>
        <v/>
      </c>
      <c r="I911" s="16" t="str">
        <f t="shared" si="86"/>
        <v/>
      </c>
      <c r="J911" s="16" t="str">
        <f>IF(H911="","",H911/MAX(H$5:H911)-1)</f>
        <v/>
      </c>
      <c r="K911" s="13" t="str">
        <f>IF(OR('实盘净值数据(iFinD）'!$A911="",'实盘净值数据(iFinD）'!$B911="",'实盘净值数据(iFinD）'!$Z911="",'实盘净值数据(iFinD）'!$AA911=""),"",分期持仓明细!$AB$23*(SUMPRODUCT(分期持仓明细!$B$23:$Y$23,'实盘净值数据(iFinD）'!$B911:$Y911/'实盘净值数据(iFinD）'!$B$65:$Y$65)+SUMPRODUCT(分期持仓明细!$AC$23:$AD$23,'实盘净值数据(iFinD）'!$Z911:$AA911/'实盘净值数据(iFinD）'!$Z$65:$AA$65))*(1-实盘持仓初始配置!$Z$7)^(('实盘净值数据(iFinD）'!$A911-'实盘净值数据(iFinD）'!$A$8)/365))</f>
        <v/>
      </c>
      <c r="L911" s="16" t="str">
        <f t="shared" si="87"/>
        <v/>
      </c>
      <c r="M911" s="16" t="str">
        <f>IF(K911="","",K911/MAX(K$5:K911)-1)</f>
        <v/>
      </c>
      <c r="N911" s="13" t="str">
        <f>IF(OR('实盘净值数据(iFinD）'!$A911="",'实盘净值数据(iFinD）'!$B911="",'实盘净值数据(iFinD）'!$Z911="",'实盘净值数据(iFinD）'!$AA911=""),"",分期持仓明细!$AB$24*(SUMPRODUCT(分期持仓明细!$B$24:$Y$24,'实盘净值数据(iFinD）'!$B911:$Y911/'实盘净值数据(iFinD）'!$B$65:$Y$65)+SUMPRODUCT(分期持仓明细!$AC$24:$AD$24,'实盘净值数据(iFinD）'!$Z911:$AA911/'实盘净值数据(iFinD）'!$Z$65:$AA$65))*(1-实盘持仓初始配置!$Z$8)^(('实盘净值数据(iFinD）'!$A911-'实盘净值数据(iFinD）'!$A$5)/365))</f>
        <v/>
      </c>
      <c r="O911" s="16" t="str">
        <f t="shared" si="88"/>
        <v/>
      </c>
      <c r="P911" s="16" t="str">
        <f>IF(N911="","",N911/MAX(N$5:N911)-1)</f>
        <v/>
      </c>
      <c r="Q911" s="13" t="str">
        <f>IF(OR('实盘净值数据(iFinD）'!$A911="",'实盘净值数据(iFinD）'!$B911="",'实盘净值数据(iFinD）'!$Z911="",'实盘净值数据(iFinD）'!$AA911=""),"",分期持仓明细!$AB$25*(SUMPRODUCT(分期持仓明细!$B$25:$Y$25,'实盘净值数据(iFinD）'!$B911:$Y911/'实盘净值数据(iFinD）'!$B$65:$Y$65)+SUMPRODUCT(分期持仓明细!$AC$25:$AD$25,'实盘净值数据(iFinD）'!$Z911:$AA911/'实盘净值数据(iFinD）'!$Z$65:$AA$65))*(1-实盘持仓初始配置!$Z$9)^(('实盘净值数据(iFinD）'!$A911-'实盘净值数据(iFinD）'!$A$8)/365))</f>
        <v/>
      </c>
      <c r="R911" s="16" t="str">
        <f t="shared" si="89"/>
        <v/>
      </c>
      <c r="S911" s="16" t="str">
        <f>IF(Q911="","",Q911/MAX(Q$5:Q911)-1)</f>
        <v/>
      </c>
      <c r="T911" s="13">
        <f>IF(OR('实盘净值数据(iFinD）'!$A911="",'实盘净值数据(iFinD）'!$B911="",'实盘净值数据(iFinD）'!$Z911="",'实盘净值数据(iFinD）'!$AA911="",'实盘净值数据(iFinD）'!$AB911="",'实盘净值数据(iFinD）'!$AL911=""),"",(SUMPRODUCT(分期持仓明细!$B$26:$Y$26,'实盘净值数据(iFinD）'!$B911:$Y911/'实盘净值数据(iFinD）'!$B$69:$Y$69)+SUMPRODUCT(分期持仓明细!$AC$26:$AD$26,'实盘净值数据(iFinD）'!$Z911:$AA911/'实盘净值数据(iFinD）'!$Z$69:$AA$69)+SUMPRODUCT(分期持仓明细!$AE$26:$AO$26,'实盘净值数据(iFinD）'!$AB911:$AL911/'实盘净值数据(iFinD）'!$AB$69:$AL$69))*(1-实盘持仓初始配置!$Z$10)^(('实盘净值数据(iFinD）'!$A911-'实盘净值数据(iFinD）'!$A$69)/365))</f>
        <v/>
      </c>
      <c r="U911" s="16">
        <f>IF(OR(T910="",T911=""),"",T911/T910-1)</f>
        <v/>
      </c>
      <c r="V911" s="16">
        <f>IF(T911="","",T911/MAX(T$5:T911)-1)</f>
        <v/>
      </c>
    </row>
    <row r="912" spans="1:19">
      <c r="A912" s="15" t="str">
        <f>IF('实盘净值数据(iFinD）'!A912="","",'实盘净值数据(iFinD）'!A912)</f>
        <v/>
      </c>
      <c r="B912" s="13" t="str">
        <f>IF(OR('实盘净值数据(iFinD）'!$A912="",'实盘净值数据(iFinD）'!$B912=""),"",分期持仓明细!$AB$17*SUMPRODUCT(分期持仓明细!$B$17:$Y$17,'实盘净值数据(iFinD）'!$B912:$Y912/'实盘净值数据(iFinD）'!$B$20:$Y$20)*(1-实盘持仓初始配置!$Z$4)^(('实盘净值数据(iFinD）'!$A912-'实盘净值数据(iFinD）'!$A$6)/365))</f>
        <v/>
      </c>
      <c r="C912" s="16" t="str">
        <f t="shared" si="84"/>
        <v/>
      </c>
      <c r="D912" s="16" t="str">
        <f>IF(B912="","",B912/MAX(B$5:B912)-1)</f>
        <v/>
      </c>
      <c r="E912" s="13" t="str">
        <f>IF(OR('实盘净值数据(iFinD）'!$A912="",'实盘净值数据(iFinD）'!$B912=""),"",分期持仓明细!$AB$18*SUMPRODUCT(分期持仓明细!$B$18:$Y$18,'实盘净值数据(iFinD）'!$B912:$Y912/'实盘净值数据(iFinD）'!$B$20:$Y$20)*(1-实盘持仓初始配置!$Z$5)^(('实盘净值数据(iFinD）'!$A912-'实盘净值数据(iFinD）'!$A$5)/365))</f>
        <v/>
      </c>
      <c r="F912" s="16" t="str">
        <f t="shared" si="85"/>
        <v/>
      </c>
      <c r="G912" s="16" t="str">
        <f>IF(E912="","",E912/MAX(E$5:E912)-1)</f>
        <v/>
      </c>
      <c r="H912" s="13" t="str">
        <f>IF(OR('实盘净值数据(iFinD）'!$A912="",'实盘净值数据(iFinD）'!$B912=""),"",分期持仓明细!$AB$19*SUMPRODUCT(分期持仓明细!$B$19:$Y$19,'实盘净值数据(iFinD）'!$B912:$Y912/'实盘净值数据(iFinD）'!$B$20:$Y$20)*(1-实盘持仓初始配置!$Z$6)^(('实盘净值数据(iFinD）'!$A912-'实盘净值数据(iFinD）'!$A$7)/365))</f>
        <v/>
      </c>
      <c r="I912" s="16" t="str">
        <f t="shared" si="86"/>
        <v/>
      </c>
      <c r="J912" s="16" t="str">
        <f>IF(H912="","",H912/MAX(H$5:H912)-1)</f>
        <v/>
      </c>
      <c r="K912" s="13" t="str">
        <f>IF(OR('实盘净值数据(iFinD）'!$A912="",'实盘净值数据(iFinD）'!$B912="",'实盘净值数据(iFinD）'!$Z912="",'实盘净值数据(iFinD）'!$AA912=""),"",分期持仓明细!$AB$23*(SUMPRODUCT(分期持仓明细!$B$23:$Y$23,'实盘净值数据(iFinD）'!$B912:$Y912/'实盘净值数据(iFinD）'!$B$65:$Y$65)+SUMPRODUCT(分期持仓明细!$AC$23:$AD$23,'实盘净值数据(iFinD）'!$Z912:$AA912/'实盘净值数据(iFinD）'!$Z$65:$AA$65))*(1-实盘持仓初始配置!$Z$7)^(('实盘净值数据(iFinD）'!$A912-'实盘净值数据(iFinD）'!$A$8)/365))</f>
        <v/>
      </c>
      <c r="L912" s="16" t="str">
        <f t="shared" si="87"/>
        <v/>
      </c>
      <c r="M912" s="16" t="str">
        <f>IF(K912="","",K912/MAX(K$5:K912)-1)</f>
        <v/>
      </c>
      <c r="N912" s="13" t="str">
        <f>IF(OR('实盘净值数据(iFinD）'!$A912="",'实盘净值数据(iFinD）'!$B912="",'实盘净值数据(iFinD）'!$Z912="",'实盘净值数据(iFinD）'!$AA912=""),"",分期持仓明细!$AB$24*(SUMPRODUCT(分期持仓明细!$B$24:$Y$24,'实盘净值数据(iFinD）'!$B912:$Y912/'实盘净值数据(iFinD）'!$B$65:$Y$65)+SUMPRODUCT(分期持仓明细!$AC$24:$AD$24,'实盘净值数据(iFinD）'!$Z912:$AA912/'实盘净值数据(iFinD）'!$Z$65:$AA$65))*(1-实盘持仓初始配置!$Z$8)^(('实盘净值数据(iFinD）'!$A912-'实盘净值数据(iFinD）'!$A$5)/365))</f>
        <v/>
      </c>
      <c r="O912" s="16" t="str">
        <f t="shared" si="88"/>
        <v/>
      </c>
      <c r="P912" s="16" t="str">
        <f>IF(N912="","",N912/MAX(N$5:N912)-1)</f>
        <v/>
      </c>
      <c r="Q912" s="13" t="str">
        <f>IF(OR('实盘净值数据(iFinD）'!$A912="",'实盘净值数据(iFinD）'!$B912="",'实盘净值数据(iFinD）'!$Z912="",'实盘净值数据(iFinD）'!$AA912=""),"",分期持仓明细!$AB$25*(SUMPRODUCT(分期持仓明细!$B$25:$Y$25,'实盘净值数据(iFinD）'!$B912:$Y912/'实盘净值数据(iFinD）'!$B$65:$Y$65)+SUMPRODUCT(分期持仓明细!$AC$25:$AD$25,'实盘净值数据(iFinD）'!$Z912:$AA912/'实盘净值数据(iFinD）'!$Z$65:$AA$65))*(1-实盘持仓初始配置!$Z$9)^(('实盘净值数据(iFinD）'!$A912-'实盘净值数据(iFinD）'!$A$8)/365))</f>
        <v/>
      </c>
      <c r="R912" s="16" t="str">
        <f t="shared" si="89"/>
        <v/>
      </c>
      <c r="S912" s="16" t="str">
        <f>IF(Q912="","",Q912/MAX(Q$5:Q912)-1)</f>
        <v/>
      </c>
      <c r="T912" s="13">
        <f>IF(OR('实盘净值数据(iFinD）'!$A912="",'实盘净值数据(iFinD）'!$B912="",'实盘净值数据(iFinD）'!$Z912="",'实盘净值数据(iFinD）'!$AA912="",'实盘净值数据(iFinD）'!$AB912="",'实盘净值数据(iFinD）'!$AL912=""),"",(SUMPRODUCT(分期持仓明细!$B$26:$Y$26,'实盘净值数据(iFinD）'!$B912:$Y912/'实盘净值数据(iFinD）'!$B$69:$Y$69)+SUMPRODUCT(分期持仓明细!$AC$26:$AD$26,'实盘净值数据(iFinD）'!$Z912:$AA912/'实盘净值数据(iFinD）'!$Z$69:$AA$69)+SUMPRODUCT(分期持仓明细!$AE$26:$AO$26,'实盘净值数据(iFinD）'!$AB912:$AL912/'实盘净值数据(iFinD）'!$AB$69:$AL$69))*(1-实盘持仓初始配置!$Z$10)^(('实盘净值数据(iFinD）'!$A912-'实盘净值数据(iFinD）'!$A$69)/365))</f>
        <v/>
      </c>
      <c r="U912" s="16">
        <f>IF(OR(T911="",T912=""),"",T912/T911-1)</f>
        <v/>
      </c>
      <c r="V912" s="16">
        <f>IF(T912="","",T912/MAX(T$5:T912)-1)</f>
        <v/>
      </c>
    </row>
    <row r="913" spans="1:19">
      <c r="A913" s="15" t="str">
        <f>IF('实盘净值数据(iFinD）'!A913="","",'实盘净值数据(iFinD）'!A913)</f>
        <v/>
      </c>
      <c r="B913" s="13" t="str">
        <f>IF(OR('实盘净值数据(iFinD）'!$A913="",'实盘净值数据(iFinD）'!$B913=""),"",分期持仓明细!$AB$17*SUMPRODUCT(分期持仓明细!$B$17:$Y$17,'实盘净值数据(iFinD）'!$B913:$Y913/'实盘净值数据(iFinD）'!$B$20:$Y$20)*(1-实盘持仓初始配置!$Z$4)^(('实盘净值数据(iFinD）'!$A913-'实盘净值数据(iFinD）'!$A$6)/365))</f>
        <v/>
      </c>
      <c r="C913" s="16" t="str">
        <f t="shared" si="84"/>
        <v/>
      </c>
      <c r="D913" s="16" t="str">
        <f>IF(B913="","",B913/MAX(B$5:B913)-1)</f>
        <v/>
      </c>
      <c r="E913" s="13" t="str">
        <f>IF(OR('实盘净值数据(iFinD）'!$A913="",'实盘净值数据(iFinD）'!$B913=""),"",分期持仓明细!$AB$18*SUMPRODUCT(分期持仓明细!$B$18:$Y$18,'实盘净值数据(iFinD）'!$B913:$Y913/'实盘净值数据(iFinD）'!$B$20:$Y$20)*(1-实盘持仓初始配置!$Z$5)^(('实盘净值数据(iFinD）'!$A913-'实盘净值数据(iFinD）'!$A$5)/365))</f>
        <v/>
      </c>
      <c r="F913" s="16" t="str">
        <f t="shared" si="85"/>
        <v/>
      </c>
      <c r="G913" s="16" t="str">
        <f>IF(E913="","",E913/MAX(E$5:E913)-1)</f>
        <v/>
      </c>
      <c r="H913" s="13" t="str">
        <f>IF(OR('实盘净值数据(iFinD）'!$A913="",'实盘净值数据(iFinD）'!$B913=""),"",分期持仓明细!$AB$19*SUMPRODUCT(分期持仓明细!$B$19:$Y$19,'实盘净值数据(iFinD）'!$B913:$Y913/'实盘净值数据(iFinD）'!$B$20:$Y$20)*(1-实盘持仓初始配置!$Z$6)^(('实盘净值数据(iFinD）'!$A913-'实盘净值数据(iFinD）'!$A$7)/365))</f>
        <v/>
      </c>
      <c r="I913" s="16" t="str">
        <f t="shared" si="86"/>
        <v/>
      </c>
      <c r="J913" s="16" t="str">
        <f>IF(H913="","",H913/MAX(H$5:H913)-1)</f>
        <v/>
      </c>
      <c r="K913" s="13" t="str">
        <f>IF(OR('实盘净值数据(iFinD）'!$A913="",'实盘净值数据(iFinD）'!$B913="",'实盘净值数据(iFinD）'!$Z913="",'实盘净值数据(iFinD）'!$AA913=""),"",分期持仓明细!$AB$23*(SUMPRODUCT(分期持仓明细!$B$23:$Y$23,'实盘净值数据(iFinD）'!$B913:$Y913/'实盘净值数据(iFinD）'!$B$65:$Y$65)+SUMPRODUCT(分期持仓明细!$AC$23:$AD$23,'实盘净值数据(iFinD）'!$Z913:$AA913/'实盘净值数据(iFinD）'!$Z$65:$AA$65))*(1-实盘持仓初始配置!$Z$7)^(('实盘净值数据(iFinD）'!$A913-'实盘净值数据(iFinD）'!$A$8)/365))</f>
        <v/>
      </c>
      <c r="L913" s="16" t="str">
        <f t="shared" si="87"/>
        <v/>
      </c>
      <c r="M913" s="16" t="str">
        <f>IF(K913="","",K913/MAX(K$5:K913)-1)</f>
        <v/>
      </c>
      <c r="N913" s="13" t="str">
        <f>IF(OR('实盘净值数据(iFinD）'!$A913="",'实盘净值数据(iFinD）'!$B913="",'实盘净值数据(iFinD）'!$Z913="",'实盘净值数据(iFinD）'!$AA913=""),"",分期持仓明细!$AB$24*(SUMPRODUCT(分期持仓明细!$B$24:$Y$24,'实盘净值数据(iFinD）'!$B913:$Y913/'实盘净值数据(iFinD）'!$B$65:$Y$65)+SUMPRODUCT(分期持仓明细!$AC$24:$AD$24,'实盘净值数据(iFinD）'!$Z913:$AA913/'实盘净值数据(iFinD）'!$Z$65:$AA$65))*(1-实盘持仓初始配置!$Z$8)^(('实盘净值数据(iFinD）'!$A913-'实盘净值数据(iFinD）'!$A$5)/365))</f>
        <v/>
      </c>
      <c r="O913" s="16" t="str">
        <f t="shared" si="88"/>
        <v/>
      </c>
      <c r="P913" s="16" t="str">
        <f>IF(N913="","",N913/MAX(N$5:N913)-1)</f>
        <v/>
      </c>
      <c r="Q913" s="13" t="str">
        <f>IF(OR('实盘净值数据(iFinD）'!$A913="",'实盘净值数据(iFinD）'!$B913="",'实盘净值数据(iFinD）'!$Z913="",'实盘净值数据(iFinD）'!$AA913=""),"",分期持仓明细!$AB$25*(SUMPRODUCT(分期持仓明细!$B$25:$Y$25,'实盘净值数据(iFinD）'!$B913:$Y913/'实盘净值数据(iFinD）'!$B$65:$Y$65)+SUMPRODUCT(分期持仓明细!$AC$25:$AD$25,'实盘净值数据(iFinD）'!$Z913:$AA913/'实盘净值数据(iFinD）'!$Z$65:$AA$65))*(1-实盘持仓初始配置!$Z$9)^(('实盘净值数据(iFinD）'!$A913-'实盘净值数据(iFinD）'!$A$8)/365))</f>
        <v/>
      </c>
      <c r="R913" s="16" t="str">
        <f t="shared" si="89"/>
        <v/>
      </c>
      <c r="S913" s="16" t="str">
        <f>IF(Q913="","",Q913/MAX(Q$5:Q913)-1)</f>
        <v/>
      </c>
      <c r="T913" s="13">
        <f>IF(OR('实盘净值数据(iFinD）'!$A913="",'实盘净值数据(iFinD）'!$B913="",'实盘净值数据(iFinD）'!$Z913="",'实盘净值数据(iFinD）'!$AA913="",'实盘净值数据(iFinD）'!$AB913="",'实盘净值数据(iFinD）'!$AL913=""),"",(SUMPRODUCT(分期持仓明细!$B$26:$Y$26,'实盘净值数据(iFinD）'!$B913:$Y913/'实盘净值数据(iFinD）'!$B$69:$Y$69)+SUMPRODUCT(分期持仓明细!$AC$26:$AD$26,'实盘净值数据(iFinD）'!$Z913:$AA913/'实盘净值数据(iFinD）'!$Z$69:$AA$69)+SUMPRODUCT(分期持仓明细!$AE$26:$AO$26,'实盘净值数据(iFinD）'!$AB913:$AL913/'实盘净值数据(iFinD）'!$AB$69:$AL$69))*(1-实盘持仓初始配置!$Z$10)^(('实盘净值数据(iFinD）'!$A913-'实盘净值数据(iFinD）'!$A$69)/365))</f>
        <v/>
      </c>
      <c r="U913" s="16">
        <f>IF(OR(T912="",T913=""),"",T913/T912-1)</f>
        <v/>
      </c>
      <c r="V913" s="16">
        <f>IF(T913="","",T913/MAX(T$5:T913)-1)</f>
        <v/>
      </c>
    </row>
    <row r="914" spans="1:19">
      <c r="A914" s="15" t="str">
        <f>IF('实盘净值数据(iFinD）'!A914="","",'实盘净值数据(iFinD）'!A914)</f>
        <v/>
      </c>
      <c r="B914" s="13" t="str">
        <f>IF(OR('实盘净值数据(iFinD）'!$A914="",'实盘净值数据(iFinD）'!$B914=""),"",分期持仓明细!$AB$17*SUMPRODUCT(分期持仓明细!$B$17:$Y$17,'实盘净值数据(iFinD）'!$B914:$Y914/'实盘净值数据(iFinD）'!$B$20:$Y$20)*(1-实盘持仓初始配置!$Z$4)^(('实盘净值数据(iFinD）'!$A914-'实盘净值数据(iFinD）'!$A$6)/365))</f>
        <v/>
      </c>
      <c r="C914" s="16" t="str">
        <f t="shared" si="84"/>
        <v/>
      </c>
      <c r="D914" s="16" t="str">
        <f>IF(B914="","",B914/MAX(B$5:B914)-1)</f>
        <v/>
      </c>
      <c r="E914" s="13" t="str">
        <f>IF(OR('实盘净值数据(iFinD）'!$A914="",'实盘净值数据(iFinD）'!$B914=""),"",分期持仓明细!$AB$18*SUMPRODUCT(分期持仓明细!$B$18:$Y$18,'实盘净值数据(iFinD）'!$B914:$Y914/'实盘净值数据(iFinD）'!$B$20:$Y$20)*(1-实盘持仓初始配置!$Z$5)^(('实盘净值数据(iFinD）'!$A914-'实盘净值数据(iFinD）'!$A$5)/365))</f>
        <v/>
      </c>
      <c r="F914" s="16" t="str">
        <f t="shared" si="85"/>
        <v/>
      </c>
      <c r="G914" s="16" t="str">
        <f>IF(E914="","",E914/MAX(E$5:E914)-1)</f>
        <v/>
      </c>
      <c r="H914" s="13" t="str">
        <f>IF(OR('实盘净值数据(iFinD）'!$A914="",'实盘净值数据(iFinD）'!$B914=""),"",分期持仓明细!$AB$19*SUMPRODUCT(分期持仓明细!$B$19:$Y$19,'实盘净值数据(iFinD）'!$B914:$Y914/'实盘净值数据(iFinD）'!$B$20:$Y$20)*(1-实盘持仓初始配置!$Z$6)^(('实盘净值数据(iFinD）'!$A914-'实盘净值数据(iFinD）'!$A$7)/365))</f>
        <v/>
      </c>
      <c r="I914" s="16" t="str">
        <f t="shared" si="86"/>
        <v/>
      </c>
      <c r="J914" s="16" t="str">
        <f>IF(H914="","",H914/MAX(H$5:H914)-1)</f>
        <v/>
      </c>
      <c r="K914" s="13" t="str">
        <f>IF(OR('实盘净值数据(iFinD）'!$A914="",'实盘净值数据(iFinD）'!$B914="",'实盘净值数据(iFinD）'!$Z914="",'实盘净值数据(iFinD）'!$AA914=""),"",分期持仓明细!$AB$23*(SUMPRODUCT(分期持仓明细!$B$23:$Y$23,'实盘净值数据(iFinD）'!$B914:$Y914/'实盘净值数据(iFinD）'!$B$65:$Y$65)+SUMPRODUCT(分期持仓明细!$AC$23:$AD$23,'实盘净值数据(iFinD）'!$Z914:$AA914/'实盘净值数据(iFinD）'!$Z$65:$AA$65))*(1-实盘持仓初始配置!$Z$7)^(('实盘净值数据(iFinD）'!$A914-'实盘净值数据(iFinD）'!$A$8)/365))</f>
        <v/>
      </c>
      <c r="L914" s="16" t="str">
        <f t="shared" si="87"/>
        <v/>
      </c>
      <c r="M914" s="16" t="str">
        <f>IF(K914="","",K914/MAX(K$5:K914)-1)</f>
        <v/>
      </c>
      <c r="N914" s="13" t="str">
        <f>IF(OR('实盘净值数据(iFinD）'!$A914="",'实盘净值数据(iFinD）'!$B914="",'实盘净值数据(iFinD）'!$Z914="",'实盘净值数据(iFinD）'!$AA914=""),"",分期持仓明细!$AB$24*(SUMPRODUCT(分期持仓明细!$B$24:$Y$24,'实盘净值数据(iFinD）'!$B914:$Y914/'实盘净值数据(iFinD）'!$B$65:$Y$65)+SUMPRODUCT(分期持仓明细!$AC$24:$AD$24,'实盘净值数据(iFinD）'!$Z914:$AA914/'实盘净值数据(iFinD）'!$Z$65:$AA$65))*(1-实盘持仓初始配置!$Z$8)^(('实盘净值数据(iFinD）'!$A914-'实盘净值数据(iFinD）'!$A$5)/365))</f>
        <v/>
      </c>
      <c r="O914" s="16" t="str">
        <f t="shared" si="88"/>
        <v/>
      </c>
      <c r="P914" s="16" t="str">
        <f>IF(N914="","",N914/MAX(N$5:N914)-1)</f>
        <v/>
      </c>
      <c r="Q914" s="13" t="str">
        <f>IF(OR('实盘净值数据(iFinD）'!$A914="",'实盘净值数据(iFinD）'!$B914="",'实盘净值数据(iFinD）'!$Z914="",'实盘净值数据(iFinD）'!$AA914=""),"",分期持仓明细!$AB$25*(SUMPRODUCT(分期持仓明细!$B$25:$Y$25,'实盘净值数据(iFinD）'!$B914:$Y914/'实盘净值数据(iFinD）'!$B$65:$Y$65)+SUMPRODUCT(分期持仓明细!$AC$25:$AD$25,'实盘净值数据(iFinD）'!$Z914:$AA914/'实盘净值数据(iFinD）'!$Z$65:$AA$65))*(1-实盘持仓初始配置!$Z$9)^(('实盘净值数据(iFinD）'!$A914-'实盘净值数据(iFinD）'!$A$8)/365))</f>
        <v/>
      </c>
      <c r="R914" s="16" t="str">
        <f t="shared" si="89"/>
        <v/>
      </c>
      <c r="S914" s="16" t="str">
        <f>IF(Q914="","",Q914/MAX(Q$5:Q914)-1)</f>
        <v/>
      </c>
      <c r="T914" s="13">
        <f>IF(OR('实盘净值数据(iFinD）'!$A914="",'实盘净值数据(iFinD）'!$B914="",'实盘净值数据(iFinD）'!$Z914="",'实盘净值数据(iFinD）'!$AA914="",'实盘净值数据(iFinD）'!$AB914="",'实盘净值数据(iFinD）'!$AL914=""),"",(SUMPRODUCT(分期持仓明细!$B$26:$Y$26,'实盘净值数据(iFinD）'!$B914:$Y914/'实盘净值数据(iFinD）'!$B$69:$Y$69)+SUMPRODUCT(分期持仓明细!$AC$26:$AD$26,'实盘净值数据(iFinD）'!$Z914:$AA914/'实盘净值数据(iFinD）'!$Z$69:$AA$69)+SUMPRODUCT(分期持仓明细!$AE$26:$AO$26,'实盘净值数据(iFinD）'!$AB914:$AL914/'实盘净值数据(iFinD）'!$AB$69:$AL$69))*(1-实盘持仓初始配置!$Z$10)^(('实盘净值数据(iFinD）'!$A914-'实盘净值数据(iFinD）'!$A$69)/365))</f>
        <v/>
      </c>
      <c r="U914" s="16">
        <f>IF(OR(T913="",T914=""),"",T914/T913-1)</f>
        <v/>
      </c>
      <c r="V914" s="16">
        <f>IF(T914="","",T914/MAX(T$5:T914)-1)</f>
        <v/>
      </c>
    </row>
    <row r="915" spans="1:19">
      <c r="A915" s="15" t="str">
        <f>IF('实盘净值数据(iFinD）'!A915="","",'实盘净值数据(iFinD）'!A915)</f>
        <v/>
      </c>
      <c r="B915" s="13" t="str">
        <f>IF(OR('实盘净值数据(iFinD）'!$A915="",'实盘净值数据(iFinD）'!$B915=""),"",分期持仓明细!$AB$17*SUMPRODUCT(分期持仓明细!$B$17:$Y$17,'实盘净值数据(iFinD）'!$B915:$Y915/'实盘净值数据(iFinD）'!$B$20:$Y$20)*(1-实盘持仓初始配置!$Z$4)^(('实盘净值数据(iFinD）'!$A915-'实盘净值数据(iFinD）'!$A$6)/365))</f>
        <v/>
      </c>
      <c r="C915" s="16" t="str">
        <f t="shared" si="84"/>
        <v/>
      </c>
      <c r="D915" s="16" t="str">
        <f>IF(B915="","",B915/MAX(B$5:B915)-1)</f>
        <v/>
      </c>
      <c r="E915" s="13" t="str">
        <f>IF(OR('实盘净值数据(iFinD）'!$A915="",'实盘净值数据(iFinD）'!$B915=""),"",分期持仓明细!$AB$18*SUMPRODUCT(分期持仓明细!$B$18:$Y$18,'实盘净值数据(iFinD）'!$B915:$Y915/'实盘净值数据(iFinD）'!$B$20:$Y$20)*(1-实盘持仓初始配置!$Z$5)^(('实盘净值数据(iFinD）'!$A915-'实盘净值数据(iFinD）'!$A$5)/365))</f>
        <v/>
      </c>
      <c r="F915" s="16" t="str">
        <f t="shared" si="85"/>
        <v/>
      </c>
      <c r="G915" s="16" t="str">
        <f>IF(E915="","",E915/MAX(E$5:E915)-1)</f>
        <v/>
      </c>
      <c r="H915" s="13" t="str">
        <f>IF(OR('实盘净值数据(iFinD）'!$A915="",'实盘净值数据(iFinD）'!$B915=""),"",分期持仓明细!$AB$19*SUMPRODUCT(分期持仓明细!$B$19:$Y$19,'实盘净值数据(iFinD）'!$B915:$Y915/'实盘净值数据(iFinD）'!$B$20:$Y$20)*(1-实盘持仓初始配置!$Z$6)^(('实盘净值数据(iFinD）'!$A915-'实盘净值数据(iFinD）'!$A$7)/365))</f>
        <v/>
      </c>
      <c r="I915" s="16" t="str">
        <f t="shared" si="86"/>
        <v/>
      </c>
      <c r="J915" s="16" t="str">
        <f>IF(H915="","",H915/MAX(H$5:H915)-1)</f>
        <v/>
      </c>
      <c r="K915" s="13" t="str">
        <f>IF(OR('实盘净值数据(iFinD）'!$A915="",'实盘净值数据(iFinD）'!$B915="",'实盘净值数据(iFinD）'!$Z915="",'实盘净值数据(iFinD）'!$AA915=""),"",分期持仓明细!$AB$23*(SUMPRODUCT(分期持仓明细!$B$23:$Y$23,'实盘净值数据(iFinD）'!$B915:$Y915/'实盘净值数据(iFinD）'!$B$65:$Y$65)+SUMPRODUCT(分期持仓明细!$AC$23:$AD$23,'实盘净值数据(iFinD）'!$Z915:$AA915/'实盘净值数据(iFinD）'!$Z$65:$AA$65))*(1-实盘持仓初始配置!$Z$7)^(('实盘净值数据(iFinD）'!$A915-'实盘净值数据(iFinD）'!$A$8)/365))</f>
        <v/>
      </c>
      <c r="L915" s="16" t="str">
        <f t="shared" si="87"/>
        <v/>
      </c>
      <c r="M915" s="16" t="str">
        <f>IF(K915="","",K915/MAX(K$5:K915)-1)</f>
        <v/>
      </c>
      <c r="N915" s="13" t="str">
        <f>IF(OR('实盘净值数据(iFinD）'!$A915="",'实盘净值数据(iFinD）'!$B915="",'实盘净值数据(iFinD）'!$Z915="",'实盘净值数据(iFinD）'!$AA915=""),"",分期持仓明细!$AB$24*(SUMPRODUCT(分期持仓明细!$B$24:$Y$24,'实盘净值数据(iFinD）'!$B915:$Y915/'实盘净值数据(iFinD）'!$B$65:$Y$65)+SUMPRODUCT(分期持仓明细!$AC$24:$AD$24,'实盘净值数据(iFinD）'!$Z915:$AA915/'实盘净值数据(iFinD）'!$Z$65:$AA$65))*(1-实盘持仓初始配置!$Z$8)^(('实盘净值数据(iFinD）'!$A915-'实盘净值数据(iFinD）'!$A$5)/365))</f>
        <v/>
      </c>
      <c r="O915" s="16" t="str">
        <f t="shared" si="88"/>
        <v/>
      </c>
      <c r="P915" s="16" t="str">
        <f>IF(N915="","",N915/MAX(N$5:N915)-1)</f>
        <v/>
      </c>
      <c r="Q915" s="13" t="str">
        <f>IF(OR('实盘净值数据(iFinD）'!$A915="",'实盘净值数据(iFinD）'!$B915="",'实盘净值数据(iFinD）'!$Z915="",'实盘净值数据(iFinD）'!$AA915=""),"",分期持仓明细!$AB$25*(SUMPRODUCT(分期持仓明细!$B$25:$Y$25,'实盘净值数据(iFinD）'!$B915:$Y915/'实盘净值数据(iFinD）'!$B$65:$Y$65)+SUMPRODUCT(分期持仓明细!$AC$25:$AD$25,'实盘净值数据(iFinD）'!$Z915:$AA915/'实盘净值数据(iFinD）'!$Z$65:$AA$65))*(1-实盘持仓初始配置!$Z$9)^(('实盘净值数据(iFinD）'!$A915-'实盘净值数据(iFinD）'!$A$8)/365))</f>
        <v/>
      </c>
      <c r="R915" s="16" t="str">
        <f t="shared" si="89"/>
        <v/>
      </c>
      <c r="S915" s="16" t="str">
        <f>IF(Q915="","",Q915/MAX(Q$5:Q915)-1)</f>
        <v/>
      </c>
      <c r="T915" s="13">
        <f>IF(OR('实盘净值数据(iFinD）'!$A915="",'实盘净值数据(iFinD）'!$B915="",'实盘净值数据(iFinD）'!$Z915="",'实盘净值数据(iFinD）'!$AA915="",'实盘净值数据(iFinD）'!$AB915="",'实盘净值数据(iFinD）'!$AL915=""),"",(SUMPRODUCT(分期持仓明细!$B$26:$Y$26,'实盘净值数据(iFinD）'!$B915:$Y915/'实盘净值数据(iFinD）'!$B$69:$Y$69)+SUMPRODUCT(分期持仓明细!$AC$26:$AD$26,'实盘净值数据(iFinD）'!$Z915:$AA915/'实盘净值数据(iFinD）'!$Z$69:$AA$69)+SUMPRODUCT(分期持仓明细!$AE$26:$AO$26,'实盘净值数据(iFinD）'!$AB915:$AL915/'实盘净值数据(iFinD）'!$AB$69:$AL$69))*(1-实盘持仓初始配置!$Z$10)^(('实盘净值数据(iFinD）'!$A915-'实盘净值数据(iFinD）'!$A$69)/365))</f>
        <v/>
      </c>
      <c r="U915" s="16">
        <f>IF(OR(T914="",T915=""),"",T915/T914-1)</f>
        <v/>
      </c>
      <c r="V915" s="16">
        <f>IF(T915="","",T915/MAX(T$5:T915)-1)</f>
        <v/>
      </c>
    </row>
    <row r="916" spans="1:19">
      <c r="A916" s="15" t="str">
        <f>IF('实盘净值数据(iFinD）'!A916="","",'实盘净值数据(iFinD）'!A916)</f>
        <v/>
      </c>
      <c r="B916" s="13" t="str">
        <f>IF(OR('实盘净值数据(iFinD）'!$A916="",'实盘净值数据(iFinD）'!$B916=""),"",分期持仓明细!$AB$17*SUMPRODUCT(分期持仓明细!$B$17:$Y$17,'实盘净值数据(iFinD）'!$B916:$Y916/'实盘净值数据(iFinD）'!$B$20:$Y$20)*(1-实盘持仓初始配置!$Z$4)^(('实盘净值数据(iFinD）'!$A916-'实盘净值数据(iFinD）'!$A$6)/365))</f>
        <v/>
      </c>
      <c r="C916" s="16" t="str">
        <f t="shared" si="84"/>
        <v/>
      </c>
      <c r="D916" s="16" t="str">
        <f>IF(B916="","",B916/MAX(B$5:B916)-1)</f>
        <v/>
      </c>
      <c r="E916" s="13" t="str">
        <f>IF(OR('实盘净值数据(iFinD）'!$A916="",'实盘净值数据(iFinD）'!$B916=""),"",分期持仓明细!$AB$18*SUMPRODUCT(分期持仓明细!$B$18:$Y$18,'实盘净值数据(iFinD）'!$B916:$Y916/'实盘净值数据(iFinD）'!$B$20:$Y$20)*(1-实盘持仓初始配置!$Z$5)^(('实盘净值数据(iFinD）'!$A916-'实盘净值数据(iFinD）'!$A$5)/365))</f>
        <v/>
      </c>
      <c r="F916" s="16" t="str">
        <f t="shared" si="85"/>
        <v/>
      </c>
      <c r="G916" s="16" t="str">
        <f>IF(E916="","",E916/MAX(E$5:E916)-1)</f>
        <v/>
      </c>
      <c r="H916" s="13" t="str">
        <f>IF(OR('实盘净值数据(iFinD）'!$A916="",'实盘净值数据(iFinD）'!$B916=""),"",分期持仓明细!$AB$19*SUMPRODUCT(分期持仓明细!$B$19:$Y$19,'实盘净值数据(iFinD）'!$B916:$Y916/'实盘净值数据(iFinD）'!$B$20:$Y$20)*(1-实盘持仓初始配置!$Z$6)^(('实盘净值数据(iFinD）'!$A916-'实盘净值数据(iFinD）'!$A$7)/365))</f>
        <v/>
      </c>
      <c r="I916" s="16" t="str">
        <f t="shared" si="86"/>
        <v/>
      </c>
      <c r="J916" s="16" t="str">
        <f>IF(H916="","",H916/MAX(H$5:H916)-1)</f>
        <v/>
      </c>
      <c r="K916" s="13" t="str">
        <f>IF(OR('实盘净值数据(iFinD）'!$A916="",'实盘净值数据(iFinD）'!$B916="",'实盘净值数据(iFinD）'!$Z916="",'实盘净值数据(iFinD）'!$AA916=""),"",分期持仓明细!$AB$23*(SUMPRODUCT(分期持仓明细!$B$23:$Y$23,'实盘净值数据(iFinD）'!$B916:$Y916/'实盘净值数据(iFinD）'!$B$65:$Y$65)+SUMPRODUCT(分期持仓明细!$AC$23:$AD$23,'实盘净值数据(iFinD）'!$Z916:$AA916/'实盘净值数据(iFinD）'!$Z$65:$AA$65))*(1-实盘持仓初始配置!$Z$7)^(('实盘净值数据(iFinD）'!$A916-'实盘净值数据(iFinD）'!$A$8)/365))</f>
        <v/>
      </c>
      <c r="L916" s="16" t="str">
        <f t="shared" si="87"/>
        <v/>
      </c>
      <c r="M916" s="16" t="str">
        <f>IF(K916="","",K916/MAX(K$5:K916)-1)</f>
        <v/>
      </c>
      <c r="N916" s="13" t="str">
        <f>IF(OR('实盘净值数据(iFinD）'!$A916="",'实盘净值数据(iFinD）'!$B916="",'实盘净值数据(iFinD）'!$Z916="",'实盘净值数据(iFinD）'!$AA916=""),"",分期持仓明细!$AB$24*(SUMPRODUCT(分期持仓明细!$B$24:$Y$24,'实盘净值数据(iFinD）'!$B916:$Y916/'实盘净值数据(iFinD）'!$B$65:$Y$65)+SUMPRODUCT(分期持仓明细!$AC$24:$AD$24,'实盘净值数据(iFinD）'!$Z916:$AA916/'实盘净值数据(iFinD）'!$Z$65:$AA$65))*(1-实盘持仓初始配置!$Z$8)^(('实盘净值数据(iFinD）'!$A916-'实盘净值数据(iFinD）'!$A$5)/365))</f>
        <v/>
      </c>
      <c r="O916" s="16" t="str">
        <f t="shared" si="88"/>
        <v/>
      </c>
      <c r="P916" s="16" t="str">
        <f>IF(N916="","",N916/MAX(N$5:N916)-1)</f>
        <v/>
      </c>
      <c r="Q916" s="13" t="str">
        <f>IF(OR('实盘净值数据(iFinD）'!$A916="",'实盘净值数据(iFinD）'!$B916="",'实盘净值数据(iFinD）'!$Z916="",'实盘净值数据(iFinD）'!$AA916=""),"",分期持仓明细!$AB$25*(SUMPRODUCT(分期持仓明细!$B$25:$Y$25,'实盘净值数据(iFinD）'!$B916:$Y916/'实盘净值数据(iFinD）'!$B$65:$Y$65)+SUMPRODUCT(分期持仓明细!$AC$25:$AD$25,'实盘净值数据(iFinD）'!$Z916:$AA916/'实盘净值数据(iFinD）'!$Z$65:$AA$65))*(1-实盘持仓初始配置!$Z$9)^(('实盘净值数据(iFinD）'!$A916-'实盘净值数据(iFinD）'!$A$8)/365))</f>
        <v/>
      </c>
      <c r="R916" s="16" t="str">
        <f t="shared" si="89"/>
        <v/>
      </c>
      <c r="S916" s="16" t="str">
        <f>IF(Q916="","",Q916/MAX(Q$5:Q916)-1)</f>
        <v/>
      </c>
      <c r="T916" s="13">
        <f>IF(OR('实盘净值数据(iFinD）'!$A916="",'实盘净值数据(iFinD）'!$B916="",'实盘净值数据(iFinD）'!$Z916="",'实盘净值数据(iFinD）'!$AA916="",'实盘净值数据(iFinD）'!$AB916="",'实盘净值数据(iFinD）'!$AL916=""),"",(SUMPRODUCT(分期持仓明细!$B$26:$Y$26,'实盘净值数据(iFinD）'!$B916:$Y916/'实盘净值数据(iFinD）'!$B$69:$Y$69)+SUMPRODUCT(分期持仓明细!$AC$26:$AD$26,'实盘净值数据(iFinD）'!$Z916:$AA916/'实盘净值数据(iFinD）'!$Z$69:$AA$69)+SUMPRODUCT(分期持仓明细!$AE$26:$AO$26,'实盘净值数据(iFinD）'!$AB916:$AL916/'实盘净值数据(iFinD）'!$AB$69:$AL$69))*(1-实盘持仓初始配置!$Z$10)^(('实盘净值数据(iFinD）'!$A916-'实盘净值数据(iFinD）'!$A$69)/365))</f>
        <v/>
      </c>
      <c r="U916" s="16">
        <f>IF(OR(T915="",T916=""),"",T916/T915-1)</f>
        <v/>
      </c>
      <c r="V916" s="16">
        <f>IF(T916="","",T916/MAX(T$5:T916)-1)</f>
        <v/>
      </c>
    </row>
    <row r="917" spans="1:19">
      <c r="A917" s="15" t="str">
        <f>IF('实盘净值数据(iFinD）'!A917="","",'实盘净值数据(iFinD）'!A917)</f>
        <v/>
      </c>
      <c r="B917" s="13" t="str">
        <f>IF(OR('实盘净值数据(iFinD）'!$A917="",'实盘净值数据(iFinD）'!$B917=""),"",分期持仓明细!$AB$17*SUMPRODUCT(分期持仓明细!$B$17:$Y$17,'实盘净值数据(iFinD）'!$B917:$Y917/'实盘净值数据(iFinD）'!$B$20:$Y$20)*(1-实盘持仓初始配置!$Z$4)^(('实盘净值数据(iFinD）'!$A917-'实盘净值数据(iFinD）'!$A$6)/365))</f>
        <v/>
      </c>
      <c r="C917" s="16" t="str">
        <f t="shared" si="84"/>
        <v/>
      </c>
      <c r="D917" s="16" t="str">
        <f>IF(B917="","",B917/MAX(B$5:B917)-1)</f>
        <v/>
      </c>
      <c r="E917" s="13" t="str">
        <f>IF(OR('实盘净值数据(iFinD）'!$A917="",'实盘净值数据(iFinD）'!$B917=""),"",分期持仓明细!$AB$18*SUMPRODUCT(分期持仓明细!$B$18:$Y$18,'实盘净值数据(iFinD）'!$B917:$Y917/'实盘净值数据(iFinD）'!$B$20:$Y$20)*(1-实盘持仓初始配置!$Z$5)^(('实盘净值数据(iFinD）'!$A917-'实盘净值数据(iFinD）'!$A$5)/365))</f>
        <v/>
      </c>
      <c r="F917" s="16" t="str">
        <f t="shared" si="85"/>
        <v/>
      </c>
      <c r="G917" s="16" t="str">
        <f>IF(E917="","",E917/MAX(E$5:E917)-1)</f>
        <v/>
      </c>
      <c r="H917" s="13" t="str">
        <f>IF(OR('实盘净值数据(iFinD）'!$A917="",'实盘净值数据(iFinD）'!$B917=""),"",分期持仓明细!$AB$19*SUMPRODUCT(分期持仓明细!$B$19:$Y$19,'实盘净值数据(iFinD）'!$B917:$Y917/'实盘净值数据(iFinD）'!$B$20:$Y$20)*(1-实盘持仓初始配置!$Z$6)^(('实盘净值数据(iFinD）'!$A917-'实盘净值数据(iFinD）'!$A$7)/365))</f>
        <v/>
      </c>
      <c r="I917" s="16" t="str">
        <f t="shared" si="86"/>
        <v/>
      </c>
      <c r="J917" s="16" t="str">
        <f>IF(H917="","",H917/MAX(H$5:H917)-1)</f>
        <v/>
      </c>
      <c r="K917" s="13" t="str">
        <f>IF(OR('实盘净值数据(iFinD）'!$A917="",'实盘净值数据(iFinD）'!$B917="",'实盘净值数据(iFinD）'!$Z917="",'实盘净值数据(iFinD）'!$AA917=""),"",分期持仓明细!$AB$23*(SUMPRODUCT(分期持仓明细!$B$23:$Y$23,'实盘净值数据(iFinD）'!$B917:$Y917/'实盘净值数据(iFinD）'!$B$65:$Y$65)+SUMPRODUCT(分期持仓明细!$AC$23:$AD$23,'实盘净值数据(iFinD）'!$Z917:$AA917/'实盘净值数据(iFinD）'!$Z$65:$AA$65))*(1-实盘持仓初始配置!$Z$7)^(('实盘净值数据(iFinD）'!$A917-'实盘净值数据(iFinD）'!$A$8)/365))</f>
        <v/>
      </c>
      <c r="L917" s="16" t="str">
        <f t="shared" si="87"/>
        <v/>
      </c>
      <c r="M917" s="16" t="str">
        <f>IF(K917="","",K917/MAX(K$5:K917)-1)</f>
        <v/>
      </c>
      <c r="N917" s="13" t="str">
        <f>IF(OR('实盘净值数据(iFinD）'!$A917="",'实盘净值数据(iFinD）'!$B917="",'实盘净值数据(iFinD）'!$Z917="",'实盘净值数据(iFinD）'!$AA917=""),"",分期持仓明细!$AB$24*(SUMPRODUCT(分期持仓明细!$B$24:$Y$24,'实盘净值数据(iFinD）'!$B917:$Y917/'实盘净值数据(iFinD）'!$B$65:$Y$65)+SUMPRODUCT(分期持仓明细!$AC$24:$AD$24,'实盘净值数据(iFinD）'!$Z917:$AA917/'实盘净值数据(iFinD）'!$Z$65:$AA$65))*(1-实盘持仓初始配置!$Z$8)^(('实盘净值数据(iFinD）'!$A917-'实盘净值数据(iFinD）'!$A$5)/365))</f>
        <v/>
      </c>
      <c r="O917" s="16" t="str">
        <f t="shared" si="88"/>
        <v/>
      </c>
      <c r="P917" s="16" t="str">
        <f>IF(N917="","",N917/MAX(N$5:N917)-1)</f>
        <v/>
      </c>
      <c r="Q917" s="13" t="str">
        <f>IF(OR('实盘净值数据(iFinD）'!$A917="",'实盘净值数据(iFinD）'!$B917="",'实盘净值数据(iFinD）'!$Z917="",'实盘净值数据(iFinD）'!$AA917=""),"",分期持仓明细!$AB$25*(SUMPRODUCT(分期持仓明细!$B$25:$Y$25,'实盘净值数据(iFinD）'!$B917:$Y917/'实盘净值数据(iFinD）'!$B$65:$Y$65)+SUMPRODUCT(分期持仓明细!$AC$25:$AD$25,'实盘净值数据(iFinD）'!$Z917:$AA917/'实盘净值数据(iFinD）'!$Z$65:$AA$65))*(1-实盘持仓初始配置!$Z$9)^(('实盘净值数据(iFinD）'!$A917-'实盘净值数据(iFinD）'!$A$8)/365))</f>
        <v/>
      </c>
      <c r="R917" s="16" t="str">
        <f t="shared" si="89"/>
        <v/>
      </c>
      <c r="S917" s="16" t="str">
        <f>IF(Q917="","",Q917/MAX(Q$5:Q917)-1)</f>
        <v/>
      </c>
      <c r="T917" s="13">
        <f>IF(OR('实盘净值数据(iFinD）'!$A917="",'实盘净值数据(iFinD）'!$B917="",'实盘净值数据(iFinD）'!$Z917="",'实盘净值数据(iFinD）'!$AA917="",'实盘净值数据(iFinD）'!$AB917="",'实盘净值数据(iFinD）'!$AL917=""),"",(SUMPRODUCT(分期持仓明细!$B$26:$Y$26,'实盘净值数据(iFinD）'!$B917:$Y917/'实盘净值数据(iFinD）'!$B$69:$Y$69)+SUMPRODUCT(分期持仓明细!$AC$26:$AD$26,'实盘净值数据(iFinD）'!$Z917:$AA917/'实盘净值数据(iFinD）'!$Z$69:$AA$69)+SUMPRODUCT(分期持仓明细!$AE$26:$AO$26,'实盘净值数据(iFinD）'!$AB917:$AL917/'实盘净值数据(iFinD）'!$AB$69:$AL$69))*(1-实盘持仓初始配置!$Z$10)^(('实盘净值数据(iFinD）'!$A917-'实盘净值数据(iFinD）'!$A$69)/365))</f>
        <v/>
      </c>
      <c r="U917" s="16">
        <f>IF(OR(T916="",T917=""),"",T917/T916-1)</f>
        <v/>
      </c>
      <c r="V917" s="16">
        <f>IF(T917="","",T917/MAX(T$5:T917)-1)</f>
        <v/>
      </c>
    </row>
    <row r="918" spans="1:19">
      <c r="A918" s="15" t="str">
        <f>IF('实盘净值数据(iFinD）'!A918="","",'实盘净值数据(iFinD）'!A918)</f>
        <v/>
      </c>
      <c r="B918" s="13" t="str">
        <f>IF(OR('实盘净值数据(iFinD）'!$A918="",'实盘净值数据(iFinD）'!$B918=""),"",分期持仓明细!$AB$17*SUMPRODUCT(分期持仓明细!$B$17:$Y$17,'实盘净值数据(iFinD）'!$B918:$Y918/'实盘净值数据(iFinD）'!$B$20:$Y$20)*(1-实盘持仓初始配置!$Z$4)^(('实盘净值数据(iFinD）'!$A918-'实盘净值数据(iFinD）'!$A$6)/365))</f>
        <v/>
      </c>
      <c r="C918" s="16" t="str">
        <f t="shared" si="84"/>
        <v/>
      </c>
      <c r="D918" s="16" t="str">
        <f>IF(B918="","",B918/MAX(B$5:B918)-1)</f>
        <v/>
      </c>
      <c r="E918" s="13" t="str">
        <f>IF(OR('实盘净值数据(iFinD）'!$A918="",'实盘净值数据(iFinD）'!$B918=""),"",分期持仓明细!$AB$18*SUMPRODUCT(分期持仓明细!$B$18:$Y$18,'实盘净值数据(iFinD）'!$B918:$Y918/'实盘净值数据(iFinD）'!$B$20:$Y$20)*(1-实盘持仓初始配置!$Z$5)^(('实盘净值数据(iFinD）'!$A918-'实盘净值数据(iFinD）'!$A$5)/365))</f>
        <v/>
      </c>
      <c r="F918" s="16" t="str">
        <f t="shared" si="85"/>
        <v/>
      </c>
      <c r="G918" s="16" t="str">
        <f>IF(E918="","",E918/MAX(E$5:E918)-1)</f>
        <v/>
      </c>
      <c r="H918" s="13" t="str">
        <f>IF(OR('实盘净值数据(iFinD）'!$A918="",'实盘净值数据(iFinD）'!$B918=""),"",分期持仓明细!$AB$19*SUMPRODUCT(分期持仓明细!$B$19:$Y$19,'实盘净值数据(iFinD）'!$B918:$Y918/'实盘净值数据(iFinD）'!$B$20:$Y$20)*(1-实盘持仓初始配置!$Z$6)^(('实盘净值数据(iFinD）'!$A918-'实盘净值数据(iFinD）'!$A$7)/365))</f>
        <v/>
      </c>
      <c r="I918" s="16" t="str">
        <f t="shared" si="86"/>
        <v/>
      </c>
      <c r="J918" s="16" t="str">
        <f>IF(H918="","",H918/MAX(H$5:H918)-1)</f>
        <v/>
      </c>
      <c r="K918" s="13" t="str">
        <f>IF(OR('实盘净值数据(iFinD）'!$A918="",'实盘净值数据(iFinD）'!$B918="",'实盘净值数据(iFinD）'!$Z918="",'实盘净值数据(iFinD）'!$AA918=""),"",分期持仓明细!$AB$23*(SUMPRODUCT(分期持仓明细!$B$23:$Y$23,'实盘净值数据(iFinD）'!$B918:$Y918/'实盘净值数据(iFinD）'!$B$65:$Y$65)+SUMPRODUCT(分期持仓明细!$AC$23:$AD$23,'实盘净值数据(iFinD）'!$Z918:$AA918/'实盘净值数据(iFinD）'!$Z$65:$AA$65))*(1-实盘持仓初始配置!$Z$7)^(('实盘净值数据(iFinD）'!$A918-'实盘净值数据(iFinD）'!$A$8)/365))</f>
        <v/>
      </c>
      <c r="L918" s="16" t="str">
        <f t="shared" si="87"/>
        <v/>
      </c>
      <c r="M918" s="16" t="str">
        <f>IF(K918="","",K918/MAX(K$5:K918)-1)</f>
        <v/>
      </c>
      <c r="N918" s="13" t="str">
        <f>IF(OR('实盘净值数据(iFinD）'!$A918="",'实盘净值数据(iFinD）'!$B918="",'实盘净值数据(iFinD）'!$Z918="",'实盘净值数据(iFinD）'!$AA918=""),"",分期持仓明细!$AB$24*(SUMPRODUCT(分期持仓明细!$B$24:$Y$24,'实盘净值数据(iFinD）'!$B918:$Y918/'实盘净值数据(iFinD）'!$B$65:$Y$65)+SUMPRODUCT(分期持仓明细!$AC$24:$AD$24,'实盘净值数据(iFinD）'!$Z918:$AA918/'实盘净值数据(iFinD）'!$Z$65:$AA$65))*(1-实盘持仓初始配置!$Z$8)^(('实盘净值数据(iFinD）'!$A918-'实盘净值数据(iFinD）'!$A$5)/365))</f>
        <v/>
      </c>
      <c r="O918" s="16" t="str">
        <f t="shared" si="88"/>
        <v/>
      </c>
      <c r="P918" s="16" t="str">
        <f>IF(N918="","",N918/MAX(N$5:N918)-1)</f>
        <v/>
      </c>
      <c r="Q918" s="13" t="str">
        <f>IF(OR('实盘净值数据(iFinD）'!$A918="",'实盘净值数据(iFinD）'!$B918="",'实盘净值数据(iFinD）'!$Z918="",'实盘净值数据(iFinD）'!$AA918=""),"",分期持仓明细!$AB$25*(SUMPRODUCT(分期持仓明细!$B$25:$Y$25,'实盘净值数据(iFinD）'!$B918:$Y918/'实盘净值数据(iFinD）'!$B$65:$Y$65)+SUMPRODUCT(分期持仓明细!$AC$25:$AD$25,'实盘净值数据(iFinD）'!$Z918:$AA918/'实盘净值数据(iFinD）'!$Z$65:$AA$65))*(1-实盘持仓初始配置!$Z$9)^(('实盘净值数据(iFinD）'!$A918-'实盘净值数据(iFinD）'!$A$8)/365))</f>
        <v/>
      </c>
      <c r="R918" s="16" t="str">
        <f t="shared" si="89"/>
        <v/>
      </c>
      <c r="S918" s="16" t="str">
        <f>IF(Q918="","",Q918/MAX(Q$5:Q918)-1)</f>
        <v/>
      </c>
      <c r="T918" s="13">
        <f>IF(OR('实盘净值数据(iFinD）'!$A918="",'实盘净值数据(iFinD）'!$B918="",'实盘净值数据(iFinD）'!$Z918="",'实盘净值数据(iFinD）'!$AA918="",'实盘净值数据(iFinD）'!$AB918="",'实盘净值数据(iFinD）'!$AL918=""),"",(SUMPRODUCT(分期持仓明细!$B$26:$Y$26,'实盘净值数据(iFinD）'!$B918:$Y918/'实盘净值数据(iFinD）'!$B$69:$Y$69)+SUMPRODUCT(分期持仓明细!$AC$26:$AD$26,'实盘净值数据(iFinD）'!$Z918:$AA918/'实盘净值数据(iFinD）'!$Z$69:$AA$69)+SUMPRODUCT(分期持仓明细!$AE$26:$AO$26,'实盘净值数据(iFinD）'!$AB918:$AL918/'实盘净值数据(iFinD）'!$AB$69:$AL$69))*(1-实盘持仓初始配置!$Z$10)^(('实盘净值数据(iFinD）'!$A918-'实盘净值数据(iFinD）'!$A$69)/365))</f>
        <v/>
      </c>
      <c r="U918" s="16">
        <f>IF(OR(T917="",T918=""),"",T918/T917-1)</f>
        <v/>
      </c>
      <c r="V918" s="16">
        <f>IF(T918="","",T918/MAX(T$5:T918)-1)</f>
        <v/>
      </c>
    </row>
    <row r="919" spans="1:19">
      <c r="A919" s="15" t="str">
        <f>IF('实盘净值数据(iFinD）'!A919="","",'实盘净值数据(iFinD）'!A919)</f>
        <v/>
      </c>
      <c r="B919" s="13" t="str">
        <f>IF(OR('实盘净值数据(iFinD）'!$A919="",'实盘净值数据(iFinD）'!$B919=""),"",分期持仓明细!$AB$17*SUMPRODUCT(分期持仓明细!$B$17:$Y$17,'实盘净值数据(iFinD）'!$B919:$Y919/'实盘净值数据(iFinD）'!$B$20:$Y$20)*(1-实盘持仓初始配置!$Z$4)^(('实盘净值数据(iFinD）'!$A919-'实盘净值数据(iFinD）'!$A$6)/365))</f>
        <v/>
      </c>
      <c r="C919" s="16" t="str">
        <f t="shared" si="84"/>
        <v/>
      </c>
      <c r="D919" s="16" t="str">
        <f>IF(B919="","",B919/MAX(B$5:B919)-1)</f>
        <v/>
      </c>
      <c r="E919" s="13" t="str">
        <f>IF(OR('实盘净值数据(iFinD）'!$A919="",'实盘净值数据(iFinD）'!$B919=""),"",分期持仓明细!$AB$18*SUMPRODUCT(分期持仓明细!$B$18:$Y$18,'实盘净值数据(iFinD）'!$B919:$Y919/'实盘净值数据(iFinD）'!$B$20:$Y$20)*(1-实盘持仓初始配置!$Z$5)^(('实盘净值数据(iFinD）'!$A919-'实盘净值数据(iFinD）'!$A$5)/365))</f>
        <v/>
      </c>
      <c r="F919" s="16" t="str">
        <f t="shared" si="85"/>
        <v/>
      </c>
      <c r="G919" s="16" t="str">
        <f>IF(E919="","",E919/MAX(E$5:E919)-1)</f>
        <v/>
      </c>
      <c r="H919" s="13" t="str">
        <f>IF(OR('实盘净值数据(iFinD）'!$A919="",'实盘净值数据(iFinD）'!$B919=""),"",分期持仓明细!$AB$19*SUMPRODUCT(分期持仓明细!$B$19:$Y$19,'实盘净值数据(iFinD）'!$B919:$Y919/'实盘净值数据(iFinD）'!$B$20:$Y$20)*(1-实盘持仓初始配置!$Z$6)^(('实盘净值数据(iFinD）'!$A919-'实盘净值数据(iFinD）'!$A$7)/365))</f>
        <v/>
      </c>
      <c r="I919" s="16" t="str">
        <f t="shared" si="86"/>
        <v/>
      </c>
      <c r="J919" s="16" t="str">
        <f>IF(H919="","",H919/MAX(H$5:H919)-1)</f>
        <v/>
      </c>
      <c r="K919" s="13" t="str">
        <f>IF(OR('实盘净值数据(iFinD）'!$A919="",'实盘净值数据(iFinD）'!$B919="",'实盘净值数据(iFinD）'!$Z919="",'实盘净值数据(iFinD）'!$AA919=""),"",分期持仓明细!$AB$23*(SUMPRODUCT(分期持仓明细!$B$23:$Y$23,'实盘净值数据(iFinD）'!$B919:$Y919/'实盘净值数据(iFinD）'!$B$65:$Y$65)+SUMPRODUCT(分期持仓明细!$AC$23:$AD$23,'实盘净值数据(iFinD）'!$Z919:$AA919/'实盘净值数据(iFinD）'!$Z$65:$AA$65))*(1-实盘持仓初始配置!$Z$7)^(('实盘净值数据(iFinD）'!$A919-'实盘净值数据(iFinD）'!$A$8)/365))</f>
        <v/>
      </c>
      <c r="L919" s="16" t="str">
        <f t="shared" si="87"/>
        <v/>
      </c>
      <c r="M919" s="16" t="str">
        <f>IF(K919="","",K919/MAX(K$5:K919)-1)</f>
        <v/>
      </c>
      <c r="N919" s="13" t="str">
        <f>IF(OR('实盘净值数据(iFinD）'!$A919="",'实盘净值数据(iFinD）'!$B919="",'实盘净值数据(iFinD）'!$Z919="",'实盘净值数据(iFinD）'!$AA919=""),"",分期持仓明细!$AB$24*(SUMPRODUCT(分期持仓明细!$B$24:$Y$24,'实盘净值数据(iFinD）'!$B919:$Y919/'实盘净值数据(iFinD）'!$B$65:$Y$65)+SUMPRODUCT(分期持仓明细!$AC$24:$AD$24,'实盘净值数据(iFinD）'!$Z919:$AA919/'实盘净值数据(iFinD）'!$Z$65:$AA$65))*(1-实盘持仓初始配置!$Z$8)^(('实盘净值数据(iFinD）'!$A919-'实盘净值数据(iFinD）'!$A$5)/365))</f>
        <v/>
      </c>
      <c r="O919" s="16" t="str">
        <f t="shared" si="88"/>
        <v/>
      </c>
      <c r="P919" s="16" t="str">
        <f>IF(N919="","",N919/MAX(N$5:N919)-1)</f>
        <v/>
      </c>
      <c r="Q919" s="13" t="str">
        <f>IF(OR('实盘净值数据(iFinD）'!$A919="",'实盘净值数据(iFinD）'!$B919="",'实盘净值数据(iFinD）'!$Z919="",'实盘净值数据(iFinD）'!$AA919=""),"",分期持仓明细!$AB$25*(SUMPRODUCT(分期持仓明细!$B$25:$Y$25,'实盘净值数据(iFinD）'!$B919:$Y919/'实盘净值数据(iFinD）'!$B$65:$Y$65)+SUMPRODUCT(分期持仓明细!$AC$25:$AD$25,'实盘净值数据(iFinD）'!$Z919:$AA919/'实盘净值数据(iFinD）'!$Z$65:$AA$65))*(1-实盘持仓初始配置!$Z$9)^(('实盘净值数据(iFinD）'!$A919-'实盘净值数据(iFinD）'!$A$8)/365))</f>
        <v/>
      </c>
      <c r="R919" s="16" t="str">
        <f t="shared" si="89"/>
        <v/>
      </c>
      <c r="S919" s="16" t="str">
        <f>IF(Q919="","",Q919/MAX(Q$5:Q919)-1)</f>
        <v/>
      </c>
      <c r="T919" s="13">
        <f>IF(OR('实盘净值数据(iFinD）'!$A919="",'实盘净值数据(iFinD）'!$B919="",'实盘净值数据(iFinD）'!$Z919="",'实盘净值数据(iFinD）'!$AA919="",'实盘净值数据(iFinD）'!$AB919="",'实盘净值数据(iFinD）'!$AL919=""),"",(SUMPRODUCT(分期持仓明细!$B$26:$Y$26,'实盘净值数据(iFinD）'!$B919:$Y919/'实盘净值数据(iFinD）'!$B$69:$Y$69)+SUMPRODUCT(分期持仓明细!$AC$26:$AD$26,'实盘净值数据(iFinD）'!$Z919:$AA919/'实盘净值数据(iFinD）'!$Z$69:$AA$69)+SUMPRODUCT(分期持仓明细!$AE$26:$AO$26,'实盘净值数据(iFinD）'!$AB919:$AL919/'实盘净值数据(iFinD）'!$AB$69:$AL$69))*(1-实盘持仓初始配置!$Z$10)^(('实盘净值数据(iFinD）'!$A919-'实盘净值数据(iFinD）'!$A$69)/365))</f>
        <v/>
      </c>
      <c r="U919" s="16">
        <f>IF(OR(T918="",T919=""),"",T919/T918-1)</f>
        <v/>
      </c>
      <c r="V919" s="16">
        <f>IF(T919="","",T919/MAX(T$5:T919)-1)</f>
        <v/>
      </c>
    </row>
    <row r="920" spans="1:19">
      <c r="A920" s="15" t="str">
        <f>IF('实盘净值数据(iFinD）'!A920="","",'实盘净值数据(iFinD）'!A920)</f>
        <v/>
      </c>
      <c r="B920" s="13" t="str">
        <f>IF(OR('实盘净值数据(iFinD）'!$A920="",'实盘净值数据(iFinD）'!$B920=""),"",分期持仓明细!$AB$17*SUMPRODUCT(分期持仓明细!$B$17:$Y$17,'实盘净值数据(iFinD）'!$B920:$Y920/'实盘净值数据(iFinD）'!$B$20:$Y$20)*(1-实盘持仓初始配置!$Z$4)^(('实盘净值数据(iFinD）'!$A920-'实盘净值数据(iFinD）'!$A$6)/365))</f>
        <v/>
      </c>
      <c r="C920" s="16" t="str">
        <f t="shared" si="84"/>
        <v/>
      </c>
      <c r="D920" s="16" t="str">
        <f>IF(B920="","",B920/MAX(B$5:B920)-1)</f>
        <v/>
      </c>
      <c r="E920" s="13" t="str">
        <f>IF(OR('实盘净值数据(iFinD）'!$A920="",'实盘净值数据(iFinD）'!$B920=""),"",分期持仓明细!$AB$18*SUMPRODUCT(分期持仓明细!$B$18:$Y$18,'实盘净值数据(iFinD）'!$B920:$Y920/'实盘净值数据(iFinD）'!$B$20:$Y$20)*(1-实盘持仓初始配置!$Z$5)^(('实盘净值数据(iFinD）'!$A920-'实盘净值数据(iFinD）'!$A$5)/365))</f>
        <v/>
      </c>
      <c r="F920" s="16" t="str">
        <f t="shared" si="85"/>
        <v/>
      </c>
      <c r="G920" s="16" t="str">
        <f>IF(E920="","",E920/MAX(E$5:E920)-1)</f>
        <v/>
      </c>
      <c r="H920" s="13" t="str">
        <f>IF(OR('实盘净值数据(iFinD）'!$A920="",'实盘净值数据(iFinD）'!$B920=""),"",分期持仓明细!$AB$19*SUMPRODUCT(分期持仓明细!$B$19:$Y$19,'实盘净值数据(iFinD）'!$B920:$Y920/'实盘净值数据(iFinD）'!$B$20:$Y$20)*(1-实盘持仓初始配置!$Z$6)^(('实盘净值数据(iFinD）'!$A920-'实盘净值数据(iFinD）'!$A$7)/365))</f>
        <v/>
      </c>
      <c r="I920" s="16" t="str">
        <f t="shared" si="86"/>
        <v/>
      </c>
      <c r="J920" s="16" t="str">
        <f>IF(H920="","",H920/MAX(H$5:H920)-1)</f>
        <v/>
      </c>
      <c r="K920" s="13" t="str">
        <f>IF(OR('实盘净值数据(iFinD）'!$A920="",'实盘净值数据(iFinD）'!$B920="",'实盘净值数据(iFinD）'!$Z920="",'实盘净值数据(iFinD）'!$AA920=""),"",分期持仓明细!$AB$23*(SUMPRODUCT(分期持仓明细!$B$23:$Y$23,'实盘净值数据(iFinD）'!$B920:$Y920/'实盘净值数据(iFinD）'!$B$65:$Y$65)+SUMPRODUCT(分期持仓明细!$AC$23:$AD$23,'实盘净值数据(iFinD）'!$Z920:$AA920/'实盘净值数据(iFinD）'!$Z$65:$AA$65))*(1-实盘持仓初始配置!$Z$7)^(('实盘净值数据(iFinD）'!$A920-'实盘净值数据(iFinD）'!$A$8)/365))</f>
        <v/>
      </c>
      <c r="L920" s="16" t="str">
        <f t="shared" si="87"/>
        <v/>
      </c>
      <c r="M920" s="16" t="str">
        <f>IF(K920="","",K920/MAX(K$5:K920)-1)</f>
        <v/>
      </c>
      <c r="N920" s="13" t="str">
        <f>IF(OR('实盘净值数据(iFinD）'!$A920="",'实盘净值数据(iFinD）'!$B920="",'实盘净值数据(iFinD）'!$Z920="",'实盘净值数据(iFinD）'!$AA920=""),"",分期持仓明细!$AB$24*(SUMPRODUCT(分期持仓明细!$B$24:$Y$24,'实盘净值数据(iFinD）'!$B920:$Y920/'实盘净值数据(iFinD）'!$B$65:$Y$65)+SUMPRODUCT(分期持仓明细!$AC$24:$AD$24,'实盘净值数据(iFinD）'!$Z920:$AA920/'实盘净值数据(iFinD）'!$Z$65:$AA$65))*(1-实盘持仓初始配置!$Z$8)^(('实盘净值数据(iFinD）'!$A920-'实盘净值数据(iFinD）'!$A$5)/365))</f>
        <v/>
      </c>
      <c r="O920" s="16" t="str">
        <f t="shared" si="88"/>
        <v/>
      </c>
      <c r="P920" s="16" t="str">
        <f>IF(N920="","",N920/MAX(N$5:N920)-1)</f>
        <v/>
      </c>
      <c r="Q920" s="13" t="str">
        <f>IF(OR('实盘净值数据(iFinD）'!$A920="",'实盘净值数据(iFinD）'!$B920="",'实盘净值数据(iFinD）'!$Z920="",'实盘净值数据(iFinD）'!$AA920=""),"",分期持仓明细!$AB$25*(SUMPRODUCT(分期持仓明细!$B$25:$Y$25,'实盘净值数据(iFinD）'!$B920:$Y920/'实盘净值数据(iFinD）'!$B$65:$Y$65)+SUMPRODUCT(分期持仓明细!$AC$25:$AD$25,'实盘净值数据(iFinD）'!$Z920:$AA920/'实盘净值数据(iFinD）'!$Z$65:$AA$65))*(1-实盘持仓初始配置!$Z$9)^(('实盘净值数据(iFinD）'!$A920-'实盘净值数据(iFinD）'!$A$8)/365))</f>
        <v/>
      </c>
      <c r="R920" s="16" t="str">
        <f t="shared" si="89"/>
        <v/>
      </c>
      <c r="S920" s="16" t="str">
        <f>IF(Q920="","",Q920/MAX(Q$5:Q920)-1)</f>
        <v/>
      </c>
      <c r="T920" s="13">
        <f>IF(OR('实盘净值数据(iFinD）'!$A920="",'实盘净值数据(iFinD）'!$B920="",'实盘净值数据(iFinD）'!$Z920="",'实盘净值数据(iFinD）'!$AA920="",'实盘净值数据(iFinD）'!$AB920="",'实盘净值数据(iFinD）'!$AL920=""),"",(SUMPRODUCT(分期持仓明细!$B$26:$Y$26,'实盘净值数据(iFinD）'!$B920:$Y920/'实盘净值数据(iFinD）'!$B$69:$Y$69)+SUMPRODUCT(分期持仓明细!$AC$26:$AD$26,'实盘净值数据(iFinD）'!$Z920:$AA920/'实盘净值数据(iFinD）'!$Z$69:$AA$69)+SUMPRODUCT(分期持仓明细!$AE$26:$AO$26,'实盘净值数据(iFinD）'!$AB920:$AL920/'实盘净值数据(iFinD）'!$AB$69:$AL$69))*(1-实盘持仓初始配置!$Z$10)^(('实盘净值数据(iFinD）'!$A920-'实盘净值数据(iFinD）'!$A$69)/365))</f>
        <v/>
      </c>
      <c r="U920" s="16">
        <f>IF(OR(T919="",T920=""),"",T920/T919-1)</f>
        <v/>
      </c>
      <c r="V920" s="16">
        <f>IF(T920="","",T920/MAX(T$5:T920)-1)</f>
        <v/>
      </c>
    </row>
    <row r="921" spans="1:19">
      <c r="A921" s="15" t="str">
        <f>IF('实盘净值数据(iFinD）'!A921="","",'实盘净值数据(iFinD）'!A921)</f>
        <v/>
      </c>
      <c r="B921" s="13" t="str">
        <f>IF(OR('实盘净值数据(iFinD）'!$A921="",'实盘净值数据(iFinD）'!$B921=""),"",分期持仓明细!$AB$17*SUMPRODUCT(分期持仓明细!$B$17:$Y$17,'实盘净值数据(iFinD）'!$B921:$Y921/'实盘净值数据(iFinD）'!$B$20:$Y$20)*(1-实盘持仓初始配置!$Z$4)^(('实盘净值数据(iFinD）'!$A921-'实盘净值数据(iFinD）'!$A$6)/365))</f>
        <v/>
      </c>
      <c r="C921" s="16" t="str">
        <f t="shared" si="84"/>
        <v/>
      </c>
      <c r="D921" s="16" t="str">
        <f>IF(B921="","",B921/MAX(B$5:B921)-1)</f>
        <v/>
      </c>
      <c r="E921" s="13" t="str">
        <f>IF(OR('实盘净值数据(iFinD）'!$A921="",'实盘净值数据(iFinD）'!$B921=""),"",分期持仓明细!$AB$18*SUMPRODUCT(分期持仓明细!$B$18:$Y$18,'实盘净值数据(iFinD）'!$B921:$Y921/'实盘净值数据(iFinD）'!$B$20:$Y$20)*(1-实盘持仓初始配置!$Z$5)^(('实盘净值数据(iFinD）'!$A921-'实盘净值数据(iFinD）'!$A$5)/365))</f>
        <v/>
      </c>
      <c r="F921" s="16" t="str">
        <f t="shared" si="85"/>
        <v/>
      </c>
      <c r="G921" s="16" t="str">
        <f>IF(E921="","",E921/MAX(E$5:E921)-1)</f>
        <v/>
      </c>
      <c r="H921" s="13" t="str">
        <f>IF(OR('实盘净值数据(iFinD）'!$A921="",'实盘净值数据(iFinD）'!$B921=""),"",分期持仓明细!$AB$19*SUMPRODUCT(分期持仓明细!$B$19:$Y$19,'实盘净值数据(iFinD）'!$B921:$Y921/'实盘净值数据(iFinD）'!$B$20:$Y$20)*(1-实盘持仓初始配置!$Z$6)^(('实盘净值数据(iFinD）'!$A921-'实盘净值数据(iFinD）'!$A$7)/365))</f>
        <v/>
      </c>
      <c r="I921" s="16" t="str">
        <f t="shared" si="86"/>
        <v/>
      </c>
      <c r="J921" s="16" t="str">
        <f>IF(H921="","",H921/MAX(H$5:H921)-1)</f>
        <v/>
      </c>
      <c r="K921" s="13" t="str">
        <f>IF(OR('实盘净值数据(iFinD）'!$A921="",'实盘净值数据(iFinD）'!$B921="",'实盘净值数据(iFinD）'!$Z921="",'实盘净值数据(iFinD）'!$AA921=""),"",分期持仓明细!$AB$23*(SUMPRODUCT(分期持仓明细!$B$23:$Y$23,'实盘净值数据(iFinD）'!$B921:$Y921/'实盘净值数据(iFinD）'!$B$65:$Y$65)+SUMPRODUCT(分期持仓明细!$AC$23:$AD$23,'实盘净值数据(iFinD）'!$Z921:$AA921/'实盘净值数据(iFinD）'!$Z$65:$AA$65))*(1-实盘持仓初始配置!$Z$7)^(('实盘净值数据(iFinD）'!$A921-'实盘净值数据(iFinD）'!$A$8)/365))</f>
        <v/>
      </c>
      <c r="L921" s="16" t="str">
        <f t="shared" si="87"/>
        <v/>
      </c>
      <c r="M921" s="16" t="str">
        <f>IF(K921="","",K921/MAX(K$5:K921)-1)</f>
        <v/>
      </c>
      <c r="N921" s="13" t="str">
        <f>IF(OR('实盘净值数据(iFinD）'!$A921="",'实盘净值数据(iFinD）'!$B921="",'实盘净值数据(iFinD）'!$Z921="",'实盘净值数据(iFinD）'!$AA921=""),"",分期持仓明细!$AB$24*(SUMPRODUCT(分期持仓明细!$B$24:$Y$24,'实盘净值数据(iFinD）'!$B921:$Y921/'实盘净值数据(iFinD）'!$B$65:$Y$65)+SUMPRODUCT(分期持仓明细!$AC$24:$AD$24,'实盘净值数据(iFinD）'!$Z921:$AA921/'实盘净值数据(iFinD）'!$Z$65:$AA$65))*(1-实盘持仓初始配置!$Z$8)^(('实盘净值数据(iFinD）'!$A921-'实盘净值数据(iFinD）'!$A$5)/365))</f>
        <v/>
      </c>
      <c r="O921" s="16" t="str">
        <f t="shared" si="88"/>
        <v/>
      </c>
      <c r="P921" s="16" t="str">
        <f>IF(N921="","",N921/MAX(N$5:N921)-1)</f>
        <v/>
      </c>
      <c r="Q921" s="13" t="str">
        <f>IF(OR('实盘净值数据(iFinD）'!$A921="",'实盘净值数据(iFinD）'!$B921="",'实盘净值数据(iFinD）'!$Z921="",'实盘净值数据(iFinD）'!$AA921=""),"",分期持仓明细!$AB$25*(SUMPRODUCT(分期持仓明细!$B$25:$Y$25,'实盘净值数据(iFinD）'!$B921:$Y921/'实盘净值数据(iFinD）'!$B$65:$Y$65)+SUMPRODUCT(分期持仓明细!$AC$25:$AD$25,'实盘净值数据(iFinD）'!$Z921:$AA921/'实盘净值数据(iFinD）'!$Z$65:$AA$65))*(1-实盘持仓初始配置!$Z$9)^(('实盘净值数据(iFinD）'!$A921-'实盘净值数据(iFinD）'!$A$8)/365))</f>
        <v/>
      </c>
      <c r="R921" s="16" t="str">
        <f t="shared" si="89"/>
        <v/>
      </c>
      <c r="S921" s="16" t="str">
        <f>IF(Q921="","",Q921/MAX(Q$5:Q921)-1)</f>
        <v/>
      </c>
      <c r="T921" s="13">
        <f>IF(OR('实盘净值数据(iFinD）'!$A921="",'实盘净值数据(iFinD）'!$B921="",'实盘净值数据(iFinD）'!$Z921="",'实盘净值数据(iFinD）'!$AA921="",'实盘净值数据(iFinD）'!$AB921="",'实盘净值数据(iFinD）'!$AL921=""),"",(SUMPRODUCT(分期持仓明细!$B$26:$Y$26,'实盘净值数据(iFinD）'!$B921:$Y921/'实盘净值数据(iFinD）'!$B$69:$Y$69)+SUMPRODUCT(分期持仓明细!$AC$26:$AD$26,'实盘净值数据(iFinD）'!$Z921:$AA921/'实盘净值数据(iFinD）'!$Z$69:$AA$69)+SUMPRODUCT(分期持仓明细!$AE$26:$AO$26,'实盘净值数据(iFinD）'!$AB921:$AL921/'实盘净值数据(iFinD）'!$AB$69:$AL$69))*(1-实盘持仓初始配置!$Z$10)^(('实盘净值数据(iFinD）'!$A921-'实盘净值数据(iFinD）'!$A$69)/365))</f>
        <v/>
      </c>
      <c r="U921" s="16">
        <f>IF(OR(T920="",T921=""),"",T921/T920-1)</f>
        <v/>
      </c>
      <c r="V921" s="16">
        <f>IF(T921="","",T921/MAX(T$5:T921)-1)</f>
        <v/>
      </c>
    </row>
    <row r="922" spans="1:19">
      <c r="A922" s="15" t="str">
        <f>IF('实盘净值数据(iFinD）'!A922="","",'实盘净值数据(iFinD）'!A922)</f>
        <v/>
      </c>
      <c r="B922" s="13" t="str">
        <f>IF(OR('实盘净值数据(iFinD）'!$A922="",'实盘净值数据(iFinD）'!$B922=""),"",分期持仓明细!$AB$17*SUMPRODUCT(分期持仓明细!$B$17:$Y$17,'实盘净值数据(iFinD）'!$B922:$Y922/'实盘净值数据(iFinD）'!$B$20:$Y$20)*(1-实盘持仓初始配置!$Z$4)^(('实盘净值数据(iFinD）'!$A922-'实盘净值数据(iFinD）'!$A$6)/365))</f>
        <v/>
      </c>
      <c r="C922" s="16" t="str">
        <f t="shared" si="84"/>
        <v/>
      </c>
      <c r="D922" s="16" t="str">
        <f>IF(B922="","",B922/MAX(B$5:B922)-1)</f>
        <v/>
      </c>
      <c r="E922" s="13" t="str">
        <f>IF(OR('实盘净值数据(iFinD）'!$A922="",'实盘净值数据(iFinD）'!$B922=""),"",分期持仓明细!$AB$18*SUMPRODUCT(分期持仓明细!$B$18:$Y$18,'实盘净值数据(iFinD）'!$B922:$Y922/'实盘净值数据(iFinD）'!$B$20:$Y$20)*(1-实盘持仓初始配置!$Z$5)^(('实盘净值数据(iFinD）'!$A922-'实盘净值数据(iFinD）'!$A$5)/365))</f>
        <v/>
      </c>
      <c r="F922" s="16" t="str">
        <f t="shared" si="85"/>
        <v/>
      </c>
      <c r="G922" s="16" t="str">
        <f>IF(E922="","",E922/MAX(E$5:E922)-1)</f>
        <v/>
      </c>
      <c r="H922" s="13" t="str">
        <f>IF(OR('实盘净值数据(iFinD）'!$A922="",'实盘净值数据(iFinD）'!$B922=""),"",分期持仓明细!$AB$19*SUMPRODUCT(分期持仓明细!$B$19:$Y$19,'实盘净值数据(iFinD）'!$B922:$Y922/'实盘净值数据(iFinD）'!$B$20:$Y$20)*(1-实盘持仓初始配置!$Z$6)^(('实盘净值数据(iFinD）'!$A922-'实盘净值数据(iFinD）'!$A$7)/365))</f>
        <v/>
      </c>
      <c r="I922" s="16" t="str">
        <f t="shared" si="86"/>
        <v/>
      </c>
      <c r="J922" s="16" t="str">
        <f>IF(H922="","",H922/MAX(H$5:H922)-1)</f>
        <v/>
      </c>
      <c r="K922" s="13" t="str">
        <f>IF(OR('实盘净值数据(iFinD）'!$A922="",'实盘净值数据(iFinD）'!$B922="",'实盘净值数据(iFinD）'!$Z922="",'实盘净值数据(iFinD）'!$AA922=""),"",分期持仓明细!$AB$23*(SUMPRODUCT(分期持仓明细!$B$23:$Y$23,'实盘净值数据(iFinD）'!$B922:$Y922/'实盘净值数据(iFinD）'!$B$65:$Y$65)+SUMPRODUCT(分期持仓明细!$AC$23:$AD$23,'实盘净值数据(iFinD）'!$Z922:$AA922/'实盘净值数据(iFinD）'!$Z$65:$AA$65))*(1-实盘持仓初始配置!$Z$7)^(('实盘净值数据(iFinD）'!$A922-'实盘净值数据(iFinD）'!$A$8)/365))</f>
        <v/>
      </c>
      <c r="L922" s="16" t="str">
        <f t="shared" si="87"/>
        <v/>
      </c>
      <c r="M922" s="16" t="str">
        <f>IF(K922="","",K922/MAX(K$5:K922)-1)</f>
        <v/>
      </c>
      <c r="N922" s="13" t="str">
        <f>IF(OR('实盘净值数据(iFinD）'!$A922="",'实盘净值数据(iFinD）'!$B922="",'实盘净值数据(iFinD）'!$Z922="",'实盘净值数据(iFinD）'!$AA922=""),"",分期持仓明细!$AB$24*(SUMPRODUCT(分期持仓明细!$B$24:$Y$24,'实盘净值数据(iFinD）'!$B922:$Y922/'实盘净值数据(iFinD）'!$B$65:$Y$65)+SUMPRODUCT(分期持仓明细!$AC$24:$AD$24,'实盘净值数据(iFinD）'!$Z922:$AA922/'实盘净值数据(iFinD）'!$Z$65:$AA$65))*(1-实盘持仓初始配置!$Z$8)^(('实盘净值数据(iFinD）'!$A922-'实盘净值数据(iFinD）'!$A$5)/365))</f>
        <v/>
      </c>
      <c r="O922" s="16" t="str">
        <f t="shared" si="88"/>
        <v/>
      </c>
      <c r="P922" s="16" t="str">
        <f>IF(N922="","",N922/MAX(N$5:N922)-1)</f>
        <v/>
      </c>
      <c r="Q922" s="13" t="str">
        <f>IF(OR('实盘净值数据(iFinD）'!$A922="",'实盘净值数据(iFinD）'!$B922="",'实盘净值数据(iFinD）'!$Z922="",'实盘净值数据(iFinD）'!$AA922=""),"",分期持仓明细!$AB$25*(SUMPRODUCT(分期持仓明细!$B$25:$Y$25,'实盘净值数据(iFinD）'!$B922:$Y922/'实盘净值数据(iFinD）'!$B$65:$Y$65)+SUMPRODUCT(分期持仓明细!$AC$25:$AD$25,'实盘净值数据(iFinD）'!$Z922:$AA922/'实盘净值数据(iFinD）'!$Z$65:$AA$65))*(1-实盘持仓初始配置!$Z$9)^(('实盘净值数据(iFinD）'!$A922-'实盘净值数据(iFinD）'!$A$8)/365))</f>
        <v/>
      </c>
      <c r="R922" s="16" t="str">
        <f t="shared" si="89"/>
        <v/>
      </c>
      <c r="S922" s="16" t="str">
        <f>IF(Q922="","",Q922/MAX(Q$5:Q922)-1)</f>
        <v/>
      </c>
      <c r="T922" s="13">
        <f>IF(OR('实盘净值数据(iFinD）'!$A922="",'实盘净值数据(iFinD）'!$B922="",'实盘净值数据(iFinD）'!$Z922="",'实盘净值数据(iFinD）'!$AA922="",'实盘净值数据(iFinD）'!$AB922="",'实盘净值数据(iFinD）'!$AL922=""),"",(SUMPRODUCT(分期持仓明细!$B$26:$Y$26,'实盘净值数据(iFinD）'!$B922:$Y922/'实盘净值数据(iFinD）'!$B$69:$Y$69)+SUMPRODUCT(分期持仓明细!$AC$26:$AD$26,'实盘净值数据(iFinD）'!$Z922:$AA922/'实盘净值数据(iFinD）'!$Z$69:$AA$69)+SUMPRODUCT(分期持仓明细!$AE$26:$AO$26,'实盘净值数据(iFinD）'!$AB922:$AL922/'实盘净值数据(iFinD）'!$AB$69:$AL$69))*(1-实盘持仓初始配置!$Z$10)^(('实盘净值数据(iFinD）'!$A922-'实盘净值数据(iFinD）'!$A$69)/365))</f>
        <v/>
      </c>
      <c r="U922" s="16">
        <f>IF(OR(T921="",T922=""),"",T922/T921-1)</f>
        <v/>
      </c>
      <c r="V922" s="16">
        <f>IF(T922="","",T922/MAX(T$5:T922)-1)</f>
        <v/>
      </c>
    </row>
    <row r="923" spans="1:19">
      <c r="A923" s="15" t="str">
        <f>IF('实盘净值数据(iFinD）'!A923="","",'实盘净值数据(iFinD）'!A923)</f>
        <v/>
      </c>
      <c r="B923" s="13" t="str">
        <f>IF(OR('实盘净值数据(iFinD）'!$A923="",'实盘净值数据(iFinD）'!$B923=""),"",分期持仓明细!$AB$17*SUMPRODUCT(分期持仓明细!$B$17:$Y$17,'实盘净值数据(iFinD）'!$B923:$Y923/'实盘净值数据(iFinD）'!$B$20:$Y$20)*(1-实盘持仓初始配置!$Z$4)^(('实盘净值数据(iFinD）'!$A923-'实盘净值数据(iFinD）'!$A$6)/365))</f>
        <v/>
      </c>
      <c r="C923" s="16" t="str">
        <f t="shared" si="84"/>
        <v/>
      </c>
      <c r="D923" s="16" t="str">
        <f>IF(B923="","",B923/MAX(B$5:B923)-1)</f>
        <v/>
      </c>
      <c r="E923" s="13" t="str">
        <f>IF(OR('实盘净值数据(iFinD）'!$A923="",'实盘净值数据(iFinD）'!$B923=""),"",分期持仓明细!$AB$18*SUMPRODUCT(分期持仓明细!$B$18:$Y$18,'实盘净值数据(iFinD）'!$B923:$Y923/'实盘净值数据(iFinD）'!$B$20:$Y$20)*(1-实盘持仓初始配置!$Z$5)^(('实盘净值数据(iFinD）'!$A923-'实盘净值数据(iFinD）'!$A$5)/365))</f>
        <v/>
      </c>
      <c r="F923" s="16" t="str">
        <f t="shared" si="85"/>
        <v/>
      </c>
      <c r="G923" s="16" t="str">
        <f>IF(E923="","",E923/MAX(E$5:E923)-1)</f>
        <v/>
      </c>
      <c r="H923" s="13" t="str">
        <f>IF(OR('实盘净值数据(iFinD）'!$A923="",'实盘净值数据(iFinD）'!$B923=""),"",分期持仓明细!$AB$19*SUMPRODUCT(分期持仓明细!$B$19:$Y$19,'实盘净值数据(iFinD）'!$B923:$Y923/'实盘净值数据(iFinD）'!$B$20:$Y$20)*(1-实盘持仓初始配置!$Z$6)^(('实盘净值数据(iFinD）'!$A923-'实盘净值数据(iFinD）'!$A$7)/365))</f>
        <v/>
      </c>
      <c r="I923" s="16" t="str">
        <f t="shared" si="86"/>
        <v/>
      </c>
      <c r="J923" s="16" t="str">
        <f>IF(H923="","",H923/MAX(H$5:H923)-1)</f>
        <v/>
      </c>
      <c r="K923" s="13" t="str">
        <f>IF(OR('实盘净值数据(iFinD）'!$A923="",'实盘净值数据(iFinD）'!$B923="",'实盘净值数据(iFinD）'!$Z923="",'实盘净值数据(iFinD）'!$AA923=""),"",分期持仓明细!$AB$23*(SUMPRODUCT(分期持仓明细!$B$23:$Y$23,'实盘净值数据(iFinD）'!$B923:$Y923/'实盘净值数据(iFinD）'!$B$65:$Y$65)+SUMPRODUCT(分期持仓明细!$AC$23:$AD$23,'实盘净值数据(iFinD）'!$Z923:$AA923/'实盘净值数据(iFinD）'!$Z$65:$AA$65))*(1-实盘持仓初始配置!$Z$7)^(('实盘净值数据(iFinD）'!$A923-'实盘净值数据(iFinD）'!$A$8)/365))</f>
        <v/>
      </c>
      <c r="L923" s="16" t="str">
        <f t="shared" si="87"/>
        <v/>
      </c>
      <c r="M923" s="16" t="str">
        <f>IF(K923="","",K923/MAX(K$5:K923)-1)</f>
        <v/>
      </c>
      <c r="N923" s="13" t="str">
        <f>IF(OR('实盘净值数据(iFinD）'!$A923="",'实盘净值数据(iFinD）'!$B923="",'实盘净值数据(iFinD）'!$Z923="",'实盘净值数据(iFinD）'!$AA923=""),"",分期持仓明细!$AB$24*(SUMPRODUCT(分期持仓明细!$B$24:$Y$24,'实盘净值数据(iFinD）'!$B923:$Y923/'实盘净值数据(iFinD）'!$B$65:$Y$65)+SUMPRODUCT(分期持仓明细!$AC$24:$AD$24,'实盘净值数据(iFinD）'!$Z923:$AA923/'实盘净值数据(iFinD）'!$Z$65:$AA$65))*(1-实盘持仓初始配置!$Z$8)^(('实盘净值数据(iFinD）'!$A923-'实盘净值数据(iFinD）'!$A$5)/365))</f>
        <v/>
      </c>
      <c r="O923" s="16" t="str">
        <f t="shared" si="88"/>
        <v/>
      </c>
      <c r="P923" s="16" t="str">
        <f>IF(N923="","",N923/MAX(N$5:N923)-1)</f>
        <v/>
      </c>
      <c r="Q923" s="13" t="str">
        <f>IF(OR('实盘净值数据(iFinD）'!$A923="",'实盘净值数据(iFinD）'!$B923="",'实盘净值数据(iFinD）'!$Z923="",'实盘净值数据(iFinD）'!$AA923=""),"",分期持仓明细!$AB$25*(SUMPRODUCT(分期持仓明细!$B$25:$Y$25,'实盘净值数据(iFinD）'!$B923:$Y923/'实盘净值数据(iFinD）'!$B$65:$Y$65)+SUMPRODUCT(分期持仓明细!$AC$25:$AD$25,'实盘净值数据(iFinD）'!$Z923:$AA923/'实盘净值数据(iFinD）'!$Z$65:$AA$65))*(1-实盘持仓初始配置!$Z$9)^(('实盘净值数据(iFinD）'!$A923-'实盘净值数据(iFinD）'!$A$8)/365))</f>
        <v/>
      </c>
      <c r="R923" s="16" t="str">
        <f t="shared" si="89"/>
        <v/>
      </c>
      <c r="S923" s="16" t="str">
        <f>IF(Q923="","",Q923/MAX(Q$5:Q923)-1)</f>
        <v/>
      </c>
      <c r="T923" s="13">
        <f>IF(OR('实盘净值数据(iFinD）'!$A923="",'实盘净值数据(iFinD）'!$B923="",'实盘净值数据(iFinD）'!$Z923="",'实盘净值数据(iFinD）'!$AA923="",'实盘净值数据(iFinD）'!$AB923="",'实盘净值数据(iFinD）'!$AL923=""),"",(SUMPRODUCT(分期持仓明细!$B$26:$Y$26,'实盘净值数据(iFinD）'!$B923:$Y923/'实盘净值数据(iFinD）'!$B$69:$Y$69)+SUMPRODUCT(分期持仓明细!$AC$26:$AD$26,'实盘净值数据(iFinD）'!$Z923:$AA923/'实盘净值数据(iFinD）'!$Z$69:$AA$69)+SUMPRODUCT(分期持仓明细!$AE$26:$AO$26,'实盘净值数据(iFinD）'!$AB923:$AL923/'实盘净值数据(iFinD）'!$AB$69:$AL$69))*(1-实盘持仓初始配置!$Z$10)^(('实盘净值数据(iFinD）'!$A923-'实盘净值数据(iFinD）'!$A$69)/365))</f>
        <v/>
      </c>
      <c r="U923" s="16">
        <f>IF(OR(T922="",T923=""),"",T923/T922-1)</f>
        <v/>
      </c>
      <c r="V923" s="16">
        <f>IF(T923="","",T923/MAX(T$5:T923)-1)</f>
        <v/>
      </c>
    </row>
    <row r="924" spans="1:19">
      <c r="A924" s="15" t="str">
        <f>IF('实盘净值数据(iFinD）'!A924="","",'实盘净值数据(iFinD）'!A924)</f>
        <v/>
      </c>
      <c r="B924" s="13" t="str">
        <f>IF(OR('实盘净值数据(iFinD）'!$A924="",'实盘净值数据(iFinD）'!$B924=""),"",分期持仓明细!$AB$17*SUMPRODUCT(分期持仓明细!$B$17:$Y$17,'实盘净值数据(iFinD）'!$B924:$Y924/'实盘净值数据(iFinD）'!$B$20:$Y$20)*(1-实盘持仓初始配置!$Z$4)^(('实盘净值数据(iFinD）'!$A924-'实盘净值数据(iFinD）'!$A$6)/365))</f>
        <v/>
      </c>
      <c r="C924" s="16" t="str">
        <f t="shared" si="84"/>
        <v/>
      </c>
      <c r="D924" s="16" t="str">
        <f>IF(B924="","",B924/MAX(B$5:B924)-1)</f>
        <v/>
      </c>
      <c r="E924" s="13" t="str">
        <f>IF(OR('实盘净值数据(iFinD）'!$A924="",'实盘净值数据(iFinD）'!$B924=""),"",分期持仓明细!$AB$18*SUMPRODUCT(分期持仓明细!$B$18:$Y$18,'实盘净值数据(iFinD）'!$B924:$Y924/'实盘净值数据(iFinD）'!$B$20:$Y$20)*(1-实盘持仓初始配置!$Z$5)^(('实盘净值数据(iFinD）'!$A924-'实盘净值数据(iFinD）'!$A$5)/365))</f>
        <v/>
      </c>
      <c r="F924" s="16" t="str">
        <f t="shared" si="85"/>
        <v/>
      </c>
      <c r="G924" s="16" t="str">
        <f>IF(E924="","",E924/MAX(E$5:E924)-1)</f>
        <v/>
      </c>
      <c r="H924" s="13" t="str">
        <f>IF(OR('实盘净值数据(iFinD）'!$A924="",'实盘净值数据(iFinD）'!$B924=""),"",分期持仓明细!$AB$19*SUMPRODUCT(分期持仓明细!$B$19:$Y$19,'实盘净值数据(iFinD）'!$B924:$Y924/'实盘净值数据(iFinD）'!$B$20:$Y$20)*(1-实盘持仓初始配置!$Z$6)^(('实盘净值数据(iFinD）'!$A924-'实盘净值数据(iFinD）'!$A$7)/365))</f>
        <v/>
      </c>
      <c r="I924" s="16" t="str">
        <f t="shared" si="86"/>
        <v/>
      </c>
      <c r="J924" s="16" t="str">
        <f>IF(H924="","",H924/MAX(H$5:H924)-1)</f>
        <v/>
      </c>
      <c r="K924" s="13" t="str">
        <f>IF(OR('实盘净值数据(iFinD）'!$A924="",'实盘净值数据(iFinD）'!$B924="",'实盘净值数据(iFinD）'!$Z924="",'实盘净值数据(iFinD）'!$AA924=""),"",分期持仓明细!$AB$23*(SUMPRODUCT(分期持仓明细!$B$23:$Y$23,'实盘净值数据(iFinD）'!$B924:$Y924/'实盘净值数据(iFinD）'!$B$65:$Y$65)+SUMPRODUCT(分期持仓明细!$AC$23:$AD$23,'实盘净值数据(iFinD）'!$Z924:$AA924/'实盘净值数据(iFinD）'!$Z$65:$AA$65))*(1-实盘持仓初始配置!$Z$7)^(('实盘净值数据(iFinD）'!$A924-'实盘净值数据(iFinD）'!$A$8)/365))</f>
        <v/>
      </c>
      <c r="L924" s="16" t="str">
        <f t="shared" si="87"/>
        <v/>
      </c>
      <c r="M924" s="16" t="str">
        <f>IF(K924="","",K924/MAX(K$5:K924)-1)</f>
        <v/>
      </c>
      <c r="N924" s="13" t="str">
        <f>IF(OR('实盘净值数据(iFinD）'!$A924="",'实盘净值数据(iFinD）'!$B924="",'实盘净值数据(iFinD）'!$Z924="",'实盘净值数据(iFinD）'!$AA924=""),"",分期持仓明细!$AB$24*(SUMPRODUCT(分期持仓明细!$B$24:$Y$24,'实盘净值数据(iFinD）'!$B924:$Y924/'实盘净值数据(iFinD）'!$B$65:$Y$65)+SUMPRODUCT(分期持仓明细!$AC$24:$AD$24,'实盘净值数据(iFinD）'!$Z924:$AA924/'实盘净值数据(iFinD）'!$Z$65:$AA$65))*(1-实盘持仓初始配置!$Z$8)^(('实盘净值数据(iFinD）'!$A924-'实盘净值数据(iFinD）'!$A$5)/365))</f>
        <v/>
      </c>
      <c r="O924" s="16" t="str">
        <f t="shared" si="88"/>
        <v/>
      </c>
      <c r="P924" s="16" t="str">
        <f>IF(N924="","",N924/MAX(N$5:N924)-1)</f>
        <v/>
      </c>
      <c r="Q924" s="13" t="str">
        <f>IF(OR('实盘净值数据(iFinD）'!$A924="",'实盘净值数据(iFinD）'!$B924="",'实盘净值数据(iFinD）'!$Z924="",'实盘净值数据(iFinD）'!$AA924=""),"",分期持仓明细!$AB$25*(SUMPRODUCT(分期持仓明细!$B$25:$Y$25,'实盘净值数据(iFinD）'!$B924:$Y924/'实盘净值数据(iFinD）'!$B$65:$Y$65)+SUMPRODUCT(分期持仓明细!$AC$25:$AD$25,'实盘净值数据(iFinD）'!$Z924:$AA924/'实盘净值数据(iFinD）'!$Z$65:$AA$65))*(1-实盘持仓初始配置!$Z$9)^(('实盘净值数据(iFinD）'!$A924-'实盘净值数据(iFinD）'!$A$8)/365))</f>
        <v/>
      </c>
      <c r="R924" s="16" t="str">
        <f t="shared" si="89"/>
        <v/>
      </c>
      <c r="S924" s="16" t="str">
        <f>IF(Q924="","",Q924/MAX(Q$5:Q924)-1)</f>
        <v/>
      </c>
      <c r="T924" s="13">
        <f>IF(OR('实盘净值数据(iFinD）'!$A924="",'实盘净值数据(iFinD）'!$B924="",'实盘净值数据(iFinD）'!$Z924="",'实盘净值数据(iFinD）'!$AA924="",'实盘净值数据(iFinD）'!$AB924="",'实盘净值数据(iFinD）'!$AL924=""),"",(SUMPRODUCT(分期持仓明细!$B$26:$Y$26,'实盘净值数据(iFinD）'!$B924:$Y924/'实盘净值数据(iFinD）'!$B$69:$Y$69)+SUMPRODUCT(分期持仓明细!$AC$26:$AD$26,'实盘净值数据(iFinD）'!$Z924:$AA924/'实盘净值数据(iFinD）'!$Z$69:$AA$69)+SUMPRODUCT(分期持仓明细!$AE$26:$AO$26,'实盘净值数据(iFinD）'!$AB924:$AL924/'实盘净值数据(iFinD）'!$AB$69:$AL$69))*(1-实盘持仓初始配置!$Z$10)^(('实盘净值数据(iFinD）'!$A924-'实盘净值数据(iFinD）'!$A$69)/365))</f>
        <v/>
      </c>
      <c r="U924" s="16">
        <f>IF(OR(T923="",T924=""),"",T924/T923-1)</f>
        <v/>
      </c>
      <c r="V924" s="16">
        <f>IF(T924="","",T924/MAX(T$5:T924)-1)</f>
        <v/>
      </c>
    </row>
    <row r="925" spans="1:19">
      <c r="A925" s="15" t="str">
        <f>IF('实盘净值数据(iFinD）'!A925="","",'实盘净值数据(iFinD）'!A925)</f>
        <v/>
      </c>
      <c r="B925" s="13" t="str">
        <f>IF(OR('实盘净值数据(iFinD）'!$A925="",'实盘净值数据(iFinD）'!$B925=""),"",分期持仓明细!$AB$17*SUMPRODUCT(分期持仓明细!$B$17:$Y$17,'实盘净值数据(iFinD）'!$B925:$Y925/'实盘净值数据(iFinD）'!$B$20:$Y$20)*(1-实盘持仓初始配置!$Z$4)^(('实盘净值数据(iFinD）'!$A925-'实盘净值数据(iFinD）'!$A$6)/365))</f>
        <v/>
      </c>
      <c r="C925" s="16" t="str">
        <f t="shared" si="84"/>
        <v/>
      </c>
      <c r="D925" s="16" t="str">
        <f>IF(B925="","",B925/MAX(B$5:B925)-1)</f>
        <v/>
      </c>
      <c r="E925" s="13" t="str">
        <f>IF(OR('实盘净值数据(iFinD）'!$A925="",'实盘净值数据(iFinD）'!$B925=""),"",分期持仓明细!$AB$18*SUMPRODUCT(分期持仓明细!$B$18:$Y$18,'实盘净值数据(iFinD）'!$B925:$Y925/'实盘净值数据(iFinD）'!$B$20:$Y$20)*(1-实盘持仓初始配置!$Z$5)^(('实盘净值数据(iFinD）'!$A925-'实盘净值数据(iFinD）'!$A$5)/365))</f>
        <v/>
      </c>
      <c r="F925" s="16" t="str">
        <f t="shared" si="85"/>
        <v/>
      </c>
      <c r="G925" s="16" t="str">
        <f>IF(E925="","",E925/MAX(E$5:E925)-1)</f>
        <v/>
      </c>
      <c r="H925" s="13" t="str">
        <f>IF(OR('实盘净值数据(iFinD）'!$A925="",'实盘净值数据(iFinD）'!$B925=""),"",分期持仓明细!$AB$19*SUMPRODUCT(分期持仓明细!$B$19:$Y$19,'实盘净值数据(iFinD）'!$B925:$Y925/'实盘净值数据(iFinD）'!$B$20:$Y$20)*(1-实盘持仓初始配置!$Z$6)^(('实盘净值数据(iFinD）'!$A925-'实盘净值数据(iFinD）'!$A$7)/365))</f>
        <v/>
      </c>
      <c r="I925" s="16" t="str">
        <f t="shared" si="86"/>
        <v/>
      </c>
      <c r="J925" s="16" t="str">
        <f>IF(H925="","",H925/MAX(H$5:H925)-1)</f>
        <v/>
      </c>
      <c r="K925" s="13" t="str">
        <f>IF(OR('实盘净值数据(iFinD）'!$A925="",'实盘净值数据(iFinD）'!$B925="",'实盘净值数据(iFinD）'!$Z925="",'实盘净值数据(iFinD）'!$AA925=""),"",分期持仓明细!$AB$23*(SUMPRODUCT(分期持仓明细!$B$23:$Y$23,'实盘净值数据(iFinD）'!$B925:$Y925/'实盘净值数据(iFinD）'!$B$65:$Y$65)+SUMPRODUCT(分期持仓明细!$AC$23:$AD$23,'实盘净值数据(iFinD）'!$Z925:$AA925/'实盘净值数据(iFinD）'!$Z$65:$AA$65))*(1-实盘持仓初始配置!$Z$7)^(('实盘净值数据(iFinD）'!$A925-'实盘净值数据(iFinD）'!$A$8)/365))</f>
        <v/>
      </c>
      <c r="L925" s="16" t="str">
        <f t="shared" si="87"/>
        <v/>
      </c>
      <c r="M925" s="16" t="str">
        <f>IF(K925="","",K925/MAX(K$5:K925)-1)</f>
        <v/>
      </c>
      <c r="N925" s="13" t="str">
        <f>IF(OR('实盘净值数据(iFinD）'!$A925="",'实盘净值数据(iFinD）'!$B925="",'实盘净值数据(iFinD）'!$Z925="",'实盘净值数据(iFinD）'!$AA925=""),"",分期持仓明细!$AB$24*(SUMPRODUCT(分期持仓明细!$B$24:$Y$24,'实盘净值数据(iFinD）'!$B925:$Y925/'实盘净值数据(iFinD）'!$B$65:$Y$65)+SUMPRODUCT(分期持仓明细!$AC$24:$AD$24,'实盘净值数据(iFinD）'!$Z925:$AA925/'实盘净值数据(iFinD）'!$Z$65:$AA$65))*(1-实盘持仓初始配置!$Z$8)^(('实盘净值数据(iFinD）'!$A925-'实盘净值数据(iFinD）'!$A$5)/365))</f>
        <v/>
      </c>
      <c r="O925" s="16" t="str">
        <f t="shared" si="88"/>
        <v/>
      </c>
      <c r="P925" s="16" t="str">
        <f>IF(N925="","",N925/MAX(N$5:N925)-1)</f>
        <v/>
      </c>
      <c r="Q925" s="13" t="str">
        <f>IF(OR('实盘净值数据(iFinD）'!$A925="",'实盘净值数据(iFinD）'!$B925="",'实盘净值数据(iFinD）'!$Z925="",'实盘净值数据(iFinD）'!$AA925=""),"",分期持仓明细!$AB$25*(SUMPRODUCT(分期持仓明细!$B$25:$Y$25,'实盘净值数据(iFinD）'!$B925:$Y925/'实盘净值数据(iFinD）'!$B$65:$Y$65)+SUMPRODUCT(分期持仓明细!$AC$25:$AD$25,'实盘净值数据(iFinD）'!$Z925:$AA925/'实盘净值数据(iFinD）'!$Z$65:$AA$65))*(1-实盘持仓初始配置!$Z$9)^(('实盘净值数据(iFinD）'!$A925-'实盘净值数据(iFinD）'!$A$8)/365))</f>
        <v/>
      </c>
      <c r="R925" s="16" t="str">
        <f t="shared" si="89"/>
        <v/>
      </c>
      <c r="S925" s="16" t="str">
        <f>IF(Q925="","",Q925/MAX(Q$5:Q925)-1)</f>
        <v/>
      </c>
      <c r="T925" s="13">
        <f>IF(OR('实盘净值数据(iFinD）'!$A925="",'实盘净值数据(iFinD）'!$B925="",'实盘净值数据(iFinD）'!$Z925="",'实盘净值数据(iFinD）'!$AA925="",'实盘净值数据(iFinD）'!$AB925="",'实盘净值数据(iFinD）'!$AL925=""),"",(SUMPRODUCT(分期持仓明细!$B$26:$Y$26,'实盘净值数据(iFinD）'!$B925:$Y925/'实盘净值数据(iFinD）'!$B$69:$Y$69)+SUMPRODUCT(分期持仓明细!$AC$26:$AD$26,'实盘净值数据(iFinD）'!$Z925:$AA925/'实盘净值数据(iFinD）'!$Z$69:$AA$69)+SUMPRODUCT(分期持仓明细!$AE$26:$AO$26,'实盘净值数据(iFinD）'!$AB925:$AL925/'实盘净值数据(iFinD）'!$AB$69:$AL$69))*(1-实盘持仓初始配置!$Z$10)^(('实盘净值数据(iFinD）'!$A925-'实盘净值数据(iFinD）'!$A$69)/365))</f>
        <v/>
      </c>
      <c r="U925" s="16">
        <f>IF(OR(T924="",T925=""),"",T925/T924-1)</f>
        <v/>
      </c>
      <c r="V925" s="16">
        <f>IF(T925="","",T925/MAX(T$5:T925)-1)</f>
        <v/>
      </c>
    </row>
    <row r="926" spans="1:19">
      <c r="A926" s="15" t="str">
        <f>IF('实盘净值数据(iFinD）'!A926="","",'实盘净值数据(iFinD）'!A926)</f>
        <v/>
      </c>
      <c r="B926" s="13" t="str">
        <f>IF(OR('实盘净值数据(iFinD）'!$A926="",'实盘净值数据(iFinD）'!$B926=""),"",分期持仓明细!$AB$17*SUMPRODUCT(分期持仓明细!$B$17:$Y$17,'实盘净值数据(iFinD）'!$B926:$Y926/'实盘净值数据(iFinD）'!$B$20:$Y$20)*(1-实盘持仓初始配置!$Z$4)^(('实盘净值数据(iFinD）'!$A926-'实盘净值数据(iFinD）'!$A$6)/365))</f>
        <v/>
      </c>
      <c r="C926" s="16" t="str">
        <f t="shared" si="84"/>
        <v/>
      </c>
      <c r="D926" s="16" t="str">
        <f>IF(B926="","",B926/MAX(B$5:B926)-1)</f>
        <v/>
      </c>
      <c r="E926" s="13" t="str">
        <f>IF(OR('实盘净值数据(iFinD）'!$A926="",'实盘净值数据(iFinD）'!$B926=""),"",分期持仓明细!$AB$18*SUMPRODUCT(分期持仓明细!$B$18:$Y$18,'实盘净值数据(iFinD）'!$B926:$Y926/'实盘净值数据(iFinD）'!$B$20:$Y$20)*(1-实盘持仓初始配置!$Z$5)^(('实盘净值数据(iFinD）'!$A926-'实盘净值数据(iFinD）'!$A$5)/365))</f>
        <v/>
      </c>
      <c r="F926" s="16" t="str">
        <f t="shared" si="85"/>
        <v/>
      </c>
      <c r="G926" s="16" t="str">
        <f>IF(E926="","",E926/MAX(E$5:E926)-1)</f>
        <v/>
      </c>
      <c r="H926" s="13" t="str">
        <f>IF(OR('实盘净值数据(iFinD）'!$A926="",'实盘净值数据(iFinD）'!$B926=""),"",分期持仓明细!$AB$19*SUMPRODUCT(分期持仓明细!$B$19:$Y$19,'实盘净值数据(iFinD）'!$B926:$Y926/'实盘净值数据(iFinD）'!$B$20:$Y$20)*(1-实盘持仓初始配置!$Z$6)^(('实盘净值数据(iFinD）'!$A926-'实盘净值数据(iFinD）'!$A$7)/365))</f>
        <v/>
      </c>
      <c r="I926" s="16" t="str">
        <f t="shared" si="86"/>
        <v/>
      </c>
      <c r="J926" s="16" t="str">
        <f>IF(H926="","",H926/MAX(H$5:H926)-1)</f>
        <v/>
      </c>
      <c r="K926" s="13" t="str">
        <f>IF(OR('实盘净值数据(iFinD）'!$A926="",'实盘净值数据(iFinD）'!$B926="",'实盘净值数据(iFinD）'!$Z926="",'实盘净值数据(iFinD）'!$AA926=""),"",分期持仓明细!$AB$23*(SUMPRODUCT(分期持仓明细!$B$23:$Y$23,'实盘净值数据(iFinD）'!$B926:$Y926/'实盘净值数据(iFinD）'!$B$65:$Y$65)+SUMPRODUCT(分期持仓明细!$AC$23:$AD$23,'实盘净值数据(iFinD）'!$Z926:$AA926/'实盘净值数据(iFinD）'!$Z$65:$AA$65))*(1-实盘持仓初始配置!$Z$7)^(('实盘净值数据(iFinD）'!$A926-'实盘净值数据(iFinD）'!$A$8)/365))</f>
        <v/>
      </c>
      <c r="L926" s="16" t="str">
        <f t="shared" si="87"/>
        <v/>
      </c>
      <c r="M926" s="16" t="str">
        <f>IF(K926="","",K926/MAX(K$5:K926)-1)</f>
        <v/>
      </c>
      <c r="N926" s="13" t="str">
        <f>IF(OR('实盘净值数据(iFinD）'!$A926="",'实盘净值数据(iFinD）'!$B926="",'实盘净值数据(iFinD）'!$Z926="",'实盘净值数据(iFinD）'!$AA926=""),"",分期持仓明细!$AB$24*(SUMPRODUCT(分期持仓明细!$B$24:$Y$24,'实盘净值数据(iFinD）'!$B926:$Y926/'实盘净值数据(iFinD）'!$B$65:$Y$65)+SUMPRODUCT(分期持仓明细!$AC$24:$AD$24,'实盘净值数据(iFinD）'!$Z926:$AA926/'实盘净值数据(iFinD）'!$Z$65:$AA$65))*(1-实盘持仓初始配置!$Z$8)^(('实盘净值数据(iFinD）'!$A926-'实盘净值数据(iFinD）'!$A$5)/365))</f>
        <v/>
      </c>
      <c r="O926" s="16" t="str">
        <f t="shared" si="88"/>
        <v/>
      </c>
      <c r="P926" s="16" t="str">
        <f>IF(N926="","",N926/MAX(N$5:N926)-1)</f>
        <v/>
      </c>
      <c r="Q926" s="13" t="str">
        <f>IF(OR('实盘净值数据(iFinD）'!$A926="",'实盘净值数据(iFinD）'!$B926="",'实盘净值数据(iFinD）'!$Z926="",'实盘净值数据(iFinD）'!$AA926=""),"",分期持仓明细!$AB$25*(SUMPRODUCT(分期持仓明细!$B$25:$Y$25,'实盘净值数据(iFinD）'!$B926:$Y926/'实盘净值数据(iFinD）'!$B$65:$Y$65)+SUMPRODUCT(分期持仓明细!$AC$25:$AD$25,'实盘净值数据(iFinD）'!$Z926:$AA926/'实盘净值数据(iFinD）'!$Z$65:$AA$65))*(1-实盘持仓初始配置!$Z$9)^(('实盘净值数据(iFinD）'!$A926-'实盘净值数据(iFinD）'!$A$8)/365))</f>
        <v/>
      </c>
      <c r="R926" s="16" t="str">
        <f t="shared" si="89"/>
        <v/>
      </c>
      <c r="S926" s="16" t="str">
        <f>IF(Q926="","",Q926/MAX(Q$5:Q926)-1)</f>
        <v/>
      </c>
      <c r="T926" s="13">
        <f>IF(OR('实盘净值数据(iFinD）'!$A926="",'实盘净值数据(iFinD）'!$B926="",'实盘净值数据(iFinD）'!$Z926="",'实盘净值数据(iFinD）'!$AA926="",'实盘净值数据(iFinD）'!$AB926="",'实盘净值数据(iFinD）'!$AL926=""),"",(SUMPRODUCT(分期持仓明细!$B$26:$Y$26,'实盘净值数据(iFinD）'!$B926:$Y926/'实盘净值数据(iFinD）'!$B$69:$Y$69)+SUMPRODUCT(分期持仓明细!$AC$26:$AD$26,'实盘净值数据(iFinD）'!$Z926:$AA926/'实盘净值数据(iFinD）'!$Z$69:$AA$69)+SUMPRODUCT(分期持仓明细!$AE$26:$AO$26,'实盘净值数据(iFinD）'!$AB926:$AL926/'实盘净值数据(iFinD）'!$AB$69:$AL$69))*(1-实盘持仓初始配置!$Z$10)^(('实盘净值数据(iFinD）'!$A926-'实盘净值数据(iFinD）'!$A$69)/365))</f>
        <v/>
      </c>
      <c r="U926" s="16">
        <f>IF(OR(T925="",T926=""),"",T926/T925-1)</f>
        <v/>
      </c>
      <c r="V926" s="16">
        <f>IF(T926="","",T926/MAX(T$5:T926)-1)</f>
        <v/>
      </c>
    </row>
    <row r="927" spans="1:19">
      <c r="A927" s="15" t="str">
        <f>IF('实盘净值数据(iFinD）'!A927="","",'实盘净值数据(iFinD）'!A927)</f>
        <v/>
      </c>
      <c r="B927" s="13" t="str">
        <f>IF(OR('实盘净值数据(iFinD）'!$A927="",'实盘净值数据(iFinD）'!$B927=""),"",分期持仓明细!$AB$17*SUMPRODUCT(分期持仓明细!$B$17:$Y$17,'实盘净值数据(iFinD）'!$B927:$Y927/'实盘净值数据(iFinD）'!$B$20:$Y$20)*(1-实盘持仓初始配置!$Z$4)^(('实盘净值数据(iFinD）'!$A927-'实盘净值数据(iFinD）'!$A$6)/365))</f>
        <v/>
      </c>
      <c r="C927" s="16" t="str">
        <f t="shared" si="84"/>
        <v/>
      </c>
      <c r="D927" s="16" t="str">
        <f>IF(B927="","",B927/MAX(B$5:B927)-1)</f>
        <v/>
      </c>
      <c r="E927" s="13" t="str">
        <f>IF(OR('实盘净值数据(iFinD）'!$A927="",'实盘净值数据(iFinD）'!$B927=""),"",分期持仓明细!$AB$18*SUMPRODUCT(分期持仓明细!$B$18:$Y$18,'实盘净值数据(iFinD）'!$B927:$Y927/'实盘净值数据(iFinD）'!$B$20:$Y$20)*(1-实盘持仓初始配置!$Z$5)^(('实盘净值数据(iFinD）'!$A927-'实盘净值数据(iFinD）'!$A$5)/365))</f>
        <v/>
      </c>
      <c r="F927" s="16" t="str">
        <f t="shared" si="85"/>
        <v/>
      </c>
      <c r="G927" s="16" t="str">
        <f>IF(E927="","",E927/MAX(E$5:E927)-1)</f>
        <v/>
      </c>
      <c r="H927" s="13" t="str">
        <f>IF(OR('实盘净值数据(iFinD）'!$A927="",'实盘净值数据(iFinD）'!$B927=""),"",分期持仓明细!$AB$19*SUMPRODUCT(分期持仓明细!$B$19:$Y$19,'实盘净值数据(iFinD）'!$B927:$Y927/'实盘净值数据(iFinD）'!$B$20:$Y$20)*(1-实盘持仓初始配置!$Z$6)^(('实盘净值数据(iFinD）'!$A927-'实盘净值数据(iFinD）'!$A$7)/365))</f>
        <v/>
      </c>
      <c r="I927" s="16" t="str">
        <f t="shared" si="86"/>
        <v/>
      </c>
      <c r="J927" s="16" t="str">
        <f>IF(H927="","",H927/MAX(H$5:H927)-1)</f>
        <v/>
      </c>
      <c r="K927" s="13" t="str">
        <f>IF(OR('实盘净值数据(iFinD）'!$A927="",'实盘净值数据(iFinD）'!$B927="",'实盘净值数据(iFinD）'!$Z927="",'实盘净值数据(iFinD）'!$AA927=""),"",分期持仓明细!$AB$23*(SUMPRODUCT(分期持仓明细!$B$23:$Y$23,'实盘净值数据(iFinD）'!$B927:$Y927/'实盘净值数据(iFinD）'!$B$65:$Y$65)+SUMPRODUCT(分期持仓明细!$AC$23:$AD$23,'实盘净值数据(iFinD）'!$Z927:$AA927/'实盘净值数据(iFinD）'!$Z$65:$AA$65))*(1-实盘持仓初始配置!$Z$7)^(('实盘净值数据(iFinD）'!$A927-'实盘净值数据(iFinD）'!$A$8)/365))</f>
        <v/>
      </c>
      <c r="L927" s="16" t="str">
        <f t="shared" si="87"/>
        <v/>
      </c>
      <c r="M927" s="16" t="str">
        <f>IF(K927="","",K927/MAX(K$5:K927)-1)</f>
        <v/>
      </c>
      <c r="N927" s="13" t="str">
        <f>IF(OR('实盘净值数据(iFinD）'!$A927="",'实盘净值数据(iFinD）'!$B927="",'实盘净值数据(iFinD）'!$Z927="",'实盘净值数据(iFinD）'!$AA927=""),"",分期持仓明细!$AB$24*(SUMPRODUCT(分期持仓明细!$B$24:$Y$24,'实盘净值数据(iFinD）'!$B927:$Y927/'实盘净值数据(iFinD）'!$B$65:$Y$65)+SUMPRODUCT(分期持仓明细!$AC$24:$AD$24,'实盘净值数据(iFinD）'!$Z927:$AA927/'实盘净值数据(iFinD）'!$Z$65:$AA$65))*(1-实盘持仓初始配置!$Z$8)^(('实盘净值数据(iFinD）'!$A927-'实盘净值数据(iFinD）'!$A$5)/365))</f>
        <v/>
      </c>
      <c r="O927" s="16" t="str">
        <f t="shared" si="88"/>
        <v/>
      </c>
      <c r="P927" s="16" t="str">
        <f>IF(N927="","",N927/MAX(N$5:N927)-1)</f>
        <v/>
      </c>
      <c r="Q927" s="13" t="str">
        <f>IF(OR('实盘净值数据(iFinD）'!$A927="",'实盘净值数据(iFinD）'!$B927="",'实盘净值数据(iFinD）'!$Z927="",'实盘净值数据(iFinD）'!$AA927=""),"",分期持仓明细!$AB$25*(SUMPRODUCT(分期持仓明细!$B$25:$Y$25,'实盘净值数据(iFinD）'!$B927:$Y927/'实盘净值数据(iFinD）'!$B$65:$Y$65)+SUMPRODUCT(分期持仓明细!$AC$25:$AD$25,'实盘净值数据(iFinD）'!$Z927:$AA927/'实盘净值数据(iFinD）'!$Z$65:$AA$65))*(1-实盘持仓初始配置!$Z$9)^(('实盘净值数据(iFinD）'!$A927-'实盘净值数据(iFinD）'!$A$8)/365))</f>
        <v/>
      </c>
      <c r="R927" s="16" t="str">
        <f t="shared" si="89"/>
        <v/>
      </c>
      <c r="S927" s="16" t="str">
        <f>IF(Q927="","",Q927/MAX(Q$5:Q927)-1)</f>
        <v/>
      </c>
      <c r="T927" s="13">
        <f>IF(OR('实盘净值数据(iFinD）'!$A927="",'实盘净值数据(iFinD）'!$B927="",'实盘净值数据(iFinD）'!$Z927="",'实盘净值数据(iFinD）'!$AA927="",'实盘净值数据(iFinD）'!$AB927="",'实盘净值数据(iFinD）'!$AL927=""),"",(SUMPRODUCT(分期持仓明细!$B$26:$Y$26,'实盘净值数据(iFinD）'!$B927:$Y927/'实盘净值数据(iFinD）'!$B$69:$Y$69)+SUMPRODUCT(分期持仓明细!$AC$26:$AD$26,'实盘净值数据(iFinD）'!$Z927:$AA927/'实盘净值数据(iFinD）'!$Z$69:$AA$69)+SUMPRODUCT(分期持仓明细!$AE$26:$AO$26,'实盘净值数据(iFinD）'!$AB927:$AL927/'实盘净值数据(iFinD）'!$AB$69:$AL$69))*(1-实盘持仓初始配置!$Z$10)^(('实盘净值数据(iFinD）'!$A927-'实盘净值数据(iFinD）'!$A$69)/365))</f>
        <v/>
      </c>
      <c r="U927" s="16">
        <f>IF(OR(T926="",T927=""),"",T927/T926-1)</f>
        <v/>
      </c>
      <c r="V927" s="16">
        <f>IF(T927="","",T927/MAX(T$5:T927)-1)</f>
        <v/>
      </c>
    </row>
    <row r="928" spans="1:19">
      <c r="A928" s="15" t="str">
        <f>IF('实盘净值数据(iFinD）'!A928="","",'实盘净值数据(iFinD）'!A928)</f>
        <v/>
      </c>
      <c r="B928" s="13" t="str">
        <f>IF(OR('实盘净值数据(iFinD）'!$A928="",'实盘净值数据(iFinD）'!$B928=""),"",分期持仓明细!$AB$17*SUMPRODUCT(分期持仓明细!$B$17:$Y$17,'实盘净值数据(iFinD）'!$B928:$Y928/'实盘净值数据(iFinD）'!$B$20:$Y$20)*(1-实盘持仓初始配置!$Z$4)^(('实盘净值数据(iFinD）'!$A928-'实盘净值数据(iFinD）'!$A$6)/365))</f>
        <v/>
      </c>
      <c r="C928" s="16" t="str">
        <f t="shared" si="84"/>
        <v/>
      </c>
      <c r="D928" s="16" t="str">
        <f>IF(B928="","",B928/MAX(B$5:B928)-1)</f>
        <v/>
      </c>
      <c r="E928" s="13" t="str">
        <f>IF(OR('实盘净值数据(iFinD）'!$A928="",'实盘净值数据(iFinD）'!$B928=""),"",分期持仓明细!$AB$18*SUMPRODUCT(分期持仓明细!$B$18:$Y$18,'实盘净值数据(iFinD）'!$B928:$Y928/'实盘净值数据(iFinD）'!$B$20:$Y$20)*(1-实盘持仓初始配置!$Z$5)^(('实盘净值数据(iFinD）'!$A928-'实盘净值数据(iFinD）'!$A$5)/365))</f>
        <v/>
      </c>
      <c r="F928" s="16" t="str">
        <f t="shared" si="85"/>
        <v/>
      </c>
      <c r="G928" s="16" t="str">
        <f>IF(E928="","",E928/MAX(E$5:E928)-1)</f>
        <v/>
      </c>
      <c r="H928" s="13" t="str">
        <f>IF(OR('实盘净值数据(iFinD）'!$A928="",'实盘净值数据(iFinD）'!$B928=""),"",分期持仓明细!$AB$19*SUMPRODUCT(分期持仓明细!$B$19:$Y$19,'实盘净值数据(iFinD）'!$B928:$Y928/'实盘净值数据(iFinD）'!$B$20:$Y$20)*(1-实盘持仓初始配置!$Z$6)^(('实盘净值数据(iFinD）'!$A928-'实盘净值数据(iFinD）'!$A$7)/365))</f>
        <v/>
      </c>
      <c r="I928" s="16" t="str">
        <f t="shared" si="86"/>
        <v/>
      </c>
      <c r="J928" s="16" t="str">
        <f>IF(H928="","",H928/MAX(H$5:H928)-1)</f>
        <v/>
      </c>
      <c r="K928" s="13" t="str">
        <f>IF(OR('实盘净值数据(iFinD）'!$A928="",'实盘净值数据(iFinD）'!$B928="",'实盘净值数据(iFinD）'!$Z928="",'实盘净值数据(iFinD）'!$AA928=""),"",分期持仓明细!$AB$23*(SUMPRODUCT(分期持仓明细!$B$23:$Y$23,'实盘净值数据(iFinD）'!$B928:$Y928/'实盘净值数据(iFinD）'!$B$65:$Y$65)+SUMPRODUCT(分期持仓明细!$AC$23:$AD$23,'实盘净值数据(iFinD）'!$Z928:$AA928/'实盘净值数据(iFinD）'!$Z$65:$AA$65))*(1-实盘持仓初始配置!$Z$7)^(('实盘净值数据(iFinD）'!$A928-'实盘净值数据(iFinD）'!$A$8)/365))</f>
        <v/>
      </c>
      <c r="L928" s="16" t="str">
        <f t="shared" si="87"/>
        <v/>
      </c>
      <c r="M928" s="16" t="str">
        <f>IF(K928="","",K928/MAX(K$5:K928)-1)</f>
        <v/>
      </c>
      <c r="N928" s="13" t="str">
        <f>IF(OR('实盘净值数据(iFinD）'!$A928="",'实盘净值数据(iFinD）'!$B928="",'实盘净值数据(iFinD）'!$Z928="",'实盘净值数据(iFinD）'!$AA928=""),"",分期持仓明细!$AB$24*(SUMPRODUCT(分期持仓明细!$B$24:$Y$24,'实盘净值数据(iFinD）'!$B928:$Y928/'实盘净值数据(iFinD）'!$B$65:$Y$65)+SUMPRODUCT(分期持仓明细!$AC$24:$AD$24,'实盘净值数据(iFinD）'!$Z928:$AA928/'实盘净值数据(iFinD）'!$Z$65:$AA$65))*(1-实盘持仓初始配置!$Z$8)^(('实盘净值数据(iFinD）'!$A928-'实盘净值数据(iFinD）'!$A$5)/365))</f>
        <v/>
      </c>
      <c r="O928" s="16" t="str">
        <f t="shared" si="88"/>
        <v/>
      </c>
      <c r="P928" s="16" t="str">
        <f>IF(N928="","",N928/MAX(N$5:N928)-1)</f>
        <v/>
      </c>
      <c r="Q928" s="13" t="str">
        <f>IF(OR('实盘净值数据(iFinD）'!$A928="",'实盘净值数据(iFinD）'!$B928="",'实盘净值数据(iFinD）'!$Z928="",'实盘净值数据(iFinD）'!$AA928=""),"",分期持仓明细!$AB$25*(SUMPRODUCT(分期持仓明细!$B$25:$Y$25,'实盘净值数据(iFinD）'!$B928:$Y928/'实盘净值数据(iFinD）'!$B$65:$Y$65)+SUMPRODUCT(分期持仓明细!$AC$25:$AD$25,'实盘净值数据(iFinD）'!$Z928:$AA928/'实盘净值数据(iFinD）'!$Z$65:$AA$65))*(1-实盘持仓初始配置!$Z$9)^(('实盘净值数据(iFinD）'!$A928-'实盘净值数据(iFinD）'!$A$8)/365))</f>
        <v/>
      </c>
      <c r="R928" s="16" t="str">
        <f t="shared" si="89"/>
        <v/>
      </c>
      <c r="S928" s="16" t="str">
        <f>IF(Q928="","",Q928/MAX(Q$5:Q928)-1)</f>
        <v/>
      </c>
      <c r="T928" s="13">
        <f>IF(OR('实盘净值数据(iFinD）'!$A928="",'实盘净值数据(iFinD）'!$B928="",'实盘净值数据(iFinD）'!$Z928="",'实盘净值数据(iFinD）'!$AA928="",'实盘净值数据(iFinD）'!$AB928="",'实盘净值数据(iFinD）'!$AL928=""),"",(SUMPRODUCT(分期持仓明细!$B$26:$Y$26,'实盘净值数据(iFinD）'!$B928:$Y928/'实盘净值数据(iFinD）'!$B$69:$Y$69)+SUMPRODUCT(分期持仓明细!$AC$26:$AD$26,'实盘净值数据(iFinD）'!$Z928:$AA928/'实盘净值数据(iFinD）'!$Z$69:$AA$69)+SUMPRODUCT(分期持仓明细!$AE$26:$AO$26,'实盘净值数据(iFinD）'!$AB928:$AL928/'实盘净值数据(iFinD）'!$AB$69:$AL$69))*(1-实盘持仓初始配置!$Z$10)^(('实盘净值数据(iFinD）'!$A928-'实盘净值数据(iFinD）'!$A$69)/365))</f>
        <v/>
      </c>
      <c r="U928" s="16">
        <f>IF(OR(T927="",T928=""),"",T928/T927-1)</f>
        <v/>
      </c>
      <c r="V928" s="16">
        <f>IF(T928="","",T928/MAX(T$5:T928)-1)</f>
        <v/>
      </c>
    </row>
    <row r="929" spans="1:19">
      <c r="A929" s="15" t="str">
        <f>IF('实盘净值数据(iFinD）'!A929="","",'实盘净值数据(iFinD）'!A929)</f>
        <v/>
      </c>
      <c r="B929" s="13" t="str">
        <f>IF(OR('实盘净值数据(iFinD）'!$A929="",'实盘净值数据(iFinD）'!$B929=""),"",分期持仓明细!$AB$17*SUMPRODUCT(分期持仓明细!$B$17:$Y$17,'实盘净值数据(iFinD）'!$B929:$Y929/'实盘净值数据(iFinD）'!$B$20:$Y$20)*(1-实盘持仓初始配置!$Z$4)^(('实盘净值数据(iFinD）'!$A929-'实盘净值数据(iFinD）'!$A$6)/365))</f>
        <v/>
      </c>
      <c r="C929" s="16" t="str">
        <f t="shared" si="84"/>
        <v/>
      </c>
      <c r="D929" s="16" t="str">
        <f>IF(B929="","",B929/MAX(B$5:B929)-1)</f>
        <v/>
      </c>
      <c r="E929" s="13" t="str">
        <f>IF(OR('实盘净值数据(iFinD）'!$A929="",'实盘净值数据(iFinD）'!$B929=""),"",分期持仓明细!$AB$18*SUMPRODUCT(分期持仓明细!$B$18:$Y$18,'实盘净值数据(iFinD）'!$B929:$Y929/'实盘净值数据(iFinD）'!$B$20:$Y$20)*(1-实盘持仓初始配置!$Z$5)^(('实盘净值数据(iFinD）'!$A929-'实盘净值数据(iFinD）'!$A$5)/365))</f>
        <v/>
      </c>
      <c r="F929" s="16" t="str">
        <f t="shared" si="85"/>
        <v/>
      </c>
      <c r="G929" s="16" t="str">
        <f>IF(E929="","",E929/MAX(E$5:E929)-1)</f>
        <v/>
      </c>
      <c r="H929" s="13" t="str">
        <f>IF(OR('实盘净值数据(iFinD）'!$A929="",'实盘净值数据(iFinD）'!$B929=""),"",分期持仓明细!$AB$19*SUMPRODUCT(分期持仓明细!$B$19:$Y$19,'实盘净值数据(iFinD）'!$B929:$Y929/'实盘净值数据(iFinD）'!$B$20:$Y$20)*(1-实盘持仓初始配置!$Z$6)^(('实盘净值数据(iFinD）'!$A929-'实盘净值数据(iFinD）'!$A$7)/365))</f>
        <v/>
      </c>
      <c r="I929" s="16" t="str">
        <f t="shared" si="86"/>
        <v/>
      </c>
      <c r="J929" s="16" t="str">
        <f>IF(H929="","",H929/MAX(H$5:H929)-1)</f>
        <v/>
      </c>
      <c r="K929" s="13" t="str">
        <f>IF(OR('实盘净值数据(iFinD）'!$A929="",'实盘净值数据(iFinD）'!$B929="",'实盘净值数据(iFinD）'!$Z929="",'实盘净值数据(iFinD）'!$AA929=""),"",分期持仓明细!$AB$23*(SUMPRODUCT(分期持仓明细!$B$23:$Y$23,'实盘净值数据(iFinD）'!$B929:$Y929/'实盘净值数据(iFinD）'!$B$65:$Y$65)+SUMPRODUCT(分期持仓明细!$AC$23:$AD$23,'实盘净值数据(iFinD）'!$Z929:$AA929/'实盘净值数据(iFinD）'!$Z$65:$AA$65))*(1-实盘持仓初始配置!$Z$7)^(('实盘净值数据(iFinD）'!$A929-'实盘净值数据(iFinD）'!$A$8)/365))</f>
        <v/>
      </c>
      <c r="L929" s="16" t="str">
        <f t="shared" si="87"/>
        <v/>
      </c>
      <c r="M929" s="16" t="str">
        <f>IF(K929="","",K929/MAX(K$5:K929)-1)</f>
        <v/>
      </c>
      <c r="N929" s="13" t="str">
        <f>IF(OR('实盘净值数据(iFinD）'!$A929="",'实盘净值数据(iFinD）'!$B929="",'实盘净值数据(iFinD）'!$Z929="",'实盘净值数据(iFinD）'!$AA929=""),"",分期持仓明细!$AB$24*(SUMPRODUCT(分期持仓明细!$B$24:$Y$24,'实盘净值数据(iFinD）'!$B929:$Y929/'实盘净值数据(iFinD）'!$B$65:$Y$65)+SUMPRODUCT(分期持仓明细!$AC$24:$AD$24,'实盘净值数据(iFinD）'!$Z929:$AA929/'实盘净值数据(iFinD）'!$Z$65:$AA$65))*(1-实盘持仓初始配置!$Z$8)^(('实盘净值数据(iFinD）'!$A929-'实盘净值数据(iFinD）'!$A$5)/365))</f>
        <v/>
      </c>
      <c r="O929" s="16" t="str">
        <f t="shared" si="88"/>
        <v/>
      </c>
      <c r="P929" s="16" t="str">
        <f>IF(N929="","",N929/MAX(N$5:N929)-1)</f>
        <v/>
      </c>
      <c r="Q929" s="13" t="str">
        <f>IF(OR('实盘净值数据(iFinD）'!$A929="",'实盘净值数据(iFinD）'!$B929="",'实盘净值数据(iFinD）'!$Z929="",'实盘净值数据(iFinD）'!$AA929=""),"",分期持仓明细!$AB$25*(SUMPRODUCT(分期持仓明细!$B$25:$Y$25,'实盘净值数据(iFinD）'!$B929:$Y929/'实盘净值数据(iFinD）'!$B$65:$Y$65)+SUMPRODUCT(分期持仓明细!$AC$25:$AD$25,'实盘净值数据(iFinD）'!$Z929:$AA929/'实盘净值数据(iFinD）'!$Z$65:$AA$65))*(1-实盘持仓初始配置!$Z$9)^(('实盘净值数据(iFinD）'!$A929-'实盘净值数据(iFinD）'!$A$8)/365))</f>
        <v/>
      </c>
      <c r="R929" s="16" t="str">
        <f t="shared" si="89"/>
        <v/>
      </c>
      <c r="S929" s="16" t="str">
        <f>IF(Q929="","",Q929/MAX(Q$5:Q929)-1)</f>
        <v/>
      </c>
      <c r="T929" s="13">
        <f>IF(OR('实盘净值数据(iFinD）'!$A929="",'实盘净值数据(iFinD）'!$B929="",'实盘净值数据(iFinD）'!$Z929="",'实盘净值数据(iFinD）'!$AA929="",'实盘净值数据(iFinD）'!$AB929="",'实盘净值数据(iFinD）'!$AL929=""),"",(SUMPRODUCT(分期持仓明细!$B$26:$Y$26,'实盘净值数据(iFinD）'!$B929:$Y929/'实盘净值数据(iFinD）'!$B$69:$Y$69)+SUMPRODUCT(分期持仓明细!$AC$26:$AD$26,'实盘净值数据(iFinD）'!$Z929:$AA929/'实盘净值数据(iFinD）'!$Z$69:$AA$69)+SUMPRODUCT(分期持仓明细!$AE$26:$AO$26,'实盘净值数据(iFinD）'!$AB929:$AL929/'实盘净值数据(iFinD）'!$AB$69:$AL$69))*(1-实盘持仓初始配置!$Z$10)^(('实盘净值数据(iFinD）'!$A929-'实盘净值数据(iFinD）'!$A$69)/365))</f>
        <v/>
      </c>
      <c r="U929" s="16">
        <f>IF(OR(T928="",T929=""),"",T929/T928-1)</f>
        <v/>
      </c>
      <c r="V929" s="16">
        <f>IF(T929="","",T929/MAX(T$5:T929)-1)</f>
        <v/>
      </c>
    </row>
    <row r="930" spans="1:19">
      <c r="A930" s="15" t="str">
        <f>IF('实盘净值数据(iFinD）'!A930="","",'实盘净值数据(iFinD）'!A930)</f>
        <v/>
      </c>
      <c r="B930" s="13" t="str">
        <f>IF(OR('实盘净值数据(iFinD）'!$A930="",'实盘净值数据(iFinD）'!$B930=""),"",分期持仓明细!$AB$17*SUMPRODUCT(分期持仓明细!$B$17:$Y$17,'实盘净值数据(iFinD）'!$B930:$Y930/'实盘净值数据(iFinD）'!$B$20:$Y$20)*(1-实盘持仓初始配置!$Z$4)^(('实盘净值数据(iFinD）'!$A930-'实盘净值数据(iFinD）'!$A$6)/365))</f>
        <v/>
      </c>
      <c r="C930" s="16" t="str">
        <f t="shared" si="84"/>
        <v/>
      </c>
      <c r="D930" s="16" t="str">
        <f>IF(B930="","",B930/MAX(B$5:B930)-1)</f>
        <v/>
      </c>
      <c r="E930" s="13" t="str">
        <f>IF(OR('实盘净值数据(iFinD）'!$A930="",'实盘净值数据(iFinD）'!$B930=""),"",分期持仓明细!$AB$18*SUMPRODUCT(分期持仓明细!$B$18:$Y$18,'实盘净值数据(iFinD）'!$B930:$Y930/'实盘净值数据(iFinD）'!$B$20:$Y$20)*(1-实盘持仓初始配置!$Z$5)^(('实盘净值数据(iFinD）'!$A930-'实盘净值数据(iFinD）'!$A$5)/365))</f>
        <v/>
      </c>
      <c r="F930" s="16" t="str">
        <f t="shared" si="85"/>
        <v/>
      </c>
      <c r="G930" s="16" t="str">
        <f>IF(E930="","",E930/MAX(E$5:E930)-1)</f>
        <v/>
      </c>
      <c r="H930" s="13" t="str">
        <f>IF(OR('实盘净值数据(iFinD）'!$A930="",'实盘净值数据(iFinD）'!$B930=""),"",分期持仓明细!$AB$19*SUMPRODUCT(分期持仓明细!$B$19:$Y$19,'实盘净值数据(iFinD）'!$B930:$Y930/'实盘净值数据(iFinD）'!$B$20:$Y$20)*(1-实盘持仓初始配置!$Z$6)^(('实盘净值数据(iFinD）'!$A930-'实盘净值数据(iFinD）'!$A$7)/365))</f>
        <v/>
      </c>
      <c r="I930" s="16" t="str">
        <f t="shared" si="86"/>
        <v/>
      </c>
      <c r="J930" s="16" t="str">
        <f>IF(H930="","",H930/MAX(H$5:H930)-1)</f>
        <v/>
      </c>
      <c r="K930" s="13" t="str">
        <f>IF(OR('实盘净值数据(iFinD）'!$A930="",'实盘净值数据(iFinD）'!$B930="",'实盘净值数据(iFinD）'!$Z930="",'实盘净值数据(iFinD）'!$AA930=""),"",分期持仓明细!$AB$23*(SUMPRODUCT(分期持仓明细!$B$23:$Y$23,'实盘净值数据(iFinD）'!$B930:$Y930/'实盘净值数据(iFinD）'!$B$65:$Y$65)+SUMPRODUCT(分期持仓明细!$AC$23:$AD$23,'实盘净值数据(iFinD）'!$Z930:$AA930/'实盘净值数据(iFinD）'!$Z$65:$AA$65))*(1-实盘持仓初始配置!$Z$7)^(('实盘净值数据(iFinD）'!$A930-'实盘净值数据(iFinD）'!$A$8)/365))</f>
        <v/>
      </c>
      <c r="L930" s="16" t="str">
        <f t="shared" si="87"/>
        <v/>
      </c>
      <c r="M930" s="16" t="str">
        <f>IF(K930="","",K930/MAX(K$5:K930)-1)</f>
        <v/>
      </c>
      <c r="N930" s="13" t="str">
        <f>IF(OR('实盘净值数据(iFinD）'!$A930="",'实盘净值数据(iFinD）'!$B930="",'实盘净值数据(iFinD）'!$Z930="",'实盘净值数据(iFinD）'!$AA930=""),"",分期持仓明细!$AB$24*(SUMPRODUCT(分期持仓明细!$B$24:$Y$24,'实盘净值数据(iFinD）'!$B930:$Y930/'实盘净值数据(iFinD）'!$B$65:$Y$65)+SUMPRODUCT(分期持仓明细!$AC$24:$AD$24,'实盘净值数据(iFinD）'!$Z930:$AA930/'实盘净值数据(iFinD）'!$Z$65:$AA$65))*(1-实盘持仓初始配置!$Z$8)^(('实盘净值数据(iFinD）'!$A930-'实盘净值数据(iFinD）'!$A$5)/365))</f>
        <v/>
      </c>
      <c r="O930" s="16" t="str">
        <f t="shared" si="88"/>
        <v/>
      </c>
      <c r="P930" s="16" t="str">
        <f>IF(N930="","",N930/MAX(N$5:N930)-1)</f>
        <v/>
      </c>
      <c r="Q930" s="13" t="str">
        <f>IF(OR('实盘净值数据(iFinD）'!$A930="",'实盘净值数据(iFinD）'!$B930="",'实盘净值数据(iFinD）'!$Z930="",'实盘净值数据(iFinD）'!$AA930=""),"",分期持仓明细!$AB$25*(SUMPRODUCT(分期持仓明细!$B$25:$Y$25,'实盘净值数据(iFinD）'!$B930:$Y930/'实盘净值数据(iFinD）'!$B$65:$Y$65)+SUMPRODUCT(分期持仓明细!$AC$25:$AD$25,'实盘净值数据(iFinD）'!$Z930:$AA930/'实盘净值数据(iFinD）'!$Z$65:$AA$65))*(1-实盘持仓初始配置!$Z$9)^(('实盘净值数据(iFinD）'!$A930-'实盘净值数据(iFinD）'!$A$8)/365))</f>
        <v/>
      </c>
      <c r="R930" s="16" t="str">
        <f t="shared" si="89"/>
        <v/>
      </c>
      <c r="S930" s="16" t="str">
        <f>IF(Q930="","",Q930/MAX(Q$5:Q930)-1)</f>
        <v/>
      </c>
      <c r="T930" s="13">
        <f>IF(OR('实盘净值数据(iFinD）'!$A930="",'实盘净值数据(iFinD）'!$B930="",'实盘净值数据(iFinD）'!$Z930="",'实盘净值数据(iFinD）'!$AA930="",'实盘净值数据(iFinD）'!$AB930="",'实盘净值数据(iFinD）'!$AL930=""),"",(SUMPRODUCT(分期持仓明细!$B$26:$Y$26,'实盘净值数据(iFinD）'!$B930:$Y930/'实盘净值数据(iFinD）'!$B$69:$Y$69)+SUMPRODUCT(分期持仓明细!$AC$26:$AD$26,'实盘净值数据(iFinD）'!$Z930:$AA930/'实盘净值数据(iFinD）'!$Z$69:$AA$69)+SUMPRODUCT(分期持仓明细!$AE$26:$AO$26,'实盘净值数据(iFinD）'!$AB930:$AL930/'实盘净值数据(iFinD）'!$AB$69:$AL$69))*(1-实盘持仓初始配置!$Z$10)^(('实盘净值数据(iFinD）'!$A930-'实盘净值数据(iFinD）'!$A$69)/365))</f>
        <v/>
      </c>
      <c r="U930" s="16">
        <f>IF(OR(T929="",T930=""),"",T930/T929-1)</f>
        <v/>
      </c>
      <c r="V930" s="16">
        <f>IF(T930="","",T930/MAX(T$5:T930)-1)</f>
        <v/>
      </c>
    </row>
    <row r="931" spans="1:19">
      <c r="A931" s="15" t="str">
        <f>IF('实盘净值数据(iFinD）'!A931="","",'实盘净值数据(iFinD）'!A931)</f>
        <v/>
      </c>
      <c r="B931" s="13" t="str">
        <f>IF(OR('实盘净值数据(iFinD）'!$A931="",'实盘净值数据(iFinD）'!$B931=""),"",分期持仓明细!$AB$17*SUMPRODUCT(分期持仓明细!$B$17:$Y$17,'实盘净值数据(iFinD）'!$B931:$Y931/'实盘净值数据(iFinD）'!$B$20:$Y$20)*(1-实盘持仓初始配置!$Z$4)^(('实盘净值数据(iFinD）'!$A931-'实盘净值数据(iFinD）'!$A$6)/365))</f>
        <v/>
      </c>
      <c r="C931" s="16" t="str">
        <f t="shared" si="84"/>
        <v/>
      </c>
      <c r="D931" s="16" t="str">
        <f>IF(B931="","",B931/MAX(B$5:B931)-1)</f>
        <v/>
      </c>
      <c r="E931" s="13" t="str">
        <f>IF(OR('实盘净值数据(iFinD）'!$A931="",'实盘净值数据(iFinD）'!$B931=""),"",分期持仓明细!$AB$18*SUMPRODUCT(分期持仓明细!$B$18:$Y$18,'实盘净值数据(iFinD）'!$B931:$Y931/'实盘净值数据(iFinD）'!$B$20:$Y$20)*(1-实盘持仓初始配置!$Z$5)^(('实盘净值数据(iFinD）'!$A931-'实盘净值数据(iFinD）'!$A$5)/365))</f>
        <v/>
      </c>
      <c r="F931" s="16" t="str">
        <f t="shared" si="85"/>
        <v/>
      </c>
      <c r="G931" s="16" t="str">
        <f>IF(E931="","",E931/MAX(E$5:E931)-1)</f>
        <v/>
      </c>
      <c r="H931" s="13" t="str">
        <f>IF(OR('实盘净值数据(iFinD）'!$A931="",'实盘净值数据(iFinD）'!$B931=""),"",分期持仓明细!$AB$19*SUMPRODUCT(分期持仓明细!$B$19:$Y$19,'实盘净值数据(iFinD）'!$B931:$Y931/'实盘净值数据(iFinD）'!$B$20:$Y$20)*(1-实盘持仓初始配置!$Z$6)^(('实盘净值数据(iFinD）'!$A931-'实盘净值数据(iFinD）'!$A$7)/365))</f>
        <v/>
      </c>
      <c r="I931" s="16" t="str">
        <f t="shared" si="86"/>
        <v/>
      </c>
      <c r="J931" s="16" t="str">
        <f>IF(H931="","",H931/MAX(H$5:H931)-1)</f>
        <v/>
      </c>
      <c r="K931" s="13" t="str">
        <f>IF(OR('实盘净值数据(iFinD）'!$A931="",'实盘净值数据(iFinD）'!$B931="",'实盘净值数据(iFinD）'!$Z931="",'实盘净值数据(iFinD）'!$AA931=""),"",分期持仓明细!$AB$23*(SUMPRODUCT(分期持仓明细!$B$23:$Y$23,'实盘净值数据(iFinD）'!$B931:$Y931/'实盘净值数据(iFinD）'!$B$65:$Y$65)+SUMPRODUCT(分期持仓明细!$AC$23:$AD$23,'实盘净值数据(iFinD）'!$Z931:$AA931/'实盘净值数据(iFinD）'!$Z$65:$AA$65))*(1-实盘持仓初始配置!$Z$7)^(('实盘净值数据(iFinD）'!$A931-'实盘净值数据(iFinD）'!$A$8)/365))</f>
        <v/>
      </c>
      <c r="L931" s="16" t="str">
        <f t="shared" si="87"/>
        <v/>
      </c>
      <c r="M931" s="16" t="str">
        <f>IF(K931="","",K931/MAX(K$5:K931)-1)</f>
        <v/>
      </c>
      <c r="N931" s="13" t="str">
        <f>IF(OR('实盘净值数据(iFinD）'!$A931="",'实盘净值数据(iFinD）'!$B931="",'实盘净值数据(iFinD）'!$Z931="",'实盘净值数据(iFinD）'!$AA931=""),"",分期持仓明细!$AB$24*(SUMPRODUCT(分期持仓明细!$B$24:$Y$24,'实盘净值数据(iFinD）'!$B931:$Y931/'实盘净值数据(iFinD）'!$B$65:$Y$65)+SUMPRODUCT(分期持仓明细!$AC$24:$AD$24,'实盘净值数据(iFinD）'!$Z931:$AA931/'实盘净值数据(iFinD）'!$Z$65:$AA$65))*(1-实盘持仓初始配置!$Z$8)^(('实盘净值数据(iFinD）'!$A931-'实盘净值数据(iFinD）'!$A$5)/365))</f>
        <v/>
      </c>
      <c r="O931" s="16" t="str">
        <f t="shared" si="88"/>
        <v/>
      </c>
      <c r="P931" s="16" t="str">
        <f>IF(N931="","",N931/MAX(N$5:N931)-1)</f>
        <v/>
      </c>
      <c r="Q931" s="13" t="str">
        <f>IF(OR('实盘净值数据(iFinD）'!$A931="",'实盘净值数据(iFinD）'!$B931="",'实盘净值数据(iFinD）'!$Z931="",'实盘净值数据(iFinD）'!$AA931=""),"",分期持仓明细!$AB$25*(SUMPRODUCT(分期持仓明细!$B$25:$Y$25,'实盘净值数据(iFinD）'!$B931:$Y931/'实盘净值数据(iFinD）'!$B$65:$Y$65)+SUMPRODUCT(分期持仓明细!$AC$25:$AD$25,'实盘净值数据(iFinD）'!$Z931:$AA931/'实盘净值数据(iFinD）'!$Z$65:$AA$65))*(1-实盘持仓初始配置!$Z$9)^(('实盘净值数据(iFinD）'!$A931-'实盘净值数据(iFinD）'!$A$8)/365))</f>
        <v/>
      </c>
      <c r="R931" s="16" t="str">
        <f t="shared" si="89"/>
        <v/>
      </c>
      <c r="S931" s="16" t="str">
        <f>IF(Q931="","",Q931/MAX(Q$5:Q931)-1)</f>
        <v/>
      </c>
      <c r="T931" s="13">
        <f>IF(OR('实盘净值数据(iFinD）'!$A931="",'实盘净值数据(iFinD）'!$B931="",'实盘净值数据(iFinD）'!$Z931="",'实盘净值数据(iFinD）'!$AA931="",'实盘净值数据(iFinD）'!$AB931="",'实盘净值数据(iFinD）'!$AL931=""),"",(SUMPRODUCT(分期持仓明细!$B$26:$Y$26,'实盘净值数据(iFinD）'!$B931:$Y931/'实盘净值数据(iFinD）'!$B$69:$Y$69)+SUMPRODUCT(分期持仓明细!$AC$26:$AD$26,'实盘净值数据(iFinD）'!$Z931:$AA931/'实盘净值数据(iFinD）'!$Z$69:$AA$69)+SUMPRODUCT(分期持仓明细!$AE$26:$AO$26,'实盘净值数据(iFinD）'!$AB931:$AL931/'实盘净值数据(iFinD）'!$AB$69:$AL$69))*(1-实盘持仓初始配置!$Z$10)^(('实盘净值数据(iFinD）'!$A931-'实盘净值数据(iFinD）'!$A$69)/365))</f>
        <v/>
      </c>
      <c r="U931" s="16">
        <f>IF(OR(T930="",T931=""),"",T931/T930-1)</f>
        <v/>
      </c>
      <c r="V931" s="16">
        <f>IF(T931="","",T931/MAX(T$5:T931)-1)</f>
        <v/>
      </c>
    </row>
    <row r="932" spans="1:19">
      <c r="A932" s="15" t="str">
        <f>IF('实盘净值数据(iFinD）'!A932="","",'实盘净值数据(iFinD）'!A932)</f>
        <v/>
      </c>
      <c r="B932" s="13" t="str">
        <f>IF(OR('实盘净值数据(iFinD）'!$A932="",'实盘净值数据(iFinD）'!$B932=""),"",分期持仓明细!$AB$17*SUMPRODUCT(分期持仓明细!$B$17:$Y$17,'实盘净值数据(iFinD）'!$B932:$Y932/'实盘净值数据(iFinD）'!$B$20:$Y$20)*(1-实盘持仓初始配置!$Z$4)^(('实盘净值数据(iFinD）'!$A932-'实盘净值数据(iFinD）'!$A$6)/365))</f>
        <v/>
      </c>
      <c r="C932" s="16" t="str">
        <f t="shared" si="84"/>
        <v/>
      </c>
      <c r="D932" s="16" t="str">
        <f>IF(B932="","",B932/MAX(B$5:B932)-1)</f>
        <v/>
      </c>
      <c r="E932" s="13" t="str">
        <f>IF(OR('实盘净值数据(iFinD）'!$A932="",'实盘净值数据(iFinD）'!$B932=""),"",分期持仓明细!$AB$18*SUMPRODUCT(分期持仓明细!$B$18:$Y$18,'实盘净值数据(iFinD）'!$B932:$Y932/'实盘净值数据(iFinD）'!$B$20:$Y$20)*(1-实盘持仓初始配置!$Z$5)^(('实盘净值数据(iFinD）'!$A932-'实盘净值数据(iFinD）'!$A$5)/365))</f>
        <v/>
      </c>
      <c r="F932" s="16" t="str">
        <f t="shared" si="85"/>
        <v/>
      </c>
      <c r="G932" s="16" t="str">
        <f>IF(E932="","",E932/MAX(E$5:E932)-1)</f>
        <v/>
      </c>
      <c r="H932" s="13" t="str">
        <f>IF(OR('实盘净值数据(iFinD）'!$A932="",'实盘净值数据(iFinD）'!$B932=""),"",分期持仓明细!$AB$19*SUMPRODUCT(分期持仓明细!$B$19:$Y$19,'实盘净值数据(iFinD）'!$B932:$Y932/'实盘净值数据(iFinD）'!$B$20:$Y$20)*(1-实盘持仓初始配置!$Z$6)^(('实盘净值数据(iFinD）'!$A932-'实盘净值数据(iFinD）'!$A$7)/365))</f>
        <v/>
      </c>
      <c r="I932" s="16" t="str">
        <f t="shared" si="86"/>
        <v/>
      </c>
      <c r="J932" s="16" t="str">
        <f>IF(H932="","",H932/MAX(H$5:H932)-1)</f>
        <v/>
      </c>
      <c r="K932" s="13" t="str">
        <f>IF(OR('实盘净值数据(iFinD）'!$A932="",'实盘净值数据(iFinD）'!$B932="",'实盘净值数据(iFinD）'!$Z932="",'实盘净值数据(iFinD）'!$AA932=""),"",分期持仓明细!$AB$23*(SUMPRODUCT(分期持仓明细!$B$23:$Y$23,'实盘净值数据(iFinD）'!$B932:$Y932/'实盘净值数据(iFinD）'!$B$65:$Y$65)+SUMPRODUCT(分期持仓明细!$AC$23:$AD$23,'实盘净值数据(iFinD）'!$Z932:$AA932/'实盘净值数据(iFinD）'!$Z$65:$AA$65))*(1-实盘持仓初始配置!$Z$7)^(('实盘净值数据(iFinD）'!$A932-'实盘净值数据(iFinD）'!$A$8)/365))</f>
        <v/>
      </c>
      <c r="L932" s="16" t="str">
        <f t="shared" si="87"/>
        <v/>
      </c>
      <c r="M932" s="16" t="str">
        <f>IF(K932="","",K932/MAX(K$5:K932)-1)</f>
        <v/>
      </c>
      <c r="N932" s="13" t="str">
        <f>IF(OR('实盘净值数据(iFinD）'!$A932="",'实盘净值数据(iFinD）'!$B932="",'实盘净值数据(iFinD）'!$Z932="",'实盘净值数据(iFinD）'!$AA932=""),"",分期持仓明细!$AB$24*(SUMPRODUCT(分期持仓明细!$B$24:$Y$24,'实盘净值数据(iFinD）'!$B932:$Y932/'实盘净值数据(iFinD）'!$B$65:$Y$65)+SUMPRODUCT(分期持仓明细!$AC$24:$AD$24,'实盘净值数据(iFinD）'!$Z932:$AA932/'实盘净值数据(iFinD）'!$Z$65:$AA$65))*(1-实盘持仓初始配置!$Z$8)^(('实盘净值数据(iFinD）'!$A932-'实盘净值数据(iFinD）'!$A$5)/365))</f>
        <v/>
      </c>
      <c r="O932" s="16" t="str">
        <f t="shared" si="88"/>
        <v/>
      </c>
      <c r="P932" s="16" t="str">
        <f>IF(N932="","",N932/MAX(N$5:N932)-1)</f>
        <v/>
      </c>
      <c r="Q932" s="13" t="str">
        <f>IF(OR('实盘净值数据(iFinD）'!$A932="",'实盘净值数据(iFinD）'!$B932="",'实盘净值数据(iFinD）'!$Z932="",'实盘净值数据(iFinD）'!$AA932=""),"",分期持仓明细!$AB$25*(SUMPRODUCT(分期持仓明细!$B$25:$Y$25,'实盘净值数据(iFinD）'!$B932:$Y932/'实盘净值数据(iFinD）'!$B$65:$Y$65)+SUMPRODUCT(分期持仓明细!$AC$25:$AD$25,'实盘净值数据(iFinD）'!$Z932:$AA932/'实盘净值数据(iFinD）'!$Z$65:$AA$65))*(1-实盘持仓初始配置!$Z$9)^(('实盘净值数据(iFinD）'!$A932-'实盘净值数据(iFinD）'!$A$8)/365))</f>
        <v/>
      </c>
      <c r="R932" s="16" t="str">
        <f t="shared" si="89"/>
        <v/>
      </c>
      <c r="S932" s="16" t="str">
        <f>IF(Q932="","",Q932/MAX(Q$5:Q932)-1)</f>
        <v/>
      </c>
      <c r="T932" s="13">
        <f>IF(OR('实盘净值数据(iFinD）'!$A932="",'实盘净值数据(iFinD）'!$B932="",'实盘净值数据(iFinD）'!$Z932="",'实盘净值数据(iFinD）'!$AA932="",'实盘净值数据(iFinD）'!$AB932="",'实盘净值数据(iFinD）'!$AL932=""),"",(SUMPRODUCT(分期持仓明细!$B$26:$Y$26,'实盘净值数据(iFinD）'!$B932:$Y932/'实盘净值数据(iFinD）'!$B$69:$Y$69)+SUMPRODUCT(分期持仓明细!$AC$26:$AD$26,'实盘净值数据(iFinD）'!$Z932:$AA932/'实盘净值数据(iFinD）'!$Z$69:$AA$69)+SUMPRODUCT(分期持仓明细!$AE$26:$AO$26,'实盘净值数据(iFinD）'!$AB932:$AL932/'实盘净值数据(iFinD）'!$AB$69:$AL$69))*(1-实盘持仓初始配置!$Z$10)^(('实盘净值数据(iFinD）'!$A932-'实盘净值数据(iFinD）'!$A$69)/365))</f>
        <v/>
      </c>
      <c r="U932" s="16">
        <f>IF(OR(T931="",T932=""),"",T932/T931-1)</f>
        <v/>
      </c>
      <c r="V932" s="16">
        <f>IF(T932="","",T932/MAX(T$5:T932)-1)</f>
        <v/>
      </c>
    </row>
    <row r="933" spans="1:19">
      <c r="A933" s="15" t="str">
        <f>IF('实盘净值数据(iFinD）'!A933="","",'实盘净值数据(iFinD）'!A933)</f>
        <v/>
      </c>
      <c r="B933" s="13" t="str">
        <f>IF(OR('实盘净值数据(iFinD）'!$A933="",'实盘净值数据(iFinD）'!$B933=""),"",分期持仓明细!$AB$17*SUMPRODUCT(分期持仓明细!$B$17:$Y$17,'实盘净值数据(iFinD）'!$B933:$Y933/'实盘净值数据(iFinD）'!$B$20:$Y$20)*(1-实盘持仓初始配置!$Z$4)^(('实盘净值数据(iFinD）'!$A933-'实盘净值数据(iFinD）'!$A$6)/365))</f>
        <v/>
      </c>
      <c r="C933" s="16" t="str">
        <f t="shared" si="84"/>
        <v/>
      </c>
      <c r="D933" s="16" t="str">
        <f>IF(B933="","",B933/MAX(B$5:B933)-1)</f>
        <v/>
      </c>
      <c r="E933" s="13" t="str">
        <f>IF(OR('实盘净值数据(iFinD）'!$A933="",'实盘净值数据(iFinD）'!$B933=""),"",分期持仓明细!$AB$18*SUMPRODUCT(分期持仓明细!$B$18:$Y$18,'实盘净值数据(iFinD）'!$B933:$Y933/'实盘净值数据(iFinD）'!$B$20:$Y$20)*(1-实盘持仓初始配置!$Z$5)^(('实盘净值数据(iFinD）'!$A933-'实盘净值数据(iFinD）'!$A$5)/365))</f>
        <v/>
      </c>
      <c r="F933" s="16" t="str">
        <f t="shared" si="85"/>
        <v/>
      </c>
      <c r="G933" s="16" t="str">
        <f>IF(E933="","",E933/MAX(E$5:E933)-1)</f>
        <v/>
      </c>
      <c r="H933" s="13" t="str">
        <f>IF(OR('实盘净值数据(iFinD）'!$A933="",'实盘净值数据(iFinD）'!$B933=""),"",分期持仓明细!$AB$19*SUMPRODUCT(分期持仓明细!$B$19:$Y$19,'实盘净值数据(iFinD）'!$B933:$Y933/'实盘净值数据(iFinD）'!$B$20:$Y$20)*(1-实盘持仓初始配置!$Z$6)^(('实盘净值数据(iFinD）'!$A933-'实盘净值数据(iFinD）'!$A$7)/365))</f>
        <v/>
      </c>
      <c r="I933" s="16" t="str">
        <f t="shared" si="86"/>
        <v/>
      </c>
      <c r="J933" s="16" t="str">
        <f>IF(H933="","",H933/MAX(H$5:H933)-1)</f>
        <v/>
      </c>
      <c r="K933" s="13" t="str">
        <f>IF(OR('实盘净值数据(iFinD）'!$A933="",'实盘净值数据(iFinD）'!$B933="",'实盘净值数据(iFinD）'!$Z933="",'实盘净值数据(iFinD）'!$AA933=""),"",分期持仓明细!$AB$23*(SUMPRODUCT(分期持仓明细!$B$23:$Y$23,'实盘净值数据(iFinD）'!$B933:$Y933/'实盘净值数据(iFinD）'!$B$65:$Y$65)+SUMPRODUCT(分期持仓明细!$AC$23:$AD$23,'实盘净值数据(iFinD）'!$Z933:$AA933/'实盘净值数据(iFinD）'!$Z$65:$AA$65))*(1-实盘持仓初始配置!$Z$7)^(('实盘净值数据(iFinD）'!$A933-'实盘净值数据(iFinD）'!$A$8)/365))</f>
        <v/>
      </c>
      <c r="L933" s="16" t="str">
        <f t="shared" si="87"/>
        <v/>
      </c>
      <c r="M933" s="16" t="str">
        <f>IF(K933="","",K933/MAX(K$5:K933)-1)</f>
        <v/>
      </c>
      <c r="N933" s="13" t="str">
        <f>IF(OR('实盘净值数据(iFinD）'!$A933="",'实盘净值数据(iFinD）'!$B933="",'实盘净值数据(iFinD）'!$Z933="",'实盘净值数据(iFinD）'!$AA933=""),"",分期持仓明细!$AB$24*(SUMPRODUCT(分期持仓明细!$B$24:$Y$24,'实盘净值数据(iFinD）'!$B933:$Y933/'实盘净值数据(iFinD）'!$B$65:$Y$65)+SUMPRODUCT(分期持仓明细!$AC$24:$AD$24,'实盘净值数据(iFinD）'!$Z933:$AA933/'实盘净值数据(iFinD）'!$Z$65:$AA$65))*(1-实盘持仓初始配置!$Z$8)^(('实盘净值数据(iFinD）'!$A933-'实盘净值数据(iFinD）'!$A$5)/365))</f>
        <v/>
      </c>
      <c r="O933" s="16" t="str">
        <f t="shared" si="88"/>
        <v/>
      </c>
      <c r="P933" s="16" t="str">
        <f>IF(N933="","",N933/MAX(N$5:N933)-1)</f>
        <v/>
      </c>
      <c r="Q933" s="13" t="str">
        <f>IF(OR('实盘净值数据(iFinD）'!$A933="",'实盘净值数据(iFinD）'!$B933="",'实盘净值数据(iFinD）'!$Z933="",'实盘净值数据(iFinD）'!$AA933=""),"",分期持仓明细!$AB$25*(SUMPRODUCT(分期持仓明细!$B$25:$Y$25,'实盘净值数据(iFinD）'!$B933:$Y933/'实盘净值数据(iFinD）'!$B$65:$Y$65)+SUMPRODUCT(分期持仓明细!$AC$25:$AD$25,'实盘净值数据(iFinD）'!$Z933:$AA933/'实盘净值数据(iFinD）'!$Z$65:$AA$65))*(1-实盘持仓初始配置!$Z$9)^(('实盘净值数据(iFinD）'!$A933-'实盘净值数据(iFinD）'!$A$8)/365))</f>
        <v/>
      </c>
      <c r="R933" s="16" t="str">
        <f t="shared" si="89"/>
        <v/>
      </c>
      <c r="S933" s="16" t="str">
        <f>IF(Q933="","",Q933/MAX(Q$5:Q933)-1)</f>
        <v/>
      </c>
      <c r="T933" s="13">
        <f>IF(OR('实盘净值数据(iFinD）'!$A933="",'实盘净值数据(iFinD）'!$B933="",'实盘净值数据(iFinD）'!$Z933="",'实盘净值数据(iFinD）'!$AA933="",'实盘净值数据(iFinD）'!$AB933="",'实盘净值数据(iFinD）'!$AL933=""),"",(SUMPRODUCT(分期持仓明细!$B$26:$Y$26,'实盘净值数据(iFinD）'!$B933:$Y933/'实盘净值数据(iFinD）'!$B$69:$Y$69)+SUMPRODUCT(分期持仓明细!$AC$26:$AD$26,'实盘净值数据(iFinD）'!$Z933:$AA933/'实盘净值数据(iFinD）'!$Z$69:$AA$69)+SUMPRODUCT(分期持仓明细!$AE$26:$AO$26,'实盘净值数据(iFinD）'!$AB933:$AL933/'实盘净值数据(iFinD）'!$AB$69:$AL$69))*(1-实盘持仓初始配置!$Z$10)^(('实盘净值数据(iFinD）'!$A933-'实盘净值数据(iFinD）'!$A$69)/365))</f>
        <v/>
      </c>
      <c r="U933" s="16">
        <f>IF(OR(T932="",T933=""),"",T933/T932-1)</f>
        <v/>
      </c>
      <c r="V933" s="16">
        <f>IF(T933="","",T933/MAX(T$5:T933)-1)</f>
        <v/>
      </c>
    </row>
    <row r="934" spans="1:19">
      <c r="A934" s="15" t="str">
        <f>IF('实盘净值数据(iFinD）'!A934="","",'实盘净值数据(iFinD）'!A934)</f>
        <v/>
      </c>
      <c r="B934" s="13" t="str">
        <f>IF(OR('实盘净值数据(iFinD）'!$A934="",'实盘净值数据(iFinD）'!$B934=""),"",分期持仓明细!$AB$17*SUMPRODUCT(分期持仓明细!$B$17:$Y$17,'实盘净值数据(iFinD）'!$B934:$Y934/'实盘净值数据(iFinD）'!$B$20:$Y$20)*(1-实盘持仓初始配置!$Z$4)^(('实盘净值数据(iFinD）'!$A934-'实盘净值数据(iFinD）'!$A$6)/365))</f>
        <v/>
      </c>
      <c r="C934" s="16" t="str">
        <f t="shared" si="84"/>
        <v/>
      </c>
      <c r="D934" s="16" t="str">
        <f>IF(B934="","",B934/MAX(B$5:B934)-1)</f>
        <v/>
      </c>
      <c r="E934" s="13" t="str">
        <f>IF(OR('实盘净值数据(iFinD）'!$A934="",'实盘净值数据(iFinD）'!$B934=""),"",分期持仓明细!$AB$18*SUMPRODUCT(分期持仓明细!$B$18:$Y$18,'实盘净值数据(iFinD）'!$B934:$Y934/'实盘净值数据(iFinD）'!$B$20:$Y$20)*(1-实盘持仓初始配置!$Z$5)^(('实盘净值数据(iFinD）'!$A934-'实盘净值数据(iFinD）'!$A$5)/365))</f>
        <v/>
      </c>
      <c r="F934" s="16" t="str">
        <f t="shared" si="85"/>
        <v/>
      </c>
      <c r="G934" s="16" t="str">
        <f>IF(E934="","",E934/MAX(E$5:E934)-1)</f>
        <v/>
      </c>
      <c r="H934" s="13" t="str">
        <f>IF(OR('实盘净值数据(iFinD）'!$A934="",'实盘净值数据(iFinD）'!$B934=""),"",分期持仓明细!$AB$19*SUMPRODUCT(分期持仓明细!$B$19:$Y$19,'实盘净值数据(iFinD）'!$B934:$Y934/'实盘净值数据(iFinD）'!$B$20:$Y$20)*(1-实盘持仓初始配置!$Z$6)^(('实盘净值数据(iFinD）'!$A934-'实盘净值数据(iFinD）'!$A$7)/365))</f>
        <v/>
      </c>
      <c r="I934" s="16" t="str">
        <f t="shared" si="86"/>
        <v/>
      </c>
      <c r="J934" s="16" t="str">
        <f>IF(H934="","",H934/MAX(H$5:H934)-1)</f>
        <v/>
      </c>
      <c r="K934" s="13" t="str">
        <f>IF(OR('实盘净值数据(iFinD）'!$A934="",'实盘净值数据(iFinD）'!$B934="",'实盘净值数据(iFinD）'!$Z934="",'实盘净值数据(iFinD）'!$AA934=""),"",分期持仓明细!$AB$23*(SUMPRODUCT(分期持仓明细!$B$23:$Y$23,'实盘净值数据(iFinD）'!$B934:$Y934/'实盘净值数据(iFinD）'!$B$65:$Y$65)+SUMPRODUCT(分期持仓明细!$AC$23:$AD$23,'实盘净值数据(iFinD）'!$Z934:$AA934/'实盘净值数据(iFinD）'!$Z$65:$AA$65))*(1-实盘持仓初始配置!$Z$7)^(('实盘净值数据(iFinD）'!$A934-'实盘净值数据(iFinD）'!$A$8)/365))</f>
        <v/>
      </c>
      <c r="L934" s="16" t="str">
        <f t="shared" si="87"/>
        <v/>
      </c>
      <c r="M934" s="16" t="str">
        <f>IF(K934="","",K934/MAX(K$5:K934)-1)</f>
        <v/>
      </c>
      <c r="N934" s="13" t="str">
        <f>IF(OR('实盘净值数据(iFinD）'!$A934="",'实盘净值数据(iFinD）'!$B934="",'实盘净值数据(iFinD）'!$Z934="",'实盘净值数据(iFinD）'!$AA934=""),"",分期持仓明细!$AB$24*(SUMPRODUCT(分期持仓明细!$B$24:$Y$24,'实盘净值数据(iFinD）'!$B934:$Y934/'实盘净值数据(iFinD）'!$B$65:$Y$65)+SUMPRODUCT(分期持仓明细!$AC$24:$AD$24,'实盘净值数据(iFinD）'!$Z934:$AA934/'实盘净值数据(iFinD）'!$Z$65:$AA$65))*(1-实盘持仓初始配置!$Z$8)^(('实盘净值数据(iFinD）'!$A934-'实盘净值数据(iFinD）'!$A$5)/365))</f>
        <v/>
      </c>
      <c r="O934" s="16" t="str">
        <f t="shared" si="88"/>
        <v/>
      </c>
      <c r="P934" s="16" t="str">
        <f>IF(N934="","",N934/MAX(N$5:N934)-1)</f>
        <v/>
      </c>
      <c r="Q934" s="13" t="str">
        <f>IF(OR('实盘净值数据(iFinD）'!$A934="",'实盘净值数据(iFinD）'!$B934="",'实盘净值数据(iFinD）'!$Z934="",'实盘净值数据(iFinD）'!$AA934=""),"",分期持仓明细!$AB$25*(SUMPRODUCT(分期持仓明细!$B$25:$Y$25,'实盘净值数据(iFinD）'!$B934:$Y934/'实盘净值数据(iFinD）'!$B$65:$Y$65)+SUMPRODUCT(分期持仓明细!$AC$25:$AD$25,'实盘净值数据(iFinD）'!$Z934:$AA934/'实盘净值数据(iFinD）'!$Z$65:$AA$65))*(1-实盘持仓初始配置!$Z$9)^(('实盘净值数据(iFinD）'!$A934-'实盘净值数据(iFinD）'!$A$8)/365))</f>
        <v/>
      </c>
      <c r="R934" s="16" t="str">
        <f t="shared" si="89"/>
        <v/>
      </c>
      <c r="S934" s="16" t="str">
        <f>IF(Q934="","",Q934/MAX(Q$5:Q934)-1)</f>
        <v/>
      </c>
      <c r="T934" s="13">
        <f>IF(OR('实盘净值数据(iFinD）'!$A934="",'实盘净值数据(iFinD）'!$B934="",'实盘净值数据(iFinD）'!$Z934="",'实盘净值数据(iFinD）'!$AA934="",'实盘净值数据(iFinD）'!$AB934="",'实盘净值数据(iFinD）'!$AL934=""),"",(SUMPRODUCT(分期持仓明细!$B$26:$Y$26,'实盘净值数据(iFinD）'!$B934:$Y934/'实盘净值数据(iFinD）'!$B$69:$Y$69)+SUMPRODUCT(分期持仓明细!$AC$26:$AD$26,'实盘净值数据(iFinD）'!$Z934:$AA934/'实盘净值数据(iFinD）'!$Z$69:$AA$69)+SUMPRODUCT(分期持仓明细!$AE$26:$AO$26,'实盘净值数据(iFinD）'!$AB934:$AL934/'实盘净值数据(iFinD）'!$AB$69:$AL$69))*(1-实盘持仓初始配置!$Z$10)^(('实盘净值数据(iFinD）'!$A934-'实盘净值数据(iFinD）'!$A$69)/365))</f>
        <v/>
      </c>
      <c r="U934" s="16">
        <f>IF(OR(T933="",T934=""),"",T934/T933-1)</f>
        <v/>
      </c>
      <c r="V934" s="16">
        <f>IF(T934="","",T934/MAX(T$5:T934)-1)</f>
        <v/>
      </c>
    </row>
    <row r="935" spans="1:19">
      <c r="A935" s="15" t="str">
        <f>IF('实盘净值数据(iFinD）'!A935="","",'实盘净值数据(iFinD）'!A935)</f>
        <v/>
      </c>
      <c r="B935" s="13" t="str">
        <f>IF(OR('实盘净值数据(iFinD）'!$A935="",'实盘净值数据(iFinD）'!$B935=""),"",分期持仓明细!$AB$17*SUMPRODUCT(分期持仓明细!$B$17:$Y$17,'实盘净值数据(iFinD）'!$B935:$Y935/'实盘净值数据(iFinD）'!$B$20:$Y$20)*(1-实盘持仓初始配置!$Z$4)^(('实盘净值数据(iFinD）'!$A935-'实盘净值数据(iFinD）'!$A$6)/365))</f>
        <v/>
      </c>
      <c r="C935" s="16" t="str">
        <f t="shared" si="84"/>
        <v/>
      </c>
      <c r="D935" s="16" t="str">
        <f>IF(B935="","",B935/MAX(B$5:B935)-1)</f>
        <v/>
      </c>
      <c r="E935" s="13" t="str">
        <f>IF(OR('实盘净值数据(iFinD）'!$A935="",'实盘净值数据(iFinD）'!$B935=""),"",分期持仓明细!$AB$18*SUMPRODUCT(分期持仓明细!$B$18:$Y$18,'实盘净值数据(iFinD）'!$B935:$Y935/'实盘净值数据(iFinD）'!$B$20:$Y$20)*(1-实盘持仓初始配置!$Z$5)^(('实盘净值数据(iFinD）'!$A935-'实盘净值数据(iFinD）'!$A$5)/365))</f>
        <v/>
      </c>
      <c r="F935" s="16" t="str">
        <f t="shared" si="85"/>
        <v/>
      </c>
      <c r="G935" s="16" t="str">
        <f>IF(E935="","",E935/MAX(E$5:E935)-1)</f>
        <v/>
      </c>
      <c r="H935" s="13" t="str">
        <f>IF(OR('实盘净值数据(iFinD）'!$A935="",'实盘净值数据(iFinD）'!$B935=""),"",分期持仓明细!$AB$19*SUMPRODUCT(分期持仓明细!$B$19:$Y$19,'实盘净值数据(iFinD）'!$B935:$Y935/'实盘净值数据(iFinD）'!$B$20:$Y$20)*(1-实盘持仓初始配置!$Z$6)^(('实盘净值数据(iFinD）'!$A935-'实盘净值数据(iFinD）'!$A$7)/365))</f>
        <v/>
      </c>
      <c r="I935" s="16" t="str">
        <f t="shared" si="86"/>
        <v/>
      </c>
      <c r="J935" s="16" t="str">
        <f>IF(H935="","",H935/MAX(H$5:H935)-1)</f>
        <v/>
      </c>
      <c r="K935" s="13" t="str">
        <f>IF(OR('实盘净值数据(iFinD）'!$A935="",'实盘净值数据(iFinD）'!$B935="",'实盘净值数据(iFinD）'!$Z935="",'实盘净值数据(iFinD）'!$AA935=""),"",分期持仓明细!$AB$23*(SUMPRODUCT(分期持仓明细!$B$23:$Y$23,'实盘净值数据(iFinD）'!$B935:$Y935/'实盘净值数据(iFinD）'!$B$65:$Y$65)+SUMPRODUCT(分期持仓明细!$AC$23:$AD$23,'实盘净值数据(iFinD）'!$Z935:$AA935/'实盘净值数据(iFinD）'!$Z$65:$AA$65))*(1-实盘持仓初始配置!$Z$7)^(('实盘净值数据(iFinD）'!$A935-'实盘净值数据(iFinD）'!$A$8)/365))</f>
        <v/>
      </c>
      <c r="L935" s="16" t="str">
        <f t="shared" si="87"/>
        <v/>
      </c>
      <c r="M935" s="16" t="str">
        <f>IF(K935="","",K935/MAX(K$5:K935)-1)</f>
        <v/>
      </c>
      <c r="N935" s="13" t="str">
        <f>IF(OR('实盘净值数据(iFinD）'!$A935="",'实盘净值数据(iFinD）'!$B935="",'实盘净值数据(iFinD）'!$Z935="",'实盘净值数据(iFinD）'!$AA935=""),"",分期持仓明细!$AB$24*(SUMPRODUCT(分期持仓明细!$B$24:$Y$24,'实盘净值数据(iFinD）'!$B935:$Y935/'实盘净值数据(iFinD）'!$B$65:$Y$65)+SUMPRODUCT(分期持仓明细!$AC$24:$AD$24,'实盘净值数据(iFinD）'!$Z935:$AA935/'实盘净值数据(iFinD）'!$Z$65:$AA$65))*(1-实盘持仓初始配置!$Z$8)^(('实盘净值数据(iFinD）'!$A935-'实盘净值数据(iFinD）'!$A$5)/365))</f>
        <v/>
      </c>
      <c r="O935" s="16" t="str">
        <f t="shared" si="88"/>
        <v/>
      </c>
      <c r="P935" s="16" t="str">
        <f>IF(N935="","",N935/MAX(N$5:N935)-1)</f>
        <v/>
      </c>
      <c r="Q935" s="13" t="str">
        <f>IF(OR('实盘净值数据(iFinD）'!$A935="",'实盘净值数据(iFinD）'!$B935="",'实盘净值数据(iFinD）'!$Z935="",'实盘净值数据(iFinD）'!$AA935=""),"",分期持仓明细!$AB$25*(SUMPRODUCT(分期持仓明细!$B$25:$Y$25,'实盘净值数据(iFinD）'!$B935:$Y935/'实盘净值数据(iFinD）'!$B$65:$Y$65)+SUMPRODUCT(分期持仓明细!$AC$25:$AD$25,'实盘净值数据(iFinD）'!$Z935:$AA935/'实盘净值数据(iFinD）'!$Z$65:$AA$65))*(1-实盘持仓初始配置!$Z$9)^(('实盘净值数据(iFinD）'!$A935-'实盘净值数据(iFinD）'!$A$8)/365))</f>
        <v/>
      </c>
      <c r="R935" s="16" t="str">
        <f t="shared" si="89"/>
        <v/>
      </c>
      <c r="S935" s="16" t="str">
        <f>IF(Q935="","",Q935/MAX(Q$5:Q935)-1)</f>
        <v/>
      </c>
      <c r="T935" s="13">
        <f>IF(OR('实盘净值数据(iFinD）'!$A935="",'实盘净值数据(iFinD）'!$B935="",'实盘净值数据(iFinD）'!$Z935="",'实盘净值数据(iFinD）'!$AA935="",'实盘净值数据(iFinD）'!$AB935="",'实盘净值数据(iFinD）'!$AL935=""),"",(SUMPRODUCT(分期持仓明细!$B$26:$Y$26,'实盘净值数据(iFinD）'!$B935:$Y935/'实盘净值数据(iFinD）'!$B$69:$Y$69)+SUMPRODUCT(分期持仓明细!$AC$26:$AD$26,'实盘净值数据(iFinD）'!$Z935:$AA935/'实盘净值数据(iFinD）'!$Z$69:$AA$69)+SUMPRODUCT(分期持仓明细!$AE$26:$AO$26,'实盘净值数据(iFinD）'!$AB935:$AL935/'实盘净值数据(iFinD）'!$AB$69:$AL$69))*(1-实盘持仓初始配置!$Z$10)^(('实盘净值数据(iFinD）'!$A935-'实盘净值数据(iFinD）'!$A$69)/365))</f>
        <v/>
      </c>
      <c r="U935" s="16">
        <f>IF(OR(T934="",T935=""),"",T935/T934-1)</f>
        <v/>
      </c>
      <c r="V935" s="16">
        <f>IF(T935="","",T935/MAX(T$5:T935)-1)</f>
        <v/>
      </c>
    </row>
    <row r="936" spans="1:19">
      <c r="A936" s="15" t="str">
        <f>IF('实盘净值数据(iFinD）'!A936="","",'实盘净值数据(iFinD）'!A936)</f>
        <v/>
      </c>
      <c r="B936" s="13" t="str">
        <f>IF(OR('实盘净值数据(iFinD）'!$A936="",'实盘净值数据(iFinD）'!$B936=""),"",分期持仓明细!$AB$17*SUMPRODUCT(分期持仓明细!$B$17:$Y$17,'实盘净值数据(iFinD）'!$B936:$Y936/'实盘净值数据(iFinD）'!$B$20:$Y$20)*(1-实盘持仓初始配置!$Z$4)^(('实盘净值数据(iFinD）'!$A936-'实盘净值数据(iFinD）'!$A$6)/365))</f>
        <v/>
      </c>
      <c r="C936" s="16" t="str">
        <f t="shared" si="84"/>
        <v/>
      </c>
      <c r="D936" s="16" t="str">
        <f>IF(B936="","",B936/MAX(B$5:B936)-1)</f>
        <v/>
      </c>
      <c r="E936" s="13" t="str">
        <f>IF(OR('实盘净值数据(iFinD）'!$A936="",'实盘净值数据(iFinD）'!$B936=""),"",分期持仓明细!$AB$18*SUMPRODUCT(分期持仓明细!$B$18:$Y$18,'实盘净值数据(iFinD）'!$B936:$Y936/'实盘净值数据(iFinD）'!$B$20:$Y$20)*(1-实盘持仓初始配置!$Z$5)^(('实盘净值数据(iFinD）'!$A936-'实盘净值数据(iFinD）'!$A$5)/365))</f>
        <v/>
      </c>
      <c r="F936" s="16" t="str">
        <f t="shared" si="85"/>
        <v/>
      </c>
      <c r="G936" s="16" t="str">
        <f>IF(E936="","",E936/MAX(E$5:E936)-1)</f>
        <v/>
      </c>
      <c r="H936" s="13" t="str">
        <f>IF(OR('实盘净值数据(iFinD）'!$A936="",'实盘净值数据(iFinD）'!$B936=""),"",分期持仓明细!$AB$19*SUMPRODUCT(分期持仓明细!$B$19:$Y$19,'实盘净值数据(iFinD）'!$B936:$Y936/'实盘净值数据(iFinD）'!$B$20:$Y$20)*(1-实盘持仓初始配置!$Z$6)^(('实盘净值数据(iFinD）'!$A936-'实盘净值数据(iFinD）'!$A$7)/365))</f>
        <v/>
      </c>
      <c r="I936" s="16" t="str">
        <f t="shared" si="86"/>
        <v/>
      </c>
      <c r="J936" s="16" t="str">
        <f>IF(H936="","",H936/MAX(H$5:H936)-1)</f>
        <v/>
      </c>
      <c r="K936" s="13" t="str">
        <f>IF(OR('实盘净值数据(iFinD）'!$A936="",'实盘净值数据(iFinD）'!$B936="",'实盘净值数据(iFinD）'!$Z936="",'实盘净值数据(iFinD）'!$AA936=""),"",分期持仓明细!$AB$23*(SUMPRODUCT(分期持仓明细!$B$23:$Y$23,'实盘净值数据(iFinD）'!$B936:$Y936/'实盘净值数据(iFinD）'!$B$65:$Y$65)+SUMPRODUCT(分期持仓明细!$AC$23:$AD$23,'实盘净值数据(iFinD）'!$Z936:$AA936/'实盘净值数据(iFinD）'!$Z$65:$AA$65))*(1-实盘持仓初始配置!$Z$7)^(('实盘净值数据(iFinD）'!$A936-'实盘净值数据(iFinD）'!$A$8)/365))</f>
        <v/>
      </c>
      <c r="L936" s="16" t="str">
        <f t="shared" si="87"/>
        <v/>
      </c>
      <c r="M936" s="16" t="str">
        <f>IF(K936="","",K936/MAX(K$5:K936)-1)</f>
        <v/>
      </c>
      <c r="N936" s="13" t="str">
        <f>IF(OR('实盘净值数据(iFinD）'!$A936="",'实盘净值数据(iFinD）'!$B936="",'实盘净值数据(iFinD）'!$Z936="",'实盘净值数据(iFinD）'!$AA936=""),"",分期持仓明细!$AB$24*(SUMPRODUCT(分期持仓明细!$B$24:$Y$24,'实盘净值数据(iFinD）'!$B936:$Y936/'实盘净值数据(iFinD）'!$B$65:$Y$65)+SUMPRODUCT(分期持仓明细!$AC$24:$AD$24,'实盘净值数据(iFinD）'!$Z936:$AA936/'实盘净值数据(iFinD）'!$Z$65:$AA$65))*(1-实盘持仓初始配置!$Z$8)^(('实盘净值数据(iFinD）'!$A936-'实盘净值数据(iFinD）'!$A$5)/365))</f>
        <v/>
      </c>
      <c r="O936" s="16" t="str">
        <f t="shared" si="88"/>
        <v/>
      </c>
      <c r="P936" s="16" t="str">
        <f>IF(N936="","",N936/MAX(N$5:N936)-1)</f>
        <v/>
      </c>
      <c r="Q936" s="13" t="str">
        <f>IF(OR('实盘净值数据(iFinD）'!$A936="",'实盘净值数据(iFinD）'!$B936="",'实盘净值数据(iFinD）'!$Z936="",'实盘净值数据(iFinD）'!$AA936=""),"",分期持仓明细!$AB$25*(SUMPRODUCT(分期持仓明细!$B$25:$Y$25,'实盘净值数据(iFinD）'!$B936:$Y936/'实盘净值数据(iFinD）'!$B$65:$Y$65)+SUMPRODUCT(分期持仓明细!$AC$25:$AD$25,'实盘净值数据(iFinD）'!$Z936:$AA936/'实盘净值数据(iFinD）'!$Z$65:$AA$65))*(1-实盘持仓初始配置!$Z$9)^(('实盘净值数据(iFinD）'!$A936-'实盘净值数据(iFinD）'!$A$8)/365))</f>
        <v/>
      </c>
      <c r="R936" s="16" t="str">
        <f t="shared" si="89"/>
        <v/>
      </c>
      <c r="S936" s="16" t="str">
        <f>IF(Q936="","",Q936/MAX(Q$5:Q936)-1)</f>
        <v/>
      </c>
      <c r="T936" s="13">
        <f>IF(OR('实盘净值数据(iFinD）'!$A936="",'实盘净值数据(iFinD）'!$B936="",'实盘净值数据(iFinD）'!$Z936="",'实盘净值数据(iFinD）'!$AA936="",'实盘净值数据(iFinD）'!$AB936="",'实盘净值数据(iFinD）'!$AL936=""),"",(SUMPRODUCT(分期持仓明细!$B$26:$Y$26,'实盘净值数据(iFinD）'!$B936:$Y936/'实盘净值数据(iFinD）'!$B$69:$Y$69)+SUMPRODUCT(分期持仓明细!$AC$26:$AD$26,'实盘净值数据(iFinD）'!$Z936:$AA936/'实盘净值数据(iFinD）'!$Z$69:$AA$69)+SUMPRODUCT(分期持仓明细!$AE$26:$AO$26,'实盘净值数据(iFinD）'!$AB936:$AL936/'实盘净值数据(iFinD）'!$AB$69:$AL$69))*(1-实盘持仓初始配置!$Z$10)^(('实盘净值数据(iFinD）'!$A936-'实盘净值数据(iFinD）'!$A$69)/365))</f>
        <v/>
      </c>
      <c r="U936" s="16">
        <f>IF(OR(T935="",T936=""),"",T936/T935-1)</f>
        <v/>
      </c>
      <c r="V936" s="16">
        <f>IF(T936="","",T936/MAX(T$5:T936)-1)</f>
        <v/>
      </c>
    </row>
    <row r="937" spans="1:19">
      <c r="A937" s="15" t="str">
        <f>IF('实盘净值数据(iFinD）'!A937="","",'实盘净值数据(iFinD）'!A937)</f>
        <v/>
      </c>
      <c r="B937" s="13" t="str">
        <f>IF(OR('实盘净值数据(iFinD）'!$A937="",'实盘净值数据(iFinD）'!$B937=""),"",分期持仓明细!$AB$17*SUMPRODUCT(分期持仓明细!$B$17:$Y$17,'实盘净值数据(iFinD）'!$B937:$Y937/'实盘净值数据(iFinD）'!$B$20:$Y$20)*(1-实盘持仓初始配置!$Z$4)^(('实盘净值数据(iFinD）'!$A937-'实盘净值数据(iFinD）'!$A$6)/365))</f>
        <v/>
      </c>
      <c r="C937" s="16" t="str">
        <f t="shared" si="84"/>
        <v/>
      </c>
      <c r="D937" s="16" t="str">
        <f>IF(B937="","",B937/MAX(B$5:B937)-1)</f>
        <v/>
      </c>
      <c r="E937" s="13" t="str">
        <f>IF(OR('实盘净值数据(iFinD）'!$A937="",'实盘净值数据(iFinD）'!$B937=""),"",分期持仓明细!$AB$18*SUMPRODUCT(分期持仓明细!$B$18:$Y$18,'实盘净值数据(iFinD）'!$B937:$Y937/'实盘净值数据(iFinD）'!$B$20:$Y$20)*(1-实盘持仓初始配置!$Z$5)^(('实盘净值数据(iFinD）'!$A937-'实盘净值数据(iFinD）'!$A$5)/365))</f>
        <v/>
      </c>
      <c r="F937" s="16" t="str">
        <f t="shared" si="85"/>
        <v/>
      </c>
      <c r="G937" s="16" t="str">
        <f>IF(E937="","",E937/MAX(E$5:E937)-1)</f>
        <v/>
      </c>
      <c r="H937" s="13" t="str">
        <f>IF(OR('实盘净值数据(iFinD）'!$A937="",'实盘净值数据(iFinD）'!$B937=""),"",分期持仓明细!$AB$19*SUMPRODUCT(分期持仓明细!$B$19:$Y$19,'实盘净值数据(iFinD）'!$B937:$Y937/'实盘净值数据(iFinD）'!$B$20:$Y$20)*(1-实盘持仓初始配置!$Z$6)^(('实盘净值数据(iFinD）'!$A937-'实盘净值数据(iFinD）'!$A$7)/365))</f>
        <v/>
      </c>
      <c r="I937" s="16" t="str">
        <f t="shared" si="86"/>
        <v/>
      </c>
      <c r="J937" s="16" t="str">
        <f>IF(H937="","",H937/MAX(H$5:H937)-1)</f>
        <v/>
      </c>
      <c r="K937" s="13" t="str">
        <f>IF(OR('实盘净值数据(iFinD）'!$A937="",'实盘净值数据(iFinD）'!$B937="",'实盘净值数据(iFinD）'!$Z937="",'实盘净值数据(iFinD）'!$AA937=""),"",分期持仓明细!$AB$23*(SUMPRODUCT(分期持仓明细!$B$23:$Y$23,'实盘净值数据(iFinD）'!$B937:$Y937/'实盘净值数据(iFinD）'!$B$65:$Y$65)+SUMPRODUCT(分期持仓明细!$AC$23:$AD$23,'实盘净值数据(iFinD）'!$Z937:$AA937/'实盘净值数据(iFinD）'!$Z$65:$AA$65))*(1-实盘持仓初始配置!$Z$7)^(('实盘净值数据(iFinD）'!$A937-'实盘净值数据(iFinD）'!$A$8)/365))</f>
        <v/>
      </c>
      <c r="L937" s="16" t="str">
        <f t="shared" si="87"/>
        <v/>
      </c>
      <c r="M937" s="16" t="str">
        <f>IF(K937="","",K937/MAX(K$5:K937)-1)</f>
        <v/>
      </c>
      <c r="N937" s="13" t="str">
        <f>IF(OR('实盘净值数据(iFinD）'!$A937="",'实盘净值数据(iFinD）'!$B937="",'实盘净值数据(iFinD）'!$Z937="",'实盘净值数据(iFinD）'!$AA937=""),"",分期持仓明细!$AB$24*(SUMPRODUCT(分期持仓明细!$B$24:$Y$24,'实盘净值数据(iFinD）'!$B937:$Y937/'实盘净值数据(iFinD）'!$B$65:$Y$65)+SUMPRODUCT(分期持仓明细!$AC$24:$AD$24,'实盘净值数据(iFinD）'!$Z937:$AA937/'实盘净值数据(iFinD）'!$Z$65:$AA$65))*(1-实盘持仓初始配置!$Z$8)^(('实盘净值数据(iFinD）'!$A937-'实盘净值数据(iFinD）'!$A$5)/365))</f>
        <v/>
      </c>
      <c r="O937" s="16" t="str">
        <f t="shared" si="88"/>
        <v/>
      </c>
      <c r="P937" s="16" t="str">
        <f>IF(N937="","",N937/MAX(N$5:N937)-1)</f>
        <v/>
      </c>
      <c r="Q937" s="13" t="str">
        <f>IF(OR('实盘净值数据(iFinD）'!$A937="",'实盘净值数据(iFinD）'!$B937="",'实盘净值数据(iFinD）'!$Z937="",'实盘净值数据(iFinD）'!$AA937=""),"",分期持仓明细!$AB$25*(SUMPRODUCT(分期持仓明细!$B$25:$Y$25,'实盘净值数据(iFinD）'!$B937:$Y937/'实盘净值数据(iFinD）'!$B$65:$Y$65)+SUMPRODUCT(分期持仓明细!$AC$25:$AD$25,'实盘净值数据(iFinD）'!$Z937:$AA937/'实盘净值数据(iFinD）'!$Z$65:$AA$65))*(1-实盘持仓初始配置!$Z$9)^(('实盘净值数据(iFinD）'!$A937-'实盘净值数据(iFinD）'!$A$8)/365))</f>
        <v/>
      </c>
      <c r="R937" s="16" t="str">
        <f t="shared" si="89"/>
        <v/>
      </c>
      <c r="S937" s="16" t="str">
        <f>IF(Q937="","",Q937/MAX(Q$5:Q937)-1)</f>
        <v/>
      </c>
      <c r="T937" s="13">
        <f>IF(OR('实盘净值数据(iFinD）'!$A937="",'实盘净值数据(iFinD）'!$B937="",'实盘净值数据(iFinD）'!$Z937="",'实盘净值数据(iFinD）'!$AA937="",'实盘净值数据(iFinD）'!$AB937="",'实盘净值数据(iFinD）'!$AL937=""),"",(SUMPRODUCT(分期持仓明细!$B$26:$Y$26,'实盘净值数据(iFinD）'!$B937:$Y937/'实盘净值数据(iFinD）'!$B$69:$Y$69)+SUMPRODUCT(分期持仓明细!$AC$26:$AD$26,'实盘净值数据(iFinD）'!$Z937:$AA937/'实盘净值数据(iFinD）'!$Z$69:$AA$69)+SUMPRODUCT(分期持仓明细!$AE$26:$AO$26,'实盘净值数据(iFinD）'!$AB937:$AL937/'实盘净值数据(iFinD）'!$AB$69:$AL$69))*(1-实盘持仓初始配置!$Z$10)^(('实盘净值数据(iFinD）'!$A937-'实盘净值数据(iFinD）'!$A$69)/365))</f>
        <v/>
      </c>
      <c r="U937" s="16">
        <f>IF(OR(T936="",T937=""),"",T937/T936-1)</f>
        <v/>
      </c>
      <c r="V937" s="16">
        <f>IF(T937="","",T937/MAX(T$5:T937)-1)</f>
        <v/>
      </c>
    </row>
    <row r="938" spans="1:19">
      <c r="A938" s="15" t="str">
        <f>IF('实盘净值数据(iFinD）'!A938="","",'实盘净值数据(iFinD）'!A938)</f>
        <v/>
      </c>
      <c r="B938" s="13" t="str">
        <f>IF(OR('实盘净值数据(iFinD）'!$A938="",'实盘净值数据(iFinD）'!$B938=""),"",分期持仓明细!$AB$17*SUMPRODUCT(分期持仓明细!$B$17:$Y$17,'实盘净值数据(iFinD）'!$B938:$Y938/'实盘净值数据(iFinD）'!$B$20:$Y$20)*(1-实盘持仓初始配置!$Z$4)^(('实盘净值数据(iFinD）'!$A938-'实盘净值数据(iFinD）'!$A$6)/365))</f>
        <v/>
      </c>
      <c r="C938" s="16" t="str">
        <f t="shared" si="84"/>
        <v/>
      </c>
      <c r="D938" s="16" t="str">
        <f>IF(B938="","",B938/MAX(B$5:B938)-1)</f>
        <v/>
      </c>
      <c r="E938" s="13" t="str">
        <f>IF(OR('实盘净值数据(iFinD）'!$A938="",'实盘净值数据(iFinD）'!$B938=""),"",分期持仓明细!$AB$18*SUMPRODUCT(分期持仓明细!$B$18:$Y$18,'实盘净值数据(iFinD）'!$B938:$Y938/'实盘净值数据(iFinD）'!$B$20:$Y$20)*(1-实盘持仓初始配置!$Z$5)^(('实盘净值数据(iFinD）'!$A938-'实盘净值数据(iFinD）'!$A$5)/365))</f>
        <v/>
      </c>
      <c r="F938" s="16" t="str">
        <f t="shared" si="85"/>
        <v/>
      </c>
      <c r="G938" s="16" t="str">
        <f>IF(E938="","",E938/MAX(E$5:E938)-1)</f>
        <v/>
      </c>
      <c r="H938" s="13" t="str">
        <f>IF(OR('实盘净值数据(iFinD）'!$A938="",'实盘净值数据(iFinD）'!$B938=""),"",分期持仓明细!$AB$19*SUMPRODUCT(分期持仓明细!$B$19:$Y$19,'实盘净值数据(iFinD）'!$B938:$Y938/'实盘净值数据(iFinD）'!$B$20:$Y$20)*(1-实盘持仓初始配置!$Z$6)^(('实盘净值数据(iFinD）'!$A938-'实盘净值数据(iFinD）'!$A$7)/365))</f>
        <v/>
      </c>
      <c r="I938" s="16" t="str">
        <f t="shared" si="86"/>
        <v/>
      </c>
      <c r="J938" s="16" t="str">
        <f>IF(H938="","",H938/MAX(H$5:H938)-1)</f>
        <v/>
      </c>
      <c r="K938" s="13" t="str">
        <f>IF(OR('实盘净值数据(iFinD）'!$A938="",'实盘净值数据(iFinD）'!$B938="",'实盘净值数据(iFinD）'!$Z938="",'实盘净值数据(iFinD）'!$AA938=""),"",分期持仓明细!$AB$23*(SUMPRODUCT(分期持仓明细!$B$23:$Y$23,'实盘净值数据(iFinD）'!$B938:$Y938/'实盘净值数据(iFinD）'!$B$65:$Y$65)+SUMPRODUCT(分期持仓明细!$AC$23:$AD$23,'实盘净值数据(iFinD）'!$Z938:$AA938/'实盘净值数据(iFinD）'!$Z$65:$AA$65))*(1-实盘持仓初始配置!$Z$7)^(('实盘净值数据(iFinD）'!$A938-'实盘净值数据(iFinD）'!$A$8)/365))</f>
        <v/>
      </c>
      <c r="L938" s="16" t="str">
        <f t="shared" si="87"/>
        <v/>
      </c>
      <c r="M938" s="16" t="str">
        <f>IF(K938="","",K938/MAX(K$5:K938)-1)</f>
        <v/>
      </c>
      <c r="N938" s="13" t="str">
        <f>IF(OR('实盘净值数据(iFinD）'!$A938="",'实盘净值数据(iFinD）'!$B938="",'实盘净值数据(iFinD）'!$Z938="",'实盘净值数据(iFinD）'!$AA938=""),"",分期持仓明细!$AB$24*(SUMPRODUCT(分期持仓明细!$B$24:$Y$24,'实盘净值数据(iFinD）'!$B938:$Y938/'实盘净值数据(iFinD）'!$B$65:$Y$65)+SUMPRODUCT(分期持仓明细!$AC$24:$AD$24,'实盘净值数据(iFinD）'!$Z938:$AA938/'实盘净值数据(iFinD）'!$Z$65:$AA$65))*(1-实盘持仓初始配置!$Z$8)^(('实盘净值数据(iFinD）'!$A938-'实盘净值数据(iFinD）'!$A$5)/365))</f>
        <v/>
      </c>
      <c r="O938" s="16" t="str">
        <f t="shared" si="88"/>
        <v/>
      </c>
      <c r="P938" s="16" t="str">
        <f>IF(N938="","",N938/MAX(N$5:N938)-1)</f>
        <v/>
      </c>
      <c r="Q938" s="13" t="str">
        <f>IF(OR('实盘净值数据(iFinD）'!$A938="",'实盘净值数据(iFinD）'!$B938="",'实盘净值数据(iFinD）'!$Z938="",'实盘净值数据(iFinD）'!$AA938=""),"",分期持仓明细!$AB$25*(SUMPRODUCT(分期持仓明细!$B$25:$Y$25,'实盘净值数据(iFinD）'!$B938:$Y938/'实盘净值数据(iFinD）'!$B$65:$Y$65)+SUMPRODUCT(分期持仓明细!$AC$25:$AD$25,'实盘净值数据(iFinD）'!$Z938:$AA938/'实盘净值数据(iFinD）'!$Z$65:$AA$65))*(1-实盘持仓初始配置!$Z$9)^(('实盘净值数据(iFinD）'!$A938-'实盘净值数据(iFinD）'!$A$8)/365))</f>
        <v/>
      </c>
      <c r="R938" s="16" t="str">
        <f t="shared" si="89"/>
        <v/>
      </c>
      <c r="S938" s="16" t="str">
        <f>IF(Q938="","",Q938/MAX(Q$5:Q938)-1)</f>
        <v/>
      </c>
      <c r="T938" s="13">
        <f>IF(OR('实盘净值数据(iFinD）'!$A938="",'实盘净值数据(iFinD）'!$B938="",'实盘净值数据(iFinD）'!$Z938="",'实盘净值数据(iFinD）'!$AA938="",'实盘净值数据(iFinD）'!$AB938="",'实盘净值数据(iFinD）'!$AL938=""),"",(SUMPRODUCT(分期持仓明细!$B$26:$Y$26,'实盘净值数据(iFinD）'!$B938:$Y938/'实盘净值数据(iFinD）'!$B$69:$Y$69)+SUMPRODUCT(分期持仓明细!$AC$26:$AD$26,'实盘净值数据(iFinD）'!$Z938:$AA938/'实盘净值数据(iFinD）'!$Z$69:$AA$69)+SUMPRODUCT(分期持仓明细!$AE$26:$AO$26,'实盘净值数据(iFinD）'!$AB938:$AL938/'实盘净值数据(iFinD）'!$AB$69:$AL$69))*(1-实盘持仓初始配置!$Z$10)^(('实盘净值数据(iFinD）'!$A938-'实盘净值数据(iFinD）'!$A$69)/365))</f>
        <v/>
      </c>
      <c r="U938" s="16">
        <f>IF(OR(T937="",T938=""),"",T938/T937-1)</f>
        <v/>
      </c>
      <c r="V938" s="16">
        <f>IF(T938="","",T938/MAX(T$5:T938)-1)</f>
        <v/>
      </c>
    </row>
    <row r="939" spans="1:19">
      <c r="A939" s="15" t="str">
        <f>IF('实盘净值数据(iFinD）'!A939="","",'实盘净值数据(iFinD）'!A939)</f>
        <v/>
      </c>
      <c r="B939" s="13" t="str">
        <f>IF(OR('实盘净值数据(iFinD）'!$A939="",'实盘净值数据(iFinD）'!$B939=""),"",分期持仓明细!$AB$17*SUMPRODUCT(分期持仓明细!$B$17:$Y$17,'实盘净值数据(iFinD）'!$B939:$Y939/'实盘净值数据(iFinD）'!$B$20:$Y$20)*(1-实盘持仓初始配置!$Z$4)^(('实盘净值数据(iFinD）'!$A939-'实盘净值数据(iFinD）'!$A$6)/365))</f>
        <v/>
      </c>
      <c r="C939" s="16" t="str">
        <f t="shared" si="84"/>
        <v/>
      </c>
      <c r="D939" s="16" t="str">
        <f>IF(B939="","",B939/MAX(B$5:B939)-1)</f>
        <v/>
      </c>
      <c r="E939" s="13" t="str">
        <f>IF(OR('实盘净值数据(iFinD）'!$A939="",'实盘净值数据(iFinD）'!$B939=""),"",分期持仓明细!$AB$18*SUMPRODUCT(分期持仓明细!$B$18:$Y$18,'实盘净值数据(iFinD）'!$B939:$Y939/'实盘净值数据(iFinD）'!$B$20:$Y$20)*(1-实盘持仓初始配置!$Z$5)^(('实盘净值数据(iFinD）'!$A939-'实盘净值数据(iFinD）'!$A$5)/365))</f>
        <v/>
      </c>
      <c r="F939" s="16" t="str">
        <f t="shared" si="85"/>
        <v/>
      </c>
      <c r="G939" s="16" t="str">
        <f>IF(E939="","",E939/MAX(E$5:E939)-1)</f>
        <v/>
      </c>
      <c r="H939" s="13" t="str">
        <f>IF(OR('实盘净值数据(iFinD）'!$A939="",'实盘净值数据(iFinD）'!$B939=""),"",分期持仓明细!$AB$19*SUMPRODUCT(分期持仓明细!$B$19:$Y$19,'实盘净值数据(iFinD）'!$B939:$Y939/'实盘净值数据(iFinD）'!$B$20:$Y$20)*(1-实盘持仓初始配置!$Z$6)^(('实盘净值数据(iFinD）'!$A939-'实盘净值数据(iFinD）'!$A$7)/365))</f>
        <v/>
      </c>
      <c r="I939" s="16" t="str">
        <f t="shared" si="86"/>
        <v/>
      </c>
      <c r="J939" s="16" t="str">
        <f>IF(H939="","",H939/MAX(H$5:H939)-1)</f>
        <v/>
      </c>
      <c r="K939" s="13" t="str">
        <f>IF(OR('实盘净值数据(iFinD）'!$A939="",'实盘净值数据(iFinD）'!$B939="",'实盘净值数据(iFinD）'!$Z939="",'实盘净值数据(iFinD）'!$AA939=""),"",分期持仓明细!$AB$23*(SUMPRODUCT(分期持仓明细!$B$23:$Y$23,'实盘净值数据(iFinD）'!$B939:$Y939/'实盘净值数据(iFinD）'!$B$65:$Y$65)+SUMPRODUCT(分期持仓明细!$AC$23:$AD$23,'实盘净值数据(iFinD）'!$Z939:$AA939/'实盘净值数据(iFinD）'!$Z$65:$AA$65))*(1-实盘持仓初始配置!$Z$7)^(('实盘净值数据(iFinD）'!$A939-'实盘净值数据(iFinD）'!$A$8)/365))</f>
        <v/>
      </c>
      <c r="L939" s="16" t="str">
        <f t="shared" si="87"/>
        <v/>
      </c>
      <c r="M939" s="16" t="str">
        <f>IF(K939="","",K939/MAX(K$5:K939)-1)</f>
        <v/>
      </c>
      <c r="N939" s="13" t="str">
        <f>IF(OR('实盘净值数据(iFinD）'!$A939="",'实盘净值数据(iFinD）'!$B939="",'实盘净值数据(iFinD）'!$Z939="",'实盘净值数据(iFinD）'!$AA939=""),"",分期持仓明细!$AB$24*(SUMPRODUCT(分期持仓明细!$B$24:$Y$24,'实盘净值数据(iFinD）'!$B939:$Y939/'实盘净值数据(iFinD）'!$B$65:$Y$65)+SUMPRODUCT(分期持仓明细!$AC$24:$AD$24,'实盘净值数据(iFinD）'!$Z939:$AA939/'实盘净值数据(iFinD）'!$Z$65:$AA$65))*(1-实盘持仓初始配置!$Z$8)^(('实盘净值数据(iFinD）'!$A939-'实盘净值数据(iFinD）'!$A$5)/365))</f>
        <v/>
      </c>
      <c r="O939" s="16" t="str">
        <f t="shared" si="88"/>
        <v/>
      </c>
      <c r="P939" s="16" t="str">
        <f>IF(N939="","",N939/MAX(N$5:N939)-1)</f>
        <v/>
      </c>
      <c r="Q939" s="13" t="str">
        <f>IF(OR('实盘净值数据(iFinD）'!$A939="",'实盘净值数据(iFinD）'!$B939="",'实盘净值数据(iFinD）'!$Z939="",'实盘净值数据(iFinD）'!$AA939=""),"",分期持仓明细!$AB$25*(SUMPRODUCT(分期持仓明细!$B$25:$Y$25,'实盘净值数据(iFinD）'!$B939:$Y939/'实盘净值数据(iFinD）'!$B$65:$Y$65)+SUMPRODUCT(分期持仓明细!$AC$25:$AD$25,'实盘净值数据(iFinD）'!$Z939:$AA939/'实盘净值数据(iFinD）'!$Z$65:$AA$65))*(1-实盘持仓初始配置!$Z$9)^(('实盘净值数据(iFinD）'!$A939-'实盘净值数据(iFinD）'!$A$8)/365))</f>
        <v/>
      </c>
      <c r="R939" s="16" t="str">
        <f t="shared" si="89"/>
        <v/>
      </c>
      <c r="S939" s="16" t="str">
        <f>IF(Q939="","",Q939/MAX(Q$5:Q939)-1)</f>
        <v/>
      </c>
      <c r="T939" s="13">
        <f>IF(OR('实盘净值数据(iFinD）'!$A939="",'实盘净值数据(iFinD）'!$B939="",'实盘净值数据(iFinD）'!$Z939="",'实盘净值数据(iFinD）'!$AA939="",'实盘净值数据(iFinD）'!$AB939="",'实盘净值数据(iFinD）'!$AL939=""),"",(SUMPRODUCT(分期持仓明细!$B$26:$Y$26,'实盘净值数据(iFinD）'!$B939:$Y939/'实盘净值数据(iFinD）'!$B$69:$Y$69)+SUMPRODUCT(分期持仓明细!$AC$26:$AD$26,'实盘净值数据(iFinD）'!$Z939:$AA939/'实盘净值数据(iFinD）'!$Z$69:$AA$69)+SUMPRODUCT(分期持仓明细!$AE$26:$AO$26,'实盘净值数据(iFinD）'!$AB939:$AL939/'实盘净值数据(iFinD）'!$AB$69:$AL$69))*(1-实盘持仓初始配置!$Z$10)^(('实盘净值数据(iFinD）'!$A939-'实盘净值数据(iFinD）'!$A$69)/365))</f>
        <v/>
      </c>
      <c r="U939" s="16">
        <f>IF(OR(T938="",T939=""),"",T939/T938-1)</f>
        <v/>
      </c>
      <c r="V939" s="16">
        <f>IF(T939="","",T939/MAX(T$5:T939)-1)</f>
        <v/>
      </c>
    </row>
    <row r="940" spans="1:19">
      <c r="A940" s="15" t="str">
        <f>IF('实盘净值数据(iFinD）'!A940="","",'实盘净值数据(iFinD）'!A940)</f>
        <v/>
      </c>
      <c r="B940" s="13" t="str">
        <f>IF(OR('实盘净值数据(iFinD）'!$A940="",'实盘净值数据(iFinD）'!$B940=""),"",分期持仓明细!$AB$17*SUMPRODUCT(分期持仓明细!$B$17:$Y$17,'实盘净值数据(iFinD）'!$B940:$Y940/'实盘净值数据(iFinD）'!$B$20:$Y$20)*(1-实盘持仓初始配置!$Z$4)^(('实盘净值数据(iFinD）'!$A940-'实盘净值数据(iFinD）'!$A$6)/365))</f>
        <v/>
      </c>
      <c r="C940" s="16" t="str">
        <f t="shared" si="84"/>
        <v/>
      </c>
      <c r="D940" s="16" t="str">
        <f>IF(B940="","",B940/MAX(B$5:B940)-1)</f>
        <v/>
      </c>
      <c r="E940" s="13" t="str">
        <f>IF(OR('实盘净值数据(iFinD）'!$A940="",'实盘净值数据(iFinD）'!$B940=""),"",分期持仓明细!$AB$18*SUMPRODUCT(分期持仓明细!$B$18:$Y$18,'实盘净值数据(iFinD）'!$B940:$Y940/'实盘净值数据(iFinD）'!$B$20:$Y$20)*(1-实盘持仓初始配置!$Z$5)^(('实盘净值数据(iFinD）'!$A940-'实盘净值数据(iFinD）'!$A$5)/365))</f>
        <v/>
      </c>
      <c r="F940" s="16" t="str">
        <f t="shared" si="85"/>
        <v/>
      </c>
      <c r="G940" s="16" t="str">
        <f>IF(E940="","",E940/MAX(E$5:E940)-1)</f>
        <v/>
      </c>
      <c r="H940" s="13" t="str">
        <f>IF(OR('实盘净值数据(iFinD）'!$A940="",'实盘净值数据(iFinD）'!$B940=""),"",分期持仓明细!$AB$19*SUMPRODUCT(分期持仓明细!$B$19:$Y$19,'实盘净值数据(iFinD）'!$B940:$Y940/'实盘净值数据(iFinD）'!$B$20:$Y$20)*(1-实盘持仓初始配置!$Z$6)^(('实盘净值数据(iFinD）'!$A940-'实盘净值数据(iFinD）'!$A$7)/365))</f>
        <v/>
      </c>
      <c r="I940" s="16" t="str">
        <f t="shared" si="86"/>
        <v/>
      </c>
      <c r="J940" s="16" t="str">
        <f>IF(H940="","",H940/MAX(H$5:H940)-1)</f>
        <v/>
      </c>
      <c r="K940" s="13" t="str">
        <f>IF(OR('实盘净值数据(iFinD）'!$A940="",'实盘净值数据(iFinD）'!$B940="",'实盘净值数据(iFinD）'!$Z940="",'实盘净值数据(iFinD）'!$AA940=""),"",分期持仓明细!$AB$23*(SUMPRODUCT(分期持仓明细!$B$23:$Y$23,'实盘净值数据(iFinD）'!$B940:$Y940/'实盘净值数据(iFinD）'!$B$65:$Y$65)+SUMPRODUCT(分期持仓明细!$AC$23:$AD$23,'实盘净值数据(iFinD）'!$Z940:$AA940/'实盘净值数据(iFinD）'!$Z$65:$AA$65))*(1-实盘持仓初始配置!$Z$7)^(('实盘净值数据(iFinD）'!$A940-'实盘净值数据(iFinD）'!$A$8)/365))</f>
        <v/>
      </c>
      <c r="L940" s="16" t="str">
        <f t="shared" si="87"/>
        <v/>
      </c>
      <c r="M940" s="16" t="str">
        <f>IF(K940="","",K940/MAX(K$5:K940)-1)</f>
        <v/>
      </c>
      <c r="N940" s="13" t="str">
        <f>IF(OR('实盘净值数据(iFinD）'!$A940="",'实盘净值数据(iFinD）'!$B940="",'实盘净值数据(iFinD）'!$Z940="",'实盘净值数据(iFinD）'!$AA940=""),"",分期持仓明细!$AB$24*(SUMPRODUCT(分期持仓明细!$B$24:$Y$24,'实盘净值数据(iFinD）'!$B940:$Y940/'实盘净值数据(iFinD）'!$B$65:$Y$65)+SUMPRODUCT(分期持仓明细!$AC$24:$AD$24,'实盘净值数据(iFinD）'!$Z940:$AA940/'实盘净值数据(iFinD）'!$Z$65:$AA$65))*(1-实盘持仓初始配置!$Z$8)^(('实盘净值数据(iFinD）'!$A940-'实盘净值数据(iFinD）'!$A$5)/365))</f>
        <v/>
      </c>
      <c r="O940" s="16" t="str">
        <f t="shared" si="88"/>
        <v/>
      </c>
      <c r="P940" s="16" t="str">
        <f>IF(N940="","",N940/MAX(N$5:N940)-1)</f>
        <v/>
      </c>
      <c r="Q940" s="13" t="str">
        <f>IF(OR('实盘净值数据(iFinD）'!$A940="",'实盘净值数据(iFinD）'!$B940="",'实盘净值数据(iFinD）'!$Z940="",'实盘净值数据(iFinD）'!$AA940=""),"",分期持仓明细!$AB$25*(SUMPRODUCT(分期持仓明细!$B$25:$Y$25,'实盘净值数据(iFinD）'!$B940:$Y940/'实盘净值数据(iFinD）'!$B$65:$Y$65)+SUMPRODUCT(分期持仓明细!$AC$25:$AD$25,'实盘净值数据(iFinD）'!$Z940:$AA940/'实盘净值数据(iFinD）'!$Z$65:$AA$65))*(1-实盘持仓初始配置!$Z$9)^(('实盘净值数据(iFinD）'!$A940-'实盘净值数据(iFinD）'!$A$8)/365))</f>
        <v/>
      </c>
      <c r="R940" s="16" t="str">
        <f t="shared" si="89"/>
        <v/>
      </c>
      <c r="S940" s="16" t="str">
        <f>IF(Q940="","",Q940/MAX(Q$5:Q940)-1)</f>
        <v/>
      </c>
      <c r="T940" s="13">
        <f>IF(OR('实盘净值数据(iFinD）'!$A940="",'实盘净值数据(iFinD）'!$B940="",'实盘净值数据(iFinD）'!$Z940="",'实盘净值数据(iFinD）'!$AA940="",'实盘净值数据(iFinD）'!$AB940="",'实盘净值数据(iFinD）'!$AL940=""),"",(SUMPRODUCT(分期持仓明细!$B$26:$Y$26,'实盘净值数据(iFinD）'!$B940:$Y940/'实盘净值数据(iFinD）'!$B$69:$Y$69)+SUMPRODUCT(分期持仓明细!$AC$26:$AD$26,'实盘净值数据(iFinD）'!$Z940:$AA940/'实盘净值数据(iFinD）'!$Z$69:$AA$69)+SUMPRODUCT(分期持仓明细!$AE$26:$AO$26,'实盘净值数据(iFinD）'!$AB940:$AL940/'实盘净值数据(iFinD）'!$AB$69:$AL$69))*(1-实盘持仓初始配置!$Z$10)^(('实盘净值数据(iFinD）'!$A940-'实盘净值数据(iFinD）'!$A$69)/365))</f>
        <v/>
      </c>
      <c r="U940" s="16">
        <f>IF(OR(T939="",T940=""),"",T940/T939-1)</f>
        <v/>
      </c>
      <c r="V940" s="16">
        <f>IF(T940="","",T940/MAX(T$5:T940)-1)</f>
        <v/>
      </c>
    </row>
    <row r="941" spans="1:19">
      <c r="A941" s="15" t="str">
        <f>IF('实盘净值数据(iFinD）'!A941="","",'实盘净值数据(iFinD）'!A941)</f>
        <v/>
      </c>
      <c r="B941" s="13" t="str">
        <f>IF(OR('实盘净值数据(iFinD）'!$A941="",'实盘净值数据(iFinD）'!$B941=""),"",分期持仓明细!$AB$17*SUMPRODUCT(分期持仓明细!$B$17:$Y$17,'实盘净值数据(iFinD）'!$B941:$Y941/'实盘净值数据(iFinD）'!$B$20:$Y$20)*(1-实盘持仓初始配置!$Z$4)^(('实盘净值数据(iFinD）'!$A941-'实盘净值数据(iFinD）'!$A$6)/365))</f>
        <v/>
      </c>
      <c r="C941" s="16" t="str">
        <f t="shared" si="84"/>
        <v/>
      </c>
      <c r="D941" s="16" t="str">
        <f>IF(B941="","",B941/MAX(B$5:B941)-1)</f>
        <v/>
      </c>
      <c r="E941" s="13" t="str">
        <f>IF(OR('实盘净值数据(iFinD）'!$A941="",'实盘净值数据(iFinD）'!$B941=""),"",分期持仓明细!$AB$18*SUMPRODUCT(分期持仓明细!$B$18:$Y$18,'实盘净值数据(iFinD）'!$B941:$Y941/'实盘净值数据(iFinD）'!$B$20:$Y$20)*(1-实盘持仓初始配置!$Z$5)^(('实盘净值数据(iFinD）'!$A941-'实盘净值数据(iFinD）'!$A$5)/365))</f>
        <v/>
      </c>
      <c r="F941" s="16" t="str">
        <f t="shared" si="85"/>
        <v/>
      </c>
      <c r="G941" s="16" t="str">
        <f>IF(E941="","",E941/MAX(E$5:E941)-1)</f>
        <v/>
      </c>
      <c r="H941" s="13" t="str">
        <f>IF(OR('实盘净值数据(iFinD）'!$A941="",'实盘净值数据(iFinD）'!$B941=""),"",分期持仓明细!$AB$19*SUMPRODUCT(分期持仓明细!$B$19:$Y$19,'实盘净值数据(iFinD）'!$B941:$Y941/'实盘净值数据(iFinD）'!$B$20:$Y$20)*(1-实盘持仓初始配置!$Z$6)^(('实盘净值数据(iFinD）'!$A941-'实盘净值数据(iFinD）'!$A$7)/365))</f>
        <v/>
      </c>
      <c r="I941" s="16" t="str">
        <f t="shared" si="86"/>
        <v/>
      </c>
      <c r="J941" s="16" t="str">
        <f>IF(H941="","",H941/MAX(H$5:H941)-1)</f>
        <v/>
      </c>
      <c r="K941" s="13" t="str">
        <f>IF(OR('实盘净值数据(iFinD）'!$A941="",'实盘净值数据(iFinD）'!$B941="",'实盘净值数据(iFinD）'!$Z941="",'实盘净值数据(iFinD）'!$AA941=""),"",分期持仓明细!$AB$23*(SUMPRODUCT(分期持仓明细!$B$23:$Y$23,'实盘净值数据(iFinD）'!$B941:$Y941/'实盘净值数据(iFinD）'!$B$65:$Y$65)+SUMPRODUCT(分期持仓明细!$AC$23:$AD$23,'实盘净值数据(iFinD）'!$Z941:$AA941/'实盘净值数据(iFinD）'!$Z$65:$AA$65))*(1-实盘持仓初始配置!$Z$7)^(('实盘净值数据(iFinD）'!$A941-'实盘净值数据(iFinD）'!$A$8)/365))</f>
        <v/>
      </c>
      <c r="L941" s="16" t="str">
        <f t="shared" si="87"/>
        <v/>
      </c>
      <c r="M941" s="16" t="str">
        <f>IF(K941="","",K941/MAX(K$5:K941)-1)</f>
        <v/>
      </c>
      <c r="N941" s="13" t="str">
        <f>IF(OR('实盘净值数据(iFinD）'!$A941="",'实盘净值数据(iFinD）'!$B941="",'实盘净值数据(iFinD）'!$Z941="",'实盘净值数据(iFinD）'!$AA941=""),"",分期持仓明细!$AB$24*(SUMPRODUCT(分期持仓明细!$B$24:$Y$24,'实盘净值数据(iFinD）'!$B941:$Y941/'实盘净值数据(iFinD）'!$B$65:$Y$65)+SUMPRODUCT(分期持仓明细!$AC$24:$AD$24,'实盘净值数据(iFinD）'!$Z941:$AA941/'实盘净值数据(iFinD）'!$Z$65:$AA$65))*(1-实盘持仓初始配置!$Z$8)^(('实盘净值数据(iFinD）'!$A941-'实盘净值数据(iFinD）'!$A$5)/365))</f>
        <v/>
      </c>
      <c r="O941" s="16" t="str">
        <f t="shared" si="88"/>
        <v/>
      </c>
      <c r="P941" s="16" t="str">
        <f>IF(N941="","",N941/MAX(N$5:N941)-1)</f>
        <v/>
      </c>
      <c r="Q941" s="13" t="str">
        <f>IF(OR('实盘净值数据(iFinD）'!$A941="",'实盘净值数据(iFinD）'!$B941="",'实盘净值数据(iFinD）'!$Z941="",'实盘净值数据(iFinD）'!$AA941=""),"",分期持仓明细!$AB$25*(SUMPRODUCT(分期持仓明细!$B$25:$Y$25,'实盘净值数据(iFinD）'!$B941:$Y941/'实盘净值数据(iFinD）'!$B$65:$Y$65)+SUMPRODUCT(分期持仓明细!$AC$25:$AD$25,'实盘净值数据(iFinD）'!$Z941:$AA941/'实盘净值数据(iFinD）'!$Z$65:$AA$65))*(1-实盘持仓初始配置!$Z$9)^(('实盘净值数据(iFinD）'!$A941-'实盘净值数据(iFinD）'!$A$8)/365))</f>
        <v/>
      </c>
      <c r="R941" s="16" t="str">
        <f t="shared" si="89"/>
        <v/>
      </c>
      <c r="S941" s="16" t="str">
        <f>IF(Q941="","",Q941/MAX(Q$5:Q941)-1)</f>
        <v/>
      </c>
      <c r="T941" s="13">
        <f>IF(OR('实盘净值数据(iFinD）'!$A941="",'实盘净值数据(iFinD）'!$B941="",'实盘净值数据(iFinD）'!$Z941="",'实盘净值数据(iFinD）'!$AA941="",'实盘净值数据(iFinD）'!$AB941="",'实盘净值数据(iFinD）'!$AL941=""),"",(SUMPRODUCT(分期持仓明细!$B$26:$Y$26,'实盘净值数据(iFinD）'!$B941:$Y941/'实盘净值数据(iFinD）'!$B$69:$Y$69)+SUMPRODUCT(分期持仓明细!$AC$26:$AD$26,'实盘净值数据(iFinD）'!$Z941:$AA941/'实盘净值数据(iFinD）'!$Z$69:$AA$69)+SUMPRODUCT(分期持仓明细!$AE$26:$AO$26,'实盘净值数据(iFinD）'!$AB941:$AL941/'实盘净值数据(iFinD）'!$AB$69:$AL$69))*(1-实盘持仓初始配置!$Z$10)^(('实盘净值数据(iFinD）'!$A941-'实盘净值数据(iFinD）'!$A$69)/365))</f>
        <v/>
      </c>
      <c r="U941" s="16">
        <f>IF(OR(T940="",T941=""),"",T941/T940-1)</f>
        <v/>
      </c>
      <c r="V941" s="16">
        <f>IF(T941="","",T941/MAX(T$5:T941)-1)</f>
        <v/>
      </c>
    </row>
    <row r="942" spans="1:19">
      <c r="A942" s="15" t="str">
        <f>IF('实盘净值数据(iFinD）'!A942="","",'实盘净值数据(iFinD）'!A942)</f>
        <v/>
      </c>
      <c r="B942" s="13" t="str">
        <f>IF(OR('实盘净值数据(iFinD）'!$A942="",'实盘净值数据(iFinD）'!$B942=""),"",分期持仓明细!$AB$17*SUMPRODUCT(分期持仓明细!$B$17:$Y$17,'实盘净值数据(iFinD）'!$B942:$Y942/'实盘净值数据(iFinD）'!$B$20:$Y$20)*(1-实盘持仓初始配置!$Z$4)^(('实盘净值数据(iFinD）'!$A942-'实盘净值数据(iFinD）'!$A$6)/365))</f>
        <v/>
      </c>
      <c r="C942" s="16" t="str">
        <f t="shared" si="84"/>
        <v/>
      </c>
      <c r="D942" s="16" t="str">
        <f>IF(B942="","",B942/MAX(B$5:B942)-1)</f>
        <v/>
      </c>
      <c r="E942" s="13" t="str">
        <f>IF(OR('实盘净值数据(iFinD）'!$A942="",'实盘净值数据(iFinD）'!$B942=""),"",分期持仓明细!$AB$18*SUMPRODUCT(分期持仓明细!$B$18:$Y$18,'实盘净值数据(iFinD）'!$B942:$Y942/'实盘净值数据(iFinD）'!$B$20:$Y$20)*(1-实盘持仓初始配置!$Z$5)^(('实盘净值数据(iFinD）'!$A942-'实盘净值数据(iFinD）'!$A$5)/365))</f>
        <v/>
      </c>
      <c r="F942" s="16" t="str">
        <f t="shared" si="85"/>
        <v/>
      </c>
      <c r="G942" s="16" t="str">
        <f>IF(E942="","",E942/MAX(E$5:E942)-1)</f>
        <v/>
      </c>
      <c r="H942" s="13" t="str">
        <f>IF(OR('实盘净值数据(iFinD）'!$A942="",'实盘净值数据(iFinD）'!$B942=""),"",分期持仓明细!$AB$19*SUMPRODUCT(分期持仓明细!$B$19:$Y$19,'实盘净值数据(iFinD）'!$B942:$Y942/'实盘净值数据(iFinD）'!$B$20:$Y$20)*(1-实盘持仓初始配置!$Z$6)^(('实盘净值数据(iFinD）'!$A942-'实盘净值数据(iFinD）'!$A$7)/365))</f>
        <v/>
      </c>
      <c r="I942" s="16" t="str">
        <f t="shared" si="86"/>
        <v/>
      </c>
      <c r="J942" s="16" t="str">
        <f>IF(H942="","",H942/MAX(H$5:H942)-1)</f>
        <v/>
      </c>
      <c r="K942" s="13" t="str">
        <f>IF(OR('实盘净值数据(iFinD）'!$A942="",'实盘净值数据(iFinD）'!$B942="",'实盘净值数据(iFinD）'!$Z942="",'实盘净值数据(iFinD）'!$AA942=""),"",分期持仓明细!$AB$23*(SUMPRODUCT(分期持仓明细!$B$23:$Y$23,'实盘净值数据(iFinD）'!$B942:$Y942/'实盘净值数据(iFinD）'!$B$65:$Y$65)+SUMPRODUCT(分期持仓明细!$AC$23:$AD$23,'实盘净值数据(iFinD）'!$Z942:$AA942/'实盘净值数据(iFinD）'!$Z$65:$AA$65))*(1-实盘持仓初始配置!$Z$7)^(('实盘净值数据(iFinD）'!$A942-'实盘净值数据(iFinD）'!$A$8)/365))</f>
        <v/>
      </c>
      <c r="L942" s="16" t="str">
        <f t="shared" si="87"/>
        <v/>
      </c>
      <c r="M942" s="16" t="str">
        <f>IF(K942="","",K942/MAX(K$5:K942)-1)</f>
        <v/>
      </c>
      <c r="N942" s="13" t="str">
        <f>IF(OR('实盘净值数据(iFinD）'!$A942="",'实盘净值数据(iFinD）'!$B942="",'实盘净值数据(iFinD）'!$Z942="",'实盘净值数据(iFinD）'!$AA942=""),"",分期持仓明细!$AB$24*(SUMPRODUCT(分期持仓明细!$B$24:$Y$24,'实盘净值数据(iFinD）'!$B942:$Y942/'实盘净值数据(iFinD）'!$B$65:$Y$65)+SUMPRODUCT(分期持仓明细!$AC$24:$AD$24,'实盘净值数据(iFinD）'!$Z942:$AA942/'实盘净值数据(iFinD）'!$Z$65:$AA$65))*(1-实盘持仓初始配置!$Z$8)^(('实盘净值数据(iFinD）'!$A942-'实盘净值数据(iFinD）'!$A$5)/365))</f>
        <v/>
      </c>
      <c r="O942" s="16" t="str">
        <f t="shared" si="88"/>
        <v/>
      </c>
      <c r="P942" s="16" t="str">
        <f>IF(N942="","",N942/MAX(N$5:N942)-1)</f>
        <v/>
      </c>
      <c r="Q942" s="13" t="str">
        <f>IF(OR('实盘净值数据(iFinD）'!$A942="",'实盘净值数据(iFinD）'!$B942="",'实盘净值数据(iFinD）'!$Z942="",'实盘净值数据(iFinD）'!$AA942=""),"",分期持仓明细!$AB$25*(SUMPRODUCT(分期持仓明细!$B$25:$Y$25,'实盘净值数据(iFinD）'!$B942:$Y942/'实盘净值数据(iFinD）'!$B$65:$Y$65)+SUMPRODUCT(分期持仓明细!$AC$25:$AD$25,'实盘净值数据(iFinD）'!$Z942:$AA942/'实盘净值数据(iFinD）'!$Z$65:$AA$65))*(1-实盘持仓初始配置!$Z$9)^(('实盘净值数据(iFinD）'!$A942-'实盘净值数据(iFinD）'!$A$8)/365))</f>
        <v/>
      </c>
      <c r="R942" s="16" t="str">
        <f t="shared" si="89"/>
        <v/>
      </c>
      <c r="S942" s="16" t="str">
        <f>IF(Q942="","",Q942/MAX(Q$5:Q942)-1)</f>
        <v/>
      </c>
      <c r="T942" s="13">
        <f>IF(OR('实盘净值数据(iFinD）'!$A942="",'实盘净值数据(iFinD）'!$B942="",'实盘净值数据(iFinD）'!$Z942="",'实盘净值数据(iFinD）'!$AA942="",'实盘净值数据(iFinD）'!$AB942="",'实盘净值数据(iFinD）'!$AL942=""),"",(SUMPRODUCT(分期持仓明细!$B$26:$Y$26,'实盘净值数据(iFinD）'!$B942:$Y942/'实盘净值数据(iFinD）'!$B$69:$Y$69)+SUMPRODUCT(分期持仓明细!$AC$26:$AD$26,'实盘净值数据(iFinD）'!$Z942:$AA942/'实盘净值数据(iFinD）'!$Z$69:$AA$69)+SUMPRODUCT(分期持仓明细!$AE$26:$AO$26,'实盘净值数据(iFinD）'!$AB942:$AL942/'实盘净值数据(iFinD）'!$AB$69:$AL$69))*(1-实盘持仓初始配置!$Z$10)^(('实盘净值数据(iFinD）'!$A942-'实盘净值数据(iFinD）'!$A$69)/365))</f>
        <v/>
      </c>
      <c r="U942" s="16">
        <f>IF(OR(T941="",T942=""),"",T942/T941-1)</f>
        <v/>
      </c>
      <c r="V942" s="16">
        <f>IF(T942="","",T942/MAX(T$5:T942)-1)</f>
        <v/>
      </c>
    </row>
    <row r="943" spans="1:19">
      <c r="A943" s="15" t="str">
        <f>IF('实盘净值数据(iFinD）'!A943="","",'实盘净值数据(iFinD）'!A943)</f>
        <v/>
      </c>
      <c r="B943" s="13" t="str">
        <f>IF(OR('实盘净值数据(iFinD）'!$A943="",'实盘净值数据(iFinD）'!$B943=""),"",分期持仓明细!$AB$17*SUMPRODUCT(分期持仓明细!$B$17:$Y$17,'实盘净值数据(iFinD）'!$B943:$Y943/'实盘净值数据(iFinD）'!$B$20:$Y$20)*(1-实盘持仓初始配置!$Z$4)^(('实盘净值数据(iFinD）'!$A943-'实盘净值数据(iFinD）'!$A$6)/365))</f>
        <v/>
      </c>
      <c r="C943" s="16" t="str">
        <f t="shared" si="84"/>
        <v/>
      </c>
      <c r="D943" s="16" t="str">
        <f>IF(B943="","",B943/MAX(B$5:B943)-1)</f>
        <v/>
      </c>
      <c r="E943" s="13" t="str">
        <f>IF(OR('实盘净值数据(iFinD）'!$A943="",'实盘净值数据(iFinD）'!$B943=""),"",分期持仓明细!$AB$18*SUMPRODUCT(分期持仓明细!$B$18:$Y$18,'实盘净值数据(iFinD）'!$B943:$Y943/'实盘净值数据(iFinD）'!$B$20:$Y$20)*(1-实盘持仓初始配置!$Z$5)^(('实盘净值数据(iFinD）'!$A943-'实盘净值数据(iFinD）'!$A$5)/365))</f>
        <v/>
      </c>
      <c r="F943" s="16" t="str">
        <f t="shared" si="85"/>
        <v/>
      </c>
      <c r="G943" s="16" t="str">
        <f>IF(E943="","",E943/MAX(E$5:E943)-1)</f>
        <v/>
      </c>
      <c r="H943" s="13" t="str">
        <f>IF(OR('实盘净值数据(iFinD）'!$A943="",'实盘净值数据(iFinD）'!$B943=""),"",分期持仓明细!$AB$19*SUMPRODUCT(分期持仓明细!$B$19:$Y$19,'实盘净值数据(iFinD）'!$B943:$Y943/'实盘净值数据(iFinD）'!$B$20:$Y$20)*(1-实盘持仓初始配置!$Z$6)^(('实盘净值数据(iFinD）'!$A943-'实盘净值数据(iFinD）'!$A$7)/365))</f>
        <v/>
      </c>
      <c r="I943" s="16" t="str">
        <f t="shared" si="86"/>
        <v/>
      </c>
      <c r="J943" s="16" t="str">
        <f>IF(H943="","",H943/MAX(H$5:H943)-1)</f>
        <v/>
      </c>
      <c r="K943" s="13" t="str">
        <f>IF(OR('实盘净值数据(iFinD）'!$A943="",'实盘净值数据(iFinD）'!$B943="",'实盘净值数据(iFinD）'!$Z943="",'实盘净值数据(iFinD）'!$AA943=""),"",分期持仓明细!$AB$23*(SUMPRODUCT(分期持仓明细!$B$23:$Y$23,'实盘净值数据(iFinD）'!$B943:$Y943/'实盘净值数据(iFinD）'!$B$65:$Y$65)+SUMPRODUCT(分期持仓明细!$AC$23:$AD$23,'实盘净值数据(iFinD）'!$Z943:$AA943/'实盘净值数据(iFinD）'!$Z$65:$AA$65))*(1-实盘持仓初始配置!$Z$7)^(('实盘净值数据(iFinD）'!$A943-'实盘净值数据(iFinD）'!$A$8)/365))</f>
        <v/>
      </c>
      <c r="L943" s="16" t="str">
        <f t="shared" si="87"/>
        <v/>
      </c>
      <c r="M943" s="16" t="str">
        <f>IF(K943="","",K943/MAX(K$5:K943)-1)</f>
        <v/>
      </c>
      <c r="N943" s="13" t="str">
        <f>IF(OR('实盘净值数据(iFinD）'!$A943="",'实盘净值数据(iFinD）'!$B943="",'实盘净值数据(iFinD）'!$Z943="",'实盘净值数据(iFinD）'!$AA943=""),"",分期持仓明细!$AB$24*(SUMPRODUCT(分期持仓明细!$B$24:$Y$24,'实盘净值数据(iFinD）'!$B943:$Y943/'实盘净值数据(iFinD）'!$B$65:$Y$65)+SUMPRODUCT(分期持仓明细!$AC$24:$AD$24,'实盘净值数据(iFinD）'!$Z943:$AA943/'实盘净值数据(iFinD）'!$Z$65:$AA$65))*(1-实盘持仓初始配置!$Z$8)^(('实盘净值数据(iFinD）'!$A943-'实盘净值数据(iFinD）'!$A$5)/365))</f>
        <v/>
      </c>
      <c r="O943" s="16" t="str">
        <f t="shared" si="88"/>
        <v/>
      </c>
      <c r="P943" s="16" t="str">
        <f>IF(N943="","",N943/MAX(N$5:N943)-1)</f>
        <v/>
      </c>
      <c r="Q943" s="13" t="str">
        <f>IF(OR('实盘净值数据(iFinD）'!$A943="",'实盘净值数据(iFinD）'!$B943="",'实盘净值数据(iFinD）'!$Z943="",'实盘净值数据(iFinD）'!$AA943=""),"",分期持仓明细!$AB$25*(SUMPRODUCT(分期持仓明细!$B$25:$Y$25,'实盘净值数据(iFinD）'!$B943:$Y943/'实盘净值数据(iFinD）'!$B$65:$Y$65)+SUMPRODUCT(分期持仓明细!$AC$25:$AD$25,'实盘净值数据(iFinD）'!$Z943:$AA943/'实盘净值数据(iFinD）'!$Z$65:$AA$65))*(1-实盘持仓初始配置!$Z$9)^(('实盘净值数据(iFinD）'!$A943-'实盘净值数据(iFinD）'!$A$8)/365))</f>
        <v/>
      </c>
      <c r="R943" s="16" t="str">
        <f t="shared" si="89"/>
        <v/>
      </c>
      <c r="S943" s="16" t="str">
        <f>IF(Q943="","",Q943/MAX(Q$5:Q943)-1)</f>
        <v/>
      </c>
      <c r="T943" s="13">
        <f>IF(OR('实盘净值数据(iFinD）'!$A943="",'实盘净值数据(iFinD）'!$B943="",'实盘净值数据(iFinD）'!$Z943="",'实盘净值数据(iFinD）'!$AA943="",'实盘净值数据(iFinD）'!$AB943="",'实盘净值数据(iFinD）'!$AL943=""),"",(SUMPRODUCT(分期持仓明细!$B$26:$Y$26,'实盘净值数据(iFinD）'!$B943:$Y943/'实盘净值数据(iFinD）'!$B$69:$Y$69)+SUMPRODUCT(分期持仓明细!$AC$26:$AD$26,'实盘净值数据(iFinD）'!$Z943:$AA943/'实盘净值数据(iFinD）'!$Z$69:$AA$69)+SUMPRODUCT(分期持仓明细!$AE$26:$AO$26,'实盘净值数据(iFinD）'!$AB943:$AL943/'实盘净值数据(iFinD）'!$AB$69:$AL$69))*(1-实盘持仓初始配置!$Z$10)^(('实盘净值数据(iFinD）'!$A943-'实盘净值数据(iFinD）'!$A$69)/365))</f>
        <v/>
      </c>
      <c r="U943" s="16">
        <f>IF(OR(T942="",T943=""),"",T943/T942-1)</f>
        <v/>
      </c>
      <c r="V943" s="16">
        <f>IF(T943="","",T943/MAX(T$5:T943)-1)</f>
        <v/>
      </c>
    </row>
    <row r="944" spans="1:19">
      <c r="A944" s="15" t="str">
        <f>IF('实盘净值数据(iFinD）'!A944="","",'实盘净值数据(iFinD）'!A944)</f>
        <v/>
      </c>
      <c r="B944" s="13" t="str">
        <f>IF(OR('实盘净值数据(iFinD）'!$A944="",'实盘净值数据(iFinD）'!$B944=""),"",分期持仓明细!$AB$17*SUMPRODUCT(分期持仓明细!$B$17:$Y$17,'实盘净值数据(iFinD）'!$B944:$Y944/'实盘净值数据(iFinD）'!$B$20:$Y$20)*(1-实盘持仓初始配置!$Z$4)^(('实盘净值数据(iFinD）'!$A944-'实盘净值数据(iFinD）'!$A$6)/365))</f>
        <v/>
      </c>
      <c r="C944" s="16" t="str">
        <f t="shared" si="84"/>
        <v/>
      </c>
      <c r="D944" s="16" t="str">
        <f>IF(B944="","",B944/MAX(B$5:B944)-1)</f>
        <v/>
      </c>
      <c r="E944" s="13" t="str">
        <f>IF(OR('实盘净值数据(iFinD）'!$A944="",'实盘净值数据(iFinD）'!$B944=""),"",分期持仓明细!$AB$18*SUMPRODUCT(分期持仓明细!$B$18:$Y$18,'实盘净值数据(iFinD）'!$B944:$Y944/'实盘净值数据(iFinD）'!$B$20:$Y$20)*(1-实盘持仓初始配置!$Z$5)^(('实盘净值数据(iFinD）'!$A944-'实盘净值数据(iFinD）'!$A$5)/365))</f>
        <v/>
      </c>
      <c r="F944" s="16" t="str">
        <f t="shared" si="85"/>
        <v/>
      </c>
      <c r="G944" s="16" t="str">
        <f>IF(E944="","",E944/MAX(E$5:E944)-1)</f>
        <v/>
      </c>
      <c r="H944" s="13" t="str">
        <f>IF(OR('实盘净值数据(iFinD）'!$A944="",'实盘净值数据(iFinD）'!$B944=""),"",分期持仓明细!$AB$19*SUMPRODUCT(分期持仓明细!$B$19:$Y$19,'实盘净值数据(iFinD）'!$B944:$Y944/'实盘净值数据(iFinD）'!$B$20:$Y$20)*(1-实盘持仓初始配置!$Z$6)^(('实盘净值数据(iFinD）'!$A944-'实盘净值数据(iFinD）'!$A$7)/365))</f>
        <v/>
      </c>
      <c r="I944" s="16" t="str">
        <f t="shared" si="86"/>
        <v/>
      </c>
      <c r="J944" s="16" t="str">
        <f>IF(H944="","",H944/MAX(H$5:H944)-1)</f>
        <v/>
      </c>
      <c r="K944" s="13" t="str">
        <f>IF(OR('实盘净值数据(iFinD）'!$A944="",'实盘净值数据(iFinD）'!$B944="",'实盘净值数据(iFinD）'!$Z944="",'实盘净值数据(iFinD）'!$AA944=""),"",分期持仓明细!$AB$23*(SUMPRODUCT(分期持仓明细!$B$23:$Y$23,'实盘净值数据(iFinD）'!$B944:$Y944/'实盘净值数据(iFinD）'!$B$65:$Y$65)+SUMPRODUCT(分期持仓明细!$AC$23:$AD$23,'实盘净值数据(iFinD）'!$Z944:$AA944/'实盘净值数据(iFinD）'!$Z$65:$AA$65))*(1-实盘持仓初始配置!$Z$7)^(('实盘净值数据(iFinD）'!$A944-'实盘净值数据(iFinD）'!$A$8)/365))</f>
        <v/>
      </c>
      <c r="L944" s="16" t="str">
        <f t="shared" si="87"/>
        <v/>
      </c>
      <c r="M944" s="16" t="str">
        <f>IF(K944="","",K944/MAX(K$5:K944)-1)</f>
        <v/>
      </c>
      <c r="N944" s="13" t="str">
        <f>IF(OR('实盘净值数据(iFinD）'!$A944="",'实盘净值数据(iFinD）'!$B944="",'实盘净值数据(iFinD）'!$Z944="",'实盘净值数据(iFinD）'!$AA944=""),"",分期持仓明细!$AB$24*(SUMPRODUCT(分期持仓明细!$B$24:$Y$24,'实盘净值数据(iFinD）'!$B944:$Y944/'实盘净值数据(iFinD）'!$B$65:$Y$65)+SUMPRODUCT(分期持仓明细!$AC$24:$AD$24,'实盘净值数据(iFinD）'!$Z944:$AA944/'实盘净值数据(iFinD）'!$Z$65:$AA$65))*(1-实盘持仓初始配置!$Z$8)^(('实盘净值数据(iFinD）'!$A944-'实盘净值数据(iFinD）'!$A$5)/365))</f>
        <v/>
      </c>
      <c r="O944" s="16" t="str">
        <f t="shared" si="88"/>
        <v/>
      </c>
      <c r="P944" s="16" t="str">
        <f>IF(N944="","",N944/MAX(N$5:N944)-1)</f>
        <v/>
      </c>
      <c r="Q944" s="13" t="str">
        <f>IF(OR('实盘净值数据(iFinD）'!$A944="",'实盘净值数据(iFinD）'!$B944="",'实盘净值数据(iFinD）'!$Z944="",'实盘净值数据(iFinD）'!$AA944=""),"",分期持仓明细!$AB$25*(SUMPRODUCT(分期持仓明细!$B$25:$Y$25,'实盘净值数据(iFinD）'!$B944:$Y944/'实盘净值数据(iFinD）'!$B$65:$Y$65)+SUMPRODUCT(分期持仓明细!$AC$25:$AD$25,'实盘净值数据(iFinD）'!$Z944:$AA944/'实盘净值数据(iFinD）'!$Z$65:$AA$65))*(1-实盘持仓初始配置!$Z$9)^(('实盘净值数据(iFinD）'!$A944-'实盘净值数据(iFinD）'!$A$8)/365))</f>
        <v/>
      </c>
      <c r="R944" s="16" t="str">
        <f t="shared" si="89"/>
        <v/>
      </c>
      <c r="S944" s="16" t="str">
        <f>IF(Q944="","",Q944/MAX(Q$5:Q944)-1)</f>
        <v/>
      </c>
      <c r="T944" s="13">
        <f>IF(OR('实盘净值数据(iFinD）'!$A944="",'实盘净值数据(iFinD）'!$B944="",'实盘净值数据(iFinD）'!$Z944="",'实盘净值数据(iFinD）'!$AA944="",'实盘净值数据(iFinD）'!$AB944="",'实盘净值数据(iFinD）'!$AL944=""),"",(SUMPRODUCT(分期持仓明细!$B$26:$Y$26,'实盘净值数据(iFinD）'!$B944:$Y944/'实盘净值数据(iFinD）'!$B$69:$Y$69)+SUMPRODUCT(分期持仓明细!$AC$26:$AD$26,'实盘净值数据(iFinD）'!$Z944:$AA944/'实盘净值数据(iFinD）'!$Z$69:$AA$69)+SUMPRODUCT(分期持仓明细!$AE$26:$AO$26,'实盘净值数据(iFinD）'!$AB944:$AL944/'实盘净值数据(iFinD）'!$AB$69:$AL$69))*(1-实盘持仓初始配置!$Z$10)^(('实盘净值数据(iFinD）'!$A944-'实盘净值数据(iFinD）'!$A$69)/365))</f>
        <v/>
      </c>
      <c r="U944" s="16">
        <f>IF(OR(T943="",T944=""),"",T944/T943-1)</f>
        <v/>
      </c>
      <c r="V944" s="16">
        <f>IF(T944="","",T944/MAX(T$5:T944)-1)</f>
        <v/>
      </c>
    </row>
    <row r="945" spans="1:19">
      <c r="A945" s="15" t="str">
        <f>IF('实盘净值数据(iFinD）'!A945="","",'实盘净值数据(iFinD）'!A945)</f>
        <v/>
      </c>
      <c r="B945" s="13" t="str">
        <f>IF(OR('实盘净值数据(iFinD）'!$A945="",'实盘净值数据(iFinD）'!$B945=""),"",分期持仓明细!$AB$17*SUMPRODUCT(分期持仓明细!$B$17:$Y$17,'实盘净值数据(iFinD）'!$B945:$Y945/'实盘净值数据(iFinD）'!$B$20:$Y$20)*(1-实盘持仓初始配置!$Z$4)^(('实盘净值数据(iFinD）'!$A945-'实盘净值数据(iFinD）'!$A$6)/365))</f>
        <v/>
      </c>
      <c r="C945" s="16" t="str">
        <f t="shared" si="84"/>
        <v/>
      </c>
      <c r="D945" s="16" t="str">
        <f>IF(B945="","",B945/MAX(B$5:B945)-1)</f>
        <v/>
      </c>
      <c r="E945" s="13" t="str">
        <f>IF(OR('实盘净值数据(iFinD）'!$A945="",'实盘净值数据(iFinD）'!$B945=""),"",分期持仓明细!$AB$18*SUMPRODUCT(分期持仓明细!$B$18:$Y$18,'实盘净值数据(iFinD）'!$B945:$Y945/'实盘净值数据(iFinD）'!$B$20:$Y$20)*(1-实盘持仓初始配置!$Z$5)^(('实盘净值数据(iFinD）'!$A945-'实盘净值数据(iFinD）'!$A$5)/365))</f>
        <v/>
      </c>
      <c r="F945" s="16" t="str">
        <f t="shared" si="85"/>
        <v/>
      </c>
      <c r="G945" s="16" t="str">
        <f>IF(E945="","",E945/MAX(E$5:E945)-1)</f>
        <v/>
      </c>
      <c r="H945" s="13" t="str">
        <f>IF(OR('实盘净值数据(iFinD）'!$A945="",'实盘净值数据(iFinD）'!$B945=""),"",分期持仓明细!$AB$19*SUMPRODUCT(分期持仓明细!$B$19:$Y$19,'实盘净值数据(iFinD）'!$B945:$Y945/'实盘净值数据(iFinD）'!$B$20:$Y$20)*(1-实盘持仓初始配置!$Z$6)^(('实盘净值数据(iFinD）'!$A945-'实盘净值数据(iFinD）'!$A$7)/365))</f>
        <v/>
      </c>
      <c r="I945" s="16" t="str">
        <f t="shared" si="86"/>
        <v/>
      </c>
      <c r="J945" s="16" t="str">
        <f>IF(H945="","",H945/MAX(H$5:H945)-1)</f>
        <v/>
      </c>
      <c r="K945" s="13" t="str">
        <f>IF(OR('实盘净值数据(iFinD）'!$A945="",'实盘净值数据(iFinD）'!$B945="",'实盘净值数据(iFinD）'!$Z945="",'实盘净值数据(iFinD）'!$AA945=""),"",分期持仓明细!$AB$23*(SUMPRODUCT(分期持仓明细!$B$23:$Y$23,'实盘净值数据(iFinD）'!$B945:$Y945/'实盘净值数据(iFinD）'!$B$65:$Y$65)+SUMPRODUCT(分期持仓明细!$AC$23:$AD$23,'实盘净值数据(iFinD）'!$Z945:$AA945/'实盘净值数据(iFinD）'!$Z$65:$AA$65))*(1-实盘持仓初始配置!$Z$7)^(('实盘净值数据(iFinD）'!$A945-'实盘净值数据(iFinD）'!$A$8)/365))</f>
        <v/>
      </c>
      <c r="L945" s="16" t="str">
        <f t="shared" si="87"/>
        <v/>
      </c>
      <c r="M945" s="16" t="str">
        <f>IF(K945="","",K945/MAX(K$5:K945)-1)</f>
        <v/>
      </c>
      <c r="N945" s="13" t="str">
        <f>IF(OR('实盘净值数据(iFinD）'!$A945="",'实盘净值数据(iFinD）'!$B945="",'实盘净值数据(iFinD）'!$Z945="",'实盘净值数据(iFinD）'!$AA945=""),"",分期持仓明细!$AB$24*(SUMPRODUCT(分期持仓明细!$B$24:$Y$24,'实盘净值数据(iFinD）'!$B945:$Y945/'实盘净值数据(iFinD）'!$B$65:$Y$65)+SUMPRODUCT(分期持仓明细!$AC$24:$AD$24,'实盘净值数据(iFinD）'!$Z945:$AA945/'实盘净值数据(iFinD）'!$Z$65:$AA$65))*(1-实盘持仓初始配置!$Z$8)^(('实盘净值数据(iFinD）'!$A945-'实盘净值数据(iFinD）'!$A$5)/365))</f>
        <v/>
      </c>
      <c r="O945" s="16" t="str">
        <f t="shared" si="88"/>
        <v/>
      </c>
      <c r="P945" s="16" t="str">
        <f>IF(N945="","",N945/MAX(N$5:N945)-1)</f>
        <v/>
      </c>
      <c r="Q945" s="13" t="str">
        <f>IF(OR('实盘净值数据(iFinD）'!$A945="",'实盘净值数据(iFinD）'!$B945="",'实盘净值数据(iFinD）'!$Z945="",'实盘净值数据(iFinD）'!$AA945=""),"",分期持仓明细!$AB$25*(SUMPRODUCT(分期持仓明细!$B$25:$Y$25,'实盘净值数据(iFinD）'!$B945:$Y945/'实盘净值数据(iFinD）'!$B$65:$Y$65)+SUMPRODUCT(分期持仓明细!$AC$25:$AD$25,'实盘净值数据(iFinD）'!$Z945:$AA945/'实盘净值数据(iFinD）'!$Z$65:$AA$65))*(1-实盘持仓初始配置!$Z$9)^(('实盘净值数据(iFinD）'!$A945-'实盘净值数据(iFinD）'!$A$8)/365))</f>
        <v/>
      </c>
      <c r="R945" s="16" t="str">
        <f t="shared" si="89"/>
        <v/>
      </c>
      <c r="S945" s="16" t="str">
        <f>IF(Q945="","",Q945/MAX(Q$5:Q945)-1)</f>
        <v/>
      </c>
      <c r="T945" s="13">
        <f>IF(OR('实盘净值数据(iFinD）'!$A945="",'实盘净值数据(iFinD）'!$B945="",'实盘净值数据(iFinD）'!$Z945="",'实盘净值数据(iFinD）'!$AA945="",'实盘净值数据(iFinD）'!$AB945="",'实盘净值数据(iFinD）'!$AL945=""),"",(SUMPRODUCT(分期持仓明细!$B$26:$Y$26,'实盘净值数据(iFinD）'!$B945:$Y945/'实盘净值数据(iFinD）'!$B$69:$Y$69)+SUMPRODUCT(分期持仓明细!$AC$26:$AD$26,'实盘净值数据(iFinD）'!$Z945:$AA945/'实盘净值数据(iFinD）'!$Z$69:$AA$69)+SUMPRODUCT(分期持仓明细!$AE$26:$AO$26,'实盘净值数据(iFinD）'!$AB945:$AL945/'实盘净值数据(iFinD）'!$AB$69:$AL$69))*(1-实盘持仓初始配置!$Z$10)^(('实盘净值数据(iFinD）'!$A945-'实盘净值数据(iFinD）'!$A$69)/365))</f>
        <v/>
      </c>
      <c r="U945" s="16">
        <f>IF(OR(T944="",T945=""),"",T945/T944-1)</f>
        <v/>
      </c>
      <c r="V945" s="16">
        <f>IF(T945="","",T945/MAX(T$5:T945)-1)</f>
        <v/>
      </c>
    </row>
    <row r="946" spans="1:19">
      <c r="A946" s="15" t="str">
        <f>IF('实盘净值数据(iFinD）'!A946="","",'实盘净值数据(iFinD）'!A946)</f>
        <v/>
      </c>
      <c r="B946" s="13" t="str">
        <f>IF(OR('实盘净值数据(iFinD）'!$A946="",'实盘净值数据(iFinD）'!$B946=""),"",分期持仓明细!$AB$17*SUMPRODUCT(分期持仓明细!$B$17:$Y$17,'实盘净值数据(iFinD）'!$B946:$Y946/'实盘净值数据(iFinD）'!$B$20:$Y$20)*(1-实盘持仓初始配置!$Z$4)^(('实盘净值数据(iFinD）'!$A946-'实盘净值数据(iFinD）'!$A$6)/365))</f>
        <v/>
      </c>
      <c r="C946" s="16" t="str">
        <f t="shared" si="84"/>
        <v/>
      </c>
      <c r="D946" s="16" t="str">
        <f>IF(B946="","",B946/MAX(B$5:B946)-1)</f>
        <v/>
      </c>
      <c r="E946" s="13" t="str">
        <f>IF(OR('实盘净值数据(iFinD）'!$A946="",'实盘净值数据(iFinD）'!$B946=""),"",分期持仓明细!$AB$18*SUMPRODUCT(分期持仓明细!$B$18:$Y$18,'实盘净值数据(iFinD）'!$B946:$Y946/'实盘净值数据(iFinD）'!$B$20:$Y$20)*(1-实盘持仓初始配置!$Z$5)^(('实盘净值数据(iFinD）'!$A946-'实盘净值数据(iFinD）'!$A$5)/365))</f>
        <v/>
      </c>
      <c r="F946" s="16" t="str">
        <f t="shared" si="85"/>
        <v/>
      </c>
      <c r="G946" s="16" t="str">
        <f>IF(E946="","",E946/MAX(E$5:E946)-1)</f>
        <v/>
      </c>
      <c r="H946" s="13" t="str">
        <f>IF(OR('实盘净值数据(iFinD）'!$A946="",'实盘净值数据(iFinD）'!$B946=""),"",分期持仓明细!$AB$19*SUMPRODUCT(分期持仓明细!$B$19:$Y$19,'实盘净值数据(iFinD）'!$B946:$Y946/'实盘净值数据(iFinD）'!$B$20:$Y$20)*(1-实盘持仓初始配置!$Z$6)^(('实盘净值数据(iFinD）'!$A946-'实盘净值数据(iFinD）'!$A$7)/365))</f>
        <v/>
      </c>
      <c r="I946" s="16" t="str">
        <f t="shared" si="86"/>
        <v/>
      </c>
      <c r="J946" s="16" t="str">
        <f>IF(H946="","",H946/MAX(H$5:H946)-1)</f>
        <v/>
      </c>
      <c r="K946" s="13" t="str">
        <f>IF(OR('实盘净值数据(iFinD）'!$A946="",'实盘净值数据(iFinD）'!$B946="",'实盘净值数据(iFinD）'!$Z946="",'实盘净值数据(iFinD）'!$AA946=""),"",分期持仓明细!$AB$23*(SUMPRODUCT(分期持仓明细!$B$23:$Y$23,'实盘净值数据(iFinD）'!$B946:$Y946/'实盘净值数据(iFinD）'!$B$65:$Y$65)+SUMPRODUCT(分期持仓明细!$AC$23:$AD$23,'实盘净值数据(iFinD）'!$Z946:$AA946/'实盘净值数据(iFinD）'!$Z$65:$AA$65))*(1-实盘持仓初始配置!$Z$7)^(('实盘净值数据(iFinD）'!$A946-'实盘净值数据(iFinD）'!$A$8)/365))</f>
        <v/>
      </c>
      <c r="L946" s="16" t="str">
        <f t="shared" si="87"/>
        <v/>
      </c>
      <c r="M946" s="16" t="str">
        <f>IF(K946="","",K946/MAX(K$5:K946)-1)</f>
        <v/>
      </c>
      <c r="N946" s="13" t="str">
        <f>IF(OR('实盘净值数据(iFinD）'!$A946="",'实盘净值数据(iFinD）'!$B946="",'实盘净值数据(iFinD）'!$Z946="",'实盘净值数据(iFinD）'!$AA946=""),"",分期持仓明细!$AB$24*(SUMPRODUCT(分期持仓明细!$B$24:$Y$24,'实盘净值数据(iFinD）'!$B946:$Y946/'实盘净值数据(iFinD）'!$B$65:$Y$65)+SUMPRODUCT(分期持仓明细!$AC$24:$AD$24,'实盘净值数据(iFinD）'!$Z946:$AA946/'实盘净值数据(iFinD）'!$Z$65:$AA$65))*(1-实盘持仓初始配置!$Z$8)^(('实盘净值数据(iFinD）'!$A946-'实盘净值数据(iFinD）'!$A$5)/365))</f>
        <v/>
      </c>
      <c r="O946" s="16" t="str">
        <f t="shared" si="88"/>
        <v/>
      </c>
      <c r="P946" s="16" t="str">
        <f>IF(N946="","",N946/MAX(N$5:N946)-1)</f>
        <v/>
      </c>
      <c r="Q946" s="13" t="str">
        <f>IF(OR('实盘净值数据(iFinD）'!$A946="",'实盘净值数据(iFinD）'!$B946="",'实盘净值数据(iFinD）'!$Z946="",'实盘净值数据(iFinD）'!$AA946=""),"",分期持仓明细!$AB$25*(SUMPRODUCT(分期持仓明细!$B$25:$Y$25,'实盘净值数据(iFinD）'!$B946:$Y946/'实盘净值数据(iFinD）'!$B$65:$Y$65)+SUMPRODUCT(分期持仓明细!$AC$25:$AD$25,'实盘净值数据(iFinD）'!$Z946:$AA946/'实盘净值数据(iFinD）'!$Z$65:$AA$65))*(1-实盘持仓初始配置!$Z$9)^(('实盘净值数据(iFinD）'!$A946-'实盘净值数据(iFinD）'!$A$8)/365))</f>
        <v/>
      </c>
      <c r="R946" s="16" t="str">
        <f t="shared" si="89"/>
        <v/>
      </c>
      <c r="S946" s="16" t="str">
        <f>IF(Q946="","",Q946/MAX(Q$5:Q946)-1)</f>
        <v/>
      </c>
      <c r="T946" s="13">
        <f>IF(OR('实盘净值数据(iFinD）'!$A946="",'实盘净值数据(iFinD）'!$B946="",'实盘净值数据(iFinD）'!$Z946="",'实盘净值数据(iFinD）'!$AA946="",'实盘净值数据(iFinD）'!$AB946="",'实盘净值数据(iFinD）'!$AL946=""),"",(SUMPRODUCT(分期持仓明细!$B$26:$Y$26,'实盘净值数据(iFinD）'!$B946:$Y946/'实盘净值数据(iFinD）'!$B$69:$Y$69)+SUMPRODUCT(分期持仓明细!$AC$26:$AD$26,'实盘净值数据(iFinD）'!$Z946:$AA946/'实盘净值数据(iFinD）'!$Z$69:$AA$69)+SUMPRODUCT(分期持仓明细!$AE$26:$AO$26,'实盘净值数据(iFinD）'!$AB946:$AL946/'实盘净值数据(iFinD）'!$AB$69:$AL$69))*(1-实盘持仓初始配置!$Z$10)^(('实盘净值数据(iFinD）'!$A946-'实盘净值数据(iFinD）'!$A$69)/365))</f>
        <v/>
      </c>
      <c r="U946" s="16">
        <f>IF(OR(T945="",T946=""),"",T946/T945-1)</f>
        <v/>
      </c>
      <c r="V946" s="16">
        <f>IF(T946="","",T946/MAX(T$5:T946)-1)</f>
        <v/>
      </c>
    </row>
    <row r="947" spans="1:19">
      <c r="A947" s="15" t="str">
        <f>IF('实盘净值数据(iFinD）'!A947="","",'实盘净值数据(iFinD）'!A947)</f>
        <v/>
      </c>
      <c r="B947" s="13" t="str">
        <f>IF(OR('实盘净值数据(iFinD）'!$A947="",'实盘净值数据(iFinD）'!$B947=""),"",分期持仓明细!$AB$17*SUMPRODUCT(分期持仓明细!$B$17:$Y$17,'实盘净值数据(iFinD）'!$B947:$Y947/'实盘净值数据(iFinD）'!$B$20:$Y$20)*(1-实盘持仓初始配置!$Z$4)^(('实盘净值数据(iFinD）'!$A947-'实盘净值数据(iFinD）'!$A$6)/365))</f>
        <v/>
      </c>
      <c r="C947" s="16" t="str">
        <f t="shared" si="84"/>
        <v/>
      </c>
      <c r="D947" s="16" t="str">
        <f>IF(B947="","",B947/MAX(B$5:B947)-1)</f>
        <v/>
      </c>
      <c r="E947" s="13" t="str">
        <f>IF(OR('实盘净值数据(iFinD）'!$A947="",'实盘净值数据(iFinD）'!$B947=""),"",分期持仓明细!$AB$18*SUMPRODUCT(分期持仓明细!$B$18:$Y$18,'实盘净值数据(iFinD）'!$B947:$Y947/'实盘净值数据(iFinD）'!$B$20:$Y$20)*(1-实盘持仓初始配置!$Z$5)^(('实盘净值数据(iFinD）'!$A947-'实盘净值数据(iFinD）'!$A$5)/365))</f>
        <v/>
      </c>
      <c r="F947" s="16" t="str">
        <f t="shared" si="85"/>
        <v/>
      </c>
      <c r="G947" s="16" t="str">
        <f>IF(E947="","",E947/MAX(E$5:E947)-1)</f>
        <v/>
      </c>
      <c r="H947" s="13" t="str">
        <f>IF(OR('实盘净值数据(iFinD）'!$A947="",'实盘净值数据(iFinD）'!$B947=""),"",分期持仓明细!$AB$19*SUMPRODUCT(分期持仓明细!$B$19:$Y$19,'实盘净值数据(iFinD）'!$B947:$Y947/'实盘净值数据(iFinD）'!$B$20:$Y$20)*(1-实盘持仓初始配置!$Z$6)^(('实盘净值数据(iFinD）'!$A947-'实盘净值数据(iFinD）'!$A$7)/365))</f>
        <v/>
      </c>
      <c r="I947" s="16" t="str">
        <f t="shared" si="86"/>
        <v/>
      </c>
      <c r="J947" s="16" t="str">
        <f>IF(H947="","",H947/MAX(H$5:H947)-1)</f>
        <v/>
      </c>
      <c r="K947" s="13" t="str">
        <f>IF(OR('实盘净值数据(iFinD）'!$A947="",'实盘净值数据(iFinD）'!$B947="",'实盘净值数据(iFinD）'!$Z947="",'实盘净值数据(iFinD）'!$AA947=""),"",分期持仓明细!$AB$23*(SUMPRODUCT(分期持仓明细!$B$23:$Y$23,'实盘净值数据(iFinD）'!$B947:$Y947/'实盘净值数据(iFinD）'!$B$65:$Y$65)+SUMPRODUCT(分期持仓明细!$AC$23:$AD$23,'实盘净值数据(iFinD）'!$Z947:$AA947/'实盘净值数据(iFinD）'!$Z$65:$AA$65))*(1-实盘持仓初始配置!$Z$7)^(('实盘净值数据(iFinD）'!$A947-'实盘净值数据(iFinD）'!$A$8)/365))</f>
        <v/>
      </c>
      <c r="L947" s="16" t="str">
        <f t="shared" si="87"/>
        <v/>
      </c>
      <c r="M947" s="16" t="str">
        <f>IF(K947="","",K947/MAX(K$5:K947)-1)</f>
        <v/>
      </c>
      <c r="N947" s="13" t="str">
        <f>IF(OR('实盘净值数据(iFinD）'!$A947="",'实盘净值数据(iFinD）'!$B947="",'实盘净值数据(iFinD）'!$Z947="",'实盘净值数据(iFinD）'!$AA947=""),"",分期持仓明细!$AB$24*(SUMPRODUCT(分期持仓明细!$B$24:$Y$24,'实盘净值数据(iFinD）'!$B947:$Y947/'实盘净值数据(iFinD）'!$B$65:$Y$65)+SUMPRODUCT(分期持仓明细!$AC$24:$AD$24,'实盘净值数据(iFinD）'!$Z947:$AA947/'实盘净值数据(iFinD）'!$Z$65:$AA$65))*(1-实盘持仓初始配置!$Z$8)^(('实盘净值数据(iFinD）'!$A947-'实盘净值数据(iFinD）'!$A$5)/365))</f>
        <v/>
      </c>
      <c r="O947" s="16" t="str">
        <f t="shared" si="88"/>
        <v/>
      </c>
      <c r="P947" s="16" t="str">
        <f>IF(N947="","",N947/MAX(N$5:N947)-1)</f>
        <v/>
      </c>
      <c r="Q947" s="13" t="str">
        <f>IF(OR('实盘净值数据(iFinD）'!$A947="",'实盘净值数据(iFinD）'!$B947="",'实盘净值数据(iFinD）'!$Z947="",'实盘净值数据(iFinD）'!$AA947=""),"",分期持仓明细!$AB$25*(SUMPRODUCT(分期持仓明细!$B$25:$Y$25,'实盘净值数据(iFinD）'!$B947:$Y947/'实盘净值数据(iFinD）'!$B$65:$Y$65)+SUMPRODUCT(分期持仓明细!$AC$25:$AD$25,'实盘净值数据(iFinD）'!$Z947:$AA947/'实盘净值数据(iFinD）'!$Z$65:$AA$65))*(1-实盘持仓初始配置!$Z$9)^(('实盘净值数据(iFinD）'!$A947-'实盘净值数据(iFinD）'!$A$8)/365))</f>
        <v/>
      </c>
      <c r="R947" s="16" t="str">
        <f t="shared" si="89"/>
        <v/>
      </c>
      <c r="S947" s="16" t="str">
        <f>IF(Q947="","",Q947/MAX(Q$5:Q947)-1)</f>
        <v/>
      </c>
      <c r="T947" s="13">
        <f>IF(OR('实盘净值数据(iFinD）'!$A947="",'实盘净值数据(iFinD）'!$B947="",'实盘净值数据(iFinD）'!$Z947="",'实盘净值数据(iFinD）'!$AA947="",'实盘净值数据(iFinD）'!$AB947="",'实盘净值数据(iFinD）'!$AL947=""),"",(SUMPRODUCT(分期持仓明细!$B$26:$Y$26,'实盘净值数据(iFinD）'!$B947:$Y947/'实盘净值数据(iFinD）'!$B$69:$Y$69)+SUMPRODUCT(分期持仓明细!$AC$26:$AD$26,'实盘净值数据(iFinD）'!$Z947:$AA947/'实盘净值数据(iFinD）'!$Z$69:$AA$69)+SUMPRODUCT(分期持仓明细!$AE$26:$AO$26,'实盘净值数据(iFinD）'!$AB947:$AL947/'实盘净值数据(iFinD）'!$AB$69:$AL$69))*(1-实盘持仓初始配置!$Z$10)^(('实盘净值数据(iFinD）'!$A947-'实盘净值数据(iFinD）'!$A$69)/365))</f>
        <v/>
      </c>
      <c r="U947" s="16">
        <f>IF(OR(T946="",T947=""),"",T947/T946-1)</f>
        <v/>
      </c>
      <c r="V947" s="16">
        <f>IF(T947="","",T947/MAX(T$5:T947)-1)</f>
        <v/>
      </c>
    </row>
    <row r="948" spans="1:19">
      <c r="A948" s="15" t="str">
        <f>IF('实盘净值数据(iFinD）'!A948="","",'实盘净值数据(iFinD）'!A948)</f>
        <v/>
      </c>
      <c r="B948" s="13" t="str">
        <f>IF(OR('实盘净值数据(iFinD）'!$A948="",'实盘净值数据(iFinD）'!$B948=""),"",分期持仓明细!$AB$17*SUMPRODUCT(分期持仓明细!$B$17:$Y$17,'实盘净值数据(iFinD）'!$B948:$Y948/'实盘净值数据(iFinD）'!$B$20:$Y$20)*(1-实盘持仓初始配置!$Z$4)^(('实盘净值数据(iFinD）'!$A948-'实盘净值数据(iFinD）'!$A$6)/365))</f>
        <v/>
      </c>
      <c r="C948" s="16" t="str">
        <f t="shared" si="84"/>
        <v/>
      </c>
      <c r="D948" s="16" t="str">
        <f>IF(B948="","",B948/MAX(B$5:B948)-1)</f>
        <v/>
      </c>
      <c r="E948" s="13" t="str">
        <f>IF(OR('实盘净值数据(iFinD）'!$A948="",'实盘净值数据(iFinD）'!$B948=""),"",分期持仓明细!$AB$18*SUMPRODUCT(分期持仓明细!$B$18:$Y$18,'实盘净值数据(iFinD）'!$B948:$Y948/'实盘净值数据(iFinD）'!$B$20:$Y$20)*(1-实盘持仓初始配置!$Z$5)^(('实盘净值数据(iFinD）'!$A948-'实盘净值数据(iFinD）'!$A$5)/365))</f>
        <v/>
      </c>
      <c r="F948" s="16" t="str">
        <f t="shared" si="85"/>
        <v/>
      </c>
      <c r="G948" s="16" t="str">
        <f>IF(E948="","",E948/MAX(E$5:E948)-1)</f>
        <v/>
      </c>
      <c r="H948" s="13" t="str">
        <f>IF(OR('实盘净值数据(iFinD）'!$A948="",'实盘净值数据(iFinD）'!$B948=""),"",分期持仓明细!$AB$19*SUMPRODUCT(分期持仓明细!$B$19:$Y$19,'实盘净值数据(iFinD）'!$B948:$Y948/'实盘净值数据(iFinD）'!$B$20:$Y$20)*(1-实盘持仓初始配置!$Z$6)^(('实盘净值数据(iFinD）'!$A948-'实盘净值数据(iFinD）'!$A$7)/365))</f>
        <v/>
      </c>
      <c r="I948" s="16" t="str">
        <f t="shared" si="86"/>
        <v/>
      </c>
      <c r="J948" s="16" t="str">
        <f>IF(H948="","",H948/MAX(H$5:H948)-1)</f>
        <v/>
      </c>
      <c r="K948" s="13" t="str">
        <f>IF(OR('实盘净值数据(iFinD）'!$A948="",'实盘净值数据(iFinD）'!$B948="",'实盘净值数据(iFinD）'!$Z948="",'实盘净值数据(iFinD）'!$AA948=""),"",分期持仓明细!$AB$23*(SUMPRODUCT(分期持仓明细!$B$23:$Y$23,'实盘净值数据(iFinD）'!$B948:$Y948/'实盘净值数据(iFinD）'!$B$65:$Y$65)+SUMPRODUCT(分期持仓明细!$AC$23:$AD$23,'实盘净值数据(iFinD）'!$Z948:$AA948/'实盘净值数据(iFinD）'!$Z$65:$AA$65))*(1-实盘持仓初始配置!$Z$7)^(('实盘净值数据(iFinD）'!$A948-'实盘净值数据(iFinD）'!$A$8)/365))</f>
        <v/>
      </c>
      <c r="L948" s="16" t="str">
        <f t="shared" si="87"/>
        <v/>
      </c>
      <c r="M948" s="16" t="str">
        <f>IF(K948="","",K948/MAX(K$5:K948)-1)</f>
        <v/>
      </c>
      <c r="N948" s="13" t="str">
        <f>IF(OR('实盘净值数据(iFinD）'!$A948="",'实盘净值数据(iFinD）'!$B948="",'实盘净值数据(iFinD）'!$Z948="",'实盘净值数据(iFinD）'!$AA948=""),"",分期持仓明细!$AB$24*(SUMPRODUCT(分期持仓明细!$B$24:$Y$24,'实盘净值数据(iFinD）'!$B948:$Y948/'实盘净值数据(iFinD）'!$B$65:$Y$65)+SUMPRODUCT(分期持仓明细!$AC$24:$AD$24,'实盘净值数据(iFinD）'!$Z948:$AA948/'实盘净值数据(iFinD）'!$Z$65:$AA$65))*(1-实盘持仓初始配置!$Z$8)^(('实盘净值数据(iFinD）'!$A948-'实盘净值数据(iFinD）'!$A$5)/365))</f>
        <v/>
      </c>
      <c r="O948" s="16" t="str">
        <f t="shared" si="88"/>
        <v/>
      </c>
      <c r="P948" s="16" t="str">
        <f>IF(N948="","",N948/MAX(N$5:N948)-1)</f>
        <v/>
      </c>
      <c r="Q948" s="13" t="str">
        <f>IF(OR('实盘净值数据(iFinD）'!$A948="",'实盘净值数据(iFinD）'!$B948="",'实盘净值数据(iFinD）'!$Z948="",'实盘净值数据(iFinD）'!$AA948=""),"",分期持仓明细!$AB$25*(SUMPRODUCT(分期持仓明细!$B$25:$Y$25,'实盘净值数据(iFinD）'!$B948:$Y948/'实盘净值数据(iFinD）'!$B$65:$Y$65)+SUMPRODUCT(分期持仓明细!$AC$25:$AD$25,'实盘净值数据(iFinD）'!$Z948:$AA948/'实盘净值数据(iFinD）'!$Z$65:$AA$65))*(1-实盘持仓初始配置!$Z$9)^(('实盘净值数据(iFinD）'!$A948-'实盘净值数据(iFinD）'!$A$8)/365))</f>
        <v/>
      </c>
      <c r="R948" s="16" t="str">
        <f t="shared" si="89"/>
        <v/>
      </c>
      <c r="S948" s="16" t="str">
        <f>IF(Q948="","",Q948/MAX(Q$5:Q948)-1)</f>
        <v/>
      </c>
      <c r="T948" s="13">
        <f>IF(OR('实盘净值数据(iFinD）'!$A948="",'实盘净值数据(iFinD）'!$B948="",'实盘净值数据(iFinD）'!$Z948="",'实盘净值数据(iFinD）'!$AA948="",'实盘净值数据(iFinD）'!$AB948="",'实盘净值数据(iFinD）'!$AL948=""),"",(SUMPRODUCT(分期持仓明细!$B$26:$Y$26,'实盘净值数据(iFinD）'!$B948:$Y948/'实盘净值数据(iFinD）'!$B$69:$Y$69)+SUMPRODUCT(分期持仓明细!$AC$26:$AD$26,'实盘净值数据(iFinD）'!$Z948:$AA948/'实盘净值数据(iFinD）'!$Z$69:$AA$69)+SUMPRODUCT(分期持仓明细!$AE$26:$AO$26,'实盘净值数据(iFinD）'!$AB948:$AL948/'实盘净值数据(iFinD）'!$AB$69:$AL$69))*(1-实盘持仓初始配置!$Z$10)^(('实盘净值数据(iFinD）'!$A948-'实盘净值数据(iFinD）'!$A$69)/365))</f>
        <v/>
      </c>
      <c r="U948" s="16">
        <f>IF(OR(T947="",T948=""),"",T948/T947-1)</f>
        <v/>
      </c>
      <c r="V948" s="16">
        <f>IF(T948="","",T948/MAX(T$5:T948)-1)</f>
        <v/>
      </c>
    </row>
    <row r="949" spans="1:19">
      <c r="A949" s="15" t="str">
        <f>IF('实盘净值数据(iFinD）'!A949="","",'实盘净值数据(iFinD）'!A949)</f>
        <v/>
      </c>
      <c r="B949" s="13" t="str">
        <f>IF(OR('实盘净值数据(iFinD）'!$A949="",'实盘净值数据(iFinD）'!$B949=""),"",分期持仓明细!$AB$17*SUMPRODUCT(分期持仓明细!$B$17:$Y$17,'实盘净值数据(iFinD）'!$B949:$Y949/'实盘净值数据(iFinD）'!$B$20:$Y$20)*(1-实盘持仓初始配置!$Z$4)^(('实盘净值数据(iFinD）'!$A949-'实盘净值数据(iFinD）'!$A$6)/365))</f>
        <v/>
      </c>
      <c r="C949" s="16" t="str">
        <f t="shared" si="84"/>
        <v/>
      </c>
      <c r="D949" s="16" t="str">
        <f>IF(B949="","",B949/MAX(B$5:B949)-1)</f>
        <v/>
      </c>
      <c r="E949" s="13" t="str">
        <f>IF(OR('实盘净值数据(iFinD）'!$A949="",'实盘净值数据(iFinD）'!$B949=""),"",分期持仓明细!$AB$18*SUMPRODUCT(分期持仓明细!$B$18:$Y$18,'实盘净值数据(iFinD）'!$B949:$Y949/'实盘净值数据(iFinD）'!$B$20:$Y$20)*(1-实盘持仓初始配置!$Z$5)^(('实盘净值数据(iFinD）'!$A949-'实盘净值数据(iFinD）'!$A$5)/365))</f>
        <v/>
      </c>
      <c r="F949" s="16" t="str">
        <f t="shared" si="85"/>
        <v/>
      </c>
      <c r="G949" s="16" t="str">
        <f>IF(E949="","",E949/MAX(E$5:E949)-1)</f>
        <v/>
      </c>
      <c r="H949" s="13" t="str">
        <f>IF(OR('实盘净值数据(iFinD）'!$A949="",'实盘净值数据(iFinD）'!$B949=""),"",分期持仓明细!$AB$19*SUMPRODUCT(分期持仓明细!$B$19:$Y$19,'实盘净值数据(iFinD）'!$B949:$Y949/'实盘净值数据(iFinD）'!$B$20:$Y$20)*(1-实盘持仓初始配置!$Z$6)^(('实盘净值数据(iFinD）'!$A949-'实盘净值数据(iFinD）'!$A$7)/365))</f>
        <v/>
      </c>
      <c r="I949" s="16" t="str">
        <f t="shared" si="86"/>
        <v/>
      </c>
      <c r="J949" s="16" t="str">
        <f>IF(H949="","",H949/MAX(H$5:H949)-1)</f>
        <v/>
      </c>
      <c r="K949" s="13" t="str">
        <f>IF(OR('实盘净值数据(iFinD）'!$A949="",'实盘净值数据(iFinD）'!$B949="",'实盘净值数据(iFinD）'!$Z949="",'实盘净值数据(iFinD）'!$AA949=""),"",分期持仓明细!$AB$23*(SUMPRODUCT(分期持仓明细!$B$23:$Y$23,'实盘净值数据(iFinD）'!$B949:$Y949/'实盘净值数据(iFinD）'!$B$65:$Y$65)+SUMPRODUCT(分期持仓明细!$AC$23:$AD$23,'实盘净值数据(iFinD）'!$Z949:$AA949/'实盘净值数据(iFinD）'!$Z$65:$AA$65))*(1-实盘持仓初始配置!$Z$7)^(('实盘净值数据(iFinD）'!$A949-'实盘净值数据(iFinD）'!$A$8)/365))</f>
        <v/>
      </c>
      <c r="L949" s="16" t="str">
        <f t="shared" si="87"/>
        <v/>
      </c>
      <c r="M949" s="16" t="str">
        <f>IF(K949="","",K949/MAX(K$5:K949)-1)</f>
        <v/>
      </c>
      <c r="N949" s="13" t="str">
        <f>IF(OR('实盘净值数据(iFinD）'!$A949="",'实盘净值数据(iFinD）'!$B949="",'实盘净值数据(iFinD）'!$Z949="",'实盘净值数据(iFinD）'!$AA949=""),"",分期持仓明细!$AB$24*(SUMPRODUCT(分期持仓明细!$B$24:$Y$24,'实盘净值数据(iFinD）'!$B949:$Y949/'实盘净值数据(iFinD）'!$B$65:$Y$65)+SUMPRODUCT(分期持仓明细!$AC$24:$AD$24,'实盘净值数据(iFinD）'!$Z949:$AA949/'实盘净值数据(iFinD）'!$Z$65:$AA$65))*(1-实盘持仓初始配置!$Z$8)^(('实盘净值数据(iFinD）'!$A949-'实盘净值数据(iFinD）'!$A$5)/365))</f>
        <v/>
      </c>
      <c r="O949" s="16" t="str">
        <f t="shared" si="88"/>
        <v/>
      </c>
      <c r="P949" s="16" t="str">
        <f>IF(N949="","",N949/MAX(N$5:N949)-1)</f>
        <v/>
      </c>
      <c r="Q949" s="13" t="str">
        <f>IF(OR('实盘净值数据(iFinD）'!$A949="",'实盘净值数据(iFinD）'!$B949="",'实盘净值数据(iFinD）'!$Z949="",'实盘净值数据(iFinD）'!$AA949=""),"",分期持仓明细!$AB$25*(SUMPRODUCT(分期持仓明细!$B$25:$Y$25,'实盘净值数据(iFinD）'!$B949:$Y949/'实盘净值数据(iFinD）'!$B$65:$Y$65)+SUMPRODUCT(分期持仓明细!$AC$25:$AD$25,'实盘净值数据(iFinD）'!$Z949:$AA949/'实盘净值数据(iFinD）'!$Z$65:$AA$65))*(1-实盘持仓初始配置!$Z$9)^(('实盘净值数据(iFinD）'!$A949-'实盘净值数据(iFinD）'!$A$8)/365))</f>
        <v/>
      </c>
      <c r="R949" s="16" t="str">
        <f t="shared" si="89"/>
        <v/>
      </c>
      <c r="S949" s="16" t="str">
        <f>IF(Q949="","",Q949/MAX(Q$5:Q949)-1)</f>
        <v/>
      </c>
      <c r="T949" s="13">
        <f>IF(OR('实盘净值数据(iFinD）'!$A949="",'实盘净值数据(iFinD）'!$B949="",'实盘净值数据(iFinD）'!$Z949="",'实盘净值数据(iFinD）'!$AA949="",'实盘净值数据(iFinD）'!$AB949="",'实盘净值数据(iFinD）'!$AL949=""),"",(SUMPRODUCT(分期持仓明细!$B$26:$Y$26,'实盘净值数据(iFinD）'!$B949:$Y949/'实盘净值数据(iFinD）'!$B$69:$Y$69)+SUMPRODUCT(分期持仓明细!$AC$26:$AD$26,'实盘净值数据(iFinD）'!$Z949:$AA949/'实盘净值数据(iFinD）'!$Z$69:$AA$69)+SUMPRODUCT(分期持仓明细!$AE$26:$AO$26,'实盘净值数据(iFinD）'!$AB949:$AL949/'实盘净值数据(iFinD）'!$AB$69:$AL$69))*(1-实盘持仓初始配置!$Z$10)^(('实盘净值数据(iFinD）'!$A949-'实盘净值数据(iFinD）'!$A$69)/365))</f>
        <v/>
      </c>
      <c r="U949" s="16">
        <f>IF(OR(T948="",T949=""),"",T949/T948-1)</f>
        <v/>
      </c>
      <c r="V949" s="16">
        <f>IF(T949="","",T949/MAX(T$5:T949)-1)</f>
        <v/>
      </c>
    </row>
    <row r="950" spans="1:19">
      <c r="A950" s="15" t="str">
        <f>IF('实盘净值数据(iFinD）'!A950="","",'实盘净值数据(iFinD）'!A950)</f>
        <v/>
      </c>
      <c r="B950" s="13" t="str">
        <f>IF(OR('实盘净值数据(iFinD）'!$A950="",'实盘净值数据(iFinD）'!$B950=""),"",分期持仓明细!$AB$17*SUMPRODUCT(分期持仓明细!$B$17:$Y$17,'实盘净值数据(iFinD）'!$B950:$Y950/'实盘净值数据(iFinD）'!$B$20:$Y$20)*(1-实盘持仓初始配置!$Z$4)^(('实盘净值数据(iFinD）'!$A950-'实盘净值数据(iFinD）'!$A$6)/365))</f>
        <v/>
      </c>
      <c r="C950" s="16" t="str">
        <f t="shared" si="84"/>
        <v/>
      </c>
      <c r="D950" s="16" t="str">
        <f>IF(B950="","",B950/MAX(B$5:B950)-1)</f>
        <v/>
      </c>
      <c r="E950" s="13" t="str">
        <f>IF(OR('实盘净值数据(iFinD）'!$A950="",'实盘净值数据(iFinD）'!$B950=""),"",分期持仓明细!$AB$18*SUMPRODUCT(分期持仓明细!$B$18:$Y$18,'实盘净值数据(iFinD）'!$B950:$Y950/'实盘净值数据(iFinD）'!$B$20:$Y$20)*(1-实盘持仓初始配置!$Z$5)^(('实盘净值数据(iFinD）'!$A950-'实盘净值数据(iFinD）'!$A$5)/365))</f>
        <v/>
      </c>
      <c r="F950" s="16" t="str">
        <f t="shared" si="85"/>
        <v/>
      </c>
      <c r="G950" s="16" t="str">
        <f>IF(E950="","",E950/MAX(E$5:E950)-1)</f>
        <v/>
      </c>
      <c r="H950" s="13" t="str">
        <f>IF(OR('实盘净值数据(iFinD）'!$A950="",'实盘净值数据(iFinD）'!$B950=""),"",分期持仓明细!$AB$19*SUMPRODUCT(分期持仓明细!$B$19:$Y$19,'实盘净值数据(iFinD）'!$B950:$Y950/'实盘净值数据(iFinD）'!$B$20:$Y$20)*(1-实盘持仓初始配置!$Z$6)^(('实盘净值数据(iFinD）'!$A950-'实盘净值数据(iFinD）'!$A$7)/365))</f>
        <v/>
      </c>
      <c r="I950" s="16" t="str">
        <f t="shared" si="86"/>
        <v/>
      </c>
      <c r="J950" s="16" t="str">
        <f>IF(H950="","",H950/MAX(H$5:H950)-1)</f>
        <v/>
      </c>
      <c r="K950" s="13" t="str">
        <f>IF(OR('实盘净值数据(iFinD）'!$A950="",'实盘净值数据(iFinD）'!$B950="",'实盘净值数据(iFinD）'!$Z950="",'实盘净值数据(iFinD）'!$AA950=""),"",分期持仓明细!$AB$23*(SUMPRODUCT(分期持仓明细!$B$23:$Y$23,'实盘净值数据(iFinD）'!$B950:$Y950/'实盘净值数据(iFinD）'!$B$65:$Y$65)+SUMPRODUCT(分期持仓明细!$AC$23:$AD$23,'实盘净值数据(iFinD）'!$Z950:$AA950/'实盘净值数据(iFinD）'!$Z$65:$AA$65))*(1-实盘持仓初始配置!$Z$7)^(('实盘净值数据(iFinD）'!$A950-'实盘净值数据(iFinD）'!$A$8)/365))</f>
        <v/>
      </c>
      <c r="L950" s="16" t="str">
        <f t="shared" si="87"/>
        <v/>
      </c>
      <c r="M950" s="16" t="str">
        <f>IF(K950="","",K950/MAX(K$5:K950)-1)</f>
        <v/>
      </c>
      <c r="N950" s="13" t="str">
        <f>IF(OR('实盘净值数据(iFinD）'!$A950="",'实盘净值数据(iFinD）'!$B950="",'实盘净值数据(iFinD）'!$Z950="",'实盘净值数据(iFinD）'!$AA950=""),"",分期持仓明细!$AB$24*(SUMPRODUCT(分期持仓明细!$B$24:$Y$24,'实盘净值数据(iFinD）'!$B950:$Y950/'实盘净值数据(iFinD）'!$B$65:$Y$65)+SUMPRODUCT(分期持仓明细!$AC$24:$AD$24,'实盘净值数据(iFinD）'!$Z950:$AA950/'实盘净值数据(iFinD）'!$Z$65:$AA$65))*(1-实盘持仓初始配置!$Z$8)^(('实盘净值数据(iFinD）'!$A950-'实盘净值数据(iFinD）'!$A$5)/365))</f>
        <v/>
      </c>
      <c r="O950" s="16" t="str">
        <f t="shared" si="88"/>
        <v/>
      </c>
      <c r="P950" s="16" t="str">
        <f>IF(N950="","",N950/MAX(N$5:N950)-1)</f>
        <v/>
      </c>
      <c r="Q950" s="13" t="str">
        <f>IF(OR('实盘净值数据(iFinD）'!$A950="",'实盘净值数据(iFinD）'!$B950="",'实盘净值数据(iFinD）'!$Z950="",'实盘净值数据(iFinD）'!$AA950=""),"",分期持仓明细!$AB$25*(SUMPRODUCT(分期持仓明细!$B$25:$Y$25,'实盘净值数据(iFinD）'!$B950:$Y950/'实盘净值数据(iFinD）'!$B$65:$Y$65)+SUMPRODUCT(分期持仓明细!$AC$25:$AD$25,'实盘净值数据(iFinD）'!$Z950:$AA950/'实盘净值数据(iFinD）'!$Z$65:$AA$65))*(1-实盘持仓初始配置!$Z$9)^(('实盘净值数据(iFinD）'!$A950-'实盘净值数据(iFinD）'!$A$8)/365))</f>
        <v/>
      </c>
      <c r="R950" s="16" t="str">
        <f t="shared" si="89"/>
        <v/>
      </c>
      <c r="S950" s="16" t="str">
        <f>IF(Q950="","",Q950/MAX(Q$5:Q950)-1)</f>
        <v/>
      </c>
      <c r="T950" s="13">
        <f>IF(OR('实盘净值数据(iFinD）'!$A950="",'实盘净值数据(iFinD）'!$B950="",'实盘净值数据(iFinD）'!$Z950="",'实盘净值数据(iFinD）'!$AA950="",'实盘净值数据(iFinD）'!$AB950="",'实盘净值数据(iFinD）'!$AL950=""),"",(SUMPRODUCT(分期持仓明细!$B$26:$Y$26,'实盘净值数据(iFinD）'!$B950:$Y950/'实盘净值数据(iFinD）'!$B$69:$Y$69)+SUMPRODUCT(分期持仓明细!$AC$26:$AD$26,'实盘净值数据(iFinD）'!$Z950:$AA950/'实盘净值数据(iFinD）'!$Z$69:$AA$69)+SUMPRODUCT(分期持仓明细!$AE$26:$AO$26,'实盘净值数据(iFinD）'!$AB950:$AL950/'实盘净值数据(iFinD）'!$AB$69:$AL$69))*(1-实盘持仓初始配置!$Z$10)^(('实盘净值数据(iFinD）'!$A950-'实盘净值数据(iFinD）'!$A$69)/365))</f>
        <v/>
      </c>
      <c r="U950" s="16">
        <f>IF(OR(T949="",T950=""),"",T950/T949-1)</f>
        <v/>
      </c>
      <c r="V950" s="16">
        <f>IF(T950="","",T950/MAX(T$5:T950)-1)</f>
        <v/>
      </c>
    </row>
    <row r="951" spans="1:19">
      <c r="A951" s="15" t="str">
        <f>IF('实盘净值数据(iFinD）'!A951="","",'实盘净值数据(iFinD）'!A951)</f>
        <v/>
      </c>
      <c r="B951" s="13" t="str">
        <f>IF(OR('实盘净值数据(iFinD）'!$A951="",'实盘净值数据(iFinD）'!$B951=""),"",分期持仓明细!$AB$17*SUMPRODUCT(分期持仓明细!$B$17:$Y$17,'实盘净值数据(iFinD）'!$B951:$Y951/'实盘净值数据(iFinD）'!$B$20:$Y$20)*(1-实盘持仓初始配置!$Z$4)^(('实盘净值数据(iFinD）'!$A951-'实盘净值数据(iFinD）'!$A$6)/365))</f>
        <v/>
      </c>
      <c r="C951" s="16" t="str">
        <f t="shared" si="84"/>
        <v/>
      </c>
      <c r="D951" s="16" t="str">
        <f>IF(B951="","",B951/MAX(B$5:B951)-1)</f>
        <v/>
      </c>
      <c r="E951" s="13" t="str">
        <f>IF(OR('实盘净值数据(iFinD）'!$A951="",'实盘净值数据(iFinD）'!$B951=""),"",分期持仓明细!$AB$18*SUMPRODUCT(分期持仓明细!$B$18:$Y$18,'实盘净值数据(iFinD）'!$B951:$Y951/'实盘净值数据(iFinD）'!$B$20:$Y$20)*(1-实盘持仓初始配置!$Z$5)^(('实盘净值数据(iFinD）'!$A951-'实盘净值数据(iFinD）'!$A$5)/365))</f>
        <v/>
      </c>
      <c r="F951" s="16" t="str">
        <f t="shared" si="85"/>
        <v/>
      </c>
      <c r="G951" s="16" t="str">
        <f>IF(E951="","",E951/MAX(E$5:E951)-1)</f>
        <v/>
      </c>
      <c r="H951" s="13" t="str">
        <f>IF(OR('实盘净值数据(iFinD）'!$A951="",'实盘净值数据(iFinD）'!$B951=""),"",分期持仓明细!$AB$19*SUMPRODUCT(分期持仓明细!$B$19:$Y$19,'实盘净值数据(iFinD）'!$B951:$Y951/'实盘净值数据(iFinD）'!$B$20:$Y$20)*(1-实盘持仓初始配置!$Z$6)^(('实盘净值数据(iFinD）'!$A951-'实盘净值数据(iFinD）'!$A$7)/365))</f>
        <v/>
      </c>
      <c r="I951" s="16" t="str">
        <f t="shared" si="86"/>
        <v/>
      </c>
      <c r="J951" s="16" t="str">
        <f>IF(H951="","",H951/MAX(H$5:H951)-1)</f>
        <v/>
      </c>
      <c r="K951" s="13" t="str">
        <f>IF(OR('实盘净值数据(iFinD）'!$A951="",'实盘净值数据(iFinD）'!$B951="",'实盘净值数据(iFinD）'!$Z951="",'实盘净值数据(iFinD）'!$AA951=""),"",分期持仓明细!$AB$23*(SUMPRODUCT(分期持仓明细!$B$23:$Y$23,'实盘净值数据(iFinD）'!$B951:$Y951/'实盘净值数据(iFinD）'!$B$65:$Y$65)+SUMPRODUCT(分期持仓明细!$AC$23:$AD$23,'实盘净值数据(iFinD）'!$Z951:$AA951/'实盘净值数据(iFinD）'!$Z$65:$AA$65))*(1-实盘持仓初始配置!$Z$7)^(('实盘净值数据(iFinD）'!$A951-'实盘净值数据(iFinD）'!$A$8)/365))</f>
        <v/>
      </c>
      <c r="L951" s="16" t="str">
        <f t="shared" si="87"/>
        <v/>
      </c>
      <c r="M951" s="16" t="str">
        <f>IF(K951="","",K951/MAX(K$5:K951)-1)</f>
        <v/>
      </c>
      <c r="N951" s="13" t="str">
        <f>IF(OR('实盘净值数据(iFinD）'!$A951="",'实盘净值数据(iFinD）'!$B951="",'实盘净值数据(iFinD）'!$Z951="",'实盘净值数据(iFinD）'!$AA951=""),"",分期持仓明细!$AB$24*(SUMPRODUCT(分期持仓明细!$B$24:$Y$24,'实盘净值数据(iFinD）'!$B951:$Y951/'实盘净值数据(iFinD）'!$B$65:$Y$65)+SUMPRODUCT(分期持仓明细!$AC$24:$AD$24,'实盘净值数据(iFinD）'!$Z951:$AA951/'实盘净值数据(iFinD）'!$Z$65:$AA$65))*(1-实盘持仓初始配置!$Z$8)^(('实盘净值数据(iFinD）'!$A951-'实盘净值数据(iFinD）'!$A$5)/365))</f>
        <v/>
      </c>
      <c r="O951" s="16" t="str">
        <f t="shared" si="88"/>
        <v/>
      </c>
      <c r="P951" s="16" t="str">
        <f>IF(N951="","",N951/MAX(N$5:N951)-1)</f>
        <v/>
      </c>
      <c r="Q951" s="13" t="str">
        <f>IF(OR('实盘净值数据(iFinD）'!$A951="",'实盘净值数据(iFinD）'!$B951="",'实盘净值数据(iFinD）'!$Z951="",'实盘净值数据(iFinD）'!$AA951=""),"",分期持仓明细!$AB$25*(SUMPRODUCT(分期持仓明细!$B$25:$Y$25,'实盘净值数据(iFinD）'!$B951:$Y951/'实盘净值数据(iFinD）'!$B$65:$Y$65)+SUMPRODUCT(分期持仓明细!$AC$25:$AD$25,'实盘净值数据(iFinD）'!$Z951:$AA951/'实盘净值数据(iFinD）'!$Z$65:$AA$65))*(1-实盘持仓初始配置!$Z$9)^(('实盘净值数据(iFinD）'!$A951-'实盘净值数据(iFinD）'!$A$8)/365))</f>
        <v/>
      </c>
      <c r="R951" s="16" t="str">
        <f t="shared" si="89"/>
        <v/>
      </c>
      <c r="S951" s="16" t="str">
        <f>IF(Q951="","",Q951/MAX(Q$5:Q951)-1)</f>
        <v/>
      </c>
      <c r="T951" s="13">
        <f>IF(OR('实盘净值数据(iFinD）'!$A951="",'实盘净值数据(iFinD）'!$B951="",'实盘净值数据(iFinD）'!$Z951="",'实盘净值数据(iFinD）'!$AA951="",'实盘净值数据(iFinD）'!$AB951="",'实盘净值数据(iFinD）'!$AL951=""),"",(SUMPRODUCT(分期持仓明细!$B$26:$Y$26,'实盘净值数据(iFinD）'!$B951:$Y951/'实盘净值数据(iFinD）'!$B$69:$Y$69)+SUMPRODUCT(分期持仓明细!$AC$26:$AD$26,'实盘净值数据(iFinD）'!$Z951:$AA951/'实盘净值数据(iFinD）'!$Z$69:$AA$69)+SUMPRODUCT(分期持仓明细!$AE$26:$AO$26,'实盘净值数据(iFinD）'!$AB951:$AL951/'实盘净值数据(iFinD）'!$AB$69:$AL$69))*(1-实盘持仓初始配置!$Z$10)^(('实盘净值数据(iFinD）'!$A951-'实盘净值数据(iFinD）'!$A$69)/365))</f>
        <v/>
      </c>
      <c r="U951" s="16">
        <f>IF(OR(T950="",T951=""),"",T951/T950-1)</f>
        <v/>
      </c>
      <c r="V951" s="16">
        <f>IF(T951="","",T951/MAX(T$5:T951)-1)</f>
        <v/>
      </c>
    </row>
    <row r="952" spans="1:19">
      <c r="A952" s="15" t="str">
        <f>IF('实盘净值数据(iFinD）'!A952="","",'实盘净值数据(iFinD）'!A952)</f>
        <v/>
      </c>
      <c r="B952" s="13" t="str">
        <f>IF(OR('实盘净值数据(iFinD）'!$A952="",'实盘净值数据(iFinD）'!$B952=""),"",分期持仓明细!$AB$17*SUMPRODUCT(分期持仓明细!$B$17:$Y$17,'实盘净值数据(iFinD）'!$B952:$Y952/'实盘净值数据(iFinD）'!$B$20:$Y$20)*(1-实盘持仓初始配置!$Z$4)^(('实盘净值数据(iFinD）'!$A952-'实盘净值数据(iFinD）'!$A$6)/365))</f>
        <v/>
      </c>
      <c r="C952" s="16" t="str">
        <f t="shared" si="84"/>
        <v/>
      </c>
      <c r="D952" s="16" t="str">
        <f>IF(B952="","",B952/MAX(B$5:B952)-1)</f>
        <v/>
      </c>
      <c r="E952" s="13" t="str">
        <f>IF(OR('实盘净值数据(iFinD）'!$A952="",'实盘净值数据(iFinD）'!$B952=""),"",分期持仓明细!$AB$18*SUMPRODUCT(分期持仓明细!$B$18:$Y$18,'实盘净值数据(iFinD）'!$B952:$Y952/'实盘净值数据(iFinD）'!$B$20:$Y$20)*(1-实盘持仓初始配置!$Z$5)^(('实盘净值数据(iFinD）'!$A952-'实盘净值数据(iFinD）'!$A$5)/365))</f>
        <v/>
      </c>
      <c r="F952" s="16" t="str">
        <f t="shared" si="85"/>
        <v/>
      </c>
      <c r="G952" s="16" t="str">
        <f>IF(E952="","",E952/MAX(E$5:E952)-1)</f>
        <v/>
      </c>
      <c r="H952" s="13" t="str">
        <f>IF(OR('实盘净值数据(iFinD）'!$A952="",'实盘净值数据(iFinD）'!$B952=""),"",分期持仓明细!$AB$19*SUMPRODUCT(分期持仓明细!$B$19:$Y$19,'实盘净值数据(iFinD）'!$B952:$Y952/'实盘净值数据(iFinD）'!$B$20:$Y$20)*(1-实盘持仓初始配置!$Z$6)^(('实盘净值数据(iFinD）'!$A952-'实盘净值数据(iFinD）'!$A$7)/365))</f>
        <v/>
      </c>
      <c r="I952" s="16" t="str">
        <f t="shared" si="86"/>
        <v/>
      </c>
      <c r="J952" s="16" t="str">
        <f>IF(H952="","",H952/MAX(H$5:H952)-1)</f>
        <v/>
      </c>
      <c r="K952" s="13" t="str">
        <f>IF(OR('实盘净值数据(iFinD）'!$A952="",'实盘净值数据(iFinD）'!$B952="",'实盘净值数据(iFinD）'!$Z952="",'实盘净值数据(iFinD）'!$AA952=""),"",分期持仓明细!$AB$23*(SUMPRODUCT(分期持仓明细!$B$23:$Y$23,'实盘净值数据(iFinD）'!$B952:$Y952/'实盘净值数据(iFinD）'!$B$65:$Y$65)+SUMPRODUCT(分期持仓明细!$AC$23:$AD$23,'实盘净值数据(iFinD）'!$Z952:$AA952/'实盘净值数据(iFinD）'!$Z$65:$AA$65))*(1-实盘持仓初始配置!$Z$7)^(('实盘净值数据(iFinD）'!$A952-'实盘净值数据(iFinD）'!$A$8)/365))</f>
        <v/>
      </c>
      <c r="L952" s="16" t="str">
        <f t="shared" si="87"/>
        <v/>
      </c>
      <c r="M952" s="16" t="str">
        <f>IF(K952="","",K952/MAX(K$5:K952)-1)</f>
        <v/>
      </c>
      <c r="N952" s="13" t="str">
        <f>IF(OR('实盘净值数据(iFinD）'!$A952="",'实盘净值数据(iFinD）'!$B952="",'实盘净值数据(iFinD）'!$Z952="",'实盘净值数据(iFinD）'!$AA952=""),"",分期持仓明细!$AB$24*(SUMPRODUCT(分期持仓明细!$B$24:$Y$24,'实盘净值数据(iFinD）'!$B952:$Y952/'实盘净值数据(iFinD）'!$B$65:$Y$65)+SUMPRODUCT(分期持仓明细!$AC$24:$AD$24,'实盘净值数据(iFinD）'!$Z952:$AA952/'实盘净值数据(iFinD）'!$Z$65:$AA$65))*(1-实盘持仓初始配置!$Z$8)^(('实盘净值数据(iFinD）'!$A952-'实盘净值数据(iFinD）'!$A$5)/365))</f>
        <v/>
      </c>
      <c r="O952" s="16" t="str">
        <f t="shared" si="88"/>
        <v/>
      </c>
      <c r="P952" s="16" t="str">
        <f>IF(N952="","",N952/MAX(N$5:N952)-1)</f>
        <v/>
      </c>
      <c r="Q952" s="13" t="str">
        <f>IF(OR('实盘净值数据(iFinD）'!$A952="",'实盘净值数据(iFinD）'!$B952="",'实盘净值数据(iFinD）'!$Z952="",'实盘净值数据(iFinD）'!$AA952=""),"",分期持仓明细!$AB$25*(SUMPRODUCT(分期持仓明细!$B$25:$Y$25,'实盘净值数据(iFinD）'!$B952:$Y952/'实盘净值数据(iFinD）'!$B$65:$Y$65)+SUMPRODUCT(分期持仓明细!$AC$25:$AD$25,'实盘净值数据(iFinD）'!$Z952:$AA952/'实盘净值数据(iFinD）'!$Z$65:$AA$65))*(1-实盘持仓初始配置!$Z$9)^(('实盘净值数据(iFinD）'!$A952-'实盘净值数据(iFinD）'!$A$8)/365))</f>
        <v/>
      </c>
      <c r="R952" s="16" t="str">
        <f t="shared" si="89"/>
        <v/>
      </c>
      <c r="S952" s="16" t="str">
        <f>IF(Q952="","",Q952/MAX(Q$5:Q952)-1)</f>
        <v/>
      </c>
      <c r="T952" s="13">
        <f>IF(OR('实盘净值数据(iFinD）'!$A952="",'实盘净值数据(iFinD）'!$B952="",'实盘净值数据(iFinD）'!$Z952="",'实盘净值数据(iFinD）'!$AA952="",'实盘净值数据(iFinD）'!$AB952="",'实盘净值数据(iFinD）'!$AL952=""),"",(SUMPRODUCT(分期持仓明细!$B$26:$Y$26,'实盘净值数据(iFinD）'!$B952:$Y952/'实盘净值数据(iFinD）'!$B$69:$Y$69)+SUMPRODUCT(分期持仓明细!$AC$26:$AD$26,'实盘净值数据(iFinD）'!$Z952:$AA952/'实盘净值数据(iFinD）'!$Z$69:$AA$69)+SUMPRODUCT(分期持仓明细!$AE$26:$AO$26,'实盘净值数据(iFinD）'!$AB952:$AL952/'实盘净值数据(iFinD）'!$AB$69:$AL$69))*(1-实盘持仓初始配置!$Z$10)^(('实盘净值数据(iFinD）'!$A952-'实盘净值数据(iFinD）'!$A$69)/365))</f>
        <v/>
      </c>
      <c r="U952" s="16">
        <f>IF(OR(T951="",T952=""),"",T952/T951-1)</f>
        <v/>
      </c>
      <c r="V952" s="16">
        <f>IF(T952="","",T952/MAX(T$5:T952)-1)</f>
        <v/>
      </c>
    </row>
    <row r="953" spans="1:19">
      <c r="A953" s="15" t="str">
        <f>IF('实盘净值数据(iFinD）'!A953="","",'实盘净值数据(iFinD）'!A953)</f>
        <v/>
      </c>
      <c r="B953" s="13" t="str">
        <f>IF(OR('实盘净值数据(iFinD）'!$A953="",'实盘净值数据(iFinD）'!$B953=""),"",分期持仓明细!$AB$17*SUMPRODUCT(分期持仓明细!$B$17:$Y$17,'实盘净值数据(iFinD）'!$B953:$Y953/'实盘净值数据(iFinD）'!$B$20:$Y$20)*(1-实盘持仓初始配置!$Z$4)^(('实盘净值数据(iFinD）'!$A953-'实盘净值数据(iFinD）'!$A$6)/365))</f>
        <v/>
      </c>
      <c r="C953" s="16" t="str">
        <f t="shared" si="84"/>
        <v/>
      </c>
      <c r="D953" s="16" t="str">
        <f>IF(B953="","",B953/MAX(B$5:B953)-1)</f>
        <v/>
      </c>
      <c r="E953" s="13" t="str">
        <f>IF(OR('实盘净值数据(iFinD）'!$A953="",'实盘净值数据(iFinD）'!$B953=""),"",分期持仓明细!$AB$18*SUMPRODUCT(分期持仓明细!$B$18:$Y$18,'实盘净值数据(iFinD）'!$B953:$Y953/'实盘净值数据(iFinD）'!$B$20:$Y$20)*(1-实盘持仓初始配置!$Z$5)^(('实盘净值数据(iFinD）'!$A953-'实盘净值数据(iFinD）'!$A$5)/365))</f>
        <v/>
      </c>
      <c r="F953" s="16" t="str">
        <f t="shared" si="85"/>
        <v/>
      </c>
      <c r="G953" s="16" t="str">
        <f>IF(E953="","",E953/MAX(E$5:E953)-1)</f>
        <v/>
      </c>
      <c r="H953" s="13" t="str">
        <f>IF(OR('实盘净值数据(iFinD）'!$A953="",'实盘净值数据(iFinD）'!$B953=""),"",分期持仓明细!$AB$19*SUMPRODUCT(分期持仓明细!$B$19:$Y$19,'实盘净值数据(iFinD）'!$B953:$Y953/'实盘净值数据(iFinD）'!$B$20:$Y$20)*(1-实盘持仓初始配置!$Z$6)^(('实盘净值数据(iFinD）'!$A953-'实盘净值数据(iFinD）'!$A$7)/365))</f>
        <v/>
      </c>
      <c r="I953" s="16" t="str">
        <f t="shared" si="86"/>
        <v/>
      </c>
      <c r="J953" s="16" t="str">
        <f>IF(H953="","",H953/MAX(H$5:H953)-1)</f>
        <v/>
      </c>
      <c r="K953" s="13" t="str">
        <f>IF(OR('实盘净值数据(iFinD）'!$A953="",'实盘净值数据(iFinD）'!$B953="",'实盘净值数据(iFinD）'!$Z953="",'实盘净值数据(iFinD）'!$AA953=""),"",分期持仓明细!$AB$23*(SUMPRODUCT(分期持仓明细!$B$23:$Y$23,'实盘净值数据(iFinD）'!$B953:$Y953/'实盘净值数据(iFinD）'!$B$65:$Y$65)+SUMPRODUCT(分期持仓明细!$AC$23:$AD$23,'实盘净值数据(iFinD）'!$Z953:$AA953/'实盘净值数据(iFinD）'!$Z$65:$AA$65))*(1-实盘持仓初始配置!$Z$7)^(('实盘净值数据(iFinD）'!$A953-'实盘净值数据(iFinD）'!$A$8)/365))</f>
        <v/>
      </c>
      <c r="L953" s="16" t="str">
        <f t="shared" si="87"/>
        <v/>
      </c>
      <c r="M953" s="16" t="str">
        <f>IF(K953="","",K953/MAX(K$5:K953)-1)</f>
        <v/>
      </c>
      <c r="N953" s="13" t="str">
        <f>IF(OR('实盘净值数据(iFinD）'!$A953="",'实盘净值数据(iFinD）'!$B953="",'实盘净值数据(iFinD）'!$Z953="",'实盘净值数据(iFinD）'!$AA953=""),"",分期持仓明细!$AB$24*(SUMPRODUCT(分期持仓明细!$B$24:$Y$24,'实盘净值数据(iFinD）'!$B953:$Y953/'实盘净值数据(iFinD）'!$B$65:$Y$65)+SUMPRODUCT(分期持仓明细!$AC$24:$AD$24,'实盘净值数据(iFinD）'!$Z953:$AA953/'实盘净值数据(iFinD）'!$Z$65:$AA$65))*(1-实盘持仓初始配置!$Z$8)^(('实盘净值数据(iFinD）'!$A953-'实盘净值数据(iFinD）'!$A$5)/365))</f>
        <v/>
      </c>
      <c r="O953" s="16" t="str">
        <f t="shared" si="88"/>
        <v/>
      </c>
      <c r="P953" s="16" t="str">
        <f>IF(N953="","",N953/MAX(N$5:N953)-1)</f>
        <v/>
      </c>
      <c r="Q953" s="13" t="str">
        <f>IF(OR('实盘净值数据(iFinD）'!$A953="",'实盘净值数据(iFinD）'!$B953="",'实盘净值数据(iFinD）'!$Z953="",'实盘净值数据(iFinD）'!$AA953=""),"",分期持仓明细!$AB$25*(SUMPRODUCT(分期持仓明细!$B$25:$Y$25,'实盘净值数据(iFinD）'!$B953:$Y953/'实盘净值数据(iFinD）'!$B$65:$Y$65)+SUMPRODUCT(分期持仓明细!$AC$25:$AD$25,'实盘净值数据(iFinD）'!$Z953:$AA953/'实盘净值数据(iFinD）'!$Z$65:$AA$65))*(1-实盘持仓初始配置!$Z$9)^(('实盘净值数据(iFinD）'!$A953-'实盘净值数据(iFinD）'!$A$8)/365))</f>
        <v/>
      </c>
      <c r="R953" s="16" t="str">
        <f t="shared" si="89"/>
        <v/>
      </c>
      <c r="S953" s="16" t="str">
        <f>IF(Q953="","",Q953/MAX(Q$5:Q953)-1)</f>
        <v/>
      </c>
      <c r="T953" s="13">
        <f>IF(OR('实盘净值数据(iFinD）'!$A953="",'实盘净值数据(iFinD）'!$B953="",'实盘净值数据(iFinD）'!$Z953="",'实盘净值数据(iFinD）'!$AA953="",'实盘净值数据(iFinD）'!$AB953="",'实盘净值数据(iFinD）'!$AL953=""),"",(SUMPRODUCT(分期持仓明细!$B$26:$Y$26,'实盘净值数据(iFinD）'!$B953:$Y953/'实盘净值数据(iFinD）'!$B$69:$Y$69)+SUMPRODUCT(分期持仓明细!$AC$26:$AD$26,'实盘净值数据(iFinD）'!$Z953:$AA953/'实盘净值数据(iFinD）'!$Z$69:$AA$69)+SUMPRODUCT(分期持仓明细!$AE$26:$AO$26,'实盘净值数据(iFinD）'!$AB953:$AL953/'实盘净值数据(iFinD）'!$AB$69:$AL$69))*(1-实盘持仓初始配置!$Z$10)^(('实盘净值数据(iFinD）'!$A953-'实盘净值数据(iFinD）'!$A$69)/365))</f>
        <v/>
      </c>
      <c r="U953" s="16">
        <f>IF(OR(T952="",T953=""),"",T953/T952-1)</f>
        <v/>
      </c>
      <c r="V953" s="16">
        <f>IF(T953="","",T953/MAX(T$5:T953)-1)</f>
        <v/>
      </c>
    </row>
    <row r="954" spans="1:19">
      <c r="A954" s="15" t="str">
        <f>IF('实盘净值数据(iFinD）'!A954="","",'实盘净值数据(iFinD）'!A954)</f>
        <v/>
      </c>
      <c r="B954" s="13" t="str">
        <f>IF(OR('实盘净值数据(iFinD）'!$A954="",'实盘净值数据(iFinD）'!$B954=""),"",分期持仓明细!$AB$17*SUMPRODUCT(分期持仓明细!$B$17:$Y$17,'实盘净值数据(iFinD）'!$B954:$Y954/'实盘净值数据(iFinD）'!$B$20:$Y$20)*(1-实盘持仓初始配置!$Z$4)^(('实盘净值数据(iFinD）'!$A954-'实盘净值数据(iFinD）'!$A$6)/365))</f>
        <v/>
      </c>
      <c r="C954" s="16" t="str">
        <f t="shared" si="84"/>
        <v/>
      </c>
      <c r="D954" s="16" t="str">
        <f>IF(B954="","",B954/MAX(B$5:B954)-1)</f>
        <v/>
      </c>
      <c r="E954" s="13" t="str">
        <f>IF(OR('实盘净值数据(iFinD）'!$A954="",'实盘净值数据(iFinD）'!$B954=""),"",分期持仓明细!$AB$18*SUMPRODUCT(分期持仓明细!$B$18:$Y$18,'实盘净值数据(iFinD）'!$B954:$Y954/'实盘净值数据(iFinD）'!$B$20:$Y$20)*(1-实盘持仓初始配置!$Z$5)^(('实盘净值数据(iFinD）'!$A954-'实盘净值数据(iFinD）'!$A$5)/365))</f>
        <v/>
      </c>
      <c r="F954" s="16" t="str">
        <f t="shared" si="85"/>
        <v/>
      </c>
      <c r="G954" s="16" t="str">
        <f>IF(E954="","",E954/MAX(E$5:E954)-1)</f>
        <v/>
      </c>
      <c r="H954" s="13" t="str">
        <f>IF(OR('实盘净值数据(iFinD）'!$A954="",'实盘净值数据(iFinD）'!$B954=""),"",分期持仓明细!$AB$19*SUMPRODUCT(分期持仓明细!$B$19:$Y$19,'实盘净值数据(iFinD）'!$B954:$Y954/'实盘净值数据(iFinD）'!$B$20:$Y$20)*(1-实盘持仓初始配置!$Z$6)^(('实盘净值数据(iFinD）'!$A954-'实盘净值数据(iFinD）'!$A$7)/365))</f>
        <v/>
      </c>
      <c r="I954" s="16" t="str">
        <f t="shared" si="86"/>
        <v/>
      </c>
      <c r="J954" s="16" t="str">
        <f>IF(H954="","",H954/MAX(H$5:H954)-1)</f>
        <v/>
      </c>
      <c r="K954" s="13" t="str">
        <f>IF(OR('实盘净值数据(iFinD）'!$A954="",'实盘净值数据(iFinD）'!$B954="",'实盘净值数据(iFinD）'!$Z954="",'实盘净值数据(iFinD）'!$AA954=""),"",分期持仓明细!$AB$23*(SUMPRODUCT(分期持仓明细!$B$23:$Y$23,'实盘净值数据(iFinD）'!$B954:$Y954/'实盘净值数据(iFinD）'!$B$65:$Y$65)+SUMPRODUCT(分期持仓明细!$AC$23:$AD$23,'实盘净值数据(iFinD）'!$Z954:$AA954/'实盘净值数据(iFinD）'!$Z$65:$AA$65))*(1-实盘持仓初始配置!$Z$7)^(('实盘净值数据(iFinD）'!$A954-'实盘净值数据(iFinD）'!$A$8)/365))</f>
        <v/>
      </c>
      <c r="L954" s="16" t="str">
        <f t="shared" si="87"/>
        <v/>
      </c>
      <c r="M954" s="16" t="str">
        <f>IF(K954="","",K954/MAX(K$5:K954)-1)</f>
        <v/>
      </c>
      <c r="N954" s="13" t="str">
        <f>IF(OR('实盘净值数据(iFinD）'!$A954="",'实盘净值数据(iFinD）'!$B954="",'实盘净值数据(iFinD）'!$Z954="",'实盘净值数据(iFinD）'!$AA954=""),"",分期持仓明细!$AB$24*(SUMPRODUCT(分期持仓明细!$B$24:$Y$24,'实盘净值数据(iFinD）'!$B954:$Y954/'实盘净值数据(iFinD）'!$B$65:$Y$65)+SUMPRODUCT(分期持仓明细!$AC$24:$AD$24,'实盘净值数据(iFinD）'!$Z954:$AA954/'实盘净值数据(iFinD）'!$Z$65:$AA$65))*(1-实盘持仓初始配置!$Z$8)^(('实盘净值数据(iFinD）'!$A954-'实盘净值数据(iFinD）'!$A$5)/365))</f>
        <v/>
      </c>
      <c r="O954" s="16" t="str">
        <f t="shared" si="88"/>
        <v/>
      </c>
      <c r="P954" s="16" t="str">
        <f>IF(N954="","",N954/MAX(N$5:N954)-1)</f>
        <v/>
      </c>
      <c r="Q954" s="13" t="str">
        <f>IF(OR('实盘净值数据(iFinD）'!$A954="",'实盘净值数据(iFinD）'!$B954="",'实盘净值数据(iFinD）'!$Z954="",'实盘净值数据(iFinD）'!$AA954=""),"",分期持仓明细!$AB$25*(SUMPRODUCT(分期持仓明细!$B$25:$Y$25,'实盘净值数据(iFinD）'!$B954:$Y954/'实盘净值数据(iFinD）'!$B$65:$Y$65)+SUMPRODUCT(分期持仓明细!$AC$25:$AD$25,'实盘净值数据(iFinD）'!$Z954:$AA954/'实盘净值数据(iFinD）'!$Z$65:$AA$65))*(1-实盘持仓初始配置!$Z$9)^(('实盘净值数据(iFinD）'!$A954-'实盘净值数据(iFinD）'!$A$8)/365))</f>
        <v/>
      </c>
      <c r="R954" s="16" t="str">
        <f t="shared" si="89"/>
        <v/>
      </c>
      <c r="S954" s="16" t="str">
        <f>IF(Q954="","",Q954/MAX(Q$5:Q954)-1)</f>
        <v/>
      </c>
      <c r="T954" s="13">
        <f>IF(OR('实盘净值数据(iFinD）'!$A954="",'实盘净值数据(iFinD）'!$B954="",'实盘净值数据(iFinD）'!$Z954="",'实盘净值数据(iFinD）'!$AA954="",'实盘净值数据(iFinD）'!$AB954="",'实盘净值数据(iFinD）'!$AL954=""),"",(SUMPRODUCT(分期持仓明细!$B$26:$Y$26,'实盘净值数据(iFinD）'!$B954:$Y954/'实盘净值数据(iFinD）'!$B$69:$Y$69)+SUMPRODUCT(分期持仓明细!$AC$26:$AD$26,'实盘净值数据(iFinD）'!$Z954:$AA954/'实盘净值数据(iFinD）'!$Z$69:$AA$69)+SUMPRODUCT(分期持仓明细!$AE$26:$AO$26,'实盘净值数据(iFinD）'!$AB954:$AL954/'实盘净值数据(iFinD）'!$AB$69:$AL$69))*(1-实盘持仓初始配置!$Z$10)^(('实盘净值数据(iFinD）'!$A954-'实盘净值数据(iFinD）'!$A$69)/365))</f>
        <v/>
      </c>
      <c r="U954" s="16">
        <f>IF(OR(T953="",T954=""),"",T954/T953-1)</f>
        <v/>
      </c>
      <c r="V954" s="16">
        <f>IF(T954="","",T954/MAX(T$5:T954)-1)</f>
        <v/>
      </c>
    </row>
    <row r="955" spans="1:19">
      <c r="A955" s="15" t="str">
        <f>IF('实盘净值数据(iFinD）'!A955="","",'实盘净值数据(iFinD）'!A955)</f>
        <v/>
      </c>
      <c r="B955" s="13" t="str">
        <f>IF(OR('实盘净值数据(iFinD）'!$A955="",'实盘净值数据(iFinD）'!$B955=""),"",分期持仓明细!$AB$17*SUMPRODUCT(分期持仓明细!$B$17:$Y$17,'实盘净值数据(iFinD）'!$B955:$Y955/'实盘净值数据(iFinD）'!$B$20:$Y$20)*(1-实盘持仓初始配置!$Z$4)^(('实盘净值数据(iFinD）'!$A955-'实盘净值数据(iFinD）'!$A$6)/365))</f>
        <v/>
      </c>
      <c r="C955" s="16" t="str">
        <f t="shared" si="84"/>
        <v/>
      </c>
      <c r="D955" s="16" t="str">
        <f>IF(B955="","",B955/MAX(B$5:B955)-1)</f>
        <v/>
      </c>
      <c r="E955" s="13" t="str">
        <f>IF(OR('实盘净值数据(iFinD）'!$A955="",'实盘净值数据(iFinD）'!$B955=""),"",分期持仓明细!$AB$18*SUMPRODUCT(分期持仓明细!$B$18:$Y$18,'实盘净值数据(iFinD）'!$B955:$Y955/'实盘净值数据(iFinD）'!$B$20:$Y$20)*(1-实盘持仓初始配置!$Z$5)^(('实盘净值数据(iFinD）'!$A955-'实盘净值数据(iFinD）'!$A$5)/365))</f>
        <v/>
      </c>
      <c r="F955" s="16" t="str">
        <f t="shared" si="85"/>
        <v/>
      </c>
      <c r="G955" s="16" t="str">
        <f>IF(E955="","",E955/MAX(E$5:E955)-1)</f>
        <v/>
      </c>
      <c r="H955" s="13" t="str">
        <f>IF(OR('实盘净值数据(iFinD）'!$A955="",'实盘净值数据(iFinD）'!$B955=""),"",分期持仓明细!$AB$19*SUMPRODUCT(分期持仓明细!$B$19:$Y$19,'实盘净值数据(iFinD）'!$B955:$Y955/'实盘净值数据(iFinD）'!$B$20:$Y$20)*(1-实盘持仓初始配置!$Z$6)^(('实盘净值数据(iFinD）'!$A955-'实盘净值数据(iFinD）'!$A$7)/365))</f>
        <v/>
      </c>
      <c r="I955" s="16" t="str">
        <f t="shared" si="86"/>
        <v/>
      </c>
      <c r="J955" s="16" t="str">
        <f>IF(H955="","",H955/MAX(H$5:H955)-1)</f>
        <v/>
      </c>
      <c r="K955" s="13" t="str">
        <f>IF(OR('实盘净值数据(iFinD）'!$A955="",'实盘净值数据(iFinD）'!$B955="",'实盘净值数据(iFinD）'!$Z955="",'实盘净值数据(iFinD）'!$AA955=""),"",分期持仓明细!$AB$23*(SUMPRODUCT(分期持仓明细!$B$23:$Y$23,'实盘净值数据(iFinD）'!$B955:$Y955/'实盘净值数据(iFinD）'!$B$65:$Y$65)+SUMPRODUCT(分期持仓明细!$AC$23:$AD$23,'实盘净值数据(iFinD）'!$Z955:$AA955/'实盘净值数据(iFinD）'!$Z$65:$AA$65))*(1-实盘持仓初始配置!$Z$7)^(('实盘净值数据(iFinD）'!$A955-'实盘净值数据(iFinD）'!$A$8)/365))</f>
        <v/>
      </c>
      <c r="L955" s="16" t="str">
        <f t="shared" si="87"/>
        <v/>
      </c>
      <c r="M955" s="16" t="str">
        <f>IF(K955="","",K955/MAX(K$5:K955)-1)</f>
        <v/>
      </c>
      <c r="N955" s="13" t="str">
        <f>IF(OR('实盘净值数据(iFinD）'!$A955="",'实盘净值数据(iFinD）'!$B955="",'实盘净值数据(iFinD）'!$Z955="",'实盘净值数据(iFinD）'!$AA955=""),"",分期持仓明细!$AB$24*(SUMPRODUCT(分期持仓明细!$B$24:$Y$24,'实盘净值数据(iFinD）'!$B955:$Y955/'实盘净值数据(iFinD）'!$B$65:$Y$65)+SUMPRODUCT(分期持仓明细!$AC$24:$AD$24,'实盘净值数据(iFinD）'!$Z955:$AA955/'实盘净值数据(iFinD）'!$Z$65:$AA$65))*(1-实盘持仓初始配置!$Z$8)^(('实盘净值数据(iFinD）'!$A955-'实盘净值数据(iFinD）'!$A$5)/365))</f>
        <v/>
      </c>
      <c r="O955" s="16" t="str">
        <f t="shared" si="88"/>
        <v/>
      </c>
      <c r="P955" s="16" t="str">
        <f>IF(N955="","",N955/MAX(N$5:N955)-1)</f>
        <v/>
      </c>
      <c r="Q955" s="13" t="str">
        <f>IF(OR('实盘净值数据(iFinD）'!$A955="",'实盘净值数据(iFinD）'!$B955="",'实盘净值数据(iFinD）'!$Z955="",'实盘净值数据(iFinD）'!$AA955=""),"",分期持仓明细!$AB$25*(SUMPRODUCT(分期持仓明细!$B$25:$Y$25,'实盘净值数据(iFinD）'!$B955:$Y955/'实盘净值数据(iFinD）'!$B$65:$Y$65)+SUMPRODUCT(分期持仓明细!$AC$25:$AD$25,'实盘净值数据(iFinD）'!$Z955:$AA955/'实盘净值数据(iFinD）'!$Z$65:$AA$65))*(1-实盘持仓初始配置!$Z$9)^(('实盘净值数据(iFinD）'!$A955-'实盘净值数据(iFinD）'!$A$8)/365))</f>
        <v/>
      </c>
      <c r="R955" s="16" t="str">
        <f t="shared" si="89"/>
        <v/>
      </c>
      <c r="S955" s="16" t="str">
        <f>IF(Q955="","",Q955/MAX(Q$5:Q955)-1)</f>
        <v/>
      </c>
      <c r="T955" s="13">
        <f>IF(OR('实盘净值数据(iFinD）'!$A955="",'实盘净值数据(iFinD）'!$B955="",'实盘净值数据(iFinD）'!$Z955="",'实盘净值数据(iFinD）'!$AA955="",'实盘净值数据(iFinD）'!$AB955="",'实盘净值数据(iFinD）'!$AL955=""),"",(SUMPRODUCT(分期持仓明细!$B$26:$Y$26,'实盘净值数据(iFinD）'!$B955:$Y955/'实盘净值数据(iFinD）'!$B$69:$Y$69)+SUMPRODUCT(分期持仓明细!$AC$26:$AD$26,'实盘净值数据(iFinD）'!$Z955:$AA955/'实盘净值数据(iFinD）'!$Z$69:$AA$69)+SUMPRODUCT(分期持仓明细!$AE$26:$AO$26,'实盘净值数据(iFinD）'!$AB955:$AL955/'实盘净值数据(iFinD）'!$AB$69:$AL$69))*(1-实盘持仓初始配置!$Z$10)^(('实盘净值数据(iFinD）'!$A955-'实盘净值数据(iFinD）'!$A$69)/365))</f>
        <v/>
      </c>
      <c r="U955" s="16">
        <f>IF(OR(T954="",T955=""),"",T955/T954-1)</f>
        <v/>
      </c>
      <c r="V955" s="16">
        <f>IF(T955="","",T955/MAX(T$5:T955)-1)</f>
        <v/>
      </c>
    </row>
    <row r="956" spans="1:19">
      <c r="A956" s="15" t="str">
        <f>IF('实盘净值数据(iFinD）'!A956="","",'实盘净值数据(iFinD）'!A956)</f>
        <v/>
      </c>
      <c r="B956" s="13" t="str">
        <f>IF(OR('实盘净值数据(iFinD）'!$A956="",'实盘净值数据(iFinD）'!$B956=""),"",分期持仓明细!$AB$17*SUMPRODUCT(分期持仓明细!$B$17:$Y$17,'实盘净值数据(iFinD）'!$B956:$Y956/'实盘净值数据(iFinD）'!$B$20:$Y$20)*(1-实盘持仓初始配置!$Z$4)^(('实盘净值数据(iFinD）'!$A956-'实盘净值数据(iFinD）'!$A$6)/365))</f>
        <v/>
      </c>
      <c r="C956" s="16" t="str">
        <f t="shared" ref="C956:C1000" si="90">IF(OR(B955="",B956=""),"",B956/B955-1)</f>
        <v/>
      </c>
      <c r="D956" s="16" t="str">
        <f>IF(B956="","",B956/MAX(B$5:B956)-1)</f>
        <v/>
      </c>
      <c r="E956" s="13" t="str">
        <f>IF(OR('实盘净值数据(iFinD）'!$A956="",'实盘净值数据(iFinD）'!$B956=""),"",分期持仓明细!$AB$18*SUMPRODUCT(分期持仓明细!$B$18:$Y$18,'实盘净值数据(iFinD）'!$B956:$Y956/'实盘净值数据(iFinD）'!$B$20:$Y$20)*(1-实盘持仓初始配置!$Z$5)^(('实盘净值数据(iFinD）'!$A956-'实盘净值数据(iFinD）'!$A$5)/365))</f>
        <v/>
      </c>
      <c r="F956" s="16" t="str">
        <f t="shared" ref="F956:F1000" si="91">IF(OR(E955="",E956=""),"",E956/E955-1)</f>
        <v/>
      </c>
      <c r="G956" s="16" t="str">
        <f>IF(E956="","",E956/MAX(E$5:E956)-1)</f>
        <v/>
      </c>
      <c r="H956" s="13" t="str">
        <f>IF(OR('实盘净值数据(iFinD）'!$A956="",'实盘净值数据(iFinD）'!$B956=""),"",分期持仓明细!$AB$19*SUMPRODUCT(分期持仓明细!$B$19:$Y$19,'实盘净值数据(iFinD）'!$B956:$Y956/'实盘净值数据(iFinD）'!$B$20:$Y$20)*(1-实盘持仓初始配置!$Z$6)^(('实盘净值数据(iFinD）'!$A956-'实盘净值数据(iFinD）'!$A$7)/365))</f>
        <v/>
      </c>
      <c r="I956" s="16" t="str">
        <f t="shared" ref="I956:I1000" si="92">IF(OR(H955="",H956=""),"",H956/H955-1)</f>
        <v/>
      </c>
      <c r="J956" s="16" t="str">
        <f>IF(H956="","",H956/MAX(H$5:H956)-1)</f>
        <v/>
      </c>
      <c r="K956" s="13" t="str">
        <f>IF(OR('实盘净值数据(iFinD）'!$A956="",'实盘净值数据(iFinD）'!$B956="",'实盘净值数据(iFinD）'!$Z956="",'实盘净值数据(iFinD）'!$AA956=""),"",分期持仓明细!$AB$23*(SUMPRODUCT(分期持仓明细!$B$23:$Y$23,'实盘净值数据(iFinD）'!$B956:$Y956/'实盘净值数据(iFinD）'!$B$65:$Y$65)+SUMPRODUCT(分期持仓明细!$AC$23:$AD$23,'实盘净值数据(iFinD）'!$Z956:$AA956/'实盘净值数据(iFinD）'!$Z$65:$AA$65))*(1-实盘持仓初始配置!$Z$7)^(('实盘净值数据(iFinD）'!$A956-'实盘净值数据(iFinD）'!$A$8)/365))</f>
        <v/>
      </c>
      <c r="L956" s="16" t="str">
        <f t="shared" ref="L956:L1000" si="93">IF(OR(K955="",K956=""),"",K956/K955-1)</f>
        <v/>
      </c>
      <c r="M956" s="16" t="str">
        <f>IF(K956="","",K956/MAX(K$5:K956)-1)</f>
        <v/>
      </c>
      <c r="N956" s="13" t="str">
        <f>IF(OR('实盘净值数据(iFinD）'!$A956="",'实盘净值数据(iFinD）'!$B956="",'实盘净值数据(iFinD）'!$Z956="",'实盘净值数据(iFinD）'!$AA956=""),"",分期持仓明细!$AB$24*(SUMPRODUCT(分期持仓明细!$B$24:$Y$24,'实盘净值数据(iFinD）'!$B956:$Y956/'实盘净值数据(iFinD）'!$B$65:$Y$65)+SUMPRODUCT(分期持仓明细!$AC$24:$AD$24,'实盘净值数据(iFinD）'!$Z956:$AA956/'实盘净值数据(iFinD）'!$Z$65:$AA$65))*(1-实盘持仓初始配置!$Z$8)^(('实盘净值数据(iFinD）'!$A956-'实盘净值数据(iFinD）'!$A$5)/365))</f>
        <v/>
      </c>
      <c r="O956" s="16" t="str">
        <f t="shared" ref="O956:O1000" si="94">IF(OR(N955="",N956=""),"",N956/N955-1)</f>
        <v/>
      </c>
      <c r="P956" s="16" t="str">
        <f>IF(N956="","",N956/MAX(N$5:N956)-1)</f>
        <v/>
      </c>
      <c r="Q956" s="13" t="str">
        <f>IF(OR('实盘净值数据(iFinD）'!$A956="",'实盘净值数据(iFinD）'!$B956="",'实盘净值数据(iFinD）'!$Z956="",'实盘净值数据(iFinD）'!$AA956=""),"",分期持仓明细!$AB$25*(SUMPRODUCT(分期持仓明细!$B$25:$Y$25,'实盘净值数据(iFinD）'!$B956:$Y956/'实盘净值数据(iFinD）'!$B$65:$Y$65)+SUMPRODUCT(分期持仓明细!$AC$25:$AD$25,'实盘净值数据(iFinD）'!$Z956:$AA956/'实盘净值数据(iFinD）'!$Z$65:$AA$65))*(1-实盘持仓初始配置!$Z$9)^(('实盘净值数据(iFinD）'!$A956-'实盘净值数据(iFinD）'!$A$8)/365))</f>
        <v/>
      </c>
      <c r="R956" s="16" t="str">
        <f t="shared" ref="R956:R1000" si="95">IF(OR(Q955="",Q956=""),"",Q956/Q955-1)</f>
        <v/>
      </c>
      <c r="S956" s="16" t="str">
        <f>IF(Q956="","",Q956/MAX(Q$5:Q956)-1)</f>
        <v/>
      </c>
      <c r="T956" s="13">
        <f>IF(OR('实盘净值数据(iFinD）'!$A956="",'实盘净值数据(iFinD）'!$B956="",'实盘净值数据(iFinD）'!$Z956="",'实盘净值数据(iFinD）'!$AA956="",'实盘净值数据(iFinD）'!$AB956="",'实盘净值数据(iFinD）'!$AL956=""),"",(SUMPRODUCT(分期持仓明细!$B$26:$Y$26,'实盘净值数据(iFinD）'!$B956:$Y956/'实盘净值数据(iFinD）'!$B$69:$Y$69)+SUMPRODUCT(分期持仓明细!$AC$26:$AD$26,'实盘净值数据(iFinD）'!$Z956:$AA956/'实盘净值数据(iFinD）'!$Z$69:$AA$69)+SUMPRODUCT(分期持仓明细!$AE$26:$AO$26,'实盘净值数据(iFinD）'!$AB956:$AL956/'实盘净值数据(iFinD）'!$AB$69:$AL$69))*(1-实盘持仓初始配置!$Z$10)^(('实盘净值数据(iFinD）'!$A956-'实盘净值数据(iFinD）'!$A$69)/365))</f>
        <v/>
      </c>
      <c r="U956" s="16">
        <f>IF(OR(T955="",T956=""),"",T956/T955-1)</f>
        <v/>
      </c>
      <c r="V956" s="16">
        <f>IF(T956="","",T956/MAX(T$5:T956)-1)</f>
        <v/>
      </c>
    </row>
    <row r="957" spans="1:19">
      <c r="A957" s="15" t="str">
        <f>IF('实盘净值数据(iFinD）'!A957="","",'实盘净值数据(iFinD）'!A957)</f>
        <v/>
      </c>
      <c r="B957" s="13" t="str">
        <f>IF(OR('实盘净值数据(iFinD）'!$A957="",'实盘净值数据(iFinD）'!$B957=""),"",分期持仓明细!$AB$17*SUMPRODUCT(分期持仓明细!$B$17:$Y$17,'实盘净值数据(iFinD）'!$B957:$Y957/'实盘净值数据(iFinD）'!$B$20:$Y$20)*(1-实盘持仓初始配置!$Z$4)^(('实盘净值数据(iFinD）'!$A957-'实盘净值数据(iFinD）'!$A$6)/365))</f>
        <v/>
      </c>
      <c r="C957" s="16" t="str">
        <f t="shared" si="90"/>
        <v/>
      </c>
      <c r="D957" s="16" t="str">
        <f>IF(B957="","",B957/MAX(B$5:B957)-1)</f>
        <v/>
      </c>
      <c r="E957" s="13" t="str">
        <f>IF(OR('实盘净值数据(iFinD）'!$A957="",'实盘净值数据(iFinD）'!$B957=""),"",分期持仓明细!$AB$18*SUMPRODUCT(分期持仓明细!$B$18:$Y$18,'实盘净值数据(iFinD）'!$B957:$Y957/'实盘净值数据(iFinD）'!$B$20:$Y$20)*(1-实盘持仓初始配置!$Z$5)^(('实盘净值数据(iFinD）'!$A957-'实盘净值数据(iFinD）'!$A$5)/365))</f>
        <v/>
      </c>
      <c r="F957" s="16" t="str">
        <f t="shared" si="91"/>
        <v/>
      </c>
      <c r="G957" s="16" t="str">
        <f>IF(E957="","",E957/MAX(E$5:E957)-1)</f>
        <v/>
      </c>
      <c r="H957" s="13" t="str">
        <f>IF(OR('实盘净值数据(iFinD）'!$A957="",'实盘净值数据(iFinD）'!$B957=""),"",分期持仓明细!$AB$19*SUMPRODUCT(分期持仓明细!$B$19:$Y$19,'实盘净值数据(iFinD）'!$B957:$Y957/'实盘净值数据(iFinD）'!$B$20:$Y$20)*(1-实盘持仓初始配置!$Z$6)^(('实盘净值数据(iFinD）'!$A957-'实盘净值数据(iFinD）'!$A$7)/365))</f>
        <v/>
      </c>
      <c r="I957" s="16" t="str">
        <f t="shared" si="92"/>
        <v/>
      </c>
      <c r="J957" s="16" t="str">
        <f>IF(H957="","",H957/MAX(H$5:H957)-1)</f>
        <v/>
      </c>
      <c r="K957" s="13" t="str">
        <f>IF(OR('实盘净值数据(iFinD）'!$A957="",'实盘净值数据(iFinD）'!$B957="",'实盘净值数据(iFinD）'!$Z957="",'实盘净值数据(iFinD）'!$AA957=""),"",分期持仓明细!$AB$23*(SUMPRODUCT(分期持仓明细!$B$23:$Y$23,'实盘净值数据(iFinD）'!$B957:$Y957/'实盘净值数据(iFinD）'!$B$65:$Y$65)+SUMPRODUCT(分期持仓明细!$AC$23:$AD$23,'实盘净值数据(iFinD）'!$Z957:$AA957/'实盘净值数据(iFinD）'!$Z$65:$AA$65))*(1-实盘持仓初始配置!$Z$7)^(('实盘净值数据(iFinD）'!$A957-'实盘净值数据(iFinD）'!$A$8)/365))</f>
        <v/>
      </c>
      <c r="L957" s="16" t="str">
        <f t="shared" si="93"/>
        <v/>
      </c>
      <c r="M957" s="16" t="str">
        <f>IF(K957="","",K957/MAX(K$5:K957)-1)</f>
        <v/>
      </c>
      <c r="N957" s="13" t="str">
        <f>IF(OR('实盘净值数据(iFinD）'!$A957="",'实盘净值数据(iFinD）'!$B957="",'实盘净值数据(iFinD）'!$Z957="",'实盘净值数据(iFinD）'!$AA957=""),"",分期持仓明细!$AB$24*(SUMPRODUCT(分期持仓明细!$B$24:$Y$24,'实盘净值数据(iFinD）'!$B957:$Y957/'实盘净值数据(iFinD）'!$B$65:$Y$65)+SUMPRODUCT(分期持仓明细!$AC$24:$AD$24,'实盘净值数据(iFinD）'!$Z957:$AA957/'实盘净值数据(iFinD）'!$Z$65:$AA$65))*(1-实盘持仓初始配置!$Z$8)^(('实盘净值数据(iFinD）'!$A957-'实盘净值数据(iFinD）'!$A$5)/365))</f>
        <v/>
      </c>
      <c r="O957" s="16" t="str">
        <f t="shared" si="94"/>
        <v/>
      </c>
      <c r="P957" s="16" t="str">
        <f>IF(N957="","",N957/MAX(N$5:N957)-1)</f>
        <v/>
      </c>
      <c r="Q957" s="13" t="str">
        <f>IF(OR('实盘净值数据(iFinD）'!$A957="",'实盘净值数据(iFinD）'!$B957="",'实盘净值数据(iFinD）'!$Z957="",'实盘净值数据(iFinD）'!$AA957=""),"",分期持仓明细!$AB$25*(SUMPRODUCT(分期持仓明细!$B$25:$Y$25,'实盘净值数据(iFinD）'!$B957:$Y957/'实盘净值数据(iFinD）'!$B$65:$Y$65)+SUMPRODUCT(分期持仓明细!$AC$25:$AD$25,'实盘净值数据(iFinD）'!$Z957:$AA957/'实盘净值数据(iFinD）'!$Z$65:$AA$65))*(1-实盘持仓初始配置!$Z$9)^(('实盘净值数据(iFinD）'!$A957-'实盘净值数据(iFinD）'!$A$8)/365))</f>
        <v/>
      </c>
      <c r="R957" s="16" t="str">
        <f t="shared" si="95"/>
        <v/>
      </c>
      <c r="S957" s="16" t="str">
        <f>IF(Q957="","",Q957/MAX(Q$5:Q957)-1)</f>
        <v/>
      </c>
      <c r="T957" s="13">
        <f>IF(OR('实盘净值数据(iFinD）'!$A957="",'实盘净值数据(iFinD）'!$B957="",'实盘净值数据(iFinD）'!$Z957="",'实盘净值数据(iFinD）'!$AA957="",'实盘净值数据(iFinD）'!$AB957="",'实盘净值数据(iFinD）'!$AL957=""),"",(SUMPRODUCT(分期持仓明细!$B$26:$Y$26,'实盘净值数据(iFinD）'!$B957:$Y957/'实盘净值数据(iFinD）'!$B$69:$Y$69)+SUMPRODUCT(分期持仓明细!$AC$26:$AD$26,'实盘净值数据(iFinD）'!$Z957:$AA957/'实盘净值数据(iFinD）'!$Z$69:$AA$69)+SUMPRODUCT(分期持仓明细!$AE$26:$AO$26,'实盘净值数据(iFinD）'!$AB957:$AL957/'实盘净值数据(iFinD）'!$AB$69:$AL$69))*(1-实盘持仓初始配置!$Z$10)^(('实盘净值数据(iFinD）'!$A957-'实盘净值数据(iFinD）'!$A$69)/365))</f>
        <v/>
      </c>
      <c r="U957" s="16">
        <f>IF(OR(T956="",T957=""),"",T957/T956-1)</f>
        <v/>
      </c>
      <c r="V957" s="16">
        <f>IF(T957="","",T957/MAX(T$5:T957)-1)</f>
        <v/>
      </c>
    </row>
    <row r="958" spans="1:19">
      <c r="A958" s="15" t="str">
        <f>IF('实盘净值数据(iFinD）'!A958="","",'实盘净值数据(iFinD）'!A958)</f>
        <v/>
      </c>
      <c r="B958" s="13" t="str">
        <f>IF(OR('实盘净值数据(iFinD）'!$A958="",'实盘净值数据(iFinD）'!$B958=""),"",分期持仓明细!$AB$17*SUMPRODUCT(分期持仓明细!$B$17:$Y$17,'实盘净值数据(iFinD）'!$B958:$Y958/'实盘净值数据(iFinD）'!$B$20:$Y$20)*(1-实盘持仓初始配置!$Z$4)^(('实盘净值数据(iFinD）'!$A958-'实盘净值数据(iFinD）'!$A$6)/365))</f>
        <v/>
      </c>
      <c r="C958" s="16" t="str">
        <f t="shared" si="90"/>
        <v/>
      </c>
      <c r="D958" s="16" t="str">
        <f>IF(B958="","",B958/MAX(B$5:B958)-1)</f>
        <v/>
      </c>
      <c r="E958" s="13" t="str">
        <f>IF(OR('实盘净值数据(iFinD）'!$A958="",'实盘净值数据(iFinD）'!$B958=""),"",分期持仓明细!$AB$18*SUMPRODUCT(分期持仓明细!$B$18:$Y$18,'实盘净值数据(iFinD）'!$B958:$Y958/'实盘净值数据(iFinD）'!$B$20:$Y$20)*(1-实盘持仓初始配置!$Z$5)^(('实盘净值数据(iFinD）'!$A958-'实盘净值数据(iFinD）'!$A$5)/365))</f>
        <v/>
      </c>
      <c r="F958" s="16" t="str">
        <f t="shared" si="91"/>
        <v/>
      </c>
      <c r="G958" s="16" t="str">
        <f>IF(E958="","",E958/MAX(E$5:E958)-1)</f>
        <v/>
      </c>
      <c r="H958" s="13" t="str">
        <f>IF(OR('实盘净值数据(iFinD）'!$A958="",'实盘净值数据(iFinD）'!$B958=""),"",分期持仓明细!$AB$19*SUMPRODUCT(分期持仓明细!$B$19:$Y$19,'实盘净值数据(iFinD）'!$B958:$Y958/'实盘净值数据(iFinD）'!$B$20:$Y$20)*(1-实盘持仓初始配置!$Z$6)^(('实盘净值数据(iFinD）'!$A958-'实盘净值数据(iFinD）'!$A$7)/365))</f>
        <v/>
      </c>
      <c r="I958" s="16" t="str">
        <f t="shared" si="92"/>
        <v/>
      </c>
      <c r="J958" s="16" t="str">
        <f>IF(H958="","",H958/MAX(H$5:H958)-1)</f>
        <v/>
      </c>
      <c r="K958" s="13" t="str">
        <f>IF(OR('实盘净值数据(iFinD）'!$A958="",'实盘净值数据(iFinD）'!$B958="",'实盘净值数据(iFinD）'!$Z958="",'实盘净值数据(iFinD）'!$AA958=""),"",分期持仓明细!$AB$23*(SUMPRODUCT(分期持仓明细!$B$23:$Y$23,'实盘净值数据(iFinD）'!$B958:$Y958/'实盘净值数据(iFinD）'!$B$65:$Y$65)+SUMPRODUCT(分期持仓明细!$AC$23:$AD$23,'实盘净值数据(iFinD）'!$Z958:$AA958/'实盘净值数据(iFinD）'!$Z$65:$AA$65))*(1-实盘持仓初始配置!$Z$7)^(('实盘净值数据(iFinD）'!$A958-'实盘净值数据(iFinD）'!$A$8)/365))</f>
        <v/>
      </c>
      <c r="L958" s="16" t="str">
        <f t="shared" si="93"/>
        <v/>
      </c>
      <c r="M958" s="16" t="str">
        <f>IF(K958="","",K958/MAX(K$5:K958)-1)</f>
        <v/>
      </c>
      <c r="N958" s="13" t="str">
        <f>IF(OR('实盘净值数据(iFinD）'!$A958="",'实盘净值数据(iFinD）'!$B958="",'实盘净值数据(iFinD）'!$Z958="",'实盘净值数据(iFinD）'!$AA958=""),"",分期持仓明细!$AB$24*(SUMPRODUCT(分期持仓明细!$B$24:$Y$24,'实盘净值数据(iFinD）'!$B958:$Y958/'实盘净值数据(iFinD）'!$B$65:$Y$65)+SUMPRODUCT(分期持仓明细!$AC$24:$AD$24,'实盘净值数据(iFinD）'!$Z958:$AA958/'实盘净值数据(iFinD）'!$Z$65:$AA$65))*(1-实盘持仓初始配置!$Z$8)^(('实盘净值数据(iFinD）'!$A958-'实盘净值数据(iFinD）'!$A$5)/365))</f>
        <v/>
      </c>
      <c r="O958" s="16" t="str">
        <f t="shared" si="94"/>
        <v/>
      </c>
      <c r="P958" s="16" t="str">
        <f>IF(N958="","",N958/MAX(N$5:N958)-1)</f>
        <v/>
      </c>
      <c r="Q958" s="13" t="str">
        <f>IF(OR('实盘净值数据(iFinD）'!$A958="",'实盘净值数据(iFinD）'!$B958="",'实盘净值数据(iFinD）'!$Z958="",'实盘净值数据(iFinD）'!$AA958=""),"",分期持仓明细!$AB$25*(SUMPRODUCT(分期持仓明细!$B$25:$Y$25,'实盘净值数据(iFinD）'!$B958:$Y958/'实盘净值数据(iFinD）'!$B$65:$Y$65)+SUMPRODUCT(分期持仓明细!$AC$25:$AD$25,'实盘净值数据(iFinD）'!$Z958:$AA958/'实盘净值数据(iFinD）'!$Z$65:$AA$65))*(1-实盘持仓初始配置!$Z$9)^(('实盘净值数据(iFinD）'!$A958-'实盘净值数据(iFinD）'!$A$8)/365))</f>
        <v/>
      </c>
      <c r="R958" s="16" t="str">
        <f t="shared" si="95"/>
        <v/>
      </c>
      <c r="S958" s="16" t="str">
        <f>IF(Q958="","",Q958/MAX(Q$5:Q958)-1)</f>
        <v/>
      </c>
      <c r="T958" s="13">
        <f>IF(OR('实盘净值数据(iFinD）'!$A958="",'实盘净值数据(iFinD）'!$B958="",'实盘净值数据(iFinD）'!$Z958="",'实盘净值数据(iFinD）'!$AA958="",'实盘净值数据(iFinD）'!$AB958="",'实盘净值数据(iFinD）'!$AL958=""),"",(SUMPRODUCT(分期持仓明细!$B$26:$Y$26,'实盘净值数据(iFinD）'!$B958:$Y958/'实盘净值数据(iFinD）'!$B$69:$Y$69)+SUMPRODUCT(分期持仓明细!$AC$26:$AD$26,'实盘净值数据(iFinD）'!$Z958:$AA958/'实盘净值数据(iFinD）'!$Z$69:$AA$69)+SUMPRODUCT(分期持仓明细!$AE$26:$AO$26,'实盘净值数据(iFinD）'!$AB958:$AL958/'实盘净值数据(iFinD）'!$AB$69:$AL$69))*(1-实盘持仓初始配置!$Z$10)^(('实盘净值数据(iFinD）'!$A958-'实盘净值数据(iFinD）'!$A$69)/365))</f>
        <v/>
      </c>
      <c r="U958" s="16">
        <f>IF(OR(T957="",T958=""),"",T958/T957-1)</f>
        <v/>
      </c>
      <c r="V958" s="16">
        <f>IF(T958="","",T958/MAX(T$5:T958)-1)</f>
        <v/>
      </c>
    </row>
    <row r="959" spans="1:19">
      <c r="A959" s="15" t="str">
        <f>IF('实盘净值数据(iFinD）'!A959="","",'实盘净值数据(iFinD）'!A959)</f>
        <v/>
      </c>
      <c r="B959" s="13" t="str">
        <f>IF(OR('实盘净值数据(iFinD）'!$A959="",'实盘净值数据(iFinD）'!$B959=""),"",分期持仓明细!$AB$17*SUMPRODUCT(分期持仓明细!$B$17:$Y$17,'实盘净值数据(iFinD）'!$B959:$Y959/'实盘净值数据(iFinD）'!$B$20:$Y$20)*(1-实盘持仓初始配置!$Z$4)^(('实盘净值数据(iFinD）'!$A959-'实盘净值数据(iFinD）'!$A$6)/365))</f>
        <v/>
      </c>
      <c r="C959" s="16" t="str">
        <f t="shared" si="90"/>
        <v/>
      </c>
      <c r="D959" s="16" t="str">
        <f>IF(B959="","",B959/MAX(B$5:B959)-1)</f>
        <v/>
      </c>
      <c r="E959" s="13" t="str">
        <f>IF(OR('实盘净值数据(iFinD）'!$A959="",'实盘净值数据(iFinD）'!$B959=""),"",分期持仓明细!$AB$18*SUMPRODUCT(分期持仓明细!$B$18:$Y$18,'实盘净值数据(iFinD）'!$B959:$Y959/'实盘净值数据(iFinD）'!$B$20:$Y$20)*(1-实盘持仓初始配置!$Z$5)^(('实盘净值数据(iFinD）'!$A959-'实盘净值数据(iFinD）'!$A$5)/365))</f>
        <v/>
      </c>
      <c r="F959" s="16" t="str">
        <f t="shared" si="91"/>
        <v/>
      </c>
      <c r="G959" s="16" t="str">
        <f>IF(E959="","",E959/MAX(E$5:E959)-1)</f>
        <v/>
      </c>
      <c r="H959" s="13" t="str">
        <f>IF(OR('实盘净值数据(iFinD）'!$A959="",'实盘净值数据(iFinD）'!$B959=""),"",分期持仓明细!$AB$19*SUMPRODUCT(分期持仓明细!$B$19:$Y$19,'实盘净值数据(iFinD）'!$B959:$Y959/'实盘净值数据(iFinD）'!$B$20:$Y$20)*(1-实盘持仓初始配置!$Z$6)^(('实盘净值数据(iFinD）'!$A959-'实盘净值数据(iFinD）'!$A$7)/365))</f>
        <v/>
      </c>
      <c r="I959" s="16" t="str">
        <f t="shared" si="92"/>
        <v/>
      </c>
      <c r="J959" s="16" t="str">
        <f>IF(H959="","",H959/MAX(H$5:H959)-1)</f>
        <v/>
      </c>
      <c r="K959" s="13" t="str">
        <f>IF(OR('实盘净值数据(iFinD）'!$A959="",'实盘净值数据(iFinD）'!$B959="",'实盘净值数据(iFinD）'!$Z959="",'实盘净值数据(iFinD）'!$AA959=""),"",分期持仓明细!$AB$23*(SUMPRODUCT(分期持仓明细!$B$23:$Y$23,'实盘净值数据(iFinD）'!$B959:$Y959/'实盘净值数据(iFinD）'!$B$65:$Y$65)+SUMPRODUCT(分期持仓明细!$AC$23:$AD$23,'实盘净值数据(iFinD）'!$Z959:$AA959/'实盘净值数据(iFinD）'!$Z$65:$AA$65))*(1-实盘持仓初始配置!$Z$7)^(('实盘净值数据(iFinD）'!$A959-'实盘净值数据(iFinD）'!$A$8)/365))</f>
        <v/>
      </c>
      <c r="L959" s="16" t="str">
        <f t="shared" si="93"/>
        <v/>
      </c>
      <c r="M959" s="16" t="str">
        <f>IF(K959="","",K959/MAX(K$5:K959)-1)</f>
        <v/>
      </c>
      <c r="N959" s="13" t="str">
        <f>IF(OR('实盘净值数据(iFinD）'!$A959="",'实盘净值数据(iFinD）'!$B959="",'实盘净值数据(iFinD）'!$Z959="",'实盘净值数据(iFinD）'!$AA959=""),"",分期持仓明细!$AB$24*(SUMPRODUCT(分期持仓明细!$B$24:$Y$24,'实盘净值数据(iFinD）'!$B959:$Y959/'实盘净值数据(iFinD）'!$B$65:$Y$65)+SUMPRODUCT(分期持仓明细!$AC$24:$AD$24,'实盘净值数据(iFinD）'!$Z959:$AA959/'实盘净值数据(iFinD）'!$Z$65:$AA$65))*(1-实盘持仓初始配置!$Z$8)^(('实盘净值数据(iFinD）'!$A959-'实盘净值数据(iFinD）'!$A$5)/365))</f>
        <v/>
      </c>
      <c r="O959" s="16" t="str">
        <f t="shared" si="94"/>
        <v/>
      </c>
      <c r="P959" s="16" t="str">
        <f>IF(N959="","",N959/MAX(N$5:N959)-1)</f>
        <v/>
      </c>
      <c r="Q959" s="13" t="str">
        <f>IF(OR('实盘净值数据(iFinD）'!$A959="",'实盘净值数据(iFinD）'!$B959="",'实盘净值数据(iFinD）'!$Z959="",'实盘净值数据(iFinD）'!$AA959=""),"",分期持仓明细!$AB$25*(SUMPRODUCT(分期持仓明细!$B$25:$Y$25,'实盘净值数据(iFinD）'!$B959:$Y959/'实盘净值数据(iFinD）'!$B$65:$Y$65)+SUMPRODUCT(分期持仓明细!$AC$25:$AD$25,'实盘净值数据(iFinD）'!$Z959:$AA959/'实盘净值数据(iFinD）'!$Z$65:$AA$65))*(1-实盘持仓初始配置!$Z$9)^(('实盘净值数据(iFinD）'!$A959-'实盘净值数据(iFinD）'!$A$8)/365))</f>
        <v/>
      </c>
      <c r="R959" s="16" t="str">
        <f t="shared" si="95"/>
        <v/>
      </c>
      <c r="S959" s="16" t="str">
        <f>IF(Q959="","",Q959/MAX(Q$5:Q959)-1)</f>
        <v/>
      </c>
      <c r="T959" s="13">
        <f>IF(OR('实盘净值数据(iFinD）'!$A959="",'实盘净值数据(iFinD）'!$B959="",'实盘净值数据(iFinD）'!$Z959="",'实盘净值数据(iFinD）'!$AA959="",'实盘净值数据(iFinD）'!$AB959="",'实盘净值数据(iFinD）'!$AL959=""),"",(SUMPRODUCT(分期持仓明细!$B$26:$Y$26,'实盘净值数据(iFinD）'!$B959:$Y959/'实盘净值数据(iFinD）'!$B$69:$Y$69)+SUMPRODUCT(分期持仓明细!$AC$26:$AD$26,'实盘净值数据(iFinD）'!$Z959:$AA959/'实盘净值数据(iFinD）'!$Z$69:$AA$69)+SUMPRODUCT(分期持仓明细!$AE$26:$AO$26,'实盘净值数据(iFinD）'!$AB959:$AL959/'实盘净值数据(iFinD）'!$AB$69:$AL$69))*(1-实盘持仓初始配置!$Z$10)^(('实盘净值数据(iFinD）'!$A959-'实盘净值数据(iFinD）'!$A$69)/365))</f>
        <v/>
      </c>
      <c r="U959" s="16">
        <f>IF(OR(T958="",T959=""),"",T959/T958-1)</f>
        <v/>
      </c>
      <c r="V959" s="16">
        <f>IF(T959="","",T959/MAX(T$5:T959)-1)</f>
        <v/>
      </c>
    </row>
    <row r="960" spans="1:19">
      <c r="A960" s="15" t="str">
        <f>IF('实盘净值数据(iFinD）'!A960="","",'实盘净值数据(iFinD）'!A960)</f>
        <v/>
      </c>
      <c r="B960" s="13" t="str">
        <f>IF(OR('实盘净值数据(iFinD）'!$A960="",'实盘净值数据(iFinD）'!$B960=""),"",分期持仓明细!$AB$17*SUMPRODUCT(分期持仓明细!$B$17:$Y$17,'实盘净值数据(iFinD）'!$B960:$Y960/'实盘净值数据(iFinD）'!$B$20:$Y$20)*(1-实盘持仓初始配置!$Z$4)^(('实盘净值数据(iFinD）'!$A960-'实盘净值数据(iFinD）'!$A$6)/365))</f>
        <v/>
      </c>
      <c r="C960" s="16" t="str">
        <f t="shared" si="90"/>
        <v/>
      </c>
      <c r="D960" s="16" t="str">
        <f>IF(B960="","",B960/MAX(B$5:B960)-1)</f>
        <v/>
      </c>
      <c r="E960" s="13" t="str">
        <f>IF(OR('实盘净值数据(iFinD）'!$A960="",'实盘净值数据(iFinD）'!$B960=""),"",分期持仓明细!$AB$18*SUMPRODUCT(分期持仓明细!$B$18:$Y$18,'实盘净值数据(iFinD）'!$B960:$Y960/'实盘净值数据(iFinD）'!$B$20:$Y$20)*(1-实盘持仓初始配置!$Z$5)^(('实盘净值数据(iFinD）'!$A960-'实盘净值数据(iFinD）'!$A$5)/365))</f>
        <v/>
      </c>
      <c r="F960" s="16" t="str">
        <f t="shared" si="91"/>
        <v/>
      </c>
      <c r="G960" s="16" t="str">
        <f>IF(E960="","",E960/MAX(E$5:E960)-1)</f>
        <v/>
      </c>
      <c r="H960" s="13" t="str">
        <f>IF(OR('实盘净值数据(iFinD）'!$A960="",'实盘净值数据(iFinD）'!$B960=""),"",分期持仓明细!$AB$19*SUMPRODUCT(分期持仓明细!$B$19:$Y$19,'实盘净值数据(iFinD）'!$B960:$Y960/'实盘净值数据(iFinD）'!$B$20:$Y$20)*(1-实盘持仓初始配置!$Z$6)^(('实盘净值数据(iFinD）'!$A960-'实盘净值数据(iFinD）'!$A$7)/365))</f>
        <v/>
      </c>
      <c r="I960" s="16" t="str">
        <f t="shared" si="92"/>
        <v/>
      </c>
      <c r="J960" s="16" t="str">
        <f>IF(H960="","",H960/MAX(H$5:H960)-1)</f>
        <v/>
      </c>
      <c r="K960" s="13" t="str">
        <f>IF(OR('实盘净值数据(iFinD）'!$A960="",'实盘净值数据(iFinD）'!$B960="",'实盘净值数据(iFinD）'!$Z960="",'实盘净值数据(iFinD）'!$AA960=""),"",分期持仓明细!$AB$23*(SUMPRODUCT(分期持仓明细!$B$23:$Y$23,'实盘净值数据(iFinD）'!$B960:$Y960/'实盘净值数据(iFinD）'!$B$65:$Y$65)+SUMPRODUCT(分期持仓明细!$AC$23:$AD$23,'实盘净值数据(iFinD）'!$Z960:$AA960/'实盘净值数据(iFinD）'!$Z$65:$AA$65))*(1-实盘持仓初始配置!$Z$7)^(('实盘净值数据(iFinD）'!$A960-'实盘净值数据(iFinD）'!$A$8)/365))</f>
        <v/>
      </c>
      <c r="L960" s="16" t="str">
        <f t="shared" si="93"/>
        <v/>
      </c>
      <c r="M960" s="16" t="str">
        <f>IF(K960="","",K960/MAX(K$5:K960)-1)</f>
        <v/>
      </c>
      <c r="N960" s="13" t="str">
        <f>IF(OR('实盘净值数据(iFinD）'!$A960="",'实盘净值数据(iFinD）'!$B960="",'实盘净值数据(iFinD）'!$Z960="",'实盘净值数据(iFinD）'!$AA960=""),"",分期持仓明细!$AB$24*(SUMPRODUCT(分期持仓明细!$B$24:$Y$24,'实盘净值数据(iFinD）'!$B960:$Y960/'实盘净值数据(iFinD）'!$B$65:$Y$65)+SUMPRODUCT(分期持仓明细!$AC$24:$AD$24,'实盘净值数据(iFinD）'!$Z960:$AA960/'实盘净值数据(iFinD）'!$Z$65:$AA$65))*(1-实盘持仓初始配置!$Z$8)^(('实盘净值数据(iFinD）'!$A960-'实盘净值数据(iFinD）'!$A$5)/365))</f>
        <v/>
      </c>
      <c r="O960" s="16" t="str">
        <f t="shared" si="94"/>
        <v/>
      </c>
      <c r="P960" s="16" t="str">
        <f>IF(N960="","",N960/MAX(N$5:N960)-1)</f>
        <v/>
      </c>
      <c r="Q960" s="13" t="str">
        <f>IF(OR('实盘净值数据(iFinD）'!$A960="",'实盘净值数据(iFinD）'!$B960="",'实盘净值数据(iFinD）'!$Z960="",'实盘净值数据(iFinD）'!$AA960=""),"",分期持仓明细!$AB$25*(SUMPRODUCT(分期持仓明细!$B$25:$Y$25,'实盘净值数据(iFinD）'!$B960:$Y960/'实盘净值数据(iFinD）'!$B$65:$Y$65)+SUMPRODUCT(分期持仓明细!$AC$25:$AD$25,'实盘净值数据(iFinD）'!$Z960:$AA960/'实盘净值数据(iFinD）'!$Z$65:$AA$65))*(1-实盘持仓初始配置!$Z$9)^(('实盘净值数据(iFinD）'!$A960-'实盘净值数据(iFinD）'!$A$8)/365))</f>
        <v/>
      </c>
      <c r="R960" s="16" t="str">
        <f t="shared" si="95"/>
        <v/>
      </c>
      <c r="S960" s="16" t="str">
        <f>IF(Q960="","",Q960/MAX(Q$5:Q960)-1)</f>
        <v/>
      </c>
      <c r="T960" s="13">
        <f>IF(OR('实盘净值数据(iFinD）'!$A960="",'实盘净值数据(iFinD）'!$B960="",'实盘净值数据(iFinD）'!$Z960="",'实盘净值数据(iFinD）'!$AA960="",'实盘净值数据(iFinD）'!$AB960="",'实盘净值数据(iFinD）'!$AL960=""),"",(SUMPRODUCT(分期持仓明细!$B$26:$Y$26,'实盘净值数据(iFinD）'!$B960:$Y960/'实盘净值数据(iFinD）'!$B$69:$Y$69)+SUMPRODUCT(分期持仓明细!$AC$26:$AD$26,'实盘净值数据(iFinD）'!$Z960:$AA960/'实盘净值数据(iFinD）'!$Z$69:$AA$69)+SUMPRODUCT(分期持仓明细!$AE$26:$AO$26,'实盘净值数据(iFinD）'!$AB960:$AL960/'实盘净值数据(iFinD）'!$AB$69:$AL$69))*(1-实盘持仓初始配置!$Z$10)^(('实盘净值数据(iFinD）'!$A960-'实盘净值数据(iFinD）'!$A$69)/365))</f>
        <v/>
      </c>
      <c r="U960" s="16">
        <f>IF(OR(T959="",T960=""),"",T960/T959-1)</f>
        <v/>
      </c>
      <c r="V960" s="16">
        <f>IF(T960="","",T960/MAX(T$5:T960)-1)</f>
        <v/>
      </c>
    </row>
    <row r="961" spans="1:19">
      <c r="A961" s="15" t="str">
        <f>IF('实盘净值数据(iFinD）'!A961="","",'实盘净值数据(iFinD）'!A961)</f>
        <v/>
      </c>
      <c r="B961" s="13" t="str">
        <f>IF(OR('实盘净值数据(iFinD）'!$A961="",'实盘净值数据(iFinD）'!$B961=""),"",分期持仓明细!$AB$17*SUMPRODUCT(分期持仓明细!$B$17:$Y$17,'实盘净值数据(iFinD）'!$B961:$Y961/'实盘净值数据(iFinD）'!$B$20:$Y$20)*(1-实盘持仓初始配置!$Z$4)^(('实盘净值数据(iFinD）'!$A961-'实盘净值数据(iFinD）'!$A$6)/365))</f>
        <v/>
      </c>
      <c r="C961" s="16" t="str">
        <f t="shared" si="90"/>
        <v/>
      </c>
      <c r="D961" s="16" t="str">
        <f>IF(B961="","",B961/MAX(B$5:B961)-1)</f>
        <v/>
      </c>
      <c r="E961" s="13" t="str">
        <f>IF(OR('实盘净值数据(iFinD）'!$A961="",'实盘净值数据(iFinD）'!$B961=""),"",分期持仓明细!$AB$18*SUMPRODUCT(分期持仓明细!$B$18:$Y$18,'实盘净值数据(iFinD）'!$B961:$Y961/'实盘净值数据(iFinD）'!$B$20:$Y$20)*(1-实盘持仓初始配置!$Z$5)^(('实盘净值数据(iFinD）'!$A961-'实盘净值数据(iFinD）'!$A$5)/365))</f>
        <v/>
      </c>
      <c r="F961" s="16" t="str">
        <f t="shared" si="91"/>
        <v/>
      </c>
      <c r="G961" s="16" t="str">
        <f>IF(E961="","",E961/MAX(E$5:E961)-1)</f>
        <v/>
      </c>
      <c r="H961" s="13" t="str">
        <f>IF(OR('实盘净值数据(iFinD）'!$A961="",'实盘净值数据(iFinD）'!$B961=""),"",分期持仓明细!$AB$19*SUMPRODUCT(分期持仓明细!$B$19:$Y$19,'实盘净值数据(iFinD）'!$B961:$Y961/'实盘净值数据(iFinD）'!$B$20:$Y$20)*(1-实盘持仓初始配置!$Z$6)^(('实盘净值数据(iFinD）'!$A961-'实盘净值数据(iFinD）'!$A$7)/365))</f>
        <v/>
      </c>
      <c r="I961" s="16" t="str">
        <f t="shared" si="92"/>
        <v/>
      </c>
      <c r="J961" s="16" t="str">
        <f>IF(H961="","",H961/MAX(H$5:H961)-1)</f>
        <v/>
      </c>
      <c r="K961" s="13" t="str">
        <f>IF(OR('实盘净值数据(iFinD）'!$A961="",'实盘净值数据(iFinD）'!$B961="",'实盘净值数据(iFinD）'!$Z961="",'实盘净值数据(iFinD）'!$AA961=""),"",分期持仓明细!$AB$23*(SUMPRODUCT(分期持仓明细!$B$23:$Y$23,'实盘净值数据(iFinD）'!$B961:$Y961/'实盘净值数据(iFinD）'!$B$65:$Y$65)+SUMPRODUCT(分期持仓明细!$AC$23:$AD$23,'实盘净值数据(iFinD）'!$Z961:$AA961/'实盘净值数据(iFinD）'!$Z$65:$AA$65))*(1-实盘持仓初始配置!$Z$7)^(('实盘净值数据(iFinD）'!$A961-'实盘净值数据(iFinD）'!$A$8)/365))</f>
        <v/>
      </c>
      <c r="L961" s="16" t="str">
        <f t="shared" si="93"/>
        <v/>
      </c>
      <c r="M961" s="16" t="str">
        <f>IF(K961="","",K961/MAX(K$5:K961)-1)</f>
        <v/>
      </c>
      <c r="N961" s="13" t="str">
        <f>IF(OR('实盘净值数据(iFinD）'!$A961="",'实盘净值数据(iFinD）'!$B961="",'实盘净值数据(iFinD）'!$Z961="",'实盘净值数据(iFinD）'!$AA961=""),"",分期持仓明细!$AB$24*(SUMPRODUCT(分期持仓明细!$B$24:$Y$24,'实盘净值数据(iFinD）'!$B961:$Y961/'实盘净值数据(iFinD）'!$B$65:$Y$65)+SUMPRODUCT(分期持仓明细!$AC$24:$AD$24,'实盘净值数据(iFinD）'!$Z961:$AA961/'实盘净值数据(iFinD）'!$Z$65:$AA$65))*(1-实盘持仓初始配置!$Z$8)^(('实盘净值数据(iFinD）'!$A961-'实盘净值数据(iFinD）'!$A$5)/365))</f>
        <v/>
      </c>
      <c r="O961" s="16" t="str">
        <f t="shared" si="94"/>
        <v/>
      </c>
      <c r="P961" s="16" t="str">
        <f>IF(N961="","",N961/MAX(N$5:N961)-1)</f>
        <v/>
      </c>
      <c r="Q961" s="13" t="str">
        <f>IF(OR('实盘净值数据(iFinD）'!$A961="",'实盘净值数据(iFinD）'!$B961="",'实盘净值数据(iFinD）'!$Z961="",'实盘净值数据(iFinD）'!$AA961=""),"",分期持仓明细!$AB$25*(SUMPRODUCT(分期持仓明细!$B$25:$Y$25,'实盘净值数据(iFinD）'!$B961:$Y961/'实盘净值数据(iFinD）'!$B$65:$Y$65)+SUMPRODUCT(分期持仓明细!$AC$25:$AD$25,'实盘净值数据(iFinD）'!$Z961:$AA961/'实盘净值数据(iFinD）'!$Z$65:$AA$65))*(1-实盘持仓初始配置!$Z$9)^(('实盘净值数据(iFinD）'!$A961-'实盘净值数据(iFinD）'!$A$8)/365))</f>
        <v/>
      </c>
      <c r="R961" s="16" t="str">
        <f t="shared" si="95"/>
        <v/>
      </c>
      <c r="S961" s="16" t="str">
        <f>IF(Q961="","",Q961/MAX(Q$5:Q961)-1)</f>
        <v/>
      </c>
      <c r="T961" s="13">
        <f>IF(OR('实盘净值数据(iFinD）'!$A961="",'实盘净值数据(iFinD）'!$B961="",'实盘净值数据(iFinD）'!$Z961="",'实盘净值数据(iFinD）'!$AA961="",'实盘净值数据(iFinD）'!$AB961="",'实盘净值数据(iFinD）'!$AL961=""),"",(SUMPRODUCT(分期持仓明细!$B$26:$Y$26,'实盘净值数据(iFinD）'!$B961:$Y961/'实盘净值数据(iFinD）'!$B$69:$Y$69)+SUMPRODUCT(分期持仓明细!$AC$26:$AD$26,'实盘净值数据(iFinD）'!$Z961:$AA961/'实盘净值数据(iFinD）'!$Z$69:$AA$69)+SUMPRODUCT(分期持仓明细!$AE$26:$AO$26,'实盘净值数据(iFinD）'!$AB961:$AL961/'实盘净值数据(iFinD）'!$AB$69:$AL$69))*(1-实盘持仓初始配置!$Z$10)^(('实盘净值数据(iFinD）'!$A961-'实盘净值数据(iFinD）'!$A$69)/365))</f>
        <v/>
      </c>
      <c r="U961" s="16">
        <f>IF(OR(T960="",T961=""),"",T961/T960-1)</f>
        <v/>
      </c>
      <c r="V961" s="16">
        <f>IF(T961="","",T961/MAX(T$5:T961)-1)</f>
        <v/>
      </c>
    </row>
    <row r="962" spans="1:19">
      <c r="A962" s="15" t="str">
        <f>IF('实盘净值数据(iFinD）'!A962="","",'实盘净值数据(iFinD）'!A962)</f>
        <v/>
      </c>
      <c r="B962" s="13" t="str">
        <f>IF(OR('实盘净值数据(iFinD）'!$A962="",'实盘净值数据(iFinD）'!$B962=""),"",分期持仓明细!$AB$17*SUMPRODUCT(分期持仓明细!$B$17:$Y$17,'实盘净值数据(iFinD）'!$B962:$Y962/'实盘净值数据(iFinD）'!$B$20:$Y$20)*(1-实盘持仓初始配置!$Z$4)^(('实盘净值数据(iFinD）'!$A962-'实盘净值数据(iFinD）'!$A$6)/365))</f>
        <v/>
      </c>
      <c r="C962" s="16" t="str">
        <f t="shared" si="90"/>
        <v/>
      </c>
      <c r="D962" s="16" t="str">
        <f>IF(B962="","",B962/MAX(B$5:B962)-1)</f>
        <v/>
      </c>
      <c r="E962" s="13" t="str">
        <f>IF(OR('实盘净值数据(iFinD）'!$A962="",'实盘净值数据(iFinD）'!$B962=""),"",分期持仓明细!$AB$18*SUMPRODUCT(分期持仓明细!$B$18:$Y$18,'实盘净值数据(iFinD）'!$B962:$Y962/'实盘净值数据(iFinD）'!$B$20:$Y$20)*(1-实盘持仓初始配置!$Z$5)^(('实盘净值数据(iFinD）'!$A962-'实盘净值数据(iFinD）'!$A$5)/365))</f>
        <v/>
      </c>
      <c r="F962" s="16" t="str">
        <f t="shared" si="91"/>
        <v/>
      </c>
      <c r="G962" s="16" t="str">
        <f>IF(E962="","",E962/MAX(E$5:E962)-1)</f>
        <v/>
      </c>
      <c r="H962" s="13" t="str">
        <f>IF(OR('实盘净值数据(iFinD）'!$A962="",'实盘净值数据(iFinD）'!$B962=""),"",分期持仓明细!$AB$19*SUMPRODUCT(分期持仓明细!$B$19:$Y$19,'实盘净值数据(iFinD）'!$B962:$Y962/'实盘净值数据(iFinD）'!$B$20:$Y$20)*(1-实盘持仓初始配置!$Z$6)^(('实盘净值数据(iFinD）'!$A962-'实盘净值数据(iFinD）'!$A$7)/365))</f>
        <v/>
      </c>
      <c r="I962" s="16" t="str">
        <f t="shared" si="92"/>
        <v/>
      </c>
      <c r="J962" s="16" t="str">
        <f>IF(H962="","",H962/MAX(H$5:H962)-1)</f>
        <v/>
      </c>
      <c r="K962" s="13" t="str">
        <f>IF(OR('实盘净值数据(iFinD）'!$A962="",'实盘净值数据(iFinD）'!$B962="",'实盘净值数据(iFinD）'!$Z962="",'实盘净值数据(iFinD）'!$AA962=""),"",分期持仓明细!$AB$23*(SUMPRODUCT(分期持仓明细!$B$23:$Y$23,'实盘净值数据(iFinD）'!$B962:$Y962/'实盘净值数据(iFinD）'!$B$65:$Y$65)+SUMPRODUCT(分期持仓明细!$AC$23:$AD$23,'实盘净值数据(iFinD）'!$Z962:$AA962/'实盘净值数据(iFinD）'!$Z$65:$AA$65))*(1-实盘持仓初始配置!$Z$7)^(('实盘净值数据(iFinD）'!$A962-'实盘净值数据(iFinD）'!$A$8)/365))</f>
        <v/>
      </c>
      <c r="L962" s="16" t="str">
        <f t="shared" si="93"/>
        <v/>
      </c>
      <c r="M962" s="16" t="str">
        <f>IF(K962="","",K962/MAX(K$5:K962)-1)</f>
        <v/>
      </c>
      <c r="N962" s="13" t="str">
        <f>IF(OR('实盘净值数据(iFinD）'!$A962="",'实盘净值数据(iFinD）'!$B962="",'实盘净值数据(iFinD）'!$Z962="",'实盘净值数据(iFinD）'!$AA962=""),"",分期持仓明细!$AB$24*(SUMPRODUCT(分期持仓明细!$B$24:$Y$24,'实盘净值数据(iFinD）'!$B962:$Y962/'实盘净值数据(iFinD）'!$B$65:$Y$65)+SUMPRODUCT(分期持仓明细!$AC$24:$AD$24,'实盘净值数据(iFinD）'!$Z962:$AA962/'实盘净值数据(iFinD）'!$Z$65:$AA$65))*(1-实盘持仓初始配置!$Z$8)^(('实盘净值数据(iFinD）'!$A962-'实盘净值数据(iFinD）'!$A$5)/365))</f>
        <v/>
      </c>
      <c r="O962" s="16" t="str">
        <f t="shared" si="94"/>
        <v/>
      </c>
      <c r="P962" s="16" t="str">
        <f>IF(N962="","",N962/MAX(N$5:N962)-1)</f>
        <v/>
      </c>
      <c r="Q962" s="13" t="str">
        <f>IF(OR('实盘净值数据(iFinD）'!$A962="",'实盘净值数据(iFinD）'!$B962="",'实盘净值数据(iFinD）'!$Z962="",'实盘净值数据(iFinD）'!$AA962=""),"",分期持仓明细!$AB$25*(SUMPRODUCT(分期持仓明细!$B$25:$Y$25,'实盘净值数据(iFinD）'!$B962:$Y962/'实盘净值数据(iFinD）'!$B$65:$Y$65)+SUMPRODUCT(分期持仓明细!$AC$25:$AD$25,'实盘净值数据(iFinD）'!$Z962:$AA962/'实盘净值数据(iFinD）'!$Z$65:$AA$65))*(1-实盘持仓初始配置!$Z$9)^(('实盘净值数据(iFinD）'!$A962-'实盘净值数据(iFinD）'!$A$8)/365))</f>
        <v/>
      </c>
      <c r="R962" s="16" t="str">
        <f t="shared" si="95"/>
        <v/>
      </c>
      <c r="S962" s="16" t="str">
        <f>IF(Q962="","",Q962/MAX(Q$5:Q962)-1)</f>
        <v/>
      </c>
      <c r="T962" s="13">
        <f>IF(OR('实盘净值数据(iFinD）'!$A962="",'实盘净值数据(iFinD）'!$B962="",'实盘净值数据(iFinD）'!$Z962="",'实盘净值数据(iFinD）'!$AA962="",'实盘净值数据(iFinD）'!$AB962="",'实盘净值数据(iFinD）'!$AL962=""),"",(SUMPRODUCT(分期持仓明细!$B$26:$Y$26,'实盘净值数据(iFinD）'!$B962:$Y962/'实盘净值数据(iFinD）'!$B$69:$Y$69)+SUMPRODUCT(分期持仓明细!$AC$26:$AD$26,'实盘净值数据(iFinD）'!$Z962:$AA962/'实盘净值数据(iFinD）'!$Z$69:$AA$69)+SUMPRODUCT(分期持仓明细!$AE$26:$AO$26,'实盘净值数据(iFinD）'!$AB962:$AL962/'实盘净值数据(iFinD）'!$AB$69:$AL$69))*(1-实盘持仓初始配置!$Z$10)^(('实盘净值数据(iFinD）'!$A962-'实盘净值数据(iFinD）'!$A$69)/365))</f>
        <v/>
      </c>
      <c r="U962" s="16">
        <f>IF(OR(T961="",T962=""),"",T962/T961-1)</f>
        <v/>
      </c>
      <c r="V962" s="16">
        <f>IF(T962="","",T962/MAX(T$5:T962)-1)</f>
        <v/>
      </c>
    </row>
    <row r="963" spans="1:19">
      <c r="A963" s="15" t="str">
        <f>IF('实盘净值数据(iFinD）'!A963="","",'实盘净值数据(iFinD）'!A963)</f>
        <v/>
      </c>
      <c r="B963" s="13" t="str">
        <f>IF(OR('实盘净值数据(iFinD）'!$A963="",'实盘净值数据(iFinD）'!$B963=""),"",分期持仓明细!$AB$17*SUMPRODUCT(分期持仓明细!$B$17:$Y$17,'实盘净值数据(iFinD）'!$B963:$Y963/'实盘净值数据(iFinD）'!$B$20:$Y$20)*(1-实盘持仓初始配置!$Z$4)^(('实盘净值数据(iFinD）'!$A963-'实盘净值数据(iFinD）'!$A$6)/365))</f>
        <v/>
      </c>
      <c r="C963" s="16" t="str">
        <f t="shared" si="90"/>
        <v/>
      </c>
      <c r="D963" s="16" t="str">
        <f>IF(B963="","",B963/MAX(B$5:B963)-1)</f>
        <v/>
      </c>
      <c r="E963" s="13" t="str">
        <f>IF(OR('实盘净值数据(iFinD）'!$A963="",'实盘净值数据(iFinD）'!$B963=""),"",分期持仓明细!$AB$18*SUMPRODUCT(分期持仓明细!$B$18:$Y$18,'实盘净值数据(iFinD）'!$B963:$Y963/'实盘净值数据(iFinD）'!$B$20:$Y$20)*(1-实盘持仓初始配置!$Z$5)^(('实盘净值数据(iFinD）'!$A963-'实盘净值数据(iFinD）'!$A$5)/365))</f>
        <v/>
      </c>
      <c r="F963" s="16" t="str">
        <f t="shared" si="91"/>
        <v/>
      </c>
      <c r="G963" s="16" t="str">
        <f>IF(E963="","",E963/MAX(E$5:E963)-1)</f>
        <v/>
      </c>
      <c r="H963" s="13" t="str">
        <f>IF(OR('实盘净值数据(iFinD）'!$A963="",'实盘净值数据(iFinD）'!$B963=""),"",分期持仓明细!$AB$19*SUMPRODUCT(分期持仓明细!$B$19:$Y$19,'实盘净值数据(iFinD）'!$B963:$Y963/'实盘净值数据(iFinD）'!$B$20:$Y$20)*(1-实盘持仓初始配置!$Z$6)^(('实盘净值数据(iFinD）'!$A963-'实盘净值数据(iFinD）'!$A$7)/365))</f>
        <v/>
      </c>
      <c r="I963" s="16" t="str">
        <f t="shared" si="92"/>
        <v/>
      </c>
      <c r="J963" s="16" t="str">
        <f>IF(H963="","",H963/MAX(H$5:H963)-1)</f>
        <v/>
      </c>
      <c r="K963" s="13" t="str">
        <f>IF(OR('实盘净值数据(iFinD）'!$A963="",'实盘净值数据(iFinD）'!$B963="",'实盘净值数据(iFinD）'!$Z963="",'实盘净值数据(iFinD）'!$AA963=""),"",分期持仓明细!$AB$23*(SUMPRODUCT(分期持仓明细!$B$23:$Y$23,'实盘净值数据(iFinD）'!$B963:$Y963/'实盘净值数据(iFinD）'!$B$65:$Y$65)+SUMPRODUCT(分期持仓明细!$AC$23:$AD$23,'实盘净值数据(iFinD）'!$Z963:$AA963/'实盘净值数据(iFinD）'!$Z$65:$AA$65))*(1-实盘持仓初始配置!$Z$7)^(('实盘净值数据(iFinD）'!$A963-'实盘净值数据(iFinD）'!$A$8)/365))</f>
        <v/>
      </c>
      <c r="L963" s="16" t="str">
        <f t="shared" si="93"/>
        <v/>
      </c>
      <c r="M963" s="16" t="str">
        <f>IF(K963="","",K963/MAX(K$5:K963)-1)</f>
        <v/>
      </c>
      <c r="N963" s="13" t="str">
        <f>IF(OR('实盘净值数据(iFinD）'!$A963="",'实盘净值数据(iFinD）'!$B963="",'实盘净值数据(iFinD）'!$Z963="",'实盘净值数据(iFinD）'!$AA963=""),"",分期持仓明细!$AB$24*(SUMPRODUCT(分期持仓明细!$B$24:$Y$24,'实盘净值数据(iFinD）'!$B963:$Y963/'实盘净值数据(iFinD）'!$B$65:$Y$65)+SUMPRODUCT(分期持仓明细!$AC$24:$AD$24,'实盘净值数据(iFinD）'!$Z963:$AA963/'实盘净值数据(iFinD）'!$Z$65:$AA$65))*(1-实盘持仓初始配置!$Z$8)^(('实盘净值数据(iFinD）'!$A963-'实盘净值数据(iFinD）'!$A$5)/365))</f>
        <v/>
      </c>
      <c r="O963" s="16" t="str">
        <f t="shared" si="94"/>
        <v/>
      </c>
      <c r="P963" s="16" t="str">
        <f>IF(N963="","",N963/MAX(N$5:N963)-1)</f>
        <v/>
      </c>
      <c r="Q963" s="13" t="str">
        <f>IF(OR('实盘净值数据(iFinD）'!$A963="",'实盘净值数据(iFinD）'!$B963="",'实盘净值数据(iFinD）'!$Z963="",'实盘净值数据(iFinD）'!$AA963=""),"",分期持仓明细!$AB$25*(SUMPRODUCT(分期持仓明细!$B$25:$Y$25,'实盘净值数据(iFinD）'!$B963:$Y963/'实盘净值数据(iFinD）'!$B$65:$Y$65)+SUMPRODUCT(分期持仓明细!$AC$25:$AD$25,'实盘净值数据(iFinD）'!$Z963:$AA963/'实盘净值数据(iFinD）'!$Z$65:$AA$65))*(1-实盘持仓初始配置!$Z$9)^(('实盘净值数据(iFinD）'!$A963-'实盘净值数据(iFinD）'!$A$8)/365))</f>
        <v/>
      </c>
      <c r="R963" s="16" t="str">
        <f t="shared" si="95"/>
        <v/>
      </c>
      <c r="S963" s="16" t="str">
        <f>IF(Q963="","",Q963/MAX(Q$5:Q963)-1)</f>
        <v/>
      </c>
      <c r="T963" s="13">
        <f>IF(OR('实盘净值数据(iFinD）'!$A963="",'实盘净值数据(iFinD）'!$B963="",'实盘净值数据(iFinD）'!$Z963="",'实盘净值数据(iFinD）'!$AA963="",'实盘净值数据(iFinD）'!$AB963="",'实盘净值数据(iFinD）'!$AL963=""),"",(SUMPRODUCT(分期持仓明细!$B$26:$Y$26,'实盘净值数据(iFinD）'!$B963:$Y963/'实盘净值数据(iFinD）'!$B$69:$Y$69)+SUMPRODUCT(分期持仓明细!$AC$26:$AD$26,'实盘净值数据(iFinD）'!$Z963:$AA963/'实盘净值数据(iFinD）'!$Z$69:$AA$69)+SUMPRODUCT(分期持仓明细!$AE$26:$AO$26,'实盘净值数据(iFinD）'!$AB963:$AL963/'实盘净值数据(iFinD）'!$AB$69:$AL$69))*(1-实盘持仓初始配置!$Z$10)^(('实盘净值数据(iFinD）'!$A963-'实盘净值数据(iFinD）'!$A$69)/365))</f>
        <v/>
      </c>
      <c r="U963" s="16">
        <f>IF(OR(T962="",T963=""),"",T963/T962-1)</f>
        <v/>
      </c>
      <c r="V963" s="16">
        <f>IF(T963="","",T963/MAX(T$5:T963)-1)</f>
        <v/>
      </c>
    </row>
    <row r="964" spans="1:19">
      <c r="A964" s="15" t="str">
        <f>IF('实盘净值数据(iFinD）'!A964="","",'实盘净值数据(iFinD）'!A964)</f>
        <v/>
      </c>
      <c r="B964" s="13" t="str">
        <f>IF(OR('实盘净值数据(iFinD）'!$A964="",'实盘净值数据(iFinD）'!$B964=""),"",分期持仓明细!$AB$17*SUMPRODUCT(分期持仓明细!$B$17:$Y$17,'实盘净值数据(iFinD）'!$B964:$Y964/'实盘净值数据(iFinD）'!$B$20:$Y$20)*(1-实盘持仓初始配置!$Z$4)^(('实盘净值数据(iFinD）'!$A964-'实盘净值数据(iFinD）'!$A$6)/365))</f>
        <v/>
      </c>
      <c r="C964" s="16" t="str">
        <f t="shared" si="90"/>
        <v/>
      </c>
      <c r="D964" s="16" t="str">
        <f>IF(B964="","",B964/MAX(B$5:B964)-1)</f>
        <v/>
      </c>
      <c r="E964" s="13" t="str">
        <f>IF(OR('实盘净值数据(iFinD）'!$A964="",'实盘净值数据(iFinD）'!$B964=""),"",分期持仓明细!$AB$18*SUMPRODUCT(分期持仓明细!$B$18:$Y$18,'实盘净值数据(iFinD）'!$B964:$Y964/'实盘净值数据(iFinD）'!$B$20:$Y$20)*(1-实盘持仓初始配置!$Z$5)^(('实盘净值数据(iFinD）'!$A964-'实盘净值数据(iFinD）'!$A$5)/365))</f>
        <v/>
      </c>
      <c r="F964" s="16" t="str">
        <f t="shared" si="91"/>
        <v/>
      </c>
      <c r="G964" s="16" t="str">
        <f>IF(E964="","",E964/MAX(E$5:E964)-1)</f>
        <v/>
      </c>
      <c r="H964" s="13" t="str">
        <f>IF(OR('实盘净值数据(iFinD）'!$A964="",'实盘净值数据(iFinD）'!$B964=""),"",分期持仓明细!$AB$19*SUMPRODUCT(分期持仓明细!$B$19:$Y$19,'实盘净值数据(iFinD）'!$B964:$Y964/'实盘净值数据(iFinD）'!$B$20:$Y$20)*(1-实盘持仓初始配置!$Z$6)^(('实盘净值数据(iFinD）'!$A964-'实盘净值数据(iFinD）'!$A$7)/365))</f>
        <v/>
      </c>
      <c r="I964" s="16" t="str">
        <f t="shared" si="92"/>
        <v/>
      </c>
      <c r="J964" s="16" t="str">
        <f>IF(H964="","",H964/MAX(H$5:H964)-1)</f>
        <v/>
      </c>
      <c r="K964" s="13" t="str">
        <f>IF(OR('实盘净值数据(iFinD）'!$A964="",'实盘净值数据(iFinD）'!$B964="",'实盘净值数据(iFinD）'!$Z964="",'实盘净值数据(iFinD）'!$AA964=""),"",分期持仓明细!$AB$23*(SUMPRODUCT(分期持仓明细!$B$23:$Y$23,'实盘净值数据(iFinD）'!$B964:$Y964/'实盘净值数据(iFinD）'!$B$65:$Y$65)+SUMPRODUCT(分期持仓明细!$AC$23:$AD$23,'实盘净值数据(iFinD）'!$Z964:$AA964/'实盘净值数据(iFinD）'!$Z$65:$AA$65))*(1-实盘持仓初始配置!$Z$7)^(('实盘净值数据(iFinD）'!$A964-'实盘净值数据(iFinD）'!$A$8)/365))</f>
        <v/>
      </c>
      <c r="L964" s="16" t="str">
        <f t="shared" si="93"/>
        <v/>
      </c>
      <c r="M964" s="16" t="str">
        <f>IF(K964="","",K964/MAX(K$5:K964)-1)</f>
        <v/>
      </c>
      <c r="N964" s="13" t="str">
        <f>IF(OR('实盘净值数据(iFinD）'!$A964="",'实盘净值数据(iFinD）'!$B964="",'实盘净值数据(iFinD）'!$Z964="",'实盘净值数据(iFinD）'!$AA964=""),"",分期持仓明细!$AB$24*(SUMPRODUCT(分期持仓明细!$B$24:$Y$24,'实盘净值数据(iFinD）'!$B964:$Y964/'实盘净值数据(iFinD）'!$B$65:$Y$65)+SUMPRODUCT(分期持仓明细!$AC$24:$AD$24,'实盘净值数据(iFinD）'!$Z964:$AA964/'实盘净值数据(iFinD）'!$Z$65:$AA$65))*(1-实盘持仓初始配置!$Z$8)^(('实盘净值数据(iFinD）'!$A964-'实盘净值数据(iFinD）'!$A$5)/365))</f>
        <v/>
      </c>
      <c r="O964" s="16" t="str">
        <f t="shared" si="94"/>
        <v/>
      </c>
      <c r="P964" s="16" t="str">
        <f>IF(N964="","",N964/MAX(N$5:N964)-1)</f>
        <v/>
      </c>
      <c r="Q964" s="13" t="str">
        <f>IF(OR('实盘净值数据(iFinD）'!$A964="",'实盘净值数据(iFinD）'!$B964="",'实盘净值数据(iFinD）'!$Z964="",'实盘净值数据(iFinD）'!$AA964=""),"",分期持仓明细!$AB$25*(SUMPRODUCT(分期持仓明细!$B$25:$Y$25,'实盘净值数据(iFinD）'!$B964:$Y964/'实盘净值数据(iFinD）'!$B$65:$Y$65)+SUMPRODUCT(分期持仓明细!$AC$25:$AD$25,'实盘净值数据(iFinD）'!$Z964:$AA964/'实盘净值数据(iFinD）'!$Z$65:$AA$65))*(1-实盘持仓初始配置!$Z$9)^(('实盘净值数据(iFinD）'!$A964-'实盘净值数据(iFinD）'!$A$8)/365))</f>
        <v/>
      </c>
      <c r="R964" s="16" t="str">
        <f t="shared" si="95"/>
        <v/>
      </c>
      <c r="S964" s="16" t="str">
        <f>IF(Q964="","",Q964/MAX(Q$5:Q964)-1)</f>
        <v/>
      </c>
      <c r="T964" s="13">
        <f>IF(OR('实盘净值数据(iFinD）'!$A964="",'实盘净值数据(iFinD）'!$B964="",'实盘净值数据(iFinD）'!$Z964="",'实盘净值数据(iFinD）'!$AA964="",'实盘净值数据(iFinD）'!$AB964="",'实盘净值数据(iFinD）'!$AL964=""),"",(SUMPRODUCT(分期持仓明细!$B$26:$Y$26,'实盘净值数据(iFinD）'!$B964:$Y964/'实盘净值数据(iFinD）'!$B$69:$Y$69)+SUMPRODUCT(分期持仓明细!$AC$26:$AD$26,'实盘净值数据(iFinD）'!$Z964:$AA964/'实盘净值数据(iFinD）'!$Z$69:$AA$69)+SUMPRODUCT(分期持仓明细!$AE$26:$AO$26,'实盘净值数据(iFinD）'!$AB964:$AL964/'实盘净值数据(iFinD）'!$AB$69:$AL$69))*(1-实盘持仓初始配置!$Z$10)^(('实盘净值数据(iFinD）'!$A964-'实盘净值数据(iFinD）'!$A$69)/365))</f>
        <v/>
      </c>
      <c r="U964" s="16">
        <f>IF(OR(T963="",T964=""),"",T964/T963-1)</f>
        <v/>
      </c>
      <c r="V964" s="16">
        <f>IF(T964="","",T964/MAX(T$5:T964)-1)</f>
        <v/>
      </c>
    </row>
    <row r="965" spans="1:19">
      <c r="A965" s="15" t="str">
        <f>IF('实盘净值数据(iFinD）'!A965="","",'实盘净值数据(iFinD）'!A965)</f>
        <v/>
      </c>
      <c r="B965" s="13" t="str">
        <f>IF(OR('实盘净值数据(iFinD）'!$A965="",'实盘净值数据(iFinD）'!$B965=""),"",分期持仓明细!$AB$17*SUMPRODUCT(分期持仓明细!$B$17:$Y$17,'实盘净值数据(iFinD）'!$B965:$Y965/'实盘净值数据(iFinD）'!$B$20:$Y$20)*(1-实盘持仓初始配置!$Z$4)^(('实盘净值数据(iFinD）'!$A965-'实盘净值数据(iFinD）'!$A$6)/365))</f>
        <v/>
      </c>
      <c r="C965" s="16" t="str">
        <f t="shared" si="90"/>
        <v/>
      </c>
      <c r="D965" s="16" t="str">
        <f>IF(B965="","",B965/MAX(B$5:B965)-1)</f>
        <v/>
      </c>
      <c r="E965" s="13" t="str">
        <f>IF(OR('实盘净值数据(iFinD）'!$A965="",'实盘净值数据(iFinD）'!$B965=""),"",分期持仓明细!$AB$18*SUMPRODUCT(分期持仓明细!$B$18:$Y$18,'实盘净值数据(iFinD）'!$B965:$Y965/'实盘净值数据(iFinD）'!$B$20:$Y$20)*(1-实盘持仓初始配置!$Z$5)^(('实盘净值数据(iFinD）'!$A965-'实盘净值数据(iFinD）'!$A$5)/365))</f>
        <v/>
      </c>
      <c r="F965" s="16" t="str">
        <f t="shared" si="91"/>
        <v/>
      </c>
      <c r="G965" s="16" t="str">
        <f>IF(E965="","",E965/MAX(E$5:E965)-1)</f>
        <v/>
      </c>
      <c r="H965" s="13" t="str">
        <f>IF(OR('实盘净值数据(iFinD）'!$A965="",'实盘净值数据(iFinD）'!$B965=""),"",分期持仓明细!$AB$19*SUMPRODUCT(分期持仓明细!$B$19:$Y$19,'实盘净值数据(iFinD）'!$B965:$Y965/'实盘净值数据(iFinD）'!$B$20:$Y$20)*(1-实盘持仓初始配置!$Z$6)^(('实盘净值数据(iFinD）'!$A965-'实盘净值数据(iFinD）'!$A$7)/365))</f>
        <v/>
      </c>
      <c r="I965" s="16" t="str">
        <f t="shared" si="92"/>
        <v/>
      </c>
      <c r="J965" s="16" t="str">
        <f>IF(H965="","",H965/MAX(H$5:H965)-1)</f>
        <v/>
      </c>
      <c r="K965" s="13" t="str">
        <f>IF(OR('实盘净值数据(iFinD）'!$A965="",'实盘净值数据(iFinD）'!$B965="",'实盘净值数据(iFinD）'!$Z965="",'实盘净值数据(iFinD）'!$AA965=""),"",分期持仓明细!$AB$23*(SUMPRODUCT(分期持仓明细!$B$23:$Y$23,'实盘净值数据(iFinD）'!$B965:$Y965/'实盘净值数据(iFinD）'!$B$65:$Y$65)+SUMPRODUCT(分期持仓明细!$AC$23:$AD$23,'实盘净值数据(iFinD）'!$Z965:$AA965/'实盘净值数据(iFinD）'!$Z$65:$AA$65))*(1-实盘持仓初始配置!$Z$7)^(('实盘净值数据(iFinD）'!$A965-'实盘净值数据(iFinD）'!$A$8)/365))</f>
        <v/>
      </c>
      <c r="L965" s="16" t="str">
        <f t="shared" si="93"/>
        <v/>
      </c>
      <c r="M965" s="16" t="str">
        <f>IF(K965="","",K965/MAX(K$5:K965)-1)</f>
        <v/>
      </c>
      <c r="N965" s="13" t="str">
        <f>IF(OR('实盘净值数据(iFinD）'!$A965="",'实盘净值数据(iFinD）'!$B965="",'实盘净值数据(iFinD）'!$Z965="",'实盘净值数据(iFinD）'!$AA965=""),"",分期持仓明细!$AB$24*(SUMPRODUCT(分期持仓明细!$B$24:$Y$24,'实盘净值数据(iFinD）'!$B965:$Y965/'实盘净值数据(iFinD）'!$B$65:$Y$65)+SUMPRODUCT(分期持仓明细!$AC$24:$AD$24,'实盘净值数据(iFinD）'!$Z965:$AA965/'实盘净值数据(iFinD）'!$Z$65:$AA$65))*(1-实盘持仓初始配置!$Z$8)^(('实盘净值数据(iFinD）'!$A965-'实盘净值数据(iFinD）'!$A$5)/365))</f>
        <v/>
      </c>
      <c r="O965" s="16" t="str">
        <f t="shared" si="94"/>
        <v/>
      </c>
      <c r="P965" s="16" t="str">
        <f>IF(N965="","",N965/MAX(N$5:N965)-1)</f>
        <v/>
      </c>
      <c r="Q965" s="13" t="str">
        <f>IF(OR('实盘净值数据(iFinD）'!$A965="",'实盘净值数据(iFinD）'!$B965="",'实盘净值数据(iFinD）'!$Z965="",'实盘净值数据(iFinD）'!$AA965=""),"",分期持仓明细!$AB$25*(SUMPRODUCT(分期持仓明细!$B$25:$Y$25,'实盘净值数据(iFinD）'!$B965:$Y965/'实盘净值数据(iFinD）'!$B$65:$Y$65)+SUMPRODUCT(分期持仓明细!$AC$25:$AD$25,'实盘净值数据(iFinD）'!$Z965:$AA965/'实盘净值数据(iFinD）'!$Z$65:$AA$65))*(1-实盘持仓初始配置!$Z$9)^(('实盘净值数据(iFinD）'!$A965-'实盘净值数据(iFinD）'!$A$8)/365))</f>
        <v/>
      </c>
      <c r="R965" s="16" t="str">
        <f t="shared" si="95"/>
        <v/>
      </c>
      <c r="S965" s="16" t="str">
        <f>IF(Q965="","",Q965/MAX(Q$5:Q965)-1)</f>
        <v/>
      </c>
      <c r="T965" s="13">
        <f>IF(OR('实盘净值数据(iFinD）'!$A965="",'实盘净值数据(iFinD）'!$B965="",'实盘净值数据(iFinD）'!$Z965="",'实盘净值数据(iFinD）'!$AA965="",'实盘净值数据(iFinD）'!$AB965="",'实盘净值数据(iFinD）'!$AL965=""),"",(SUMPRODUCT(分期持仓明细!$B$26:$Y$26,'实盘净值数据(iFinD）'!$B965:$Y965/'实盘净值数据(iFinD）'!$B$69:$Y$69)+SUMPRODUCT(分期持仓明细!$AC$26:$AD$26,'实盘净值数据(iFinD）'!$Z965:$AA965/'实盘净值数据(iFinD）'!$Z$69:$AA$69)+SUMPRODUCT(分期持仓明细!$AE$26:$AO$26,'实盘净值数据(iFinD）'!$AB965:$AL965/'实盘净值数据(iFinD）'!$AB$69:$AL$69))*(1-实盘持仓初始配置!$Z$10)^(('实盘净值数据(iFinD）'!$A965-'实盘净值数据(iFinD）'!$A$69)/365))</f>
        <v/>
      </c>
      <c r="U965" s="16">
        <f>IF(OR(T964="",T965=""),"",T965/T964-1)</f>
        <v/>
      </c>
      <c r="V965" s="16">
        <f>IF(T965="","",T965/MAX(T$5:T965)-1)</f>
        <v/>
      </c>
    </row>
    <row r="966" spans="1:19">
      <c r="A966" s="15" t="str">
        <f>IF('实盘净值数据(iFinD）'!A966="","",'实盘净值数据(iFinD）'!A966)</f>
        <v/>
      </c>
      <c r="B966" s="13" t="str">
        <f>IF(OR('实盘净值数据(iFinD）'!$A966="",'实盘净值数据(iFinD）'!$B966=""),"",分期持仓明细!$AB$17*SUMPRODUCT(分期持仓明细!$B$17:$Y$17,'实盘净值数据(iFinD）'!$B966:$Y966/'实盘净值数据(iFinD）'!$B$20:$Y$20)*(1-实盘持仓初始配置!$Z$4)^(('实盘净值数据(iFinD）'!$A966-'实盘净值数据(iFinD）'!$A$6)/365))</f>
        <v/>
      </c>
      <c r="C966" s="16" t="str">
        <f t="shared" si="90"/>
        <v/>
      </c>
      <c r="D966" s="16" t="str">
        <f>IF(B966="","",B966/MAX(B$5:B966)-1)</f>
        <v/>
      </c>
      <c r="E966" s="13" t="str">
        <f>IF(OR('实盘净值数据(iFinD）'!$A966="",'实盘净值数据(iFinD）'!$B966=""),"",分期持仓明细!$AB$18*SUMPRODUCT(分期持仓明细!$B$18:$Y$18,'实盘净值数据(iFinD）'!$B966:$Y966/'实盘净值数据(iFinD）'!$B$20:$Y$20)*(1-实盘持仓初始配置!$Z$5)^(('实盘净值数据(iFinD）'!$A966-'实盘净值数据(iFinD）'!$A$5)/365))</f>
        <v/>
      </c>
      <c r="F966" s="16" t="str">
        <f t="shared" si="91"/>
        <v/>
      </c>
      <c r="G966" s="16" t="str">
        <f>IF(E966="","",E966/MAX(E$5:E966)-1)</f>
        <v/>
      </c>
      <c r="H966" s="13" t="str">
        <f>IF(OR('实盘净值数据(iFinD）'!$A966="",'实盘净值数据(iFinD）'!$B966=""),"",分期持仓明细!$AB$19*SUMPRODUCT(分期持仓明细!$B$19:$Y$19,'实盘净值数据(iFinD）'!$B966:$Y966/'实盘净值数据(iFinD）'!$B$20:$Y$20)*(1-实盘持仓初始配置!$Z$6)^(('实盘净值数据(iFinD）'!$A966-'实盘净值数据(iFinD）'!$A$7)/365))</f>
        <v/>
      </c>
      <c r="I966" s="16" t="str">
        <f t="shared" si="92"/>
        <v/>
      </c>
      <c r="J966" s="16" t="str">
        <f>IF(H966="","",H966/MAX(H$5:H966)-1)</f>
        <v/>
      </c>
      <c r="K966" s="13" t="str">
        <f>IF(OR('实盘净值数据(iFinD）'!$A966="",'实盘净值数据(iFinD）'!$B966="",'实盘净值数据(iFinD）'!$Z966="",'实盘净值数据(iFinD）'!$AA966=""),"",分期持仓明细!$AB$23*(SUMPRODUCT(分期持仓明细!$B$23:$Y$23,'实盘净值数据(iFinD）'!$B966:$Y966/'实盘净值数据(iFinD）'!$B$65:$Y$65)+SUMPRODUCT(分期持仓明细!$AC$23:$AD$23,'实盘净值数据(iFinD）'!$Z966:$AA966/'实盘净值数据(iFinD）'!$Z$65:$AA$65))*(1-实盘持仓初始配置!$Z$7)^(('实盘净值数据(iFinD）'!$A966-'实盘净值数据(iFinD）'!$A$8)/365))</f>
        <v/>
      </c>
      <c r="L966" s="16" t="str">
        <f t="shared" si="93"/>
        <v/>
      </c>
      <c r="M966" s="16" t="str">
        <f>IF(K966="","",K966/MAX(K$5:K966)-1)</f>
        <v/>
      </c>
      <c r="N966" s="13" t="str">
        <f>IF(OR('实盘净值数据(iFinD）'!$A966="",'实盘净值数据(iFinD）'!$B966="",'实盘净值数据(iFinD）'!$Z966="",'实盘净值数据(iFinD）'!$AA966=""),"",分期持仓明细!$AB$24*(SUMPRODUCT(分期持仓明细!$B$24:$Y$24,'实盘净值数据(iFinD）'!$B966:$Y966/'实盘净值数据(iFinD）'!$B$65:$Y$65)+SUMPRODUCT(分期持仓明细!$AC$24:$AD$24,'实盘净值数据(iFinD）'!$Z966:$AA966/'实盘净值数据(iFinD）'!$Z$65:$AA$65))*(1-实盘持仓初始配置!$Z$8)^(('实盘净值数据(iFinD）'!$A966-'实盘净值数据(iFinD）'!$A$5)/365))</f>
        <v/>
      </c>
      <c r="O966" s="16" t="str">
        <f t="shared" si="94"/>
        <v/>
      </c>
      <c r="P966" s="16" t="str">
        <f>IF(N966="","",N966/MAX(N$5:N966)-1)</f>
        <v/>
      </c>
      <c r="Q966" s="13" t="str">
        <f>IF(OR('实盘净值数据(iFinD）'!$A966="",'实盘净值数据(iFinD）'!$B966="",'实盘净值数据(iFinD）'!$Z966="",'实盘净值数据(iFinD）'!$AA966=""),"",分期持仓明细!$AB$25*(SUMPRODUCT(分期持仓明细!$B$25:$Y$25,'实盘净值数据(iFinD）'!$B966:$Y966/'实盘净值数据(iFinD）'!$B$65:$Y$65)+SUMPRODUCT(分期持仓明细!$AC$25:$AD$25,'实盘净值数据(iFinD）'!$Z966:$AA966/'实盘净值数据(iFinD）'!$Z$65:$AA$65))*(1-实盘持仓初始配置!$Z$9)^(('实盘净值数据(iFinD）'!$A966-'实盘净值数据(iFinD）'!$A$8)/365))</f>
        <v/>
      </c>
      <c r="R966" s="16" t="str">
        <f t="shared" si="95"/>
        <v/>
      </c>
      <c r="S966" s="16" t="str">
        <f>IF(Q966="","",Q966/MAX(Q$5:Q966)-1)</f>
        <v/>
      </c>
      <c r="T966" s="13">
        <f>IF(OR('实盘净值数据(iFinD）'!$A966="",'实盘净值数据(iFinD）'!$B966="",'实盘净值数据(iFinD）'!$Z966="",'实盘净值数据(iFinD）'!$AA966="",'实盘净值数据(iFinD）'!$AB966="",'实盘净值数据(iFinD）'!$AL966=""),"",(SUMPRODUCT(分期持仓明细!$B$26:$Y$26,'实盘净值数据(iFinD）'!$B966:$Y966/'实盘净值数据(iFinD）'!$B$69:$Y$69)+SUMPRODUCT(分期持仓明细!$AC$26:$AD$26,'实盘净值数据(iFinD）'!$Z966:$AA966/'实盘净值数据(iFinD）'!$Z$69:$AA$69)+SUMPRODUCT(分期持仓明细!$AE$26:$AO$26,'实盘净值数据(iFinD）'!$AB966:$AL966/'实盘净值数据(iFinD）'!$AB$69:$AL$69))*(1-实盘持仓初始配置!$Z$10)^(('实盘净值数据(iFinD）'!$A966-'实盘净值数据(iFinD）'!$A$69)/365))</f>
        <v/>
      </c>
      <c r="U966" s="16">
        <f>IF(OR(T965="",T966=""),"",T966/T965-1)</f>
        <v/>
      </c>
      <c r="V966" s="16">
        <f>IF(T966="","",T966/MAX(T$5:T966)-1)</f>
        <v/>
      </c>
    </row>
    <row r="967" spans="1:19">
      <c r="A967" s="15" t="str">
        <f>IF('实盘净值数据(iFinD）'!A967="","",'实盘净值数据(iFinD）'!A967)</f>
        <v/>
      </c>
      <c r="B967" s="13" t="str">
        <f>IF(OR('实盘净值数据(iFinD）'!$A967="",'实盘净值数据(iFinD）'!$B967=""),"",分期持仓明细!$AB$17*SUMPRODUCT(分期持仓明细!$B$17:$Y$17,'实盘净值数据(iFinD）'!$B967:$Y967/'实盘净值数据(iFinD）'!$B$20:$Y$20)*(1-实盘持仓初始配置!$Z$4)^(('实盘净值数据(iFinD）'!$A967-'实盘净值数据(iFinD）'!$A$6)/365))</f>
        <v/>
      </c>
      <c r="C967" s="16" t="str">
        <f t="shared" si="90"/>
        <v/>
      </c>
      <c r="D967" s="16" t="str">
        <f>IF(B967="","",B967/MAX(B$5:B967)-1)</f>
        <v/>
      </c>
      <c r="E967" s="13" t="str">
        <f>IF(OR('实盘净值数据(iFinD）'!$A967="",'实盘净值数据(iFinD）'!$B967=""),"",分期持仓明细!$AB$18*SUMPRODUCT(分期持仓明细!$B$18:$Y$18,'实盘净值数据(iFinD）'!$B967:$Y967/'实盘净值数据(iFinD）'!$B$20:$Y$20)*(1-实盘持仓初始配置!$Z$5)^(('实盘净值数据(iFinD）'!$A967-'实盘净值数据(iFinD）'!$A$5)/365))</f>
        <v/>
      </c>
      <c r="F967" s="16" t="str">
        <f t="shared" si="91"/>
        <v/>
      </c>
      <c r="G967" s="16" t="str">
        <f>IF(E967="","",E967/MAX(E$5:E967)-1)</f>
        <v/>
      </c>
      <c r="H967" s="13" t="str">
        <f>IF(OR('实盘净值数据(iFinD）'!$A967="",'实盘净值数据(iFinD）'!$B967=""),"",分期持仓明细!$AB$19*SUMPRODUCT(分期持仓明细!$B$19:$Y$19,'实盘净值数据(iFinD）'!$B967:$Y967/'实盘净值数据(iFinD）'!$B$20:$Y$20)*(1-实盘持仓初始配置!$Z$6)^(('实盘净值数据(iFinD）'!$A967-'实盘净值数据(iFinD）'!$A$7)/365))</f>
        <v/>
      </c>
      <c r="I967" s="16" t="str">
        <f t="shared" si="92"/>
        <v/>
      </c>
      <c r="J967" s="16" t="str">
        <f>IF(H967="","",H967/MAX(H$5:H967)-1)</f>
        <v/>
      </c>
      <c r="K967" s="13" t="str">
        <f>IF(OR('实盘净值数据(iFinD）'!$A967="",'实盘净值数据(iFinD）'!$B967="",'实盘净值数据(iFinD）'!$Z967="",'实盘净值数据(iFinD）'!$AA967=""),"",分期持仓明细!$AB$23*(SUMPRODUCT(分期持仓明细!$B$23:$Y$23,'实盘净值数据(iFinD）'!$B967:$Y967/'实盘净值数据(iFinD）'!$B$65:$Y$65)+SUMPRODUCT(分期持仓明细!$AC$23:$AD$23,'实盘净值数据(iFinD）'!$Z967:$AA967/'实盘净值数据(iFinD）'!$Z$65:$AA$65))*(1-实盘持仓初始配置!$Z$7)^(('实盘净值数据(iFinD）'!$A967-'实盘净值数据(iFinD）'!$A$8)/365))</f>
        <v/>
      </c>
      <c r="L967" s="16" t="str">
        <f t="shared" si="93"/>
        <v/>
      </c>
      <c r="M967" s="16" t="str">
        <f>IF(K967="","",K967/MAX(K$5:K967)-1)</f>
        <v/>
      </c>
      <c r="N967" s="13" t="str">
        <f>IF(OR('实盘净值数据(iFinD）'!$A967="",'实盘净值数据(iFinD）'!$B967="",'实盘净值数据(iFinD）'!$Z967="",'实盘净值数据(iFinD）'!$AA967=""),"",分期持仓明细!$AB$24*(SUMPRODUCT(分期持仓明细!$B$24:$Y$24,'实盘净值数据(iFinD）'!$B967:$Y967/'实盘净值数据(iFinD）'!$B$65:$Y$65)+SUMPRODUCT(分期持仓明细!$AC$24:$AD$24,'实盘净值数据(iFinD）'!$Z967:$AA967/'实盘净值数据(iFinD）'!$Z$65:$AA$65))*(1-实盘持仓初始配置!$Z$8)^(('实盘净值数据(iFinD）'!$A967-'实盘净值数据(iFinD）'!$A$5)/365))</f>
        <v/>
      </c>
      <c r="O967" s="16" t="str">
        <f t="shared" si="94"/>
        <v/>
      </c>
      <c r="P967" s="16" t="str">
        <f>IF(N967="","",N967/MAX(N$5:N967)-1)</f>
        <v/>
      </c>
      <c r="Q967" s="13" t="str">
        <f>IF(OR('实盘净值数据(iFinD）'!$A967="",'实盘净值数据(iFinD）'!$B967="",'实盘净值数据(iFinD）'!$Z967="",'实盘净值数据(iFinD）'!$AA967=""),"",分期持仓明细!$AB$25*(SUMPRODUCT(分期持仓明细!$B$25:$Y$25,'实盘净值数据(iFinD）'!$B967:$Y967/'实盘净值数据(iFinD）'!$B$65:$Y$65)+SUMPRODUCT(分期持仓明细!$AC$25:$AD$25,'实盘净值数据(iFinD）'!$Z967:$AA967/'实盘净值数据(iFinD）'!$Z$65:$AA$65))*(1-实盘持仓初始配置!$Z$9)^(('实盘净值数据(iFinD）'!$A967-'实盘净值数据(iFinD）'!$A$8)/365))</f>
        <v/>
      </c>
      <c r="R967" s="16" t="str">
        <f t="shared" si="95"/>
        <v/>
      </c>
      <c r="S967" s="16" t="str">
        <f>IF(Q967="","",Q967/MAX(Q$5:Q967)-1)</f>
        <v/>
      </c>
      <c r="T967" s="13">
        <f>IF(OR('实盘净值数据(iFinD）'!$A967="",'实盘净值数据(iFinD）'!$B967="",'实盘净值数据(iFinD）'!$Z967="",'实盘净值数据(iFinD）'!$AA967="",'实盘净值数据(iFinD）'!$AB967="",'实盘净值数据(iFinD）'!$AL967=""),"",(SUMPRODUCT(分期持仓明细!$B$26:$Y$26,'实盘净值数据(iFinD）'!$B967:$Y967/'实盘净值数据(iFinD）'!$B$69:$Y$69)+SUMPRODUCT(分期持仓明细!$AC$26:$AD$26,'实盘净值数据(iFinD）'!$Z967:$AA967/'实盘净值数据(iFinD）'!$Z$69:$AA$69)+SUMPRODUCT(分期持仓明细!$AE$26:$AO$26,'实盘净值数据(iFinD）'!$AB967:$AL967/'实盘净值数据(iFinD）'!$AB$69:$AL$69))*(1-实盘持仓初始配置!$Z$10)^(('实盘净值数据(iFinD）'!$A967-'实盘净值数据(iFinD）'!$A$69)/365))</f>
        <v/>
      </c>
      <c r="U967" s="16">
        <f>IF(OR(T966="",T967=""),"",T967/T966-1)</f>
        <v/>
      </c>
      <c r="V967" s="16">
        <f>IF(T967="","",T967/MAX(T$5:T967)-1)</f>
        <v/>
      </c>
    </row>
    <row r="968" spans="1:19">
      <c r="A968" s="15" t="str">
        <f>IF('实盘净值数据(iFinD）'!A968="","",'实盘净值数据(iFinD）'!A968)</f>
        <v/>
      </c>
      <c r="B968" s="13" t="str">
        <f>IF(OR('实盘净值数据(iFinD）'!$A968="",'实盘净值数据(iFinD）'!$B968=""),"",分期持仓明细!$AB$17*SUMPRODUCT(分期持仓明细!$B$17:$Y$17,'实盘净值数据(iFinD）'!$B968:$Y968/'实盘净值数据(iFinD）'!$B$20:$Y$20)*(1-实盘持仓初始配置!$Z$4)^(('实盘净值数据(iFinD）'!$A968-'实盘净值数据(iFinD）'!$A$6)/365))</f>
        <v/>
      </c>
      <c r="C968" s="16" t="str">
        <f t="shared" si="90"/>
        <v/>
      </c>
      <c r="D968" s="16" t="str">
        <f>IF(B968="","",B968/MAX(B$5:B968)-1)</f>
        <v/>
      </c>
      <c r="E968" s="13" t="str">
        <f>IF(OR('实盘净值数据(iFinD）'!$A968="",'实盘净值数据(iFinD）'!$B968=""),"",分期持仓明细!$AB$18*SUMPRODUCT(分期持仓明细!$B$18:$Y$18,'实盘净值数据(iFinD）'!$B968:$Y968/'实盘净值数据(iFinD）'!$B$20:$Y$20)*(1-实盘持仓初始配置!$Z$5)^(('实盘净值数据(iFinD）'!$A968-'实盘净值数据(iFinD）'!$A$5)/365))</f>
        <v/>
      </c>
      <c r="F968" s="16" t="str">
        <f t="shared" si="91"/>
        <v/>
      </c>
      <c r="G968" s="16" t="str">
        <f>IF(E968="","",E968/MAX(E$5:E968)-1)</f>
        <v/>
      </c>
      <c r="H968" s="13" t="str">
        <f>IF(OR('实盘净值数据(iFinD）'!$A968="",'实盘净值数据(iFinD）'!$B968=""),"",分期持仓明细!$AB$19*SUMPRODUCT(分期持仓明细!$B$19:$Y$19,'实盘净值数据(iFinD）'!$B968:$Y968/'实盘净值数据(iFinD）'!$B$20:$Y$20)*(1-实盘持仓初始配置!$Z$6)^(('实盘净值数据(iFinD）'!$A968-'实盘净值数据(iFinD）'!$A$7)/365))</f>
        <v/>
      </c>
      <c r="I968" s="16" t="str">
        <f t="shared" si="92"/>
        <v/>
      </c>
      <c r="J968" s="16" t="str">
        <f>IF(H968="","",H968/MAX(H$5:H968)-1)</f>
        <v/>
      </c>
      <c r="K968" s="13" t="str">
        <f>IF(OR('实盘净值数据(iFinD）'!$A968="",'实盘净值数据(iFinD）'!$B968="",'实盘净值数据(iFinD）'!$Z968="",'实盘净值数据(iFinD）'!$AA968=""),"",分期持仓明细!$AB$23*(SUMPRODUCT(分期持仓明细!$B$23:$Y$23,'实盘净值数据(iFinD）'!$B968:$Y968/'实盘净值数据(iFinD）'!$B$65:$Y$65)+SUMPRODUCT(分期持仓明细!$AC$23:$AD$23,'实盘净值数据(iFinD）'!$Z968:$AA968/'实盘净值数据(iFinD）'!$Z$65:$AA$65))*(1-实盘持仓初始配置!$Z$7)^(('实盘净值数据(iFinD）'!$A968-'实盘净值数据(iFinD）'!$A$8)/365))</f>
        <v/>
      </c>
      <c r="L968" s="16" t="str">
        <f t="shared" si="93"/>
        <v/>
      </c>
      <c r="M968" s="16" t="str">
        <f>IF(K968="","",K968/MAX(K$5:K968)-1)</f>
        <v/>
      </c>
      <c r="N968" s="13" t="str">
        <f>IF(OR('实盘净值数据(iFinD）'!$A968="",'实盘净值数据(iFinD）'!$B968="",'实盘净值数据(iFinD）'!$Z968="",'实盘净值数据(iFinD）'!$AA968=""),"",分期持仓明细!$AB$24*(SUMPRODUCT(分期持仓明细!$B$24:$Y$24,'实盘净值数据(iFinD）'!$B968:$Y968/'实盘净值数据(iFinD）'!$B$65:$Y$65)+SUMPRODUCT(分期持仓明细!$AC$24:$AD$24,'实盘净值数据(iFinD）'!$Z968:$AA968/'实盘净值数据(iFinD）'!$Z$65:$AA$65))*(1-实盘持仓初始配置!$Z$8)^(('实盘净值数据(iFinD）'!$A968-'实盘净值数据(iFinD）'!$A$5)/365))</f>
        <v/>
      </c>
      <c r="O968" s="16" t="str">
        <f t="shared" si="94"/>
        <v/>
      </c>
      <c r="P968" s="16" t="str">
        <f>IF(N968="","",N968/MAX(N$5:N968)-1)</f>
        <v/>
      </c>
      <c r="Q968" s="13" t="str">
        <f>IF(OR('实盘净值数据(iFinD）'!$A968="",'实盘净值数据(iFinD）'!$B968="",'实盘净值数据(iFinD）'!$Z968="",'实盘净值数据(iFinD）'!$AA968=""),"",分期持仓明细!$AB$25*(SUMPRODUCT(分期持仓明细!$B$25:$Y$25,'实盘净值数据(iFinD）'!$B968:$Y968/'实盘净值数据(iFinD）'!$B$65:$Y$65)+SUMPRODUCT(分期持仓明细!$AC$25:$AD$25,'实盘净值数据(iFinD）'!$Z968:$AA968/'实盘净值数据(iFinD）'!$Z$65:$AA$65))*(1-实盘持仓初始配置!$Z$9)^(('实盘净值数据(iFinD）'!$A968-'实盘净值数据(iFinD）'!$A$8)/365))</f>
        <v/>
      </c>
      <c r="R968" s="16" t="str">
        <f t="shared" si="95"/>
        <v/>
      </c>
      <c r="S968" s="16" t="str">
        <f>IF(Q968="","",Q968/MAX(Q$5:Q968)-1)</f>
        <v/>
      </c>
      <c r="T968" s="13">
        <f>IF(OR('实盘净值数据(iFinD）'!$A968="",'实盘净值数据(iFinD）'!$B968="",'实盘净值数据(iFinD）'!$Z968="",'实盘净值数据(iFinD）'!$AA968="",'实盘净值数据(iFinD）'!$AB968="",'实盘净值数据(iFinD）'!$AL968=""),"",(SUMPRODUCT(分期持仓明细!$B$26:$Y$26,'实盘净值数据(iFinD）'!$B968:$Y968/'实盘净值数据(iFinD）'!$B$69:$Y$69)+SUMPRODUCT(分期持仓明细!$AC$26:$AD$26,'实盘净值数据(iFinD）'!$Z968:$AA968/'实盘净值数据(iFinD）'!$Z$69:$AA$69)+SUMPRODUCT(分期持仓明细!$AE$26:$AO$26,'实盘净值数据(iFinD）'!$AB968:$AL968/'实盘净值数据(iFinD）'!$AB$69:$AL$69))*(1-实盘持仓初始配置!$Z$10)^(('实盘净值数据(iFinD）'!$A968-'实盘净值数据(iFinD）'!$A$69)/365))</f>
        <v/>
      </c>
      <c r="U968" s="16">
        <f>IF(OR(T967="",T968=""),"",T968/T967-1)</f>
        <v/>
      </c>
      <c r="V968" s="16">
        <f>IF(T968="","",T968/MAX(T$5:T968)-1)</f>
        <v/>
      </c>
    </row>
    <row r="969" spans="1:19">
      <c r="A969" s="15" t="str">
        <f>IF('实盘净值数据(iFinD）'!A969="","",'实盘净值数据(iFinD）'!A969)</f>
        <v/>
      </c>
      <c r="B969" s="13" t="str">
        <f>IF(OR('实盘净值数据(iFinD）'!$A969="",'实盘净值数据(iFinD）'!$B969=""),"",分期持仓明细!$AB$17*SUMPRODUCT(分期持仓明细!$B$17:$Y$17,'实盘净值数据(iFinD）'!$B969:$Y969/'实盘净值数据(iFinD）'!$B$20:$Y$20)*(1-实盘持仓初始配置!$Z$4)^(('实盘净值数据(iFinD）'!$A969-'实盘净值数据(iFinD）'!$A$6)/365))</f>
        <v/>
      </c>
      <c r="C969" s="16" t="str">
        <f t="shared" si="90"/>
        <v/>
      </c>
      <c r="D969" s="16" t="str">
        <f>IF(B969="","",B969/MAX(B$5:B969)-1)</f>
        <v/>
      </c>
      <c r="E969" s="13" t="str">
        <f>IF(OR('实盘净值数据(iFinD）'!$A969="",'实盘净值数据(iFinD）'!$B969=""),"",分期持仓明细!$AB$18*SUMPRODUCT(分期持仓明细!$B$18:$Y$18,'实盘净值数据(iFinD）'!$B969:$Y969/'实盘净值数据(iFinD）'!$B$20:$Y$20)*(1-实盘持仓初始配置!$Z$5)^(('实盘净值数据(iFinD）'!$A969-'实盘净值数据(iFinD）'!$A$5)/365))</f>
        <v/>
      </c>
      <c r="F969" s="16" t="str">
        <f t="shared" si="91"/>
        <v/>
      </c>
      <c r="G969" s="16" t="str">
        <f>IF(E969="","",E969/MAX(E$5:E969)-1)</f>
        <v/>
      </c>
      <c r="H969" s="13" t="str">
        <f>IF(OR('实盘净值数据(iFinD）'!$A969="",'实盘净值数据(iFinD）'!$B969=""),"",分期持仓明细!$AB$19*SUMPRODUCT(分期持仓明细!$B$19:$Y$19,'实盘净值数据(iFinD）'!$B969:$Y969/'实盘净值数据(iFinD）'!$B$20:$Y$20)*(1-实盘持仓初始配置!$Z$6)^(('实盘净值数据(iFinD）'!$A969-'实盘净值数据(iFinD）'!$A$7)/365))</f>
        <v/>
      </c>
      <c r="I969" s="16" t="str">
        <f t="shared" si="92"/>
        <v/>
      </c>
      <c r="J969" s="16" t="str">
        <f>IF(H969="","",H969/MAX(H$5:H969)-1)</f>
        <v/>
      </c>
      <c r="K969" s="13" t="str">
        <f>IF(OR('实盘净值数据(iFinD）'!$A969="",'实盘净值数据(iFinD）'!$B969="",'实盘净值数据(iFinD）'!$Z969="",'实盘净值数据(iFinD）'!$AA969=""),"",分期持仓明细!$AB$23*(SUMPRODUCT(分期持仓明细!$B$23:$Y$23,'实盘净值数据(iFinD）'!$B969:$Y969/'实盘净值数据(iFinD）'!$B$65:$Y$65)+SUMPRODUCT(分期持仓明细!$AC$23:$AD$23,'实盘净值数据(iFinD）'!$Z969:$AA969/'实盘净值数据(iFinD）'!$Z$65:$AA$65))*(1-实盘持仓初始配置!$Z$7)^(('实盘净值数据(iFinD）'!$A969-'实盘净值数据(iFinD）'!$A$8)/365))</f>
        <v/>
      </c>
      <c r="L969" s="16" t="str">
        <f t="shared" si="93"/>
        <v/>
      </c>
      <c r="M969" s="16" t="str">
        <f>IF(K969="","",K969/MAX(K$5:K969)-1)</f>
        <v/>
      </c>
      <c r="N969" s="13" t="str">
        <f>IF(OR('实盘净值数据(iFinD）'!$A969="",'实盘净值数据(iFinD）'!$B969="",'实盘净值数据(iFinD）'!$Z969="",'实盘净值数据(iFinD）'!$AA969=""),"",分期持仓明细!$AB$24*(SUMPRODUCT(分期持仓明细!$B$24:$Y$24,'实盘净值数据(iFinD）'!$B969:$Y969/'实盘净值数据(iFinD）'!$B$65:$Y$65)+SUMPRODUCT(分期持仓明细!$AC$24:$AD$24,'实盘净值数据(iFinD）'!$Z969:$AA969/'实盘净值数据(iFinD）'!$Z$65:$AA$65))*(1-实盘持仓初始配置!$Z$8)^(('实盘净值数据(iFinD）'!$A969-'实盘净值数据(iFinD）'!$A$5)/365))</f>
        <v/>
      </c>
      <c r="O969" s="16" t="str">
        <f t="shared" si="94"/>
        <v/>
      </c>
      <c r="P969" s="16" t="str">
        <f>IF(N969="","",N969/MAX(N$5:N969)-1)</f>
        <v/>
      </c>
      <c r="Q969" s="13" t="str">
        <f>IF(OR('实盘净值数据(iFinD）'!$A969="",'实盘净值数据(iFinD）'!$B969="",'实盘净值数据(iFinD）'!$Z969="",'实盘净值数据(iFinD）'!$AA969=""),"",分期持仓明细!$AB$25*(SUMPRODUCT(分期持仓明细!$B$25:$Y$25,'实盘净值数据(iFinD）'!$B969:$Y969/'实盘净值数据(iFinD）'!$B$65:$Y$65)+SUMPRODUCT(分期持仓明细!$AC$25:$AD$25,'实盘净值数据(iFinD）'!$Z969:$AA969/'实盘净值数据(iFinD）'!$Z$65:$AA$65))*(1-实盘持仓初始配置!$Z$9)^(('实盘净值数据(iFinD）'!$A969-'实盘净值数据(iFinD）'!$A$8)/365))</f>
        <v/>
      </c>
      <c r="R969" s="16" t="str">
        <f t="shared" si="95"/>
        <v/>
      </c>
      <c r="S969" s="16" t="str">
        <f>IF(Q969="","",Q969/MAX(Q$5:Q969)-1)</f>
        <v/>
      </c>
      <c r="T969" s="13">
        <f>IF(OR('实盘净值数据(iFinD）'!$A969="",'实盘净值数据(iFinD）'!$B969="",'实盘净值数据(iFinD）'!$Z969="",'实盘净值数据(iFinD）'!$AA969="",'实盘净值数据(iFinD）'!$AB969="",'实盘净值数据(iFinD）'!$AL969=""),"",(SUMPRODUCT(分期持仓明细!$B$26:$Y$26,'实盘净值数据(iFinD）'!$B969:$Y969/'实盘净值数据(iFinD）'!$B$69:$Y$69)+SUMPRODUCT(分期持仓明细!$AC$26:$AD$26,'实盘净值数据(iFinD）'!$Z969:$AA969/'实盘净值数据(iFinD）'!$Z$69:$AA$69)+SUMPRODUCT(分期持仓明细!$AE$26:$AO$26,'实盘净值数据(iFinD）'!$AB969:$AL969/'实盘净值数据(iFinD）'!$AB$69:$AL$69))*(1-实盘持仓初始配置!$Z$10)^(('实盘净值数据(iFinD）'!$A969-'实盘净值数据(iFinD）'!$A$69)/365))</f>
        <v/>
      </c>
      <c r="U969" s="16">
        <f>IF(OR(T968="",T969=""),"",T969/T968-1)</f>
        <v/>
      </c>
      <c r="V969" s="16">
        <f>IF(T969="","",T969/MAX(T$5:T969)-1)</f>
        <v/>
      </c>
    </row>
    <row r="970" spans="1:19">
      <c r="A970" s="15" t="str">
        <f>IF('实盘净值数据(iFinD）'!A970="","",'实盘净值数据(iFinD）'!A970)</f>
        <v/>
      </c>
      <c r="B970" s="13" t="str">
        <f>IF(OR('实盘净值数据(iFinD）'!$A970="",'实盘净值数据(iFinD）'!$B970=""),"",分期持仓明细!$AB$17*SUMPRODUCT(分期持仓明细!$B$17:$Y$17,'实盘净值数据(iFinD）'!$B970:$Y970/'实盘净值数据(iFinD）'!$B$20:$Y$20)*(1-实盘持仓初始配置!$Z$4)^(('实盘净值数据(iFinD）'!$A970-'实盘净值数据(iFinD）'!$A$6)/365))</f>
        <v/>
      </c>
      <c r="C970" s="16" t="str">
        <f t="shared" si="90"/>
        <v/>
      </c>
      <c r="D970" s="16" t="str">
        <f>IF(B970="","",B970/MAX(B$5:B970)-1)</f>
        <v/>
      </c>
      <c r="E970" s="13" t="str">
        <f>IF(OR('实盘净值数据(iFinD）'!$A970="",'实盘净值数据(iFinD）'!$B970=""),"",分期持仓明细!$AB$18*SUMPRODUCT(分期持仓明细!$B$18:$Y$18,'实盘净值数据(iFinD）'!$B970:$Y970/'实盘净值数据(iFinD）'!$B$20:$Y$20)*(1-实盘持仓初始配置!$Z$5)^(('实盘净值数据(iFinD）'!$A970-'实盘净值数据(iFinD）'!$A$5)/365))</f>
        <v/>
      </c>
      <c r="F970" s="16" t="str">
        <f t="shared" si="91"/>
        <v/>
      </c>
      <c r="G970" s="16" t="str">
        <f>IF(E970="","",E970/MAX(E$5:E970)-1)</f>
        <v/>
      </c>
      <c r="H970" s="13" t="str">
        <f>IF(OR('实盘净值数据(iFinD）'!$A970="",'实盘净值数据(iFinD）'!$B970=""),"",分期持仓明细!$AB$19*SUMPRODUCT(分期持仓明细!$B$19:$Y$19,'实盘净值数据(iFinD）'!$B970:$Y970/'实盘净值数据(iFinD）'!$B$20:$Y$20)*(1-实盘持仓初始配置!$Z$6)^(('实盘净值数据(iFinD）'!$A970-'实盘净值数据(iFinD）'!$A$7)/365))</f>
        <v/>
      </c>
      <c r="I970" s="16" t="str">
        <f t="shared" si="92"/>
        <v/>
      </c>
      <c r="J970" s="16" t="str">
        <f>IF(H970="","",H970/MAX(H$5:H970)-1)</f>
        <v/>
      </c>
      <c r="K970" s="13" t="str">
        <f>IF(OR('实盘净值数据(iFinD）'!$A970="",'实盘净值数据(iFinD）'!$B970="",'实盘净值数据(iFinD）'!$Z970="",'实盘净值数据(iFinD）'!$AA970=""),"",分期持仓明细!$AB$23*(SUMPRODUCT(分期持仓明细!$B$23:$Y$23,'实盘净值数据(iFinD）'!$B970:$Y970/'实盘净值数据(iFinD）'!$B$65:$Y$65)+SUMPRODUCT(分期持仓明细!$AC$23:$AD$23,'实盘净值数据(iFinD）'!$Z970:$AA970/'实盘净值数据(iFinD）'!$Z$65:$AA$65))*(1-实盘持仓初始配置!$Z$7)^(('实盘净值数据(iFinD）'!$A970-'实盘净值数据(iFinD）'!$A$8)/365))</f>
        <v/>
      </c>
      <c r="L970" s="16" t="str">
        <f t="shared" si="93"/>
        <v/>
      </c>
      <c r="M970" s="16" t="str">
        <f>IF(K970="","",K970/MAX(K$5:K970)-1)</f>
        <v/>
      </c>
      <c r="N970" s="13" t="str">
        <f>IF(OR('实盘净值数据(iFinD）'!$A970="",'实盘净值数据(iFinD）'!$B970="",'实盘净值数据(iFinD）'!$Z970="",'实盘净值数据(iFinD）'!$AA970=""),"",分期持仓明细!$AB$24*(SUMPRODUCT(分期持仓明细!$B$24:$Y$24,'实盘净值数据(iFinD）'!$B970:$Y970/'实盘净值数据(iFinD）'!$B$65:$Y$65)+SUMPRODUCT(分期持仓明细!$AC$24:$AD$24,'实盘净值数据(iFinD）'!$Z970:$AA970/'实盘净值数据(iFinD）'!$Z$65:$AA$65))*(1-实盘持仓初始配置!$Z$8)^(('实盘净值数据(iFinD）'!$A970-'实盘净值数据(iFinD）'!$A$5)/365))</f>
        <v/>
      </c>
      <c r="O970" s="16" t="str">
        <f t="shared" si="94"/>
        <v/>
      </c>
      <c r="P970" s="16" t="str">
        <f>IF(N970="","",N970/MAX(N$5:N970)-1)</f>
        <v/>
      </c>
      <c r="Q970" s="13" t="str">
        <f>IF(OR('实盘净值数据(iFinD）'!$A970="",'实盘净值数据(iFinD）'!$B970="",'实盘净值数据(iFinD）'!$Z970="",'实盘净值数据(iFinD）'!$AA970=""),"",分期持仓明细!$AB$25*(SUMPRODUCT(分期持仓明细!$B$25:$Y$25,'实盘净值数据(iFinD）'!$B970:$Y970/'实盘净值数据(iFinD）'!$B$65:$Y$65)+SUMPRODUCT(分期持仓明细!$AC$25:$AD$25,'实盘净值数据(iFinD）'!$Z970:$AA970/'实盘净值数据(iFinD）'!$Z$65:$AA$65))*(1-实盘持仓初始配置!$Z$9)^(('实盘净值数据(iFinD）'!$A970-'实盘净值数据(iFinD）'!$A$8)/365))</f>
        <v/>
      </c>
      <c r="R970" s="16" t="str">
        <f t="shared" si="95"/>
        <v/>
      </c>
      <c r="S970" s="16" t="str">
        <f>IF(Q970="","",Q970/MAX(Q$5:Q970)-1)</f>
        <v/>
      </c>
      <c r="T970" s="13">
        <f>IF(OR('实盘净值数据(iFinD）'!$A970="",'实盘净值数据(iFinD）'!$B970="",'实盘净值数据(iFinD）'!$Z970="",'实盘净值数据(iFinD）'!$AA970="",'实盘净值数据(iFinD）'!$AB970="",'实盘净值数据(iFinD）'!$AL970=""),"",(SUMPRODUCT(分期持仓明细!$B$26:$Y$26,'实盘净值数据(iFinD）'!$B970:$Y970/'实盘净值数据(iFinD）'!$B$69:$Y$69)+SUMPRODUCT(分期持仓明细!$AC$26:$AD$26,'实盘净值数据(iFinD）'!$Z970:$AA970/'实盘净值数据(iFinD）'!$Z$69:$AA$69)+SUMPRODUCT(分期持仓明细!$AE$26:$AO$26,'实盘净值数据(iFinD）'!$AB970:$AL970/'实盘净值数据(iFinD）'!$AB$69:$AL$69))*(1-实盘持仓初始配置!$Z$10)^(('实盘净值数据(iFinD）'!$A970-'实盘净值数据(iFinD）'!$A$69)/365))</f>
        <v/>
      </c>
      <c r="U970" s="16">
        <f>IF(OR(T969="",T970=""),"",T970/T969-1)</f>
        <v/>
      </c>
      <c r="V970" s="16">
        <f>IF(T970="","",T970/MAX(T$5:T970)-1)</f>
        <v/>
      </c>
    </row>
    <row r="971" spans="1:19">
      <c r="A971" s="15" t="str">
        <f>IF('实盘净值数据(iFinD）'!A971="","",'实盘净值数据(iFinD）'!A971)</f>
        <v/>
      </c>
      <c r="B971" s="13" t="str">
        <f>IF(OR('实盘净值数据(iFinD）'!$A971="",'实盘净值数据(iFinD）'!$B971=""),"",分期持仓明细!$AB$17*SUMPRODUCT(分期持仓明细!$B$17:$Y$17,'实盘净值数据(iFinD）'!$B971:$Y971/'实盘净值数据(iFinD）'!$B$20:$Y$20)*(1-实盘持仓初始配置!$Z$4)^(('实盘净值数据(iFinD）'!$A971-'实盘净值数据(iFinD）'!$A$6)/365))</f>
        <v/>
      </c>
      <c r="C971" s="16" t="str">
        <f t="shared" si="90"/>
        <v/>
      </c>
      <c r="D971" s="16" t="str">
        <f>IF(B971="","",B971/MAX(B$5:B971)-1)</f>
        <v/>
      </c>
      <c r="E971" s="13" t="str">
        <f>IF(OR('实盘净值数据(iFinD）'!$A971="",'实盘净值数据(iFinD）'!$B971=""),"",分期持仓明细!$AB$18*SUMPRODUCT(分期持仓明细!$B$18:$Y$18,'实盘净值数据(iFinD）'!$B971:$Y971/'实盘净值数据(iFinD）'!$B$20:$Y$20)*(1-实盘持仓初始配置!$Z$5)^(('实盘净值数据(iFinD）'!$A971-'实盘净值数据(iFinD）'!$A$5)/365))</f>
        <v/>
      </c>
      <c r="F971" s="16" t="str">
        <f t="shared" si="91"/>
        <v/>
      </c>
      <c r="G971" s="16" t="str">
        <f>IF(E971="","",E971/MAX(E$5:E971)-1)</f>
        <v/>
      </c>
      <c r="H971" s="13" t="str">
        <f>IF(OR('实盘净值数据(iFinD）'!$A971="",'实盘净值数据(iFinD）'!$B971=""),"",分期持仓明细!$AB$19*SUMPRODUCT(分期持仓明细!$B$19:$Y$19,'实盘净值数据(iFinD）'!$B971:$Y971/'实盘净值数据(iFinD）'!$B$20:$Y$20)*(1-实盘持仓初始配置!$Z$6)^(('实盘净值数据(iFinD）'!$A971-'实盘净值数据(iFinD）'!$A$7)/365))</f>
        <v/>
      </c>
      <c r="I971" s="16" t="str">
        <f t="shared" si="92"/>
        <v/>
      </c>
      <c r="J971" s="16" t="str">
        <f>IF(H971="","",H971/MAX(H$5:H971)-1)</f>
        <v/>
      </c>
      <c r="K971" s="13" t="str">
        <f>IF(OR('实盘净值数据(iFinD）'!$A971="",'实盘净值数据(iFinD）'!$B971="",'实盘净值数据(iFinD）'!$Z971="",'实盘净值数据(iFinD）'!$AA971=""),"",分期持仓明细!$AB$23*(SUMPRODUCT(分期持仓明细!$B$23:$Y$23,'实盘净值数据(iFinD）'!$B971:$Y971/'实盘净值数据(iFinD）'!$B$65:$Y$65)+SUMPRODUCT(分期持仓明细!$AC$23:$AD$23,'实盘净值数据(iFinD）'!$Z971:$AA971/'实盘净值数据(iFinD）'!$Z$65:$AA$65))*(1-实盘持仓初始配置!$Z$7)^(('实盘净值数据(iFinD）'!$A971-'实盘净值数据(iFinD）'!$A$8)/365))</f>
        <v/>
      </c>
      <c r="L971" s="16" t="str">
        <f t="shared" si="93"/>
        <v/>
      </c>
      <c r="M971" s="16" t="str">
        <f>IF(K971="","",K971/MAX(K$5:K971)-1)</f>
        <v/>
      </c>
      <c r="N971" s="13" t="str">
        <f>IF(OR('实盘净值数据(iFinD）'!$A971="",'实盘净值数据(iFinD）'!$B971="",'实盘净值数据(iFinD）'!$Z971="",'实盘净值数据(iFinD）'!$AA971=""),"",分期持仓明细!$AB$24*(SUMPRODUCT(分期持仓明细!$B$24:$Y$24,'实盘净值数据(iFinD）'!$B971:$Y971/'实盘净值数据(iFinD）'!$B$65:$Y$65)+SUMPRODUCT(分期持仓明细!$AC$24:$AD$24,'实盘净值数据(iFinD）'!$Z971:$AA971/'实盘净值数据(iFinD）'!$Z$65:$AA$65))*(1-实盘持仓初始配置!$Z$8)^(('实盘净值数据(iFinD）'!$A971-'实盘净值数据(iFinD）'!$A$5)/365))</f>
        <v/>
      </c>
      <c r="O971" s="16" t="str">
        <f t="shared" si="94"/>
        <v/>
      </c>
      <c r="P971" s="16" t="str">
        <f>IF(N971="","",N971/MAX(N$5:N971)-1)</f>
        <v/>
      </c>
      <c r="Q971" s="13" t="str">
        <f>IF(OR('实盘净值数据(iFinD）'!$A971="",'实盘净值数据(iFinD）'!$B971="",'实盘净值数据(iFinD）'!$Z971="",'实盘净值数据(iFinD）'!$AA971=""),"",分期持仓明细!$AB$25*(SUMPRODUCT(分期持仓明细!$B$25:$Y$25,'实盘净值数据(iFinD）'!$B971:$Y971/'实盘净值数据(iFinD）'!$B$65:$Y$65)+SUMPRODUCT(分期持仓明细!$AC$25:$AD$25,'实盘净值数据(iFinD）'!$Z971:$AA971/'实盘净值数据(iFinD）'!$Z$65:$AA$65))*(1-实盘持仓初始配置!$Z$9)^(('实盘净值数据(iFinD）'!$A971-'实盘净值数据(iFinD）'!$A$8)/365))</f>
        <v/>
      </c>
      <c r="R971" s="16" t="str">
        <f t="shared" si="95"/>
        <v/>
      </c>
      <c r="S971" s="16" t="str">
        <f>IF(Q971="","",Q971/MAX(Q$5:Q971)-1)</f>
        <v/>
      </c>
      <c r="T971" s="13">
        <f>IF(OR('实盘净值数据(iFinD）'!$A971="",'实盘净值数据(iFinD）'!$B971="",'实盘净值数据(iFinD）'!$Z971="",'实盘净值数据(iFinD）'!$AA971="",'实盘净值数据(iFinD）'!$AB971="",'实盘净值数据(iFinD）'!$AL971=""),"",(SUMPRODUCT(分期持仓明细!$B$26:$Y$26,'实盘净值数据(iFinD）'!$B971:$Y971/'实盘净值数据(iFinD）'!$B$69:$Y$69)+SUMPRODUCT(分期持仓明细!$AC$26:$AD$26,'实盘净值数据(iFinD）'!$Z971:$AA971/'实盘净值数据(iFinD）'!$Z$69:$AA$69)+SUMPRODUCT(分期持仓明细!$AE$26:$AO$26,'实盘净值数据(iFinD）'!$AB971:$AL971/'实盘净值数据(iFinD）'!$AB$69:$AL$69))*(1-实盘持仓初始配置!$Z$10)^(('实盘净值数据(iFinD）'!$A971-'实盘净值数据(iFinD）'!$A$69)/365))</f>
        <v/>
      </c>
      <c r="U971" s="16">
        <f>IF(OR(T970="",T971=""),"",T971/T970-1)</f>
        <v/>
      </c>
      <c r="V971" s="16">
        <f>IF(T971="","",T971/MAX(T$5:T971)-1)</f>
        <v/>
      </c>
    </row>
    <row r="972" spans="1:19">
      <c r="A972" s="15" t="str">
        <f>IF('实盘净值数据(iFinD）'!A972="","",'实盘净值数据(iFinD）'!A972)</f>
        <v/>
      </c>
      <c r="B972" s="13" t="str">
        <f>IF(OR('实盘净值数据(iFinD）'!$A972="",'实盘净值数据(iFinD）'!$B972=""),"",分期持仓明细!$AB$17*SUMPRODUCT(分期持仓明细!$B$17:$Y$17,'实盘净值数据(iFinD）'!$B972:$Y972/'实盘净值数据(iFinD）'!$B$20:$Y$20)*(1-实盘持仓初始配置!$Z$4)^(('实盘净值数据(iFinD）'!$A972-'实盘净值数据(iFinD）'!$A$6)/365))</f>
        <v/>
      </c>
      <c r="C972" s="16" t="str">
        <f t="shared" si="90"/>
        <v/>
      </c>
      <c r="D972" s="16" t="str">
        <f>IF(B972="","",B972/MAX(B$5:B972)-1)</f>
        <v/>
      </c>
      <c r="E972" s="13" t="str">
        <f>IF(OR('实盘净值数据(iFinD）'!$A972="",'实盘净值数据(iFinD）'!$B972=""),"",分期持仓明细!$AB$18*SUMPRODUCT(分期持仓明细!$B$18:$Y$18,'实盘净值数据(iFinD）'!$B972:$Y972/'实盘净值数据(iFinD）'!$B$20:$Y$20)*(1-实盘持仓初始配置!$Z$5)^(('实盘净值数据(iFinD）'!$A972-'实盘净值数据(iFinD）'!$A$5)/365))</f>
        <v/>
      </c>
      <c r="F972" s="16" t="str">
        <f t="shared" si="91"/>
        <v/>
      </c>
      <c r="G972" s="16" t="str">
        <f>IF(E972="","",E972/MAX(E$5:E972)-1)</f>
        <v/>
      </c>
      <c r="H972" s="13" t="str">
        <f>IF(OR('实盘净值数据(iFinD）'!$A972="",'实盘净值数据(iFinD）'!$B972=""),"",分期持仓明细!$AB$19*SUMPRODUCT(分期持仓明细!$B$19:$Y$19,'实盘净值数据(iFinD）'!$B972:$Y972/'实盘净值数据(iFinD）'!$B$20:$Y$20)*(1-实盘持仓初始配置!$Z$6)^(('实盘净值数据(iFinD）'!$A972-'实盘净值数据(iFinD）'!$A$7)/365))</f>
        <v/>
      </c>
      <c r="I972" s="16" t="str">
        <f t="shared" si="92"/>
        <v/>
      </c>
      <c r="J972" s="16" t="str">
        <f>IF(H972="","",H972/MAX(H$5:H972)-1)</f>
        <v/>
      </c>
      <c r="K972" s="13" t="str">
        <f>IF(OR('实盘净值数据(iFinD）'!$A972="",'实盘净值数据(iFinD）'!$B972="",'实盘净值数据(iFinD）'!$Z972="",'实盘净值数据(iFinD）'!$AA972=""),"",分期持仓明细!$AB$23*(SUMPRODUCT(分期持仓明细!$B$23:$Y$23,'实盘净值数据(iFinD）'!$B972:$Y972/'实盘净值数据(iFinD）'!$B$65:$Y$65)+SUMPRODUCT(分期持仓明细!$AC$23:$AD$23,'实盘净值数据(iFinD）'!$Z972:$AA972/'实盘净值数据(iFinD）'!$Z$65:$AA$65))*(1-实盘持仓初始配置!$Z$7)^(('实盘净值数据(iFinD）'!$A972-'实盘净值数据(iFinD）'!$A$8)/365))</f>
        <v/>
      </c>
      <c r="L972" s="16" t="str">
        <f t="shared" si="93"/>
        <v/>
      </c>
      <c r="M972" s="16" t="str">
        <f>IF(K972="","",K972/MAX(K$5:K972)-1)</f>
        <v/>
      </c>
      <c r="N972" s="13" t="str">
        <f>IF(OR('实盘净值数据(iFinD）'!$A972="",'实盘净值数据(iFinD）'!$B972="",'实盘净值数据(iFinD）'!$Z972="",'实盘净值数据(iFinD）'!$AA972=""),"",分期持仓明细!$AB$24*(SUMPRODUCT(分期持仓明细!$B$24:$Y$24,'实盘净值数据(iFinD）'!$B972:$Y972/'实盘净值数据(iFinD）'!$B$65:$Y$65)+SUMPRODUCT(分期持仓明细!$AC$24:$AD$24,'实盘净值数据(iFinD）'!$Z972:$AA972/'实盘净值数据(iFinD）'!$Z$65:$AA$65))*(1-实盘持仓初始配置!$Z$8)^(('实盘净值数据(iFinD）'!$A972-'实盘净值数据(iFinD）'!$A$5)/365))</f>
        <v/>
      </c>
      <c r="O972" s="16" t="str">
        <f t="shared" si="94"/>
        <v/>
      </c>
      <c r="P972" s="16" t="str">
        <f>IF(N972="","",N972/MAX(N$5:N972)-1)</f>
        <v/>
      </c>
      <c r="Q972" s="13" t="str">
        <f>IF(OR('实盘净值数据(iFinD）'!$A972="",'实盘净值数据(iFinD）'!$B972="",'实盘净值数据(iFinD）'!$Z972="",'实盘净值数据(iFinD）'!$AA972=""),"",分期持仓明细!$AB$25*(SUMPRODUCT(分期持仓明细!$B$25:$Y$25,'实盘净值数据(iFinD）'!$B972:$Y972/'实盘净值数据(iFinD）'!$B$65:$Y$65)+SUMPRODUCT(分期持仓明细!$AC$25:$AD$25,'实盘净值数据(iFinD）'!$Z972:$AA972/'实盘净值数据(iFinD）'!$Z$65:$AA$65))*(1-实盘持仓初始配置!$Z$9)^(('实盘净值数据(iFinD）'!$A972-'实盘净值数据(iFinD）'!$A$8)/365))</f>
        <v/>
      </c>
      <c r="R972" s="16" t="str">
        <f t="shared" si="95"/>
        <v/>
      </c>
      <c r="S972" s="16" t="str">
        <f>IF(Q972="","",Q972/MAX(Q$5:Q972)-1)</f>
        <v/>
      </c>
      <c r="T972" s="13">
        <f>IF(OR('实盘净值数据(iFinD）'!$A972="",'实盘净值数据(iFinD）'!$B972="",'实盘净值数据(iFinD）'!$Z972="",'实盘净值数据(iFinD）'!$AA972="",'实盘净值数据(iFinD）'!$AB972="",'实盘净值数据(iFinD）'!$AL972=""),"",(SUMPRODUCT(分期持仓明细!$B$26:$Y$26,'实盘净值数据(iFinD）'!$B972:$Y972/'实盘净值数据(iFinD）'!$B$69:$Y$69)+SUMPRODUCT(分期持仓明细!$AC$26:$AD$26,'实盘净值数据(iFinD）'!$Z972:$AA972/'实盘净值数据(iFinD）'!$Z$69:$AA$69)+SUMPRODUCT(分期持仓明细!$AE$26:$AO$26,'实盘净值数据(iFinD）'!$AB972:$AL972/'实盘净值数据(iFinD）'!$AB$69:$AL$69))*(1-实盘持仓初始配置!$Z$10)^(('实盘净值数据(iFinD）'!$A972-'实盘净值数据(iFinD）'!$A$69)/365))</f>
        <v/>
      </c>
      <c r="U972" s="16">
        <f>IF(OR(T971="",T972=""),"",T972/T971-1)</f>
        <v/>
      </c>
      <c r="V972" s="16">
        <f>IF(T972="","",T972/MAX(T$5:T972)-1)</f>
        <v/>
      </c>
    </row>
    <row r="973" spans="1:19">
      <c r="A973" s="15" t="str">
        <f>IF('实盘净值数据(iFinD）'!A973="","",'实盘净值数据(iFinD）'!A973)</f>
        <v/>
      </c>
      <c r="B973" s="13" t="str">
        <f>IF(OR('实盘净值数据(iFinD）'!$A973="",'实盘净值数据(iFinD）'!$B973=""),"",分期持仓明细!$AB$17*SUMPRODUCT(分期持仓明细!$B$17:$Y$17,'实盘净值数据(iFinD）'!$B973:$Y973/'实盘净值数据(iFinD）'!$B$20:$Y$20)*(1-实盘持仓初始配置!$Z$4)^(('实盘净值数据(iFinD）'!$A973-'实盘净值数据(iFinD）'!$A$6)/365))</f>
        <v/>
      </c>
      <c r="C973" s="16" t="str">
        <f t="shared" si="90"/>
        <v/>
      </c>
      <c r="D973" s="16" t="str">
        <f>IF(B973="","",B973/MAX(B$5:B973)-1)</f>
        <v/>
      </c>
      <c r="E973" s="13" t="str">
        <f>IF(OR('实盘净值数据(iFinD）'!$A973="",'实盘净值数据(iFinD）'!$B973=""),"",分期持仓明细!$AB$18*SUMPRODUCT(分期持仓明细!$B$18:$Y$18,'实盘净值数据(iFinD）'!$B973:$Y973/'实盘净值数据(iFinD）'!$B$20:$Y$20)*(1-实盘持仓初始配置!$Z$5)^(('实盘净值数据(iFinD）'!$A973-'实盘净值数据(iFinD）'!$A$5)/365))</f>
        <v/>
      </c>
      <c r="F973" s="16" t="str">
        <f t="shared" si="91"/>
        <v/>
      </c>
      <c r="G973" s="16" t="str">
        <f>IF(E973="","",E973/MAX(E$5:E973)-1)</f>
        <v/>
      </c>
      <c r="H973" s="13" t="str">
        <f>IF(OR('实盘净值数据(iFinD）'!$A973="",'实盘净值数据(iFinD）'!$B973=""),"",分期持仓明细!$AB$19*SUMPRODUCT(分期持仓明细!$B$19:$Y$19,'实盘净值数据(iFinD）'!$B973:$Y973/'实盘净值数据(iFinD）'!$B$20:$Y$20)*(1-实盘持仓初始配置!$Z$6)^(('实盘净值数据(iFinD）'!$A973-'实盘净值数据(iFinD）'!$A$7)/365))</f>
        <v/>
      </c>
      <c r="I973" s="16" t="str">
        <f t="shared" si="92"/>
        <v/>
      </c>
      <c r="J973" s="16" t="str">
        <f>IF(H973="","",H973/MAX(H$5:H973)-1)</f>
        <v/>
      </c>
      <c r="K973" s="13" t="str">
        <f>IF(OR('实盘净值数据(iFinD）'!$A973="",'实盘净值数据(iFinD）'!$B973="",'实盘净值数据(iFinD）'!$Z973="",'实盘净值数据(iFinD）'!$AA973=""),"",分期持仓明细!$AB$23*(SUMPRODUCT(分期持仓明细!$B$23:$Y$23,'实盘净值数据(iFinD）'!$B973:$Y973/'实盘净值数据(iFinD）'!$B$65:$Y$65)+SUMPRODUCT(分期持仓明细!$AC$23:$AD$23,'实盘净值数据(iFinD）'!$Z973:$AA973/'实盘净值数据(iFinD）'!$Z$65:$AA$65))*(1-实盘持仓初始配置!$Z$7)^(('实盘净值数据(iFinD）'!$A973-'实盘净值数据(iFinD）'!$A$8)/365))</f>
        <v/>
      </c>
      <c r="L973" s="16" t="str">
        <f t="shared" si="93"/>
        <v/>
      </c>
      <c r="M973" s="16" t="str">
        <f>IF(K973="","",K973/MAX(K$5:K973)-1)</f>
        <v/>
      </c>
      <c r="N973" s="13" t="str">
        <f>IF(OR('实盘净值数据(iFinD）'!$A973="",'实盘净值数据(iFinD）'!$B973="",'实盘净值数据(iFinD）'!$Z973="",'实盘净值数据(iFinD）'!$AA973=""),"",分期持仓明细!$AB$24*(SUMPRODUCT(分期持仓明细!$B$24:$Y$24,'实盘净值数据(iFinD）'!$B973:$Y973/'实盘净值数据(iFinD）'!$B$65:$Y$65)+SUMPRODUCT(分期持仓明细!$AC$24:$AD$24,'实盘净值数据(iFinD）'!$Z973:$AA973/'实盘净值数据(iFinD）'!$Z$65:$AA$65))*(1-实盘持仓初始配置!$Z$8)^(('实盘净值数据(iFinD）'!$A973-'实盘净值数据(iFinD）'!$A$5)/365))</f>
        <v/>
      </c>
      <c r="O973" s="16" t="str">
        <f t="shared" si="94"/>
        <v/>
      </c>
      <c r="P973" s="16" t="str">
        <f>IF(N973="","",N973/MAX(N$5:N973)-1)</f>
        <v/>
      </c>
      <c r="Q973" s="13" t="str">
        <f>IF(OR('实盘净值数据(iFinD）'!$A973="",'实盘净值数据(iFinD）'!$B973="",'实盘净值数据(iFinD）'!$Z973="",'实盘净值数据(iFinD）'!$AA973=""),"",分期持仓明细!$AB$25*(SUMPRODUCT(分期持仓明细!$B$25:$Y$25,'实盘净值数据(iFinD）'!$B973:$Y973/'实盘净值数据(iFinD）'!$B$65:$Y$65)+SUMPRODUCT(分期持仓明细!$AC$25:$AD$25,'实盘净值数据(iFinD）'!$Z973:$AA973/'实盘净值数据(iFinD）'!$Z$65:$AA$65))*(1-实盘持仓初始配置!$Z$9)^(('实盘净值数据(iFinD）'!$A973-'实盘净值数据(iFinD）'!$A$8)/365))</f>
        <v/>
      </c>
      <c r="R973" s="16" t="str">
        <f t="shared" si="95"/>
        <v/>
      </c>
      <c r="S973" s="16" t="str">
        <f>IF(Q973="","",Q973/MAX(Q$5:Q973)-1)</f>
        <v/>
      </c>
      <c r="T973" s="13">
        <f>IF(OR('实盘净值数据(iFinD）'!$A973="",'实盘净值数据(iFinD）'!$B973="",'实盘净值数据(iFinD）'!$Z973="",'实盘净值数据(iFinD）'!$AA973="",'实盘净值数据(iFinD）'!$AB973="",'实盘净值数据(iFinD）'!$AL973=""),"",(SUMPRODUCT(分期持仓明细!$B$26:$Y$26,'实盘净值数据(iFinD）'!$B973:$Y973/'实盘净值数据(iFinD）'!$B$69:$Y$69)+SUMPRODUCT(分期持仓明细!$AC$26:$AD$26,'实盘净值数据(iFinD）'!$Z973:$AA973/'实盘净值数据(iFinD）'!$Z$69:$AA$69)+SUMPRODUCT(分期持仓明细!$AE$26:$AO$26,'实盘净值数据(iFinD）'!$AB973:$AL973/'实盘净值数据(iFinD）'!$AB$69:$AL$69))*(1-实盘持仓初始配置!$Z$10)^(('实盘净值数据(iFinD）'!$A973-'实盘净值数据(iFinD）'!$A$69)/365))</f>
        <v/>
      </c>
      <c r="U973" s="16">
        <f>IF(OR(T972="",T973=""),"",T973/T972-1)</f>
        <v/>
      </c>
      <c r="V973" s="16">
        <f>IF(T973="","",T973/MAX(T$5:T973)-1)</f>
        <v/>
      </c>
    </row>
    <row r="974" spans="1:19">
      <c r="A974" s="15" t="str">
        <f>IF('实盘净值数据(iFinD）'!A974="","",'实盘净值数据(iFinD）'!A974)</f>
        <v/>
      </c>
      <c r="B974" s="13" t="str">
        <f>IF(OR('实盘净值数据(iFinD）'!$A974="",'实盘净值数据(iFinD）'!$B974=""),"",分期持仓明细!$AB$17*SUMPRODUCT(分期持仓明细!$B$17:$Y$17,'实盘净值数据(iFinD）'!$B974:$Y974/'实盘净值数据(iFinD）'!$B$20:$Y$20)*(1-实盘持仓初始配置!$Z$4)^(('实盘净值数据(iFinD）'!$A974-'实盘净值数据(iFinD）'!$A$6)/365))</f>
        <v/>
      </c>
      <c r="C974" s="16" t="str">
        <f t="shared" si="90"/>
        <v/>
      </c>
      <c r="D974" s="16" t="str">
        <f>IF(B974="","",B974/MAX(B$5:B974)-1)</f>
        <v/>
      </c>
      <c r="E974" s="13" t="str">
        <f>IF(OR('实盘净值数据(iFinD）'!$A974="",'实盘净值数据(iFinD）'!$B974=""),"",分期持仓明细!$AB$18*SUMPRODUCT(分期持仓明细!$B$18:$Y$18,'实盘净值数据(iFinD）'!$B974:$Y974/'实盘净值数据(iFinD）'!$B$20:$Y$20)*(1-实盘持仓初始配置!$Z$5)^(('实盘净值数据(iFinD）'!$A974-'实盘净值数据(iFinD）'!$A$5)/365))</f>
        <v/>
      </c>
      <c r="F974" s="16" t="str">
        <f t="shared" si="91"/>
        <v/>
      </c>
      <c r="G974" s="16" t="str">
        <f>IF(E974="","",E974/MAX(E$5:E974)-1)</f>
        <v/>
      </c>
      <c r="H974" s="13" t="str">
        <f>IF(OR('实盘净值数据(iFinD）'!$A974="",'实盘净值数据(iFinD）'!$B974=""),"",分期持仓明细!$AB$19*SUMPRODUCT(分期持仓明细!$B$19:$Y$19,'实盘净值数据(iFinD）'!$B974:$Y974/'实盘净值数据(iFinD）'!$B$20:$Y$20)*(1-实盘持仓初始配置!$Z$6)^(('实盘净值数据(iFinD）'!$A974-'实盘净值数据(iFinD）'!$A$7)/365))</f>
        <v/>
      </c>
      <c r="I974" s="16" t="str">
        <f t="shared" si="92"/>
        <v/>
      </c>
      <c r="J974" s="16" t="str">
        <f>IF(H974="","",H974/MAX(H$5:H974)-1)</f>
        <v/>
      </c>
      <c r="K974" s="13" t="str">
        <f>IF(OR('实盘净值数据(iFinD）'!$A974="",'实盘净值数据(iFinD）'!$B974="",'实盘净值数据(iFinD）'!$Z974="",'实盘净值数据(iFinD）'!$AA974=""),"",分期持仓明细!$AB$23*(SUMPRODUCT(分期持仓明细!$B$23:$Y$23,'实盘净值数据(iFinD）'!$B974:$Y974/'实盘净值数据(iFinD）'!$B$65:$Y$65)+SUMPRODUCT(分期持仓明细!$AC$23:$AD$23,'实盘净值数据(iFinD）'!$Z974:$AA974/'实盘净值数据(iFinD）'!$Z$65:$AA$65))*(1-实盘持仓初始配置!$Z$7)^(('实盘净值数据(iFinD）'!$A974-'实盘净值数据(iFinD）'!$A$8)/365))</f>
        <v/>
      </c>
      <c r="L974" s="16" t="str">
        <f t="shared" si="93"/>
        <v/>
      </c>
      <c r="M974" s="16" t="str">
        <f>IF(K974="","",K974/MAX(K$5:K974)-1)</f>
        <v/>
      </c>
      <c r="N974" s="13" t="str">
        <f>IF(OR('实盘净值数据(iFinD）'!$A974="",'实盘净值数据(iFinD）'!$B974="",'实盘净值数据(iFinD）'!$Z974="",'实盘净值数据(iFinD）'!$AA974=""),"",分期持仓明细!$AB$24*(SUMPRODUCT(分期持仓明细!$B$24:$Y$24,'实盘净值数据(iFinD）'!$B974:$Y974/'实盘净值数据(iFinD）'!$B$65:$Y$65)+SUMPRODUCT(分期持仓明细!$AC$24:$AD$24,'实盘净值数据(iFinD）'!$Z974:$AA974/'实盘净值数据(iFinD）'!$Z$65:$AA$65))*(1-实盘持仓初始配置!$Z$8)^(('实盘净值数据(iFinD）'!$A974-'实盘净值数据(iFinD）'!$A$5)/365))</f>
        <v/>
      </c>
      <c r="O974" s="16" t="str">
        <f t="shared" si="94"/>
        <v/>
      </c>
      <c r="P974" s="16" t="str">
        <f>IF(N974="","",N974/MAX(N$5:N974)-1)</f>
        <v/>
      </c>
      <c r="Q974" s="13" t="str">
        <f>IF(OR('实盘净值数据(iFinD）'!$A974="",'实盘净值数据(iFinD）'!$B974="",'实盘净值数据(iFinD）'!$Z974="",'实盘净值数据(iFinD）'!$AA974=""),"",分期持仓明细!$AB$25*(SUMPRODUCT(分期持仓明细!$B$25:$Y$25,'实盘净值数据(iFinD）'!$B974:$Y974/'实盘净值数据(iFinD）'!$B$65:$Y$65)+SUMPRODUCT(分期持仓明细!$AC$25:$AD$25,'实盘净值数据(iFinD）'!$Z974:$AA974/'实盘净值数据(iFinD）'!$Z$65:$AA$65))*(1-实盘持仓初始配置!$Z$9)^(('实盘净值数据(iFinD）'!$A974-'实盘净值数据(iFinD）'!$A$8)/365))</f>
        <v/>
      </c>
      <c r="R974" s="16" t="str">
        <f t="shared" si="95"/>
        <v/>
      </c>
      <c r="S974" s="16" t="str">
        <f>IF(Q974="","",Q974/MAX(Q$5:Q974)-1)</f>
        <v/>
      </c>
      <c r="T974" s="13">
        <f>IF(OR('实盘净值数据(iFinD）'!$A974="",'实盘净值数据(iFinD）'!$B974="",'实盘净值数据(iFinD）'!$Z974="",'实盘净值数据(iFinD）'!$AA974="",'实盘净值数据(iFinD）'!$AB974="",'实盘净值数据(iFinD）'!$AL974=""),"",(SUMPRODUCT(分期持仓明细!$B$26:$Y$26,'实盘净值数据(iFinD）'!$B974:$Y974/'实盘净值数据(iFinD）'!$B$69:$Y$69)+SUMPRODUCT(分期持仓明细!$AC$26:$AD$26,'实盘净值数据(iFinD）'!$Z974:$AA974/'实盘净值数据(iFinD）'!$Z$69:$AA$69)+SUMPRODUCT(分期持仓明细!$AE$26:$AO$26,'实盘净值数据(iFinD）'!$AB974:$AL974/'实盘净值数据(iFinD）'!$AB$69:$AL$69))*(1-实盘持仓初始配置!$Z$10)^(('实盘净值数据(iFinD）'!$A974-'实盘净值数据(iFinD）'!$A$69)/365))</f>
        <v/>
      </c>
      <c r="U974" s="16">
        <f>IF(OR(T973="",T974=""),"",T974/T973-1)</f>
        <v/>
      </c>
      <c r="V974" s="16">
        <f>IF(T974="","",T974/MAX(T$5:T974)-1)</f>
        <v/>
      </c>
    </row>
    <row r="975" spans="1:19">
      <c r="A975" s="15" t="str">
        <f>IF('实盘净值数据(iFinD）'!A975="","",'实盘净值数据(iFinD）'!A975)</f>
        <v/>
      </c>
      <c r="B975" s="13" t="str">
        <f>IF(OR('实盘净值数据(iFinD）'!$A975="",'实盘净值数据(iFinD）'!$B975=""),"",分期持仓明细!$AB$17*SUMPRODUCT(分期持仓明细!$B$17:$Y$17,'实盘净值数据(iFinD）'!$B975:$Y975/'实盘净值数据(iFinD）'!$B$20:$Y$20)*(1-实盘持仓初始配置!$Z$4)^(('实盘净值数据(iFinD）'!$A975-'实盘净值数据(iFinD）'!$A$6)/365))</f>
        <v/>
      </c>
      <c r="C975" s="16" t="str">
        <f t="shared" si="90"/>
        <v/>
      </c>
      <c r="D975" s="16" t="str">
        <f>IF(B975="","",B975/MAX(B$5:B975)-1)</f>
        <v/>
      </c>
      <c r="E975" s="13" t="str">
        <f>IF(OR('实盘净值数据(iFinD）'!$A975="",'实盘净值数据(iFinD）'!$B975=""),"",分期持仓明细!$AB$18*SUMPRODUCT(分期持仓明细!$B$18:$Y$18,'实盘净值数据(iFinD）'!$B975:$Y975/'实盘净值数据(iFinD）'!$B$20:$Y$20)*(1-实盘持仓初始配置!$Z$5)^(('实盘净值数据(iFinD）'!$A975-'实盘净值数据(iFinD）'!$A$5)/365))</f>
        <v/>
      </c>
      <c r="F975" s="16" t="str">
        <f t="shared" si="91"/>
        <v/>
      </c>
      <c r="G975" s="16" t="str">
        <f>IF(E975="","",E975/MAX(E$5:E975)-1)</f>
        <v/>
      </c>
      <c r="H975" s="13" t="str">
        <f>IF(OR('实盘净值数据(iFinD）'!$A975="",'实盘净值数据(iFinD）'!$B975=""),"",分期持仓明细!$AB$19*SUMPRODUCT(分期持仓明细!$B$19:$Y$19,'实盘净值数据(iFinD）'!$B975:$Y975/'实盘净值数据(iFinD）'!$B$20:$Y$20)*(1-实盘持仓初始配置!$Z$6)^(('实盘净值数据(iFinD）'!$A975-'实盘净值数据(iFinD）'!$A$7)/365))</f>
        <v/>
      </c>
      <c r="I975" s="16" t="str">
        <f t="shared" si="92"/>
        <v/>
      </c>
      <c r="J975" s="16" t="str">
        <f>IF(H975="","",H975/MAX(H$5:H975)-1)</f>
        <v/>
      </c>
      <c r="K975" s="13" t="str">
        <f>IF(OR('实盘净值数据(iFinD）'!$A975="",'实盘净值数据(iFinD）'!$B975="",'实盘净值数据(iFinD）'!$Z975="",'实盘净值数据(iFinD）'!$AA975=""),"",分期持仓明细!$AB$23*(SUMPRODUCT(分期持仓明细!$B$23:$Y$23,'实盘净值数据(iFinD）'!$B975:$Y975/'实盘净值数据(iFinD）'!$B$65:$Y$65)+SUMPRODUCT(分期持仓明细!$AC$23:$AD$23,'实盘净值数据(iFinD）'!$Z975:$AA975/'实盘净值数据(iFinD）'!$Z$65:$AA$65))*(1-实盘持仓初始配置!$Z$7)^(('实盘净值数据(iFinD）'!$A975-'实盘净值数据(iFinD）'!$A$8)/365))</f>
        <v/>
      </c>
      <c r="L975" s="16" t="str">
        <f t="shared" si="93"/>
        <v/>
      </c>
      <c r="M975" s="16" t="str">
        <f>IF(K975="","",K975/MAX(K$5:K975)-1)</f>
        <v/>
      </c>
      <c r="N975" s="13" t="str">
        <f>IF(OR('实盘净值数据(iFinD）'!$A975="",'实盘净值数据(iFinD）'!$B975="",'实盘净值数据(iFinD）'!$Z975="",'实盘净值数据(iFinD）'!$AA975=""),"",分期持仓明细!$AB$24*(SUMPRODUCT(分期持仓明细!$B$24:$Y$24,'实盘净值数据(iFinD）'!$B975:$Y975/'实盘净值数据(iFinD）'!$B$65:$Y$65)+SUMPRODUCT(分期持仓明细!$AC$24:$AD$24,'实盘净值数据(iFinD）'!$Z975:$AA975/'实盘净值数据(iFinD）'!$Z$65:$AA$65))*(1-实盘持仓初始配置!$Z$8)^(('实盘净值数据(iFinD）'!$A975-'实盘净值数据(iFinD）'!$A$5)/365))</f>
        <v/>
      </c>
      <c r="O975" s="16" t="str">
        <f t="shared" si="94"/>
        <v/>
      </c>
      <c r="P975" s="16" t="str">
        <f>IF(N975="","",N975/MAX(N$5:N975)-1)</f>
        <v/>
      </c>
      <c r="Q975" s="13" t="str">
        <f>IF(OR('实盘净值数据(iFinD）'!$A975="",'实盘净值数据(iFinD）'!$B975="",'实盘净值数据(iFinD）'!$Z975="",'实盘净值数据(iFinD）'!$AA975=""),"",分期持仓明细!$AB$25*(SUMPRODUCT(分期持仓明细!$B$25:$Y$25,'实盘净值数据(iFinD）'!$B975:$Y975/'实盘净值数据(iFinD）'!$B$65:$Y$65)+SUMPRODUCT(分期持仓明细!$AC$25:$AD$25,'实盘净值数据(iFinD）'!$Z975:$AA975/'实盘净值数据(iFinD）'!$Z$65:$AA$65))*(1-实盘持仓初始配置!$Z$9)^(('实盘净值数据(iFinD）'!$A975-'实盘净值数据(iFinD）'!$A$8)/365))</f>
        <v/>
      </c>
      <c r="R975" s="16" t="str">
        <f t="shared" si="95"/>
        <v/>
      </c>
      <c r="S975" s="16" t="str">
        <f>IF(Q975="","",Q975/MAX(Q$5:Q975)-1)</f>
        <v/>
      </c>
      <c r="T975" s="13">
        <f>IF(OR('实盘净值数据(iFinD）'!$A975="",'实盘净值数据(iFinD）'!$B975="",'实盘净值数据(iFinD）'!$Z975="",'实盘净值数据(iFinD）'!$AA975="",'实盘净值数据(iFinD）'!$AB975="",'实盘净值数据(iFinD）'!$AL975=""),"",(SUMPRODUCT(分期持仓明细!$B$26:$Y$26,'实盘净值数据(iFinD）'!$B975:$Y975/'实盘净值数据(iFinD）'!$B$69:$Y$69)+SUMPRODUCT(分期持仓明细!$AC$26:$AD$26,'实盘净值数据(iFinD）'!$Z975:$AA975/'实盘净值数据(iFinD）'!$Z$69:$AA$69)+SUMPRODUCT(分期持仓明细!$AE$26:$AO$26,'实盘净值数据(iFinD）'!$AB975:$AL975/'实盘净值数据(iFinD）'!$AB$69:$AL$69))*(1-实盘持仓初始配置!$Z$10)^(('实盘净值数据(iFinD）'!$A975-'实盘净值数据(iFinD）'!$A$69)/365))</f>
        <v/>
      </c>
      <c r="U975" s="16">
        <f>IF(OR(T974="",T975=""),"",T975/T974-1)</f>
        <v/>
      </c>
      <c r="V975" s="16">
        <f>IF(T975="","",T975/MAX(T$5:T975)-1)</f>
        <v/>
      </c>
    </row>
    <row r="976" spans="1:19">
      <c r="A976" s="15" t="str">
        <f>IF('实盘净值数据(iFinD）'!A976="","",'实盘净值数据(iFinD）'!A976)</f>
        <v/>
      </c>
      <c r="B976" s="13" t="str">
        <f>IF(OR('实盘净值数据(iFinD）'!$A976="",'实盘净值数据(iFinD）'!$B976=""),"",分期持仓明细!$AB$17*SUMPRODUCT(分期持仓明细!$B$17:$Y$17,'实盘净值数据(iFinD）'!$B976:$Y976/'实盘净值数据(iFinD）'!$B$20:$Y$20)*(1-实盘持仓初始配置!$Z$4)^(('实盘净值数据(iFinD）'!$A976-'实盘净值数据(iFinD）'!$A$6)/365))</f>
        <v/>
      </c>
      <c r="C976" s="16" t="str">
        <f t="shared" si="90"/>
        <v/>
      </c>
      <c r="D976" s="16" t="str">
        <f>IF(B976="","",B976/MAX(B$5:B976)-1)</f>
        <v/>
      </c>
      <c r="E976" s="13" t="str">
        <f>IF(OR('实盘净值数据(iFinD）'!$A976="",'实盘净值数据(iFinD）'!$B976=""),"",分期持仓明细!$AB$18*SUMPRODUCT(分期持仓明细!$B$18:$Y$18,'实盘净值数据(iFinD）'!$B976:$Y976/'实盘净值数据(iFinD）'!$B$20:$Y$20)*(1-实盘持仓初始配置!$Z$5)^(('实盘净值数据(iFinD）'!$A976-'实盘净值数据(iFinD）'!$A$5)/365))</f>
        <v/>
      </c>
      <c r="F976" s="16" t="str">
        <f t="shared" si="91"/>
        <v/>
      </c>
      <c r="G976" s="16" t="str">
        <f>IF(E976="","",E976/MAX(E$5:E976)-1)</f>
        <v/>
      </c>
      <c r="H976" s="13" t="str">
        <f>IF(OR('实盘净值数据(iFinD）'!$A976="",'实盘净值数据(iFinD）'!$B976=""),"",分期持仓明细!$AB$19*SUMPRODUCT(分期持仓明细!$B$19:$Y$19,'实盘净值数据(iFinD）'!$B976:$Y976/'实盘净值数据(iFinD）'!$B$20:$Y$20)*(1-实盘持仓初始配置!$Z$6)^(('实盘净值数据(iFinD）'!$A976-'实盘净值数据(iFinD）'!$A$7)/365))</f>
        <v/>
      </c>
      <c r="I976" s="16" t="str">
        <f t="shared" si="92"/>
        <v/>
      </c>
      <c r="J976" s="16" t="str">
        <f>IF(H976="","",H976/MAX(H$5:H976)-1)</f>
        <v/>
      </c>
      <c r="K976" s="13" t="str">
        <f>IF(OR('实盘净值数据(iFinD）'!$A976="",'实盘净值数据(iFinD）'!$B976="",'实盘净值数据(iFinD）'!$Z976="",'实盘净值数据(iFinD）'!$AA976=""),"",分期持仓明细!$AB$23*(SUMPRODUCT(分期持仓明细!$B$23:$Y$23,'实盘净值数据(iFinD）'!$B976:$Y976/'实盘净值数据(iFinD）'!$B$65:$Y$65)+SUMPRODUCT(分期持仓明细!$AC$23:$AD$23,'实盘净值数据(iFinD）'!$Z976:$AA976/'实盘净值数据(iFinD）'!$Z$65:$AA$65))*(1-实盘持仓初始配置!$Z$7)^(('实盘净值数据(iFinD）'!$A976-'实盘净值数据(iFinD）'!$A$8)/365))</f>
        <v/>
      </c>
      <c r="L976" s="16" t="str">
        <f t="shared" si="93"/>
        <v/>
      </c>
      <c r="M976" s="16" t="str">
        <f>IF(K976="","",K976/MAX(K$5:K976)-1)</f>
        <v/>
      </c>
      <c r="N976" s="13" t="str">
        <f>IF(OR('实盘净值数据(iFinD）'!$A976="",'实盘净值数据(iFinD）'!$B976="",'实盘净值数据(iFinD）'!$Z976="",'实盘净值数据(iFinD）'!$AA976=""),"",分期持仓明细!$AB$24*(SUMPRODUCT(分期持仓明细!$B$24:$Y$24,'实盘净值数据(iFinD）'!$B976:$Y976/'实盘净值数据(iFinD）'!$B$65:$Y$65)+SUMPRODUCT(分期持仓明细!$AC$24:$AD$24,'实盘净值数据(iFinD）'!$Z976:$AA976/'实盘净值数据(iFinD）'!$Z$65:$AA$65))*(1-实盘持仓初始配置!$Z$8)^(('实盘净值数据(iFinD）'!$A976-'实盘净值数据(iFinD）'!$A$5)/365))</f>
        <v/>
      </c>
      <c r="O976" s="16" t="str">
        <f t="shared" si="94"/>
        <v/>
      </c>
      <c r="P976" s="16" t="str">
        <f>IF(N976="","",N976/MAX(N$5:N976)-1)</f>
        <v/>
      </c>
      <c r="Q976" s="13" t="str">
        <f>IF(OR('实盘净值数据(iFinD）'!$A976="",'实盘净值数据(iFinD）'!$B976="",'实盘净值数据(iFinD）'!$Z976="",'实盘净值数据(iFinD）'!$AA976=""),"",分期持仓明细!$AB$25*(SUMPRODUCT(分期持仓明细!$B$25:$Y$25,'实盘净值数据(iFinD）'!$B976:$Y976/'实盘净值数据(iFinD）'!$B$65:$Y$65)+SUMPRODUCT(分期持仓明细!$AC$25:$AD$25,'实盘净值数据(iFinD）'!$Z976:$AA976/'实盘净值数据(iFinD）'!$Z$65:$AA$65))*(1-实盘持仓初始配置!$Z$9)^(('实盘净值数据(iFinD）'!$A976-'实盘净值数据(iFinD）'!$A$8)/365))</f>
        <v/>
      </c>
      <c r="R976" s="16" t="str">
        <f t="shared" si="95"/>
        <v/>
      </c>
      <c r="S976" s="16" t="str">
        <f>IF(Q976="","",Q976/MAX(Q$5:Q976)-1)</f>
        <v/>
      </c>
      <c r="T976" s="13">
        <f>IF(OR('实盘净值数据(iFinD）'!$A976="",'实盘净值数据(iFinD）'!$B976="",'实盘净值数据(iFinD）'!$Z976="",'实盘净值数据(iFinD）'!$AA976="",'实盘净值数据(iFinD）'!$AB976="",'实盘净值数据(iFinD）'!$AL976=""),"",(SUMPRODUCT(分期持仓明细!$B$26:$Y$26,'实盘净值数据(iFinD）'!$B976:$Y976/'实盘净值数据(iFinD）'!$B$69:$Y$69)+SUMPRODUCT(分期持仓明细!$AC$26:$AD$26,'实盘净值数据(iFinD）'!$Z976:$AA976/'实盘净值数据(iFinD）'!$Z$69:$AA$69)+SUMPRODUCT(分期持仓明细!$AE$26:$AO$26,'实盘净值数据(iFinD）'!$AB976:$AL976/'实盘净值数据(iFinD）'!$AB$69:$AL$69))*(1-实盘持仓初始配置!$Z$10)^(('实盘净值数据(iFinD）'!$A976-'实盘净值数据(iFinD）'!$A$69)/365))</f>
        <v/>
      </c>
      <c r="U976" s="16">
        <f>IF(OR(T975="",T976=""),"",T976/T975-1)</f>
        <v/>
      </c>
      <c r="V976" s="16">
        <f>IF(T976="","",T976/MAX(T$5:T976)-1)</f>
        <v/>
      </c>
    </row>
    <row r="977" spans="1:19">
      <c r="A977" s="15" t="str">
        <f>IF('实盘净值数据(iFinD）'!A977="","",'实盘净值数据(iFinD）'!A977)</f>
        <v/>
      </c>
      <c r="B977" s="13" t="str">
        <f>IF(OR('实盘净值数据(iFinD）'!$A977="",'实盘净值数据(iFinD）'!$B977=""),"",分期持仓明细!$AB$17*SUMPRODUCT(分期持仓明细!$B$17:$Y$17,'实盘净值数据(iFinD）'!$B977:$Y977/'实盘净值数据(iFinD）'!$B$20:$Y$20)*(1-实盘持仓初始配置!$Z$4)^(('实盘净值数据(iFinD）'!$A977-'实盘净值数据(iFinD）'!$A$6)/365))</f>
        <v/>
      </c>
      <c r="C977" s="16" t="str">
        <f t="shared" si="90"/>
        <v/>
      </c>
      <c r="D977" s="16" t="str">
        <f>IF(B977="","",B977/MAX(B$5:B977)-1)</f>
        <v/>
      </c>
      <c r="E977" s="13" t="str">
        <f>IF(OR('实盘净值数据(iFinD）'!$A977="",'实盘净值数据(iFinD）'!$B977=""),"",分期持仓明细!$AB$18*SUMPRODUCT(分期持仓明细!$B$18:$Y$18,'实盘净值数据(iFinD）'!$B977:$Y977/'实盘净值数据(iFinD）'!$B$20:$Y$20)*(1-实盘持仓初始配置!$Z$5)^(('实盘净值数据(iFinD）'!$A977-'实盘净值数据(iFinD）'!$A$5)/365))</f>
        <v/>
      </c>
      <c r="F977" s="16" t="str">
        <f t="shared" si="91"/>
        <v/>
      </c>
      <c r="G977" s="16" t="str">
        <f>IF(E977="","",E977/MAX(E$5:E977)-1)</f>
        <v/>
      </c>
      <c r="H977" s="13" t="str">
        <f>IF(OR('实盘净值数据(iFinD）'!$A977="",'实盘净值数据(iFinD）'!$B977=""),"",分期持仓明细!$AB$19*SUMPRODUCT(分期持仓明细!$B$19:$Y$19,'实盘净值数据(iFinD）'!$B977:$Y977/'实盘净值数据(iFinD）'!$B$20:$Y$20)*(1-实盘持仓初始配置!$Z$6)^(('实盘净值数据(iFinD）'!$A977-'实盘净值数据(iFinD）'!$A$7)/365))</f>
        <v/>
      </c>
      <c r="I977" s="16" t="str">
        <f t="shared" si="92"/>
        <v/>
      </c>
      <c r="J977" s="16" t="str">
        <f>IF(H977="","",H977/MAX(H$5:H977)-1)</f>
        <v/>
      </c>
      <c r="K977" s="13" t="str">
        <f>IF(OR('实盘净值数据(iFinD）'!$A977="",'实盘净值数据(iFinD）'!$B977="",'实盘净值数据(iFinD）'!$Z977="",'实盘净值数据(iFinD）'!$AA977=""),"",分期持仓明细!$AB$23*(SUMPRODUCT(分期持仓明细!$B$23:$Y$23,'实盘净值数据(iFinD）'!$B977:$Y977/'实盘净值数据(iFinD）'!$B$65:$Y$65)+SUMPRODUCT(分期持仓明细!$AC$23:$AD$23,'实盘净值数据(iFinD）'!$Z977:$AA977/'实盘净值数据(iFinD）'!$Z$65:$AA$65))*(1-实盘持仓初始配置!$Z$7)^(('实盘净值数据(iFinD）'!$A977-'实盘净值数据(iFinD）'!$A$8)/365))</f>
        <v/>
      </c>
      <c r="L977" s="16" t="str">
        <f t="shared" si="93"/>
        <v/>
      </c>
      <c r="M977" s="16" t="str">
        <f>IF(K977="","",K977/MAX(K$5:K977)-1)</f>
        <v/>
      </c>
      <c r="N977" s="13" t="str">
        <f>IF(OR('实盘净值数据(iFinD）'!$A977="",'实盘净值数据(iFinD）'!$B977="",'实盘净值数据(iFinD）'!$Z977="",'实盘净值数据(iFinD）'!$AA977=""),"",分期持仓明细!$AB$24*(SUMPRODUCT(分期持仓明细!$B$24:$Y$24,'实盘净值数据(iFinD）'!$B977:$Y977/'实盘净值数据(iFinD）'!$B$65:$Y$65)+SUMPRODUCT(分期持仓明细!$AC$24:$AD$24,'实盘净值数据(iFinD）'!$Z977:$AA977/'实盘净值数据(iFinD）'!$Z$65:$AA$65))*(1-实盘持仓初始配置!$Z$8)^(('实盘净值数据(iFinD）'!$A977-'实盘净值数据(iFinD）'!$A$5)/365))</f>
        <v/>
      </c>
      <c r="O977" s="16" t="str">
        <f t="shared" si="94"/>
        <v/>
      </c>
      <c r="P977" s="16" t="str">
        <f>IF(N977="","",N977/MAX(N$5:N977)-1)</f>
        <v/>
      </c>
      <c r="Q977" s="13" t="str">
        <f>IF(OR('实盘净值数据(iFinD）'!$A977="",'实盘净值数据(iFinD）'!$B977="",'实盘净值数据(iFinD）'!$Z977="",'实盘净值数据(iFinD）'!$AA977=""),"",分期持仓明细!$AB$25*(SUMPRODUCT(分期持仓明细!$B$25:$Y$25,'实盘净值数据(iFinD）'!$B977:$Y977/'实盘净值数据(iFinD）'!$B$65:$Y$65)+SUMPRODUCT(分期持仓明细!$AC$25:$AD$25,'实盘净值数据(iFinD）'!$Z977:$AA977/'实盘净值数据(iFinD）'!$Z$65:$AA$65))*(1-实盘持仓初始配置!$Z$9)^(('实盘净值数据(iFinD）'!$A977-'实盘净值数据(iFinD）'!$A$8)/365))</f>
        <v/>
      </c>
      <c r="R977" s="16" t="str">
        <f t="shared" si="95"/>
        <v/>
      </c>
      <c r="S977" s="16" t="str">
        <f>IF(Q977="","",Q977/MAX(Q$5:Q977)-1)</f>
        <v/>
      </c>
      <c r="T977" s="13">
        <f>IF(OR('实盘净值数据(iFinD）'!$A977="",'实盘净值数据(iFinD）'!$B977="",'实盘净值数据(iFinD）'!$Z977="",'实盘净值数据(iFinD）'!$AA977="",'实盘净值数据(iFinD）'!$AB977="",'实盘净值数据(iFinD）'!$AL977=""),"",(SUMPRODUCT(分期持仓明细!$B$26:$Y$26,'实盘净值数据(iFinD）'!$B977:$Y977/'实盘净值数据(iFinD）'!$B$69:$Y$69)+SUMPRODUCT(分期持仓明细!$AC$26:$AD$26,'实盘净值数据(iFinD）'!$Z977:$AA977/'实盘净值数据(iFinD）'!$Z$69:$AA$69)+SUMPRODUCT(分期持仓明细!$AE$26:$AO$26,'实盘净值数据(iFinD）'!$AB977:$AL977/'实盘净值数据(iFinD）'!$AB$69:$AL$69))*(1-实盘持仓初始配置!$Z$10)^(('实盘净值数据(iFinD）'!$A977-'实盘净值数据(iFinD）'!$A$69)/365))</f>
        <v/>
      </c>
      <c r="U977" s="16">
        <f>IF(OR(T976="",T977=""),"",T977/T976-1)</f>
        <v/>
      </c>
      <c r="V977" s="16">
        <f>IF(T977="","",T977/MAX(T$5:T977)-1)</f>
        <v/>
      </c>
    </row>
    <row r="978" spans="1:19">
      <c r="A978" s="15" t="str">
        <f>IF('实盘净值数据(iFinD）'!A978="","",'实盘净值数据(iFinD）'!A978)</f>
        <v/>
      </c>
      <c r="B978" s="13" t="str">
        <f>IF(OR('实盘净值数据(iFinD）'!$A978="",'实盘净值数据(iFinD）'!$B978=""),"",分期持仓明细!$AB$17*SUMPRODUCT(分期持仓明细!$B$17:$Y$17,'实盘净值数据(iFinD）'!$B978:$Y978/'实盘净值数据(iFinD）'!$B$20:$Y$20)*(1-实盘持仓初始配置!$Z$4)^(('实盘净值数据(iFinD）'!$A978-'实盘净值数据(iFinD）'!$A$6)/365))</f>
        <v/>
      </c>
      <c r="C978" s="16" t="str">
        <f t="shared" si="90"/>
        <v/>
      </c>
      <c r="D978" s="16" t="str">
        <f>IF(B978="","",B978/MAX(B$5:B978)-1)</f>
        <v/>
      </c>
      <c r="E978" s="13" t="str">
        <f>IF(OR('实盘净值数据(iFinD）'!$A978="",'实盘净值数据(iFinD）'!$B978=""),"",分期持仓明细!$AB$18*SUMPRODUCT(分期持仓明细!$B$18:$Y$18,'实盘净值数据(iFinD）'!$B978:$Y978/'实盘净值数据(iFinD）'!$B$20:$Y$20)*(1-实盘持仓初始配置!$Z$5)^(('实盘净值数据(iFinD）'!$A978-'实盘净值数据(iFinD）'!$A$5)/365))</f>
        <v/>
      </c>
      <c r="F978" s="16" t="str">
        <f t="shared" si="91"/>
        <v/>
      </c>
      <c r="G978" s="16" t="str">
        <f>IF(E978="","",E978/MAX(E$5:E978)-1)</f>
        <v/>
      </c>
      <c r="H978" s="13" t="str">
        <f>IF(OR('实盘净值数据(iFinD）'!$A978="",'实盘净值数据(iFinD）'!$B978=""),"",分期持仓明细!$AB$19*SUMPRODUCT(分期持仓明细!$B$19:$Y$19,'实盘净值数据(iFinD）'!$B978:$Y978/'实盘净值数据(iFinD）'!$B$20:$Y$20)*(1-实盘持仓初始配置!$Z$6)^(('实盘净值数据(iFinD）'!$A978-'实盘净值数据(iFinD）'!$A$7)/365))</f>
        <v/>
      </c>
      <c r="I978" s="16" t="str">
        <f t="shared" si="92"/>
        <v/>
      </c>
      <c r="J978" s="16" t="str">
        <f>IF(H978="","",H978/MAX(H$5:H978)-1)</f>
        <v/>
      </c>
      <c r="K978" s="13" t="str">
        <f>IF(OR('实盘净值数据(iFinD）'!$A978="",'实盘净值数据(iFinD）'!$B978="",'实盘净值数据(iFinD）'!$Z978="",'实盘净值数据(iFinD）'!$AA978=""),"",分期持仓明细!$AB$23*(SUMPRODUCT(分期持仓明细!$B$23:$Y$23,'实盘净值数据(iFinD）'!$B978:$Y978/'实盘净值数据(iFinD）'!$B$65:$Y$65)+SUMPRODUCT(分期持仓明细!$AC$23:$AD$23,'实盘净值数据(iFinD）'!$Z978:$AA978/'实盘净值数据(iFinD）'!$Z$65:$AA$65))*(1-实盘持仓初始配置!$Z$7)^(('实盘净值数据(iFinD）'!$A978-'实盘净值数据(iFinD）'!$A$8)/365))</f>
        <v/>
      </c>
      <c r="L978" s="16" t="str">
        <f t="shared" si="93"/>
        <v/>
      </c>
      <c r="M978" s="16" t="str">
        <f>IF(K978="","",K978/MAX(K$5:K978)-1)</f>
        <v/>
      </c>
      <c r="N978" s="13" t="str">
        <f>IF(OR('实盘净值数据(iFinD）'!$A978="",'实盘净值数据(iFinD）'!$B978="",'实盘净值数据(iFinD）'!$Z978="",'实盘净值数据(iFinD）'!$AA978=""),"",分期持仓明细!$AB$24*(SUMPRODUCT(分期持仓明细!$B$24:$Y$24,'实盘净值数据(iFinD）'!$B978:$Y978/'实盘净值数据(iFinD）'!$B$65:$Y$65)+SUMPRODUCT(分期持仓明细!$AC$24:$AD$24,'实盘净值数据(iFinD）'!$Z978:$AA978/'实盘净值数据(iFinD）'!$Z$65:$AA$65))*(1-实盘持仓初始配置!$Z$8)^(('实盘净值数据(iFinD）'!$A978-'实盘净值数据(iFinD）'!$A$5)/365))</f>
        <v/>
      </c>
      <c r="O978" s="16" t="str">
        <f t="shared" si="94"/>
        <v/>
      </c>
      <c r="P978" s="16" t="str">
        <f>IF(N978="","",N978/MAX(N$5:N978)-1)</f>
        <v/>
      </c>
      <c r="Q978" s="13" t="str">
        <f>IF(OR('实盘净值数据(iFinD）'!$A978="",'实盘净值数据(iFinD）'!$B978="",'实盘净值数据(iFinD）'!$Z978="",'实盘净值数据(iFinD）'!$AA978=""),"",分期持仓明细!$AB$25*(SUMPRODUCT(分期持仓明细!$B$25:$Y$25,'实盘净值数据(iFinD）'!$B978:$Y978/'实盘净值数据(iFinD）'!$B$65:$Y$65)+SUMPRODUCT(分期持仓明细!$AC$25:$AD$25,'实盘净值数据(iFinD）'!$Z978:$AA978/'实盘净值数据(iFinD）'!$Z$65:$AA$65))*(1-实盘持仓初始配置!$Z$9)^(('实盘净值数据(iFinD）'!$A978-'实盘净值数据(iFinD）'!$A$8)/365))</f>
        <v/>
      </c>
      <c r="R978" s="16" t="str">
        <f t="shared" si="95"/>
        <v/>
      </c>
      <c r="S978" s="16" t="str">
        <f>IF(Q978="","",Q978/MAX(Q$5:Q978)-1)</f>
        <v/>
      </c>
      <c r="T978" s="13">
        <f>IF(OR('实盘净值数据(iFinD）'!$A978="",'实盘净值数据(iFinD）'!$B978="",'实盘净值数据(iFinD）'!$Z978="",'实盘净值数据(iFinD）'!$AA978="",'实盘净值数据(iFinD）'!$AB978="",'实盘净值数据(iFinD）'!$AL978=""),"",(SUMPRODUCT(分期持仓明细!$B$26:$Y$26,'实盘净值数据(iFinD）'!$B978:$Y978/'实盘净值数据(iFinD）'!$B$69:$Y$69)+SUMPRODUCT(分期持仓明细!$AC$26:$AD$26,'实盘净值数据(iFinD）'!$Z978:$AA978/'实盘净值数据(iFinD）'!$Z$69:$AA$69)+SUMPRODUCT(分期持仓明细!$AE$26:$AO$26,'实盘净值数据(iFinD）'!$AB978:$AL978/'实盘净值数据(iFinD）'!$AB$69:$AL$69))*(1-实盘持仓初始配置!$Z$10)^(('实盘净值数据(iFinD）'!$A978-'实盘净值数据(iFinD）'!$A$69)/365))</f>
        <v/>
      </c>
      <c r="U978" s="16">
        <f>IF(OR(T977="",T978=""),"",T978/T977-1)</f>
        <v/>
      </c>
      <c r="V978" s="16">
        <f>IF(T978="","",T978/MAX(T$5:T978)-1)</f>
        <v/>
      </c>
    </row>
    <row r="979" spans="1:19">
      <c r="A979" s="15" t="str">
        <f>IF('实盘净值数据(iFinD）'!A979="","",'实盘净值数据(iFinD）'!A979)</f>
        <v/>
      </c>
      <c r="B979" s="13" t="str">
        <f>IF(OR('实盘净值数据(iFinD）'!$A979="",'实盘净值数据(iFinD）'!$B979=""),"",分期持仓明细!$AB$17*SUMPRODUCT(分期持仓明细!$B$17:$Y$17,'实盘净值数据(iFinD）'!$B979:$Y979/'实盘净值数据(iFinD）'!$B$20:$Y$20)*(1-实盘持仓初始配置!$Z$4)^(('实盘净值数据(iFinD）'!$A979-'实盘净值数据(iFinD）'!$A$6)/365))</f>
        <v/>
      </c>
      <c r="C979" s="16" t="str">
        <f t="shared" si="90"/>
        <v/>
      </c>
      <c r="D979" s="16" t="str">
        <f>IF(B979="","",B979/MAX(B$5:B979)-1)</f>
        <v/>
      </c>
      <c r="E979" s="13" t="str">
        <f>IF(OR('实盘净值数据(iFinD）'!$A979="",'实盘净值数据(iFinD）'!$B979=""),"",分期持仓明细!$AB$18*SUMPRODUCT(分期持仓明细!$B$18:$Y$18,'实盘净值数据(iFinD）'!$B979:$Y979/'实盘净值数据(iFinD）'!$B$20:$Y$20)*(1-实盘持仓初始配置!$Z$5)^(('实盘净值数据(iFinD）'!$A979-'实盘净值数据(iFinD）'!$A$5)/365))</f>
        <v/>
      </c>
      <c r="F979" s="16" t="str">
        <f t="shared" si="91"/>
        <v/>
      </c>
      <c r="G979" s="16" t="str">
        <f>IF(E979="","",E979/MAX(E$5:E979)-1)</f>
        <v/>
      </c>
      <c r="H979" s="13" t="str">
        <f>IF(OR('实盘净值数据(iFinD）'!$A979="",'实盘净值数据(iFinD）'!$B979=""),"",分期持仓明细!$AB$19*SUMPRODUCT(分期持仓明细!$B$19:$Y$19,'实盘净值数据(iFinD）'!$B979:$Y979/'实盘净值数据(iFinD）'!$B$20:$Y$20)*(1-实盘持仓初始配置!$Z$6)^(('实盘净值数据(iFinD）'!$A979-'实盘净值数据(iFinD）'!$A$7)/365))</f>
        <v/>
      </c>
      <c r="I979" s="16" t="str">
        <f t="shared" si="92"/>
        <v/>
      </c>
      <c r="J979" s="16" t="str">
        <f>IF(H979="","",H979/MAX(H$5:H979)-1)</f>
        <v/>
      </c>
      <c r="K979" s="13" t="str">
        <f>IF(OR('实盘净值数据(iFinD）'!$A979="",'实盘净值数据(iFinD）'!$B979="",'实盘净值数据(iFinD）'!$Z979="",'实盘净值数据(iFinD）'!$AA979=""),"",分期持仓明细!$AB$23*(SUMPRODUCT(分期持仓明细!$B$23:$Y$23,'实盘净值数据(iFinD）'!$B979:$Y979/'实盘净值数据(iFinD）'!$B$65:$Y$65)+SUMPRODUCT(分期持仓明细!$AC$23:$AD$23,'实盘净值数据(iFinD）'!$Z979:$AA979/'实盘净值数据(iFinD）'!$Z$65:$AA$65))*(1-实盘持仓初始配置!$Z$7)^(('实盘净值数据(iFinD）'!$A979-'实盘净值数据(iFinD）'!$A$8)/365))</f>
        <v/>
      </c>
      <c r="L979" s="16" t="str">
        <f t="shared" si="93"/>
        <v/>
      </c>
      <c r="M979" s="16" t="str">
        <f>IF(K979="","",K979/MAX(K$5:K979)-1)</f>
        <v/>
      </c>
      <c r="N979" s="13" t="str">
        <f>IF(OR('实盘净值数据(iFinD）'!$A979="",'实盘净值数据(iFinD）'!$B979="",'实盘净值数据(iFinD）'!$Z979="",'实盘净值数据(iFinD）'!$AA979=""),"",分期持仓明细!$AB$24*(SUMPRODUCT(分期持仓明细!$B$24:$Y$24,'实盘净值数据(iFinD）'!$B979:$Y979/'实盘净值数据(iFinD）'!$B$65:$Y$65)+SUMPRODUCT(分期持仓明细!$AC$24:$AD$24,'实盘净值数据(iFinD）'!$Z979:$AA979/'实盘净值数据(iFinD）'!$Z$65:$AA$65))*(1-实盘持仓初始配置!$Z$8)^(('实盘净值数据(iFinD）'!$A979-'实盘净值数据(iFinD）'!$A$5)/365))</f>
        <v/>
      </c>
      <c r="O979" s="16" t="str">
        <f t="shared" si="94"/>
        <v/>
      </c>
      <c r="P979" s="16" t="str">
        <f>IF(N979="","",N979/MAX(N$5:N979)-1)</f>
        <v/>
      </c>
      <c r="Q979" s="13" t="str">
        <f>IF(OR('实盘净值数据(iFinD）'!$A979="",'实盘净值数据(iFinD）'!$B979="",'实盘净值数据(iFinD）'!$Z979="",'实盘净值数据(iFinD）'!$AA979=""),"",分期持仓明细!$AB$25*(SUMPRODUCT(分期持仓明细!$B$25:$Y$25,'实盘净值数据(iFinD）'!$B979:$Y979/'实盘净值数据(iFinD）'!$B$65:$Y$65)+SUMPRODUCT(分期持仓明细!$AC$25:$AD$25,'实盘净值数据(iFinD）'!$Z979:$AA979/'实盘净值数据(iFinD）'!$Z$65:$AA$65))*(1-实盘持仓初始配置!$Z$9)^(('实盘净值数据(iFinD）'!$A979-'实盘净值数据(iFinD）'!$A$8)/365))</f>
        <v/>
      </c>
      <c r="R979" s="16" t="str">
        <f t="shared" si="95"/>
        <v/>
      </c>
      <c r="S979" s="16" t="str">
        <f>IF(Q979="","",Q979/MAX(Q$5:Q979)-1)</f>
        <v/>
      </c>
      <c r="T979" s="13">
        <f>IF(OR('实盘净值数据(iFinD）'!$A979="",'实盘净值数据(iFinD）'!$B979="",'实盘净值数据(iFinD）'!$Z979="",'实盘净值数据(iFinD）'!$AA979="",'实盘净值数据(iFinD）'!$AB979="",'实盘净值数据(iFinD）'!$AL979=""),"",(SUMPRODUCT(分期持仓明细!$B$26:$Y$26,'实盘净值数据(iFinD）'!$B979:$Y979/'实盘净值数据(iFinD）'!$B$69:$Y$69)+SUMPRODUCT(分期持仓明细!$AC$26:$AD$26,'实盘净值数据(iFinD）'!$Z979:$AA979/'实盘净值数据(iFinD）'!$Z$69:$AA$69)+SUMPRODUCT(分期持仓明细!$AE$26:$AO$26,'实盘净值数据(iFinD）'!$AB979:$AL979/'实盘净值数据(iFinD）'!$AB$69:$AL$69))*(1-实盘持仓初始配置!$Z$10)^(('实盘净值数据(iFinD）'!$A979-'实盘净值数据(iFinD）'!$A$69)/365))</f>
        <v/>
      </c>
      <c r="U979" s="16">
        <f>IF(OR(T978="",T979=""),"",T979/T978-1)</f>
        <v/>
      </c>
      <c r="V979" s="16">
        <f>IF(T979="","",T979/MAX(T$5:T979)-1)</f>
        <v/>
      </c>
    </row>
    <row r="980" spans="1:19">
      <c r="A980" s="15" t="str">
        <f>IF('实盘净值数据(iFinD）'!A980="","",'实盘净值数据(iFinD）'!A980)</f>
        <v/>
      </c>
      <c r="B980" s="13" t="str">
        <f>IF(OR('实盘净值数据(iFinD）'!$A980="",'实盘净值数据(iFinD）'!$B980=""),"",分期持仓明细!$AB$17*SUMPRODUCT(分期持仓明细!$B$17:$Y$17,'实盘净值数据(iFinD）'!$B980:$Y980/'实盘净值数据(iFinD）'!$B$20:$Y$20)*(1-实盘持仓初始配置!$Z$4)^(('实盘净值数据(iFinD）'!$A980-'实盘净值数据(iFinD）'!$A$6)/365))</f>
        <v/>
      </c>
      <c r="C980" s="16" t="str">
        <f t="shared" si="90"/>
        <v/>
      </c>
      <c r="D980" s="16" t="str">
        <f>IF(B980="","",B980/MAX(B$5:B980)-1)</f>
        <v/>
      </c>
      <c r="E980" s="13" t="str">
        <f>IF(OR('实盘净值数据(iFinD）'!$A980="",'实盘净值数据(iFinD）'!$B980=""),"",分期持仓明细!$AB$18*SUMPRODUCT(分期持仓明细!$B$18:$Y$18,'实盘净值数据(iFinD）'!$B980:$Y980/'实盘净值数据(iFinD）'!$B$20:$Y$20)*(1-实盘持仓初始配置!$Z$5)^(('实盘净值数据(iFinD）'!$A980-'实盘净值数据(iFinD）'!$A$5)/365))</f>
        <v/>
      </c>
      <c r="F980" s="16" t="str">
        <f t="shared" si="91"/>
        <v/>
      </c>
      <c r="G980" s="16" t="str">
        <f>IF(E980="","",E980/MAX(E$5:E980)-1)</f>
        <v/>
      </c>
      <c r="H980" s="13" t="str">
        <f>IF(OR('实盘净值数据(iFinD）'!$A980="",'实盘净值数据(iFinD）'!$B980=""),"",分期持仓明细!$AB$19*SUMPRODUCT(分期持仓明细!$B$19:$Y$19,'实盘净值数据(iFinD）'!$B980:$Y980/'实盘净值数据(iFinD）'!$B$20:$Y$20)*(1-实盘持仓初始配置!$Z$6)^(('实盘净值数据(iFinD）'!$A980-'实盘净值数据(iFinD）'!$A$7)/365))</f>
        <v/>
      </c>
      <c r="I980" s="16" t="str">
        <f t="shared" si="92"/>
        <v/>
      </c>
      <c r="J980" s="16" t="str">
        <f>IF(H980="","",H980/MAX(H$5:H980)-1)</f>
        <v/>
      </c>
      <c r="K980" s="13" t="str">
        <f>IF(OR('实盘净值数据(iFinD）'!$A980="",'实盘净值数据(iFinD）'!$B980="",'实盘净值数据(iFinD）'!$Z980="",'实盘净值数据(iFinD）'!$AA980=""),"",分期持仓明细!$AB$23*(SUMPRODUCT(分期持仓明细!$B$23:$Y$23,'实盘净值数据(iFinD）'!$B980:$Y980/'实盘净值数据(iFinD）'!$B$65:$Y$65)+SUMPRODUCT(分期持仓明细!$AC$23:$AD$23,'实盘净值数据(iFinD）'!$Z980:$AA980/'实盘净值数据(iFinD）'!$Z$65:$AA$65))*(1-实盘持仓初始配置!$Z$7)^(('实盘净值数据(iFinD）'!$A980-'实盘净值数据(iFinD）'!$A$8)/365))</f>
        <v/>
      </c>
      <c r="L980" s="16" t="str">
        <f t="shared" si="93"/>
        <v/>
      </c>
      <c r="M980" s="16" t="str">
        <f>IF(K980="","",K980/MAX(K$5:K980)-1)</f>
        <v/>
      </c>
      <c r="N980" s="13" t="str">
        <f>IF(OR('实盘净值数据(iFinD）'!$A980="",'实盘净值数据(iFinD）'!$B980="",'实盘净值数据(iFinD）'!$Z980="",'实盘净值数据(iFinD）'!$AA980=""),"",分期持仓明细!$AB$24*(SUMPRODUCT(分期持仓明细!$B$24:$Y$24,'实盘净值数据(iFinD）'!$B980:$Y980/'实盘净值数据(iFinD）'!$B$65:$Y$65)+SUMPRODUCT(分期持仓明细!$AC$24:$AD$24,'实盘净值数据(iFinD）'!$Z980:$AA980/'实盘净值数据(iFinD）'!$Z$65:$AA$65))*(1-实盘持仓初始配置!$Z$8)^(('实盘净值数据(iFinD）'!$A980-'实盘净值数据(iFinD）'!$A$5)/365))</f>
        <v/>
      </c>
      <c r="O980" s="16" t="str">
        <f t="shared" si="94"/>
        <v/>
      </c>
      <c r="P980" s="16" t="str">
        <f>IF(N980="","",N980/MAX(N$5:N980)-1)</f>
        <v/>
      </c>
      <c r="Q980" s="13" t="str">
        <f>IF(OR('实盘净值数据(iFinD）'!$A980="",'实盘净值数据(iFinD）'!$B980="",'实盘净值数据(iFinD）'!$Z980="",'实盘净值数据(iFinD）'!$AA980=""),"",分期持仓明细!$AB$25*(SUMPRODUCT(分期持仓明细!$B$25:$Y$25,'实盘净值数据(iFinD）'!$B980:$Y980/'实盘净值数据(iFinD）'!$B$65:$Y$65)+SUMPRODUCT(分期持仓明细!$AC$25:$AD$25,'实盘净值数据(iFinD）'!$Z980:$AA980/'实盘净值数据(iFinD）'!$Z$65:$AA$65))*(1-实盘持仓初始配置!$Z$9)^(('实盘净值数据(iFinD）'!$A980-'实盘净值数据(iFinD）'!$A$8)/365))</f>
        <v/>
      </c>
      <c r="R980" s="16" t="str">
        <f t="shared" si="95"/>
        <v/>
      </c>
      <c r="S980" s="16" t="str">
        <f>IF(Q980="","",Q980/MAX(Q$5:Q980)-1)</f>
        <v/>
      </c>
      <c r="T980" s="13">
        <f>IF(OR('实盘净值数据(iFinD）'!$A980="",'实盘净值数据(iFinD）'!$B980="",'实盘净值数据(iFinD）'!$Z980="",'实盘净值数据(iFinD）'!$AA980="",'实盘净值数据(iFinD）'!$AB980="",'实盘净值数据(iFinD）'!$AL980=""),"",(SUMPRODUCT(分期持仓明细!$B$26:$Y$26,'实盘净值数据(iFinD）'!$B980:$Y980/'实盘净值数据(iFinD）'!$B$69:$Y$69)+SUMPRODUCT(分期持仓明细!$AC$26:$AD$26,'实盘净值数据(iFinD）'!$Z980:$AA980/'实盘净值数据(iFinD）'!$Z$69:$AA$69)+SUMPRODUCT(分期持仓明细!$AE$26:$AO$26,'实盘净值数据(iFinD）'!$AB980:$AL980/'实盘净值数据(iFinD）'!$AB$69:$AL$69))*(1-实盘持仓初始配置!$Z$10)^(('实盘净值数据(iFinD）'!$A980-'实盘净值数据(iFinD）'!$A$69)/365))</f>
        <v/>
      </c>
      <c r="U980" s="16">
        <f>IF(OR(T979="",T980=""),"",T980/T979-1)</f>
        <v/>
      </c>
      <c r="V980" s="16">
        <f>IF(T980="","",T980/MAX(T$5:T980)-1)</f>
        <v/>
      </c>
    </row>
    <row r="981" spans="1:19">
      <c r="A981" s="15" t="str">
        <f>IF('实盘净值数据(iFinD）'!A981="","",'实盘净值数据(iFinD）'!A981)</f>
        <v/>
      </c>
      <c r="B981" s="13" t="str">
        <f>IF(OR('实盘净值数据(iFinD）'!$A981="",'实盘净值数据(iFinD）'!$B981=""),"",分期持仓明细!$AB$17*SUMPRODUCT(分期持仓明细!$B$17:$Y$17,'实盘净值数据(iFinD）'!$B981:$Y981/'实盘净值数据(iFinD）'!$B$20:$Y$20)*(1-实盘持仓初始配置!$Z$4)^(('实盘净值数据(iFinD）'!$A981-'实盘净值数据(iFinD）'!$A$6)/365))</f>
        <v/>
      </c>
      <c r="C981" s="16" t="str">
        <f t="shared" si="90"/>
        <v/>
      </c>
      <c r="D981" s="16" t="str">
        <f>IF(B981="","",B981/MAX(B$5:B981)-1)</f>
        <v/>
      </c>
      <c r="E981" s="13" t="str">
        <f>IF(OR('实盘净值数据(iFinD）'!$A981="",'实盘净值数据(iFinD）'!$B981=""),"",分期持仓明细!$AB$18*SUMPRODUCT(分期持仓明细!$B$18:$Y$18,'实盘净值数据(iFinD）'!$B981:$Y981/'实盘净值数据(iFinD）'!$B$20:$Y$20)*(1-实盘持仓初始配置!$Z$5)^(('实盘净值数据(iFinD）'!$A981-'实盘净值数据(iFinD）'!$A$5)/365))</f>
        <v/>
      </c>
      <c r="F981" s="16" t="str">
        <f t="shared" si="91"/>
        <v/>
      </c>
      <c r="G981" s="16" t="str">
        <f>IF(E981="","",E981/MAX(E$5:E981)-1)</f>
        <v/>
      </c>
      <c r="H981" s="13" t="str">
        <f>IF(OR('实盘净值数据(iFinD）'!$A981="",'实盘净值数据(iFinD）'!$B981=""),"",分期持仓明细!$AB$19*SUMPRODUCT(分期持仓明细!$B$19:$Y$19,'实盘净值数据(iFinD）'!$B981:$Y981/'实盘净值数据(iFinD）'!$B$20:$Y$20)*(1-实盘持仓初始配置!$Z$6)^(('实盘净值数据(iFinD）'!$A981-'实盘净值数据(iFinD）'!$A$7)/365))</f>
        <v/>
      </c>
      <c r="I981" s="16" t="str">
        <f t="shared" si="92"/>
        <v/>
      </c>
      <c r="J981" s="16" t="str">
        <f>IF(H981="","",H981/MAX(H$5:H981)-1)</f>
        <v/>
      </c>
      <c r="K981" s="13" t="str">
        <f>IF(OR('实盘净值数据(iFinD）'!$A981="",'实盘净值数据(iFinD）'!$B981="",'实盘净值数据(iFinD）'!$Z981="",'实盘净值数据(iFinD）'!$AA981=""),"",分期持仓明细!$AB$23*(SUMPRODUCT(分期持仓明细!$B$23:$Y$23,'实盘净值数据(iFinD）'!$B981:$Y981/'实盘净值数据(iFinD）'!$B$65:$Y$65)+SUMPRODUCT(分期持仓明细!$AC$23:$AD$23,'实盘净值数据(iFinD）'!$Z981:$AA981/'实盘净值数据(iFinD）'!$Z$65:$AA$65))*(1-实盘持仓初始配置!$Z$7)^(('实盘净值数据(iFinD）'!$A981-'实盘净值数据(iFinD）'!$A$8)/365))</f>
        <v/>
      </c>
      <c r="L981" s="16" t="str">
        <f t="shared" si="93"/>
        <v/>
      </c>
      <c r="M981" s="16" t="str">
        <f>IF(K981="","",K981/MAX(K$5:K981)-1)</f>
        <v/>
      </c>
      <c r="N981" s="13" t="str">
        <f>IF(OR('实盘净值数据(iFinD）'!$A981="",'实盘净值数据(iFinD）'!$B981="",'实盘净值数据(iFinD）'!$Z981="",'实盘净值数据(iFinD）'!$AA981=""),"",分期持仓明细!$AB$24*(SUMPRODUCT(分期持仓明细!$B$24:$Y$24,'实盘净值数据(iFinD）'!$B981:$Y981/'实盘净值数据(iFinD）'!$B$65:$Y$65)+SUMPRODUCT(分期持仓明细!$AC$24:$AD$24,'实盘净值数据(iFinD）'!$Z981:$AA981/'实盘净值数据(iFinD）'!$Z$65:$AA$65))*(1-实盘持仓初始配置!$Z$8)^(('实盘净值数据(iFinD）'!$A981-'实盘净值数据(iFinD）'!$A$5)/365))</f>
        <v/>
      </c>
      <c r="O981" s="16" t="str">
        <f t="shared" si="94"/>
        <v/>
      </c>
      <c r="P981" s="16" t="str">
        <f>IF(N981="","",N981/MAX(N$5:N981)-1)</f>
        <v/>
      </c>
      <c r="Q981" s="13" t="str">
        <f>IF(OR('实盘净值数据(iFinD）'!$A981="",'实盘净值数据(iFinD）'!$B981="",'实盘净值数据(iFinD）'!$Z981="",'实盘净值数据(iFinD）'!$AA981=""),"",分期持仓明细!$AB$25*(SUMPRODUCT(分期持仓明细!$B$25:$Y$25,'实盘净值数据(iFinD）'!$B981:$Y981/'实盘净值数据(iFinD）'!$B$65:$Y$65)+SUMPRODUCT(分期持仓明细!$AC$25:$AD$25,'实盘净值数据(iFinD）'!$Z981:$AA981/'实盘净值数据(iFinD）'!$Z$65:$AA$65))*(1-实盘持仓初始配置!$Z$9)^(('实盘净值数据(iFinD）'!$A981-'实盘净值数据(iFinD）'!$A$8)/365))</f>
        <v/>
      </c>
      <c r="R981" s="16" t="str">
        <f t="shared" si="95"/>
        <v/>
      </c>
      <c r="S981" s="16" t="str">
        <f>IF(Q981="","",Q981/MAX(Q$5:Q981)-1)</f>
        <v/>
      </c>
      <c r="T981" s="13">
        <f>IF(OR('实盘净值数据(iFinD）'!$A981="",'实盘净值数据(iFinD）'!$B981="",'实盘净值数据(iFinD）'!$Z981="",'实盘净值数据(iFinD）'!$AA981="",'实盘净值数据(iFinD）'!$AB981="",'实盘净值数据(iFinD）'!$AL981=""),"",(SUMPRODUCT(分期持仓明细!$B$26:$Y$26,'实盘净值数据(iFinD）'!$B981:$Y981/'实盘净值数据(iFinD）'!$B$69:$Y$69)+SUMPRODUCT(分期持仓明细!$AC$26:$AD$26,'实盘净值数据(iFinD）'!$Z981:$AA981/'实盘净值数据(iFinD）'!$Z$69:$AA$69)+SUMPRODUCT(分期持仓明细!$AE$26:$AO$26,'实盘净值数据(iFinD）'!$AB981:$AL981/'实盘净值数据(iFinD）'!$AB$69:$AL$69))*(1-实盘持仓初始配置!$Z$10)^(('实盘净值数据(iFinD）'!$A981-'实盘净值数据(iFinD）'!$A$69)/365))</f>
        <v/>
      </c>
      <c r="U981" s="16">
        <f>IF(OR(T980="",T981=""),"",T981/T980-1)</f>
        <v/>
      </c>
      <c r="V981" s="16">
        <f>IF(T981="","",T981/MAX(T$5:T981)-1)</f>
        <v/>
      </c>
    </row>
    <row r="982" spans="1:19">
      <c r="A982" s="15" t="str">
        <f>IF('实盘净值数据(iFinD）'!A982="","",'实盘净值数据(iFinD）'!A982)</f>
        <v/>
      </c>
      <c r="B982" s="13" t="str">
        <f>IF(OR('实盘净值数据(iFinD）'!$A982="",'实盘净值数据(iFinD）'!$B982=""),"",分期持仓明细!$AB$17*SUMPRODUCT(分期持仓明细!$B$17:$Y$17,'实盘净值数据(iFinD）'!$B982:$Y982/'实盘净值数据(iFinD）'!$B$20:$Y$20)*(1-实盘持仓初始配置!$Z$4)^(('实盘净值数据(iFinD）'!$A982-'实盘净值数据(iFinD）'!$A$6)/365))</f>
        <v/>
      </c>
      <c r="C982" s="16" t="str">
        <f t="shared" si="90"/>
        <v/>
      </c>
      <c r="D982" s="16" t="str">
        <f>IF(B982="","",B982/MAX(B$5:B982)-1)</f>
        <v/>
      </c>
      <c r="E982" s="13" t="str">
        <f>IF(OR('实盘净值数据(iFinD）'!$A982="",'实盘净值数据(iFinD）'!$B982=""),"",分期持仓明细!$AB$18*SUMPRODUCT(分期持仓明细!$B$18:$Y$18,'实盘净值数据(iFinD）'!$B982:$Y982/'实盘净值数据(iFinD）'!$B$20:$Y$20)*(1-实盘持仓初始配置!$Z$5)^(('实盘净值数据(iFinD）'!$A982-'实盘净值数据(iFinD）'!$A$5)/365))</f>
        <v/>
      </c>
      <c r="F982" s="16" t="str">
        <f t="shared" si="91"/>
        <v/>
      </c>
      <c r="G982" s="16" t="str">
        <f>IF(E982="","",E982/MAX(E$5:E982)-1)</f>
        <v/>
      </c>
      <c r="H982" s="13" t="str">
        <f>IF(OR('实盘净值数据(iFinD）'!$A982="",'实盘净值数据(iFinD）'!$B982=""),"",分期持仓明细!$AB$19*SUMPRODUCT(分期持仓明细!$B$19:$Y$19,'实盘净值数据(iFinD）'!$B982:$Y982/'实盘净值数据(iFinD）'!$B$20:$Y$20)*(1-实盘持仓初始配置!$Z$6)^(('实盘净值数据(iFinD）'!$A982-'实盘净值数据(iFinD）'!$A$7)/365))</f>
        <v/>
      </c>
      <c r="I982" s="16" t="str">
        <f t="shared" si="92"/>
        <v/>
      </c>
      <c r="J982" s="16" t="str">
        <f>IF(H982="","",H982/MAX(H$5:H982)-1)</f>
        <v/>
      </c>
      <c r="K982" s="13" t="str">
        <f>IF(OR('实盘净值数据(iFinD）'!$A982="",'实盘净值数据(iFinD）'!$B982="",'实盘净值数据(iFinD）'!$Z982="",'实盘净值数据(iFinD）'!$AA982=""),"",分期持仓明细!$AB$23*(SUMPRODUCT(分期持仓明细!$B$23:$Y$23,'实盘净值数据(iFinD）'!$B982:$Y982/'实盘净值数据(iFinD）'!$B$65:$Y$65)+SUMPRODUCT(分期持仓明细!$AC$23:$AD$23,'实盘净值数据(iFinD）'!$Z982:$AA982/'实盘净值数据(iFinD）'!$Z$65:$AA$65))*(1-实盘持仓初始配置!$Z$7)^(('实盘净值数据(iFinD）'!$A982-'实盘净值数据(iFinD）'!$A$8)/365))</f>
        <v/>
      </c>
      <c r="L982" s="16" t="str">
        <f t="shared" si="93"/>
        <v/>
      </c>
      <c r="M982" s="16" t="str">
        <f>IF(K982="","",K982/MAX(K$5:K982)-1)</f>
        <v/>
      </c>
      <c r="N982" s="13" t="str">
        <f>IF(OR('实盘净值数据(iFinD）'!$A982="",'实盘净值数据(iFinD）'!$B982="",'实盘净值数据(iFinD）'!$Z982="",'实盘净值数据(iFinD）'!$AA982=""),"",分期持仓明细!$AB$24*(SUMPRODUCT(分期持仓明细!$B$24:$Y$24,'实盘净值数据(iFinD）'!$B982:$Y982/'实盘净值数据(iFinD）'!$B$65:$Y$65)+SUMPRODUCT(分期持仓明细!$AC$24:$AD$24,'实盘净值数据(iFinD）'!$Z982:$AA982/'实盘净值数据(iFinD）'!$Z$65:$AA$65))*(1-实盘持仓初始配置!$Z$8)^(('实盘净值数据(iFinD）'!$A982-'实盘净值数据(iFinD）'!$A$5)/365))</f>
        <v/>
      </c>
      <c r="O982" s="16" t="str">
        <f t="shared" si="94"/>
        <v/>
      </c>
      <c r="P982" s="16" t="str">
        <f>IF(N982="","",N982/MAX(N$5:N982)-1)</f>
        <v/>
      </c>
      <c r="Q982" s="13" t="str">
        <f>IF(OR('实盘净值数据(iFinD）'!$A982="",'实盘净值数据(iFinD）'!$B982="",'实盘净值数据(iFinD）'!$Z982="",'实盘净值数据(iFinD）'!$AA982=""),"",分期持仓明细!$AB$25*(SUMPRODUCT(分期持仓明细!$B$25:$Y$25,'实盘净值数据(iFinD）'!$B982:$Y982/'实盘净值数据(iFinD）'!$B$65:$Y$65)+SUMPRODUCT(分期持仓明细!$AC$25:$AD$25,'实盘净值数据(iFinD）'!$Z982:$AA982/'实盘净值数据(iFinD）'!$Z$65:$AA$65))*(1-实盘持仓初始配置!$Z$9)^(('实盘净值数据(iFinD）'!$A982-'实盘净值数据(iFinD）'!$A$8)/365))</f>
        <v/>
      </c>
      <c r="R982" s="16" t="str">
        <f t="shared" si="95"/>
        <v/>
      </c>
      <c r="S982" s="16" t="str">
        <f>IF(Q982="","",Q982/MAX(Q$5:Q982)-1)</f>
        <v/>
      </c>
      <c r="T982" s="13">
        <f>IF(OR('实盘净值数据(iFinD）'!$A982="",'实盘净值数据(iFinD）'!$B982="",'实盘净值数据(iFinD）'!$Z982="",'实盘净值数据(iFinD）'!$AA982="",'实盘净值数据(iFinD）'!$AB982="",'实盘净值数据(iFinD）'!$AL982=""),"",(SUMPRODUCT(分期持仓明细!$B$26:$Y$26,'实盘净值数据(iFinD）'!$B982:$Y982/'实盘净值数据(iFinD）'!$B$69:$Y$69)+SUMPRODUCT(分期持仓明细!$AC$26:$AD$26,'实盘净值数据(iFinD）'!$Z982:$AA982/'实盘净值数据(iFinD）'!$Z$69:$AA$69)+SUMPRODUCT(分期持仓明细!$AE$26:$AO$26,'实盘净值数据(iFinD）'!$AB982:$AL982/'实盘净值数据(iFinD）'!$AB$69:$AL$69))*(1-实盘持仓初始配置!$Z$10)^(('实盘净值数据(iFinD）'!$A982-'实盘净值数据(iFinD）'!$A$69)/365))</f>
        <v/>
      </c>
      <c r="U982" s="16">
        <f>IF(OR(T981="",T982=""),"",T982/T981-1)</f>
        <v/>
      </c>
      <c r="V982" s="16">
        <f>IF(T982="","",T982/MAX(T$5:T982)-1)</f>
        <v/>
      </c>
    </row>
    <row r="983" spans="1:19">
      <c r="A983" s="15" t="str">
        <f>IF('实盘净值数据(iFinD）'!A983="","",'实盘净值数据(iFinD）'!A983)</f>
        <v/>
      </c>
      <c r="B983" s="13" t="str">
        <f>IF(OR('实盘净值数据(iFinD）'!$A983="",'实盘净值数据(iFinD）'!$B983=""),"",分期持仓明细!$AB$17*SUMPRODUCT(分期持仓明细!$B$17:$Y$17,'实盘净值数据(iFinD）'!$B983:$Y983/'实盘净值数据(iFinD）'!$B$20:$Y$20)*(1-实盘持仓初始配置!$Z$4)^(('实盘净值数据(iFinD）'!$A983-'实盘净值数据(iFinD）'!$A$6)/365))</f>
        <v/>
      </c>
      <c r="C983" s="16" t="str">
        <f t="shared" si="90"/>
        <v/>
      </c>
      <c r="D983" s="16" t="str">
        <f>IF(B983="","",B983/MAX(B$5:B983)-1)</f>
        <v/>
      </c>
      <c r="E983" s="13" t="str">
        <f>IF(OR('实盘净值数据(iFinD）'!$A983="",'实盘净值数据(iFinD）'!$B983=""),"",分期持仓明细!$AB$18*SUMPRODUCT(分期持仓明细!$B$18:$Y$18,'实盘净值数据(iFinD）'!$B983:$Y983/'实盘净值数据(iFinD）'!$B$20:$Y$20)*(1-实盘持仓初始配置!$Z$5)^(('实盘净值数据(iFinD）'!$A983-'实盘净值数据(iFinD）'!$A$5)/365))</f>
        <v/>
      </c>
      <c r="F983" s="16" t="str">
        <f t="shared" si="91"/>
        <v/>
      </c>
      <c r="G983" s="16" t="str">
        <f>IF(E983="","",E983/MAX(E$5:E983)-1)</f>
        <v/>
      </c>
      <c r="H983" s="13" t="str">
        <f>IF(OR('实盘净值数据(iFinD）'!$A983="",'实盘净值数据(iFinD）'!$B983=""),"",分期持仓明细!$AB$19*SUMPRODUCT(分期持仓明细!$B$19:$Y$19,'实盘净值数据(iFinD）'!$B983:$Y983/'实盘净值数据(iFinD）'!$B$20:$Y$20)*(1-实盘持仓初始配置!$Z$6)^(('实盘净值数据(iFinD）'!$A983-'实盘净值数据(iFinD）'!$A$7)/365))</f>
        <v/>
      </c>
      <c r="I983" s="16" t="str">
        <f t="shared" si="92"/>
        <v/>
      </c>
      <c r="J983" s="16" t="str">
        <f>IF(H983="","",H983/MAX(H$5:H983)-1)</f>
        <v/>
      </c>
      <c r="K983" s="13" t="str">
        <f>IF(OR('实盘净值数据(iFinD）'!$A983="",'实盘净值数据(iFinD）'!$B983="",'实盘净值数据(iFinD）'!$Z983="",'实盘净值数据(iFinD）'!$AA983=""),"",分期持仓明细!$AB$23*(SUMPRODUCT(分期持仓明细!$B$23:$Y$23,'实盘净值数据(iFinD）'!$B983:$Y983/'实盘净值数据(iFinD）'!$B$65:$Y$65)+SUMPRODUCT(分期持仓明细!$AC$23:$AD$23,'实盘净值数据(iFinD）'!$Z983:$AA983/'实盘净值数据(iFinD）'!$Z$65:$AA$65))*(1-实盘持仓初始配置!$Z$7)^(('实盘净值数据(iFinD）'!$A983-'实盘净值数据(iFinD）'!$A$8)/365))</f>
        <v/>
      </c>
      <c r="L983" s="16" t="str">
        <f t="shared" si="93"/>
        <v/>
      </c>
      <c r="M983" s="16" t="str">
        <f>IF(K983="","",K983/MAX(K$5:K983)-1)</f>
        <v/>
      </c>
      <c r="N983" s="13" t="str">
        <f>IF(OR('实盘净值数据(iFinD）'!$A983="",'实盘净值数据(iFinD）'!$B983="",'实盘净值数据(iFinD）'!$Z983="",'实盘净值数据(iFinD）'!$AA983=""),"",分期持仓明细!$AB$24*(SUMPRODUCT(分期持仓明细!$B$24:$Y$24,'实盘净值数据(iFinD）'!$B983:$Y983/'实盘净值数据(iFinD）'!$B$65:$Y$65)+SUMPRODUCT(分期持仓明细!$AC$24:$AD$24,'实盘净值数据(iFinD）'!$Z983:$AA983/'实盘净值数据(iFinD）'!$Z$65:$AA$65))*(1-实盘持仓初始配置!$Z$8)^(('实盘净值数据(iFinD）'!$A983-'实盘净值数据(iFinD）'!$A$5)/365))</f>
        <v/>
      </c>
      <c r="O983" s="16" t="str">
        <f t="shared" si="94"/>
        <v/>
      </c>
      <c r="P983" s="16" t="str">
        <f>IF(N983="","",N983/MAX(N$5:N983)-1)</f>
        <v/>
      </c>
      <c r="Q983" s="13" t="str">
        <f>IF(OR('实盘净值数据(iFinD）'!$A983="",'实盘净值数据(iFinD）'!$B983="",'实盘净值数据(iFinD）'!$Z983="",'实盘净值数据(iFinD）'!$AA983=""),"",分期持仓明细!$AB$25*(SUMPRODUCT(分期持仓明细!$B$25:$Y$25,'实盘净值数据(iFinD）'!$B983:$Y983/'实盘净值数据(iFinD）'!$B$65:$Y$65)+SUMPRODUCT(分期持仓明细!$AC$25:$AD$25,'实盘净值数据(iFinD）'!$Z983:$AA983/'实盘净值数据(iFinD）'!$Z$65:$AA$65))*(1-实盘持仓初始配置!$Z$9)^(('实盘净值数据(iFinD）'!$A983-'实盘净值数据(iFinD）'!$A$8)/365))</f>
        <v/>
      </c>
      <c r="R983" s="16" t="str">
        <f t="shared" si="95"/>
        <v/>
      </c>
      <c r="S983" s="16" t="str">
        <f>IF(Q983="","",Q983/MAX(Q$5:Q983)-1)</f>
        <v/>
      </c>
      <c r="T983" s="13">
        <f>IF(OR('实盘净值数据(iFinD）'!$A983="",'实盘净值数据(iFinD）'!$B983="",'实盘净值数据(iFinD）'!$Z983="",'实盘净值数据(iFinD）'!$AA983="",'实盘净值数据(iFinD）'!$AB983="",'实盘净值数据(iFinD）'!$AL983=""),"",(SUMPRODUCT(分期持仓明细!$B$26:$Y$26,'实盘净值数据(iFinD）'!$B983:$Y983/'实盘净值数据(iFinD）'!$B$69:$Y$69)+SUMPRODUCT(分期持仓明细!$AC$26:$AD$26,'实盘净值数据(iFinD）'!$Z983:$AA983/'实盘净值数据(iFinD）'!$Z$69:$AA$69)+SUMPRODUCT(分期持仓明细!$AE$26:$AO$26,'实盘净值数据(iFinD）'!$AB983:$AL983/'实盘净值数据(iFinD）'!$AB$69:$AL$69))*(1-实盘持仓初始配置!$Z$10)^(('实盘净值数据(iFinD）'!$A983-'实盘净值数据(iFinD）'!$A$69)/365))</f>
        <v/>
      </c>
      <c r="U983" s="16">
        <f>IF(OR(T982="",T983=""),"",T983/T982-1)</f>
        <v/>
      </c>
      <c r="V983" s="16">
        <f>IF(T983="","",T983/MAX(T$5:T983)-1)</f>
        <v/>
      </c>
    </row>
    <row r="984" spans="1:19">
      <c r="A984" s="15" t="str">
        <f>IF('实盘净值数据(iFinD）'!A984="","",'实盘净值数据(iFinD）'!A984)</f>
        <v/>
      </c>
      <c r="B984" s="13" t="str">
        <f>IF(OR('实盘净值数据(iFinD）'!$A984="",'实盘净值数据(iFinD）'!$B984=""),"",分期持仓明细!$AB$17*SUMPRODUCT(分期持仓明细!$B$17:$Y$17,'实盘净值数据(iFinD）'!$B984:$Y984/'实盘净值数据(iFinD）'!$B$20:$Y$20)*(1-实盘持仓初始配置!$Z$4)^(('实盘净值数据(iFinD）'!$A984-'实盘净值数据(iFinD）'!$A$6)/365))</f>
        <v/>
      </c>
      <c r="C984" s="16" t="str">
        <f t="shared" si="90"/>
        <v/>
      </c>
      <c r="D984" s="16" t="str">
        <f>IF(B984="","",B984/MAX(B$5:B984)-1)</f>
        <v/>
      </c>
      <c r="E984" s="13" t="str">
        <f>IF(OR('实盘净值数据(iFinD）'!$A984="",'实盘净值数据(iFinD）'!$B984=""),"",分期持仓明细!$AB$18*SUMPRODUCT(分期持仓明细!$B$18:$Y$18,'实盘净值数据(iFinD）'!$B984:$Y984/'实盘净值数据(iFinD）'!$B$20:$Y$20)*(1-实盘持仓初始配置!$Z$5)^(('实盘净值数据(iFinD）'!$A984-'实盘净值数据(iFinD）'!$A$5)/365))</f>
        <v/>
      </c>
      <c r="F984" s="16" t="str">
        <f t="shared" si="91"/>
        <v/>
      </c>
      <c r="G984" s="16" t="str">
        <f>IF(E984="","",E984/MAX(E$5:E984)-1)</f>
        <v/>
      </c>
      <c r="H984" s="13" t="str">
        <f>IF(OR('实盘净值数据(iFinD）'!$A984="",'实盘净值数据(iFinD）'!$B984=""),"",分期持仓明细!$AB$19*SUMPRODUCT(分期持仓明细!$B$19:$Y$19,'实盘净值数据(iFinD）'!$B984:$Y984/'实盘净值数据(iFinD）'!$B$20:$Y$20)*(1-实盘持仓初始配置!$Z$6)^(('实盘净值数据(iFinD）'!$A984-'实盘净值数据(iFinD）'!$A$7)/365))</f>
        <v/>
      </c>
      <c r="I984" s="16" t="str">
        <f t="shared" si="92"/>
        <v/>
      </c>
      <c r="J984" s="16" t="str">
        <f>IF(H984="","",H984/MAX(H$5:H984)-1)</f>
        <v/>
      </c>
      <c r="K984" s="13" t="str">
        <f>IF(OR('实盘净值数据(iFinD）'!$A984="",'实盘净值数据(iFinD）'!$B984="",'实盘净值数据(iFinD）'!$Z984="",'实盘净值数据(iFinD）'!$AA984=""),"",分期持仓明细!$AB$23*(SUMPRODUCT(分期持仓明细!$B$23:$Y$23,'实盘净值数据(iFinD）'!$B984:$Y984/'实盘净值数据(iFinD）'!$B$65:$Y$65)+SUMPRODUCT(分期持仓明细!$AC$23:$AD$23,'实盘净值数据(iFinD）'!$Z984:$AA984/'实盘净值数据(iFinD）'!$Z$65:$AA$65))*(1-实盘持仓初始配置!$Z$7)^(('实盘净值数据(iFinD）'!$A984-'实盘净值数据(iFinD）'!$A$8)/365))</f>
        <v/>
      </c>
      <c r="L984" s="16" t="str">
        <f t="shared" si="93"/>
        <v/>
      </c>
      <c r="M984" s="16" t="str">
        <f>IF(K984="","",K984/MAX(K$5:K984)-1)</f>
        <v/>
      </c>
      <c r="N984" s="13" t="str">
        <f>IF(OR('实盘净值数据(iFinD）'!$A984="",'实盘净值数据(iFinD）'!$B984="",'实盘净值数据(iFinD）'!$Z984="",'实盘净值数据(iFinD）'!$AA984=""),"",分期持仓明细!$AB$24*(SUMPRODUCT(分期持仓明细!$B$24:$Y$24,'实盘净值数据(iFinD）'!$B984:$Y984/'实盘净值数据(iFinD）'!$B$65:$Y$65)+SUMPRODUCT(分期持仓明细!$AC$24:$AD$24,'实盘净值数据(iFinD）'!$Z984:$AA984/'实盘净值数据(iFinD）'!$Z$65:$AA$65))*(1-实盘持仓初始配置!$Z$8)^(('实盘净值数据(iFinD）'!$A984-'实盘净值数据(iFinD）'!$A$5)/365))</f>
        <v/>
      </c>
      <c r="O984" s="16" t="str">
        <f t="shared" si="94"/>
        <v/>
      </c>
      <c r="P984" s="16" t="str">
        <f>IF(N984="","",N984/MAX(N$5:N984)-1)</f>
        <v/>
      </c>
      <c r="Q984" s="13" t="str">
        <f>IF(OR('实盘净值数据(iFinD）'!$A984="",'实盘净值数据(iFinD）'!$B984="",'实盘净值数据(iFinD）'!$Z984="",'实盘净值数据(iFinD）'!$AA984=""),"",分期持仓明细!$AB$25*(SUMPRODUCT(分期持仓明细!$B$25:$Y$25,'实盘净值数据(iFinD）'!$B984:$Y984/'实盘净值数据(iFinD）'!$B$65:$Y$65)+SUMPRODUCT(分期持仓明细!$AC$25:$AD$25,'实盘净值数据(iFinD）'!$Z984:$AA984/'实盘净值数据(iFinD）'!$Z$65:$AA$65))*(1-实盘持仓初始配置!$Z$9)^(('实盘净值数据(iFinD）'!$A984-'实盘净值数据(iFinD）'!$A$8)/365))</f>
        <v/>
      </c>
      <c r="R984" s="16" t="str">
        <f t="shared" si="95"/>
        <v/>
      </c>
      <c r="S984" s="16" t="str">
        <f>IF(Q984="","",Q984/MAX(Q$5:Q984)-1)</f>
        <v/>
      </c>
      <c r="T984" s="13">
        <f>IF(OR('实盘净值数据(iFinD）'!$A984="",'实盘净值数据(iFinD）'!$B984="",'实盘净值数据(iFinD）'!$Z984="",'实盘净值数据(iFinD）'!$AA984="",'实盘净值数据(iFinD）'!$AB984="",'实盘净值数据(iFinD）'!$AL984=""),"",(SUMPRODUCT(分期持仓明细!$B$26:$Y$26,'实盘净值数据(iFinD）'!$B984:$Y984/'实盘净值数据(iFinD）'!$B$69:$Y$69)+SUMPRODUCT(分期持仓明细!$AC$26:$AD$26,'实盘净值数据(iFinD）'!$Z984:$AA984/'实盘净值数据(iFinD）'!$Z$69:$AA$69)+SUMPRODUCT(分期持仓明细!$AE$26:$AO$26,'实盘净值数据(iFinD）'!$AB984:$AL984/'实盘净值数据(iFinD）'!$AB$69:$AL$69))*(1-实盘持仓初始配置!$Z$10)^(('实盘净值数据(iFinD）'!$A984-'实盘净值数据(iFinD）'!$A$69)/365))</f>
        <v/>
      </c>
      <c r="U984" s="16">
        <f>IF(OR(T983="",T984=""),"",T984/T983-1)</f>
        <v/>
      </c>
      <c r="V984" s="16">
        <f>IF(T984="","",T984/MAX(T$5:T984)-1)</f>
        <v/>
      </c>
    </row>
    <row r="985" spans="1:19">
      <c r="A985" s="15" t="str">
        <f>IF('实盘净值数据(iFinD）'!A985="","",'实盘净值数据(iFinD）'!A985)</f>
        <v/>
      </c>
      <c r="B985" s="13" t="str">
        <f>IF(OR('实盘净值数据(iFinD）'!$A985="",'实盘净值数据(iFinD）'!$B985=""),"",分期持仓明细!$AB$17*SUMPRODUCT(分期持仓明细!$B$17:$Y$17,'实盘净值数据(iFinD）'!$B985:$Y985/'实盘净值数据(iFinD）'!$B$20:$Y$20)*(1-实盘持仓初始配置!$Z$4)^(('实盘净值数据(iFinD）'!$A985-'实盘净值数据(iFinD）'!$A$6)/365))</f>
        <v/>
      </c>
      <c r="C985" s="16" t="str">
        <f t="shared" si="90"/>
        <v/>
      </c>
      <c r="D985" s="16" t="str">
        <f>IF(B985="","",B985/MAX(B$5:B985)-1)</f>
        <v/>
      </c>
      <c r="E985" s="13" t="str">
        <f>IF(OR('实盘净值数据(iFinD）'!$A985="",'实盘净值数据(iFinD）'!$B985=""),"",分期持仓明细!$AB$18*SUMPRODUCT(分期持仓明细!$B$18:$Y$18,'实盘净值数据(iFinD）'!$B985:$Y985/'实盘净值数据(iFinD）'!$B$20:$Y$20)*(1-实盘持仓初始配置!$Z$5)^(('实盘净值数据(iFinD）'!$A985-'实盘净值数据(iFinD）'!$A$5)/365))</f>
        <v/>
      </c>
      <c r="F985" s="16" t="str">
        <f t="shared" si="91"/>
        <v/>
      </c>
      <c r="G985" s="16" t="str">
        <f>IF(E985="","",E985/MAX(E$5:E985)-1)</f>
        <v/>
      </c>
      <c r="H985" s="13" t="str">
        <f>IF(OR('实盘净值数据(iFinD）'!$A985="",'实盘净值数据(iFinD）'!$B985=""),"",分期持仓明细!$AB$19*SUMPRODUCT(分期持仓明细!$B$19:$Y$19,'实盘净值数据(iFinD）'!$B985:$Y985/'实盘净值数据(iFinD）'!$B$20:$Y$20)*(1-实盘持仓初始配置!$Z$6)^(('实盘净值数据(iFinD）'!$A985-'实盘净值数据(iFinD）'!$A$7)/365))</f>
        <v/>
      </c>
      <c r="I985" s="16" t="str">
        <f t="shared" si="92"/>
        <v/>
      </c>
      <c r="J985" s="16" t="str">
        <f>IF(H985="","",H985/MAX(H$5:H985)-1)</f>
        <v/>
      </c>
      <c r="K985" s="13" t="str">
        <f>IF(OR('实盘净值数据(iFinD）'!$A985="",'实盘净值数据(iFinD）'!$B985="",'实盘净值数据(iFinD）'!$Z985="",'实盘净值数据(iFinD）'!$AA985=""),"",分期持仓明细!$AB$23*(SUMPRODUCT(分期持仓明细!$B$23:$Y$23,'实盘净值数据(iFinD）'!$B985:$Y985/'实盘净值数据(iFinD）'!$B$65:$Y$65)+SUMPRODUCT(分期持仓明细!$AC$23:$AD$23,'实盘净值数据(iFinD）'!$Z985:$AA985/'实盘净值数据(iFinD）'!$Z$65:$AA$65))*(1-实盘持仓初始配置!$Z$7)^(('实盘净值数据(iFinD）'!$A985-'实盘净值数据(iFinD）'!$A$8)/365))</f>
        <v/>
      </c>
      <c r="L985" s="16" t="str">
        <f t="shared" si="93"/>
        <v/>
      </c>
      <c r="M985" s="16" t="str">
        <f>IF(K985="","",K985/MAX(K$5:K985)-1)</f>
        <v/>
      </c>
      <c r="N985" s="13" t="str">
        <f>IF(OR('实盘净值数据(iFinD）'!$A985="",'实盘净值数据(iFinD）'!$B985="",'实盘净值数据(iFinD）'!$Z985="",'实盘净值数据(iFinD）'!$AA985=""),"",分期持仓明细!$AB$24*(SUMPRODUCT(分期持仓明细!$B$24:$Y$24,'实盘净值数据(iFinD）'!$B985:$Y985/'实盘净值数据(iFinD）'!$B$65:$Y$65)+SUMPRODUCT(分期持仓明细!$AC$24:$AD$24,'实盘净值数据(iFinD）'!$Z985:$AA985/'实盘净值数据(iFinD）'!$Z$65:$AA$65))*(1-实盘持仓初始配置!$Z$8)^(('实盘净值数据(iFinD）'!$A985-'实盘净值数据(iFinD）'!$A$5)/365))</f>
        <v/>
      </c>
      <c r="O985" s="16" t="str">
        <f t="shared" si="94"/>
        <v/>
      </c>
      <c r="P985" s="16" t="str">
        <f>IF(N985="","",N985/MAX(N$5:N985)-1)</f>
        <v/>
      </c>
      <c r="Q985" s="13" t="str">
        <f>IF(OR('实盘净值数据(iFinD）'!$A985="",'实盘净值数据(iFinD）'!$B985="",'实盘净值数据(iFinD）'!$Z985="",'实盘净值数据(iFinD）'!$AA985=""),"",分期持仓明细!$AB$25*(SUMPRODUCT(分期持仓明细!$B$25:$Y$25,'实盘净值数据(iFinD）'!$B985:$Y985/'实盘净值数据(iFinD）'!$B$65:$Y$65)+SUMPRODUCT(分期持仓明细!$AC$25:$AD$25,'实盘净值数据(iFinD）'!$Z985:$AA985/'实盘净值数据(iFinD）'!$Z$65:$AA$65))*(1-实盘持仓初始配置!$Z$9)^(('实盘净值数据(iFinD）'!$A985-'实盘净值数据(iFinD）'!$A$8)/365))</f>
        <v/>
      </c>
      <c r="R985" s="16" t="str">
        <f t="shared" si="95"/>
        <v/>
      </c>
      <c r="S985" s="16" t="str">
        <f>IF(Q985="","",Q985/MAX(Q$5:Q985)-1)</f>
        <v/>
      </c>
      <c r="T985" s="13">
        <f>IF(OR('实盘净值数据(iFinD）'!$A985="",'实盘净值数据(iFinD）'!$B985="",'实盘净值数据(iFinD）'!$Z985="",'实盘净值数据(iFinD）'!$AA985="",'实盘净值数据(iFinD）'!$AB985="",'实盘净值数据(iFinD）'!$AL985=""),"",(SUMPRODUCT(分期持仓明细!$B$26:$Y$26,'实盘净值数据(iFinD）'!$B985:$Y985/'实盘净值数据(iFinD）'!$B$69:$Y$69)+SUMPRODUCT(分期持仓明细!$AC$26:$AD$26,'实盘净值数据(iFinD）'!$Z985:$AA985/'实盘净值数据(iFinD）'!$Z$69:$AA$69)+SUMPRODUCT(分期持仓明细!$AE$26:$AO$26,'实盘净值数据(iFinD）'!$AB985:$AL985/'实盘净值数据(iFinD）'!$AB$69:$AL$69))*(1-实盘持仓初始配置!$Z$10)^(('实盘净值数据(iFinD）'!$A985-'实盘净值数据(iFinD）'!$A$69)/365))</f>
        <v/>
      </c>
      <c r="U985" s="16">
        <f>IF(OR(T984="",T985=""),"",T985/T984-1)</f>
        <v/>
      </c>
      <c r="V985" s="16">
        <f>IF(T985="","",T985/MAX(T$5:T985)-1)</f>
        <v/>
      </c>
    </row>
    <row r="986" spans="1:19">
      <c r="A986" s="15" t="str">
        <f>IF('实盘净值数据(iFinD）'!A986="","",'实盘净值数据(iFinD）'!A986)</f>
        <v/>
      </c>
      <c r="B986" s="13" t="str">
        <f>IF(OR('实盘净值数据(iFinD）'!$A986="",'实盘净值数据(iFinD）'!$B986=""),"",分期持仓明细!$AB$17*SUMPRODUCT(分期持仓明细!$B$17:$Y$17,'实盘净值数据(iFinD）'!$B986:$Y986/'实盘净值数据(iFinD）'!$B$20:$Y$20)*(1-实盘持仓初始配置!$Z$4)^(('实盘净值数据(iFinD）'!$A986-'实盘净值数据(iFinD）'!$A$6)/365))</f>
        <v/>
      </c>
      <c r="C986" s="16" t="str">
        <f t="shared" si="90"/>
        <v/>
      </c>
      <c r="D986" s="16" t="str">
        <f>IF(B986="","",B986/MAX(B$5:B986)-1)</f>
        <v/>
      </c>
      <c r="E986" s="13" t="str">
        <f>IF(OR('实盘净值数据(iFinD）'!$A986="",'实盘净值数据(iFinD）'!$B986=""),"",分期持仓明细!$AB$18*SUMPRODUCT(分期持仓明细!$B$18:$Y$18,'实盘净值数据(iFinD）'!$B986:$Y986/'实盘净值数据(iFinD）'!$B$20:$Y$20)*(1-实盘持仓初始配置!$Z$5)^(('实盘净值数据(iFinD）'!$A986-'实盘净值数据(iFinD）'!$A$5)/365))</f>
        <v/>
      </c>
      <c r="F986" s="16" t="str">
        <f t="shared" si="91"/>
        <v/>
      </c>
      <c r="G986" s="16" t="str">
        <f>IF(E986="","",E986/MAX(E$5:E986)-1)</f>
        <v/>
      </c>
      <c r="H986" s="13" t="str">
        <f>IF(OR('实盘净值数据(iFinD）'!$A986="",'实盘净值数据(iFinD）'!$B986=""),"",分期持仓明细!$AB$19*SUMPRODUCT(分期持仓明细!$B$19:$Y$19,'实盘净值数据(iFinD）'!$B986:$Y986/'实盘净值数据(iFinD）'!$B$20:$Y$20)*(1-实盘持仓初始配置!$Z$6)^(('实盘净值数据(iFinD）'!$A986-'实盘净值数据(iFinD）'!$A$7)/365))</f>
        <v/>
      </c>
      <c r="I986" s="16" t="str">
        <f t="shared" si="92"/>
        <v/>
      </c>
      <c r="J986" s="16" t="str">
        <f>IF(H986="","",H986/MAX(H$5:H986)-1)</f>
        <v/>
      </c>
      <c r="K986" s="13" t="str">
        <f>IF(OR('实盘净值数据(iFinD）'!$A986="",'实盘净值数据(iFinD）'!$B986="",'实盘净值数据(iFinD）'!$Z986="",'实盘净值数据(iFinD）'!$AA986=""),"",分期持仓明细!$AB$23*(SUMPRODUCT(分期持仓明细!$B$23:$Y$23,'实盘净值数据(iFinD）'!$B986:$Y986/'实盘净值数据(iFinD）'!$B$65:$Y$65)+SUMPRODUCT(分期持仓明细!$AC$23:$AD$23,'实盘净值数据(iFinD）'!$Z986:$AA986/'实盘净值数据(iFinD）'!$Z$65:$AA$65))*(1-实盘持仓初始配置!$Z$7)^(('实盘净值数据(iFinD）'!$A986-'实盘净值数据(iFinD）'!$A$8)/365))</f>
        <v/>
      </c>
      <c r="L986" s="16" t="str">
        <f t="shared" si="93"/>
        <v/>
      </c>
      <c r="M986" s="16" t="str">
        <f>IF(K986="","",K986/MAX(K$5:K986)-1)</f>
        <v/>
      </c>
      <c r="N986" s="13" t="str">
        <f>IF(OR('实盘净值数据(iFinD）'!$A986="",'实盘净值数据(iFinD）'!$B986="",'实盘净值数据(iFinD）'!$Z986="",'实盘净值数据(iFinD）'!$AA986=""),"",分期持仓明细!$AB$24*(SUMPRODUCT(分期持仓明细!$B$24:$Y$24,'实盘净值数据(iFinD）'!$B986:$Y986/'实盘净值数据(iFinD）'!$B$65:$Y$65)+SUMPRODUCT(分期持仓明细!$AC$24:$AD$24,'实盘净值数据(iFinD）'!$Z986:$AA986/'实盘净值数据(iFinD）'!$Z$65:$AA$65))*(1-实盘持仓初始配置!$Z$8)^(('实盘净值数据(iFinD）'!$A986-'实盘净值数据(iFinD）'!$A$5)/365))</f>
        <v/>
      </c>
      <c r="O986" s="16" t="str">
        <f t="shared" si="94"/>
        <v/>
      </c>
      <c r="P986" s="16" t="str">
        <f>IF(N986="","",N986/MAX(N$5:N986)-1)</f>
        <v/>
      </c>
      <c r="Q986" s="13" t="str">
        <f>IF(OR('实盘净值数据(iFinD）'!$A986="",'实盘净值数据(iFinD）'!$B986="",'实盘净值数据(iFinD）'!$Z986="",'实盘净值数据(iFinD）'!$AA986=""),"",分期持仓明细!$AB$25*(SUMPRODUCT(分期持仓明细!$B$25:$Y$25,'实盘净值数据(iFinD）'!$B986:$Y986/'实盘净值数据(iFinD）'!$B$65:$Y$65)+SUMPRODUCT(分期持仓明细!$AC$25:$AD$25,'实盘净值数据(iFinD）'!$Z986:$AA986/'实盘净值数据(iFinD）'!$Z$65:$AA$65))*(1-实盘持仓初始配置!$Z$9)^(('实盘净值数据(iFinD）'!$A986-'实盘净值数据(iFinD）'!$A$8)/365))</f>
        <v/>
      </c>
      <c r="R986" s="16" t="str">
        <f t="shared" si="95"/>
        <v/>
      </c>
      <c r="S986" s="16" t="str">
        <f>IF(Q986="","",Q986/MAX(Q$5:Q986)-1)</f>
        <v/>
      </c>
      <c r="T986" s="13">
        <f>IF(OR('实盘净值数据(iFinD）'!$A986="",'实盘净值数据(iFinD）'!$B986="",'实盘净值数据(iFinD）'!$Z986="",'实盘净值数据(iFinD）'!$AA986="",'实盘净值数据(iFinD）'!$AB986="",'实盘净值数据(iFinD）'!$AL986=""),"",(SUMPRODUCT(分期持仓明细!$B$26:$Y$26,'实盘净值数据(iFinD）'!$B986:$Y986/'实盘净值数据(iFinD）'!$B$69:$Y$69)+SUMPRODUCT(分期持仓明细!$AC$26:$AD$26,'实盘净值数据(iFinD）'!$Z986:$AA986/'实盘净值数据(iFinD）'!$Z$69:$AA$69)+SUMPRODUCT(分期持仓明细!$AE$26:$AO$26,'实盘净值数据(iFinD）'!$AB986:$AL986/'实盘净值数据(iFinD）'!$AB$69:$AL$69))*(1-实盘持仓初始配置!$Z$10)^(('实盘净值数据(iFinD）'!$A986-'实盘净值数据(iFinD）'!$A$69)/365))</f>
        <v/>
      </c>
      <c r="U986" s="16">
        <f>IF(OR(T985="",T986=""),"",T986/T985-1)</f>
        <v/>
      </c>
      <c r="V986" s="16">
        <f>IF(T986="","",T986/MAX(T$5:T986)-1)</f>
        <v/>
      </c>
    </row>
    <row r="987" spans="1:19">
      <c r="A987" s="15" t="str">
        <f>IF('实盘净值数据(iFinD）'!A987="","",'实盘净值数据(iFinD）'!A987)</f>
        <v/>
      </c>
      <c r="B987" s="13" t="str">
        <f>IF(OR('实盘净值数据(iFinD）'!$A987="",'实盘净值数据(iFinD）'!$B987=""),"",分期持仓明细!$AB$17*SUMPRODUCT(分期持仓明细!$B$17:$Y$17,'实盘净值数据(iFinD）'!$B987:$Y987/'实盘净值数据(iFinD）'!$B$20:$Y$20)*(1-实盘持仓初始配置!$Z$4)^(('实盘净值数据(iFinD）'!$A987-'实盘净值数据(iFinD）'!$A$6)/365))</f>
        <v/>
      </c>
      <c r="C987" s="16" t="str">
        <f t="shared" si="90"/>
        <v/>
      </c>
      <c r="D987" s="16" t="str">
        <f>IF(B987="","",B987/MAX(B$5:B987)-1)</f>
        <v/>
      </c>
      <c r="E987" s="13" t="str">
        <f>IF(OR('实盘净值数据(iFinD）'!$A987="",'实盘净值数据(iFinD）'!$B987=""),"",分期持仓明细!$AB$18*SUMPRODUCT(分期持仓明细!$B$18:$Y$18,'实盘净值数据(iFinD）'!$B987:$Y987/'实盘净值数据(iFinD）'!$B$20:$Y$20)*(1-实盘持仓初始配置!$Z$5)^(('实盘净值数据(iFinD）'!$A987-'实盘净值数据(iFinD）'!$A$5)/365))</f>
        <v/>
      </c>
      <c r="F987" s="16" t="str">
        <f t="shared" si="91"/>
        <v/>
      </c>
      <c r="G987" s="16" t="str">
        <f>IF(E987="","",E987/MAX(E$5:E987)-1)</f>
        <v/>
      </c>
      <c r="H987" s="13" t="str">
        <f>IF(OR('实盘净值数据(iFinD）'!$A987="",'实盘净值数据(iFinD）'!$B987=""),"",分期持仓明细!$AB$19*SUMPRODUCT(分期持仓明细!$B$19:$Y$19,'实盘净值数据(iFinD）'!$B987:$Y987/'实盘净值数据(iFinD）'!$B$20:$Y$20)*(1-实盘持仓初始配置!$Z$6)^(('实盘净值数据(iFinD）'!$A987-'实盘净值数据(iFinD）'!$A$7)/365))</f>
        <v/>
      </c>
      <c r="I987" s="16" t="str">
        <f t="shared" si="92"/>
        <v/>
      </c>
      <c r="J987" s="16" t="str">
        <f>IF(H987="","",H987/MAX(H$5:H987)-1)</f>
        <v/>
      </c>
      <c r="K987" s="13" t="str">
        <f>IF(OR('实盘净值数据(iFinD）'!$A987="",'实盘净值数据(iFinD）'!$B987="",'实盘净值数据(iFinD）'!$Z987="",'实盘净值数据(iFinD）'!$AA987=""),"",分期持仓明细!$AB$23*(SUMPRODUCT(分期持仓明细!$B$23:$Y$23,'实盘净值数据(iFinD）'!$B987:$Y987/'实盘净值数据(iFinD）'!$B$65:$Y$65)+SUMPRODUCT(分期持仓明细!$AC$23:$AD$23,'实盘净值数据(iFinD）'!$Z987:$AA987/'实盘净值数据(iFinD）'!$Z$65:$AA$65))*(1-实盘持仓初始配置!$Z$7)^(('实盘净值数据(iFinD）'!$A987-'实盘净值数据(iFinD）'!$A$8)/365))</f>
        <v/>
      </c>
      <c r="L987" s="16" t="str">
        <f t="shared" si="93"/>
        <v/>
      </c>
      <c r="M987" s="16" t="str">
        <f>IF(K987="","",K987/MAX(K$5:K987)-1)</f>
        <v/>
      </c>
      <c r="N987" s="13" t="str">
        <f>IF(OR('实盘净值数据(iFinD）'!$A987="",'实盘净值数据(iFinD）'!$B987="",'实盘净值数据(iFinD）'!$Z987="",'实盘净值数据(iFinD）'!$AA987=""),"",分期持仓明细!$AB$24*(SUMPRODUCT(分期持仓明细!$B$24:$Y$24,'实盘净值数据(iFinD）'!$B987:$Y987/'实盘净值数据(iFinD）'!$B$65:$Y$65)+SUMPRODUCT(分期持仓明细!$AC$24:$AD$24,'实盘净值数据(iFinD）'!$Z987:$AA987/'实盘净值数据(iFinD）'!$Z$65:$AA$65))*(1-实盘持仓初始配置!$Z$8)^(('实盘净值数据(iFinD）'!$A987-'实盘净值数据(iFinD）'!$A$5)/365))</f>
        <v/>
      </c>
      <c r="O987" s="16" t="str">
        <f t="shared" si="94"/>
        <v/>
      </c>
      <c r="P987" s="16" t="str">
        <f>IF(N987="","",N987/MAX(N$5:N987)-1)</f>
        <v/>
      </c>
      <c r="Q987" s="13" t="str">
        <f>IF(OR('实盘净值数据(iFinD）'!$A987="",'实盘净值数据(iFinD）'!$B987="",'实盘净值数据(iFinD）'!$Z987="",'实盘净值数据(iFinD）'!$AA987=""),"",分期持仓明细!$AB$25*(SUMPRODUCT(分期持仓明细!$B$25:$Y$25,'实盘净值数据(iFinD）'!$B987:$Y987/'实盘净值数据(iFinD）'!$B$65:$Y$65)+SUMPRODUCT(分期持仓明细!$AC$25:$AD$25,'实盘净值数据(iFinD）'!$Z987:$AA987/'实盘净值数据(iFinD）'!$Z$65:$AA$65))*(1-实盘持仓初始配置!$Z$9)^(('实盘净值数据(iFinD）'!$A987-'实盘净值数据(iFinD）'!$A$8)/365))</f>
        <v/>
      </c>
      <c r="R987" s="16" t="str">
        <f t="shared" si="95"/>
        <v/>
      </c>
      <c r="S987" s="16" t="str">
        <f>IF(Q987="","",Q987/MAX(Q$5:Q987)-1)</f>
        <v/>
      </c>
      <c r="T987" s="13">
        <f>IF(OR('实盘净值数据(iFinD）'!$A987="",'实盘净值数据(iFinD）'!$B987="",'实盘净值数据(iFinD）'!$Z987="",'实盘净值数据(iFinD）'!$AA987="",'实盘净值数据(iFinD）'!$AB987="",'实盘净值数据(iFinD）'!$AL987=""),"",(SUMPRODUCT(分期持仓明细!$B$26:$Y$26,'实盘净值数据(iFinD）'!$B987:$Y987/'实盘净值数据(iFinD）'!$B$69:$Y$69)+SUMPRODUCT(分期持仓明细!$AC$26:$AD$26,'实盘净值数据(iFinD）'!$Z987:$AA987/'实盘净值数据(iFinD）'!$Z$69:$AA$69)+SUMPRODUCT(分期持仓明细!$AE$26:$AO$26,'实盘净值数据(iFinD）'!$AB987:$AL987/'实盘净值数据(iFinD）'!$AB$69:$AL$69))*(1-实盘持仓初始配置!$Z$10)^(('实盘净值数据(iFinD）'!$A987-'实盘净值数据(iFinD）'!$A$69)/365))</f>
        <v/>
      </c>
      <c r="U987" s="16">
        <f>IF(OR(T986="",T987=""),"",T987/T986-1)</f>
        <v/>
      </c>
      <c r="V987" s="16">
        <f>IF(T987="","",T987/MAX(T$5:T987)-1)</f>
        <v/>
      </c>
    </row>
    <row r="988" spans="1:19">
      <c r="A988" s="15" t="str">
        <f>IF('实盘净值数据(iFinD）'!A988="","",'实盘净值数据(iFinD）'!A988)</f>
        <v/>
      </c>
      <c r="B988" s="13" t="str">
        <f>IF(OR('实盘净值数据(iFinD）'!$A988="",'实盘净值数据(iFinD）'!$B988=""),"",分期持仓明细!$AB$17*SUMPRODUCT(分期持仓明细!$B$17:$Y$17,'实盘净值数据(iFinD）'!$B988:$Y988/'实盘净值数据(iFinD）'!$B$20:$Y$20)*(1-实盘持仓初始配置!$Z$4)^(('实盘净值数据(iFinD）'!$A988-'实盘净值数据(iFinD）'!$A$6)/365))</f>
        <v/>
      </c>
      <c r="C988" s="16" t="str">
        <f t="shared" si="90"/>
        <v/>
      </c>
      <c r="D988" s="16" t="str">
        <f>IF(B988="","",B988/MAX(B$5:B988)-1)</f>
        <v/>
      </c>
      <c r="E988" s="13" t="str">
        <f>IF(OR('实盘净值数据(iFinD）'!$A988="",'实盘净值数据(iFinD）'!$B988=""),"",分期持仓明细!$AB$18*SUMPRODUCT(分期持仓明细!$B$18:$Y$18,'实盘净值数据(iFinD）'!$B988:$Y988/'实盘净值数据(iFinD）'!$B$20:$Y$20)*(1-实盘持仓初始配置!$Z$5)^(('实盘净值数据(iFinD）'!$A988-'实盘净值数据(iFinD）'!$A$5)/365))</f>
        <v/>
      </c>
      <c r="F988" s="16" t="str">
        <f t="shared" si="91"/>
        <v/>
      </c>
      <c r="G988" s="16" t="str">
        <f>IF(E988="","",E988/MAX(E$5:E988)-1)</f>
        <v/>
      </c>
      <c r="H988" s="13" t="str">
        <f>IF(OR('实盘净值数据(iFinD）'!$A988="",'实盘净值数据(iFinD）'!$B988=""),"",分期持仓明细!$AB$19*SUMPRODUCT(分期持仓明细!$B$19:$Y$19,'实盘净值数据(iFinD）'!$B988:$Y988/'实盘净值数据(iFinD）'!$B$20:$Y$20)*(1-实盘持仓初始配置!$Z$6)^(('实盘净值数据(iFinD）'!$A988-'实盘净值数据(iFinD）'!$A$7)/365))</f>
        <v/>
      </c>
      <c r="I988" s="16" t="str">
        <f t="shared" si="92"/>
        <v/>
      </c>
      <c r="J988" s="16" t="str">
        <f>IF(H988="","",H988/MAX(H$5:H988)-1)</f>
        <v/>
      </c>
      <c r="K988" s="13" t="str">
        <f>IF(OR('实盘净值数据(iFinD）'!$A988="",'实盘净值数据(iFinD）'!$B988="",'实盘净值数据(iFinD）'!$Z988="",'实盘净值数据(iFinD）'!$AA988=""),"",分期持仓明细!$AB$23*(SUMPRODUCT(分期持仓明细!$B$23:$Y$23,'实盘净值数据(iFinD）'!$B988:$Y988/'实盘净值数据(iFinD）'!$B$65:$Y$65)+SUMPRODUCT(分期持仓明细!$AC$23:$AD$23,'实盘净值数据(iFinD）'!$Z988:$AA988/'实盘净值数据(iFinD）'!$Z$65:$AA$65))*(1-实盘持仓初始配置!$Z$7)^(('实盘净值数据(iFinD）'!$A988-'实盘净值数据(iFinD）'!$A$8)/365))</f>
        <v/>
      </c>
      <c r="L988" s="16" t="str">
        <f t="shared" si="93"/>
        <v/>
      </c>
      <c r="M988" s="16" t="str">
        <f>IF(K988="","",K988/MAX(K$5:K988)-1)</f>
        <v/>
      </c>
      <c r="N988" s="13" t="str">
        <f>IF(OR('实盘净值数据(iFinD）'!$A988="",'实盘净值数据(iFinD）'!$B988="",'实盘净值数据(iFinD）'!$Z988="",'实盘净值数据(iFinD）'!$AA988=""),"",分期持仓明细!$AB$24*(SUMPRODUCT(分期持仓明细!$B$24:$Y$24,'实盘净值数据(iFinD）'!$B988:$Y988/'实盘净值数据(iFinD）'!$B$65:$Y$65)+SUMPRODUCT(分期持仓明细!$AC$24:$AD$24,'实盘净值数据(iFinD）'!$Z988:$AA988/'实盘净值数据(iFinD）'!$Z$65:$AA$65))*(1-实盘持仓初始配置!$Z$8)^(('实盘净值数据(iFinD）'!$A988-'实盘净值数据(iFinD）'!$A$5)/365))</f>
        <v/>
      </c>
      <c r="O988" s="16" t="str">
        <f t="shared" si="94"/>
        <v/>
      </c>
      <c r="P988" s="16" t="str">
        <f>IF(N988="","",N988/MAX(N$5:N988)-1)</f>
        <v/>
      </c>
      <c r="Q988" s="13" t="str">
        <f>IF(OR('实盘净值数据(iFinD）'!$A988="",'实盘净值数据(iFinD）'!$B988="",'实盘净值数据(iFinD）'!$Z988="",'实盘净值数据(iFinD）'!$AA988=""),"",分期持仓明细!$AB$25*(SUMPRODUCT(分期持仓明细!$B$25:$Y$25,'实盘净值数据(iFinD）'!$B988:$Y988/'实盘净值数据(iFinD）'!$B$65:$Y$65)+SUMPRODUCT(分期持仓明细!$AC$25:$AD$25,'实盘净值数据(iFinD）'!$Z988:$AA988/'实盘净值数据(iFinD）'!$Z$65:$AA$65))*(1-实盘持仓初始配置!$Z$9)^(('实盘净值数据(iFinD）'!$A988-'实盘净值数据(iFinD）'!$A$8)/365))</f>
        <v/>
      </c>
      <c r="R988" s="16" t="str">
        <f t="shared" si="95"/>
        <v/>
      </c>
      <c r="S988" s="16" t="str">
        <f>IF(Q988="","",Q988/MAX(Q$5:Q988)-1)</f>
        <v/>
      </c>
      <c r="T988" s="13">
        <f>IF(OR('实盘净值数据(iFinD）'!$A988="",'实盘净值数据(iFinD）'!$B988="",'实盘净值数据(iFinD）'!$Z988="",'实盘净值数据(iFinD）'!$AA988="",'实盘净值数据(iFinD）'!$AB988="",'实盘净值数据(iFinD）'!$AL988=""),"",(SUMPRODUCT(分期持仓明细!$B$26:$Y$26,'实盘净值数据(iFinD）'!$B988:$Y988/'实盘净值数据(iFinD）'!$B$69:$Y$69)+SUMPRODUCT(分期持仓明细!$AC$26:$AD$26,'实盘净值数据(iFinD）'!$Z988:$AA988/'实盘净值数据(iFinD）'!$Z$69:$AA$69)+SUMPRODUCT(分期持仓明细!$AE$26:$AO$26,'实盘净值数据(iFinD）'!$AB988:$AL988/'实盘净值数据(iFinD）'!$AB$69:$AL$69))*(1-实盘持仓初始配置!$Z$10)^(('实盘净值数据(iFinD）'!$A988-'实盘净值数据(iFinD）'!$A$69)/365))</f>
        <v/>
      </c>
      <c r="U988" s="16">
        <f>IF(OR(T987="",T988=""),"",T988/T987-1)</f>
        <v/>
      </c>
      <c r="V988" s="16">
        <f>IF(T988="","",T988/MAX(T$5:T988)-1)</f>
        <v/>
      </c>
    </row>
    <row r="989" spans="1:19">
      <c r="A989" s="15" t="str">
        <f>IF('实盘净值数据(iFinD）'!A989="","",'实盘净值数据(iFinD）'!A989)</f>
        <v/>
      </c>
      <c r="B989" s="13" t="str">
        <f>IF(OR('实盘净值数据(iFinD）'!$A989="",'实盘净值数据(iFinD）'!$B989=""),"",分期持仓明细!$AB$17*SUMPRODUCT(分期持仓明细!$B$17:$Y$17,'实盘净值数据(iFinD）'!$B989:$Y989/'实盘净值数据(iFinD）'!$B$20:$Y$20)*(1-实盘持仓初始配置!$Z$4)^(('实盘净值数据(iFinD）'!$A989-'实盘净值数据(iFinD）'!$A$6)/365))</f>
        <v/>
      </c>
      <c r="C989" s="16" t="str">
        <f t="shared" si="90"/>
        <v/>
      </c>
      <c r="D989" s="16" t="str">
        <f>IF(B989="","",B989/MAX(B$5:B989)-1)</f>
        <v/>
      </c>
      <c r="E989" s="13" t="str">
        <f>IF(OR('实盘净值数据(iFinD）'!$A989="",'实盘净值数据(iFinD）'!$B989=""),"",分期持仓明细!$AB$18*SUMPRODUCT(分期持仓明细!$B$18:$Y$18,'实盘净值数据(iFinD）'!$B989:$Y989/'实盘净值数据(iFinD）'!$B$20:$Y$20)*(1-实盘持仓初始配置!$Z$5)^(('实盘净值数据(iFinD）'!$A989-'实盘净值数据(iFinD）'!$A$5)/365))</f>
        <v/>
      </c>
      <c r="F989" s="16" t="str">
        <f t="shared" si="91"/>
        <v/>
      </c>
      <c r="G989" s="16" t="str">
        <f>IF(E989="","",E989/MAX(E$5:E989)-1)</f>
        <v/>
      </c>
      <c r="H989" s="13" t="str">
        <f>IF(OR('实盘净值数据(iFinD）'!$A989="",'实盘净值数据(iFinD）'!$B989=""),"",分期持仓明细!$AB$19*SUMPRODUCT(分期持仓明细!$B$19:$Y$19,'实盘净值数据(iFinD）'!$B989:$Y989/'实盘净值数据(iFinD）'!$B$20:$Y$20)*(1-实盘持仓初始配置!$Z$6)^(('实盘净值数据(iFinD）'!$A989-'实盘净值数据(iFinD）'!$A$7)/365))</f>
        <v/>
      </c>
      <c r="I989" s="16" t="str">
        <f t="shared" si="92"/>
        <v/>
      </c>
      <c r="J989" s="16" t="str">
        <f>IF(H989="","",H989/MAX(H$5:H989)-1)</f>
        <v/>
      </c>
      <c r="K989" s="13" t="str">
        <f>IF(OR('实盘净值数据(iFinD）'!$A989="",'实盘净值数据(iFinD）'!$B989="",'实盘净值数据(iFinD）'!$Z989="",'实盘净值数据(iFinD）'!$AA989=""),"",分期持仓明细!$AB$23*(SUMPRODUCT(分期持仓明细!$B$23:$Y$23,'实盘净值数据(iFinD）'!$B989:$Y989/'实盘净值数据(iFinD）'!$B$65:$Y$65)+SUMPRODUCT(分期持仓明细!$AC$23:$AD$23,'实盘净值数据(iFinD）'!$Z989:$AA989/'实盘净值数据(iFinD）'!$Z$65:$AA$65))*(1-实盘持仓初始配置!$Z$7)^(('实盘净值数据(iFinD）'!$A989-'实盘净值数据(iFinD）'!$A$8)/365))</f>
        <v/>
      </c>
      <c r="L989" s="16" t="str">
        <f t="shared" si="93"/>
        <v/>
      </c>
      <c r="M989" s="16" t="str">
        <f>IF(K989="","",K989/MAX(K$5:K989)-1)</f>
        <v/>
      </c>
      <c r="N989" s="13" t="str">
        <f>IF(OR('实盘净值数据(iFinD）'!$A989="",'实盘净值数据(iFinD）'!$B989="",'实盘净值数据(iFinD）'!$Z989="",'实盘净值数据(iFinD）'!$AA989=""),"",分期持仓明细!$AB$24*(SUMPRODUCT(分期持仓明细!$B$24:$Y$24,'实盘净值数据(iFinD）'!$B989:$Y989/'实盘净值数据(iFinD）'!$B$65:$Y$65)+SUMPRODUCT(分期持仓明细!$AC$24:$AD$24,'实盘净值数据(iFinD）'!$Z989:$AA989/'实盘净值数据(iFinD）'!$Z$65:$AA$65))*(1-实盘持仓初始配置!$Z$8)^(('实盘净值数据(iFinD）'!$A989-'实盘净值数据(iFinD）'!$A$5)/365))</f>
        <v/>
      </c>
      <c r="O989" s="16" t="str">
        <f t="shared" si="94"/>
        <v/>
      </c>
      <c r="P989" s="16" t="str">
        <f>IF(N989="","",N989/MAX(N$5:N989)-1)</f>
        <v/>
      </c>
      <c r="Q989" s="13" t="str">
        <f>IF(OR('实盘净值数据(iFinD）'!$A989="",'实盘净值数据(iFinD）'!$B989="",'实盘净值数据(iFinD）'!$Z989="",'实盘净值数据(iFinD）'!$AA989=""),"",分期持仓明细!$AB$25*(SUMPRODUCT(分期持仓明细!$B$25:$Y$25,'实盘净值数据(iFinD）'!$B989:$Y989/'实盘净值数据(iFinD）'!$B$65:$Y$65)+SUMPRODUCT(分期持仓明细!$AC$25:$AD$25,'实盘净值数据(iFinD）'!$Z989:$AA989/'实盘净值数据(iFinD）'!$Z$65:$AA$65))*(1-实盘持仓初始配置!$Z$9)^(('实盘净值数据(iFinD）'!$A989-'实盘净值数据(iFinD）'!$A$8)/365))</f>
        <v/>
      </c>
      <c r="R989" s="16" t="str">
        <f t="shared" si="95"/>
        <v/>
      </c>
      <c r="S989" s="16" t="str">
        <f>IF(Q989="","",Q989/MAX(Q$5:Q989)-1)</f>
        <v/>
      </c>
      <c r="T989" s="13">
        <f>IF(OR('实盘净值数据(iFinD）'!$A989="",'实盘净值数据(iFinD）'!$B989="",'实盘净值数据(iFinD）'!$Z989="",'实盘净值数据(iFinD）'!$AA989="",'实盘净值数据(iFinD）'!$AB989="",'实盘净值数据(iFinD）'!$AL989=""),"",(SUMPRODUCT(分期持仓明细!$B$26:$Y$26,'实盘净值数据(iFinD）'!$B989:$Y989/'实盘净值数据(iFinD）'!$B$69:$Y$69)+SUMPRODUCT(分期持仓明细!$AC$26:$AD$26,'实盘净值数据(iFinD）'!$Z989:$AA989/'实盘净值数据(iFinD）'!$Z$69:$AA$69)+SUMPRODUCT(分期持仓明细!$AE$26:$AO$26,'实盘净值数据(iFinD）'!$AB989:$AL989/'实盘净值数据(iFinD）'!$AB$69:$AL$69))*(1-实盘持仓初始配置!$Z$10)^(('实盘净值数据(iFinD）'!$A989-'实盘净值数据(iFinD）'!$A$69)/365))</f>
        <v/>
      </c>
      <c r="U989" s="16">
        <f>IF(OR(T988="",T989=""),"",T989/T988-1)</f>
        <v/>
      </c>
      <c r="V989" s="16">
        <f>IF(T989="","",T989/MAX(T$5:T989)-1)</f>
        <v/>
      </c>
    </row>
    <row r="990" spans="1:19">
      <c r="A990" s="15" t="str">
        <f>IF('实盘净值数据(iFinD）'!A990="","",'实盘净值数据(iFinD）'!A990)</f>
        <v/>
      </c>
      <c r="B990" s="13" t="str">
        <f>IF(OR('实盘净值数据(iFinD）'!$A990="",'实盘净值数据(iFinD）'!$B990=""),"",分期持仓明细!$AB$17*SUMPRODUCT(分期持仓明细!$B$17:$Y$17,'实盘净值数据(iFinD）'!$B990:$Y990/'实盘净值数据(iFinD）'!$B$20:$Y$20)*(1-实盘持仓初始配置!$Z$4)^(('实盘净值数据(iFinD）'!$A990-'实盘净值数据(iFinD）'!$A$6)/365))</f>
        <v/>
      </c>
      <c r="C990" s="16" t="str">
        <f t="shared" si="90"/>
        <v/>
      </c>
      <c r="D990" s="16" t="str">
        <f>IF(B990="","",B990/MAX(B$5:B990)-1)</f>
        <v/>
      </c>
      <c r="E990" s="13" t="str">
        <f>IF(OR('实盘净值数据(iFinD）'!$A990="",'实盘净值数据(iFinD）'!$B990=""),"",分期持仓明细!$AB$18*SUMPRODUCT(分期持仓明细!$B$18:$Y$18,'实盘净值数据(iFinD）'!$B990:$Y990/'实盘净值数据(iFinD）'!$B$20:$Y$20)*(1-实盘持仓初始配置!$Z$5)^(('实盘净值数据(iFinD）'!$A990-'实盘净值数据(iFinD）'!$A$5)/365))</f>
        <v/>
      </c>
      <c r="F990" s="16" t="str">
        <f t="shared" si="91"/>
        <v/>
      </c>
      <c r="G990" s="16" t="str">
        <f>IF(E990="","",E990/MAX(E$5:E990)-1)</f>
        <v/>
      </c>
      <c r="H990" s="13" t="str">
        <f>IF(OR('实盘净值数据(iFinD）'!$A990="",'实盘净值数据(iFinD）'!$B990=""),"",分期持仓明细!$AB$19*SUMPRODUCT(分期持仓明细!$B$19:$Y$19,'实盘净值数据(iFinD）'!$B990:$Y990/'实盘净值数据(iFinD）'!$B$20:$Y$20)*(1-实盘持仓初始配置!$Z$6)^(('实盘净值数据(iFinD）'!$A990-'实盘净值数据(iFinD）'!$A$7)/365))</f>
        <v/>
      </c>
      <c r="I990" s="16" t="str">
        <f t="shared" si="92"/>
        <v/>
      </c>
      <c r="J990" s="16" t="str">
        <f>IF(H990="","",H990/MAX(H$5:H990)-1)</f>
        <v/>
      </c>
      <c r="K990" s="13" t="str">
        <f>IF(OR('实盘净值数据(iFinD）'!$A990="",'实盘净值数据(iFinD）'!$B990="",'实盘净值数据(iFinD）'!$Z990="",'实盘净值数据(iFinD）'!$AA990=""),"",分期持仓明细!$AB$23*(SUMPRODUCT(分期持仓明细!$B$23:$Y$23,'实盘净值数据(iFinD）'!$B990:$Y990/'实盘净值数据(iFinD）'!$B$65:$Y$65)+SUMPRODUCT(分期持仓明细!$AC$23:$AD$23,'实盘净值数据(iFinD）'!$Z990:$AA990/'实盘净值数据(iFinD）'!$Z$65:$AA$65))*(1-实盘持仓初始配置!$Z$7)^(('实盘净值数据(iFinD）'!$A990-'实盘净值数据(iFinD）'!$A$8)/365))</f>
        <v/>
      </c>
      <c r="L990" s="16" t="str">
        <f t="shared" si="93"/>
        <v/>
      </c>
      <c r="M990" s="16" t="str">
        <f>IF(K990="","",K990/MAX(K$5:K990)-1)</f>
        <v/>
      </c>
      <c r="N990" s="13" t="str">
        <f>IF(OR('实盘净值数据(iFinD）'!$A990="",'实盘净值数据(iFinD）'!$B990="",'实盘净值数据(iFinD）'!$Z990="",'实盘净值数据(iFinD）'!$AA990=""),"",分期持仓明细!$AB$24*(SUMPRODUCT(分期持仓明细!$B$24:$Y$24,'实盘净值数据(iFinD）'!$B990:$Y990/'实盘净值数据(iFinD）'!$B$65:$Y$65)+SUMPRODUCT(分期持仓明细!$AC$24:$AD$24,'实盘净值数据(iFinD）'!$Z990:$AA990/'实盘净值数据(iFinD）'!$Z$65:$AA$65))*(1-实盘持仓初始配置!$Z$8)^(('实盘净值数据(iFinD）'!$A990-'实盘净值数据(iFinD）'!$A$5)/365))</f>
        <v/>
      </c>
      <c r="O990" s="16" t="str">
        <f t="shared" si="94"/>
        <v/>
      </c>
      <c r="P990" s="16" t="str">
        <f>IF(N990="","",N990/MAX(N$5:N990)-1)</f>
        <v/>
      </c>
      <c r="Q990" s="13" t="str">
        <f>IF(OR('实盘净值数据(iFinD）'!$A990="",'实盘净值数据(iFinD）'!$B990="",'实盘净值数据(iFinD）'!$Z990="",'实盘净值数据(iFinD）'!$AA990=""),"",分期持仓明细!$AB$25*(SUMPRODUCT(分期持仓明细!$B$25:$Y$25,'实盘净值数据(iFinD）'!$B990:$Y990/'实盘净值数据(iFinD）'!$B$65:$Y$65)+SUMPRODUCT(分期持仓明细!$AC$25:$AD$25,'实盘净值数据(iFinD）'!$Z990:$AA990/'实盘净值数据(iFinD）'!$Z$65:$AA$65))*(1-实盘持仓初始配置!$Z$9)^(('实盘净值数据(iFinD）'!$A990-'实盘净值数据(iFinD）'!$A$8)/365))</f>
        <v/>
      </c>
      <c r="R990" s="16" t="str">
        <f t="shared" si="95"/>
        <v/>
      </c>
      <c r="S990" s="16" t="str">
        <f>IF(Q990="","",Q990/MAX(Q$5:Q990)-1)</f>
        <v/>
      </c>
      <c r="T990" s="13">
        <f>IF(OR('实盘净值数据(iFinD）'!$A990="",'实盘净值数据(iFinD）'!$B990="",'实盘净值数据(iFinD）'!$Z990="",'实盘净值数据(iFinD）'!$AA990="",'实盘净值数据(iFinD）'!$AB990="",'实盘净值数据(iFinD）'!$AL990=""),"",(SUMPRODUCT(分期持仓明细!$B$26:$Y$26,'实盘净值数据(iFinD）'!$B990:$Y990/'实盘净值数据(iFinD）'!$B$69:$Y$69)+SUMPRODUCT(分期持仓明细!$AC$26:$AD$26,'实盘净值数据(iFinD）'!$Z990:$AA990/'实盘净值数据(iFinD）'!$Z$69:$AA$69)+SUMPRODUCT(分期持仓明细!$AE$26:$AO$26,'实盘净值数据(iFinD）'!$AB990:$AL990/'实盘净值数据(iFinD）'!$AB$69:$AL$69))*(1-实盘持仓初始配置!$Z$10)^(('实盘净值数据(iFinD）'!$A990-'实盘净值数据(iFinD）'!$A$69)/365))</f>
        <v/>
      </c>
      <c r="U990" s="16">
        <f>IF(OR(T989="",T990=""),"",T990/T989-1)</f>
        <v/>
      </c>
      <c r="V990" s="16">
        <f>IF(T990="","",T990/MAX(T$5:T990)-1)</f>
        <v/>
      </c>
    </row>
    <row r="991" spans="1:19">
      <c r="A991" s="15" t="str">
        <f>IF('实盘净值数据(iFinD）'!A991="","",'实盘净值数据(iFinD）'!A991)</f>
        <v/>
      </c>
      <c r="B991" s="13" t="str">
        <f>IF(OR('实盘净值数据(iFinD）'!$A991="",'实盘净值数据(iFinD）'!$B991=""),"",分期持仓明细!$AB$17*SUMPRODUCT(分期持仓明细!$B$17:$Y$17,'实盘净值数据(iFinD）'!$B991:$Y991/'实盘净值数据(iFinD）'!$B$20:$Y$20)*(1-实盘持仓初始配置!$Z$4)^(('实盘净值数据(iFinD）'!$A991-'实盘净值数据(iFinD）'!$A$6)/365))</f>
        <v/>
      </c>
      <c r="C991" s="16" t="str">
        <f t="shared" si="90"/>
        <v/>
      </c>
      <c r="D991" s="16" t="str">
        <f>IF(B991="","",B991/MAX(B$5:B991)-1)</f>
        <v/>
      </c>
      <c r="E991" s="13" t="str">
        <f>IF(OR('实盘净值数据(iFinD）'!$A991="",'实盘净值数据(iFinD）'!$B991=""),"",分期持仓明细!$AB$18*SUMPRODUCT(分期持仓明细!$B$18:$Y$18,'实盘净值数据(iFinD）'!$B991:$Y991/'实盘净值数据(iFinD）'!$B$20:$Y$20)*(1-实盘持仓初始配置!$Z$5)^(('实盘净值数据(iFinD）'!$A991-'实盘净值数据(iFinD）'!$A$5)/365))</f>
        <v/>
      </c>
      <c r="F991" s="16" t="str">
        <f t="shared" si="91"/>
        <v/>
      </c>
      <c r="G991" s="16" t="str">
        <f>IF(E991="","",E991/MAX(E$5:E991)-1)</f>
        <v/>
      </c>
      <c r="H991" s="13" t="str">
        <f>IF(OR('实盘净值数据(iFinD）'!$A991="",'实盘净值数据(iFinD）'!$B991=""),"",分期持仓明细!$AB$19*SUMPRODUCT(分期持仓明细!$B$19:$Y$19,'实盘净值数据(iFinD）'!$B991:$Y991/'实盘净值数据(iFinD）'!$B$20:$Y$20)*(1-实盘持仓初始配置!$Z$6)^(('实盘净值数据(iFinD）'!$A991-'实盘净值数据(iFinD）'!$A$7)/365))</f>
        <v/>
      </c>
      <c r="I991" s="16" t="str">
        <f t="shared" si="92"/>
        <v/>
      </c>
      <c r="J991" s="16" t="str">
        <f>IF(H991="","",H991/MAX(H$5:H991)-1)</f>
        <v/>
      </c>
      <c r="K991" s="13" t="str">
        <f>IF(OR('实盘净值数据(iFinD）'!$A991="",'实盘净值数据(iFinD）'!$B991="",'实盘净值数据(iFinD）'!$Z991="",'实盘净值数据(iFinD）'!$AA991=""),"",分期持仓明细!$AB$23*(SUMPRODUCT(分期持仓明细!$B$23:$Y$23,'实盘净值数据(iFinD）'!$B991:$Y991/'实盘净值数据(iFinD）'!$B$65:$Y$65)+SUMPRODUCT(分期持仓明细!$AC$23:$AD$23,'实盘净值数据(iFinD）'!$Z991:$AA991/'实盘净值数据(iFinD）'!$Z$65:$AA$65))*(1-实盘持仓初始配置!$Z$7)^(('实盘净值数据(iFinD）'!$A991-'实盘净值数据(iFinD）'!$A$8)/365))</f>
        <v/>
      </c>
      <c r="L991" s="16" t="str">
        <f t="shared" si="93"/>
        <v/>
      </c>
      <c r="M991" s="16" t="str">
        <f>IF(K991="","",K991/MAX(K$5:K991)-1)</f>
        <v/>
      </c>
      <c r="N991" s="13" t="str">
        <f>IF(OR('实盘净值数据(iFinD）'!$A991="",'实盘净值数据(iFinD）'!$B991="",'实盘净值数据(iFinD）'!$Z991="",'实盘净值数据(iFinD）'!$AA991=""),"",分期持仓明细!$AB$24*(SUMPRODUCT(分期持仓明细!$B$24:$Y$24,'实盘净值数据(iFinD）'!$B991:$Y991/'实盘净值数据(iFinD）'!$B$65:$Y$65)+SUMPRODUCT(分期持仓明细!$AC$24:$AD$24,'实盘净值数据(iFinD）'!$Z991:$AA991/'实盘净值数据(iFinD）'!$Z$65:$AA$65))*(1-实盘持仓初始配置!$Z$8)^(('实盘净值数据(iFinD）'!$A991-'实盘净值数据(iFinD）'!$A$5)/365))</f>
        <v/>
      </c>
      <c r="O991" s="16" t="str">
        <f t="shared" si="94"/>
        <v/>
      </c>
      <c r="P991" s="16" t="str">
        <f>IF(N991="","",N991/MAX(N$5:N991)-1)</f>
        <v/>
      </c>
      <c r="Q991" s="13" t="str">
        <f>IF(OR('实盘净值数据(iFinD）'!$A991="",'实盘净值数据(iFinD）'!$B991="",'实盘净值数据(iFinD）'!$Z991="",'实盘净值数据(iFinD）'!$AA991=""),"",分期持仓明细!$AB$25*(SUMPRODUCT(分期持仓明细!$B$25:$Y$25,'实盘净值数据(iFinD）'!$B991:$Y991/'实盘净值数据(iFinD）'!$B$65:$Y$65)+SUMPRODUCT(分期持仓明细!$AC$25:$AD$25,'实盘净值数据(iFinD）'!$Z991:$AA991/'实盘净值数据(iFinD）'!$Z$65:$AA$65))*(1-实盘持仓初始配置!$Z$9)^(('实盘净值数据(iFinD）'!$A991-'实盘净值数据(iFinD）'!$A$8)/365))</f>
        <v/>
      </c>
      <c r="R991" s="16" t="str">
        <f t="shared" si="95"/>
        <v/>
      </c>
      <c r="S991" s="16" t="str">
        <f>IF(Q991="","",Q991/MAX(Q$5:Q991)-1)</f>
        <v/>
      </c>
      <c r="T991" s="13">
        <f>IF(OR('实盘净值数据(iFinD）'!$A991="",'实盘净值数据(iFinD）'!$B991="",'实盘净值数据(iFinD）'!$Z991="",'实盘净值数据(iFinD）'!$AA991="",'实盘净值数据(iFinD）'!$AB991="",'实盘净值数据(iFinD）'!$AL991=""),"",(SUMPRODUCT(分期持仓明细!$B$26:$Y$26,'实盘净值数据(iFinD）'!$B991:$Y991/'实盘净值数据(iFinD）'!$B$69:$Y$69)+SUMPRODUCT(分期持仓明细!$AC$26:$AD$26,'实盘净值数据(iFinD）'!$Z991:$AA991/'实盘净值数据(iFinD）'!$Z$69:$AA$69)+SUMPRODUCT(分期持仓明细!$AE$26:$AO$26,'实盘净值数据(iFinD）'!$AB991:$AL991/'实盘净值数据(iFinD）'!$AB$69:$AL$69))*(1-实盘持仓初始配置!$Z$10)^(('实盘净值数据(iFinD）'!$A991-'实盘净值数据(iFinD）'!$A$69)/365))</f>
        <v/>
      </c>
      <c r="U991" s="16">
        <f>IF(OR(T990="",T991=""),"",T991/T990-1)</f>
        <v/>
      </c>
      <c r="V991" s="16">
        <f>IF(T991="","",T991/MAX(T$5:T991)-1)</f>
        <v/>
      </c>
    </row>
    <row r="992" spans="1:19">
      <c r="A992" s="15" t="str">
        <f>IF('实盘净值数据(iFinD）'!A992="","",'实盘净值数据(iFinD）'!A992)</f>
        <v/>
      </c>
      <c r="B992" s="13" t="str">
        <f>IF(OR('实盘净值数据(iFinD）'!$A992="",'实盘净值数据(iFinD）'!$B992=""),"",分期持仓明细!$AB$17*SUMPRODUCT(分期持仓明细!$B$17:$Y$17,'实盘净值数据(iFinD）'!$B992:$Y992/'实盘净值数据(iFinD）'!$B$20:$Y$20)*(1-实盘持仓初始配置!$Z$4)^(('实盘净值数据(iFinD）'!$A992-'实盘净值数据(iFinD）'!$A$6)/365))</f>
        <v/>
      </c>
      <c r="C992" s="16" t="str">
        <f t="shared" si="90"/>
        <v/>
      </c>
      <c r="D992" s="16" t="str">
        <f>IF(B992="","",B992/MAX(B$5:B992)-1)</f>
        <v/>
      </c>
      <c r="E992" s="13" t="str">
        <f>IF(OR('实盘净值数据(iFinD）'!$A992="",'实盘净值数据(iFinD）'!$B992=""),"",分期持仓明细!$AB$18*SUMPRODUCT(分期持仓明细!$B$18:$Y$18,'实盘净值数据(iFinD）'!$B992:$Y992/'实盘净值数据(iFinD）'!$B$20:$Y$20)*(1-实盘持仓初始配置!$Z$5)^(('实盘净值数据(iFinD）'!$A992-'实盘净值数据(iFinD）'!$A$5)/365))</f>
        <v/>
      </c>
      <c r="F992" s="16" t="str">
        <f t="shared" si="91"/>
        <v/>
      </c>
      <c r="G992" s="16" t="str">
        <f>IF(E992="","",E992/MAX(E$5:E992)-1)</f>
        <v/>
      </c>
      <c r="H992" s="13" t="str">
        <f>IF(OR('实盘净值数据(iFinD）'!$A992="",'实盘净值数据(iFinD）'!$B992=""),"",分期持仓明细!$AB$19*SUMPRODUCT(分期持仓明细!$B$19:$Y$19,'实盘净值数据(iFinD）'!$B992:$Y992/'实盘净值数据(iFinD）'!$B$20:$Y$20)*(1-实盘持仓初始配置!$Z$6)^(('实盘净值数据(iFinD）'!$A992-'实盘净值数据(iFinD）'!$A$7)/365))</f>
        <v/>
      </c>
      <c r="I992" s="16" t="str">
        <f t="shared" si="92"/>
        <v/>
      </c>
      <c r="J992" s="16" t="str">
        <f>IF(H992="","",H992/MAX(H$5:H992)-1)</f>
        <v/>
      </c>
      <c r="K992" s="13" t="str">
        <f>IF(OR('实盘净值数据(iFinD）'!$A992="",'实盘净值数据(iFinD）'!$B992="",'实盘净值数据(iFinD）'!$Z992="",'实盘净值数据(iFinD）'!$AA992=""),"",分期持仓明细!$AB$23*(SUMPRODUCT(分期持仓明细!$B$23:$Y$23,'实盘净值数据(iFinD）'!$B992:$Y992/'实盘净值数据(iFinD）'!$B$65:$Y$65)+SUMPRODUCT(分期持仓明细!$AC$23:$AD$23,'实盘净值数据(iFinD）'!$Z992:$AA992/'实盘净值数据(iFinD）'!$Z$65:$AA$65))*(1-实盘持仓初始配置!$Z$7)^(('实盘净值数据(iFinD）'!$A992-'实盘净值数据(iFinD）'!$A$8)/365))</f>
        <v/>
      </c>
      <c r="L992" s="16" t="str">
        <f t="shared" si="93"/>
        <v/>
      </c>
      <c r="M992" s="16" t="str">
        <f>IF(K992="","",K992/MAX(K$5:K992)-1)</f>
        <v/>
      </c>
      <c r="N992" s="13" t="str">
        <f>IF(OR('实盘净值数据(iFinD）'!$A992="",'实盘净值数据(iFinD）'!$B992="",'实盘净值数据(iFinD）'!$Z992="",'实盘净值数据(iFinD）'!$AA992=""),"",分期持仓明细!$AB$24*(SUMPRODUCT(分期持仓明细!$B$24:$Y$24,'实盘净值数据(iFinD）'!$B992:$Y992/'实盘净值数据(iFinD）'!$B$65:$Y$65)+SUMPRODUCT(分期持仓明细!$AC$24:$AD$24,'实盘净值数据(iFinD）'!$Z992:$AA992/'实盘净值数据(iFinD）'!$Z$65:$AA$65))*(1-实盘持仓初始配置!$Z$8)^(('实盘净值数据(iFinD）'!$A992-'实盘净值数据(iFinD）'!$A$5)/365))</f>
        <v/>
      </c>
      <c r="O992" s="16" t="str">
        <f t="shared" si="94"/>
        <v/>
      </c>
      <c r="P992" s="16" t="str">
        <f>IF(N992="","",N992/MAX(N$5:N992)-1)</f>
        <v/>
      </c>
      <c r="Q992" s="13" t="str">
        <f>IF(OR('实盘净值数据(iFinD）'!$A992="",'实盘净值数据(iFinD）'!$B992="",'实盘净值数据(iFinD）'!$Z992="",'实盘净值数据(iFinD）'!$AA992=""),"",分期持仓明细!$AB$25*(SUMPRODUCT(分期持仓明细!$B$25:$Y$25,'实盘净值数据(iFinD）'!$B992:$Y992/'实盘净值数据(iFinD）'!$B$65:$Y$65)+SUMPRODUCT(分期持仓明细!$AC$25:$AD$25,'实盘净值数据(iFinD）'!$Z992:$AA992/'实盘净值数据(iFinD）'!$Z$65:$AA$65))*(1-实盘持仓初始配置!$Z$9)^(('实盘净值数据(iFinD）'!$A992-'实盘净值数据(iFinD）'!$A$8)/365))</f>
        <v/>
      </c>
      <c r="R992" s="16" t="str">
        <f t="shared" si="95"/>
        <v/>
      </c>
      <c r="S992" s="16" t="str">
        <f>IF(Q992="","",Q992/MAX(Q$5:Q992)-1)</f>
        <v/>
      </c>
      <c r="T992" s="13">
        <f>IF(OR('实盘净值数据(iFinD）'!$A992="",'实盘净值数据(iFinD）'!$B992="",'实盘净值数据(iFinD）'!$Z992="",'实盘净值数据(iFinD）'!$AA992="",'实盘净值数据(iFinD）'!$AB992="",'实盘净值数据(iFinD）'!$AL992=""),"",(SUMPRODUCT(分期持仓明细!$B$26:$Y$26,'实盘净值数据(iFinD）'!$B992:$Y992/'实盘净值数据(iFinD）'!$B$69:$Y$69)+SUMPRODUCT(分期持仓明细!$AC$26:$AD$26,'实盘净值数据(iFinD）'!$Z992:$AA992/'实盘净值数据(iFinD）'!$Z$69:$AA$69)+SUMPRODUCT(分期持仓明细!$AE$26:$AO$26,'实盘净值数据(iFinD）'!$AB992:$AL992/'实盘净值数据(iFinD）'!$AB$69:$AL$69))*(1-实盘持仓初始配置!$Z$10)^(('实盘净值数据(iFinD）'!$A992-'实盘净值数据(iFinD）'!$A$69)/365))</f>
        <v/>
      </c>
      <c r="U992" s="16">
        <f>IF(OR(T991="",T992=""),"",T992/T991-1)</f>
        <v/>
      </c>
      <c r="V992" s="16">
        <f>IF(T992="","",T992/MAX(T$5:T992)-1)</f>
        <v/>
      </c>
    </row>
    <row r="993" spans="1:19">
      <c r="A993" s="15" t="str">
        <f>IF('实盘净值数据(iFinD）'!A993="","",'实盘净值数据(iFinD）'!A993)</f>
        <v/>
      </c>
      <c r="B993" s="13" t="str">
        <f>IF(OR('实盘净值数据(iFinD）'!$A993="",'实盘净值数据(iFinD）'!$B993=""),"",分期持仓明细!$AB$17*SUMPRODUCT(分期持仓明细!$B$17:$Y$17,'实盘净值数据(iFinD）'!$B993:$Y993/'实盘净值数据(iFinD）'!$B$20:$Y$20)*(1-实盘持仓初始配置!$Z$4)^(('实盘净值数据(iFinD）'!$A993-'实盘净值数据(iFinD）'!$A$6)/365))</f>
        <v/>
      </c>
      <c r="C993" s="16" t="str">
        <f t="shared" si="90"/>
        <v/>
      </c>
      <c r="D993" s="16" t="str">
        <f>IF(B993="","",B993/MAX(B$5:B993)-1)</f>
        <v/>
      </c>
      <c r="E993" s="13" t="str">
        <f>IF(OR('实盘净值数据(iFinD）'!$A993="",'实盘净值数据(iFinD）'!$B993=""),"",分期持仓明细!$AB$18*SUMPRODUCT(分期持仓明细!$B$18:$Y$18,'实盘净值数据(iFinD）'!$B993:$Y993/'实盘净值数据(iFinD）'!$B$20:$Y$20)*(1-实盘持仓初始配置!$Z$5)^(('实盘净值数据(iFinD）'!$A993-'实盘净值数据(iFinD）'!$A$5)/365))</f>
        <v/>
      </c>
      <c r="F993" s="16" t="str">
        <f t="shared" si="91"/>
        <v/>
      </c>
      <c r="G993" s="16" t="str">
        <f>IF(E993="","",E993/MAX(E$5:E993)-1)</f>
        <v/>
      </c>
      <c r="H993" s="13" t="str">
        <f>IF(OR('实盘净值数据(iFinD）'!$A993="",'实盘净值数据(iFinD）'!$B993=""),"",分期持仓明细!$AB$19*SUMPRODUCT(分期持仓明细!$B$19:$Y$19,'实盘净值数据(iFinD）'!$B993:$Y993/'实盘净值数据(iFinD）'!$B$20:$Y$20)*(1-实盘持仓初始配置!$Z$6)^(('实盘净值数据(iFinD）'!$A993-'实盘净值数据(iFinD）'!$A$7)/365))</f>
        <v/>
      </c>
      <c r="I993" s="16" t="str">
        <f t="shared" si="92"/>
        <v/>
      </c>
      <c r="J993" s="16" t="str">
        <f>IF(H993="","",H993/MAX(H$5:H993)-1)</f>
        <v/>
      </c>
      <c r="K993" s="13" t="str">
        <f>IF(OR('实盘净值数据(iFinD）'!$A993="",'实盘净值数据(iFinD）'!$B993="",'实盘净值数据(iFinD）'!$Z993="",'实盘净值数据(iFinD）'!$AA993=""),"",分期持仓明细!$AB$23*(SUMPRODUCT(分期持仓明细!$B$23:$Y$23,'实盘净值数据(iFinD）'!$B993:$Y993/'实盘净值数据(iFinD）'!$B$65:$Y$65)+SUMPRODUCT(分期持仓明细!$AC$23:$AD$23,'实盘净值数据(iFinD）'!$Z993:$AA993/'实盘净值数据(iFinD）'!$Z$65:$AA$65))*(1-实盘持仓初始配置!$Z$7)^(('实盘净值数据(iFinD）'!$A993-'实盘净值数据(iFinD）'!$A$8)/365))</f>
        <v/>
      </c>
      <c r="L993" s="16" t="str">
        <f t="shared" si="93"/>
        <v/>
      </c>
      <c r="M993" s="16" t="str">
        <f>IF(K993="","",K993/MAX(K$5:K993)-1)</f>
        <v/>
      </c>
      <c r="N993" s="13" t="str">
        <f>IF(OR('实盘净值数据(iFinD）'!$A993="",'实盘净值数据(iFinD）'!$B993="",'实盘净值数据(iFinD）'!$Z993="",'实盘净值数据(iFinD）'!$AA993=""),"",分期持仓明细!$AB$24*(SUMPRODUCT(分期持仓明细!$B$24:$Y$24,'实盘净值数据(iFinD）'!$B993:$Y993/'实盘净值数据(iFinD）'!$B$65:$Y$65)+SUMPRODUCT(分期持仓明细!$AC$24:$AD$24,'实盘净值数据(iFinD）'!$Z993:$AA993/'实盘净值数据(iFinD）'!$Z$65:$AA$65))*(1-实盘持仓初始配置!$Z$8)^(('实盘净值数据(iFinD）'!$A993-'实盘净值数据(iFinD）'!$A$5)/365))</f>
        <v/>
      </c>
      <c r="O993" s="16" t="str">
        <f t="shared" si="94"/>
        <v/>
      </c>
      <c r="P993" s="16" t="str">
        <f>IF(N993="","",N993/MAX(N$5:N993)-1)</f>
        <v/>
      </c>
      <c r="Q993" s="13" t="str">
        <f>IF(OR('实盘净值数据(iFinD）'!$A993="",'实盘净值数据(iFinD）'!$B993="",'实盘净值数据(iFinD）'!$Z993="",'实盘净值数据(iFinD）'!$AA993=""),"",分期持仓明细!$AB$25*(SUMPRODUCT(分期持仓明细!$B$25:$Y$25,'实盘净值数据(iFinD）'!$B993:$Y993/'实盘净值数据(iFinD）'!$B$65:$Y$65)+SUMPRODUCT(分期持仓明细!$AC$25:$AD$25,'实盘净值数据(iFinD）'!$Z993:$AA993/'实盘净值数据(iFinD）'!$Z$65:$AA$65))*(1-实盘持仓初始配置!$Z$9)^(('实盘净值数据(iFinD）'!$A993-'实盘净值数据(iFinD）'!$A$8)/365))</f>
        <v/>
      </c>
      <c r="R993" s="16" t="str">
        <f t="shared" si="95"/>
        <v/>
      </c>
      <c r="S993" s="16" t="str">
        <f>IF(Q993="","",Q993/MAX(Q$5:Q993)-1)</f>
        <v/>
      </c>
      <c r="T993" s="13">
        <f>IF(OR('实盘净值数据(iFinD）'!$A993="",'实盘净值数据(iFinD）'!$B993="",'实盘净值数据(iFinD）'!$Z993="",'实盘净值数据(iFinD）'!$AA993="",'实盘净值数据(iFinD）'!$AB993="",'实盘净值数据(iFinD）'!$AL993=""),"",(SUMPRODUCT(分期持仓明细!$B$26:$Y$26,'实盘净值数据(iFinD）'!$B993:$Y993/'实盘净值数据(iFinD）'!$B$69:$Y$69)+SUMPRODUCT(分期持仓明细!$AC$26:$AD$26,'实盘净值数据(iFinD）'!$Z993:$AA993/'实盘净值数据(iFinD）'!$Z$69:$AA$69)+SUMPRODUCT(分期持仓明细!$AE$26:$AO$26,'实盘净值数据(iFinD）'!$AB993:$AL993/'实盘净值数据(iFinD）'!$AB$69:$AL$69))*(1-实盘持仓初始配置!$Z$10)^(('实盘净值数据(iFinD）'!$A993-'实盘净值数据(iFinD）'!$A$69)/365))</f>
        <v/>
      </c>
      <c r="U993" s="16">
        <f>IF(OR(T992="",T993=""),"",T993/T992-1)</f>
        <v/>
      </c>
      <c r="V993" s="16">
        <f>IF(T993="","",T993/MAX(T$5:T993)-1)</f>
        <v/>
      </c>
    </row>
    <row r="994" spans="1:19">
      <c r="A994" s="15" t="str">
        <f>IF('实盘净值数据(iFinD）'!A994="","",'实盘净值数据(iFinD）'!A994)</f>
        <v/>
      </c>
      <c r="B994" s="13" t="str">
        <f>IF(OR('实盘净值数据(iFinD）'!$A994="",'实盘净值数据(iFinD）'!$B994=""),"",分期持仓明细!$AB$17*SUMPRODUCT(分期持仓明细!$B$17:$Y$17,'实盘净值数据(iFinD）'!$B994:$Y994/'实盘净值数据(iFinD）'!$B$20:$Y$20)*(1-实盘持仓初始配置!$Z$4)^(('实盘净值数据(iFinD）'!$A994-'实盘净值数据(iFinD）'!$A$6)/365))</f>
        <v/>
      </c>
      <c r="C994" s="16" t="str">
        <f t="shared" si="90"/>
        <v/>
      </c>
      <c r="D994" s="16" t="str">
        <f>IF(B994="","",B994/MAX(B$5:B994)-1)</f>
        <v/>
      </c>
      <c r="E994" s="13" t="str">
        <f>IF(OR('实盘净值数据(iFinD）'!$A994="",'实盘净值数据(iFinD）'!$B994=""),"",分期持仓明细!$AB$18*SUMPRODUCT(分期持仓明细!$B$18:$Y$18,'实盘净值数据(iFinD）'!$B994:$Y994/'实盘净值数据(iFinD）'!$B$20:$Y$20)*(1-实盘持仓初始配置!$Z$5)^(('实盘净值数据(iFinD）'!$A994-'实盘净值数据(iFinD）'!$A$5)/365))</f>
        <v/>
      </c>
      <c r="F994" s="16" t="str">
        <f t="shared" si="91"/>
        <v/>
      </c>
      <c r="G994" s="16" t="str">
        <f>IF(E994="","",E994/MAX(E$5:E994)-1)</f>
        <v/>
      </c>
      <c r="H994" s="13" t="str">
        <f>IF(OR('实盘净值数据(iFinD）'!$A994="",'实盘净值数据(iFinD）'!$B994=""),"",分期持仓明细!$AB$19*SUMPRODUCT(分期持仓明细!$B$19:$Y$19,'实盘净值数据(iFinD）'!$B994:$Y994/'实盘净值数据(iFinD）'!$B$20:$Y$20)*(1-实盘持仓初始配置!$Z$6)^(('实盘净值数据(iFinD）'!$A994-'实盘净值数据(iFinD）'!$A$7)/365))</f>
        <v/>
      </c>
      <c r="I994" s="16" t="str">
        <f t="shared" si="92"/>
        <v/>
      </c>
      <c r="J994" s="16" t="str">
        <f>IF(H994="","",H994/MAX(H$5:H994)-1)</f>
        <v/>
      </c>
      <c r="K994" s="13" t="str">
        <f>IF(OR('实盘净值数据(iFinD）'!$A994="",'实盘净值数据(iFinD）'!$B994="",'实盘净值数据(iFinD）'!$Z994="",'实盘净值数据(iFinD）'!$AA994=""),"",分期持仓明细!$AB$23*(SUMPRODUCT(分期持仓明细!$B$23:$Y$23,'实盘净值数据(iFinD）'!$B994:$Y994/'实盘净值数据(iFinD）'!$B$65:$Y$65)+SUMPRODUCT(分期持仓明细!$AC$23:$AD$23,'实盘净值数据(iFinD）'!$Z994:$AA994/'实盘净值数据(iFinD）'!$Z$65:$AA$65))*(1-实盘持仓初始配置!$Z$7)^(('实盘净值数据(iFinD）'!$A994-'实盘净值数据(iFinD）'!$A$8)/365))</f>
        <v/>
      </c>
      <c r="L994" s="16" t="str">
        <f t="shared" si="93"/>
        <v/>
      </c>
      <c r="M994" s="16" t="str">
        <f>IF(K994="","",K994/MAX(K$5:K994)-1)</f>
        <v/>
      </c>
      <c r="N994" s="13" t="str">
        <f>IF(OR('实盘净值数据(iFinD）'!$A994="",'实盘净值数据(iFinD）'!$B994="",'实盘净值数据(iFinD）'!$Z994="",'实盘净值数据(iFinD）'!$AA994=""),"",分期持仓明细!$AB$24*(SUMPRODUCT(分期持仓明细!$B$24:$Y$24,'实盘净值数据(iFinD）'!$B994:$Y994/'实盘净值数据(iFinD）'!$B$65:$Y$65)+SUMPRODUCT(分期持仓明细!$AC$24:$AD$24,'实盘净值数据(iFinD）'!$Z994:$AA994/'实盘净值数据(iFinD）'!$Z$65:$AA$65))*(1-实盘持仓初始配置!$Z$8)^(('实盘净值数据(iFinD）'!$A994-'实盘净值数据(iFinD）'!$A$5)/365))</f>
        <v/>
      </c>
      <c r="O994" s="16" t="str">
        <f t="shared" si="94"/>
        <v/>
      </c>
      <c r="P994" s="16" t="str">
        <f>IF(N994="","",N994/MAX(N$5:N994)-1)</f>
        <v/>
      </c>
      <c r="Q994" s="13" t="str">
        <f>IF(OR('实盘净值数据(iFinD）'!$A994="",'实盘净值数据(iFinD）'!$B994="",'实盘净值数据(iFinD）'!$Z994="",'实盘净值数据(iFinD）'!$AA994=""),"",分期持仓明细!$AB$25*(SUMPRODUCT(分期持仓明细!$B$25:$Y$25,'实盘净值数据(iFinD）'!$B994:$Y994/'实盘净值数据(iFinD）'!$B$65:$Y$65)+SUMPRODUCT(分期持仓明细!$AC$25:$AD$25,'实盘净值数据(iFinD）'!$Z994:$AA994/'实盘净值数据(iFinD）'!$Z$65:$AA$65))*(1-实盘持仓初始配置!$Z$9)^(('实盘净值数据(iFinD）'!$A994-'实盘净值数据(iFinD）'!$A$8)/365))</f>
        <v/>
      </c>
      <c r="R994" s="16" t="str">
        <f t="shared" si="95"/>
        <v/>
      </c>
      <c r="S994" s="16" t="str">
        <f>IF(Q994="","",Q994/MAX(Q$5:Q994)-1)</f>
        <v/>
      </c>
      <c r="T994" s="13">
        <f>IF(OR('实盘净值数据(iFinD）'!$A994="",'实盘净值数据(iFinD）'!$B994="",'实盘净值数据(iFinD）'!$Z994="",'实盘净值数据(iFinD）'!$AA994="",'实盘净值数据(iFinD）'!$AB994="",'实盘净值数据(iFinD）'!$AL994=""),"",(SUMPRODUCT(分期持仓明细!$B$26:$Y$26,'实盘净值数据(iFinD）'!$B994:$Y994/'实盘净值数据(iFinD）'!$B$69:$Y$69)+SUMPRODUCT(分期持仓明细!$AC$26:$AD$26,'实盘净值数据(iFinD）'!$Z994:$AA994/'实盘净值数据(iFinD）'!$Z$69:$AA$69)+SUMPRODUCT(分期持仓明细!$AE$26:$AO$26,'实盘净值数据(iFinD）'!$AB994:$AL994/'实盘净值数据(iFinD）'!$AB$69:$AL$69))*(1-实盘持仓初始配置!$Z$10)^(('实盘净值数据(iFinD）'!$A994-'实盘净值数据(iFinD）'!$A$69)/365))</f>
        <v/>
      </c>
      <c r="U994" s="16">
        <f>IF(OR(T993="",T994=""),"",T994/T993-1)</f>
        <v/>
      </c>
      <c r="V994" s="16">
        <f>IF(T994="","",T994/MAX(T$5:T994)-1)</f>
        <v/>
      </c>
    </row>
    <row r="995" spans="1:19">
      <c r="A995" s="15" t="str">
        <f>IF('实盘净值数据(iFinD）'!A995="","",'实盘净值数据(iFinD）'!A995)</f>
        <v/>
      </c>
      <c r="B995" s="13" t="str">
        <f>IF(OR('实盘净值数据(iFinD）'!$A995="",'实盘净值数据(iFinD）'!$B995=""),"",分期持仓明细!$AB$17*SUMPRODUCT(分期持仓明细!$B$17:$Y$17,'实盘净值数据(iFinD）'!$B995:$Y995/'实盘净值数据(iFinD）'!$B$20:$Y$20)*(1-实盘持仓初始配置!$Z$4)^(('实盘净值数据(iFinD）'!$A995-'实盘净值数据(iFinD）'!$A$6)/365))</f>
        <v/>
      </c>
      <c r="C995" s="16" t="str">
        <f t="shared" si="90"/>
        <v/>
      </c>
      <c r="D995" s="16" t="str">
        <f>IF(B995="","",B995/MAX(B$5:B995)-1)</f>
        <v/>
      </c>
      <c r="E995" s="13" t="str">
        <f>IF(OR('实盘净值数据(iFinD）'!$A995="",'实盘净值数据(iFinD）'!$B995=""),"",分期持仓明细!$AB$18*SUMPRODUCT(分期持仓明细!$B$18:$Y$18,'实盘净值数据(iFinD）'!$B995:$Y995/'实盘净值数据(iFinD）'!$B$20:$Y$20)*(1-实盘持仓初始配置!$Z$5)^(('实盘净值数据(iFinD）'!$A995-'实盘净值数据(iFinD）'!$A$5)/365))</f>
        <v/>
      </c>
      <c r="F995" s="16" t="str">
        <f t="shared" si="91"/>
        <v/>
      </c>
      <c r="G995" s="16" t="str">
        <f>IF(E995="","",E995/MAX(E$5:E995)-1)</f>
        <v/>
      </c>
      <c r="H995" s="13" t="str">
        <f>IF(OR('实盘净值数据(iFinD）'!$A995="",'实盘净值数据(iFinD）'!$B995=""),"",分期持仓明细!$AB$19*SUMPRODUCT(分期持仓明细!$B$19:$Y$19,'实盘净值数据(iFinD）'!$B995:$Y995/'实盘净值数据(iFinD）'!$B$20:$Y$20)*(1-实盘持仓初始配置!$Z$6)^(('实盘净值数据(iFinD）'!$A995-'实盘净值数据(iFinD）'!$A$7)/365))</f>
        <v/>
      </c>
      <c r="I995" s="16" t="str">
        <f t="shared" si="92"/>
        <v/>
      </c>
      <c r="J995" s="16" t="str">
        <f>IF(H995="","",H995/MAX(H$5:H995)-1)</f>
        <v/>
      </c>
      <c r="K995" s="13" t="str">
        <f>IF(OR('实盘净值数据(iFinD）'!$A995="",'实盘净值数据(iFinD）'!$B995="",'实盘净值数据(iFinD）'!$Z995="",'实盘净值数据(iFinD）'!$AA995=""),"",分期持仓明细!$AB$23*(SUMPRODUCT(分期持仓明细!$B$23:$Y$23,'实盘净值数据(iFinD）'!$B995:$Y995/'实盘净值数据(iFinD）'!$B$65:$Y$65)+SUMPRODUCT(分期持仓明细!$AC$23:$AD$23,'实盘净值数据(iFinD）'!$Z995:$AA995/'实盘净值数据(iFinD）'!$Z$65:$AA$65))*(1-实盘持仓初始配置!$Z$7)^(('实盘净值数据(iFinD）'!$A995-'实盘净值数据(iFinD）'!$A$8)/365))</f>
        <v/>
      </c>
      <c r="L995" s="16" t="str">
        <f t="shared" si="93"/>
        <v/>
      </c>
      <c r="M995" s="16" t="str">
        <f>IF(K995="","",K995/MAX(K$5:K995)-1)</f>
        <v/>
      </c>
      <c r="N995" s="13" t="str">
        <f>IF(OR('实盘净值数据(iFinD）'!$A995="",'实盘净值数据(iFinD）'!$B995="",'实盘净值数据(iFinD）'!$Z995="",'实盘净值数据(iFinD）'!$AA995=""),"",分期持仓明细!$AB$24*(SUMPRODUCT(分期持仓明细!$B$24:$Y$24,'实盘净值数据(iFinD）'!$B995:$Y995/'实盘净值数据(iFinD）'!$B$65:$Y$65)+SUMPRODUCT(分期持仓明细!$AC$24:$AD$24,'实盘净值数据(iFinD）'!$Z995:$AA995/'实盘净值数据(iFinD）'!$Z$65:$AA$65))*(1-实盘持仓初始配置!$Z$8)^(('实盘净值数据(iFinD）'!$A995-'实盘净值数据(iFinD）'!$A$5)/365))</f>
        <v/>
      </c>
      <c r="O995" s="16" t="str">
        <f t="shared" si="94"/>
        <v/>
      </c>
      <c r="P995" s="16" t="str">
        <f>IF(N995="","",N995/MAX(N$5:N995)-1)</f>
        <v/>
      </c>
      <c r="Q995" s="13" t="str">
        <f>IF(OR('实盘净值数据(iFinD）'!$A995="",'实盘净值数据(iFinD）'!$B995="",'实盘净值数据(iFinD）'!$Z995="",'实盘净值数据(iFinD）'!$AA995=""),"",分期持仓明细!$AB$25*(SUMPRODUCT(分期持仓明细!$B$25:$Y$25,'实盘净值数据(iFinD）'!$B995:$Y995/'实盘净值数据(iFinD）'!$B$65:$Y$65)+SUMPRODUCT(分期持仓明细!$AC$25:$AD$25,'实盘净值数据(iFinD）'!$Z995:$AA995/'实盘净值数据(iFinD）'!$Z$65:$AA$65))*(1-实盘持仓初始配置!$Z$9)^(('实盘净值数据(iFinD）'!$A995-'实盘净值数据(iFinD）'!$A$8)/365))</f>
        <v/>
      </c>
      <c r="R995" s="16" t="str">
        <f t="shared" si="95"/>
        <v/>
      </c>
      <c r="S995" s="16" t="str">
        <f>IF(Q995="","",Q995/MAX(Q$5:Q995)-1)</f>
        <v/>
      </c>
      <c r="T995" s="13">
        <f>IF(OR('实盘净值数据(iFinD）'!$A995="",'实盘净值数据(iFinD）'!$B995="",'实盘净值数据(iFinD）'!$Z995="",'实盘净值数据(iFinD）'!$AA995="",'实盘净值数据(iFinD）'!$AB995="",'实盘净值数据(iFinD）'!$AL995=""),"",(SUMPRODUCT(分期持仓明细!$B$26:$Y$26,'实盘净值数据(iFinD）'!$B995:$Y995/'实盘净值数据(iFinD）'!$B$69:$Y$69)+SUMPRODUCT(分期持仓明细!$AC$26:$AD$26,'实盘净值数据(iFinD）'!$Z995:$AA995/'实盘净值数据(iFinD）'!$Z$69:$AA$69)+SUMPRODUCT(分期持仓明细!$AE$26:$AO$26,'实盘净值数据(iFinD）'!$AB995:$AL995/'实盘净值数据(iFinD）'!$AB$69:$AL$69))*(1-实盘持仓初始配置!$Z$10)^(('实盘净值数据(iFinD）'!$A995-'实盘净值数据(iFinD）'!$A$69)/365))</f>
        <v/>
      </c>
      <c r="U995" s="16">
        <f>IF(OR(T994="",T995=""),"",T995/T994-1)</f>
        <v/>
      </c>
      <c r="V995" s="16">
        <f>IF(T995="","",T995/MAX(T$5:T995)-1)</f>
        <v/>
      </c>
    </row>
    <row r="996" spans="1:19">
      <c r="A996" s="15" t="str">
        <f>IF('实盘净值数据(iFinD）'!A996="","",'实盘净值数据(iFinD）'!A996)</f>
        <v/>
      </c>
      <c r="B996" s="13" t="str">
        <f>IF(OR('实盘净值数据(iFinD）'!$A996="",'实盘净值数据(iFinD）'!$B996=""),"",分期持仓明细!$AB$17*SUMPRODUCT(分期持仓明细!$B$17:$Y$17,'实盘净值数据(iFinD）'!$B996:$Y996/'实盘净值数据(iFinD）'!$B$20:$Y$20)*(1-实盘持仓初始配置!$Z$4)^(('实盘净值数据(iFinD）'!$A996-'实盘净值数据(iFinD）'!$A$6)/365))</f>
        <v/>
      </c>
      <c r="C996" s="16" t="str">
        <f t="shared" si="90"/>
        <v/>
      </c>
      <c r="D996" s="16" t="str">
        <f>IF(B996="","",B996/MAX(B$5:B996)-1)</f>
        <v/>
      </c>
      <c r="E996" s="13" t="str">
        <f>IF(OR('实盘净值数据(iFinD）'!$A996="",'实盘净值数据(iFinD）'!$B996=""),"",分期持仓明细!$AB$18*SUMPRODUCT(分期持仓明细!$B$18:$Y$18,'实盘净值数据(iFinD）'!$B996:$Y996/'实盘净值数据(iFinD）'!$B$20:$Y$20)*(1-实盘持仓初始配置!$Z$5)^(('实盘净值数据(iFinD）'!$A996-'实盘净值数据(iFinD）'!$A$5)/365))</f>
        <v/>
      </c>
      <c r="F996" s="16" t="str">
        <f t="shared" si="91"/>
        <v/>
      </c>
      <c r="G996" s="16" t="str">
        <f>IF(E996="","",E996/MAX(E$5:E996)-1)</f>
        <v/>
      </c>
      <c r="H996" s="13" t="str">
        <f>IF(OR('实盘净值数据(iFinD）'!$A996="",'实盘净值数据(iFinD）'!$B996=""),"",分期持仓明细!$AB$19*SUMPRODUCT(分期持仓明细!$B$19:$Y$19,'实盘净值数据(iFinD）'!$B996:$Y996/'实盘净值数据(iFinD）'!$B$20:$Y$20)*(1-实盘持仓初始配置!$Z$6)^(('实盘净值数据(iFinD）'!$A996-'实盘净值数据(iFinD）'!$A$7)/365))</f>
        <v/>
      </c>
      <c r="I996" s="16" t="str">
        <f t="shared" si="92"/>
        <v/>
      </c>
      <c r="J996" s="16" t="str">
        <f>IF(H996="","",H996/MAX(H$5:H996)-1)</f>
        <v/>
      </c>
      <c r="K996" s="13" t="str">
        <f>IF(OR('实盘净值数据(iFinD）'!$A996="",'实盘净值数据(iFinD）'!$B996="",'实盘净值数据(iFinD）'!$Z996="",'实盘净值数据(iFinD）'!$AA996=""),"",分期持仓明细!$AB$23*(SUMPRODUCT(分期持仓明细!$B$23:$Y$23,'实盘净值数据(iFinD）'!$B996:$Y996/'实盘净值数据(iFinD）'!$B$65:$Y$65)+SUMPRODUCT(分期持仓明细!$AC$23:$AD$23,'实盘净值数据(iFinD）'!$Z996:$AA996/'实盘净值数据(iFinD）'!$Z$65:$AA$65))*(1-实盘持仓初始配置!$Z$7)^(('实盘净值数据(iFinD）'!$A996-'实盘净值数据(iFinD）'!$A$8)/365))</f>
        <v/>
      </c>
      <c r="L996" s="16" t="str">
        <f t="shared" si="93"/>
        <v/>
      </c>
      <c r="M996" s="16" t="str">
        <f>IF(K996="","",K996/MAX(K$5:K996)-1)</f>
        <v/>
      </c>
      <c r="N996" s="13" t="str">
        <f>IF(OR('实盘净值数据(iFinD）'!$A996="",'实盘净值数据(iFinD）'!$B996="",'实盘净值数据(iFinD）'!$Z996="",'实盘净值数据(iFinD）'!$AA996=""),"",分期持仓明细!$AB$24*(SUMPRODUCT(分期持仓明细!$B$24:$Y$24,'实盘净值数据(iFinD）'!$B996:$Y996/'实盘净值数据(iFinD）'!$B$65:$Y$65)+SUMPRODUCT(分期持仓明细!$AC$24:$AD$24,'实盘净值数据(iFinD）'!$Z996:$AA996/'实盘净值数据(iFinD）'!$Z$65:$AA$65))*(1-实盘持仓初始配置!$Z$8)^(('实盘净值数据(iFinD）'!$A996-'实盘净值数据(iFinD）'!$A$5)/365))</f>
        <v/>
      </c>
      <c r="O996" s="16" t="str">
        <f t="shared" si="94"/>
        <v/>
      </c>
      <c r="P996" s="16" t="str">
        <f>IF(N996="","",N996/MAX(N$5:N996)-1)</f>
        <v/>
      </c>
      <c r="Q996" s="13" t="str">
        <f>IF(OR('实盘净值数据(iFinD）'!$A996="",'实盘净值数据(iFinD）'!$B996="",'实盘净值数据(iFinD）'!$Z996="",'实盘净值数据(iFinD）'!$AA996=""),"",分期持仓明细!$AB$25*(SUMPRODUCT(分期持仓明细!$B$25:$Y$25,'实盘净值数据(iFinD）'!$B996:$Y996/'实盘净值数据(iFinD）'!$B$65:$Y$65)+SUMPRODUCT(分期持仓明细!$AC$25:$AD$25,'实盘净值数据(iFinD）'!$Z996:$AA996/'实盘净值数据(iFinD）'!$Z$65:$AA$65))*(1-实盘持仓初始配置!$Z$9)^(('实盘净值数据(iFinD）'!$A996-'实盘净值数据(iFinD）'!$A$8)/365))</f>
        <v/>
      </c>
      <c r="R996" s="16" t="str">
        <f t="shared" si="95"/>
        <v/>
      </c>
      <c r="S996" s="16" t="str">
        <f>IF(Q996="","",Q996/MAX(Q$5:Q996)-1)</f>
        <v/>
      </c>
      <c r="T996" s="13">
        <f>IF(OR('实盘净值数据(iFinD）'!$A996="",'实盘净值数据(iFinD）'!$B996="",'实盘净值数据(iFinD）'!$Z996="",'实盘净值数据(iFinD）'!$AA996="",'实盘净值数据(iFinD）'!$AB996="",'实盘净值数据(iFinD）'!$AL996=""),"",(SUMPRODUCT(分期持仓明细!$B$26:$Y$26,'实盘净值数据(iFinD）'!$B996:$Y996/'实盘净值数据(iFinD）'!$B$69:$Y$69)+SUMPRODUCT(分期持仓明细!$AC$26:$AD$26,'实盘净值数据(iFinD）'!$Z996:$AA996/'实盘净值数据(iFinD）'!$Z$69:$AA$69)+SUMPRODUCT(分期持仓明细!$AE$26:$AO$26,'实盘净值数据(iFinD）'!$AB996:$AL996/'实盘净值数据(iFinD）'!$AB$69:$AL$69))*(1-实盘持仓初始配置!$Z$10)^(('实盘净值数据(iFinD）'!$A996-'实盘净值数据(iFinD）'!$A$69)/365))</f>
        <v/>
      </c>
      <c r="U996" s="16">
        <f>IF(OR(T995="",T996=""),"",T996/T995-1)</f>
        <v/>
      </c>
      <c r="V996" s="16">
        <f>IF(T996="","",T996/MAX(T$5:T996)-1)</f>
        <v/>
      </c>
    </row>
    <row r="997" spans="1:19">
      <c r="A997" s="15" t="str">
        <f>IF('实盘净值数据(iFinD）'!A997="","",'实盘净值数据(iFinD）'!A997)</f>
        <v/>
      </c>
      <c r="B997" s="13" t="str">
        <f>IF(OR('实盘净值数据(iFinD）'!$A997="",'实盘净值数据(iFinD）'!$B997=""),"",分期持仓明细!$AB$17*SUMPRODUCT(分期持仓明细!$B$17:$Y$17,'实盘净值数据(iFinD）'!$B997:$Y997/'实盘净值数据(iFinD）'!$B$20:$Y$20)*(1-实盘持仓初始配置!$Z$4)^(('实盘净值数据(iFinD）'!$A997-'实盘净值数据(iFinD）'!$A$6)/365))</f>
        <v/>
      </c>
      <c r="C997" s="16" t="str">
        <f t="shared" si="90"/>
        <v/>
      </c>
      <c r="D997" s="16" t="str">
        <f>IF(B997="","",B997/MAX(B$5:B997)-1)</f>
        <v/>
      </c>
      <c r="E997" s="13" t="str">
        <f>IF(OR('实盘净值数据(iFinD）'!$A997="",'实盘净值数据(iFinD）'!$B997=""),"",分期持仓明细!$AB$18*SUMPRODUCT(分期持仓明细!$B$18:$Y$18,'实盘净值数据(iFinD）'!$B997:$Y997/'实盘净值数据(iFinD）'!$B$20:$Y$20)*(1-实盘持仓初始配置!$Z$5)^(('实盘净值数据(iFinD）'!$A997-'实盘净值数据(iFinD）'!$A$5)/365))</f>
        <v/>
      </c>
      <c r="F997" s="16" t="str">
        <f t="shared" si="91"/>
        <v/>
      </c>
      <c r="G997" s="16" t="str">
        <f>IF(E997="","",E997/MAX(E$5:E997)-1)</f>
        <v/>
      </c>
      <c r="H997" s="13" t="str">
        <f>IF(OR('实盘净值数据(iFinD）'!$A997="",'实盘净值数据(iFinD）'!$B997=""),"",分期持仓明细!$AB$19*SUMPRODUCT(分期持仓明细!$B$19:$Y$19,'实盘净值数据(iFinD）'!$B997:$Y997/'实盘净值数据(iFinD）'!$B$20:$Y$20)*(1-实盘持仓初始配置!$Z$6)^(('实盘净值数据(iFinD）'!$A997-'实盘净值数据(iFinD）'!$A$7)/365))</f>
        <v/>
      </c>
      <c r="I997" s="16" t="str">
        <f t="shared" si="92"/>
        <v/>
      </c>
      <c r="J997" s="16" t="str">
        <f>IF(H997="","",H997/MAX(H$5:H997)-1)</f>
        <v/>
      </c>
      <c r="K997" s="13" t="str">
        <f>IF(OR('实盘净值数据(iFinD）'!$A997="",'实盘净值数据(iFinD）'!$B997="",'实盘净值数据(iFinD）'!$Z997="",'实盘净值数据(iFinD）'!$AA997=""),"",分期持仓明细!$AB$23*(SUMPRODUCT(分期持仓明细!$B$23:$Y$23,'实盘净值数据(iFinD）'!$B997:$Y997/'实盘净值数据(iFinD）'!$B$65:$Y$65)+SUMPRODUCT(分期持仓明细!$AC$23:$AD$23,'实盘净值数据(iFinD）'!$Z997:$AA997/'实盘净值数据(iFinD）'!$Z$65:$AA$65))*(1-实盘持仓初始配置!$Z$7)^(('实盘净值数据(iFinD）'!$A997-'实盘净值数据(iFinD）'!$A$8)/365))</f>
        <v/>
      </c>
      <c r="L997" s="16" t="str">
        <f t="shared" si="93"/>
        <v/>
      </c>
      <c r="M997" s="16" t="str">
        <f>IF(K997="","",K997/MAX(K$5:K997)-1)</f>
        <v/>
      </c>
      <c r="N997" s="13" t="str">
        <f>IF(OR('实盘净值数据(iFinD）'!$A997="",'实盘净值数据(iFinD）'!$B997="",'实盘净值数据(iFinD）'!$Z997="",'实盘净值数据(iFinD）'!$AA997=""),"",分期持仓明细!$AB$24*(SUMPRODUCT(分期持仓明细!$B$24:$Y$24,'实盘净值数据(iFinD）'!$B997:$Y997/'实盘净值数据(iFinD）'!$B$65:$Y$65)+SUMPRODUCT(分期持仓明细!$AC$24:$AD$24,'实盘净值数据(iFinD）'!$Z997:$AA997/'实盘净值数据(iFinD）'!$Z$65:$AA$65))*(1-实盘持仓初始配置!$Z$8)^(('实盘净值数据(iFinD）'!$A997-'实盘净值数据(iFinD）'!$A$5)/365))</f>
        <v/>
      </c>
      <c r="O997" s="16" t="str">
        <f t="shared" si="94"/>
        <v/>
      </c>
      <c r="P997" s="16" t="str">
        <f>IF(N997="","",N997/MAX(N$5:N997)-1)</f>
        <v/>
      </c>
      <c r="Q997" s="13" t="str">
        <f>IF(OR('实盘净值数据(iFinD）'!$A997="",'实盘净值数据(iFinD）'!$B997="",'实盘净值数据(iFinD）'!$Z997="",'实盘净值数据(iFinD）'!$AA997=""),"",分期持仓明细!$AB$25*(SUMPRODUCT(分期持仓明细!$B$25:$Y$25,'实盘净值数据(iFinD）'!$B997:$Y997/'实盘净值数据(iFinD）'!$B$65:$Y$65)+SUMPRODUCT(分期持仓明细!$AC$25:$AD$25,'实盘净值数据(iFinD）'!$Z997:$AA997/'实盘净值数据(iFinD）'!$Z$65:$AA$65))*(1-实盘持仓初始配置!$Z$9)^(('实盘净值数据(iFinD）'!$A997-'实盘净值数据(iFinD）'!$A$8)/365))</f>
        <v/>
      </c>
      <c r="R997" s="16" t="str">
        <f t="shared" si="95"/>
        <v/>
      </c>
      <c r="S997" s="16" t="str">
        <f>IF(Q997="","",Q997/MAX(Q$5:Q997)-1)</f>
        <v/>
      </c>
      <c r="T997" s="13">
        <f>IF(OR('实盘净值数据(iFinD）'!$A997="",'实盘净值数据(iFinD）'!$B997="",'实盘净值数据(iFinD）'!$Z997="",'实盘净值数据(iFinD）'!$AA997="",'实盘净值数据(iFinD）'!$AB997="",'实盘净值数据(iFinD）'!$AL997=""),"",(SUMPRODUCT(分期持仓明细!$B$26:$Y$26,'实盘净值数据(iFinD）'!$B997:$Y997/'实盘净值数据(iFinD）'!$B$69:$Y$69)+SUMPRODUCT(分期持仓明细!$AC$26:$AD$26,'实盘净值数据(iFinD）'!$Z997:$AA997/'实盘净值数据(iFinD）'!$Z$69:$AA$69)+SUMPRODUCT(分期持仓明细!$AE$26:$AO$26,'实盘净值数据(iFinD）'!$AB997:$AL997/'实盘净值数据(iFinD）'!$AB$69:$AL$69))*(1-实盘持仓初始配置!$Z$10)^(('实盘净值数据(iFinD）'!$A997-'实盘净值数据(iFinD）'!$A$69)/365))</f>
        <v/>
      </c>
      <c r="U997" s="16">
        <f>IF(OR(T996="",T997=""),"",T997/T996-1)</f>
        <v/>
      </c>
      <c r="V997" s="16">
        <f>IF(T997="","",T997/MAX(T$5:T997)-1)</f>
        <v/>
      </c>
    </row>
    <row r="998" spans="1:19">
      <c r="A998" s="15" t="str">
        <f>IF('实盘净值数据(iFinD）'!A998="","",'实盘净值数据(iFinD）'!A998)</f>
        <v/>
      </c>
      <c r="B998" s="13" t="str">
        <f>IF(OR('实盘净值数据(iFinD）'!$A998="",'实盘净值数据(iFinD）'!$B998=""),"",分期持仓明细!$AB$17*SUMPRODUCT(分期持仓明细!$B$17:$Y$17,'实盘净值数据(iFinD）'!$B998:$Y998/'实盘净值数据(iFinD）'!$B$20:$Y$20)*(1-实盘持仓初始配置!$Z$4)^(('实盘净值数据(iFinD）'!$A998-'实盘净值数据(iFinD）'!$A$6)/365))</f>
        <v/>
      </c>
      <c r="C998" s="16" t="str">
        <f t="shared" si="90"/>
        <v/>
      </c>
      <c r="D998" s="16" t="str">
        <f>IF(B998="","",B998/MAX(B$5:B998)-1)</f>
        <v/>
      </c>
      <c r="E998" s="13" t="str">
        <f>IF(OR('实盘净值数据(iFinD）'!$A998="",'实盘净值数据(iFinD）'!$B998=""),"",分期持仓明细!$AB$18*SUMPRODUCT(分期持仓明细!$B$18:$Y$18,'实盘净值数据(iFinD）'!$B998:$Y998/'实盘净值数据(iFinD）'!$B$20:$Y$20)*(1-实盘持仓初始配置!$Z$5)^(('实盘净值数据(iFinD）'!$A998-'实盘净值数据(iFinD）'!$A$5)/365))</f>
        <v/>
      </c>
      <c r="F998" s="16" t="str">
        <f t="shared" si="91"/>
        <v/>
      </c>
      <c r="G998" s="16" t="str">
        <f>IF(E998="","",E998/MAX(E$5:E998)-1)</f>
        <v/>
      </c>
      <c r="H998" s="13" t="str">
        <f>IF(OR('实盘净值数据(iFinD）'!$A998="",'实盘净值数据(iFinD）'!$B998=""),"",分期持仓明细!$AB$19*SUMPRODUCT(分期持仓明细!$B$19:$Y$19,'实盘净值数据(iFinD）'!$B998:$Y998/'实盘净值数据(iFinD）'!$B$20:$Y$20)*(1-实盘持仓初始配置!$Z$6)^(('实盘净值数据(iFinD）'!$A998-'实盘净值数据(iFinD）'!$A$7)/365))</f>
        <v/>
      </c>
      <c r="I998" s="16" t="str">
        <f t="shared" si="92"/>
        <v/>
      </c>
      <c r="J998" s="16" t="str">
        <f>IF(H998="","",H998/MAX(H$5:H998)-1)</f>
        <v/>
      </c>
      <c r="K998" s="13" t="str">
        <f>IF(OR('实盘净值数据(iFinD）'!$A998="",'实盘净值数据(iFinD）'!$B998="",'实盘净值数据(iFinD）'!$Z998="",'实盘净值数据(iFinD）'!$AA998=""),"",分期持仓明细!$AB$23*(SUMPRODUCT(分期持仓明细!$B$23:$Y$23,'实盘净值数据(iFinD）'!$B998:$Y998/'实盘净值数据(iFinD）'!$B$65:$Y$65)+SUMPRODUCT(分期持仓明细!$AC$23:$AD$23,'实盘净值数据(iFinD）'!$Z998:$AA998/'实盘净值数据(iFinD）'!$Z$65:$AA$65))*(1-实盘持仓初始配置!$Z$7)^(('实盘净值数据(iFinD）'!$A998-'实盘净值数据(iFinD）'!$A$8)/365))</f>
        <v/>
      </c>
      <c r="L998" s="16" t="str">
        <f t="shared" si="93"/>
        <v/>
      </c>
      <c r="M998" s="16" t="str">
        <f>IF(K998="","",K998/MAX(K$5:K998)-1)</f>
        <v/>
      </c>
      <c r="N998" s="13" t="str">
        <f>IF(OR('实盘净值数据(iFinD）'!$A998="",'实盘净值数据(iFinD）'!$B998="",'实盘净值数据(iFinD）'!$Z998="",'实盘净值数据(iFinD）'!$AA998=""),"",分期持仓明细!$AB$24*(SUMPRODUCT(分期持仓明细!$B$24:$Y$24,'实盘净值数据(iFinD）'!$B998:$Y998/'实盘净值数据(iFinD）'!$B$65:$Y$65)+SUMPRODUCT(分期持仓明细!$AC$24:$AD$24,'实盘净值数据(iFinD）'!$Z998:$AA998/'实盘净值数据(iFinD）'!$Z$65:$AA$65))*(1-实盘持仓初始配置!$Z$8)^(('实盘净值数据(iFinD）'!$A998-'实盘净值数据(iFinD）'!$A$5)/365))</f>
        <v/>
      </c>
      <c r="O998" s="16" t="str">
        <f t="shared" si="94"/>
        <v/>
      </c>
      <c r="P998" s="16" t="str">
        <f>IF(N998="","",N998/MAX(N$5:N998)-1)</f>
        <v/>
      </c>
      <c r="Q998" s="13" t="str">
        <f>IF(OR('实盘净值数据(iFinD）'!$A998="",'实盘净值数据(iFinD）'!$B998="",'实盘净值数据(iFinD）'!$Z998="",'实盘净值数据(iFinD）'!$AA998=""),"",分期持仓明细!$AB$25*(SUMPRODUCT(分期持仓明细!$B$25:$Y$25,'实盘净值数据(iFinD）'!$B998:$Y998/'实盘净值数据(iFinD）'!$B$65:$Y$65)+SUMPRODUCT(分期持仓明细!$AC$25:$AD$25,'实盘净值数据(iFinD）'!$Z998:$AA998/'实盘净值数据(iFinD）'!$Z$65:$AA$65))*(1-实盘持仓初始配置!$Z$9)^(('实盘净值数据(iFinD）'!$A998-'实盘净值数据(iFinD）'!$A$8)/365))</f>
        <v/>
      </c>
      <c r="R998" s="16" t="str">
        <f t="shared" si="95"/>
        <v/>
      </c>
      <c r="S998" s="16" t="str">
        <f>IF(Q998="","",Q998/MAX(Q$5:Q998)-1)</f>
        <v/>
      </c>
      <c r="T998" s="13">
        <f>IF(OR('实盘净值数据(iFinD）'!$A998="",'实盘净值数据(iFinD）'!$B998="",'实盘净值数据(iFinD）'!$Z998="",'实盘净值数据(iFinD）'!$AA998="",'实盘净值数据(iFinD）'!$AB998="",'实盘净值数据(iFinD）'!$AL998=""),"",(SUMPRODUCT(分期持仓明细!$B$26:$Y$26,'实盘净值数据(iFinD）'!$B998:$Y998/'实盘净值数据(iFinD）'!$B$69:$Y$69)+SUMPRODUCT(分期持仓明细!$AC$26:$AD$26,'实盘净值数据(iFinD）'!$Z998:$AA998/'实盘净值数据(iFinD）'!$Z$69:$AA$69)+SUMPRODUCT(分期持仓明细!$AE$26:$AO$26,'实盘净值数据(iFinD）'!$AB998:$AL998/'实盘净值数据(iFinD）'!$AB$69:$AL$69))*(1-实盘持仓初始配置!$Z$10)^(('实盘净值数据(iFinD）'!$A998-'实盘净值数据(iFinD）'!$A$69)/365))</f>
        <v/>
      </c>
      <c r="U998" s="16">
        <f>IF(OR(T997="",T998=""),"",T998/T997-1)</f>
        <v/>
      </c>
      <c r="V998" s="16">
        <f>IF(T998="","",T998/MAX(T$5:T998)-1)</f>
        <v/>
      </c>
    </row>
    <row r="999" spans="1:19">
      <c r="A999" s="15" t="str">
        <f>IF('实盘净值数据(iFinD）'!A999="","",'实盘净值数据(iFinD）'!A999)</f>
        <v/>
      </c>
      <c r="B999" s="13" t="str">
        <f>IF(OR('实盘净值数据(iFinD）'!$A999="",'实盘净值数据(iFinD）'!$B999=""),"",分期持仓明细!$AB$17*SUMPRODUCT(分期持仓明细!$B$17:$Y$17,'实盘净值数据(iFinD）'!$B999:$Y999/'实盘净值数据(iFinD）'!$B$20:$Y$20)*(1-实盘持仓初始配置!$Z$4)^(('实盘净值数据(iFinD）'!$A999-'实盘净值数据(iFinD）'!$A$6)/365))</f>
        <v/>
      </c>
      <c r="C999" s="16" t="str">
        <f t="shared" si="90"/>
        <v/>
      </c>
      <c r="D999" s="16" t="str">
        <f>IF(B999="","",B999/MAX(B$5:B999)-1)</f>
        <v/>
      </c>
      <c r="E999" s="13" t="str">
        <f>IF(OR('实盘净值数据(iFinD）'!$A999="",'实盘净值数据(iFinD）'!$B999=""),"",分期持仓明细!$AB$18*SUMPRODUCT(分期持仓明细!$B$18:$Y$18,'实盘净值数据(iFinD）'!$B999:$Y999/'实盘净值数据(iFinD）'!$B$20:$Y$20)*(1-实盘持仓初始配置!$Z$5)^(('实盘净值数据(iFinD）'!$A999-'实盘净值数据(iFinD）'!$A$5)/365))</f>
        <v/>
      </c>
      <c r="F999" s="16" t="str">
        <f t="shared" si="91"/>
        <v/>
      </c>
      <c r="G999" s="16" t="str">
        <f>IF(E999="","",E999/MAX(E$5:E999)-1)</f>
        <v/>
      </c>
      <c r="H999" s="13" t="str">
        <f>IF(OR('实盘净值数据(iFinD）'!$A999="",'实盘净值数据(iFinD）'!$B999=""),"",分期持仓明细!$AB$19*SUMPRODUCT(分期持仓明细!$B$19:$Y$19,'实盘净值数据(iFinD）'!$B999:$Y999/'实盘净值数据(iFinD）'!$B$20:$Y$20)*(1-实盘持仓初始配置!$Z$6)^(('实盘净值数据(iFinD）'!$A999-'实盘净值数据(iFinD）'!$A$7)/365))</f>
        <v/>
      </c>
      <c r="I999" s="16" t="str">
        <f t="shared" si="92"/>
        <v/>
      </c>
      <c r="J999" s="16" t="str">
        <f>IF(H999="","",H999/MAX(H$5:H999)-1)</f>
        <v/>
      </c>
      <c r="K999" s="13" t="str">
        <f>IF(OR('实盘净值数据(iFinD）'!$A999="",'实盘净值数据(iFinD）'!$B999="",'实盘净值数据(iFinD）'!$Z999="",'实盘净值数据(iFinD）'!$AA999=""),"",分期持仓明细!$AB$23*(SUMPRODUCT(分期持仓明细!$B$23:$Y$23,'实盘净值数据(iFinD）'!$B999:$Y999/'实盘净值数据(iFinD）'!$B$65:$Y$65)+SUMPRODUCT(分期持仓明细!$AC$23:$AD$23,'实盘净值数据(iFinD）'!$Z999:$AA999/'实盘净值数据(iFinD）'!$Z$65:$AA$65))*(1-实盘持仓初始配置!$Z$7)^(('实盘净值数据(iFinD）'!$A999-'实盘净值数据(iFinD）'!$A$8)/365))</f>
        <v/>
      </c>
      <c r="L999" s="16" t="str">
        <f t="shared" si="93"/>
        <v/>
      </c>
      <c r="M999" s="16" t="str">
        <f>IF(K999="","",K999/MAX(K$5:K999)-1)</f>
        <v/>
      </c>
      <c r="N999" s="13" t="str">
        <f>IF(OR('实盘净值数据(iFinD）'!$A999="",'实盘净值数据(iFinD）'!$B999="",'实盘净值数据(iFinD）'!$Z999="",'实盘净值数据(iFinD）'!$AA999=""),"",分期持仓明细!$AB$24*(SUMPRODUCT(分期持仓明细!$B$24:$Y$24,'实盘净值数据(iFinD）'!$B999:$Y999/'实盘净值数据(iFinD）'!$B$65:$Y$65)+SUMPRODUCT(分期持仓明细!$AC$24:$AD$24,'实盘净值数据(iFinD）'!$Z999:$AA999/'实盘净值数据(iFinD）'!$Z$65:$AA$65))*(1-实盘持仓初始配置!$Z$8)^(('实盘净值数据(iFinD）'!$A999-'实盘净值数据(iFinD）'!$A$5)/365))</f>
        <v/>
      </c>
      <c r="O999" s="16" t="str">
        <f t="shared" si="94"/>
        <v/>
      </c>
      <c r="P999" s="16" t="str">
        <f>IF(N999="","",N999/MAX(N$5:N999)-1)</f>
        <v/>
      </c>
      <c r="Q999" s="13" t="str">
        <f>IF(OR('实盘净值数据(iFinD）'!$A999="",'实盘净值数据(iFinD）'!$B999="",'实盘净值数据(iFinD）'!$Z999="",'实盘净值数据(iFinD）'!$AA999=""),"",分期持仓明细!$AB$25*(SUMPRODUCT(分期持仓明细!$B$25:$Y$25,'实盘净值数据(iFinD）'!$B999:$Y999/'实盘净值数据(iFinD）'!$B$65:$Y$65)+SUMPRODUCT(分期持仓明细!$AC$25:$AD$25,'实盘净值数据(iFinD）'!$Z999:$AA999/'实盘净值数据(iFinD）'!$Z$65:$AA$65))*(1-实盘持仓初始配置!$Z$9)^(('实盘净值数据(iFinD）'!$A999-'实盘净值数据(iFinD）'!$A$8)/365))</f>
        <v/>
      </c>
      <c r="R999" s="16" t="str">
        <f t="shared" si="95"/>
        <v/>
      </c>
      <c r="S999" s="16" t="str">
        <f>IF(Q999="","",Q999/MAX(Q$5:Q999)-1)</f>
        <v/>
      </c>
      <c r="T999" s="13">
        <f>IF(OR('实盘净值数据(iFinD）'!$A999="",'实盘净值数据(iFinD）'!$B999="",'实盘净值数据(iFinD）'!$Z999="",'实盘净值数据(iFinD）'!$AA999="",'实盘净值数据(iFinD）'!$AB999="",'实盘净值数据(iFinD）'!$AL999=""),"",(SUMPRODUCT(分期持仓明细!$B$26:$Y$26,'实盘净值数据(iFinD）'!$B999:$Y999/'实盘净值数据(iFinD）'!$B$69:$Y$69)+SUMPRODUCT(分期持仓明细!$AC$26:$AD$26,'实盘净值数据(iFinD）'!$Z999:$AA999/'实盘净值数据(iFinD）'!$Z$69:$AA$69)+SUMPRODUCT(分期持仓明细!$AE$26:$AO$26,'实盘净值数据(iFinD）'!$AB999:$AL999/'实盘净值数据(iFinD）'!$AB$69:$AL$69))*(1-实盘持仓初始配置!$Z$10)^(('实盘净值数据(iFinD）'!$A999-'实盘净值数据(iFinD）'!$A$69)/365))</f>
        <v/>
      </c>
      <c r="U999" s="16">
        <f>IF(OR(T998="",T999=""),"",T999/T998-1)</f>
        <v/>
      </c>
      <c r="V999" s="16">
        <f>IF(T999="","",T999/MAX(T$5:T999)-1)</f>
        <v/>
      </c>
    </row>
    <row r="1000" spans="1:19">
      <c r="A1000" s="15" t="str">
        <f>IF('实盘净值数据(iFinD）'!A1000="","",'实盘净值数据(iFinD）'!A1000)</f>
        <v/>
      </c>
      <c r="B1000" s="13" t="str">
        <f>IF(OR('实盘净值数据(iFinD）'!$A1000="",'实盘净值数据(iFinD）'!$B1000=""),"",分期持仓明细!$AB$17*SUMPRODUCT(分期持仓明细!$B$17:$Y$17,'实盘净值数据(iFinD）'!$B1000:$Y1000/'实盘净值数据(iFinD）'!$B$20:$Y$20)*(1-实盘持仓初始配置!$Z$4)^(('实盘净值数据(iFinD）'!$A1000-'实盘净值数据(iFinD）'!$A$6)/365))</f>
        <v/>
      </c>
      <c r="C1000" s="16" t="str">
        <f t="shared" si="90"/>
        <v/>
      </c>
      <c r="D1000" s="16" t="str">
        <f>IF(B1000="","",B1000/MAX(B$5:B1000)-1)</f>
        <v/>
      </c>
      <c r="E1000" s="13" t="str">
        <f>IF(OR('实盘净值数据(iFinD）'!$A1000="",'实盘净值数据(iFinD）'!$B1000=""),"",分期持仓明细!$AB$18*SUMPRODUCT(分期持仓明细!$B$18:$Y$18,'实盘净值数据(iFinD）'!$B1000:$Y1000/'实盘净值数据(iFinD）'!$B$20:$Y$20)*(1-实盘持仓初始配置!$Z$5)^(('实盘净值数据(iFinD）'!$A1000-'实盘净值数据(iFinD）'!$A$5)/365))</f>
        <v/>
      </c>
      <c r="F1000" s="16" t="str">
        <f t="shared" si="91"/>
        <v/>
      </c>
      <c r="G1000" s="16" t="str">
        <f>IF(E1000="","",E1000/MAX(E$5:E1000)-1)</f>
        <v/>
      </c>
      <c r="H1000" s="13" t="str">
        <f>IF(OR('实盘净值数据(iFinD）'!$A1000="",'实盘净值数据(iFinD）'!$B1000=""),"",分期持仓明细!$AB$19*SUMPRODUCT(分期持仓明细!$B$19:$Y$19,'实盘净值数据(iFinD）'!$B1000:$Y1000/'实盘净值数据(iFinD）'!$B$20:$Y$20)*(1-实盘持仓初始配置!$Z$6)^(('实盘净值数据(iFinD）'!$A1000-'实盘净值数据(iFinD）'!$A$7)/365))</f>
        <v/>
      </c>
      <c r="I1000" s="16" t="str">
        <f t="shared" si="92"/>
        <v/>
      </c>
      <c r="J1000" s="16" t="str">
        <f>IF(H1000="","",H1000/MAX(H$5:H1000)-1)</f>
        <v/>
      </c>
      <c r="K1000" s="13" t="str">
        <f>IF(OR('实盘净值数据(iFinD）'!$A1000="",'实盘净值数据(iFinD）'!$B1000="",'实盘净值数据(iFinD）'!$Z1000="",'实盘净值数据(iFinD）'!$AA1000=""),"",分期持仓明细!$AB$23*(SUMPRODUCT(分期持仓明细!$B$23:$Y$23,'实盘净值数据(iFinD）'!$B1000:$Y1000/'实盘净值数据(iFinD）'!$B$65:$Y$65)+SUMPRODUCT(分期持仓明细!$AC$23:$AD$23,'实盘净值数据(iFinD）'!$Z1000:$AA1000/'实盘净值数据(iFinD）'!$Z$65:$AA$65))*(1-实盘持仓初始配置!$Z$7)^(('实盘净值数据(iFinD）'!$A1000-'实盘净值数据(iFinD）'!$A$8)/365))</f>
        <v/>
      </c>
      <c r="L1000" s="16" t="str">
        <f t="shared" si="93"/>
        <v/>
      </c>
      <c r="M1000" s="16" t="str">
        <f>IF(K1000="","",K1000/MAX(K$5:K1000)-1)</f>
        <v/>
      </c>
      <c r="N1000" s="13" t="str">
        <f>IF(OR('实盘净值数据(iFinD）'!$A1000="",'实盘净值数据(iFinD）'!$B1000="",'实盘净值数据(iFinD）'!$Z1000="",'实盘净值数据(iFinD）'!$AA1000=""),"",分期持仓明细!$AB$24*(SUMPRODUCT(分期持仓明细!$B$24:$Y$24,'实盘净值数据(iFinD）'!$B1000:$Y1000/'实盘净值数据(iFinD）'!$B$65:$Y$65)+SUMPRODUCT(分期持仓明细!$AC$24:$AD$24,'实盘净值数据(iFinD）'!$Z1000:$AA1000/'实盘净值数据(iFinD）'!$Z$65:$AA$65))*(1-实盘持仓初始配置!$Z$8)^(('实盘净值数据(iFinD）'!$A1000-'实盘净值数据(iFinD）'!$A$5)/365))</f>
        <v/>
      </c>
      <c r="O1000" s="16" t="str">
        <f t="shared" si="94"/>
        <v/>
      </c>
      <c r="P1000" s="16" t="str">
        <f>IF(N1000="","",N1000/MAX(N$5:N1000)-1)</f>
        <v/>
      </c>
      <c r="Q1000" s="13" t="str">
        <f>IF(OR('实盘净值数据(iFinD）'!$A1000="",'实盘净值数据(iFinD）'!$B1000="",'实盘净值数据(iFinD）'!$Z1000="",'实盘净值数据(iFinD）'!$AA1000=""),"",分期持仓明细!$AB$25*(SUMPRODUCT(分期持仓明细!$B$25:$Y$25,'实盘净值数据(iFinD）'!$B1000:$Y1000/'实盘净值数据(iFinD）'!$B$65:$Y$65)+SUMPRODUCT(分期持仓明细!$AC$25:$AD$25,'实盘净值数据(iFinD）'!$Z1000:$AA1000/'实盘净值数据(iFinD）'!$Z$65:$AA$65))*(1-实盘持仓初始配置!$Z$9)^(('实盘净值数据(iFinD）'!$A1000-'实盘净值数据(iFinD）'!$A$8)/365))</f>
        <v/>
      </c>
      <c r="R1000" s="16" t="str">
        <f t="shared" si="95"/>
        <v/>
      </c>
      <c r="S1000" s="16" t="str">
        <f>IF(Q1000="","",Q1000/MAX(Q$5:Q1000)-1)</f>
        <v/>
      </c>
      <c r="T1000" s="13">
        <f>IF(OR('实盘净值数据(iFinD）'!$A1000="",'实盘净值数据(iFinD）'!$B1000="",'实盘净值数据(iFinD）'!$Z1000="",'实盘净值数据(iFinD）'!$AA1000="",'实盘净值数据(iFinD）'!$AB1000="",'实盘净值数据(iFinD）'!$AL1000=""),"",(SUMPRODUCT(分期持仓明细!$B$26:$Y$26,'实盘净值数据(iFinD）'!$B1000:$Y1000/'实盘净值数据(iFinD）'!$B$69:$Y$69)+SUMPRODUCT(分期持仓明细!$AC$26:$AD$26,'实盘净值数据(iFinD）'!$Z1000:$AA1000/'实盘净值数据(iFinD）'!$Z$69:$AA$69)+SUMPRODUCT(分期持仓明细!$AE$26:$AO$26,'实盘净值数据(iFinD）'!$AB1000:$AL1000/'实盘净值数据(iFinD）'!$AB$69:$AL$69))*(1-实盘持仓初始配置!$Z$10)^(('实盘净值数据(iFinD）'!$A1000-'实盘净值数据(iFinD）'!$A$69)/365))</f>
        <v/>
      </c>
      <c r="U1000" s="16">
        <f>IF(OR(T999="",T1000=""),"",T1000/T999-1)</f>
        <v/>
      </c>
      <c r="V1000" s="16">
        <f>IF(T1000="","",T1000/MAX(T$5:T1000)-1)</f>
        <v/>
      </c>
    </row>
    <row r="1002" spans="1:19" ht="13">
      <c r="A1002" s="10" t="s">
        <v>472</v>
      </c>
    </row>
  </sheetData>
  <mergeCells count="1">
    <mergeCell ref="A1:J2"/>
  </mergeCells>
  <phoneticPr fontId="3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showGridLines="0" workbookViewId="0">
      <selection activeCell="A23" sqref="A23:XFD25"/>
    </sheetView>
  </sheetViews>
  <sheetFormatPr defaultColWidth="9.453125" defaultRowHeight="12.5"/>
  <cols>
    <col min="1" max="1" width="37.45312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30" width="16.26953125" customWidth="1"/>
    <col min="31" max="41" width="13.0" customWidth="1"/>
  </cols>
  <sheetData>
    <row r="1" spans="1:30">
      <c r="A1" t="s">
        <v>74</v>
      </c>
    </row>
    <row r="2" spans="1:30" ht="14.5">
      <c r="A2" t="s">
        <v>1</v>
      </c>
      <c r="B2" s="19" t="s">
        <v>75</v>
      </c>
      <c r="C2" s="19" t="s">
        <v>76</v>
      </c>
      <c r="D2" s="19" t="s">
        <v>77</v>
      </c>
      <c r="E2" s="19" t="s">
        <v>78</v>
      </c>
      <c r="F2" s="19" t="s">
        <v>79</v>
      </c>
      <c r="G2" s="19" t="s">
        <v>80</v>
      </c>
      <c r="H2" s="19" t="s">
        <v>81</v>
      </c>
      <c r="I2" t="s">
        <v>9</v>
      </c>
      <c r="J2" s="19" t="s">
        <v>82</v>
      </c>
      <c r="K2" s="19" t="s">
        <v>83</v>
      </c>
      <c r="L2" s="19" t="s">
        <v>84</v>
      </c>
      <c r="M2" s="19" t="s">
        <v>85</v>
      </c>
      <c r="N2" s="19" t="s">
        <v>86</v>
      </c>
      <c r="O2" s="19" t="s">
        <v>87</v>
      </c>
      <c r="P2" s="19" t="s">
        <v>88</v>
      </c>
      <c r="Q2" s="19" t="s">
        <v>89</v>
      </c>
      <c r="R2" s="19" t="s">
        <v>90</v>
      </c>
      <c r="S2" s="19" t="s">
        <v>91</v>
      </c>
      <c r="T2" s="19" t="s">
        <v>92</v>
      </c>
      <c r="U2" s="19" t="s">
        <v>93</v>
      </c>
      <c r="V2" s="19" t="s">
        <v>94</v>
      </c>
      <c r="W2" s="19" t="s">
        <v>95</v>
      </c>
      <c r="X2" s="19" t="s">
        <v>96</v>
      </c>
      <c r="Y2" t="s">
        <v>62</v>
      </c>
      <c r="Z2" t="s">
        <v>25</v>
      </c>
      <c r="AA2" t="s">
        <v>97</v>
      </c>
      <c r="AB2" s="19" t="s">
        <v>98</v>
      </c>
      <c r="AC2" t="s">
        <v>469</v>
      </c>
      <c r="AD2" t="s">
        <v>471</v>
      </c>
      <c r="AE2" t="inlineStr">
        <is>
          <t>嘉实中证500指数增强C</t>
        </is>
      </c>
      <c r="AF2" t="inlineStr">
        <is>
          <t>博道中证500指数增强C</t>
        </is>
      </c>
      <c r="AG2" t="inlineStr">
        <is>
          <t>汇添富中证1000指数增强C</t>
        </is>
      </c>
      <c r="AH2" t="inlineStr">
        <is>
          <t>招商中证2000指数增强C</t>
        </is>
      </c>
      <c r="AI2" t="inlineStr">
        <is>
          <t>嘉实价值优势混合A</t>
        </is>
      </c>
      <c r="AJ2" t="inlineStr">
        <is>
          <t>民生加银优选</t>
        </is>
      </c>
      <c r="AK2" t="inlineStr">
        <is>
          <t>大成竞争优势混合A</t>
        </is>
      </c>
      <c r="AL2" t="inlineStr">
        <is>
          <t>国投瑞银瑞源混合A</t>
        </is>
      </c>
      <c r="AM2" t="inlineStr">
        <is>
          <t>华泰柏瑞红利低波ETF链接A</t>
        </is>
      </c>
      <c r="AN2" t="inlineStr">
        <is>
          <t>天弘中证红利低波动100ETF联接A</t>
        </is>
      </c>
      <c r="AO2" t="inlineStr">
        <is>
          <t>嘉实上海金ETF联接A</t>
        </is>
      </c>
    </row>
    <row r="3" spans="1:30" ht="14">
      <c r="A3" t="s">
        <v>28</v>
      </c>
      <c r="B3" s="20" t="s">
        <v>99</v>
      </c>
      <c r="C3" s="20" t="s">
        <v>100</v>
      </c>
      <c r="D3" s="20" t="s">
        <v>101</v>
      </c>
      <c r="E3" s="20" t="s">
        <v>102</v>
      </c>
      <c r="F3" s="20" t="s">
        <v>103</v>
      </c>
      <c r="G3" s="20" t="s">
        <v>104</v>
      </c>
      <c r="H3" s="20" t="s">
        <v>105</v>
      </c>
      <c r="I3" s="20" t="s">
        <v>106</v>
      </c>
      <c r="J3" s="20" t="s">
        <v>107</v>
      </c>
      <c r="K3" s="20" t="s">
        <v>108</v>
      </c>
      <c r="L3" s="20" t="s">
        <v>109</v>
      </c>
      <c r="M3" s="20" t="s">
        <v>110</v>
      </c>
      <c r="N3" s="20" t="s">
        <v>111</v>
      </c>
      <c r="O3" s="20" t="s">
        <v>112</v>
      </c>
      <c r="P3" s="20" t="s">
        <v>113</v>
      </c>
      <c r="Q3" s="20" t="s">
        <v>114</v>
      </c>
      <c r="R3" s="20" t="s">
        <v>115</v>
      </c>
      <c r="S3" s="20" t="s">
        <v>116</v>
      </c>
      <c r="T3" s="20" t="s">
        <v>117</v>
      </c>
      <c r="U3" s="20" t="s">
        <v>118</v>
      </c>
      <c r="V3" s="20" t="s">
        <v>119</v>
      </c>
      <c r="W3" s="20" t="s">
        <v>120</v>
      </c>
      <c r="X3" s="20" t="s">
        <v>121</v>
      </c>
      <c r="Y3" s="20" t="s">
        <v>122</v>
      </c>
      <c r="AC3" s="20" t="s">
        <v>473</v>
      </c>
      <c r="AD3" s="20" t="s">
        <v>474</v>
      </c>
      <c r="AE3" s="20" t="inlineStr">
        <is>
          <t>008779</t>
        </is>
      </c>
      <c r="AF3" s="20" t="inlineStr">
        <is>
          <t>006594</t>
        </is>
      </c>
      <c r="AG3" s="20" t="inlineStr">
        <is>
          <t>017954</t>
        </is>
      </c>
      <c r="AH3" s="20" t="inlineStr">
        <is>
          <t>019919</t>
        </is>
      </c>
      <c r="AI3" s="20" t="inlineStr">
        <is>
          <t>070019</t>
        </is>
      </c>
      <c r="AJ3" s="20" t="inlineStr">
        <is>
          <t>000884</t>
        </is>
      </c>
      <c r="AK3" s="20" t="inlineStr">
        <is>
          <t>090013</t>
        </is>
      </c>
      <c r="AL3" s="20" t="inlineStr">
        <is>
          <t>121010</t>
        </is>
      </c>
      <c r="AM3" s="20" t="inlineStr">
        <is>
          <t>007466</t>
        </is>
      </c>
      <c r="AN3" s="20" t="inlineStr">
        <is>
          <t>008114</t>
        </is>
      </c>
      <c r="AO3" s="20" t="inlineStr">
        <is>
          <t>016581</t>
        </is>
      </c>
    </row>
    <row r="5" spans="1:30" ht="14.5">
      <c r="A5" s="19" t="s">
        <v>123</v>
      </c>
      <c r="B5" s="21">
        <f>实盘持仓初始配置!B4</f>
        <v>0</v>
      </c>
      <c r="C5" s="21">
        <f>实盘持仓初始配置!C4</f>
        <v>0.02</v>
      </c>
      <c r="D5" s="21">
        <f>实盘持仓初始配置!D4</f>
        <v>0.19</v>
      </c>
      <c r="E5" s="21">
        <f>实盘持仓初始配置!E4</f>
        <v>0</v>
      </c>
      <c r="F5" s="21">
        <f>实盘持仓初始配置!F4</f>
        <v>0</v>
      </c>
      <c r="G5" s="21">
        <f>实盘持仓初始配置!G4</f>
        <v>0.11</v>
      </c>
      <c r="H5" s="21">
        <f>实盘持仓初始配置!H4</f>
        <v>0</v>
      </c>
      <c r="I5" s="21">
        <f>实盘持仓初始配置!I4</f>
        <v>0</v>
      </c>
      <c r="J5" s="21">
        <f>实盘持仓初始配置!J4</f>
        <v>0.19</v>
      </c>
      <c r="K5" s="21">
        <f>实盘持仓初始配置!K4</f>
        <v>0</v>
      </c>
      <c r="L5" s="21">
        <f>实盘持仓初始配置!L4</f>
        <v>0</v>
      </c>
      <c r="M5" s="21">
        <f>实盘持仓初始配置!M4</f>
        <v>0</v>
      </c>
      <c r="N5" s="21">
        <f>实盘持仓初始配置!N4</f>
        <v>0</v>
      </c>
      <c r="O5" s="21">
        <f>实盘持仓初始配置!O4</f>
        <v>0</v>
      </c>
      <c r="P5" s="21">
        <f>实盘持仓初始配置!P4</f>
        <v>0.19</v>
      </c>
      <c r="Q5" s="21">
        <f>实盘持仓初始配置!Q4</f>
        <v>0.19</v>
      </c>
      <c r="R5" s="21">
        <f>实盘持仓初始配置!R4</f>
        <v>0</v>
      </c>
      <c r="S5" s="21">
        <f>实盘持仓初始配置!S4</f>
        <v>0</v>
      </c>
      <c r="T5" s="21">
        <f>实盘持仓初始配置!T4</f>
        <v>0.11</v>
      </c>
      <c r="U5" s="21">
        <f>实盘持仓初始配置!U4</f>
        <v>0</v>
      </c>
      <c r="V5" s="21">
        <f>实盘持仓初始配置!V4</f>
        <v>0</v>
      </c>
      <c r="W5" s="21">
        <f>实盘持仓初始配置!W4</f>
        <v>0</v>
      </c>
      <c r="X5" s="21">
        <f>实盘持仓初始配置!X4</f>
        <v>0</v>
      </c>
      <c r="Y5">
        <v>0</v>
      </c>
      <c r="Z5">
        <f t="shared" ref="Z5:Z22" si="0">SUM(B5:Y5)</f>
        <v>0.99999999999999989</v>
      </c>
      <c r="AA5" s="22">
        <v>46195</v>
      </c>
    </row>
    <row r="6" spans="1:30" ht="14.5">
      <c r="A6" s="19" t="s">
        <v>124</v>
      </c>
      <c r="B6" s="21">
        <f>实盘持仓初始配置!B5</f>
        <v>0</v>
      </c>
      <c r="C6" s="21">
        <f>实盘持仓初始配置!C5</f>
        <v>0.02</v>
      </c>
      <c r="D6" s="21">
        <f>实盘持仓初始配置!D5</f>
        <v>0.19</v>
      </c>
      <c r="E6" s="21">
        <f>实盘持仓初始配置!E5</f>
        <v>0</v>
      </c>
      <c r="F6" s="21">
        <f>实盘持仓初始配置!F5</f>
        <v>0</v>
      </c>
      <c r="G6" s="21">
        <f>实盘持仓初始配置!G5</f>
        <v>0.11</v>
      </c>
      <c r="H6" s="21">
        <f>实盘持仓初始配置!H5</f>
        <v>0</v>
      </c>
      <c r="I6" s="21">
        <f>实盘持仓初始配置!I5</f>
        <v>0</v>
      </c>
      <c r="J6" s="21">
        <f>实盘持仓初始配置!J5</f>
        <v>0.19</v>
      </c>
      <c r="K6" s="21">
        <f>实盘持仓初始配置!K5</f>
        <v>0</v>
      </c>
      <c r="L6" s="21">
        <f>实盘持仓初始配置!L5</f>
        <v>0</v>
      </c>
      <c r="M6" s="21">
        <f>实盘持仓初始配置!M5</f>
        <v>0</v>
      </c>
      <c r="N6" s="21">
        <f>实盘持仓初始配置!N5</f>
        <v>0</v>
      </c>
      <c r="O6" s="21">
        <f>实盘持仓初始配置!O5</f>
        <v>0</v>
      </c>
      <c r="P6" s="21">
        <f>实盘持仓初始配置!P5</f>
        <v>0.19</v>
      </c>
      <c r="Q6" s="21">
        <f>实盘持仓初始配置!Q5</f>
        <v>0.19</v>
      </c>
      <c r="R6" s="21">
        <f>实盘持仓初始配置!R5</f>
        <v>0</v>
      </c>
      <c r="S6" s="21">
        <f>实盘持仓初始配置!S5</f>
        <v>0</v>
      </c>
      <c r="T6" s="21">
        <f>实盘持仓初始配置!T5</f>
        <v>0.11</v>
      </c>
      <c r="U6" s="21">
        <f>实盘持仓初始配置!U5</f>
        <v>0</v>
      </c>
      <c r="V6" s="21">
        <f>实盘持仓初始配置!V5</f>
        <v>0</v>
      </c>
      <c r="W6" s="21">
        <f>实盘持仓初始配置!W5</f>
        <v>0</v>
      </c>
      <c r="X6" s="21">
        <f>实盘持仓初始配置!X5</f>
        <v>0</v>
      </c>
      <c r="Y6">
        <v>0</v>
      </c>
      <c r="Z6">
        <f t="shared" si="0"/>
        <v>0.99999999999999989</v>
      </c>
      <c r="AA6" s="22">
        <v>46191</v>
      </c>
    </row>
    <row r="7" spans="1:30" ht="14.5">
      <c r="A7" s="19" t="s">
        <v>125</v>
      </c>
      <c r="B7" s="21">
        <f>实盘持仓初始配置!B6</f>
        <v>0</v>
      </c>
      <c r="C7" s="21">
        <f>实盘持仓初始配置!C6</f>
        <v>0.02</v>
      </c>
      <c r="D7" s="21">
        <f>实盘持仓初始配置!D6</f>
        <v>0</v>
      </c>
      <c r="E7" s="21">
        <f>实盘持仓初始配置!E6</f>
        <v>0</v>
      </c>
      <c r="F7" s="21">
        <f>实盘持仓初始配置!F6</f>
        <v>0</v>
      </c>
      <c r="G7" s="21">
        <f>实盘持仓初始配置!G6</f>
        <v>0</v>
      </c>
      <c r="H7" s="21">
        <f>实盘持仓初始配置!H6</f>
        <v>0.11</v>
      </c>
      <c r="I7" s="21">
        <f>实盘持仓初始配置!I6</f>
        <v>0.19</v>
      </c>
      <c r="J7" s="21">
        <f>实盘持仓初始配置!J6</f>
        <v>0</v>
      </c>
      <c r="K7" s="21">
        <f>实盘持仓初始配置!K6</f>
        <v>0.19</v>
      </c>
      <c r="L7" s="21">
        <f>实盘持仓初始配置!L6</f>
        <v>0</v>
      </c>
      <c r="M7" s="21">
        <f>实盘持仓初始配置!M6</f>
        <v>0</v>
      </c>
      <c r="N7" s="21">
        <f>实盘持仓初始配置!N6</f>
        <v>0</v>
      </c>
      <c r="O7" s="21">
        <f>实盘持仓初始配置!O6</f>
        <v>0</v>
      </c>
      <c r="P7" s="21">
        <f>实盘持仓初始配置!P6</f>
        <v>0</v>
      </c>
      <c r="Q7" s="21">
        <f>实盘持仓初始配置!Q6</f>
        <v>0</v>
      </c>
      <c r="R7" s="21">
        <f>实盘持仓初始配置!R6</f>
        <v>0.19</v>
      </c>
      <c r="S7" s="21">
        <f>实盘持仓初始配置!S6</f>
        <v>0.19</v>
      </c>
      <c r="T7" s="21">
        <f>实盘持仓初始配置!T6</f>
        <v>0</v>
      </c>
      <c r="U7" s="21">
        <f>实盘持仓初始配置!U6</f>
        <v>0.11</v>
      </c>
      <c r="V7" s="21">
        <f>实盘持仓初始配置!V6</f>
        <v>0</v>
      </c>
      <c r="W7" s="21">
        <f>实盘持仓初始配置!W6</f>
        <v>0</v>
      </c>
      <c r="X7" s="21">
        <f>实盘持仓初始配置!X6</f>
        <v>0</v>
      </c>
      <c r="Y7">
        <v>0</v>
      </c>
      <c r="Z7">
        <f t="shared" si="0"/>
        <v>0.99999999999999989</v>
      </c>
      <c r="AA7" s="22">
        <v>46196</v>
      </c>
    </row>
    <row r="8" spans="1:30" ht="14.5">
      <c r="A8" s="23" t="s">
        <v>126</v>
      </c>
      <c r="B8" s="21">
        <f>实盘持仓初始配置!B7</f>
        <v>0.05</v>
      </c>
      <c r="C8" s="21">
        <f>实盘持仓初始配置!C7</f>
        <v>0.02</v>
      </c>
      <c r="D8" s="21">
        <f>实盘持仓初始配置!D7</f>
        <v>0</v>
      </c>
      <c r="E8" s="21">
        <f>实盘持仓初始配置!E7</f>
        <v>0</v>
      </c>
      <c r="F8" s="21">
        <f>实盘持仓初始配置!F7</f>
        <v>1.2500000000000001E-2</v>
      </c>
      <c r="G8" s="21">
        <f>实盘持仓初始配置!G7</f>
        <v>0</v>
      </c>
      <c r="H8" s="21">
        <f>实盘持仓初始配置!H7</f>
        <v>5.0000000000000001E-3</v>
      </c>
      <c r="I8" s="21">
        <f>实盘持仓初始配置!I7</f>
        <v>0.01</v>
      </c>
      <c r="J8" s="21">
        <f>实盘持仓初始配置!J7</f>
        <v>0</v>
      </c>
      <c r="K8" s="21">
        <f>实盘持仓初始配置!K7</f>
        <v>0.01</v>
      </c>
      <c r="L8" s="21">
        <f>实盘持仓初始配置!L7</f>
        <v>0</v>
      </c>
      <c r="M8" s="21">
        <f>实盘持仓初始配置!M7</f>
        <v>1.2500000000000001E-2</v>
      </c>
      <c r="N8" s="21">
        <f>实盘持仓初始配置!N7</f>
        <v>0</v>
      </c>
      <c r="O8" s="21">
        <f>实盘持仓初始配置!O7</f>
        <v>1.2500000000000001E-2</v>
      </c>
      <c r="P8" s="21">
        <f>实盘持仓初始配置!P7</f>
        <v>0</v>
      </c>
      <c r="Q8" s="21">
        <f>实盘持仓初始配置!Q7</f>
        <v>0</v>
      </c>
      <c r="R8" s="21">
        <f>实盘持仓初始配置!R7</f>
        <v>0.01</v>
      </c>
      <c r="S8" s="21">
        <f>实盘持仓初始配置!S7</f>
        <v>0.01</v>
      </c>
      <c r="T8" s="21">
        <f>实盘持仓初始配置!T7</f>
        <v>0</v>
      </c>
      <c r="U8" s="21">
        <f>实盘持仓初始配置!U7</f>
        <v>5.0000000000000001E-3</v>
      </c>
      <c r="V8" s="21">
        <f>实盘持仓初始配置!V7</f>
        <v>0</v>
      </c>
      <c r="W8" s="21">
        <f>实盘持仓初始配置!W7</f>
        <v>1.2500000000000001E-2</v>
      </c>
      <c r="X8" s="21">
        <f>实盘持仓初始配置!X7</f>
        <v>0.83</v>
      </c>
      <c r="Y8">
        <v>0</v>
      </c>
      <c r="Z8">
        <f t="shared" si="0"/>
        <v>1</v>
      </c>
      <c r="AA8" s="22">
        <v>46197</v>
      </c>
    </row>
    <row r="9" spans="1:30" ht="14.5">
      <c r="A9" s="23" t="s">
        <v>127</v>
      </c>
      <c r="B9">
        <f>B$8*'实盘净值数据(iFinD）'!B$13/'实盘净值数据(iFinD）'!B$8/$AB$9</f>
        <v>4.8527264875483138E-2</v>
      </c>
      <c r="C9">
        <f>C$8*'实盘净值数据(iFinD）'!C$13/'实盘净值数据(iFinD）'!C$8/$AB$9-0.01</f>
        <v>9.9844948172916944E-3</v>
      </c>
      <c r="D9">
        <f>D$8*'实盘净值数据(iFinD）'!D$13/'实盘净值数据(iFinD）'!D$8/$AB$9</f>
        <v>0</v>
      </c>
      <c r="E9">
        <f>E$8*'实盘净值数据(iFinD）'!E$13/'实盘净值数据(iFinD）'!E$8/$AB$9</f>
        <v>0</v>
      </c>
      <c r="F9">
        <f>F$8*'实盘净值数据(iFinD）'!F$13/'实盘净值数据(iFinD）'!F$8/$AB$9</f>
        <v>1.2500177120171801E-2</v>
      </c>
      <c r="G9">
        <f>G$8*'实盘净值数据(iFinD）'!G$13/'实盘净值数据(iFinD）'!G$8/$AB$9</f>
        <v>0</v>
      </c>
      <c r="H9">
        <f>H$8*'实盘净值数据(iFinD）'!H$13/'实盘净值数据(iFinD）'!H$8/$AB$9</f>
        <v>4.7249124324419672E-3</v>
      </c>
      <c r="I9">
        <f>I$8*'实盘净值数据(iFinD）'!I$13/'实盘净值数据(iFinD）'!I$8/$AB$9</f>
        <v>1.0428306799094495E-2</v>
      </c>
      <c r="J9">
        <f>J$8*'实盘净值数据(iFinD）'!J$13/'实盘净值数据(iFinD）'!J$8/$AB$9</f>
        <v>0</v>
      </c>
      <c r="K9">
        <f>K$8*'实盘净值数据(iFinD）'!K$13/'实盘净值数据(iFinD）'!K$8/$AB$9</f>
        <v>1.183198817847789E-2</v>
      </c>
      <c r="L9">
        <f>L$8*'实盘净值数据(iFinD）'!L$13/'实盘净值数据(iFinD）'!L$8/$AB$9</f>
        <v>0</v>
      </c>
      <c r="M9">
        <f>M$8*'实盘净值数据(iFinD）'!M$13/'实盘净值数据(iFinD）'!M$8/$AB$9</f>
        <v>1.2642409123284759E-2</v>
      </c>
      <c r="N9">
        <f>N$8*'实盘净值数据(iFinD）'!N$13/'实盘净值数据(iFinD）'!N$8/$AB$9</f>
        <v>0</v>
      </c>
      <c r="O9">
        <f>O$8*'实盘净值数据(iFinD）'!O$13/'实盘净值数据(iFinD）'!O$8/$AB$9</f>
        <v>1.25858627884919E-2</v>
      </c>
      <c r="P9">
        <f>P$8*'实盘净值数据(iFinD）'!P$13/'实盘净值数据(iFinD）'!P$8/$AB$9</f>
        <v>0</v>
      </c>
      <c r="Q9">
        <f>Q$8*'实盘净值数据(iFinD）'!Q$13/'实盘净值数据(iFinD）'!Q$8/$AB$9</f>
        <v>0</v>
      </c>
      <c r="R9">
        <f>R$8*'实盘净值数据(iFinD）'!R$13/'实盘净值数据(iFinD）'!R$8/$AB$9</f>
        <v>9.6519854495816983E-3</v>
      </c>
      <c r="S9">
        <f>S$8*'实盘净值数据(iFinD）'!S$13/'实盘净值数据(iFinD）'!S$8/$AB$9</f>
        <v>9.4400640366569671E-3</v>
      </c>
      <c r="T9">
        <f>T$8*'实盘净值数据(iFinD）'!T$13/'实盘净值数据(iFinD）'!T$8/$AB$9</f>
        <v>0</v>
      </c>
      <c r="U9">
        <f>U$8*'实盘净值数据(iFinD）'!U$13/'实盘净值数据(iFinD）'!U$8/$AB$9</f>
        <v>5.9205130087896553E-3</v>
      </c>
      <c r="V9">
        <f>V$8*'实盘净值数据(iFinD）'!V$13/'实盘净值数据(iFinD）'!V$8/$AB$9</f>
        <v>0</v>
      </c>
      <c r="W9">
        <f>W$8*'实盘净值数据(iFinD）'!W$13/'实盘净值数据(iFinD）'!W$8/$AB$9</f>
        <v>1.2467168013487956E-2</v>
      </c>
      <c r="X9">
        <f>X$8*'实盘净值数据(iFinD）'!X$13/'实盘净值数据(iFinD）'!X$8/$AB$9</f>
        <v>0.82929485335674602</v>
      </c>
      <c r="Y9">
        <f>Y$8*'实盘净值数据(iFinD）'!Y$13/'实盘净值数据(iFinD）'!Y$8/$AB$9+0.01</f>
        <v>0.01</v>
      </c>
      <c r="Z9">
        <f t="shared" si="0"/>
        <v>1</v>
      </c>
      <c r="AA9" s="22">
        <v>46204</v>
      </c>
      <c r="AB9">
        <f>SUMPRODUCT($B$8:$Y$8,'实盘净值数据(iFinD）'!$B$13:$Y$13/'实盘净值数据(iFinD）'!$B$8:$Y$8)</f>
        <v>1.0010183937865633</v>
      </c>
    </row>
    <row r="10" spans="1:30" ht="14.5">
      <c r="A10" s="23" t="s">
        <v>128</v>
      </c>
      <c r="B10" s="21">
        <f>实盘持仓初始配置!B8</f>
        <v>0.05</v>
      </c>
      <c r="C10" s="21">
        <f>实盘持仓初始配置!C8</f>
        <v>0.02</v>
      </c>
      <c r="D10" s="21">
        <f>实盘持仓初始配置!D8</f>
        <v>0.01</v>
      </c>
      <c r="E10" s="21">
        <f>实盘持仓初始配置!E8</f>
        <v>1.2500000000000001E-2</v>
      </c>
      <c r="F10" s="21">
        <f>实盘持仓初始配置!F8</f>
        <v>0</v>
      </c>
      <c r="G10" s="21">
        <f>实盘持仓初始配置!G8</f>
        <v>5.0000000000000001E-3</v>
      </c>
      <c r="H10" s="21">
        <f>实盘持仓初始配置!H8</f>
        <v>0</v>
      </c>
      <c r="I10" s="21">
        <f>实盘持仓初始配置!I8</f>
        <v>0</v>
      </c>
      <c r="J10" s="21">
        <f>实盘持仓初始配置!J8</f>
        <v>0.01</v>
      </c>
      <c r="K10" s="21">
        <f>实盘持仓初始配置!K8</f>
        <v>0</v>
      </c>
      <c r="L10" s="21">
        <f>实盘持仓初始配置!L8</f>
        <v>1.2500000000000001E-2</v>
      </c>
      <c r="M10" s="21">
        <f>实盘持仓初始配置!M8</f>
        <v>0</v>
      </c>
      <c r="N10" s="21">
        <f>实盘持仓初始配置!N8</f>
        <v>1.2500000000000001E-2</v>
      </c>
      <c r="O10" s="21">
        <f>实盘持仓初始配置!O8</f>
        <v>0</v>
      </c>
      <c r="P10" s="21">
        <f>实盘持仓初始配置!P8</f>
        <v>0.01</v>
      </c>
      <c r="Q10" s="21">
        <f>实盘持仓初始配置!Q8</f>
        <v>0.01</v>
      </c>
      <c r="R10" s="21">
        <f>实盘持仓初始配置!R8</f>
        <v>0</v>
      </c>
      <c r="S10" s="21">
        <f>实盘持仓初始配置!S8</f>
        <v>0</v>
      </c>
      <c r="T10" s="21">
        <f>实盘持仓初始配置!T8</f>
        <v>5.0000000000000001E-3</v>
      </c>
      <c r="U10" s="21">
        <f>实盘持仓初始配置!U8</f>
        <v>0</v>
      </c>
      <c r="V10" s="21">
        <f>实盘持仓初始配置!V8</f>
        <v>1.2500000000000001E-2</v>
      </c>
      <c r="W10" s="21">
        <f>实盘持仓初始配置!W8</f>
        <v>0</v>
      </c>
      <c r="X10" s="21">
        <f>实盘持仓初始配置!X8</f>
        <v>0.83</v>
      </c>
      <c r="Y10">
        <v>0</v>
      </c>
      <c r="Z10">
        <f t="shared" si="0"/>
        <v>1</v>
      </c>
      <c r="AA10" s="22">
        <v>46191</v>
      </c>
    </row>
    <row r="11" spans="1:30" ht="14.5">
      <c r="A11" s="23" t="s">
        <v>129</v>
      </c>
      <c r="B11">
        <f>B$10*'实盘净值数据(iFinD）'!B$13/'实盘净值数据(iFinD）'!B$5/$AB$11</f>
        <v>4.6387437041825713E-2</v>
      </c>
      <c r="C11">
        <f>C$10*'实盘净值数据(iFinD）'!C$13/'实盘净值数据(iFinD）'!C$5/$AB$11-0.01</f>
        <v>1.0005822166711356E-2</v>
      </c>
      <c r="D11">
        <f>D$10*'实盘净值数据(iFinD）'!D$13/'实盘净值数据(iFinD）'!D$5/$AB$11</f>
        <v>9.5283058825022231E-3</v>
      </c>
      <c r="E11">
        <f>E$10*'实盘净值数据(iFinD）'!E$13/'实盘净值数据(iFinD）'!E$5/$AB$11</f>
        <v>1.2528731661459628E-2</v>
      </c>
      <c r="F11">
        <f>F$10*'实盘净值数据(iFinD）'!F$13/'实盘净值数据(iFinD）'!F$5/$AB$11</f>
        <v>0</v>
      </c>
      <c r="G11">
        <f>G$10*'实盘净值数据(iFinD）'!G$13/'实盘净值数据(iFinD）'!G$5/$AB$11</f>
        <v>4.7431358020570934E-3</v>
      </c>
      <c r="H11">
        <f>H$10*'实盘净值数据(iFinD）'!H$13/'实盘净值数据(iFinD）'!H$5/$AB$11</f>
        <v>0</v>
      </c>
      <c r="I11">
        <f>I$10*'实盘净值数据(iFinD）'!I$13/'实盘净值数据(iFinD）'!I$5/$AB$11</f>
        <v>0</v>
      </c>
      <c r="J11">
        <f>J$10*'实盘净值数据(iFinD）'!J$13/'实盘净值数据(iFinD）'!J$5/$AB$11</f>
        <v>1.3103828369788012E-2</v>
      </c>
      <c r="K11">
        <f>K$10*'实盘净值数据(iFinD）'!K$13/'实盘净值数据(iFinD）'!K$5/$AB$11</f>
        <v>0</v>
      </c>
      <c r="L11">
        <f>L$10*'实盘净值数据(iFinD）'!L$13/'实盘净值数据(iFinD）'!L$5/$AB$11</f>
        <v>1.2802075701103068E-2</v>
      </c>
      <c r="M11">
        <f>M$10*'实盘净值数据(iFinD）'!M$13/'实盘净值数据(iFinD）'!M$5/$AB$11</f>
        <v>0</v>
      </c>
      <c r="N11">
        <f>N$10*'实盘净值数据(iFinD）'!N$13/'实盘净值数据(iFinD）'!N$5/$AB$11</f>
        <v>1.2865799586254448E-2</v>
      </c>
      <c r="O11">
        <f>O$10*'实盘净值数据(iFinD）'!O$13/'实盘净值数据(iFinD）'!O$5/$AB$11</f>
        <v>0</v>
      </c>
      <c r="P11">
        <f>P$10*'实盘净值数据(iFinD）'!P$13/'实盘净值数据(iFinD）'!P$5/$AB$11</f>
        <v>9.5849996918782945E-3</v>
      </c>
      <c r="Q11">
        <f>Q$10*'实盘净值数据(iFinD）'!Q$13/'实盘净值数据(iFinD）'!Q$5/$AB$11</f>
        <v>9.9356876028041264E-3</v>
      </c>
      <c r="R11">
        <f>R$10*'实盘净值数据(iFinD）'!R$13/'实盘净值数据(iFinD）'!R$5/$AB$11</f>
        <v>0</v>
      </c>
      <c r="S11">
        <f>S$10*'实盘净值数据(iFinD）'!S$13/'实盘净值数据(iFinD）'!S$5/$AB$11</f>
        <v>0</v>
      </c>
      <c r="T11">
        <f>T$10*'实盘净值数据(iFinD）'!T$13/'实盘净值数据(iFinD）'!T$5/$AB$11</f>
        <v>6.3991179623778833E-3</v>
      </c>
      <c r="U11">
        <f>U$10*'实盘净值数据(iFinD）'!U$13/'实盘净值数据(iFinD）'!U$5/$AB$11</f>
        <v>0</v>
      </c>
      <c r="V11">
        <f>V$10*'实盘净值数据(iFinD）'!V$13/'实盘净值数据(iFinD）'!V$5/$AB$11</f>
        <v>1.2436017636350162E-2</v>
      </c>
      <c r="W11">
        <f>W$10*'实盘净值数据(iFinD）'!W$13/'实盘净值数据(iFinD）'!W$5/$AB$11</f>
        <v>0</v>
      </c>
      <c r="X11">
        <f>X$10*'实盘净值数据(iFinD）'!X$13/'实盘净值数据(iFinD）'!X$5/$AB$11</f>
        <v>0.82967904089488786</v>
      </c>
      <c r="Y11">
        <f>Y$10*'实盘净值数据(iFinD）'!Y$13/'实盘净值数据(iFinD）'!Y$5/$AB$11+0.01</f>
        <v>0.01</v>
      </c>
      <c r="Z11">
        <f t="shared" si="0"/>
        <v>0.99999999999999989</v>
      </c>
      <c r="AA11" s="22">
        <v>46204</v>
      </c>
      <c r="AB11">
        <f>SUMPRODUCT($B$10:$Y$10,'实盘净值数据(iFinD）'!$B$13:$Y$13/'实盘净值数据(iFinD）'!$B$5:$Y$5)</f>
        <v>1.0001629093509814</v>
      </c>
    </row>
    <row r="12" spans="1:30" ht="14.5">
      <c r="A12" s="23" t="s">
        <v>130</v>
      </c>
      <c r="B12" s="21">
        <f>实盘持仓初始配置!B9</f>
        <v>0.1</v>
      </c>
      <c r="C12" s="21">
        <f>实盘持仓初始配置!C9</f>
        <v>0.02</v>
      </c>
      <c r="D12" s="21">
        <f>实盘持仓初始配置!D9</f>
        <v>0</v>
      </c>
      <c r="E12" s="21">
        <f>实盘持仓初始配置!E9</f>
        <v>0</v>
      </c>
      <c r="F12" s="21">
        <f>实盘持仓初始配置!F9</f>
        <v>3.7499999999999999E-2</v>
      </c>
      <c r="G12" s="21">
        <f>实盘持仓初始配置!G9</f>
        <v>0</v>
      </c>
      <c r="H12" s="21">
        <f>实盘持仓初始配置!H9</f>
        <v>1.4999999999999999E-2</v>
      </c>
      <c r="I12" s="21">
        <f>实盘持仓初始配置!I9</f>
        <v>0.03</v>
      </c>
      <c r="J12" s="21">
        <f>实盘持仓初始配置!J9</f>
        <v>0</v>
      </c>
      <c r="K12" s="21">
        <f>实盘持仓初始配置!K9</f>
        <v>0.03</v>
      </c>
      <c r="L12" s="21">
        <f>实盘持仓初始配置!L9</f>
        <v>0</v>
      </c>
      <c r="M12" s="21">
        <f>实盘持仓初始配置!M9</f>
        <v>3.7499999999999999E-2</v>
      </c>
      <c r="N12" s="21">
        <f>实盘持仓初始配置!N9</f>
        <v>0</v>
      </c>
      <c r="O12" s="21">
        <f>实盘持仓初始配置!O9</f>
        <v>3.7499999999999999E-2</v>
      </c>
      <c r="P12" s="21">
        <f>实盘持仓初始配置!P9</f>
        <v>0</v>
      </c>
      <c r="Q12" s="21">
        <f>实盘持仓初始配置!Q9</f>
        <v>0</v>
      </c>
      <c r="R12" s="21">
        <f>实盘持仓初始配置!R9</f>
        <v>0.03</v>
      </c>
      <c r="S12" s="21">
        <f>实盘持仓初始配置!S9</f>
        <v>0.03</v>
      </c>
      <c r="T12" s="21">
        <f>实盘持仓初始配置!T9</f>
        <v>0</v>
      </c>
      <c r="U12" s="21">
        <f>实盘持仓初始配置!U9</f>
        <v>1.4999999999999999E-2</v>
      </c>
      <c r="V12" s="21">
        <f>实盘持仓初始配置!V9</f>
        <v>0</v>
      </c>
      <c r="W12" s="21">
        <f>实盘持仓初始配置!W9</f>
        <v>3.7499999999999999E-2</v>
      </c>
      <c r="X12" s="21">
        <f>实盘持仓初始配置!X9</f>
        <v>0.57999999999999996</v>
      </c>
      <c r="Y12">
        <v>0</v>
      </c>
      <c r="Z12">
        <f t="shared" si="0"/>
        <v>0.99999999999999989</v>
      </c>
      <c r="AA12" s="22">
        <v>46197</v>
      </c>
    </row>
    <row r="13" spans="1:30" ht="14.5">
      <c r="A13" s="23" t="s">
        <v>131</v>
      </c>
      <c r="B13">
        <f>B$12*'实盘净值数据(iFinD）'!B$13/'实盘净值数据(iFinD）'!B$8/$AB$13</f>
        <v>9.6752041040539472E-2</v>
      </c>
      <c r="C13">
        <f>C$12*'实盘净值数据(iFinD）'!C$13/'实盘净值数据(iFinD）'!C$8/$AB$13-0.015</f>
        <v>4.9222093775360756E-3</v>
      </c>
      <c r="D13">
        <f>D$12*'实盘净值数据(iFinD）'!D$13/'实盘净值数据(iFinD）'!D$8/$AB$13</f>
        <v>0</v>
      </c>
      <c r="E13">
        <f>E$12*'实盘净值数据(iFinD）'!E$13/'实盘净值数据(iFinD）'!E$8/$AB$13</f>
        <v>0</v>
      </c>
      <c r="F13">
        <f>F$12*'实盘净值数据(iFinD）'!F$13/'实盘净值数据(iFinD）'!F$8/$AB$13</f>
        <v>3.7383653895850244E-2</v>
      </c>
      <c r="G13">
        <f>G$12*'实盘净值数据(iFinD）'!G$13/'实盘净值数据(iFinD）'!G$8/$AB$13</f>
        <v>0</v>
      </c>
      <c r="H13">
        <f>H$12*'实盘净值数据(iFinD）'!H$13/'实盘净值数据(iFinD）'!H$8/$AB$13</f>
        <v>1.4130559060444955E-2</v>
      </c>
      <c r="I13">
        <f>I$12*'实盘净值数据(iFinD）'!I$13/'实盘净值数据(iFinD）'!I$8/$AB$13</f>
        <v>3.1187415054142246E-2</v>
      </c>
      <c r="J13">
        <f>J$12*'实盘净值数据(iFinD）'!J$13/'实盘净值数据(iFinD）'!J$8/$AB$13</f>
        <v>0</v>
      </c>
      <c r="K13">
        <f>K$12*'实盘净值数据(iFinD）'!K$13/'实盘净值数据(iFinD）'!K$8/$AB$13</f>
        <v>3.5385334680596091E-2</v>
      </c>
      <c r="L13">
        <f>L$12*'实盘净值数据(iFinD）'!L$13/'实盘净值数据(iFinD）'!L$8/$AB$13</f>
        <v>0</v>
      </c>
      <c r="M13">
        <f>M$12*'实盘净值数据(iFinD）'!M$13/'实盘净值数据(iFinD）'!M$8/$AB$13</f>
        <v>3.7809020026759531E-2</v>
      </c>
      <c r="N13">
        <f>N$12*'实盘净值数据(iFinD）'!N$13/'实盘净值数据(iFinD）'!N$8/$AB$13</f>
        <v>0</v>
      </c>
      <c r="O13">
        <f>O$12*'实盘净值数据(iFinD）'!O$13/'实盘净值数据(iFinD）'!O$8/$AB$13</f>
        <v>3.7639909734269048E-2</v>
      </c>
      <c r="P13">
        <f>P$12*'实盘净值数据(iFinD）'!P$13/'实盘净值数据(iFinD）'!P$8/$AB$13</f>
        <v>0</v>
      </c>
      <c r="Q13">
        <f>Q$12*'实盘净值数据(iFinD）'!Q$13/'实盘净值数据(iFinD）'!Q$8/$AB$13</f>
        <v>0</v>
      </c>
      <c r="R13">
        <f>R$12*'实盘净值数据(iFinD）'!R$13/'实盘净值数据(iFinD）'!R$8/$AB$13</f>
        <v>2.8865709660439238E-2</v>
      </c>
      <c r="S13">
        <f>S$12*'实盘净值数据(iFinD）'!S$13/'实盘净值数据(iFinD）'!S$8/$AB$13</f>
        <v>2.8231926900584323E-2</v>
      </c>
      <c r="T13">
        <f>T$12*'实盘净值数据(iFinD）'!T$13/'实盘净值数据(iFinD）'!T$8/$AB$13</f>
        <v>0</v>
      </c>
      <c r="U13">
        <f>U$12*'实盘净值数据(iFinD）'!U$13/'实盘净值数据(iFinD）'!U$8/$AB$13</f>
        <v>1.7706181846760063E-2</v>
      </c>
      <c r="V13">
        <f>V$12*'实盘净值数据(iFinD）'!V$13/'实盘净值数据(iFinD）'!V$8/$AB$13</f>
        <v>0</v>
      </c>
      <c r="W13">
        <f>W$12*'实盘净值数据(iFinD）'!W$13/'实盘净值数据(iFinD）'!W$8/$AB$13</f>
        <v>3.728493521308144E-2</v>
      </c>
      <c r="X13">
        <f>X$12*'实盘净值数据(iFinD）'!X$13/'实盘净值数据(iFinD）'!X$8/$AB$13</f>
        <v>0.57770110350899728</v>
      </c>
      <c r="Y13">
        <f>Y$12*'实盘净值数据(iFinD）'!Y$13/'实盘净值数据(iFinD）'!Y$8/$AB$13+0.015</f>
        <v>1.4999999999999999E-2</v>
      </c>
      <c r="Z13">
        <f t="shared" si="0"/>
        <v>1</v>
      </c>
      <c r="AA13" s="22">
        <v>46204</v>
      </c>
      <c r="AB13">
        <f>SUMPRODUCT($B$12:$Y$12,'实盘净值数据(iFinD）'!$B$13:$Y$13/'实盘净值数据(iFinD）'!$B$8:$Y$8)</f>
        <v>1.0041480100695226</v>
      </c>
    </row>
    <row r="14" spans="1:30" ht="14.5">
      <c r="A14" s="23" t="s">
        <v>132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2">
        <v>46210</v>
      </c>
      <c r="AB14">
        <f>$AB$9*SUMPRODUCT($B$9:$Y$9,'实盘净值数据(iFinD）'!$B$17:$Y$17/'实盘净值数据(iFinD）'!$B$13:$Y$13)</f>
        <v>0.99518059435920936</v>
      </c>
    </row>
    <row r="15" spans="1:30" ht="14.5">
      <c r="A15" s="23" t="s">
        <v>133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2">
        <v>46210</v>
      </c>
      <c r="AB15">
        <f>$AB$11*SUMPRODUCT($B$11:$Y$11,'实盘净值数据(iFinD）'!$B$17:$Y$17/'实盘净值数据(iFinD）'!$B$13:$Y$13)</f>
        <v>0.99376731247498307</v>
      </c>
    </row>
    <row r="16" spans="1:30" ht="14.5">
      <c r="A16" s="23" t="s">
        <v>134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2">
        <v>46210</v>
      </c>
      <c r="AB16">
        <f>$AB$13*SUMPRODUCT($B$13:$Y$13,'实盘净值数据(iFinD）'!$B$17:$Y$17/'实盘净值数据(iFinD）'!$B$13:$Y$13)</f>
        <v>0.9844764004850477</v>
      </c>
    </row>
    <row r="17" spans="1:30" ht="14.5">
      <c r="A17" s="19" t="s">
        <v>135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2">
        <v>46213</v>
      </c>
      <c r="AB17">
        <f>SUMPRODUCT($B$5:$Y$5,'实盘净值数据(iFinD）'!$B$20:$Y$20/'实盘净值数据(iFinD）'!$B$6:$Y$6)</f>
        <v>0.95250384230903973</v>
      </c>
    </row>
    <row r="18" spans="1:30" ht="14.5">
      <c r="A18" s="19" t="s">
        <v>136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2">
        <v>46213</v>
      </c>
      <c r="AB18">
        <f>SUMPRODUCT($B$6:$Y$6,'实盘净值数据(iFinD）'!$B$20:$Y$20/'实盘净值数据(iFinD）'!$B$5:$Y$5)</f>
        <v>0.97445109575393596</v>
      </c>
    </row>
    <row r="19" spans="1:30" ht="14.5">
      <c r="A19" s="19" t="s">
        <v>137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2">
        <v>46213</v>
      </c>
      <c r="AB19">
        <f>SUMPRODUCT($B$7:$Y$7,'实盘净值数据(iFinD）'!$B$20:$Y$20/'实盘净值数据(iFinD）'!$B$7:$Y$7)</f>
        <v>0.99413981381289751</v>
      </c>
    </row>
    <row r="20" spans="1:30" ht="14">
      <c r="A20" s="24" t="s">
        <v>138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5">
        <v>46220</v>
      </c>
      <c r="AB20">
        <f>$AB$14*SUMPRODUCT($B$14:$Y$14,'实盘净值数据(iFinD）'!$B$25:$Y$25/'实盘净值数据(iFinD）'!$B$17:$Y$17)</f>
        <v>0.98067586640145799</v>
      </c>
    </row>
    <row r="21" spans="1:30" ht="14">
      <c r="A21" s="24" t="s">
        <v>139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5">
        <v>46220</v>
      </c>
      <c r="AB21">
        <f>$AB$15*SUMPRODUCT($B$15:$Y$15,'实盘净值数据(iFinD）'!$B$25:$Y$25/'实盘净值数据(iFinD）'!$B$17:$Y$17)</f>
        <v>0.97939475400002896</v>
      </c>
    </row>
    <row r="22" spans="1:30" ht="14">
      <c r="A22" s="24" t="s">
        <v>140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5">
        <v>46220</v>
      </c>
      <c r="AB22">
        <f>$AB$16*SUMPRODUCT($B$16:$Y$16,'实盘净值数据(iFinD）'!$B$25:$Y$25/'实盘净值数据(iFinD）'!$B$17:$Y$17)</f>
        <v>0.94281725126693205</v>
      </c>
    </row>
    <row r="23" spans="1:30" ht="14">
      <c r="A23" s="24" t="s">
        <v>475</v>
      </c>
      <c r="B23" s="17">
        <v>0.05</v>
      </c>
      <c r="C23" s="17">
        <v>0.05</v>
      </c>
      <c r="D23" s="17">
        <v>0</v>
      </c>
      <c r="E23" s="17">
        <v>0</v>
      </c>
      <c r="F23" s="17">
        <v>1.2500000000000001E-2</v>
      </c>
      <c r="G23" s="17">
        <v>0</v>
      </c>
      <c r="H23" s="17">
        <v>0</v>
      </c>
      <c r="I23" s="17">
        <v>0.01</v>
      </c>
      <c r="J23" s="17">
        <v>0</v>
      </c>
      <c r="K23" s="17">
        <v>7.4999999999999997E-3</v>
      </c>
      <c r="L23" s="17">
        <v>0</v>
      </c>
      <c r="M23" s="17">
        <v>1.2500000000000001E-2</v>
      </c>
      <c r="N23" s="17">
        <v>0</v>
      </c>
      <c r="O23" s="17">
        <v>1.2500000000000001E-2</v>
      </c>
      <c r="P23" s="17">
        <v>0</v>
      </c>
      <c r="Q23" s="17">
        <v>0</v>
      </c>
      <c r="R23" s="17">
        <v>1.2500000000000001E-2</v>
      </c>
      <c r="S23" s="17">
        <v>1.2500000000000001E-2</v>
      </c>
      <c r="T23" s="17">
        <v>0</v>
      </c>
      <c r="U23" s="17">
        <v>0</v>
      </c>
      <c r="V23" s="17">
        <v>0</v>
      </c>
      <c r="W23" s="17">
        <v>1.2500000000000001E-2</v>
      </c>
      <c r="X23" s="17">
        <v>0.5</v>
      </c>
      <c r="Y23" s="17">
        <v>7.4999999999999997E-3</v>
      </c>
      <c r="Z23" s="17">
        <f>SUM(B23:Y23)+SUM(AC23:AD23)</f>
        <v>1</v>
      </c>
      <c r="AA23" s="25">
        <v>46276</v>
      </c>
      <c r="AB23">
        <f>$AB$20*SUMPRODUCT($B$20:$Y$20,'实盘净值数据(iFinD）'!$B$65:$Y$65/'实盘净值数据(iFinD）'!$B$25:$Y$25)</f>
        <v>0.99104060395575799</v>
      </c>
      <c r="AC23" s="17">
        <v>0.15</v>
      </c>
      <c r="AD23" s="17">
        <v>0.15</v>
      </c>
    </row>
    <row r="24" spans="1:30" ht="14">
      <c r="A24" s="24" t="s">
        <v>476</v>
      </c>
      <c r="B24" s="17">
        <v>0.05</v>
      </c>
      <c r="C24" s="17">
        <v>0.05</v>
      </c>
      <c r="D24" s="17">
        <v>0.01</v>
      </c>
      <c r="E24" s="17">
        <v>1.2500000000000001E-2</v>
      </c>
      <c r="F24" s="17">
        <v>0</v>
      </c>
      <c r="G24" s="17">
        <v>0</v>
      </c>
      <c r="H24" s="17">
        <v>0</v>
      </c>
      <c r="I24" s="17">
        <v>0</v>
      </c>
      <c r="J24" s="17">
        <v>0.01</v>
      </c>
      <c r="K24" s="17">
        <v>0</v>
      </c>
      <c r="L24" s="17">
        <v>1.2500000000000001E-2</v>
      </c>
      <c r="M24" s="17">
        <v>0</v>
      </c>
      <c r="N24" s="17">
        <v>1.2500000000000001E-2</v>
      </c>
      <c r="O24" s="17">
        <v>0</v>
      </c>
      <c r="P24" s="17">
        <v>0.01</v>
      </c>
      <c r="Q24" s="17">
        <v>0.01</v>
      </c>
      <c r="R24" s="17">
        <v>0</v>
      </c>
      <c r="S24" s="17">
        <v>0</v>
      </c>
      <c r="T24" s="17">
        <v>0</v>
      </c>
      <c r="U24" s="17">
        <v>0</v>
      </c>
      <c r="V24" s="17">
        <v>1.2500000000000001E-2</v>
      </c>
      <c r="W24" s="17">
        <v>0</v>
      </c>
      <c r="X24" s="17">
        <v>0.5</v>
      </c>
      <c r="Y24" s="17">
        <v>0.01</v>
      </c>
      <c r="Z24" s="17">
        <f>SUM(B24:Y24)+SUM(AC24:AD24)</f>
        <v>1</v>
      </c>
      <c r="AA24" s="25">
        <v>46276</v>
      </c>
      <c r="AB24">
        <f>$AB$21*SUMPRODUCT($B$21:$Y$21,'实盘净值数据(iFinD）'!$B$65:$Y$65/'实盘净值数据(iFinD）'!$B$25:$Y$25)</f>
        <v>0.99102891245917668</v>
      </c>
      <c r="AC24" s="17">
        <v>0.15</v>
      </c>
      <c r="AD24" s="17">
        <v>0.15</v>
      </c>
    </row>
    <row r="25" spans="1:30" ht="14">
      <c r="A25" s="24" t="s">
        <v>477</v>
      </c>
      <c r="B25" s="17">
        <v>0.1</v>
      </c>
      <c r="C25" s="17">
        <v>0.1</v>
      </c>
      <c r="D25" s="17">
        <v>0</v>
      </c>
      <c r="E25" s="17">
        <v>0</v>
      </c>
      <c r="F25" s="17">
        <v>3.7499999999999999E-2</v>
      </c>
      <c r="G25" s="17">
        <v>0</v>
      </c>
      <c r="H25" s="17">
        <v>0</v>
      </c>
      <c r="I25" s="17">
        <v>0.03</v>
      </c>
      <c r="J25" s="17">
        <v>0</v>
      </c>
      <c r="K25" s="17">
        <v>2.5000000000000001E-2</v>
      </c>
      <c r="L25" s="17">
        <v>0</v>
      </c>
      <c r="M25" s="17">
        <v>3.7499999999999999E-2</v>
      </c>
      <c r="N25" s="17">
        <v>0</v>
      </c>
      <c r="O25" s="17">
        <v>3.7499999999999999E-2</v>
      </c>
      <c r="P25" s="17">
        <v>0</v>
      </c>
      <c r="Q25" s="17">
        <v>0</v>
      </c>
      <c r="R25" s="17">
        <v>3.5000000000000003E-2</v>
      </c>
      <c r="S25" s="17">
        <v>3.5000000000000003E-2</v>
      </c>
      <c r="T25" s="17">
        <v>0</v>
      </c>
      <c r="U25" s="17">
        <v>0</v>
      </c>
      <c r="V25" s="17">
        <v>0</v>
      </c>
      <c r="W25" s="17">
        <v>3.7499999999999999E-2</v>
      </c>
      <c r="X25" s="17">
        <v>0.3</v>
      </c>
      <c r="Y25" s="17">
        <v>2.5000000000000001E-2</v>
      </c>
      <c r="Z25" s="17">
        <f>SUM(B25:Y25)+SUM(AC25:AD25)</f>
        <v>1</v>
      </c>
      <c r="AA25" s="25">
        <v>46276</v>
      </c>
      <c r="AB25">
        <f>$AB$22*SUMPRODUCT($B$22:$Y$22,'实盘净值数据(iFinD）'!$B$65:$Y$65/'实盘净值数据(iFinD）'!$B$25:$Y$25)</f>
        <v>0.95617038338718674</v>
      </c>
      <c r="AC25" s="17">
        <v>0.1</v>
      </c>
      <c r="AD25" s="17">
        <v>0.1</v>
      </c>
    </row>
    <row r="26">
      <c r="A26" s="24" t="inlineStr">
        <is>
          <t>20-80 · P0初始</t>
        </is>
      </c>
      <c r="B26" s="17">
        <v>0</v>
      </c>
      <c r="C26" s="17">
        <v>0.05</v>
      </c>
      <c r="D26" s="17">
        <v>0</v>
      </c>
      <c r="E26" s="17">
        <v>0</v>
      </c>
      <c r="F26" s="17">
        <v>0.025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0.0125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0.0125</v>
      </c>
      <c r="X26" s="17">
        <v>0.3</v>
      </c>
      <c r="Y26" s="17">
        <v>0</v>
      </c>
      <c r="Z26" s="17">
        <f>SUM(B26:Y26)+SUM(AC26:AO26)</f>
        <v>1</v>
      </c>
      <c r="AA26" s="25">
        <v>46282</v>
      </c>
      <c r="AB26"/>
      <c r="AC26" s="17">
        <v>0.2</v>
      </c>
      <c r="AD26" s="17">
        <v>0.2</v>
      </c>
      <c r="AE26" s="17">
        <v>0.0125</v>
      </c>
      <c r="AF26" s="17">
        <v>0.0125</v>
      </c>
      <c r="AG26" s="17">
        <v>0.0125</v>
      </c>
      <c r="AH26" s="17">
        <v>0.0125</v>
      </c>
      <c r="AI26" s="17">
        <v>0.005</v>
      </c>
      <c r="AJ26" s="17">
        <v>0.005</v>
      </c>
      <c r="AK26" s="17">
        <v>0.005</v>
      </c>
      <c r="AL26" s="17">
        <v>0.005</v>
      </c>
      <c r="AM26" s="17">
        <v>0.06</v>
      </c>
      <c r="AN26" s="17">
        <v>0.02</v>
      </c>
      <c r="AO26" s="17">
        <v>0.05</v>
      </c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7" workbookViewId="0">
      <selection activeCell="E35" sqref="E35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2.453125" customWidth="1"/>
    <col min="5" max="5" width="17.453125" customWidth="1"/>
    <col min="6" max="6" width="19.26953125" customWidth="1"/>
    <col min="7" max="7" width="15.453125" customWidth="1"/>
    <col min="8" max="8" width="2.1796875" customWidth="1"/>
  </cols>
  <sheetData>
    <row r="2" spans="2:7" ht="20.25" customHeight="1">
      <c r="B2" s="170" t="s">
        <v>141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"&amp;TEXT(实盘持仓初始配置!$Z$4,"0.0%")&amp;"（折每日计入净值）"</f>
        <v>买入持有 · 已扣年化费率 1.5%（折每日计入净值）</v>
      </c>
      <c r="C3" s="171"/>
      <c r="D3" s="171"/>
      <c r="E3" s="172" t="str">
        <f>"净值日期："&amp;TEXT(LOOKUP(2,1/(实盘组合预估净值!$B$5:$B$1000&lt;&gt;""),实盘组合预估净值!$A$5:$A$1000),"yyyy-mm-dd")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LOOKUP(2,1/(实盘组合预估净值!$B$5:$B$1000&lt;&gt;""),实盘组合预估净值!$B$5:$B$1000)</f>
        <v>0.85760832317246516</v>
      </c>
      <c r="C7" s="28">
        <f>(LOOKUP(2,1/(实盘组合预估净值!$B$5:$B$1000&lt;&gt;""),实盘组合预估净值!$B$5:$B$1000))/1-1</f>
        <v>-0.14239167682753484</v>
      </c>
      <c r="D7" s="28">
        <f>(LOOKUP(2,1/(实盘组合预估净值!$B$5:$B$1000&lt;&gt;""),实盘组合预估净值!$B$5:$B$1000)/1)^(说明!$C$17/MAX(COUNT(实盘组合预估净值!$C$5:$C$1000),1))-1</f>
        <v>-0.43063213343194684</v>
      </c>
      <c r="E7" s="29">
        <f>STDEV(实盘组合预估净值!$C$5:$C$1000)*SQRT(说明!$C$17)</f>
        <v>0.58914034196415332</v>
      </c>
      <c r="F7" s="28">
        <f>MIN(实盘组合预估净值!$D$5:$D$1000)</f>
        <v>-0.35221690385915061</v>
      </c>
      <c r="G7" s="30">
        <f>(((LOOKUP(2,1/(实盘组合预估净值!$B$5:$B$1000&lt;&gt;""),实盘组合预估净值!$B$5:$B$1000)/1)^(说明!$C$17/MAX(COUNT(实盘组合预估净值!$C$5:$C$1000),1))-1)-说明!$C$16)/IF((STDEV(实盘组合预估净值!$C$5:$C$1000)*SQRT(说明!$C$17))=0,"",(STDEV(实盘组合预估净值!$C$5:$C$1000)*SQRT(说明!$C$17)))</f>
        <v>-0.73095000080328731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IFERROR((LOOKUP(2,1/(实盘组合预估净值!$B$5:$B$1000&lt;&gt;""),实盘组合预估净值!$B$5:$B$1000))/1-1,"")</f>
        <v>-0.142391676827535</v>
      </c>
      <c r="E11" s="167" t="inlineStr">
        <is>
          <t>最大回撤</t>
        </is>
      </c>
      <c r="F11" s="167"/>
      <c r="G11" s="32">
        <f>MIN(实盘组合预估净值!$D$5:$D$1000)</f>
        <v>-0.352216903859151</v>
      </c>
    </row>
    <row r="12" spans="2:7" ht="22.5" customHeight="1">
      <c r="B12" s="33" t="inlineStr">
        <is>
          <t>近一月</t>
        </is>
      </c>
      <c r="C12" s="32">
        <f>IFERROR((LOOKUP(2,1/(实盘组合预估净值!$B$5:$B$1000&lt;&gt;""),实盘组合预估净值!$B$5:$B$1000))/(IFERROR(LOOKUP(EDATE(LOOKUP(2,1/(实盘组合预估净值!$B$5:$B$1000&lt;&gt;""),实盘组合预估净值!$A$5:$A$1000),-1),实盘组合预估净值!$A$5:$A$1000,实盘组合预估净值!$B$5:$B$1000),1))-1,"")</f>
        <v>0.0324069937562168</v>
      </c>
      <c r="E12" s="167" t="inlineStr">
        <is>
          <t>正收益占比</t>
        </is>
      </c>
      <c r="F12" s="167"/>
      <c r="G12" s="32">
        <f>COUNTIF(实盘组合预估净值!$C$5:$C$1000,"&gt;0")/MAX(COUNT(实盘组合预估净值!$C$5:$C$1000),1)</f>
        <v>0.46969696969697</v>
      </c>
    </row>
    <row r="13" spans="2:7" ht="22.5" customHeight="1">
      <c r="B13" s="31" t="inlineStr">
        <is>
          <t>近三月</t>
        </is>
      </c>
      <c r="C13" s="32">
        <f>IFERROR((LOOKUP(2,1/(实盘组合预估净值!$B$5:$B$1000&lt;&gt;""),实盘组合预估净值!$B$5:$B$1000))/(IFERROR(LOOKUP(EDATE(LOOKUP(2,1/(实盘组合预估净值!$B$5:$B$1000&lt;&gt;""),实盘组合预估净值!$A$5:$A$1000),-3),实盘组合预估净值!$A$5:$A$1000,实盘组合预估净值!$B$5:$B$1000),1))-1,"")</f>
        <v>-0.142391676827535</v>
      </c>
      <c r="E13" s="167" t="inlineStr">
        <is>
          <t>年化波动率</t>
        </is>
      </c>
      <c r="F13" s="167"/>
      <c r="G13" s="32">
        <f>(STDEV(实盘组合预估净值!$C$5:$C$1000)*SQRT(说明!$C$17))</f>
        <v>0.589140341964153</v>
      </c>
    </row>
    <row r="14" spans="2:7" ht="22.5" customHeight="1">
      <c r="B14" s="31" t="inlineStr">
        <is>
          <t>近一年</t>
        </is>
      </c>
      <c r="C14" s="32">
        <f>IFERROR((LOOKUP(2,1/(实盘组合预估净值!$B$5:$B$1000&lt;&gt;""),实盘组合预估净值!$B$5:$B$1000))/(IFERROR(LOOKUP(EDATE(LOOKUP(2,1/(实盘组合预估净值!$B$5:$B$1000&lt;&gt;""),实盘组合预估净值!$A$5:$A$1000),-12),实盘组合预估净值!$A$5:$A$1000,实盘组合预估净值!$B$5:$B$1000),1))-1,"")</f>
        <v>-0.142391676827535</v>
      </c>
      <c r="E14" s="167" t="inlineStr">
        <is>
          <t>夏普比率</t>
        </is>
      </c>
      <c r="F14" s="167"/>
      <c r="G14" s="32">
        <f>(((LOOKUP(2,1/(实盘组合预估净值!$B$5:$B$1000&lt;&gt;""),实盘组合预估净值!$B$5:$B$1000)/1)^(说明!$C$17/MAX(COUNT(实盘组合预估净值!$C$5:$C$1000),1))-1)-说明!$C$16)/IF((STDEV(实盘组合预估净值!$C$5:$C$1000)*SQRT(说明!$C$17))=0,"",(STDEV(实盘组合预估净值!$C$5:$C$1000)*SQRT(说明!$C$17)))</f>
        <v>-0.730950000803287</v>
      </c>
    </row>
    <row r="15" spans="2:7" ht="22.5" customHeight="1">
      <c r="B15" s="31" t="inlineStr">
        <is>
          <t>YTD</t>
        </is>
      </c>
      <c r="C15" s="32">
        <f>IFERROR((LOOKUP(2,1/(实盘组合预估净值!$B$5:$B$1000&lt;&gt;""),实盘组合预估净值!$B$5:$B$1000))/(IFERROR(LOOKUP(DATE(YEAR(LOOKUP(2,1/(实盘组合预估净值!$B$5:$B$1000&lt;&gt;""),实盘组合预估净值!$A$5:$A$1000)),1,1),实盘组合预估净值!$A$5:$A$1000,实盘组合预估净值!$B$5:$B$1000),1))-1,"")</f>
        <v>-0.142391676827535</v>
      </c>
      <c r="E15" s="167" t="inlineStr">
        <is>
          <t>卡玛比率</t>
        </is>
      </c>
      <c r="F15" s="167"/>
      <c r="G15" s="32">
        <f>IFERROR(((LOOKUP(2,1/(实盘组合预估净值!$B$5:$B$1000&lt;&gt;""),实盘组合预估净值!$B$5:$B$1000)/1)^(说明!$C$17/MAX(COUNT(实盘组合预估净值!$C$5:$C$1000),1))-1)/ABS(MIN(实盘组合预估净值!$D$5:$D$1000)),"")</f>
        <v>-1.22263335096533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7" sqref="L27"/>
    </sheetView>
  </sheetViews>
  <sheetFormatPr defaultColWidth="9.453125" defaultRowHeight="12.5"/>
  <cols>
    <col min="1" max="1" width="2.1796875" customWidth="1"/>
    <col min="2" max="2" width="15.453125" customWidth="1"/>
    <col min="3" max="3" width="19.453125" customWidth="1"/>
    <col min="4" max="4" width="21.453125" customWidth="1"/>
    <col min="5" max="5" width="17.453125" customWidth="1"/>
    <col min="6" max="6" width="19.26953125" customWidth="1"/>
    <col min="7" max="7" width="18.26953125" customWidth="1"/>
    <col min="8" max="8" width="2.1796875" customWidth="1"/>
  </cols>
  <sheetData>
    <row r="2" spans="2:7" ht="20.25" customHeight="1">
      <c r="B2" s="170" t="s">
        <v>164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"&amp;TEXT(实盘持仓初始配置!$Z$5,"0.0%")&amp;"（折每日计入净值）"</f>
        <v>买入持有 · 已扣年化费率 1.2%（折每日计入净值）</v>
      </c>
      <c r="C3" s="171"/>
      <c r="D3" s="171"/>
      <c r="E3" s="172" t="str">
        <f>"净值日期："&amp;TEXT(LOOKUP(2,1/(实盘组合预估净值!$E$5:$E$1000&lt;&gt;""),实盘组合预估净值!$A$5:$A$1000),"yyyy-mm-dd")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LOOKUP(2,1/(实盘组合预估净值!$E$5:$E$1000&lt;&gt;""),实盘组合预估净值!$E$5:$E$1000)</f>
        <v>0.87792577069982314</v>
      </c>
      <c r="C7" s="28">
        <f>(LOOKUP(2,1/(实盘组合预估净值!$E$5:$E$1000&lt;&gt;""),实盘组合预估净值!$E$5:$E$1000))/1-1</f>
        <v>-0.12207422930017686</v>
      </c>
      <c r="D7" s="28">
        <f>(LOOKUP(2,1/(实盘组合预估净值!$E$5:$E$1000&lt;&gt;""),实盘组合预估净值!$E$5:$E$1000)/1)^(说明!$C$17/MAX(COUNT(实盘组合预估净值!$F$5:$F$1000),1))-1</f>
        <v>-0.37515407723607486</v>
      </c>
      <c r="E7" s="29">
        <f>STDEV(实盘组合预估净值!$F$5:$F$1000)*SQRT(说明!$C$17)</f>
        <v>0.58712943628876546</v>
      </c>
      <c r="F7" s="28">
        <f>MIN(实盘组合预估净值!$G$5:$G$1000)</f>
        <v>-0.35236862163912863</v>
      </c>
      <c r="G7" s="30">
        <f>(((LOOKUP(2,1/(实盘组合预估净值!$E$5:$E$1000&lt;&gt;""),实盘组合预估净值!$E$5:$E$1000)/1)^(说明!$C$17/MAX(COUNT(实盘组合预估净值!$F$5:$F$1000),1))-1)-说明!$C$16)/IF((STDEV(实盘组合预估净值!$F$5:$F$1000)*SQRT(说明!$C$17))=0,"",(STDEV(实盘组合预估净值!$F$5:$F$1000)*SQRT(说明!$C$17)))</f>
        <v>-0.63896315539451909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IFERROR((LOOKUP(2,1/(实盘组合预估净值!$E$5:$E$1000&lt;&gt;""),实盘组合预估净值!$E$5:$E$1000))/1-1,"")</f>
        <v>-0.122074229300177</v>
      </c>
      <c r="E11" s="167" t="inlineStr">
        <is>
          <t>最大回撤</t>
        </is>
      </c>
      <c r="F11" s="167"/>
      <c r="G11" s="32">
        <f>MIN(实盘组合预估净值!$G$5:$G$1000)</f>
        <v>-0.352368621639129</v>
      </c>
    </row>
    <row r="12" spans="2:7" ht="22.5" customHeight="1">
      <c r="B12" s="33" t="inlineStr">
        <is>
          <t>近一月</t>
        </is>
      </c>
      <c r="C12" s="32">
        <f>IFERROR((LOOKUP(2,1/(实盘组合预估净值!$E$5:$E$1000&lt;&gt;""),实盘组合预估净值!$E$5:$E$1000))/(IFERROR(LOOKUP(EDATE(LOOKUP(2,1/(实盘组合预估净值!$E$5:$E$1000&lt;&gt;""),实盘组合预估净值!$A$5:$A$1000),-1),实盘组合预估净值!$A$5:$A$1000,实盘组合预估净值!$E$5:$E$1000),1))-1,"")</f>
        <v>0.0327994834717247</v>
      </c>
      <c r="E12" s="167" t="inlineStr">
        <is>
          <t>正收益占比</t>
        </is>
      </c>
      <c r="F12" s="167"/>
      <c r="G12" s="32">
        <f>COUNTIF(实盘组合预估净值!$F$5:$F$1000,"&gt;0")/MAX(COUNT(实盘组合预估净值!$F$5:$F$1000),1)</f>
        <v>0.477611940298507</v>
      </c>
    </row>
    <row r="13" spans="2:7" ht="22.5" customHeight="1">
      <c r="B13" s="31" t="inlineStr">
        <is>
          <t>近三月</t>
        </is>
      </c>
      <c r="C13" s="32">
        <f>IFERROR((LOOKUP(2,1/(实盘组合预估净值!$E$5:$E$1000&lt;&gt;""),实盘组合预估净值!$E$5:$E$1000))/(IFERROR(LOOKUP(EDATE(LOOKUP(2,1/(实盘组合预估净值!$E$5:$E$1000&lt;&gt;""),实盘组合预估净值!$A$5:$A$1000),-3),实盘组合预估净值!$A$5:$A$1000,实盘组合预估净值!$E$5:$E$1000),1))-1,"")</f>
        <v>-0.142179376859405</v>
      </c>
      <c r="E13" s="167" t="inlineStr">
        <is>
          <t>年化波动率</t>
        </is>
      </c>
      <c r="F13" s="167"/>
      <c r="G13" s="32">
        <f>(STDEV(实盘组合预估净值!$F$5:$F$1000)*SQRT(说明!$C$17))</f>
        <v>0.587129436288765</v>
      </c>
    </row>
    <row r="14" spans="2:7" ht="22.5" customHeight="1">
      <c r="B14" s="31" t="inlineStr">
        <is>
          <t>近一年</t>
        </is>
      </c>
      <c r="C14" s="32">
        <f>IFERROR((LOOKUP(2,1/(实盘组合预估净值!$E$5:$E$1000&lt;&gt;""),实盘组合预估净值!$E$5:$E$1000))/(IFERROR(LOOKUP(EDATE(LOOKUP(2,1/(实盘组合预估净值!$E$5:$E$1000&lt;&gt;""),实盘组合预估净值!$A$5:$A$1000),-12),实盘组合预估净值!$A$5:$A$1000,实盘组合预估净值!$E$5:$E$1000),1))-1,"")</f>
        <v>-0.122074229300177</v>
      </c>
      <c r="E14" s="167" t="inlineStr">
        <is>
          <t>夏普比率</t>
        </is>
      </c>
      <c r="F14" s="167"/>
      <c r="G14" s="32">
        <f>(((LOOKUP(2,1/(实盘组合预估净值!$E$5:$E$1000&lt;&gt;""),实盘组合预估净值!$E$5:$E$1000)/1)^(说明!$C$17/MAX(COUNT(实盘组合预估净值!$F$5:$F$1000),1))-1)-说明!$C$16)/IF((STDEV(实盘组合预估净值!$F$5:$F$1000)*SQRT(说明!$C$17))=0,"",(STDEV(实盘组合预估净值!$F$5:$F$1000)*SQRT(说明!$C$17)))</f>
        <v>-0.638963155394519</v>
      </c>
    </row>
    <row r="15" spans="2:7" ht="22.5" customHeight="1">
      <c r="B15" s="31" t="inlineStr">
        <is>
          <t>YTD</t>
        </is>
      </c>
      <c r="C15" s="32">
        <f>IFERROR((LOOKUP(2,1/(实盘组合预估净值!$E$5:$E$1000&lt;&gt;""),实盘组合预估净值!$E$5:$E$1000))/(IFERROR(LOOKUP(DATE(YEAR(LOOKUP(2,1/(实盘组合预估净值!$E$5:$E$1000&lt;&gt;""),实盘组合预估净值!$A$5:$A$1000)),1,1),实盘组合预估净值!$A$5:$A$1000,实盘组合预估净值!$E$5:$E$1000),1))-1,"")</f>
        <v>-0.122074229300177</v>
      </c>
      <c r="E15" s="167" t="inlineStr">
        <is>
          <t>卡玛比率</t>
        </is>
      </c>
      <c r="F15" s="167"/>
      <c r="G15" s="32">
        <f>IFERROR(((LOOKUP(2,1/(实盘组合预估净值!$E$5:$E$1000&lt;&gt;""),实盘组合预估净值!$E$5:$E$1000)/1)^(说明!$C$17/MAX(COUNT(实盘组合预估净值!$F$5:$F$1000),1))-1)/ABS(MIN(实盘组合预估净值!$G$5:$G$1000)),"")</f>
        <v>-1.06466369079901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abSelected="1" topLeftCell="A3" workbookViewId="0">
      <selection activeCell="M19" sqref="M19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7.26953125" customWidth="1"/>
    <col min="5" max="5" width="17.453125" customWidth="1"/>
    <col min="6" max="6" width="19.26953125" customWidth="1"/>
    <col min="7" max="7" width="19.1796875" customWidth="1"/>
    <col min="8" max="8" width="2.1796875" customWidth="1"/>
  </cols>
  <sheetData>
    <row r="2" spans="2:7" ht="20.25" customHeight="1">
      <c r="B2" s="170" t="s">
        <v>165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"&amp;TEXT(实盘持仓初始配置!$Z$6,"0.0%")&amp;"（折每日计入净值）"</f>
        <v>买入持有 · 已扣年化费率 1.5%（折每日计入净值）</v>
      </c>
      <c r="C3" s="171"/>
      <c r="D3" s="171"/>
      <c r="E3" s="172" t="str">
        <f>"净值日期："&amp;TEXT(LOOKUP(2,1/(实盘组合预估净值!$H$5:$H$1000&lt;&gt;""),实盘组合预估净值!$A$5:$A$1000),"yyyy-mm-dd")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LOOKUP(2,1/(实盘组合预估净值!$H$5:$H$1000&lt;&gt;""),实盘组合预估净值!$H$5:$H$1000)</f>
        <v>0.86860061360190854</v>
      </c>
      <c r="C7" s="28">
        <f>(LOOKUP(2,1/(实盘组合预估净值!$H$5:$H$1000&lt;&gt;""),实盘组合预估净值!$H$5:$H$1000))/1-1</f>
        <v>-0.13139938639809146</v>
      </c>
      <c r="D7" s="28">
        <f>(LOOKUP(2,1/(实盘组合预估净值!$H$5:$H$1000&lt;&gt;""),实盘组合预估净值!$H$5:$H$1000)/1)^(说明!$C$17/MAX(COUNT(实盘组合预估净值!$I$5:$I$1000),1))-1</f>
        <v>-0.40813501914309946</v>
      </c>
      <c r="E7" s="29">
        <f>STDEV(实盘组合预估净值!$I$5:$I$1000)*SQRT(说明!$C$17)</f>
        <v>0.58010882432687105</v>
      </c>
      <c r="F7" s="28">
        <f>MIN(实盘组合预估净值!$J$5:$J$1000)</f>
        <v>-0.34135059378539634</v>
      </c>
      <c r="G7" s="30">
        <f>(((LOOKUP(2,1/(实盘组合预估净值!$H$5:$H$1000&lt;&gt;""),实盘组合预估净值!$H$5:$H$1000)/1)^(说明!$C$17/MAX(COUNT(实盘组合预估净值!$I$5:$I$1000),1))-1)-说明!$C$16)/IF((STDEV(实盘组合预估净值!$I$5:$I$1000)*SQRT(说明!$C$17))=0,"",(STDEV(实盘组合预估净值!$I$5:$I$1000)*SQRT(说明!$C$17)))</f>
        <v>-0.7035490618793443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IFERROR((LOOKUP(2,1/(实盘组合预估净值!$H$5:$H$1000&lt;&gt;""),实盘组合预估净值!$H$5:$H$1000))/1-1,"")</f>
        <v>-0.131399386398091</v>
      </c>
      <c r="E11" s="167" t="inlineStr">
        <is>
          <t>最大回撤</t>
        </is>
      </c>
      <c r="F11" s="167"/>
      <c r="G11" s="32">
        <f>MIN(实盘组合预估净值!$J$5:$J$1000)</f>
        <v>-0.341350593785396</v>
      </c>
    </row>
    <row r="12" spans="2:7" ht="22.5" customHeight="1">
      <c r="B12" s="33" t="inlineStr">
        <is>
          <t>近一月</t>
        </is>
      </c>
      <c r="C12" s="32">
        <f>IFERROR((LOOKUP(2,1/(实盘组合预估净值!$H$5:$H$1000&lt;&gt;""),实盘组合预估净值!$H$5:$H$1000))/(IFERROR(LOOKUP(EDATE(LOOKUP(2,1/(实盘组合预估净值!$H$5:$H$1000&lt;&gt;""),实盘组合预估净值!$A$5:$A$1000),-1),实盘组合预估净值!$A$5:$A$1000,实盘组合预估净值!$H$5:$H$1000),1))-1,"")</f>
        <v>0.0191808575487391</v>
      </c>
      <c r="E12" s="167" t="inlineStr">
        <is>
          <t>正收益占比</t>
        </is>
      </c>
      <c r="F12" s="167"/>
      <c r="G12" s="32">
        <f>COUNTIF(实盘组合预估净值!$I$5:$I$1000,"&gt;0")/MAX(COUNT(实盘组合预估净值!$I$5:$I$1000),1)</f>
        <v>0.476923076923077</v>
      </c>
    </row>
    <row r="13" spans="2:7" ht="22.5" customHeight="1">
      <c r="B13" s="31" t="inlineStr">
        <is>
          <t>近三月</t>
        </is>
      </c>
      <c r="C13" s="32">
        <f>IFERROR((LOOKUP(2,1/(实盘组合预估净值!$H$5:$H$1000&lt;&gt;""),实盘组合预估净值!$H$5:$H$1000))/(IFERROR(LOOKUP(EDATE(LOOKUP(2,1/(实盘组合预估净值!$H$5:$H$1000&lt;&gt;""),实盘组合预估净值!$A$5:$A$1000),-3),实盘组合预估净值!$A$5:$A$1000,实盘组合预估净值!$H$5:$H$1000),1))-1,"")</f>
        <v>-0.131399386398091</v>
      </c>
      <c r="E13" s="167" t="inlineStr">
        <is>
          <t>年化波动率</t>
        </is>
      </c>
      <c r="F13" s="167"/>
      <c r="G13" s="32">
        <f>(STDEV(实盘组合预估净值!$I$5:$I$1000)*SQRT(说明!$C$17))</f>
        <v>0.580108824326871</v>
      </c>
    </row>
    <row r="14" spans="2:7" ht="22.5" customHeight="1">
      <c r="B14" s="31" t="inlineStr">
        <is>
          <t>近一年</t>
        </is>
      </c>
      <c r="C14" s="32">
        <f>IFERROR((LOOKUP(2,1/(实盘组合预估净值!$H$5:$H$1000&lt;&gt;""),实盘组合预估净值!$H$5:$H$1000))/(IFERROR(LOOKUP(EDATE(LOOKUP(2,1/(实盘组合预估净值!$H$5:$H$1000&lt;&gt;""),实盘组合预估净值!$A$5:$A$1000),-12),实盘组合预估净值!$A$5:$A$1000,实盘组合预估净值!$H$5:$H$1000),1))-1,"")</f>
        <v>-0.131399386398091</v>
      </c>
      <c r="E14" s="167" t="inlineStr">
        <is>
          <t>夏普比率</t>
        </is>
      </c>
      <c r="F14" s="167"/>
      <c r="G14" s="32">
        <f>(((LOOKUP(2,1/(实盘组合预估净值!$H$5:$H$1000&lt;&gt;""),实盘组合预估净值!$H$5:$H$1000)/1)^(说明!$C$17/MAX(COUNT(实盘组合预估净值!$I$5:$I$1000),1))-1)-说明!$C$16)/IF((STDEV(实盘组合预估净值!$I$5:$I$1000)*SQRT(说明!$C$17))=0,"",(STDEV(实盘组合预估净值!$I$5:$I$1000)*SQRT(说明!$C$17)))</f>
        <v>-0.703549061879344</v>
      </c>
    </row>
    <row r="15" spans="2:7" ht="22.5" customHeight="1">
      <c r="B15" s="31" t="inlineStr">
        <is>
          <t>YTD</t>
        </is>
      </c>
      <c r="C15" s="32">
        <f>IFERROR((LOOKUP(2,1/(实盘组合预估净值!$H$5:$H$1000&lt;&gt;""),实盘组合预估净值!$H$5:$H$1000))/(IFERROR(LOOKUP(DATE(YEAR(LOOKUP(2,1/(实盘组合预估净值!$H$5:$H$1000&lt;&gt;""),实盘组合预估净值!$A$5:$A$1000)),1,1),实盘组合预估净值!$A$5:$A$1000,实盘组合预估净值!$H$5:$H$1000),1))-1,"")</f>
        <v>-0.131399386398091</v>
      </c>
      <c r="E15" s="167" t="inlineStr">
        <is>
          <t>卡玛比率</t>
        </is>
      </c>
      <c r="F15" s="167"/>
      <c r="G15" s="32">
        <f>IFERROR(((LOOKUP(2,1/(实盘组合预估净值!$H$5:$H$1000&lt;&gt;""),实盘组合预估净值!$H$5:$H$1000)/1)^(说明!$C$17/MAX(COUNT(实盘组合预估净值!$I$5:$I$1000),1))-1)/ABS(MIN(实盘组合预估净值!$J$5:$J$1000)),"")</f>
        <v>-1.19564760270987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J34" sqref="J34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8.81640625" customWidth="1"/>
    <col min="5" max="5" width="21.26953125" customWidth="1"/>
    <col min="6" max="6" width="16.453125" customWidth="1"/>
    <col min="7" max="7" width="19.453125" customWidth="1"/>
    <col min="8" max="8" width="2.1796875" customWidth="1"/>
  </cols>
  <sheetData>
    <row r="2" spans="2:7" ht="20.25" customHeight="1">
      <c r="B2" s="170" t="s">
        <v>166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"&amp;TEXT(实盘持仓初始配置!$Z$7,"0.0%")&amp;"（折每日计入净值）"</f>
        <v>买入持有 · 已扣年化费率 0.8%（折每日计入净值）</v>
      </c>
      <c r="C3" s="171"/>
      <c r="D3" s="171"/>
      <c r="E3" s="172" t="str">
        <f>"净值日期："&amp;TEXT(LOOKUP(2,1/(实盘组合预估净值!$K$5:$K$1000&lt;&gt;""),实盘组合预估净值!$A$5:$A$1000),"yyyy-mm-dd")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LOOKUP(2,1/(实盘组合预估净值!$K$5:$K$1000&lt;&gt;""),实盘组合预估净值!$K$5:$K$1000)</f>
        <v>0.99603101038321196</v>
      </c>
      <c r="C7" s="28">
        <f>(LOOKUP(2,1/(实盘组合预估净值!$K$5:$K$1000&lt;&gt;""),实盘组合预估净值!$K$5:$K$1000))/1-1</f>
        <v>-3.9689896167880434E-3</v>
      </c>
      <c r="D7" s="28">
        <f>(LOOKUP(2,1/(实盘组合预估净值!$K$5:$K$1000&lt;&gt;""),实盘组合预估净值!$K$5:$K$1000)/1)^(说明!$C$17/MAX(COUNT(实盘组合预估净值!$L$5:$L$1000),1))-1</f>
        <v>-1.4925103667498218E-2</v>
      </c>
      <c r="E7" s="29">
        <f>STDEV(实盘组合预估净值!$L$5:$L$1000)*SQRT(说明!$C$17)</f>
        <v>4.8291698310991886E-2</v>
      </c>
      <c r="F7" s="28">
        <f>MIN(实盘组合预估净值!$M$5:$M$1000)</f>
        <v>-2.7061955764950518E-2</v>
      </c>
      <c r="G7" s="30">
        <f>(((LOOKUP(2,1/(实盘组合预估净值!$K$5:$K$1000&lt;&gt;""),实盘组合预估净值!$K$5:$K$1000)/1)^(说明!$C$17/MAX(COUNT(实盘组合预估净值!$L$5:$L$1000),1))-1)-说明!$C$16)/IF((STDEV(实盘组合预估净值!$L$5:$L$1000)*SQRT(说明!$C$17))=0,"",(STDEV(实盘组合预估净值!$L$5:$L$1000)*SQRT(说明!$C$17)))</f>
        <v>-0.30906147825621305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IFERROR((LOOKUP(2,1/(实盘组合预估净值!$K$5:$K$1000&lt;&gt;""),实盘组合预估净值!$K$5:$K$1000))/1-1,"")</f>
        <v>-0.00396898961678804</v>
      </c>
      <c r="E11" s="167" t="inlineStr">
        <is>
          <t>最大回撤</t>
        </is>
      </c>
      <c r="F11" s="167"/>
      <c r="G11" s="32">
        <f>MIN(实盘组合预估净值!$M$5:$M$1000)</f>
        <v>-0.0270619557649505</v>
      </c>
    </row>
    <row r="12" spans="2:7" ht="22.5" customHeight="1">
      <c r="B12" s="33" t="inlineStr">
        <is>
          <t>近一月</t>
        </is>
      </c>
      <c r="C12" s="32">
        <f>IFERROR((LOOKUP(2,1/(实盘组合预估净值!$K$5:$K$1000&lt;&gt;""),实盘组合预估净值!$K$5:$K$1000))/(IFERROR(LOOKUP(EDATE(LOOKUP(2,1/(实盘组合预估净值!$K$5:$K$1000&lt;&gt;""),实盘组合预估净值!$A$5:$A$1000),-1),实盘组合预估净值!$A$5:$A$1000,实盘组合预估净值!$K$5:$K$1000),1))-1,"")</f>
        <v>0.000642625543821884</v>
      </c>
      <c r="E12" s="167" t="inlineStr">
        <is>
          <t>正收益占比</t>
        </is>
      </c>
      <c r="F12" s="167"/>
      <c r="G12" s="32">
        <f>COUNTIF(实盘组合预估净值!$L$5:$L$1000,"&gt;0")/MAX(COUNT(实盘组合预估净值!$L$5:$L$1000),1)</f>
        <v>0.46875</v>
      </c>
    </row>
    <row r="13" spans="2:7" ht="22.5" customHeight="1">
      <c r="B13" s="31" t="inlineStr">
        <is>
          <t>近三月</t>
        </is>
      </c>
      <c r="C13" s="32">
        <f>IFERROR((LOOKUP(2,1/(实盘组合预估净值!$K$5:$K$1000&lt;&gt;""),实盘组合预估净值!$K$5:$K$1000))/(IFERROR(LOOKUP(EDATE(LOOKUP(2,1/(实盘组合预估净值!$K$5:$K$1000&lt;&gt;""),实盘组合预估净值!$A$5:$A$1000),-3),实盘组合预估净值!$A$5:$A$1000,实盘组合预估净值!$K$5:$K$1000),1))-1,"")</f>
        <v>-0.00396898961678804</v>
      </c>
      <c r="E13" s="167" t="inlineStr">
        <is>
          <t>年化波动率</t>
        </is>
      </c>
      <c r="F13" s="167"/>
      <c r="G13" s="32">
        <f>(STDEV(实盘组合预估净值!$L$5:$L$1000)*SQRT(说明!$C$17))</f>
        <v>0.0482916983109919</v>
      </c>
    </row>
    <row r="14" spans="2:7" ht="22.5" customHeight="1">
      <c r="B14" s="31" t="inlineStr">
        <is>
          <t>近一年</t>
        </is>
      </c>
      <c r="C14" s="32">
        <f>IFERROR((LOOKUP(2,1/(实盘组合预估净值!$K$5:$K$1000&lt;&gt;""),实盘组合预估净值!$K$5:$K$1000))/(IFERROR(LOOKUP(EDATE(LOOKUP(2,1/(实盘组合预估净值!$K$5:$K$1000&lt;&gt;""),实盘组合预估净值!$A$5:$A$1000),-12),实盘组合预估净值!$A$5:$A$1000,实盘组合预估净值!$K$5:$K$1000),1))-1,"")</f>
        <v>-0.00396898961678804</v>
      </c>
      <c r="E14" s="167" t="inlineStr">
        <is>
          <t>夏普比率</t>
        </is>
      </c>
      <c r="F14" s="167"/>
      <c r="G14" s="32">
        <f>(((LOOKUP(2,1/(实盘组合预估净值!$K$5:$K$1000&lt;&gt;""),实盘组合预估净值!$K$5:$K$1000)/1)^(说明!$C$17/MAX(COUNT(实盘组合预估净值!$L$5:$L$1000),1))-1)-说明!$C$16)/IF((STDEV(实盘组合预估净值!$L$5:$L$1000)*SQRT(说明!$C$17))=0,"",(STDEV(实盘组合预估净值!$L$5:$L$1000)*SQRT(说明!$C$17)))</f>
        <v>-0.309061478256213</v>
      </c>
    </row>
    <row r="15" spans="2:7" ht="22.5" customHeight="1">
      <c r="B15" s="31" t="inlineStr">
        <is>
          <t>YTD</t>
        </is>
      </c>
      <c r="C15" s="32">
        <f>IFERROR((LOOKUP(2,1/(实盘组合预估净值!$K$5:$K$1000&lt;&gt;""),实盘组合预估净值!$K$5:$K$1000))/(IFERROR(LOOKUP(DATE(YEAR(LOOKUP(2,1/(实盘组合预估净值!$K$5:$K$1000&lt;&gt;""),实盘组合预估净值!$A$5:$A$1000)),1,1),实盘组合预估净值!$A$5:$A$1000,实盘组合预估净值!$K$5:$K$1000),1))-1,"")</f>
        <v>-0.00396898961678804</v>
      </c>
      <c r="E15" s="167" t="inlineStr">
        <is>
          <t>卡玛比率</t>
        </is>
      </c>
      <c r="F15" s="167"/>
      <c r="G15" s="32">
        <f>IFERROR(((LOOKUP(2,1/(实盘组合预估净值!$K$5:$K$1000&lt;&gt;""),实盘组合预估净值!$K$5:$K$1000)/1)^(说明!$C$17/MAX(COUNT(实盘组合预估净值!$L$5:$L$1000),1))-1)/ABS(MIN(实盘组合预估净值!$M$5:$M$1000)),"")</f>
        <v>-0.551516076558981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M27" sqref="M2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0.1796875" customWidth="1"/>
    <col min="5" max="5" width="17.453125" customWidth="1"/>
    <col min="6" max="6" width="16.453125" customWidth="1"/>
    <col min="7" max="7" width="19.1796875" customWidth="1"/>
    <col min="8" max="8" width="2.1796875" customWidth="1"/>
  </cols>
  <sheetData>
    <row r="2" spans="2:7" ht="20.25" customHeight="1">
      <c r="B2" s="170" t="s">
        <v>167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"&amp;TEXT(实盘持仓初始配置!$Z$8,"0.0%")&amp;"（折每日计入净值）"</f>
        <v>买入持有 · 已扣年化费率 0.5%（折每日计入净值）</v>
      </c>
      <c r="C3" s="171"/>
      <c r="D3" s="171"/>
      <c r="E3" s="172" t="str">
        <f>"净值日期："&amp;TEXT(LOOKUP(2,1/(实盘组合预估净值!$N$5:$N$1000&lt;&gt;""),实盘组合预估净值!$A$5:$A$1000),"yyyy-mm-dd")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LOOKUP(2,1/(实盘组合预估净值!$N$5:$N$1000&lt;&gt;""),实盘组合预估净值!$N$5:$N$1000)</f>
        <v>0.99694977560164078</v>
      </c>
      <c r="C7" s="28">
        <f>(LOOKUP(2,1/(实盘组合预估净值!$N$5:$N$1000&lt;&gt;""),实盘组合预估净值!$N$5:$N$1000))/1-1</f>
        <v>-3.0502243983592248E-3</v>
      </c>
      <c r="D7" s="28">
        <f>(LOOKUP(2,1/(实盘组合预估净值!$N$5:$N$1000&lt;&gt;""),实盘组合预估净值!$N$5:$N$1000)/1)^(说明!$C$17/MAX(COUNT(实盘组合预估净值!$O$5:$O$1000),1))-1</f>
        <v>-1.0973413166567747E-2</v>
      </c>
      <c r="E7" s="29">
        <f>STDEV(实盘组合预估净值!$O$5:$O$1000)*SQRT(说明!$C$17)</f>
        <v>4.8955137504085006E-2</v>
      </c>
      <c r="F7" s="28">
        <f>MIN(实盘组合预估净值!$P$5:$P$1000)</f>
        <v>-2.8729069309879618E-2</v>
      </c>
      <c r="G7" s="30">
        <f>(((LOOKUP(2,1/(实盘组合预估净值!$N$5:$N$1000&lt;&gt;""),实盘组合预估净值!$N$5:$N$1000)/1)^(说明!$C$17/MAX(COUNT(实盘组合预估净值!$O$5:$O$1000),1))-1)-说明!$C$16)/IF((STDEV(实盘组合预估净值!$O$5:$O$1000)*SQRT(说明!$C$17))=0,"",(STDEV(实盘组合预估净值!$O$5:$O$1000)*SQRT(说明!$C$17)))</f>
        <v>-0.22415243273807745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IFERROR((LOOKUP(2,1/(实盘组合预估净值!$N$5:$N$1000&lt;&gt;""),实盘组合预估净值!$N$5:$N$1000))/1-1,"")</f>
        <v>-0.00305022439835922</v>
      </c>
      <c r="E11" s="167" t="inlineStr">
        <is>
          <t>最大回撤</t>
        </is>
      </c>
      <c r="F11" s="167"/>
      <c r="G11" s="32">
        <f>MIN(实盘组合预估净值!$P$5:$P$1000)</f>
        <v>-0.0287290693098796</v>
      </c>
    </row>
    <row r="12" spans="2:7" ht="22.5" customHeight="1">
      <c r="B12" s="33" t="inlineStr">
        <is>
          <t>近一月</t>
        </is>
      </c>
      <c r="C12" s="32">
        <f>IFERROR((LOOKUP(2,1/(实盘组合预估净值!$N$5:$N$1000&lt;&gt;""),实盘组合预估净值!$N$5:$N$1000))/(IFERROR(LOOKUP(EDATE(LOOKUP(2,1/(实盘组合预估净值!$N$5:$N$1000&lt;&gt;""),实盘组合预估净值!$A$5:$A$1000),-1),实盘组合预估净值!$A$5:$A$1000,实盘组合预估净值!$N$5:$N$1000),1))-1,"")</f>
        <v>0.00187364210128105</v>
      </c>
      <c r="E12" s="167" t="inlineStr">
        <is>
          <t>正收益占比</t>
        </is>
      </c>
      <c r="F12" s="167"/>
      <c r="G12" s="32">
        <f>COUNTIF(实盘组合预估净值!$O$5:$O$1000,"&gt;0")/MAX(COUNT(实盘组合预估净值!$O$5:$O$1000),1)</f>
        <v>0.492537313432836</v>
      </c>
    </row>
    <row r="13" spans="2:7" ht="22.5" customHeight="1">
      <c r="B13" s="31" t="inlineStr">
        <is>
          <t>近三月</t>
        </is>
      </c>
      <c r="C13" s="32">
        <f>IFERROR((LOOKUP(2,1/(实盘组合预估净值!$N$5:$N$1000&lt;&gt;""),实盘组合预估净值!$N$5:$N$1000))/(IFERROR(LOOKUP(EDATE(LOOKUP(2,1/(实盘组合预估净值!$N$5:$N$1000&lt;&gt;""),实盘组合预估净值!$A$5:$A$1000),-3),实盘组合预估净值!$A$5:$A$1000,实盘组合预估净值!$N$5:$N$1000),1))-1,"")</f>
        <v>-0.00394222565132729</v>
      </c>
      <c r="E13" s="167" t="inlineStr">
        <is>
          <t>年化波动率</t>
        </is>
      </c>
      <c r="F13" s="167"/>
      <c r="G13" s="32">
        <f>(STDEV(实盘组合预估净值!$O$5:$O$1000)*SQRT(说明!$C$17))</f>
        <v>0.048955137504085</v>
      </c>
    </row>
    <row r="14" spans="2:7" ht="22.5" customHeight="1">
      <c r="B14" s="31" t="inlineStr">
        <is>
          <t>近一年</t>
        </is>
      </c>
      <c r="C14" s="32">
        <f>IFERROR((LOOKUP(2,1/(实盘组合预估净值!$N$5:$N$1000&lt;&gt;""),实盘组合预估净值!$N$5:$N$1000))/(IFERROR(LOOKUP(EDATE(LOOKUP(2,1/(实盘组合预估净值!$N$5:$N$1000&lt;&gt;""),实盘组合预估净值!$A$5:$A$1000),-12),实盘组合预估净值!$A$5:$A$1000,实盘组合预估净值!$N$5:$N$1000),1))-1,"")</f>
        <v>-0.00305022439835922</v>
      </c>
      <c r="E14" s="167" t="inlineStr">
        <is>
          <t>夏普比率</t>
        </is>
      </c>
      <c r="F14" s="167"/>
      <c r="G14" s="32">
        <f>(((LOOKUP(2,1/(实盘组合预估净值!$N$5:$N$1000&lt;&gt;""),实盘组合预估净值!$N$5:$N$1000)/1)^(说明!$C$17/MAX(COUNT(实盘组合预估净值!$O$5:$O$1000),1))-1)-说明!$C$16)/IF((STDEV(实盘组合预估净值!$O$5:$O$1000)*SQRT(说明!$C$17))=0,"",(STDEV(实盘组合预估净值!$O$5:$O$1000)*SQRT(说明!$C$17)))</f>
        <v>-0.224152432738077</v>
      </c>
    </row>
    <row r="15" spans="2:7" ht="22.5" customHeight="1">
      <c r="B15" s="31" t="inlineStr">
        <is>
          <t>YTD</t>
        </is>
      </c>
      <c r="C15" s="32">
        <f>IFERROR((LOOKUP(2,1/(实盘组合预估净值!$N$5:$N$1000&lt;&gt;""),实盘组合预估净值!$N$5:$N$1000))/(IFERROR(LOOKUP(DATE(YEAR(LOOKUP(2,1/(实盘组合预估净值!$N$5:$N$1000&lt;&gt;""),实盘组合预估净值!$A$5:$A$1000)),1,1),实盘组合预估净值!$A$5:$A$1000,实盘组合预估净值!$N$5:$N$1000),1))-1,"")</f>
        <v>-0.00305022439835922</v>
      </c>
      <c r="E15" s="167" t="inlineStr">
        <is>
          <t>卡玛比率</t>
        </is>
      </c>
      <c r="F15" s="167"/>
      <c r="G15" s="32">
        <f>IFERROR(((LOOKUP(2,1/(实盘组合预估净值!$N$5:$N$1000&lt;&gt;""),实盘组合预估净值!$N$5:$N$1000)/1)^(说明!$C$17/MAX(COUNT(实盘组合预估净值!$O$5:$O$1000),1))-1)/ABS(MIN(实盘组合预估净值!$P$5:$P$1000)),"")</f>
        <v>-0.381962013743136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9" sqref="L29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9.26953125" customWidth="1"/>
    <col min="5" max="5" width="20.81640625" customWidth="1"/>
    <col min="6" max="6" width="16.453125" customWidth="1"/>
    <col min="7" max="7" width="20.26953125" customWidth="1"/>
    <col min="8" max="8" width="2.1796875" customWidth="1"/>
  </cols>
  <sheetData>
    <row r="2" spans="2:7" ht="20.25" customHeight="1">
      <c r="B2" s="170" t="s">
        <v>168</v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"&amp;TEXT(实盘持仓初始配置!$Z$9,"0.0%")&amp;"（折每日计入净值）"</f>
        <v>买入持有 · 已扣年化费率 1.2%（折每日计入净值）</v>
      </c>
      <c r="C3" s="171"/>
      <c r="D3" s="171"/>
      <c r="E3" s="172" t="str">
        <f>"净值日期："&amp;TEXT(LOOKUP(2,1/(实盘组合预估净值!$Q$5:$Q$1000&lt;&gt;""),实盘组合预估净值!$A$5:$A$1000),"yyyy-mm-dd")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LOOKUP(2,1/(实盘组合预估净值!$Q$5:$Q$1000&lt;&gt;""),实盘组合预估净值!$Q$5:$Q$1000)</f>
        <v>0.97055482899155188</v>
      </c>
      <c r="C7" s="28">
        <f>(LOOKUP(2,1/(实盘组合预估净值!$Q$5:$Q$1000&lt;&gt;""),实盘组合预估净值!$Q$5:$Q$1000))/1-1</f>
        <v>-2.9445171008448123E-2</v>
      </c>
      <c r="D7" s="28">
        <f>(LOOKUP(2,1/(实盘组合预估净值!$Q$5:$Q$1000&lt;&gt;""),实盘组合预估净值!$Q$5:$Q$1000)/1)^(说明!$C$17/MAX(COUNT(实盘组合预估净值!$R$5:$R$1000),1))-1</f>
        <v>-0.10685975801176439</v>
      </c>
      <c r="E7" s="29">
        <f>STDEV(实盘组合预估净值!$R$5:$R$1000)*SQRT(说明!$C$17)</f>
        <v>0.13934105589084908</v>
      </c>
      <c r="F7" s="28">
        <f>MIN(实盘组合预估净值!$S$5:$S$1000)</f>
        <v>-8.3940733765942466E-2</v>
      </c>
      <c r="G7" s="30">
        <f>(((LOOKUP(2,1/(实盘组合预估净值!$Q$5:$Q$1000&lt;&gt;""),实盘组合预估净值!$Q$5:$Q$1000)/1)^(说明!$C$17/MAX(COUNT(实盘组合预估净值!$R$5:$R$1000),1))-1)-说明!$C$16)/IF((STDEV(实盘组合预估净值!$R$5:$R$1000)*SQRT(说明!$C$17))=0,"",(STDEV(实盘组合预估净值!$R$5:$R$1000)*SQRT(说明!$C$17)))</f>
        <v>-0.76689355716861751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IFERROR((LOOKUP(2,1/(实盘组合预估净值!$Q$5:$Q$1000&lt;&gt;""),实盘组合预估净值!$Q$5:$Q$1000))/1-1,"")</f>
        <v>-0.0294451710084481</v>
      </c>
      <c r="E11" s="167" t="inlineStr">
        <is>
          <t>最大回撤</t>
        </is>
      </c>
      <c r="F11" s="167"/>
      <c r="G11" s="32">
        <f>MIN(实盘组合预估净值!$S$5:$S$1000)</f>
        <v>-0.0839407337659425</v>
      </c>
    </row>
    <row r="12" spans="2:7" ht="22.5" customHeight="1">
      <c r="B12" s="33" t="inlineStr">
        <is>
          <t>近一月</t>
        </is>
      </c>
      <c r="C12" s="32">
        <f>IFERROR((LOOKUP(2,1/(实盘组合预估净值!$Q$5:$Q$1000&lt;&gt;""),实盘组合预估净值!$Q$5:$Q$1000))/(IFERROR(LOOKUP(EDATE(LOOKUP(2,1/(实盘组合预估净值!$Q$5:$Q$1000&lt;&gt;""),实盘组合预估净值!$A$5:$A$1000),-1),实盘组合预估净值!$A$5:$A$1000,实盘组合预估净值!$Q$5:$Q$1000),1))-1,"")</f>
        <v>0.000605389110197807</v>
      </c>
      <c r="E12" s="167" t="inlineStr">
        <is>
          <t>正收益占比</t>
        </is>
      </c>
      <c r="F12" s="167"/>
      <c r="G12" s="32">
        <f>COUNTIF(实盘组合预估净值!$R$5:$R$1000,"&gt;0")/MAX(COUNT(实盘组合预估净值!$R$5:$R$1000),1)</f>
        <v>0.453125</v>
      </c>
    </row>
    <row r="13" spans="2:7" ht="22.5" customHeight="1">
      <c r="B13" s="31" t="inlineStr">
        <is>
          <t>近三月</t>
        </is>
      </c>
      <c r="C13" s="32">
        <f>IFERROR((LOOKUP(2,1/(实盘组合预估净值!$Q$5:$Q$1000&lt;&gt;""),实盘组合预估净值!$Q$5:$Q$1000))/(IFERROR(LOOKUP(EDATE(LOOKUP(2,1/(实盘组合预估净值!$Q$5:$Q$1000&lt;&gt;""),实盘组合预估净值!$A$5:$A$1000),-3),实盘组合预估净值!$A$5:$A$1000,实盘组合预估净值!$Q$5:$Q$1000),1))-1,"")</f>
        <v>-0.0294451710084481</v>
      </c>
      <c r="E13" s="167" t="inlineStr">
        <is>
          <t>年化波动率</t>
        </is>
      </c>
      <c r="F13" s="167"/>
      <c r="G13" s="32">
        <f>(STDEV(实盘组合预估净值!$R$5:$R$1000)*SQRT(说明!$C$17))</f>
        <v>0.139341055890849</v>
      </c>
    </row>
    <row r="14" spans="2:7" ht="22.5" customHeight="1">
      <c r="B14" s="31" t="inlineStr">
        <is>
          <t>近一年</t>
        </is>
      </c>
      <c r="C14" s="32">
        <f>IFERROR((LOOKUP(2,1/(实盘组合预估净值!$Q$5:$Q$1000&lt;&gt;""),实盘组合预估净值!$Q$5:$Q$1000))/(IFERROR(LOOKUP(EDATE(LOOKUP(2,1/(实盘组合预估净值!$Q$5:$Q$1000&lt;&gt;""),实盘组合预估净值!$A$5:$A$1000),-12),实盘组合预估净值!$A$5:$A$1000,实盘组合预估净值!$Q$5:$Q$1000),1))-1,"")</f>
        <v>-0.0294451710084481</v>
      </c>
      <c r="E14" s="167" t="inlineStr">
        <is>
          <t>夏普比率</t>
        </is>
      </c>
      <c r="F14" s="167"/>
      <c r="G14" s="32">
        <f>(((LOOKUP(2,1/(实盘组合预估净值!$Q$5:$Q$1000&lt;&gt;""),实盘组合预估净值!$Q$5:$Q$1000)/1)^(说明!$C$17/MAX(COUNT(实盘组合预估净值!$R$5:$R$1000),1))-1)-说明!$C$16)/IF((STDEV(实盘组合预估净值!$R$5:$R$1000)*SQRT(说明!$C$17))=0,"",(STDEV(实盘组合预估净值!$R$5:$R$1000)*SQRT(说明!$C$17)))</f>
        <v>-0.766893557168618</v>
      </c>
    </row>
    <row r="15" spans="2:7" ht="22.5" customHeight="1">
      <c r="B15" s="31" t="inlineStr">
        <is>
          <t>YTD</t>
        </is>
      </c>
      <c r="C15" s="32">
        <f>IFERROR((LOOKUP(2,1/(实盘组合预估净值!$Q$5:$Q$1000&lt;&gt;""),实盘组合预估净值!$Q$5:$Q$1000))/(IFERROR(LOOKUP(DATE(YEAR(LOOKUP(2,1/(实盘组合预估净值!$Q$5:$Q$1000&lt;&gt;""),实盘组合预估净值!$A$5:$A$1000)),1,1),实盘组合预估净值!$A$5:$A$1000,实盘组合预估净值!$Q$5:$Q$1000),1))-1,"")</f>
        <v>-0.0294451710084481</v>
      </c>
      <c r="E15" s="167" t="inlineStr">
        <is>
          <t>卡玛比率</t>
        </is>
      </c>
      <c r="F15" s="167"/>
      <c r="G15" s="32">
        <f>IFERROR(((LOOKUP(2,1/(实盘组合预估净值!$Q$5:$Q$1000&lt;&gt;""),实盘组合预估净值!$Q$5:$Q$1000)/1)^(说明!$C$17/MAX(COUNT(实盘组合预估净值!$R$5:$R$1000),1))-1)/ABS(MIN(实盘组合预估净值!$S$5:$S$1000)),"")</f>
        <v>-1.27303816892676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s">
        <v>163</v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workbookViewId="0"/>
  </sheetViews>
  <sheetFormatPr defaultColWidth="9.453125" defaultRowHeight="12.5"/>
  <cols>
    <col min="1" max="1" width="2.1796875" customWidth="1"/>
    <col min="2" max="2" width="28.453125" customWidth="1"/>
    <col min="3" max="8" width="16.453125" customWidth="1"/>
  </cols>
  <sheetData>
    <row r="2" spans="2:8" ht="22.5" customHeight="1">
      <c r="B2" s="38" t="s">
        <v>169</v>
      </c>
    </row>
    <row r="3" spans="2:8" ht="14.25" customHeight="1">
      <c r="B3" s="10" t="s">
        <v>170</v>
      </c>
    </row>
    <row r="5" spans="2:8" ht="15" customHeight="1">
      <c r="B5" s="39" t="s">
        <v>171</v>
      </c>
    </row>
    <row r="6" spans="2:8" ht="16.5" customHeight="1">
      <c r="B6" s="40" t="s">
        <v>172</v>
      </c>
      <c r="C6" s="173" t="s">
        <v>173</v>
      </c>
      <c r="D6" s="173"/>
      <c r="E6" s="173"/>
      <c r="F6" s="173"/>
      <c r="G6" s="173"/>
      <c r="H6" s="173"/>
    </row>
    <row r="7" spans="2:8" ht="25.5" customHeight="1">
      <c r="B7" s="40" t="s">
        <v>174</v>
      </c>
      <c r="C7" s="173" t="s">
        <v>175</v>
      </c>
      <c r="D7" s="173"/>
      <c r="E7" s="173"/>
      <c r="F7" s="173"/>
      <c r="G7" s="173"/>
      <c r="H7" s="173"/>
    </row>
    <row r="8" spans="2:8" ht="16.5" customHeight="1">
      <c r="B8" s="40" t="s">
        <v>176</v>
      </c>
      <c r="C8" s="173" t="s">
        <v>177</v>
      </c>
      <c r="D8" s="173"/>
      <c r="E8" s="173"/>
      <c r="F8" s="173"/>
      <c r="G8" s="173"/>
      <c r="H8" s="173"/>
    </row>
    <row r="9" spans="2:8" ht="27.75" customHeight="1">
      <c r="B9" s="40" t="s">
        <v>178</v>
      </c>
      <c r="C9" s="174" t="s">
        <v>179</v>
      </c>
      <c r="D9" s="174"/>
      <c r="E9" s="174"/>
      <c r="F9" s="174"/>
      <c r="G9" s="174"/>
      <c r="H9" s="174"/>
    </row>
    <row r="10" spans="2:8" ht="16.5" customHeight="1">
      <c r="B10" s="41"/>
      <c r="C10" s="42"/>
      <c r="D10" s="42"/>
      <c r="E10" s="42"/>
      <c r="F10" s="42"/>
      <c r="G10" s="42"/>
      <c r="H10" s="42"/>
    </row>
    <row r="11" spans="2:8" ht="16.5" customHeight="1">
      <c r="B11" s="39" t="s">
        <v>180</v>
      </c>
      <c r="C11" s="42"/>
      <c r="D11" s="42"/>
      <c r="E11" s="42"/>
      <c r="F11" s="42"/>
      <c r="G11" s="42"/>
      <c r="H11" s="42"/>
    </row>
    <row r="12" spans="2:8" ht="16.5" customHeight="1">
      <c r="B12" s="40" t="s">
        <v>181</v>
      </c>
      <c r="C12" s="173" t="s">
        <v>182</v>
      </c>
      <c r="D12" s="173"/>
      <c r="E12" s="173"/>
      <c r="F12" s="173"/>
      <c r="G12" s="173"/>
      <c r="H12" s="173"/>
    </row>
    <row r="13" spans="2:8" ht="16.5" customHeight="1">
      <c r="B13" s="43" t="s">
        <v>183</v>
      </c>
      <c r="C13" s="173" t="s">
        <v>184</v>
      </c>
      <c r="D13" s="173"/>
      <c r="E13" s="173"/>
      <c r="F13" s="173"/>
      <c r="G13" s="173"/>
      <c r="H13" s="173"/>
    </row>
    <row r="14" spans="2:8" ht="16.5" customHeight="1">
      <c r="B14" s="40" t="s">
        <v>185</v>
      </c>
      <c r="C14" s="173" t="s">
        <v>186</v>
      </c>
      <c r="D14" s="173"/>
      <c r="E14" s="173"/>
      <c r="F14" s="173"/>
      <c r="G14" s="173"/>
      <c r="H14" s="173"/>
    </row>
    <row r="15" spans="2:8" ht="14.25" customHeight="1">
      <c r="B15" s="40" t="s">
        <v>187</v>
      </c>
      <c r="C15" s="41" t="s">
        <v>188</v>
      </c>
    </row>
    <row r="16" spans="2:8" ht="13">
      <c r="B16" s="40" t="s">
        <v>189</v>
      </c>
      <c r="C16" s="44">
        <v>0</v>
      </c>
    </row>
    <row r="17" spans="2:3" ht="13">
      <c r="B17" s="40" t="s">
        <v>190</v>
      </c>
      <c r="C17" s="45">
        <v>242</v>
      </c>
    </row>
    <row r="18" spans="2:3" ht="14.25" customHeight="1">
      <c r="B18" s="40" t="s">
        <v>191</v>
      </c>
      <c r="C18" s="41" t="s">
        <v>192</v>
      </c>
    </row>
    <row r="19" spans="2:3" ht="14.25" customHeight="1">
      <c r="B19" s="10" t="s">
        <v>193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3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9" sqref="L29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9.26953125" customWidth="1"/>
    <col min="5" max="5" width="20.81640625" customWidth="1"/>
    <col min="6" max="6" width="16.453125" customWidth="1"/>
    <col min="7" max="7" width="20.26953125" customWidth="1"/>
    <col min="8" max="8" width="2.1796875" customWidth="1"/>
  </cols>
  <sheetData>
    <row r="2" spans="2:7" ht="20.25" customHeight="1">
      <c r="B2" s="170" t="inlineStr">
        <is>
          <t>样板间组合走势看板（20-80组合）</t>
        </is>
      </c>
      <c r="C2" s="170"/>
      <c r="D2" s="170"/>
      <c r="E2" s="170"/>
      <c r="F2" s="170"/>
      <c r="G2" s="170"/>
    </row>
    <row r="3" spans="2:7" ht="14.25" customHeight="1">
      <c r="B3" s="171" t="str">
        <f>"买入持有 · 已扣年化费率 "&amp;TEXT(实盘持仓初始配置!$Z$10,"0.0%")&amp;"（折每日计入净值）"</f>
        <v>买入持有 · 已扣年化费率 0.8%（折每日计入净值）</v>
      </c>
      <c r="C3" s="171"/>
      <c r="D3" s="171"/>
      <c r="E3" s="172" t="str">
        <f>"净值日期："&amp;TEXT(LOOKUP(2,1/(实盘组合预估净值!$T$5:$T$1000&lt;&gt;""),实盘组合预估净值!$A$5:$A$1000),"yyyy-mm-dd")</f>
        <v>净值日期：2026-09-22</v>
      </c>
      <c r="F3" s="172"/>
      <c r="G3" s="172"/>
    </row>
    <row r="5" spans="2:7" ht="14">
      <c r="B5" s="168" t="s">
        <v>142</v>
      </c>
      <c r="C5" s="168"/>
      <c r="D5" s="168"/>
      <c r="E5" s="168"/>
      <c r="F5" s="168"/>
      <c r="G5" s="168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LOOKUP(2,1/(实盘组合预估净值!$T$5:$T$1000&lt;&gt;""),实盘组合预估净值!$T$5:$T$1000)</f>
        <v>1.00393945553196</v>
      </c>
      <c r="C7" s="28">
        <f>(LOOKUP(2,1/(实盘组合预估净值!$T$5:$T$1000&lt;&gt;""),实盘组合预估净值!$T$5:$T$1000))/1-1</f>
        <v>0.00393945553195651</v>
      </c>
      <c r="D7" s="28">
        <f>(LOOKUP(2,1/(实盘组合预估净值!$T$5:$T$1000&lt;&gt;""),实盘组合预估净值!$T$5:$T$1000)/1)^(说明!$C$17/MAX(COUNT(实盘组合预估净值!$U$5:$U$1000),1))-1</f>
        <v>0.37322012744939</v>
      </c>
      <c r="E7" s="29">
        <f>STDEV(实盘组合预估净值!$U$5:$U$1000)*SQRT(说明!$C$17)</f>
        <v>0.0222266675408043</v>
      </c>
      <c r="F7" s="28">
        <f>MIN(实盘组合预估净值!$V$5:$V$1000)</f>
        <v>-2.20057077264801e-05</v>
      </c>
      <c r="G7" s="30">
        <f>(((LOOKUP(2,1/(实盘组合预估净值!$T$5:$T$1000&lt;&gt;""),实盘组合预估净值!$T$5:$T$1000)/1)^(说明!$C$17/MAX(COUNT(实盘组合预估净值!$U$5:$U$1000),1))-1)-说明!$C$16)/IF((STDEV(实盘组合预估净值!$U$5:$U$1000)*SQRT(说明!$C$17))=0,"",(STDEV(实盘组合预估净值!$U$5:$U$1000)*SQRT(说明!$C$17)))</f>
        <v>16.7915467653539</v>
      </c>
    </row>
    <row r="9" spans="2:7" ht="14">
      <c r="B9" s="168" t="s">
        <v>149</v>
      </c>
      <c r="C9" s="168"/>
      <c r="D9" s="168"/>
      <c r="E9" s="168" t="s">
        <v>150</v>
      </c>
      <c r="F9" s="168"/>
      <c r="G9" s="168"/>
    </row>
    <row r="10" spans="2:7" ht="13.5" customHeight="1">
      <c r="B10" s="1" t="s">
        <v>151</v>
      </c>
      <c r="C10" s="1" t="inlineStr">
        <is>
          <t>累计收益</t>
        </is>
      </c>
      <c r="E10" s="169" t="s">
        <v>152</v>
      </c>
      <c r="F10" s="169"/>
      <c r="G10" s="1" t="s">
        <v>153</v>
      </c>
    </row>
    <row r="11" spans="2:7" ht="22.5" customHeight="1">
      <c r="B11" s="31" t="inlineStr">
        <is>
          <t>成立以来</t>
        </is>
      </c>
      <c r="C11" s="32">
        <f>IFERROR((LOOKUP(2,1/(实盘组合预估净值!$T$5:$T$1000&lt;&gt;""),实盘组合预估净值!$T$5:$T$1000))/1-1,"")</f>
        <v>0.00393945553195651</v>
      </c>
      <c r="E11" s="167" t="inlineStr">
        <is>
          <t>最大回撤</t>
        </is>
      </c>
      <c r="F11" s="167"/>
      <c r="G11" s="32">
        <f>MIN(实盘组合预估净值!$V$5:$V$1000)</f>
        <v>-2.20057077264801e-05</v>
      </c>
    </row>
    <row r="12" spans="2:7" ht="22.5" customHeight="1">
      <c r="B12" s="33" t="inlineStr">
        <is>
          <t>近一月</t>
        </is>
      </c>
      <c r="C12" s="32">
        <f>IFERROR((LOOKUP(2,1/(实盘组合预估净值!$T$5:$T$1000&lt;&gt;""),实盘组合预估净值!$T$5:$T$1000))/(IFERROR(LOOKUP(EDATE(LOOKUP(2,1/(实盘组合预估净值!$T$5:$T$1000&lt;&gt;""),实盘组合预估净值!$A$5:$A$1000),-1),实盘组合预估净值!$A$5:$A$1000,实盘组合预估净值!$T$5:$T$1000),1))-1,"")</f>
        <v>0.00393945553195651</v>
      </c>
      <c r="E12" s="167" t="inlineStr">
        <is>
          <t>正收益占比</t>
        </is>
      </c>
      <c r="F12" s="167"/>
      <c r="G12" s="32">
        <f>COUNTIF(实盘组合预估净值!$U$5:$U$1000,"&gt;0")/MAX(COUNT(实盘组合预估净值!$U$5:$U$1000),1)</f>
        <v>0.666666666666667</v>
      </c>
    </row>
    <row r="13" spans="2:7" ht="22.5" customHeight="1">
      <c r="B13" s="31" t="inlineStr">
        <is>
          <t>近三月</t>
        </is>
      </c>
      <c r="C13" s="32">
        <f>IFERROR((LOOKUP(2,1/(实盘组合预估净值!$T$5:$T$1000&lt;&gt;""),实盘组合预估净值!$T$5:$T$1000))/(IFERROR(LOOKUP(EDATE(LOOKUP(2,1/(实盘组合预估净值!$T$5:$T$1000&lt;&gt;""),实盘组合预估净值!$A$5:$A$1000),-3),实盘组合预估净值!$A$5:$A$1000,实盘组合预估净值!$T$5:$T$1000),1))-1,"")</f>
        <v>0.00393945553195651</v>
      </c>
      <c r="E13" s="167" t="inlineStr">
        <is>
          <t>年化波动率</t>
        </is>
      </c>
      <c r="F13" s="167"/>
      <c r="G13" s="32">
        <f>(STDEV(实盘组合预估净值!$U$5:$U$1000)*SQRT(说明!$C$17))</f>
        <v>0.0222266675408043</v>
      </c>
    </row>
    <row r="14" spans="2:7" ht="22.5" customHeight="1">
      <c r="B14" s="31" t="inlineStr">
        <is>
          <t>近一年</t>
        </is>
      </c>
      <c r="C14" s="32">
        <f>IFERROR((LOOKUP(2,1/(实盘组合预估净值!$T$5:$T$1000&lt;&gt;""),实盘组合预估净值!$T$5:$T$1000))/(IFERROR(LOOKUP(EDATE(LOOKUP(2,1/(实盘组合预估净值!$T$5:$T$1000&lt;&gt;""),实盘组合预估净值!$A$5:$A$1000),-12),实盘组合预估净值!$A$5:$A$1000,实盘组合预估净值!$T$5:$T$1000),1))-1,"")</f>
        <v>0.00393945553195651</v>
      </c>
      <c r="E14" s="167" t="inlineStr">
        <is>
          <t>夏普比率</t>
        </is>
      </c>
      <c r="F14" s="167"/>
      <c r="G14" s="32">
        <f>(((LOOKUP(2,1/(实盘组合预估净值!$T$5:$T$1000&lt;&gt;""),实盘组合预估净值!$T$5:$T$1000)/1)^(说明!$C$17/MAX(COUNT(实盘组合预估净值!$U$5:$U$1000),1))-1)-说明!$C$16)/IF((STDEV(实盘组合预估净值!$U$5:$U$1000)*SQRT(说明!$C$17))=0,"",(STDEV(实盘组合预估净值!$U$5:$U$1000)*SQRT(说明!$C$17)))</f>
        <v>16.7915467653539</v>
      </c>
    </row>
    <row r="15" spans="2:7" ht="22.5" customHeight="1">
      <c r="B15" s="31" t="inlineStr">
        <is>
          <t>YTD</t>
        </is>
      </c>
      <c r="C15" s="32">
        <f>IFERROR((LOOKUP(2,1/(实盘组合预估净值!$T$5:$T$1000&lt;&gt;""),实盘组合预估净值!$T$5:$T$1000))/(IFERROR(LOOKUP(DATE(YEAR(LOOKUP(2,1/(实盘组合预估净值!$T$5:$T$1000&lt;&gt;""),实盘组合预估净值!$A$5:$A$1000)),1,1),实盘组合预估净值!$A$5:$A$1000,实盘组合预估净值!$T$5:$T$1000),1))-1,"")</f>
        <v>0.00393945553195651</v>
      </c>
      <c r="E15" s="167" t="inlineStr">
        <is>
          <t>卡玛比率</t>
        </is>
      </c>
      <c r="F15" s="167"/>
      <c r="G15" s="32">
        <f>IFERROR(((LOOKUP(2,1/(实盘组合预估净值!$T$5:$T$1000&lt;&gt;""),实盘组合预估净值!$T$5:$T$1000)/1)^(说明!$C$17/MAX(COUNT(实盘组合预估净值!$U$5:$U$1000),1))-1)/ABS(MIN(实盘组合预估净值!$V$5:$V$1000)),"")</f>
        <v>16960.1510702736</v>
      </c>
    </row>
    <row r="16" spans="2:7" ht="22.5" customHeight="1">
      <c r="B16" s="37"/>
      <c r="C16" s="37"/>
      <c r="D16" s="37"/>
    </row>
    <row r="18" spans="2:7" ht="14">
      <c r="B18" s="168" t="s">
        <v>162</v>
      </c>
      <c r="C18" s="168"/>
      <c r="D18" s="168"/>
      <c r="E18" s="168"/>
      <c r="F18" s="168"/>
      <c r="G18" s="168"/>
    </row>
    <row r="35" spans="2:2" ht="14.25" customHeight="1">
      <c r="B35" s="10" t="inlineStr">
        <is>
          <t>统计区间自2026/9/17起；运作初期样本少，年化类指标仅供参考。新增交易日后请同步扩展本图数据区。</t>
        </is>
      </c>
    </row>
  </sheetData>
  <mergeCells count="19">
    <mergeCell ref="B2:G2"/>
    <mergeCell ref="B3:D3"/>
    <mergeCell ref="E3:G3"/>
    <mergeCell ref="B5:G5"/>
    <mergeCell ref="B9:D9"/>
    <mergeCell ref="E9:G9"/>
    <mergeCell ref="E15:F15"/>
    <mergeCell ref="B18:G18"/>
    <mergeCell ref="E10:F10"/>
    <mergeCell ref="E11:F11"/>
    <mergeCell ref="E12:F12"/>
    <mergeCell ref="E13:F13"/>
    <mergeCell ref="E14:F14"/>
    <mergeCell ref="C10:D10"/>
    <mergeCell ref="C11:D11"/>
    <mergeCell ref="C12:D12"/>
    <mergeCell ref="C13:D13"/>
    <mergeCell ref="C14:D14"/>
    <mergeCell ref="C15:D15"/>
  </mergeCells>
  <phoneticPr fontId="3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6" baseType="lpstr">
      <vt:lpstr>实盘持仓初始配置</vt:lpstr>
      <vt:lpstr>偏离度监控</vt:lpstr>
      <vt:lpstr>vs固收+对比（模拟数据）</vt:lpstr>
      <vt:lpstr>vs固收+对比（恒生实盘数据） </vt:lpstr>
      <vt:lpstr>恒生净值</vt:lpstr>
      <vt:lpstr>实盘净值数据(iFinD）</vt:lpstr>
      <vt:lpstr>实盘组合预估净值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看板-20-80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2026-08-10T08:54:35Z</dcterms:created>
  <dcterms:modified xsi:type="dcterms:W3CDTF">2026-09-22T03:04:36Z</dcterms:modified>
</cp:coreProperties>
</file>